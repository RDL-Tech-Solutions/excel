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dicadores" sheetId="1" r:id="rId1"/>
    <sheet name="Monitoramento" sheetId="2" r:id="rId2"/>
    <sheet name="Quadro de Indicadores" sheetId="3" r:id="rId3"/>
    <sheet name="calculos" sheetId="4" state="hidden" r:id="rId4"/>
    <sheet name="Base" sheetId="5" r:id="rId5"/>
    <sheet name="calculos_quadro" sheetId="6" state="hidden" r:id="rId99"/>
  </sheets>
  <definedNames>
    <definedName name="_xlnm.Print_Area" localSheetId="0">'Indicadores'!$A$1:$Z$48</definedName>
    <definedName name="_xlnm.Print_Area" localSheetId="1">'Monitoramento'!$A$1:$AK$164</definedName>
    <definedName name="_xlnm.Print_Area" localSheetId="2">'Quadro de Indicadores'!$A$1:$AA$80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[$-416]d;@"/>
    <numFmt numFmtId="165" formatCode="#,##0.0"/>
    <numFmt numFmtId="166" formatCode="dd/mm/yyyy"/>
    <numFmt numFmtId="167" formatCode="dd/mm"/>
    <numFmt numFmtId="168" formatCode="#,##0;;"/>
    <numFmt numFmtId="169" formatCode="0.0%"/>
    <numFmt numFmtId="170" formatCode="&quot;▲ &quot;0%;&quot;▼ &quot;0%;&quot;= 0%&quot;"/>
    <numFmt numFmtId="171" formatCode="#,##0.0&quot; t recebidas&quot;"/>
    <numFmt numFmtId="172" formatCode="&quot;▲ &quot;0%&quot; vs mês ant.&quot;;&quot;▼ &quot;0%&quot; vs mês ant.&quot;;&quot;= mês ant.&quot;"/>
    <numFmt numFmtId="173" formatCode="#,##0.0&quot; t expedidas&quot;"/>
    <numFmt numFmtId="174" formatCode="#,##0&quot; no show&quot;"/>
    <numFmt numFmtId="175" formatCode="#,##0&quot; posições ocupadas&quot;"/>
    <numFmt numFmtId="176" formatCode="#,##0&quot; faltas no mês&quot;"/>
  </numFmts>
  <fonts count="27">
    <font>
      <sz val="10"/>
      <color rgb="FF000000"/>
      <name val="Calibri"/>
      <family val="2"/>
    </font>
    <font>
      <b/>
      <sz val="14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i/>
      <sz val="8"/>
      <color rgb="FF7F7F7F"/>
      <name val="Calibri"/>
      <family val="2"/>
    </font>
    <font>
      <b/>
      <sz val="9"/>
      <color rgb="FFFFFFFF"/>
      <name val="Calibri"/>
      <family val="2"/>
    </font>
    <font>
      <sz val="10"/>
      <color rgb="FF7F7F7F"/>
      <name val="Calibri"/>
      <family val="2"/>
    </font>
    <font>
      <b/>
      <sz val="11"/>
      <color rgb="FFC00000"/>
      <name val="Calibri"/>
      <family val="2"/>
    </font>
    <font>
      <sz val="9"/>
      <color rgb="FF000000"/>
      <name val="Calibri"/>
      <family val="2"/>
    </font>
    <font>
      <sz val="10"/>
      <color rgb="FF0000FF"/>
      <name val="Calibri"/>
      <family val="2"/>
    </font>
    <font>
      <b/>
      <sz val="8"/>
      <color rgb="FFFFFFFF"/>
      <name val="Calibri"/>
      <family val="2"/>
    </font>
    <font>
      <b/>
      <sz val="10"/>
      <color rgb="FFC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1"/>
      <color rgb="FF1B1B1F"/>
      <name val="Calibri"/>
      <family val="2"/>
    </font>
    <font>
      <b/>
      <sz val="10"/>
      <color rgb="FF595959"/>
      <name val="Calibri"/>
      <family val="2"/>
    </font>
    <font>
      <b/>
      <sz val="16"/>
      <color rgb="FFFFFFFF"/>
      <name val="Calibri"/>
      <family val="2"/>
    </font>
    <font>
      <b/>
      <sz val="12"/>
      <color rgb="FF1B1B1F"/>
      <name val="Calibri"/>
      <family val="2"/>
    </font>
    <font>
      <b/>
      <sz val="13"/>
      <color rgb="FF000000"/>
      <name val="Calibri"/>
      <family val="2"/>
    </font>
    <font>
      <b/>
      <sz val="28"/>
      <color rgb="FF1B1B1F"/>
      <name val="Calibri"/>
      <family val="2"/>
    </font>
    <font>
      <b/>
      <sz val="10"/>
      <color rgb="FF7F7F7F"/>
      <name val="Calibri"/>
      <family val="2"/>
    </font>
    <font>
      <i/>
      <sz val="8"/>
      <color rgb="FF9A9A9A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404040"/>
      <name val="Calibri"/>
      <family val="2"/>
    </font>
    <font>
      <b/>
      <sz val="12"/>
      <color rgb="FFC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1B1B1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2F2F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7F7F7F"/>
      </right>
      <top style="medium">
        <color rgb="FF000000"/>
      </top>
      <bottom style="medium">
        <color rgb="FF000000"/>
      </bottom>
      <diagonal/>
    </border>
    <border>
      <left style="dotted">
        <color rgb="FF7F7F7F"/>
      </left>
      <right style="dotted">
        <color rgb="FF7F7F7F"/>
      </right>
      <top style="medium">
        <color rgb="FF000000"/>
      </top>
      <bottom style="medium">
        <color rgb="FF000000"/>
      </bottom>
      <diagonal/>
    </border>
    <border>
      <left style="dotted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dotted">
        <color rgb="FF7F7F7F"/>
      </right>
      <top style="medium">
        <color rgb="FF000000"/>
      </top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 style="medium">
        <color rgb="FF000000"/>
      </top>
      <bottom style="dotted">
        <color rgb="FF7F7F7F"/>
      </bottom>
      <diagonal/>
    </border>
    <border>
      <left style="dotted">
        <color rgb="FF7F7F7F"/>
      </left>
      <right style="medium">
        <color rgb="FF000000"/>
      </right>
      <top style="medium">
        <color rgb="FF000000"/>
      </top>
      <bottom style="dotted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 style="medium">
        <color rgb="FF000000"/>
      </right>
      <top/>
      <bottom style="dotted">
        <color rgb="FF7F7F7F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7F7F7F"/>
      </bottom>
      <diagonal/>
    </border>
    <border>
      <left style="medium">
        <color rgb="FF000000"/>
      </left>
      <right style="dotted">
        <color rgb="FF7F7F7F"/>
      </right>
      <top/>
      <bottom style="medium">
        <color rgb="FF000000"/>
      </bottom>
      <diagonal/>
    </border>
    <border>
      <left style="dotted">
        <color rgb="FF7F7F7F"/>
      </left>
      <right style="dotted">
        <color rgb="FF7F7F7F"/>
      </right>
      <top/>
      <bottom style="medium">
        <color rgb="FF000000"/>
      </bottom>
      <diagonal/>
    </border>
    <border>
      <left style="dotted">
        <color rgb="FF7F7F7F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595959"/>
      </bottom>
      <diagonal/>
    </border>
    <border>
      <left style="hair">
        <color rgb="FF7F7F7F"/>
      </left>
      <right/>
      <top style="medium">
        <color rgb="FF000000"/>
      </top>
      <bottom/>
      <diagonal/>
    </border>
    <border>
      <left/>
      <right/>
      <top style="hair">
        <color rgb="FF7F7F7F"/>
      </top>
      <bottom/>
      <diagonal/>
    </border>
    <border>
      <left style="hair">
        <color rgb="FF7F7F7F"/>
      </left>
      <right/>
      <top style="hair">
        <color rgb="FF7F7F7F"/>
      </top>
      <bottom/>
      <diagonal/>
    </border>
    <border>
      <left/>
      <right style="medium">
        <color rgb="FF000000"/>
      </right>
      <top style="hair">
        <color rgb="FF7F7F7F"/>
      </top>
      <bottom/>
      <diagonal/>
    </border>
    <border>
      <left/>
      <right/>
      <top style="hair">
        <color rgb="FF7F7F7F"/>
      </top>
      <bottom style="medium">
        <color rgb="FF000000"/>
      </bottom>
      <diagonal/>
    </border>
    <border>
      <left style="hair">
        <color rgb="FF7F7F7F"/>
      </left>
      <right/>
      <top style="hair">
        <color rgb="FF7F7F7F"/>
      </top>
      <bottom style="medium">
        <color rgb="FF000000"/>
      </bottom>
      <diagonal/>
    </border>
    <border>
      <left/>
      <right style="medium">
        <color rgb="FF000000"/>
      </right>
      <top style="hair">
        <color rgb="FF7F7F7F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E01E1E"/>
      </left>
      <right/>
      <top style="medium">
        <color rgb="FFE01E1E"/>
      </top>
      <bottom style="medium">
        <color rgb="FFE01E1E"/>
      </bottom>
      <diagonal/>
    </border>
    <border>
      <left/>
      <right/>
      <top style="medium">
        <color rgb="FFE01E1E"/>
      </top>
      <bottom style="medium">
        <color rgb="FFE01E1E"/>
      </bottom>
      <diagonal/>
    </border>
    <border>
      <left/>
      <right style="medium">
        <color rgb="FFE01E1E"/>
      </right>
      <top style="medium">
        <color rgb="FFE01E1E"/>
      </top>
      <bottom style="medium">
        <color rgb="FFE01E1E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ck">
        <color rgb="FFE01E1E"/>
      </top>
      <bottom/>
      <diagonal/>
    </border>
  </borders>
  <cellStyleXfs count="1">
    <xf numFmtId="0" fontId="0" fillId="0" borderId="0"/>
  </cellStyleXfs>
  <cellXfs count="499">
    <xf numFmtId="0" fontId="0" fillId="0" borderId="0" xfId="0"/>
    <xf numFmtId="0" fontId="0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right" vertical="center" indent="1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6" xfId="0" applyNumberFormat="1" applyFont="1" applyFill="1" applyBorder="1" applyAlignment="1">
      <alignment horizontal="center" vertical="center"/>
    </xf>
    <xf numFmtId="0" fontId="2" fillId="3" borderId="7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0" fontId="3" fillId="4" borderId="8" xfId="0" applyNumberFormat="1" applyFont="1" applyFill="1" applyBorder="1" applyAlignment="1">
      <alignment horizontal="center" vertical="center"/>
    </xf>
    <xf numFmtId="0" fontId="3" fillId="4" borderId="9" xfId="0" applyNumberFormat="1" applyFont="1" applyFill="1" applyBorder="1" applyAlignment="1">
      <alignment horizontal="center" vertical="center"/>
    </xf>
    <xf numFmtId="0" fontId="3" fillId="4" borderId="10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2" xfId="0" applyNumberFormat="1" applyFont="1" applyFill="1" applyBorder="1" applyAlignment="1">
      <alignment horizontal="center" vertical="center"/>
    </xf>
    <xf numFmtId="164" fontId="2" fillId="6" borderId="12" xfId="0" applyNumberFormat="1" applyFont="1" applyFill="1" applyBorder="1" applyAlignment="1">
      <alignment horizontal="center" vertical="center"/>
    </xf>
    <xf numFmtId="164" fontId="0" fillId="5" borderId="13" xfId="0" applyNumberFormat="1" applyFont="1" applyFill="1" applyBorder="1" applyAlignment="1">
      <alignment horizontal="center" vertical="center"/>
    </xf>
    <xf numFmtId="0" fontId="2" fillId="7" borderId="5" xfId="0" applyNumberFormat="1" applyFont="1" applyFill="1" applyBorder="1" applyAlignment="1">
      <alignment horizontal="center" vertical="center"/>
    </xf>
    <xf numFmtId="3" fontId="2" fillId="7" borderId="2" xfId="0" applyNumberFormat="1" applyFont="1" applyFill="1" applyBorder="1" applyAlignment="1">
      <alignment horizontal="center" vertical="center"/>
    </xf>
    <xf numFmtId="0" fontId="0" fillId="7" borderId="14" xfId="0" applyNumberFormat="1" applyFont="1" applyFill="1" applyBorder="1" applyAlignment="1">
      <alignment horizontal="center" vertical="center"/>
    </xf>
    <xf numFmtId="3" fontId="0" fillId="7" borderId="15" xfId="0" applyNumberFormat="1" applyFont="1" applyFill="1" applyBorder="1" applyAlignment="1">
      <alignment horizontal="center" vertical="center"/>
    </xf>
    <xf numFmtId="3" fontId="0" fillId="7" borderId="16" xfId="0" applyNumberFormat="1" applyFont="1" applyFill="1" applyBorder="1" applyAlignment="1">
      <alignment horizontal="center" vertical="center"/>
    </xf>
    <xf numFmtId="3" fontId="0" fillId="7" borderId="17" xfId="0" applyNumberFormat="1" applyFont="1" applyFill="1" applyBorder="1" applyAlignment="1">
      <alignment horizontal="center" vertical="center"/>
    </xf>
    <xf numFmtId="3" fontId="2" fillId="7" borderId="18" xfId="0" applyNumberFormat="1" applyFont="1" applyFill="1" applyBorder="1" applyAlignment="1">
      <alignment horizontal="center" vertical="center"/>
    </xf>
    <xf numFmtId="0" fontId="2" fillId="7" borderId="19" xfId="0" applyNumberFormat="1" applyFont="1" applyFill="1" applyBorder="1" applyAlignment="1">
      <alignment horizontal="center" vertical="center"/>
    </xf>
    <xf numFmtId="3" fontId="2" fillId="7" borderId="20" xfId="0" applyNumberFormat="1" applyFont="1" applyFill="1" applyBorder="1" applyAlignment="1">
      <alignment horizontal="center" vertical="center"/>
    </xf>
    <xf numFmtId="0" fontId="0" fillId="7" borderId="0" xfId="0" applyNumberFormat="1" applyFont="1" applyFill="1" applyBorder="1" applyAlignment="1">
      <alignment horizontal="center" vertical="center"/>
    </xf>
    <xf numFmtId="3" fontId="0" fillId="7" borderId="21" xfId="0" applyNumberFormat="1" applyFont="1" applyFill="1" applyBorder="1" applyAlignment="1">
      <alignment horizontal="center" vertical="center"/>
    </xf>
    <xf numFmtId="3" fontId="0" fillId="7" borderId="22" xfId="0" applyNumberFormat="1" applyFont="1" applyFill="1" applyBorder="1" applyAlignment="1">
      <alignment horizontal="center" vertical="center"/>
    </xf>
    <xf numFmtId="3" fontId="0" fillId="7" borderId="23" xfId="0" applyNumberFormat="1" applyFont="1" applyFill="1" applyBorder="1" applyAlignment="1">
      <alignment horizontal="center" vertical="center"/>
    </xf>
    <xf numFmtId="3" fontId="2" fillId="7" borderId="24" xfId="0" applyNumberFormat="1" applyFont="1" applyFill="1" applyBorder="1" applyAlignment="1">
      <alignment horizontal="center" vertical="center"/>
    </xf>
    <xf numFmtId="0" fontId="2" fillId="7" borderId="7" xfId="0" applyNumberFormat="1" applyFont="1" applyFill="1" applyBorder="1" applyAlignment="1">
      <alignment horizontal="center" vertical="center"/>
    </xf>
    <xf numFmtId="165" fontId="2" fillId="7" borderId="3" xfId="0" applyNumberFormat="1" applyFont="1" applyFill="1" applyBorder="1" applyAlignment="1">
      <alignment horizontal="center" vertical="center"/>
    </xf>
    <xf numFmtId="0" fontId="0" fillId="7" borderId="1" xfId="0" applyNumberFormat="1" applyFont="1" applyFill="1" applyBorder="1" applyAlignment="1">
      <alignment horizontal="center" vertical="center"/>
    </xf>
    <xf numFmtId="165" fontId="0" fillId="7" borderId="25" xfId="0" applyNumberFormat="1" applyFont="1" applyFill="1" applyBorder="1" applyAlignment="1">
      <alignment horizontal="center" vertical="center"/>
    </xf>
    <xf numFmtId="165" fontId="0" fillId="7" borderId="26" xfId="0" applyNumberFormat="1" applyFont="1" applyFill="1" applyBorder="1" applyAlignment="1">
      <alignment horizontal="center" vertical="center"/>
    </xf>
    <xf numFmtId="165" fontId="0" fillId="7" borderId="27" xfId="0" applyNumberFormat="1" applyFont="1" applyFill="1" applyBorder="1" applyAlignment="1">
      <alignment horizontal="center" vertical="center"/>
    </xf>
    <xf numFmtId="0" fontId="2" fillId="8" borderId="5" xfId="0" applyNumberFormat="1" applyFont="1" applyFill="1" applyBorder="1" applyAlignment="1">
      <alignment horizontal="center" vertical="center"/>
    </xf>
    <xf numFmtId="3" fontId="2" fillId="8" borderId="2" xfId="0" applyNumberFormat="1" applyFont="1" applyFill="1" applyBorder="1" applyAlignment="1">
      <alignment horizontal="center" vertical="center"/>
    </xf>
    <xf numFmtId="0" fontId="0" fillId="8" borderId="14" xfId="0" applyNumberFormat="1" applyFont="1" applyFill="1" applyBorder="1" applyAlignment="1">
      <alignment horizontal="center" vertical="center"/>
    </xf>
    <xf numFmtId="3" fontId="0" fillId="8" borderId="15" xfId="0" applyNumberFormat="1" applyFont="1" applyFill="1" applyBorder="1" applyAlignment="1">
      <alignment horizontal="center" vertical="center"/>
    </xf>
    <xf numFmtId="3" fontId="0" fillId="8" borderId="16" xfId="0" applyNumberFormat="1" applyFont="1" applyFill="1" applyBorder="1" applyAlignment="1">
      <alignment horizontal="center" vertical="center"/>
    </xf>
    <xf numFmtId="3" fontId="0" fillId="8" borderId="17" xfId="0" applyNumberFormat="1" applyFont="1" applyFill="1" applyBorder="1" applyAlignment="1">
      <alignment horizontal="center" vertical="center"/>
    </xf>
    <xf numFmtId="3" fontId="2" fillId="8" borderId="18" xfId="0" applyNumberFormat="1" applyFont="1" applyFill="1" applyBorder="1" applyAlignment="1">
      <alignment horizontal="center" vertical="center"/>
    </xf>
    <xf numFmtId="0" fontId="2" fillId="8" borderId="19" xfId="0" applyNumberFormat="1" applyFont="1" applyFill="1" applyBorder="1" applyAlignment="1">
      <alignment horizontal="center" vertical="center"/>
    </xf>
    <xf numFmtId="3" fontId="2" fillId="8" borderId="20" xfId="0" applyNumberFormat="1" applyFont="1" applyFill="1" applyBorder="1" applyAlignment="1">
      <alignment horizontal="center" vertical="center"/>
    </xf>
    <xf numFmtId="0" fontId="0" fillId="8" borderId="0" xfId="0" applyNumberFormat="1" applyFont="1" applyFill="1" applyBorder="1" applyAlignment="1">
      <alignment horizontal="center" vertical="center"/>
    </xf>
    <xf numFmtId="3" fontId="0" fillId="8" borderId="21" xfId="0" applyNumberFormat="1" applyFont="1" applyFill="1" applyBorder="1" applyAlignment="1">
      <alignment horizontal="center" vertical="center"/>
    </xf>
    <xf numFmtId="3" fontId="0" fillId="8" borderId="22" xfId="0" applyNumberFormat="1" applyFont="1" applyFill="1" applyBorder="1" applyAlignment="1">
      <alignment horizontal="center" vertical="center"/>
    </xf>
    <xf numFmtId="3" fontId="0" fillId="8" borderId="23" xfId="0" applyNumberFormat="1" applyFont="1" applyFill="1" applyBorder="1" applyAlignment="1">
      <alignment horizontal="center" vertical="center"/>
    </xf>
    <xf numFmtId="3" fontId="2" fillId="8" borderId="24" xfId="0" applyNumberFormat="1" applyFont="1" applyFill="1" applyBorder="1" applyAlignment="1">
      <alignment horizontal="center" vertical="center"/>
    </xf>
    <xf numFmtId="0" fontId="2" fillId="8" borderId="7" xfId="0" applyNumberFormat="1" applyFont="1" applyFill="1" applyBorder="1" applyAlignment="1">
      <alignment horizontal="center" vertical="center"/>
    </xf>
    <xf numFmtId="165" fontId="2" fillId="8" borderId="3" xfId="0" applyNumberFormat="1" applyFont="1" applyFill="1" applyBorder="1" applyAlignment="1">
      <alignment horizontal="center" vertical="center"/>
    </xf>
    <xf numFmtId="0" fontId="0" fillId="8" borderId="1" xfId="0" applyNumberFormat="1" applyFont="1" applyFill="1" applyBorder="1" applyAlignment="1">
      <alignment horizontal="center" vertical="center"/>
    </xf>
    <xf numFmtId="165" fontId="0" fillId="8" borderId="25" xfId="0" applyNumberFormat="1" applyFont="1" applyFill="1" applyBorder="1" applyAlignment="1">
      <alignment horizontal="center" vertical="center"/>
    </xf>
    <xf numFmtId="165" fontId="0" fillId="8" borderId="26" xfId="0" applyNumberFormat="1" applyFont="1" applyFill="1" applyBorder="1" applyAlignment="1">
      <alignment horizontal="center" vertical="center"/>
    </xf>
    <xf numFmtId="165" fontId="0" fillId="8" borderId="27" xfId="0" applyNumberFormat="1" applyFont="1" applyFill="1" applyBorder="1" applyAlignment="1">
      <alignment horizontal="center" vertical="center"/>
    </xf>
    <xf numFmtId="0" fontId="2" fillId="9" borderId="5" xfId="0" applyNumberFormat="1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/>
    </xf>
    <xf numFmtId="0" fontId="0" fillId="9" borderId="14" xfId="0" applyNumberFormat="1" applyFont="1" applyFill="1" applyBorder="1" applyAlignment="1">
      <alignment horizontal="center" vertical="center"/>
    </xf>
    <xf numFmtId="3" fontId="0" fillId="9" borderId="15" xfId="0" applyNumberFormat="1" applyFont="1" applyFill="1" applyBorder="1" applyAlignment="1">
      <alignment horizontal="center" vertical="center"/>
    </xf>
    <xf numFmtId="3" fontId="0" fillId="9" borderId="16" xfId="0" applyNumberFormat="1" applyFont="1" applyFill="1" applyBorder="1" applyAlignment="1">
      <alignment horizontal="center" vertical="center"/>
    </xf>
    <xf numFmtId="3" fontId="0" fillId="9" borderId="17" xfId="0" applyNumberFormat="1" applyFont="1" applyFill="1" applyBorder="1" applyAlignment="1">
      <alignment horizontal="center" vertical="center"/>
    </xf>
    <xf numFmtId="3" fontId="2" fillId="9" borderId="18" xfId="0" applyNumberFormat="1" applyFont="1" applyFill="1" applyBorder="1" applyAlignment="1">
      <alignment horizontal="center" vertical="center"/>
    </xf>
    <xf numFmtId="0" fontId="2" fillId="9" borderId="19" xfId="0" applyNumberFormat="1" applyFont="1" applyFill="1" applyBorder="1" applyAlignment="1">
      <alignment horizontal="center" vertical="center"/>
    </xf>
    <xf numFmtId="3" fontId="2" fillId="9" borderId="20" xfId="0" applyNumberFormat="1" applyFont="1" applyFill="1" applyBorder="1" applyAlignment="1">
      <alignment horizontal="center" vertical="center"/>
    </xf>
    <xf numFmtId="0" fontId="0" fillId="9" borderId="0" xfId="0" applyNumberFormat="1" applyFont="1" applyFill="1" applyBorder="1" applyAlignment="1">
      <alignment horizontal="center" vertical="center"/>
    </xf>
    <xf numFmtId="3" fontId="0" fillId="9" borderId="21" xfId="0" applyNumberFormat="1" applyFont="1" applyFill="1" applyBorder="1" applyAlignment="1">
      <alignment horizontal="center" vertical="center"/>
    </xf>
    <xf numFmtId="3" fontId="0" fillId="9" borderId="22" xfId="0" applyNumberFormat="1" applyFont="1" applyFill="1" applyBorder="1" applyAlignment="1">
      <alignment horizontal="center" vertical="center"/>
    </xf>
    <xf numFmtId="3" fontId="0" fillId="9" borderId="23" xfId="0" applyNumberFormat="1" applyFont="1" applyFill="1" applyBorder="1" applyAlignment="1">
      <alignment horizontal="center" vertical="center"/>
    </xf>
    <xf numFmtId="3" fontId="2" fillId="9" borderId="24" xfId="0" applyNumberFormat="1" applyFont="1" applyFill="1" applyBorder="1" applyAlignment="1">
      <alignment horizontal="center" vertical="center"/>
    </xf>
    <xf numFmtId="0" fontId="2" fillId="9" borderId="7" xfId="0" applyNumberFormat="1" applyFont="1" applyFill="1" applyBorder="1" applyAlignment="1">
      <alignment horizontal="center" vertical="center"/>
    </xf>
    <xf numFmtId="3" fontId="2" fillId="9" borderId="3" xfId="0" applyNumberFormat="1" applyFont="1" applyFill="1" applyBorder="1" applyAlignment="1">
      <alignment horizontal="center" vertical="center"/>
    </xf>
    <xf numFmtId="0" fontId="0" fillId="9" borderId="1" xfId="0" applyNumberFormat="1" applyFont="1" applyFill="1" applyBorder="1" applyAlignment="1">
      <alignment horizontal="center" vertical="center"/>
    </xf>
    <xf numFmtId="3" fontId="0" fillId="9" borderId="25" xfId="0" applyNumberFormat="1" applyFont="1" applyFill="1" applyBorder="1" applyAlignment="1">
      <alignment horizontal="center" vertical="center"/>
    </xf>
    <xf numFmtId="3" fontId="0" fillId="9" borderId="26" xfId="0" applyNumberFormat="1" applyFont="1" applyFill="1" applyBorder="1" applyAlignment="1">
      <alignment horizontal="center" vertical="center"/>
    </xf>
    <xf numFmtId="3" fontId="0" fillId="9" borderId="27" xfId="0" applyNumberFormat="1" applyFont="1" applyFill="1" applyBorder="1" applyAlignment="1">
      <alignment horizontal="center" vertical="center"/>
    </xf>
    <xf numFmtId="9" fontId="2" fillId="7" borderId="3" xfId="0" applyNumberFormat="1" applyFont="1" applyFill="1" applyBorder="1" applyAlignment="1">
      <alignment horizontal="center" vertical="center"/>
    </xf>
    <xf numFmtId="9" fontId="0" fillId="7" borderId="25" xfId="0" applyNumberFormat="1" applyFont="1" applyFill="1" applyBorder="1" applyAlignment="1">
      <alignment horizontal="center" vertical="center"/>
    </xf>
    <xf numFmtId="9" fontId="0" fillId="7" borderId="26" xfId="0" applyNumberFormat="1" applyFont="1" applyFill="1" applyBorder="1" applyAlignment="1">
      <alignment horizontal="center" vertical="center"/>
    </xf>
    <xf numFmtId="9" fontId="0" fillId="7" borderId="27" xfId="0" applyNumberFormat="1" applyFont="1" applyFill="1" applyBorder="1" applyAlignment="1">
      <alignment horizontal="center" vertical="center"/>
    </xf>
    <xf numFmtId="0" fontId="2" fillId="10" borderId="5" xfId="0" applyNumberFormat="1" applyFont="1" applyFill="1" applyBorder="1" applyAlignment="1">
      <alignment horizontal="center" vertical="center"/>
    </xf>
    <xf numFmtId="3" fontId="2" fillId="10" borderId="2" xfId="0" applyNumberFormat="1" applyFont="1" applyFill="1" applyBorder="1" applyAlignment="1">
      <alignment horizontal="center" vertical="center"/>
    </xf>
    <xf numFmtId="0" fontId="0" fillId="10" borderId="14" xfId="0" applyNumberFormat="1" applyFont="1" applyFill="1" applyBorder="1" applyAlignment="1">
      <alignment horizontal="center" vertical="center"/>
    </xf>
    <xf numFmtId="3" fontId="0" fillId="10" borderId="15" xfId="0" applyNumberFormat="1" applyFont="1" applyFill="1" applyBorder="1" applyAlignment="1">
      <alignment horizontal="center" vertical="center"/>
    </xf>
    <xf numFmtId="3" fontId="0" fillId="10" borderId="16" xfId="0" applyNumberFormat="1" applyFont="1" applyFill="1" applyBorder="1" applyAlignment="1">
      <alignment horizontal="center" vertical="center"/>
    </xf>
    <xf numFmtId="3" fontId="0" fillId="10" borderId="17" xfId="0" applyNumberFormat="1" applyFont="1" applyFill="1" applyBorder="1" applyAlignment="1">
      <alignment horizontal="center" vertical="center"/>
    </xf>
    <xf numFmtId="3" fontId="2" fillId="10" borderId="18" xfId="0" applyNumberFormat="1" applyFont="1" applyFill="1" applyBorder="1" applyAlignment="1">
      <alignment horizontal="center" vertical="center"/>
    </xf>
    <xf numFmtId="0" fontId="2" fillId="10" borderId="19" xfId="0" applyNumberFormat="1" applyFont="1" applyFill="1" applyBorder="1" applyAlignment="1">
      <alignment horizontal="center" vertical="center"/>
    </xf>
    <xf numFmtId="3" fontId="2" fillId="10" borderId="20" xfId="0" applyNumberFormat="1" applyFont="1" applyFill="1" applyBorder="1" applyAlignment="1">
      <alignment horizontal="center" vertical="center"/>
    </xf>
    <xf numFmtId="0" fontId="0" fillId="10" borderId="0" xfId="0" applyNumberFormat="1" applyFont="1" applyFill="1" applyBorder="1" applyAlignment="1">
      <alignment horizontal="center" vertical="center"/>
    </xf>
    <xf numFmtId="3" fontId="0" fillId="10" borderId="21" xfId="0" applyNumberFormat="1" applyFont="1" applyFill="1" applyBorder="1" applyAlignment="1">
      <alignment horizontal="center" vertical="center"/>
    </xf>
    <xf numFmtId="3" fontId="0" fillId="10" borderId="22" xfId="0" applyNumberFormat="1" applyFont="1" applyFill="1" applyBorder="1" applyAlignment="1">
      <alignment horizontal="center" vertical="center"/>
    </xf>
    <xf numFmtId="3" fontId="0" fillId="10" borderId="23" xfId="0" applyNumberFormat="1" applyFont="1" applyFill="1" applyBorder="1" applyAlignment="1">
      <alignment horizontal="center" vertical="center"/>
    </xf>
    <xf numFmtId="3" fontId="2" fillId="10" borderId="24" xfId="0" applyNumberFormat="1" applyFont="1" applyFill="1" applyBorder="1" applyAlignment="1">
      <alignment horizontal="center" vertical="center"/>
    </xf>
    <xf numFmtId="0" fontId="2" fillId="10" borderId="7" xfId="0" applyNumberFormat="1" applyFont="1" applyFill="1" applyBorder="1" applyAlignment="1">
      <alignment horizontal="center" vertical="center"/>
    </xf>
    <xf numFmtId="3" fontId="2" fillId="10" borderId="3" xfId="0" applyNumberFormat="1" applyFont="1" applyFill="1" applyBorder="1" applyAlignment="1">
      <alignment horizontal="center" vertical="center"/>
    </xf>
    <xf numFmtId="0" fontId="0" fillId="10" borderId="1" xfId="0" applyNumberFormat="1" applyFont="1" applyFill="1" applyBorder="1" applyAlignment="1">
      <alignment horizontal="center" vertical="center"/>
    </xf>
    <xf numFmtId="3" fontId="0" fillId="10" borderId="25" xfId="0" applyNumberFormat="1" applyFont="1" applyFill="1" applyBorder="1" applyAlignment="1">
      <alignment horizontal="center" vertical="center"/>
    </xf>
    <xf numFmtId="3" fontId="0" fillId="10" borderId="26" xfId="0" applyNumberFormat="1" applyFont="1" applyFill="1" applyBorder="1" applyAlignment="1">
      <alignment horizontal="center" vertical="center"/>
    </xf>
    <xf numFmtId="3" fontId="0" fillId="10" borderId="27" xfId="0" applyNumberFormat="1" applyFont="1" applyFill="1" applyBorder="1" applyAlignment="1">
      <alignment horizontal="center" vertical="center"/>
    </xf>
    <xf numFmtId="0" fontId="2" fillId="7" borderId="2" xfId="0" applyNumberFormat="1" applyFont="1" applyFill="1" applyBorder="1" applyAlignment="1">
      <alignment horizontal="center" vertical="center"/>
    </xf>
    <xf numFmtId="0" fontId="2" fillId="7" borderId="20" xfId="0" applyNumberFormat="1" applyFont="1" applyFill="1" applyBorder="1" applyAlignment="1">
      <alignment horizontal="center" vertical="center"/>
    </xf>
    <xf numFmtId="0" fontId="2" fillId="7" borderId="3" xfId="0" applyNumberFormat="1" applyFont="1" applyFill="1" applyBorder="1" applyAlignment="1">
      <alignment horizontal="center" vertical="center"/>
    </xf>
    <xf numFmtId="0" fontId="2" fillId="8" borderId="2" xfId="0" applyNumberFormat="1" applyFont="1" applyFill="1" applyBorder="1" applyAlignment="1">
      <alignment horizontal="center" vertical="center"/>
    </xf>
    <xf numFmtId="0" fontId="2" fillId="8" borderId="20" xfId="0" applyNumberFormat="1" applyFont="1" applyFill="1" applyBorder="1" applyAlignment="1">
      <alignment horizontal="center" vertical="center"/>
    </xf>
    <xf numFmtId="0" fontId="2" fillId="8" borderId="3" xfId="0" applyNumberFormat="1" applyFont="1" applyFill="1" applyBorder="1" applyAlignment="1">
      <alignment horizontal="center" vertical="center"/>
    </xf>
    <xf numFmtId="0" fontId="2" fillId="9" borderId="2" xfId="0" applyNumberFormat="1" applyFont="1" applyFill="1" applyBorder="1" applyAlignment="1">
      <alignment horizontal="center" vertical="center"/>
    </xf>
    <xf numFmtId="0" fontId="2" fillId="9" borderId="20" xfId="0" applyNumberFormat="1" applyFont="1" applyFill="1" applyBorder="1" applyAlignment="1">
      <alignment horizontal="center" vertical="center"/>
    </xf>
    <xf numFmtId="0" fontId="2" fillId="9" borderId="3" xfId="0" applyNumberFormat="1" applyFont="1" applyFill="1" applyBorder="1" applyAlignment="1">
      <alignment horizontal="center" vertical="center"/>
    </xf>
    <xf numFmtId="0" fontId="2" fillId="10" borderId="2" xfId="0" applyNumberFormat="1" applyFont="1" applyFill="1" applyBorder="1" applyAlignment="1">
      <alignment horizontal="center" vertical="center"/>
    </xf>
    <xf numFmtId="0" fontId="2" fillId="10" borderId="20" xfId="0" applyNumberFormat="1" applyFont="1" applyFill="1" applyBorder="1" applyAlignment="1">
      <alignment horizontal="center" vertical="center"/>
    </xf>
    <xf numFmtId="0" fontId="2" fillId="1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20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 vertical="center"/>
    </xf>
    <xf numFmtId="0" fontId="6" fillId="11" borderId="28" xfId="0" applyNumberFormat="1" applyFont="1" applyFill="1" applyBorder="1" applyAlignment="1">
      <alignment horizontal="center" vertical="center" wrapText="1"/>
    </xf>
    <xf numFmtId="166" fontId="7" fillId="12" borderId="29" xfId="0" applyNumberFormat="1" applyFont="1" applyFill="1" applyBorder="1" applyAlignment="1">
      <alignment horizontal="center" vertical="center"/>
    </xf>
    <xf numFmtId="0" fontId="7" fillId="12" borderId="29" xfId="0" applyNumberFormat="1" applyFont="1" applyFill="1" applyBorder="1" applyAlignment="1">
      <alignment horizontal="left" vertical="center"/>
    </xf>
    <xf numFmtId="3" fontId="7" fillId="12" borderId="29" xfId="0" applyNumberFormat="1" applyFont="1" applyFill="1" applyBorder="1" applyAlignment="1">
      <alignment horizontal="center" vertical="center"/>
    </xf>
    <xf numFmtId="4" fontId="7" fillId="12" borderId="29" xfId="0" applyNumberFormat="1" applyFont="1" applyFill="1" applyBorder="1" applyAlignment="1">
      <alignment horizontal="center" vertical="center"/>
    </xf>
    <xf numFmtId="0" fontId="7" fillId="12" borderId="29" xfId="0" applyNumberFormat="1" applyFont="1" applyFill="1" applyBorder="1" applyAlignment="1">
      <alignment horizontal="center" vertical="center"/>
    </xf>
    <xf numFmtId="166" fontId="0" fillId="13" borderId="29" xfId="0" applyNumberFormat="1" applyFont="1" applyFill="1" applyBorder="1" applyAlignment="1">
      <alignment horizontal="center" vertical="center"/>
    </xf>
    <xf numFmtId="0" fontId="0" fillId="13" borderId="29" xfId="0" applyNumberFormat="1" applyFont="1" applyFill="1" applyBorder="1" applyAlignment="1">
      <alignment horizontal="left" vertical="center"/>
    </xf>
    <xf numFmtId="3" fontId="0" fillId="13" borderId="29" xfId="0" applyNumberFormat="1" applyFont="1" applyFill="1" applyBorder="1" applyAlignment="1">
      <alignment horizontal="center" vertical="center"/>
    </xf>
    <xf numFmtId="4" fontId="0" fillId="13" borderId="29" xfId="0" applyNumberFormat="1" applyFont="1" applyFill="1" applyBorder="1" applyAlignment="1">
      <alignment horizontal="center" vertical="center"/>
    </xf>
    <xf numFmtId="0" fontId="0" fillId="13" borderId="29" xfId="0" applyNumberFormat="1" applyFont="1" applyFill="1" applyBorder="1" applyAlignment="1">
      <alignment horizontal="center" vertical="center"/>
    </xf>
    <xf numFmtId="166" fontId="0" fillId="0" borderId="29" xfId="0" applyNumberFormat="1" applyFont="1" applyFill="1" applyBorder="1" applyAlignment="1">
      <alignment horizontal="center" vertical="center"/>
    </xf>
    <xf numFmtId="0" fontId="0" fillId="0" borderId="29" xfId="0" applyNumberFormat="1" applyFont="1" applyFill="1" applyBorder="1" applyAlignment="1">
      <alignment horizontal="left" vertical="center"/>
    </xf>
    <xf numFmtId="3" fontId="0" fillId="0" borderId="29" xfId="0" applyNumberFormat="1" applyFont="1" applyFill="1" applyBorder="1" applyAlignment="1">
      <alignment horizontal="center" vertical="center"/>
    </xf>
    <xf numFmtId="4" fontId="0" fillId="0" borderId="29" xfId="0" applyNumberFormat="1" applyFont="1" applyFill="1" applyBorder="1" applyAlignment="1">
      <alignment horizontal="center" vertical="center"/>
    </xf>
    <xf numFmtId="0" fontId="0" fillId="0" borderId="29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center" vertical="center"/>
    </xf>
    <xf numFmtId="3" fontId="10" fillId="14" borderId="0" xfId="0" applyNumberFormat="1" applyFont="1" applyFill="1" applyBorder="1" applyAlignment="1">
      <alignment horizontal="left" vertical="center"/>
    </xf>
    <xf numFmtId="9" fontId="10" fillId="14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166" fontId="9" fillId="0" borderId="0" xfId="0" applyNumberFormat="1" applyFont="1" applyFill="1" applyBorder="1" applyAlignment="1">
      <alignment horizontal="center" vertical="center"/>
    </xf>
    <xf numFmtId="1" fontId="10" fillId="14" borderId="0" xfId="0" applyNumberFormat="1" applyFont="1" applyFill="1" applyBorder="1" applyAlignment="1">
      <alignment horizontal="left" vertical="center"/>
    </xf>
    <xf numFmtId="0" fontId="11" fillId="11" borderId="0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3" fontId="13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center" vertical="center"/>
    </xf>
    <xf numFmtId="167" fontId="9" fillId="0" borderId="0" xfId="0" applyNumberFormat="1" applyFont="1" applyFill="1" applyBorder="1" applyAlignment="1">
      <alignment horizontal="center" vertical="center"/>
    </xf>
    <xf numFmtId="3" fontId="9" fillId="0" borderId="0" xfId="0" applyNumberFormat="1" applyFont="1" applyFill="1" applyBorder="1" applyAlignment="1">
      <alignment horizontal="center" vertical="center"/>
    </xf>
    <xf numFmtId="4" fontId="9" fillId="0" borderId="0" xfId="0" applyNumberFormat="1" applyFont="1" applyFill="1" applyBorder="1" applyAlignment="1">
      <alignment horizontal="center" vertical="center"/>
    </xf>
    <xf numFmtId="168" fontId="9" fillId="0" borderId="0" xfId="0" applyNumberFormat="1" applyFont="1" applyFill="1" applyBorder="1" applyAlignment="1">
      <alignment horizontal="center" vertical="center"/>
    </xf>
    <xf numFmtId="169" fontId="9" fillId="0" borderId="0" xfId="0" applyNumberFormat="1" applyFont="1" applyFill="1" applyBorder="1" applyAlignment="1">
      <alignment horizontal="center" vertical="center"/>
    </xf>
    <xf numFmtId="165" fontId="9" fillId="0" borderId="0" xfId="0" applyNumberFormat="1" applyFont="1" applyFill="1" applyBorder="1" applyAlignment="1">
      <alignment horizontal="center" vertical="center"/>
    </xf>
    <xf numFmtId="9" fontId="9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left" vertical="center"/>
    </xf>
    <xf numFmtId="3" fontId="10" fillId="14" borderId="0" xfId="0" applyNumberFormat="1" applyFont="1" applyFill="1" applyBorder="1" applyAlignment="1">
      <alignment horizontal="center" vertical="center"/>
    </xf>
    <xf numFmtId="9" fontId="10" fillId="14" borderId="0" xfId="0" applyNumberFormat="1" applyFont="1" applyFill="1" applyBorder="1" applyAlignment="1">
      <alignment horizontal="center" vertical="center"/>
    </xf>
    <xf numFmtId="0" fontId="4" fillId="15" borderId="30" xfId="0" applyNumberFormat="1" applyFont="1" applyFill="1" applyBorder="1" applyAlignment="1">
      <alignment horizontal="left" vertical="center"/>
    </xf>
    <xf numFmtId="0" fontId="4" fillId="15" borderId="0" xfId="0" applyNumberFormat="1" applyFont="1" applyFill="1" applyBorder="1" applyAlignment="1">
      <alignment horizontal="left" vertical="center"/>
    </xf>
    <xf numFmtId="3" fontId="4" fillId="15" borderId="30" xfId="0" applyNumberFormat="1" applyFont="1" applyFill="1" applyBorder="1" applyAlignment="1">
      <alignment horizontal="center" vertical="center"/>
    </xf>
    <xf numFmtId="165" fontId="9" fillId="15" borderId="0" xfId="0" applyNumberFormat="1" applyFont="1" applyFill="1" applyBorder="1" applyAlignment="1">
      <alignment horizontal="center" vertical="center"/>
    </xf>
    <xf numFmtId="3" fontId="9" fillId="15" borderId="0" xfId="0" applyNumberFormat="1" applyFont="1" applyFill="1" applyBorder="1" applyAlignment="1">
      <alignment horizontal="center" vertical="center"/>
    </xf>
    <xf numFmtId="169" fontId="9" fillId="15" borderId="0" xfId="0" applyNumberFormat="1" applyFont="1" applyFill="1" applyBorder="1" applyAlignment="1">
      <alignment horizontal="center" vertical="center"/>
    </xf>
    <xf numFmtId="9" fontId="9" fillId="15" borderId="0" xfId="0" applyNumberFormat="1" applyFont="1" applyFill="1" applyBorder="1" applyAlignment="1">
      <alignment horizontal="center" vertical="center"/>
    </xf>
    <xf numFmtId="0" fontId="9" fillId="15" borderId="0" xfId="0" applyNumberFormat="1" applyFont="1" applyFill="1" applyBorder="1" applyAlignment="1">
      <alignment horizontal="center" vertical="center"/>
    </xf>
    <xf numFmtId="165" fontId="4" fillId="15" borderId="30" xfId="0" applyNumberFormat="1" applyFont="1" applyFill="1" applyBorder="1" applyAlignment="1">
      <alignment horizontal="center" vertical="center"/>
    </xf>
    <xf numFmtId="169" fontId="4" fillId="15" borderId="30" xfId="0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/>
    </xf>
    <xf numFmtId="9" fontId="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left" vertical="center" indent="1"/>
    </xf>
    <xf numFmtId="0" fontId="16" fillId="0" borderId="0" xfId="0" applyNumberFormat="1" applyFont="1" applyFill="1" applyBorder="1" applyAlignment="1">
      <alignment horizontal="right" vertical="center"/>
    </xf>
    <xf numFmtId="0" fontId="15" fillId="0" borderId="31" xfId="0" applyNumberFormat="1" applyFont="1" applyFill="1" applyBorder="1" applyAlignment="1">
      <alignment horizontal="left" vertical="center"/>
    </xf>
    <xf numFmtId="0" fontId="2" fillId="3" borderId="8" xfId="0" applyNumberFormat="1" applyFont="1" applyFill="1" applyBorder="1" applyAlignment="1">
      <alignment horizontal="center" vertical="center" wrapText="1"/>
    </xf>
    <xf numFmtId="0" fontId="2" fillId="3" borderId="10" xfId="0" applyNumberFormat="1" applyFont="1" applyFill="1" applyBorder="1" applyAlignment="1">
      <alignment horizontal="center" vertical="center" wrapText="1"/>
    </xf>
    <xf numFmtId="0" fontId="2" fillId="3" borderId="9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2" fillId="4" borderId="10" xfId="0" applyNumberFormat="1" applyFont="1" applyFill="1" applyBorder="1" applyAlignment="1">
      <alignment horizontal="center" vertical="center" wrapText="1"/>
    </xf>
    <xf numFmtId="0" fontId="2" fillId="4" borderId="9" xfId="0" applyNumberFormat="1" applyFont="1" applyFill="1" applyBorder="1" applyAlignment="1">
      <alignment horizontal="center" vertical="center" wrapText="1"/>
    </xf>
    <xf numFmtId="0" fontId="2" fillId="7" borderId="14" xfId="0" applyNumberFormat="1" applyFont="1" applyFill="1" applyBorder="1" applyAlignment="1">
      <alignment horizontal="left" vertical="center" indent="1"/>
    </xf>
    <xf numFmtId="0" fontId="2" fillId="7" borderId="32" xfId="0" applyNumberFormat="1" applyFont="1" applyFill="1" applyBorder="1" applyAlignment="1">
      <alignment horizontal="left" vertical="center" indent="1"/>
    </xf>
    <xf numFmtId="3" fontId="2" fillId="7" borderId="14" xfId="0" applyNumberFormat="1" applyFont="1" applyFill="1" applyBorder="1" applyAlignment="1">
      <alignment horizontal="center" vertical="center"/>
    </xf>
    <xf numFmtId="3" fontId="2" fillId="7" borderId="32" xfId="0" applyNumberFormat="1" applyFont="1" applyFill="1" applyBorder="1" applyAlignment="1">
      <alignment horizontal="center" vertical="center"/>
    </xf>
    <xf numFmtId="3" fontId="3" fillId="7" borderId="14" xfId="0" applyNumberFormat="1" applyFont="1" applyFill="1" applyBorder="1" applyAlignment="1">
      <alignment horizontal="center" vertical="center"/>
    </xf>
    <xf numFmtId="3" fontId="3" fillId="7" borderId="32" xfId="0" applyNumberFormat="1" applyFont="1" applyFill="1" applyBorder="1" applyAlignment="1">
      <alignment horizontal="center" vertical="center"/>
    </xf>
    <xf numFmtId="165" fontId="0" fillId="7" borderId="14" xfId="0" applyNumberFormat="1" applyFont="1" applyFill="1" applyBorder="1" applyAlignment="1">
      <alignment horizontal="center" vertical="center"/>
    </xf>
    <xf numFmtId="165" fontId="0" fillId="7" borderId="32" xfId="0" applyNumberFormat="1" applyFont="1" applyFill="1" applyBorder="1" applyAlignment="1">
      <alignment horizontal="center" vertical="center"/>
    </xf>
    <xf numFmtId="3" fontId="0" fillId="7" borderId="14" xfId="0" applyNumberFormat="1" applyFont="1" applyFill="1" applyBorder="1" applyAlignment="1">
      <alignment horizontal="center" vertical="center"/>
    </xf>
    <xf numFmtId="3" fontId="0" fillId="7" borderId="32" xfId="0" applyNumberFormat="1" applyFont="1" applyFill="1" applyBorder="1" applyAlignment="1">
      <alignment horizontal="center" vertical="center"/>
    </xf>
    <xf numFmtId="170" fontId="2" fillId="7" borderId="14" xfId="0" applyNumberFormat="1" applyFont="1" applyFill="1" applyBorder="1" applyAlignment="1">
      <alignment horizontal="center" vertical="center"/>
    </xf>
    <xf numFmtId="170" fontId="2" fillId="7" borderId="32" xfId="0" applyNumberFormat="1" applyFont="1" applyFill="1" applyBorder="1" applyAlignment="1">
      <alignment horizontal="center" vertical="center"/>
    </xf>
    <xf numFmtId="9" fontId="0" fillId="7" borderId="14" xfId="0" applyNumberFormat="1" applyFont="1" applyFill="1" applyBorder="1" applyAlignment="1">
      <alignment horizontal="center" vertical="center"/>
    </xf>
    <xf numFmtId="9" fontId="0" fillId="7" borderId="32" xfId="0" applyNumberFormat="1" applyFont="1" applyFill="1" applyBorder="1" applyAlignment="1">
      <alignment horizontal="center" vertical="center"/>
    </xf>
    <xf numFmtId="0" fontId="4" fillId="7" borderId="14" xfId="0" applyNumberFormat="1" applyFont="1" applyFill="1" applyBorder="1" applyAlignment="1">
      <alignment horizontal="center" vertical="center"/>
    </xf>
    <xf numFmtId="0" fontId="4" fillId="7" borderId="32" xfId="0" applyNumberFormat="1" applyFont="1" applyFill="1" applyBorder="1" applyAlignment="1">
      <alignment horizontal="center" vertical="center"/>
    </xf>
    <xf numFmtId="0" fontId="4" fillId="7" borderId="5" xfId="0" applyNumberFormat="1" applyFont="1" applyFill="1" applyBorder="1" applyAlignment="1">
      <alignment horizontal="center" vertical="center"/>
    </xf>
    <xf numFmtId="0" fontId="2" fillId="7" borderId="33" xfId="0" applyNumberFormat="1" applyFont="1" applyFill="1" applyBorder="1" applyAlignment="1">
      <alignment horizontal="left" vertical="center" indent="1"/>
    </xf>
    <xf numFmtId="0" fontId="2" fillId="7" borderId="34" xfId="0" applyNumberFormat="1" applyFont="1" applyFill="1" applyBorder="1" applyAlignment="1">
      <alignment horizontal="left" vertical="center" indent="1"/>
    </xf>
    <xf numFmtId="3" fontId="2" fillId="7" borderId="33" xfId="0" applyNumberFormat="1" applyFont="1" applyFill="1" applyBorder="1" applyAlignment="1">
      <alignment horizontal="center" vertical="center"/>
    </xf>
    <xf numFmtId="3" fontId="2" fillId="7" borderId="34" xfId="0" applyNumberFormat="1" applyFont="1" applyFill="1" applyBorder="1" applyAlignment="1">
      <alignment horizontal="center" vertical="center"/>
    </xf>
    <xf numFmtId="3" fontId="3" fillId="7" borderId="33" xfId="0" applyNumberFormat="1" applyFont="1" applyFill="1" applyBorder="1" applyAlignment="1">
      <alignment horizontal="center" vertical="center"/>
    </xf>
    <xf numFmtId="3" fontId="3" fillId="7" borderId="34" xfId="0" applyNumberFormat="1" applyFont="1" applyFill="1" applyBorder="1" applyAlignment="1">
      <alignment horizontal="center" vertical="center"/>
    </xf>
    <xf numFmtId="165" fontId="0" fillId="7" borderId="33" xfId="0" applyNumberFormat="1" applyFont="1" applyFill="1" applyBorder="1" applyAlignment="1">
      <alignment horizontal="center" vertical="center"/>
    </xf>
    <xf numFmtId="165" fontId="0" fillId="7" borderId="34" xfId="0" applyNumberFormat="1" applyFont="1" applyFill="1" applyBorder="1" applyAlignment="1">
      <alignment horizontal="center" vertical="center"/>
    </xf>
    <xf numFmtId="3" fontId="0" fillId="7" borderId="33" xfId="0" applyNumberFormat="1" applyFont="1" applyFill="1" applyBorder="1" applyAlignment="1">
      <alignment horizontal="center" vertical="center"/>
    </xf>
    <xf numFmtId="3" fontId="0" fillId="7" borderId="34" xfId="0" applyNumberFormat="1" applyFont="1" applyFill="1" applyBorder="1" applyAlignment="1">
      <alignment horizontal="center" vertical="center"/>
    </xf>
    <xf numFmtId="170" fontId="2" fillId="7" borderId="33" xfId="0" applyNumberFormat="1" applyFont="1" applyFill="1" applyBorder="1" applyAlignment="1">
      <alignment horizontal="center" vertical="center"/>
    </xf>
    <xf numFmtId="170" fontId="2" fillId="7" borderId="34" xfId="0" applyNumberFormat="1" applyFont="1" applyFill="1" applyBorder="1" applyAlignment="1">
      <alignment horizontal="center" vertical="center"/>
    </xf>
    <xf numFmtId="9" fontId="0" fillId="7" borderId="33" xfId="0" applyNumberFormat="1" applyFont="1" applyFill="1" applyBorder="1" applyAlignment="1">
      <alignment horizontal="center" vertical="center"/>
    </xf>
    <xf numFmtId="9" fontId="0" fillId="7" borderId="34" xfId="0" applyNumberFormat="1" applyFont="1" applyFill="1" applyBorder="1" applyAlignment="1">
      <alignment horizontal="center" vertical="center"/>
    </xf>
    <xf numFmtId="0" fontId="4" fillId="7" borderId="33" xfId="0" applyNumberFormat="1" applyFont="1" applyFill="1" applyBorder="1" applyAlignment="1">
      <alignment horizontal="center" vertical="center"/>
    </xf>
    <xf numFmtId="0" fontId="4" fillId="7" borderId="34" xfId="0" applyNumberFormat="1" applyFont="1" applyFill="1" applyBorder="1" applyAlignment="1">
      <alignment horizontal="center" vertical="center"/>
    </xf>
    <xf numFmtId="0" fontId="4" fillId="7" borderId="35" xfId="0" applyNumberFormat="1" applyFont="1" applyFill="1" applyBorder="1" applyAlignment="1">
      <alignment horizontal="center" vertical="center"/>
    </xf>
    <xf numFmtId="0" fontId="2" fillId="7" borderId="36" xfId="0" applyNumberFormat="1" applyFont="1" applyFill="1" applyBorder="1" applyAlignment="1">
      <alignment horizontal="left" vertical="center" indent="1"/>
    </xf>
    <xf numFmtId="0" fontId="2" fillId="7" borderId="37" xfId="0" applyNumberFormat="1" applyFont="1" applyFill="1" applyBorder="1" applyAlignment="1">
      <alignment horizontal="left" vertical="center" indent="1"/>
    </xf>
    <xf numFmtId="3" fontId="2" fillId="7" borderId="36" xfId="0" applyNumberFormat="1" applyFont="1" applyFill="1" applyBorder="1" applyAlignment="1">
      <alignment horizontal="center" vertical="center"/>
    </xf>
    <xf numFmtId="3" fontId="2" fillId="7" borderId="37" xfId="0" applyNumberFormat="1" applyFont="1" applyFill="1" applyBorder="1" applyAlignment="1">
      <alignment horizontal="center" vertical="center"/>
    </xf>
    <xf numFmtId="165" fontId="3" fillId="7" borderId="36" xfId="0" applyNumberFormat="1" applyFont="1" applyFill="1" applyBorder="1" applyAlignment="1">
      <alignment horizontal="center" vertical="center"/>
    </xf>
    <xf numFmtId="165" fontId="3" fillId="7" borderId="37" xfId="0" applyNumberFormat="1" applyFont="1" applyFill="1" applyBorder="1" applyAlignment="1">
      <alignment horizontal="center" vertical="center"/>
    </xf>
    <xf numFmtId="165" fontId="0" fillId="7" borderId="36" xfId="0" applyNumberFormat="1" applyFont="1" applyFill="1" applyBorder="1" applyAlignment="1">
      <alignment horizontal="center" vertical="center"/>
    </xf>
    <xf numFmtId="165" fontId="0" fillId="7" borderId="37" xfId="0" applyNumberFormat="1" applyFont="1" applyFill="1" applyBorder="1" applyAlignment="1">
      <alignment horizontal="center" vertical="center"/>
    </xf>
    <xf numFmtId="170" fontId="2" fillId="7" borderId="36" xfId="0" applyNumberFormat="1" applyFont="1" applyFill="1" applyBorder="1" applyAlignment="1">
      <alignment horizontal="center" vertical="center"/>
    </xf>
    <xf numFmtId="170" fontId="2" fillId="7" borderId="37" xfId="0" applyNumberFormat="1" applyFont="1" applyFill="1" applyBorder="1" applyAlignment="1">
      <alignment horizontal="center" vertical="center"/>
    </xf>
    <xf numFmtId="9" fontId="0" fillId="7" borderId="36" xfId="0" applyNumberFormat="1" applyFont="1" applyFill="1" applyBorder="1" applyAlignment="1">
      <alignment horizontal="center" vertical="center"/>
    </xf>
    <xf numFmtId="9" fontId="0" fillId="7" borderId="37" xfId="0" applyNumberFormat="1" applyFont="1" applyFill="1" applyBorder="1" applyAlignment="1">
      <alignment horizontal="center" vertical="center"/>
    </xf>
    <xf numFmtId="0" fontId="4" fillId="7" borderId="36" xfId="0" applyNumberFormat="1" applyFont="1" applyFill="1" applyBorder="1" applyAlignment="1">
      <alignment horizontal="center" vertical="center"/>
    </xf>
    <xf numFmtId="0" fontId="4" fillId="7" borderId="37" xfId="0" applyNumberFormat="1" applyFont="1" applyFill="1" applyBorder="1" applyAlignment="1">
      <alignment horizontal="center" vertical="center"/>
    </xf>
    <xf numFmtId="0" fontId="4" fillId="7" borderId="38" xfId="0" applyNumberFormat="1" applyFont="1" applyFill="1" applyBorder="1" applyAlignment="1">
      <alignment horizontal="center" vertical="center"/>
    </xf>
    <xf numFmtId="0" fontId="2" fillId="8" borderId="14" xfId="0" applyNumberFormat="1" applyFont="1" applyFill="1" applyBorder="1" applyAlignment="1">
      <alignment horizontal="left" vertical="center" indent="1"/>
    </xf>
    <xf numFmtId="0" fontId="2" fillId="8" borderId="32" xfId="0" applyNumberFormat="1" applyFont="1" applyFill="1" applyBorder="1" applyAlignment="1">
      <alignment horizontal="left" vertical="center" indent="1"/>
    </xf>
    <xf numFmtId="3" fontId="2" fillId="8" borderId="14" xfId="0" applyNumberFormat="1" applyFont="1" applyFill="1" applyBorder="1" applyAlignment="1">
      <alignment horizontal="center" vertical="center"/>
    </xf>
    <xf numFmtId="3" fontId="2" fillId="8" borderId="32" xfId="0" applyNumberFormat="1" applyFont="1" applyFill="1" applyBorder="1" applyAlignment="1">
      <alignment horizontal="center" vertical="center"/>
    </xf>
    <xf numFmtId="3" fontId="3" fillId="8" borderId="14" xfId="0" applyNumberFormat="1" applyFont="1" applyFill="1" applyBorder="1" applyAlignment="1">
      <alignment horizontal="center" vertical="center"/>
    </xf>
    <xf numFmtId="3" fontId="3" fillId="8" borderId="32" xfId="0" applyNumberFormat="1" applyFont="1" applyFill="1" applyBorder="1" applyAlignment="1">
      <alignment horizontal="center" vertical="center"/>
    </xf>
    <xf numFmtId="165" fontId="0" fillId="8" borderId="14" xfId="0" applyNumberFormat="1" applyFont="1" applyFill="1" applyBorder="1" applyAlignment="1">
      <alignment horizontal="center" vertical="center"/>
    </xf>
    <xf numFmtId="165" fontId="0" fillId="8" borderId="32" xfId="0" applyNumberFormat="1" applyFont="1" applyFill="1" applyBorder="1" applyAlignment="1">
      <alignment horizontal="center" vertical="center"/>
    </xf>
    <xf numFmtId="3" fontId="0" fillId="8" borderId="14" xfId="0" applyNumberFormat="1" applyFont="1" applyFill="1" applyBorder="1" applyAlignment="1">
      <alignment horizontal="center" vertical="center"/>
    </xf>
    <xf numFmtId="3" fontId="0" fillId="8" borderId="32" xfId="0" applyNumberFormat="1" applyFont="1" applyFill="1" applyBorder="1" applyAlignment="1">
      <alignment horizontal="center" vertical="center"/>
    </xf>
    <xf numFmtId="170" fontId="2" fillId="8" borderId="14" xfId="0" applyNumberFormat="1" applyFont="1" applyFill="1" applyBorder="1" applyAlignment="1">
      <alignment horizontal="center" vertical="center"/>
    </xf>
    <xf numFmtId="170" fontId="2" fillId="8" borderId="32" xfId="0" applyNumberFormat="1" applyFont="1" applyFill="1" applyBorder="1" applyAlignment="1">
      <alignment horizontal="center" vertical="center"/>
    </xf>
    <xf numFmtId="9" fontId="0" fillId="8" borderId="14" xfId="0" applyNumberFormat="1" applyFont="1" applyFill="1" applyBorder="1" applyAlignment="1">
      <alignment horizontal="center" vertical="center"/>
    </xf>
    <xf numFmtId="9" fontId="0" fillId="8" borderId="32" xfId="0" applyNumberFormat="1" applyFont="1" applyFill="1" applyBorder="1" applyAlignment="1">
      <alignment horizontal="center" vertical="center"/>
    </xf>
    <xf numFmtId="0" fontId="4" fillId="8" borderId="14" xfId="0" applyNumberFormat="1" applyFont="1" applyFill="1" applyBorder="1" applyAlignment="1">
      <alignment horizontal="center" vertical="center"/>
    </xf>
    <xf numFmtId="0" fontId="4" fillId="8" borderId="32" xfId="0" applyNumberFormat="1" applyFont="1" applyFill="1" applyBorder="1" applyAlignment="1">
      <alignment horizontal="center" vertical="center"/>
    </xf>
    <xf numFmtId="0" fontId="4" fillId="8" borderId="5" xfId="0" applyNumberFormat="1" applyFont="1" applyFill="1" applyBorder="1" applyAlignment="1">
      <alignment horizontal="center" vertical="center"/>
    </xf>
    <xf numFmtId="0" fontId="2" fillId="8" borderId="33" xfId="0" applyNumberFormat="1" applyFont="1" applyFill="1" applyBorder="1" applyAlignment="1">
      <alignment horizontal="left" vertical="center" indent="1"/>
    </xf>
    <xf numFmtId="0" fontId="2" fillId="8" borderId="34" xfId="0" applyNumberFormat="1" applyFont="1" applyFill="1" applyBorder="1" applyAlignment="1">
      <alignment horizontal="left" vertical="center" indent="1"/>
    </xf>
    <xf numFmtId="3" fontId="2" fillId="8" borderId="33" xfId="0" applyNumberFormat="1" applyFont="1" applyFill="1" applyBorder="1" applyAlignment="1">
      <alignment horizontal="center" vertical="center"/>
    </xf>
    <xf numFmtId="3" fontId="2" fillId="8" borderId="34" xfId="0" applyNumberFormat="1" applyFont="1" applyFill="1" applyBorder="1" applyAlignment="1">
      <alignment horizontal="center" vertical="center"/>
    </xf>
    <xf numFmtId="3" fontId="3" fillId="8" borderId="33" xfId="0" applyNumberFormat="1" applyFont="1" applyFill="1" applyBorder="1" applyAlignment="1">
      <alignment horizontal="center" vertical="center"/>
    </xf>
    <xf numFmtId="3" fontId="3" fillId="8" borderId="34" xfId="0" applyNumberFormat="1" applyFont="1" applyFill="1" applyBorder="1" applyAlignment="1">
      <alignment horizontal="center" vertical="center"/>
    </xf>
    <xf numFmtId="165" fontId="0" fillId="8" borderId="33" xfId="0" applyNumberFormat="1" applyFont="1" applyFill="1" applyBorder="1" applyAlignment="1">
      <alignment horizontal="center" vertical="center"/>
    </xf>
    <xf numFmtId="165" fontId="0" fillId="8" borderId="34" xfId="0" applyNumberFormat="1" applyFont="1" applyFill="1" applyBorder="1" applyAlignment="1">
      <alignment horizontal="center" vertical="center"/>
    </xf>
    <xf numFmtId="3" fontId="0" fillId="8" borderId="33" xfId="0" applyNumberFormat="1" applyFont="1" applyFill="1" applyBorder="1" applyAlignment="1">
      <alignment horizontal="center" vertical="center"/>
    </xf>
    <xf numFmtId="3" fontId="0" fillId="8" borderId="34" xfId="0" applyNumberFormat="1" applyFont="1" applyFill="1" applyBorder="1" applyAlignment="1">
      <alignment horizontal="center" vertical="center"/>
    </xf>
    <xf numFmtId="170" fontId="2" fillId="8" borderId="33" xfId="0" applyNumberFormat="1" applyFont="1" applyFill="1" applyBorder="1" applyAlignment="1">
      <alignment horizontal="center" vertical="center"/>
    </xf>
    <xf numFmtId="170" fontId="2" fillId="8" borderId="34" xfId="0" applyNumberFormat="1" applyFont="1" applyFill="1" applyBorder="1" applyAlignment="1">
      <alignment horizontal="center" vertical="center"/>
    </xf>
    <xf numFmtId="9" fontId="0" fillId="8" borderId="33" xfId="0" applyNumberFormat="1" applyFont="1" applyFill="1" applyBorder="1" applyAlignment="1">
      <alignment horizontal="center" vertical="center"/>
    </xf>
    <xf numFmtId="9" fontId="0" fillId="8" borderId="34" xfId="0" applyNumberFormat="1" applyFont="1" applyFill="1" applyBorder="1" applyAlignment="1">
      <alignment horizontal="center" vertical="center"/>
    </xf>
    <xf numFmtId="0" fontId="4" fillId="8" borderId="33" xfId="0" applyNumberFormat="1" applyFont="1" applyFill="1" applyBorder="1" applyAlignment="1">
      <alignment horizontal="center" vertical="center"/>
    </xf>
    <xf numFmtId="0" fontId="4" fillId="8" borderId="34" xfId="0" applyNumberFormat="1" applyFont="1" applyFill="1" applyBorder="1" applyAlignment="1">
      <alignment horizontal="center" vertical="center"/>
    </xf>
    <xf numFmtId="0" fontId="4" fillId="8" borderId="35" xfId="0" applyNumberFormat="1" applyFont="1" applyFill="1" applyBorder="1" applyAlignment="1">
      <alignment horizontal="center" vertical="center"/>
    </xf>
    <xf numFmtId="0" fontId="2" fillId="8" borderId="36" xfId="0" applyNumberFormat="1" applyFont="1" applyFill="1" applyBorder="1" applyAlignment="1">
      <alignment horizontal="left" vertical="center" indent="1"/>
    </xf>
    <xf numFmtId="0" fontId="2" fillId="8" borderId="37" xfId="0" applyNumberFormat="1" applyFont="1" applyFill="1" applyBorder="1" applyAlignment="1">
      <alignment horizontal="left" vertical="center" indent="1"/>
    </xf>
    <xf numFmtId="3" fontId="2" fillId="8" borderId="36" xfId="0" applyNumberFormat="1" applyFont="1" applyFill="1" applyBorder="1" applyAlignment="1">
      <alignment horizontal="center" vertical="center"/>
    </xf>
    <xf numFmtId="3" fontId="2" fillId="8" borderId="37" xfId="0" applyNumberFormat="1" applyFont="1" applyFill="1" applyBorder="1" applyAlignment="1">
      <alignment horizontal="center" vertical="center"/>
    </xf>
    <xf numFmtId="165" fontId="3" fillId="8" borderId="36" xfId="0" applyNumberFormat="1" applyFont="1" applyFill="1" applyBorder="1" applyAlignment="1">
      <alignment horizontal="center" vertical="center"/>
    </xf>
    <xf numFmtId="165" fontId="3" fillId="8" borderId="37" xfId="0" applyNumberFormat="1" applyFont="1" applyFill="1" applyBorder="1" applyAlignment="1">
      <alignment horizontal="center" vertical="center"/>
    </xf>
    <xf numFmtId="165" fontId="0" fillId="8" borderId="36" xfId="0" applyNumberFormat="1" applyFont="1" applyFill="1" applyBorder="1" applyAlignment="1">
      <alignment horizontal="center" vertical="center"/>
    </xf>
    <xf numFmtId="165" fontId="0" fillId="8" borderId="37" xfId="0" applyNumberFormat="1" applyFont="1" applyFill="1" applyBorder="1" applyAlignment="1">
      <alignment horizontal="center" vertical="center"/>
    </xf>
    <xf numFmtId="170" fontId="2" fillId="8" borderId="36" xfId="0" applyNumberFormat="1" applyFont="1" applyFill="1" applyBorder="1" applyAlignment="1">
      <alignment horizontal="center" vertical="center"/>
    </xf>
    <xf numFmtId="170" fontId="2" fillId="8" borderId="37" xfId="0" applyNumberFormat="1" applyFont="1" applyFill="1" applyBorder="1" applyAlignment="1">
      <alignment horizontal="center" vertical="center"/>
    </xf>
    <xf numFmtId="9" fontId="0" fillId="8" borderId="36" xfId="0" applyNumberFormat="1" applyFont="1" applyFill="1" applyBorder="1" applyAlignment="1">
      <alignment horizontal="center" vertical="center"/>
    </xf>
    <xf numFmtId="9" fontId="0" fillId="8" borderId="37" xfId="0" applyNumberFormat="1" applyFont="1" applyFill="1" applyBorder="1" applyAlignment="1">
      <alignment horizontal="center" vertical="center"/>
    </xf>
    <xf numFmtId="0" fontId="4" fillId="8" borderId="36" xfId="0" applyNumberFormat="1" applyFont="1" applyFill="1" applyBorder="1" applyAlignment="1">
      <alignment horizontal="center" vertical="center"/>
    </xf>
    <xf numFmtId="0" fontId="4" fillId="8" borderId="37" xfId="0" applyNumberFormat="1" applyFont="1" applyFill="1" applyBorder="1" applyAlignment="1">
      <alignment horizontal="center" vertical="center"/>
    </xf>
    <xf numFmtId="0" fontId="4" fillId="8" borderId="38" xfId="0" applyNumberFormat="1" applyFont="1" applyFill="1" applyBorder="1" applyAlignment="1">
      <alignment horizontal="center" vertical="center"/>
    </xf>
    <xf numFmtId="0" fontId="2" fillId="9" borderId="14" xfId="0" applyNumberFormat="1" applyFont="1" applyFill="1" applyBorder="1" applyAlignment="1">
      <alignment horizontal="left" vertical="center" indent="1"/>
    </xf>
    <xf numFmtId="0" fontId="2" fillId="9" borderId="32" xfId="0" applyNumberFormat="1" applyFont="1" applyFill="1" applyBorder="1" applyAlignment="1">
      <alignment horizontal="left" vertical="center" indent="1"/>
    </xf>
    <xf numFmtId="3" fontId="2" fillId="9" borderId="14" xfId="0" applyNumberFormat="1" applyFont="1" applyFill="1" applyBorder="1" applyAlignment="1">
      <alignment horizontal="center" vertical="center"/>
    </xf>
    <xf numFmtId="3" fontId="2" fillId="9" borderId="32" xfId="0" applyNumberFormat="1" applyFont="1" applyFill="1" applyBorder="1" applyAlignment="1">
      <alignment horizontal="center" vertical="center"/>
    </xf>
    <xf numFmtId="3" fontId="3" fillId="9" borderId="14" xfId="0" applyNumberFormat="1" applyFont="1" applyFill="1" applyBorder="1" applyAlignment="1">
      <alignment horizontal="center" vertical="center"/>
    </xf>
    <xf numFmtId="3" fontId="3" fillId="9" borderId="32" xfId="0" applyNumberFormat="1" applyFont="1" applyFill="1" applyBorder="1" applyAlignment="1">
      <alignment horizontal="center" vertical="center"/>
    </xf>
    <xf numFmtId="165" fontId="0" fillId="9" borderId="14" xfId="0" applyNumberFormat="1" applyFont="1" applyFill="1" applyBorder="1" applyAlignment="1">
      <alignment horizontal="center" vertical="center"/>
    </xf>
    <xf numFmtId="165" fontId="0" fillId="9" borderId="32" xfId="0" applyNumberFormat="1" applyFont="1" applyFill="1" applyBorder="1" applyAlignment="1">
      <alignment horizontal="center" vertical="center"/>
    </xf>
    <xf numFmtId="3" fontId="0" fillId="9" borderId="14" xfId="0" applyNumberFormat="1" applyFont="1" applyFill="1" applyBorder="1" applyAlignment="1">
      <alignment horizontal="center" vertical="center"/>
    </xf>
    <xf numFmtId="3" fontId="0" fillId="9" borderId="32" xfId="0" applyNumberFormat="1" applyFont="1" applyFill="1" applyBorder="1" applyAlignment="1">
      <alignment horizontal="center" vertical="center"/>
    </xf>
    <xf numFmtId="170" fontId="2" fillId="9" borderId="14" xfId="0" applyNumberFormat="1" applyFont="1" applyFill="1" applyBorder="1" applyAlignment="1">
      <alignment horizontal="center" vertical="center"/>
    </xf>
    <xf numFmtId="170" fontId="2" fillId="9" borderId="32" xfId="0" applyNumberFormat="1" applyFont="1" applyFill="1" applyBorder="1" applyAlignment="1">
      <alignment horizontal="center" vertical="center"/>
    </xf>
    <xf numFmtId="9" fontId="0" fillId="9" borderId="14" xfId="0" applyNumberFormat="1" applyFont="1" applyFill="1" applyBorder="1" applyAlignment="1">
      <alignment horizontal="center" vertical="center"/>
    </xf>
    <xf numFmtId="9" fontId="0" fillId="9" borderId="32" xfId="0" applyNumberFormat="1" applyFont="1" applyFill="1" applyBorder="1" applyAlignment="1">
      <alignment horizontal="center" vertical="center"/>
    </xf>
    <xf numFmtId="0" fontId="4" fillId="9" borderId="14" xfId="0" applyNumberFormat="1" applyFont="1" applyFill="1" applyBorder="1" applyAlignment="1">
      <alignment horizontal="center" vertical="center"/>
    </xf>
    <xf numFmtId="0" fontId="4" fillId="9" borderId="32" xfId="0" applyNumberFormat="1" applyFont="1" applyFill="1" applyBorder="1" applyAlignment="1">
      <alignment horizontal="center" vertical="center"/>
    </xf>
    <xf numFmtId="0" fontId="4" fillId="9" borderId="5" xfId="0" applyNumberFormat="1" applyFont="1" applyFill="1" applyBorder="1" applyAlignment="1">
      <alignment horizontal="center" vertical="center"/>
    </xf>
    <xf numFmtId="0" fontId="2" fillId="9" borderId="33" xfId="0" applyNumberFormat="1" applyFont="1" applyFill="1" applyBorder="1" applyAlignment="1">
      <alignment horizontal="left" vertical="center" indent="1"/>
    </xf>
    <xf numFmtId="0" fontId="2" fillId="9" borderId="34" xfId="0" applyNumberFormat="1" applyFont="1" applyFill="1" applyBorder="1" applyAlignment="1">
      <alignment horizontal="left" vertical="center" indent="1"/>
    </xf>
    <xf numFmtId="3" fontId="2" fillId="9" borderId="33" xfId="0" applyNumberFormat="1" applyFont="1" applyFill="1" applyBorder="1" applyAlignment="1">
      <alignment horizontal="center" vertical="center"/>
    </xf>
    <xf numFmtId="3" fontId="2" fillId="9" borderId="34" xfId="0" applyNumberFormat="1" applyFont="1" applyFill="1" applyBorder="1" applyAlignment="1">
      <alignment horizontal="center" vertical="center"/>
    </xf>
    <xf numFmtId="3" fontId="3" fillId="9" borderId="33" xfId="0" applyNumberFormat="1" applyFont="1" applyFill="1" applyBorder="1" applyAlignment="1">
      <alignment horizontal="center" vertical="center"/>
    </xf>
    <xf numFmtId="3" fontId="3" fillId="9" borderId="34" xfId="0" applyNumberFormat="1" applyFont="1" applyFill="1" applyBorder="1" applyAlignment="1">
      <alignment horizontal="center" vertical="center"/>
    </xf>
    <xf numFmtId="165" fontId="0" fillId="9" borderId="33" xfId="0" applyNumberFormat="1" applyFont="1" applyFill="1" applyBorder="1" applyAlignment="1">
      <alignment horizontal="center" vertical="center"/>
    </xf>
    <xf numFmtId="165" fontId="0" fillId="9" borderId="34" xfId="0" applyNumberFormat="1" applyFont="1" applyFill="1" applyBorder="1" applyAlignment="1">
      <alignment horizontal="center" vertical="center"/>
    </xf>
    <xf numFmtId="3" fontId="0" fillId="9" borderId="33" xfId="0" applyNumberFormat="1" applyFont="1" applyFill="1" applyBorder="1" applyAlignment="1">
      <alignment horizontal="center" vertical="center"/>
    </xf>
    <xf numFmtId="3" fontId="0" fillId="9" borderId="34" xfId="0" applyNumberFormat="1" applyFont="1" applyFill="1" applyBorder="1" applyAlignment="1">
      <alignment horizontal="center" vertical="center"/>
    </xf>
    <xf numFmtId="170" fontId="2" fillId="9" borderId="33" xfId="0" applyNumberFormat="1" applyFont="1" applyFill="1" applyBorder="1" applyAlignment="1">
      <alignment horizontal="center" vertical="center"/>
    </xf>
    <xf numFmtId="170" fontId="2" fillId="9" borderId="34" xfId="0" applyNumberFormat="1" applyFont="1" applyFill="1" applyBorder="1" applyAlignment="1">
      <alignment horizontal="center" vertical="center"/>
    </xf>
    <xf numFmtId="9" fontId="0" fillId="9" borderId="33" xfId="0" applyNumberFormat="1" applyFont="1" applyFill="1" applyBorder="1" applyAlignment="1">
      <alignment horizontal="center" vertical="center"/>
    </xf>
    <xf numFmtId="9" fontId="0" fillId="9" borderId="34" xfId="0" applyNumberFormat="1" applyFont="1" applyFill="1" applyBorder="1" applyAlignment="1">
      <alignment horizontal="center" vertical="center"/>
    </xf>
    <xf numFmtId="0" fontId="4" fillId="9" borderId="33" xfId="0" applyNumberFormat="1" applyFont="1" applyFill="1" applyBorder="1" applyAlignment="1">
      <alignment horizontal="center" vertical="center"/>
    </xf>
    <xf numFmtId="0" fontId="4" fillId="9" borderId="34" xfId="0" applyNumberFormat="1" applyFont="1" applyFill="1" applyBorder="1" applyAlignment="1">
      <alignment horizontal="center" vertical="center"/>
    </xf>
    <xf numFmtId="0" fontId="4" fillId="9" borderId="35" xfId="0" applyNumberFormat="1" applyFont="1" applyFill="1" applyBorder="1" applyAlignment="1">
      <alignment horizontal="center" vertical="center"/>
    </xf>
    <xf numFmtId="0" fontId="2" fillId="9" borderId="36" xfId="0" applyNumberFormat="1" applyFont="1" applyFill="1" applyBorder="1" applyAlignment="1">
      <alignment horizontal="left" vertical="center" indent="1"/>
    </xf>
    <xf numFmtId="0" fontId="2" fillId="9" borderId="37" xfId="0" applyNumberFormat="1" applyFont="1" applyFill="1" applyBorder="1" applyAlignment="1">
      <alignment horizontal="left" vertical="center" indent="1"/>
    </xf>
    <xf numFmtId="3" fontId="2" fillId="9" borderId="36" xfId="0" applyNumberFormat="1" applyFont="1" applyFill="1" applyBorder="1" applyAlignment="1">
      <alignment horizontal="center" vertical="center"/>
    </xf>
    <xf numFmtId="3" fontId="2" fillId="9" borderId="37" xfId="0" applyNumberFormat="1" applyFont="1" applyFill="1" applyBorder="1" applyAlignment="1">
      <alignment horizontal="center" vertical="center"/>
    </xf>
    <xf numFmtId="3" fontId="3" fillId="9" borderId="36" xfId="0" applyNumberFormat="1" applyFont="1" applyFill="1" applyBorder="1" applyAlignment="1">
      <alignment horizontal="center" vertical="center"/>
    </xf>
    <xf numFmtId="3" fontId="3" fillId="9" borderId="37" xfId="0" applyNumberFormat="1" applyFont="1" applyFill="1" applyBorder="1" applyAlignment="1">
      <alignment horizontal="center" vertical="center"/>
    </xf>
    <xf numFmtId="165" fontId="0" fillId="9" borderId="36" xfId="0" applyNumberFormat="1" applyFont="1" applyFill="1" applyBorder="1" applyAlignment="1">
      <alignment horizontal="center" vertical="center"/>
    </xf>
    <xf numFmtId="165" fontId="0" fillId="9" borderId="37" xfId="0" applyNumberFormat="1" applyFont="1" applyFill="1" applyBorder="1" applyAlignment="1">
      <alignment horizontal="center" vertical="center"/>
    </xf>
    <xf numFmtId="3" fontId="0" fillId="9" borderId="36" xfId="0" applyNumberFormat="1" applyFont="1" applyFill="1" applyBorder="1" applyAlignment="1">
      <alignment horizontal="center" vertical="center"/>
    </xf>
    <xf numFmtId="3" fontId="0" fillId="9" borderId="37" xfId="0" applyNumberFormat="1" applyFont="1" applyFill="1" applyBorder="1" applyAlignment="1">
      <alignment horizontal="center" vertical="center"/>
    </xf>
    <xf numFmtId="170" fontId="2" fillId="9" borderId="36" xfId="0" applyNumberFormat="1" applyFont="1" applyFill="1" applyBorder="1" applyAlignment="1">
      <alignment horizontal="center" vertical="center"/>
    </xf>
    <xf numFmtId="170" fontId="2" fillId="9" borderId="37" xfId="0" applyNumberFormat="1" applyFont="1" applyFill="1" applyBorder="1" applyAlignment="1">
      <alignment horizontal="center" vertical="center"/>
    </xf>
    <xf numFmtId="9" fontId="0" fillId="9" borderId="36" xfId="0" applyNumberFormat="1" applyFont="1" applyFill="1" applyBorder="1" applyAlignment="1">
      <alignment horizontal="center" vertical="center"/>
    </xf>
    <xf numFmtId="9" fontId="0" fillId="9" borderId="37" xfId="0" applyNumberFormat="1" applyFont="1" applyFill="1" applyBorder="1" applyAlignment="1">
      <alignment horizontal="center" vertical="center"/>
    </xf>
    <xf numFmtId="0" fontId="4" fillId="9" borderId="36" xfId="0" applyNumberFormat="1" applyFont="1" applyFill="1" applyBorder="1" applyAlignment="1">
      <alignment horizontal="center" vertical="center"/>
    </xf>
    <xf numFmtId="0" fontId="4" fillId="9" borderId="37" xfId="0" applyNumberFormat="1" applyFont="1" applyFill="1" applyBorder="1" applyAlignment="1">
      <alignment horizontal="center" vertical="center"/>
    </xf>
    <xf numFmtId="0" fontId="4" fillId="9" borderId="38" xfId="0" applyNumberFormat="1" applyFont="1" applyFill="1" applyBorder="1" applyAlignment="1">
      <alignment horizontal="center" vertical="center"/>
    </xf>
    <xf numFmtId="168" fontId="3" fillId="7" borderId="14" xfId="0" applyNumberFormat="1" applyFont="1" applyFill="1" applyBorder="1" applyAlignment="1">
      <alignment horizontal="center" vertical="center"/>
    </xf>
    <xf numFmtId="168" fontId="3" fillId="7" borderId="32" xfId="0" applyNumberFormat="1" applyFont="1" applyFill="1" applyBorder="1" applyAlignment="1">
      <alignment horizontal="center" vertical="center"/>
    </xf>
    <xf numFmtId="168" fontId="0" fillId="7" borderId="14" xfId="0" applyNumberFormat="1" applyFont="1" applyFill="1" applyBorder="1" applyAlignment="1">
      <alignment horizontal="center" vertical="center"/>
    </xf>
    <xf numFmtId="168" fontId="0" fillId="7" borderId="32" xfId="0" applyNumberFormat="1" applyFont="1" applyFill="1" applyBorder="1" applyAlignment="1">
      <alignment horizontal="center" vertical="center"/>
    </xf>
    <xf numFmtId="9" fontId="2" fillId="7" borderId="36" xfId="0" applyNumberFormat="1" applyFont="1" applyFill="1" applyBorder="1" applyAlignment="1">
      <alignment horizontal="center" vertical="center"/>
    </xf>
    <xf numFmtId="9" fontId="2" fillId="7" borderId="37" xfId="0" applyNumberFormat="1" applyFont="1" applyFill="1" applyBorder="1" applyAlignment="1">
      <alignment horizontal="center" vertical="center"/>
    </xf>
    <xf numFmtId="169" fontId="3" fillId="7" borderId="36" xfId="0" applyNumberFormat="1" applyFont="1" applyFill="1" applyBorder="1" applyAlignment="1">
      <alignment horizontal="center" vertical="center"/>
    </xf>
    <xf numFmtId="169" fontId="3" fillId="7" borderId="37" xfId="0" applyNumberFormat="1" applyFont="1" applyFill="1" applyBorder="1" applyAlignment="1">
      <alignment horizontal="center" vertical="center"/>
    </xf>
    <xf numFmtId="169" fontId="0" fillId="7" borderId="36" xfId="0" applyNumberFormat="1" applyFont="1" applyFill="1" applyBorder="1" applyAlignment="1">
      <alignment horizontal="center" vertical="center"/>
    </xf>
    <xf numFmtId="169" fontId="0" fillId="7" borderId="37" xfId="0" applyNumberFormat="1" applyFont="1" applyFill="1" applyBorder="1" applyAlignment="1">
      <alignment horizontal="center" vertical="center"/>
    </xf>
    <xf numFmtId="0" fontId="2" fillId="10" borderId="14" xfId="0" applyNumberFormat="1" applyFont="1" applyFill="1" applyBorder="1" applyAlignment="1">
      <alignment horizontal="left" vertical="center" indent="1"/>
    </xf>
    <xf numFmtId="0" fontId="2" fillId="10" borderId="32" xfId="0" applyNumberFormat="1" applyFont="1" applyFill="1" applyBorder="1" applyAlignment="1">
      <alignment horizontal="left" vertical="center" indent="1"/>
    </xf>
    <xf numFmtId="3" fontId="2" fillId="10" borderId="14" xfId="0" applyNumberFormat="1" applyFont="1" applyFill="1" applyBorder="1" applyAlignment="1">
      <alignment horizontal="center" vertical="center"/>
    </xf>
    <xf numFmtId="3" fontId="2" fillId="10" borderId="32" xfId="0" applyNumberFormat="1" applyFont="1" applyFill="1" applyBorder="1" applyAlignment="1">
      <alignment horizontal="center" vertical="center"/>
    </xf>
    <xf numFmtId="3" fontId="3" fillId="10" borderId="14" xfId="0" applyNumberFormat="1" applyFont="1" applyFill="1" applyBorder="1" applyAlignment="1">
      <alignment horizontal="center" vertical="center"/>
    </xf>
    <xf numFmtId="3" fontId="3" fillId="10" borderId="32" xfId="0" applyNumberFormat="1" applyFont="1" applyFill="1" applyBorder="1" applyAlignment="1">
      <alignment horizontal="center" vertical="center"/>
    </xf>
    <xf numFmtId="165" fontId="0" fillId="10" borderId="14" xfId="0" applyNumberFormat="1" applyFont="1" applyFill="1" applyBorder="1" applyAlignment="1">
      <alignment horizontal="center" vertical="center"/>
    </xf>
    <xf numFmtId="165" fontId="0" fillId="10" borderId="32" xfId="0" applyNumberFormat="1" applyFont="1" applyFill="1" applyBorder="1" applyAlignment="1">
      <alignment horizontal="center" vertical="center"/>
    </xf>
    <xf numFmtId="3" fontId="0" fillId="10" borderId="14" xfId="0" applyNumberFormat="1" applyFont="1" applyFill="1" applyBorder="1" applyAlignment="1">
      <alignment horizontal="center" vertical="center"/>
    </xf>
    <xf numFmtId="3" fontId="0" fillId="10" borderId="32" xfId="0" applyNumberFormat="1" applyFont="1" applyFill="1" applyBorder="1" applyAlignment="1">
      <alignment horizontal="center" vertical="center"/>
    </xf>
    <xf numFmtId="170" fontId="2" fillId="10" borderId="14" xfId="0" applyNumberFormat="1" applyFont="1" applyFill="1" applyBorder="1" applyAlignment="1">
      <alignment horizontal="center" vertical="center"/>
    </xf>
    <xf numFmtId="170" fontId="2" fillId="10" borderId="32" xfId="0" applyNumberFormat="1" applyFont="1" applyFill="1" applyBorder="1" applyAlignment="1">
      <alignment horizontal="center" vertical="center"/>
    </xf>
    <xf numFmtId="9" fontId="0" fillId="10" borderId="14" xfId="0" applyNumberFormat="1" applyFont="1" applyFill="1" applyBorder="1" applyAlignment="1">
      <alignment horizontal="center" vertical="center"/>
    </xf>
    <xf numFmtId="9" fontId="0" fillId="10" borderId="32" xfId="0" applyNumberFormat="1" applyFont="1" applyFill="1" applyBorder="1" applyAlignment="1">
      <alignment horizontal="center" vertical="center"/>
    </xf>
    <xf numFmtId="0" fontId="4" fillId="10" borderId="14" xfId="0" applyNumberFormat="1" applyFont="1" applyFill="1" applyBorder="1" applyAlignment="1">
      <alignment horizontal="center" vertical="center"/>
    </xf>
    <xf numFmtId="0" fontId="4" fillId="10" borderId="32" xfId="0" applyNumberFormat="1" applyFont="1" applyFill="1" applyBorder="1" applyAlignment="1">
      <alignment horizontal="center" vertical="center"/>
    </xf>
    <xf numFmtId="0" fontId="4" fillId="10" borderId="5" xfId="0" applyNumberFormat="1" applyFont="1" applyFill="1" applyBorder="1" applyAlignment="1">
      <alignment horizontal="center" vertical="center"/>
    </xf>
    <xf numFmtId="0" fontId="2" fillId="10" borderId="33" xfId="0" applyNumberFormat="1" applyFont="1" applyFill="1" applyBorder="1" applyAlignment="1">
      <alignment horizontal="left" vertical="center" indent="1"/>
    </xf>
    <xf numFmtId="0" fontId="2" fillId="10" borderId="34" xfId="0" applyNumberFormat="1" applyFont="1" applyFill="1" applyBorder="1" applyAlignment="1">
      <alignment horizontal="left" vertical="center" indent="1"/>
    </xf>
    <xf numFmtId="3" fontId="2" fillId="10" borderId="33" xfId="0" applyNumberFormat="1" applyFont="1" applyFill="1" applyBorder="1" applyAlignment="1">
      <alignment horizontal="center" vertical="center"/>
    </xf>
    <xf numFmtId="3" fontId="2" fillId="10" borderId="34" xfId="0" applyNumberFormat="1" applyFont="1" applyFill="1" applyBorder="1" applyAlignment="1">
      <alignment horizontal="center" vertical="center"/>
    </xf>
    <xf numFmtId="3" fontId="3" fillId="10" borderId="33" xfId="0" applyNumberFormat="1" applyFont="1" applyFill="1" applyBorder="1" applyAlignment="1">
      <alignment horizontal="center" vertical="center"/>
    </xf>
    <xf numFmtId="3" fontId="3" fillId="10" borderId="34" xfId="0" applyNumberFormat="1" applyFont="1" applyFill="1" applyBorder="1" applyAlignment="1">
      <alignment horizontal="center" vertical="center"/>
    </xf>
    <xf numFmtId="165" fontId="0" fillId="10" borderId="33" xfId="0" applyNumberFormat="1" applyFont="1" applyFill="1" applyBorder="1" applyAlignment="1">
      <alignment horizontal="center" vertical="center"/>
    </xf>
    <xf numFmtId="165" fontId="0" fillId="10" borderId="34" xfId="0" applyNumberFormat="1" applyFont="1" applyFill="1" applyBorder="1" applyAlignment="1">
      <alignment horizontal="center" vertical="center"/>
    </xf>
    <xf numFmtId="3" fontId="0" fillId="10" borderId="33" xfId="0" applyNumberFormat="1" applyFont="1" applyFill="1" applyBorder="1" applyAlignment="1">
      <alignment horizontal="center" vertical="center"/>
    </xf>
    <xf numFmtId="3" fontId="0" fillId="10" borderId="34" xfId="0" applyNumberFormat="1" applyFont="1" applyFill="1" applyBorder="1" applyAlignment="1">
      <alignment horizontal="center" vertical="center"/>
    </xf>
    <xf numFmtId="170" fontId="2" fillId="10" borderId="33" xfId="0" applyNumberFormat="1" applyFont="1" applyFill="1" applyBorder="1" applyAlignment="1">
      <alignment horizontal="center" vertical="center"/>
    </xf>
    <xf numFmtId="170" fontId="2" fillId="10" borderId="34" xfId="0" applyNumberFormat="1" applyFont="1" applyFill="1" applyBorder="1" applyAlignment="1">
      <alignment horizontal="center" vertical="center"/>
    </xf>
    <xf numFmtId="9" fontId="0" fillId="10" borderId="33" xfId="0" applyNumberFormat="1" applyFont="1" applyFill="1" applyBorder="1" applyAlignment="1">
      <alignment horizontal="center" vertical="center"/>
    </xf>
    <xf numFmtId="9" fontId="0" fillId="10" borderId="34" xfId="0" applyNumberFormat="1" applyFont="1" applyFill="1" applyBorder="1" applyAlignment="1">
      <alignment horizontal="center" vertical="center"/>
    </xf>
    <xf numFmtId="0" fontId="4" fillId="10" borderId="33" xfId="0" applyNumberFormat="1" applyFont="1" applyFill="1" applyBorder="1" applyAlignment="1">
      <alignment horizontal="center" vertical="center"/>
    </xf>
    <xf numFmtId="0" fontId="4" fillId="10" borderId="34" xfId="0" applyNumberFormat="1" applyFont="1" applyFill="1" applyBorder="1" applyAlignment="1">
      <alignment horizontal="center" vertical="center"/>
    </xf>
    <xf numFmtId="0" fontId="4" fillId="10" borderId="35" xfId="0" applyNumberFormat="1" applyFont="1" applyFill="1" applyBorder="1" applyAlignment="1">
      <alignment horizontal="center" vertical="center"/>
    </xf>
    <xf numFmtId="0" fontId="2" fillId="10" borderId="36" xfId="0" applyNumberFormat="1" applyFont="1" applyFill="1" applyBorder="1" applyAlignment="1">
      <alignment horizontal="left" vertical="center" indent="1"/>
    </xf>
    <xf numFmtId="0" fontId="2" fillId="10" borderId="37" xfId="0" applyNumberFormat="1" applyFont="1" applyFill="1" applyBorder="1" applyAlignment="1">
      <alignment horizontal="left" vertical="center" indent="1"/>
    </xf>
    <xf numFmtId="3" fontId="2" fillId="10" borderId="36" xfId="0" applyNumberFormat="1" applyFont="1" applyFill="1" applyBorder="1" applyAlignment="1">
      <alignment horizontal="center" vertical="center"/>
    </xf>
    <xf numFmtId="3" fontId="2" fillId="10" borderId="37" xfId="0" applyNumberFormat="1" applyFont="1" applyFill="1" applyBorder="1" applyAlignment="1">
      <alignment horizontal="center" vertical="center"/>
    </xf>
    <xf numFmtId="3" fontId="3" fillId="10" borderId="36" xfId="0" applyNumberFormat="1" applyFont="1" applyFill="1" applyBorder="1" applyAlignment="1">
      <alignment horizontal="center" vertical="center"/>
    </xf>
    <xf numFmtId="3" fontId="3" fillId="10" borderId="37" xfId="0" applyNumberFormat="1" applyFont="1" applyFill="1" applyBorder="1" applyAlignment="1">
      <alignment horizontal="center" vertical="center"/>
    </xf>
    <xf numFmtId="165" fontId="0" fillId="10" borderId="36" xfId="0" applyNumberFormat="1" applyFont="1" applyFill="1" applyBorder="1" applyAlignment="1">
      <alignment horizontal="center" vertical="center"/>
    </xf>
    <xf numFmtId="165" fontId="0" fillId="10" borderId="37" xfId="0" applyNumberFormat="1" applyFont="1" applyFill="1" applyBorder="1" applyAlignment="1">
      <alignment horizontal="center" vertical="center"/>
    </xf>
    <xf numFmtId="3" fontId="0" fillId="10" borderId="36" xfId="0" applyNumberFormat="1" applyFont="1" applyFill="1" applyBorder="1" applyAlignment="1">
      <alignment horizontal="center" vertical="center"/>
    </xf>
    <xf numFmtId="3" fontId="0" fillId="10" borderId="37" xfId="0" applyNumberFormat="1" applyFont="1" applyFill="1" applyBorder="1" applyAlignment="1">
      <alignment horizontal="center" vertical="center"/>
    </xf>
    <xf numFmtId="170" fontId="2" fillId="10" borderId="36" xfId="0" applyNumberFormat="1" applyFont="1" applyFill="1" applyBorder="1" applyAlignment="1">
      <alignment horizontal="center" vertical="center"/>
    </xf>
    <xf numFmtId="170" fontId="2" fillId="10" borderId="37" xfId="0" applyNumberFormat="1" applyFont="1" applyFill="1" applyBorder="1" applyAlignment="1">
      <alignment horizontal="center" vertical="center"/>
    </xf>
    <xf numFmtId="9" fontId="0" fillId="10" borderId="36" xfId="0" applyNumberFormat="1" applyFont="1" applyFill="1" applyBorder="1" applyAlignment="1">
      <alignment horizontal="center" vertical="center"/>
    </xf>
    <xf numFmtId="9" fontId="0" fillId="10" borderId="37" xfId="0" applyNumberFormat="1" applyFont="1" applyFill="1" applyBorder="1" applyAlignment="1">
      <alignment horizontal="center" vertical="center"/>
    </xf>
    <xf numFmtId="0" fontId="4" fillId="10" borderId="36" xfId="0" applyNumberFormat="1" applyFont="1" applyFill="1" applyBorder="1" applyAlignment="1">
      <alignment horizontal="center" vertical="center"/>
    </xf>
    <xf numFmtId="0" fontId="4" fillId="10" borderId="37" xfId="0" applyNumberFormat="1" applyFont="1" applyFill="1" applyBorder="1" applyAlignment="1">
      <alignment horizontal="center" vertical="center"/>
    </xf>
    <xf numFmtId="0" fontId="4" fillId="10" borderId="38" xfId="0" applyNumberFormat="1" applyFont="1" applyFill="1" applyBorder="1" applyAlignment="1">
      <alignment horizontal="center" vertical="center"/>
    </xf>
    <xf numFmtId="0" fontId="2" fillId="7" borderId="4" xfId="0" applyNumberFormat="1" applyFont="1" applyFill="1" applyBorder="1" applyAlignment="1">
      <alignment horizontal="center" vertical="center"/>
    </xf>
    <xf numFmtId="0" fontId="2" fillId="7" borderId="39" xfId="0" applyNumberFormat="1" applyFont="1" applyFill="1" applyBorder="1" applyAlignment="1">
      <alignment horizontal="center" vertical="center"/>
    </xf>
    <xf numFmtId="0" fontId="2" fillId="7" borderId="6" xfId="0" applyNumberFormat="1" applyFont="1" applyFill="1" applyBorder="1" applyAlignment="1">
      <alignment horizontal="center" vertical="center"/>
    </xf>
    <xf numFmtId="0" fontId="2" fillId="8" borderId="4" xfId="0" applyNumberFormat="1" applyFont="1" applyFill="1" applyBorder="1" applyAlignment="1">
      <alignment horizontal="center" vertical="center"/>
    </xf>
    <xf numFmtId="0" fontId="2" fillId="8" borderId="39" xfId="0" applyNumberFormat="1" applyFont="1" applyFill="1" applyBorder="1" applyAlignment="1">
      <alignment horizontal="center" vertical="center"/>
    </xf>
    <xf numFmtId="0" fontId="2" fillId="8" borderId="6" xfId="0" applyNumberFormat="1" applyFont="1" applyFill="1" applyBorder="1" applyAlignment="1">
      <alignment horizontal="center" vertical="center"/>
    </xf>
    <xf numFmtId="0" fontId="2" fillId="9" borderId="4" xfId="0" applyNumberFormat="1" applyFont="1" applyFill="1" applyBorder="1" applyAlignment="1">
      <alignment horizontal="center" vertical="center"/>
    </xf>
    <xf numFmtId="0" fontId="2" fillId="9" borderId="39" xfId="0" applyNumberFormat="1" applyFont="1" applyFill="1" applyBorder="1" applyAlignment="1">
      <alignment horizontal="center" vertical="center"/>
    </xf>
    <xf numFmtId="0" fontId="2" fillId="9" borderId="6" xfId="0" applyNumberFormat="1" applyFont="1" applyFill="1" applyBorder="1" applyAlignment="1">
      <alignment horizontal="center" vertical="center"/>
    </xf>
    <xf numFmtId="0" fontId="2" fillId="10" borderId="4" xfId="0" applyNumberFormat="1" applyFont="1" applyFill="1" applyBorder="1" applyAlignment="1">
      <alignment horizontal="center" vertical="center"/>
    </xf>
    <xf numFmtId="0" fontId="2" fillId="10" borderId="39" xfId="0" applyNumberFormat="1" applyFont="1" applyFill="1" applyBorder="1" applyAlignment="1">
      <alignment horizontal="center" vertical="center"/>
    </xf>
    <xf numFmtId="0" fontId="2" fillId="10" borderId="6" xfId="0" applyNumberFormat="1" applyFont="1" applyFill="1" applyBorder="1" applyAlignment="1">
      <alignment horizontal="center" vertical="center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10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horizontal="center" vertical="center" wrapText="1"/>
    </xf>
    <xf numFmtId="0" fontId="4" fillId="5" borderId="8" xfId="0" applyNumberFormat="1" applyFont="1" applyFill="1" applyBorder="1" applyAlignment="1">
      <alignment horizontal="center" vertical="center" wrapText="1"/>
    </xf>
    <xf numFmtId="0" fontId="4" fillId="5" borderId="10" xfId="0" applyNumberFormat="1" applyFont="1" applyFill="1" applyBorder="1" applyAlignment="1">
      <alignment horizontal="center" vertical="center" wrapText="1"/>
    </xf>
    <xf numFmtId="0" fontId="4" fillId="5" borderId="9" xfId="0" applyNumberFormat="1" applyFont="1" applyFill="1" applyBorder="1" applyAlignment="1">
      <alignment horizontal="center" vertical="center" wrapText="1"/>
    </xf>
    <xf numFmtId="0" fontId="4" fillId="4" borderId="8" xfId="0" applyNumberFormat="1" applyFont="1" applyFill="1" applyBorder="1" applyAlignment="1">
      <alignment horizontal="center" vertical="center" wrapText="1"/>
    </xf>
    <xf numFmtId="0" fontId="4" fillId="4" borderId="9" xfId="0" applyNumberFormat="1" applyFont="1" applyFill="1" applyBorder="1" applyAlignment="1">
      <alignment horizontal="center" vertical="center" wrapText="1"/>
    </xf>
    <xf numFmtId="0" fontId="4" fillId="4" borderId="10" xfId="0" applyNumberFormat="1" applyFont="1" applyFill="1" applyBorder="1" applyAlignment="1">
      <alignment horizontal="center" vertical="center" wrapText="1"/>
    </xf>
    <xf numFmtId="3" fontId="2" fillId="7" borderId="5" xfId="0" applyNumberFormat="1" applyFont="1" applyFill="1" applyBorder="1" applyAlignment="1">
      <alignment horizontal="center" vertical="center"/>
    </xf>
    <xf numFmtId="3" fontId="2" fillId="7" borderId="35" xfId="0" applyNumberFormat="1" applyFont="1" applyFill="1" applyBorder="1" applyAlignment="1">
      <alignment horizontal="center" vertical="center"/>
    </xf>
    <xf numFmtId="165" fontId="2" fillId="7" borderId="36" xfId="0" applyNumberFormat="1" applyFont="1" applyFill="1" applyBorder="1" applyAlignment="1">
      <alignment horizontal="center" vertical="center"/>
    </xf>
    <xf numFmtId="165" fontId="2" fillId="7" borderId="37" xfId="0" applyNumberFormat="1" applyFont="1" applyFill="1" applyBorder="1" applyAlignment="1">
      <alignment horizontal="center" vertical="center"/>
    </xf>
    <xf numFmtId="165" fontId="2" fillId="7" borderId="38" xfId="0" applyNumberFormat="1" applyFont="1" applyFill="1" applyBorder="1" applyAlignment="1">
      <alignment horizontal="center" vertical="center"/>
    </xf>
    <xf numFmtId="3" fontId="2" fillId="8" borderId="5" xfId="0" applyNumberFormat="1" applyFont="1" applyFill="1" applyBorder="1" applyAlignment="1">
      <alignment horizontal="center" vertical="center"/>
    </xf>
    <xf numFmtId="3" fontId="2" fillId="8" borderId="35" xfId="0" applyNumberFormat="1" applyFont="1" applyFill="1" applyBorder="1" applyAlignment="1">
      <alignment horizontal="center" vertical="center"/>
    </xf>
    <xf numFmtId="165" fontId="2" fillId="8" borderId="36" xfId="0" applyNumberFormat="1" applyFont="1" applyFill="1" applyBorder="1" applyAlignment="1">
      <alignment horizontal="center" vertical="center"/>
    </xf>
    <xf numFmtId="165" fontId="2" fillId="8" borderId="37" xfId="0" applyNumberFormat="1" applyFont="1" applyFill="1" applyBorder="1" applyAlignment="1">
      <alignment horizontal="center" vertical="center"/>
    </xf>
    <xf numFmtId="165" fontId="2" fillId="8" borderId="38" xfId="0" applyNumberFormat="1" applyFont="1" applyFill="1" applyBorder="1" applyAlignment="1">
      <alignment horizontal="center" vertical="center"/>
    </xf>
    <xf numFmtId="3" fontId="2" fillId="9" borderId="5" xfId="0" applyNumberFormat="1" applyFont="1" applyFill="1" applyBorder="1" applyAlignment="1">
      <alignment horizontal="center" vertical="center"/>
    </xf>
    <xf numFmtId="3" fontId="2" fillId="9" borderId="35" xfId="0" applyNumberFormat="1" applyFont="1" applyFill="1" applyBorder="1" applyAlignment="1">
      <alignment horizontal="center" vertical="center"/>
    </xf>
    <xf numFmtId="3" fontId="2" fillId="9" borderId="38" xfId="0" applyNumberFormat="1" applyFont="1" applyFill="1" applyBorder="1" applyAlignment="1">
      <alignment horizontal="center" vertical="center"/>
    </xf>
    <xf numFmtId="9" fontId="2" fillId="7" borderId="38" xfId="0" applyNumberFormat="1" applyFont="1" applyFill="1" applyBorder="1" applyAlignment="1">
      <alignment horizontal="center" vertical="center"/>
    </xf>
    <xf numFmtId="3" fontId="2" fillId="10" borderId="5" xfId="0" applyNumberFormat="1" applyFont="1" applyFill="1" applyBorder="1" applyAlignment="1">
      <alignment horizontal="center" vertical="center"/>
    </xf>
    <xf numFmtId="3" fontId="2" fillId="10" borderId="35" xfId="0" applyNumberFormat="1" applyFont="1" applyFill="1" applyBorder="1" applyAlignment="1">
      <alignment horizontal="center" vertical="center"/>
    </xf>
    <xf numFmtId="3" fontId="2" fillId="10" borderId="38" xfId="0" applyNumberFormat="1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right" vertical="center" indent="1"/>
    </xf>
    <xf numFmtId="0" fontId="18" fillId="0" borderId="0" xfId="0" applyNumberFormat="1" applyFont="1" applyFill="1" applyBorder="1" applyAlignment="1">
      <alignment horizontal="right" vertical="center" indent="1"/>
    </xf>
    <xf numFmtId="0" fontId="19" fillId="14" borderId="40" xfId="0" applyNumberFormat="1" applyFont="1" applyFill="1" applyBorder="1" applyAlignment="1" applyProtection="1">
      <alignment horizontal="center" vertical="center"/>
      <protection locked="0"/>
    </xf>
    <xf numFmtId="0" fontId="19" fillId="14" borderId="41" xfId="0" applyNumberFormat="1" applyFont="1" applyFill="1" applyBorder="1" applyAlignment="1" applyProtection="1">
      <alignment horizontal="center" vertical="center"/>
      <protection locked="0"/>
    </xf>
    <xf numFmtId="0" fontId="19" fillId="14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NumberFormat="1" applyFont="1" applyFill="1" applyBorder="1" applyAlignment="1">
      <alignment horizontal="right" vertical="center"/>
    </xf>
    <xf numFmtId="0" fontId="0" fillId="13" borderId="43" xfId="0" applyNumberFormat="1" applyFont="1" applyFill="1" applyBorder="1" applyAlignment="1">
      <alignment horizontal="center" vertical="center"/>
    </xf>
    <xf numFmtId="0" fontId="0" fillId="13" borderId="0" xfId="0" applyNumberFormat="1" applyFont="1" applyFill="1" applyBorder="1" applyAlignment="1">
      <alignment horizontal="center" vertical="center"/>
    </xf>
    <xf numFmtId="0" fontId="0" fillId="13" borderId="44" xfId="0" applyNumberFormat="1" applyFont="1" applyFill="1" applyBorder="1" applyAlignment="1">
      <alignment horizontal="center" vertical="center"/>
    </xf>
    <xf numFmtId="0" fontId="0" fillId="13" borderId="45" xfId="0" applyNumberFormat="1" applyFont="1" applyFill="1" applyBorder="1" applyAlignment="1">
      <alignment horizontal="center" vertical="center"/>
    </xf>
    <xf numFmtId="0" fontId="0" fillId="13" borderId="46" xfId="0" applyNumberFormat="1" applyFont="1" applyFill="1" applyBorder="1" applyAlignment="1">
      <alignment horizontal="center" vertical="center"/>
    </xf>
    <xf numFmtId="0" fontId="0" fillId="13" borderId="47" xfId="0" applyNumberFormat="1" applyFont="1" applyFill="1" applyBorder="1" applyAlignment="1">
      <alignment horizontal="center" vertical="center"/>
    </xf>
    <xf numFmtId="0" fontId="15" fillId="7" borderId="48" xfId="0" applyNumberFormat="1" applyFont="1" applyFill="1" applyBorder="1" applyAlignment="1">
      <alignment horizontal="center" vertical="center"/>
    </xf>
    <xf numFmtId="3" fontId="20" fillId="13" borderId="0" xfId="0" applyNumberFormat="1" applyFont="1" applyFill="1" applyBorder="1" applyAlignment="1">
      <alignment horizontal="center" vertical="center"/>
    </xf>
    <xf numFmtId="0" fontId="16" fillId="13" borderId="0" xfId="0" applyNumberFormat="1" applyFont="1" applyFill="1" applyBorder="1" applyAlignment="1">
      <alignment horizontal="center" vertical="center"/>
    </xf>
    <xf numFmtId="171" fontId="7" fillId="13" borderId="0" xfId="0" applyNumberFormat="1" applyFont="1" applyFill="1" applyBorder="1" applyAlignment="1">
      <alignment horizontal="center" vertical="center"/>
    </xf>
    <xf numFmtId="172" fontId="21" fillId="13" borderId="46" xfId="0" applyNumberFormat="1" applyFont="1" applyFill="1" applyBorder="1" applyAlignment="1">
      <alignment horizontal="center" vertical="center"/>
    </xf>
    <xf numFmtId="0" fontId="15" fillId="8" borderId="48" xfId="0" applyNumberFormat="1" applyFont="1" applyFill="1" applyBorder="1" applyAlignment="1">
      <alignment horizontal="center" vertical="center"/>
    </xf>
    <xf numFmtId="173" fontId="7" fillId="13" borderId="0" xfId="0" applyNumberFormat="1" applyFont="1" applyFill="1" applyBorder="1" applyAlignment="1">
      <alignment horizontal="center" vertical="center"/>
    </xf>
    <xf numFmtId="0" fontId="15" fillId="9" borderId="48" xfId="0" applyNumberFormat="1" applyFont="1" applyFill="1" applyBorder="1" applyAlignment="1">
      <alignment horizontal="center" vertical="center"/>
    </xf>
    <xf numFmtId="174" fontId="7" fillId="13" borderId="0" xfId="0" applyNumberFormat="1" applyFont="1" applyFill="1" applyBorder="1" applyAlignment="1">
      <alignment horizontal="center" vertical="center"/>
    </xf>
    <xf numFmtId="9" fontId="20" fillId="13" borderId="0" xfId="0" applyNumberFormat="1" applyFont="1" applyFill="1" applyBorder="1" applyAlignment="1">
      <alignment horizontal="center" vertical="center"/>
    </xf>
    <xf numFmtId="175" fontId="7" fillId="13" borderId="0" xfId="0" applyNumberFormat="1" applyFont="1" applyFill="1" applyBorder="1" applyAlignment="1">
      <alignment horizontal="center" vertical="center"/>
    </xf>
    <xf numFmtId="0" fontId="15" fillId="10" borderId="48" xfId="0" applyNumberFormat="1" applyFont="1" applyFill="1" applyBorder="1" applyAlignment="1">
      <alignment horizontal="center" vertical="center"/>
    </xf>
    <xf numFmtId="176" fontId="7" fillId="13" borderId="0" xfId="0" applyNumberFormat="1" applyFont="1" applyFill="1" applyBorder="1" applyAlignment="1">
      <alignment horizontal="center" vertical="center"/>
    </xf>
    <xf numFmtId="0" fontId="22" fillId="0" borderId="0" xfId="0" applyNumberFormat="1" applyFont="1" applyFill="1" applyBorder="1" applyAlignment="1">
      <alignment horizontal="left" vertical="center"/>
    </xf>
    <xf numFmtId="0" fontId="23" fillId="16" borderId="28" xfId="0" applyFont="1" applyFill="1" applyBorder="1" applyAlignment="1">
      <alignment horizontal="center" vertical="center"/>
    </xf>
    <xf numFmtId="0" fontId="24" fillId="17" borderId="28" xfId="0" applyFont="1" applyFill="1" applyBorder="1" applyAlignment="1">
      <alignment horizontal="center" vertical="center"/>
    </xf>
    <xf numFmtId="0" fontId="24" fillId="18" borderId="28" xfId="0" applyFont="1" applyFill="1" applyBorder="1" applyAlignment="1">
      <alignment horizontal="center" vertical="center"/>
    </xf>
    <xf numFmtId="0" fontId="24" fillId="19" borderId="28" xfId="0" applyFont="1" applyFill="1" applyBorder="1" applyAlignment="1">
      <alignment horizontal="center" vertical="center"/>
    </xf>
    <xf numFmtId="0" fontId="24" fillId="20" borderId="28" xfId="0" applyFont="1" applyFill="1" applyBorder="1" applyAlignment="1">
      <alignment horizontal="center" vertical="center"/>
    </xf>
    <xf numFmtId="0" fontId="24" fillId="21" borderId="28" xfId="0" applyFont="1" applyFill="1" applyBorder="1" applyAlignment="1">
      <alignment horizontal="center" vertical="center"/>
    </xf>
    <xf numFmtId="0" fontId="24" fillId="22" borderId="28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3" fontId="2" fillId="7" borderId="3" xfId="0" applyNumberFormat="1" applyFont="1" applyFill="1" applyBorder="1" applyAlignment="1">
      <alignment horizontal="center" vertical="center"/>
    </xf>
    <xf numFmtId="3" fontId="0" fillId="7" borderId="25" xfId="0" applyNumberFormat="1" applyFont="1" applyFill="1" applyBorder="1" applyAlignment="1">
      <alignment horizontal="center" vertical="center"/>
    </xf>
    <xf numFmtId="3" fontId="0" fillId="7" borderId="26" xfId="0" applyNumberFormat="1" applyFont="1" applyFill="1" applyBorder="1" applyAlignment="1">
      <alignment horizontal="center" vertical="center"/>
    </xf>
    <xf numFmtId="3" fontId="0" fillId="7" borderId="27" xfId="0" applyNumberFormat="1" applyFont="1" applyFill="1" applyBorder="1" applyAlignment="1">
      <alignment horizontal="center" vertical="center"/>
    </xf>
    <xf numFmtId="3" fontId="2" fillId="8" borderId="3" xfId="0" applyNumberFormat="1" applyFont="1" applyFill="1" applyBorder="1" applyAlignment="1">
      <alignment horizontal="center" vertical="center"/>
    </xf>
    <xf numFmtId="3" fontId="0" fillId="8" borderId="25" xfId="0" applyNumberFormat="1" applyFont="1" applyFill="1" applyBorder="1" applyAlignment="1">
      <alignment horizontal="center" vertical="center"/>
    </xf>
    <xf numFmtId="3" fontId="0" fillId="8" borderId="26" xfId="0" applyNumberFormat="1" applyFont="1" applyFill="1" applyBorder="1" applyAlignment="1">
      <alignment horizontal="center" vertical="center"/>
    </xf>
    <xf numFmtId="3" fontId="0" fillId="8" borderId="27" xfId="0" applyNumberFormat="1" applyFont="1" applyFill="1" applyBorder="1" applyAlignment="1">
      <alignment horizontal="center" vertical="center"/>
    </xf>
    <xf numFmtId="3" fontId="3" fillId="7" borderId="37" xfId="0" applyNumberFormat="1" applyFont="1" applyFill="1" applyBorder="1" applyAlignment="1">
      <alignment horizontal="center" vertical="center"/>
    </xf>
    <xf numFmtId="3" fontId="0" fillId="7" borderId="37" xfId="0" applyNumberFormat="1" applyFont="1" applyFill="1" applyBorder="1" applyAlignment="1">
      <alignment horizontal="center" vertical="center"/>
    </xf>
    <xf numFmtId="3" fontId="3" fillId="8" borderId="37" xfId="0" applyNumberFormat="1" applyFont="1" applyFill="1" applyBorder="1" applyAlignment="1">
      <alignment horizontal="center" vertical="center"/>
    </xf>
    <xf numFmtId="3" fontId="0" fillId="8" borderId="37" xfId="0" applyNumberFormat="1" applyFont="1" applyFill="1" applyBorder="1" applyAlignment="1">
      <alignment horizontal="center" vertical="center"/>
    </xf>
    <xf numFmtId="165" fontId="0" fillId="7" borderId="34" xfId="0" applyNumberFormat="1" applyFont="1" applyFill="1" applyBorder="1" applyAlignment="1">
      <alignment horizontal="center" vertical="center"/>
    </xf>
    <xf numFmtId="165" fontId="2" fillId="7" borderId="34" xfId="0" applyNumberFormat="1" applyFont="1" applyFill="1" applyBorder="1" applyAlignment="1">
      <alignment horizontal="center" vertical="center"/>
    </xf>
    <xf numFmtId="165" fontId="0" fillId="7" borderId="33" xfId="0" applyNumberFormat="1" applyFont="1" applyFill="1" applyBorder="1" applyAlignment="1">
      <alignment horizontal="center" vertical="center"/>
    </xf>
    <xf numFmtId="165" fontId="2" fillId="7" borderId="33" xfId="0" applyNumberFormat="1" applyFont="1" applyFill="1" applyBorder="1" applyAlignment="1">
      <alignment horizontal="center" vertical="center"/>
    </xf>
    <xf numFmtId="165" fontId="2" fillId="7" borderId="35" xfId="0" applyNumberFormat="1" applyFont="1" applyFill="1" applyBorder="1" applyAlignment="1">
      <alignment horizontal="center" vertical="center"/>
    </xf>
    <xf numFmtId="3" fontId="2" fillId="7" borderId="37" xfId="0" applyNumberFormat="1" applyFont="1" applyFill="1" applyBorder="1" applyAlignment="1">
      <alignment horizontal="center" vertical="center"/>
    </xf>
    <xf numFmtId="3" fontId="0" fillId="7" borderId="36" xfId="0" applyNumberFormat="1" applyFont="1" applyFill="1" applyBorder="1" applyAlignment="1">
      <alignment horizontal="center" vertical="center"/>
    </xf>
    <xf numFmtId="3" fontId="2" fillId="7" borderId="36" xfId="0" applyNumberFormat="1" applyFont="1" applyFill="1" applyBorder="1" applyAlignment="1">
      <alignment horizontal="center" vertical="center"/>
    </xf>
    <xf numFmtId="3" fontId="2" fillId="7" borderId="38" xfId="0" applyNumberFormat="1" applyFont="1" applyFill="1" applyBorder="1" applyAlignment="1">
      <alignment horizontal="center" vertical="center"/>
    </xf>
    <xf numFmtId="165" fontId="0" fillId="8" borderId="34" xfId="0" applyNumberFormat="1" applyFont="1" applyFill="1" applyBorder="1" applyAlignment="1">
      <alignment horizontal="center" vertical="center"/>
    </xf>
    <xf numFmtId="165" fontId="2" fillId="8" borderId="34" xfId="0" applyNumberFormat="1" applyFont="1" applyFill="1" applyBorder="1" applyAlignment="1">
      <alignment horizontal="center" vertical="center"/>
    </xf>
    <xf numFmtId="165" fontId="0" fillId="8" borderId="33" xfId="0" applyNumberFormat="1" applyFont="1" applyFill="1" applyBorder="1" applyAlignment="1">
      <alignment horizontal="center" vertical="center"/>
    </xf>
    <xf numFmtId="165" fontId="2" fillId="8" borderId="33" xfId="0" applyNumberFormat="1" applyFont="1" applyFill="1" applyBorder="1" applyAlignment="1">
      <alignment horizontal="center" vertical="center"/>
    </xf>
    <xf numFmtId="165" fontId="2" fillId="8" borderId="35" xfId="0" applyNumberFormat="1" applyFont="1" applyFill="1" applyBorder="1" applyAlignment="1">
      <alignment horizontal="center" vertical="center"/>
    </xf>
    <xf numFmtId="3" fontId="2" fillId="8" borderId="37" xfId="0" applyNumberFormat="1" applyFont="1" applyFill="1" applyBorder="1" applyAlignment="1">
      <alignment horizontal="center" vertical="center"/>
    </xf>
    <xf numFmtId="3" fontId="0" fillId="8" borderId="36" xfId="0" applyNumberFormat="1" applyFont="1" applyFill="1" applyBorder="1" applyAlignment="1">
      <alignment horizontal="center" vertical="center"/>
    </xf>
    <xf numFmtId="3" fontId="2" fillId="8" borderId="36" xfId="0" applyNumberFormat="1" applyFont="1" applyFill="1" applyBorder="1" applyAlignment="1">
      <alignment horizontal="center" vertical="center"/>
    </xf>
    <xf numFmtId="3" fontId="2" fillId="8" borderId="3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2F7D4E"/>
      </font>
      <fill>
        <patternFill>
          <bgColor rgb="FFE2EFD9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2F7D4E"/>
      </font>
    </dxf>
    <dxf>
      <font>
        <b/>
        <color rgb="FFC00000"/>
      </font>
    </dxf>
    <dxf>
      <font>
        <b/>
        <color rgb="FFC98A00"/>
      </font>
    </dxf>
    <dxf>
      <font>
        <b/>
        <color rgb="FF000000"/>
      </font>
      <fill>
        <patternFill>
          <bgColor rgb="FFD9D9D9"/>
        </patternFill>
      </fill>
    </dxf>
    <dxf>
      <numFmt numFmtId="165" formatCode="#,##0.0"/>
    </dxf>
    <dxf>
      <font>
        <color rgb="FFA6A6A6"/>
      </font>
      <fill>
        <patternFill>
          <bgColor rgb="FFE7E6E6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9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calculos!$AP$12</c:f>
          <c:strCache>
            <c:ptCount val="1"/>
            <c:pt idx="0">
              <c:v>Veículos por dia · recebidos x expedidos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Recebidos (IN)</c:v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calculos!$C$12:$C$42</c:f>
              <c:numCache>
                <c:formatCode>General</c:formatCode>
                <c:ptCount val="31"/>
                <c:pt idx="0">
                  <c:v>40</c:v>
                </c:pt>
                <c:pt idx="1">
                  <c:v>52</c:v>
                </c:pt>
                <c:pt idx="2">
                  <c:v>38</c:v>
                </c:pt>
                <c:pt idx="3">
                  <c:v>32</c:v>
                </c:pt>
                <c:pt idx="4">
                  <c:v>41</c:v>
                </c:pt>
                <c:pt idx="5">
                  <c:v>0</c:v>
                </c:pt>
                <c:pt idx="6">
                  <c:v>38</c:v>
                </c:pt>
                <c:pt idx="7">
                  <c:v>37</c:v>
                </c:pt>
                <c:pt idx="8">
                  <c:v>47</c:v>
                </c:pt>
                <c:pt idx="9">
                  <c:v>51</c:v>
                </c:pt>
                <c:pt idx="10">
                  <c:v>42</c:v>
                </c:pt>
                <c:pt idx="11">
                  <c:v>41</c:v>
                </c:pt>
                <c:pt idx="12">
                  <c:v>0</c:v>
                </c:pt>
                <c:pt idx="13">
                  <c:v>42</c:v>
                </c:pt>
                <c:pt idx="14">
                  <c:v>36</c:v>
                </c:pt>
                <c:pt idx="15">
                  <c:v>50</c:v>
                </c:pt>
                <c:pt idx="16">
                  <c:v>41</c:v>
                </c:pt>
                <c:pt idx="17">
                  <c:v>46</c:v>
                </c:pt>
                <c:pt idx="18">
                  <c:v>47</c:v>
                </c:pt>
                <c:pt idx="19">
                  <c:v>0</c:v>
                </c:pt>
                <c:pt idx="20">
                  <c:v>57</c:v>
                </c:pt>
                <c:pt idx="21">
                  <c:v>52</c:v>
                </c:pt>
                <c:pt idx="22">
                  <c:v>40</c:v>
                </c:pt>
                <c:pt idx="23">
                  <c:v>44</c:v>
                </c:pt>
                <c:pt idx="24">
                  <c:v>57</c:v>
                </c:pt>
                <c:pt idx="25">
                  <c:v>46</c:v>
                </c:pt>
                <c:pt idx="26">
                  <c:v>0</c:v>
                </c:pt>
                <c:pt idx="27">
                  <c:v>38</c:v>
                </c:pt>
                <c:pt idx="28">
                  <c:v>51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v>Expedidos (OUT)</c:v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calculos!$L$12:$L$42</c:f>
              <c:numCache>
                <c:formatCode>General</c:formatCode>
                <c:ptCount val="31"/>
                <c:pt idx="0">
                  <c:v>82</c:v>
                </c:pt>
                <c:pt idx="1">
                  <c:v>70</c:v>
                </c:pt>
                <c:pt idx="2">
                  <c:v>68</c:v>
                </c:pt>
                <c:pt idx="3">
                  <c:v>58</c:v>
                </c:pt>
                <c:pt idx="4">
                  <c:v>45</c:v>
                </c:pt>
                <c:pt idx="5">
                  <c:v>0</c:v>
                </c:pt>
                <c:pt idx="6">
                  <c:v>54</c:v>
                </c:pt>
                <c:pt idx="7">
                  <c:v>49</c:v>
                </c:pt>
                <c:pt idx="8">
                  <c:v>48</c:v>
                </c:pt>
                <c:pt idx="9">
                  <c:v>62</c:v>
                </c:pt>
                <c:pt idx="10">
                  <c:v>61</c:v>
                </c:pt>
                <c:pt idx="11">
                  <c:v>66</c:v>
                </c:pt>
                <c:pt idx="12">
                  <c:v>0</c:v>
                </c:pt>
                <c:pt idx="13">
                  <c:v>67</c:v>
                </c:pt>
                <c:pt idx="14">
                  <c:v>53</c:v>
                </c:pt>
                <c:pt idx="15">
                  <c:v>59</c:v>
                </c:pt>
                <c:pt idx="16">
                  <c:v>58</c:v>
                </c:pt>
                <c:pt idx="17">
                  <c:v>60</c:v>
                </c:pt>
                <c:pt idx="18">
                  <c:v>63</c:v>
                </c:pt>
                <c:pt idx="19">
                  <c:v>0</c:v>
                </c:pt>
                <c:pt idx="20">
                  <c:v>64</c:v>
                </c:pt>
                <c:pt idx="21">
                  <c:v>52</c:v>
                </c:pt>
                <c:pt idx="22">
                  <c:v>47</c:v>
                </c:pt>
                <c:pt idx="23">
                  <c:v>55</c:v>
                </c:pt>
                <c:pt idx="24">
                  <c:v>47</c:v>
                </c:pt>
                <c:pt idx="25">
                  <c:v>53</c:v>
                </c:pt>
                <c:pt idx="26">
                  <c:v>0</c:v>
                </c:pt>
                <c:pt idx="27">
                  <c:v>54</c:v>
                </c:pt>
                <c:pt idx="28">
                  <c:v>71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6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calculos!$AP$13</c:f>
          <c:strCache>
            <c:ptCount val="1"/>
            <c:pt idx="0">
              <c:v>Taxa de ocupação por dia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Taxa de ocupação</c:v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calculos!$Z$12:$Z$42</c:f>
              <c:numCache>
                <c:formatCode>General</c:formatCode>
                <c:ptCount val="31"/>
                <c:pt idx="0">
                  <c:v>0.752116788321168</c:v>
                </c:pt>
                <c:pt idx="1">
                  <c:v>0.797664233576642</c:v>
                </c:pt>
                <c:pt idx="2">
                  <c:v>0.795766423357664</c:v>
                </c:pt>
                <c:pt idx="3">
                  <c:v>0.690875912408759</c:v>
                </c:pt>
                <c:pt idx="4">
                  <c:v>0.783795620437956</c:v>
                </c:pt>
                <c:pt idx="5">
                  <c:v>0.783795620437956</c:v>
                </c:pt>
                <c:pt idx="6">
                  <c:v>0.77970802919708</c:v>
                </c:pt>
                <c:pt idx="7">
                  <c:v>0.699051094890511</c:v>
                </c:pt>
                <c:pt idx="8">
                  <c:v>0.749051094890511</c:v>
                </c:pt>
                <c:pt idx="9">
                  <c:v>0.767810218978102</c:v>
                </c:pt>
                <c:pt idx="10">
                  <c:v>0.754452554744526</c:v>
                </c:pt>
                <c:pt idx="11">
                  <c:v>0.734379562043796</c:v>
                </c:pt>
                <c:pt idx="12">
                  <c:v>0.734379562043796</c:v>
                </c:pt>
                <c:pt idx="13">
                  <c:v>0.820948905109489</c:v>
                </c:pt>
                <c:pt idx="14">
                  <c:v>0.724598540145985</c:v>
                </c:pt>
                <c:pt idx="15">
                  <c:v>0.646569343065694</c:v>
                </c:pt>
                <c:pt idx="16">
                  <c:v>0.762992700729927</c:v>
                </c:pt>
                <c:pt idx="17">
                  <c:v>0.771167883211679</c:v>
                </c:pt>
                <c:pt idx="18">
                  <c:v>0.744598540145985</c:v>
                </c:pt>
                <c:pt idx="19">
                  <c:v>0.744598540145985</c:v>
                </c:pt>
                <c:pt idx="20">
                  <c:v>0.760802919708029</c:v>
                </c:pt>
                <c:pt idx="21">
                  <c:v>0.748175182481752</c:v>
                </c:pt>
                <c:pt idx="22">
                  <c:v>0.809270072992701</c:v>
                </c:pt>
                <c:pt idx="23">
                  <c:v>0.764744525547445</c:v>
                </c:pt>
                <c:pt idx="24">
                  <c:v>0.754160583941606</c:v>
                </c:pt>
                <c:pt idx="25">
                  <c:v>0.751167883211679</c:v>
                </c:pt>
                <c:pt idx="26">
                  <c:v>0.751167883211679</c:v>
                </c:pt>
                <c:pt idx="27">
                  <c:v>0.762481751824818</c:v>
                </c:pt>
                <c:pt idx="28">
                  <c:v>0.759416058394161</c:v>
                </c:pt>
              </c:numCache>
            </c:numRef>
          </c:val>
        </c:ser>
        <c:gapWidth val="40"/>
        <c:axId val="101"/>
        <c:axId val="102"/>
      </c:barChart>
      <c:lineChart>
        <c:grouping val="standard"/>
        <c:varyColors val="0"/>
        <c:ser>
          <c:idx val="1"/>
          <c:order val="1"/>
          <c:tx>
            <c:v>Atenção 70%</c:v>
          </c:tx>
          <c:spPr>
            <a:ln w="19050" cap="rnd">
              <a:solidFill>
                <a:srgbClr val="C98A00"/>
              </a:solidFill>
              <a:prstDash val="dash"/>
              <a:round/>
            </a:ln>
          </c:spPr>
          <c:marker>
            <c:symbol val="none"/>
          </c:marker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calculos!$AI$12:$AI$42</c:f>
              <c:numCache>
                <c:formatCode>General</c:formatCode>
                <c:ptCount val="31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</c:numCache>
            </c:numRef>
          </c:val>
          <c:smooth val="0"/>
        </c:ser>
        <c:ser>
          <c:idx val="2"/>
          <c:order val="2"/>
          <c:tx>
            <c:v>Crítico 90%</c:v>
          </c:tx>
          <c:spPr>
            <a:ln w="19050" cap="rnd">
              <a:solidFill>
                <a:srgbClr val="7B0000"/>
              </a:solidFill>
              <a:prstDash val="dash"/>
              <a:round/>
            </a:ln>
          </c:spPr>
          <c:marker>
            <c:symbol val="none"/>
          </c:marker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calculos!$AJ$12:$AJ$42</c:f>
              <c:numCache>
                <c:formatCode>General</c:formatCode>
                <c:ptCount val="31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</c:numCache>
            </c:numRef>
          </c:val>
          <c:smooth val="0"/>
        </c:ser>
        <c:marker val="1"/>
        <c:axId val="101"/>
        <c:axId val="102"/>
      </c:line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calculos!$AP$14</c:f>
          <c:strCache>
            <c:ptCount val="1"/>
            <c:pt idx="0">
              <c:v>Por semana · Pallets Movimentados (IN) x Pallets Movimentados (OUT)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</c:v>
          </c:tx>
          <c:spPr>
            <a:solidFill>
              <a:srgbClr val="E01E1E"/>
            </a:solidFill>
            <a:ln>
              <a:noFill/>
            </a:ln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calculos!$F$87:$F$91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(29–30)</c:v>
                </c:pt>
              </c:strCache>
            </c:strRef>
          </c:cat>
          <c:val>
            <c:numRef>
              <c:f>calculos!$I$87:$I$91</c:f>
              <c:numCache>
                <c:formatCode>General</c:formatCode>
                <c:ptCount val="5"/>
                <c:pt idx="0">
                  <c:v>3308</c:v>
                </c:pt>
                <c:pt idx="1">
                  <c:v>3000</c:v>
                </c:pt>
                <c:pt idx="2">
                  <c:v>3019</c:v>
                </c:pt>
                <c:pt idx="3">
                  <c:v>3160</c:v>
                </c:pt>
                <c:pt idx="4">
                  <c:v>504</c:v>
                </c:pt>
              </c:numCache>
            </c:numRef>
          </c:val>
        </c:ser>
        <c:ser>
          <c:idx val="1"/>
          <c:order val="1"/>
          <c:tx>
            <c:v>OUT</c:v>
          </c:tx>
          <c:spPr>
            <a:solidFill>
              <a:srgbClr val="A6A6A6"/>
            </a:solidFill>
            <a:ln>
              <a:noFill/>
            </a:ln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calculos!$F$87:$F$91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(29–30)</c:v>
                </c:pt>
              </c:strCache>
            </c:strRef>
          </c:cat>
          <c:val>
            <c:numRef>
              <c:f>calculos!$J$87:$J$91</c:f>
              <c:numCache>
                <c:formatCode>General</c:formatCode>
                <c:ptCount val="5"/>
                <c:pt idx="0">
                  <c:v>3925</c:v>
                </c:pt>
                <c:pt idx="1">
                  <c:v>3929</c:v>
                </c:pt>
                <c:pt idx="2">
                  <c:v>4046</c:v>
                </c:pt>
                <c:pt idx="3">
                  <c:v>3835</c:v>
                </c:pt>
                <c:pt idx="4">
                  <c:v>735</c:v>
                </c:pt>
              </c:numCache>
            </c:numRef>
          </c:val>
        </c:ser>
        <c:gapWidth val="7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1"/>
        <c:axPos val="l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rich>
          <a:bodyPr/>
          <a:lstStyle/>
          <a:p>
            <a:pPr>
              <a:defRPr sz="1100" b="1"/>
            </a:pPr>
            <a:r>
              <a:rPr lang="pt-BR" sz="1100" b="1">
                <a:solidFill>
                  <a:srgbClr val="404040"/>
                </a:solidFill>
                <a:latin typeface="Calibri"/>
              </a:rPr>
              <a:t>Veículos por cliente no mês · recebidos x expedidos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Recebidos (IN)</c:v>
          </c:tx>
          <c:spPr>
            <a:solidFill>
              <a:srgbClr val="E01E1E"/>
            </a:solidFill>
            <a:ln>
              <a:noFill/>
            </a:ln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calculos!$B$95:$J$95</c:f>
              <c:strCache>
                <c:ptCount val="9"/>
                <c:pt idx="0">
                  <c:v>BASF</c:v>
                </c:pt>
                <c:pt idx="1">
                  <c:v>BEAUTYBIZ</c:v>
                </c:pt>
                <c:pt idx="2">
                  <c:v>BOTICÁRIO</c:v>
                </c:pt>
                <c:pt idx="3">
                  <c:v>SUPPLY</c:v>
                </c:pt>
                <c:pt idx="4">
                  <c:v>GE VERNOVA</c:v>
                </c:pt>
                <c:pt idx="5">
                  <c:v>VESTAS</c:v>
                </c:pt>
                <c:pt idx="6">
                  <c:v>VEDACIT</c:v>
                </c:pt>
                <c:pt idx="7">
                  <c:v>OMNLIFE</c:v>
                </c:pt>
                <c:pt idx="8">
                  <c:v>ALPARGATAS</c:v>
                </c:pt>
              </c:strCache>
            </c:strRef>
          </c:cat>
          <c:val>
            <c:numRef>
              <c:f>calculos!$B$96:$J$96</c:f>
              <c:numCache>
                <c:formatCode>General</c:formatCode>
                <c:ptCount val="9"/>
                <c:pt idx="0">
                  <c:v>130</c:v>
                </c:pt>
                <c:pt idx="1">
                  <c:v>120</c:v>
                </c:pt>
                <c:pt idx="2">
                  <c:v>136</c:v>
                </c:pt>
                <c:pt idx="3">
                  <c:v>129</c:v>
                </c:pt>
                <c:pt idx="4">
                  <c:v>122</c:v>
                </c:pt>
                <c:pt idx="5">
                  <c:v>116</c:v>
                </c:pt>
                <c:pt idx="6">
                  <c:v>128</c:v>
                </c:pt>
                <c:pt idx="7">
                  <c:v>112</c:v>
                </c:pt>
                <c:pt idx="8">
                  <c:v>113</c:v>
                </c:pt>
              </c:numCache>
            </c:numRef>
          </c:val>
        </c:ser>
        <c:ser>
          <c:idx val="1"/>
          <c:order val="1"/>
          <c:tx>
            <c:v>Expedidos (OUT)</c:v>
          </c:tx>
          <c:spPr>
            <a:solidFill>
              <a:srgbClr val="A6A6A6"/>
            </a:solidFill>
            <a:ln>
              <a:noFill/>
            </a:ln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calculos!$B$95:$J$95</c:f>
              <c:strCache>
                <c:ptCount val="9"/>
                <c:pt idx="0">
                  <c:v>BASF</c:v>
                </c:pt>
                <c:pt idx="1">
                  <c:v>BEAUTYBIZ</c:v>
                </c:pt>
                <c:pt idx="2">
                  <c:v>BOTICÁRIO</c:v>
                </c:pt>
                <c:pt idx="3">
                  <c:v>SUPPLY</c:v>
                </c:pt>
                <c:pt idx="4">
                  <c:v>GE VERNOVA</c:v>
                </c:pt>
                <c:pt idx="5">
                  <c:v>VESTAS</c:v>
                </c:pt>
                <c:pt idx="6">
                  <c:v>VEDACIT</c:v>
                </c:pt>
                <c:pt idx="7">
                  <c:v>OMNLIFE</c:v>
                </c:pt>
                <c:pt idx="8">
                  <c:v>ALPARGATAS</c:v>
                </c:pt>
              </c:strCache>
            </c:strRef>
          </c:cat>
          <c:val>
            <c:numRef>
              <c:f>calculos!$B$105:$J$105</c:f>
              <c:numCache>
                <c:formatCode>General</c:formatCode>
                <c:ptCount val="9"/>
                <c:pt idx="0">
                  <c:v>150</c:v>
                </c:pt>
                <c:pt idx="1">
                  <c:v>154</c:v>
                </c:pt>
                <c:pt idx="2">
                  <c:v>163</c:v>
                </c:pt>
                <c:pt idx="3">
                  <c:v>166</c:v>
                </c:pt>
                <c:pt idx="4">
                  <c:v>165</c:v>
                </c:pt>
                <c:pt idx="5">
                  <c:v>164</c:v>
                </c:pt>
                <c:pt idx="6">
                  <c:v>154</c:v>
                </c:pt>
                <c:pt idx="7">
                  <c:v>183</c:v>
                </c:pt>
                <c:pt idx="8">
                  <c:v>167</c:v>
                </c:pt>
              </c:numCache>
            </c:numRef>
          </c:val>
        </c:ser>
        <c:gapWidth val="50"/>
        <c:overlap val="-10"/>
        <c:axId val="101"/>
        <c:axId val="102"/>
      </c:barChart>
      <c:catAx>
        <c:axId val="10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10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1"/>
        <c:axPos val="b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chart" Target="../charts/chart1.xml"/><Relationship Id="rId8" Type="http://schemas.openxmlformats.org/officeDocument/2006/relationships/chart" Target="../charts/chart2.xml"/><Relationship Id="rId9" Type="http://schemas.openxmlformats.org/officeDocument/2006/relationships/chart" Target="../charts/chart3.xml"/><Relationship Id="rId10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5</xdr:row>
      <xdr:rowOff>57150</xdr:rowOff>
    </xdr:from>
    <xdr:ext cx="438150" cy="323850"/>
    <xdr:pic>
      <xdr:nvPicPr>
        <xdr:cNvPr id="3" name="Imagem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38150" cy="3238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5</xdr:row>
      <xdr:rowOff>57150</xdr:rowOff>
    </xdr:from>
    <xdr:ext cx="438150" cy="381000"/>
    <xdr:pic>
      <xdr:nvPicPr>
        <xdr:cNvPr id="4" name="Imagem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438150" cy="381000"/>
        </a:xfrm>
        <a:prstGeom prst="rect">
          <a:avLst/>
        </a:prstGeom>
      </xdr:spPr>
    </xdr:pic>
    <xdr:clientData/>
  </xdr:oneCellAnchor>
  <xdr:oneCellAnchor>
    <xdr:from>
      <xdr:col>11</xdr:col>
      <xdr:colOff>38100</xdr:colOff>
      <xdr:row>5</xdr:row>
      <xdr:rowOff>57150</xdr:rowOff>
    </xdr:from>
    <xdr:ext cx="438150" cy="381000"/>
    <xdr:pic>
      <xdr:nvPicPr>
        <xdr:cNvPr id="5" name="Imagem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438150" cy="381000"/>
        </a:xfrm>
        <a:prstGeom prst="rect">
          <a:avLst/>
        </a:prstGeom>
      </xdr:spPr>
    </xdr:pic>
    <xdr:clientData/>
  </xdr:oneCellAnchor>
  <xdr:oneCellAnchor>
    <xdr:from>
      <xdr:col>16</xdr:col>
      <xdr:colOff>38100</xdr:colOff>
      <xdr:row>5</xdr:row>
      <xdr:rowOff>57150</xdr:rowOff>
    </xdr:from>
    <xdr:ext cx="438150" cy="333375"/>
    <xdr:pic>
      <xdr:nvPicPr>
        <xdr:cNvPr id="6" name="Imagem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438150" cy="333375"/>
        </a:xfrm>
        <a:prstGeom prst="rect">
          <a:avLst/>
        </a:prstGeom>
      </xdr:spPr>
    </xdr:pic>
    <xdr:clientData/>
  </xdr:oneCellAnchor>
  <xdr:oneCellAnchor>
    <xdr:from>
      <xdr:col>21</xdr:col>
      <xdr:colOff>38100</xdr:colOff>
      <xdr:row>5</xdr:row>
      <xdr:rowOff>57150</xdr:rowOff>
    </xdr:from>
    <xdr:ext cx="438150" cy="438150"/>
    <xdr:pic>
      <xdr:nvPicPr>
        <xdr:cNvPr id="7" name="Imagem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438150" cy="43815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12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8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 editAs="oneCell">
    <xdr:from>
      <xdr:col>14</xdr:col>
      <xdr:colOff>0</xdr:colOff>
      <xdr:row>12</xdr:row>
      <xdr:rowOff>0</xdr:rowOff>
    </xdr:from>
    <xdr:to>
      <xdr:col>25</xdr:col>
      <xdr:colOff>0</xdr:colOff>
      <xdr:row>29</xdr:row>
      <xdr:rowOff>0</xdr:rowOff>
    </xdr:to>
    <xdr:graphicFrame macro="">
      <xdr:nvGraphicFramePr>
        <xdr:cNvPr id="9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10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  <xdr:twoCellAnchor editAs="oneCell">
    <xdr:from>
      <xdr:col>14</xdr:col>
      <xdr:colOff>0</xdr:colOff>
      <xdr:row>30</xdr:row>
      <xdr:rowOff>0</xdr:rowOff>
    </xdr:from>
    <xdr:to>
      <xdr:col>25</xdr:col>
      <xdr:colOff>0</xdr:colOff>
      <xdr:row>47</xdr:row>
      <xdr:rowOff>0</xdr:rowOff>
    </xdr:to>
    <xdr:graphicFrame macro="">
      <xdr:nvGraphicFramePr>
        <xdr:cNvPr id="11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bBase" displayName="tbBase" ref="A2:AE461" totalsRowShown="0">
  <autoFilter ref="A2:AE461"/>
  <tableColumns count="31">
    <tableColumn id="1" name="Data"/>
    <tableColumn id="2" name="Cliente"/>
    <tableColumn id="3" name="IN Veículos Recebidos"/>
    <tableColumn id="4" name="IN Pallets Movimentados"/>
    <tableColumn id="5" name="IN Toneladas Movimentadas"/>
    <tableColumn id="6" name="IN Caixas Movimentadas"/>
    <tableColumn id="7" name="IN Itens Recebidos CX Mista"/>
    <tableColumn id="8" name="IN Caixas Mistas Recebidas"/>
    <tableColumn id="9" name="IN Caixas Fechadas"/>
    <tableColumn id="10" name="IN Peças Movimentadas"/>
    <tableColumn id="11" name="IN Linhas NF"/>
    <tableColumn id="12" name="OUT Veículos Expedidos"/>
    <tableColumn id="13" name="OUT Pallets Movimentados"/>
    <tableColumn id="14" name="OUT Toneladas Movimentadas"/>
    <tableColumn id="15" name="OUT Caixas Expedidas"/>
    <tableColumn id="16" name="OUT Pedidos Expedidos"/>
    <tableColumn id="17" name="OUT Pedidos Faturados"/>
    <tableColumn id="18" name="OUT Itens Expedidos"/>
    <tableColumn id="19" name="OUT Peças Movimentadas"/>
    <tableColumn id="20" name="OUT Linhas NF"/>
    <tableColumn id="21" name="NC Incidentes"/>
    <tableColumn id="22" name="NC No show"/>
    <tableColumn id="23" name="NC Backlog"/>
    <tableColumn id="24" name="Posições Disponíveis"/>
    <tableColumn id="25" name="Posições Ocupadas"/>
    <tableColumn id="26" name="Efetivo"/>
    <tableColumn id="27" name="Falta"/>
    <tableColumn id="28" name="Folga"/>
    <tableColumn id="29" name="Férias"/>
    <tableColumn id="30" name="Desligamentos"/>
    <tableColumn id="31" name="Modalidade"/>
  </tableColumns>
  <tableStyleInfo name="TableStyleLight1" showFirstColumn="0" showLastColumn="0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Id="rIdTb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1E1E"/>
    <pageSetUpPr fitToPage="1"/>
  </sheetPr>
  <dimension ref="A1:Z48"/>
  <sheetViews>
    <sheetView showGridLines="0" tabSelected="1" zoomScale="90" zoomScaleNormal="90" workbookViewId="0"/>
  </sheetViews>
  <sheetFormatPr defaultRowHeight="15"/>
  <cols>
    <col min="1" max="1" width="1.5" customWidth="1"/>
    <col min="2" max="2" width="7.4" customWidth="1"/>
    <col min="3" max="3" width="7.4" customWidth="1"/>
    <col min="4" max="4" width="7.4" customWidth="1"/>
    <col min="5" max="5" width="7.4" customWidth="1"/>
    <col min="6" max="6" width="1.8" customWidth="1"/>
    <col min="7" max="7" width="7.4" customWidth="1"/>
    <col min="8" max="8" width="7.4" customWidth="1"/>
    <col min="9" max="9" width="7.4" customWidth="1"/>
    <col min="10" max="10" width="7.4" customWidth="1"/>
    <col min="11" max="11" width="1.8" customWidth="1"/>
    <col min="12" max="12" width="7.4" customWidth="1"/>
    <col min="13" max="13" width="7.4" customWidth="1"/>
    <col min="14" max="14" width="7.4" customWidth="1"/>
    <col min="15" max="15" width="7.4" customWidth="1"/>
    <col min="16" max="16" width="1.8" customWidth="1"/>
    <col min="17" max="17" width="7.4" customWidth="1"/>
    <col min="18" max="18" width="7.4" customWidth="1"/>
    <col min="19" max="19" width="7.4" customWidth="1"/>
    <col min="20" max="20" width="7.4" customWidth="1"/>
    <col min="21" max="21" width="1.8" customWidth="1"/>
    <col min="22" max="22" width="7.4" customWidth="1"/>
    <col min="23" max="23" width="7.4" customWidth="1"/>
    <col min="24" max="24" width="7.4" customWidth="1"/>
    <col min="25" max="25" width="7.4" customWidth="1"/>
    <col min="26" max="26" width="1.5" customWidth="1"/>
  </cols>
  <sheetData>
    <row r="1" ht="34.5" customHeight="1">
      <c r="A1" s="1"/>
      <c r="B1" s="1"/>
      <c r="C1" s="1"/>
      <c r="D1" s="1"/>
      <c r="E1" s="1"/>
      <c r="F1" s="1"/>
      <c r="G1" s="432" t="inlineStr">
        <is>
          <t xml:space="preserve">INDICADORES OPERACIONAIS</t>
        </is>
      </c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3" t="inlineStr">
        <is>
          <t xml:space="preserve">SETEMBRO · 2026</t>
        </is>
      </c>
      <c r="V1" s="433"/>
      <c r="W1" s="433"/>
      <c r="X1" s="433"/>
      <c r="Y1" s="433"/>
      <c r="Z1" s="433"/>
    </row>
    <row r="3" ht="26" customHeight="1">
      <c r="B3" s="434" t="inlineStr">
        <is>
          <t xml:space="preserve">CLIENTE  ▸</t>
        </is>
      </c>
      <c r="C3" s="434"/>
      <c r="D3" s="435" t="inlineStr">
        <is>
          <t xml:space="preserve">Todos</t>
        </is>
      </c>
      <c r="E3" s="436"/>
      <c r="F3" s="436"/>
      <c r="G3" s="436"/>
      <c r="H3" s="436"/>
      <c r="I3" s="437"/>
      <c r="Q3" s="438" t="str">
        <f>IF(calculos!$B$9=0,"Sem dados na Base para o mês escolhido","Dados até "&amp;TEXT(calculos!$C$7+calculos!$B$9-1,"dd/mm")&amp;"  ·  ▲▼ comparado a "&amp;LOWER(LEFT(calculos!$B$8,FIND("/",calculos!$B$8)-1))&amp;" (dias 1 a "&amp;calculos!$B$9&amp;")")</f>
        <v>Dados até 29/09  ·  ▲▼ comparado a agosto (dias 1 a 29)</v>
      </c>
      <c r="R3" s="438"/>
      <c r="S3" s="438"/>
      <c r="T3" s="438"/>
      <c r="U3" s="438"/>
      <c r="V3" s="438"/>
      <c r="W3" s="438"/>
      <c r="X3" s="438"/>
      <c r="Y3" s="438"/>
    </row>
    <row r="5" ht="22" customHeight="1">
      <c r="B5" s="445" t="inlineStr">
        <is>
          <t xml:space="preserve">RECEBIMENTO (IN)</t>
        </is>
      </c>
      <c r="C5" s="445"/>
      <c r="D5" s="445"/>
      <c r="E5" s="445"/>
      <c r="G5" s="450" t="inlineStr">
        <is>
          <t xml:space="preserve">EXPEDIÇÃO (OUT)</t>
        </is>
      </c>
      <c r="H5" s="450"/>
      <c r="I5" s="450"/>
      <c r="J5" s="450"/>
      <c r="L5" s="452" t="inlineStr">
        <is>
          <t xml:space="preserve">NÃO CONFORMIDADES</t>
        </is>
      </c>
      <c r="M5" s="452"/>
      <c r="N5" s="452"/>
      <c r="O5" s="452"/>
      <c r="Q5" s="445" t="inlineStr">
        <is>
          <t xml:space="preserve">OCUPAÇÃO (P.P)</t>
        </is>
      </c>
      <c r="R5" s="445"/>
      <c r="S5" s="445"/>
      <c r="T5" s="445"/>
      <c r="V5" s="456" t="inlineStr">
        <is>
          <t xml:space="preserve">GENTE</t>
        </is>
      </c>
      <c r="W5" s="456"/>
      <c r="X5" s="456"/>
      <c r="Y5" s="456"/>
    </row>
    <row r="6" ht="19" customHeight="1">
      <c r="B6" s="439"/>
      <c r="C6" s="446">
        <f>calculos!$C$43</f>
        <v>1106</v>
      </c>
      <c r="D6" s="446"/>
      <c r="E6" s="446"/>
      <c r="G6" s="439"/>
      <c r="H6" s="446">
        <f>calculos!$L$43</f>
        <v>1466</v>
      </c>
      <c r="I6" s="446"/>
      <c r="J6" s="446"/>
      <c r="L6" s="439"/>
      <c r="M6" s="446">
        <f>calculos!$U$43</f>
        <v>5</v>
      </c>
      <c r="N6" s="446"/>
      <c r="O6" s="446"/>
      <c r="Q6" s="439"/>
      <c r="R6" s="454">
        <f>calculos!$Z$43</f>
        <v>0.759416058394161</v>
      </c>
      <c r="S6" s="454"/>
      <c r="T6" s="454"/>
      <c r="V6" s="439"/>
      <c r="W6" s="446">
        <f>calculos!$AA$43</f>
        <v>69</v>
      </c>
      <c r="X6" s="446"/>
      <c r="Y6" s="446"/>
    </row>
    <row r="7" ht="19" customHeight="1">
      <c r="B7" s="439"/>
      <c r="C7" s="446"/>
      <c r="D7" s="446"/>
      <c r="E7" s="446"/>
      <c r="G7" s="439"/>
      <c r="H7" s="446"/>
      <c r="I7" s="446"/>
      <c r="J7" s="446"/>
      <c r="L7" s="439"/>
      <c r="M7" s="446"/>
      <c r="N7" s="446"/>
      <c r="O7" s="446"/>
      <c r="Q7" s="439"/>
      <c r="R7" s="454"/>
      <c r="S7" s="454"/>
      <c r="T7" s="454"/>
      <c r="V7" s="439"/>
      <c r="W7" s="446"/>
      <c r="X7" s="446"/>
      <c r="Y7" s="446"/>
    </row>
    <row r="8" ht="19" customHeight="1">
      <c r="B8" s="439"/>
      <c r="C8" s="446"/>
      <c r="D8" s="446"/>
      <c r="E8" s="446"/>
      <c r="G8" s="439"/>
      <c r="H8" s="446"/>
      <c r="I8" s="446"/>
      <c r="J8" s="446"/>
      <c r="L8" s="439"/>
      <c r="M8" s="446"/>
      <c r="N8" s="446"/>
      <c r="O8" s="446"/>
      <c r="Q8" s="439"/>
      <c r="R8" s="454"/>
      <c r="S8" s="454"/>
      <c r="T8" s="454"/>
      <c r="V8" s="439"/>
      <c r="W8" s="446"/>
      <c r="X8" s="446"/>
      <c r="Y8" s="446"/>
    </row>
    <row r="9" ht="15" customHeight="1">
      <c r="B9" s="447" t="inlineStr">
        <is>
          <t xml:space="preserve">veículos recebidos</t>
        </is>
      </c>
      <c r="C9" s="447"/>
      <c r="D9" s="447"/>
      <c r="E9" s="447"/>
      <c r="G9" s="447" t="inlineStr">
        <is>
          <t xml:space="preserve">veículos expedidos</t>
        </is>
      </c>
      <c r="H9" s="447"/>
      <c r="I9" s="447"/>
      <c r="J9" s="447"/>
      <c r="L9" s="447" t="inlineStr">
        <is>
          <t xml:space="preserve">incidentes no mês</t>
        </is>
      </c>
      <c r="M9" s="447"/>
      <c r="N9" s="447"/>
      <c r="O9" s="447"/>
      <c r="Q9" s="447" t="str">
        <f>"taxa de ocupação · "&amp;calculos!$Z$50</f>
        <v>taxa de ocupação · atenção</v>
      </c>
      <c r="R9" s="447"/>
      <c r="S9" s="447"/>
      <c r="T9" s="447"/>
      <c r="V9" s="447" t="inlineStr">
        <is>
          <t xml:space="preserve">efetivo operacional</t>
        </is>
      </c>
      <c r="W9" s="447"/>
      <c r="X9" s="447"/>
      <c r="Y9" s="447"/>
    </row>
    <row r="10" ht="15" customHeight="1">
      <c r="B10" s="448" t="str">
        <f>IFERROR(IF(calculos!$B$3="","",FIXED(INDEX(calculos!$C$43:$AE$43,MATCH(calculos!$B$3,calculos!$C$11:$AE$11,0)),IF(ISNUMBER(SEARCH("Toneladas",calculos!$B$3)),1,0))&amp;" "&amp;MID(calculos!$B$3,FIND(" ",calculos!$B$3)+1,99)),"")</f>
        <v>12,991 Pallets Movimentados</v>
      </c>
      <c r="C10" s="448"/>
      <c r="D10" s="448"/>
      <c r="E10" s="448"/>
      <c r="G10" s="451" t="str">
        <f>IFERROR(IF(calculos!$C$3="","",FIXED(INDEX(calculos!$C$43:$AE$43,MATCH(calculos!$C$3,calculos!$C$11:$AE$11,0)),IF(ISNUMBER(SEARCH("Toneladas",calculos!$C$3)),1,0))&amp;" "&amp;MID(calculos!$C$3,FIND(" ",calculos!$C$3)+1,99)),"")</f>
        <v>16,470 Pallets Movimentados</v>
      </c>
      <c r="H10" s="451"/>
      <c r="I10" s="451"/>
      <c r="J10" s="451"/>
      <c r="L10" s="453">
        <f>calculos!$V$43</f>
        <v>20</v>
      </c>
      <c r="M10" s="453"/>
      <c r="N10" s="453"/>
      <c r="O10" s="453"/>
      <c r="Q10" s="455">
        <f>calculos!$Y$43</f>
        <v>10404</v>
      </c>
      <c r="R10" s="455"/>
      <c r="S10" s="455"/>
      <c r="T10" s="455"/>
      <c r="V10" s="457">
        <f>calculos!$AB$43</f>
        <v>42</v>
      </c>
      <c r="W10" s="457"/>
      <c r="X10" s="457"/>
      <c r="Y10" s="457"/>
    </row>
    <row r="11" ht="16" customHeight="1">
      <c r="B11" s="449">
        <f>calculos!$C$47</f>
        <v>-0.0195035460992907</v>
      </c>
      <c r="C11" s="449"/>
      <c r="D11" s="449"/>
      <c r="E11" s="449"/>
      <c r="G11" s="449">
        <f>calculos!$L$47</f>
        <v>0.0600144613159797</v>
      </c>
      <c r="H11" s="449"/>
      <c r="I11" s="449"/>
      <c r="J11" s="449"/>
      <c r="L11" s="449">
        <f>calculos!$U$47</f>
        <v>-0.375</v>
      </c>
      <c r="M11" s="449"/>
      <c r="N11" s="449"/>
      <c r="O11" s="449"/>
      <c r="Q11" s="449">
        <f>calculos!$Z$47</f>
        <v>0.132716385410996</v>
      </c>
      <c r="R11" s="449"/>
      <c r="S11" s="449"/>
      <c r="T11" s="449"/>
      <c r="V11" s="449">
        <f>calculos!$AA$47</f>
        <v>-0.126582278481013</v>
      </c>
      <c r="W11" s="449"/>
      <c r="X11" s="449"/>
      <c r="Y11" s="449"/>
    </row>
    <row r="48">
      <c r="B48" s="458" t="inlineStr">
        <is>
          <t xml:space="preserve">Cartões e gráficos seguem o filtro de cliente (o ranking mostra todos). Detalhe dos indicadores de cada cliente na aba “Quadro de Indicadores”. Fonte: Power Automate · IntraLog.</t>
        </is>
      </c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58"/>
      <c r="Q48" s="458"/>
      <c r="R48" s="458"/>
      <c r="S48" s="458"/>
      <c r="T48" s="458"/>
      <c r="U48" s="458"/>
      <c r="V48" s="458"/>
      <c r="W48" s="458"/>
      <c r="X48" s="458"/>
      <c r="Y48" s="458"/>
    </row>
  </sheetData>
  <mergeCells count="31">
    <mergeCell ref="G1:T1"/>
    <mergeCell ref="U1:Z1"/>
    <mergeCell ref="B3:C3"/>
    <mergeCell ref="D3:I3"/>
    <mergeCell ref="Q3:Y3"/>
    <mergeCell ref="B5:E5"/>
    <mergeCell ref="C6:E8"/>
    <mergeCell ref="B9:E9"/>
    <mergeCell ref="B10:E10"/>
    <mergeCell ref="B11:E11"/>
    <mergeCell ref="G5:J5"/>
    <mergeCell ref="H6:J8"/>
    <mergeCell ref="G9:J9"/>
    <mergeCell ref="G10:J10"/>
    <mergeCell ref="G11:J11"/>
    <mergeCell ref="L5:O5"/>
    <mergeCell ref="M6:O8"/>
    <mergeCell ref="L9:O9"/>
    <mergeCell ref="L10:O10"/>
    <mergeCell ref="L11:O11"/>
    <mergeCell ref="Q5:T5"/>
    <mergeCell ref="R6:T8"/>
    <mergeCell ref="Q9:T9"/>
    <mergeCell ref="Q10:T10"/>
    <mergeCell ref="Q11:T11"/>
    <mergeCell ref="V5:Y5"/>
    <mergeCell ref="W6:Y8"/>
    <mergeCell ref="V9:Y9"/>
    <mergeCell ref="V10:Y10"/>
    <mergeCell ref="V11:Y11"/>
    <mergeCell ref="B48:Y48"/>
  </mergeCells>
  <conditionalFormatting sqref="B11">
    <cfRule type="expression" dxfId="6" priority="1">
      <formula>AND(ISNUMBER(B11),B11&gt;0)</formula>
    </cfRule>
  </conditionalFormatting>
  <conditionalFormatting sqref="B11">
    <cfRule type="expression" dxfId="7" priority="2">
      <formula>AND(ISNUMBER(B11),B11&lt;0)</formula>
    </cfRule>
  </conditionalFormatting>
  <conditionalFormatting sqref="G11">
    <cfRule type="expression" dxfId="6" priority="3">
      <formula>AND(ISNUMBER(G11),G11&gt;0)</formula>
    </cfRule>
  </conditionalFormatting>
  <conditionalFormatting sqref="G11">
    <cfRule type="expression" dxfId="7" priority="4">
      <formula>AND(ISNUMBER(G11),G11&lt;0)</formula>
    </cfRule>
  </conditionalFormatting>
  <conditionalFormatting sqref="L11">
    <cfRule type="expression" dxfId="6" priority="5">
      <formula>AND(ISNUMBER(L11),L11&lt;0)</formula>
    </cfRule>
  </conditionalFormatting>
  <conditionalFormatting sqref="L11">
    <cfRule type="expression" dxfId="7" priority="6">
      <formula>AND(ISNUMBER(L11),L11&gt;0)</formula>
    </cfRule>
  </conditionalFormatting>
  <conditionalFormatting sqref="R6">
    <cfRule type="expression" dxfId="7" priority="7" stopIfTrue="1">
      <formula>AND(ISNUMBER(R6),R6&gt;=calculos!$B$6)</formula>
    </cfRule>
  </conditionalFormatting>
  <conditionalFormatting sqref="R6">
    <cfRule type="expression" dxfId="8" priority="8" stopIfTrue="1">
      <formula>AND(ISNUMBER(R6),R6&gt;=calculos!$B$5)</formula>
    </cfRule>
  </conditionalFormatting>
  <conditionalFormatting sqref="R6">
    <cfRule type="expression" dxfId="6" priority="9">
      <formula>ISNUMBER(R6)</formula>
    </cfRule>
  </conditionalFormatting>
  <dataValidations count="2">
    <dataValidation type="list" allowBlank="1" showInputMessage="1" showErrorMessage="1" errorTitle="Cliente" error="Escolha um cliente da lista." promptTitle="Cliente" prompt="Escolha um cliente ou Todos. A página inteira se atualiza." sqref="D3">
      <formula1>calculos!$AL$12:$AL$21</formula1>
    </dataValidation>
    <dataValidation type="list" allowBlank="0" showInputMessage="1" showErrorMessage="1" errorTitle="Mês / ano" error="Escolha um mês da lista." promptTitle="Mês / ano" prompt="Escolha o mês / ano dos Indicadores. Os dados vêm da aba Base." sqref="U1">
      <formula1>calculos!$AN$12:$AN$35</formula1>
    </dataValidation>
  </dataValidations>
  <pageMargins left="0.25" right="0.25" top="0.4" bottom="0.4" header="0.2" footer="0.2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  <pageSetUpPr fitToPage="1"/>
  </sheetPr>
  <dimension ref="A1:AK164"/>
  <sheetViews>
    <sheetView showGridLines="0" zoomScale="100" zoomScaleNormal="100" workbookViewId="0">
      <pane xSplit="5" ySplit="4" topLeftCell="F5" activePane="bottomRight" state="frozen"/>
      <selection pane="bottomRight" activeCell="F5" sqref="F5"/>
    </sheetView>
  </sheetViews>
  <sheetFormatPr defaultRowHeight="15"/>
  <cols>
    <col min="1" max="1" width="13" customWidth="1"/>
    <col min="2" max="2" width="17.3" customWidth="1"/>
    <col min="3" max="3" width="22.3" customWidth="1"/>
    <col min="4" max="4" width="8" customWidth="1"/>
    <col min="5" max="5" width="1.6" customWidth="1"/>
    <col min="6" max="6" width="6.3" customWidth="1"/>
    <col min="7" max="7" width="6.3" customWidth="1"/>
    <col min="8" max="8" width="6.3" customWidth="1"/>
    <col min="9" max="9" width="6.3" customWidth="1"/>
    <col min="10" max="10" width="6.3" customWidth="1"/>
    <col min="11" max="11" width="6.3" customWidth="1"/>
    <col min="12" max="12" width="6.3" customWidth="1"/>
    <col min="13" max="13" width="6.3" customWidth="1"/>
    <col min="14" max="14" width="6.3" customWidth="1"/>
    <col min="15" max="15" width="6.3" customWidth="1"/>
    <col min="16" max="16" width="6.3" customWidth="1"/>
    <col min="17" max="17" width="6.3" customWidth="1"/>
    <col min="18" max="18" width="6.3" customWidth="1"/>
    <col min="19" max="19" width="6.3" customWidth="1"/>
    <col min="20" max="20" width="6.3" customWidth="1"/>
    <col min="21" max="21" width="6.3" customWidth="1"/>
    <col min="22" max="22" width="6.3" customWidth="1"/>
    <col min="23" max="23" width="6.3" customWidth="1"/>
    <col min="24" max="24" width="6.3" customWidth="1"/>
    <col min="25" max="25" width="6.3" customWidth="1"/>
    <col min="26" max="26" width="6.3" customWidth="1"/>
    <col min="27" max="27" width="6.3" customWidth="1"/>
    <col min="28" max="28" width="6.3" customWidth="1"/>
    <col min="29" max="29" width="6.3" customWidth="1"/>
    <col min="30" max="30" width="6.3" customWidth="1"/>
    <col min="31" max="31" width="6.3" customWidth="1"/>
    <col min="32" max="32" width="6.3" customWidth="1"/>
    <col min="33" max="33" width="6.3" customWidth="1"/>
    <col min="34" max="34" width="6.3" customWidth="1"/>
    <col min="35" max="35" width="6.3" customWidth="1"/>
    <col min="36" max="36" width="6.3" customWidth="1"/>
    <col min="37" max="37" width="9.5" customWidth="1"/>
  </cols>
  <sheetData>
    <row r="1" ht="34.5" customHeight="1">
      <c r="A1" s="1"/>
      <c r="B1" s="1"/>
      <c r="C1" s="1"/>
      <c r="D1" s="1"/>
      <c r="E1" s="1"/>
      <c r="F1" s="2" t="inlineStr">
        <is>
          <t xml:space="preserve">MONITORAMENTO DIÁRIO DE PERFORMANCE</t>
        </is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 t="inlineStr">
        <is>
          <t xml:space="preserve">SETEMBRO · 2026</t>
        </is>
      </c>
      <c r="AF1" s="3"/>
      <c r="AG1" s="3"/>
      <c r="AH1" s="3"/>
      <c r="AI1" s="3"/>
      <c r="AJ1" s="3"/>
      <c r="AK1" s="3"/>
    </row>
    <row r="2" ht="19.5" customHeight="1">
      <c r="A2" s="4" t="inlineStr">
        <is>
          <t xml:space="preserve">CLIENTE</t>
        </is>
      </c>
      <c r="B2" s="6" t="inlineStr">
        <is>
          <t xml:space="preserve">INDICADORES</t>
        </is>
      </c>
      <c r="C2" s="7"/>
      <c r="D2" s="10" t="inlineStr">
        <is>
          <t xml:space="preserve">META</t>
        </is>
      </c>
      <c r="F2" s="12" t="inlineStr">
        <is>
          <t xml:space="preserve">REALIZADO P/DIA</t>
        </is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4"/>
      <c r="AK2" s="15" t="inlineStr">
        <is>
          <t xml:space="preserve">MÊS</t>
        </is>
      </c>
    </row>
    <row r="3" ht="13.5" customHeight="1">
      <c r="A3" s="5"/>
      <c r="B3" s="8"/>
      <c r="C3" s="9"/>
      <c r="D3" s="11"/>
      <c r="F3" s="17">
        <f>IF(ISNUMBER($AE$1),DATE(YEAR($AE$1),MONTH($AE$1),1),IFERROR(DATE(VALUE(RIGHT(TRIM($AE$1),4)),MATCH(TRIM(LEFT($AE$1,FIND("·",$AE$1)-1)),{"JANEIRO","FEVEREIRO","MARÇO","ABRIL","MAIO","JUNHO","JULHO","AGOSTO","SETEMBRO","OUTUBRO","NOVEMBRO","DEZEMBRO"},0),1),DATE(2026,9,1)))</f>
        <v>46266</v>
      </c>
      <c r="G3" s="18">
        <f>IF(F3="","",IF(MONTH(F3+1)=MONTH($F$3),F3+1,""))</f>
        <v>46267</v>
      </c>
      <c r="H3" s="18">
        <f>IF(G3="","",IF(MONTH(G3+1)=MONTH($F$3),G3+1,""))</f>
        <v>46268</v>
      </c>
      <c r="I3" s="18">
        <f>IF(H3="","",IF(MONTH(H3+1)=MONTH($F$3),H3+1,""))</f>
        <v>46269</v>
      </c>
      <c r="J3" s="19">
        <f>IF(I3="","",IF(MONTH(I3+1)=MONTH($F$3),I3+1,""))</f>
        <v>46270</v>
      </c>
      <c r="K3" s="19">
        <f>IF(J3="","",IF(MONTH(J3+1)=MONTH($F$3),J3+1,""))</f>
        <v>46271</v>
      </c>
      <c r="L3" s="18">
        <f>IF(K3="","",IF(MONTH(K3+1)=MONTH($F$3),K3+1,""))</f>
        <v>46272</v>
      </c>
      <c r="M3" s="18">
        <f>IF(L3="","",IF(MONTH(L3+1)=MONTH($F$3),L3+1,""))</f>
        <v>46273</v>
      </c>
      <c r="N3" s="18">
        <f>IF(M3="","",IF(MONTH(M3+1)=MONTH($F$3),M3+1,""))</f>
        <v>46274</v>
      </c>
      <c r="O3" s="18">
        <f>IF(N3="","",IF(MONTH(N3+1)=MONTH($F$3),N3+1,""))</f>
        <v>46275</v>
      </c>
      <c r="P3" s="18">
        <f>IF(O3="","",IF(MONTH(O3+1)=MONTH($F$3),O3+1,""))</f>
        <v>46276</v>
      </c>
      <c r="Q3" s="19">
        <f>IF(P3="","",IF(MONTH(P3+1)=MONTH($F$3),P3+1,""))</f>
        <v>46277</v>
      </c>
      <c r="R3" s="19">
        <f>IF(Q3="","",IF(MONTH(Q3+1)=MONTH($F$3),Q3+1,""))</f>
        <v>46278</v>
      </c>
      <c r="S3" s="18">
        <f>IF(R3="","",IF(MONTH(R3+1)=MONTH($F$3),R3+1,""))</f>
        <v>46279</v>
      </c>
      <c r="T3" s="18">
        <f>IF(S3="","",IF(MONTH(S3+1)=MONTH($F$3),S3+1,""))</f>
        <v>46280</v>
      </c>
      <c r="U3" s="18">
        <f>IF(T3="","",IF(MONTH(T3+1)=MONTH($F$3),T3+1,""))</f>
        <v>46281</v>
      </c>
      <c r="V3" s="18">
        <f>IF(U3="","",IF(MONTH(U3+1)=MONTH($F$3),U3+1,""))</f>
        <v>46282</v>
      </c>
      <c r="W3" s="18">
        <f>IF(V3="","",IF(MONTH(V3+1)=MONTH($F$3),V3+1,""))</f>
        <v>46283</v>
      </c>
      <c r="X3" s="19">
        <f>IF(W3="","",IF(MONTH(W3+1)=MONTH($F$3),W3+1,""))</f>
        <v>46284</v>
      </c>
      <c r="Y3" s="19">
        <f>IF(X3="","",IF(MONTH(X3+1)=MONTH($F$3),X3+1,""))</f>
        <v>46285</v>
      </c>
      <c r="Z3" s="18">
        <f>IF(Y3="","",IF(MONTH(Y3+1)=MONTH($F$3),Y3+1,""))</f>
        <v>46286</v>
      </c>
      <c r="AA3" s="18">
        <f>IF(Z3="","",IF(MONTH(Z3+1)=MONTH($F$3),Z3+1,""))</f>
        <v>46287</v>
      </c>
      <c r="AB3" s="18">
        <f>IF(AA3="","",IF(MONTH(AA3+1)=MONTH($F$3),AA3+1,""))</f>
        <v>46288</v>
      </c>
      <c r="AC3" s="18">
        <f>IF(AB3="","",IF(MONTH(AB3+1)=MONTH($F$3),AB3+1,""))</f>
        <v>46289</v>
      </c>
      <c r="AD3" s="18">
        <f>IF(AC3="","",IF(MONTH(AC3+1)=MONTH($F$3),AC3+1,""))</f>
        <v>46290</v>
      </c>
      <c r="AE3" s="19">
        <f>IF(AD3="","",IF(MONTH(AD3+1)=MONTH($F$3),AD3+1,""))</f>
        <v>46291</v>
      </c>
      <c r="AF3" s="19">
        <f>IF(AE3="","",IF(MONTH(AE3+1)=MONTH($F$3),AE3+1,""))</f>
        <v>46292</v>
      </c>
      <c r="AG3" s="18">
        <f>IF(AF3="","",IF(MONTH(AF3+1)=MONTH($F$3),AF3+1,""))</f>
        <v>46293</v>
      </c>
      <c r="AH3" s="18">
        <f>IF(AG3="","",IF(MONTH(AG3+1)=MONTH($F$3),AG3+1,""))</f>
        <v>46294</v>
      </c>
      <c r="AI3" s="18">
        <f>IF(AH3="","",IF(MONTH(AH3+1)=MONTH($F$3),AH3+1,""))</f>
        <v>46295</v>
      </c>
      <c r="AJ3" s="20" t="str">
        <f>IF(AI3="","",IF(MONTH(AI3+1)=MONTH($F$3),AI3+1,""))</f>
        <v/>
      </c>
      <c r="AK3" s="16"/>
    </row>
    <row r="5" ht="15.75" customHeight="1">
      <c r="A5" s="117" t="inlineStr">
        <is>
          <t xml:space="preserve">BASF</t>
        </is>
      </c>
      <c r="B5" s="105" t="inlineStr">
        <is>
          <t xml:space="preserve">IN</t>
        </is>
      </c>
      <c r="C5" s="21" t="inlineStr">
        <is>
          <t xml:space="preserve">Veículos Recebidos</t>
        </is>
      </c>
      <c r="D5" s="22" t="str">
        <f>IFERROR(1/(1/INDEX(calculos!$C$55:$K$83,MATCH("IN Veículos Recebidos",calculos!$A$55:$A$83,0),MATCH($A$5,calculos!$C$54:$K$54,0))),"")</f>
        <v/>
      </c>
      <c r="E5" s="23"/>
      <c r="F5" s="24">
        <f>IF(F$3="","",IF(COUNTIFS(Base!$A$3:$A$5001,F$3,Base!$B$3:$B$5001,$A$5,Base!$C$3:$C$5001,"&lt;&gt;")=0,"",SUMIFS(Base!$C$3:$C$5001,Base!$A$3:$A$5001,F$3,Base!$B$3:$B$5001,$A$5)))</f>
        <v>7</v>
      </c>
      <c r="G5" s="25">
        <f>IF(G$3="","",IF(COUNTIFS(Base!$A$3:$A$5001,G$3,Base!$B$3:$B$5001,$A$5,Base!$C$3:$C$5001,"&lt;&gt;")=0,"",SUMIFS(Base!$C$3:$C$5001,Base!$A$3:$A$5001,G$3,Base!$B$3:$B$5001,$A$5)))</f>
        <v>5</v>
      </c>
      <c r="H5" s="25">
        <f>IF(H$3="","",IF(COUNTIFS(Base!$A$3:$A$5001,H$3,Base!$B$3:$B$5001,$A$5,Base!$C$3:$C$5001,"&lt;&gt;")=0,"",SUMIFS(Base!$C$3:$C$5001,Base!$A$3:$A$5001,H$3,Base!$B$3:$B$5001,$A$5)))</f>
        <v>4</v>
      </c>
      <c r="I5" s="25">
        <f>IF(I$3="","",IF(COUNTIFS(Base!$A$3:$A$5001,I$3,Base!$B$3:$B$5001,$A$5,Base!$C$3:$C$5001,"&lt;&gt;")=0,"",SUMIFS(Base!$C$3:$C$5001,Base!$A$3:$A$5001,I$3,Base!$B$3:$B$5001,$A$5)))</f>
        <v>7</v>
      </c>
      <c r="J5" s="25">
        <f>IF(J$3="","",IF(COUNTIFS(Base!$A$3:$A$5001,J$3,Base!$B$3:$B$5001,$A$5,Base!$C$3:$C$5001,"&lt;&gt;")=0,"",SUMIFS(Base!$C$3:$C$5001,Base!$A$3:$A$5001,J$3,Base!$B$3:$B$5001,$A$5)))</f>
        <v>4</v>
      </c>
      <c r="K5" s="25" t="str">
        <f>IF(K$3="","",IF(COUNTIFS(Base!$A$3:$A$5001,K$3,Base!$B$3:$B$5001,$A$5,Base!$C$3:$C$5001,"&lt;&gt;")=0,"",SUMIFS(Base!$C$3:$C$5001,Base!$A$3:$A$5001,K$3,Base!$B$3:$B$5001,$A$5)))</f>
        <v/>
      </c>
      <c r="L5" s="25">
        <f>IF(L$3="","",IF(COUNTIFS(Base!$A$3:$A$5001,L$3,Base!$B$3:$B$5001,$A$5,Base!$C$3:$C$5001,"&lt;&gt;")=0,"",SUMIFS(Base!$C$3:$C$5001,Base!$A$3:$A$5001,L$3,Base!$B$3:$B$5001,$A$5)))</f>
        <v>4</v>
      </c>
      <c r="M5" s="25">
        <f>IF(M$3="","",IF(COUNTIFS(Base!$A$3:$A$5001,M$3,Base!$B$3:$B$5001,$A$5,Base!$C$3:$C$5001,"&lt;&gt;")=0,"",SUMIFS(Base!$C$3:$C$5001,Base!$A$3:$A$5001,M$3,Base!$B$3:$B$5001,$A$5)))</f>
        <v>7</v>
      </c>
      <c r="N5" s="25">
        <f>IF(N$3="","",IF(COUNTIFS(Base!$A$3:$A$5001,N$3,Base!$B$3:$B$5001,$A$5,Base!$C$3:$C$5001,"&lt;&gt;")=0,"",SUMIFS(Base!$C$3:$C$5001,Base!$A$3:$A$5001,N$3,Base!$B$3:$B$5001,$A$5)))</f>
        <v>8</v>
      </c>
      <c r="O5" s="25">
        <f>IF(O$3="","",IF(COUNTIFS(Base!$A$3:$A$5001,O$3,Base!$B$3:$B$5001,$A$5,Base!$C$3:$C$5001,"&lt;&gt;")=0,"",SUMIFS(Base!$C$3:$C$5001,Base!$A$3:$A$5001,O$3,Base!$B$3:$B$5001,$A$5)))</f>
        <v>8</v>
      </c>
      <c r="P5" s="25">
        <f>IF(P$3="","",IF(COUNTIFS(Base!$A$3:$A$5001,P$3,Base!$B$3:$B$5001,$A$5,Base!$C$3:$C$5001,"&lt;&gt;")=0,"",SUMIFS(Base!$C$3:$C$5001,Base!$A$3:$A$5001,P$3,Base!$B$3:$B$5001,$A$5)))</f>
        <v>2</v>
      </c>
      <c r="Q5" s="25">
        <f>IF(Q$3="","",IF(COUNTIFS(Base!$A$3:$A$5001,Q$3,Base!$B$3:$B$5001,$A$5,Base!$C$3:$C$5001,"&lt;&gt;")=0,"",SUMIFS(Base!$C$3:$C$5001,Base!$A$3:$A$5001,Q$3,Base!$B$3:$B$5001,$A$5)))</f>
        <v>3</v>
      </c>
      <c r="R5" s="25" t="str">
        <f>IF(R$3="","",IF(COUNTIFS(Base!$A$3:$A$5001,R$3,Base!$B$3:$B$5001,$A$5,Base!$C$3:$C$5001,"&lt;&gt;")=0,"",SUMIFS(Base!$C$3:$C$5001,Base!$A$3:$A$5001,R$3,Base!$B$3:$B$5001,$A$5)))</f>
        <v/>
      </c>
      <c r="S5" s="25">
        <f>IF(S$3="","",IF(COUNTIFS(Base!$A$3:$A$5001,S$3,Base!$B$3:$B$5001,$A$5,Base!$C$3:$C$5001,"&lt;&gt;")=0,"",SUMIFS(Base!$C$3:$C$5001,Base!$A$3:$A$5001,S$3,Base!$B$3:$B$5001,$A$5)))</f>
        <v>4</v>
      </c>
      <c r="T5" s="25">
        <f>IF(T$3="","",IF(COUNTIFS(Base!$A$3:$A$5001,T$3,Base!$B$3:$B$5001,$A$5,Base!$C$3:$C$5001,"&lt;&gt;")=0,"",SUMIFS(Base!$C$3:$C$5001,Base!$A$3:$A$5001,T$3,Base!$B$3:$B$5001,$A$5)))</f>
        <v>2</v>
      </c>
      <c r="U5" s="25">
        <f>IF(U$3="","",IF(COUNTIFS(Base!$A$3:$A$5001,U$3,Base!$B$3:$B$5001,$A$5,Base!$C$3:$C$5001,"&lt;&gt;")=0,"",SUMIFS(Base!$C$3:$C$5001,Base!$A$3:$A$5001,U$3,Base!$B$3:$B$5001,$A$5)))</f>
        <v>5</v>
      </c>
      <c r="V5" s="25">
        <f>IF(V$3="","",IF(COUNTIFS(Base!$A$3:$A$5001,V$3,Base!$B$3:$B$5001,$A$5,Base!$C$3:$C$5001,"&lt;&gt;")=0,"",SUMIFS(Base!$C$3:$C$5001,Base!$A$3:$A$5001,V$3,Base!$B$3:$B$5001,$A$5)))</f>
        <v>5</v>
      </c>
      <c r="W5" s="25">
        <f>IF(W$3="","",IF(COUNTIFS(Base!$A$3:$A$5001,W$3,Base!$B$3:$B$5001,$A$5,Base!$C$3:$C$5001,"&lt;&gt;")=0,"",SUMIFS(Base!$C$3:$C$5001,Base!$A$3:$A$5001,W$3,Base!$B$3:$B$5001,$A$5)))</f>
        <v>5</v>
      </c>
      <c r="X5" s="25">
        <f>IF(X$3="","",IF(COUNTIFS(Base!$A$3:$A$5001,X$3,Base!$B$3:$B$5001,$A$5,Base!$C$3:$C$5001,"&lt;&gt;")=0,"",SUMIFS(Base!$C$3:$C$5001,Base!$A$3:$A$5001,X$3,Base!$B$3:$B$5001,$A$5)))</f>
        <v>8</v>
      </c>
      <c r="Y5" s="25" t="str">
        <f>IF(Y$3="","",IF(COUNTIFS(Base!$A$3:$A$5001,Y$3,Base!$B$3:$B$5001,$A$5,Base!$C$3:$C$5001,"&lt;&gt;")=0,"",SUMIFS(Base!$C$3:$C$5001,Base!$A$3:$A$5001,Y$3,Base!$B$3:$B$5001,$A$5)))</f>
        <v/>
      </c>
      <c r="Z5" s="25">
        <f>IF(Z$3="","",IF(COUNTIFS(Base!$A$3:$A$5001,Z$3,Base!$B$3:$B$5001,$A$5,Base!$C$3:$C$5001,"&lt;&gt;")=0,"",SUMIFS(Base!$C$3:$C$5001,Base!$A$3:$A$5001,Z$3,Base!$B$3:$B$5001,$A$5)))</f>
        <v>8</v>
      </c>
      <c r="AA5" s="25">
        <f>IF(AA$3="","",IF(COUNTIFS(Base!$A$3:$A$5001,AA$3,Base!$B$3:$B$5001,$A$5,Base!$C$3:$C$5001,"&lt;&gt;")=0,"",SUMIFS(Base!$C$3:$C$5001,Base!$A$3:$A$5001,AA$3,Base!$B$3:$B$5001,$A$5)))</f>
        <v>4</v>
      </c>
      <c r="AB5" s="25">
        <f>IF(AB$3="","",IF(COUNTIFS(Base!$A$3:$A$5001,AB$3,Base!$B$3:$B$5001,$A$5,Base!$C$3:$C$5001,"&lt;&gt;")=0,"",SUMIFS(Base!$C$3:$C$5001,Base!$A$3:$A$5001,AB$3,Base!$B$3:$B$5001,$A$5)))</f>
        <v>2</v>
      </c>
      <c r="AC5" s="25">
        <f>IF(AC$3="","",IF(COUNTIFS(Base!$A$3:$A$5001,AC$3,Base!$B$3:$B$5001,$A$5,Base!$C$3:$C$5001,"&lt;&gt;")=0,"",SUMIFS(Base!$C$3:$C$5001,Base!$A$3:$A$5001,AC$3,Base!$B$3:$B$5001,$A$5)))</f>
        <v>7</v>
      </c>
      <c r="AD5" s="25">
        <f>IF(AD$3="","",IF(COUNTIFS(Base!$A$3:$A$5001,AD$3,Base!$B$3:$B$5001,$A$5,Base!$C$3:$C$5001,"&lt;&gt;")=0,"",SUMIFS(Base!$C$3:$C$5001,Base!$A$3:$A$5001,AD$3,Base!$B$3:$B$5001,$A$5)))</f>
        <v>8</v>
      </c>
      <c r="AE5" s="25">
        <f>IF(AE$3="","",IF(COUNTIFS(Base!$A$3:$A$5001,AE$3,Base!$B$3:$B$5001,$A$5,Base!$C$3:$C$5001,"&lt;&gt;")=0,"",SUMIFS(Base!$C$3:$C$5001,Base!$A$3:$A$5001,AE$3,Base!$B$3:$B$5001,$A$5)))</f>
        <v>6</v>
      </c>
      <c r="AF5" s="25" t="str">
        <f>IF(AF$3="","",IF(COUNTIFS(Base!$A$3:$A$5001,AF$3,Base!$B$3:$B$5001,$A$5,Base!$C$3:$C$5001,"&lt;&gt;")=0,"",SUMIFS(Base!$C$3:$C$5001,Base!$A$3:$A$5001,AF$3,Base!$B$3:$B$5001,$A$5)))</f>
        <v/>
      </c>
      <c r="AG5" s="25">
        <f>IF(AG$3="","",IF(COUNTIFS(Base!$A$3:$A$5001,AG$3,Base!$B$3:$B$5001,$A$5,Base!$C$3:$C$5001,"&lt;&gt;")=0,"",SUMIFS(Base!$C$3:$C$5001,Base!$A$3:$A$5001,AG$3,Base!$B$3:$B$5001,$A$5)))</f>
        <v>2</v>
      </c>
      <c r="AH5" s="25">
        <f>IF(AH$3="","",IF(COUNTIFS(Base!$A$3:$A$5001,AH$3,Base!$B$3:$B$5001,$A$5,Base!$C$3:$C$5001,"&lt;&gt;")=0,"",SUMIFS(Base!$C$3:$C$5001,Base!$A$3:$A$5001,AH$3,Base!$B$3:$B$5001,$A$5)))</f>
        <v>5</v>
      </c>
      <c r="AI5" s="25" t="str">
        <f>IF(AI$3="","",IF(COUNTIFS(Base!$A$3:$A$5001,AI$3,Base!$B$3:$B$5001,$A$5,Base!$C$3:$C$5001,"&lt;&gt;")=0,"",SUMIFS(Base!$C$3:$C$5001,Base!$A$3:$A$5001,AI$3,Base!$B$3:$B$5001,$A$5)))</f>
        <v/>
      </c>
      <c r="AJ5" s="26" t="str">
        <f>IF(AJ$3="","",IF(COUNTIFS(Base!$A$3:$A$5001,AJ$3,Base!$B$3:$B$5001,$A$5,Base!$C$3:$C$5001,"&lt;&gt;")=0,"",SUMIFS(Base!$C$3:$C$5001,Base!$A$3:$A$5001,AJ$3,Base!$B$3:$B$5001,$A$5)))</f>
        <v/>
      </c>
      <c r="AK5" s="27">
        <f>IF(COUNT(F5:AJ5)=0,"",SUM(F5:AJ5))</f>
        <v>130</v>
      </c>
    </row>
    <row r="6" ht="15.75" customHeight="1">
      <c r="A6" s="118"/>
      <c r="B6" s="106"/>
      <c r="C6" s="28" t="inlineStr">
        <is>
          <t xml:space="preserve">Pallets Movimentados</t>
        </is>
      </c>
      <c r="D6" s="29" t="str">
        <f>IFERROR(1/(1/INDEX(calculos!$C$55:$K$83,MATCH("IN Pallets Movimentados",calculos!$A$55:$A$83,0),MATCH($A$5,calculos!$C$54:$K$54,0))),"")</f>
        <v/>
      </c>
      <c r="E6" s="30"/>
      <c r="F6" s="31">
        <f>IF(F$3="","",IF(COUNTIFS(Base!$A$3:$A$5001,F$3,Base!$B$3:$B$5001,$A$5,Base!$D$3:$D$5001,"&lt;&gt;")=0,"",SUMIFS(Base!$D$3:$D$5001,Base!$A$3:$A$5001,F$3,Base!$B$3:$B$5001,$A$5)))</f>
        <v>136</v>
      </c>
      <c r="G6" s="32">
        <f>IF(G$3="","",IF(COUNTIFS(Base!$A$3:$A$5001,G$3,Base!$B$3:$B$5001,$A$5,Base!$D$3:$D$5001,"&lt;&gt;")=0,"",SUMIFS(Base!$D$3:$D$5001,Base!$A$3:$A$5001,G$3,Base!$B$3:$B$5001,$A$5)))</f>
        <v>78</v>
      </c>
      <c r="H6" s="32">
        <f>IF(H$3="","",IF(COUNTIFS(Base!$A$3:$A$5001,H$3,Base!$B$3:$B$5001,$A$5,Base!$D$3:$D$5001,"&lt;&gt;")=0,"",SUMIFS(Base!$D$3:$D$5001,Base!$A$3:$A$5001,H$3,Base!$B$3:$B$5001,$A$5)))</f>
        <v>117</v>
      </c>
      <c r="I6" s="32">
        <f>IF(I$3="","",IF(COUNTIFS(Base!$A$3:$A$5001,I$3,Base!$B$3:$B$5001,$A$5,Base!$D$3:$D$5001,"&lt;&gt;")=0,"",SUMIFS(Base!$D$3:$D$5001,Base!$A$3:$A$5001,I$3,Base!$B$3:$B$5001,$A$5)))</f>
        <v>146</v>
      </c>
      <c r="J6" s="32">
        <f>IF(J$3="","",IF(COUNTIFS(Base!$A$3:$A$5001,J$3,Base!$B$3:$B$5001,$A$5,Base!$D$3:$D$5001,"&lt;&gt;")=0,"",SUMIFS(Base!$D$3:$D$5001,Base!$A$3:$A$5001,J$3,Base!$B$3:$B$5001,$A$5)))</f>
        <v>68</v>
      </c>
      <c r="K6" s="32" t="str">
        <f>IF(K$3="","",IF(COUNTIFS(Base!$A$3:$A$5001,K$3,Base!$B$3:$B$5001,$A$5,Base!$D$3:$D$5001,"&lt;&gt;")=0,"",SUMIFS(Base!$D$3:$D$5001,Base!$A$3:$A$5001,K$3,Base!$B$3:$B$5001,$A$5)))</f>
        <v/>
      </c>
      <c r="L6" s="32">
        <f>IF(L$3="","",IF(COUNTIFS(Base!$A$3:$A$5001,L$3,Base!$B$3:$B$5001,$A$5,Base!$D$3:$D$5001,"&lt;&gt;")=0,"",SUMIFS(Base!$D$3:$D$5001,Base!$A$3:$A$5001,L$3,Base!$B$3:$B$5001,$A$5)))</f>
        <v>109</v>
      </c>
      <c r="M6" s="32">
        <f>IF(M$3="","",IF(COUNTIFS(Base!$A$3:$A$5001,M$3,Base!$B$3:$B$5001,$A$5,Base!$D$3:$D$5001,"&lt;&gt;")=0,"",SUMIFS(Base!$D$3:$D$5001,Base!$A$3:$A$5001,M$3,Base!$B$3:$B$5001,$A$5)))</f>
        <v>55</v>
      </c>
      <c r="N6" s="32">
        <f>IF(N$3="","",IF(COUNTIFS(Base!$A$3:$A$5001,N$3,Base!$B$3:$B$5001,$A$5,Base!$D$3:$D$5001,"&lt;&gt;")=0,"",SUMIFS(Base!$D$3:$D$5001,Base!$A$3:$A$5001,N$3,Base!$B$3:$B$5001,$A$5)))</f>
        <v>56</v>
      </c>
      <c r="O6" s="32">
        <f>IF(O$3="","",IF(COUNTIFS(Base!$A$3:$A$5001,O$3,Base!$B$3:$B$5001,$A$5,Base!$D$3:$D$5001,"&lt;&gt;")=0,"",SUMIFS(Base!$D$3:$D$5001,Base!$A$3:$A$5001,O$3,Base!$B$3:$B$5001,$A$5)))</f>
        <v>120</v>
      </c>
      <c r="P6" s="32">
        <f>IF(P$3="","",IF(COUNTIFS(Base!$A$3:$A$5001,P$3,Base!$B$3:$B$5001,$A$5,Base!$D$3:$D$5001,"&lt;&gt;")=0,"",SUMIFS(Base!$D$3:$D$5001,Base!$A$3:$A$5001,P$3,Base!$B$3:$B$5001,$A$5)))</f>
        <v>131</v>
      </c>
      <c r="Q6" s="32">
        <f>IF(Q$3="","",IF(COUNTIFS(Base!$A$3:$A$5001,Q$3,Base!$B$3:$B$5001,$A$5,Base!$D$3:$D$5001,"&lt;&gt;")=0,"",SUMIFS(Base!$D$3:$D$5001,Base!$A$3:$A$5001,Q$3,Base!$B$3:$B$5001,$A$5)))</f>
        <v>71</v>
      </c>
      <c r="R6" s="32" t="str">
        <f>IF(R$3="","",IF(COUNTIFS(Base!$A$3:$A$5001,R$3,Base!$B$3:$B$5001,$A$5,Base!$D$3:$D$5001,"&lt;&gt;")=0,"",SUMIFS(Base!$D$3:$D$5001,Base!$A$3:$A$5001,R$3,Base!$B$3:$B$5001,$A$5)))</f>
        <v/>
      </c>
      <c r="S6" s="32">
        <f>IF(S$3="","",IF(COUNTIFS(Base!$A$3:$A$5001,S$3,Base!$B$3:$B$5001,$A$5,Base!$D$3:$D$5001,"&lt;&gt;")=0,"",SUMIFS(Base!$D$3:$D$5001,Base!$A$3:$A$5001,S$3,Base!$B$3:$B$5001,$A$5)))</f>
        <v>57</v>
      </c>
      <c r="T6" s="32">
        <f>IF(T$3="","",IF(COUNTIFS(Base!$A$3:$A$5001,T$3,Base!$B$3:$B$5001,$A$5,Base!$D$3:$D$5001,"&lt;&gt;")=0,"",SUMIFS(Base!$D$3:$D$5001,Base!$A$3:$A$5001,T$3,Base!$B$3:$B$5001,$A$5)))</f>
        <v>155</v>
      </c>
      <c r="U6" s="32">
        <f>IF(U$3="","",IF(COUNTIFS(Base!$A$3:$A$5001,U$3,Base!$B$3:$B$5001,$A$5,Base!$D$3:$D$5001,"&lt;&gt;")=0,"",SUMIFS(Base!$D$3:$D$5001,Base!$A$3:$A$5001,U$3,Base!$B$3:$B$5001,$A$5)))</f>
        <v>149</v>
      </c>
      <c r="V6" s="32">
        <f>IF(V$3="","",IF(COUNTIFS(Base!$A$3:$A$5001,V$3,Base!$B$3:$B$5001,$A$5,Base!$D$3:$D$5001,"&lt;&gt;")=0,"",SUMIFS(Base!$D$3:$D$5001,Base!$A$3:$A$5001,V$3,Base!$B$3:$B$5001,$A$5)))</f>
        <v>70</v>
      </c>
      <c r="W6" s="32">
        <f>IF(W$3="","",IF(COUNTIFS(Base!$A$3:$A$5001,W$3,Base!$B$3:$B$5001,$A$5,Base!$D$3:$D$5001,"&lt;&gt;")=0,"",SUMIFS(Base!$D$3:$D$5001,Base!$A$3:$A$5001,W$3,Base!$B$3:$B$5001,$A$5)))</f>
        <v>50</v>
      </c>
      <c r="X6" s="32">
        <f>IF(X$3="","",IF(COUNTIFS(Base!$A$3:$A$5001,X$3,Base!$B$3:$B$5001,$A$5,Base!$D$3:$D$5001,"&lt;&gt;")=0,"",SUMIFS(Base!$D$3:$D$5001,Base!$A$3:$A$5001,X$3,Base!$B$3:$B$5001,$A$5)))</f>
        <v>71</v>
      </c>
      <c r="Y6" s="32" t="str">
        <f>IF(Y$3="","",IF(COUNTIFS(Base!$A$3:$A$5001,Y$3,Base!$B$3:$B$5001,$A$5,Base!$D$3:$D$5001,"&lt;&gt;")=0,"",SUMIFS(Base!$D$3:$D$5001,Base!$A$3:$A$5001,Y$3,Base!$B$3:$B$5001,$A$5)))</f>
        <v/>
      </c>
      <c r="Z6" s="32">
        <f>IF(Z$3="","",IF(COUNTIFS(Base!$A$3:$A$5001,Z$3,Base!$B$3:$B$5001,$A$5,Base!$D$3:$D$5001,"&lt;&gt;")=0,"",SUMIFS(Base!$D$3:$D$5001,Base!$A$3:$A$5001,Z$3,Base!$B$3:$B$5001,$A$5)))</f>
        <v>159</v>
      </c>
      <c r="AA6" s="32">
        <f>IF(AA$3="","",IF(COUNTIFS(Base!$A$3:$A$5001,AA$3,Base!$B$3:$B$5001,$A$5,Base!$D$3:$D$5001,"&lt;&gt;")=0,"",SUMIFS(Base!$D$3:$D$5001,Base!$A$3:$A$5001,AA$3,Base!$B$3:$B$5001,$A$5)))</f>
        <v>77</v>
      </c>
      <c r="AB6" s="32">
        <f>IF(AB$3="","",IF(COUNTIFS(Base!$A$3:$A$5001,AB$3,Base!$B$3:$B$5001,$A$5,Base!$D$3:$D$5001,"&lt;&gt;")=0,"",SUMIFS(Base!$D$3:$D$5001,Base!$A$3:$A$5001,AB$3,Base!$B$3:$B$5001,$A$5)))</f>
        <v>106</v>
      </c>
      <c r="AC6" s="32">
        <f>IF(AC$3="","",IF(COUNTIFS(Base!$A$3:$A$5001,AC$3,Base!$B$3:$B$5001,$A$5,Base!$D$3:$D$5001,"&lt;&gt;")=0,"",SUMIFS(Base!$D$3:$D$5001,Base!$A$3:$A$5001,AC$3,Base!$B$3:$B$5001,$A$5)))</f>
        <v>20</v>
      </c>
      <c r="AD6" s="32">
        <f>IF(AD$3="","",IF(COUNTIFS(Base!$A$3:$A$5001,AD$3,Base!$B$3:$B$5001,$A$5,Base!$D$3:$D$5001,"&lt;&gt;")=0,"",SUMIFS(Base!$D$3:$D$5001,Base!$A$3:$A$5001,AD$3,Base!$B$3:$B$5001,$A$5)))</f>
        <v>77</v>
      </c>
      <c r="AE6" s="32">
        <f>IF(AE$3="","",IF(COUNTIFS(Base!$A$3:$A$5001,AE$3,Base!$B$3:$B$5001,$A$5,Base!$D$3:$D$5001,"&lt;&gt;")=0,"",SUMIFS(Base!$D$3:$D$5001,Base!$A$3:$A$5001,AE$3,Base!$B$3:$B$5001,$A$5)))</f>
        <v>39</v>
      </c>
      <c r="AF6" s="32" t="str">
        <f>IF(AF$3="","",IF(COUNTIFS(Base!$A$3:$A$5001,AF$3,Base!$B$3:$B$5001,$A$5,Base!$D$3:$D$5001,"&lt;&gt;")=0,"",SUMIFS(Base!$D$3:$D$5001,Base!$A$3:$A$5001,AF$3,Base!$B$3:$B$5001,$A$5)))</f>
        <v/>
      </c>
      <c r="AG6" s="32">
        <f>IF(AG$3="","",IF(COUNTIFS(Base!$A$3:$A$5001,AG$3,Base!$B$3:$B$5001,$A$5,Base!$D$3:$D$5001,"&lt;&gt;")=0,"",SUMIFS(Base!$D$3:$D$5001,Base!$A$3:$A$5001,AG$3,Base!$B$3:$B$5001,$A$5)))</f>
        <v>140</v>
      </c>
      <c r="AH6" s="32">
        <f>IF(AH$3="","",IF(COUNTIFS(Base!$A$3:$A$5001,AH$3,Base!$B$3:$B$5001,$A$5,Base!$D$3:$D$5001,"&lt;&gt;")=0,"",SUMIFS(Base!$D$3:$D$5001,Base!$A$3:$A$5001,AH$3,Base!$B$3:$B$5001,$A$5)))</f>
        <v>36</v>
      </c>
      <c r="AI6" s="32" t="str">
        <f>IF(AI$3="","",IF(COUNTIFS(Base!$A$3:$A$5001,AI$3,Base!$B$3:$B$5001,$A$5,Base!$D$3:$D$5001,"&lt;&gt;")=0,"",SUMIFS(Base!$D$3:$D$5001,Base!$A$3:$A$5001,AI$3,Base!$B$3:$B$5001,$A$5)))</f>
        <v/>
      </c>
      <c r="AJ6" s="33" t="str">
        <f>IF(AJ$3="","",IF(COUNTIFS(Base!$A$3:$A$5001,AJ$3,Base!$B$3:$B$5001,$A$5,Base!$D$3:$D$5001,"&lt;&gt;")=0,"",SUMIFS(Base!$D$3:$D$5001,Base!$A$3:$A$5001,AJ$3,Base!$B$3:$B$5001,$A$5)))</f>
        <v/>
      </c>
      <c r="AK6" s="34">
        <f>IF(COUNT(F6:AJ6)=0,"",SUM(F6:AJ6))</f>
        <v>2293</v>
      </c>
    </row>
    <row r="7" ht="15.75" customHeight="1">
      <c r="A7" s="118"/>
      <c r="B7" s="107"/>
      <c r="C7" s="35" t="inlineStr">
        <is>
          <t xml:space="preserve">Toneladas Movimentadas</t>
        </is>
      </c>
      <c r="D7" s="36" t="str">
        <f>IFERROR(1/(1/INDEX(calculos!$C$55:$K$83,MATCH("IN Toneladas Movimentadas",calculos!$A$55:$A$83,0),MATCH($A$5,calculos!$C$54:$K$54,0))),"")</f>
        <v/>
      </c>
      <c r="E7" s="37"/>
      <c r="F7" s="38">
        <f>IF(F$3="","",IF(COUNTIFS(Base!$A$3:$A$5001,F$3,Base!$B$3:$B$5001,$A$5,Base!$E$3:$E$5001,"&lt;&gt;")=0,"",SUMIFS(Base!$E$3:$E$5001,Base!$A$3:$A$5001,F$3,Base!$B$3:$B$5001,$A$5)))</f>
        <v>115.27</v>
      </c>
      <c r="G7" s="39">
        <f>IF(G$3="","",IF(COUNTIFS(Base!$A$3:$A$5001,G$3,Base!$B$3:$B$5001,$A$5,Base!$E$3:$E$5001,"&lt;&gt;")=0,"",SUMIFS(Base!$E$3:$E$5001,Base!$A$3:$A$5001,G$3,Base!$B$3:$B$5001,$A$5)))</f>
        <v>137.27</v>
      </c>
      <c r="H7" s="39">
        <f>IF(H$3="","",IF(COUNTIFS(Base!$A$3:$A$5001,H$3,Base!$B$3:$B$5001,$A$5,Base!$E$3:$E$5001,"&lt;&gt;")=0,"",SUMIFS(Base!$E$3:$E$5001,Base!$A$3:$A$5001,H$3,Base!$B$3:$B$5001,$A$5)))</f>
        <v>24.02</v>
      </c>
      <c r="I7" s="39">
        <f>IF(I$3="","",IF(COUNTIFS(Base!$A$3:$A$5001,I$3,Base!$B$3:$B$5001,$A$5,Base!$E$3:$E$5001,"&lt;&gt;")=0,"",SUMIFS(Base!$E$3:$E$5001,Base!$A$3:$A$5001,I$3,Base!$B$3:$B$5001,$A$5)))</f>
        <v>15.92</v>
      </c>
      <c r="J7" s="39">
        <f>IF(J$3="","",IF(COUNTIFS(Base!$A$3:$A$5001,J$3,Base!$B$3:$B$5001,$A$5,Base!$E$3:$E$5001,"&lt;&gt;")=0,"",SUMIFS(Base!$E$3:$E$5001,Base!$A$3:$A$5001,J$3,Base!$B$3:$B$5001,$A$5)))</f>
        <v>55.55</v>
      </c>
      <c r="K7" s="39" t="str">
        <f>IF(K$3="","",IF(COUNTIFS(Base!$A$3:$A$5001,K$3,Base!$B$3:$B$5001,$A$5,Base!$E$3:$E$5001,"&lt;&gt;")=0,"",SUMIFS(Base!$E$3:$E$5001,Base!$A$3:$A$5001,K$3,Base!$B$3:$B$5001,$A$5)))</f>
        <v/>
      </c>
      <c r="L7" s="39">
        <f>IF(L$3="","",IF(COUNTIFS(Base!$A$3:$A$5001,L$3,Base!$B$3:$B$5001,$A$5,Base!$E$3:$E$5001,"&lt;&gt;")=0,"",SUMIFS(Base!$E$3:$E$5001,Base!$A$3:$A$5001,L$3,Base!$B$3:$B$5001,$A$5)))</f>
        <v>73.97</v>
      </c>
      <c r="M7" s="39">
        <f>IF(M$3="","",IF(COUNTIFS(Base!$A$3:$A$5001,M$3,Base!$B$3:$B$5001,$A$5,Base!$E$3:$E$5001,"&lt;&gt;")=0,"",SUMIFS(Base!$E$3:$E$5001,Base!$A$3:$A$5001,M$3,Base!$B$3:$B$5001,$A$5)))</f>
        <v>86.27</v>
      </c>
      <c r="N7" s="39">
        <f>IF(N$3="","",IF(COUNTIFS(Base!$A$3:$A$5001,N$3,Base!$B$3:$B$5001,$A$5,Base!$E$3:$E$5001,"&lt;&gt;")=0,"",SUMIFS(Base!$E$3:$E$5001,Base!$A$3:$A$5001,N$3,Base!$B$3:$B$5001,$A$5)))</f>
        <v>48.19</v>
      </c>
      <c r="O7" s="39">
        <f>IF(O$3="","",IF(COUNTIFS(Base!$A$3:$A$5001,O$3,Base!$B$3:$B$5001,$A$5,Base!$E$3:$E$5001,"&lt;&gt;")=0,"",SUMIFS(Base!$E$3:$E$5001,Base!$A$3:$A$5001,O$3,Base!$B$3:$B$5001,$A$5)))</f>
        <v>63.34</v>
      </c>
      <c r="P7" s="39">
        <f>IF(P$3="","",IF(COUNTIFS(Base!$A$3:$A$5001,P$3,Base!$B$3:$B$5001,$A$5,Base!$E$3:$E$5001,"&lt;&gt;")=0,"",SUMIFS(Base!$E$3:$E$5001,Base!$A$3:$A$5001,P$3,Base!$B$3:$B$5001,$A$5)))</f>
        <v>90.47</v>
      </c>
      <c r="Q7" s="39">
        <f>IF(Q$3="","",IF(COUNTIFS(Base!$A$3:$A$5001,Q$3,Base!$B$3:$B$5001,$A$5,Base!$E$3:$E$5001,"&lt;&gt;")=0,"",SUMIFS(Base!$E$3:$E$5001,Base!$A$3:$A$5001,Q$3,Base!$B$3:$B$5001,$A$5)))</f>
        <v>121.45</v>
      </c>
      <c r="R7" s="39" t="str">
        <f>IF(R$3="","",IF(COUNTIFS(Base!$A$3:$A$5001,R$3,Base!$B$3:$B$5001,$A$5,Base!$E$3:$E$5001,"&lt;&gt;")=0,"",SUMIFS(Base!$E$3:$E$5001,Base!$A$3:$A$5001,R$3,Base!$B$3:$B$5001,$A$5)))</f>
        <v/>
      </c>
      <c r="S7" s="39">
        <f>IF(S$3="","",IF(COUNTIFS(Base!$A$3:$A$5001,S$3,Base!$B$3:$B$5001,$A$5,Base!$E$3:$E$5001,"&lt;&gt;")=0,"",SUMIFS(Base!$E$3:$E$5001,Base!$A$3:$A$5001,S$3,Base!$B$3:$B$5001,$A$5)))</f>
        <v>127.97</v>
      </c>
      <c r="T7" s="39">
        <f>IF(T$3="","",IF(COUNTIFS(Base!$A$3:$A$5001,T$3,Base!$B$3:$B$5001,$A$5,Base!$E$3:$E$5001,"&lt;&gt;")=0,"",SUMIFS(Base!$E$3:$E$5001,Base!$A$3:$A$5001,T$3,Base!$B$3:$B$5001,$A$5)))</f>
        <v>77.33</v>
      </c>
      <c r="U7" s="39">
        <f>IF(U$3="","",IF(COUNTIFS(Base!$A$3:$A$5001,U$3,Base!$B$3:$B$5001,$A$5,Base!$E$3:$E$5001,"&lt;&gt;")=0,"",SUMIFS(Base!$E$3:$E$5001,Base!$A$3:$A$5001,U$3,Base!$B$3:$B$5001,$A$5)))</f>
        <v>88.38</v>
      </c>
      <c r="V7" s="39">
        <f>IF(V$3="","",IF(COUNTIFS(Base!$A$3:$A$5001,V$3,Base!$B$3:$B$5001,$A$5,Base!$E$3:$E$5001,"&lt;&gt;")=0,"",SUMIFS(Base!$E$3:$E$5001,Base!$A$3:$A$5001,V$3,Base!$B$3:$B$5001,$A$5)))</f>
        <v>53.3</v>
      </c>
      <c r="W7" s="39">
        <f>IF(W$3="","",IF(COUNTIFS(Base!$A$3:$A$5001,W$3,Base!$B$3:$B$5001,$A$5,Base!$E$3:$E$5001,"&lt;&gt;")=0,"",SUMIFS(Base!$E$3:$E$5001,Base!$A$3:$A$5001,W$3,Base!$B$3:$B$5001,$A$5)))</f>
        <v>63.44</v>
      </c>
      <c r="X7" s="39">
        <f>IF(X$3="","",IF(COUNTIFS(Base!$A$3:$A$5001,X$3,Base!$B$3:$B$5001,$A$5,Base!$E$3:$E$5001,"&lt;&gt;")=0,"",SUMIFS(Base!$E$3:$E$5001,Base!$A$3:$A$5001,X$3,Base!$B$3:$B$5001,$A$5)))</f>
        <v>78.73</v>
      </c>
      <c r="Y7" s="39" t="str">
        <f>IF(Y$3="","",IF(COUNTIFS(Base!$A$3:$A$5001,Y$3,Base!$B$3:$B$5001,$A$5,Base!$E$3:$E$5001,"&lt;&gt;")=0,"",SUMIFS(Base!$E$3:$E$5001,Base!$A$3:$A$5001,Y$3,Base!$B$3:$B$5001,$A$5)))</f>
        <v/>
      </c>
      <c r="Z7" s="39">
        <f>IF(Z$3="","",IF(COUNTIFS(Base!$A$3:$A$5001,Z$3,Base!$B$3:$B$5001,$A$5,Base!$E$3:$E$5001,"&lt;&gt;")=0,"",SUMIFS(Base!$E$3:$E$5001,Base!$A$3:$A$5001,Z$3,Base!$B$3:$B$5001,$A$5)))</f>
        <v>78.58</v>
      </c>
      <c r="AA7" s="39">
        <f>IF(AA$3="","",IF(COUNTIFS(Base!$A$3:$A$5001,AA$3,Base!$B$3:$B$5001,$A$5,Base!$E$3:$E$5001,"&lt;&gt;")=0,"",SUMIFS(Base!$E$3:$E$5001,Base!$A$3:$A$5001,AA$3,Base!$B$3:$B$5001,$A$5)))</f>
        <v>126.57</v>
      </c>
      <c r="AB7" s="39">
        <f>IF(AB$3="","",IF(COUNTIFS(Base!$A$3:$A$5001,AB$3,Base!$B$3:$B$5001,$A$5,Base!$E$3:$E$5001,"&lt;&gt;")=0,"",SUMIFS(Base!$E$3:$E$5001,Base!$A$3:$A$5001,AB$3,Base!$B$3:$B$5001,$A$5)))</f>
        <v>116.12</v>
      </c>
      <c r="AC7" s="39">
        <f>IF(AC$3="","",IF(COUNTIFS(Base!$A$3:$A$5001,AC$3,Base!$B$3:$B$5001,$A$5,Base!$E$3:$E$5001,"&lt;&gt;")=0,"",SUMIFS(Base!$E$3:$E$5001,Base!$A$3:$A$5001,AC$3,Base!$B$3:$B$5001,$A$5)))</f>
        <v>119.43</v>
      </c>
      <c r="AD7" s="39">
        <f>IF(AD$3="","",IF(COUNTIFS(Base!$A$3:$A$5001,AD$3,Base!$B$3:$B$5001,$A$5,Base!$E$3:$E$5001,"&lt;&gt;")=0,"",SUMIFS(Base!$E$3:$E$5001,Base!$A$3:$A$5001,AD$3,Base!$B$3:$B$5001,$A$5)))</f>
        <v>138.86</v>
      </c>
      <c r="AE7" s="39">
        <f>IF(AE$3="","",IF(COUNTIFS(Base!$A$3:$A$5001,AE$3,Base!$B$3:$B$5001,$A$5,Base!$E$3:$E$5001,"&lt;&gt;")=0,"",SUMIFS(Base!$E$3:$E$5001,Base!$A$3:$A$5001,AE$3,Base!$B$3:$B$5001,$A$5)))</f>
        <v>109.76</v>
      </c>
      <c r="AF7" s="39" t="str">
        <f>IF(AF$3="","",IF(COUNTIFS(Base!$A$3:$A$5001,AF$3,Base!$B$3:$B$5001,$A$5,Base!$E$3:$E$5001,"&lt;&gt;")=0,"",SUMIFS(Base!$E$3:$E$5001,Base!$A$3:$A$5001,AF$3,Base!$B$3:$B$5001,$A$5)))</f>
        <v/>
      </c>
      <c r="AG7" s="39">
        <f>IF(AG$3="","",IF(COUNTIFS(Base!$A$3:$A$5001,AG$3,Base!$B$3:$B$5001,$A$5,Base!$E$3:$E$5001,"&lt;&gt;")=0,"",SUMIFS(Base!$E$3:$E$5001,Base!$A$3:$A$5001,AG$3,Base!$B$3:$B$5001,$A$5)))</f>
        <v>99.66</v>
      </c>
      <c r="AH7" s="39">
        <f>IF(AH$3="","",IF(COUNTIFS(Base!$A$3:$A$5001,AH$3,Base!$B$3:$B$5001,$A$5,Base!$E$3:$E$5001,"&lt;&gt;")=0,"",SUMIFS(Base!$E$3:$E$5001,Base!$A$3:$A$5001,AH$3,Base!$B$3:$B$5001,$A$5)))</f>
        <v>38.28</v>
      </c>
      <c r="AI7" s="39" t="str">
        <f>IF(AI$3="","",IF(COUNTIFS(Base!$A$3:$A$5001,AI$3,Base!$B$3:$B$5001,$A$5,Base!$E$3:$E$5001,"&lt;&gt;")=0,"",SUMIFS(Base!$E$3:$E$5001,Base!$A$3:$A$5001,AI$3,Base!$B$3:$B$5001,$A$5)))</f>
        <v/>
      </c>
      <c r="AJ7" s="40" t="str">
        <f>IF(AJ$3="","",IF(COUNTIFS(Base!$A$3:$A$5001,AJ$3,Base!$B$3:$B$5001,$A$5,Base!$E$3:$E$5001,"&lt;&gt;")=0,"",SUMIFS(Base!$E$3:$E$5001,Base!$A$3:$A$5001,AJ$3,Base!$B$3:$B$5001,$A$5)))</f>
        <v/>
      </c>
      <c r="AK7" s="36">
        <f>IF(COUNT(F7:AJ7)=0,"",SUM(F7:AJ7))</f>
        <v>2148.13</v>
      </c>
    </row>
    <row r="8" ht="15.75" customHeight="1">
      <c r="A8" s="118"/>
      <c r="B8" s="108" t="inlineStr">
        <is>
          <t xml:space="preserve">OUT</t>
        </is>
      </c>
      <c r="C8" s="41" t="inlineStr">
        <is>
          <t xml:space="preserve">Veículos Expedidos</t>
        </is>
      </c>
      <c r="D8" s="42" t="str">
        <f>IFERROR(1/(1/INDEX(calculos!$C$55:$K$83,MATCH("OUT Veículos Expedidos",calculos!$A$55:$A$83,0),MATCH($A$5,calculos!$C$54:$K$54,0))),"")</f>
        <v/>
      </c>
      <c r="E8" s="43"/>
      <c r="F8" s="44">
        <f>IF(F$3="","",IF(COUNTIFS(Base!$A$3:$A$5001,F$3,Base!$B$3:$B$5001,$A$5,Base!$L$3:$L$5001,"&lt;&gt;")=0,"",SUMIFS(Base!$L$3:$L$5001,Base!$A$3:$A$5001,F$3,Base!$B$3:$B$5001,$A$5)))</f>
        <v>7</v>
      </c>
      <c r="G8" s="45">
        <f>IF(G$3="","",IF(COUNTIFS(Base!$A$3:$A$5001,G$3,Base!$B$3:$B$5001,$A$5,Base!$L$3:$L$5001,"&lt;&gt;")=0,"",SUMIFS(Base!$L$3:$L$5001,Base!$A$3:$A$5001,G$3,Base!$B$3:$B$5001,$A$5)))</f>
        <v>8</v>
      </c>
      <c r="H8" s="45">
        <f>IF(H$3="","",IF(COUNTIFS(Base!$A$3:$A$5001,H$3,Base!$B$3:$B$5001,$A$5,Base!$L$3:$L$5001,"&lt;&gt;")=0,"",SUMIFS(Base!$L$3:$L$5001,Base!$A$3:$A$5001,H$3,Base!$B$3:$B$5001,$A$5)))</f>
        <v>10</v>
      </c>
      <c r="I8" s="45">
        <f>IF(I$3="","",IF(COUNTIFS(Base!$A$3:$A$5001,I$3,Base!$B$3:$B$5001,$A$5,Base!$L$3:$L$5001,"&lt;&gt;")=0,"",SUMIFS(Base!$L$3:$L$5001,Base!$A$3:$A$5001,I$3,Base!$B$3:$B$5001,$A$5)))</f>
        <v>4</v>
      </c>
      <c r="J8" s="45">
        <f>IF(J$3="","",IF(COUNTIFS(Base!$A$3:$A$5001,J$3,Base!$B$3:$B$5001,$A$5,Base!$L$3:$L$5001,"&lt;&gt;")=0,"",SUMIFS(Base!$L$3:$L$5001,Base!$A$3:$A$5001,J$3,Base!$B$3:$B$5001,$A$5)))</f>
        <v>2</v>
      </c>
      <c r="K8" s="45" t="str">
        <f>IF(K$3="","",IF(COUNTIFS(Base!$A$3:$A$5001,K$3,Base!$B$3:$B$5001,$A$5,Base!$L$3:$L$5001,"&lt;&gt;")=0,"",SUMIFS(Base!$L$3:$L$5001,Base!$A$3:$A$5001,K$3,Base!$B$3:$B$5001,$A$5)))</f>
        <v/>
      </c>
      <c r="L8" s="45">
        <f>IF(L$3="","",IF(COUNTIFS(Base!$A$3:$A$5001,L$3,Base!$B$3:$B$5001,$A$5,Base!$L$3:$L$5001,"&lt;&gt;")=0,"",SUMIFS(Base!$L$3:$L$5001,Base!$A$3:$A$5001,L$3,Base!$B$3:$B$5001,$A$5)))</f>
        <v>10</v>
      </c>
      <c r="M8" s="45">
        <f>IF(M$3="","",IF(COUNTIFS(Base!$A$3:$A$5001,M$3,Base!$B$3:$B$5001,$A$5,Base!$L$3:$L$5001,"&lt;&gt;")=0,"",SUMIFS(Base!$L$3:$L$5001,Base!$A$3:$A$5001,M$3,Base!$B$3:$B$5001,$A$5)))</f>
        <v>4</v>
      </c>
      <c r="N8" s="45">
        <f>IF(N$3="","",IF(COUNTIFS(Base!$A$3:$A$5001,N$3,Base!$B$3:$B$5001,$A$5,Base!$L$3:$L$5001,"&lt;&gt;")=0,"",SUMIFS(Base!$L$3:$L$5001,Base!$A$3:$A$5001,N$3,Base!$B$3:$B$5001,$A$5)))</f>
        <v>2</v>
      </c>
      <c r="O8" s="45">
        <f>IF(O$3="","",IF(COUNTIFS(Base!$A$3:$A$5001,O$3,Base!$B$3:$B$5001,$A$5,Base!$L$3:$L$5001,"&lt;&gt;")=0,"",SUMIFS(Base!$L$3:$L$5001,Base!$A$3:$A$5001,O$3,Base!$B$3:$B$5001,$A$5)))</f>
        <v>4</v>
      </c>
      <c r="P8" s="45">
        <f>IF(P$3="","",IF(COUNTIFS(Base!$A$3:$A$5001,P$3,Base!$B$3:$B$5001,$A$5,Base!$L$3:$L$5001,"&lt;&gt;")=0,"",SUMIFS(Base!$L$3:$L$5001,Base!$A$3:$A$5001,P$3,Base!$B$3:$B$5001,$A$5)))</f>
        <v>2</v>
      </c>
      <c r="Q8" s="45">
        <f>IF(Q$3="","",IF(COUNTIFS(Base!$A$3:$A$5001,Q$3,Base!$B$3:$B$5001,$A$5,Base!$L$3:$L$5001,"&lt;&gt;")=0,"",SUMIFS(Base!$L$3:$L$5001,Base!$A$3:$A$5001,Q$3,Base!$B$3:$B$5001,$A$5)))</f>
        <v>9</v>
      </c>
      <c r="R8" s="45" t="str">
        <f>IF(R$3="","",IF(COUNTIFS(Base!$A$3:$A$5001,R$3,Base!$B$3:$B$5001,$A$5,Base!$L$3:$L$5001,"&lt;&gt;")=0,"",SUMIFS(Base!$L$3:$L$5001,Base!$A$3:$A$5001,R$3,Base!$B$3:$B$5001,$A$5)))</f>
        <v/>
      </c>
      <c r="S8" s="45">
        <f>IF(S$3="","",IF(COUNTIFS(Base!$A$3:$A$5001,S$3,Base!$B$3:$B$5001,$A$5,Base!$L$3:$L$5001,"&lt;&gt;")=0,"",SUMIFS(Base!$L$3:$L$5001,Base!$A$3:$A$5001,S$3,Base!$B$3:$B$5001,$A$5)))</f>
        <v>9</v>
      </c>
      <c r="T8" s="45">
        <f>IF(T$3="","",IF(COUNTIFS(Base!$A$3:$A$5001,T$3,Base!$B$3:$B$5001,$A$5,Base!$L$3:$L$5001,"&lt;&gt;")=0,"",SUMIFS(Base!$L$3:$L$5001,Base!$A$3:$A$5001,T$3,Base!$B$3:$B$5001,$A$5)))</f>
        <v>4</v>
      </c>
      <c r="U8" s="45">
        <f>IF(U$3="","",IF(COUNTIFS(Base!$A$3:$A$5001,U$3,Base!$B$3:$B$5001,$A$5,Base!$L$3:$L$5001,"&lt;&gt;")=0,"",SUMIFS(Base!$L$3:$L$5001,Base!$A$3:$A$5001,U$3,Base!$B$3:$B$5001,$A$5)))</f>
        <v>6</v>
      </c>
      <c r="V8" s="45">
        <f>IF(V$3="","",IF(COUNTIFS(Base!$A$3:$A$5001,V$3,Base!$B$3:$B$5001,$A$5,Base!$L$3:$L$5001,"&lt;&gt;")=0,"",SUMIFS(Base!$L$3:$L$5001,Base!$A$3:$A$5001,V$3,Base!$B$3:$B$5001,$A$5)))</f>
        <v>5</v>
      </c>
      <c r="W8" s="45">
        <f>IF(W$3="","",IF(COUNTIFS(Base!$A$3:$A$5001,W$3,Base!$B$3:$B$5001,$A$5,Base!$L$3:$L$5001,"&lt;&gt;")=0,"",SUMIFS(Base!$L$3:$L$5001,Base!$A$3:$A$5001,W$3,Base!$B$3:$B$5001,$A$5)))</f>
        <v>10</v>
      </c>
      <c r="X8" s="45">
        <f>IF(X$3="","",IF(COUNTIFS(Base!$A$3:$A$5001,X$3,Base!$B$3:$B$5001,$A$5,Base!$L$3:$L$5001,"&lt;&gt;")=0,"",SUMIFS(Base!$L$3:$L$5001,Base!$A$3:$A$5001,X$3,Base!$B$3:$B$5001,$A$5)))</f>
        <v>7</v>
      </c>
      <c r="Y8" s="45" t="str">
        <f>IF(Y$3="","",IF(COUNTIFS(Base!$A$3:$A$5001,Y$3,Base!$B$3:$B$5001,$A$5,Base!$L$3:$L$5001,"&lt;&gt;")=0,"",SUMIFS(Base!$L$3:$L$5001,Base!$A$3:$A$5001,Y$3,Base!$B$3:$B$5001,$A$5)))</f>
        <v/>
      </c>
      <c r="Z8" s="45">
        <f>IF(Z$3="","",IF(COUNTIFS(Base!$A$3:$A$5001,Z$3,Base!$B$3:$B$5001,$A$5,Base!$L$3:$L$5001,"&lt;&gt;")=0,"",SUMIFS(Base!$L$3:$L$5001,Base!$A$3:$A$5001,Z$3,Base!$B$3:$B$5001,$A$5)))</f>
        <v>3</v>
      </c>
      <c r="AA8" s="45">
        <f>IF(AA$3="","",IF(COUNTIFS(Base!$A$3:$A$5001,AA$3,Base!$B$3:$B$5001,$A$5,Base!$L$3:$L$5001,"&lt;&gt;")=0,"",SUMIFS(Base!$L$3:$L$5001,Base!$A$3:$A$5001,AA$3,Base!$B$3:$B$5001,$A$5)))</f>
        <v>4</v>
      </c>
      <c r="AB8" s="45">
        <f>IF(AB$3="","",IF(COUNTIFS(Base!$A$3:$A$5001,AB$3,Base!$B$3:$B$5001,$A$5,Base!$L$3:$L$5001,"&lt;&gt;")=0,"",SUMIFS(Base!$L$3:$L$5001,Base!$A$3:$A$5001,AB$3,Base!$B$3:$B$5001,$A$5)))</f>
        <v>4</v>
      </c>
      <c r="AC8" s="45">
        <f>IF(AC$3="","",IF(COUNTIFS(Base!$A$3:$A$5001,AC$3,Base!$B$3:$B$5001,$A$5,Base!$L$3:$L$5001,"&lt;&gt;")=0,"",SUMIFS(Base!$L$3:$L$5001,Base!$A$3:$A$5001,AC$3,Base!$B$3:$B$5001,$A$5)))</f>
        <v>8</v>
      </c>
      <c r="AD8" s="45">
        <f>IF(AD$3="","",IF(COUNTIFS(Base!$A$3:$A$5001,AD$3,Base!$B$3:$B$5001,$A$5,Base!$L$3:$L$5001,"&lt;&gt;")=0,"",SUMIFS(Base!$L$3:$L$5001,Base!$A$3:$A$5001,AD$3,Base!$B$3:$B$5001,$A$5)))</f>
        <v>2</v>
      </c>
      <c r="AE8" s="45">
        <f>IF(AE$3="","",IF(COUNTIFS(Base!$A$3:$A$5001,AE$3,Base!$B$3:$B$5001,$A$5,Base!$L$3:$L$5001,"&lt;&gt;")=0,"",SUMIFS(Base!$L$3:$L$5001,Base!$A$3:$A$5001,AE$3,Base!$B$3:$B$5001,$A$5)))</f>
        <v>10</v>
      </c>
      <c r="AF8" s="45" t="str">
        <f>IF(AF$3="","",IF(COUNTIFS(Base!$A$3:$A$5001,AF$3,Base!$B$3:$B$5001,$A$5,Base!$L$3:$L$5001,"&lt;&gt;")=0,"",SUMIFS(Base!$L$3:$L$5001,Base!$A$3:$A$5001,AF$3,Base!$B$3:$B$5001,$A$5)))</f>
        <v/>
      </c>
      <c r="AG8" s="45">
        <f>IF(AG$3="","",IF(COUNTIFS(Base!$A$3:$A$5001,AG$3,Base!$B$3:$B$5001,$A$5,Base!$L$3:$L$5001,"&lt;&gt;")=0,"",SUMIFS(Base!$L$3:$L$5001,Base!$A$3:$A$5001,AG$3,Base!$B$3:$B$5001,$A$5)))</f>
        <v>6</v>
      </c>
      <c r="AH8" s="45">
        <f>IF(AH$3="","",IF(COUNTIFS(Base!$A$3:$A$5001,AH$3,Base!$B$3:$B$5001,$A$5,Base!$L$3:$L$5001,"&lt;&gt;")=0,"",SUMIFS(Base!$L$3:$L$5001,Base!$A$3:$A$5001,AH$3,Base!$B$3:$B$5001,$A$5)))</f>
        <v>10</v>
      </c>
      <c r="AI8" s="45" t="str">
        <f>IF(AI$3="","",IF(COUNTIFS(Base!$A$3:$A$5001,AI$3,Base!$B$3:$B$5001,$A$5,Base!$L$3:$L$5001,"&lt;&gt;")=0,"",SUMIFS(Base!$L$3:$L$5001,Base!$A$3:$A$5001,AI$3,Base!$B$3:$B$5001,$A$5)))</f>
        <v/>
      </c>
      <c r="AJ8" s="46" t="str">
        <f>IF(AJ$3="","",IF(COUNTIFS(Base!$A$3:$A$5001,AJ$3,Base!$B$3:$B$5001,$A$5,Base!$L$3:$L$5001,"&lt;&gt;")=0,"",SUMIFS(Base!$L$3:$L$5001,Base!$A$3:$A$5001,AJ$3,Base!$B$3:$B$5001,$A$5)))</f>
        <v/>
      </c>
      <c r="AK8" s="47">
        <f>IF(COUNT(F8:AJ8)=0,"",SUM(F8:AJ8))</f>
        <v>150</v>
      </c>
    </row>
    <row r="9" ht="15.75" customHeight="1">
      <c r="A9" s="118"/>
      <c r="B9" s="109"/>
      <c r="C9" s="48" t="inlineStr">
        <is>
          <t xml:space="preserve">Pallets Movimentados</t>
        </is>
      </c>
      <c r="D9" s="49" t="str">
        <f>IFERROR(1/(1/INDEX(calculos!$C$55:$K$83,MATCH("OUT Pallets Movimentados",calculos!$A$55:$A$83,0),MATCH($A$5,calculos!$C$54:$K$54,0))),"")</f>
        <v/>
      </c>
      <c r="E9" s="50"/>
      <c r="F9" s="51">
        <f>IF(F$3="","",IF(COUNTIFS(Base!$A$3:$A$5001,F$3,Base!$B$3:$B$5001,$A$5,Base!$M$3:$M$5001,"&lt;&gt;")=0,"",SUMIFS(Base!$M$3:$M$5001,Base!$A$3:$A$5001,F$3,Base!$B$3:$B$5001,$A$5)))</f>
        <v>80</v>
      </c>
      <c r="G9" s="52">
        <f>IF(G$3="","",IF(COUNTIFS(Base!$A$3:$A$5001,G$3,Base!$B$3:$B$5001,$A$5,Base!$M$3:$M$5001,"&lt;&gt;")=0,"",SUMIFS(Base!$M$3:$M$5001,Base!$A$3:$A$5001,G$3,Base!$B$3:$B$5001,$A$5)))</f>
        <v>132</v>
      </c>
      <c r="H9" s="52">
        <f>IF(H$3="","",IF(COUNTIFS(Base!$A$3:$A$5001,H$3,Base!$B$3:$B$5001,$A$5,Base!$M$3:$M$5001,"&lt;&gt;")=0,"",SUMIFS(Base!$M$3:$M$5001,Base!$A$3:$A$5001,H$3,Base!$B$3:$B$5001,$A$5)))</f>
        <v>65</v>
      </c>
      <c r="I9" s="52">
        <f>IF(I$3="","",IF(COUNTIFS(Base!$A$3:$A$5001,I$3,Base!$B$3:$B$5001,$A$5,Base!$M$3:$M$5001,"&lt;&gt;")=0,"",SUMIFS(Base!$M$3:$M$5001,Base!$A$3:$A$5001,I$3,Base!$B$3:$B$5001,$A$5)))</f>
        <v>69</v>
      </c>
      <c r="J9" s="52">
        <f>IF(J$3="","",IF(COUNTIFS(Base!$A$3:$A$5001,J$3,Base!$B$3:$B$5001,$A$5,Base!$M$3:$M$5001,"&lt;&gt;")=0,"",SUMIFS(Base!$M$3:$M$5001,Base!$A$3:$A$5001,J$3,Base!$B$3:$B$5001,$A$5)))</f>
        <v>82</v>
      </c>
      <c r="K9" s="52" t="str">
        <f>IF(K$3="","",IF(COUNTIFS(Base!$A$3:$A$5001,K$3,Base!$B$3:$B$5001,$A$5,Base!$M$3:$M$5001,"&lt;&gt;")=0,"",SUMIFS(Base!$M$3:$M$5001,Base!$A$3:$A$5001,K$3,Base!$B$3:$B$5001,$A$5)))</f>
        <v/>
      </c>
      <c r="L9" s="52">
        <f>IF(L$3="","",IF(COUNTIFS(Base!$A$3:$A$5001,L$3,Base!$B$3:$B$5001,$A$5,Base!$M$3:$M$5001,"&lt;&gt;")=0,"",SUMIFS(Base!$M$3:$M$5001,Base!$A$3:$A$5001,L$3,Base!$B$3:$B$5001,$A$5)))</f>
        <v>27</v>
      </c>
      <c r="M9" s="52">
        <f>IF(M$3="","",IF(COUNTIFS(Base!$A$3:$A$5001,M$3,Base!$B$3:$B$5001,$A$5,Base!$M$3:$M$5001,"&lt;&gt;")=0,"",SUMIFS(Base!$M$3:$M$5001,Base!$A$3:$A$5001,M$3,Base!$B$3:$B$5001,$A$5)))</f>
        <v>41</v>
      </c>
      <c r="N9" s="52">
        <f>IF(N$3="","",IF(COUNTIFS(Base!$A$3:$A$5001,N$3,Base!$B$3:$B$5001,$A$5,Base!$M$3:$M$5001,"&lt;&gt;")=0,"",SUMIFS(Base!$M$3:$M$5001,Base!$A$3:$A$5001,N$3,Base!$B$3:$B$5001,$A$5)))</f>
        <v>27</v>
      </c>
      <c r="O9" s="52">
        <f>IF(O$3="","",IF(COUNTIFS(Base!$A$3:$A$5001,O$3,Base!$B$3:$B$5001,$A$5,Base!$M$3:$M$5001,"&lt;&gt;")=0,"",SUMIFS(Base!$M$3:$M$5001,Base!$A$3:$A$5001,O$3,Base!$B$3:$B$5001,$A$5)))</f>
        <v>45</v>
      </c>
      <c r="P9" s="52">
        <f>IF(P$3="","",IF(COUNTIFS(Base!$A$3:$A$5001,P$3,Base!$B$3:$B$5001,$A$5,Base!$M$3:$M$5001,"&lt;&gt;")=0,"",SUMIFS(Base!$M$3:$M$5001,Base!$A$3:$A$5001,P$3,Base!$B$3:$B$5001,$A$5)))</f>
        <v>71</v>
      </c>
      <c r="Q9" s="52">
        <f>IF(Q$3="","",IF(COUNTIFS(Base!$A$3:$A$5001,Q$3,Base!$B$3:$B$5001,$A$5,Base!$M$3:$M$5001,"&lt;&gt;")=0,"",SUMIFS(Base!$M$3:$M$5001,Base!$A$3:$A$5001,Q$3,Base!$B$3:$B$5001,$A$5)))</f>
        <v>102</v>
      </c>
      <c r="R9" s="52" t="str">
        <f>IF(R$3="","",IF(COUNTIFS(Base!$A$3:$A$5001,R$3,Base!$B$3:$B$5001,$A$5,Base!$M$3:$M$5001,"&lt;&gt;")=0,"",SUMIFS(Base!$M$3:$M$5001,Base!$A$3:$A$5001,R$3,Base!$B$3:$B$5001,$A$5)))</f>
        <v/>
      </c>
      <c r="S9" s="52">
        <f>IF(S$3="","",IF(COUNTIFS(Base!$A$3:$A$5001,S$3,Base!$B$3:$B$5001,$A$5,Base!$M$3:$M$5001,"&lt;&gt;")=0,"",SUMIFS(Base!$M$3:$M$5001,Base!$A$3:$A$5001,S$3,Base!$B$3:$B$5001,$A$5)))</f>
        <v>130</v>
      </c>
      <c r="T9" s="52">
        <f>IF(T$3="","",IF(COUNTIFS(Base!$A$3:$A$5001,T$3,Base!$B$3:$B$5001,$A$5,Base!$M$3:$M$5001,"&lt;&gt;")=0,"",SUMIFS(Base!$M$3:$M$5001,Base!$A$3:$A$5001,T$3,Base!$B$3:$B$5001,$A$5)))</f>
        <v>66</v>
      </c>
      <c r="U9" s="52">
        <f>IF(U$3="","",IF(COUNTIFS(Base!$A$3:$A$5001,U$3,Base!$B$3:$B$5001,$A$5,Base!$M$3:$M$5001,"&lt;&gt;")=0,"",SUMIFS(Base!$M$3:$M$5001,Base!$A$3:$A$5001,U$3,Base!$B$3:$B$5001,$A$5)))</f>
        <v>158</v>
      </c>
      <c r="V9" s="52">
        <f>IF(V$3="","",IF(COUNTIFS(Base!$A$3:$A$5001,V$3,Base!$B$3:$B$5001,$A$5,Base!$M$3:$M$5001,"&lt;&gt;")=0,"",SUMIFS(Base!$M$3:$M$5001,Base!$A$3:$A$5001,V$3,Base!$B$3:$B$5001,$A$5)))</f>
        <v>125</v>
      </c>
      <c r="W9" s="52">
        <f>IF(W$3="","",IF(COUNTIFS(Base!$A$3:$A$5001,W$3,Base!$B$3:$B$5001,$A$5,Base!$M$3:$M$5001,"&lt;&gt;")=0,"",SUMIFS(Base!$M$3:$M$5001,Base!$A$3:$A$5001,W$3,Base!$B$3:$B$5001,$A$5)))</f>
        <v>104</v>
      </c>
      <c r="X9" s="52">
        <f>IF(X$3="","",IF(COUNTIFS(Base!$A$3:$A$5001,X$3,Base!$B$3:$B$5001,$A$5,Base!$M$3:$M$5001,"&lt;&gt;")=0,"",SUMIFS(Base!$M$3:$M$5001,Base!$A$3:$A$5001,X$3,Base!$B$3:$B$5001,$A$5)))</f>
        <v>23</v>
      </c>
      <c r="Y9" s="52" t="str">
        <f>IF(Y$3="","",IF(COUNTIFS(Base!$A$3:$A$5001,Y$3,Base!$B$3:$B$5001,$A$5,Base!$M$3:$M$5001,"&lt;&gt;")=0,"",SUMIFS(Base!$M$3:$M$5001,Base!$A$3:$A$5001,Y$3,Base!$B$3:$B$5001,$A$5)))</f>
        <v/>
      </c>
      <c r="Z9" s="52">
        <f>IF(Z$3="","",IF(COUNTIFS(Base!$A$3:$A$5001,Z$3,Base!$B$3:$B$5001,$A$5,Base!$M$3:$M$5001,"&lt;&gt;")=0,"",SUMIFS(Base!$M$3:$M$5001,Base!$A$3:$A$5001,Z$3,Base!$B$3:$B$5001,$A$5)))</f>
        <v>115</v>
      </c>
      <c r="AA9" s="52">
        <f>IF(AA$3="","",IF(COUNTIFS(Base!$A$3:$A$5001,AA$3,Base!$B$3:$B$5001,$A$5,Base!$M$3:$M$5001,"&lt;&gt;")=0,"",SUMIFS(Base!$M$3:$M$5001,Base!$A$3:$A$5001,AA$3,Base!$B$3:$B$5001,$A$5)))</f>
        <v>157</v>
      </c>
      <c r="AB9" s="52">
        <f>IF(AB$3="","",IF(COUNTIFS(Base!$A$3:$A$5001,AB$3,Base!$B$3:$B$5001,$A$5,Base!$M$3:$M$5001,"&lt;&gt;")=0,"",SUMIFS(Base!$M$3:$M$5001,Base!$A$3:$A$5001,AB$3,Base!$B$3:$B$5001,$A$5)))</f>
        <v>115</v>
      </c>
      <c r="AC9" s="52">
        <f>IF(AC$3="","",IF(COUNTIFS(Base!$A$3:$A$5001,AC$3,Base!$B$3:$B$5001,$A$5,Base!$M$3:$M$5001,"&lt;&gt;")=0,"",SUMIFS(Base!$M$3:$M$5001,Base!$A$3:$A$5001,AC$3,Base!$B$3:$B$5001,$A$5)))</f>
        <v>124</v>
      </c>
      <c r="AD9" s="52">
        <f>IF(AD$3="","",IF(COUNTIFS(Base!$A$3:$A$5001,AD$3,Base!$B$3:$B$5001,$A$5,Base!$M$3:$M$5001,"&lt;&gt;")=0,"",SUMIFS(Base!$M$3:$M$5001,Base!$A$3:$A$5001,AD$3,Base!$B$3:$B$5001,$A$5)))</f>
        <v>138</v>
      </c>
      <c r="AE9" s="52">
        <f>IF(AE$3="","",IF(COUNTIFS(Base!$A$3:$A$5001,AE$3,Base!$B$3:$B$5001,$A$5,Base!$M$3:$M$5001,"&lt;&gt;")=0,"",SUMIFS(Base!$M$3:$M$5001,Base!$A$3:$A$5001,AE$3,Base!$B$3:$B$5001,$A$5)))</f>
        <v>107</v>
      </c>
      <c r="AF9" s="52" t="str">
        <f>IF(AF$3="","",IF(COUNTIFS(Base!$A$3:$A$5001,AF$3,Base!$B$3:$B$5001,$A$5,Base!$M$3:$M$5001,"&lt;&gt;")=0,"",SUMIFS(Base!$M$3:$M$5001,Base!$A$3:$A$5001,AF$3,Base!$B$3:$B$5001,$A$5)))</f>
        <v/>
      </c>
      <c r="AG9" s="52">
        <f>IF(AG$3="","",IF(COUNTIFS(Base!$A$3:$A$5001,AG$3,Base!$B$3:$B$5001,$A$5,Base!$M$3:$M$5001,"&lt;&gt;")=0,"",SUMIFS(Base!$M$3:$M$5001,Base!$A$3:$A$5001,AG$3,Base!$B$3:$B$5001,$A$5)))</f>
        <v>156</v>
      </c>
      <c r="AH9" s="52">
        <f>IF(AH$3="","",IF(COUNTIFS(Base!$A$3:$A$5001,AH$3,Base!$B$3:$B$5001,$A$5,Base!$M$3:$M$5001,"&lt;&gt;")=0,"",SUMIFS(Base!$M$3:$M$5001,Base!$A$3:$A$5001,AH$3,Base!$B$3:$B$5001,$A$5)))</f>
        <v>130</v>
      </c>
      <c r="AI9" s="52" t="str">
        <f>IF(AI$3="","",IF(COUNTIFS(Base!$A$3:$A$5001,AI$3,Base!$B$3:$B$5001,$A$5,Base!$M$3:$M$5001,"&lt;&gt;")=0,"",SUMIFS(Base!$M$3:$M$5001,Base!$A$3:$A$5001,AI$3,Base!$B$3:$B$5001,$A$5)))</f>
        <v/>
      </c>
      <c r="AJ9" s="53" t="str">
        <f>IF(AJ$3="","",IF(COUNTIFS(Base!$A$3:$A$5001,AJ$3,Base!$B$3:$B$5001,$A$5,Base!$M$3:$M$5001,"&lt;&gt;")=0,"",SUMIFS(Base!$M$3:$M$5001,Base!$A$3:$A$5001,AJ$3,Base!$B$3:$B$5001,$A$5)))</f>
        <v/>
      </c>
      <c r="AK9" s="54">
        <f>IF(COUNT(F9:AJ9)=0,"",SUM(F9:AJ9))</f>
        <v>2389</v>
      </c>
    </row>
    <row r="10" ht="15.75" customHeight="1">
      <c r="A10" s="118"/>
      <c r="B10" s="110"/>
      <c r="C10" s="55" t="inlineStr">
        <is>
          <t xml:space="preserve">Toneladas Movimentadas</t>
        </is>
      </c>
      <c r="D10" s="56" t="str">
        <f>IFERROR(1/(1/INDEX(calculos!$C$55:$K$83,MATCH("OUT Toneladas Movimentadas",calculos!$A$55:$A$83,0),MATCH($A$5,calculos!$C$54:$K$54,0))),"")</f>
        <v/>
      </c>
      <c r="E10" s="57"/>
      <c r="F10" s="58">
        <f>IF(F$3="","",IF(COUNTIFS(Base!$A$3:$A$5001,F$3,Base!$B$3:$B$5001,$A$5,Base!$N$3:$N$5001,"&lt;&gt;")=0,"",SUMIFS(Base!$N$3:$N$5001,Base!$A$3:$A$5001,F$3,Base!$B$3:$B$5001,$A$5)))</f>
        <v>118.15</v>
      </c>
      <c r="G10" s="59">
        <f>IF(G$3="","",IF(COUNTIFS(Base!$A$3:$A$5001,G$3,Base!$B$3:$B$5001,$A$5,Base!$N$3:$N$5001,"&lt;&gt;")=0,"",SUMIFS(Base!$N$3:$N$5001,Base!$A$3:$A$5001,G$3,Base!$B$3:$B$5001,$A$5)))</f>
        <v>99.56</v>
      </c>
      <c r="H10" s="59">
        <f>IF(H$3="","",IF(COUNTIFS(Base!$A$3:$A$5001,H$3,Base!$B$3:$B$5001,$A$5,Base!$N$3:$N$5001,"&lt;&gt;")=0,"",SUMIFS(Base!$N$3:$N$5001,Base!$A$3:$A$5001,H$3,Base!$B$3:$B$5001,$A$5)))</f>
        <v>15.43</v>
      </c>
      <c r="I10" s="59">
        <f>IF(I$3="","",IF(COUNTIFS(Base!$A$3:$A$5001,I$3,Base!$B$3:$B$5001,$A$5,Base!$N$3:$N$5001,"&lt;&gt;")=0,"",SUMIFS(Base!$N$3:$N$5001,Base!$A$3:$A$5001,I$3,Base!$B$3:$B$5001,$A$5)))</f>
        <v>125.07</v>
      </c>
      <c r="J10" s="59">
        <f>IF(J$3="","",IF(COUNTIFS(Base!$A$3:$A$5001,J$3,Base!$B$3:$B$5001,$A$5,Base!$N$3:$N$5001,"&lt;&gt;")=0,"",SUMIFS(Base!$N$3:$N$5001,Base!$A$3:$A$5001,J$3,Base!$B$3:$B$5001,$A$5)))</f>
        <v>137.61</v>
      </c>
      <c r="K10" s="59" t="str">
        <f>IF(K$3="","",IF(COUNTIFS(Base!$A$3:$A$5001,K$3,Base!$B$3:$B$5001,$A$5,Base!$N$3:$N$5001,"&lt;&gt;")=0,"",SUMIFS(Base!$N$3:$N$5001,Base!$A$3:$A$5001,K$3,Base!$B$3:$B$5001,$A$5)))</f>
        <v/>
      </c>
      <c r="L10" s="59">
        <f>IF(L$3="","",IF(COUNTIFS(Base!$A$3:$A$5001,L$3,Base!$B$3:$B$5001,$A$5,Base!$N$3:$N$5001,"&lt;&gt;")=0,"",SUMIFS(Base!$N$3:$N$5001,Base!$A$3:$A$5001,L$3,Base!$B$3:$B$5001,$A$5)))</f>
        <v>97.95</v>
      </c>
      <c r="M10" s="59">
        <f>IF(M$3="","",IF(COUNTIFS(Base!$A$3:$A$5001,M$3,Base!$B$3:$B$5001,$A$5,Base!$N$3:$N$5001,"&lt;&gt;")=0,"",SUMIFS(Base!$N$3:$N$5001,Base!$A$3:$A$5001,M$3,Base!$B$3:$B$5001,$A$5)))</f>
        <v>108.06</v>
      </c>
      <c r="N10" s="59">
        <f>IF(N$3="","",IF(COUNTIFS(Base!$A$3:$A$5001,N$3,Base!$B$3:$B$5001,$A$5,Base!$N$3:$N$5001,"&lt;&gt;")=0,"",SUMIFS(Base!$N$3:$N$5001,Base!$A$3:$A$5001,N$3,Base!$B$3:$B$5001,$A$5)))</f>
        <v>136.7</v>
      </c>
      <c r="O10" s="59">
        <f>IF(O$3="","",IF(COUNTIFS(Base!$A$3:$A$5001,O$3,Base!$B$3:$B$5001,$A$5,Base!$N$3:$N$5001,"&lt;&gt;")=0,"",SUMIFS(Base!$N$3:$N$5001,Base!$A$3:$A$5001,O$3,Base!$B$3:$B$5001,$A$5)))</f>
        <v>116.36</v>
      </c>
      <c r="P10" s="59">
        <f>IF(P$3="","",IF(COUNTIFS(Base!$A$3:$A$5001,P$3,Base!$B$3:$B$5001,$A$5,Base!$N$3:$N$5001,"&lt;&gt;")=0,"",SUMIFS(Base!$N$3:$N$5001,Base!$A$3:$A$5001,P$3,Base!$B$3:$B$5001,$A$5)))</f>
        <v>132.77</v>
      </c>
      <c r="Q10" s="59">
        <f>IF(Q$3="","",IF(COUNTIFS(Base!$A$3:$A$5001,Q$3,Base!$B$3:$B$5001,$A$5,Base!$N$3:$N$5001,"&lt;&gt;")=0,"",SUMIFS(Base!$N$3:$N$5001,Base!$A$3:$A$5001,Q$3,Base!$B$3:$B$5001,$A$5)))</f>
        <v>99.66</v>
      </c>
      <c r="R10" s="59" t="str">
        <f>IF(R$3="","",IF(COUNTIFS(Base!$A$3:$A$5001,R$3,Base!$B$3:$B$5001,$A$5,Base!$N$3:$N$5001,"&lt;&gt;")=0,"",SUMIFS(Base!$N$3:$N$5001,Base!$A$3:$A$5001,R$3,Base!$B$3:$B$5001,$A$5)))</f>
        <v/>
      </c>
      <c r="S10" s="59">
        <f>IF(S$3="","",IF(COUNTIFS(Base!$A$3:$A$5001,S$3,Base!$B$3:$B$5001,$A$5,Base!$N$3:$N$5001,"&lt;&gt;")=0,"",SUMIFS(Base!$N$3:$N$5001,Base!$A$3:$A$5001,S$3,Base!$B$3:$B$5001,$A$5)))</f>
        <v>117.66</v>
      </c>
      <c r="T10" s="59">
        <f>IF(T$3="","",IF(COUNTIFS(Base!$A$3:$A$5001,T$3,Base!$B$3:$B$5001,$A$5,Base!$N$3:$N$5001,"&lt;&gt;")=0,"",SUMIFS(Base!$N$3:$N$5001,Base!$A$3:$A$5001,T$3,Base!$B$3:$B$5001,$A$5)))</f>
        <v>87.22</v>
      </c>
      <c r="U10" s="59">
        <f>IF(U$3="","",IF(COUNTIFS(Base!$A$3:$A$5001,U$3,Base!$B$3:$B$5001,$A$5,Base!$N$3:$N$5001,"&lt;&gt;")=0,"",SUMIFS(Base!$N$3:$N$5001,Base!$A$3:$A$5001,U$3,Base!$B$3:$B$5001,$A$5)))</f>
        <v>106.86</v>
      </c>
      <c r="V10" s="59">
        <f>IF(V$3="","",IF(COUNTIFS(Base!$A$3:$A$5001,V$3,Base!$B$3:$B$5001,$A$5,Base!$N$3:$N$5001,"&lt;&gt;")=0,"",SUMIFS(Base!$N$3:$N$5001,Base!$A$3:$A$5001,V$3,Base!$B$3:$B$5001,$A$5)))</f>
        <v>106.67</v>
      </c>
      <c r="W10" s="59">
        <f>IF(W$3="","",IF(COUNTIFS(Base!$A$3:$A$5001,W$3,Base!$B$3:$B$5001,$A$5,Base!$N$3:$N$5001,"&lt;&gt;")=0,"",SUMIFS(Base!$N$3:$N$5001,Base!$A$3:$A$5001,W$3,Base!$B$3:$B$5001,$A$5)))</f>
        <v>84.91</v>
      </c>
      <c r="X10" s="59">
        <f>IF(X$3="","",IF(COUNTIFS(Base!$A$3:$A$5001,X$3,Base!$B$3:$B$5001,$A$5,Base!$N$3:$N$5001,"&lt;&gt;")=0,"",SUMIFS(Base!$N$3:$N$5001,Base!$A$3:$A$5001,X$3,Base!$B$3:$B$5001,$A$5)))</f>
        <v>109.19</v>
      </c>
      <c r="Y10" s="59" t="str">
        <f>IF(Y$3="","",IF(COUNTIFS(Base!$A$3:$A$5001,Y$3,Base!$B$3:$B$5001,$A$5,Base!$N$3:$N$5001,"&lt;&gt;")=0,"",SUMIFS(Base!$N$3:$N$5001,Base!$A$3:$A$5001,Y$3,Base!$B$3:$B$5001,$A$5)))</f>
        <v/>
      </c>
      <c r="Z10" s="59">
        <f>IF(Z$3="","",IF(COUNTIFS(Base!$A$3:$A$5001,Z$3,Base!$B$3:$B$5001,$A$5,Base!$N$3:$N$5001,"&lt;&gt;")=0,"",SUMIFS(Base!$N$3:$N$5001,Base!$A$3:$A$5001,Z$3,Base!$B$3:$B$5001,$A$5)))</f>
        <v>127.4</v>
      </c>
      <c r="AA10" s="59">
        <f>IF(AA$3="","",IF(COUNTIFS(Base!$A$3:$A$5001,AA$3,Base!$B$3:$B$5001,$A$5,Base!$N$3:$N$5001,"&lt;&gt;")=0,"",SUMIFS(Base!$N$3:$N$5001,Base!$A$3:$A$5001,AA$3,Base!$B$3:$B$5001,$A$5)))</f>
        <v>126.57</v>
      </c>
      <c r="AB10" s="59">
        <f>IF(AB$3="","",IF(COUNTIFS(Base!$A$3:$A$5001,AB$3,Base!$B$3:$B$5001,$A$5,Base!$N$3:$N$5001,"&lt;&gt;")=0,"",SUMIFS(Base!$N$3:$N$5001,Base!$A$3:$A$5001,AB$3,Base!$B$3:$B$5001,$A$5)))</f>
        <v>126.57</v>
      </c>
      <c r="AC10" s="59">
        <f>IF(AC$3="","",IF(COUNTIFS(Base!$A$3:$A$5001,AC$3,Base!$B$3:$B$5001,$A$5,Base!$N$3:$N$5001,"&lt;&gt;")=0,"",SUMIFS(Base!$N$3:$N$5001,Base!$A$3:$A$5001,AC$3,Base!$B$3:$B$5001,$A$5)))</f>
        <v>55.8</v>
      </c>
      <c r="AD10" s="59">
        <f>IF(AD$3="","",IF(COUNTIFS(Base!$A$3:$A$5001,AD$3,Base!$B$3:$B$5001,$A$5,Base!$N$3:$N$5001,"&lt;&gt;")=0,"",SUMIFS(Base!$N$3:$N$5001,Base!$A$3:$A$5001,AD$3,Base!$B$3:$B$5001,$A$5)))</f>
        <v>117.44</v>
      </c>
      <c r="AE10" s="59">
        <f>IF(AE$3="","",IF(COUNTIFS(Base!$A$3:$A$5001,AE$3,Base!$B$3:$B$5001,$A$5,Base!$N$3:$N$5001,"&lt;&gt;")=0,"",SUMIFS(Base!$N$3:$N$5001,Base!$A$3:$A$5001,AE$3,Base!$B$3:$B$5001,$A$5)))</f>
        <v>120.76</v>
      </c>
      <c r="AF10" s="59" t="str">
        <f>IF(AF$3="","",IF(COUNTIFS(Base!$A$3:$A$5001,AF$3,Base!$B$3:$B$5001,$A$5,Base!$N$3:$N$5001,"&lt;&gt;")=0,"",SUMIFS(Base!$N$3:$N$5001,Base!$A$3:$A$5001,AF$3,Base!$B$3:$B$5001,$A$5)))</f>
        <v/>
      </c>
      <c r="AG10" s="59">
        <f>IF(AG$3="","",IF(COUNTIFS(Base!$A$3:$A$5001,AG$3,Base!$B$3:$B$5001,$A$5,Base!$N$3:$N$5001,"&lt;&gt;")=0,"",SUMIFS(Base!$N$3:$N$5001,Base!$A$3:$A$5001,AG$3,Base!$B$3:$B$5001,$A$5)))</f>
        <v>133.34</v>
      </c>
      <c r="AH10" s="59">
        <f>IF(AH$3="","",IF(COUNTIFS(Base!$A$3:$A$5001,AH$3,Base!$B$3:$B$5001,$A$5,Base!$N$3:$N$5001,"&lt;&gt;")=0,"",SUMIFS(Base!$N$3:$N$5001,Base!$A$3:$A$5001,AH$3,Base!$B$3:$B$5001,$A$5)))</f>
        <v>60.68</v>
      </c>
      <c r="AI10" s="59" t="str">
        <f>IF(AI$3="","",IF(COUNTIFS(Base!$A$3:$A$5001,AI$3,Base!$B$3:$B$5001,$A$5,Base!$N$3:$N$5001,"&lt;&gt;")=0,"",SUMIFS(Base!$N$3:$N$5001,Base!$A$3:$A$5001,AI$3,Base!$B$3:$B$5001,$A$5)))</f>
        <v/>
      </c>
      <c r="AJ10" s="60" t="str">
        <f>IF(AJ$3="","",IF(COUNTIFS(Base!$A$3:$A$5001,AJ$3,Base!$B$3:$B$5001,$A$5,Base!$N$3:$N$5001,"&lt;&gt;")=0,"",SUMIFS(Base!$N$3:$N$5001,Base!$A$3:$A$5001,AJ$3,Base!$B$3:$B$5001,$A$5)))</f>
        <v/>
      </c>
      <c r="AK10" s="56">
        <f>IF(COUNT(F10:AJ10)=0,"",SUM(F10:AJ10))</f>
        <v>2668.39</v>
      </c>
    </row>
    <row r="11" ht="15.75" customHeight="1">
      <c r="A11" s="118"/>
      <c r="B11" s="111" t="inlineStr">
        <is>
          <t xml:space="preserve">NC</t>
        </is>
      </c>
      <c r="C11" s="61" t="inlineStr">
        <is>
          <t xml:space="preserve">Incidentes</t>
        </is>
      </c>
      <c r="D11" s="62" t="str">
        <f>IFERROR(1/(1/INDEX(calculos!$C$55:$K$83,MATCH("NC Incidentes",calculos!$A$55:$A$83,0),MATCH($A$5,calculos!$C$54:$K$54,0))),"")</f>
        <v/>
      </c>
      <c r="E11" s="63"/>
      <c r="F11" s="64">
        <f>IF(F$3="","",IF(COUNTIFS(Base!$A$3:$A$5001,F$3,Base!$B$3:$B$5001,$A$5,Base!$U$3:$U$5001,"&lt;&gt;")=0,"",SUMIFS(Base!$U$3:$U$5001,Base!$A$3:$A$5001,F$3,Base!$B$3:$B$5001,$A$5)))</f>
        <v>0</v>
      </c>
      <c r="G11" s="65">
        <f>IF(G$3="","",IF(COUNTIFS(Base!$A$3:$A$5001,G$3,Base!$B$3:$B$5001,$A$5,Base!$U$3:$U$5001,"&lt;&gt;")=0,"",SUMIFS(Base!$U$3:$U$5001,Base!$A$3:$A$5001,G$3,Base!$B$3:$B$5001,$A$5)))</f>
        <v>0</v>
      </c>
      <c r="H11" s="65">
        <f>IF(H$3="","",IF(COUNTIFS(Base!$A$3:$A$5001,H$3,Base!$B$3:$B$5001,$A$5,Base!$U$3:$U$5001,"&lt;&gt;")=0,"",SUMIFS(Base!$U$3:$U$5001,Base!$A$3:$A$5001,H$3,Base!$B$3:$B$5001,$A$5)))</f>
        <v>0</v>
      </c>
      <c r="I11" s="65">
        <f>IF(I$3="","",IF(COUNTIFS(Base!$A$3:$A$5001,I$3,Base!$B$3:$B$5001,$A$5,Base!$U$3:$U$5001,"&lt;&gt;")=0,"",SUMIFS(Base!$U$3:$U$5001,Base!$A$3:$A$5001,I$3,Base!$B$3:$B$5001,$A$5)))</f>
        <v>0</v>
      </c>
      <c r="J11" s="65">
        <f>IF(J$3="","",IF(COUNTIFS(Base!$A$3:$A$5001,J$3,Base!$B$3:$B$5001,$A$5,Base!$U$3:$U$5001,"&lt;&gt;")=0,"",SUMIFS(Base!$U$3:$U$5001,Base!$A$3:$A$5001,J$3,Base!$B$3:$B$5001,$A$5)))</f>
        <v>0</v>
      </c>
      <c r="K11" s="65" t="str">
        <f>IF(K$3="","",IF(COUNTIFS(Base!$A$3:$A$5001,K$3,Base!$B$3:$B$5001,$A$5,Base!$U$3:$U$5001,"&lt;&gt;")=0,"",SUMIFS(Base!$U$3:$U$5001,Base!$A$3:$A$5001,K$3,Base!$B$3:$B$5001,$A$5)))</f>
        <v/>
      </c>
      <c r="L11" s="65">
        <f>IF(L$3="","",IF(COUNTIFS(Base!$A$3:$A$5001,L$3,Base!$B$3:$B$5001,$A$5,Base!$U$3:$U$5001,"&lt;&gt;")=0,"",SUMIFS(Base!$U$3:$U$5001,Base!$A$3:$A$5001,L$3,Base!$B$3:$B$5001,$A$5)))</f>
        <v>0</v>
      </c>
      <c r="M11" s="65">
        <f>IF(M$3="","",IF(COUNTIFS(Base!$A$3:$A$5001,M$3,Base!$B$3:$B$5001,$A$5,Base!$U$3:$U$5001,"&lt;&gt;")=0,"",SUMIFS(Base!$U$3:$U$5001,Base!$A$3:$A$5001,M$3,Base!$B$3:$B$5001,$A$5)))</f>
        <v>0</v>
      </c>
      <c r="N11" s="65">
        <f>IF(N$3="","",IF(COUNTIFS(Base!$A$3:$A$5001,N$3,Base!$B$3:$B$5001,$A$5,Base!$U$3:$U$5001,"&lt;&gt;")=0,"",SUMIFS(Base!$U$3:$U$5001,Base!$A$3:$A$5001,N$3,Base!$B$3:$B$5001,$A$5)))</f>
        <v>0</v>
      </c>
      <c r="O11" s="65">
        <f>IF(O$3="","",IF(COUNTIFS(Base!$A$3:$A$5001,O$3,Base!$B$3:$B$5001,$A$5,Base!$U$3:$U$5001,"&lt;&gt;")=0,"",SUMIFS(Base!$U$3:$U$5001,Base!$A$3:$A$5001,O$3,Base!$B$3:$B$5001,$A$5)))</f>
        <v>0</v>
      </c>
      <c r="P11" s="65">
        <f>IF(P$3="","",IF(COUNTIFS(Base!$A$3:$A$5001,P$3,Base!$B$3:$B$5001,$A$5,Base!$U$3:$U$5001,"&lt;&gt;")=0,"",SUMIFS(Base!$U$3:$U$5001,Base!$A$3:$A$5001,P$3,Base!$B$3:$B$5001,$A$5)))</f>
        <v>0</v>
      </c>
      <c r="Q11" s="65">
        <f>IF(Q$3="","",IF(COUNTIFS(Base!$A$3:$A$5001,Q$3,Base!$B$3:$B$5001,$A$5,Base!$U$3:$U$5001,"&lt;&gt;")=0,"",SUMIFS(Base!$U$3:$U$5001,Base!$A$3:$A$5001,Q$3,Base!$B$3:$B$5001,$A$5)))</f>
        <v>0</v>
      </c>
      <c r="R11" s="65" t="str">
        <f>IF(R$3="","",IF(COUNTIFS(Base!$A$3:$A$5001,R$3,Base!$B$3:$B$5001,$A$5,Base!$U$3:$U$5001,"&lt;&gt;")=0,"",SUMIFS(Base!$U$3:$U$5001,Base!$A$3:$A$5001,R$3,Base!$B$3:$B$5001,$A$5)))</f>
        <v/>
      </c>
      <c r="S11" s="65">
        <f>IF(S$3="","",IF(COUNTIFS(Base!$A$3:$A$5001,S$3,Base!$B$3:$B$5001,$A$5,Base!$U$3:$U$5001,"&lt;&gt;")=0,"",SUMIFS(Base!$U$3:$U$5001,Base!$A$3:$A$5001,S$3,Base!$B$3:$B$5001,$A$5)))</f>
        <v>0</v>
      </c>
      <c r="T11" s="65">
        <f>IF(T$3="","",IF(COUNTIFS(Base!$A$3:$A$5001,T$3,Base!$B$3:$B$5001,$A$5,Base!$U$3:$U$5001,"&lt;&gt;")=0,"",SUMIFS(Base!$U$3:$U$5001,Base!$A$3:$A$5001,T$3,Base!$B$3:$B$5001,$A$5)))</f>
        <v>0</v>
      </c>
      <c r="U11" s="65">
        <f>IF(U$3="","",IF(COUNTIFS(Base!$A$3:$A$5001,U$3,Base!$B$3:$B$5001,$A$5,Base!$U$3:$U$5001,"&lt;&gt;")=0,"",SUMIFS(Base!$U$3:$U$5001,Base!$A$3:$A$5001,U$3,Base!$B$3:$B$5001,$A$5)))</f>
        <v>0</v>
      </c>
      <c r="V11" s="65">
        <f>IF(V$3="","",IF(COUNTIFS(Base!$A$3:$A$5001,V$3,Base!$B$3:$B$5001,$A$5,Base!$U$3:$U$5001,"&lt;&gt;")=0,"",SUMIFS(Base!$U$3:$U$5001,Base!$A$3:$A$5001,V$3,Base!$B$3:$B$5001,$A$5)))</f>
        <v>0</v>
      </c>
      <c r="W11" s="65">
        <f>IF(W$3="","",IF(COUNTIFS(Base!$A$3:$A$5001,W$3,Base!$B$3:$B$5001,$A$5,Base!$U$3:$U$5001,"&lt;&gt;")=0,"",SUMIFS(Base!$U$3:$U$5001,Base!$A$3:$A$5001,W$3,Base!$B$3:$B$5001,$A$5)))</f>
        <v>0</v>
      </c>
      <c r="X11" s="65">
        <f>IF(X$3="","",IF(COUNTIFS(Base!$A$3:$A$5001,X$3,Base!$B$3:$B$5001,$A$5,Base!$U$3:$U$5001,"&lt;&gt;")=0,"",SUMIFS(Base!$U$3:$U$5001,Base!$A$3:$A$5001,X$3,Base!$B$3:$B$5001,$A$5)))</f>
        <v>0</v>
      </c>
      <c r="Y11" s="65" t="str">
        <f>IF(Y$3="","",IF(COUNTIFS(Base!$A$3:$A$5001,Y$3,Base!$B$3:$B$5001,$A$5,Base!$U$3:$U$5001,"&lt;&gt;")=0,"",SUMIFS(Base!$U$3:$U$5001,Base!$A$3:$A$5001,Y$3,Base!$B$3:$B$5001,$A$5)))</f>
        <v/>
      </c>
      <c r="Z11" s="65">
        <f>IF(Z$3="","",IF(COUNTIFS(Base!$A$3:$A$5001,Z$3,Base!$B$3:$B$5001,$A$5,Base!$U$3:$U$5001,"&lt;&gt;")=0,"",SUMIFS(Base!$U$3:$U$5001,Base!$A$3:$A$5001,Z$3,Base!$B$3:$B$5001,$A$5)))</f>
        <v>0</v>
      </c>
      <c r="AA11" s="65">
        <f>IF(AA$3="","",IF(COUNTIFS(Base!$A$3:$A$5001,AA$3,Base!$B$3:$B$5001,$A$5,Base!$U$3:$U$5001,"&lt;&gt;")=0,"",SUMIFS(Base!$U$3:$U$5001,Base!$A$3:$A$5001,AA$3,Base!$B$3:$B$5001,$A$5)))</f>
        <v>0</v>
      </c>
      <c r="AB11" s="65">
        <f>IF(AB$3="","",IF(COUNTIFS(Base!$A$3:$A$5001,AB$3,Base!$B$3:$B$5001,$A$5,Base!$U$3:$U$5001,"&lt;&gt;")=0,"",SUMIFS(Base!$U$3:$U$5001,Base!$A$3:$A$5001,AB$3,Base!$B$3:$B$5001,$A$5)))</f>
        <v>0</v>
      </c>
      <c r="AC11" s="65">
        <f>IF(AC$3="","",IF(COUNTIFS(Base!$A$3:$A$5001,AC$3,Base!$B$3:$B$5001,$A$5,Base!$U$3:$U$5001,"&lt;&gt;")=0,"",SUMIFS(Base!$U$3:$U$5001,Base!$A$3:$A$5001,AC$3,Base!$B$3:$B$5001,$A$5)))</f>
        <v>0</v>
      </c>
      <c r="AD11" s="65">
        <f>IF(AD$3="","",IF(COUNTIFS(Base!$A$3:$A$5001,AD$3,Base!$B$3:$B$5001,$A$5,Base!$U$3:$U$5001,"&lt;&gt;")=0,"",SUMIFS(Base!$U$3:$U$5001,Base!$A$3:$A$5001,AD$3,Base!$B$3:$B$5001,$A$5)))</f>
        <v>0</v>
      </c>
      <c r="AE11" s="65">
        <f>IF(AE$3="","",IF(COUNTIFS(Base!$A$3:$A$5001,AE$3,Base!$B$3:$B$5001,$A$5,Base!$U$3:$U$5001,"&lt;&gt;")=0,"",SUMIFS(Base!$U$3:$U$5001,Base!$A$3:$A$5001,AE$3,Base!$B$3:$B$5001,$A$5)))</f>
        <v>0</v>
      </c>
      <c r="AF11" s="65" t="str">
        <f>IF(AF$3="","",IF(COUNTIFS(Base!$A$3:$A$5001,AF$3,Base!$B$3:$B$5001,$A$5,Base!$U$3:$U$5001,"&lt;&gt;")=0,"",SUMIFS(Base!$U$3:$U$5001,Base!$A$3:$A$5001,AF$3,Base!$B$3:$B$5001,$A$5)))</f>
        <v/>
      </c>
      <c r="AG11" s="65">
        <f>IF(AG$3="","",IF(COUNTIFS(Base!$A$3:$A$5001,AG$3,Base!$B$3:$B$5001,$A$5,Base!$U$3:$U$5001,"&lt;&gt;")=0,"",SUMIFS(Base!$U$3:$U$5001,Base!$A$3:$A$5001,AG$3,Base!$B$3:$B$5001,$A$5)))</f>
        <v>0</v>
      </c>
      <c r="AH11" s="65">
        <f>IF(AH$3="","",IF(COUNTIFS(Base!$A$3:$A$5001,AH$3,Base!$B$3:$B$5001,$A$5,Base!$U$3:$U$5001,"&lt;&gt;")=0,"",SUMIFS(Base!$U$3:$U$5001,Base!$A$3:$A$5001,AH$3,Base!$B$3:$B$5001,$A$5)))</f>
        <v>0</v>
      </c>
      <c r="AI11" s="65" t="str">
        <f>IF(AI$3="","",IF(COUNTIFS(Base!$A$3:$A$5001,AI$3,Base!$B$3:$B$5001,$A$5,Base!$U$3:$U$5001,"&lt;&gt;")=0,"",SUMIFS(Base!$U$3:$U$5001,Base!$A$3:$A$5001,AI$3,Base!$B$3:$B$5001,$A$5)))</f>
        <v/>
      </c>
      <c r="AJ11" s="66" t="str">
        <f>IF(AJ$3="","",IF(COUNTIFS(Base!$A$3:$A$5001,AJ$3,Base!$B$3:$B$5001,$A$5,Base!$U$3:$U$5001,"&lt;&gt;")=0,"",SUMIFS(Base!$U$3:$U$5001,Base!$A$3:$A$5001,AJ$3,Base!$B$3:$B$5001,$A$5)))</f>
        <v/>
      </c>
      <c r="AK11" s="67">
        <f>IF(COUNT(F11:AJ11)=0,"",SUM(F11:AJ11))</f>
        <v>0</v>
      </c>
    </row>
    <row r="12" ht="15.75" customHeight="1">
      <c r="A12" s="118"/>
      <c r="B12" s="112"/>
      <c r="C12" s="68" t="inlineStr">
        <is>
          <t xml:space="preserve">No show</t>
        </is>
      </c>
      <c r="D12" s="69" t="str">
        <f>IFERROR(1/(1/INDEX(calculos!$C$55:$K$83,MATCH("NC No show",calculos!$A$55:$A$83,0),MATCH($A$5,calculos!$C$54:$K$54,0))),"")</f>
        <v/>
      </c>
      <c r="E12" s="70"/>
      <c r="F12" s="71">
        <f>IF(F$3="","",IF(COUNTIFS(Base!$A$3:$A$5001,F$3,Base!$B$3:$B$5001,$A$5,Base!$V$3:$V$5001,"&lt;&gt;")=0,"",SUMIFS(Base!$V$3:$V$5001,Base!$A$3:$A$5001,F$3,Base!$B$3:$B$5001,$A$5)))</f>
        <v>0</v>
      </c>
      <c r="G12" s="72">
        <f>IF(G$3="","",IF(COUNTIFS(Base!$A$3:$A$5001,G$3,Base!$B$3:$B$5001,$A$5,Base!$V$3:$V$5001,"&lt;&gt;")=0,"",SUMIFS(Base!$V$3:$V$5001,Base!$A$3:$A$5001,G$3,Base!$B$3:$B$5001,$A$5)))</f>
        <v>0</v>
      </c>
      <c r="H12" s="72">
        <f>IF(H$3="","",IF(COUNTIFS(Base!$A$3:$A$5001,H$3,Base!$B$3:$B$5001,$A$5,Base!$V$3:$V$5001,"&lt;&gt;")=0,"",SUMIFS(Base!$V$3:$V$5001,Base!$A$3:$A$5001,H$3,Base!$B$3:$B$5001,$A$5)))</f>
        <v>0</v>
      </c>
      <c r="I12" s="72">
        <f>IF(I$3="","",IF(COUNTIFS(Base!$A$3:$A$5001,I$3,Base!$B$3:$B$5001,$A$5,Base!$V$3:$V$5001,"&lt;&gt;")=0,"",SUMIFS(Base!$V$3:$V$5001,Base!$A$3:$A$5001,I$3,Base!$B$3:$B$5001,$A$5)))</f>
        <v>0</v>
      </c>
      <c r="J12" s="72">
        <f>IF(J$3="","",IF(COUNTIFS(Base!$A$3:$A$5001,J$3,Base!$B$3:$B$5001,$A$5,Base!$V$3:$V$5001,"&lt;&gt;")=0,"",SUMIFS(Base!$V$3:$V$5001,Base!$A$3:$A$5001,J$3,Base!$B$3:$B$5001,$A$5)))</f>
        <v>0</v>
      </c>
      <c r="K12" s="72" t="str">
        <f>IF(K$3="","",IF(COUNTIFS(Base!$A$3:$A$5001,K$3,Base!$B$3:$B$5001,$A$5,Base!$V$3:$V$5001,"&lt;&gt;")=0,"",SUMIFS(Base!$V$3:$V$5001,Base!$A$3:$A$5001,K$3,Base!$B$3:$B$5001,$A$5)))</f>
        <v/>
      </c>
      <c r="L12" s="72">
        <f>IF(L$3="","",IF(COUNTIFS(Base!$A$3:$A$5001,L$3,Base!$B$3:$B$5001,$A$5,Base!$V$3:$V$5001,"&lt;&gt;")=0,"",SUMIFS(Base!$V$3:$V$5001,Base!$A$3:$A$5001,L$3,Base!$B$3:$B$5001,$A$5)))</f>
        <v>0</v>
      </c>
      <c r="M12" s="72">
        <f>IF(M$3="","",IF(COUNTIFS(Base!$A$3:$A$5001,M$3,Base!$B$3:$B$5001,$A$5,Base!$V$3:$V$5001,"&lt;&gt;")=0,"",SUMIFS(Base!$V$3:$V$5001,Base!$A$3:$A$5001,M$3,Base!$B$3:$B$5001,$A$5)))</f>
        <v>0</v>
      </c>
      <c r="N12" s="72">
        <f>IF(N$3="","",IF(COUNTIFS(Base!$A$3:$A$5001,N$3,Base!$B$3:$B$5001,$A$5,Base!$V$3:$V$5001,"&lt;&gt;")=0,"",SUMIFS(Base!$V$3:$V$5001,Base!$A$3:$A$5001,N$3,Base!$B$3:$B$5001,$A$5)))</f>
        <v>0</v>
      </c>
      <c r="O12" s="72">
        <f>IF(O$3="","",IF(COUNTIFS(Base!$A$3:$A$5001,O$3,Base!$B$3:$B$5001,$A$5,Base!$V$3:$V$5001,"&lt;&gt;")=0,"",SUMIFS(Base!$V$3:$V$5001,Base!$A$3:$A$5001,O$3,Base!$B$3:$B$5001,$A$5)))</f>
        <v>0</v>
      </c>
      <c r="P12" s="72">
        <f>IF(P$3="","",IF(COUNTIFS(Base!$A$3:$A$5001,P$3,Base!$B$3:$B$5001,$A$5,Base!$V$3:$V$5001,"&lt;&gt;")=0,"",SUMIFS(Base!$V$3:$V$5001,Base!$A$3:$A$5001,P$3,Base!$B$3:$B$5001,$A$5)))</f>
        <v>0</v>
      </c>
      <c r="Q12" s="72">
        <f>IF(Q$3="","",IF(COUNTIFS(Base!$A$3:$A$5001,Q$3,Base!$B$3:$B$5001,$A$5,Base!$V$3:$V$5001,"&lt;&gt;")=0,"",SUMIFS(Base!$V$3:$V$5001,Base!$A$3:$A$5001,Q$3,Base!$B$3:$B$5001,$A$5)))</f>
        <v>0</v>
      </c>
      <c r="R12" s="72" t="str">
        <f>IF(R$3="","",IF(COUNTIFS(Base!$A$3:$A$5001,R$3,Base!$B$3:$B$5001,$A$5,Base!$V$3:$V$5001,"&lt;&gt;")=0,"",SUMIFS(Base!$V$3:$V$5001,Base!$A$3:$A$5001,R$3,Base!$B$3:$B$5001,$A$5)))</f>
        <v/>
      </c>
      <c r="S12" s="72">
        <f>IF(S$3="","",IF(COUNTIFS(Base!$A$3:$A$5001,S$3,Base!$B$3:$B$5001,$A$5,Base!$V$3:$V$5001,"&lt;&gt;")=0,"",SUMIFS(Base!$V$3:$V$5001,Base!$A$3:$A$5001,S$3,Base!$B$3:$B$5001,$A$5)))</f>
        <v>0</v>
      </c>
      <c r="T12" s="72">
        <f>IF(T$3="","",IF(COUNTIFS(Base!$A$3:$A$5001,T$3,Base!$B$3:$B$5001,$A$5,Base!$V$3:$V$5001,"&lt;&gt;")=0,"",SUMIFS(Base!$V$3:$V$5001,Base!$A$3:$A$5001,T$3,Base!$B$3:$B$5001,$A$5)))</f>
        <v>0</v>
      </c>
      <c r="U12" s="72">
        <f>IF(U$3="","",IF(COUNTIFS(Base!$A$3:$A$5001,U$3,Base!$B$3:$B$5001,$A$5,Base!$V$3:$V$5001,"&lt;&gt;")=0,"",SUMIFS(Base!$V$3:$V$5001,Base!$A$3:$A$5001,U$3,Base!$B$3:$B$5001,$A$5)))</f>
        <v>0</v>
      </c>
      <c r="V12" s="72">
        <f>IF(V$3="","",IF(COUNTIFS(Base!$A$3:$A$5001,V$3,Base!$B$3:$B$5001,$A$5,Base!$V$3:$V$5001,"&lt;&gt;")=0,"",SUMIFS(Base!$V$3:$V$5001,Base!$A$3:$A$5001,V$3,Base!$B$3:$B$5001,$A$5)))</f>
        <v>0</v>
      </c>
      <c r="W12" s="72">
        <f>IF(W$3="","",IF(COUNTIFS(Base!$A$3:$A$5001,W$3,Base!$B$3:$B$5001,$A$5,Base!$V$3:$V$5001,"&lt;&gt;")=0,"",SUMIFS(Base!$V$3:$V$5001,Base!$A$3:$A$5001,W$3,Base!$B$3:$B$5001,$A$5)))</f>
        <v>0</v>
      </c>
      <c r="X12" s="72">
        <f>IF(X$3="","",IF(COUNTIFS(Base!$A$3:$A$5001,X$3,Base!$B$3:$B$5001,$A$5,Base!$V$3:$V$5001,"&lt;&gt;")=0,"",SUMIFS(Base!$V$3:$V$5001,Base!$A$3:$A$5001,X$3,Base!$B$3:$B$5001,$A$5)))</f>
        <v>0</v>
      </c>
      <c r="Y12" s="72" t="str">
        <f>IF(Y$3="","",IF(COUNTIFS(Base!$A$3:$A$5001,Y$3,Base!$B$3:$B$5001,$A$5,Base!$V$3:$V$5001,"&lt;&gt;")=0,"",SUMIFS(Base!$V$3:$V$5001,Base!$A$3:$A$5001,Y$3,Base!$B$3:$B$5001,$A$5)))</f>
        <v/>
      </c>
      <c r="Z12" s="72">
        <f>IF(Z$3="","",IF(COUNTIFS(Base!$A$3:$A$5001,Z$3,Base!$B$3:$B$5001,$A$5,Base!$V$3:$V$5001,"&lt;&gt;")=0,"",SUMIFS(Base!$V$3:$V$5001,Base!$A$3:$A$5001,Z$3,Base!$B$3:$B$5001,$A$5)))</f>
        <v>1</v>
      </c>
      <c r="AA12" s="72">
        <f>IF(AA$3="","",IF(COUNTIFS(Base!$A$3:$A$5001,AA$3,Base!$B$3:$B$5001,$A$5,Base!$V$3:$V$5001,"&lt;&gt;")=0,"",SUMIFS(Base!$V$3:$V$5001,Base!$A$3:$A$5001,AA$3,Base!$B$3:$B$5001,$A$5)))</f>
        <v>0</v>
      </c>
      <c r="AB12" s="72">
        <f>IF(AB$3="","",IF(COUNTIFS(Base!$A$3:$A$5001,AB$3,Base!$B$3:$B$5001,$A$5,Base!$V$3:$V$5001,"&lt;&gt;")=0,"",SUMIFS(Base!$V$3:$V$5001,Base!$A$3:$A$5001,AB$3,Base!$B$3:$B$5001,$A$5)))</f>
        <v>0</v>
      </c>
      <c r="AC12" s="72">
        <f>IF(AC$3="","",IF(COUNTIFS(Base!$A$3:$A$5001,AC$3,Base!$B$3:$B$5001,$A$5,Base!$V$3:$V$5001,"&lt;&gt;")=0,"",SUMIFS(Base!$V$3:$V$5001,Base!$A$3:$A$5001,AC$3,Base!$B$3:$B$5001,$A$5)))</f>
        <v>0</v>
      </c>
      <c r="AD12" s="72">
        <f>IF(AD$3="","",IF(COUNTIFS(Base!$A$3:$A$5001,AD$3,Base!$B$3:$B$5001,$A$5,Base!$V$3:$V$5001,"&lt;&gt;")=0,"",SUMIFS(Base!$V$3:$V$5001,Base!$A$3:$A$5001,AD$3,Base!$B$3:$B$5001,$A$5)))</f>
        <v>0</v>
      </c>
      <c r="AE12" s="72">
        <f>IF(AE$3="","",IF(COUNTIFS(Base!$A$3:$A$5001,AE$3,Base!$B$3:$B$5001,$A$5,Base!$V$3:$V$5001,"&lt;&gt;")=0,"",SUMIFS(Base!$V$3:$V$5001,Base!$A$3:$A$5001,AE$3,Base!$B$3:$B$5001,$A$5)))</f>
        <v>0</v>
      </c>
      <c r="AF12" s="72" t="str">
        <f>IF(AF$3="","",IF(COUNTIFS(Base!$A$3:$A$5001,AF$3,Base!$B$3:$B$5001,$A$5,Base!$V$3:$V$5001,"&lt;&gt;")=0,"",SUMIFS(Base!$V$3:$V$5001,Base!$A$3:$A$5001,AF$3,Base!$B$3:$B$5001,$A$5)))</f>
        <v/>
      </c>
      <c r="AG12" s="72">
        <f>IF(AG$3="","",IF(COUNTIFS(Base!$A$3:$A$5001,AG$3,Base!$B$3:$B$5001,$A$5,Base!$V$3:$V$5001,"&lt;&gt;")=0,"",SUMIFS(Base!$V$3:$V$5001,Base!$A$3:$A$5001,AG$3,Base!$B$3:$B$5001,$A$5)))</f>
        <v>0</v>
      </c>
      <c r="AH12" s="72">
        <f>IF(AH$3="","",IF(COUNTIFS(Base!$A$3:$A$5001,AH$3,Base!$B$3:$B$5001,$A$5,Base!$V$3:$V$5001,"&lt;&gt;")=0,"",SUMIFS(Base!$V$3:$V$5001,Base!$A$3:$A$5001,AH$3,Base!$B$3:$B$5001,$A$5)))</f>
        <v>0</v>
      </c>
      <c r="AI12" s="72" t="str">
        <f>IF(AI$3="","",IF(COUNTIFS(Base!$A$3:$A$5001,AI$3,Base!$B$3:$B$5001,$A$5,Base!$V$3:$V$5001,"&lt;&gt;")=0,"",SUMIFS(Base!$V$3:$V$5001,Base!$A$3:$A$5001,AI$3,Base!$B$3:$B$5001,$A$5)))</f>
        <v/>
      </c>
      <c r="AJ12" s="73" t="str">
        <f>IF(AJ$3="","",IF(COUNTIFS(Base!$A$3:$A$5001,AJ$3,Base!$B$3:$B$5001,$A$5,Base!$V$3:$V$5001,"&lt;&gt;")=0,"",SUMIFS(Base!$V$3:$V$5001,Base!$A$3:$A$5001,AJ$3,Base!$B$3:$B$5001,$A$5)))</f>
        <v/>
      </c>
      <c r="AK12" s="74">
        <f>IF(COUNT(F12:AJ12)=0,"",SUM(F12:AJ12))</f>
        <v>1</v>
      </c>
    </row>
    <row r="13" ht="15.75" customHeight="1">
      <c r="A13" s="118"/>
      <c r="B13" s="113"/>
      <c r="C13" s="75" t="inlineStr">
        <is>
          <t xml:space="preserve">Backlog</t>
        </is>
      </c>
      <c r="D13" s="76" t="str">
        <f>IFERROR(1/(1/INDEX(calculos!$C$55:$K$83,MATCH("NC Backlog",calculos!$A$55:$A$83,0),MATCH($A$5,calculos!$C$54:$K$54,0))),"")</f>
        <v/>
      </c>
      <c r="E13" s="77"/>
      <c r="F13" s="78">
        <f>IF(F$3="","",IF(COUNTIFS(Base!$A$3:$A$5001,F$3,Base!$B$3:$B$5001,$A$5,Base!$W$3:$W$5001,"&lt;&gt;")=0,"",SUMIFS(Base!$W$3:$W$5001,Base!$A$3:$A$5001,F$3,Base!$B$3:$B$5001,$A$5)))</f>
        <v>3</v>
      </c>
      <c r="G13" s="79" t="str">
        <f>IF(G$3="","",IF(COUNTIFS(Base!$A$3:$A$5001,G$3,Base!$B$3:$B$5001,$A$5,Base!$W$3:$W$5001,"&lt;&gt;")=0,"",SUMIFS(Base!$W$3:$W$5001,Base!$A$3:$A$5001,G$3,Base!$B$3:$B$5001,$A$5)))</f>
        <v/>
      </c>
      <c r="H13" s="79">
        <f>IF(H$3="","",IF(COUNTIFS(Base!$A$3:$A$5001,H$3,Base!$B$3:$B$5001,$A$5,Base!$W$3:$W$5001,"&lt;&gt;")=0,"",SUMIFS(Base!$W$3:$W$5001,Base!$A$3:$A$5001,H$3,Base!$B$3:$B$5001,$A$5)))</f>
        <v>1</v>
      </c>
      <c r="I13" s="79" t="str">
        <f>IF(I$3="","",IF(COUNTIFS(Base!$A$3:$A$5001,I$3,Base!$B$3:$B$5001,$A$5,Base!$W$3:$W$5001,"&lt;&gt;")=0,"",SUMIFS(Base!$W$3:$W$5001,Base!$A$3:$A$5001,I$3,Base!$B$3:$B$5001,$A$5)))</f>
        <v/>
      </c>
      <c r="J13" s="79" t="str">
        <f>IF(J$3="","",IF(COUNTIFS(Base!$A$3:$A$5001,J$3,Base!$B$3:$B$5001,$A$5,Base!$W$3:$W$5001,"&lt;&gt;")=0,"",SUMIFS(Base!$W$3:$W$5001,Base!$A$3:$A$5001,J$3,Base!$B$3:$B$5001,$A$5)))</f>
        <v/>
      </c>
      <c r="K13" s="79" t="str">
        <f>IF(K$3="","",IF(COUNTIFS(Base!$A$3:$A$5001,K$3,Base!$B$3:$B$5001,$A$5,Base!$W$3:$W$5001,"&lt;&gt;")=0,"",SUMIFS(Base!$W$3:$W$5001,Base!$A$3:$A$5001,K$3,Base!$B$3:$B$5001,$A$5)))</f>
        <v/>
      </c>
      <c r="L13" s="79">
        <f>IF(L$3="","",IF(COUNTIFS(Base!$A$3:$A$5001,L$3,Base!$B$3:$B$5001,$A$5,Base!$W$3:$W$5001,"&lt;&gt;")=0,"",SUMIFS(Base!$W$3:$W$5001,Base!$A$3:$A$5001,L$3,Base!$B$3:$B$5001,$A$5)))</f>
        <v>14</v>
      </c>
      <c r="M13" s="79">
        <f>IF(M$3="","",IF(COUNTIFS(Base!$A$3:$A$5001,M$3,Base!$B$3:$B$5001,$A$5,Base!$W$3:$W$5001,"&lt;&gt;")=0,"",SUMIFS(Base!$W$3:$W$5001,Base!$A$3:$A$5001,M$3,Base!$B$3:$B$5001,$A$5)))</f>
        <v>13</v>
      </c>
      <c r="N13" s="79" t="str">
        <f>IF(N$3="","",IF(COUNTIFS(Base!$A$3:$A$5001,N$3,Base!$B$3:$B$5001,$A$5,Base!$W$3:$W$5001,"&lt;&gt;")=0,"",SUMIFS(Base!$W$3:$W$5001,Base!$A$3:$A$5001,N$3,Base!$B$3:$B$5001,$A$5)))</f>
        <v/>
      </c>
      <c r="O13" s="79">
        <f>IF(O$3="","",IF(COUNTIFS(Base!$A$3:$A$5001,O$3,Base!$B$3:$B$5001,$A$5,Base!$W$3:$W$5001,"&lt;&gt;")=0,"",SUMIFS(Base!$W$3:$W$5001,Base!$A$3:$A$5001,O$3,Base!$B$3:$B$5001,$A$5)))</f>
        <v>4</v>
      </c>
      <c r="P13" s="79" t="str">
        <f>IF(P$3="","",IF(COUNTIFS(Base!$A$3:$A$5001,P$3,Base!$B$3:$B$5001,$A$5,Base!$W$3:$W$5001,"&lt;&gt;")=0,"",SUMIFS(Base!$W$3:$W$5001,Base!$A$3:$A$5001,P$3,Base!$B$3:$B$5001,$A$5)))</f>
        <v/>
      </c>
      <c r="Q13" s="79" t="str">
        <f>IF(Q$3="","",IF(COUNTIFS(Base!$A$3:$A$5001,Q$3,Base!$B$3:$B$5001,$A$5,Base!$W$3:$W$5001,"&lt;&gt;")=0,"",SUMIFS(Base!$W$3:$W$5001,Base!$A$3:$A$5001,Q$3,Base!$B$3:$B$5001,$A$5)))</f>
        <v/>
      </c>
      <c r="R13" s="79" t="str">
        <f>IF(R$3="","",IF(COUNTIFS(Base!$A$3:$A$5001,R$3,Base!$B$3:$B$5001,$A$5,Base!$W$3:$W$5001,"&lt;&gt;")=0,"",SUMIFS(Base!$W$3:$W$5001,Base!$A$3:$A$5001,R$3,Base!$B$3:$B$5001,$A$5)))</f>
        <v/>
      </c>
      <c r="S13" s="79" t="str">
        <f>IF(S$3="","",IF(COUNTIFS(Base!$A$3:$A$5001,S$3,Base!$B$3:$B$5001,$A$5,Base!$W$3:$W$5001,"&lt;&gt;")=0,"",SUMIFS(Base!$W$3:$W$5001,Base!$A$3:$A$5001,S$3,Base!$B$3:$B$5001,$A$5)))</f>
        <v/>
      </c>
      <c r="T13" s="79" t="str">
        <f>IF(T$3="","",IF(COUNTIFS(Base!$A$3:$A$5001,T$3,Base!$B$3:$B$5001,$A$5,Base!$W$3:$W$5001,"&lt;&gt;")=0,"",SUMIFS(Base!$W$3:$W$5001,Base!$A$3:$A$5001,T$3,Base!$B$3:$B$5001,$A$5)))</f>
        <v/>
      </c>
      <c r="U13" s="79" t="str">
        <f>IF(U$3="","",IF(COUNTIFS(Base!$A$3:$A$5001,U$3,Base!$B$3:$B$5001,$A$5,Base!$W$3:$W$5001,"&lt;&gt;")=0,"",SUMIFS(Base!$W$3:$W$5001,Base!$A$3:$A$5001,U$3,Base!$B$3:$B$5001,$A$5)))</f>
        <v/>
      </c>
      <c r="V13" s="79" t="str">
        <f>IF(V$3="","",IF(COUNTIFS(Base!$A$3:$A$5001,V$3,Base!$B$3:$B$5001,$A$5,Base!$W$3:$W$5001,"&lt;&gt;")=0,"",SUMIFS(Base!$W$3:$W$5001,Base!$A$3:$A$5001,V$3,Base!$B$3:$B$5001,$A$5)))</f>
        <v/>
      </c>
      <c r="W13" s="79" t="str">
        <f>IF(W$3="","",IF(COUNTIFS(Base!$A$3:$A$5001,W$3,Base!$B$3:$B$5001,$A$5,Base!$W$3:$W$5001,"&lt;&gt;")=0,"",SUMIFS(Base!$W$3:$W$5001,Base!$A$3:$A$5001,W$3,Base!$B$3:$B$5001,$A$5)))</f>
        <v/>
      </c>
      <c r="X13" s="79" t="str">
        <f>IF(X$3="","",IF(COUNTIFS(Base!$A$3:$A$5001,X$3,Base!$B$3:$B$5001,$A$5,Base!$W$3:$W$5001,"&lt;&gt;")=0,"",SUMIFS(Base!$W$3:$W$5001,Base!$A$3:$A$5001,X$3,Base!$B$3:$B$5001,$A$5)))</f>
        <v/>
      </c>
      <c r="Y13" s="79" t="str">
        <f>IF(Y$3="","",IF(COUNTIFS(Base!$A$3:$A$5001,Y$3,Base!$B$3:$B$5001,$A$5,Base!$W$3:$W$5001,"&lt;&gt;")=0,"",SUMIFS(Base!$W$3:$W$5001,Base!$A$3:$A$5001,Y$3,Base!$B$3:$B$5001,$A$5)))</f>
        <v/>
      </c>
      <c r="Z13" s="79">
        <f>IF(Z$3="","",IF(COUNTIFS(Base!$A$3:$A$5001,Z$3,Base!$B$3:$B$5001,$A$5,Base!$W$3:$W$5001,"&lt;&gt;")=0,"",SUMIFS(Base!$W$3:$W$5001,Base!$A$3:$A$5001,Z$3,Base!$B$3:$B$5001,$A$5)))</f>
        <v>15</v>
      </c>
      <c r="AA13" s="79">
        <f>IF(AA$3="","",IF(COUNTIFS(Base!$A$3:$A$5001,AA$3,Base!$B$3:$B$5001,$A$5,Base!$W$3:$W$5001,"&lt;&gt;")=0,"",SUMIFS(Base!$W$3:$W$5001,Base!$A$3:$A$5001,AA$3,Base!$B$3:$B$5001,$A$5)))</f>
        <v>6</v>
      </c>
      <c r="AB13" s="79" t="str">
        <f>IF(AB$3="","",IF(COUNTIFS(Base!$A$3:$A$5001,AB$3,Base!$B$3:$B$5001,$A$5,Base!$W$3:$W$5001,"&lt;&gt;")=0,"",SUMIFS(Base!$W$3:$W$5001,Base!$A$3:$A$5001,AB$3,Base!$B$3:$B$5001,$A$5)))</f>
        <v/>
      </c>
      <c r="AC13" s="79" t="str">
        <f>IF(AC$3="","",IF(COUNTIFS(Base!$A$3:$A$5001,AC$3,Base!$B$3:$B$5001,$A$5,Base!$W$3:$W$5001,"&lt;&gt;")=0,"",SUMIFS(Base!$W$3:$W$5001,Base!$A$3:$A$5001,AC$3,Base!$B$3:$B$5001,$A$5)))</f>
        <v/>
      </c>
      <c r="AD13" s="79">
        <f>IF(AD$3="","",IF(COUNTIFS(Base!$A$3:$A$5001,AD$3,Base!$B$3:$B$5001,$A$5,Base!$W$3:$W$5001,"&lt;&gt;")=0,"",SUMIFS(Base!$W$3:$W$5001,Base!$A$3:$A$5001,AD$3,Base!$B$3:$B$5001,$A$5)))</f>
        <v>0</v>
      </c>
      <c r="AE13" s="79">
        <f>IF(AE$3="","",IF(COUNTIFS(Base!$A$3:$A$5001,AE$3,Base!$B$3:$B$5001,$A$5,Base!$W$3:$W$5001,"&lt;&gt;")=0,"",SUMIFS(Base!$W$3:$W$5001,Base!$A$3:$A$5001,AE$3,Base!$B$3:$B$5001,$A$5)))</f>
        <v>6</v>
      </c>
      <c r="AF13" s="79" t="str">
        <f>IF(AF$3="","",IF(COUNTIFS(Base!$A$3:$A$5001,AF$3,Base!$B$3:$B$5001,$A$5,Base!$W$3:$W$5001,"&lt;&gt;")=0,"",SUMIFS(Base!$W$3:$W$5001,Base!$A$3:$A$5001,AF$3,Base!$B$3:$B$5001,$A$5)))</f>
        <v/>
      </c>
      <c r="AG13" s="79" t="str">
        <f>IF(AG$3="","",IF(COUNTIFS(Base!$A$3:$A$5001,AG$3,Base!$B$3:$B$5001,$A$5,Base!$W$3:$W$5001,"&lt;&gt;")=0,"",SUMIFS(Base!$W$3:$W$5001,Base!$A$3:$A$5001,AG$3,Base!$B$3:$B$5001,$A$5)))</f>
        <v/>
      </c>
      <c r="AH13" s="79" t="str">
        <f>IF(AH$3="","",IF(COUNTIFS(Base!$A$3:$A$5001,AH$3,Base!$B$3:$B$5001,$A$5,Base!$W$3:$W$5001,"&lt;&gt;")=0,"",SUMIFS(Base!$W$3:$W$5001,Base!$A$3:$A$5001,AH$3,Base!$B$3:$B$5001,$A$5)))</f>
        <v/>
      </c>
      <c r="AI13" s="79" t="str">
        <f>IF(AI$3="","",IF(COUNTIFS(Base!$A$3:$A$5001,AI$3,Base!$B$3:$B$5001,$A$5,Base!$W$3:$W$5001,"&lt;&gt;")=0,"",SUMIFS(Base!$W$3:$W$5001,Base!$A$3:$A$5001,AI$3,Base!$B$3:$B$5001,$A$5)))</f>
        <v/>
      </c>
      <c r="AJ13" s="80" t="str">
        <f>IF(AJ$3="","",IF(COUNTIFS(Base!$A$3:$A$5001,AJ$3,Base!$B$3:$B$5001,$A$5,Base!$W$3:$W$5001,"&lt;&gt;")=0,"",SUMIFS(Base!$W$3:$W$5001,Base!$A$3:$A$5001,AJ$3,Base!$B$3:$B$5001,$A$5)))</f>
        <v/>
      </c>
      <c r="AK13" s="76">
        <f>IFERROR(LOOKUP(9.99E+307,F13:AJ13),"")</f>
        <v>6</v>
      </c>
    </row>
    <row r="14" ht="15.75" customHeight="1">
      <c r="A14" s="118"/>
      <c r="B14" s="105" t="inlineStr">
        <is>
          <t xml:space="preserve">OCUPAÇÃO (P.P)</t>
        </is>
      </c>
      <c r="C14" s="21" t="inlineStr">
        <is>
          <t xml:space="preserve">Posições Disponíveis</t>
        </is>
      </c>
      <c r="D14" s="22" t="str">
        <f>IFERROR(1/(1/INDEX(calculos!$C$55:$K$83,MATCH("Posições Disponíveis",calculos!$A$55:$A$83,0),MATCH($A$5,calculos!$C$54:$K$54,0))),"")</f>
        <v/>
      </c>
      <c r="E14" s="23"/>
      <c r="F14" s="24">
        <f>IF(F$3="","",IF(COUNTIFS(Base!$A$3:$A$5001,F$3,Base!$B$3:$B$5001,$A$5,Base!$X$3:$X$5001,"&lt;&gt;")=0,"",SUMIFS(Base!$X$3:$X$5001,Base!$A$3:$A$5001,F$3,Base!$B$3:$B$5001,$A$5)))</f>
        <v>2200</v>
      </c>
      <c r="G14" s="25">
        <f>IF(G$3="","",IF(COUNTIFS(Base!$A$3:$A$5001,G$3,Base!$B$3:$B$5001,$A$5,Base!$X$3:$X$5001,"&lt;&gt;")=0,"",SUMIFS(Base!$X$3:$X$5001,Base!$A$3:$A$5001,G$3,Base!$B$3:$B$5001,$A$5)))</f>
        <v>2200</v>
      </c>
      <c r="H14" s="25">
        <f>IF(H$3="","",IF(COUNTIFS(Base!$A$3:$A$5001,H$3,Base!$B$3:$B$5001,$A$5,Base!$X$3:$X$5001,"&lt;&gt;")=0,"",SUMIFS(Base!$X$3:$X$5001,Base!$A$3:$A$5001,H$3,Base!$B$3:$B$5001,$A$5)))</f>
        <v>2200</v>
      </c>
      <c r="I14" s="25">
        <f>IF(I$3="","",IF(COUNTIFS(Base!$A$3:$A$5001,I$3,Base!$B$3:$B$5001,$A$5,Base!$X$3:$X$5001,"&lt;&gt;")=0,"",SUMIFS(Base!$X$3:$X$5001,Base!$A$3:$A$5001,I$3,Base!$B$3:$B$5001,$A$5)))</f>
        <v>2200</v>
      </c>
      <c r="J14" s="25">
        <f>IF(J$3="","",IF(COUNTIFS(Base!$A$3:$A$5001,J$3,Base!$B$3:$B$5001,$A$5,Base!$X$3:$X$5001,"&lt;&gt;")=0,"",SUMIFS(Base!$X$3:$X$5001,Base!$A$3:$A$5001,J$3,Base!$B$3:$B$5001,$A$5)))</f>
        <v>2200</v>
      </c>
      <c r="K14" s="25" t="str">
        <f>IF(K$3="","",IF(COUNTIFS(Base!$A$3:$A$5001,K$3,Base!$B$3:$B$5001,$A$5,Base!$X$3:$X$5001,"&lt;&gt;")=0,"",SUMIFS(Base!$X$3:$X$5001,Base!$A$3:$A$5001,K$3,Base!$B$3:$B$5001,$A$5)))</f>
        <v/>
      </c>
      <c r="L14" s="25">
        <f>IF(L$3="","",IF(COUNTIFS(Base!$A$3:$A$5001,L$3,Base!$B$3:$B$5001,$A$5,Base!$X$3:$X$5001,"&lt;&gt;")=0,"",SUMIFS(Base!$X$3:$X$5001,Base!$A$3:$A$5001,L$3,Base!$B$3:$B$5001,$A$5)))</f>
        <v>2200</v>
      </c>
      <c r="M14" s="25">
        <f>IF(M$3="","",IF(COUNTIFS(Base!$A$3:$A$5001,M$3,Base!$B$3:$B$5001,$A$5,Base!$X$3:$X$5001,"&lt;&gt;")=0,"",SUMIFS(Base!$X$3:$X$5001,Base!$A$3:$A$5001,M$3,Base!$B$3:$B$5001,$A$5)))</f>
        <v>2200</v>
      </c>
      <c r="N14" s="25">
        <f>IF(N$3="","",IF(COUNTIFS(Base!$A$3:$A$5001,N$3,Base!$B$3:$B$5001,$A$5,Base!$X$3:$X$5001,"&lt;&gt;")=0,"",SUMIFS(Base!$X$3:$X$5001,Base!$A$3:$A$5001,N$3,Base!$B$3:$B$5001,$A$5)))</f>
        <v>2200</v>
      </c>
      <c r="O14" s="25">
        <f>IF(O$3="","",IF(COUNTIFS(Base!$A$3:$A$5001,O$3,Base!$B$3:$B$5001,$A$5,Base!$X$3:$X$5001,"&lt;&gt;")=0,"",SUMIFS(Base!$X$3:$X$5001,Base!$A$3:$A$5001,O$3,Base!$B$3:$B$5001,$A$5)))</f>
        <v>2200</v>
      </c>
      <c r="P14" s="25">
        <f>IF(P$3="","",IF(COUNTIFS(Base!$A$3:$A$5001,P$3,Base!$B$3:$B$5001,$A$5,Base!$X$3:$X$5001,"&lt;&gt;")=0,"",SUMIFS(Base!$X$3:$X$5001,Base!$A$3:$A$5001,P$3,Base!$B$3:$B$5001,$A$5)))</f>
        <v>2200</v>
      </c>
      <c r="Q14" s="25">
        <f>IF(Q$3="","",IF(COUNTIFS(Base!$A$3:$A$5001,Q$3,Base!$B$3:$B$5001,$A$5,Base!$X$3:$X$5001,"&lt;&gt;")=0,"",SUMIFS(Base!$X$3:$X$5001,Base!$A$3:$A$5001,Q$3,Base!$B$3:$B$5001,$A$5)))</f>
        <v>2200</v>
      </c>
      <c r="R14" s="25" t="str">
        <f>IF(R$3="","",IF(COUNTIFS(Base!$A$3:$A$5001,R$3,Base!$B$3:$B$5001,$A$5,Base!$X$3:$X$5001,"&lt;&gt;")=0,"",SUMIFS(Base!$X$3:$X$5001,Base!$A$3:$A$5001,R$3,Base!$B$3:$B$5001,$A$5)))</f>
        <v/>
      </c>
      <c r="S14" s="25">
        <f>IF(S$3="","",IF(COUNTIFS(Base!$A$3:$A$5001,S$3,Base!$B$3:$B$5001,$A$5,Base!$X$3:$X$5001,"&lt;&gt;")=0,"",SUMIFS(Base!$X$3:$X$5001,Base!$A$3:$A$5001,S$3,Base!$B$3:$B$5001,$A$5)))</f>
        <v>2200</v>
      </c>
      <c r="T14" s="25">
        <f>IF(T$3="","",IF(COUNTIFS(Base!$A$3:$A$5001,T$3,Base!$B$3:$B$5001,$A$5,Base!$X$3:$X$5001,"&lt;&gt;")=0,"",SUMIFS(Base!$X$3:$X$5001,Base!$A$3:$A$5001,T$3,Base!$B$3:$B$5001,$A$5)))</f>
        <v>2200</v>
      </c>
      <c r="U14" s="25">
        <f>IF(U$3="","",IF(COUNTIFS(Base!$A$3:$A$5001,U$3,Base!$B$3:$B$5001,$A$5,Base!$X$3:$X$5001,"&lt;&gt;")=0,"",SUMIFS(Base!$X$3:$X$5001,Base!$A$3:$A$5001,U$3,Base!$B$3:$B$5001,$A$5)))</f>
        <v>2200</v>
      </c>
      <c r="V14" s="25">
        <f>IF(V$3="","",IF(COUNTIFS(Base!$A$3:$A$5001,V$3,Base!$B$3:$B$5001,$A$5,Base!$X$3:$X$5001,"&lt;&gt;")=0,"",SUMIFS(Base!$X$3:$X$5001,Base!$A$3:$A$5001,V$3,Base!$B$3:$B$5001,$A$5)))</f>
        <v>2200</v>
      </c>
      <c r="W14" s="25">
        <f>IF(W$3="","",IF(COUNTIFS(Base!$A$3:$A$5001,W$3,Base!$B$3:$B$5001,$A$5,Base!$X$3:$X$5001,"&lt;&gt;")=0,"",SUMIFS(Base!$X$3:$X$5001,Base!$A$3:$A$5001,W$3,Base!$B$3:$B$5001,$A$5)))</f>
        <v>2200</v>
      </c>
      <c r="X14" s="25">
        <f>IF(X$3="","",IF(COUNTIFS(Base!$A$3:$A$5001,X$3,Base!$B$3:$B$5001,$A$5,Base!$X$3:$X$5001,"&lt;&gt;")=0,"",SUMIFS(Base!$X$3:$X$5001,Base!$A$3:$A$5001,X$3,Base!$B$3:$B$5001,$A$5)))</f>
        <v>2200</v>
      </c>
      <c r="Y14" s="25" t="str">
        <f>IF(Y$3="","",IF(COUNTIFS(Base!$A$3:$A$5001,Y$3,Base!$B$3:$B$5001,$A$5,Base!$X$3:$X$5001,"&lt;&gt;")=0,"",SUMIFS(Base!$X$3:$X$5001,Base!$A$3:$A$5001,Y$3,Base!$B$3:$B$5001,$A$5)))</f>
        <v/>
      </c>
      <c r="Z14" s="25">
        <f>IF(Z$3="","",IF(COUNTIFS(Base!$A$3:$A$5001,Z$3,Base!$B$3:$B$5001,$A$5,Base!$X$3:$X$5001,"&lt;&gt;")=0,"",SUMIFS(Base!$X$3:$X$5001,Base!$A$3:$A$5001,Z$3,Base!$B$3:$B$5001,$A$5)))</f>
        <v>2200</v>
      </c>
      <c r="AA14" s="25">
        <f>IF(AA$3="","",IF(COUNTIFS(Base!$A$3:$A$5001,AA$3,Base!$B$3:$B$5001,$A$5,Base!$X$3:$X$5001,"&lt;&gt;")=0,"",SUMIFS(Base!$X$3:$X$5001,Base!$A$3:$A$5001,AA$3,Base!$B$3:$B$5001,$A$5)))</f>
        <v>2200</v>
      </c>
      <c r="AB14" s="25">
        <f>IF(AB$3="","",IF(COUNTIFS(Base!$A$3:$A$5001,AB$3,Base!$B$3:$B$5001,$A$5,Base!$X$3:$X$5001,"&lt;&gt;")=0,"",SUMIFS(Base!$X$3:$X$5001,Base!$A$3:$A$5001,AB$3,Base!$B$3:$B$5001,$A$5)))</f>
        <v>2200</v>
      </c>
      <c r="AC14" s="25">
        <f>IF(AC$3="","",IF(COUNTIFS(Base!$A$3:$A$5001,AC$3,Base!$B$3:$B$5001,$A$5,Base!$X$3:$X$5001,"&lt;&gt;")=0,"",SUMIFS(Base!$X$3:$X$5001,Base!$A$3:$A$5001,AC$3,Base!$B$3:$B$5001,$A$5)))</f>
        <v>2200</v>
      </c>
      <c r="AD14" s="25">
        <f>IF(AD$3="","",IF(COUNTIFS(Base!$A$3:$A$5001,AD$3,Base!$B$3:$B$5001,$A$5,Base!$X$3:$X$5001,"&lt;&gt;")=0,"",SUMIFS(Base!$X$3:$X$5001,Base!$A$3:$A$5001,AD$3,Base!$B$3:$B$5001,$A$5)))</f>
        <v>2200</v>
      </c>
      <c r="AE14" s="25">
        <f>IF(AE$3="","",IF(COUNTIFS(Base!$A$3:$A$5001,AE$3,Base!$B$3:$B$5001,$A$5,Base!$X$3:$X$5001,"&lt;&gt;")=0,"",SUMIFS(Base!$X$3:$X$5001,Base!$A$3:$A$5001,AE$3,Base!$B$3:$B$5001,$A$5)))</f>
        <v>2200</v>
      </c>
      <c r="AF14" s="25" t="str">
        <f>IF(AF$3="","",IF(COUNTIFS(Base!$A$3:$A$5001,AF$3,Base!$B$3:$B$5001,$A$5,Base!$X$3:$X$5001,"&lt;&gt;")=0,"",SUMIFS(Base!$X$3:$X$5001,Base!$A$3:$A$5001,AF$3,Base!$B$3:$B$5001,$A$5)))</f>
        <v/>
      </c>
      <c r="AG14" s="25">
        <f>IF(AG$3="","",IF(COUNTIFS(Base!$A$3:$A$5001,AG$3,Base!$B$3:$B$5001,$A$5,Base!$X$3:$X$5001,"&lt;&gt;")=0,"",SUMIFS(Base!$X$3:$X$5001,Base!$A$3:$A$5001,AG$3,Base!$B$3:$B$5001,$A$5)))</f>
        <v>2200</v>
      </c>
      <c r="AH14" s="25">
        <f>IF(AH$3="","",IF(COUNTIFS(Base!$A$3:$A$5001,AH$3,Base!$B$3:$B$5001,$A$5,Base!$X$3:$X$5001,"&lt;&gt;")=0,"",SUMIFS(Base!$X$3:$X$5001,Base!$A$3:$A$5001,AH$3,Base!$B$3:$B$5001,$A$5)))</f>
        <v>2200</v>
      </c>
      <c r="AI14" s="25" t="str">
        <f>IF(AI$3="","",IF(COUNTIFS(Base!$A$3:$A$5001,AI$3,Base!$B$3:$B$5001,$A$5,Base!$X$3:$X$5001,"&lt;&gt;")=0,"",SUMIFS(Base!$X$3:$X$5001,Base!$A$3:$A$5001,AI$3,Base!$B$3:$B$5001,$A$5)))</f>
        <v/>
      </c>
      <c r="AJ14" s="26" t="str">
        <f>IF(AJ$3="","",IF(COUNTIFS(Base!$A$3:$A$5001,AJ$3,Base!$B$3:$B$5001,$A$5,Base!$X$3:$X$5001,"&lt;&gt;")=0,"",SUMIFS(Base!$X$3:$X$5001,Base!$A$3:$A$5001,AJ$3,Base!$B$3:$B$5001,$A$5)))</f>
        <v/>
      </c>
      <c r="AK14" s="27">
        <f>IFERROR(LOOKUP(9.99E+307,F14:AJ14),"")</f>
        <v>2200</v>
      </c>
    </row>
    <row r="15" ht="15.75" customHeight="1">
      <c r="A15" s="118"/>
      <c r="B15" s="106"/>
      <c r="C15" s="28" t="inlineStr">
        <is>
          <t xml:space="preserve">Posições Ocupadas</t>
        </is>
      </c>
      <c r="D15" s="29" t="str">
        <f>IFERROR(1/(1/INDEX(calculos!$C$55:$K$83,MATCH("Posições Ocupadas",calculos!$A$55:$A$83,0),MATCH($A$5,calculos!$C$54:$K$54,0))),"")</f>
        <v/>
      </c>
      <c r="E15" s="30"/>
      <c r="F15" s="31">
        <f>IF(F$3="","",IF(COUNTIFS(Base!$A$3:$A$5001,F$3,Base!$B$3:$B$5001,$A$5,Base!$Y$3:$Y$5001,"&lt;&gt;")=0,"",SUMIFS(Base!$Y$3:$Y$5001,Base!$A$3:$A$5001,F$3,Base!$B$3:$B$5001,$A$5)))</f>
        <v>1272</v>
      </c>
      <c r="G15" s="32">
        <f>IF(G$3="","",IF(COUNTIFS(Base!$A$3:$A$5001,G$3,Base!$B$3:$B$5001,$A$5,Base!$Y$3:$Y$5001,"&lt;&gt;")=0,"",SUMIFS(Base!$Y$3:$Y$5001,Base!$A$3:$A$5001,G$3,Base!$B$3:$B$5001,$A$5)))</f>
        <v>1848</v>
      </c>
      <c r="H15" s="32">
        <f>IF(H$3="","",IF(COUNTIFS(Base!$A$3:$A$5001,H$3,Base!$B$3:$B$5001,$A$5,Base!$Y$3:$Y$5001,"&lt;&gt;")=0,"",SUMIFS(Base!$Y$3:$Y$5001,Base!$A$3:$A$5001,H$3,Base!$B$3:$B$5001,$A$5)))</f>
        <v>2112</v>
      </c>
      <c r="I15" s="32">
        <f>IF(I$3="","",IF(COUNTIFS(Base!$A$3:$A$5001,I$3,Base!$B$3:$B$5001,$A$5,Base!$Y$3:$Y$5001,"&lt;&gt;")=0,"",SUMIFS(Base!$Y$3:$Y$5001,Base!$A$3:$A$5001,I$3,Base!$B$3:$B$5001,$A$5)))</f>
        <v>1616</v>
      </c>
      <c r="J15" s="32">
        <f>IF(J$3="","",IF(COUNTIFS(Base!$A$3:$A$5001,J$3,Base!$B$3:$B$5001,$A$5,Base!$Y$3:$Y$5001,"&lt;&gt;")=0,"",SUMIFS(Base!$Y$3:$Y$5001,Base!$A$3:$A$5001,J$3,Base!$B$3:$B$5001,$A$5)))</f>
        <v>1983</v>
      </c>
      <c r="K15" s="32" t="str">
        <f>IF(K$3="","",IF(COUNTIFS(Base!$A$3:$A$5001,K$3,Base!$B$3:$B$5001,$A$5,Base!$Y$3:$Y$5001,"&lt;&gt;")=0,"",SUMIFS(Base!$Y$3:$Y$5001,Base!$A$3:$A$5001,K$3,Base!$B$3:$B$5001,$A$5)))</f>
        <v/>
      </c>
      <c r="L15" s="32">
        <f>IF(L$3="","",IF(COUNTIFS(Base!$A$3:$A$5001,L$3,Base!$B$3:$B$5001,$A$5,Base!$Y$3:$Y$5001,"&lt;&gt;")=0,"",SUMIFS(Base!$Y$3:$Y$5001,Base!$A$3:$A$5001,L$3,Base!$B$3:$B$5001,$A$5)))</f>
        <v>1660</v>
      </c>
      <c r="M15" s="32">
        <f>IF(M$3="","",IF(COUNTIFS(Base!$A$3:$A$5001,M$3,Base!$B$3:$B$5001,$A$5,Base!$Y$3:$Y$5001,"&lt;&gt;")=0,"",SUMIFS(Base!$Y$3:$Y$5001,Base!$A$3:$A$5001,M$3,Base!$B$3:$B$5001,$A$5)))</f>
        <v>2055</v>
      </c>
      <c r="N15" s="32">
        <f>IF(N$3="","",IF(COUNTIFS(Base!$A$3:$A$5001,N$3,Base!$B$3:$B$5001,$A$5,Base!$Y$3:$Y$5001,"&lt;&gt;")=0,"",SUMIFS(Base!$Y$3:$Y$5001,Base!$A$3:$A$5001,N$3,Base!$B$3:$B$5001,$A$5)))</f>
        <v>1673</v>
      </c>
      <c r="O15" s="32">
        <f>IF(O$3="","",IF(COUNTIFS(Base!$A$3:$A$5001,O$3,Base!$B$3:$B$5001,$A$5,Base!$Y$3:$Y$5001,"&lt;&gt;")=0,"",SUMIFS(Base!$Y$3:$Y$5001,Base!$A$3:$A$5001,O$3,Base!$B$3:$B$5001,$A$5)))</f>
        <v>1902</v>
      </c>
      <c r="P15" s="32">
        <f>IF(P$3="","",IF(COUNTIFS(Base!$A$3:$A$5001,P$3,Base!$B$3:$B$5001,$A$5,Base!$Y$3:$Y$5001,"&lt;&gt;")=0,"",SUMIFS(Base!$Y$3:$Y$5001,Base!$A$3:$A$5001,P$3,Base!$B$3:$B$5001,$A$5)))</f>
        <v>1281</v>
      </c>
      <c r="Q15" s="32">
        <f>IF(Q$3="","",IF(COUNTIFS(Base!$A$3:$A$5001,Q$3,Base!$B$3:$B$5001,$A$5,Base!$Y$3:$Y$5001,"&lt;&gt;")=0,"",SUMIFS(Base!$Y$3:$Y$5001,Base!$A$3:$A$5001,Q$3,Base!$B$3:$B$5001,$A$5)))</f>
        <v>1581</v>
      </c>
      <c r="R15" s="32" t="str">
        <f>IF(R$3="","",IF(COUNTIFS(Base!$A$3:$A$5001,R$3,Base!$B$3:$B$5001,$A$5,Base!$Y$3:$Y$5001,"&lt;&gt;")=0,"",SUMIFS(Base!$Y$3:$Y$5001,Base!$A$3:$A$5001,R$3,Base!$B$3:$B$5001,$A$5)))</f>
        <v/>
      </c>
      <c r="S15" s="32">
        <f>IF(S$3="","",IF(COUNTIFS(Base!$A$3:$A$5001,S$3,Base!$B$3:$B$5001,$A$5,Base!$Y$3:$Y$5001,"&lt;&gt;")=0,"",SUMIFS(Base!$Y$3:$Y$5001,Base!$A$3:$A$5001,S$3,Base!$B$3:$B$5001,$A$5)))</f>
        <v>1909</v>
      </c>
      <c r="T15" s="32">
        <f>IF(T$3="","",IF(COUNTIFS(Base!$A$3:$A$5001,T$3,Base!$B$3:$B$5001,$A$5,Base!$Y$3:$Y$5001,"&lt;&gt;")=0,"",SUMIFS(Base!$Y$3:$Y$5001,Base!$A$3:$A$5001,T$3,Base!$B$3:$B$5001,$A$5)))</f>
        <v>1633</v>
      </c>
      <c r="U15" s="32">
        <f>IF(U$3="","",IF(COUNTIFS(Base!$A$3:$A$5001,U$3,Base!$B$3:$B$5001,$A$5,Base!$Y$3:$Y$5001,"&lt;&gt;")=0,"",SUMIFS(Base!$Y$3:$Y$5001,Base!$A$3:$A$5001,U$3,Base!$B$3:$B$5001,$A$5)))</f>
        <v>1473</v>
      </c>
      <c r="V15" s="32">
        <f>IF(V$3="","",IF(COUNTIFS(Base!$A$3:$A$5001,V$3,Base!$B$3:$B$5001,$A$5,Base!$Y$3:$Y$5001,"&lt;&gt;")=0,"",SUMIFS(Base!$Y$3:$Y$5001,Base!$A$3:$A$5001,V$3,Base!$B$3:$B$5001,$A$5)))</f>
        <v>1814</v>
      </c>
      <c r="W15" s="32">
        <f>IF(W$3="","",IF(COUNTIFS(Base!$A$3:$A$5001,W$3,Base!$B$3:$B$5001,$A$5,Base!$Y$3:$Y$5001,"&lt;&gt;")=0,"",SUMIFS(Base!$Y$3:$Y$5001,Base!$A$3:$A$5001,W$3,Base!$B$3:$B$5001,$A$5)))</f>
        <v>1872</v>
      </c>
      <c r="X15" s="32">
        <f>IF(X$3="","",IF(COUNTIFS(Base!$A$3:$A$5001,X$3,Base!$B$3:$B$5001,$A$5,Base!$Y$3:$Y$5001,"&lt;&gt;")=0,"",SUMIFS(Base!$Y$3:$Y$5001,Base!$A$3:$A$5001,X$3,Base!$B$3:$B$5001,$A$5)))</f>
        <v>1403</v>
      </c>
      <c r="Y15" s="32" t="str">
        <f>IF(Y$3="","",IF(COUNTIFS(Base!$A$3:$A$5001,Y$3,Base!$B$3:$B$5001,$A$5,Base!$Y$3:$Y$5001,"&lt;&gt;")=0,"",SUMIFS(Base!$Y$3:$Y$5001,Base!$A$3:$A$5001,Y$3,Base!$B$3:$B$5001,$A$5)))</f>
        <v/>
      </c>
      <c r="Z15" s="32">
        <f>IF(Z$3="","",IF(COUNTIFS(Base!$A$3:$A$5001,Z$3,Base!$B$3:$B$5001,$A$5,Base!$Y$3:$Y$5001,"&lt;&gt;")=0,"",SUMIFS(Base!$Y$3:$Y$5001,Base!$A$3:$A$5001,Z$3,Base!$B$3:$B$5001,$A$5)))</f>
        <v>1794</v>
      </c>
      <c r="AA15" s="32">
        <f>IF(AA$3="","",IF(COUNTIFS(Base!$A$3:$A$5001,AA$3,Base!$B$3:$B$5001,$A$5,Base!$Y$3:$Y$5001,"&lt;&gt;")=0,"",SUMIFS(Base!$Y$3:$Y$5001,Base!$A$3:$A$5001,AA$3,Base!$B$3:$B$5001,$A$5)))</f>
        <v>1334</v>
      </c>
      <c r="AB15" s="32">
        <f>IF(AB$3="","",IF(COUNTIFS(Base!$A$3:$A$5001,AB$3,Base!$B$3:$B$5001,$A$5,Base!$Y$3:$Y$5001,"&lt;&gt;")=0,"",SUMIFS(Base!$Y$3:$Y$5001,Base!$A$3:$A$5001,AB$3,Base!$B$3:$B$5001,$A$5)))</f>
        <v>1518</v>
      </c>
      <c r="AC15" s="32">
        <f>IF(AC$3="","",IF(COUNTIFS(Base!$A$3:$A$5001,AC$3,Base!$B$3:$B$5001,$A$5,Base!$Y$3:$Y$5001,"&lt;&gt;")=0,"",SUMIFS(Base!$Y$3:$Y$5001,Base!$A$3:$A$5001,AC$3,Base!$B$3:$B$5001,$A$5)))</f>
        <v>1710</v>
      </c>
      <c r="AD15" s="32">
        <f>IF(AD$3="","",IF(COUNTIFS(Base!$A$3:$A$5001,AD$3,Base!$B$3:$B$5001,$A$5,Base!$Y$3:$Y$5001,"&lt;&gt;")=0,"",SUMIFS(Base!$Y$3:$Y$5001,Base!$A$3:$A$5001,AD$3,Base!$B$3:$B$5001,$A$5)))</f>
        <v>1642</v>
      </c>
      <c r="AE15" s="32">
        <f>IF(AE$3="","",IF(COUNTIFS(Base!$A$3:$A$5001,AE$3,Base!$B$3:$B$5001,$A$5,Base!$Y$3:$Y$5001,"&lt;&gt;")=0,"",SUMIFS(Base!$Y$3:$Y$5001,Base!$A$3:$A$5001,AE$3,Base!$B$3:$B$5001,$A$5)))</f>
        <v>2122</v>
      </c>
      <c r="AF15" s="32" t="str">
        <f>IF(AF$3="","",IF(COUNTIFS(Base!$A$3:$A$5001,AF$3,Base!$B$3:$B$5001,$A$5,Base!$Y$3:$Y$5001,"&lt;&gt;")=0,"",SUMIFS(Base!$Y$3:$Y$5001,Base!$A$3:$A$5001,AF$3,Base!$B$3:$B$5001,$A$5)))</f>
        <v/>
      </c>
      <c r="AG15" s="32">
        <f>IF(AG$3="","",IF(COUNTIFS(Base!$A$3:$A$5001,AG$3,Base!$B$3:$B$5001,$A$5,Base!$Y$3:$Y$5001,"&lt;&gt;")=0,"",SUMIFS(Base!$Y$3:$Y$5001,Base!$A$3:$A$5001,AG$3,Base!$B$3:$B$5001,$A$5)))</f>
        <v>1882</v>
      </c>
      <c r="AH15" s="32">
        <f>IF(AH$3="","",IF(COUNTIFS(Base!$A$3:$A$5001,AH$3,Base!$B$3:$B$5001,$A$5,Base!$Y$3:$Y$5001,"&lt;&gt;")=0,"",SUMIFS(Base!$Y$3:$Y$5001,Base!$A$3:$A$5001,AH$3,Base!$B$3:$B$5001,$A$5)))</f>
        <v>1935</v>
      </c>
      <c r="AI15" s="32" t="str">
        <f>IF(AI$3="","",IF(COUNTIFS(Base!$A$3:$A$5001,AI$3,Base!$B$3:$B$5001,$A$5,Base!$Y$3:$Y$5001,"&lt;&gt;")=0,"",SUMIFS(Base!$Y$3:$Y$5001,Base!$A$3:$A$5001,AI$3,Base!$B$3:$B$5001,$A$5)))</f>
        <v/>
      </c>
      <c r="AJ15" s="33" t="str">
        <f>IF(AJ$3="","",IF(COUNTIFS(Base!$A$3:$A$5001,AJ$3,Base!$B$3:$B$5001,$A$5,Base!$Y$3:$Y$5001,"&lt;&gt;")=0,"",SUMIFS(Base!$Y$3:$Y$5001,Base!$A$3:$A$5001,AJ$3,Base!$B$3:$B$5001,$A$5)))</f>
        <v/>
      </c>
      <c r="AK15" s="34">
        <f>IFERROR(LOOKUP(9.99E+307,F15:AJ15),"")</f>
        <v>1935</v>
      </c>
    </row>
    <row r="16" ht="15.75" customHeight="1">
      <c r="A16" s="118"/>
      <c r="B16" s="107"/>
      <c r="C16" s="35" t="inlineStr">
        <is>
          <t xml:space="preserve">Taxa de Ocupação</t>
        </is>
      </c>
      <c r="D16" s="81" t="str">
        <f>IFERROR(1/(1/INDEX(calculos!$C$55:$K$83,MATCH("Taxa de Ocupação",calculos!$A$55:$A$83,0),MATCH($A$5,calculos!$C$54:$K$54,0))),"")</f>
        <v/>
      </c>
      <c r="E16" s="37"/>
      <c r="F16" s="82">
        <f>IF(AND(ISNUMBER(F14),ISNUMBER(F15)),IF(F14&gt;0,F15/F14,""),"")</f>
        <v>0.578181818181818</v>
      </c>
      <c r="G16" s="83">
        <f>IF(AND(ISNUMBER(G14),ISNUMBER(G15)),IF(G14&gt;0,G15/G14,""),"")</f>
        <v>0.84</v>
      </c>
      <c r="H16" s="83">
        <f>IF(AND(ISNUMBER(H14),ISNUMBER(H15)),IF(H14&gt;0,H15/H14,""),"")</f>
        <v>0.96</v>
      </c>
      <c r="I16" s="83">
        <f>IF(AND(ISNUMBER(I14),ISNUMBER(I15)),IF(I14&gt;0,I15/I14,""),"")</f>
        <v>0.734545454545455</v>
      </c>
      <c r="J16" s="83">
        <f>IF(AND(ISNUMBER(J14),ISNUMBER(J15)),IF(J14&gt;0,J15/J14,""),"")</f>
        <v>0.901363636363636</v>
      </c>
      <c r="K16" s="83" t="str">
        <f>IF(AND(ISNUMBER(K14),ISNUMBER(K15)),IF(K14&gt;0,K15/K14,""),"")</f>
        <v/>
      </c>
      <c r="L16" s="83">
        <f>IF(AND(ISNUMBER(L14),ISNUMBER(L15)),IF(L14&gt;0,L15/L14,""),"")</f>
        <v>0.754545454545455</v>
      </c>
      <c r="M16" s="83">
        <f>IF(AND(ISNUMBER(M14),ISNUMBER(M15)),IF(M14&gt;0,M15/M14,""),"")</f>
        <v>0.934090909090909</v>
      </c>
      <c r="N16" s="83">
        <f>IF(AND(ISNUMBER(N14),ISNUMBER(N15)),IF(N14&gt;0,N15/N14,""),"")</f>
        <v>0.760454545454546</v>
      </c>
      <c r="O16" s="83">
        <f>IF(AND(ISNUMBER(O14),ISNUMBER(O15)),IF(O14&gt;0,O15/O14,""),"")</f>
        <v>0.864545454545455</v>
      </c>
      <c r="P16" s="83">
        <f>IF(AND(ISNUMBER(P14),ISNUMBER(P15)),IF(P14&gt;0,P15/P14,""),"")</f>
        <v>0.582272727272727</v>
      </c>
      <c r="Q16" s="83">
        <f>IF(AND(ISNUMBER(Q14),ISNUMBER(Q15)),IF(Q14&gt;0,Q15/Q14,""),"")</f>
        <v>0.718636363636364</v>
      </c>
      <c r="R16" s="83" t="str">
        <f>IF(AND(ISNUMBER(R14),ISNUMBER(R15)),IF(R14&gt;0,R15/R14,""),"")</f>
        <v/>
      </c>
      <c r="S16" s="83">
        <f>IF(AND(ISNUMBER(S14),ISNUMBER(S15)),IF(S14&gt;0,S15/S14,""),"")</f>
        <v>0.867727272727273</v>
      </c>
      <c r="T16" s="83">
        <f>IF(AND(ISNUMBER(T14),ISNUMBER(T15)),IF(T14&gt;0,T15/T14,""),"")</f>
        <v>0.742272727272727</v>
      </c>
      <c r="U16" s="83">
        <f>IF(AND(ISNUMBER(U14),ISNUMBER(U15)),IF(U14&gt;0,U15/U14,""),"")</f>
        <v>0.669545454545455</v>
      </c>
      <c r="V16" s="83">
        <f>IF(AND(ISNUMBER(V14),ISNUMBER(V15)),IF(V14&gt;0,V15/V14,""),"")</f>
        <v>0.824545454545455</v>
      </c>
      <c r="W16" s="83">
        <f>IF(AND(ISNUMBER(W14),ISNUMBER(W15)),IF(W14&gt;0,W15/W14,""),"")</f>
        <v>0.850909090909091</v>
      </c>
      <c r="X16" s="83">
        <f>IF(AND(ISNUMBER(X14),ISNUMBER(X15)),IF(X14&gt;0,X15/X14,""),"")</f>
        <v>0.637727272727273</v>
      </c>
      <c r="Y16" s="83" t="str">
        <f>IF(AND(ISNUMBER(Y14),ISNUMBER(Y15)),IF(Y14&gt;0,Y15/Y14,""),"")</f>
        <v/>
      </c>
      <c r="Z16" s="83">
        <f>IF(AND(ISNUMBER(Z14),ISNUMBER(Z15)),IF(Z14&gt;0,Z15/Z14,""),"")</f>
        <v>0.815454545454545</v>
      </c>
      <c r="AA16" s="83">
        <f>IF(AND(ISNUMBER(AA14),ISNUMBER(AA15)),IF(AA14&gt;0,AA15/AA14,""),"")</f>
        <v>0.606363636363636</v>
      </c>
      <c r="AB16" s="83">
        <f>IF(AND(ISNUMBER(AB14),ISNUMBER(AB15)),IF(AB14&gt;0,AB15/AB14,""),"")</f>
        <v>0.69</v>
      </c>
      <c r="AC16" s="83">
        <f>IF(AND(ISNUMBER(AC14),ISNUMBER(AC15)),IF(AC14&gt;0,AC15/AC14,""),"")</f>
        <v>0.777272727272727</v>
      </c>
      <c r="AD16" s="83">
        <f>IF(AND(ISNUMBER(AD14),ISNUMBER(AD15)),IF(AD14&gt;0,AD15/AD14,""),"")</f>
        <v>0.746363636363636</v>
      </c>
      <c r="AE16" s="83">
        <f>IF(AND(ISNUMBER(AE14),ISNUMBER(AE15)),IF(AE14&gt;0,AE15/AE14,""),"")</f>
        <v>0.964545454545455</v>
      </c>
      <c r="AF16" s="83" t="str">
        <f>IF(AND(ISNUMBER(AF14),ISNUMBER(AF15)),IF(AF14&gt;0,AF15/AF14,""),"")</f>
        <v/>
      </c>
      <c r="AG16" s="83">
        <f>IF(AND(ISNUMBER(AG14),ISNUMBER(AG15)),IF(AG14&gt;0,AG15/AG14,""),"")</f>
        <v>0.855454545454546</v>
      </c>
      <c r="AH16" s="83">
        <f>IF(AND(ISNUMBER(AH14),ISNUMBER(AH15)),IF(AH14&gt;0,AH15/AH14,""),"")</f>
        <v>0.879545454545455</v>
      </c>
      <c r="AI16" s="83" t="str">
        <f>IF(AND(ISNUMBER(AI14),ISNUMBER(AI15)),IF(AI14&gt;0,AI15/AI14,""),"")</f>
        <v/>
      </c>
      <c r="AJ16" s="84" t="str">
        <f>IF(AND(ISNUMBER(AJ14),ISNUMBER(AJ15)),IF(AJ14&gt;0,AJ15/AJ14,""),"")</f>
        <v/>
      </c>
      <c r="AK16" s="81">
        <f>IF(AND(ISNUMBER(AK14),ISNUMBER(AK15)),IF(AK14&gt;0,AK15/AK14,""),"")</f>
        <v>0.879545454545455</v>
      </c>
    </row>
    <row r="17" ht="15.75" customHeight="1">
      <c r="A17" s="118"/>
      <c r="B17" s="114" t="inlineStr">
        <is>
          <t xml:space="preserve">GENTE</t>
        </is>
      </c>
      <c r="C17" s="85" t="inlineStr">
        <is>
          <t xml:space="preserve">Efetivo</t>
        </is>
      </c>
      <c r="D17" s="86" t="str">
        <f>IFERROR(1/(1/INDEX(calculos!$C$55:$K$83,MATCH("Efetivo",calculos!$A$55:$A$83,0),MATCH($A$5,calculos!$C$54:$K$54,0))),"")</f>
        <v/>
      </c>
      <c r="E17" s="87"/>
      <c r="F17" s="88">
        <f>IF(F$3="","",IF(COUNTIFS(Base!$A$3:$A$5001,F$3,Base!$B$3:$B$5001,$A$5,Base!$Z$3:$Z$5001,"&lt;&gt;")=0,"",SUMIFS(Base!$Z$3:$Z$5001,Base!$A$3:$A$5001,F$3,Base!$B$3:$B$5001,$A$5)))</f>
        <v>8</v>
      </c>
      <c r="G17" s="89">
        <f>IF(G$3="","",IF(COUNTIFS(Base!$A$3:$A$5001,G$3,Base!$B$3:$B$5001,$A$5,Base!$Z$3:$Z$5001,"&lt;&gt;")=0,"",SUMIFS(Base!$Z$3:$Z$5001,Base!$A$3:$A$5001,G$3,Base!$B$3:$B$5001,$A$5)))</f>
        <v>8</v>
      </c>
      <c r="H17" s="89">
        <f>IF(H$3="","",IF(COUNTIFS(Base!$A$3:$A$5001,H$3,Base!$B$3:$B$5001,$A$5,Base!$Z$3:$Z$5001,"&lt;&gt;")=0,"",SUMIFS(Base!$Z$3:$Z$5001,Base!$A$3:$A$5001,H$3,Base!$B$3:$B$5001,$A$5)))</f>
        <v>13</v>
      </c>
      <c r="I17" s="89">
        <f>IF(I$3="","",IF(COUNTIFS(Base!$A$3:$A$5001,I$3,Base!$B$3:$B$5001,$A$5,Base!$Z$3:$Z$5001,"&lt;&gt;")=0,"",SUMIFS(Base!$Z$3:$Z$5001,Base!$A$3:$A$5001,I$3,Base!$B$3:$B$5001,$A$5)))</f>
        <v>13</v>
      </c>
      <c r="J17" s="89">
        <f>IF(J$3="","",IF(COUNTIFS(Base!$A$3:$A$5001,J$3,Base!$B$3:$B$5001,$A$5,Base!$Z$3:$Z$5001,"&lt;&gt;")=0,"",SUMIFS(Base!$Z$3:$Z$5001,Base!$A$3:$A$5001,J$3,Base!$B$3:$B$5001,$A$5)))</f>
        <v>9</v>
      </c>
      <c r="K17" s="89" t="str">
        <f>IF(K$3="","",IF(COUNTIFS(Base!$A$3:$A$5001,K$3,Base!$B$3:$B$5001,$A$5,Base!$Z$3:$Z$5001,"&lt;&gt;")=0,"",SUMIFS(Base!$Z$3:$Z$5001,Base!$A$3:$A$5001,K$3,Base!$B$3:$B$5001,$A$5)))</f>
        <v/>
      </c>
      <c r="L17" s="89">
        <f>IF(L$3="","",IF(COUNTIFS(Base!$A$3:$A$5001,L$3,Base!$B$3:$B$5001,$A$5,Base!$Z$3:$Z$5001,"&lt;&gt;")=0,"",SUMIFS(Base!$Z$3:$Z$5001,Base!$A$3:$A$5001,L$3,Base!$B$3:$B$5001,$A$5)))</f>
        <v>5</v>
      </c>
      <c r="M17" s="89">
        <f>IF(M$3="","",IF(COUNTIFS(Base!$A$3:$A$5001,M$3,Base!$B$3:$B$5001,$A$5,Base!$Z$3:$Z$5001,"&lt;&gt;")=0,"",SUMIFS(Base!$Z$3:$Z$5001,Base!$A$3:$A$5001,M$3,Base!$B$3:$B$5001,$A$5)))</f>
        <v>5</v>
      </c>
      <c r="N17" s="89">
        <f>IF(N$3="","",IF(COUNTIFS(Base!$A$3:$A$5001,N$3,Base!$B$3:$B$5001,$A$5,Base!$Z$3:$Z$5001,"&lt;&gt;")=0,"",SUMIFS(Base!$Z$3:$Z$5001,Base!$A$3:$A$5001,N$3,Base!$B$3:$B$5001,$A$5)))</f>
        <v>6</v>
      </c>
      <c r="O17" s="89">
        <f>IF(O$3="","",IF(COUNTIFS(Base!$A$3:$A$5001,O$3,Base!$B$3:$B$5001,$A$5,Base!$Z$3:$Z$5001,"&lt;&gt;")=0,"",SUMIFS(Base!$Z$3:$Z$5001,Base!$A$3:$A$5001,O$3,Base!$B$3:$B$5001,$A$5)))</f>
        <v>11</v>
      </c>
      <c r="P17" s="89">
        <f>IF(P$3="","",IF(COUNTIFS(Base!$A$3:$A$5001,P$3,Base!$B$3:$B$5001,$A$5,Base!$Z$3:$Z$5001,"&lt;&gt;")=0,"",SUMIFS(Base!$Z$3:$Z$5001,Base!$A$3:$A$5001,P$3,Base!$B$3:$B$5001,$A$5)))</f>
        <v>10</v>
      </c>
      <c r="Q17" s="89">
        <f>IF(Q$3="","",IF(COUNTIFS(Base!$A$3:$A$5001,Q$3,Base!$B$3:$B$5001,$A$5,Base!$Z$3:$Z$5001,"&lt;&gt;")=0,"",SUMIFS(Base!$Z$3:$Z$5001,Base!$A$3:$A$5001,Q$3,Base!$B$3:$B$5001,$A$5)))</f>
        <v>6</v>
      </c>
      <c r="R17" s="89" t="str">
        <f>IF(R$3="","",IF(COUNTIFS(Base!$A$3:$A$5001,R$3,Base!$B$3:$B$5001,$A$5,Base!$Z$3:$Z$5001,"&lt;&gt;")=0,"",SUMIFS(Base!$Z$3:$Z$5001,Base!$A$3:$A$5001,R$3,Base!$B$3:$B$5001,$A$5)))</f>
        <v/>
      </c>
      <c r="S17" s="89">
        <f>IF(S$3="","",IF(COUNTIFS(Base!$A$3:$A$5001,S$3,Base!$B$3:$B$5001,$A$5,Base!$Z$3:$Z$5001,"&lt;&gt;")=0,"",SUMIFS(Base!$Z$3:$Z$5001,Base!$A$3:$A$5001,S$3,Base!$B$3:$B$5001,$A$5)))</f>
        <v>8</v>
      </c>
      <c r="T17" s="89">
        <f>IF(T$3="","",IF(COUNTIFS(Base!$A$3:$A$5001,T$3,Base!$B$3:$B$5001,$A$5,Base!$Z$3:$Z$5001,"&lt;&gt;")=0,"",SUMIFS(Base!$Z$3:$Z$5001,Base!$A$3:$A$5001,T$3,Base!$B$3:$B$5001,$A$5)))</f>
        <v>8</v>
      </c>
      <c r="U17" s="89">
        <f>IF(U$3="","",IF(COUNTIFS(Base!$A$3:$A$5001,U$3,Base!$B$3:$B$5001,$A$5,Base!$Z$3:$Z$5001,"&lt;&gt;")=0,"",SUMIFS(Base!$Z$3:$Z$5001,Base!$A$3:$A$5001,U$3,Base!$B$3:$B$5001,$A$5)))</f>
        <v>4</v>
      </c>
      <c r="V17" s="89">
        <f>IF(V$3="","",IF(COUNTIFS(Base!$A$3:$A$5001,V$3,Base!$B$3:$B$5001,$A$5,Base!$Z$3:$Z$5001,"&lt;&gt;")=0,"",SUMIFS(Base!$Z$3:$Z$5001,Base!$A$3:$A$5001,V$3,Base!$B$3:$B$5001,$A$5)))</f>
        <v>14</v>
      </c>
      <c r="W17" s="89">
        <f>IF(W$3="","",IF(COUNTIFS(Base!$A$3:$A$5001,W$3,Base!$B$3:$B$5001,$A$5,Base!$Z$3:$Z$5001,"&lt;&gt;")=0,"",SUMIFS(Base!$Z$3:$Z$5001,Base!$A$3:$A$5001,W$3,Base!$B$3:$B$5001,$A$5)))</f>
        <v>5</v>
      </c>
      <c r="X17" s="89">
        <f>IF(X$3="","",IF(COUNTIFS(Base!$A$3:$A$5001,X$3,Base!$B$3:$B$5001,$A$5,Base!$Z$3:$Z$5001,"&lt;&gt;")=0,"",SUMIFS(Base!$Z$3:$Z$5001,Base!$A$3:$A$5001,X$3,Base!$B$3:$B$5001,$A$5)))</f>
        <v>9</v>
      </c>
      <c r="Y17" s="89" t="str">
        <f>IF(Y$3="","",IF(COUNTIFS(Base!$A$3:$A$5001,Y$3,Base!$B$3:$B$5001,$A$5,Base!$Z$3:$Z$5001,"&lt;&gt;")=0,"",SUMIFS(Base!$Z$3:$Z$5001,Base!$A$3:$A$5001,Y$3,Base!$B$3:$B$5001,$A$5)))</f>
        <v/>
      </c>
      <c r="Z17" s="89">
        <f>IF(Z$3="","",IF(COUNTIFS(Base!$A$3:$A$5001,Z$3,Base!$B$3:$B$5001,$A$5,Base!$Z$3:$Z$5001,"&lt;&gt;")=0,"",SUMIFS(Base!$Z$3:$Z$5001,Base!$A$3:$A$5001,Z$3,Base!$B$3:$B$5001,$A$5)))</f>
        <v>7</v>
      </c>
      <c r="AA17" s="89">
        <f>IF(AA$3="","",IF(COUNTIFS(Base!$A$3:$A$5001,AA$3,Base!$B$3:$B$5001,$A$5,Base!$Z$3:$Z$5001,"&lt;&gt;")=0,"",SUMIFS(Base!$Z$3:$Z$5001,Base!$A$3:$A$5001,AA$3,Base!$B$3:$B$5001,$A$5)))</f>
        <v>12</v>
      </c>
      <c r="AB17" s="89">
        <f>IF(AB$3="","",IF(COUNTIFS(Base!$A$3:$A$5001,AB$3,Base!$B$3:$B$5001,$A$5,Base!$Z$3:$Z$5001,"&lt;&gt;")=0,"",SUMIFS(Base!$Z$3:$Z$5001,Base!$A$3:$A$5001,AB$3,Base!$B$3:$B$5001,$A$5)))</f>
        <v>9</v>
      </c>
      <c r="AC17" s="89">
        <f>IF(AC$3="","",IF(COUNTIFS(Base!$A$3:$A$5001,AC$3,Base!$B$3:$B$5001,$A$5,Base!$Z$3:$Z$5001,"&lt;&gt;")=0,"",SUMIFS(Base!$Z$3:$Z$5001,Base!$A$3:$A$5001,AC$3,Base!$B$3:$B$5001,$A$5)))</f>
        <v>4</v>
      </c>
      <c r="AD17" s="89">
        <f>IF(AD$3="","",IF(COUNTIFS(Base!$A$3:$A$5001,AD$3,Base!$B$3:$B$5001,$A$5,Base!$Z$3:$Z$5001,"&lt;&gt;")=0,"",SUMIFS(Base!$Z$3:$Z$5001,Base!$A$3:$A$5001,AD$3,Base!$B$3:$B$5001,$A$5)))</f>
        <v>10</v>
      </c>
      <c r="AE17" s="89">
        <f>IF(AE$3="","",IF(COUNTIFS(Base!$A$3:$A$5001,AE$3,Base!$B$3:$B$5001,$A$5,Base!$Z$3:$Z$5001,"&lt;&gt;")=0,"",SUMIFS(Base!$Z$3:$Z$5001,Base!$A$3:$A$5001,AE$3,Base!$B$3:$B$5001,$A$5)))</f>
        <v>10</v>
      </c>
      <c r="AF17" s="89" t="str">
        <f>IF(AF$3="","",IF(COUNTIFS(Base!$A$3:$A$5001,AF$3,Base!$B$3:$B$5001,$A$5,Base!$Z$3:$Z$5001,"&lt;&gt;")=0,"",SUMIFS(Base!$Z$3:$Z$5001,Base!$A$3:$A$5001,AF$3,Base!$B$3:$B$5001,$A$5)))</f>
        <v/>
      </c>
      <c r="AG17" s="89">
        <f>IF(AG$3="","",IF(COUNTIFS(Base!$A$3:$A$5001,AG$3,Base!$B$3:$B$5001,$A$5,Base!$Z$3:$Z$5001,"&lt;&gt;")=0,"",SUMIFS(Base!$Z$3:$Z$5001,Base!$A$3:$A$5001,AG$3,Base!$B$3:$B$5001,$A$5)))</f>
        <v>13</v>
      </c>
      <c r="AH17" s="89">
        <f>IF(AH$3="","",IF(COUNTIFS(Base!$A$3:$A$5001,AH$3,Base!$B$3:$B$5001,$A$5,Base!$Z$3:$Z$5001,"&lt;&gt;")=0,"",SUMIFS(Base!$Z$3:$Z$5001,Base!$A$3:$A$5001,AH$3,Base!$B$3:$B$5001,$A$5)))</f>
        <v>6</v>
      </c>
      <c r="AI17" s="89" t="str">
        <f>IF(AI$3="","",IF(COUNTIFS(Base!$A$3:$A$5001,AI$3,Base!$B$3:$B$5001,$A$5,Base!$Z$3:$Z$5001,"&lt;&gt;")=0,"",SUMIFS(Base!$Z$3:$Z$5001,Base!$A$3:$A$5001,AI$3,Base!$B$3:$B$5001,$A$5)))</f>
        <v/>
      </c>
      <c r="AJ17" s="90" t="str">
        <f>IF(AJ$3="","",IF(COUNTIFS(Base!$A$3:$A$5001,AJ$3,Base!$B$3:$B$5001,$A$5,Base!$Z$3:$Z$5001,"&lt;&gt;")=0,"",SUMIFS(Base!$Z$3:$Z$5001,Base!$A$3:$A$5001,AJ$3,Base!$B$3:$B$5001,$A$5)))</f>
        <v/>
      </c>
      <c r="AK17" s="91">
        <f>IFERROR(LOOKUP(9.99E+307,F17:AJ17),"")</f>
        <v>6</v>
      </c>
    </row>
    <row r="18" ht="15.75" customHeight="1">
      <c r="A18" s="118"/>
      <c r="B18" s="115"/>
      <c r="C18" s="92" t="inlineStr">
        <is>
          <t xml:space="preserve">Falta</t>
        </is>
      </c>
      <c r="D18" s="93" t="str">
        <f>IFERROR(1/(1/INDEX(calculos!$C$55:$K$83,MATCH("Falta",calculos!$A$55:$A$83,0),MATCH($A$5,calculos!$C$54:$K$54,0))),"")</f>
        <v/>
      </c>
      <c r="E18" s="94"/>
      <c r="F18" s="95" t="str">
        <f>IF(F$3="","",IF(COUNTIFS(Base!$A$3:$A$5001,F$3,Base!$B$3:$B$5001,$A$5,Base!$AA$3:$AA$5001,"&lt;&gt;")=0,"",SUMIFS(Base!$AA$3:$AA$5001,Base!$A$3:$A$5001,F$3,Base!$B$3:$B$5001,$A$5)))</f>
        <v/>
      </c>
      <c r="G18" s="96" t="str">
        <f>IF(G$3="","",IF(COUNTIFS(Base!$A$3:$A$5001,G$3,Base!$B$3:$B$5001,$A$5,Base!$AA$3:$AA$5001,"&lt;&gt;")=0,"",SUMIFS(Base!$AA$3:$AA$5001,Base!$A$3:$A$5001,G$3,Base!$B$3:$B$5001,$A$5)))</f>
        <v/>
      </c>
      <c r="H18" s="96" t="str">
        <f>IF(H$3="","",IF(COUNTIFS(Base!$A$3:$A$5001,H$3,Base!$B$3:$B$5001,$A$5,Base!$AA$3:$AA$5001,"&lt;&gt;")=0,"",SUMIFS(Base!$AA$3:$AA$5001,Base!$A$3:$A$5001,H$3,Base!$B$3:$B$5001,$A$5)))</f>
        <v/>
      </c>
      <c r="I18" s="96" t="str">
        <f>IF(I$3="","",IF(COUNTIFS(Base!$A$3:$A$5001,I$3,Base!$B$3:$B$5001,$A$5,Base!$AA$3:$AA$5001,"&lt;&gt;")=0,"",SUMIFS(Base!$AA$3:$AA$5001,Base!$A$3:$A$5001,I$3,Base!$B$3:$B$5001,$A$5)))</f>
        <v/>
      </c>
      <c r="J18" s="96" t="str">
        <f>IF(J$3="","",IF(COUNTIFS(Base!$A$3:$A$5001,J$3,Base!$B$3:$B$5001,$A$5,Base!$AA$3:$AA$5001,"&lt;&gt;")=0,"",SUMIFS(Base!$AA$3:$AA$5001,Base!$A$3:$A$5001,J$3,Base!$B$3:$B$5001,$A$5)))</f>
        <v/>
      </c>
      <c r="K18" s="96" t="str">
        <f>IF(K$3="","",IF(COUNTIFS(Base!$A$3:$A$5001,K$3,Base!$B$3:$B$5001,$A$5,Base!$AA$3:$AA$5001,"&lt;&gt;")=0,"",SUMIFS(Base!$AA$3:$AA$5001,Base!$A$3:$A$5001,K$3,Base!$B$3:$B$5001,$A$5)))</f>
        <v/>
      </c>
      <c r="L18" s="96" t="str">
        <f>IF(L$3="","",IF(COUNTIFS(Base!$A$3:$A$5001,L$3,Base!$B$3:$B$5001,$A$5,Base!$AA$3:$AA$5001,"&lt;&gt;")=0,"",SUMIFS(Base!$AA$3:$AA$5001,Base!$A$3:$A$5001,L$3,Base!$B$3:$B$5001,$A$5)))</f>
        <v/>
      </c>
      <c r="M18" s="96" t="str">
        <f>IF(M$3="","",IF(COUNTIFS(Base!$A$3:$A$5001,M$3,Base!$B$3:$B$5001,$A$5,Base!$AA$3:$AA$5001,"&lt;&gt;")=0,"",SUMIFS(Base!$AA$3:$AA$5001,Base!$A$3:$A$5001,M$3,Base!$B$3:$B$5001,$A$5)))</f>
        <v/>
      </c>
      <c r="N18" s="96" t="str">
        <f>IF(N$3="","",IF(COUNTIFS(Base!$A$3:$A$5001,N$3,Base!$B$3:$B$5001,$A$5,Base!$AA$3:$AA$5001,"&lt;&gt;")=0,"",SUMIFS(Base!$AA$3:$AA$5001,Base!$A$3:$A$5001,N$3,Base!$B$3:$B$5001,$A$5)))</f>
        <v/>
      </c>
      <c r="O18" s="96">
        <f>IF(O$3="","",IF(COUNTIFS(Base!$A$3:$A$5001,O$3,Base!$B$3:$B$5001,$A$5,Base!$AA$3:$AA$5001,"&lt;&gt;")=0,"",SUMIFS(Base!$AA$3:$AA$5001,Base!$A$3:$A$5001,O$3,Base!$B$3:$B$5001,$A$5)))</f>
        <v>1</v>
      </c>
      <c r="P18" s="96" t="str">
        <f>IF(P$3="","",IF(COUNTIFS(Base!$A$3:$A$5001,P$3,Base!$B$3:$B$5001,$A$5,Base!$AA$3:$AA$5001,"&lt;&gt;")=0,"",SUMIFS(Base!$AA$3:$AA$5001,Base!$A$3:$A$5001,P$3,Base!$B$3:$B$5001,$A$5)))</f>
        <v/>
      </c>
      <c r="Q18" s="96" t="str">
        <f>IF(Q$3="","",IF(COUNTIFS(Base!$A$3:$A$5001,Q$3,Base!$B$3:$B$5001,$A$5,Base!$AA$3:$AA$5001,"&lt;&gt;")=0,"",SUMIFS(Base!$AA$3:$AA$5001,Base!$A$3:$A$5001,Q$3,Base!$B$3:$B$5001,$A$5)))</f>
        <v/>
      </c>
      <c r="R18" s="96" t="str">
        <f>IF(R$3="","",IF(COUNTIFS(Base!$A$3:$A$5001,R$3,Base!$B$3:$B$5001,$A$5,Base!$AA$3:$AA$5001,"&lt;&gt;")=0,"",SUMIFS(Base!$AA$3:$AA$5001,Base!$A$3:$A$5001,R$3,Base!$B$3:$B$5001,$A$5)))</f>
        <v/>
      </c>
      <c r="S18" s="96" t="str">
        <f>IF(S$3="","",IF(COUNTIFS(Base!$A$3:$A$5001,S$3,Base!$B$3:$B$5001,$A$5,Base!$AA$3:$AA$5001,"&lt;&gt;")=0,"",SUMIFS(Base!$AA$3:$AA$5001,Base!$A$3:$A$5001,S$3,Base!$B$3:$B$5001,$A$5)))</f>
        <v/>
      </c>
      <c r="T18" s="96" t="str">
        <f>IF(T$3="","",IF(COUNTIFS(Base!$A$3:$A$5001,T$3,Base!$B$3:$B$5001,$A$5,Base!$AA$3:$AA$5001,"&lt;&gt;")=0,"",SUMIFS(Base!$AA$3:$AA$5001,Base!$A$3:$A$5001,T$3,Base!$B$3:$B$5001,$A$5)))</f>
        <v/>
      </c>
      <c r="U18" s="96" t="str">
        <f>IF(U$3="","",IF(COUNTIFS(Base!$A$3:$A$5001,U$3,Base!$B$3:$B$5001,$A$5,Base!$AA$3:$AA$5001,"&lt;&gt;")=0,"",SUMIFS(Base!$AA$3:$AA$5001,Base!$A$3:$A$5001,U$3,Base!$B$3:$B$5001,$A$5)))</f>
        <v/>
      </c>
      <c r="V18" s="96" t="str">
        <f>IF(V$3="","",IF(COUNTIFS(Base!$A$3:$A$5001,V$3,Base!$B$3:$B$5001,$A$5,Base!$AA$3:$AA$5001,"&lt;&gt;")=0,"",SUMIFS(Base!$AA$3:$AA$5001,Base!$A$3:$A$5001,V$3,Base!$B$3:$B$5001,$A$5)))</f>
        <v/>
      </c>
      <c r="W18" s="96" t="str">
        <f>IF(W$3="","",IF(COUNTIFS(Base!$A$3:$A$5001,W$3,Base!$B$3:$B$5001,$A$5,Base!$AA$3:$AA$5001,"&lt;&gt;")=0,"",SUMIFS(Base!$AA$3:$AA$5001,Base!$A$3:$A$5001,W$3,Base!$B$3:$B$5001,$A$5)))</f>
        <v/>
      </c>
      <c r="X18" s="96" t="str">
        <f>IF(X$3="","",IF(COUNTIFS(Base!$A$3:$A$5001,X$3,Base!$B$3:$B$5001,$A$5,Base!$AA$3:$AA$5001,"&lt;&gt;")=0,"",SUMIFS(Base!$AA$3:$AA$5001,Base!$A$3:$A$5001,X$3,Base!$B$3:$B$5001,$A$5)))</f>
        <v/>
      </c>
      <c r="Y18" s="96" t="str">
        <f>IF(Y$3="","",IF(COUNTIFS(Base!$A$3:$A$5001,Y$3,Base!$B$3:$B$5001,$A$5,Base!$AA$3:$AA$5001,"&lt;&gt;")=0,"",SUMIFS(Base!$AA$3:$AA$5001,Base!$A$3:$A$5001,Y$3,Base!$B$3:$B$5001,$A$5)))</f>
        <v/>
      </c>
      <c r="Z18" s="96" t="str">
        <f>IF(Z$3="","",IF(COUNTIFS(Base!$A$3:$A$5001,Z$3,Base!$B$3:$B$5001,$A$5,Base!$AA$3:$AA$5001,"&lt;&gt;")=0,"",SUMIFS(Base!$AA$3:$AA$5001,Base!$A$3:$A$5001,Z$3,Base!$B$3:$B$5001,$A$5)))</f>
        <v/>
      </c>
      <c r="AA18" s="96" t="str">
        <f>IF(AA$3="","",IF(COUNTIFS(Base!$A$3:$A$5001,AA$3,Base!$B$3:$B$5001,$A$5,Base!$AA$3:$AA$5001,"&lt;&gt;")=0,"",SUMIFS(Base!$AA$3:$AA$5001,Base!$A$3:$A$5001,AA$3,Base!$B$3:$B$5001,$A$5)))</f>
        <v/>
      </c>
      <c r="AB18" s="96" t="str">
        <f>IF(AB$3="","",IF(COUNTIFS(Base!$A$3:$A$5001,AB$3,Base!$B$3:$B$5001,$A$5,Base!$AA$3:$AA$5001,"&lt;&gt;")=0,"",SUMIFS(Base!$AA$3:$AA$5001,Base!$A$3:$A$5001,AB$3,Base!$B$3:$B$5001,$A$5)))</f>
        <v/>
      </c>
      <c r="AC18" s="96" t="str">
        <f>IF(AC$3="","",IF(COUNTIFS(Base!$A$3:$A$5001,AC$3,Base!$B$3:$B$5001,$A$5,Base!$AA$3:$AA$5001,"&lt;&gt;")=0,"",SUMIFS(Base!$AA$3:$AA$5001,Base!$A$3:$A$5001,AC$3,Base!$B$3:$B$5001,$A$5)))</f>
        <v/>
      </c>
      <c r="AD18" s="96" t="str">
        <f>IF(AD$3="","",IF(COUNTIFS(Base!$A$3:$A$5001,AD$3,Base!$B$3:$B$5001,$A$5,Base!$AA$3:$AA$5001,"&lt;&gt;")=0,"",SUMIFS(Base!$AA$3:$AA$5001,Base!$A$3:$A$5001,AD$3,Base!$B$3:$B$5001,$A$5)))</f>
        <v/>
      </c>
      <c r="AE18" s="96" t="str">
        <f>IF(AE$3="","",IF(COUNTIFS(Base!$A$3:$A$5001,AE$3,Base!$B$3:$B$5001,$A$5,Base!$AA$3:$AA$5001,"&lt;&gt;")=0,"",SUMIFS(Base!$AA$3:$AA$5001,Base!$A$3:$A$5001,AE$3,Base!$B$3:$B$5001,$A$5)))</f>
        <v/>
      </c>
      <c r="AF18" s="96" t="str">
        <f>IF(AF$3="","",IF(COUNTIFS(Base!$A$3:$A$5001,AF$3,Base!$B$3:$B$5001,$A$5,Base!$AA$3:$AA$5001,"&lt;&gt;")=0,"",SUMIFS(Base!$AA$3:$AA$5001,Base!$A$3:$A$5001,AF$3,Base!$B$3:$B$5001,$A$5)))</f>
        <v/>
      </c>
      <c r="AG18" s="96">
        <f>IF(AG$3="","",IF(COUNTIFS(Base!$A$3:$A$5001,AG$3,Base!$B$3:$B$5001,$A$5,Base!$AA$3:$AA$5001,"&lt;&gt;")=0,"",SUMIFS(Base!$AA$3:$AA$5001,Base!$A$3:$A$5001,AG$3,Base!$B$3:$B$5001,$A$5)))</f>
        <v>1</v>
      </c>
      <c r="AH18" s="96" t="str">
        <f>IF(AH$3="","",IF(COUNTIFS(Base!$A$3:$A$5001,AH$3,Base!$B$3:$B$5001,$A$5,Base!$AA$3:$AA$5001,"&lt;&gt;")=0,"",SUMIFS(Base!$AA$3:$AA$5001,Base!$A$3:$A$5001,AH$3,Base!$B$3:$B$5001,$A$5)))</f>
        <v/>
      </c>
      <c r="AI18" s="96" t="str">
        <f>IF(AI$3="","",IF(COUNTIFS(Base!$A$3:$A$5001,AI$3,Base!$B$3:$B$5001,$A$5,Base!$AA$3:$AA$5001,"&lt;&gt;")=0,"",SUMIFS(Base!$AA$3:$AA$5001,Base!$A$3:$A$5001,AI$3,Base!$B$3:$B$5001,$A$5)))</f>
        <v/>
      </c>
      <c r="AJ18" s="97" t="str">
        <f>IF(AJ$3="","",IF(COUNTIFS(Base!$A$3:$A$5001,AJ$3,Base!$B$3:$B$5001,$A$5,Base!$AA$3:$AA$5001,"&lt;&gt;")=0,"",SUMIFS(Base!$AA$3:$AA$5001,Base!$A$3:$A$5001,AJ$3,Base!$B$3:$B$5001,$A$5)))</f>
        <v/>
      </c>
      <c r="AK18" s="98">
        <f>IF(COUNT(F18:AJ18)=0,"",SUM(F18:AJ18))</f>
        <v>2</v>
      </c>
    </row>
    <row r="19" ht="15.75" customHeight="1">
      <c r="A19" s="118"/>
      <c r="B19" s="115"/>
      <c r="C19" s="92" t="inlineStr">
        <is>
          <t xml:space="preserve">Folga</t>
        </is>
      </c>
      <c r="D19" s="93" t="str">
        <f>IFERROR(1/(1/INDEX(calculos!$C$55:$K$83,MATCH("Folga",calculos!$A$55:$A$83,0),MATCH($A$5,calculos!$C$54:$K$54,0))),"")</f>
        <v/>
      </c>
      <c r="E19" s="94"/>
      <c r="F19" s="95" t="str">
        <f>IF(F$3="","",IF(COUNTIFS(Base!$A$3:$A$5001,F$3,Base!$B$3:$B$5001,$A$5,Base!$AB$3:$AB$5001,"&lt;&gt;")=0,"",SUMIFS(Base!$AB$3:$AB$5001,Base!$A$3:$A$5001,F$3,Base!$B$3:$B$5001,$A$5)))</f>
        <v/>
      </c>
      <c r="G19" s="96" t="str">
        <f>IF(G$3="","",IF(COUNTIFS(Base!$A$3:$A$5001,G$3,Base!$B$3:$B$5001,$A$5,Base!$AB$3:$AB$5001,"&lt;&gt;")=0,"",SUMIFS(Base!$AB$3:$AB$5001,Base!$A$3:$A$5001,G$3,Base!$B$3:$B$5001,$A$5)))</f>
        <v/>
      </c>
      <c r="H19" s="96" t="str">
        <f>IF(H$3="","",IF(COUNTIFS(Base!$A$3:$A$5001,H$3,Base!$B$3:$B$5001,$A$5,Base!$AB$3:$AB$5001,"&lt;&gt;")=0,"",SUMIFS(Base!$AB$3:$AB$5001,Base!$A$3:$A$5001,H$3,Base!$B$3:$B$5001,$A$5)))</f>
        <v/>
      </c>
      <c r="I19" s="96" t="str">
        <f>IF(I$3="","",IF(COUNTIFS(Base!$A$3:$A$5001,I$3,Base!$B$3:$B$5001,$A$5,Base!$AB$3:$AB$5001,"&lt;&gt;")=0,"",SUMIFS(Base!$AB$3:$AB$5001,Base!$A$3:$A$5001,I$3,Base!$B$3:$B$5001,$A$5)))</f>
        <v/>
      </c>
      <c r="J19" s="96" t="str">
        <f>IF(J$3="","",IF(COUNTIFS(Base!$A$3:$A$5001,J$3,Base!$B$3:$B$5001,$A$5,Base!$AB$3:$AB$5001,"&lt;&gt;")=0,"",SUMIFS(Base!$AB$3:$AB$5001,Base!$A$3:$A$5001,J$3,Base!$B$3:$B$5001,$A$5)))</f>
        <v/>
      </c>
      <c r="K19" s="96" t="str">
        <f>IF(K$3="","",IF(COUNTIFS(Base!$A$3:$A$5001,K$3,Base!$B$3:$B$5001,$A$5,Base!$AB$3:$AB$5001,"&lt;&gt;")=0,"",SUMIFS(Base!$AB$3:$AB$5001,Base!$A$3:$A$5001,K$3,Base!$B$3:$B$5001,$A$5)))</f>
        <v/>
      </c>
      <c r="L19" s="96" t="str">
        <f>IF(L$3="","",IF(COUNTIFS(Base!$A$3:$A$5001,L$3,Base!$B$3:$B$5001,$A$5,Base!$AB$3:$AB$5001,"&lt;&gt;")=0,"",SUMIFS(Base!$AB$3:$AB$5001,Base!$A$3:$A$5001,L$3,Base!$B$3:$B$5001,$A$5)))</f>
        <v/>
      </c>
      <c r="M19" s="96" t="str">
        <f>IF(M$3="","",IF(COUNTIFS(Base!$A$3:$A$5001,M$3,Base!$B$3:$B$5001,$A$5,Base!$AB$3:$AB$5001,"&lt;&gt;")=0,"",SUMIFS(Base!$AB$3:$AB$5001,Base!$A$3:$A$5001,M$3,Base!$B$3:$B$5001,$A$5)))</f>
        <v/>
      </c>
      <c r="N19" s="96" t="str">
        <f>IF(N$3="","",IF(COUNTIFS(Base!$A$3:$A$5001,N$3,Base!$B$3:$B$5001,$A$5,Base!$AB$3:$AB$5001,"&lt;&gt;")=0,"",SUMIFS(Base!$AB$3:$AB$5001,Base!$A$3:$A$5001,N$3,Base!$B$3:$B$5001,$A$5)))</f>
        <v/>
      </c>
      <c r="O19" s="96" t="str">
        <f>IF(O$3="","",IF(COUNTIFS(Base!$A$3:$A$5001,O$3,Base!$B$3:$B$5001,$A$5,Base!$AB$3:$AB$5001,"&lt;&gt;")=0,"",SUMIFS(Base!$AB$3:$AB$5001,Base!$A$3:$A$5001,O$3,Base!$B$3:$B$5001,$A$5)))</f>
        <v/>
      </c>
      <c r="P19" s="96" t="str">
        <f>IF(P$3="","",IF(COUNTIFS(Base!$A$3:$A$5001,P$3,Base!$B$3:$B$5001,$A$5,Base!$AB$3:$AB$5001,"&lt;&gt;")=0,"",SUMIFS(Base!$AB$3:$AB$5001,Base!$A$3:$A$5001,P$3,Base!$B$3:$B$5001,$A$5)))</f>
        <v/>
      </c>
      <c r="Q19" s="96" t="str">
        <f>IF(Q$3="","",IF(COUNTIFS(Base!$A$3:$A$5001,Q$3,Base!$B$3:$B$5001,$A$5,Base!$AB$3:$AB$5001,"&lt;&gt;")=0,"",SUMIFS(Base!$AB$3:$AB$5001,Base!$A$3:$A$5001,Q$3,Base!$B$3:$B$5001,$A$5)))</f>
        <v/>
      </c>
      <c r="R19" s="96" t="str">
        <f>IF(R$3="","",IF(COUNTIFS(Base!$A$3:$A$5001,R$3,Base!$B$3:$B$5001,$A$5,Base!$AB$3:$AB$5001,"&lt;&gt;")=0,"",SUMIFS(Base!$AB$3:$AB$5001,Base!$A$3:$A$5001,R$3,Base!$B$3:$B$5001,$A$5)))</f>
        <v/>
      </c>
      <c r="S19" s="96" t="str">
        <f>IF(S$3="","",IF(COUNTIFS(Base!$A$3:$A$5001,S$3,Base!$B$3:$B$5001,$A$5,Base!$AB$3:$AB$5001,"&lt;&gt;")=0,"",SUMIFS(Base!$AB$3:$AB$5001,Base!$A$3:$A$5001,S$3,Base!$B$3:$B$5001,$A$5)))</f>
        <v/>
      </c>
      <c r="T19" s="96" t="str">
        <f>IF(T$3="","",IF(COUNTIFS(Base!$A$3:$A$5001,T$3,Base!$B$3:$B$5001,$A$5,Base!$AB$3:$AB$5001,"&lt;&gt;")=0,"",SUMIFS(Base!$AB$3:$AB$5001,Base!$A$3:$A$5001,T$3,Base!$B$3:$B$5001,$A$5)))</f>
        <v/>
      </c>
      <c r="U19" s="96" t="str">
        <f>IF(U$3="","",IF(COUNTIFS(Base!$A$3:$A$5001,U$3,Base!$B$3:$B$5001,$A$5,Base!$AB$3:$AB$5001,"&lt;&gt;")=0,"",SUMIFS(Base!$AB$3:$AB$5001,Base!$A$3:$A$5001,U$3,Base!$B$3:$B$5001,$A$5)))</f>
        <v/>
      </c>
      <c r="V19" s="96" t="str">
        <f>IF(V$3="","",IF(COUNTIFS(Base!$A$3:$A$5001,V$3,Base!$B$3:$B$5001,$A$5,Base!$AB$3:$AB$5001,"&lt;&gt;")=0,"",SUMIFS(Base!$AB$3:$AB$5001,Base!$A$3:$A$5001,V$3,Base!$B$3:$B$5001,$A$5)))</f>
        <v/>
      </c>
      <c r="W19" s="96" t="str">
        <f>IF(W$3="","",IF(COUNTIFS(Base!$A$3:$A$5001,W$3,Base!$B$3:$B$5001,$A$5,Base!$AB$3:$AB$5001,"&lt;&gt;")=0,"",SUMIFS(Base!$AB$3:$AB$5001,Base!$A$3:$A$5001,W$3,Base!$B$3:$B$5001,$A$5)))</f>
        <v/>
      </c>
      <c r="X19" s="96" t="str">
        <f>IF(X$3="","",IF(COUNTIFS(Base!$A$3:$A$5001,X$3,Base!$B$3:$B$5001,$A$5,Base!$AB$3:$AB$5001,"&lt;&gt;")=0,"",SUMIFS(Base!$AB$3:$AB$5001,Base!$A$3:$A$5001,X$3,Base!$B$3:$B$5001,$A$5)))</f>
        <v/>
      </c>
      <c r="Y19" s="96" t="str">
        <f>IF(Y$3="","",IF(COUNTIFS(Base!$A$3:$A$5001,Y$3,Base!$B$3:$B$5001,$A$5,Base!$AB$3:$AB$5001,"&lt;&gt;")=0,"",SUMIFS(Base!$AB$3:$AB$5001,Base!$A$3:$A$5001,Y$3,Base!$B$3:$B$5001,$A$5)))</f>
        <v/>
      </c>
      <c r="Z19" s="96" t="str">
        <f>IF(Z$3="","",IF(COUNTIFS(Base!$A$3:$A$5001,Z$3,Base!$B$3:$B$5001,$A$5,Base!$AB$3:$AB$5001,"&lt;&gt;")=0,"",SUMIFS(Base!$AB$3:$AB$5001,Base!$A$3:$A$5001,Z$3,Base!$B$3:$B$5001,$A$5)))</f>
        <v/>
      </c>
      <c r="AA19" s="96" t="str">
        <f>IF(AA$3="","",IF(COUNTIFS(Base!$A$3:$A$5001,AA$3,Base!$B$3:$B$5001,$A$5,Base!$AB$3:$AB$5001,"&lt;&gt;")=0,"",SUMIFS(Base!$AB$3:$AB$5001,Base!$A$3:$A$5001,AA$3,Base!$B$3:$B$5001,$A$5)))</f>
        <v/>
      </c>
      <c r="AB19" s="96" t="str">
        <f>IF(AB$3="","",IF(COUNTIFS(Base!$A$3:$A$5001,AB$3,Base!$B$3:$B$5001,$A$5,Base!$AB$3:$AB$5001,"&lt;&gt;")=0,"",SUMIFS(Base!$AB$3:$AB$5001,Base!$A$3:$A$5001,AB$3,Base!$B$3:$B$5001,$A$5)))</f>
        <v/>
      </c>
      <c r="AC19" s="96" t="str">
        <f>IF(AC$3="","",IF(COUNTIFS(Base!$A$3:$A$5001,AC$3,Base!$B$3:$B$5001,$A$5,Base!$AB$3:$AB$5001,"&lt;&gt;")=0,"",SUMIFS(Base!$AB$3:$AB$5001,Base!$A$3:$A$5001,AC$3,Base!$B$3:$B$5001,$A$5)))</f>
        <v/>
      </c>
      <c r="AD19" s="96" t="str">
        <f>IF(AD$3="","",IF(COUNTIFS(Base!$A$3:$A$5001,AD$3,Base!$B$3:$B$5001,$A$5,Base!$AB$3:$AB$5001,"&lt;&gt;")=0,"",SUMIFS(Base!$AB$3:$AB$5001,Base!$A$3:$A$5001,AD$3,Base!$B$3:$B$5001,$A$5)))</f>
        <v/>
      </c>
      <c r="AE19" s="96">
        <f>IF(AE$3="","",IF(COUNTIFS(Base!$A$3:$A$5001,AE$3,Base!$B$3:$B$5001,$A$5,Base!$AB$3:$AB$5001,"&lt;&gt;")=0,"",SUMIFS(Base!$AB$3:$AB$5001,Base!$A$3:$A$5001,AE$3,Base!$B$3:$B$5001,$A$5)))</f>
        <v>1</v>
      </c>
      <c r="AF19" s="96" t="str">
        <f>IF(AF$3="","",IF(COUNTIFS(Base!$A$3:$A$5001,AF$3,Base!$B$3:$B$5001,$A$5,Base!$AB$3:$AB$5001,"&lt;&gt;")=0,"",SUMIFS(Base!$AB$3:$AB$5001,Base!$A$3:$A$5001,AF$3,Base!$B$3:$B$5001,$A$5)))</f>
        <v/>
      </c>
      <c r="AG19" s="96" t="str">
        <f>IF(AG$3="","",IF(COUNTIFS(Base!$A$3:$A$5001,AG$3,Base!$B$3:$B$5001,$A$5,Base!$AB$3:$AB$5001,"&lt;&gt;")=0,"",SUMIFS(Base!$AB$3:$AB$5001,Base!$A$3:$A$5001,AG$3,Base!$B$3:$B$5001,$A$5)))</f>
        <v/>
      </c>
      <c r="AH19" s="96" t="str">
        <f>IF(AH$3="","",IF(COUNTIFS(Base!$A$3:$A$5001,AH$3,Base!$B$3:$B$5001,$A$5,Base!$AB$3:$AB$5001,"&lt;&gt;")=0,"",SUMIFS(Base!$AB$3:$AB$5001,Base!$A$3:$A$5001,AH$3,Base!$B$3:$B$5001,$A$5)))</f>
        <v/>
      </c>
      <c r="AI19" s="96" t="str">
        <f>IF(AI$3="","",IF(COUNTIFS(Base!$A$3:$A$5001,AI$3,Base!$B$3:$B$5001,$A$5,Base!$AB$3:$AB$5001,"&lt;&gt;")=0,"",SUMIFS(Base!$AB$3:$AB$5001,Base!$A$3:$A$5001,AI$3,Base!$B$3:$B$5001,$A$5)))</f>
        <v/>
      </c>
      <c r="AJ19" s="97" t="str">
        <f>IF(AJ$3="","",IF(COUNTIFS(Base!$A$3:$A$5001,AJ$3,Base!$B$3:$B$5001,$A$5,Base!$AB$3:$AB$5001,"&lt;&gt;")=0,"",SUMIFS(Base!$AB$3:$AB$5001,Base!$A$3:$A$5001,AJ$3,Base!$B$3:$B$5001,$A$5)))</f>
        <v/>
      </c>
      <c r="AK19" s="98">
        <f>IF(COUNT(F19:AJ19)=0,"",SUM(F19:AJ19))</f>
        <v>1</v>
      </c>
    </row>
    <row r="20" ht="15.75" customHeight="1">
      <c r="A20" s="118"/>
      <c r="B20" s="115"/>
      <c r="C20" s="92" t="inlineStr">
        <is>
          <t xml:space="preserve">Férias</t>
        </is>
      </c>
      <c r="D20" s="93" t="str">
        <f>IFERROR(1/(1/INDEX(calculos!$C$55:$K$83,MATCH("Férias",calculos!$A$55:$A$83,0),MATCH($A$5,calculos!$C$54:$K$54,0))),"")</f>
        <v/>
      </c>
      <c r="E20" s="94"/>
      <c r="F20" s="95" t="str">
        <f>IF(F$3="","",IF(COUNTIFS(Base!$A$3:$A$5001,F$3,Base!$B$3:$B$5001,$A$5,Base!$AC$3:$AC$5001,"&lt;&gt;")=0,"",SUMIFS(Base!$AC$3:$AC$5001,Base!$A$3:$A$5001,F$3,Base!$B$3:$B$5001,$A$5)))</f>
        <v/>
      </c>
      <c r="G20" s="96" t="str">
        <f>IF(G$3="","",IF(COUNTIFS(Base!$A$3:$A$5001,G$3,Base!$B$3:$B$5001,$A$5,Base!$AC$3:$AC$5001,"&lt;&gt;")=0,"",SUMIFS(Base!$AC$3:$AC$5001,Base!$A$3:$A$5001,G$3,Base!$B$3:$B$5001,$A$5)))</f>
        <v/>
      </c>
      <c r="H20" s="96">
        <f>IF(H$3="","",IF(COUNTIFS(Base!$A$3:$A$5001,H$3,Base!$B$3:$B$5001,$A$5,Base!$AC$3:$AC$5001,"&lt;&gt;")=0,"",SUMIFS(Base!$AC$3:$AC$5001,Base!$A$3:$A$5001,H$3,Base!$B$3:$B$5001,$A$5)))</f>
        <v>1</v>
      </c>
      <c r="I20" s="96" t="str">
        <f>IF(I$3="","",IF(COUNTIFS(Base!$A$3:$A$5001,I$3,Base!$B$3:$B$5001,$A$5,Base!$AC$3:$AC$5001,"&lt;&gt;")=0,"",SUMIFS(Base!$AC$3:$AC$5001,Base!$A$3:$A$5001,I$3,Base!$B$3:$B$5001,$A$5)))</f>
        <v/>
      </c>
      <c r="J20" s="96" t="str">
        <f>IF(J$3="","",IF(COUNTIFS(Base!$A$3:$A$5001,J$3,Base!$B$3:$B$5001,$A$5,Base!$AC$3:$AC$5001,"&lt;&gt;")=0,"",SUMIFS(Base!$AC$3:$AC$5001,Base!$A$3:$A$5001,J$3,Base!$B$3:$B$5001,$A$5)))</f>
        <v/>
      </c>
      <c r="K20" s="96" t="str">
        <f>IF(K$3="","",IF(COUNTIFS(Base!$A$3:$A$5001,K$3,Base!$B$3:$B$5001,$A$5,Base!$AC$3:$AC$5001,"&lt;&gt;")=0,"",SUMIFS(Base!$AC$3:$AC$5001,Base!$A$3:$A$5001,K$3,Base!$B$3:$B$5001,$A$5)))</f>
        <v/>
      </c>
      <c r="L20" s="96" t="str">
        <f>IF(L$3="","",IF(COUNTIFS(Base!$A$3:$A$5001,L$3,Base!$B$3:$B$5001,$A$5,Base!$AC$3:$AC$5001,"&lt;&gt;")=0,"",SUMIFS(Base!$AC$3:$AC$5001,Base!$A$3:$A$5001,L$3,Base!$B$3:$B$5001,$A$5)))</f>
        <v/>
      </c>
      <c r="M20" s="96" t="str">
        <f>IF(M$3="","",IF(COUNTIFS(Base!$A$3:$A$5001,M$3,Base!$B$3:$B$5001,$A$5,Base!$AC$3:$AC$5001,"&lt;&gt;")=0,"",SUMIFS(Base!$AC$3:$AC$5001,Base!$A$3:$A$5001,M$3,Base!$B$3:$B$5001,$A$5)))</f>
        <v/>
      </c>
      <c r="N20" s="96" t="str">
        <f>IF(N$3="","",IF(COUNTIFS(Base!$A$3:$A$5001,N$3,Base!$B$3:$B$5001,$A$5,Base!$AC$3:$AC$5001,"&lt;&gt;")=0,"",SUMIFS(Base!$AC$3:$AC$5001,Base!$A$3:$A$5001,N$3,Base!$B$3:$B$5001,$A$5)))</f>
        <v/>
      </c>
      <c r="O20" s="96" t="str">
        <f>IF(O$3="","",IF(COUNTIFS(Base!$A$3:$A$5001,O$3,Base!$B$3:$B$5001,$A$5,Base!$AC$3:$AC$5001,"&lt;&gt;")=0,"",SUMIFS(Base!$AC$3:$AC$5001,Base!$A$3:$A$5001,O$3,Base!$B$3:$B$5001,$A$5)))</f>
        <v/>
      </c>
      <c r="P20" s="96" t="str">
        <f>IF(P$3="","",IF(COUNTIFS(Base!$A$3:$A$5001,P$3,Base!$B$3:$B$5001,$A$5,Base!$AC$3:$AC$5001,"&lt;&gt;")=0,"",SUMIFS(Base!$AC$3:$AC$5001,Base!$A$3:$A$5001,P$3,Base!$B$3:$B$5001,$A$5)))</f>
        <v/>
      </c>
      <c r="Q20" s="96" t="str">
        <f>IF(Q$3="","",IF(COUNTIFS(Base!$A$3:$A$5001,Q$3,Base!$B$3:$B$5001,$A$5,Base!$AC$3:$AC$5001,"&lt;&gt;")=0,"",SUMIFS(Base!$AC$3:$AC$5001,Base!$A$3:$A$5001,Q$3,Base!$B$3:$B$5001,$A$5)))</f>
        <v/>
      </c>
      <c r="R20" s="96" t="str">
        <f>IF(R$3="","",IF(COUNTIFS(Base!$A$3:$A$5001,R$3,Base!$B$3:$B$5001,$A$5,Base!$AC$3:$AC$5001,"&lt;&gt;")=0,"",SUMIFS(Base!$AC$3:$AC$5001,Base!$A$3:$A$5001,R$3,Base!$B$3:$B$5001,$A$5)))</f>
        <v/>
      </c>
      <c r="S20" s="96" t="str">
        <f>IF(S$3="","",IF(COUNTIFS(Base!$A$3:$A$5001,S$3,Base!$B$3:$B$5001,$A$5,Base!$AC$3:$AC$5001,"&lt;&gt;")=0,"",SUMIFS(Base!$AC$3:$AC$5001,Base!$A$3:$A$5001,S$3,Base!$B$3:$B$5001,$A$5)))</f>
        <v/>
      </c>
      <c r="T20" s="96" t="str">
        <f>IF(T$3="","",IF(COUNTIFS(Base!$A$3:$A$5001,T$3,Base!$B$3:$B$5001,$A$5,Base!$AC$3:$AC$5001,"&lt;&gt;")=0,"",SUMIFS(Base!$AC$3:$AC$5001,Base!$A$3:$A$5001,T$3,Base!$B$3:$B$5001,$A$5)))</f>
        <v/>
      </c>
      <c r="U20" s="96" t="str">
        <f>IF(U$3="","",IF(COUNTIFS(Base!$A$3:$A$5001,U$3,Base!$B$3:$B$5001,$A$5,Base!$AC$3:$AC$5001,"&lt;&gt;")=0,"",SUMIFS(Base!$AC$3:$AC$5001,Base!$A$3:$A$5001,U$3,Base!$B$3:$B$5001,$A$5)))</f>
        <v/>
      </c>
      <c r="V20" s="96">
        <f>IF(V$3="","",IF(COUNTIFS(Base!$A$3:$A$5001,V$3,Base!$B$3:$B$5001,$A$5,Base!$AC$3:$AC$5001,"&lt;&gt;")=0,"",SUMIFS(Base!$AC$3:$AC$5001,Base!$A$3:$A$5001,V$3,Base!$B$3:$B$5001,$A$5)))</f>
        <v>1</v>
      </c>
      <c r="W20" s="96" t="str">
        <f>IF(W$3="","",IF(COUNTIFS(Base!$A$3:$A$5001,W$3,Base!$B$3:$B$5001,$A$5,Base!$AC$3:$AC$5001,"&lt;&gt;")=0,"",SUMIFS(Base!$AC$3:$AC$5001,Base!$A$3:$A$5001,W$3,Base!$B$3:$B$5001,$A$5)))</f>
        <v/>
      </c>
      <c r="X20" s="96" t="str">
        <f>IF(X$3="","",IF(COUNTIFS(Base!$A$3:$A$5001,X$3,Base!$B$3:$B$5001,$A$5,Base!$AC$3:$AC$5001,"&lt;&gt;")=0,"",SUMIFS(Base!$AC$3:$AC$5001,Base!$A$3:$A$5001,X$3,Base!$B$3:$B$5001,$A$5)))</f>
        <v/>
      </c>
      <c r="Y20" s="96" t="str">
        <f>IF(Y$3="","",IF(COUNTIFS(Base!$A$3:$A$5001,Y$3,Base!$B$3:$B$5001,$A$5,Base!$AC$3:$AC$5001,"&lt;&gt;")=0,"",SUMIFS(Base!$AC$3:$AC$5001,Base!$A$3:$A$5001,Y$3,Base!$B$3:$B$5001,$A$5)))</f>
        <v/>
      </c>
      <c r="Z20" s="96" t="str">
        <f>IF(Z$3="","",IF(COUNTIFS(Base!$A$3:$A$5001,Z$3,Base!$B$3:$B$5001,$A$5,Base!$AC$3:$AC$5001,"&lt;&gt;")=0,"",SUMIFS(Base!$AC$3:$AC$5001,Base!$A$3:$A$5001,Z$3,Base!$B$3:$B$5001,$A$5)))</f>
        <v/>
      </c>
      <c r="AA20" s="96" t="str">
        <f>IF(AA$3="","",IF(COUNTIFS(Base!$A$3:$A$5001,AA$3,Base!$B$3:$B$5001,$A$5,Base!$AC$3:$AC$5001,"&lt;&gt;")=0,"",SUMIFS(Base!$AC$3:$AC$5001,Base!$A$3:$A$5001,AA$3,Base!$B$3:$B$5001,$A$5)))</f>
        <v/>
      </c>
      <c r="AB20" s="96" t="str">
        <f>IF(AB$3="","",IF(COUNTIFS(Base!$A$3:$A$5001,AB$3,Base!$B$3:$B$5001,$A$5,Base!$AC$3:$AC$5001,"&lt;&gt;")=0,"",SUMIFS(Base!$AC$3:$AC$5001,Base!$A$3:$A$5001,AB$3,Base!$B$3:$B$5001,$A$5)))</f>
        <v/>
      </c>
      <c r="AC20" s="96" t="str">
        <f>IF(AC$3="","",IF(COUNTIFS(Base!$A$3:$A$5001,AC$3,Base!$B$3:$B$5001,$A$5,Base!$AC$3:$AC$5001,"&lt;&gt;")=0,"",SUMIFS(Base!$AC$3:$AC$5001,Base!$A$3:$A$5001,AC$3,Base!$B$3:$B$5001,$A$5)))</f>
        <v/>
      </c>
      <c r="AD20" s="96" t="str">
        <f>IF(AD$3="","",IF(COUNTIFS(Base!$A$3:$A$5001,AD$3,Base!$B$3:$B$5001,$A$5,Base!$AC$3:$AC$5001,"&lt;&gt;")=0,"",SUMIFS(Base!$AC$3:$AC$5001,Base!$A$3:$A$5001,AD$3,Base!$B$3:$B$5001,$A$5)))</f>
        <v/>
      </c>
      <c r="AE20" s="96" t="str">
        <f>IF(AE$3="","",IF(COUNTIFS(Base!$A$3:$A$5001,AE$3,Base!$B$3:$B$5001,$A$5,Base!$AC$3:$AC$5001,"&lt;&gt;")=0,"",SUMIFS(Base!$AC$3:$AC$5001,Base!$A$3:$A$5001,AE$3,Base!$B$3:$B$5001,$A$5)))</f>
        <v/>
      </c>
      <c r="AF20" s="96" t="str">
        <f>IF(AF$3="","",IF(COUNTIFS(Base!$A$3:$A$5001,AF$3,Base!$B$3:$B$5001,$A$5,Base!$AC$3:$AC$5001,"&lt;&gt;")=0,"",SUMIFS(Base!$AC$3:$AC$5001,Base!$A$3:$A$5001,AF$3,Base!$B$3:$B$5001,$A$5)))</f>
        <v/>
      </c>
      <c r="AG20" s="96" t="str">
        <f>IF(AG$3="","",IF(COUNTIFS(Base!$A$3:$A$5001,AG$3,Base!$B$3:$B$5001,$A$5,Base!$AC$3:$AC$5001,"&lt;&gt;")=0,"",SUMIFS(Base!$AC$3:$AC$5001,Base!$A$3:$A$5001,AG$3,Base!$B$3:$B$5001,$A$5)))</f>
        <v/>
      </c>
      <c r="AH20" s="96" t="str">
        <f>IF(AH$3="","",IF(COUNTIFS(Base!$A$3:$A$5001,AH$3,Base!$B$3:$B$5001,$A$5,Base!$AC$3:$AC$5001,"&lt;&gt;")=0,"",SUMIFS(Base!$AC$3:$AC$5001,Base!$A$3:$A$5001,AH$3,Base!$B$3:$B$5001,$A$5)))</f>
        <v/>
      </c>
      <c r="AI20" s="96" t="str">
        <f>IF(AI$3="","",IF(COUNTIFS(Base!$A$3:$A$5001,AI$3,Base!$B$3:$B$5001,$A$5,Base!$AC$3:$AC$5001,"&lt;&gt;")=0,"",SUMIFS(Base!$AC$3:$AC$5001,Base!$A$3:$A$5001,AI$3,Base!$B$3:$B$5001,$A$5)))</f>
        <v/>
      </c>
      <c r="AJ20" s="97" t="str">
        <f>IF(AJ$3="","",IF(COUNTIFS(Base!$A$3:$A$5001,AJ$3,Base!$B$3:$B$5001,$A$5,Base!$AC$3:$AC$5001,"&lt;&gt;")=0,"",SUMIFS(Base!$AC$3:$AC$5001,Base!$A$3:$A$5001,AJ$3,Base!$B$3:$B$5001,$A$5)))</f>
        <v/>
      </c>
      <c r="AK20" s="98">
        <f>IF(COUNT(F20:AJ20)=0,"",SUM(F20:AJ20))</f>
        <v>2</v>
      </c>
    </row>
    <row r="21" ht="15.75" customHeight="1">
      <c r="A21" s="119"/>
      <c r="B21" s="116"/>
      <c r="C21" s="99" t="inlineStr">
        <is>
          <t xml:space="preserve">Desligamentos</t>
        </is>
      </c>
      <c r="D21" s="100" t="str">
        <f>IFERROR(1/(1/INDEX(calculos!$C$55:$K$83,MATCH("Desligamentos",calculos!$A$55:$A$83,0),MATCH($A$5,calculos!$C$54:$K$54,0))),"")</f>
        <v/>
      </c>
      <c r="E21" s="101"/>
      <c r="F21" s="102" t="str">
        <f>IF(F$3="","",IF(COUNTIFS(Base!$A$3:$A$5001,F$3,Base!$B$3:$B$5001,$A$5,Base!$AD$3:$AD$5001,"&lt;&gt;")=0,"",SUMIFS(Base!$AD$3:$AD$5001,Base!$A$3:$A$5001,F$3,Base!$B$3:$B$5001,$A$5)))</f>
        <v/>
      </c>
      <c r="G21" s="103" t="str">
        <f>IF(G$3="","",IF(COUNTIFS(Base!$A$3:$A$5001,G$3,Base!$B$3:$B$5001,$A$5,Base!$AD$3:$AD$5001,"&lt;&gt;")=0,"",SUMIFS(Base!$AD$3:$AD$5001,Base!$A$3:$A$5001,G$3,Base!$B$3:$B$5001,$A$5)))</f>
        <v/>
      </c>
      <c r="H21" s="103" t="str">
        <f>IF(H$3="","",IF(COUNTIFS(Base!$A$3:$A$5001,H$3,Base!$B$3:$B$5001,$A$5,Base!$AD$3:$AD$5001,"&lt;&gt;")=0,"",SUMIFS(Base!$AD$3:$AD$5001,Base!$A$3:$A$5001,H$3,Base!$B$3:$B$5001,$A$5)))</f>
        <v/>
      </c>
      <c r="I21" s="103" t="str">
        <f>IF(I$3="","",IF(COUNTIFS(Base!$A$3:$A$5001,I$3,Base!$B$3:$B$5001,$A$5,Base!$AD$3:$AD$5001,"&lt;&gt;")=0,"",SUMIFS(Base!$AD$3:$AD$5001,Base!$A$3:$A$5001,I$3,Base!$B$3:$B$5001,$A$5)))</f>
        <v/>
      </c>
      <c r="J21" s="103" t="str">
        <f>IF(J$3="","",IF(COUNTIFS(Base!$A$3:$A$5001,J$3,Base!$B$3:$B$5001,$A$5,Base!$AD$3:$AD$5001,"&lt;&gt;")=0,"",SUMIFS(Base!$AD$3:$AD$5001,Base!$A$3:$A$5001,J$3,Base!$B$3:$B$5001,$A$5)))</f>
        <v/>
      </c>
      <c r="K21" s="103" t="str">
        <f>IF(K$3="","",IF(COUNTIFS(Base!$A$3:$A$5001,K$3,Base!$B$3:$B$5001,$A$5,Base!$AD$3:$AD$5001,"&lt;&gt;")=0,"",SUMIFS(Base!$AD$3:$AD$5001,Base!$A$3:$A$5001,K$3,Base!$B$3:$B$5001,$A$5)))</f>
        <v/>
      </c>
      <c r="L21" s="103" t="str">
        <f>IF(L$3="","",IF(COUNTIFS(Base!$A$3:$A$5001,L$3,Base!$B$3:$B$5001,$A$5,Base!$AD$3:$AD$5001,"&lt;&gt;")=0,"",SUMIFS(Base!$AD$3:$AD$5001,Base!$A$3:$A$5001,L$3,Base!$B$3:$B$5001,$A$5)))</f>
        <v/>
      </c>
      <c r="M21" s="103" t="str">
        <f>IF(M$3="","",IF(COUNTIFS(Base!$A$3:$A$5001,M$3,Base!$B$3:$B$5001,$A$5,Base!$AD$3:$AD$5001,"&lt;&gt;")=0,"",SUMIFS(Base!$AD$3:$AD$5001,Base!$A$3:$A$5001,M$3,Base!$B$3:$B$5001,$A$5)))</f>
        <v/>
      </c>
      <c r="N21" s="103" t="str">
        <f>IF(N$3="","",IF(COUNTIFS(Base!$A$3:$A$5001,N$3,Base!$B$3:$B$5001,$A$5,Base!$AD$3:$AD$5001,"&lt;&gt;")=0,"",SUMIFS(Base!$AD$3:$AD$5001,Base!$A$3:$A$5001,N$3,Base!$B$3:$B$5001,$A$5)))</f>
        <v/>
      </c>
      <c r="O21" s="103" t="str">
        <f>IF(O$3="","",IF(COUNTIFS(Base!$A$3:$A$5001,O$3,Base!$B$3:$B$5001,$A$5,Base!$AD$3:$AD$5001,"&lt;&gt;")=0,"",SUMIFS(Base!$AD$3:$AD$5001,Base!$A$3:$A$5001,O$3,Base!$B$3:$B$5001,$A$5)))</f>
        <v/>
      </c>
      <c r="P21" s="103" t="str">
        <f>IF(P$3="","",IF(COUNTIFS(Base!$A$3:$A$5001,P$3,Base!$B$3:$B$5001,$A$5,Base!$AD$3:$AD$5001,"&lt;&gt;")=0,"",SUMIFS(Base!$AD$3:$AD$5001,Base!$A$3:$A$5001,P$3,Base!$B$3:$B$5001,$A$5)))</f>
        <v/>
      </c>
      <c r="Q21" s="103" t="str">
        <f>IF(Q$3="","",IF(COUNTIFS(Base!$A$3:$A$5001,Q$3,Base!$B$3:$B$5001,$A$5,Base!$AD$3:$AD$5001,"&lt;&gt;")=0,"",SUMIFS(Base!$AD$3:$AD$5001,Base!$A$3:$A$5001,Q$3,Base!$B$3:$B$5001,$A$5)))</f>
        <v/>
      </c>
      <c r="R21" s="103" t="str">
        <f>IF(R$3="","",IF(COUNTIFS(Base!$A$3:$A$5001,R$3,Base!$B$3:$B$5001,$A$5,Base!$AD$3:$AD$5001,"&lt;&gt;")=0,"",SUMIFS(Base!$AD$3:$AD$5001,Base!$A$3:$A$5001,R$3,Base!$B$3:$B$5001,$A$5)))</f>
        <v/>
      </c>
      <c r="S21" s="103" t="str">
        <f>IF(S$3="","",IF(COUNTIFS(Base!$A$3:$A$5001,S$3,Base!$B$3:$B$5001,$A$5,Base!$AD$3:$AD$5001,"&lt;&gt;")=0,"",SUMIFS(Base!$AD$3:$AD$5001,Base!$A$3:$A$5001,S$3,Base!$B$3:$B$5001,$A$5)))</f>
        <v/>
      </c>
      <c r="T21" s="103" t="str">
        <f>IF(T$3="","",IF(COUNTIFS(Base!$A$3:$A$5001,T$3,Base!$B$3:$B$5001,$A$5,Base!$AD$3:$AD$5001,"&lt;&gt;")=0,"",SUMIFS(Base!$AD$3:$AD$5001,Base!$A$3:$A$5001,T$3,Base!$B$3:$B$5001,$A$5)))</f>
        <v/>
      </c>
      <c r="U21" s="103" t="str">
        <f>IF(U$3="","",IF(COUNTIFS(Base!$A$3:$A$5001,U$3,Base!$B$3:$B$5001,$A$5,Base!$AD$3:$AD$5001,"&lt;&gt;")=0,"",SUMIFS(Base!$AD$3:$AD$5001,Base!$A$3:$A$5001,U$3,Base!$B$3:$B$5001,$A$5)))</f>
        <v/>
      </c>
      <c r="V21" s="103" t="str">
        <f>IF(V$3="","",IF(COUNTIFS(Base!$A$3:$A$5001,V$3,Base!$B$3:$B$5001,$A$5,Base!$AD$3:$AD$5001,"&lt;&gt;")=0,"",SUMIFS(Base!$AD$3:$AD$5001,Base!$A$3:$A$5001,V$3,Base!$B$3:$B$5001,$A$5)))</f>
        <v/>
      </c>
      <c r="W21" s="103" t="str">
        <f>IF(W$3="","",IF(COUNTIFS(Base!$A$3:$A$5001,W$3,Base!$B$3:$B$5001,$A$5,Base!$AD$3:$AD$5001,"&lt;&gt;")=0,"",SUMIFS(Base!$AD$3:$AD$5001,Base!$A$3:$A$5001,W$3,Base!$B$3:$B$5001,$A$5)))</f>
        <v/>
      </c>
      <c r="X21" s="103" t="str">
        <f>IF(X$3="","",IF(COUNTIFS(Base!$A$3:$A$5001,X$3,Base!$B$3:$B$5001,$A$5,Base!$AD$3:$AD$5001,"&lt;&gt;")=0,"",SUMIFS(Base!$AD$3:$AD$5001,Base!$A$3:$A$5001,X$3,Base!$B$3:$B$5001,$A$5)))</f>
        <v/>
      </c>
      <c r="Y21" s="103" t="str">
        <f>IF(Y$3="","",IF(COUNTIFS(Base!$A$3:$A$5001,Y$3,Base!$B$3:$B$5001,$A$5,Base!$AD$3:$AD$5001,"&lt;&gt;")=0,"",SUMIFS(Base!$AD$3:$AD$5001,Base!$A$3:$A$5001,Y$3,Base!$B$3:$B$5001,$A$5)))</f>
        <v/>
      </c>
      <c r="Z21" s="103" t="str">
        <f>IF(Z$3="","",IF(COUNTIFS(Base!$A$3:$A$5001,Z$3,Base!$B$3:$B$5001,$A$5,Base!$AD$3:$AD$5001,"&lt;&gt;")=0,"",SUMIFS(Base!$AD$3:$AD$5001,Base!$A$3:$A$5001,Z$3,Base!$B$3:$B$5001,$A$5)))</f>
        <v/>
      </c>
      <c r="AA21" s="103" t="str">
        <f>IF(AA$3="","",IF(COUNTIFS(Base!$A$3:$A$5001,AA$3,Base!$B$3:$B$5001,$A$5,Base!$AD$3:$AD$5001,"&lt;&gt;")=0,"",SUMIFS(Base!$AD$3:$AD$5001,Base!$A$3:$A$5001,AA$3,Base!$B$3:$B$5001,$A$5)))</f>
        <v/>
      </c>
      <c r="AB21" s="103" t="str">
        <f>IF(AB$3="","",IF(COUNTIFS(Base!$A$3:$A$5001,AB$3,Base!$B$3:$B$5001,$A$5,Base!$AD$3:$AD$5001,"&lt;&gt;")=0,"",SUMIFS(Base!$AD$3:$AD$5001,Base!$A$3:$A$5001,AB$3,Base!$B$3:$B$5001,$A$5)))</f>
        <v/>
      </c>
      <c r="AC21" s="103" t="str">
        <f>IF(AC$3="","",IF(COUNTIFS(Base!$A$3:$A$5001,AC$3,Base!$B$3:$B$5001,$A$5,Base!$AD$3:$AD$5001,"&lt;&gt;")=0,"",SUMIFS(Base!$AD$3:$AD$5001,Base!$A$3:$A$5001,AC$3,Base!$B$3:$B$5001,$A$5)))</f>
        <v/>
      </c>
      <c r="AD21" s="103" t="str">
        <f>IF(AD$3="","",IF(COUNTIFS(Base!$A$3:$A$5001,AD$3,Base!$B$3:$B$5001,$A$5,Base!$AD$3:$AD$5001,"&lt;&gt;")=0,"",SUMIFS(Base!$AD$3:$AD$5001,Base!$A$3:$A$5001,AD$3,Base!$B$3:$B$5001,$A$5)))</f>
        <v/>
      </c>
      <c r="AE21" s="103" t="str">
        <f>IF(AE$3="","",IF(COUNTIFS(Base!$A$3:$A$5001,AE$3,Base!$B$3:$B$5001,$A$5,Base!$AD$3:$AD$5001,"&lt;&gt;")=0,"",SUMIFS(Base!$AD$3:$AD$5001,Base!$A$3:$A$5001,AE$3,Base!$B$3:$B$5001,$A$5)))</f>
        <v/>
      </c>
      <c r="AF21" s="103" t="str">
        <f>IF(AF$3="","",IF(COUNTIFS(Base!$A$3:$A$5001,AF$3,Base!$B$3:$B$5001,$A$5,Base!$AD$3:$AD$5001,"&lt;&gt;")=0,"",SUMIFS(Base!$AD$3:$AD$5001,Base!$A$3:$A$5001,AF$3,Base!$B$3:$B$5001,$A$5)))</f>
        <v/>
      </c>
      <c r="AG21" s="103" t="str">
        <f>IF(AG$3="","",IF(COUNTIFS(Base!$A$3:$A$5001,AG$3,Base!$B$3:$B$5001,$A$5,Base!$AD$3:$AD$5001,"&lt;&gt;")=0,"",SUMIFS(Base!$AD$3:$AD$5001,Base!$A$3:$A$5001,AG$3,Base!$B$3:$B$5001,$A$5)))</f>
        <v/>
      </c>
      <c r="AH21" s="103" t="str">
        <f>IF(AH$3="","",IF(COUNTIFS(Base!$A$3:$A$5001,AH$3,Base!$B$3:$B$5001,$A$5,Base!$AD$3:$AD$5001,"&lt;&gt;")=0,"",SUMIFS(Base!$AD$3:$AD$5001,Base!$A$3:$A$5001,AH$3,Base!$B$3:$B$5001,$A$5)))</f>
        <v/>
      </c>
      <c r="AI21" s="103" t="str">
        <f>IF(AI$3="","",IF(COUNTIFS(Base!$A$3:$A$5001,AI$3,Base!$B$3:$B$5001,$A$5,Base!$AD$3:$AD$5001,"&lt;&gt;")=0,"",SUMIFS(Base!$AD$3:$AD$5001,Base!$A$3:$A$5001,AI$3,Base!$B$3:$B$5001,$A$5)))</f>
        <v/>
      </c>
      <c r="AJ21" s="104" t="str">
        <f>IF(AJ$3="","",IF(COUNTIFS(Base!$A$3:$A$5001,AJ$3,Base!$B$3:$B$5001,$A$5,Base!$AD$3:$AD$5001,"&lt;&gt;")=0,"",SUMIFS(Base!$AD$3:$AD$5001,Base!$A$3:$A$5001,AJ$3,Base!$B$3:$B$5001,$A$5)))</f>
        <v/>
      </c>
      <c r="AK21" s="100" t="str">
        <f>IF(COUNT(F21:AJ21)=0,"",SUM(F21:AJ21))</f>
        <v/>
      </c>
    </row>
    <row r="23" ht="15.75" customHeight="1">
      <c r="A23" s="117" t="inlineStr">
        <is>
          <t xml:space="preserve">BEAUTYBIZ</t>
        </is>
      </c>
      <c r="B23" s="105" t="inlineStr">
        <is>
          <t xml:space="preserve">IN</t>
        </is>
      </c>
      <c r="C23" s="21" t="inlineStr">
        <is>
          <t xml:space="preserve">Veículos Recebidos</t>
        </is>
      </c>
      <c r="D23" s="22" t="str">
        <f>IFERROR(1/(1/INDEX(calculos!$C$55:$K$83,MATCH("IN Veículos Recebidos",calculos!$A$55:$A$83,0),MATCH($A$23,calculos!$C$54:$K$54,0))),"")</f>
        <v/>
      </c>
      <c r="E23" s="23"/>
      <c r="F23" s="24">
        <f>IF(F$3="","",IF(COUNTIFS(Base!$A$3:$A$5001,F$3,Base!$B$3:$B$5001,$A$23,Base!$C$3:$C$5001,"&lt;&gt;")=0,"",SUMIFS(Base!$C$3:$C$5001,Base!$A$3:$A$5001,F$3,Base!$B$3:$B$5001,$A$23)))</f>
        <v>5</v>
      </c>
      <c r="G23" s="25">
        <f>IF(G$3="","",IF(COUNTIFS(Base!$A$3:$A$5001,G$3,Base!$B$3:$B$5001,$A$23,Base!$C$3:$C$5001,"&lt;&gt;")=0,"",SUMIFS(Base!$C$3:$C$5001,Base!$A$3:$A$5001,G$3,Base!$B$3:$B$5001,$A$23)))</f>
        <v>5</v>
      </c>
      <c r="H23" s="25">
        <f>IF(H$3="","",IF(COUNTIFS(Base!$A$3:$A$5001,H$3,Base!$B$3:$B$5001,$A$23,Base!$C$3:$C$5001,"&lt;&gt;")=0,"",SUMIFS(Base!$C$3:$C$5001,Base!$A$3:$A$5001,H$3,Base!$B$3:$B$5001,$A$23)))</f>
        <v>2</v>
      </c>
      <c r="I23" s="25">
        <f>IF(I$3="","",IF(COUNTIFS(Base!$A$3:$A$5001,I$3,Base!$B$3:$B$5001,$A$23,Base!$C$3:$C$5001,"&lt;&gt;")=0,"",SUMIFS(Base!$C$3:$C$5001,Base!$A$3:$A$5001,I$3,Base!$B$3:$B$5001,$A$23)))</f>
        <v>2</v>
      </c>
      <c r="J23" s="25">
        <f>IF(J$3="","",IF(COUNTIFS(Base!$A$3:$A$5001,J$3,Base!$B$3:$B$5001,$A$23,Base!$C$3:$C$5001,"&lt;&gt;")=0,"",SUMIFS(Base!$C$3:$C$5001,Base!$A$3:$A$5001,J$3,Base!$B$3:$B$5001,$A$23)))</f>
        <v>3</v>
      </c>
      <c r="K23" s="25" t="str">
        <f>IF(K$3="","",IF(COUNTIFS(Base!$A$3:$A$5001,K$3,Base!$B$3:$B$5001,$A$23,Base!$C$3:$C$5001,"&lt;&gt;")=0,"",SUMIFS(Base!$C$3:$C$5001,Base!$A$3:$A$5001,K$3,Base!$B$3:$B$5001,$A$23)))</f>
        <v/>
      </c>
      <c r="L23" s="25">
        <f>IF(L$3="","",IF(COUNTIFS(Base!$A$3:$A$5001,L$3,Base!$B$3:$B$5001,$A$23,Base!$C$3:$C$5001,"&lt;&gt;")=0,"",SUMIFS(Base!$C$3:$C$5001,Base!$A$3:$A$5001,L$3,Base!$B$3:$B$5001,$A$23)))</f>
        <v>5</v>
      </c>
      <c r="M23" s="25">
        <f>IF(M$3="","",IF(COUNTIFS(Base!$A$3:$A$5001,M$3,Base!$B$3:$B$5001,$A$23,Base!$C$3:$C$5001,"&lt;&gt;")=0,"",SUMIFS(Base!$C$3:$C$5001,Base!$A$3:$A$5001,M$3,Base!$B$3:$B$5001,$A$23)))</f>
        <v>3</v>
      </c>
      <c r="N23" s="25">
        <f>IF(N$3="","",IF(COUNTIFS(Base!$A$3:$A$5001,N$3,Base!$B$3:$B$5001,$A$23,Base!$C$3:$C$5001,"&lt;&gt;")=0,"",SUMIFS(Base!$C$3:$C$5001,Base!$A$3:$A$5001,N$3,Base!$B$3:$B$5001,$A$23)))</f>
        <v>3</v>
      </c>
      <c r="O23" s="25">
        <f>IF(O$3="","",IF(COUNTIFS(Base!$A$3:$A$5001,O$3,Base!$B$3:$B$5001,$A$23,Base!$C$3:$C$5001,"&lt;&gt;")=0,"",SUMIFS(Base!$C$3:$C$5001,Base!$A$3:$A$5001,O$3,Base!$B$3:$B$5001,$A$23)))</f>
        <v>3</v>
      </c>
      <c r="P23" s="25">
        <f>IF(P$3="","",IF(COUNTIFS(Base!$A$3:$A$5001,P$3,Base!$B$3:$B$5001,$A$23,Base!$C$3:$C$5001,"&lt;&gt;")=0,"",SUMIFS(Base!$C$3:$C$5001,Base!$A$3:$A$5001,P$3,Base!$B$3:$B$5001,$A$23)))</f>
        <v>3</v>
      </c>
      <c r="Q23" s="25">
        <f>IF(Q$3="","",IF(COUNTIFS(Base!$A$3:$A$5001,Q$3,Base!$B$3:$B$5001,$A$23,Base!$C$3:$C$5001,"&lt;&gt;")=0,"",SUMIFS(Base!$C$3:$C$5001,Base!$A$3:$A$5001,Q$3,Base!$B$3:$B$5001,$A$23)))</f>
        <v>6</v>
      </c>
      <c r="R23" s="25" t="str">
        <f>IF(R$3="","",IF(COUNTIFS(Base!$A$3:$A$5001,R$3,Base!$B$3:$B$5001,$A$23,Base!$C$3:$C$5001,"&lt;&gt;")=0,"",SUMIFS(Base!$C$3:$C$5001,Base!$A$3:$A$5001,R$3,Base!$B$3:$B$5001,$A$23)))</f>
        <v/>
      </c>
      <c r="S23" s="25">
        <f>IF(S$3="","",IF(COUNTIFS(Base!$A$3:$A$5001,S$3,Base!$B$3:$B$5001,$A$23,Base!$C$3:$C$5001,"&lt;&gt;")=0,"",SUMIFS(Base!$C$3:$C$5001,Base!$A$3:$A$5001,S$3,Base!$B$3:$B$5001,$A$23)))</f>
        <v>8</v>
      </c>
      <c r="T23" s="25">
        <f>IF(T$3="","",IF(COUNTIFS(Base!$A$3:$A$5001,T$3,Base!$B$3:$B$5001,$A$23,Base!$C$3:$C$5001,"&lt;&gt;")=0,"",SUMIFS(Base!$C$3:$C$5001,Base!$A$3:$A$5001,T$3,Base!$B$3:$B$5001,$A$23)))</f>
        <v>6</v>
      </c>
      <c r="U23" s="25">
        <f>IF(U$3="","",IF(COUNTIFS(Base!$A$3:$A$5001,U$3,Base!$B$3:$B$5001,$A$23,Base!$C$3:$C$5001,"&lt;&gt;")=0,"",SUMIFS(Base!$C$3:$C$5001,Base!$A$3:$A$5001,U$3,Base!$B$3:$B$5001,$A$23)))</f>
        <v>5</v>
      </c>
      <c r="V23" s="25">
        <f>IF(V$3="","",IF(COUNTIFS(Base!$A$3:$A$5001,V$3,Base!$B$3:$B$5001,$A$23,Base!$C$3:$C$5001,"&lt;&gt;")=0,"",SUMIFS(Base!$C$3:$C$5001,Base!$A$3:$A$5001,V$3,Base!$B$3:$B$5001,$A$23)))</f>
        <v>4</v>
      </c>
      <c r="W23" s="25">
        <f>IF(W$3="","",IF(COUNTIFS(Base!$A$3:$A$5001,W$3,Base!$B$3:$B$5001,$A$23,Base!$C$3:$C$5001,"&lt;&gt;")=0,"",SUMIFS(Base!$C$3:$C$5001,Base!$A$3:$A$5001,W$3,Base!$B$3:$B$5001,$A$23)))</f>
        <v>6</v>
      </c>
      <c r="X23" s="25">
        <f>IF(X$3="","",IF(COUNTIFS(Base!$A$3:$A$5001,X$3,Base!$B$3:$B$5001,$A$23,Base!$C$3:$C$5001,"&lt;&gt;")=0,"",SUMIFS(Base!$C$3:$C$5001,Base!$A$3:$A$5001,X$3,Base!$B$3:$B$5001,$A$23)))</f>
        <v>7</v>
      </c>
      <c r="Y23" s="25" t="str">
        <f>IF(Y$3="","",IF(COUNTIFS(Base!$A$3:$A$5001,Y$3,Base!$B$3:$B$5001,$A$23,Base!$C$3:$C$5001,"&lt;&gt;")=0,"",SUMIFS(Base!$C$3:$C$5001,Base!$A$3:$A$5001,Y$3,Base!$B$3:$B$5001,$A$23)))</f>
        <v/>
      </c>
      <c r="Z23" s="25">
        <f>IF(Z$3="","",IF(COUNTIFS(Base!$A$3:$A$5001,Z$3,Base!$B$3:$B$5001,$A$23,Base!$C$3:$C$5001,"&lt;&gt;")=0,"",SUMIFS(Base!$C$3:$C$5001,Base!$A$3:$A$5001,Z$3,Base!$B$3:$B$5001,$A$23)))</f>
        <v>7</v>
      </c>
      <c r="AA23" s="25">
        <f>IF(AA$3="","",IF(COUNTIFS(Base!$A$3:$A$5001,AA$3,Base!$B$3:$B$5001,$A$23,Base!$C$3:$C$5001,"&lt;&gt;")=0,"",SUMIFS(Base!$C$3:$C$5001,Base!$A$3:$A$5001,AA$3,Base!$B$3:$B$5001,$A$23)))</f>
        <v>8</v>
      </c>
      <c r="AB23" s="25">
        <f>IF(AB$3="","",IF(COUNTIFS(Base!$A$3:$A$5001,AB$3,Base!$B$3:$B$5001,$A$23,Base!$C$3:$C$5001,"&lt;&gt;")=0,"",SUMIFS(Base!$C$3:$C$5001,Base!$A$3:$A$5001,AB$3,Base!$B$3:$B$5001,$A$23)))</f>
        <v>3</v>
      </c>
      <c r="AC23" s="25">
        <f>IF(AC$3="","",IF(COUNTIFS(Base!$A$3:$A$5001,AC$3,Base!$B$3:$B$5001,$A$23,Base!$C$3:$C$5001,"&lt;&gt;")=0,"",SUMIFS(Base!$C$3:$C$5001,Base!$A$3:$A$5001,AC$3,Base!$B$3:$B$5001,$A$23)))</f>
        <v>3</v>
      </c>
      <c r="AD23" s="25">
        <f>IF(AD$3="","",IF(COUNTIFS(Base!$A$3:$A$5001,AD$3,Base!$B$3:$B$5001,$A$23,Base!$C$3:$C$5001,"&lt;&gt;")=0,"",SUMIFS(Base!$C$3:$C$5001,Base!$A$3:$A$5001,AD$3,Base!$B$3:$B$5001,$A$23)))</f>
        <v>6</v>
      </c>
      <c r="AE23" s="25">
        <f>IF(AE$3="","",IF(COUNTIFS(Base!$A$3:$A$5001,AE$3,Base!$B$3:$B$5001,$A$23,Base!$C$3:$C$5001,"&lt;&gt;")=0,"",SUMIFS(Base!$C$3:$C$5001,Base!$A$3:$A$5001,AE$3,Base!$B$3:$B$5001,$A$23)))</f>
        <v>6</v>
      </c>
      <c r="AF23" s="25" t="str">
        <f>IF(AF$3="","",IF(COUNTIFS(Base!$A$3:$A$5001,AF$3,Base!$B$3:$B$5001,$A$23,Base!$C$3:$C$5001,"&lt;&gt;")=0,"",SUMIFS(Base!$C$3:$C$5001,Base!$A$3:$A$5001,AF$3,Base!$B$3:$B$5001,$A$23)))</f>
        <v/>
      </c>
      <c r="AG23" s="25">
        <f>IF(AG$3="","",IF(COUNTIFS(Base!$A$3:$A$5001,AG$3,Base!$B$3:$B$5001,$A$23,Base!$C$3:$C$5001,"&lt;&gt;")=0,"",SUMIFS(Base!$C$3:$C$5001,Base!$A$3:$A$5001,AG$3,Base!$B$3:$B$5001,$A$23)))</f>
        <v>6</v>
      </c>
      <c r="AH23" s="25">
        <f>IF(AH$3="","",IF(COUNTIFS(Base!$A$3:$A$5001,AH$3,Base!$B$3:$B$5001,$A$23,Base!$C$3:$C$5001,"&lt;&gt;")=0,"",SUMIFS(Base!$C$3:$C$5001,Base!$A$3:$A$5001,AH$3,Base!$B$3:$B$5001,$A$23)))</f>
        <v>5</v>
      </c>
      <c r="AI23" s="25" t="str">
        <f>IF(AI$3="","",IF(COUNTIFS(Base!$A$3:$A$5001,AI$3,Base!$B$3:$B$5001,$A$23,Base!$C$3:$C$5001,"&lt;&gt;")=0,"",SUMIFS(Base!$C$3:$C$5001,Base!$A$3:$A$5001,AI$3,Base!$B$3:$B$5001,$A$23)))</f>
        <v/>
      </c>
      <c r="AJ23" s="26" t="str">
        <f>IF(AJ$3="","",IF(COUNTIFS(Base!$A$3:$A$5001,AJ$3,Base!$B$3:$B$5001,$A$23,Base!$C$3:$C$5001,"&lt;&gt;")=0,"",SUMIFS(Base!$C$3:$C$5001,Base!$A$3:$A$5001,AJ$3,Base!$B$3:$B$5001,$A$23)))</f>
        <v/>
      </c>
      <c r="AK23" s="27">
        <f>IF(COUNT(F23:AJ23)=0,"",SUM(F23:AJ23))</f>
        <v>120</v>
      </c>
    </row>
    <row r="24" ht="15.75" customHeight="1">
      <c r="A24" s="118"/>
      <c r="B24" s="106"/>
      <c r="C24" s="28" t="inlineStr">
        <is>
          <t xml:space="preserve">Pallets Movimentados</t>
        </is>
      </c>
      <c r="D24" s="29" t="str">
        <f>IFERROR(1/(1/INDEX(calculos!$C$55:$K$83,MATCH("IN Pallets Movimentados",calculos!$A$55:$A$83,0),MATCH($A$23,calculos!$C$54:$K$54,0))),"")</f>
        <v/>
      </c>
      <c r="E24" s="30"/>
      <c r="F24" s="31">
        <f>IF(F$3="","",IF(COUNTIFS(Base!$A$3:$A$5001,F$3,Base!$B$3:$B$5001,$A$23,Base!$D$3:$D$5001,"&lt;&gt;")=0,"",SUMIFS(Base!$D$3:$D$5001,Base!$A$3:$A$5001,F$3,Base!$B$3:$B$5001,$A$23)))</f>
        <v>142</v>
      </c>
      <c r="G24" s="32">
        <f>IF(G$3="","",IF(COUNTIFS(Base!$A$3:$A$5001,G$3,Base!$B$3:$B$5001,$A$23,Base!$D$3:$D$5001,"&lt;&gt;")=0,"",SUMIFS(Base!$D$3:$D$5001,Base!$A$3:$A$5001,G$3,Base!$B$3:$B$5001,$A$23)))</f>
        <v>145</v>
      </c>
      <c r="H24" s="32">
        <f>IF(H$3="","",IF(COUNTIFS(Base!$A$3:$A$5001,H$3,Base!$B$3:$B$5001,$A$23,Base!$D$3:$D$5001,"&lt;&gt;")=0,"",SUMIFS(Base!$D$3:$D$5001,Base!$A$3:$A$5001,H$3,Base!$B$3:$B$5001,$A$23)))</f>
        <v>51</v>
      </c>
      <c r="I24" s="32">
        <f>IF(I$3="","",IF(COUNTIFS(Base!$A$3:$A$5001,I$3,Base!$B$3:$B$5001,$A$23,Base!$D$3:$D$5001,"&lt;&gt;")=0,"",SUMIFS(Base!$D$3:$D$5001,Base!$A$3:$A$5001,I$3,Base!$B$3:$B$5001,$A$23)))</f>
        <v>121</v>
      </c>
      <c r="J24" s="32">
        <f>IF(J$3="","",IF(COUNTIFS(Base!$A$3:$A$5001,J$3,Base!$B$3:$B$5001,$A$23,Base!$D$3:$D$5001,"&lt;&gt;")=0,"",SUMIFS(Base!$D$3:$D$5001,Base!$A$3:$A$5001,J$3,Base!$B$3:$B$5001,$A$23)))</f>
        <v>144</v>
      </c>
      <c r="K24" s="32" t="str">
        <f>IF(K$3="","",IF(COUNTIFS(Base!$A$3:$A$5001,K$3,Base!$B$3:$B$5001,$A$23,Base!$D$3:$D$5001,"&lt;&gt;")=0,"",SUMIFS(Base!$D$3:$D$5001,Base!$A$3:$A$5001,K$3,Base!$B$3:$B$5001,$A$23)))</f>
        <v/>
      </c>
      <c r="L24" s="32">
        <f>IF(L$3="","",IF(COUNTIFS(Base!$A$3:$A$5001,L$3,Base!$B$3:$B$5001,$A$23,Base!$D$3:$D$5001,"&lt;&gt;")=0,"",SUMIFS(Base!$D$3:$D$5001,Base!$A$3:$A$5001,L$3,Base!$B$3:$B$5001,$A$23)))</f>
        <v>44</v>
      </c>
      <c r="M24" s="32">
        <f>IF(M$3="","",IF(COUNTIFS(Base!$A$3:$A$5001,M$3,Base!$B$3:$B$5001,$A$23,Base!$D$3:$D$5001,"&lt;&gt;")=0,"",SUMIFS(Base!$D$3:$D$5001,Base!$A$3:$A$5001,M$3,Base!$B$3:$B$5001,$A$23)))</f>
        <v>39</v>
      </c>
      <c r="N24" s="32">
        <f>IF(N$3="","",IF(COUNTIFS(Base!$A$3:$A$5001,N$3,Base!$B$3:$B$5001,$A$23,Base!$D$3:$D$5001,"&lt;&gt;")=0,"",SUMIFS(Base!$D$3:$D$5001,Base!$A$3:$A$5001,N$3,Base!$B$3:$B$5001,$A$23)))</f>
        <v>116</v>
      </c>
      <c r="O24" s="32">
        <f>IF(O$3="","",IF(COUNTIFS(Base!$A$3:$A$5001,O$3,Base!$B$3:$B$5001,$A$23,Base!$D$3:$D$5001,"&lt;&gt;")=0,"",SUMIFS(Base!$D$3:$D$5001,Base!$A$3:$A$5001,O$3,Base!$B$3:$B$5001,$A$23)))</f>
        <v>85</v>
      </c>
      <c r="P24" s="32">
        <f>IF(P$3="","",IF(COUNTIFS(Base!$A$3:$A$5001,P$3,Base!$B$3:$B$5001,$A$23,Base!$D$3:$D$5001,"&lt;&gt;")=0,"",SUMIFS(Base!$D$3:$D$5001,Base!$A$3:$A$5001,P$3,Base!$B$3:$B$5001,$A$23)))</f>
        <v>96</v>
      </c>
      <c r="Q24" s="32">
        <f>IF(Q$3="","",IF(COUNTIFS(Base!$A$3:$A$5001,Q$3,Base!$B$3:$B$5001,$A$23,Base!$D$3:$D$5001,"&lt;&gt;")=0,"",SUMIFS(Base!$D$3:$D$5001,Base!$A$3:$A$5001,Q$3,Base!$B$3:$B$5001,$A$23)))</f>
        <v>132</v>
      </c>
      <c r="R24" s="32" t="str">
        <f>IF(R$3="","",IF(COUNTIFS(Base!$A$3:$A$5001,R$3,Base!$B$3:$B$5001,$A$23,Base!$D$3:$D$5001,"&lt;&gt;")=0,"",SUMIFS(Base!$D$3:$D$5001,Base!$A$3:$A$5001,R$3,Base!$B$3:$B$5001,$A$23)))</f>
        <v/>
      </c>
      <c r="S24" s="32">
        <f>IF(S$3="","",IF(COUNTIFS(Base!$A$3:$A$5001,S$3,Base!$B$3:$B$5001,$A$23,Base!$D$3:$D$5001,"&lt;&gt;")=0,"",SUMIFS(Base!$D$3:$D$5001,Base!$A$3:$A$5001,S$3,Base!$B$3:$B$5001,$A$23)))</f>
        <v>140</v>
      </c>
      <c r="T24" s="32">
        <f>IF(T$3="","",IF(COUNTIFS(Base!$A$3:$A$5001,T$3,Base!$B$3:$B$5001,$A$23,Base!$D$3:$D$5001,"&lt;&gt;")=0,"",SUMIFS(Base!$D$3:$D$5001,Base!$A$3:$A$5001,T$3,Base!$B$3:$B$5001,$A$23)))</f>
        <v>87</v>
      </c>
      <c r="U24" s="32">
        <f>IF(U$3="","",IF(COUNTIFS(Base!$A$3:$A$5001,U$3,Base!$B$3:$B$5001,$A$23,Base!$D$3:$D$5001,"&lt;&gt;")=0,"",SUMIFS(Base!$D$3:$D$5001,Base!$A$3:$A$5001,U$3,Base!$B$3:$B$5001,$A$23)))</f>
        <v>43</v>
      </c>
      <c r="V24" s="32">
        <f>IF(V$3="","",IF(COUNTIFS(Base!$A$3:$A$5001,V$3,Base!$B$3:$B$5001,$A$23,Base!$D$3:$D$5001,"&lt;&gt;")=0,"",SUMIFS(Base!$D$3:$D$5001,Base!$A$3:$A$5001,V$3,Base!$B$3:$B$5001,$A$23)))</f>
        <v>77</v>
      </c>
      <c r="W24" s="32">
        <f>IF(W$3="","",IF(COUNTIFS(Base!$A$3:$A$5001,W$3,Base!$B$3:$B$5001,$A$23,Base!$D$3:$D$5001,"&lt;&gt;")=0,"",SUMIFS(Base!$D$3:$D$5001,Base!$A$3:$A$5001,W$3,Base!$B$3:$B$5001,$A$23)))</f>
        <v>35</v>
      </c>
      <c r="X24" s="32">
        <f>IF(X$3="","",IF(COUNTIFS(Base!$A$3:$A$5001,X$3,Base!$B$3:$B$5001,$A$23,Base!$D$3:$D$5001,"&lt;&gt;")=0,"",SUMIFS(Base!$D$3:$D$5001,Base!$A$3:$A$5001,X$3,Base!$B$3:$B$5001,$A$23)))</f>
        <v>79</v>
      </c>
      <c r="Y24" s="32" t="str">
        <f>IF(Y$3="","",IF(COUNTIFS(Base!$A$3:$A$5001,Y$3,Base!$B$3:$B$5001,$A$23,Base!$D$3:$D$5001,"&lt;&gt;")=0,"",SUMIFS(Base!$D$3:$D$5001,Base!$A$3:$A$5001,Y$3,Base!$B$3:$B$5001,$A$23)))</f>
        <v/>
      </c>
      <c r="Z24" s="32">
        <f>IF(Z$3="","",IF(COUNTIFS(Base!$A$3:$A$5001,Z$3,Base!$B$3:$B$5001,$A$23,Base!$D$3:$D$5001,"&lt;&gt;")=0,"",SUMIFS(Base!$D$3:$D$5001,Base!$A$3:$A$5001,Z$3,Base!$B$3:$B$5001,$A$23)))</f>
        <v>48</v>
      </c>
      <c r="AA24" s="32">
        <f>IF(AA$3="","",IF(COUNTIFS(Base!$A$3:$A$5001,AA$3,Base!$B$3:$B$5001,$A$23,Base!$D$3:$D$5001,"&lt;&gt;")=0,"",SUMIFS(Base!$D$3:$D$5001,Base!$A$3:$A$5001,AA$3,Base!$B$3:$B$5001,$A$23)))</f>
        <v>44</v>
      </c>
      <c r="AB24" s="32">
        <f>IF(AB$3="","",IF(COUNTIFS(Base!$A$3:$A$5001,AB$3,Base!$B$3:$B$5001,$A$23,Base!$D$3:$D$5001,"&lt;&gt;")=0,"",SUMIFS(Base!$D$3:$D$5001,Base!$A$3:$A$5001,AB$3,Base!$B$3:$B$5001,$A$23)))</f>
        <v>156</v>
      </c>
      <c r="AC24" s="32">
        <f>IF(AC$3="","",IF(COUNTIFS(Base!$A$3:$A$5001,AC$3,Base!$B$3:$B$5001,$A$23,Base!$D$3:$D$5001,"&lt;&gt;")=0,"",SUMIFS(Base!$D$3:$D$5001,Base!$A$3:$A$5001,AC$3,Base!$B$3:$B$5001,$A$23)))</f>
        <v>134</v>
      </c>
      <c r="AD24" s="32">
        <f>IF(AD$3="","",IF(COUNTIFS(Base!$A$3:$A$5001,AD$3,Base!$B$3:$B$5001,$A$23,Base!$D$3:$D$5001,"&lt;&gt;")=0,"",SUMIFS(Base!$D$3:$D$5001,Base!$A$3:$A$5001,AD$3,Base!$B$3:$B$5001,$A$23)))</f>
        <v>158</v>
      </c>
      <c r="AE24" s="32">
        <f>IF(AE$3="","",IF(COUNTIFS(Base!$A$3:$A$5001,AE$3,Base!$B$3:$B$5001,$A$23,Base!$D$3:$D$5001,"&lt;&gt;")=0,"",SUMIFS(Base!$D$3:$D$5001,Base!$A$3:$A$5001,AE$3,Base!$B$3:$B$5001,$A$23)))</f>
        <v>44</v>
      </c>
      <c r="AF24" s="32" t="str">
        <f>IF(AF$3="","",IF(COUNTIFS(Base!$A$3:$A$5001,AF$3,Base!$B$3:$B$5001,$A$23,Base!$D$3:$D$5001,"&lt;&gt;")=0,"",SUMIFS(Base!$D$3:$D$5001,Base!$A$3:$A$5001,AF$3,Base!$B$3:$B$5001,$A$23)))</f>
        <v/>
      </c>
      <c r="AG24" s="32">
        <f>IF(AG$3="","",IF(COUNTIFS(Base!$A$3:$A$5001,AG$3,Base!$B$3:$B$5001,$A$23,Base!$D$3:$D$5001,"&lt;&gt;")=0,"",SUMIFS(Base!$D$3:$D$5001,Base!$A$3:$A$5001,AG$3,Base!$B$3:$B$5001,$A$23)))</f>
        <v>55</v>
      </c>
      <c r="AH24" s="32">
        <f>IF(AH$3="","",IF(COUNTIFS(Base!$A$3:$A$5001,AH$3,Base!$B$3:$B$5001,$A$23,Base!$D$3:$D$5001,"&lt;&gt;")=0,"",SUMIFS(Base!$D$3:$D$5001,Base!$A$3:$A$5001,AH$3,Base!$B$3:$B$5001,$A$23)))</f>
        <v>101</v>
      </c>
      <c r="AI24" s="32" t="str">
        <f>IF(AI$3="","",IF(COUNTIFS(Base!$A$3:$A$5001,AI$3,Base!$B$3:$B$5001,$A$23,Base!$D$3:$D$5001,"&lt;&gt;")=0,"",SUMIFS(Base!$D$3:$D$5001,Base!$A$3:$A$5001,AI$3,Base!$B$3:$B$5001,$A$23)))</f>
        <v/>
      </c>
      <c r="AJ24" s="33" t="str">
        <f>IF(AJ$3="","",IF(COUNTIFS(Base!$A$3:$A$5001,AJ$3,Base!$B$3:$B$5001,$A$23,Base!$D$3:$D$5001,"&lt;&gt;")=0,"",SUMIFS(Base!$D$3:$D$5001,Base!$A$3:$A$5001,AJ$3,Base!$B$3:$B$5001,$A$23)))</f>
        <v/>
      </c>
      <c r="AK24" s="34">
        <f>IF(COUNT(F24:AJ24)=0,"",SUM(F24:AJ24))</f>
        <v>2316</v>
      </c>
    </row>
    <row r="25" ht="15.75" customHeight="1">
      <c r="A25" s="118"/>
      <c r="B25" s="107"/>
      <c r="C25" s="35" t="inlineStr">
        <is>
          <t xml:space="preserve">Caixas Movimentadas</t>
        </is>
      </c>
      <c r="D25" s="469" t="str">
        <f>IFERROR(1/(1/INDEX(calculos!$C$55:$K$83,MATCH("IN Caixas Movimentadas",calculos!$A$55:$A$83,0),MATCH($A$23,calculos!$C$54:$K$54,0))),"")</f>
        <v/>
      </c>
      <c r="E25" s="37"/>
      <c r="F25" s="470">
        <f>IF(F$3="","",IF(COUNTIFS(Base!$A$3:$A$5001,F$3,Base!$B$3:$B$5001,$A$23,Base!$F$3:$F$5001,"&lt;&gt;")=0,"",SUMIFS(Base!$F$3:$F$5001,Base!$A$3:$A$5001,F$3,Base!$B$3:$B$5001,$A$23)))</f>
        <v>1565</v>
      </c>
      <c r="G25" s="471">
        <f>IF(G$3="","",IF(COUNTIFS(Base!$A$3:$A$5001,G$3,Base!$B$3:$B$5001,$A$23,Base!$F$3:$F$5001,"&lt;&gt;")=0,"",SUMIFS(Base!$F$3:$F$5001,Base!$A$3:$A$5001,G$3,Base!$B$3:$B$5001,$A$23)))</f>
        <v>741</v>
      </c>
      <c r="H25" s="471">
        <f>IF(H$3="","",IF(COUNTIFS(Base!$A$3:$A$5001,H$3,Base!$B$3:$B$5001,$A$23,Base!$F$3:$F$5001,"&lt;&gt;")=0,"",SUMIFS(Base!$F$3:$F$5001,Base!$A$3:$A$5001,H$3,Base!$B$3:$B$5001,$A$23)))</f>
        <v>1684</v>
      </c>
      <c r="I25" s="471">
        <f>IF(I$3="","",IF(COUNTIFS(Base!$A$3:$A$5001,I$3,Base!$B$3:$B$5001,$A$23,Base!$F$3:$F$5001,"&lt;&gt;")=0,"",SUMIFS(Base!$F$3:$F$5001,Base!$A$3:$A$5001,I$3,Base!$B$3:$B$5001,$A$23)))</f>
        <v>418</v>
      </c>
      <c r="J25" s="471">
        <f>IF(J$3="","",IF(COUNTIFS(Base!$A$3:$A$5001,J$3,Base!$B$3:$B$5001,$A$23,Base!$F$3:$F$5001,"&lt;&gt;")=0,"",SUMIFS(Base!$F$3:$F$5001,Base!$A$3:$A$5001,J$3,Base!$B$3:$B$5001,$A$23)))</f>
        <v>2325</v>
      </c>
      <c r="K25" s="471" t="str">
        <f>IF(K$3="","",IF(COUNTIFS(Base!$A$3:$A$5001,K$3,Base!$B$3:$B$5001,$A$23,Base!$F$3:$F$5001,"&lt;&gt;")=0,"",SUMIFS(Base!$F$3:$F$5001,Base!$A$3:$A$5001,K$3,Base!$B$3:$B$5001,$A$23)))</f>
        <v/>
      </c>
      <c r="L25" s="471">
        <f>IF(L$3="","",IF(COUNTIFS(Base!$A$3:$A$5001,L$3,Base!$B$3:$B$5001,$A$23,Base!$F$3:$F$5001,"&lt;&gt;")=0,"",SUMIFS(Base!$F$3:$F$5001,Base!$A$3:$A$5001,L$3,Base!$B$3:$B$5001,$A$23)))</f>
        <v>807</v>
      </c>
      <c r="M25" s="471">
        <f>IF(M$3="","",IF(COUNTIFS(Base!$A$3:$A$5001,M$3,Base!$B$3:$B$5001,$A$23,Base!$F$3:$F$5001,"&lt;&gt;")=0,"",SUMIFS(Base!$F$3:$F$5001,Base!$A$3:$A$5001,M$3,Base!$B$3:$B$5001,$A$23)))</f>
        <v>461</v>
      </c>
      <c r="N25" s="471">
        <f>IF(N$3="","",IF(COUNTIFS(Base!$A$3:$A$5001,N$3,Base!$B$3:$B$5001,$A$23,Base!$F$3:$F$5001,"&lt;&gt;")=0,"",SUMIFS(Base!$F$3:$F$5001,Base!$A$3:$A$5001,N$3,Base!$B$3:$B$5001,$A$23)))</f>
        <v>1147</v>
      </c>
      <c r="O25" s="471">
        <f>IF(O$3="","",IF(COUNTIFS(Base!$A$3:$A$5001,O$3,Base!$B$3:$B$5001,$A$23,Base!$F$3:$F$5001,"&lt;&gt;")=0,"",SUMIFS(Base!$F$3:$F$5001,Base!$A$3:$A$5001,O$3,Base!$B$3:$B$5001,$A$23)))</f>
        <v>2479</v>
      </c>
      <c r="P25" s="471">
        <f>IF(P$3="","",IF(COUNTIFS(Base!$A$3:$A$5001,P$3,Base!$B$3:$B$5001,$A$23,Base!$F$3:$F$5001,"&lt;&gt;")=0,"",SUMIFS(Base!$F$3:$F$5001,Base!$A$3:$A$5001,P$3,Base!$B$3:$B$5001,$A$23)))</f>
        <v>1400</v>
      </c>
      <c r="Q25" s="471">
        <f>IF(Q$3="","",IF(COUNTIFS(Base!$A$3:$A$5001,Q$3,Base!$B$3:$B$5001,$A$23,Base!$F$3:$F$5001,"&lt;&gt;")=0,"",SUMIFS(Base!$F$3:$F$5001,Base!$A$3:$A$5001,Q$3,Base!$B$3:$B$5001,$A$23)))</f>
        <v>1269</v>
      </c>
      <c r="R25" s="471" t="str">
        <f>IF(R$3="","",IF(COUNTIFS(Base!$A$3:$A$5001,R$3,Base!$B$3:$B$5001,$A$23,Base!$F$3:$F$5001,"&lt;&gt;")=0,"",SUMIFS(Base!$F$3:$F$5001,Base!$A$3:$A$5001,R$3,Base!$B$3:$B$5001,$A$23)))</f>
        <v/>
      </c>
      <c r="S25" s="471">
        <f>IF(S$3="","",IF(COUNTIFS(Base!$A$3:$A$5001,S$3,Base!$B$3:$B$5001,$A$23,Base!$F$3:$F$5001,"&lt;&gt;")=0,"",SUMIFS(Base!$F$3:$F$5001,Base!$A$3:$A$5001,S$3,Base!$B$3:$B$5001,$A$23)))</f>
        <v>2475</v>
      </c>
      <c r="T25" s="471">
        <f>IF(T$3="","",IF(COUNTIFS(Base!$A$3:$A$5001,T$3,Base!$B$3:$B$5001,$A$23,Base!$F$3:$F$5001,"&lt;&gt;")=0,"",SUMIFS(Base!$F$3:$F$5001,Base!$A$3:$A$5001,T$3,Base!$B$3:$B$5001,$A$23)))</f>
        <v>2345</v>
      </c>
      <c r="U25" s="471">
        <f>IF(U$3="","",IF(COUNTIFS(Base!$A$3:$A$5001,U$3,Base!$B$3:$B$5001,$A$23,Base!$F$3:$F$5001,"&lt;&gt;")=0,"",SUMIFS(Base!$F$3:$F$5001,Base!$A$3:$A$5001,U$3,Base!$B$3:$B$5001,$A$23)))</f>
        <v>1773</v>
      </c>
      <c r="V25" s="471">
        <f>IF(V$3="","",IF(COUNTIFS(Base!$A$3:$A$5001,V$3,Base!$B$3:$B$5001,$A$23,Base!$F$3:$F$5001,"&lt;&gt;")=0,"",SUMIFS(Base!$F$3:$F$5001,Base!$A$3:$A$5001,V$3,Base!$B$3:$B$5001,$A$23)))</f>
        <v>1262</v>
      </c>
      <c r="W25" s="471">
        <f>IF(W$3="","",IF(COUNTIFS(Base!$A$3:$A$5001,W$3,Base!$B$3:$B$5001,$A$23,Base!$F$3:$F$5001,"&lt;&gt;")=0,"",SUMIFS(Base!$F$3:$F$5001,Base!$A$3:$A$5001,W$3,Base!$B$3:$B$5001,$A$23)))</f>
        <v>655</v>
      </c>
      <c r="X25" s="471">
        <f>IF(X$3="","",IF(COUNTIFS(Base!$A$3:$A$5001,X$3,Base!$B$3:$B$5001,$A$23,Base!$F$3:$F$5001,"&lt;&gt;")=0,"",SUMIFS(Base!$F$3:$F$5001,Base!$A$3:$A$5001,X$3,Base!$B$3:$B$5001,$A$23)))</f>
        <v>706</v>
      </c>
      <c r="Y25" s="471" t="str">
        <f>IF(Y$3="","",IF(COUNTIFS(Base!$A$3:$A$5001,Y$3,Base!$B$3:$B$5001,$A$23,Base!$F$3:$F$5001,"&lt;&gt;")=0,"",SUMIFS(Base!$F$3:$F$5001,Base!$A$3:$A$5001,Y$3,Base!$B$3:$B$5001,$A$23)))</f>
        <v/>
      </c>
      <c r="Z25" s="471">
        <f>IF(Z$3="","",IF(COUNTIFS(Base!$A$3:$A$5001,Z$3,Base!$B$3:$B$5001,$A$23,Base!$F$3:$F$5001,"&lt;&gt;")=0,"",SUMIFS(Base!$F$3:$F$5001,Base!$A$3:$A$5001,Z$3,Base!$B$3:$B$5001,$A$23)))</f>
        <v>1713</v>
      </c>
      <c r="AA25" s="471">
        <f>IF(AA$3="","",IF(COUNTIFS(Base!$A$3:$A$5001,AA$3,Base!$B$3:$B$5001,$A$23,Base!$F$3:$F$5001,"&lt;&gt;")=0,"",SUMIFS(Base!$F$3:$F$5001,Base!$A$3:$A$5001,AA$3,Base!$B$3:$B$5001,$A$23)))</f>
        <v>870</v>
      </c>
      <c r="AB25" s="471">
        <f>IF(AB$3="","",IF(COUNTIFS(Base!$A$3:$A$5001,AB$3,Base!$B$3:$B$5001,$A$23,Base!$F$3:$F$5001,"&lt;&gt;")=0,"",SUMIFS(Base!$F$3:$F$5001,Base!$A$3:$A$5001,AB$3,Base!$B$3:$B$5001,$A$23)))</f>
        <v>683</v>
      </c>
      <c r="AC25" s="471">
        <f>IF(AC$3="","",IF(COUNTIFS(Base!$A$3:$A$5001,AC$3,Base!$B$3:$B$5001,$A$23,Base!$F$3:$F$5001,"&lt;&gt;")=0,"",SUMIFS(Base!$F$3:$F$5001,Base!$A$3:$A$5001,AC$3,Base!$B$3:$B$5001,$A$23)))</f>
        <v>2105</v>
      </c>
      <c r="AD25" s="471">
        <f>IF(AD$3="","",IF(COUNTIFS(Base!$A$3:$A$5001,AD$3,Base!$B$3:$B$5001,$A$23,Base!$F$3:$F$5001,"&lt;&gt;")=0,"",SUMIFS(Base!$F$3:$F$5001,Base!$A$3:$A$5001,AD$3,Base!$B$3:$B$5001,$A$23)))</f>
        <v>982</v>
      </c>
      <c r="AE25" s="471">
        <f>IF(AE$3="","",IF(COUNTIFS(Base!$A$3:$A$5001,AE$3,Base!$B$3:$B$5001,$A$23,Base!$F$3:$F$5001,"&lt;&gt;")=0,"",SUMIFS(Base!$F$3:$F$5001,Base!$A$3:$A$5001,AE$3,Base!$B$3:$B$5001,$A$23)))</f>
        <v>1909</v>
      </c>
      <c r="AF25" s="471" t="str">
        <f>IF(AF$3="","",IF(COUNTIFS(Base!$A$3:$A$5001,AF$3,Base!$B$3:$B$5001,$A$23,Base!$F$3:$F$5001,"&lt;&gt;")=0,"",SUMIFS(Base!$F$3:$F$5001,Base!$A$3:$A$5001,AF$3,Base!$B$3:$B$5001,$A$23)))</f>
        <v/>
      </c>
      <c r="AG25" s="471">
        <f>IF(AG$3="","",IF(COUNTIFS(Base!$A$3:$A$5001,AG$3,Base!$B$3:$B$5001,$A$23,Base!$F$3:$F$5001,"&lt;&gt;")=0,"",SUMIFS(Base!$F$3:$F$5001,Base!$A$3:$A$5001,AG$3,Base!$B$3:$B$5001,$A$23)))</f>
        <v>2315</v>
      </c>
      <c r="AH25" s="471">
        <f>IF(AH$3="","",IF(COUNTIFS(Base!$A$3:$A$5001,AH$3,Base!$B$3:$B$5001,$A$23,Base!$F$3:$F$5001,"&lt;&gt;")=0,"",SUMIFS(Base!$F$3:$F$5001,Base!$A$3:$A$5001,AH$3,Base!$B$3:$B$5001,$A$23)))</f>
        <v>2034</v>
      </c>
      <c r="AI25" s="471" t="str">
        <f>IF(AI$3="","",IF(COUNTIFS(Base!$A$3:$A$5001,AI$3,Base!$B$3:$B$5001,$A$23,Base!$F$3:$F$5001,"&lt;&gt;")=0,"",SUMIFS(Base!$F$3:$F$5001,Base!$A$3:$A$5001,AI$3,Base!$B$3:$B$5001,$A$23)))</f>
        <v/>
      </c>
      <c r="AJ25" s="472" t="str">
        <f>IF(AJ$3="","",IF(COUNTIFS(Base!$A$3:$A$5001,AJ$3,Base!$B$3:$B$5001,$A$23,Base!$F$3:$F$5001,"&lt;&gt;")=0,"",SUMIFS(Base!$F$3:$F$5001,Base!$A$3:$A$5001,AJ$3,Base!$B$3:$B$5001,$A$23)))</f>
        <v/>
      </c>
      <c r="AK25" s="469">
        <f>IF(COUNT(F25:AJ25)=0,"",SUM(F25:AJ25))</f>
        <v>36123</v>
      </c>
    </row>
    <row r="26" ht="15.75" customHeight="1">
      <c r="A26" s="118"/>
      <c r="B26" s="108" t="inlineStr">
        <is>
          <t xml:space="preserve">OUT</t>
        </is>
      </c>
      <c r="C26" s="41" t="inlineStr">
        <is>
          <t xml:space="preserve">Veículos Expedidos</t>
        </is>
      </c>
      <c r="D26" s="42" t="str">
        <f>IFERROR(1/(1/INDEX(calculos!$C$55:$K$83,MATCH("OUT Veículos Expedidos",calculos!$A$55:$A$83,0),MATCH($A$23,calculos!$C$54:$K$54,0))),"")</f>
        <v/>
      </c>
      <c r="E26" s="43"/>
      <c r="F26" s="44">
        <f>IF(F$3="","",IF(COUNTIFS(Base!$A$3:$A$5001,F$3,Base!$B$3:$B$5001,$A$23,Base!$L$3:$L$5001,"&lt;&gt;")=0,"",SUMIFS(Base!$L$3:$L$5001,Base!$A$3:$A$5001,F$3,Base!$B$3:$B$5001,$A$23)))</f>
        <v>11</v>
      </c>
      <c r="G26" s="45">
        <f>IF(G$3="","",IF(COUNTIFS(Base!$A$3:$A$5001,G$3,Base!$B$3:$B$5001,$A$23,Base!$L$3:$L$5001,"&lt;&gt;")=0,"",SUMIFS(Base!$L$3:$L$5001,Base!$A$3:$A$5001,G$3,Base!$B$3:$B$5001,$A$23)))</f>
        <v>10</v>
      </c>
      <c r="H26" s="45">
        <f>IF(H$3="","",IF(COUNTIFS(Base!$A$3:$A$5001,H$3,Base!$B$3:$B$5001,$A$23,Base!$L$3:$L$5001,"&lt;&gt;")=0,"",SUMIFS(Base!$L$3:$L$5001,Base!$A$3:$A$5001,H$3,Base!$B$3:$B$5001,$A$23)))</f>
        <v>5</v>
      </c>
      <c r="I26" s="45">
        <f>IF(I$3="","",IF(COUNTIFS(Base!$A$3:$A$5001,I$3,Base!$B$3:$B$5001,$A$23,Base!$L$3:$L$5001,"&lt;&gt;")=0,"",SUMIFS(Base!$L$3:$L$5001,Base!$A$3:$A$5001,I$3,Base!$B$3:$B$5001,$A$23)))</f>
        <v>6</v>
      </c>
      <c r="J26" s="45">
        <f>IF(J$3="","",IF(COUNTIFS(Base!$A$3:$A$5001,J$3,Base!$B$3:$B$5001,$A$23,Base!$L$3:$L$5001,"&lt;&gt;")=0,"",SUMIFS(Base!$L$3:$L$5001,Base!$A$3:$A$5001,J$3,Base!$B$3:$B$5001,$A$23)))</f>
        <v>5</v>
      </c>
      <c r="K26" s="45" t="str">
        <f>IF(K$3="","",IF(COUNTIFS(Base!$A$3:$A$5001,K$3,Base!$B$3:$B$5001,$A$23,Base!$L$3:$L$5001,"&lt;&gt;")=0,"",SUMIFS(Base!$L$3:$L$5001,Base!$A$3:$A$5001,K$3,Base!$B$3:$B$5001,$A$23)))</f>
        <v/>
      </c>
      <c r="L26" s="45">
        <f>IF(L$3="","",IF(COUNTIFS(Base!$A$3:$A$5001,L$3,Base!$B$3:$B$5001,$A$23,Base!$L$3:$L$5001,"&lt;&gt;")=0,"",SUMIFS(Base!$L$3:$L$5001,Base!$A$3:$A$5001,L$3,Base!$B$3:$B$5001,$A$23)))</f>
        <v>6</v>
      </c>
      <c r="M26" s="45">
        <f>IF(M$3="","",IF(COUNTIFS(Base!$A$3:$A$5001,M$3,Base!$B$3:$B$5001,$A$23,Base!$L$3:$L$5001,"&lt;&gt;")=0,"",SUMIFS(Base!$L$3:$L$5001,Base!$A$3:$A$5001,M$3,Base!$B$3:$B$5001,$A$23)))</f>
        <v>5</v>
      </c>
      <c r="N26" s="45">
        <f>IF(N$3="","",IF(COUNTIFS(Base!$A$3:$A$5001,N$3,Base!$B$3:$B$5001,$A$23,Base!$L$3:$L$5001,"&lt;&gt;")=0,"",SUMIFS(Base!$L$3:$L$5001,Base!$A$3:$A$5001,N$3,Base!$B$3:$B$5001,$A$23)))</f>
        <v>9</v>
      </c>
      <c r="O26" s="45">
        <f>IF(O$3="","",IF(COUNTIFS(Base!$A$3:$A$5001,O$3,Base!$B$3:$B$5001,$A$23,Base!$L$3:$L$5001,"&lt;&gt;")=0,"",SUMIFS(Base!$L$3:$L$5001,Base!$A$3:$A$5001,O$3,Base!$B$3:$B$5001,$A$23)))</f>
        <v>3</v>
      </c>
      <c r="P26" s="45">
        <f>IF(P$3="","",IF(COUNTIFS(Base!$A$3:$A$5001,P$3,Base!$B$3:$B$5001,$A$23,Base!$L$3:$L$5001,"&lt;&gt;")=0,"",SUMIFS(Base!$L$3:$L$5001,Base!$A$3:$A$5001,P$3,Base!$B$3:$B$5001,$A$23)))</f>
        <v>8</v>
      </c>
      <c r="Q26" s="45">
        <f>IF(Q$3="","",IF(COUNTIFS(Base!$A$3:$A$5001,Q$3,Base!$B$3:$B$5001,$A$23,Base!$L$3:$L$5001,"&lt;&gt;")=0,"",SUMIFS(Base!$L$3:$L$5001,Base!$A$3:$A$5001,Q$3,Base!$B$3:$B$5001,$A$23)))</f>
        <v>4</v>
      </c>
      <c r="R26" s="45" t="str">
        <f>IF(R$3="","",IF(COUNTIFS(Base!$A$3:$A$5001,R$3,Base!$B$3:$B$5001,$A$23,Base!$L$3:$L$5001,"&lt;&gt;")=0,"",SUMIFS(Base!$L$3:$L$5001,Base!$A$3:$A$5001,R$3,Base!$B$3:$B$5001,$A$23)))</f>
        <v/>
      </c>
      <c r="S26" s="45">
        <f>IF(S$3="","",IF(COUNTIFS(Base!$A$3:$A$5001,S$3,Base!$B$3:$B$5001,$A$23,Base!$L$3:$L$5001,"&lt;&gt;")=0,"",SUMIFS(Base!$L$3:$L$5001,Base!$A$3:$A$5001,S$3,Base!$B$3:$B$5001,$A$23)))</f>
        <v>6</v>
      </c>
      <c r="T26" s="45">
        <f>IF(T$3="","",IF(COUNTIFS(Base!$A$3:$A$5001,T$3,Base!$B$3:$B$5001,$A$23,Base!$L$3:$L$5001,"&lt;&gt;")=0,"",SUMIFS(Base!$L$3:$L$5001,Base!$A$3:$A$5001,T$3,Base!$B$3:$B$5001,$A$23)))</f>
        <v>3</v>
      </c>
      <c r="U26" s="45">
        <f>IF(U$3="","",IF(COUNTIFS(Base!$A$3:$A$5001,U$3,Base!$B$3:$B$5001,$A$23,Base!$L$3:$L$5001,"&lt;&gt;")=0,"",SUMIFS(Base!$L$3:$L$5001,Base!$A$3:$A$5001,U$3,Base!$B$3:$B$5001,$A$23)))</f>
        <v>6</v>
      </c>
      <c r="V26" s="45">
        <f>IF(V$3="","",IF(COUNTIFS(Base!$A$3:$A$5001,V$3,Base!$B$3:$B$5001,$A$23,Base!$L$3:$L$5001,"&lt;&gt;")=0,"",SUMIFS(Base!$L$3:$L$5001,Base!$A$3:$A$5001,V$3,Base!$B$3:$B$5001,$A$23)))</f>
        <v>8</v>
      </c>
      <c r="W26" s="45">
        <f>IF(W$3="","",IF(COUNTIFS(Base!$A$3:$A$5001,W$3,Base!$B$3:$B$5001,$A$23,Base!$L$3:$L$5001,"&lt;&gt;")=0,"",SUMIFS(Base!$L$3:$L$5001,Base!$A$3:$A$5001,W$3,Base!$B$3:$B$5001,$A$23)))</f>
        <v>2</v>
      </c>
      <c r="X26" s="45">
        <f>IF(X$3="","",IF(COUNTIFS(Base!$A$3:$A$5001,X$3,Base!$B$3:$B$5001,$A$23,Base!$L$3:$L$5001,"&lt;&gt;")=0,"",SUMIFS(Base!$L$3:$L$5001,Base!$A$3:$A$5001,X$3,Base!$B$3:$B$5001,$A$23)))</f>
        <v>11</v>
      </c>
      <c r="Y26" s="45" t="str">
        <f>IF(Y$3="","",IF(COUNTIFS(Base!$A$3:$A$5001,Y$3,Base!$B$3:$B$5001,$A$23,Base!$L$3:$L$5001,"&lt;&gt;")=0,"",SUMIFS(Base!$L$3:$L$5001,Base!$A$3:$A$5001,Y$3,Base!$B$3:$B$5001,$A$23)))</f>
        <v/>
      </c>
      <c r="Z26" s="45">
        <f>IF(Z$3="","",IF(COUNTIFS(Base!$A$3:$A$5001,Z$3,Base!$B$3:$B$5001,$A$23,Base!$L$3:$L$5001,"&lt;&gt;")=0,"",SUMIFS(Base!$L$3:$L$5001,Base!$A$3:$A$5001,Z$3,Base!$B$3:$B$5001,$A$23)))</f>
        <v>8</v>
      </c>
      <c r="AA26" s="45">
        <f>IF(AA$3="","",IF(COUNTIFS(Base!$A$3:$A$5001,AA$3,Base!$B$3:$B$5001,$A$23,Base!$L$3:$L$5001,"&lt;&gt;")=0,"",SUMIFS(Base!$L$3:$L$5001,Base!$A$3:$A$5001,AA$3,Base!$B$3:$B$5001,$A$23)))</f>
        <v>8</v>
      </c>
      <c r="AB26" s="45">
        <f>IF(AB$3="","",IF(COUNTIFS(Base!$A$3:$A$5001,AB$3,Base!$B$3:$B$5001,$A$23,Base!$L$3:$L$5001,"&lt;&gt;")=0,"",SUMIFS(Base!$L$3:$L$5001,Base!$A$3:$A$5001,AB$3,Base!$B$3:$B$5001,$A$23)))</f>
        <v>2</v>
      </c>
      <c r="AC26" s="45">
        <f>IF(AC$3="","",IF(COUNTIFS(Base!$A$3:$A$5001,AC$3,Base!$B$3:$B$5001,$A$23,Base!$L$3:$L$5001,"&lt;&gt;")=0,"",SUMIFS(Base!$L$3:$L$5001,Base!$A$3:$A$5001,AC$3,Base!$B$3:$B$5001,$A$23)))</f>
        <v>4</v>
      </c>
      <c r="AD26" s="45">
        <f>IF(AD$3="","",IF(COUNTIFS(Base!$A$3:$A$5001,AD$3,Base!$B$3:$B$5001,$A$23,Base!$L$3:$L$5001,"&lt;&gt;")=0,"",SUMIFS(Base!$L$3:$L$5001,Base!$A$3:$A$5001,AD$3,Base!$B$3:$B$5001,$A$23)))</f>
        <v>4</v>
      </c>
      <c r="AE26" s="45">
        <f>IF(AE$3="","",IF(COUNTIFS(Base!$A$3:$A$5001,AE$3,Base!$B$3:$B$5001,$A$23,Base!$L$3:$L$5001,"&lt;&gt;")=0,"",SUMIFS(Base!$L$3:$L$5001,Base!$A$3:$A$5001,AE$3,Base!$B$3:$B$5001,$A$23)))</f>
        <v>3</v>
      </c>
      <c r="AF26" s="45" t="str">
        <f>IF(AF$3="","",IF(COUNTIFS(Base!$A$3:$A$5001,AF$3,Base!$B$3:$B$5001,$A$23,Base!$L$3:$L$5001,"&lt;&gt;")=0,"",SUMIFS(Base!$L$3:$L$5001,Base!$A$3:$A$5001,AF$3,Base!$B$3:$B$5001,$A$23)))</f>
        <v/>
      </c>
      <c r="AG26" s="45">
        <f>IF(AG$3="","",IF(COUNTIFS(Base!$A$3:$A$5001,AG$3,Base!$B$3:$B$5001,$A$23,Base!$L$3:$L$5001,"&lt;&gt;")=0,"",SUMIFS(Base!$L$3:$L$5001,Base!$A$3:$A$5001,AG$3,Base!$B$3:$B$5001,$A$23)))</f>
        <v>6</v>
      </c>
      <c r="AH26" s="45">
        <f>IF(AH$3="","",IF(COUNTIFS(Base!$A$3:$A$5001,AH$3,Base!$B$3:$B$5001,$A$23,Base!$L$3:$L$5001,"&lt;&gt;")=0,"",SUMIFS(Base!$L$3:$L$5001,Base!$A$3:$A$5001,AH$3,Base!$B$3:$B$5001,$A$23)))</f>
        <v>11</v>
      </c>
      <c r="AI26" s="45" t="str">
        <f>IF(AI$3="","",IF(COUNTIFS(Base!$A$3:$A$5001,AI$3,Base!$B$3:$B$5001,$A$23,Base!$L$3:$L$5001,"&lt;&gt;")=0,"",SUMIFS(Base!$L$3:$L$5001,Base!$A$3:$A$5001,AI$3,Base!$B$3:$B$5001,$A$23)))</f>
        <v/>
      </c>
      <c r="AJ26" s="46" t="str">
        <f>IF(AJ$3="","",IF(COUNTIFS(Base!$A$3:$A$5001,AJ$3,Base!$B$3:$B$5001,$A$23,Base!$L$3:$L$5001,"&lt;&gt;")=0,"",SUMIFS(Base!$L$3:$L$5001,Base!$A$3:$A$5001,AJ$3,Base!$B$3:$B$5001,$A$23)))</f>
        <v/>
      </c>
      <c r="AK26" s="47">
        <f>IF(COUNT(F26:AJ26)=0,"",SUM(F26:AJ26))</f>
        <v>154</v>
      </c>
    </row>
    <row r="27" ht="15.75" customHeight="1">
      <c r="A27" s="118"/>
      <c r="B27" s="109"/>
      <c r="C27" s="48" t="inlineStr">
        <is>
          <t xml:space="preserve">Pallets Movimentados</t>
        </is>
      </c>
      <c r="D27" s="49" t="str">
        <f>IFERROR(1/(1/INDEX(calculos!$C$55:$K$83,MATCH("OUT Pallets Movimentados",calculos!$A$55:$A$83,0),MATCH($A$23,calculos!$C$54:$K$54,0))),"")</f>
        <v/>
      </c>
      <c r="E27" s="50"/>
      <c r="F27" s="51">
        <f>IF(F$3="","",IF(COUNTIFS(Base!$A$3:$A$5001,F$3,Base!$B$3:$B$5001,$A$23,Base!$M$3:$M$5001,"&lt;&gt;")=0,"",SUMIFS(Base!$M$3:$M$5001,Base!$A$3:$A$5001,F$3,Base!$B$3:$B$5001,$A$23)))</f>
        <v>144</v>
      </c>
      <c r="G27" s="52">
        <f>IF(G$3="","",IF(COUNTIFS(Base!$A$3:$A$5001,G$3,Base!$B$3:$B$5001,$A$23,Base!$M$3:$M$5001,"&lt;&gt;")=0,"",SUMIFS(Base!$M$3:$M$5001,Base!$A$3:$A$5001,G$3,Base!$B$3:$B$5001,$A$23)))</f>
        <v>28</v>
      </c>
      <c r="H27" s="52">
        <f>IF(H$3="","",IF(COUNTIFS(Base!$A$3:$A$5001,H$3,Base!$B$3:$B$5001,$A$23,Base!$M$3:$M$5001,"&lt;&gt;")=0,"",SUMIFS(Base!$M$3:$M$5001,Base!$A$3:$A$5001,H$3,Base!$B$3:$B$5001,$A$23)))</f>
        <v>66</v>
      </c>
      <c r="I27" s="52">
        <f>IF(I$3="","",IF(COUNTIFS(Base!$A$3:$A$5001,I$3,Base!$B$3:$B$5001,$A$23,Base!$M$3:$M$5001,"&lt;&gt;")=0,"",SUMIFS(Base!$M$3:$M$5001,Base!$A$3:$A$5001,I$3,Base!$B$3:$B$5001,$A$23)))</f>
        <v>76</v>
      </c>
      <c r="J27" s="52">
        <f>IF(J$3="","",IF(COUNTIFS(Base!$A$3:$A$5001,J$3,Base!$B$3:$B$5001,$A$23,Base!$M$3:$M$5001,"&lt;&gt;")=0,"",SUMIFS(Base!$M$3:$M$5001,Base!$A$3:$A$5001,J$3,Base!$B$3:$B$5001,$A$23)))</f>
        <v>127</v>
      </c>
      <c r="K27" s="52" t="str">
        <f>IF(K$3="","",IF(COUNTIFS(Base!$A$3:$A$5001,K$3,Base!$B$3:$B$5001,$A$23,Base!$M$3:$M$5001,"&lt;&gt;")=0,"",SUMIFS(Base!$M$3:$M$5001,Base!$A$3:$A$5001,K$3,Base!$B$3:$B$5001,$A$23)))</f>
        <v/>
      </c>
      <c r="L27" s="52">
        <f>IF(L$3="","",IF(COUNTIFS(Base!$A$3:$A$5001,L$3,Base!$B$3:$B$5001,$A$23,Base!$M$3:$M$5001,"&lt;&gt;")=0,"",SUMIFS(Base!$M$3:$M$5001,Base!$A$3:$A$5001,L$3,Base!$B$3:$B$5001,$A$23)))</f>
        <v>36</v>
      </c>
      <c r="M27" s="52">
        <f>IF(M$3="","",IF(COUNTIFS(Base!$A$3:$A$5001,M$3,Base!$B$3:$B$5001,$A$23,Base!$M$3:$M$5001,"&lt;&gt;")=0,"",SUMIFS(Base!$M$3:$M$5001,Base!$A$3:$A$5001,M$3,Base!$B$3:$B$5001,$A$23)))</f>
        <v>62</v>
      </c>
      <c r="N27" s="52">
        <f>IF(N$3="","",IF(COUNTIFS(Base!$A$3:$A$5001,N$3,Base!$B$3:$B$5001,$A$23,Base!$M$3:$M$5001,"&lt;&gt;")=0,"",SUMIFS(Base!$M$3:$M$5001,Base!$A$3:$A$5001,N$3,Base!$B$3:$B$5001,$A$23)))</f>
        <v>52</v>
      </c>
      <c r="O27" s="52">
        <f>IF(O$3="","",IF(COUNTIFS(Base!$A$3:$A$5001,O$3,Base!$B$3:$B$5001,$A$23,Base!$M$3:$M$5001,"&lt;&gt;")=0,"",SUMIFS(Base!$M$3:$M$5001,Base!$A$3:$A$5001,O$3,Base!$B$3:$B$5001,$A$23)))</f>
        <v>139</v>
      </c>
      <c r="P27" s="52">
        <f>IF(P$3="","",IF(COUNTIFS(Base!$A$3:$A$5001,P$3,Base!$B$3:$B$5001,$A$23,Base!$M$3:$M$5001,"&lt;&gt;")=0,"",SUMIFS(Base!$M$3:$M$5001,Base!$A$3:$A$5001,P$3,Base!$B$3:$B$5001,$A$23)))</f>
        <v>40</v>
      </c>
      <c r="Q27" s="52">
        <f>IF(Q$3="","",IF(COUNTIFS(Base!$A$3:$A$5001,Q$3,Base!$B$3:$B$5001,$A$23,Base!$M$3:$M$5001,"&lt;&gt;")=0,"",SUMIFS(Base!$M$3:$M$5001,Base!$A$3:$A$5001,Q$3,Base!$B$3:$B$5001,$A$23)))</f>
        <v>93</v>
      </c>
      <c r="R27" s="52" t="str">
        <f>IF(R$3="","",IF(COUNTIFS(Base!$A$3:$A$5001,R$3,Base!$B$3:$B$5001,$A$23,Base!$M$3:$M$5001,"&lt;&gt;")=0,"",SUMIFS(Base!$M$3:$M$5001,Base!$A$3:$A$5001,R$3,Base!$B$3:$B$5001,$A$23)))</f>
        <v/>
      </c>
      <c r="S27" s="52">
        <f>IF(S$3="","",IF(COUNTIFS(Base!$A$3:$A$5001,S$3,Base!$B$3:$B$5001,$A$23,Base!$M$3:$M$5001,"&lt;&gt;")=0,"",SUMIFS(Base!$M$3:$M$5001,Base!$A$3:$A$5001,S$3,Base!$B$3:$B$5001,$A$23)))</f>
        <v>136</v>
      </c>
      <c r="T27" s="52">
        <f>IF(T$3="","",IF(COUNTIFS(Base!$A$3:$A$5001,T$3,Base!$B$3:$B$5001,$A$23,Base!$M$3:$M$5001,"&lt;&gt;")=0,"",SUMIFS(Base!$M$3:$M$5001,Base!$A$3:$A$5001,T$3,Base!$B$3:$B$5001,$A$23)))</f>
        <v>154</v>
      </c>
      <c r="U27" s="52">
        <f>IF(U$3="","",IF(COUNTIFS(Base!$A$3:$A$5001,U$3,Base!$B$3:$B$5001,$A$23,Base!$M$3:$M$5001,"&lt;&gt;")=0,"",SUMIFS(Base!$M$3:$M$5001,Base!$A$3:$A$5001,U$3,Base!$B$3:$B$5001,$A$23)))</f>
        <v>112</v>
      </c>
      <c r="V27" s="52">
        <f>IF(V$3="","",IF(COUNTIFS(Base!$A$3:$A$5001,V$3,Base!$B$3:$B$5001,$A$23,Base!$M$3:$M$5001,"&lt;&gt;")=0,"",SUMIFS(Base!$M$3:$M$5001,Base!$A$3:$A$5001,V$3,Base!$B$3:$B$5001,$A$23)))</f>
        <v>144</v>
      </c>
      <c r="W27" s="52">
        <f>IF(W$3="","",IF(COUNTIFS(Base!$A$3:$A$5001,W$3,Base!$B$3:$B$5001,$A$23,Base!$M$3:$M$5001,"&lt;&gt;")=0,"",SUMIFS(Base!$M$3:$M$5001,Base!$A$3:$A$5001,W$3,Base!$B$3:$B$5001,$A$23)))</f>
        <v>145</v>
      </c>
      <c r="X27" s="52">
        <f>IF(X$3="","",IF(COUNTIFS(Base!$A$3:$A$5001,X$3,Base!$B$3:$B$5001,$A$23,Base!$M$3:$M$5001,"&lt;&gt;")=0,"",SUMIFS(Base!$M$3:$M$5001,Base!$A$3:$A$5001,X$3,Base!$B$3:$B$5001,$A$23)))</f>
        <v>49</v>
      </c>
      <c r="Y27" s="52" t="str">
        <f>IF(Y$3="","",IF(COUNTIFS(Base!$A$3:$A$5001,Y$3,Base!$B$3:$B$5001,$A$23,Base!$M$3:$M$5001,"&lt;&gt;")=0,"",SUMIFS(Base!$M$3:$M$5001,Base!$A$3:$A$5001,Y$3,Base!$B$3:$B$5001,$A$23)))</f>
        <v/>
      </c>
      <c r="Z27" s="52">
        <f>IF(Z$3="","",IF(COUNTIFS(Base!$A$3:$A$5001,Z$3,Base!$B$3:$B$5001,$A$23,Base!$M$3:$M$5001,"&lt;&gt;")=0,"",SUMIFS(Base!$M$3:$M$5001,Base!$A$3:$A$5001,Z$3,Base!$B$3:$B$5001,$A$23)))</f>
        <v>112</v>
      </c>
      <c r="AA27" s="52">
        <f>IF(AA$3="","",IF(COUNTIFS(Base!$A$3:$A$5001,AA$3,Base!$B$3:$B$5001,$A$23,Base!$M$3:$M$5001,"&lt;&gt;")=0,"",SUMIFS(Base!$M$3:$M$5001,Base!$A$3:$A$5001,AA$3,Base!$B$3:$B$5001,$A$23)))</f>
        <v>47</v>
      </c>
      <c r="AB27" s="52">
        <f>IF(AB$3="","",IF(COUNTIFS(Base!$A$3:$A$5001,AB$3,Base!$B$3:$B$5001,$A$23,Base!$M$3:$M$5001,"&lt;&gt;")=0,"",SUMIFS(Base!$M$3:$M$5001,Base!$A$3:$A$5001,AB$3,Base!$B$3:$B$5001,$A$23)))</f>
        <v>83</v>
      </c>
      <c r="AC27" s="52">
        <f>IF(AC$3="","",IF(COUNTIFS(Base!$A$3:$A$5001,AC$3,Base!$B$3:$B$5001,$A$23,Base!$M$3:$M$5001,"&lt;&gt;")=0,"",SUMIFS(Base!$M$3:$M$5001,Base!$A$3:$A$5001,AC$3,Base!$B$3:$B$5001,$A$23)))</f>
        <v>151</v>
      </c>
      <c r="AD27" s="52">
        <f>IF(AD$3="","",IF(COUNTIFS(Base!$A$3:$A$5001,AD$3,Base!$B$3:$B$5001,$A$23,Base!$M$3:$M$5001,"&lt;&gt;")=0,"",SUMIFS(Base!$M$3:$M$5001,Base!$A$3:$A$5001,AD$3,Base!$B$3:$B$5001,$A$23)))</f>
        <v>72</v>
      </c>
      <c r="AE27" s="52">
        <f>IF(AE$3="","",IF(COUNTIFS(Base!$A$3:$A$5001,AE$3,Base!$B$3:$B$5001,$A$23,Base!$M$3:$M$5001,"&lt;&gt;")=0,"",SUMIFS(Base!$M$3:$M$5001,Base!$A$3:$A$5001,AE$3,Base!$B$3:$B$5001,$A$23)))</f>
        <v>125</v>
      </c>
      <c r="AF27" s="52" t="str">
        <f>IF(AF$3="","",IF(COUNTIFS(Base!$A$3:$A$5001,AF$3,Base!$B$3:$B$5001,$A$23,Base!$M$3:$M$5001,"&lt;&gt;")=0,"",SUMIFS(Base!$M$3:$M$5001,Base!$A$3:$A$5001,AF$3,Base!$B$3:$B$5001,$A$23)))</f>
        <v/>
      </c>
      <c r="AG27" s="52">
        <f>IF(AG$3="","",IF(COUNTIFS(Base!$A$3:$A$5001,AG$3,Base!$B$3:$B$5001,$A$23,Base!$M$3:$M$5001,"&lt;&gt;")=0,"",SUMIFS(Base!$M$3:$M$5001,Base!$A$3:$A$5001,AG$3,Base!$B$3:$B$5001,$A$23)))</f>
        <v>99</v>
      </c>
      <c r="AH27" s="52">
        <f>IF(AH$3="","",IF(COUNTIFS(Base!$A$3:$A$5001,AH$3,Base!$B$3:$B$5001,$A$23,Base!$M$3:$M$5001,"&lt;&gt;")=0,"",SUMIFS(Base!$M$3:$M$5001,Base!$A$3:$A$5001,AH$3,Base!$B$3:$B$5001,$A$23)))</f>
        <v>127</v>
      </c>
      <c r="AI27" s="52" t="str">
        <f>IF(AI$3="","",IF(COUNTIFS(Base!$A$3:$A$5001,AI$3,Base!$B$3:$B$5001,$A$23,Base!$M$3:$M$5001,"&lt;&gt;")=0,"",SUMIFS(Base!$M$3:$M$5001,Base!$A$3:$A$5001,AI$3,Base!$B$3:$B$5001,$A$23)))</f>
        <v/>
      </c>
      <c r="AJ27" s="53" t="str">
        <f>IF(AJ$3="","",IF(COUNTIFS(Base!$A$3:$A$5001,AJ$3,Base!$B$3:$B$5001,$A$23,Base!$M$3:$M$5001,"&lt;&gt;")=0,"",SUMIFS(Base!$M$3:$M$5001,Base!$A$3:$A$5001,AJ$3,Base!$B$3:$B$5001,$A$23)))</f>
        <v/>
      </c>
      <c r="AK27" s="54">
        <f>IF(COUNT(F27:AJ27)=0,"",SUM(F27:AJ27))</f>
        <v>2419</v>
      </c>
    </row>
    <row r="28" ht="15.75" customHeight="1">
      <c r="A28" s="118"/>
      <c r="B28" s="110"/>
      <c r="C28" s="55" t="inlineStr">
        <is>
          <t xml:space="preserve">Pedidos Expedidos</t>
        </is>
      </c>
      <c r="D28" s="473" t="str">
        <f>IFERROR(1/(1/INDEX(calculos!$C$55:$K$83,MATCH("OUT Pedidos Expedidos",calculos!$A$55:$A$83,0),MATCH($A$23,calculos!$C$54:$K$54,0))),"")</f>
        <v/>
      </c>
      <c r="E28" s="57"/>
      <c r="F28" s="474">
        <f>IF(F$3="","",IF(COUNTIFS(Base!$A$3:$A$5001,F$3,Base!$B$3:$B$5001,$A$23,Base!$P$3:$P$5001,"&lt;&gt;")=0,"",SUMIFS(Base!$P$3:$P$5001,Base!$A$3:$A$5001,F$3,Base!$B$3:$B$5001,$A$23)))</f>
        <v>111</v>
      </c>
      <c r="G28" s="475">
        <f>IF(G$3="","",IF(COUNTIFS(Base!$A$3:$A$5001,G$3,Base!$B$3:$B$5001,$A$23,Base!$P$3:$P$5001,"&lt;&gt;")=0,"",SUMIFS(Base!$P$3:$P$5001,Base!$A$3:$A$5001,G$3,Base!$B$3:$B$5001,$A$23)))</f>
        <v>270</v>
      </c>
      <c r="H28" s="475">
        <f>IF(H$3="","",IF(COUNTIFS(Base!$A$3:$A$5001,H$3,Base!$B$3:$B$5001,$A$23,Base!$P$3:$P$5001,"&lt;&gt;")=0,"",SUMIFS(Base!$P$3:$P$5001,Base!$A$3:$A$5001,H$3,Base!$B$3:$B$5001,$A$23)))</f>
        <v>432</v>
      </c>
      <c r="I28" s="475">
        <f>IF(I$3="","",IF(COUNTIFS(Base!$A$3:$A$5001,I$3,Base!$B$3:$B$5001,$A$23,Base!$P$3:$P$5001,"&lt;&gt;")=0,"",SUMIFS(Base!$P$3:$P$5001,Base!$A$3:$A$5001,I$3,Base!$B$3:$B$5001,$A$23)))</f>
        <v>497</v>
      </c>
      <c r="J28" s="475">
        <f>IF(J$3="","",IF(COUNTIFS(Base!$A$3:$A$5001,J$3,Base!$B$3:$B$5001,$A$23,Base!$P$3:$P$5001,"&lt;&gt;")=0,"",SUMIFS(Base!$P$3:$P$5001,Base!$A$3:$A$5001,J$3,Base!$B$3:$B$5001,$A$23)))</f>
        <v>560</v>
      </c>
      <c r="K28" s="475" t="str">
        <f>IF(K$3="","",IF(COUNTIFS(Base!$A$3:$A$5001,K$3,Base!$B$3:$B$5001,$A$23,Base!$P$3:$P$5001,"&lt;&gt;")=0,"",SUMIFS(Base!$P$3:$P$5001,Base!$A$3:$A$5001,K$3,Base!$B$3:$B$5001,$A$23)))</f>
        <v/>
      </c>
      <c r="L28" s="475">
        <f>IF(L$3="","",IF(COUNTIFS(Base!$A$3:$A$5001,L$3,Base!$B$3:$B$5001,$A$23,Base!$P$3:$P$5001,"&lt;&gt;")=0,"",SUMIFS(Base!$P$3:$P$5001,Base!$A$3:$A$5001,L$3,Base!$B$3:$B$5001,$A$23)))</f>
        <v>122</v>
      </c>
      <c r="M28" s="475">
        <f>IF(M$3="","",IF(COUNTIFS(Base!$A$3:$A$5001,M$3,Base!$B$3:$B$5001,$A$23,Base!$P$3:$P$5001,"&lt;&gt;")=0,"",SUMIFS(Base!$P$3:$P$5001,Base!$A$3:$A$5001,M$3,Base!$B$3:$B$5001,$A$23)))</f>
        <v>491</v>
      </c>
      <c r="N28" s="475">
        <f>IF(N$3="","",IF(COUNTIFS(Base!$A$3:$A$5001,N$3,Base!$B$3:$B$5001,$A$23,Base!$P$3:$P$5001,"&lt;&gt;")=0,"",SUMIFS(Base!$P$3:$P$5001,Base!$A$3:$A$5001,N$3,Base!$B$3:$B$5001,$A$23)))</f>
        <v>574</v>
      </c>
      <c r="O28" s="475">
        <f>IF(O$3="","",IF(COUNTIFS(Base!$A$3:$A$5001,O$3,Base!$B$3:$B$5001,$A$23,Base!$P$3:$P$5001,"&lt;&gt;")=0,"",SUMIFS(Base!$P$3:$P$5001,Base!$A$3:$A$5001,O$3,Base!$B$3:$B$5001,$A$23)))</f>
        <v>279</v>
      </c>
      <c r="P28" s="475">
        <f>IF(P$3="","",IF(COUNTIFS(Base!$A$3:$A$5001,P$3,Base!$B$3:$B$5001,$A$23,Base!$P$3:$P$5001,"&lt;&gt;")=0,"",SUMIFS(Base!$P$3:$P$5001,Base!$A$3:$A$5001,P$3,Base!$B$3:$B$5001,$A$23)))</f>
        <v>673</v>
      </c>
      <c r="Q28" s="475">
        <f>IF(Q$3="","",IF(COUNTIFS(Base!$A$3:$A$5001,Q$3,Base!$B$3:$B$5001,$A$23,Base!$P$3:$P$5001,"&lt;&gt;")=0,"",SUMIFS(Base!$P$3:$P$5001,Base!$A$3:$A$5001,Q$3,Base!$B$3:$B$5001,$A$23)))</f>
        <v>92</v>
      </c>
      <c r="R28" s="475" t="str">
        <f>IF(R$3="","",IF(COUNTIFS(Base!$A$3:$A$5001,R$3,Base!$B$3:$B$5001,$A$23,Base!$P$3:$P$5001,"&lt;&gt;")=0,"",SUMIFS(Base!$P$3:$P$5001,Base!$A$3:$A$5001,R$3,Base!$B$3:$B$5001,$A$23)))</f>
        <v/>
      </c>
      <c r="S28" s="475">
        <f>IF(S$3="","",IF(COUNTIFS(Base!$A$3:$A$5001,S$3,Base!$B$3:$B$5001,$A$23,Base!$P$3:$P$5001,"&lt;&gt;")=0,"",SUMIFS(Base!$P$3:$P$5001,Base!$A$3:$A$5001,S$3,Base!$B$3:$B$5001,$A$23)))</f>
        <v>108</v>
      </c>
      <c r="T28" s="475">
        <f>IF(T$3="","",IF(COUNTIFS(Base!$A$3:$A$5001,T$3,Base!$B$3:$B$5001,$A$23,Base!$P$3:$P$5001,"&lt;&gt;")=0,"",SUMIFS(Base!$P$3:$P$5001,Base!$A$3:$A$5001,T$3,Base!$B$3:$B$5001,$A$23)))</f>
        <v>492</v>
      </c>
      <c r="U28" s="475">
        <f>IF(U$3="","",IF(COUNTIFS(Base!$A$3:$A$5001,U$3,Base!$B$3:$B$5001,$A$23,Base!$P$3:$P$5001,"&lt;&gt;")=0,"",SUMIFS(Base!$P$3:$P$5001,Base!$A$3:$A$5001,U$3,Base!$B$3:$B$5001,$A$23)))</f>
        <v>136</v>
      </c>
      <c r="V28" s="475">
        <f>IF(V$3="","",IF(COUNTIFS(Base!$A$3:$A$5001,V$3,Base!$B$3:$B$5001,$A$23,Base!$P$3:$P$5001,"&lt;&gt;")=0,"",SUMIFS(Base!$P$3:$P$5001,Base!$A$3:$A$5001,V$3,Base!$B$3:$B$5001,$A$23)))</f>
        <v>618</v>
      </c>
      <c r="W28" s="475">
        <f>IF(W$3="","",IF(COUNTIFS(Base!$A$3:$A$5001,W$3,Base!$B$3:$B$5001,$A$23,Base!$P$3:$P$5001,"&lt;&gt;")=0,"",SUMIFS(Base!$P$3:$P$5001,Base!$A$3:$A$5001,W$3,Base!$B$3:$B$5001,$A$23)))</f>
        <v>217</v>
      </c>
      <c r="X28" s="475">
        <f>IF(X$3="","",IF(COUNTIFS(Base!$A$3:$A$5001,X$3,Base!$B$3:$B$5001,$A$23,Base!$P$3:$P$5001,"&lt;&gt;")=0,"",SUMIFS(Base!$P$3:$P$5001,Base!$A$3:$A$5001,X$3,Base!$B$3:$B$5001,$A$23)))</f>
        <v>667</v>
      </c>
      <c r="Y28" s="475" t="str">
        <f>IF(Y$3="","",IF(COUNTIFS(Base!$A$3:$A$5001,Y$3,Base!$B$3:$B$5001,$A$23,Base!$P$3:$P$5001,"&lt;&gt;")=0,"",SUMIFS(Base!$P$3:$P$5001,Base!$A$3:$A$5001,Y$3,Base!$B$3:$B$5001,$A$23)))</f>
        <v/>
      </c>
      <c r="Z28" s="475">
        <f>IF(Z$3="","",IF(COUNTIFS(Base!$A$3:$A$5001,Z$3,Base!$B$3:$B$5001,$A$23,Base!$P$3:$P$5001,"&lt;&gt;")=0,"",SUMIFS(Base!$P$3:$P$5001,Base!$A$3:$A$5001,Z$3,Base!$B$3:$B$5001,$A$23)))</f>
        <v>93</v>
      </c>
      <c r="AA28" s="475">
        <f>IF(AA$3="","",IF(COUNTIFS(Base!$A$3:$A$5001,AA$3,Base!$B$3:$B$5001,$A$23,Base!$P$3:$P$5001,"&lt;&gt;")=0,"",SUMIFS(Base!$P$3:$P$5001,Base!$A$3:$A$5001,AA$3,Base!$B$3:$B$5001,$A$23)))</f>
        <v>366</v>
      </c>
      <c r="AB28" s="475">
        <f>IF(AB$3="","",IF(COUNTIFS(Base!$A$3:$A$5001,AB$3,Base!$B$3:$B$5001,$A$23,Base!$P$3:$P$5001,"&lt;&gt;")=0,"",SUMIFS(Base!$P$3:$P$5001,Base!$A$3:$A$5001,AB$3,Base!$B$3:$B$5001,$A$23)))</f>
        <v>91</v>
      </c>
      <c r="AC28" s="475">
        <f>IF(AC$3="","",IF(COUNTIFS(Base!$A$3:$A$5001,AC$3,Base!$B$3:$B$5001,$A$23,Base!$P$3:$P$5001,"&lt;&gt;")=0,"",SUMIFS(Base!$P$3:$P$5001,Base!$A$3:$A$5001,AC$3,Base!$B$3:$B$5001,$A$23)))</f>
        <v>582</v>
      </c>
      <c r="AD28" s="475">
        <f>IF(AD$3="","",IF(COUNTIFS(Base!$A$3:$A$5001,AD$3,Base!$B$3:$B$5001,$A$23,Base!$P$3:$P$5001,"&lt;&gt;")=0,"",SUMIFS(Base!$P$3:$P$5001,Base!$A$3:$A$5001,AD$3,Base!$B$3:$B$5001,$A$23)))</f>
        <v>490</v>
      </c>
      <c r="AE28" s="475">
        <f>IF(AE$3="","",IF(COUNTIFS(Base!$A$3:$A$5001,AE$3,Base!$B$3:$B$5001,$A$23,Base!$P$3:$P$5001,"&lt;&gt;")=0,"",SUMIFS(Base!$P$3:$P$5001,Base!$A$3:$A$5001,AE$3,Base!$B$3:$B$5001,$A$23)))</f>
        <v>171</v>
      </c>
      <c r="AF28" s="475" t="str">
        <f>IF(AF$3="","",IF(COUNTIFS(Base!$A$3:$A$5001,AF$3,Base!$B$3:$B$5001,$A$23,Base!$P$3:$P$5001,"&lt;&gt;")=0,"",SUMIFS(Base!$P$3:$P$5001,Base!$A$3:$A$5001,AF$3,Base!$B$3:$B$5001,$A$23)))</f>
        <v/>
      </c>
      <c r="AG28" s="475">
        <f>IF(AG$3="","",IF(COUNTIFS(Base!$A$3:$A$5001,AG$3,Base!$B$3:$B$5001,$A$23,Base!$P$3:$P$5001,"&lt;&gt;")=0,"",SUMIFS(Base!$P$3:$P$5001,Base!$A$3:$A$5001,AG$3,Base!$B$3:$B$5001,$A$23)))</f>
        <v>407</v>
      </c>
      <c r="AH28" s="475">
        <f>IF(AH$3="","",IF(COUNTIFS(Base!$A$3:$A$5001,AH$3,Base!$B$3:$B$5001,$A$23,Base!$P$3:$P$5001,"&lt;&gt;")=0,"",SUMIFS(Base!$P$3:$P$5001,Base!$A$3:$A$5001,AH$3,Base!$B$3:$B$5001,$A$23)))</f>
        <v>160</v>
      </c>
      <c r="AI28" s="475" t="str">
        <f>IF(AI$3="","",IF(COUNTIFS(Base!$A$3:$A$5001,AI$3,Base!$B$3:$B$5001,$A$23,Base!$P$3:$P$5001,"&lt;&gt;")=0,"",SUMIFS(Base!$P$3:$P$5001,Base!$A$3:$A$5001,AI$3,Base!$B$3:$B$5001,$A$23)))</f>
        <v/>
      </c>
      <c r="AJ28" s="476" t="str">
        <f>IF(AJ$3="","",IF(COUNTIFS(Base!$A$3:$A$5001,AJ$3,Base!$B$3:$B$5001,$A$23,Base!$P$3:$P$5001,"&lt;&gt;")=0,"",SUMIFS(Base!$P$3:$P$5001,Base!$A$3:$A$5001,AJ$3,Base!$B$3:$B$5001,$A$23)))</f>
        <v/>
      </c>
      <c r="AK28" s="473">
        <f>IF(COUNT(F28:AJ28)=0,"",SUM(F28:AJ28))</f>
        <v>8699</v>
      </c>
    </row>
    <row r="29" ht="15.75" customHeight="1">
      <c r="A29" s="118"/>
      <c r="B29" s="111" t="inlineStr">
        <is>
          <t xml:space="preserve">NC</t>
        </is>
      </c>
      <c r="C29" s="61" t="inlineStr">
        <is>
          <t xml:space="preserve">Incidentes</t>
        </is>
      </c>
      <c r="D29" s="62" t="str">
        <f>IFERROR(1/(1/INDEX(calculos!$C$55:$K$83,MATCH("NC Incidentes",calculos!$A$55:$A$83,0),MATCH($A$23,calculos!$C$54:$K$54,0))),"")</f>
        <v/>
      </c>
      <c r="E29" s="63"/>
      <c r="F29" s="64">
        <f>IF(F$3="","",IF(COUNTIFS(Base!$A$3:$A$5001,F$3,Base!$B$3:$B$5001,$A$23,Base!$U$3:$U$5001,"&lt;&gt;")=0,"",SUMIFS(Base!$U$3:$U$5001,Base!$A$3:$A$5001,F$3,Base!$B$3:$B$5001,$A$23)))</f>
        <v>0</v>
      </c>
      <c r="G29" s="65">
        <f>IF(G$3="","",IF(COUNTIFS(Base!$A$3:$A$5001,G$3,Base!$B$3:$B$5001,$A$23,Base!$U$3:$U$5001,"&lt;&gt;")=0,"",SUMIFS(Base!$U$3:$U$5001,Base!$A$3:$A$5001,G$3,Base!$B$3:$B$5001,$A$23)))</f>
        <v>0</v>
      </c>
      <c r="H29" s="65">
        <f>IF(H$3="","",IF(COUNTIFS(Base!$A$3:$A$5001,H$3,Base!$B$3:$B$5001,$A$23,Base!$U$3:$U$5001,"&lt;&gt;")=0,"",SUMIFS(Base!$U$3:$U$5001,Base!$A$3:$A$5001,H$3,Base!$B$3:$B$5001,$A$23)))</f>
        <v>0</v>
      </c>
      <c r="I29" s="65">
        <f>IF(I$3="","",IF(COUNTIFS(Base!$A$3:$A$5001,I$3,Base!$B$3:$B$5001,$A$23,Base!$U$3:$U$5001,"&lt;&gt;")=0,"",SUMIFS(Base!$U$3:$U$5001,Base!$A$3:$A$5001,I$3,Base!$B$3:$B$5001,$A$23)))</f>
        <v>0</v>
      </c>
      <c r="J29" s="65">
        <f>IF(J$3="","",IF(COUNTIFS(Base!$A$3:$A$5001,J$3,Base!$B$3:$B$5001,$A$23,Base!$U$3:$U$5001,"&lt;&gt;")=0,"",SUMIFS(Base!$U$3:$U$5001,Base!$A$3:$A$5001,J$3,Base!$B$3:$B$5001,$A$23)))</f>
        <v>0</v>
      </c>
      <c r="K29" s="65" t="str">
        <f>IF(K$3="","",IF(COUNTIFS(Base!$A$3:$A$5001,K$3,Base!$B$3:$B$5001,$A$23,Base!$U$3:$U$5001,"&lt;&gt;")=0,"",SUMIFS(Base!$U$3:$U$5001,Base!$A$3:$A$5001,K$3,Base!$B$3:$B$5001,$A$23)))</f>
        <v/>
      </c>
      <c r="L29" s="65">
        <f>IF(L$3="","",IF(COUNTIFS(Base!$A$3:$A$5001,L$3,Base!$B$3:$B$5001,$A$23,Base!$U$3:$U$5001,"&lt;&gt;")=0,"",SUMIFS(Base!$U$3:$U$5001,Base!$A$3:$A$5001,L$3,Base!$B$3:$B$5001,$A$23)))</f>
        <v>0</v>
      </c>
      <c r="M29" s="65">
        <f>IF(M$3="","",IF(COUNTIFS(Base!$A$3:$A$5001,M$3,Base!$B$3:$B$5001,$A$23,Base!$U$3:$U$5001,"&lt;&gt;")=0,"",SUMIFS(Base!$U$3:$U$5001,Base!$A$3:$A$5001,M$3,Base!$B$3:$B$5001,$A$23)))</f>
        <v>0</v>
      </c>
      <c r="N29" s="65">
        <f>IF(N$3="","",IF(COUNTIFS(Base!$A$3:$A$5001,N$3,Base!$B$3:$B$5001,$A$23,Base!$U$3:$U$5001,"&lt;&gt;")=0,"",SUMIFS(Base!$U$3:$U$5001,Base!$A$3:$A$5001,N$3,Base!$B$3:$B$5001,$A$23)))</f>
        <v>0</v>
      </c>
      <c r="O29" s="65">
        <f>IF(O$3="","",IF(COUNTIFS(Base!$A$3:$A$5001,O$3,Base!$B$3:$B$5001,$A$23,Base!$U$3:$U$5001,"&lt;&gt;")=0,"",SUMIFS(Base!$U$3:$U$5001,Base!$A$3:$A$5001,O$3,Base!$B$3:$B$5001,$A$23)))</f>
        <v>0</v>
      </c>
      <c r="P29" s="65">
        <f>IF(P$3="","",IF(COUNTIFS(Base!$A$3:$A$5001,P$3,Base!$B$3:$B$5001,$A$23,Base!$U$3:$U$5001,"&lt;&gt;")=0,"",SUMIFS(Base!$U$3:$U$5001,Base!$A$3:$A$5001,P$3,Base!$B$3:$B$5001,$A$23)))</f>
        <v>0</v>
      </c>
      <c r="Q29" s="65">
        <f>IF(Q$3="","",IF(COUNTIFS(Base!$A$3:$A$5001,Q$3,Base!$B$3:$B$5001,$A$23,Base!$U$3:$U$5001,"&lt;&gt;")=0,"",SUMIFS(Base!$U$3:$U$5001,Base!$A$3:$A$5001,Q$3,Base!$B$3:$B$5001,$A$23)))</f>
        <v>0</v>
      </c>
      <c r="R29" s="65" t="str">
        <f>IF(R$3="","",IF(COUNTIFS(Base!$A$3:$A$5001,R$3,Base!$B$3:$B$5001,$A$23,Base!$U$3:$U$5001,"&lt;&gt;")=0,"",SUMIFS(Base!$U$3:$U$5001,Base!$A$3:$A$5001,R$3,Base!$B$3:$B$5001,$A$23)))</f>
        <v/>
      </c>
      <c r="S29" s="65">
        <f>IF(S$3="","",IF(COUNTIFS(Base!$A$3:$A$5001,S$3,Base!$B$3:$B$5001,$A$23,Base!$U$3:$U$5001,"&lt;&gt;")=0,"",SUMIFS(Base!$U$3:$U$5001,Base!$A$3:$A$5001,S$3,Base!$B$3:$B$5001,$A$23)))</f>
        <v>0</v>
      </c>
      <c r="T29" s="65">
        <f>IF(T$3="","",IF(COUNTIFS(Base!$A$3:$A$5001,T$3,Base!$B$3:$B$5001,$A$23,Base!$U$3:$U$5001,"&lt;&gt;")=0,"",SUMIFS(Base!$U$3:$U$5001,Base!$A$3:$A$5001,T$3,Base!$B$3:$B$5001,$A$23)))</f>
        <v>0</v>
      </c>
      <c r="U29" s="65">
        <f>IF(U$3="","",IF(COUNTIFS(Base!$A$3:$A$5001,U$3,Base!$B$3:$B$5001,$A$23,Base!$U$3:$U$5001,"&lt;&gt;")=0,"",SUMIFS(Base!$U$3:$U$5001,Base!$A$3:$A$5001,U$3,Base!$B$3:$B$5001,$A$23)))</f>
        <v>0</v>
      </c>
      <c r="V29" s="65">
        <f>IF(V$3="","",IF(COUNTIFS(Base!$A$3:$A$5001,V$3,Base!$B$3:$B$5001,$A$23,Base!$U$3:$U$5001,"&lt;&gt;")=0,"",SUMIFS(Base!$U$3:$U$5001,Base!$A$3:$A$5001,V$3,Base!$B$3:$B$5001,$A$23)))</f>
        <v>0</v>
      </c>
      <c r="W29" s="65">
        <f>IF(W$3="","",IF(COUNTIFS(Base!$A$3:$A$5001,W$3,Base!$B$3:$B$5001,$A$23,Base!$U$3:$U$5001,"&lt;&gt;")=0,"",SUMIFS(Base!$U$3:$U$5001,Base!$A$3:$A$5001,W$3,Base!$B$3:$B$5001,$A$23)))</f>
        <v>1</v>
      </c>
      <c r="X29" s="65">
        <f>IF(X$3="","",IF(COUNTIFS(Base!$A$3:$A$5001,X$3,Base!$B$3:$B$5001,$A$23,Base!$U$3:$U$5001,"&lt;&gt;")=0,"",SUMIFS(Base!$U$3:$U$5001,Base!$A$3:$A$5001,X$3,Base!$B$3:$B$5001,$A$23)))</f>
        <v>0</v>
      </c>
      <c r="Y29" s="65" t="str">
        <f>IF(Y$3="","",IF(COUNTIFS(Base!$A$3:$A$5001,Y$3,Base!$B$3:$B$5001,$A$23,Base!$U$3:$U$5001,"&lt;&gt;")=0,"",SUMIFS(Base!$U$3:$U$5001,Base!$A$3:$A$5001,Y$3,Base!$B$3:$B$5001,$A$23)))</f>
        <v/>
      </c>
      <c r="Z29" s="65">
        <f>IF(Z$3="","",IF(COUNTIFS(Base!$A$3:$A$5001,Z$3,Base!$B$3:$B$5001,$A$23,Base!$U$3:$U$5001,"&lt;&gt;")=0,"",SUMIFS(Base!$U$3:$U$5001,Base!$A$3:$A$5001,Z$3,Base!$B$3:$B$5001,$A$23)))</f>
        <v>0</v>
      </c>
      <c r="AA29" s="65">
        <f>IF(AA$3="","",IF(COUNTIFS(Base!$A$3:$A$5001,AA$3,Base!$B$3:$B$5001,$A$23,Base!$U$3:$U$5001,"&lt;&gt;")=0,"",SUMIFS(Base!$U$3:$U$5001,Base!$A$3:$A$5001,AA$3,Base!$B$3:$B$5001,$A$23)))</f>
        <v>0</v>
      </c>
      <c r="AB29" s="65">
        <f>IF(AB$3="","",IF(COUNTIFS(Base!$A$3:$A$5001,AB$3,Base!$B$3:$B$5001,$A$23,Base!$U$3:$U$5001,"&lt;&gt;")=0,"",SUMIFS(Base!$U$3:$U$5001,Base!$A$3:$A$5001,AB$3,Base!$B$3:$B$5001,$A$23)))</f>
        <v>0</v>
      </c>
      <c r="AC29" s="65">
        <f>IF(AC$3="","",IF(COUNTIFS(Base!$A$3:$A$5001,AC$3,Base!$B$3:$B$5001,$A$23,Base!$U$3:$U$5001,"&lt;&gt;")=0,"",SUMIFS(Base!$U$3:$U$5001,Base!$A$3:$A$5001,AC$3,Base!$B$3:$B$5001,$A$23)))</f>
        <v>0</v>
      </c>
      <c r="AD29" s="65">
        <f>IF(AD$3="","",IF(COUNTIFS(Base!$A$3:$A$5001,AD$3,Base!$B$3:$B$5001,$A$23,Base!$U$3:$U$5001,"&lt;&gt;")=0,"",SUMIFS(Base!$U$3:$U$5001,Base!$A$3:$A$5001,AD$3,Base!$B$3:$B$5001,$A$23)))</f>
        <v>0</v>
      </c>
      <c r="AE29" s="65">
        <f>IF(AE$3="","",IF(COUNTIFS(Base!$A$3:$A$5001,AE$3,Base!$B$3:$B$5001,$A$23,Base!$U$3:$U$5001,"&lt;&gt;")=0,"",SUMIFS(Base!$U$3:$U$5001,Base!$A$3:$A$5001,AE$3,Base!$B$3:$B$5001,$A$23)))</f>
        <v>0</v>
      </c>
      <c r="AF29" s="65" t="str">
        <f>IF(AF$3="","",IF(COUNTIFS(Base!$A$3:$A$5001,AF$3,Base!$B$3:$B$5001,$A$23,Base!$U$3:$U$5001,"&lt;&gt;")=0,"",SUMIFS(Base!$U$3:$U$5001,Base!$A$3:$A$5001,AF$3,Base!$B$3:$B$5001,$A$23)))</f>
        <v/>
      </c>
      <c r="AG29" s="65">
        <f>IF(AG$3="","",IF(COUNTIFS(Base!$A$3:$A$5001,AG$3,Base!$B$3:$B$5001,$A$23,Base!$U$3:$U$5001,"&lt;&gt;")=0,"",SUMIFS(Base!$U$3:$U$5001,Base!$A$3:$A$5001,AG$3,Base!$B$3:$B$5001,$A$23)))</f>
        <v>0</v>
      </c>
      <c r="AH29" s="65">
        <f>IF(AH$3="","",IF(COUNTIFS(Base!$A$3:$A$5001,AH$3,Base!$B$3:$B$5001,$A$23,Base!$U$3:$U$5001,"&lt;&gt;")=0,"",SUMIFS(Base!$U$3:$U$5001,Base!$A$3:$A$5001,AH$3,Base!$B$3:$B$5001,$A$23)))</f>
        <v>0</v>
      </c>
      <c r="AI29" s="65" t="str">
        <f>IF(AI$3="","",IF(COUNTIFS(Base!$A$3:$A$5001,AI$3,Base!$B$3:$B$5001,$A$23,Base!$U$3:$U$5001,"&lt;&gt;")=0,"",SUMIFS(Base!$U$3:$U$5001,Base!$A$3:$A$5001,AI$3,Base!$B$3:$B$5001,$A$23)))</f>
        <v/>
      </c>
      <c r="AJ29" s="66" t="str">
        <f>IF(AJ$3="","",IF(COUNTIFS(Base!$A$3:$A$5001,AJ$3,Base!$B$3:$B$5001,$A$23,Base!$U$3:$U$5001,"&lt;&gt;")=0,"",SUMIFS(Base!$U$3:$U$5001,Base!$A$3:$A$5001,AJ$3,Base!$B$3:$B$5001,$A$23)))</f>
        <v/>
      </c>
      <c r="AK29" s="67">
        <f>IF(COUNT(F29:AJ29)=0,"",SUM(F29:AJ29))</f>
        <v>1</v>
      </c>
    </row>
    <row r="30" ht="15.75" customHeight="1">
      <c r="A30" s="118"/>
      <c r="B30" s="112"/>
      <c r="C30" s="68" t="inlineStr">
        <is>
          <t xml:space="preserve">No show</t>
        </is>
      </c>
      <c r="D30" s="69" t="str">
        <f>IFERROR(1/(1/INDEX(calculos!$C$55:$K$83,MATCH("NC No show",calculos!$A$55:$A$83,0),MATCH($A$23,calculos!$C$54:$K$54,0))),"")</f>
        <v/>
      </c>
      <c r="E30" s="70"/>
      <c r="F30" s="71">
        <f>IF(F$3="","",IF(COUNTIFS(Base!$A$3:$A$5001,F$3,Base!$B$3:$B$5001,$A$23,Base!$V$3:$V$5001,"&lt;&gt;")=0,"",SUMIFS(Base!$V$3:$V$5001,Base!$A$3:$A$5001,F$3,Base!$B$3:$B$5001,$A$23)))</f>
        <v>0</v>
      </c>
      <c r="G30" s="72">
        <f>IF(G$3="","",IF(COUNTIFS(Base!$A$3:$A$5001,G$3,Base!$B$3:$B$5001,$A$23,Base!$V$3:$V$5001,"&lt;&gt;")=0,"",SUMIFS(Base!$V$3:$V$5001,Base!$A$3:$A$5001,G$3,Base!$B$3:$B$5001,$A$23)))</f>
        <v>0</v>
      </c>
      <c r="H30" s="72">
        <f>IF(H$3="","",IF(COUNTIFS(Base!$A$3:$A$5001,H$3,Base!$B$3:$B$5001,$A$23,Base!$V$3:$V$5001,"&lt;&gt;")=0,"",SUMIFS(Base!$V$3:$V$5001,Base!$A$3:$A$5001,H$3,Base!$B$3:$B$5001,$A$23)))</f>
        <v>0</v>
      </c>
      <c r="I30" s="72">
        <f>IF(I$3="","",IF(COUNTIFS(Base!$A$3:$A$5001,I$3,Base!$B$3:$B$5001,$A$23,Base!$V$3:$V$5001,"&lt;&gt;")=0,"",SUMIFS(Base!$V$3:$V$5001,Base!$A$3:$A$5001,I$3,Base!$B$3:$B$5001,$A$23)))</f>
        <v>0</v>
      </c>
      <c r="J30" s="72">
        <f>IF(J$3="","",IF(COUNTIFS(Base!$A$3:$A$5001,J$3,Base!$B$3:$B$5001,$A$23,Base!$V$3:$V$5001,"&lt;&gt;")=0,"",SUMIFS(Base!$V$3:$V$5001,Base!$A$3:$A$5001,J$3,Base!$B$3:$B$5001,$A$23)))</f>
        <v>0</v>
      </c>
      <c r="K30" s="72" t="str">
        <f>IF(K$3="","",IF(COUNTIFS(Base!$A$3:$A$5001,K$3,Base!$B$3:$B$5001,$A$23,Base!$V$3:$V$5001,"&lt;&gt;")=0,"",SUMIFS(Base!$V$3:$V$5001,Base!$A$3:$A$5001,K$3,Base!$B$3:$B$5001,$A$23)))</f>
        <v/>
      </c>
      <c r="L30" s="72">
        <f>IF(L$3="","",IF(COUNTIFS(Base!$A$3:$A$5001,L$3,Base!$B$3:$B$5001,$A$23,Base!$V$3:$V$5001,"&lt;&gt;")=0,"",SUMIFS(Base!$V$3:$V$5001,Base!$A$3:$A$5001,L$3,Base!$B$3:$B$5001,$A$23)))</f>
        <v>0</v>
      </c>
      <c r="M30" s="72">
        <f>IF(M$3="","",IF(COUNTIFS(Base!$A$3:$A$5001,M$3,Base!$B$3:$B$5001,$A$23,Base!$V$3:$V$5001,"&lt;&gt;")=0,"",SUMIFS(Base!$V$3:$V$5001,Base!$A$3:$A$5001,M$3,Base!$B$3:$B$5001,$A$23)))</f>
        <v>0</v>
      </c>
      <c r="N30" s="72">
        <f>IF(N$3="","",IF(COUNTIFS(Base!$A$3:$A$5001,N$3,Base!$B$3:$B$5001,$A$23,Base!$V$3:$V$5001,"&lt;&gt;")=0,"",SUMIFS(Base!$V$3:$V$5001,Base!$A$3:$A$5001,N$3,Base!$B$3:$B$5001,$A$23)))</f>
        <v>0</v>
      </c>
      <c r="O30" s="72">
        <f>IF(O$3="","",IF(COUNTIFS(Base!$A$3:$A$5001,O$3,Base!$B$3:$B$5001,$A$23,Base!$V$3:$V$5001,"&lt;&gt;")=0,"",SUMIFS(Base!$V$3:$V$5001,Base!$A$3:$A$5001,O$3,Base!$B$3:$B$5001,$A$23)))</f>
        <v>0</v>
      </c>
      <c r="P30" s="72">
        <f>IF(P$3="","",IF(COUNTIFS(Base!$A$3:$A$5001,P$3,Base!$B$3:$B$5001,$A$23,Base!$V$3:$V$5001,"&lt;&gt;")=0,"",SUMIFS(Base!$V$3:$V$5001,Base!$A$3:$A$5001,P$3,Base!$B$3:$B$5001,$A$23)))</f>
        <v>0</v>
      </c>
      <c r="Q30" s="72">
        <f>IF(Q$3="","",IF(COUNTIFS(Base!$A$3:$A$5001,Q$3,Base!$B$3:$B$5001,$A$23,Base!$V$3:$V$5001,"&lt;&gt;")=0,"",SUMIFS(Base!$V$3:$V$5001,Base!$A$3:$A$5001,Q$3,Base!$B$3:$B$5001,$A$23)))</f>
        <v>0</v>
      </c>
      <c r="R30" s="72" t="str">
        <f>IF(R$3="","",IF(COUNTIFS(Base!$A$3:$A$5001,R$3,Base!$B$3:$B$5001,$A$23,Base!$V$3:$V$5001,"&lt;&gt;")=0,"",SUMIFS(Base!$V$3:$V$5001,Base!$A$3:$A$5001,R$3,Base!$B$3:$B$5001,$A$23)))</f>
        <v/>
      </c>
      <c r="S30" s="72">
        <f>IF(S$3="","",IF(COUNTIFS(Base!$A$3:$A$5001,S$3,Base!$B$3:$B$5001,$A$23,Base!$V$3:$V$5001,"&lt;&gt;")=0,"",SUMIFS(Base!$V$3:$V$5001,Base!$A$3:$A$5001,S$3,Base!$B$3:$B$5001,$A$23)))</f>
        <v>0</v>
      </c>
      <c r="T30" s="72">
        <f>IF(T$3="","",IF(COUNTIFS(Base!$A$3:$A$5001,T$3,Base!$B$3:$B$5001,$A$23,Base!$V$3:$V$5001,"&lt;&gt;")=0,"",SUMIFS(Base!$V$3:$V$5001,Base!$A$3:$A$5001,T$3,Base!$B$3:$B$5001,$A$23)))</f>
        <v>0</v>
      </c>
      <c r="U30" s="72">
        <f>IF(U$3="","",IF(COUNTIFS(Base!$A$3:$A$5001,U$3,Base!$B$3:$B$5001,$A$23,Base!$V$3:$V$5001,"&lt;&gt;")=0,"",SUMIFS(Base!$V$3:$V$5001,Base!$A$3:$A$5001,U$3,Base!$B$3:$B$5001,$A$23)))</f>
        <v>1</v>
      </c>
      <c r="V30" s="72">
        <f>IF(V$3="","",IF(COUNTIFS(Base!$A$3:$A$5001,V$3,Base!$B$3:$B$5001,$A$23,Base!$V$3:$V$5001,"&lt;&gt;")=0,"",SUMIFS(Base!$V$3:$V$5001,Base!$A$3:$A$5001,V$3,Base!$B$3:$B$5001,$A$23)))</f>
        <v>0</v>
      </c>
      <c r="W30" s="72">
        <f>IF(W$3="","",IF(COUNTIFS(Base!$A$3:$A$5001,W$3,Base!$B$3:$B$5001,$A$23,Base!$V$3:$V$5001,"&lt;&gt;")=0,"",SUMIFS(Base!$V$3:$V$5001,Base!$A$3:$A$5001,W$3,Base!$B$3:$B$5001,$A$23)))</f>
        <v>0</v>
      </c>
      <c r="X30" s="72">
        <f>IF(X$3="","",IF(COUNTIFS(Base!$A$3:$A$5001,X$3,Base!$B$3:$B$5001,$A$23,Base!$V$3:$V$5001,"&lt;&gt;")=0,"",SUMIFS(Base!$V$3:$V$5001,Base!$A$3:$A$5001,X$3,Base!$B$3:$B$5001,$A$23)))</f>
        <v>0</v>
      </c>
      <c r="Y30" s="72" t="str">
        <f>IF(Y$3="","",IF(COUNTIFS(Base!$A$3:$A$5001,Y$3,Base!$B$3:$B$5001,$A$23,Base!$V$3:$V$5001,"&lt;&gt;")=0,"",SUMIFS(Base!$V$3:$V$5001,Base!$A$3:$A$5001,Y$3,Base!$B$3:$B$5001,$A$23)))</f>
        <v/>
      </c>
      <c r="Z30" s="72">
        <f>IF(Z$3="","",IF(COUNTIFS(Base!$A$3:$A$5001,Z$3,Base!$B$3:$B$5001,$A$23,Base!$V$3:$V$5001,"&lt;&gt;")=0,"",SUMIFS(Base!$V$3:$V$5001,Base!$A$3:$A$5001,Z$3,Base!$B$3:$B$5001,$A$23)))</f>
        <v>0</v>
      </c>
      <c r="AA30" s="72">
        <f>IF(AA$3="","",IF(COUNTIFS(Base!$A$3:$A$5001,AA$3,Base!$B$3:$B$5001,$A$23,Base!$V$3:$V$5001,"&lt;&gt;")=0,"",SUMIFS(Base!$V$3:$V$5001,Base!$A$3:$A$5001,AA$3,Base!$B$3:$B$5001,$A$23)))</f>
        <v>0</v>
      </c>
      <c r="AB30" s="72">
        <f>IF(AB$3="","",IF(COUNTIFS(Base!$A$3:$A$5001,AB$3,Base!$B$3:$B$5001,$A$23,Base!$V$3:$V$5001,"&lt;&gt;")=0,"",SUMIFS(Base!$V$3:$V$5001,Base!$A$3:$A$5001,AB$3,Base!$B$3:$B$5001,$A$23)))</f>
        <v>0</v>
      </c>
      <c r="AC30" s="72">
        <f>IF(AC$3="","",IF(COUNTIFS(Base!$A$3:$A$5001,AC$3,Base!$B$3:$B$5001,$A$23,Base!$V$3:$V$5001,"&lt;&gt;")=0,"",SUMIFS(Base!$V$3:$V$5001,Base!$A$3:$A$5001,AC$3,Base!$B$3:$B$5001,$A$23)))</f>
        <v>1</v>
      </c>
      <c r="AD30" s="72">
        <f>IF(AD$3="","",IF(COUNTIFS(Base!$A$3:$A$5001,AD$3,Base!$B$3:$B$5001,$A$23,Base!$V$3:$V$5001,"&lt;&gt;")=0,"",SUMIFS(Base!$V$3:$V$5001,Base!$A$3:$A$5001,AD$3,Base!$B$3:$B$5001,$A$23)))</f>
        <v>0</v>
      </c>
      <c r="AE30" s="72">
        <f>IF(AE$3="","",IF(COUNTIFS(Base!$A$3:$A$5001,AE$3,Base!$B$3:$B$5001,$A$23,Base!$V$3:$V$5001,"&lt;&gt;")=0,"",SUMIFS(Base!$V$3:$V$5001,Base!$A$3:$A$5001,AE$3,Base!$B$3:$B$5001,$A$23)))</f>
        <v>0</v>
      </c>
      <c r="AF30" s="72" t="str">
        <f>IF(AF$3="","",IF(COUNTIFS(Base!$A$3:$A$5001,AF$3,Base!$B$3:$B$5001,$A$23,Base!$V$3:$V$5001,"&lt;&gt;")=0,"",SUMIFS(Base!$V$3:$V$5001,Base!$A$3:$A$5001,AF$3,Base!$B$3:$B$5001,$A$23)))</f>
        <v/>
      </c>
      <c r="AG30" s="72">
        <f>IF(AG$3="","",IF(COUNTIFS(Base!$A$3:$A$5001,AG$3,Base!$B$3:$B$5001,$A$23,Base!$V$3:$V$5001,"&lt;&gt;")=0,"",SUMIFS(Base!$V$3:$V$5001,Base!$A$3:$A$5001,AG$3,Base!$B$3:$B$5001,$A$23)))</f>
        <v>0</v>
      </c>
      <c r="AH30" s="72">
        <f>IF(AH$3="","",IF(COUNTIFS(Base!$A$3:$A$5001,AH$3,Base!$B$3:$B$5001,$A$23,Base!$V$3:$V$5001,"&lt;&gt;")=0,"",SUMIFS(Base!$V$3:$V$5001,Base!$A$3:$A$5001,AH$3,Base!$B$3:$B$5001,$A$23)))</f>
        <v>1</v>
      </c>
      <c r="AI30" s="72" t="str">
        <f>IF(AI$3="","",IF(COUNTIFS(Base!$A$3:$A$5001,AI$3,Base!$B$3:$B$5001,$A$23,Base!$V$3:$V$5001,"&lt;&gt;")=0,"",SUMIFS(Base!$V$3:$V$5001,Base!$A$3:$A$5001,AI$3,Base!$B$3:$B$5001,$A$23)))</f>
        <v/>
      </c>
      <c r="AJ30" s="73" t="str">
        <f>IF(AJ$3="","",IF(COUNTIFS(Base!$A$3:$A$5001,AJ$3,Base!$B$3:$B$5001,$A$23,Base!$V$3:$V$5001,"&lt;&gt;")=0,"",SUMIFS(Base!$V$3:$V$5001,Base!$A$3:$A$5001,AJ$3,Base!$B$3:$B$5001,$A$23)))</f>
        <v/>
      </c>
      <c r="AK30" s="74">
        <f>IF(COUNT(F30:AJ30)=0,"",SUM(F30:AJ30))</f>
        <v>3</v>
      </c>
    </row>
    <row r="31" ht="15.75" customHeight="1">
      <c r="A31" s="118"/>
      <c r="B31" s="113"/>
      <c r="C31" s="75" t="inlineStr">
        <is>
          <t xml:space="preserve">Backlog</t>
        </is>
      </c>
      <c r="D31" s="76" t="str">
        <f>IFERROR(1/(1/INDEX(calculos!$C$55:$K$83,MATCH("NC Backlog",calculos!$A$55:$A$83,0),MATCH($A$23,calculos!$C$54:$K$54,0))),"")</f>
        <v/>
      </c>
      <c r="E31" s="77"/>
      <c r="F31" s="78" t="str">
        <f>IF(F$3="","",IF(COUNTIFS(Base!$A$3:$A$5001,F$3,Base!$B$3:$B$5001,$A$23,Base!$W$3:$W$5001,"&lt;&gt;")=0,"",SUMIFS(Base!$W$3:$W$5001,Base!$A$3:$A$5001,F$3,Base!$B$3:$B$5001,$A$23)))</f>
        <v/>
      </c>
      <c r="G31" s="79" t="str">
        <f>IF(G$3="","",IF(COUNTIFS(Base!$A$3:$A$5001,G$3,Base!$B$3:$B$5001,$A$23,Base!$W$3:$W$5001,"&lt;&gt;")=0,"",SUMIFS(Base!$W$3:$W$5001,Base!$A$3:$A$5001,G$3,Base!$B$3:$B$5001,$A$23)))</f>
        <v/>
      </c>
      <c r="H31" s="79">
        <f>IF(H$3="","",IF(COUNTIFS(Base!$A$3:$A$5001,H$3,Base!$B$3:$B$5001,$A$23,Base!$W$3:$W$5001,"&lt;&gt;")=0,"",SUMIFS(Base!$W$3:$W$5001,Base!$A$3:$A$5001,H$3,Base!$B$3:$B$5001,$A$23)))</f>
        <v>0</v>
      </c>
      <c r="I31" s="79" t="str">
        <f>IF(I$3="","",IF(COUNTIFS(Base!$A$3:$A$5001,I$3,Base!$B$3:$B$5001,$A$23,Base!$W$3:$W$5001,"&lt;&gt;")=0,"",SUMIFS(Base!$W$3:$W$5001,Base!$A$3:$A$5001,I$3,Base!$B$3:$B$5001,$A$23)))</f>
        <v/>
      </c>
      <c r="J31" s="79" t="str">
        <f>IF(J$3="","",IF(COUNTIFS(Base!$A$3:$A$5001,J$3,Base!$B$3:$B$5001,$A$23,Base!$W$3:$W$5001,"&lt;&gt;")=0,"",SUMIFS(Base!$W$3:$W$5001,Base!$A$3:$A$5001,J$3,Base!$B$3:$B$5001,$A$23)))</f>
        <v/>
      </c>
      <c r="K31" s="79" t="str">
        <f>IF(K$3="","",IF(COUNTIFS(Base!$A$3:$A$5001,K$3,Base!$B$3:$B$5001,$A$23,Base!$W$3:$W$5001,"&lt;&gt;")=0,"",SUMIFS(Base!$W$3:$W$5001,Base!$A$3:$A$5001,K$3,Base!$B$3:$B$5001,$A$23)))</f>
        <v/>
      </c>
      <c r="L31" s="79" t="str">
        <f>IF(L$3="","",IF(COUNTIFS(Base!$A$3:$A$5001,L$3,Base!$B$3:$B$5001,$A$23,Base!$W$3:$W$5001,"&lt;&gt;")=0,"",SUMIFS(Base!$W$3:$W$5001,Base!$A$3:$A$5001,L$3,Base!$B$3:$B$5001,$A$23)))</f>
        <v/>
      </c>
      <c r="M31" s="79" t="str">
        <f>IF(M$3="","",IF(COUNTIFS(Base!$A$3:$A$5001,M$3,Base!$B$3:$B$5001,$A$23,Base!$W$3:$W$5001,"&lt;&gt;")=0,"",SUMIFS(Base!$W$3:$W$5001,Base!$A$3:$A$5001,M$3,Base!$B$3:$B$5001,$A$23)))</f>
        <v/>
      </c>
      <c r="N31" s="79" t="str">
        <f>IF(N$3="","",IF(COUNTIFS(Base!$A$3:$A$5001,N$3,Base!$B$3:$B$5001,$A$23,Base!$W$3:$W$5001,"&lt;&gt;")=0,"",SUMIFS(Base!$W$3:$W$5001,Base!$A$3:$A$5001,N$3,Base!$B$3:$B$5001,$A$23)))</f>
        <v/>
      </c>
      <c r="O31" s="79" t="str">
        <f>IF(O$3="","",IF(COUNTIFS(Base!$A$3:$A$5001,O$3,Base!$B$3:$B$5001,$A$23,Base!$W$3:$W$5001,"&lt;&gt;")=0,"",SUMIFS(Base!$W$3:$W$5001,Base!$A$3:$A$5001,O$3,Base!$B$3:$B$5001,$A$23)))</f>
        <v/>
      </c>
      <c r="P31" s="79" t="str">
        <f>IF(P$3="","",IF(COUNTIFS(Base!$A$3:$A$5001,P$3,Base!$B$3:$B$5001,$A$23,Base!$W$3:$W$5001,"&lt;&gt;")=0,"",SUMIFS(Base!$W$3:$W$5001,Base!$A$3:$A$5001,P$3,Base!$B$3:$B$5001,$A$23)))</f>
        <v/>
      </c>
      <c r="Q31" s="79" t="str">
        <f>IF(Q$3="","",IF(COUNTIFS(Base!$A$3:$A$5001,Q$3,Base!$B$3:$B$5001,$A$23,Base!$W$3:$W$5001,"&lt;&gt;")=0,"",SUMIFS(Base!$W$3:$W$5001,Base!$A$3:$A$5001,Q$3,Base!$B$3:$B$5001,$A$23)))</f>
        <v/>
      </c>
      <c r="R31" s="79" t="str">
        <f>IF(R$3="","",IF(COUNTIFS(Base!$A$3:$A$5001,R$3,Base!$B$3:$B$5001,$A$23,Base!$W$3:$W$5001,"&lt;&gt;")=0,"",SUMIFS(Base!$W$3:$W$5001,Base!$A$3:$A$5001,R$3,Base!$B$3:$B$5001,$A$23)))</f>
        <v/>
      </c>
      <c r="S31" s="79" t="str">
        <f>IF(S$3="","",IF(COUNTIFS(Base!$A$3:$A$5001,S$3,Base!$B$3:$B$5001,$A$23,Base!$W$3:$W$5001,"&lt;&gt;")=0,"",SUMIFS(Base!$W$3:$W$5001,Base!$A$3:$A$5001,S$3,Base!$B$3:$B$5001,$A$23)))</f>
        <v/>
      </c>
      <c r="T31" s="79">
        <f>IF(T$3="","",IF(COUNTIFS(Base!$A$3:$A$5001,T$3,Base!$B$3:$B$5001,$A$23,Base!$W$3:$W$5001,"&lt;&gt;")=0,"",SUMIFS(Base!$W$3:$W$5001,Base!$A$3:$A$5001,T$3,Base!$B$3:$B$5001,$A$23)))</f>
        <v>9</v>
      </c>
      <c r="U31" s="79">
        <f>IF(U$3="","",IF(COUNTIFS(Base!$A$3:$A$5001,U$3,Base!$B$3:$B$5001,$A$23,Base!$W$3:$W$5001,"&lt;&gt;")=0,"",SUMIFS(Base!$W$3:$W$5001,Base!$A$3:$A$5001,U$3,Base!$B$3:$B$5001,$A$23)))</f>
        <v>12</v>
      </c>
      <c r="V31" s="79" t="str">
        <f>IF(V$3="","",IF(COUNTIFS(Base!$A$3:$A$5001,V$3,Base!$B$3:$B$5001,$A$23,Base!$W$3:$W$5001,"&lt;&gt;")=0,"",SUMIFS(Base!$W$3:$W$5001,Base!$A$3:$A$5001,V$3,Base!$B$3:$B$5001,$A$23)))</f>
        <v/>
      </c>
      <c r="W31" s="79">
        <f>IF(W$3="","",IF(COUNTIFS(Base!$A$3:$A$5001,W$3,Base!$B$3:$B$5001,$A$23,Base!$W$3:$W$5001,"&lt;&gt;")=0,"",SUMIFS(Base!$W$3:$W$5001,Base!$A$3:$A$5001,W$3,Base!$B$3:$B$5001,$A$23)))</f>
        <v>14</v>
      </c>
      <c r="X31" s="79" t="str">
        <f>IF(X$3="","",IF(COUNTIFS(Base!$A$3:$A$5001,X$3,Base!$B$3:$B$5001,$A$23,Base!$W$3:$W$5001,"&lt;&gt;")=0,"",SUMIFS(Base!$W$3:$W$5001,Base!$A$3:$A$5001,X$3,Base!$B$3:$B$5001,$A$23)))</f>
        <v/>
      </c>
      <c r="Y31" s="79" t="str">
        <f>IF(Y$3="","",IF(COUNTIFS(Base!$A$3:$A$5001,Y$3,Base!$B$3:$B$5001,$A$23,Base!$W$3:$W$5001,"&lt;&gt;")=0,"",SUMIFS(Base!$W$3:$W$5001,Base!$A$3:$A$5001,Y$3,Base!$B$3:$B$5001,$A$23)))</f>
        <v/>
      </c>
      <c r="Z31" s="79" t="str">
        <f>IF(Z$3="","",IF(COUNTIFS(Base!$A$3:$A$5001,Z$3,Base!$B$3:$B$5001,$A$23,Base!$W$3:$W$5001,"&lt;&gt;")=0,"",SUMIFS(Base!$W$3:$W$5001,Base!$A$3:$A$5001,Z$3,Base!$B$3:$B$5001,$A$23)))</f>
        <v/>
      </c>
      <c r="AA31" s="79" t="str">
        <f>IF(AA$3="","",IF(COUNTIFS(Base!$A$3:$A$5001,AA$3,Base!$B$3:$B$5001,$A$23,Base!$W$3:$W$5001,"&lt;&gt;")=0,"",SUMIFS(Base!$W$3:$W$5001,Base!$A$3:$A$5001,AA$3,Base!$B$3:$B$5001,$A$23)))</f>
        <v/>
      </c>
      <c r="AB31" s="79" t="str">
        <f>IF(AB$3="","",IF(COUNTIFS(Base!$A$3:$A$5001,AB$3,Base!$B$3:$B$5001,$A$23,Base!$W$3:$W$5001,"&lt;&gt;")=0,"",SUMIFS(Base!$W$3:$W$5001,Base!$A$3:$A$5001,AB$3,Base!$B$3:$B$5001,$A$23)))</f>
        <v/>
      </c>
      <c r="AC31" s="79" t="str">
        <f>IF(AC$3="","",IF(COUNTIFS(Base!$A$3:$A$5001,AC$3,Base!$B$3:$B$5001,$A$23,Base!$W$3:$W$5001,"&lt;&gt;")=0,"",SUMIFS(Base!$W$3:$W$5001,Base!$A$3:$A$5001,AC$3,Base!$B$3:$B$5001,$A$23)))</f>
        <v/>
      </c>
      <c r="AD31" s="79" t="str">
        <f>IF(AD$3="","",IF(COUNTIFS(Base!$A$3:$A$5001,AD$3,Base!$B$3:$B$5001,$A$23,Base!$W$3:$W$5001,"&lt;&gt;")=0,"",SUMIFS(Base!$W$3:$W$5001,Base!$A$3:$A$5001,AD$3,Base!$B$3:$B$5001,$A$23)))</f>
        <v/>
      </c>
      <c r="AE31" s="79" t="str">
        <f>IF(AE$3="","",IF(COUNTIFS(Base!$A$3:$A$5001,AE$3,Base!$B$3:$B$5001,$A$23,Base!$W$3:$W$5001,"&lt;&gt;")=0,"",SUMIFS(Base!$W$3:$W$5001,Base!$A$3:$A$5001,AE$3,Base!$B$3:$B$5001,$A$23)))</f>
        <v/>
      </c>
      <c r="AF31" s="79" t="str">
        <f>IF(AF$3="","",IF(COUNTIFS(Base!$A$3:$A$5001,AF$3,Base!$B$3:$B$5001,$A$23,Base!$W$3:$W$5001,"&lt;&gt;")=0,"",SUMIFS(Base!$W$3:$W$5001,Base!$A$3:$A$5001,AF$3,Base!$B$3:$B$5001,$A$23)))</f>
        <v/>
      </c>
      <c r="AG31" s="79">
        <f>IF(AG$3="","",IF(COUNTIFS(Base!$A$3:$A$5001,AG$3,Base!$B$3:$B$5001,$A$23,Base!$W$3:$W$5001,"&lt;&gt;")=0,"",SUMIFS(Base!$W$3:$W$5001,Base!$A$3:$A$5001,AG$3,Base!$B$3:$B$5001,$A$23)))</f>
        <v>6</v>
      </c>
      <c r="AH31" s="79" t="str">
        <f>IF(AH$3="","",IF(COUNTIFS(Base!$A$3:$A$5001,AH$3,Base!$B$3:$B$5001,$A$23,Base!$W$3:$W$5001,"&lt;&gt;")=0,"",SUMIFS(Base!$W$3:$W$5001,Base!$A$3:$A$5001,AH$3,Base!$B$3:$B$5001,$A$23)))</f>
        <v/>
      </c>
      <c r="AI31" s="79" t="str">
        <f>IF(AI$3="","",IF(COUNTIFS(Base!$A$3:$A$5001,AI$3,Base!$B$3:$B$5001,$A$23,Base!$W$3:$W$5001,"&lt;&gt;")=0,"",SUMIFS(Base!$W$3:$W$5001,Base!$A$3:$A$5001,AI$3,Base!$B$3:$B$5001,$A$23)))</f>
        <v/>
      </c>
      <c r="AJ31" s="80" t="str">
        <f>IF(AJ$3="","",IF(COUNTIFS(Base!$A$3:$A$5001,AJ$3,Base!$B$3:$B$5001,$A$23,Base!$W$3:$W$5001,"&lt;&gt;")=0,"",SUMIFS(Base!$W$3:$W$5001,Base!$A$3:$A$5001,AJ$3,Base!$B$3:$B$5001,$A$23)))</f>
        <v/>
      </c>
      <c r="AK31" s="76">
        <f>IFERROR(LOOKUP(9.99E+307,F31:AJ31),"")</f>
        <v>6</v>
      </c>
    </row>
    <row r="32" ht="15.75" customHeight="1">
      <c r="A32" s="118"/>
      <c r="B32" s="105" t="inlineStr">
        <is>
          <t xml:space="preserve">OCUPAÇÃO (P.P)</t>
        </is>
      </c>
      <c r="C32" s="21" t="inlineStr">
        <is>
          <t xml:space="preserve">Posições Disponíveis</t>
        </is>
      </c>
      <c r="D32" s="22" t="str">
        <f>IFERROR(1/(1/INDEX(calculos!$C$55:$K$83,MATCH("Posições Disponíveis",calculos!$A$55:$A$83,0),MATCH($A$23,calculos!$C$54:$K$54,0))),"")</f>
        <v/>
      </c>
      <c r="E32" s="23"/>
      <c r="F32" s="24">
        <f>IF(F$3="","",IF(COUNTIFS(Base!$A$3:$A$5001,F$3,Base!$B$3:$B$5001,$A$23,Base!$X$3:$X$5001,"&lt;&gt;")=0,"",SUMIFS(Base!$X$3:$X$5001,Base!$A$3:$A$5001,F$3,Base!$B$3:$B$5001,$A$23)))</f>
        <v>1200</v>
      </c>
      <c r="G32" s="25">
        <f>IF(G$3="","",IF(COUNTIFS(Base!$A$3:$A$5001,G$3,Base!$B$3:$B$5001,$A$23,Base!$X$3:$X$5001,"&lt;&gt;")=0,"",SUMIFS(Base!$X$3:$X$5001,Base!$A$3:$A$5001,G$3,Base!$B$3:$B$5001,$A$23)))</f>
        <v>1200</v>
      </c>
      <c r="H32" s="25">
        <f>IF(H$3="","",IF(COUNTIFS(Base!$A$3:$A$5001,H$3,Base!$B$3:$B$5001,$A$23,Base!$X$3:$X$5001,"&lt;&gt;")=0,"",SUMIFS(Base!$X$3:$X$5001,Base!$A$3:$A$5001,H$3,Base!$B$3:$B$5001,$A$23)))</f>
        <v>1200</v>
      </c>
      <c r="I32" s="25">
        <f>IF(I$3="","",IF(COUNTIFS(Base!$A$3:$A$5001,I$3,Base!$B$3:$B$5001,$A$23,Base!$X$3:$X$5001,"&lt;&gt;")=0,"",SUMIFS(Base!$X$3:$X$5001,Base!$A$3:$A$5001,I$3,Base!$B$3:$B$5001,$A$23)))</f>
        <v>1200</v>
      </c>
      <c r="J32" s="25">
        <f>IF(J$3="","",IF(COUNTIFS(Base!$A$3:$A$5001,J$3,Base!$B$3:$B$5001,$A$23,Base!$X$3:$X$5001,"&lt;&gt;")=0,"",SUMIFS(Base!$X$3:$X$5001,Base!$A$3:$A$5001,J$3,Base!$B$3:$B$5001,$A$23)))</f>
        <v>1200</v>
      </c>
      <c r="K32" s="25" t="str">
        <f>IF(K$3="","",IF(COUNTIFS(Base!$A$3:$A$5001,K$3,Base!$B$3:$B$5001,$A$23,Base!$X$3:$X$5001,"&lt;&gt;")=0,"",SUMIFS(Base!$X$3:$X$5001,Base!$A$3:$A$5001,K$3,Base!$B$3:$B$5001,$A$23)))</f>
        <v/>
      </c>
      <c r="L32" s="25">
        <f>IF(L$3="","",IF(COUNTIFS(Base!$A$3:$A$5001,L$3,Base!$B$3:$B$5001,$A$23,Base!$X$3:$X$5001,"&lt;&gt;")=0,"",SUMIFS(Base!$X$3:$X$5001,Base!$A$3:$A$5001,L$3,Base!$B$3:$B$5001,$A$23)))</f>
        <v>1200</v>
      </c>
      <c r="M32" s="25">
        <f>IF(M$3="","",IF(COUNTIFS(Base!$A$3:$A$5001,M$3,Base!$B$3:$B$5001,$A$23,Base!$X$3:$X$5001,"&lt;&gt;")=0,"",SUMIFS(Base!$X$3:$X$5001,Base!$A$3:$A$5001,M$3,Base!$B$3:$B$5001,$A$23)))</f>
        <v>1200</v>
      </c>
      <c r="N32" s="25">
        <f>IF(N$3="","",IF(COUNTIFS(Base!$A$3:$A$5001,N$3,Base!$B$3:$B$5001,$A$23,Base!$X$3:$X$5001,"&lt;&gt;")=0,"",SUMIFS(Base!$X$3:$X$5001,Base!$A$3:$A$5001,N$3,Base!$B$3:$B$5001,$A$23)))</f>
        <v>1200</v>
      </c>
      <c r="O32" s="25">
        <f>IF(O$3="","",IF(COUNTIFS(Base!$A$3:$A$5001,O$3,Base!$B$3:$B$5001,$A$23,Base!$X$3:$X$5001,"&lt;&gt;")=0,"",SUMIFS(Base!$X$3:$X$5001,Base!$A$3:$A$5001,O$3,Base!$B$3:$B$5001,$A$23)))</f>
        <v>1200</v>
      </c>
      <c r="P32" s="25">
        <f>IF(P$3="","",IF(COUNTIFS(Base!$A$3:$A$5001,P$3,Base!$B$3:$B$5001,$A$23,Base!$X$3:$X$5001,"&lt;&gt;")=0,"",SUMIFS(Base!$X$3:$X$5001,Base!$A$3:$A$5001,P$3,Base!$B$3:$B$5001,$A$23)))</f>
        <v>1200</v>
      </c>
      <c r="Q32" s="25">
        <f>IF(Q$3="","",IF(COUNTIFS(Base!$A$3:$A$5001,Q$3,Base!$B$3:$B$5001,$A$23,Base!$X$3:$X$5001,"&lt;&gt;")=0,"",SUMIFS(Base!$X$3:$X$5001,Base!$A$3:$A$5001,Q$3,Base!$B$3:$B$5001,$A$23)))</f>
        <v>1200</v>
      </c>
      <c r="R32" s="25" t="str">
        <f>IF(R$3="","",IF(COUNTIFS(Base!$A$3:$A$5001,R$3,Base!$B$3:$B$5001,$A$23,Base!$X$3:$X$5001,"&lt;&gt;")=0,"",SUMIFS(Base!$X$3:$X$5001,Base!$A$3:$A$5001,R$3,Base!$B$3:$B$5001,$A$23)))</f>
        <v/>
      </c>
      <c r="S32" s="25">
        <f>IF(S$3="","",IF(COUNTIFS(Base!$A$3:$A$5001,S$3,Base!$B$3:$B$5001,$A$23,Base!$X$3:$X$5001,"&lt;&gt;")=0,"",SUMIFS(Base!$X$3:$X$5001,Base!$A$3:$A$5001,S$3,Base!$B$3:$B$5001,$A$23)))</f>
        <v>1200</v>
      </c>
      <c r="T32" s="25">
        <f>IF(T$3="","",IF(COUNTIFS(Base!$A$3:$A$5001,T$3,Base!$B$3:$B$5001,$A$23,Base!$X$3:$X$5001,"&lt;&gt;")=0,"",SUMIFS(Base!$X$3:$X$5001,Base!$A$3:$A$5001,T$3,Base!$B$3:$B$5001,$A$23)))</f>
        <v>1200</v>
      </c>
      <c r="U32" s="25">
        <f>IF(U$3="","",IF(COUNTIFS(Base!$A$3:$A$5001,U$3,Base!$B$3:$B$5001,$A$23,Base!$X$3:$X$5001,"&lt;&gt;")=0,"",SUMIFS(Base!$X$3:$X$5001,Base!$A$3:$A$5001,U$3,Base!$B$3:$B$5001,$A$23)))</f>
        <v>1200</v>
      </c>
      <c r="V32" s="25">
        <f>IF(V$3="","",IF(COUNTIFS(Base!$A$3:$A$5001,V$3,Base!$B$3:$B$5001,$A$23,Base!$X$3:$X$5001,"&lt;&gt;")=0,"",SUMIFS(Base!$X$3:$X$5001,Base!$A$3:$A$5001,V$3,Base!$B$3:$B$5001,$A$23)))</f>
        <v>1200</v>
      </c>
      <c r="W32" s="25">
        <f>IF(W$3="","",IF(COUNTIFS(Base!$A$3:$A$5001,W$3,Base!$B$3:$B$5001,$A$23,Base!$X$3:$X$5001,"&lt;&gt;")=0,"",SUMIFS(Base!$X$3:$X$5001,Base!$A$3:$A$5001,W$3,Base!$B$3:$B$5001,$A$23)))</f>
        <v>1200</v>
      </c>
      <c r="X32" s="25">
        <f>IF(X$3="","",IF(COUNTIFS(Base!$A$3:$A$5001,X$3,Base!$B$3:$B$5001,$A$23,Base!$X$3:$X$5001,"&lt;&gt;")=0,"",SUMIFS(Base!$X$3:$X$5001,Base!$A$3:$A$5001,X$3,Base!$B$3:$B$5001,$A$23)))</f>
        <v>1200</v>
      </c>
      <c r="Y32" s="25" t="str">
        <f>IF(Y$3="","",IF(COUNTIFS(Base!$A$3:$A$5001,Y$3,Base!$B$3:$B$5001,$A$23,Base!$X$3:$X$5001,"&lt;&gt;")=0,"",SUMIFS(Base!$X$3:$X$5001,Base!$A$3:$A$5001,Y$3,Base!$B$3:$B$5001,$A$23)))</f>
        <v/>
      </c>
      <c r="Z32" s="25">
        <f>IF(Z$3="","",IF(COUNTIFS(Base!$A$3:$A$5001,Z$3,Base!$B$3:$B$5001,$A$23,Base!$X$3:$X$5001,"&lt;&gt;")=0,"",SUMIFS(Base!$X$3:$X$5001,Base!$A$3:$A$5001,Z$3,Base!$B$3:$B$5001,$A$23)))</f>
        <v>1200</v>
      </c>
      <c r="AA32" s="25">
        <f>IF(AA$3="","",IF(COUNTIFS(Base!$A$3:$A$5001,AA$3,Base!$B$3:$B$5001,$A$23,Base!$X$3:$X$5001,"&lt;&gt;")=0,"",SUMIFS(Base!$X$3:$X$5001,Base!$A$3:$A$5001,AA$3,Base!$B$3:$B$5001,$A$23)))</f>
        <v>1200</v>
      </c>
      <c r="AB32" s="25">
        <f>IF(AB$3="","",IF(COUNTIFS(Base!$A$3:$A$5001,AB$3,Base!$B$3:$B$5001,$A$23,Base!$X$3:$X$5001,"&lt;&gt;")=0,"",SUMIFS(Base!$X$3:$X$5001,Base!$A$3:$A$5001,AB$3,Base!$B$3:$B$5001,$A$23)))</f>
        <v>1200</v>
      </c>
      <c r="AC32" s="25">
        <f>IF(AC$3="","",IF(COUNTIFS(Base!$A$3:$A$5001,AC$3,Base!$B$3:$B$5001,$A$23,Base!$X$3:$X$5001,"&lt;&gt;")=0,"",SUMIFS(Base!$X$3:$X$5001,Base!$A$3:$A$5001,AC$3,Base!$B$3:$B$5001,$A$23)))</f>
        <v>1200</v>
      </c>
      <c r="AD32" s="25">
        <f>IF(AD$3="","",IF(COUNTIFS(Base!$A$3:$A$5001,AD$3,Base!$B$3:$B$5001,$A$23,Base!$X$3:$X$5001,"&lt;&gt;")=0,"",SUMIFS(Base!$X$3:$X$5001,Base!$A$3:$A$5001,AD$3,Base!$B$3:$B$5001,$A$23)))</f>
        <v>1200</v>
      </c>
      <c r="AE32" s="25">
        <f>IF(AE$3="","",IF(COUNTIFS(Base!$A$3:$A$5001,AE$3,Base!$B$3:$B$5001,$A$23,Base!$X$3:$X$5001,"&lt;&gt;")=0,"",SUMIFS(Base!$X$3:$X$5001,Base!$A$3:$A$5001,AE$3,Base!$B$3:$B$5001,$A$23)))</f>
        <v>1200</v>
      </c>
      <c r="AF32" s="25" t="str">
        <f>IF(AF$3="","",IF(COUNTIFS(Base!$A$3:$A$5001,AF$3,Base!$B$3:$B$5001,$A$23,Base!$X$3:$X$5001,"&lt;&gt;")=0,"",SUMIFS(Base!$X$3:$X$5001,Base!$A$3:$A$5001,AF$3,Base!$B$3:$B$5001,$A$23)))</f>
        <v/>
      </c>
      <c r="AG32" s="25">
        <f>IF(AG$3="","",IF(COUNTIFS(Base!$A$3:$A$5001,AG$3,Base!$B$3:$B$5001,$A$23,Base!$X$3:$X$5001,"&lt;&gt;")=0,"",SUMIFS(Base!$X$3:$X$5001,Base!$A$3:$A$5001,AG$3,Base!$B$3:$B$5001,$A$23)))</f>
        <v>1200</v>
      </c>
      <c r="AH32" s="25">
        <f>IF(AH$3="","",IF(COUNTIFS(Base!$A$3:$A$5001,AH$3,Base!$B$3:$B$5001,$A$23,Base!$X$3:$X$5001,"&lt;&gt;")=0,"",SUMIFS(Base!$X$3:$X$5001,Base!$A$3:$A$5001,AH$3,Base!$B$3:$B$5001,$A$23)))</f>
        <v>1200</v>
      </c>
      <c r="AI32" s="25" t="str">
        <f>IF(AI$3="","",IF(COUNTIFS(Base!$A$3:$A$5001,AI$3,Base!$B$3:$B$5001,$A$23,Base!$X$3:$X$5001,"&lt;&gt;")=0,"",SUMIFS(Base!$X$3:$X$5001,Base!$A$3:$A$5001,AI$3,Base!$B$3:$B$5001,$A$23)))</f>
        <v/>
      </c>
      <c r="AJ32" s="26" t="str">
        <f>IF(AJ$3="","",IF(COUNTIFS(Base!$A$3:$A$5001,AJ$3,Base!$B$3:$B$5001,$A$23,Base!$X$3:$X$5001,"&lt;&gt;")=0,"",SUMIFS(Base!$X$3:$X$5001,Base!$A$3:$A$5001,AJ$3,Base!$B$3:$B$5001,$A$23)))</f>
        <v/>
      </c>
      <c r="AK32" s="27">
        <f>IFERROR(LOOKUP(9.99E+307,F32:AJ32),"")</f>
        <v>1200</v>
      </c>
    </row>
    <row r="33" ht="15.75" customHeight="1">
      <c r="A33" s="118"/>
      <c r="B33" s="106"/>
      <c r="C33" s="28" t="inlineStr">
        <is>
          <t xml:space="preserve">Posições Ocupadas</t>
        </is>
      </c>
      <c r="D33" s="29" t="str">
        <f>IFERROR(1/(1/INDEX(calculos!$C$55:$K$83,MATCH("Posições Ocupadas",calculos!$A$55:$A$83,0),MATCH($A$23,calculos!$C$54:$K$54,0))),"")</f>
        <v/>
      </c>
      <c r="E33" s="30"/>
      <c r="F33" s="31">
        <f>IF(F$3="","",IF(COUNTIFS(Base!$A$3:$A$5001,F$3,Base!$B$3:$B$5001,$A$23,Base!$Y$3:$Y$5001,"&lt;&gt;")=0,"",SUMIFS(Base!$Y$3:$Y$5001,Base!$A$3:$A$5001,F$3,Base!$B$3:$B$5001,$A$23)))</f>
        <v>1050</v>
      </c>
      <c r="G33" s="32">
        <f>IF(G$3="","",IF(COUNTIFS(Base!$A$3:$A$5001,G$3,Base!$B$3:$B$5001,$A$23,Base!$Y$3:$Y$5001,"&lt;&gt;")=0,"",SUMIFS(Base!$Y$3:$Y$5001,Base!$A$3:$A$5001,G$3,Base!$B$3:$B$5001,$A$23)))</f>
        <v>955</v>
      </c>
      <c r="H33" s="32">
        <f>IF(H$3="","",IF(COUNTIFS(Base!$A$3:$A$5001,H$3,Base!$B$3:$B$5001,$A$23,Base!$Y$3:$Y$5001,"&lt;&gt;")=0,"",SUMIFS(Base!$Y$3:$Y$5001,Base!$A$3:$A$5001,H$3,Base!$B$3:$B$5001,$A$23)))</f>
        <v>772</v>
      </c>
      <c r="I33" s="32">
        <f>IF(I$3="","",IF(COUNTIFS(Base!$A$3:$A$5001,I$3,Base!$B$3:$B$5001,$A$23,Base!$Y$3:$Y$5001,"&lt;&gt;")=0,"",SUMIFS(Base!$Y$3:$Y$5001,Base!$A$3:$A$5001,I$3,Base!$B$3:$B$5001,$A$23)))</f>
        <v>1008</v>
      </c>
      <c r="J33" s="32">
        <f>IF(J$3="","",IF(COUNTIFS(Base!$A$3:$A$5001,J$3,Base!$B$3:$B$5001,$A$23,Base!$Y$3:$Y$5001,"&lt;&gt;")=0,"",SUMIFS(Base!$Y$3:$Y$5001,Base!$A$3:$A$5001,J$3,Base!$B$3:$B$5001,$A$23)))</f>
        <v>712</v>
      </c>
      <c r="K33" s="32" t="str">
        <f>IF(K$3="","",IF(COUNTIFS(Base!$A$3:$A$5001,K$3,Base!$B$3:$B$5001,$A$23,Base!$Y$3:$Y$5001,"&lt;&gt;")=0,"",SUMIFS(Base!$Y$3:$Y$5001,Base!$A$3:$A$5001,K$3,Base!$B$3:$B$5001,$A$23)))</f>
        <v/>
      </c>
      <c r="L33" s="32">
        <f>IF(L$3="","",IF(COUNTIFS(Base!$A$3:$A$5001,L$3,Base!$B$3:$B$5001,$A$23,Base!$Y$3:$Y$5001,"&lt;&gt;")=0,"",SUMIFS(Base!$Y$3:$Y$5001,Base!$A$3:$A$5001,L$3,Base!$B$3:$B$5001,$A$23)))</f>
        <v>939</v>
      </c>
      <c r="M33" s="32">
        <f>IF(M$3="","",IF(COUNTIFS(Base!$A$3:$A$5001,M$3,Base!$B$3:$B$5001,$A$23,Base!$Y$3:$Y$5001,"&lt;&gt;")=0,"",SUMIFS(Base!$Y$3:$Y$5001,Base!$A$3:$A$5001,M$3,Base!$B$3:$B$5001,$A$23)))</f>
        <v>911</v>
      </c>
      <c r="N33" s="32">
        <f>IF(N$3="","",IF(COUNTIFS(Base!$A$3:$A$5001,N$3,Base!$B$3:$B$5001,$A$23,Base!$Y$3:$Y$5001,"&lt;&gt;")=0,"",SUMIFS(Base!$Y$3:$Y$5001,Base!$A$3:$A$5001,N$3,Base!$B$3:$B$5001,$A$23)))</f>
        <v>756</v>
      </c>
      <c r="O33" s="32">
        <f>IF(O$3="","",IF(COUNTIFS(Base!$A$3:$A$5001,O$3,Base!$B$3:$B$5001,$A$23,Base!$Y$3:$Y$5001,"&lt;&gt;")=0,"",SUMIFS(Base!$Y$3:$Y$5001,Base!$A$3:$A$5001,O$3,Base!$B$3:$B$5001,$A$23)))</f>
        <v>754</v>
      </c>
      <c r="P33" s="32">
        <f>IF(P$3="","",IF(COUNTIFS(Base!$A$3:$A$5001,P$3,Base!$B$3:$B$5001,$A$23,Base!$Y$3:$Y$5001,"&lt;&gt;")=0,"",SUMIFS(Base!$Y$3:$Y$5001,Base!$A$3:$A$5001,P$3,Base!$B$3:$B$5001,$A$23)))</f>
        <v>752</v>
      </c>
      <c r="Q33" s="32">
        <f>IF(Q$3="","",IF(COUNTIFS(Base!$A$3:$A$5001,Q$3,Base!$B$3:$B$5001,$A$23,Base!$Y$3:$Y$5001,"&lt;&gt;")=0,"",SUMIFS(Base!$Y$3:$Y$5001,Base!$A$3:$A$5001,Q$3,Base!$B$3:$B$5001,$A$23)))</f>
        <v>1132</v>
      </c>
      <c r="R33" s="32" t="str">
        <f>IF(R$3="","",IF(COUNTIFS(Base!$A$3:$A$5001,R$3,Base!$B$3:$B$5001,$A$23,Base!$Y$3:$Y$5001,"&lt;&gt;")=0,"",SUMIFS(Base!$Y$3:$Y$5001,Base!$A$3:$A$5001,R$3,Base!$B$3:$B$5001,$A$23)))</f>
        <v/>
      </c>
      <c r="S33" s="32">
        <f>IF(S$3="","",IF(COUNTIFS(Base!$A$3:$A$5001,S$3,Base!$B$3:$B$5001,$A$23,Base!$Y$3:$Y$5001,"&lt;&gt;")=0,"",SUMIFS(Base!$Y$3:$Y$5001,Base!$A$3:$A$5001,S$3,Base!$B$3:$B$5001,$A$23)))</f>
        <v>808</v>
      </c>
      <c r="T33" s="32">
        <f>IF(T$3="","",IF(COUNTIFS(Base!$A$3:$A$5001,T$3,Base!$B$3:$B$5001,$A$23,Base!$Y$3:$Y$5001,"&lt;&gt;")=0,"",SUMIFS(Base!$Y$3:$Y$5001,Base!$A$3:$A$5001,T$3,Base!$B$3:$B$5001,$A$23)))</f>
        <v>1148</v>
      </c>
      <c r="U33" s="32">
        <f>IF(U$3="","",IF(COUNTIFS(Base!$A$3:$A$5001,U$3,Base!$B$3:$B$5001,$A$23,Base!$Y$3:$Y$5001,"&lt;&gt;")=0,"",SUMIFS(Base!$Y$3:$Y$5001,Base!$A$3:$A$5001,U$3,Base!$B$3:$B$5001,$A$23)))</f>
        <v>710</v>
      </c>
      <c r="V33" s="32">
        <f>IF(V$3="","",IF(COUNTIFS(Base!$A$3:$A$5001,V$3,Base!$B$3:$B$5001,$A$23,Base!$Y$3:$Y$5001,"&lt;&gt;")=0,"",SUMIFS(Base!$Y$3:$Y$5001,Base!$A$3:$A$5001,V$3,Base!$B$3:$B$5001,$A$23)))</f>
        <v>898</v>
      </c>
      <c r="W33" s="32">
        <f>IF(W$3="","",IF(COUNTIFS(Base!$A$3:$A$5001,W$3,Base!$B$3:$B$5001,$A$23,Base!$Y$3:$Y$5001,"&lt;&gt;")=0,"",SUMIFS(Base!$Y$3:$Y$5001,Base!$A$3:$A$5001,W$3,Base!$B$3:$B$5001,$A$23)))</f>
        <v>841</v>
      </c>
      <c r="X33" s="32">
        <f>IF(X$3="","",IF(COUNTIFS(Base!$A$3:$A$5001,X$3,Base!$B$3:$B$5001,$A$23,Base!$Y$3:$Y$5001,"&lt;&gt;")=0,"",SUMIFS(Base!$Y$3:$Y$5001,Base!$A$3:$A$5001,X$3,Base!$B$3:$B$5001,$A$23)))</f>
        <v>1114</v>
      </c>
      <c r="Y33" s="32" t="str">
        <f>IF(Y$3="","",IF(COUNTIFS(Base!$A$3:$A$5001,Y$3,Base!$B$3:$B$5001,$A$23,Base!$Y$3:$Y$5001,"&lt;&gt;")=0,"",SUMIFS(Base!$Y$3:$Y$5001,Base!$A$3:$A$5001,Y$3,Base!$B$3:$B$5001,$A$23)))</f>
        <v/>
      </c>
      <c r="Z33" s="32">
        <f>IF(Z$3="","",IF(COUNTIFS(Base!$A$3:$A$5001,Z$3,Base!$B$3:$B$5001,$A$23,Base!$Y$3:$Y$5001,"&lt;&gt;")=0,"",SUMIFS(Base!$Y$3:$Y$5001,Base!$A$3:$A$5001,Z$3,Base!$B$3:$B$5001,$A$23)))</f>
        <v>829</v>
      </c>
      <c r="AA33" s="32">
        <f>IF(AA$3="","",IF(COUNTIFS(Base!$A$3:$A$5001,AA$3,Base!$B$3:$B$5001,$A$23,Base!$Y$3:$Y$5001,"&lt;&gt;")=0,"",SUMIFS(Base!$Y$3:$Y$5001,Base!$A$3:$A$5001,AA$3,Base!$B$3:$B$5001,$A$23)))</f>
        <v>712</v>
      </c>
      <c r="AB33" s="32">
        <f>IF(AB$3="","",IF(COUNTIFS(Base!$A$3:$A$5001,AB$3,Base!$B$3:$B$5001,$A$23,Base!$Y$3:$Y$5001,"&lt;&gt;")=0,"",SUMIFS(Base!$Y$3:$Y$5001,Base!$A$3:$A$5001,AB$3,Base!$B$3:$B$5001,$A$23)))</f>
        <v>868</v>
      </c>
      <c r="AC33" s="32">
        <f>IF(AC$3="","",IF(COUNTIFS(Base!$A$3:$A$5001,AC$3,Base!$B$3:$B$5001,$A$23,Base!$Y$3:$Y$5001,"&lt;&gt;")=0,"",SUMIFS(Base!$Y$3:$Y$5001,Base!$A$3:$A$5001,AC$3,Base!$B$3:$B$5001,$A$23)))</f>
        <v>1076</v>
      </c>
      <c r="AD33" s="32">
        <f>IF(AD$3="","",IF(COUNTIFS(Base!$A$3:$A$5001,AD$3,Base!$B$3:$B$5001,$A$23,Base!$Y$3:$Y$5001,"&lt;&gt;")=0,"",SUMIFS(Base!$Y$3:$Y$5001,Base!$A$3:$A$5001,AD$3,Base!$B$3:$B$5001,$A$23)))</f>
        <v>856</v>
      </c>
      <c r="AE33" s="32">
        <f>IF(AE$3="","",IF(COUNTIFS(Base!$A$3:$A$5001,AE$3,Base!$B$3:$B$5001,$A$23,Base!$Y$3:$Y$5001,"&lt;&gt;")=0,"",SUMIFS(Base!$Y$3:$Y$5001,Base!$A$3:$A$5001,AE$3,Base!$B$3:$B$5001,$A$23)))</f>
        <v>796</v>
      </c>
      <c r="AF33" s="32" t="str">
        <f>IF(AF$3="","",IF(COUNTIFS(Base!$A$3:$A$5001,AF$3,Base!$B$3:$B$5001,$A$23,Base!$Y$3:$Y$5001,"&lt;&gt;")=0,"",SUMIFS(Base!$Y$3:$Y$5001,Base!$A$3:$A$5001,AF$3,Base!$B$3:$B$5001,$A$23)))</f>
        <v/>
      </c>
      <c r="AG33" s="32">
        <f>IF(AG$3="","",IF(COUNTIFS(Base!$A$3:$A$5001,AG$3,Base!$B$3:$B$5001,$A$23,Base!$Y$3:$Y$5001,"&lt;&gt;")=0,"",SUMIFS(Base!$Y$3:$Y$5001,Base!$A$3:$A$5001,AG$3,Base!$B$3:$B$5001,$A$23)))</f>
        <v>782</v>
      </c>
      <c r="AH33" s="32">
        <f>IF(AH$3="","",IF(COUNTIFS(Base!$A$3:$A$5001,AH$3,Base!$B$3:$B$5001,$A$23,Base!$Y$3:$Y$5001,"&lt;&gt;")=0,"",SUMIFS(Base!$Y$3:$Y$5001,Base!$A$3:$A$5001,AH$3,Base!$B$3:$B$5001,$A$23)))</f>
        <v>913</v>
      </c>
      <c r="AI33" s="32" t="str">
        <f>IF(AI$3="","",IF(COUNTIFS(Base!$A$3:$A$5001,AI$3,Base!$B$3:$B$5001,$A$23,Base!$Y$3:$Y$5001,"&lt;&gt;")=0,"",SUMIFS(Base!$Y$3:$Y$5001,Base!$A$3:$A$5001,AI$3,Base!$B$3:$B$5001,$A$23)))</f>
        <v/>
      </c>
      <c r="AJ33" s="33" t="str">
        <f>IF(AJ$3="","",IF(COUNTIFS(Base!$A$3:$A$5001,AJ$3,Base!$B$3:$B$5001,$A$23,Base!$Y$3:$Y$5001,"&lt;&gt;")=0,"",SUMIFS(Base!$Y$3:$Y$5001,Base!$A$3:$A$5001,AJ$3,Base!$B$3:$B$5001,$A$23)))</f>
        <v/>
      </c>
      <c r="AK33" s="34">
        <f>IFERROR(LOOKUP(9.99E+307,F33:AJ33),"")</f>
        <v>913</v>
      </c>
    </row>
    <row r="34" ht="15.75" customHeight="1">
      <c r="A34" s="118"/>
      <c r="B34" s="107"/>
      <c r="C34" s="35" t="inlineStr">
        <is>
          <t xml:space="preserve">Taxa de Ocupação</t>
        </is>
      </c>
      <c r="D34" s="81" t="str">
        <f>IFERROR(1/(1/INDEX(calculos!$C$55:$K$83,MATCH("Taxa de Ocupação",calculos!$A$55:$A$83,0),MATCH($A$23,calculos!$C$54:$K$54,0))),"")</f>
        <v/>
      </c>
      <c r="E34" s="37"/>
      <c r="F34" s="82">
        <f>IF(AND(ISNUMBER(F32),ISNUMBER(F33)),IF(F32&gt;0,F33/F32,""),"")</f>
        <v>0.875</v>
      </c>
      <c r="G34" s="83">
        <f>IF(AND(ISNUMBER(G32),ISNUMBER(G33)),IF(G32&gt;0,G33/G32,""),"")</f>
        <v>0.795833333333333</v>
      </c>
      <c r="H34" s="83">
        <f>IF(AND(ISNUMBER(H32),ISNUMBER(H33)),IF(H32&gt;0,H33/H32,""),"")</f>
        <v>0.643333333333333</v>
      </c>
      <c r="I34" s="83">
        <f>IF(AND(ISNUMBER(I32),ISNUMBER(I33)),IF(I32&gt;0,I33/I32,""),"")</f>
        <v>0.84</v>
      </c>
      <c r="J34" s="83">
        <f>IF(AND(ISNUMBER(J32),ISNUMBER(J33)),IF(J32&gt;0,J33/J32,""),"")</f>
        <v>0.593333333333333</v>
      </c>
      <c r="K34" s="83" t="str">
        <f>IF(AND(ISNUMBER(K32),ISNUMBER(K33)),IF(K32&gt;0,K33/K32,""),"")</f>
        <v/>
      </c>
      <c r="L34" s="83">
        <f>IF(AND(ISNUMBER(L32),ISNUMBER(L33)),IF(L32&gt;0,L33/L32,""),"")</f>
        <v>0.7825</v>
      </c>
      <c r="M34" s="83">
        <f>IF(AND(ISNUMBER(M32),ISNUMBER(M33)),IF(M32&gt;0,M33/M32,""),"")</f>
        <v>0.759166666666667</v>
      </c>
      <c r="N34" s="83">
        <f>IF(AND(ISNUMBER(N32),ISNUMBER(N33)),IF(N32&gt;0,N33/N32,""),"")</f>
        <v>0.63</v>
      </c>
      <c r="O34" s="83">
        <f>IF(AND(ISNUMBER(O32),ISNUMBER(O33)),IF(O32&gt;0,O33/O32,""),"")</f>
        <v>0.628333333333333</v>
      </c>
      <c r="P34" s="83">
        <f>IF(AND(ISNUMBER(P32),ISNUMBER(P33)),IF(P32&gt;0,P33/P32,""),"")</f>
        <v>0.626666666666667</v>
      </c>
      <c r="Q34" s="83">
        <f>IF(AND(ISNUMBER(Q32),ISNUMBER(Q33)),IF(Q32&gt;0,Q33/Q32,""),"")</f>
        <v>0.943333333333333</v>
      </c>
      <c r="R34" s="83" t="str">
        <f>IF(AND(ISNUMBER(R32),ISNUMBER(R33)),IF(R32&gt;0,R33/R32,""),"")</f>
        <v/>
      </c>
      <c r="S34" s="83">
        <f>IF(AND(ISNUMBER(S32),ISNUMBER(S33)),IF(S32&gt;0,S33/S32,""),"")</f>
        <v>0.673333333333333</v>
      </c>
      <c r="T34" s="83">
        <f>IF(AND(ISNUMBER(T32),ISNUMBER(T33)),IF(T32&gt;0,T33/T32,""),"")</f>
        <v>0.956666666666667</v>
      </c>
      <c r="U34" s="83">
        <f>IF(AND(ISNUMBER(U32),ISNUMBER(U33)),IF(U32&gt;0,U33/U32,""),"")</f>
        <v>0.591666666666667</v>
      </c>
      <c r="V34" s="83">
        <f>IF(AND(ISNUMBER(V32),ISNUMBER(V33)),IF(V32&gt;0,V33/V32,""),"")</f>
        <v>0.748333333333333</v>
      </c>
      <c r="W34" s="83">
        <f>IF(AND(ISNUMBER(W32),ISNUMBER(W33)),IF(W32&gt;0,W33/W32,""),"")</f>
        <v>0.700833333333333</v>
      </c>
      <c r="X34" s="83">
        <f>IF(AND(ISNUMBER(X32),ISNUMBER(X33)),IF(X32&gt;0,X33/X32,""),"")</f>
        <v>0.928333333333333</v>
      </c>
      <c r="Y34" s="83" t="str">
        <f>IF(AND(ISNUMBER(Y32),ISNUMBER(Y33)),IF(Y32&gt;0,Y33/Y32,""),"")</f>
        <v/>
      </c>
      <c r="Z34" s="83">
        <f>IF(AND(ISNUMBER(Z32),ISNUMBER(Z33)),IF(Z32&gt;0,Z33/Z32,""),"")</f>
        <v>0.690833333333333</v>
      </c>
      <c r="AA34" s="83">
        <f>IF(AND(ISNUMBER(AA32),ISNUMBER(AA33)),IF(AA32&gt;0,AA33/AA32,""),"")</f>
        <v>0.593333333333333</v>
      </c>
      <c r="AB34" s="83">
        <f>IF(AND(ISNUMBER(AB32),ISNUMBER(AB33)),IF(AB32&gt;0,AB33/AB32,""),"")</f>
        <v>0.723333333333333</v>
      </c>
      <c r="AC34" s="83">
        <f>IF(AND(ISNUMBER(AC32),ISNUMBER(AC33)),IF(AC32&gt;0,AC33/AC32,""),"")</f>
        <v>0.896666666666667</v>
      </c>
      <c r="AD34" s="83">
        <f>IF(AND(ISNUMBER(AD32),ISNUMBER(AD33)),IF(AD32&gt;0,AD33/AD32,""),"")</f>
        <v>0.713333333333333</v>
      </c>
      <c r="AE34" s="83">
        <f>IF(AND(ISNUMBER(AE32),ISNUMBER(AE33)),IF(AE32&gt;0,AE33/AE32,""),"")</f>
        <v>0.663333333333333</v>
      </c>
      <c r="AF34" s="83" t="str">
        <f>IF(AND(ISNUMBER(AF32),ISNUMBER(AF33)),IF(AF32&gt;0,AF33/AF32,""),"")</f>
        <v/>
      </c>
      <c r="AG34" s="83">
        <f>IF(AND(ISNUMBER(AG32),ISNUMBER(AG33)),IF(AG32&gt;0,AG33/AG32,""),"")</f>
        <v>0.651666666666667</v>
      </c>
      <c r="AH34" s="83">
        <f>IF(AND(ISNUMBER(AH32),ISNUMBER(AH33)),IF(AH32&gt;0,AH33/AH32,""),"")</f>
        <v>0.760833333333333</v>
      </c>
      <c r="AI34" s="83" t="str">
        <f>IF(AND(ISNUMBER(AI32),ISNUMBER(AI33)),IF(AI32&gt;0,AI33/AI32,""),"")</f>
        <v/>
      </c>
      <c r="AJ34" s="84" t="str">
        <f>IF(AND(ISNUMBER(AJ32),ISNUMBER(AJ33)),IF(AJ32&gt;0,AJ33/AJ32,""),"")</f>
        <v/>
      </c>
      <c r="AK34" s="81">
        <f>IF(AND(ISNUMBER(AK32),ISNUMBER(AK33)),IF(AK32&gt;0,AK33/AK32,""),"")</f>
        <v>0.760833333333333</v>
      </c>
    </row>
    <row r="35" ht="15.75" customHeight="1">
      <c r="A35" s="118"/>
      <c r="B35" s="114" t="inlineStr">
        <is>
          <t xml:space="preserve">GENTE</t>
        </is>
      </c>
      <c r="C35" s="85" t="inlineStr">
        <is>
          <t xml:space="preserve">Efetivo</t>
        </is>
      </c>
      <c r="D35" s="86" t="str">
        <f>IFERROR(1/(1/INDEX(calculos!$C$55:$K$83,MATCH("Efetivo",calculos!$A$55:$A$83,0),MATCH($A$23,calculos!$C$54:$K$54,0))),"")</f>
        <v/>
      </c>
      <c r="E35" s="87"/>
      <c r="F35" s="88">
        <f>IF(F$3="","",IF(COUNTIFS(Base!$A$3:$A$5001,F$3,Base!$B$3:$B$5001,$A$23,Base!$Z$3:$Z$5001,"&lt;&gt;")=0,"",SUMIFS(Base!$Z$3:$Z$5001,Base!$A$3:$A$5001,F$3,Base!$B$3:$B$5001,$A$23)))</f>
        <v>9</v>
      </c>
      <c r="G35" s="89">
        <f>IF(G$3="","",IF(COUNTIFS(Base!$A$3:$A$5001,G$3,Base!$B$3:$B$5001,$A$23,Base!$Z$3:$Z$5001,"&lt;&gt;")=0,"",SUMIFS(Base!$Z$3:$Z$5001,Base!$A$3:$A$5001,G$3,Base!$B$3:$B$5001,$A$23)))</f>
        <v>10</v>
      </c>
      <c r="H35" s="89">
        <f>IF(H$3="","",IF(COUNTIFS(Base!$A$3:$A$5001,H$3,Base!$B$3:$B$5001,$A$23,Base!$Z$3:$Z$5001,"&lt;&gt;")=0,"",SUMIFS(Base!$Z$3:$Z$5001,Base!$A$3:$A$5001,H$3,Base!$B$3:$B$5001,$A$23)))</f>
        <v>6</v>
      </c>
      <c r="I35" s="89">
        <f>IF(I$3="","",IF(COUNTIFS(Base!$A$3:$A$5001,I$3,Base!$B$3:$B$5001,$A$23,Base!$Z$3:$Z$5001,"&lt;&gt;")=0,"",SUMIFS(Base!$Z$3:$Z$5001,Base!$A$3:$A$5001,I$3,Base!$B$3:$B$5001,$A$23)))</f>
        <v>11</v>
      </c>
      <c r="J35" s="89">
        <f>IF(J$3="","",IF(COUNTIFS(Base!$A$3:$A$5001,J$3,Base!$B$3:$B$5001,$A$23,Base!$Z$3:$Z$5001,"&lt;&gt;")=0,"",SUMIFS(Base!$Z$3:$Z$5001,Base!$A$3:$A$5001,J$3,Base!$B$3:$B$5001,$A$23)))</f>
        <v>9</v>
      </c>
      <c r="K35" s="89" t="str">
        <f>IF(K$3="","",IF(COUNTIFS(Base!$A$3:$A$5001,K$3,Base!$B$3:$B$5001,$A$23,Base!$Z$3:$Z$5001,"&lt;&gt;")=0,"",SUMIFS(Base!$Z$3:$Z$5001,Base!$A$3:$A$5001,K$3,Base!$B$3:$B$5001,$A$23)))</f>
        <v/>
      </c>
      <c r="L35" s="89">
        <f>IF(L$3="","",IF(COUNTIFS(Base!$A$3:$A$5001,L$3,Base!$B$3:$B$5001,$A$23,Base!$Z$3:$Z$5001,"&lt;&gt;")=0,"",SUMIFS(Base!$Z$3:$Z$5001,Base!$A$3:$A$5001,L$3,Base!$B$3:$B$5001,$A$23)))</f>
        <v>5</v>
      </c>
      <c r="M35" s="89">
        <f>IF(M$3="","",IF(COUNTIFS(Base!$A$3:$A$5001,M$3,Base!$B$3:$B$5001,$A$23,Base!$Z$3:$Z$5001,"&lt;&gt;")=0,"",SUMIFS(Base!$Z$3:$Z$5001,Base!$A$3:$A$5001,M$3,Base!$B$3:$B$5001,$A$23)))</f>
        <v>12</v>
      </c>
      <c r="N35" s="89">
        <f>IF(N$3="","",IF(COUNTIFS(Base!$A$3:$A$5001,N$3,Base!$B$3:$B$5001,$A$23,Base!$Z$3:$Z$5001,"&lt;&gt;")=0,"",SUMIFS(Base!$Z$3:$Z$5001,Base!$A$3:$A$5001,N$3,Base!$B$3:$B$5001,$A$23)))</f>
        <v>11</v>
      </c>
      <c r="O35" s="89">
        <f>IF(O$3="","",IF(COUNTIFS(Base!$A$3:$A$5001,O$3,Base!$B$3:$B$5001,$A$23,Base!$Z$3:$Z$5001,"&lt;&gt;")=0,"",SUMIFS(Base!$Z$3:$Z$5001,Base!$A$3:$A$5001,O$3,Base!$B$3:$B$5001,$A$23)))</f>
        <v>10</v>
      </c>
      <c r="P35" s="89">
        <f>IF(P$3="","",IF(COUNTIFS(Base!$A$3:$A$5001,P$3,Base!$B$3:$B$5001,$A$23,Base!$Z$3:$Z$5001,"&lt;&gt;")=0,"",SUMIFS(Base!$Z$3:$Z$5001,Base!$A$3:$A$5001,P$3,Base!$B$3:$B$5001,$A$23)))</f>
        <v>14</v>
      </c>
      <c r="Q35" s="89">
        <f>IF(Q$3="","",IF(COUNTIFS(Base!$A$3:$A$5001,Q$3,Base!$B$3:$B$5001,$A$23,Base!$Z$3:$Z$5001,"&lt;&gt;")=0,"",SUMIFS(Base!$Z$3:$Z$5001,Base!$A$3:$A$5001,Q$3,Base!$B$3:$B$5001,$A$23)))</f>
        <v>5</v>
      </c>
      <c r="R35" s="89" t="str">
        <f>IF(R$3="","",IF(COUNTIFS(Base!$A$3:$A$5001,R$3,Base!$B$3:$B$5001,$A$23,Base!$Z$3:$Z$5001,"&lt;&gt;")=0,"",SUMIFS(Base!$Z$3:$Z$5001,Base!$A$3:$A$5001,R$3,Base!$B$3:$B$5001,$A$23)))</f>
        <v/>
      </c>
      <c r="S35" s="89">
        <f>IF(S$3="","",IF(COUNTIFS(Base!$A$3:$A$5001,S$3,Base!$B$3:$B$5001,$A$23,Base!$Z$3:$Z$5001,"&lt;&gt;")=0,"",SUMIFS(Base!$Z$3:$Z$5001,Base!$A$3:$A$5001,S$3,Base!$B$3:$B$5001,$A$23)))</f>
        <v>12</v>
      </c>
      <c r="T35" s="89">
        <f>IF(T$3="","",IF(COUNTIFS(Base!$A$3:$A$5001,T$3,Base!$B$3:$B$5001,$A$23,Base!$Z$3:$Z$5001,"&lt;&gt;")=0,"",SUMIFS(Base!$Z$3:$Z$5001,Base!$A$3:$A$5001,T$3,Base!$B$3:$B$5001,$A$23)))</f>
        <v>7</v>
      </c>
      <c r="U35" s="89">
        <f>IF(U$3="","",IF(COUNTIFS(Base!$A$3:$A$5001,U$3,Base!$B$3:$B$5001,$A$23,Base!$Z$3:$Z$5001,"&lt;&gt;")=0,"",SUMIFS(Base!$Z$3:$Z$5001,Base!$A$3:$A$5001,U$3,Base!$B$3:$B$5001,$A$23)))</f>
        <v>10</v>
      </c>
      <c r="V35" s="89">
        <f>IF(V$3="","",IF(COUNTIFS(Base!$A$3:$A$5001,V$3,Base!$B$3:$B$5001,$A$23,Base!$Z$3:$Z$5001,"&lt;&gt;")=0,"",SUMIFS(Base!$Z$3:$Z$5001,Base!$A$3:$A$5001,V$3,Base!$B$3:$B$5001,$A$23)))</f>
        <v>6</v>
      </c>
      <c r="W35" s="89">
        <f>IF(W$3="","",IF(COUNTIFS(Base!$A$3:$A$5001,W$3,Base!$B$3:$B$5001,$A$23,Base!$Z$3:$Z$5001,"&lt;&gt;")=0,"",SUMIFS(Base!$Z$3:$Z$5001,Base!$A$3:$A$5001,W$3,Base!$B$3:$B$5001,$A$23)))</f>
        <v>8</v>
      </c>
      <c r="X35" s="89">
        <f>IF(X$3="","",IF(COUNTIFS(Base!$A$3:$A$5001,X$3,Base!$B$3:$B$5001,$A$23,Base!$Z$3:$Z$5001,"&lt;&gt;")=0,"",SUMIFS(Base!$Z$3:$Z$5001,Base!$A$3:$A$5001,X$3,Base!$B$3:$B$5001,$A$23)))</f>
        <v>8</v>
      </c>
      <c r="Y35" s="89" t="str">
        <f>IF(Y$3="","",IF(COUNTIFS(Base!$A$3:$A$5001,Y$3,Base!$B$3:$B$5001,$A$23,Base!$Z$3:$Z$5001,"&lt;&gt;")=0,"",SUMIFS(Base!$Z$3:$Z$5001,Base!$A$3:$A$5001,Y$3,Base!$B$3:$B$5001,$A$23)))</f>
        <v/>
      </c>
      <c r="Z35" s="89">
        <f>IF(Z$3="","",IF(COUNTIFS(Base!$A$3:$A$5001,Z$3,Base!$B$3:$B$5001,$A$23,Base!$Z$3:$Z$5001,"&lt;&gt;")=0,"",SUMIFS(Base!$Z$3:$Z$5001,Base!$A$3:$A$5001,Z$3,Base!$B$3:$B$5001,$A$23)))</f>
        <v>6</v>
      </c>
      <c r="AA35" s="89">
        <f>IF(AA$3="","",IF(COUNTIFS(Base!$A$3:$A$5001,AA$3,Base!$B$3:$B$5001,$A$23,Base!$Z$3:$Z$5001,"&lt;&gt;")=0,"",SUMIFS(Base!$Z$3:$Z$5001,Base!$A$3:$A$5001,AA$3,Base!$B$3:$B$5001,$A$23)))</f>
        <v>11</v>
      </c>
      <c r="AB35" s="89">
        <f>IF(AB$3="","",IF(COUNTIFS(Base!$A$3:$A$5001,AB$3,Base!$B$3:$B$5001,$A$23,Base!$Z$3:$Z$5001,"&lt;&gt;")=0,"",SUMIFS(Base!$Z$3:$Z$5001,Base!$A$3:$A$5001,AB$3,Base!$B$3:$B$5001,$A$23)))</f>
        <v>6</v>
      </c>
      <c r="AC35" s="89">
        <f>IF(AC$3="","",IF(COUNTIFS(Base!$A$3:$A$5001,AC$3,Base!$B$3:$B$5001,$A$23,Base!$Z$3:$Z$5001,"&lt;&gt;")=0,"",SUMIFS(Base!$Z$3:$Z$5001,Base!$A$3:$A$5001,AC$3,Base!$B$3:$B$5001,$A$23)))</f>
        <v>5</v>
      </c>
      <c r="AD35" s="89">
        <f>IF(AD$3="","",IF(COUNTIFS(Base!$A$3:$A$5001,AD$3,Base!$B$3:$B$5001,$A$23,Base!$Z$3:$Z$5001,"&lt;&gt;")=0,"",SUMIFS(Base!$Z$3:$Z$5001,Base!$A$3:$A$5001,AD$3,Base!$B$3:$B$5001,$A$23)))</f>
        <v>7</v>
      </c>
      <c r="AE35" s="89">
        <f>IF(AE$3="","",IF(COUNTIFS(Base!$A$3:$A$5001,AE$3,Base!$B$3:$B$5001,$A$23,Base!$Z$3:$Z$5001,"&lt;&gt;")=0,"",SUMIFS(Base!$Z$3:$Z$5001,Base!$A$3:$A$5001,AE$3,Base!$B$3:$B$5001,$A$23)))</f>
        <v>11</v>
      </c>
      <c r="AF35" s="89" t="str">
        <f>IF(AF$3="","",IF(COUNTIFS(Base!$A$3:$A$5001,AF$3,Base!$B$3:$B$5001,$A$23,Base!$Z$3:$Z$5001,"&lt;&gt;")=0,"",SUMIFS(Base!$Z$3:$Z$5001,Base!$A$3:$A$5001,AF$3,Base!$B$3:$B$5001,$A$23)))</f>
        <v/>
      </c>
      <c r="AG35" s="89">
        <f>IF(AG$3="","",IF(COUNTIFS(Base!$A$3:$A$5001,AG$3,Base!$B$3:$B$5001,$A$23,Base!$Z$3:$Z$5001,"&lt;&gt;")=0,"",SUMIFS(Base!$Z$3:$Z$5001,Base!$A$3:$A$5001,AG$3,Base!$B$3:$B$5001,$A$23)))</f>
        <v>4</v>
      </c>
      <c r="AH35" s="89">
        <f>IF(AH$3="","",IF(COUNTIFS(Base!$A$3:$A$5001,AH$3,Base!$B$3:$B$5001,$A$23,Base!$Z$3:$Z$5001,"&lt;&gt;")=0,"",SUMIFS(Base!$Z$3:$Z$5001,Base!$A$3:$A$5001,AH$3,Base!$B$3:$B$5001,$A$23)))</f>
        <v>5</v>
      </c>
      <c r="AI35" s="89" t="str">
        <f>IF(AI$3="","",IF(COUNTIFS(Base!$A$3:$A$5001,AI$3,Base!$B$3:$B$5001,$A$23,Base!$Z$3:$Z$5001,"&lt;&gt;")=0,"",SUMIFS(Base!$Z$3:$Z$5001,Base!$A$3:$A$5001,AI$3,Base!$B$3:$B$5001,$A$23)))</f>
        <v/>
      </c>
      <c r="AJ35" s="90" t="str">
        <f>IF(AJ$3="","",IF(COUNTIFS(Base!$A$3:$A$5001,AJ$3,Base!$B$3:$B$5001,$A$23,Base!$Z$3:$Z$5001,"&lt;&gt;")=0,"",SUMIFS(Base!$Z$3:$Z$5001,Base!$A$3:$A$5001,AJ$3,Base!$B$3:$B$5001,$A$23)))</f>
        <v/>
      </c>
      <c r="AK35" s="91">
        <f>IFERROR(LOOKUP(9.99E+307,F35:AJ35),"")</f>
        <v>5</v>
      </c>
    </row>
    <row r="36" ht="15.75" customHeight="1">
      <c r="A36" s="118"/>
      <c r="B36" s="115"/>
      <c r="C36" s="92" t="inlineStr">
        <is>
          <t xml:space="preserve">Falta</t>
        </is>
      </c>
      <c r="D36" s="93" t="str">
        <f>IFERROR(1/(1/INDEX(calculos!$C$55:$K$83,MATCH("Falta",calculos!$A$55:$A$83,0),MATCH($A$23,calculos!$C$54:$K$54,0))),"")</f>
        <v/>
      </c>
      <c r="E36" s="94"/>
      <c r="F36" s="95" t="str">
        <f>IF(F$3="","",IF(COUNTIFS(Base!$A$3:$A$5001,F$3,Base!$B$3:$B$5001,$A$23,Base!$AA$3:$AA$5001,"&lt;&gt;")=0,"",SUMIFS(Base!$AA$3:$AA$5001,Base!$A$3:$A$5001,F$3,Base!$B$3:$B$5001,$A$23)))</f>
        <v/>
      </c>
      <c r="G36" s="96" t="str">
        <f>IF(G$3="","",IF(COUNTIFS(Base!$A$3:$A$5001,G$3,Base!$B$3:$B$5001,$A$23,Base!$AA$3:$AA$5001,"&lt;&gt;")=0,"",SUMIFS(Base!$AA$3:$AA$5001,Base!$A$3:$A$5001,G$3,Base!$B$3:$B$5001,$A$23)))</f>
        <v/>
      </c>
      <c r="H36" s="96">
        <f>IF(H$3="","",IF(COUNTIFS(Base!$A$3:$A$5001,H$3,Base!$B$3:$B$5001,$A$23,Base!$AA$3:$AA$5001,"&lt;&gt;")=0,"",SUMIFS(Base!$AA$3:$AA$5001,Base!$A$3:$A$5001,H$3,Base!$B$3:$B$5001,$A$23)))</f>
        <v>1</v>
      </c>
      <c r="I36" s="96" t="str">
        <f>IF(I$3="","",IF(COUNTIFS(Base!$A$3:$A$5001,I$3,Base!$B$3:$B$5001,$A$23,Base!$AA$3:$AA$5001,"&lt;&gt;")=0,"",SUMIFS(Base!$AA$3:$AA$5001,Base!$A$3:$A$5001,I$3,Base!$B$3:$B$5001,$A$23)))</f>
        <v/>
      </c>
      <c r="J36" s="96" t="str">
        <f>IF(J$3="","",IF(COUNTIFS(Base!$A$3:$A$5001,J$3,Base!$B$3:$B$5001,$A$23,Base!$AA$3:$AA$5001,"&lt;&gt;")=0,"",SUMIFS(Base!$AA$3:$AA$5001,Base!$A$3:$A$5001,J$3,Base!$B$3:$B$5001,$A$23)))</f>
        <v/>
      </c>
      <c r="K36" s="96" t="str">
        <f>IF(K$3="","",IF(COUNTIFS(Base!$A$3:$A$5001,K$3,Base!$B$3:$B$5001,$A$23,Base!$AA$3:$AA$5001,"&lt;&gt;")=0,"",SUMIFS(Base!$AA$3:$AA$5001,Base!$A$3:$A$5001,K$3,Base!$B$3:$B$5001,$A$23)))</f>
        <v/>
      </c>
      <c r="L36" s="96" t="str">
        <f>IF(L$3="","",IF(COUNTIFS(Base!$A$3:$A$5001,L$3,Base!$B$3:$B$5001,$A$23,Base!$AA$3:$AA$5001,"&lt;&gt;")=0,"",SUMIFS(Base!$AA$3:$AA$5001,Base!$A$3:$A$5001,L$3,Base!$B$3:$B$5001,$A$23)))</f>
        <v/>
      </c>
      <c r="M36" s="96" t="str">
        <f>IF(M$3="","",IF(COUNTIFS(Base!$A$3:$A$5001,M$3,Base!$B$3:$B$5001,$A$23,Base!$AA$3:$AA$5001,"&lt;&gt;")=0,"",SUMIFS(Base!$AA$3:$AA$5001,Base!$A$3:$A$5001,M$3,Base!$B$3:$B$5001,$A$23)))</f>
        <v/>
      </c>
      <c r="N36" s="96" t="str">
        <f>IF(N$3="","",IF(COUNTIFS(Base!$A$3:$A$5001,N$3,Base!$B$3:$B$5001,$A$23,Base!$AA$3:$AA$5001,"&lt;&gt;")=0,"",SUMIFS(Base!$AA$3:$AA$5001,Base!$A$3:$A$5001,N$3,Base!$B$3:$B$5001,$A$23)))</f>
        <v/>
      </c>
      <c r="O36" s="96">
        <f>IF(O$3="","",IF(COUNTIFS(Base!$A$3:$A$5001,O$3,Base!$B$3:$B$5001,$A$23,Base!$AA$3:$AA$5001,"&lt;&gt;")=0,"",SUMIFS(Base!$AA$3:$AA$5001,Base!$A$3:$A$5001,O$3,Base!$B$3:$B$5001,$A$23)))</f>
        <v>1</v>
      </c>
      <c r="P36" s="96" t="str">
        <f>IF(P$3="","",IF(COUNTIFS(Base!$A$3:$A$5001,P$3,Base!$B$3:$B$5001,$A$23,Base!$AA$3:$AA$5001,"&lt;&gt;")=0,"",SUMIFS(Base!$AA$3:$AA$5001,Base!$A$3:$A$5001,P$3,Base!$B$3:$B$5001,$A$23)))</f>
        <v/>
      </c>
      <c r="Q36" s="96" t="str">
        <f>IF(Q$3="","",IF(COUNTIFS(Base!$A$3:$A$5001,Q$3,Base!$B$3:$B$5001,$A$23,Base!$AA$3:$AA$5001,"&lt;&gt;")=0,"",SUMIFS(Base!$AA$3:$AA$5001,Base!$A$3:$A$5001,Q$3,Base!$B$3:$B$5001,$A$23)))</f>
        <v/>
      </c>
      <c r="R36" s="96" t="str">
        <f>IF(R$3="","",IF(COUNTIFS(Base!$A$3:$A$5001,R$3,Base!$B$3:$B$5001,$A$23,Base!$AA$3:$AA$5001,"&lt;&gt;")=0,"",SUMIFS(Base!$AA$3:$AA$5001,Base!$A$3:$A$5001,R$3,Base!$B$3:$B$5001,$A$23)))</f>
        <v/>
      </c>
      <c r="S36" s="96" t="str">
        <f>IF(S$3="","",IF(COUNTIFS(Base!$A$3:$A$5001,S$3,Base!$B$3:$B$5001,$A$23,Base!$AA$3:$AA$5001,"&lt;&gt;")=0,"",SUMIFS(Base!$AA$3:$AA$5001,Base!$A$3:$A$5001,S$3,Base!$B$3:$B$5001,$A$23)))</f>
        <v/>
      </c>
      <c r="T36" s="96" t="str">
        <f>IF(T$3="","",IF(COUNTIFS(Base!$A$3:$A$5001,T$3,Base!$B$3:$B$5001,$A$23,Base!$AA$3:$AA$5001,"&lt;&gt;")=0,"",SUMIFS(Base!$AA$3:$AA$5001,Base!$A$3:$A$5001,T$3,Base!$B$3:$B$5001,$A$23)))</f>
        <v/>
      </c>
      <c r="U36" s="96">
        <f>IF(U$3="","",IF(COUNTIFS(Base!$A$3:$A$5001,U$3,Base!$B$3:$B$5001,$A$23,Base!$AA$3:$AA$5001,"&lt;&gt;")=0,"",SUMIFS(Base!$AA$3:$AA$5001,Base!$A$3:$A$5001,U$3,Base!$B$3:$B$5001,$A$23)))</f>
        <v>1</v>
      </c>
      <c r="V36" s="96" t="str">
        <f>IF(V$3="","",IF(COUNTIFS(Base!$A$3:$A$5001,V$3,Base!$B$3:$B$5001,$A$23,Base!$AA$3:$AA$5001,"&lt;&gt;")=0,"",SUMIFS(Base!$AA$3:$AA$5001,Base!$A$3:$A$5001,V$3,Base!$B$3:$B$5001,$A$23)))</f>
        <v/>
      </c>
      <c r="W36" s="96" t="str">
        <f>IF(W$3="","",IF(COUNTIFS(Base!$A$3:$A$5001,W$3,Base!$B$3:$B$5001,$A$23,Base!$AA$3:$AA$5001,"&lt;&gt;")=0,"",SUMIFS(Base!$AA$3:$AA$5001,Base!$A$3:$A$5001,W$3,Base!$B$3:$B$5001,$A$23)))</f>
        <v/>
      </c>
      <c r="X36" s="96" t="str">
        <f>IF(X$3="","",IF(COUNTIFS(Base!$A$3:$A$5001,X$3,Base!$B$3:$B$5001,$A$23,Base!$AA$3:$AA$5001,"&lt;&gt;")=0,"",SUMIFS(Base!$AA$3:$AA$5001,Base!$A$3:$A$5001,X$3,Base!$B$3:$B$5001,$A$23)))</f>
        <v/>
      </c>
      <c r="Y36" s="96" t="str">
        <f>IF(Y$3="","",IF(COUNTIFS(Base!$A$3:$A$5001,Y$3,Base!$B$3:$B$5001,$A$23,Base!$AA$3:$AA$5001,"&lt;&gt;")=0,"",SUMIFS(Base!$AA$3:$AA$5001,Base!$A$3:$A$5001,Y$3,Base!$B$3:$B$5001,$A$23)))</f>
        <v/>
      </c>
      <c r="Z36" s="96">
        <f>IF(Z$3="","",IF(COUNTIFS(Base!$A$3:$A$5001,Z$3,Base!$B$3:$B$5001,$A$23,Base!$AA$3:$AA$5001,"&lt;&gt;")=0,"",SUMIFS(Base!$AA$3:$AA$5001,Base!$A$3:$A$5001,Z$3,Base!$B$3:$B$5001,$A$23)))</f>
        <v>1</v>
      </c>
      <c r="AA36" s="96" t="str">
        <f>IF(AA$3="","",IF(COUNTIFS(Base!$A$3:$A$5001,AA$3,Base!$B$3:$B$5001,$A$23,Base!$AA$3:$AA$5001,"&lt;&gt;")=0,"",SUMIFS(Base!$AA$3:$AA$5001,Base!$A$3:$A$5001,AA$3,Base!$B$3:$B$5001,$A$23)))</f>
        <v/>
      </c>
      <c r="AB36" s="96" t="str">
        <f>IF(AB$3="","",IF(COUNTIFS(Base!$A$3:$A$5001,AB$3,Base!$B$3:$B$5001,$A$23,Base!$AA$3:$AA$5001,"&lt;&gt;")=0,"",SUMIFS(Base!$AA$3:$AA$5001,Base!$A$3:$A$5001,AB$3,Base!$B$3:$B$5001,$A$23)))</f>
        <v/>
      </c>
      <c r="AC36" s="96" t="str">
        <f>IF(AC$3="","",IF(COUNTIFS(Base!$A$3:$A$5001,AC$3,Base!$B$3:$B$5001,$A$23,Base!$AA$3:$AA$5001,"&lt;&gt;")=0,"",SUMIFS(Base!$AA$3:$AA$5001,Base!$A$3:$A$5001,AC$3,Base!$B$3:$B$5001,$A$23)))</f>
        <v/>
      </c>
      <c r="AD36" s="96">
        <f>IF(AD$3="","",IF(COUNTIFS(Base!$A$3:$A$5001,AD$3,Base!$B$3:$B$5001,$A$23,Base!$AA$3:$AA$5001,"&lt;&gt;")=0,"",SUMIFS(Base!$AA$3:$AA$5001,Base!$A$3:$A$5001,AD$3,Base!$B$3:$B$5001,$A$23)))</f>
        <v>1</v>
      </c>
      <c r="AE36" s="96" t="str">
        <f>IF(AE$3="","",IF(COUNTIFS(Base!$A$3:$A$5001,AE$3,Base!$B$3:$B$5001,$A$23,Base!$AA$3:$AA$5001,"&lt;&gt;")=0,"",SUMIFS(Base!$AA$3:$AA$5001,Base!$A$3:$A$5001,AE$3,Base!$B$3:$B$5001,$A$23)))</f>
        <v/>
      </c>
      <c r="AF36" s="96" t="str">
        <f>IF(AF$3="","",IF(COUNTIFS(Base!$A$3:$A$5001,AF$3,Base!$B$3:$B$5001,$A$23,Base!$AA$3:$AA$5001,"&lt;&gt;")=0,"",SUMIFS(Base!$AA$3:$AA$5001,Base!$A$3:$A$5001,AF$3,Base!$B$3:$B$5001,$A$23)))</f>
        <v/>
      </c>
      <c r="AG36" s="96" t="str">
        <f>IF(AG$3="","",IF(COUNTIFS(Base!$A$3:$A$5001,AG$3,Base!$B$3:$B$5001,$A$23,Base!$AA$3:$AA$5001,"&lt;&gt;")=0,"",SUMIFS(Base!$AA$3:$AA$5001,Base!$A$3:$A$5001,AG$3,Base!$B$3:$B$5001,$A$23)))</f>
        <v/>
      </c>
      <c r="AH36" s="96" t="str">
        <f>IF(AH$3="","",IF(COUNTIFS(Base!$A$3:$A$5001,AH$3,Base!$B$3:$B$5001,$A$23,Base!$AA$3:$AA$5001,"&lt;&gt;")=0,"",SUMIFS(Base!$AA$3:$AA$5001,Base!$A$3:$A$5001,AH$3,Base!$B$3:$B$5001,$A$23)))</f>
        <v/>
      </c>
      <c r="AI36" s="96" t="str">
        <f>IF(AI$3="","",IF(COUNTIFS(Base!$A$3:$A$5001,AI$3,Base!$B$3:$B$5001,$A$23,Base!$AA$3:$AA$5001,"&lt;&gt;")=0,"",SUMIFS(Base!$AA$3:$AA$5001,Base!$A$3:$A$5001,AI$3,Base!$B$3:$B$5001,$A$23)))</f>
        <v/>
      </c>
      <c r="AJ36" s="97" t="str">
        <f>IF(AJ$3="","",IF(COUNTIFS(Base!$A$3:$A$5001,AJ$3,Base!$B$3:$B$5001,$A$23,Base!$AA$3:$AA$5001,"&lt;&gt;")=0,"",SUMIFS(Base!$AA$3:$AA$5001,Base!$A$3:$A$5001,AJ$3,Base!$B$3:$B$5001,$A$23)))</f>
        <v/>
      </c>
      <c r="AK36" s="98">
        <f>IF(COUNT(F36:AJ36)=0,"",SUM(F36:AJ36))</f>
        <v>5</v>
      </c>
    </row>
    <row r="37" ht="15.75" customHeight="1">
      <c r="A37" s="118"/>
      <c r="B37" s="115"/>
      <c r="C37" s="92" t="inlineStr">
        <is>
          <t xml:space="preserve">Folga</t>
        </is>
      </c>
      <c r="D37" s="93" t="str">
        <f>IFERROR(1/(1/INDEX(calculos!$C$55:$K$83,MATCH("Folga",calculos!$A$55:$A$83,0),MATCH($A$23,calculos!$C$54:$K$54,0))),"")</f>
        <v/>
      </c>
      <c r="E37" s="94"/>
      <c r="F37" s="95" t="str">
        <f>IF(F$3="","",IF(COUNTIFS(Base!$A$3:$A$5001,F$3,Base!$B$3:$B$5001,$A$23,Base!$AB$3:$AB$5001,"&lt;&gt;")=0,"",SUMIFS(Base!$AB$3:$AB$5001,Base!$A$3:$A$5001,F$3,Base!$B$3:$B$5001,$A$23)))</f>
        <v/>
      </c>
      <c r="G37" s="96" t="str">
        <f>IF(G$3="","",IF(COUNTIFS(Base!$A$3:$A$5001,G$3,Base!$B$3:$B$5001,$A$23,Base!$AB$3:$AB$5001,"&lt;&gt;")=0,"",SUMIFS(Base!$AB$3:$AB$5001,Base!$A$3:$A$5001,G$3,Base!$B$3:$B$5001,$A$23)))</f>
        <v/>
      </c>
      <c r="H37" s="96" t="str">
        <f>IF(H$3="","",IF(COUNTIFS(Base!$A$3:$A$5001,H$3,Base!$B$3:$B$5001,$A$23,Base!$AB$3:$AB$5001,"&lt;&gt;")=0,"",SUMIFS(Base!$AB$3:$AB$5001,Base!$A$3:$A$5001,H$3,Base!$B$3:$B$5001,$A$23)))</f>
        <v/>
      </c>
      <c r="I37" s="96" t="str">
        <f>IF(I$3="","",IF(COUNTIFS(Base!$A$3:$A$5001,I$3,Base!$B$3:$B$5001,$A$23,Base!$AB$3:$AB$5001,"&lt;&gt;")=0,"",SUMIFS(Base!$AB$3:$AB$5001,Base!$A$3:$A$5001,I$3,Base!$B$3:$B$5001,$A$23)))</f>
        <v/>
      </c>
      <c r="J37" s="96" t="str">
        <f>IF(J$3="","",IF(COUNTIFS(Base!$A$3:$A$5001,J$3,Base!$B$3:$B$5001,$A$23,Base!$AB$3:$AB$5001,"&lt;&gt;")=0,"",SUMIFS(Base!$AB$3:$AB$5001,Base!$A$3:$A$5001,J$3,Base!$B$3:$B$5001,$A$23)))</f>
        <v/>
      </c>
      <c r="K37" s="96" t="str">
        <f>IF(K$3="","",IF(COUNTIFS(Base!$A$3:$A$5001,K$3,Base!$B$3:$B$5001,$A$23,Base!$AB$3:$AB$5001,"&lt;&gt;")=0,"",SUMIFS(Base!$AB$3:$AB$5001,Base!$A$3:$A$5001,K$3,Base!$B$3:$B$5001,$A$23)))</f>
        <v/>
      </c>
      <c r="L37" s="96" t="str">
        <f>IF(L$3="","",IF(COUNTIFS(Base!$A$3:$A$5001,L$3,Base!$B$3:$B$5001,$A$23,Base!$AB$3:$AB$5001,"&lt;&gt;")=0,"",SUMIFS(Base!$AB$3:$AB$5001,Base!$A$3:$A$5001,L$3,Base!$B$3:$B$5001,$A$23)))</f>
        <v/>
      </c>
      <c r="M37" s="96" t="str">
        <f>IF(M$3="","",IF(COUNTIFS(Base!$A$3:$A$5001,M$3,Base!$B$3:$B$5001,$A$23,Base!$AB$3:$AB$5001,"&lt;&gt;")=0,"",SUMIFS(Base!$AB$3:$AB$5001,Base!$A$3:$A$5001,M$3,Base!$B$3:$B$5001,$A$23)))</f>
        <v/>
      </c>
      <c r="N37" s="96" t="str">
        <f>IF(N$3="","",IF(COUNTIFS(Base!$A$3:$A$5001,N$3,Base!$B$3:$B$5001,$A$23,Base!$AB$3:$AB$5001,"&lt;&gt;")=0,"",SUMIFS(Base!$AB$3:$AB$5001,Base!$A$3:$A$5001,N$3,Base!$B$3:$B$5001,$A$23)))</f>
        <v/>
      </c>
      <c r="O37" s="96">
        <f>IF(O$3="","",IF(COUNTIFS(Base!$A$3:$A$5001,O$3,Base!$B$3:$B$5001,$A$23,Base!$AB$3:$AB$5001,"&lt;&gt;")=0,"",SUMIFS(Base!$AB$3:$AB$5001,Base!$A$3:$A$5001,O$3,Base!$B$3:$B$5001,$A$23)))</f>
        <v>1</v>
      </c>
      <c r="P37" s="96" t="str">
        <f>IF(P$3="","",IF(COUNTIFS(Base!$A$3:$A$5001,P$3,Base!$B$3:$B$5001,$A$23,Base!$AB$3:$AB$5001,"&lt;&gt;")=0,"",SUMIFS(Base!$AB$3:$AB$5001,Base!$A$3:$A$5001,P$3,Base!$B$3:$B$5001,$A$23)))</f>
        <v/>
      </c>
      <c r="Q37" s="96" t="str">
        <f>IF(Q$3="","",IF(COUNTIFS(Base!$A$3:$A$5001,Q$3,Base!$B$3:$B$5001,$A$23,Base!$AB$3:$AB$5001,"&lt;&gt;")=0,"",SUMIFS(Base!$AB$3:$AB$5001,Base!$A$3:$A$5001,Q$3,Base!$B$3:$B$5001,$A$23)))</f>
        <v/>
      </c>
      <c r="R37" s="96" t="str">
        <f>IF(R$3="","",IF(COUNTIFS(Base!$A$3:$A$5001,R$3,Base!$B$3:$B$5001,$A$23,Base!$AB$3:$AB$5001,"&lt;&gt;")=0,"",SUMIFS(Base!$AB$3:$AB$5001,Base!$A$3:$A$5001,R$3,Base!$B$3:$B$5001,$A$23)))</f>
        <v/>
      </c>
      <c r="S37" s="96" t="str">
        <f>IF(S$3="","",IF(COUNTIFS(Base!$A$3:$A$5001,S$3,Base!$B$3:$B$5001,$A$23,Base!$AB$3:$AB$5001,"&lt;&gt;")=0,"",SUMIFS(Base!$AB$3:$AB$5001,Base!$A$3:$A$5001,S$3,Base!$B$3:$B$5001,$A$23)))</f>
        <v/>
      </c>
      <c r="T37" s="96" t="str">
        <f>IF(T$3="","",IF(COUNTIFS(Base!$A$3:$A$5001,T$3,Base!$B$3:$B$5001,$A$23,Base!$AB$3:$AB$5001,"&lt;&gt;")=0,"",SUMIFS(Base!$AB$3:$AB$5001,Base!$A$3:$A$5001,T$3,Base!$B$3:$B$5001,$A$23)))</f>
        <v/>
      </c>
      <c r="U37" s="96" t="str">
        <f>IF(U$3="","",IF(COUNTIFS(Base!$A$3:$A$5001,U$3,Base!$B$3:$B$5001,$A$23,Base!$AB$3:$AB$5001,"&lt;&gt;")=0,"",SUMIFS(Base!$AB$3:$AB$5001,Base!$A$3:$A$5001,U$3,Base!$B$3:$B$5001,$A$23)))</f>
        <v/>
      </c>
      <c r="V37" s="96" t="str">
        <f>IF(V$3="","",IF(COUNTIFS(Base!$A$3:$A$5001,V$3,Base!$B$3:$B$5001,$A$23,Base!$AB$3:$AB$5001,"&lt;&gt;")=0,"",SUMIFS(Base!$AB$3:$AB$5001,Base!$A$3:$A$5001,V$3,Base!$B$3:$B$5001,$A$23)))</f>
        <v/>
      </c>
      <c r="W37" s="96" t="str">
        <f>IF(W$3="","",IF(COUNTIFS(Base!$A$3:$A$5001,W$3,Base!$B$3:$B$5001,$A$23,Base!$AB$3:$AB$5001,"&lt;&gt;")=0,"",SUMIFS(Base!$AB$3:$AB$5001,Base!$A$3:$A$5001,W$3,Base!$B$3:$B$5001,$A$23)))</f>
        <v/>
      </c>
      <c r="X37" s="96" t="str">
        <f>IF(X$3="","",IF(COUNTIFS(Base!$A$3:$A$5001,X$3,Base!$B$3:$B$5001,$A$23,Base!$AB$3:$AB$5001,"&lt;&gt;")=0,"",SUMIFS(Base!$AB$3:$AB$5001,Base!$A$3:$A$5001,X$3,Base!$B$3:$B$5001,$A$23)))</f>
        <v/>
      </c>
      <c r="Y37" s="96" t="str">
        <f>IF(Y$3="","",IF(COUNTIFS(Base!$A$3:$A$5001,Y$3,Base!$B$3:$B$5001,$A$23,Base!$AB$3:$AB$5001,"&lt;&gt;")=0,"",SUMIFS(Base!$AB$3:$AB$5001,Base!$A$3:$A$5001,Y$3,Base!$B$3:$B$5001,$A$23)))</f>
        <v/>
      </c>
      <c r="Z37" s="96">
        <f>IF(Z$3="","",IF(COUNTIFS(Base!$A$3:$A$5001,Z$3,Base!$B$3:$B$5001,$A$23,Base!$AB$3:$AB$5001,"&lt;&gt;")=0,"",SUMIFS(Base!$AB$3:$AB$5001,Base!$A$3:$A$5001,Z$3,Base!$B$3:$B$5001,$A$23)))</f>
        <v>1</v>
      </c>
      <c r="AA37" s="96" t="str">
        <f>IF(AA$3="","",IF(COUNTIFS(Base!$A$3:$A$5001,AA$3,Base!$B$3:$B$5001,$A$23,Base!$AB$3:$AB$5001,"&lt;&gt;")=0,"",SUMIFS(Base!$AB$3:$AB$5001,Base!$A$3:$A$5001,AA$3,Base!$B$3:$B$5001,$A$23)))</f>
        <v/>
      </c>
      <c r="AB37" s="96" t="str">
        <f>IF(AB$3="","",IF(COUNTIFS(Base!$A$3:$A$5001,AB$3,Base!$B$3:$B$5001,$A$23,Base!$AB$3:$AB$5001,"&lt;&gt;")=0,"",SUMIFS(Base!$AB$3:$AB$5001,Base!$A$3:$A$5001,AB$3,Base!$B$3:$B$5001,$A$23)))</f>
        <v/>
      </c>
      <c r="AC37" s="96" t="str">
        <f>IF(AC$3="","",IF(COUNTIFS(Base!$A$3:$A$5001,AC$3,Base!$B$3:$B$5001,$A$23,Base!$AB$3:$AB$5001,"&lt;&gt;")=0,"",SUMIFS(Base!$AB$3:$AB$5001,Base!$A$3:$A$5001,AC$3,Base!$B$3:$B$5001,$A$23)))</f>
        <v/>
      </c>
      <c r="AD37" s="96" t="str">
        <f>IF(AD$3="","",IF(COUNTIFS(Base!$A$3:$A$5001,AD$3,Base!$B$3:$B$5001,$A$23,Base!$AB$3:$AB$5001,"&lt;&gt;")=0,"",SUMIFS(Base!$AB$3:$AB$5001,Base!$A$3:$A$5001,AD$3,Base!$B$3:$B$5001,$A$23)))</f>
        <v/>
      </c>
      <c r="AE37" s="96" t="str">
        <f>IF(AE$3="","",IF(COUNTIFS(Base!$A$3:$A$5001,AE$3,Base!$B$3:$B$5001,$A$23,Base!$AB$3:$AB$5001,"&lt;&gt;")=0,"",SUMIFS(Base!$AB$3:$AB$5001,Base!$A$3:$A$5001,AE$3,Base!$B$3:$B$5001,$A$23)))</f>
        <v/>
      </c>
      <c r="AF37" s="96" t="str">
        <f>IF(AF$3="","",IF(COUNTIFS(Base!$A$3:$A$5001,AF$3,Base!$B$3:$B$5001,$A$23,Base!$AB$3:$AB$5001,"&lt;&gt;")=0,"",SUMIFS(Base!$AB$3:$AB$5001,Base!$A$3:$A$5001,AF$3,Base!$B$3:$B$5001,$A$23)))</f>
        <v/>
      </c>
      <c r="AG37" s="96" t="str">
        <f>IF(AG$3="","",IF(COUNTIFS(Base!$A$3:$A$5001,AG$3,Base!$B$3:$B$5001,$A$23,Base!$AB$3:$AB$5001,"&lt;&gt;")=0,"",SUMIFS(Base!$AB$3:$AB$5001,Base!$A$3:$A$5001,AG$3,Base!$B$3:$B$5001,$A$23)))</f>
        <v/>
      </c>
      <c r="AH37" s="96" t="str">
        <f>IF(AH$3="","",IF(COUNTIFS(Base!$A$3:$A$5001,AH$3,Base!$B$3:$B$5001,$A$23,Base!$AB$3:$AB$5001,"&lt;&gt;")=0,"",SUMIFS(Base!$AB$3:$AB$5001,Base!$A$3:$A$5001,AH$3,Base!$B$3:$B$5001,$A$23)))</f>
        <v/>
      </c>
      <c r="AI37" s="96" t="str">
        <f>IF(AI$3="","",IF(COUNTIFS(Base!$A$3:$A$5001,AI$3,Base!$B$3:$B$5001,$A$23,Base!$AB$3:$AB$5001,"&lt;&gt;")=0,"",SUMIFS(Base!$AB$3:$AB$5001,Base!$A$3:$A$5001,AI$3,Base!$B$3:$B$5001,$A$23)))</f>
        <v/>
      </c>
      <c r="AJ37" s="97" t="str">
        <f>IF(AJ$3="","",IF(COUNTIFS(Base!$A$3:$A$5001,AJ$3,Base!$B$3:$B$5001,$A$23,Base!$AB$3:$AB$5001,"&lt;&gt;")=0,"",SUMIFS(Base!$AB$3:$AB$5001,Base!$A$3:$A$5001,AJ$3,Base!$B$3:$B$5001,$A$23)))</f>
        <v/>
      </c>
      <c r="AK37" s="98">
        <f>IF(COUNT(F37:AJ37)=0,"",SUM(F37:AJ37))</f>
        <v>2</v>
      </c>
    </row>
    <row r="38" ht="15.75" customHeight="1">
      <c r="A38" s="118"/>
      <c r="B38" s="115"/>
      <c r="C38" s="92" t="inlineStr">
        <is>
          <t xml:space="preserve">Férias</t>
        </is>
      </c>
      <c r="D38" s="93" t="str">
        <f>IFERROR(1/(1/INDEX(calculos!$C$55:$K$83,MATCH("Férias",calculos!$A$55:$A$83,0),MATCH($A$23,calculos!$C$54:$K$54,0))),"")</f>
        <v/>
      </c>
      <c r="E38" s="94"/>
      <c r="F38" s="95" t="str">
        <f>IF(F$3="","",IF(COUNTIFS(Base!$A$3:$A$5001,F$3,Base!$B$3:$B$5001,$A$23,Base!$AC$3:$AC$5001,"&lt;&gt;")=0,"",SUMIFS(Base!$AC$3:$AC$5001,Base!$A$3:$A$5001,F$3,Base!$B$3:$B$5001,$A$23)))</f>
        <v/>
      </c>
      <c r="G38" s="96" t="str">
        <f>IF(G$3="","",IF(COUNTIFS(Base!$A$3:$A$5001,G$3,Base!$B$3:$B$5001,$A$23,Base!$AC$3:$AC$5001,"&lt;&gt;")=0,"",SUMIFS(Base!$AC$3:$AC$5001,Base!$A$3:$A$5001,G$3,Base!$B$3:$B$5001,$A$23)))</f>
        <v/>
      </c>
      <c r="H38" s="96" t="str">
        <f>IF(H$3="","",IF(COUNTIFS(Base!$A$3:$A$5001,H$3,Base!$B$3:$B$5001,$A$23,Base!$AC$3:$AC$5001,"&lt;&gt;")=0,"",SUMIFS(Base!$AC$3:$AC$5001,Base!$A$3:$A$5001,H$3,Base!$B$3:$B$5001,$A$23)))</f>
        <v/>
      </c>
      <c r="I38" s="96" t="str">
        <f>IF(I$3="","",IF(COUNTIFS(Base!$A$3:$A$5001,I$3,Base!$B$3:$B$5001,$A$23,Base!$AC$3:$AC$5001,"&lt;&gt;")=0,"",SUMIFS(Base!$AC$3:$AC$5001,Base!$A$3:$A$5001,I$3,Base!$B$3:$B$5001,$A$23)))</f>
        <v/>
      </c>
      <c r="J38" s="96" t="str">
        <f>IF(J$3="","",IF(COUNTIFS(Base!$A$3:$A$5001,J$3,Base!$B$3:$B$5001,$A$23,Base!$AC$3:$AC$5001,"&lt;&gt;")=0,"",SUMIFS(Base!$AC$3:$AC$5001,Base!$A$3:$A$5001,J$3,Base!$B$3:$B$5001,$A$23)))</f>
        <v/>
      </c>
      <c r="K38" s="96" t="str">
        <f>IF(K$3="","",IF(COUNTIFS(Base!$A$3:$A$5001,K$3,Base!$B$3:$B$5001,$A$23,Base!$AC$3:$AC$5001,"&lt;&gt;")=0,"",SUMIFS(Base!$AC$3:$AC$5001,Base!$A$3:$A$5001,K$3,Base!$B$3:$B$5001,$A$23)))</f>
        <v/>
      </c>
      <c r="L38" s="96" t="str">
        <f>IF(L$3="","",IF(COUNTIFS(Base!$A$3:$A$5001,L$3,Base!$B$3:$B$5001,$A$23,Base!$AC$3:$AC$5001,"&lt;&gt;")=0,"",SUMIFS(Base!$AC$3:$AC$5001,Base!$A$3:$A$5001,L$3,Base!$B$3:$B$5001,$A$23)))</f>
        <v/>
      </c>
      <c r="M38" s="96" t="str">
        <f>IF(M$3="","",IF(COUNTIFS(Base!$A$3:$A$5001,M$3,Base!$B$3:$B$5001,$A$23,Base!$AC$3:$AC$5001,"&lt;&gt;")=0,"",SUMIFS(Base!$AC$3:$AC$5001,Base!$A$3:$A$5001,M$3,Base!$B$3:$B$5001,$A$23)))</f>
        <v/>
      </c>
      <c r="N38" s="96" t="str">
        <f>IF(N$3="","",IF(COUNTIFS(Base!$A$3:$A$5001,N$3,Base!$B$3:$B$5001,$A$23,Base!$AC$3:$AC$5001,"&lt;&gt;")=0,"",SUMIFS(Base!$AC$3:$AC$5001,Base!$A$3:$A$5001,N$3,Base!$B$3:$B$5001,$A$23)))</f>
        <v/>
      </c>
      <c r="O38" s="96" t="str">
        <f>IF(O$3="","",IF(COUNTIFS(Base!$A$3:$A$5001,O$3,Base!$B$3:$B$5001,$A$23,Base!$AC$3:$AC$5001,"&lt;&gt;")=0,"",SUMIFS(Base!$AC$3:$AC$5001,Base!$A$3:$A$5001,O$3,Base!$B$3:$B$5001,$A$23)))</f>
        <v/>
      </c>
      <c r="P38" s="96" t="str">
        <f>IF(P$3="","",IF(COUNTIFS(Base!$A$3:$A$5001,P$3,Base!$B$3:$B$5001,$A$23,Base!$AC$3:$AC$5001,"&lt;&gt;")=0,"",SUMIFS(Base!$AC$3:$AC$5001,Base!$A$3:$A$5001,P$3,Base!$B$3:$B$5001,$A$23)))</f>
        <v/>
      </c>
      <c r="Q38" s="96" t="str">
        <f>IF(Q$3="","",IF(COUNTIFS(Base!$A$3:$A$5001,Q$3,Base!$B$3:$B$5001,$A$23,Base!$AC$3:$AC$5001,"&lt;&gt;")=0,"",SUMIFS(Base!$AC$3:$AC$5001,Base!$A$3:$A$5001,Q$3,Base!$B$3:$B$5001,$A$23)))</f>
        <v/>
      </c>
      <c r="R38" s="96" t="str">
        <f>IF(R$3="","",IF(COUNTIFS(Base!$A$3:$A$5001,R$3,Base!$B$3:$B$5001,$A$23,Base!$AC$3:$AC$5001,"&lt;&gt;")=0,"",SUMIFS(Base!$AC$3:$AC$5001,Base!$A$3:$A$5001,R$3,Base!$B$3:$B$5001,$A$23)))</f>
        <v/>
      </c>
      <c r="S38" s="96" t="str">
        <f>IF(S$3="","",IF(COUNTIFS(Base!$A$3:$A$5001,S$3,Base!$B$3:$B$5001,$A$23,Base!$AC$3:$AC$5001,"&lt;&gt;")=0,"",SUMIFS(Base!$AC$3:$AC$5001,Base!$A$3:$A$5001,S$3,Base!$B$3:$B$5001,$A$23)))</f>
        <v/>
      </c>
      <c r="T38" s="96" t="str">
        <f>IF(T$3="","",IF(COUNTIFS(Base!$A$3:$A$5001,T$3,Base!$B$3:$B$5001,$A$23,Base!$AC$3:$AC$5001,"&lt;&gt;")=0,"",SUMIFS(Base!$AC$3:$AC$5001,Base!$A$3:$A$5001,T$3,Base!$B$3:$B$5001,$A$23)))</f>
        <v/>
      </c>
      <c r="U38" s="96" t="str">
        <f>IF(U$3="","",IF(COUNTIFS(Base!$A$3:$A$5001,U$3,Base!$B$3:$B$5001,$A$23,Base!$AC$3:$AC$5001,"&lt;&gt;")=0,"",SUMIFS(Base!$AC$3:$AC$5001,Base!$A$3:$A$5001,U$3,Base!$B$3:$B$5001,$A$23)))</f>
        <v/>
      </c>
      <c r="V38" s="96" t="str">
        <f>IF(V$3="","",IF(COUNTIFS(Base!$A$3:$A$5001,V$3,Base!$B$3:$B$5001,$A$23,Base!$AC$3:$AC$5001,"&lt;&gt;")=0,"",SUMIFS(Base!$AC$3:$AC$5001,Base!$A$3:$A$5001,V$3,Base!$B$3:$B$5001,$A$23)))</f>
        <v/>
      </c>
      <c r="W38" s="96" t="str">
        <f>IF(W$3="","",IF(COUNTIFS(Base!$A$3:$A$5001,W$3,Base!$B$3:$B$5001,$A$23,Base!$AC$3:$AC$5001,"&lt;&gt;")=0,"",SUMIFS(Base!$AC$3:$AC$5001,Base!$A$3:$A$5001,W$3,Base!$B$3:$B$5001,$A$23)))</f>
        <v/>
      </c>
      <c r="X38" s="96" t="str">
        <f>IF(X$3="","",IF(COUNTIFS(Base!$A$3:$A$5001,X$3,Base!$B$3:$B$5001,$A$23,Base!$AC$3:$AC$5001,"&lt;&gt;")=0,"",SUMIFS(Base!$AC$3:$AC$5001,Base!$A$3:$A$5001,X$3,Base!$B$3:$B$5001,$A$23)))</f>
        <v/>
      </c>
      <c r="Y38" s="96" t="str">
        <f>IF(Y$3="","",IF(COUNTIFS(Base!$A$3:$A$5001,Y$3,Base!$B$3:$B$5001,$A$23,Base!$AC$3:$AC$5001,"&lt;&gt;")=0,"",SUMIFS(Base!$AC$3:$AC$5001,Base!$A$3:$A$5001,Y$3,Base!$B$3:$B$5001,$A$23)))</f>
        <v/>
      </c>
      <c r="Z38" s="96">
        <f>IF(Z$3="","",IF(COUNTIFS(Base!$A$3:$A$5001,Z$3,Base!$B$3:$B$5001,$A$23,Base!$AC$3:$AC$5001,"&lt;&gt;")=0,"",SUMIFS(Base!$AC$3:$AC$5001,Base!$A$3:$A$5001,Z$3,Base!$B$3:$B$5001,$A$23)))</f>
        <v>1</v>
      </c>
      <c r="AA38" s="96" t="str">
        <f>IF(AA$3="","",IF(COUNTIFS(Base!$A$3:$A$5001,AA$3,Base!$B$3:$B$5001,$A$23,Base!$AC$3:$AC$5001,"&lt;&gt;")=0,"",SUMIFS(Base!$AC$3:$AC$5001,Base!$A$3:$A$5001,AA$3,Base!$B$3:$B$5001,$A$23)))</f>
        <v/>
      </c>
      <c r="AB38" s="96" t="str">
        <f>IF(AB$3="","",IF(COUNTIFS(Base!$A$3:$A$5001,AB$3,Base!$B$3:$B$5001,$A$23,Base!$AC$3:$AC$5001,"&lt;&gt;")=0,"",SUMIFS(Base!$AC$3:$AC$5001,Base!$A$3:$A$5001,AB$3,Base!$B$3:$B$5001,$A$23)))</f>
        <v/>
      </c>
      <c r="AC38" s="96" t="str">
        <f>IF(AC$3="","",IF(COUNTIFS(Base!$A$3:$A$5001,AC$3,Base!$B$3:$B$5001,$A$23,Base!$AC$3:$AC$5001,"&lt;&gt;")=0,"",SUMIFS(Base!$AC$3:$AC$5001,Base!$A$3:$A$5001,AC$3,Base!$B$3:$B$5001,$A$23)))</f>
        <v/>
      </c>
      <c r="AD38" s="96" t="str">
        <f>IF(AD$3="","",IF(COUNTIFS(Base!$A$3:$A$5001,AD$3,Base!$B$3:$B$5001,$A$23,Base!$AC$3:$AC$5001,"&lt;&gt;")=0,"",SUMIFS(Base!$AC$3:$AC$5001,Base!$A$3:$A$5001,AD$3,Base!$B$3:$B$5001,$A$23)))</f>
        <v/>
      </c>
      <c r="AE38" s="96" t="str">
        <f>IF(AE$3="","",IF(COUNTIFS(Base!$A$3:$A$5001,AE$3,Base!$B$3:$B$5001,$A$23,Base!$AC$3:$AC$5001,"&lt;&gt;")=0,"",SUMIFS(Base!$AC$3:$AC$5001,Base!$A$3:$A$5001,AE$3,Base!$B$3:$B$5001,$A$23)))</f>
        <v/>
      </c>
      <c r="AF38" s="96" t="str">
        <f>IF(AF$3="","",IF(COUNTIFS(Base!$A$3:$A$5001,AF$3,Base!$B$3:$B$5001,$A$23,Base!$AC$3:$AC$5001,"&lt;&gt;")=0,"",SUMIFS(Base!$AC$3:$AC$5001,Base!$A$3:$A$5001,AF$3,Base!$B$3:$B$5001,$A$23)))</f>
        <v/>
      </c>
      <c r="AG38" s="96" t="str">
        <f>IF(AG$3="","",IF(COUNTIFS(Base!$A$3:$A$5001,AG$3,Base!$B$3:$B$5001,$A$23,Base!$AC$3:$AC$5001,"&lt;&gt;")=0,"",SUMIFS(Base!$AC$3:$AC$5001,Base!$A$3:$A$5001,AG$3,Base!$B$3:$B$5001,$A$23)))</f>
        <v/>
      </c>
      <c r="AH38" s="96" t="str">
        <f>IF(AH$3="","",IF(COUNTIFS(Base!$A$3:$A$5001,AH$3,Base!$B$3:$B$5001,$A$23,Base!$AC$3:$AC$5001,"&lt;&gt;")=0,"",SUMIFS(Base!$AC$3:$AC$5001,Base!$A$3:$A$5001,AH$3,Base!$B$3:$B$5001,$A$23)))</f>
        <v/>
      </c>
      <c r="AI38" s="96" t="str">
        <f>IF(AI$3="","",IF(COUNTIFS(Base!$A$3:$A$5001,AI$3,Base!$B$3:$B$5001,$A$23,Base!$AC$3:$AC$5001,"&lt;&gt;")=0,"",SUMIFS(Base!$AC$3:$AC$5001,Base!$A$3:$A$5001,AI$3,Base!$B$3:$B$5001,$A$23)))</f>
        <v/>
      </c>
      <c r="AJ38" s="97" t="str">
        <f>IF(AJ$3="","",IF(COUNTIFS(Base!$A$3:$A$5001,AJ$3,Base!$B$3:$B$5001,$A$23,Base!$AC$3:$AC$5001,"&lt;&gt;")=0,"",SUMIFS(Base!$AC$3:$AC$5001,Base!$A$3:$A$5001,AJ$3,Base!$B$3:$B$5001,$A$23)))</f>
        <v/>
      </c>
      <c r="AK38" s="98">
        <f>IF(COUNT(F38:AJ38)=0,"",SUM(F38:AJ38))</f>
        <v>1</v>
      </c>
    </row>
    <row r="39" ht="15.75" customHeight="1">
      <c r="A39" s="119"/>
      <c r="B39" s="116"/>
      <c r="C39" s="99" t="inlineStr">
        <is>
          <t xml:space="preserve">Desligamentos</t>
        </is>
      </c>
      <c r="D39" s="100" t="str">
        <f>IFERROR(1/(1/INDEX(calculos!$C$55:$K$83,MATCH("Desligamentos",calculos!$A$55:$A$83,0),MATCH($A$23,calculos!$C$54:$K$54,0))),"")</f>
        <v/>
      </c>
      <c r="E39" s="101"/>
      <c r="F39" s="102" t="str">
        <f>IF(F$3="","",IF(COUNTIFS(Base!$A$3:$A$5001,F$3,Base!$B$3:$B$5001,$A$23,Base!$AD$3:$AD$5001,"&lt;&gt;")=0,"",SUMIFS(Base!$AD$3:$AD$5001,Base!$A$3:$A$5001,F$3,Base!$B$3:$B$5001,$A$23)))</f>
        <v/>
      </c>
      <c r="G39" s="103" t="str">
        <f>IF(G$3="","",IF(COUNTIFS(Base!$A$3:$A$5001,G$3,Base!$B$3:$B$5001,$A$23,Base!$AD$3:$AD$5001,"&lt;&gt;")=0,"",SUMIFS(Base!$AD$3:$AD$5001,Base!$A$3:$A$5001,G$3,Base!$B$3:$B$5001,$A$23)))</f>
        <v/>
      </c>
      <c r="H39" s="103" t="str">
        <f>IF(H$3="","",IF(COUNTIFS(Base!$A$3:$A$5001,H$3,Base!$B$3:$B$5001,$A$23,Base!$AD$3:$AD$5001,"&lt;&gt;")=0,"",SUMIFS(Base!$AD$3:$AD$5001,Base!$A$3:$A$5001,H$3,Base!$B$3:$B$5001,$A$23)))</f>
        <v/>
      </c>
      <c r="I39" s="103" t="str">
        <f>IF(I$3="","",IF(COUNTIFS(Base!$A$3:$A$5001,I$3,Base!$B$3:$B$5001,$A$23,Base!$AD$3:$AD$5001,"&lt;&gt;")=0,"",SUMIFS(Base!$AD$3:$AD$5001,Base!$A$3:$A$5001,I$3,Base!$B$3:$B$5001,$A$23)))</f>
        <v/>
      </c>
      <c r="J39" s="103" t="str">
        <f>IF(J$3="","",IF(COUNTIFS(Base!$A$3:$A$5001,J$3,Base!$B$3:$B$5001,$A$23,Base!$AD$3:$AD$5001,"&lt;&gt;")=0,"",SUMIFS(Base!$AD$3:$AD$5001,Base!$A$3:$A$5001,J$3,Base!$B$3:$B$5001,$A$23)))</f>
        <v/>
      </c>
      <c r="K39" s="103" t="str">
        <f>IF(K$3="","",IF(COUNTIFS(Base!$A$3:$A$5001,K$3,Base!$B$3:$B$5001,$A$23,Base!$AD$3:$AD$5001,"&lt;&gt;")=0,"",SUMIFS(Base!$AD$3:$AD$5001,Base!$A$3:$A$5001,K$3,Base!$B$3:$B$5001,$A$23)))</f>
        <v/>
      </c>
      <c r="L39" s="103" t="str">
        <f>IF(L$3="","",IF(COUNTIFS(Base!$A$3:$A$5001,L$3,Base!$B$3:$B$5001,$A$23,Base!$AD$3:$AD$5001,"&lt;&gt;")=0,"",SUMIFS(Base!$AD$3:$AD$5001,Base!$A$3:$A$5001,L$3,Base!$B$3:$B$5001,$A$23)))</f>
        <v/>
      </c>
      <c r="M39" s="103" t="str">
        <f>IF(M$3="","",IF(COUNTIFS(Base!$A$3:$A$5001,M$3,Base!$B$3:$B$5001,$A$23,Base!$AD$3:$AD$5001,"&lt;&gt;")=0,"",SUMIFS(Base!$AD$3:$AD$5001,Base!$A$3:$A$5001,M$3,Base!$B$3:$B$5001,$A$23)))</f>
        <v/>
      </c>
      <c r="N39" s="103" t="str">
        <f>IF(N$3="","",IF(COUNTIFS(Base!$A$3:$A$5001,N$3,Base!$B$3:$B$5001,$A$23,Base!$AD$3:$AD$5001,"&lt;&gt;")=0,"",SUMIFS(Base!$AD$3:$AD$5001,Base!$A$3:$A$5001,N$3,Base!$B$3:$B$5001,$A$23)))</f>
        <v/>
      </c>
      <c r="O39" s="103" t="str">
        <f>IF(O$3="","",IF(COUNTIFS(Base!$A$3:$A$5001,O$3,Base!$B$3:$B$5001,$A$23,Base!$AD$3:$AD$5001,"&lt;&gt;")=0,"",SUMIFS(Base!$AD$3:$AD$5001,Base!$A$3:$A$5001,O$3,Base!$B$3:$B$5001,$A$23)))</f>
        <v/>
      </c>
      <c r="P39" s="103" t="str">
        <f>IF(P$3="","",IF(COUNTIFS(Base!$A$3:$A$5001,P$3,Base!$B$3:$B$5001,$A$23,Base!$AD$3:$AD$5001,"&lt;&gt;")=0,"",SUMIFS(Base!$AD$3:$AD$5001,Base!$A$3:$A$5001,P$3,Base!$B$3:$B$5001,$A$23)))</f>
        <v/>
      </c>
      <c r="Q39" s="103" t="str">
        <f>IF(Q$3="","",IF(COUNTIFS(Base!$A$3:$A$5001,Q$3,Base!$B$3:$B$5001,$A$23,Base!$AD$3:$AD$5001,"&lt;&gt;")=0,"",SUMIFS(Base!$AD$3:$AD$5001,Base!$A$3:$A$5001,Q$3,Base!$B$3:$B$5001,$A$23)))</f>
        <v/>
      </c>
      <c r="R39" s="103" t="str">
        <f>IF(R$3="","",IF(COUNTIFS(Base!$A$3:$A$5001,R$3,Base!$B$3:$B$5001,$A$23,Base!$AD$3:$AD$5001,"&lt;&gt;")=0,"",SUMIFS(Base!$AD$3:$AD$5001,Base!$A$3:$A$5001,R$3,Base!$B$3:$B$5001,$A$23)))</f>
        <v/>
      </c>
      <c r="S39" s="103" t="str">
        <f>IF(S$3="","",IF(COUNTIFS(Base!$A$3:$A$5001,S$3,Base!$B$3:$B$5001,$A$23,Base!$AD$3:$AD$5001,"&lt;&gt;")=0,"",SUMIFS(Base!$AD$3:$AD$5001,Base!$A$3:$A$5001,S$3,Base!$B$3:$B$5001,$A$23)))</f>
        <v/>
      </c>
      <c r="T39" s="103" t="str">
        <f>IF(T$3="","",IF(COUNTIFS(Base!$A$3:$A$5001,T$3,Base!$B$3:$B$5001,$A$23,Base!$AD$3:$AD$5001,"&lt;&gt;")=0,"",SUMIFS(Base!$AD$3:$AD$5001,Base!$A$3:$A$5001,T$3,Base!$B$3:$B$5001,$A$23)))</f>
        <v/>
      </c>
      <c r="U39" s="103" t="str">
        <f>IF(U$3="","",IF(COUNTIFS(Base!$A$3:$A$5001,U$3,Base!$B$3:$B$5001,$A$23,Base!$AD$3:$AD$5001,"&lt;&gt;")=0,"",SUMIFS(Base!$AD$3:$AD$5001,Base!$A$3:$A$5001,U$3,Base!$B$3:$B$5001,$A$23)))</f>
        <v/>
      </c>
      <c r="V39" s="103" t="str">
        <f>IF(V$3="","",IF(COUNTIFS(Base!$A$3:$A$5001,V$3,Base!$B$3:$B$5001,$A$23,Base!$AD$3:$AD$5001,"&lt;&gt;")=0,"",SUMIFS(Base!$AD$3:$AD$5001,Base!$A$3:$A$5001,V$3,Base!$B$3:$B$5001,$A$23)))</f>
        <v/>
      </c>
      <c r="W39" s="103" t="str">
        <f>IF(W$3="","",IF(COUNTIFS(Base!$A$3:$A$5001,W$3,Base!$B$3:$B$5001,$A$23,Base!$AD$3:$AD$5001,"&lt;&gt;")=0,"",SUMIFS(Base!$AD$3:$AD$5001,Base!$A$3:$A$5001,W$3,Base!$B$3:$B$5001,$A$23)))</f>
        <v/>
      </c>
      <c r="X39" s="103" t="str">
        <f>IF(X$3="","",IF(COUNTIFS(Base!$A$3:$A$5001,X$3,Base!$B$3:$B$5001,$A$23,Base!$AD$3:$AD$5001,"&lt;&gt;")=0,"",SUMIFS(Base!$AD$3:$AD$5001,Base!$A$3:$A$5001,X$3,Base!$B$3:$B$5001,$A$23)))</f>
        <v/>
      </c>
      <c r="Y39" s="103" t="str">
        <f>IF(Y$3="","",IF(COUNTIFS(Base!$A$3:$A$5001,Y$3,Base!$B$3:$B$5001,$A$23,Base!$AD$3:$AD$5001,"&lt;&gt;")=0,"",SUMIFS(Base!$AD$3:$AD$5001,Base!$A$3:$A$5001,Y$3,Base!$B$3:$B$5001,$A$23)))</f>
        <v/>
      </c>
      <c r="Z39" s="103" t="str">
        <f>IF(Z$3="","",IF(COUNTIFS(Base!$A$3:$A$5001,Z$3,Base!$B$3:$B$5001,$A$23,Base!$AD$3:$AD$5001,"&lt;&gt;")=0,"",SUMIFS(Base!$AD$3:$AD$5001,Base!$A$3:$A$5001,Z$3,Base!$B$3:$B$5001,$A$23)))</f>
        <v/>
      </c>
      <c r="AA39" s="103" t="str">
        <f>IF(AA$3="","",IF(COUNTIFS(Base!$A$3:$A$5001,AA$3,Base!$B$3:$B$5001,$A$23,Base!$AD$3:$AD$5001,"&lt;&gt;")=0,"",SUMIFS(Base!$AD$3:$AD$5001,Base!$A$3:$A$5001,AA$3,Base!$B$3:$B$5001,$A$23)))</f>
        <v/>
      </c>
      <c r="AB39" s="103" t="str">
        <f>IF(AB$3="","",IF(COUNTIFS(Base!$A$3:$A$5001,AB$3,Base!$B$3:$B$5001,$A$23,Base!$AD$3:$AD$5001,"&lt;&gt;")=0,"",SUMIFS(Base!$AD$3:$AD$5001,Base!$A$3:$A$5001,AB$3,Base!$B$3:$B$5001,$A$23)))</f>
        <v/>
      </c>
      <c r="AC39" s="103" t="str">
        <f>IF(AC$3="","",IF(COUNTIFS(Base!$A$3:$A$5001,AC$3,Base!$B$3:$B$5001,$A$23,Base!$AD$3:$AD$5001,"&lt;&gt;")=0,"",SUMIFS(Base!$AD$3:$AD$5001,Base!$A$3:$A$5001,AC$3,Base!$B$3:$B$5001,$A$23)))</f>
        <v/>
      </c>
      <c r="AD39" s="103" t="str">
        <f>IF(AD$3="","",IF(COUNTIFS(Base!$A$3:$A$5001,AD$3,Base!$B$3:$B$5001,$A$23,Base!$AD$3:$AD$5001,"&lt;&gt;")=0,"",SUMIFS(Base!$AD$3:$AD$5001,Base!$A$3:$A$5001,AD$3,Base!$B$3:$B$5001,$A$23)))</f>
        <v/>
      </c>
      <c r="AE39" s="103" t="str">
        <f>IF(AE$3="","",IF(COUNTIFS(Base!$A$3:$A$5001,AE$3,Base!$B$3:$B$5001,$A$23,Base!$AD$3:$AD$5001,"&lt;&gt;")=0,"",SUMIFS(Base!$AD$3:$AD$5001,Base!$A$3:$A$5001,AE$3,Base!$B$3:$B$5001,$A$23)))</f>
        <v/>
      </c>
      <c r="AF39" s="103" t="str">
        <f>IF(AF$3="","",IF(COUNTIFS(Base!$A$3:$A$5001,AF$3,Base!$B$3:$B$5001,$A$23,Base!$AD$3:$AD$5001,"&lt;&gt;")=0,"",SUMIFS(Base!$AD$3:$AD$5001,Base!$A$3:$A$5001,AF$3,Base!$B$3:$B$5001,$A$23)))</f>
        <v/>
      </c>
      <c r="AG39" s="103" t="str">
        <f>IF(AG$3="","",IF(COUNTIFS(Base!$A$3:$A$5001,AG$3,Base!$B$3:$B$5001,$A$23,Base!$AD$3:$AD$5001,"&lt;&gt;")=0,"",SUMIFS(Base!$AD$3:$AD$5001,Base!$A$3:$A$5001,AG$3,Base!$B$3:$B$5001,$A$23)))</f>
        <v/>
      </c>
      <c r="AH39" s="103" t="str">
        <f>IF(AH$3="","",IF(COUNTIFS(Base!$A$3:$A$5001,AH$3,Base!$B$3:$B$5001,$A$23,Base!$AD$3:$AD$5001,"&lt;&gt;")=0,"",SUMIFS(Base!$AD$3:$AD$5001,Base!$A$3:$A$5001,AH$3,Base!$B$3:$B$5001,$A$23)))</f>
        <v/>
      </c>
      <c r="AI39" s="103" t="str">
        <f>IF(AI$3="","",IF(COUNTIFS(Base!$A$3:$A$5001,AI$3,Base!$B$3:$B$5001,$A$23,Base!$AD$3:$AD$5001,"&lt;&gt;")=0,"",SUMIFS(Base!$AD$3:$AD$5001,Base!$A$3:$A$5001,AI$3,Base!$B$3:$B$5001,$A$23)))</f>
        <v/>
      </c>
      <c r="AJ39" s="104" t="str">
        <f>IF(AJ$3="","",IF(COUNTIFS(Base!$A$3:$A$5001,AJ$3,Base!$B$3:$B$5001,$A$23,Base!$AD$3:$AD$5001,"&lt;&gt;")=0,"",SUMIFS(Base!$AD$3:$AD$5001,Base!$A$3:$A$5001,AJ$3,Base!$B$3:$B$5001,$A$23)))</f>
        <v/>
      </c>
      <c r="AK39" s="100" t="str">
        <f>IF(COUNT(F39:AJ39)=0,"",SUM(F39:AJ39))</f>
        <v/>
      </c>
    </row>
    <row r="41" ht="15.75" customHeight="1">
      <c r="A41" s="117" t="inlineStr">
        <is>
          <t xml:space="preserve">BOTICÁRIO</t>
        </is>
      </c>
      <c r="B41" s="105" t="inlineStr">
        <is>
          <t xml:space="preserve">IN</t>
        </is>
      </c>
      <c r="C41" s="21" t="inlineStr">
        <is>
          <t xml:space="preserve">Veículos Recebidos</t>
        </is>
      </c>
      <c r="D41" s="22" t="str">
        <f>IFERROR(1/(1/INDEX(calculos!$C$55:$K$83,MATCH("IN Veículos Recebidos",calculos!$A$55:$A$83,0),MATCH($A$41,calculos!$C$54:$K$54,0))),"")</f>
        <v/>
      </c>
      <c r="E41" s="23"/>
      <c r="F41" s="24">
        <f>IF(F$3="","",IF(COUNTIFS(Base!$A$3:$A$5001,F$3,Base!$B$3:$B$5001,$A$41,Base!$C$3:$C$5001,"&lt;&gt;")=0,"",SUMIFS(Base!$C$3:$C$5001,Base!$A$3:$A$5001,F$3,Base!$B$3:$B$5001,$A$41)))</f>
        <v>7</v>
      </c>
      <c r="G41" s="25">
        <f>IF(G$3="","",IF(COUNTIFS(Base!$A$3:$A$5001,G$3,Base!$B$3:$B$5001,$A$41,Base!$C$3:$C$5001,"&lt;&gt;")=0,"",SUMIFS(Base!$C$3:$C$5001,Base!$A$3:$A$5001,G$3,Base!$B$3:$B$5001,$A$41)))</f>
        <v>8</v>
      </c>
      <c r="H41" s="25">
        <f>IF(H$3="","",IF(COUNTIFS(Base!$A$3:$A$5001,H$3,Base!$B$3:$B$5001,$A$41,Base!$C$3:$C$5001,"&lt;&gt;")=0,"",SUMIFS(Base!$C$3:$C$5001,Base!$A$3:$A$5001,H$3,Base!$B$3:$B$5001,$A$41)))</f>
        <v>6</v>
      </c>
      <c r="I41" s="25">
        <f>IF(I$3="","",IF(COUNTIFS(Base!$A$3:$A$5001,I$3,Base!$B$3:$B$5001,$A$41,Base!$C$3:$C$5001,"&lt;&gt;")=0,"",SUMIFS(Base!$C$3:$C$5001,Base!$A$3:$A$5001,I$3,Base!$B$3:$B$5001,$A$41)))</f>
        <v>6</v>
      </c>
      <c r="J41" s="25">
        <f>IF(J$3="","",IF(COUNTIFS(Base!$A$3:$A$5001,J$3,Base!$B$3:$B$5001,$A$41,Base!$C$3:$C$5001,"&lt;&gt;")=0,"",SUMIFS(Base!$C$3:$C$5001,Base!$A$3:$A$5001,J$3,Base!$B$3:$B$5001,$A$41)))</f>
        <v>5</v>
      </c>
      <c r="K41" s="25" t="str">
        <f>IF(K$3="","",IF(COUNTIFS(Base!$A$3:$A$5001,K$3,Base!$B$3:$B$5001,$A$41,Base!$C$3:$C$5001,"&lt;&gt;")=0,"",SUMIFS(Base!$C$3:$C$5001,Base!$A$3:$A$5001,K$3,Base!$B$3:$B$5001,$A$41)))</f>
        <v/>
      </c>
      <c r="L41" s="25">
        <f>IF(L$3="","",IF(COUNTIFS(Base!$A$3:$A$5001,L$3,Base!$B$3:$B$5001,$A$41,Base!$C$3:$C$5001,"&lt;&gt;")=0,"",SUMIFS(Base!$C$3:$C$5001,Base!$A$3:$A$5001,L$3,Base!$B$3:$B$5001,$A$41)))</f>
        <v>8</v>
      </c>
      <c r="M41" s="25">
        <f>IF(M$3="","",IF(COUNTIFS(Base!$A$3:$A$5001,M$3,Base!$B$3:$B$5001,$A$41,Base!$C$3:$C$5001,"&lt;&gt;")=0,"",SUMIFS(Base!$C$3:$C$5001,Base!$A$3:$A$5001,M$3,Base!$B$3:$B$5001,$A$41)))</f>
        <v>3</v>
      </c>
      <c r="N41" s="25">
        <f>IF(N$3="","",IF(COUNTIFS(Base!$A$3:$A$5001,N$3,Base!$B$3:$B$5001,$A$41,Base!$C$3:$C$5001,"&lt;&gt;")=0,"",SUMIFS(Base!$C$3:$C$5001,Base!$A$3:$A$5001,N$3,Base!$B$3:$B$5001,$A$41)))</f>
        <v>6</v>
      </c>
      <c r="O41" s="25">
        <f>IF(O$3="","",IF(COUNTIFS(Base!$A$3:$A$5001,O$3,Base!$B$3:$B$5001,$A$41,Base!$C$3:$C$5001,"&lt;&gt;")=0,"",SUMIFS(Base!$C$3:$C$5001,Base!$A$3:$A$5001,O$3,Base!$B$3:$B$5001,$A$41)))</f>
        <v>7</v>
      </c>
      <c r="P41" s="25">
        <f>IF(P$3="","",IF(COUNTIFS(Base!$A$3:$A$5001,P$3,Base!$B$3:$B$5001,$A$41,Base!$C$3:$C$5001,"&lt;&gt;")=0,"",SUMIFS(Base!$C$3:$C$5001,Base!$A$3:$A$5001,P$3,Base!$B$3:$B$5001,$A$41)))</f>
        <v>8</v>
      </c>
      <c r="Q41" s="25">
        <f>IF(Q$3="","",IF(COUNTIFS(Base!$A$3:$A$5001,Q$3,Base!$B$3:$B$5001,$A$41,Base!$C$3:$C$5001,"&lt;&gt;")=0,"",SUMIFS(Base!$C$3:$C$5001,Base!$A$3:$A$5001,Q$3,Base!$B$3:$B$5001,$A$41)))</f>
        <v>3</v>
      </c>
      <c r="R41" s="25" t="str">
        <f>IF(R$3="","",IF(COUNTIFS(Base!$A$3:$A$5001,R$3,Base!$B$3:$B$5001,$A$41,Base!$C$3:$C$5001,"&lt;&gt;")=0,"",SUMIFS(Base!$C$3:$C$5001,Base!$A$3:$A$5001,R$3,Base!$B$3:$B$5001,$A$41)))</f>
        <v/>
      </c>
      <c r="S41" s="25">
        <f>IF(S$3="","",IF(COUNTIFS(Base!$A$3:$A$5001,S$3,Base!$B$3:$B$5001,$A$41,Base!$C$3:$C$5001,"&lt;&gt;")=0,"",SUMIFS(Base!$C$3:$C$5001,Base!$A$3:$A$5001,S$3,Base!$B$3:$B$5001,$A$41)))</f>
        <v>2</v>
      </c>
      <c r="T41" s="25">
        <f>IF(T$3="","",IF(COUNTIFS(Base!$A$3:$A$5001,T$3,Base!$B$3:$B$5001,$A$41,Base!$C$3:$C$5001,"&lt;&gt;")=0,"",SUMIFS(Base!$C$3:$C$5001,Base!$A$3:$A$5001,T$3,Base!$B$3:$B$5001,$A$41)))</f>
        <v>2</v>
      </c>
      <c r="U41" s="25">
        <f>IF(U$3="","",IF(COUNTIFS(Base!$A$3:$A$5001,U$3,Base!$B$3:$B$5001,$A$41,Base!$C$3:$C$5001,"&lt;&gt;")=0,"",SUMIFS(Base!$C$3:$C$5001,Base!$A$3:$A$5001,U$3,Base!$B$3:$B$5001,$A$41)))</f>
        <v>3</v>
      </c>
      <c r="V41" s="25">
        <f>IF(V$3="","",IF(COUNTIFS(Base!$A$3:$A$5001,V$3,Base!$B$3:$B$5001,$A$41,Base!$C$3:$C$5001,"&lt;&gt;")=0,"",SUMIFS(Base!$C$3:$C$5001,Base!$A$3:$A$5001,V$3,Base!$B$3:$B$5001,$A$41)))</f>
        <v>6</v>
      </c>
      <c r="W41" s="25">
        <f>IF(W$3="","",IF(COUNTIFS(Base!$A$3:$A$5001,W$3,Base!$B$3:$B$5001,$A$41,Base!$C$3:$C$5001,"&lt;&gt;")=0,"",SUMIFS(Base!$C$3:$C$5001,Base!$A$3:$A$5001,W$3,Base!$B$3:$B$5001,$A$41)))</f>
        <v>4</v>
      </c>
      <c r="X41" s="25">
        <f>IF(X$3="","",IF(COUNTIFS(Base!$A$3:$A$5001,X$3,Base!$B$3:$B$5001,$A$41,Base!$C$3:$C$5001,"&lt;&gt;")=0,"",SUMIFS(Base!$C$3:$C$5001,Base!$A$3:$A$5001,X$3,Base!$B$3:$B$5001,$A$41)))</f>
        <v>6</v>
      </c>
      <c r="Y41" s="25" t="str">
        <f>IF(Y$3="","",IF(COUNTIFS(Base!$A$3:$A$5001,Y$3,Base!$B$3:$B$5001,$A$41,Base!$C$3:$C$5001,"&lt;&gt;")=0,"",SUMIFS(Base!$C$3:$C$5001,Base!$A$3:$A$5001,Y$3,Base!$B$3:$B$5001,$A$41)))</f>
        <v/>
      </c>
      <c r="Z41" s="25">
        <f>IF(Z$3="","",IF(COUNTIFS(Base!$A$3:$A$5001,Z$3,Base!$B$3:$B$5001,$A$41,Base!$C$3:$C$5001,"&lt;&gt;")=0,"",SUMIFS(Base!$C$3:$C$5001,Base!$A$3:$A$5001,Z$3,Base!$B$3:$B$5001,$A$41)))</f>
        <v>7</v>
      </c>
      <c r="AA41" s="25">
        <f>IF(AA$3="","",IF(COUNTIFS(Base!$A$3:$A$5001,AA$3,Base!$B$3:$B$5001,$A$41,Base!$C$3:$C$5001,"&lt;&gt;")=0,"",SUMIFS(Base!$C$3:$C$5001,Base!$A$3:$A$5001,AA$3,Base!$B$3:$B$5001,$A$41)))</f>
        <v>8</v>
      </c>
      <c r="AB41" s="25">
        <f>IF(AB$3="","",IF(COUNTIFS(Base!$A$3:$A$5001,AB$3,Base!$B$3:$B$5001,$A$41,Base!$C$3:$C$5001,"&lt;&gt;")=0,"",SUMIFS(Base!$C$3:$C$5001,Base!$A$3:$A$5001,AB$3,Base!$B$3:$B$5001,$A$41)))</f>
        <v>5</v>
      </c>
      <c r="AC41" s="25">
        <f>IF(AC$3="","",IF(COUNTIFS(Base!$A$3:$A$5001,AC$3,Base!$B$3:$B$5001,$A$41,Base!$C$3:$C$5001,"&lt;&gt;")=0,"",SUMIFS(Base!$C$3:$C$5001,Base!$A$3:$A$5001,AC$3,Base!$B$3:$B$5001,$A$41)))</f>
        <v>7</v>
      </c>
      <c r="AD41" s="25">
        <f>IF(AD$3="","",IF(COUNTIFS(Base!$A$3:$A$5001,AD$3,Base!$B$3:$B$5001,$A$41,Base!$C$3:$C$5001,"&lt;&gt;")=0,"",SUMIFS(Base!$C$3:$C$5001,Base!$A$3:$A$5001,AD$3,Base!$B$3:$B$5001,$A$41)))</f>
        <v>8</v>
      </c>
      <c r="AE41" s="25">
        <f>IF(AE$3="","",IF(COUNTIFS(Base!$A$3:$A$5001,AE$3,Base!$B$3:$B$5001,$A$41,Base!$C$3:$C$5001,"&lt;&gt;")=0,"",SUMIFS(Base!$C$3:$C$5001,Base!$A$3:$A$5001,AE$3,Base!$B$3:$B$5001,$A$41)))</f>
        <v>5</v>
      </c>
      <c r="AF41" s="25" t="str">
        <f>IF(AF$3="","",IF(COUNTIFS(Base!$A$3:$A$5001,AF$3,Base!$B$3:$B$5001,$A$41,Base!$C$3:$C$5001,"&lt;&gt;")=0,"",SUMIFS(Base!$C$3:$C$5001,Base!$A$3:$A$5001,AF$3,Base!$B$3:$B$5001,$A$41)))</f>
        <v/>
      </c>
      <c r="AG41" s="25">
        <f>IF(AG$3="","",IF(COUNTIFS(Base!$A$3:$A$5001,AG$3,Base!$B$3:$B$5001,$A$41,Base!$C$3:$C$5001,"&lt;&gt;")=0,"",SUMIFS(Base!$C$3:$C$5001,Base!$A$3:$A$5001,AG$3,Base!$B$3:$B$5001,$A$41)))</f>
        <v>4</v>
      </c>
      <c r="AH41" s="25">
        <f>IF(AH$3="","",IF(COUNTIFS(Base!$A$3:$A$5001,AH$3,Base!$B$3:$B$5001,$A$41,Base!$C$3:$C$5001,"&lt;&gt;")=0,"",SUMIFS(Base!$C$3:$C$5001,Base!$A$3:$A$5001,AH$3,Base!$B$3:$B$5001,$A$41)))</f>
        <v>2</v>
      </c>
      <c r="AI41" s="25" t="str">
        <f>IF(AI$3="","",IF(COUNTIFS(Base!$A$3:$A$5001,AI$3,Base!$B$3:$B$5001,$A$41,Base!$C$3:$C$5001,"&lt;&gt;")=0,"",SUMIFS(Base!$C$3:$C$5001,Base!$A$3:$A$5001,AI$3,Base!$B$3:$B$5001,$A$41)))</f>
        <v/>
      </c>
      <c r="AJ41" s="26" t="str">
        <f>IF(AJ$3="","",IF(COUNTIFS(Base!$A$3:$A$5001,AJ$3,Base!$B$3:$B$5001,$A$41,Base!$C$3:$C$5001,"&lt;&gt;")=0,"",SUMIFS(Base!$C$3:$C$5001,Base!$A$3:$A$5001,AJ$3,Base!$B$3:$B$5001,$A$41)))</f>
        <v/>
      </c>
      <c r="AK41" s="27">
        <f>IF(COUNT(F41:AJ41)=0,"",SUM(F41:AJ41))</f>
        <v>136</v>
      </c>
    </row>
    <row r="42" ht="15.75" customHeight="1">
      <c r="A42" s="118"/>
      <c r="B42" s="106"/>
      <c r="C42" s="28" t="inlineStr">
        <is>
          <t xml:space="preserve">Itens Recebidos CX Mista</t>
        </is>
      </c>
      <c r="D42" s="29" t="str">
        <f>IFERROR(1/(1/INDEX(calculos!$C$55:$K$83,MATCH("IN Itens Recebidos CX Mista",calculos!$A$55:$A$83,0),MATCH($A$41,calculos!$C$54:$K$54,0))),"")</f>
        <v/>
      </c>
      <c r="E42" s="30"/>
      <c r="F42" s="31">
        <f>IF(F$3="","",IF(COUNTIFS(Base!$A$3:$A$5001,F$3,Base!$B$3:$B$5001,$A$41,Base!$G$3:$G$5001,"&lt;&gt;")=0,"",SUMIFS(Base!$G$3:$G$5001,Base!$A$3:$A$5001,F$3,Base!$B$3:$B$5001,$A$41)))</f>
        <v>2565</v>
      </c>
      <c r="G42" s="32">
        <f>IF(G$3="","",IF(COUNTIFS(Base!$A$3:$A$5001,G$3,Base!$B$3:$B$5001,$A$41,Base!$G$3:$G$5001,"&lt;&gt;")=0,"",SUMIFS(Base!$G$3:$G$5001,Base!$A$3:$A$5001,G$3,Base!$B$3:$B$5001,$A$41)))</f>
        <v>3268</v>
      </c>
      <c r="H42" s="32">
        <f>IF(H$3="","",IF(COUNTIFS(Base!$A$3:$A$5001,H$3,Base!$B$3:$B$5001,$A$41,Base!$G$3:$G$5001,"&lt;&gt;")=0,"",SUMIFS(Base!$G$3:$G$5001,Base!$A$3:$A$5001,H$3,Base!$B$3:$B$5001,$A$41)))</f>
        <v>4567</v>
      </c>
      <c r="I42" s="32">
        <f>IF(I$3="","",IF(COUNTIFS(Base!$A$3:$A$5001,I$3,Base!$B$3:$B$5001,$A$41,Base!$G$3:$G$5001,"&lt;&gt;")=0,"",SUMIFS(Base!$G$3:$G$5001,Base!$A$3:$A$5001,I$3,Base!$B$3:$B$5001,$A$41)))</f>
        <v>4959</v>
      </c>
      <c r="J42" s="32">
        <f>IF(J$3="","",IF(COUNTIFS(Base!$A$3:$A$5001,J$3,Base!$B$3:$B$5001,$A$41,Base!$G$3:$G$5001,"&lt;&gt;")=0,"",SUMIFS(Base!$G$3:$G$5001,Base!$A$3:$A$5001,J$3,Base!$B$3:$B$5001,$A$41)))</f>
        <v>1899</v>
      </c>
      <c r="K42" s="32" t="str">
        <f>IF(K$3="","",IF(COUNTIFS(Base!$A$3:$A$5001,K$3,Base!$B$3:$B$5001,$A$41,Base!$G$3:$G$5001,"&lt;&gt;")=0,"",SUMIFS(Base!$G$3:$G$5001,Base!$A$3:$A$5001,K$3,Base!$B$3:$B$5001,$A$41)))</f>
        <v/>
      </c>
      <c r="L42" s="32">
        <f>IF(L$3="","",IF(COUNTIFS(Base!$A$3:$A$5001,L$3,Base!$B$3:$B$5001,$A$41,Base!$G$3:$G$5001,"&lt;&gt;")=0,"",SUMIFS(Base!$G$3:$G$5001,Base!$A$3:$A$5001,L$3,Base!$B$3:$B$5001,$A$41)))</f>
        <v>5627</v>
      </c>
      <c r="M42" s="32">
        <f>IF(M$3="","",IF(COUNTIFS(Base!$A$3:$A$5001,M$3,Base!$B$3:$B$5001,$A$41,Base!$G$3:$G$5001,"&lt;&gt;")=0,"",SUMIFS(Base!$G$3:$G$5001,Base!$A$3:$A$5001,M$3,Base!$B$3:$B$5001,$A$41)))</f>
        <v>1195</v>
      </c>
      <c r="N42" s="32">
        <f>IF(N$3="","",IF(COUNTIFS(Base!$A$3:$A$5001,N$3,Base!$B$3:$B$5001,$A$41,Base!$G$3:$G$5001,"&lt;&gt;")=0,"",SUMIFS(Base!$G$3:$G$5001,Base!$A$3:$A$5001,N$3,Base!$B$3:$B$5001,$A$41)))</f>
        <v>3738</v>
      </c>
      <c r="O42" s="32">
        <f>IF(O$3="","",IF(COUNTIFS(Base!$A$3:$A$5001,O$3,Base!$B$3:$B$5001,$A$41,Base!$G$3:$G$5001,"&lt;&gt;")=0,"",SUMIFS(Base!$G$3:$G$5001,Base!$A$3:$A$5001,O$3,Base!$B$3:$B$5001,$A$41)))</f>
        <v>2122</v>
      </c>
      <c r="P42" s="32">
        <f>IF(P$3="","",IF(COUNTIFS(Base!$A$3:$A$5001,P$3,Base!$B$3:$B$5001,$A$41,Base!$G$3:$G$5001,"&lt;&gt;")=0,"",SUMIFS(Base!$G$3:$G$5001,Base!$A$3:$A$5001,P$3,Base!$B$3:$B$5001,$A$41)))</f>
        <v>1878</v>
      </c>
      <c r="Q42" s="32">
        <f>IF(Q$3="","",IF(COUNTIFS(Base!$A$3:$A$5001,Q$3,Base!$B$3:$B$5001,$A$41,Base!$G$3:$G$5001,"&lt;&gt;")=0,"",SUMIFS(Base!$G$3:$G$5001,Base!$A$3:$A$5001,Q$3,Base!$B$3:$B$5001,$A$41)))</f>
        <v>2726</v>
      </c>
      <c r="R42" s="32" t="str">
        <f>IF(R$3="","",IF(COUNTIFS(Base!$A$3:$A$5001,R$3,Base!$B$3:$B$5001,$A$41,Base!$G$3:$G$5001,"&lt;&gt;")=0,"",SUMIFS(Base!$G$3:$G$5001,Base!$A$3:$A$5001,R$3,Base!$B$3:$B$5001,$A$41)))</f>
        <v/>
      </c>
      <c r="S42" s="32">
        <f>IF(S$3="","",IF(COUNTIFS(Base!$A$3:$A$5001,S$3,Base!$B$3:$B$5001,$A$41,Base!$G$3:$G$5001,"&lt;&gt;")=0,"",SUMIFS(Base!$G$3:$G$5001,Base!$A$3:$A$5001,S$3,Base!$B$3:$B$5001,$A$41)))</f>
        <v>2238</v>
      </c>
      <c r="T42" s="32">
        <f>IF(T$3="","",IF(COUNTIFS(Base!$A$3:$A$5001,T$3,Base!$B$3:$B$5001,$A$41,Base!$G$3:$G$5001,"&lt;&gt;")=0,"",SUMIFS(Base!$G$3:$G$5001,Base!$A$3:$A$5001,T$3,Base!$B$3:$B$5001,$A$41)))</f>
        <v>3477</v>
      </c>
      <c r="U42" s="32">
        <f>IF(U$3="","",IF(COUNTIFS(Base!$A$3:$A$5001,U$3,Base!$B$3:$B$5001,$A$41,Base!$G$3:$G$5001,"&lt;&gt;")=0,"",SUMIFS(Base!$G$3:$G$5001,Base!$A$3:$A$5001,U$3,Base!$B$3:$B$5001,$A$41)))</f>
        <v>4287</v>
      </c>
      <c r="V42" s="32">
        <f>IF(V$3="","",IF(COUNTIFS(Base!$A$3:$A$5001,V$3,Base!$B$3:$B$5001,$A$41,Base!$G$3:$G$5001,"&lt;&gt;")=0,"",SUMIFS(Base!$G$3:$G$5001,Base!$A$3:$A$5001,V$3,Base!$B$3:$B$5001,$A$41)))</f>
        <v>5455</v>
      </c>
      <c r="W42" s="32">
        <f>IF(W$3="","",IF(COUNTIFS(Base!$A$3:$A$5001,W$3,Base!$B$3:$B$5001,$A$41,Base!$G$3:$G$5001,"&lt;&gt;")=0,"",SUMIFS(Base!$G$3:$G$5001,Base!$A$3:$A$5001,W$3,Base!$B$3:$B$5001,$A$41)))</f>
        <v>4614</v>
      </c>
      <c r="X42" s="32">
        <f>IF(X$3="","",IF(COUNTIFS(Base!$A$3:$A$5001,X$3,Base!$B$3:$B$5001,$A$41,Base!$G$3:$G$5001,"&lt;&gt;")=0,"",SUMIFS(Base!$G$3:$G$5001,Base!$A$3:$A$5001,X$3,Base!$B$3:$B$5001,$A$41)))</f>
        <v>1932</v>
      </c>
      <c r="Y42" s="32" t="str">
        <f>IF(Y$3="","",IF(COUNTIFS(Base!$A$3:$A$5001,Y$3,Base!$B$3:$B$5001,$A$41,Base!$G$3:$G$5001,"&lt;&gt;")=0,"",SUMIFS(Base!$G$3:$G$5001,Base!$A$3:$A$5001,Y$3,Base!$B$3:$B$5001,$A$41)))</f>
        <v/>
      </c>
      <c r="Z42" s="32">
        <f>IF(Z$3="","",IF(COUNTIFS(Base!$A$3:$A$5001,Z$3,Base!$B$3:$B$5001,$A$41,Base!$G$3:$G$5001,"&lt;&gt;")=0,"",SUMIFS(Base!$G$3:$G$5001,Base!$A$3:$A$5001,Z$3,Base!$B$3:$B$5001,$A$41)))</f>
        <v>4379</v>
      </c>
      <c r="AA42" s="32">
        <f>IF(AA$3="","",IF(COUNTIFS(Base!$A$3:$A$5001,AA$3,Base!$B$3:$B$5001,$A$41,Base!$G$3:$G$5001,"&lt;&gt;")=0,"",SUMIFS(Base!$G$3:$G$5001,Base!$A$3:$A$5001,AA$3,Base!$B$3:$B$5001,$A$41)))</f>
        <v>2838</v>
      </c>
      <c r="AB42" s="32">
        <f>IF(AB$3="","",IF(COUNTIFS(Base!$A$3:$A$5001,AB$3,Base!$B$3:$B$5001,$A$41,Base!$G$3:$G$5001,"&lt;&gt;")=0,"",SUMIFS(Base!$G$3:$G$5001,Base!$A$3:$A$5001,AB$3,Base!$B$3:$B$5001,$A$41)))</f>
        <v>2854</v>
      </c>
      <c r="AC42" s="32">
        <f>IF(AC$3="","",IF(COUNTIFS(Base!$A$3:$A$5001,AC$3,Base!$B$3:$B$5001,$A$41,Base!$G$3:$G$5001,"&lt;&gt;")=0,"",SUMIFS(Base!$G$3:$G$5001,Base!$A$3:$A$5001,AC$3,Base!$B$3:$B$5001,$A$41)))</f>
        <v>5893</v>
      </c>
      <c r="AD42" s="32">
        <f>IF(AD$3="","",IF(COUNTIFS(Base!$A$3:$A$5001,AD$3,Base!$B$3:$B$5001,$A$41,Base!$G$3:$G$5001,"&lt;&gt;")=0,"",SUMIFS(Base!$G$3:$G$5001,Base!$A$3:$A$5001,AD$3,Base!$B$3:$B$5001,$A$41)))</f>
        <v>2950</v>
      </c>
      <c r="AE42" s="32">
        <f>IF(AE$3="","",IF(COUNTIFS(Base!$A$3:$A$5001,AE$3,Base!$B$3:$B$5001,$A$41,Base!$G$3:$G$5001,"&lt;&gt;")=0,"",SUMIFS(Base!$G$3:$G$5001,Base!$A$3:$A$5001,AE$3,Base!$B$3:$B$5001,$A$41)))</f>
        <v>2125</v>
      </c>
      <c r="AF42" s="32" t="str">
        <f>IF(AF$3="","",IF(COUNTIFS(Base!$A$3:$A$5001,AF$3,Base!$B$3:$B$5001,$A$41,Base!$G$3:$G$5001,"&lt;&gt;")=0,"",SUMIFS(Base!$G$3:$G$5001,Base!$A$3:$A$5001,AF$3,Base!$B$3:$B$5001,$A$41)))</f>
        <v/>
      </c>
      <c r="AG42" s="32">
        <f>IF(AG$3="","",IF(COUNTIFS(Base!$A$3:$A$5001,AG$3,Base!$B$3:$B$5001,$A$41,Base!$G$3:$G$5001,"&lt;&gt;")=0,"",SUMIFS(Base!$G$3:$G$5001,Base!$A$3:$A$5001,AG$3,Base!$B$3:$B$5001,$A$41)))</f>
        <v>5721</v>
      </c>
      <c r="AH42" s="32">
        <f>IF(AH$3="","",IF(COUNTIFS(Base!$A$3:$A$5001,AH$3,Base!$B$3:$B$5001,$A$41,Base!$G$3:$G$5001,"&lt;&gt;")=0,"",SUMIFS(Base!$G$3:$G$5001,Base!$A$3:$A$5001,AH$3,Base!$B$3:$B$5001,$A$41)))</f>
        <v>3982</v>
      </c>
      <c r="AI42" s="32" t="str">
        <f>IF(AI$3="","",IF(COUNTIFS(Base!$A$3:$A$5001,AI$3,Base!$B$3:$B$5001,$A$41,Base!$G$3:$G$5001,"&lt;&gt;")=0,"",SUMIFS(Base!$G$3:$G$5001,Base!$A$3:$A$5001,AI$3,Base!$B$3:$B$5001,$A$41)))</f>
        <v/>
      </c>
      <c r="AJ42" s="33" t="str">
        <f>IF(AJ$3="","",IF(COUNTIFS(Base!$A$3:$A$5001,AJ$3,Base!$B$3:$B$5001,$A$41,Base!$G$3:$G$5001,"&lt;&gt;")=0,"",SUMIFS(Base!$G$3:$G$5001,Base!$A$3:$A$5001,AJ$3,Base!$B$3:$B$5001,$A$41)))</f>
        <v/>
      </c>
      <c r="AK42" s="34">
        <f>IF(COUNT(F42:AJ42)=0,"",SUM(F42:AJ42))</f>
        <v>87289</v>
      </c>
    </row>
    <row r="43" ht="15.75" customHeight="1">
      <c r="A43" s="118"/>
      <c r="B43" s="106"/>
      <c r="C43" s="28" t="inlineStr">
        <is>
          <t xml:space="preserve">Caixas Mistas Recebidas</t>
        </is>
      </c>
      <c r="D43" s="29" t="str">
        <f>IFERROR(1/(1/INDEX(calculos!$C$55:$K$83,MATCH("IN Caixas Mistas Recebidas",calculos!$A$55:$A$83,0),MATCH($A$41,calculos!$C$54:$K$54,0))),"")</f>
        <v/>
      </c>
      <c r="E43" s="30"/>
      <c r="F43" s="31">
        <f>IF(F$3="","",IF(COUNTIFS(Base!$A$3:$A$5001,F$3,Base!$B$3:$B$5001,$A$41,Base!$H$3:$H$5001,"&lt;&gt;")=0,"",SUMIFS(Base!$H$3:$H$5001,Base!$A$3:$A$5001,F$3,Base!$B$3:$B$5001,$A$41)))</f>
        <v>262</v>
      </c>
      <c r="G43" s="32">
        <f>IF(G$3="","",IF(COUNTIFS(Base!$A$3:$A$5001,G$3,Base!$B$3:$B$5001,$A$41,Base!$H$3:$H$5001,"&lt;&gt;")=0,"",SUMIFS(Base!$H$3:$H$5001,Base!$A$3:$A$5001,G$3,Base!$B$3:$B$5001,$A$41)))</f>
        <v>271</v>
      </c>
      <c r="H43" s="32">
        <f>IF(H$3="","",IF(COUNTIFS(Base!$A$3:$A$5001,H$3,Base!$B$3:$B$5001,$A$41,Base!$H$3:$H$5001,"&lt;&gt;")=0,"",SUMIFS(Base!$H$3:$H$5001,Base!$A$3:$A$5001,H$3,Base!$B$3:$B$5001,$A$41)))</f>
        <v>258</v>
      </c>
      <c r="I43" s="32">
        <f>IF(I$3="","",IF(COUNTIFS(Base!$A$3:$A$5001,I$3,Base!$B$3:$B$5001,$A$41,Base!$H$3:$H$5001,"&lt;&gt;")=0,"",SUMIFS(Base!$H$3:$H$5001,Base!$A$3:$A$5001,I$3,Base!$B$3:$B$5001,$A$41)))</f>
        <v>362</v>
      </c>
      <c r="J43" s="32">
        <f>IF(J$3="","",IF(COUNTIFS(Base!$A$3:$A$5001,J$3,Base!$B$3:$B$5001,$A$41,Base!$H$3:$H$5001,"&lt;&gt;")=0,"",SUMIFS(Base!$H$3:$H$5001,Base!$A$3:$A$5001,J$3,Base!$B$3:$B$5001,$A$41)))</f>
        <v>78</v>
      </c>
      <c r="K43" s="32" t="str">
        <f>IF(K$3="","",IF(COUNTIFS(Base!$A$3:$A$5001,K$3,Base!$B$3:$B$5001,$A$41,Base!$H$3:$H$5001,"&lt;&gt;")=0,"",SUMIFS(Base!$H$3:$H$5001,Base!$A$3:$A$5001,K$3,Base!$B$3:$B$5001,$A$41)))</f>
        <v/>
      </c>
      <c r="L43" s="32">
        <f>IF(L$3="","",IF(COUNTIFS(Base!$A$3:$A$5001,L$3,Base!$B$3:$B$5001,$A$41,Base!$H$3:$H$5001,"&lt;&gt;")=0,"",SUMIFS(Base!$H$3:$H$5001,Base!$A$3:$A$5001,L$3,Base!$B$3:$B$5001,$A$41)))</f>
        <v>187</v>
      </c>
      <c r="M43" s="32">
        <f>IF(M$3="","",IF(COUNTIFS(Base!$A$3:$A$5001,M$3,Base!$B$3:$B$5001,$A$41,Base!$H$3:$H$5001,"&lt;&gt;")=0,"",SUMIFS(Base!$H$3:$H$5001,Base!$A$3:$A$5001,M$3,Base!$B$3:$B$5001,$A$41)))</f>
        <v>365</v>
      </c>
      <c r="N43" s="32">
        <f>IF(N$3="","",IF(COUNTIFS(Base!$A$3:$A$5001,N$3,Base!$B$3:$B$5001,$A$41,Base!$H$3:$H$5001,"&lt;&gt;")=0,"",SUMIFS(Base!$H$3:$H$5001,Base!$A$3:$A$5001,N$3,Base!$B$3:$B$5001,$A$41)))</f>
        <v>106</v>
      </c>
      <c r="O43" s="32">
        <f>IF(O$3="","",IF(COUNTIFS(Base!$A$3:$A$5001,O$3,Base!$B$3:$B$5001,$A$41,Base!$H$3:$H$5001,"&lt;&gt;")=0,"",SUMIFS(Base!$H$3:$H$5001,Base!$A$3:$A$5001,O$3,Base!$B$3:$B$5001,$A$41)))</f>
        <v>73</v>
      </c>
      <c r="P43" s="32">
        <f>IF(P$3="","",IF(COUNTIFS(Base!$A$3:$A$5001,P$3,Base!$B$3:$B$5001,$A$41,Base!$H$3:$H$5001,"&lt;&gt;")=0,"",SUMIFS(Base!$H$3:$H$5001,Base!$A$3:$A$5001,P$3,Base!$B$3:$B$5001,$A$41)))</f>
        <v>67</v>
      </c>
      <c r="Q43" s="32">
        <f>IF(Q$3="","",IF(COUNTIFS(Base!$A$3:$A$5001,Q$3,Base!$B$3:$B$5001,$A$41,Base!$H$3:$H$5001,"&lt;&gt;")=0,"",SUMIFS(Base!$H$3:$H$5001,Base!$A$3:$A$5001,Q$3,Base!$B$3:$B$5001,$A$41)))</f>
        <v>191</v>
      </c>
      <c r="R43" s="32" t="str">
        <f>IF(R$3="","",IF(COUNTIFS(Base!$A$3:$A$5001,R$3,Base!$B$3:$B$5001,$A$41,Base!$H$3:$H$5001,"&lt;&gt;")=0,"",SUMIFS(Base!$H$3:$H$5001,Base!$A$3:$A$5001,R$3,Base!$B$3:$B$5001,$A$41)))</f>
        <v/>
      </c>
      <c r="S43" s="32">
        <f>IF(S$3="","",IF(COUNTIFS(Base!$A$3:$A$5001,S$3,Base!$B$3:$B$5001,$A$41,Base!$H$3:$H$5001,"&lt;&gt;")=0,"",SUMIFS(Base!$H$3:$H$5001,Base!$A$3:$A$5001,S$3,Base!$B$3:$B$5001,$A$41)))</f>
        <v>98</v>
      </c>
      <c r="T43" s="32">
        <f>IF(T$3="","",IF(COUNTIFS(Base!$A$3:$A$5001,T$3,Base!$B$3:$B$5001,$A$41,Base!$H$3:$H$5001,"&lt;&gt;")=0,"",SUMIFS(Base!$H$3:$H$5001,Base!$A$3:$A$5001,T$3,Base!$B$3:$B$5001,$A$41)))</f>
        <v>285</v>
      </c>
      <c r="U43" s="32">
        <f>IF(U$3="","",IF(COUNTIFS(Base!$A$3:$A$5001,U$3,Base!$B$3:$B$5001,$A$41,Base!$H$3:$H$5001,"&lt;&gt;")=0,"",SUMIFS(Base!$H$3:$H$5001,Base!$A$3:$A$5001,U$3,Base!$B$3:$B$5001,$A$41)))</f>
        <v>135</v>
      </c>
      <c r="V43" s="32">
        <f>IF(V$3="","",IF(COUNTIFS(Base!$A$3:$A$5001,V$3,Base!$B$3:$B$5001,$A$41,Base!$H$3:$H$5001,"&lt;&gt;")=0,"",SUMIFS(Base!$H$3:$H$5001,Base!$A$3:$A$5001,V$3,Base!$B$3:$B$5001,$A$41)))</f>
        <v>348</v>
      </c>
      <c r="W43" s="32">
        <f>IF(W$3="","",IF(COUNTIFS(Base!$A$3:$A$5001,W$3,Base!$B$3:$B$5001,$A$41,Base!$H$3:$H$5001,"&lt;&gt;")=0,"",SUMIFS(Base!$H$3:$H$5001,Base!$A$3:$A$5001,W$3,Base!$B$3:$B$5001,$A$41)))</f>
        <v>69</v>
      </c>
      <c r="X43" s="32">
        <f>IF(X$3="","",IF(COUNTIFS(Base!$A$3:$A$5001,X$3,Base!$B$3:$B$5001,$A$41,Base!$H$3:$H$5001,"&lt;&gt;")=0,"",SUMIFS(Base!$H$3:$H$5001,Base!$A$3:$A$5001,X$3,Base!$B$3:$B$5001,$A$41)))</f>
        <v>208</v>
      </c>
      <c r="Y43" s="32" t="str">
        <f>IF(Y$3="","",IF(COUNTIFS(Base!$A$3:$A$5001,Y$3,Base!$B$3:$B$5001,$A$41,Base!$H$3:$H$5001,"&lt;&gt;")=0,"",SUMIFS(Base!$H$3:$H$5001,Base!$A$3:$A$5001,Y$3,Base!$B$3:$B$5001,$A$41)))</f>
        <v/>
      </c>
      <c r="Z43" s="32">
        <f>IF(Z$3="","",IF(COUNTIFS(Base!$A$3:$A$5001,Z$3,Base!$B$3:$B$5001,$A$41,Base!$H$3:$H$5001,"&lt;&gt;")=0,"",SUMIFS(Base!$H$3:$H$5001,Base!$A$3:$A$5001,Z$3,Base!$B$3:$B$5001,$A$41)))</f>
        <v>115</v>
      </c>
      <c r="AA43" s="32">
        <f>IF(AA$3="","",IF(COUNTIFS(Base!$A$3:$A$5001,AA$3,Base!$B$3:$B$5001,$A$41,Base!$H$3:$H$5001,"&lt;&gt;")=0,"",SUMIFS(Base!$H$3:$H$5001,Base!$A$3:$A$5001,AA$3,Base!$B$3:$B$5001,$A$41)))</f>
        <v>292</v>
      </c>
      <c r="AB43" s="32">
        <f>IF(AB$3="","",IF(COUNTIFS(Base!$A$3:$A$5001,AB$3,Base!$B$3:$B$5001,$A$41,Base!$H$3:$H$5001,"&lt;&gt;")=0,"",SUMIFS(Base!$H$3:$H$5001,Base!$A$3:$A$5001,AB$3,Base!$B$3:$B$5001,$A$41)))</f>
        <v>279</v>
      </c>
      <c r="AC43" s="32">
        <f>IF(AC$3="","",IF(COUNTIFS(Base!$A$3:$A$5001,AC$3,Base!$B$3:$B$5001,$A$41,Base!$H$3:$H$5001,"&lt;&gt;")=0,"",SUMIFS(Base!$H$3:$H$5001,Base!$A$3:$A$5001,AC$3,Base!$B$3:$B$5001,$A$41)))</f>
        <v>392</v>
      </c>
      <c r="AD43" s="32">
        <f>IF(AD$3="","",IF(COUNTIFS(Base!$A$3:$A$5001,AD$3,Base!$B$3:$B$5001,$A$41,Base!$H$3:$H$5001,"&lt;&gt;")=0,"",SUMIFS(Base!$H$3:$H$5001,Base!$A$3:$A$5001,AD$3,Base!$B$3:$B$5001,$A$41)))</f>
        <v>179</v>
      </c>
      <c r="AE43" s="32">
        <f>IF(AE$3="","",IF(COUNTIFS(Base!$A$3:$A$5001,AE$3,Base!$B$3:$B$5001,$A$41,Base!$H$3:$H$5001,"&lt;&gt;")=0,"",SUMIFS(Base!$H$3:$H$5001,Base!$A$3:$A$5001,AE$3,Base!$B$3:$B$5001,$A$41)))</f>
        <v>382</v>
      </c>
      <c r="AF43" s="32" t="str">
        <f>IF(AF$3="","",IF(COUNTIFS(Base!$A$3:$A$5001,AF$3,Base!$B$3:$B$5001,$A$41,Base!$H$3:$H$5001,"&lt;&gt;")=0,"",SUMIFS(Base!$H$3:$H$5001,Base!$A$3:$A$5001,AF$3,Base!$B$3:$B$5001,$A$41)))</f>
        <v/>
      </c>
      <c r="AG43" s="32">
        <f>IF(AG$3="","",IF(COUNTIFS(Base!$A$3:$A$5001,AG$3,Base!$B$3:$B$5001,$A$41,Base!$H$3:$H$5001,"&lt;&gt;")=0,"",SUMIFS(Base!$H$3:$H$5001,Base!$A$3:$A$5001,AG$3,Base!$B$3:$B$5001,$A$41)))</f>
        <v>61</v>
      </c>
      <c r="AH43" s="32">
        <f>IF(AH$3="","",IF(COUNTIFS(Base!$A$3:$A$5001,AH$3,Base!$B$3:$B$5001,$A$41,Base!$H$3:$H$5001,"&lt;&gt;")=0,"",SUMIFS(Base!$H$3:$H$5001,Base!$A$3:$A$5001,AH$3,Base!$B$3:$B$5001,$A$41)))</f>
        <v>347</v>
      </c>
      <c r="AI43" s="32" t="str">
        <f>IF(AI$3="","",IF(COUNTIFS(Base!$A$3:$A$5001,AI$3,Base!$B$3:$B$5001,$A$41,Base!$H$3:$H$5001,"&lt;&gt;")=0,"",SUMIFS(Base!$H$3:$H$5001,Base!$A$3:$A$5001,AI$3,Base!$B$3:$B$5001,$A$41)))</f>
        <v/>
      </c>
      <c r="AJ43" s="33" t="str">
        <f>IF(AJ$3="","",IF(COUNTIFS(Base!$A$3:$A$5001,AJ$3,Base!$B$3:$B$5001,$A$41,Base!$H$3:$H$5001,"&lt;&gt;")=0,"",SUMIFS(Base!$H$3:$H$5001,Base!$A$3:$A$5001,AJ$3,Base!$B$3:$B$5001,$A$41)))</f>
        <v/>
      </c>
      <c r="AK43" s="34">
        <f>IF(COUNT(F43:AJ43)=0,"",SUM(F43:AJ43))</f>
        <v>5410</v>
      </c>
    </row>
    <row r="44" ht="15.75" customHeight="1">
      <c r="A44" s="118"/>
      <c r="B44" s="107"/>
      <c r="C44" s="35" t="inlineStr">
        <is>
          <t xml:space="preserve">Caixas Fechadas</t>
        </is>
      </c>
      <c r="D44" s="469" t="str">
        <f>IFERROR(1/(1/INDEX(calculos!$C$55:$K$83,MATCH("IN Caixas Fechadas",calculos!$A$55:$A$83,0),MATCH($A$41,calculos!$C$54:$K$54,0))),"")</f>
        <v/>
      </c>
      <c r="E44" s="37"/>
      <c r="F44" s="470">
        <f>IF(F$3="","",IF(COUNTIFS(Base!$A$3:$A$5001,F$3,Base!$B$3:$B$5001,$A$41,Base!$I$3:$I$5001,"&lt;&gt;")=0,"",SUMIFS(Base!$I$3:$I$5001,Base!$A$3:$A$5001,F$3,Base!$B$3:$B$5001,$A$41)))</f>
        <v>769</v>
      </c>
      <c r="G44" s="471">
        <f>IF(G$3="","",IF(COUNTIFS(Base!$A$3:$A$5001,G$3,Base!$B$3:$B$5001,$A$41,Base!$I$3:$I$5001,"&lt;&gt;")=0,"",SUMIFS(Base!$I$3:$I$5001,Base!$A$3:$A$5001,G$3,Base!$B$3:$B$5001,$A$41)))</f>
        <v>842</v>
      </c>
      <c r="H44" s="471">
        <f>IF(H$3="","",IF(COUNTIFS(Base!$A$3:$A$5001,H$3,Base!$B$3:$B$5001,$A$41,Base!$I$3:$I$5001,"&lt;&gt;")=0,"",SUMIFS(Base!$I$3:$I$5001,Base!$A$3:$A$5001,H$3,Base!$B$3:$B$5001,$A$41)))</f>
        <v>420</v>
      </c>
      <c r="I44" s="471">
        <f>IF(I$3="","",IF(COUNTIFS(Base!$A$3:$A$5001,I$3,Base!$B$3:$B$5001,$A$41,Base!$I$3:$I$5001,"&lt;&gt;")=0,"",SUMIFS(Base!$I$3:$I$5001,Base!$A$3:$A$5001,I$3,Base!$B$3:$B$5001,$A$41)))</f>
        <v>103</v>
      </c>
      <c r="J44" s="471">
        <f>IF(J$3="","",IF(COUNTIFS(Base!$A$3:$A$5001,J$3,Base!$B$3:$B$5001,$A$41,Base!$I$3:$I$5001,"&lt;&gt;")=0,"",SUMIFS(Base!$I$3:$I$5001,Base!$A$3:$A$5001,J$3,Base!$B$3:$B$5001,$A$41)))</f>
        <v>630</v>
      </c>
      <c r="K44" s="471" t="str">
        <f>IF(K$3="","",IF(COUNTIFS(Base!$A$3:$A$5001,K$3,Base!$B$3:$B$5001,$A$41,Base!$I$3:$I$5001,"&lt;&gt;")=0,"",SUMIFS(Base!$I$3:$I$5001,Base!$A$3:$A$5001,K$3,Base!$B$3:$B$5001,$A$41)))</f>
        <v/>
      </c>
      <c r="L44" s="471">
        <f>IF(L$3="","",IF(COUNTIFS(Base!$A$3:$A$5001,L$3,Base!$B$3:$B$5001,$A$41,Base!$I$3:$I$5001,"&lt;&gt;")=0,"",SUMIFS(Base!$I$3:$I$5001,Base!$A$3:$A$5001,L$3,Base!$B$3:$B$5001,$A$41)))</f>
        <v>147</v>
      </c>
      <c r="M44" s="471">
        <f>IF(M$3="","",IF(COUNTIFS(Base!$A$3:$A$5001,M$3,Base!$B$3:$B$5001,$A$41,Base!$I$3:$I$5001,"&lt;&gt;")=0,"",SUMIFS(Base!$I$3:$I$5001,Base!$A$3:$A$5001,M$3,Base!$B$3:$B$5001,$A$41)))</f>
        <v>556</v>
      </c>
      <c r="N44" s="471">
        <f>IF(N$3="","",IF(COUNTIFS(Base!$A$3:$A$5001,N$3,Base!$B$3:$B$5001,$A$41,Base!$I$3:$I$5001,"&lt;&gt;")=0,"",SUMIFS(Base!$I$3:$I$5001,Base!$A$3:$A$5001,N$3,Base!$B$3:$B$5001,$A$41)))</f>
        <v>254</v>
      </c>
      <c r="O44" s="471">
        <f>IF(O$3="","",IF(COUNTIFS(Base!$A$3:$A$5001,O$3,Base!$B$3:$B$5001,$A$41,Base!$I$3:$I$5001,"&lt;&gt;")=0,"",SUMIFS(Base!$I$3:$I$5001,Base!$A$3:$A$5001,O$3,Base!$B$3:$B$5001,$A$41)))</f>
        <v>130</v>
      </c>
      <c r="P44" s="471">
        <f>IF(P$3="","",IF(COUNTIFS(Base!$A$3:$A$5001,P$3,Base!$B$3:$B$5001,$A$41,Base!$I$3:$I$5001,"&lt;&gt;")=0,"",SUMIFS(Base!$I$3:$I$5001,Base!$A$3:$A$5001,P$3,Base!$B$3:$B$5001,$A$41)))</f>
        <v>501</v>
      </c>
      <c r="Q44" s="471">
        <f>IF(Q$3="","",IF(COUNTIFS(Base!$A$3:$A$5001,Q$3,Base!$B$3:$B$5001,$A$41,Base!$I$3:$I$5001,"&lt;&gt;")=0,"",SUMIFS(Base!$I$3:$I$5001,Base!$A$3:$A$5001,Q$3,Base!$B$3:$B$5001,$A$41)))</f>
        <v>390</v>
      </c>
      <c r="R44" s="471" t="str">
        <f>IF(R$3="","",IF(COUNTIFS(Base!$A$3:$A$5001,R$3,Base!$B$3:$B$5001,$A$41,Base!$I$3:$I$5001,"&lt;&gt;")=0,"",SUMIFS(Base!$I$3:$I$5001,Base!$A$3:$A$5001,R$3,Base!$B$3:$B$5001,$A$41)))</f>
        <v/>
      </c>
      <c r="S44" s="471">
        <f>IF(S$3="","",IF(COUNTIFS(Base!$A$3:$A$5001,S$3,Base!$B$3:$B$5001,$A$41,Base!$I$3:$I$5001,"&lt;&gt;")=0,"",SUMIFS(Base!$I$3:$I$5001,Base!$A$3:$A$5001,S$3,Base!$B$3:$B$5001,$A$41)))</f>
        <v>797</v>
      </c>
      <c r="T44" s="471">
        <f>IF(T$3="","",IF(COUNTIFS(Base!$A$3:$A$5001,T$3,Base!$B$3:$B$5001,$A$41,Base!$I$3:$I$5001,"&lt;&gt;")=0,"",SUMIFS(Base!$I$3:$I$5001,Base!$A$3:$A$5001,T$3,Base!$B$3:$B$5001,$A$41)))</f>
        <v>702</v>
      </c>
      <c r="U44" s="471">
        <f>IF(U$3="","",IF(COUNTIFS(Base!$A$3:$A$5001,U$3,Base!$B$3:$B$5001,$A$41,Base!$I$3:$I$5001,"&lt;&gt;")=0,"",SUMIFS(Base!$I$3:$I$5001,Base!$A$3:$A$5001,U$3,Base!$B$3:$B$5001,$A$41)))</f>
        <v>420</v>
      </c>
      <c r="V44" s="471">
        <f>IF(V$3="","",IF(COUNTIFS(Base!$A$3:$A$5001,V$3,Base!$B$3:$B$5001,$A$41,Base!$I$3:$I$5001,"&lt;&gt;")=0,"",SUMIFS(Base!$I$3:$I$5001,Base!$A$3:$A$5001,V$3,Base!$B$3:$B$5001,$A$41)))</f>
        <v>794</v>
      </c>
      <c r="W44" s="471">
        <f>IF(W$3="","",IF(COUNTIFS(Base!$A$3:$A$5001,W$3,Base!$B$3:$B$5001,$A$41,Base!$I$3:$I$5001,"&lt;&gt;")=0,"",SUMIFS(Base!$I$3:$I$5001,Base!$A$3:$A$5001,W$3,Base!$B$3:$B$5001,$A$41)))</f>
        <v>275</v>
      </c>
      <c r="X44" s="471">
        <f>IF(X$3="","",IF(COUNTIFS(Base!$A$3:$A$5001,X$3,Base!$B$3:$B$5001,$A$41,Base!$I$3:$I$5001,"&lt;&gt;")=0,"",SUMIFS(Base!$I$3:$I$5001,Base!$A$3:$A$5001,X$3,Base!$B$3:$B$5001,$A$41)))</f>
        <v>101</v>
      </c>
      <c r="Y44" s="471" t="str">
        <f>IF(Y$3="","",IF(COUNTIFS(Base!$A$3:$A$5001,Y$3,Base!$B$3:$B$5001,$A$41,Base!$I$3:$I$5001,"&lt;&gt;")=0,"",SUMIFS(Base!$I$3:$I$5001,Base!$A$3:$A$5001,Y$3,Base!$B$3:$B$5001,$A$41)))</f>
        <v/>
      </c>
      <c r="Z44" s="471">
        <f>IF(Z$3="","",IF(COUNTIFS(Base!$A$3:$A$5001,Z$3,Base!$B$3:$B$5001,$A$41,Base!$I$3:$I$5001,"&lt;&gt;")=0,"",SUMIFS(Base!$I$3:$I$5001,Base!$A$3:$A$5001,Z$3,Base!$B$3:$B$5001,$A$41)))</f>
        <v>173</v>
      </c>
      <c r="AA44" s="471">
        <f>IF(AA$3="","",IF(COUNTIFS(Base!$A$3:$A$5001,AA$3,Base!$B$3:$B$5001,$A$41,Base!$I$3:$I$5001,"&lt;&gt;")=0,"",SUMIFS(Base!$I$3:$I$5001,Base!$A$3:$A$5001,AA$3,Base!$B$3:$B$5001,$A$41)))</f>
        <v>256</v>
      </c>
      <c r="AB44" s="471">
        <f>IF(AB$3="","",IF(COUNTIFS(Base!$A$3:$A$5001,AB$3,Base!$B$3:$B$5001,$A$41,Base!$I$3:$I$5001,"&lt;&gt;")=0,"",SUMIFS(Base!$I$3:$I$5001,Base!$A$3:$A$5001,AB$3,Base!$B$3:$B$5001,$A$41)))</f>
        <v>504</v>
      </c>
      <c r="AC44" s="471">
        <f>IF(AC$3="","",IF(COUNTIFS(Base!$A$3:$A$5001,AC$3,Base!$B$3:$B$5001,$A$41,Base!$I$3:$I$5001,"&lt;&gt;")=0,"",SUMIFS(Base!$I$3:$I$5001,Base!$A$3:$A$5001,AC$3,Base!$B$3:$B$5001,$A$41)))</f>
        <v>203</v>
      </c>
      <c r="AD44" s="471">
        <f>IF(AD$3="","",IF(COUNTIFS(Base!$A$3:$A$5001,AD$3,Base!$B$3:$B$5001,$A$41,Base!$I$3:$I$5001,"&lt;&gt;")=0,"",SUMIFS(Base!$I$3:$I$5001,Base!$A$3:$A$5001,AD$3,Base!$B$3:$B$5001,$A$41)))</f>
        <v>434</v>
      </c>
      <c r="AE44" s="471">
        <f>IF(AE$3="","",IF(COUNTIFS(Base!$A$3:$A$5001,AE$3,Base!$B$3:$B$5001,$A$41,Base!$I$3:$I$5001,"&lt;&gt;")=0,"",SUMIFS(Base!$I$3:$I$5001,Base!$A$3:$A$5001,AE$3,Base!$B$3:$B$5001,$A$41)))</f>
        <v>865</v>
      </c>
      <c r="AF44" s="471" t="str">
        <f>IF(AF$3="","",IF(COUNTIFS(Base!$A$3:$A$5001,AF$3,Base!$B$3:$B$5001,$A$41,Base!$I$3:$I$5001,"&lt;&gt;")=0,"",SUMIFS(Base!$I$3:$I$5001,Base!$A$3:$A$5001,AF$3,Base!$B$3:$B$5001,$A$41)))</f>
        <v/>
      </c>
      <c r="AG44" s="471">
        <f>IF(AG$3="","",IF(COUNTIFS(Base!$A$3:$A$5001,AG$3,Base!$B$3:$B$5001,$A$41,Base!$I$3:$I$5001,"&lt;&gt;")=0,"",SUMIFS(Base!$I$3:$I$5001,Base!$A$3:$A$5001,AG$3,Base!$B$3:$B$5001,$A$41)))</f>
        <v>435</v>
      </c>
      <c r="AH44" s="471">
        <f>IF(AH$3="","",IF(COUNTIFS(Base!$A$3:$A$5001,AH$3,Base!$B$3:$B$5001,$A$41,Base!$I$3:$I$5001,"&lt;&gt;")=0,"",SUMIFS(Base!$I$3:$I$5001,Base!$A$3:$A$5001,AH$3,Base!$B$3:$B$5001,$A$41)))</f>
        <v>682</v>
      </c>
      <c r="AI44" s="471" t="str">
        <f>IF(AI$3="","",IF(COUNTIFS(Base!$A$3:$A$5001,AI$3,Base!$B$3:$B$5001,$A$41,Base!$I$3:$I$5001,"&lt;&gt;")=0,"",SUMIFS(Base!$I$3:$I$5001,Base!$A$3:$A$5001,AI$3,Base!$B$3:$B$5001,$A$41)))</f>
        <v/>
      </c>
      <c r="AJ44" s="472" t="str">
        <f>IF(AJ$3="","",IF(COUNTIFS(Base!$A$3:$A$5001,AJ$3,Base!$B$3:$B$5001,$A$41,Base!$I$3:$I$5001,"&lt;&gt;")=0,"",SUMIFS(Base!$I$3:$I$5001,Base!$A$3:$A$5001,AJ$3,Base!$B$3:$B$5001,$A$41)))</f>
        <v/>
      </c>
      <c r="AK44" s="469">
        <f>IF(COUNT(F44:AJ44)=0,"",SUM(F44:AJ44))</f>
        <v>11383</v>
      </c>
    </row>
    <row r="45" ht="15.75" customHeight="1">
      <c r="A45" s="118"/>
      <c r="B45" s="108" t="inlineStr">
        <is>
          <t xml:space="preserve">OUT</t>
        </is>
      </c>
      <c r="C45" s="41" t="inlineStr">
        <is>
          <t xml:space="preserve">Veículos Expedidos</t>
        </is>
      </c>
      <c r="D45" s="42" t="str">
        <f>IFERROR(1/(1/INDEX(calculos!$C$55:$K$83,MATCH("OUT Veículos Expedidos",calculos!$A$55:$A$83,0),MATCH($A$41,calculos!$C$54:$K$54,0))),"")</f>
        <v/>
      </c>
      <c r="E45" s="43"/>
      <c r="F45" s="44">
        <f>IF(F$3="","",IF(COUNTIFS(Base!$A$3:$A$5001,F$3,Base!$B$3:$B$5001,$A$41,Base!$L$3:$L$5001,"&lt;&gt;")=0,"",SUMIFS(Base!$L$3:$L$5001,Base!$A$3:$A$5001,F$3,Base!$B$3:$B$5001,$A$41)))</f>
        <v>9</v>
      </c>
      <c r="G45" s="45">
        <f>IF(G$3="","",IF(COUNTIFS(Base!$A$3:$A$5001,G$3,Base!$B$3:$B$5001,$A$41,Base!$L$3:$L$5001,"&lt;&gt;")=0,"",SUMIFS(Base!$L$3:$L$5001,Base!$A$3:$A$5001,G$3,Base!$B$3:$B$5001,$A$41)))</f>
        <v>6</v>
      </c>
      <c r="H45" s="45">
        <f>IF(H$3="","",IF(COUNTIFS(Base!$A$3:$A$5001,H$3,Base!$B$3:$B$5001,$A$41,Base!$L$3:$L$5001,"&lt;&gt;")=0,"",SUMIFS(Base!$L$3:$L$5001,Base!$A$3:$A$5001,H$3,Base!$B$3:$B$5001,$A$41)))</f>
        <v>7</v>
      </c>
      <c r="I45" s="45">
        <f>IF(I$3="","",IF(COUNTIFS(Base!$A$3:$A$5001,I$3,Base!$B$3:$B$5001,$A$41,Base!$L$3:$L$5001,"&lt;&gt;")=0,"",SUMIFS(Base!$L$3:$L$5001,Base!$A$3:$A$5001,I$3,Base!$B$3:$B$5001,$A$41)))</f>
        <v>7</v>
      </c>
      <c r="J45" s="45">
        <f>IF(J$3="","",IF(COUNTIFS(Base!$A$3:$A$5001,J$3,Base!$B$3:$B$5001,$A$41,Base!$L$3:$L$5001,"&lt;&gt;")=0,"",SUMIFS(Base!$L$3:$L$5001,Base!$A$3:$A$5001,J$3,Base!$B$3:$B$5001,$A$41)))</f>
        <v>4</v>
      </c>
      <c r="K45" s="45" t="str">
        <f>IF(K$3="","",IF(COUNTIFS(Base!$A$3:$A$5001,K$3,Base!$B$3:$B$5001,$A$41,Base!$L$3:$L$5001,"&lt;&gt;")=0,"",SUMIFS(Base!$L$3:$L$5001,Base!$A$3:$A$5001,K$3,Base!$B$3:$B$5001,$A$41)))</f>
        <v/>
      </c>
      <c r="L45" s="45">
        <f>IF(L$3="","",IF(COUNTIFS(Base!$A$3:$A$5001,L$3,Base!$B$3:$B$5001,$A$41,Base!$L$3:$L$5001,"&lt;&gt;")=0,"",SUMIFS(Base!$L$3:$L$5001,Base!$A$3:$A$5001,L$3,Base!$B$3:$B$5001,$A$41)))</f>
        <v>6</v>
      </c>
      <c r="M45" s="45">
        <f>IF(M$3="","",IF(COUNTIFS(Base!$A$3:$A$5001,M$3,Base!$B$3:$B$5001,$A$41,Base!$L$3:$L$5001,"&lt;&gt;")=0,"",SUMIFS(Base!$L$3:$L$5001,Base!$A$3:$A$5001,M$3,Base!$B$3:$B$5001,$A$41)))</f>
        <v>3</v>
      </c>
      <c r="N45" s="45">
        <f>IF(N$3="","",IF(COUNTIFS(Base!$A$3:$A$5001,N$3,Base!$B$3:$B$5001,$A$41,Base!$L$3:$L$5001,"&lt;&gt;")=0,"",SUMIFS(Base!$L$3:$L$5001,Base!$A$3:$A$5001,N$3,Base!$B$3:$B$5001,$A$41)))</f>
        <v>7</v>
      </c>
      <c r="O45" s="45">
        <f>IF(O$3="","",IF(COUNTIFS(Base!$A$3:$A$5001,O$3,Base!$B$3:$B$5001,$A$41,Base!$L$3:$L$5001,"&lt;&gt;")=0,"",SUMIFS(Base!$L$3:$L$5001,Base!$A$3:$A$5001,O$3,Base!$B$3:$B$5001,$A$41)))</f>
        <v>11</v>
      </c>
      <c r="P45" s="45">
        <f>IF(P$3="","",IF(COUNTIFS(Base!$A$3:$A$5001,P$3,Base!$B$3:$B$5001,$A$41,Base!$L$3:$L$5001,"&lt;&gt;")=0,"",SUMIFS(Base!$L$3:$L$5001,Base!$A$3:$A$5001,P$3,Base!$B$3:$B$5001,$A$41)))</f>
        <v>10</v>
      </c>
      <c r="Q45" s="45">
        <f>IF(Q$3="","",IF(COUNTIFS(Base!$A$3:$A$5001,Q$3,Base!$B$3:$B$5001,$A$41,Base!$L$3:$L$5001,"&lt;&gt;")=0,"",SUMIFS(Base!$L$3:$L$5001,Base!$A$3:$A$5001,Q$3,Base!$B$3:$B$5001,$A$41)))</f>
        <v>11</v>
      </c>
      <c r="R45" s="45" t="str">
        <f>IF(R$3="","",IF(COUNTIFS(Base!$A$3:$A$5001,R$3,Base!$B$3:$B$5001,$A$41,Base!$L$3:$L$5001,"&lt;&gt;")=0,"",SUMIFS(Base!$L$3:$L$5001,Base!$A$3:$A$5001,R$3,Base!$B$3:$B$5001,$A$41)))</f>
        <v/>
      </c>
      <c r="S45" s="45">
        <f>IF(S$3="","",IF(COUNTIFS(Base!$A$3:$A$5001,S$3,Base!$B$3:$B$5001,$A$41,Base!$L$3:$L$5001,"&lt;&gt;")=0,"",SUMIFS(Base!$L$3:$L$5001,Base!$A$3:$A$5001,S$3,Base!$B$3:$B$5001,$A$41)))</f>
        <v>6</v>
      </c>
      <c r="T45" s="45">
        <f>IF(T$3="","",IF(COUNTIFS(Base!$A$3:$A$5001,T$3,Base!$B$3:$B$5001,$A$41,Base!$L$3:$L$5001,"&lt;&gt;")=0,"",SUMIFS(Base!$L$3:$L$5001,Base!$A$3:$A$5001,T$3,Base!$B$3:$B$5001,$A$41)))</f>
        <v>4</v>
      </c>
      <c r="U45" s="45">
        <f>IF(U$3="","",IF(COUNTIFS(Base!$A$3:$A$5001,U$3,Base!$B$3:$B$5001,$A$41,Base!$L$3:$L$5001,"&lt;&gt;")=0,"",SUMIFS(Base!$L$3:$L$5001,Base!$A$3:$A$5001,U$3,Base!$B$3:$B$5001,$A$41)))</f>
        <v>8</v>
      </c>
      <c r="V45" s="45">
        <f>IF(V$3="","",IF(COUNTIFS(Base!$A$3:$A$5001,V$3,Base!$B$3:$B$5001,$A$41,Base!$L$3:$L$5001,"&lt;&gt;")=0,"",SUMIFS(Base!$L$3:$L$5001,Base!$A$3:$A$5001,V$3,Base!$B$3:$B$5001,$A$41)))</f>
        <v>6</v>
      </c>
      <c r="W45" s="45">
        <f>IF(W$3="","",IF(COUNTIFS(Base!$A$3:$A$5001,W$3,Base!$B$3:$B$5001,$A$41,Base!$L$3:$L$5001,"&lt;&gt;")=0,"",SUMIFS(Base!$L$3:$L$5001,Base!$A$3:$A$5001,W$3,Base!$B$3:$B$5001,$A$41)))</f>
        <v>11</v>
      </c>
      <c r="X45" s="45">
        <f>IF(X$3="","",IF(COUNTIFS(Base!$A$3:$A$5001,X$3,Base!$B$3:$B$5001,$A$41,Base!$L$3:$L$5001,"&lt;&gt;")=0,"",SUMIFS(Base!$L$3:$L$5001,Base!$A$3:$A$5001,X$3,Base!$B$3:$B$5001,$A$41)))</f>
        <v>9</v>
      </c>
      <c r="Y45" s="45" t="str">
        <f>IF(Y$3="","",IF(COUNTIFS(Base!$A$3:$A$5001,Y$3,Base!$B$3:$B$5001,$A$41,Base!$L$3:$L$5001,"&lt;&gt;")=0,"",SUMIFS(Base!$L$3:$L$5001,Base!$A$3:$A$5001,Y$3,Base!$B$3:$B$5001,$A$41)))</f>
        <v/>
      </c>
      <c r="Z45" s="45">
        <f>IF(Z$3="","",IF(COUNTIFS(Base!$A$3:$A$5001,Z$3,Base!$B$3:$B$5001,$A$41,Base!$L$3:$L$5001,"&lt;&gt;")=0,"",SUMIFS(Base!$L$3:$L$5001,Base!$A$3:$A$5001,Z$3,Base!$B$3:$B$5001,$A$41)))</f>
        <v>8</v>
      </c>
      <c r="AA45" s="45">
        <f>IF(AA$3="","",IF(COUNTIFS(Base!$A$3:$A$5001,AA$3,Base!$B$3:$B$5001,$A$41,Base!$L$3:$L$5001,"&lt;&gt;")=0,"",SUMIFS(Base!$L$3:$L$5001,Base!$A$3:$A$5001,AA$3,Base!$B$3:$B$5001,$A$41)))</f>
        <v>8</v>
      </c>
      <c r="AB45" s="45">
        <f>IF(AB$3="","",IF(COUNTIFS(Base!$A$3:$A$5001,AB$3,Base!$B$3:$B$5001,$A$41,Base!$L$3:$L$5001,"&lt;&gt;")=0,"",SUMIFS(Base!$L$3:$L$5001,Base!$A$3:$A$5001,AB$3,Base!$B$3:$B$5001,$A$41)))</f>
        <v>5</v>
      </c>
      <c r="AC45" s="45">
        <f>IF(AC$3="","",IF(COUNTIFS(Base!$A$3:$A$5001,AC$3,Base!$B$3:$B$5001,$A$41,Base!$L$3:$L$5001,"&lt;&gt;")=0,"",SUMIFS(Base!$L$3:$L$5001,Base!$A$3:$A$5001,AC$3,Base!$B$3:$B$5001,$A$41)))</f>
        <v>3</v>
      </c>
      <c r="AD45" s="45">
        <f>IF(AD$3="","",IF(COUNTIFS(Base!$A$3:$A$5001,AD$3,Base!$B$3:$B$5001,$A$41,Base!$L$3:$L$5001,"&lt;&gt;")=0,"",SUMIFS(Base!$L$3:$L$5001,Base!$A$3:$A$5001,AD$3,Base!$B$3:$B$5001,$A$41)))</f>
        <v>3</v>
      </c>
      <c r="AE45" s="45">
        <f>IF(AE$3="","",IF(COUNTIFS(Base!$A$3:$A$5001,AE$3,Base!$B$3:$B$5001,$A$41,Base!$L$3:$L$5001,"&lt;&gt;")=0,"",SUMIFS(Base!$L$3:$L$5001,Base!$A$3:$A$5001,AE$3,Base!$B$3:$B$5001,$A$41)))</f>
        <v>2</v>
      </c>
      <c r="AF45" s="45" t="str">
        <f>IF(AF$3="","",IF(COUNTIFS(Base!$A$3:$A$5001,AF$3,Base!$B$3:$B$5001,$A$41,Base!$L$3:$L$5001,"&lt;&gt;")=0,"",SUMIFS(Base!$L$3:$L$5001,Base!$A$3:$A$5001,AF$3,Base!$B$3:$B$5001,$A$41)))</f>
        <v/>
      </c>
      <c r="AG45" s="45">
        <f>IF(AG$3="","",IF(COUNTIFS(Base!$A$3:$A$5001,AG$3,Base!$B$3:$B$5001,$A$41,Base!$L$3:$L$5001,"&lt;&gt;")=0,"",SUMIFS(Base!$L$3:$L$5001,Base!$A$3:$A$5001,AG$3,Base!$B$3:$B$5001,$A$41)))</f>
        <v>2</v>
      </c>
      <c r="AH45" s="45">
        <f>IF(AH$3="","",IF(COUNTIFS(Base!$A$3:$A$5001,AH$3,Base!$B$3:$B$5001,$A$41,Base!$L$3:$L$5001,"&lt;&gt;")=0,"",SUMIFS(Base!$L$3:$L$5001,Base!$A$3:$A$5001,AH$3,Base!$B$3:$B$5001,$A$41)))</f>
        <v>7</v>
      </c>
      <c r="AI45" s="45" t="str">
        <f>IF(AI$3="","",IF(COUNTIFS(Base!$A$3:$A$5001,AI$3,Base!$B$3:$B$5001,$A$41,Base!$L$3:$L$5001,"&lt;&gt;")=0,"",SUMIFS(Base!$L$3:$L$5001,Base!$A$3:$A$5001,AI$3,Base!$B$3:$B$5001,$A$41)))</f>
        <v/>
      </c>
      <c r="AJ45" s="46" t="str">
        <f>IF(AJ$3="","",IF(COUNTIFS(Base!$A$3:$A$5001,AJ$3,Base!$B$3:$B$5001,$A$41,Base!$L$3:$L$5001,"&lt;&gt;")=0,"",SUMIFS(Base!$L$3:$L$5001,Base!$A$3:$A$5001,AJ$3,Base!$B$3:$B$5001,$A$41)))</f>
        <v/>
      </c>
      <c r="AK45" s="47">
        <f>IF(COUNT(F45:AJ45)=0,"",SUM(F45:AJ45))</f>
        <v>163</v>
      </c>
    </row>
    <row r="46" ht="15.75" customHeight="1">
      <c r="A46" s="118"/>
      <c r="B46" s="109"/>
      <c r="C46" s="48" t="inlineStr">
        <is>
          <t xml:space="preserve">Pedidos Faturados</t>
        </is>
      </c>
      <c r="D46" s="49" t="str">
        <f>IFERROR(1/(1/INDEX(calculos!$C$55:$K$83,MATCH("OUT Pedidos Faturados",calculos!$A$55:$A$83,0),MATCH($A$41,calculos!$C$54:$K$54,0))),"")</f>
        <v/>
      </c>
      <c r="E46" s="50"/>
      <c r="F46" s="51">
        <f>IF(F$3="","",IF(COUNTIFS(Base!$A$3:$A$5001,F$3,Base!$B$3:$B$5001,$A$41,Base!$Q$3:$Q$5001,"&lt;&gt;")=0,"",SUMIFS(Base!$Q$3:$Q$5001,Base!$A$3:$A$5001,F$3,Base!$B$3:$B$5001,$A$41)))</f>
        <v>154</v>
      </c>
      <c r="G46" s="52">
        <f>IF(G$3="","",IF(COUNTIFS(Base!$A$3:$A$5001,G$3,Base!$B$3:$B$5001,$A$41,Base!$Q$3:$Q$5001,"&lt;&gt;")=0,"",SUMIFS(Base!$Q$3:$Q$5001,Base!$A$3:$A$5001,G$3,Base!$B$3:$B$5001,$A$41)))</f>
        <v>865</v>
      </c>
      <c r="H46" s="52">
        <f>IF(H$3="","",IF(COUNTIFS(Base!$A$3:$A$5001,H$3,Base!$B$3:$B$5001,$A$41,Base!$Q$3:$Q$5001,"&lt;&gt;")=0,"",SUMIFS(Base!$Q$3:$Q$5001,Base!$A$3:$A$5001,H$3,Base!$B$3:$B$5001,$A$41)))</f>
        <v>768</v>
      </c>
      <c r="I46" s="52">
        <f>IF(I$3="","",IF(COUNTIFS(Base!$A$3:$A$5001,I$3,Base!$B$3:$B$5001,$A$41,Base!$Q$3:$Q$5001,"&lt;&gt;")=0,"",SUMIFS(Base!$Q$3:$Q$5001,Base!$A$3:$A$5001,I$3,Base!$B$3:$B$5001,$A$41)))</f>
        <v>932</v>
      </c>
      <c r="J46" s="52">
        <f>IF(J$3="","",IF(COUNTIFS(Base!$A$3:$A$5001,J$3,Base!$B$3:$B$5001,$A$41,Base!$Q$3:$Q$5001,"&lt;&gt;")=0,"",SUMIFS(Base!$Q$3:$Q$5001,Base!$A$3:$A$5001,J$3,Base!$B$3:$B$5001,$A$41)))</f>
        <v>1113</v>
      </c>
      <c r="K46" s="52" t="str">
        <f>IF(K$3="","",IF(COUNTIFS(Base!$A$3:$A$5001,K$3,Base!$B$3:$B$5001,$A$41,Base!$Q$3:$Q$5001,"&lt;&gt;")=0,"",SUMIFS(Base!$Q$3:$Q$5001,Base!$A$3:$A$5001,K$3,Base!$B$3:$B$5001,$A$41)))</f>
        <v/>
      </c>
      <c r="L46" s="52">
        <f>IF(L$3="","",IF(COUNTIFS(Base!$A$3:$A$5001,L$3,Base!$B$3:$B$5001,$A$41,Base!$Q$3:$Q$5001,"&lt;&gt;")=0,"",SUMIFS(Base!$Q$3:$Q$5001,Base!$A$3:$A$5001,L$3,Base!$B$3:$B$5001,$A$41)))</f>
        <v>208</v>
      </c>
      <c r="M46" s="52">
        <f>IF(M$3="","",IF(COUNTIFS(Base!$A$3:$A$5001,M$3,Base!$B$3:$B$5001,$A$41,Base!$Q$3:$Q$5001,"&lt;&gt;")=0,"",SUMIFS(Base!$Q$3:$Q$5001,Base!$A$3:$A$5001,M$3,Base!$B$3:$B$5001,$A$41)))</f>
        <v>876</v>
      </c>
      <c r="N46" s="52">
        <f>IF(N$3="","",IF(COUNTIFS(Base!$A$3:$A$5001,N$3,Base!$B$3:$B$5001,$A$41,Base!$Q$3:$Q$5001,"&lt;&gt;")=0,"",SUMIFS(Base!$Q$3:$Q$5001,Base!$A$3:$A$5001,N$3,Base!$B$3:$B$5001,$A$41)))</f>
        <v>263</v>
      </c>
      <c r="O46" s="52">
        <f>IF(O$3="","",IF(COUNTIFS(Base!$A$3:$A$5001,O$3,Base!$B$3:$B$5001,$A$41,Base!$Q$3:$Q$5001,"&lt;&gt;")=0,"",SUMIFS(Base!$Q$3:$Q$5001,Base!$A$3:$A$5001,O$3,Base!$B$3:$B$5001,$A$41)))</f>
        <v>389</v>
      </c>
      <c r="P46" s="52">
        <f>IF(P$3="","",IF(COUNTIFS(Base!$A$3:$A$5001,P$3,Base!$B$3:$B$5001,$A$41,Base!$Q$3:$Q$5001,"&lt;&gt;")=0,"",SUMIFS(Base!$Q$3:$Q$5001,Base!$A$3:$A$5001,P$3,Base!$B$3:$B$5001,$A$41)))</f>
        <v>1095</v>
      </c>
      <c r="Q46" s="52">
        <f>IF(Q$3="","",IF(COUNTIFS(Base!$A$3:$A$5001,Q$3,Base!$B$3:$B$5001,$A$41,Base!$Q$3:$Q$5001,"&lt;&gt;")=0,"",SUMIFS(Base!$Q$3:$Q$5001,Base!$A$3:$A$5001,Q$3,Base!$B$3:$B$5001,$A$41)))</f>
        <v>715</v>
      </c>
      <c r="R46" s="52" t="str">
        <f>IF(R$3="","",IF(COUNTIFS(Base!$A$3:$A$5001,R$3,Base!$B$3:$B$5001,$A$41,Base!$Q$3:$Q$5001,"&lt;&gt;")=0,"",SUMIFS(Base!$Q$3:$Q$5001,Base!$A$3:$A$5001,R$3,Base!$B$3:$B$5001,$A$41)))</f>
        <v/>
      </c>
      <c r="S46" s="52">
        <f>IF(S$3="","",IF(COUNTIFS(Base!$A$3:$A$5001,S$3,Base!$B$3:$B$5001,$A$41,Base!$Q$3:$Q$5001,"&lt;&gt;")=0,"",SUMIFS(Base!$Q$3:$Q$5001,Base!$A$3:$A$5001,S$3,Base!$B$3:$B$5001,$A$41)))</f>
        <v>912</v>
      </c>
      <c r="T46" s="52">
        <f>IF(T$3="","",IF(COUNTIFS(Base!$A$3:$A$5001,T$3,Base!$B$3:$B$5001,$A$41,Base!$Q$3:$Q$5001,"&lt;&gt;")=0,"",SUMIFS(Base!$Q$3:$Q$5001,Base!$A$3:$A$5001,T$3,Base!$B$3:$B$5001,$A$41)))</f>
        <v>265</v>
      </c>
      <c r="U46" s="52">
        <f>IF(U$3="","",IF(COUNTIFS(Base!$A$3:$A$5001,U$3,Base!$B$3:$B$5001,$A$41,Base!$Q$3:$Q$5001,"&lt;&gt;")=0,"",SUMIFS(Base!$Q$3:$Q$5001,Base!$A$3:$A$5001,U$3,Base!$B$3:$B$5001,$A$41)))</f>
        <v>602</v>
      </c>
      <c r="V46" s="52">
        <f>IF(V$3="","",IF(COUNTIFS(Base!$A$3:$A$5001,V$3,Base!$B$3:$B$5001,$A$41,Base!$Q$3:$Q$5001,"&lt;&gt;")=0,"",SUMIFS(Base!$Q$3:$Q$5001,Base!$A$3:$A$5001,V$3,Base!$B$3:$B$5001,$A$41)))</f>
        <v>592</v>
      </c>
      <c r="W46" s="52">
        <f>IF(W$3="","",IF(COUNTIFS(Base!$A$3:$A$5001,W$3,Base!$B$3:$B$5001,$A$41,Base!$Q$3:$Q$5001,"&lt;&gt;")=0,"",SUMIFS(Base!$Q$3:$Q$5001,Base!$A$3:$A$5001,W$3,Base!$B$3:$B$5001,$A$41)))</f>
        <v>866</v>
      </c>
      <c r="X46" s="52">
        <f>IF(X$3="","",IF(COUNTIFS(Base!$A$3:$A$5001,X$3,Base!$B$3:$B$5001,$A$41,Base!$Q$3:$Q$5001,"&lt;&gt;")=0,"",SUMIFS(Base!$Q$3:$Q$5001,Base!$A$3:$A$5001,X$3,Base!$B$3:$B$5001,$A$41)))</f>
        <v>416</v>
      </c>
      <c r="Y46" s="52" t="str">
        <f>IF(Y$3="","",IF(COUNTIFS(Base!$A$3:$A$5001,Y$3,Base!$B$3:$B$5001,$A$41,Base!$Q$3:$Q$5001,"&lt;&gt;")=0,"",SUMIFS(Base!$Q$3:$Q$5001,Base!$A$3:$A$5001,Y$3,Base!$B$3:$B$5001,$A$41)))</f>
        <v/>
      </c>
      <c r="Z46" s="52">
        <f>IF(Z$3="","",IF(COUNTIFS(Base!$A$3:$A$5001,Z$3,Base!$B$3:$B$5001,$A$41,Base!$Q$3:$Q$5001,"&lt;&gt;")=0,"",SUMIFS(Base!$Q$3:$Q$5001,Base!$A$3:$A$5001,Z$3,Base!$B$3:$B$5001,$A$41)))</f>
        <v>1195</v>
      </c>
      <c r="AA46" s="52">
        <f>IF(AA$3="","",IF(COUNTIFS(Base!$A$3:$A$5001,AA$3,Base!$B$3:$B$5001,$A$41,Base!$Q$3:$Q$5001,"&lt;&gt;")=0,"",SUMIFS(Base!$Q$3:$Q$5001,Base!$A$3:$A$5001,AA$3,Base!$B$3:$B$5001,$A$41)))</f>
        <v>739</v>
      </c>
      <c r="AB46" s="52">
        <f>IF(AB$3="","",IF(COUNTIFS(Base!$A$3:$A$5001,AB$3,Base!$B$3:$B$5001,$A$41,Base!$Q$3:$Q$5001,"&lt;&gt;")=0,"",SUMIFS(Base!$Q$3:$Q$5001,Base!$A$3:$A$5001,AB$3,Base!$B$3:$B$5001,$A$41)))</f>
        <v>787</v>
      </c>
      <c r="AC46" s="52">
        <f>IF(AC$3="","",IF(COUNTIFS(Base!$A$3:$A$5001,AC$3,Base!$B$3:$B$5001,$A$41,Base!$Q$3:$Q$5001,"&lt;&gt;")=0,"",SUMIFS(Base!$Q$3:$Q$5001,Base!$A$3:$A$5001,AC$3,Base!$B$3:$B$5001,$A$41)))</f>
        <v>891</v>
      </c>
      <c r="AD46" s="52">
        <f>IF(AD$3="","",IF(COUNTIFS(Base!$A$3:$A$5001,AD$3,Base!$B$3:$B$5001,$A$41,Base!$Q$3:$Q$5001,"&lt;&gt;")=0,"",SUMIFS(Base!$Q$3:$Q$5001,Base!$A$3:$A$5001,AD$3,Base!$B$3:$B$5001,$A$41)))</f>
        <v>1136</v>
      </c>
      <c r="AE46" s="52">
        <f>IF(AE$3="","",IF(COUNTIFS(Base!$A$3:$A$5001,AE$3,Base!$B$3:$B$5001,$A$41,Base!$Q$3:$Q$5001,"&lt;&gt;")=0,"",SUMIFS(Base!$Q$3:$Q$5001,Base!$A$3:$A$5001,AE$3,Base!$B$3:$B$5001,$A$41)))</f>
        <v>496</v>
      </c>
      <c r="AF46" s="52" t="str">
        <f>IF(AF$3="","",IF(COUNTIFS(Base!$A$3:$A$5001,AF$3,Base!$B$3:$B$5001,$A$41,Base!$Q$3:$Q$5001,"&lt;&gt;")=0,"",SUMIFS(Base!$Q$3:$Q$5001,Base!$A$3:$A$5001,AF$3,Base!$B$3:$B$5001,$A$41)))</f>
        <v/>
      </c>
      <c r="AG46" s="52">
        <f>IF(AG$3="","",IF(COUNTIFS(Base!$A$3:$A$5001,AG$3,Base!$B$3:$B$5001,$A$41,Base!$Q$3:$Q$5001,"&lt;&gt;")=0,"",SUMIFS(Base!$Q$3:$Q$5001,Base!$A$3:$A$5001,AG$3,Base!$B$3:$B$5001,$A$41)))</f>
        <v>1197</v>
      </c>
      <c r="AH46" s="52">
        <f>IF(AH$3="","",IF(COUNTIFS(Base!$A$3:$A$5001,AH$3,Base!$B$3:$B$5001,$A$41,Base!$Q$3:$Q$5001,"&lt;&gt;")=0,"",SUMIFS(Base!$Q$3:$Q$5001,Base!$A$3:$A$5001,AH$3,Base!$B$3:$B$5001,$A$41)))</f>
        <v>1165</v>
      </c>
      <c r="AI46" s="52" t="str">
        <f>IF(AI$3="","",IF(COUNTIFS(Base!$A$3:$A$5001,AI$3,Base!$B$3:$B$5001,$A$41,Base!$Q$3:$Q$5001,"&lt;&gt;")=0,"",SUMIFS(Base!$Q$3:$Q$5001,Base!$A$3:$A$5001,AI$3,Base!$B$3:$B$5001,$A$41)))</f>
        <v/>
      </c>
      <c r="AJ46" s="53" t="str">
        <f>IF(AJ$3="","",IF(COUNTIFS(Base!$A$3:$A$5001,AJ$3,Base!$B$3:$B$5001,$A$41,Base!$Q$3:$Q$5001,"&lt;&gt;")=0,"",SUMIFS(Base!$Q$3:$Q$5001,Base!$A$3:$A$5001,AJ$3,Base!$B$3:$B$5001,$A$41)))</f>
        <v/>
      </c>
      <c r="AK46" s="54">
        <f>IF(COUNT(F46:AJ46)=0,"",SUM(F46:AJ46))</f>
        <v>18637</v>
      </c>
    </row>
    <row r="47" ht="15.75" customHeight="1">
      <c r="A47" s="118"/>
      <c r="B47" s="109"/>
      <c r="C47" s="48" t="inlineStr">
        <is>
          <t xml:space="preserve">Itens Expedidos</t>
        </is>
      </c>
      <c r="D47" s="49" t="str">
        <f>IFERROR(1/(1/INDEX(calculos!$C$55:$K$83,MATCH("OUT Itens Expedidos",calculos!$A$55:$A$83,0),MATCH($A$41,calculos!$C$54:$K$54,0))),"")</f>
        <v/>
      </c>
      <c r="E47" s="50"/>
      <c r="F47" s="51">
        <f>IF(F$3="","",IF(COUNTIFS(Base!$A$3:$A$5001,F$3,Base!$B$3:$B$5001,$A$41,Base!$R$3:$R$5001,"&lt;&gt;")=0,"",SUMIFS(Base!$R$3:$R$5001,Base!$A$3:$A$5001,F$3,Base!$B$3:$B$5001,$A$41)))</f>
        <v>5167</v>
      </c>
      <c r="G47" s="52">
        <f>IF(G$3="","",IF(COUNTIFS(Base!$A$3:$A$5001,G$3,Base!$B$3:$B$5001,$A$41,Base!$R$3:$R$5001,"&lt;&gt;")=0,"",SUMIFS(Base!$R$3:$R$5001,Base!$A$3:$A$5001,G$3,Base!$B$3:$B$5001,$A$41)))</f>
        <v>4213</v>
      </c>
      <c r="H47" s="52">
        <f>IF(H$3="","",IF(COUNTIFS(Base!$A$3:$A$5001,H$3,Base!$B$3:$B$5001,$A$41,Base!$R$3:$R$5001,"&lt;&gt;")=0,"",SUMIFS(Base!$R$3:$R$5001,Base!$A$3:$A$5001,H$3,Base!$B$3:$B$5001,$A$41)))</f>
        <v>3197</v>
      </c>
      <c r="I47" s="52">
        <f>IF(I$3="","",IF(COUNTIFS(Base!$A$3:$A$5001,I$3,Base!$B$3:$B$5001,$A$41,Base!$R$3:$R$5001,"&lt;&gt;")=0,"",SUMIFS(Base!$R$3:$R$5001,Base!$A$3:$A$5001,I$3,Base!$B$3:$B$5001,$A$41)))</f>
        <v>3181</v>
      </c>
      <c r="J47" s="52">
        <f>IF(J$3="","",IF(COUNTIFS(Base!$A$3:$A$5001,J$3,Base!$B$3:$B$5001,$A$41,Base!$R$3:$R$5001,"&lt;&gt;")=0,"",SUMIFS(Base!$R$3:$R$5001,Base!$A$3:$A$5001,J$3,Base!$B$3:$B$5001,$A$41)))</f>
        <v>8485</v>
      </c>
      <c r="K47" s="52" t="str">
        <f>IF(K$3="","",IF(COUNTIFS(Base!$A$3:$A$5001,K$3,Base!$B$3:$B$5001,$A$41,Base!$R$3:$R$5001,"&lt;&gt;")=0,"",SUMIFS(Base!$R$3:$R$5001,Base!$A$3:$A$5001,K$3,Base!$B$3:$B$5001,$A$41)))</f>
        <v/>
      </c>
      <c r="L47" s="52">
        <f>IF(L$3="","",IF(COUNTIFS(Base!$A$3:$A$5001,L$3,Base!$B$3:$B$5001,$A$41,Base!$R$3:$R$5001,"&lt;&gt;")=0,"",SUMIFS(Base!$R$3:$R$5001,Base!$A$3:$A$5001,L$3,Base!$B$3:$B$5001,$A$41)))</f>
        <v>5411</v>
      </c>
      <c r="M47" s="52">
        <f>IF(M$3="","",IF(COUNTIFS(Base!$A$3:$A$5001,M$3,Base!$B$3:$B$5001,$A$41,Base!$R$3:$R$5001,"&lt;&gt;")=0,"",SUMIFS(Base!$R$3:$R$5001,Base!$A$3:$A$5001,M$3,Base!$B$3:$B$5001,$A$41)))</f>
        <v>3417</v>
      </c>
      <c r="N47" s="52">
        <f>IF(N$3="","",IF(COUNTIFS(Base!$A$3:$A$5001,N$3,Base!$B$3:$B$5001,$A$41,Base!$R$3:$R$5001,"&lt;&gt;")=0,"",SUMIFS(Base!$R$3:$R$5001,Base!$A$3:$A$5001,N$3,Base!$B$3:$B$5001,$A$41)))</f>
        <v>6254</v>
      </c>
      <c r="O47" s="52">
        <f>IF(O$3="","",IF(COUNTIFS(Base!$A$3:$A$5001,O$3,Base!$B$3:$B$5001,$A$41,Base!$R$3:$R$5001,"&lt;&gt;")=0,"",SUMIFS(Base!$R$3:$R$5001,Base!$A$3:$A$5001,O$3,Base!$B$3:$B$5001,$A$41)))</f>
        <v>3883</v>
      </c>
      <c r="P47" s="52">
        <f>IF(P$3="","",IF(COUNTIFS(Base!$A$3:$A$5001,P$3,Base!$B$3:$B$5001,$A$41,Base!$R$3:$R$5001,"&lt;&gt;")=0,"",SUMIFS(Base!$R$3:$R$5001,Base!$A$3:$A$5001,P$3,Base!$B$3:$B$5001,$A$41)))</f>
        <v>8662</v>
      </c>
      <c r="Q47" s="52">
        <f>IF(Q$3="","",IF(COUNTIFS(Base!$A$3:$A$5001,Q$3,Base!$B$3:$B$5001,$A$41,Base!$R$3:$R$5001,"&lt;&gt;")=0,"",SUMIFS(Base!$R$3:$R$5001,Base!$A$3:$A$5001,Q$3,Base!$B$3:$B$5001,$A$41)))</f>
        <v>3568</v>
      </c>
      <c r="R47" s="52" t="str">
        <f>IF(R$3="","",IF(COUNTIFS(Base!$A$3:$A$5001,R$3,Base!$B$3:$B$5001,$A$41,Base!$R$3:$R$5001,"&lt;&gt;")=0,"",SUMIFS(Base!$R$3:$R$5001,Base!$A$3:$A$5001,R$3,Base!$B$3:$B$5001,$A$41)))</f>
        <v/>
      </c>
      <c r="S47" s="52">
        <f>IF(S$3="","",IF(COUNTIFS(Base!$A$3:$A$5001,S$3,Base!$B$3:$B$5001,$A$41,Base!$R$3:$R$5001,"&lt;&gt;")=0,"",SUMIFS(Base!$R$3:$R$5001,Base!$A$3:$A$5001,S$3,Base!$B$3:$B$5001,$A$41)))</f>
        <v>3424</v>
      </c>
      <c r="T47" s="52">
        <f>IF(T$3="","",IF(COUNTIFS(Base!$A$3:$A$5001,T$3,Base!$B$3:$B$5001,$A$41,Base!$R$3:$R$5001,"&lt;&gt;")=0,"",SUMIFS(Base!$R$3:$R$5001,Base!$A$3:$A$5001,T$3,Base!$B$3:$B$5001,$A$41)))</f>
        <v>3650</v>
      </c>
      <c r="U47" s="52">
        <f>IF(U$3="","",IF(COUNTIFS(Base!$A$3:$A$5001,U$3,Base!$B$3:$B$5001,$A$41,Base!$R$3:$R$5001,"&lt;&gt;")=0,"",SUMIFS(Base!$R$3:$R$5001,Base!$A$3:$A$5001,U$3,Base!$B$3:$B$5001,$A$41)))</f>
        <v>2667</v>
      </c>
      <c r="V47" s="52">
        <f>IF(V$3="","",IF(COUNTIFS(Base!$A$3:$A$5001,V$3,Base!$B$3:$B$5001,$A$41,Base!$R$3:$R$5001,"&lt;&gt;")=0,"",SUMIFS(Base!$R$3:$R$5001,Base!$A$3:$A$5001,V$3,Base!$B$3:$B$5001,$A$41)))</f>
        <v>3855</v>
      </c>
      <c r="W47" s="52">
        <f>IF(W$3="","",IF(COUNTIFS(Base!$A$3:$A$5001,W$3,Base!$B$3:$B$5001,$A$41,Base!$R$3:$R$5001,"&lt;&gt;")=0,"",SUMIFS(Base!$R$3:$R$5001,Base!$A$3:$A$5001,W$3,Base!$B$3:$B$5001,$A$41)))</f>
        <v>6567</v>
      </c>
      <c r="X47" s="52">
        <f>IF(X$3="","",IF(COUNTIFS(Base!$A$3:$A$5001,X$3,Base!$B$3:$B$5001,$A$41,Base!$R$3:$R$5001,"&lt;&gt;")=0,"",SUMIFS(Base!$R$3:$R$5001,Base!$A$3:$A$5001,X$3,Base!$B$3:$B$5001,$A$41)))</f>
        <v>7730</v>
      </c>
      <c r="Y47" s="52" t="str">
        <f>IF(Y$3="","",IF(COUNTIFS(Base!$A$3:$A$5001,Y$3,Base!$B$3:$B$5001,$A$41,Base!$R$3:$R$5001,"&lt;&gt;")=0,"",SUMIFS(Base!$R$3:$R$5001,Base!$A$3:$A$5001,Y$3,Base!$B$3:$B$5001,$A$41)))</f>
        <v/>
      </c>
      <c r="Z47" s="52">
        <f>IF(Z$3="","",IF(COUNTIFS(Base!$A$3:$A$5001,Z$3,Base!$B$3:$B$5001,$A$41,Base!$R$3:$R$5001,"&lt;&gt;")=0,"",SUMIFS(Base!$R$3:$R$5001,Base!$A$3:$A$5001,Z$3,Base!$B$3:$B$5001,$A$41)))</f>
        <v>3742</v>
      </c>
      <c r="AA47" s="52">
        <f>IF(AA$3="","",IF(COUNTIFS(Base!$A$3:$A$5001,AA$3,Base!$B$3:$B$5001,$A$41,Base!$R$3:$R$5001,"&lt;&gt;")=0,"",SUMIFS(Base!$R$3:$R$5001,Base!$A$3:$A$5001,AA$3,Base!$B$3:$B$5001,$A$41)))</f>
        <v>8821</v>
      </c>
      <c r="AB47" s="52">
        <f>IF(AB$3="","",IF(COUNTIFS(Base!$A$3:$A$5001,AB$3,Base!$B$3:$B$5001,$A$41,Base!$R$3:$R$5001,"&lt;&gt;")=0,"",SUMIFS(Base!$R$3:$R$5001,Base!$A$3:$A$5001,AB$3,Base!$B$3:$B$5001,$A$41)))</f>
        <v>8974</v>
      </c>
      <c r="AC47" s="52">
        <f>IF(AC$3="","",IF(COUNTIFS(Base!$A$3:$A$5001,AC$3,Base!$B$3:$B$5001,$A$41,Base!$R$3:$R$5001,"&lt;&gt;")=0,"",SUMIFS(Base!$R$3:$R$5001,Base!$A$3:$A$5001,AC$3,Base!$B$3:$B$5001,$A$41)))</f>
        <v>4444</v>
      </c>
      <c r="AD47" s="52">
        <f>IF(AD$3="","",IF(COUNTIFS(Base!$A$3:$A$5001,AD$3,Base!$B$3:$B$5001,$A$41,Base!$R$3:$R$5001,"&lt;&gt;")=0,"",SUMIFS(Base!$R$3:$R$5001,Base!$A$3:$A$5001,AD$3,Base!$B$3:$B$5001,$A$41)))</f>
        <v>5932</v>
      </c>
      <c r="AE47" s="52">
        <f>IF(AE$3="","",IF(COUNTIFS(Base!$A$3:$A$5001,AE$3,Base!$B$3:$B$5001,$A$41,Base!$R$3:$R$5001,"&lt;&gt;")=0,"",SUMIFS(Base!$R$3:$R$5001,Base!$A$3:$A$5001,AE$3,Base!$B$3:$B$5001,$A$41)))</f>
        <v>3907</v>
      </c>
      <c r="AF47" s="52" t="str">
        <f>IF(AF$3="","",IF(COUNTIFS(Base!$A$3:$A$5001,AF$3,Base!$B$3:$B$5001,$A$41,Base!$R$3:$R$5001,"&lt;&gt;")=0,"",SUMIFS(Base!$R$3:$R$5001,Base!$A$3:$A$5001,AF$3,Base!$B$3:$B$5001,$A$41)))</f>
        <v/>
      </c>
      <c r="AG47" s="52">
        <f>IF(AG$3="","",IF(COUNTIFS(Base!$A$3:$A$5001,AG$3,Base!$B$3:$B$5001,$A$41,Base!$R$3:$R$5001,"&lt;&gt;")=0,"",SUMIFS(Base!$R$3:$R$5001,Base!$A$3:$A$5001,AG$3,Base!$B$3:$B$5001,$A$41)))</f>
        <v>2282</v>
      </c>
      <c r="AH47" s="52">
        <f>IF(AH$3="","",IF(COUNTIFS(Base!$A$3:$A$5001,AH$3,Base!$B$3:$B$5001,$A$41,Base!$R$3:$R$5001,"&lt;&gt;")=0,"",SUMIFS(Base!$R$3:$R$5001,Base!$A$3:$A$5001,AH$3,Base!$B$3:$B$5001,$A$41)))</f>
        <v>6949</v>
      </c>
      <c r="AI47" s="52" t="str">
        <f>IF(AI$3="","",IF(COUNTIFS(Base!$A$3:$A$5001,AI$3,Base!$B$3:$B$5001,$A$41,Base!$R$3:$R$5001,"&lt;&gt;")=0,"",SUMIFS(Base!$R$3:$R$5001,Base!$A$3:$A$5001,AI$3,Base!$B$3:$B$5001,$A$41)))</f>
        <v/>
      </c>
      <c r="AJ47" s="53" t="str">
        <f>IF(AJ$3="","",IF(COUNTIFS(Base!$A$3:$A$5001,AJ$3,Base!$B$3:$B$5001,$A$41,Base!$R$3:$R$5001,"&lt;&gt;")=0,"",SUMIFS(Base!$R$3:$R$5001,Base!$A$3:$A$5001,AJ$3,Base!$B$3:$B$5001,$A$41)))</f>
        <v/>
      </c>
      <c r="AK47" s="54">
        <f>IF(COUNT(F47:AJ47)=0,"",SUM(F47:AJ47))</f>
        <v>128382</v>
      </c>
    </row>
    <row r="48" ht="15.75" customHeight="1">
      <c r="A48" s="118"/>
      <c r="B48" s="110"/>
      <c r="C48" s="55" t="inlineStr">
        <is>
          <t xml:space="preserve">Pallets Movimentados</t>
        </is>
      </c>
      <c r="D48" s="473" t="str">
        <f>IFERROR(1/(1/INDEX(calculos!$C$55:$K$83,MATCH("OUT Pallets Movimentados",calculos!$A$55:$A$83,0),MATCH($A$41,calculos!$C$54:$K$54,0))),"")</f>
        <v/>
      </c>
      <c r="E48" s="57"/>
      <c r="F48" s="474">
        <f>IF(F$3="","",IF(COUNTIFS(Base!$A$3:$A$5001,F$3,Base!$B$3:$B$5001,$A$41,Base!$M$3:$M$5001,"&lt;&gt;")=0,"",SUMIFS(Base!$M$3:$M$5001,Base!$A$3:$A$5001,F$3,Base!$B$3:$B$5001,$A$41)))</f>
        <v>22</v>
      </c>
      <c r="G48" s="475">
        <f>IF(G$3="","",IF(COUNTIFS(Base!$A$3:$A$5001,G$3,Base!$B$3:$B$5001,$A$41,Base!$M$3:$M$5001,"&lt;&gt;")=0,"",SUMIFS(Base!$M$3:$M$5001,Base!$A$3:$A$5001,G$3,Base!$B$3:$B$5001,$A$41)))</f>
        <v>64</v>
      </c>
      <c r="H48" s="475">
        <f>IF(H$3="","",IF(COUNTIFS(Base!$A$3:$A$5001,H$3,Base!$B$3:$B$5001,$A$41,Base!$M$3:$M$5001,"&lt;&gt;")=0,"",SUMIFS(Base!$M$3:$M$5001,Base!$A$3:$A$5001,H$3,Base!$B$3:$B$5001,$A$41)))</f>
        <v>141</v>
      </c>
      <c r="I48" s="475">
        <f>IF(I$3="","",IF(COUNTIFS(Base!$A$3:$A$5001,I$3,Base!$B$3:$B$5001,$A$41,Base!$M$3:$M$5001,"&lt;&gt;")=0,"",SUMIFS(Base!$M$3:$M$5001,Base!$A$3:$A$5001,I$3,Base!$B$3:$B$5001,$A$41)))</f>
        <v>123</v>
      </c>
      <c r="J48" s="475">
        <f>IF(J$3="","",IF(COUNTIFS(Base!$A$3:$A$5001,J$3,Base!$B$3:$B$5001,$A$41,Base!$M$3:$M$5001,"&lt;&gt;")=0,"",SUMIFS(Base!$M$3:$M$5001,Base!$A$3:$A$5001,J$3,Base!$B$3:$B$5001,$A$41)))</f>
        <v>92</v>
      </c>
      <c r="K48" s="475" t="str">
        <f>IF(K$3="","",IF(COUNTIFS(Base!$A$3:$A$5001,K$3,Base!$B$3:$B$5001,$A$41,Base!$M$3:$M$5001,"&lt;&gt;")=0,"",SUMIFS(Base!$M$3:$M$5001,Base!$A$3:$A$5001,K$3,Base!$B$3:$B$5001,$A$41)))</f>
        <v/>
      </c>
      <c r="L48" s="475">
        <f>IF(L$3="","",IF(COUNTIFS(Base!$A$3:$A$5001,L$3,Base!$B$3:$B$5001,$A$41,Base!$M$3:$M$5001,"&lt;&gt;")=0,"",SUMIFS(Base!$M$3:$M$5001,Base!$A$3:$A$5001,L$3,Base!$B$3:$B$5001,$A$41)))</f>
        <v>91</v>
      </c>
      <c r="M48" s="475">
        <f>IF(M$3="","",IF(COUNTIFS(Base!$A$3:$A$5001,M$3,Base!$B$3:$B$5001,$A$41,Base!$M$3:$M$5001,"&lt;&gt;")=0,"",SUMIFS(Base!$M$3:$M$5001,Base!$A$3:$A$5001,M$3,Base!$B$3:$B$5001,$A$41)))</f>
        <v>53</v>
      </c>
      <c r="N48" s="475">
        <f>IF(N$3="","",IF(COUNTIFS(Base!$A$3:$A$5001,N$3,Base!$B$3:$B$5001,$A$41,Base!$M$3:$M$5001,"&lt;&gt;")=0,"",SUMIFS(Base!$M$3:$M$5001,Base!$A$3:$A$5001,N$3,Base!$B$3:$B$5001,$A$41)))</f>
        <v>53</v>
      </c>
      <c r="O48" s="475">
        <f>IF(O$3="","",IF(COUNTIFS(Base!$A$3:$A$5001,O$3,Base!$B$3:$B$5001,$A$41,Base!$M$3:$M$5001,"&lt;&gt;")=0,"",SUMIFS(Base!$M$3:$M$5001,Base!$A$3:$A$5001,O$3,Base!$B$3:$B$5001,$A$41)))</f>
        <v>143</v>
      </c>
      <c r="P48" s="475">
        <f>IF(P$3="","",IF(COUNTIFS(Base!$A$3:$A$5001,P$3,Base!$B$3:$B$5001,$A$41,Base!$M$3:$M$5001,"&lt;&gt;")=0,"",SUMIFS(Base!$M$3:$M$5001,Base!$A$3:$A$5001,P$3,Base!$B$3:$B$5001,$A$41)))</f>
        <v>91</v>
      </c>
      <c r="Q48" s="475">
        <f>IF(Q$3="","",IF(COUNTIFS(Base!$A$3:$A$5001,Q$3,Base!$B$3:$B$5001,$A$41,Base!$M$3:$M$5001,"&lt;&gt;")=0,"",SUMIFS(Base!$M$3:$M$5001,Base!$A$3:$A$5001,Q$3,Base!$B$3:$B$5001,$A$41)))</f>
        <v>66</v>
      </c>
      <c r="R48" s="475" t="str">
        <f>IF(R$3="","",IF(COUNTIFS(Base!$A$3:$A$5001,R$3,Base!$B$3:$B$5001,$A$41,Base!$M$3:$M$5001,"&lt;&gt;")=0,"",SUMIFS(Base!$M$3:$M$5001,Base!$A$3:$A$5001,R$3,Base!$B$3:$B$5001,$A$41)))</f>
        <v/>
      </c>
      <c r="S48" s="475">
        <f>IF(S$3="","",IF(COUNTIFS(Base!$A$3:$A$5001,S$3,Base!$B$3:$B$5001,$A$41,Base!$M$3:$M$5001,"&lt;&gt;")=0,"",SUMIFS(Base!$M$3:$M$5001,Base!$A$3:$A$5001,S$3,Base!$B$3:$B$5001,$A$41)))</f>
        <v>122</v>
      </c>
      <c r="T48" s="475">
        <f>IF(T$3="","",IF(COUNTIFS(Base!$A$3:$A$5001,T$3,Base!$B$3:$B$5001,$A$41,Base!$M$3:$M$5001,"&lt;&gt;")=0,"",SUMIFS(Base!$M$3:$M$5001,Base!$A$3:$A$5001,T$3,Base!$B$3:$B$5001,$A$41)))</f>
        <v>34</v>
      </c>
      <c r="U48" s="475">
        <f>IF(U$3="","",IF(COUNTIFS(Base!$A$3:$A$5001,U$3,Base!$B$3:$B$5001,$A$41,Base!$M$3:$M$5001,"&lt;&gt;")=0,"",SUMIFS(Base!$M$3:$M$5001,Base!$A$3:$A$5001,U$3,Base!$B$3:$B$5001,$A$41)))</f>
        <v>29</v>
      </c>
      <c r="V48" s="475">
        <f>IF(V$3="","",IF(COUNTIFS(Base!$A$3:$A$5001,V$3,Base!$B$3:$B$5001,$A$41,Base!$M$3:$M$5001,"&lt;&gt;")=0,"",SUMIFS(Base!$M$3:$M$5001,Base!$A$3:$A$5001,V$3,Base!$B$3:$B$5001,$A$41)))</f>
        <v>156</v>
      </c>
      <c r="W48" s="475">
        <f>IF(W$3="","",IF(COUNTIFS(Base!$A$3:$A$5001,W$3,Base!$B$3:$B$5001,$A$41,Base!$M$3:$M$5001,"&lt;&gt;")=0,"",SUMIFS(Base!$M$3:$M$5001,Base!$A$3:$A$5001,W$3,Base!$B$3:$B$5001,$A$41)))</f>
        <v>89</v>
      </c>
      <c r="X48" s="475">
        <f>IF(X$3="","",IF(COUNTIFS(Base!$A$3:$A$5001,X$3,Base!$B$3:$B$5001,$A$41,Base!$M$3:$M$5001,"&lt;&gt;")=0,"",SUMIFS(Base!$M$3:$M$5001,Base!$A$3:$A$5001,X$3,Base!$B$3:$B$5001,$A$41)))</f>
        <v>97</v>
      </c>
      <c r="Y48" s="475" t="str">
        <f>IF(Y$3="","",IF(COUNTIFS(Base!$A$3:$A$5001,Y$3,Base!$B$3:$B$5001,$A$41,Base!$M$3:$M$5001,"&lt;&gt;")=0,"",SUMIFS(Base!$M$3:$M$5001,Base!$A$3:$A$5001,Y$3,Base!$B$3:$B$5001,$A$41)))</f>
        <v/>
      </c>
      <c r="Z48" s="475">
        <f>IF(Z$3="","",IF(COUNTIFS(Base!$A$3:$A$5001,Z$3,Base!$B$3:$B$5001,$A$41,Base!$M$3:$M$5001,"&lt;&gt;")=0,"",SUMIFS(Base!$M$3:$M$5001,Base!$A$3:$A$5001,Z$3,Base!$B$3:$B$5001,$A$41)))</f>
        <v>129</v>
      </c>
      <c r="AA48" s="475">
        <f>IF(AA$3="","",IF(COUNTIFS(Base!$A$3:$A$5001,AA$3,Base!$B$3:$B$5001,$A$41,Base!$M$3:$M$5001,"&lt;&gt;")=0,"",SUMIFS(Base!$M$3:$M$5001,Base!$A$3:$A$5001,AA$3,Base!$B$3:$B$5001,$A$41)))</f>
        <v>60</v>
      </c>
      <c r="AB48" s="475">
        <f>IF(AB$3="","",IF(COUNTIFS(Base!$A$3:$A$5001,AB$3,Base!$B$3:$B$5001,$A$41,Base!$M$3:$M$5001,"&lt;&gt;")=0,"",SUMIFS(Base!$M$3:$M$5001,Base!$A$3:$A$5001,AB$3,Base!$B$3:$B$5001,$A$41)))</f>
        <v>48</v>
      </c>
      <c r="AC48" s="475">
        <f>IF(AC$3="","",IF(COUNTIFS(Base!$A$3:$A$5001,AC$3,Base!$B$3:$B$5001,$A$41,Base!$M$3:$M$5001,"&lt;&gt;")=0,"",SUMIFS(Base!$M$3:$M$5001,Base!$A$3:$A$5001,AC$3,Base!$B$3:$B$5001,$A$41)))</f>
        <v>40</v>
      </c>
      <c r="AD48" s="475">
        <f>IF(AD$3="","",IF(COUNTIFS(Base!$A$3:$A$5001,AD$3,Base!$B$3:$B$5001,$A$41,Base!$M$3:$M$5001,"&lt;&gt;")=0,"",SUMIFS(Base!$M$3:$M$5001,Base!$A$3:$A$5001,AD$3,Base!$B$3:$B$5001,$A$41)))</f>
        <v>95</v>
      </c>
      <c r="AE48" s="475">
        <f>IF(AE$3="","",IF(COUNTIFS(Base!$A$3:$A$5001,AE$3,Base!$B$3:$B$5001,$A$41,Base!$M$3:$M$5001,"&lt;&gt;")=0,"",SUMIFS(Base!$M$3:$M$5001,Base!$A$3:$A$5001,AE$3,Base!$B$3:$B$5001,$A$41)))</f>
        <v>47</v>
      </c>
      <c r="AF48" s="475" t="str">
        <f>IF(AF$3="","",IF(COUNTIFS(Base!$A$3:$A$5001,AF$3,Base!$B$3:$B$5001,$A$41,Base!$M$3:$M$5001,"&lt;&gt;")=0,"",SUMIFS(Base!$M$3:$M$5001,Base!$A$3:$A$5001,AF$3,Base!$B$3:$B$5001,$A$41)))</f>
        <v/>
      </c>
      <c r="AG48" s="475">
        <f>IF(AG$3="","",IF(COUNTIFS(Base!$A$3:$A$5001,AG$3,Base!$B$3:$B$5001,$A$41,Base!$M$3:$M$5001,"&lt;&gt;")=0,"",SUMIFS(Base!$M$3:$M$5001,Base!$A$3:$A$5001,AG$3,Base!$B$3:$B$5001,$A$41)))</f>
        <v>153</v>
      </c>
      <c r="AH48" s="475">
        <f>IF(AH$3="","",IF(COUNTIFS(Base!$A$3:$A$5001,AH$3,Base!$B$3:$B$5001,$A$41,Base!$M$3:$M$5001,"&lt;&gt;")=0,"",SUMIFS(Base!$M$3:$M$5001,Base!$A$3:$A$5001,AH$3,Base!$B$3:$B$5001,$A$41)))</f>
        <v>29</v>
      </c>
      <c r="AI48" s="475" t="str">
        <f>IF(AI$3="","",IF(COUNTIFS(Base!$A$3:$A$5001,AI$3,Base!$B$3:$B$5001,$A$41,Base!$M$3:$M$5001,"&lt;&gt;")=0,"",SUMIFS(Base!$M$3:$M$5001,Base!$A$3:$A$5001,AI$3,Base!$B$3:$B$5001,$A$41)))</f>
        <v/>
      </c>
      <c r="AJ48" s="476" t="str">
        <f>IF(AJ$3="","",IF(COUNTIFS(Base!$A$3:$A$5001,AJ$3,Base!$B$3:$B$5001,$A$41,Base!$M$3:$M$5001,"&lt;&gt;")=0,"",SUMIFS(Base!$M$3:$M$5001,Base!$A$3:$A$5001,AJ$3,Base!$B$3:$B$5001,$A$41)))</f>
        <v/>
      </c>
      <c r="AK48" s="473">
        <f>IF(COUNT(F48:AJ48)=0,"",SUM(F48:AJ48))</f>
        <v>2067</v>
      </c>
    </row>
    <row r="49" ht="15.75" customHeight="1">
      <c r="A49" s="118"/>
      <c r="B49" s="111" t="inlineStr">
        <is>
          <t xml:space="preserve">NC</t>
        </is>
      </c>
      <c r="C49" s="61" t="inlineStr">
        <is>
          <t xml:space="preserve">Incidentes</t>
        </is>
      </c>
      <c r="D49" s="62" t="str">
        <f>IFERROR(1/(1/INDEX(calculos!$C$55:$K$83,MATCH("NC Incidentes",calculos!$A$55:$A$83,0),MATCH($A$41,calculos!$C$54:$K$54,0))),"")</f>
        <v/>
      </c>
      <c r="E49" s="63"/>
      <c r="F49" s="64">
        <f>IF(F$3="","",IF(COUNTIFS(Base!$A$3:$A$5001,F$3,Base!$B$3:$B$5001,$A$41,Base!$U$3:$U$5001,"&lt;&gt;")=0,"",SUMIFS(Base!$U$3:$U$5001,Base!$A$3:$A$5001,F$3,Base!$B$3:$B$5001,$A$41)))</f>
        <v>0</v>
      </c>
      <c r="G49" s="65">
        <f>IF(G$3="","",IF(COUNTIFS(Base!$A$3:$A$5001,G$3,Base!$B$3:$B$5001,$A$41,Base!$U$3:$U$5001,"&lt;&gt;")=0,"",SUMIFS(Base!$U$3:$U$5001,Base!$A$3:$A$5001,G$3,Base!$B$3:$B$5001,$A$41)))</f>
        <v>0</v>
      </c>
      <c r="H49" s="65">
        <f>IF(H$3="","",IF(COUNTIFS(Base!$A$3:$A$5001,H$3,Base!$B$3:$B$5001,$A$41,Base!$U$3:$U$5001,"&lt;&gt;")=0,"",SUMIFS(Base!$U$3:$U$5001,Base!$A$3:$A$5001,H$3,Base!$B$3:$B$5001,$A$41)))</f>
        <v>0</v>
      </c>
      <c r="I49" s="65">
        <f>IF(I$3="","",IF(COUNTIFS(Base!$A$3:$A$5001,I$3,Base!$B$3:$B$5001,$A$41,Base!$U$3:$U$5001,"&lt;&gt;")=0,"",SUMIFS(Base!$U$3:$U$5001,Base!$A$3:$A$5001,I$3,Base!$B$3:$B$5001,$A$41)))</f>
        <v>0</v>
      </c>
      <c r="J49" s="65">
        <f>IF(J$3="","",IF(COUNTIFS(Base!$A$3:$A$5001,J$3,Base!$B$3:$B$5001,$A$41,Base!$U$3:$U$5001,"&lt;&gt;")=0,"",SUMIFS(Base!$U$3:$U$5001,Base!$A$3:$A$5001,J$3,Base!$B$3:$B$5001,$A$41)))</f>
        <v>0</v>
      </c>
      <c r="K49" s="65" t="str">
        <f>IF(K$3="","",IF(COUNTIFS(Base!$A$3:$A$5001,K$3,Base!$B$3:$B$5001,$A$41,Base!$U$3:$U$5001,"&lt;&gt;")=0,"",SUMIFS(Base!$U$3:$U$5001,Base!$A$3:$A$5001,K$3,Base!$B$3:$B$5001,$A$41)))</f>
        <v/>
      </c>
      <c r="L49" s="65">
        <f>IF(L$3="","",IF(COUNTIFS(Base!$A$3:$A$5001,L$3,Base!$B$3:$B$5001,$A$41,Base!$U$3:$U$5001,"&lt;&gt;")=0,"",SUMIFS(Base!$U$3:$U$5001,Base!$A$3:$A$5001,L$3,Base!$B$3:$B$5001,$A$41)))</f>
        <v>0</v>
      </c>
      <c r="M49" s="65">
        <f>IF(M$3="","",IF(COUNTIFS(Base!$A$3:$A$5001,M$3,Base!$B$3:$B$5001,$A$41,Base!$U$3:$U$5001,"&lt;&gt;")=0,"",SUMIFS(Base!$U$3:$U$5001,Base!$A$3:$A$5001,M$3,Base!$B$3:$B$5001,$A$41)))</f>
        <v>0</v>
      </c>
      <c r="N49" s="65">
        <f>IF(N$3="","",IF(COUNTIFS(Base!$A$3:$A$5001,N$3,Base!$B$3:$B$5001,$A$41,Base!$U$3:$U$5001,"&lt;&gt;")=0,"",SUMIFS(Base!$U$3:$U$5001,Base!$A$3:$A$5001,N$3,Base!$B$3:$B$5001,$A$41)))</f>
        <v>0</v>
      </c>
      <c r="O49" s="65">
        <f>IF(O$3="","",IF(COUNTIFS(Base!$A$3:$A$5001,O$3,Base!$B$3:$B$5001,$A$41,Base!$U$3:$U$5001,"&lt;&gt;")=0,"",SUMIFS(Base!$U$3:$U$5001,Base!$A$3:$A$5001,O$3,Base!$B$3:$B$5001,$A$41)))</f>
        <v>0</v>
      </c>
      <c r="P49" s="65">
        <f>IF(P$3="","",IF(COUNTIFS(Base!$A$3:$A$5001,P$3,Base!$B$3:$B$5001,$A$41,Base!$U$3:$U$5001,"&lt;&gt;")=0,"",SUMIFS(Base!$U$3:$U$5001,Base!$A$3:$A$5001,P$3,Base!$B$3:$B$5001,$A$41)))</f>
        <v>0</v>
      </c>
      <c r="Q49" s="65">
        <f>IF(Q$3="","",IF(COUNTIFS(Base!$A$3:$A$5001,Q$3,Base!$B$3:$B$5001,$A$41,Base!$U$3:$U$5001,"&lt;&gt;")=0,"",SUMIFS(Base!$U$3:$U$5001,Base!$A$3:$A$5001,Q$3,Base!$B$3:$B$5001,$A$41)))</f>
        <v>0</v>
      </c>
      <c r="R49" s="65" t="str">
        <f>IF(R$3="","",IF(COUNTIFS(Base!$A$3:$A$5001,R$3,Base!$B$3:$B$5001,$A$41,Base!$U$3:$U$5001,"&lt;&gt;")=0,"",SUMIFS(Base!$U$3:$U$5001,Base!$A$3:$A$5001,R$3,Base!$B$3:$B$5001,$A$41)))</f>
        <v/>
      </c>
      <c r="S49" s="65">
        <f>IF(S$3="","",IF(COUNTIFS(Base!$A$3:$A$5001,S$3,Base!$B$3:$B$5001,$A$41,Base!$U$3:$U$5001,"&lt;&gt;")=0,"",SUMIFS(Base!$U$3:$U$5001,Base!$A$3:$A$5001,S$3,Base!$B$3:$B$5001,$A$41)))</f>
        <v>0</v>
      </c>
      <c r="T49" s="65">
        <f>IF(T$3="","",IF(COUNTIFS(Base!$A$3:$A$5001,T$3,Base!$B$3:$B$5001,$A$41,Base!$U$3:$U$5001,"&lt;&gt;")=0,"",SUMIFS(Base!$U$3:$U$5001,Base!$A$3:$A$5001,T$3,Base!$B$3:$B$5001,$A$41)))</f>
        <v>0</v>
      </c>
      <c r="U49" s="65">
        <f>IF(U$3="","",IF(COUNTIFS(Base!$A$3:$A$5001,U$3,Base!$B$3:$B$5001,$A$41,Base!$U$3:$U$5001,"&lt;&gt;")=0,"",SUMIFS(Base!$U$3:$U$5001,Base!$A$3:$A$5001,U$3,Base!$B$3:$B$5001,$A$41)))</f>
        <v>0</v>
      </c>
      <c r="V49" s="65">
        <f>IF(V$3="","",IF(COUNTIFS(Base!$A$3:$A$5001,V$3,Base!$B$3:$B$5001,$A$41,Base!$U$3:$U$5001,"&lt;&gt;")=0,"",SUMIFS(Base!$U$3:$U$5001,Base!$A$3:$A$5001,V$3,Base!$B$3:$B$5001,$A$41)))</f>
        <v>0</v>
      </c>
      <c r="W49" s="65">
        <f>IF(W$3="","",IF(COUNTIFS(Base!$A$3:$A$5001,W$3,Base!$B$3:$B$5001,$A$41,Base!$U$3:$U$5001,"&lt;&gt;")=0,"",SUMIFS(Base!$U$3:$U$5001,Base!$A$3:$A$5001,W$3,Base!$B$3:$B$5001,$A$41)))</f>
        <v>0</v>
      </c>
      <c r="X49" s="65">
        <f>IF(X$3="","",IF(COUNTIFS(Base!$A$3:$A$5001,X$3,Base!$B$3:$B$5001,$A$41,Base!$U$3:$U$5001,"&lt;&gt;")=0,"",SUMIFS(Base!$U$3:$U$5001,Base!$A$3:$A$5001,X$3,Base!$B$3:$B$5001,$A$41)))</f>
        <v>0</v>
      </c>
      <c r="Y49" s="65" t="str">
        <f>IF(Y$3="","",IF(COUNTIFS(Base!$A$3:$A$5001,Y$3,Base!$B$3:$B$5001,$A$41,Base!$U$3:$U$5001,"&lt;&gt;")=0,"",SUMIFS(Base!$U$3:$U$5001,Base!$A$3:$A$5001,Y$3,Base!$B$3:$B$5001,$A$41)))</f>
        <v/>
      </c>
      <c r="Z49" s="65">
        <f>IF(Z$3="","",IF(COUNTIFS(Base!$A$3:$A$5001,Z$3,Base!$B$3:$B$5001,$A$41,Base!$U$3:$U$5001,"&lt;&gt;")=0,"",SUMIFS(Base!$U$3:$U$5001,Base!$A$3:$A$5001,Z$3,Base!$B$3:$B$5001,$A$41)))</f>
        <v>0</v>
      </c>
      <c r="AA49" s="65">
        <f>IF(AA$3="","",IF(COUNTIFS(Base!$A$3:$A$5001,AA$3,Base!$B$3:$B$5001,$A$41,Base!$U$3:$U$5001,"&lt;&gt;")=0,"",SUMIFS(Base!$U$3:$U$5001,Base!$A$3:$A$5001,AA$3,Base!$B$3:$B$5001,$A$41)))</f>
        <v>0</v>
      </c>
      <c r="AB49" s="65">
        <f>IF(AB$3="","",IF(COUNTIFS(Base!$A$3:$A$5001,AB$3,Base!$B$3:$B$5001,$A$41,Base!$U$3:$U$5001,"&lt;&gt;")=0,"",SUMIFS(Base!$U$3:$U$5001,Base!$A$3:$A$5001,AB$3,Base!$B$3:$B$5001,$A$41)))</f>
        <v>0</v>
      </c>
      <c r="AC49" s="65">
        <f>IF(AC$3="","",IF(COUNTIFS(Base!$A$3:$A$5001,AC$3,Base!$B$3:$B$5001,$A$41,Base!$U$3:$U$5001,"&lt;&gt;")=0,"",SUMIFS(Base!$U$3:$U$5001,Base!$A$3:$A$5001,AC$3,Base!$B$3:$B$5001,$A$41)))</f>
        <v>0</v>
      </c>
      <c r="AD49" s="65">
        <f>IF(AD$3="","",IF(COUNTIFS(Base!$A$3:$A$5001,AD$3,Base!$B$3:$B$5001,$A$41,Base!$U$3:$U$5001,"&lt;&gt;")=0,"",SUMIFS(Base!$U$3:$U$5001,Base!$A$3:$A$5001,AD$3,Base!$B$3:$B$5001,$A$41)))</f>
        <v>0</v>
      </c>
      <c r="AE49" s="65">
        <f>IF(AE$3="","",IF(COUNTIFS(Base!$A$3:$A$5001,AE$3,Base!$B$3:$B$5001,$A$41,Base!$U$3:$U$5001,"&lt;&gt;")=0,"",SUMIFS(Base!$U$3:$U$5001,Base!$A$3:$A$5001,AE$3,Base!$B$3:$B$5001,$A$41)))</f>
        <v>0</v>
      </c>
      <c r="AF49" s="65" t="str">
        <f>IF(AF$3="","",IF(COUNTIFS(Base!$A$3:$A$5001,AF$3,Base!$B$3:$B$5001,$A$41,Base!$U$3:$U$5001,"&lt;&gt;")=0,"",SUMIFS(Base!$U$3:$U$5001,Base!$A$3:$A$5001,AF$3,Base!$B$3:$B$5001,$A$41)))</f>
        <v/>
      </c>
      <c r="AG49" s="65">
        <f>IF(AG$3="","",IF(COUNTIFS(Base!$A$3:$A$5001,AG$3,Base!$B$3:$B$5001,$A$41,Base!$U$3:$U$5001,"&lt;&gt;")=0,"",SUMIFS(Base!$U$3:$U$5001,Base!$A$3:$A$5001,AG$3,Base!$B$3:$B$5001,$A$41)))</f>
        <v>0</v>
      </c>
      <c r="AH49" s="65">
        <f>IF(AH$3="","",IF(COUNTIFS(Base!$A$3:$A$5001,AH$3,Base!$B$3:$B$5001,$A$41,Base!$U$3:$U$5001,"&lt;&gt;")=0,"",SUMIFS(Base!$U$3:$U$5001,Base!$A$3:$A$5001,AH$3,Base!$B$3:$B$5001,$A$41)))</f>
        <v>0</v>
      </c>
      <c r="AI49" s="65" t="str">
        <f>IF(AI$3="","",IF(COUNTIFS(Base!$A$3:$A$5001,AI$3,Base!$B$3:$B$5001,$A$41,Base!$U$3:$U$5001,"&lt;&gt;")=0,"",SUMIFS(Base!$U$3:$U$5001,Base!$A$3:$A$5001,AI$3,Base!$B$3:$B$5001,$A$41)))</f>
        <v/>
      </c>
      <c r="AJ49" s="66" t="str">
        <f>IF(AJ$3="","",IF(COUNTIFS(Base!$A$3:$A$5001,AJ$3,Base!$B$3:$B$5001,$A$41,Base!$U$3:$U$5001,"&lt;&gt;")=0,"",SUMIFS(Base!$U$3:$U$5001,Base!$A$3:$A$5001,AJ$3,Base!$B$3:$B$5001,$A$41)))</f>
        <v/>
      </c>
      <c r="AK49" s="67">
        <f>IF(COUNT(F49:AJ49)=0,"",SUM(F49:AJ49))</f>
        <v>0</v>
      </c>
    </row>
    <row r="50" ht="15.75" customHeight="1">
      <c r="A50" s="118"/>
      <c r="B50" s="112"/>
      <c r="C50" s="68" t="inlineStr">
        <is>
          <t xml:space="preserve">No show</t>
        </is>
      </c>
      <c r="D50" s="69" t="str">
        <f>IFERROR(1/(1/INDEX(calculos!$C$55:$K$83,MATCH("NC No show",calculos!$A$55:$A$83,0),MATCH($A$41,calculos!$C$54:$K$54,0))),"")</f>
        <v/>
      </c>
      <c r="E50" s="70"/>
      <c r="F50" s="71">
        <f>IF(F$3="","",IF(COUNTIFS(Base!$A$3:$A$5001,F$3,Base!$B$3:$B$5001,$A$41,Base!$V$3:$V$5001,"&lt;&gt;")=0,"",SUMIFS(Base!$V$3:$V$5001,Base!$A$3:$A$5001,F$3,Base!$B$3:$B$5001,$A$41)))</f>
        <v>0</v>
      </c>
      <c r="G50" s="72">
        <f>IF(G$3="","",IF(COUNTIFS(Base!$A$3:$A$5001,G$3,Base!$B$3:$B$5001,$A$41,Base!$V$3:$V$5001,"&lt;&gt;")=0,"",SUMIFS(Base!$V$3:$V$5001,Base!$A$3:$A$5001,G$3,Base!$B$3:$B$5001,$A$41)))</f>
        <v>0</v>
      </c>
      <c r="H50" s="72">
        <f>IF(H$3="","",IF(COUNTIFS(Base!$A$3:$A$5001,H$3,Base!$B$3:$B$5001,$A$41,Base!$V$3:$V$5001,"&lt;&gt;")=0,"",SUMIFS(Base!$V$3:$V$5001,Base!$A$3:$A$5001,H$3,Base!$B$3:$B$5001,$A$41)))</f>
        <v>0</v>
      </c>
      <c r="I50" s="72">
        <f>IF(I$3="","",IF(COUNTIFS(Base!$A$3:$A$5001,I$3,Base!$B$3:$B$5001,$A$41,Base!$V$3:$V$5001,"&lt;&gt;")=0,"",SUMIFS(Base!$V$3:$V$5001,Base!$A$3:$A$5001,I$3,Base!$B$3:$B$5001,$A$41)))</f>
        <v>0</v>
      </c>
      <c r="J50" s="72">
        <f>IF(J$3="","",IF(COUNTIFS(Base!$A$3:$A$5001,J$3,Base!$B$3:$B$5001,$A$41,Base!$V$3:$V$5001,"&lt;&gt;")=0,"",SUMIFS(Base!$V$3:$V$5001,Base!$A$3:$A$5001,J$3,Base!$B$3:$B$5001,$A$41)))</f>
        <v>0</v>
      </c>
      <c r="K50" s="72" t="str">
        <f>IF(K$3="","",IF(COUNTIFS(Base!$A$3:$A$5001,K$3,Base!$B$3:$B$5001,$A$41,Base!$V$3:$V$5001,"&lt;&gt;")=0,"",SUMIFS(Base!$V$3:$V$5001,Base!$A$3:$A$5001,K$3,Base!$B$3:$B$5001,$A$41)))</f>
        <v/>
      </c>
      <c r="L50" s="72">
        <f>IF(L$3="","",IF(COUNTIFS(Base!$A$3:$A$5001,L$3,Base!$B$3:$B$5001,$A$41,Base!$V$3:$V$5001,"&lt;&gt;")=0,"",SUMIFS(Base!$V$3:$V$5001,Base!$A$3:$A$5001,L$3,Base!$B$3:$B$5001,$A$41)))</f>
        <v>0</v>
      </c>
      <c r="M50" s="72">
        <f>IF(M$3="","",IF(COUNTIFS(Base!$A$3:$A$5001,M$3,Base!$B$3:$B$5001,$A$41,Base!$V$3:$V$5001,"&lt;&gt;")=0,"",SUMIFS(Base!$V$3:$V$5001,Base!$A$3:$A$5001,M$3,Base!$B$3:$B$5001,$A$41)))</f>
        <v>0</v>
      </c>
      <c r="N50" s="72">
        <f>IF(N$3="","",IF(COUNTIFS(Base!$A$3:$A$5001,N$3,Base!$B$3:$B$5001,$A$41,Base!$V$3:$V$5001,"&lt;&gt;")=0,"",SUMIFS(Base!$V$3:$V$5001,Base!$A$3:$A$5001,N$3,Base!$B$3:$B$5001,$A$41)))</f>
        <v>0</v>
      </c>
      <c r="O50" s="72">
        <f>IF(O$3="","",IF(COUNTIFS(Base!$A$3:$A$5001,O$3,Base!$B$3:$B$5001,$A$41,Base!$V$3:$V$5001,"&lt;&gt;")=0,"",SUMIFS(Base!$V$3:$V$5001,Base!$A$3:$A$5001,O$3,Base!$B$3:$B$5001,$A$41)))</f>
        <v>0</v>
      </c>
      <c r="P50" s="72">
        <f>IF(P$3="","",IF(COUNTIFS(Base!$A$3:$A$5001,P$3,Base!$B$3:$B$5001,$A$41,Base!$V$3:$V$5001,"&lt;&gt;")=0,"",SUMIFS(Base!$V$3:$V$5001,Base!$A$3:$A$5001,P$3,Base!$B$3:$B$5001,$A$41)))</f>
        <v>0</v>
      </c>
      <c r="Q50" s="72">
        <f>IF(Q$3="","",IF(COUNTIFS(Base!$A$3:$A$5001,Q$3,Base!$B$3:$B$5001,$A$41,Base!$V$3:$V$5001,"&lt;&gt;")=0,"",SUMIFS(Base!$V$3:$V$5001,Base!$A$3:$A$5001,Q$3,Base!$B$3:$B$5001,$A$41)))</f>
        <v>0</v>
      </c>
      <c r="R50" s="72" t="str">
        <f>IF(R$3="","",IF(COUNTIFS(Base!$A$3:$A$5001,R$3,Base!$B$3:$B$5001,$A$41,Base!$V$3:$V$5001,"&lt;&gt;")=0,"",SUMIFS(Base!$V$3:$V$5001,Base!$A$3:$A$5001,R$3,Base!$B$3:$B$5001,$A$41)))</f>
        <v/>
      </c>
      <c r="S50" s="72">
        <f>IF(S$3="","",IF(COUNTIFS(Base!$A$3:$A$5001,S$3,Base!$B$3:$B$5001,$A$41,Base!$V$3:$V$5001,"&lt;&gt;")=0,"",SUMIFS(Base!$V$3:$V$5001,Base!$A$3:$A$5001,S$3,Base!$B$3:$B$5001,$A$41)))</f>
        <v>0</v>
      </c>
      <c r="T50" s="72">
        <f>IF(T$3="","",IF(COUNTIFS(Base!$A$3:$A$5001,T$3,Base!$B$3:$B$5001,$A$41,Base!$V$3:$V$5001,"&lt;&gt;")=0,"",SUMIFS(Base!$V$3:$V$5001,Base!$A$3:$A$5001,T$3,Base!$B$3:$B$5001,$A$41)))</f>
        <v>0</v>
      </c>
      <c r="U50" s="72">
        <f>IF(U$3="","",IF(COUNTIFS(Base!$A$3:$A$5001,U$3,Base!$B$3:$B$5001,$A$41,Base!$V$3:$V$5001,"&lt;&gt;")=0,"",SUMIFS(Base!$V$3:$V$5001,Base!$A$3:$A$5001,U$3,Base!$B$3:$B$5001,$A$41)))</f>
        <v>0</v>
      </c>
      <c r="V50" s="72">
        <f>IF(V$3="","",IF(COUNTIFS(Base!$A$3:$A$5001,V$3,Base!$B$3:$B$5001,$A$41,Base!$V$3:$V$5001,"&lt;&gt;")=0,"",SUMIFS(Base!$V$3:$V$5001,Base!$A$3:$A$5001,V$3,Base!$B$3:$B$5001,$A$41)))</f>
        <v>0</v>
      </c>
      <c r="W50" s="72">
        <f>IF(W$3="","",IF(COUNTIFS(Base!$A$3:$A$5001,W$3,Base!$B$3:$B$5001,$A$41,Base!$V$3:$V$5001,"&lt;&gt;")=0,"",SUMIFS(Base!$V$3:$V$5001,Base!$A$3:$A$5001,W$3,Base!$B$3:$B$5001,$A$41)))</f>
        <v>0</v>
      </c>
      <c r="X50" s="72">
        <f>IF(X$3="","",IF(COUNTIFS(Base!$A$3:$A$5001,X$3,Base!$B$3:$B$5001,$A$41,Base!$V$3:$V$5001,"&lt;&gt;")=0,"",SUMIFS(Base!$V$3:$V$5001,Base!$A$3:$A$5001,X$3,Base!$B$3:$B$5001,$A$41)))</f>
        <v>0</v>
      </c>
      <c r="Y50" s="72" t="str">
        <f>IF(Y$3="","",IF(COUNTIFS(Base!$A$3:$A$5001,Y$3,Base!$B$3:$B$5001,$A$41,Base!$V$3:$V$5001,"&lt;&gt;")=0,"",SUMIFS(Base!$V$3:$V$5001,Base!$A$3:$A$5001,Y$3,Base!$B$3:$B$5001,$A$41)))</f>
        <v/>
      </c>
      <c r="Z50" s="72">
        <f>IF(Z$3="","",IF(COUNTIFS(Base!$A$3:$A$5001,Z$3,Base!$B$3:$B$5001,$A$41,Base!$V$3:$V$5001,"&lt;&gt;")=0,"",SUMIFS(Base!$V$3:$V$5001,Base!$A$3:$A$5001,Z$3,Base!$B$3:$B$5001,$A$41)))</f>
        <v>0</v>
      </c>
      <c r="AA50" s="72">
        <f>IF(AA$3="","",IF(COUNTIFS(Base!$A$3:$A$5001,AA$3,Base!$B$3:$B$5001,$A$41,Base!$V$3:$V$5001,"&lt;&gt;")=0,"",SUMIFS(Base!$V$3:$V$5001,Base!$A$3:$A$5001,AA$3,Base!$B$3:$B$5001,$A$41)))</f>
        <v>0</v>
      </c>
      <c r="AB50" s="72">
        <f>IF(AB$3="","",IF(COUNTIFS(Base!$A$3:$A$5001,AB$3,Base!$B$3:$B$5001,$A$41,Base!$V$3:$V$5001,"&lt;&gt;")=0,"",SUMIFS(Base!$V$3:$V$5001,Base!$A$3:$A$5001,AB$3,Base!$B$3:$B$5001,$A$41)))</f>
        <v>1</v>
      </c>
      <c r="AC50" s="72">
        <f>IF(AC$3="","",IF(COUNTIFS(Base!$A$3:$A$5001,AC$3,Base!$B$3:$B$5001,$A$41,Base!$V$3:$V$5001,"&lt;&gt;")=0,"",SUMIFS(Base!$V$3:$V$5001,Base!$A$3:$A$5001,AC$3,Base!$B$3:$B$5001,$A$41)))</f>
        <v>0</v>
      </c>
      <c r="AD50" s="72">
        <f>IF(AD$3="","",IF(COUNTIFS(Base!$A$3:$A$5001,AD$3,Base!$B$3:$B$5001,$A$41,Base!$V$3:$V$5001,"&lt;&gt;")=0,"",SUMIFS(Base!$V$3:$V$5001,Base!$A$3:$A$5001,AD$3,Base!$B$3:$B$5001,$A$41)))</f>
        <v>0</v>
      </c>
      <c r="AE50" s="72">
        <f>IF(AE$3="","",IF(COUNTIFS(Base!$A$3:$A$5001,AE$3,Base!$B$3:$B$5001,$A$41,Base!$V$3:$V$5001,"&lt;&gt;")=0,"",SUMIFS(Base!$V$3:$V$5001,Base!$A$3:$A$5001,AE$3,Base!$B$3:$B$5001,$A$41)))</f>
        <v>0</v>
      </c>
      <c r="AF50" s="72" t="str">
        <f>IF(AF$3="","",IF(COUNTIFS(Base!$A$3:$A$5001,AF$3,Base!$B$3:$B$5001,$A$41,Base!$V$3:$V$5001,"&lt;&gt;")=0,"",SUMIFS(Base!$V$3:$V$5001,Base!$A$3:$A$5001,AF$3,Base!$B$3:$B$5001,$A$41)))</f>
        <v/>
      </c>
      <c r="AG50" s="72">
        <f>IF(AG$3="","",IF(COUNTIFS(Base!$A$3:$A$5001,AG$3,Base!$B$3:$B$5001,$A$41,Base!$V$3:$V$5001,"&lt;&gt;")=0,"",SUMIFS(Base!$V$3:$V$5001,Base!$A$3:$A$5001,AG$3,Base!$B$3:$B$5001,$A$41)))</f>
        <v>0</v>
      </c>
      <c r="AH50" s="72">
        <f>IF(AH$3="","",IF(COUNTIFS(Base!$A$3:$A$5001,AH$3,Base!$B$3:$B$5001,$A$41,Base!$V$3:$V$5001,"&lt;&gt;")=0,"",SUMIFS(Base!$V$3:$V$5001,Base!$A$3:$A$5001,AH$3,Base!$B$3:$B$5001,$A$41)))</f>
        <v>1</v>
      </c>
      <c r="AI50" s="72" t="str">
        <f>IF(AI$3="","",IF(COUNTIFS(Base!$A$3:$A$5001,AI$3,Base!$B$3:$B$5001,$A$41,Base!$V$3:$V$5001,"&lt;&gt;")=0,"",SUMIFS(Base!$V$3:$V$5001,Base!$A$3:$A$5001,AI$3,Base!$B$3:$B$5001,$A$41)))</f>
        <v/>
      </c>
      <c r="AJ50" s="73" t="str">
        <f>IF(AJ$3="","",IF(COUNTIFS(Base!$A$3:$A$5001,AJ$3,Base!$B$3:$B$5001,$A$41,Base!$V$3:$V$5001,"&lt;&gt;")=0,"",SUMIFS(Base!$V$3:$V$5001,Base!$A$3:$A$5001,AJ$3,Base!$B$3:$B$5001,$A$41)))</f>
        <v/>
      </c>
      <c r="AK50" s="74">
        <f>IF(COUNT(F50:AJ50)=0,"",SUM(F50:AJ50))</f>
        <v>2</v>
      </c>
    </row>
    <row r="51" ht="15.75" customHeight="1">
      <c r="A51" s="118"/>
      <c r="B51" s="113"/>
      <c r="C51" s="75" t="inlineStr">
        <is>
          <t xml:space="preserve">Backlog</t>
        </is>
      </c>
      <c r="D51" s="76" t="str">
        <f>IFERROR(1/(1/INDEX(calculos!$C$55:$K$83,MATCH("NC Backlog",calculos!$A$55:$A$83,0),MATCH($A$41,calculos!$C$54:$K$54,0))),"")</f>
        <v/>
      </c>
      <c r="E51" s="77"/>
      <c r="F51" s="78" t="str">
        <f>IF(F$3="","",IF(COUNTIFS(Base!$A$3:$A$5001,F$3,Base!$B$3:$B$5001,$A$41,Base!$W$3:$W$5001,"&lt;&gt;")=0,"",SUMIFS(Base!$W$3:$W$5001,Base!$A$3:$A$5001,F$3,Base!$B$3:$B$5001,$A$41)))</f>
        <v/>
      </c>
      <c r="G51" s="79">
        <f>IF(G$3="","",IF(COUNTIFS(Base!$A$3:$A$5001,G$3,Base!$B$3:$B$5001,$A$41,Base!$W$3:$W$5001,"&lt;&gt;")=0,"",SUMIFS(Base!$W$3:$W$5001,Base!$A$3:$A$5001,G$3,Base!$B$3:$B$5001,$A$41)))</f>
        <v>14</v>
      </c>
      <c r="H51" s="79" t="str">
        <f>IF(H$3="","",IF(COUNTIFS(Base!$A$3:$A$5001,H$3,Base!$B$3:$B$5001,$A$41,Base!$W$3:$W$5001,"&lt;&gt;")=0,"",SUMIFS(Base!$W$3:$W$5001,Base!$A$3:$A$5001,H$3,Base!$B$3:$B$5001,$A$41)))</f>
        <v/>
      </c>
      <c r="I51" s="79" t="str">
        <f>IF(I$3="","",IF(COUNTIFS(Base!$A$3:$A$5001,I$3,Base!$B$3:$B$5001,$A$41,Base!$W$3:$W$5001,"&lt;&gt;")=0,"",SUMIFS(Base!$W$3:$W$5001,Base!$A$3:$A$5001,I$3,Base!$B$3:$B$5001,$A$41)))</f>
        <v/>
      </c>
      <c r="J51" s="79" t="str">
        <f>IF(J$3="","",IF(COUNTIFS(Base!$A$3:$A$5001,J$3,Base!$B$3:$B$5001,$A$41,Base!$W$3:$W$5001,"&lt;&gt;")=0,"",SUMIFS(Base!$W$3:$W$5001,Base!$A$3:$A$5001,J$3,Base!$B$3:$B$5001,$A$41)))</f>
        <v/>
      </c>
      <c r="K51" s="79" t="str">
        <f>IF(K$3="","",IF(COUNTIFS(Base!$A$3:$A$5001,K$3,Base!$B$3:$B$5001,$A$41,Base!$W$3:$W$5001,"&lt;&gt;")=0,"",SUMIFS(Base!$W$3:$W$5001,Base!$A$3:$A$5001,K$3,Base!$B$3:$B$5001,$A$41)))</f>
        <v/>
      </c>
      <c r="L51" s="79" t="str">
        <f>IF(L$3="","",IF(COUNTIFS(Base!$A$3:$A$5001,L$3,Base!$B$3:$B$5001,$A$41,Base!$W$3:$W$5001,"&lt;&gt;")=0,"",SUMIFS(Base!$W$3:$W$5001,Base!$A$3:$A$5001,L$3,Base!$B$3:$B$5001,$A$41)))</f>
        <v/>
      </c>
      <c r="M51" s="79" t="str">
        <f>IF(M$3="","",IF(COUNTIFS(Base!$A$3:$A$5001,M$3,Base!$B$3:$B$5001,$A$41,Base!$W$3:$W$5001,"&lt;&gt;")=0,"",SUMIFS(Base!$W$3:$W$5001,Base!$A$3:$A$5001,M$3,Base!$B$3:$B$5001,$A$41)))</f>
        <v/>
      </c>
      <c r="N51" s="79" t="str">
        <f>IF(N$3="","",IF(COUNTIFS(Base!$A$3:$A$5001,N$3,Base!$B$3:$B$5001,$A$41,Base!$W$3:$W$5001,"&lt;&gt;")=0,"",SUMIFS(Base!$W$3:$W$5001,Base!$A$3:$A$5001,N$3,Base!$B$3:$B$5001,$A$41)))</f>
        <v/>
      </c>
      <c r="O51" s="79" t="str">
        <f>IF(O$3="","",IF(COUNTIFS(Base!$A$3:$A$5001,O$3,Base!$B$3:$B$5001,$A$41,Base!$W$3:$W$5001,"&lt;&gt;")=0,"",SUMIFS(Base!$W$3:$W$5001,Base!$A$3:$A$5001,O$3,Base!$B$3:$B$5001,$A$41)))</f>
        <v/>
      </c>
      <c r="P51" s="79">
        <f>IF(P$3="","",IF(COUNTIFS(Base!$A$3:$A$5001,P$3,Base!$B$3:$B$5001,$A$41,Base!$W$3:$W$5001,"&lt;&gt;")=0,"",SUMIFS(Base!$W$3:$W$5001,Base!$A$3:$A$5001,P$3,Base!$B$3:$B$5001,$A$41)))</f>
        <v>14</v>
      </c>
      <c r="Q51" s="79" t="str">
        <f>IF(Q$3="","",IF(COUNTIFS(Base!$A$3:$A$5001,Q$3,Base!$B$3:$B$5001,$A$41,Base!$W$3:$W$5001,"&lt;&gt;")=0,"",SUMIFS(Base!$W$3:$W$5001,Base!$A$3:$A$5001,Q$3,Base!$B$3:$B$5001,$A$41)))</f>
        <v/>
      </c>
      <c r="R51" s="79" t="str">
        <f>IF(R$3="","",IF(COUNTIFS(Base!$A$3:$A$5001,R$3,Base!$B$3:$B$5001,$A$41,Base!$W$3:$W$5001,"&lt;&gt;")=0,"",SUMIFS(Base!$W$3:$W$5001,Base!$A$3:$A$5001,R$3,Base!$B$3:$B$5001,$A$41)))</f>
        <v/>
      </c>
      <c r="S51" s="79" t="str">
        <f>IF(S$3="","",IF(COUNTIFS(Base!$A$3:$A$5001,S$3,Base!$B$3:$B$5001,$A$41,Base!$W$3:$W$5001,"&lt;&gt;")=0,"",SUMIFS(Base!$W$3:$W$5001,Base!$A$3:$A$5001,S$3,Base!$B$3:$B$5001,$A$41)))</f>
        <v/>
      </c>
      <c r="T51" s="79" t="str">
        <f>IF(T$3="","",IF(COUNTIFS(Base!$A$3:$A$5001,T$3,Base!$B$3:$B$5001,$A$41,Base!$W$3:$W$5001,"&lt;&gt;")=0,"",SUMIFS(Base!$W$3:$W$5001,Base!$A$3:$A$5001,T$3,Base!$B$3:$B$5001,$A$41)))</f>
        <v/>
      </c>
      <c r="U51" s="79" t="str">
        <f>IF(U$3="","",IF(COUNTIFS(Base!$A$3:$A$5001,U$3,Base!$B$3:$B$5001,$A$41,Base!$W$3:$W$5001,"&lt;&gt;")=0,"",SUMIFS(Base!$W$3:$W$5001,Base!$A$3:$A$5001,U$3,Base!$B$3:$B$5001,$A$41)))</f>
        <v/>
      </c>
      <c r="V51" s="79">
        <f>IF(V$3="","",IF(COUNTIFS(Base!$A$3:$A$5001,V$3,Base!$B$3:$B$5001,$A$41,Base!$W$3:$W$5001,"&lt;&gt;")=0,"",SUMIFS(Base!$W$3:$W$5001,Base!$A$3:$A$5001,V$3,Base!$B$3:$B$5001,$A$41)))</f>
        <v>7</v>
      </c>
      <c r="W51" s="79">
        <f>IF(W$3="","",IF(COUNTIFS(Base!$A$3:$A$5001,W$3,Base!$B$3:$B$5001,$A$41,Base!$W$3:$W$5001,"&lt;&gt;")=0,"",SUMIFS(Base!$W$3:$W$5001,Base!$A$3:$A$5001,W$3,Base!$B$3:$B$5001,$A$41)))</f>
        <v>5</v>
      </c>
      <c r="X51" s="79">
        <f>IF(X$3="","",IF(COUNTIFS(Base!$A$3:$A$5001,X$3,Base!$B$3:$B$5001,$A$41,Base!$W$3:$W$5001,"&lt;&gt;")=0,"",SUMIFS(Base!$W$3:$W$5001,Base!$A$3:$A$5001,X$3,Base!$B$3:$B$5001,$A$41)))</f>
        <v>5</v>
      </c>
      <c r="Y51" s="79" t="str">
        <f>IF(Y$3="","",IF(COUNTIFS(Base!$A$3:$A$5001,Y$3,Base!$B$3:$B$5001,$A$41,Base!$W$3:$W$5001,"&lt;&gt;")=0,"",SUMIFS(Base!$W$3:$W$5001,Base!$A$3:$A$5001,Y$3,Base!$B$3:$B$5001,$A$41)))</f>
        <v/>
      </c>
      <c r="Z51" s="79" t="str">
        <f>IF(Z$3="","",IF(COUNTIFS(Base!$A$3:$A$5001,Z$3,Base!$B$3:$B$5001,$A$41,Base!$W$3:$W$5001,"&lt;&gt;")=0,"",SUMIFS(Base!$W$3:$W$5001,Base!$A$3:$A$5001,Z$3,Base!$B$3:$B$5001,$A$41)))</f>
        <v/>
      </c>
      <c r="AA51" s="79" t="str">
        <f>IF(AA$3="","",IF(COUNTIFS(Base!$A$3:$A$5001,AA$3,Base!$B$3:$B$5001,$A$41,Base!$W$3:$W$5001,"&lt;&gt;")=0,"",SUMIFS(Base!$W$3:$W$5001,Base!$A$3:$A$5001,AA$3,Base!$B$3:$B$5001,$A$41)))</f>
        <v/>
      </c>
      <c r="AB51" s="79">
        <f>IF(AB$3="","",IF(COUNTIFS(Base!$A$3:$A$5001,AB$3,Base!$B$3:$B$5001,$A$41,Base!$W$3:$W$5001,"&lt;&gt;")=0,"",SUMIFS(Base!$W$3:$W$5001,Base!$A$3:$A$5001,AB$3,Base!$B$3:$B$5001,$A$41)))</f>
        <v>1</v>
      </c>
      <c r="AC51" s="79" t="str">
        <f>IF(AC$3="","",IF(COUNTIFS(Base!$A$3:$A$5001,AC$3,Base!$B$3:$B$5001,$A$41,Base!$W$3:$W$5001,"&lt;&gt;")=0,"",SUMIFS(Base!$W$3:$W$5001,Base!$A$3:$A$5001,AC$3,Base!$B$3:$B$5001,$A$41)))</f>
        <v/>
      </c>
      <c r="AD51" s="79" t="str">
        <f>IF(AD$3="","",IF(COUNTIFS(Base!$A$3:$A$5001,AD$3,Base!$B$3:$B$5001,$A$41,Base!$W$3:$W$5001,"&lt;&gt;")=0,"",SUMIFS(Base!$W$3:$W$5001,Base!$A$3:$A$5001,AD$3,Base!$B$3:$B$5001,$A$41)))</f>
        <v/>
      </c>
      <c r="AE51" s="79">
        <f>IF(AE$3="","",IF(COUNTIFS(Base!$A$3:$A$5001,AE$3,Base!$B$3:$B$5001,$A$41,Base!$W$3:$W$5001,"&lt;&gt;")=0,"",SUMIFS(Base!$W$3:$W$5001,Base!$A$3:$A$5001,AE$3,Base!$B$3:$B$5001,$A$41)))</f>
        <v>9</v>
      </c>
      <c r="AF51" s="79" t="str">
        <f>IF(AF$3="","",IF(COUNTIFS(Base!$A$3:$A$5001,AF$3,Base!$B$3:$B$5001,$A$41,Base!$W$3:$W$5001,"&lt;&gt;")=0,"",SUMIFS(Base!$W$3:$W$5001,Base!$A$3:$A$5001,AF$3,Base!$B$3:$B$5001,$A$41)))</f>
        <v/>
      </c>
      <c r="AG51" s="79">
        <f>IF(AG$3="","",IF(COUNTIFS(Base!$A$3:$A$5001,AG$3,Base!$B$3:$B$5001,$A$41,Base!$W$3:$W$5001,"&lt;&gt;")=0,"",SUMIFS(Base!$W$3:$W$5001,Base!$A$3:$A$5001,AG$3,Base!$B$3:$B$5001,$A$41)))</f>
        <v>4</v>
      </c>
      <c r="AH51" s="79">
        <f>IF(AH$3="","",IF(COUNTIFS(Base!$A$3:$A$5001,AH$3,Base!$B$3:$B$5001,$A$41,Base!$W$3:$W$5001,"&lt;&gt;")=0,"",SUMIFS(Base!$W$3:$W$5001,Base!$A$3:$A$5001,AH$3,Base!$B$3:$B$5001,$A$41)))</f>
        <v>5</v>
      </c>
      <c r="AI51" s="79" t="str">
        <f>IF(AI$3="","",IF(COUNTIFS(Base!$A$3:$A$5001,AI$3,Base!$B$3:$B$5001,$A$41,Base!$W$3:$W$5001,"&lt;&gt;")=0,"",SUMIFS(Base!$W$3:$W$5001,Base!$A$3:$A$5001,AI$3,Base!$B$3:$B$5001,$A$41)))</f>
        <v/>
      </c>
      <c r="AJ51" s="80" t="str">
        <f>IF(AJ$3="","",IF(COUNTIFS(Base!$A$3:$A$5001,AJ$3,Base!$B$3:$B$5001,$A$41,Base!$W$3:$W$5001,"&lt;&gt;")=0,"",SUMIFS(Base!$W$3:$W$5001,Base!$A$3:$A$5001,AJ$3,Base!$B$3:$B$5001,$A$41)))</f>
        <v/>
      </c>
      <c r="AK51" s="76">
        <f>IFERROR(LOOKUP(9.99E+307,F51:AJ51),"")</f>
        <v>5</v>
      </c>
    </row>
    <row r="52" ht="15.75" customHeight="1">
      <c r="A52" s="118"/>
      <c r="B52" s="105" t="inlineStr">
        <is>
          <t xml:space="preserve">OCUPAÇÃO (P.P)</t>
        </is>
      </c>
      <c r="C52" s="21" t="inlineStr">
        <is>
          <t xml:space="preserve">Posições Disponíveis</t>
        </is>
      </c>
      <c r="D52" s="22" t="str">
        <f>IFERROR(1/(1/INDEX(calculos!$C$55:$K$83,MATCH("Posições Disponíveis",calculos!$A$55:$A$83,0),MATCH($A$41,calculos!$C$54:$K$54,0))),"")</f>
        <v/>
      </c>
      <c r="E52" s="23"/>
      <c r="F52" s="24">
        <f>IF(F$3="","",IF(COUNTIFS(Base!$A$3:$A$5001,F$3,Base!$B$3:$B$5001,$A$41,Base!$X$3:$X$5001,"&lt;&gt;")=0,"",SUMIFS(Base!$X$3:$X$5001,Base!$A$3:$A$5001,F$3,Base!$B$3:$B$5001,$A$41)))</f>
        <v>3500</v>
      </c>
      <c r="G52" s="25">
        <f>IF(G$3="","",IF(COUNTIFS(Base!$A$3:$A$5001,G$3,Base!$B$3:$B$5001,$A$41,Base!$X$3:$X$5001,"&lt;&gt;")=0,"",SUMIFS(Base!$X$3:$X$5001,Base!$A$3:$A$5001,G$3,Base!$B$3:$B$5001,$A$41)))</f>
        <v>3500</v>
      </c>
      <c r="H52" s="25">
        <f>IF(H$3="","",IF(COUNTIFS(Base!$A$3:$A$5001,H$3,Base!$B$3:$B$5001,$A$41,Base!$X$3:$X$5001,"&lt;&gt;")=0,"",SUMIFS(Base!$X$3:$X$5001,Base!$A$3:$A$5001,H$3,Base!$B$3:$B$5001,$A$41)))</f>
        <v>3500</v>
      </c>
      <c r="I52" s="25">
        <f>IF(I$3="","",IF(COUNTIFS(Base!$A$3:$A$5001,I$3,Base!$B$3:$B$5001,$A$41,Base!$X$3:$X$5001,"&lt;&gt;")=0,"",SUMIFS(Base!$X$3:$X$5001,Base!$A$3:$A$5001,I$3,Base!$B$3:$B$5001,$A$41)))</f>
        <v>3500</v>
      </c>
      <c r="J52" s="25">
        <f>IF(J$3="","",IF(COUNTIFS(Base!$A$3:$A$5001,J$3,Base!$B$3:$B$5001,$A$41,Base!$X$3:$X$5001,"&lt;&gt;")=0,"",SUMIFS(Base!$X$3:$X$5001,Base!$A$3:$A$5001,J$3,Base!$B$3:$B$5001,$A$41)))</f>
        <v>3500</v>
      </c>
      <c r="K52" s="25" t="str">
        <f>IF(K$3="","",IF(COUNTIFS(Base!$A$3:$A$5001,K$3,Base!$B$3:$B$5001,$A$41,Base!$X$3:$X$5001,"&lt;&gt;")=0,"",SUMIFS(Base!$X$3:$X$5001,Base!$A$3:$A$5001,K$3,Base!$B$3:$B$5001,$A$41)))</f>
        <v/>
      </c>
      <c r="L52" s="25">
        <f>IF(L$3="","",IF(COUNTIFS(Base!$A$3:$A$5001,L$3,Base!$B$3:$B$5001,$A$41,Base!$X$3:$X$5001,"&lt;&gt;")=0,"",SUMIFS(Base!$X$3:$X$5001,Base!$A$3:$A$5001,L$3,Base!$B$3:$B$5001,$A$41)))</f>
        <v>3500</v>
      </c>
      <c r="M52" s="25">
        <f>IF(M$3="","",IF(COUNTIFS(Base!$A$3:$A$5001,M$3,Base!$B$3:$B$5001,$A$41,Base!$X$3:$X$5001,"&lt;&gt;")=0,"",SUMIFS(Base!$X$3:$X$5001,Base!$A$3:$A$5001,M$3,Base!$B$3:$B$5001,$A$41)))</f>
        <v>3500</v>
      </c>
      <c r="N52" s="25">
        <f>IF(N$3="","",IF(COUNTIFS(Base!$A$3:$A$5001,N$3,Base!$B$3:$B$5001,$A$41,Base!$X$3:$X$5001,"&lt;&gt;")=0,"",SUMIFS(Base!$X$3:$X$5001,Base!$A$3:$A$5001,N$3,Base!$B$3:$B$5001,$A$41)))</f>
        <v>3500</v>
      </c>
      <c r="O52" s="25">
        <f>IF(O$3="","",IF(COUNTIFS(Base!$A$3:$A$5001,O$3,Base!$B$3:$B$5001,$A$41,Base!$X$3:$X$5001,"&lt;&gt;")=0,"",SUMIFS(Base!$X$3:$X$5001,Base!$A$3:$A$5001,O$3,Base!$B$3:$B$5001,$A$41)))</f>
        <v>3500</v>
      </c>
      <c r="P52" s="25">
        <f>IF(P$3="","",IF(COUNTIFS(Base!$A$3:$A$5001,P$3,Base!$B$3:$B$5001,$A$41,Base!$X$3:$X$5001,"&lt;&gt;")=0,"",SUMIFS(Base!$X$3:$X$5001,Base!$A$3:$A$5001,P$3,Base!$B$3:$B$5001,$A$41)))</f>
        <v>3500</v>
      </c>
      <c r="Q52" s="25">
        <f>IF(Q$3="","",IF(COUNTIFS(Base!$A$3:$A$5001,Q$3,Base!$B$3:$B$5001,$A$41,Base!$X$3:$X$5001,"&lt;&gt;")=0,"",SUMIFS(Base!$X$3:$X$5001,Base!$A$3:$A$5001,Q$3,Base!$B$3:$B$5001,$A$41)))</f>
        <v>3500</v>
      </c>
      <c r="R52" s="25" t="str">
        <f>IF(R$3="","",IF(COUNTIFS(Base!$A$3:$A$5001,R$3,Base!$B$3:$B$5001,$A$41,Base!$X$3:$X$5001,"&lt;&gt;")=0,"",SUMIFS(Base!$X$3:$X$5001,Base!$A$3:$A$5001,R$3,Base!$B$3:$B$5001,$A$41)))</f>
        <v/>
      </c>
      <c r="S52" s="25">
        <f>IF(S$3="","",IF(COUNTIFS(Base!$A$3:$A$5001,S$3,Base!$B$3:$B$5001,$A$41,Base!$X$3:$X$5001,"&lt;&gt;")=0,"",SUMIFS(Base!$X$3:$X$5001,Base!$A$3:$A$5001,S$3,Base!$B$3:$B$5001,$A$41)))</f>
        <v>3500</v>
      </c>
      <c r="T52" s="25">
        <f>IF(T$3="","",IF(COUNTIFS(Base!$A$3:$A$5001,T$3,Base!$B$3:$B$5001,$A$41,Base!$X$3:$X$5001,"&lt;&gt;")=0,"",SUMIFS(Base!$X$3:$X$5001,Base!$A$3:$A$5001,T$3,Base!$B$3:$B$5001,$A$41)))</f>
        <v>3500</v>
      </c>
      <c r="U52" s="25">
        <f>IF(U$3="","",IF(COUNTIFS(Base!$A$3:$A$5001,U$3,Base!$B$3:$B$5001,$A$41,Base!$X$3:$X$5001,"&lt;&gt;")=0,"",SUMIFS(Base!$X$3:$X$5001,Base!$A$3:$A$5001,U$3,Base!$B$3:$B$5001,$A$41)))</f>
        <v>3500</v>
      </c>
      <c r="V52" s="25">
        <f>IF(V$3="","",IF(COUNTIFS(Base!$A$3:$A$5001,V$3,Base!$B$3:$B$5001,$A$41,Base!$X$3:$X$5001,"&lt;&gt;")=0,"",SUMIFS(Base!$X$3:$X$5001,Base!$A$3:$A$5001,V$3,Base!$B$3:$B$5001,$A$41)))</f>
        <v>3500</v>
      </c>
      <c r="W52" s="25">
        <f>IF(W$3="","",IF(COUNTIFS(Base!$A$3:$A$5001,W$3,Base!$B$3:$B$5001,$A$41,Base!$X$3:$X$5001,"&lt;&gt;")=0,"",SUMIFS(Base!$X$3:$X$5001,Base!$A$3:$A$5001,W$3,Base!$B$3:$B$5001,$A$41)))</f>
        <v>3500</v>
      </c>
      <c r="X52" s="25">
        <f>IF(X$3="","",IF(COUNTIFS(Base!$A$3:$A$5001,X$3,Base!$B$3:$B$5001,$A$41,Base!$X$3:$X$5001,"&lt;&gt;")=0,"",SUMIFS(Base!$X$3:$X$5001,Base!$A$3:$A$5001,X$3,Base!$B$3:$B$5001,$A$41)))</f>
        <v>3500</v>
      </c>
      <c r="Y52" s="25" t="str">
        <f>IF(Y$3="","",IF(COUNTIFS(Base!$A$3:$A$5001,Y$3,Base!$B$3:$B$5001,$A$41,Base!$X$3:$X$5001,"&lt;&gt;")=0,"",SUMIFS(Base!$X$3:$X$5001,Base!$A$3:$A$5001,Y$3,Base!$B$3:$B$5001,$A$41)))</f>
        <v/>
      </c>
      <c r="Z52" s="25">
        <f>IF(Z$3="","",IF(COUNTIFS(Base!$A$3:$A$5001,Z$3,Base!$B$3:$B$5001,$A$41,Base!$X$3:$X$5001,"&lt;&gt;")=0,"",SUMIFS(Base!$X$3:$X$5001,Base!$A$3:$A$5001,Z$3,Base!$B$3:$B$5001,$A$41)))</f>
        <v>3500</v>
      </c>
      <c r="AA52" s="25">
        <f>IF(AA$3="","",IF(COUNTIFS(Base!$A$3:$A$5001,AA$3,Base!$B$3:$B$5001,$A$41,Base!$X$3:$X$5001,"&lt;&gt;")=0,"",SUMIFS(Base!$X$3:$X$5001,Base!$A$3:$A$5001,AA$3,Base!$B$3:$B$5001,$A$41)))</f>
        <v>3500</v>
      </c>
      <c r="AB52" s="25">
        <f>IF(AB$3="","",IF(COUNTIFS(Base!$A$3:$A$5001,AB$3,Base!$B$3:$B$5001,$A$41,Base!$X$3:$X$5001,"&lt;&gt;")=0,"",SUMIFS(Base!$X$3:$X$5001,Base!$A$3:$A$5001,AB$3,Base!$B$3:$B$5001,$A$41)))</f>
        <v>3500</v>
      </c>
      <c r="AC52" s="25">
        <f>IF(AC$3="","",IF(COUNTIFS(Base!$A$3:$A$5001,AC$3,Base!$B$3:$B$5001,$A$41,Base!$X$3:$X$5001,"&lt;&gt;")=0,"",SUMIFS(Base!$X$3:$X$5001,Base!$A$3:$A$5001,AC$3,Base!$B$3:$B$5001,$A$41)))</f>
        <v>3500</v>
      </c>
      <c r="AD52" s="25">
        <f>IF(AD$3="","",IF(COUNTIFS(Base!$A$3:$A$5001,AD$3,Base!$B$3:$B$5001,$A$41,Base!$X$3:$X$5001,"&lt;&gt;")=0,"",SUMIFS(Base!$X$3:$X$5001,Base!$A$3:$A$5001,AD$3,Base!$B$3:$B$5001,$A$41)))</f>
        <v>3500</v>
      </c>
      <c r="AE52" s="25">
        <f>IF(AE$3="","",IF(COUNTIFS(Base!$A$3:$A$5001,AE$3,Base!$B$3:$B$5001,$A$41,Base!$X$3:$X$5001,"&lt;&gt;")=0,"",SUMIFS(Base!$X$3:$X$5001,Base!$A$3:$A$5001,AE$3,Base!$B$3:$B$5001,$A$41)))</f>
        <v>3500</v>
      </c>
      <c r="AF52" s="25" t="str">
        <f>IF(AF$3="","",IF(COUNTIFS(Base!$A$3:$A$5001,AF$3,Base!$B$3:$B$5001,$A$41,Base!$X$3:$X$5001,"&lt;&gt;")=0,"",SUMIFS(Base!$X$3:$X$5001,Base!$A$3:$A$5001,AF$3,Base!$B$3:$B$5001,$A$41)))</f>
        <v/>
      </c>
      <c r="AG52" s="25">
        <f>IF(AG$3="","",IF(COUNTIFS(Base!$A$3:$A$5001,AG$3,Base!$B$3:$B$5001,$A$41,Base!$X$3:$X$5001,"&lt;&gt;")=0,"",SUMIFS(Base!$X$3:$X$5001,Base!$A$3:$A$5001,AG$3,Base!$B$3:$B$5001,$A$41)))</f>
        <v>3500</v>
      </c>
      <c r="AH52" s="25">
        <f>IF(AH$3="","",IF(COUNTIFS(Base!$A$3:$A$5001,AH$3,Base!$B$3:$B$5001,$A$41,Base!$X$3:$X$5001,"&lt;&gt;")=0,"",SUMIFS(Base!$X$3:$X$5001,Base!$A$3:$A$5001,AH$3,Base!$B$3:$B$5001,$A$41)))</f>
        <v>3500</v>
      </c>
      <c r="AI52" s="25" t="str">
        <f>IF(AI$3="","",IF(COUNTIFS(Base!$A$3:$A$5001,AI$3,Base!$B$3:$B$5001,$A$41,Base!$X$3:$X$5001,"&lt;&gt;")=0,"",SUMIFS(Base!$X$3:$X$5001,Base!$A$3:$A$5001,AI$3,Base!$B$3:$B$5001,$A$41)))</f>
        <v/>
      </c>
      <c r="AJ52" s="26" t="str">
        <f>IF(AJ$3="","",IF(COUNTIFS(Base!$A$3:$A$5001,AJ$3,Base!$B$3:$B$5001,$A$41,Base!$X$3:$X$5001,"&lt;&gt;")=0,"",SUMIFS(Base!$X$3:$X$5001,Base!$A$3:$A$5001,AJ$3,Base!$B$3:$B$5001,$A$41)))</f>
        <v/>
      </c>
      <c r="AK52" s="27">
        <f>IFERROR(LOOKUP(9.99E+307,F52:AJ52),"")</f>
        <v>3500</v>
      </c>
    </row>
    <row r="53" ht="15.75" customHeight="1">
      <c r="A53" s="118"/>
      <c r="B53" s="106"/>
      <c r="C53" s="28" t="inlineStr">
        <is>
          <t xml:space="preserve">Posições Ocupadas</t>
        </is>
      </c>
      <c r="D53" s="29" t="str">
        <f>IFERROR(1/(1/INDEX(calculos!$C$55:$K$83,MATCH("Posições Ocupadas",calculos!$A$55:$A$83,0),MATCH($A$41,calculos!$C$54:$K$54,0))),"")</f>
        <v/>
      </c>
      <c r="E53" s="30"/>
      <c r="F53" s="31">
        <f>IF(F$3="","",IF(COUNTIFS(Base!$A$3:$A$5001,F$3,Base!$B$3:$B$5001,$A$41,Base!$Y$3:$Y$5001,"&lt;&gt;")=0,"",SUMIFS(Base!$Y$3:$Y$5001,Base!$A$3:$A$5001,F$3,Base!$B$3:$B$5001,$A$41)))</f>
        <v>2813</v>
      </c>
      <c r="G53" s="32">
        <f>IF(G$3="","",IF(COUNTIFS(Base!$A$3:$A$5001,G$3,Base!$B$3:$B$5001,$A$41,Base!$Y$3:$Y$5001,"&lt;&gt;")=0,"",SUMIFS(Base!$Y$3:$Y$5001,Base!$A$3:$A$5001,G$3,Base!$B$3:$B$5001,$A$41)))</f>
        <v>2661</v>
      </c>
      <c r="H53" s="32">
        <f>IF(H$3="","",IF(COUNTIFS(Base!$A$3:$A$5001,H$3,Base!$B$3:$B$5001,$A$41,Base!$Y$3:$Y$5001,"&lt;&gt;")=0,"",SUMIFS(Base!$Y$3:$Y$5001,Base!$A$3:$A$5001,H$3,Base!$B$3:$B$5001,$A$41)))</f>
        <v>2409</v>
      </c>
      <c r="I53" s="32">
        <f>IF(I$3="","",IF(COUNTIFS(Base!$A$3:$A$5001,I$3,Base!$B$3:$B$5001,$A$41,Base!$Y$3:$Y$5001,"&lt;&gt;")=0,"",SUMIFS(Base!$Y$3:$Y$5001,Base!$A$3:$A$5001,I$3,Base!$B$3:$B$5001,$A$41)))</f>
        <v>2219</v>
      </c>
      <c r="J53" s="32">
        <f>IF(J$3="","",IF(COUNTIFS(Base!$A$3:$A$5001,J$3,Base!$B$3:$B$5001,$A$41,Base!$Y$3:$Y$5001,"&lt;&gt;")=0,"",SUMIFS(Base!$Y$3:$Y$5001,Base!$A$3:$A$5001,J$3,Base!$B$3:$B$5001,$A$41)))</f>
        <v>2245</v>
      </c>
      <c r="K53" s="32" t="str">
        <f>IF(K$3="","",IF(COUNTIFS(Base!$A$3:$A$5001,K$3,Base!$B$3:$B$5001,$A$41,Base!$Y$3:$Y$5001,"&lt;&gt;")=0,"",SUMIFS(Base!$Y$3:$Y$5001,Base!$A$3:$A$5001,K$3,Base!$B$3:$B$5001,$A$41)))</f>
        <v/>
      </c>
      <c r="L53" s="32">
        <f>IF(L$3="","",IF(COUNTIFS(Base!$A$3:$A$5001,L$3,Base!$B$3:$B$5001,$A$41,Base!$Y$3:$Y$5001,"&lt;&gt;")=0,"",SUMIFS(Base!$Y$3:$Y$5001,Base!$A$3:$A$5001,L$3,Base!$B$3:$B$5001,$A$41)))</f>
        <v>2613</v>
      </c>
      <c r="M53" s="32">
        <f>IF(M$3="","",IF(COUNTIFS(Base!$A$3:$A$5001,M$3,Base!$B$3:$B$5001,$A$41,Base!$Y$3:$Y$5001,"&lt;&gt;")=0,"",SUMIFS(Base!$Y$3:$Y$5001,Base!$A$3:$A$5001,M$3,Base!$B$3:$B$5001,$A$41)))</f>
        <v>2032</v>
      </c>
      <c r="N53" s="32">
        <f>IF(N$3="","",IF(COUNTIFS(Base!$A$3:$A$5001,N$3,Base!$B$3:$B$5001,$A$41,Base!$Y$3:$Y$5001,"&lt;&gt;")=0,"",SUMIFS(Base!$Y$3:$Y$5001,Base!$A$3:$A$5001,N$3,Base!$B$3:$B$5001,$A$41)))</f>
        <v>2989</v>
      </c>
      <c r="O53" s="32">
        <f>IF(O$3="","",IF(COUNTIFS(Base!$A$3:$A$5001,O$3,Base!$B$3:$B$5001,$A$41,Base!$Y$3:$Y$5001,"&lt;&gt;")=0,"",SUMIFS(Base!$Y$3:$Y$5001,Base!$A$3:$A$5001,O$3,Base!$B$3:$B$5001,$A$41)))</f>
        <v>2504</v>
      </c>
      <c r="P53" s="32">
        <f>IF(P$3="","",IF(COUNTIFS(Base!$A$3:$A$5001,P$3,Base!$B$3:$B$5001,$A$41,Base!$Y$3:$Y$5001,"&lt;&gt;")=0,"",SUMIFS(Base!$Y$3:$Y$5001,Base!$A$3:$A$5001,P$3,Base!$B$3:$B$5001,$A$41)))</f>
        <v>3106</v>
      </c>
      <c r="Q53" s="32">
        <f>IF(Q$3="","",IF(COUNTIFS(Base!$A$3:$A$5001,Q$3,Base!$B$3:$B$5001,$A$41,Base!$Y$3:$Y$5001,"&lt;&gt;")=0,"",SUMIFS(Base!$Y$3:$Y$5001,Base!$A$3:$A$5001,Q$3,Base!$B$3:$B$5001,$A$41)))</f>
        <v>1956</v>
      </c>
      <c r="R53" s="32" t="str">
        <f>IF(R$3="","",IF(COUNTIFS(Base!$A$3:$A$5001,R$3,Base!$B$3:$B$5001,$A$41,Base!$Y$3:$Y$5001,"&lt;&gt;")=0,"",SUMIFS(Base!$Y$3:$Y$5001,Base!$A$3:$A$5001,R$3,Base!$B$3:$B$5001,$A$41)))</f>
        <v/>
      </c>
      <c r="S53" s="32">
        <f>IF(S$3="","",IF(COUNTIFS(Base!$A$3:$A$5001,S$3,Base!$B$3:$B$5001,$A$41,Base!$Y$3:$Y$5001,"&lt;&gt;")=0,"",SUMIFS(Base!$Y$3:$Y$5001,Base!$A$3:$A$5001,S$3,Base!$B$3:$B$5001,$A$41)))</f>
        <v>2986</v>
      </c>
      <c r="T53" s="32">
        <f>IF(T$3="","",IF(COUNTIFS(Base!$A$3:$A$5001,T$3,Base!$B$3:$B$5001,$A$41,Base!$Y$3:$Y$5001,"&lt;&gt;")=0,"",SUMIFS(Base!$Y$3:$Y$5001,Base!$A$3:$A$5001,T$3,Base!$B$3:$B$5001,$A$41)))</f>
        <v>2316</v>
      </c>
      <c r="U53" s="32">
        <f>IF(U$3="","",IF(COUNTIFS(Base!$A$3:$A$5001,U$3,Base!$B$3:$B$5001,$A$41,Base!$Y$3:$Y$5001,"&lt;&gt;")=0,"",SUMIFS(Base!$Y$3:$Y$5001,Base!$A$3:$A$5001,U$3,Base!$B$3:$B$5001,$A$41)))</f>
        <v>2071</v>
      </c>
      <c r="V53" s="32">
        <f>IF(V$3="","",IF(COUNTIFS(Base!$A$3:$A$5001,V$3,Base!$B$3:$B$5001,$A$41,Base!$Y$3:$Y$5001,"&lt;&gt;")=0,"",SUMIFS(Base!$Y$3:$Y$5001,Base!$A$3:$A$5001,V$3,Base!$B$3:$B$5001,$A$41)))</f>
        <v>2412</v>
      </c>
      <c r="W53" s="32">
        <f>IF(W$3="","",IF(COUNTIFS(Base!$A$3:$A$5001,W$3,Base!$B$3:$B$5001,$A$41,Base!$Y$3:$Y$5001,"&lt;&gt;")=0,"",SUMIFS(Base!$Y$3:$Y$5001,Base!$A$3:$A$5001,W$3,Base!$B$3:$B$5001,$A$41)))</f>
        <v>2944</v>
      </c>
      <c r="X53" s="32">
        <f>IF(X$3="","",IF(COUNTIFS(Base!$A$3:$A$5001,X$3,Base!$B$3:$B$5001,$A$41,Base!$Y$3:$Y$5001,"&lt;&gt;")=0,"",SUMIFS(Base!$Y$3:$Y$5001,Base!$A$3:$A$5001,X$3,Base!$B$3:$B$5001,$A$41)))</f>
        <v>2354</v>
      </c>
      <c r="Y53" s="32" t="str">
        <f>IF(Y$3="","",IF(COUNTIFS(Base!$A$3:$A$5001,Y$3,Base!$B$3:$B$5001,$A$41,Base!$Y$3:$Y$5001,"&lt;&gt;")=0,"",SUMIFS(Base!$Y$3:$Y$5001,Base!$A$3:$A$5001,Y$3,Base!$B$3:$B$5001,$A$41)))</f>
        <v/>
      </c>
      <c r="Z53" s="32">
        <f>IF(Z$3="","",IF(COUNTIFS(Base!$A$3:$A$5001,Z$3,Base!$B$3:$B$5001,$A$41,Base!$Y$3:$Y$5001,"&lt;&gt;")=0,"",SUMIFS(Base!$Y$3:$Y$5001,Base!$A$3:$A$5001,Z$3,Base!$B$3:$B$5001,$A$41)))</f>
        <v>2860</v>
      </c>
      <c r="AA53" s="32">
        <f>IF(AA$3="","",IF(COUNTIFS(Base!$A$3:$A$5001,AA$3,Base!$B$3:$B$5001,$A$41,Base!$Y$3:$Y$5001,"&lt;&gt;")=0,"",SUMIFS(Base!$Y$3:$Y$5001,Base!$A$3:$A$5001,AA$3,Base!$B$3:$B$5001,$A$41)))</f>
        <v>2499</v>
      </c>
      <c r="AB53" s="32">
        <f>IF(AB$3="","",IF(COUNTIFS(Base!$A$3:$A$5001,AB$3,Base!$B$3:$B$5001,$A$41,Base!$Y$3:$Y$5001,"&lt;&gt;")=0,"",SUMIFS(Base!$Y$3:$Y$5001,Base!$A$3:$A$5001,AB$3,Base!$B$3:$B$5001,$A$41)))</f>
        <v>3179</v>
      </c>
      <c r="AC53" s="32">
        <f>IF(AC$3="","",IF(COUNTIFS(Base!$A$3:$A$5001,AC$3,Base!$B$3:$B$5001,$A$41,Base!$Y$3:$Y$5001,"&lt;&gt;")=0,"",SUMIFS(Base!$Y$3:$Y$5001,Base!$A$3:$A$5001,AC$3,Base!$B$3:$B$5001,$A$41)))</f>
        <v>2814</v>
      </c>
      <c r="AD53" s="32">
        <f>IF(AD$3="","",IF(COUNTIFS(Base!$A$3:$A$5001,AD$3,Base!$B$3:$B$5001,$A$41,Base!$Y$3:$Y$5001,"&lt;&gt;")=0,"",SUMIFS(Base!$Y$3:$Y$5001,Base!$A$3:$A$5001,AD$3,Base!$B$3:$B$5001,$A$41)))</f>
        <v>2650</v>
      </c>
      <c r="AE53" s="32">
        <f>IF(AE$3="","",IF(COUNTIFS(Base!$A$3:$A$5001,AE$3,Base!$B$3:$B$5001,$A$41,Base!$Y$3:$Y$5001,"&lt;&gt;")=0,"",SUMIFS(Base!$Y$3:$Y$5001,Base!$A$3:$A$5001,AE$3,Base!$B$3:$B$5001,$A$41)))</f>
        <v>2339</v>
      </c>
      <c r="AF53" s="32" t="str">
        <f>IF(AF$3="","",IF(COUNTIFS(Base!$A$3:$A$5001,AF$3,Base!$B$3:$B$5001,$A$41,Base!$Y$3:$Y$5001,"&lt;&gt;")=0,"",SUMIFS(Base!$Y$3:$Y$5001,Base!$A$3:$A$5001,AF$3,Base!$B$3:$B$5001,$A$41)))</f>
        <v/>
      </c>
      <c r="AG53" s="32">
        <f>IF(AG$3="","",IF(COUNTIFS(Base!$A$3:$A$5001,AG$3,Base!$B$3:$B$5001,$A$41,Base!$Y$3:$Y$5001,"&lt;&gt;")=0,"",SUMIFS(Base!$Y$3:$Y$5001,Base!$A$3:$A$5001,AG$3,Base!$B$3:$B$5001,$A$41)))</f>
        <v>2649</v>
      </c>
      <c r="AH53" s="32">
        <f>IF(AH$3="","",IF(COUNTIFS(Base!$A$3:$A$5001,AH$3,Base!$B$3:$B$5001,$A$41,Base!$Y$3:$Y$5001,"&lt;&gt;")=0,"",SUMIFS(Base!$Y$3:$Y$5001,Base!$A$3:$A$5001,AH$3,Base!$B$3:$B$5001,$A$41)))</f>
        <v>2863</v>
      </c>
      <c r="AI53" s="32" t="str">
        <f>IF(AI$3="","",IF(COUNTIFS(Base!$A$3:$A$5001,AI$3,Base!$B$3:$B$5001,$A$41,Base!$Y$3:$Y$5001,"&lt;&gt;")=0,"",SUMIFS(Base!$Y$3:$Y$5001,Base!$A$3:$A$5001,AI$3,Base!$B$3:$B$5001,$A$41)))</f>
        <v/>
      </c>
      <c r="AJ53" s="33" t="str">
        <f>IF(AJ$3="","",IF(COUNTIFS(Base!$A$3:$A$5001,AJ$3,Base!$B$3:$B$5001,$A$41,Base!$Y$3:$Y$5001,"&lt;&gt;")=0,"",SUMIFS(Base!$Y$3:$Y$5001,Base!$A$3:$A$5001,AJ$3,Base!$B$3:$B$5001,$A$41)))</f>
        <v/>
      </c>
      <c r="AK53" s="34">
        <f>IFERROR(LOOKUP(9.99E+307,F53:AJ53),"")</f>
        <v>2863</v>
      </c>
    </row>
    <row r="54" ht="15.75" customHeight="1">
      <c r="A54" s="118"/>
      <c r="B54" s="107"/>
      <c r="C54" s="35" t="inlineStr">
        <is>
          <t xml:space="preserve">Taxa de Ocupação</t>
        </is>
      </c>
      <c r="D54" s="81" t="str">
        <f>IFERROR(1/(1/INDEX(calculos!$C$55:$K$83,MATCH("Taxa de Ocupação",calculos!$A$55:$A$83,0),MATCH($A$41,calculos!$C$54:$K$54,0))),"")</f>
        <v/>
      </c>
      <c r="E54" s="37"/>
      <c r="F54" s="82">
        <f>IF(AND(ISNUMBER(F52),ISNUMBER(F53)),IF(F52&gt;0,F53/F52,""),"")</f>
        <v>0.803714285714286</v>
      </c>
      <c r="G54" s="83">
        <f>IF(AND(ISNUMBER(G52),ISNUMBER(G53)),IF(G52&gt;0,G53/G52,""),"")</f>
        <v>0.760285714285714</v>
      </c>
      <c r="H54" s="83">
        <f>IF(AND(ISNUMBER(H52),ISNUMBER(H53)),IF(H52&gt;0,H53/H52,""),"")</f>
        <v>0.688285714285714</v>
      </c>
      <c r="I54" s="83">
        <f>IF(AND(ISNUMBER(I52),ISNUMBER(I53)),IF(I52&gt;0,I53/I52,""),"")</f>
        <v>0.634</v>
      </c>
      <c r="J54" s="83">
        <f>IF(AND(ISNUMBER(J52),ISNUMBER(J53)),IF(J52&gt;0,J53/J52,""),"")</f>
        <v>0.641428571428572</v>
      </c>
      <c r="K54" s="83" t="str">
        <f>IF(AND(ISNUMBER(K52),ISNUMBER(K53)),IF(K52&gt;0,K53/K52,""),"")</f>
        <v/>
      </c>
      <c r="L54" s="83">
        <f>IF(AND(ISNUMBER(L52),ISNUMBER(L53)),IF(L52&gt;0,L53/L52,""),"")</f>
        <v>0.746571428571429</v>
      </c>
      <c r="M54" s="83">
        <f>IF(AND(ISNUMBER(M52),ISNUMBER(M53)),IF(M52&gt;0,M53/M52,""),"")</f>
        <v>0.580571428571429</v>
      </c>
      <c r="N54" s="83">
        <f>IF(AND(ISNUMBER(N52),ISNUMBER(N53)),IF(N52&gt;0,N53/N52,""),"")</f>
        <v>0.854</v>
      </c>
      <c r="O54" s="83">
        <f>IF(AND(ISNUMBER(O52),ISNUMBER(O53)),IF(O52&gt;0,O53/O52,""),"")</f>
        <v>0.715428571428571</v>
      </c>
      <c r="P54" s="83">
        <f>IF(AND(ISNUMBER(P52),ISNUMBER(P53)),IF(P52&gt;0,P53/P52,""),"")</f>
        <v>0.887428571428572</v>
      </c>
      <c r="Q54" s="83">
        <f>IF(AND(ISNUMBER(Q52),ISNUMBER(Q53)),IF(Q52&gt;0,Q53/Q52,""),"")</f>
        <v>0.558857142857143</v>
      </c>
      <c r="R54" s="83" t="str">
        <f>IF(AND(ISNUMBER(R52),ISNUMBER(R53)),IF(R52&gt;0,R53/R52,""),"")</f>
        <v/>
      </c>
      <c r="S54" s="83">
        <f>IF(AND(ISNUMBER(S52),ISNUMBER(S53)),IF(S52&gt;0,S53/S52,""),"")</f>
        <v>0.853142857142857</v>
      </c>
      <c r="T54" s="83">
        <f>IF(AND(ISNUMBER(T52),ISNUMBER(T53)),IF(T52&gt;0,T53/T52,""),"")</f>
        <v>0.661714285714286</v>
      </c>
      <c r="U54" s="83">
        <f>IF(AND(ISNUMBER(U52),ISNUMBER(U53)),IF(U52&gt;0,U53/U52,""),"")</f>
        <v>0.591714285714286</v>
      </c>
      <c r="V54" s="83">
        <f>IF(AND(ISNUMBER(V52),ISNUMBER(V53)),IF(V52&gt;0,V53/V52,""),"")</f>
        <v>0.689142857142857</v>
      </c>
      <c r="W54" s="83">
        <f>IF(AND(ISNUMBER(W52),ISNUMBER(W53)),IF(W52&gt;0,W53/W52,""),"")</f>
        <v>0.841142857142857</v>
      </c>
      <c r="X54" s="83">
        <f>IF(AND(ISNUMBER(X52),ISNUMBER(X53)),IF(X52&gt;0,X53/X52,""),"")</f>
        <v>0.672571428571429</v>
      </c>
      <c r="Y54" s="83" t="str">
        <f>IF(AND(ISNUMBER(Y52),ISNUMBER(Y53)),IF(Y52&gt;0,Y53/Y52,""),"")</f>
        <v/>
      </c>
      <c r="Z54" s="83">
        <f>IF(AND(ISNUMBER(Z52),ISNUMBER(Z53)),IF(Z52&gt;0,Z53/Z52,""),"")</f>
        <v>0.817142857142857</v>
      </c>
      <c r="AA54" s="83">
        <f>IF(AND(ISNUMBER(AA52),ISNUMBER(AA53)),IF(AA52&gt;0,AA53/AA52,""),"")</f>
        <v>0.714</v>
      </c>
      <c r="AB54" s="83">
        <f>IF(AND(ISNUMBER(AB52),ISNUMBER(AB53)),IF(AB52&gt;0,AB53/AB52,""),"")</f>
        <v>0.908285714285714</v>
      </c>
      <c r="AC54" s="83">
        <f>IF(AND(ISNUMBER(AC52),ISNUMBER(AC53)),IF(AC52&gt;0,AC53/AC52,""),"")</f>
        <v>0.804</v>
      </c>
      <c r="AD54" s="83">
        <f>IF(AND(ISNUMBER(AD52),ISNUMBER(AD53)),IF(AD52&gt;0,AD53/AD52,""),"")</f>
        <v>0.757142857142857</v>
      </c>
      <c r="AE54" s="83">
        <f>IF(AND(ISNUMBER(AE52),ISNUMBER(AE53)),IF(AE52&gt;0,AE53/AE52,""),"")</f>
        <v>0.668285714285714</v>
      </c>
      <c r="AF54" s="83" t="str">
        <f>IF(AND(ISNUMBER(AF52),ISNUMBER(AF53)),IF(AF52&gt;0,AF53/AF52,""),"")</f>
        <v/>
      </c>
      <c r="AG54" s="83">
        <f>IF(AND(ISNUMBER(AG52),ISNUMBER(AG53)),IF(AG52&gt;0,AG53/AG52,""),"")</f>
        <v>0.756857142857143</v>
      </c>
      <c r="AH54" s="83">
        <f>IF(AND(ISNUMBER(AH52),ISNUMBER(AH53)),IF(AH52&gt;0,AH53/AH52,""),"")</f>
        <v>0.818</v>
      </c>
      <c r="AI54" s="83" t="str">
        <f>IF(AND(ISNUMBER(AI52),ISNUMBER(AI53)),IF(AI52&gt;0,AI53/AI52,""),"")</f>
        <v/>
      </c>
      <c r="AJ54" s="84" t="str">
        <f>IF(AND(ISNUMBER(AJ52),ISNUMBER(AJ53)),IF(AJ52&gt;0,AJ53/AJ52,""),"")</f>
        <v/>
      </c>
      <c r="AK54" s="81">
        <f>IF(AND(ISNUMBER(AK52),ISNUMBER(AK53)),IF(AK52&gt;0,AK53/AK52,""),"")</f>
        <v>0.818</v>
      </c>
    </row>
    <row r="55" ht="15.75" customHeight="1">
      <c r="A55" s="118"/>
      <c r="B55" s="114" t="inlineStr">
        <is>
          <t xml:space="preserve">GENTE</t>
        </is>
      </c>
      <c r="C55" s="85" t="inlineStr">
        <is>
          <t xml:space="preserve">Efetivo</t>
        </is>
      </c>
      <c r="D55" s="86" t="str">
        <f>IFERROR(1/(1/INDEX(calculos!$C$55:$K$83,MATCH("Efetivo",calculos!$A$55:$A$83,0),MATCH($A$41,calculos!$C$54:$K$54,0))),"")</f>
        <v/>
      </c>
      <c r="E55" s="87"/>
      <c r="F55" s="88">
        <f>IF(F$3="","",IF(COUNTIFS(Base!$A$3:$A$5001,F$3,Base!$B$3:$B$5001,$A$41,Base!$Z$3:$Z$5001,"&lt;&gt;")=0,"",SUMIFS(Base!$Z$3:$Z$5001,Base!$A$3:$A$5001,F$3,Base!$B$3:$B$5001,$A$41)))</f>
        <v>11</v>
      </c>
      <c r="G55" s="89">
        <f>IF(G$3="","",IF(COUNTIFS(Base!$A$3:$A$5001,G$3,Base!$B$3:$B$5001,$A$41,Base!$Z$3:$Z$5001,"&lt;&gt;")=0,"",SUMIFS(Base!$Z$3:$Z$5001,Base!$A$3:$A$5001,G$3,Base!$B$3:$B$5001,$A$41)))</f>
        <v>10</v>
      </c>
      <c r="H55" s="89">
        <f>IF(H$3="","",IF(COUNTIFS(Base!$A$3:$A$5001,H$3,Base!$B$3:$B$5001,$A$41,Base!$Z$3:$Z$5001,"&lt;&gt;")=0,"",SUMIFS(Base!$Z$3:$Z$5001,Base!$A$3:$A$5001,H$3,Base!$B$3:$B$5001,$A$41)))</f>
        <v>8</v>
      </c>
      <c r="I55" s="89">
        <f>IF(I$3="","",IF(COUNTIFS(Base!$A$3:$A$5001,I$3,Base!$B$3:$B$5001,$A$41,Base!$Z$3:$Z$5001,"&lt;&gt;")=0,"",SUMIFS(Base!$Z$3:$Z$5001,Base!$A$3:$A$5001,I$3,Base!$B$3:$B$5001,$A$41)))</f>
        <v>4</v>
      </c>
      <c r="J55" s="89">
        <f>IF(J$3="","",IF(COUNTIFS(Base!$A$3:$A$5001,J$3,Base!$B$3:$B$5001,$A$41,Base!$Z$3:$Z$5001,"&lt;&gt;")=0,"",SUMIFS(Base!$Z$3:$Z$5001,Base!$A$3:$A$5001,J$3,Base!$B$3:$B$5001,$A$41)))</f>
        <v>4</v>
      </c>
      <c r="K55" s="89" t="str">
        <f>IF(K$3="","",IF(COUNTIFS(Base!$A$3:$A$5001,K$3,Base!$B$3:$B$5001,$A$41,Base!$Z$3:$Z$5001,"&lt;&gt;")=0,"",SUMIFS(Base!$Z$3:$Z$5001,Base!$A$3:$A$5001,K$3,Base!$B$3:$B$5001,$A$41)))</f>
        <v/>
      </c>
      <c r="L55" s="89">
        <f>IF(L$3="","",IF(COUNTIFS(Base!$A$3:$A$5001,L$3,Base!$B$3:$B$5001,$A$41,Base!$Z$3:$Z$5001,"&lt;&gt;")=0,"",SUMIFS(Base!$Z$3:$Z$5001,Base!$A$3:$A$5001,L$3,Base!$B$3:$B$5001,$A$41)))</f>
        <v>11</v>
      </c>
      <c r="M55" s="89">
        <f>IF(M$3="","",IF(COUNTIFS(Base!$A$3:$A$5001,M$3,Base!$B$3:$B$5001,$A$41,Base!$Z$3:$Z$5001,"&lt;&gt;")=0,"",SUMIFS(Base!$Z$3:$Z$5001,Base!$A$3:$A$5001,M$3,Base!$B$3:$B$5001,$A$41)))</f>
        <v>4</v>
      </c>
      <c r="N55" s="89">
        <f>IF(N$3="","",IF(COUNTIFS(Base!$A$3:$A$5001,N$3,Base!$B$3:$B$5001,$A$41,Base!$Z$3:$Z$5001,"&lt;&gt;")=0,"",SUMIFS(Base!$Z$3:$Z$5001,Base!$A$3:$A$5001,N$3,Base!$B$3:$B$5001,$A$41)))</f>
        <v>4</v>
      </c>
      <c r="O55" s="89">
        <f>IF(O$3="","",IF(COUNTIFS(Base!$A$3:$A$5001,O$3,Base!$B$3:$B$5001,$A$41,Base!$Z$3:$Z$5001,"&lt;&gt;")=0,"",SUMIFS(Base!$Z$3:$Z$5001,Base!$A$3:$A$5001,O$3,Base!$B$3:$B$5001,$A$41)))</f>
        <v>8</v>
      </c>
      <c r="P55" s="89">
        <f>IF(P$3="","",IF(COUNTIFS(Base!$A$3:$A$5001,P$3,Base!$B$3:$B$5001,$A$41,Base!$Z$3:$Z$5001,"&lt;&gt;")=0,"",SUMIFS(Base!$Z$3:$Z$5001,Base!$A$3:$A$5001,P$3,Base!$B$3:$B$5001,$A$41)))</f>
        <v>10</v>
      </c>
      <c r="Q55" s="89">
        <f>IF(Q$3="","",IF(COUNTIFS(Base!$A$3:$A$5001,Q$3,Base!$B$3:$B$5001,$A$41,Base!$Z$3:$Z$5001,"&lt;&gt;")=0,"",SUMIFS(Base!$Z$3:$Z$5001,Base!$A$3:$A$5001,Q$3,Base!$B$3:$B$5001,$A$41)))</f>
        <v>7</v>
      </c>
      <c r="R55" s="89" t="str">
        <f>IF(R$3="","",IF(COUNTIFS(Base!$A$3:$A$5001,R$3,Base!$B$3:$B$5001,$A$41,Base!$Z$3:$Z$5001,"&lt;&gt;")=0,"",SUMIFS(Base!$Z$3:$Z$5001,Base!$A$3:$A$5001,R$3,Base!$B$3:$B$5001,$A$41)))</f>
        <v/>
      </c>
      <c r="S55" s="89">
        <f>IF(S$3="","",IF(COUNTIFS(Base!$A$3:$A$5001,S$3,Base!$B$3:$B$5001,$A$41,Base!$Z$3:$Z$5001,"&lt;&gt;")=0,"",SUMIFS(Base!$Z$3:$Z$5001,Base!$A$3:$A$5001,S$3,Base!$B$3:$B$5001,$A$41)))</f>
        <v>7</v>
      </c>
      <c r="T55" s="89">
        <f>IF(T$3="","",IF(COUNTIFS(Base!$A$3:$A$5001,T$3,Base!$B$3:$B$5001,$A$41,Base!$Z$3:$Z$5001,"&lt;&gt;")=0,"",SUMIFS(Base!$Z$3:$Z$5001,Base!$A$3:$A$5001,T$3,Base!$B$3:$B$5001,$A$41)))</f>
        <v>10</v>
      </c>
      <c r="U55" s="89">
        <f>IF(U$3="","",IF(COUNTIFS(Base!$A$3:$A$5001,U$3,Base!$B$3:$B$5001,$A$41,Base!$Z$3:$Z$5001,"&lt;&gt;")=0,"",SUMIFS(Base!$Z$3:$Z$5001,Base!$A$3:$A$5001,U$3,Base!$B$3:$B$5001,$A$41)))</f>
        <v>12</v>
      </c>
      <c r="V55" s="89">
        <f>IF(V$3="","",IF(COUNTIFS(Base!$A$3:$A$5001,V$3,Base!$B$3:$B$5001,$A$41,Base!$Z$3:$Z$5001,"&lt;&gt;")=0,"",SUMIFS(Base!$Z$3:$Z$5001,Base!$A$3:$A$5001,V$3,Base!$B$3:$B$5001,$A$41)))</f>
        <v>6</v>
      </c>
      <c r="W55" s="89">
        <f>IF(W$3="","",IF(COUNTIFS(Base!$A$3:$A$5001,W$3,Base!$B$3:$B$5001,$A$41,Base!$Z$3:$Z$5001,"&lt;&gt;")=0,"",SUMIFS(Base!$Z$3:$Z$5001,Base!$A$3:$A$5001,W$3,Base!$B$3:$B$5001,$A$41)))</f>
        <v>8</v>
      </c>
      <c r="X55" s="89">
        <f>IF(X$3="","",IF(COUNTIFS(Base!$A$3:$A$5001,X$3,Base!$B$3:$B$5001,$A$41,Base!$Z$3:$Z$5001,"&lt;&gt;")=0,"",SUMIFS(Base!$Z$3:$Z$5001,Base!$A$3:$A$5001,X$3,Base!$B$3:$B$5001,$A$41)))</f>
        <v>5</v>
      </c>
      <c r="Y55" s="89" t="str">
        <f>IF(Y$3="","",IF(COUNTIFS(Base!$A$3:$A$5001,Y$3,Base!$B$3:$B$5001,$A$41,Base!$Z$3:$Z$5001,"&lt;&gt;")=0,"",SUMIFS(Base!$Z$3:$Z$5001,Base!$A$3:$A$5001,Y$3,Base!$B$3:$B$5001,$A$41)))</f>
        <v/>
      </c>
      <c r="Z55" s="89">
        <f>IF(Z$3="","",IF(COUNTIFS(Base!$A$3:$A$5001,Z$3,Base!$B$3:$B$5001,$A$41,Base!$Z$3:$Z$5001,"&lt;&gt;")=0,"",SUMIFS(Base!$Z$3:$Z$5001,Base!$A$3:$A$5001,Z$3,Base!$B$3:$B$5001,$A$41)))</f>
        <v>10</v>
      </c>
      <c r="AA55" s="89">
        <f>IF(AA$3="","",IF(COUNTIFS(Base!$A$3:$A$5001,AA$3,Base!$B$3:$B$5001,$A$41,Base!$Z$3:$Z$5001,"&lt;&gt;")=0,"",SUMIFS(Base!$Z$3:$Z$5001,Base!$A$3:$A$5001,AA$3,Base!$B$3:$B$5001,$A$41)))</f>
        <v>6</v>
      </c>
      <c r="AB55" s="89">
        <f>IF(AB$3="","",IF(COUNTIFS(Base!$A$3:$A$5001,AB$3,Base!$B$3:$B$5001,$A$41,Base!$Z$3:$Z$5001,"&lt;&gt;")=0,"",SUMIFS(Base!$Z$3:$Z$5001,Base!$A$3:$A$5001,AB$3,Base!$B$3:$B$5001,$A$41)))</f>
        <v>11</v>
      </c>
      <c r="AC55" s="89">
        <f>IF(AC$3="","",IF(COUNTIFS(Base!$A$3:$A$5001,AC$3,Base!$B$3:$B$5001,$A$41,Base!$Z$3:$Z$5001,"&lt;&gt;")=0,"",SUMIFS(Base!$Z$3:$Z$5001,Base!$A$3:$A$5001,AC$3,Base!$B$3:$B$5001,$A$41)))</f>
        <v>6</v>
      </c>
      <c r="AD55" s="89">
        <f>IF(AD$3="","",IF(COUNTIFS(Base!$A$3:$A$5001,AD$3,Base!$B$3:$B$5001,$A$41,Base!$Z$3:$Z$5001,"&lt;&gt;")=0,"",SUMIFS(Base!$Z$3:$Z$5001,Base!$A$3:$A$5001,AD$3,Base!$B$3:$B$5001,$A$41)))</f>
        <v>11</v>
      </c>
      <c r="AE55" s="89">
        <f>IF(AE$3="","",IF(COUNTIFS(Base!$A$3:$A$5001,AE$3,Base!$B$3:$B$5001,$A$41,Base!$Z$3:$Z$5001,"&lt;&gt;")=0,"",SUMIFS(Base!$Z$3:$Z$5001,Base!$A$3:$A$5001,AE$3,Base!$B$3:$B$5001,$A$41)))</f>
        <v>12</v>
      </c>
      <c r="AF55" s="89" t="str">
        <f>IF(AF$3="","",IF(COUNTIFS(Base!$A$3:$A$5001,AF$3,Base!$B$3:$B$5001,$A$41,Base!$Z$3:$Z$5001,"&lt;&gt;")=0,"",SUMIFS(Base!$Z$3:$Z$5001,Base!$A$3:$A$5001,AF$3,Base!$B$3:$B$5001,$A$41)))</f>
        <v/>
      </c>
      <c r="AG55" s="89">
        <f>IF(AG$3="","",IF(COUNTIFS(Base!$A$3:$A$5001,AG$3,Base!$B$3:$B$5001,$A$41,Base!$Z$3:$Z$5001,"&lt;&gt;")=0,"",SUMIFS(Base!$Z$3:$Z$5001,Base!$A$3:$A$5001,AG$3,Base!$B$3:$B$5001,$A$41)))</f>
        <v>11</v>
      </c>
      <c r="AH55" s="89">
        <f>IF(AH$3="","",IF(COUNTIFS(Base!$A$3:$A$5001,AH$3,Base!$B$3:$B$5001,$A$41,Base!$Z$3:$Z$5001,"&lt;&gt;")=0,"",SUMIFS(Base!$Z$3:$Z$5001,Base!$A$3:$A$5001,AH$3,Base!$B$3:$B$5001,$A$41)))</f>
        <v>9</v>
      </c>
      <c r="AI55" s="89" t="str">
        <f>IF(AI$3="","",IF(COUNTIFS(Base!$A$3:$A$5001,AI$3,Base!$B$3:$B$5001,$A$41,Base!$Z$3:$Z$5001,"&lt;&gt;")=0,"",SUMIFS(Base!$Z$3:$Z$5001,Base!$A$3:$A$5001,AI$3,Base!$B$3:$B$5001,$A$41)))</f>
        <v/>
      </c>
      <c r="AJ55" s="90" t="str">
        <f>IF(AJ$3="","",IF(COUNTIFS(Base!$A$3:$A$5001,AJ$3,Base!$B$3:$B$5001,$A$41,Base!$Z$3:$Z$5001,"&lt;&gt;")=0,"",SUMIFS(Base!$Z$3:$Z$5001,Base!$A$3:$A$5001,AJ$3,Base!$B$3:$B$5001,$A$41)))</f>
        <v/>
      </c>
      <c r="AK55" s="91">
        <f>IFERROR(LOOKUP(9.99E+307,F55:AJ55),"")</f>
        <v>9</v>
      </c>
    </row>
    <row r="56" ht="15.75" customHeight="1">
      <c r="A56" s="118"/>
      <c r="B56" s="115"/>
      <c r="C56" s="92" t="inlineStr">
        <is>
          <t xml:space="preserve">Falta</t>
        </is>
      </c>
      <c r="D56" s="93" t="str">
        <f>IFERROR(1/(1/INDEX(calculos!$C$55:$K$83,MATCH("Falta",calculos!$A$55:$A$83,0),MATCH($A$41,calculos!$C$54:$K$54,0))),"")</f>
        <v/>
      </c>
      <c r="E56" s="94"/>
      <c r="F56" s="95">
        <f>IF(F$3="","",IF(COUNTIFS(Base!$A$3:$A$5001,F$3,Base!$B$3:$B$5001,$A$41,Base!$AA$3:$AA$5001,"&lt;&gt;")=0,"",SUMIFS(Base!$AA$3:$AA$5001,Base!$A$3:$A$5001,F$3,Base!$B$3:$B$5001,$A$41)))</f>
        <v>1</v>
      </c>
      <c r="G56" s="96" t="str">
        <f>IF(G$3="","",IF(COUNTIFS(Base!$A$3:$A$5001,G$3,Base!$B$3:$B$5001,$A$41,Base!$AA$3:$AA$5001,"&lt;&gt;")=0,"",SUMIFS(Base!$AA$3:$AA$5001,Base!$A$3:$A$5001,G$3,Base!$B$3:$B$5001,$A$41)))</f>
        <v/>
      </c>
      <c r="H56" s="96">
        <f>IF(H$3="","",IF(COUNTIFS(Base!$A$3:$A$5001,H$3,Base!$B$3:$B$5001,$A$41,Base!$AA$3:$AA$5001,"&lt;&gt;")=0,"",SUMIFS(Base!$AA$3:$AA$5001,Base!$A$3:$A$5001,H$3,Base!$B$3:$B$5001,$A$41)))</f>
        <v>1</v>
      </c>
      <c r="I56" s="96">
        <f>IF(I$3="","",IF(COUNTIFS(Base!$A$3:$A$5001,I$3,Base!$B$3:$B$5001,$A$41,Base!$AA$3:$AA$5001,"&lt;&gt;")=0,"",SUMIFS(Base!$AA$3:$AA$5001,Base!$A$3:$A$5001,I$3,Base!$B$3:$B$5001,$A$41)))</f>
        <v>1</v>
      </c>
      <c r="J56" s="96" t="str">
        <f>IF(J$3="","",IF(COUNTIFS(Base!$A$3:$A$5001,J$3,Base!$B$3:$B$5001,$A$41,Base!$AA$3:$AA$5001,"&lt;&gt;")=0,"",SUMIFS(Base!$AA$3:$AA$5001,Base!$A$3:$A$5001,J$3,Base!$B$3:$B$5001,$A$41)))</f>
        <v/>
      </c>
      <c r="K56" s="96" t="str">
        <f>IF(K$3="","",IF(COUNTIFS(Base!$A$3:$A$5001,K$3,Base!$B$3:$B$5001,$A$41,Base!$AA$3:$AA$5001,"&lt;&gt;")=0,"",SUMIFS(Base!$AA$3:$AA$5001,Base!$A$3:$A$5001,K$3,Base!$B$3:$B$5001,$A$41)))</f>
        <v/>
      </c>
      <c r="L56" s="96" t="str">
        <f>IF(L$3="","",IF(COUNTIFS(Base!$A$3:$A$5001,L$3,Base!$B$3:$B$5001,$A$41,Base!$AA$3:$AA$5001,"&lt;&gt;")=0,"",SUMIFS(Base!$AA$3:$AA$5001,Base!$A$3:$A$5001,L$3,Base!$B$3:$B$5001,$A$41)))</f>
        <v/>
      </c>
      <c r="M56" s="96" t="str">
        <f>IF(M$3="","",IF(COUNTIFS(Base!$A$3:$A$5001,M$3,Base!$B$3:$B$5001,$A$41,Base!$AA$3:$AA$5001,"&lt;&gt;")=0,"",SUMIFS(Base!$AA$3:$AA$5001,Base!$A$3:$A$5001,M$3,Base!$B$3:$B$5001,$A$41)))</f>
        <v/>
      </c>
      <c r="N56" s="96" t="str">
        <f>IF(N$3="","",IF(COUNTIFS(Base!$A$3:$A$5001,N$3,Base!$B$3:$B$5001,$A$41,Base!$AA$3:$AA$5001,"&lt;&gt;")=0,"",SUMIFS(Base!$AA$3:$AA$5001,Base!$A$3:$A$5001,N$3,Base!$B$3:$B$5001,$A$41)))</f>
        <v/>
      </c>
      <c r="O56" s="96">
        <f>IF(O$3="","",IF(COUNTIFS(Base!$A$3:$A$5001,O$3,Base!$B$3:$B$5001,$A$41,Base!$AA$3:$AA$5001,"&lt;&gt;")=0,"",SUMIFS(Base!$AA$3:$AA$5001,Base!$A$3:$A$5001,O$3,Base!$B$3:$B$5001,$A$41)))</f>
        <v>1</v>
      </c>
      <c r="P56" s="96">
        <f>IF(P$3="","",IF(COUNTIFS(Base!$A$3:$A$5001,P$3,Base!$B$3:$B$5001,$A$41,Base!$AA$3:$AA$5001,"&lt;&gt;")=0,"",SUMIFS(Base!$AA$3:$AA$5001,Base!$A$3:$A$5001,P$3,Base!$B$3:$B$5001,$A$41)))</f>
        <v>1</v>
      </c>
      <c r="Q56" s="96" t="str">
        <f>IF(Q$3="","",IF(COUNTIFS(Base!$A$3:$A$5001,Q$3,Base!$B$3:$B$5001,$A$41,Base!$AA$3:$AA$5001,"&lt;&gt;")=0,"",SUMIFS(Base!$AA$3:$AA$5001,Base!$A$3:$A$5001,Q$3,Base!$B$3:$B$5001,$A$41)))</f>
        <v/>
      </c>
      <c r="R56" s="96" t="str">
        <f>IF(R$3="","",IF(COUNTIFS(Base!$A$3:$A$5001,R$3,Base!$B$3:$B$5001,$A$41,Base!$AA$3:$AA$5001,"&lt;&gt;")=0,"",SUMIFS(Base!$AA$3:$AA$5001,Base!$A$3:$A$5001,R$3,Base!$B$3:$B$5001,$A$41)))</f>
        <v/>
      </c>
      <c r="S56" s="96">
        <f>IF(S$3="","",IF(COUNTIFS(Base!$A$3:$A$5001,S$3,Base!$B$3:$B$5001,$A$41,Base!$AA$3:$AA$5001,"&lt;&gt;")=0,"",SUMIFS(Base!$AA$3:$AA$5001,Base!$A$3:$A$5001,S$3,Base!$B$3:$B$5001,$A$41)))</f>
        <v>1</v>
      </c>
      <c r="T56" s="96">
        <f>IF(T$3="","",IF(COUNTIFS(Base!$A$3:$A$5001,T$3,Base!$B$3:$B$5001,$A$41,Base!$AA$3:$AA$5001,"&lt;&gt;")=0,"",SUMIFS(Base!$AA$3:$AA$5001,Base!$A$3:$A$5001,T$3,Base!$B$3:$B$5001,$A$41)))</f>
        <v>1</v>
      </c>
      <c r="U56" s="96" t="str">
        <f>IF(U$3="","",IF(COUNTIFS(Base!$A$3:$A$5001,U$3,Base!$B$3:$B$5001,$A$41,Base!$AA$3:$AA$5001,"&lt;&gt;")=0,"",SUMIFS(Base!$AA$3:$AA$5001,Base!$A$3:$A$5001,U$3,Base!$B$3:$B$5001,$A$41)))</f>
        <v/>
      </c>
      <c r="V56" s="96" t="str">
        <f>IF(V$3="","",IF(COUNTIFS(Base!$A$3:$A$5001,V$3,Base!$B$3:$B$5001,$A$41,Base!$AA$3:$AA$5001,"&lt;&gt;")=0,"",SUMIFS(Base!$AA$3:$AA$5001,Base!$A$3:$A$5001,V$3,Base!$B$3:$B$5001,$A$41)))</f>
        <v/>
      </c>
      <c r="W56" s="96" t="str">
        <f>IF(W$3="","",IF(COUNTIFS(Base!$A$3:$A$5001,W$3,Base!$B$3:$B$5001,$A$41,Base!$AA$3:$AA$5001,"&lt;&gt;")=0,"",SUMIFS(Base!$AA$3:$AA$5001,Base!$A$3:$A$5001,W$3,Base!$B$3:$B$5001,$A$41)))</f>
        <v/>
      </c>
      <c r="X56" s="96" t="str">
        <f>IF(X$3="","",IF(COUNTIFS(Base!$A$3:$A$5001,X$3,Base!$B$3:$B$5001,$A$41,Base!$AA$3:$AA$5001,"&lt;&gt;")=0,"",SUMIFS(Base!$AA$3:$AA$5001,Base!$A$3:$A$5001,X$3,Base!$B$3:$B$5001,$A$41)))</f>
        <v/>
      </c>
      <c r="Y56" s="96" t="str">
        <f>IF(Y$3="","",IF(COUNTIFS(Base!$A$3:$A$5001,Y$3,Base!$B$3:$B$5001,$A$41,Base!$AA$3:$AA$5001,"&lt;&gt;")=0,"",SUMIFS(Base!$AA$3:$AA$5001,Base!$A$3:$A$5001,Y$3,Base!$B$3:$B$5001,$A$41)))</f>
        <v/>
      </c>
      <c r="Z56" s="96" t="str">
        <f>IF(Z$3="","",IF(COUNTIFS(Base!$A$3:$A$5001,Z$3,Base!$B$3:$B$5001,$A$41,Base!$AA$3:$AA$5001,"&lt;&gt;")=0,"",SUMIFS(Base!$AA$3:$AA$5001,Base!$A$3:$A$5001,Z$3,Base!$B$3:$B$5001,$A$41)))</f>
        <v/>
      </c>
      <c r="AA56" s="96" t="str">
        <f>IF(AA$3="","",IF(COUNTIFS(Base!$A$3:$A$5001,AA$3,Base!$B$3:$B$5001,$A$41,Base!$AA$3:$AA$5001,"&lt;&gt;")=0,"",SUMIFS(Base!$AA$3:$AA$5001,Base!$A$3:$A$5001,AA$3,Base!$B$3:$B$5001,$A$41)))</f>
        <v/>
      </c>
      <c r="AB56" s="96" t="str">
        <f>IF(AB$3="","",IF(COUNTIFS(Base!$A$3:$A$5001,AB$3,Base!$B$3:$B$5001,$A$41,Base!$AA$3:$AA$5001,"&lt;&gt;")=0,"",SUMIFS(Base!$AA$3:$AA$5001,Base!$A$3:$A$5001,AB$3,Base!$B$3:$B$5001,$A$41)))</f>
        <v/>
      </c>
      <c r="AC56" s="96">
        <f>IF(AC$3="","",IF(COUNTIFS(Base!$A$3:$A$5001,AC$3,Base!$B$3:$B$5001,$A$41,Base!$AA$3:$AA$5001,"&lt;&gt;")=0,"",SUMIFS(Base!$AA$3:$AA$5001,Base!$A$3:$A$5001,AC$3,Base!$B$3:$B$5001,$A$41)))</f>
        <v>1</v>
      </c>
      <c r="AD56" s="96">
        <f>IF(AD$3="","",IF(COUNTIFS(Base!$A$3:$A$5001,AD$3,Base!$B$3:$B$5001,$A$41,Base!$AA$3:$AA$5001,"&lt;&gt;")=0,"",SUMIFS(Base!$AA$3:$AA$5001,Base!$A$3:$A$5001,AD$3,Base!$B$3:$B$5001,$A$41)))</f>
        <v>1</v>
      </c>
      <c r="AE56" s="96" t="str">
        <f>IF(AE$3="","",IF(COUNTIFS(Base!$A$3:$A$5001,AE$3,Base!$B$3:$B$5001,$A$41,Base!$AA$3:$AA$5001,"&lt;&gt;")=0,"",SUMIFS(Base!$AA$3:$AA$5001,Base!$A$3:$A$5001,AE$3,Base!$B$3:$B$5001,$A$41)))</f>
        <v/>
      </c>
      <c r="AF56" s="96" t="str">
        <f>IF(AF$3="","",IF(COUNTIFS(Base!$A$3:$A$5001,AF$3,Base!$B$3:$B$5001,$A$41,Base!$AA$3:$AA$5001,"&lt;&gt;")=0,"",SUMIFS(Base!$AA$3:$AA$5001,Base!$A$3:$A$5001,AF$3,Base!$B$3:$B$5001,$A$41)))</f>
        <v/>
      </c>
      <c r="AG56" s="96" t="str">
        <f>IF(AG$3="","",IF(COUNTIFS(Base!$A$3:$A$5001,AG$3,Base!$B$3:$B$5001,$A$41,Base!$AA$3:$AA$5001,"&lt;&gt;")=0,"",SUMIFS(Base!$AA$3:$AA$5001,Base!$A$3:$A$5001,AG$3,Base!$B$3:$B$5001,$A$41)))</f>
        <v/>
      </c>
      <c r="AH56" s="96" t="str">
        <f>IF(AH$3="","",IF(COUNTIFS(Base!$A$3:$A$5001,AH$3,Base!$B$3:$B$5001,$A$41,Base!$AA$3:$AA$5001,"&lt;&gt;")=0,"",SUMIFS(Base!$AA$3:$AA$5001,Base!$A$3:$A$5001,AH$3,Base!$B$3:$B$5001,$A$41)))</f>
        <v/>
      </c>
      <c r="AI56" s="96" t="str">
        <f>IF(AI$3="","",IF(COUNTIFS(Base!$A$3:$A$5001,AI$3,Base!$B$3:$B$5001,$A$41,Base!$AA$3:$AA$5001,"&lt;&gt;")=0,"",SUMIFS(Base!$AA$3:$AA$5001,Base!$A$3:$A$5001,AI$3,Base!$B$3:$B$5001,$A$41)))</f>
        <v/>
      </c>
      <c r="AJ56" s="97" t="str">
        <f>IF(AJ$3="","",IF(COUNTIFS(Base!$A$3:$A$5001,AJ$3,Base!$B$3:$B$5001,$A$41,Base!$AA$3:$AA$5001,"&lt;&gt;")=0,"",SUMIFS(Base!$AA$3:$AA$5001,Base!$A$3:$A$5001,AJ$3,Base!$B$3:$B$5001,$A$41)))</f>
        <v/>
      </c>
      <c r="AK56" s="98">
        <f>IF(COUNT(F56:AJ56)=0,"",SUM(F56:AJ56))</f>
        <v>9</v>
      </c>
    </row>
    <row r="57" ht="15.75" customHeight="1">
      <c r="A57" s="118"/>
      <c r="B57" s="115"/>
      <c r="C57" s="92" t="inlineStr">
        <is>
          <t xml:space="preserve">Folga</t>
        </is>
      </c>
      <c r="D57" s="93" t="str">
        <f>IFERROR(1/(1/INDEX(calculos!$C$55:$K$83,MATCH("Folga",calculos!$A$55:$A$83,0),MATCH($A$41,calculos!$C$54:$K$54,0))),"")</f>
        <v/>
      </c>
      <c r="E57" s="94"/>
      <c r="F57" s="95" t="str">
        <f>IF(F$3="","",IF(COUNTIFS(Base!$A$3:$A$5001,F$3,Base!$B$3:$B$5001,$A$41,Base!$AB$3:$AB$5001,"&lt;&gt;")=0,"",SUMIFS(Base!$AB$3:$AB$5001,Base!$A$3:$A$5001,F$3,Base!$B$3:$B$5001,$A$41)))</f>
        <v/>
      </c>
      <c r="G57" s="96" t="str">
        <f>IF(G$3="","",IF(COUNTIFS(Base!$A$3:$A$5001,G$3,Base!$B$3:$B$5001,$A$41,Base!$AB$3:$AB$5001,"&lt;&gt;")=0,"",SUMIFS(Base!$AB$3:$AB$5001,Base!$A$3:$A$5001,G$3,Base!$B$3:$B$5001,$A$41)))</f>
        <v/>
      </c>
      <c r="H57" s="96" t="str">
        <f>IF(H$3="","",IF(COUNTIFS(Base!$A$3:$A$5001,H$3,Base!$B$3:$B$5001,$A$41,Base!$AB$3:$AB$5001,"&lt;&gt;")=0,"",SUMIFS(Base!$AB$3:$AB$5001,Base!$A$3:$A$5001,H$3,Base!$B$3:$B$5001,$A$41)))</f>
        <v/>
      </c>
      <c r="I57" s="96">
        <f>IF(I$3="","",IF(COUNTIFS(Base!$A$3:$A$5001,I$3,Base!$B$3:$B$5001,$A$41,Base!$AB$3:$AB$5001,"&lt;&gt;")=0,"",SUMIFS(Base!$AB$3:$AB$5001,Base!$A$3:$A$5001,I$3,Base!$B$3:$B$5001,$A$41)))</f>
        <v>1</v>
      </c>
      <c r="J57" s="96" t="str">
        <f>IF(J$3="","",IF(COUNTIFS(Base!$A$3:$A$5001,J$3,Base!$B$3:$B$5001,$A$41,Base!$AB$3:$AB$5001,"&lt;&gt;")=0,"",SUMIFS(Base!$AB$3:$AB$5001,Base!$A$3:$A$5001,J$3,Base!$B$3:$B$5001,$A$41)))</f>
        <v/>
      </c>
      <c r="K57" s="96" t="str">
        <f>IF(K$3="","",IF(COUNTIFS(Base!$A$3:$A$5001,K$3,Base!$B$3:$B$5001,$A$41,Base!$AB$3:$AB$5001,"&lt;&gt;")=0,"",SUMIFS(Base!$AB$3:$AB$5001,Base!$A$3:$A$5001,K$3,Base!$B$3:$B$5001,$A$41)))</f>
        <v/>
      </c>
      <c r="L57" s="96" t="str">
        <f>IF(L$3="","",IF(COUNTIFS(Base!$A$3:$A$5001,L$3,Base!$B$3:$B$5001,$A$41,Base!$AB$3:$AB$5001,"&lt;&gt;")=0,"",SUMIFS(Base!$AB$3:$AB$5001,Base!$A$3:$A$5001,L$3,Base!$B$3:$B$5001,$A$41)))</f>
        <v/>
      </c>
      <c r="M57" s="96" t="str">
        <f>IF(M$3="","",IF(COUNTIFS(Base!$A$3:$A$5001,M$3,Base!$B$3:$B$5001,$A$41,Base!$AB$3:$AB$5001,"&lt;&gt;")=0,"",SUMIFS(Base!$AB$3:$AB$5001,Base!$A$3:$A$5001,M$3,Base!$B$3:$B$5001,$A$41)))</f>
        <v/>
      </c>
      <c r="N57" s="96">
        <f>IF(N$3="","",IF(COUNTIFS(Base!$A$3:$A$5001,N$3,Base!$B$3:$B$5001,$A$41,Base!$AB$3:$AB$5001,"&lt;&gt;")=0,"",SUMIFS(Base!$AB$3:$AB$5001,Base!$A$3:$A$5001,N$3,Base!$B$3:$B$5001,$A$41)))</f>
        <v>1</v>
      </c>
      <c r="O57" s="96" t="str">
        <f>IF(O$3="","",IF(COUNTIFS(Base!$A$3:$A$5001,O$3,Base!$B$3:$B$5001,$A$41,Base!$AB$3:$AB$5001,"&lt;&gt;")=0,"",SUMIFS(Base!$AB$3:$AB$5001,Base!$A$3:$A$5001,O$3,Base!$B$3:$B$5001,$A$41)))</f>
        <v/>
      </c>
      <c r="P57" s="96" t="str">
        <f>IF(P$3="","",IF(COUNTIFS(Base!$A$3:$A$5001,P$3,Base!$B$3:$B$5001,$A$41,Base!$AB$3:$AB$5001,"&lt;&gt;")=0,"",SUMIFS(Base!$AB$3:$AB$5001,Base!$A$3:$A$5001,P$3,Base!$B$3:$B$5001,$A$41)))</f>
        <v/>
      </c>
      <c r="Q57" s="96" t="str">
        <f>IF(Q$3="","",IF(COUNTIFS(Base!$A$3:$A$5001,Q$3,Base!$B$3:$B$5001,$A$41,Base!$AB$3:$AB$5001,"&lt;&gt;")=0,"",SUMIFS(Base!$AB$3:$AB$5001,Base!$A$3:$A$5001,Q$3,Base!$B$3:$B$5001,$A$41)))</f>
        <v/>
      </c>
      <c r="R57" s="96" t="str">
        <f>IF(R$3="","",IF(COUNTIFS(Base!$A$3:$A$5001,R$3,Base!$B$3:$B$5001,$A$41,Base!$AB$3:$AB$5001,"&lt;&gt;")=0,"",SUMIFS(Base!$AB$3:$AB$5001,Base!$A$3:$A$5001,R$3,Base!$B$3:$B$5001,$A$41)))</f>
        <v/>
      </c>
      <c r="S57" s="96" t="str">
        <f>IF(S$3="","",IF(COUNTIFS(Base!$A$3:$A$5001,S$3,Base!$B$3:$B$5001,$A$41,Base!$AB$3:$AB$5001,"&lt;&gt;")=0,"",SUMIFS(Base!$AB$3:$AB$5001,Base!$A$3:$A$5001,S$3,Base!$B$3:$B$5001,$A$41)))</f>
        <v/>
      </c>
      <c r="T57" s="96" t="str">
        <f>IF(T$3="","",IF(COUNTIFS(Base!$A$3:$A$5001,T$3,Base!$B$3:$B$5001,$A$41,Base!$AB$3:$AB$5001,"&lt;&gt;")=0,"",SUMIFS(Base!$AB$3:$AB$5001,Base!$A$3:$A$5001,T$3,Base!$B$3:$B$5001,$A$41)))</f>
        <v/>
      </c>
      <c r="U57" s="96" t="str">
        <f>IF(U$3="","",IF(COUNTIFS(Base!$A$3:$A$5001,U$3,Base!$B$3:$B$5001,$A$41,Base!$AB$3:$AB$5001,"&lt;&gt;")=0,"",SUMIFS(Base!$AB$3:$AB$5001,Base!$A$3:$A$5001,U$3,Base!$B$3:$B$5001,$A$41)))</f>
        <v/>
      </c>
      <c r="V57" s="96" t="str">
        <f>IF(V$3="","",IF(COUNTIFS(Base!$A$3:$A$5001,V$3,Base!$B$3:$B$5001,$A$41,Base!$AB$3:$AB$5001,"&lt;&gt;")=0,"",SUMIFS(Base!$AB$3:$AB$5001,Base!$A$3:$A$5001,V$3,Base!$B$3:$B$5001,$A$41)))</f>
        <v/>
      </c>
      <c r="W57" s="96" t="str">
        <f>IF(W$3="","",IF(COUNTIFS(Base!$A$3:$A$5001,W$3,Base!$B$3:$B$5001,$A$41,Base!$AB$3:$AB$5001,"&lt;&gt;")=0,"",SUMIFS(Base!$AB$3:$AB$5001,Base!$A$3:$A$5001,W$3,Base!$B$3:$B$5001,$A$41)))</f>
        <v/>
      </c>
      <c r="X57" s="96" t="str">
        <f>IF(X$3="","",IF(COUNTIFS(Base!$A$3:$A$5001,X$3,Base!$B$3:$B$5001,$A$41,Base!$AB$3:$AB$5001,"&lt;&gt;")=0,"",SUMIFS(Base!$AB$3:$AB$5001,Base!$A$3:$A$5001,X$3,Base!$B$3:$B$5001,$A$41)))</f>
        <v/>
      </c>
      <c r="Y57" s="96" t="str">
        <f>IF(Y$3="","",IF(COUNTIFS(Base!$A$3:$A$5001,Y$3,Base!$B$3:$B$5001,$A$41,Base!$AB$3:$AB$5001,"&lt;&gt;")=0,"",SUMIFS(Base!$AB$3:$AB$5001,Base!$A$3:$A$5001,Y$3,Base!$B$3:$B$5001,$A$41)))</f>
        <v/>
      </c>
      <c r="Z57" s="96" t="str">
        <f>IF(Z$3="","",IF(COUNTIFS(Base!$A$3:$A$5001,Z$3,Base!$B$3:$B$5001,$A$41,Base!$AB$3:$AB$5001,"&lt;&gt;")=0,"",SUMIFS(Base!$AB$3:$AB$5001,Base!$A$3:$A$5001,Z$3,Base!$B$3:$B$5001,$A$41)))</f>
        <v/>
      </c>
      <c r="AA57" s="96" t="str">
        <f>IF(AA$3="","",IF(COUNTIFS(Base!$A$3:$A$5001,AA$3,Base!$B$3:$B$5001,$A$41,Base!$AB$3:$AB$5001,"&lt;&gt;")=0,"",SUMIFS(Base!$AB$3:$AB$5001,Base!$A$3:$A$5001,AA$3,Base!$B$3:$B$5001,$A$41)))</f>
        <v/>
      </c>
      <c r="AB57" s="96" t="str">
        <f>IF(AB$3="","",IF(COUNTIFS(Base!$A$3:$A$5001,AB$3,Base!$B$3:$B$5001,$A$41,Base!$AB$3:$AB$5001,"&lt;&gt;")=0,"",SUMIFS(Base!$AB$3:$AB$5001,Base!$A$3:$A$5001,AB$3,Base!$B$3:$B$5001,$A$41)))</f>
        <v/>
      </c>
      <c r="AC57" s="96" t="str">
        <f>IF(AC$3="","",IF(COUNTIFS(Base!$A$3:$A$5001,AC$3,Base!$B$3:$B$5001,$A$41,Base!$AB$3:$AB$5001,"&lt;&gt;")=0,"",SUMIFS(Base!$AB$3:$AB$5001,Base!$A$3:$A$5001,AC$3,Base!$B$3:$B$5001,$A$41)))</f>
        <v/>
      </c>
      <c r="AD57" s="96" t="str">
        <f>IF(AD$3="","",IF(COUNTIFS(Base!$A$3:$A$5001,AD$3,Base!$B$3:$B$5001,$A$41,Base!$AB$3:$AB$5001,"&lt;&gt;")=0,"",SUMIFS(Base!$AB$3:$AB$5001,Base!$A$3:$A$5001,AD$3,Base!$B$3:$B$5001,$A$41)))</f>
        <v/>
      </c>
      <c r="AE57" s="96" t="str">
        <f>IF(AE$3="","",IF(COUNTIFS(Base!$A$3:$A$5001,AE$3,Base!$B$3:$B$5001,$A$41,Base!$AB$3:$AB$5001,"&lt;&gt;")=0,"",SUMIFS(Base!$AB$3:$AB$5001,Base!$A$3:$A$5001,AE$3,Base!$B$3:$B$5001,$A$41)))</f>
        <v/>
      </c>
      <c r="AF57" s="96" t="str">
        <f>IF(AF$3="","",IF(COUNTIFS(Base!$A$3:$A$5001,AF$3,Base!$B$3:$B$5001,$A$41,Base!$AB$3:$AB$5001,"&lt;&gt;")=0,"",SUMIFS(Base!$AB$3:$AB$5001,Base!$A$3:$A$5001,AF$3,Base!$B$3:$B$5001,$A$41)))</f>
        <v/>
      </c>
      <c r="AG57" s="96" t="str">
        <f>IF(AG$3="","",IF(COUNTIFS(Base!$A$3:$A$5001,AG$3,Base!$B$3:$B$5001,$A$41,Base!$AB$3:$AB$5001,"&lt;&gt;")=0,"",SUMIFS(Base!$AB$3:$AB$5001,Base!$A$3:$A$5001,AG$3,Base!$B$3:$B$5001,$A$41)))</f>
        <v/>
      </c>
      <c r="AH57" s="96" t="str">
        <f>IF(AH$3="","",IF(COUNTIFS(Base!$A$3:$A$5001,AH$3,Base!$B$3:$B$5001,$A$41,Base!$AB$3:$AB$5001,"&lt;&gt;")=0,"",SUMIFS(Base!$AB$3:$AB$5001,Base!$A$3:$A$5001,AH$3,Base!$B$3:$B$5001,$A$41)))</f>
        <v/>
      </c>
      <c r="AI57" s="96" t="str">
        <f>IF(AI$3="","",IF(COUNTIFS(Base!$A$3:$A$5001,AI$3,Base!$B$3:$B$5001,$A$41,Base!$AB$3:$AB$5001,"&lt;&gt;")=0,"",SUMIFS(Base!$AB$3:$AB$5001,Base!$A$3:$A$5001,AI$3,Base!$B$3:$B$5001,$A$41)))</f>
        <v/>
      </c>
      <c r="AJ57" s="97" t="str">
        <f>IF(AJ$3="","",IF(COUNTIFS(Base!$A$3:$A$5001,AJ$3,Base!$B$3:$B$5001,$A$41,Base!$AB$3:$AB$5001,"&lt;&gt;")=0,"",SUMIFS(Base!$AB$3:$AB$5001,Base!$A$3:$A$5001,AJ$3,Base!$B$3:$B$5001,$A$41)))</f>
        <v/>
      </c>
      <c r="AK57" s="98">
        <f>IF(COUNT(F57:AJ57)=0,"",SUM(F57:AJ57))</f>
        <v>2</v>
      </c>
    </row>
    <row r="58" ht="15.75" customHeight="1">
      <c r="A58" s="118"/>
      <c r="B58" s="115"/>
      <c r="C58" s="92" t="inlineStr">
        <is>
          <t xml:space="preserve">Férias</t>
        </is>
      </c>
      <c r="D58" s="93" t="str">
        <f>IFERROR(1/(1/INDEX(calculos!$C$55:$K$83,MATCH("Férias",calculos!$A$55:$A$83,0),MATCH($A$41,calculos!$C$54:$K$54,0))),"")</f>
        <v/>
      </c>
      <c r="E58" s="94"/>
      <c r="F58" s="95" t="str">
        <f>IF(F$3="","",IF(COUNTIFS(Base!$A$3:$A$5001,F$3,Base!$B$3:$B$5001,$A$41,Base!$AC$3:$AC$5001,"&lt;&gt;")=0,"",SUMIFS(Base!$AC$3:$AC$5001,Base!$A$3:$A$5001,F$3,Base!$B$3:$B$5001,$A$41)))</f>
        <v/>
      </c>
      <c r="G58" s="96" t="str">
        <f>IF(G$3="","",IF(COUNTIFS(Base!$A$3:$A$5001,G$3,Base!$B$3:$B$5001,$A$41,Base!$AC$3:$AC$5001,"&lt;&gt;")=0,"",SUMIFS(Base!$AC$3:$AC$5001,Base!$A$3:$A$5001,G$3,Base!$B$3:$B$5001,$A$41)))</f>
        <v/>
      </c>
      <c r="H58" s="96" t="str">
        <f>IF(H$3="","",IF(COUNTIFS(Base!$A$3:$A$5001,H$3,Base!$B$3:$B$5001,$A$41,Base!$AC$3:$AC$5001,"&lt;&gt;")=0,"",SUMIFS(Base!$AC$3:$AC$5001,Base!$A$3:$A$5001,H$3,Base!$B$3:$B$5001,$A$41)))</f>
        <v/>
      </c>
      <c r="I58" s="96" t="str">
        <f>IF(I$3="","",IF(COUNTIFS(Base!$A$3:$A$5001,I$3,Base!$B$3:$B$5001,$A$41,Base!$AC$3:$AC$5001,"&lt;&gt;")=0,"",SUMIFS(Base!$AC$3:$AC$5001,Base!$A$3:$A$5001,I$3,Base!$B$3:$B$5001,$A$41)))</f>
        <v/>
      </c>
      <c r="J58" s="96" t="str">
        <f>IF(J$3="","",IF(COUNTIFS(Base!$A$3:$A$5001,J$3,Base!$B$3:$B$5001,$A$41,Base!$AC$3:$AC$5001,"&lt;&gt;")=0,"",SUMIFS(Base!$AC$3:$AC$5001,Base!$A$3:$A$5001,J$3,Base!$B$3:$B$5001,$A$41)))</f>
        <v/>
      </c>
      <c r="K58" s="96" t="str">
        <f>IF(K$3="","",IF(COUNTIFS(Base!$A$3:$A$5001,K$3,Base!$B$3:$B$5001,$A$41,Base!$AC$3:$AC$5001,"&lt;&gt;")=0,"",SUMIFS(Base!$AC$3:$AC$5001,Base!$A$3:$A$5001,K$3,Base!$B$3:$B$5001,$A$41)))</f>
        <v/>
      </c>
      <c r="L58" s="96" t="str">
        <f>IF(L$3="","",IF(COUNTIFS(Base!$A$3:$A$5001,L$3,Base!$B$3:$B$5001,$A$41,Base!$AC$3:$AC$5001,"&lt;&gt;")=0,"",SUMIFS(Base!$AC$3:$AC$5001,Base!$A$3:$A$5001,L$3,Base!$B$3:$B$5001,$A$41)))</f>
        <v/>
      </c>
      <c r="M58" s="96" t="str">
        <f>IF(M$3="","",IF(COUNTIFS(Base!$A$3:$A$5001,M$3,Base!$B$3:$B$5001,$A$41,Base!$AC$3:$AC$5001,"&lt;&gt;")=0,"",SUMIFS(Base!$AC$3:$AC$5001,Base!$A$3:$A$5001,M$3,Base!$B$3:$B$5001,$A$41)))</f>
        <v/>
      </c>
      <c r="N58" s="96" t="str">
        <f>IF(N$3="","",IF(COUNTIFS(Base!$A$3:$A$5001,N$3,Base!$B$3:$B$5001,$A$41,Base!$AC$3:$AC$5001,"&lt;&gt;")=0,"",SUMIFS(Base!$AC$3:$AC$5001,Base!$A$3:$A$5001,N$3,Base!$B$3:$B$5001,$A$41)))</f>
        <v/>
      </c>
      <c r="O58" s="96" t="str">
        <f>IF(O$3="","",IF(COUNTIFS(Base!$A$3:$A$5001,O$3,Base!$B$3:$B$5001,$A$41,Base!$AC$3:$AC$5001,"&lt;&gt;")=0,"",SUMIFS(Base!$AC$3:$AC$5001,Base!$A$3:$A$5001,O$3,Base!$B$3:$B$5001,$A$41)))</f>
        <v/>
      </c>
      <c r="P58" s="96" t="str">
        <f>IF(P$3="","",IF(COUNTIFS(Base!$A$3:$A$5001,P$3,Base!$B$3:$B$5001,$A$41,Base!$AC$3:$AC$5001,"&lt;&gt;")=0,"",SUMIFS(Base!$AC$3:$AC$5001,Base!$A$3:$A$5001,P$3,Base!$B$3:$B$5001,$A$41)))</f>
        <v/>
      </c>
      <c r="Q58" s="96" t="str">
        <f>IF(Q$3="","",IF(COUNTIFS(Base!$A$3:$A$5001,Q$3,Base!$B$3:$B$5001,$A$41,Base!$AC$3:$AC$5001,"&lt;&gt;")=0,"",SUMIFS(Base!$AC$3:$AC$5001,Base!$A$3:$A$5001,Q$3,Base!$B$3:$B$5001,$A$41)))</f>
        <v/>
      </c>
      <c r="R58" s="96" t="str">
        <f>IF(R$3="","",IF(COUNTIFS(Base!$A$3:$A$5001,R$3,Base!$B$3:$B$5001,$A$41,Base!$AC$3:$AC$5001,"&lt;&gt;")=0,"",SUMIFS(Base!$AC$3:$AC$5001,Base!$A$3:$A$5001,R$3,Base!$B$3:$B$5001,$A$41)))</f>
        <v/>
      </c>
      <c r="S58" s="96" t="str">
        <f>IF(S$3="","",IF(COUNTIFS(Base!$A$3:$A$5001,S$3,Base!$B$3:$B$5001,$A$41,Base!$AC$3:$AC$5001,"&lt;&gt;")=0,"",SUMIFS(Base!$AC$3:$AC$5001,Base!$A$3:$A$5001,S$3,Base!$B$3:$B$5001,$A$41)))</f>
        <v/>
      </c>
      <c r="T58" s="96" t="str">
        <f>IF(T$3="","",IF(COUNTIFS(Base!$A$3:$A$5001,T$3,Base!$B$3:$B$5001,$A$41,Base!$AC$3:$AC$5001,"&lt;&gt;")=0,"",SUMIFS(Base!$AC$3:$AC$5001,Base!$A$3:$A$5001,T$3,Base!$B$3:$B$5001,$A$41)))</f>
        <v/>
      </c>
      <c r="U58" s="96" t="str">
        <f>IF(U$3="","",IF(COUNTIFS(Base!$A$3:$A$5001,U$3,Base!$B$3:$B$5001,$A$41,Base!$AC$3:$AC$5001,"&lt;&gt;")=0,"",SUMIFS(Base!$AC$3:$AC$5001,Base!$A$3:$A$5001,U$3,Base!$B$3:$B$5001,$A$41)))</f>
        <v/>
      </c>
      <c r="V58" s="96" t="str">
        <f>IF(V$3="","",IF(COUNTIFS(Base!$A$3:$A$5001,V$3,Base!$B$3:$B$5001,$A$41,Base!$AC$3:$AC$5001,"&lt;&gt;")=0,"",SUMIFS(Base!$AC$3:$AC$5001,Base!$A$3:$A$5001,V$3,Base!$B$3:$B$5001,$A$41)))</f>
        <v/>
      </c>
      <c r="W58" s="96" t="str">
        <f>IF(W$3="","",IF(COUNTIFS(Base!$A$3:$A$5001,W$3,Base!$B$3:$B$5001,$A$41,Base!$AC$3:$AC$5001,"&lt;&gt;")=0,"",SUMIFS(Base!$AC$3:$AC$5001,Base!$A$3:$A$5001,W$3,Base!$B$3:$B$5001,$A$41)))</f>
        <v/>
      </c>
      <c r="X58" s="96" t="str">
        <f>IF(X$3="","",IF(COUNTIFS(Base!$A$3:$A$5001,X$3,Base!$B$3:$B$5001,$A$41,Base!$AC$3:$AC$5001,"&lt;&gt;")=0,"",SUMIFS(Base!$AC$3:$AC$5001,Base!$A$3:$A$5001,X$3,Base!$B$3:$B$5001,$A$41)))</f>
        <v/>
      </c>
      <c r="Y58" s="96" t="str">
        <f>IF(Y$3="","",IF(COUNTIFS(Base!$A$3:$A$5001,Y$3,Base!$B$3:$B$5001,$A$41,Base!$AC$3:$AC$5001,"&lt;&gt;")=0,"",SUMIFS(Base!$AC$3:$AC$5001,Base!$A$3:$A$5001,Y$3,Base!$B$3:$B$5001,$A$41)))</f>
        <v/>
      </c>
      <c r="Z58" s="96" t="str">
        <f>IF(Z$3="","",IF(COUNTIFS(Base!$A$3:$A$5001,Z$3,Base!$B$3:$B$5001,$A$41,Base!$AC$3:$AC$5001,"&lt;&gt;")=0,"",SUMIFS(Base!$AC$3:$AC$5001,Base!$A$3:$A$5001,Z$3,Base!$B$3:$B$5001,$A$41)))</f>
        <v/>
      </c>
      <c r="AA58" s="96" t="str">
        <f>IF(AA$3="","",IF(COUNTIFS(Base!$A$3:$A$5001,AA$3,Base!$B$3:$B$5001,$A$41,Base!$AC$3:$AC$5001,"&lt;&gt;")=0,"",SUMIFS(Base!$AC$3:$AC$5001,Base!$A$3:$A$5001,AA$3,Base!$B$3:$B$5001,$A$41)))</f>
        <v/>
      </c>
      <c r="AB58" s="96" t="str">
        <f>IF(AB$3="","",IF(COUNTIFS(Base!$A$3:$A$5001,AB$3,Base!$B$3:$B$5001,$A$41,Base!$AC$3:$AC$5001,"&lt;&gt;")=0,"",SUMIFS(Base!$AC$3:$AC$5001,Base!$A$3:$A$5001,AB$3,Base!$B$3:$B$5001,$A$41)))</f>
        <v/>
      </c>
      <c r="AC58" s="96" t="str">
        <f>IF(AC$3="","",IF(COUNTIFS(Base!$A$3:$A$5001,AC$3,Base!$B$3:$B$5001,$A$41,Base!$AC$3:$AC$5001,"&lt;&gt;")=0,"",SUMIFS(Base!$AC$3:$AC$5001,Base!$A$3:$A$5001,AC$3,Base!$B$3:$B$5001,$A$41)))</f>
        <v/>
      </c>
      <c r="AD58" s="96" t="str">
        <f>IF(AD$3="","",IF(COUNTIFS(Base!$A$3:$A$5001,AD$3,Base!$B$3:$B$5001,$A$41,Base!$AC$3:$AC$5001,"&lt;&gt;")=0,"",SUMIFS(Base!$AC$3:$AC$5001,Base!$A$3:$A$5001,AD$3,Base!$B$3:$B$5001,$A$41)))</f>
        <v/>
      </c>
      <c r="AE58" s="96" t="str">
        <f>IF(AE$3="","",IF(COUNTIFS(Base!$A$3:$A$5001,AE$3,Base!$B$3:$B$5001,$A$41,Base!$AC$3:$AC$5001,"&lt;&gt;")=0,"",SUMIFS(Base!$AC$3:$AC$5001,Base!$A$3:$A$5001,AE$3,Base!$B$3:$B$5001,$A$41)))</f>
        <v/>
      </c>
      <c r="AF58" s="96" t="str">
        <f>IF(AF$3="","",IF(COUNTIFS(Base!$A$3:$A$5001,AF$3,Base!$B$3:$B$5001,$A$41,Base!$AC$3:$AC$5001,"&lt;&gt;")=0,"",SUMIFS(Base!$AC$3:$AC$5001,Base!$A$3:$A$5001,AF$3,Base!$B$3:$B$5001,$A$41)))</f>
        <v/>
      </c>
      <c r="AG58" s="96" t="str">
        <f>IF(AG$3="","",IF(COUNTIFS(Base!$A$3:$A$5001,AG$3,Base!$B$3:$B$5001,$A$41,Base!$AC$3:$AC$5001,"&lt;&gt;")=0,"",SUMIFS(Base!$AC$3:$AC$5001,Base!$A$3:$A$5001,AG$3,Base!$B$3:$B$5001,$A$41)))</f>
        <v/>
      </c>
      <c r="AH58" s="96" t="str">
        <f>IF(AH$3="","",IF(COUNTIFS(Base!$A$3:$A$5001,AH$3,Base!$B$3:$B$5001,$A$41,Base!$AC$3:$AC$5001,"&lt;&gt;")=0,"",SUMIFS(Base!$AC$3:$AC$5001,Base!$A$3:$A$5001,AH$3,Base!$B$3:$B$5001,$A$41)))</f>
        <v/>
      </c>
      <c r="AI58" s="96" t="str">
        <f>IF(AI$3="","",IF(COUNTIFS(Base!$A$3:$A$5001,AI$3,Base!$B$3:$B$5001,$A$41,Base!$AC$3:$AC$5001,"&lt;&gt;")=0,"",SUMIFS(Base!$AC$3:$AC$5001,Base!$A$3:$A$5001,AI$3,Base!$B$3:$B$5001,$A$41)))</f>
        <v/>
      </c>
      <c r="AJ58" s="97" t="str">
        <f>IF(AJ$3="","",IF(COUNTIFS(Base!$A$3:$A$5001,AJ$3,Base!$B$3:$B$5001,$A$41,Base!$AC$3:$AC$5001,"&lt;&gt;")=0,"",SUMIFS(Base!$AC$3:$AC$5001,Base!$A$3:$A$5001,AJ$3,Base!$B$3:$B$5001,$A$41)))</f>
        <v/>
      </c>
      <c r="AK58" s="98" t="str">
        <f>IF(COUNT(F58:AJ58)=0,"",SUM(F58:AJ58))</f>
        <v/>
      </c>
    </row>
    <row r="59" ht="15.75" customHeight="1">
      <c r="A59" s="119"/>
      <c r="B59" s="116"/>
      <c r="C59" s="99" t="inlineStr">
        <is>
          <t xml:space="preserve">Desligamentos</t>
        </is>
      </c>
      <c r="D59" s="100" t="str">
        <f>IFERROR(1/(1/INDEX(calculos!$C$55:$K$83,MATCH("Desligamentos",calculos!$A$55:$A$83,0),MATCH($A$41,calculos!$C$54:$K$54,0))),"")</f>
        <v/>
      </c>
      <c r="E59" s="101"/>
      <c r="F59" s="102" t="str">
        <f>IF(F$3="","",IF(COUNTIFS(Base!$A$3:$A$5001,F$3,Base!$B$3:$B$5001,$A$41,Base!$AD$3:$AD$5001,"&lt;&gt;")=0,"",SUMIFS(Base!$AD$3:$AD$5001,Base!$A$3:$A$5001,F$3,Base!$B$3:$B$5001,$A$41)))</f>
        <v/>
      </c>
      <c r="G59" s="103" t="str">
        <f>IF(G$3="","",IF(COUNTIFS(Base!$A$3:$A$5001,G$3,Base!$B$3:$B$5001,$A$41,Base!$AD$3:$AD$5001,"&lt;&gt;")=0,"",SUMIFS(Base!$AD$3:$AD$5001,Base!$A$3:$A$5001,G$3,Base!$B$3:$B$5001,$A$41)))</f>
        <v/>
      </c>
      <c r="H59" s="103" t="str">
        <f>IF(H$3="","",IF(COUNTIFS(Base!$A$3:$A$5001,H$3,Base!$B$3:$B$5001,$A$41,Base!$AD$3:$AD$5001,"&lt;&gt;")=0,"",SUMIFS(Base!$AD$3:$AD$5001,Base!$A$3:$A$5001,H$3,Base!$B$3:$B$5001,$A$41)))</f>
        <v/>
      </c>
      <c r="I59" s="103" t="str">
        <f>IF(I$3="","",IF(COUNTIFS(Base!$A$3:$A$5001,I$3,Base!$B$3:$B$5001,$A$41,Base!$AD$3:$AD$5001,"&lt;&gt;")=0,"",SUMIFS(Base!$AD$3:$AD$5001,Base!$A$3:$A$5001,I$3,Base!$B$3:$B$5001,$A$41)))</f>
        <v/>
      </c>
      <c r="J59" s="103" t="str">
        <f>IF(J$3="","",IF(COUNTIFS(Base!$A$3:$A$5001,J$3,Base!$B$3:$B$5001,$A$41,Base!$AD$3:$AD$5001,"&lt;&gt;")=0,"",SUMIFS(Base!$AD$3:$AD$5001,Base!$A$3:$A$5001,J$3,Base!$B$3:$B$5001,$A$41)))</f>
        <v/>
      </c>
      <c r="K59" s="103" t="str">
        <f>IF(K$3="","",IF(COUNTIFS(Base!$A$3:$A$5001,K$3,Base!$B$3:$B$5001,$A$41,Base!$AD$3:$AD$5001,"&lt;&gt;")=0,"",SUMIFS(Base!$AD$3:$AD$5001,Base!$A$3:$A$5001,K$3,Base!$B$3:$B$5001,$A$41)))</f>
        <v/>
      </c>
      <c r="L59" s="103" t="str">
        <f>IF(L$3="","",IF(COUNTIFS(Base!$A$3:$A$5001,L$3,Base!$B$3:$B$5001,$A$41,Base!$AD$3:$AD$5001,"&lt;&gt;")=0,"",SUMIFS(Base!$AD$3:$AD$5001,Base!$A$3:$A$5001,L$3,Base!$B$3:$B$5001,$A$41)))</f>
        <v/>
      </c>
      <c r="M59" s="103" t="str">
        <f>IF(M$3="","",IF(COUNTIFS(Base!$A$3:$A$5001,M$3,Base!$B$3:$B$5001,$A$41,Base!$AD$3:$AD$5001,"&lt;&gt;")=0,"",SUMIFS(Base!$AD$3:$AD$5001,Base!$A$3:$A$5001,M$3,Base!$B$3:$B$5001,$A$41)))</f>
        <v/>
      </c>
      <c r="N59" s="103" t="str">
        <f>IF(N$3="","",IF(COUNTIFS(Base!$A$3:$A$5001,N$3,Base!$B$3:$B$5001,$A$41,Base!$AD$3:$AD$5001,"&lt;&gt;")=0,"",SUMIFS(Base!$AD$3:$AD$5001,Base!$A$3:$A$5001,N$3,Base!$B$3:$B$5001,$A$41)))</f>
        <v/>
      </c>
      <c r="O59" s="103" t="str">
        <f>IF(O$3="","",IF(COUNTIFS(Base!$A$3:$A$5001,O$3,Base!$B$3:$B$5001,$A$41,Base!$AD$3:$AD$5001,"&lt;&gt;")=0,"",SUMIFS(Base!$AD$3:$AD$5001,Base!$A$3:$A$5001,O$3,Base!$B$3:$B$5001,$A$41)))</f>
        <v/>
      </c>
      <c r="P59" s="103" t="str">
        <f>IF(P$3="","",IF(COUNTIFS(Base!$A$3:$A$5001,P$3,Base!$B$3:$B$5001,$A$41,Base!$AD$3:$AD$5001,"&lt;&gt;")=0,"",SUMIFS(Base!$AD$3:$AD$5001,Base!$A$3:$A$5001,P$3,Base!$B$3:$B$5001,$A$41)))</f>
        <v/>
      </c>
      <c r="Q59" s="103" t="str">
        <f>IF(Q$3="","",IF(COUNTIFS(Base!$A$3:$A$5001,Q$3,Base!$B$3:$B$5001,$A$41,Base!$AD$3:$AD$5001,"&lt;&gt;")=0,"",SUMIFS(Base!$AD$3:$AD$5001,Base!$A$3:$A$5001,Q$3,Base!$B$3:$B$5001,$A$41)))</f>
        <v/>
      </c>
      <c r="R59" s="103" t="str">
        <f>IF(R$3="","",IF(COUNTIFS(Base!$A$3:$A$5001,R$3,Base!$B$3:$B$5001,$A$41,Base!$AD$3:$AD$5001,"&lt;&gt;")=0,"",SUMIFS(Base!$AD$3:$AD$5001,Base!$A$3:$A$5001,R$3,Base!$B$3:$B$5001,$A$41)))</f>
        <v/>
      </c>
      <c r="S59" s="103" t="str">
        <f>IF(S$3="","",IF(COUNTIFS(Base!$A$3:$A$5001,S$3,Base!$B$3:$B$5001,$A$41,Base!$AD$3:$AD$5001,"&lt;&gt;")=0,"",SUMIFS(Base!$AD$3:$AD$5001,Base!$A$3:$A$5001,S$3,Base!$B$3:$B$5001,$A$41)))</f>
        <v/>
      </c>
      <c r="T59" s="103" t="str">
        <f>IF(T$3="","",IF(COUNTIFS(Base!$A$3:$A$5001,T$3,Base!$B$3:$B$5001,$A$41,Base!$AD$3:$AD$5001,"&lt;&gt;")=0,"",SUMIFS(Base!$AD$3:$AD$5001,Base!$A$3:$A$5001,T$3,Base!$B$3:$B$5001,$A$41)))</f>
        <v/>
      </c>
      <c r="U59" s="103" t="str">
        <f>IF(U$3="","",IF(COUNTIFS(Base!$A$3:$A$5001,U$3,Base!$B$3:$B$5001,$A$41,Base!$AD$3:$AD$5001,"&lt;&gt;")=0,"",SUMIFS(Base!$AD$3:$AD$5001,Base!$A$3:$A$5001,U$3,Base!$B$3:$B$5001,$A$41)))</f>
        <v/>
      </c>
      <c r="V59" s="103" t="str">
        <f>IF(V$3="","",IF(COUNTIFS(Base!$A$3:$A$5001,V$3,Base!$B$3:$B$5001,$A$41,Base!$AD$3:$AD$5001,"&lt;&gt;")=0,"",SUMIFS(Base!$AD$3:$AD$5001,Base!$A$3:$A$5001,V$3,Base!$B$3:$B$5001,$A$41)))</f>
        <v/>
      </c>
      <c r="W59" s="103" t="str">
        <f>IF(W$3="","",IF(COUNTIFS(Base!$A$3:$A$5001,W$3,Base!$B$3:$B$5001,$A$41,Base!$AD$3:$AD$5001,"&lt;&gt;")=0,"",SUMIFS(Base!$AD$3:$AD$5001,Base!$A$3:$A$5001,W$3,Base!$B$3:$B$5001,$A$41)))</f>
        <v/>
      </c>
      <c r="X59" s="103" t="str">
        <f>IF(X$3="","",IF(COUNTIFS(Base!$A$3:$A$5001,X$3,Base!$B$3:$B$5001,$A$41,Base!$AD$3:$AD$5001,"&lt;&gt;")=0,"",SUMIFS(Base!$AD$3:$AD$5001,Base!$A$3:$A$5001,X$3,Base!$B$3:$B$5001,$A$41)))</f>
        <v/>
      </c>
      <c r="Y59" s="103" t="str">
        <f>IF(Y$3="","",IF(COUNTIFS(Base!$A$3:$A$5001,Y$3,Base!$B$3:$B$5001,$A$41,Base!$AD$3:$AD$5001,"&lt;&gt;")=0,"",SUMIFS(Base!$AD$3:$AD$5001,Base!$A$3:$A$5001,Y$3,Base!$B$3:$B$5001,$A$41)))</f>
        <v/>
      </c>
      <c r="Z59" s="103" t="str">
        <f>IF(Z$3="","",IF(COUNTIFS(Base!$A$3:$A$5001,Z$3,Base!$B$3:$B$5001,$A$41,Base!$AD$3:$AD$5001,"&lt;&gt;")=0,"",SUMIFS(Base!$AD$3:$AD$5001,Base!$A$3:$A$5001,Z$3,Base!$B$3:$B$5001,$A$41)))</f>
        <v/>
      </c>
      <c r="AA59" s="103" t="str">
        <f>IF(AA$3="","",IF(COUNTIFS(Base!$A$3:$A$5001,AA$3,Base!$B$3:$B$5001,$A$41,Base!$AD$3:$AD$5001,"&lt;&gt;")=0,"",SUMIFS(Base!$AD$3:$AD$5001,Base!$A$3:$A$5001,AA$3,Base!$B$3:$B$5001,$A$41)))</f>
        <v/>
      </c>
      <c r="AB59" s="103" t="str">
        <f>IF(AB$3="","",IF(COUNTIFS(Base!$A$3:$A$5001,AB$3,Base!$B$3:$B$5001,$A$41,Base!$AD$3:$AD$5001,"&lt;&gt;")=0,"",SUMIFS(Base!$AD$3:$AD$5001,Base!$A$3:$A$5001,AB$3,Base!$B$3:$B$5001,$A$41)))</f>
        <v/>
      </c>
      <c r="AC59" s="103" t="str">
        <f>IF(AC$3="","",IF(COUNTIFS(Base!$A$3:$A$5001,AC$3,Base!$B$3:$B$5001,$A$41,Base!$AD$3:$AD$5001,"&lt;&gt;")=0,"",SUMIFS(Base!$AD$3:$AD$5001,Base!$A$3:$A$5001,AC$3,Base!$B$3:$B$5001,$A$41)))</f>
        <v/>
      </c>
      <c r="AD59" s="103" t="str">
        <f>IF(AD$3="","",IF(COUNTIFS(Base!$A$3:$A$5001,AD$3,Base!$B$3:$B$5001,$A$41,Base!$AD$3:$AD$5001,"&lt;&gt;")=0,"",SUMIFS(Base!$AD$3:$AD$5001,Base!$A$3:$A$5001,AD$3,Base!$B$3:$B$5001,$A$41)))</f>
        <v/>
      </c>
      <c r="AE59" s="103" t="str">
        <f>IF(AE$3="","",IF(COUNTIFS(Base!$A$3:$A$5001,AE$3,Base!$B$3:$B$5001,$A$41,Base!$AD$3:$AD$5001,"&lt;&gt;")=0,"",SUMIFS(Base!$AD$3:$AD$5001,Base!$A$3:$A$5001,AE$3,Base!$B$3:$B$5001,$A$41)))</f>
        <v/>
      </c>
      <c r="AF59" s="103" t="str">
        <f>IF(AF$3="","",IF(COUNTIFS(Base!$A$3:$A$5001,AF$3,Base!$B$3:$B$5001,$A$41,Base!$AD$3:$AD$5001,"&lt;&gt;")=0,"",SUMIFS(Base!$AD$3:$AD$5001,Base!$A$3:$A$5001,AF$3,Base!$B$3:$B$5001,$A$41)))</f>
        <v/>
      </c>
      <c r="AG59" s="103" t="str">
        <f>IF(AG$3="","",IF(COUNTIFS(Base!$A$3:$A$5001,AG$3,Base!$B$3:$B$5001,$A$41,Base!$AD$3:$AD$5001,"&lt;&gt;")=0,"",SUMIFS(Base!$AD$3:$AD$5001,Base!$A$3:$A$5001,AG$3,Base!$B$3:$B$5001,$A$41)))</f>
        <v/>
      </c>
      <c r="AH59" s="103" t="str">
        <f>IF(AH$3="","",IF(COUNTIFS(Base!$A$3:$A$5001,AH$3,Base!$B$3:$B$5001,$A$41,Base!$AD$3:$AD$5001,"&lt;&gt;")=0,"",SUMIFS(Base!$AD$3:$AD$5001,Base!$A$3:$A$5001,AH$3,Base!$B$3:$B$5001,$A$41)))</f>
        <v/>
      </c>
      <c r="AI59" s="103" t="str">
        <f>IF(AI$3="","",IF(COUNTIFS(Base!$A$3:$A$5001,AI$3,Base!$B$3:$B$5001,$A$41,Base!$AD$3:$AD$5001,"&lt;&gt;")=0,"",SUMIFS(Base!$AD$3:$AD$5001,Base!$A$3:$A$5001,AI$3,Base!$B$3:$B$5001,$A$41)))</f>
        <v/>
      </c>
      <c r="AJ59" s="104" t="str">
        <f>IF(AJ$3="","",IF(COUNTIFS(Base!$A$3:$A$5001,AJ$3,Base!$B$3:$B$5001,$A$41,Base!$AD$3:$AD$5001,"&lt;&gt;")=0,"",SUMIFS(Base!$AD$3:$AD$5001,Base!$A$3:$A$5001,AJ$3,Base!$B$3:$B$5001,$A$41)))</f>
        <v/>
      </c>
      <c r="AK59" s="100" t="str">
        <f>IF(COUNT(F59:AJ59)=0,"",SUM(F59:AJ59))</f>
        <v/>
      </c>
    </row>
    <row r="61" ht="15.75" customHeight="1">
      <c r="A61" s="117" t="inlineStr">
        <is>
          <t xml:space="preserve">SUPPLY</t>
        </is>
      </c>
      <c r="B61" s="105" t="inlineStr">
        <is>
          <t xml:space="preserve">IN</t>
        </is>
      </c>
      <c r="C61" s="21" t="inlineStr">
        <is>
          <t xml:space="preserve">Veículos Recebidos</t>
        </is>
      </c>
      <c r="D61" s="22" t="str">
        <f>IFERROR(1/(1/INDEX(calculos!$C$55:$K$83,MATCH("IN Veículos Recebidos",calculos!$A$55:$A$83,0),MATCH($A$61,calculos!$C$54:$K$54,0))),"")</f>
        <v/>
      </c>
      <c r="E61" s="23"/>
      <c r="F61" s="24">
        <f>IF(F$3="","",IF(COUNTIFS(Base!$A$3:$A$5001,F$3,Base!$B$3:$B$5001,$A$61,Base!$C$3:$C$5001,"&lt;&gt;")=0,"",SUMIFS(Base!$C$3:$C$5001,Base!$A$3:$A$5001,F$3,Base!$B$3:$B$5001,$A$61)))</f>
        <v>5</v>
      </c>
      <c r="G61" s="25">
        <f>IF(G$3="","",IF(COUNTIFS(Base!$A$3:$A$5001,G$3,Base!$B$3:$B$5001,$A$61,Base!$C$3:$C$5001,"&lt;&gt;")=0,"",SUMIFS(Base!$C$3:$C$5001,Base!$A$3:$A$5001,G$3,Base!$B$3:$B$5001,$A$61)))</f>
        <v>7</v>
      </c>
      <c r="H61" s="25">
        <f>IF(H$3="","",IF(COUNTIFS(Base!$A$3:$A$5001,H$3,Base!$B$3:$B$5001,$A$61,Base!$C$3:$C$5001,"&lt;&gt;")=0,"",SUMIFS(Base!$C$3:$C$5001,Base!$A$3:$A$5001,H$3,Base!$B$3:$B$5001,$A$61)))</f>
        <v>6</v>
      </c>
      <c r="I61" s="25">
        <f>IF(I$3="","",IF(COUNTIFS(Base!$A$3:$A$5001,I$3,Base!$B$3:$B$5001,$A$61,Base!$C$3:$C$5001,"&lt;&gt;")=0,"",SUMIFS(Base!$C$3:$C$5001,Base!$A$3:$A$5001,I$3,Base!$B$3:$B$5001,$A$61)))</f>
        <v>3</v>
      </c>
      <c r="J61" s="25">
        <f>IF(J$3="","",IF(COUNTIFS(Base!$A$3:$A$5001,J$3,Base!$B$3:$B$5001,$A$61,Base!$C$3:$C$5001,"&lt;&gt;")=0,"",SUMIFS(Base!$C$3:$C$5001,Base!$A$3:$A$5001,J$3,Base!$B$3:$B$5001,$A$61)))</f>
        <v>6</v>
      </c>
      <c r="K61" s="25" t="str">
        <f>IF(K$3="","",IF(COUNTIFS(Base!$A$3:$A$5001,K$3,Base!$B$3:$B$5001,$A$61,Base!$C$3:$C$5001,"&lt;&gt;")=0,"",SUMIFS(Base!$C$3:$C$5001,Base!$A$3:$A$5001,K$3,Base!$B$3:$B$5001,$A$61)))</f>
        <v/>
      </c>
      <c r="L61" s="25">
        <f>IF(L$3="","",IF(COUNTIFS(Base!$A$3:$A$5001,L$3,Base!$B$3:$B$5001,$A$61,Base!$C$3:$C$5001,"&lt;&gt;")=0,"",SUMIFS(Base!$C$3:$C$5001,Base!$A$3:$A$5001,L$3,Base!$B$3:$B$5001,$A$61)))</f>
        <v>2</v>
      </c>
      <c r="M61" s="25">
        <f>IF(M$3="","",IF(COUNTIFS(Base!$A$3:$A$5001,M$3,Base!$B$3:$B$5001,$A$61,Base!$C$3:$C$5001,"&lt;&gt;")=0,"",SUMIFS(Base!$C$3:$C$5001,Base!$A$3:$A$5001,M$3,Base!$B$3:$B$5001,$A$61)))</f>
        <v>2</v>
      </c>
      <c r="N61" s="25">
        <f>IF(N$3="","",IF(COUNTIFS(Base!$A$3:$A$5001,N$3,Base!$B$3:$B$5001,$A$61,Base!$C$3:$C$5001,"&lt;&gt;")=0,"",SUMIFS(Base!$C$3:$C$5001,Base!$A$3:$A$5001,N$3,Base!$B$3:$B$5001,$A$61)))</f>
        <v>7</v>
      </c>
      <c r="O61" s="25">
        <f>IF(O$3="","",IF(COUNTIFS(Base!$A$3:$A$5001,O$3,Base!$B$3:$B$5001,$A$61,Base!$C$3:$C$5001,"&lt;&gt;")=0,"",SUMIFS(Base!$C$3:$C$5001,Base!$A$3:$A$5001,O$3,Base!$B$3:$B$5001,$A$61)))</f>
        <v>6</v>
      </c>
      <c r="P61" s="25">
        <f>IF(P$3="","",IF(COUNTIFS(Base!$A$3:$A$5001,P$3,Base!$B$3:$B$5001,$A$61,Base!$C$3:$C$5001,"&lt;&gt;")=0,"",SUMIFS(Base!$C$3:$C$5001,Base!$A$3:$A$5001,P$3,Base!$B$3:$B$5001,$A$61)))</f>
        <v>3</v>
      </c>
      <c r="Q61" s="25">
        <f>IF(Q$3="","",IF(COUNTIFS(Base!$A$3:$A$5001,Q$3,Base!$B$3:$B$5001,$A$61,Base!$C$3:$C$5001,"&lt;&gt;")=0,"",SUMIFS(Base!$C$3:$C$5001,Base!$A$3:$A$5001,Q$3,Base!$B$3:$B$5001,$A$61)))</f>
        <v>3</v>
      </c>
      <c r="R61" s="25" t="str">
        <f>IF(R$3="","",IF(COUNTIFS(Base!$A$3:$A$5001,R$3,Base!$B$3:$B$5001,$A$61,Base!$C$3:$C$5001,"&lt;&gt;")=0,"",SUMIFS(Base!$C$3:$C$5001,Base!$A$3:$A$5001,R$3,Base!$B$3:$B$5001,$A$61)))</f>
        <v/>
      </c>
      <c r="S61" s="25">
        <f>IF(S$3="","",IF(COUNTIFS(Base!$A$3:$A$5001,S$3,Base!$B$3:$B$5001,$A$61,Base!$C$3:$C$5001,"&lt;&gt;")=0,"",SUMIFS(Base!$C$3:$C$5001,Base!$A$3:$A$5001,S$3,Base!$B$3:$B$5001,$A$61)))</f>
        <v>5</v>
      </c>
      <c r="T61" s="25">
        <f>IF(T$3="","",IF(COUNTIFS(Base!$A$3:$A$5001,T$3,Base!$B$3:$B$5001,$A$61,Base!$C$3:$C$5001,"&lt;&gt;")=0,"",SUMIFS(Base!$C$3:$C$5001,Base!$A$3:$A$5001,T$3,Base!$B$3:$B$5001,$A$61)))</f>
        <v>5</v>
      </c>
      <c r="U61" s="25">
        <f>IF(U$3="","",IF(COUNTIFS(Base!$A$3:$A$5001,U$3,Base!$B$3:$B$5001,$A$61,Base!$C$3:$C$5001,"&lt;&gt;")=0,"",SUMIFS(Base!$C$3:$C$5001,Base!$A$3:$A$5001,U$3,Base!$B$3:$B$5001,$A$61)))</f>
        <v>5</v>
      </c>
      <c r="V61" s="25">
        <f>IF(V$3="","",IF(COUNTIFS(Base!$A$3:$A$5001,V$3,Base!$B$3:$B$5001,$A$61,Base!$C$3:$C$5001,"&lt;&gt;")=0,"",SUMIFS(Base!$C$3:$C$5001,Base!$A$3:$A$5001,V$3,Base!$B$3:$B$5001,$A$61)))</f>
        <v>4</v>
      </c>
      <c r="W61" s="25">
        <f>IF(W$3="","",IF(COUNTIFS(Base!$A$3:$A$5001,W$3,Base!$B$3:$B$5001,$A$61,Base!$C$3:$C$5001,"&lt;&gt;")=0,"",SUMIFS(Base!$C$3:$C$5001,Base!$A$3:$A$5001,W$3,Base!$B$3:$B$5001,$A$61)))</f>
        <v>6</v>
      </c>
      <c r="X61" s="25">
        <f>IF(X$3="","",IF(COUNTIFS(Base!$A$3:$A$5001,X$3,Base!$B$3:$B$5001,$A$61,Base!$C$3:$C$5001,"&lt;&gt;")=0,"",SUMIFS(Base!$C$3:$C$5001,Base!$A$3:$A$5001,X$3,Base!$B$3:$B$5001,$A$61)))</f>
        <v>6</v>
      </c>
      <c r="Y61" s="25" t="str">
        <f>IF(Y$3="","",IF(COUNTIFS(Base!$A$3:$A$5001,Y$3,Base!$B$3:$B$5001,$A$61,Base!$C$3:$C$5001,"&lt;&gt;")=0,"",SUMIFS(Base!$C$3:$C$5001,Base!$A$3:$A$5001,Y$3,Base!$B$3:$B$5001,$A$61)))</f>
        <v/>
      </c>
      <c r="Z61" s="25">
        <f>IF(Z$3="","",IF(COUNTIFS(Base!$A$3:$A$5001,Z$3,Base!$B$3:$B$5001,$A$61,Base!$C$3:$C$5001,"&lt;&gt;")=0,"",SUMIFS(Base!$C$3:$C$5001,Base!$A$3:$A$5001,Z$3,Base!$B$3:$B$5001,$A$61)))</f>
        <v>5</v>
      </c>
      <c r="AA61" s="25">
        <f>IF(AA$3="","",IF(COUNTIFS(Base!$A$3:$A$5001,AA$3,Base!$B$3:$B$5001,$A$61,Base!$C$3:$C$5001,"&lt;&gt;")=0,"",SUMIFS(Base!$C$3:$C$5001,Base!$A$3:$A$5001,AA$3,Base!$B$3:$B$5001,$A$61)))</f>
        <v>7</v>
      </c>
      <c r="AB61" s="25">
        <f>IF(AB$3="","",IF(COUNTIFS(Base!$A$3:$A$5001,AB$3,Base!$B$3:$B$5001,$A$61,Base!$C$3:$C$5001,"&lt;&gt;")=0,"",SUMIFS(Base!$C$3:$C$5001,Base!$A$3:$A$5001,AB$3,Base!$B$3:$B$5001,$A$61)))</f>
        <v>6</v>
      </c>
      <c r="AC61" s="25">
        <f>IF(AC$3="","",IF(COUNTIFS(Base!$A$3:$A$5001,AC$3,Base!$B$3:$B$5001,$A$61,Base!$C$3:$C$5001,"&lt;&gt;")=0,"",SUMIFS(Base!$C$3:$C$5001,Base!$A$3:$A$5001,AC$3,Base!$B$3:$B$5001,$A$61)))</f>
        <v>6</v>
      </c>
      <c r="AD61" s="25">
        <f>IF(AD$3="","",IF(COUNTIFS(Base!$A$3:$A$5001,AD$3,Base!$B$3:$B$5001,$A$61,Base!$C$3:$C$5001,"&lt;&gt;")=0,"",SUMIFS(Base!$C$3:$C$5001,Base!$A$3:$A$5001,AD$3,Base!$B$3:$B$5001,$A$61)))</f>
        <v>7</v>
      </c>
      <c r="AE61" s="25">
        <f>IF(AE$3="","",IF(COUNTIFS(Base!$A$3:$A$5001,AE$3,Base!$B$3:$B$5001,$A$61,Base!$C$3:$C$5001,"&lt;&gt;")=0,"",SUMIFS(Base!$C$3:$C$5001,Base!$A$3:$A$5001,AE$3,Base!$B$3:$B$5001,$A$61)))</f>
        <v>4</v>
      </c>
      <c r="AF61" s="25" t="str">
        <f>IF(AF$3="","",IF(COUNTIFS(Base!$A$3:$A$5001,AF$3,Base!$B$3:$B$5001,$A$61,Base!$C$3:$C$5001,"&lt;&gt;")=0,"",SUMIFS(Base!$C$3:$C$5001,Base!$A$3:$A$5001,AF$3,Base!$B$3:$B$5001,$A$61)))</f>
        <v/>
      </c>
      <c r="AG61" s="25">
        <f>IF(AG$3="","",IF(COUNTIFS(Base!$A$3:$A$5001,AG$3,Base!$B$3:$B$5001,$A$61,Base!$C$3:$C$5001,"&lt;&gt;")=0,"",SUMIFS(Base!$C$3:$C$5001,Base!$A$3:$A$5001,AG$3,Base!$B$3:$B$5001,$A$61)))</f>
        <v>5</v>
      </c>
      <c r="AH61" s="25">
        <f>IF(AH$3="","",IF(COUNTIFS(Base!$A$3:$A$5001,AH$3,Base!$B$3:$B$5001,$A$61,Base!$C$3:$C$5001,"&lt;&gt;")=0,"",SUMIFS(Base!$C$3:$C$5001,Base!$A$3:$A$5001,AH$3,Base!$B$3:$B$5001,$A$61)))</f>
        <v>8</v>
      </c>
      <c r="AI61" s="25" t="str">
        <f>IF(AI$3="","",IF(COUNTIFS(Base!$A$3:$A$5001,AI$3,Base!$B$3:$B$5001,$A$61,Base!$C$3:$C$5001,"&lt;&gt;")=0,"",SUMIFS(Base!$C$3:$C$5001,Base!$A$3:$A$5001,AI$3,Base!$B$3:$B$5001,$A$61)))</f>
        <v/>
      </c>
      <c r="AJ61" s="26" t="str">
        <f>IF(AJ$3="","",IF(COUNTIFS(Base!$A$3:$A$5001,AJ$3,Base!$B$3:$B$5001,$A$61,Base!$C$3:$C$5001,"&lt;&gt;")=0,"",SUMIFS(Base!$C$3:$C$5001,Base!$A$3:$A$5001,AJ$3,Base!$B$3:$B$5001,$A$61)))</f>
        <v/>
      </c>
      <c r="AK61" s="27">
        <f>IF(COUNT(F61:AJ61)=0,"",SUM(F61:AJ61))</f>
        <v>129</v>
      </c>
    </row>
    <row r="62" ht="15.75" customHeight="1">
      <c r="A62" s="118"/>
      <c r="B62" s="106"/>
      <c r="C62" s="28" t="inlineStr">
        <is>
          <t xml:space="preserve">Pallets Movimentados</t>
        </is>
      </c>
      <c r="D62" s="29" t="str">
        <f>IFERROR(1/(1/INDEX(calculos!$C$55:$K$83,MATCH("IN Pallets Movimentados",calculos!$A$55:$A$83,0),MATCH($A$61,calculos!$C$54:$K$54,0))),"")</f>
        <v/>
      </c>
      <c r="E62" s="30"/>
      <c r="F62" s="31">
        <f>IF(F$3="","",IF(COUNTIFS(Base!$A$3:$A$5001,F$3,Base!$B$3:$B$5001,$A$61,Base!$D$3:$D$5001,"&lt;&gt;")=0,"",SUMIFS(Base!$D$3:$D$5001,Base!$A$3:$A$5001,F$3,Base!$B$3:$B$5001,$A$61)))</f>
        <v>24</v>
      </c>
      <c r="G62" s="32">
        <f>IF(G$3="","",IF(COUNTIFS(Base!$A$3:$A$5001,G$3,Base!$B$3:$B$5001,$A$61,Base!$D$3:$D$5001,"&lt;&gt;")=0,"",SUMIFS(Base!$D$3:$D$5001,Base!$A$3:$A$5001,G$3,Base!$B$3:$B$5001,$A$61)))</f>
        <v>85</v>
      </c>
      <c r="H62" s="32">
        <f>IF(H$3="","",IF(COUNTIFS(Base!$A$3:$A$5001,H$3,Base!$B$3:$B$5001,$A$61,Base!$D$3:$D$5001,"&lt;&gt;")=0,"",SUMIFS(Base!$D$3:$D$5001,Base!$A$3:$A$5001,H$3,Base!$B$3:$B$5001,$A$61)))</f>
        <v>119</v>
      </c>
      <c r="I62" s="32">
        <f>IF(I$3="","",IF(COUNTIFS(Base!$A$3:$A$5001,I$3,Base!$B$3:$B$5001,$A$61,Base!$D$3:$D$5001,"&lt;&gt;")=0,"",SUMIFS(Base!$D$3:$D$5001,Base!$A$3:$A$5001,I$3,Base!$B$3:$B$5001,$A$61)))</f>
        <v>114</v>
      </c>
      <c r="J62" s="32">
        <f>IF(J$3="","",IF(COUNTIFS(Base!$A$3:$A$5001,J$3,Base!$B$3:$B$5001,$A$61,Base!$D$3:$D$5001,"&lt;&gt;")=0,"",SUMIFS(Base!$D$3:$D$5001,Base!$A$3:$A$5001,J$3,Base!$B$3:$B$5001,$A$61)))</f>
        <v>105</v>
      </c>
      <c r="K62" s="32" t="str">
        <f>IF(K$3="","",IF(COUNTIFS(Base!$A$3:$A$5001,K$3,Base!$B$3:$B$5001,$A$61,Base!$D$3:$D$5001,"&lt;&gt;")=0,"",SUMIFS(Base!$D$3:$D$5001,Base!$A$3:$A$5001,K$3,Base!$B$3:$B$5001,$A$61)))</f>
        <v/>
      </c>
      <c r="L62" s="32">
        <f>IF(L$3="","",IF(COUNTIFS(Base!$A$3:$A$5001,L$3,Base!$B$3:$B$5001,$A$61,Base!$D$3:$D$5001,"&lt;&gt;")=0,"",SUMIFS(Base!$D$3:$D$5001,Base!$A$3:$A$5001,L$3,Base!$B$3:$B$5001,$A$61)))</f>
        <v>59</v>
      </c>
      <c r="M62" s="32">
        <f>IF(M$3="","",IF(COUNTIFS(Base!$A$3:$A$5001,M$3,Base!$B$3:$B$5001,$A$61,Base!$D$3:$D$5001,"&lt;&gt;")=0,"",SUMIFS(Base!$D$3:$D$5001,Base!$A$3:$A$5001,M$3,Base!$B$3:$B$5001,$A$61)))</f>
        <v>86</v>
      </c>
      <c r="N62" s="32">
        <f>IF(N$3="","",IF(COUNTIFS(Base!$A$3:$A$5001,N$3,Base!$B$3:$B$5001,$A$61,Base!$D$3:$D$5001,"&lt;&gt;")=0,"",SUMIFS(Base!$D$3:$D$5001,Base!$A$3:$A$5001,N$3,Base!$B$3:$B$5001,$A$61)))</f>
        <v>83</v>
      </c>
      <c r="O62" s="32">
        <f>IF(O$3="","",IF(COUNTIFS(Base!$A$3:$A$5001,O$3,Base!$B$3:$B$5001,$A$61,Base!$D$3:$D$5001,"&lt;&gt;")=0,"",SUMIFS(Base!$D$3:$D$5001,Base!$A$3:$A$5001,O$3,Base!$B$3:$B$5001,$A$61)))</f>
        <v>144</v>
      </c>
      <c r="P62" s="32">
        <f>IF(P$3="","",IF(COUNTIFS(Base!$A$3:$A$5001,P$3,Base!$B$3:$B$5001,$A$61,Base!$D$3:$D$5001,"&lt;&gt;")=0,"",SUMIFS(Base!$D$3:$D$5001,Base!$A$3:$A$5001,P$3,Base!$B$3:$B$5001,$A$61)))</f>
        <v>107</v>
      </c>
      <c r="Q62" s="32">
        <f>IF(Q$3="","",IF(COUNTIFS(Base!$A$3:$A$5001,Q$3,Base!$B$3:$B$5001,$A$61,Base!$D$3:$D$5001,"&lt;&gt;")=0,"",SUMIFS(Base!$D$3:$D$5001,Base!$A$3:$A$5001,Q$3,Base!$B$3:$B$5001,$A$61)))</f>
        <v>81</v>
      </c>
      <c r="R62" s="32" t="str">
        <f>IF(R$3="","",IF(COUNTIFS(Base!$A$3:$A$5001,R$3,Base!$B$3:$B$5001,$A$61,Base!$D$3:$D$5001,"&lt;&gt;")=0,"",SUMIFS(Base!$D$3:$D$5001,Base!$A$3:$A$5001,R$3,Base!$B$3:$B$5001,$A$61)))</f>
        <v/>
      </c>
      <c r="S62" s="32">
        <f>IF(S$3="","",IF(COUNTIFS(Base!$A$3:$A$5001,S$3,Base!$B$3:$B$5001,$A$61,Base!$D$3:$D$5001,"&lt;&gt;")=0,"",SUMIFS(Base!$D$3:$D$5001,Base!$A$3:$A$5001,S$3,Base!$B$3:$B$5001,$A$61)))</f>
        <v>90</v>
      </c>
      <c r="T62" s="32">
        <f>IF(T$3="","",IF(COUNTIFS(Base!$A$3:$A$5001,T$3,Base!$B$3:$B$5001,$A$61,Base!$D$3:$D$5001,"&lt;&gt;")=0,"",SUMIFS(Base!$D$3:$D$5001,Base!$A$3:$A$5001,T$3,Base!$B$3:$B$5001,$A$61)))</f>
        <v>69</v>
      </c>
      <c r="U62" s="32">
        <f>IF(U$3="","",IF(COUNTIFS(Base!$A$3:$A$5001,U$3,Base!$B$3:$B$5001,$A$61,Base!$D$3:$D$5001,"&lt;&gt;")=0,"",SUMIFS(Base!$D$3:$D$5001,Base!$A$3:$A$5001,U$3,Base!$B$3:$B$5001,$A$61)))</f>
        <v>82</v>
      </c>
      <c r="V62" s="32">
        <f>IF(V$3="","",IF(COUNTIFS(Base!$A$3:$A$5001,V$3,Base!$B$3:$B$5001,$A$61,Base!$D$3:$D$5001,"&lt;&gt;")=0,"",SUMIFS(Base!$D$3:$D$5001,Base!$A$3:$A$5001,V$3,Base!$B$3:$B$5001,$A$61)))</f>
        <v>36</v>
      </c>
      <c r="W62" s="32">
        <f>IF(W$3="","",IF(COUNTIFS(Base!$A$3:$A$5001,W$3,Base!$B$3:$B$5001,$A$61,Base!$D$3:$D$5001,"&lt;&gt;")=0,"",SUMIFS(Base!$D$3:$D$5001,Base!$A$3:$A$5001,W$3,Base!$B$3:$B$5001,$A$61)))</f>
        <v>141</v>
      </c>
      <c r="X62" s="32">
        <f>IF(X$3="","",IF(COUNTIFS(Base!$A$3:$A$5001,X$3,Base!$B$3:$B$5001,$A$61,Base!$D$3:$D$5001,"&lt;&gt;")=0,"",SUMIFS(Base!$D$3:$D$5001,Base!$A$3:$A$5001,X$3,Base!$B$3:$B$5001,$A$61)))</f>
        <v>153</v>
      </c>
      <c r="Y62" s="32" t="str">
        <f>IF(Y$3="","",IF(COUNTIFS(Base!$A$3:$A$5001,Y$3,Base!$B$3:$B$5001,$A$61,Base!$D$3:$D$5001,"&lt;&gt;")=0,"",SUMIFS(Base!$D$3:$D$5001,Base!$A$3:$A$5001,Y$3,Base!$B$3:$B$5001,$A$61)))</f>
        <v/>
      </c>
      <c r="Z62" s="32">
        <f>IF(Z$3="","",IF(COUNTIFS(Base!$A$3:$A$5001,Z$3,Base!$B$3:$B$5001,$A$61,Base!$D$3:$D$5001,"&lt;&gt;")=0,"",SUMIFS(Base!$D$3:$D$5001,Base!$A$3:$A$5001,Z$3,Base!$B$3:$B$5001,$A$61)))</f>
        <v>34</v>
      </c>
      <c r="AA62" s="32">
        <f>IF(AA$3="","",IF(COUNTIFS(Base!$A$3:$A$5001,AA$3,Base!$B$3:$B$5001,$A$61,Base!$D$3:$D$5001,"&lt;&gt;")=0,"",SUMIFS(Base!$D$3:$D$5001,Base!$A$3:$A$5001,AA$3,Base!$B$3:$B$5001,$A$61)))</f>
        <v>53</v>
      </c>
      <c r="AB62" s="32">
        <f>IF(AB$3="","",IF(COUNTIFS(Base!$A$3:$A$5001,AB$3,Base!$B$3:$B$5001,$A$61,Base!$D$3:$D$5001,"&lt;&gt;")=0,"",SUMIFS(Base!$D$3:$D$5001,Base!$A$3:$A$5001,AB$3,Base!$B$3:$B$5001,$A$61)))</f>
        <v>21</v>
      </c>
      <c r="AC62" s="32">
        <f>IF(AC$3="","",IF(COUNTIFS(Base!$A$3:$A$5001,AC$3,Base!$B$3:$B$5001,$A$61,Base!$D$3:$D$5001,"&lt;&gt;")=0,"",SUMIFS(Base!$D$3:$D$5001,Base!$A$3:$A$5001,AC$3,Base!$B$3:$B$5001,$A$61)))</f>
        <v>114</v>
      </c>
      <c r="AD62" s="32">
        <f>IF(AD$3="","",IF(COUNTIFS(Base!$A$3:$A$5001,AD$3,Base!$B$3:$B$5001,$A$61,Base!$D$3:$D$5001,"&lt;&gt;")=0,"",SUMIFS(Base!$D$3:$D$5001,Base!$A$3:$A$5001,AD$3,Base!$B$3:$B$5001,$A$61)))</f>
        <v>27</v>
      </c>
      <c r="AE62" s="32">
        <f>IF(AE$3="","",IF(COUNTIFS(Base!$A$3:$A$5001,AE$3,Base!$B$3:$B$5001,$A$61,Base!$D$3:$D$5001,"&lt;&gt;")=0,"",SUMIFS(Base!$D$3:$D$5001,Base!$A$3:$A$5001,AE$3,Base!$B$3:$B$5001,$A$61)))</f>
        <v>36</v>
      </c>
      <c r="AF62" s="32" t="str">
        <f>IF(AF$3="","",IF(COUNTIFS(Base!$A$3:$A$5001,AF$3,Base!$B$3:$B$5001,$A$61,Base!$D$3:$D$5001,"&lt;&gt;")=0,"",SUMIFS(Base!$D$3:$D$5001,Base!$A$3:$A$5001,AF$3,Base!$B$3:$B$5001,$A$61)))</f>
        <v/>
      </c>
      <c r="AG62" s="32">
        <f>IF(AG$3="","",IF(COUNTIFS(Base!$A$3:$A$5001,AG$3,Base!$B$3:$B$5001,$A$61,Base!$D$3:$D$5001,"&lt;&gt;")=0,"",SUMIFS(Base!$D$3:$D$5001,Base!$A$3:$A$5001,AG$3,Base!$B$3:$B$5001,$A$61)))</f>
        <v>150</v>
      </c>
      <c r="AH62" s="32">
        <f>IF(AH$3="","",IF(COUNTIFS(Base!$A$3:$A$5001,AH$3,Base!$B$3:$B$5001,$A$61,Base!$D$3:$D$5001,"&lt;&gt;")=0,"",SUMIFS(Base!$D$3:$D$5001,Base!$A$3:$A$5001,AH$3,Base!$B$3:$B$5001,$A$61)))</f>
        <v>95</v>
      </c>
      <c r="AI62" s="32" t="str">
        <f>IF(AI$3="","",IF(COUNTIFS(Base!$A$3:$A$5001,AI$3,Base!$B$3:$B$5001,$A$61,Base!$D$3:$D$5001,"&lt;&gt;")=0,"",SUMIFS(Base!$D$3:$D$5001,Base!$A$3:$A$5001,AI$3,Base!$B$3:$B$5001,$A$61)))</f>
        <v/>
      </c>
      <c r="AJ62" s="33" t="str">
        <f>IF(AJ$3="","",IF(COUNTIFS(Base!$A$3:$A$5001,AJ$3,Base!$B$3:$B$5001,$A$61,Base!$D$3:$D$5001,"&lt;&gt;")=0,"",SUMIFS(Base!$D$3:$D$5001,Base!$A$3:$A$5001,AJ$3,Base!$B$3:$B$5001,$A$61)))</f>
        <v/>
      </c>
      <c r="AK62" s="34">
        <f>IF(COUNT(F62:AJ62)=0,"",SUM(F62:AJ62))</f>
        <v>2108</v>
      </c>
    </row>
    <row r="63" ht="15.75" customHeight="1">
      <c r="A63" s="118"/>
      <c r="B63" s="107"/>
      <c r="C63" s="35" t="inlineStr">
        <is>
          <t xml:space="preserve">Toneladas Movimentadas</t>
        </is>
      </c>
      <c r="D63" s="36" t="str">
        <f>IFERROR(1/(1/INDEX(calculos!$C$55:$K$83,MATCH("IN Toneladas Movimentadas",calculos!$A$55:$A$83,0),MATCH($A$61,calculos!$C$54:$K$54,0))),"")</f>
        <v/>
      </c>
      <c r="E63" s="37"/>
      <c r="F63" s="38">
        <f>IF(F$3="","",IF(COUNTIFS(Base!$A$3:$A$5001,F$3,Base!$B$3:$B$5001,$A$61,Base!$E$3:$E$5001,"&lt;&gt;")=0,"",SUMIFS(Base!$E$3:$E$5001,Base!$A$3:$A$5001,F$3,Base!$B$3:$B$5001,$A$61)))</f>
        <v>56.98</v>
      </c>
      <c r="G63" s="39">
        <f>IF(G$3="","",IF(COUNTIFS(Base!$A$3:$A$5001,G$3,Base!$B$3:$B$5001,$A$61,Base!$E$3:$E$5001,"&lt;&gt;")=0,"",SUMIFS(Base!$E$3:$E$5001,Base!$A$3:$A$5001,G$3,Base!$B$3:$B$5001,$A$61)))</f>
        <v>84.84</v>
      </c>
      <c r="H63" s="39">
        <f>IF(H$3="","",IF(COUNTIFS(Base!$A$3:$A$5001,H$3,Base!$B$3:$B$5001,$A$61,Base!$E$3:$E$5001,"&lt;&gt;")=0,"",SUMIFS(Base!$E$3:$E$5001,Base!$A$3:$A$5001,H$3,Base!$B$3:$B$5001,$A$61)))</f>
        <v>71.83</v>
      </c>
      <c r="I63" s="39">
        <f>IF(I$3="","",IF(COUNTIFS(Base!$A$3:$A$5001,I$3,Base!$B$3:$B$5001,$A$61,Base!$E$3:$E$5001,"&lt;&gt;")=0,"",SUMIFS(Base!$E$3:$E$5001,Base!$A$3:$A$5001,I$3,Base!$B$3:$B$5001,$A$61)))</f>
        <v>131.29</v>
      </c>
      <c r="J63" s="39">
        <f>IF(J$3="","",IF(COUNTIFS(Base!$A$3:$A$5001,J$3,Base!$B$3:$B$5001,$A$61,Base!$E$3:$E$5001,"&lt;&gt;")=0,"",SUMIFS(Base!$E$3:$E$5001,Base!$A$3:$A$5001,J$3,Base!$B$3:$B$5001,$A$61)))</f>
        <v>35.8</v>
      </c>
      <c r="K63" s="39" t="str">
        <f>IF(K$3="","",IF(COUNTIFS(Base!$A$3:$A$5001,K$3,Base!$B$3:$B$5001,$A$61,Base!$E$3:$E$5001,"&lt;&gt;")=0,"",SUMIFS(Base!$E$3:$E$5001,Base!$A$3:$A$5001,K$3,Base!$B$3:$B$5001,$A$61)))</f>
        <v/>
      </c>
      <c r="L63" s="39">
        <f>IF(L$3="","",IF(COUNTIFS(Base!$A$3:$A$5001,L$3,Base!$B$3:$B$5001,$A$61,Base!$E$3:$E$5001,"&lt;&gt;")=0,"",SUMIFS(Base!$E$3:$E$5001,Base!$A$3:$A$5001,L$3,Base!$B$3:$B$5001,$A$61)))</f>
        <v>113.63</v>
      </c>
      <c r="M63" s="39">
        <f>IF(M$3="","",IF(COUNTIFS(Base!$A$3:$A$5001,M$3,Base!$B$3:$B$5001,$A$61,Base!$E$3:$E$5001,"&lt;&gt;")=0,"",SUMIFS(Base!$E$3:$E$5001,Base!$A$3:$A$5001,M$3,Base!$B$3:$B$5001,$A$61)))</f>
        <v>99.74</v>
      </c>
      <c r="N63" s="39">
        <f>IF(N$3="","",IF(COUNTIFS(Base!$A$3:$A$5001,N$3,Base!$B$3:$B$5001,$A$61,Base!$E$3:$E$5001,"&lt;&gt;")=0,"",SUMIFS(Base!$E$3:$E$5001,Base!$A$3:$A$5001,N$3,Base!$B$3:$B$5001,$A$61)))</f>
        <v>39.04</v>
      </c>
      <c r="O63" s="39">
        <f>IF(O$3="","",IF(COUNTIFS(Base!$A$3:$A$5001,O$3,Base!$B$3:$B$5001,$A$61,Base!$E$3:$E$5001,"&lt;&gt;")=0,"",SUMIFS(Base!$E$3:$E$5001,Base!$A$3:$A$5001,O$3,Base!$B$3:$B$5001,$A$61)))</f>
        <v>109.45</v>
      </c>
      <c r="P63" s="39">
        <f>IF(P$3="","",IF(COUNTIFS(Base!$A$3:$A$5001,P$3,Base!$B$3:$B$5001,$A$61,Base!$E$3:$E$5001,"&lt;&gt;")=0,"",SUMIFS(Base!$E$3:$E$5001,Base!$A$3:$A$5001,P$3,Base!$B$3:$B$5001,$A$61)))</f>
        <v>21.77</v>
      </c>
      <c r="Q63" s="39">
        <f>IF(Q$3="","",IF(COUNTIFS(Base!$A$3:$A$5001,Q$3,Base!$B$3:$B$5001,$A$61,Base!$E$3:$E$5001,"&lt;&gt;")=0,"",SUMIFS(Base!$E$3:$E$5001,Base!$A$3:$A$5001,Q$3,Base!$B$3:$B$5001,$A$61)))</f>
        <v>30.25</v>
      </c>
      <c r="R63" s="39" t="str">
        <f>IF(R$3="","",IF(COUNTIFS(Base!$A$3:$A$5001,R$3,Base!$B$3:$B$5001,$A$61,Base!$E$3:$E$5001,"&lt;&gt;")=0,"",SUMIFS(Base!$E$3:$E$5001,Base!$A$3:$A$5001,R$3,Base!$B$3:$B$5001,$A$61)))</f>
        <v/>
      </c>
      <c r="S63" s="39">
        <f>IF(S$3="","",IF(COUNTIFS(Base!$A$3:$A$5001,S$3,Base!$B$3:$B$5001,$A$61,Base!$E$3:$E$5001,"&lt;&gt;")=0,"",SUMIFS(Base!$E$3:$E$5001,Base!$A$3:$A$5001,S$3,Base!$B$3:$B$5001,$A$61)))</f>
        <v>80.88</v>
      </c>
      <c r="T63" s="39">
        <f>IF(T$3="","",IF(COUNTIFS(Base!$A$3:$A$5001,T$3,Base!$B$3:$B$5001,$A$61,Base!$E$3:$E$5001,"&lt;&gt;")=0,"",SUMIFS(Base!$E$3:$E$5001,Base!$A$3:$A$5001,T$3,Base!$B$3:$B$5001,$A$61)))</f>
        <v>103.77</v>
      </c>
      <c r="U63" s="39">
        <f>IF(U$3="","",IF(COUNTIFS(Base!$A$3:$A$5001,U$3,Base!$B$3:$B$5001,$A$61,Base!$E$3:$E$5001,"&lt;&gt;")=0,"",SUMIFS(Base!$E$3:$E$5001,Base!$A$3:$A$5001,U$3,Base!$B$3:$B$5001,$A$61)))</f>
        <v>22.93</v>
      </c>
      <c r="V63" s="39">
        <f>IF(V$3="","",IF(COUNTIFS(Base!$A$3:$A$5001,V$3,Base!$B$3:$B$5001,$A$61,Base!$E$3:$E$5001,"&lt;&gt;")=0,"",SUMIFS(Base!$E$3:$E$5001,Base!$A$3:$A$5001,V$3,Base!$B$3:$B$5001,$A$61)))</f>
        <v>127.85</v>
      </c>
      <c r="W63" s="39">
        <f>IF(W$3="","",IF(COUNTIFS(Base!$A$3:$A$5001,W$3,Base!$B$3:$B$5001,$A$61,Base!$E$3:$E$5001,"&lt;&gt;")=0,"",SUMIFS(Base!$E$3:$E$5001,Base!$A$3:$A$5001,W$3,Base!$B$3:$B$5001,$A$61)))</f>
        <v>51.3</v>
      </c>
      <c r="X63" s="39">
        <f>IF(X$3="","",IF(COUNTIFS(Base!$A$3:$A$5001,X$3,Base!$B$3:$B$5001,$A$61,Base!$E$3:$E$5001,"&lt;&gt;")=0,"",SUMIFS(Base!$E$3:$E$5001,Base!$A$3:$A$5001,X$3,Base!$B$3:$B$5001,$A$61)))</f>
        <v>38.64</v>
      </c>
      <c r="Y63" s="39" t="str">
        <f>IF(Y$3="","",IF(COUNTIFS(Base!$A$3:$A$5001,Y$3,Base!$B$3:$B$5001,$A$61,Base!$E$3:$E$5001,"&lt;&gt;")=0,"",SUMIFS(Base!$E$3:$E$5001,Base!$A$3:$A$5001,Y$3,Base!$B$3:$B$5001,$A$61)))</f>
        <v/>
      </c>
      <c r="Z63" s="39">
        <f>IF(Z$3="","",IF(COUNTIFS(Base!$A$3:$A$5001,Z$3,Base!$B$3:$B$5001,$A$61,Base!$E$3:$E$5001,"&lt;&gt;")=0,"",SUMIFS(Base!$E$3:$E$5001,Base!$A$3:$A$5001,Z$3,Base!$B$3:$B$5001,$A$61)))</f>
        <v>130.69</v>
      </c>
      <c r="AA63" s="39">
        <f>IF(AA$3="","",IF(COUNTIFS(Base!$A$3:$A$5001,AA$3,Base!$B$3:$B$5001,$A$61,Base!$E$3:$E$5001,"&lt;&gt;")=0,"",SUMIFS(Base!$E$3:$E$5001,Base!$A$3:$A$5001,AA$3,Base!$B$3:$B$5001,$A$61)))</f>
        <v>107.84</v>
      </c>
      <c r="AB63" s="39">
        <f>IF(AB$3="","",IF(COUNTIFS(Base!$A$3:$A$5001,AB$3,Base!$B$3:$B$5001,$A$61,Base!$E$3:$E$5001,"&lt;&gt;")=0,"",SUMIFS(Base!$E$3:$E$5001,Base!$A$3:$A$5001,AB$3,Base!$B$3:$B$5001,$A$61)))</f>
        <v>62.94</v>
      </c>
      <c r="AC63" s="39">
        <f>IF(AC$3="","",IF(COUNTIFS(Base!$A$3:$A$5001,AC$3,Base!$B$3:$B$5001,$A$61,Base!$E$3:$E$5001,"&lt;&gt;")=0,"",SUMIFS(Base!$E$3:$E$5001,Base!$A$3:$A$5001,AC$3,Base!$B$3:$B$5001,$A$61)))</f>
        <v>30.23</v>
      </c>
      <c r="AD63" s="39">
        <f>IF(AD$3="","",IF(COUNTIFS(Base!$A$3:$A$5001,AD$3,Base!$B$3:$B$5001,$A$61,Base!$E$3:$E$5001,"&lt;&gt;")=0,"",SUMIFS(Base!$E$3:$E$5001,Base!$A$3:$A$5001,AD$3,Base!$B$3:$B$5001,$A$61)))</f>
        <v>52.25</v>
      </c>
      <c r="AE63" s="39">
        <f>IF(AE$3="","",IF(COUNTIFS(Base!$A$3:$A$5001,AE$3,Base!$B$3:$B$5001,$A$61,Base!$E$3:$E$5001,"&lt;&gt;")=0,"",SUMIFS(Base!$E$3:$E$5001,Base!$A$3:$A$5001,AE$3,Base!$B$3:$B$5001,$A$61)))</f>
        <v>37.46</v>
      </c>
      <c r="AF63" s="39" t="str">
        <f>IF(AF$3="","",IF(COUNTIFS(Base!$A$3:$A$5001,AF$3,Base!$B$3:$B$5001,$A$61,Base!$E$3:$E$5001,"&lt;&gt;")=0,"",SUMIFS(Base!$E$3:$E$5001,Base!$A$3:$A$5001,AF$3,Base!$B$3:$B$5001,$A$61)))</f>
        <v/>
      </c>
      <c r="AG63" s="39">
        <f>IF(AG$3="","",IF(COUNTIFS(Base!$A$3:$A$5001,AG$3,Base!$B$3:$B$5001,$A$61,Base!$E$3:$E$5001,"&lt;&gt;")=0,"",SUMIFS(Base!$E$3:$E$5001,Base!$A$3:$A$5001,AG$3,Base!$B$3:$B$5001,$A$61)))</f>
        <v>49.75</v>
      </c>
      <c r="AH63" s="39">
        <f>IF(AH$3="","",IF(COUNTIFS(Base!$A$3:$A$5001,AH$3,Base!$B$3:$B$5001,$A$61,Base!$E$3:$E$5001,"&lt;&gt;")=0,"",SUMIFS(Base!$E$3:$E$5001,Base!$A$3:$A$5001,AH$3,Base!$B$3:$B$5001,$A$61)))</f>
        <v>33.61</v>
      </c>
      <c r="AI63" s="39" t="str">
        <f>IF(AI$3="","",IF(COUNTIFS(Base!$A$3:$A$5001,AI$3,Base!$B$3:$B$5001,$A$61,Base!$E$3:$E$5001,"&lt;&gt;")=0,"",SUMIFS(Base!$E$3:$E$5001,Base!$A$3:$A$5001,AI$3,Base!$B$3:$B$5001,$A$61)))</f>
        <v/>
      </c>
      <c r="AJ63" s="40" t="str">
        <f>IF(AJ$3="","",IF(COUNTIFS(Base!$A$3:$A$5001,AJ$3,Base!$B$3:$B$5001,$A$61,Base!$E$3:$E$5001,"&lt;&gt;")=0,"",SUMIFS(Base!$E$3:$E$5001,Base!$A$3:$A$5001,AJ$3,Base!$B$3:$B$5001,$A$61)))</f>
        <v/>
      </c>
      <c r="AK63" s="36">
        <f>IF(COUNT(F63:AJ63)=0,"",SUM(F63:AJ63))</f>
        <v>1724.76</v>
      </c>
    </row>
    <row r="64" ht="15.75" customHeight="1">
      <c r="A64" s="118"/>
      <c r="B64" s="108" t="inlineStr">
        <is>
          <t xml:space="preserve">OUT</t>
        </is>
      </c>
      <c r="C64" s="41" t="inlineStr">
        <is>
          <t xml:space="preserve">Veículos Expedidos</t>
        </is>
      </c>
      <c r="D64" s="42" t="str">
        <f>IFERROR(1/(1/INDEX(calculos!$C$55:$K$83,MATCH("OUT Veículos Expedidos",calculos!$A$55:$A$83,0),MATCH($A$61,calculos!$C$54:$K$54,0))),"")</f>
        <v/>
      </c>
      <c r="E64" s="43"/>
      <c r="F64" s="44">
        <f>IF(F$3="","",IF(COUNTIFS(Base!$A$3:$A$5001,F$3,Base!$B$3:$B$5001,$A$61,Base!$L$3:$L$5001,"&lt;&gt;")=0,"",SUMIFS(Base!$L$3:$L$5001,Base!$A$3:$A$5001,F$3,Base!$B$3:$B$5001,$A$61)))</f>
        <v>11</v>
      </c>
      <c r="G64" s="45">
        <f>IF(G$3="","",IF(COUNTIFS(Base!$A$3:$A$5001,G$3,Base!$B$3:$B$5001,$A$61,Base!$L$3:$L$5001,"&lt;&gt;")=0,"",SUMIFS(Base!$L$3:$L$5001,Base!$A$3:$A$5001,G$3,Base!$B$3:$B$5001,$A$61)))</f>
        <v>8</v>
      </c>
      <c r="H64" s="45">
        <f>IF(H$3="","",IF(COUNTIFS(Base!$A$3:$A$5001,H$3,Base!$B$3:$B$5001,$A$61,Base!$L$3:$L$5001,"&lt;&gt;")=0,"",SUMIFS(Base!$L$3:$L$5001,Base!$A$3:$A$5001,H$3,Base!$B$3:$B$5001,$A$61)))</f>
        <v>5</v>
      </c>
      <c r="I64" s="45">
        <f>IF(I$3="","",IF(COUNTIFS(Base!$A$3:$A$5001,I$3,Base!$B$3:$B$5001,$A$61,Base!$L$3:$L$5001,"&lt;&gt;")=0,"",SUMIFS(Base!$L$3:$L$5001,Base!$A$3:$A$5001,I$3,Base!$B$3:$B$5001,$A$61)))</f>
        <v>8</v>
      </c>
      <c r="J64" s="45">
        <f>IF(J$3="","",IF(COUNTIFS(Base!$A$3:$A$5001,J$3,Base!$B$3:$B$5001,$A$61,Base!$L$3:$L$5001,"&lt;&gt;")=0,"",SUMIFS(Base!$L$3:$L$5001,Base!$A$3:$A$5001,J$3,Base!$B$3:$B$5001,$A$61)))</f>
        <v>11</v>
      </c>
      <c r="K64" s="45" t="str">
        <f>IF(K$3="","",IF(COUNTIFS(Base!$A$3:$A$5001,K$3,Base!$B$3:$B$5001,$A$61,Base!$L$3:$L$5001,"&lt;&gt;")=0,"",SUMIFS(Base!$L$3:$L$5001,Base!$A$3:$A$5001,K$3,Base!$B$3:$B$5001,$A$61)))</f>
        <v/>
      </c>
      <c r="L64" s="45">
        <f>IF(L$3="","",IF(COUNTIFS(Base!$A$3:$A$5001,L$3,Base!$B$3:$B$5001,$A$61,Base!$L$3:$L$5001,"&lt;&gt;")=0,"",SUMIFS(Base!$L$3:$L$5001,Base!$A$3:$A$5001,L$3,Base!$B$3:$B$5001,$A$61)))</f>
        <v>2</v>
      </c>
      <c r="M64" s="45">
        <f>IF(M$3="","",IF(COUNTIFS(Base!$A$3:$A$5001,M$3,Base!$B$3:$B$5001,$A$61,Base!$L$3:$L$5001,"&lt;&gt;")=0,"",SUMIFS(Base!$L$3:$L$5001,Base!$A$3:$A$5001,M$3,Base!$B$3:$B$5001,$A$61)))</f>
        <v>9</v>
      </c>
      <c r="N64" s="45">
        <f>IF(N$3="","",IF(COUNTIFS(Base!$A$3:$A$5001,N$3,Base!$B$3:$B$5001,$A$61,Base!$L$3:$L$5001,"&lt;&gt;")=0,"",SUMIFS(Base!$L$3:$L$5001,Base!$A$3:$A$5001,N$3,Base!$B$3:$B$5001,$A$61)))</f>
        <v>3</v>
      </c>
      <c r="O64" s="45">
        <f>IF(O$3="","",IF(COUNTIFS(Base!$A$3:$A$5001,O$3,Base!$B$3:$B$5001,$A$61,Base!$L$3:$L$5001,"&lt;&gt;")=0,"",SUMIFS(Base!$L$3:$L$5001,Base!$A$3:$A$5001,O$3,Base!$B$3:$B$5001,$A$61)))</f>
        <v>4</v>
      </c>
      <c r="P64" s="45">
        <f>IF(P$3="","",IF(COUNTIFS(Base!$A$3:$A$5001,P$3,Base!$B$3:$B$5001,$A$61,Base!$L$3:$L$5001,"&lt;&gt;")=0,"",SUMIFS(Base!$L$3:$L$5001,Base!$A$3:$A$5001,P$3,Base!$B$3:$B$5001,$A$61)))</f>
        <v>9</v>
      </c>
      <c r="Q64" s="45">
        <f>IF(Q$3="","",IF(COUNTIFS(Base!$A$3:$A$5001,Q$3,Base!$B$3:$B$5001,$A$61,Base!$L$3:$L$5001,"&lt;&gt;")=0,"",SUMIFS(Base!$L$3:$L$5001,Base!$A$3:$A$5001,Q$3,Base!$B$3:$B$5001,$A$61)))</f>
        <v>11</v>
      </c>
      <c r="R64" s="45" t="str">
        <f>IF(R$3="","",IF(COUNTIFS(Base!$A$3:$A$5001,R$3,Base!$B$3:$B$5001,$A$61,Base!$L$3:$L$5001,"&lt;&gt;")=0,"",SUMIFS(Base!$L$3:$L$5001,Base!$A$3:$A$5001,R$3,Base!$B$3:$B$5001,$A$61)))</f>
        <v/>
      </c>
      <c r="S64" s="45">
        <f>IF(S$3="","",IF(COUNTIFS(Base!$A$3:$A$5001,S$3,Base!$B$3:$B$5001,$A$61,Base!$L$3:$L$5001,"&lt;&gt;")=0,"",SUMIFS(Base!$L$3:$L$5001,Base!$A$3:$A$5001,S$3,Base!$B$3:$B$5001,$A$61)))</f>
        <v>9</v>
      </c>
      <c r="T64" s="45">
        <f>IF(T$3="","",IF(COUNTIFS(Base!$A$3:$A$5001,T$3,Base!$B$3:$B$5001,$A$61,Base!$L$3:$L$5001,"&lt;&gt;")=0,"",SUMIFS(Base!$L$3:$L$5001,Base!$A$3:$A$5001,T$3,Base!$B$3:$B$5001,$A$61)))</f>
        <v>7</v>
      </c>
      <c r="U64" s="45">
        <f>IF(U$3="","",IF(COUNTIFS(Base!$A$3:$A$5001,U$3,Base!$B$3:$B$5001,$A$61,Base!$L$3:$L$5001,"&lt;&gt;")=0,"",SUMIFS(Base!$L$3:$L$5001,Base!$A$3:$A$5001,U$3,Base!$B$3:$B$5001,$A$61)))</f>
        <v>7</v>
      </c>
      <c r="V64" s="45">
        <f>IF(V$3="","",IF(COUNTIFS(Base!$A$3:$A$5001,V$3,Base!$B$3:$B$5001,$A$61,Base!$L$3:$L$5001,"&lt;&gt;")=0,"",SUMIFS(Base!$L$3:$L$5001,Base!$A$3:$A$5001,V$3,Base!$B$3:$B$5001,$A$61)))</f>
        <v>6</v>
      </c>
      <c r="W64" s="45">
        <f>IF(W$3="","",IF(COUNTIFS(Base!$A$3:$A$5001,W$3,Base!$B$3:$B$5001,$A$61,Base!$L$3:$L$5001,"&lt;&gt;")=0,"",SUMIFS(Base!$L$3:$L$5001,Base!$A$3:$A$5001,W$3,Base!$B$3:$B$5001,$A$61)))</f>
        <v>7</v>
      </c>
      <c r="X64" s="45">
        <f>IF(X$3="","",IF(COUNTIFS(Base!$A$3:$A$5001,X$3,Base!$B$3:$B$5001,$A$61,Base!$L$3:$L$5001,"&lt;&gt;")=0,"",SUMIFS(Base!$L$3:$L$5001,Base!$A$3:$A$5001,X$3,Base!$B$3:$B$5001,$A$61)))</f>
        <v>3</v>
      </c>
      <c r="Y64" s="45" t="str">
        <f>IF(Y$3="","",IF(COUNTIFS(Base!$A$3:$A$5001,Y$3,Base!$B$3:$B$5001,$A$61,Base!$L$3:$L$5001,"&lt;&gt;")=0,"",SUMIFS(Base!$L$3:$L$5001,Base!$A$3:$A$5001,Y$3,Base!$B$3:$B$5001,$A$61)))</f>
        <v/>
      </c>
      <c r="Z64" s="45">
        <f>IF(Z$3="","",IF(COUNTIFS(Base!$A$3:$A$5001,Z$3,Base!$B$3:$B$5001,$A$61,Base!$L$3:$L$5001,"&lt;&gt;")=0,"",SUMIFS(Base!$L$3:$L$5001,Base!$A$3:$A$5001,Z$3,Base!$B$3:$B$5001,$A$61)))</f>
        <v>5</v>
      </c>
      <c r="AA64" s="45">
        <f>IF(AA$3="","",IF(COUNTIFS(Base!$A$3:$A$5001,AA$3,Base!$B$3:$B$5001,$A$61,Base!$L$3:$L$5001,"&lt;&gt;")=0,"",SUMIFS(Base!$L$3:$L$5001,Base!$A$3:$A$5001,AA$3,Base!$B$3:$B$5001,$A$61)))</f>
        <v>9</v>
      </c>
      <c r="AB64" s="45">
        <f>IF(AB$3="","",IF(COUNTIFS(Base!$A$3:$A$5001,AB$3,Base!$B$3:$B$5001,$A$61,Base!$L$3:$L$5001,"&lt;&gt;")=0,"",SUMIFS(Base!$L$3:$L$5001,Base!$A$3:$A$5001,AB$3,Base!$B$3:$B$5001,$A$61)))</f>
        <v>4</v>
      </c>
      <c r="AC64" s="45">
        <f>IF(AC$3="","",IF(COUNTIFS(Base!$A$3:$A$5001,AC$3,Base!$B$3:$B$5001,$A$61,Base!$L$3:$L$5001,"&lt;&gt;")=0,"",SUMIFS(Base!$L$3:$L$5001,Base!$A$3:$A$5001,AC$3,Base!$B$3:$B$5001,$A$61)))</f>
        <v>9</v>
      </c>
      <c r="AD64" s="45">
        <f>IF(AD$3="","",IF(COUNTIFS(Base!$A$3:$A$5001,AD$3,Base!$B$3:$B$5001,$A$61,Base!$L$3:$L$5001,"&lt;&gt;")=0,"",SUMIFS(Base!$L$3:$L$5001,Base!$A$3:$A$5001,AD$3,Base!$B$3:$B$5001,$A$61)))</f>
        <v>2</v>
      </c>
      <c r="AE64" s="45">
        <f>IF(AE$3="","",IF(COUNTIFS(Base!$A$3:$A$5001,AE$3,Base!$B$3:$B$5001,$A$61,Base!$L$3:$L$5001,"&lt;&gt;")=0,"",SUMIFS(Base!$L$3:$L$5001,Base!$A$3:$A$5001,AE$3,Base!$B$3:$B$5001,$A$61)))</f>
        <v>4</v>
      </c>
      <c r="AF64" s="45" t="str">
        <f>IF(AF$3="","",IF(COUNTIFS(Base!$A$3:$A$5001,AF$3,Base!$B$3:$B$5001,$A$61,Base!$L$3:$L$5001,"&lt;&gt;")=0,"",SUMIFS(Base!$L$3:$L$5001,Base!$A$3:$A$5001,AF$3,Base!$B$3:$B$5001,$A$61)))</f>
        <v/>
      </c>
      <c r="AG64" s="45">
        <f>IF(AG$3="","",IF(COUNTIFS(Base!$A$3:$A$5001,AG$3,Base!$B$3:$B$5001,$A$61,Base!$L$3:$L$5001,"&lt;&gt;")=0,"",SUMIFS(Base!$L$3:$L$5001,Base!$A$3:$A$5001,AG$3,Base!$B$3:$B$5001,$A$61)))</f>
        <v>2</v>
      </c>
      <c r="AH64" s="45">
        <f>IF(AH$3="","",IF(COUNTIFS(Base!$A$3:$A$5001,AH$3,Base!$B$3:$B$5001,$A$61,Base!$L$3:$L$5001,"&lt;&gt;")=0,"",SUMIFS(Base!$L$3:$L$5001,Base!$A$3:$A$5001,AH$3,Base!$B$3:$B$5001,$A$61)))</f>
        <v>11</v>
      </c>
      <c r="AI64" s="45" t="str">
        <f>IF(AI$3="","",IF(COUNTIFS(Base!$A$3:$A$5001,AI$3,Base!$B$3:$B$5001,$A$61,Base!$L$3:$L$5001,"&lt;&gt;")=0,"",SUMIFS(Base!$L$3:$L$5001,Base!$A$3:$A$5001,AI$3,Base!$B$3:$B$5001,$A$61)))</f>
        <v/>
      </c>
      <c r="AJ64" s="46" t="str">
        <f>IF(AJ$3="","",IF(COUNTIFS(Base!$A$3:$A$5001,AJ$3,Base!$B$3:$B$5001,$A$61,Base!$L$3:$L$5001,"&lt;&gt;")=0,"",SUMIFS(Base!$L$3:$L$5001,Base!$A$3:$A$5001,AJ$3,Base!$B$3:$B$5001,$A$61)))</f>
        <v/>
      </c>
      <c r="AK64" s="47">
        <f>IF(COUNT(F64:AJ64)=0,"",SUM(F64:AJ64))</f>
        <v>166</v>
      </c>
    </row>
    <row r="65" ht="15.75" customHeight="1">
      <c r="A65" s="118"/>
      <c r="B65" s="109"/>
      <c r="C65" s="48" t="inlineStr">
        <is>
          <t xml:space="preserve">Pallets Movimentados</t>
        </is>
      </c>
      <c r="D65" s="49" t="str">
        <f>IFERROR(1/(1/INDEX(calculos!$C$55:$K$83,MATCH("OUT Pallets Movimentados",calculos!$A$55:$A$83,0),MATCH($A$61,calculos!$C$54:$K$54,0))),"")</f>
        <v/>
      </c>
      <c r="E65" s="50"/>
      <c r="F65" s="51">
        <f>IF(F$3="","",IF(COUNTIFS(Base!$A$3:$A$5001,F$3,Base!$B$3:$B$5001,$A$61,Base!$M$3:$M$5001,"&lt;&gt;")=0,"",SUMIFS(Base!$M$3:$M$5001,Base!$A$3:$A$5001,F$3,Base!$B$3:$B$5001,$A$61)))</f>
        <v>46</v>
      </c>
      <c r="G65" s="52">
        <f>IF(G$3="","",IF(COUNTIFS(Base!$A$3:$A$5001,G$3,Base!$B$3:$B$5001,$A$61,Base!$M$3:$M$5001,"&lt;&gt;")=0,"",SUMIFS(Base!$M$3:$M$5001,Base!$A$3:$A$5001,G$3,Base!$B$3:$B$5001,$A$61)))</f>
        <v>125</v>
      </c>
      <c r="H65" s="52">
        <f>IF(H$3="","",IF(COUNTIFS(Base!$A$3:$A$5001,H$3,Base!$B$3:$B$5001,$A$61,Base!$M$3:$M$5001,"&lt;&gt;")=0,"",SUMIFS(Base!$M$3:$M$5001,Base!$A$3:$A$5001,H$3,Base!$B$3:$B$5001,$A$61)))</f>
        <v>46</v>
      </c>
      <c r="I65" s="52">
        <f>IF(I$3="","",IF(COUNTIFS(Base!$A$3:$A$5001,I$3,Base!$B$3:$B$5001,$A$61,Base!$M$3:$M$5001,"&lt;&gt;")=0,"",SUMIFS(Base!$M$3:$M$5001,Base!$A$3:$A$5001,I$3,Base!$B$3:$B$5001,$A$61)))</f>
        <v>148</v>
      </c>
      <c r="J65" s="52">
        <f>IF(J$3="","",IF(COUNTIFS(Base!$A$3:$A$5001,J$3,Base!$B$3:$B$5001,$A$61,Base!$M$3:$M$5001,"&lt;&gt;")=0,"",SUMIFS(Base!$M$3:$M$5001,Base!$A$3:$A$5001,J$3,Base!$B$3:$B$5001,$A$61)))</f>
        <v>59</v>
      </c>
      <c r="K65" s="52" t="str">
        <f>IF(K$3="","",IF(COUNTIFS(Base!$A$3:$A$5001,K$3,Base!$B$3:$B$5001,$A$61,Base!$M$3:$M$5001,"&lt;&gt;")=0,"",SUMIFS(Base!$M$3:$M$5001,Base!$A$3:$A$5001,K$3,Base!$B$3:$B$5001,$A$61)))</f>
        <v/>
      </c>
      <c r="L65" s="52">
        <f>IF(L$3="","",IF(COUNTIFS(Base!$A$3:$A$5001,L$3,Base!$B$3:$B$5001,$A$61,Base!$M$3:$M$5001,"&lt;&gt;")=0,"",SUMIFS(Base!$M$3:$M$5001,Base!$A$3:$A$5001,L$3,Base!$B$3:$B$5001,$A$61)))</f>
        <v>118</v>
      </c>
      <c r="M65" s="52">
        <f>IF(M$3="","",IF(COUNTIFS(Base!$A$3:$A$5001,M$3,Base!$B$3:$B$5001,$A$61,Base!$M$3:$M$5001,"&lt;&gt;")=0,"",SUMIFS(Base!$M$3:$M$5001,Base!$A$3:$A$5001,M$3,Base!$B$3:$B$5001,$A$61)))</f>
        <v>110</v>
      </c>
      <c r="N65" s="52">
        <f>IF(N$3="","",IF(COUNTIFS(Base!$A$3:$A$5001,N$3,Base!$B$3:$B$5001,$A$61,Base!$M$3:$M$5001,"&lt;&gt;")=0,"",SUMIFS(Base!$M$3:$M$5001,Base!$A$3:$A$5001,N$3,Base!$B$3:$B$5001,$A$61)))</f>
        <v>158</v>
      </c>
      <c r="O65" s="52">
        <f>IF(O$3="","",IF(COUNTIFS(Base!$A$3:$A$5001,O$3,Base!$B$3:$B$5001,$A$61,Base!$M$3:$M$5001,"&lt;&gt;")=0,"",SUMIFS(Base!$M$3:$M$5001,Base!$A$3:$A$5001,O$3,Base!$B$3:$B$5001,$A$61)))</f>
        <v>148</v>
      </c>
      <c r="P65" s="52">
        <f>IF(P$3="","",IF(COUNTIFS(Base!$A$3:$A$5001,P$3,Base!$B$3:$B$5001,$A$61,Base!$M$3:$M$5001,"&lt;&gt;")=0,"",SUMIFS(Base!$M$3:$M$5001,Base!$A$3:$A$5001,P$3,Base!$B$3:$B$5001,$A$61)))</f>
        <v>132</v>
      </c>
      <c r="Q65" s="52">
        <f>IF(Q$3="","",IF(COUNTIFS(Base!$A$3:$A$5001,Q$3,Base!$B$3:$B$5001,$A$61,Base!$M$3:$M$5001,"&lt;&gt;")=0,"",SUMIFS(Base!$M$3:$M$5001,Base!$A$3:$A$5001,Q$3,Base!$B$3:$B$5001,$A$61)))</f>
        <v>146</v>
      </c>
      <c r="R65" s="52" t="str">
        <f>IF(R$3="","",IF(COUNTIFS(Base!$A$3:$A$5001,R$3,Base!$B$3:$B$5001,$A$61,Base!$M$3:$M$5001,"&lt;&gt;")=0,"",SUMIFS(Base!$M$3:$M$5001,Base!$A$3:$A$5001,R$3,Base!$B$3:$B$5001,$A$61)))</f>
        <v/>
      </c>
      <c r="S65" s="52">
        <f>IF(S$3="","",IF(COUNTIFS(Base!$A$3:$A$5001,S$3,Base!$B$3:$B$5001,$A$61,Base!$M$3:$M$5001,"&lt;&gt;")=0,"",SUMIFS(Base!$M$3:$M$5001,Base!$A$3:$A$5001,S$3,Base!$B$3:$B$5001,$A$61)))</f>
        <v>116</v>
      </c>
      <c r="T65" s="52">
        <f>IF(T$3="","",IF(COUNTIFS(Base!$A$3:$A$5001,T$3,Base!$B$3:$B$5001,$A$61,Base!$M$3:$M$5001,"&lt;&gt;")=0,"",SUMIFS(Base!$M$3:$M$5001,Base!$A$3:$A$5001,T$3,Base!$B$3:$B$5001,$A$61)))</f>
        <v>45</v>
      </c>
      <c r="U65" s="52">
        <f>IF(U$3="","",IF(COUNTIFS(Base!$A$3:$A$5001,U$3,Base!$B$3:$B$5001,$A$61,Base!$M$3:$M$5001,"&lt;&gt;")=0,"",SUMIFS(Base!$M$3:$M$5001,Base!$A$3:$A$5001,U$3,Base!$B$3:$B$5001,$A$61)))</f>
        <v>144</v>
      </c>
      <c r="V65" s="52">
        <f>IF(V$3="","",IF(COUNTIFS(Base!$A$3:$A$5001,V$3,Base!$B$3:$B$5001,$A$61,Base!$M$3:$M$5001,"&lt;&gt;")=0,"",SUMIFS(Base!$M$3:$M$5001,Base!$A$3:$A$5001,V$3,Base!$B$3:$B$5001,$A$61)))</f>
        <v>75</v>
      </c>
      <c r="W65" s="52">
        <f>IF(W$3="","",IF(COUNTIFS(Base!$A$3:$A$5001,W$3,Base!$B$3:$B$5001,$A$61,Base!$M$3:$M$5001,"&lt;&gt;")=0,"",SUMIFS(Base!$M$3:$M$5001,Base!$A$3:$A$5001,W$3,Base!$B$3:$B$5001,$A$61)))</f>
        <v>120</v>
      </c>
      <c r="X65" s="52">
        <f>IF(X$3="","",IF(COUNTIFS(Base!$A$3:$A$5001,X$3,Base!$B$3:$B$5001,$A$61,Base!$M$3:$M$5001,"&lt;&gt;")=0,"",SUMIFS(Base!$M$3:$M$5001,Base!$A$3:$A$5001,X$3,Base!$B$3:$B$5001,$A$61)))</f>
        <v>77</v>
      </c>
      <c r="Y65" s="52" t="str">
        <f>IF(Y$3="","",IF(COUNTIFS(Base!$A$3:$A$5001,Y$3,Base!$B$3:$B$5001,$A$61,Base!$M$3:$M$5001,"&lt;&gt;")=0,"",SUMIFS(Base!$M$3:$M$5001,Base!$A$3:$A$5001,Y$3,Base!$B$3:$B$5001,$A$61)))</f>
        <v/>
      </c>
      <c r="Z65" s="52">
        <f>IF(Z$3="","",IF(COUNTIFS(Base!$A$3:$A$5001,Z$3,Base!$B$3:$B$5001,$A$61,Base!$M$3:$M$5001,"&lt;&gt;")=0,"",SUMIFS(Base!$M$3:$M$5001,Base!$A$3:$A$5001,Z$3,Base!$B$3:$B$5001,$A$61)))</f>
        <v>47</v>
      </c>
      <c r="AA65" s="52">
        <f>IF(AA$3="","",IF(COUNTIFS(Base!$A$3:$A$5001,AA$3,Base!$B$3:$B$5001,$A$61,Base!$M$3:$M$5001,"&lt;&gt;")=0,"",SUMIFS(Base!$M$3:$M$5001,Base!$A$3:$A$5001,AA$3,Base!$B$3:$B$5001,$A$61)))</f>
        <v>151</v>
      </c>
      <c r="AB65" s="52">
        <f>IF(AB$3="","",IF(COUNTIFS(Base!$A$3:$A$5001,AB$3,Base!$B$3:$B$5001,$A$61,Base!$M$3:$M$5001,"&lt;&gt;")=0,"",SUMIFS(Base!$M$3:$M$5001,Base!$A$3:$A$5001,AB$3,Base!$B$3:$B$5001,$A$61)))</f>
        <v>106</v>
      </c>
      <c r="AC65" s="52">
        <f>IF(AC$3="","",IF(COUNTIFS(Base!$A$3:$A$5001,AC$3,Base!$B$3:$B$5001,$A$61,Base!$M$3:$M$5001,"&lt;&gt;")=0,"",SUMIFS(Base!$M$3:$M$5001,Base!$A$3:$A$5001,AC$3,Base!$B$3:$B$5001,$A$61)))</f>
        <v>127</v>
      </c>
      <c r="AD65" s="52">
        <f>IF(AD$3="","",IF(COUNTIFS(Base!$A$3:$A$5001,AD$3,Base!$B$3:$B$5001,$A$61,Base!$M$3:$M$5001,"&lt;&gt;")=0,"",SUMIFS(Base!$M$3:$M$5001,Base!$A$3:$A$5001,AD$3,Base!$B$3:$B$5001,$A$61)))</f>
        <v>50</v>
      </c>
      <c r="AE65" s="52">
        <f>IF(AE$3="","",IF(COUNTIFS(Base!$A$3:$A$5001,AE$3,Base!$B$3:$B$5001,$A$61,Base!$M$3:$M$5001,"&lt;&gt;")=0,"",SUMIFS(Base!$M$3:$M$5001,Base!$A$3:$A$5001,AE$3,Base!$B$3:$B$5001,$A$61)))</f>
        <v>100</v>
      </c>
      <c r="AF65" s="52" t="str">
        <f>IF(AF$3="","",IF(COUNTIFS(Base!$A$3:$A$5001,AF$3,Base!$B$3:$B$5001,$A$61,Base!$M$3:$M$5001,"&lt;&gt;")=0,"",SUMIFS(Base!$M$3:$M$5001,Base!$A$3:$A$5001,AF$3,Base!$B$3:$B$5001,$A$61)))</f>
        <v/>
      </c>
      <c r="AG65" s="52">
        <f>IF(AG$3="","",IF(COUNTIFS(Base!$A$3:$A$5001,AG$3,Base!$B$3:$B$5001,$A$61,Base!$M$3:$M$5001,"&lt;&gt;")=0,"",SUMIFS(Base!$M$3:$M$5001,Base!$A$3:$A$5001,AG$3,Base!$B$3:$B$5001,$A$61)))</f>
        <v>36</v>
      </c>
      <c r="AH65" s="52">
        <f>IF(AH$3="","",IF(COUNTIFS(Base!$A$3:$A$5001,AH$3,Base!$B$3:$B$5001,$A$61,Base!$M$3:$M$5001,"&lt;&gt;")=0,"",SUMIFS(Base!$M$3:$M$5001,Base!$A$3:$A$5001,AH$3,Base!$B$3:$B$5001,$A$61)))</f>
        <v>57</v>
      </c>
      <c r="AI65" s="52" t="str">
        <f>IF(AI$3="","",IF(COUNTIFS(Base!$A$3:$A$5001,AI$3,Base!$B$3:$B$5001,$A$61,Base!$M$3:$M$5001,"&lt;&gt;")=0,"",SUMIFS(Base!$M$3:$M$5001,Base!$A$3:$A$5001,AI$3,Base!$B$3:$B$5001,$A$61)))</f>
        <v/>
      </c>
      <c r="AJ65" s="53" t="str">
        <f>IF(AJ$3="","",IF(COUNTIFS(Base!$A$3:$A$5001,AJ$3,Base!$B$3:$B$5001,$A$61,Base!$M$3:$M$5001,"&lt;&gt;")=0,"",SUMIFS(Base!$M$3:$M$5001,Base!$A$3:$A$5001,AJ$3,Base!$B$3:$B$5001,$A$61)))</f>
        <v/>
      </c>
      <c r="AK65" s="54">
        <f>IF(COUNT(F65:AJ65)=0,"",SUM(F65:AJ65))</f>
        <v>2487</v>
      </c>
    </row>
    <row r="66" ht="15.75" customHeight="1">
      <c r="A66" s="118"/>
      <c r="B66" s="110"/>
      <c r="C66" s="55" t="inlineStr">
        <is>
          <t xml:space="preserve">Toneladas Movimentadas</t>
        </is>
      </c>
      <c r="D66" s="56" t="str">
        <f>IFERROR(1/(1/INDEX(calculos!$C$55:$K$83,MATCH("OUT Toneladas Movimentadas",calculos!$A$55:$A$83,0),MATCH($A$61,calculos!$C$54:$K$54,0))),"")</f>
        <v/>
      </c>
      <c r="E66" s="57"/>
      <c r="F66" s="58">
        <f>IF(F$3="","",IF(COUNTIFS(Base!$A$3:$A$5001,F$3,Base!$B$3:$B$5001,$A$61,Base!$N$3:$N$5001,"&lt;&gt;")=0,"",SUMIFS(Base!$N$3:$N$5001,Base!$A$3:$A$5001,F$3,Base!$B$3:$B$5001,$A$61)))</f>
        <v>126.19</v>
      </c>
      <c r="G66" s="59">
        <f>IF(G$3="","",IF(COUNTIFS(Base!$A$3:$A$5001,G$3,Base!$B$3:$B$5001,$A$61,Base!$N$3:$N$5001,"&lt;&gt;")=0,"",SUMIFS(Base!$N$3:$N$5001,Base!$A$3:$A$5001,G$3,Base!$B$3:$B$5001,$A$61)))</f>
        <v>49.42</v>
      </c>
      <c r="H66" s="59">
        <f>IF(H$3="","",IF(COUNTIFS(Base!$A$3:$A$5001,H$3,Base!$B$3:$B$5001,$A$61,Base!$N$3:$N$5001,"&lt;&gt;")=0,"",SUMIFS(Base!$N$3:$N$5001,Base!$A$3:$A$5001,H$3,Base!$B$3:$B$5001,$A$61)))</f>
        <v>65.36</v>
      </c>
      <c r="I66" s="59">
        <f>IF(I$3="","",IF(COUNTIFS(Base!$A$3:$A$5001,I$3,Base!$B$3:$B$5001,$A$61,Base!$N$3:$N$5001,"&lt;&gt;")=0,"",SUMIFS(Base!$N$3:$N$5001,Base!$A$3:$A$5001,I$3,Base!$B$3:$B$5001,$A$61)))</f>
        <v>47.87</v>
      </c>
      <c r="J66" s="59">
        <f>IF(J$3="","",IF(COUNTIFS(Base!$A$3:$A$5001,J$3,Base!$B$3:$B$5001,$A$61,Base!$N$3:$N$5001,"&lt;&gt;")=0,"",SUMIFS(Base!$N$3:$N$5001,Base!$A$3:$A$5001,J$3,Base!$B$3:$B$5001,$A$61)))</f>
        <v>63.86</v>
      </c>
      <c r="K66" s="59" t="str">
        <f>IF(K$3="","",IF(COUNTIFS(Base!$A$3:$A$5001,K$3,Base!$B$3:$B$5001,$A$61,Base!$N$3:$N$5001,"&lt;&gt;")=0,"",SUMIFS(Base!$N$3:$N$5001,Base!$A$3:$A$5001,K$3,Base!$B$3:$B$5001,$A$61)))</f>
        <v/>
      </c>
      <c r="L66" s="59">
        <f>IF(L$3="","",IF(COUNTIFS(Base!$A$3:$A$5001,L$3,Base!$B$3:$B$5001,$A$61,Base!$N$3:$N$5001,"&lt;&gt;")=0,"",SUMIFS(Base!$N$3:$N$5001,Base!$A$3:$A$5001,L$3,Base!$B$3:$B$5001,$A$61)))</f>
        <v>74.37</v>
      </c>
      <c r="M66" s="59">
        <f>IF(M$3="","",IF(COUNTIFS(Base!$A$3:$A$5001,M$3,Base!$B$3:$B$5001,$A$61,Base!$N$3:$N$5001,"&lt;&gt;")=0,"",SUMIFS(Base!$N$3:$N$5001,Base!$A$3:$A$5001,M$3,Base!$B$3:$B$5001,$A$61)))</f>
        <v>37.53</v>
      </c>
      <c r="N66" s="59">
        <f>IF(N$3="","",IF(COUNTIFS(Base!$A$3:$A$5001,N$3,Base!$B$3:$B$5001,$A$61,Base!$N$3:$N$5001,"&lt;&gt;")=0,"",SUMIFS(Base!$N$3:$N$5001,Base!$A$3:$A$5001,N$3,Base!$B$3:$B$5001,$A$61)))</f>
        <v>139.42</v>
      </c>
      <c r="O66" s="59">
        <f>IF(O$3="","",IF(COUNTIFS(Base!$A$3:$A$5001,O$3,Base!$B$3:$B$5001,$A$61,Base!$N$3:$N$5001,"&lt;&gt;")=0,"",SUMIFS(Base!$N$3:$N$5001,Base!$A$3:$A$5001,O$3,Base!$B$3:$B$5001,$A$61)))</f>
        <v>115.52</v>
      </c>
      <c r="P66" s="59">
        <f>IF(P$3="","",IF(COUNTIFS(Base!$A$3:$A$5001,P$3,Base!$B$3:$B$5001,$A$61,Base!$N$3:$N$5001,"&lt;&gt;")=0,"",SUMIFS(Base!$N$3:$N$5001,Base!$A$3:$A$5001,P$3,Base!$B$3:$B$5001,$A$61)))</f>
        <v>127.9</v>
      </c>
      <c r="Q66" s="59">
        <f>IF(Q$3="","",IF(COUNTIFS(Base!$A$3:$A$5001,Q$3,Base!$B$3:$B$5001,$A$61,Base!$N$3:$N$5001,"&lt;&gt;")=0,"",SUMIFS(Base!$N$3:$N$5001,Base!$A$3:$A$5001,Q$3,Base!$B$3:$B$5001,$A$61)))</f>
        <v>28.39</v>
      </c>
      <c r="R66" s="59" t="str">
        <f>IF(R$3="","",IF(COUNTIFS(Base!$A$3:$A$5001,R$3,Base!$B$3:$B$5001,$A$61,Base!$N$3:$N$5001,"&lt;&gt;")=0,"",SUMIFS(Base!$N$3:$N$5001,Base!$A$3:$A$5001,R$3,Base!$B$3:$B$5001,$A$61)))</f>
        <v/>
      </c>
      <c r="S66" s="59">
        <f>IF(S$3="","",IF(COUNTIFS(Base!$A$3:$A$5001,S$3,Base!$B$3:$B$5001,$A$61,Base!$N$3:$N$5001,"&lt;&gt;")=0,"",SUMIFS(Base!$N$3:$N$5001,Base!$A$3:$A$5001,S$3,Base!$B$3:$B$5001,$A$61)))</f>
        <v>95.93</v>
      </c>
      <c r="T66" s="59">
        <f>IF(T$3="","",IF(COUNTIFS(Base!$A$3:$A$5001,T$3,Base!$B$3:$B$5001,$A$61,Base!$N$3:$N$5001,"&lt;&gt;")=0,"",SUMIFS(Base!$N$3:$N$5001,Base!$A$3:$A$5001,T$3,Base!$B$3:$B$5001,$A$61)))</f>
        <v>86.64</v>
      </c>
      <c r="U66" s="59">
        <f>IF(U$3="","",IF(COUNTIFS(Base!$A$3:$A$5001,U$3,Base!$B$3:$B$5001,$A$61,Base!$N$3:$N$5001,"&lt;&gt;")=0,"",SUMIFS(Base!$N$3:$N$5001,Base!$A$3:$A$5001,U$3,Base!$B$3:$B$5001,$A$61)))</f>
        <v>30.86</v>
      </c>
      <c r="V66" s="59">
        <f>IF(V$3="","",IF(COUNTIFS(Base!$A$3:$A$5001,V$3,Base!$B$3:$B$5001,$A$61,Base!$N$3:$N$5001,"&lt;&gt;")=0,"",SUMIFS(Base!$N$3:$N$5001,Base!$A$3:$A$5001,V$3,Base!$B$3:$B$5001,$A$61)))</f>
        <v>89.41</v>
      </c>
      <c r="W66" s="59">
        <f>IF(W$3="","",IF(COUNTIFS(Base!$A$3:$A$5001,W$3,Base!$B$3:$B$5001,$A$61,Base!$N$3:$N$5001,"&lt;&gt;")=0,"",SUMIFS(Base!$N$3:$N$5001,Base!$A$3:$A$5001,W$3,Base!$B$3:$B$5001,$A$61)))</f>
        <v>106.59</v>
      </c>
      <c r="X66" s="59">
        <f>IF(X$3="","",IF(COUNTIFS(Base!$A$3:$A$5001,X$3,Base!$B$3:$B$5001,$A$61,Base!$N$3:$N$5001,"&lt;&gt;")=0,"",SUMIFS(Base!$N$3:$N$5001,Base!$A$3:$A$5001,X$3,Base!$B$3:$B$5001,$A$61)))</f>
        <v>78.7</v>
      </c>
      <c r="Y66" s="59" t="str">
        <f>IF(Y$3="","",IF(COUNTIFS(Base!$A$3:$A$5001,Y$3,Base!$B$3:$B$5001,$A$61,Base!$N$3:$N$5001,"&lt;&gt;")=0,"",SUMIFS(Base!$N$3:$N$5001,Base!$A$3:$A$5001,Y$3,Base!$B$3:$B$5001,$A$61)))</f>
        <v/>
      </c>
      <c r="Z66" s="59">
        <f>IF(Z$3="","",IF(COUNTIFS(Base!$A$3:$A$5001,Z$3,Base!$B$3:$B$5001,$A$61,Base!$N$3:$N$5001,"&lt;&gt;")=0,"",SUMIFS(Base!$N$3:$N$5001,Base!$A$3:$A$5001,Z$3,Base!$B$3:$B$5001,$A$61)))</f>
        <v>75.03</v>
      </c>
      <c r="AA66" s="59">
        <f>IF(AA$3="","",IF(COUNTIFS(Base!$A$3:$A$5001,AA$3,Base!$B$3:$B$5001,$A$61,Base!$N$3:$N$5001,"&lt;&gt;")=0,"",SUMIFS(Base!$N$3:$N$5001,Base!$A$3:$A$5001,AA$3,Base!$B$3:$B$5001,$A$61)))</f>
        <v>119.17</v>
      </c>
      <c r="AB66" s="59">
        <f>IF(AB$3="","",IF(COUNTIFS(Base!$A$3:$A$5001,AB$3,Base!$B$3:$B$5001,$A$61,Base!$N$3:$N$5001,"&lt;&gt;")=0,"",SUMIFS(Base!$N$3:$N$5001,Base!$A$3:$A$5001,AB$3,Base!$B$3:$B$5001,$A$61)))</f>
        <v>23.18</v>
      </c>
      <c r="AC66" s="59">
        <f>IF(AC$3="","",IF(COUNTIFS(Base!$A$3:$A$5001,AC$3,Base!$B$3:$B$5001,$A$61,Base!$N$3:$N$5001,"&lt;&gt;")=0,"",SUMIFS(Base!$N$3:$N$5001,Base!$A$3:$A$5001,AC$3,Base!$B$3:$B$5001,$A$61)))</f>
        <v>53.29</v>
      </c>
      <c r="AD66" s="59">
        <f>IF(AD$3="","",IF(COUNTIFS(Base!$A$3:$A$5001,AD$3,Base!$B$3:$B$5001,$A$61,Base!$N$3:$N$5001,"&lt;&gt;")=0,"",SUMIFS(Base!$N$3:$N$5001,Base!$A$3:$A$5001,AD$3,Base!$B$3:$B$5001,$A$61)))</f>
        <v>77.3</v>
      </c>
      <c r="AE66" s="59">
        <f>IF(AE$3="","",IF(COUNTIFS(Base!$A$3:$A$5001,AE$3,Base!$B$3:$B$5001,$A$61,Base!$N$3:$N$5001,"&lt;&gt;")=0,"",SUMIFS(Base!$N$3:$N$5001,Base!$A$3:$A$5001,AE$3,Base!$B$3:$B$5001,$A$61)))</f>
        <v>70.77</v>
      </c>
      <c r="AF66" s="59" t="str">
        <f>IF(AF$3="","",IF(COUNTIFS(Base!$A$3:$A$5001,AF$3,Base!$B$3:$B$5001,$A$61,Base!$N$3:$N$5001,"&lt;&gt;")=0,"",SUMIFS(Base!$N$3:$N$5001,Base!$A$3:$A$5001,AF$3,Base!$B$3:$B$5001,$A$61)))</f>
        <v/>
      </c>
      <c r="AG66" s="59">
        <f>IF(AG$3="","",IF(COUNTIFS(Base!$A$3:$A$5001,AG$3,Base!$B$3:$B$5001,$A$61,Base!$N$3:$N$5001,"&lt;&gt;")=0,"",SUMIFS(Base!$N$3:$N$5001,Base!$A$3:$A$5001,AG$3,Base!$B$3:$B$5001,$A$61)))</f>
        <v>130.93</v>
      </c>
      <c r="AH66" s="59">
        <f>IF(AH$3="","",IF(COUNTIFS(Base!$A$3:$A$5001,AH$3,Base!$B$3:$B$5001,$A$61,Base!$N$3:$N$5001,"&lt;&gt;")=0,"",SUMIFS(Base!$N$3:$N$5001,Base!$A$3:$A$5001,AH$3,Base!$B$3:$B$5001,$A$61)))</f>
        <v>129.02</v>
      </c>
      <c r="AI66" s="59" t="str">
        <f>IF(AI$3="","",IF(COUNTIFS(Base!$A$3:$A$5001,AI$3,Base!$B$3:$B$5001,$A$61,Base!$N$3:$N$5001,"&lt;&gt;")=0,"",SUMIFS(Base!$N$3:$N$5001,Base!$A$3:$A$5001,AI$3,Base!$B$3:$B$5001,$A$61)))</f>
        <v/>
      </c>
      <c r="AJ66" s="60" t="str">
        <f>IF(AJ$3="","",IF(COUNTIFS(Base!$A$3:$A$5001,AJ$3,Base!$B$3:$B$5001,$A$61,Base!$N$3:$N$5001,"&lt;&gt;")=0,"",SUMIFS(Base!$N$3:$N$5001,Base!$A$3:$A$5001,AJ$3,Base!$B$3:$B$5001,$A$61)))</f>
        <v/>
      </c>
      <c r="AK66" s="56">
        <f>IF(COUNT(F66:AJ66)=0,"",SUM(F66:AJ66))</f>
        <v>2042.65</v>
      </c>
    </row>
    <row r="67" ht="15.75" customHeight="1">
      <c r="A67" s="118"/>
      <c r="B67" s="111" t="inlineStr">
        <is>
          <t xml:space="preserve">NC</t>
        </is>
      </c>
      <c r="C67" s="61" t="inlineStr">
        <is>
          <t xml:space="preserve">Incidentes</t>
        </is>
      </c>
      <c r="D67" s="62" t="str">
        <f>IFERROR(1/(1/INDEX(calculos!$C$55:$K$83,MATCH("NC Incidentes",calculos!$A$55:$A$83,0),MATCH($A$61,calculos!$C$54:$K$54,0))),"")</f>
        <v/>
      </c>
      <c r="E67" s="63"/>
      <c r="F67" s="64">
        <f>IF(F$3="","",IF(COUNTIFS(Base!$A$3:$A$5001,F$3,Base!$B$3:$B$5001,$A$61,Base!$U$3:$U$5001,"&lt;&gt;")=0,"",SUMIFS(Base!$U$3:$U$5001,Base!$A$3:$A$5001,F$3,Base!$B$3:$B$5001,$A$61)))</f>
        <v>0</v>
      </c>
      <c r="G67" s="65">
        <f>IF(G$3="","",IF(COUNTIFS(Base!$A$3:$A$5001,G$3,Base!$B$3:$B$5001,$A$61,Base!$U$3:$U$5001,"&lt;&gt;")=0,"",SUMIFS(Base!$U$3:$U$5001,Base!$A$3:$A$5001,G$3,Base!$B$3:$B$5001,$A$61)))</f>
        <v>0</v>
      </c>
      <c r="H67" s="65">
        <f>IF(H$3="","",IF(COUNTIFS(Base!$A$3:$A$5001,H$3,Base!$B$3:$B$5001,$A$61,Base!$U$3:$U$5001,"&lt;&gt;")=0,"",SUMIFS(Base!$U$3:$U$5001,Base!$A$3:$A$5001,H$3,Base!$B$3:$B$5001,$A$61)))</f>
        <v>0</v>
      </c>
      <c r="I67" s="65">
        <f>IF(I$3="","",IF(COUNTIFS(Base!$A$3:$A$5001,I$3,Base!$B$3:$B$5001,$A$61,Base!$U$3:$U$5001,"&lt;&gt;")=0,"",SUMIFS(Base!$U$3:$U$5001,Base!$A$3:$A$5001,I$3,Base!$B$3:$B$5001,$A$61)))</f>
        <v>0</v>
      </c>
      <c r="J67" s="65">
        <f>IF(J$3="","",IF(COUNTIFS(Base!$A$3:$A$5001,J$3,Base!$B$3:$B$5001,$A$61,Base!$U$3:$U$5001,"&lt;&gt;")=0,"",SUMIFS(Base!$U$3:$U$5001,Base!$A$3:$A$5001,J$3,Base!$B$3:$B$5001,$A$61)))</f>
        <v>0</v>
      </c>
      <c r="K67" s="65" t="str">
        <f>IF(K$3="","",IF(COUNTIFS(Base!$A$3:$A$5001,K$3,Base!$B$3:$B$5001,$A$61,Base!$U$3:$U$5001,"&lt;&gt;")=0,"",SUMIFS(Base!$U$3:$U$5001,Base!$A$3:$A$5001,K$3,Base!$B$3:$B$5001,$A$61)))</f>
        <v/>
      </c>
      <c r="L67" s="65">
        <f>IF(L$3="","",IF(COUNTIFS(Base!$A$3:$A$5001,L$3,Base!$B$3:$B$5001,$A$61,Base!$U$3:$U$5001,"&lt;&gt;")=0,"",SUMIFS(Base!$U$3:$U$5001,Base!$A$3:$A$5001,L$3,Base!$B$3:$B$5001,$A$61)))</f>
        <v>0</v>
      </c>
      <c r="M67" s="65">
        <f>IF(M$3="","",IF(COUNTIFS(Base!$A$3:$A$5001,M$3,Base!$B$3:$B$5001,$A$61,Base!$U$3:$U$5001,"&lt;&gt;")=0,"",SUMIFS(Base!$U$3:$U$5001,Base!$A$3:$A$5001,M$3,Base!$B$3:$B$5001,$A$61)))</f>
        <v>0</v>
      </c>
      <c r="N67" s="65">
        <f>IF(N$3="","",IF(COUNTIFS(Base!$A$3:$A$5001,N$3,Base!$B$3:$B$5001,$A$61,Base!$U$3:$U$5001,"&lt;&gt;")=0,"",SUMIFS(Base!$U$3:$U$5001,Base!$A$3:$A$5001,N$3,Base!$B$3:$B$5001,$A$61)))</f>
        <v>0</v>
      </c>
      <c r="O67" s="65">
        <f>IF(O$3="","",IF(COUNTIFS(Base!$A$3:$A$5001,O$3,Base!$B$3:$B$5001,$A$61,Base!$U$3:$U$5001,"&lt;&gt;")=0,"",SUMIFS(Base!$U$3:$U$5001,Base!$A$3:$A$5001,O$3,Base!$B$3:$B$5001,$A$61)))</f>
        <v>0</v>
      </c>
      <c r="P67" s="65">
        <f>IF(P$3="","",IF(COUNTIFS(Base!$A$3:$A$5001,P$3,Base!$B$3:$B$5001,$A$61,Base!$U$3:$U$5001,"&lt;&gt;")=0,"",SUMIFS(Base!$U$3:$U$5001,Base!$A$3:$A$5001,P$3,Base!$B$3:$B$5001,$A$61)))</f>
        <v>0</v>
      </c>
      <c r="Q67" s="65">
        <f>IF(Q$3="","",IF(COUNTIFS(Base!$A$3:$A$5001,Q$3,Base!$B$3:$B$5001,$A$61,Base!$U$3:$U$5001,"&lt;&gt;")=0,"",SUMIFS(Base!$U$3:$U$5001,Base!$A$3:$A$5001,Q$3,Base!$B$3:$B$5001,$A$61)))</f>
        <v>0</v>
      </c>
      <c r="R67" s="65" t="str">
        <f>IF(R$3="","",IF(COUNTIFS(Base!$A$3:$A$5001,R$3,Base!$B$3:$B$5001,$A$61,Base!$U$3:$U$5001,"&lt;&gt;")=0,"",SUMIFS(Base!$U$3:$U$5001,Base!$A$3:$A$5001,R$3,Base!$B$3:$B$5001,$A$61)))</f>
        <v/>
      </c>
      <c r="S67" s="65">
        <f>IF(S$3="","",IF(COUNTIFS(Base!$A$3:$A$5001,S$3,Base!$B$3:$B$5001,$A$61,Base!$U$3:$U$5001,"&lt;&gt;")=0,"",SUMIFS(Base!$U$3:$U$5001,Base!$A$3:$A$5001,S$3,Base!$B$3:$B$5001,$A$61)))</f>
        <v>0</v>
      </c>
      <c r="T67" s="65">
        <f>IF(T$3="","",IF(COUNTIFS(Base!$A$3:$A$5001,T$3,Base!$B$3:$B$5001,$A$61,Base!$U$3:$U$5001,"&lt;&gt;")=0,"",SUMIFS(Base!$U$3:$U$5001,Base!$A$3:$A$5001,T$3,Base!$B$3:$B$5001,$A$61)))</f>
        <v>0</v>
      </c>
      <c r="U67" s="65">
        <f>IF(U$3="","",IF(COUNTIFS(Base!$A$3:$A$5001,U$3,Base!$B$3:$B$5001,$A$61,Base!$U$3:$U$5001,"&lt;&gt;")=0,"",SUMIFS(Base!$U$3:$U$5001,Base!$A$3:$A$5001,U$3,Base!$B$3:$B$5001,$A$61)))</f>
        <v>0</v>
      </c>
      <c r="V67" s="65">
        <f>IF(V$3="","",IF(COUNTIFS(Base!$A$3:$A$5001,V$3,Base!$B$3:$B$5001,$A$61,Base!$U$3:$U$5001,"&lt;&gt;")=0,"",SUMIFS(Base!$U$3:$U$5001,Base!$A$3:$A$5001,V$3,Base!$B$3:$B$5001,$A$61)))</f>
        <v>0</v>
      </c>
      <c r="W67" s="65">
        <f>IF(W$3="","",IF(COUNTIFS(Base!$A$3:$A$5001,W$3,Base!$B$3:$B$5001,$A$61,Base!$U$3:$U$5001,"&lt;&gt;")=0,"",SUMIFS(Base!$U$3:$U$5001,Base!$A$3:$A$5001,W$3,Base!$B$3:$B$5001,$A$61)))</f>
        <v>0</v>
      </c>
      <c r="X67" s="65">
        <f>IF(X$3="","",IF(COUNTIFS(Base!$A$3:$A$5001,X$3,Base!$B$3:$B$5001,$A$61,Base!$U$3:$U$5001,"&lt;&gt;")=0,"",SUMIFS(Base!$U$3:$U$5001,Base!$A$3:$A$5001,X$3,Base!$B$3:$B$5001,$A$61)))</f>
        <v>0</v>
      </c>
      <c r="Y67" s="65" t="str">
        <f>IF(Y$3="","",IF(COUNTIFS(Base!$A$3:$A$5001,Y$3,Base!$B$3:$B$5001,$A$61,Base!$U$3:$U$5001,"&lt;&gt;")=0,"",SUMIFS(Base!$U$3:$U$5001,Base!$A$3:$A$5001,Y$3,Base!$B$3:$B$5001,$A$61)))</f>
        <v/>
      </c>
      <c r="Z67" s="65">
        <f>IF(Z$3="","",IF(COUNTIFS(Base!$A$3:$A$5001,Z$3,Base!$B$3:$B$5001,$A$61,Base!$U$3:$U$5001,"&lt;&gt;")=0,"",SUMIFS(Base!$U$3:$U$5001,Base!$A$3:$A$5001,Z$3,Base!$B$3:$B$5001,$A$61)))</f>
        <v>0</v>
      </c>
      <c r="AA67" s="65">
        <f>IF(AA$3="","",IF(COUNTIFS(Base!$A$3:$A$5001,AA$3,Base!$B$3:$B$5001,$A$61,Base!$U$3:$U$5001,"&lt;&gt;")=0,"",SUMIFS(Base!$U$3:$U$5001,Base!$A$3:$A$5001,AA$3,Base!$B$3:$B$5001,$A$61)))</f>
        <v>0</v>
      </c>
      <c r="AB67" s="65">
        <f>IF(AB$3="","",IF(COUNTIFS(Base!$A$3:$A$5001,AB$3,Base!$B$3:$B$5001,$A$61,Base!$U$3:$U$5001,"&lt;&gt;")=0,"",SUMIFS(Base!$U$3:$U$5001,Base!$A$3:$A$5001,AB$3,Base!$B$3:$B$5001,$A$61)))</f>
        <v>0</v>
      </c>
      <c r="AC67" s="65">
        <f>IF(AC$3="","",IF(COUNTIFS(Base!$A$3:$A$5001,AC$3,Base!$B$3:$B$5001,$A$61,Base!$U$3:$U$5001,"&lt;&gt;")=0,"",SUMIFS(Base!$U$3:$U$5001,Base!$A$3:$A$5001,AC$3,Base!$B$3:$B$5001,$A$61)))</f>
        <v>0</v>
      </c>
      <c r="AD67" s="65">
        <f>IF(AD$3="","",IF(COUNTIFS(Base!$A$3:$A$5001,AD$3,Base!$B$3:$B$5001,$A$61,Base!$U$3:$U$5001,"&lt;&gt;")=0,"",SUMIFS(Base!$U$3:$U$5001,Base!$A$3:$A$5001,AD$3,Base!$B$3:$B$5001,$A$61)))</f>
        <v>0</v>
      </c>
      <c r="AE67" s="65">
        <f>IF(AE$3="","",IF(COUNTIFS(Base!$A$3:$A$5001,AE$3,Base!$B$3:$B$5001,$A$61,Base!$U$3:$U$5001,"&lt;&gt;")=0,"",SUMIFS(Base!$U$3:$U$5001,Base!$A$3:$A$5001,AE$3,Base!$B$3:$B$5001,$A$61)))</f>
        <v>0</v>
      </c>
      <c r="AF67" s="65" t="str">
        <f>IF(AF$3="","",IF(COUNTIFS(Base!$A$3:$A$5001,AF$3,Base!$B$3:$B$5001,$A$61,Base!$U$3:$U$5001,"&lt;&gt;")=0,"",SUMIFS(Base!$U$3:$U$5001,Base!$A$3:$A$5001,AF$3,Base!$B$3:$B$5001,$A$61)))</f>
        <v/>
      </c>
      <c r="AG67" s="65">
        <f>IF(AG$3="","",IF(COUNTIFS(Base!$A$3:$A$5001,AG$3,Base!$B$3:$B$5001,$A$61,Base!$U$3:$U$5001,"&lt;&gt;")=0,"",SUMIFS(Base!$U$3:$U$5001,Base!$A$3:$A$5001,AG$3,Base!$B$3:$B$5001,$A$61)))</f>
        <v>0</v>
      </c>
      <c r="AH67" s="65">
        <f>IF(AH$3="","",IF(COUNTIFS(Base!$A$3:$A$5001,AH$3,Base!$B$3:$B$5001,$A$61,Base!$U$3:$U$5001,"&lt;&gt;")=0,"",SUMIFS(Base!$U$3:$U$5001,Base!$A$3:$A$5001,AH$3,Base!$B$3:$B$5001,$A$61)))</f>
        <v>0</v>
      </c>
      <c r="AI67" s="65" t="str">
        <f>IF(AI$3="","",IF(COUNTIFS(Base!$A$3:$A$5001,AI$3,Base!$B$3:$B$5001,$A$61,Base!$U$3:$U$5001,"&lt;&gt;")=0,"",SUMIFS(Base!$U$3:$U$5001,Base!$A$3:$A$5001,AI$3,Base!$B$3:$B$5001,$A$61)))</f>
        <v/>
      </c>
      <c r="AJ67" s="66" t="str">
        <f>IF(AJ$3="","",IF(COUNTIFS(Base!$A$3:$A$5001,AJ$3,Base!$B$3:$B$5001,$A$61,Base!$U$3:$U$5001,"&lt;&gt;")=0,"",SUMIFS(Base!$U$3:$U$5001,Base!$A$3:$A$5001,AJ$3,Base!$B$3:$B$5001,$A$61)))</f>
        <v/>
      </c>
      <c r="AK67" s="67">
        <f>IF(COUNT(F67:AJ67)=0,"",SUM(F67:AJ67))</f>
        <v>0</v>
      </c>
    </row>
    <row r="68" ht="15.75" customHeight="1">
      <c r="A68" s="118"/>
      <c r="B68" s="112"/>
      <c r="C68" s="68" t="inlineStr">
        <is>
          <t xml:space="preserve">No show</t>
        </is>
      </c>
      <c r="D68" s="69" t="str">
        <f>IFERROR(1/(1/INDEX(calculos!$C$55:$K$83,MATCH("NC No show",calculos!$A$55:$A$83,0),MATCH($A$61,calculos!$C$54:$K$54,0))),"")</f>
        <v/>
      </c>
      <c r="E68" s="70"/>
      <c r="F68" s="71">
        <f>IF(F$3="","",IF(COUNTIFS(Base!$A$3:$A$5001,F$3,Base!$B$3:$B$5001,$A$61,Base!$V$3:$V$5001,"&lt;&gt;")=0,"",SUMIFS(Base!$V$3:$V$5001,Base!$A$3:$A$5001,F$3,Base!$B$3:$B$5001,$A$61)))</f>
        <v>0</v>
      </c>
      <c r="G68" s="72">
        <f>IF(G$3="","",IF(COUNTIFS(Base!$A$3:$A$5001,G$3,Base!$B$3:$B$5001,$A$61,Base!$V$3:$V$5001,"&lt;&gt;")=0,"",SUMIFS(Base!$V$3:$V$5001,Base!$A$3:$A$5001,G$3,Base!$B$3:$B$5001,$A$61)))</f>
        <v>0</v>
      </c>
      <c r="H68" s="72">
        <f>IF(H$3="","",IF(COUNTIFS(Base!$A$3:$A$5001,H$3,Base!$B$3:$B$5001,$A$61,Base!$V$3:$V$5001,"&lt;&gt;")=0,"",SUMIFS(Base!$V$3:$V$5001,Base!$A$3:$A$5001,H$3,Base!$B$3:$B$5001,$A$61)))</f>
        <v>0</v>
      </c>
      <c r="I68" s="72">
        <f>IF(I$3="","",IF(COUNTIFS(Base!$A$3:$A$5001,I$3,Base!$B$3:$B$5001,$A$61,Base!$V$3:$V$5001,"&lt;&gt;")=0,"",SUMIFS(Base!$V$3:$V$5001,Base!$A$3:$A$5001,I$3,Base!$B$3:$B$5001,$A$61)))</f>
        <v>1</v>
      </c>
      <c r="J68" s="72">
        <f>IF(J$3="","",IF(COUNTIFS(Base!$A$3:$A$5001,J$3,Base!$B$3:$B$5001,$A$61,Base!$V$3:$V$5001,"&lt;&gt;")=0,"",SUMIFS(Base!$V$3:$V$5001,Base!$A$3:$A$5001,J$3,Base!$B$3:$B$5001,$A$61)))</f>
        <v>0</v>
      </c>
      <c r="K68" s="72" t="str">
        <f>IF(K$3="","",IF(COUNTIFS(Base!$A$3:$A$5001,K$3,Base!$B$3:$B$5001,$A$61,Base!$V$3:$V$5001,"&lt;&gt;")=0,"",SUMIFS(Base!$V$3:$V$5001,Base!$A$3:$A$5001,K$3,Base!$B$3:$B$5001,$A$61)))</f>
        <v/>
      </c>
      <c r="L68" s="72">
        <f>IF(L$3="","",IF(COUNTIFS(Base!$A$3:$A$5001,L$3,Base!$B$3:$B$5001,$A$61,Base!$V$3:$V$5001,"&lt;&gt;")=0,"",SUMIFS(Base!$V$3:$V$5001,Base!$A$3:$A$5001,L$3,Base!$B$3:$B$5001,$A$61)))</f>
        <v>0</v>
      </c>
      <c r="M68" s="72">
        <f>IF(M$3="","",IF(COUNTIFS(Base!$A$3:$A$5001,M$3,Base!$B$3:$B$5001,$A$61,Base!$V$3:$V$5001,"&lt;&gt;")=0,"",SUMIFS(Base!$V$3:$V$5001,Base!$A$3:$A$5001,M$3,Base!$B$3:$B$5001,$A$61)))</f>
        <v>0</v>
      </c>
      <c r="N68" s="72">
        <f>IF(N$3="","",IF(COUNTIFS(Base!$A$3:$A$5001,N$3,Base!$B$3:$B$5001,$A$61,Base!$V$3:$V$5001,"&lt;&gt;")=0,"",SUMIFS(Base!$V$3:$V$5001,Base!$A$3:$A$5001,N$3,Base!$B$3:$B$5001,$A$61)))</f>
        <v>0</v>
      </c>
      <c r="O68" s="72">
        <f>IF(O$3="","",IF(COUNTIFS(Base!$A$3:$A$5001,O$3,Base!$B$3:$B$5001,$A$61,Base!$V$3:$V$5001,"&lt;&gt;")=0,"",SUMIFS(Base!$V$3:$V$5001,Base!$A$3:$A$5001,O$3,Base!$B$3:$B$5001,$A$61)))</f>
        <v>0</v>
      </c>
      <c r="P68" s="72">
        <f>IF(P$3="","",IF(COUNTIFS(Base!$A$3:$A$5001,P$3,Base!$B$3:$B$5001,$A$61,Base!$V$3:$V$5001,"&lt;&gt;")=0,"",SUMIFS(Base!$V$3:$V$5001,Base!$A$3:$A$5001,P$3,Base!$B$3:$B$5001,$A$61)))</f>
        <v>0</v>
      </c>
      <c r="Q68" s="72">
        <f>IF(Q$3="","",IF(COUNTIFS(Base!$A$3:$A$5001,Q$3,Base!$B$3:$B$5001,$A$61,Base!$V$3:$V$5001,"&lt;&gt;")=0,"",SUMIFS(Base!$V$3:$V$5001,Base!$A$3:$A$5001,Q$3,Base!$B$3:$B$5001,$A$61)))</f>
        <v>0</v>
      </c>
      <c r="R68" s="72" t="str">
        <f>IF(R$3="","",IF(COUNTIFS(Base!$A$3:$A$5001,R$3,Base!$B$3:$B$5001,$A$61,Base!$V$3:$V$5001,"&lt;&gt;")=0,"",SUMIFS(Base!$V$3:$V$5001,Base!$A$3:$A$5001,R$3,Base!$B$3:$B$5001,$A$61)))</f>
        <v/>
      </c>
      <c r="S68" s="72">
        <f>IF(S$3="","",IF(COUNTIFS(Base!$A$3:$A$5001,S$3,Base!$B$3:$B$5001,$A$61,Base!$V$3:$V$5001,"&lt;&gt;")=0,"",SUMIFS(Base!$V$3:$V$5001,Base!$A$3:$A$5001,S$3,Base!$B$3:$B$5001,$A$61)))</f>
        <v>0</v>
      </c>
      <c r="T68" s="72">
        <f>IF(T$3="","",IF(COUNTIFS(Base!$A$3:$A$5001,T$3,Base!$B$3:$B$5001,$A$61,Base!$V$3:$V$5001,"&lt;&gt;")=0,"",SUMIFS(Base!$V$3:$V$5001,Base!$A$3:$A$5001,T$3,Base!$B$3:$B$5001,$A$61)))</f>
        <v>0</v>
      </c>
      <c r="U68" s="72">
        <f>IF(U$3="","",IF(COUNTIFS(Base!$A$3:$A$5001,U$3,Base!$B$3:$B$5001,$A$61,Base!$V$3:$V$5001,"&lt;&gt;")=0,"",SUMIFS(Base!$V$3:$V$5001,Base!$A$3:$A$5001,U$3,Base!$B$3:$B$5001,$A$61)))</f>
        <v>0</v>
      </c>
      <c r="V68" s="72">
        <f>IF(V$3="","",IF(COUNTIFS(Base!$A$3:$A$5001,V$3,Base!$B$3:$B$5001,$A$61,Base!$V$3:$V$5001,"&lt;&gt;")=0,"",SUMIFS(Base!$V$3:$V$5001,Base!$A$3:$A$5001,V$3,Base!$B$3:$B$5001,$A$61)))</f>
        <v>1</v>
      </c>
      <c r="W68" s="72">
        <f>IF(W$3="","",IF(COUNTIFS(Base!$A$3:$A$5001,W$3,Base!$B$3:$B$5001,$A$61,Base!$V$3:$V$5001,"&lt;&gt;")=0,"",SUMIFS(Base!$V$3:$V$5001,Base!$A$3:$A$5001,W$3,Base!$B$3:$B$5001,$A$61)))</f>
        <v>0</v>
      </c>
      <c r="X68" s="72">
        <f>IF(X$3="","",IF(COUNTIFS(Base!$A$3:$A$5001,X$3,Base!$B$3:$B$5001,$A$61,Base!$V$3:$V$5001,"&lt;&gt;")=0,"",SUMIFS(Base!$V$3:$V$5001,Base!$A$3:$A$5001,X$3,Base!$B$3:$B$5001,$A$61)))</f>
        <v>0</v>
      </c>
      <c r="Y68" s="72" t="str">
        <f>IF(Y$3="","",IF(COUNTIFS(Base!$A$3:$A$5001,Y$3,Base!$B$3:$B$5001,$A$61,Base!$V$3:$V$5001,"&lt;&gt;")=0,"",SUMIFS(Base!$V$3:$V$5001,Base!$A$3:$A$5001,Y$3,Base!$B$3:$B$5001,$A$61)))</f>
        <v/>
      </c>
      <c r="Z68" s="72">
        <f>IF(Z$3="","",IF(COUNTIFS(Base!$A$3:$A$5001,Z$3,Base!$B$3:$B$5001,$A$61,Base!$V$3:$V$5001,"&lt;&gt;")=0,"",SUMIFS(Base!$V$3:$V$5001,Base!$A$3:$A$5001,Z$3,Base!$B$3:$B$5001,$A$61)))</f>
        <v>0</v>
      </c>
      <c r="AA68" s="72">
        <f>IF(AA$3="","",IF(COUNTIFS(Base!$A$3:$A$5001,AA$3,Base!$B$3:$B$5001,$A$61,Base!$V$3:$V$5001,"&lt;&gt;")=0,"",SUMIFS(Base!$V$3:$V$5001,Base!$A$3:$A$5001,AA$3,Base!$B$3:$B$5001,$A$61)))</f>
        <v>0</v>
      </c>
      <c r="AB68" s="72">
        <f>IF(AB$3="","",IF(COUNTIFS(Base!$A$3:$A$5001,AB$3,Base!$B$3:$B$5001,$A$61,Base!$V$3:$V$5001,"&lt;&gt;")=0,"",SUMIFS(Base!$V$3:$V$5001,Base!$A$3:$A$5001,AB$3,Base!$B$3:$B$5001,$A$61)))</f>
        <v>0</v>
      </c>
      <c r="AC68" s="72">
        <f>IF(AC$3="","",IF(COUNTIFS(Base!$A$3:$A$5001,AC$3,Base!$B$3:$B$5001,$A$61,Base!$V$3:$V$5001,"&lt;&gt;")=0,"",SUMIFS(Base!$V$3:$V$5001,Base!$A$3:$A$5001,AC$3,Base!$B$3:$B$5001,$A$61)))</f>
        <v>0</v>
      </c>
      <c r="AD68" s="72">
        <f>IF(AD$3="","",IF(COUNTIFS(Base!$A$3:$A$5001,AD$3,Base!$B$3:$B$5001,$A$61,Base!$V$3:$V$5001,"&lt;&gt;")=0,"",SUMIFS(Base!$V$3:$V$5001,Base!$A$3:$A$5001,AD$3,Base!$B$3:$B$5001,$A$61)))</f>
        <v>0</v>
      </c>
      <c r="AE68" s="72">
        <f>IF(AE$3="","",IF(COUNTIFS(Base!$A$3:$A$5001,AE$3,Base!$B$3:$B$5001,$A$61,Base!$V$3:$V$5001,"&lt;&gt;")=0,"",SUMIFS(Base!$V$3:$V$5001,Base!$A$3:$A$5001,AE$3,Base!$B$3:$B$5001,$A$61)))</f>
        <v>0</v>
      </c>
      <c r="AF68" s="72" t="str">
        <f>IF(AF$3="","",IF(COUNTIFS(Base!$A$3:$A$5001,AF$3,Base!$B$3:$B$5001,$A$61,Base!$V$3:$V$5001,"&lt;&gt;")=0,"",SUMIFS(Base!$V$3:$V$5001,Base!$A$3:$A$5001,AF$3,Base!$B$3:$B$5001,$A$61)))</f>
        <v/>
      </c>
      <c r="AG68" s="72">
        <f>IF(AG$3="","",IF(COUNTIFS(Base!$A$3:$A$5001,AG$3,Base!$B$3:$B$5001,$A$61,Base!$V$3:$V$5001,"&lt;&gt;")=0,"",SUMIFS(Base!$V$3:$V$5001,Base!$A$3:$A$5001,AG$3,Base!$B$3:$B$5001,$A$61)))</f>
        <v>0</v>
      </c>
      <c r="AH68" s="72">
        <f>IF(AH$3="","",IF(COUNTIFS(Base!$A$3:$A$5001,AH$3,Base!$B$3:$B$5001,$A$61,Base!$V$3:$V$5001,"&lt;&gt;")=0,"",SUMIFS(Base!$V$3:$V$5001,Base!$A$3:$A$5001,AH$3,Base!$B$3:$B$5001,$A$61)))</f>
        <v>0</v>
      </c>
      <c r="AI68" s="72" t="str">
        <f>IF(AI$3="","",IF(COUNTIFS(Base!$A$3:$A$5001,AI$3,Base!$B$3:$B$5001,$A$61,Base!$V$3:$V$5001,"&lt;&gt;")=0,"",SUMIFS(Base!$V$3:$V$5001,Base!$A$3:$A$5001,AI$3,Base!$B$3:$B$5001,$A$61)))</f>
        <v/>
      </c>
      <c r="AJ68" s="73" t="str">
        <f>IF(AJ$3="","",IF(COUNTIFS(Base!$A$3:$A$5001,AJ$3,Base!$B$3:$B$5001,$A$61,Base!$V$3:$V$5001,"&lt;&gt;")=0,"",SUMIFS(Base!$V$3:$V$5001,Base!$A$3:$A$5001,AJ$3,Base!$B$3:$B$5001,$A$61)))</f>
        <v/>
      </c>
      <c r="AK68" s="74">
        <f>IF(COUNT(F68:AJ68)=0,"",SUM(F68:AJ68))</f>
        <v>2</v>
      </c>
    </row>
    <row r="69" ht="15.75" customHeight="1">
      <c r="A69" s="118"/>
      <c r="B69" s="113"/>
      <c r="C69" s="75" t="inlineStr">
        <is>
          <t xml:space="preserve">Backlog</t>
        </is>
      </c>
      <c r="D69" s="76" t="str">
        <f>IFERROR(1/(1/INDEX(calculos!$C$55:$K$83,MATCH("NC Backlog",calculos!$A$55:$A$83,0),MATCH($A$61,calculos!$C$54:$K$54,0))),"")</f>
        <v/>
      </c>
      <c r="E69" s="77"/>
      <c r="F69" s="78">
        <f>IF(F$3="","",IF(COUNTIFS(Base!$A$3:$A$5001,F$3,Base!$B$3:$B$5001,$A$61,Base!$W$3:$W$5001,"&lt;&gt;")=0,"",SUMIFS(Base!$W$3:$W$5001,Base!$A$3:$A$5001,F$3,Base!$B$3:$B$5001,$A$61)))</f>
        <v>6</v>
      </c>
      <c r="G69" s="79" t="str">
        <f>IF(G$3="","",IF(COUNTIFS(Base!$A$3:$A$5001,G$3,Base!$B$3:$B$5001,$A$61,Base!$W$3:$W$5001,"&lt;&gt;")=0,"",SUMIFS(Base!$W$3:$W$5001,Base!$A$3:$A$5001,G$3,Base!$B$3:$B$5001,$A$61)))</f>
        <v/>
      </c>
      <c r="H69" s="79" t="str">
        <f>IF(H$3="","",IF(COUNTIFS(Base!$A$3:$A$5001,H$3,Base!$B$3:$B$5001,$A$61,Base!$W$3:$W$5001,"&lt;&gt;")=0,"",SUMIFS(Base!$W$3:$W$5001,Base!$A$3:$A$5001,H$3,Base!$B$3:$B$5001,$A$61)))</f>
        <v/>
      </c>
      <c r="I69" s="79" t="str">
        <f>IF(I$3="","",IF(COUNTIFS(Base!$A$3:$A$5001,I$3,Base!$B$3:$B$5001,$A$61,Base!$W$3:$W$5001,"&lt;&gt;")=0,"",SUMIFS(Base!$W$3:$W$5001,Base!$A$3:$A$5001,I$3,Base!$B$3:$B$5001,$A$61)))</f>
        <v/>
      </c>
      <c r="J69" s="79">
        <f>IF(J$3="","",IF(COUNTIFS(Base!$A$3:$A$5001,J$3,Base!$B$3:$B$5001,$A$61,Base!$W$3:$W$5001,"&lt;&gt;")=0,"",SUMIFS(Base!$W$3:$W$5001,Base!$A$3:$A$5001,J$3,Base!$B$3:$B$5001,$A$61)))</f>
        <v>6</v>
      </c>
      <c r="K69" s="79" t="str">
        <f>IF(K$3="","",IF(COUNTIFS(Base!$A$3:$A$5001,K$3,Base!$B$3:$B$5001,$A$61,Base!$W$3:$W$5001,"&lt;&gt;")=0,"",SUMIFS(Base!$W$3:$W$5001,Base!$A$3:$A$5001,K$3,Base!$B$3:$B$5001,$A$61)))</f>
        <v/>
      </c>
      <c r="L69" s="79" t="str">
        <f>IF(L$3="","",IF(COUNTIFS(Base!$A$3:$A$5001,L$3,Base!$B$3:$B$5001,$A$61,Base!$W$3:$W$5001,"&lt;&gt;")=0,"",SUMIFS(Base!$W$3:$W$5001,Base!$A$3:$A$5001,L$3,Base!$B$3:$B$5001,$A$61)))</f>
        <v/>
      </c>
      <c r="M69" s="79">
        <f>IF(M$3="","",IF(COUNTIFS(Base!$A$3:$A$5001,M$3,Base!$B$3:$B$5001,$A$61,Base!$W$3:$W$5001,"&lt;&gt;")=0,"",SUMIFS(Base!$W$3:$W$5001,Base!$A$3:$A$5001,M$3,Base!$B$3:$B$5001,$A$61)))</f>
        <v>13</v>
      </c>
      <c r="N69" s="79">
        <f>IF(N$3="","",IF(COUNTIFS(Base!$A$3:$A$5001,N$3,Base!$B$3:$B$5001,$A$61,Base!$W$3:$W$5001,"&lt;&gt;")=0,"",SUMIFS(Base!$W$3:$W$5001,Base!$A$3:$A$5001,N$3,Base!$B$3:$B$5001,$A$61)))</f>
        <v>14</v>
      </c>
      <c r="O69" s="79" t="str">
        <f>IF(O$3="","",IF(COUNTIFS(Base!$A$3:$A$5001,O$3,Base!$B$3:$B$5001,$A$61,Base!$W$3:$W$5001,"&lt;&gt;")=0,"",SUMIFS(Base!$W$3:$W$5001,Base!$A$3:$A$5001,O$3,Base!$B$3:$B$5001,$A$61)))</f>
        <v/>
      </c>
      <c r="P69" s="79" t="str">
        <f>IF(P$3="","",IF(COUNTIFS(Base!$A$3:$A$5001,P$3,Base!$B$3:$B$5001,$A$61,Base!$W$3:$W$5001,"&lt;&gt;")=0,"",SUMIFS(Base!$W$3:$W$5001,Base!$A$3:$A$5001,P$3,Base!$B$3:$B$5001,$A$61)))</f>
        <v/>
      </c>
      <c r="Q69" s="79" t="str">
        <f>IF(Q$3="","",IF(COUNTIFS(Base!$A$3:$A$5001,Q$3,Base!$B$3:$B$5001,$A$61,Base!$W$3:$W$5001,"&lt;&gt;")=0,"",SUMIFS(Base!$W$3:$W$5001,Base!$A$3:$A$5001,Q$3,Base!$B$3:$B$5001,$A$61)))</f>
        <v/>
      </c>
      <c r="R69" s="79" t="str">
        <f>IF(R$3="","",IF(COUNTIFS(Base!$A$3:$A$5001,R$3,Base!$B$3:$B$5001,$A$61,Base!$W$3:$W$5001,"&lt;&gt;")=0,"",SUMIFS(Base!$W$3:$W$5001,Base!$A$3:$A$5001,R$3,Base!$B$3:$B$5001,$A$61)))</f>
        <v/>
      </c>
      <c r="S69" s="79" t="str">
        <f>IF(S$3="","",IF(COUNTIFS(Base!$A$3:$A$5001,S$3,Base!$B$3:$B$5001,$A$61,Base!$W$3:$W$5001,"&lt;&gt;")=0,"",SUMIFS(Base!$W$3:$W$5001,Base!$A$3:$A$5001,S$3,Base!$B$3:$B$5001,$A$61)))</f>
        <v/>
      </c>
      <c r="T69" s="79">
        <f>IF(T$3="","",IF(COUNTIFS(Base!$A$3:$A$5001,T$3,Base!$B$3:$B$5001,$A$61,Base!$W$3:$W$5001,"&lt;&gt;")=0,"",SUMIFS(Base!$W$3:$W$5001,Base!$A$3:$A$5001,T$3,Base!$B$3:$B$5001,$A$61)))</f>
        <v>6</v>
      </c>
      <c r="U69" s="79" t="str">
        <f>IF(U$3="","",IF(COUNTIFS(Base!$A$3:$A$5001,U$3,Base!$B$3:$B$5001,$A$61,Base!$W$3:$W$5001,"&lt;&gt;")=0,"",SUMIFS(Base!$W$3:$W$5001,Base!$A$3:$A$5001,U$3,Base!$B$3:$B$5001,$A$61)))</f>
        <v/>
      </c>
      <c r="V69" s="79" t="str">
        <f>IF(V$3="","",IF(COUNTIFS(Base!$A$3:$A$5001,V$3,Base!$B$3:$B$5001,$A$61,Base!$W$3:$W$5001,"&lt;&gt;")=0,"",SUMIFS(Base!$W$3:$W$5001,Base!$A$3:$A$5001,V$3,Base!$B$3:$B$5001,$A$61)))</f>
        <v/>
      </c>
      <c r="W69" s="79" t="str">
        <f>IF(W$3="","",IF(COUNTIFS(Base!$A$3:$A$5001,W$3,Base!$B$3:$B$5001,$A$61,Base!$W$3:$W$5001,"&lt;&gt;")=0,"",SUMIFS(Base!$W$3:$W$5001,Base!$A$3:$A$5001,W$3,Base!$B$3:$B$5001,$A$61)))</f>
        <v/>
      </c>
      <c r="X69" s="79" t="str">
        <f>IF(X$3="","",IF(COUNTIFS(Base!$A$3:$A$5001,X$3,Base!$B$3:$B$5001,$A$61,Base!$W$3:$W$5001,"&lt;&gt;")=0,"",SUMIFS(Base!$W$3:$W$5001,Base!$A$3:$A$5001,X$3,Base!$B$3:$B$5001,$A$61)))</f>
        <v/>
      </c>
      <c r="Y69" s="79" t="str">
        <f>IF(Y$3="","",IF(COUNTIFS(Base!$A$3:$A$5001,Y$3,Base!$B$3:$B$5001,$A$61,Base!$W$3:$W$5001,"&lt;&gt;")=0,"",SUMIFS(Base!$W$3:$W$5001,Base!$A$3:$A$5001,Y$3,Base!$B$3:$B$5001,$A$61)))</f>
        <v/>
      </c>
      <c r="Z69" s="79" t="str">
        <f>IF(Z$3="","",IF(COUNTIFS(Base!$A$3:$A$5001,Z$3,Base!$B$3:$B$5001,$A$61,Base!$W$3:$W$5001,"&lt;&gt;")=0,"",SUMIFS(Base!$W$3:$W$5001,Base!$A$3:$A$5001,Z$3,Base!$B$3:$B$5001,$A$61)))</f>
        <v/>
      </c>
      <c r="AA69" s="79" t="str">
        <f>IF(AA$3="","",IF(COUNTIFS(Base!$A$3:$A$5001,AA$3,Base!$B$3:$B$5001,$A$61,Base!$W$3:$W$5001,"&lt;&gt;")=0,"",SUMIFS(Base!$W$3:$W$5001,Base!$A$3:$A$5001,AA$3,Base!$B$3:$B$5001,$A$61)))</f>
        <v/>
      </c>
      <c r="AB69" s="79" t="str">
        <f>IF(AB$3="","",IF(COUNTIFS(Base!$A$3:$A$5001,AB$3,Base!$B$3:$B$5001,$A$61,Base!$W$3:$W$5001,"&lt;&gt;")=0,"",SUMIFS(Base!$W$3:$W$5001,Base!$A$3:$A$5001,AB$3,Base!$B$3:$B$5001,$A$61)))</f>
        <v/>
      </c>
      <c r="AC69" s="79" t="str">
        <f>IF(AC$3="","",IF(COUNTIFS(Base!$A$3:$A$5001,AC$3,Base!$B$3:$B$5001,$A$61,Base!$W$3:$W$5001,"&lt;&gt;")=0,"",SUMIFS(Base!$W$3:$W$5001,Base!$A$3:$A$5001,AC$3,Base!$B$3:$B$5001,$A$61)))</f>
        <v/>
      </c>
      <c r="AD69" s="79" t="str">
        <f>IF(AD$3="","",IF(COUNTIFS(Base!$A$3:$A$5001,AD$3,Base!$B$3:$B$5001,$A$61,Base!$W$3:$W$5001,"&lt;&gt;")=0,"",SUMIFS(Base!$W$3:$W$5001,Base!$A$3:$A$5001,AD$3,Base!$B$3:$B$5001,$A$61)))</f>
        <v/>
      </c>
      <c r="AE69" s="79" t="str">
        <f>IF(AE$3="","",IF(COUNTIFS(Base!$A$3:$A$5001,AE$3,Base!$B$3:$B$5001,$A$61,Base!$W$3:$W$5001,"&lt;&gt;")=0,"",SUMIFS(Base!$W$3:$W$5001,Base!$A$3:$A$5001,AE$3,Base!$B$3:$B$5001,$A$61)))</f>
        <v/>
      </c>
      <c r="AF69" s="79" t="str">
        <f>IF(AF$3="","",IF(COUNTIFS(Base!$A$3:$A$5001,AF$3,Base!$B$3:$B$5001,$A$61,Base!$W$3:$W$5001,"&lt;&gt;")=0,"",SUMIFS(Base!$W$3:$W$5001,Base!$A$3:$A$5001,AF$3,Base!$B$3:$B$5001,$A$61)))</f>
        <v/>
      </c>
      <c r="AG69" s="79" t="str">
        <f>IF(AG$3="","",IF(COUNTIFS(Base!$A$3:$A$5001,AG$3,Base!$B$3:$B$5001,$A$61,Base!$W$3:$W$5001,"&lt;&gt;")=0,"",SUMIFS(Base!$W$3:$W$5001,Base!$A$3:$A$5001,AG$3,Base!$B$3:$B$5001,$A$61)))</f>
        <v/>
      </c>
      <c r="AH69" s="79" t="str">
        <f>IF(AH$3="","",IF(COUNTIFS(Base!$A$3:$A$5001,AH$3,Base!$B$3:$B$5001,$A$61,Base!$W$3:$W$5001,"&lt;&gt;")=0,"",SUMIFS(Base!$W$3:$W$5001,Base!$A$3:$A$5001,AH$3,Base!$B$3:$B$5001,$A$61)))</f>
        <v/>
      </c>
      <c r="AI69" s="79" t="str">
        <f>IF(AI$3="","",IF(COUNTIFS(Base!$A$3:$A$5001,AI$3,Base!$B$3:$B$5001,$A$61,Base!$W$3:$W$5001,"&lt;&gt;")=0,"",SUMIFS(Base!$W$3:$W$5001,Base!$A$3:$A$5001,AI$3,Base!$B$3:$B$5001,$A$61)))</f>
        <v/>
      </c>
      <c r="AJ69" s="80" t="str">
        <f>IF(AJ$3="","",IF(COUNTIFS(Base!$A$3:$A$5001,AJ$3,Base!$B$3:$B$5001,$A$61,Base!$W$3:$W$5001,"&lt;&gt;")=0,"",SUMIFS(Base!$W$3:$W$5001,Base!$A$3:$A$5001,AJ$3,Base!$B$3:$B$5001,$A$61)))</f>
        <v/>
      </c>
      <c r="AK69" s="76">
        <f>IFERROR(LOOKUP(9.99E+307,F69:AJ69),"")</f>
        <v>6</v>
      </c>
    </row>
    <row r="70" ht="15.75" customHeight="1">
      <c r="A70" s="118"/>
      <c r="B70" s="105" t="inlineStr">
        <is>
          <t xml:space="preserve">OCUPAÇÃO (P.P)</t>
        </is>
      </c>
      <c r="C70" s="21" t="inlineStr">
        <is>
          <t xml:space="preserve">Posições Disponíveis</t>
        </is>
      </c>
      <c r="D70" s="22" t="str">
        <f>IFERROR(1/(1/INDEX(calculos!$C$55:$K$83,MATCH("Posições Disponíveis",calculos!$A$55:$A$83,0),MATCH($A$61,calculos!$C$54:$K$54,0))),"")</f>
        <v/>
      </c>
      <c r="E70" s="23"/>
      <c r="F70" s="24">
        <f>IF(F$3="","",IF(COUNTIFS(Base!$A$3:$A$5001,F$3,Base!$B$3:$B$5001,$A$61,Base!$X$3:$X$5001,"&lt;&gt;")=0,"",SUMIFS(Base!$X$3:$X$5001,Base!$A$3:$A$5001,F$3,Base!$B$3:$B$5001,$A$61)))</f>
        <v>1600</v>
      </c>
      <c r="G70" s="25">
        <f>IF(G$3="","",IF(COUNTIFS(Base!$A$3:$A$5001,G$3,Base!$B$3:$B$5001,$A$61,Base!$X$3:$X$5001,"&lt;&gt;")=0,"",SUMIFS(Base!$X$3:$X$5001,Base!$A$3:$A$5001,G$3,Base!$B$3:$B$5001,$A$61)))</f>
        <v>1600</v>
      </c>
      <c r="H70" s="25">
        <f>IF(H$3="","",IF(COUNTIFS(Base!$A$3:$A$5001,H$3,Base!$B$3:$B$5001,$A$61,Base!$X$3:$X$5001,"&lt;&gt;")=0,"",SUMIFS(Base!$X$3:$X$5001,Base!$A$3:$A$5001,H$3,Base!$B$3:$B$5001,$A$61)))</f>
        <v>1600</v>
      </c>
      <c r="I70" s="25">
        <f>IF(I$3="","",IF(COUNTIFS(Base!$A$3:$A$5001,I$3,Base!$B$3:$B$5001,$A$61,Base!$X$3:$X$5001,"&lt;&gt;")=0,"",SUMIFS(Base!$X$3:$X$5001,Base!$A$3:$A$5001,I$3,Base!$B$3:$B$5001,$A$61)))</f>
        <v>1600</v>
      </c>
      <c r="J70" s="25">
        <f>IF(J$3="","",IF(COUNTIFS(Base!$A$3:$A$5001,J$3,Base!$B$3:$B$5001,$A$61,Base!$X$3:$X$5001,"&lt;&gt;")=0,"",SUMIFS(Base!$X$3:$X$5001,Base!$A$3:$A$5001,J$3,Base!$B$3:$B$5001,$A$61)))</f>
        <v>1600</v>
      </c>
      <c r="K70" s="25" t="str">
        <f>IF(K$3="","",IF(COUNTIFS(Base!$A$3:$A$5001,K$3,Base!$B$3:$B$5001,$A$61,Base!$X$3:$X$5001,"&lt;&gt;")=0,"",SUMIFS(Base!$X$3:$X$5001,Base!$A$3:$A$5001,K$3,Base!$B$3:$B$5001,$A$61)))</f>
        <v/>
      </c>
      <c r="L70" s="25">
        <f>IF(L$3="","",IF(COUNTIFS(Base!$A$3:$A$5001,L$3,Base!$B$3:$B$5001,$A$61,Base!$X$3:$X$5001,"&lt;&gt;")=0,"",SUMIFS(Base!$X$3:$X$5001,Base!$A$3:$A$5001,L$3,Base!$B$3:$B$5001,$A$61)))</f>
        <v>1600</v>
      </c>
      <c r="M70" s="25">
        <f>IF(M$3="","",IF(COUNTIFS(Base!$A$3:$A$5001,M$3,Base!$B$3:$B$5001,$A$61,Base!$X$3:$X$5001,"&lt;&gt;")=0,"",SUMIFS(Base!$X$3:$X$5001,Base!$A$3:$A$5001,M$3,Base!$B$3:$B$5001,$A$61)))</f>
        <v>1600</v>
      </c>
      <c r="N70" s="25">
        <f>IF(N$3="","",IF(COUNTIFS(Base!$A$3:$A$5001,N$3,Base!$B$3:$B$5001,$A$61,Base!$X$3:$X$5001,"&lt;&gt;")=0,"",SUMIFS(Base!$X$3:$X$5001,Base!$A$3:$A$5001,N$3,Base!$B$3:$B$5001,$A$61)))</f>
        <v>1600</v>
      </c>
      <c r="O70" s="25">
        <f>IF(O$3="","",IF(COUNTIFS(Base!$A$3:$A$5001,O$3,Base!$B$3:$B$5001,$A$61,Base!$X$3:$X$5001,"&lt;&gt;")=0,"",SUMIFS(Base!$X$3:$X$5001,Base!$A$3:$A$5001,O$3,Base!$B$3:$B$5001,$A$61)))</f>
        <v>1600</v>
      </c>
      <c r="P70" s="25">
        <f>IF(P$3="","",IF(COUNTIFS(Base!$A$3:$A$5001,P$3,Base!$B$3:$B$5001,$A$61,Base!$X$3:$X$5001,"&lt;&gt;")=0,"",SUMIFS(Base!$X$3:$X$5001,Base!$A$3:$A$5001,P$3,Base!$B$3:$B$5001,$A$61)))</f>
        <v>1600</v>
      </c>
      <c r="Q70" s="25">
        <f>IF(Q$3="","",IF(COUNTIFS(Base!$A$3:$A$5001,Q$3,Base!$B$3:$B$5001,$A$61,Base!$X$3:$X$5001,"&lt;&gt;")=0,"",SUMIFS(Base!$X$3:$X$5001,Base!$A$3:$A$5001,Q$3,Base!$B$3:$B$5001,$A$61)))</f>
        <v>1600</v>
      </c>
      <c r="R70" s="25" t="str">
        <f>IF(R$3="","",IF(COUNTIFS(Base!$A$3:$A$5001,R$3,Base!$B$3:$B$5001,$A$61,Base!$X$3:$X$5001,"&lt;&gt;")=0,"",SUMIFS(Base!$X$3:$X$5001,Base!$A$3:$A$5001,R$3,Base!$B$3:$B$5001,$A$61)))</f>
        <v/>
      </c>
      <c r="S70" s="25">
        <f>IF(S$3="","",IF(COUNTIFS(Base!$A$3:$A$5001,S$3,Base!$B$3:$B$5001,$A$61,Base!$X$3:$X$5001,"&lt;&gt;")=0,"",SUMIFS(Base!$X$3:$X$5001,Base!$A$3:$A$5001,S$3,Base!$B$3:$B$5001,$A$61)))</f>
        <v>1600</v>
      </c>
      <c r="T70" s="25">
        <f>IF(T$3="","",IF(COUNTIFS(Base!$A$3:$A$5001,T$3,Base!$B$3:$B$5001,$A$61,Base!$X$3:$X$5001,"&lt;&gt;")=0,"",SUMIFS(Base!$X$3:$X$5001,Base!$A$3:$A$5001,T$3,Base!$B$3:$B$5001,$A$61)))</f>
        <v>1600</v>
      </c>
      <c r="U70" s="25">
        <f>IF(U$3="","",IF(COUNTIFS(Base!$A$3:$A$5001,U$3,Base!$B$3:$B$5001,$A$61,Base!$X$3:$X$5001,"&lt;&gt;")=0,"",SUMIFS(Base!$X$3:$X$5001,Base!$A$3:$A$5001,U$3,Base!$B$3:$B$5001,$A$61)))</f>
        <v>1600</v>
      </c>
      <c r="V70" s="25">
        <f>IF(V$3="","",IF(COUNTIFS(Base!$A$3:$A$5001,V$3,Base!$B$3:$B$5001,$A$61,Base!$X$3:$X$5001,"&lt;&gt;")=0,"",SUMIFS(Base!$X$3:$X$5001,Base!$A$3:$A$5001,V$3,Base!$B$3:$B$5001,$A$61)))</f>
        <v>1600</v>
      </c>
      <c r="W70" s="25">
        <f>IF(W$3="","",IF(COUNTIFS(Base!$A$3:$A$5001,W$3,Base!$B$3:$B$5001,$A$61,Base!$X$3:$X$5001,"&lt;&gt;")=0,"",SUMIFS(Base!$X$3:$X$5001,Base!$A$3:$A$5001,W$3,Base!$B$3:$B$5001,$A$61)))</f>
        <v>1600</v>
      </c>
      <c r="X70" s="25">
        <f>IF(X$3="","",IF(COUNTIFS(Base!$A$3:$A$5001,X$3,Base!$B$3:$B$5001,$A$61,Base!$X$3:$X$5001,"&lt;&gt;")=0,"",SUMIFS(Base!$X$3:$X$5001,Base!$A$3:$A$5001,X$3,Base!$B$3:$B$5001,$A$61)))</f>
        <v>1600</v>
      </c>
      <c r="Y70" s="25" t="str">
        <f>IF(Y$3="","",IF(COUNTIFS(Base!$A$3:$A$5001,Y$3,Base!$B$3:$B$5001,$A$61,Base!$X$3:$X$5001,"&lt;&gt;")=0,"",SUMIFS(Base!$X$3:$X$5001,Base!$A$3:$A$5001,Y$3,Base!$B$3:$B$5001,$A$61)))</f>
        <v/>
      </c>
      <c r="Z70" s="25">
        <f>IF(Z$3="","",IF(COUNTIFS(Base!$A$3:$A$5001,Z$3,Base!$B$3:$B$5001,$A$61,Base!$X$3:$X$5001,"&lt;&gt;")=0,"",SUMIFS(Base!$X$3:$X$5001,Base!$A$3:$A$5001,Z$3,Base!$B$3:$B$5001,$A$61)))</f>
        <v>1600</v>
      </c>
      <c r="AA70" s="25">
        <f>IF(AA$3="","",IF(COUNTIFS(Base!$A$3:$A$5001,AA$3,Base!$B$3:$B$5001,$A$61,Base!$X$3:$X$5001,"&lt;&gt;")=0,"",SUMIFS(Base!$X$3:$X$5001,Base!$A$3:$A$5001,AA$3,Base!$B$3:$B$5001,$A$61)))</f>
        <v>1600</v>
      </c>
      <c r="AB70" s="25">
        <f>IF(AB$3="","",IF(COUNTIFS(Base!$A$3:$A$5001,AB$3,Base!$B$3:$B$5001,$A$61,Base!$X$3:$X$5001,"&lt;&gt;")=0,"",SUMIFS(Base!$X$3:$X$5001,Base!$A$3:$A$5001,AB$3,Base!$B$3:$B$5001,$A$61)))</f>
        <v>1600</v>
      </c>
      <c r="AC70" s="25">
        <f>IF(AC$3="","",IF(COUNTIFS(Base!$A$3:$A$5001,AC$3,Base!$B$3:$B$5001,$A$61,Base!$X$3:$X$5001,"&lt;&gt;")=0,"",SUMIFS(Base!$X$3:$X$5001,Base!$A$3:$A$5001,AC$3,Base!$B$3:$B$5001,$A$61)))</f>
        <v>1600</v>
      </c>
      <c r="AD70" s="25">
        <f>IF(AD$3="","",IF(COUNTIFS(Base!$A$3:$A$5001,AD$3,Base!$B$3:$B$5001,$A$61,Base!$X$3:$X$5001,"&lt;&gt;")=0,"",SUMIFS(Base!$X$3:$X$5001,Base!$A$3:$A$5001,AD$3,Base!$B$3:$B$5001,$A$61)))</f>
        <v>1600</v>
      </c>
      <c r="AE70" s="25">
        <f>IF(AE$3="","",IF(COUNTIFS(Base!$A$3:$A$5001,AE$3,Base!$B$3:$B$5001,$A$61,Base!$X$3:$X$5001,"&lt;&gt;")=0,"",SUMIFS(Base!$X$3:$X$5001,Base!$A$3:$A$5001,AE$3,Base!$B$3:$B$5001,$A$61)))</f>
        <v>1600</v>
      </c>
      <c r="AF70" s="25" t="str">
        <f>IF(AF$3="","",IF(COUNTIFS(Base!$A$3:$A$5001,AF$3,Base!$B$3:$B$5001,$A$61,Base!$X$3:$X$5001,"&lt;&gt;")=0,"",SUMIFS(Base!$X$3:$X$5001,Base!$A$3:$A$5001,AF$3,Base!$B$3:$B$5001,$A$61)))</f>
        <v/>
      </c>
      <c r="AG70" s="25">
        <f>IF(AG$3="","",IF(COUNTIFS(Base!$A$3:$A$5001,AG$3,Base!$B$3:$B$5001,$A$61,Base!$X$3:$X$5001,"&lt;&gt;")=0,"",SUMIFS(Base!$X$3:$X$5001,Base!$A$3:$A$5001,AG$3,Base!$B$3:$B$5001,$A$61)))</f>
        <v>1600</v>
      </c>
      <c r="AH70" s="25">
        <f>IF(AH$3="","",IF(COUNTIFS(Base!$A$3:$A$5001,AH$3,Base!$B$3:$B$5001,$A$61,Base!$X$3:$X$5001,"&lt;&gt;")=0,"",SUMIFS(Base!$X$3:$X$5001,Base!$A$3:$A$5001,AH$3,Base!$B$3:$B$5001,$A$61)))</f>
        <v>1600</v>
      </c>
      <c r="AI70" s="25" t="str">
        <f>IF(AI$3="","",IF(COUNTIFS(Base!$A$3:$A$5001,AI$3,Base!$B$3:$B$5001,$A$61,Base!$X$3:$X$5001,"&lt;&gt;")=0,"",SUMIFS(Base!$X$3:$X$5001,Base!$A$3:$A$5001,AI$3,Base!$B$3:$B$5001,$A$61)))</f>
        <v/>
      </c>
      <c r="AJ70" s="26" t="str">
        <f>IF(AJ$3="","",IF(COUNTIFS(Base!$A$3:$A$5001,AJ$3,Base!$B$3:$B$5001,$A$61,Base!$X$3:$X$5001,"&lt;&gt;")=0,"",SUMIFS(Base!$X$3:$X$5001,Base!$A$3:$A$5001,AJ$3,Base!$B$3:$B$5001,$A$61)))</f>
        <v/>
      </c>
      <c r="AK70" s="27">
        <f>IFERROR(LOOKUP(9.99E+307,F70:AJ70),"")</f>
        <v>1600</v>
      </c>
    </row>
    <row r="71" ht="15.75" customHeight="1">
      <c r="A71" s="118"/>
      <c r="B71" s="106"/>
      <c r="C71" s="28" t="inlineStr">
        <is>
          <t xml:space="preserve">Posições Ocupadas</t>
        </is>
      </c>
      <c r="D71" s="29" t="str">
        <f>IFERROR(1/(1/INDEX(calculos!$C$55:$K$83,MATCH("Posições Ocupadas",calculos!$A$55:$A$83,0),MATCH($A$61,calculos!$C$54:$K$54,0))),"")</f>
        <v/>
      </c>
      <c r="E71" s="30"/>
      <c r="F71" s="31">
        <f>IF(F$3="","",IF(COUNTIFS(Base!$A$3:$A$5001,F$3,Base!$B$3:$B$5001,$A$61,Base!$Y$3:$Y$5001,"&lt;&gt;")=0,"",SUMIFS(Base!$Y$3:$Y$5001,Base!$A$3:$A$5001,F$3,Base!$B$3:$B$5001,$A$61)))</f>
        <v>1338</v>
      </c>
      <c r="G71" s="32">
        <f>IF(G$3="","",IF(COUNTIFS(Base!$A$3:$A$5001,G$3,Base!$B$3:$B$5001,$A$61,Base!$Y$3:$Y$5001,"&lt;&gt;")=0,"",SUMIFS(Base!$Y$3:$Y$5001,Base!$A$3:$A$5001,G$3,Base!$B$3:$B$5001,$A$61)))</f>
        <v>1073</v>
      </c>
      <c r="H71" s="32">
        <f>IF(H$3="","",IF(COUNTIFS(Base!$A$3:$A$5001,H$3,Base!$B$3:$B$5001,$A$61,Base!$Y$3:$Y$5001,"&lt;&gt;")=0,"",SUMIFS(Base!$Y$3:$Y$5001,Base!$A$3:$A$5001,H$3,Base!$B$3:$B$5001,$A$61)))</f>
        <v>1226</v>
      </c>
      <c r="I71" s="32">
        <f>IF(I$3="","",IF(COUNTIFS(Base!$A$3:$A$5001,I$3,Base!$B$3:$B$5001,$A$61,Base!$Y$3:$Y$5001,"&lt;&gt;")=0,"",SUMIFS(Base!$Y$3:$Y$5001,Base!$A$3:$A$5001,I$3,Base!$B$3:$B$5001,$A$61)))</f>
        <v>949</v>
      </c>
      <c r="J71" s="32">
        <f>IF(J$3="","",IF(COUNTIFS(Base!$A$3:$A$5001,J$3,Base!$B$3:$B$5001,$A$61,Base!$Y$3:$Y$5001,"&lt;&gt;")=0,"",SUMIFS(Base!$Y$3:$Y$5001,Base!$A$3:$A$5001,J$3,Base!$B$3:$B$5001,$A$61)))</f>
        <v>1310</v>
      </c>
      <c r="K71" s="32" t="str">
        <f>IF(K$3="","",IF(COUNTIFS(Base!$A$3:$A$5001,K$3,Base!$B$3:$B$5001,$A$61,Base!$Y$3:$Y$5001,"&lt;&gt;")=0,"",SUMIFS(Base!$Y$3:$Y$5001,Base!$A$3:$A$5001,K$3,Base!$B$3:$B$5001,$A$61)))</f>
        <v/>
      </c>
      <c r="L71" s="32">
        <f>IF(L$3="","",IF(COUNTIFS(Base!$A$3:$A$5001,L$3,Base!$B$3:$B$5001,$A$61,Base!$Y$3:$Y$5001,"&lt;&gt;")=0,"",SUMIFS(Base!$Y$3:$Y$5001,Base!$A$3:$A$5001,L$3,Base!$B$3:$B$5001,$A$61)))</f>
        <v>1425</v>
      </c>
      <c r="M71" s="32">
        <f>IF(M$3="","",IF(COUNTIFS(Base!$A$3:$A$5001,M$3,Base!$B$3:$B$5001,$A$61,Base!$Y$3:$Y$5001,"&lt;&gt;")=0,"",SUMIFS(Base!$Y$3:$Y$5001,Base!$A$3:$A$5001,M$3,Base!$B$3:$B$5001,$A$61)))</f>
        <v>939</v>
      </c>
      <c r="N71" s="32">
        <f>IF(N$3="","",IF(COUNTIFS(Base!$A$3:$A$5001,N$3,Base!$B$3:$B$5001,$A$61,Base!$Y$3:$Y$5001,"&lt;&gt;")=0,"",SUMIFS(Base!$Y$3:$Y$5001,Base!$A$3:$A$5001,N$3,Base!$B$3:$B$5001,$A$61)))</f>
        <v>1398</v>
      </c>
      <c r="O71" s="32">
        <f>IF(O$3="","",IF(COUNTIFS(Base!$A$3:$A$5001,O$3,Base!$B$3:$B$5001,$A$61,Base!$Y$3:$Y$5001,"&lt;&gt;")=0,"",SUMIFS(Base!$Y$3:$Y$5001,Base!$A$3:$A$5001,O$3,Base!$B$3:$B$5001,$A$61)))</f>
        <v>1426</v>
      </c>
      <c r="P71" s="32">
        <f>IF(P$3="","",IF(COUNTIFS(Base!$A$3:$A$5001,P$3,Base!$B$3:$B$5001,$A$61,Base!$Y$3:$Y$5001,"&lt;&gt;")=0,"",SUMIFS(Base!$Y$3:$Y$5001,Base!$A$3:$A$5001,P$3,Base!$B$3:$B$5001,$A$61)))</f>
        <v>1035</v>
      </c>
      <c r="Q71" s="32">
        <f>IF(Q$3="","",IF(COUNTIFS(Base!$A$3:$A$5001,Q$3,Base!$B$3:$B$5001,$A$61,Base!$Y$3:$Y$5001,"&lt;&gt;")=0,"",SUMIFS(Base!$Y$3:$Y$5001,Base!$A$3:$A$5001,Q$3,Base!$B$3:$B$5001,$A$61)))</f>
        <v>1399</v>
      </c>
      <c r="R71" s="32" t="str">
        <f>IF(R$3="","",IF(COUNTIFS(Base!$A$3:$A$5001,R$3,Base!$B$3:$B$5001,$A$61,Base!$Y$3:$Y$5001,"&lt;&gt;")=0,"",SUMIFS(Base!$Y$3:$Y$5001,Base!$A$3:$A$5001,R$3,Base!$B$3:$B$5001,$A$61)))</f>
        <v/>
      </c>
      <c r="S71" s="32">
        <f>IF(S$3="","",IF(COUNTIFS(Base!$A$3:$A$5001,S$3,Base!$B$3:$B$5001,$A$61,Base!$Y$3:$Y$5001,"&lt;&gt;")=0,"",SUMIFS(Base!$Y$3:$Y$5001,Base!$A$3:$A$5001,S$3,Base!$B$3:$B$5001,$A$61)))</f>
        <v>1339</v>
      </c>
      <c r="T71" s="32">
        <f>IF(T$3="","",IF(COUNTIFS(Base!$A$3:$A$5001,T$3,Base!$B$3:$B$5001,$A$61,Base!$Y$3:$Y$5001,"&lt;&gt;")=0,"",SUMIFS(Base!$Y$3:$Y$5001,Base!$A$3:$A$5001,T$3,Base!$B$3:$B$5001,$A$61)))</f>
        <v>1506</v>
      </c>
      <c r="U71" s="32">
        <f>IF(U$3="","",IF(COUNTIFS(Base!$A$3:$A$5001,U$3,Base!$B$3:$B$5001,$A$61,Base!$Y$3:$Y$5001,"&lt;&gt;")=0,"",SUMIFS(Base!$Y$3:$Y$5001,Base!$A$3:$A$5001,U$3,Base!$B$3:$B$5001,$A$61)))</f>
        <v>896</v>
      </c>
      <c r="V71" s="32">
        <f>IF(V$3="","",IF(COUNTIFS(Base!$A$3:$A$5001,V$3,Base!$B$3:$B$5001,$A$61,Base!$Y$3:$Y$5001,"&lt;&gt;")=0,"",SUMIFS(Base!$Y$3:$Y$5001,Base!$A$3:$A$5001,V$3,Base!$B$3:$B$5001,$A$61)))</f>
        <v>1134</v>
      </c>
      <c r="W71" s="32">
        <f>IF(W$3="","",IF(COUNTIFS(Base!$A$3:$A$5001,W$3,Base!$B$3:$B$5001,$A$61,Base!$Y$3:$Y$5001,"&lt;&gt;")=0,"",SUMIFS(Base!$Y$3:$Y$5001,Base!$A$3:$A$5001,W$3,Base!$B$3:$B$5001,$A$61)))</f>
        <v>1015</v>
      </c>
      <c r="X71" s="32">
        <f>IF(X$3="","",IF(COUNTIFS(Base!$A$3:$A$5001,X$3,Base!$B$3:$B$5001,$A$61,Base!$Y$3:$Y$5001,"&lt;&gt;")=0,"",SUMIFS(Base!$Y$3:$Y$5001,Base!$A$3:$A$5001,X$3,Base!$B$3:$B$5001,$A$61)))</f>
        <v>1140</v>
      </c>
      <c r="Y71" s="32" t="str">
        <f>IF(Y$3="","",IF(COUNTIFS(Base!$A$3:$A$5001,Y$3,Base!$B$3:$B$5001,$A$61,Base!$Y$3:$Y$5001,"&lt;&gt;")=0,"",SUMIFS(Base!$Y$3:$Y$5001,Base!$A$3:$A$5001,Y$3,Base!$B$3:$B$5001,$A$61)))</f>
        <v/>
      </c>
      <c r="Z71" s="32">
        <f>IF(Z$3="","",IF(COUNTIFS(Base!$A$3:$A$5001,Z$3,Base!$B$3:$B$5001,$A$61,Base!$Y$3:$Y$5001,"&lt;&gt;")=0,"",SUMIFS(Base!$Y$3:$Y$5001,Base!$A$3:$A$5001,Z$3,Base!$B$3:$B$5001,$A$61)))</f>
        <v>1253</v>
      </c>
      <c r="AA71" s="32">
        <f>IF(AA$3="","",IF(COUNTIFS(Base!$A$3:$A$5001,AA$3,Base!$B$3:$B$5001,$A$61,Base!$Y$3:$Y$5001,"&lt;&gt;")=0,"",SUMIFS(Base!$Y$3:$Y$5001,Base!$A$3:$A$5001,AA$3,Base!$B$3:$B$5001,$A$61)))</f>
        <v>1199</v>
      </c>
      <c r="AB71" s="32">
        <f>IF(AB$3="","",IF(COUNTIFS(Base!$A$3:$A$5001,AB$3,Base!$B$3:$B$5001,$A$61,Base!$Y$3:$Y$5001,"&lt;&gt;")=0,"",SUMIFS(Base!$Y$3:$Y$5001,Base!$A$3:$A$5001,AB$3,Base!$B$3:$B$5001,$A$61)))</f>
        <v>1151</v>
      </c>
      <c r="AC71" s="32">
        <f>IF(AC$3="","",IF(COUNTIFS(Base!$A$3:$A$5001,AC$3,Base!$B$3:$B$5001,$A$61,Base!$Y$3:$Y$5001,"&lt;&gt;")=0,"",SUMIFS(Base!$Y$3:$Y$5001,Base!$A$3:$A$5001,AC$3,Base!$B$3:$B$5001,$A$61)))</f>
        <v>1193</v>
      </c>
      <c r="AD71" s="32">
        <f>IF(AD$3="","",IF(COUNTIFS(Base!$A$3:$A$5001,AD$3,Base!$B$3:$B$5001,$A$61,Base!$Y$3:$Y$5001,"&lt;&gt;")=0,"",SUMIFS(Base!$Y$3:$Y$5001,Base!$A$3:$A$5001,AD$3,Base!$B$3:$B$5001,$A$61)))</f>
        <v>931</v>
      </c>
      <c r="AE71" s="32">
        <f>IF(AE$3="","",IF(COUNTIFS(Base!$A$3:$A$5001,AE$3,Base!$B$3:$B$5001,$A$61,Base!$Y$3:$Y$5001,"&lt;&gt;")=0,"",SUMIFS(Base!$Y$3:$Y$5001,Base!$A$3:$A$5001,AE$3,Base!$B$3:$B$5001,$A$61)))</f>
        <v>1366</v>
      </c>
      <c r="AF71" s="32" t="str">
        <f>IF(AF$3="","",IF(COUNTIFS(Base!$A$3:$A$5001,AF$3,Base!$B$3:$B$5001,$A$61,Base!$Y$3:$Y$5001,"&lt;&gt;")=0,"",SUMIFS(Base!$Y$3:$Y$5001,Base!$A$3:$A$5001,AF$3,Base!$B$3:$B$5001,$A$61)))</f>
        <v/>
      </c>
      <c r="AG71" s="32">
        <f>IF(AG$3="","",IF(COUNTIFS(Base!$A$3:$A$5001,AG$3,Base!$B$3:$B$5001,$A$61,Base!$Y$3:$Y$5001,"&lt;&gt;")=0,"",SUMIFS(Base!$Y$3:$Y$5001,Base!$A$3:$A$5001,AG$3,Base!$B$3:$B$5001,$A$61)))</f>
        <v>1239</v>
      </c>
      <c r="AH71" s="32">
        <f>IF(AH$3="","",IF(COUNTIFS(Base!$A$3:$A$5001,AH$3,Base!$B$3:$B$5001,$A$61,Base!$Y$3:$Y$5001,"&lt;&gt;")=0,"",SUMIFS(Base!$Y$3:$Y$5001,Base!$A$3:$A$5001,AH$3,Base!$B$3:$B$5001,$A$61)))</f>
        <v>1077</v>
      </c>
      <c r="AI71" s="32" t="str">
        <f>IF(AI$3="","",IF(COUNTIFS(Base!$A$3:$A$5001,AI$3,Base!$B$3:$B$5001,$A$61,Base!$Y$3:$Y$5001,"&lt;&gt;")=0,"",SUMIFS(Base!$Y$3:$Y$5001,Base!$A$3:$A$5001,AI$3,Base!$B$3:$B$5001,$A$61)))</f>
        <v/>
      </c>
      <c r="AJ71" s="33" t="str">
        <f>IF(AJ$3="","",IF(COUNTIFS(Base!$A$3:$A$5001,AJ$3,Base!$B$3:$B$5001,$A$61,Base!$Y$3:$Y$5001,"&lt;&gt;")=0,"",SUMIFS(Base!$Y$3:$Y$5001,Base!$A$3:$A$5001,AJ$3,Base!$B$3:$B$5001,$A$61)))</f>
        <v/>
      </c>
      <c r="AK71" s="34">
        <f>IFERROR(LOOKUP(9.99E+307,F71:AJ71),"")</f>
        <v>1077</v>
      </c>
    </row>
    <row r="72" ht="15.75" customHeight="1">
      <c r="A72" s="118"/>
      <c r="B72" s="107"/>
      <c r="C72" s="35" t="inlineStr">
        <is>
          <t xml:space="preserve">Taxa de Ocupação</t>
        </is>
      </c>
      <c r="D72" s="81" t="str">
        <f>IFERROR(1/(1/INDEX(calculos!$C$55:$K$83,MATCH("Taxa de Ocupação",calculos!$A$55:$A$83,0),MATCH($A$61,calculos!$C$54:$K$54,0))),"")</f>
        <v/>
      </c>
      <c r="E72" s="37"/>
      <c r="F72" s="82">
        <f>IF(AND(ISNUMBER(F70),ISNUMBER(F71)),IF(F70&gt;0,F71/F70,""),"")</f>
        <v>0.83625</v>
      </c>
      <c r="G72" s="83">
        <f>IF(AND(ISNUMBER(G70),ISNUMBER(G71)),IF(G70&gt;0,G71/G70,""),"")</f>
        <v>0.670625</v>
      </c>
      <c r="H72" s="83">
        <f>IF(AND(ISNUMBER(H70),ISNUMBER(H71)),IF(H70&gt;0,H71/H70,""),"")</f>
        <v>0.76625</v>
      </c>
      <c r="I72" s="83">
        <f>IF(AND(ISNUMBER(I70),ISNUMBER(I71)),IF(I70&gt;0,I71/I70,""),"")</f>
        <v>0.593125</v>
      </c>
      <c r="J72" s="83">
        <f>IF(AND(ISNUMBER(J70),ISNUMBER(J71)),IF(J70&gt;0,J71/J70,""),"")</f>
        <v>0.81875</v>
      </c>
      <c r="K72" s="83" t="str">
        <f>IF(AND(ISNUMBER(K70),ISNUMBER(K71)),IF(K70&gt;0,K71/K70,""),"")</f>
        <v/>
      </c>
      <c r="L72" s="83">
        <f>IF(AND(ISNUMBER(L70),ISNUMBER(L71)),IF(L70&gt;0,L71/L70,""),"")</f>
        <v>0.890625</v>
      </c>
      <c r="M72" s="83">
        <f>IF(AND(ISNUMBER(M70),ISNUMBER(M71)),IF(M70&gt;0,M71/M70,""),"")</f>
        <v>0.586875</v>
      </c>
      <c r="N72" s="83">
        <f>IF(AND(ISNUMBER(N70),ISNUMBER(N71)),IF(N70&gt;0,N71/N70,""),"")</f>
        <v>0.87375</v>
      </c>
      <c r="O72" s="83">
        <f>IF(AND(ISNUMBER(O70),ISNUMBER(O71)),IF(O70&gt;0,O71/O70,""),"")</f>
        <v>0.89125</v>
      </c>
      <c r="P72" s="83">
        <f>IF(AND(ISNUMBER(P70),ISNUMBER(P71)),IF(P70&gt;0,P71/P70,""),"")</f>
        <v>0.646875</v>
      </c>
      <c r="Q72" s="83">
        <f>IF(AND(ISNUMBER(Q70),ISNUMBER(Q71)),IF(Q70&gt;0,Q71/Q70,""),"")</f>
        <v>0.874375</v>
      </c>
      <c r="R72" s="83" t="str">
        <f>IF(AND(ISNUMBER(R70),ISNUMBER(R71)),IF(R70&gt;0,R71/R70,""),"")</f>
        <v/>
      </c>
      <c r="S72" s="83">
        <f>IF(AND(ISNUMBER(S70),ISNUMBER(S71)),IF(S70&gt;0,S71/S70,""),"")</f>
        <v>0.836875</v>
      </c>
      <c r="T72" s="83">
        <f>IF(AND(ISNUMBER(T70),ISNUMBER(T71)),IF(T70&gt;0,T71/T70,""),"")</f>
        <v>0.94125</v>
      </c>
      <c r="U72" s="83">
        <f>IF(AND(ISNUMBER(U70),ISNUMBER(U71)),IF(U70&gt;0,U71/U70,""),"")</f>
        <v>0.56</v>
      </c>
      <c r="V72" s="83">
        <f>IF(AND(ISNUMBER(V70),ISNUMBER(V71)),IF(V70&gt;0,V71/V70,""),"")</f>
        <v>0.70875</v>
      </c>
      <c r="W72" s="83">
        <f>IF(AND(ISNUMBER(W70),ISNUMBER(W71)),IF(W70&gt;0,W71/W70,""),"")</f>
        <v>0.634375</v>
      </c>
      <c r="X72" s="83">
        <f>IF(AND(ISNUMBER(X70),ISNUMBER(X71)),IF(X70&gt;0,X71/X70,""),"")</f>
        <v>0.7125</v>
      </c>
      <c r="Y72" s="83" t="str">
        <f>IF(AND(ISNUMBER(Y70),ISNUMBER(Y71)),IF(Y70&gt;0,Y71/Y70,""),"")</f>
        <v/>
      </c>
      <c r="Z72" s="83">
        <f>IF(AND(ISNUMBER(Z70),ISNUMBER(Z71)),IF(Z70&gt;0,Z71/Z70,""),"")</f>
        <v>0.783125</v>
      </c>
      <c r="AA72" s="83">
        <f>IF(AND(ISNUMBER(AA70),ISNUMBER(AA71)),IF(AA70&gt;0,AA71/AA70,""),"")</f>
        <v>0.749375</v>
      </c>
      <c r="AB72" s="83">
        <f>IF(AND(ISNUMBER(AB70),ISNUMBER(AB71)),IF(AB70&gt;0,AB71/AB70,""),"")</f>
        <v>0.719375</v>
      </c>
      <c r="AC72" s="83">
        <f>IF(AND(ISNUMBER(AC70),ISNUMBER(AC71)),IF(AC70&gt;0,AC71/AC70,""),"")</f>
        <v>0.745625</v>
      </c>
      <c r="AD72" s="83">
        <f>IF(AND(ISNUMBER(AD70),ISNUMBER(AD71)),IF(AD70&gt;0,AD71/AD70,""),"")</f>
        <v>0.581875</v>
      </c>
      <c r="AE72" s="83">
        <f>IF(AND(ISNUMBER(AE70),ISNUMBER(AE71)),IF(AE70&gt;0,AE71/AE70,""),"")</f>
        <v>0.85375</v>
      </c>
      <c r="AF72" s="83" t="str">
        <f>IF(AND(ISNUMBER(AF70),ISNUMBER(AF71)),IF(AF70&gt;0,AF71/AF70,""),"")</f>
        <v/>
      </c>
      <c r="AG72" s="83">
        <f>IF(AND(ISNUMBER(AG70),ISNUMBER(AG71)),IF(AG70&gt;0,AG71/AG70,""),"")</f>
        <v>0.774375</v>
      </c>
      <c r="AH72" s="83">
        <f>IF(AND(ISNUMBER(AH70),ISNUMBER(AH71)),IF(AH70&gt;0,AH71/AH70,""),"")</f>
        <v>0.673125</v>
      </c>
      <c r="AI72" s="83" t="str">
        <f>IF(AND(ISNUMBER(AI70),ISNUMBER(AI71)),IF(AI70&gt;0,AI71/AI70,""),"")</f>
        <v/>
      </c>
      <c r="AJ72" s="84" t="str">
        <f>IF(AND(ISNUMBER(AJ70),ISNUMBER(AJ71)),IF(AJ70&gt;0,AJ71/AJ70,""),"")</f>
        <v/>
      </c>
      <c r="AK72" s="81">
        <f>IF(AND(ISNUMBER(AK70),ISNUMBER(AK71)),IF(AK70&gt;0,AK71/AK70,""),"")</f>
        <v>0.673125</v>
      </c>
    </row>
    <row r="73" ht="15.75" customHeight="1">
      <c r="A73" s="118"/>
      <c r="B73" s="114" t="inlineStr">
        <is>
          <t xml:space="preserve">GENTE</t>
        </is>
      </c>
      <c r="C73" s="85" t="inlineStr">
        <is>
          <t xml:space="preserve">Efetivo</t>
        </is>
      </c>
      <c r="D73" s="86" t="str">
        <f>IFERROR(1/(1/INDEX(calculos!$C$55:$K$83,MATCH("Efetivo",calculos!$A$55:$A$83,0),MATCH($A$61,calculos!$C$54:$K$54,0))),"")</f>
        <v/>
      </c>
      <c r="E73" s="87"/>
      <c r="F73" s="88">
        <f>IF(F$3="","",IF(COUNTIFS(Base!$A$3:$A$5001,F$3,Base!$B$3:$B$5001,$A$61,Base!$Z$3:$Z$5001,"&lt;&gt;")=0,"",SUMIFS(Base!$Z$3:$Z$5001,Base!$A$3:$A$5001,F$3,Base!$B$3:$B$5001,$A$61)))</f>
        <v>4</v>
      </c>
      <c r="G73" s="89">
        <f>IF(G$3="","",IF(COUNTIFS(Base!$A$3:$A$5001,G$3,Base!$B$3:$B$5001,$A$61,Base!$Z$3:$Z$5001,"&lt;&gt;")=0,"",SUMIFS(Base!$Z$3:$Z$5001,Base!$A$3:$A$5001,G$3,Base!$B$3:$B$5001,$A$61)))</f>
        <v>14</v>
      </c>
      <c r="H73" s="89">
        <f>IF(H$3="","",IF(COUNTIFS(Base!$A$3:$A$5001,H$3,Base!$B$3:$B$5001,$A$61,Base!$Z$3:$Z$5001,"&lt;&gt;")=0,"",SUMIFS(Base!$Z$3:$Z$5001,Base!$A$3:$A$5001,H$3,Base!$B$3:$B$5001,$A$61)))</f>
        <v>11</v>
      </c>
      <c r="I73" s="89">
        <f>IF(I$3="","",IF(COUNTIFS(Base!$A$3:$A$5001,I$3,Base!$B$3:$B$5001,$A$61,Base!$Z$3:$Z$5001,"&lt;&gt;")=0,"",SUMIFS(Base!$Z$3:$Z$5001,Base!$A$3:$A$5001,I$3,Base!$B$3:$B$5001,$A$61)))</f>
        <v>5</v>
      </c>
      <c r="J73" s="89">
        <f>IF(J$3="","",IF(COUNTIFS(Base!$A$3:$A$5001,J$3,Base!$B$3:$B$5001,$A$61,Base!$Z$3:$Z$5001,"&lt;&gt;")=0,"",SUMIFS(Base!$Z$3:$Z$5001,Base!$A$3:$A$5001,J$3,Base!$B$3:$B$5001,$A$61)))</f>
        <v>13</v>
      </c>
      <c r="K73" s="89" t="str">
        <f>IF(K$3="","",IF(COUNTIFS(Base!$A$3:$A$5001,K$3,Base!$B$3:$B$5001,$A$61,Base!$Z$3:$Z$5001,"&lt;&gt;")=0,"",SUMIFS(Base!$Z$3:$Z$5001,Base!$A$3:$A$5001,K$3,Base!$B$3:$B$5001,$A$61)))</f>
        <v/>
      </c>
      <c r="L73" s="89">
        <f>IF(L$3="","",IF(COUNTIFS(Base!$A$3:$A$5001,L$3,Base!$B$3:$B$5001,$A$61,Base!$Z$3:$Z$5001,"&lt;&gt;")=0,"",SUMIFS(Base!$Z$3:$Z$5001,Base!$A$3:$A$5001,L$3,Base!$B$3:$B$5001,$A$61)))</f>
        <v>4</v>
      </c>
      <c r="M73" s="89">
        <f>IF(M$3="","",IF(COUNTIFS(Base!$A$3:$A$5001,M$3,Base!$B$3:$B$5001,$A$61,Base!$Z$3:$Z$5001,"&lt;&gt;")=0,"",SUMIFS(Base!$Z$3:$Z$5001,Base!$A$3:$A$5001,M$3,Base!$B$3:$B$5001,$A$61)))</f>
        <v>7</v>
      </c>
      <c r="N73" s="89">
        <f>IF(N$3="","",IF(COUNTIFS(Base!$A$3:$A$5001,N$3,Base!$B$3:$B$5001,$A$61,Base!$Z$3:$Z$5001,"&lt;&gt;")=0,"",SUMIFS(Base!$Z$3:$Z$5001,Base!$A$3:$A$5001,N$3,Base!$B$3:$B$5001,$A$61)))</f>
        <v>14</v>
      </c>
      <c r="O73" s="89">
        <f>IF(O$3="","",IF(COUNTIFS(Base!$A$3:$A$5001,O$3,Base!$B$3:$B$5001,$A$61,Base!$Z$3:$Z$5001,"&lt;&gt;")=0,"",SUMIFS(Base!$Z$3:$Z$5001,Base!$A$3:$A$5001,O$3,Base!$B$3:$B$5001,$A$61)))</f>
        <v>8</v>
      </c>
      <c r="P73" s="89">
        <f>IF(P$3="","",IF(COUNTIFS(Base!$A$3:$A$5001,P$3,Base!$B$3:$B$5001,$A$61,Base!$Z$3:$Z$5001,"&lt;&gt;")=0,"",SUMIFS(Base!$Z$3:$Z$5001,Base!$A$3:$A$5001,P$3,Base!$B$3:$B$5001,$A$61)))</f>
        <v>6</v>
      </c>
      <c r="Q73" s="89">
        <f>IF(Q$3="","",IF(COUNTIFS(Base!$A$3:$A$5001,Q$3,Base!$B$3:$B$5001,$A$61,Base!$Z$3:$Z$5001,"&lt;&gt;")=0,"",SUMIFS(Base!$Z$3:$Z$5001,Base!$A$3:$A$5001,Q$3,Base!$B$3:$B$5001,$A$61)))</f>
        <v>6</v>
      </c>
      <c r="R73" s="89" t="str">
        <f>IF(R$3="","",IF(COUNTIFS(Base!$A$3:$A$5001,R$3,Base!$B$3:$B$5001,$A$61,Base!$Z$3:$Z$5001,"&lt;&gt;")=0,"",SUMIFS(Base!$Z$3:$Z$5001,Base!$A$3:$A$5001,R$3,Base!$B$3:$B$5001,$A$61)))</f>
        <v/>
      </c>
      <c r="S73" s="89">
        <f>IF(S$3="","",IF(COUNTIFS(Base!$A$3:$A$5001,S$3,Base!$B$3:$B$5001,$A$61,Base!$Z$3:$Z$5001,"&lt;&gt;")=0,"",SUMIFS(Base!$Z$3:$Z$5001,Base!$A$3:$A$5001,S$3,Base!$B$3:$B$5001,$A$61)))</f>
        <v>11</v>
      </c>
      <c r="T73" s="89">
        <f>IF(T$3="","",IF(COUNTIFS(Base!$A$3:$A$5001,T$3,Base!$B$3:$B$5001,$A$61,Base!$Z$3:$Z$5001,"&lt;&gt;")=0,"",SUMIFS(Base!$Z$3:$Z$5001,Base!$A$3:$A$5001,T$3,Base!$B$3:$B$5001,$A$61)))</f>
        <v>8</v>
      </c>
      <c r="U73" s="89">
        <f>IF(U$3="","",IF(COUNTIFS(Base!$A$3:$A$5001,U$3,Base!$B$3:$B$5001,$A$61,Base!$Z$3:$Z$5001,"&lt;&gt;")=0,"",SUMIFS(Base!$Z$3:$Z$5001,Base!$A$3:$A$5001,U$3,Base!$B$3:$B$5001,$A$61)))</f>
        <v>6</v>
      </c>
      <c r="V73" s="89">
        <f>IF(V$3="","",IF(COUNTIFS(Base!$A$3:$A$5001,V$3,Base!$B$3:$B$5001,$A$61,Base!$Z$3:$Z$5001,"&lt;&gt;")=0,"",SUMIFS(Base!$Z$3:$Z$5001,Base!$A$3:$A$5001,V$3,Base!$B$3:$B$5001,$A$61)))</f>
        <v>4</v>
      </c>
      <c r="W73" s="89">
        <f>IF(W$3="","",IF(COUNTIFS(Base!$A$3:$A$5001,W$3,Base!$B$3:$B$5001,$A$61,Base!$Z$3:$Z$5001,"&lt;&gt;")=0,"",SUMIFS(Base!$Z$3:$Z$5001,Base!$A$3:$A$5001,W$3,Base!$B$3:$B$5001,$A$61)))</f>
        <v>13</v>
      </c>
      <c r="X73" s="89">
        <f>IF(X$3="","",IF(COUNTIFS(Base!$A$3:$A$5001,X$3,Base!$B$3:$B$5001,$A$61,Base!$Z$3:$Z$5001,"&lt;&gt;")=0,"",SUMIFS(Base!$Z$3:$Z$5001,Base!$A$3:$A$5001,X$3,Base!$B$3:$B$5001,$A$61)))</f>
        <v>6</v>
      </c>
      <c r="Y73" s="89" t="str">
        <f>IF(Y$3="","",IF(COUNTIFS(Base!$A$3:$A$5001,Y$3,Base!$B$3:$B$5001,$A$61,Base!$Z$3:$Z$5001,"&lt;&gt;")=0,"",SUMIFS(Base!$Z$3:$Z$5001,Base!$A$3:$A$5001,Y$3,Base!$B$3:$B$5001,$A$61)))</f>
        <v/>
      </c>
      <c r="Z73" s="89">
        <f>IF(Z$3="","",IF(COUNTIFS(Base!$A$3:$A$5001,Z$3,Base!$B$3:$B$5001,$A$61,Base!$Z$3:$Z$5001,"&lt;&gt;")=0,"",SUMIFS(Base!$Z$3:$Z$5001,Base!$A$3:$A$5001,Z$3,Base!$B$3:$B$5001,$A$61)))</f>
        <v>5</v>
      </c>
      <c r="AA73" s="89">
        <f>IF(AA$3="","",IF(COUNTIFS(Base!$A$3:$A$5001,AA$3,Base!$B$3:$B$5001,$A$61,Base!$Z$3:$Z$5001,"&lt;&gt;")=0,"",SUMIFS(Base!$Z$3:$Z$5001,Base!$A$3:$A$5001,AA$3,Base!$B$3:$B$5001,$A$61)))</f>
        <v>8</v>
      </c>
      <c r="AB73" s="89">
        <f>IF(AB$3="","",IF(COUNTIFS(Base!$A$3:$A$5001,AB$3,Base!$B$3:$B$5001,$A$61,Base!$Z$3:$Z$5001,"&lt;&gt;")=0,"",SUMIFS(Base!$Z$3:$Z$5001,Base!$A$3:$A$5001,AB$3,Base!$B$3:$B$5001,$A$61)))</f>
        <v>5</v>
      </c>
      <c r="AC73" s="89">
        <f>IF(AC$3="","",IF(COUNTIFS(Base!$A$3:$A$5001,AC$3,Base!$B$3:$B$5001,$A$61,Base!$Z$3:$Z$5001,"&lt;&gt;")=0,"",SUMIFS(Base!$Z$3:$Z$5001,Base!$A$3:$A$5001,AC$3,Base!$B$3:$B$5001,$A$61)))</f>
        <v>12</v>
      </c>
      <c r="AD73" s="89">
        <f>IF(AD$3="","",IF(COUNTIFS(Base!$A$3:$A$5001,AD$3,Base!$B$3:$B$5001,$A$61,Base!$Z$3:$Z$5001,"&lt;&gt;")=0,"",SUMIFS(Base!$Z$3:$Z$5001,Base!$A$3:$A$5001,AD$3,Base!$B$3:$B$5001,$A$61)))</f>
        <v>5</v>
      </c>
      <c r="AE73" s="89">
        <f>IF(AE$3="","",IF(COUNTIFS(Base!$A$3:$A$5001,AE$3,Base!$B$3:$B$5001,$A$61,Base!$Z$3:$Z$5001,"&lt;&gt;")=0,"",SUMIFS(Base!$Z$3:$Z$5001,Base!$A$3:$A$5001,AE$3,Base!$B$3:$B$5001,$A$61)))</f>
        <v>9</v>
      </c>
      <c r="AF73" s="89" t="str">
        <f>IF(AF$3="","",IF(COUNTIFS(Base!$A$3:$A$5001,AF$3,Base!$B$3:$B$5001,$A$61,Base!$Z$3:$Z$5001,"&lt;&gt;")=0,"",SUMIFS(Base!$Z$3:$Z$5001,Base!$A$3:$A$5001,AF$3,Base!$B$3:$B$5001,$A$61)))</f>
        <v/>
      </c>
      <c r="AG73" s="89">
        <f>IF(AG$3="","",IF(COUNTIFS(Base!$A$3:$A$5001,AG$3,Base!$B$3:$B$5001,$A$61,Base!$Z$3:$Z$5001,"&lt;&gt;")=0,"",SUMIFS(Base!$Z$3:$Z$5001,Base!$A$3:$A$5001,AG$3,Base!$B$3:$B$5001,$A$61)))</f>
        <v>6</v>
      </c>
      <c r="AH73" s="89">
        <f>IF(AH$3="","",IF(COUNTIFS(Base!$A$3:$A$5001,AH$3,Base!$B$3:$B$5001,$A$61,Base!$Z$3:$Z$5001,"&lt;&gt;")=0,"",SUMIFS(Base!$Z$3:$Z$5001,Base!$A$3:$A$5001,AH$3,Base!$B$3:$B$5001,$A$61)))</f>
        <v>11</v>
      </c>
      <c r="AI73" s="89" t="str">
        <f>IF(AI$3="","",IF(COUNTIFS(Base!$A$3:$A$5001,AI$3,Base!$B$3:$B$5001,$A$61,Base!$Z$3:$Z$5001,"&lt;&gt;")=0,"",SUMIFS(Base!$Z$3:$Z$5001,Base!$A$3:$A$5001,AI$3,Base!$B$3:$B$5001,$A$61)))</f>
        <v/>
      </c>
      <c r="AJ73" s="90" t="str">
        <f>IF(AJ$3="","",IF(COUNTIFS(Base!$A$3:$A$5001,AJ$3,Base!$B$3:$B$5001,$A$61,Base!$Z$3:$Z$5001,"&lt;&gt;")=0,"",SUMIFS(Base!$Z$3:$Z$5001,Base!$A$3:$A$5001,AJ$3,Base!$B$3:$B$5001,$A$61)))</f>
        <v/>
      </c>
      <c r="AK73" s="91">
        <f>IFERROR(LOOKUP(9.99E+307,F73:AJ73),"")</f>
        <v>11</v>
      </c>
    </row>
    <row r="74" ht="15.75" customHeight="1">
      <c r="A74" s="118"/>
      <c r="B74" s="115"/>
      <c r="C74" s="92" t="inlineStr">
        <is>
          <t xml:space="preserve">Falta</t>
        </is>
      </c>
      <c r="D74" s="93" t="str">
        <f>IFERROR(1/(1/INDEX(calculos!$C$55:$K$83,MATCH("Falta",calculos!$A$55:$A$83,0),MATCH($A$61,calculos!$C$54:$K$54,0))),"")</f>
        <v/>
      </c>
      <c r="E74" s="94"/>
      <c r="F74" s="95" t="str">
        <f>IF(F$3="","",IF(COUNTIFS(Base!$A$3:$A$5001,F$3,Base!$B$3:$B$5001,$A$61,Base!$AA$3:$AA$5001,"&lt;&gt;")=0,"",SUMIFS(Base!$AA$3:$AA$5001,Base!$A$3:$A$5001,F$3,Base!$B$3:$B$5001,$A$61)))</f>
        <v/>
      </c>
      <c r="G74" s="96">
        <f>IF(G$3="","",IF(COUNTIFS(Base!$A$3:$A$5001,G$3,Base!$B$3:$B$5001,$A$61,Base!$AA$3:$AA$5001,"&lt;&gt;")=0,"",SUMIFS(Base!$AA$3:$AA$5001,Base!$A$3:$A$5001,G$3,Base!$B$3:$B$5001,$A$61)))</f>
        <v>1</v>
      </c>
      <c r="H74" s="96" t="str">
        <f>IF(H$3="","",IF(COUNTIFS(Base!$A$3:$A$5001,H$3,Base!$B$3:$B$5001,$A$61,Base!$AA$3:$AA$5001,"&lt;&gt;")=0,"",SUMIFS(Base!$AA$3:$AA$5001,Base!$A$3:$A$5001,H$3,Base!$B$3:$B$5001,$A$61)))</f>
        <v/>
      </c>
      <c r="I74" s="96" t="str">
        <f>IF(I$3="","",IF(COUNTIFS(Base!$A$3:$A$5001,I$3,Base!$B$3:$B$5001,$A$61,Base!$AA$3:$AA$5001,"&lt;&gt;")=0,"",SUMIFS(Base!$AA$3:$AA$5001,Base!$A$3:$A$5001,I$3,Base!$B$3:$B$5001,$A$61)))</f>
        <v/>
      </c>
      <c r="J74" s="96" t="str">
        <f>IF(J$3="","",IF(COUNTIFS(Base!$A$3:$A$5001,J$3,Base!$B$3:$B$5001,$A$61,Base!$AA$3:$AA$5001,"&lt;&gt;")=0,"",SUMIFS(Base!$AA$3:$AA$5001,Base!$A$3:$A$5001,J$3,Base!$B$3:$B$5001,$A$61)))</f>
        <v/>
      </c>
      <c r="K74" s="96" t="str">
        <f>IF(K$3="","",IF(COUNTIFS(Base!$A$3:$A$5001,K$3,Base!$B$3:$B$5001,$A$61,Base!$AA$3:$AA$5001,"&lt;&gt;")=0,"",SUMIFS(Base!$AA$3:$AA$5001,Base!$A$3:$A$5001,K$3,Base!$B$3:$B$5001,$A$61)))</f>
        <v/>
      </c>
      <c r="L74" s="96" t="str">
        <f>IF(L$3="","",IF(COUNTIFS(Base!$A$3:$A$5001,L$3,Base!$B$3:$B$5001,$A$61,Base!$AA$3:$AA$5001,"&lt;&gt;")=0,"",SUMIFS(Base!$AA$3:$AA$5001,Base!$A$3:$A$5001,L$3,Base!$B$3:$B$5001,$A$61)))</f>
        <v/>
      </c>
      <c r="M74" s="96" t="str">
        <f>IF(M$3="","",IF(COUNTIFS(Base!$A$3:$A$5001,M$3,Base!$B$3:$B$5001,$A$61,Base!$AA$3:$AA$5001,"&lt;&gt;")=0,"",SUMIFS(Base!$AA$3:$AA$5001,Base!$A$3:$A$5001,M$3,Base!$B$3:$B$5001,$A$61)))</f>
        <v/>
      </c>
      <c r="N74" s="96" t="str">
        <f>IF(N$3="","",IF(COUNTIFS(Base!$A$3:$A$5001,N$3,Base!$B$3:$B$5001,$A$61,Base!$AA$3:$AA$5001,"&lt;&gt;")=0,"",SUMIFS(Base!$AA$3:$AA$5001,Base!$A$3:$A$5001,N$3,Base!$B$3:$B$5001,$A$61)))</f>
        <v/>
      </c>
      <c r="O74" s="96" t="str">
        <f>IF(O$3="","",IF(COUNTIFS(Base!$A$3:$A$5001,O$3,Base!$B$3:$B$5001,$A$61,Base!$AA$3:$AA$5001,"&lt;&gt;")=0,"",SUMIFS(Base!$AA$3:$AA$5001,Base!$A$3:$A$5001,O$3,Base!$B$3:$B$5001,$A$61)))</f>
        <v/>
      </c>
      <c r="P74" s="96" t="str">
        <f>IF(P$3="","",IF(COUNTIFS(Base!$A$3:$A$5001,P$3,Base!$B$3:$B$5001,$A$61,Base!$AA$3:$AA$5001,"&lt;&gt;")=0,"",SUMIFS(Base!$AA$3:$AA$5001,Base!$A$3:$A$5001,P$3,Base!$B$3:$B$5001,$A$61)))</f>
        <v/>
      </c>
      <c r="Q74" s="96" t="str">
        <f>IF(Q$3="","",IF(COUNTIFS(Base!$A$3:$A$5001,Q$3,Base!$B$3:$B$5001,$A$61,Base!$AA$3:$AA$5001,"&lt;&gt;")=0,"",SUMIFS(Base!$AA$3:$AA$5001,Base!$A$3:$A$5001,Q$3,Base!$B$3:$B$5001,$A$61)))</f>
        <v/>
      </c>
      <c r="R74" s="96" t="str">
        <f>IF(R$3="","",IF(COUNTIFS(Base!$A$3:$A$5001,R$3,Base!$B$3:$B$5001,$A$61,Base!$AA$3:$AA$5001,"&lt;&gt;")=0,"",SUMIFS(Base!$AA$3:$AA$5001,Base!$A$3:$A$5001,R$3,Base!$B$3:$B$5001,$A$61)))</f>
        <v/>
      </c>
      <c r="S74" s="96" t="str">
        <f>IF(S$3="","",IF(COUNTIFS(Base!$A$3:$A$5001,S$3,Base!$B$3:$B$5001,$A$61,Base!$AA$3:$AA$5001,"&lt;&gt;")=0,"",SUMIFS(Base!$AA$3:$AA$5001,Base!$A$3:$A$5001,S$3,Base!$B$3:$B$5001,$A$61)))</f>
        <v/>
      </c>
      <c r="T74" s="96" t="str">
        <f>IF(T$3="","",IF(COUNTIFS(Base!$A$3:$A$5001,T$3,Base!$B$3:$B$5001,$A$61,Base!$AA$3:$AA$5001,"&lt;&gt;")=0,"",SUMIFS(Base!$AA$3:$AA$5001,Base!$A$3:$A$5001,T$3,Base!$B$3:$B$5001,$A$61)))</f>
        <v/>
      </c>
      <c r="U74" s="96" t="str">
        <f>IF(U$3="","",IF(COUNTIFS(Base!$A$3:$A$5001,U$3,Base!$B$3:$B$5001,$A$61,Base!$AA$3:$AA$5001,"&lt;&gt;")=0,"",SUMIFS(Base!$AA$3:$AA$5001,Base!$A$3:$A$5001,U$3,Base!$B$3:$B$5001,$A$61)))</f>
        <v/>
      </c>
      <c r="V74" s="96" t="str">
        <f>IF(V$3="","",IF(COUNTIFS(Base!$A$3:$A$5001,V$3,Base!$B$3:$B$5001,$A$61,Base!$AA$3:$AA$5001,"&lt;&gt;")=0,"",SUMIFS(Base!$AA$3:$AA$5001,Base!$A$3:$A$5001,V$3,Base!$B$3:$B$5001,$A$61)))</f>
        <v/>
      </c>
      <c r="W74" s="96" t="str">
        <f>IF(W$3="","",IF(COUNTIFS(Base!$A$3:$A$5001,W$3,Base!$B$3:$B$5001,$A$61,Base!$AA$3:$AA$5001,"&lt;&gt;")=0,"",SUMIFS(Base!$AA$3:$AA$5001,Base!$A$3:$A$5001,W$3,Base!$B$3:$B$5001,$A$61)))</f>
        <v/>
      </c>
      <c r="X74" s="96">
        <f>IF(X$3="","",IF(COUNTIFS(Base!$A$3:$A$5001,X$3,Base!$B$3:$B$5001,$A$61,Base!$AA$3:$AA$5001,"&lt;&gt;")=0,"",SUMIFS(Base!$AA$3:$AA$5001,Base!$A$3:$A$5001,X$3,Base!$B$3:$B$5001,$A$61)))</f>
        <v>1</v>
      </c>
      <c r="Y74" s="96" t="str">
        <f>IF(Y$3="","",IF(COUNTIFS(Base!$A$3:$A$5001,Y$3,Base!$B$3:$B$5001,$A$61,Base!$AA$3:$AA$5001,"&lt;&gt;")=0,"",SUMIFS(Base!$AA$3:$AA$5001,Base!$A$3:$A$5001,Y$3,Base!$B$3:$B$5001,$A$61)))</f>
        <v/>
      </c>
      <c r="Z74" s="96" t="str">
        <f>IF(Z$3="","",IF(COUNTIFS(Base!$A$3:$A$5001,Z$3,Base!$B$3:$B$5001,$A$61,Base!$AA$3:$AA$5001,"&lt;&gt;")=0,"",SUMIFS(Base!$AA$3:$AA$5001,Base!$A$3:$A$5001,Z$3,Base!$B$3:$B$5001,$A$61)))</f>
        <v/>
      </c>
      <c r="AA74" s="96" t="str">
        <f>IF(AA$3="","",IF(COUNTIFS(Base!$A$3:$A$5001,AA$3,Base!$B$3:$B$5001,$A$61,Base!$AA$3:$AA$5001,"&lt;&gt;")=0,"",SUMIFS(Base!$AA$3:$AA$5001,Base!$A$3:$A$5001,AA$3,Base!$B$3:$B$5001,$A$61)))</f>
        <v/>
      </c>
      <c r="AB74" s="96" t="str">
        <f>IF(AB$3="","",IF(COUNTIFS(Base!$A$3:$A$5001,AB$3,Base!$B$3:$B$5001,$A$61,Base!$AA$3:$AA$5001,"&lt;&gt;")=0,"",SUMIFS(Base!$AA$3:$AA$5001,Base!$A$3:$A$5001,AB$3,Base!$B$3:$B$5001,$A$61)))</f>
        <v/>
      </c>
      <c r="AC74" s="96" t="str">
        <f>IF(AC$3="","",IF(COUNTIFS(Base!$A$3:$A$5001,AC$3,Base!$B$3:$B$5001,$A$61,Base!$AA$3:$AA$5001,"&lt;&gt;")=0,"",SUMIFS(Base!$AA$3:$AA$5001,Base!$A$3:$A$5001,AC$3,Base!$B$3:$B$5001,$A$61)))</f>
        <v/>
      </c>
      <c r="AD74" s="96" t="str">
        <f>IF(AD$3="","",IF(COUNTIFS(Base!$A$3:$A$5001,AD$3,Base!$B$3:$B$5001,$A$61,Base!$AA$3:$AA$5001,"&lt;&gt;")=0,"",SUMIFS(Base!$AA$3:$AA$5001,Base!$A$3:$A$5001,AD$3,Base!$B$3:$B$5001,$A$61)))</f>
        <v/>
      </c>
      <c r="AE74" s="96" t="str">
        <f>IF(AE$3="","",IF(COUNTIFS(Base!$A$3:$A$5001,AE$3,Base!$B$3:$B$5001,$A$61,Base!$AA$3:$AA$5001,"&lt;&gt;")=0,"",SUMIFS(Base!$AA$3:$AA$5001,Base!$A$3:$A$5001,AE$3,Base!$B$3:$B$5001,$A$61)))</f>
        <v/>
      </c>
      <c r="AF74" s="96" t="str">
        <f>IF(AF$3="","",IF(COUNTIFS(Base!$A$3:$A$5001,AF$3,Base!$B$3:$B$5001,$A$61,Base!$AA$3:$AA$5001,"&lt;&gt;")=0,"",SUMIFS(Base!$AA$3:$AA$5001,Base!$A$3:$A$5001,AF$3,Base!$B$3:$B$5001,$A$61)))</f>
        <v/>
      </c>
      <c r="AG74" s="96" t="str">
        <f>IF(AG$3="","",IF(COUNTIFS(Base!$A$3:$A$5001,AG$3,Base!$B$3:$B$5001,$A$61,Base!$AA$3:$AA$5001,"&lt;&gt;")=0,"",SUMIFS(Base!$AA$3:$AA$5001,Base!$A$3:$A$5001,AG$3,Base!$B$3:$B$5001,$A$61)))</f>
        <v/>
      </c>
      <c r="AH74" s="96" t="str">
        <f>IF(AH$3="","",IF(COUNTIFS(Base!$A$3:$A$5001,AH$3,Base!$B$3:$B$5001,$A$61,Base!$AA$3:$AA$5001,"&lt;&gt;")=0,"",SUMIFS(Base!$AA$3:$AA$5001,Base!$A$3:$A$5001,AH$3,Base!$B$3:$B$5001,$A$61)))</f>
        <v/>
      </c>
      <c r="AI74" s="96" t="str">
        <f>IF(AI$3="","",IF(COUNTIFS(Base!$A$3:$A$5001,AI$3,Base!$B$3:$B$5001,$A$61,Base!$AA$3:$AA$5001,"&lt;&gt;")=0,"",SUMIFS(Base!$AA$3:$AA$5001,Base!$A$3:$A$5001,AI$3,Base!$B$3:$B$5001,$A$61)))</f>
        <v/>
      </c>
      <c r="AJ74" s="97" t="str">
        <f>IF(AJ$3="","",IF(COUNTIFS(Base!$A$3:$A$5001,AJ$3,Base!$B$3:$B$5001,$A$61,Base!$AA$3:$AA$5001,"&lt;&gt;")=0,"",SUMIFS(Base!$AA$3:$AA$5001,Base!$A$3:$A$5001,AJ$3,Base!$B$3:$B$5001,$A$61)))</f>
        <v/>
      </c>
      <c r="AK74" s="98">
        <f>IF(COUNT(F74:AJ74)=0,"",SUM(F74:AJ74))</f>
        <v>2</v>
      </c>
    </row>
    <row r="75" ht="15.75" customHeight="1">
      <c r="A75" s="118"/>
      <c r="B75" s="115"/>
      <c r="C75" s="92" t="inlineStr">
        <is>
          <t xml:space="preserve">Folga</t>
        </is>
      </c>
      <c r="D75" s="93" t="str">
        <f>IFERROR(1/(1/INDEX(calculos!$C$55:$K$83,MATCH("Folga",calculos!$A$55:$A$83,0),MATCH($A$61,calculos!$C$54:$K$54,0))),"")</f>
        <v/>
      </c>
      <c r="E75" s="94"/>
      <c r="F75" s="95" t="str">
        <f>IF(F$3="","",IF(COUNTIFS(Base!$A$3:$A$5001,F$3,Base!$B$3:$B$5001,$A$61,Base!$AB$3:$AB$5001,"&lt;&gt;")=0,"",SUMIFS(Base!$AB$3:$AB$5001,Base!$A$3:$A$5001,F$3,Base!$B$3:$B$5001,$A$61)))</f>
        <v/>
      </c>
      <c r="G75" s="96" t="str">
        <f>IF(G$3="","",IF(COUNTIFS(Base!$A$3:$A$5001,G$3,Base!$B$3:$B$5001,$A$61,Base!$AB$3:$AB$5001,"&lt;&gt;")=0,"",SUMIFS(Base!$AB$3:$AB$5001,Base!$A$3:$A$5001,G$3,Base!$B$3:$B$5001,$A$61)))</f>
        <v/>
      </c>
      <c r="H75" s="96" t="str">
        <f>IF(H$3="","",IF(COUNTIFS(Base!$A$3:$A$5001,H$3,Base!$B$3:$B$5001,$A$61,Base!$AB$3:$AB$5001,"&lt;&gt;")=0,"",SUMIFS(Base!$AB$3:$AB$5001,Base!$A$3:$A$5001,H$3,Base!$B$3:$B$5001,$A$61)))</f>
        <v/>
      </c>
      <c r="I75" s="96" t="str">
        <f>IF(I$3="","",IF(COUNTIFS(Base!$A$3:$A$5001,I$3,Base!$B$3:$B$5001,$A$61,Base!$AB$3:$AB$5001,"&lt;&gt;")=0,"",SUMIFS(Base!$AB$3:$AB$5001,Base!$A$3:$A$5001,I$3,Base!$B$3:$B$5001,$A$61)))</f>
        <v/>
      </c>
      <c r="J75" s="96" t="str">
        <f>IF(J$3="","",IF(COUNTIFS(Base!$A$3:$A$5001,J$3,Base!$B$3:$B$5001,$A$61,Base!$AB$3:$AB$5001,"&lt;&gt;")=0,"",SUMIFS(Base!$AB$3:$AB$5001,Base!$A$3:$A$5001,J$3,Base!$B$3:$B$5001,$A$61)))</f>
        <v/>
      </c>
      <c r="K75" s="96" t="str">
        <f>IF(K$3="","",IF(COUNTIFS(Base!$A$3:$A$5001,K$3,Base!$B$3:$B$5001,$A$61,Base!$AB$3:$AB$5001,"&lt;&gt;")=0,"",SUMIFS(Base!$AB$3:$AB$5001,Base!$A$3:$A$5001,K$3,Base!$B$3:$B$5001,$A$61)))</f>
        <v/>
      </c>
      <c r="L75" s="96" t="str">
        <f>IF(L$3="","",IF(COUNTIFS(Base!$A$3:$A$5001,L$3,Base!$B$3:$B$5001,$A$61,Base!$AB$3:$AB$5001,"&lt;&gt;")=0,"",SUMIFS(Base!$AB$3:$AB$5001,Base!$A$3:$A$5001,L$3,Base!$B$3:$B$5001,$A$61)))</f>
        <v/>
      </c>
      <c r="M75" s="96" t="str">
        <f>IF(M$3="","",IF(COUNTIFS(Base!$A$3:$A$5001,M$3,Base!$B$3:$B$5001,$A$61,Base!$AB$3:$AB$5001,"&lt;&gt;")=0,"",SUMIFS(Base!$AB$3:$AB$5001,Base!$A$3:$A$5001,M$3,Base!$B$3:$B$5001,$A$61)))</f>
        <v/>
      </c>
      <c r="N75" s="96" t="str">
        <f>IF(N$3="","",IF(COUNTIFS(Base!$A$3:$A$5001,N$3,Base!$B$3:$B$5001,$A$61,Base!$AB$3:$AB$5001,"&lt;&gt;")=0,"",SUMIFS(Base!$AB$3:$AB$5001,Base!$A$3:$A$5001,N$3,Base!$B$3:$B$5001,$A$61)))</f>
        <v/>
      </c>
      <c r="O75" s="96" t="str">
        <f>IF(O$3="","",IF(COUNTIFS(Base!$A$3:$A$5001,O$3,Base!$B$3:$B$5001,$A$61,Base!$AB$3:$AB$5001,"&lt;&gt;")=0,"",SUMIFS(Base!$AB$3:$AB$5001,Base!$A$3:$A$5001,O$3,Base!$B$3:$B$5001,$A$61)))</f>
        <v/>
      </c>
      <c r="P75" s="96" t="str">
        <f>IF(P$3="","",IF(COUNTIFS(Base!$A$3:$A$5001,P$3,Base!$B$3:$B$5001,$A$61,Base!$AB$3:$AB$5001,"&lt;&gt;")=0,"",SUMIFS(Base!$AB$3:$AB$5001,Base!$A$3:$A$5001,P$3,Base!$B$3:$B$5001,$A$61)))</f>
        <v/>
      </c>
      <c r="Q75" s="96" t="str">
        <f>IF(Q$3="","",IF(COUNTIFS(Base!$A$3:$A$5001,Q$3,Base!$B$3:$B$5001,$A$61,Base!$AB$3:$AB$5001,"&lt;&gt;")=0,"",SUMIFS(Base!$AB$3:$AB$5001,Base!$A$3:$A$5001,Q$3,Base!$B$3:$B$5001,$A$61)))</f>
        <v/>
      </c>
      <c r="R75" s="96" t="str">
        <f>IF(R$3="","",IF(COUNTIFS(Base!$A$3:$A$5001,R$3,Base!$B$3:$B$5001,$A$61,Base!$AB$3:$AB$5001,"&lt;&gt;")=0,"",SUMIFS(Base!$AB$3:$AB$5001,Base!$A$3:$A$5001,R$3,Base!$B$3:$B$5001,$A$61)))</f>
        <v/>
      </c>
      <c r="S75" s="96">
        <f>IF(S$3="","",IF(COUNTIFS(Base!$A$3:$A$5001,S$3,Base!$B$3:$B$5001,$A$61,Base!$AB$3:$AB$5001,"&lt;&gt;")=0,"",SUMIFS(Base!$AB$3:$AB$5001,Base!$A$3:$A$5001,S$3,Base!$B$3:$B$5001,$A$61)))</f>
        <v>1</v>
      </c>
      <c r="T75" s="96" t="str">
        <f>IF(T$3="","",IF(COUNTIFS(Base!$A$3:$A$5001,T$3,Base!$B$3:$B$5001,$A$61,Base!$AB$3:$AB$5001,"&lt;&gt;")=0,"",SUMIFS(Base!$AB$3:$AB$5001,Base!$A$3:$A$5001,T$3,Base!$B$3:$B$5001,$A$61)))</f>
        <v/>
      </c>
      <c r="U75" s="96" t="str">
        <f>IF(U$3="","",IF(COUNTIFS(Base!$A$3:$A$5001,U$3,Base!$B$3:$B$5001,$A$61,Base!$AB$3:$AB$5001,"&lt;&gt;")=0,"",SUMIFS(Base!$AB$3:$AB$5001,Base!$A$3:$A$5001,U$3,Base!$B$3:$B$5001,$A$61)))</f>
        <v/>
      </c>
      <c r="V75" s="96" t="str">
        <f>IF(V$3="","",IF(COUNTIFS(Base!$A$3:$A$5001,V$3,Base!$B$3:$B$5001,$A$61,Base!$AB$3:$AB$5001,"&lt;&gt;")=0,"",SUMIFS(Base!$AB$3:$AB$5001,Base!$A$3:$A$5001,V$3,Base!$B$3:$B$5001,$A$61)))</f>
        <v/>
      </c>
      <c r="W75" s="96" t="str">
        <f>IF(W$3="","",IF(COUNTIFS(Base!$A$3:$A$5001,W$3,Base!$B$3:$B$5001,$A$61,Base!$AB$3:$AB$5001,"&lt;&gt;")=0,"",SUMIFS(Base!$AB$3:$AB$5001,Base!$A$3:$A$5001,W$3,Base!$B$3:$B$5001,$A$61)))</f>
        <v/>
      </c>
      <c r="X75" s="96" t="str">
        <f>IF(X$3="","",IF(COUNTIFS(Base!$A$3:$A$5001,X$3,Base!$B$3:$B$5001,$A$61,Base!$AB$3:$AB$5001,"&lt;&gt;")=0,"",SUMIFS(Base!$AB$3:$AB$5001,Base!$A$3:$A$5001,X$3,Base!$B$3:$B$5001,$A$61)))</f>
        <v/>
      </c>
      <c r="Y75" s="96" t="str">
        <f>IF(Y$3="","",IF(COUNTIFS(Base!$A$3:$A$5001,Y$3,Base!$B$3:$B$5001,$A$61,Base!$AB$3:$AB$5001,"&lt;&gt;")=0,"",SUMIFS(Base!$AB$3:$AB$5001,Base!$A$3:$A$5001,Y$3,Base!$B$3:$B$5001,$A$61)))</f>
        <v/>
      </c>
      <c r="Z75" s="96" t="str">
        <f>IF(Z$3="","",IF(COUNTIFS(Base!$A$3:$A$5001,Z$3,Base!$B$3:$B$5001,$A$61,Base!$AB$3:$AB$5001,"&lt;&gt;")=0,"",SUMIFS(Base!$AB$3:$AB$5001,Base!$A$3:$A$5001,Z$3,Base!$B$3:$B$5001,$A$61)))</f>
        <v/>
      </c>
      <c r="AA75" s="96" t="str">
        <f>IF(AA$3="","",IF(COUNTIFS(Base!$A$3:$A$5001,AA$3,Base!$B$3:$B$5001,$A$61,Base!$AB$3:$AB$5001,"&lt;&gt;")=0,"",SUMIFS(Base!$AB$3:$AB$5001,Base!$A$3:$A$5001,AA$3,Base!$B$3:$B$5001,$A$61)))</f>
        <v/>
      </c>
      <c r="AB75" s="96" t="str">
        <f>IF(AB$3="","",IF(COUNTIFS(Base!$A$3:$A$5001,AB$3,Base!$B$3:$B$5001,$A$61,Base!$AB$3:$AB$5001,"&lt;&gt;")=0,"",SUMIFS(Base!$AB$3:$AB$5001,Base!$A$3:$A$5001,AB$3,Base!$B$3:$B$5001,$A$61)))</f>
        <v/>
      </c>
      <c r="AC75" s="96" t="str">
        <f>IF(AC$3="","",IF(COUNTIFS(Base!$A$3:$A$5001,AC$3,Base!$B$3:$B$5001,$A$61,Base!$AB$3:$AB$5001,"&lt;&gt;")=0,"",SUMIFS(Base!$AB$3:$AB$5001,Base!$A$3:$A$5001,AC$3,Base!$B$3:$B$5001,$A$61)))</f>
        <v/>
      </c>
      <c r="AD75" s="96" t="str">
        <f>IF(AD$3="","",IF(COUNTIFS(Base!$A$3:$A$5001,AD$3,Base!$B$3:$B$5001,$A$61,Base!$AB$3:$AB$5001,"&lt;&gt;")=0,"",SUMIFS(Base!$AB$3:$AB$5001,Base!$A$3:$A$5001,AD$3,Base!$B$3:$B$5001,$A$61)))</f>
        <v/>
      </c>
      <c r="AE75" s="96" t="str">
        <f>IF(AE$3="","",IF(COUNTIFS(Base!$A$3:$A$5001,AE$3,Base!$B$3:$B$5001,$A$61,Base!$AB$3:$AB$5001,"&lt;&gt;")=0,"",SUMIFS(Base!$AB$3:$AB$5001,Base!$A$3:$A$5001,AE$3,Base!$B$3:$B$5001,$A$61)))</f>
        <v/>
      </c>
      <c r="AF75" s="96" t="str">
        <f>IF(AF$3="","",IF(COUNTIFS(Base!$A$3:$A$5001,AF$3,Base!$B$3:$B$5001,$A$61,Base!$AB$3:$AB$5001,"&lt;&gt;")=0,"",SUMIFS(Base!$AB$3:$AB$5001,Base!$A$3:$A$5001,AF$3,Base!$B$3:$B$5001,$A$61)))</f>
        <v/>
      </c>
      <c r="AG75" s="96" t="str">
        <f>IF(AG$3="","",IF(COUNTIFS(Base!$A$3:$A$5001,AG$3,Base!$B$3:$B$5001,$A$61,Base!$AB$3:$AB$5001,"&lt;&gt;")=0,"",SUMIFS(Base!$AB$3:$AB$5001,Base!$A$3:$A$5001,AG$3,Base!$B$3:$B$5001,$A$61)))</f>
        <v/>
      </c>
      <c r="AH75" s="96" t="str">
        <f>IF(AH$3="","",IF(COUNTIFS(Base!$A$3:$A$5001,AH$3,Base!$B$3:$B$5001,$A$61,Base!$AB$3:$AB$5001,"&lt;&gt;")=0,"",SUMIFS(Base!$AB$3:$AB$5001,Base!$A$3:$A$5001,AH$3,Base!$B$3:$B$5001,$A$61)))</f>
        <v/>
      </c>
      <c r="AI75" s="96" t="str">
        <f>IF(AI$3="","",IF(COUNTIFS(Base!$A$3:$A$5001,AI$3,Base!$B$3:$B$5001,$A$61,Base!$AB$3:$AB$5001,"&lt;&gt;")=0,"",SUMIFS(Base!$AB$3:$AB$5001,Base!$A$3:$A$5001,AI$3,Base!$B$3:$B$5001,$A$61)))</f>
        <v/>
      </c>
      <c r="AJ75" s="97" t="str">
        <f>IF(AJ$3="","",IF(COUNTIFS(Base!$A$3:$A$5001,AJ$3,Base!$B$3:$B$5001,$A$61,Base!$AB$3:$AB$5001,"&lt;&gt;")=0,"",SUMIFS(Base!$AB$3:$AB$5001,Base!$A$3:$A$5001,AJ$3,Base!$B$3:$B$5001,$A$61)))</f>
        <v/>
      </c>
      <c r="AK75" s="98">
        <f>IF(COUNT(F75:AJ75)=0,"",SUM(F75:AJ75))</f>
        <v>1</v>
      </c>
    </row>
    <row r="76" ht="15.75" customHeight="1">
      <c r="A76" s="118"/>
      <c r="B76" s="115"/>
      <c r="C76" s="92" t="inlineStr">
        <is>
          <t xml:space="preserve">Férias</t>
        </is>
      </c>
      <c r="D76" s="93" t="str">
        <f>IFERROR(1/(1/INDEX(calculos!$C$55:$K$83,MATCH("Férias",calculos!$A$55:$A$83,0),MATCH($A$61,calculos!$C$54:$K$54,0))),"")</f>
        <v/>
      </c>
      <c r="E76" s="94"/>
      <c r="F76" s="95" t="str">
        <f>IF(F$3="","",IF(COUNTIFS(Base!$A$3:$A$5001,F$3,Base!$B$3:$B$5001,$A$61,Base!$AC$3:$AC$5001,"&lt;&gt;")=0,"",SUMIFS(Base!$AC$3:$AC$5001,Base!$A$3:$A$5001,F$3,Base!$B$3:$B$5001,$A$61)))</f>
        <v/>
      </c>
      <c r="G76" s="96">
        <f>IF(G$3="","",IF(COUNTIFS(Base!$A$3:$A$5001,G$3,Base!$B$3:$B$5001,$A$61,Base!$AC$3:$AC$5001,"&lt;&gt;")=0,"",SUMIFS(Base!$AC$3:$AC$5001,Base!$A$3:$A$5001,G$3,Base!$B$3:$B$5001,$A$61)))</f>
        <v>1</v>
      </c>
      <c r="H76" s="96" t="str">
        <f>IF(H$3="","",IF(COUNTIFS(Base!$A$3:$A$5001,H$3,Base!$B$3:$B$5001,$A$61,Base!$AC$3:$AC$5001,"&lt;&gt;")=0,"",SUMIFS(Base!$AC$3:$AC$5001,Base!$A$3:$A$5001,H$3,Base!$B$3:$B$5001,$A$61)))</f>
        <v/>
      </c>
      <c r="I76" s="96" t="str">
        <f>IF(I$3="","",IF(COUNTIFS(Base!$A$3:$A$5001,I$3,Base!$B$3:$B$5001,$A$61,Base!$AC$3:$AC$5001,"&lt;&gt;")=0,"",SUMIFS(Base!$AC$3:$AC$5001,Base!$A$3:$A$5001,I$3,Base!$B$3:$B$5001,$A$61)))</f>
        <v/>
      </c>
      <c r="J76" s="96" t="str">
        <f>IF(J$3="","",IF(COUNTIFS(Base!$A$3:$A$5001,J$3,Base!$B$3:$B$5001,$A$61,Base!$AC$3:$AC$5001,"&lt;&gt;")=0,"",SUMIFS(Base!$AC$3:$AC$5001,Base!$A$3:$A$5001,J$3,Base!$B$3:$B$5001,$A$61)))</f>
        <v/>
      </c>
      <c r="K76" s="96" t="str">
        <f>IF(K$3="","",IF(COUNTIFS(Base!$A$3:$A$5001,K$3,Base!$B$3:$B$5001,$A$61,Base!$AC$3:$AC$5001,"&lt;&gt;")=0,"",SUMIFS(Base!$AC$3:$AC$5001,Base!$A$3:$A$5001,K$3,Base!$B$3:$B$5001,$A$61)))</f>
        <v/>
      </c>
      <c r="L76" s="96">
        <f>IF(L$3="","",IF(COUNTIFS(Base!$A$3:$A$5001,L$3,Base!$B$3:$B$5001,$A$61,Base!$AC$3:$AC$5001,"&lt;&gt;")=0,"",SUMIFS(Base!$AC$3:$AC$5001,Base!$A$3:$A$5001,L$3,Base!$B$3:$B$5001,$A$61)))</f>
        <v>1</v>
      </c>
      <c r="M76" s="96" t="str">
        <f>IF(M$3="","",IF(COUNTIFS(Base!$A$3:$A$5001,M$3,Base!$B$3:$B$5001,$A$61,Base!$AC$3:$AC$5001,"&lt;&gt;")=0,"",SUMIFS(Base!$AC$3:$AC$5001,Base!$A$3:$A$5001,M$3,Base!$B$3:$B$5001,$A$61)))</f>
        <v/>
      </c>
      <c r="N76" s="96" t="str">
        <f>IF(N$3="","",IF(COUNTIFS(Base!$A$3:$A$5001,N$3,Base!$B$3:$B$5001,$A$61,Base!$AC$3:$AC$5001,"&lt;&gt;")=0,"",SUMIFS(Base!$AC$3:$AC$5001,Base!$A$3:$A$5001,N$3,Base!$B$3:$B$5001,$A$61)))</f>
        <v/>
      </c>
      <c r="O76" s="96" t="str">
        <f>IF(O$3="","",IF(COUNTIFS(Base!$A$3:$A$5001,O$3,Base!$B$3:$B$5001,$A$61,Base!$AC$3:$AC$5001,"&lt;&gt;")=0,"",SUMIFS(Base!$AC$3:$AC$5001,Base!$A$3:$A$5001,O$3,Base!$B$3:$B$5001,$A$61)))</f>
        <v/>
      </c>
      <c r="P76" s="96" t="str">
        <f>IF(P$3="","",IF(COUNTIFS(Base!$A$3:$A$5001,P$3,Base!$B$3:$B$5001,$A$61,Base!$AC$3:$AC$5001,"&lt;&gt;")=0,"",SUMIFS(Base!$AC$3:$AC$5001,Base!$A$3:$A$5001,P$3,Base!$B$3:$B$5001,$A$61)))</f>
        <v/>
      </c>
      <c r="Q76" s="96" t="str">
        <f>IF(Q$3="","",IF(COUNTIFS(Base!$A$3:$A$5001,Q$3,Base!$B$3:$B$5001,$A$61,Base!$AC$3:$AC$5001,"&lt;&gt;")=0,"",SUMIFS(Base!$AC$3:$AC$5001,Base!$A$3:$A$5001,Q$3,Base!$B$3:$B$5001,$A$61)))</f>
        <v/>
      </c>
      <c r="R76" s="96" t="str">
        <f>IF(R$3="","",IF(COUNTIFS(Base!$A$3:$A$5001,R$3,Base!$B$3:$B$5001,$A$61,Base!$AC$3:$AC$5001,"&lt;&gt;")=0,"",SUMIFS(Base!$AC$3:$AC$5001,Base!$A$3:$A$5001,R$3,Base!$B$3:$B$5001,$A$61)))</f>
        <v/>
      </c>
      <c r="S76" s="96" t="str">
        <f>IF(S$3="","",IF(COUNTIFS(Base!$A$3:$A$5001,S$3,Base!$B$3:$B$5001,$A$61,Base!$AC$3:$AC$5001,"&lt;&gt;")=0,"",SUMIFS(Base!$AC$3:$AC$5001,Base!$A$3:$A$5001,S$3,Base!$B$3:$B$5001,$A$61)))</f>
        <v/>
      </c>
      <c r="T76" s="96" t="str">
        <f>IF(T$3="","",IF(COUNTIFS(Base!$A$3:$A$5001,T$3,Base!$B$3:$B$5001,$A$61,Base!$AC$3:$AC$5001,"&lt;&gt;")=0,"",SUMIFS(Base!$AC$3:$AC$5001,Base!$A$3:$A$5001,T$3,Base!$B$3:$B$5001,$A$61)))</f>
        <v/>
      </c>
      <c r="U76" s="96">
        <f>IF(U$3="","",IF(COUNTIFS(Base!$A$3:$A$5001,U$3,Base!$B$3:$B$5001,$A$61,Base!$AC$3:$AC$5001,"&lt;&gt;")=0,"",SUMIFS(Base!$AC$3:$AC$5001,Base!$A$3:$A$5001,U$3,Base!$B$3:$B$5001,$A$61)))</f>
        <v>1</v>
      </c>
      <c r="V76" s="96" t="str">
        <f>IF(V$3="","",IF(COUNTIFS(Base!$A$3:$A$5001,V$3,Base!$B$3:$B$5001,$A$61,Base!$AC$3:$AC$5001,"&lt;&gt;")=0,"",SUMIFS(Base!$AC$3:$AC$5001,Base!$A$3:$A$5001,V$3,Base!$B$3:$B$5001,$A$61)))</f>
        <v/>
      </c>
      <c r="W76" s="96" t="str">
        <f>IF(W$3="","",IF(COUNTIFS(Base!$A$3:$A$5001,W$3,Base!$B$3:$B$5001,$A$61,Base!$AC$3:$AC$5001,"&lt;&gt;")=0,"",SUMIFS(Base!$AC$3:$AC$5001,Base!$A$3:$A$5001,W$3,Base!$B$3:$B$5001,$A$61)))</f>
        <v/>
      </c>
      <c r="X76" s="96" t="str">
        <f>IF(X$3="","",IF(COUNTIFS(Base!$A$3:$A$5001,X$3,Base!$B$3:$B$5001,$A$61,Base!$AC$3:$AC$5001,"&lt;&gt;")=0,"",SUMIFS(Base!$AC$3:$AC$5001,Base!$A$3:$A$5001,X$3,Base!$B$3:$B$5001,$A$61)))</f>
        <v/>
      </c>
      <c r="Y76" s="96" t="str">
        <f>IF(Y$3="","",IF(COUNTIFS(Base!$A$3:$A$5001,Y$3,Base!$B$3:$B$5001,$A$61,Base!$AC$3:$AC$5001,"&lt;&gt;")=0,"",SUMIFS(Base!$AC$3:$AC$5001,Base!$A$3:$A$5001,Y$3,Base!$B$3:$B$5001,$A$61)))</f>
        <v/>
      </c>
      <c r="Z76" s="96" t="str">
        <f>IF(Z$3="","",IF(COUNTIFS(Base!$A$3:$A$5001,Z$3,Base!$B$3:$B$5001,$A$61,Base!$AC$3:$AC$5001,"&lt;&gt;")=0,"",SUMIFS(Base!$AC$3:$AC$5001,Base!$A$3:$A$5001,Z$3,Base!$B$3:$B$5001,$A$61)))</f>
        <v/>
      </c>
      <c r="AA76" s="96" t="str">
        <f>IF(AA$3="","",IF(COUNTIFS(Base!$A$3:$A$5001,AA$3,Base!$B$3:$B$5001,$A$61,Base!$AC$3:$AC$5001,"&lt;&gt;")=0,"",SUMIFS(Base!$AC$3:$AC$5001,Base!$A$3:$A$5001,AA$3,Base!$B$3:$B$5001,$A$61)))</f>
        <v/>
      </c>
      <c r="AB76" s="96" t="str">
        <f>IF(AB$3="","",IF(COUNTIFS(Base!$A$3:$A$5001,AB$3,Base!$B$3:$B$5001,$A$61,Base!$AC$3:$AC$5001,"&lt;&gt;")=0,"",SUMIFS(Base!$AC$3:$AC$5001,Base!$A$3:$A$5001,AB$3,Base!$B$3:$B$5001,$A$61)))</f>
        <v/>
      </c>
      <c r="AC76" s="96" t="str">
        <f>IF(AC$3="","",IF(COUNTIFS(Base!$A$3:$A$5001,AC$3,Base!$B$3:$B$5001,$A$61,Base!$AC$3:$AC$5001,"&lt;&gt;")=0,"",SUMIFS(Base!$AC$3:$AC$5001,Base!$A$3:$A$5001,AC$3,Base!$B$3:$B$5001,$A$61)))</f>
        <v/>
      </c>
      <c r="AD76" s="96" t="str">
        <f>IF(AD$3="","",IF(COUNTIFS(Base!$A$3:$A$5001,AD$3,Base!$B$3:$B$5001,$A$61,Base!$AC$3:$AC$5001,"&lt;&gt;")=0,"",SUMIFS(Base!$AC$3:$AC$5001,Base!$A$3:$A$5001,AD$3,Base!$B$3:$B$5001,$A$61)))</f>
        <v/>
      </c>
      <c r="AE76" s="96" t="str">
        <f>IF(AE$3="","",IF(COUNTIFS(Base!$A$3:$A$5001,AE$3,Base!$B$3:$B$5001,$A$61,Base!$AC$3:$AC$5001,"&lt;&gt;")=0,"",SUMIFS(Base!$AC$3:$AC$5001,Base!$A$3:$A$5001,AE$3,Base!$B$3:$B$5001,$A$61)))</f>
        <v/>
      </c>
      <c r="AF76" s="96" t="str">
        <f>IF(AF$3="","",IF(COUNTIFS(Base!$A$3:$A$5001,AF$3,Base!$B$3:$B$5001,$A$61,Base!$AC$3:$AC$5001,"&lt;&gt;")=0,"",SUMIFS(Base!$AC$3:$AC$5001,Base!$A$3:$A$5001,AF$3,Base!$B$3:$B$5001,$A$61)))</f>
        <v/>
      </c>
      <c r="AG76" s="96">
        <f>IF(AG$3="","",IF(COUNTIFS(Base!$A$3:$A$5001,AG$3,Base!$B$3:$B$5001,$A$61,Base!$AC$3:$AC$5001,"&lt;&gt;")=0,"",SUMIFS(Base!$AC$3:$AC$5001,Base!$A$3:$A$5001,AG$3,Base!$B$3:$B$5001,$A$61)))</f>
        <v>1</v>
      </c>
      <c r="AH76" s="96" t="str">
        <f>IF(AH$3="","",IF(COUNTIFS(Base!$A$3:$A$5001,AH$3,Base!$B$3:$B$5001,$A$61,Base!$AC$3:$AC$5001,"&lt;&gt;")=0,"",SUMIFS(Base!$AC$3:$AC$5001,Base!$A$3:$A$5001,AH$3,Base!$B$3:$B$5001,$A$61)))</f>
        <v/>
      </c>
      <c r="AI76" s="96" t="str">
        <f>IF(AI$3="","",IF(COUNTIFS(Base!$A$3:$A$5001,AI$3,Base!$B$3:$B$5001,$A$61,Base!$AC$3:$AC$5001,"&lt;&gt;")=0,"",SUMIFS(Base!$AC$3:$AC$5001,Base!$A$3:$A$5001,AI$3,Base!$B$3:$B$5001,$A$61)))</f>
        <v/>
      </c>
      <c r="AJ76" s="97" t="str">
        <f>IF(AJ$3="","",IF(COUNTIFS(Base!$A$3:$A$5001,AJ$3,Base!$B$3:$B$5001,$A$61,Base!$AC$3:$AC$5001,"&lt;&gt;")=0,"",SUMIFS(Base!$AC$3:$AC$5001,Base!$A$3:$A$5001,AJ$3,Base!$B$3:$B$5001,$A$61)))</f>
        <v/>
      </c>
      <c r="AK76" s="98">
        <f>IF(COUNT(F76:AJ76)=0,"",SUM(F76:AJ76))</f>
        <v>4</v>
      </c>
    </row>
    <row r="77" ht="15.75" customHeight="1">
      <c r="A77" s="119"/>
      <c r="B77" s="116"/>
      <c r="C77" s="99" t="inlineStr">
        <is>
          <t xml:space="preserve">Desligamentos</t>
        </is>
      </c>
      <c r="D77" s="100" t="str">
        <f>IFERROR(1/(1/INDEX(calculos!$C$55:$K$83,MATCH("Desligamentos",calculos!$A$55:$A$83,0),MATCH($A$61,calculos!$C$54:$K$54,0))),"")</f>
        <v/>
      </c>
      <c r="E77" s="101"/>
      <c r="F77" s="102" t="str">
        <f>IF(F$3="","",IF(COUNTIFS(Base!$A$3:$A$5001,F$3,Base!$B$3:$B$5001,$A$61,Base!$AD$3:$AD$5001,"&lt;&gt;")=0,"",SUMIFS(Base!$AD$3:$AD$5001,Base!$A$3:$A$5001,F$3,Base!$B$3:$B$5001,$A$61)))</f>
        <v/>
      </c>
      <c r="G77" s="103" t="str">
        <f>IF(G$3="","",IF(COUNTIFS(Base!$A$3:$A$5001,G$3,Base!$B$3:$B$5001,$A$61,Base!$AD$3:$AD$5001,"&lt;&gt;")=0,"",SUMIFS(Base!$AD$3:$AD$5001,Base!$A$3:$A$5001,G$3,Base!$B$3:$B$5001,$A$61)))</f>
        <v/>
      </c>
      <c r="H77" s="103" t="str">
        <f>IF(H$3="","",IF(COUNTIFS(Base!$A$3:$A$5001,H$3,Base!$B$3:$B$5001,$A$61,Base!$AD$3:$AD$5001,"&lt;&gt;")=0,"",SUMIFS(Base!$AD$3:$AD$5001,Base!$A$3:$A$5001,H$3,Base!$B$3:$B$5001,$A$61)))</f>
        <v/>
      </c>
      <c r="I77" s="103" t="str">
        <f>IF(I$3="","",IF(COUNTIFS(Base!$A$3:$A$5001,I$3,Base!$B$3:$B$5001,$A$61,Base!$AD$3:$AD$5001,"&lt;&gt;")=0,"",SUMIFS(Base!$AD$3:$AD$5001,Base!$A$3:$A$5001,I$3,Base!$B$3:$B$5001,$A$61)))</f>
        <v/>
      </c>
      <c r="J77" s="103" t="str">
        <f>IF(J$3="","",IF(COUNTIFS(Base!$A$3:$A$5001,J$3,Base!$B$3:$B$5001,$A$61,Base!$AD$3:$AD$5001,"&lt;&gt;")=0,"",SUMIFS(Base!$AD$3:$AD$5001,Base!$A$3:$A$5001,J$3,Base!$B$3:$B$5001,$A$61)))</f>
        <v/>
      </c>
      <c r="K77" s="103" t="str">
        <f>IF(K$3="","",IF(COUNTIFS(Base!$A$3:$A$5001,K$3,Base!$B$3:$B$5001,$A$61,Base!$AD$3:$AD$5001,"&lt;&gt;")=0,"",SUMIFS(Base!$AD$3:$AD$5001,Base!$A$3:$A$5001,K$3,Base!$B$3:$B$5001,$A$61)))</f>
        <v/>
      </c>
      <c r="L77" s="103" t="str">
        <f>IF(L$3="","",IF(COUNTIFS(Base!$A$3:$A$5001,L$3,Base!$B$3:$B$5001,$A$61,Base!$AD$3:$AD$5001,"&lt;&gt;")=0,"",SUMIFS(Base!$AD$3:$AD$5001,Base!$A$3:$A$5001,L$3,Base!$B$3:$B$5001,$A$61)))</f>
        <v/>
      </c>
      <c r="M77" s="103" t="str">
        <f>IF(M$3="","",IF(COUNTIFS(Base!$A$3:$A$5001,M$3,Base!$B$3:$B$5001,$A$61,Base!$AD$3:$AD$5001,"&lt;&gt;")=0,"",SUMIFS(Base!$AD$3:$AD$5001,Base!$A$3:$A$5001,M$3,Base!$B$3:$B$5001,$A$61)))</f>
        <v/>
      </c>
      <c r="N77" s="103" t="str">
        <f>IF(N$3="","",IF(COUNTIFS(Base!$A$3:$A$5001,N$3,Base!$B$3:$B$5001,$A$61,Base!$AD$3:$AD$5001,"&lt;&gt;")=0,"",SUMIFS(Base!$AD$3:$AD$5001,Base!$A$3:$A$5001,N$3,Base!$B$3:$B$5001,$A$61)))</f>
        <v/>
      </c>
      <c r="O77" s="103" t="str">
        <f>IF(O$3="","",IF(COUNTIFS(Base!$A$3:$A$5001,O$3,Base!$B$3:$B$5001,$A$61,Base!$AD$3:$AD$5001,"&lt;&gt;")=0,"",SUMIFS(Base!$AD$3:$AD$5001,Base!$A$3:$A$5001,O$3,Base!$B$3:$B$5001,$A$61)))</f>
        <v/>
      </c>
      <c r="P77" s="103" t="str">
        <f>IF(P$3="","",IF(COUNTIFS(Base!$A$3:$A$5001,P$3,Base!$B$3:$B$5001,$A$61,Base!$AD$3:$AD$5001,"&lt;&gt;")=0,"",SUMIFS(Base!$AD$3:$AD$5001,Base!$A$3:$A$5001,P$3,Base!$B$3:$B$5001,$A$61)))</f>
        <v/>
      </c>
      <c r="Q77" s="103" t="str">
        <f>IF(Q$3="","",IF(COUNTIFS(Base!$A$3:$A$5001,Q$3,Base!$B$3:$B$5001,$A$61,Base!$AD$3:$AD$5001,"&lt;&gt;")=0,"",SUMIFS(Base!$AD$3:$AD$5001,Base!$A$3:$A$5001,Q$3,Base!$B$3:$B$5001,$A$61)))</f>
        <v/>
      </c>
      <c r="R77" s="103" t="str">
        <f>IF(R$3="","",IF(COUNTIFS(Base!$A$3:$A$5001,R$3,Base!$B$3:$B$5001,$A$61,Base!$AD$3:$AD$5001,"&lt;&gt;")=0,"",SUMIFS(Base!$AD$3:$AD$5001,Base!$A$3:$A$5001,R$3,Base!$B$3:$B$5001,$A$61)))</f>
        <v/>
      </c>
      <c r="S77" s="103" t="str">
        <f>IF(S$3="","",IF(COUNTIFS(Base!$A$3:$A$5001,S$3,Base!$B$3:$B$5001,$A$61,Base!$AD$3:$AD$5001,"&lt;&gt;")=0,"",SUMIFS(Base!$AD$3:$AD$5001,Base!$A$3:$A$5001,S$3,Base!$B$3:$B$5001,$A$61)))</f>
        <v/>
      </c>
      <c r="T77" s="103" t="str">
        <f>IF(T$3="","",IF(COUNTIFS(Base!$A$3:$A$5001,T$3,Base!$B$3:$B$5001,$A$61,Base!$AD$3:$AD$5001,"&lt;&gt;")=0,"",SUMIFS(Base!$AD$3:$AD$5001,Base!$A$3:$A$5001,T$3,Base!$B$3:$B$5001,$A$61)))</f>
        <v/>
      </c>
      <c r="U77" s="103" t="str">
        <f>IF(U$3="","",IF(COUNTIFS(Base!$A$3:$A$5001,U$3,Base!$B$3:$B$5001,$A$61,Base!$AD$3:$AD$5001,"&lt;&gt;")=0,"",SUMIFS(Base!$AD$3:$AD$5001,Base!$A$3:$A$5001,U$3,Base!$B$3:$B$5001,$A$61)))</f>
        <v/>
      </c>
      <c r="V77" s="103" t="str">
        <f>IF(V$3="","",IF(COUNTIFS(Base!$A$3:$A$5001,V$3,Base!$B$3:$B$5001,$A$61,Base!$AD$3:$AD$5001,"&lt;&gt;")=0,"",SUMIFS(Base!$AD$3:$AD$5001,Base!$A$3:$A$5001,V$3,Base!$B$3:$B$5001,$A$61)))</f>
        <v/>
      </c>
      <c r="W77" s="103" t="str">
        <f>IF(W$3="","",IF(COUNTIFS(Base!$A$3:$A$5001,W$3,Base!$B$3:$B$5001,$A$61,Base!$AD$3:$AD$5001,"&lt;&gt;")=0,"",SUMIFS(Base!$AD$3:$AD$5001,Base!$A$3:$A$5001,W$3,Base!$B$3:$B$5001,$A$61)))</f>
        <v/>
      </c>
      <c r="X77" s="103" t="str">
        <f>IF(X$3="","",IF(COUNTIFS(Base!$A$3:$A$5001,X$3,Base!$B$3:$B$5001,$A$61,Base!$AD$3:$AD$5001,"&lt;&gt;")=0,"",SUMIFS(Base!$AD$3:$AD$5001,Base!$A$3:$A$5001,X$3,Base!$B$3:$B$5001,$A$61)))</f>
        <v/>
      </c>
      <c r="Y77" s="103" t="str">
        <f>IF(Y$3="","",IF(COUNTIFS(Base!$A$3:$A$5001,Y$3,Base!$B$3:$B$5001,$A$61,Base!$AD$3:$AD$5001,"&lt;&gt;")=0,"",SUMIFS(Base!$AD$3:$AD$5001,Base!$A$3:$A$5001,Y$3,Base!$B$3:$B$5001,$A$61)))</f>
        <v/>
      </c>
      <c r="Z77" s="103" t="str">
        <f>IF(Z$3="","",IF(COUNTIFS(Base!$A$3:$A$5001,Z$3,Base!$B$3:$B$5001,$A$61,Base!$AD$3:$AD$5001,"&lt;&gt;")=0,"",SUMIFS(Base!$AD$3:$AD$5001,Base!$A$3:$A$5001,Z$3,Base!$B$3:$B$5001,$A$61)))</f>
        <v/>
      </c>
      <c r="AA77" s="103" t="str">
        <f>IF(AA$3="","",IF(COUNTIFS(Base!$A$3:$A$5001,AA$3,Base!$B$3:$B$5001,$A$61,Base!$AD$3:$AD$5001,"&lt;&gt;")=0,"",SUMIFS(Base!$AD$3:$AD$5001,Base!$A$3:$A$5001,AA$3,Base!$B$3:$B$5001,$A$61)))</f>
        <v/>
      </c>
      <c r="AB77" s="103" t="str">
        <f>IF(AB$3="","",IF(COUNTIFS(Base!$A$3:$A$5001,AB$3,Base!$B$3:$B$5001,$A$61,Base!$AD$3:$AD$5001,"&lt;&gt;")=0,"",SUMIFS(Base!$AD$3:$AD$5001,Base!$A$3:$A$5001,AB$3,Base!$B$3:$B$5001,$A$61)))</f>
        <v/>
      </c>
      <c r="AC77" s="103" t="str">
        <f>IF(AC$3="","",IF(COUNTIFS(Base!$A$3:$A$5001,AC$3,Base!$B$3:$B$5001,$A$61,Base!$AD$3:$AD$5001,"&lt;&gt;")=0,"",SUMIFS(Base!$AD$3:$AD$5001,Base!$A$3:$A$5001,AC$3,Base!$B$3:$B$5001,$A$61)))</f>
        <v/>
      </c>
      <c r="AD77" s="103" t="str">
        <f>IF(AD$3="","",IF(COUNTIFS(Base!$A$3:$A$5001,AD$3,Base!$B$3:$B$5001,$A$61,Base!$AD$3:$AD$5001,"&lt;&gt;")=0,"",SUMIFS(Base!$AD$3:$AD$5001,Base!$A$3:$A$5001,AD$3,Base!$B$3:$B$5001,$A$61)))</f>
        <v/>
      </c>
      <c r="AE77" s="103" t="str">
        <f>IF(AE$3="","",IF(COUNTIFS(Base!$A$3:$A$5001,AE$3,Base!$B$3:$B$5001,$A$61,Base!$AD$3:$AD$5001,"&lt;&gt;")=0,"",SUMIFS(Base!$AD$3:$AD$5001,Base!$A$3:$A$5001,AE$3,Base!$B$3:$B$5001,$A$61)))</f>
        <v/>
      </c>
      <c r="AF77" s="103" t="str">
        <f>IF(AF$3="","",IF(COUNTIFS(Base!$A$3:$A$5001,AF$3,Base!$B$3:$B$5001,$A$61,Base!$AD$3:$AD$5001,"&lt;&gt;")=0,"",SUMIFS(Base!$AD$3:$AD$5001,Base!$A$3:$A$5001,AF$3,Base!$B$3:$B$5001,$A$61)))</f>
        <v/>
      </c>
      <c r="AG77" s="103" t="str">
        <f>IF(AG$3="","",IF(COUNTIFS(Base!$A$3:$A$5001,AG$3,Base!$B$3:$B$5001,$A$61,Base!$AD$3:$AD$5001,"&lt;&gt;")=0,"",SUMIFS(Base!$AD$3:$AD$5001,Base!$A$3:$A$5001,AG$3,Base!$B$3:$B$5001,$A$61)))</f>
        <v/>
      </c>
      <c r="AH77" s="103" t="str">
        <f>IF(AH$3="","",IF(COUNTIFS(Base!$A$3:$A$5001,AH$3,Base!$B$3:$B$5001,$A$61,Base!$AD$3:$AD$5001,"&lt;&gt;")=0,"",SUMIFS(Base!$AD$3:$AD$5001,Base!$A$3:$A$5001,AH$3,Base!$B$3:$B$5001,$A$61)))</f>
        <v/>
      </c>
      <c r="AI77" s="103" t="str">
        <f>IF(AI$3="","",IF(COUNTIFS(Base!$A$3:$A$5001,AI$3,Base!$B$3:$B$5001,$A$61,Base!$AD$3:$AD$5001,"&lt;&gt;")=0,"",SUMIFS(Base!$AD$3:$AD$5001,Base!$A$3:$A$5001,AI$3,Base!$B$3:$B$5001,$A$61)))</f>
        <v/>
      </c>
      <c r="AJ77" s="104" t="str">
        <f>IF(AJ$3="","",IF(COUNTIFS(Base!$A$3:$A$5001,AJ$3,Base!$B$3:$B$5001,$A$61,Base!$AD$3:$AD$5001,"&lt;&gt;")=0,"",SUMIFS(Base!$AD$3:$AD$5001,Base!$A$3:$A$5001,AJ$3,Base!$B$3:$B$5001,$A$61)))</f>
        <v/>
      </c>
      <c r="AK77" s="100" t="str">
        <f>IF(COUNT(F77:AJ77)=0,"",SUM(F77:AJ77))</f>
        <v/>
      </c>
    </row>
    <row r="79" ht="15.75" customHeight="1">
      <c r="A79" s="117" t="inlineStr">
        <is>
          <t xml:space="preserve">GE VERNOVA</t>
        </is>
      </c>
      <c r="B79" s="105" t="inlineStr">
        <is>
          <t xml:space="preserve">IN</t>
        </is>
      </c>
      <c r="C79" s="21" t="inlineStr">
        <is>
          <t xml:space="preserve">Veículos Recebidos</t>
        </is>
      </c>
      <c r="D79" s="22" t="str">
        <f>IFERROR(1/(1/INDEX(calculos!$C$55:$K$83,MATCH("IN Veículos Recebidos",calculos!$A$55:$A$83,0),MATCH($A$79,calculos!$C$54:$K$54,0))),"")</f>
        <v/>
      </c>
      <c r="E79" s="23"/>
      <c r="F79" s="24">
        <f>IF(F$3="","",IF(COUNTIFS(Base!$A$3:$A$5001,F$3,Base!$B$3:$B$5001,$A$79,Base!$C$3:$C$5001,"&lt;&gt;")=0,"",SUMIFS(Base!$C$3:$C$5001,Base!$A$3:$A$5001,F$3,Base!$B$3:$B$5001,$A$79)))</f>
        <v>3</v>
      </c>
      <c r="G79" s="25">
        <f>IF(G$3="","",IF(COUNTIFS(Base!$A$3:$A$5001,G$3,Base!$B$3:$B$5001,$A$79,Base!$C$3:$C$5001,"&lt;&gt;")=0,"",SUMIFS(Base!$C$3:$C$5001,Base!$A$3:$A$5001,G$3,Base!$B$3:$B$5001,$A$79)))</f>
        <v>6</v>
      </c>
      <c r="H79" s="25">
        <f>IF(H$3="","",IF(COUNTIFS(Base!$A$3:$A$5001,H$3,Base!$B$3:$B$5001,$A$79,Base!$C$3:$C$5001,"&lt;&gt;")=0,"",SUMIFS(Base!$C$3:$C$5001,Base!$A$3:$A$5001,H$3,Base!$B$3:$B$5001,$A$79)))</f>
        <v>3</v>
      </c>
      <c r="I79" s="25">
        <f>IF(I$3="","",IF(COUNTIFS(Base!$A$3:$A$5001,I$3,Base!$B$3:$B$5001,$A$79,Base!$C$3:$C$5001,"&lt;&gt;")=0,"",SUMIFS(Base!$C$3:$C$5001,Base!$A$3:$A$5001,I$3,Base!$B$3:$B$5001,$A$79)))</f>
        <v>2</v>
      </c>
      <c r="J79" s="25">
        <f>IF(J$3="","",IF(COUNTIFS(Base!$A$3:$A$5001,J$3,Base!$B$3:$B$5001,$A$79,Base!$C$3:$C$5001,"&lt;&gt;")=0,"",SUMIFS(Base!$C$3:$C$5001,Base!$A$3:$A$5001,J$3,Base!$B$3:$B$5001,$A$79)))</f>
        <v>6</v>
      </c>
      <c r="K79" s="25" t="str">
        <f>IF(K$3="","",IF(COUNTIFS(Base!$A$3:$A$5001,K$3,Base!$B$3:$B$5001,$A$79,Base!$C$3:$C$5001,"&lt;&gt;")=0,"",SUMIFS(Base!$C$3:$C$5001,Base!$A$3:$A$5001,K$3,Base!$B$3:$B$5001,$A$79)))</f>
        <v/>
      </c>
      <c r="L79" s="25">
        <f>IF(L$3="","",IF(COUNTIFS(Base!$A$3:$A$5001,L$3,Base!$B$3:$B$5001,$A$79,Base!$C$3:$C$5001,"&lt;&gt;")=0,"",SUMIFS(Base!$C$3:$C$5001,Base!$A$3:$A$5001,L$3,Base!$B$3:$B$5001,$A$79)))</f>
        <v>7</v>
      </c>
      <c r="M79" s="25">
        <f>IF(M$3="","",IF(COUNTIFS(Base!$A$3:$A$5001,M$3,Base!$B$3:$B$5001,$A$79,Base!$C$3:$C$5001,"&lt;&gt;")=0,"",SUMIFS(Base!$C$3:$C$5001,Base!$A$3:$A$5001,M$3,Base!$B$3:$B$5001,$A$79)))</f>
        <v>4</v>
      </c>
      <c r="N79" s="25">
        <f>IF(N$3="","",IF(COUNTIFS(Base!$A$3:$A$5001,N$3,Base!$B$3:$B$5001,$A$79,Base!$C$3:$C$5001,"&lt;&gt;")=0,"",SUMIFS(Base!$C$3:$C$5001,Base!$A$3:$A$5001,N$3,Base!$B$3:$B$5001,$A$79)))</f>
        <v>7</v>
      </c>
      <c r="O79" s="25">
        <f>IF(O$3="","",IF(COUNTIFS(Base!$A$3:$A$5001,O$3,Base!$B$3:$B$5001,$A$79,Base!$C$3:$C$5001,"&lt;&gt;")=0,"",SUMIFS(Base!$C$3:$C$5001,Base!$A$3:$A$5001,O$3,Base!$B$3:$B$5001,$A$79)))</f>
        <v>3</v>
      </c>
      <c r="P79" s="25">
        <f>IF(P$3="","",IF(COUNTIFS(Base!$A$3:$A$5001,P$3,Base!$B$3:$B$5001,$A$79,Base!$C$3:$C$5001,"&lt;&gt;")=0,"",SUMIFS(Base!$C$3:$C$5001,Base!$A$3:$A$5001,P$3,Base!$B$3:$B$5001,$A$79)))</f>
        <v>7</v>
      </c>
      <c r="Q79" s="25">
        <f>IF(Q$3="","",IF(COUNTIFS(Base!$A$3:$A$5001,Q$3,Base!$B$3:$B$5001,$A$79,Base!$C$3:$C$5001,"&lt;&gt;")=0,"",SUMIFS(Base!$C$3:$C$5001,Base!$A$3:$A$5001,Q$3,Base!$B$3:$B$5001,$A$79)))</f>
        <v>4</v>
      </c>
      <c r="R79" s="25" t="str">
        <f>IF(R$3="","",IF(COUNTIFS(Base!$A$3:$A$5001,R$3,Base!$B$3:$B$5001,$A$79,Base!$C$3:$C$5001,"&lt;&gt;")=0,"",SUMIFS(Base!$C$3:$C$5001,Base!$A$3:$A$5001,R$3,Base!$B$3:$B$5001,$A$79)))</f>
        <v/>
      </c>
      <c r="S79" s="25">
        <f>IF(S$3="","",IF(COUNTIFS(Base!$A$3:$A$5001,S$3,Base!$B$3:$B$5001,$A$79,Base!$C$3:$C$5001,"&lt;&gt;")=0,"",SUMIFS(Base!$C$3:$C$5001,Base!$A$3:$A$5001,S$3,Base!$B$3:$B$5001,$A$79)))</f>
        <v>4</v>
      </c>
      <c r="T79" s="25">
        <f>IF(T$3="","",IF(COUNTIFS(Base!$A$3:$A$5001,T$3,Base!$B$3:$B$5001,$A$79,Base!$C$3:$C$5001,"&lt;&gt;")=0,"",SUMIFS(Base!$C$3:$C$5001,Base!$A$3:$A$5001,T$3,Base!$B$3:$B$5001,$A$79)))</f>
        <v>4</v>
      </c>
      <c r="U79" s="25">
        <f>IF(U$3="","",IF(COUNTIFS(Base!$A$3:$A$5001,U$3,Base!$B$3:$B$5001,$A$79,Base!$C$3:$C$5001,"&lt;&gt;")=0,"",SUMIFS(Base!$C$3:$C$5001,Base!$A$3:$A$5001,U$3,Base!$B$3:$B$5001,$A$79)))</f>
        <v>7</v>
      </c>
      <c r="V79" s="25">
        <f>IF(V$3="","",IF(COUNTIFS(Base!$A$3:$A$5001,V$3,Base!$B$3:$B$5001,$A$79,Base!$C$3:$C$5001,"&lt;&gt;")=0,"",SUMIFS(Base!$C$3:$C$5001,Base!$A$3:$A$5001,V$3,Base!$B$3:$B$5001,$A$79)))</f>
        <v>2</v>
      </c>
      <c r="W79" s="25">
        <f>IF(W$3="","",IF(COUNTIFS(Base!$A$3:$A$5001,W$3,Base!$B$3:$B$5001,$A$79,Base!$C$3:$C$5001,"&lt;&gt;")=0,"",SUMIFS(Base!$C$3:$C$5001,Base!$A$3:$A$5001,W$3,Base!$B$3:$B$5001,$A$79)))</f>
        <v>7</v>
      </c>
      <c r="X79" s="25">
        <f>IF(X$3="","",IF(COUNTIFS(Base!$A$3:$A$5001,X$3,Base!$B$3:$B$5001,$A$79,Base!$C$3:$C$5001,"&lt;&gt;")=0,"",SUMIFS(Base!$C$3:$C$5001,Base!$A$3:$A$5001,X$3,Base!$B$3:$B$5001,$A$79)))</f>
        <v>6</v>
      </c>
      <c r="Y79" s="25" t="str">
        <f>IF(Y$3="","",IF(COUNTIFS(Base!$A$3:$A$5001,Y$3,Base!$B$3:$B$5001,$A$79,Base!$C$3:$C$5001,"&lt;&gt;")=0,"",SUMIFS(Base!$C$3:$C$5001,Base!$A$3:$A$5001,Y$3,Base!$B$3:$B$5001,$A$79)))</f>
        <v/>
      </c>
      <c r="Z79" s="25">
        <f>IF(Z$3="","",IF(COUNTIFS(Base!$A$3:$A$5001,Z$3,Base!$B$3:$B$5001,$A$79,Base!$C$3:$C$5001,"&lt;&gt;")=0,"",SUMIFS(Base!$C$3:$C$5001,Base!$A$3:$A$5001,Z$3,Base!$B$3:$B$5001,$A$79)))</f>
        <v>3</v>
      </c>
      <c r="AA79" s="25">
        <f>IF(AA$3="","",IF(COUNTIFS(Base!$A$3:$A$5001,AA$3,Base!$B$3:$B$5001,$A$79,Base!$C$3:$C$5001,"&lt;&gt;")=0,"",SUMIFS(Base!$C$3:$C$5001,Base!$A$3:$A$5001,AA$3,Base!$B$3:$B$5001,$A$79)))</f>
        <v>5</v>
      </c>
      <c r="AB79" s="25">
        <f>IF(AB$3="","",IF(COUNTIFS(Base!$A$3:$A$5001,AB$3,Base!$B$3:$B$5001,$A$79,Base!$C$3:$C$5001,"&lt;&gt;")=0,"",SUMIFS(Base!$C$3:$C$5001,Base!$A$3:$A$5001,AB$3,Base!$B$3:$B$5001,$A$79)))</f>
        <v>7</v>
      </c>
      <c r="AC79" s="25">
        <f>IF(AC$3="","",IF(COUNTIFS(Base!$A$3:$A$5001,AC$3,Base!$B$3:$B$5001,$A$79,Base!$C$3:$C$5001,"&lt;&gt;")=0,"",SUMIFS(Base!$C$3:$C$5001,Base!$A$3:$A$5001,AC$3,Base!$B$3:$B$5001,$A$79)))</f>
        <v>3</v>
      </c>
      <c r="AD79" s="25">
        <f>IF(AD$3="","",IF(COUNTIFS(Base!$A$3:$A$5001,AD$3,Base!$B$3:$B$5001,$A$79,Base!$C$3:$C$5001,"&lt;&gt;")=0,"",SUMIFS(Base!$C$3:$C$5001,Base!$A$3:$A$5001,AD$3,Base!$B$3:$B$5001,$A$79)))</f>
        <v>5</v>
      </c>
      <c r="AE79" s="25">
        <f>IF(AE$3="","",IF(COUNTIFS(Base!$A$3:$A$5001,AE$3,Base!$B$3:$B$5001,$A$79,Base!$C$3:$C$5001,"&lt;&gt;")=0,"",SUMIFS(Base!$C$3:$C$5001,Base!$A$3:$A$5001,AE$3,Base!$B$3:$B$5001,$A$79)))</f>
        <v>5</v>
      </c>
      <c r="AF79" s="25" t="str">
        <f>IF(AF$3="","",IF(COUNTIFS(Base!$A$3:$A$5001,AF$3,Base!$B$3:$B$5001,$A$79,Base!$C$3:$C$5001,"&lt;&gt;")=0,"",SUMIFS(Base!$C$3:$C$5001,Base!$A$3:$A$5001,AF$3,Base!$B$3:$B$5001,$A$79)))</f>
        <v/>
      </c>
      <c r="AG79" s="25">
        <f>IF(AG$3="","",IF(COUNTIFS(Base!$A$3:$A$5001,AG$3,Base!$B$3:$B$5001,$A$79,Base!$C$3:$C$5001,"&lt;&gt;")=0,"",SUMIFS(Base!$C$3:$C$5001,Base!$A$3:$A$5001,AG$3,Base!$B$3:$B$5001,$A$79)))</f>
        <v>4</v>
      </c>
      <c r="AH79" s="25">
        <f>IF(AH$3="","",IF(COUNTIFS(Base!$A$3:$A$5001,AH$3,Base!$B$3:$B$5001,$A$79,Base!$C$3:$C$5001,"&lt;&gt;")=0,"",SUMIFS(Base!$C$3:$C$5001,Base!$A$3:$A$5001,AH$3,Base!$B$3:$B$5001,$A$79)))</f>
        <v>8</v>
      </c>
      <c r="AI79" s="25" t="str">
        <f>IF(AI$3="","",IF(COUNTIFS(Base!$A$3:$A$5001,AI$3,Base!$B$3:$B$5001,$A$79,Base!$C$3:$C$5001,"&lt;&gt;")=0,"",SUMIFS(Base!$C$3:$C$5001,Base!$A$3:$A$5001,AI$3,Base!$B$3:$B$5001,$A$79)))</f>
        <v/>
      </c>
      <c r="AJ79" s="26" t="str">
        <f>IF(AJ$3="","",IF(COUNTIFS(Base!$A$3:$A$5001,AJ$3,Base!$B$3:$B$5001,$A$79,Base!$C$3:$C$5001,"&lt;&gt;")=0,"",SUMIFS(Base!$C$3:$C$5001,Base!$A$3:$A$5001,AJ$3,Base!$B$3:$B$5001,$A$79)))</f>
        <v/>
      </c>
      <c r="AK79" s="27">
        <f>IF(COUNT(F79:AJ79)=0,"",SUM(F79:AJ79))</f>
        <v>122</v>
      </c>
    </row>
    <row r="80" ht="15.75" customHeight="1">
      <c r="A80" s="118"/>
      <c r="B80" s="106"/>
      <c r="C80" s="28" t="inlineStr">
        <is>
          <t xml:space="preserve">Pallets Movimentados</t>
        </is>
      </c>
      <c r="D80" s="29" t="str">
        <f>IFERROR(1/(1/INDEX(calculos!$C$55:$K$83,MATCH("IN Pallets Movimentados",calculos!$A$55:$A$83,0),MATCH($A$79,calculos!$C$54:$K$54,0))),"")</f>
        <v/>
      </c>
      <c r="E80" s="30"/>
      <c r="F80" s="31">
        <f>IF(F$3="","",IF(COUNTIFS(Base!$A$3:$A$5001,F$3,Base!$B$3:$B$5001,$A$79,Base!$D$3:$D$5001,"&lt;&gt;")=0,"",SUMIFS(Base!$D$3:$D$5001,Base!$A$3:$A$5001,F$3,Base!$B$3:$B$5001,$A$79)))</f>
        <v>43</v>
      </c>
      <c r="G80" s="32">
        <f>IF(G$3="","",IF(COUNTIFS(Base!$A$3:$A$5001,G$3,Base!$B$3:$B$5001,$A$79,Base!$D$3:$D$5001,"&lt;&gt;")=0,"",SUMIFS(Base!$D$3:$D$5001,Base!$A$3:$A$5001,G$3,Base!$B$3:$B$5001,$A$79)))</f>
        <v>62</v>
      </c>
      <c r="H80" s="32">
        <f>IF(H$3="","",IF(COUNTIFS(Base!$A$3:$A$5001,H$3,Base!$B$3:$B$5001,$A$79,Base!$D$3:$D$5001,"&lt;&gt;")=0,"",SUMIFS(Base!$D$3:$D$5001,Base!$A$3:$A$5001,H$3,Base!$B$3:$B$5001,$A$79)))</f>
        <v>125</v>
      </c>
      <c r="I80" s="32">
        <f>IF(I$3="","",IF(COUNTIFS(Base!$A$3:$A$5001,I$3,Base!$B$3:$B$5001,$A$79,Base!$D$3:$D$5001,"&lt;&gt;")=0,"",SUMIFS(Base!$D$3:$D$5001,Base!$A$3:$A$5001,I$3,Base!$B$3:$B$5001,$A$79)))</f>
        <v>130</v>
      </c>
      <c r="J80" s="32">
        <f>IF(J$3="","",IF(COUNTIFS(Base!$A$3:$A$5001,J$3,Base!$B$3:$B$5001,$A$79,Base!$D$3:$D$5001,"&lt;&gt;")=0,"",SUMIFS(Base!$D$3:$D$5001,Base!$A$3:$A$5001,J$3,Base!$B$3:$B$5001,$A$79)))</f>
        <v>117</v>
      </c>
      <c r="K80" s="32" t="str">
        <f>IF(K$3="","",IF(COUNTIFS(Base!$A$3:$A$5001,K$3,Base!$B$3:$B$5001,$A$79,Base!$D$3:$D$5001,"&lt;&gt;")=0,"",SUMIFS(Base!$D$3:$D$5001,Base!$A$3:$A$5001,K$3,Base!$B$3:$B$5001,$A$79)))</f>
        <v/>
      </c>
      <c r="L80" s="32">
        <f>IF(L$3="","",IF(COUNTIFS(Base!$A$3:$A$5001,L$3,Base!$B$3:$B$5001,$A$79,Base!$D$3:$D$5001,"&lt;&gt;")=0,"",SUMIFS(Base!$D$3:$D$5001,Base!$A$3:$A$5001,L$3,Base!$B$3:$B$5001,$A$79)))</f>
        <v>113</v>
      </c>
      <c r="M80" s="32">
        <f>IF(M$3="","",IF(COUNTIFS(Base!$A$3:$A$5001,M$3,Base!$B$3:$B$5001,$A$79,Base!$D$3:$D$5001,"&lt;&gt;")=0,"",SUMIFS(Base!$D$3:$D$5001,Base!$A$3:$A$5001,M$3,Base!$B$3:$B$5001,$A$79)))</f>
        <v>119</v>
      </c>
      <c r="N80" s="32">
        <f>IF(N$3="","",IF(COUNTIFS(Base!$A$3:$A$5001,N$3,Base!$B$3:$B$5001,$A$79,Base!$D$3:$D$5001,"&lt;&gt;")=0,"",SUMIFS(Base!$D$3:$D$5001,Base!$A$3:$A$5001,N$3,Base!$B$3:$B$5001,$A$79)))</f>
        <v>27</v>
      </c>
      <c r="O80" s="32">
        <f>IF(O$3="","",IF(COUNTIFS(Base!$A$3:$A$5001,O$3,Base!$B$3:$B$5001,$A$79,Base!$D$3:$D$5001,"&lt;&gt;")=0,"",SUMIFS(Base!$D$3:$D$5001,Base!$A$3:$A$5001,O$3,Base!$B$3:$B$5001,$A$79)))</f>
        <v>119</v>
      </c>
      <c r="P80" s="32">
        <f>IF(P$3="","",IF(COUNTIFS(Base!$A$3:$A$5001,P$3,Base!$B$3:$B$5001,$A$79,Base!$D$3:$D$5001,"&lt;&gt;")=0,"",SUMIFS(Base!$D$3:$D$5001,Base!$A$3:$A$5001,P$3,Base!$B$3:$B$5001,$A$79)))</f>
        <v>35</v>
      </c>
      <c r="Q80" s="32">
        <f>IF(Q$3="","",IF(COUNTIFS(Base!$A$3:$A$5001,Q$3,Base!$B$3:$B$5001,$A$79,Base!$D$3:$D$5001,"&lt;&gt;")=0,"",SUMIFS(Base!$D$3:$D$5001,Base!$A$3:$A$5001,Q$3,Base!$B$3:$B$5001,$A$79)))</f>
        <v>33</v>
      </c>
      <c r="R80" s="32" t="str">
        <f>IF(R$3="","",IF(COUNTIFS(Base!$A$3:$A$5001,R$3,Base!$B$3:$B$5001,$A$79,Base!$D$3:$D$5001,"&lt;&gt;")=0,"",SUMIFS(Base!$D$3:$D$5001,Base!$A$3:$A$5001,R$3,Base!$B$3:$B$5001,$A$79)))</f>
        <v/>
      </c>
      <c r="S80" s="32">
        <f>IF(S$3="","",IF(COUNTIFS(Base!$A$3:$A$5001,S$3,Base!$B$3:$B$5001,$A$79,Base!$D$3:$D$5001,"&lt;&gt;")=0,"",SUMIFS(Base!$D$3:$D$5001,Base!$A$3:$A$5001,S$3,Base!$B$3:$B$5001,$A$79)))</f>
        <v>104</v>
      </c>
      <c r="T80" s="32">
        <f>IF(T$3="","",IF(COUNTIFS(Base!$A$3:$A$5001,T$3,Base!$B$3:$B$5001,$A$79,Base!$D$3:$D$5001,"&lt;&gt;")=0,"",SUMIFS(Base!$D$3:$D$5001,Base!$A$3:$A$5001,T$3,Base!$B$3:$B$5001,$A$79)))</f>
        <v>158</v>
      </c>
      <c r="U80" s="32">
        <f>IF(U$3="","",IF(COUNTIFS(Base!$A$3:$A$5001,U$3,Base!$B$3:$B$5001,$A$79,Base!$D$3:$D$5001,"&lt;&gt;")=0,"",SUMIFS(Base!$D$3:$D$5001,Base!$A$3:$A$5001,U$3,Base!$B$3:$B$5001,$A$79)))</f>
        <v>35</v>
      </c>
      <c r="V80" s="32">
        <f>IF(V$3="","",IF(COUNTIFS(Base!$A$3:$A$5001,V$3,Base!$B$3:$B$5001,$A$79,Base!$D$3:$D$5001,"&lt;&gt;")=0,"",SUMIFS(Base!$D$3:$D$5001,Base!$A$3:$A$5001,V$3,Base!$B$3:$B$5001,$A$79)))</f>
        <v>120</v>
      </c>
      <c r="W80" s="32">
        <f>IF(W$3="","",IF(COUNTIFS(Base!$A$3:$A$5001,W$3,Base!$B$3:$B$5001,$A$79,Base!$D$3:$D$5001,"&lt;&gt;")=0,"",SUMIFS(Base!$D$3:$D$5001,Base!$A$3:$A$5001,W$3,Base!$B$3:$B$5001,$A$79)))</f>
        <v>64</v>
      </c>
      <c r="X80" s="32">
        <f>IF(X$3="","",IF(COUNTIFS(Base!$A$3:$A$5001,X$3,Base!$B$3:$B$5001,$A$79,Base!$D$3:$D$5001,"&lt;&gt;")=0,"",SUMIFS(Base!$D$3:$D$5001,Base!$A$3:$A$5001,X$3,Base!$B$3:$B$5001,$A$79)))</f>
        <v>47</v>
      </c>
      <c r="Y80" s="32" t="str">
        <f>IF(Y$3="","",IF(COUNTIFS(Base!$A$3:$A$5001,Y$3,Base!$B$3:$B$5001,$A$79,Base!$D$3:$D$5001,"&lt;&gt;")=0,"",SUMIFS(Base!$D$3:$D$5001,Base!$A$3:$A$5001,Y$3,Base!$B$3:$B$5001,$A$79)))</f>
        <v/>
      </c>
      <c r="Z80" s="32">
        <f>IF(Z$3="","",IF(COUNTIFS(Base!$A$3:$A$5001,Z$3,Base!$B$3:$B$5001,$A$79,Base!$D$3:$D$5001,"&lt;&gt;")=0,"",SUMIFS(Base!$D$3:$D$5001,Base!$A$3:$A$5001,Z$3,Base!$B$3:$B$5001,$A$79)))</f>
        <v>74</v>
      </c>
      <c r="AA80" s="32">
        <f>IF(AA$3="","",IF(COUNTIFS(Base!$A$3:$A$5001,AA$3,Base!$B$3:$B$5001,$A$79,Base!$D$3:$D$5001,"&lt;&gt;")=0,"",SUMIFS(Base!$D$3:$D$5001,Base!$A$3:$A$5001,AA$3,Base!$B$3:$B$5001,$A$79)))</f>
        <v>44</v>
      </c>
      <c r="AB80" s="32">
        <f>IF(AB$3="","",IF(COUNTIFS(Base!$A$3:$A$5001,AB$3,Base!$B$3:$B$5001,$A$79,Base!$D$3:$D$5001,"&lt;&gt;")=0,"",SUMIFS(Base!$D$3:$D$5001,Base!$A$3:$A$5001,AB$3,Base!$B$3:$B$5001,$A$79)))</f>
        <v>85</v>
      </c>
      <c r="AC80" s="32">
        <f>IF(AC$3="","",IF(COUNTIFS(Base!$A$3:$A$5001,AC$3,Base!$B$3:$B$5001,$A$79,Base!$D$3:$D$5001,"&lt;&gt;")=0,"",SUMIFS(Base!$D$3:$D$5001,Base!$A$3:$A$5001,AC$3,Base!$B$3:$B$5001,$A$79)))</f>
        <v>30</v>
      </c>
      <c r="AD80" s="32">
        <f>IF(AD$3="","",IF(COUNTIFS(Base!$A$3:$A$5001,AD$3,Base!$B$3:$B$5001,$A$79,Base!$D$3:$D$5001,"&lt;&gt;")=0,"",SUMIFS(Base!$D$3:$D$5001,Base!$A$3:$A$5001,AD$3,Base!$B$3:$B$5001,$A$79)))</f>
        <v>124</v>
      </c>
      <c r="AE80" s="32">
        <f>IF(AE$3="","",IF(COUNTIFS(Base!$A$3:$A$5001,AE$3,Base!$B$3:$B$5001,$A$79,Base!$D$3:$D$5001,"&lt;&gt;")=0,"",SUMIFS(Base!$D$3:$D$5001,Base!$A$3:$A$5001,AE$3,Base!$B$3:$B$5001,$A$79)))</f>
        <v>147</v>
      </c>
      <c r="AF80" s="32" t="str">
        <f>IF(AF$3="","",IF(COUNTIFS(Base!$A$3:$A$5001,AF$3,Base!$B$3:$B$5001,$A$79,Base!$D$3:$D$5001,"&lt;&gt;")=0,"",SUMIFS(Base!$D$3:$D$5001,Base!$A$3:$A$5001,AF$3,Base!$B$3:$B$5001,$A$79)))</f>
        <v/>
      </c>
      <c r="AG80" s="32">
        <f>IF(AG$3="","",IF(COUNTIFS(Base!$A$3:$A$5001,AG$3,Base!$B$3:$B$5001,$A$79,Base!$D$3:$D$5001,"&lt;&gt;")=0,"",SUMIFS(Base!$D$3:$D$5001,Base!$A$3:$A$5001,AG$3,Base!$B$3:$B$5001,$A$79)))</f>
        <v>37</v>
      </c>
      <c r="AH80" s="32">
        <f>IF(AH$3="","",IF(COUNTIFS(Base!$A$3:$A$5001,AH$3,Base!$B$3:$B$5001,$A$79,Base!$D$3:$D$5001,"&lt;&gt;")=0,"",SUMIFS(Base!$D$3:$D$5001,Base!$A$3:$A$5001,AH$3,Base!$B$3:$B$5001,$A$79)))</f>
        <v>121</v>
      </c>
      <c r="AI80" s="32" t="str">
        <f>IF(AI$3="","",IF(COUNTIFS(Base!$A$3:$A$5001,AI$3,Base!$B$3:$B$5001,$A$79,Base!$D$3:$D$5001,"&lt;&gt;")=0,"",SUMIFS(Base!$D$3:$D$5001,Base!$A$3:$A$5001,AI$3,Base!$B$3:$B$5001,$A$79)))</f>
        <v/>
      </c>
      <c r="AJ80" s="33" t="str">
        <f>IF(AJ$3="","",IF(COUNTIFS(Base!$A$3:$A$5001,AJ$3,Base!$B$3:$B$5001,$A$79,Base!$D$3:$D$5001,"&lt;&gt;")=0,"",SUMIFS(Base!$D$3:$D$5001,Base!$A$3:$A$5001,AJ$3,Base!$B$3:$B$5001,$A$79)))</f>
        <v/>
      </c>
      <c r="AK80" s="34">
        <f>IF(COUNT(F80:AJ80)=0,"",SUM(F80:AJ80))</f>
        <v>2113</v>
      </c>
    </row>
    <row r="81" ht="15.75" customHeight="1">
      <c r="A81" s="118"/>
      <c r="B81" s="106"/>
      <c r="C81" s="28" t="inlineStr">
        <is>
          <t xml:space="preserve">Peças Movimentadas</t>
        </is>
      </c>
      <c r="D81" s="29" t="str">
        <f>IFERROR(1/(1/INDEX(calculos!$C$55:$K$83,MATCH("IN Peças Movimentadas",calculos!$A$55:$A$83,0),MATCH($A$79,calculos!$C$54:$K$54,0))),"")</f>
        <v/>
      </c>
      <c r="E81" s="30"/>
      <c r="F81" s="31">
        <f>IF(F$3="","",IF(COUNTIFS(Base!$A$3:$A$5001,F$3,Base!$B$3:$B$5001,$A$79,Base!$J$3:$J$5001,"&lt;&gt;")=0,"",SUMIFS(Base!$J$3:$J$5001,Base!$A$3:$A$5001,F$3,Base!$B$3:$B$5001,$A$79)))</f>
        <v>243</v>
      </c>
      <c r="G81" s="32">
        <f>IF(G$3="","",IF(COUNTIFS(Base!$A$3:$A$5001,G$3,Base!$B$3:$B$5001,$A$79,Base!$J$3:$J$5001,"&lt;&gt;")=0,"",SUMIFS(Base!$J$3:$J$5001,Base!$A$3:$A$5001,G$3,Base!$B$3:$B$5001,$A$79)))</f>
        <v>381</v>
      </c>
      <c r="H81" s="32">
        <f>IF(H$3="","",IF(COUNTIFS(Base!$A$3:$A$5001,H$3,Base!$B$3:$B$5001,$A$79,Base!$J$3:$J$5001,"&lt;&gt;")=0,"",SUMIFS(Base!$J$3:$J$5001,Base!$A$3:$A$5001,H$3,Base!$B$3:$B$5001,$A$79)))</f>
        <v>510</v>
      </c>
      <c r="I81" s="32">
        <f>IF(I$3="","",IF(COUNTIFS(Base!$A$3:$A$5001,I$3,Base!$B$3:$B$5001,$A$79,Base!$J$3:$J$5001,"&lt;&gt;")=0,"",SUMIFS(Base!$J$3:$J$5001,Base!$A$3:$A$5001,I$3,Base!$B$3:$B$5001,$A$79)))</f>
        <v>539</v>
      </c>
      <c r="J81" s="32">
        <f>IF(J$3="","",IF(COUNTIFS(Base!$A$3:$A$5001,J$3,Base!$B$3:$B$5001,$A$79,Base!$J$3:$J$5001,"&lt;&gt;")=0,"",SUMIFS(Base!$J$3:$J$5001,Base!$A$3:$A$5001,J$3,Base!$B$3:$B$5001,$A$79)))</f>
        <v>217</v>
      </c>
      <c r="K81" s="32" t="str">
        <f>IF(K$3="","",IF(COUNTIFS(Base!$A$3:$A$5001,K$3,Base!$B$3:$B$5001,$A$79,Base!$J$3:$J$5001,"&lt;&gt;")=0,"",SUMIFS(Base!$J$3:$J$5001,Base!$A$3:$A$5001,K$3,Base!$B$3:$B$5001,$A$79)))</f>
        <v/>
      </c>
      <c r="L81" s="32">
        <f>IF(L$3="","",IF(COUNTIFS(Base!$A$3:$A$5001,L$3,Base!$B$3:$B$5001,$A$79,Base!$J$3:$J$5001,"&lt;&gt;")=0,"",SUMIFS(Base!$J$3:$J$5001,Base!$A$3:$A$5001,L$3,Base!$B$3:$B$5001,$A$79)))</f>
        <v>126</v>
      </c>
      <c r="M81" s="32">
        <f>IF(M$3="","",IF(COUNTIFS(Base!$A$3:$A$5001,M$3,Base!$B$3:$B$5001,$A$79,Base!$J$3:$J$5001,"&lt;&gt;")=0,"",SUMIFS(Base!$J$3:$J$5001,Base!$A$3:$A$5001,M$3,Base!$B$3:$B$5001,$A$79)))</f>
        <v>259</v>
      </c>
      <c r="N81" s="32">
        <f>IF(N$3="","",IF(COUNTIFS(Base!$A$3:$A$5001,N$3,Base!$B$3:$B$5001,$A$79,Base!$J$3:$J$5001,"&lt;&gt;")=0,"",SUMIFS(Base!$J$3:$J$5001,Base!$A$3:$A$5001,N$3,Base!$B$3:$B$5001,$A$79)))</f>
        <v>385</v>
      </c>
      <c r="O81" s="32">
        <f>IF(O$3="","",IF(COUNTIFS(Base!$A$3:$A$5001,O$3,Base!$B$3:$B$5001,$A$79,Base!$J$3:$J$5001,"&lt;&gt;")=0,"",SUMIFS(Base!$J$3:$J$5001,Base!$A$3:$A$5001,O$3,Base!$B$3:$B$5001,$A$79)))</f>
        <v>418</v>
      </c>
      <c r="P81" s="32">
        <f>IF(P$3="","",IF(COUNTIFS(Base!$A$3:$A$5001,P$3,Base!$B$3:$B$5001,$A$79,Base!$J$3:$J$5001,"&lt;&gt;")=0,"",SUMIFS(Base!$J$3:$J$5001,Base!$A$3:$A$5001,P$3,Base!$B$3:$B$5001,$A$79)))</f>
        <v>304</v>
      </c>
      <c r="Q81" s="32">
        <f>IF(Q$3="","",IF(COUNTIFS(Base!$A$3:$A$5001,Q$3,Base!$B$3:$B$5001,$A$79,Base!$J$3:$J$5001,"&lt;&gt;")=0,"",SUMIFS(Base!$J$3:$J$5001,Base!$A$3:$A$5001,Q$3,Base!$B$3:$B$5001,$A$79)))</f>
        <v>530</v>
      </c>
      <c r="R81" s="32" t="str">
        <f>IF(R$3="","",IF(COUNTIFS(Base!$A$3:$A$5001,R$3,Base!$B$3:$B$5001,$A$79,Base!$J$3:$J$5001,"&lt;&gt;")=0,"",SUMIFS(Base!$J$3:$J$5001,Base!$A$3:$A$5001,R$3,Base!$B$3:$B$5001,$A$79)))</f>
        <v/>
      </c>
      <c r="S81" s="32">
        <f>IF(S$3="","",IF(COUNTIFS(Base!$A$3:$A$5001,S$3,Base!$B$3:$B$5001,$A$79,Base!$J$3:$J$5001,"&lt;&gt;")=0,"",SUMIFS(Base!$J$3:$J$5001,Base!$A$3:$A$5001,S$3,Base!$B$3:$B$5001,$A$79)))</f>
        <v>525</v>
      </c>
      <c r="T81" s="32">
        <f>IF(T$3="","",IF(COUNTIFS(Base!$A$3:$A$5001,T$3,Base!$B$3:$B$5001,$A$79,Base!$J$3:$J$5001,"&lt;&gt;")=0,"",SUMIFS(Base!$J$3:$J$5001,Base!$A$3:$A$5001,T$3,Base!$B$3:$B$5001,$A$79)))</f>
        <v>64</v>
      </c>
      <c r="U81" s="32">
        <f>IF(U$3="","",IF(COUNTIFS(Base!$A$3:$A$5001,U$3,Base!$B$3:$B$5001,$A$79,Base!$J$3:$J$5001,"&lt;&gt;")=0,"",SUMIFS(Base!$J$3:$J$5001,Base!$A$3:$A$5001,U$3,Base!$B$3:$B$5001,$A$79)))</f>
        <v>227</v>
      </c>
      <c r="V81" s="32">
        <f>IF(V$3="","",IF(COUNTIFS(Base!$A$3:$A$5001,V$3,Base!$B$3:$B$5001,$A$79,Base!$J$3:$J$5001,"&lt;&gt;")=0,"",SUMIFS(Base!$J$3:$J$5001,Base!$A$3:$A$5001,V$3,Base!$B$3:$B$5001,$A$79)))</f>
        <v>163</v>
      </c>
      <c r="W81" s="32">
        <f>IF(W$3="","",IF(COUNTIFS(Base!$A$3:$A$5001,W$3,Base!$B$3:$B$5001,$A$79,Base!$J$3:$J$5001,"&lt;&gt;")=0,"",SUMIFS(Base!$J$3:$J$5001,Base!$A$3:$A$5001,W$3,Base!$B$3:$B$5001,$A$79)))</f>
        <v>119</v>
      </c>
      <c r="X81" s="32">
        <f>IF(X$3="","",IF(COUNTIFS(Base!$A$3:$A$5001,X$3,Base!$B$3:$B$5001,$A$79,Base!$J$3:$J$5001,"&lt;&gt;")=0,"",SUMIFS(Base!$J$3:$J$5001,Base!$A$3:$A$5001,X$3,Base!$B$3:$B$5001,$A$79)))</f>
        <v>405</v>
      </c>
      <c r="Y81" s="32" t="str">
        <f>IF(Y$3="","",IF(COUNTIFS(Base!$A$3:$A$5001,Y$3,Base!$B$3:$B$5001,$A$79,Base!$J$3:$J$5001,"&lt;&gt;")=0,"",SUMIFS(Base!$J$3:$J$5001,Base!$A$3:$A$5001,Y$3,Base!$B$3:$B$5001,$A$79)))</f>
        <v/>
      </c>
      <c r="Z81" s="32">
        <f>IF(Z$3="","",IF(COUNTIFS(Base!$A$3:$A$5001,Z$3,Base!$B$3:$B$5001,$A$79,Base!$J$3:$J$5001,"&lt;&gt;")=0,"",SUMIFS(Base!$J$3:$J$5001,Base!$A$3:$A$5001,Z$3,Base!$B$3:$B$5001,$A$79)))</f>
        <v>385</v>
      </c>
      <c r="AA81" s="32">
        <f>IF(AA$3="","",IF(COUNTIFS(Base!$A$3:$A$5001,AA$3,Base!$B$3:$B$5001,$A$79,Base!$J$3:$J$5001,"&lt;&gt;")=0,"",SUMIFS(Base!$J$3:$J$5001,Base!$A$3:$A$5001,AA$3,Base!$B$3:$B$5001,$A$79)))</f>
        <v>98</v>
      </c>
      <c r="AB81" s="32">
        <f>IF(AB$3="","",IF(COUNTIFS(Base!$A$3:$A$5001,AB$3,Base!$B$3:$B$5001,$A$79,Base!$J$3:$J$5001,"&lt;&gt;")=0,"",SUMIFS(Base!$J$3:$J$5001,Base!$A$3:$A$5001,AB$3,Base!$B$3:$B$5001,$A$79)))</f>
        <v>471</v>
      </c>
      <c r="AC81" s="32">
        <f>IF(AC$3="","",IF(COUNTIFS(Base!$A$3:$A$5001,AC$3,Base!$B$3:$B$5001,$A$79,Base!$J$3:$J$5001,"&lt;&gt;")=0,"",SUMIFS(Base!$J$3:$J$5001,Base!$A$3:$A$5001,AC$3,Base!$B$3:$B$5001,$A$79)))</f>
        <v>464</v>
      </c>
      <c r="AD81" s="32">
        <f>IF(AD$3="","",IF(COUNTIFS(Base!$A$3:$A$5001,AD$3,Base!$B$3:$B$5001,$A$79,Base!$J$3:$J$5001,"&lt;&gt;")=0,"",SUMIFS(Base!$J$3:$J$5001,Base!$A$3:$A$5001,AD$3,Base!$B$3:$B$5001,$A$79)))</f>
        <v>248</v>
      </c>
      <c r="AE81" s="32">
        <f>IF(AE$3="","",IF(COUNTIFS(Base!$A$3:$A$5001,AE$3,Base!$B$3:$B$5001,$A$79,Base!$J$3:$J$5001,"&lt;&gt;")=0,"",SUMIFS(Base!$J$3:$J$5001,Base!$A$3:$A$5001,AE$3,Base!$B$3:$B$5001,$A$79)))</f>
        <v>184</v>
      </c>
      <c r="AF81" s="32" t="str">
        <f>IF(AF$3="","",IF(COUNTIFS(Base!$A$3:$A$5001,AF$3,Base!$B$3:$B$5001,$A$79,Base!$J$3:$J$5001,"&lt;&gt;")=0,"",SUMIFS(Base!$J$3:$J$5001,Base!$A$3:$A$5001,AF$3,Base!$B$3:$B$5001,$A$79)))</f>
        <v/>
      </c>
      <c r="AG81" s="32">
        <f>IF(AG$3="","",IF(COUNTIFS(Base!$A$3:$A$5001,AG$3,Base!$B$3:$B$5001,$A$79,Base!$J$3:$J$5001,"&lt;&gt;")=0,"",SUMIFS(Base!$J$3:$J$5001,Base!$A$3:$A$5001,AG$3,Base!$B$3:$B$5001,$A$79)))</f>
        <v>279</v>
      </c>
      <c r="AH81" s="32">
        <f>IF(AH$3="","",IF(COUNTIFS(Base!$A$3:$A$5001,AH$3,Base!$B$3:$B$5001,$A$79,Base!$J$3:$J$5001,"&lt;&gt;")=0,"",SUMIFS(Base!$J$3:$J$5001,Base!$A$3:$A$5001,AH$3,Base!$B$3:$B$5001,$A$79)))</f>
        <v>145</v>
      </c>
      <c r="AI81" s="32" t="str">
        <f>IF(AI$3="","",IF(COUNTIFS(Base!$A$3:$A$5001,AI$3,Base!$B$3:$B$5001,$A$79,Base!$J$3:$J$5001,"&lt;&gt;")=0,"",SUMIFS(Base!$J$3:$J$5001,Base!$A$3:$A$5001,AI$3,Base!$B$3:$B$5001,$A$79)))</f>
        <v/>
      </c>
      <c r="AJ81" s="33" t="str">
        <f>IF(AJ$3="","",IF(COUNTIFS(Base!$A$3:$A$5001,AJ$3,Base!$B$3:$B$5001,$A$79,Base!$J$3:$J$5001,"&lt;&gt;")=0,"",SUMIFS(Base!$J$3:$J$5001,Base!$A$3:$A$5001,AJ$3,Base!$B$3:$B$5001,$A$79)))</f>
        <v/>
      </c>
      <c r="AK81" s="34">
        <f>IF(COUNT(F81:AJ81)=0,"",SUM(F81:AJ81))</f>
        <v>7689</v>
      </c>
    </row>
    <row r="82" ht="15.75" customHeight="1">
      <c r="A82" s="118"/>
      <c r="B82" s="107"/>
      <c r="C82" s="35" t="inlineStr">
        <is>
          <t xml:space="preserve">Linhas NF</t>
        </is>
      </c>
      <c r="D82" s="469" t="str">
        <f>IFERROR(1/(1/INDEX(calculos!$C$55:$K$83,MATCH("IN Linhas NF",calculos!$A$55:$A$83,0),MATCH($A$79,calculos!$C$54:$K$54,0))),"")</f>
        <v/>
      </c>
      <c r="E82" s="37"/>
      <c r="F82" s="470">
        <f>IF(F$3="","",IF(COUNTIFS(Base!$A$3:$A$5001,F$3,Base!$B$3:$B$5001,$A$79,Base!$K$3:$K$5001,"&lt;&gt;")=0,"",SUMIFS(Base!$K$3:$K$5001,Base!$A$3:$A$5001,F$3,Base!$B$3:$B$5001,$A$79)))</f>
        <v>99</v>
      </c>
      <c r="G82" s="471">
        <f>IF(G$3="","",IF(COUNTIFS(Base!$A$3:$A$5001,G$3,Base!$B$3:$B$5001,$A$79,Base!$K$3:$K$5001,"&lt;&gt;")=0,"",SUMIFS(Base!$K$3:$K$5001,Base!$A$3:$A$5001,G$3,Base!$B$3:$B$5001,$A$79)))</f>
        <v>49</v>
      </c>
      <c r="H82" s="471">
        <f>IF(H$3="","",IF(COUNTIFS(Base!$A$3:$A$5001,H$3,Base!$B$3:$B$5001,$A$79,Base!$K$3:$K$5001,"&lt;&gt;")=0,"",SUMIFS(Base!$K$3:$K$5001,Base!$A$3:$A$5001,H$3,Base!$B$3:$B$5001,$A$79)))</f>
        <v>42</v>
      </c>
      <c r="I82" s="471">
        <f>IF(I$3="","",IF(COUNTIFS(Base!$A$3:$A$5001,I$3,Base!$B$3:$B$5001,$A$79,Base!$K$3:$K$5001,"&lt;&gt;")=0,"",SUMIFS(Base!$K$3:$K$5001,Base!$A$3:$A$5001,I$3,Base!$B$3:$B$5001,$A$79)))</f>
        <v>110</v>
      </c>
      <c r="J82" s="471">
        <f>IF(J$3="","",IF(COUNTIFS(Base!$A$3:$A$5001,J$3,Base!$B$3:$B$5001,$A$79,Base!$K$3:$K$5001,"&lt;&gt;")=0,"",SUMIFS(Base!$K$3:$K$5001,Base!$A$3:$A$5001,J$3,Base!$B$3:$B$5001,$A$79)))</f>
        <v>17</v>
      </c>
      <c r="K82" s="471" t="str">
        <f>IF(K$3="","",IF(COUNTIFS(Base!$A$3:$A$5001,K$3,Base!$B$3:$B$5001,$A$79,Base!$K$3:$K$5001,"&lt;&gt;")=0,"",SUMIFS(Base!$K$3:$K$5001,Base!$A$3:$A$5001,K$3,Base!$B$3:$B$5001,$A$79)))</f>
        <v/>
      </c>
      <c r="L82" s="471">
        <f>IF(L$3="","",IF(COUNTIFS(Base!$A$3:$A$5001,L$3,Base!$B$3:$B$5001,$A$79,Base!$K$3:$K$5001,"&lt;&gt;")=0,"",SUMIFS(Base!$K$3:$K$5001,Base!$A$3:$A$5001,L$3,Base!$B$3:$B$5001,$A$79)))</f>
        <v>50</v>
      </c>
      <c r="M82" s="471">
        <f>IF(M$3="","",IF(COUNTIFS(Base!$A$3:$A$5001,M$3,Base!$B$3:$B$5001,$A$79,Base!$K$3:$K$5001,"&lt;&gt;")=0,"",SUMIFS(Base!$K$3:$K$5001,Base!$A$3:$A$5001,M$3,Base!$B$3:$B$5001,$A$79)))</f>
        <v>64</v>
      </c>
      <c r="N82" s="471">
        <f>IF(N$3="","",IF(COUNTIFS(Base!$A$3:$A$5001,N$3,Base!$B$3:$B$5001,$A$79,Base!$K$3:$K$5001,"&lt;&gt;")=0,"",SUMIFS(Base!$K$3:$K$5001,Base!$A$3:$A$5001,N$3,Base!$B$3:$B$5001,$A$79)))</f>
        <v>19</v>
      </c>
      <c r="O82" s="471">
        <f>IF(O$3="","",IF(COUNTIFS(Base!$A$3:$A$5001,O$3,Base!$B$3:$B$5001,$A$79,Base!$K$3:$K$5001,"&lt;&gt;")=0,"",SUMIFS(Base!$K$3:$K$5001,Base!$A$3:$A$5001,O$3,Base!$B$3:$B$5001,$A$79)))</f>
        <v>16</v>
      </c>
      <c r="P82" s="471">
        <f>IF(P$3="","",IF(COUNTIFS(Base!$A$3:$A$5001,P$3,Base!$B$3:$B$5001,$A$79,Base!$K$3:$K$5001,"&lt;&gt;")=0,"",SUMIFS(Base!$K$3:$K$5001,Base!$A$3:$A$5001,P$3,Base!$B$3:$B$5001,$A$79)))</f>
        <v>75</v>
      </c>
      <c r="Q82" s="471">
        <f>IF(Q$3="","",IF(COUNTIFS(Base!$A$3:$A$5001,Q$3,Base!$B$3:$B$5001,$A$79,Base!$K$3:$K$5001,"&lt;&gt;")=0,"",SUMIFS(Base!$K$3:$K$5001,Base!$A$3:$A$5001,Q$3,Base!$B$3:$B$5001,$A$79)))</f>
        <v>92</v>
      </c>
      <c r="R82" s="471" t="str">
        <f>IF(R$3="","",IF(COUNTIFS(Base!$A$3:$A$5001,R$3,Base!$B$3:$B$5001,$A$79,Base!$K$3:$K$5001,"&lt;&gt;")=0,"",SUMIFS(Base!$K$3:$K$5001,Base!$A$3:$A$5001,R$3,Base!$B$3:$B$5001,$A$79)))</f>
        <v/>
      </c>
      <c r="S82" s="471">
        <f>IF(S$3="","",IF(COUNTIFS(Base!$A$3:$A$5001,S$3,Base!$B$3:$B$5001,$A$79,Base!$K$3:$K$5001,"&lt;&gt;")=0,"",SUMIFS(Base!$K$3:$K$5001,Base!$A$3:$A$5001,S$3,Base!$B$3:$B$5001,$A$79)))</f>
        <v>91</v>
      </c>
      <c r="T82" s="471">
        <f>IF(T$3="","",IF(COUNTIFS(Base!$A$3:$A$5001,T$3,Base!$B$3:$B$5001,$A$79,Base!$K$3:$K$5001,"&lt;&gt;")=0,"",SUMIFS(Base!$K$3:$K$5001,Base!$A$3:$A$5001,T$3,Base!$B$3:$B$5001,$A$79)))</f>
        <v>75</v>
      </c>
      <c r="U82" s="471">
        <f>IF(U$3="","",IF(COUNTIFS(Base!$A$3:$A$5001,U$3,Base!$B$3:$B$5001,$A$79,Base!$K$3:$K$5001,"&lt;&gt;")=0,"",SUMIFS(Base!$K$3:$K$5001,Base!$A$3:$A$5001,U$3,Base!$B$3:$B$5001,$A$79)))</f>
        <v>15</v>
      </c>
      <c r="V82" s="471">
        <f>IF(V$3="","",IF(COUNTIFS(Base!$A$3:$A$5001,V$3,Base!$B$3:$B$5001,$A$79,Base!$K$3:$K$5001,"&lt;&gt;")=0,"",SUMIFS(Base!$K$3:$K$5001,Base!$A$3:$A$5001,V$3,Base!$B$3:$B$5001,$A$79)))</f>
        <v>73</v>
      </c>
      <c r="W82" s="471">
        <f>IF(W$3="","",IF(COUNTIFS(Base!$A$3:$A$5001,W$3,Base!$B$3:$B$5001,$A$79,Base!$K$3:$K$5001,"&lt;&gt;")=0,"",SUMIFS(Base!$K$3:$K$5001,Base!$A$3:$A$5001,W$3,Base!$B$3:$B$5001,$A$79)))</f>
        <v>103</v>
      </c>
      <c r="X82" s="471">
        <f>IF(X$3="","",IF(COUNTIFS(Base!$A$3:$A$5001,X$3,Base!$B$3:$B$5001,$A$79,Base!$K$3:$K$5001,"&lt;&gt;")=0,"",SUMIFS(Base!$K$3:$K$5001,Base!$A$3:$A$5001,X$3,Base!$B$3:$B$5001,$A$79)))</f>
        <v>63</v>
      </c>
      <c r="Y82" s="471" t="str">
        <f>IF(Y$3="","",IF(COUNTIFS(Base!$A$3:$A$5001,Y$3,Base!$B$3:$B$5001,$A$79,Base!$K$3:$K$5001,"&lt;&gt;")=0,"",SUMIFS(Base!$K$3:$K$5001,Base!$A$3:$A$5001,Y$3,Base!$B$3:$B$5001,$A$79)))</f>
        <v/>
      </c>
      <c r="Z82" s="471">
        <f>IF(Z$3="","",IF(COUNTIFS(Base!$A$3:$A$5001,Z$3,Base!$B$3:$B$5001,$A$79,Base!$K$3:$K$5001,"&lt;&gt;")=0,"",SUMIFS(Base!$K$3:$K$5001,Base!$A$3:$A$5001,Z$3,Base!$B$3:$B$5001,$A$79)))</f>
        <v>49</v>
      </c>
      <c r="AA82" s="471">
        <f>IF(AA$3="","",IF(COUNTIFS(Base!$A$3:$A$5001,AA$3,Base!$B$3:$B$5001,$A$79,Base!$K$3:$K$5001,"&lt;&gt;")=0,"",SUMIFS(Base!$K$3:$K$5001,Base!$A$3:$A$5001,AA$3,Base!$B$3:$B$5001,$A$79)))</f>
        <v>108</v>
      </c>
      <c r="AB82" s="471">
        <f>IF(AB$3="","",IF(COUNTIFS(Base!$A$3:$A$5001,AB$3,Base!$B$3:$B$5001,$A$79,Base!$K$3:$K$5001,"&lt;&gt;")=0,"",SUMIFS(Base!$K$3:$K$5001,Base!$A$3:$A$5001,AB$3,Base!$B$3:$B$5001,$A$79)))</f>
        <v>103</v>
      </c>
      <c r="AC82" s="471">
        <f>IF(AC$3="","",IF(COUNTIFS(Base!$A$3:$A$5001,AC$3,Base!$B$3:$B$5001,$A$79,Base!$K$3:$K$5001,"&lt;&gt;")=0,"",SUMIFS(Base!$K$3:$K$5001,Base!$A$3:$A$5001,AC$3,Base!$B$3:$B$5001,$A$79)))</f>
        <v>20</v>
      </c>
      <c r="AD82" s="471">
        <f>IF(AD$3="","",IF(COUNTIFS(Base!$A$3:$A$5001,AD$3,Base!$B$3:$B$5001,$A$79,Base!$K$3:$K$5001,"&lt;&gt;")=0,"",SUMIFS(Base!$K$3:$K$5001,Base!$A$3:$A$5001,AD$3,Base!$B$3:$B$5001,$A$79)))</f>
        <v>25</v>
      </c>
      <c r="AE82" s="471">
        <f>IF(AE$3="","",IF(COUNTIFS(Base!$A$3:$A$5001,AE$3,Base!$B$3:$B$5001,$A$79,Base!$K$3:$K$5001,"&lt;&gt;")=0,"",SUMIFS(Base!$K$3:$K$5001,Base!$A$3:$A$5001,AE$3,Base!$B$3:$B$5001,$A$79)))</f>
        <v>38</v>
      </c>
      <c r="AF82" s="471" t="str">
        <f>IF(AF$3="","",IF(COUNTIFS(Base!$A$3:$A$5001,AF$3,Base!$B$3:$B$5001,$A$79,Base!$K$3:$K$5001,"&lt;&gt;")=0,"",SUMIFS(Base!$K$3:$K$5001,Base!$A$3:$A$5001,AF$3,Base!$B$3:$B$5001,$A$79)))</f>
        <v/>
      </c>
      <c r="AG82" s="471">
        <f>IF(AG$3="","",IF(COUNTIFS(Base!$A$3:$A$5001,AG$3,Base!$B$3:$B$5001,$A$79,Base!$K$3:$K$5001,"&lt;&gt;")=0,"",SUMIFS(Base!$K$3:$K$5001,Base!$A$3:$A$5001,AG$3,Base!$B$3:$B$5001,$A$79)))</f>
        <v>13</v>
      </c>
      <c r="AH82" s="471">
        <f>IF(AH$3="","",IF(COUNTIFS(Base!$A$3:$A$5001,AH$3,Base!$B$3:$B$5001,$A$79,Base!$K$3:$K$5001,"&lt;&gt;")=0,"",SUMIFS(Base!$K$3:$K$5001,Base!$A$3:$A$5001,AH$3,Base!$B$3:$B$5001,$A$79)))</f>
        <v>100</v>
      </c>
      <c r="AI82" s="471" t="str">
        <f>IF(AI$3="","",IF(COUNTIFS(Base!$A$3:$A$5001,AI$3,Base!$B$3:$B$5001,$A$79,Base!$K$3:$K$5001,"&lt;&gt;")=0,"",SUMIFS(Base!$K$3:$K$5001,Base!$A$3:$A$5001,AI$3,Base!$B$3:$B$5001,$A$79)))</f>
        <v/>
      </c>
      <c r="AJ82" s="472" t="str">
        <f>IF(AJ$3="","",IF(COUNTIFS(Base!$A$3:$A$5001,AJ$3,Base!$B$3:$B$5001,$A$79,Base!$K$3:$K$5001,"&lt;&gt;")=0,"",SUMIFS(Base!$K$3:$K$5001,Base!$A$3:$A$5001,AJ$3,Base!$B$3:$B$5001,$A$79)))</f>
        <v/>
      </c>
      <c r="AK82" s="469">
        <f>IF(COUNT(F82:AJ82)=0,"",SUM(F82:AJ82))</f>
        <v>1509</v>
      </c>
    </row>
    <row r="83" ht="15.75" customHeight="1">
      <c r="A83" s="118"/>
      <c r="B83" s="108" t="inlineStr">
        <is>
          <t xml:space="preserve">OUT</t>
        </is>
      </c>
      <c r="C83" s="41" t="inlineStr">
        <is>
          <t xml:space="preserve">Veículos Expedidos</t>
        </is>
      </c>
      <c r="D83" s="42" t="str">
        <f>IFERROR(1/(1/INDEX(calculos!$C$55:$K$83,MATCH("OUT Veículos Expedidos",calculos!$A$55:$A$83,0),MATCH($A$79,calculos!$C$54:$K$54,0))),"")</f>
        <v/>
      </c>
      <c r="E83" s="43"/>
      <c r="F83" s="44">
        <f>IF(F$3="","",IF(COUNTIFS(Base!$A$3:$A$5001,F$3,Base!$B$3:$B$5001,$A$79,Base!$L$3:$L$5001,"&lt;&gt;")=0,"",SUMIFS(Base!$L$3:$L$5001,Base!$A$3:$A$5001,F$3,Base!$B$3:$B$5001,$A$79)))</f>
        <v>10</v>
      </c>
      <c r="G83" s="45">
        <f>IF(G$3="","",IF(COUNTIFS(Base!$A$3:$A$5001,G$3,Base!$B$3:$B$5001,$A$79,Base!$L$3:$L$5001,"&lt;&gt;")=0,"",SUMIFS(Base!$L$3:$L$5001,Base!$A$3:$A$5001,G$3,Base!$B$3:$B$5001,$A$79)))</f>
        <v>11</v>
      </c>
      <c r="H83" s="45">
        <f>IF(H$3="","",IF(COUNTIFS(Base!$A$3:$A$5001,H$3,Base!$B$3:$B$5001,$A$79,Base!$L$3:$L$5001,"&lt;&gt;")=0,"",SUMIFS(Base!$L$3:$L$5001,Base!$A$3:$A$5001,H$3,Base!$B$3:$B$5001,$A$79)))</f>
        <v>9</v>
      </c>
      <c r="I83" s="45">
        <f>IF(I$3="","",IF(COUNTIFS(Base!$A$3:$A$5001,I$3,Base!$B$3:$B$5001,$A$79,Base!$L$3:$L$5001,"&lt;&gt;")=0,"",SUMIFS(Base!$L$3:$L$5001,Base!$A$3:$A$5001,I$3,Base!$B$3:$B$5001,$A$79)))</f>
        <v>2</v>
      </c>
      <c r="J83" s="45">
        <f>IF(J$3="","",IF(COUNTIFS(Base!$A$3:$A$5001,J$3,Base!$B$3:$B$5001,$A$79,Base!$L$3:$L$5001,"&lt;&gt;")=0,"",SUMIFS(Base!$L$3:$L$5001,Base!$A$3:$A$5001,J$3,Base!$B$3:$B$5001,$A$79)))</f>
        <v>2</v>
      </c>
      <c r="K83" s="45" t="str">
        <f>IF(K$3="","",IF(COUNTIFS(Base!$A$3:$A$5001,K$3,Base!$B$3:$B$5001,$A$79,Base!$L$3:$L$5001,"&lt;&gt;")=0,"",SUMIFS(Base!$L$3:$L$5001,Base!$A$3:$A$5001,K$3,Base!$B$3:$B$5001,$A$79)))</f>
        <v/>
      </c>
      <c r="L83" s="45">
        <f>IF(L$3="","",IF(COUNTIFS(Base!$A$3:$A$5001,L$3,Base!$B$3:$B$5001,$A$79,Base!$L$3:$L$5001,"&lt;&gt;")=0,"",SUMIFS(Base!$L$3:$L$5001,Base!$A$3:$A$5001,L$3,Base!$B$3:$B$5001,$A$79)))</f>
        <v>5</v>
      </c>
      <c r="M83" s="45">
        <f>IF(M$3="","",IF(COUNTIFS(Base!$A$3:$A$5001,M$3,Base!$B$3:$B$5001,$A$79,Base!$L$3:$L$5001,"&lt;&gt;")=0,"",SUMIFS(Base!$L$3:$L$5001,Base!$A$3:$A$5001,M$3,Base!$B$3:$B$5001,$A$79)))</f>
        <v>5</v>
      </c>
      <c r="N83" s="45">
        <f>IF(N$3="","",IF(COUNTIFS(Base!$A$3:$A$5001,N$3,Base!$B$3:$B$5001,$A$79,Base!$L$3:$L$5001,"&lt;&gt;")=0,"",SUMIFS(Base!$L$3:$L$5001,Base!$A$3:$A$5001,N$3,Base!$B$3:$B$5001,$A$79)))</f>
        <v>2</v>
      </c>
      <c r="O83" s="45">
        <f>IF(O$3="","",IF(COUNTIFS(Base!$A$3:$A$5001,O$3,Base!$B$3:$B$5001,$A$79,Base!$L$3:$L$5001,"&lt;&gt;")=0,"",SUMIFS(Base!$L$3:$L$5001,Base!$A$3:$A$5001,O$3,Base!$B$3:$B$5001,$A$79)))</f>
        <v>10</v>
      </c>
      <c r="P83" s="45">
        <f>IF(P$3="","",IF(COUNTIFS(Base!$A$3:$A$5001,P$3,Base!$B$3:$B$5001,$A$79,Base!$L$3:$L$5001,"&lt;&gt;")=0,"",SUMIFS(Base!$L$3:$L$5001,Base!$A$3:$A$5001,P$3,Base!$B$3:$B$5001,$A$79)))</f>
        <v>4</v>
      </c>
      <c r="Q83" s="45">
        <f>IF(Q$3="","",IF(COUNTIFS(Base!$A$3:$A$5001,Q$3,Base!$B$3:$B$5001,$A$79,Base!$L$3:$L$5001,"&lt;&gt;")=0,"",SUMIFS(Base!$L$3:$L$5001,Base!$A$3:$A$5001,Q$3,Base!$B$3:$B$5001,$A$79)))</f>
        <v>7</v>
      </c>
      <c r="R83" s="45" t="str">
        <f>IF(R$3="","",IF(COUNTIFS(Base!$A$3:$A$5001,R$3,Base!$B$3:$B$5001,$A$79,Base!$L$3:$L$5001,"&lt;&gt;")=0,"",SUMIFS(Base!$L$3:$L$5001,Base!$A$3:$A$5001,R$3,Base!$B$3:$B$5001,$A$79)))</f>
        <v/>
      </c>
      <c r="S83" s="45">
        <f>IF(S$3="","",IF(COUNTIFS(Base!$A$3:$A$5001,S$3,Base!$B$3:$B$5001,$A$79,Base!$L$3:$L$5001,"&lt;&gt;")=0,"",SUMIFS(Base!$L$3:$L$5001,Base!$A$3:$A$5001,S$3,Base!$B$3:$B$5001,$A$79)))</f>
        <v>11</v>
      </c>
      <c r="T83" s="45">
        <f>IF(T$3="","",IF(COUNTIFS(Base!$A$3:$A$5001,T$3,Base!$B$3:$B$5001,$A$79,Base!$L$3:$L$5001,"&lt;&gt;")=0,"",SUMIFS(Base!$L$3:$L$5001,Base!$A$3:$A$5001,T$3,Base!$B$3:$B$5001,$A$79)))</f>
        <v>8</v>
      </c>
      <c r="U83" s="45">
        <f>IF(U$3="","",IF(COUNTIFS(Base!$A$3:$A$5001,U$3,Base!$B$3:$B$5001,$A$79,Base!$L$3:$L$5001,"&lt;&gt;")=0,"",SUMIFS(Base!$L$3:$L$5001,Base!$A$3:$A$5001,U$3,Base!$B$3:$B$5001,$A$79)))</f>
        <v>7</v>
      </c>
      <c r="V83" s="45">
        <f>IF(V$3="","",IF(COUNTIFS(Base!$A$3:$A$5001,V$3,Base!$B$3:$B$5001,$A$79,Base!$L$3:$L$5001,"&lt;&gt;")=0,"",SUMIFS(Base!$L$3:$L$5001,Base!$A$3:$A$5001,V$3,Base!$B$3:$B$5001,$A$79)))</f>
        <v>7</v>
      </c>
      <c r="W83" s="45">
        <f>IF(W$3="","",IF(COUNTIFS(Base!$A$3:$A$5001,W$3,Base!$B$3:$B$5001,$A$79,Base!$L$3:$L$5001,"&lt;&gt;")=0,"",SUMIFS(Base!$L$3:$L$5001,Base!$A$3:$A$5001,W$3,Base!$B$3:$B$5001,$A$79)))</f>
        <v>6</v>
      </c>
      <c r="X83" s="45">
        <f>IF(X$3="","",IF(COUNTIFS(Base!$A$3:$A$5001,X$3,Base!$B$3:$B$5001,$A$79,Base!$L$3:$L$5001,"&lt;&gt;")=0,"",SUMIFS(Base!$L$3:$L$5001,Base!$A$3:$A$5001,X$3,Base!$B$3:$B$5001,$A$79)))</f>
        <v>2</v>
      </c>
      <c r="Y83" s="45" t="str">
        <f>IF(Y$3="","",IF(COUNTIFS(Base!$A$3:$A$5001,Y$3,Base!$B$3:$B$5001,$A$79,Base!$L$3:$L$5001,"&lt;&gt;")=0,"",SUMIFS(Base!$L$3:$L$5001,Base!$A$3:$A$5001,Y$3,Base!$B$3:$B$5001,$A$79)))</f>
        <v/>
      </c>
      <c r="Z83" s="45">
        <f>IF(Z$3="","",IF(COUNTIFS(Base!$A$3:$A$5001,Z$3,Base!$B$3:$B$5001,$A$79,Base!$L$3:$L$5001,"&lt;&gt;")=0,"",SUMIFS(Base!$L$3:$L$5001,Base!$A$3:$A$5001,Z$3,Base!$B$3:$B$5001,$A$79)))</f>
        <v>8</v>
      </c>
      <c r="AA83" s="45">
        <f>IF(AA$3="","",IF(COUNTIFS(Base!$A$3:$A$5001,AA$3,Base!$B$3:$B$5001,$A$79,Base!$L$3:$L$5001,"&lt;&gt;")=0,"",SUMIFS(Base!$L$3:$L$5001,Base!$A$3:$A$5001,AA$3,Base!$B$3:$B$5001,$A$79)))</f>
        <v>7</v>
      </c>
      <c r="AB83" s="45">
        <f>IF(AB$3="","",IF(COUNTIFS(Base!$A$3:$A$5001,AB$3,Base!$B$3:$B$5001,$A$79,Base!$L$3:$L$5001,"&lt;&gt;")=0,"",SUMIFS(Base!$L$3:$L$5001,Base!$A$3:$A$5001,AB$3,Base!$B$3:$B$5001,$A$79)))</f>
        <v>5</v>
      </c>
      <c r="AC83" s="45">
        <f>IF(AC$3="","",IF(COUNTIFS(Base!$A$3:$A$5001,AC$3,Base!$B$3:$B$5001,$A$79,Base!$L$3:$L$5001,"&lt;&gt;")=0,"",SUMIFS(Base!$L$3:$L$5001,Base!$A$3:$A$5001,AC$3,Base!$B$3:$B$5001,$A$79)))</f>
        <v>8</v>
      </c>
      <c r="AD83" s="45">
        <f>IF(AD$3="","",IF(COUNTIFS(Base!$A$3:$A$5001,AD$3,Base!$B$3:$B$5001,$A$79,Base!$L$3:$L$5001,"&lt;&gt;")=0,"",SUMIFS(Base!$L$3:$L$5001,Base!$A$3:$A$5001,AD$3,Base!$B$3:$B$5001,$A$79)))</f>
        <v>5</v>
      </c>
      <c r="AE83" s="45">
        <f>IF(AE$3="","",IF(COUNTIFS(Base!$A$3:$A$5001,AE$3,Base!$B$3:$B$5001,$A$79,Base!$L$3:$L$5001,"&lt;&gt;")=0,"",SUMIFS(Base!$L$3:$L$5001,Base!$A$3:$A$5001,AE$3,Base!$B$3:$B$5001,$A$79)))</f>
        <v>8</v>
      </c>
      <c r="AF83" s="45" t="str">
        <f>IF(AF$3="","",IF(COUNTIFS(Base!$A$3:$A$5001,AF$3,Base!$B$3:$B$5001,$A$79,Base!$L$3:$L$5001,"&lt;&gt;")=0,"",SUMIFS(Base!$L$3:$L$5001,Base!$A$3:$A$5001,AF$3,Base!$B$3:$B$5001,$A$79)))</f>
        <v/>
      </c>
      <c r="AG83" s="45">
        <f>IF(AG$3="","",IF(COUNTIFS(Base!$A$3:$A$5001,AG$3,Base!$B$3:$B$5001,$A$79,Base!$L$3:$L$5001,"&lt;&gt;")=0,"",SUMIFS(Base!$L$3:$L$5001,Base!$A$3:$A$5001,AG$3,Base!$B$3:$B$5001,$A$79)))</f>
        <v>11</v>
      </c>
      <c r="AH83" s="45">
        <f>IF(AH$3="","",IF(COUNTIFS(Base!$A$3:$A$5001,AH$3,Base!$B$3:$B$5001,$A$79,Base!$L$3:$L$5001,"&lt;&gt;")=0,"",SUMIFS(Base!$L$3:$L$5001,Base!$A$3:$A$5001,AH$3,Base!$B$3:$B$5001,$A$79)))</f>
        <v>5</v>
      </c>
      <c r="AI83" s="45" t="str">
        <f>IF(AI$3="","",IF(COUNTIFS(Base!$A$3:$A$5001,AI$3,Base!$B$3:$B$5001,$A$79,Base!$L$3:$L$5001,"&lt;&gt;")=0,"",SUMIFS(Base!$L$3:$L$5001,Base!$A$3:$A$5001,AI$3,Base!$B$3:$B$5001,$A$79)))</f>
        <v/>
      </c>
      <c r="AJ83" s="46" t="str">
        <f>IF(AJ$3="","",IF(COUNTIFS(Base!$A$3:$A$5001,AJ$3,Base!$B$3:$B$5001,$A$79,Base!$L$3:$L$5001,"&lt;&gt;")=0,"",SUMIFS(Base!$L$3:$L$5001,Base!$A$3:$A$5001,AJ$3,Base!$B$3:$B$5001,$A$79)))</f>
        <v/>
      </c>
      <c r="AK83" s="47">
        <f>IF(COUNT(F83:AJ83)=0,"",SUM(F83:AJ83))</f>
        <v>165</v>
      </c>
    </row>
    <row r="84" ht="15.75" customHeight="1">
      <c r="A84" s="118"/>
      <c r="B84" s="109"/>
      <c r="C84" s="48" t="inlineStr">
        <is>
          <t xml:space="preserve">Pallets Movimentados</t>
        </is>
      </c>
      <c r="D84" s="49" t="str">
        <f>IFERROR(1/(1/INDEX(calculos!$C$55:$K$83,MATCH("OUT Pallets Movimentados",calculos!$A$55:$A$83,0),MATCH($A$79,calculos!$C$54:$K$54,0))),"")</f>
        <v/>
      </c>
      <c r="E84" s="50"/>
      <c r="F84" s="51">
        <f>IF(F$3="","",IF(COUNTIFS(Base!$A$3:$A$5001,F$3,Base!$B$3:$B$5001,$A$79,Base!$M$3:$M$5001,"&lt;&gt;")=0,"",SUMIFS(Base!$M$3:$M$5001,Base!$A$3:$A$5001,F$3,Base!$B$3:$B$5001,$A$79)))</f>
        <v>154</v>
      </c>
      <c r="G84" s="52">
        <f>IF(G$3="","",IF(COUNTIFS(Base!$A$3:$A$5001,G$3,Base!$B$3:$B$5001,$A$79,Base!$M$3:$M$5001,"&lt;&gt;")=0,"",SUMIFS(Base!$M$3:$M$5001,Base!$A$3:$A$5001,G$3,Base!$B$3:$B$5001,$A$79)))</f>
        <v>144</v>
      </c>
      <c r="H84" s="52">
        <f>IF(H$3="","",IF(COUNTIFS(Base!$A$3:$A$5001,H$3,Base!$B$3:$B$5001,$A$79,Base!$M$3:$M$5001,"&lt;&gt;")=0,"",SUMIFS(Base!$M$3:$M$5001,Base!$A$3:$A$5001,H$3,Base!$B$3:$B$5001,$A$79)))</f>
        <v>23</v>
      </c>
      <c r="I84" s="52">
        <f>IF(I$3="","",IF(COUNTIFS(Base!$A$3:$A$5001,I$3,Base!$B$3:$B$5001,$A$79,Base!$M$3:$M$5001,"&lt;&gt;")=0,"",SUMIFS(Base!$M$3:$M$5001,Base!$A$3:$A$5001,I$3,Base!$B$3:$B$5001,$A$79)))</f>
        <v>139</v>
      </c>
      <c r="J84" s="52">
        <f>IF(J$3="","",IF(COUNTIFS(Base!$A$3:$A$5001,J$3,Base!$B$3:$B$5001,$A$79,Base!$M$3:$M$5001,"&lt;&gt;")=0,"",SUMIFS(Base!$M$3:$M$5001,Base!$A$3:$A$5001,J$3,Base!$B$3:$B$5001,$A$79)))</f>
        <v>22</v>
      </c>
      <c r="K84" s="52" t="str">
        <f>IF(K$3="","",IF(COUNTIFS(Base!$A$3:$A$5001,K$3,Base!$B$3:$B$5001,$A$79,Base!$M$3:$M$5001,"&lt;&gt;")=0,"",SUMIFS(Base!$M$3:$M$5001,Base!$A$3:$A$5001,K$3,Base!$B$3:$B$5001,$A$79)))</f>
        <v/>
      </c>
      <c r="L84" s="52">
        <f>IF(L$3="","",IF(COUNTIFS(Base!$A$3:$A$5001,L$3,Base!$B$3:$B$5001,$A$79,Base!$M$3:$M$5001,"&lt;&gt;")=0,"",SUMIFS(Base!$M$3:$M$5001,Base!$A$3:$A$5001,L$3,Base!$B$3:$B$5001,$A$79)))</f>
        <v>144</v>
      </c>
      <c r="M84" s="52">
        <f>IF(M$3="","",IF(COUNTIFS(Base!$A$3:$A$5001,M$3,Base!$B$3:$B$5001,$A$79,Base!$M$3:$M$5001,"&lt;&gt;")=0,"",SUMIFS(Base!$M$3:$M$5001,Base!$A$3:$A$5001,M$3,Base!$B$3:$B$5001,$A$79)))</f>
        <v>159</v>
      </c>
      <c r="N84" s="52">
        <f>IF(N$3="","",IF(COUNTIFS(Base!$A$3:$A$5001,N$3,Base!$B$3:$B$5001,$A$79,Base!$M$3:$M$5001,"&lt;&gt;")=0,"",SUMIFS(Base!$M$3:$M$5001,Base!$A$3:$A$5001,N$3,Base!$B$3:$B$5001,$A$79)))</f>
        <v>91</v>
      </c>
      <c r="O84" s="52">
        <f>IF(O$3="","",IF(COUNTIFS(Base!$A$3:$A$5001,O$3,Base!$B$3:$B$5001,$A$79,Base!$M$3:$M$5001,"&lt;&gt;")=0,"",SUMIFS(Base!$M$3:$M$5001,Base!$A$3:$A$5001,O$3,Base!$B$3:$B$5001,$A$79)))</f>
        <v>44</v>
      </c>
      <c r="P84" s="52">
        <f>IF(P$3="","",IF(COUNTIFS(Base!$A$3:$A$5001,P$3,Base!$B$3:$B$5001,$A$79,Base!$M$3:$M$5001,"&lt;&gt;")=0,"",SUMIFS(Base!$M$3:$M$5001,Base!$A$3:$A$5001,P$3,Base!$B$3:$B$5001,$A$79)))</f>
        <v>137</v>
      </c>
      <c r="Q84" s="52">
        <f>IF(Q$3="","",IF(COUNTIFS(Base!$A$3:$A$5001,Q$3,Base!$B$3:$B$5001,$A$79,Base!$M$3:$M$5001,"&lt;&gt;")=0,"",SUMIFS(Base!$M$3:$M$5001,Base!$A$3:$A$5001,Q$3,Base!$B$3:$B$5001,$A$79)))</f>
        <v>156</v>
      </c>
      <c r="R84" s="52" t="str">
        <f>IF(R$3="","",IF(COUNTIFS(Base!$A$3:$A$5001,R$3,Base!$B$3:$B$5001,$A$79,Base!$M$3:$M$5001,"&lt;&gt;")=0,"",SUMIFS(Base!$M$3:$M$5001,Base!$A$3:$A$5001,R$3,Base!$B$3:$B$5001,$A$79)))</f>
        <v/>
      </c>
      <c r="S84" s="52">
        <f>IF(S$3="","",IF(COUNTIFS(Base!$A$3:$A$5001,S$3,Base!$B$3:$B$5001,$A$79,Base!$M$3:$M$5001,"&lt;&gt;")=0,"",SUMIFS(Base!$M$3:$M$5001,Base!$A$3:$A$5001,S$3,Base!$B$3:$B$5001,$A$79)))</f>
        <v>69</v>
      </c>
      <c r="T84" s="52">
        <f>IF(T$3="","",IF(COUNTIFS(Base!$A$3:$A$5001,T$3,Base!$B$3:$B$5001,$A$79,Base!$M$3:$M$5001,"&lt;&gt;")=0,"",SUMIFS(Base!$M$3:$M$5001,Base!$A$3:$A$5001,T$3,Base!$B$3:$B$5001,$A$79)))</f>
        <v>79</v>
      </c>
      <c r="U84" s="52">
        <f>IF(U$3="","",IF(COUNTIFS(Base!$A$3:$A$5001,U$3,Base!$B$3:$B$5001,$A$79,Base!$M$3:$M$5001,"&lt;&gt;")=0,"",SUMIFS(Base!$M$3:$M$5001,Base!$A$3:$A$5001,U$3,Base!$B$3:$B$5001,$A$79)))</f>
        <v>121</v>
      </c>
      <c r="V84" s="52">
        <f>IF(V$3="","",IF(COUNTIFS(Base!$A$3:$A$5001,V$3,Base!$B$3:$B$5001,$A$79,Base!$M$3:$M$5001,"&lt;&gt;")=0,"",SUMIFS(Base!$M$3:$M$5001,Base!$A$3:$A$5001,V$3,Base!$B$3:$B$5001,$A$79)))</f>
        <v>52</v>
      </c>
      <c r="W84" s="52">
        <f>IF(W$3="","",IF(COUNTIFS(Base!$A$3:$A$5001,W$3,Base!$B$3:$B$5001,$A$79,Base!$M$3:$M$5001,"&lt;&gt;")=0,"",SUMIFS(Base!$M$3:$M$5001,Base!$A$3:$A$5001,W$3,Base!$B$3:$B$5001,$A$79)))</f>
        <v>96</v>
      </c>
      <c r="X84" s="52">
        <f>IF(X$3="","",IF(COUNTIFS(Base!$A$3:$A$5001,X$3,Base!$B$3:$B$5001,$A$79,Base!$M$3:$M$5001,"&lt;&gt;")=0,"",SUMIFS(Base!$M$3:$M$5001,Base!$A$3:$A$5001,X$3,Base!$B$3:$B$5001,$A$79)))</f>
        <v>157</v>
      </c>
      <c r="Y84" s="52" t="str">
        <f>IF(Y$3="","",IF(COUNTIFS(Base!$A$3:$A$5001,Y$3,Base!$B$3:$B$5001,$A$79,Base!$M$3:$M$5001,"&lt;&gt;")=0,"",SUMIFS(Base!$M$3:$M$5001,Base!$A$3:$A$5001,Y$3,Base!$B$3:$B$5001,$A$79)))</f>
        <v/>
      </c>
      <c r="Z84" s="52">
        <f>IF(Z$3="","",IF(COUNTIFS(Base!$A$3:$A$5001,Z$3,Base!$B$3:$B$5001,$A$79,Base!$M$3:$M$5001,"&lt;&gt;")=0,"",SUMIFS(Base!$M$3:$M$5001,Base!$A$3:$A$5001,Z$3,Base!$B$3:$B$5001,$A$79)))</f>
        <v>43</v>
      </c>
      <c r="AA84" s="52">
        <f>IF(AA$3="","",IF(COUNTIFS(Base!$A$3:$A$5001,AA$3,Base!$B$3:$B$5001,$A$79,Base!$M$3:$M$5001,"&lt;&gt;")=0,"",SUMIFS(Base!$M$3:$M$5001,Base!$A$3:$A$5001,AA$3,Base!$B$3:$B$5001,$A$79)))</f>
        <v>86</v>
      </c>
      <c r="AB84" s="52">
        <f>IF(AB$3="","",IF(COUNTIFS(Base!$A$3:$A$5001,AB$3,Base!$B$3:$B$5001,$A$79,Base!$M$3:$M$5001,"&lt;&gt;")=0,"",SUMIFS(Base!$M$3:$M$5001,Base!$A$3:$A$5001,AB$3,Base!$B$3:$B$5001,$A$79)))</f>
        <v>104</v>
      </c>
      <c r="AC84" s="52">
        <f>IF(AC$3="","",IF(COUNTIFS(Base!$A$3:$A$5001,AC$3,Base!$B$3:$B$5001,$A$79,Base!$M$3:$M$5001,"&lt;&gt;")=0,"",SUMIFS(Base!$M$3:$M$5001,Base!$A$3:$A$5001,AC$3,Base!$B$3:$B$5001,$A$79)))</f>
        <v>31</v>
      </c>
      <c r="AD84" s="52">
        <f>IF(AD$3="","",IF(COUNTIFS(Base!$A$3:$A$5001,AD$3,Base!$B$3:$B$5001,$A$79,Base!$M$3:$M$5001,"&lt;&gt;")=0,"",SUMIFS(Base!$M$3:$M$5001,Base!$A$3:$A$5001,AD$3,Base!$B$3:$B$5001,$A$79)))</f>
        <v>79</v>
      </c>
      <c r="AE84" s="52">
        <f>IF(AE$3="","",IF(COUNTIFS(Base!$A$3:$A$5001,AE$3,Base!$B$3:$B$5001,$A$79,Base!$M$3:$M$5001,"&lt;&gt;")=0,"",SUMIFS(Base!$M$3:$M$5001,Base!$A$3:$A$5001,AE$3,Base!$B$3:$B$5001,$A$79)))</f>
        <v>52</v>
      </c>
      <c r="AF84" s="52" t="str">
        <f>IF(AF$3="","",IF(COUNTIFS(Base!$A$3:$A$5001,AF$3,Base!$B$3:$B$5001,$A$79,Base!$M$3:$M$5001,"&lt;&gt;")=0,"",SUMIFS(Base!$M$3:$M$5001,Base!$A$3:$A$5001,AF$3,Base!$B$3:$B$5001,$A$79)))</f>
        <v/>
      </c>
      <c r="AG84" s="52">
        <f>IF(AG$3="","",IF(COUNTIFS(Base!$A$3:$A$5001,AG$3,Base!$B$3:$B$5001,$A$79,Base!$M$3:$M$5001,"&lt;&gt;")=0,"",SUMIFS(Base!$M$3:$M$5001,Base!$A$3:$A$5001,AG$3,Base!$B$3:$B$5001,$A$79)))</f>
        <v>87</v>
      </c>
      <c r="AH84" s="52">
        <f>IF(AH$3="","",IF(COUNTIFS(Base!$A$3:$A$5001,AH$3,Base!$B$3:$B$5001,$A$79,Base!$M$3:$M$5001,"&lt;&gt;")=0,"",SUMIFS(Base!$M$3:$M$5001,Base!$A$3:$A$5001,AH$3,Base!$B$3:$B$5001,$A$79)))</f>
        <v>139</v>
      </c>
      <c r="AI84" s="52" t="str">
        <f>IF(AI$3="","",IF(COUNTIFS(Base!$A$3:$A$5001,AI$3,Base!$B$3:$B$5001,$A$79,Base!$M$3:$M$5001,"&lt;&gt;")=0,"",SUMIFS(Base!$M$3:$M$5001,Base!$A$3:$A$5001,AI$3,Base!$B$3:$B$5001,$A$79)))</f>
        <v/>
      </c>
      <c r="AJ84" s="53" t="str">
        <f>IF(AJ$3="","",IF(COUNTIFS(Base!$A$3:$A$5001,AJ$3,Base!$B$3:$B$5001,$A$79,Base!$M$3:$M$5001,"&lt;&gt;")=0,"",SUMIFS(Base!$M$3:$M$5001,Base!$A$3:$A$5001,AJ$3,Base!$B$3:$B$5001,$A$79)))</f>
        <v/>
      </c>
      <c r="AK84" s="54">
        <f>IF(COUNT(F84:AJ84)=0,"",SUM(F84:AJ84))</f>
        <v>2408</v>
      </c>
    </row>
    <row r="85" ht="15.75" customHeight="1">
      <c r="A85" s="118"/>
      <c r="B85" s="109"/>
      <c r="C85" s="48" t="inlineStr">
        <is>
          <t xml:space="preserve">Peças Movimentadas</t>
        </is>
      </c>
      <c r="D85" s="49" t="str">
        <f>IFERROR(1/(1/INDEX(calculos!$C$55:$K$83,MATCH("OUT Peças Movimentadas",calculos!$A$55:$A$83,0),MATCH($A$79,calculos!$C$54:$K$54,0))),"")</f>
        <v/>
      </c>
      <c r="E85" s="50"/>
      <c r="F85" s="51">
        <f>IF(F$3="","",IF(COUNTIFS(Base!$A$3:$A$5001,F$3,Base!$B$3:$B$5001,$A$79,Base!$S$3:$S$5001,"&lt;&gt;")=0,"",SUMIFS(Base!$S$3:$S$5001,Base!$A$3:$A$5001,F$3,Base!$B$3:$B$5001,$A$79)))</f>
        <v>219</v>
      </c>
      <c r="G85" s="52">
        <f>IF(G$3="","",IF(COUNTIFS(Base!$A$3:$A$5001,G$3,Base!$B$3:$B$5001,$A$79,Base!$S$3:$S$5001,"&lt;&gt;")=0,"",SUMIFS(Base!$S$3:$S$5001,Base!$A$3:$A$5001,G$3,Base!$B$3:$B$5001,$A$79)))</f>
        <v>531</v>
      </c>
      <c r="H85" s="52">
        <f>IF(H$3="","",IF(COUNTIFS(Base!$A$3:$A$5001,H$3,Base!$B$3:$B$5001,$A$79,Base!$S$3:$S$5001,"&lt;&gt;")=0,"",SUMIFS(Base!$S$3:$S$5001,Base!$A$3:$A$5001,H$3,Base!$B$3:$B$5001,$A$79)))</f>
        <v>456</v>
      </c>
      <c r="I85" s="52">
        <f>IF(I$3="","",IF(COUNTIFS(Base!$A$3:$A$5001,I$3,Base!$B$3:$B$5001,$A$79,Base!$S$3:$S$5001,"&lt;&gt;")=0,"",SUMIFS(Base!$S$3:$S$5001,Base!$A$3:$A$5001,I$3,Base!$B$3:$B$5001,$A$79)))</f>
        <v>355</v>
      </c>
      <c r="J85" s="52">
        <f>IF(J$3="","",IF(COUNTIFS(Base!$A$3:$A$5001,J$3,Base!$B$3:$B$5001,$A$79,Base!$S$3:$S$5001,"&lt;&gt;")=0,"",SUMIFS(Base!$S$3:$S$5001,Base!$A$3:$A$5001,J$3,Base!$B$3:$B$5001,$A$79)))</f>
        <v>248</v>
      </c>
      <c r="K85" s="52" t="str">
        <f>IF(K$3="","",IF(COUNTIFS(Base!$A$3:$A$5001,K$3,Base!$B$3:$B$5001,$A$79,Base!$S$3:$S$5001,"&lt;&gt;")=0,"",SUMIFS(Base!$S$3:$S$5001,Base!$A$3:$A$5001,K$3,Base!$B$3:$B$5001,$A$79)))</f>
        <v/>
      </c>
      <c r="L85" s="52">
        <f>IF(L$3="","",IF(COUNTIFS(Base!$A$3:$A$5001,L$3,Base!$B$3:$B$5001,$A$79,Base!$S$3:$S$5001,"&lt;&gt;")=0,"",SUMIFS(Base!$S$3:$S$5001,Base!$A$3:$A$5001,L$3,Base!$B$3:$B$5001,$A$79)))</f>
        <v>227</v>
      </c>
      <c r="M85" s="52">
        <f>IF(M$3="","",IF(COUNTIFS(Base!$A$3:$A$5001,M$3,Base!$B$3:$B$5001,$A$79,Base!$S$3:$S$5001,"&lt;&gt;")=0,"",SUMIFS(Base!$S$3:$S$5001,Base!$A$3:$A$5001,M$3,Base!$B$3:$B$5001,$A$79)))</f>
        <v>401</v>
      </c>
      <c r="N85" s="52">
        <f>IF(N$3="","",IF(COUNTIFS(Base!$A$3:$A$5001,N$3,Base!$B$3:$B$5001,$A$79,Base!$S$3:$S$5001,"&lt;&gt;")=0,"",SUMIFS(Base!$S$3:$S$5001,Base!$A$3:$A$5001,N$3,Base!$B$3:$B$5001,$A$79)))</f>
        <v>133</v>
      </c>
      <c r="O85" s="52">
        <f>IF(O$3="","",IF(COUNTIFS(Base!$A$3:$A$5001,O$3,Base!$B$3:$B$5001,$A$79,Base!$S$3:$S$5001,"&lt;&gt;")=0,"",SUMIFS(Base!$S$3:$S$5001,Base!$A$3:$A$5001,O$3,Base!$B$3:$B$5001,$A$79)))</f>
        <v>225</v>
      </c>
      <c r="P85" s="52">
        <f>IF(P$3="","",IF(COUNTIFS(Base!$A$3:$A$5001,P$3,Base!$B$3:$B$5001,$A$79,Base!$S$3:$S$5001,"&lt;&gt;")=0,"",SUMIFS(Base!$S$3:$S$5001,Base!$A$3:$A$5001,P$3,Base!$B$3:$B$5001,$A$79)))</f>
        <v>283</v>
      </c>
      <c r="Q85" s="52">
        <f>IF(Q$3="","",IF(COUNTIFS(Base!$A$3:$A$5001,Q$3,Base!$B$3:$B$5001,$A$79,Base!$S$3:$S$5001,"&lt;&gt;")=0,"",SUMIFS(Base!$S$3:$S$5001,Base!$A$3:$A$5001,Q$3,Base!$B$3:$B$5001,$A$79)))</f>
        <v>70</v>
      </c>
      <c r="R85" s="52" t="str">
        <f>IF(R$3="","",IF(COUNTIFS(Base!$A$3:$A$5001,R$3,Base!$B$3:$B$5001,$A$79,Base!$S$3:$S$5001,"&lt;&gt;")=0,"",SUMIFS(Base!$S$3:$S$5001,Base!$A$3:$A$5001,R$3,Base!$B$3:$B$5001,$A$79)))</f>
        <v/>
      </c>
      <c r="S85" s="52">
        <f>IF(S$3="","",IF(COUNTIFS(Base!$A$3:$A$5001,S$3,Base!$B$3:$B$5001,$A$79,Base!$S$3:$S$5001,"&lt;&gt;")=0,"",SUMIFS(Base!$S$3:$S$5001,Base!$A$3:$A$5001,S$3,Base!$B$3:$B$5001,$A$79)))</f>
        <v>518</v>
      </c>
      <c r="T85" s="52">
        <f>IF(T$3="","",IF(COUNTIFS(Base!$A$3:$A$5001,T$3,Base!$B$3:$B$5001,$A$79,Base!$S$3:$S$5001,"&lt;&gt;")=0,"",SUMIFS(Base!$S$3:$S$5001,Base!$A$3:$A$5001,T$3,Base!$B$3:$B$5001,$A$79)))</f>
        <v>506</v>
      </c>
      <c r="U85" s="52">
        <f>IF(U$3="","",IF(COUNTIFS(Base!$A$3:$A$5001,U$3,Base!$B$3:$B$5001,$A$79,Base!$S$3:$S$5001,"&lt;&gt;")=0,"",SUMIFS(Base!$S$3:$S$5001,Base!$A$3:$A$5001,U$3,Base!$B$3:$B$5001,$A$79)))</f>
        <v>241</v>
      </c>
      <c r="V85" s="52">
        <f>IF(V$3="","",IF(COUNTIFS(Base!$A$3:$A$5001,V$3,Base!$B$3:$B$5001,$A$79,Base!$S$3:$S$5001,"&lt;&gt;")=0,"",SUMIFS(Base!$S$3:$S$5001,Base!$A$3:$A$5001,V$3,Base!$B$3:$B$5001,$A$79)))</f>
        <v>104</v>
      </c>
      <c r="W85" s="52">
        <f>IF(W$3="","",IF(COUNTIFS(Base!$A$3:$A$5001,W$3,Base!$B$3:$B$5001,$A$79,Base!$S$3:$S$5001,"&lt;&gt;")=0,"",SUMIFS(Base!$S$3:$S$5001,Base!$A$3:$A$5001,W$3,Base!$B$3:$B$5001,$A$79)))</f>
        <v>140</v>
      </c>
      <c r="X85" s="52">
        <f>IF(X$3="","",IF(COUNTIFS(Base!$A$3:$A$5001,X$3,Base!$B$3:$B$5001,$A$79,Base!$S$3:$S$5001,"&lt;&gt;")=0,"",SUMIFS(Base!$S$3:$S$5001,Base!$A$3:$A$5001,X$3,Base!$B$3:$B$5001,$A$79)))</f>
        <v>529</v>
      </c>
      <c r="Y85" s="52" t="str">
        <f>IF(Y$3="","",IF(COUNTIFS(Base!$A$3:$A$5001,Y$3,Base!$B$3:$B$5001,$A$79,Base!$S$3:$S$5001,"&lt;&gt;")=0,"",SUMIFS(Base!$S$3:$S$5001,Base!$A$3:$A$5001,Y$3,Base!$B$3:$B$5001,$A$79)))</f>
        <v/>
      </c>
      <c r="Z85" s="52">
        <f>IF(Z$3="","",IF(COUNTIFS(Base!$A$3:$A$5001,Z$3,Base!$B$3:$B$5001,$A$79,Base!$S$3:$S$5001,"&lt;&gt;")=0,"",SUMIFS(Base!$S$3:$S$5001,Base!$A$3:$A$5001,Z$3,Base!$B$3:$B$5001,$A$79)))</f>
        <v>131</v>
      </c>
      <c r="AA85" s="52">
        <f>IF(AA$3="","",IF(COUNTIFS(Base!$A$3:$A$5001,AA$3,Base!$B$3:$B$5001,$A$79,Base!$S$3:$S$5001,"&lt;&gt;")=0,"",SUMIFS(Base!$S$3:$S$5001,Base!$A$3:$A$5001,AA$3,Base!$B$3:$B$5001,$A$79)))</f>
        <v>525</v>
      </c>
      <c r="AB85" s="52">
        <f>IF(AB$3="","",IF(COUNTIFS(Base!$A$3:$A$5001,AB$3,Base!$B$3:$B$5001,$A$79,Base!$S$3:$S$5001,"&lt;&gt;")=0,"",SUMIFS(Base!$S$3:$S$5001,Base!$A$3:$A$5001,AB$3,Base!$B$3:$B$5001,$A$79)))</f>
        <v>281</v>
      </c>
      <c r="AC85" s="52">
        <f>IF(AC$3="","",IF(COUNTIFS(Base!$A$3:$A$5001,AC$3,Base!$B$3:$B$5001,$A$79,Base!$S$3:$S$5001,"&lt;&gt;")=0,"",SUMIFS(Base!$S$3:$S$5001,Base!$A$3:$A$5001,AC$3,Base!$B$3:$B$5001,$A$79)))</f>
        <v>185</v>
      </c>
      <c r="AD85" s="52">
        <f>IF(AD$3="","",IF(COUNTIFS(Base!$A$3:$A$5001,AD$3,Base!$B$3:$B$5001,$A$79,Base!$S$3:$S$5001,"&lt;&gt;")=0,"",SUMIFS(Base!$S$3:$S$5001,Base!$A$3:$A$5001,AD$3,Base!$B$3:$B$5001,$A$79)))</f>
        <v>118</v>
      </c>
      <c r="AE85" s="52">
        <f>IF(AE$3="","",IF(COUNTIFS(Base!$A$3:$A$5001,AE$3,Base!$B$3:$B$5001,$A$79,Base!$S$3:$S$5001,"&lt;&gt;")=0,"",SUMIFS(Base!$S$3:$S$5001,Base!$A$3:$A$5001,AE$3,Base!$B$3:$B$5001,$A$79)))</f>
        <v>186</v>
      </c>
      <c r="AF85" s="52" t="str">
        <f>IF(AF$3="","",IF(COUNTIFS(Base!$A$3:$A$5001,AF$3,Base!$B$3:$B$5001,$A$79,Base!$S$3:$S$5001,"&lt;&gt;")=0,"",SUMIFS(Base!$S$3:$S$5001,Base!$A$3:$A$5001,AF$3,Base!$B$3:$B$5001,$A$79)))</f>
        <v/>
      </c>
      <c r="AG85" s="52">
        <f>IF(AG$3="","",IF(COUNTIFS(Base!$A$3:$A$5001,AG$3,Base!$B$3:$B$5001,$A$79,Base!$S$3:$S$5001,"&lt;&gt;")=0,"",SUMIFS(Base!$S$3:$S$5001,Base!$A$3:$A$5001,AG$3,Base!$B$3:$B$5001,$A$79)))</f>
        <v>533</v>
      </c>
      <c r="AH85" s="52">
        <f>IF(AH$3="","",IF(COUNTIFS(Base!$A$3:$A$5001,AH$3,Base!$B$3:$B$5001,$A$79,Base!$S$3:$S$5001,"&lt;&gt;")=0,"",SUMIFS(Base!$S$3:$S$5001,Base!$A$3:$A$5001,AH$3,Base!$B$3:$B$5001,$A$79)))</f>
        <v>589</v>
      </c>
      <c r="AI85" s="52" t="str">
        <f>IF(AI$3="","",IF(COUNTIFS(Base!$A$3:$A$5001,AI$3,Base!$B$3:$B$5001,$A$79,Base!$S$3:$S$5001,"&lt;&gt;")=0,"",SUMIFS(Base!$S$3:$S$5001,Base!$A$3:$A$5001,AI$3,Base!$B$3:$B$5001,$A$79)))</f>
        <v/>
      </c>
      <c r="AJ85" s="53" t="str">
        <f>IF(AJ$3="","",IF(COUNTIFS(Base!$A$3:$A$5001,AJ$3,Base!$B$3:$B$5001,$A$79,Base!$S$3:$S$5001,"&lt;&gt;")=0,"",SUMIFS(Base!$S$3:$S$5001,Base!$A$3:$A$5001,AJ$3,Base!$B$3:$B$5001,$A$79)))</f>
        <v/>
      </c>
      <c r="AK85" s="54">
        <f>IF(COUNT(F85:AJ85)=0,"",SUM(F85:AJ85))</f>
        <v>7734</v>
      </c>
    </row>
    <row r="86" ht="15.75" customHeight="1">
      <c r="A86" s="118"/>
      <c r="B86" s="110"/>
      <c r="C86" s="55" t="inlineStr">
        <is>
          <t xml:space="preserve">Linhas NF</t>
        </is>
      </c>
      <c r="D86" s="473" t="str">
        <f>IFERROR(1/(1/INDEX(calculos!$C$55:$K$83,MATCH("OUT Linhas NF",calculos!$A$55:$A$83,0),MATCH($A$79,calculos!$C$54:$K$54,0))),"")</f>
        <v/>
      </c>
      <c r="E86" s="57"/>
      <c r="F86" s="474">
        <f>IF(F$3="","",IF(COUNTIFS(Base!$A$3:$A$5001,F$3,Base!$B$3:$B$5001,$A$79,Base!$T$3:$T$5001,"&lt;&gt;")=0,"",SUMIFS(Base!$T$3:$T$5001,Base!$A$3:$A$5001,F$3,Base!$B$3:$B$5001,$A$79)))</f>
        <v>45</v>
      </c>
      <c r="G86" s="475">
        <f>IF(G$3="","",IF(COUNTIFS(Base!$A$3:$A$5001,G$3,Base!$B$3:$B$5001,$A$79,Base!$T$3:$T$5001,"&lt;&gt;")=0,"",SUMIFS(Base!$T$3:$T$5001,Base!$A$3:$A$5001,G$3,Base!$B$3:$B$5001,$A$79)))</f>
        <v>20</v>
      </c>
      <c r="H86" s="475">
        <f>IF(H$3="","",IF(COUNTIFS(Base!$A$3:$A$5001,H$3,Base!$B$3:$B$5001,$A$79,Base!$T$3:$T$5001,"&lt;&gt;")=0,"",SUMIFS(Base!$T$3:$T$5001,Base!$A$3:$A$5001,H$3,Base!$B$3:$B$5001,$A$79)))</f>
        <v>77</v>
      </c>
      <c r="I86" s="475">
        <f>IF(I$3="","",IF(COUNTIFS(Base!$A$3:$A$5001,I$3,Base!$B$3:$B$5001,$A$79,Base!$T$3:$T$5001,"&lt;&gt;")=0,"",SUMIFS(Base!$T$3:$T$5001,Base!$A$3:$A$5001,I$3,Base!$B$3:$B$5001,$A$79)))</f>
        <v>100</v>
      </c>
      <c r="J86" s="475">
        <f>IF(J$3="","",IF(COUNTIFS(Base!$A$3:$A$5001,J$3,Base!$B$3:$B$5001,$A$79,Base!$T$3:$T$5001,"&lt;&gt;")=0,"",SUMIFS(Base!$T$3:$T$5001,Base!$A$3:$A$5001,J$3,Base!$B$3:$B$5001,$A$79)))</f>
        <v>25</v>
      </c>
      <c r="K86" s="475" t="str">
        <f>IF(K$3="","",IF(COUNTIFS(Base!$A$3:$A$5001,K$3,Base!$B$3:$B$5001,$A$79,Base!$T$3:$T$5001,"&lt;&gt;")=0,"",SUMIFS(Base!$T$3:$T$5001,Base!$A$3:$A$5001,K$3,Base!$B$3:$B$5001,$A$79)))</f>
        <v/>
      </c>
      <c r="L86" s="475">
        <f>IF(L$3="","",IF(COUNTIFS(Base!$A$3:$A$5001,L$3,Base!$B$3:$B$5001,$A$79,Base!$T$3:$T$5001,"&lt;&gt;")=0,"",SUMIFS(Base!$T$3:$T$5001,Base!$A$3:$A$5001,L$3,Base!$B$3:$B$5001,$A$79)))</f>
        <v>14</v>
      </c>
      <c r="M86" s="475">
        <f>IF(M$3="","",IF(COUNTIFS(Base!$A$3:$A$5001,M$3,Base!$B$3:$B$5001,$A$79,Base!$T$3:$T$5001,"&lt;&gt;")=0,"",SUMIFS(Base!$T$3:$T$5001,Base!$A$3:$A$5001,M$3,Base!$B$3:$B$5001,$A$79)))</f>
        <v>106</v>
      </c>
      <c r="N86" s="475">
        <f>IF(N$3="","",IF(COUNTIFS(Base!$A$3:$A$5001,N$3,Base!$B$3:$B$5001,$A$79,Base!$T$3:$T$5001,"&lt;&gt;")=0,"",SUMIFS(Base!$T$3:$T$5001,Base!$A$3:$A$5001,N$3,Base!$B$3:$B$5001,$A$79)))</f>
        <v>112</v>
      </c>
      <c r="O86" s="475">
        <f>IF(O$3="","",IF(COUNTIFS(Base!$A$3:$A$5001,O$3,Base!$B$3:$B$5001,$A$79,Base!$T$3:$T$5001,"&lt;&gt;")=0,"",SUMIFS(Base!$T$3:$T$5001,Base!$A$3:$A$5001,O$3,Base!$B$3:$B$5001,$A$79)))</f>
        <v>95</v>
      </c>
      <c r="P86" s="475">
        <f>IF(P$3="","",IF(COUNTIFS(Base!$A$3:$A$5001,P$3,Base!$B$3:$B$5001,$A$79,Base!$T$3:$T$5001,"&lt;&gt;")=0,"",SUMIFS(Base!$T$3:$T$5001,Base!$A$3:$A$5001,P$3,Base!$B$3:$B$5001,$A$79)))</f>
        <v>66</v>
      </c>
      <c r="Q86" s="475">
        <f>IF(Q$3="","",IF(COUNTIFS(Base!$A$3:$A$5001,Q$3,Base!$B$3:$B$5001,$A$79,Base!$T$3:$T$5001,"&lt;&gt;")=0,"",SUMIFS(Base!$T$3:$T$5001,Base!$A$3:$A$5001,Q$3,Base!$B$3:$B$5001,$A$79)))</f>
        <v>16</v>
      </c>
      <c r="R86" s="475" t="str">
        <f>IF(R$3="","",IF(COUNTIFS(Base!$A$3:$A$5001,R$3,Base!$B$3:$B$5001,$A$79,Base!$T$3:$T$5001,"&lt;&gt;")=0,"",SUMIFS(Base!$T$3:$T$5001,Base!$A$3:$A$5001,R$3,Base!$B$3:$B$5001,$A$79)))</f>
        <v/>
      </c>
      <c r="S86" s="475">
        <f>IF(S$3="","",IF(COUNTIFS(Base!$A$3:$A$5001,S$3,Base!$B$3:$B$5001,$A$79,Base!$T$3:$T$5001,"&lt;&gt;")=0,"",SUMIFS(Base!$T$3:$T$5001,Base!$A$3:$A$5001,S$3,Base!$B$3:$B$5001,$A$79)))</f>
        <v>104</v>
      </c>
      <c r="T86" s="475">
        <f>IF(T$3="","",IF(COUNTIFS(Base!$A$3:$A$5001,T$3,Base!$B$3:$B$5001,$A$79,Base!$T$3:$T$5001,"&lt;&gt;")=0,"",SUMIFS(Base!$T$3:$T$5001,Base!$A$3:$A$5001,T$3,Base!$B$3:$B$5001,$A$79)))</f>
        <v>108</v>
      </c>
      <c r="U86" s="475">
        <f>IF(U$3="","",IF(COUNTIFS(Base!$A$3:$A$5001,U$3,Base!$B$3:$B$5001,$A$79,Base!$T$3:$T$5001,"&lt;&gt;")=0,"",SUMIFS(Base!$T$3:$T$5001,Base!$A$3:$A$5001,U$3,Base!$B$3:$B$5001,$A$79)))</f>
        <v>86</v>
      </c>
      <c r="V86" s="475">
        <f>IF(V$3="","",IF(COUNTIFS(Base!$A$3:$A$5001,V$3,Base!$B$3:$B$5001,$A$79,Base!$T$3:$T$5001,"&lt;&gt;")=0,"",SUMIFS(Base!$T$3:$T$5001,Base!$A$3:$A$5001,V$3,Base!$B$3:$B$5001,$A$79)))</f>
        <v>87</v>
      </c>
      <c r="W86" s="475">
        <f>IF(W$3="","",IF(COUNTIFS(Base!$A$3:$A$5001,W$3,Base!$B$3:$B$5001,$A$79,Base!$T$3:$T$5001,"&lt;&gt;")=0,"",SUMIFS(Base!$T$3:$T$5001,Base!$A$3:$A$5001,W$3,Base!$B$3:$B$5001,$A$79)))</f>
        <v>16</v>
      </c>
      <c r="X86" s="475">
        <f>IF(X$3="","",IF(COUNTIFS(Base!$A$3:$A$5001,X$3,Base!$B$3:$B$5001,$A$79,Base!$T$3:$T$5001,"&lt;&gt;")=0,"",SUMIFS(Base!$T$3:$T$5001,Base!$A$3:$A$5001,X$3,Base!$B$3:$B$5001,$A$79)))</f>
        <v>58</v>
      </c>
      <c r="Y86" s="475" t="str">
        <f>IF(Y$3="","",IF(COUNTIFS(Base!$A$3:$A$5001,Y$3,Base!$B$3:$B$5001,$A$79,Base!$T$3:$T$5001,"&lt;&gt;")=0,"",SUMIFS(Base!$T$3:$T$5001,Base!$A$3:$A$5001,Y$3,Base!$B$3:$B$5001,$A$79)))</f>
        <v/>
      </c>
      <c r="Z86" s="475">
        <f>IF(Z$3="","",IF(COUNTIFS(Base!$A$3:$A$5001,Z$3,Base!$B$3:$B$5001,$A$79,Base!$T$3:$T$5001,"&lt;&gt;")=0,"",SUMIFS(Base!$T$3:$T$5001,Base!$A$3:$A$5001,Z$3,Base!$B$3:$B$5001,$A$79)))</f>
        <v>40</v>
      </c>
      <c r="AA86" s="475">
        <f>IF(AA$3="","",IF(COUNTIFS(Base!$A$3:$A$5001,AA$3,Base!$B$3:$B$5001,$A$79,Base!$T$3:$T$5001,"&lt;&gt;")=0,"",SUMIFS(Base!$T$3:$T$5001,Base!$A$3:$A$5001,AA$3,Base!$B$3:$B$5001,$A$79)))</f>
        <v>67</v>
      </c>
      <c r="AB86" s="475">
        <f>IF(AB$3="","",IF(COUNTIFS(Base!$A$3:$A$5001,AB$3,Base!$B$3:$B$5001,$A$79,Base!$T$3:$T$5001,"&lt;&gt;")=0,"",SUMIFS(Base!$T$3:$T$5001,Base!$A$3:$A$5001,AB$3,Base!$B$3:$B$5001,$A$79)))</f>
        <v>75</v>
      </c>
      <c r="AC86" s="475">
        <f>IF(AC$3="","",IF(COUNTIFS(Base!$A$3:$A$5001,AC$3,Base!$B$3:$B$5001,$A$79,Base!$T$3:$T$5001,"&lt;&gt;")=0,"",SUMIFS(Base!$T$3:$T$5001,Base!$A$3:$A$5001,AC$3,Base!$B$3:$B$5001,$A$79)))</f>
        <v>82</v>
      </c>
      <c r="AD86" s="475">
        <f>IF(AD$3="","",IF(COUNTIFS(Base!$A$3:$A$5001,AD$3,Base!$B$3:$B$5001,$A$79,Base!$T$3:$T$5001,"&lt;&gt;")=0,"",SUMIFS(Base!$T$3:$T$5001,Base!$A$3:$A$5001,AD$3,Base!$B$3:$B$5001,$A$79)))</f>
        <v>18</v>
      </c>
      <c r="AE86" s="475">
        <f>IF(AE$3="","",IF(COUNTIFS(Base!$A$3:$A$5001,AE$3,Base!$B$3:$B$5001,$A$79,Base!$T$3:$T$5001,"&lt;&gt;")=0,"",SUMIFS(Base!$T$3:$T$5001,Base!$A$3:$A$5001,AE$3,Base!$B$3:$B$5001,$A$79)))</f>
        <v>37</v>
      </c>
      <c r="AF86" s="475" t="str">
        <f>IF(AF$3="","",IF(COUNTIFS(Base!$A$3:$A$5001,AF$3,Base!$B$3:$B$5001,$A$79,Base!$T$3:$T$5001,"&lt;&gt;")=0,"",SUMIFS(Base!$T$3:$T$5001,Base!$A$3:$A$5001,AF$3,Base!$B$3:$B$5001,$A$79)))</f>
        <v/>
      </c>
      <c r="AG86" s="475">
        <f>IF(AG$3="","",IF(COUNTIFS(Base!$A$3:$A$5001,AG$3,Base!$B$3:$B$5001,$A$79,Base!$T$3:$T$5001,"&lt;&gt;")=0,"",SUMIFS(Base!$T$3:$T$5001,Base!$A$3:$A$5001,AG$3,Base!$B$3:$B$5001,$A$79)))</f>
        <v>86</v>
      </c>
      <c r="AH86" s="475">
        <f>IF(AH$3="","",IF(COUNTIFS(Base!$A$3:$A$5001,AH$3,Base!$B$3:$B$5001,$A$79,Base!$T$3:$T$5001,"&lt;&gt;")=0,"",SUMIFS(Base!$T$3:$T$5001,Base!$A$3:$A$5001,AH$3,Base!$B$3:$B$5001,$A$79)))</f>
        <v>27</v>
      </c>
      <c r="AI86" s="475" t="str">
        <f>IF(AI$3="","",IF(COUNTIFS(Base!$A$3:$A$5001,AI$3,Base!$B$3:$B$5001,$A$79,Base!$T$3:$T$5001,"&lt;&gt;")=0,"",SUMIFS(Base!$T$3:$T$5001,Base!$A$3:$A$5001,AI$3,Base!$B$3:$B$5001,$A$79)))</f>
        <v/>
      </c>
      <c r="AJ86" s="476" t="str">
        <f>IF(AJ$3="","",IF(COUNTIFS(Base!$A$3:$A$5001,AJ$3,Base!$B$3:$B$5001,$A$79,Base!$T$3:$T$5001,"&lt;&gt;")=0,"",SUMIFS(Base!$T$3:$T$5001,Base!$A$3:$A$5001,AJ$3,Base!$B$3:$B$5001,$A$79)))</f>
        <v/>
      </c>
      <c r="AK86" s="473">
        <f>IF(COUNT(F86:AJ86)=0,"",SUM(F86:AJ86))</f>
        <v>1567</v>
      </c>
    </row>
    <row r="87" ht="15.75" customHeight="1">
      <c r="A87" s="118"/>
      <c r="B87" s="111" t="inlineStr">
        <is>
          <t xml:space="preserve">NC</t>
        </is>
      </c>
      <c r="C87" s="61" t="inlineStr">
        <is>
          <t xml:space="preserve">Incidentes</t>
        </is>
      </c>
      <c r="D87" s="62" t="str">
        <f>IFERROR(1/(1/INDEX(calculos!$C$55:$K$83,MATCH("NC Incidentes",calculos!$A$55:$A$83,0),MATCH($A$79,calculos!$C$54:$K$54,0))),"")</f>
        <v/>
      </c>
      <c r="E87" s="63"/>
      <c r="F87" s="64">
        <f>IF(F$3="","",IF(COUNTIFS(Base!$A$3:$A$5001,F$3,Base!$B$3:$B$5001,$A$79,Base!$U$3:$U$5001,"&lt;&gt;")=0,"",SUMIFS(Base!$U$3:$U$5001,Base!$A$3:$A$5001,F$3,Base!$B$3:$B$5001,$A$79)))</f>
        <v>0</v>
      </c>
      <c r="G87" s="65">
        <f>IF(G$3="","",IF(COUNTIFS(Base!$A$3:$A$5001,G$3,Base!$B$3:$B$5001,$A$79,Base!$U$3:$U$5001,"&lt;&gt;")=0,"",SUMIFS(Base!$U$3:$U$5001,Base!$A$3:$A$5001,G$3,Base!$B$3:$B$5001,$A$79)))</f>
        <v>0</v>
      </c>
      <c r="H87" s="65">
        <f>IF(H$3="","",IF(COUNTIFS(Base!$A$3:$A$5001,H$3,Base!$B$3:$B$5001,$A$79,Base!$U$3:$U$5001,"&lt;&gt;")=0,"",SUMIFS(Base!$U$3:$U$5001,Base!$A$3:$A$5001,H$3,Base!$B$3:$B$5001,$A$79)))</f>
        <v>1</v>
      </c>
      <c r="I87" s="65">
        <f>IF(I$3="","",IF(COUNTIFS(Base!$A$3:$A$5001,I$3,Base!$B$3:$B$5001,$A$79,Base!$U$3:$U$5001,"&lt;&gt;")=0,"",SUMIFS(Base!$U$3:$U$5001,Base!$A$3:$A$5001,I$3,Base!$B$3:$B$5001,$A$79)))</f>
        <v>0</v>
      </c>
      <c r="J87" s="65">
        <f>IF(J$3="","",IF(COUNTIFS(Base!$A$3:$A$5001,J$3,Base!$B$3:$B$5001,$A$79,Base!$U$3:$U$5001,"&lt;&gt;")=0,"",SUMIFS(Base!$U$3:$U$5001,Base!$A$3:$A$5001,J$3,Base!$B$3:$B$5001,$A$79)))</f>
        <v>0</v>
      </c>
      <c r="K87" s="65" t="str">
        <f>IF(K$3="","",IF(COUNTIFS(Base!$A$3:$A$5001,K$3,Base!$B$3:$B$5001,$A$79,Base!$U$3:$U$5001,"&lt;&gt;")=0,"",SUMIFS(Base!$U$3:$U$5001,Base!$A$3:$A$5001,K$3,Base!$B$3:$B$5001,$A$79)))</f>
        <v/>
      </c>
      <c r="L87" s="65">
        <f>IF(L$3="","",IF(COUNTIFS(Base!$A$3:$A$5001,L$3,Base!$B$3:$B$5001,$A$79,Base!$U$3:$U$5001,"&lt;&gt;")=0,"",SUMIFS(Base!$U$3:$U$5001,Base!$A$3:$A$5001,L$3,Base!$B$3:$B$5001,$A$79)))</f>
        <v>0</v>
      </c>
      <c r="M87" s="65">
        <f>IF(M$3="","",IF(COUNTIFS(Base!$A$3:$A$5001,M$3,Base!$B$3:$B$5001,$A$79,Base!$U$3:$U$5001,"&lt;&gt;")=0,"",SUMIFS(Base!$U$3:$U$5001,Base!$A$3:$A$5001,M$3,Base!$B$3:$B$5001,$A$79)))</f>
        <v>0</v>
      </c>
      <c r="N87" s="65">
        <f>IF(N$3="","",IF(COUNTIFS(Base!$A$3:$A$5001,N$3,Base!$B$3:$B$5001,$A$79,Base!$U$3:$U$5001,"&lt;&gt;")=0,"",SUMIFS(Base!$U$3:$U$5001,Base!$A$3:$A$5001,N$3,Base!$B$3:$B$5001,$A$79)))</f>
        <v>0</v>
      </c>
      <c r="O87" s="65">
        <f>IF(O$3="","",IF(COUNTIFS(Base!$A$3:$A$5001,O$3,Base!$B$3:$B$5001,$A$79,Base!$U$3:$U$5001,"&lt;&gt;")=0,"",SUMIFS(Base!$U$3:$U$5001,Base!$A$3:$A$5001,O$3,Base!$B$3:$B$5001,$A$79)))</f>
        <v>0</v>
      </c>
      <c r="P87" s="65">
        <f>IF(P$3="","",IF(COUNTIFS(Base!$A$3:$A$5001,P$3,Base!$B$3:$B$5001,$A$79,Base!$U$3:$U$5001,"&lt;&gt;")=0,"",SUMIFS(Base!$U$3:$U$5001,Base!$A$3:$A$5001,P$3,Base!$B$3:$B$5001,$A$79)))</f>
        <v>0</v>
      </c>
      <c r="Q87" s="65">
        <f>IF(Q$3="","",IF(COUNTIFS(Base!$A$3:$A$5001,Q$3,Base!$B$3:$B$5001,$A$79,Base!$U$3:$U$5001,"&lt;&gt;")=0,"",SUMIFS(Base!$U$3:$U$5001,Base!$A$3:$A$5001,Q$3,Base!$B$3:$B$5001,$A$79)))</f>
        <v>0</v>
      </c>
      <c r="R87" s="65" t="str">
        <f>IF(R$3="","",IF(COUNTIFS(Base!$A$3:$A$5001,R$3,Base!$B$3:$B$5001,$A$79,Base!$U$3:$U$5001,"&lt;&gt;")=0,"",SUMIFS(Base!$U$3:$U$5001,Base!$A$3:$A$5001,R$3,Base!$B$3:$B$5001,$A$79)))</f>
        <v/>
      </c>
      <c r="S87" s="65">
        <f>IF(S$3="","",IF(COUNTIFS(Base!$A$3:$A$5001,S$3,Base!$B$3:$B$5001,$A$79,Base!$U$3:$U$5001,"&lt;&gt;")=0,"",SUMIFS(Base!$U$3:$U$5001,Base!$A$3:$A$5001,S$3,Base!$B$3:$B$5001,$A$79)))</f>
        <v>0</v>
      </c>
      <c r="T87" s="65">
        <f>IF(T$3="","",IF(COUNTIFS(Base!$A$3:$A$5001,T$3,Base!$B$3:$B$5001,$A$79,Base!$U$3:$U$5001,"&lt;&gt;")=0,"",SUMIFS(Base!$U$3:$U$5001,Base!$A$3:$A$5001,T$3,Base!$B$3:$B$5001,$A$79)))</f>
        <v>0</v>
      </c>
      <c r="U87" s="65">
        <f>IF(U$3="","",IF(COUNTIFS(Base!$A$3:$A$5001,U$3,Base!$B$3:$B$5001,$A$79,Base!$U$3:$U$5001,"&lt;&gt;")=0,"",SUMIFS(Base!$U$3:$U$5001,Base!$A$3:$A$5001,U$3,Base!$B$3:$B$5001,$A$79)))</f>
        <v>0</v>
      </c>
      <c r="V87" s="65">
        <f>IF(V$3="","",IF(COUNTIFS(Base!$A$3:$A$5001,V$3,Base!$B$3:$B$5001,$A$79,Base!$U$3:$U$5001,"&lt;&gt;")=0,"",SUMIFS(Base!$U$3:$U$5001,Base!$A$3:$A$5001,V$3,Base!$B$3:$B$5001,$A$79)))</f>
        <v>0</v>
      </c>
      <c r="W87" s="65">
        <f>IF(W$3="","",IF(COUNTIFS(Base!$A$3:$A$5001,W$3,Base!$B$3:$B$5001,$A$79,Base!$U$3:$U$5001,"&lt;&gt;")=0,"",SUMIFS(Base!$U$3:$U$5001,Base!$A$3:$A$5001,W$3,Base!$B$3:$B$5001,$A$79)))</f>
        <v>0</v>
      </c>
      <c r="X87" s="65">
        <f>IF(X$3="","",IF(COUNTIFS(Base!$A$3:$A$5001,X$3,Base!$B$3:$B$5001,$A$79,Base!$U$3:$U$5001,"&lt;&gt;")=0,"",SUMIFS(Base!$U$3:$U$5001,Base!$A$3:$A$5001,X$3,Base!$B$3:$B$5001,$A$79)))</f>
        <v>0</v>
      </c>
      <c r="Y87" s="65" t="str">
        <f>IF(Y$3="","",IF(COUNTIFS(Base!$A$3:$A$5001,Y$3,Base!$B$3:$B$5001,$A$79,Base!$U$3:$U$5001,"&lt;&gt;")=0,"",SUMIFS(Base!$U$3:$U$5001,Base!$A$3:$A$5001,Y$3,Base!$B$3:$B$5001,$A$79)))</f>
        <v/>
      </c>
      <c r="Z87" s="65">
        <f>IF(Z$3="","",IF(COUNTIFS(Base!$A$3:$A$5001,Z$3,Base!$B$3:$B$5001,$A$79,Base!$U$3:$U$5001,"&lt;&gt;")=0,"",SUMIFS(Base!$U$3:$U$5001,Base!$A$3:$A$5001,Z$3,Base!$B$3:$B$5001,$A$79)))</f>
        <v>0</v>
      </c>
      <c r="AA87" s="65">
        <f>IF(AA$3="","",IF(COUNTIFS(Base!$A$3:$A$5001,AA$3,Base!$B$3:$B$5001,$A$79,Base!$U$3:$U$5001,"&lt;&gt;")=0,"",SUMIFS(Base!$U$3:$U$5001,Base!$A$3:$A$5001,AA$3,Base!$B$3:$B$5001,$A$79)))</f>
        <v>0</v>
      </c>
      <c r="AB87" s="65">
        <f>IF(AB$3="","",IF(COUNTIFS(Base!$A$3:$A$5001,AB$3,Base!$B$3:$B$5001,$A$79,Base!$U$3:$U$5001,"&lt;&gt;")=0,"",SUMIFS(Base!$U$3:$U$5001,Base!$A$3:$A$5001,AB$3,Base!$B$3:$B$5001,$A$79)))</f>
        <v>0</v>
      </c>
      <c r="AC87" s="65">
        <f>IF(AC$3="","",IF(COUNTIFS(Base!$A$3:$A$5001,AC$3,Base!$B$3:$B$5001,$A$79,Base!$U$3:$U$5001,"&lt;&gt;")=0,"",SUMIFS(Base!$U$3:$U$5001,Base!$A$3:$A$5001,AC$3,Base!$B$3:$B$5001,$A$79)))</f>
        <v>0</v>
      </c>
      <c r="AD87" s="65">
        <f>IF(AD$3="","",IF(COUNTIFS(Base!$A$3:$A$5001,AD$3,Base!$B$3:$B$5001,$A$79,Base!$U$3:$U$5001,"&lt;&gt;")=0,"",SUMIFS(Base!$U$3:$U$5001,Base!$A$3:$A$5001,AD$3,Base!$B$3:$B$5001,$A$79)))</f>
        <v>0</v>
      </c>
      <c r="AE87" s="65">
        <f>IF(AE$3="","",IF(COUNTIFS(Base!$A$3:$A$5001,AE$3,Base!$B$3:$B$5001,$A$79,Base!$U$3:$U$5001,"&lt;&gt;")=0,"",SUMIFS(Base!$U$3:$U$5001,Base!$A$3:$A$5001,AE$3,Base!$B$3:$B$5001,$A$79)))</f>
        <v>0</v>
      </c>
      <c r="AF87" s="65" t="str">
        <f>IF(AF$3="","",IF(COUNTIFS(Base!$A$3:$A$5001,AF$3,Base!$B$3:$B$5001,$A$79,Base!$U$3:$U$5001,"&lt;&gt;")=0,"",SUMIFS(Base!$U$3:$U$5001,Base!$A$3:$A$5001,AF$3,Base!$B$3:$B$5001,$A$79)))</f>
        <v/>
      </c>
      <c r="AG87" s="65">
        <f>IF(AG$3="","",IF(COUNTIFS(Base!$A$3:$A$5001,AG$3,Base!$B$3:$B$5001,$A$79,Base!$U$3:$U$5001,"&lt;&gt;")=0,"",SUMIFS(Base!$U$3:$U$5001,Base!$A$3:$A$5001,AG$3,Base!$B$3:$B$5001,$A$79)))</f>
        <v>0</v>
      </c>
      <c r="AH87" s="65">
        <f>IF(AH$3="","",IF(COUNTIFS(Base!$A$3:$A$5001,AH$3,Base!$B$3:$B$5001,$A$79,Base!$U$3:$U$5001,"&lt;&gt;")=0,"",SUMIFS(Base!$U$3:$U$5001,Base!$A$3:$A$5001,AH$3,Base!$B$3:$B$5001,$A$79)))</f>
        <v>0</v>
      </c>
      <c r="AI87" s="65" t="str">
        <f>IF(AI$3="","",IF(COUNTIFS(Base!$A$3:$A$5001,AI$3,Base!$B$3:$B$5001,$A$79,Base!$U$3:$U$5001,"&lt;&gt;")=0,"",SUMIFS(Base!$U$3:$U$5001,Base!$A$3:$A$5001,AI$3,Base!$B$3:$B$5001,$A$79)))</f>
        <v/>
      </c>
      <c r="AJ87" s="66" t="str">
        <f>IF(AJ$3="","",IF(COUNTIFS(Base!$A$3:$A$5001,AJ$3,Base!$B$3:$B$5001,$A$79,Base!$U$3:$U$5001,"&lt;&gt;")=0,"",SUMIFS(Base!$U$3:$U$5001,Base!$A$3:$A$5001,AJ$3,Base!$B$3:$B$5001,$A$79)))</f>
        <v/>
      </c>
      <c r="AK87" s="67">
        <f>IF(COUNT(F87:AJ87)=0,"",SUM(F87:AJ87))</f>
        <v>1</v>
      </c>
    </row>
    <row r="88" ht="15.75" customHeight="1">
      <c r="A88" s="118"/>
      <c r="B88" s="112"/>
      <c r="C88" s="68" t="inlineStr">
        <is>
          <t xml:space="preserve">No show</t>
        </is>
      </c>
      <c r="D88" s="69" t="str">
        <f>IFERROR(1/(1/INDEX(calculos!$C$55:$K$83,MATCH("NC No show",calculos!$A$55:$A$83,0),MATCH($A$79,calculos!$C$54:$K$54,0))),"")</f>
        <v/>
      </c>
      <c r="E88" s="70"/>
      <c r="F88" s="71">
        <f>IF(F$3="","",IF(COUNTIFS(Base!$A$3:$A$5001,F$3,Base!$B$3:$B$5001,$A$79,Base!$V$3:$V$5001,"&lt;&gt;")=0,"",SUMIFS(Base!$V$3:$V$5001,Base!$A$3:$A$5001,F$3,Base!$B$3:$B$5001,$A$79)))</f>
        <v>0</v>
      </c>
      <c r="G88" s="72">
        <f>IF(G$3="","",IF(COUNTIFS(Base!$A$3:$A$5001,G$3,Base!$B$3:$B$5001,$A$79,Base!$V$3:$V$5001,"&lt;&gt;")=0,"",SUMIFS(Base!$V$3:$V$5001,Base!$A$3:$A$5001,G$3,Base!$B$3:$B$5001,$A$79)))</f>
        <v>0</v>
      </c>
      <c r="H88" s="72">
        <f>IF(H$3="","",IF(COUNTIFS(Base!$A$3:$A$5001,H$3,Base!$B$3:$B$5001,$A$79,Base!$V$3:$V$5001,"&lt;&gt;")=0,"",SUMIFS(Base!$V$3:$V$5001,Base!$A$3:$A$5001,H$3,Base!$B$3:$B$5001,$A$79)))</f>
        <v>0</v>
      </c>
      <c r="I88" s="72">
        <f>IF(I$3="","",IF(COUNTIFS(Base!$A$3:$A$5001,I$3,Base!$B$3:$B$5001,$A$79,Base!$V$3:$V$5001,"&lt;&gt;")=0,"",SUMIFS(Base!$V$3:$V$5001,Base!$A$3:$A$5001,I$3,Base!$B$3:$B$5001,$A$79)))</f>
        <v>0</v>
      </c>
      <c r="J88" s="72">
        <f>IF(J$3="","",IF(COUNTIFS(Base!$A$3:$A$5001,J$3,Base!$B$3:$B$5001,$A$79,Base!$V$3:$V$5001,"&lt;&gt;")=0,"",SUMIFS(Base!$V$3:$V$5001,Base!$A$3:$A$5001,J$3,Base!$B$3:$B$5001,$A$79)))</f>
        <v>0</v>
      </c>
      <c r="K88" s="72" t="str">
        <f>IF(K$3="","",IF(COUNTIFS(Base!$A$3:$A$5001,K$3,Base!$B$3:$B$5001,$A$79,Base!$V$3:$V$5001,"&lt;&gt;")=0,"",SUMIFS(Base!$V$3:$V$5001,Base!$A$3:$A$5001,K$3,Base!$B$3:$B$5001,$A$79)))</f>
        <v/>
      </c>
      <c r="L88" s="72">
        <f>IF(L$3="","",IF(COUNTIFS(Base!$A$3:$A$5001,L$3,Base!$B$3:$B$5001,$A$79,Base!$V$3:$V$5001,"&lt;&gt;")=0,"",SUMIFS(Base!$V$3:$V$5001,Base!$A$3:$A$5001,L$3,Base!$B$3:$B$5001,$A$79)))</f>
        <v>0</v>
      </c>
      <c r="M88" s="72">
        <f>IF(M$3="","",IF(COUNTIFS(Base!$A$3:$A$5001,M$3,Base!$B$3:$B$5001,$A$79,Base!$V$3:$V$5001,"&lt;&gt;")=0,"",SUMIFS(Base!$V$3:$V$5001,Base!$A$3:$A$5001,M$3,Base!$B$3:$B$5001,$A$79)))</f>
        <v>0</v>
      </c>
      <c r="N88" s="72">
        <f>IF(N$3="","",IF(COUNTIFS(Base!$A$3:$A$5001,N$3,Base!$B$3:$B$5001,$A$79,Base!$V$3:$V$5001,"&lt;&gt;")=0,"",SUMIFS(Base!$V$3:$V$5001,Base!$A$3:$A$5001,N$3,Base!$B$3:$B$5001,$A$79)))</f>
        <v>0</v>
      </c>
      <c r="O88" s="72">
        <f>IF(O$3="","",IF(COUNTIFS(Base!$A$3:$A$5001,O$3,Base!$B$3:$B$5001,$A$79,Base!$V$3:$V$5001,"&lt;&gt;")=0,"",SUMIFS(Base!$V$3:$V$5001,Base!$A$3:$A$5001,O$3,Base!$B$3:$B$5001,$A$79)))</f>
        <v>0</v>
      </c>
      <c r="P88" s="72">
        <f>IF(P$3="","",IF(COUNTIFS(Base!$A$3:$A$5001,P$3,Base!$B$3:$B$5001,$A$79,Base!$V$3:$V$5001,"&lt;&gt;")=0,"",SUMIFS(Base!$V$3:$V$5001,Base!$A$3:$A$5001,P$3,Base!$B$3:$B$5001,$A$79)))</f>
        <v>1</v>
      </c>
      <c r="Q88" s="72">
        <f>IF(Q$3="","",IF(COUNTIFS(Base!$A$3:$A$5001,Q$3,Base!$B$3:$B$5001,$A$79,Base!$V$3:$V$5001,"&lt;&gt;")=0,"",SUMIFS(Base!$V$3:$V$5001,Base!$A$3:$A$5001,Q$3,Base!$B$3:$B$5001,$A$79)))</f>
        <v>1</v>
      </c>
      <c r="R88" s="72" t="str">
        <f>IF(R$3="","",IF(COUNTIFS(Base!$A$3:$A$5001,R$3,Base!$B$3:$B$5001,$A$79,Base!$V$3:$V$5001,"&lt;&gt;")=0,"",SUMIFS(Base!$V$3:$V$5001,Base!$A$3:$A$5001,R$3,Base!$B$3:$B$5001,$A$79)))</f>
        <v/>
      </c>
      <c r="S88" s="72">
        <f>IF(S$3="","",IF(COUNTIFS(Base!$A$3:$A$5001,S$3,Base!$B$3:$B$5001,$A$79,Base!$V$3:$V$5001,"&lt;&gt;")=0,"",SUMIFS(Base!$V$3:$V$5001,Base!$A$3:$A$5001,S$3,Base!$B$3:$B$5001,$A$79)))</f>
        <v>0</v>
      </c>
      <c r="T88" s="72">
        <f>IF(T$3="","",IF(COUNTIFS(Base!$A$3:$A$5001,T$3,Base!$B$3:$B$5001,$A$79,Base!$V$3:$V$5001,"&lt;&gt;")=0,"",SUMIFS(Base!$V$3:$V$5001,Base!$A$3:$A$5001,T$3,Base!$B$3:$B$5001,$A$79)))</f>
        <v>0</v>
      </c>
      <c r="U88" s="72">
        <f>IF(U$3="","",IF(COUNTIFS(Base!$A$3:$A$5001,U$3,Base!$B$3:$B$5001,$A$79,Base!$V$3:$V$5001,"&lt;&gt;")=0,"",SUMIFS(Base!$V$3:$V$5001,Base!$A$3:$A$5001,U$3,Base!$B$3:$B$5001,$A$79)))</f>
        <v>0</v>
      </c>
      <c r="V88" s="72">
        <f>IF(V$3="","",IF(COUNTIFS(Base!$A$3:$A$5001,V$3,Base!$B$3:$B$5001,$A$79,Base!$V$3:$V$5001,"&lt;&gt;")=0,"",SUMIFS(Base!$V$3:$V$5001,Base!$A$3:$A$5001,V$3,Base!$B$3:$B$5001,$A$79)))</f>
        <v>0</v>
      </c>
      <c r="W88" s="72">
        <f>IF(W$3="","",IF(COUNTIFS(Base!$A$3:$A$5001,W$3,Base!$B$3:$B$5001,$A$79,Base!$V$3:$V$5001,"&lt;&gt;")=0,"",SUMIFS(Base!$V$3:$V$5001,Base!$A$3:$A$5001,W$3,Base!$B$3:$B$5001,$A$79)))</f>
        <v>0</v>
      </c>
      <c r="X88" s="72">
        <f>IF(X$3="","",IF(COUNTIFS(Base!$A$3:$A$5001,X$3,Base!$B$3:$B$5001,$A$79,Base!$V$3:$V$5001,"&lt;&gt;")=0,"",SUMIFS(Base!$V$3:$V$5001,Base!$A$3:$A$5001,X$3,Base!$B$3:$B$5001,$A$79)))</f>
        <v>0</v>
      </c>
      <c r="Y88" s="72" t="str">
        <f>IF(Y$3="","",IF(COUNTIFS(Base!$A$3:$A$5001,Y$3,Base!$B$3:$B$5001,$A$79,Base!$V$3:$V$5001,"&lt;&gt;")=0,"",SUMIFS(Base!$V$3:$V$5001,Base!$A$3:$A$5001,Y$3,Base!$B$3:$B$5001,$A$79)))</f>
        <v/>
      </c>
      <c r="Z88" s="72">
        <f>IF(Z$3="","",IF(COUNTIFS(Base!$A$3:$A$5001,Z$3,Base!$B$3:$B$5001,$A$79,Base!$V$3:$V$5001,"&lt;&gt;")=0,"",SUMIFS(Base!$V$3:$V$5001,Base!$A$3:$A$5001,Z$3,Base!$B$3:$B$5001,$A$79)))</f>
        <v>0</v>
      </c>
      <c r="AA88" s="72">
        <f>IF(AA$3="","",IF(COUNTIFS(Base!$A$3:$A$5001,AA$3,Base!$B$3:$B$5001,$A$79,Base!$V$3:$V$5001,"&lt;&gt;")=0,"",SUMIFS(Base!$V$3:$V$5001,Base!$A$3:$A$5001,AA$3,Base!$B$3:$B$5001,$A$79)))</f>
        <v>0</v>
      </c>
      <c r="AB88" s="72">
        <f>IF(AB$3="","",IF(COUNTIFS(Base!$A$3:$A$5001,AB$3,Base!$B$3:$B$5001,$A$79,Base!$V$3:$V$5001,"&lt;&gt;")=0,"",SUMIFS(Base!$V$3:$V$5001,Base!$A$3:$A$5001,AB$3,Base!$B$3:$B$5001,$A$79)))</f>
        <v>1</v>
      </c>
      <c r="AC88" s="72">
        <f>IF(AC$3="","",IF(COUNTIFS(Base!$A$3:$A$5001,AC$3,Base!$B$3:$B$5001,$A$79,Base!$V$3:$V$5001,"&lt;&gt;")=0,"",SUMIFS(Base!$V$3:$V$5001,Base!$A$3:$A$5001,AC$3,Base!$B$3:$B$5001,$A$79)))</f>
        <v>0</v>
      </c>
      <c r="AD88" s="72">
        <f>IF(AD$3="","",IF(COUNTIFS(Base!$A$3:$A$5001,AD$3,Base!$B$3:$B$5001,$A$79,Base!$V$3:$V$5001,"&lt;&gt;")=0,"",SUMIFS(Base!$V$3:$V$5001,Base!$A$3:$A$5001,AD$3,Base!$B$3:$B$5001,$A$79)))</f>
        <v>0</v>
      </c>
      <c r="AE88" s="72">
        <f>IF(AE$3="","",IF(COUNTIFS(Base!$A$3:$A$5001,AE$3,Base!$B$3:$B$5001,$A$79,Base!$V$3:$V$5001,"&lt;&gt;")=0,"",SUMIFS(Base!$V$3:$V$5001,Base!$A$3:$A$5001,AE$3,Base!$B$3:$B$5001,$A$79)))</f>
        <v>0</v>
      </c>
      <c r="AF88" s="72" t="str">
        <f>IF(AF$3="","",IF(COUNTIFS(Base!$A$3:$A$5001,AF$3,Base!$B$3:$B$5001,$A$79,Base!$V$3:$V$5001,"&lt;&gt;")=0,"",SUMIFS(Base!$V$3:$V$5001,Base!$A$3:$A$5001,AF$3,Base!$B$3:$B$5001,$A$79)))</f>
        <v/>
      </c>
      <c r="AG88" s="72">
        <f>IF(AG$3="","",IF(COUNTIFS(Base!$A$3:$A$5001,AG$3,Base!$B$3:$B$5001,$A$79,Base!$V$3:$V$5001,"&lt;&gt;")=0,"",SUMIFS(Base!$V$3:$V$5001,Base!$A$3:$A$5001,AG$3,Base!$B$3:$B$5001,$A$79)))</f>
        <v>0</v>
      </c>
      <c r="AH88" s="72">
        <f>IF(AH$3="","",IF(COUNTIFS(Base!$A$3:$A$5001,AH$3,Base!$B$3:$B$5001,$A$79,Base!$V$3:$V$5001,"&lt;&gt;")=0,"",SUMIFS(Base!$V$3:$V$5001,Base!$A$3:$A$5001,AH$3,Base!$B$3:$B$5001,$A$79)))</f>
        <v>1</v>
      </c>
      <c r="AI88" s="72" t="str">
        <f>IF(AI$3="","",IF(COUNTIFS(Base!$A$3:$A$5001,AI$3,Base!$B$3:$B$5001,$A$79,Base!$V$3:$V$5001,"&lt;&gt;")=0,"",SUMIFS(Base!$V$3:$V$5001,Base!$A$3:$A$5001,AI$3,Base!$B$3:$B$5001,$A$79)))</f>
        <v/>
      </c>
      <c r="AJ88" s="73" t="str">
        <f>IF(AJ$3="","",IF(COUNTIFS(Base!$A$3:$A$5001,AJ$3,Base!$B$3:$B$5001,$A$79,Base!$V$3:$V$5001,"&lt;&gt;")=0,"",SUMIFS(Base!$V$3:$V$5001,Base!$A$3:$A$5001,AJ$3,Base!$B$3:$B$5001,$A$79)))</f>
        <v/>
      </c>
      <c r="AK88" s="74">
        <f>IF(COUNT(F88:AJ88)=0,"",SUM(F88:AJ88))</f>
        <v>4</v>
      </c>
    </row>
    <row r="89" ht="15.75" customHeight="1">
      <c r="A89" s="118"/>
      <c r="B89" s="113"/>
      <c r="C89" s="75" t="inlineStr">
        <is>
          <t xml:space="preserve">Backlog</t>
        </is>
      </c>
      <c r="D89" s="76" t="str">
        <f>IFERROR(1/(1/INDEX(calculos!$C$55:$K$83,MATCH("NC Backlog",calculos!$A$55:$A$83,0),MATCH($A$79,calculos!$C$54:$K$54,0))),"")</f>
        <v/>
      </c>
      <c r="E89" s="77"/>
      <c r="F89" s="78" t="str">
        <f>IF(F$3="","",IF(COUNTIFS(Base!$A$3:$A$5001,F$3,Base!$B$3:$B$5001,$A$79,Base!$W$3:$W$5001,"&lt;&gt;")=0,"",SUMIFS(Base!$W$3:$W$5001,Base!$A$3:$A$5001,F$3,Base!$B$3:$B$5001,$A$79)))</f>
        <v/>
      </c>
      <c r="G89" s="79" t="str">
        <f>IF(G$3="","",IF(COUNTIFS(Base!$A$3:$A$5001,G$3,Base!$B$3:$B$5001,$A$79,Base!$W$3:$W$5001,"&lt;&gt;")=0,"",SUMIFS(Base!$W$3:$W$5001,Base!$A$3:$A$5001,G$3,Base!$B$3:$B$5001,$A$79)))</f>
        <v/>
      </c>
      <c r="H89" s="79" t="str">
        <f>IF(H$3="","",IF(COUNTIFS(Base!$A$3:$A$5001,H$3,Base!$B$3:$B$5001,$A$79,Base!$W$3:$W$5001,"&lt;&gt;")=0,"",SUMIFS(Base!$W$3:$W$5001,Base!$A$3:$A$5001,H$3,Base!$B$3:$B$5001,$A$79)))</f>
        <v/>
      </c>
      <c r="I89" s="79" t="str">
        <f>IF(I$3="","",IF(COUNTIFS(Base!$A$3:$A$5001,I$3,Base!$B$3:$B$5001,$A$79,Base!$W$3:$W$5001,"&lt;&gt;")=0,"",SUMIFS(Base!$W$3:$W$5001,Base!$A$3:$A$5001,I$3,Base!$B$3:$B$5001,$A$79)))</f>
        <v/>
      </c>
      <c r="J89" s="79" t="str">
        <f>IF(J$3="","",IF(COUNTIFS(Base!$A$3:$A$5001,J$3,Base!$B$3:$B$5001,$A$79,Base!$W$3:$W$5001,"&lt;&gt;")=0,"",SUMIFS(Base!$W$3:$W$5001,Base!$A$3:$A$5001,J$3,Base!$B$3:$B$5001,$A$79)))</f>
        <v/>
      </c>
      <c r="K89" s="79" t="str">
        <f>IF(K$3="","",IF(COUNTIFS(Base!$A$3:$A$5001,K$3,Base!$B$3:$B$5001,$A$79,Base!$W$3:$W$5001,"&lt;&gt;")=0,"",SUMIFS(Base!$W$3:$W$5001,Base!$A$3:$A$5001,K$3,Base!$B$3:$B$5001,$A$79)))</f>
        <v/>
      </c>
      <c r="L89" s="79" t="str">
        <f>IF(L$3="","",IF(COUNTIFS(Base!$A$3:$A$5001,L$3,Base!$B$3:$B$5001,$A$79,Base!$W$3:$W$5001,"&lt;&gt;")=0,"",SUMIFS(Base!$W$3:$W$5001,Base!$A$3:$A$5001,L$3,Base!$B$3:$B$5001,$A$79)))</f>
        <v/>
      </c>
      <c r="M89" s="79" t="str">
        <f>IF(M$3="","",IF(COUNTIFS(Base!$A$3:$A$5001,M$3,Base!$B$3:$B$5001,$A$79,Base!$W$3:$W$5001,"&lt;&gt;")=0,"",SUMIFS(Base!$W$3:$W$5001,Base!$A$3:$A$5001,M$3,Base!$B$3:$B$5001,$A$79)))</f>
        <v/>
      </c>
      <c r="N89" s="79">
        <f>IF(N$3="","",IF(COUNTIFS(Base!$A$3:$A$5001,N$3,Base!$B$3:$B$5001,$A$79,Base!$W$3:$W$5001,"&lt;&gt;")=0,"",SUMIFS(Base!$W$3:$W$5001,Base!$A$3:$A$5001,N$3,Base!$B$3:$B$5001,$A$79)))</f>
        <v>3</v>
      </c>
      <c r="O89" s="79" t="str">
        <f>IF(O$3="","",IF(COUNTIFS(Base!$A$3:$A$5001,O$3,Base!$B$3:$B$5001,$A$79,Base!$W$3:$W$5001,"&lt;&gt;")=0,"",SUMIFS(Base!$W$3:$W$5001,Base!$A$3:$A$5001,O$3,Base!$B$3:$B$5001,$A$79)))</f>
        <v/>
      </c>
      <c r="P89" s="79" t="str">
        <f>IF(P$3="","",IF(COUNTIFS(Base!$A$3:$A$5001,P$3,Base!$B$3:$B$5001,$A$79,Base!$W$3:$W$5001,"&lt;&gt;")=0,"",SUMIFS(Base!$W$3:$W$5001,Base!$A$3:$A$5001,P$3,Base!$B$3:$B$5001,$A$79)))</f>
        <v/>
      </c>
      <c r="Q89" s="79" t="str">
        <f>IF(Q$3="","",IF(COUNTIFS(Base!$A$3:$A$5001,Q$3,Base!$B$3:$B$5001,$A$79,Base!$W$3:$W$5001,"&lt;&gt;")=0,"",SUMIFS(Base!$W$3:$W$5001,Base!$A$3:$A$5001,Q$3,Base!$B$3:$B$5001,$A$79)))</f>
        <v/>
      </c>
      <c r="R89" s="79" t="str">
        <f>IF(R$3="","",IF(COUNTIFS(Base!$A$3:$A$5001,R$3,Base!$B$3:$B$5001,$A$79,Base!$W$3:$W$5001,"&lt;&gt;")=0,"",SUMIFS(Base!$W$3:$W$5001,Base!$A$3:$A$5001,R$3,Base!$B$3:$B$5001,$A$79)))</f>
        <v/>
      </c>
      <c r="S89" s="79" t="str">
        <f>IF(S$3="","",IF(COUNTIFS(Base!$A$3:$A$5001,S$3,Base!$B$3:$B$5001,$A$79,Base!$W$3:$W$5001,"&lt;&gt;")=0,"",SUMIFS(Base!$W$3:$W$5001,Base!$A$3:$A$5001,S$3,Base!$B$3:$B$5001,$A$79)))</f>
        <v/>
      </c>
      <c r="T89" s="79" t="str">
        <f>IF(T$3="","",IF(COUNTIFS(Base!$A$3:$A$5001,T$3,Base!$B$3:$B$5001,$A$79,Base!$W$3:$W$5001,"&lt;&gt;")=0,"",SUMIFS(Base!$W$3:$W$5001,Base!$A$3:$A$5001,T$3,Base!$B$3:$B$5001,$A$79)))</f>
        <v/>
      </c>
      <c r="U89" s="79">
        <f>IF(U$3="","",IF(COUNTIFS(Base!$A$3:$A$5001,U$3,Base!$B$3:$B$5001,$A$79,Base!$W$3:$W$5001,"&lt;&gt;")=0,"",SUMIFS(Base!$W$3:$W$5001,Base!$A$3:$A$5001,U$3,Base!$B$3:$B$5001,$A$79)))</f>
        <v>14</v>
      </c>
      <c r="V89" s="79" t="str">
        <f>IF(V$3="","",IF(COUNTIFS(Base!$A$3:$A$5001,V$3,Base!$B$3:$B$5001,$A$79,Base!$W$3:$W$5001,"&lt;&gt;")=0,"",SUMIFS(Base!$W$3:$W$5001,Base!$A$3:$A$5001,V$3,Base!$B$3:$B$5001,$A$79)))</f>
        <v/>
      </c>
      <c r="W89" s="79" t="str">
        <f>IF(W$3="","",IF(COUNTIFS(Base!$A$3:$A$5001,W$3,Base!$B$3:$B$5001,$A$79,Base!$W$3:$W$5001,"&lt;&gt;")=0,"",SUMIFS(Base!$W$3:$W$5001,Base!$A$3:$A$5001,W$3,Base!$B$3:$B$5001,$A$79)))</f>
        <v/>
      </c>
      <c r="X89" s="79">
        <f>IF(X$3="","",IF(COUNTIFS(Base!$A$3:$A$5001,X$3,Base!$B$3:$B$5001,$A$79,Base!$W$3:$W$5001,"&lt;&gt;")=0,"",SUMIFS(Base!$W$3:$W$5001,Base!$A$3:$A$5001,X$3,Base!$B$3:$B$5001,$A$79)))</f>
        <v>13</v>
      </c>
      <c r="Y89" s="79" t="str">
        <f>IF(Y$3="","",IF(COUNTIFS(Base!$A$3:$A$5001,Y$3,Base!$B$3:$B$5001,$A$79,Base!$W$3:$W$5001,"&lt;&gt;")=0,"",SUMIFS(Base!$W$3:$W$5001,Base!$A$3:$A$5001,Y$3,Base!$B$3:$B$5001,$A$79)))</f>
        <v/>
      </c>
      <c r="Z89" s="79">
        <f>IF(Z$3="","",IF(COUNTIFS(Base!$A$3:$A$5001,Z$3,Base!$B$3:$B$5001,$A$79,Base!$W$3:$W$5001,"&lt;&gt;")=0,"",SUMIFS(Base!$W$3:$W$5001,Base!$A$3:$A$5001,Z$3,Base!$B$3:$B$5001,$A$79)))</f>
        <v>2</v>
      </c>
      <c r="AA89" s="79" t="str">
        <f>IF(AA$3="","",IF(COUNTIFS(Base!$A$3:$A$5001,AA$3,Base!$B$3:$B$5001,$A$79,Base!$W$3:$W$5001,"&lt;&gt;")=0,"",SUMIFS(Base!$W$3:$W$5001,Base!$A$3:$A$5001,AA$3,Base!$B$3:$B$5001,$A$79)))</f>
        <v/>
      </c>
      <c r="AB89" s="79" t="str">
        <f>IF(AB$3="","",IF(COUNTIFS(Base!$A$3:$A$5001,AB$3,Base!$B$3:$B$5001,$A$79,Base!$W$3:$W$5001,"&lt;&gt;")=0,"",SUMIFS(Base!$W$3:$W$5001,Base!$A$3:$A$5001,AB$3,Base!$B$3:$B$5001,$A$79)))</f>
        <v/>
      </c>
      <c r="AC89" s="79" t="str">
        <f>IF(AC$3="","",IF(COUNTIFS(Base!$A$3:$A$5001,AC$3,Base!$B$3:$B$5001,$A$79,Base!$W$3:$W$5001,"&lt;&gt;")=0,"",SUMIFS(Base!$W$3:$W$5001,Base!$A$3:$A$5001,AC$3,Base!$B$3:$B$5001,$A$79)))</f>
        <v/>
      </c>
      <c r="AD89" s="79" t="str">
        <f>IF(AD$3="","",IF(COUNTIFS(Base!$A$3:$A$5001,AD$3,Base!$B$3:$B$5001,$A$79,Base!$W$3:$W$5001,"&lt;&gt;")=0,"",SUMIFS(Base!$W$3:$W$5001,Base!$A$3:$A$5001,AD$3,Base!$B$3:$B$5001,$A$79)))</f>
        <v/>
      </c>
      <c r="AE89" s="79">
        <f>IF(AE$3="","",IF(COUNTIFS(Base!$A$3:$A$5001,AE$3,Base!$B$3:$B$5001,$A$79,Base!$W$3:$W$5001,"&lt;&gt;")=0,"",SUMIFS(Base!$W$3:$W$5001,Base!$A$3:$A$5001,AE$3,Base!$B$3:$B$5001,$A$79)))</f>
        <v>15</v>
      </c>
      <c r="AF89" s="79" t="str">
        <f>IF(AF$3="","",IF(COUNTIFS(Base!$A$3:$A$5001,AF$3,Base!$B$3:$B$5001,$A$79,Base!$W$3:$W$5001,"&lt;&gt;")=0,"",SUMIFS(Base!$W$3:$W$5001,Base!$A$3:$A$5001,AF$3,Base!$B$3:$B$5001,$A$79)))</f>
        <v/>
      </c>
      <c r="AG89" s="79" t="str">
        <f>IF(AG$3="","",IF(COUNTIFS(Base!$A$3:$A$5001,AG$3,Base!$B$3:$B$5001,$A$79,Base!$W$3:$W$5001,"&lt;&gt;")=0,"",SUMIFS(Base!$W$3:$W$5001,Base!$A$3:$A$5001,AG$3,Base!$B$3:$B$5001,$A$79)))</f>
        <v/>
      </c>
      <c r="AH89" s="79" t="str">
        <f>IF(AH$3="","",IF(COUNTIFS(Base!$A$3:$A$5001,AH$3,Base!$B$3:$B$5001,$A$79,Base!$W$3:$W$5001,"&lt;&gt;")=0,"",SUMIFS(Base!$W$3:$W$5001,Base!$A$3:$A$5001,AH$3,Base!$B$3:$B$5001,$A$79)))</f>
        <v/>
      </c>
      <c r="AI89" s="79" t="str">
        <f>IF(AI$3="","",IF(COUNTIFS(Base!$A$3:$A$5001,AI$3,Base!$B$3:$B$5001,$A$79,Base!$W$3:$W$5001,"&lt;&gt;")=0,"",SUMIFS(Base!$W$3:$W$5001,Base!$A$3:$A$5001,AI$3,Base!$B$3:$B$5001,$A$79)))</f>
        <v/>
      </c>
      <c r="AJ89" s="80" t="str">
        <f>IF(AJ$3="","",IF(COUNTIFS(Base!$A$3:$A$5001,AJ$3,Base!$B$3:$B$5001,$A$79,Base!$W$3:$W$5001,"&lt;&gt;")=0,"",SUMIFS(Base!$W$3:$W$5001,Base!$A$3:$A$5001,AJ$3,Base!$B$3:$B$5001,$A$79)))</f>
        <v/>
      </c>
      <c r="AK89" s="76">
        <f>IFERROR(LOOKUP(9.99E+307,F89:AJ89),"")</f>
        <v>15</v>
      </c>
    </row>
    <row r="90" ht="15.75" customHeight="1">
      <c r="A90" s="118"/>
      <c r="B90" s="105" t="inlineStr">
        <is>
          <t xml:space="preserve">OCUPAÇÃO (P.P)</t>
        </is>
      </c>
      <c r="C90" s="21" t="inlineStr">
        <is>
          <t xml:space="preserve">Posições Disponíveis</t>
        </is>
      </c>
      <c r="D90" s="22" t="str">
        <f>IFERROR(1/(1/INDEX(calculos!$C$55:$K$83,MATCH("Posições Disponíveis",calculos!$A$55:$A$83,0),MATCH($A$79,calculos!$C$54:$K$54,0))),"")</f>
        <v/>
      </c>
      <c r="E90" s="23"/>
      <c r="F90" s="24">
        <f>IF(F$3="","",IF(COUNTIFS(Base!$A$3:$A$5001,F$3,Base!$B$3:$B$5001,$A$79,Base!$X$3:$X$5001,"&lt;&gt;")=0,"",SUMIFS(Base!$X$3:$X$5001,Base!$A$3:$A$5001,F$3,Base!$B$3:$B$5001,$A$79)))</f>
        <v>900</v>
      </c>
      <c r="G90" s="25">
        <f>IF(G$3="","",IF(COUNTIFS(Base!$A$3:$A$5001,G$3,Base!$B$3:$B$5001,$A$79,Base!$X$3:$X$5001,"&lt;&gt;")=0,"",SUMIFS(Base!$X$3:$X$5001,Base!$A$3:$A$5001,G$3,Base!$B$3:$B$5001,$A$79)))</f>
        <v>900</v>
      </c>
      <c r="H90" s="25">
        <f>IF(H$3="","",IF(COUNTIFS(Base!$A$3:$A$5001,H$3,Base!$B$3:$B$5001,$A$79,Base!$X$3:$X$5001,"&lt;&gt;")=0,"",SUMIFS(Base!$X$3:$X$5001,Base!$A$3:$A$5001,H$3,Base!$B$3:$B$5001,$A$79)))</f>
        <v>900</v>
      </c>
      <c r="I90" s="25">
        <f>IF(I$3="","",IF(COUNTIFS(Base!$A$3:$A$5001,I$3,Base!$B$3:$B$5001,$A$79,Base!$X$3:$X$5001,"&lt;&gt;")=0,"",SUMIFS(Base!$X$3:$X$5001,Base!$A$3:$A$5001,I$3,Base!$B$3:$B$5001,$A$79)))</f>
        <v>900</v>
      </c>
      <c r="J90" s="25">
        <f>IF(J$3="","",IF(COUNTIFS(Base!$A$3:$A$5001,J$3,Base!$B$3:$B$5001,$A$79,Base!$X$3:$X$5001,"&lt;&gt;")=0,"",SUMIFS(Base!$X$3:$X$5001,Base!$A$3:$A$5001,J$3,Base!$B$3:$B$5001,$A$79)))</f>
        <v>900</v>
      </c>
      <c r="K90" s="25" t="str">
        <f>IF(K$3="","",IF(COUNTIFS(Base!$A$3:$A$5001,K$3,Base!$B$3:$B$5001,$A$79,Base!$X$3:$X$5001,"&lt;&gt;")=0,"",SUMIFS(Base!$X$3:$X$5001,Base!$A$3:$A$5001,K$3,Base!$B$3:$B$5001,$A$79)))</f>
        <v/>
      </c>
      <c r="L90" s="25">
        <f>IF(L$3="","",IF(COUNTIFS(Base!$A$3:$A$5001,L$3,Base!$B$3:$B$5001,$A$79,Base!$X$3:$X$5001,"&lt;&gt;")=0,"",SUMIFS(Base!$X$3:$X$5001,Base!$A$3:$A$5001,L$3,Base!$B$3:$B$5001,$A$79)))</f>
        <v>900</v>
      </c>
      <c r="M90" s="25">
        <f>IF(M$3="","",IF(COUNTIFS(Base!$A$3:$A$5001,M$3,Base!$B$3:$B$5001,$A$79,Base!$X$3:$X$5001,"&lt;&gt;")=0,"",SUMIFS(Base!$X$3:$X$5001,Base!$A$3:$A$5001,M$3,Base!$B$3:$B$5001,$A$79)))</f>
        <v>900</v>
      </c>
      <c r="N90" s="25">
        <f>IF(N$3="","",IF(COUNTIFS(Base!$A$3:$A$5001,N$3,Base!$B$3:$B$5001,$A$79,Base!$X$3:$X$5001,"&lt;&gt;")=0,"",SUMIFS(Base!$X$3:$X$5001,Base!$A$3:$A$5001,N$3,Base!$B$3:$B$5001,$A$79)))</f>
        <v>900</v>
      </c>
      <c r="O90" s="25">
        <f>IF(O$3="","",IF(COUNTIFS(Base!$A$3:$A$5001,O$3,Base!$B$3:$B$5001,$A$79,Base!$X$3:$X$5001,"&lt;&gt;")=0,"",SUMIFS(Base!$X$3:$X$5001,Base!$A$3:$A$5001,O$3,Base!$B$3:$B$5001,$A$79)))</f>
        <v>900</v>
      </c>
      <c r="P90" s="25">
        <f>IF(P$3="","",IF(COUNTIFS(Base!$A$3:$A$5001,P$3,Base!$B$3:$B$5001,$A$79,Base!$X$3:$X$5001,"&lt;&gt;")=0,"",SUMIFS(Base!$X$3:$X$5001,Base!$A$3:$A$5001,P$3,Base!$B$3:$B$5001,$A$79)))</f>
        <v>900</v>
      </c>
      <c r="Q90" s="25">
        <f>IF(Q$3="","",IF(COUNTIFS(Base!$A$3:$A$5001,Q$3,Base!$B$3:$B$5001,$A$79,Base!$X$3:$X$5001,"&lt;&gt;")=0,"",SUMIFS(Base!$X$3:$X$5001,Base!$A$3:$A$5001,Q$3,Base!$B$3:$B$5001,$A$79)))</f>
        <v>900</v>
      </c>
      <c r="R90" s="25" t="str">
        <f>IF(R$3="","",IF(COUNTIFS(Base!$A$3:$A$5001,R$3,Base!$B$3:$B$5001,$A$79,Base!$X$3:$X$5001,"&lt;&gt;")=0,"",SUMIFS(Base!$X$3:$X$5001,Base!$A$3:$A$5001,R$3,Base!$B$3:$B$5001,$A$79)))</f>
        <v/>
      </c>
      <c r="S90" s="25">
        <f>IF(S$3="","",IF(COUNTIFS(Base!$A$3:$A$5001,S$3,Base!$B$3:$B$5001,$A$79,Base!$X$3:$X$5001,"&lt;&gt;")=0,"",SUMIFS(Base!$X$3:$X$5001,Base!$A$3:$A$5001,S$3,Base!$B$3:$B$5001,$A$79)))</f>
        <v>900</v>
      </c>
      <c r="T90" s="25">
        <f>IF(T$3="","",IF(COUNTIFS(Base!$A$3:$A$5001,T$3,Base!$B$3:$B$5001,$A$79,Base!$X$3:$X$5001,"&lt;&gt;")=0,"",SUMIFS(Base!$X$3:$X$5001,Base!$A$3:$A$5001,T$3,Base!$B$3:$B$5001,$A$79)))</f>
        <v>900</v>
      </c>
      <c r="U90" s="25">
        <f>IF(U$3="","",IF(COUNTIFS(Base!$A$3:$A$5001,U$3,Base!$B$3:$B$5001,$A$79,Base!$X$3:$X$5001,"&lt;&gt;")=0,"",SUMIFS(Base!$X$3:$X$5001,Base!$A$3:$A$5001,U$3,Base!$B$3:$B$5001,$A$79)))</f>
        <v>900</v>
      </c>
      <c r="V90" s="25">
        <f>IF(V$3="","",IF(COUNTIFS(Base!$A$3:$A$5001,V$3,Base!$B$3:$B$5001,$A$79,Base!$X$3:$X$5001,"&lt;&gt;")=0,"",SUMIFS(Base!$X$3:$X$5001,Base!$A$3:$A$5001,V$3,Base!$B$3:$B$5001,$A$79)))</f>
        <v>900</v>
      </c>
      <c r="W90" s="25">
        <f>IF(W$3="","",IF(COUNTIFS(Base!$A$3:$A$5001,W$3,Base!$B$3:$B$5001,$A$79,Base!$X$3:$X$5001,"&lt;&gt;")=0,"",SUMIFS(Base!$X$3:$X$5001,Base!$A$3:$A$5001,W$3,Base!$B$3:$B$5001,$A$79)))</f>
        <v>900</v>
      </c>
      <c r="X90" s="25">
        <f>IF(X$3="","",IF(COUNTIFS(Base!$A$3:$A$5001,X$3,Base!$B$3:$B$5001,$A$79,Base!$X$3:$X$5001,"&lt;&gt;")=0,"",SUMIFS(Base!$X$3:$X$5001,Base!$A$3:$A$5001,X$3,Base!$B$3:$B$5001,$A$79)))</f>
        <v>900</v>
      </c>
      <c r="Y90" s="25" t="str">
        <f>IF(Y$3="","",IF(COUNTIFS(Base!$A$3:$A$5001,Y$3,Base!$B$3:$B$5001,$A$79,Base!$X$3:$X$5001,"&lt;&gt;")=0,"",SUMIFS(Base!$X$3:$X$5001,Base!$A$3:$A$5001,Y$3,Base!$B$3:$B$5001,$A$79)))</f>
        <v/>
      </c>
      <c r="Z90" s="25">
        <f>IF(Z$3="","",IF(COUNTIFS(Base!$A$3:$A$5001,Z$3,Base!$B$3:$B$5001,$A$79,Base!$X$3:$X$5001,"&lt;&gt;")=0,"",SUMIFS(Base!$X$3:$X$5001,Base!$A$3:$A$5001,Z$3,Base!$B$3:$B$5001,$A$79)))</f>
        <v>900</v>
      </c>
      <c r="AA90" s="25">
        <f>IF(AA$3="","",IF(COUNTIFS(Base!$A$3:$A$5001,AA$3,Base!$B$3:$B$5001,$A$79,Base!$X$3:$X$5001,"&lt;&gt;")=0,"",SUMIFS(Base!$X$3:$X$5001,Base!$A$3:$A$5001,AA$3,Base!$B$3:$B$5001,$A$79)))</f>
        <v>900</v>
      </c>
      <c r="AB90" s="25">
        <f>IF(AB$3="","",IF(COUNTIFS(Base!$A$3:$A$5001,AB$3,Base!$B$3:$B$5001,$A$79,Base!$X$3:$X$5001,"&lt;&gt;")=0,"",SUMIFS(Base!$X$3:$X$5001,Base!$A$3:$A$5001,AB$3,Base!$B$3:$B$5001,$A$79)))</f>
        <v>900</v>
      </c>
      <c r="AC90" s="25">
        <f>IF(AC$3="","",IF(COUNTIFS(Base!$A$3:$A$5001,AC$3,Base!$B$3:$B$5001,$A$79,Base!$X$3:$X$5001,"&lt;&gt;")=0,"",SUMIFS(Base!$X$3:$X$5001,Base!$A$3:$A$5001,AC$3,Base!$B$3:$B$5001,$A$79)))</f>
        <v>900</v>
      </c>
      <c r="AD90" s="25">
        <f>IF(AD$3="","",IF(COUNTIFS(Base!$A$3:$A$5001,AD$3,Base!$B$3:$B$5001,$A$79,Base!$X$3:$X$5001,"&lt;&gt;")=0,"",SUMIFS(Base!$X$3:$X$5001,Base!$A$3:$A$5001,AD$3,Base!$B$3:$B$5001,$A$79)))</f>
        <v>900</v>
      </c>
      <c r="AE90" s="25">
        <f>IF(AE$3="","",IF(COUNTIFS(Base!$A$3:$A$5001,AE$3,Base!$B$3:$B$5001,$A$79,Base!$X$3:$X$5001,"&lt;&gt;")=0,"",SUMIFS(Base!$X$3:$X$5001,Base!$A$3:$A$5001,AE$3,Base!$B$3:$B$5001,$A$79)))</f>
        <v>900</v>
      </c>
      <c r="AF90" s="25" t="str">
        <f>IF(AF$3="","",IF(COUNTIFS(Base!$A$3:$A$5001,AF$3,Base!$B$3:$B$5001,$A$79,Base!$X$3:$X$5001,"&lt;&gt;")=0,"",SUMIFS(Base!$X$3:$X$5001,Base!$A$3:$A$5001,AF$3,Base!$B$3:$B$5001,$A$79)))</f>
        <v/>
      </c>
      <c r="AG90" s="25">
        <f>IF(AG$3="","",IF(COUNTIFS(Base!$A$3:$A$5001,AG$3,Base!$B$3:$B$5001,$A$79,Base!$X$3:$X$5001,"&lt;&gt;")=0,"",SUMIFS(Base!$X$3:$X$5001,Base!$A$3:$A$5001,AG$3,Base!$B$3:$B$5001,$A$79)))</f>
        <v>900</v>
      </c>
      <c r="AH90" s="25">
        <f>IF(AH$3="","",IF(COUNTIFS(Base!$A$3:$A$5001,AH$3,Base!$B$3:$B$5001,$A$79,Base!$X$3:$X$5001,"&lt;&gt;")=0,"",SUMIFS(Base!$X$3:$X$5001,Base!$A$3:$A$5001,AH$3,Base!$B$3:$B$5001,$A$79)))</f>
        <v>900</v>
      </c>
      <c r="AI90" s="25" t="str">
        <f>IF(AI$3="","",IF(COUNTIFS(Base!$A$3:$A$5001,AI$3,Base!$B$3:$B$5001,$A$79,Base!$X$3:$X$5001,"&lt;&gt;")=0,"",SUMIFS(Base!$X$3:$X$5001,Base!$A$3:$A$5001,AI$3,Base!$B$3:$B$5001,$A$79)))</f>
        <v/>
      </c>
      <c r="AJ90" s="26" t="str">
        <f>IF(AJ$3="","",IF(COUNTIFS(Base!$A$3:$A$5001,AJ$3,Base!$B$3:$B$5001,$A$79,Base!$X$3:$X$5001,"&lt;&gt;")=0,"",SUMIFS(Base!$X$3:$X$5001,Base!$A$3:$A$5001,AJ$3,Base!$B$3:$B$5001,$A$79)))</f>
        <v/>
      </c>
      <c r="AK90" s="27">
        <f>IFERROR(LOOKUP(9.99E+307,F90:AJ90),"")</f>
        <v>900</v>
      </c>
    </row>
    <row r="91" ht="15.75" customHeight="1">
      <c r="A91" s="118"/>
      <c r="B91" s="106"/>
      <c r="C91" s="28" t="inlineStr">
        <is>
          <t xml:space="preserve">Posições Ocupadas</t>
        </is>
      </c>
      <c r="D91" s="29" t="str">
        <f>IFERROR(1/(1/INDEX(calculos!$C$55:$K$83,MATCH("Posições Ocupadas",calculos!$A$55:$A$83,0),MATCH($A$79,calculos!$C$54:$K$54,0))),"")</f>
        <v/>
      </c>
      <c r="E91" s="30"/>
      <c r="F91" s="31">
        <f>IF(F$3="","",IF(COUNTIFS(Base!$A$3:$A$5001,F$3,Base!$B$3:$B$5001,$A$79,Base!$Y$3:$Y$5001,"&lt;&gt;")=0,"",SUMIFS(Base!$Y$3:$Y$5001,Base!$A$3:$A$5001,F$3,Base!$B$3:$B$5001,$A$79)))</f>
        <v>818</v>
      </c>
      <c r="G91" s="32">
        <f>IF(G$3="","",IF(COUNTIFS(Base!$A$3:$A$5001,G$3,Base!$B$3:$B$5001,$A$79,Base!$Y$3:$Y$5001,"&lt;&gt;")=0,"",SUMIFS(Base!$Y$3:$Y$5001,Base!$A$3:$A$5001,G$3,Base!$B$3:$B$5001,$A$79)))</f>
        <v>764</v>
      </c>
      <c r="H91" s="32">
        <f>IF(H$3="","",IF(COUNTIFS(Base!$A$3:$A$5001,H$3,Base!$B$3:$B$5001,$A$79,Base!$Y$3:$Y$5001,"&lt;&gt;")=0,"",SUMIFS(Base!$Y$3:$Y$5001,Base!$A$3:$A$5001,H$3,Base!$B$3:$B$5001,$A$79)))</f>
        <v>810</v>
      </c>
      <c r="I91" s="32">
        <f>IF(I$3="","",IF(COUNTIFS(Base!$A$3:$A$5001,I$3,Base!$B$3:$B$5001,$A$79,Base!$Y$3:$Y$5001,"&lt;&gt;")=0,"",SUMIFS(Base!$Y$3:$Y$5001,Base!$A$3:$A$5001,I$3,Base!$B$3:$B$5001,$A$79)))</f>
        <v>797</v>
      </c>
      <c r="J91" s="32">
        <f>IF(J$3="","",IF(COUNTIFS(Base!$A$3:$A$5001,J$3,Base!$B$3:$B$5001,$A$79,Base!$Y$3:$Y$5001,"&lt;&gt;")=0,"",SUMIFS(Base!$Y$3:$Y$5001,Base!$A$3:$A$5001,J$3,Base!$B$3:$B$5001,$A$79)))</f>
        <v>754</v>
      </c>
      <c r="K91" s="32" t="str">
        <f>IF(K$3="","",IF(COUNTIFS(Base!$A$3:$A$5001,K$3,Base!$B$3:$B$5001,$A$79,Base!$Y$3:$Y$5001,"&lt;&gt;")=0,"",SUMIFS(Base!$Y$3:$Y$5001,Base!$A$3:$A$5001,K$3,Base!$B$3:$B$5001,$A$79)))</f>
        <v/>
      </c>
      <c r="L91" s="32">
        <f>IF(L$3="","",IF(COUNTIFS(Base!$A$3:$A$5001,L$3,Base!$B$3:$B$5001,$A$79,Base!$Y$3:$Y$5001,"&lt;&gt;")=0,"",SUMIFS(Base!$Y$3:$Y$5001,Base!$A$3:$A$5001,L$3,Base!$B$3:$B$5001,$A$79)))</f>
        <v>759</v>
      </c>
      <c r="M91" s="32">
        <f>IF(M$3="","",IF(COUNTIFS(Base!$A$3:$A$5001,M$3,Base!$B$3:$B$5001,$A$79,Base!$Y$3:$Y$5001,"&lt;&gt;")=0,"",SUMIFS(Base!$Y$3:$Y$5001,Base!$A$3:$A$5001,M$3,Base!$B$3:$B$5001,$A$79)))</f>
        <v>727</v>
      </c>
      <c r="N91" s="32">
        <f>IF(N$3="","",IF(COUNTIFS(Base!$A$3:$A$5001,N$3,Base!$B$3:$B$5001,$A$79,Base!$Y$3:$Y$5001,"&lt;&gt;")=0,"",SUMIFS(Base!$Y$3:$Y$5001,Base!$A$3:$A$5001,N$3,Base!$B$3:$B$5001,$A$79)))</f>
        <v>791</v>
      </c>
      <c r="O91" s="32">
        <f>IF(O$3="","",IF(COUNTIFS(Base!$A$3:$A$5001,O$3,Base!$B$3:$B$5001,$A$79,Base!$Y$3:$Y$5001,"&lt;&gt;")=0,"",SUMIFS(Base!$Y$3:$Y$5001,Base!$A$3:$A$5001,O$3,Base!$B$3:$B$5001,$A$79)))</f>
        <v>700</v>
      </c>
      <c r="P91" s="32">
        <f>IF(P$3="","",IF(COUNTIFS(Base!$A$3:$A$5001,P$3,Base!$B$3:$B$5001,$A$79,Base!$Y$3:$Y$5001,"&lt;&gt;")=0,"",SUMIFS(Base!$Y$3:$Y$5001,Base!$A$3:$A$5001,P$3,Base!$B$3:$B$5001,$A$79)))</f>
        <v>823</v>
      </c>
      <c r="Q91" s="32">
        <f>IF(Q$3="","",IF(COUNTIFS(Base!$A$3:$A$5001,Q$3,Base!$B$3:$B$5001,$A$79,Base!$Y$3:$Y$5001,"&lt;&gt;")=0,"",SUMIFS(Base!$Y$3:$Y$5001,Base!$A$3:$A$5001,Q$3,Base!$B$3:$B$5001,$A$79)))</f>
        <v>733</v>
      </c>
      <c r="R91" s="32" t="str">
        <f>IF(R$3="","",IF(COUNTIFS(Base!$A$3:$A$5001,R$3,Base!$B$3:$B$5001,$A$79,Base!$Y$3:$Y$5001,"&lt;&gt;")=0,"",SUMIFS(Base!$Y$3:$Y$5001,Base!$A$3:$A$5001,R$3,Base!$B$3:$B$5001,$A$79)))</f>
        <v/>
      </c>
      <c r="S91" s="32">
        <f>IF(S$3="","",IF(COUNTIFS(Base!$A$3:$A$5001,S$3,Base!$B$3:$B$5001,$A$79,Base!$Y$3:$Y$5001,"&lt;&gt;")=0,"",SUMIFS(Base!$Y$3:$Y$5001,Base!$A$3:$A$5001,S$3,Base!$B$3:$B$5001,$A$79)))</f>
        <v>504</v>
      </c>
      <c r="T91" s="32">
        <f>IF(T$3="","",IF(COUNTIFS(Base!$A$3:$A$5001,T$3,Base!$B$3:$B$5001,$A$79,Base!$Y$3:$Y$5001,"&lt;&gt;")=0,"",SUMIFS(Base!$Y$3:$Y$5001,Base!$A$3:$A$5001,T$3,Base!$B$3:$B$5001,$A$79)))</f>
        <v>503</v>
      </c>
      <c r="U91" s="32">
        <f>IF(U$3="","",IF(COUNTIFS(Base!$A$3:$A$5001,U$3,Base!$B$3:$B$5001,$A$79,Base!$Y$3:$Y$5001,"&lt;&gt;")=0,"",SUMIFS(Base!$Y$3:$Y$5001,Base!$A$3:$A$5001,U$3,Base!$B$3:$B$5001,$A$79)))</f>
        <v>660</v>
      </c>
      <c r="V91" s="32">
        <f>IF(V$3="","",IF(COUNTIFS(Base!$A$3:$A$5001,V$3,Base!$B$3:$B$5001,$A$79,Base!$Y$3:$Y$5001,"&lt;&gt;")=0,"",SUMIFS(Base!$Y$3:$Y$5001,Base!$A$3:$A$5001,V$3,Base!$B$3:$B$5001,$A$79)))</f>
        <v>786</v>
      </c>
      <c r="W91" s="32">
        <f>IF(W$3="","",IF(COUNTIFS(Base!$A$3:$A$5001,W$3,Base!$B$3:$B$5001,$A$79,Base!$Y$3:$Y$5001,"&lt;&gt;")=0,"",SUMIFS(Base!$Y$3:$Y$5001,Base!$A$3:$A$5001,W$3,Base!$B$3:$B$5001,$A$79)))</f>
        <v>718</v>
      </c>
      <c r="X91" s="32">
        <f>IF(X$3="","",IF(COUNTIFS(Base!$A$3:$A$5001,X$3,Base!$B$3:$B$5001,$A$79,Base!$Y$3:$Y$5001,"&lt;&gt;")=0,"",SUMIFS(Base!$Y$3:$Y$5001,Base!$A$3:$A$5001,X$3,Base!$B$3:$B$5001,$A$79)))</f>
        <v>577</v>
      </c>
      <c r="Y91" s="32" t="str">
        <f>IF(Y$3="","",IF(COUNTIFS(Base!$A$3:$A$5001,Y$3,Base!$B$3:$B$5001,$A$79,Base!$Y$3:$Y$5001,"&lt;&gt;")=0,"",SUMIFS(Base!$Y$3:$Y$5001,Base!$A$3:$A$5001,Y$3,Base!$B$3:$B$5001,$A$79)))</f>
        <v/>
      </c>
      <c r="Z91" s="32">
        <f>IF(Z$3="","",IF(COUNTIFS(Base!$A$3:$A$5001,Z$3,Base!$B$3:$B$5001,$A$79,Base!$Y$3:$Y$5001,"&lt;&gt;")=0,"",SUMIFS(Base!$Y$3:$Y$5001,Base!$A$3:$A$5001,Z$3,Base!$B$3:$B$5001,$A$79)))</f>
        <v>507</v>
      </c>
      <c r="AA91" s="32">
        <f>IF(AA$3="","",IF(COUNTIFS(Base!$A$3:$A$5001,AA$3,Base!$B$3:$B$5001,$A$79,Base!$Y$3:$Y$5001,"&lt;&gt;")=0,"",SUMIFS(Base!$Y$3:$Y$5001,Base!$A$3:$A$5001,AA$3,Base!$B$3:$B$5001,$A$79)))</f>
        <v>802</v>
      </c>
      <c r="AB91" s="32">
        <f>IF(AB$3="","",IF(COUNTIFS(Base!$A$3:$A$5001,AB$3,Base!$B$3:$B$5001,$A$79,Base!$Y$3:$Y$5001,"&lt;&gt;")=0,"",SUMIFS(Base!$Y$3:$Y$5001,Base!$A$3:$A$5001,AB$3,Base!$B$3:$B$5001,$A$79)))</f>
        <v>834</v>
      </c>
      <c r="AC91" s="32">
        <f>IF(AC$3="","",IF(COUNTIFS(Base!$A$3:$A$5001,AC$3,Base!$B$3:$B$5001,$A$79,Base!$Y$3:$Y$5001,"&lt;&gt;")=0,"",SUMIFS(Base!$Y$3:$Y$5001,Base!$A$3:$A$5001,AC$3,Base!$B$3:$B$5001,$A$79)))</f>
        <v>506</v>
      </c>
      <c r="AD91" s="32">
        <f>IF(AD$3="","",IF(COUNTIFS(Base!$A$3:$A$5001,AD$3,Base!$B$3:$B$5001,$A$79,Base!$Y$3:$Y$5001,"&lt;&gt;")=0,"",SUMIFS(Base!$Y$3:$Y$5001,Base!$A$3:$A$5001,AD$3,Base!$B$3:$B$5001,$A$79)))</f>
        <v>769</v>
      </c>
      <c r="AE91" s="32">
        <f>IF(AE$3="","",IF(COUNTIFS(Base!$A$3:$A$5001,AE$3,Base!$B$3:$B$5001,$A$79,Base!$Y$3:$Y$5001,"&lt;&gt;")=0,"",SUMIFS(Base!$Y$3:$Y$5001,Base!$A$3:$A$5001,AE$3,Base!$B$3:$B$5001,$A$79)))</f>
        <v>627</v>
      </c>
      <c r="AF91" s="32" t="str">
        <f>IF(AF$3="","",IF(COUNTIFS(Base!$A$3:$A$5001,AF$3,Base!$B$3:$B$5001,$A$79,Base!$Y$3:$Y$5001,"&lt;&gt;")=0,"",SUMIFS(Base!$Y$3:$Y$5001,Base!$A$3:$A$5001,AF$3,Base!$B$3:$B$5001,$A$79)))</f>
        <v/>
      </c>
      <c r="AG91" s="32">
        <f>IF(AG$3="","",IF(COUNTIFS(Base!$A$3:$A$5001,AG$3,Base!$B$3:$B$5001,$A$79,Base!$Y$3:$Y$5001,"&lt;&gt;")=0,"",SUMIFS(Base!$Y$3:$Y$5001,Base!$A$3:$A$5001,AG$3,Base!$B$3:$B$5001,$A$79)))</f>
        <v>770</v>
      </c>
      <c r="AH91" s="32">
        <f>IF(AH$3="","",IF(COUNTIFS(Base!$A$3:$A$5001,AH$3,Base!$B$3:$B$5001,$A$79,Base!$Y$3:$Y$5001,"&lt;&gt;")=0,"",SUMIFS(Base!$Y$3:$Y$5001,Base!$A$3:$A$5001,AH$3,Base!$B$3:$B$5001,$A$79)))</f>
        <v>738</v>
      </c>
      <c r="AI91" s="32" t="str">
        <f>IF(AI$3="","",IF(COUNTIFS(Base!$A$3:$A$5001,AI$3,Base!$B$3:$B$5001,$A$79,Base!$Y$3:$Y$5001,"&lt;&gt;")=0,"",SUMIFS(Base!$Y$3:$Y$5001,Base!$A$3:$A$5001,AI$3,Base!$B$3:$B$5001,$A$79)))</f>
        <v/>
      </c>
      <c r="AJ91" s="33" t="str">
        <f>IF(AJ$3="","",IF(COUNTIFS(Base!$A$3:$A$5001,AJ$3,Base!$B$3:$B$5001,$A$79,Base!$Y$3:$Y$5001,"&lt;&gt;")=0,"",SUMIFS(Base!$Y$3:$Y$5001,Base!$A$3:$A$5001,AJ$3,Base!$B$3:$B$5001,$A$79)))</f>
        <v/>
      </c>
      <c r="AK91" s="34">
        <f>IFERROR(LOOKUP(9.99E+307,F91:AJ91),"")</f>
        <v>738</v>
      </c>
    </row>
    <row r="92" ht="15.75" customHeight="1">
      <c r="A92" s="118"/>
      <c r="B92" s="107"/>
      <c r="C92" s="35" t="inlineStr">
        <is>
          <t xml:space="preserve">Taxa de Ocupação</t>
        </is>
      </c>
      <c r="D92" s="81" t="str">
        <f>IFERROR(1/(1/INDEX(calculos!$C$55:$K$83,MATCH("Taxa de Ocupação",calculos!$A$55:$A$83,0),MATCH($A$79,calculos!$C$54:$K$54,0))),"")</f>
        <v/>
      </c>
      <c r="E92" s="37"/>
      <c r="F92" s="82">
        <f>IF(AND(ISNUMBER(F90),ISNUMBER(F91)),IF(F90&gt;0,F91/F90,""),"")</f>
        <v>0.908888888888889</v>
      </c>
      <c r="G92" s="83">
        <f>IF(AND(ISNUMBER(G90),ISNUMBER(G91)),IF(G90&gt;0,G91/G90,""),"")</f>
        <v>0.848888888888889</v>
      </c>
      <c r="H92" s="83">
        <f>IF(AND(ISNUMBER(H90),ISNUMBER(H91)),IF(H90&gt;0,H91/H90,""),"")</f>
        <v>0.9</v>
      </c>
      <c r="I92" s="83">
        <f>IF(AND(ISNUMBER(I90),ISNUMBER(I91)),IF(I90&gt;0,I91/I90,""),"")</f>
        <v>0.885555555555556</v>
      </c>
      <c r="J92" s="83">
        <f>IF(AND(ISNUMBER(J90),ISNUMBER(J91)),IF(J90&gt;0,J91/J90,""),"")</f>
        <v>0.837777777777778</v>
      </c>
      <c r="K92" s="83" t="str">
        <f>IF(AND(ISNUMBER(K90),ISNUMBER(K91)),IF(K90&gt;0,K91/K90,""),"")</f>
        <v/>
      </c>
      <c r="L92" s="83">
        <f>IF(AND(ISNUMBER(L90),ISNUMBER(L91)),IF(L90&gt;0,L91/L90,""),"")</f>
        <v>0.843333333333333</v>
      </c>
      <c r="M92" s="83">
        <f>IF(AND(ISNUMBER(M90),ISNUMBER(M91)),IF(M90&gt;0,M91/M90,""),"")</f>
        <v>0.807777777777778</v>
      </c>
      <c r="N92" s="83">
        <f>IF(AND(ISNUMBER(N90),ISNUMBER(N91)),IF(N90&gt;0,N91/N90,""),"")</f>
        <v>0.878888888888889</v>
      </c>
      <c r="O92" s="83">
        <f>IF(AND(ISNUMBER(O90),ISNUMBER(O91)),IF(O90&gt;0,O91/O90,""),"")</f>
        <v>0.777777777777778</v>
      </c>
      <c r="P92" s="83">
        <f>IF(AND(ISNUMBER(P90),ISNUMBER(P91)),IF(P90&gt;0,P91/P90,""),"")</f>
        <v>0.914444444444444</v>
      </c>
      <c r="Q92" s="83">
        <f>IF(AND(ISNUMBER(Q90),ISNUMBER(Q91)),IF(Q90&gt;0,Q91/Q90,""),"")</f>
        <v>0.814444444444444</v>
      </c>
      <c r="R92" s="83" t="str">
        <f>IF(AND(ISNUMBER(R90),ISNUMBER(R91)),IF(R90&gt;0,R91/R90,""),"")</f>
        <v/>
      </c>
      <c r="S92" s="83">
        <f>IF(AND(ISNUMBER(S90),ISNUMBER(S91)),IF(S90&gt;0,S91/S90,""),"")</f>
        <v>0.56</v>
      </c>
      <c r="T92" s="83">
        <f>IF(AND(ISNUMBER(T90),ISNUMBER(T91)),IF(T90&gt;0,T91/T90,""),"")</f>
        <v>0.558888888888889</v>
      </c>
      <c r="U92" s="83">
        <f>IF(AND(ISNUMBER(U90),ISNUMBER(U91)),IF(U90&gt;0,U91/U90,""),"")</f>
        <v>0.733333333333333</v>
      </c>
      <c r="V92" s="83">
        <f>IF(AND(ISNUMBER(V90),ISNUMBER(V91)),IF(V90&gt;0,V91/V90,""),"")</f>
        <v>0.873333333333333</v>
      </c>
      <c r="W92" s="83">
        <f>IF(AND(ISNUMBER(W90),ISNUMBER(W91)),IF(W90&gt;0,W91/W90,""),"")</f>
        <v>0.797777777777778</v>
      </c>
      <c r="X92" s="83">
        <f>IF(AND(ISNUMBER(X90),ISNUMBER(X91)),IF(X90&gt;0,X91/X90,""),"")</f>
        <v>0.641111111111111</v>
      </c>
      <c r="Y92" s="83" t="str">
        <f>IF(AND(ISNUMBER(Y90),ISNUMBER(Y91)),IF(Y90&gt;0,Y91/Y90,""),"")</f>
        <v/>
      </c>
      <c r="Z92" s="83">
        <f>IF(AND(ISNUMBER(Z90),ISNUMBER(Z91)),IF(Z90&gt;0,Z91/Z90,""),"")</f>
        <v>0.563333333333333</v>
      </c>
      <c r="AA92" s="83">
        <f>IF(AND(ISNUMBER(AA90),ISNUMBER(AA91)),IF(AA90&gt;0,AA91/AA90,""),"")</f>
        <v>0.891111111111111</v>
      </c>
      <c r="AB92" s="83">
        <f>IF(AND(ISNUMBER(AB90),ISNUMBER(AB91)),IF(AB90&gt;0,AB91/AB90,""),"")</f>
        <v>0.926666666666667</v>
      </c>
      <c r="AC92" s="83">
        <f>IF(AND(ISNUMBER(AC90),ISNUMBER(AC91)),IF(AC90&gt;0,AC91/AC90,""),"")</f>
        <v>0.562222222222222</v>
      </c>
      <c r="AD92" s="83">
        <f>IF(AND(ISNUMBER(AD90),ISNUMBER(AD91)),IF(AD90&gt;0,AD91/AD90,""),"")</f>
        <v>0.854444444444445</v>
      </c>
      <c r="AE92" s="83">
        <f>IF(AND(ISNUMBER(AE90),ISNUMBER(AE91)),IF(AE90&gt;0,AE91/AE90,""),"")</f>
        <v>0.696666666666667</v>
      </c>
      <c r="AF92" s="83" t="str">
        <f>IF(AND(ISNUMBER(AF90),ISNUMBER(AF91)),IF(AF90&gt;0,AF91/AF90,""),"")</f>
        <v/>
      </c>
      <c r="AG92" s="83">
        <f>IF(AND(ISNUMBER(AG90),ISNUMBER(AG91)),IF(AG90&gt;0,AG91/AG90,""),"")</f>
        <v>0.855555555555556</v>
      </c>
      <c r="AH92" s="83">
        <f>IF(AND(ISNUMBER(AH90),ISNUMBER(AH91)),IF(AH90&gt;0,AH91/AH90,""),"")</f>
        <v>0.82</v>
      </c>
      <c r="AI92" s="83" t="str">
        <f>IF(AND(ISNUMBER(AI90),ISNUMBER(AI91)),IF(AI90&gt;0,AI91/AI90,""),"")</f>
        <v/>
      </c>
      <c r="AJ92" s="84" t="str">
        <f>IF(AND(ISNUMBER(AJ90),ISNUMBER(AJ91)),IF(AJ90&gt;0,AJ91/AJ90,""),"")</f>
        <v/>
      </c>
      <c r="AK92" s="81">
        <f>IF(AND(ISNUMBER(AK90),ISNUMBER(AK91)),IF(AK90&gt;0,AK91/AK90,""),"")</f>
        <v>0.82</v>
      </c>
    </row>
    <row r="93" ht="15.75" customHeight="1">
      <c r="A93" s="118"/>
      <c r="B93" s="114" t="inlineStr">
        <is>
          <t xml:space="preserve">GENTE</t>
        </is>
      </c>
      <c r="C93" s="85" t="inlineStr">
        <is>
          <t xml:space="preserve">Efetivo</t>
        </is>
      </c>
      <c r="D93" s="86" t="str">
        <f>IFERROR(1/(1/INDEX(calculos!$C$55:$K$83,MATCH("Efetivo",calculos!$A$55:$A$83,0),MATCH($A$79,calculos!$C$54:$K$54,0))),"")</f>
        <v/>
      </c>
      <c r="E93" s="87"/>
      <c r="F93" s="88">
        <f>IF(F$3="","",IF(COUNTIFS(Base!$A$3:$A$5001,F$3,Base!$B$3:$B$5001,$A$79,Base!$Z$3:$Z$5001,"&lt;&gt;")=0,"",SUMIFS(Base!$Z$3:$Z$5001,Base!$A$3:$A$5001,F$3,Base!$B$3:$B$5001,$A$79)))</f>
        <v>6</v>
      </c>
      <c r="G93" s="89">
        <f>IF(G$3="","",IF(COUNTIFS(Base!$A$3:$A$5001,G$3,Base!$B$3:$B$5001,$A$79,Base!$Z$3:$Z$5001,"&lt;&gt;")=0,"",SUMIFS(Base!$Z$3:$Z$5001,Base!$A$3:$A$5001,G$3,Base!$B$3:$B$5001,$A$79)))</f>
        <v>8</v>
      </c>
      <c r="H93" s="89">
        <f>IF(H$3="","",IF(COUNTIFS(Base!$A$3:$A$5001,H$3,Base!$B$3:$B$5001,$A$79,Base!$Z$3:$Z$5001,"&lt;&gt;")=0,"",SUMIFS(Base!$Z$3:$Z$5001,Base!$A$3:$A$5001,H$3,Base!$B$3:$B$5001,$A$79)))</f>
        <v>14</v>
      </c>
      <c r="I93" s="89">
        <f>IF(I$3="","",IF(COUNTIFS(Base!$A$3:$A$5001,I$3,Base!$B$3:$B$5001,$A$79,Base!$Z$3:$Z$5001,"&lt;&gt;")=0,"",SUMIFS(Base!$Z$3:$Z$5001,Base!$A$3:$A$5001,I$3,Base!$B$3:$B$5001,$A$79)))</f>
        <v>5</v>
      </c>
      <c r="J93" s="89">
        <f>IF(J$3="","",IF(COUNTIFS(Base!$A$3:$A$5001,J$3,Base!$B$3:$B$5001,$A$79,Base!$Z$3:$Z$5001,"&lt;&gt;")=0,"",SUMIFS(Base!$Z$3:$Z$5001,Base!$A$3:$A$5001,J$3,Base!$B$3:$B$5001,$A$79)))</f>
        <v>8</v>
      </c>
      <c r="K93" s="89" t="str">
        <f>IF(K$3="","",IF(COUNTIFS(Base!$A$3:$A$5001,K$3,Base!$B$3:$B$5001,$A$79,Base!$Z$3:$Z$5001,"&lt;&gt;")=0,"",SUMIFS(Base!$Z$3:$Z$5001,Base!$A$3:$A$5001,K$3,Base!$B$3:$B$5001,$A$79)))</f>
        <v/>
      </c>
      <c r="L93" s="89">
        <f>IF(L$3="","",IF(COUNTIFS(Base!$A$3:$A$5001,L$3,Base!$B$3:$B$5001,$A$79,Base!$Z$3:$Z$5001,"&lt;&gt;")=0,"",SUMIFS(Base!$Z$3:$Z$5001,Base!$A$3:$A$5001,L$3,Base!$B$3:$B$5001,$A$79)))</f>
        <v>4</v>
      </c>
      <c r="M93" s="89">
        <f>IF(M$3="","",IF(COUNTIFS(Base!$A$3:$A$5001,M$3,Base!$B$3:$B$5001,$A$79,Base!$Z$3:$Z$5001,"&lt;&gt;")=0,"",SUMIFS(Base!$Z$3:$Z$5001,Base!$A$3:$A$5001,M$3,Base!$B$3:$B$5001,$A$79)))</f>
        <v>14</v>
      </c>
      <c r="N93" s="89">
        <f>IF(N$3="","",IF(COUNTIFS(Base!$A$3:$A$5001,N$3,Base!$B$3:$B$5001,$A$79,Base!$Z$3:$Z$5001,"&lt;&gt;")=0,"",SUMIFS(Base!$Z$3:$Z$5001,Base!$A$3:$A$5001,N$3,Base!$B$3:$B$5001,$A$79)))</f>
        <v>12</v>
      </c>
      <c r="O93" s="89">
        <f>IF(O$3="","",IF(COUNTIFS(Base!$A$3:$A$5001,O$3,Base!$B$3:$B$5001,$A$79,Base!$Z$3:$Z$5001,"&lt;&gt;")=0,"",SUMIFS(Base!$Z$3:$Z$5001,Base!$A$3:$A$5001,O$3,Base!$B$3:$B$5001,$A$79)))</f>
        <v>4</v>
      </c>
      <c r="P93" s="89">
        <f>IF(P$3="","",IF(COUNTIFS(Base!$A$3:$A$5001,P$3,Base!$B$3:$B$5001,$A$79,Base!$Z$3:$Z$5001,"&lt;&gt;")=0,"",SUMIFS(Base!$Z$3:$Z$5001,Base!$A$3:$A$5001,P$3,Base!$B$3:$B$5001,$A$79)))</f>
        <v>12</v>
      </c>
      <c r="Q93" s="89">
        <f>IF(Q$3="","",IF(COUNTIFS(Base!$A$3:$A$5001,Q$3,Base!$B$3:$B$5001,$A$79,Base!$Z$3:$Z$5001,"&lt;&gt;")=0,"",SUMIFS(Base!$Z$3:$Z$5001,Base!$A$3:$A$5001,Q$3,Base!$B$3:$B$5001,$A$79)))</f>
        <v>5</v>
      </c>
      <c r="R93" s="89" t="str">
        <f>IF(R$3="","",IF(COUNTIFS(Base!$A$3:$A$5001,R$3,Base!$B$3:$B$5001,$A$79,Base!$Z$3:$Z$5001,"&lt;&gt;")=0,"",SUMIFS(Base!$Z$3:$Z$5001,Base!$A$3:$A$5001,R$3,Base!$B$3:$B$5001,$A$79)))</f>
        <v/>
      </c>
      <c r="S93" s="89">
        <f>IF(S$3="","",IF(COUNTIFS(Base!$A$3:$A$5001,S$3,Base!$B$3:$B$5001,$A$79,Base!$Z$3:$Z$5001,"&lt;&gt;")=0,"",SUMIFS(Base!$Z$3:$Z$5001,Base!$A$3:$A$5001,S$3,Base!$B$3:$B$5001,$A$79)))</f>
        <v>5</v>
      </c>
      <c r="T93" s="89">
        <f>IF(T$3="","",IF(COUNTIFS(Base!$A$3:$A$5001,T$3,Base!$B$3:$B$5001,$A$79,Base!$Z$3:$Z$5001,"&lt;&gt;")=0,"",SUMIFS(Base!$Z$3:$Z$5001,Base!$A$3:$A$5001,T$3,Base!$B$3:$B$5001,$A$79)))</f>
        <v>4</v>
      </c>
      <c r="U93" s="89">
        <f>IF(U$3="","",IF(COUNTIFS(Base!$A$3:$A$5001,U$3,Base!$B$3:$B$5001,$A$79,Base!$Z$3:$Z$5001,"&lt;&gt;")=0,"",SUMIFS(Base!$Z$3:$Z$5001,Base!$A$3:$A$5001,U$3,Base!$B$3:$B$5001,$A$79)))</f>
        <v>4</v>
      </c>
      <c r="V93" s="89">
        <f>IF(V$3="","",IF(COUNTIFS(Base!$A$3:$A$5001,V$3,Base!$B$3:$B$5001,$A$79,Base!$Z$3:$Z$5001,"&lt;&gt;")=0,"",SUMIFS(Base!$Z$3:$Z$5001,Base!$A$3:$A$5001,V$3,Base!$B$3:$B$5001,$A$79)))</f>
        <v>9</v>
      </c>
      <c r="W93" s="89">
        <f>IF(W$3="","",IF(COUNTIFS(Base!$A$3:$A$5001,W$3,Base!$B$3:$B$5001,$A$79,Base!$Z$3:$Z$5001,"&lt;&gt;")=0,"",SUMIFS(Base!$Z$3:$Z$5001,Base!$A$3:$A$5001,W$3,Base!$B$3:$B$5001,$A$79)))</f>
        <v>12</v>
      </c>
      <c r="X93" s="89">
        <f>IF(X$3="","",IF(COUNTIFS(Base!$A$3:$A$5001,X$3,Base!$B$3:$B$5001,$A$79,Base!$Z$3:$Z$5001,"&lt;&gt;")=0,"",SUMIFS(Base!$Z$3:$Z$5001,Base!$A$3:$A$5001,X$3,Base!$B$3:$B$5001,$A$79)))</f>
        <v>8</v>
      </c>
      <c r="Y93" s="89" t="str">
        <f>IF(Y$3="","",IF(COUNTIFS(Base!$A$3:$A$5001,Y$3,Base!$B$3:$B$5001,$A$79,Base!$Z$3:$Z$5001,"&lt;&gt;")=0,"",SUMIFS(Base!$Z$3:$Z$5001,Base!$A$3:$A$5001,Y$3,Base!$B$3:$B$5001,$A$79)))</f>
        <v/>
      </c>
      <c r="Z93" s="89">
        <f>IF(Z$3="","",IF(COUNTIFS(Base!$A$3:$A$5001,Z$3,Base!$B$3:$B$5001,$A$79,Base!$Z$3:$Z$5001,"&lt;&gt;")=0,"",SUMIFS(Base!$Z$3:$Z$5001,Base!$A$3:$A$5001,Z$3,Base!$B$3:$B$5001,$A$79)))</f>
        <v>11</v>
      </c>
      <c r="AA93" s="89">
        <f>IF(AA$3="","",IF(COUNTIFS(Base!$A$3:$A$5001,AA$3,Base!$B$3:$B$5001,$A$79,Base!$Z$3:$Z$5001,"&lt;&gt;")=0,"",SUMIFS(Base!$Z$3:$Z$5001,Base!$A$3:$A$5001,AA$3,Base!$B$3:$B$5001,$A$79)))</f>
        <v>8</v>
      </c>
      <c r="AB93" s="89">
        <f>IF(AB$3="","",IF(COUNTIFS(Base!$A$3:$A$5001,AB$3,Base!$B$3:$B$5001,$A$79,Base!$Z$3:$Z$5001,"&lt;&gt;")=0,"",SUMIFS(Base!$Z$3:$Z$5001,Base!$A$3:$A$5001,AB$3,Base!$B$3:$B$5001,$A$79)))</f>
        <v>9</v>
      </c>
      <c r="AC93" s="89">
        <f>IF(AC$3="","",IF(COUNTIFS(Base!$A$3:$A$5001,AC$3,Base!$B$3:$B$5001,$A$79,Base!$Z$3:$Z$5001,"&lt;&gt;")=0,"",SUMIFS(Base!$Z$3:$Z$5001,Base!$A$3:$A$5001,AC$3,Base!$B$3:$B$5001,$A$79)))</f>
        <v>9</v>
      </c>
      <c r="AD93" s="89">
        <f>IF(AD$3="","",IF(COUNTIFS(Base!$A$3:$A$5001,AD$3,Base!$B$3:$B$5001,$A$79,Base!$Z$3:$Z$5001,"&lt;&gt;")=0,"",SUMIFS(Base!$Z$3:$Z$5001,Base!$A$3:$A$5001,AD$3,Base!$B$3:$B$5001,$A$79)))</f>
        <v>9</v>
      </c>
      <c r="AE93" s="89">
        <f>IF(AE$3="","",IF(COUNTIFS(Base!$A$3:$A$5001,AE$3,Base!$B$3:$B$5001,$A$79,Base!$Z$3:$Z$5001,"&lt;&gt;")=0,"",SUMIFS(Base!$Z$3:$Z$5001,Base!$A$3:$A$5001,AE$3,Base!$B$3:$B$5001,$A$79)))</f>
        <v>11</v>
      </c>
      <c r="AF93" s="89" t="str">
        <f>IF(AF$3="","",IF(COUNTIFS(Base!$A$3:$A$5001,AF$3,Base!$B$3:$B$5001,$A$79,Base!$Z$3:$Z$5001,"&lt;&gt;")=0,"",SUMIFS(Base!$Z$3:$Z$5001,Base!$A$3:$A$5001,AF$3,Base!$B$3:$B$5001,$A$79)))</f>
        <v/>
      </c>
      <c r="AG93" s="89">
        <f>IF(AG$3="","",IF(COUNTIFS(Base!$A$3:$A$5001,AG$3,Base!$B$3:$B$5001,$A$79,Base!$Z$3:$Z$5001,"&lt;&gt;")=0,"",SUMIFS(Base!$Z$3:$Z$5001,Base!$A$3:$A$5001,AG$3,Base!$B$3:$B$5001,$A$79)))</f>
        <v>7</v>
      </c>
      <c r="AH93" s="89">
        <f>IF(AH$3="","",IF(COUNTIFS(Base!$A$3:$A$5001,AH$3,Base!$B$3:$B$5001,$A$79,Base!$Z$3:$Z$5001,"&lt;&gt;")=0,"",SUMIFS(Base!$Z$3:$Z$5001,Base!$A$3:$A$5001,AH$3,Base!$B$3:$B$5001,$A$79)))</f>
        <v>6</v>
      </c>
      <c r="AI93" s="89" t="str">
        <f>IF(AI$3="","",IF(COUNTIFS(Base!$A$3:$A$5001,AI$3,Base!$B$3:$B$5001,$A$79,Base!$Z$3:$Z$5001,"&lt;&gt;")=0,"",SUMIFS(Base!$Z$3:$Z$5001,Base!$A$3:$A$5001,AI$3,Base!$B$3:$B$5001,$A$79)))</f>
        <v/>
      </c>
      <c r="AJ93" s="90" t="str">
        <f>IF(AJ$3="","",IF(COUNTIFS(Base!$A$3:$A$5001,AJ$3,Base!$B$3:$B$5001,$A$79,Base!$Z$3:$Z$5001,"&lt;&gt;")=0,"",SUMIFS(Base!$Z$3:$Z$5001,Base!$A$3:$A$5001,AJ$3,Base!$B$3:$B$5001,$A$79)))</f>
        <v/>
      </c>
      <c r="AK93" s="91">
        <f>IFERROR(LOOKUP(9.99E+307,F93:AJ93),"")</f>
        <v>6</v>
      </c>
    </row>
    <row r="94" ht="15.75" customHeight="1">
      <c r="A94" s="118"/>
      <c r="B94" s="115"/>
      <c r="C94" s="92" t="inlineStr">
        <is>
          <t xml:space="preserve">Falta</t>
        </is>
      </c>
      <c r="D94" s="93" t="str">
        <f>IFERROR(1/(1/INDEX(calculos!$C$55:$K$83,MATCH("Falta",calculos!$A$55:$A$83,0),MATCH($A$79,calculos!$C$54:$K$54,0))),"")</f>
        <v/>
      </c>
      <c r="E94" s="94"/>
      <c r="F94" s="95" t="str">
        <f>IF(F$3="","",IF(COUNTIFS(Base!$A$3:$A$5001,F$3,Base!$B$3:$B$5001,$A$79,Base!$AA$3:$AA$5001,"&lt;&gt;")=0,"",SUMIFS(Base!$AA$3:$AA$5001,Base!$A$3:$A$5001,F$3,Base!$B$3:$B$5001,$A$79)))</f>
        <v/>
      </c>
      <c r="G94" s="96" t="str">
        <f>IF(G$3="","",IF(COUNTIFS(Base!$A$3:$A$5001,G$3,Base!$B$3:$B$5001,$A$79,Base!$AA$3:$AA$5001,"&lt;&gt;")=0,"",SUMIFS(Base!$AA$3:$AA$5001,Base!$A$3:$A$5001,G$3,Base!$B$3:$B$5001,$A$79)))</f>
        <v/>
      </c>
      <c r="H94" s="96" t="str">
        <f>IF(H$3="","",IF(COUNTIFS(Base!$A$3:$A$5001,H$3,Base!$B$3:$B$5001,$A$79,Base!$AA$3:$AA$5001,"&lt;&gt;")=0,"",SUMIFS(Base!$AA$3:$AA$5001,Base!$A$3:$A$5001,H$3,Base!$B$3:$B$5001,$A$79)))</f>
        <v/>
      </c>
      <c r="I94" s="96" t="str">
        <f>IF(I$3="","",IF(COUNTIFS(Base!$A$3:$A$5001,I$3,Base!$B$3:$B$5001,$A$79,Base!$AA$3:$AA$5001,"&lt;&gt;")=0,"",SUMIFS(Base!$AA$3:$AA$5001,Base!$A$3:$A$5001,I$3,Base!$B$3:$B$5001,$A$79)))</f>
        <v/>
      </c>
      <c r="J94" s="96" t="str">
        <f>IF(J$3="","",IF(COUNTIFS(Base!$A$3:$A$5001,J$3,Base!$B$3:$B$5001,$A$79,Base!$AA$3:$AA$5001,"&lt;&gt;")=0,"",SUMIFS(Base!$AA$3:$AA$5001,Base!$A$3:$A$5001,J$3,Base!$B$3:$B$5001,$A$79)))</f>
        <v/>
      </c>
      <c r="K94" s="96" t="str">
        <f>IF(K$3="","",IF(COUNTIFS(Base!$A$3:$A$5001,K$3,Base!$B$3:$B$5001,$A$79,Base!$AA$3:$AA$5001,"&lt;&gt;")=0,"",SUMIFS(Base!$AA$3:$AA$5001,Base!$A$3:$A$5001,K$3,Base!$B$3:$B$5001,$A$79)))</f>
        <v/>
      </c>
      <c r="L94" s="96" t="str">
        <f>IF(L$3="","",IF(COUNTIFS(Base!$A$3:$A$5001,L$3,Base!$B$3:$B$5001,$A$79,Base!$AA$3:$AA$5001,"&lt;&gt;")=0,"",SUMIFS(Base!$AA$3:$AA$5001,Base!$A$3:$A$5001,L$3,Base!$B$3:$B$5001,$A$79)))</f>
        <v/>
      </c>
      <c r="M94" s="96">
        <f>IF(M$3="","",IF(COUNTIFS(Base!$A$3:$A$5001,M$3,Base!$B$3:$B$5001,$A$79,Base!$AA$3:$AA$5001,"&lt;&gt;")=0,"",SUMIFS(Base!$AA$3:$AA$5001,Base!$A$3:$A$5001,M$3,Base!$B$3:$B$5001,$A$79)))</f>
        <v>1</v>
      </c>
      <c r="N94" s="96" t="str">
        <f>IF(N$3="","",IF(COUNTIFS(Base!$A$3:$A$5001,N$3,Base!$B$3:$B$5001,$A$79,Base!$AA$3:$AA$5001,"&lt;&gt;")=0,"",SUMIFS(Base!$AA$3:$AA$5001,Base!$A$3:$A$5001,N$3,Base!$B$3:$B$5001,$A$79)))</f>
        <v/>
      </c>
      <c r="O94" s="96" t="str">
        <f>IF(O$3="","",IF(COUNTIFS(Base!$A$3:$A$5001,O$3,Base!$B$3:$B$5001,$A$79,Base!$AA$3:$AA$5001,"&lt;&gt;")=0,"",SUMIFS(Base!$AA$3:$AA$5001,Base!$A$3:$A$5001,O$3,Base!$B$3:$B$5001,$A$79)))</f>
        <v/>
      </c>
      <c r="P94" s="96" t="str">
        <f>IF(P$3="","",IF(COUNTIFS(Base!$A$3:$A$5001,P$3,Base!$B$3:$B$5001,$A$79,Base!$AA$3:$AA$5001,"&lt;&gt;")=0,"",SUMIFS(Base!$AA$3:$AA$5001,Base!$A$3:$A$5001,P$3,Base!$B$3:$B$5001,$A$79)))</f>
        <v/>
      </c>
      <c r="Q94" s="96" t="str">
        <f>IF(Q$3="","",IF(COUNTIFS(Base!$A$3:$A$5001,Q$3,Base!$B$3:$B$5001,$A$79,Base!$AA$3:$AA$5001,"&lt;&gt;")=0,"",SUMIFS(Base!$AA$3:$AA$5001,Base!$A$3:$A$5001,Q$3,Base!$B$3:$B$5001,$A$79)))</f>
        <v/>
      </c>
      <c r="R94" s="96" t="str">
        <f>IF(R$3="","",IF(COUNTIFS(Base!$A$3:$A$5001,R$3,Base!$B$3:$B$5001,$A$79,Base!$AA$3:$AA$5001,"&lt;&gt;")=0,"",SUMIFS(Base!$AA$3:$AA$5001,Base!$A$3:$A$5001,R$3,Base!$B$3:$B$5001,$A$79)))</f>
        <v/>
      </c>
      <c r="S94" s="96" t="str">
        <f>IF(S$3="","",IF(COUNTIFS(Base!$A$3:$A$5001,S$3,Base!$B$3:$B$5001,$A$79,Base!$AA$3:$AA$5001,"&lt;&gt;")=0,"",SUMIFS(Base!$AA$3:$AA$5001,Base!$A$3:$A$5001,S$3,Base!$B$3:$B$5001,$A$79)))</f>
        <v/>
      </c>
      <c r="T94" s="96" t="str">
        <f>IF(T$3="","",IF(COUNTIFS(Base!$A$3:$A$5001,T$3,Base!$B$3:$B$5001,$A$79,Base!$AA$3:$AA$5001,"&lt;&gt;")=0,"",SUMIFS(Base!$AA$3:$AA$5001,Base!$A$3:$A$5001,T$3,Base!$B$3:$B$5001,$A$79)))</f>
        <v/>
      </c>
      <c r="U94" s="96">
        <f>IF(U$3="","",IF(COUNTIFS(Base!$A$3:$A$5001,U$3,Base!$B$3:$B$5001,$A$79,Base!$AA$3:$AA$5001,"&lt;&gt;")=0,"",SUMIFS(Base!$AA$3:$AA$5001,Base!$A$3:$A$5001,U$3,Base!$B$3:$B$5001,$A$79)))</f>
        <v>1</v>
      </c>
      <c r="V94" s="96">
        <f>IF(V$3="","",IF(COUNTIFS(Base!$A$3:$A$5001,V$3,Base!$B$3:$B$5001,$A$79,Base!$AA$3:$AA$5001,"&lt;&gt;")=0,"",SUMIFS(Base!$AA$3:$AA$5001,Base!$A$3:$A$5001,V$3,Base!$B$3:$B$5001,$A$79)))</f>
        <v>1</v>
      </c>
      <c r="W94" s="96" t="str">
        <f>IF(W$3="","",IF(COUNTIFS(Base!$A$3:$A$5001,W$3,Base!$B$3:$B$5001,$A$79,Base!$AA$3:$AA$5001,"&lt;&gt;")=0,"",SUMIFS(Base!$AA$3:$AA$5001,Base!$A$3:$A$5001,W$3,Base!$B$3:$B$5001,$A$79)))</f>
        <v/>
      </c>
      <c r="X94" s="96" t="str">
        <f>IF(X$3="","",IF(COUNTIFS(Base!$A$3:$A$5001,X$3,Base!$B$3:$B$5001,$A$79,Base!$AA$3:$AA$5001,"&lt;&gt;")=0,"",SUMIFS(Base!$AA$3:$AA$5001,Base!$A$3:$A$5001,X$3,Base!$B$3:$B$5001,$A$79)))</f>
        <v/>
      </c>
      <c r="Y94" s="96" t="str">
        <f>IF(Y$3="","",IF(COUNTIFS(Base!$A$3:$A$5001,Y$3,Base!$B$3:$B$5001,$A$79,Base!$AA$3:$AA$5001,"&lt;&gt;")=0,"",SUMIFS(Base!$AA$3:$AA$5001,Base!$A$3:$A$5001,Y$3,Base!$B$3:$B$5001,$A$79)))</f>
        <v/>
      </c>
      <c r="Z94" s="96" t="str">
        <f>IF(Z$3="","",IF(COUNTIFS(Base!$A$3:$A$5001,Z$3,Base!$B$3:$B$5001,$A$79,Base!$AA$3:$AA$5001,"&lt;&gt;")=0,"",SUMIFS(Base!$AA$3:$AA$5001,Base!$A$3:$A$5001,Z$3,Base!$B$3:$B$5001,$A$79)))</f>
        <v/>
      </c>
      <c r="AA94" s="96" t="str">
        <f>IF(AA$3="","",IF(COUNTIFS(Base!$A$3:$A$5001,AA$3,Base!$B$3:$B$5001,$A$79,Base!$AA$3:$AA$5001,"&lt;&gt;")=0,"",SUMIFS(Base!$AA$3:$AA$5001,Base!$A$3:$A$5001,AA$3,Base!$B$3:$B$5001,$A$79)))</f>
        <v/>
      </c>
      <c r="AB94" s="96" t="str">
        <f>IF(AB$3="","",IF(COUNTIFS(Base!$A$3:$A$5001,AB$3,Base!$B$3:$B$5001,$A$79,Base!$AA$3:$AA$5001,"&lt;&gt;")=0,"",SUMIFS(Base!$AA$3:$AA$5001,Base!$A$3:$A$5001,AB$3,Base!$B$3:$B$5001,$A$79)))</f>
        <v/>
      </c>
      <c r="AC94" s="96" t="str">
        <f>IF(AC$3="","",IF(COUNTIFS(Base!$A$3:$A$5001,AC$3,Base!$B$3:$B$5001,$A$79,Base!$AA$3:$AA$5001,"&lt;&gt;")=0,"",SUMIFS(Base!$AA$3:$AA$5001,Base!$A$3:$A$5001,AC$3,Base!$B$3:$B$5001,$A$79)))</f>
        <v/>
      </c>
      <c r="AD94" s="96" t="str">
        <f>IF(AD$3="","",IF(COUNTIFS(Base!$A$3:$A$5001,AD$3,Base!$B$3:$B$5001,$A$79,Base!$AA$3:$AA$5001,"&lt;&gt;")=0,"",SUMIFS(Base!$AA$3:$AA$5001,Base!$A$3:$A$5001,AD$3,Base!$B$3:$B$5001,$A$79)))</f>
        <v/>
      </c>
      <c r="AE94" s="96" t="str">
        <f>IF(AE$3="","",IF(COUNTIFS(Base!$A$3:$A$5001,AE$3,Base!$B$3:$B$5001,$A$79,Base!$AA$3:$AA$5001,"&lt;&gt;")=0,"",SUMIFS(Base!$AA$3:$AA$5001,Base!$A$3:$A$5001,AE$3,Base!$B$3:$B$5001,$A$79)))</f>
        <v/>
      </c>
      <c r="AF94" s="96" t="str">
        <f>IF(AF$3="","",IF(COUNTIFS(Base!$A$3:$A$5001,AF$3,Base!$B$3:$B$5001,$A$79,Base!$AA$3:$AA$5001,"&lt;&gt;")=0,"",SUMIFS(Base!$AA$3:$AA$5001,Base!$A$3:$A$5001,AF$3,Base!$B$3:$B$5001,$A$79)))</f>
        <v/>
      </c>
      <c r="AG94" s="96">
        <f>IF(AG$3="","",IF(COUNTIFS(Base!$A$3:$A$5001,AG$3,Base!$B$3:$B$5001,$A$79,Base!$AA$3:$AA$5001,"&lt;&gt;")=0,"",SUMIFS(Base!$AA$3:$AA$5001,Base!$A$3:$A$5001,AG$3,Base!$B$3:$B$5001,$A$79)))</f>
        <v>1</v>
      </c>
      <c r="AH94" s="96" t="str">
        <f>IF(AH$3="","",IF(COUNTIFS(Base!$A$3:$A$5001,AH$3,Base!$B$3:$B$5001,$A$79,Base!$AA$3:$AA$5001,"&lt;&gt;")=0,"",SUMIFS(Base!$AA$3:$AA$5001,Base!$A$3:$A$5001,AH$3,Base!$B$3:$B$5001,$A$79)))</f>
        <v/>
      </c>
      <c r="AI94" s="96" t="str">
        <f>IF(AI$3="","",IF(COUNTIFS(Base!$A$3:$A$5001,AI$3,Base!$B$3:$B$5001,$A$79,Base!$AA$3:$AA$5001,"&lt;&gt;")=0,"",SUMIFS(Base!$AA$3:$AA$5001,Base!$A$3:$A$5001,AI$3,Base!$B$3:$B$5001,$A$79)))</f>
        <v/>
      </c>
      <c r="AJ94" s="97" t="str">
        <f>IF(AJ$3="","",IF(COUNTIFS(Base!$A$3:$A$5001,AJ$3,Base!$B$3:$B$5001,$A$79,Base!$AA$3:$AA$5001,"&lt;&gt;")=0,"",SUMIFS(Base!$AA$3:$AA$5001,Base!$A$3:$A$5001,AJ$3,Base!$B$3:$B$5001,$A$79)))</f>
        <v/>
      </c>
      <c r="AK94" s="98">
        <f>IF(COUNT(F94:AJ94)=0,"",SUM(F94:AJ94))</f>
        <v>4</v>
      </c>
    </row>
    <row r="95" ht="15.75" customHeight="1">
      <c r="A95" s="118"/>
      <c r="B95" s="115"/>
      <c r="C95" s="92" t="inlineStr">
        <is>
          <t xml:space="preserve">Folga</t>
        </is>
      </c>
      <c r="D95" s="93" t="str">
        <f>IFERROR(1/(1/INDEX(calculos!$C$55:$K$83,MATCH("Folga",calculos!$A$55:$A$83,0),MATCH($A$79,calculos!$C$54:$K$54,0))),"")</f>
        <v/>
      </c>
      <c r="E95" s="94"/>
      <c r="F95" s="95">
        <f>IF(F$3="","",IF(COUNTIFS(Base!$A$3:$A$5001,F$3,Base!$B$3:$B$5001,$A$79,Base!$AB$3:$AB$5001,"&lt;&gt;")=0,"",SUMIFS(Base!$AB$3:$AB$5001,Base!$A$3:$A$5001,F$3,Base!$B$3:$B$5001,$A$79)))</f>
        <v>1</v>
      </c>
      <c r="G95" s="96" t="str">
        <f>IF(G$3="","",IF(COUNTIFS(Base!$A$3:$A$5001,G$3,Base!$B$3:$B$5001,$A$79,Base!$AB$3:$AB$5001,"&lt;&gt;")=0,"",SUMIFS(Base!$AB$3:$AB$5001,Base!$A$3:$A$5001,G$3,Base!$B$3:$B$5001,$A$79)))</f>
        <v/>
      </c>
      <c r="H95" s="96" t="str">
        <f>IF(H$3="","",IF(COUNTIFS(Base!$A$3:$A$5001,H$3,Base!$B$3:$B$5001,$A$79,Base!$AB$3:$AB$5001,"&lt;&gt;")=0,"",SUMIFS(Base!$AB$3:$AB$5001,Base!$A$3:$A$5001,H$3,Base!$B$3:$B$5001,$A$79)))</f>
        <v/>
      </c>
      <c r="I95" s="96" t="str">
        <f>IF(I$3="","",IF(COUNTIFS(Base!$A$3:$A$5001,I$3,Base!$B$3:$B$5001,$A$79,Base!$AB$3:$AB$5001,"&lt;&gt;")=0,"",SUMIFS(Base!$AB$3:$AB$5001,Base!$A$3:$A$5001,I$3,Base!$B$3:$B$5001,$A$79)))</f>
        <v/>
      </c>
      <c r="J95" s="96" t="str">
        <f>IF(J$3="","",IF(COUNTIFS(Base!$A$3:$A$5001,J$3,Base!$B$3:$B$5001,$A$79,Base!$AB$3:$AB$5001,"&lt;&gt;")=0,"",SUMIFS(Base!$AB$3:$AB$5001,Base!$A$3:$A$5001,J$3,Base!$B$3:$B$5001,$A$79)))</f>
        <v/>
      </c>
      <c r="K95" s="96" t="str">
        <f>IF(K$3="","",IF(COUNTIFS(Base!$A$3:$A$5001,K$3,Base!$B$3:$B$5001,$A$79,Base!$AB$3:$AB$5001,"&lt;&gt;")=0,"",SUMIFS(Base!$AB$3:$AB$5001,Base!$A$3:$A$5001,K$3,Base!$B$3:$B$5001,$A$79)))</f>
        <v/>
      </c>
      <c r="L95" s="96" t="str">
        <f>IF(L$3="","",IF(COUNTIFS(Base!$A$3:$A$5001,L$3,Base!$B$3:$B$5001,$A$79,Base!$AB$3:$AB$5001,"&lt;&gt;")=0,"",SUMIFS(Base!$AB$3:$AB$5001,Base!$A$3:$A$5001,L$3,Base!$B$3:$B$5001,$A$79)))</f>
        <v/>
      </c>
      <c r="M95" s="96" t="str">
        <f>IF(M$3="","",IF(COUNTIFS(Base!$A$3:$A$5001,M$3,Base!$B$3:$B$5001,$A$79,Base!$AB$3:$AB$5001,"&lt;&gt;")=0,"",SUMIFS(Base!$AB$3:$AB$5001,Base!$A$3:$A$5001,M$3,Base!$B$3:$B$5001,$A$79)))</f>
        <v/>
      </c>
      <c r="N95" s="96" t="str">
        <f>IF(N$3="","",IF(COUNTIFS(Base!$A$3:$A$5001,N$3,Base!$B$3:$B$5001,$A$79,Base!$AB$3:$AB$5001,"&lt;&gt;")=0,"",SUMIFS(Base!$AB$3:$AB$5001,Base!$A$3:$A$5001,N$3,Base!$B$3:$B$5001,$A$79)))</f>
        <v/>
      </c>
      <c r="O95" s="96" t="str">
        <f>IF(O$3="","",IF(COUNTIFS(Base!$A$3:$A$5001,O$3,Base!$B$3:$B$5001,$A$79,Base!$AB$3:$AB$5001,"&lt;&gt;")=0,"",SUMIFS(Base!$AB$3:$AB$5001,Base!$A$3:$A$5001,O$3,Base!$B$3:$B$5001,$A$79)))</f>
        <v/>
      </c>
      <c r="P95" s="96" t="str">
        <f>IF(P$3="","",IF(COUNTIFS(Base!$A$3:$A$5001,P$3,Base!$B$3:$B$5001,$A$79,Base!$AB$3:$AB$5001,"&lt;&gt;")=0,"",SUMIFS(Base!$AB$3:$AB$5001,Base!$A$3:$A$5001,P$3,Base!$B$3:$B$5001,$A$79)))</f>
        <v/>
      </c>
      <c r="Q95" s="96" t="str">
        <f>IF(Q$3="","",IF(COUNTIFS(Base!$A$3:$A$5001,Q$3,Base!$B$3:$B$5001,$A$79,Base!$AB$3:$AB$5001,"&lt;&gt;")=0,"",SUMIFS(Base!$AB$3:$AB$5001,Base!$A$3:$A$5001,Q$3,Base!$B$3:$B$5001,$A$79)))</f>
        <v/>
      </c>
      <c r="R95" s="96" t="str">
        <f>IF(R$3="","",IF(COUNTIFS(Base!$A$3:$A$5001,R$3,Base!$B$3:$B$5001,$A$79,Base!$AB$3:$AB$5001,"&lt;&gt;")=0,"",SUMIFS(Base!$AB$3:$AB$5001,Base!$A$3:$A$5001,R$3,Base!$B$3:$B$5001,$A$79)))</f>
        <v/>
      </c>
      <c r="S95" s="96" t="str">
        <f>IF(S$3="","",IF(COUNTIFS(Base!$A$3:$A$5001,S$3,Base!$B$3:$B$5001,$A$79,Base!$AB$3:$AB$5001,"&lt;&gt;")=0,"",SUMIFS(Base!$AB$3:$AB$5001,Base!$A$3:$A$5001,S$3,Base!$B$3:$B$5001,$A$79)))</f>
        <v/>
      </c>
      <c r="T95" s="96" t="str">
        <f>IF(T$3="","",IF(COUNTIFS(Base!$A$3:$A$5001,T$3,Base!$B$3:$B$5001,$A$79,Base!$AB$3:$AB$5001,"&lt;&gt;")=0,"",SUMIFS(Base!$AB$3:$AB$5001,Base!$A$3:$A$5001,T$3,Base!$B$3:$B$5001,$A$79)))</f>
        <v/>
      </c>
      <c r="U95" s="96" t="str">
        <f>IF(U$3="","",IF(COUNTIFS(Base!$A$3:$A$5001,U$3,Base!$B$3:$B$5001,$A$79,Base!$AB$3:$AB$5001,"&lt;&gt;")=0,"",SUMIFS(Base!$AB$3:$AB$5001,Base!$A$3:$A$5001,U$3,Base!$B$3:$B$5001,$A$79)))</f>
        <v/>
      </c>
      <c r="V95" s="96" t="str">
        <f>IF(V$3="","",IF(COUNTIFS(Base!$A$3:$A$5001,V$3,Base!$B$3:$B$5001,$A$79,Base!$AB$3:$AB$5001,"&lt;&gt;")=0,"",SUMIFS(Base!$AB$3:$AB$5001,Base!$A$3:$A$5001,V$3,Base!$B$3:$B$5001,$A$79)))</f>
        <v/>
      </c>
      <c r="W95" s="96" t="str">
        <f>IF(W$3="","",IF(COUNTIFS(Base!$A$3:$A$5001,W$3,Base!$B$3:$B$5001,$A$79,Base!$AB$3:$AB$5001,"&lt;&gt;")=0,"",SUMIFS(Base!$AB$3:$AB$5001,Base!$A$3:$A$5001,W$3,Base!$B$3:$B$5001,$A$79)))</f>
        <v/>
      </c>
      <c r="X95" s="96" t="str">
        <f>IF(X$3="","",IF(COUNTIFS(Base!$A$3:$A$5001,X$3,Base!$B$3:$B$5001,$A$79,Base!$AB$3:$AB$5001,"&lt;&gt;")=0,"",SUMIFS(Base!$AB$3:$AB$5001,Base!$A$3:$A$5001,X$3,Base!$B$3:$B$5001,$A$79)))</f>
        <v/>
      </c>
      <c r="Y95" s="96" t="str">
        <f>IF(Y$3="","",IF(COUNTIFS(Base!$A$3:$A$5001,Y$3,Base!$B$3:$B$5001,$A$79,Base!$AB$3:$AB$5001,"&lt;&gt;")=0,"",SUMIFS(Base!$AB$3:$AB$5001,Base!$A$3:$A$5001,Y$3,Base!$B$3:$B$5001,$A$79)))</f>
        <v/>
      </c>
      <c r="Z95" s="96" t="str">
        <f>IF(Z$3="","",IF(COUNTIFS(Base!$A$3:$A$5001,Z$3,Base!$B$3:$B$5001,$A$79,Base!$AB$3:$AB$5001,"&lt;&gt;")=0,"",SUMIFS(Base!$AB$3:$AB$5001,Base!$A$3:$A$5001,Z$3,Base!$B$3:$B$5001,$A$79)))</f>
        <v/>
      </c>
      <c r="AA95" s="96" t="str">
        <f>IF(AA$3="","",IF(COUNTIFS(Base!$A$3:$A$5001,AA$3,Base!$B$3:$B$5001,$A$79,Base!$AB$3:$AB$5001,"&lt;&gt;")=0,"",SUMIFS(Base!$AB$3:$AB$5001,Base!$A$3:$A$5001,AA$3,Base!$B$3:$B$5001,$A$79)))</f>
        <v/>
      </c>
      <c r="AB95" s="96" t="str">
        <f>IF(AB$3="","",IF(COUNTIFS(Base!$A$3:$A$5001,AB$3,Base!$B$3:$B$5001,$A$79,Base!$AB$3:$AB$5001,"&lt;&gt;")=0,"",SUMIFS(Base!$AB$3:$AB$5001,Base!$A$3:$A$5001,AB$3,Base!$B$3:$B$5001,$A$79)))</f>
        <v/>
      </c>
      <c r="AC95" s="96" t="str">
        <f>IF(AC$3="","",IF(COUNTIFS(Base!$A$3:$A$5001,AC$3,Base!$B$3:$B$5001,$A$79,Base!$AB$3:$AB$5001,"&lt;&gt;")=0,"",SUMIFS(Base!$AB$3:$AB$5001,Base!$A$3:$A$5001,AC$3,Base!$B$3:$B$5001,$A$79)))</f>
        <v/>
      </c>
      <c r="AD95" s="96" t="str">
        <f>IF(AD$3="","",IF(COUNTIFS(Base!$A$3:$A$5001,AD$3,Base!$B$3:$B$5001,$A$79,Base!$AB$3:$AB$5001,"&lt;&gt;")=0,"",SUMIFS(Base!$AB$3:$AB$5001,Base!$A$3:$A$5001,AD$3,Base!$B$3:$B$5001,$A$79)))</f>
        <v/>
      </c>
      <c r="AE95" s="96">
        <f>IF(AE$3="","",IF(COUNTIFS(Base!$A$3:$A$5001,AE$3,Base!$B$3:$B$5001,$A$79,Base!$AB$3:$AB$5001,"&lt;&gt;")=0,"",SUMIFS(Base!$AB$3:$AB$5001,Base!$A$3:$A$5001,AE$3,Base!$B$3:$B$5001,$A$79)))</f>
        <v>1</v>
      </c>
      <c r="AF95" s="96" t="str">
        <f>IF(AF$3="","",IF(COUNTIFS(Base!$A$3:$A$5001,AF$3,Base!$B$3:$B$5001,$A$79,Base!$AB$3:$AB$5001,"&lt;&gt;")=0,"",SUMIFS(Base!$AB$3:$AB$5001,Base!$A$3:$A$5001,AF$3,Base!$B$3:$B$5001,$A$79)))</f>
        <v/>
      </c>
      <c r="AG95" s="96" t="str">
        <f>IF(AG$3="","",IF(COUNTIFS(Base!$A$3:$A$5001,AG$3,Base!$B$3:$B$5001,$A$79,Base!$AB$3:$AB$5001,"&lt;&gt;")=0,"",SUMIFS(Base!$AB$3:$AB$5001,Base!$A$3:$A$5001,AG$3,Base!$B$3:$B$5001,$A$79)))</f>
        <v/>
      </c>
      <c r="AH95" s="96" t="str">
        <f>IF(AH$3="","",IF(COUNTIFS(Base!$A$3:$A$5001,AH$3,Base!$B$3:$B$5001,$A$79,Base!$AB$3:$AB$5001,"&lt;&gt;")=0,"",SUMIFS(Base!$AB$3:$AB$5001,Base!$A$3:$A$5001,AH$3,Base!$B$3:$B$5001,$A$79)))</f>
        <v/>
      </c>
      <c r="AI95" s="96" t="str">
        <f>IF(AI$3="","",IF(COUNTIFS(Base!$A$3:$A$5001,AI$3,Base!$B$3:$B$5001,$A$79,Base!$AB$3:$AB$5001,"&lt;&gt;")=0,"",SUMIFS(Base!$AB$3:$AB$5001,Base!$A$3:$A$5001,AI$3,Base!$B$3:$B$5001,$A$79)))</f>
        <v/>
      </c>
      <c r="AJ95" s="97" t="str">
        <f>IF(AJ$3="","",IF(COUNTIFS(Base!$A$3:$A$5001,AJ$3,Base!$B$3:$B$5001,$A$79,Base!$AB$3:$AB$5001,"&lt;&gt;")=0,"",SUMIFS(Base!$AB$3:$AB$5001,Base!$A$3:$A$5001,AJ$3,Base!$B$3:$B$5001,$A$79)))</f>
        <v/>
      </c>
      <c r="AK95" s="98">
        <f>IF(COUNT(F95:AJ95)=0,"",SUM(F95:AJ95))</f>
        <v>2</v>
      </c>
    </row>
    <row r="96" ht="15.75" customHeight="1">
      <c r="A96" s="118"/>
      <c r="B96" s="115"/>
      <c r="C96" s="92" t="inlineStr">
        <is>
          <t xml:space="preserve">Férias</t>
        </is>
      </c>
      <c r="D96" s="93" t="str">
        <f>IFERROR(1/(1/INDEX(calculos!$C$55:$K$83,MATCH("Férias",calculos!$A$55:$A$83,0),MATCH($A$79,calculos!$C$54:$K$54,0))),"")</f>
        <v/>
      </c>
      <c r="E96" s="94"/>
      <c r="F96" s="95" t="str">
        <f>IF(F$3="","",IF(COUNTIFS(Base!$A$3:$A$5001,F$3,Base!$B$3:$B$5001,$A$79,Base!$AC$3:$AC$5001,"&lt;&gt;")=0,"",SUMIFS(Base!$AC$3:$AC$5001,Base!$A$3:$A$5001,F$3,Base!$B$3:$B$5001,$A$79)))</f>
        <v/>
      </c>
      <c r="G96" s="96" t="str">
        <f>IF(G$3="","",IF(COUNTIFS(Base!$A$3:$A$5001,G$3,Base!$B$3:$B$5001,$A$79,Base!$AC$3:$AC$5001,"&lt;&gt;")=0,"",SUMIFS(Base!$AC$3:$AC$5001,Base!$A$3:$A$5001,G$3,Base!$B$3:$B$5001,$A$79)))</f>
        <v/>
      </c>
      <c r="H96" s="96" t="str">
        <f>IF(H$3="","",IF(COUNTIFS(Base!$A$3:$A$5001,H$3,Base!$B$3:$B$5001,$A$79,Base!$AC$3:$AC$5001,"&lt;&gt;")=0,"",SUMIFS(Base!$AC$3:$AC$5001,Base!$A$3:$A$5001,H$3,Base!$B$3:$B$5001,$A$79)))</f>
        <v/>
      </c>
      <c r="I96" s="96" t="str">
        <f>IF(I$3="","",IF(COUNTIFS(Base!$A$3:$A$5001,I$3,Base!$B$3:$B$5001,$A$79,Base!$AC$3:$AC$5001,"&lt;&gt;")=0,"",SUMIFS(Base!$AC$3:$AC$5001,Base!$A$3:$A$5001,I$3,Base!$B$3:$B$5001,$A$79)))</f>
        <v/>
      </c>
      <c r="J96" s="96" t="str">
        <f>IF(J$3="","",IF(COUNTIFS(Base!$A$3:$A$5001,J$3,Base!$B$3:$B$5001,$A$79,Base!$AC$3:$AC$5001,"&lt;&gt;")=0,"",SUMIFS(Base!$AC$3:$AC$5001,Base!$A$3:$A$5001,J$3,Base!$B$3:$B$5001,$A$79)))</f>
        <v/>
      </c>
      <c r="K96" s="96" t="str">
        <f>IF(K$3="","",IF(COUNTIFS(Base!$A$3:$A$5001,K$3,Base!$B$3:$B$5001,$A$79,Base!$AC$3:$AC$5001,"&lt;&gt;")=0,"",SUMIFS(Base!$AC$3:$AC$5001,Base!$A$3:$A$5001,K$3,Base!$B$3:$B$5001,$A$79)))</f>
        <v/>
      </c>
      <c r="L96" s="96" t="str">
        <f>IF(L$3="","",IF(COUNTIFS(Base!$A$3:$A$5001,L$3,Base!$B$3:$B$5001,$A$79,Base!$AC$3:$AC$5001,"&lt;&gt;")=0,"",SUMIFS(Base!$AC$3:$AC$5001,Base!$A$3:$A$5001,L$3,Base!$B$3:$B$5001,$A$79)))</f>
        <v/>
      </c>
      <c r="M96" s="96" t="str">
        <f>IF(M$3="","",IF(COUNTIFS(Base!$A$3:$A$5001,M$3,Base!$B$3:$B$5001,$A$79,Base!$AC$3:$AC$5001,"&lt;&gt;")=0,"",SUMIFS(Base!$AC$3:$AC$5001,Base!$A$3:$A$5001,M$3,Base!$B$3:$B$5001,$A$79)))</f>
        <v/>
      </c>
      <c r="N96" s="96" t="str">
        <f>IF(N$3="","",IF(COUNTIFS(Base!$A$3:$A$5001,N$3,Base!$B$3:$B$5001,$A$79,Base!$AC$3:$AC$5001,"&lt;&gt;")=0,"",SUMIFS(Base!$AC$3:$AC$5001,Base!$A$3:$A$5001,N$3,Base!$B$3:$B$5001,$A$79)))</f>
        <v/>
      </c>
      <c r="O96" s="96" t="str">
        <f>IF(O$3="","",IF(COUNTIFS(Base!$A$3:$A$5001,O$3,Base!$B$3:$B$5001,$A$79,Base!$AC$3:$AC$5001,"&lt;&gt;")=0,"",SUMIFS(Base!$AC$3:$AC$5001,Base!$A$3:$A$5001,O$3,Base!$B$3:$B$5001,$A$79)))</f>
        <v/>
      </c>
      <c r="P96" s="96" t="str">
        <f>IF(P$3="","",IF(COUNTIFS(Base!$A$3:$A$5001,P$3,Base!$B$3:$B$5001,$A$79,Base!$AC$3:$AC$5001,"&lt;&gt;")=0,"",SUMIFS(Base!$AC$3:$AC$5001,Base!$A$3:$A$5001,P$3,Base!$B$3:$B$5001,$A$79)))</f>
        <v/>
      </c>
      <c r="Q96" s="96" t="str">
        <f>IF(Q$3="","",IF(COUNTIFS(Base!$A$3:$A$5001,Q$3,Base!$B$3:$B$5001,$A$79,Base!$AC$3:$AC$5001,"&lt;&gt;")=0,"",SUMIFS(Base!$AC$3:$AC$5001,Base!$A$3:$A$5001,Q$3,Base!$B$3:$B$5001,$A$79)))</f>
        <v/>
      </c>
      <c r="R96" s="96" t="str">
        <f>IF(R$3="","",IF(COUNTIFS(Base!$A$3:$A$5001,R$3,Base!$B$3:$B$5001,$A$79,Base!$AC$3:$AC$5001,"&lt;&gt;")=0,"",SUMIFS(Base!$AC$3:$AC$5001,Base!$A$3:$A$5001,R$3,Base!$B$3:$B$5001,$A$79)))</f>
        <v/>
      </c>
      <c r="S96" s="96">
        <f>IF(S$3="","",IF(COUNTIFS(Base!$A$3:$A$5001,S$3,Base!$B$3:$B$5001,$A$79,Base!$AC$3:$AC$5001,"&lt;&gt;")=0,"",SUMIFS(Base!$AC$3:$AC$5001,Base!$A$3:$A$5001,S$3,Base!$B$3:$B$5001,$A$79)))</f>
        <v>1</v>
      </c>
      <c r="T96" s="96" t="str">
        <f>IF(T$3="","",IF(COUNTIFS(Base!$A$3:$A$5001,T$3,Base!$B$3:$B$5001,$A$79,Base!$AC$3:$AC$5001,"&lt;&gt;")=0,"",SUMIFS(Base!$AC$3:$AC$5001,Base!$A$3:$A$5001,T$3,Base!$B$3:$B$5001,$A$79)))</f>
        <v/>
      </c>
      <c r="U96" s="96" t="str">
        <f>IF(U$3="","",IF(COUNTIFS(Base!$A$3:$A$5001,U$3,Base!$B$3:$B$5001,$A$79,Base!$AC$3:$AC$5001,"&lt;&gt;")=0,"",SUMIFS(Base!$AC$3:$AC$5001,Base!$A$3:$A$5001,U$3,Base!$B$3:$B$5001,$A$79)))</f>
        <v/>
      </c>
      <c r="V96" s="96" t="str">
        <f>IF(V$3="","",IF(COUNTIFS(Base!$A$3:$A$5001,V$3,Base!$B$3:$B$5001,$A$79,Base!$AC$3:$AC$5001,"&lt;&gt;")=0,"",SUMIFS(Base!$AC$3:$AC$5001,Base!$A$3:$A$5001,V$3,Base!$B$3:$B$5001,$A$79)))</f>
        <v/>
      </c>
      <c r="W96" s="96" t="str">
        <f>IF(W$3="","",IF(COUNTIFS(Base!$A$3:$A$5001,W$3,Base!$B$3:$B$5001,$A$79,Base!$AC$3:$AC$5001,"&lt;&gt;")=0,"",SUMIFS(Base!$AC$3:$AC$5001,Base!$A$3:$A$5001,W$3,Base!$B$3:$B$5001,$A$79)))</f>
        <v/>
      </c>
      <c r="X96" s="96" t="str">
        <f>IF(X$3="","",IF(COUNTIFS(Base!$A$3:$A$5001,X$3,Base!$B$3:$B$5001,$A$79,Base!$AC$3:$AC$5001,"&lt;&gt;")=0,"",SUMIFS(Base!$AC$3:$AC$5001,Base!$A$3:$A$5001,X$3,Base!$B$3:$B$5001,$A$79)))</f>
        <v/>
      </c>
      <c r="Y96" s="96" t="str">
        <f>IF(Y$3="","",IF(COUNTIFS(Base!$A$3:$A$5001,Y$3,Base!$B$3:$B$5001,$A$79,Base!$AC$3:$AC$5001,"&lt;&gt;")=0,"",SUMIFS(Base!$AC$3:$AC$5001,Base!$A$3:$A$5001,Y$3,Base!$B$3:$B$5001,$A$79)))</f>
        <v/>
      </c>
      <c r="Z96" s="96" t="str">
        <f>IF(Z$3="","",IF(COUNTIFS(Base!$A$3:$A$5001,Z$3,Base!$B$3:$B$5001,$A$79,Base!$AC$3:$AC$5001,"&lt;&gt;")=0,"",SUMIFS(Base!$AC$3:$AC$5001,Base!$A$3:$A$5001,Z$3,Base!$B$3:$B$5001,$A$79)))</f>
        <v/>
      </c>
      <c r="AA96" s="96" t="str">
        <f>IF(AA$3="","",IF(COUNTIFS(Base!$A$3:$A$5001,AA$3,Base!$B$3:$B$5001,$A$79,Base!$AC$3:$AC$5001,"&lt;&gt;")=0,"",SUMIFS(Base!$AC$3:$AC$5001,Base!$A$3:$A$5001,AA$3,Base!$B$3:$B$5001,$A$79)))</f>
        <v/>
      </c>
      <c r="AB96" s="96" t="str">
        <f>IF(AB$3="","",IF(COUNTIFS(Base!$A$3:$A$5001,AB$3,Base!$B$3:$B$5001,$A$79,Base!$AC$3:$AC$5001,"&lt;&gt;")=0,"",SUMIFS(Base!$AC$3:$AC$5001,Base!$A$3:$A$5001,AB$3,Base!$B$3:$B$5001,$A$79)))</f>
        <v/>
      </c>
      <c r="AC96" s="96" t="str">
        <f>IF(AC$3="","",IF(COUNTIFS(Base!$A$3:$A$5001,AC$3,Base!$B$3:$B$5001,$A$79,Base!$AC$3:$AC$5001,"&lt;&gt;")=0,"",SUMIFS(Base!$AC$3:$AC$5001,Base!$A$3:$A$5001,AC$3,Base!$B$3:$B$5001,$A$79)))</f>
        <v/>
      </c>
      <c r="AD96" s="96" t="str">
        <f>IF(AD$3="","",IF(COUNTIFS(Base!$A$3:$A$5001,AD$3,Base!$B$3:$B$5001,$A$79,Base!$AC$3:$AC$5001,"&lt;&gt;")=0,"",SUMIFS(Base!$AC$3:$AC$5001,Base!$A$3:$A$5001,AD$3,Base!$B$3:$B$5001,$A$79)))</f>
        <v/>
      </c>
      <c r="AE96" s="96" t="str">
        <f>IF(AE$3="","",IF(COUNTIFS(Base!$A$3:$A$5001,AE$3,Base!$B$3:$B$5001,$A$79,Base!$AC$3:$AC$5001,"&lt;&gt;")=0,"",SUMIFS(Base!$AC$3:$AC$5001,Base!$A$3:$A$5001,AE$3,Base!$B$3:$B$5001,$A$79)))</f>
        <v/>
      </c>
      <c r="AF96" s="96" t="str">
        <f>IF(AF$3="","",IF(COUNTIFS(Base!$A$3:$A$5001,AF$3,Base!$B$3:$B$5001,$A$79,Base!$AC$3:$AC$5001,"&lt;&gt;")=0,"",SUMIFS(Base!$AC$3:$AC$5001,Base!$A$3:$A$5001,AF$3,Base!$B$3:$B$5001,$A$79)))</f>
        <v/>
      </c>
      <c r="AG96" s="96" t="str">
        <f>IF(AG$3="","",IF(COUNTIFS(Base!$A$3:$A$5001,AG$3,Base!$B$3:$B$5001,$A$79,Base!$AC$3:$AC$5001,"&lt;&gt;")=0,"",SUMIFS(Base!$AC$3:$AC$5001,Base!$A$3:$A$5001,AG$3,Base!$B$3:$B$5001,$A$79)))</f>
        <v/>
      </c>
      <c r="AH96" s="96" t="str">
        <f>IF(AH$3="","",IF(COUNTIFS(Base!$A$3:$A$5001,AH$3,Base!$B$3:$B$5001,$A$79,Base!$AC$3:$AC$5001,"&lt;&gt;")=0,"",SUMIFS(Base!$AC$3:$AC$5001,Base!$A$3:$A$5001,AH$3,Base!$B$3:$B$5001,$A$79)))</f>
        <v/>
      </c>
      <c r="AI96" s="96" t="str">
        <f>IF(AI$3="","",IF(COUNTIFS(Base!$A$3:$A$5001,AI$3,Base!$B$3:$B$5001,$A$79,Base!$AC$3:$AC$5001,"&lt;&gt;")=0,"",SUMIFS(Base!$AC$3:$AC$5001,Base!$A$3:$A$5001,AI$3,Base!$B$3:$B$5001,$A$79)))</f>
        <v/>
      </c>
      <c r="AJ96" s="97" t="str">
        <f>IF(AJ$3="","",IF(COUNTIFS(Base!$A$3:$A$5001,AJ$3,Base!$B$3:$B$5001,$A$79,Base!$AC$3:$AC$5001,"&lt;&gt;")=0,"",SUMIFS(Base!$AC$3:$AC$5001,Base!$A$3:$A$5001,AJ$3,Base!$B$3:$B$5001,$A$79)))</f>
        <v/>
      </c>
      <c r="AK96" s="98">
        <f>IF(COUNT(F96:AJ96)=0,"",SUM(F96:AJ96))</f>
        <v>1</v>
      </c>
    </row>
    <row r="97" ht="15.75" customHeight="1">
      <c r="A97" s="119"/>
      <c r="B97" s="116"/>
      <c r="C97" s="99" t="inlineStr">
        <is>
          <t xml:space="preserve">Desligamentos</t>
        </is>
      </c>
      <c r="D97" s="100" t="str">
        <f>IFERROR(1/(1/INDEX(calculos!$C$55:$K$83,MATCH("Desligamentos",calculos!$A$55:$A$83,0),MATCH($A$79,calculos!$C$54:$K$54,0))),"")</f>
        <v/>
      </c>
      <c r="E97" s="101"/>
      <c r="F97" s="102" t="str">
        <f>IF(F$3="","",IF(COUNTIFS(Base!$A$3:$A$5001,F$3,Base!$B$3:$B$5001,$A$79,Base!$AD$3:$AD$5001,"&lt;&gt;")=0,"",SUMIFS(Base!$AD$3:$AD$5001,Base!$A$3:$A$5001,F$3,Base!$B$3:$B$5001,$A$79)))</f>
        <v/>
      </c>
      <c r="G97" s="103" t="str">
        <f>IF(G$3="","",IF(COUNTIFS(Base!$A$3:$A$5001,G$3,Base!$B$3:$B$5001,$A$79,Base!$AD$3:$AD$5001,"&lt;&gt;")=0,"",SUMIFS(Base!$AD$3:$AD$5001,Base!$A$3:$A$5001,G$3,Base!$B$3:$B$5001,$A$79)))</f>
        <v/>
      </c>
      <c r="H97" s="103" t="str">
        <f>IF(H$3="","",IF(COUNTIFS(Base!$A$3:$A$5001,H$3,Base!$B$3:$B$5001,$A$79,Base!$AD$3:$AD$5001,"&lt;&gt;")=0,"",SUMIFS(Base!$AD$3:$AD$5001,Base!$A$3:$A$5001,H$3,Base!$B$3:$B$5001,$A$79)))</f>
        <v/>
      </c>
      <c r="I97" s="103" t="str">
        <f>IF(I$3="","",IF(COUNTIFS(Base!$A$3:$A$5001,I$3,Base!$B$3:$B$5001,$A$79,Base!$AD$3:$AD$5001,"&lt;&gt;")=0,"",SUMIFS(Base!$AD$3:$AD$5001,Base!$A$3:$A$5001,I$3,Base!$B$3:$B$5001,$A$79)))</f>
        <v/>
      </c>
      <c r="J97" s="103" t="str">
        <f>IF(J$3="","",IF(COUNTIFS(Base!$A$3:$A$5001,J$3,Base!$B$3:$B$5001,$A$79,Base!$AD$3:$AD$5001,"&lt;&gt;")=0,"",SUMIFS(Base!$AD$3:$AD$5001,Base!$A$3:$A$5001,J$3,Base!$B$3:$B$5001,$A$79)))</f>
        <v/>
      </c>
      <c r="K97" s="103" t="str">
        <f>IF(K$3="","",IF(COUNTIFS(Base!$A$3:$A$5001,K$3,Base!$B$3:$B$5001,$A$79,Base!$AD$3:$AD$5001,"&lt;&gt;")=0,"",SUMIFS(Base!$AD$3:$AD$5001,Base!$A$3:$A$5001,K$3,Base!$B$3:$B$5001,$A$79)))</f>
        <v/>
      </c>
      <c r="L97" s="103" t="str">
        <f>IF(L$3="","",IF(COUNTIFS(Base!$A$3:$A$5001,L$3,Base!$B$3:$B$5001,$A$79,Base!$AD$3:$AD$5001,"&lt;&gt;")=0,"",SUMIFS(Base!$AD$3:$AD$5001,Base!$A$3:$A$5001,L$3,Base!$B$3:$B$5001,$A$79)))</f>
        <v/>
      </c>
      <c r="M97" s="103" t="str">
        <f>IF(M$3="","",IF(COUNTIFS(Base!$A$3:$A$5001,M$3,Base!$B$3:$B$5001,$A$79,Base!$AD$3:$AD$5001,"&lt;&gt;")=0,"",SUMIFS(Base!$AD$3:$AD$5001,Base!$A$3:$A$5001,M$3,Base!$B$3:$B$5001,$A$79)))</f>
        <v/>
      </c>
      <c r="N97" s="103" t="str">
        <f>IF(N$3="","",IF(COUNTIFS(Base!$A$3:$A$5001,N$3,Base!$B$3:$B$5001,$A$79,Base!$AD$3:$AD$5001,"&lt;&gt;")=0,"",SUMIFS(Base!$AD$3:$AD$5001,Base!$A$3:$A$5001,N$3,Base!$B$3:$B$5001,$A$79)))</f>
        <v/>
      </c>
      <c r="O97" s="103" t="str">
        <f>IF(O$3="","",IF(COUNTIFS(Base!$A$3:$A$5001,O$3,Base!$B$3:$B$5001,$A$79,Base!$AD$3:$AD$5001,"&lt;&gt;")=0,"",SUMIFS(Base!$AD$3:$AD$5001,Base!$A$3:$A$5001,O$3,Base!$B$3:$B$5001,$A$79)))</f>
        <v/>
      </c>
      <c r="P97" s="103" t="str">
        <f>IF(P$3="","",IF(COUNTIFS(Base!$A$3:$A$5001,P$3,Base!$B$3:$B$5001,$A$79,Base!$AD$3:$AD$5001,"&lt;&gt;")=0,"",SUMIFS(Base!$AD$3:$AD$5001,Base!$A$3:$A$5001,P$3,Base!$B$3:$B$5001,$A$79)))</f>
        <v/>
      </c>
      <c r="Q97" s="103" t="str">
        <f>IF(Q$3="","",IF(COUNTIFS(Base!$A$3:$A$5001,Q$3,Base!$B$3:$B$5001,$A$79,Base!$AD$3:$AD$5001,"&lt;&gt;")=0,"",SUMIFS(Base!$AD$3:$AD$5001,Base!$A$3:$A$5001,Q$3,Base!$B$3:$B$5001,$A$79)))</f>
        <v/>
      </c>
      <c r="R97" s="103" t="str">
        <f>IF(R$3="","",IF(COUNTIFS(Base!$A$3:$A$5001,R$3,Base!$B$3:$B$5001,$A$79,Base!$AD$3:$AD$5001,"&lt;&gt;")=0,"",SUMIFS(Base!$AD$3:$AD$5001,Base!$A$3:$A$5001,R$3,Base!$B$3:$B$5001,$A$79)))</f>
        <v/>
      </c>
      <c r="S97" s="103" t="str">
        <f>IF(S$3="","",IF(COUNTIFS(Base!$A$3:$A$5001,S$3,Base!$B$3:$B$5001,$A$79,Base!$AD$3:$AD$5001,"&lt;&gt;")=0,"",SUMIFS(Base!$AD$3:$AD$5001,Base!$A$3:$A$5001,S$3,Base!$B$3:$B$5001,$A$79)))</f>
        <v/>
      </c>
      <c r="T97" s="103" t="str">
        <f>IF(T$3="","",IF(COUNTIFS(Base!$A$3:$A$5001,T$3,Base!$B$3:$B$5001,$A$79,Base!$AD$3:$AD$5001,"&lt;&gt;")=0,"",SUMIFS(Base!$AD$3:$AD$5001,Base!$A$3:$A$5001,T$3,Base!$B$3:$B$5001,$A$79)))</f>
        <v/>
      </c>
      <c r="U97" s="103" t="str">
        <f>IF(U$3="","",IF(COUNTIFS(Base!$A$3:$A$5001,U$3,Base!$B$3:$B$5001,$A$79,Base!$AD$3:$AD$5001,"&lt;&gt;")=0,"",SUMIFS(Base!$AD$3:$AD$5001,Base!$A$3:$A$5001,U$3,Base!$B$3:$B$5001,$A$79)))</f>
        <v/>
      </c>
      <c r="V97" s="103" t="str">
        <f>IF(V$3="","",IF(COUNTIFS(Base!$A$3:$A$5001,V$3,Base!$B$3:$B$5001,$A$79,Base!$AD$3:$AD$5001,"&lt;&gt;")=0,"",SUMIFS(Base!$AD$3:$AD$5001,Base!$A$3:$A$5001,V$3,Base!$B$3:$B$5001,$A$79)))</f>
        <v/>
      </c>
      <c r="W97" s="103" t="str">
        <f>IF(W$3="","",IF(COUNTIFS(Base!$A$3:$A$5001,W$3,Base!$B$3:$B$5001,$A$79,Base!$AD$3:$AD$5001,"&lt;&gt;")=0,"",SUMIFS(Base!$AD$3:$AD$5001,Base!$A$3:$A$5001,W$3,Base!$B$3:$B$5001,$A$79)))</f>
        <v/>
      </c>
      <c r="X97" s="103" t="str">
        <f>IF(X$3="","",IF(COUNTIFS(Base!$A$3:$A$5001,X$3,Base!$B$3:$B$5001,$A$79,Base!$AD$3:$AD$5001,"&lt;&gt;")=0,"",SUMIFS(Base!$AD$3:$AD$5001,Base!$A$3:$A$5001,X$3,Base!$B$3:$B$5001,$A$79)))</f>
        <v/>
      </c>
      <c r="Y97" s="103" t="str">
        <f>IF(Y$3="","",IF(COUNTIFS(Base!$A$3:$A$5001,Y$3,Base!$B$3:$B$5001,$A$79,Base!$AD$3:$AD$5001,"&lt;&gt;")=0,"",SUMIFS(Base!$AD$3:$AD$5001,Base!$A$3:$A$5001,Y$3,Base!$B$3:$B$5001,$A$79)))</f>
        <v/>
      </c>
      <c r="Z97" s="103" t="str">
        <f>IF(Z$3="","",IF(COUNTIFS(Base!$A$3:$A$5001,Z$3,Base!$B$3:$B$5001,$A$79,Base!$AD$3:$AD$5001,"&lt;&gt;")=0,"",SUMIFS(Base!$AD$3:$AD$5001,Base!$A$3:$A$5001,Z$3,Base!$B$3:$B$5001,$A$79)))</f>
        <v/>
      </c>
      <c r="AA97" s="103">
        <f>IF(AA$3="","",IF(COUNTIFS(Base!$A$3:$A$5001,AA$3,Base!$B$3:$B$5001,$A$79,Base!$AD$3:$AD$5001,"&lt;&gt;")=0,"",SUMIFS(Base!$AD$3:$AD$5001,Base!$A$3:$A$5001,AA$3,Base!$B$3:$B$5001,$A$79)))</f>
        <v>1</v>
      </c>
      <c r="AB97" s="103" t="str">
        <f>IF(AB$3="","",IF(COUNTIFS(Base!$A$3:$A$5001,AB$3,Base!$B$3:$B$5001,$A$79,Base!$AD$3:$AD$5001,"&lt;&gt;")=0,"",SUMIFS(Base!$AD$3:$AD$5001,Base!$A$3:$A$5001,AB$3,Base!$B$3:$B$5001,$A$79)))</f>
        <v/>
      </c>
      <c r="AC97" s="103" t="str">
        <f>IF(AC$3="","",IF(COUNTIFS(Base!$A$3:$A$5001,AC$3,Base!$B$3:$B$5001,$A$79,Base!$AD$3:$AD$5001,"&lt;&gt;")=0,"",SUMIFS(Base!$AD$3:$AD$5001,Base!$A$3:$A$5001,AC$3,Base!$B$3:$B$5001,$A$79)))</f>
        <v/>
      </c>
      <c r="AD97" s="103" t="str">
        <f>IF(AD$3="","",IF(COUNTIFS(Base!$A$3:$A$5001,AD$3,Base!$B$3:$B$5001,$A$79,Base!$AD$3:$AD$5001,"&lt;&gt;")=0,"",SUMIFS(Base!$AD$3:$AD$5001,Base!$A$3:$A$5001,AD$3,Base!$B$3:$B$5001,$A$79)))</f>
        <v/>
      </c>
      <c r="AE97" s="103" t="str">
        <f>IF(AE$3="","",IF(COUNTIFS(Base!$A$3:$A$5001,AE$3,Base!$B$3:$B$5001,$A$79,Base!$AD$3:$AD$5001,"&lt;&gt;")=0,"",SUMIFS(Base!$AD$3:$AD$5001,Base!$A$3:$A$5001,AE$3,Base!$B$3:$B$5001,$A$79)))</f>
        <v/>
      </c>
      <c r="AF97" s="103" t="str">
        <f>IF(AF$3="","",IF(COUNTIFS(Base!$A$3:$A$5001,AF$3,Base!$B$3:$B$5001,$A$79,Base!$AD$3:$AD$5001,"&lt;&gt;")=0,"",SUMIFS(Base!$AD$3:$AD$5001,Base!$A$3:$A$5001,AF$3,Base!$B$3:$B$5001,$A$79)))</f>
        <v/>
      </c>
      <c r="AG97" s="103" t="str">
        <f>IF(AG$3="","",IF(COUNTIFS(Base!$A$3:$A$5001,AG$3,Base!$B$3:$B$5001,$A$79,Base!$AD$3:$AD$5001,"&lt;&gt;")=0,"",SUMIFS(Base!$AD$3:$AD$5001,Base!$A$3:$A$5001,AG$3,Base!$B$3:$B$5001,$A$79)))</f>
        <v/>
      </c>
      <c r="AH97" s="103" t="str">
        <f>IF(AH$3="","",IF(COUNTIFS(Base!$A$3:$A$5001,AH$3,Base!$B$3:$B$5001,$A$79,Base!$AD$3:$AD$5001,"&lt;&gt;")=0,"",SUMIFS(Base!$AD$3:$AD$5001,Base!$A$3:$A$5001,AH$3,Base!$B$3:$B$5001,$A$79)))</f>
        <v/>
      </c>
      <c r="AI97" s="103" t="str">
        <f>IF(AI$3="","",IF(COUNTIFS(Base!$A$3:$A$5001,AI$3,Base!$B$3:$B$5001,$A$79,Base!$AD$3:$AD$5001,"&lt;&gt;")=0,"",SUMIFS(Base!$AD$3:$AD$5001,Base!$A$3:$A$5001,AI$3,Base!$B$3:$B$5001,$A$79)))</f>
        <v/>
      </c>
      <c r="AJ97" s="104" t="str">
        <f>IF(AJ$3="","",IF(COUNTIFS(Base!$A$3:$A$5001,AJ$3,Base!$B$3:$B$5001,$A$79,Base!$AD$3:$AD$5001,"&lt;&gt;")=0,"",SUMIFS(Base!$AD$3:$AD$5001,Base!$A$3:$A$5001,AJ$3,Base!$B$3:$B$5001,$A$79)))</f>
        <v/>
      </c>
      <c r="AK97" s="100">
        <f>IF(COUNT(F97:AJ97)=0,"",SUM(F97:AJ97))</f>
        <v>1</v>
      </c>
    </row>
    <row r="99" ht="15.75" customHeight="1">
      <c r="A99" s="117" t="inlineStr">
        <is>
          <t xml:space="preserve">VESTAS</t>
        </is>
      </c>
      <c r="B99" s="105" t="inlineStr">
        <is>
          <t xml:space="preserve">IN</t>
        </is>
      </c>
      <c r="C99" s="21" t="inlineStr">
        <is>
          <t xml:space="preserve">Veículos Recebidos</t>
        </is>
      </c>
      <c r="D99" s="22" t="str">
        <f>IFERROR(1/(1/INDEX(calculos!$C$55:$K$83,MATCH("IN Veículos Recebidos",calculos!$A$55:$A$83,0),MATCH($A$99,calculos!$C$54:$K$54,0))),"")</f>
        <v/>
      </c>
      <c r="E99" s="23"/>
      <c r="F99" s="24">
        <f>IF(F$3="","",IF(COUNTIFS(Base!$A$3:$A$5001,F$3,Base!$B$3:$B$5001,$A$99,Base!$C$3:$C$5001,"&lt;&gt;")=0,"",SUMIFS(Base!$C$3:$C$5001,Base!$A$3:$A$5001,F$3,Base!$B$3:$B$5001,$A$99)))</f>
        <v>3</v>
      </c>
      <c r="G99" s="25">
        <f>IF(G$3="","",IF(COUNTIFS(Base!$A$3:$A$5001,G$3,Base!$B$3:$B$5001,$A$99,Base!$C$3:$C$5001,"&lt;&gt;")=0,"",SUMIFS(Base!$C$3:$C$5001,Base!$A$3:$A$5001,G$3,Base!$B$3:$B$5001,$A$99)))</f>
        <v>2</v>
      </c>
      <c r="H99" s="25">
        <f>IF(H$3="","",IF(COUNTIFS(Base!$A$3:$A$5001,H$3,Base!$B$3:$B$5001,$A$99,Base!$C$3:$C$5001,"&lt;&gt;")=0,"",SUMIFS(Base!$C$3:$C$5001,Base!$A$3:$A$5001,H$3,Base!$B$3:$B$5001,$A$99)))</f>
        <v>3</v>
      </c>
      <c r="I99" s="25">
        <f>IF(I$3="","",IF(COUNTIFS(Base!$A$3:$A$5001,I$3,Base!$B$3:$B$5001,$A$99,Base!$C$3:$C$5001,"&lt;&gt;")=0,"",SUMIFS(Base!$C$3:$C$5001,Base!$A$3:$A$5001,I$3,Base!$B$3:$B$5001,$A$99)))</f>
        <v>6</v>
      </c>
      <c r="J99" s="25">
        <f>IF(J$3="","",IF(COUNTIFS(Base!$A$3:$A$5001,J$3,Base!$B$3:$B$5001,$A$99,Base!$C$3:$C$5001,"&lt;&gt;")=0,"",SUMIFS(Base!$C$3:$C$5001,Base!$A$3:$A$5001,J$3,Base!$B$3:$B$5001,$A$99)))</f>
        <v>4</v>
      </c>
      <c r="K99" s="25" t="str">
        <f>IF(K$3="","",IF(COUNTIFS(Base!$A$3:$A$5001,K$3,Base!$B$3:$B$5001,$A$99,Base!$C$3:$C$5001,"&lt;&gt;")=0,"",SUMIFS(Base!$C$3:$C$5001,Base!$A$3:$A$5001,K$3,Base!$B$3:$B$5001,$A$99)))</f>
        <v/>
      </c>
      <c r="L99" s="25">
        <f>IF(L$3="","",IF(COUNTIFS(Base!$A$3:$A$5001,L$3,Base!$B$3:$B$5001,$A$99,Base!$C$3:$C$5001,"&lt;&gt;")=0,"",SUMIFS(Base!$C$3:$C$5001,Base!$A$3:$A$5001,L$3,Base!$B$3:$B$5001,$A$99)))</f>
        <v>2</v>
      </c>
      <c r="M99" s="25">
        <f>IF(M$3="","",IF(COUNTIFS(Base!$A$3:$A$5001,M$3,Base!$B$3:$B$5001,$A$99,Base!$C$3:$C$5001,"&lt;&gt;")=0,"",SUMIFS(Base!$C$3:$C$5001,Base!$A$3:$A$5001,M$3,Base!$B$3:$B$5001,$A$99)))</f>
        <v>4</v>
      </c>
      <c r="N99" s="25">
        <f>IF(N$3="","",IF(COUNTIFS(Base!$A$3:$A$5001,N$3,Base!$B$3:$B$5001,$A$99,Base!$C$3:$C$5001,"&lt;&gt;")=0,"",SUMIFS(Base!$C$3:$C$5001,Base!$A$3:$A$5001,N$3,Base!$B$3:$B$5001,$A$99)))</f>
        <v>2</v>
      </c>
      <c r="O99" s="25">
        <f>IF(O$3="","",IF(COUNTIFS(Base!$A$3:$A$5001,O$3,Base!$B$3:$B$5001,$A$99,Base!$C$3:$C$5001,"&lt;&gt;")=0,"",SUMIFS(Base!$C$3:$C$5001,Base!$A$3:$A$5001,O$3,Base!$B$3:$B$5001,$A$99)))</f>
        <v>5</v>
      </c>
      <c r="P99" s="25">
        <f>IF(P$3="","",IF(COUNTIFS(Base!$A$3:$A$5001,P$3,Base!$B$3:$B$5001,$A$99,Base!$C$3:$C$5001,"&lt;&gt;")=0,"",SUMIFS(Base!$C$3:$C$5001,Base!$A$3:$A$5001,P$3,Base!$B$3:$B$5001,$A$99)))</f>
        <v>8</v>
      </c>
      <c r="Q99" s="25">
        <f>IF(Q$3="","",IF(COUNTIFS(Base!$A$3:$A$5001,Q$3,Base!$B$3:$B$5001,$A$99,Base!$C$3:$C$5001,"&lt;&gt;")=0,"",SUMIFS(Base!$C$3:$C$5001,Base!$A$3:$A$5001,Q$3,Base!$B$3:$B$5001,$A$99)))</f>
        <v>8</v>
      </c>
      <c r="R99" s="25" t="str">
        <f>IF(R$3="","",IF(COUNTIFS(Base!$A$3:$A$5001,R$3,Base!$B$3:$B$5001,$A$99,Base!$C$3:$C$5001,"&lt;&gt;")=0,"",SUMIFS(Base!$C$3:$C$5001,Base!$A$3:$A$5001,R$3,Base!$B$3:$B$5001,$A$99)))</f>
        <v/>
      </c>
      <c r="S99" s="25">
        <f>IF(S$3="","",IF(COUNTIFS(Base!$A$3:$A$5001,S$3,Base!$B$3:$B$5001,$A$99,Base!$C$3:$C$5001,"&lt;&gt;")=0,"",SUMIFS(Base!$C$3:$C$5001,Base!$A$3:$A$5001,S$3,Base!$B$3:$B$5001,$A$99)))</f>
        <v>5</v>
      </c>
      <c r="T99" s="25">
        <f>IF(T$3="","",IF(COUNTIFS(Base!$A$3:$A$5001,T$3,Base!$B$3:$B$5001,$A$99,Base!$C$3:$C$5001,"&lt;&gt;")=0,"",SUMIFS(Base!$C$3:$C$5001,Base!$A$3:$A$5001,T$3,Base!$B$3:$B$5001,$A$99)))</f>
        <v>3</v>
      </c>
      <c r="U99" s="25">
        <f>IF(U$3="","",IF(COUNTIFS(Base!$A$3:$A$5001,U$3,Base!$B$3:$B$5001,$A$99,Base!$C$3:$C$5001,"&lt;&gt;")=0,"",SUMIFS(Base!$C$3:$C$5001,Base!$A$3:$A$5001,U$3,Base!$B$3:$B$5001,$A$99)))</f>
        <v>8</v>
      </c>
      <c r="V99" s="25">
        <f>IF(V$3="","",IF(COUNTIFS(Base!$A$3:$A$5001,V$3,Base!$B$3:$B$5001,$A$99,Base!$C$3:$C$5001,"&lt;&gt;")=0,"",SUMIFS(Base!$C$3:$C$5001,Base!$A$3:$A$5001,V$3,Base!$B$3:$B$5001,$A$99)))</f>
        <v>2</v>
      </c>
      <c r="W99" s="25">
        <f>IF(W$3="","",IF(COUNTIFS(Base!$A$3:$A$5001,W$3,Base!$B$3:$B$5001,$A$99,Base!$C$3:$C$5001,"&lt;&gt;")=0,"",SUMIFS(Base!$C$3:$C$5001,Base!$A$3:$A$5001,W$3,Base!$B$3:$B$5001,$A$99)))</f>
        <v>7</v>
      </c>
      <c r="X99" s="25">
        <f>IF(X$3="","",IF(COUNTIFS(Base!$A$3:$A$5001,X$3,Base!$B$3:$B$5001,$A$99,Base!$C$3:$C$5001,"&lt;&gt;")=0,"",SUMIFS(Base!$C$3:$C$5001,Base!$A$3:$A$5001,X$3,Base!$B$3:$B$5001,$A$99)))</f>
        <v>4</v>
      </c>
      <c r="Y99" s="25" t="str">
        <f>IF(Y$3="","",IF(COUNTIFS(Base!$A$3:$A$5001,Y$3,Base!$B$3:$B$5001,$A$99,Base!$C$3:$C$5001,"&lt;&gt;")=0,"",SUMIFS(Base!$C$3:$C$5001,Base!$A$3:$A$5001,Y$3,Base!$B$3:$B$5001,$A$99)))</f>
        <v/>
      </c>
      <c r="Z99" s="25">
        <f>IF(Z$3="","",IF(COUNTIFS(Base!$A$3:$A$5001,Z$3,Base!$B$3:$B$5001,$A$99,Base!$C$3:$C$5001,"&lt;&gt;")=0,"",SUMIFS(Base!$C$3:$C$5001,Base!$A$3:$A$5001,Z$3,Base!$B$3:$B$5001,$A$99)))</f>
        <v>7</v>
      </c>
      <c r="AA99" s="25">
        <f>IF(AA$3="","",IF(COUNTIFS(Base!$A$3:$A$5001,AA$3,Base!$B$3:$B$5001,$A$99,Base!$C$3:$C$5001,"&lt;&gt;")=0,"",SUMIFS(Base!$C$3:$C$5001,Base!$A$3:$A$5001,AA$3,Base!$B$3:$B$5001,$A$99)))</f>
        <v>5</v>
      </c>
      <c r="AB99" s="25">
        <f>IF(AB$3="","",IF(COUNTIFS(Base!$A$3:$A$5001,AB$3,Base!$B$3:$B$5001,$A$99,Base!$C$3:$C$5001,"&lt;&gt;")=0,"",SUMIFS(Base!$C$3:$C$5001,Base!$A$3:$A$5001,AB$3,Base!$B$3:$B$5001,$A$99)))</f>
        <v>6</v>
      </c>
      <c r="AC99" s="25">
        <f>IF(AC$3="","",IF(COUNTIFS(Base!$A$3:$A$5001,AC$3,Base!$B$3:$B$5001,$A$99,Base!$C$3:$C$5001,"&lt;&gt;")=0,"",SUMIFS(Base!$C$3:$C$5001,Base!$A$3:$A$5001,AC$3,Base!$B$3:$B$5001,$A$99)))</f>
        <v>5</v>
      </c>
      <c r="AD99" s="25">
        <f>IF(AD$3="","",IF(COUNTIFS(Base!$A$3:$A$5001,AD$3,Base!$B$3:$B$5001,$A$99,Base!$C$3:$C$5001,"&lt;&gt;")=0,"",SUMIFS(Base!$C$3:$C$5001,Base!$A$3:$A$5001,AD$3,Base!$B$3:$B$5001,$A$99)))</f>
        <v>7</v>
      </c>
      <c r="AE99" s="25">
        <f>IF(AE$3="","",IF(COUNTIFS(Base!$A$3:$A$5001,AE$3,Base!$B$3:$B$5001,$A$99,Base!$C$3:$C$5001,"&lt;&gt;")=0,"",SUMIFS(Base!$C$3:$C$5001,Base!$A$3:$A$5001,AE$3,Base!$B$3:$B$5001,$A$99)))</f>
        <v>5</v>
      </c>
      <c r="AF99" s="25" t="str">
        <f>IF(AF$3="","",IF(COUNTIFS(Base!$A$3:$A$5001,AF$3,Base!$B$3:$B$5001,$A$99,Base!$C$3:$C$5001,"&lt;&gt;")=0,"",SUMIFS(Base!$C$3:$C$5001,Base!$A$3:$A$5001,AF$3,Base!$B$3:$B$5001,$A$99)))</f>
        <v/>
      </c>
      <c r="AG99" s="25">
        <f>IF(AG$3="","",IF(COUNTIFS(Base!$A$3:$A$5001,AG$3,Base!$B$3:$B$5001,$A$99,Base!$C$3:$C$5001,"&lt;&gt;")=0,"",SUMIFS(Base!$C$3:$C$5001,Base!$A$3:$A$5001,AG$3,Base!$B$3:$B$5001,$A$99)))</f>
        <v>2</v>
      </c>
      <c r="AH99" s="25">
        <f>IF(AH$3="","",IF(COUNTIFS(Base!$A$3:$A$5001,AH$3,Base!$B$3:$B$5001,$A$99,Base!$C$3:$C$5001,"&lt;&gt;")=0,"",SUMIFS(Base!$C$3:$C$5001,Base!$A$3:$A$5001,AH$3,Base!$B$3:$B$5001,$A$99)))</f>
        <v>3</v>
      </c>
      <c r="AI99" s="25" t="str">
        <f>IF(AI$3="","",IF(COUNTIFS(Base!$A$3:$A$5001,AI$3,Base!$B$3:$B$5001,$A$99,Base!$C$3:$C$5001,"&lt;&gt;")=0,"",SUMIFS(Base!$C$3:$C$5001,Base!$A$3:$A$5001,AI$3,Base!$B$3:$B$5001,$A$99)))</f>
        <v/>
      </c>
      <c r="AJ99" s="26" t="str">
        <f>IF(AJ$3="","",IF(COUNTIFS(Base!$A$3:$A$5001,AJ$3,Base!$B$3:$B$5001,$A$99,Base!$C$3:$C$5001,"&lt;&gt;")=0,"",SUMIFS(Base!$C$3:$C$5001,Base!$A$3:$A$5001,AJ$3,Base!$B$3:$B$5001,$A$99)))</f>
        <v/>
      </c>
      <c r="AK99" s="27">
        <f>IF(COUNT(F99:AJ99)=0,"",SUM(F99:AJ99))</f>
        <v>116</v>
      </c>
    </row>
    <row r="100" ht="15.75" customHeight="1">
      <c r="A100" s="118"/>
      <c r="B100" s="107"/>
      <c r="C100" s="35" t="inlineStr">
        <is>
          <t xml:space="preserve">Linhas NF</t>
        </is>
      </c>
      <c r="D100" s="469" t="str">
        <f>IFERROR(1/(1/INDEX(calculos!$C$55:$K$83,MATCH("IN Linhas NF",calculos!$A$55:$A$83,0),MATCH($A$99,calculos!$C$54:$K$54,0))),"")</f>
        <v/>
      </c>
      <c r="E100" s="37"/>
      <c r="F100" s="470">
        <f>IF(F$3="","",IF(COUNTIFS(Base!$A$3:$A$5001,F$3,Base!$B$3:$B$5001,$A$99,Base!$K$3:$K$5001,"&lt;&gt;")=0,"",SUMIFS(Base!$K$3:$K$5001,Base!$A$3:$A$5001,F$3,Base!$B$3:$B$5001,$A$99)))</f>
        <v>72</v>
      </c>
      <c r="G100" s="471">
        <f>IF(G$3="","",IF(COUNTIFS(Base!$A$3:$A$5001,G$3,Base!$B$3:$B$5001,$A$99,Base!$K$3:$K$5001,"&lt;&gt;")=0,"",SUMIFS(Base!$K$3:$K$5001,Base!$A$3:$A$5001,G$3,Base!$B$3:$B$5001,$A$99)))</f>
        <v>54</v>
      </c>
      <c r="H100" s="471">
        <f>IF(H$3="","",IF(COUNTIFS(Base!$A$3:$A$5001,H$3,Base!$B$3:$B$5001,$A$99,Base!$K$3:$K$5001,"&lt;&gt;")=0,"",SUMIFS(Base!$K$3:$K$5001,Base!$A$3:$A$5001,H$3,Base!$B$3:$B$5001,$A$99)))</f>
        <v>79</v>
      </c>
      <c r="I100" s="471">
        <f>IF(I$3="","",IF(COUNTIFS(Base!$A$3:$A$5001,I$3,Base!$B$3:$B$5001,$A$99,Base!$K$3:$K$5001,"&lt;&gt;")=0,"",SUMIFS(Base!$K$3:$K$5001,Base!$A$3:$A$5001,I$3,Base!$B$3:$B$5001,$A$99)))</f>
        <v>71</v>
      </c>
      <c r="J100" s="471">
        <f>IF(J$3="","",IF(COUNTIFS(Base!$A$3:$A$5001,J$3,Base!$B$3:$B$5001,$A$99,Base!$K$3:$K$5001,"&lt;&gt;")=0,"",SUMIFS(Base!$K$3:$K$5001,Base!$A$3:$A$5001,J$3,Base!$B$3:$B$5001,$A$99)))</f>
        <v>86</v>
      </c>
      <c r="K100" s="471" t="str">
        <f>IF(K$3="","",IF(COUNTIFS(Base!$A$3:$A$5001,K$3,Base!$B$3:$B$5001,$A$99,Base!$K$3:$K$5001,"&lt;&gt;")=0,"",SUMIFS(Base!$K$3:$K$5001,Base!$A$3:$A$5001,K$3,Base!$B$3:$B$5001,$A$99)))</f>
        <v/>
      </c>
      <c r="L100" s="471">
        <f>IF(L$3="","",IF(COUNTIFS(Base!$A$3:$A$5001,L$3,Base!$B$3:$B$5001,$A$99,Base!$K$3:$K$5001,"&lt;&gt;")=0,"",SUMIFS(Base!$K$3:$K$5001,Base!$A$3:$A$5001,L$3,Base!$B$3:$B$5001,$A$99)))</f>
        <v>58</v>
      </c>
      <c r="M100" s="471">
        <f>IF(M$3="","",IF(COUNTIFS(Base!$A$3:$A$5001,M$3,Base!$B$3:$B$5001,$A$99,Base!$K$3:$K$5001,"&lt;&gt;")=0,"",SUMIFS(Base!$K$3:$K$5001,Base!$A$3:$A$5001,M$3,Base!$B$3:$B$5001,$A$99)))</f>
        <v>87</v>
      </c>
      <c r="N100" s="471">
        <f>IF(N$3="","",IF(COUNTIFS(Base!$A$3:$A$5001,N$3,Base!$B$3:$B$5001,$A$99,Base!$K$3:$K$5001,"&lt;&gt;")=0,"",SUMIFS(Base!$K$3:$K$5001,Base!$A$3:$A$5001,N$3,Base!$B$3:$B$5001,$A$99)))</f>
        <v>82</v>
      </c>
      <c r="O100" s="471">
        <f>IF(O$3="","",IF(COUNTIFS(Base!$A$3:$A$5001,O$3,Base!$B$3:$B$5001,$A$99,Base!$K$3:$K$5001,"&lt;&gt;")=0,"",SUMIFS(Base!$K$3:$K$5001,Base!$A$3:$A$5001,O$3,Base!$B$3:$B$5001,$A$99)))</f>
        <v>60</v>
      </c>
      <c r="P100" s="471">
        <f>IF(P$3="","",IF(COUNTIFS(Base!$A$3:$A$5001,P$3,Base!$B$3:$B$5001,$A$99,Base!$K$3:$K$5001,"&lt;&gt;")=0,"",SUMIFS(Base!$K$3:$K$5001,Base!$A$3:$A$5001,P$3,Base!$B$3:$B$5001,$A$99)))</f>
        <v>46</v>
      </c>
      <c r="Q100" s="471">
        <f>IF(Q$3="","",IF(COUNTIFS(Base!$A$3:$A$5001,Q$3,Base!$B$3:$B$5001,$A$99,Base!$K$3:$K$5001,"&lt;&gt;")=0,"",SUMIFS(Base!$K$3:$K$5001,Base!$A$3:$A$5001,Q$3,Base!$B$3:$B$5001,$A$99)))</f>
        <v>31</v>
      </c>
      <c r="R100" s="471" t="str">
        <f>IF(R$3="","",IF(COUNTIFS(Base!$A$3:$A$5001,R$3,Base!$B$3:$B$5001,$A$99,Base!$K$3:$K$5001,"&lt;&gt;")=0,"",SUMIFS(Base!$K$3:$K$5001,Base!$A$3:$A$5001,R$3,Base!$B$3:$B$5001,$A$99)))</f>
        <v/>
      </c>
      <c r="S100" s="471">
        <f>IF(S$3="","",IF(COUNTIFS(Base!$A$3:$A$5001,S$3,Base!$B$3:$B$5001,$A$99,Base!$K$3:$K$5001,"&lt;&gt;")=0,"",SUMIFS(Base!$K$3:$K$5001,Base!$A$3:$A$5001,S$3,Base!$B$3:$B$5001,$A$99)))</f>
        <v>89</v>
      </c>
      <c r="T100" s="471">
        <f>IF(T$3="","",IF(COUNTIFS(Base!$A$3:$A$5001,T$3,Base!$B$3:$B$5001,$A$99,Base!$K$3:$K$5001,"&lt;&gt;")=0,"",SUMIFS(Base!$K$3:$K$5001,Base!$A$3:$A$5001,T$3,Base!$B$3:$B$5001,$A$99)))</f>
        <v>89</v>
      </c>
      <c r="U100" s="471">
        <f>IF(U$3="","",IF(COUNTIFS(Base!$A$3:$A$5001,U$3,Base!$B$3:$B$5001,$A$99,Base!$K$3:$K$5001,"&lt;&gt;")=0,"",SUMIFS(Base!$K$3:$K$5001,Base!$A$3:$A$5001,U$3,Base!$B$3:$B$5001,$A$99)))</f>
        <v>82</v>
      </c>
      <c r="V100" s="471">
        <f>IF(V$3="","",IF(COUNTIFS(Base!$A$3:$A$5001,V$3,Base!$B$3:$B$5001,$A$99,Base!$K$3:$K$5001,"&lt;&gt;")=0,"",SUMIFS(Base!$K$3:$K$5001,Base!$A$3:$A$5001,V$3,Base!$B$3:$B$5001,$A$99)))</f>
        <v>60</v>
      </c>
      <c r="W100" s="471">
        <f>IF(W$3="","",IF(COUNTIFS(Base!$A$3:$A$5001,W$3,Base!$B$3:$B$5001,$A$99,Base!$K$3:$K$5001,"&lt;&gt;")=0,"",SUMIFS(Base!$K$3:$K$5001,Base!$A$3:$A$5001,W$3,Base!$B$3:$B$5001,$A$99)))</f>
        <v>67</v>
      </c>
      <c r="X100" s="471">
        <f>IF(X$3="","",IF(COUNTIFS(Base!$A$3:$A$5001,X$3,Base!$B$3:$B$5001,$A$99,Base!$K$3:$K$5001,"&lt;&gt;")=0,"",SUMIFS(Base!$K$3:$K$5001,Base!$A$3:$A$5001,X$3,Base!$B$3:$B$5001,$A$99)))</f>
        <v>21</v>
      </c>
      <c r="Y100" s="471" t="str">
        <f>IF(Y$3="","",IF(COUNTIFS(Base!$A$3:$A$5001,Y$3,Base!$B$3:$B$5001,$A$99,Base!$K$3:$K$5001,"&lt;&gt;")=0,"",SUMIFS(Base!$K$3:$K$5001,Base!$A$3:$A$5001,Y$3,Base!$B$3:$B$5001,$A$99)))</f>
        <v/>
      </c>
      <c r="Z100" s="471">
        <f>IF(Z$3="","",IF(COUNTIFS(Base!$A$3:$A$5001,Z$3,Base!$B$3:$B$5001,$A$99,Base!$K$3:$K$5001,"&lt;&gt;")=0,"",SUMIFS(Base!$K$3:$K$5001,Base!$A$3:$A$5001,Z$3,Base!$B$3:$B$5001,$A$99)))</f>
        <v>21</v>
      </c>
      <c r="AA100" s="471">
        <f>IF(AA$3="","",IF(COUNTIFS(Base!$A$3:$A$5001,AA$3,Base!$B$3:$B$5001,$A$99,Base!$K$3:$K$5001,"&lt;&gt;")=0,"",SUMIFS(Base!$K$3:$K$5001,Base!$A$3:$A$5001,AA$3,Base!$B$3:$B$5001,$A$99)))</f>
        <v>51</v>
      </c>
      <c r="AB100" s="471">
        <f>IF(AB$3="","",IF(COUNTIFS(Base!$A$3:$A$5001,AB$3,Base!$B$3:$B$5001,$A$99,Base!$K$3:$K$5001,"&lt;&gt;")=0,"",SUMIFS(Base!$K$3:$K$5001,Base!$A$3:$A$5001,AB$3,Base!$B$3:$B$5001,$A$99)))</f>
        <v>46</v>
      </c>
      <c r="AC100" s="471">
        <f>IF(AC$3="","",IF(COUNTIFS(Base!$A$3:$A$5001,AC$3,Base!$B$3:$B$5001,$A$99,Base!$K$3:$K$5001,"&lt;&gt;")=0,"",SUMIFS(Base!$K$3:$K$5001,Base!$A$3:$A$5001,AC$3,Base!$B$3:$B$5001,$A$99)))</f>
        <v>49</v>
      </c>
      <c r="AD100" s="471">
        <f>IF(AD$3="","",IF(COUNTIFS(Base!$A$3:$A$5001,AD$3,Base!$B$3:$B$5001,$A$99,Base!$K$3:$K$5001,"&lt;&gt;")=0,"",SUMIFS(Base!$K$3:$K$5001,Base!$A$3:$A$5001,AD$3,Base!$B$3:$B$5001,$A$99)))</f>
        <v>59</v>
      </c>
      <c r="AE100" s="471">
        <f>IF(AE$3="","",IF(COUNTIFS(Base!$A$3:$A$5001,AE$3,Base!$B$3:$B$5001,$A$99,Base!$K$3:$K$5001,"&lt;&gt;")=0,"",SUMIFS(Base!$K$3:$K$5001,Base!$A$3:$A$5001,AE$3,Base!$B$3:$B$5001,$A$99)))</f>
        <v>62</v>
      </c>
      <c r="AF100" s="471" t="str">
        <f>IF(AF$3="","",IF(COUNTIFS(Base!$A$3:$A$5001,AF$3,Base!$B$3:$B$5001,$A$99,Base!$K$3:$K$5001,"&lt;&gt;")=0,"",SUMIFS(Base!$K$3:$K$5001,Base!$A$3:$A$5001,AF$3,Base!$B$3:$B$5001,$A$99)))</f>
        <v/>
      </c>
      <c r="AG100" s="471">
        <f>IF(AG$3="","",IF(COUNTIFS(Base!$A$3:$A$5001,AG$3,Base!$B$3:$B$5001,$A$99,Base!$K$3:$K$5001,"&lt;&gt;")=0,"",SUMIFS(Base!$K$3:$K$5001,Base!$A$3:$A$5001,AG$3,Base!$B$3:$B$5001,$A$99)))</f>
        <v>71</v>
      </c>
      <c r="AH100" s="471">
        <f>IF(AH$3="","",IF(COUNTIFS(Base!$A$3:$A$5001,AH$3,Base!$B$3:$B$5001,$A$99,Base!$K$3:$K$5001,"&lt;&gt;")=0,"",SUMIFS(Base!$K$3:$K$5001,Base!$A$3:$A$5001,AH$3,Base!$B$3:$B$5001,$A$99)))</f>
        <v>24</v>
      </c>
      <c r="AI100" s="471" t="str">
        <f>IF(AI$3="","",IF(COUNTIFS(Base!$A$3:$A$5001,AI$3,Base!$B$3:$B$5001,$A$99,Base!$K$3:$K$5001,"&lt;&gt;")=0,"",SUMIFS(Base!$K$3:$K$5001,Base!$A$3:$A$5001,AI$3,Base!$B$3:$B$5001,$A$99)))</f>
        <v/>
      </c>
      <c r="AJ100" s="472" t="str">
        <f>IF(AJ$3="","",IF(COUNTIFS(Base!$A$3:$A$5001,AJ$3,Base!$B$3:$B$5001,$A$99,Base!$K$3:$K$5001,"&lt;&gt;")=0,"",SUMIFS(Base!$K$3:$K$5001,Base!$A$3:$A$5001,AJ$3,Base!$B$3:$B$5001,$A$99)))</f>
        <v/>
      </c>
      <c r="AK100" s="469">
        <f>IF(COUNT(F100:AJ100)=0,"",SUM(F100:AJ100))</f>
        <v>1517</v>
      </c>
    </row>
    <row r="101" ht="15.75" customHeight="1">
      <c r="A101" s="118"/>
      <c r="B101" s="108" t="inlineStr">
        <is>
          <t xml:space="preserve">OUT</t>
        </is>
      </c>
      <c r="C101" s="41" t="inlineStr">
        <is>
          <t xml:space="preserve">Veículos Expedidos</t>
        </is>
      </c>
      <c r="D101" s="42" t="str">
        <f>IFERROR(1/(1/INDEX(calculos!$C$55:$K$83,MATCH("OUT Veículos Expedidos",calculos!$A$55:$A$83,0),MATCH($A$99,calculos!$C$54:$K$54,0))),"")</f>
        <v/>
      </c>
      <c r="E101" s="43"/>
      <c r="F101" s="44">
        <f>IF(F$3="","",IF(COUNTIFS(Base!$A$3:$A$5001,F$3,Base!$B$3:$B$5001,$A$99,Base!$L$3:$L$5001,"&lt;&gt;")=0,"",SUMIFS(Base!$L$3:$L$5001,Base!$A$3:$A$5001,F$3,Base!$B$3:$B$5001,$A$99)))</f>
        <v>8</v>
      </c>
      <c r="G101" s="45">
        <f>IF(G$3="","",IF(COUNTIFS(Base!$A$3:$A$5001,G$3,Base!$B$3:$B$5001,$A$99,Base!$L$3:$L$5001,"&lt;&gt;")=0,"",SUMIFS(Base!$L$3:$L$5001,Base!$A$3:$A$5001,G$3,Base!$B$3:$B$5001,$A$99)))</f>
        <v>10</v>
      </c>
      <c r="H101" s="45">
        <f>IF(H$3="","",IF(COUNTIFS(Base!$A$3:$A$5001,H$3,Base!$B$3:$B$5001,$A$99,Base!$L$3:$L$5001,"&lt;&gt;")=0,"",SUMIFS(Base!$L$3:$L$5001,Base!$A$3:$A$5001,H$3,Base!$B$3:$B$5001,$A$99)))</f>
        <v>11</v>
      </c>
      <c r="I101" s="45">
        <f>IF(I$3="","",IF(COUNTIFS(Base!$A$3:$A$5001,I$3,Base!$B$3:$B$5001,$A$99,Base!$L$3:$L$5001,"&lt;&gt;")=0,"",SUMIFS(Base!$L$3:$L$5001,Base!$A$3:$A$5001,I$3,Base!$B$3:$B$5001,$A$99)))</f>
        <v>4</v>
      </c>
      <c r="J101" s="45">
        <f>IF(J$3="","",IF(COUNTIFS(Base!$A$3:$A$5001,J$3,Base!$B$3:$B$5001,$A$99,Base!$L$3:$L$5001,"&lt;&gt;")=0,"",SUMIFS(Base!$L$3:$L$5001,Base!$A$3:$A$5001,J$3,Base!$B$3:$B$5001,$A$99)))</f>
        <v>3</v>
      </c>
      <c r="K101" s="45" t="str">
        <f>IF(K$3="","",IF(COUNTIFS(Base!$A$3:$A$5001,K$3,Base!$B$3:$B$5001,$A$99,Base!$L$3:$L$5001,"&lt;&gt;")=0,"",SUMIFS(Base!$L$3:$L$5001,Base!$A$3:$A$5001,K$3,Base!$B$3:$B$5001,$A$99)))</f>
        <v/>
      </c>
      <c r="L101" s="45">
        <f>IF(L$3="","",IF(COUNTIFS(Base!$A$3:$A$5001,L$3,Base!$B$3:$B$5001,$A$99,Base!$L$3:$L$5001,"&lt;&gt;")=0,"",SUMIFS(Base!$L$3:$L$5001,Base!$A$3:$A$5001,L$3,Base!$B$3:$B$5001,$A$99)))</f>
        <v>3</v>
      </c>
      <c r="M101" s="45">
        <f>IF(M$3="","",IF(COUNTIFS(Base!$A$3:$A$5001,M$3,Base!$B$3:$B$5001,$A$99,Base!$L$3:$L$5001,"&lt;&gt;")=0,"",SUMIFS(Base!$L$3:$L$5001,Base!$A$3:$A$5001,M$3,Base!$B$3:$B$5001,$A$99)))</f>
        <v>6</v>
      </c>
      <c r="N101" s="45">
        <f>IF(N$3="","",IF(COUNTIFS(Base!$A$3:$A$5001,N$3,Base!$B$3:$B$5001,$A$99,Base!$L$3:$L$5001,"&lt;&gt;")=0,"",SUMIFS(Base!$L$3:$L$5001,Base!$A$3:$A$5001,N$3,Base!$B$3:$B$5001,$A$99)))</f>
        <v>8</v>
      </c>
      <c r="O101" s="45">
        <f>IF(O$3="","",IF(COUNTIFS(Base!$A$3:$A$5001,O$3,Base!$B$3:$B$5001,$A$99,Base!$L$3:$L$5001,"&lt;&gt;")=0,"",SUMIFS(Base!$L$3:$L$5001,Base!$A$3:$A$5001,O$3,Base!$B$3:$B$5001,$A$99)))</f>
        <v>9</v>
      </c>
      <c r="P101" s="45">
        <f>IF(P$3="","",IF(COUNTIFS(Base!$A$3:$A$5001,P$3,Base!$B$3:$B$5001,$A$99,Base!$L$3:$L$5001,"&lt;&gt;")=0,"",SUMIFS(Base!$L$3:$L$5001,Base!$A$3:$A$5001,P$3,Base!$B$3:$B$5001,$A$99)))</f>
        <v>9</v>
      </c>
      <c r="Q101" s="45">
        <f>IF(Q$3="","",IF(COUNTIFS(Base!$A$3:$A$5001,Q$3,Base!$B$3:$B$5001,$A$99,Base!$L$3:$L$5001,"&lt;&gt;")=0,"",SUMIFS(Base!$L$3:$L$5001,Base!$A$3:$A$5001,Q$3,Base!$B$3:$B$5001,$A$99)))</f>
        <v>3</v>
      </c>
      <c r="R101" s="45" t="str">
        <f>IF(R$3="","",IF(COUNTIFS(Base!$A$3:$A$5001,R$3,Base!$B$3:$B$5001,$A$99,Base!$L$3:$L$5001,"&lt;&gt;")=0,"",SUMIFS(Base!$L$3:$L$5001,Base!$A$3:$A$5001,R$3,Base!$B$3:$B$5001,$A$99)))</f>
        <v/>
      </c>
      <c r="S101" s="45">
        <f>IF(S$3="","",IF(COUNTIFS(Base!$A$3:$A$5001,S$3,Base!$B$3:$B$5001,$A$99,Base!$L$3:$L$5001,"&lt;&gt;")=0,"",SUMIFS(Base!$L$3:$L$5001,Base!$A$3:$A$5001,S$3,Base!$B$3:$B$5001,$A$99)))</f>
        <v>9</v>
      </c>
      <c r="T101" s="45">
        <f>IF(T$3="","",IF(COUNTIFS(Base!$A$3:$A$5001,T$3,Base!$B$3:$B$5001,$A$99,Base!$L$3:$L$5001,"&lt;&gt;")=0,"",SUMIFS(Base!$L$3:$L$5001,Base!$A$3:$A$5001,T$3,Base!$B$3:$B$5001,$A$99)))</f>
        <v>7</v>
      </c>
      <c r="U101" s="45">
        <f>IF(U$3="","",IF(COUNTIFS(Base!$A$3:$A$5001,U$3,Base!$B$3:$B$5001,$A$99,Base!$L$3:$L$5001,"&lt;&gt;")=0,"",SUMIFS(Base!$L$3:$L$5001,Base!$A$3:$A$5001,U$3,Base!$B$3:$B$5001,$A$99)))</f>
        <v>4</v>
      </c>
      <c r="V101" s="45">
        <f>IF(V$3="","",IF(COUNTIFS(Base!$A$3:$A$5001,V$3,Base!$B$3:$B$5001,$A$99,Base!$L$3:$L$5001,"&lt;&gt;")=0,"",SUMIFS(Base!$L$3:$L$5001,Base!$A$3:$A$5001,V$3,Base!$B$3:$B$5001,$A$99)))</f>
        <v>4</v>
      </c>
      <c r="W101" s="45">
        <f>IF(W$3="","",IF(COUNTIFS(Base!$A$3:$A$5001,W$3,Base!$B$3:$B$5001,$A$99,Base!$L$3:$L$5001,"&lt;&gt;")=0,"",SUMIFS(Base!$L$3:$L$5001,Base!$A$3:$A$5001,W$3,Base!$B$3:$B$5001,$A$99)))</f>
        <v>2</v>
      </c>
      <c r="X101" s="45">
        <f>IF(X$3="","",IF(COUNTIFS(Base!$A$3:$A$5001,X$3,Base!$B$3:$B$5001,$A$99,Base!$L$3:$L$5001,"&lt;&gt;")=0,"",SUMIFS(Base!$L$3:$L$5001,Base!$A$3:$A$5001,X$3,Base!$B$3:$B$5001,$A$99)))</f>
        <v>10</v>
      </c>
      <c r="Y101" s="45" t="str">
        <f>IF(Y$3="","",IF(COUNTIFS(Base!$A$3:$A$5001,Y$3,Base!$B$3:$B$5001,$A$99,Base!$L$3:$L$5001,"&lt;&gt;")=0,"",SUMIFS(Base!$L$3:$L$5001,Base!$A$3:$A$5001,Y$3,Base!$B$3:$B$5001,$A$99)))</f>
        <v/>
      </c>
      <c r="Z101" s="45">
        <f>IF(Z$3="","",IF(COUNTIFS(Base!$A$3:$A$5001,Z$3,Base!$B$3:$B$5001,$A$99,Base!$L$3:$L$5001,"&lt;&gt;")=0,"",SUMIFS(Base!$L$3:$L$5001,Base!$A$3:$A$5001,Z$3,Base!$B$3:$B$5001,$A$99)))</f>
        <v>10</v>
      </c>
      <c r="AA101" s="45">
        <f>IF(AA$3="","",IF(COUNTIFS(Base!$A$3:$A$5001,AA$3,Base!$B$3:$B$5001,$A$99,Base!$L$3:$L$5001,"&lt;&gt;")=0,"",SUMIFS(Base!$L$3:$L$5001,Base!$A$3:$A$5001,AA$3,Base!$B$3:$B$5001,$A$99)))</f>
        <v>2</v>
      </c>
      <c r="AB101" s="45">
        <f>IF(AB$3="","",IF(COUNTIFS(Base!$A$3:$A$5001,AB$3,Base!$B$3:$B$5001,$A$99,Base!$L$3:$L$5001,"&lt;&gt;")=0,"",SUMIFS(Base!$L$3:$L$5001,Base!$A$3:$A$5001,AB$3,Base!$B$3:$B$5001,$A$99)))</f>
        <v>7</v>
      </c>
      <c r="AC101" s="45">
        <f>IF(AC$3="","",IF(COUNTIFS(Base!$A$3:$A$5001,AC$3,Base!$B$3:$B$5001,$A$99,Base!$L$3:$L$5001,"&lt;&gt;")=0,"",SUMIFS(Base!$L$3:$L$5001,Base!$A$3:$A$5001,AC$3,Base!$B$3:$B$5001,$A$99)))</f>
        <v>10</v>
      </c>
      <c r="AD101" s="45">
        <f>IF(AD$3="","",IF(COUNTIFS(Base!$A$3:$A$5001,AD$3,Base!$B$3:$B$5001,$A$99,Base!$L$3:$L$5001,"&lt;&gt;")=0,"",SUMIFS(Base!$L$3:$L$5001,Base!$A$3:$A$5001,AD$3,Base!$B$3:$B$5001,$A$99)))</f>
        <v>9</v>
      </c>
      <c r="AE101" s="45">
        <f>IF(AE$3="","",IF(COUNTIFS(Base!$A$3:$A$5001,AE$3,Base!$B$3:$B$5001,$A$99,Base!$L$3:$L$5001,"&lt;&gt;")=0,"",SUMIFS(Base!$L$3:$L$5001,Base!$A$3:$A$5001,AE$3,Base!$B$3:$B$5001,$A$99)))</f>
        <v>2</v>
      </c>
      <c r="AF101" s="45" t="str">
        <f>IF(AF$3="","",IF(COUNTIFS(Base!$A$3:$A$5001,AF$3,Base!$B$3:$B$5001,$A$99,Base!$L$3:$L$5001,"&lt;&gt;")=0,"",SUMIFS(Base!$L$3:$L$5001,Base!$A$3:$A$5001,AF$3,Base!$B$3:$B$5001,$A$99)))</f>
        <v/>
      </c>
      <c r="AG101" s="45">
        <f>IF(AG$3="","",IF(COUNTIFS(Base!$A$3:$A$5001,AG$3,Base!$B$3:$B$5001,$A$99,Base!$L$3:$L$5001,"&lt;&gt;")=0,"",SUMIFS(Base!$L$3:$L$5001,Base!$A$3:$A$5001,AG$3,Base!$B$3:$B$5001,$A$99)))</f>
        <v>4</v>
      </c>
      <c r="AH101" s="45">
        <f>IF(AH$3="","",IF(COUNTIFS(Base!$A$3:$A$5001,AH$3,Base!$B$3:$B$5001,$A$99,Base!$L$3:$L$5001,"&lt;&gt;")=0,"",SUMIFS(Base!$L$3:$L$5001,Base!$A$3:$A$5001,AH$3,Base!$B$3:$B$5001,$A$99)))</f>
        <v>10</v>
      </c>
      <c r="AI101" s="45" t="str">
        <f>IF(AI$3="","",IF(COUNTIFS(Base!$A$3:$A$5001,AI$3,Base!$B$3:$B$5001,$A$99,Base!$L$3:$L$5001,"&lt;&gt;")=0,"",SUMIFS(Base!$L$3:$L$5001,Base!$A$3:$A$5001,AI$3,Base!$B$3:$B$5001,$A$99)))</f>
        <v/>
      </c>
      <c r="AJ101" s="46" t="str">
        <f>IF(AJ$3="","",IF(COUNTIFS(Base!$A$3:$A$5001,AJ$3,Base!$B$3:$B$5001,$A$99,Base!$L$3:$L$5001,"&lt;&gt;")=0,"",SUMIFS(Base!$L$3:$L$5001,Base!$A$3:$A$5001,AJ$3,Base!$B$3:$B$5001,$A$99)))</f>
        <v/>
      </c>
      <c r="AK101" s="47">
        <f>IF(COUNT(F101:AJ101)=0,"",SUM(F101:AJ101))</f>
        <v>164</v>
      </c>
    </row>
    <row r="102" ht="15.75" customHeight="1">
      <c r="A102" s="118"/>
      <c r="B102" s="110"/>
      <c r="C102" s="55" t="inlineStr">
        <is>
          <t xml:space="preserve">Linhas NF</t>
        </is>
      </c>
      <c r="D102" s="473" t="str">
        <f>IFERROR(1/(1/INDEX(calculos!$C$55:$K$83,MATCH("OUT Linhas NF",calculos!$A$55:$A$83,0),MATCH($A$99,calculos!$C$54:$K$54,0))),"")</f>
        <v/>
      </c>
      <c r="E102" s="57"/>
      <c r="F102" s="474">
        <f>IF(F$3="","",IF(COUNTIFS(Base!$A$3:$A$5001,F$3,Base!$B$3:$B$5001,$A$99,Base!$T$3:$T$5001,"&lt;&gt;")=0,"",SUMIFS(Base!$T$3:$T$5001,Base!$A$3:$A$5001,F$3,Base!$B$3:$B$5001,$A$99)))</f>
        <v>91</v>
      </c>
      <c r="G102" s="475">
        <f>IF(G$3="","",IF(COUNTIFS(Base!$A$3:$A$5001,G$3,Base!$B$3:$B$5001,$A$99,Base!$T$3:$T$5001,"&lt;&gt;")=0,"",SUMIFS(Base!$T$3:$T$5001,Base!$A$3:$A$5001,G$3,Base!$B$3:$B$5001,$A$99)))</f>
        <v>96</v>
      </c>
      <c r="H102" s="475">
        <f>IF(H$3="","",IF(COUNTIFS(Base!$A$3:$A$5001,H$3,Base!$B$3:$B$5001,$A$99,Base!$T$3:$T$5001,"&lt;&gt;")=0,"",SUMIFS(Base!$T$3:$T$5001,Base!$A$3:$A$5001,H$3,Base!$B$3:$B$5001,$A$99)))</f>
        <v>43</v>
      </c>
      <c r="I102" s="475">
        <f>IF(I$3="","",IF(COUNTIFS(Base!$A$3:$A$5001,I$3,Base!$B$3:$B$5001,$A$99,Base!$T$3:$T$5001,"&lt;&gt;")=0,"",SUMIFS(Base!$T$3:$T$5001,Base!$A$3:$A$5001,I$3,Base!$B$3:$B$5001,$A$99)))</f>
        <v>30</v>
      </c>
      <c r="J102" s="475">
        <f>IF(J$3="","",IF(COUNTIFS(Base!$A$3:$A$5001,J$3,Base!$B$3:$B$5001,$A$99,Base!$T$3:$T$5001,"&lt;&gt;")=0,"",SUMIFS(Base!$T$3:$T$5001,Base!$A$3:$A$5001,J$3,Base!$B$3:$B$5001,$A$99)))</f>
        <v>118</v>
      </c>
      <c r="K102" s="475" t="str">
        <f>IF(K$3="","",IF(COUNTIFS(Base!$A$3:$A$5001,K$3,Base!$B$3:$B$5001,$A$99,Base!$T$3:$T$5001,"&lt;&gt;")=0,"",SUMIFS(Base!$T$3:$T$5001,Base!$A$3:$A$5001,K$3,Base!$B$3:$B$5001,$A$99)))</f>
        <v/>
      </c>
      <c r="L102" s="475">
        <f>IF(L$3="","",IF(COUNTIFS(Base!$A$3:$A$5001,L$3,Base!$B$3:$B$5001,$A$99,Base!$T$3:$T$5001,"&lt;&gt;")=0,"",SUMIFS(Base!$T$3:$T$5001,Base!$A$3:$A$5001,L$3,Base!$B$3:$B$5001,$A$99)))</f>
        <v>31</v>
      </c>
      <c r="M102" s="475">
        <f>IF(M$3="","",IF(COUNTIFS(Base!$A$3:$A$5001,M$3,Base!$B$3:$B$5001,$A$99,Base!$T$3:$T$5001,"&lt;&gt;")=0,"",SUMIFS(Base!$T$3:$T$5001,Base!$A$3:$A$5001,M$3,Base!$B$3:$B$5001,$A$99)))</f>
        <v>29</v>
      </c>
      <c r="N102" s="475">
        <f>IF(N$3="","",IF(COUNTIFS(Base!$A$3:$A$5001,N$3,Base!$B$3:$B$5001,$A$99,Base!$T$3:$T$5001,"&lt;&gt;")=0,"",SUMIFS(Base!$T$3:$T$5001,Base!$A$3:$A$5001,N$3,Base!$B$3:$B$5001,$A$99)))</f>
        <v>58</v>
      </c>
      <c r="O102" s="475">
        <f>IF(O$3="","",IF(COUNTIFS(Base!$A$3:$A$5001,O$3,Base!$B$3:$B$5001,$A$99,Base!$T$3:$T$5001,"&lt;&gt;")=0,"",SUMIFS(Base!$T$3:$T$5001,Base!$A$3:$A$5001,O$3,Base!$B$3:$B$5001,$A$99)))</f>
        <v>102</v>
      </c>
      <c r="P102" s="475">
        <f>IF(P$3="","",IF(COUNTIFS(Base!$A$3:$A$5001,P$3,Base!$B$3:$B$5001,$A$99,Base!$T$3:$T$5001,"&lt;&gt;")=0,"",SUMIFS(Base!$T$3:$T$5001,Base!$A$3:$A$5001,P$3,Base!$B$3:$B$5001,$A$99)))</f>
        <v>36</v>
      </c>
      <c r="Q102" s="475">
        <f>IF(Q$3="","",IF(COUNTIFS(Base!$A$3:$A$5001,Q$3,Base!$B$3:$B$5001,$A$99,Base!$T$3:$T$5001,"&lt;&gt;")=0,"",SUMIFS(Base!$T$3:$T$5001,Base!$A$3:$A$5001,Q$3,Base!$B$3:$B$5001,$A$99)))</f>
        <v>104</v>
      </c>
      <c r="R102" s="475" t="str">
        <f>IF(R$3="","",IF(COUNTIFS(Base!$A$3:$A$5001,R$3,Base!$B$3:$B$5001,$A$99,Base!$T$3:$T$5001,"&lt;&gt;")=0,"",SUMIFS(Base!$T$3:$T$5001,Base!$A$3:$A$5001,R$3,Base!$B$3:$B$5001,$A$99)))</f>
        <v/>
      </c>
      <c r="S102" s="475">
        <f>IF(S$3="","",IF(COUNTIFS(Base!$A$3:$A$5001,S$3,Base!$B$3:$B$5001,$A$99,Base!$T$3:$T$5001,"&lt;&gt;")=0,"",SUMIFS(Base!$T$3:$T$5001,Base!$A$3:$A$5001,S$3,Base!$B$3:$B$5001,$A$99)))</f>
        <v>47</v>
      </c>
      <c r="T102" s="475">
        <f>IF(T$3="","",IF(COUNTIFS(Base!$A$3:$A$5001,T$3,Base!$B$3:$B$5001,$A$99,Base!$T$3:$T$5001,"&lt;&gt;")=0,"",SUMIFS(Base!$T$3:$T$5001,Base!$A$3:$A$5001,T$3,Base!$B$3:$B$5001,$A$99)))</f>
        <v>49</v>
      </c>
      <c r="U102" s="475">
        <f>IF(U$3="","",IF(COUNTIFS(Base!$A$3:$A$5001,U$3,Base!$B$3:$B$5001,$A$99,Base!$T$3:$T$5001,"&lt;&gt;")=0,"",SUMIFS(Base!$T$3:$T$5001,Base!$A$3:$A$5001,U$3,Base!$B$3:$B$5001,$A$99)))</f>
        <v>22</v>
      </c>
      <c r="V102" s="475">
        <f>IF(V$3="","",IF(COUNTIFS(Base!$A$3:$A$5001,V$3,Base!$B$3:$B$5001,$A$99,Base!$T$3:$T$5001,"&lt;&gt;")=0,"",SUMIFS(Base!$T$3:$T$5001,Base!$A$3:$A$5001,V$3,Base!$B$3:$B$5001,$A$99)))</f>
        <v>58</v>
      </c>
      <c r="W102" s="475">
        <f>IF(W$3="","",IF(COUNTIFS(Base!$A$3:$A$5001,W$3,Base!$B$3:$B$5001,$A$99,Base!$T$3:$T$5001,"&lt;&gt;")=0,"",SUMIFS(Base!$T$3:$T$5001,Base!$A$3:$A$5001,W$3,Base!$B$3:$B$5001,$A$99)))</f>
        <v>107</v>
      </c>
      <c r="X102" s="475">
        <f>IF(X$3="","",IF(COUNTIFS(Base!$A$3:$A$5001,X$3,Base!$B$3:$B$5001,$A$99,Base!$T$3:$T$5001,"&lt;&gt;")=0,"",SUMIFS(Base!$T$3:$T$5001,Base!$A$3:$A$5001,X$3,Base!$B$3:$B$5001,$A$99)))</f>
        <v>117</v>
      </c>
      <c r="Y102" s="475" t="str">
        <f>IF(Y$3="","",IF(COUNTIFS(Base!$A$3:$A$5001,Y$3,Base!$B$3:$B$5001,$A$99,Base!$T$3:$T$5001,"&lt;&gt;")=0,"",SUMIFS(Base!$T$3:$T$5001,Base!$A$3:$A$5001,Y$3,Base!$B$3:$B$5001,$A$99)))</f>
        <v/>
      </c>
      <c r="Z102" s="475">
        <f>IF(Z$3="","",IF(COUNTIFS(Base!$A$3:$A$5001,Z$3,Base!$B$3:$B$5001,$A$99,Base!$T$3:$T$5001,"&lt;&gt;")=0,"",SUMIFS(Base!$T$3:$T$5001,Base!$A$3:$A$5001,Z$3,Base!$B$3:$B$5001,$A$99)))</f>
        <v>54</v>
      </c>
      <c r="AA102" s="475">
        <f>IF(AA$3="","",IF(COUNTIFS(Base!$A$3:$A$5001,AA$3,Base!$B$3:$B$5001,$A$99,Base!$T$3:$T$5001,"&lt;&gt;")=0,"",SUMIFS(Base!$T$3:$T$5001,Base!$A$3:$A$5001,AA$3,Base!$B$3:$B$5001,$A$99)))</f>
        <v>104</v>
      </c>
      <c r="AB102" s="475">
        <f>IF(AB$3="","",IF(COUNTIFS(Base!$A$3:$A$5001,AB$3,Base!$B$3:$B$5001,$A$99,Base!$T$3:$T$5001,"&lt;&gt;")=0,"",SUMIFS(Base!$T$3:$T$5001,Base!$A$3:$A$5001,AB$3,Base!$B$3:$B$5001,$A$99)))</f>
        <v>112</v>
      </c>
      <c r="AC102" s="475">
        <f>IF(AC$3="","",IF(COUNTIFS(Base!$A$3:$A$5001,AC$3,Base!$B$3:$B$5001,$A$99,Base!$T$3:$T$5001,"&lt;&gt;")=0,"",SUMIFS(Base!$T$3:$T$5001,Base!$A$3:$A$5001,AC$3,Base!$B$3:$B$5001,$A$99)))</f>
        <v>106</v>
      </c>
      <c r="AD102" s="475">
        <f>IF(AD$3="","",IF(COUNTIFS(Base!$A$3:$A$5001,AD$3,Base!$B$3:$B$5001,$A$99,Base!$T$3:$T$5001,"&lt;&gt;")=0,"",SUMIFS(Base!$T$3:$T$5001,Base!$A$3:$A$5001,AD$3,Base!$B$3:$B$5001,$A$99)))</f>
        <v>48</v>
      </c>
      <c r="AE102" s="475">
        <f>IF(AE$3="","",IF(COUNTIFS(Base!$A$3:$A$5001,AE$3,Base!$B$3:$B$5001,$A$99,Base!$T$3:$T$5001,"&lt;&gt;")=0,"",SUMIFS(Base!$T$3:$T$5001,Base!$A$3:$A$5001,AE$3,Base!$B$3:$B$5001,$A$99)))</f>
        <v>47</v>
      </c>
      <c r="AF102" s="475" t="str">
        <f>IF(AF$3="","",IF(COUNTIFS(Base!$A$3:$A$5001,AF$3,Base!$B$3:$B$5001,$A$99,Base!$T$3:$T$5001,"&lt;&gt;")=0,"",SUMIFS(Base!$T$3:$T$5001,Base!$A$3:$A$5001,AF$3,Base!$B$3:$B$5001,$A$99)))</f>
        <v/>
      </c>
      <c r="AG102" s="475">
        <f>IF(AG$3="","",IF(COUNTIFS(Base!$A$3:$A$5001,AG$3,Base!$B$3:$B$5001,$A$99,Base!$T$3:$T$5001,"&lt;&gt;")=0,"",SUMIFS(Base!$T$3:$T$5001,Base!$A$3:$A$5001,AG$3,Base!$B$3:$B$5001,$A$99)))</f>
        <v>46</v>
      </c>
      <c r="AH102" s="475">
        <f>IF(AH$3="","",IF(COUNTIFS(Base!$A$3:$A$5001,AH$3,Base!$B$3:$B$5001,$A$99,Base!$T$3:$T$5001,"&lt;&gt;")=0,"",SUMIFS(Base!$T$3:$T$5001,Base!$A$3:$A$5001,AH$3,Base!$B$3:$B$5001,$A$99)))</f>
        <v>49</v>
      </c>
      <c r="AI102" s="475" t="str">
        <f>IF(AI$3="","",IF(COUNTIFS(Base!$A$3:$A$5001,AI$3,Base!$B$3:$B$5001,$A$99,Base!$T$3:$T$5001,"&lt;&gt;")=0,"",SUMIFS(Base!$T$3:$T$5001,Base!$A$3:$A$5001,AI$3,Base!$B$3:$B$5001,$A$99)))</f>
        <v/>
      </c>
      <c r="AJ102" s="476" t="str">
        <f>IF(AJ$3="","",IF(COUNTIFS(Base!$A$3:$A$5001,AJ$3,Base!$B$3:$B$5001,$A$99,Base!$T$3:$T$5001,"&lt;&gt;")=0,"",SUMIFS(Base!$T$3:$T$5001,Base!$A$3:$A$5001,AJ$3,Base!$B$3:$B$5001,$A$99)))</f>
        <v/>
      </c>
      <c r="AK102" s="473">
        <f>IF(COUNT(F102:AJ102)=0,"",SUM(F102:AJ102))</f>
        <v>1704</v>
      </c>
    </row>
    <row r="103" ht="15.75" customHeight="1">
      <c r="A103" s="118"/>
      <c r="B103" s="111" t="inlineStr">
        <is>
          <t xml:space="preserve">NC</t>
        </is>
      </c>
      <c r="C103" s="61" t="inlineStr">
        <is>
          <t xml:space="preserve">Incidentes</t>
        </is>
      </c>
      <c r="D103" s="62" t="str">
        <f>IFERROR(1/(1/INDEX(calculos!$C$55:$K$83,MATCH("NC Incidentes",calculos!$A$55:$A$83,0),MATCH($A$99,calculos!$C$54:$K$54,0))),"")</f>
        <v/>
      </c>
      <c r="E103" s="63"/>
      <c r="F103" s="64">
        <f>IF(F$3="","",IF(COUNTIFS(Base!$A$3:$A$5001,F$3,Base!$B$3:$B$5001,$A$99,Base!$U$3:$U$5001,"&lt;&gt;")=0,"",SUMIFS(Base!$U$3:$U$5001,Base!$A$3:$A$5001,F$3,Base!$B$3:$B$5001,$A$99)))</f>
        <v>0</v>
      </c>
      <c r="G103" s="65">
        <f>IF(G$3="","",IF(COUNTIFS(Base!$A$3:$A$5001,G$3,Base!$B$3:$B$5001,$A$99,Base!$U$3:$U$5001,"&lt;&gt;")=0,"",SUMIFS(Base!$U$3:$U$5001,Base!$A$3:$A$5001,G$3,Base!$B$3:$B$5001,$A$99)))</f>
        <v>0</v>
      </c>
      <c r="H103" s="65">
        <f>IF(H$3="","",IF(COUNTIFS(Base!$A$3:$A$5001,H$3,Base!$B$3:$B$5001,$A$99,Base!$U$3:$U$5001,"&lt;&gt;")=0,"",SUMIFS(Base!$U$3:$U$5001,Base!$A$3:$A$5001,H$3,Base!$B$3:$B$5001,$A$99)))</f>
        <v>1</v>
      </c>
      <c r="I103" s="65">
        <f>IF(I$3="","",IF(COUNTIFS(Base!$A$3:$A$5001,I$3,Base!$B$3:$B$5001,$A$99,Base!$U$3:$U$5001,"&lt;&gt;")=0,"",SUMIFS(Base!$U$3:$U$5001,Base!$A$3:$A$5001,I$3,Base!$B$3:$B$5001,$A$99)))</f>
        <v>0</v>
      </c>
      <c r="J103" s="65">
        <f>IF(J$3="","",IF(COUNTIFS(Base!$A$3:$A$5001,J$3,Base!$B$3:$B$5001,$A$99,Base!$U$3:$U$5001,"&lt;&gt;")=0,"",SUMIFS(Base!$U$3:$U$5001,Base!$A$3:$A$5001,J$3,Base!$B$3:$B$5001,$A$99)))</f>
        <v>0</v>
      </c>
      <c r="K103" s="65" t="str">
        <f>IF(K$3="","",IF(COUNTIFS(Base!$A$3:$A$5001,K$3,Base!$B$3:$B$5001,$A$99,Base!$U$3:$U$5001,"&lt;&gt;")=0,"",SUMIFS(Base!$U$3:$U$5001,Base!$A$3:$A$5001,K$3,Base!$B$3:$B$5001,$A$99)))</f>
        <v/>
      </c>
      <c r="L103" s="65">
        <f>IF(L$3="","",IF(COUNTIFS(Base!$A$3:$A$5001,L$3,Base!$B$3:$B$5001,$A$99,Base!$U$3:$U$5001,"&lt;&gt;")=0,"",SUMIFS(Base!$U$3:$U$5001,Base!$A$3:$A$5001,L$3,Base!$B$3:$B$5001,$A$99)))</f>
        <v>0</v>
      </c>
      <c r="M103" s="65">
        <f>IF(M$3="","",IF(COUNTIFS(Base!$A$3:$A$5001,M$3,Base!$B$3:$B$5001,$A$99,Base!$U$3:$U$5001,"&lt;&gt;")=0,"",SUMIFS(Base!$U$3:$U$5001,Base!$A$3:$A$5001,M$3,Base!$B$3:$B$5001,$A$99)))</f>
        <v>0</v>
      </c>
      <c r="N103" s="65">
        <f>IF(N$3="","",IF(COUNTIFS(Base!$A$3:$A$5001,N$3,Base!$B$3:$B$5001,$A$99,Base!$U$3:$U$5001,"&lt;&gt;")=0,"",SUMIFS(Base!$U$3:$U$5001,Base!$A$3:$A$5001,N$3,Base!$B$3:$B$5001,$A$99)))</f>
        <v>0</v>
      </c>
      <c r="O103" s="65">
        <f>IF(O$3="","",IF(COUNTIFS(Base!$A$3:$A$5001,O$3,Base!$B$3:$B$5001,$A$99,Base!$U$3:$U$5001,"&lt;&gt;")=0,"",SUMIFS(Base!$U$3:$U$5001,Base!$A$3:$A$5001,O$3,Base!$B$3:$B$5001,$A$99)))</f>
        <v>0</v>
      </c>
      <c r="P103" s="65">
        <f>IF(P$3="","",IF(COUNTIFS(Base!$A$3:$A$5001,P$3,Base!$B$3:$B$5001,$A$99,Base!$U$3:$U$5001,"&lt;&gt;")=0,"",SUMIFS(Base!$U$3:$U$5001,Base!$A$3:$A$5001,P$3,Base!$B$3:$B$5001,$A$99)))</f>
        <v>0</v>
      </c>
      <c r="Q103" s="65">
        <f>IF(Q$3="","",IF(COUNTIFS(Base!$A$3:$A$5001,Q$3,Base!$B$3:$B$5001,$A$99,Base!$U$3:$U$5001,"&lt;&gt;")=0,"",SUMIFS(Base!$U$3:$U$5001,Base!$A$3:$A$5001,Q$3,Base!$B$3:$B$5001,$A$99)))</f>
        <v>0</v>
      </c>
      <c r="R103" s="65" t="str">
        <f>IF(R$3="","",IF(COUNTIFS(Base!$A$3:$A$5001,R$3,Base!$B$3:$B$5001,$A$99,Base!$U$3:$U$5001,"&lt;&gt;")=0,"",SUMIFS(Base!$U$3:$U$5001,Base!$A$3:$A$5001,R$3,Base!$B$3:$B$5001,$A$99)))</f>
        <v/>
      </c>
      <c r="S103" s="65">
        <f>IF(S$3="","",IF(COUNTIFS(Base!$A$3:$A$5001,S$3,Base!$B$3:$B$5001,$A$99,Base!$U$3:$U$5001,"&lt;&gt;")=0,"",SUMIFS(Base!$U$3:$U$5001,Base!$A$3:$A$5001,S$3,Base!$B$3:$B$5001,$A$99)))</f>
        <v>0</v>
      </c>
      <c r="T103" s="65">
        <f>IF(T$3="","",IF(COUNTIFS(Base!$A$3:$A$5001,T$3,Base!$B$3:$B$5001,$A$99,Base!$U$3:$U$5001,"&lt;&gt;")=0,"",SUMIFS(Base!$U$3:$U$5001,Base!$A$3:$A$5001,T$3,Base!$B$3:$B$5001,$A$99)))</f>
        <v>0</v>
      </c>
      <c r="U103" s="65">
        <f>IF(U$3="","",IF(COUNTIFS(Base!$A$3:$A$5001,U$3,Base!$B$3:$B$5001,$A$99,Base!$U$3:$U$5001,"&lt;&gt;")=0,"",SUMIFS(Base!$U$3:$U$5001,Base!$A$3:$A$5001,U$3,Base!$B$3:$B$5001,$A$99)))</f>
        <v>0</v>
      </c>
      <c r="V103" s="65">
        <f>IF(V$3="","",IF(COUNTIFS(Base!$A$3:$A$5001,V$3,Base!$B$3:$B$5001,$A$99,Base!$U$3:$U$5001,"&lt;&gt;")=0,"",SUMIFS(Base!$U$3:$U$5001,Base!$A$3:$A$5001,V$3,Base!$B$3:$B$5001,$A$99)))</f>
        <v>0</v>
      </c>
      <c r="W103" s="65">
        <f>IF(W$3="","",IF(COUNTIFS(Base!$A$3:$A$5001,W$3,Base!$B$3:$B$5001,$A$99,Base!$U$3:$U$5001,"&lt;&gt;")=0,"",SUMIFS(Base!$U$3:$U$5001,Base!$A$3:$A$5001,W$3,Base!$B$3:$B$5001,$A$99)))</f>
        <v>0</v>
      </c>
      <c r="X103" s="65">
        <f>IF(X$3="","",IF(COUNTIFS(Base!$A$3:$A$5001,X$3,Base!$B$3:$B$5001,$A$99,Base!$U$3:$U$5001,"&lt;&gt;")=0,"",SUMIFS(Base!$U$3:$U$5001,Base!$A$3:$A$5001,X$3,Base!$B$3:$B$5001,$A$99)))</f>
        <v>0</v>
      </c>
      <c r="Y103" s="65" t="str">
        <f>IF(Y$3="","",IF(COUNTIFS(Base!$A$3:$A$5001,Y$3,Base!$B$3:$B$5001,$A$99,Base!$U$3:$U$5001,"&lt;&gt;")=0,"",SUMIFS(Base!$U$3:$U$5001,Base!$A$3:$A$5001,Y$3,Base!$B$3:$B$5001,$A$99)))</f>
        <v/>
      </c>
      <c r="Z103" s="65">
        <f>IF(Z$3="","",IF(COUNTIFS(Base!$A$3:$A$5001,Z$3,Base!$B$3:$B$5001,$A$99,Base!$U$3:$U$5001,"&lt;&gt;")=0,"",SUMIFS(Base!$U$3:$U$5001,Base!$A$3:$A$5001,Z$3,Base!$B$3:$B$5001,$A$99)))</f>
        <v>0</v>
      </c>
      <c r="AA103" s="65">
        <f>IF(AA$3="","",IF(COUNTIFS(Base!$A$3:$A$5001,AA$3,Base!$B$3:$B$5001,$A$99,Base!$U$3:$U$5001,"&lt;&gt;")=0,"",SUMIFS(Base!$U$3:$U$5001,Base!$A$3:$A$5001,AA$3,Base!$B$3:$B$5001,$A$99)))</f>
        <v>0</v>
      </c>
      <c r="AB103" s="65">
        <f>IF(AB$3="","",IF(COUNTIFS(Base!$A$3:$A$5001,AB$3,Base!$B$3:$B$5001,$A$99,Base!$U$3:$U$5001,"&lt;&gt;")=0,"",SUMIFS(Base!$U$3:$U$5001,Base!$A$3:$A$5001,AB$3,Base!$B$3:$B$5001,$A$99)))</f>
        <v>0</v>
      </c>
      <c r="AC103" s="65">
        <f>IF(AC$3="","",IF(COUNTIFS(Base!$A$3:$A$5001,AC$3,Base!$B$3:$B$5001,$A$99,Base!$U$3:$U$5001,"&lt;&gt;")=0,"",SUMIFS(Base!$U$3:$U$5001,Base!$A$3:$A$5001,AC$3,Base!$B$3:$B$5001,$A$99)))</f>
        <v>0</v>
      </c>
      <c r="AD103" s="65">
        <f>IF(AD$3="","",IF(COUNTIFS(Base!$A$3:$A$5001,AD$3,Base!$B$3:$B$5001,$A$99,Base!$U$3:$U$5001,"&lt;&gt;")=0,"",SUMIFS(Base!$U$3:$U$5001,Base!$A$3:$A$5001,AD$3,Base!$B$3:$B$5001,$A$99)))</f>
        <v>0</v>
      </c>
      <c r="AE103" s="65">
        <f>IF(AE$3="","",IF(COUNTIFS(Base!$A$3:$A$5001,AE$3,Base!$B$3:$B$5001,$A$99,Base!$U$3:$U$5001,"&lt;&gt;")=0,"",SUMIFS(Base!$U$3:$U$5001,Base!$A$3:$A$5001,AE$3,Base!$B$3:$B$5001,$A$99)))</f>
        <v>0</v>
      </c>
      <c r="AF103" s="65" t="str">
        <f>IF(AF$3="","",IF(COUNTIFS(Base!$A$3:$A$5001,AF$3,Base!$B$3:$B$5001,$A$99,Base!$U$3:$U$5001,"&lt;&gt;")=0,"",SUMIFS(Base!$U$3:$U$5001,Base!$A$3:$A$5001,AF$3,Base!$B$3:$B$5001,$A$99)))</f>
        <v/>
      </c>
      <c r="AG103" s="65">
        <f>IF(AG$3="","",IF(COUNTIFS(Base!$A$3:$A$5001,AG$3,Base!$B$3:$B$5001,$A$99,Base!$U$3:$U$5001,"&lt;&gt;")=0,"",SUMIFS(Base!$U$3:$U$5001,Base!$A$3:$A$5001,AG$3,Base!$B$3:$B$5001,$A$99)))</f>
        <v>0</v>
      </c>
      <c r="AH103" s="65">
        <f>IF(AH$3="","",IF(COUNTIFS(Base!$A$3:$A$5001,AH$3,Base!$B$3:$B$5001,$A$99,Base!$U$3:$U$5001,"&lt;&gt;")=0,"",SUMIFS(Base!$U$3:$U$5001,Base!$A$3:$A$5001,AH$3,Base!$B$3:$B$5001,$A$99)))</f>
        <v>0</v>
      </c>
      <c r="AI103" s="65" t="str">
        <f>IF(AI$3="","",IF(COUNTIFS(Base!$A$3:$A$5001,AI$3,Base!$B$3:$B$5001,$A$99,Base!$U$3:$U$5001,"&lt;&gt;")=0,"",SUMIFS(Base!$U$3:$U$5001,Base!$A$3:$A$5001,AI$3,Base!$B$3:$B$5001,$A$99)))</f>
        <v/>
      </c>
      <c r="AJ103" s="66" t="str">
        <f>IF(AJ$3="","",IF(COUNTIFS(Base!$A$3:$A$5001,AJ$3,Base!$B$3:$B$5001,$A$99,Base!$U$3:$U$5001,"&lt;&gt;")=0,"",SUMIFS(Base!$U$3:$U$5001,Base!$A$3:$A$5001,AJ$3,Base!$B$3:$B$5001,$A$99)))</f>
        <v/>
      </c>
      <c r="AK103" s="67">
        <f>IF(COUNT(F103:AJ103)=0,"",SUM(F103:AJ103))</f>
        <v>1</v>
      </c>
    </row>
    <row r="104" ht="15.75" customHeight="1">
      <c r="A104" s="118"/>
      <c r="B104" s="112"/>
      <c r="C104" s="68" t="inlineStr">
        <is>
          <t xml:space="preserve">No show</t>
        </is>
      </c>
      <c r="D104" s="69" t="str">
        <f>IFERROR(1/(1/INDEX(calculos!$C$55:$K$83,MATCH("NC No show",calculos!$A$55:$A$83,0),MATCH($A$99,calculos!$C$54:$K$54,0))),"")</f>
        <v/>
      </c>
      <c r="E104" s="70"/>
      <c r="F104" s="71">
        <f>IF(F$3="","",IF(COUNTIFS(Base!$A$3:$A$5001,F$3,Base!$B$3:$B$5001,$A$99,Base!$V$3:$V$5001,"&lt;&gt;")=0,"",SUMIFS(Base!$V$3:$V$5001,Base!$A$3:$A$5001,F$3,Base!$B$3:$B$5001,$A$99)))</f>
        <v>0</v>
      </c>
      <c r="G104" s="72">
        <f>IF(G$3="","",IF(COUNTIFS(Base!$A$3:$A$5001,G$3,Base!$B$3:$B$5001,$A$99,Base!$V$3:$V$5001,"&lt;&gt;")=0,"",SUMIFS(Base!$V$3:$V$5001,Base!$A$3:$A$5001,G$3,Base!$B$3:$B$5001,$A$99)))</f>
        <v>0</v>
      </c>
      <c r="H104" s="72">
        <f>IF(H$3="","",IF(COUNTIFS(Base!$A$3:$A$5001,H$3,Base!$B$3:$B$5001,$A$99,Base!$V$3:$V$5001,"&lt;&gt;")=0,"",SUMIFS(Base!$V$3:$V$5001,Base!$A$3:$A$5001,H$3,Base!$B$3:$B$5001,$A$99)))</f>
        <v>0</v>
      </c>
      <c r="I104" s="72">
        <f>IF(I$3="","",IF(COUNTIFS(Base!$A$3:$A$5001,I$3,Base!$B$3:$B$5001,$A$99,Base!$V$3:$V$5001,"&lt;&gt;")=0,"",SUMIFS(Base!$V$3:$V$5001,Base!$A$3:$A$5001,I$3,Base!$B$3:$B$5001,$A$99)))</f>
        <v>0</v>
      </c>
      <c r="J104" s="72">
        <f>IF(J$3="","",IF(COUNTIFS(Base!$A$3:$A$5001,J$3,Base!$B$3:$B$5001,$A$99,Base!$V$3:$V$5001,"&lt;&gt;")=0,"",SUMIFS(Base!$V$3:$V$5001,Base!$A$3:$A$5001,J$3,Base!$B$3:$B$5001,$A$99)))</f>
        <v>0</v>
      </c>
      <c r="K104" s="72" t="str">
        <f>IF(K$3="","",IF(COUNTIFS(Base!$A$3:$A$5001,K$3,Base!$B$3:$B$5001,$A$99,Base!$V$3:$V$5001,"&lt;&gt;")=0,"",SUMIFS(Base!$V$3:$V$5001,Base!$A$3:$A$5001,K$3,Base!$B$3:$B$5001,$A$99)))</f>
        <v/>
      </c>
      <c r="L104" s="72">
        <f>IF(L$3="","",IF(COUNTIFS(Base!$A$3:$A$5001,L$3,Base!$B$3:$B$5001,$A$99,Base!$V$3:$V$5001,"&lt;&gt;")=0,"",SUMIFS(Base!$V$3:$V$5001,Base!$A$3:$A$5001,L$3,Base!$B$3:$B$5001,$A$99)))</f>
        <v>0</v>
      </c>
      <c r="M104" s="72">
        <f>IF(M$3="","",IF(COUNTIFS(Base!$A$3:$A$5001,M$3,Base!$B$3:$B$5001,$A$99,Base!$V$3:$V$5001,"&lt;&gt;")=0,"",SUMIFS(Base!$V$3:$V$5001,Base!$A$3:$A$5001,M$3,Base!$B$3:$B$5001,$A$99)))</f>
        <v>1</v>
      </c>
      <c r="N104" s="72">
        <f>IF(N$3="","",IF(COUNTIFS(Base!$A$3:$A$5001,N$3,Base!$B$3:$B$5001,$A$99,Base!$V$3:$V$5001,"&lt;&gt;")=0,"",SUMIFS(Base!$V$3:$V$5001,Base!$A$3:$A$5001,N$3,Base!$B$3:$B$5001,$A$99)))</f>
        <v>0</v>
      </c>
      <c r="O104" s="72">
        <f>IF(O$3="","",IF(COUNTIFS(Base!$A$3:$A$5001,O$3,Base!$B$3:$B$5001,$A$99,Base!$V$3:$V$5001,"&lt;&gt;")=0,"",SUMIFS(Base!$V$3:$V$5001,Base!$A$3:$A$5001,O$3,Base!$B$3:$B$5001,$A$99)))</f>
        <v>0</v>
      </c>
      <c r="P104" s="72">
        <f>IF(P$3="","",IF(COUNTIFS(Base!$A$3:$A$5001,P$3,Base!$B$3:$B$5001,$A$99,Base!$V$3:$V$5001,"&lt;&gt;")=0,"",SUMIFS(Base!$V$3:$V$5001,Base!$A$3:$A$5001,P$3,Base!$B$3:$B$5001,$A$99)))</f>
        <v>0</v>
      </c>
      <c r="Q104" s="72">
        <f>IF(Q$3="","",IF(COUNTIFS(Base!$A$3:$A$5001,Q$3,Base!$B$3:$B$5001,$A$99,Base!$V$3:$V$5001,"&lt;&gt;")=0,"",SUMIFS(Base!$V$3:$V$5001,Base!$A$3:$A$5001,Q$3,Base!$B$3:$B$5001,$A$99)))</f>
        <v>0</v>
      </c>
      <c r="R104" s="72" t="str">
        <f>IF(R$3="","",IF(COUNTIFS(Base!$A$3:$A$5001,R$3,Base!$B$3:$B$5001,$A$99,Base!$V$3:$V$5001,"&lt;&gt;")=0,"",SUMIFS(Base!$V$3:$V$5001,Base!$A$3:$A$5001,R$3,Base!$B$3:$B$5001,$A$99)))</f>
        <v/>
      </c>
      <c r="S104" s="72">
        <f>IF(S$3="","",IF(COUNTIFS(Base!$A$3:$A$5001,S$3,Base!$B$3:$B$5001,$A$99,Base!$V$3:$V$5001,"&lt;&gt;")=0,"",SUMIFS(Base!$V$3:$V$5001,Base!$A$3:$A$5001,S$3,Base!$B$3:$B$5001,$A$99)))</f>
        <v>0</v>
      </c>
      <c r="T104" s="72">
        <f>IF(T$3="","",IF(COUNTIFS(Base!$A$3:$A$5001,T$3,Base!$B$3:$B$5001,$A$99,Base!$V$3:$V$5001,"&lt;&gt;")=0,"",SUMIFS(Base!$V$3:$V$5001,Base!$A$3:$A$5001,T$3,Base!$B$3:$B$5001,$A$99)))</f>
        <v>0</v>
      </c>
      <c r="U104" s="72">
        <f>IF(U$3="","",IF(COUNTIFS(Base!$A$3:$A$5001,U$3,Base!$B$3:$B$5001,$A$99,Base!$V$3:$V$5001,"&lt;&gt;")=0,"",SUMIFS(Base!$V$3:$V$5001,Base!$A$3:$A$5001,U$3,Base!$B$3:$B$5001,$A$99)))</f>
        <v>0</v>
      </c>
      <c r="V104" s="72">
        <f>IF(V$3="","",IF(COUNTIFS(Base!$A$3:$A$5001,V$3,Base!$B$3:$B$5001,$A$99,Base!$V$3:$V$5001,"&lt;&gt;")=0,"",SUMIFS(Base!$V$3:$V$5001,Base!$A$3:$A$5001,V$3,Base!$B$3:$B$5001,$A$99)))</f>
        <v>0</v>
      </c>
      <c r="W104" s="72">
        <f>IF(W$3="","",IF(COUNTIFS(Base!$A$3:$A$5001,W$3,Base!$B$3:$B$5001,$A$99,Base!$V$3:$V$5001,"&lt;&gt;")=0,"",SUMIFS(Base!$V$3:$V$5001,Base!$A$3:$A$5001,W$3,Base!$B$3:$B$5001,$A$99)))</f>
        <v>0</v>
      </c>
      <c r="X104" s="72">
        <f>IF(X$3="","",IF(COUNTIFS(Base!$A$3:$A$5001,X$3,Base!$B$3:$B$5001,$A$99,Base!$V$3:$V$5001,"&lt;&gt;")=0,"",SUMIFS(Base!$V$3:$V$5001,Base!$A$3:$A$5001,X$3,Base!$B$3:$B$5001,$A$99)))</f>
        <v>0</v>
      </c>
      <c r="Y104" s="72" t="str">
        <f>IF(Y$3="","",IF(COUNTIFS(Base!$A$3:$A$5001,Y$3,Base!$B$3:$B$5001,$A$99,Base!$V$3:$V$5001,"&lt;&gt;")=0,"",SUMIFS(Base!$V$3:$V$5001,Base!$A$3:$A$5001,Y$3,Base!$B$3:$B$5001,$A$99)))</f>
        <v/>
      </c>
      <c r="Z104" s="72">
        <f>IF(Z$3="","",IF(COUNTIFS(Base!$A$3:$A$5001,Z$3,Base!$B$3:$B$5001,$A$99,Base!$V$3:$V$5001,"&lt;&gt;")=0,"",SUMIFS(Base!$V$3:$V$5001,Base!$A$3:$A$5001,Z$3,Base!$B$3:$B$5001,$A$99)))</f>
        <v>0</v>
      </c>
      <c r="AA104" s="72">
        <f>IF(AA$3="","",IF(COUNTIFS(Base!$A$3:$A$5001,AA$3,Base!$B$3:$B$5001,$A$99,Base!$V$3:$V$5001,"&lt;&gt;")=0,"",SUMIFS(Base!$V$3:$V$5001,Base!$A$3:$A$5001,AA$3,Base!$B$3:$B$5001,$A$99)))</f>
        <v>1</v>
      </c>
      <c r="AB104" s="72">
        <f>IF(AB$3="","",IF(COUNTIFS(Base!$A$3:$A$5001,AB$3,Base!$B$3:$B$5001,$A$99,Base!$V$3:$V$5001,"&lt;&gt;")=0,"",SUMIFS(Base!$V$3:$V$5001,Base!$A$3:$A$5001,AB$3,Base!$B$3:$B$5001,$A$99)))</f>
        <v>0</v>
      </c>
      <c r="AC104" s="72">
        <f>IF(AC$3="","",IF(COUNTIFS(Base!$A$3:$A$5001,AC$3,Base!$B$3:$B$5001,$A$99,Base!$V$3:$V$5001,"&lt;&gt;")=0,"",SUMIFS(Base!$V$3:$V$5001,Base!$A$3:$A$5001,AC$3,Base!$B$3:$B$5001,$A$99)))</f>
        <v>0</v>
      </c>
      <c r="AD104" s="72">
        <f>IF(AD$3="","",IF(COUNTIFS(Base!$A$3:$A$5001,AD$3,Base!$B$3:$B$5001,$A$99,Base!$V$3:$V$5001,"&lt;&gt;")=0,"",SUMIFS(Base!$V$3:$V$5001,Base!$A$3:$A$5001,AD$3,Base!$B$3:$B$5001,$A$99)))</f>
        <v>0</v>
      </c>
      <c r="AE104" s="72">
        <f>IF(AE$3="","",IF(COUNTIFS(Base!$A$3:$A$5001,AE$3,Base!$B$3:$B$5001,$A$99,Base!$V$3:$V$5001,"&lt;&gt;")=0,"",SUMIFS(Base!$V$3:$V$5001,Base!$A$3:$A$5001,AE$3,Base!$B$3:$B$5001,$A$99)))</f>
        <v>0</v>
      </c>
      <c r="AF104" s="72" t="str">
        <f>IF(AF$3="","",IF(COUNTIFS(Base!$A$3:$A$5001,AF$3,Base!$B$3:$B$5001,$A$99,Base!$V$3:$V$5001,"&lt;&gt;")=0,"",SUMIFS(Base!$V$3:$V$5001,Base!$A$3:$A$5001,AF$3,Base!$B$3:$B$5001,$A$99)))</f>
        <v/>
      </c>
      <c r="AG104" s="72">
        <f>IF(AG$3="","",IF(COUNTIFS(Base!$A$3:$A$5001,AG$3,Base!$B$3:$B$5001,$A$99,Base!$V$3:$V$5001,"&lt;&gt;")=0,"",SUMIFS(Base!$V$3:$V$5001,Base!$A$3:$A$5001,AG$3,Base!$B$3:$B$5001,$A$99)))</f>
        <v>0</v>
      </c>
      <c r="AH104" s="72">
        <f>IF(AH$3="","",IF(COUNTIFS(Base!$A$3:$A$5001,AH$3,Base!$B$3:$B$5001,$A$99,Base!$V$3:$V$5001,"&lt;&gt;")=0,"",SUMIFS(Base!$V$3:$V$5001,Base!$A$3:$A$5001,AH$3,Base!$B$3:$B$5001,$A$99)))</f>
        <v>0</v>
      </c>
      <c r="AI104" s="72" t="str">
        <f>IF(AI$3="","",IF(COUNTIFS(Base!$A$3:$A$5001,AI$3,Base!$B$3:$B$5001,$A$99,Base!$V$3:$V$5001,"&lt;&gt;")=0,"",SUMIFS(Base!$V$3:$V$5001,Base!$A$3:$A$5001,AI$3,Base!$B$3:$B$5001,$A$99)))</f>
        <v/>
      </c>
      <c r="AJ104" s="73" t="str">
        <f>IF(AJ$3="","",IF(COUNTIFS(Base!$A$3:$A$5001,AJ$3,Base!$B$3:$B$5001,$A$99,Base!$V$3:$V$5001,"&lt;&gt;")=0,"",SUMIFS(Base!$V$3:$V$5001,Base!$A$3:$A$5001,AJ$3,Base!$B$3:$B$5001,$A$99)))</f>
        <v/>
      </c>
      <c r="AK104" s="74">
        <f>IF(COUNT(F104:AJ104)=0,"",SUM(F104:AJ104))</f>
        <v>2</v>
      </c>
    </row>
    <row r="105" ht="15.75" customHeight="1">
      <c r="A105" s="118"/>
      <c r="B105" s="113"/>
      <c r="C105" s="75" t="inlineStr">
        <is>
          <t xml:space="preserve">Backlog</t>
        </is>
      </c>
      <c r="D105" s="76" t="str">
        <f>IFERROR(1/(1/INDEX(calculos!$C$55:$K$83,MATCH("NC Backlog",calculos!$A$55:$A$83,0),MATCH($A$99,calculos!$C$54:$K$54,0))),"")</f>
        <v/>
      </c>
      <c r="E105" s="77"/>
      <c r="F105" s="78" t="str">
        <f>IF(F$3="","",IF(COUNTIFS(Base!$A$3:$A$5001,F$3,Base!$B$3:$B$5001,$A$99,Base!$W$3:$W$5001,"&lt;&gt;")=0,"",SUMIFS(Base!$W$3:$W$5001,Base!$A$3:$A$5001,F$3,Base!$B$3:$B$5001,$A$99)))</f>
        <v/>
      </c>
      <c r="G105" s="79" t="str">
        <f>IF(G$3="","",IF(COUNTIFS(Base!$A$3:$A$5001,G$3,Base!$B$3:$B$5001,$A$99,Base!$W$3:$W$5001,"&lt;&gt;")=0,"",SUMIFS(Base!$W$3:$W$5001,Base!$A$3:$A$5001,G$3,Base!$B$3:$B$5001,$A$99)))</f>
        <v/>
      </c>
      <c r="H105" s="79" t="str">
        <f>IF(H$3="","",IF(COUNTIFS(Base!$A$3:$A$5001,H$3,Base!$B$3:$B$5001,$A$99,Base!$W$3:$W$5001,"&lt;&gt;")=0,"",SUMIFS(Base!$W$3:$W$5001,Base!$A$3:$A$5001,H$3,Base!$B$3:$B$5001,$A$99)))</f>
        <v/>
      </c>
      <c r="I105" s="79">
        <f>IF(I$3="","",IF(COUNTIFS(Base!$A$3:$A$5001,I$3,Base!$B$3:$B$5001,$A$99,Base!$W$3:$W$5001,"&lt;&gt;")=0,"",SUMIFS(Base!$W$3:$W$5001,Base!$A$3:$A$5001,I$3,Base!$B$3:$B$5001,$A$99)))</f>
        <v>6</v>
      </c>
      <c r="J105" s="79" t="str">
        <f>IF(J$3="","",IF(COUNTIFS(Base!$A$3:$A$5001,J$3,Base!$B$3:$B$5001,$A$99,Base!$W$3:$W$5001,"&lt;&gt;")=0,"",SUMIFS(Base!$W$3:$W$5001,Base!$A$3:$A$5001,J$3,Base!$B$3:$B$5001,$A$99)))</f>
        <v/>
      </c>
      <c r="K105" s="79" t="str">
        <f>IF(K$3="","",IF(COUNTIFS(Base!$A$3:$A$5001,K$3,Base!$B$3:$B$5001,$A$99,Base!$W$3:$W$5001,"&lt;&gt;")=0,"",SUMIFS(Base!$W$3:$W$5001,Base!$A$3:$A$5001,K$3,Base!$B$3:$B$5001,$A$99)))</f>
        <v/>
      </c>
      <c r="L105" s="79" t="str">
        <f>IF(L$3="","",IF(COUNTIFS(Base!$A$3:$A$5001,L$3,Base!$B$3:$B$5001,$A$99,Base!$W$3:$W$5001,"&lt;&gt;")=0,"",SUMIFS(Base!$W$3:$W$5001,Base!$A$3:$A$5001,L$3,Base!$B$3:$B$5001,$A$99)))</f>
        <v/>
      </c>
      <c r="M105" s="79" t="str">
        <f>IF(M$3="","",IF(COUNTIFS(Base!$A$3:$A$5001,M$3,Base!$B$3:$B$5001,$A$99,Base!$W$3:$W$5001,"&lt;&gt;")=0,"",SUMIFS(Base!$W$3:$W$5001,Base!$A$3:$A$5001,M$3,Base!$B$3:$B$5001,$A$99)))</f>
        <v/>
      </c>
      <c r="N105" s="79" t="str">
        <f>IF(N$3="","",IF(COUNTIFS(Base!$A$3:$A$5001,N$3,Base!$B$3:$B$5001,$A$99,Base!$W$3:$W$5001,"&lt;&gt;")=0,"",SUMIFS(Base!$W$3:$W$5001,Base!$A$3:$A$5001,N$3,Base!$B$3:$B$5001,$A$99)))</f>
        <v/>
      </c>
      <c r="O105" s="79">
        <f>IF(O$3="","",IF(COUNTIFS(Base!$A$3:$A$5001,O$3,Base!$B$3:$B$5001,$A$99,Base!$W$3:$W$5001,"&lt;&gt;")=0,"",SUMIFS(Base!$W$3:$W$5001,Base!$A$3:$A$5001,O$3,Base!$B$3:$B$5001,$A$99)))</f>
        <v>3</v>
      </c>
      <c r="P105" s="79" t="str">
        <f>IF(P$3="","",IF(COUNTIFS(Base!$A$3:$A$5001,P$3,Base!$B$3:$B$5001,$A$99,Base!$W$3:$W$5001,"&lt;&gt;")=0,"",SUMIFS(Base!$W$3:$W$5001,Base!$A$3:$A$5001,P$3,Base!$B$3:$B$5001,$A$99)))</f>
        <v/>
      </c>
      <c r="Q105" s="79" t="str">
        <f>IF(Q$3="","",IF(COUNTIFS(Base!$A$3:$A$5001,Q$3,Base!$B$3:$B$5001,$A$99,Base!$W$3:$W$5001,"&lt;&gt;")=0,"",SUMIFS(Base!$W$3:$W$5001,Base!$A$3:$A$5001,Q$3,Base!$B$3:$B$5001,$A$99)))</f>
        <v/>
      </c>
      <c r="R105" s="79" t="str">
        <f>IF(R$3="","",IF(COUNTIFS(Base!$A$3:$A$5001,R$3,Base!$B$3:$B$5001,$A$99,Base!$W$3:$W$5001,"&lt;&gt;")=0,"",SUMIFS(Base!$W$3:$W$5001,Base!$A$3:$A$5001,R$3,Base!$B$3:$B$5001,$A$99)))</f>
        <v/>
      </c>
      <c r="S105" s="79">
        <f>IF(S$3="","",IF(COUNTIFS(Base!$A$3:$A$5001,S$3,Base!$B$3:$B$5001,$A$99,Base!$W$3:$W$5001,"&lt;&gt;")=0,"",SUMIFS(Base!$W$3:$W$5001,Base!$A$3:$A$5001,S$3,Base!$B$3:$B$5001,$A$99)))</f>
        <v>3</v>
      </c>
      <c r="T105" s="79">
        <f>IF(T$3="","",IF(COUNTIFS(Base!$A$3:$A$5001,T$3,Base!$B$3:$B$5001,$A$99,Base!$W$3:$W$5001,"&lt;&gt;")=0,"",SUMIFS(Base!$W$3:$W$5001,Base!$A$3:$A$5001,T$3,Base!$B$3:$B$5001,$A$99)))</f>
        <v>5</v>
      </c>
      <c r="U105" s="79">
        <f>IF(U$3="","",IF(COUNTIFS(Base!$A$3:$A$5001,U$3,Base!$B$3:$B$5001,$A$99,Base!$W$3:$W$5001,"&lt;&gt;")=0,"",SUMIFS(Base!$W$3:$W$5001,Base!$A$3:$A$5001,U$3,Base!$B$3:$B$5001,$A$99)))</f>
        <v>4</v>
      </c>
      <c r="V105" s="79">
        <f>IF(V$3="","",IF(COUNTIFS(Base!$A$3:$A$5001,V$3,Base!$B$3:$B$5001,$A$99,Base!$W$3:$W$5001,"&lt;&gt;")=0,"",SUMIFS(Base!$W$3:$W$5001,Base!$A$3:$A$5001,V$3,Base!$B$3:$B$5001,$A$99)))</f>
        <v>7</v>
      </c>
      <c r="W105" s="79" t="str">
        <f>IF(W$3="","",IF(COUNTIFS(Base!$A$3:$A$5001,W$3,Base!$B$3:$B$5001,$A$99,Base!$W$3:$W$5001,"&lt;&gt;")=0,"",SUMIFS(Base!$W$3:$W$5001,Base!$A$3:$A$5001,W$3,Base!$B$3:$B$5001,$A$99)))</f>
        <v/>
      </c>
      <c r="X105" s="79">
        <f>IF(X$3="","",IF(COUNTIFS(Base!$A$3:$A$5001,X$3,Base!$B$3:$B$5001,$A$99,Base!$W$3:$W$5001,"&lt;&gt;")=0,"",SUMIFS(Base!$W$3:$W$5001,Base!$A$3:$A$5001,X$3,Base!$B$3:$B$5001,$A$99)))</f>
        <v>3</v>
      </c>
      <c r="Y105" s="79" t="str">
        <f>IF(Y$3="","",IF(COUNTIFS(Base!$A$3:$A$5001,Y$3,Base!$B$3:$B$5001,$A$99,Base!$W$3:$W$5001,"&lt;&gt;")=0,"",SUMIFS(Base!$W$3:$W$5001,Base!$A$3:$A$5001,Y$3,Base!$B$3:$B$5001,$A$99)))</f>
        <v/>
      </c>
      <c r="Z105" s="79" t="str">
        <f>IF(Z$3="","",IF(COUNTIFS(Base!$A$3:$A$5001,Z$3,Base!$B$3:$B$5001,$A$99,Base!$W$3:$W$5001,"&lt;&gt;")=0,"",SUMIFS(Base!$W$3:$W$5001,Base!$A$3:$A$5001,Z$3,Base!$B$3:$B$5001,$A$99)))</f>
        <v/>
      </c>
      <c r="AA105" s="79" t="str">
        <f>IF(AA$3="","",IF(COUNTIFS(Base!$A$3:$A$5001,AA$3,Base!$B$3:$B$5001,$A$99,Base!$W$3:$W$5001,"&lt;&gt;")=0,"",SUMIFS(Base!$W$3:$W$5001,Base!$A$3:$A$5001,AA$3,Base!$B$3:$B$5001,$A$99)))</f>
        <v/>
      </c>
      <c r="AB105" s="79" t="str">
        <f>IF(AB$3="","",IF(COUNTIFS(Base!$A$3:$A$5001,AB$3,Base!$B$3:$B$5001,$A$99,Base!$W$3:$W$5001,"&lt;&gt;")=0,"",SUMIFS(Base!$W$3:$W$5001,Base!$A$3:$A$5001,AB$3,Base!$B$3:$B$5001,$A$99)))</f>
        <v/>
      </c>
      <c r="AC105" s="79">
        <f>IF(AC$3="","",IF(COUNTIFS(Base!$A$3:$A$5001,AC$3,Base!$B$3:$B$5001,$A$99,Base!$W$3:$W$5001,"&lt;&gt;")=0,"",SUMIFS(Base!$W$3:$W$5001,Base!$A$3:$A$5001,AC$3,Base!$B$3:$B$5001,$A$99)))</f>
        <v>3</v>
      </c>
      <c r="AD105" s="79" t="str">
        <f>IF(AD$3="","",IF(COUNTIFS(Base!$A$3:$A$5001,AD$3,Base!$B$3:$B$5001,$A$99,Base!$W$3:$W$5001,"&lt;&gt;")=0,"",SUMIFS(Base!$W$3:$W$5001,Base!$A$3:$A$5001,AD$3,Base!$B$3:$B$5001,$A$99)))</f>
        <v/>
      </c>
      <c r="AE105" s="79" t="str">
        <f>IF(AE$3="","",IF(COUNTIFS(Base!$A$3:$A$5001,AE$3,Base!$B$3:$B$5001,$A$99,Base!$W$3:$W$5001,"&lt;&gt;")=0,"",SUMIFS(Base!$W$3:$W$5001,Base!$A$3:$A$5001,AE$3,Base!$B$3:$B$5001,$A$99)))</f>
        <v/>
      </c>
      <c r="AF105" s="79" t="str">
        <f>IF(AF$3="","",IF(COUNTIFS(Base!$A$3:$A$5001,AF$3,Base!$B$3:$B$5001,$A$99,Base!$W$3:$W$5001,"&lt;&gt;")=0,"",SUMIFS(Base!$W$3:$W$5001,Base!$A$3:$A$5001,AF$3,Base!$B$3:$B$5001,$A$99)))</f>
        <v/>
      </c>
      <c r="AG105" s="79" t="str">
        <f>IF(AG$3="","",IF(COUNTIFS(Base!$A$3:$A$5001,AG$3,Base!$B$3:$B$5001,$A$99,Base!$W$3:$W$5001,"&lt;&gt;")=0,"",SUMIFS(Base!$W$3:$W$5001,Base!$A$3:$A$5001,AG$3,Base!$B$3:$B$5001,$A$99)))</f>
        <v/>
      </c>
      <c r="AH105" s="79" t="str">
        <f>IF(AH$3="","",IF(COUNTIFS(Base!$A$3:$A$5001,AH$3,Base!$B$3:$B$5001,$A$99,Base!$W$3:$W$5001,"&lt;&gt;")=0,"",SUMIFS(Base!$W$3:$W$5001,Base!$A$3:$A$5001,AH$3,Base!$B$3:$B$5001,$A$99)))</f>
        <v/>
      </c>
      <c r="AI105" s="79" t="str">
        <f>IF(AI$3="","",IF(COUNTIFS(Base!$A$3:$A$5001,AI$3,Base!$B$3:$B$5001,$A$99,Base!$W$3:$W$5001,"&lt;&gt;")=0,"",SUMIFS(Base!$W$3:$W$5001,Base!$A$3:$A$5001,AI$3,Base!$B$3:$B$5001,$A$99)))</f>
        <v/>
      </c>
      <c r="AJ105" s="80" t="str">
        <f>IF(AJ$3="","",IF(COUNTIFS(Base!$A$3:$A$5001,AJ$3,Base!$B$3:$B$5001,$A$99,Base!$W$3:$W$5001,"&lt;&gt;")=0,"",SUMIFS(Base!$W$3:$W$5001,Base!$A$3:$A$5001,AJ$3,Base!$B$3:$B$5001,$A$99)))</f>
        <v/>
      </c>
      <c r="AK105" s="76">
        <f>IFERROR(LOOKUP(9.99E+307,F105:AJ105),"")</f>
        <v>3</v>
      </c>
    </row>
    <row r="106" ht="15.75" customHeight="1">
      <c r="A106" s="118"/>
      <c r="B106" s="105" t="inlineStr">
        <is>
          <t xml:space="preserve">OCUPAÇÃO (P.P)</t>
        </is>
      </c>
      <c r="C106" s="21" t="inlineStr">
        <is>
          <t xml:space="preserve">Posições Disponíveis</t>
        </is>
      </c>
      <c r="D106" s="22" t="str">
        <f>IFERROR(1/(1/INDEX(calculos!$C$55:$K$83,MATCH("Posições Disponíveis",calculos!$A$55:$A$83,0),MATCH($A$99,calculos!$C$54:$K$54,0))),"")</f>
        <v/>
      </c>
      <c r="E106" s="23"/>
      <c r="F106" s="24">
        <f>IF(F$3="","",IF(COUNTIFS(Base!$A$3:$A$5001,F$3,Base!$B$3:$B$5001,$A$99,Base!$X$3:$X$5001,"&lt;&gt;")=0,"",SUMIFS(Base!$X$3:$X$5001,Base!$A$3:$A$5001,F$3,Base!$B$3:$B$5001,$A$99)))</f>
        <v>600</v>
      </c>
      <c r="G106" s="25">
        <f>IF(G$3="","",IF(COUNTIFS(Base!$A$3:$A$5001,G$3,Base!$B$3:$B$5001,$A$99,Base!$X$3:$X$5001,"&lt;&gt;")=0,"",SUMIFS(Base!$X$3:$X$5001,Base!$A$3:$A$5001,G$3,Base!$B$3:$B$5001,$A$99)))</f>
        <v>600</v>
      </c>
      <c r="H106" s="25">
        <f>IF(H$3="","",IF(COUNTIFS(Base!$A$3:$A$5001,H$3,Base!$B$3:$B$5001,$A$99,Base!$X$3:$X$5001,"&lt;&gt;")=0,"",SUMIFS(Base!$X$3:$X$5001,Base!$A$3:$A$5001,H$3,Base!$B$3:$B$5001,$A$99)))</f>
        <v>600</v>
      </c>
      <c r="I106" s="25">
        <f>IF(I$3="","",IF(COUNTIFS(Base!$A$3:$A$5001,I$3,Base!$B$3:$B$5001,$A$99,Base!$X$3:$X$5001,"&lt;&gt;")=0,"",SUMIFS(Base!$X$3:$X$5001,Base!$A$3:$A$5001,I$3,Base!$B$3:$B$5001,$A$99)))</f>
        <v>600</v>
      </c>
      <c r="J106" s="25">
        <f>IF(J$3="","",IF(COUNTIFS(Base!$A$3:$A$5001,J$3,Base!$B$3:$B$5001,$A$99,Base!$X$3:$X$5001,"&lt;&gt;")=0,"",SUMIFS(Base!$X$3:$X$5001,Base!$A$3:$A$5001,J$3,Base!$B$3:$B$5001,$A$99)))</f>
        <v>600</v>
      </c>
      <c r="K106" s="25" t="str">
        <f>IF(K$3="","",IF(COUNTIFS(Base!$A$3:$A$5001,K$3,Base!$B$3:$B$5001,$A$99,Base!$X$3:$X$5001,"&lt;&gt;")=0,"",SUMIFS(Base!$X$3:$X$5001,Base!$A$3:$A$5001,K$3,Base!$B$3:$B$5001,$A$99)))</f>
        <v/>
      </c>
      <c r="L106" s="25">
        <f>IF(L$3="","",IF(COUNTIFS(Base!$A$3:$A$5001,L$3,Base!$B$3:$B$5001,$A$99,Base!$X$3:$X$5001,"&lt;&gt;")=0,"",SUMIFS(Base!$X$3:$X$5001,Base!$A$3:$A$5001,L$3,Base!$B$3:$B$5001,$A$99)))</f>
        <v>600</v>
      </c>
      <c r="M106" s="25">
        <f>IF(M$3="","",IF(COUNTIFS(Base!$A$3:$A$5001,M$3,Base!$B$3:$B$5001,$A$99,Base!$X$3:$X$5001,"&lt;&gt;")=0,"",SUMIFS(Base!$X$3:$X$5001,Base!$A$3:$A$5001,M$3,Base!$B$3:$B$5001,$A$99)))</f>
        <v>600</v>
      </c>
      <c r="N106" s="25">
        <f>IF(N$3="","",IF(COUNTIFS(Base!$A$3:$A$5001,N$3,Base!$B$3:$B$5001,$A$99,Base!$X$3:$X$5001,"&lt;&gt;")=0,"",SUMIFS(Base!$X$3:$X$5001,Base!$A$3:$A$5001,N$3,Base!$B$3:$B$5001,$A$99)))</f>
        <v>600</v>
      </c>
      <c r="O106" s="25">
        <f>IF(O$3="","",IF(COUNTIFS(Base!$A$3:$A$5001,O$3,Base!$B$3:$B$5001,$A$99,Base!$X$3:$X$5001,"&lt;&gt;")=0,"",SUMIFS(Base!$X$3:$X$5001,Base!$A$3:$A$5001,O$3,Base!$B$3:$B$5001,$A$99)))</f>
        <v>600</v>
      </c>
      <c r="P106" s="25">
        <f>IF(P$3="","",IF(COUNTIFS(Base!$A$3:$A$5001,P$3,Base!$B$3:$B$5001,$A$99,Base!$X$3:$X$5001,"&lt;&gt;")=0,"",SUMIFS(Base!$X$3:$X$5001,Base!$A$3:$A$5001,P$3,Base!$B$3:$B$5001,$A$99)))</f>
        <v>600</v>
      </c>
      <c r="Q106" s="25">
        <f>IF(Q$3="","",IF(COUNTIFS(Base!$A$3:$A$5001,Q$3,Base!$B$3:$B$5001,$A$99,Base!$X$3:$X$5001,"&lt;&gt;")=0,"",SUMIFS(Base!$X$3:$X$5001,Base!$A$3:$A$5001,Q$3,Base!$B$3:$B$5001,$A$99)))</f>
        <v>600</v>
      </c>
      <c r="R106" s="25" t="str">
        <f>IF(R$3="","",IF(COUNTIFS(Base!$A$3:$A$5001,R$3,Base!$B$3:$B$5001,$A$99,Base!$X$3:$X$5001,"&lt;&gt;")=0,"",SUMIFS(Base!$X$3:$X$5001,Base!$A$3:$A$5001,R$3,Base!$B$3:$B$5001,$A$99)))</f>
        <v/>
      </c>
      <c r="S106" s="25">
        <f>IF(S$3="","",IF(COUNTIFS(Base!$A$3:$A$5001,S$3,Base!$B$3:$B$5001,$A$99,Base!$X$3:$X$5001,"&lt;&gt;")=0,"",SUMIFS(Base!$X$3:$X$5001,Base!$A$3:$A$5001,S$3,Base!$B$3:$B$5001,$A$99)))</f>
        <v>600</v>
      </c>
      <c r="T106" s="25">
        <f>IF(T$3="","",IF(COUNTIFS(Base!$A$3:$A$5001,T$3,Base!$B$3:$B$5001,$A$99,Base!$X$3:$X$5001,"&lt;&gt;")=0,"",SUMIFS(Base!$X$3:$X$5001,Base!$A$3:$A$5001,T$3,Base!$B$3:$B$5001,$A$99)))</f>
        <v>600</v>
      </c>
      <c r="U106" s="25">
        <f>IF(U$3="","",IF(COUNTIFS(Base!$A$3:$A$5001,U$3,Base!$B$3:$B$5001,$A$99,Base!$X$3:$X$5001,"&lt;&gt;")=0,"",SUMIFS(Base!$X$3:$X$5001,Base!$A$3:$A$5001,U$3,Base!$B$3:$B$5001,$A$99)))</f>
        <v>600</v>
      </c>
      <c r="V106" s="25">
        <f>IF(V$3="","",IF(COUNTIFS(Base!$A$3:$A$5001,V$3,Base!$B$3:$B$5001,$A$99,Base!$X$3:$X$5001,"&lt;&gt;")=0,"",SUMIFS(Base!$X$3:$X$5001,Base!$A$3:$A$5001,V$3,Base!$B$3:$B$5001,$A$99)))</f>
        <v>600</v>
      </c>
      <c r="W106" s="25">
        <f>IF(W$3="","",IF(COUNTIFS(Base!$A$3:$A$5001,W$3,Base!$B$3:$B$5001,$A$99,Base!$X$3:$X$5001,"&lt;&gt;")=0,"",SUMIFS(Base!$X$3:$X$5001,Base!$A$3:$A$5001,W$3,Base!$B$3:$B$5001,$A$99)))</f>
        <v>600</v>
      </c>
      <c r="X106" s="25">
        <f>IF(X$3="","",IF(COUNTIFS(Base!$A$3:$A$5001,X$3,Base!$B$3:$B$5001,$A$99,Base!$X$3:$X$5001,"&lt;&gt;")=0,"",SUMIFS(Base!$X$3:$X$5001,Base!$A$3:$A$5001,X$3,Base!$B$3:$B$5001,$A$99)))</f>
        <v>600</v>
      </c>
      <c r="Y106" s="25" t="str">
        <f>IF(Y$3="","",IF(COUNTIFS(Base!$A$3:$A$5001,Y$3,Base!$B$3:$B$5001,$A$99,Base!$X$3:$X$5001,"&lt;&gt;")=0,"",SUMIFS(Base!$X$3:$X$5001,Base!$A$3:$A$5001,Y$3,Base!$B$3:$B$5001,$A$99)))</f>
        <v/>
      </c>
      <c r="Z106" s="25">
        <f>IF(Z$3="","",IF(COUNTIFS(Base!$A$3:$A$5001,Z$3,Base!$B$3:$B$5001,$A$99,Base!$X$3:$X$5001,"&lt;&gt;")=0,"",SUMIFS(Base!$X$3:$X$5001,Base!$A$3:$A$5001,Z$3,Base!$B$3:$B$5001,$A$99)))</f>
        <v>600</v>
      </c>
      <c r="AA106" s="25">
        <f>IF(AA$3="","",IF(COUNTIFS(Base!$A$3:$A$5001,AA$3,Base!$B$3:$B$5001,$A$99,Base!$X$3:$X$5001,"&lt;&gt;")=0,"",SUMIFS(Base!$X$3:$X$5001,Base!$A$3:$A$5001,AA$3,Base!$B$3:$B$5001,$A$99)))</f>
        <v>600</v>
      </c>
      <c r="AB106" s="25">
        <f>IF(AB$3="","",IF(COUNTIFS(Base!$A$3:$A$5001,AB$3,Base!$B$3:$B$5001,$A$99,Base!$X$3:$X$5001,"&lt;&gt;")=0,"",SUMIFS(Base!$X$3:$X$5001,Base!$A$3:$A$5001,AB$3,Base!$B$3:$B$5001,$A$99)))</f>
        <v>600</v>
      </c>
      <c r="AC106" s="25">
        <f>IF(AC$3="","",IF(COUNTIFS(Base!$A$3:$A$5001,AC$3,Base!$B$3:$B$5001,$A$99,Base!$X$3:$X$5001,"&lt;&gt;")=0,"",SUMIFS(Base!$X$3:$X$5001,Base!$A$3:$A$5001,AC$3,Base!$B$3:$B$5001,$A$99)))</f>
        <v>600</v>
      </c>
      <c r="AD106" s="25">
        <f>IF(AD$3="","",IF(COUNTIFS(Base!$A$3:$A$5001,AD$3,Base!$B$3:$B$5001,$A$99,Base!$X$3:$X$5001,"&lt;&gt;")=0,"",SUMIFS(Base!$X$3:$X$5001,Base!$A$3:$A$5001,AD$3,Base!$B$3:$B$5001,$A$99)))</f>
        <v>600</v>
      </c>
      <c r="AE106" s="25">
        <f>IF(AE$3="","",IF(COUNTIFS(Base!$A$3:$A$5001,AE$3,Base!$B$3:$B$5001,$A$99,Base!$X$3:$X$5001,"&lt;&gt;")=0,"",SUMIFS(Base!$X$3:$X$5001,Base!$A$3:$A$5001,AE$3,Base!$B$3:$B$5001,$A$99)))</f>
        <v>600</v>
      </c>
      <c r="AF106" s="25" t="str">
        <f>IF(AF$3="","",IF(COUNTIFS(Base!$A$3:$A$5001,AF$3,Base!$B$3:$B$5001,$A$99,Base!$X$3:$X$5001,"&lt;&gt;")=0,"",SUMIFS(Base!$X$3:$X$5001,Base!$A$3:$A$5001,AF$3,Base!$B$3:$B$5001,$A$99)))</f>
        <v/>
      </c>
      <c r="AG106" s="25">
        <f>IF(AG$3="","",IF(COUNTIFS(Base!$A$3:$A$5001,AG$3,Base!$B$3:$B$5001,$A$99,Base!$X$3:$X$5001,"&lt;&gt;")=0,"",SUMIFS(Base!$X$3:$X$5001,Base!$A$3:$A$5001,AG$3,Base!$B$3:$B$5001,$A$99)))</f>
        <v>600</v>
      </c>
      <c r="AH106" s="25">
        <f>IF(AH$3="","",IF(COUNTIFS(Base!$A$3:$A$5001,AH$3,Base!$B$3:$B$5001,$A$99,Base!$X$3:$X$5001,"&lt;&gt;")=0,"",SUMIFS(Base!$X$3:$X$5001,Base!$A$3:$A$5001,AH$3,Base!$B$3:$B$5001,$A$99)))</f>
        <v>600</v>
      </c>
      <c r="AI106" s="25" t="str">
        <f>IF(AI$3="","",IF(COUNTIFS(Base!$A$3:$A$5001,AI$3,Base!$B$3:$B$5001,$A$99,Base!$X$3:$X$5001,"&lt;&gt;")=0,"",SUMIFS(Base!$X$3:$X$5001,Base!$A$3:$A$5001,AI$3,Base!$B$3:$B$5001,$A$99)))</f>
        <v/>
      </c>
      <c r="AJ106" s="26" t="str">
        <f>IF(AJ$3="","",IF(COUNTIFS(Base!$A$3:$A$5001,AJ$3,Base!$B$3:$B$5001,$A$99,Base!$X$3:$X$5001,"&lt;&gt;")=0,"",SUMIFS(Base!$X$3:$X$5001,Base!$A$3:$A$5001,AJ$3,Base!$B$3:$B$5001,$A$99)))</f>
        <v/>
      </c>
      <c r="AK106" s="27">
        <f>IFERROR(LOOKUP(9.99E+307,F106:AJ106),"")</f>
        <v>600</v>
      </c>
    </row>
    <row r="107" ht="15.75" customHeight="1">
      <c r="A107" s="118"/>
      <c r="B107" s="106"/>
      <c r="C107" s="28" t="inlineStr">
        <is>
          <t xml:space="preserve">Posições Ocupadas</t>
        </is>
      </c>
      <c r="D107" s="29" t="str">
        <f>IFERROR(1/(1/INDEX(calculos!$C$55:$K$83,MATCH("Posições Ocupadas",calculos!$A$55:$A$83,0),MATCH($A$99,calculos!$C$54:$K$54,0))),"")</f>
        <v/>
      </c>
      <c r="E107" s="30"/>
      <c r="F107" s="31">
        <f>IF(F$3="","",IF(COUNTIFS(Base!$A$3:$A$5001,F$3,Base!$B$3:$B$5001,$A$99,Base!$Y$3:$Y$5001,"&lt;&gt;")=0,"",SUMIFS(Base!$Y$3:$Y$5001,Base!$A$3:$A$5001,F$3,Base!$B$3:$B$5001,$A$99)))</f>
        <v>519</v>
      </c>
      <c r="G107" s="32">
        <f>IF(G$3="","",IF(COUNTIFS(Base!$A$3:$A$5001,G$3,Base!$B$3:$B$5001,$A$99,Base!$Y$3:$Y$5001,"&lt;&gt;")=0,"",SUMIFS(Base!$Y$3:$Y$5001,Base!$A$3:$A$5001,G$3,Base!$B$3:$B$5001,$A$99)))</f>
        <v>414</v>
      </c>
      <c r="H107" s="32">
        <f>IF(H$3="","",IF(COUNTIFS(Base!$A$3:$A$5001,H$3,Base!$B$3:$B$5001,$A$99,Base!$Y$3:$Y$5001,"&lt;&gt;")=0,"",SUMIFS(Base!$Y$3:$Y$5001,Base!$A$3:$A$5001,H$3,Base!$B$3:$B$5001,$A$99)))</f>
        <v>556</v>
      </c>
      <c r="I107" s="32">
        <f>IF(I$3="","",IF(COUNTIFS(Base!$A$3:$A$5001,I$3,Base!$B$3:$B$5001,$A$99,Base!$Y$3:$Y$5001,"&lt;&gt;")=0,"",SUMIFS(Base!$Y$3:$Y$5001,Base!$A$3:$A$5001,I$3,Base!$B$3:$B$5001,$A$99)))</f>
        <v>499</v>
      </c>
      <c r="J107" s="32">
        <f>IF(J$3="","",IF(COUNTIFS(Base!$A$3:$A$5001,J$3,Base!$B$3:$B$5001,$A$99,Base!$Y$3:$Y$5001,"&lt;&gt;")=0,"",SUMIFS(Base!$Y$3:$Y$5001,Base!$A$3:$A$5001,J$3,Base!$B$3:$B$5001,$A$99)))</f>
        <v>411</v>
      </c>
      <c r="K107" s="32" t="str">
        <f>IF(K$3="","",IF(COUNTIFS(Base!$A$3:$A$5001,K$3,Base!$B$3:$B$5001,$A$99,Base!$Y$3:$Y$5001,"&lt;&gt;")=0,"",SUMIFS(Base!$Y$3:$Y$5001,Base!$A$3:$A$5001,K$3,Base!$B$3:$B$5001,$A$99)))</f>
        <v/>
      </c>
      <c r="L107" s="32">
        <f>IF(L$3="","",IF(COUNTIFS(Base!$A$3:$A$5001,L$3,Base!$B$3:$B$5001,$A$99,Base!$Y$3:$Y$5001,"&lt;&gt;")=0,"",SUMIFS(Base!$Y$3:$Y$5001,Base!$A$3:$A$5001,L$3,Base!$B$3:$B$5001,$A$99)))</f>
        <v>431</v>
      </c>
      <c r="M107" s="32">
        <f>IF(M$3="","",IF(COUNTIFS(Base!$A$3:$A$5001,M$3,Base!$B$3:$B$5001,$A$99,Base!$Y$3:$Y$5001,"&lt;&gt;")=0,"",SUMIFS(Base!$Y$3:$Y$5001,Base!$A$3:$A$5001,M$3,Base!$B$3:$B$5001,$A$99)))</f>
        <v>370</v>
      </c>
      <c r="N107" s="32">
        <f>IF(N$3="","",IF(COUNTIFS(Base!$A$3:$A$5001,N$3,Base!$B$3:$B$5001,$A$99,Base!$Y$3:$Y$5001,"&lt;&gt;")=0,"",SUMIFS(Base!$Y$3:$Y$5001,Base!$A$3:$A$5001,N$3,Base!$B$3:$B$5001,$A$99)))</f>
        <v>443</v>
      </c>
      <c r="O107" s="32">
        <f>IF(O$3="","",IF(COUNTIFS(Base!$A$3:$A$5001,O$3,Base!$B$3:$B$5001,$A$99,Base!$Y$3:$Y$5001,"&lt;&gt;")=0,"",SUMIFS(Base!$Y$3:$Y$5001,Base!$A$3:$A$5001,O$3,Base!$B$3:$B$5001,$A$99)))</f>
        <v>412</v>
      </c>
      <c r="P107" s="32">
        <f>IF(P$3="","",IF(COUNTIFS(Base!$A$3:$A$5001,P$3,Base!$B$3:$B$5001,$A$99,Base!$Y$3:$Y$5001,"&lt;&gt;")=0,"",SUMIFS(Base!$Y$3:$Y$5001,Base!$A$3:$A$5001,P$3,Base!$B$3:$B$5001,$A$99)))</f>
        <v>485</v>
      </c>
      <c r="Q107" s="32">
        <f>IF(Q$3="","",IF(COUNTIFS(Base!$A$3:$A$5001,Q$3,Base!$B$3:$B$5001,$A$99,Base!$Y$3:$Y$5001,"&lt;&gt;")=0,"",SUMIFS(Base!$Y$3:$Y$5001,Base!$A$3:$A$5001,Q$3,Base!$B$3:$B$5001,$A$99)))</f>
        <v>451</v>
      </c>
      <c r="R107" s="32" t="str">
        <f>IF(R$3="","",IF(COUNTIFS(Base!$A$3:$A$5001,R$3,Base!$B$3:$B$5001,$A$99,Base!$Y$3:$Y$5001,"&lt;&gt;")=0,"",SUMIFS(Base!$Y$3:$Y$5001,Base!$A$3:$A$5001,R$3,Base!$B$3:$B$5001,$A$99)))</f>
        <v/>
      </c>
      <c r="S107" s="32">
        <f>IF(S$3="","",IF(COUNTIFS(Base!$A$3:$A$5001,S$3,Base!$B$3:$B$5001,$A$99,Base!$Y$3:$Y$5001,"&lt;&gt;")=0,"",SUMIFS(Base!$Y$3:$Y$5001,Base!$A$3:$A$5001,S$3,Base!$B$3:$B$5001,$A$99)))</f>
        <v>492</v>
      </c>
      <c r="T107" s="32">
        <f>IF(T$3="","",IF(COUNTIFS(Base!$A$3:$A$5001,T$3,Base!$B$3:$B$5001,$A$99,Base!$Y$3:$Y$5001,"&lt;&gt;")=0,"",SUMIFS(Base!$Y$3:$Y$5001,Base!$A$3:$A$5001,T$3,Base!$B$3:$B$5001,$A$99)))</f>
        <v>368</v>
      </c>
      <c r="U107" s="32">
        <f>IF(U$3="","",IF(COUNTIFS(Base!$A$3:$A$5001,U$3,Base!$B$3:$B$5001,$A$99,Base!$Y$3:$Y$5001,"&lt;&gt;")=0,"",SUMIFS(Base!$Y$3:$Y$5001,Base!$A$3:$A$5001,U$3,Base!$B$3:$B$5001,$A$99)))</f>
        <v>340</v>
      </c>
      <c r="V107" s="32">
        <f>IF(V$3="","",IF(COUNTIFS(Base!$A$3:$A$5001,V$3,Base!$B$3:$B$5001,$A$99,Base!$Y$3:$Y$5001,"&lt;&gt;")=0,"",SUMIFS(Base!$Y$3:$Y$5001,Base!$A$3:$A$5001,V$3,Base!$B$3:$B$5001,$A$99)))</f>
        <v>359</v>
      </c>
      <c r="W107" s="32">
        <f>IF(W$3="","",IF(COUNTIFS(Base!$A$3:$A$5001,W$3,Base!$B$3:$B$5001,$A$99,Base!$Y$3:$Y$5001,"&lt;&gt;")=0,"",SUMIFS(Base!$Y$3:$Y$5001,Base!$A$3:$A$5001,W$3,Base!$B$3:$B$5001,$A$99)))</f>
        <v>464</v>
      </c>
      <c r="X107" s="32">
        <f>IF(X$3="","",IF(COUNTIFS(Base!$A$3:$A$5001,X$3,Base!$B$3:$B$5001,$A$99,Base!$Y$3:$Y$5001,"&lt;&gt;")=0,"",SUMIFS(Base!$Y$3:$Y$5001,Base!$A$3:$A$5001,X$3,Base!$B$3:$B$5001,$A$99)))</f>
        <v>345</v>
      </c>
      <c r="Y107" s="32" t="str">
        <f>IF(Y$3="","",IF(COUNTIFS(Base!$A$3:$A$5001,Y$3,Base!$B$3:$B$5001,$A$99,Base!$Y$3:$Y$5001,"&lt;&gt;")=0,"",SUMIFS(Base!$Y$3:$Y$5001,Base!$A$3:$A$5001,Y$3,Base!$B$3:$B$5001,$A$99)))</f>
        <v/>
      </c>
      <c r="Z107" s="32">
        <f>IF(Z$3="","",IF(COUNTIFS(Base!$A$3:$A$5001,Z$3,Base!$B$3:$B$5001,$A$99,Base!$Y$3:$Y$5001,"&lt;&gt;")=0,"",SUMIFS(Base!$Y$3:$Y$5001,Base!$A$3:$A$5001,Z$3,Base!$B$3:$B$5001,$A$99)))</f>
        <v>421</v>
      </c>
      <c r="AA107" s="32">
        <f>IF(AA$3="","",IF(COUNTIFS(Base!$A$3:$A$5001,AA$3,Base!$B$3:$B$5001,$A$99,Base!$Y$3:$Y$5001,"&lt;&gt;")=0,"",SUMIFS(Base!$Y$3:$Y$5001,Base!$A$3:$A$5001,AA$3,Base!$B$3:$B$5001,$A$99)))</f>
        <v>387</v>
      </c>
      <c r="AB107" s="32">
        <f>IF(AB$3="","",IF(COUNTIFS(Base!$A$3:$A$5001,AB$3,Base!$B$3:$B$5001,$A$99,Base!$Y$3:$Y$5001,"&lt;&gt;")=0,"",SUMIFS(Base!$Y$3:$Y$5001,Base!$A$3:$A$5001,AB$3,Base!$B$3:$B$5001,$A$99)))</f>
        <v>580</v>
      </c>
      <c r="AC107" s="32">
        <f>IF(AC$3="","",IF(COUNTIFS(Base!$A$3:$A$5001,AC$3,Base!$B$3:$B$5001,$A$99,Base!$Y$3:$Y$5001,"&lt;&gt;")=0,"",SUMIFS(Base!$Y$3:$Y$5001,Base!$A$3:$A$5001,AC$3,Base!$B$3:$B$5001,$A$99)))</f>
        <v>383</v>
      </c>
      <c r="AD107" s="32">
        <f>IF(AD$3="","",IF(COUNTIFS(Base!$A$3:$A$5001,AD$3,Base!$B$3:$B$5001,$A$99,Base!$Y$3:$Y$5001,"&lt;&gt;")=0,"",SUMIFS(Base!$Y$3:$Y$5001,Base!$A$3:$A$5001,AD$3,Base!$B$3:$B$5001,$A$99)))</f>
        <v>428</v>
      </c>
      <c r="AE107" s="32">
        <f>IF(AE$3="","",IF(COUNTIFS(Base!$A$3:$A$5001,AE$3,Base!$B$3:$B$5001,$A$99,Base!$Y$3:$Y$5001,"&lt;&gt;")=0,"",SUMIFS(Base!$Y$3:$Y$5001,Base!$A$3:$A$5001,AE$3,Base!$B$3:$B$5001,$A$99)))</f>
        <v>459</v>
      </c>
      <c r="AF107" s="32" t="str">
        <f>IF(AF$3="","",IF(COUNTIFS(Base!$A$3:$A$5001,AF$3,Base!$B$3:$B$5001,$A$99,Base!$Y$3:$Y$5001,"&lt;&gt;")=0,"",SUMIFS(Base!$Y$3:$Y$5001,Base!$A$3:$A$5001,AF$3,Base!$B$3:$B$5001,$A$99)))</f>
        <v/>
      </c>
      <c r="AG107" s="32">
        <f>IF(AG$3="","",IF(COUNTIFS(Base!$A$3:$A$5001,AG$3,Base!$B$3:$B$5001,$A$99,Base!$Y$3:$Y$5001,"&lt;&gt;")=0,"",SUMIFS(Base!$Y$3:$Y$5001,Base!$A$3:$A$5001,AG$3,Base!$B$3:$B$5001,$A$99)))</f>
        <v>359</v>
      </c>
      <c r="AH107" s="32">
        <f>IF(AH$3="","",IF(COUNTIFS(Base!$A$3:$A$5001,AH$3,Base!$B$3:$B$5001,$A$99,Base!$Y$3:$Y$5001,"&lt;&gt;")=0,"",SUMIFS(Base!$Y$3:$Y$5001,Base!$A$3:$A$5001,AH$3,Base!$B$3:$B$5001,$A$99)))</f>
        <v>382</v>
      </c>
      <c r="AI107" s="32" t="str">
        <f>IF(AI$3="","",IF(COUNTIFS(Base!$A$3:$A$5001,AI$3,Base!$B$3:$B$5001,$A$99,Base!$Y$3:$Y$5001,"&lt;&gt;")=0,"",SUMIFS(Base!$Y$3:$Y$5001,Base!$A$3:$A$5001,AI$3,Base!$B$3:$B$5001,$A$99)))</f>
        <v/>
      </c>
      <c r="AJ107" s="33" t="str">
        <f>IF(AJ$3="","",IF(COUNTIFS(Base!$A$3:$A$5001,AJ$3,Base!$B$3:$B$5001,$A$99,Base!$Y$3:$Y$5001,"&lt;&gt;")=0,"",SUMIFS(Base!$Y$3:$Y$5001,Base!$A$3:$A$5001,AJ$3,Base!$B$3:$B$5001,$A$99)))</f>
        <v/>
      </c>
      <c r="AK107" s="34">
        <f>IFERROR(LOOKUP(9.99E+307,F107:AJ107),"")</f>
        <v>382</v>
      </c>
    </row>
    <row r="108" ht="15.75" customHeight="1">
      <c r="A108" s="118"/>
      <c r="B108" s="107"/>
      <c r="C108" s="35" t="inlineStr">
        <is>
          <t xml:space="preserve">Taxa de Ocupação</t>
        </is>
      </c>
      <c r="D108" s="81" t="str">
        <f>IFERROR(1/(1/INDEX(calculos!$C$55:$K$83,MATCH("Taxa de Ocupação",calculos!$A$55:$A$83,0),MATCH($A$99,calculos!$C$54:$K$54,0))),"")</f>
        <v/>
      </c>
      <c r="E108" s="37"/>
      <c r="F108" s="82">
        <f>IF(AND(ISNUMBER(F106),ISNUMBER(F107)),IF(F106&gt;0,F107/F106,""),"")</f>
        <v>0.865</v>
      </c>
      <c r="G108" s="83">
        <f>IF(AND(ISNUMBER(G106),ISNUMBER(G107)),IF(G106&gt;0,G107/G106,""),"")</f>
        <v>0.69</v>
      </c>
      <c r="H108" s="83">
        <f>IF(AND(ISNUMBER(H106),ISNUMBER(H107)),IF(H106&gt;0,H107/H106,""),"")</f>
        <v>0.926666666666667</v>
      </c>
      <c r="I108" s="83">
        <f>IF(AND(ISNUMBER(I106),ISNUMBER(I107)),IF(I106&gt;0,I107/I106,""),"")</f>
        <v>0.831666666666667</v>
      </c>
      <c r="J108" s="83">
        <f>IF(AND(ISNUMBER(J106),ISNUMBER(J107)),IF(J106&gt;0,J107/J106,""),"")</f>
        <v>0.685</v>
      </c>
      <c r="K108" s="83" t="str">
        <f>IF(AND(ISNUMBER(K106),ISNUMBER(K107)),IF(K106&gt;0,K107/K106,""),"")</f>
        <v/>
      </c>
      <c r="L108" s="83">
        <f>IF(AND(ISNUMBER(L106),ISNUMBER(L107)),IF(L106&gt;0,L107/L106,""),"")</f>
        <v>0.718333333333333</v>
      </c>
      <c r="M108" s="83">
        <f>IF(AND(ISNUMBER(M106),ISNUMBER(M107)),IF(M106&gt;0,M107/M106,""),"")</f>
        <v>0.616666666666667</v>
      </c>
      <c r="N108" s="83">
        <f>IF(AND(ISNUMBER(N106),ISNUMBER(N107)),IF(N106&gt;0,N107/N106,""),"")</f>
        <v>0.738333333333333</v>
      </c>
      <c r="O108" s="83">
        <f>IF(AND(ISNUMBER(O106),ISNUMBER(O107)),IF(O106&gt;0,O107/O106,""),"")</f>
        <v>0.686666666666667</v>
      </c>
      <c r="P108" s="83">
        <f>IF(AND(ISNUMBER(P106),ISNUMBER(P107)),IF(P106&gt;0,P107/P106,""),"")</f>
        <v>0.808333333333333</v>
      </c>
      <c r="Q108" s="83">
        <f>IF(AND(ISNUMBER(Q106),ISNUMBER(Q107)),IF(Q106&gt;0,Q107/Q106,""),"")</f>
        <v>0.751666666666667</v>
      </c>
      <c r="R108" s="83" t="str">
        <f>IF(AND(ISNUMBER(R106),ISNUMBER(R107)),IF(R106&gt;0,R107/R106,""),"")</f>
        <v/>
      </c>
      <c r="S108" s="83">
        <f>IF(AND(ISNUMBER(S106),ISNUMBER(S107)),IF(S106&gt;0,S107/S106,""),"")</f>
        <v>0.82</v>
      </c>
      <c r="T108" s="83">
        <f>IF(AND(ISNUMBER(T106),ISNUMBER(T107)),IF(T106&gt;0,T107/T106,""),"")</f>
        <v>0.613333333333333</v>
      </c>
      <c r="U108" s="83">
        <f>IF(AND(ISNUMBER(U106),ISNUMBER(U107)),IF(U106&gt;0,U107/U106,""),"")</f>
        <v>0.566666666666667</v>
      </c>
      <c r="V108" s="83">
        <f>IF(AND(ISNUMBER(V106),ISNUMBER(V107)),IF(V106&gt;0,V107/V106,""),"")</f>
        <v>0.598333333333333</v>
      </c>
      <c r="W108" s="83">
        <f>IF(AND(ISNUMBER(W106),ISNUMBER(W107)),IF(W106&gt;0,W107/W106,""),"")</f>
        <v>0.773333333333333</v>
      </c>
      <c r="X108" s="83">
        <f>IF(AND(ISNUMBER(X106),ISNUMBER(X107)),IF(X106&gt;0,X107/X106,""),"")</f>
        <v>0.575</v>
      </c>
      <c r="Y108" s="83" t="str">
        <f>IF(AND(ISNUMBER(Y106),ISNUMBER(Y107)),IF(Y106&gt;0,Y107/Y106,""),"")</f>
        <v/>
      </c>
      <c r="Z108" s="83">
        <f>IF(AND(ISNUMBER(Z106),ISNUMBER(Z107)),IF(Z106&gt;0,Z107/Z106,""),"")</f>
        <v>0.701666666666667</v>
      </c>
      <c r="AA108" s="83">
        <f>IF(AND(ISNUMBER(AA106),ISNUMBER(AA107)),IF(AA106&gt;0,AA107/AA106,""),"")</f>
        <v>0.645</v>
      </c>
      <c r="AB108" s="83">
        <f>IF(AND(ISNUMBER(AB106),ISNUMBER(AB107)),IF(AB106&gt;0,AB107/AB106,""),"")</f>
        <v>0.966666666666667</v>
      </c>
      <c r="AC108" s="83">
        <f>IF(AND(ISNUMBER(AC106),ISNUMBER(AC107)),IF(AC106&gt;0,AC107/AC106,""),"")</f>
        <v>0.638333333333333</v>
      </c>
      <c r="AD108" s="83">
        <f>IF(AND(ISNUMBER(AD106),ISNUMBER(AD107)),IF(AD106&gt;0,AD107/AD106,""),"")</f>
        <v>0.713333333333333</v>
      </c>
      <c r="AE108" s="83">
        <f>IF(AND(ISNUMBER(AE106),ISNUMBER(AE107)),IF(AE106&gt;0,AE107/AE106,""),"")</f>
        <v>0.765</v>
      </c>
      <c r="AF108" s="83" t="str">
        <f>IF(AND(ISNUMBER(AF106),ISNUMBER(AF107)),IF(AF106&gt;0,AF107/AF106,""),"")</f>
        <v/>
      </c>
      <c r="AG108" s="83">
        <f>IF(AND(ISNUMBER(AG106),ISNUMBER(AG107)),IF(AG106&gt;0,AG107/AG106,""),"")</f>
        <v>0.598333333333333</v>
      </c>
      <c r="AH108" s="83">
        <f>IF(AND(ISNUMBER(AH106),ISNUMBER(AH107)),IF(AH106&gt;0,AH107/AH106,""),"")</f>
        <v>0.636666666666667</v>
      </c>
      <c r="AI108" s="83" t="str">
        <f>IF(AND(ISNUMBER(AI106),ISNUMBER(AI107)),IF(AI106&gt;0,AI107/AI106,""),"")</f>
        <v/>
      </c>
      <c r="AJ108" s="84" t="str">
        <f>IF(AND(ISNUMBER(AJ106),ISNUMBER(AJ107)),IF(AJ106&gt;0,AJ107/AJ106,""),"")</f>
        <v/>
      </c>
      <c r="AK108" s="81">
        <f>IF(AND(ISNUMBER(AK106),ISNUMBER(AK107)),IF(AK106&gt;0,AK107/AK106,""),"")</f>
        <v>0.636666666666667</v>
      </c>
    </row>
    <row r="109" ht="15.75" customHeight="1">
      <c r="A109" s="118"/>
      <c r="B109" s="114" t="inlineStr">
        <is>
          <t xml:space="preserve">GENTE</t>
        </is>
      </c>
      <c r="C109" s="85" t="inlineStr">
        <is>
          <t xml:space="preserve">Efetivo</t>
        </is>
      </c>
      <c r="D109" s="86" t="str">
        <f>IFERROR(1/(1/INDEX(calculos!$C$55:$K$83,MATCH("Efetivo",calculos!$A$55:$A$83,0),MATCH($A$99,calculos!$C$54:$K$54,0))),"")</f>
        <v/>
      </c>
      <c r="E109" s="87"/>
      <c r="F109" s="88">
        <f>IF(F$3="","",IF(COUNTIFS(Base!$A$3:$A$5001,F$3,Base!$B$3:$B$5001,$A$99,Base!$Z$3:$Z$5001,"&lt;&gt;")=0,"",SUMIFS(Base!$Z$3:$Z$5001,Base!$A$3:$A$5001,F$3,Base!$B$3:$B$5001,$A$99)))</f>
        <v>14</v>
      </c>
      <c r="G109" s="89">
        <f>IF(G$3="","",IF(COUNTIFS(Base!$A$3:$A$5001,G$3,Base!$B$3:$B$5001,$A$99,Base!$Z$3:$Z$5001,"&lt;&gt;")=0,"",SUMIFS(Base!$Z$3:$Z$5001,Base!$A$3:$A$5001,G$3,Base!$B$3:$B$5001,$A$99)))</f>
        <v>6</v>
      </c>
      <c r="H109" s="89">
        <f>IF(H$3="","",IF(COUNTIFS(Base!$A$3:$A$5001,H$3,Base!$B$3:$B$5001,$A$99,Base!$Z$3:$Z$5001,"&lt;&gt;")=0,"",SUMIFS(Base!$Z$3:$Z$5001,Base!$A$3:$A$5001,H$3,Base!$B$3:$B$5001,$A$99)))</f>
        <v>11</v>
      </c>
      <c r="I109" s="89">
        <f>IF(I$3="","",IF(COUNTIFS(Base!$A$3:$A$5001,I$3,Base!$B$3:$B$5001,$A$99,Base!$Z$3:$Z$5001,"&lt;&gt;")=0,"",SUMIFS(Base!$Z$3:$Z$5001,Base!$A$3:$A$5001,I$3,Base!$B$3:$B$5001,$A$99)))</f>
        <v>5</v>
      </c>
      <c r="J109" s="89">
        <f>IF(J$3="","",IF(COUNTIFS(Base!$A$3:$A$5001,J$3,Base!$B$3:$B$5001,$A$99,Base!$Z$3:$Z$5001,"&lt;&gt;")=0,"",SUMIFS(Base!$Z$3:$Z$5001,Base!$A$3:$A$5001,J$3,Base!$B$3:$B$5001,$A$99)))</f>
        <v>7</v>
      </c>
      <c r="K109" s="89" t="str">
        <f>IF(K$3="","",IF(COUNTIFS(Base!$A$3:$A$5001,K$3,Base!$B$3:$B$5001,$A$99,Base!$Z$3:$Z$5001,"&lt;&gt;")=0,"",SUMIFS(Base!$Z$3:$Z$5001,Base!$A$3:$A$5001,K$3,Base!$B$3:$B$5001,$A$99)))</f>
        <v/>
      </c>
      <c r="L109" s="89">
        <f>IF(L$3="","",IF(COUNTIFS(Base!$A$3:$A$5001,L$3,Base!$B$3:$B$5001,$A$99,Base!$Z$3:$Z$5001,"&lt;&gt;")=0,"",SUMIFS(Base!$Z$3:$Z$5001,Base!$A$3:$A$5001,L$3,Base!$B$3:$B$5001,$A$99)))</f>
        <v>14</v>
      </c>
      <c r="M109" s="89">
        <f>IF(M$3="","",IF(COUNTIFS(Base!$A$3:$A$5001,M$3,Base!$B$3:$B$5001,$A$99,Base!$Z$3:$Z$5001,"&lt;&gt;")=0,"",SUMIFS(Base!$Z$3:$Z$5001,Base!$A$3:$A$5001,M$3,Base!$B$3:$B$5001,$A$99)))</f>
        <v>9</v>
      </c>
      <c r="N109" s="89">
        <f>IF(N$3="","",IF(COUNTIFS(Base!$A$3:$A$5001,N$3,Base!$B$3:$B$5001,$A$99,Base!$Z$3:$Z$5001,"&lt;&gt;")=0,"",SUMIFS(Base!$Z$3:$Z$5001,Base!$A$3:$A$5001,N$3,Base!$B$3:$B$5001,$A$99)))</f>
        <v>11</v>
      </c>
      <c r="O109" s="89">
        <f>IF(O$3="","",IF(COUNTIFS(Base!$A$3:$A$5001,O$3,Base!$B$3:$B$5001,$A$99,Base!$Z$3:$Z$5001,"&lt;&gt;")=0,"",SUMIFS(Base!$Z$3:$Z$5001,Base!$A$3:$A$5001,O$3,Base!$B$3:$B$5001,$A$99)))</f>
        <v>4</v>
      </c>
      <c r="P109" s="89">
        <f>IF(P$3="","",IF(COUNTIFS(Base!$A$3:$A$5001,P$3,Base!$B$3:$B$5001,$A$99,Base!$Z$3:$Z$5001,"&lt;&gt;")=0,"",SUMIFS(Base!$Z$3:$Z$5001,Base!$A$3:$A$5001,P$3,Base!$B$3:$B$5001,$A$99)))</f>
        <v>8</v>
      </c>
      <c r="Q109" s="89">
        <f>IF(Q$3="","",IF(COUNTIFS(Base!$A$3:$A$5001,Q$3,Base!$B$3:$B$5001,$A$99,Base!$Z$3:$Z$5001,"&lt;&gt;")=0,"",SUMIFS(Base!$Z$3:$Z$5001,Base!$A$3:$A$5001,Q$3,Base!$B$3:$B$5001,$A$99)))</f>
        <v>4</v>
      </c>
      <c r="R109" s="89" t="str">
        <f>IF(R$3="","",IF(COUNTIFS(Base!$A$3:$A$5001,R$3,Base!$B$3:$B$5001,$A$99,Base!$Z$3:$Z$5001,"&lt;&gt;")=0,"",SUMIFS(Base!$Z$3:$Z$5001,Base!$A$3:$A$5001,R$3,Base!$B$3:$B$5001,$A$99)))</f>
        <v/>
      </c>
      <c r="S109" s="89">
        <f>IF(S$3="","",IF(COUNTIFS(Base!$A$3:$A$5001,S$3,Base!$B$3:$B$5001,$A$99,Base!$Z$3:$Z$5001,"&lt;&gt;")=0,"",SUMIFS(Base!$Z$3:$Z$5001,Base!$A$3:$A$5001,S$3,Base!$B$3:$B$5001,$A$99)))</f>
        <v>12</v>
      </c>
      <c r="T109" s="89">
        <f>IF(T$3="","",IF(COUNTIFS(Base!$A$3:$A$5001,T$3,Base!$B$3:$B$5001,$A$99,Base!$Z$3:$Z$5001,"&lt;&gt;")=0,"",SUMIFS(Base!$Z$3:$Z$5001,Base!$A$3:$A$5001,T$3,Base!$B$3:$B$5001,$A$99)))</f>
        <v>5</v>
      </c>
      <c r="U109" s="89">
        <f>IF(U$3="","",IF(COUNTIFS(Base!$A$3:$A$5001,U$3,Base!$B$3:$B$5001,$A$99,Base!$Z$3:$Z$5001,"&lt;&gt;")=0,"",SUMIFS(Base!$Z$3:$Z$5001,Base!$A$3:$A$5001,U$3,Base!$B$3:$B$5001,$A$99)))</f>
        <v>9</v>
      </c>
      <c r="V109" s="89">
        <f>IF(V$3="","",IF(COUNTIFS(Base!$A$3:$A$5001,V$3,Base!$B$3:$B$5001,$A$99,Base!$Z$3:$Z$5001,"&lt;&gt;")=0,"",SUMIFS(Base!$Z$3:$Z$5001,Base!$A$3:$A$5001,V$3,Base!$B$3:$B$5001,$A$99)))</f>
        <v>10</v>
      </c>
      <c r="W109" s="89">
        <f>IF(W$3="","",IF(COUNTIFS(Base!$A$3:$A$5001,W$3,Base!$B$3:$B$5001,$A$99,Base!$Z$3:$Z$5001,"&lt;&gt;")=0,"",SUMIFS(Base!$Z$3:$Z$5001,Base!$A$3:$A$5001,W$3,Base!$B$3:$B$5001,$A$99)))</f>
        <v>6</v>
      </c>
      <c r="X109" s="89">
        <f>IF(X$3="","",IF(COUNTIFS(Base!$A$3:$A$5001,X$3,Base!$B$3:$B$5001,$A$99,Base!$Z$3:$Z$5001,"&lt;&gt;")=0,"",SUMIFS(Base!$Z$3:$Z$5001,Base!$A$3:$A$5001,X$3,Base!$B$3:$B$5001,$A$99)))</f>
        <v>13</v>
      </c>
      <c r="Y109" s="89" t="str">
        <f>IF(Y$3="","",IF(COUNTIFS(Base!$A$3:$A$5001,Y$3,Base!$B$3:$B$5001,$A$99,Base!$Z$3:$Z$5001,"&lt;&gt;")=0,"",SUMIFS(Base!$Z$3:$Z$5001,Base!$A$3:$A$5001,Y$3,Base!$B$3:$B$5001,$A$99)))</f>
        <v/>
      </c>
      <c r="Z109" s="89">
        <f>IF(Z$3="","",IF(COUNTIFS(Base!$A$3:$A$5001,Z$3,Base!$B$3:$B$5001,$A$99,Base!$Z$3:$Z$5001,"&lt;&gt;")=0,"",SUMIFS(Base!$Z$3:$Z$5001,Base!$A$3:$A$5001,Z$3,Base!$B$3:$B$5001,$A$99)))</f>
        <v>11</v>
      </c>
      <c r="AA109" s="89">
        <f>IF(AA$3="","",IF(COUNTIFS(Base!$A$3:$A$5001,AA$3,Base!$B$3:$B$5001,$A$99,Base!$Z$3:$Z$5001,"&lt;&gt;")=0,"",SUMIFS(Base!$Z$3:$Z$5001,Base!$A$3:$A$5001,AA$3,Base!$B$3:$B$5001,$A$99)))</f>
        <v>8</v>
      </c>
      <c r="AB109" s="89">
        <f>IF(AB$3="","",IF(COUNTIFS(Base!$A$3:$A$5001,AB$3,Base!$B$3:$B$5001,$A$99,Base!$Z$3:$Z$5001,"&lt;&gt;")=0,"",SUMIFS(Base!$Z$3:$Z$5001,Base!$A$3:$A$5001,AB$3,Base!$B$3:$B$5001,$A$99)))</f>
        <v>4</v>
      </c>
      <c r="AC109" s="89">
        <f>IF(AC$3="","",IF(COUNTIFS(Base!$A$3:$A$5001,AC$3,Base!$B$3:$B$5001,$A$99,Base!$Z$3:$Z$5001,"&lt;&gt;")=0,"",SUMIFS(Base!$Z$3:$Z$5001,Base!$A$3:$A$5001,AC$3,Base!$B$3:$B$5001,$A$99)))</f>
        <v>9</v>
      </c>
      <c r="AD109" s="89">
        <f>IF(AD$3="","",IF(COUNTIFS(Base!$A$3:$A$5001,AD$3,Base!$B$3:$B$5001,$A$99,Base!$Z$3:$Z$5001,"&lt;&gt;")=0,"",SUMIFS(Base!$Z$3:$Z$5001,Base!$A$3:$A$5001,AD$3,Base!$B$3:$B$5001,$A$99)))</f>
        <v>12</v>
      </c>
      <c r="AE109" s="89">
        <f>IF(AE$3="","",IF(COUNTIFS(Base!$A$3:$A$5001,AE$3,Base!$B$3:$B$5001,$A$99,Base!$Z$3:$Z$5001,"&lt;&gt;")=0,"",SUMIFS(Base!$Z$3:$Z$5001,Base!$A$3:$A$5001,AE$3,Base!$B$3:$B$5001,$A$99)))</f>
        <v>6</v>
      </c>
      <c r="AF109" s="89" t="str">
        <f>IF(AF$3="","",IF(COUNTIFS(Base!$A$3:$A$5001,AF$3,Base!$B$3:$B$5001,$A$99,Base!$Z$3:$Z$5001,"&lt;&gt;")=0,"",SUMIFS(Base!$Z$3:$Z$5001,Base!$A$3:$A$5001,AF$3,Base!$B$3:$B$5001,$A$99)))</f>
        <v/>
      </c>
      <c r="AG109" s="89">
        <f>IF(AG$3="","",IF(COUNTIFS(Base!$A$3:$A$5001,AG$3,Base!$B$3:$B$5001,$A$99,Base!$Z$3:$Z$5001,"&lt;&gt;")=0,"",SUMIFS(Base!$Z$3:$Z$5001,Base!$A$3:$A$5001,AG$3,Base!$B$3:$B$5001,$A$99)))</f>
        <v>9</v>
      </c>
      <c r="AH109" s="89">
        <f>IF(AH$3="","",IF(COUNTIFS(Base!$A$3:$A$5001,AH$3,Base!$B$3:$B$5001,$A$99,Base!$Z$3:$Z$5001,"&lt;&gt;")=0,"",SUMIFS(Base!$Z$3:$Z$5001,Base!$A$3:$A$5001,AH$3,Base!$B$3:$B$5001,$A$99)))</f>
        <v>6</v>
      </c>
      <c r="AI109" s="89" t="str">
        <f>IF(AI$3="","",IF(COUNTIFS(Base!$A$3:$A$5001,AI$3,Base!$B$3:$B$5001,$A$99,Base!$Z$3:$Z$5001,"&lt;&gt;")=0,"",SUMIFS(Base!$Z$3:$Z$5001,Base!$A$3:$A$5001,AI$3,Base!$B$3:$B$5001,$A$99)))</f>
        <v/>
      </c>
      <c r="AJ109" s="90" t="str">
        <f>IF(AJ$3="","",IF(COUNTIFS(Base!$A$3:$A$5001,AJ$3,Base!$B$3:$B$5001,$A$99,Base!$Z$3:$Z$5001,"&lt;&gt;")=0,"",SUMIFS(Base!$Z$3:$Z$5001,Base!$A$3:$A$5001,AJ$3,Base!$B$3:$B$5001,$A$99)))</f>
        <v/>
      </c>
      <c r="AK109" s="91">
        <f>IFERROR(LOOKUP(9.99E+307,F109:AJ109),"")</f>
        <v>6</v>
      </c>
    </row>
    <row r="110" ht="15.75" customHeight="1">
      <c r="A110" s="118"/>
      <c r="B110" s="115"/>
      <c r="C110" s="92" t="inlineStr">
        <is>
          <t xml:space="preserve">Falta</t>
        </is>
      </c>
      <c r="D110" s="93" t="str">
        <f>IFERROR(1/(1/INDEX(calculos!$C$55:$K$83,MATCH("Falta",calculos!$A$55:$A$83,0),MATCH($A$99,calculos!$C$54:$K$54,0))),"")</f>
        <v/>
      </c>
      <c r="E110" s="94"/>
      <c r="F110" s="95" t="str">
        <f>IF(F$3="","",IF(COUNTIFS(Base!$A$3:$A$5001,F$3,Base!$B$3:$B$5001,$A$99,Base!$AA$3:$AA$5001,"&lt;&gt;")=0,"",SUMIFS(Base!$AA$3:$AA$5001,Base!$A$3:$A$5001,F$3,Base!$B$3:$B$5001,$A$99)))</f>
        <v/>
      </c>
      <c r="G110" s="96" t="str">
        <f>IF(G$3="","",IF(COUNTIFS(Base!$A$3:$A$5001,G$3,Base!$B$3:$B$5001,$A$99,Base!$AA$3:$AA$5001,"&lt;&gt;")=0,"",SUMIFS(Base!$AA$3:$AA$5001,Base!$A$3:$A$5001,G$3,Base!$B$3:$B$5001,$A$99)))</f>
        <v/>
      </c>
      <c r="H110" s="96" t="str">
        <f>IF(H$3="","",IF(COUNTIFS(Base!$A$3:$A$5001,H$3,Base!$B$3:$B$5001,$A$99,Base!$AA$3:$AA$5001,"&lt;&gt;")=0,"",SUMIFS(Base!$AA$3:$AA$5001,Base!$A$3:$A$5001,H$3,Base!$B$3:$B$5001,$A$99)))</f>
        <v/>
      </c>
      <c r="I110" s="96" t="str">
        <f>IF(I$3="","",IF(COUNTIFS(Base!$A$3:$A$5001,I$3,Base!$B$3:$B$5001,$A$99,Base!$AA$3:$AA$5001,"&lt;&gt;")=0,"",SUMIFS(Base!$AA$3:$AA$5001,Base!$A$3:$A$5001,I$3,Base!$B$3:$B$5001,$A$99)))</f>
        <v/>
      </c>
      <c r="J110" s="96">
        <f>IF(J$3="","",IF(COUNTIFS(Base!$A$3:$A$5001,J$3,Base!$B$3:$B$5001,$A$99,Base!$AA$3:$AA$5001,"&lt;&gt;")=0,"",SUMIFS(Base!$AA$3:$AA$5001,Base!$A$3:$A$5001,J$3,Base!$B$3:$B$5001,$A$99)))</f>
        <v>1</v>
      </c>
      <c r="K110" s="96" t="str">
        <f>IF(K$3="","",IF(COUNTIFS(Base!$A$3:$A$5001,K$3,Base!$B$3:$B$5001,$A$99,Base!$AA$3:$AA$5001,"&lt;&gt;")=0,"",SUMIFS(Base!$AA$3:$AA$5001,Base!$A$3:$A$5001,K$3,Base!$B$3:$B$5001,$A$99)))</f>
        <v/>
      </c>
      <c r="L110" s="96" t="str">
        <f>IF(L$3="","",IF(COUNTIFS(Base!$A$3:$A$5001,L$3,Base!$B$3:$B$5001,$A$99,Base!$AA$3:$AA$5001,"&lt;&gt;")=0,"",SUMIFS(Base!$AA$3:$AA$5001,Base!$A$3:$A$5001,L$3,Base!$B$3:$B$5001,$A$99)))</f>
        <v/>
      </c>
      <c r="M110" s="96">
        <f>IF(M$3="","",IF(COUNTIFS(Base!$A$3:$A$5001,M$3,Base!$B$3:$B$5001,$A$99,Base!$AA$3:$AA$5001,"&lt;&gt;")=0,"",SUMIFS(Base!$AA$3:$AA$5001,Base!$A$3:$A$5001,M$3,Base!$B$3:$B$5001,$A$99)))</f>
        <v>1</v>
      </c>
      <c r="N110" s="96" t="str">
        <f>IF(N$3="","",IF(COUNTIFS(Base!$A$3:$A$5001,N$3,Base!$B$3:$B$5001,$A$99,Base!$AA$3:$AA$5001,"&lt;&gt;")=0,"",SUMIFS(Base!$AA$3:$AA$5001,Base!$A$3:$A$5001,N$3,Base!$B$3:$B$5001,$A$99)))</f>
        <v/>
      </c>
      <c r="O110" s="96" t="str">
        <f>IF(O$3="","",IF(COUNTIFS(Base!$A$3:$A$5001,O$3,Base!$B$3:$B$5001,$A$99,Base!$AA$3:$AA$5001,"&lt;&gt;")=0,"",SUMIFS(Base!$AA$3:$AA$5001,Base!$A$3:$A$5001,O$3,Base!$B$3:$B$5001,$A$99)))</f>
        <v/>
      </c>
      <c r="P110" s="96" t="str">
        <f>IF(P$3="","",IF(COUNTIFS(Base!$A$3:$A$5001,P$3,Base!$B$3:$B$5001,$A$99,Base!$AA$3:$AA$5001,"&lt;&gt;")=0,"",SUMIFS(Base!$AA$3:$AA$5001,Base!$A$3:$A$5001,P$3,Base!$B$3:$B$5001,$A$99)))</f>
        <v/>
      </c>
      <c r="Q110" s="96" t="str">
        <f>IF(Q$3="","",IF(COUNTIFS(Base!$A$3:$A$5001,Q$3,Base!$B$3:$B$5001,$A$99,Base!$AA$3:$AA$5001,"&lt;&gt;")=0,"",SUMIFS(Base!$AA$3:$AA$5001,Base!$A$3:$A$5001,Q$3,Base!$B$3:$B$5001,$A$99)))</f>
        <v/>
      </c>
      <c r="R110" s="96" t="str">
        <f>IF(R$3="","",IF(COUNTIFS(Base!$A$3:$A$5001,R$3,Base!$B$3:$B$5001,$A$99,Base!$AA$3:$AA$5001,"&lt;&gt;")=0,"",SUMIFS(Base!$AA$3:$AA$5001,Base!$A$3:$A$5001,R$3,Base!$B$3:$B$5001,$A$99)))</f>
        <v/>
      </c>
      <c r="S110" s="96" t="str">
        <f>IF(S$3="","",IF(COUNTIFS(Base!$A$3:$A$5001,S$3,Base!$B$3:$B$5001,$A$99,Base!$AA$3:$AA$5001,"&lt;&gt;")=0,"",SUMIFS(Base!$AA$3:$AA$5001,Base!$A$3:$A$5001,S$3,Base!$B$3:$B$5001,$A$99)))</f>
        <v/>
      </c>
      <c r="T110" s="96" t="str">
        <f>IF(T$3="","",IF(COUNTIFS(Base!$A$3:$A$5001,T$3,Base!$B$3:$B$5001,$A$99,Base!$AA$3:$AA$5001,"&lt;&gt;")=0,"",SUMIFS(Base!$AA$3:$AA$5001,Base!$A$3:$A$5001,T$3,Base!$B$3:$B$5001,$A$99)))</f>
        <v/>
      </c>
      <c r="U110" s="96">
        <f>IF(U$3="","",IF(COUNTIFS(Base!$A$3:$A$5001,U$3,Base!$B$3:$B$5001,$A$99,Base!$AA$3:$AA$5001,"&lt;&gt;")=0,"",SUMIFS(Base!$AA$3:$AA$5001,Base!$A$3:$A$5001,U$3,Base!$B$3:$B$5001,$A$99)))</f>
        <v>1</v>
      </c>
      <c r="V110" s="96" t="str">
        <f>IF(V$3="","",IF(COUNTIFS(Base!$A$3:$A$5001,V$3,Base!$B$3:$B$5001,$A$99,Base!$AA$3:$AA$5001,"&lt;&gt;")=0,"",SUMIFS(Base!$AA$3:$AA$5001,Base!$A$3:$A$5001,V$3,Base!$B$3:$B$5001,$A$99)))</f>
        <v/>
      </c>
      <c r="W110" s="96" t="str">
        <f>IF(W$3="","",IF(COUNTIFS(Base!$A$3:$A$5001,W$3,Base!$B$3:$B$5001,$A$99,Base!$AA$3:$AA$5001,"&lt;&gt;")=0,"",SUMIFS(Base!$AA$3:$AA$5001,Base!$A$3:$A$5001,W$3,Base!$B$3:$B$5001,$A$99)))</f>
        <v/>
      </c>
      <c r="X110" s="96" t="str">
        <f>IF(X$3="","",IF(COUNTIFS(Base!$A$3:$A$5001,X$3,Base!$B$3:$B$5001,$A$99,Base!$AA$3:$AA$5001,"&lt;&gt;")=0,"",SUMIFS(Base!$AA$3:$AA$5001,Base!$A$3:$A$5001,X$3,Base!$B$3:$B$5001,$A$99)))</f>
        <v/>
      </c>
      <c r="Y110" s="96" t="str">
        <f>IF(Y$3="","",IF(COUNTIFS(Base!$A$3:$A$5001,Y$3,Base!$B$3:$B$5001,$A$99,Base!$AA$3:$AA$5001,"&lt;&gt;")=0,"",SUMIFS(Base!$AA$3:$AA$5001,Base!$A$3:$A$5001,Y$3,Base!$B$3:$B$5001,$A$99)))</f>
        <v/>
      </c>
      <c r="Z110" s="96">
        <f>IF(Z$3="","",IF(COUNTIFS(Base!$A$3:$A$5001,Z$3,Base!$B$3:$B$5001,$A$99,Base!$AA$3:$AA$5001,"&lt;&gt;")=0,"",SUMIFS(Base!$AA$3:$AA$5001,Base!$A$3:$A$5001,Z$3,Base!$B$3:$B$5001,$A$99)))</f>
        <v>1</v>
      </c>
      <c r="AA110" s="96" t="str">
        <f>IF(AA$3="","",IF(COUNTIFS(Base!$A$3:$A$5001,AA$3,Base!$B$3:$B$5001,$A$99,Base!$AA$3:$AA$5001,"&lt;&gt;")=0,"",SUMIFS(Base!$AA$3:$AA$5001,Base!$A$3:$A$5001,AA$3,Base!$B$3:$B$5001,$A$99)))</f>
        <v/>
      </c>
      <c r="AB110" s="96" t="str">
        <f>IF(AB$3="","",IF(COUNTIFS(Base!$A$3:$A$5001,AB$3,Base!$B$3:$B$5001,$A$99,Base!$AA$3:$AA$5001,"&lt;&gt;")=0,"",SUMIFS(Base!$AA$3:$AA$5001,Base!$A$3:$A$5001,AB$3,Base!$B$3:$B$5001,$A$99)))</f>
        <v/>
      </c>
      <c r="AC110" s="96" t="str">
        <f>IF(AC$3="","",IF(COUNTIFS(Base!$A$3:$A$5001,AC$3,Base!$B$3:$B$5001,$A$99,Base!$AA$3:$AA$5001,"&lt;&gt;")=0,"",SUMIFS(Base!$AA$3:$AA$5001,Base!$A$3:$A$5001,AC$3,Base!$B$3:$B$5001,$A$99)))</f>
        <v/>
      </c>
      <c r="AD110" s="96">
        <f>IF(AD$3="","",IF(COUNTIFS(Base!$A$3:$A$5001,AD$3,Base!$B$3:$B$5001,$A$99,Base!$AA$3:$AA$5001,"&lt;&gt;")=0,"",SUMIFS(Base!$AA$3:$AA$5001,Base!$A$3:$A$5001,AD$3,Base!$B$3:$B$5001,$A$99)))</f>
        <v>1</v>
      </c>
      <c r="AE110" s="96" t="str">
        <f>IF(AE$3="","",IF(COUNTIFS(Base!$A$3:$A$5001,AE$3,Base!$B$3:$B$5001,$A$99,Base!$AA$3:$AA$5001,"&lt;&gt;")=0,"",SUMIFS(Base!$AA$3:$AA$5001,Base!$A$3:$A$5001,AE$3,Base!$B$3:$B$5001,$A$99)))</f>
        <v/>
      </c>
      <c r="AF110" s="96" t="str">
        <f>IF(AF$3="","",IF(COUNTIFS(Base!$A$3:$A$5001,AF$3,Base!$B$3:$B$5001,$A$99,Base!$AA$3:$AA$5001,"&lt;&gt;")=0,"",SUMIFS(Base!$AA$3:$AA$5001,Base!$A$3:$A$5001,AF$3,Base!$B$3:$B$5001,$A$99)))</f>
        <v/>
      </c>
      <c r="AG110" s="96" t="str">
        <f>IF(AG$3="","",IF(COUNTIFS(Base!$A$3:$A$5001,AG$3,Base!$B$3:$B$5001,$A$99,Base!$AA$3:$AA$5001,"&lt;&gt;")=0,"",SUMIFS(Base!$AA$3:$AA$5001,Base!$A$3:$A$5001,AG$3,Base!$B$3:$B$5001,$A$99)))</f>
        <v/>
      </c>
      <c r="AH110" s="96" t="str">
        <f>IF(AH$3="","",IF(COUNTIFS(Base!$A$3:$A$5001,AH$3,Base!$B$3:$B$5001,$A$99,Base!$AA$3:$AA$5001,"&lt;&gt;")=0,"",SUMIFS(Base!$AA$3:$AA$5001,Base!$A$3:$A$5001,AH$3,Base!$B$3:$B$5001,$A$99)))</f>
        <v/>
      </c>
      <c r="AI110" s="96" t="str">
        <f>IF(AI$3="","",IF(COUNTIFS(Base!$A$3:$A$5001,AI$3,Base!$B$3:$B$5001,$A$99,Base!$AA$3:$AA$5001,"&lt;&gt;")=0,"",SUMIFS(Base!$AA$3:$AA$5001,Base!$A$3:$A$5001,AI$3,Base!$B$3:$B$5001,$A$99)))</f>
        <v/>
      </c>
      <c r="AJ110" s="97" t="str">
        <f>IF(AJ$3="","",IF(COUNTIFS(Base!$A$3:$A$5001,AJ$3,Base!$B$3:$B$5001,$A$99,Base!$AA$3:$AA$5001,"&lt;&gt;")=0,"",SUMIFS(Base!$AA$3:$AA$5001,Base!$A$3:$A$5001,AJ$3,Base!$B$3:$B$5001,$A$99)))</f>
        <v/>
      </c>
      <c r="AK110" s="98">
        <f>IF(COUNT(F110:AJ110)=0,"",SUM(F110:AJ110))</f>
        <v>5</v>
      </c>
    </row>
    <row r="111" ht="15.75" customHeight="1">
      <c r="A111" s="118"/>
      <c r="B111" s="115"/>
      <c r="C111" s="92" t="inlineStr">
        <is>
          <t xml:space="preserve">Folga</t>
        </is>
      </c>
      <c r="D111" s="93" t="str">
        <f>IFERROR(1/(1/INDEX(calculos!$C$55:$K$83,MATCH("Folga",calculos!$A$55:$A$83,0),MATCH($A$99,calculos!$C$54:$K$54,0))),"")</f>
        <v/>
      </c>
      <c r="E111" s="94"/>
      <c r="F111" s="95" t="str">
        <f>IF(F$3="","",IF(COUNTIFS(Base!$A$3:$A$5001,F$3,Base!$B$3:$B$5001,$A$99,Base!$AB$3:$AB$5001,"&lt;&gt;")=0,"",SUMIFS(Base!$AB$3:$AB$5001,Base!$A$3:$A$5001,F$3,Base!$B$3:$B$5001,$A$99)))</f>
        <v/>
      </c>
      <c r="G111" s="96" t="str">
        <f>IF(G$3="","",IF(COUNTIFS(Base!$A$3:$A$5001,G$3,Base!$B$3:$B$5001,$A$99,Base!$AB$3:$AB$5001,"&lt;&gt;")=0,"",SUMIFS(Base!$AB$3:$AB$5001,Base!$A$3:$A$5001,G$3,Base!$B$3:$B$5001,$A$99)))</f>
        <v/>
      </c>
      <c r="H111" s="96" t="str">
        <f>IF(H$3="","",IF(COUNTIFS(Base!$A$3:$A$5001,H$3,Base!$B$3:$B$5001,$A$99,Base!$AB$3:$AB$5001,"&lt;&gt;")=0,"",SUMIFS(Base!$AB$3:$AB$5001,Base!$A$3:$A$5001,H$3,Base!$B$3:$B$5001,$A$99)))</f>
        <v/>
      </c>
      <c r="I111" s="96">
        <f>IF(I$3="","",IF(COUNTIFS(Base!$A$3:$A$5001,I$3,Base!$B$3:$B$5001,$A$99,Base!$AB$3:$AB$5001,"&lt;&gt;")=0,"",SUMIFS(Base!$AB$3:$AB$5001,Base!$A$3:$A$5001,I$3,Base!$B$3:$B$5001,$A$99)))</f>
        <v>1</v>
      </c>
      <c r="J111" s="96" t="str">
        <f>IF(J$3="","",IF(COUNTIFS(Base!$A$3:$A$5001,J$3,Base!$B$3:$B$5001,$A$99,Base!$AB$3:$AB$5001,"&lt;&gt;")=0,"",SUMIFS(Base!$AB$3:$AB$5001,Base!$A$3:$A$5001,J$3,Base!$B$3:$B$5001,$A$99)))</f>
        <v/>
      </c>
      <c r="K111" s="96" t="str">
        <f>IF(K$3="","",IF(COUNTIFS(Base!$A$3:$A$5001,K$3,Base!$B$3:$B$5001,$A$99,Base!$AB$3:$AB$5001,"&lt;&gt;")=0,"",SUMIFS(Base!$AB$3:$AB$5001,Base!$A$3:$A$5001,K$3,Base!$B$3:$B$5001,$A$99)))</f>
        <v/>
      </c>
      <c r="L111" s="96" t="str">
        <f>IF(L$3="","",IF(COUNTIFS(Base!$A$3:$A$5001,L$3,Base!$B$3:$B$5001,$A$99,Base!$AB$3:$AB$5001,"&lt;&gt;")=0,"",SUMIFS(Base!$AB$3:$AB$5001,Base!$A$3:$A$5001,L$3,Base!$B$3:$B$5001,$A$99)))</f>
        <v/>
      </c>
      <c r="M111" s="96" t="str">
        <f>IF(M$3="","",IF(COUNTIFS(Base!$A$3:$A$5001,M$3,Base!$B$3:$B$5001,$A$99,Base!$AB$3:$AB$5001,"&lt;&gt;")=0,"",SUMIFS(Base!$AB$3:$AB$5001,Base!$A$3:$A$5001,M$3,Base!$B$3:$B$5001,$A$99)))</f>
        <v/>
      </c>
      <c r="N111" s="96" t="str">
        <f>IF(N$3="","",IF(COUNTIFS(Base!$A$3:$A$5001,N$3,Base!$B$3:$B$5001,$A$99,Base!$AB$3:$AB$5001,"&lt;&gt;")=0,"",SUMIFS(Base!$AB$3:$AB$5001,Base!$A$3:$A$5001,N$3,Base!$B$3:$B$5001,$A$99)))</f>
        <v/>
      </c>
      <c r="O111" s="96">
        <f>IF(O$3="","",IF(COUNTIFS(Base!$A$3:$A$5001,O$3,Base!$B$3:$B$5001,$A$99,Base!$AB$3:$AB$5001,"&lt;&gt;")=0,"",SUMIFS(Base!$AB$3:$AB$5001,Base!$A$3:$A$5001,O$3,Base!$B$3:$B$5001,$A$99)))</f>
        <v>1</v>
      </c>
      <c r="P111" s="96" t="str">
        <f>IF(P$3="","",IF(COUNTIFS(Base!$A$3:$A$5001,P$3,Base!$B$3:$B$5001,$A$99,Base!$AB$3:$AB$5001,"&lt;&gt;")=0,"",SUMIFS(Base!$AB$3:$AB$5001,Base!$A$3:$A$5001,P$3,Base!$B$3:$B$5001,$A$99)))</f>
        <v/>
      </c>
      <c r="Q111" s="96" t="str">
        <f>IF(Q$3="","",IF(COUNTIFS(Base!$A$3:$A$5001,Q$3,Base!$B$3:$B$5001,$A$99,Base!$AB$3:$AB$5001,"&lt;&gt;")=0,"",SUMIFS(Base!$AB$3:$AB$5001,Base!$A$3:$A$5001,Q$3,Base!$B$3:$B$5001,$A$99)))</f>
        <v/>
      </c>
      <c r="R111" s="96" t="str">
        <f>IF(R$3="","",IF(COUNTIFS(Base!$A$3:$A$5001,R$3,Base!$B$3:$B$5001,$A$99,Base!$AB$3:$AB$5001,"&lt;&gt;")=0,"",SUMIFS(Base!$AB$3:$AB$5001,Base!$A$3:$A$5001,R$3,Base!$B$3:$B$5001,$A$99)))</f>
        <v/>
      </c>
      <c r="S111" s="96" t="str">
        <f>IF(S$3="","",IF(COUNTIFS(Base!$A$3:$A$5001,S$3,Base!$B$3:$B$5001,$A$99,Base!$AB$3:$AB$5001,"&lt;&gt;")=0,"",SUMIFS(Base!$AB$3:$AB$5001,Base!$A$3:$A$5001,S$3,Base!$B$3:$B$5001,$A$99)))</f>
        <v/>
      </c>
      <c r="T111" s="96" t="str">
        <f>IF(T$3="","",IF(COUNTIFS(Base!$A$3:$A$5001,T$3,Base!$B$3:$B$5001,$A$99,Base!$AB$3:$AB$5001,"&lt;&gt;")=0,"",SUMIFS(Base!$AB$3:$AB$5001,Base!$A$3:$A$5001,T$3,Base!$B$3:$B$5001,$A$99)))</f>
        <v/>
      </c>
      <c r="U111" s="96" t="str">
        <f>IF(U$3="","",IF(COUNTIFS(Base!$A$3:$A$5001,U$3,Base!$B$3:$B$5001,$A$99,Base!$AB$3:$AB$5001,"&lt;&gt;")=0,"",SUMIFS(Base!$AB$3:$AB$5001,Base!$A$3:$A$5001,U$3,Base!$B$3:$B$5001,$A$99)))</f>
        <v/>
      </c>
      <c r="V111" s="96" t="str">
        <f>IF(V$3="","",IF(COUNTIFS(Base!$A$3:$A$5001,V$3,Base!$B$3:$B$5001,$A$99,Base!$AB$3:$AB$5001,"&lt;&gt;")=0,"",SUMIFS(Base!$AB$3:$AB$5001,Base!$A$3:$A$5001,V$3,Base!$B$3:$B$5001,$A$99)))</f>
        <v/>
      </c>
      <c r="W111" s="96" t="str">
        <f>IF(W$3="","",IF(COUNTIFS(Base!$A$3:$A$5001,W$3,Base!$B$3:$B$5001,$A$99,Base!$AB$3:$AB$5001,"&lt;&gt;")=0,"",SUMIFS(Base!$AB$3:$AB$5001,Base!$A$3:$A$5001,W$3,Base!$B$3:$B$5001,$A$99)))</f>
        <v/>
      </c>
      <c r="X111" s="96">
        <f>IF(X$3="","",IF(COUNTIFS(Base!$A$3:$A$5001,X$3,Base!$B$3:$B$5001,$A$99,Base!$AB$3:$AB$5001,"&lt;&gt;")=0,"",SUMIFS(Base!$AB$3:$AB$5001,Base!$A$3:$A$5001,X$3,Base!$B$3:$B$5001,$A$99)))</f>
        <v>1</v>
      </c>
      <c r="Y111" s="96" t="str">
        <f>IF(Y$3="","",IF(COUNTIFS(Base!$A$3:$A$5001,Y$3,Base!$B$3:$B$5001,$A$99,Base!$AB$3:$AB$5001,"&lt;&gt;")=0,"",SUMIFS(Base!$AB$3:$AB$5001,Base!$A$3:$A$5001,Y$3,Base!$B$3:$B$5001,$A$99)))</f>
        <v/>
      </c>
      <c r="Z111" s="96">
        <f>IF(Z$3="","",IF(COUNTIFS(Base!$A$3:$A$5001,Z$3,Base!$B$3:$B$5001,$A$99,Base!$AB$3:$AB$5001,"&lt;&gt;")=0,"",SUMIFS(Base!$AB$3:$AB$5001,Base!$A$3:$A$5001,Z$3,Base!$B$3:$B$5001,$A$99)))</f>
        <v>1</v>
      </c>
      <c r="AA111" s="96" t="str">
        <f>IF(AA$3="","",IF(COUNTIFS(Base!$A$3:$A$5001,AA$3,Base!$B$3:$B$5001,$A$99,Base!$AB$3:$AB$5001,"&lt;&gt;")=0,"",SUMIFS(Base!$AB$3:$AB$5001,Base!$A$3:$A$5001,AA$3,Base!$B$3:$B$5001,$A$99)))</f>
        <v/>
      </c>
      <c r="AB111" s="96" t="str">
        <f>IF(AB$3="","",IF(COUNTIFS(Base!$A$3:$A$5001,AB$3,Base!$B$3:$B$5001,$A$99,Base!$AB$3:$AB$5001,"&lt;&gt;")=0,"",SUMIFS(Base!$AB$3:$AB$5001,Base!$A$3:$A$5001,AB$3,Base!$B$3:$B$5001,$A$99)))</f>
        <v/>
      </c>
      <c r="AC111" s="96" t="str">
        <f>IF(AC$3="","",IF(COUNTIFS(Base!$A$3:$A$5001,AC$3,Base!$B$3:$B$5001,$A$99,Base!$AB$3:$AB$5001,"&lt;&gt;")=0,"",SUMIFS(Base!$AB$3:$AB$5001,Base!$A$3:$A$5001,AC$3,Base!$B$3:$B$5001,$A$99)))</f>
        <v/>
      </c>
      <c r="AD111" s="96" t="str">
        <f>IF(AD$3="","",IF(COUNTIFS(Base!$A$3:$A$5001,AD$3,Base!$B$3:$B$5001,$A$99,Base!$AB$3:$AB$5001,"&lt;&gt;")=0,"",SUMIFS(Base!$AB$3:$AB$5001,Base!$A$3:$A$5001,AD$3,Base!$B$3:$B$5001,$A$99)))</f>
        <v/>
      </c>
      <c r="AE111" s="96" t="str">
        <f>IF(AE$3="","",IF(COUNTIFS(Base!$A$3:$A$5001,AE$3,Base!$B$3:$B$5001,$A$99,Base!$AB$3:$AB$5001,"&lt;&gt;")=0,"",SUMIFS(Base!$AB$3:$AB$5001,Base!$A$3:$A$5001,AE$3,Base!$B$3:$B$5001,$A$99)))</f>
        <v/>
      </c>
      <c r="AF111" s="96" t="str">
        <f>IF(AF$3="","",IF(COUNTIFS(Base!$A$3:$A$5001,AF$3,Base!$B$3:$B$5001,$A$99,Base!$AB$3:$AB$5001,"&lt;&gt;")=0,"",SUMIFS(Base!$AB$3:$AB$5001,Base!$A$3:$A$5001,AF$3,Base!$B$3:$B$5001,$A$99)))</f>
        <v/>
      </c>
      <c r="AG111" s="96" t="str">
        <f>IF(AG$3="","",IF(COUNTIFS(Base!$A$3:$A$5001,AG$3,Base!$B$3:$B$5001,$A$99,Base!$AB$3:$AB$5001,"&lt;&gt;")=0,"",SUMIFS(Base!$AB$3:$AB$5001,Base!$A$3:$A$5001,AG$3,Base!$B$3:$B$5001,$A$99)))</f>
        <v/>
      </c>
      <c r="AH111" s="96" t="str">
        <f>IF(AH$3="","",IF(COUNTIFS(Base!$A$3:$A$5001,AH$3,Base!$B$3:$B$5001,$A$99,Base!$AB$3:$AB$5001,"&lt;&gt;")=0,"",SUMIFS(Base!$AB$3:$AB$5001,Base!$A$3:$A$5001,AH$3,Base!$B$3:$B$5001,$A$99)))</f>
        <v/>
      </c>
      <c r="AI111" s="96" t="str">
        <f>IF(AI$3="","",IF(COUNTIFS(Base!$A$3:$A$5001,AI$3,Base!$B$3:$B$5001,$A$99,Base!$AB$3:$AB$5001,"&lt;&gt;")=0,"",SUMIFS(Base!$AB$3:$AB$5001,Base!$A$3:$A$5001,AI$3,Base!$B$3:$B$5001,$A$99)))</f>
        <v/>
      </c>
      <c r="AJ111" s="97" t="str">
        <f>IF(AJ$3="","",IF(COUNTIFS(Base!$A$3:$A$5001,AJ$3,Base!$B$3:$B$5001,$A$99,Base!$AB$3:$AB$5001,"&lt;&gt;")=0,"",SUMIFS(Base!$AB$3:$AB$5001,Base!$A$3:$A$5001,AJ$3,Base!$B$3:$B$5001,$A$99)))</f>
        <v/>
      </c>
      <c r="AK111" s="98">
        <f>IF(COUNT(F111:AJ111)=0,"",SUM(F111:AJ111))</f>
        <v>4</v>
      </c>
    </row>
    <row r="112" ht="15.75" customHeight="1">
      <c r="A112" s="118"/>
      <c r="B112" s="115"/>
      <c r="C112" s="92" t="inlineStr">
        <is>
          <t xml:space="preserve">Férias</t>
        </is>
      </c>
      <c r="D112" s="93" t="str">
        <f>IFERROR(1/(1/INDEX(calculos!$C$55:$K$83,MATCH("Férias",calculos!$A$55:$A$83,0),MATCH($A$99,calculos!$C$54:$K$54,0))),"")</f>
        <v/>
      </c>
      <c r="E112" s="94"/>
      <c r="F112" s="95" t="str">
        <f>IF(F$3="","",IF(COUNTIFS(Base!$A$3:$A$5001,F$3,Base!$B$3:$B$5001,$A$99,Base!$AC$3:$AC$5001,"&lt;&gt;")=0,"",SUMIFS(Base!$AC$3:$AC$5001,Base!$A$3:$A$5001,F$3,Base!$B$3:$B$5001,$A$99)))</f>
        <v/>
      </c>
      <c r="G112" s="96" t="str">
        <f>IF(G$3="","",IF(COUNTIFS(Base!$A$3:$A$5001,G$3,Base!$B$3:$B$5001,$A$99,Base!$AC$3:$AC$5001,"&lt;&gt;")=0,"",SUMIFS(Base!$AC$3:$AC$5001,Base!$A$3:$A$5001,G$3,Base!$B$3:$B$5001,$A$99)))</f>
        <v/>
      </c>
      <c r="H112" s="96" t="str">
        <f>IF(H$3="","",IF(COUNTIFS(Base!$A$3:$A$5001,H$3,Base!$B$3:$B$5001,$A$99,Base!$AC$3:$AC$5001,"&lt;&gt;")=0,"",SUMIFS(Base!$AC$3:$AC$5001,Base!$A$3:$A$5001,H$3,Base!$B$3:$B$5001,$A$99)))</f>
        <v/>
      </c>
      <c r="I112" s="96" t="str">
        <f>IF(I$3="","",IF(COUNTIFS(Base!$A$3:$A$5001,I$3,Base!$B$3:$B$5001,$A$99,Base!$AC$3:$AC$5001,"&lt;&gt;")=0,"",SUMIFS(Base!$AC$3:$AC$5001,Base!$A$3:$A$5001,I$3,Base!$B$3:$B$5001,$A$99)))</f>
        <v/>
      </c>
      <c r="J112" s="96" t="str">
        <f>IF(J$3="","",IF(COUNTIFS(Base!$A$3:$A$5001,J$3,Base!$B$3:$B$5001,$A$99,Base!$AC$3:$AC$5001,"&lt;&gt;")=0,"",SUMIFS(Base!$AC$3:$AC$5001,Base!$A$3:$A$5001,J$3,Base!$B$3:$B$5001,$A$99)))</f>
        <v/>
      </c>
      <c r="K112" s="96" t="str">
        <f>IF(K$3="","",IF(COUNTIFS(Base!$A$3:$A$5001,K$3,Base!$B$3:$B$5001,$A$99,Base!$AC$3:$AC$5001,"&lt;&gt;")=0,"",SUMIFS(Base!$AC$3:$AC$5001,Base!$A$3:$A$5001,K$3,Base!$B$3:$B$5001,$A$99)))</f>
        <v/>
      </c>
      <c r="L112" s="96" t="str">
        <f>IF(L$3="","",IF(COUNTIFS(Base!$A$3:$A$5001,L$3,Base!$B$3:$B$5001,$A$99,Base!$AC$3:$AC$5001,"&lt;&gt;")=0,"",SUMIFS(Base!$AC$3:$AC$5001,Base!$A$3:$A$5001,L$3,Base!$B$3:$B$5001,$A$99)))</f>
        <v/>
      </c>
      <c r="M112" s="96" t="str">
        <f>IF(M$3="","",IF(COUNTIFS(Base!$A$3:$A$5001,M$3,Base!$B$3:$B$5001,$A$99,Base!$AC$3:$AC$5001,"&lt;&gt;")=0,"",SUMIFS(Base!$AC$3:$AC$5001,Base!$A$3:$A$5001,M$3,Base!$B$3:$B$5001,$A$99)))</f>
        <v/>
      </c>
      <c r="N112" s="96" t="str">
        <f>IF(N$3="","",IF(COUNTIFS(Base!$A$3:$A$5001,N$3,Base!$B$3:$B$5001,$A$99,Base!$AC$3:$AC$5001,"&lt;&gt;")=0,"",SUMIFS(Base!$AC$3:$AC$5001,Base!$A$3:$A$5001,N$3,Base!$B$3:$B$5001,$A$99)))</f>
        <v/>
      </c>
      <c r="O112" s="96" t="str">
        <f>IF(O$3="","",IF(COUNTIFS(Base!$A$3:$A$5001,O$3,Base!$B$3:$B$5001,$A$99,Base!$AC$3:$AC$5001,"&lt;&gt;")=0,"",SUMIFS(Base!$AC$3:$AC$5001,Base!$A$3:$A$5001,O$3,Base!$B$3:$B$5001,$A$99)))</f>
        <v/>
      </c>
      <c r="P112" s="96" t="str">
        <f>IF(P$3="","",IF(COUNTIFS(Base!$A$3:$A$5001,P$3,Base!$B$3:$B$5001,$A$99,Base!$AC$3:$AC$5001,"&lt;&gt;")=0,"",SUMIFS(Base!$AC$3:$AC$5001,Base!$A$3:$A$5001,P$3,Base!$B$3:$B$5001,$A$99)))</f>
        <v/>
      </c>
      <c r="Q112" s="96" t="str">
        <f>IF(Q$3="","",IF(COUNTIFS(Base!$A$3:$A$5001,Q$3,Base!$B$3:$B$5001,$A$99,Base!$AC$3:$AC$5001,"&lt;&gt;")=0,"",SUMIFS(Base!$AC$3:$AC$5001,Base!$A$3:$A$5001,Q$3,Base!$B$3:$B$5001,$A$99)))</f>
        <v/>
      </c>
      <c r="R112" s="96" t="str">
        <f>IF(R$3="","",IF(COUNTIFS(Base!$A$3:$A$5001,R$3,Base!$B$3:$B$5001,$A$99,Base!$AC$3:$AC$5001,"&lt;&gt;")=0,"",SUMIFS(Base!$AC$3:$AC$5001,Base!$A$3:$A$5001,R$3,Base!$B$3:$B$5001,$A$99)))</f>
        <v/>
      </c>
      <c r="S112" s="96" t="str">
        <f>IF(S$3="","",IF(COUNTIFS(Base!$A$3:$A$5001,S$3,Base!$B$3:$B$5001,$A$99,Base!$AC$3:$AC$5001,"&lt;&gt;")=0,"",SUMIFS(Base!$AC$3:$AC$5001,Base!$A$3:$A$5001,S$3,Base!$B$3:$B$5001,$A$99)))</f>
        <v/>
      </c>
      <c r="T112" s="96" t="str">
        <f>IF(T$3="","",IF(COUNTIFS(Base!$A$3:$A$5001,T$3,Base!$B$3:$B$5001,$A$99,Base!$AC$3:$AC$5001,"&lt;&gt;")=0,"",SUMIFS(Base!$AC$3:$AC$5001,Base!$A$3:$A$5001,T$3,Base!$B$3:$B$5001,$A$99)))</f>
        <v/>
      </c>
      <c r="U112" s="96" t="str">
        <f>IF(U$3="","",IF(COUNTIFS(Base!$A$3:$A$5001,U$3,Base!$B$3:$B$5001,$A$99,Base!$AC$3:$AC$5001,"&lt;&gt;")=0,"",SUMIFS(Base!$AC$3:$AC$5001,Base!$A$3:$A$5001,U$3,Base!$B$3:$B$5001,$A$99)))</f>
        <v/>
      </c>
      <c r="V112" s="96" t="str">
        <f>IF(V$3="","",IF(COUNTIFS(Base!$A$3:$A$5001,V$3,Base!$B$3:$B$5001,$A$99,Base!$AC$3:$AC$5001,"&lt;&gt;")=0,"",SUMIFS(Base!$AC$3:$AC$5001,Base!$A$3:$A$5001,V$3,Base!$B$3:$B$5001,$A$99)))</f>
        <v/>
      </c>
      <c r="W112" s="96" t="str">
        <f>IF(W$3="","",IF(COUNTIFS(Base!$A$3:$A$5001,W$3,Base!$B$3:$B$5001,$A$99,Base!$AC$3:$AC$5001,"&lt;&gt;")=0,"",SUMIFS(Base!$AC$3:$AC$5001,Base!$A$3:$A$5001,W$3,Base!$B$3:$B$5001,$A$99)))</f>
        <v/>
      </c>
      <c r="X112" s="96" t="str">
        <f>IF(X$3="","",IF(COUNTIFS(Base!$A$3:$A$5001,X$3,Base!$B$3:$B$5001,$A$99,Base!$AC$3:$AC$5001,"&lt;&gt;")=0,"",SUMIFS(Base!$AC$3:$AC$5001,Base!$A$3:$A$5001,X$3,Base!$B$3:$B$5001,$A$99)))</f>
        <v/>
      </c>
      <c r="Y112" s="96" t="str">
        <f>IF(Y$3="","",IF(COUNTIFS(Base!$A$3:$A$5001,Y$3,Base!$B$3:$B$5001,$A$99,Base!$AC$3:$AC$5001,"&lt;&gt;")=0,"",SUMIFS(Base!$AC$3:$AC$5001,Base!$A$3:$A$5001,Y$3,Base!$B$3:$B$5001,$A$99)))</f>
        <v/>
      </c>
      <c r="Z112" s="96" t="str">
        <f>IF(Z$3="","",IF(COUNTIFS(Base!$A$3:$A$5001,Z$3,Base!$B$3:$B$5001,$A$99,Base!$AC$3:$AC$5001,"&lt;&gt;")=0,"",SUMIFS(Base!$AC$3:$AC$5001,Base!$A$3:$A$5001,Z$3,Base!$B$3:$B$5001,$A$99)))</f>
        <v/>
      </c>
      <c r="AA112" s="96" t="str">
        <f>IF(AA$3="","",IF(COUNTIFS(Base!$A$3:$A$5001,AA$3,Base!$B$3:$B$5001,$A$99,Base!$AC$3:$AC$5001,"&lt;&gt;")=0,"",SUMIFS(Base!$AC$3:$AC$5001,Base!$A$3:$A$5001,AA$3,Base!$B$3:$B$5001,$A$99)))</f>
        <v/>
      </c>
      <c r="AB112" s="96" t="str">
        <f>IF(AB$3="","",IF(COUNTIFS(Base!$A$3:$A$5001,AB$3,Base!$B$3:$B$5001,$A$99,Base!$AC$3:$AC$5001,"&lt;&gt;")=0,"",SUMIFS(Base!$AC$3:$AC$5001,Base!$A$3:$A$5001,AB$3,Base!$B$3:$B$5001,$A$99)))</f>
        <v/>
      </c>
      <c r="AC112" s="96" t="str">
        <f>IF(AC$3="","",IF(COUNTIFS(Base!$A$3:$A$5001,AC$3,Base!$B$3:$B$5001,$A$99,Base!$AC$3:$AC$5001,"&lt;&gt;")=0,"",SUMIFS(Base!$AC$3:$AC$5001,Base!$A$3:$A$5001,AC$3,Base!$B$3:$B$5001,$A$99)))</f>
        <v/>
      </c>
      <c r="AD112" s="96" t="str">
        <f>IF(AD$3="","",IF(COUNTIFS(Base!$A$3:$A$5001,AD$3,Base!$B$3:$B$5001,$A$99,Base!$AC$3:$AC$5001,"&lt;&gt;")=0,"",SUMIFS(Base!$AC$3:$AC$5001,Base!$A$3:$A$5001,AD$3,Base!$B$3:$B$5001,$A$99)))</f>
        <v/>
      </c>
      <c r="AE112" s="96" t="str">
        <f>IF(AE$3="","",IF(COUNTIFS(Base!$A$3:$A$5001,AE$3,Base!$B$3:$B$5001,$A$99,Base!$AC$3:$AC$5001,"&lt;&gt;")=0,"",SUMIFS(Base!$AC$3:$AC$5001,Base!$A$3:$A$5001,AE$3,Base!$B$3:$B$5001,$A$99)))</f>
        <v/>
      </c>
      <c r="AF112" s="96" t="str">
        <f>IF(AF$3="","",IF(COUNTIFS(Base!$A$3:$A$5001,AF$3,Base!$B$3:$B$5001,$A$99,Base!$AC$3:$AC$5001,"&lt;&gt;")=0,"",SUMIFS(Base!$AC$3:$AC$5001,Base!$A$3:$A$5001,AF$3,Base!$B$3:$B$5001,$A$99)))</f>
        <v/>
      </c>
      <c r="AG112" s="96" t="str">
        <f>IF(AG$3="","",IF(COUNTIFS(Base!$A$3:$A$5001,AG$3,Base!$B$3:$B$5001,$A$99,Base!$AC$3:$AC$5001,"&lt;&gt;")=0,"",SUMIFS(Base!$AC$3:$AC$5001,Base!$A$3:$A$5001,AG$3,Base!$B$3:$B$5001,$A$99)))</f>
        <v/>
      </c>
      <c r="AH112" s="96" t="str">
        <f>IF(AH$3="","",IF(COUNTIFS(Base!$A$3:$A$5001,AH$3,Base!$B$3:$B$5001,$A$99,Base!$AC$3:$AC$5001,"&lt;&gt;")=0,"",SUMIFS(Base!$AC$3:$AC$5001,Base!$A$3:$A$5001,AH$3,Base!$B$3:$B$5001,$A$99)))</f>
        <v/>
      </c>
      <c r="AI112" s="96" t="str">
        <f>IF(AI$3="","",IF(COUNTIFS(Base!$A$3:$A$5001,AI$3,Base!$B$3:$B$5001,$A$99,Base!$AC$3:$AC$5001,"&lt;&gt;")=0,"",SUMIFS(Base!$AC$3:$AC$5001,Base!$A$3:$A$5001,AI$3,Base!$B$3:$B$5001,$A$99)))</f>
        <v/>
      </c>
      <c r="AJ112" s="97" t="str">
        <f>IF(AJ$3="","",IF(COUNTIFS(Base!$A$3:$A$5001,AJ$3,Base!$B$3:$B$5001,$A$99,Base!$AC$3:$AC$5001,"&lt;&gt;")=0,"",SUMIFS(Base!$AC$3:$AC$5001,Base!$A$3:$A$5001,AJ$3,Base!$B$3:$B$5001,$A$99)))</f>
        <v/>
      </c>
      <c r="AK112" s="98" t="str">
        <f>IF(COUNT(F112:AJ112)=0,"",SUM(F112:AJ112))</f>
        <v/>
      </c>
    </row>
    <row r="113" ht="15.75" customHeight="1">
      <c r="A113" s="119"/>
      <c r="B113" s="116"/>
      <c r="C113" s="99" t="inlineStr">
        <is>
          <t xml:space="preserve">Desligamentos</t>
        </is>
      </c>
      <c r="D113" s="100" t="str">
        <f>IFERROR(1/(1/INDEX(calculos!$C$55:$K$83,MATCH("Desligamentos",calculos!$A$55:$A$83,0),MATCH($A$99,calculos!$C$54:$K$54,0))),"")</f>
        <v/>
      </c>
      <c r="E113" s="101"/>
      <c r="F113" s="102" t="str">
        <f>IF(F$3="","",IF(COUNTIFS(Base!$A$3:$A$5001,F$3,Base!$B$3:$B$5001,$A$99,Base!$AD$3:$AD$5001,"&lt;&gt;")=0,"",SUMIFS(Base!$AD$3:$AD$5001,Base!$A$3:$A$5001,F$3,Base!$B$3:$B$5001,$A$99)))</f>
        <v/>
      </c>
      <c r="G113" s="103" t="str">
        <f>IF(G$3="","",IF(COUNTIFS(Base!$A$3:$A$5001,G$3,Base!$B$3:$B$5001,$A$99,Base!$AD$3:$AD$5001,"&lt;&gt;")=0,"",SUMIFS(Base!$AD$3:$AD$5001,Base!$A$3:$A$5001,G$3,Base!$B$3:$B$5001,$A$99)))</f>
        <v/>
      </c>
      <c r="H113" s="103" t="str">
        <f>IF(H$3="","",IF(COUNTIFS(Base!$A$3:$A$5001,H$3,Base!$B$3:$B$5001,$A$99,Base!$AD$3:$AD$5001,"&lt;&gt;")=0,"",SUMIFS(Base!$AD$3:$AD$5001,Base!$A$3:$A$5001,H$3,Base!$B$3:$B$5001,$A$99)))</f>
        <v/>
      </c>
      <c r="I113" s="103" t="str">
        <f>IF(I$3="","",IF(COUNTIFS(Base!$A$3:$A$5001,I$3,Base!$B$3:$B$5001,$A$99,Base!$AD$3:$AD$5001,"&lt;&gt;")=0,"",SUMIFS(Base!$AD$3:$AD$5001,Base!$A$3:$A$5001,I$3,Base!$B$3:$B$5001,$A$99)))</f>
        <v/>
      </c>
      <c r="J113" s="103" t="str">
        <f>IF(J$3="","",IF(COUNTIFS(Base!$A$3:$A$5001,J$3,Base!$B$3:$B$5001,$A$99,Base!$AD$3:$AD$5001,"&lt;&gt;")=0,"",SUMIFS(Base!$AD$3:$AD$5001,Base!$A$3:$A$5001,J$3,Base!$B$3:$B$5001,$A$99)))</f>
        <v/>
      </c>
      <c r="K113" s="103" t="str">
        <f>IF(K$3="","",IF(COUNTIFS(Base!$A$3:$A$5001,K$3,Base!$B$3:$B$5001,$A$99,Base!$AD$3:$AD$5001,"&lt;&gt;")=0,"",SUMIFS(Base!$AD$3:$AD$5001,Base!$A$3:$A$5001,K$3,Base!$B$3:$B$5001,$A$99)))</f>
        <v/>
      </c>
      <c r="L113" s="103" t="str">
        <f>IF(L$3="","",IF(COUNTIFS(Base!$A$3:$A$5001,L$3,Base!$B$3:$B$5001,$A$99,Base!$AD$3:$AD$5001,"&lt;&gt;")=0,"",SUMIFS(Base!$AD$3:$AD$5001,Base!$A$3:$A$5001,L$3,Base!$B$3:$B$5001,$A$99)))</f>
        <v/>
      </c>
      <c r="M113" s="103" t="str">
        <f>IF(M$3="","",IF(COUNTIFS(Base!$A$3:$A$5001,M$3,Base!$B$3:$B$5001,$A$99,Base!$AD$3:$AD$5001,"&lt;&gt;")=0,"",SUMIFS(Base!$AD$3:$AD$5001,Base!$A$3:$A$5001,M$3,Base!$B$3:$B$5001,$A$99)))</f>
        <v/>
      </c>
      <c r="N113" s="103" t="str">
        <f>IF(N$3="","",IF(COUNTIFS(Base!$A$3:$A$5001,N$3,Base!$B$3:$B$5001,$A$99,Base!$AD$3:$AD$5001,"&lt;&gt;")=0,"",SUMIFS(Base!$AD$3:$AD$5001,Base!$A$3:$A$5001,N$3,Base!$B$3:$B$5001,$A$99)))</f>
        <v/>
      </c>
      <c r="O113" s="103" t="str">
        <f>IF(O$3="","",IF(COUNTIFS(Base!$A$3:$A$5001,O$3,Base!$B$3:$B$5001,$A$99,Base!$AD$3:$AD$5001,"&lt;&gt;")=0,"",SUMIFS(Base!$AD$3:$AD$5001,Base!$A$3:$A$5001,O$3,Base!$B$3:$B$5001,$A$99)))</f>
        <v/>
      </c>
      <c r="P113" s="103" t="str">
        <f>IF(P$3="","",IF(COUNTIFS(Base!$A$3:$A$5001,P$3,Base!$B$3:$B$5001,$A$99,Base!$AD$3:$AD$5001,"&lt;&gt;")=0,"",SUMIFS(Base!$AD$3:$AD$5001,Base!$A$3:$A$5001,P$3,Base!$B$3:$B$5001,$A$99)))</f>
        <v/>
      </c>
      <c r="Q113" s="103" t="str">
        <f>IF(Q$3="","",IF(COUNTIFS(Base!$A$3:$A$5001,Q$3,Base!$B$3:$B$5001,$A$99,Base!$AD$3:$AD$5001,"&lt;&gt;")=0,"",SUMIFS(Base!$AD$3:$AD$5001,Base!$A$3:$A$5001,Q$3,Base!$B$3:$B$5001,$A$99)))</f>
        <v/>
      </c>
      <c r="R113" s="103" t="str">
        <f>IF(R$3="","",IF(COUNTIFS(Base!$A$3:$A$5001,R$3,Base!$B$3:$B$5001,$A$99,Base!$AD$3:$AD$5001,"&lt;&gt;")=0,"",SUMIFS(Base!$AD$3:$AD$5001,Base!$A$3:$A$5001,R$3,Base!$B$3:$B$5001,$A$99)))</f>
        <v/>
      </c>
      <c r="S113" s="103" t="str">
        <f>IF(S$3="","",IF(COUNTIFS(Base!$A$3:$A$5001,S$3,Base!$B$3:$B$5001,$A$99,Base!$AD$3:$AD$5001,"&lt;&gt;")=0,"",SUMIFS(Base!$AD$3:$AD$5001,Base!$A$3:$A$5001,S$3,Base!$B$3:$B$5001,$A$99)))</f>
        <v/>
      </c>
      <c r="T113" s="103" t="str">
        <f>IF(T$3="","",IF(COUNTIFS(Base!$A$3:$A$5001,T$3,Base!$B$3:$B$5001,$A$99,Base!$AD$3:$AD$5001,"&lt;&gt;")=0,"",SUMIFS(Base!$AD$3:$AD$5001,Base!$A$3:$A$5001,T$3,Base!$B$3:$B$5001,$A$99)))</f>
        <v/>
      </c>
      <c r="U113" s="103" t="str">
        <f>IF(U$3="","",IF(COUNTIFS(Base!$A$3:$A$5001,U$3,Base!$B$3:$B$5001,$A$99,Base!$AD$3:$AD$5001,"&lt;&gt;")=0,"",SUMIFS(Base!$AD$3:$AD$5001,Base!$A$3:$A$5001,U$3,Base!$B$3:$B$5001,$A$99)))</f>
        <v/>
      </c>
      <c r="V113" s="103" t="str">
        <f>IF(V$3="","",IF(COUNTIFS(Base!$A$3:$A$5001,V$3,Base!$B$3:$B$5001,$A$99,Base!$AD$3:$AD$5001,"&lt;&gt;")=0,"",SUMIFS(Base!$AD$3:$AD$5001,Base!$A$3:$A$5001,V$3,Base!$B$3:$B$5001,$A$99)))</f>
        <v/>
      </c>
      <c r="W113" s="103" t="str">
        <f>IF(W$3="","",IF(COUNTIFS(Base!$A$3:$A$5001,W$3,Base!$B$3:$B$5001,$A$99,Base!$AD$3:$AD$5001,"&lt;&gt;")=0,"",SUMIFS(Base!$AD$3:$AD$5001,Base!$A$3:$A$5001,W$3,Base!$B$3:$B$5001,$A$99)))</f>
        <v/>
      </c>
      <c r="X113" s="103" t="str">
        <f>IF(X$3="","",IF(COUNTIFS(Base!$A$3:$A$5001,X$3,Base!$B$3:$B$5001,$A$99,Base!$AD$3:$AD$5001,"&lt;&gt;")=0,"",SUMIFS(Base!$AD$3:$AD$5001,Base!$A$3:$A$5001,X$3,Base!$B$3:$B$5001,$A$99)))</f>
        <v/>
      </c>
      <c r="Y113" s="103" t="str">
        <f>IF(Y$3="","",IF(COUNTIFS(Base!$A$3:$A$5001,Y$3,Base!$B$3:$B$5001,$A$99,Base!$AD$3:$AD$5001,"&lt;&gt;")=0,"",SUMIFS(Base!$AD$3:$AD$5001,Base!$A$3:$A$5001,Y$3,Base!$B$3:$B$5001,$A$99)))</f>
        <v/>
      </c>
      <c r="Z113" s="103" t="str">
        <f>IF(Z$3="","",IF(COUNTIFS(Base!$A$3:$A$5001,Z$3,Base!$B$3:$B$5001,$A$99,Base!$AD$3:$AD$5001,"&lt;&gt;")=0,"",SUMIFS(Base!$AD$3:$AD$5001,Base!$A$3:$A$5001,Z$3,Base!$B$3:$B$5001,$A$99)))</f>
        <v/>
      </c>
      <c r="AA113" s="103" t="str">
        <f>IF(AA$3="","",IF(COUNTIFS(Base!$A$3:$A$5001,AA$3,Base!$B$3:$B$5001,$A$99,Base!$AD$3:$AD$5001,"&lt;&gt;")=0,"",SUMIFS(Base!$AD$3:$AD$5001,Base!$A$3:$A$5001,AA$3,Base!$B$3:$B$5001,$A$99)))</f>
        <v/>
      </c>
      <c r="AB113" s="103" t="str">
        <f>IF(AB$3="","",IF(COUNTIFS(Base!$A$3:$A$5001,AB$3,Base!$B$3:$B$5001,$A$99,Base!$AD$3:$AD$5001,"&lt;&gt;")=0,"",SUMIFS(Base!$AD$3:$AD$5001,Base!$A$3:$A$5001,AB$3,Base!$B$3:$B$5001,$A$99)))</f>
        <v/>
      </c>
      <c r="AC113" s="103" t="str">
        <f>IF(AC$3="","",IF(COUNTIFS(Base!$A$3:$A$5001,AC$3,Base!$B$3:$B$5001,$A$99,Base!$AD$3:$AD$5001,"&lt;&gt;")=0,"",SUMIFS(Base!$AD$3:$AD$5001,Base!$A$3:$A$5001,AC$3,Base!$B$3:$B$5001,$A$99)))</f>
        <v/>
      </c>
      <c r="AD113" s="103" t="str">
        <f>IF(AD$3="","",IF(COUNTIFS(Base!$A$3:$A$5001,AD$3,Base!$B$3:$B$5001,$A$99,Base!$AD$3:$AD$5001,"&lt;&gt;")=0,"",SUMIFS(Base!$AD$3:$AD$5001,Base!$A$3:$A$5001,AD$3,Base!$B$3:$B$5001,$A$99)))</f>
        <v/>
      </c>
      <c r="AE113" s="103" t="str">
        <f>IF(AE$3="","",IF(COUNTIFS(Base!$A$3:$A$5001,AE$3,Base!$B$3:$B$5001,$A$99,Base!$AD$3:$AD$5001,"&lt;&gt;")=0,"",SUMIFS(Base!$AD$3:$AD$5001,Base!$A$3:$A$5001,AE$3,Base!$B$3:$B$5001,$A$99)))</f>
        <v/>
      </c>
      <c r="AF113" s="103" t="str">
        <f>IF(AF$3="","",IF(COUNTIFS(Base!$A$3:$A$5001,AF$3,Base!$B$3:$B$5001,$A$99,Base!$AD$3:$AD$5001,"&lt;&gt;")=0,"",SUMIFS(Base!$AD$3:$AD$5001,Base!$A$3:$A$5001,AF$3,Base!$B$3:$B$5001,$A$99)))</f>
        <v/>
      </c>
      <c r="AG113" s="103" t="str">
        <f>IF(AG$3="","",IF(COUNTIFS(Base!$A$3:$A$5001,AG$3,Base!$B$3:$B$5001,$A$99,Base!$AD$3:$AD$5001,"&lt;&gt;")=0,"",SUMIFS(Base!$AD$3:$AD$5001,Base!$A$3:$A$5001,AG$3,Base!$B$3:$B$5001,$A$99)))</f>
        <v/>
      </c>
      <c r="AH113" s="103" t="str">
        <f>IF(AH$3="","",IF(COUNTIFS(Base!$A$3:$A$5001,AH$3,Base!$B$3:$B$5001,$A$99,Base!$AD$3:$AD$5001,"&lt;&gt;")=0,"",SUMIFS(Base!$AD$3:$AD$5001,Base!$A$3:$A$5001,AH$3,Base!$B$3:$B$5001,$A$99)))</f>
        <v/>
      </c>
      <c r="AI113" s="103" t="str">
        <f>IF(AI$3="","",IF(COUNTIFS(Base!$A$3:$A$5001,AI$3,Base!$B$3:$B$5001,$A$99,Base!$AD$3:$AD$5001,"&lt;&gt;")=0,"",SUMIFS(Base!$AD$3:$AD$5001,Base!$A$3:$A$5001,AI$3,Base!$B$3:$B$5001,$A$99)))</f>
        <v/>
      </c>
      <c r="AJ113" s="104" t="str">
        <f>IF(AJ$3="","",IF(COUNTIFS(Base!$A$3:$A$5001,AJ$3,Base!$B$3:$B$5001,$A$99,Base!$AD$3:$AD$5001,"&lt;&gt;")=0,"",SUMIFS(Base!$AD$3:$AD$5001,Base!$A$3:$A$5001,AJ$3,Base!$B$3:$B$5001,$A$99)))</f>
        <v/>
      </c>
      <c r="AK113" s="100" t="str">
        <f>IF(COUNT(F113:AJ113)=0,"",SUM(F113:AJ113))</f>
        <v/>
      </c>
    </row>
    <row r="115" ht="15.75" customHeight="1">
      <c r="A115" s="117" t="inlineStr">
        <is>
          <t xml:space="preserve">VEDACIT</t>
        </is>
      </c>
      <c r="B115" s="105" t="inlineStr">
        <is>
          <t xml:space="preserve">IN</t>
        </is>
      </c>
      <c r="C115" s="21" t="inlineStr">
        <is>
          <t xml:space="preserve">Veículos Recebidos</t>
        </is>
      </c>
      <c r="D115" s="22" t="str">
        <f>IFERROR(1/(1/INDEX(calculos!$C$55:$K$83,MATCH("IN Veículos Recebidos",calculos!$A$55:$A$83,0),MATCH($A$115,calculos!$C$54:$K$54,0))),"")</f>
        <v/>
      </c>
      <c r="E115" s="23"/>
      <c r="F115" s="24">
        <f>IF(F$3="","",IF(COUNTIFS(Base!$A$3:$A$5001,F$3,Base!$B$3:$B$5001,$A$115,Base!$C$3:$C$5001,"&lt;&gt;")=0,"",SUMIFS(Base!$C$3:$C$5001,Base!$A$3:$A$5001,F$3,Base!$B$3:$B$5001,$A$115)))</f>
        <v>2</v>
      </c>
      <c r="G115" s="25">
        <f>IF(G$3="","",IF(COUNTIFS(Base!$A$3:$A$5001,G$3,Base!$B$3:$B$5001,$A$115,Base!$C$3:$C$5001,"&lt;&gt;")=0,"",SUMIFS(Base!$C$3:$C$5001,Base!$A$3:$A$5001,G$3,Base!$B$3:$B$5001,$A$115)))</f>
        <v>8</v>
      </c>
      <c r="H115" s="25">
        <f>IF(H$3="","",IF(COUNTIFS(Base!$A$3:$A$5001,H$3,Base!$B$3:$B$5001,$A$115,Base!$C$3:$C$5001,"&lt;&gt;")=0,"",SUMIFS(Base!$C$3:$C$5001,Base!$A$3:$A$5001,H$3,Base!$B$3:$B$5001,$A$115)))</f>
        <v>8</v>
      </c>
      <c r="I115" s="25">
        <f>IF(I$3="","",IF(COUNTIFS(Base!$A$3:$A$5001,I$3,Base!$B$3:$B$5001,$A$115,Base!$C$3:$C$5001,"&lt;&gt;")=0,"",SUMIFS(Base!$C$3:$C$5001,Base!$A$3:$A$5001,I$3,Base!$B$3:$B$5001,$A$115)))</f>
        <v>2</v>
      </c>
      <c r="J115" s="25">
        <f>IF(J$3="","",IF(COUNTIFS(Base!$A$3:$A$5001,J$3,Base!$B$3:$B$5001,$A$115,Base!$C$3:$C$5001,"&lt;&gt;")=0,"",SUMIFS(Base!$C$3:$C$5001,Base!$A$3:$A$5001,J$3,Base!$B$3:$B$5001,$A$115)))</f>
        <v>7</v>
      </c>
      <c r="K115" s="25" t="str">
        <f>IF(K$3="","",IF(COUNTIFS(Base!$A$3:$A$5001,K$3,Base!$B$3:$B$5001,$A$115,Base!$C$3:$C$5001,"&lt;&gt;")=0,"",SUMIFS(Base!$C$3:$C$5001,Base!$A$3:$A$5001,K$3,Base!$B$3:$B$5001,$A$115)))</f>
        <v/>
      </c>
      <c r="L115" s="25">
        <f>IF(L$3="","",IF(COUNTIFS(Base!$A$3:$A$5001,L$3,Base!$B$3:$B$5001,$A$115,Base!$C$3:$C$5001,"&lt;&gt;")=0,"",SUMIFS(Base!$C$3:$C$5001,Base!$A$3:$A$5001,L$3,Base!$B$3:$B$5001,$A$115)))</f>
        <v>4</v>
      </c>
      <c r="M115" s="25">
        <f>IF(M$3="","",IF(COUNTIFS(Base!$A$3:$A$5001,M$3,Base!$B$3:$B$5001,$A$115,Base!$C$3:$C$5001,"&lt;&gt;")=0,"",SUMIFS(Base!$C$3:$C$5001,Base!$A$3:$A$5001,M$3,Base!$B$3:$B$5001,$A$115)))</f>
        <v>3</v>
      </c>
      <c r="N115" s="25">
        <f>IF(N$3="","",IF(COUNTIFS(Base!$A$3:$A$5001,N$3,Base!$B$3:$B$5001,$A$115,Base!$C$3:$C$5001,"&lt;&gt;")=0,"",SUMIFS(Base!$C$3:$C$5001,Base!$A$3:$A$5001,N$3,Base!$B$3:$B$5001,$A$115)))</f>
        <v>7</v>
      </c>
      <c r="O115" s="25">
        <f>IF(O$3="","",IF(COUNTIFS(Base!$A$3:$A$5001,O$3,Base!$B$3:$B$5001,$A$115,Base!$C$3:$C$5001,"&lt;&gt;")=0,"",SUMIFS(Base!$C$3:$C$5001,Base!$A$3:$A$5001,O$3,Base!$B$3:$B$5001,$A$115)))</f>
        <v>5</v>
      </c>
      <c r="P115" s="25">
        <f>IF(P$3="","",IF(COUNTIFS(Base!$A$3:$A$5001,P$3,Base!$B$3:$B$5001,$A$115,Base!$C$3:$C$5001,"&lt;&gt;")=0,"",SUMIFS(Base!$C$3:$C$5001,Base!$A$3:$A$5001,P$3,Base!$B$3:$B$5001,$A$115)))</f>
        <v>6</v>
      </c>
      <c r="Q115" s="25">
        <f>IF(Q$3="","",IF(COUNTIFS(Base!$A$3:$A$5001,Q$3,Base!$B$3:$B$5001,$A$115,Base!$C$3:$C$5001,"&lt;&gt;")=0,"",SUMIFS(Base!$C$3:$C$5001,Base!$A$3:$A$5001,Q$3,Base!$B$3:$B$5001,$A$115)))</f>
        <v>3</v>
      </c>
      <c r="R115" s="25" t="str">
        <f>IF(R$3="","",IF(COUNTIFS(Base!$A$3:$A$5001,R$3,Base!$B$3:$B$5001,$A$115,Base!$C$3:$C$5001,"&lt;&gt;")=0,"",SUMIFS(Base!$C$3:$C$5001,Base!$A$3:$A$5001,R$3,Base!$B$3:$B$5001,$A$115)))</f>
        <v/>
      </c>
      <c r="S115" s="25">
        <f>IF(S$3="","",IF(COUNTIFS(Base!$A$3:$A$5001,S$3,Base!$B$3:$B$5001,$A$115,Base!$C$3:$C$5001,"&lt;&gt;")=0,"",SUMIFS(Base!$C$3:$C$5001,Base!$A$3:$A$5001,S$3,Base!$B$3:$B$5001,$A$115)))</f>
        <v>8</v>
      </c>
      <c r="T115" s="25">
        <f>IF(T$3="","",IF(COUNTIFS(Base!$A$3:$A$5001,T$3,Base!$B$3:$B$5001,$A$115,Base!$C$3:$C$5001,"&lt;&gt;")=0,"",SUMIFS(Base!$C$3:$C$5001,Base!$A$3:$A$5001,T$3,Base!$B$3:$B$5001,$A$115)))</f>
        <v>6</v>
      </c>
      <c r="U115" s="25">
        <f>IF(U$3="","",IF(COUNTIFS(Base!$A$3:$A$5001,U$3,Base!$B$3:$B$5001,$A$115,Base!$C$3:$C$5001,"&lt;&gt;")=0,"",SUMIFS(Base!$C$3:$C$5001,Base!$A$3:$A$5001,U$3,Base!$B$3:$B$5001,$A$115)))</f>
        <v>7</v>
      </c>
      <c r="V115" s="25">
        <f>IF(V$3="","",IF(COUNTIFS(Base!$A$3:$A$5001,V$3,Base!$B$3:$B$5001,$A$115,Base!$C$3:$C$5001,"&lt;&gt;")=0,"",SUMIFS(Base!$C$3:$C$5001,Base!$A$3:$A$5001,V$3,Base!$B$3:$B$5001,$A$115)))</f>
        <v>4</v>
      </c>
      <c r="W115" s="25">
        <f>IF(W$3="","",IF(COUNTIFS(Base!$A$3:$A$5001,W$3,Base!$B$3:$B$5001,$A$115,Base!$C$3:$C$5001,"&lt;&gt;")=0,"",SUMIFS(Base!$C$3:$C$5001,Base!$A$3:$A$5001,W$3,Base!$B$3:$B$5001,$A$115)))</f>
        <v>4</v>
      </c>
      <c r="X115" s="25">
        <f>IF(X$3="","",IF(COUNTIFS(Base!$A$3:$A$5001,X$3,Base!$B$3:$B$5001,$A$115,Base!$C$3:$C$5001,"&lt;&gt;")=0,"",SUMIFS(Base!$C$3:$C$5001,Base!$A$3:$A$5001,X$3,Base!$B$3:$B$5001,$A$115)))</f>
        <v>3</v>
      </c>
      <c r="Y115" s="25" t="str">
        <f>IF(Y$3="","",IF(COUNTIFS(Base!$A$3:$A$5001,Y$3,Base!$B$3:$B$5001,$A$115,Base!$C$3:$C$5001,"&lt;&gt;")=0,"",SUMIFS(Base!$C$3:$C$5001,Base!$A$3:$A$5001,Y$3,Base!$B$3:$B$5001,$A$115)))</f>
        <v/>
      </c>
      <c r="Z115" s="25">
        <f>IF(Z$3="","",IF(COUNTIFS(Base!$A$3:$A$5001,Z$3,Base!$B$3:$B$5001,$A$115,Base!$C$3:$C$5001,"&lt;&gt;")=0,"",SUMIFS(Base!$C$3:$C$5001,Base!$A$3:$A$5001,Z$3,Base!$B$3:$B$5001,$A$115)))</f>
        <v>7</v>
      </c>
      <c r="AA115" s="25">
        <f>IF(AA$3="","",IF(COUNTIFS(Base!$A$3:$A$5001,AA$3,Base!$B$3:$B$5001,$A$115,Base!$C$3:$C$5001,"&lt;&gt;")=0,"",SUMIFS(Base!$C$3:$C$5001,Base!$A$3:$A$5001,AA$3,Base!$B$3:$B$5001,$A$115)))</f>
        <v>6</v>
      </c>
      <c r="AB115" s="25">
        <f>IF(AB$3="","",IF(COUNTIFS(Base!$A$3:$A$5001,AB$3,Base!$B$3:$B$5001,$A$115,Base!$C$3:$C$5001,"&lt;&gt;")=0,"",SUMIFS(Base!$C$3:$C$5001,Base!$A$3:$A$5001,AB$3,Base!$B$3:$B$5001,$A$115)))</f>
        <v>3</v>
      </c>
      <c r="AC115" s="25">
        <f>IF(AC$3="","",IF(COUNTIFS(Base!$A$3:$A$5001,AC$3,Base!$B$3:$B$5001,$A$115,Base!$C$3:$C$5001,"&lt;&gt;")=0,"",SUMIFS(Base!$C$3:$C$5001,Base!$A$3:$A$5001,AC$3,Base!$B$3:$B$5001,$A$115)))</f>
        <v>4</v>
      </c>
      <c r="AD115" s="25">
        <f>IF(AD$3="","",IF(COUNTIFS(Base!$A$3:$A$5001,AD$3,Base!$B$3:$B$5001,$A$115,Base!$C$3:$C$5001,"&lt;&gt;")=0,"",SUMIFS(Base!$C$3:$C$5001,Base!$A$3:$A$5001,AD$3,Base!$B$3:$B$5001,$A$115)))</f>
        <v>3</v>
      </c>
      <c r="AE115" s="25">
        <f>IF(AE$3="","",IF(COUNTIFS(Base!$A$3:$A$5001,AE$3,Base!$B$3:$B$5001,$A$115,Base!$C$3:$C$5001,"&lt;&gt;")=0,"",SUMIFS(Base!$C$3:$C$5001,Base!$A$3:$A$5001,AE$3,Base!$B$3:$B$5001,$A$115)))</f>
        <v>4</v>
      </c>
      <c r="AF115" s="25" t="str">
        <f>IF(AF$3="","",IF(COUNTIFS(Base!$A$3:$A$5001,AF$3,Base!$B$3:$B$5001,$A$115,Base!$C$3:$C$5001,"&lt;&gt;")=0,"",SUMIFS(Base!$C$3:$C$5001,Base!$A$3:$A$5001,AF$3,Base!$B$3:$B$5001,$A$115)))</f>
        <v/>
      </c>
      <c r="AG115" s="25">
        <f>IF(AG$3="","",IF(COUNTIFS(Base!$A$3:$A$5001,AG$3,Base!$B$3:$B$5001,$A$115,Base!$C$3:$C$5001,"&lt;&gt;")=0,"",SUMIFS(Base!$C$3:$C$5001,Base!$A$3:$A$5001,AG$3,Base!$B$3:$B$5001,$A$115)))</f>
        <v>8</v>
      </c>
      <c r="AH115" s="25">
        <f>IF(AH$3="","",IF(COUNTIFS(Base!$A$3:$A$5001,AH$3,Base!$B$3:$B$5001,$A$115,Base!$C$3:$C$5001,"&lt;&gt;")=0,"",SUMIFS(Base!$C$3:$C$5001,Base!$A$3:$A$5001,AH$3,Base!$B$3:$B$5001,$A$115)))</f>
        <v>6</v>
      </c>
      <c r="AI115" s="25" t="str">
        <f>IF(AI$3="","",IF(COUNTIFS(Base!$A$3:$A$5001,AI$3,Base!$B$3:$B$5001,$A$115,Base!$C$3:$C$5001,"&lt;&gt;")=0,"",SUMIFS(Base!$C$3:$C$5001,Base!$A$3:$A$5001,AI$3,Base!$B$3:$B$5001,$A$115)))</f>
        <v/>
      </c>
      <c r="AJ115" s="26" t="str">
        <f>IF(AJ$3="","",IF(COUNTIFS(Base!$A$3:$A$5001,AJ$3,Base!$B$3:$B$5001,$A$115,Base!$C$3:$C$5001,"&lt;&gt;")=0,"",SUMIFS(Base!$C$3:$C$5001,Base!$A$3:$A$5001,AJ$3,Base!$B$3:$B$5001,$A$115)))</f>
        <v/>
      </c>
      <c r="AK115" s="27">
        <f>IF(COUNT(F115:AJ115)=0,"",SUM(F115:AJ115))</f>
        <v>128</v>
      </c>
    </row>
    <row r="116" ht="15.75" customHeight="1">
      <c r="A116" s="118"/>
      <c r="B116" s="107"/>
      <c r="C116" s="35" t="inlineStr">
        <is>
          <t xml:space="preserve">Pallets Movimentados</t>
        </is>
      </c>
      <c r="D116" s="469" t="str">
        <f>IFERROR(1/(1/INDEX(calculos!$C$55:$K$83,MATCH("IN Pallets Movimentados",calculos!$A$55:$A$83,0),MATCH($A$115,calculos!$C$54:$K$54,0))),"")</f>
        <v/>
      </c>
      <c r="E116" s="37"/>
      <c r="F116" s="470">
        <f>IF(F$3="","",IF(COUNTIFS(Base!$A$3:$A$5001,F$3,Base!$B$3:$B$5001,$A$115,Base!$D$3:$D$5001,"&lt;&gt;")=0,"",SUMIFS(Base!$D$3:$D$5001,Base!$A$3:$A$5001,F$3,Base!$B$3:$B$5001,$A$115)))</f>
        <v>107</v>
      </c>
      <c r="G116" s="471">
        <f>IF(G$3="","",IF(COUNTIFS(Base!$A$3:$A$5001,G$3,Base!$B$3:$B$5001,$A$115,Base!$D$3:$D$5001,"&lt;&gt;")=0,"",SUMIFS(Base!$D$3:$D$5001,Base!$A$3:$A$5001,G$3,Base!$B$3:$B$5001,$A$115)))</f>
        <v>60</v>
      </c>
      <c r="H116" s="471">
        <f>IF(H$3="","",IF(COUNTIFS(Base!$A$3:$A$5001,H$3,Base!$B$3:$B$5001,$A$115,Base!$D$3:$D$5001,"&lt;&gt;")=0,"",SUMIFS(Base!$D$3:$D$5001,Base!$A$3:$A$5001,H$3,Base!$B$3:$B$5001,$A$115)))</f>
        <v>88</v>
      </c>
      <c r="I116" s="471">
        <f>IF(I$3="","",IF(COUNTIFS(Base!$A$3:$A$5001,I$3,Base!$B$3:$B$5001,$A$115,Base!$D$3:$D$5001,"&lt;&gt;")=0,"",SUMIFS(Base!$D$3:$D$5001,Base!$A$3:$A$5001,I$3,Base!$B$3:$B$5001,$A$115)))</f>
        <v>53</v>
      </c>
      <c r="J116" s="471">
        <f>IF(J$3="","",IF(COUNTIFS(Base!$A$3:$A$5001,J$3,Base!$B$3:$B$5001,$A$115,Base!$D$3:$D$5001,"&lt;&gt;")=0,"",SUMIFS(Base!$D$3:$D$5001,Base!$A$3:$A$5001,J$3,Base!$B$3:$B$5001,$A$115)))</f>
        <v>113</v>
      </c>
      <c r="K116" s="471" t="str">
        <f>IF(K$3="","",IF(COUNTIFS(Base!$A$3:$A$5001,K$3,Base!$B$3:$B$5001,$A$115,Base!$D$3:$D$5001,"&lt;&gt;")=0,"",SUMIFS(Base!$D$3:$D$5001,Base!$A$3:$A$5001,K$3,Base!$B$3:$B$5001,$A$115)))</f>
        <v/>
      </c>
      <c r="L116" s="471">
        <f>IF(L$3="","",IF(COUNTIFS(Base!$A$3:$A$5001,L$3,Base!$B$3:$B$5001,$A$115,Base!$D$3:$D$5001,"&lt;&gt;")=0,"",SUMIFS(Base!$D$3:$D$5001,Base!$A$3:$A$5001,L$3,Base!$B$3:$B$5001,$A$115)))</f>
        <v>139</v>
      </c>
      <c r="M116" s="471">
        <f>IF(M$3="","",IF(COUNTIFS(Base!$A$3:$A$5001,M$3,Base!$B$3:$B$5001,$A$115,Base!$D$3:$D$5001,"&lt;&gt;")=0,"",SUMIFS(Base!$D$3:$D$5001,Base!$A$3:$A$5001,M$3,Base!$B$3:$B$5001,$A$115)))</f>
        <v>54</v>
      </c>
      <c r="N116" s="471">
        <f>IF(N$3="","",IF(COUNTIFS(Base!$A$3:$A$5001,N$3,Base!$B$3:$B$5001,$A$115,Base!$D$3:$D$5001,"&lt;&gt;")=0,"",SUMIFS(Base!$D$3:$D$5001,Base!$A$3:$A$5001,N$3,Base!$B$3:$B$5001,$A$115)))</f>
        <v>121</v>
      </c>
      <c r="O116" s="471">
        <f>IF(O$3="","",IF(COUNTIFS(Base!$A$3:$A$5001,O$3,Base!$B$3:$B$5001,$A$115,Base!$D$3:$D$5001,"&lt;&gt;")=0,"",SUMIFS(Base!$D$3:$D$5001,Base!$A$3:$A$5001,O$3,Base!$B$3:$B$5001,$A$115)))</f>
        <v>27</v>
      </c>
      <c r="P116" s="471">
        <f>IF(P$3="","",IF(COUNTIFS(Base!$A$3:$A$5001,P$3,Base!$B$3:$B$5001,$A$115,Base!$D$3:$D$5001,"&lt;&gt;")=0,"",SUMIFS(Base!$D$3:$D$5001,Base!$A$3:$A$5001,P$3,Base!$B$3:$B$5001,$A$115)))</f>
        <v>37</v>
      </c>
      <c r="Q116" s="471">
        <f>IF(Q$3="","",IF(COUNTIFS(Base!$A$3:$A$5001,Q$3,Base!$B$3:$B$5001,$A$115,Base!$D$3:$D$5001,"&lt;&gt;")=0,"",SUMIFS(Base!$D$3:$D$5001,Base!$A$3:$A$5001,Q$3,Base!$B$3:$B$5001,$A$115)))</f>
        <v>69</v>
      </c>
      <c r="R116" s="471" t="str">
        <f>IF(R$3="","",IF(COUNTIFS(Base!$A$3:$A$5001,R$3,Base!$B$3:$B$5001,$A$115,Base!$D$3:$D$5001,"&lt;&gt;")=0,"",SUMIFS(Base!$D$3:$D$5001,Base!$A$3:$A$5001,R$3,Base!$B$3:$B$5001,$A$115)))</f>
        <v/>
      </c>
      <c r="S116" s="471">
        <f>IF(S$3="","",IF(COUNTIFS(Base!$A$3:$A$5001,S$3,Base!$B$3:$B$5001,$A$115,Base!$D$3:$D$5001,"&lt;&gt;")=0,"",SUMIFS(Base!$D$3:$D$5001,Base!$A$3:$A$5001,S$3,Base!$B$3:$B$5001,$A$115)))</f>
        <v>51</v>
      </c>
      <c r="T116" s="471">
        <f>IF(T$3="","",IF(COUNTIFS(Base!$A$3:$A$5001,T$3,Base!$B$3:$B$5001,$A$115,Base!$D$3:$D$5001,"&lt;&gt;")=0,"",SUMIFS(Base!$D$3:$D$5001,Base!$A$3:$A$5001,T$3,Base!$B$3:$B$5001,$A$115)))</f>
        <v>98</v>
      </c>
      <c r="U116" s="471">
        <f>IF(U$3="","",IF(COUNTIFS(Base!$A$3:$A$5001,U$3,Base!$B$3:$B$5001,$A$115,Base!$D$3:$D$5001,"&lt;&gt;")=0,"",SUMIFS(Base!$D$3:$D$5001,Base!$A$3:$A$5001,U$3,Base!$B$3:$B$5001,$A$115)))</f>
        <v>98</v>
      </c>
      <c r="V116" s="471">
        <f>IF(V$3="","",IF(COUNTIFS(Base!$A$3:$A$5001,V$3,Base!$B$3:$B$5001,$A$115,Base!$D$3:$D$5001,"&lt;&gt;")=0,"",SUMIFS(Base!$D$3:$D$5001,Base!$A$3:$A$5001,V$3,Base!$B$3:$B$5001,$A$115)))</f>
        <v>25</v>
      </c>
      <c r="W116" s="471">
        <f>IF(W$3="","",IF(COUNTIFS(Base!$A$3:$A$5001,W$3,Base!$B$3:$B$5001,$A$115,Base!$D$3:$D$5001,"&lt;&gt;")=0,"",SUMIFS(Base!$D$3:$D$5001,Base!$A$3:$A$5001,W$3,Base!$B$3:$B$5001,$A$115)))</f>
        <v>29</v>
      </c>
      <c r="X116" s="471">
        <f>IF(X$3="","",IF(COUNTIFS(Base!$A$3:$A$5001,X$3,Base!$B$3:$B$5001,$A$115,Base!$D$3:$D$5001,"&lt;&gt;")=0,"",SUMIFS(Base!$D$3:$D$5001,Base!$A$3:$A$5001,X$3,Base!$B$3:$B$5001,$A$115)))</f>
        <v>32</v>
      </c>
      <c r="Y116" s="471" t="str">
        <f>IF(Y$3="","",IF(COUNTIFS(Base!$A$3:$A$5001,Y$3,Base!$B$3:$B$5001,$A$115,Base!$D$3:$D$5001,"&lt;&gt;")=0,"",SUMIFS(Base!$D$3:$D$5001,Base!$A$3:$A$5001,Y$3,Base!$B$3:$B$5001,$A$115)))</f>
        <v/>
      </c>
      <c r="Z116" s="471">
        <f>IF(Z$3="","",IF(COUNTIFS(Base!$A$3:$A$5001,Z$3,Base!$B$3:$B$5001,$A$115,Base!$D$3:$D$5001,"&lt;&gt;")=0,"",SUMIFS(Base!$D$3:$D$5001,Base!$A$3:$A$5001,Z$3,Base!$B$3:$B$5001,$A$115)))</f>
        <v>97</v>
      </c>
      <c r="AA116" s="471">
        <f>IF(AA$3="","",IF(COUNTIFS(Base!$A$3:$A$5001,AA$3,Base!$B$3:$B$5001,$A$115,Base!$D$3:$D$5001,"&lt;&gt;")=0,"",SUMIFS(Base!$D$3:$D$5001,Base!$A$3:$A$5001,AA$3,Base!$B$3:$B$5001,$A$115)))</f>
        <v>32</v>
      </c>
      <c r="AB116" s="471">
        <f>IF(AB$3="","",IF(COUNTIFS(Base!$A$3:$A$5001,AB$3,Base!$B$3:$B$5001,$A$115,Base!$D$3:$D$5001,"&lt;&gt;")=0,"",SUMIFS(Base!$D$3:$D$5001,Base!$A$3:$A$5001,AB$3,Base!$B$3:$B$5001,$A$115)))</f>
        <v>122</v>
      </c>
      <c r="AC116" s="471">
        <f>IF(AC$3="","",IF(COUNTIFS(Base!$A$3:$A$5001,AC$3,Base!$B$3:$B$5001,$A$115,Base!$D$3:$D$5001,"&lt;&gt;")=0,"",SUMIFS(Base!$D$3:$D$5001,Base!$A$3:$A$5001,AC$3,Base!$B$3:$B$5001,$A$115)))</f>
        <v>107</v>
      </c>
      <c r="AD116" s="471">
        <f>IF(AD$3="","",IF(COUNTIFS(Base!$A$3:$A$5001,AD$3,Base!$B$3:$B$5001,$A$115,Base!$D$3:$D$5001,"&lt;&gt;")=0,"",SUMIFS(Base!$D$3:$D$5001,Base!$A$3:$A$5001,AD$3,Base!$B$3:$B$5001,$A$115)))</f>
        <v>133</v>
      </c>
      <c r="AE116" s="471">
        <f>IF(AE$3="","",IF(COUNTIFS(Base!$A$3:$A$5001,AE$3,Base!$B$3:$B$5001,$A$115,Base!$D$3:$D$5001,"&lt;&gt;")=0,"",SUMIFS(Base!$D$3:$D$5001,Base!$A$3:$A$5001,AE$3,Base!$B$3:$B$5001,$A$115)))</f>
        <v>62</v>
      </c>
      <c r="AF116" s="471" t="str">
        <f>IF(AF$3="","",IF(COUNTIFS(Base!$A$3:$A$5001,AF$3,Base!$B$3:$B$5001,$A$115,Base!$D$3:$D$5001,"&lt;&gt;")=0,"",SUMIFS(Base!$D$3:$D$5001,Base!$A$3:$A$5001,AF$3,Base!$B$3:$B$5001,$A$115)))</f>
        <v/>
      </c>
      <c r="AG116" s="471">
        <f>IF(AG$3="","",IF(COUNTIFS(Base!$A$3:$A$5001,AG$3,Base!$B$3:$B$5001,$A$115,Base!$D$3:$D$5001,"&lt;&gt;")=0,"",SUMIFS(Base!$D$3:$D$5001,Base!$A$3:$A$5001,AG$3,Base!$B$3:$B$5001,$A$115)))</f>
        <v>110</v>
      </c>
      <c r="AH116" s="471">
        <f>IF(AH$3="","",IF(COUNTIFS(Base!$A$3:$A$5001,AH$3,Base!$B$3:$B$5001,$A$115,Base!$D$3:$D$5001,"&lt;&gt;")=0,"",SUMIFS(Base!$D$3:$D$5001,Base!$A$3:$A$5001,AH$3,Base!$B$3:$B$5001,$A$115)))</f>
        <v>124</v>
      </c>
      <c r="AI116" s="471" t="str">
        <f>IF(AI$3="","",IF(COUNTIFS(Base!$A$3:$A$5001,AI$3,Base!$B$3:$B$5001,$A$115,Base!$D$3:$D$5001,"&lt;&gt;")=0,"",SUMIFS(Base!$D$3:$D$5001,Base!$A$3:$A$5001,AI$3,Base!$B$3:$B$5001,$A$115)))</f>
        <v/>
      </c>
      <c r="AJ116" s="472" t="str">
        <f>IF(AJ$3="","",IF(COUNTIFS(Base!$A$3:$A$5001,AJ$3,Base!$B$3:$B$5001,$A$115,Base!$D$3:$D$5001,"&lt;&gt;")=0,"",SUMIFS(Base!$D$3:$D$5001,Base!$A$3:$A$5001,AJ$3,Base!$B$3:$B$5001,$A$115)))</f>
        <v/>
      </c>
      <c r="AK116" s="469">
        <f>IF(COUNT(F116:AJ116)=0,"",SUM(F116:AJ116))</f>
        <v>1988</v>
      </c>
    </row>
    <row r="117" ht="15.75" customHeight="1">
      <c r="A117" s="118"/>
      <c r="B117" s="108" t="inlineStr">
        <is>
          <t xml:space="preserve">OUT</t>
        </is>
      </c>
      <c r="C117" s="41" t="inlineStr">
        <is>
          <t xml:space="preserve">Veículos Expedidos</t>
        </is>
      </c>
      <c r="D117" s="42" t="str">
        <f>IFERROR(1/(1/INDEX(calculos!$C$55:$K$83,MATCH("OUT Veículos Expedidos",calculos!$A$55:$A$83,0),MATCH($A$115,calculos!$C$54:$K$54,0))),"")</f>
        <v/>
      </c>
      <c r="E117" s="43"/>
      <c r="F117" s="44">
        <f>IF(F$3="","",IF(COUNTIFS(Base!$A$3:$A$5001,F$3,Base!$B$3:$B$5001,$A$115,Base!$L$3:$L$5001,"&lt;&gt;")=0,"",SUMIFS(Base!$L$3:$L$5001,Base!$A$3:$A$5001,F$3,Base!$B$3:$B$5001,$A$115)))</f>
        <v>6</v>
      </c>
      <c r="G117" s="45">
        <f>IF(G$3="","",IF(COUNTIFS(Base!$A$3:$A$5001,G$3,Base!$B$3:$B$5001,$A$115,Base!$L$3:$L$5001,"&lt;&gt;")=0,"",SUMIFS(Base!$L$3:$L$5001,Base!$A$3:$A$5001,G$3,Base!$B$3:$B$5001,$A$115)))</f>
        <v>4</v>
      </c>
      <c r="H117" s="45">
        <f>IF(H$3="","",IF(COUNTIFS(Base!$A$3:$A$5001,H$3,Base!$B$3:$B$5001,$A$115,Base!$L$3:$L$5001,"&lt;&gt;")=0,"",SUMIFS(Base!$L$3:$L$5001,Base!$A$3:$A$5001,H$3,Base!$B$3:$B$5001,$A$115)))</f>
        <v>2</v>
      </c>
      <c r="I117" s="45">
        <f>IF(I$3="","",IF(COUNTIFS(Base!$A$3:$A$5001,I$3,Base!$B$3:$B$5001,$A$115,Base!$L$3:$L$5001,"&lt;&gt;")=0,"",SUMIFS(Base!$L$3:$L$5001,Base!$A$3:$A$5001,I$3,Base!$B$3:$B$5001,$A$115)))</f>
        <v>10</v>
      </c>
      <c r="J117" s="45">
        <f>IF(J$3="","",IF(COUNTIFS(Base!$A$3:$A$5001,J$3,Base!$B$3:$B$5001,$A$115,Base!$L$3:$L$5001,"&lt;&gt;")=0,"",SUMIFS(Base!$L$3:$L$5001,Base!$A$3:$A$5001,J$3,Base!$B$3:$B$5001,$A$115)))</f>
        <v>4</v>
      </c>
      <c r="K117" s="45" t="str">
        <f>IF(K$3="","",IF(COUNTIFS(Base!$A$3:$A$5001,K$3,Base!$B$3:$B$5001,$A$115,Base!$L$3:$L$5001,"&lt;&gt;")=0,"",SUMIFS(Base!$L$3:$L$5001,Base!$A$3:$A$5001,K$3,Base!$B$3:$B$5001,$A$115)))</f>
        <v/>
      </c>
      <c r="L117" s="45">
        <f>IF(L$3="","",IF(COUNTIFS(Base!$A$3:$A$5001,L$3,Base!$B$3:$B$5001,$A$115,Base!$L$3:$L$5001,"&lt;&gt;")=0,"",SUMIFS(Base!$L$3:$L$5001,Base!$A$3:$A$5001,L$3,Base!$B$3:$B$5001,$A$115)))</f>
        <v>9</v>
      </c>
      <c r="M117" s="45">
        <f>IF(M$3="","",IF(COUNTIFS(Base!$A$3:$A$5001,M$3,Base!$B$3:$B$5001,$A$115,Base!$L$3:$L$5001,"&lt;&gt;")=0,"",SUMIFS(Base!$L$3:$L$5001,Base!$A$3:$A$5001,M$3,Base!$B$3:$B$5001,$A$115)))</f>
        <v>7</v>
      </c>
      <c r="N117" s="45">
        <f>IF(N$3="","",IF(COUNTIFS(Base!$A$3:$A$5001,N$3,Base!$B$3:$B$5001,$A$115,Base!$L$3:$L$5001,"&lt;&gt;")=0,"",SUMIFS(Base!$L$3:$L$5001,Base!$A$3:$A$5001,N$3,Base!$B$3:$B$5001,$A$115)))</f>
        <v>5</v>
      </c>
      <c r="O117" s="45">
        <f>IF(O$3="","",IF(COUNTIFS(Base!$A$3:$A$5001,O$3,Base!$B$3:$B$5001,$A$115,Base!$L$3:$L$5001,"&lt;&gt;")=0,"",SUMIFS(Base!$L$3:$L$5001,Base!$A$3:$A$5001,O$3,Base!$B$3:$B$5001,$A$115)))</f>
        <v>10</v>
      </c>
      <c r="P117" s="45">
        <f>IF(P$3="","",IF(COUNTIFS(Base!$A$3:$A$5001,P$3,Base!$B$3:$B$5001,$A$115,Base!$L$3:$L$5001,"&lt;&gt;")=0,"",SUMIFS(Base!$L$3:$L$5001,Base!$A$3:$A$5001,P$3,Base!$B$3:$B$5001,$A$115)))</f>
        <v>4</v>
      </c>
      <c r="Q117" s="45">
        <f>IF(Q$3="","",IF(COUNTIFS(Base!$A$3:$A$5001,Q$3,Base!$B$3:$B$5001,$A$115,Base!$L$3:$L$5001,"&lt;&gt;")=0,"",SUMIFS(Base!$L$3:$L$5001,Base!$A$3:$A$5001,Q$3,Base!$B$3:$B$5001,$A$115)))</f>
        <v>9</v>
      </c>
      <c r="R117" s="45" t="str">
        <f>IF(R$3="","",IF(COUNTIFS(Base!$A$3:$A$5001,R$3,Base!$B$3:$B$5001,$A$115,Base!$L$3:$L$5001,"&lt;&gt;")=0,"",SUMIFS(Base!$L$3:$L$5001,Base!$A$3:$A$5001,R$3,Base!$B$3:$B$5001,$A$115)))</f>
        <v/>
      </c>
      <c r="S117" s="45">
        <f>IF(S$3="","",IF(COUNTIFS(Base!$A$3:$A$5001,S$3,Base!$B$3:$B$5001,$A$115,Base!$L$3:$L$5001,"&lt;&gt;")=0,"",SUMIFS(Base!$L$3:$L$5001,Base!$A$3:$A$5001,S$3,Base!$B$3:$B$5001,$A$115)))</f>
        <v>4</v>
      </c>
      <c r="T117" s="45">
        <f>IF(T$3="","",IF(COUNTIFS(Base!$A$3:$A$5001,T$3,Base!$B$3:$B$5001,$A$115,Base!$L$3:$L$5001,"&lt;&gt;")=0,"",SUMIFS(Base!$L$3:$L$5001,Base!$A$3:$A$5001,T$3,Base!$B$3:$B$5001,$A$115)))</f>
        <v>6</v>
      </c>
      <c r="U117" s="45">
        <f>IF(U$3="","",IF(COUNTIFS(Base!$A$3:$A$5001,U$3,Base!$B$3:$B$5001,$A$115,Base!$L$3:$L$5001,"&lt;&gt;")=0,"",SUMIFS(Base!$L$3:$L$5001,Base!$A$3:$A$5001,U$3,Base!$B$3:$B$5001,$A$115)))</f>
        <v>11</v>
      </c>
      <c r="V117" s="45">
        <f>IF(V$3="","",IF(COUNTIFS(Base!$A$3:$A$5001,V$3,Base!$B$3:$B$5001,$A$115,Base!$L$3:$L$5001,"&lt;&gt;")=0,"",SUMIFS(Base!$L$3:$L$5001,Base!$A$3:$A$5001,V$3,Base!$B$3:$B$5001,$A$115)))</f>
        <v>9</v>
      </c>
      <c r="W117" s="45">
        <f>IF(W$3="","",IF(COUNTIFS(Base!$A$3:$A$5001,W$3,Base!$B$3:$B$5001,$A$115,Base!$L$3:$L$5001,"&lt;&gt;")=0,"",SUMIFS(Base!$L$3:$L$5001,Base!$A$3:$A$5001,W$3,Base!$B$3:$B$5001,$A$115)))</f>
        <v>2</v>
      </c>
      <c r="X117" s="45">
        <f>IF(X$3="","",IF(COUNTIFS(Base!$A$3:$A$5001,X$3,Base!$B$3:$B$5001,$A$115,Base!$L$3:$L$5001,"&lt;&gt;")=0,"",SUMIFS(Base!$L$3:$L$5001,Base!$A$3:$A$5001,X$3,Base!$B$3:$B$5001,$A$115)))</f>
        <v>6</v>
      </c>
      <c r="Y117" s="45" t="str">
        <f>IF(Y$3="","",IF(COUNTIFS(Base!$A$3:$A$5001,Y$3,Base!$B$3:$B$5001,$A$115,Base!$L$3:$L$5001,"&lt;&gt;")=0,"",SUMIFS(Base!$L$3:$L$5001,Base!$A$3:$A$5001,Y$3,Base!$B$3:$B$5001,$A$115)))</f>
        <v/>
      </c>
      <c r="Z117" s="45">
        <f>IF(Z$3="","",IF(COUNTIFS(Base!$A$3:$A$5001,Z$3,Base!$B$3:$B$5001,$A$115,Base!$L$3:$L$5001,"&lt;&gt;")=0,"",SUMIFS(Base!$L$3:$L$5001,Base!$A$3:$A$5001,Z$3,Base!$B$3:$B$5001,$A$115)))</f>
        <v>8</v>
      </c>
      <c r="AA117" s="45">
        <f>IF(AA$3="","",IF(COUNTIFS(Base!$A$3:$A$5001,AA$3,Base!$B$3:$B$5001,$A$115,Base!$L$3:$L$5001,"&lt;&gt;")=0,"",SUMIFS(Base!$L$3:$L$5001,Base!$A$3:$A$5001,AA$3,Base!$B$3:$B$5001,$A$115)))</f>
        <v>6</v>
      </c>
      <c r="AB117" s="45">
        <f>IF(AB$3="","",IF(COUNTIFS(Base!$A$3:$A$5001,AB$3,Base!$B$3:$B$5001,$A$115,Base!$L$3:$L$5001,"&lt;&gt;")=0,"",SUMIFS(Base!$L$3:$L$5001,Base!$A$3:$A$5001,AB$3,Base!$B$3:$B$5001,$A$115)))</f>
        <v>5</v>
      </c>
      <c r="AC117" s="45">
        <f>IF(AC$3="","",IF(COUNTIFS(Base!$A$3:$A$5001,AC$3,Base!$B$3:$B$5001,$A$115,Base!$L$3:$L$5001,"&lt;&gt;")=0,"",SUMIFS(Base!$L$3:$L$5001,Base!$A$3:$A$5001,AC$3,Base!$B$3:$B$5001,$A$115)))</f>
        <v>2</v>
      </c>
      <c r="AD117" s="45">
        <f>IF(AD$3="","",IF(COUNTIFS(Base!$A$3:$A$5001,AD$3,Base!$B$3:$B$5001,$A$115,Base!$L$3:$L$5001,"&lt;&gt;")=0,"",SUMIFS(Base!$L$3:$L$5001,Base!$A$3:$A$5001,AD$3,Base!$B$3:$B$5001,$A$115)))</f>
        <v>7</v>
      </c>
      <c r="AE117" s="45">
        <f>IF(AE$3="","",IF(COUNTIFS(Base!$A$3:$A$5001,AE$3,Base!$B$3:$B$5001,$A$115,Base!$L$3:$L$5001,"&lt;&gt;")=0,"",SUMIFS(Base!$L$3:$L$5001,Base!$A$3:$A$5001,AE$3,Base!$B$3:$B$5001,$A$115)))</f>
        <v>7</v>
      </c>
      <c r="AF117" s="45" t="str">
        <f>IF(AF$3="","",IF(COUNTIFS(Base!$A$3:$A$5001,AF$3,Base!$B$3:$B$5001,$A$115,Base!$L$3:$L$5001,"&lt;&gt;")=0,"",SUMIFS(Base!$L$3:$L$5001,Base!$A$3:$A$5001,AF$3,Base!$B$3:$B$5001,$A$115)))</f>
        <v/>
      </c>
      <c r="AG117" s="45">
        <f>IF(AG$3="","",IF(COUNTIFS(Base!$A$3:$A$5001,AG$3,Base!$B$3:$B$5001,$A$115,Base!$L$3:$L$5001,"&lt;&gt;")=0,"",SUMIFS(Base!$L$3:$L$5001,Base!$A$3:$A$5001,AG$3,Base!$B$3:$B$5001,$A$115)))</f>
        <v>8</v>
      </c>
      <c r="AH117" s="45">
        <f>IF(AH$3="","",IF(COUNTIFS(Base!$A$3:$A$5001,AH$3,Base!$B$3:$B$5001,$A$115,Base!$L$3:$L$5001,"&lt;&gt;")=0,"",SUMIFS(Base!$L$3:$L$5001,Base!$A$3:$A$5001,AH$3,Base!$B$3:$B$5001,$A$115)))</f>
        <v>3</v>
      </c>
      <c r="AI117" s="45" t="str">
        <f>IF(AI$3="","",IF(COUNTIFS(Base!$A$3:$A$5001,AI$3,Base!$B$3:$B$5001,$A$115,Base!$L$3:$L$5001,"&lt;&gt;")=0,"",SUMIFS(Base!$L$3:$L$5001,Base!$A$3:$A$5001,AI$3,Base!$B$3:$B$5001,$A$115)))</f>
        <v/>
      </c>
      <c r="AJ117" s="46" t="str">
        <f>IF(AJ$3="","",IF(COUNTIFS(Base!$A$3:$A$5001,AJ$3,Base!$B$3:$B$5001,$A$115,Base!$L$3:$L$5001,"&lt;&gt;")=0,"",SUMIFS(Base!$L$3:$L$5001,Base!$A$3:$A$5001,AJ$3,Base!$B$3:$B$5001,$A$115)))</f>
        <v/>
      </c>
      <c r="AK117" s="47">
        <f>IF(COUNT(F117:AJ117)=0,"",SUM(F117:AJ117))</f>
        <v>154</v>
      </c>
    </row>
    <row r="118" ht="15.75" customHeight="1">
      <c r="A118" s="118"/>
      <c r="B118" s="110"/>
      <c r="C118" s="55" t="inlineStr">
        <is>
          <t xml:space="preserve">Pallets Movimentados</t>
        </is>
      </c>
      <c r="D118" s="473" t="str">
        <f>IFERROR(1/(1/INDEX(calculos!$C$55:$K$83,MATCH("OUT Pallets Movimentados",calculos!$A$55:$A$83,0),MATCH($A$115,calculos!$C$54:$K$54,0))),"")</f>
        <v/>
      </c>
      <c r="E118" s="57"/>
      <c r="F118" s="474">
        <f>IF(F$3="","",IF(COUNTIFS(Base!$A$3:$A$5001,F$3,Base!$B$3:$B$5001,$A$115,Base!$M$3:$M$5001,"&lt;&gt;")=0,"",SUMIFS(Base!$M$3:$M$5001,Base!$A$3:$A$5001,F$3,Base!$B$3:$B$5001,$A$115)))</f>
        <v>154</v>
      </c>
      <c r="G118" s="475">
        <f>IF(G$3="","",IF(COUNTIFS(Base!$A$3:$A$5001,G$3,Base!$B$3:$B$5001,$A$115,Base!$M$3:$M$5001,"&lt;&gt;")=0,"",SUMIFS(Base!$M$3:$M$5001,Base!$A$3:$A$5001,G$3,Base!$B$3:$B$5001,$A$115)))</f>
        <v>115</v>
      </c>
      <c r="H118" s="475">
        <f>IF(H$3="","",IF(COUNTIFS(Base!$A$3:$A$5001,H$3,Base!$B$3:$B$5001,$A$115,Base!$M$3:$M$5001,"&lt;&gt;")=0,"",SUMIFS(Base!$M$3:$M$5001,Base!$A$3:$A$5001,H$3,Base!$B$3:$B$5001,$A$115)))</f>
        <v>67</v>
      </c>
      <c r="I118" s="475">
        <f>IF(I$3="","",IF(COUNTIFS(Base!$A$3:$A$5001,I$3,Base!$B$3:$B$5001,$A$115,Base!$M$3:$M$5001,"&lt;&gt;")=0,"",SUMIFS(Base!$M$3:$M$5001,Base!$A$3:$A$5001,I$3,Base!$B$3:$B$5001,$A$115)))</f>
        <v>157</v>
      </c>
      <c r="J118" s="475">
        <f>IF(J$3="","",IF(COUNTIFS(Base!$A$3:$A$5001,J$3,Base!$B$3:$B$5001,$A$115,Base!$M$3:$M$5001,"&lt;&gt;")=0,"",SUMIFS(Base!$M$3:$M$5001,Base!$A$3:$A$5001,J$3,Base!$B$3:$B$5001,$A$115)))</f>
        <v>21</v>
      </c>
      <c r="K118" s="475" t="str">
        <f>IF(K$3="","",IF(COUNTIFS(Base!$A$3:$A$5001,K$3,Base!$B$3:$B$5001,$A$115,Base!$M$3:$M$5001,"&lt;&gt;")=0,"",SUMIFS(Base!$M$3:$M$5001,Base!$A$3:$A$5001,K$3,Base!$B$3:$B$5001,$A$115)))</f>
        <v/>
      </c>
      <c r="L118" s="475">
        <f>IF(L$3="","",IF(COUNTIFS(Base!$A$3:$A$5001,L$3,Base!$B$3:$B$5001,$A$115,Base!$M$3:$M$5001,"&lt;&gt;")=0,"",SUMIFS(Base!$M$3:$M$5001,Base!$A$3:$A$5001,L$3,Base!$B$3:$B$5001,$A$115)))</f>
        <v>114</v>
      </c>
      <c r="M118" s="475">
        <f>IF(M$3="","",IF(COUNTIFS(Base!$A$3:$A$5001,M$3,Base!$B$3:$B$5001,$A$115,Base!$M$3:$M$5001,"&lt;&gt;")=0,"",SUMIFS(Base!$M$3:$M$5001,Base!$A$3:$A$5001,M$3,Base!$B$3:$B$5001,$A$115)))</f>
        <v>127</v>
      </c>
      <c r="N118" s="475">
        <f>IF(N$3="","",IF(COUNTIFS(Base!$A$3:$A$5001,N$3,Base!$B$3:$B$5001,$A$115,Base!$M$3:$M$5001,"&lt;&gt;")=0,"",SUMIFS(Base!$M$3:$M$5001,Base!$A$3:$A$5001,N$3,Base!$B$3:$B$5001,$A$115)))</f>
        <v>27</v>
      </c>
      <c r="O118" s="475">
        <f>IF(O$3="","",IF(COUNTIFS(Base!$A$3:$A$5001,O$3,Base!$B$3:$B$5001,$A$115,Base!$M$3:$M$5001,"&lt;&gt;")=0,"",SUMIFS(Base!$M$3:$M$5001,Base!$A$3:$A$5001,O$3,Base!$B$3:$B$5001,$A$115)))</f>
        <v>109</v>
      </c>
      <c r="P118" s="475">
        <f>IF(P$3="","",IF(COUNTIFS(Base!$A$3:$A$5001,P$3,Base!$B$3:$B$5001,$A$115,Base!$M$3:$M$5001,"&lt;&gt;")=0,"",SUMIFS(Base!$M$3:$M$5001,Base!$A$3:$A$5001,P$3,Base!$B$3:$B$5001,$A$115)))</f>
        <v>78</v>
      </c>
      <c r="Q118" s="475">
        <f>IF(Q$3="","",IF(COUNTIFS(Base!$A$3:$A$5001,Q$3,Base!$B$3:$B$5001,$A$115,Base!$M$3:$M$5001,"&lt;&gt;")=0,"",SUMIFS(Base!$M$3:$M$5001,Base!$A$3:$A$5001,Q$3,Base!$B$3:$B$5001,$A$115)))</f>
        <v>28</v>
      </c>
      <c r="R118" s="475" t="str">
        <f>IF(R$3="","",IF(COUNTIFS(Base!$A$3:$A$5001,R$3,Base!$B$3:$B$5001,$A$115,Base!$M$3:$M$5001,"&lt;&gt;")=0,"",SUMIFS(Base!$M$3:$M$5001,Base!$A$3:$A$5001,R$3,Base!$B$3:$B$5001,$A$115)))</f>
        <v/>
      </c>
      <c r="S118" s="475">
        <f>IF(S$3="","",IF(COUNTIFS(Base!$A$3:$A$5001,S$3,Base!$B$3:$B$5001,$A$115,Base!$M$3:$M$5001,"&lt;&gt;")=0,"",SUMIFS(Base!$M$3:$M$5001,Base!$A$3:$A$5001,S$3,Base!$B$3:$B$5001,$A$115)))</f>
        <v>28</v>
      </c>
      <c r="T118" s="475">
        <f>IF(T$3="","",IF(COUNTIFS(Base!$A$3:$A$5001,T$3,Base!$B$3:$B$5001,$A$115,Base!$M$3:$M$5001,"&lt;&gt;")=0,"",SUMIFS(Base!$M$3:$M$5001,Base!$A$3:$A$5001,T$3,Base!$B$3:$B$5001,$A$115)))</f>
        <v>96</v>
      </c>
      <c r="U118" s="475">
        <f>IF(U$3="","",IF(COUNTIFS(Base!$A$3:$A$5001,U$3,Base!$B$3:$B$5001,$A$115,Base!$M$3:$M$5001,"&lt;&gt;")=0,"",SUMIFS(Base!$M$3:$M$5001,Base!$A$3:$A$5001,U$3,Base!$B$3:$B$5001,$A$115)))</f>
        <v>81</v>
      </c>
      <c r="V118" s="475">
        <f>IF(V$3="","",IF(COUNTIFS(Base!$A$3:$A$5001,V$3,Base!$B$3:$B$5001,$A$115,Base!$M$3:$M$5001,"&lt;&gt;")=0,"",SUMIFS(Base!$M$3:$M$5001,Base!$A$3:$A$5001,V$3,Base!$B$3:$B$5001,$A$115)))</f>
        <v>133</v>
      </c>
      <c r="W118" s="475">
        <f>IF(W$3="","",IF(COUNTIFS(Base!$A$3:$A$5001,W$3,Base!$B$3:$B$5001,$A$115,Base!$M$3:$M$5001,"&lt;&gt;")=0,"",SUMIFS(Base!$M$3:$M$5001,Base!$A$3:$A$5001,W$3,Base!$B$3:$B$5001,$A$115)))</f>
        <v>107</v>
      </c>
      <c r="X118" s="475">
        <f>IF(X$3="","",IF(COUNTIFS(Base!$A$3:$A$5001,X$3,Base!$B$3:$B$5001,$A$115,Base!$M$3:$M$5001,"&lt;&gt;")=0,"",SUMIFS(Base!$M$3:$M$5001,Base!$A$3:$A$5001,X$3,Base!$B$3:$B$5001,$A$115)))</f>
        <v>55</v>
      </c>
      <c r="Y118" s="475" t="str">
        <f>IF(Y$3="","",IF(COUNTIFS(Base!$A$3:$A$5001,Y$3,Base!$B$3:$B$5001,$A$115,Base!$M$3:$M$5001,"&lt;&gt;")=0,"",SUMIFS(Base!$M$3:$M$5001,Base!$A$3:$A$5001,Y$3,Base!$B$3:$B$5001,$A$115)))</f>
        <v/>
      </c>
      <c r="Z118" s="475">
        <f>IF(Z$3="","",IF(COUNTIFS(Base!$A$3:$A$5001,Z$3,Base!$B$3:$B$5001,$A$115,Base!$M$3:$M$5001,"&lt;&gt;")=0,"",SUMIFS(Base!$M$3:$M$5001,Base!$A$3:$A$5001,Z$3,Base!$B$3:$B$5001,$A$115)))</f>
        <v>29</v>
      </c>
      <c r="AA118" s="475">
        <f>IF(AA$3="","",IF(COUNTIFS(Base!$A$3:$A$5001,AA$3,Base!$B$3:$B$5001,$A$115,Base!$M$3:$M$5001,"&lt;&gt;")=0,"",SUMIFS(Base!$M$3:$M$5001,Base!$A$3:$A$5001,AA$3,Base!$B$3:$B$5001,$A$115)))</f>
        <v>49</v>
      </c>
      <c r="AB118" s="475">
        <f>IF(AB$3="","",IF(COUNTIFS(Base!$A$3:$A$5001,AB$3,Base!$B$3:$B$5001,$A$115,Base!$M$3:$M$5001,"&lt;&gt;")=0,"",SUMIFS(Base!$M$3:$M$5001,Base!$A$3:$A$5001,AB$3,Base!$B$3:$B$5001,$A$115)))</f>
        <v>146</v>
      </c>
      <c r="AC118" s="475">
        <f>IF(AC$3="","",IF(COUNTIFS(Base!$A$3:$A$5001,AC$3,Base!$B$3:$B$5001,$A$115,Base!$M$3:$M$5001,"&lt;&gt;")=0,"",SUMIFS(Base!$M$3:$M$5001,Base!$A$3:$A$5001,AC$3,Base!$B$3:$B$5001,$A$115)))</f>
        <v>36</v>
      </c>
      <c r="AD118" s="475">
        <f>IF(AD$3="","",IF(COUNTIFS(Base!$A$3:$A$5001,AD$3,Base!$B$3:$B$5001,$A$115,Base!$M$3:$M$5001,"&lt;&gt;")=0,"",SUMIFS(Base!$M$3:$M$5001,Base!$A$3:$A$5001,AD$3,Base!$B$3:$B$5001,$A$115)))</f>
        <v>73</v>
      </c>
      <c r="AE118" s="475">
        <f>IF(AE$3="","",IF(COUNTIFS(Base!$A$3:$A$5001,AE$3,Base!$B$3:$B$5001,$A$115,Base!$M$3:$M$5001,"&lt;&gt;")=0,"",SUMIFS(Base!$M$3:$M$5001,Base!$A$3:$A$5001,AE$3,Base!$B$3:$B$5001,$A$115)))</f>
        <v>66</v>
      </c>
      <c r="AF118" s="475" t="str">
        <f>IF(AF$3="","",IF(COUNTIFS(Base!$A$3:$A$5001,AF$3,Base!$B$3:$B$5001,$A$115,Base!$M$3:$M$5001,"&lt;&gt;")=0,"",SUMIFS(Base!$M$3:$M$5001,Base!$A$3:$A$5001,AF$3,Base!$B$3:$B$5001,$A$115)))</f>
        <v/>
      </c>
      <c r="AG118" s="475">
        <f>IF(AG$3="","",IF(COUNTIFS(Base!$A$3:$A$5001,AG$3,Base!$B$3:$B$5001,$A$115,Base!$M$3:$M$5001,"&lt;&gt;")=0,"",SUMIFS(Base!$M$3:$M$5001,Base!$A$3:$A$5001,AG$3,Base!$B$3:$B$5001,$A$115)))</f>
        <v>102</v>
      </c>
      <c r="AH118" s="475">
        <f>IF(AH$3="","",IF(COUNTIFS(Base!$A$3:$A$5001,AH$3,Base!$B$3:$B$5001,$A$115,Base!$M$3:$M$5001,"&lt;&gt;")=0,"",SUMIFS(Base!$M$3:$M$5001,Base!$A$3:$A$5001,AH$3,Base!$B$3:$B$5001,$A$115)))</f>
        <v>154</v>
      </c>
      <c r="AI118" s="475" t="str">
        <f>IF(AI$3="","",IF(COUNTIFS(Base!$A$3:$A$5001,AI$3,Base!$B$3:$B$5001,$A$115,Base!$M$3:$M$5001,"&lt;&gt;")=0,"",SUMIFS(Base!$M$3:$M$5001,Base!$A$3:$A$5001,AI$3,Base!$B$3:$B$5001,$A$115)))</f>
        <v/>
      </c>
      <c r="AJ118" s="476" t="str">
        <f>IF(AJ$3="","",IF(COUNTIFS(Base!$A$3:$A$5001,AJ$3,Base!$B$3:$B$5001,$A$115,Base!$M$3:$M$5001,"&lt;&gt;")=0,"",SUMIFS(Base!$M$3:$M$5001,Base!$A$3:$A$5001,AJ$3,Base!$B$3:$B$5001,$A$115)))</f>
        <v/>
      </c>
      <c r="AK118" s="473">
        <f>IF(COUNT(F118:AJ118)=0,"",SUM(F118:AJ118))</f>
        <v>2152</v>
      </c>
    </row>
    <row r="119" ht="15.75" customHeight="1">
      <c r="A119" s="118"/>
      <c r="B119" s="111" t="inlineStr">
        <is>
          <t xml:space="preserve">NC</t>
        </is>
      </c>
      <c r="C119" s="61" t="inlineStr">
        <is>
          <t xml:space="preserve">Incidentes</t>
        </is>
      </c>
      <c r="D119" s="62" t="str">
        <f>IFERROR(1/(1/INDEX(calculos!$C$55:$K$83,MATCH("NC Incidentes",calculos!$A$55:$A$83,0),MATCH($A$115,calculos!$C$54:$K$54,0))),"")</f>
        <v/>
      </c>
      <c r="E119" s="63"/>
      <c r="F119" s="64">
        <f>IF(F$3="","",IF(COUNTIFS(Base!$A$3:$A$5001,F$3,Base!$B$3:$B$5001,$A$115,Base!$U$3:$U$5001,"&lt;&gt;")=0,"",SUMIFS(Base!$U$3:$U$5001,Base!$A$3:$A$5001,F$3,Base!$B$3:$B$5001,$A$115)))</f>
        <v>0</v>
      </c>
      <c r="G119" s="65">
        <f>IF(G$3="","",IF(COUNTIFS(Base!$A$3:$A$5001,G$3,Base!$B$3:$B$5001,$A$115,Base!$U$3:$U$5001,"&lt;&gt;")=0,"",SUMIFS(Base!$U$3:$U$5001,Base!$A$3:$A$5001,G$3,Base!$B$3:$B$5001,$A$115)))</f>
        <v>0</v>
      </c>
      <c r="H119" s="65">
        <f>IF(H$3="","",IF(COUNTIFS(Base!$A$3:$A$5001,H$3,Base!$B$3:$B$5001,$A$115,Base!$U$3:$U$5001,"&lt;&gt;")=0,"",SUMIFS(Base!$U$3:$U$5001,Base!$A$3:$A$5001,H$3,Base!$B$3:$B$5001,$A$115)))</f>
        <v>0</v>
      </c>
      <c r="I119" s="65">
        <f>IF(I$3="","",IF(COUNTIFS(Base!$A$3:$A$5001,I$3,Base!$B$3:$B$5001,$A$115,Base!$U$3:$U$5001,"&lt;&gt;")=0,"",SUMIFS(Base!$U$3:$U$5001,Base!$A$3:$A$5001,I$3,Base!$B$3:$B$5001,$A$115)))</f>
        <v>0</v>
      </c>
      <c r="J119" s="65">
        <f>IF(J$3="","",IF(COUNTIFS(Base!$A$3:$A$5001,J$3,Base!$B$3:$B$5001,$A$115,Base!$U$3:$U$5001,"&lt;&gt;")=0,"",SUMIFS(Base!$U$3:$U$5001,Base!$A$3:$A$5001,J$3,Base!$B$3:$B$5001,$A$115)))</f>
        <v>0</v>
      </c>
      <c r="K119" s="65" t="str">
        <f>IF(K$3="","",IF(COUNTIFS(Base!$A$3:$A$5001,K$3,Base!$B$3:$B$5001,$A$115,Base!$U$3:$U$5001,"&lt;&gt;")=0,"",SUMIFS(Base!$U$3:$U$5001,Base!$A$3:$A$5001,K$3,Base!$B$3:$B$5001,$A$115)))</f>
        <v/>
      </c>
      <c r="L119" s="65">
        <f>IF(L$3="","",IF(COUNTIFS(Base!$A$3:$A$5001,L$3,Base!$B$3:$B$5001,$A$115,Base!$U$3:$U$5001,"&lt;&gt;")=0,"",SUMIFS(Base!$U$3:$U$5001,Base!$A$3:$A$5001,L$3,Base!$B$3:$B$5001,$A$115)))</f>
        <v>0</v>
      </c>
      <c r="M119" s="65">
        <f>IF(M$3="","",IF(COUNTIFS(Base!$A$3:$A$5001,M$3,Base!$B$3:$B$5001,$A$115,Base!$U$3:$U$5001,"&lt;&gt;")=0,"",SUMIFS(Base!$U$3:$U$5001,Base!$A$3:$A$5001,M$3,Base!$B$3:$B$5001,$A$115)))</f>
        <v>0</v>
      </c>
      <c r="N119" s="65">
        <f>IF(N$3="","",IF(COUNTIFS(Base!$A$3:$A$5001,N$3,Base!$B$3:$B$5001,$A$115,Base!$U$3:$U$5001,"&lt;&gt;")=0,"",SUMIFS(Base!$U$3:$U$5001,Base!$A$3:$A$5001,N$3,Base!$B$3:$B$5001,$A$115)))</f>
        <v>0</v>
      </c>
      <c r="O119" s="65">
        <f>IF(O$3="","",IF(COUNTIFS(Base!$A$3:$A$5001,O$3,Base!$B$3:$B$5001,$A$115,Base!$U$3:$U$5001,"&lt;&gt;")=0,"",SUMIFS(Base!$U$3:$U$5001,Base!$A$3:$A$5001,O$3,Base!$B$3:$B$5001,$A$115)))</f>
        <v>0</v>
      </c>
      <c r="P119" s="65">
        <f>IF(P$3="","",IF(COUNTIFS(Base!$A$3:$A$5001,P$3,Base!$B$3:$B$5001,$A$115,Base!$U$3:$U$5001,"&lt;&gt;")=0,"",SUMIFS(Base!$U$3:$U$5001,Base!$A$3:$A$5001,P$3,Base!$B$3:$B$5001,$A$115)))</f>
        <v>0</v>
      </c>
      <c r="Q119" s="65">
        <f>IF(Q$3="","",IF(COUNTIFS(Base!$A$3:$A$5001,Q$3,Base!$B$3:$B$5001,$A$115,Base!$U$3:$U$5001,"&lt;&gt;")=0,"",SUMIFS(Base!$U$3:$U$5001,Base!$A$3:$A$5001,Q$3,Base!$B$3:$B$5001,$A$115)))</f>
        <v>0</v>
      </c>
      <c r="R119" s="65" t="str">
        <f>IF(R$3="","",IF(COUNTIFS(Base!$A$3:$A$5001,R$3,Base!$B$3:$B$5001,$A$115,Base!$U$3:$U$5001,"&lt;&gt;")=0,"",SUMIFS(Base!$U$3:$U$5001,Base!$A$3:$A$5001,R$3,Base!$B$3:$B$5001,$A$115)))</f>
        <v/>
      </c>
      <c r="S119" s="65">
        <f>IF(S$3="","",IF(COUNTIFS(Base!$A$3:$A$5001,S$3,Base!$B$3:$B$5001,$A$115,Base!$U$3:$U$5001,"&lt;&gt;")=0,"",SUMIFS(Base!$U$3:$U$5001,Base!$A$3:$A$5001,S$3,Base!$B$3:$B$5001,$A$115)))</f>
        <v>0</v>
      </c>
      <c r="T119" s="65">
        <f>IF(T$3="","",IF(COUNTIFS(Base!$A$3:$A$5001,T$3,Base!$B$3:$B$5001,$A$115,Base!$U$3:$U$5001,"&lt;&gt;")=0,"",SUMIFS(Base!$U$3:$U$5001,Base!$A$3:$A$5001,T$3,Base!$B$3:$B$5001,$A$115)))</f>
        <v>1</v>
      </c>
      <c r="U119" s="65">
        <f>IF(U$3="","",IF(COUNTIFS(Base!$A$3:$A$5001,U$3,Base!$B$3:$B$5001,$A$115,Base!$U$3:$U$5001,"&lt;&gt;")=0,"",SUMIFS(Base!$U$3:$U$5001,Base!$A$3:$A$5001,U$3,Base!$B$3:$B$5001,$A$115)))</f>
        <v>0</v>
      </c>
      <c r="V119" s="65">
        <f>IF(V$3="","",IF(COUNTIFS(Base!$A$3:$A$5001,V$3,Base!$B$3:$B$5001,$A$115,Base!$U$3:$U$5001,"&lt;&gt;")=0,"",SUMIFS(Base!$U$3:$U$5001,Base!$A$3:$A$5001,V$3,Base!$B$3:$B$5001,$A$115)))</f>
        <v>0</v>
      </c>
      <c r="W119" s="65">
        <f>IF(W$3="","",IF(COUNTIFS(Base!$A$3:$A$5001,W$3,Base!$B$3:$B$5001,$A$115,Base!$U$3:$U$5001,"&lt;&gt;")=0,"",SUMIFS(Base!$U$3:$U$5001,Base!$A$3:$A$5001,W$3,Base!$B$3:$B$5001,$A$115)))</f>
        <v>0</v>
      </c>
      <c r="X119" s="65">
        <f>IF(X$3="","",IF(COUNTIFS(Base!$A$3:$A$5001,X$3,Base!$B$3:$B$5001,$A$115,Base!$U$3:$U$5001,"&lt;&gt;")=0,"",SUMIFS(Base!$U$3:$U$5001,Base!$A$3:$A$5001,X$3,Base!$B$3:$B$5001,$A$115)))</f>
        <v>0</v>
      </c>
      <c r="Y119" s="65" t="str">
        <f>IF(Y$3="","",IF(COUNTIFS(Base!$A$3:$A$5001,Y$3,Base!$B$3:$B$5001,$A$115,Base!$U$3:$U$5001,"&lt;&gt;")=0,"",SUMIFS(Base!$U$3:$U$5001,Base!$A$3:$A$5001,Y$3,Base!$B$3:$B$5001,$A$115)))</f>
        <v/>
      </c>
      <c r="Z119" s="65">
        <f>IF(Z$3="","",IF(COUNTIFS(Base!$A$3:$A$5001,Z$3,Base!$B$3:$B$5001,$A$115,Base!$U$3:$U$5001,"&lt;&gt;")=0,"",SUMIFS(Base!$U$3:$U$5001,Base!$A$3:$A$5001,Z$3,Base!$B$3:$B$5001,$A$115)))</f>
        <v>0</v>
      </c>
      <c r="AA119" s="65">
        <f>IF(AA$3="","",IF(COUNTIFS(Base!$A$3:$A$5001,AA$3,Base!$B$3:$B$5001,$A$115,Base!$U$3:$U$5001,"&lt;&gt;")=0,"",SUMIFS(Base!$U$3:$U$5001,Base!$A$3:$A$5001,AA$3,Base!$B$3:$B$5001,$A$115)))</f>
        <v>0</v>
      </c>
      <c r="AB119" s="65">
        <f>IF(AB$3="","",IF(COUNTIFS(Base!$A$3:$A$5001,AB$3,Base!$B$3:$B$5001,$A$115,Base!$U$3:$U$5001,"&lt;&gt;")=0,"",SUMIFS(Base!$U$3:$U$5001,Base!$A$3:$A$5001,AB$3,Base!$B$3:$B$5001,$A$115)))</f>
        <v>1</v>
      </c>
      <c r="AC119" s="65">
        <f>IF(AC$3="","",IF(COUNTIFS(Base!$A$3:$A$5001,AC$3,Base!$B$3:$B$5001,$A$115,Base!$U$3:$U$5001,"&lt;&gt;")=0,"",SUMIFS(Base!$U$3:$U$5001,Base!$A$3:$A$5001,AC$3,Base!$B$3:$B$5001,$A$115)))</f>
        <v>0</v>
      </c>
      <c r="AD119" s="65">
        <f>IF(AD$3="","",IF(COUNTIFS(Base!$A$3:$A$5001,AD$3,Base!$B$3:$B$5001,$A$115,Base!$U$3:$U$5001,"&lt;&gt;")=0,"",SUMIFS(Base!$U$3:$U$5001,Base!$A$3:$A$5001,AD$3,Base!$B$3:$B$5001,$A$115)))</f>
        <v>0</v>
      </c>
      <c r="AE119" s="65">
        <f>IF(AE$3="","",IF(COUNTIFS(Base!$A$3:$A$5001,AE$3,Base!$B$3:$B$5001,$A$115,Base!$U$3:$U$5001,"&lt;&gt;")=0,"",SUMIFS(Base!$U$3:$U$5001,Base!$A$3:$A$5001,AE$3,Base!$B$3:$B$5001,$A$115)))</f>
        <v>0</v>
      </c>
      <c r="AF119" s="65" t="str">
        <f>IF(AF$3="","",IF(COUNTIFS(Base!$A$3:$A$5001,AF$3,Base!$B$3:$B$5001,$A$115,Base!$U$3:$U$5001,"&lt;&gt;")=0,"",SUMIFS(Base!$U$3:$U$5001,Base!$A$3:$A$5001,AF$3,Base!$B$3:$B$5001,$A$115)))</f>
        <v/>
      </c>
      <c r="AG119" s="65">
        <f>IF(AG$3="","",IF(COUNTIFS(Base!$A$3:$A$5001,AG$3,Base!$B$3:$B$5001,$A$115,Base!$U$3:$U$5001,"&lt;&gt;")=0,"",SUMIFS(Base!$U$3:$U$5001,Base!$A$3:$A$5001,AG$3,Base!$B$3:$B$5001,$A$115)))</f>
        <v>0</v>
      </c>
      <c r="AH119" s="65">
        <f>IF(AH$3="","",IF(COUNTIFS(Base!$A$3:$A$5001,AH$3,Base!$B$3:$B$5001,$A$115,Base!$U$3:$U$5001,"&lt;&gt;")=0,"",SUMIFS(Base!$U$3:$U$5001,Base!$A$3:$A$5001,AH$3,Base!$B$3:$B$5001,$A$115)))</f>
        <v>0</v>
      </c>
      <c r="AI119" s="65" t="str">
        <f>IF(AI$3="","",IF(COUNTIFS(Base!$A$3:$A$5001,AI$3,Base!$B$3:$B$5001,$A$115,Base!$U$3:$U$5001,"&lt;&gt;")=0,"",SUMIFS(Base!$U$3:$U$5001,Base!$A$3:$A$5001,AI$3,Base!$B$3:$B$5001,$A$115)))</f>
        <v/>
      </c>
      <c r="AJ119" s="66" t="str">
        <f>IF(AJ$3="","",IF(COUNTIFS(Base!$A$3:$A$5001,AJ$3,Base!$B$3:$B$5001,$A$115,Base!$U$3:$U$5001,"&lt;&gt;")=0,"",SUMIFS(Base!$U$3:$U$5001,Base!$A$3:$A$5001,AJ$3,Base!$B$3:$B$5001,$A$115)))</f>
        <v/>
      </c>
      <c r="AK119" s="67">
        <f>IF(COUNT(F119:AJ119)=0,"",SUM(F119:AJ119))</f>
        <v>2</v>
      </c>
    </row>
    <row r="120" ht="15.75" customHeight="1">
      <c r="A120" s="118"/>
      <c r="B120" s="112"/>
      <c r="C120" s="68" t="inlineStr">
        <is>
          <t xml:space="preserve">No show</t>
        </is>
      </c>
      <c r="D120" s="69" t="str">
        <f>IFERROR(1/(1/INDEX(calculos!$C$55:$K$83,MATCH("NC No show",calculos!$A$55:$A$83,0),MATCH($A$115,calculos!$C$54:$K$54,0))),"")</f>
        <v/>
      </c>
      <c r="E120" s="70"/>
      <c r="F120" s="71">
        <f>IF(F$3="","",IF(COUNTIFS(Base!$A$3:$A$5001,F$3,Base!$B$3:$B$5001,$A$115,Base!$V$3:$V$5001,"&lt;&gt;")=0,"",SUMIFS(Base!$V$3:$V$5001,Base!$A$3:$A$5001,F$3,Base!$B$3:$B$5001,$A$115)))</f>
        <v>0</v>
      </c>
      <c r="G120" s="72">
        <f>IF(G$3="","",IF(COUNTIFS(Base!$A$3:$A$5001,G$3,Base!$B$3:$B$5001,$A$115,Base!$V$3:$V$5001,"&lt;&gt;")=0,"",SUMIFS(Base!$V$3:$V$5001,Base!$A$3:$A$5001,G$3,Base!$B$3:$B$5001,$A$115)))</f>
        <v>1</v>
      </c>
      <c r="H120" s="72">
        <f>IF(H$3="","",IF(COUNTIFS(Base!$A$3:$A$5001,H$3,Base!$B$3:$B$5001,$A$115,Base!$V$3:$V$5001,"&lt;&gt;")=0,"",SUMIFS(Base!$V$3:$V$5001,Base!$A$3:$A$5001,H$3,Base!$B$3:$B$5001,$A$115)))</f>
        <v>0</v>
      </c>
      <c r="I120" s="72">
        <f>IF(I$3="","",IF(COUNTIFS(Base!$A$3:$A$5001,I$3,Base!$B$3:$B$5001,$A$115,Base!$V$3:$V$5001,"&lt;&gt;")=0,"",SUMIFS(Base!$V$3:$V$5001,Base!$A$3:$A$5001,I$3,Base!$B$3:$B$5001,$A$115)))</f>
        <v>0</v>
      </c>
      <c r="J120" s="72">
        <f>IF(J$3="","",IF(COUNTIFS(Base!$A$3:$A$5001,J$3,Base!$B$3:$B$5001,$A$115,Base!$V$3:$V$5001,"&lt;&gt;")=0,"",SUMIFS(Base!$V$3:$V$5001,Base!$A$3:$A$5001,J$3,Base!$B$3:$B$5001,$A$115)))</f>
        <v>0</v>
      </c>
      <c r="K120" s="72" t="str">
        <f>IF(K$3="","",IF(COUNTIFS(Base!$A$3:$A$5001,K$3,Base!$B$3:$B$5001,$A$115,Base!$V$3:$V$5001,"&lt;&gt;")=0,"",SUMIFS(Base!$V$3:$V$5001,Base!$A$3:$A$5001,K$3,Base!$B$3:$B$5001,$A$115)))</f>
        <v/>
      </c>
      <c r="L120" s="72">
        <f>IF(L$3="","",IF(COUNTIFS(Base!$A$3:$A$5001,L$3,Base!$B$3:$B$5001,$A$115,Base!$V$3:$V$5001,"&lt;&gt;")=0,"",SUMIFS(Base!$V$3:$V$5001,Base!$A$3:$A$5001,L$3,Base!$B$3:$B$5001,$A$115)))</f>
        <v>0</v>
      </c>
      <c r="M120" s="72">
        <f>IF(M$3="","",IF(COUNTIFS(Base!$A$3:$A$5001,M$3,Base!$B$3:$B$5001,$A$115,Base!$V$3:$V$5001,"&lt;&gt;")=0,"",SUMIFS(Base!$V$3:$V$5001,Base!$A$3:$A$5001,M$3,Base!$B$3:$B$5001,$A$115)))</f>
        <v>0</v>
      </c>
      <c r="N120" s="72">
        <f>IF(N$3="","",IF(COUNTIFS(Base!$A$3:$A$5001,N$3,Base!$B$3:$B$5001,$A$115,Base!$V$3:$V$5001,"&lt;&gt;")=0,"",SUMIFS(Base!$V$3:$V$5001,Base!$A$3:$A$5001,N$3,Base!$B$3:$B$5001,$A$115)))</f>
        <v>0</v>
      </c>
      <c r="O120" s="72">
        <f>IF(O$3="","",IF(COUNTIFS(Base!$A$3:$A$5001,O$3,Base!$B$3:$B$5001,$A$115,Base!$V$3:$V$5001,"&lt;&gt;")=0,"",SUMIFS(Base!$V$3:$V$5001,Base!$A$3:$A$5001,O$3,Base!$B$3:$B$5001,$A$115)))</f>
        <v>0</v>
      </c>
      <c r="P120" s="72">
        <f>IF(P$3="","",IF(COUNTIFS(Base!$A$3:$A$5001,P$3,Base!$B$3:$B$5001,$A$115,Base!$V$3:$V$5001,"&lt;&gt;")=0,"",SUMIFS(Base!$V$3:$V$5001,Base!$A$3:$A$5001,P$3,Base!$B$3:$B$5001,$A$115)))</f>
        <v>0</v>
      </c>
      <c r="Q120" s="72">
        <f>IF(Q$3="","",IF(COUNTIFS(Base!$A$3:$A$5001,Q$3,Base!$B$3:$B$5001,$A$115,Base!$V$3:$V$5001,"&lt;&gt;")=0,"",SUMIFS(Base!$V$3:$V$5001,Base!$A$3:$A$5001,Q$3,Base!$B$3:$B$5001,$A$115)))</f>
        <v>0</v>
      </c>
      <c r="R120" s="72" t="str">
        <f>IF(R$3="","",IF(COUNTIFS(Base!$A$3:$A$5001,R$3,Base!$B$3:$B$5001,$A$115,Base!$V$3:$V$5001,"&lt;&gt;")=0,"",SUMIFS(Base!$V$3:$V$5001,Base!$A$3:$A$5001,R$3,Base!$B$3:$B$5001,$A$115)))</f>
        <v/>
      </c>
      <c r="S120" s="72">
        <f>IF(S$3="","",IF(COUNTIFS(Base!$A$3:$A$5001,S$3,Base!$B$3:$B$5001,$A$115,Base!$V$3:$V$5001,"&lt;&gt;")=0,"",SUMIFS(Base!$V$3:$V$5001,Base!$A$3:$A$5001,S$3,Base!$B$3:$B$5001,$A$115)))</f>
        <v>0</v>
      </c>
      <c r="T120" s="72">
        <f>IF(T$3="","",IF(COUNTIFS(Base!$A$3:$A$5001,T$3,Base!$B$3:$B$5001,$A$115,Base!$V$3:$V$5001,"&lt;&gt;")=0,"",SUMIFS(Base!$V$3:$V$5001,Base!$A$3:$A$5001,T$3,Base!$B$3:$B$5001,$A$115)))</f>
        <v>1</v>
      </c>
      <c r="U120" s="72">
        <f>IF(U$3="","",IF(COUNTIFS(Base!$A$3:$A$5001,U$3,Base!$B$3:$B$5001,$A$115,Base!$V$3:$V$5001,"&lt;&gt;")=0,"",SUMIFS(Base!$V$3:$V$5001,Base!$A$3:$A$5001,U$3,Base!$B$3:$B$5001,$A$115)))</f>
        <v>0</v>
      </c>
      <c r="V120" s="72">
        <f>IF(V$3="","",IF(COUNTIFS(Base!$A$3:$A$5001,V$3,Base!$B$3:$B$5001,$A$115,Base!$V$3:$V$5001,"&lt;&gt;")=0,"",SUMIFS(Base!$V$3:$V$5001,Base!$A$3:$A$5001,V$3,Base!$B$3:$B$5001,$A$115)))</f>
        <v>0</v>
      </c>
      <c r="W120" s="72">
        <f>IF(W$3="","",IF(COUNTIFS(Base!$A$3:$A$5001,W$3,Base!$B$3:$B$5001,$A$115,Base!$V$3:$V$5001,"&lt;&gt;")=0,"",SUMIFS(Base!$V$3:$V$5001,Base!$A$3:$A$5001,W$3,Base!$B$3:$B$5001,$A$115)))</f>
        <v>0</v>
      </c>
      <c r="X120" s="72">
        <f>IF(X$3="","",IF(COUNTIFS(Base!$A$3:$A$5001,X$3,Base!$B$3:$B$5001,$A$115,Base!$V$3:$V$5001,"&lt;&gt;")=0,"",SUMIFS(Base!$V$3:$V$5001,Base!$A$3:$A$5001,X$3,Base!$B$3:$B$5001,$A$115)))</f>
        <v>0</v>
      </c>
      <c r="Y120" s="72" t="str">
        <f>IF(Y$3="","",IF(COUNTIFS(Base!$A$3:$A$5001,Y$3,Base!$B$3:$B$5001,$A$115,Base!$V$3:$V$5001,"&lt;&gt;")=0,"",SUMIFS(Base!$V$3:$V$5001,Base!$A$3:$A$5001,Y$3,Base!$B$3:$B$5001,$A$115)))</f>
        <v/>
      </c>
      <c r="Z120" s="72">
        <f>IF(Z$3="","",IF(COUNTIFS(Base!$A$3:$A$5001,Z$3,Base!$B$3:$B$5001,$A$115,Base!$V$3:$V$5001,"&lt;&gt;")=0,"",SUMIFS(Base!$V$3:$V$5001,Base!$A$3:$A$5001,Z$3,Base!$B$3:$B$5001,$A$115)))</f>
        <v>0</v>
      </c>
      <c r="AA120" s="72">
        <f>IF(AA$3="","",IF(COUNTIFS(Base!$A$3:$A$5001,AA$3,Base!$B$3:$B$5001,$A$115,Base!$V$3:$V$5001,"&lt;&gt;")=0,"",SUMIFS(Base!$V$3:$V$5001,Base!$A$3:$A$5001,AA$3,Base!$B$3:$B$5001,$A$115)))</f>
        <v>0</v>
      </c>
      <c r="AB120" s="72">
        <f>IF(AB$3="","",IF(COUNTIFS(Base!$A$3:$A$5001,AB$3,Base!$B$3:$B$5001,$A$115,Base!$V$3:$V$5001,"&lt;&gt;")=0,"",SUMIFS(Base!$V$3:$V$5001,Base!$A$3:$A$5001,AB$3,Base!$B$3:$B$5001,$A$115)))</f>
        <v>0</v>
      </c>
      <c r="AC120" s="72">
        <f>IF(AC$3="","",IF(COUNTIFS(Base!$A$3:$A$5001,AC$3,Base!$B$3:$B$5001,$A$115,Base!$V$3:$V$5001,"&lt;&gt;")=0,"",SUMIFS(Base!$V$3:$V$5001,Base!$A$3:$A$5001,AC$3,Base!$B$3:$B$5001,$A$115)))</f>
        <v>0</v>
      </c>
      <c r="AD120" s="72">
        <f>IF(AD$3="","",IF(COUNTIFS(Base!$A$3:$A$5001,AD$3,Base!$B$3:$B$5001,$A$115,Base!$V$3:$V$5001,"&lt;&gt;")=0,"",SUMIFS(Base!$V$3:$V$5001,Base!$A$3:$A$5001,AD$3,Base!$B$3:$B$5001,$A$115)))</f>
        <v>0</v>
      </c>
      <c r="AE120" s="72">
        <f>IF(AE$3="","",IF(COUNTIFS(Base!$A$3:$A$5001,AE$3,Base!$B$3:$B$5001,$A$115,Base!$V$3:$V$5001,"&lt;&gt;")=0,"",SUMIFS(Base!$V$3:$V$5001,Base!$A$3:$A$5001,AE$3,Base!$B$3:$B$5001,$A$115)))</f>
        <v>0</v>
      </c>
      <c r="AF120" s="72" t="str">
        <f>IF(AF$3="","",IF(COUNTIFS(Base!$A$3:$A$5001,AF$3,Base!$B$3:$B$5001,$A$115,Base!$V$3:$V$5001,"&lt;&gt;")=0,"",SUMIFS(Base!$V$3:$V$5001,Base!$A$3:$A$5001,AF$3,Base!$B$3:$B$5001,$A$115)))</f>
        <v/>
      </c>
      <c r="AG120" s="72">
        <f>IF(AG$3="","",IF(COUNTIFS(Base!$A$3:$A$5001,AG$3,Base!$B$3:$B$5001,$A$115,Base!$V$3:$V$5001,"&lt;&gt;")=0,"",SUMIFS(Base!$V$3:$V$5001,Base!$A$3:$A$5001,AG$3,Base!$B$3:$B$5001,$A$115)))</f>
        <v>0</v>
      </c>
      <c r="AH120" s="72">
        <f>IF(AH$3="","",IF(COUNTIFS(Base!$A$3:$A$5001,AH$3,Base!$B$3:$B$5001,$A$115,Base!$V$3:$V$5001,"&lt;&gt;")=0,"",SUMIFS(Base!$V$3:$V$5001,Base!$A$3:$A$5001,AH$3,Base!$B$3:$B$5001,$A$115)))</f>
        <v>0</v>
      </c>
      <c r="AI120" s="72" t="str">
        <f>IF(AI$3="","",IF(COUNTIFS(Base!$A$3:$A$5001,AI$3,Base!$B$3:$B$5001,$A$115,Base!$V$3:$V$5001,"&lt;&gt;")=0,"",SUMIFS(Base!$V$3:$V$5001,Base!$A$3:$A$5001,AI$3,Base!$B$3:$B$5001,$A$115)))</f>
        <v/>
      </c>
      <c r="AJ120" s="73" t="str">
        <f>IF(AJ$3="","",IF(COUNTIFS(Base!$A$3:$A$5001,AJ$3,Base!$B$3:$B$5001,$A$115,Base!$V$3:$V$5001,"&lt;&gt;")=0,"",SUMIFS(Base!$V$3:$V$5001,Base!$A$3:$A$5001,AJ$3,Base!$B$3:$B$5001,$A$115)))</f>
        <v/>
      </c>
      <c r="AK120" s="74">
        <f>IF(COUNT(F120:AJ120)=0,"",SUM(F120:AJ120))</f>
        <v>2</v>
      </c>
    </row>
    <row r="121" ht="15.75" customHeight="1">
      <c r="A121" s="118"/>
      <c r="B121" s="113"/>
      <c r="C121" s="75" t="inlineStr">
        <is>
          <t xml:space="preserve">Backlog</t>
        </is>
      </c>
      <c r="D121" s="76" t="str">
        <f>IFERROR(1/(1/INDEX(calculos!$C$55:$K$83,MATCH("NC Backlog",calculos!$A$55:$A$83,0),MATCH($A$115,calculos!$C$54:$K$54,0))),"")</f>
        <v/>
      </c>
      <c r="E121" s="77"/>
      <c r="F121" s="78" t="str">
        <f>IF(F$3="","",IF(COUNTIFS(Base!$A$3:$A$5001,F$3,Base!$B$3:$B$5001,$A$115,Base!$W$3:$W$5001,"&lt;&gt;")=0,"",SUMIFS(Base!$W$3:$W$5001,Base!$A$3:$A$5001,F$3,Base!$B$3:$B$5001,$A$115)))</f>
        <v/>
      </c>
      <c r="G121" s="79">
        <f>IF(G$3="","",IF(COUNTIFS(Base!$A$3:$A$5001,G$3,Base!$B$3:$B$5001,$A$115,Base!$W$3:$W$5001,"&lt;&gt;")=0,"",SUMIFS(Base!$W$3:$W$5001,Base!$A$3:$A$5001,G$3,Base!$B$3:$B$5001,$A$115)))</f>
        <v>7</v>
      </c>
      <c r="H121" s="79" t="str">
        <f>IF(H$3="","",IF(COUNTIFS(Base!$A$3:$A$5001,H$3,Base!$B$3:$B$5001,$A$115,Base!$W$3:$W$5001,"&lt;&gt;")=0,"",SUMIFS(Base!$W$3:$W$5001,Base!$A$3:$A$5001,H$3,Base!$B$3:$B$5001,$A$115)))</f>
        <v/>
      </c>
      <c r="I121" s="79" t="str">
        <f>IF(I$3="","",IF(COUNTIFS(Base!$A$3:$A$5001,I$3,Base!$B$3:$B$5001,$A$115,Base!$W$3:$W$5001,"&lt;&gt;")=0,"",SUMIFS(Base!$W$3:$W$5001,Base!$A$3:$A$5001,I$3,Base!$B$3:$B$5001,$A$115)))</f>
        <v/>
      </c>
      <c r="J121" s="79">
        <f>IF(J$3="","",IF(COUNTIFS(Base!$A$3:$A$5001,J$3,Base!$B$3:$B$5001,$A$115,Base!$W$3:$W$5001,"&lt;&gt;")=0,"",SUMIFS(Base!$W$3:$W$5001,Base!$A$3:$A$5001,J$3,Base!$B$3:$B$5001,$A$115)))</f>
        <v>9</v>
      </c>
      <c r="K121" s="79" t="str">
        <f>IF(K$3="","",IF(COUNTIFS(Base!$A$3:$A$5001,K$3,Base!$B$3:$B$5001,$A$115,Base!$W$3:$W$5001,"&lt;&gt;")=0,"",SUMIFS(Base!$W$3:$W$5001,Base!$A$3:$A$5001,K$3,Base!$B$3:$B$5001,$A$115)))</f>
        <v/>
      </c>
      <c r="L121" s="79">
        <f>IF(L$3="","",IF(COUNTIFS(Base!$A$3:$A$5001,L$3,Base!$B$3:$B$5001,$A$115,Base!$W$3:$W$5001,"&lt;&gt;")=0,"",SUMIFS(Base!$W$3:$W$5001,Base!$A$3:$A$5001,L$3,Base!$B$3:$B$5001,$A$115)))</f>
        <v>15</v>
      </c>
      <c r="M121" s="79" t="str">
        <f>IF(M$3="","",IF(COUNTIFS(Base!$A$3:$A$5001,M$3,Base!$B$3:$B$5001,$A$115,Base!$W$3:$W$5001,"&lt;&gt;")=0,"",SUMIFS(Base!$W$3:$W$5001,Base!$A$3:$A$5001,M$3,Base!$B$3:$B$5001,$A$115)))</f>
        <v/>
      </c>
      <c r="N121" s="79" t="str">
        <f>IF(N$3="","",IF(COUNTIFS(Base!$A$3:$A$5001,N$3,Base!$B$3:$B$5001,$A$115,Base!$W$3:$W$5001,"&lt;&gt;")=0,"",SUMIFS(Base!$W$3:$W$5001,Base!$A$3:$A$5001,N$3,Base!$B$3:$B$5001,$A$115)))</f>
        <v/>
      </c>
      <c r="O121" s="79" t="str">
        <f>IF(O$3="","",IF(COUNTIFS(Base!$A$3:$A$5001,O$3,Base!$B$3:$B$5001,$A$115,Base!$W$3:$W$5001,"&lt;&gt;")=0,"",SUMIFS(Base!$W$3:$W$5001,Base!$A$3:$A$5001,O$3,Base!$B$3:$B$5001,$A$115)))</f>
        <v/>
      </c>
      <c r="P121" s="79" t="str">
        <f>IF(P$3="","",IF(COUNTIFS(Base!$A$3:$A$5001,P$3,Base!$B$3:$B$5001,$A$115,Base!$W$3:$W$5001,"&lt;&gt;")=0,"",SUMIFS(Base!$W$3:$W$5001,Base!$A$3:$A$5001,P$3,Base!$B$3:$B$5001,$A$115)))</f>
        <v/>
      </c>
      <c r="Q121" s="79">
        <f>IF(Q$3="","",IF(COUNTIFS(Base!$A$3:$A$5001,Q$3,Base!$B$3:$B$5001,$A$115,Base!$W$3:$W$5001,"&lt;&gt;")=0,"",SUMIFS(Base!$W$3:$W$5001,Base!$A$3:$A$5001,Q$3,Base!$B$3:$B$5001,$A$115)))</f>
        <v>14</v>
      </c>
      <c r="R121" s="79" t="str">
        <f>IF(R$3="","",IF(COUNTIFS(Base!$A$3:$A$5001,R$3,Base!$B$3:$B$5001,$A$115,Base!$W$3:$W$5001,"&lt;&gt;")=0,"",SUMIFS(Base!$W$3:$W$5001,Base!$A$3:$A$5001,R$3,Base!$B$3:$B$5001,$A$115)))</f>
        <v/>
      </c>
      <c r="S121" s="79" t="str">
        <f>IF(S$3="","",IF(COUNTIFS(Base!$A$3:$A$5001,S$3,Base!$B$3:$B$5001,$A$115,Base!$W$3:$W$5001,"&lt;&gt;")=0,"",SUMIFS(Base!$W$3:$W$5001,Base!$A$3:$A$5001,S$3,Base!$B$3:$B$5001,$A$115)))</f>
        <v/>
      </c>
      <c r="T121" s="79" t="str">
        <f>IF(T$3="","",IF(COUNTIFS(Base!$A$3:$A$5001,T$3,Base!$B$3:$B$5001,$A$115,Base!$W$3:$W$5001,"&lt;&gt;")=0,"",SUMIFS(Base!$W$3:$W$5001,Base!$A$3:$A$5001,T$3,Base!$B$3:$B$5001,$A$115)))</f>
        <v/>
      </c>
      <c r="U121" s="79" t="str">
        <f>IF(U$3="","",IF(COUNTIFS(Base!$A$3:$A$5001,U$3,Base!$B$3:$B$5001,$A$115,Base!$W$3:$W$5001,"&lt;&gt;")=0,"",SUMIFS(Base!$W$3:$W$5001,Base!$A$3:$A$5001,U$3,Base!$B$3:$B$5001,$A$115)))</f>
        <v/>
      </c>
      <c r="V121" s="79" t="str">
        <f>IF(V$3="","",IF(COUNTIFS(Base!$A$3:$A$5001,V$3,Base!$B$3:$B$5001,$A$115,Base!$W$3:$W$5001,"&lt;&gt;")=0,"",SUMIFS(Base!$W$3:$W$5001,Base!$A$3:$A$5001,V$3,Base!$B$3:$B$5001,$A$115)))</f>
        <v/>
      </c>
      <c r="W121" s="79">
        <f>IF(W$3="","",IF(COUNTIFS(Base!$A$3:$A$5001,W$3,Base!$B$3:$B$5001,$A$115,Base!$W$3:$W$5001,"&lt;&gt;")=0,"",SUMIFS(Base!$W$3:$W$5001,Base!$A$3:$A$5001,W$3,Base!$B$3:$B$5001,$A$115)))</f>
        <v>8</v>
      </c>
      <c r="X121" s="79" t="str">
        <f>IF(X$3="","",IF(COUNTIFS(Base!$A$3:$A$5001,X$3,Base!$B$3:$B$5001,$A$115,Base!$W$3:$W$5001,"&lt;&gt;")=0,"",SUMIFS(Base!$W$3:$W$5001,Base!$A$3:$A$5001,X$3,Base!$B$3:$B$5001,$A$115)))</f>
        <v/>
      </c>
      <c r="Y121" s="79" t="str">
        <f>IF(Y$3="","",IF(COUNTIFS(Base!$A$3:$A$5001,Y$3,Base!$B$3:$B$5001,$A$115,Base!$W$3:$W$5001,"&lt;&gt;")=0,"",SUMIFS(Base!$W$3:$W$5001,Base!$A$3:$A$5001,Y$3,Base!$B$3:$B$5001,$A$115)))</f>
        <v/>
      </c>
      <c r="Z121" s="79" t="str">
        <f>IF(Z$3="","",IF(COUNTIFS(Base!$A$3:$A$5001,Z$3,Base!$B$3:$B$5001,$A$115,Base!$W$3:$W$5001,"&lt;&gt;")=0,"",SUMIFS(Base!$W$3:$W$5001,Base!$A$3:$A$5001,Z$3,Base!$B$3:$B$5001,$A$115)))</f>
        <v/>
      </c>
      <c r="AA121" s="79">
        <f>IF(AA$3="","",IF(COUNTIFS(Base!$A$3:$A$5001,AA$3,Base!$B$3:$B$5001,$A$115,Base!$W$3:$W$5001,"&lt;&gt;")=0,"",SUMIFS(Base!$W$3:$W$5001,Base!$A$3:$A$5001,AA$3,Base!$B$3:$B$5001,$A$115)))</f>
        <v>3</v>
      </c>
      <c r="AB121" s="79" t="str">
        <f>IF(AB$3="","",IF(COUNTIFS(Base!$A$3:$A$5001,AB$3,Base!$B$3:$B$5001,$A$115,Base!$W$3:$W$5001,"&lt;&gt;")=0,"",SUMIFS(Base!$W$3:$W$5001,Base!$A$3:$A$5001,AB$3,Base!$B$3:$B$5001,$A$115)))</f>
        <v/>
      </c>
      <c r="AC121" s="79" t="str">
        <f>IF(AC$3="","",IF(COUNTIFS(Base!$A$3:$A$5001,AC$3,Base!$B$3:$B$5001,$A$115,Base!$W$3:$W$5001,"&lt;&gt;")=0,"",SUMIFS(Base!$W$3:$W$5001,Base!$A$3:$A$5001,AC$3,Base!$B$3:$B$5001,$A$115)))</f>
        <v/>
      </c>
      <c r="AD121" s="79">
        <f>IF(AD$3="","",IF(COUNTIFS(Base!$A$3:$A$5001,AD$3,Base!$B$3:$B$5001,$A$115,Base!$W$3:$W$5001,"&lt;&gt;")=0,"",SUMIFS(Base!$W$3:$W$5001,Base!$A$3:$A$5001,AD$3,Base!$B$3:$B$5001,$A$115)))</f>
        <v>13</v>
      </c>
      <c r="AE121" s="79" t="str">
        <f>IF(AE$3="","",IF(COUNTIFS(Base!$A$3:$A$5001,AE$3,Base!$B$3:$B$5001,$A$115,Base!$W$3:$W$5001,"&lt;&gt;")=0,"",SUMIFS(Base!$W$3:$W$5001,Base!$A$3:$A$5001,AE$3,Base!$B$3:$B$5001,$A$115)))</f>
        <v/>
      </c>
      <c r="AF121" s="79" t="str">
        <f>IF(AF$3="","",IF(COUNTIFS(Base!$A$3:$A$5001,AF$3,Base!$B$3:$B$5001,$A$115,Base!$W$3:$W$5001,"&lt;&gt;")=0,"",SUMIFS(Base!$W$3:$W$5001,Base!$A$3:$A$5001,AF$3,Base!$B$3:$B$5001,$A$115)))</f>
        <v/>
      </c>
      <c r="AG121" s="79" t="str">
        <f>IF(AG$3="","",IF(COUNTIFS(Base!$A$3:$A$5001,AG$3,Base!$B$3:$B$5001,$A$115,Base!$W$3:$W$5001,"&lt;&gt;")=0,"",SUMIFS(Base!$W$3:$W$5001,Base!$A$3:$A$5001,AG$3,Base!$B$3:$B$5001,$A$115)))</f>
        <v/>
      </c>
      <c r="AH121" s="79">
        <f>IF(AH$3="","",IF(COUNTIFS(Base!$A$3:$A$5001,AH$3,Base!$B$3:$B$5001,$A$115,Base!$W$3:$W$5001,"&lt;&gt;")=0,"",SUMIFS(Base!$W$3:$W$5001,Base!$A$3:$A$5001,AH$3,Base!$B$3:$B$5001,$A$115)))</f>
        <v>15</v>
      </c>
      <c r="AI121" s="79" t="str">
        <f>IF(AI$3="","",IF(COUNTIFS(Base!$A$3:$A$5001,AI$3,Base!$B$3:$B$5001,$A$115,Base!$W$3:$W$5001,"&lt;&gt;")=0,"",SUMIFS(Base!$W$3:$W$5001,Base!$A$3:$A$5001,AI$3,Base!$B$3:$B$5001,$A$115)))</f>
        <v/>
      </c>
      <c r="AJ121" s="80" t="str">
        <f>IF(AJ$3="","",IF(COUNTIFS(Base!$A$3:$A$5001,AJ$3,Base!$B$3:$B$5001,$A$115,Base!$W$3:$W$5001,"&lt;&gt;")=0,"",SUMIFS(Base!$W$3:$W$5001,Base!$A$3:$A$5001,AJ$3,Base!$B$3:$B$5001,$A$115)))</f>
        <v/>
      </c>
      <c r="AK121" s="76">
        <f>IFERROR(LOOKUP(9.99E+307,F121:AJ121),"")</f>
        <v>15</v>
      </c>
    </row>
    <row r="122" ht="15.75" customHeight="1">
      <c r="A122" s="118"/>
      <c r="B122" s="105" t="inlineStr">
        <is>
          <t xml:space="preserve">OCUPAÇÃO (P.P)</t>
        </is>
      </c>
      <c r="C122" s="21" t="inlineStr">
        <is>
          <t xml:space="preserve">Posições Disponíveis</t>
        </is>
      </c>
      <c r="D122" s="22" t="str">
        <f>IFERROR(1/(1/INDEX(calculos!$C$55:$K$83,MATCH("Posições Disponíveis",calculos!$A$55:$A$83,0),MATCH($A$115,calculos!$C$54:$K$54,0))),"")</f>
        <v/>
      </c>
      <c r="E122" s="23"/>
      <c r="F122" s="24">
        <f>IF(F$3="","",IF(COUNTIFS(Base!$A$3:$A$5001,F$3,Base!$B$3:$B$5001,$A$115,Base!$X$3:$X$5001,"&lt;&gt;")=0,"",SUMIFS(Base!$X$3:$X$5001,Base!$A$3:$A$5001,F$3,Base!$B$3:$B$5001,$A$115)))</f>
        <v>1400</v>
      </c>
      <c r="G122" s="25">
        <f>IF(G$3="","",IF(COUNTIFS(Base!$A$3:$A$5001,G$3,Base!$B$3:$B$5001,$A$115,Base!$X$3:$X$5001,"&lt;&gt;")=0,"",SUMIFS(Base!$X$3:$X$5001,Base!$A$3:$A$5001,G$3,Base!$B$3:$B$5001,$A$115)))</f>
        <v>1400</v>
      </c>
      <c r="H122" s="25">
        <f>IF(H$3="","",IF(COUNTIFS(Base!$A$3:$A$5001,H$3,Base!$B$3:$B$5001,$A$115,Base!$X$3:$X$5001,"&lt;&gt;")=0,"",SUMIFS(Base!$X$3:$X$5001,Base!$A$3:$A$5001,H$3,Base!$B$3:$B$5001,$A$115)))</f>
        <v>1400</v>
      </c>
      <c r="I122" s="25">
        <f>IF(I$3="","",IF(COUNTIFS(Base!$A$3:$A$5001,I$3,Base!$B$3:$B$5001,$A$115,Base!$X$3:$X$5001,"&lt;&gt;")=0,"",SUMIFS(Base!$X$3:$X$5001,Base!$A$3:$A$5001,I$3,Base!$B$3:$B$5001,$A$115)))</f>
        <v>1400</v>
      </c>
      <c r="J122" s="25">
        <f>IF(J$3="","",IF(COUNTIFS(Base!$A$3:$A$5001,J$3,Base!$B$3:$B$5001,$A$115,Base!$X$3:$X$5001,"&lt;&gt;")=0,"",SUMIFS(Base!$X$3:$X$5001,Base!$A$3:$A$5001,J$3,Base!$B$3:$B$5001,$A$115)))</f>
        <v>1400</v>
      </c>
      <c r="K122" s="25" t="str">
        <f>IF(K$3="","",IF(COUNTIFS(Base!$A$3:$A$5001,K$3,Base!$B$3:$B$5001,$A$115,Base!$X$3:$X$5001,"&lt;&gt;")=0,"",SUMIFS(Base!$X$3:$X$5001,Base!$A$3:$A$5001,K$3,Base!$B$3:$B$5001,$A$115)))</f>
        <v/>
      </c>
      <c r="L122" s="25">
        <f>IF(L$3="","",IF(COUNTIFS(Base!$A$3:$A$5001,L$3,Base!$B$3:$B$5001,$A$115,Base!$X$3:$X$5001,"&lt;&gt;")=0,"",SUMIFS(Base!$X$3:$X$5001,Base!$A$3:$A$5001,L$3,Base!$B$3:$B$5001,$A$115)))</f>
        <v>1400</v>
      </c>
      <c r="M122" s="25">
        <f>IF(M$3="","",IF(COUNTIFS(Base!$A$3:$A$5001,M$3,Base!$B$3:$B$5001,$A$115,Base!$X$3:$X$5001,"&lt;&gt;")=0,"",SUMIFS(Base!$X$3:$X$5001,Base!$A$3:$A$5001,M$3,Base!$B$3:$B$5001,$A$115)))</f>
        <v>1400</v>
      </c>
      <c r="N122" s="25">
        <f>IF(N$3="","",IF(COUNTIFS(Base!$A$3:$A$5001,N$3,Base!$B$3:$B$5001,$A$115,Base!$X$3:$X$5001,"&lt;&gt;")=0,"",SUMIFS(Base!$X$3:$X$5001,Base!$A$3:$A$5001,N$3,Base!$B$3:$B$5001,$A$115)))</f>
        <v>1400</v>
      </c>
      <c r="O122" s="25">
        <f>IF(O$3="","",IF(COUNTIFS(Base!$A$3:$A$5001,O$3,Base!$B$3:$B$5001,$A$115,Base!$X$3:$X$5001,"&lt;&gt;")=0,"",SUMIFS(Base!$X$3:$X$5001,Base!$A$3:$A$5001,O$3,Base!$B$3:$B$5001,$A$115)))</f>
        <v>1400</v>
      </c>
      <c r="P122" s="25">
        <f>IF(P$3="","",IF(COUNTIFS(Base!$A$3:$A$5001,P$3,Base!$B$3:$B$5001,$A$115,Base!$X$3:$X$5001,"&lt;&gt;")=0,"",SUMIFS(Base!$X$3:$X$5001,Base!$A$3:$A$5001,P$3,Base!$B$3:$B$5001,$A$115)))</f>
        <v>1400</v>
      </c>
      <c r="Q122" s="25">
        <f>IF(Q$3="","",IF(COUNTIFS(Base!$A$3:$A$5001,Q$3,Base!$B$3:$B$5001,$A$115,Base!$X$3:$X$5001,"&lt;&gt;")=0,"",SUMIFS(Base!$X$3:$X$5001,Base!$A$3:$A$5001,Q$3,Base!$B$3:$B$5001,$A$115)))</f>
        <v>1400</v>
      </c>
      <c r="R122" s="25" t="str">
        <f>IF(R$3="","",IF(COUNTIFS(Base!$A$3:$A$5001,R$3,Base!$B$3:$B$5001,$A$115,Base!$X$3:$X$5001,"&lt;&gt;")=0,"",SUMIFS(Base!$X$3:$X$5001,Base!$A$3:$A$5001,R$3,Base!$B$3:$B$5001,$A$115)))</f>
        <v/>
      </c>
      <c r="S122" s="25">
        <f>IF(S$3="","",IF(COUNTIFS(Base!$A$3:$A$5001,S$3,Base!$B$3:$B$5001,$A$115,Base!$X$3:$X$5001,"&lt;&gt;")=0,"",SUMIFS(Base!$X$3:$X$5001,Base!$A$3:$A$5001,S$3,Base!$B$3:$B$5001,$A$115)))</f>
        <v>1400</v>
      </c>
      <c r="T122" s="25">
        <f>IF(T$3="","",IF(COUNTIFS(Base!$A$3:$A$5001,T$3,Base!$B$3:$B$5001,$A$115,Base!$X$3:$X$5001,"&lt;&gt;")=0,"",SUMIFS(Base!$X$3:$X$5001,Base!$A$3:$A$5001,T$3,Base!$B$3:$B$5001,$A$115)))</f>
        <v>1400</v>
      </c>
      <c r="U122" s="25">
        <f>IF(U$3="","",IF(COUNTIFS(Base!$A$3:$A$5001,U$3,Base!$B$3:$B$5001,$A$115,Base!$X$3:$X$5001,"&lt;&gt;")=0,"",SUMIFS(Base!$X$3:$X$5001,Base!$A$3:$A$5001,U$3,Base!$B$3:$B$5001,$A$115)))</f>
        <v>1400</v>
      </c>
      <c r="V122" s="25">
        <f>IF(V$3="","",IF(COUNTIFS(Base!$A$3:$A$5001,V$3,Base!$B$3:$B$5001,$A$115,Base!$X$3:$X$5001,"&lt;&gt;")=0,"",SUMIFS(Base!$X$3:$X$5001,Base!$A$3:$A$5001,V$3,Base!$B$3:$B$5001,$A$115)))</f>
        <v>1400</v>
      </c>
      <c r="W122" s="25">
        <f>IF(W$3="","",IF(COUNTIFS(Base!$A$3:$A$5001,W$3,Base!$B$3:$B$5001,$A$115,Base!$X$3:$X$5001,"&lt;&gt;")=0,"",SUMIFS(Base!$X$3:$X$5001,Base!$A$3:$A$5001,W$3,Base!$B$3:$B$5001,$A$115)))</f>
        <v>1400</v>
      </c>
      <c r="X122" s="25">
        <f>IF(X$3="","",IF(COUNTIFS(Base!$A$3:$A$5001,X$3,Base!$B$3:$B$5001,$A$115,Base!$X$3:$X$5001,"&lt;&gt;")=0,"",SUMIFS(Base!$X$3:$X$5001,Base!$A$3:$A$5001,X$3,Base!$B$3:$B$5001,$A$115)))</f>
        <v>1400</v>
      </c>
      <c r="Y122" s="25" t="str">
        <f>IF(Y$3="","",IF(COUNTIFS(Base!$A$3:$A$5001,Y$3,Base!$B$3:$B$5001,$A$115,Base!$X$3:$X$5001,"&lt;&gt;")=0,"",SUMIFS(Base!$X$3:$X$5001,Base!$A$3:$A$5001,Y$3,Base!$B$3:$B$5001,$A$115)))</f>
        <v/>
      </c>
      <c r="Z122" s="25">
        <f>IF(Z$3="","",IF(COUNTIFS(Base!$A$3:$A$5001,Z$3,Base!$B$3:$B$5001,$A$115,Base!$X$3:$X$5001,"&lt;&gt;")=0,"",SUMIFS(Base!$X$3:$X$5001,Base!$A$3:$A$5001,Z$3,Base!$B$3:$B$5001,$A$115)))</f>
        <v>1400</v>
      </c>
      <c r="AA122" s="25">
        <f>IF(AA$3="","",IF(COUNTIFS(Base!$A$3:$A$5001,AA$3,Base!$B$3:$B$5001,$A$115,Base!$X$3:$X$5001,"&lt;&gt;")=0,"",SUMIFS(Base!$X$3:$X$5001,Base!$A$3:$A$5001,AA$3,Base!$B$3:$B$5001,$A$115)))</f>
        <v>1400</v>
      </c>
      <c r="AB122" s="25">
        <f>IF(AB$3="","",IF(COUNTIFS(Base!$A$3:$A$5001,AB$3,Base!$B$3:$B$5001,$A$115,Base!$X$3:$X$5001,"&lt;&gt;")=0,"",SUMIFS(Base!$X$3:$X$5001,Base!$A$3:$A$5001,AB$3,Base!$B$3:$B$5001,$A$115)))</f>
        <v>1400</v>
      </c>
      <c r="AC122" s="25">
        <f>IF(AC$3="","",IF(COUNTIFS(Base!$A$3:$A$5001,AC$3,Base!$B$3:$B$5001,$A$115,Base!$X$3:$X$5001,"&lt;&gt;")=0,"",SUMIFS(Base!$X$3:$X$5001,Base!$A$3:$A$5001,AC$3,Base!$B$3:$B$5001,$A$115)))</f>
        <v>1400</v>
      </c>
      <c r="AD122" s="25">
        <f>IF(AD$3="","",IF(COUNTIFS(Base!$A$3:$A$5001,AD$3,Base!$B$3:$B$5001,$A$115,Base!$X$3:$X$5001,"&lt;&gt;")=0,"",SUMIFS(Base!$X$3:$X$5001,Base!$A$3:$A$5001,AD$3,Base!$B$3:$B$5001,$A$115)))</f>
        <v>1400</v>
      </c>
      <c r="AE122" s="25">
        <f>IF(AE$3="","",IF(COUNTIFS(Base!$A$3:$A$5001,AE$3,Base!$B$3:$B$5001,$A$115,Base!$X$3:$X$5001,"&lt;&gt;")=0,"",SUMIFS(Base!$X$3:$X$5001,Base!$A$3:$A$5001,AE$3,Base!$B$3:$B$5001,$A$115)))</f>
        <v>1400</v>
      </c>
      <c r="AF122" s="25" t="str">
        <f>IF(AF$3="","",IF(COUNTIFS(Base!$A$3:$A$5001,AF$3,Base!$B$3:$B$5001,$A$115,Base!$X$3:$X$5001,"&lt;&gt;")=0,"",SUMIFS(Base!$X$3:$X$5001,Base!$A$3:$A$5001,AF$3,Base!$B$3:$B$5001,$A$115)))</f>
        <v/>
      </c>
      <c r="AG122" s="25">
        <f>IF(AG$3="","",IF(COUNTIFS(Base!$A$3:$A$5001,AG$3,Base!$B$3:$B$5001,$A$115,Base!$X$3:$X$5001,"&lt;&gt;")=0,"",SUMIFS(Base!$X$3:$X$5001,Base!$A$3:$A$5001,AG$3,Base!$B$3:$B$5001,$A$115)))</f>
        <v>1400</v>
      </c>
      <c r="AH122" s="25">
        <f>IF(AH$3="","",IF(COUNTIFS(Base!$A$3:$A$5001,AH$3,Base!$B$3:$B$5001,$A$115,Base!$X$3:$X$5001,"&lt;&gt;")=0,"",SUMIFS(Base!$X$3:$X$5001,Base!$A$3:$A$5001,AH$3,Base!$B$3:$B$5001,$A$115)))</f>
        <v>1400</v>
      </c>
      <c r="AI122" s="25" t="str">
        <f>IF(AI$3="","",IF(COUNTIFS(Base!$A$3:$A$5001,AI$3,Base!$B$3:$B$5001,$A$115,Base!$X$3:$X$5001,"&lt;&gt;")=0,"",SUMIFS(Base!$X$3:$X$5001,Base!$A$3:$A$5001,AI$3,Base!$B$3:$B$5001,$A$115)))</f>
        <v/>
      </c>
      <c r="AJ122" s="26" t="str">
        <f>IF(AJ$3="","",IF(COUNTIFS(Base!$A$3:$A$5001,AJ$3,Base!$B$3:$B$5001,$A$115,Base!$X$3:$X$5001,"&lt;&gt;")=0,"",SUMIFS(Base!$X$3:$X$5001,Base!$A$3:$A$5001,AJ$3,Base!$B$3:$B$5001,$A$115)))</f>
        <v/>
      </c>
      <c r="AK122" s="27">
        <f>IFERROR(LOOKUP(9.99E+307,F122:AJ122),"")</f>
        <v>1400</v>
      </c>
    </row>
    <row r="123" ht="15.75" customHeight="1">
      <c r="A123" s="118"/>
      <c r="B123" s="106"/>
      <c r="C123" s="28" t="inlineStr">
        <is>
          <t xml:space="preserve">Posições Ocupadas</t>
        </is>
      </c>
      <c r="D123" s="29" t="str">
        <f>IFERROR(1/(1/INDEX(calculos!$C$55:$K$83,MATCH("Posições Ocupadas",calculos!$A$55:$A$83,0),MATCH($A$115,calculos!$C$54:$K$54,0))),"")</f>
        <v/>
      </c>
      <c r="E123" s="30"/>
      <c r="F123" s="31">
        <f>IF(F$3="","",IF(COUNTIFS(Base!$A$3:$A$5001,F$3,Base!$B$3:$B$5001,$A$115,Base!$Y$3:$Y$5001,"&lt;&gt;")=0,"",SUMIFS(Base!$Y$3:$Y$5001,Base!$A$3:$A$5001,F$3,Base!$B$3:$B$5001,$A$115)))</f>
        <v>991</v>
      </c>
      <c r="G123" s="32">
        <f>IF(G$3="","",IF(COUNTIFS(Base!$A$3:$A$5001,G$3,Base!$B$3:$B$5001,$A$115,Base!$Y$3:$Y$5001,"&lt;&gt;")=0,"",SUMIFS(Base!$Y$3:$Y$5001,Base!$A$3:$A$5001,G$3,Base!$B$3:$B$5001,$A$115)))</f>
        <v>1109</v>
      </c>
      <c r="H123" s="32">
        <f>IF(H$3="","",IF(COUNTIFS(Base!$A$3:$A$5001,H$3,Base!$B$3:$B$5001,$A$115,Base!$Y$3:$Y$5001,"&lt;&gt;")=0,"",SUMIFS(Base!$Y$3:$Y$5001,Base!$A$3:$A$5001,H$3,Base!$B$3:$B$5001,$A$115)))</f>
        <v>1269</v>
      </c>
      <c r="I123" s="32">
        <f>IF(I$3="","",IF(COUNTIFS(Base!$A$3:$A$5001,I$3,Base!$B$3:$B$5001,$A$115,Base!$Y$3:$Y$5001,"&lt;&gt;")=0,"",SUMIFS(Base!$Y$3:$Y$5001,Base!$A$3:$A$5001,I$3,Base!$B$3:$B$5001,$A$115)))</f>
        <v>943</v>
      </c>
      <c r="J123" s="32">
        <f>IF(J$3="","",IF(COUNTIFS(Base!$A$3:$A$5001,J$3,Base!$B$3:$B$5001,$A$115,Base!$Y$3:$Y$5001,"&lt;&gt;")=0,"",SUMIFS(Base!$Y$3:$Y$5001,Base!$A$3:$A$5001,J$3,Base!$B$3:$B$5001,$A$115)))</f>
        <v>1158</v>
      </c>
      <c r="K123" s="32" t="str">
        <f>IF(K$3="","",IF(COUNTIFS(Base!$A$3:$A$5001,K$3,Base!$B$3:$B$5001,$A$115,Base!$Y$3:$Y$5001,"&lt;&gt;")=0,"",SUMIFS(Base!$Y$3:$Y$5001,Base!$A$3:$A$5001,K$3,Base!$B$3:$B$5001,$A$115)))</f>
        <v/>
      </c>
      <c r="L123" s="32">
        <f>IF(L$3="","",IF(COUNTIFS(Base!$A$3:$A$5001,L$3,Base!$B$3:$B$5001,$A$115,Base!$Y$3:$Y$5001,"&lt;&gt;")=0,"",SUMIFS(Base!$Y$3:$Y$5001,Base!$A$3:$A$5001,L$3,Base!$B$3:$B$5001,$A$115)))</f>
        <v>888</v>
      </c>
      <c r="M123" s="32">
        <f>IF(M$3="","",IF(COUNTIFS(Base!$A$3:$A$5001,M$3,Base!$B$3:$B$5001,$A$115,Base!$Y$3:$Y$5001,"&lt;&gt;")=0,"",SUMIFS(Base!$Y$3:$Y$5001,Base!$A$3:$A$5001,M$3,Base!$B$3:$B$5001,$A$115)))</f>
        <v>866</v>
      </c>
      <c r="N123" s="32">
        <f>IF(N$3="","",IF(COUNTIFS(Base!$A$3:$A$5001,N$3,Base!$B$3:$B$5001,$A$115,Base!$Y$3:$Y$5001,"&lt;&gt;")=0,"",SUMIFS(Base!$Y$3:$Y$5001,Base!$A$3:$A$5001,N$3,Base!$B$3:$B$5001,$A$115)))</f>
        <v>848</v>
      </c>
      <c r="O123" s="32">
        <f>IF(O$3="","",IF(COUNTIFS(Base!$A$3:$A$5001,O$3,Base!$B$3:$B$5001,$A$115,Base!$Y$3:$Y$5001,"&lt;&gt;")=0,"",SUMIFS(Base!$Y$3:$Y$5001,Base!$A$3:$A$5001,O$3,Base!$B$3:$B$5001,$A$115)))</f>
        <v>1145</v>
      </c>
      <c r="P123" s="32">
        <f>IF(P$3="","",IF(COUNTIFS(Base!$A$3:$A$5001,P$3,Base!$B$3:$B$5001,$A$115,Base!$Y$3:$Y$5001,"&lt;&gt;")=0,"",SUMIFS(Base!$Y$3:$Y$5001,Base!$A$3:$A$5001,P$3,Base!$B$3:$B$5001,$A$115)))</f>
        <v>1048</v>
      </c>
      <c r="Q123" s="32">
        <f>IF(Q$3="","",IF(COUNTIFS(Base!$A$3:$A$5001,Q$3,Base!$B$3:$B$5001,$A$115,Base!$Y$3:$Y$5001,"&lt;&gt;")=0,"",SUMIFS(Base!$Y$3:$Y$5001,Base!$A$3:$A$5001,Q$3,Base!$B$3:$B$5001,$A$115)))</f>
        <v>1091</v>
      </c>
      <c r="R123" s="32" t="str">
        <f>IF(R$3="","",IF(COUNTIFS(Base!$A$3:$A$5001,R$3,Base!$B$3:$B$5001,$A$115,Base!$Y$3:$Y$5001,"&lt;&gt;")=0,"",SUMIFS(Base!$Y$3:$Y$5001,Base!$A$3:$A$5001,R$3,Base!$B$3:$B$5001,$A$115)))</f>
        <v/>
      </c>
      <c r="S123" s="32">
        <f>IF(S$3="","",IF(COUNTIFS(Base!$A$3:$A$5001,S$3,Base!$B$3:$B$5001,$A$115,Base!$Y$3:$Y$5001,"&lt;&gt;")=0,"",SUMIFS(Base!$Y$3:$Y$5001,Base!$A$3:$A$5001,S$3,Base!$B$3:$B$5001,$A$115)))</f>
        <v>1354</v>
      </c>
      <c r="T123" s="32">
        <f>IF(T$3="","",IF(COUNTIFS(Base!$A$3:$A$5001,T$3,Base!$B$3:$B$5001,$A$115,Base!$Y$3:$Y$5001,"&lt;&gt;")=0,"",SUMIFS(Base!$Y$3:$Y$5001,Base!$A$3:$A$5001,T$3,Base!$B$3:$B$5001,$A$115)))</f>
        <v>909</v>
      </c>
      <c r="U123" s="32">
        <f>IF(U$3="","",IF(COUNTIFS(Base!$A$3:$A$5001,U$3,Base!$B$3:$B$5001,$A$115,Base!$Y$3:$Y$5001,"&lt;&gt;")=0,"",SUMIFS(Base!$Y$3:$Y$5001,Base!$A$3:$A$5001,U$3,Base!$B$3:$B$5001,$A$115)))</f>
        <v>1083</v>
      </c>
      <c r="V123" s="32">
        <f>IF(V$3="","",IF(COUNTIFS(Base!$A$3:$A$5001,V$3,Base!$B$3:$B$5001,$A$115,Base!$Y$3:$Y$5001,"&lt;&gt;")=0,"",SUMIFS(Base!$Y$3:$Y$5001,Base!$A$3:$A$5001,V$3,Base!$B$3:$B$5001,$A$115)))</f>
        <v>1350</v>
      </c>
      <c r="W123" s="32">
        <f>IF(W$3="","",IF(COUNTIFS(Base!$A$3:$A$5001,W$3,Base!$B$3:$B$5001,$A$115,Base!$Y$3:$Y$5001,"&lt;&gt;")=0,"",SUMIFS(Base!$Y$3:$Y$5001,Base!$A$3:$A$5001,W$3,Base!$B$3:$B$5001,$A$115)))</f>
        <v>946</v>
      </c>
      <c r="X123" s="32">
        <f>IF(X$3="","",IF(COUNTIFS(Base!$A$3:$A$5001,X$3,Base!$B$3:$B$5001,$A$115,Base!$Y$3:$Y$5001,"&lt;&gt;")=0,"",SUMIFS(Base!$Y$3:$Y$5001,Base!$A$3:$A$5001,X$3,Base!$B$3:$B$5001,$A$115)))</f>
        <v>1233</v>
      </c>
      <c r="Y123" s="32" t="str">
        <f>IF(Y$3="","",IF(COUNTIFS(Base!$A$3:$A$5001,Y$3,Base!$B$3:$B$5001,$A$115,Base!$Y$3:$Y$5001,"&lt;&gt;")=0,"",SUMIFS(Base!$Y$3:$Y$5001,Base!$A$3:$A$5001,Y$3,Base!$B$3:$B$5001,$A$115)))</f>
        <v/>
      </c>
      <c r="Z123" s="32">
        <f>IF(Z$3="","",IF(COUNTIFS(Base!$A$3:$A$5001,Z$3,Base!$B$3:$B$5001,$A$115,Base!$Y$3:$Y$5001,"&lt;&gt;")=0,"",SUMIFS(Base!$Y$3:$Y$5001,Base!$A$3:$A$5001,Z$3,Base!$B$3:$B$5001,$A$115)))</f>
        <v>1114</v>
      </c>
      <c r="AA123" s="32">
        <f>IF(AA$3="","",IF(COUNTIFS(Base!$A$3:$A$5001,AA$3,Base!$B$3:$B$5001,$A$115,Base!$Y$3:$Y$5001,"&lt;&gt;")=0,"",SUMIFS(Base!$Y$3:$Y$5001,Base!$A$3:$A$5001,AA$3,Base!$B$3:$B$5001,$A$115)))</f>
        <v>1219</v>
      </c>
      <c r="AB123" s="32">
        <f>IF(AB$3="","",IF(COUNTIFS(Base!$A$3:$A$5001,AB$3,Base!$B$3:$B$5001,$A$115,Base!$Y$3:$Y$5001,"&lt;&gt;")=0,"",SUMIFS(Base!$Y$3:$Y$5001,Base!$A$3:$A$5001,AB$3,Base!$B$3:$B$5001,$A$115)))</f>
        <v>856</v>
      </c>
      <c r="AC123" s="32">
        <f>IF(AC$3="","",IF(COUNTIFS(Base!$A$3:$A$5001,AC$3,Base!$B$3:$B$5001,$A$115,Base!$Y$3:$Y$5001,"&lt;&gt;")=0,"",SUMIFS(Base!$Y$3:$Y$5001,Base!$A$3:$A$5001,AC$3,Base!$B$3:$B$5001,$A$115)))</f>
        <v>1060</v>
      </c>
      <c r="AD123" s="32">
        <f>IF(AD$3="","",IF(COUNTIFS(Base!$A$3:$A$5001,AD$3,Base!$B$3:$B$5001,$A$115,Base!$Y$3:$Y$5001,"&lt;&gt;")=0,"",SUMIFS(Base!$Y$3:$Y$5001,Base!$A$3:$A$5001,AD$3,Base!$B$3:$B$5001,$A$115)))</f>
        <v>1230</v>
      </c>
      <c r="AE123" s="32">
        <f>IF(AE$3="","",IF(COUNTIFS(Base!$A$3:$A$5001,AE$3,Base!$B$3:$B$5001,$A$115,Base!$Y$3:$Y$5001,"&lt;&gt;")=0,"",SUMIFS(Base!$Y$3:$Y$5001,Base!$A$3:$A$5001,AE$3,Base!$B$3:$B$5001,$A$115)))</f>
        <v>891</v>
      </c>
      <c r="AF123" s="32" t="str">
        <f>IF(AF$3="","",IF(COUNTIFS(Base!$A$3:$A$5001,AF$3,Base!$B$3:$B$5001,$A$115,Base!$Y$3:$Y$5001,"&lt;&gt;")=0,"",SUMIFS(Base!$Y$3:$Y$5001,Base!$A$3:$A$5001,AF$3,Base!$B$3:$B$5001,$A$115)))</f>
        <v/>
      </c>
      <c r="AG123" s="32">
        <f>IF(AG$3="","",IF(COUNTIFS(Base!$A$3:$A$5001,AG$3,Base!$B$3:$B$5001,$A$115,Base!$Y$3:$Y$5001,"&lt;&gt;")=0,"",SUMIFS(Base!$Y$3:$Y$5001,Base!$A$3:$A$5001,AG$3,Base!$B$3:$B$5001,$A$115)))</f>
        <v>845</v>
      </c>
      <c r="AH123" s="32">
        <f>IF(AH$3="","",IF(COUNTIFS(Base!$A$3:$A$5001,AH$3,Base!$B$3:$B$5001,$A$115,Base!$Y$3:$Y$5001,"&lt;&gt;")=0,"",SUMIFS(Base!$Y$3:$Y$5001,Base!$A$3:$A$5001,AH$3,Base!$B$3:$B$5001,$A$115)))</f>
        <v>962</v>
      </c>
      <c r="AI123" s="32" t="str">
        <f>IF(AI$3="","",IF(COUNTIFS(Base!$A$3:$A$5001,AI$3,Base!$B$3:$B$5001,$A$115,Base!$Y$3:$Y$5001,"&lt;&gt;")=0,"",SUMIFS(Base!$Y$3:$Y$5001,Base!$A$3:$A$5001,AI$3,Base!$B$3:$B$5001,$A$115)))</f>
        <v/>
      </c>
      <c r="AJ123" s="33" t="str">
        <f>IF(AJ$3="","",IF(COUNTIFS(Base!$A$3:$A$5001,AJ$3,Base!$B$3:$B$5001,$A$115,Base!$Y$3:$Y$5001,"&lt;&gt;")=0,"",SUMIFS(Base!$Y$3:$Y$5001,Base!$A$3:$A$5001,AJ$3,Base!$B$3:$B$5001,$A$115)))</f>
        <v/>
      </c>
      <c r="AK123" s="34">
        <f>IFERROR(LOOKUP(9.99E+307,F123:AJ123),"")</f>
        <v>962</v>
      </c>
    </row>
    <row r="124" ht="15.75" customHeight="1">
      <c r="A124" s="118"/>
      <c r="B124" s="107"/>
      <c r="C124" s="35" t="inlineStr">
        <is>
          <t xml:space="preserve">Taxa de Ocupação</t>
        </is>
      </c>
      <c r="D124" s="81" t="str">
        <f>IFERROR(1/(1/INDEX(calculos!$C$55:$K$83,MATCH("Taxa de Ocupação",calculos!$A$55:$A$83,0),MATCH($A$115,calculos!$C$54:$K$54,0))),"")</f>
        <v/>
      </c>
      <c r="E124" s="37"/>
      <c r="F124" s="82">
        <f>IF(AND(ISNUMBER(F122),ISNUMBER(F123)),IF(F122&gt;0,F123/F122,""),"")</f>
        <v>0.707857142857143</v>
      </c>
      <c r="G124" s="83">
        <f>IF(AND(ISNUMBER(G122),ISNUMBER(G123)),IF(G122&gt;0,G123/G122,""),"")</f>
        <v>0.792142857142857</v>
      </c>
      <c r="H124" s="83">
        <f>IF(AND(ISNUMBER(H122),ISNUMBER(H123)),IF(H122&gt;0,H123/H122,""),"")</f>
        <v>0.906428571428572</v>
      </c>
      <c r="I124" s="83">
        <f>IF(AND(ISNUMBER(I122),ISNUMBER(I123)),IF(I122&gt;0,I123/I122,""),"")</f>
        <v>0.673571428571429</v>
      </c>
      <c r="J124" s="83">
        <f>IF(AND(ISNUMBER(J122),ISNUMBER(J123)),IF(J122&gt;0,J123/J122,""),"")</f>
        <v>0.827142857142857</v>
      </c>
      <c r="K124" s="83" t="str">
        <f>IF(AND(ISNUMBER(K122),ISNUMBER(K123)),IF(K122&gt;0,K123/K122,""),"")</f>
        <v/>
      </c>
      <c r="L124" s="83">
        <f>IF(AND(ISNUMBER(L122),ISNUMBER(L123)),IF(L122&gt;0,L123/L122,""),"")</f>
        <v>0.634285714285714</v>
      </c>
      <c r="M124" s="83">
        <f>IF(AND(ISNUMBER(M122),ISNUMBER(M123)),IF(M122&gt;0,M123/M122,""),"")</f>
        <v>0.618571428571429</v>
      </c>
      <c r="N124" s="83">
        <f>IF(AND(ISNUMBER(N122),ISNUMBER(N123)),IF(N122&gt;0,N123/N122,""),"")</f>
        <v>0.605714285714286</v>
      </c>
      <c r="O124" s="83">
        <f>IF(AND(ISNUMBER(O122),ISNUMBER(O123)),IF(O122&gt;0,O123/O122,""),"")</f>
        <v>0.817857142857143</v>
      </c>
      <c r="P124" s="83">
        <f>IF(AND(ISNUMBER(P122),ISNUMBER(P123)),IF(P122&gt;0,P123/P122,""),"")</f>
        <v>0.748571428571429</v>
      </c>
      <c r="Q124" s="83">
        <f>IF(AND(ISNUMBER(Q122),ISNUMBER(Q123)),IF(Q122&gt;0,Q123/Q122,""),"")</f>
        <v>0.779285714285714</v>
      </c>
      <c r="R124" s="83" t="str">
        <f>IF(AND(ISNUMBER(R122),ISNUMBER(R123)),IF(R122&gt;0,R123/R122,""),"")</f>
        <v/>
      </c>
      <c r="S124" s="83">
        <f>IF(AND(ISNUMBER(S122),ISNUMBER(S123)),IF(S122&gt;0,S123/S122,""),"")</f>
        <v>0.967142857142857</v>
      </c>
      <c r="T124" s="83">
        <f>IF(AND(ISNUMBER(T122),ISNUMBER(T123)),IF(T122&gt;0,T123/T122,""),"")</f>
        <v>0.649285714285714</v>
      </c>
      <c r="U124" s="83">
        <f>IF(AND(ISNUMBER(U122),ISNUMBER(U123)),IF(U122&gt;0,U123/U122,""),"")</f>
        <v>0.773571428571429</v>
      </c>
      <c r="V124" s="83">
        <f>IF(AND(ISNUMBER(V122),ISNUMBER(V123)),IF(V122&gt;0,V123/V122,""),"")</f>
        <v>0.964285714285714</v>
      </c>
      <c r="W124" s="83">
        <f>IF(AND(ISNUMBER(W122),ISNUMBER(W123)),IF(W122&gt;0,W123/W122,""),"")</f>
        <v>0.675714285714286</v>
      </c>
      <c r="X124" s="83">
        <f>IF(AND(ISNUMBER(X122),ISNUMBER(X123)),IF(X122&gt;0,X123/X122,""),"")</f>
        <v>0.880714285714286</v>
      </c>
      <c r="Y124" s="83" t="str">
        <f>IF(AND(ISNUMBER(Y122),ISNUMBER(Y123)),IF(Y122&gt;0,Y123/Y122,""),"")</f>
        <v/>
      </c>
      <c r="Z124" s="83">
        <f>IF(AND(ISNUMBER(Z122),ISNUMBER(Z123)),IF(Z122&gt;0,Z123/Z122,""),"")</f>
        <v>0.795714285714286</v>
      </c>
      <c r="AA124" s="83">
        <f>IF(AND(ISNUMBER(AA122),ISNUMBER(AA123)),IF(AA122&gt;0,AA123/AA122,""),"")</f>
        <v>0.870714285714286</v>
      </c>
      <c r="AB124" s="83">
        <f>IF(AND(ISNUMBER(AB122),ISNUMBER(AB123)),IF(AB122&gt;0,AB123/AB122,""),"")</f>
        <v>0.611428571428571</v>
      </c>
      <c r="AC124" s="83">
        <f>IF(AND(ISNUMBER(AC122),ISNUMBER(AC123)),IF(AC122&gt;0,AC123/AC122,""),"")</f>
        <v>0.757142857142857</v>
      </c>
      <c r="AD124" s="83">
        <f>IF(AND(ISNUMBER(AD122),ISNUMBER(AD123)),IF(AD122&gt;0,AD123/AD122,""),"")</f>
        <v>0.878571428571429</v>
      </c>
      <c r="AE124" s="83">
        <f>IF(AND(ISNUMBER(AE122),ISNUMBER(AE123)),IF(AE122&gt;0,AE123/AE122,""),"")</f>
        <v>0.636428571428572</v>
      </c>
      <c r="AF124" s="83" t="str">
        <f>IF(AND(ISNUMBER(AF122),ISNUMBER(AF123)),IF(AF122&gt;0,AF123/AF122,""),"")</f>
        <v/>
      </c>
      <c r="AG124" s="83">
        <f>IF(AND(ISNUMBER(AG122),ISNUMBER(AG123)),IF(AG122&gt;0,AG123/AG122,""),"")</f>
        <v>0.603571428571429</v>
      </c>
      <c r="AH124" s="83">
        <f>IF(AND(ISNUMBER(AH122),ISNUMBER(AH123)),IF(AH122&gt;0,AH123/AH122,""),"")</f>
        <v>0.687142857142857</v>
      </c>
      <c r="AI124" s="83" t="str">
        <f>IF(AND(ISNUMBER(AI122),ISNUMBER(AI123)),IF(AI122&gt;0,AI123/AI122,""),"")</f>
        <v/>
      </c>
      <c r="AJ124" s="84" t="str">
        <f>IF(AND(ISNUMBER(AJ122),ISNUMBER(AJ123)),IF(AJ122&gt;0,AJ123/AJ122,""),"")</f>
        <v/>
      </c>
      <c r="AK124" s="81">
        <f>IF(AND(ISNUMBER(AK122),ISNUMBER(AK123)),IF(AK122&gt;0,AK123/AK122,""),"")</f>
        <v>0.687142857142857</v>
      </c>
    </row>
    <row r="125" ht="15.75" customHeight="1">
      <c r="A125" s="118"/>
      <c r="B125" s="114" t="inlineStr">
        <is>
          <t xml:space="preserve">GENTE</t>
        </is>
      </c>
      <c r="C125" s="85" t="inlineStr">
        <is>
          <t xml:space="preserve">Efetivo</t>
        </is>
      </c>
      <c r="D125" s="86" t="str">
        <f>IFERROR(1/(1/INDEX(calculos!$C$55:$K$83,MATCH("Efetivo",calculos!$A$55:$A$83,0),MATCH($A$115,calculos!$C$54:$K$54,0))),"")</f>
        <v/>
      </c>
      <c r="E125" s="87"/>
      <c r="F125" s="88">
        <f>IF(F$3="","",IF(COUNTIFS(Base!$A$3:$A$5001,F$3,Base!$B$3:$B$5001,$A$115,Base!$Z$3:$Z$5001,"&lt;&gt;")=0,"",SUMIFS(Base!$Z$3:$Z$5001,Base!$A$3:$A$5001,F$3,Base!$B$3:$B$5001,$A$115)))</f>
        <v>12</v>
      </c>
      <c r="G125" s="89">
        <f>IF(G$3="","",IF(COUNTIFS(Base!$A$3:$A$5001,G$3,Base!$B$3:$B$5001,$A$115,Base!$Z$3:$Z$5001,"&lt;&gt;")=0,"",SUMIFS(Base!$Z$3:$Z$5001,Base!$A$3:$A$5001,G$3,Base!$B$3:$B$5001,$A$115)))</f>
        <v>10</v>
      </c>
      <c r="H125" s="89">
        <f>IF(H$3="","",IF(COUNTIFS(Base!$A$3:$A$5001,H$3,Base!$B$3:$B$5001,$A$115,Base!$Z$3:$Z$5001,"&lt;&gt;")=0,"",SUMIFS(Base!$Z$3:$Z$5001,Base!$A$3:$A$5001,H$3,Base!$B$3:$B$5001,$A$115)))</f>
        <v>12</v>
      </c>
      <c r="I125" s="89">
        <f>IF(I$3="","",IF(COUNTIFS(Base!$A$3:$A$5001,I$3,Base!$B$3:$B$5001,$A$115,Base!$Z$3:$Z$5001,"&lt;&gt;")=0,"",SUMIFS(Base!$Z$3:$Z$5001,Base!$A$3:$A$5001,I$3,Base!$B$3:$B$5001,$A$115)))</f>
        <v>11</v>
      </c>
      <c r="J125" s="89">
        <f>IF(J$3="","",IF(COUNTIFS(Base!$A$3:$A$5001,J$3,Base!$B$3:$B$5001,$A$115,Base!$Z$3:$Z$5001,"&lt;&gt;")=0,"",SUMIFS(Base!$Z$3:$Z$5001,Base!$A$3:$A$5001,J$3,Base!$B$3:$B$5001,$A$115)))</f>
        <v>6</v>
      </c>
      <c r="K125" s="89" t="str">
        <f>IF(K$3="","",IF(COUNTIFS(Base!$A$3:$A$5001,K$3,Base!$B$3:$B$5001,$A$115,Base!$Z$3:$Z$5001,"&lt;&gt;")=0,"",SUMIFS(Base!$Z$3:$Z$5001,Base!$A$3:$A$5001,K$3,Base!$B$3:$B$5001,$A$115)))</f>
        <v/>
      </c>
      <c r="L125" s="89">
        <f>IF(L$3="","",IF(COUNTIFS(Base!$A$3:$A$5001,L$3,Base!$B$3:$B$5001,$A$115,Base!$Z$3:$Z$5001,"&lt;&gt;")=0,"",SUMIFS(Base!$Z$3:$Z$5001,Base!$A$3:$A$5001,L$3,Base!$B$3:$B$5001,$A$115)))</f>
        <v>11</v>
      </c>
      <c r="M125" s="89">
        <f>IF(M$3="","",IF(COUNTIFS(Base!$A$3:$A$5001,M$3,Base!$B$3:$B$5001,$A$115,Base!$Z$3:$Z$5001,"&lt;&gt;")=0,"",SUMIFS(Base!$Z$3:$Z$5001,Base!$A$3:$A$5001,M$3,Base!$B$3:$B$5001,$A$115)))</f>
        <v>5</v>
      </c>
      <c r="N125" s="89">
        <f>IF(N$3="","",IF(COUNTIFS(Base!$A$3:$A$5001,N$3,Base!$B$3:$B$5001,$A$115,Base!$Z$3:$Z$5001,"&lt;&gt;")=0,"",SUMIFS(Base!$Z$3:$Z$5001,Base!$A$3:$A$5001,N$3,Base!$B$3:$B$5001,$A$115)))</f>
        <v>12</v>
      </c>
      <c r="O125" s="89">
        <f>IF(O$3="","",IF(COUNTIFS(Base!$A$3:$A$5001,O$3,Base!$B$3:$B$5001,$A$115,Base!$Z$3:$Z$5001,"&lt;&gt;")=0,"",SUMIFS(Base!$Z$3:$Z$5001,Base!$A$3:$A$5001,O$3,Base!$B$3:$B$5001,$A$115)))</f>
        <v>13</v>
      </c>
      <c r="P125" s="89">
        <f>IF(P$3="","",IF(COUNTIFS(Base!$A$3:$A$5001,P$3,Base!$B$3:$B$5001,$A$115,Base!$Z$3:$Z$5001,"&lt;&gt;")=0,"",SUMIFS(Base!$Z$3:$Z$5001,Base!$A$3:$A$5001,P$3,Base!$B$3:$B$5001,$A$115)))</f>
        <v>8</v>
      </c>
      <c r="Q125" s="89">
        <f>IF(Q$3="","",IF(COUNTIFS(Base!$A$3:$A$5001,Q$3,Base!$B$3:$B$5001,$A$115,Base!$Z$3:$Z$5001,"&lt;&gt;")=0,"",SUMIFS(Base!$Z$3:$Z$5001,Base!$A$3:$A$5001,Q$3,Base!$B$3:$B$5001,$A$115)))</f>
        <v>13</v>
      </c>
      <c r="R125" s="89" t="str">
        <f>IF(R$3="","",IF(COUNTIFS(Base!$A$3:$A$5001,R$3,Base!$B$3:$B$5001,$A$115,Base!$Z$3:$Z$5001,"&lt;&gt;")=0,"",SUMIFS(Base!$Z$3:$Z$5001,Base!$A$3:$A$5001,R$3,Base!$B$3:$B$5001,$A$115)))</f>
        <v/>
      </c>
      <c r="S125" s="89">
        <f>IF(S$3="","",IF(COUNTIFS(Base!$A$3:$A$5001,S$3,Base!$B$3:$B$5001,$A$115,Base!$Z$3:$Z$5001,"&lt;&gt;")=0,"",SUMIFS(Base!$Z$3:$Z$5001,Base!$A$3:$A$5001,S$3,Base!$B$3:$B$5001,$A$115)))</f>
        <v>5</v>
      </c>
      <c r="T125" s="89">
        <f>IF(T$3="","",IF(COUNTIFS(Base!$A$3:$A$5001,T$3,Base!$B$3:$B$5001,$A$115,Base!$Z$3:$Z$5001,"&lt;&gt;")=0,"",SUMIFS(Base!$Z$3:$Z$5001,Base!$A$3:$A$5001,T$3,Base!$B$3:$B$5001,$A$115)))</f>
        <v>4</v>
      </c>
      <c r="U125" s="89">
        <f>IF(U$3="","",IF(COUNTIFS(Base!$A$3:$A$5001,U$3,Base!$B$3:$B$5001,$A$115,Base!$Z$3:$Z$5001,"&lt;&gt;")=0,"",SUMIFS(Base!$Z$3:$Z$5001,Base!$A$3:$A$5001,U$3,Base!$B$3:$B$5001,$A$115)))</f>
        <v>8</v>
      </c>
      <c r="V125" s="89">
        <f>IF(V$3="","",IF(COUNTIFS(Base!$A$3:$A$5001,V$3,Base!$B$3:$B$5001,$A$115,Base!$Z$3:$Z$5001,"&lt;&gt;")=0,"",SUMIFS(Base!$Z$3:$Z$5001,Base!$A$3:$A$5001,V$3,Base!$B$3:$B$5001,$A$115)))</f>
        <v>4</v>
      </c>
      <c r="W125" s="89">
        <f>IF(W$3="","",IF(COUNTIFS(Base!$A$3:$A$5001,W$3,Base!$B$3:$B$5001,$A$115,Base!$Z$3:$Z$5001,"&lt;&gt;")=0,"",SUMIFS(Base!$Z$3:$Z$5001,Base!$A$3:$A$5001,W$3,Base!$B$3:$B$5001,$A$115)))</f>
        <v>5</v>
      </c>
      <c r="X125" s="89">
        <f>IF(X$3="","",IF(COUNTIFS(Base!$A$3:$A$5001,X$3,Base!$B$3:$B$5001,$A$115,Base!$Z$3:$Z$5001,"&lt;&gt;")=0,"",SUMIFS(Base!$Z$3:$Z$5001,Base!$A$3:$A$5001,X$3,Base!$B$3:$B$5001,$A$115)))</f>
        <v>10</v>
      </c>
      <c r="Y125" s="89" t="str">
        <f>IF(Y$3="","",IF(COUNTIFS(Base!$A$3:$A$5001,Y$3,Base!$B$3:$B$5001,$A$115,Base!$Z$3:$Z$5001,"&lt;&gt;")=0,"",SUMIFS(Base!$Z$3:$Z$5001,Base!$A$3:$A$5001,Y$3,Base!$B$3:$B$5001,$A$115)))</f>
        <v/>
      </c>
      <c r="Z125" s="89">
        <f>IF(Z$3="","",IF(COUNTIFS(Base!$A$3:$A$5001,Z$3,Base!$B$3:$B$5001,$A$115,Base!$Z$3:$Z$5001,"&lt;&gt;")=0,"",SUMIFS(Base!$Z$3:$Z$5001,Base!$A$3:$A$5001,Z$3,Base!$B$3:$B$5001,$A$115)))</f>
        <v>9</v>
      </c>
      <c r="AA125" s="89">
        <f>IF(AA$3="","",IF(COUNTIFS(Base!$A$3:$A$5001,AA$3,Base!$B$3:$B$5001,$A$115,Base!$Z$3:$Z$5001,"&lt;&gt;")=0,"",SUMIFS(Base!$Z$3:$Z$5001,Base!$A$3:$A$5001,AA$3,Base!$B$3:$B$5001,$A$115)))</f>
        <v>13</v>
      </c>
      <c r="AB125" s="89">
        <f>IF(AB$3="","",IF(COUNTIFS(Base!$A$3:$A$5001,AB$3,Base!$B$3:$B$5001,$A$115,Base!$Z$3:$Z$5001,"&lt;&gt;")=0,"",SUMIFS(Base!$Z$3:$Z$5001,Base!$A$3:$A$5001,AB$3,Base!$B$3:$B$5001,$A$115)))</f>
        <v>4</v>
      </c>
      <c r="AC125" s="89">
        <f>IF(AC$3="","",IF(COUNTIFS(Base!$A$3:$A$5001,AC$3,Base!$B$3:$B$5001,$A$115,Base!$Z$3:$Z$5001,"&lt;&gt;")=0,"",SUMIFS(Base!$Z$3:$Z$5001,Base!$A$3:$A$5001,AC$3,Base!$B$3:$B$5001,$A$115)))</f>
        <v>10</v>
      </c>
      <c r="AD125" s="89">
        <f>IF(AD$3="","",IF(COUNTIFS(Base!$A$3:$A$5001,AD$3,Base!$B$3:$B$5001,$A$115,Base!$Z$3:$Z$5001,"&lt;&gt;")=0,"",SUMIFS(Base!$Z$3:$Z$5001,Base!$A$3:$A$5001,AD$3,Base!$B$3:$B$5001,$A$115)))</f>
        <v>9</v>
      </c>
      <c r="AE125" s="89">
        <f>IF(AE$3="","",IF(COUNTIFS(Base!$A$3:$A$5001,AE$3,Base!$B$3:$B$5001,$A$115,Base!$Z$3:$Z$5001,"&lt;&gt;")=0,"",SUMIFS(Base!$Z$3:$Z$5001,Base!$A$3:$A$5001,AE$3,Base!$B$3:$B$5001,$A$115)))</f>
        <v>9</v>
      </c>
      <c r="AF125" s="89" t="str">
        <f>IF(AF$3="","",IF(COUNTIFS(Base!$A$3:$A$5001,AF$3,Base!$B$3:$B$5001,$A$115,Base!$Z$3:$Z$5001,"&lt;&gt;")=0,"",SUMIFS(Base!$Z$3:$Z$5001,Base!$A$3:$A$5001,AF$3,Base!$B$3:$B$5001,$A$115)))</f>
        <v/>
      </c>
      <c r="AG125" s="89">
        <f>IF(AG$3="","",IF(COUNTIFS(Base!$A$3:$A$5001,AG$3,Base!$B$3:$B$5001,$A$115,Base!$Z$3:$Z$5001,"&lt;&gt;")=0,"",SUMIFS(Base!$Z$3:$Z$5001,Base!$A$3:$A$5001,AG$3,Base!$B$3:$B$5001,$A$115)))</f>
        <v>10</v>
      </c>
      <c r="AH125" s="89">
        <f>IF(AH$3="","",IF(COUNTIFS(Base!$A$3:$A$5001,AH$3,Base!$B$3:$B$5001,$A$115,Base!$Z$3:$Z$5001,"&lt;&gt;")=0,"",SUMIFS(Base!$Z$3:$Z$5001,Base!$A$3:$A$5001,AH$3,Base!$B$3:$B$5001,$A$115)))</f>
        <v>7</v>
      </c>
      <c r="AI125" s="89" t="str">
        <f>IF(AI$3="","",IF(COUNTIFS(Base!$A$3:$A$5001,AI$3,Base!$B$3:$B$5001,$A$115,Base!$Z$3:$Z$5001,"&lt;&gt;")=0,"",SUMIFS(Base!$Z$3:$Z$5001,Base!$A$3:$A$5001,AI$3,Base!$B$3:$B$5001,$A$115)))</f>
        <v/>
      </c>
      <c r="AJ125" s="90" t="str">
        <f>IF(AJ$3="","",IF(COUNTIFS(Base!$A$3:$A$5001,AJ$3,Base!$B$3:$B$5001,$A$115,Base!$Z$3:$Z$5001,"&lt;&gt;")=0,"",SUMIFS(Base!$Z$3:$Z$5001,Base!$A$3:$A$5001,AJ$3,Base!$B$3:$B$5001,$A$115)))</f>
        <v/>
      </c>
      <c r="AK125" s="91">
        <f>IFERROR(LOOKUP(9.99E+307,F125:AJ125),"")</f>
        <v>7</v>
      </c>
    </row>
    <row r="126" ht="15.75" customHeight="1">
      <c r="A126" s="118"/>
      <c r="B126" s="115"/>
      <c r="C126" s="92" t="inlineStr">
        <is>
          <t xml:space="preserve">Falta</t>
        </is>
      </c>
      <c r="D126" s="93" t="str">
        <f>IFERROR(1/(1/INDEX(calculos!$C$55:$K$83,MATCH("Falta",calculos!$A$55:$A$83,0),MATCH($A$115,calculos!$C$54:$K$54,0))),"")</f>
        <v/>
      </c>
      <c r="E126" s="94"/>
      <c r="F126" s="95" t="str">
        <f>IF(F$3="","",IF(COUNTIFS(Base!$A$3:$A$5001,F$3,Base!$B$3:$B$5001,$A$115,Base!$AA$3:$AA$5001,"&lt;&gt;")=0,"",SUMIFS(Base!$AA$3:$AA$5001,Base!$A$3:$A$5001,F$3,Base!$B$3:$B$5001,$A$115)))</f>
        <v/>
      </c>
      <c r="G126" s="96" t="str">
        <f>IF(G$3="","",IF(COUNTIFS(Base!$A$3:$A$5001,G$3,Base!$B$3:$B$5001,$A$115,Base!$AA$3:$AA$5001,"&lt;&gt;")=0,"",SUMIFS(Base!$AA$3:$AA$5001,Base!$A$3:$A$5001,G$3,Base!$B$3:$B$5001,$A$115)))</f>
        <v/>
      </c>
      <c r="H126" s="96" t="str">
        <f>IF(H$3="","",IF(COUNTIFS(Base!$A$3:$A$5001,H$3,Base!$B$3:$B$5001,$A$115,Base!$AA$3:$AA$5001,"&lt;&gt;")=0,"",SUMIFS(Base!$AA$3:$AA$5001,Base!$A$3:$A$5001,H$3,Base!$B$3:$B$5001,$A$115)))</f>
        <v/>
      </c>
      <c r="I126" s="96" t="str">
        <f>IF(I$3="","",IF(COUNTIFS(Base!$A$3:$A$5001,I$3,Base!$B$3:$B$5001,$A$115,Base!$AA$3:$AA$5001,"&lt;&gt;")=0,"",SUMIFS(Base!$AA$3:$AA$5001,Base!$A$3:$A$5001,I$3,Base!$B$3:$B$5001,$A$115)))</f>
        <v/>
      </c>
      <c r="J126" s="96">
        <f>IF(J$3="","",IF(COUNTIFS(Base!$A$3:$A$5001,J$3,Base!$B$3:$B$5001,$A$115,Base!$AA$3:$AA$5001,"&lt;&gt;")=0,"",SUMIFS(Base!$AA$3:$AA$5001,Base!$A$3:$A$5001,J$3,Base!$B$3:$B$5001,$A$115)))</f>
        <v>1</v>
      </c>
      <c r="K126" s="96" t="str">
        <f>IF(K$3="","",IF(COUNTIFS(Base!$A$3:$A$5001,K$3,Base!$B$3:$B$5001,$A$115,Base!$AA$3:$AA$5001,"&lt;&gt;")=0,"",SUMIFS(Base!$AA$3:$AA$5001,Base!$A$3:$A$5001,K$3,Base!$B$3:$B$5001,$A$115)))</f>
        <v/>
      </c>
      <c r="L126" s="96" t="str">
        <f>IF(L$3="","",IF(COUNTIFS(Base!$A$3:$A$5001,L$3,Base!$B$3:$B$5001,$A$115,Base!$AA$3:$AA$5001,"&lt;&gt;")=0,"",SUMIFS(Base!$AA$3:$AA$5001,Base!$A$3:$A$5001,L$3,Base!$B$3:$B$5001,$A$115)))</f>
        <v/>
      </c>
      <c r="M126" s="96" t="str">
        <f>IF(M$3="","",IF(COUNTIFS(Base!$A$3:$A$5001,M$3,Base!$B$3:$B$5001,$A$115,Base!$AA$3:$AA$5001,"&lt;&gt;")=0,"",SUMIFS(Base!$AA$3:$AA$5001,Base!$A$3:$A$5001,M$3,Base!$B$3:$B$5001,$A$115)))</f>
        <v/>
      </c>
      <c r="N126" s="96">
        <f>IF(N$3="","",IF(COUNTIFS(Base!$A$3:$A$5001,N$3,Base!$B$3:$B$5001,$A$115,Base!$AA$3:$AA$5001,"&lt;&gt;")=0,"",SUMIFS(Base!$AA$3:$AA$5001,Base!$A$3:$A$5001,N$3,Base!$B$3:$B$5001,$A$115)))</f>
        <v>1</v>
      </c>
      <c r="O126" s="96" t="str">
        <f>IF(O$3="","",IF(COUNTIFS(Base!$A$3:$A$5001,O$3,Base!$B$3:$B$5001,$A$115,Base!$AA$3:$AA$5001,"&lt;&gt;")=0,"",SUMIFS(Base!$AA$3:$AA$5001,Base!$A$3:$A$5001,O$3,Base!$B$3:$B$5001,$A$115)))</f>
        <v/>
      </c>
      <c r="P126" s="96" t="str">
        <f>IF(P$3="","",IF(COUNTIFS(Base!$A$3:$A$5001,P$3,Base!$B$3:$B$5001,$A$115,Base!$AA$3:$AA$5001,"&lt;&gt;")=0,"",SUMIFS(Base!$AA$3:$AA$5001,Base!$A$3:$A$5001,P$3,Base!$B$3:$B$5001,$A$115)))</f>
        <v/>
      </c>
      <c r="Q126" s="96">
        <f>IF(Q$3="","",IF(COUNTIFS(Base!$A$3:$A$5001,Q$3,Base!$B$3:$B$5001,$A$115,Base!$AA$3:$AA$5001,"&lt;&gt;")=0,"",SUMIFS(Base!$AA$3:$AA$5001,Base!$A$3:$A$5001,Q$3,Base!$B$3:$B$5001,$A$115)))</f>
        <v>1</v>
      </c>
      <c r="R126" s="96" t="str">
        <f>IF(R$3="","",IF(COUNTIFS(Base!$A$3:$A$5001,R$3,Base!$B$3:$B$5001,$A$115,Base!$AA$3:$AA$5001,"&lt;&gt;")=0,"",SUMIFS(Base!$AA$3:$AA$5001,Base!$A$3:$A$5001,R$3,Base!$B$3:$B$5001,$A$115)))</f>
        <v/>
      </c>
      <c r="S126" s="96" t="str">
        <f>IF(S$3="","",IF(COUNTIFS(Base!$A$3:$A$5001,S$3,Base!$B$3:$B$5001,$A$115,Base!$AA$3:$AA$5001,"&lt;&gt;")=0,"",SUMIFS(Base!$AA$3:$AA$5001,Base!$A$3:$A$5001,S$3,Base!$B$3:$B$5001,$A$115)))</f>
        <v/>
      </c>
      <c r="T126" s="96" t="str">
        <f>IF(T$3="","",IF(COUNTIFS(Base!$A$3:$A$5001,T$3,Base!$B$3:$B$5001,$A$115,Base!$AA$3:$AA$5001,"&lt;&gt;")=0,"",SUMIFS(Base!$AA$3:$AA$5001,Base!$A$3:$A$5001,T$3,Base!$B$3:$B$5001,$A$115)))</f>
        <v/>
      </c>
      <c r="U126" s="96" t="str">
        <f>IF(U$3="","",IF(COUNTIFS(Base!$A$3:$A$5001,U$3,Base!$B$3:$B$5001,$A$115,Base!$AA$3:$AA$5001,"&lt;&gt;")=0,"",SUMIFS(Base!$AA$3:$AA$5001,Base!$A$3:$A$5001,U$3,Base!$B$3:$B$5001,$A$115)))</f>
        <v/>
      </c>
      <c r="V126" s="96" t="str">
        <f>IF(V$3="","",IF(COUNTIFS(Base!$A$3:$A$5001,V$3,Base!$B$3:$B$5001,$A$115,Base!$AA$3:$AA$5001,"&lt;&gt;")=0,"",SUMIFS(Base!$AA$3:$AA$5001,Base!$A$3:$A$5001,V$3,Base!$B$3:$B$5001,$A$115)))</f>
        <v/>
      </c>
      <c r="W126" s="96" t="str">
        <f>IF(W$3="","",IF(COUNTIFS(Base!$A$3:$A$5001,W$3,Base!$B$3:$B$5001,$A$115,Base!$AA$3:$AA$5001,"&lt;&gt;")=0,"",SUMIFS(Base!$AA$3:$AA$5001,Base!$A$3:$A$5001,W$3,Base!$B$3:$B$5001,$A$115)))</f>
        <v/>
      </c>
      <c r="X126" s="96">
        <f>IF(X$3="","",IF(COUNTIFS(Base!$A$3:$A$5001,X$3,Base!$B$3:$B$5001,$A$115,Base!$AA$3:$AA$5001,"&lt;&gt;")=0,"",SUMIFS(Base!$AA$3:$AA$5001,Base!$A$3:$A$5001,X$3,Base!$B$3:$B$5001,$A$115)))</f>
        <v>1</v>
      </c>
      <c r="Y126" s="96" t="str">
        <f>IF(Y$3="","",IF(COUNTIFS(Base!$A$3:$A$5001,Y$3,Base!$B$3:$B$5001,$A$115,Base!$AA$3:$AA$5001,"&lt;&gt;")=0,"",SUMIFS(Base!$AA$3:$AA$5001,Base!$A$3:$A$5001,Y$3,Base!$B$3:$B$5001,$A$115)))</f>
        <v/>
      </c>
      <c r="Z126" s="96" t="str">
        <f>IF(Z$3="","",IF(COUNTIFS(Base!$A$3:$A$5001,Z$3,Base!$B$3:$B$5001,$A$115,Base!$AA$3:$AA$5001,"&lt;&gt;")=0,"",SUMIFS(Base!$AA$3:$AA$5001,Base!$A$3:$A$5001,Z$3,Base!$B$3:$B$5001,$A$115)))</f>
        <v/>
      </c>
      <c r="AA126" s="96">
        <f>IF(AA$3="","",IF(COUNTIFS(Base!$A$3:$A$5001,AA$3,Base!$B$3:$B$5001,$A$115,Base!$AA$3:$AA$5001,"&lt;&gt;")=0,"",SUMIFS(Base!$AA$3:$AA$5001,Base!$A$3:$A$5001,AA$3,Base!$B$3:$B$5001,$A$115)))</f>
        <v>1</v>
      </c>
      <c r="AB126" s="96" t="str">
        <f>IF(AB$3="","",IF(COUNTIFS(Base!$A$3:$A$5001,AB$3,Base!$B$3:$B$5001,$A$115,Base!$AA$3:$AA$5001,"&lt;&gt;")=0,"",SUMIFS(Base!$AA$3:$AA$5001,Base!$A$3:$A$5001,AB$3,Base!$B$3:$B$5001,$A$115)))</f>
        <v/>
      </c>
      <c r="AC126" s="96">
        <f>IF(AC$3="","",IF(COUNTIFS(Base!$A$3:$A$5001,AC$3,Base!$B$3:$B$5001,$A$115,Base!$AA$3:$AA$5001,"&lt;&gt;")=0,"",SUMIFS(Base!$AA$3:$AA$5001,Base!$A$3:$A$5001,AC$3,Base!$B$3:$B$5001,$A$115)))</f>
        <v>1</v>
      </c>
      <c r="AD126" s="96" t="str">
        <f>IF(AD$3="","",IF(COUNTIFS(Base!$A$3:$A$5001,AD$3,Base!$B$3:$B$5001,$A$115,Base!$AA$3:$AA$5001,"&lt;&gt;")=0,"",SUMIFS(Base!$AA$3:$AA$5001,Base!$A$3:$A$5001,AD$3,Base!$B$3:$B$5001,$A$115)))</f>
        <v/>
      </c>
      <c r="AE126" s="96">
        <f>IF(AE$3="","",IF(COUNTIFS(Base!$A$3:$A$5001,AE$3,Base!$B$3:$B$5001,$A$115,Base!$AA$3:$AA$5001,"&lt;&gt;")=0,"",SUMIFS(Base!$AA$3:$AA$5001,Base!$A$3:$A$5001,AE$3,Base!$B$3:$B$5001,$A$115)))</f>
        <v>1</v>
      </c>
      <c r="AF126" s="96" t="str">
        <f>IF(AF$3="","",IF(COUNTIFS(Base!$A$3:$A$5001,AF$3,Base!$B$3:$B$5001,$A$115,Base!$AA$3:$AA$5001,"&lt;&gt;")=0,"",SUMIFS(Base!$AA$3:$AA$5001,Base!$A$3:$A$5001,AF$3,Base!$B$3:$B$5001,$A$115)))</f>
        <v/>
      </c>
      <c r="AG126" s="96" t="str">
        <f>IF(AG$3="","",IF(COUNTIFS(Base!$A$3:$A$5001,AG$3,Base!$B$3:$B$5001,$A$115,Base!$AA$3:$AA$5001,"&lt;&gt;")=0,"",SUMIFS(Base!$AA$3:$AA$5001,Base!$A$3:$A$5001,AG$3,Base!$B$3:$B$5001,$A$115)))</f>
        <v/>
      </c>
      <c r="AH126" s="96" t="str">
        <f>IF(AH$3="","",IF(COUNTIFS(Base!$A$3:$A$5001,AH$3,Base!$B$3:$B$5001,$A$115,Base!$AA$3:$AA$5001,"&lt;&gt;")=0,"",SUMIFS(Base!$AA$3:$AA$5001,Base!$A$3:$A$5001,AH$3,Base!$B$3:$B$5001,$A$115)))</f>
        <v/>
      </c>
      <c r="AI126" s="96" t="str">
        <f>IF(AI$3="","",IF(COUNTIFS(Base!$A$3:$A$5001,AI$3,Base!$B$3:$B$5001,$A$115,Base!$AA$3:$AA$5001,"&lt;&gt;")=0,"",SUMIFS(Base!$AA$3:$AA$5001,Base!$A$3:$A$5001,AI$3,Base!$B$3:$B$5001,$A$115)))</f>
        <v/>
      </c>
      <c r="AJ126" s="97" t="str">
        <f>IF(AJ$3="","",IF(COUNTIFS(Base!$A$3:$A$5001,AJ$3,Base!$B$3:$B$5001,$A$115,Base!$AA$3:$AA$5001,"&lt;&gt;")=0,"",SUMIFS(Base!$AA$3:$AA$5001,Base!$A$3:$A$5001,AJ$3,Base!$B$3:$B$5001,$A$115)))</f>
        <v/>
      </c>
      <c r="AK126" s="98">
        <f>IF(COUNT(F126:AJ126)=0,"",SUM(F126:AJ126))</f>
        <v>7</v>
      </c>
    </row>
    <row r="127" ht="15.75" customHeight="1">
      <c r="A127" s="118"/>
      <c r="B127" s="115"/>
      <c r="C127" s="92" t="inlineStr">
        <is>
          <t xml:space="preserve">Folga</t>
        </is>
      </c>
      <c r="D127" s="93" t="str">
        <f>IFERROR(1/(1/INDEX(calculos!$C$55:$K$83,MATCH("Folga",calculos!$A$55:$A$83,0),MATCH($A$115,calculos!$C$54:$K$54,0))),"")</f>
        <v/>
      </c>
      <c r="E127" s="94"/>
      <c r="F127" s="95">
        <f>IF(F$3="","",IF(COUNTIFS(Base!$A$3:$A$5001,F$3,Base!$B$3:$B$5001,$A$115,Base!$AB$3:$AB$5001,"&lt;&gt;")=0,"",SUMIFS(Base!$AB$3:$AB$5001,Base!$A$3:$A$5001,F$3,Base!$B$3:$B$5001,$A$115)))</f>
        <v>1</v>
      </c>
      <c r="G127" s="96" t="str">
        <f>IF(G$3="","",IF(COUNTIFS(Base!$A$3:$A$5001,G$3,Base!$B$3:$B$5001,$A$115,Base!$AB$3:$AB$5001,"&lt;&gt;")=0,"",SUMIFS(Base!$AB$3:$AB$5001,Base!$A$3:$A$5001,G$3,Base!$B$3:$B$5001,$A$115)))</f>
        <v/>
      </c>
      <c r="H127" s="96" t="str">
        <f>IF(H$3="","",IF(COUNTIFS(Base!$A$3:$A$5001,H$3,Base!$B$3:$B$5001,$A$115,Base!$AB$3:$AB$5001,"&lt;&gt;")=0,"",SUMIFS(Base!$AB$3:$AB$5001,Base!$A$3:$A$5001,H$3,Base!$B$3:$B$5001,$A$115)))</f>
        <v/>
      </c>
      <c r="I127" s="96" t="str">
        <f>IF(I$3="","",IF(COUNTIFS(Base!$A$3:$A$5001,I$3,Base!$B$3:$B$5001,$A$115,Base!$AB$3:$AB$5001,"&lt;&gt;")=0,"",SUMIFS(Base!$AB$3:$AB$5001,Base!$A$3:$A$5001,I$3,Base!$B$3:$B$5001,$A$115)))</f>
        <v/>
      </c>
      <c r="J127" s="96" t="str">
        <f>IF(J$3="","",IF(COUNTIFS(Base!$A$3:$A$5001,J$3,Base!$B$3:$B$5001,$A$115,Base!$AB$3:$AB$5001,"&lt;&gt;")=0,"",SUMIFS(Base!$AB$3:$AB$5001,Base!$A$3:$A$5001,J$3,Base!$B$3:$B$5001,$A$115)))</f>
        <v/>
      </c>
      <c r="K127" s="96" t="str">
        <f>IF(K$3="","",IF(COUNTIFS(Base!$A$3:$A$5001,K$3,Base!$B$3:$B$5001,$A$115,Base!$AB$3:$AB$5001,"&lt;&gt;")=0,"",SUMIFS(Base!$AB$3:$AB$5001,Base!$A$3:$A$5001,K$3,Base!$B$3:$B$5001,$A$115)))</f>
        <v/>
      </c>
      <c r="L127" s="96" t="str">
        <f>IF(L$3="","",IF(COUNTIFS(Base!$A$3:$A$5001,L$3,Base!$B$3:$B$5001,$A$115,Base!$AB$3:$AB$5001,"&lt;&gt;")=0,"",SUMIFS(Base!$AB$3:$AB$5001,Base!$A$3:$A$5001,L$3,Base!$B$3:$B$5001,$A$115)))</f>
        <v/>
      </c>
      <c r="M127" s="96" t="str">
        <f>IF(M$3="","",IF(COUNTIFS(Base!$A$3:$A$5001,M$3,Base!$B$3:$B$5001,$A$115,Base!$AB$3:$AB$5001,"&lt;&gt;")=0,"",SUMIFS(Base!$AB$3:$AB$5001,Base!$A$3:$A$5001,M$3,Base!$B$3:$B$5001,$A$115)))</f>
        <v/>
      </c>
      <c r="N127" s="96" t="str">
        <f>IF(N$3="","",IF(COUNTIFS(Base!$A$3:$A$5001,N$3,Base!$B$3:$B$5001,$A$115,Base!$AB$3:$AB$5001,"&lt;&gt;")=0,"",SUMIFS(Base!$AB$3:$AB$5001,Base!$A$3:$A$5001,N$3,Base!$B$3:$B$5001,$A$115)))</f>
        <v/>
      </c>
      <c r="O127" s="96" t="str">
        <f>IF(O$3="","",IF(COUNTIFS(Base!$A$3:$A$5001,O$3,Base!$B$3:$B$5001,$A$115,Base!$AB$3:$AB$5001,"&lt;&gt;")=0,"",SUMIFS(Base!$AB$3:$AB$5001,Base!$A$3:$A$5001,O$3,Base!$B$3:$B$5001,$A$115)))</f>
        <v/>
      </c>
      <c r="P127" s="96" t="str">
        <f>IF(P$3="","",IF(COUNTIFS(Base!$A$3:$A$5001,P$3,Base!$B$3:$B$5001,$A$115,Base!$AB$3:$AB$5001,"&lt;&gt;")=0,"",SUMIFS(Base!$AB$3:$AB$5001,Base!$A$3:$A$5001,P$3,Base!$B$3:$B$5001,$A$115)))</f>
        <v/>
      </c>
      <c r="Q127" s="96" t="str">
        <f>IF(Q$3="","",IF(COUNTIFS(Base!$A$3:$A$5001,Q$3,Base!$B$3:$B$5001,$A$115,Base!$AB$3:$AB$5001,"&lt;&gt;")=0,"",SUMIFS(Base!$AB$3:$AB$5001,Base!$A$3:$A$5001,Q$3,Base!$B$3:$B$5001,$A$115)))</f>
        <v/>
      </c>
      <c r="R127" s="96" t="str">
        <f>IF(R$3="","",IF(COUNTIFS(Base!$A$3:$A$5001,R$3,Base!$B$3:$B$5001,$A$115,Base!$AB$3:$AB$5001,"&lt;&gt;")=0,"",SUMIFS(Base!$AB$3:$AB$5001,Base!$A$3:$A$5001,R$3,Base!$B$3:$B$5001,$A$115)))</f>
        <v/>
      </c>
      <c r="S127" s="96" t="str">
        <f>IF(S$3="","",IF(COUNTIFS(Base!$A$3:$A$5001,S$3,Base!$B$3:$B$5001,$A$115,Base!$AB$3:$AB$5001,"&lt;&gt;")=0,"",SUMIFS(Base!$AB$3:$AB$5001,Base!$A$3:$A$5001,S$3,Base!$B$3:$B$5001,$A$115)))</f>
        <v/>
      </c>
      <c r="T127" s="96" t="str">
        <f>IF(T$3="","",IF(COUNTIFS(Base!$A$3:$A$5001,T$3,Base!$B$3:$B$5001,$A$115,Base!$AB$3:$AB$5001,"&lt;&gt;")=0,"",SUMIFS(Base!$AB$3:$AB$5001,Base!$A$3:$A$5001,T$3,Base!$B$3:$B$5001,$A$115)))</f>
        <v/>
      </c>
      <c r="U127" s="96" t="str">
        <f>IF(U$3="","",IF(COUNTIFS(Base!$A$3:$A$5001,U$3,Base!$B$3:$B$5001,$A$115,Base!$AB$3:$AB$5001,"&lt;&gt;")=0,"",SUMIFS(Base!$AB$3:$AB$5001,Base!$A$3:$A$5001,U$3,Base!$B$3:$B$5001,$A$115)))</f>
        <v/>
      </c>
      <c r="V127" s="96" t="str">
        <f>IF(V$3="","",IF(COUNTIFS(Base!$A$3:$A$5001,V$3,Base!$B$3:$B$5001,$A$115,Base!$AB$3:$AB$5001,"&lt;&gt;")=0,"",SUMIFS(Base!$AB$3:$AB$5001,Base!$A$3:$A$5001,V$3,Base!$B$3:$B$5001,$A$115)))</f>
        <v/>
      </c>
      <c r="W127" s="96" t="str">
        <f>IF(W$3="","",IF(COUNTIFS(Base!$A$3:$A$5001,W$3,Base!$B$3:$B$5001,$A$115,Base!$AB$3:$AB$5001,"&lt;&gt;")=0,"",SUMIFS(Base!$AB$3:$AB$5001,Base!$A$3:$A$5001,W$3,Base!$B$3:$B$5001,$A$115)))</f>
        <v/>
      </c>
      <c r="X127" s="96" t="str">
        <f>IF(X$3="","",IF(COUNTIFS(Base!$A$3:$A$5001,X$3,Base!$B$3:$B$5001,$A$115,Base!$AB$3:$AB$5001,"&lt;&gt;")=0,"",SUMIFS(Base!$AB$3:$AB$5001,Base!$A$3:$A$5001,X$3,Base!$B$3:$B$5001,$A$115)))</f>
        <v/>
      </c>
      <c r="Y127" s="96" t="str">
        <f>IF(Y$3="","",IF(COUNTIFS(Base!$A$3:$A$5001,Y$3,Base!$B$3:$B$5001,$A$115,Base!$AB$3:$AB$5001,"&lt;&gt;")=0,"",SUMIFS(Base!$AB$3:$AB$5001,Base!$A$3:$A$5001,Y$3,Base!$B$3:$B$5001,$A$115)))</f>
        <v/>
      </c>
      <c r="Z127" s="96">
        <f>IF(Z$3="","",IF(COUNTIFS(Base!$A$3:$A$5001,Z$3,Base!$B$3:$B$5001,$A$115,Base!$AB$3:$AB$5001,"&lt;&gt;")=0,"",SUMIFS(Base!$AB$3:$AB$5001,Base!$A$3:$A$5001,Z$3,Base!$B$3:$B$5001,$A$115)))</f>
        <v>1</v>
      </c>
      <c r="AA127" s="96" t="str">
        <f>IF(AA$3="","",IF(COUNTIFS(Base!$A$3:$A$5001,AA$3,Base!$B$3:$B$5001,$A$115,Base!$AB$3:$AB$5001,"&lt;&gt;")=0,"",SUMIFS(Base!$AB$3:$AB$5001,Base!$A$3:$A$5001,AA$3,Base!$B$3:$B$5001,$A$115)))</f>
        <v/>
      </c>
      <c r="AB127" s="96" t="str">
        <f>IF(AB$3="","",IF(COUNTIFS(Base!$A$3:$A$5001,AB$3,Base!$B$3:$B$5001,$A$115,Base!$AB$3:$AB$5001,"&lt;&gt;")=0,"",SUMIFS(Base!$AB$3:$AB$5001,Base!$A$3:$A$5001,AB$3,Base!$B$3:$B$5001,$A$115)))</f>
        <v/>
      </c>
      <c r="AC127" s="96" t="str">
        <f>IF(AC$3="","",IF(COUNTIFS(Base!$A$3:$A$5001,AC$3,Base!$B$3:$B$5001,$A$115,Base!$AB$3:$AB$5001,"&lt;&gt;")=0,"",SUMIFS(Base!$AB$3:$AB$5001,Base!$A$3:$A$5001,AC$3,Base!$B$3:$B$5001,$A$115)))</f>
        <v/>
      </c>
      <c r="AD127" s="96" t="str">
        <f>IF(AD$3="","",IF(COUNTIFS(Base!$A$3:$A$5001,AD$3,Base!$B$3:$B$5001,$A$115,Base!$AB$3:$AB$5001,"&lt;&gt;")=0,"",SUMIFS(Base!$AB$3:$AB$5001,Base!$A$3:$A$5001,AD$3,Base!$B$3:$B$5001,$A$115)))</f>
        <v/>
      </c>
      <c r="AE127" s="96" t="str">
        <f>IF(AE$3="","",IF(COUNTIFS(Base!$A$3:$A$5001,AE$3,Base!$B$3:$B$5001,$A$115,Base!$AB$3:$AB$5001,"&lt;&gt;")=0,"",SUMIFS(Base!$AB$3:$AB$5001,Base!$A$3:$A$5001,AE$3,Base!$B$3:$B$5001,$A$115)))</f>
        <v/>
      </c>
      <c r="AF127" s="96" t="str">
        <f>IF(AF$3="","",IF(COUNTIFS(Base!$A$3:$A$5001,AF$3,Base!$B$3:$B$5001,$A$115,Base!$AB$3:$AB$5001,"&lt;&gt;")=0,"",SUMIFS(Base!$AB$3:$AB$5001,Base!$A$3:$A$5001,AF$3,Base!$B$3:$B$5001,$A$115)))</f>
        <v/>
      </c>
      <c r="AG127" s="96">
        <f>IF(AG$3="","",IF(COUNTIFS(Base!$A$3:$A$5001,AG$3,Base!$B$3:$B$5001,$A$115,Base!$AB$3:$AB$5001,"&lt;&gt;")=0,"",SUMIFS(Base!$AB$3:$AB$5001,Base!$A$3:$A$5001,AG$3,Base!$B$3:$B$5001,$A$115)))</f>
        <v>1</v>
      </c>
      <c r="AH127" s="96" t="str">
        <f>IF(AH$3="","",IF(COUNTIFS(Base!$A$3:$A$5001,AH$3,Base!$B$3:$B$5001,$A$115,Base!$AB$3:$AB$5001,"&lt;&gt;")=0,"",SUMIFS(Base!$AB$3:$AB$5001,Base!$A$3:$A$5001,AH$3,Base!$B$3:$B$5001,$A$115)))</f>
        <v/>
      </c>
      <c r="AI127" s="96" t="str">
        <f>IF(AI$3="","",IF(COUNTIFS(Base!$A$3:$A$5001,AI$3,Base!$B$3:$B$5001,$A$115,Base!$AB$3:$AB$5001,"&lt;&gt;")=0,"",SUMIFS(Base!$AB$3:$AB$5001,Base!$A$3:$A$5001,AI$3,Base!$B$3:$B$5001,$A$115)))</f>
        <v/>
      </c>
      <c r="AJ127" s="97" t="str">
        <f>IF(AJ$3="","",IF(COUNTIFS(Base!$A$3:$A$5001,AJ$3,Base!$B$3:$B$5001,$A$115,Base!$AB$3:$AB$5001,"&lt;&gt;")=0,"",SUMIFS(Base!$AB$3:$AB$5001,Base!$A$3:$A$5001,AJ$3,Base!$B$3:$B$5001,$A$115)))</f>
        <v/>
      </c>
      <c r="AK127" s="98">
        <f>IF(COUNT(F127:AJ127)=0,"",SUM(F127:AJ127))</f>
        <v>3</v>
      </c>
    </row>
    <row r="128" ht="15.75" customHeight="1">
      <c r="A128" s="118"/>
      <c r="B128" s="115"/>
      <c r="C128" s="92" t="inlineStr">
        <is>
          <t xml:space="preserve">Férias</t>
        </is>
      </c>
      <c r="D128" s="93" t="str">
        <f>IFERROR(1/(1/INDEX(calculos!$C$55:$K$83,MATCH("Férias",calculos!$A$55:$A$83,0),MATCH($A$115,calculos!$C$54:$K$54,0))),"")</f>
        <v/>
      </c>
      <c r="E128" s="94"/>
      <c r="F128" s="95" t="str">
        <f>IF(F$3="","",IF(COUNTIFS(Base!$A$3:$A$5001,F$3,Base!$B$3:$B$5001,$A$115,Base!$AC$3:$AC$5001,"&lt;&gt;")=0,"",SUMIFS(Base!$AC$3:$AC$5001,Base!$A$3:$A$5001,F$3,Base!$B$3:$B$5001,$A$115)))</f>
        <v/>
      </c>
      <c r="G128" s="96" t="str">
        <f>IF(G$3="","",IF(COUNTIFS(Base!$A$3:$A$5001,G$3,Base!$B$3:$B$5001,$A$115,Base!$AC$3:$AC$5001,"&lt;&gt;")=0,"",SUMIFS(Base!$AC$3:$AC$5001,Base!$A$3:$A$5001,G$3,Base!$B$3:$B$5001,$A$115)))</f>
        <v/>
      </c>
      <c r="H128" s="96" t="str">
        <f>IF(H$3="","",IF(COUNTIFS(Base!$A$3:$A$5001,H$3,Base!$B$3:$B$5001,$A$115,Base!$AC$3:$AC$5001,"&lt;&gt;")=0,"",SUMIFS(Base!$AC$3:$AC$5001,Base!$A$3:$A$5001,H$3,Base!$B$3:$B$5001,$A$115)))</f>
        <v/>
      </c>
      <c r="I128" s="96" t="str">
        <f>IF(I$3="","",IF(COUNTIFS(Base!$A$3:$A$5001,I$3,Base!$B$3:$B$5001,$A$115,Base!$AC$3:$AC$5001,"&lt;&gt;")=0,"",SUMIFS(Base!$AC$3:$AC$5001,Base!$A$3:$A$5001,I$3,Base!$B$3:$B$5001,$A$115)))</f>
        <v/>
      </c>
      <c r="J128" s="96" t="str">
        <f>IF(J$3="","",IF(COUNTIFS(Base!$A$3:$A$5001,J$3,Base!$B$3:$B$5001,$A$115,Base!$AC$3:$AC$5001,"&lt;&gt;")=0,"",SUMIFS(Base!$AC$3:$AC$5001,Base!$A$3:$A$5001,J$3,Base!$B$3:$B$5001,$A$115)))</f>
        <v/>
      </c>
      <c r="K128" s="96" t="str">
        <f>IF(K$3="","",IF(COUNTIFS(Base!$A$3:$A$5001,K$3,Base!$B$3:$B$5001,$A$115,Base!$AC$3:$AC$5001,"&lt;&gt;")=0,"",SUMIFS(Base!$AC$3:$AC$5001,Base!$A$3:$A$5001,K$3,Base!$B$3:$B$5001,$A$115)))</f>
        <v/>
      </c>
      <c r="L128" s="96" t="str">
        <f>IF(L$3="","",IF(COUNTIFS(Base!$A$3:$A$5001,L$3,Base!$B$3:$B$5001,$A$115,Base!$AC$3:$AC$5001,"&lt;&gt;")=0,"",SUMIFS(Base!$AC$3:$AC$5001,Base!$A$3:$A$5001,L$3,Base!$B$3:$B$5001,$A$115)))</f>
        <v/>
      </c>
      <c r="M128" s="96" t="str">
        <f>IF(M$3="","",IF(COUNTIFS(Base!$A$3:$A$5001,M$3,Base!$B$3:$B$5001,$A$115,Base!$AC$3:$AC$5001,"&lt;&gt;")=0,"",SUMIFS(Base!$AC$3:$AC$5001,Base!$A$3:$A$5001,M$3,Base!$B$3:$B$5001,$A$115)))</f>
        <v/>
      </c>
      <c r="N128" s="96" t="str">
        <f>IF(N$3="","",IF(COUNTIFS(Base!$A$3:$A$5001,N$3,Base!$B$3:$B$5001,$A$115,Base!$AC$3:$AC$5001,"&lt;&gt;")=0,"",SUMIFS(Base!$AC$3:$AC$5001,Base!$A$3:$A$5001,N$3,Base!$B$3:$B$5001,$A$115)))</f>
        <v/>
      </c>
      <c r="O128" s="96" t="str">
        <f>IF(O$3="","",IF(COUNTIFS(Base!$A$3:$A$5001,O$3,Base!$B$3:$B$5001,$A$115,Base!$AC$3:$AC$5001,"&lt;&gt;")=0,"",SUMIFS(Base!$AC$3:$AC$5001,Base!$A$3:$A$5001,O$3,Base!$B$3:$B$5001,$A$115)))</f>
        <v/>
      </c>
      <c r="P128" s="96" t="str">
        <f>IF(P$3="","",IF(COUNTIFS(Base!$A$3:$A$5001,P$3,Base!$B$3:$B$5001,$A$115,Base!$AC$3:$AC$5001,"&lt;&gt;")=0,"",SUMIFS(Base!$AC$3:$AC$5001,Base!$A$3:$A$5001,P$3,Base!$B$3:$B$5001,$A$115)))</f>
        <v/>
      </c>
      <c r="Q128" s="96">
        <f>IF(Q$3="","",IF(COUNTIFS(Base!$A$3:$A$5001,Q$3,Base!$B$3:$B$5001,$A$115,Base!$AC$3:$AC$5001,"&lt;&gt;")=0,"",SUMIFS(Base!$AC$3:$AC$5001,Base!$A$3:$A$5001,Q$3,Base!$B$3:$B$5001,$A$115)))</f>
        <v>1</v>
      </c>
      <c r="R128" s="96" t="str">
        <f>IF(R$3="","",IF(COUNTIFS(Base!$A$3:$A$5001,R$3,Base!$B$3:$B$5001,$A$115,Base!$AC$3:$AC$5001,"&lt;&gt;")=0,"",SUMIFS(Base!$AC$3:$AC$5001,Base!$A$3:$A$5001,R$3,Base!$B$3:$B$5001,$A$115)))</f>
        <v/>
      </c>
      <c r="S128" s="96" t="str">
        <f>IF(S$3="","",IF(COUNTIFS(Base!$A$3:$A$5001,S$3,Base!$B$3:$B$5001,$A$115,Base!$AC$3:$AC$5001,"&lt;&gt;")=0,"",SUMIFS(Base!$AC$3:$AC$5001,Base!$A$3:$A$5001,S$3,Base!$B$3:$B$5001,$A$115)))</f>
        <v/>
      </c>
      <c r="T128" s="96" t="str">
        <f>IF(T$3="","",IF(COUNTIFS(Base!$A$3:$A$5001,T$3,Base!$B$3:$B$5001,$A$115,Base!$AC$3:$AC$5001,"&lt;&gt;")=0,"",SUMIFS(Base!$AC$3:$AC$5001,Base!$A$3:$A$5001,T$3,Base!$B$3:$B$5001,$A$115)))</f>
        <v/>
      </c>
      <c r="U128" s="96" t="str">
        <f>IF(U$3="","",IF(COUNTIFS(Base!$A$3:$A$5001,U$3,Base!$B$3:$B$5001,$A$115,Base!$AC$3:$AC$5001,"&lt;&gt;")=0,"",SUMIFS(Base!$AC$3:$AC$5001,Base!$A$3:$A$5001,U$3,Base!$B$3:$B$5001,$A$115)))</f>
        <v/>
      </c>
      <c r="V128" s="96" t="str">
        <f>IF(V$3="","",IF(COUNTIFS(Base!$A$3:$A$5001,V$3,Base!$B$3:$B$5001,$A$115,Base!$AC$3:$AC$5001,"&lt;&gt;")=0,"",SUMIFS(Base!$AC$3:$AC$5001,Base!$A$3:$A$5001,V$3,Base!$B$3:$B$5001,$A$115)))</f>
        <v/>
      </c>
      <c r="W128" s="96" t="str">
        <f>IF(W$3="","",IF(COUNTIFS(Base!$A$3:$A$5001,W$3,Base!$B$3:$B$5001,$A$115,Base!$AC$3:$AC$5001,"&lt;&gt;")=0,"",SUMIFS(Base!$AC$3:$AC$5001,Base!$A$3:$A$5001,W$3,Base!$B$3:$B$5001,$A$115)))</f>
        <v/>
      </c>
      <c r="X128" s="96">
        <f>IF(X$3="","",IF(COUNTIFS(Base!$A$3:$A$5001,X$3,Base!$B$3:$B$5001,$A$115,Base!$AC$3:$AC$5001,"&lt;&gt;")=0,"",SUMIFS(Base!$AC$3:$AC$5001,Base!$A$3:$A$5001,X$3,Base!$B$3:$B$5001,$A$115)))</f>
        <v>1</v>
      </c>
      <c r="Y128" s="96" t="str">
        <f>IF(Y$3="","",IF(COUNTIFS(Base!$A$3:$A$5001,Y$3,Base!$B$3:$B$5001,$A$115,Base!$AC$3:$AC$5001,"&lt;&gt;")=0,"",SUMIFS(Base!$AC$3:$AC$5001,Base!$A$3:$A$5001,Y$3,Base!$B$3:$B$5001,$A$115)))</f>
        <v/>
      </c>
      <c r="Z128" s="96" t="str">
        <f>IF(Z$3="","",IF(COUNTIFS(Base!$A$3:$A$5001,Z$3,Base!$B$3:$B$5001,$A$115,Base!$AC$3:$AC$5001,"&lt;&gt;")=0,"",SUMIFS(Base!$AC$3:$AC$5001,Base!$A$3:$A$5001,Z$3,Base!$B$3:$B$5001,$A$115)))</f>
        <v/>
      </c>
      <c r="AA128" s="96" t="str">
        <f>IF(AA$3="","",IF(COUNTIFS(Base!$A$3:$A$5001,AA$3,Base!$B$3:$B$5001,$A$115,Base!$AC$3:$AC$5001,"&lt;&gt;")=0,"",SUMIFS(Base!$AC$3:$AC$5001,Base!$A$3:$A$5001,AA$3,Base!$B$3:$B$5001,$A$115)))</f>
        <v/>
      </c>
      <c r="AB128" s="96" t="str">
        <f>IF(AB$3="","",IF(COUNTIFS(Base!$A$3:$A$5001,AB$3,Base!$B$3:$B$5001,$A$115,Base!$AC$3:$AC$5001,"&lt;&gt;")=0,"",SUMIFS(Base!$AC$3:$AC$5001,Base!$A$3:$A$5001,AB$3,Base!$B$3:$B$5001,$A$115)))</f>
        <v/>
      </c>
      <c r="AC128" s="96" t="str">
        <f>IF(AC$3="","",IF(COUNTIFS(Base!$A$3:$A$5001,AC$3,Base!$B$3:$B$5001,$A$115,Base!$AC$3:$AC$5001,"&lt;&gt;")=0,"",SUMIFS(Base!$AC$3:$AC$5001,Base!$A$3:$A$5001,AC$3,Base!$B$3:$B$5001,$A$115)))</f>
        <v/>
      </c>
      <c r="AD128" s="96" t="str">
        <f>IF(AD$3="","",IF(COUNTIFS(Base!$A$3:$A$5001,AD$3,Base!$B$3:$B$5001,$A$115,Base!$AC$3:$AC$5001,"&lt;&gt;")=0,"",SUMIFS(Base!$AC$3:$AC$5001,Base!$A$3:$A$5001,AD$3,Base!$B$3:$B$5001,$A$115)))</f>
        <v/>
      </c>
      <c r="AE128" s="96" t="str">
        <f>IF(AE$3="","",IF(COUNTIFS(Base!$A$3:$A$5001,AE$3,Base!$B$3:$B$5001,$A$115,Base!$AC$3:$AC$5001,"&lt;&gt;")=0,"",SUMIFS(Base!$AC$3:$AC$5001,Base!$A$3:$A$5001,AE$3,Base!$B$3:$B$5001,$A$115)))</f>
        <v/>
      </c>
      <c r="AF128" s="96" t="str">
        <f>IF(AF$3="","",IF(COUNTIFS(Base!$A$3:$A$5001,AF$3,Base!$B$3:$B$5001,$A$115,Base!$AC$3:$AC$5001,"&lt;&gt;")=0,"",SUMIFS(Base!$AC$3:$AC$5001,Base!$A$3:$A$5001,AF$3,Base!$B$3:$B$5001,$A$115)))</f>
        <v/>
      </c>
      <c r="AG128" s="96" t="str">
        <f>IF(AG$3="","",IF(COUNTIFS(Base!$A$3:$A$5001,AG$3,Base!$B$3:$B$5001,$A$115,Base!$AC$3:$AC$5001,"&lt;&gt;")=0,"",SUMIFS(Base!$AC$3:$AC$5001,Base!$A$3:$A$5001,AG$3,Base!$B$3:$B$5001,$A$115)))</f>
        <v/>
      </c>
      <c r="AH128" s="96" t="str">
        <f>IF(AH$3="","",IF(COUNTIFS(Base!$A$3:$A$5001,AH$3,Base!$B$3:$B$5001,$A$115,Base!$AC$3:$AC$5001,"&lt;&gt;")=0,"",SUMIFS(Base!$AC$3:$AC$5001,Base!$A$3:$A$5001,AH$3,Base!$B$3:$B$5001,$A$115)))</f>
        <v/>
      </c>
      <c r="AI128" s="96" t="str">
        <f>IF(AI$3="","",IF(COUNTIFS(Base!$A$3:$A$5001,AI$3,Base!$B$3:$B$5001,$A$115,Base!$AC$3:$AC$5001,"&lt;&gt;")=0,"",SUMIFS(Base!$AC$3:$AC$5001,Base!$A$3:$A$5001,AI$3,Base!$B$3:$B$5001,$A$115)))</f>
        <v/>
      </c>
      <c r="AJ128" s="97" t="str">
        <f>IF(AJ$3="","",IF(COUNTIFS(Base!$A$3:$A$5001,AJ$3,Base!$B$3:$B$5001,$A$115,Base!$AC$3:$AC$5001,"&lt;&gt;")=0,"",SUMIFS(Base!$AC$3:$AC$5001,Base!$A$3:$A$5001,AJ$3,Base!$B$3:$B$5001,$A$115)))</f>
        <v/>
      </c>
      <c r="AK128" s="98">
        <f>IF(COUNT(F128:AJ128)=0,"",SUM(F128:AJ128))</f>
        <v>2</v>
      </c>
    </row>
    <row r="129" ht="15.75" customHeight="1">
      <c r="A129" s="119"/>
      <c r="B129" s="116"/>
      <c r="C129" s="99" t="inlineStr">
        <is>
          <t xml:space="preserve">Desligamentos</t>
        </is>
      </c>
      <c r="D129" s="100" t="str">
        <f>IFERROR(1/(1/INDEX(calculos!$C$55:$K$83,MATCH("Desligamentos",calculos!$A$55:$A$83,0),MATCH($A$115,calculos!$C$54:$K$54,0))),"")</f>
        <v/>
      </c>
      <c r="E129" s="101"/>
      <c r="F129" s="102" t="str">
        <f>IF(F$3="","",IF(COUNTIFS(Base!$A$3:$A$5001,F$3,Base!$B$3:$B$5001,$A$115,Base!$AD$3:$AD$5001,"&lt;&gt;")=0,"",SUMIFS(Base!$AD$3:$AD$5001,Base!$A$3:$A$5001,F$3,Base!$B$3:$B$5001,$A$115)))</f>
        <v/>
      </c>
      <c r="G129" s="103" t="str">
        <f>IF(G$3="","",IF(COUNTIFS(Base!$A$3:$A$5001,G$3,Base!$B$3:$B$5001,$A$115,Base!$AD$3:$AD$5001,"&lt;&gt;")=0,"",SUMIFS(Base!$AD$3:$AD$5001,Base!$A$3:$A$5001,G$3,Base!$B$3:$B$5001,$A$115)))</f>
        <v/>
      </c>
      <c r="H129" s="103" t="str">
        <f>IF(H$3="","",IF(COUNTIFS(Base!$A$3:$A$5001,H$3,Base!$B$3:$B$5001,$A$115,Base!$AD$3:$AD$5001,"&lt;&gt;")=0,"",SUMIFS(Base!$AD$3:$AD$5001,Base!$A$3:$A$5001,H$3,Base!$B$3:$B$5001,$A$115)))</f>
        <v/>
      </c>
      <c r="I129" s="103">
        <f>IF(I$3="","",IF(COUNTIFS(Base!$A$3:$A$5001,I$3,Base!$B$3:$B$5001,$A$115,Base!$AD$3:$AD$5001,"&lt;&gt;")=0,"",SUMIFS(Base!$AD$3:$AD$5001,Base!$A$3:$A$5001,I$3,Base!$B$3:$B$5001,$A$115)))</f>
        <v>1</v>
      </c>
      <c r="J129" s="103" t="str">
        <f>IF(J$3="","",IF(COUNTIFS(Base!$A$3:$A$5001,J$3,Base!$B$3:$B$5001,$A$115,Base!$AD$3:$AD$5001,"&lt;&gt;")=0,"",SUMIFS(Base!$AD$3:$AD$5001,Base!$A$3:$A$5001,J$3,Base!$B$3:$B$5001,$A$115)))</f>
        <v/>
      </c>
      <c r="K129" s="103" t="str">
        <f>IF(K$3="","",IF(COUNTIFS(Base!$A$3:$A$5001,K$3,Base!$B$3:$B$5001,$A$115,Base!$AD$3:$AD$5001,"&lt;&gt;")=0,"",SUMIFS(Base!$AD$3:$AD$5001,Base!$A$3:$A$5001,K$3,Base!$B$3:$B$5001,$A$115)))</f>
        <v/>
      </c>
      <c r="L129" s="103" t="str">
        <f>IF(L$3="","",IF(COUNTIFS(Base!$A$3:$A$5001,L$3,Base!$B$3:$B$5001,$A$115,Base!$AD$3:$AD$5001,"&lt;&gt;")=0,"",SUMIFS(Base!$AD$3:$AD$5001,Base!$A$3:$A$5001,L$3,Base!$B$3:$B$5001,$A$115)))</f>
        <v/>
      </c>
      <c r="M129" s="103" t="str">
        <f>IF(M$3="","",IF(COUNTIFS(Base!$A$3:$A$5001,M$3,Base!$B$3:$B$5001,$A$115,Base!$AD$3:$AD$5001,"&lt;&gt;")=0,"",SUMIFS(Base!$AD$3:$AD$5001,Base!$A$3:$A$5001,M$3,Base!$B$3:$B$5001,$A$115)))</f>
        <v/>
      </c>
      <c r="N129" s="103" t="str">
        <f>IF(N$3="","",IF(COUNTIFS(Base!$A$3:$A$5001,N$3,Base!$B$3:$B$5001,$A$115,Base!$AD$3:$AD$5001,"&lt;&gt;")=0,"",SUMIFS(Base!$AD$3:$AD$5001,Base!$A$3:$A$5001,N$3,Base!$B$3:$B$5001,$A$115)))</f>
        <v/>
      </c>
      <c r="O129" s="103" t="str">
        <f>IF(O$3="","",IF(COUNTIFS(Base!$A$3:$A$5001,O$3,Base!$B$3:$B$5001,$A$115,Base!$AD$3:$AD$5001,"&lt;&gt;")=0,"",SUMIFS(Base!$AD$3:$AD$5001,Base!$A$3:$A$5001,O$3,Base!$B$3:$B$5001,$A$115)))</f>
        <v/>
      </c>
      <c r="P129" s="103" t="str">
        <f>IF(P$3="","",IF(COUNTIFS(Base!$A$3:$A$5001,P$3,Base!$B$3:$B$5001,$A$115,Base!$AD$3:$AD$5001,"&lt;&gt;")=0,"",SUMIFS(Base!$AD$3:$AD$5001,Base!$A$3:$A$5001,P$3,Base!$B$3:$B$5001,$A$115)))</f>
        <v/>
      </c>
      <c r="Q129" s="103" t="str">
        <f>IF(Q$3="","",IF(COUNTIFS(Base!$A$3:$A$5001,Q$3,Base!$B$3:$B$5001,$A$115,Base!$AD$3:$AD$5001,"&lt;&gt;")=0,"",SUMIFS(Base!$AD$3:$AD$5001,Base!$A$3:$A$5001,Q$3,Base!$B$3:$B$5001,$A$115)))</f>
        <v/>
      </c>
      <c r="R129" s="103" t="str">
        <f>IF(R$3="","",IF(COUNTIFS(Base!$A$3:$A$5001,R$3,Base!$B$3:$B$5001,$A$115,Base!$AD$3:$AD$5001,"&lt;&gt;")=0,"",SUMIFS(Base!$AD$3:$AD$5001,Base!$A$3:$A$5001,R$3,Base!$B$3:$B$5001,$A$115)))</f>
        <v/>
      </c>
      <c r="S129" s="103" t="str">
        <f>IF(S$3="","",IF(COUNTIFS(Base!$A$3:$A$5001,S$3,Base!$B$3:$B$5001,$A$115,Base!$AD$3:$AD$5001,"&lt;&gt;")=0,"",SUMIFS(Base!$AD$3:$AD$5001,Base!$A$3:$A$5001,S$3,Base!$B$3:$B$5001,$A$115)))</f>
        <v/>
      </c>
      <c r="T129" s="103" t="str">
        <f>IF(T$3="","",IF(COUNTIFS(Base!$A$3:$A$5001,T$3,Base!$B$3:$B$5001,$A$115,Base!$AD$3:$AD$5001,"&lt;&gt;")=0,"",SUMIFS(Base!$AD$3:$AD$5001,Base!$A$3:$A$5001,T$3,Base!$B$3:$B$5001,$A$115)))</f>
        <v/>
      </c>
      <c r="U129" s="103" t="str">
        <f>IF(U$3="","",IF(COUNTIFS(Base!$A$3:$A$5001,U$3,Base!$B$3:$B$5001,$A$115,Base!$AD$3:$AD$5001,"&lt;&gt;")=0,"",SUMIFS(Base!$AD$3:$AD$5001,Base!$A$3:$A$5001,U$3,Base!$B$3:$B$5001,$A$115)))</f>
        <v/>
      </c>
      <c r="V129" s="103" t="str">
        <f>IF(V$3="","",IF(COUNTIFS(Base!$A$3:$A$5001,V$3,Base!$B$3:$B$5001,$A$115,Base!$AD$3:$AD$5001,"&lt;&gt;")=0,"",SUMIFS(Base!$AD$3:$AD$5001,Base!$A$3:$A$5001,V$3,Base!$B$3:$B$5001,$A$115)))</f>
        <v/>
      </c>
      <c r="W129" s="103" t="str">
        <f>IF(W$3="","",IF(COUNTIFS(Base!$A$3:$A$5001,W$3,Base!$B$3:$B$5001,$A$115,Base!$AD$3:$AD$5001,"&lt;&gt;")=0,"",SUMIFS(Base!$AD$3:$AD$5001,Base!$A$3:$A$5001,W$3,Base!$B$3:$B$5001,$A$115)))</f>
        <v/>
      </c>
      <c r="X129" s="103" t="str">
        <f>IF(X$3="","",IF(COUNTIFS(Base!$A$3:$A$5001,X$3,Base!$B$3:$B$5001,$A$115,Base!$AD$3:$AD$5001,"&lt;&gt;")=0,"",SUMIFS(Base!$AD$3:$AD$5001,Base!$A$3:$A$5001,X$3,Base!$B$3:$B$5001,$A$115)))</f>
        <v/>
      </c>
      <c r="Y129" s="103" t="str">
        <f>IF(Y$3="","",IF(COUNTIFS(Base!$A$3:$A$5001,Y$3,Base!$B$3:$B$5001,$A$115,Base!$AD$3:$AD$5001,"&lt;&gt;")=0,"",SUMIFS(Base!$AD$3:$AD$5001,Base!$A$3:$A$5001,Y$3,Base!$B$3:$B$5001,$A$115)))</f>
        <v/>
      </c>
      <c r="Z129" s="103" t="str">
        <f>IF(Z$3="","",IF(COUNTIFS(Base!$A$3:$A$5001,Z$3,Base!$B$3:$B$5001,$A$115,Base!$AD$3:$AD$5001,"&lt;&gt;")=0,"",SUMIFS(Base!$AD$3:$AD$5001,Base!$A$3:$A$5001,Z$3,Base!$B$3:$B$5001,$A$115)))</f>
        <v/>
      </c>
      <c r="AA129" s="103" t="str">
        <f>IF(AA$3="","",IF(COUNTIFS(Base!$A$3:$A$5001,AA$3,Base!$B$3:$B$5001,$A$115,Base!$AD$3:$AD$5001,"&lt;&gt;")=0,"",SUMIFS(Base!$AD$3:$AD$5001,Base!$A$3:$A$5001,AA$3,Base!$B$3:$B$5001,$A$115)))</f>
        <v/>
      </c>
      <c r="AB129" s="103" t="str">
        <f>IF(AB$3="","",IF(COUNTIFS(Base!$A$3:$A$5001,AB$3,Base!$B$3:$B$5001,$A$115,Base!$AD$3:$AD$5001,"&lt;&gt;")=0,"",SUMIFS(Base!$AD$3:$AD$5001,Base!$A$3:$A$5001,AB$3,Base!$B$3:$B$5001,$A$115)))</f>
        <v/>
      </c>
      <c r="AC129" s="103" t="str">
        <f>IF(AC$3="","",IF(COUNTIFS(Base!$A$3:$A$5001,AC$3,Base!$B$3:$B$5001,$A$115,Base!$AD$3:$AD$5001,"&lt;&gt;")=0,"",SUMIFS(Base!$AD$3:$AD$5001,Base!$A$3:$A$5001,AC$3,Base!$B$3:$B$5001,$A$115)))</f>
        <v/>
      </c>
      <c r="AD129" s="103" t="str">
        <f>IF(AD$3="","",IF(COUNTIFS(Base!$A$3:$A$5001,AD$3,Base!$B$3:$B$5001,$A$115,Base!$AD$3:$AD$5001,"&lt;&gt;")=0,"",SUMIFS(Base!$AD$3:$AD$5001,Base!$A$3:$A$5001,AD$3,Base!$B$3:$B$5001,$A$115)))</f>
        <v/>
      </c>
      <c r="AE129" s="103" t="str">
        <f>IF(AE$3="","",IF(COUNTIFS(Base!$A$3:$A$5001,AE$3,Base!$B$3:$B$5001,$A$115,Base!$AD$3:$AD$5001,"&lt;&gt;")=0,"",SUMIFS(Base!$AD$3:$AD$5001,Base!$A$3:$A$5001,AE$3,Base!$B$3:$B$5001,$A$115)))</f>
        <v/>
      </c>
      <c r="AF129" s="103" t="str">
        <f>IF(AF$3="","",IF(COUNTIFS(Base!$A$3:$A$5001,AF$3,Base!$B$3:$B$5001,$A$115,Base!$AD$3:$AD$5001,"&lt;&gt;")=0,"",SUMIFS(Base!$AD$3:$AD$5001,Base!$A$3:$A$5001,AF$3,Base!$B$3:$B$5001,$A$115)))</f>
        <v/>
      </c>
      <c r="AG129" s="103" t="str">
        <f>IF(AG$3="","",IF(COUNTIFS(Base!$A$3:$A$5001,AG$3,Base!$B$3:$B$5001,$A$115,Base!$AD$3:$AD$5001,"&lt;&gt;")=0,"",SUMIFS(Base!$AD$3:$AD$5001,Base!$A$3:$A$5001,AG$3,Base!$B$3:$B$5001,$A$115)))</f>
        <v/>
      </c>
      <c r="AH129" s="103" t="str">
        <f>IF(AH$3="","",IF(COUNTIFS(Base!$A$3:$A$5001,AH$3,Base!$B$3:$B$5001,$A$115,Base!$AD$3:$AD$5001,"&lt;&gt;")=0,"",SUMIFS(Base!$AD$3:$AD$5001,Base!$A$3:$A$5001,AH$3,Base!$B$3:$B$5001,$A$115)))</f>
        <v/>
      </c>
      <c r="AI129" s="103" t="str">
        <f>IF(AI$3="","",IF(COUNTIFS(Base!$A$3:$A$5001,AI$3,Base!$B$3:$B$5001,$A$115,Base!$AD$3:$AD$5001,"&lt;&gt;")=0,"",SUMIFS(Base!$AD$3:$AD$5001,Base!$A$3:$A$5001,AI$3,Base!$B$3:$B$5001,$A$115)))</f>
        <v/>
      </c>
      <c r="AJ129" s="104" t="str">
        <f>IF(AJ$3="","",IF(COUNTIFS(Base!$A$3:$A$5001,AJ$3,Base!$B$3:$B$5001,$A$115,Base!$AD$3:$AD$5001,"&lt;&gt;")=0,"",SUMIFS(Base!$AD$3:$AD$5001,Base!$A$3:$A$5001,AJ$3,Base!$B$3:$B$5001,$A$115)))</f>
        <v/>
      </c>
      <c r="AK129" s="100">
        <f>IF(COUNT(F129:AJ129)=0,"",SUM(F129:AJ129))</f>
        <v>1</v>
      </c>
    </row>
    <row r="131" ht="15.75" customHeight="1">
      <c r="A131" s="117" t="inlineStr">
        <is>
          <t xml:space="preserve">OMNLIFE</t>
        </is>
      </c>
      <c r="B131" s="105" t="inlineStr">
        <is>
          <t xml:space="preserve">IN</t>
        </is>
      </c>
      <c r="C131" s="21" t="inlineStr">
        <is>
          <t xml:space="preserve">Veículos Recebidos</t>
        </is>
      </c>
      <c r="D131" s="22" t="str">
        <f>IFERROR(1/(1/INDEX(calculos!$C$55:$K$83,MATCH("IN Veículos Recebidos",calculos!$A$55:$A$83,0),MATCH($A$131,calculos!$C$54:$K$54,0))),"")</f>
        <v/>
      </c>
      <c r="E131" s="23"/>
      <c r="F131" s="24">
        <f>IF(F$3="","",IF(COUNTIFS(Base!$A$3:$A$5001,F$3,Base!$B$3:$B$5001,$A$131,Base!$C$3:$C$5001,"&lt;&gt;")=0,"",SUMIFS(Base!$C$3:$C$5001,Base!$A$3:$A$5001,F$3,Base!$B$3:$B$5001,$A$131)))</f>
        <v>6</v>
      </c>
      <c r="G131" s="25">
        <f>IF(G$3="","",IF(COUNTIFS(Base!$A$3:$A$5001,G$3,Base!$B$3:$B$5001,$A$131,Base!$C$3:$C$5001,"&lt;&gt;")=0,"",SUMIFS(Base!$C$3:$C$5001,Base!$A$3:$A$5001,G$3,Base!$B$3:$B$5001,$A$131)))</f>
        <v>7</v>
      </c>
      <c r="H131" s="25">
        <f>IF(H$3="","",IF(COUNTIFS(Base!$A$3:$A$5001,H$3,Base!$B$3:$B$5001,$A$131,Base!$C$3:$C$5001,"&lt;&gt;")=0,"",SUMIFS(Base!$C$3:$C$5001,Base!$A$3:$A$5001,H$3,Base!$B$3:$B$5001,$A$131)))</f>
        <v>2</v>
      </c>
      <c r="I131" s="25">
        <f>IF(I$3="","",IF(COUNTIFS(Base!$A$3:$A$5001,I$3,Base!$B$3:$B$5001,$A$131,Base!$C$3:$C$5001,"&lt;&gt;")=0,"",SUMIFS(Base!$C$3:$C$5001,Base!$A$3:$A$5001,I$3,Base!$B$3:$B$5001,$A$131)))</f>
        <v>2</v>
      </c>
      <c r="J131" s="25">
        <f>IF(J$3="","",IF(COUNTIFS(Base!$A$3:$A$5001,J$3,Base!$B$3:$B$5001,$A$131,Base!$C$3:$C$5001,"&lt;&gt;")=0,"",SUMIFS(Base!$C$3:$C$5001,Base!$A$3:$A$5001,J$3,Base!$B$3:$B$5001,$A$131)))</f>
        <v>3</v>
      </c>
      <c r="K131" s="25" t="str">
        <f>IF(K$3="","",IF(COUNTIFS(Base!$A$3:$A$5001,K$3,Base!$B$3:$B$5001,$A$131,Base!$C$3:$C$5001,"&lt;&gt;")=0,"",SUMIFS(Base!$C$3:$C$5001,Base!$A$3:$A$5001,K$3,Base!$B$3:$B$5001,$A$131)))</f>
        <v/>
      </c>
      <c r="L131" s="25">
        <f>IF(L$3="","",IF(COUNTIFS(Base!$A$3:$A$5001,L$3,Base!$B$3:$B$5001,$A$131,Base!$C$3:$C$5001,"&lt;&gt;")=0,"",SUMIFS(Base!$C$3:$C$5001,Base!$A$3:$A$5001,L$3,Base!$B$3:$B$5001,$A$131)))</f>
        <v>3</v>
      </c>
      <c r="M131" s="25">
        <f>IF(M$3="","",IF(COUNTIFS(Base!$A$3:$A$5001,M$3,Base!$B$3:$B$5001,$A$131,Base!$C$3:$C$5001,"&lt;&gt;")=0,"",SUMIFS(Base!$C$3:$C$5001,Base!$A$3:$A$5001,M$3,Base!$B$3:$B$5001,$A$131)))</f>
        <v>3</v>
      </c>
      <c r="N131" s="25">
        <f>IF(N$3="","",IF(COUNTIFS(Base!$A$3:$A$5001,N$3,Base!$B$3:$B$5001,$A$131,Base!$C$3:$C$5001,"&lt;&gt;")=0,"",SUMIFS(Base!$C$3:$C$5001,Base!$A$3:$A$5001,N$3,Base!$B$3:$B$5001,$A$131)))</f>
        <v>2</v>
      </c>
      <c r="O131" s="25">
        <f>IF(O$3="","",IF(COUNTIFS(Base!$A$3:$A$5001,O$3,Base!$B$3:$B$5001,$A$131,Base!$C$3:$C$5001,"&lt;&gt;")=0,"",SUMIFS(Base!$C$3:$C$5001,Base!$A$3:$A$5001,O$3,Base!$B$3:$B$5001,$A$131)))</f>
        <v>8</v>
      </c>
      <c r="P131" s="25">
        <f>IF(P$3="","",IF(COUNTIFS(Base!$A$3:$A$5001,P$3,Base!$B$3:$B$5001,$A$131,Base!$C$3:$C$5001,"&lt;&gt;")=0,"",SUMIFS(Base!$C$3:$C$5001,Base!$A$3:$A$5001,P$3,Base!$B$3:$B$5001,$A$131)))</f>
        <v>3</v>
      </c>
      <c r="Q131" s="25">
        <f>IF(Q$3="","",IF(COUNTIFS(Base!$A$3:$A$5001,Q$3,Base!$B$3:$B$5001,$A$131,Base!$C$3:$C$5001,"&lt;&gt;")=0,"",SUMIFS(Base!$C$3:$C$5001,Base!$A$3:$A$5001,Q$3,Base!$B$3:$B$5001,$A$131)))</f>
        <v>6</v>
      </c>
      <c r="R131" s="25" t="str">
        <f>IF(R$3="","",IF(COUNTIFS(Base!$A$3:$A$5001,R$3,Base!$B$3:$B$5001,$A$131,Base!$C$3:$C$5001,"&lt;&gt;")=0,"",SUMIFS(Base!$C$3:$C$5001,Base!$A$3:$A$5001,R$3,Base!$B$3:$B$5001,$A$131)))</f>
        <v/>
      </c>
      <c r="S131" s="25">
        <f>IF(S$3="","",IF(COUNTIFS(Base!$A$3:$A$5001,S$3,Base!$B$3:$B$5001,$A$131,Base!$C$3:$C$5001,"&lt;&gt;")=0,"",SUMIFS(Base!$C$3:$C$5001,Base!$A$3:$A$5001,S$3,Base!$B$3:$B$5001,$A$131)))</f>
        <v>2</v>
      </c>
      <c r="T131" s="25">
        <f>IF(T$3="","",IF(COUNTIFS(Base!$A$3:$A$5001,T$3,Base!$B$3:$B$5001,$A$131,Base!$C$3:$C$5001,"&lt;&gt;")=0,"",SUMIFS(Base!$C$3:$C$5001,Base!$A$3:$A$5001,T$3,Base!$B$3:$B$5001,$A$131)))</f>
        <v>5</v>
      </c>
      <c r="U131" s="25">
        <f>IF(U$3="","",IF(COUNTIFS(Base!$A$3:$A$5001,U$3,Base!$B$3:$B$5001,$A$131,Base!$C$3:$C$5001,"&lt;&gt;")=0,"",SUMIFS(Base!$C$3:$C$5001,Base!$A$3:$A$5001,U$3,Base!$B$3:$B$5001,$A$131)))</f>
        <v>5</v>
      </c>
      <c r="V131" s="25">
        <f>IF(V$3="","",IF(COUNTIFS(Base!$A$3:$A$5001,V$3,Base!$B$3:$B$5001,$A$131,Base!$C$3:$C$5001,"&lt;&gt;")=0,"",SUMIFS(Base!$C$3:$C$5001,Base!$A$3:$A$5001,V$3,Base!$B$3:$B$5001,$A$131)))</f>
        <v>6</v>
      </c>
      <c r="W131" s="25">
        <f>IF(W$3="","",IF(COUNTIFS(Base!$A$3:$A$5001,W$3,Base!$B$3:$B$5001,$A$131,Base!$C$3:$C$5001,"&lt;&gt;")=0,"",SUMIFS(Base!$C$3:$C$5001,Base!$A$3:$A$5001,W$3,Base!$B$3:$B$5001,$A$131)))</f>
        <v>3</v>
      </c>
      <c r="X131" s="25">
        <f>IF(X$3="","",IF(COUNTIFS(Base!$A$3:$A$5001,X$3,Base!$B$3:$B$5001,$A$131,Base!$C$3:$C$5001,"&lt;&gt;")=0,"",SUMIFS(Base!$C$3:$C$5001,Base!$A$3:$A$5001,X$3,Base!$B$3:$B$5001,$A$131)))</f>
        <v>2</v>
      </c>
      <c r="Y131" s="25" t="str">
        <f>IF(Y$3="","",IF(COUNTIFS(Base!$A$3:$A$5001,Y$3,Base!$B$3:$B$5001,$A$131,Base!$C$3:$C$5001,"&lt;&gt;")=0,"",SUMIFS(Base!$C$3:$C$5001,Base!$A$3:$A$5001,Y$3,Base!$B$3:$B$5001,$A$131)))</f>
        <v/>
      </c>
      <c r="Z131" s="25">
        <f>IF(Z$3="","",IF(COUNTIFS(Base!$A$3:$A$5001,Z$3,Base!$B$3:$B$5001,$A$131,Base!$C$3:$C$5001,"&lt;&gt;")=0,"",SUMIFS(Base!$C$3:$C$5001,Base!$A$3:$A$5001,Z$3,Base!$B$3:$B$5001,$A$131)))</f>
        <v>8</v>
      </c>
      <c r="AA131" s="25">
        <f>IF(AA$3="","",IF(COUNTIFS(Base!$A$3:$A$5001,AA$3,Base!$B$3:$B$5001,$A$131,Base!$C$3:$C$5001,"&lt;&gt;")=0,"",SUMIFS(Base!$C$3:$C$5001,Base!$A$3:$A$5001,AA$3,Base!$B$3:$B$5001,$A$131)))</f>
        <v>5</v>
      </c>
      <c r="AB131" s="25">
        <f>IF(AB$3="","",IF(COUNTIFS(Base!$A$3:$A$5001,AB$3,Base!$B$3:$B$5001,$A$131,Base!$C$3:$C$5001,"&lt;&gt;")=0,"",SUMIFS(Base!$C$3:$C$5001,Base!$A$3:$A$5001,AB$3,Base!$B$3:$B$5001,$A$131)))</f>
        <v>3</v>
      </c>
      <c r="AC131" s="25">
        <f>IF(AC$3="","",IF(COUNTIFS(Base!$A$3:$A$5001,AC$3,Base!$B$3:$B$5001,$A$131,Base!$C$3:$C$5001,"&lt;&gt;")=0,"",SUMIFS(Base!$C$3:$C$5001,Base!$A$3:$A$5001,AC$3,Base!$B$3:$B$5001,$A$131)))</f>
        <v>5</v>
      </c>
      <c r="AD131" s="25">
        <f>IF(AD$3="","",IF(COUNTIFS(Base!$A$3:$A$5001,AD$3,Base!$B$3:$B$5001,$A$131,Base!$C$3:$C$5001,"&lt;&gt;")=0,"",SUMIFS(Base!$C$3:$C$5001,Base!$A$3:$A$5001,AD$3,Base!$B$3:$B$5001,$A$131)))</f>
        <v>7</v>
      </c>
      <c r="AE131" s="25">
        <f>IF(AE$3="","",IF(COUNTIFS(Base!$A$3:$A$5001,AE$3,Base!$B$3:$B$5001,$A$131,Base!$C$3:$C$5001,"&lt;&gt;")=0,"",SUMIFS(Base!$C$3:$C$5001,Base!$A$3:$A$5001,AE$3,Base!$B$3:$B$5001,$A$131)))</f>
        <v>5</v>
      </c>
      <c r="AF131" s="25" t="str">
        <f>IF(AF$3="","",IF(COUNTIFS(Base!$A$3:$A$5001,AF$3,Base!$B$3:$B$5001,$A$131,Base!$C$3:$C$5001,"&lt;&gt;")=0,"",SUMIFS(Base!$C$3:$C$5001,Base!$A$3:$A$5001,AF$3,Base!$B$3:$B$5001,$A$131)))</f>
        <v/>
      </c>
      <c r="AG131" s="25">
        <f>IF(AG$3="","",IF(COUNTIFS(Base!$A$3:$A$5001,AG$3,Base!$B$3:$B$5001,$A$131,Base!$C$3:$C$5001,"&lt;&gt;")=0,"",SUMIFS(Base!$C$3:$C$5001,Base!$A$3:$A$5001,AG$3,Base!$B$3:$B$5001,$A$131)))</f>
        <v>5</v>
      </c>
      <c r="AH131" s="25">
        <f>IF(AH$3="","",IF(COUNTIFS(Base!$A$3:$A$5001,AH$3,Base!$B$3:$B$5001,$A$131,Base!$C$3:$C$5001,"&lt;&gt;")=0,"",SUMIFS(Base!$C$3:$C$5001,Base!$A$3:$A$5001,AH$3,Base!$B$3:$B$5001,$A$131)))</f>
        <v>6</v>
      </c>
      <c r="AI131" s="25" t="str">
        <f>IF(AI$3="","",IF(COUNTIFS(Base!$A$3:$A$5001,AI$3,Base!$B$3:$B$5001,$A$131,Base!$C$3:$C$5001,"&lt;&gt;")=0,"",SUMIFS(Base!$C$3:$C$5001,Base!$A$3:$A$5001,AI$3,Base!$B$3:$B$5001,$A$131)))</f>
        <v/>
      </c>
      <c r="AJ131" s="26" t="str">
        <f>IF(AJ$3="","",IF(COUNTIFS(Base!$A$3:$A$5001,AJ$3,Base!$B$3:$B$5001,$A$131,Base!$C$3:$C$5001,"&lt;&gt;")=0,"",SUMIFS(Base!$C$3:$C$5001,Base!$A$3:$A$5001,AJ$3,Base!$B$3:$B$5001,$A$131)))</f>
        <v/>
      </c>
      <c r="AK131" s="27">
        <f>IF(COUNT(F131:AJ131)=0,"",SUM(F131:AJ131))</f>
        <v>112</v>
      </c>
    </row>
    <row r="132" ht="15.75" customHeight="1">
      <c r="A132" s="118"/>
      <c r="B132" s="107"/>
      <c r="C132" s="35" t="inlineStr">
        <is>
          <t xml:space="preserve">Pallets Movimentados</t>
        </is>
      </c>
      <c r="D132" s="469" t="str">
        <f>IFERROR(1/(1/INDEX(calculos!$C$55:$K$83,MATCH("IN Pallets Movimentados",calculos!$A$55:$A$83,0),MATCH($A$131,calculos!$C$54:$K$54,0))),"")</f>
        <v/>
      </c>
      <c r="E132" s="37"/>
      <c r="F132" s="470">
        <f>IF(F$3="","",IF(COUNTIFS(Base!$A$3:$A$5001,F$3,Base!$B$3:$B$5001,$A$131,Base!$D$3:$D$5001,"&lt;&gt;")=0,"",SUMIFS(Base!$D$3:$D$5001,Base!$A$3:$A$5001,F$3,Base!$B$3:$B$5001,$A$131)))</f>
        <v>22</v>
      </c>
      <c r="G132" s="471">
        <f>IF(G$3="","",IF(COUNTIFS(Base!$A$3:$A$5001,G$3,Base!$B$3:$B$5001,$A$131,Base!$D$3:$D$5001,"&lt;&gt;")=0,"",SUMIFS(Base!$D$3:$D$5001,Base!$A$3:$A$5001,G$3,Base!$B$3:$B$5001,$A$131)))</f>
        <v>38</v>
      </c>
      <c r="H132" s="471">
        <f>IF(H$3="","",IF(COUNTIFS(Base!$A$3:$A$5001,H$3,Base!$B$3:$B$5001,$A$131,Base!$D$3:$D$5001,"&lt;&gt;")=0,"",SUMIFS(Base!$D$3:$D$5001,Base!$A$3:$A$5001,H$3,Base!$B$3:$B$5001,$A$131)))</f>
        <v>147</v>
      </c>
      <c r="I132" s="471">
        <f>IF(I$3="","",IF(COUNTIFS(Base!$A$3:$A$5001,I$3,Base!$B$3:$B$5001,$A$131,Base!$D$3:$D$5001,"&lt;&gt;")=0,"",SUMIFS(Base!$D$3:$D$5001,Base!$A$3:$A$5001,I$3,Base!$B$3:$B$5001,$A$131)))</f>
        <v>35</v>
      </c>
      <c r="J132" s="471">
        <f>IF(J$3="","",IF(COUNTIFS(Base!$A$3:$A$5001,J$3,Base!$B$3:$B$5001,$A$131,Base!$D$3:$D$5001,"&lt;&gt;")=0,"",SUMIFS(Base!$D$3:$D$5001,Base!$A$3:$A$5001,J$3,Base!$B$3:$B$5001,$A$131)))</f>
        <v>32</v>
      </c>
      <c r="K132" s="471" t="str">
        <f>IF(K$3="","",IF(COUNTIFS(Base!$A$3:$A$5001,K$3,Base!$B$3:$B$5001,$A$131,Base!$D$3:$D$5001,"&lt;&gt;")=0,"",SUMIFS(Base!$D$3:$D$5001,Base!$A$3:$A$5001,K$3,Base!$B$3:$B$5001,$A$131)))</f>
        <v/>
      </c>
      <c r="L132" s="471">
        <f>IF(L$3="","",IF(COUNTIFS(Base!$A$3:$A$5001,L$3,Base!$B$3:$B$5001,$A$131,Base!$D$3:$D$5001,"&lt;&gt;")=0,"",SUMIFS(Base!$D$3:$D$5001,Base!$A$3:$A$5001,L$3,Base!$B$3:$B$5001,$A$131)))</f>
        <v>77</v>
      </c>
      <c r="M132" s="471">
        <f>IF(M$3="","",IF(COUNTIFS(Base!$A$3:$A$5001,M$3,Base!$B$3:$B$5001,$A$131,Base!$D$3:$D$5001,"&lt;&gt;")=0,"",SUMIFS(Base!$D$3:$D$5001,Base!$A$3:$A$5001,M$3,Base!$B$3:$B$5001,$A$131)))</f>
        <v>22</v>
      </c>
      <c r="N132" s="471">
        <f>IF(N$3="","",IF(COUNTIFS(Base!$A$3:$A$5001,N$3,Base!$B$3:$B$5001,$A$131,Base!$D$3:$D$5001,"&lt;&gt;")=0,"",SUMIFS(Base!$D$3:$D$5001,Base!$A$3:$A$5001,N$3,Base!$B$3:$B$5001,$A$131)))</f>
        <v>125</v>
      </c>
      <c r="O132" s="471">
        <f>IF(O$3="","",IF(COUNTIFS(Base!$A$3:$A$5001,O$3,Base!$B$3:$B$5001,$A$131,Base!$D$3:$D$5001,"&lt;&gt;")=0,"",SUMIFS(Base!$D$3:$D$5001,Base!$A$3:$A$5001,O$3,Base!$B$3:$B$5001,$A$131)))</f>
        <v>100</v>
      </c>
      <c r="P132" s="471">
        <f>IF(P$3="","",IF(COUNTIFS(Base!$A$3:$A$5001,P$3,Base!$B$3:$B$5001,$A$131,Base!$D$3:$D$5001,"&lt;&gt;")=0,"",SUMIFS(Base!$D$3:$D$5001,Base!$A$3:$A$5001,P$3,Base!$B$3:$B$5001,$A$131)))</f>
        <v>30</v>
      </c>
      <c r="Q132" s="471">
        <f>IF(Q$3="","",IF(COUNTIFS(Base!$A$3:$A$5001,Q$3,Base!$B$3:$B$5001,$A$131,Base!$D$3:$D$5001,"&lt;&gt;")=0,"",SUMIFS(Base!$D$3:$D$5001,Base!$A$3:$A$5001,Q$3,Base!$B$3:$B$5001,$A$131)))</f>
        <v>91</v>
      </c>
      <c r="R132" s="471" t="str">
        <f>IF(R$3="","",IF(COUNTIFS(Base!$A$3:$A$5001,R$3,Base!$B$3:$B$5001,$A$131,Base!$D$3:$D$5001,"&lt;&gt;")=0,"",SUMIFS(Base!$D$3:$D$5001,Base!$A$3:$A$5001,R$3,Base!$B$3:$B$5001,$A$131)))</f>
        <v/>
      </c>
      <c r="S132" s="471">
        <f>IF(S$3="","",IF(COUNTIFS(Base!$A$3:$A$5001,S$3,Base!$B$3:$B$5001,$A$131,Base!$D$3:$D$5001,"&lt;&gt;")=0,"",SUMIFS(Base!$D$3:$D$5001,Base!$A$3:$A$5001,S$3,Base!$B$3:$B$5001,$A$131)))</f>
        <v>147</v>
      </c>
      <c r="T132" s="471">
        <f>IF(T$3="","",IF(COUNTIFS(Base!$A$3:$A$5001,T$3,Base!$B$3:$B$5001,$A$131,Base!$D$3:$D$5001,"&lt;&gt;")=0,"",SUMIFS(Base!$D$3:$D$5001,Base!$A$3:$A$5001,T$3,Base!$B$3:$B$5001,$A$131)))</f>
        <v>74</v>
      </c>
      <c r="U132" s="471">
        <f>IF(U$3="","",IF(COUNTIFS(Base!$A$3:$A$5001,U$3,Base!$B$3:$B$5001,$A$131,Base!$D$3:$D$5001,"&lt;&gt;")=0,"",SUMIFS(Base!$D$3:$D$5001,Base!$A$3:$A$5001,U$3,Base!$B$3:$B$5001,$A$131)))</f>
        <v>102</v>
      </c>
      <c r="V132" s="471">
        <f>IF(V$3="","",IF(COUNTIFS(Base!$A$3:$A$5001,V$3,Base!$B$3:$B$5001,$A$131,Base!$D$3:$D$5001,"&lt;&gt;")=0,"",SUMIFS(Base!$D$3:$D$5001,Base!$A$3:$A$5001,V$3,Base!$B$3:$B$5001,$A$131)))</f>
        <v>85</v>
      </c>
      <c r="W132" s="471">
        <f>IF(W$3="","",IF(COUNTIFS(Base!$A$3:$A$5001,W$3,Base!$B$3:$B$5001,$A$131,Base!$D$3:$D$5001,"&lt;&gt;")=0,"",SUMIFS(Base!$D$3:$D$5001,Base!$A$3:$A$5001,W$3,Base!$B$3:$B$5001,$A$131)))</f>
        <v>149</v>
      </c>
      <c r="X132" s="471">
        <f>IF(X$3="","",IF(COUNTIFS(Base!$A$3:$A$5001,X$3,Base!$B$3:$B$5001,$A$131,Base!$D$3:$D$5001,"&lt;&gt;")=0,"",SUMIFS(Base!$D$3:$D$5001,Base!$A$3:$A$5001,X$3,Base!$B$3:$B$5001,$A$131)))</f>
        <v>117</v>
      </c>
      <c r="Y132" s="471" t="str">
        <f>IF(Y$3="","",IF(COUNTIFS(Base!$A$3:$A$5001,Y$3,Base!$B$3:$B$5001,$A$131,Base!$D$3:$D$5001,"&lt;&gt;")=0,"",SUMIFS(Base!$D$3:$D$5001,Base!$A$3:$A$5001,Y$3,Base!$B$3:$B$5001,$A$131)))</f>
        <v/>
      </c>
      <c r="Z132" s="471">
        <f>IF(Z$3="","",IF(COUNTIFS(Base!$A$3:$A$5001,Z$3,Base!$B$3:$B$5001,$A$131,Base!$D$3:$D$5001,"&lt;&gt;")=0,"",SUMIFS(Base!$D$3:$D$5001,Base!$A$3:$A$5001,Z$3,Base!$B$3:$B$5001,$A$131)))</f>
        <v>77</v>
      </c>
      <c r="AA132" s="471">
        <f>IF(AA$3="","",IF(COUNTIFS(Base!$A$3:$A$5001,AA$3,Base!$B$3:$B$5001,$A$131,Base!$D$3:$D$5001,"&lt;&gt;")=0,"",SUMIFS(Base!$D$3:$D$5001,Base!$A$3:$A$5001,AA$3,Base!$B$3:$B$5001,$A$131)))</f>
        <v>133</v>
      </c>
      <c r="AB132" s="471">
        <f>IF(AB$3="","",IF(COUNTIFS(Base!$A$3:$A$5001,AB$3,Base!$B$3:$B$5001,$A$131,Base!$D$3:$D$5001,"&lt;&gt;")=0,"",SUMIFS(Base!$D$3:$D$5001,Base!$A$3:$A$5001,AB$3,Base!$B$3:$B$5001,$A$131)))</f>
        <v>122</v>
      </c>
      <c r="AC132" s="471">
        <f>IF(AC$3="","",IF(COUNTIFS(Base!$A$3:$A$5001,AC$3,Base!$B$3:$B$5001,$A$131,Base!$D$3:$D$5001,"&lt;&gt;")=0,"",SUMIFS(Base!$D$3:$D$5001,Base!$A$3:$A$5001,AC$3,Base!$B$3:$B$5001,$A$131)))</f>
        <v>158</v>
      </c>
      <c r="AD132" s="471">
        <f>IF(AD$3="","",IF(COUNTIFS(Base!$A$3:$A$5001,AD$3,Base!$B$3:$B$5001,$A$131,Base!$D$3:$D$5001,"&lt;&gt;")=0,"",SUMIFS(Base!$D$3:$D$5001,Base!$A$3:$A$5001,AD$3,Base!$B$3:$B$5001,$A$131)))</f>
        <v>68</v>
      </c>
      <c r="AE132" s="471">
        <f>IF(AE$3="","",IF(COUNTIFS(Base!$A$3:$A$5001,AE$3,Base!$B$3:$B$5001,$A$131,Base!$D$3:$D$5001,"&lt;&gt;")=0,"",SUMIFS(Base!$D$3:$D$5001,Base!$A$3:$A$5001,AE$3,Base!$B$3:$B$5001,$A$131)))</f>
        <v>155</v>
      </c>
      <c r="AF132" s="471" t="str">
        <f>IF(AF$3="","",IF(COUNTIFS(Base!$A$3:$A$5001,AF$3,Base!$B$3:$B$5001,$A$131,Base!$D$3:$D$5001,"&lt;&gt;")=0,"",SUMIFS(Base!$D$3:$D$5001,Base!$A$3:$A$5001,AF$3,Base!$B$3:$B$5001,$A$131)))</f>
        <v/>
      </c>
      <c r="AG132" s="471">
        <f>IF(AG$3="","",IF(COUNTIFS(Base!$A$3:$A$5001,AG$3,Base!$B$3:$B$5001,$A$131,Base!$D$3:$D$5001,"&lt;&gt;")=0,"",SUMIFS(Base!$D$3:$D$5001,Base!$A$3:$A$5001,AG$3,Base!$B$3:$B$5001,$A$131)))</f>
        <v>40</v>
      </c>
      <c r="AH132" s="471">
        <f>IF(AH$3="","",IF(COUNTIFS(Base!$A$3:$A$5001,AH$3,Base!$B$3:$B$5001,$A$131,Base!$D$3:$D$5001,"&lt;&gt;")=0,"",SUMIFS(Base!$D$3:$D$5001,Base!$A$3:$A$5001,AH$3,Base!$B$3:$B$5001,$A$131)))</f>
        <v>27</v>
      </c>
      <c r="AI132" s="471" t="str">
        <f>IF(AI$3="","",IF(COUNTIFS(Base!$A$3:$A$5001,AI$3,Base!$B$3:$B$5001,$A$131,Base!$D$3:$D$5001,"&lt;&gt;")=0,"",SUMIFS(Base!$D$3:$D$5001,Base!$A$3:$A$5001,AI$3,Base!$B$3:$B$5001,$A$131)))</f>
        <v/>
      </c>
      <c r="AJ132" s="472" t="str">
        <f>IF(AJ$3="","",IF(COUNTIFS(Base!$A$3:$A$5001,AJ$3,Base!$B$3:$B$5001,$A$131,Base!$D$3:$D$5001,"&lt;&gt;")=0,"",SUMIFS(Base!$D$3:$D$5001,Base!$A$3:$A$5001,AJ$3,Base!$B$3:$B$5001,$A$131)))</f>
        <v/>
      </c>
      <c r="AK132" s="469">
        <f>IF(COUNT(F132:AJ132)=0,"",SUM(F132:AJ132))</f>
        <v>2173</v>
      </c>
    </row>
    <row r="133" ht="15.75" customHeight="1">
      <c r="A133" s="118"/>
      <c r="B133" s="108" t="inlineStr">
        <is>
          <t xml:space="preserve">OUT</t>
        </is>
      </c>
      <c r="C133" s="41" t="inlineStr">
        <is>
          <t xml:space="preserve">Veículos Expedidos</t>
        </is>
      </c>
      <c r="D133" s="42" t="str">
        <f>IFERROR(1/(1/INDEX(calculos!$C$55:$K$83,MATCH("OUT Veículos Expedidos",calculos!$A$55:$A$83,0),MATCH($A$131,calculos!$C$54:$K$54,0))),"")</f>
        <v/>
      </c>
      <c r="E133" s="43"/>
      <c r="F133" s="44">
        <f>IF(F$3="","",IF(COUNTIFS(Base!$A$3:$A$5001,F$3,Base!$B$3:$B$5001,$A$131,Base!$L$3:$L$5001,"&lt;&gt;")=0,"",SUMIFS(Base!$L$3:$L$5001,Base!$A$3:$A$5001,F$3,Base!$B$3:$B$5001,$A$131)))</f>
        <v>10</v>
      </c>
      <c r="G133" s="45">
        <f>IF(G$3="","",IF(COUNTIFS(Base!$A$3:$A$5001,G$3,Base!$B$3:$B$5001,$A$131,Base!$L$3:$L$5001,"&lt;&gt;")=0,"",SUMIFS(Base!$L$3:$L$5001,Base!$A$3:$A$5001,G$3,Base!$B$3:$B$5001,$A$131)))</f>
        <v>4</v>
      </c>
      <c r="H133" s="45">
        <f>IF(H$3="","",IF(COUNTIFS(Base!$A$3:$A$5001,H$3,Base!$B$3:$B$5001,$A$131,Base!$L$3:$L$5001,"&lt;&gt;")=0,"",SUMIFS(Base!$L$3:$L$5001,Base!$A$3:$A$5001,H$3,Base!$B$3:$B$5001,$A$131)))</f>
        <v>9</v>
      </c>
      <c r="I133" s="45">
        <f>IF(I$3="","",IF(COUNTIFS(Base!$A$3:$A$5001,I$3,Base!$B$3:$B$5001,$A$131,Base!$L$3:$L$5001,"&lt;&gt;")=0,"",SUMIFS(Base!$L$3:$L$5001,Base!$A$3:$A$5001,I$3,Base!$B$3:$B$5001,$A$131)))</f>
        <v>8</v>
      </c>
      <c r="J133" s="45">
        <f>IF(J$3="","",IF(COUNTIFS(Base!$A$3:$A$5001,J$3,Base!$B$3:$B$5001,$A$131,Base!$L$3:$L$5001,"&lt;&gt;")=0,"",SUMIFS(Base!$L$3:$L$5001,Base!$A$3:$A$5001,J$3,Base!$B$3:$B$5001,$A$131)))</f>
        <v>7</v>
      </c>
      <c r="K133" s="45" t="str">
        <f>IF(K$3="","",IF(COUNTIFS(Base!$A$3:$A$5001,K$3,Base!$B$3:$B$5001,$A$131,Base!$L$3:$L$5001,"&lt;&gt;")=0,"",SUMIFS(Base!$L$3:$L$5001,Base!$A$3:$A$5001,K$3,Base!$B$3:$B$5001,$A$131)))</f>
        <v/>
      </c>
      <c r="L133" s="45">
        <f>IF(L$3="","",IF(COUNTIFS(Base!$A$3:$A$5001,L$3,Base!$B$3:$B$5001,$A$131,Base!$L$3:$L$5001,"&lt;&gt;")=0,"",SUMIFS(Base!$L$3:$L$5001,Base!$A$3:$A$5001,L$3,Base!$B$3:$B$5001,$A$131)))</f>
        <v>9</v>
      </c>
      <c r="M133" s="45">
        <f>IF(M$3="","",IF(COUNTIFS(Base!$A$3:$A$5001,M$3,Base!$B$3:$B$5001,$A$131,Base!$L$3:$L$5001,"&lt;&gt;")=0,"",SUMIFS(Base!$L$3:$L$5001,Base!$A$3:$A$5001,M$3,Base!$B$3:$B$5001,$A$131)))</f>
        <v>7</v>
      </c>
      <c r="N133" s="45">
        <f>IF(N$3="","",IF(COUNTIFS(Base!$A$3:$A$5001,N$3,Base!$B$3:$B$5001,$A$131,Base!$L$3:$L$5001,"&lt;&gt;")=0,"",SUMIFS(Base!$L$3:$L$5001,Base!$A$3:$A$5001,N$3,Base!$B$3:$B$5001,$A$131)))</f>
        <v>9</v>
      </c>
      <c r="O133" s="45">
        <f>IF(O$3="","",IF(COUNTIFS(Base!$A$3:$A$5001,O$3,Base!$B$3:$B$5001,$A$131,Base!$L$3:$L$5001,"&lt;&gt;")=0,"",SUMIFS(Base!$L$3:$L$5001,Base!$A$3:$A$5001,O$3,Base!$B$3:$B$5001,$A$131)))</f>
        <v>3</v>
      </c>
      <c r="P133" s="45">
        <f>IF(P$3="","",IF(COUNTIFS(Base!$A$3:$A$5001,P$3,Base!$B$3:$B$5001,$A$131,Base!$L$3:$L$5001,"&lt;&gt;")=0,"",SUMIFS(Base!$L$3:$L$5001,Base!$A$3:$A$5001,P$3,Base!$B$3:$B$5001,$A$131)))</f>
        <v>9</v>
      </c>
      <c r="Q133" s="45">
        <f>IF(Q$3="","",IF(COUNTIFS(Base!$A$3:$A$5001,Q$3,Base!$B$3:$B$5001,$A$131,Base!$L$3:$L$5001,"&lt;&gt;")=0,"",SUMIFS(Base!$L$3:$L$5001,Base!$A$3:$A$5001,Q$3,Base!$B$3:$B$5001,$A$131)))</f>
        <v>3</v>
      </c>
      <c r="R133" s="45" t="str">
        <f>IF(R$3="","",IF(COUNTIFS(Base!$A$3:$A$5001,R$3,Base!$B$3:$B$5001,$A$131,Base!$L$3:$L$5001,"&lt;&gt;")=0,"",SUMIFS(Base!$L$3:$L$5001,Base!$A$3:$A$5001,R$3,Base!$B$3:$B$5001,$A$131)))</f>
        <v/>
      </c>
      <c r="S133" s="45">
        <f>IF(S$3="","",IF(COUNTIFS(Base!$A$3:$A$5001,S$3,Base!$B$3:$B$5001,$A$131,Base!$L$3:$L$5001,"&lt;&gt;")=0,"",SUMIFS(Base!$L$3:$L$5001,Base!$A$3:$A$5001,S$3,Base!$B$3:$B$5001,$A$131)))</f>
        <v>10</v>
      </c>
      <c r="T133" s="45">
        <f>IF(T$3="","",IF(COUNTIFS(Base!$A$3:$A$5001,T$3,Base!$B$3:$B$5001,$A$131,Base!$L$3:$L$5001,"&lt;&gt;")=0,"",SUMIFS(Base!$L$3:$L$5001,Base!$A$3:$A$5001,T$3,Base!$B$3:$B$5001,$A$131)))</f>
        <v>5</v>
      </c>
      <c r="U133" s="45">
        <f>IF(U$3="","",IF(COUNTIFS(Base!$A$3:$A$5001,U$3,Base!$B$3:$B$5001,$A$131,Base!$L$3:$L$5001,"&lt;&gt;")=0,"",SUMIFS(Base!$L$3:$L$5001,Base!$A$3:$A$5001,U$3,Base!$B$3:$B$5001,$A$131)))</f>
        <v>4</v>
      </c>
      <c r="V133" s="45">
        <f>IF(V$3="","",IF(COUNTIFS(Base!$A$3:$A$5001,V$3,Base!$B$3:$B$5001,$A$131,Base!$L$3:$L$5001,"&lt;&gt;")=0,"",SUMIFS(Base!$L$3:$L$5001,Base!$A$3:$A$5001,V$3,Base!$B$3:$B$5001,$A$131)))</f>
        <v>11</v>
      </c>
      <c r="W133" s="45">
        <f>IF(W$3="","",IF(COUNTIFS(Base!$A$3:$A$5001,W$3,Base!$B$3:$B$5001,$A$131,Base!$L$3:$L$5001,"&lt;&gt;")=0,"",SUMIFS(Base!$L$3:$L$5001,Base!$A$3:$A$5001,W$3,Base!$B$3:$B$5001,$A$131)))</f>
        <v>10</v>
      </c>
      <c r="X133" s="45">
        <f>IF(X$3="","",IF(COUNTIFS(Base!$A$3:$A$5001,X$3,Base!$B$3:$B$5001,$A$131,Base!$L$3:$L$5001,"&lt;&gt;")=0,"",SUMIFS(Base!$L$3:$L$5001,Base!$A$3:$A$5001,X$3,Base!$B$3:$B$5001,$A$131)))</f>
        <v>9</v>
      </c>
      <c r="Y133" s="45" t="str">
        <f>IF(Y$3="","",IF(COUNTIFS(Base!$A$3:$A$5001,Y$3,Base!$B$3:$B$5001,$A$131,Base!$L$3:$L$5001,"&lt;&gt;")=0,"",SUMIFS(Base!$L$3:$L$5001,Base!$A$3:$A$5001,Y$3,Base!$B$3:$B$5001,$A$131)))</f>
        <v/>
      </c>
      <c r="Z133" s="45">
        <f>IF(Z$3="","",IF(COUNTIFS(Base!$A$3:$A$5001,Z$3,Base!$B$3:$B$5001,$A$131,Base!$L$3:$L$5001,"&lt;&gt;")=0,"",SUMIFS(Base!$L$3:$L$5001,Base!$A$3:$A$5001,Z$3,Base!$B$3:$B$5001,$A$131)))</f>
        <v>7</v>
      </c>
      <c r="AA133" s="45">
        <f>IF(AA$3="","",IF(COUNTIFS(Base!$A$3:$A$5001,AA$3,Base!$B$3:$B$5001,$A$131,Base!$L$3:$L$5001,"&lt;&gt;")=0,"",SUMIFS(Base!$L$3:$L$5001,Base!$A$3:$A$5001,AA$3,Base!$B$3:$B$5001,$A$131)))</f>
        <v>3</v>
      </c>
      <c r="AB133" s="45">
        <f>IF(AB$3="","",IF(COUNTIFS(Base!$A$3:$A$5001,AB$3,Base!$B$3:$B$5001,$A$131,Base!$L$3:$L$5001,"&lt;&gt;")=0,"",SUMIFS(Base!$L$3:$L$5001,Base!$A$3:$A$5001,AB$3,Base!$B$3:$B$5001,$A$131)))</f>
        <v>10</v>
      </c>
      <c r="AC133" s="45">
        <f>IF(AC$3="","",IF(COUNTIFS(Base!$A$3:$A$5001,AC$3,Base!$B$3:$B$5001,$A$131,Base!$L$3:$L$5001,"&lt;&gt;")=0,"",SUMIFS(Base!$L$3:$L$5001,Base!$A$3:$A$5001,AC$3,Base!$B$3:$B$5001,$A$131)))</f>
        <v>6</v>
      </c>
      <c r="AD133" s="45">
        <f>IF(AD$3="","",IF(COUNTIFS(Base!$A$3:$A$5001,AD$3,Base!$B$3:$B$5001,$A$131,Base!$L$3:$L$5001,"&lt;&gt;")=0,"",SUMIFS(Base!$L$3:$L$5001,Base!$A$3:$A$5001,AD$3,Base!$B$3:$B$5001,$A$131)))</f>
        <v>9</v>
      </c>
      <c r="AE133" s="45">
        <f>IF(AE$3="","",IF(COUNTIFS(Base!$A$3:$A$5001,AE$3,Base!$B$3:$B$5001,$A$131,Base!$L$3:$L$5001,"&lt;&gt;")=0,"",SUMIFS(Base!$L$3:$L$5001,Base!$A$3:$A$5001,AE$3,Base!$B$3:$B$5001,$A$131)))</f>
        <v>8</v>
      </c>
      <c r="AF133" s="45" t="str">
        <f>IF(AF$3="","",IF(COUNTIFS(Base!$A$3:$A$5001,AF$3,Base!$B$3:$B$5001,$A$131,Base!$L$3:$L$5001,"&lt;&gt;")=0,"",SUMIFS(Base!$L$3:$L$5001,Base!$A$3:$A$5001,AF$3,Base!$B$3:$B$5001,$A$131)))</f>
        <v/>
      </c>
      <c r="AG133" s="45">
        <f>IF(AG$3="","",IF(COUNTIFS(Base!$A$3:$A$5001,AG$3,Base!$B$3:$B$5001,$A$131,Base!$L$3:$L$5001,"&lt;&gt;")=0,"",SUMIFS(Base!$L$3:$L$5001,Base!$A$3:$A$5001,AG$3,Base!$B$3:$B$5001,$A$131)))</f>
        <v>4</v>
      </c>
      <c r="AH133" s="45">
        <f>IF(AH$3="","",IF(COUNTIFS(Base!$A$3:$A$5001,AH$3,Base!$B$3:$B$5001,$A$131,Base!$L$3:$L$5001,"&lt;&gt;")=0,"",SUMIFS(Base!$L$3:$L$5001,Base!$A$3:$A$5001,AH$3,Base!$B$3:$B$5001,$A$131)))</f>
        <v>9</v>
      </c>
      <c r="AI133" s="45" t="str">
        <f>IF(AI$3="","",IF(COUNTIFS(Base!$A$3:$A$5001,AI$3,Base!$B$3:$B$5001,$A$131,Base!$L$3:$L$5001,"&lt;&gt;")=0,"",SUMIFS(Base!$L$3:$L$5001,Base!$A$3:$A$5001,AI$3,Base!$B$3:$B$5001,$A$131)))</f>
        <v/>
      </c>
      <c r="AJ133" s="46" t="str">
        <f>IF(AJ$3="","",IF(COUNTIFS(Base!$A$3:$A$5001,AJ$3,Base!$B$3:$B$5001,$A$131,Base!$L$3:$L$5001,"&lt;&gt;")=0,"",SUMIFS(Base!$L$3:$L$5001,Base!$A$3:$A$5001,AJ$3,Base!$B$3:$B$5001,$A$131)))</f>
        <v/>
      </c>
      <c r="AK133" s="47">
        <f>IF(COUNT(F133:AJ133)=0,"",SUM(F133:AJ133))</f>
        <v>183</v>
      </c>
    </row>
    <row r="134" ht="15.75" customHeight="1">
      <c r="A134" s="118"/>
      <c r="B134" s="110"/>
      <c r="C134" s="55" t="inlineStr">
        <is>
          <t xml:space="preserve">Pallets Movimentados</t>
        </is>
      </c>
      <c r="D134" s="473" t="str">
        <f>IFERROR(1/(1/INDEX(calculos!$C$55:$K$83,MATCH("OUT Pallets Movimentados",calculos!$A$55:$A$83,0),MATCH($A$131,calculos!$C$54:$K$54,0))),"")</f>
        <v/>
      </c>
      <c r="E134" s="57"/>
      <c r="F134" s="474">
        <f>IF(F$3="","",IF(COUNTIFS(Base!$A$3:$A$5001,F$3,Base!$B$3:$B$5001,$A$131,Base!$M$3:$M$5001,"&lt;&gt;")=0,"",SUMIFS(Base!$M$3:$M$5001,Base!$A$3:$A$5001,F$3,Base!$B$3:$B$5001,$A$131)))</f>
        <v>144</v>
      </c>
      <c r="G134" s="475">
        <f>IF(G$3="","",IF(COUNTIFS(Base!$A$3:$A$5001,G$3,Base!$B$3:$B$5001,$A$131,Base!$M$3:$M$5001,"&lt;&gt;")=0,"",SUMIFS(Base!$M$3:$M$5001,Base!$A$3:$A$5001,G$3,Base!$B$3:$B$5001,$A$131)))</f>
        <v>138</v>
      </c>
      <c r="H134" s="475">
        <f>IF(H$3="","",IF(COUNTIFS(Base!$A$3:$A$5001,H$3,Base!$B$3:$B$5001,$A$131,Base!$M$3:$M$5001,"&lt;&gt;")=0,"",SUMIFS(Base!$M$3:$M$5001,Base!$A$3:$A$5001,H$3,Base!$B$3:$B$5001,$A$131)))</f>
        <v>152</v>
      </c>
      <c r="I134" s="475">
        <f>IF(I$3="","",IF(COUNTIFS(Base!$A$3:$A$5001,I$3,Base!$B$3:$B$5001,$A$131,Base!$M$3:$M$5001,"&lt;&gt;")=0,"",SUMIFS(Base!$M$3:$M$5001,Base!$A$3:$A$5001,I$3,Base!$B$3:$B$5001,$A$131)))</f>
        <v>103</v>
      </c>
      <c r="J134" s="475">
        <f>IF(J$3="","",IF(COUNTIFS(Base!$A$3:$A$5001,J$3,Base!$B$3:$B$5001,$A$131,Base!$M$3:$M$5001,"&lt;&gt;")=0,"",SUMIFS(Base!$M$3:$M$5001,Base!$A$3:$A$5001,J$3,Base!$B$3:$B$5001,$A$131)))</f>
        <v>28</v>
      </c>
      <c r="K134" s="475" t="str">
        <f>IF(K$3="","",IF(COUNTIFS(Base!$A$3:$A$5001,K$3,Base!$B$3:$B$5001,$A$131,Base!$M$3:$M$5001,"&lt;&gt;")=0,"",SUMIFS(Base!$M$3:$M$5001,Base!$A$3:$A$5001,K$3,Base!$B$3:$B$5001,$A$131)))</f>
        <v/>
      </c>
      <c r="L134" s="475">
        <f>IF(L$3="","",IF(COUNTIFS(Base!$A$3:$A$5001,L$3,Base!$B$3:$B$5001,$A$131,Base!$M$3:$M$5001,"&lt;&gt;")=0,"",SUMIFS(Base!$M$3:$M$5001,Base!$A$3:$A$5001,L$3,Base!$B$3:$B$5001,$A$131)))</f>
        <v>99</v>
      </c>
      <c r="M134" s="475">
        <f>IF(M$3="","",IF(COUNTIFS(Base!$A$3:$A$5001,M$3,Base!$B$3:$B$5001,$A$131,Base!$M$3:$M$5001,"&lt;&gt;")=0,"",SUMIFS(Base!$M$3:$M$5001,Base!$A$3:$A$5001,M$3,Base!$B$3:$B$5001,$A$131)))</f>
        <v>121</v>
      </c>
      <c r="N134" s="475">
        <f>IF(N$3="","",IF(COUNTIFS(Base!$A$3:$A$5001,N$3,Base!$B$3:$B$5001,$A$131,Base!$M$3:$M$5001,"&lt;&gt;")=0,"",SUMIFS(Base!$M$3:$M$5001,Base!$A$3:$A$5001,N$3,Base!$B$3:$B$5001,$A$131)))</f>
        <v>81</v>
      </c>
      <c r="O134" s="475">
        <f>IF(O$3="","",IF(COUNTIFS(Base!$A$3:$A$5001,O$3,Base!$B$3:$B$5001,$A$131,Base!$M$3:$M$5001,"&lt;&gt;")=0,"",SUMIFS(Base!$M$3:$M$5001,Base!$A$3:$A$5001,O$3,Base!$B$3:$B$5001,$A$131)))</f>
        <v>102</v>
      </c>
      <c r="P134" s="475">
        <f>IF(P$3="","",IF(COUNTIFS(Base!$A$3:$A$5001,P$3,Base!$B$3:$B$5001,$A$131,Base!$M$3:$M$5001,"&lt;&gt;")=0,"",SUMIFS(Base!$M$3:$M$5001,Base!$A$3:$A$5001,P$3,Base!$B$3:$B$5001,$A$131)))</f>
        <v>155</v>
      </c>
      <c r="Q134" s="475">
        <f>IF(Q$3="","",IF(COUNTIFS(Base!$A$3:$A$5001,Q$3,Base!$B$3:$B$5001,$A$131,Base!$M$3:$M$5001,"&lt;&gt;")=0,"",SUMIFS(Base!$M$3:$M$5001,Base!$A$3:$A$5001,Q$3,Base!$B$3:$B$5001,$A$131)))</f>
        <v>26</v>
      </c>
      <c r="R134" s="475" t="str">
        <f>IF(R$3="","",IF(COUNTIFS(Base!$A$3:$A$5001,R$3,Base!$B$3:$B$5001,$A$131,Base!$M$3:$M$5001,"&lt;&gt;")=0,"",SUMIFS(Base!$M$3:$M$5001,Base!$A$3:$A$5001,R$3,Base!$B$3:$B$5001,$A$131)))</f>
        <v/>
      </c>
      <c r="S134" s="475">
        <f>IF(S$3="","",IF(COUNTIFS(Base!$A$3:$A$5001,S$3,Base!$B$3:$B$5001,$A$131,Base!$M$3:$M$5001,"&lt;&gt;")=0,"",SUMIFS(Base!$M$3:$M$5001,Base!$A$3:$A$5001,S$3,Base!$B$3:$B$5001,$A$131)))</f>
        <v>115</v>
      </c>
      <c r="T134" s="475">
        <f>IF(T$3="","",IF(COUNTIFS(Base!$A$3:$A$5001,T$3,Base!$B$3:$B$5001,$A$131,Base!$M$3:$M$5001,"&lt;&gt;")=0,"",SUMIFS(Base!$M$3:$M$5001,Base!$A$3:$A$5001,T$3,Base!$B$3:$B$5001,$A$131)))</f>
        <v>127</v>
      </c>
      <c r="U134" s="475">
        <f>IF(U$3="","",IF(COUNTIFS(Base!$A$3:$A$5001,U$3,Base!$B$3:$B$5001,$A$131,Base!$M$3:$M$5001,"&lt;&gt;")=0,"",SUMIFS(Base!$M$3:$M$5001,Base!$A$3:$A$5001,U$3,Base!$B$3:$B$5001,$A$131)))</f>
        <v>58</v>
      </c>
      <c r="V134" s="475">
        <f>IF(V$3="","",IF(COUNTIFS(Base!$A$3:$A$5001,V$3,Base!$B$3:$B$5001,$A$131,Base!$M$3:$M$5001,"&lt;&gt;")=0,"",SUMIFS(Base!$M$3:$M$5001,Base!$A$3:$A$5001,V$3,Base!$B$3:$B$5001,$A$131)))</f>
        <v>42</v>
      </c>
      <c r="W134" s="475">
        <f>IF(W$3="","",IF(COUNTIFS(Base!$A$3:$A$5001,W$3,Base!$B$3:$B$5001,$A$131,Base!$M$3:$M$5001,"&lt;&gt;")=0,"",SUMIFS(Base!$M$3:$M$5001,Base!$A$3:$A$5001,W$3,Base!$B$3:$B$5001,$A$131)))</f>
        <v>122</v>
      </c>
      <c r="X134" s="475">
        <f>IF(X$3="","",IF(COUNTIFS(Base!$A$3:$A$5001,X$3,Base!$B$3:$B$5001,$A$131,Base!$M$3:$M$5001,"&lt;&gt;")=0,"",SUMIFS(Base!$M$3:$M$5001,Base!$A$3:$A$5001,X$3,Base!$B$3:$B$5001,$A$131)))</f>
        <v>159</v>
      </c>
      <c r="Y134" s="475" t="str">
        <f>IF(Y$3="","",IF(COUNTIFS(Base!$A$3:$A$5001,Y$3,Base!$B$3:$B$5001,$A$131,Base!$M$3:$M$5001,"&lt;&gt;")=0,"",SUMIFS(Base!$M$3:$M$5001,Base!$A$3:$A$5001,Y$3,Base!$B$3:$B$5001,$A$131)))</f>
        <v/>
      </c>
      <c r="Z134" s="475">
        <f>IF(Z$3="","",IF(COUNTIFS(Base!$A$3:$A$5001,Z$3,Base!$B$3:$B$5001,$A$131,Base!$M$3:$M$5001,"&lt;&gt;")=0,"",SUMIFS(Base!$M$3:$M$5001,Base!$A$3:$A$5001,Z$3,Base!$B$3:$B$5001,$A$131)))</f>
        <v>140</v>
      </c>
      <c r="AA134" s="475">
        <f>IF(AA$3="","",IF(COUNTIFS(Base!$A$3:$A$5001,AA$3,Base!$B$3:$B$5001,$A$131,Base!$M$3:$M$5001,"&lt;&gt;")=0,"",SUMIFS(Base!$M$3:$M$5001,Base!$A$3:$A$5001,AA$3,Base!$B$3:$B$5001,$A$131)))</f>
        <v>95</v>
      </c>
      <c r="AB134" s="475">
        <f>IF(AB$3="","",IF(COUNTIFS(Base!$A$3:$A$5001,AB$3,Base!$B$3:$B$5001,$A$131,Base!$M$3:$M$5001,"&lt;&gt;")=0,"",SUMIFS(Base!$M$3:$M$5001,Base!$A$3:$A$5001,AB$3,Base!$B$3:$B$5001,$A$131)))</f>
        <v>124</v>
      </c>
      <c r="AC134" s="475">
        <f>IF(AC$3="","",IF(COUNTIFS(Base!$A$3:$A$5001,AC$3,Base!$B$3:$B$5001,$A$131,Base!$M$3:$M$5001,"&lt;&gt;")=0,"",SUMIFS(Base!$M$3:$M$5001,Base!$A$3:$A$5001,AC$3,Base!$B$3:$B$5001,$A$131)))</f>
        <v>73</v>
      </c>
      <c r="AD134" s="475">
        <f>IF(AD$3="","",IF(COUNTIFS(Base!$A$3:$A$5001,AD$3,Base!$B$3:$B$5001,$A$131,Base!$M$3:$M$5001,"&lt;&gt;")=0,"",SUMIFS(Base!$M$3:$M$5001,Base!$A$3:$A$5001,AD$3,Base!$B$3:$B$5001,$A$131)))</f>
        <v>100</v>
      </c>
      <c r="AE134" s="475">
        <f>IF(AE$3="","",IF(COUNTIFS(Base!$A$3:$A$5001,AE$3,Base!$B$3:$B$5001,$A$131,Base!$M$3:$M$5001,"&lt;&gt;")=0,"",SUMIFS(Base!$M$3:$M$5001,Base!$A$3:$A$5001,AE$3,Base!$B$3:$B$5001,$A$131)))</f>
        <v>84</v>
      </c>
      <c r="AF134" s="475" t="str">
        <f>IF(AF$3="","",IF(COUNTIFS(Base!$A$3:$A$5001,AF$3,Base!$B$3:$B$5001,$A$131,Base!$M$3:$M$5001,"&lt;&gt;")=0,"",SUMIFS(Base!$M$3:$M$5001,Base!$A$3:$A$5001,AF$3,Base!$B$3:$B$5001,$A$131)))</f>
        <v/>
      </c>
      <c r="AG134" s="475">
        <f>IF(AG$3="","",IF(COUNTIFS(Base!$A$3:$A$5001,AG$3,Base!$B$3:$B$5001,$A$131,Base!$M$3:$M$5001,"&lt;&gt;")=0,"",SUMIFS(Base!$M$3:$M$5001,Base!$A$3:$A$5001,AG$3,Base!$B$3:$B$5001,$A$131)))</f>
        <v>61</v>
      </c>
      <c r="AH134" s="475">
        <f>IF(AH$3="","",IF(COUNTIFS(Base!$A$3:$A$5001,AH$3,Base!$B$3:$B$5001,$A$131,Base!$M$3:$M$5001,"&lt;&gt;")=0,"",SUMIFS(Base!$M$3:$M$5001,Base!$A$3:$A$5001,AH$3,Base!$B$3:$B$5001,$A$131)))</f>
        <v>99</v>
      </c>
      <c r="AI134" s="475" t="str">
        <f>IF(AI$3="","",IF(COUNTIFS(Base!$A$3:$A$5001,AI$3,Base!$B$3:$B$5001,$A$131,Base!$M$3:$M$5001,"&lt;&gt;")=0,"",SUMIFS(Base!$M$3:$M$5001,Base!$A$3:$A$5001,AI$3,Base!$B$3:$B$5001,$A$131)))</f>
        <v/>
      </c>
      <c r="AJ134" s="476" t="str">
        <f>IF(AJ$3="","",IF(COUNTIFS(Base!$A$3:$A$5001,AJ$3,Base!$B$3:$B$5001,$A$131,Base!$M$3:$M$5001,"&lt;&gt;")=0,"",SUMIFS(Base!$M$3:$M$5001,Base!$A$3:$A$5001,AJ$3,Base!$B$3:$B$5001,$A$131)))</f>
        <v/>
      </c>
      <c r="AK134" s="473">
        <f>IF(COUNT(F134:AJ134)=0,"",SUM(F134:AJ134))</f>
        <v>2548</v>
      </c>
    </row>
    <row r="135" ht="15.75" customHeight="1">
      <c r="A135" s="118"/>
      <c r="B135" s="111" t="inlineStr">
        <is>
          <t xml:space="preserve">NC</t>
        </is>
      </c>
      <c r="C135" s="61" t="inlineStr">
        <is>
          <t xml:space="preserve">Incidentes</t>
        </is>
      </c>
      <c r="D135" s="62" t="str">
        <f>IFERROR(1/(1/INDEX(calculos!$C$55:$K$83,MATCH("NC Incidentes",calculos!$A$55:$A$83,0),MATCH($A$131,calculos!$C$54:$K$54,0))),"")</f>
        <v/>
      </c>
      <c r="E135" s="63"/>
      <c r="F135" s="64">
        <f>IF(F$3="","",IF(COUNTIFS(Base!$A$3:$A$5001,F$3,Base!$B$3:$B$5001,$A$131,Base!$U$3:$U$5001,"&lt;&gt;")=0,"",SUMIFS(Base!$U$3:$U$5001,Base!$A$3:$A$5001,F$3,Base!$B$3:$B$5001,$A$131)))</f>
        <v>0</v>
      </c>
      <c r="G135" s="65">
        <f>IF(G$3="","",IF(COUNTIFS(Base!$A$3:$A$5001,G$3,Base!$B$3:$B$5001,$A$131,Base!$U$3:$U$5001,"&lt;&gt;")=0,"",SUMIFS(Base!$U$3:$U$5001,Base!$A$3:$A$5001,G$3,Base!$B$3:$B$5001,$A$131)))</f>
        <v>0</v>
      </c>
      <c r="H135" s="65">
        <f>IF(H$3="","",IF(COUNTIFS(Base!$A$3:$A$5001,H$3,Base!$B$3:$B$5001,$A$131,Base!$U$3:$U$5001,"&lt;&gt;")=0,"",SUMIFS(Base!$U$3:$U$5001,Base!$A$3:$A$5001,H$3,Base!$B$3:$B$5001,$A$131)))</f>
        <v>0</v>
      </c>
      <c r="I135" s="65">
        <f>IF(I$3="","",IF(COUNTIFS(Base!$A$3:$A$5001,I$3,Base!$B$3:$B$5001,$A$131,Base!$U$3:$U$5001,"&lt;&gt;")=0,"",SUMIFS(Base!$U$3:$U$5001,Base!$A$3:$A$5001,I$3,Base!$B$3:$B$5001,$A$131)))</f>
        <v>0</v>
      </c>
      <c r="J135" s="65">
        <f>IF(J$3="","",IF(COUNTIFS(Base!$A$3:$A$5001,J$3,Base!$B$3:$B$5001,$A$131,Base!$U$3:$U$5001,"&lt;&gt;")=0,"",SUMIFS(Base!$U$3:$U$5001,Base!$A$3:$A$5001,J$3,Base!$B$3:$B$5001,$A$131)))</f>
        <v>0</v>
      </c>
      <c r="K135" s="65" t="str">
        <f>IF(K$3="","",IF(COUNTIFS(Base!$A$3:$A$5001,K$3,Base!$B$3:$B$5001,$A$131,Base!$U$3:$U$5001,"&lt;&gt;")=0,"",SUMIFS(Base!$U$3:$U$5001,Base!$A$3:$A$5001,K$3,Base!$B$3:$B$5001,$A$131)))</f>
        <v/>
      </c>
      <c r="L135" s="65">
        <f>IF(L$3="","",IF(COUNTIFS(Base!$A$3:$A$5001,L$3,Base!$B$3:$B$5001,$A$131,Base!$U$3:$U$5001,"&lt;&gt;")=0,"",SUMIFS(Base!$U$3:$U$5001,Base!$A$3:$A$5001,L$3,Base!$B$3:$B$5001,$A$131)))</f>
        <v>0</v>
      </c>
      <c r="M135" s="65">
        <f>IF(M$3="","",IF(COUNTIFS(Base!$A$3:$A$5001,M$3,Base!$B$3:$B$5001,$A$131,Base!$U$3:$U$5001,"&lt;&gt;")=0,"",SUMIFS(Base!$U$3:$U$5001,Base!$A$3:$A$5001,M$3,Base!$B$3:$B$5001,$A$131)))</f>
        <v>0</v>
      </c>
      <c r="N135" s="65">
        <f>IF(N$3="","",IF(COUNTIFS(Base!$A$3:$A$5001,N$3,Base!$B$3:$B$5001,$A$131,Base!$U$3:$U$5001,"&lt;&gt;")=0,"",SUMIFS(Base!$U$3:$U$5001,Base!$A$3:$A$5001,N$3,Base!$B$3:$B$5001,$A$131)))</f>
        <v>0</v>
      </c>
      <c r="O135" s="65">
        <f>IF(O$3="","",IF(COUNTIFS(Base!$A$3:$A$5001,O$3,Base!$B$3:$B$5001,$A$131,Base!$U$3:$U$5001,"&lt;&gt;")=0,"",SUMIFS(Base!$U$3:$U$5001,Base!$A$3:$A$5001,O$3,Base!$B$3:$B$5001,$A$131)))</f>
        <v>0</v>
      </c>
      <c r="P135" s="65">
        <f>IF(P$3="","",IF(COUNTIFS(Base!$A$3:$A$5001,P$3,Base!$B$3:$B$5001,$A$131,Base!$U$3:$U$5001,"&lt;&gt;")=0,"",SUMIFS(Base!$U$3:$U$5001,Base!$A$3:$A$5001,P$3,Base!$B$3:$B$5001,$A$131)))</f>
        <v>0</v>
      </c>
      <c r="Q135" s="65">
        <f>IF(Q$3="","",IF(COUNTIFS(Base!$A$3:$A$5001,Q$3,Base!$B$3:$B$5001,$A$131,Base!$U$3:$U$5001,"&lt;&gt;")=0,"",SUMIFS(Base!$U$3:$U$5001,Base!$A$3:$A$5001,Q$3,Base!$B$3:$B$5001,$A$131)))</f>
        <v>0</v>
      </c>
      <c r="R135" s="65" t="str">
        <f>IF(R$3="","",IF(COUNTIFS(Base!$A$3:$A$5001,R$3,Base!$B$3:$B$5001,$A$131,Base!$U$3:$U$5001,"&lt;&gt;")=0,"",SUMIFS(Base!$U$3:$U$5001,Base!$A$3:$A$5001,R$3,Base!$B$3:$B$5001,$A$131)))</f>
        <v/>
      </c>
      <c r="S135" s="65">
        <f>IF(S$3="","",IF(COUNTIFS(Base!$A$3:$A$5001,S$3,Base!$B$3:$B$5001,$A$131,Base!$U$3:$U$5001,"&lt;&gt;")=0,"",SUMIFS(Base!$U$3:$U$5001,Base!$A$3:$A$5001,S$3,Base!$B$3:$B$5001,$A$131)))</f>
        <v>0</v>
      </c>
      <c r="T135" s="65">
        <f>IF(T$3="","",IF(COUNTIFS(Base!$A$3:$A$5001,T$3,Base!$B$3:$B$5001,$A$131,Base!$U$3:$U$5001,"&lt;&gt;")=0,"",SUMIFS(Base!$U$3:$U$5001,Base!$A$3:$A$5001,T$3,Base!$B$3:$B$5001,$A$131)))</f>
        <v>0</v>
      </c>
      <c r="U135" s="65">
        <f>IF(U$3="","",IF(COUNTIFS(Base!$A$3:$A$5001,U$3,Base!$B$3:$B$5001,$A$131,Base!$U$3:$U$5001,"&lt;&gt;")=0,"",SUMIFS(Base!$U$3:$U$5001,Base!$A$3:$A$5001,U$3,Base!$B$3:$B$5001,$A$131)))</f>
        <v>0</v>
      </c>
      <c r="V135" s="65">
        <f>IF(V$3="","",IF(COUNTIFS(Base!$A$3:$A$5001,V$3,Base!$B$3:$B$5001,$A$131,Base!$U$3:$U$5001,"&lt;&gt;")=0,"",SUMIFS(Base!$U$3:$U$5001,Base!$A$3:$A$5001,V$3,Base!$B$3:$B$5001,$A$131)))</f>
        <v>0</v>
      </c>
      <c r="W135" s="65">
        <f>IF(W$3="","",IF(COUNTIFS(Base!$A$3:$A$5001,W$3,Base!$B$3:$B$5001,$A$131,Base!$U$3:$U$5001,"&lt;&gt;")=0,"",SUMIFS(Base!$U$3:$U$5001,Base!$A$3:$A$5001,W$3,Base!$B$3:$B$5001,$A$131)))</f>
        <v>0</v>
      </c>
      <c r="X135" s="65">
        <f>IF(X$3="","",IF(COUNTIFS(Base!$A$3:$A$5001,X$3,Base!$B$3:$B$5001,$A$131,Base!$U$3:$U$5001,"&lt;&gt;")=0,"",SUMIFS(Base!$U$3:$U$5001,Base!$A$3:$A$5001,X$3,Base!$B$3:$B$5001,$A$131)))</f>
        <v>0</v>
      </c>
      <c r="Y135" s="65" t="str">
        <f>IF(Y$3="","",IF(COUNTIFS(Base!$A$3:$A$5001,Y$3,Base!$B$3:$B$5001,$A$131,Base!$U$3:$U$5001,"&lt;&gt;")=0,"",SUMIFS(Base!$U$3:$U$5001,Base!$A$3:$A$5001,Y$3,Base!$B$3:$B$5001,$A$131)))</f>
        <v/>
      </c>
      <c r="Z135" s="65">
        <f>IF(Z$3="","",IF(COUNTIFS(Base!$A$3:$A$5001,Z$3,Base!$B$3:$B$5001,$A$131,Base!$U$3:$U$5001,"&lt;&gt;")=0,"",SUMIFS(Base!$U$3:$U$5001,Base!$A$3:$A$5001,Z$3,Base!$B$3:$B$5001,$A$131)))</f>
        <v>0</v>
      </c>
      <c r="AA135" s="65">
        <f>IF(AA$3="","",IF(COUNTIFS(Base!$A$3:$A$5001,AA$3,Base!$B$3:$B$5001,$A$131,Base!$U$3:$U$5001,"&lt;&gt;")=0,"",SUMIFS(Base!$U$3:$U$5001,Base!$A$3:$A$5001,AA$3,Base!$B$3:$B$5001,$A$131)))</f>
        <v>0</v>
      </c>
      <c r="AB135" s="65">
        <f>IF(AB$3="","",IF(COUNTIFS(Base!$A$3:$A$5001,AB$3,Base!$B$3:$B$5001,$A$131,Base!$U$3:$U$5001,"&lt;&gt;")=0,"",SUMIFS(Base!$U$3:$U$5001,Base!$A$3:$A$5001,AB$3,Base!$B$3:$B$5001,$A$131)))</f>
        <v>0</v>
      </c>
      <c r="AC135" s="65">
        <f>IF(AC$3="","",IF(COUNTIFS(Base!$A$3:$A$5001,AC$3,Base!$B$3:$B$5001,$A$131,Base!$U$3:$U$5001,"&lt;&gt;")=0,"",SUMIFS(Base!$U$3:$U$5001,Base!$A$3:$A$5001,AC$3,Base!$B$3:$B$5001,$A$131)))</f>
        <v>0</v>
      </c>
      <c r="AD135" s="65">
        <f>IF(AD$3="","",IF(COUNTIFS(Base!$A$3:$A$5001,AD$3,Base!$B$3:$B$5001,$A$131,Base!$U$3:$U$5001,"&lt;&gt;")=0,"",SUMIFS(Base!$U$3:$U$5001,Base!$A$3:$A$5001,AD$3,Base!$B$3:$B$5001,$A$131)))</f>
        <v>0</v>
      </c>
      <c r="AE135" s="65">
        <f>IF(AE$3="","",IF(COUNTIFS(Base!$A$3:$A$5001,AE$3,Base!$B$3:$B$5001,$A$131,Base!$U$3:$U$5001,"&lt;&gt;")=0,"",SUMIFS(Base!$U$3:$U$5001,Base!$A$3:$A$5001,AE$3,Base!$B$3:$B$5001,$A$131)))</f>
        <v>0</v>
      </c>
      <c r="AF135" s="65" t="str">
        <f>IF(AF$3="","",IF(COUNTIFS(Base!$A$3:$A$5001,AF$3,Base!$B$3:$B$5001,$A$131,Base!$U$3:$U$5001,"&lt;&gt;")=0,"",SUMIFS(Base!$U$3:$U$5001,Base!$A$3:$A$5001,AF$3,Base!$B$3:$B$5001,$A$131)))</f>
        <v/>
      </c>
      <c r="AG135" s="65">
        <f>IF(AG$3="","",IF(COUNTIFS(Base!$A$3:$A$5001,AG$3,Base!$B$3:$B$5001,$A$131,Base!$U$3:$U$5001,"&lt;&gt;")=0,"",SUMIFS(Base!$U$3:$U$5001,Base!$A$3:$A$5001,AG$3,Base!$B$3:$B$5001,$A$131)))</f>
        <v>0</v>
      </c>
      <c r="AH135" s="65">
        <f>IF(AH$3="","",IF(COUNTIFS(Base!$A$3:$A$5001,AH$3,Base!$B$3:$B$5001,$A$131,Base!$U$3:$U$5001,"&lt;&gt;")=0,"",SUMIFS(Base!$U$3:$U$5001,Base!$A$3:$A$5001,AH$3,Base!$B$3:$B$5001,$A$131)))</f>
        <v>0</v>
      </c>
      <c r="AI135" s="65" t="str">
        <f>IF(AI$3="","",IF(COUNTIFS(Base!$A$3:$A$5001,AI$3,Base!$B$3:$B$5001,$A$131,Base!$U$3:$U$5001,"&lt;&gt;")=0,"",SUMIFS(Base!$U$3:$U$5001,Base!$A$3:$A$5001,AI$3,Base!$B$3:$B$5001,$A$131)))</f>
        <v/>
      </c>
      <c r="AJ135" s="66" t="str">
        <f>IF(AJ$3="","",IF(COUNTIFS(Base!$A$3:$A$5001,AJ$3,Base!$B$3:$B$5001,$A$131,Base!$U$3:$U$5001,"&lt;&gt;")=0,"",SUMIFS(Base!$U$3:$U$5001,Base!$A$3:$A$5001,AJ$3,Base!$B$3:$B$5001,$A$131)))</f>
        <v/>
      </c>
      <c r="AK135" s="67">
        <f>IF(COUNT(F135:AJ135)=0,"",SUM(F135:AJ135))</f>
        <v>0</v>
      </c>
    </row>
    <row r="136" ht="15.75" customHeight="1">
      <c r="A136" s="118"/>
      <c r="B136" s="112"/>
      <c r="C136" s="68" t="inlineStr">
        <is>
          <t xml:space="preserve">No show</t>
        </is>
      </c>
      <c r="D136" s="69" t="str">
        <f>IFERROR(1/(1/INDEX(calculos!$C$55:$K$83,MATCH("NC No show",calculos!$A$55:$A$83,0),MATCH($A$131,calculos!$C$54:$K$54,0))),"")</f>
        <v/>
      </c>
      <c r="E136" s="70"/>
      <c r="F136" s="71">
        <f>IF(F$3="","",IF(COUNTIFS(Base!$A$3:$A$5001,F$3,Base!$B$3:$B$5001,$A$131,Base!$V$3:$V$5001,"&lt;&gt;")=0,"",SUMIFS(Base!$V$3:$V$5001,Base!$A$3:$A$5001,F$3,Base!$B$3:$B$5001,$A$131)))</f>
        <v>0</v>
      </c>
      <c r="G136" s="72">
        <f>IF(G$3="","",IF(COUNTIFS(Base!$A$3:$A$5001,G$3,Base!$B$3:$B$5001,$A$131,Base!$V$3:$V$5001,"&lt;&gt;")=0,"",SUMIFS(Base!$V$3:$V$5001,Base!$A$3:$A$5001,G$3,Base!$B$3:$B$5001,$A$131)))</f>
        <v>0</v>
      </c>
      <c r="H136" s="72">
        <f>IF(H$3="","",IF(COUNTIFS(Base!$A$3:$A$5001,H$3,Base!$B$3:$B$5001,$A$131,Base!$V$3:$V$5001,"&lt;&gt;")=0,"",SUMIFS(Base!$V$3:$V$5001,Base!$A$3:$A$5001,H$3,Base!$B$3:$B$5001,$A$131)))</f>
        <v>0</v>
      </c>
      <c r="I136" s="72">
        <f>IF(I$3="","",IF(COUNTIFS(Base!$A$3:$A$5001,I$3,Base!$B$3:$B$5001,$A$131,Base!$V$3:$V$5001,"&lt;&gt;")=0,"",SUMIFS(Base!$V$3:$V$5001,Base!$A$3:$A$5001,I$3,Base!$B$3:$B$5001,$A$131)))</f>
        <v>0</v>
      </c>
      <c r="J136" s="72">
        <f>IF(J$3="","",IF(COUNTIFS(Base!$A$3:$A$5001,J$3,Base!$B$3:$B$5001,$A$131,Base!$V$3:$V$5001,"&lt;&gt;")=0,"",SUMIFS(Base!$V$3:$V$5001,Base!$A$3:$A$5001,J$3,Base!$B$3:$B$5001,$A$131)))</f>
        <v>0</v>
      </c>
      <c r="K136" s="72" t="str">
        <f>IF(K$3="","",IF(COUNTIFS(Base!$A$3:$A$5001,K$3,Base!$B$3:$B$5001,$A$131,Base!$V$3:$V$5001,"&lt;&gt;")=0,"",SUMIFS(Base!$V$3:$V$5001,Base!$A$3:$A$5001,K$3,Base!$B$3:$B$5001,$A$131)))</f>
        <v/>
      </c>
      <c r="L136" s="72">
        <f>IF(L$3="","",IF(COUNTIFS(Base!$A$3:$A$5001,L$3,Base!$B$3:$B$5001,$A$131,Base!$V$3:$V$5001,"&lt;&gt;")=0,"",SUMIFS(Base!$V$3:$V$5001,Base!$A$3:$A$5001,L$3,Base!$B$3:$B$5001,$A$131)))</f>
        <v>0</v>
      </c>
      <c r="M136" s="72">
        <f>IF(M$3="","",IF(COUNTIFS(Base!$A$3:$A$5001,M$3,Base!$B$3:$B$5001,$A$131,Base!$V$3:$V$5001,"&lt;&gt;")=0,"",SUMIFS(Base!$V$3:$V$5001,Base!$A$3:$A$5001,M$3,Base!$B$3:$B$5001,$A$131)))</f>
        <v>1</v>
      </c>
      <c r="N136" s="72">
        <f>IF(N$3="","",IF(COUNTIFS(Base!$A$3:$A$5001,N$3,Base!$B$3:$B$5001,$A$131,Base!$V$3:$V$5001,"&lt;&gt;")=0,"",SUMIFS(Base!$V$3:$V$5001,Base!$A$3:$A$5001,N$3,Base!$B$3:$B$5001,$A$131)))</f>
        <v>0</v>
      </c>
      <c r="O136" s="72">
        <f>IF(O$3="","",IF(COUNTIFS(Base!$A$3:$A$5001,O$3,Base!$B$3:$B$5001,$A$131,Base!$V$3:$V$5001,"&lt;&gt;")=0,"",SUMIFS(Base!$V$3:$V$5001,Base!$A$3:$A$5001,O$3,Base!$B$3:$B$5001,$A$131)))</f>
        <v>0</v>
      </c>
      <c r="P136" s="72">
        <f>IF(P$3="","",IF(COUNTIFS(Base!$A$3:$A$5001,P$3,Base!$B$3:$B$5001,$A$131,Base!$V$3:$V$5001,"&lt;&gt;")=0,"",SUMIFS(Base!$V$3:$V$5001,Base!$A$3:$A$5001,P$3,Base!$B$3:$B$5001,$A$131)))</f>
        <v>0</v>
      </c>
      <c r="Q136" s="72">
        <f>IF(Q$3="","",IF(COUNTIFS(Base!$A$3:$A$5001,Q$3,Base!$B$3:$B$5001,$A$131,Base!$V$3:$V$5001,"&lt;&gt;")=0,"",SUMIFS(Base!$V$3:$V$5001,Base!$A$3:$A$5001,Q$3,Base!$B$3:$B$5001,$A$131)))</f>
        <v>0</v>
      </c>
      <c r="R136" s="72" t="str">
        <f>IF(R$3="","",IF(COUNTIFS(Base!$A$3:$A$5001,R$3,Base!$B$3:$B$5001,$A$131,Base!$V$3:$V$5001,"&lt;&gt;")=0,"",SUMIFS(Base!$V$3:$V$5001,Base!$A$3:$A$5001,R$3,Base!$B$3:$B$5001,$A$131)))</f>
        <v/>
      </c>
      <c r="S136" s="72">
        <f>IF(S$3="","",IF(COUNTIFS(Base!$A$3:$A$5001,S$3,Base!$B$3:$B$5001,$A$131,Base!$V$3:$V$5001,"&lt;&gt;")=0,"",SUMIFS(Base!$V$3:$V$5001,Base!$A$3:$A$5001,S$3,Base!$B$3:$B$5001,$A$131)))</f>
        <v>0</v>
      </c>
      <c r="T136" s="72">
        <f>IF(T$3="","",IF(COUNTIFS(Base!$A$3:$A$5001,T$3,Base!$B$3:$B$5001,$A$131,Base!$V$3:$V$5001,"&lt;&gt;")=0,"",SUMIFS(Base!$V$3:$V$5001,Base!$A$3:$A$5001,T$3,Base!$B$3:$B$5001,$A$131)))</f>
        <v>0</v>
      </c>
      <c r="U136" s="72">
        <f>IF(U$3="","",IF(COUNTIFS(Base!$A$3:$A$5001,U$3,Base!$B$3:$B$5001,$A$131,Base!$V$3:$V$5001,"&lt;&gt;")=0,"",SUMIFS(Base!$V$3:$V$5001,Base!$A$3:$A$5001,U$3,Base!$B$3:$B$5001,$A$131)))</f>
        <v>0</v>
      </c>
      <c r="V136" s="72">
        <f>IF(V$3="","",IF(COUNTIFS(Base!$A$3:$A$5001,V$3,Base!$B$3:$B$5001,$A$131,Base!$V$3:$V$5001,"&lt;&gt;")=0,"",SUMIFS(Base!$V$3:$V$5001,Base!$A$3:$A$5001,V$3,Base!$B$3:$B$5001,$A$131)))</f>
        <v>0</v>
      </c>
      <c r="W136" s="72">
        <f>IF(W$3="","",IF(COUNTIFS(Base!$A$3:$A$5001,W$3,Base!$B$3:$B$5001,$A$131,Base!$V$3:$V$5001,"&lt;&gt;")=0,"",SUMIFS(Base!$V$3:$V$5001,Base!$A$3:$A$5001,W$3,Base!$B$3:$B$5001,$A$131)))</f>
        <v>0</v>
      </c>
      <c r="X136" s="72">
        <f>IF(X$3="","",IF(COUNTIFS(Base!$A$3:$A$5001,X$3,Base!$B$3:$B$5001,$A$131,Base!$V$3:$V$5001,"&lt;&gt;")=0,"",SUMIFS(Base!$V$3:$V$5001,Base!$A$3:$A$5001,X$3,Base!$B$3:$B$5001,$A$131)))</f>
        <v>1</v>
      </c>
      <c r="Y136" s="72" t="str">
        <f>IF(Y$3="","",IF(COUNTIFS(Base!$A$3:$A$5001,Y$3,Base!$B$3:$B$5001,$A$131,Base!$V$3:$V$5001,"&lt;&gt;")=0,"",SUMIFS(Base!$V$3:$V$5001,Base!$A$3:$A$5001,Y$3,Base!$B$3:$B$5001,$A$131)))</f>
        <v/>
      </c>
      <c r="Z136" s="72">
        <f>IF(Z$3="","",IF(COUNTIFS(Base!$A$3:$A$5001,Z$3,Base!$B$3:$B$5001,$A$131,Base!$V$3:$V$5001,"&lt;&gt;")=0,"",SUMIFS(Base!$V$3:$V$5001,Base!$A$3:$A$5001,Z$3,Base!$B$3:$B$5001,$A$131)))</f>
        <v>1</v>
      </c>
      <c r="AA136" s="72">
        <f>IF(AA$3="","",IF(COUNTIFS(Base!$A$3:$A$5001,AA$3,Base!$B$3:$B$5001,$A$131,Base!$V$3:$V$5001,"&lt;&gt;")=0,"",SUMIFS(Base!$V$3:$V$5001,Base!$A$3:$A$5001,AA$3,Base!$B$3:$B$5001,$A$131)))</f>
        <v>0</v>
      </c>
      <c r="AB136" s="72">
        <f>IF(AB$3="","",IF(COUNTIFS(Base!$A$3:$A$5001,AB$3,Base!$B$3:$B$5001,$A$131,Base!$V$3:$V$5001,"&lt;&gt;")=0,"",SUMIFS(Base!$V$3:$V$5001,Base!$A$3:$A$5001,AB$3,Base!$B$3:$B$5001,$A$131)))</f>
        <v>0</v>
      </c>
      <c r="AC136" s="72">
        <f>IF(AC$3="","",IF(COUNTIFS(Base!$A$3:$A$5001,AC$3,Base!$B$3:$B$5001,$A$131,Base!$V$3:$V$5001,"&lt;&gt;")=0,"",SUMIFS(Base!$V$3:$V$5001,Base!$A$3:$A$5001,AC$3,Base!$B$3:$B$5001,$A$131)))</f>
        <v>0</v>
      </c>
      <c r="AD136" s="72">
        <f>IF(AD$3="","",IF(COUNTIFS(Base!$A$3:$A$5001,AD$3,Base!$B$3:$B$5001,$A$131,Base!$V$3:$V$5001,"&lt;&gt;")=0,"",SUMIFS(Base!$V$3:$V$5001,Base!$A$3:$A$5001,AD$3,Base!$B$3:$B$5001,$A$131)))</f>
        <v>0</v>
      </c>
      <c r="AE136" s="72">
        <f>IF(AE$3="","",IF(COUNTIFS(Base!$A$3:$A$5001,AE$3,Base!$B$3:$B$5001,$A$131,Base!$V$3:$V$5001,"&lt;&gt;")=0,"",SUMIFS(Base!$V$3:$V$5001,Base!$A$3:$A$5001,AE$3,Base!$B$3:$B$5001,$A$131)))</f>
        <v>0</v>
      </c>
      <c r="AF136" s="72" t="str">
        <f>IF(AF$3="","",IF(COUNTIFS(Base!$A$3:$A$5001,AF$3,Base!$B$3:$B$5001,$A$131,Base!$V$3:$V$5001,"&lt;&gt;")=0,"",SUMIFS(Base!$V$3:$V$5001,Base!$A$3:$A$5001,AF$3,Base!$B$3:$B$5001,$A$131)))</f>
        <v/>
      </c>
      <c r="AG136" s="72">
        <f>IF(AG$3="","",IF(COUNTIFS(Base!$A$3:$A$5001,AG$3,Base!$B$3:$B$5001,$A$131,Base!$V$3:$V$5001,"&lt;&gt;")=0,"",SUMIFS(Base!$V$3:$V$5001,Base!$A$3:$A$5001,AG$3,Base!$B$3:$B$5001,$A$131)))</f>
        <v>0</v>
      </c>
      <c r="AH136" s="72">
        <f>IF(AH$3="","",IF(COUNTIFS(Base!$A$3:$A$5001,AH$3,Base!$B$3:$B$5001,$A$131,Base!$V$3:$V$5001,"&lt;&gt;")=0,"",SUMIFS(Base!$V$3:$V$5001,Base!$A$3:$A$5001,AH$3,Base!$B$3:$B$5001,$A$131)))</f>
        <v>0</v>
      </c>
      <c r="AI136" s="72" t="str">
        <f>IF(AI$3="","",IF(COUNTIFS(Base!$A$3:$A$5001,AI$3,Base!$B$3:$B$5001,$A$131,Base!$V$3:$V$5001,"&lt;&gt;")=0,"",SUMIFS(Base!$V$3:$V$5001,Base!$A$3:$A$5001,AI$3,Base!$B$3:$B$5001,$A$131)))</f>
        <v/>
      </c>
      <c r="AJ136" s="73" t="str">
        <f>IF(AJ$3="","",IF(COUNTIFS(Base!$A$3:$A$5001,AJ$3,Base!$B$3:$B$5001,$A$131,Base!$V$3:$V$5001,"&lt;&gt;")=0,"",SUMIFS(Base!$V$3:$V$5001,Base!$A$3:$A$5001,AJ$3,Base!$B$3:$B$5001,$A$131)))</f>
        <v/>
      </c>
      <c r="AK136" s="74">
        <f>IF(COUNT(F136:AJ136)=0,"",SUM(F136:AJ136))</f>
        <v>3</v>
      </c>
    </row>
    <row r="137" ht="15.75" customHeight="1">
      <c r="A137" s="118"/>
      <c r="B137" s="113"/>
      <c r="C137" s="75" t="inlineStr">
        <is>
          <t xml:space="preserve">Backlog</t>
        </is>
      </c>
      <c r="D137" s="76" t="str">
        <f>IFERROR(1/(1/INDEX(calculos!$C$55:$K$83,MATCH("NC Backlog",calculos!$A$55:$A$83,0),MATCH($A$131,calculos!$C$54:$K$54,0))),"")</f>
        <v/>
      </c>
      <c r="E137" s="77"/>
      <c r="F137" s="78" t="str">
        <f>IF(F$3="","",IF(COUNTIFS(Base!$A$3:$A$5001,F$3,Base!$B$3:$B$5001,$A$131,Base!$W$3:$W$5001,"&lt;&gt;")=0,"",SUMIFS(Base!$W$3:$W$5001,Base!$A$3:$A$5001,F$3,Base!$B$3:$B$5001,$A$131)))</f>
        <v/>
      </c>
      <c r="G137" s="79">
        <f>IF(G$3="","",IF(COUNTIFS(Base!$A$3:$A$5001,G$3,Base!$B$3:$B$5001,$A$131,Base!$W$3:$W$5001,"&lt;&gt;")=0,"",SUMIFS(Base!$W$3:$W$5001,Base!$A$3:$A$5001,G$3,Base!$B$3:$B$5001,$A$131)))</f>
        <v>1</v>
      </c>
      <c r="H137" s="79" t="str">
        <f>IF(H$3="","",IF(COUNTIFS(Base!$A$3:$A$5001,H$3,Base!$B$3:$B$5001,$A$131,Base!$W$3:$W$5001,"&lt;&gt;")=0,"",SUMIFS(Base!$W$3:$W$5001,Base!$A$3:$A$5001,H$3,Base!$B$3:$B$5001,$A$131)))</f>
        <v/>
      </c>
      <c r="I137" s="79" t="str">
        <f>IF(I$3="","",IF(COUNTIFS(Base!$A$3:$A$5001,I$3,Base!$B$3:$B$5001,$A$131,Base!$W$3:$W$5001,"&lt;&gt;")=0,"",SUMIFS(Base!$W$3:$W$5001,Base!$A$3:$A$5001,I$3,Base!$B$3:$B$5001,$A$131)))</f>
        <v/>
      </c>
      <c r="J137" s="79" t="str">
        <f>IF(J$3="","",IF(COUNTIFS(Base!$A$3:$A$5001,J$3,Base!$B$3:$B$5001,$A$131,Base!$W$3:$W$5001,"&lt;&gt;")=0,"",SUMIFS(Base!$W$3:$W$5001,Base!$A$3:$A$5001,J$3,Base!$B$3:$B$5001,$A$131)))</f>
        <v/>
      </c>
      <c r="K137" s="79" t="str">
        <f>IF(K$3="","",IF(COUNTIFS(Base!$A$3:$A$5001,K$3,Base!$B$3:$B$5001,$A$131,Base!$W$3:$W$5001,"&lt;&gt;")=0,"",SUMIFS(Base!$W$3:$W$5001,Base!$A$3:$A$5001,K$3,Base!$B$3:$B$5001,$A$131)))</f>
        <v/>
      </c>
      <c r="L137" s="79" t="str">
        <f>IF(L$3="","",IF(COUNTIFS(Base!$A$3:$A$5001,L$3,Base!$B$3:$B$5001,$A$131,Base!$W$3:$W$5001,"&lt;&gt;")=0,"",SUMIFS(Base!$W$3:$W$5001,Base!$A$3:$A$5001,L$3,Base!$B$3:$B$5001,$A$131)))</f>
        <v/>
      </c>
      <c r="M137" s="79">
        <f>IF(M$3="","",IF(COUNTIFS(Base!$A$3:$A$5001,M$3,Base!$B$3:$B$5001,$A$131,Base!$W$3:$W$5001,"&lt;&gt;")=0,"",SUMIFS(Base!$W$3:$W$5001,Base!$A$3:$A$5001,M$3,Base!$B$3:$B$5001,$A$131)))</f>
        <v>5</v>
      </c>
      <c r="N137" s="79">
        <f>IF(N$3="","",IF(COUNTIFS(Base!$A$3:$A$5001,N$3,Base!$B$3:$B$5001,$A$131,Base!$W$3:$W$5001,"&lt;&gt;")=0,"",SUMIFS(Base!$W$3:$W$5001,Base!$A$3:$A$5001,N$3,Base!$B$3:$B$5001,$A$131)))</f>
        <v>1</v>
      </c>
      <c r="O137" s="79" t="str">
        <f>IF(O$3="","",IF(COUNTIFS(Base!$A$3:$A$5001,O$3,Base!$B$3:$B$5001,$A$131,Base!$W$3:$W$5001,"&lt;&gt;")=0,"",SUMIFS(Base!$W$3:$W$5001,Base!$A$3:$A$5001,O$3,Base!$B$3:$B$5001,$A$131)))</f>
        <v/>
      </c>
      <c r="P137" s="79" t="str">
        <f>IF(P$3="","",IF(COUNTIFS(Base!$A$3:$A$5001,P$3,Base!$B$3:$B$5001,$A$131,Base!$W$3:$W$5001,"&lt;&gt;")=0,"",SUMIFS(Base!$W$3:$W$5001,Base!$A$3:$A$5001,P$3,Base!$B$3:$B$5001,$A$131)))</f>
        <v/>
      </c>
      <c r="Q137" s="79" t="str">
        <f>IF(Q$3="","",IF(COUNTIFS(Base!$A$3:$A$5001,Q$3,Base!$B$3:$B$5001,$A$131,Base!$W$3:$W$5001,"&lt;&gt;")=0,"",SUMIFS(Base!$W$3:$W$5001,Base!$A$3:$A$5001,Q$3,Base!$B$3:$B$5001,$A$131)))</f>
        <v/>
      </c>
      <c r="R137" s="79" t="str">
        <f>IF(R$3="","",IF(COUNTIFS(Base!$A$3:$A$5001,R$3,Base!$B$3:$B$5001,$A$131,Base!$W$3:$W$5001,"&lt;&gt;")=0,"",SUMIFS(Base!$W$3:$W$5001,Base!$A$3:$A$5001,R$3,Base!$B$3:$B$5001,$A$131)))</f>
        <v/>
      </c>
      <c r="S137" s="79" t="str">
        <f>IF(S$3="","",IF(COUNTIFS(Base!$A$3:$A$5001,S$3,Base!$B$3:$B$5001,$A$131,Base!$W$3:$W$5001,"&lt;&gt;")=0,"",SUMIFS(Base!$W$3:$W$5001,Base!$A$3:$A$5001,S$3,Base!$B$3:$B$5001,$A$131)))</f>
        <v/>
      </c>
      <c r="T137" s="79" t="str">
        <f>IF(T$3="","",IF(COUNTIFS(Base!$A$3:$A$5001,T$3,Base!$B$3:$B$5001,$A$131,Base!$W$3:$W$5001,"&lt;&gt;")=0,"",SUMIFS(Base!$W$3:$W$5001,Base!$A$3:$A$5001,T$3,Base!$B$3:$B$5001,$A$131)))</f>
        <v/>
      </c>
      <c r="U137" s="79" t="str">
        <f>IF(U$3="","",IF(COUNTIFS(Base!$A$3:$A$5001,U$3,Base!$B$3:$B$5001,$A$131,Base!$W$3:$W$5001,"&lt;&gt;")=0,"",SUMIFS(Base!$W$3:$W$5001,Base!$A$3:$A$5001,U$3,Base!$B$3:$B$5001,$A$131)))</f>
        <v/>
      </c>
      <c r="V137" s="79" t="str">
        <f>IF(V$3="","",IF(COUNTIFS(Base!$A$3:$A$5001,V$3,Base!$B$3:$B$5001,$A$131,Base!$W$3:$W$5001,"&lt;&gt;")=0,"",SUMIFS(Base!$W$3:$W$5001,Base!$A$3:$A$5001,V$3,Base!$B$3:$B$5001,$A$131)))</f>
        <v/>
      </c>
      <c r="W137" s="79" t="str">
        <f>IF(W$3="","",IF(COUNTIFS(Base!$A$3:$A$5001,W$3,Base!$B$3:$B$5001,$A$131,Base!$W$3:$W$5001,"&lt;&gt;")=0,"",SUMIFS(Base!$W$3:$W$5001,Base!$A$3:$A$5001,W$3,Base!$B$3:$B$5001,$A$131)))</f>
        <v/>
      </c>
      <c r="X137" s="79" t="str">
        <f>IF(X$3="","",IF(COUNTIFS(Base!$A$3:$A$5001,X$3,Base!$B$3:$B$5001,$A$131,Base!$W$3:$W$5001,"&lt;&gt;")=0,"",SUMIFS(Base!$W$3:$W$5001,Base!$A$3:$A$5001,X$3,Base!$B$3:$B$5001,$A$131)))</f>
        <v/>
      </c>
      <c r="Y137" s="79" t="str">
        <f>IF(Y$3="","",IF(COUNTIFS(Base!$A$3:$A$5001,Y$3,Base!$B$3:$B$5001,$A$131,Base!$W$3:$W$5001,"&lt;&gt;")=0,"",SUMIFS(Base!$W$3:$W$5001,Base!$A$3:$A$5001,Y$3,Base!$B$3:$B$5001,$A$131)))</f>
        <v/>
      </c>
      <c r="Z137" s="79" t="str">
        <f>IF(Z$3="","",IF(COUNTIFS(Base!$A$3:$A$5001,Z$3,Base!$B$3:$B$5001,$A$131,Base!$W$3:$W$5001,"&lt;&gt;")=0,"",SUMIFS(Base!$W$3:$W$5001,Base!$A$3:$A$5001,Z$3,Base!$B$3:$B$5001,$A$131)))</f>
        <v/>
      </c>
      <c r="AA137" s="79">
        <f>IF(AA$3="","",IF(COUNTIFS(Base!$A$3:$A$5001,AA$3,Base!$B$3:$B$5001,$A$131,Base!$W$3:$W$5001,"&lt;&gt;")=0,"",SUMIFS(Base!$W$3:$W$5001,Base!$A$3:$A$5001,AA$3,Base!$B$3:$B$5001,$A$131)))</f>
        <v>10</v>
      </c>
      <c r="AB137" s="79" t="str">
        <f>IF(AB$3="","",IF(COUNTIFS(Base!$A$3:$A$5001,AB$3,Base!$B$3:$B$5001,$A$131,Base!$W$3:$W$5001,"&lt;&gt;")=0,"",SUMIFS(Base!$W$3:$W$5001,Base!$A$3:$A$5001,AB$3,Base!$B$3:$B$5001,$A$131)))</f>
        <v/>
      </c>
      <c r="AC137" s="79" t="str">
        <f>IF(AC$3="","",IF(COUNTIFS(Base!$A$3:$A$5001,AC$3,Base!$B$3:$B$5001,$A$131,Base!$W$3:$W$5001,"&lt;&gt;")=0,"",SUMIFS(Base!$W$3:$W$5001,Base!$A$3:$A$5001,AC$3,Base!$B$3:$B$5001,$A$131)))</f>
        <v/>
      </c>
      <c r="AD137" s="79" t="str">
        <f>IF(AD$3="","",IF(COUNTIFS(Base!$A$3:$A$5001,AD$3,Base!$B$3:$B$5001,$A$131,Base!$W$3:$W$5001,"&lt;&gt;")=0,"",SUMIFS(Base!$W$3:$W$5001,Base!$A$3:$A$5001,AD$3,Base!$B$3:$B$5001,$A$131)))</f>
        <v/>
      </c>
      <c r="AE137" s="79" t="str">
        <f>IF(AE$3="","",IF(COUNTIFS(Base!$A$3:$A$5001,AE$3,Base!$B$3:$B$5001,$A$131,Base!$W$3:$W$5001,"&lt;&gt;")=0,"",SUMIFS(Base!$W$3:$W$5001,Base!$A$3:$A$5001,AE$3,Base!$B$3:$B$5001,$A$131)))</f>
        <v/>
      </c>
      <c r="AF137" s="79" t="str">
        <f>IF(AF$3="","",IF(COUNTIFS(Base!$A$3:$A$5001,AF$3,Base!$B$3:$B$5001,$A$131,Base!$W$3:$W$5001,"&lt;&gt;")=0,"",SUMIFS(Base!$W$3:$W$5001,Base!$A$3:$A$5001,AF$3,Base!$B$3:$B$5001,$A$131)))</f>
        <v/>
      </c>
      <c r="AG137" s="79" t="str">
        <f>IF(AG$3="","",IF(COUNTIFS(Base!$A$3:$A$5001,AG$3,Base!$B$3:$B$5001,$A$131,Base!$W$3:$W$5001,"&lt;&gt;")=0,"",SUMIFS(Base!$W$3:$W$5001,Base!$A$3:$A$5001,AG$3,Base!$B$3:$B$5001,$A$131)))</f>
        <v/>
      </c>
      <c r="AH137" s="79">
        <f>IF(AH$3="","",IF(COUNTIFS(Base!$A$3:$A$5001,AH$3,Base!$B$3:$B$5001,$A$131,Base!$W$3:$W$5001,"&lt;&gt;")=0,"",SUMIFS(Base!$W$3:$W$5001,Base!$A$3:$A$5001,AH$3,Base!$B$3:$B$5001,$A$131)))</f>
        <v>8</v>
      </c>
      <c r="AI137" s="79" t="str">
        <f>IF(AI$3="","",IF(COUNTIFS(Base!$A$3:$A$5001,AI$3,Base!$B$3:$B$5001,$A$131,Base!$W$3:$W$5001,"&lt;&gt;")=0,"",SUMIFS(Base!$W$3:$W$5001,Base!$A$3:$A$5001,AI$3,Base!$B$3:$B$5001,$A$131)))</f>
        <v/>
      </c>
      <c r="AJ137" s="80" t="str">
        <f>IF(AJ$3="","",IF(COUNTIFS(Base!$A$3:$A$5001,AJ$3,Base!$B$3:$B$5001,$A$131,Base!$W$3:$W$5001,"&lt;&gt;")=0,"",SUMIFS(Base!$W$3:$W$5001,Base!$A$3:$A$5001,AJ$3,Base!$B$3:$B$5001,$A$131)))</f>
        <v/>
      </c>
      <c r="AK137" s="76">
        <f>IFERROR(LOOKUP(9.99E+307,F137:AJ137),"")</f>
        <v>8</v>
      </c>
    </row>
    <row r="138" ht="15.75" customHeight="1">
      <c r="A138" s="118"/>
      <c r="B138" s="105" t="inlineStr">
        <is>
          <t xml:space="preserve">OCUPAÇÃO (P.P)</t>
        </is>
      </c>
      <c r="C138" s="21" t="inlineStr">
        <is>
          <t xml:space="preserve">Posições Disponíveis</t>
        </is>
      </c>
      <c r="D138" s="22" t="str">
        <f>IFERROR(1/(1/INDEX(calculos!$C$55:$K$83,MATCH("Posições Disponíveis",calculos!$A$55:$A$83,0),MATCH($A$131,calculos!$C$54:$K$54,0))),"")</f>
        <v/>
      </c>
      <c r="E138" s="23"/>
      <c r="F138" s="24">
        <f>IF(F$3="","",IF(COUNTIFS(Base!$A$3:$A$5001,F$3,Base!$B$3:$B$5001,$A$131,Base!$X$3:$X$5001,"&lt;&gt;")=0,"",SUMIFS(Base!$X$3:$X$5001,Base!$A$3:$A$5001,F$3,Base!$B$3:$B$5001,$A$131)))</f>
        <v>500</v>
      </c>
      <c r="G138" s="25">
        <f>IF(G$3="","",IF(COUNTIFS(Base!$A$3:$A$5001,G$3,Base!$B$3:$B$5001,$A$131,Base!$X$3:$X$5001,"&lt;&gt;")=0,"",SUMIFS(Base!$X$3:$X$5001,Base!$A$3:$A$5001,G$3,Base!$B$3:$B$5001,$A$131)))</f>
        <v>500</v>
      </c>
      <c r="H138" s="25">
        <f>IF(H$3="","",IF(COUNTIFS(Base!$A$3:$A$5001,H$3,Base!$B$3:$B$5001,$A$131,Base!$X$3:$X$5001,"&lt;&gt;")=0,"",SUMIFS(Base!$X$3:$X$5001,Base!$A$3:$A$5001,H$3,Base!$B$3:$B$5001,$A$131)))</f>
        <v>500</v>
      </c>
      <c r="I138" s="25">
        <f>IF(I$3="","",IF(COUNTIFS(Base!$A$3:$A$5001,I$3,Base!$B$3:$B$5001,$A$131,Base!$X$3:$X$5001,"&lt;&gt;")=0,"",SUMIFS(Base!$X$3:$X$5001,Base!$A$3:$A$5001,I$3,Base!$B$3:$B$5001,$A$131)))</f>
        <v>500</v>
      </c>
      <c r="J138" s="25">
        <f>IF(J$3="","",IF(COUNTIFS(Base!$A$3:$A$5001,J$3,Base!$B$3:$B$5001,$A$131,Base!$X$3:$X$5001,"&lt;&gt;")=0,"",SUMIFS(Base!$X$3:$X$5001,Base!$A$3:$A$5001,J$3,Base!$B$3:$B$5001,$A$131)))</f>
        <v>500</v>
      </c>
      <c r="K138" s="25" t="str">
        <f>IF(K$3="","",IF(COUNTIFS(Base!$A$3:$A$5001,K$3,Base!$B$3:$B$5001,$A$131,Base!$X$3:$X$5001,"&lt;&gt;")=0,"",SUMIFS(Base!$X$3:$X$5001,Base!$A$3:$A$5001,K$3,Base!$B$3:$B$5001,$A$131)))</f>
        <v/>
      </c>
      <c r="L138" s="25">
        <f>IF(L$3="","",IF(COUNTIFS(Base!$A$3:$A$5001,L$3,Base!$B$3:$B$5001,$A$131,Base!$X$3:$X$5001,"&lt;&gt;")=0,"",SUMIFS(Base!$X$3:$X$5001,Base!$A$3:$A$5001,L$3,Base!$B$3:$B$5001,$A$131)))</f>
        <v>500</v>
      </c>
      <c r="M138" s="25">
        <f>IF(M$3="","",IF(COUNTIFS(Base!$A$3:$A$5001,M$3,Base!$B$3:$B$5001,$A$131,Base!$X$3:$X$5001,"&lt;&gt;")=0,"",SUMIFS(Base!$X$3:$X$5001,Base!$A$3:$A$5001,M$3,Base!$B$3:$B$5001,$A$131)))</f>
        <v>500</v>
      </c>
      <c r="N138" s="25">
        <f>IF(N$3="","",IF(COUNTIFS(Base!$A$3:$A$5001,N$3,Base!$B$3:$B$5001,$A$131,Base!$X$3:$X$5001,"&lt;&gt;")=0,"",SUMIFS(Base!$X$3:$X$5001,Base!$A$3:$A$5001,N$3,Base!$B$3:$B$5001,$A$131)))</f>
        <v>500</v>
      </c>
      <c r="O138" s="25">
        <f>IF(O$3="","",IF(COUNTIFS(Base!$A$3:$A$5001,O$3,Base!$B$3:$B$5001,$A$131,Base!$X$3:$X$5001,"&lt;&gt;")=0,"",SUMIFS(Base!$X$3:$X$5001,Base!$A$3:$A$5001,O$3,Base!$B$3:$B$5001,$A$131)))</f>
        <v>500</v>
      </c>
      <c r="P138" s="25">
        <f>IF(P$3="","",IF(COUNTIFS(Base!$A$3:$A$5001,P$3,Base!$B$3:$B$5001,$A$131,Base!$X$3:$X$5001,"&lt;&gt;")=0,"",SUMIFS(Base!$X$3:$X$5001,Base!$A$3:$A$5001,P$3,Base!$B$3:$B$5001,$A$131)))</f>
        <v>500</v>
      </c>
      <c r="Q138" s="25">
        <f>IF(Q$3="","",IF(COUNTIFS(Base!$A$3:$A$5001,Q$3,Base!$B$3:$B$5001,$A$131,Base!$X$3:$X$5001,"&lt;&gt;")=0,"",SUMIFS(Base!$X$3:$X$5001,Base!$A$3:$A$5001,Q$3,Base!$B$3:$B$5001,$A$131)))</f>
        <v>500</v>
      </c>
      <c r="R138" s="25" t="str">
        <f>IF(R$3="","",IF(COUNTIFS(Base!$A$3:$A$5001,R$3,Base!$B$3:$B$5001,$A$131,Base!$X$3:$X$5001,"&lt;&gt;")=0,"",SUMIFS(Base!$X$3:$X$5001,Base!$A$3:$A$5001,R$3,Base!$B$3:$B$5001,$A$131)))</f>
        <v/>
      </c>
      <c r="S138" s="25">
        <f>IF(S$3="","",IF(COUNTIFS(Base!$A$3:$A$5001,S$3,Base!$B$3:$B$5001,$A$131,Base!$X$3:$X$5001,"&lt;&gt;")=0,"",SUMIFS(Base!$X$3:$X$5001,Base!$A$3:$A$5001,S$3,Base!$B$3:$B$5001,$A$131)))</f>
        <v>500</v>
      </c>
      <c r="T138" s="25">
        <f>IF(T$3="","",IF(COUNTIFS(Base!$A$3:$A$5001,T$3,Base!$B$3:$B$5001,$A$131,Base!$X$3:$X$5001,"&lt;&gt;")=0,"",SUMIFS(Base!$X$3:$X$5001,Base!$A$3:$A$5001,T$3,Base!$B$3:$B$5001,$A$131)))</f>
        <v>500</v>
      </c>
      <c r="U138" s="25">
        <f>IF(U$3="","",IF(COUNTIFS(Base!$A$3:$A$5001,U$3,Base!$B$3:$B$5001,$A$131,Base!$X$3:$X$5001,"&lt;&gt;")=0,"",SUMIFS(Base!$X$3:$X$5001,Base!$A$3:$A$5001,U$3,Base!$B$3:$B$5001,$A$131)))</f>
        <v>500</v>
      </c>
      <c r="V138" s="25">
        <f>IF(V$3="","",IF(COUNTIFS(Base!$A$3:$A$5001,V$3,Base!$B$3:$B$5001,$A$131,Base!$X$3:$X$5001,"&lt;&gt;")=0,"",SUMIFS(Base!$X$3:$X$5001,Base!$A$3:$A$5001,V$3,Base!$B$3:$B$5001,$A$131)))</f>
        <v>500</v>
      </c>
      <c r="W138" s="25">
        <f>IF(W$3="","",IF(COUNTIFS(Base!$A$3:$A$5001,W$3,Base!$B$3:$B$5001,$A$131,Base!$X$3:$X$5001,"&lt;&gt;")=0,"",SUMIFS(Base!$X$3:$X$5001,Base!$A$3:$A$5001,W$3,Base!$B$3:$B$5001,$A$131)))</f>
        <v>500</v>
      </c>
      <c r="X138" s="25">
        <f>IF(X$3="","",IF(COUNTIFS(Base!$A$3:$A$5001,X$3,Base!$B$3:$B$5001,$A$131,Base!$X$3:$X$5001,"&lt;&gt;")=0,"",SUMIFS(Base!$X$3:$X$5001,Base!$A$3:$A$5001,X$3,Base!$B$3:$B$5001,$A$131)))</f>
        <v>500</v>
      </c>
      <c r="Y138" s="25" t="str">
        <f>IF(Y$3="","",IF(COUNTIFS(Base!$A$3:$A$5001,Y$3,Base!$B$3:$B$5001,$A$131,Base!$X$3:$X$5001,"&lt;&gt;")=0,"",SUMIFS(Base!$X$3:$X$5001,Base!$A$3:$A$5001,Y$3,Base!$B$3:$B$5001,$A$131)))</f>
        <v/>
      </c>
      <c r="Z138" s="25">
        <f>IF(Z$3="","",IF(COUNTIFS(Base!$A$3:$A$5001,Z$3,Base!$B$3:$B$5001,$A$131,Base!$X$3:$X$5001,"&lt;&gt;")=0,"",SUMIFS(Base!$X$3:$X$5001,Base!$A$3:$A$5001,Z$3,Base!$B$3:$B$5001,$A$131)))</f>
        <v>500</v>
      </c>
      <c r="AA138" s="25">
        <f>IF(AA$3="","",IF(COUNTIFS(Base!$A$3:$A$5001,AA$3,Base!$B$3:$B$5001,$A$131,Base!$X$3:$X$5001,"&lt;&gt;")=0,"",SUMIFS(Base!$X$3:$X$5001,Base!$A$3:$A$5001,AA$3,Base!$B$3:$B$5001,$A$131)))</f>
        <v>500</v>
      </c>
      <c r="AB138" s="25">
        <f>IF(AB$3="","",IF(COUNTIFS(Base!$A$3:$A$5001,AB$3,Base!$B$3:$B$5001,$A$131,Base!$X$3:$X$5001,"&lt;&gt;")=0,"",SUMIFS(Base!$X$3:$X$5001,Base!$A$3:$A$5001,AB$3,Base!$B$3:$B$5001,$A$131)))</f>
        <v>500</v>
      </c>
      <c r="AC138" s="25">
        <f>IF(AC$3="","",IF(COUNTIFS(Base!$A$3:$A$5001,AC$3,Base!$B$3:$B$5001,$A$131,Base!$X$3:$X$5001,"&lt;&gt;")=0,"",SUMIFS(Base!$X$3:$X$5001,Base!$A$3:$A$5001,AC$3,Base!$B$3:$B$5001,$A$131)))</f>
        <v>500</v>
      </c>
      <c r="AD138" s="25">
        <f>IF(AD$3="","",IF(COUNTIFS(Base!$A$3:$A$5001,AD$3,Base!$B$3:$B$5001,$A$131,Base!$X$3:$X$5001,"&lt;&gt;")=0,"",SUMIFS(Base!$X$3:$X$5001,Base!$A$3:$A$5001,AD$3,Base!$B$3:$B$5001,$A$131)))</f>
        <v>500</v>
      </c>
      <c r="AE138" s="25">
        <f>IF(AE$3="","",IF(COUNTIFS(Base!$A$3:$A$5001,AE$3,Base!$B$3:$B$5001,$A$131,Base!$X$3:$X$5001,"&lt;&gt;")=0,"",SUMIFS(Base!$X$3:$X$5001,Base!$A$3:$A$5001,AE$3,Base!$B$3:$B$5001,$A$131)))</f>
        <v>500</v>
      </c>
      <c r="AF138" s="25" t="str">
        <f>IF(AF$3="","",IF(COUNTIFS(Base!$A$3:$A$5001,AF$3,Base!$B$3:$B$5001,$A$131,Base!$X$3:$X$5001,"&lt;&gt;")=0,"",SUMIFS(Base!$X$3:$X$5001,Base!$A$3:$A$5001,AF$3,Base!$B$3:$B$5001,$A$131)))</f>
        <v/>
      </c>
      <c r="AG138" s="25">
        <f>IF(AG$3="","",IF(COUNTIFS(Base!$A$3:$A$5001,AG$3,Base!$B$3:$B$5001,$A$131,Base!$X$3:$X$5001,"&lt;&gt;")=0,"",SUMIFS(Base!$X$3:$X$5001,Base!$A$3:$A$5001,AG$3,Base!$B$3:$B$5001,$A$131)))</f>
        <v>500</v>
      </c>
      <c r="AH138" s="25">
        <f>IF(AH$3="","",IF(COUNTIFS(Base!$A$3:$A$5001,AH$3,Base!$B$3:$B$5001,$A$131,Base!$X$3:$X$5001,"&lt;&gt;")=0,"",SUMIFS(Base!$X$3:$X$5001,Base!$A$3:$A$5001,AH$3,Base!$B$3:$B$5001,$A$131)))</f>
        <v>500</v>
      </c>
      <c r="AI138" s="25" t="str">
        <f>IF(AI$3="","",IF(COUNTIFS(Base!$A$3:$A$5001,AI$3,Base!$B$3:$B$5001,$A$131,Base!$X$3:$X$5001,"&lt;&gt;")=0,"",SUMIFS(Base!$X$3:$X$5001,Base!$A$3:$A$5001,AI$3,Base!$B$3:$B$5001,$A$131)))</f>
        <v/>
      </c>
      <c r="AJ138" s="26" t="str">
        <f>IF(AJ$3="","",IF(COUNTIFS(Base!$A$3:$A$5001,AJ$3,Base!$B$3:$B$5001,$A$131,Base!$X$3:$X$5001,"&lt;&gt;")=0,"",SUMIFS(Base!$X$3:$X$5001,Base!$A$3:$A$5001,AJ$3,Base!$B$3:$B$5001,$A$131)))</f>
        <v/>
      </c>
      <c r="AK138" s="27">
        <f>IFERROR(LOOKUP(9.99E+307,F138:AJ138),"")</f>
        <v>500</v>
      </c>
    </row>
    <row r="139" ht="15.75" customHeight="1">
      <c r="A139" s="118"/>
      <c r="B139" s="106"/>
      <c r="C139" s="28" t="inlineStr">
        <is>
          <t xml:space="preserve">Posições Ocupadas</t>
        </is>
      </c>
      <c r="D139" s="29" t="str">
        <f>IFERROR(1/(1/INDEX(calculos!$C$55:$K$83,MATCH("Posições Ocupadas",calculos!$A$55:$A$83,0),MATCH($A$131,calculos!$C$54:$K$54,0))),"")</f>
        <v/>
      </c>
      <c r="E139" s="30"/>
      <c r="F139" s="31">
        <f>IF(F$3="","",IF(COUNTIFS(Base!$A$3:$A$5001,F$3,Base!$B$3:$B$5001,$A$131,Base!$Y$3:$Y$5001,"&lt;&gt;")=0,"",SUMIFS(Base!$Y$3:$Y$5001,Base!$A$3:$A$5001,F$3,Base!$B$3:$B$5001,$A$131)))</f>
        <v>382</v>
      </c>
      <c r="G139" s="32">
        <f>IF(G$3="","",IF(COUNTIFS(Base!$A$3:$A$5001,G$3,Base!$B$3:$B$5001,$A$131,Base!$Y$3:$Y$5001,"&lt;&gt;")=0,"",SUMIFS(Base!$Y$3:$Y$5001,Base!$A$3:$A$5001,G$3,Base!$B$3:$B$5001,$A$131)))</f>
        <v>431</v>
      </c>
      <c r="H139" s="32">
        <f>IF(H$3="","",IF(COUNTIFS(Base!$A$3:$A$5001,H$3,Base!$B$3:$B$5001,$A$131,Base!$Y$3:$Y$5001,"&lt;&gt;")=0,"",SUMIFS(Base!$Y$3:$Y$5001,Base!$A$3:$A$5001,H$3,Base!$B$3:$B$5001,$A$131)))</f>
        <v>355</v>
      </c>
      <c r="I139" s="32">
        <f>IF(I$3="","",IF(COUNTIFS(Base!$A$3:$A$5001,I$3,Base!$B$3:$B$5001,$A$131,Base!$Y$3:$Y$5001,"&lt;&gt;")=0,"",SUMIFS(Base!$Y$3:$Y$5001,Base!$A$3:$A$5001,I$3,Base!$B$3:$B$5001,$A$131)))</f>
        <v>403</v>
      </c>
      <c r="J139" s="32">
        <f>IF(J$3="","",IF(COUNTIFS(Base!$A$3:$A$5001,J$3,Base!$B$3:$B$5001,$A$131,Base!$Y$3:$Y$5001,"&lt;&gt;")=0,"",SUMIFS(Base!$Y$3:$Y$5001,Base!$A$3:$A$5001,J$3,Base!$B$3:$B$5001,$A$131)))</f>
        <v>471</v>
      </c>
      <c r="K139" s="32" t="str">
        <f>IF(K$3="","",IF(COUNTIFS(Base!$A$3:$A$5001,K$3,Base!$B$3:$B$5001,$A$131,Base!$Y$3:$Y$5001,"&lt;&gt;")=0,"",SUMIFS(Base!$Y$3:$Y$5001,Base!$A$3:$A$5001,K$3,Base!$B$3:$B$5001,$A$131)))</f>
        <v/>
      </c>
      <c r="L139" s="32">
        <f>IF(L$3="","",IF(COUNTIFS(Base!$A$3:$A$5001,L$3,Base!$B$3:$B$5001,$A$131,Base!$Y$3:$Y$5001,"&lt;&gt;")=0,"",SUMIFS(Base!$Y$3:$Y$5001,Base!$A$3:$A$5001,L$3,Base!$B$3:$B$5001,$A$131)))</f>
        <v>307</v>
      </c>
      <c r="M139" s="32">
        <f>IF(M$3="","",IF(COUNTIFS(Base!$A$3:$A$5001,M$3,Base!$B$3:$B$5001,$A$131,Base!$Y$3:$Y$5001,"&lt;&gt;")=0,"",SUMIFS(Base!$Y$3:$Y$5001,Base!$A$3:$A$5001,M$3,Base!$B$3:$B$5001,$A$131)))</f>
        <v>293</v>
      </c>
      <c r="N139" s="32">
        <f>IF(N$3="","",IF(COUNTIFS(Base!$A$3:$A$5001,N$3,Base!$B$3:$B$5001,$A$131,Base!$Y$3:$Y$5001,"&lt;&gt;")=0,"",SUMIFS(Base!$Y$3:$Y$5001,Base!$A$3:$A$5001,N$3,Base!$B$3:$B$5001,$A$131)))</f>
        <v>281</v>
      </c>
      <c r="O139" s="32">
        <f>IF(O$3="","",IF(COUNTIFS(Base!$A$3:$A$5001,O$3,Base!$B$3:$B$5001,$A$131,Base!$Y$3:$Y$5001,"&lt;&gt;")=0,"",SUMIFS(Base!$Y$3:$Y$5001,Base!$A$3:$A$5001,O$3,Base!$B$3:$B$5001,$A$131)))</f>
        <v>362</v>
      </c>
      <c r="P139" s="32">
        <f>IF(P$3="","",IF(COUNTIFS(Base!$A$3:$A$5001,P$3,Base!$B$3:$B$5001,$A$131,Base!$Y$3:$Y$5001,"&lt;&gt;")=0,"",SUMIFS(Base!$Y$3:$Y$5001,Base!$A$3:$A$5001,P$3,Base!$B$3:$B$5001,$A$131)))</f>
        <v>348</v>
      </c>
      <c r="Q139" s="32">
        <f>IF(Q$3="","",IF(COUNTIFS(Base!$A$3:$A$5001,Q$3,Base!$B$3:$B$5001,$A$131,Base!$Y$3:$Y$5001,"&lt;&gt;")=0,"",SUMIFS(Base!$Y$3:$Y$5001,Base!$A$3:$A$5001,Q$3,Base!$B$3:$B$5001,$A$131)))</f>
        <v>419</v>
      </c>
      <c r="R139" s="32" t="str">
        <f>IF(R$3="","",IF(COUNTIFS(Base!$A$3:$A$5001,R$3,Base!$B$3:$B$5001,$A$131,Base!$Y$3:$Y$5001,"&lt;&gt;")=0,"",SUMIFS(Base!$Y$3:$Y$5001,Base!$A$3:$A$5001,R$3,Base!$B$3:$B$5001,$A$131)))</f>
        <v/>
      </c>
      <c r="S139" s="32">
        <f>IF(S$3="","",IF(COUNTIFS(Base!$A$3:$A$5001,S$3,Base!$B$3:$B$5001,$A$131,Base!$Y$3:$Y$5001,"&lt;&gt;")=0,"",SUMIFS(Base!$Y$3:$Y$5001,Base!$A$3:$A$5001,S$3,Base!$B$3:$B$5001,$A$131)))</f>
        <v>447</v>
      </c>
      <c r="T139" s="32">
        <f>IF(T$3="","",IF(COUNTIFS(Base!$A$3:$A$5001,T$3,Base!$B$3:$B$5001,$A$131,Base!$Y$3:$Y$5001,"&lt;&gt;")=0,"",SUMIFS(Base!$Y$3:$Y$5001,Base!$A$3:$A$5001,T$3,Base!$B$3:$B$5001,$A$131)))</f>
        <v>370</v>
      </c>
      <c r="U139" s="32">
        <f>IF(U$3="","",IF(COUNTIFS(Base!$A$3:$A$5001,U$3,Base!$B$3:$B$5001,$A$131,Base!$Y$3:$Y$5001,"&lt;&gt;")=0,"",SUMIFS(Base!$Y$3:$Y$5001,Base!$A$3:$A$5001,U$3,Base!$B$3:$B$5001,$A$131)))</f>
        <v>414</v>
      </c>
      <c r="V139" s="32">
        <f>IF(V$3="","",IF(COUNTIFS(Base!$A$3:$A$5001,V$3,Base!$B$3:$B$5001,$A$131,Base!$Y$3:$Y$5001,"&lt;&gt;")=0,"",SUMIFS(Base!$Y$3:$Y$5001,Base!$A$3:$A$5001,V$3,Base!$B$3:$B$5001,$A$131)))</f>
        <v>432</v>
      </c>
      <c r="W139" s="32">
        <f>IF(W$3="","",IF(COUNTIFS(Base!$A$3:$A$5001,W$3,Base!$B$3:$B$5001,$A$131,Base!$Y$3:$Y$5001,"&lt;&gt;")=0,"",SUMIFS(Base!$Y$3:$Y$5001,Base!$A$3:$A$5001,W$3,Base!$B$3:$B$5001,$A$131)))</f>
        <v>390</v>
      </c>
      <c r="X139" s="32">
        <f>IF(X$3="","",IF(COUNTIFS(Base!$A$3:$A$5001,X$3,Base!$B$3:$B$5001,$A$131,Base!$Y$3:$Y$5001,"&lt;&gt;")=0,"",SUMIFS(Base!$Y$3:$Y$5001,Base!$A$3:$A$5001,X$3,Base!$B$3:$B$5001,$A$131)))</f>
        <v>361</v>
      </c>
      <c r="Y139" s="32" t="str">
        <f>IF(Y$3="","",IF(COUNTIFS(Base!$A$3:$A$5001,Y$3,Base!$B$3:$B$5001,$A$131,Base!$Y$3:$Y$5001,"&lt;&gt;")=0,"",SUMIFS(Base!$Y$3:$Y$5001,Base!$A$3:$A$5001,Y$3,Base!$B$3:$B$5001,$A$131)))</f>
        <v/>
      </c>
      <c r="Z139" s="32">
        <f>IF(Z$3="","",IF(COUNTIFS(Base!$A$3:$A$5001,Z$3,Base!$B$3:$B$5001,$A$131,Base!$Y$3:$Y$5001,"&lt;&gt;")=0,"",SUMIFS(Base!$Y$3:$Y$5001,Base!$A$3:$A$5001,Z$3,Base!$B$3:$B$5001,$A$131)))</f>
        <v>398</v>
      </c>
      <c r="AA139" s="32">
        <f>IF(AA$3="","",IF(COUNTIFS(Base!$A$3:$A$5001,AA$3,Base!$B$3:$B$5001,$A$131,Base!$Y$3:$Y$5001,"&lt;&gt;")=0,"",SUMIFS(Base!$Y$3:$Y$5001,Base!$A$3:$A$5001,AA$3,Base!$B$3:$B$5001,$A$131)))</f>
        <v>400</v>
      </c>
      <c r="AB139" s="32">
        <f>IF(AB$3="","",IF(COUNTIFS(Base!$A$3:$A$5001,AB$3,Base!$B$3:$B$5001,$A$131,Base!$Y$3:$Y$5001,"&lt;&gt;")=0,"",SUMIFS(Base!$Y$3:$Y$5001,Base!$A$3:$A$5001,AB$3,Base!$B$3:$B$5001,$A$131)))</f>
        <v>404</v>
      </c>
      <c r="AC139" s="32">
        <f>IF(AC$3="","",IF(COUNTIFS(Base!$A$3:$A$5001,AC$3,Base!$B$3:$B$5001,$A$131,Base!$Y$3:$Y$5001,"&lt;&gt;")=0,"",SUMIFS(Base!$Y$3:$Y$5001,Base!$A$3:$A$5001,AC$3,Base!$B$3:$B$5001,$A$131)))</f>
        <v>300</v>
      </c>
      <c r="AD139" s="32">
        <f>IF(AD$3="","",IF(COUNTIFS(Base!$A$3:$A$5001,AD$3,Base!$B$3:$B$5001,$A$131,Base!$Y$3:$Y$5001,"&lt;&gt;")=0,"",SUMIFS(Base!$Y$3:$Y$5001,Base!$A$3:$A$5001,AD$3,Base!$B$3:$B$5001,$A$131)))</f>
        <v>482</v>
      </c>
      <c r="AE139" s="32">
        <f>IF(AE$3="","",IF(COUNTIFS(Base!$A$3:$A$5001,AE$3,Base!$B$3:$B$5001,$A$131,Base!$Y$3:$Y$5001,"&lt;&gt;")=0,"",SUMIFS(Base!$Y$3:$Y$5001,Base!$A$3:$A$5001,AE$3,Base!$B$3:$B$5001,$A$131)))</f>
        <v>345</v>
      </c>
      <c r="AF139" s="32" t="str">
        <f>IF(AF$3="","",IF(COUNTIFS(Base!$A$3:$A$5001,AF$3,Base!$B$3:$B$5001,$A$131,Base!$Y$3:$Y$5001,"&lt;&gt;")=0,"",SUMIFS(Base!$Y$3:$Y$5001,Base!$A$3:$A$5001,AF$3,Base!$B$3:$B$5001,$A$131)))</f>
        <v/>
      </c>
      <c r="AG139" s="32">
        <f>IF(AG$3="","",IF(COUNTIFS(Base!$A$3:$A$5001,AG$3,Base!$B$3:$B$5001,$A$131,Base!$Y$3:$Y$5001,"&lt;&gt;")=0,"",SUMIFS(Base!$Y$3:$Y$5001,Base!$A$3:$A$5001,AG$3,Base!$B$3:$B$5001,$A$131)))</f>
        <v>298</v>
      </c>
      <c r="AH139" s="32">
        <f>IF(AH$3="","",IF(COUNTIFS(Base!$A$3:$A$5001,AH$3,Base!$B$3:$B$5001,$A$131,Base!$Y$3:$Y$5001,"&lt;&gt;")=0,"",SUMIFS(Base!$Y$3:$Y$5001,Base!$A$3:$A$5001,AH$3,Base!$B$3:$B$5001,$A$131)))</f>
        <v>456</v>
      </c>
      <c r="AI139" s="32" t="str">
        <f>IF(AI$3="","",IF(COUNTIFS(Base!$A$3:$A$5001,AI$3,Base!$B$3:$B$5001,$A$131,Base!$Y$3:$Y$5001,"&lt;&gt;")=0,"",SUMIFS(Base!$Y$3:$Y$5001,Base!$A$3:$A$5001,AI$3,Base!$B$3:$B$5001,$A$131)))</f>
        <v/>
      </c>
      <c r="AJ139" s="33" t="str">
        <f>IF(AJ$3="","",IF(COUNTIFS(Base!$A$3:$A$5001,AJ$3,Base!$B$3:$B$5001,$A$131,Base!$Y$3:$Y$5001,"&lt;&gt;")=0,"",SUMIFS(Base!$Y$3:$Y$5001,Base!$A$3:$A$5001,AJ$3,Base!$B$3:$B$5001,$A$131)))</f>
        <v/>
      </c>
      <c r="AK139" s="34">
        <f>IFERROR(LOOKUP(9.99E+307,F139:AJ139),"")</f>
        <v>456</v>
      </c>
    </row>
    <row r="140" ht="15.75" customHeight="1">
      <c r="A140" s="118"/>
      <c r="B140" s="107"/>
      <c r="C140" s="35" t="inlineStr">
        <is>
          <t xml:space="preserve">Taxa de Ocupação</t>
        </is>
      </c>
      <c r="D140" s="81" t="str">
        <f>IFERROR(1/(1/INDEX(calculos!$C$55:$K$83,MATCH("Taxa de Ocupação",calculos!$A$55:$A$83,0),MATCH($A$131,calculos!$C$54:$K$54,0))),"")</f>
        <v/>
      </c>
      <c r="E140" s="37"/>
      <c r="F140" s="82">
        <f>IF(AND(ISNUMBER(F138),ISNUMBER(F139)),IF(F138&gt;0,F139/F138,""),"")</f>
        <v>0.764</v>
      </c>
      <c r="G140" s="83">
        <f>IF(AND(ISNUMBER(G138),ISNUMBER(G139)),IF(G138&gt;0,G139/G138,""),"")</f>
        <v>0.862</v>
      </c>
      <c r="H140" s="83">
        <f>IF(AND(ISNUMBER(H138),ISNUMBER(H139)),IF(H138&gt;0,H139/H138,""),"")</f>
        <v>0.71</v>
      </c>
      <c r="I140" s="83">
        <f>IF(AND(ISNUMBER(I138),ISNUMBER(I139)),IF(I138&gt;0,I139/I138,""),"")</f>
        <v>0.806</v>
      </c>
      <c r="J140" s="83">
        <f>IF(AND(ISNUMBER(J138),ISNUMBER(J139)),IF(J138&gt;0,J139/J138,""),"")</f>
        <v>0.942</v>
      </c>
      <c r="K140" s="83" t="str">
        <f>IF(AND(ISNUMBER(K138),ISNUMBER(K139)),IF(K138&gt;0,K139/K138,""),"")</f>
        <v/>
      </c>
      <c r="L140" s="83">
        <f>IF(AND(ISNUMBER(L138),ISNUMBER(L139)),IF(L138&gt;0,L139/L138,""),"")</f>
        <v>0.614</v>
      </c>
      <c r="M140" s="83">
        <f>IF(AND(ISNUMBER(M138),ISNUMBER(M139)),IF(M138&gt;0,M139/M138,""),"")</f>
        <v>0.586</v>
      </c>
      <c r="N140" s="83">
        <f>IF(AND(ISNUMBER(N138),ISNUMBER(N139)),IF(N138&gt;0,N139/N138,""),"")</f>
        <v>0.562</v>
      </c>
      <c r="O140" s="83">
        <f>IF(AND(ISNUMBER(O138),ISNUMBER(O139)),IF(O138&gt;0,O139/O138,""),"")</f>
        <v>0.724</v>
      </c>
      <c r="P140" s="83">
        <f>IF(AND(ISNUMBER(P138),ISNUMBER(P139)),IF(P138&gt;0,P139/P138,""),"")</f>
        <v>0.696</v>
      </c>
      <c r="Q140" s="83">
        <f>IF(AND(ISNUMBER(Q138),ISNUMBER(Q139)),IF(Q138&gt;0,Q139/Q138,""),"")</f>
        <v>0.838</v>
      </c>
      <c r="R140" s="83" t="str">
        <f>IF(AND(ISNUMBER(R138),ISNUMBER(R139)),IF(R138&gt;0,R139/R138,""),"")</f>
        <v/>
      </c>
      <c r="S140" s="83">
        <f>IF(AND(ISNUMBER(S138),ISNUMBER(S139)),IF(S138&gt;0,S139/S138,""),"")</f>
        <v>0.894</v>
      </c>
      <c r="T140" s="83">
        <f>IF(AND(ISNUMBER(T138),ISNUMBER(T139)),IF(T138&gt;0,T139/T138,""),"")</f>
        <v>0.74</v>
      </c>
      <c r="U140" s="83">
        <f>IF(AND(ISNUMBER(U138),ISNUMBER(U139)),IF(U138&gt;0,U139/U138,""),"")</f>
        <v>0.828</v>
      </c>
      <c r="V140" s="83">
        <f>IF(AND(ISNUMBER(V138),ISNUMBER(V139)),IF(V138&gt;0,V139/V138,""),"")</f>
        <v>0.864</v>
      </c>
      <c r="W140" s="83">
        <f>IF(AND(ISNUMBER(W138),ISNUMBER(W139)),IF(W138&gt;0,W139/W138,""),"")</f>
        <v>0.78</v>
      </c>
      <c r="X140" s="83">
        <f>IF(AND(ISNUMBER(X138),ISNUMBER(X139)),IF(X138&gt;0,X139/X138,""),"")</f>
        <v>0.722</v>
      </c>
      <c r="Y140" s="83" t="str">
        <f>IF(AND(ISNUMBER(Y138),ISNUMBER(Y139)),IF(Y138&gt;0,Y139/Y138,""),"")</f>
        <v/>
      </c>
      <c r="Z140" s="83">
        <f>IF(AND(ISNUMBER(Z138),ISNUMBER(Z139)),IF(Z138&gt;0,Z139/Z138,""),"")</f>
        <v>0.796</v>
      </c>
      <c r="AA140" s="83">
        <f>IF(AND(ISNUMBER(AA138),ISNUMBER(AA139)),IF(AA138&gt;0,AA139/AA138,""),"")</f>
        <v>0.8</v>
      </c>
      <c r="AB140" s="83">
        <f>IF(AND(ISNUMBER(AB138),ISNUMBER(AB139)),IF(AB138&gt;0,AB139/AB138,""),"")</f>
        <v>0.808</v>
      </c>
      <c r="AC140" s="83">
        <f>IF(AND(ISNUMBER(AC138),ISNUMBER(AC139)),IF(AC138&gt;0,AC139/AC138,""),"")</f>
        <v>0.6</v>
      </c>
      <c r="AD140" s="83">
        <f>IF(AND(ISNUMBER(AD138),ISNUMBER(AD139)),IF(AD138&gt;0,AD139/AD138,""),"")</f>
        <v>0.964</v>
      </c>
      <c r="AE140" s="83">
        <f>IF(AND(ISNUMBER(AE138),ISNUMBER(AE139)),IF(AE138&gt;0,AE139/AE138,""),"")</f>
        <v>0.69</v>
      </c>
      <c r="AF140" s="83" t="str">
        <f>IF(AND(ISNUMBER(AF138),ISNUMBER(AF139)),IF(AF138&gt;0,AF139/AF138,""),"")</f>
        <v/>
      </c>
      <c r="AG140" s="83">
        <f>IF(AND(ISNUMBER(AG138),ISNUMBER(AG139)),IF(AG138&gt;0,AG139/AG138,""),"")</f>
        <v>0.596</v>
      </c>
      <c r="AH140" s="83">
        <f>IF(AND(ISNUMBER(AH138),ISNUMBER(AH139)),IF(AH138&gt;0,AH139/AH138,""),"")</f>
        <v>0.912</v>
      </c>
      <c r="AI140" s="83" t="str">
        <f>IF(AND(ISNUMBER(AI138),ISNUMBER(AI139)),IF(AI138&gt;0,AI139/AI138,""),"")</f>
        <v/>
      </c>
      <c r="AJ140" s="84" t="str">
        <f>IF(AND(ISNUMBER(AJ138),ISNUMBER(AJ139)),IF(AJ138&gt;0,AJ139/AJ138,""),"")</f>
        <v/>
      </c>
      <c r="AK140" s="81">
        <f>IF(AND(ISNUMBER(AK138),ISNUMBER(AK139)),IF(AK138&gt;0,AK139/AK138,""),"")</f>
        <v>0.912</v>
      </c>
    </row>
    <row r="141" ht="15.75" customHeight="1">
      <c r="A141" s="118"/>
      <c r="B141" s="114" t="inlineStr">
        <is>
          <t xml:space="preserve">GENTE</t>
        </is>
      </c>
      <c r="C141" s="85" t="inlineStr">
        <is>
          <t xml:space="preserve">Efetivo</t>
        </is>
      </c>
      <c r="D141" s="86" t="str">
        <f>IFERROR(1/(1/INDEX(calculos!$C$55:$K$83,MATCH("Efetivo",calculos!$A$55:$A$83,0),MATCH($A$131,calculos!$C$54:$K$54,0))),"")</f>
        <v/>
      </c>
      <c r="E141" s="87"/>
      <c r="F141" s="88">
        <f>IF(F$3="","",IF(COUNTIFS(Base!$A$3:$A$5001,F$3,Base!$B$3:$B$5001,$A$131,Base!$Z$3:$Z$5001,"&lt;&gt;")=0,"",SUMIFS(Base!$Z$3:$Z$5001,Base!$A$3:$A$5001,F$3,Base!$B$3:$B$5001,$A$131)))</f>
        <v>6</v>
      </c>
      <c r="G141" s="89">
        <f>IF(G$3="","",IF(COUNTIFS(Base!$A$3:$A$5001,G$3,Base!$B$3:$B$5001,$A$131,Base!$Z$3:$Z$5001,"&lt;&gt;")=0,"",SUMIFS(Base!$Z$3:$Z$5001,Base!$A$3:$A$5001,G$3,Base!$B$3:$B$5001,$A$131)))</f>
        <v>14</v>
      </c>
      <c r="H141" s="89">
        <f>IF(H$3="","",IF(COUNTIFS(Base!$A$3:$A$5001,H$3,Base!$B$3:$B$5001,$A$131,Base!$Z$3:$Z$5001,"&lt;&gt;")=0,"",SUMIFS(Base!$Z$3:$Z$5001,Base!$A$3:$A$5001,H$3,Base!$B$3:$B$5001,$A$131)))</f>
        <v>10</v>
      </c>
      <c r="I141" s="89">
        <f>IF(I$3="","",IF(COUNTIFS(Base!$A$3:$A$5001,I$3,Base!$B$3:$B$5001,$A$131,Base!$Z$3:$Z$5001,"&lt;&gt;")=0,"",SUMIFS(Base!$Z$3:$Z$5001,Base!$A$3:$A$5001,I$3,Base!$B$3:$B$5001,$A$131)))</f>
        <v>14</v>
      </c>
      <c r="J141" s="89">
        <f>IF(J$3="","",IF(COUNTIFS(Base!$A$3:$A$5001,J$3,Base!$B$3:$B$5001,$A$131,Base!$Z$3:$Z$5001,"&lt;&gt;")=0,"",SUMIFS(Base!$Z$3:$Z$5001,Base!$A$3:$A$5001,J$3,Base!$B$3:$B$5001,$A$131)))</f>
        <v>9</v>
      </c>
      <c r="K141" s="89" t="str">
        <f>IF(K$3="","",IF(COUNTIFS(Base!$A$3:$A$5001,K$3,Base!$B$3:$B$5001,$A$131,Base!$Z$3:$Z$5001,"&lt;&gt;")=0,"",SUMIFS(Base!$Z$3:$Z$5001,Base!$A$3:$A$5001,K$3,Base!$B$3:$B$5001,$A$131)))</f>
        <v/>
      </c>
      <c r="L141" s="89">
        <f>IF(L$3="","",IF(COUNTIFS(Base!$A$3:$A$5001,L$3,Base!$B$3:$B$5001,$A$131,Base!$Z$3:$Z$5001,"&lt;&gt;")=0,"",SUMIFS(Base!$Z$3:$Z$5001,Base!$A$3:$A$5001,L$3,Base!$B$3:$B$5001,$A$131)))</f>
        <v>8</v>
      </c>
      <c r="M141" s="89">
        <f>IF(M$3="","",IF(COUNTIFS(Base!$A$3:$A$5001,M$3,Base!$B$3:$B$5001,$A$131,Base!$Z$3:$Z$5001,"&lt;&gt;")=0,"",SUMIFS(Base!$Z$3:$Z$5001,Base!$A$3:$A$5001,M$3,Base!$B$3:$B$5001,$A$131)))</f>
        <v>7</v>
      </c>
      <c r="N141" s="89">
        <f>IF(N$3="","",IF(COUNTIFS(Base!$A$3:$A$5001,N$3,Base!$B$3:$B$5001,$A$131,Base!$Z$3:$Z$5001,"&lt;&gt;")=0,"",SUMIFS(Base!$Z$3:$Z$5001,Base!$A$3:$A$5001,N$3,Base!$B$3:$B$5001,$A$131)))</f>
        <v>14</v>
      </c>
      <c r="O141" s="89">
        <f>IF(O$3="","",IF(COUNTIFS(Base!$A$3:$A$5001,O$3,Base!$B$3:$B$5001,$A$131,Base!$Z$3:$Z$5001,"&lt;&gt;")=0,"",SUMIFS(Base!$Z$3:$Z$5001,Base!$A$3:$A$5001,O$3,Base!$B$3:$B$5001,$A$131)))</f>
        <v>14</v>
      </c>
      <c r="P141" s="89">
        <f>IF(P$3="","",IF(COUNTIFS(Base!$A$3:$A$5001,P$3,Base!$B$3:$B$5001,$A$131,Base!$Z$3:$Z$5001,"&lt;&gt;")=0,"",SUMIFS(Base!$Z$3:$Z$5001,Base!$A$3:$A$5001,P$3,Base!$B$3:$B$5001,$A$131)))</f>
        <v>10</v>
      </c>
      <c r="Q141" s="89">
        <f>IF(Q$3="","",IF(COUNTIFS(Base!$A$3:$A$5001,Q$3,Base!$B$3:$B$5001,$A$131,Base!$Z$3:$Z$5001,"&lt;&gt;")=0,"",SUMIFS(Base!$Z$3:$Z$5001,Base!$A$3:$A$5001,Q$3,Base!$B$3:$B$5001,$A$131)))</f>
        <v>6</v>
      </c>
      <c r="R141" s="89" t="str">
        <f>IF(R$3="","",IF(COUNTIFS(Base!$A$3:$A$5001,R$3,Base!$B$3:$B$5001,$A$131,Base!$Z$3:$Z$5001,"&lt;&gt;")=0,"",SUMIFS(Base!$Z$3:$Z$5001,Base!$A$3:$A$5001,R$3,Base!$B$3:$B$5001,$A$131)))</f>
        <v/>
      </c>
      <c r="S141" s="89">
        <f>IF(S$3="","",IF(COUNTIFS(Base!$A$3:$A$5001,S$3,Base!$B$3:$B$5001,$A$131,Base!$Z$3:$Z$5001,"&lt;&gt;")=0,"",SUMIFS(Base!$Z$3:$Z$5001,Base!$A$3:$A$5001,S$3,Base!$B$3:$B$5001,$A$131)))</f>
        <v>7</v>
      </c>
      <c r="T141" s="89">
        <f>IF(T$3="","",IF(COUNTIFS(Base!$A$3:$A$5001,T$3,Base!$B$3:$B$5001,$A$131,Base!$Z$3:$Z$5001,"&lt;&gt;")=0,"",SUMIFS(Base!$Z$3:$Z$5001,Base!$A$3:$A$5001,T$3,Base!$B$3:$B$5001,$A$131)))</f>
        <v>12</v>
      </c>
      <c r="U141" s="89">
        <f>IF(U$3="","",IF(COUNTIFS(Base!$A$3:$A$5001,U$3,Base!$B$3:$B$5001,$A$131,Base!$Z$3:$Z$5001,"&lt;&gt;")=0,"",SUMIFS(Base!$Z$3:$Z$5001,Base!$A$3:$A$5001,U$3,Base!$B$3:$B$5001,$A$131)))</f>
        <v>6</v>
      </c>
      <c r="V141" s="89">
        <f>IF(V$3="","",IF(COUNTIFS(Base!$A$3:$A$5001,V$3,Base!$B$3:$B$5001,$A$131,Base!$Z$3:$Z$5001,"&lt;&gt;")=0,"",SUMIFS(Base!$Z$3:$Z$5001,Base!$A$3:$A$5001,V$3,Base!$B$3:$B$5001,$A$131)))</f>
        <v>5</v>
      </c>
      <c r="W141" s="89">
        <f>IF(W$3="","",IF(COUNTIFS(Base!$A$3:$A$5001,W$3,Base!$B$3:$B$5001,$A$131,Base!$Z$3:$Z$5001,"&lt;&gt;")=0,"",SUMIFS(Base!$Z$3:$Z$5001,Base!$A$3:$A$5001,W$3,Base!$B$3:$B$5001,$A$131)))</f>
        <v>13</v>
      </c>
      <c r="X141" s="89">
        <f>IF(X$3="","",IF(COUNTIFS(Base!$A$3:$A$5001,X$3,Base!$B$3:$B$5001,$A$131,Base!$Z$3:$Z$5001,"&lt;&gt;")=0,"",SUMIFS(Base!$Z$3:$Z$5001,Base!$A$3:$A$5001,X$3,Base!$B$3:$B$5001,$A$131)))</f>
        <v>12</v>
      </c>
      <c r="Y141" s="89" t="str">
        <f>IF(Y$3="","",IF(COUNTIFS(Base!$A$3:$A$5001,Y$3,Base!$B$3:$B$5001,$A$131,Base!$Z$3:$Z$5001,"&lt;&gt;")=0,"",SUMIFS(Base!$Z$3:$Z$5001,Base!$A$3:$A$5001,Y$3,Base!$B$3:$B$5001,$A$131)))</f>
        <v/>
      </c>
      <c r="Z141" s="89">
        <f>IF(Z$3="","",IF(COUNTIFS(Base!$A$3:$A$5001,Z$3,Base!$B$3:$B$5001,$A$131,Base!$Z$3:$Z$5001,"&lt;&gt;")=0,"",SUMIFS(Base!$Z$3:$Z$5001,Base!$A$3:$A$5001,Z$3,Base!$B$3:$B$5001,$A$131)))</f>
        <v>8</v>
      </c>
      <c r="AA141" s="89">
        <f>IF(AA$3="","",IF(COUNTIFS(Base!$A$3:$A$5001,AA$3,Base!$B$3:$B$5001,$A$131,Base!$Z$3:$Z$5001,"&lt;&gt;")=0,"",SUMIFS(Base!$Z$3:$Z$5001,Base!$A$3:$A$5001,AA$3,Base!$B$3:$B$5001,$A$131)))</f>
        <v>7</v>
      </c>
      <c r="AB141" s="89">
        <f>IF(AB$3="","",IF(COUNTIFS(Base!$A$3:$A$5001,AB$3,Base!$B$3:$B$5001,$A$131,Base!$Z$3:$Z$5001,"&lt;&gt;")=0,"",SUMIFS(Base!$Z$3:$Z$5001,Base!$A$3:$A$5001,AB$3,Base!$B$3:$B$5001,$A$131)))</f>
        <v>6</v>
      </c>
      <c r="AC141" s="89">
        <f>IF(AC$3="","",IF(COUNTIFS(Base!$A$3:$A$5001,AC$3,Base!$B$3:$B$5001,$A$131,Base!$Z$3:$Z$5001,"&lt;&gt;")=0,"",SUMIFS(Base!$Z$3:$Z$5001,Base!$A$3:$A$5001,AC$3,Base!$B$3:$B$5001,$A$131)))</f>
        <v>14</v>
      </c>
      <c r="AD141" s="89">
        <f>IF(AD$3="","",IF(COUNTIFS(Base!$A$3:$A$5001,AD$3,Base!$B$3:$B$5001,$A$131,Base!$Z$3:$Z$5001,"&lt;&gt;")=0,"",SUMIFS(Base!$Z$3:$Z$5001,Base!$A$3:$A$5001,AD$3,Base!$B$3:$B$5001,$A$131)))</f>
        <v>4</v>
      </c>
      <c r="AE141" s="89">
        <f>IF(AE$3="","",IF(COUNTIFS(Base!$A$3:$A$5001,AE$3,Base!$B$3:$B$5001,$A$131,Base!$Z$3:$Z$5001,"&lt;&gt;")=0,"",SUMIFS(Base!$Z$3:$Z$5001,Base!$A$3:$A$5001,AE$3,Base!$B$3:$B$5001,$A$131)))</f>
        <v>6</v>
      </c>
      <c r="AF141" s="89" t="str">
        <f>IF(AF$3="","",IF(COUNTIFS(Base!$A$3:$A$5001,AF$3,Base!$B$3:$B$5001,$A$131,Base!$Z$3:$Z$5001,"&lt;&gt;")=0,"",SUMIFS(Base!$Z$3:$Z$5001,Base!$A$3:$A$5001,AF$3,Base!$B$3:$B$5001,$A$131)))</f>
        <v/>
      </c>
      <c r="AG141" s="89">
        <f>IF(AG$3="","",IF(COUNTIFS(Base!$A$3:$A$5001,AG$3,Base!$B$3:$B$5001,$A$131,Base!$Z$3:$Z$5001,"&lt;&gt;")=0,"",SUMIFS(Base!$Z$3:$Z$5001,Base!$A$3:$A$5001,AG$3,Base!$B$3:$B$5001,$A$131)))</f>
        <v>11</v>
      </c>
      <c r="AH141" s="89">
        <f>IF(AH$3="","",IF(COUNTIFS(Base!$A$3:$A$5001,AH$3,Base!$B$3:$B$5001,$A$131,Base!$Z$3:$Z$5001,"&lt;&gt;")=0,"",SUMIFS(Base!$Z$3:$Z$5001,Base!$A$3:$A$5001,AH$3,Base!$B$3:$B$5001,$A$131)))</f>
        <v>5</v>
      </c>
      <c r="AI141" s="89" t="str">
        <f>IF(AI$3="","",IF(COUNTIFS(Base!$A$3:$A$5001,AI$3,Base!$B$3:$B$5001,$A$131,Base!$Z$3:$Z$5001,"&lt;&gt;")=0,"",SUMIFS(Base!$Z$3:$Z$5001,Base!$A$3:$A$5001,AI$3,Base!$B$3:$B$5001,$A$131)))</f>
        <v/>
      </c>
      <c r="AJ141" s="90" t="str">
        <f>IF(AJ$3="","",IF(COUNTIFS(Base!$A$3:$A$5001,AJ$3,Base!$B$3:$B$5001,$A$131,Base!$Z$3:$Z$5001,"&lt;&gt;")=0,"",SUMIFS(Base!$Z$3:$Z$5001,Base!$A$3:$A$5001,AJ$3,Base!$B$3:$B$5001,$A$131)))</f>
        <v/>
      </c>
      <c r="AK141" s="91">
        <f>IFERROR(LOOKUP(9.99E+307,F141:AJ141),"")</f>
        <v>5</v>
      </c>
    </row>
    <row r="142" ht="15.75" customHeight="1">
      <c r="A142" s="118"/>
      <c r="B142" s="115"/>
      <c r="C142" s="92" t="inlineStr">
        <is>
          <t xml:space="preserve">Falta</t>
        </is>
      </c>
      <c r="D142" s="93" t="str">
        <f>IFERROR(1/(1/INDEX(calculos!$C$55:$K$83,MATCH("Falta",calculos!$A$55:$A$83,0),MATCH($A$131,calculos!$C$54:$K$54,0))),"")</f>
        <v/>
      </c>
      <c r="E142" s="94"/>
      <c r="F142" s="95" t="str">
        <f>IF(F$3="","",IF(COUNTIFS(Base!$A$3:$A$5001,F$3,Base!$B$3:$B$5001,$A$131,Base!$AA$3:$AA$5001,"&lt;&gt;")=0,"",SUMIFS(Base!$AA$3:$AA$5001,Base!$A$3:$A$5001,F$3,Base!$B$3:$B$5001,$A$131)))</f>
        <v/>
      </c>
      <c r="G142" s="96" t="str">
        <f>IF(G$3="","",IF(COUNTIFS(Base!$A$3:$A$5001,G$3,Base!$B$3:$B$5001,$A$131,Base!$AA$3:$AA$5001,"&lt;&gt;")=0,"",SUMIFS(Base!$AA$3:$AA$5001,Base!$A$3:$A$5001,G$3,Base!$B$3:$B$5001,$A$131)))</f>
        <v/>
      </c>
      <c r="H142" s="96">
        <f>IF(H$3="","",IF(COUNTIFS(Base!$A$3:$A$5001,H$3,Base!$B$3:$B$5001,$A$131,Base!$AA$3:$AA$5001,"&lt;&gt;")=0,"",SUMIFS(Base!$AA$3:$AA$5001,Base!$A$3:$A$5001,H$3,Base!$B$3:$B$5001,$A$131)))</f>
        <v>1</v>
      </c>
      <c r="I142" s="96" t="str">
        <f>IF(I$3="","",IF(COUNTIFS(Base!$A$3:$A$5001,I$3,Base!$B$3:$B$5001,$A$131,Base!$AA$3:$AA$5001,"&lt;&gt;")=0,"",SUMIFS(Base!$AA$3:$AA$5001,Base!$A$3:$A$5001,I$3,Base!$B$3:$B$5001,$A$131)))</f>
        <v/>
      </c>
      <c r="J142" s="96" t="str">
        <f>IF(J$3="","",IF(COUNTIFS(Base!$A$3:$A$5001,J$3,Base!$B$3:$B$5001,$A$131,Base!$AA$3:$AA$5001,"&lt;&gt;")=0,"",SUMIFS(Base!$AA$3:$AA$5001,Base!$A$3:$A$5001,J$3,Base!$B$3:$B$5001,$A$131)))</f>
        <v/>
      </c>
      <c r="K142" s="96" t="str">
        <f>IF(K$3="","",IF(COUNTIFS(Base!$A$3:$A$5001,K$3,Base!$B$3:$B$5001,$A$131,Base!$AA$3:$AA$5001,"&lt;&gt;")=0,"",SUMIFS(Base!$AA$3:$AA$5001,Base!$A$3:$A$5001,K$3,Base!$B$3:$B$5001,$A$131)))</f>
        <v/>
      </c>
      <c r="L142" s="96" t="str">
        <f>IF(L$3="","",IF(COUNTIFS(Base!$A$3:$A$5001,L$3,Base!$B$3:$B$5001,$A$131,Base!$AA$3:$AA$5001,"&lt;&gt;")=0,"",SUMIFS(Base!$AA$3:$AA$5001,Base!$A$3:$A$5001,L$3,Base!$B$3:$B$5001,$A$131)))</f>
        <v/>
      </c>
      <c r="M142" s="96">
        <f>IF(M$3="","",IF(COUNTIFS(Base!$A$3:$A$5001,M$3,Base!$B$3:$B$5001,$A$131,Base!$AA$3:$AA$5001,"&lt;&gt;")=0,"",SUMIFS(Base!$AA$3:$AA$5001,Base!$A$3:$A$5001,M$3,Base!$B$3:$B$5001,$A$131)))</f>
        <v>1</v>
      </c>
      <c r="N142" s="96">
        <f>IF(N$3="","",IF(COUNTIFS(Base!$A$3:$A$5001,N$3,Base!$B$3:$B$5001,$A$131,Base!$AA$3:$AA$5001,"&lt;&gt;")=0,"",SUMIFS(Base!$AA$3:$AA$5001,Base!$A$3:$A$5001,N$3,Base!$B$3:$B$5001,$A$131)))</f>
        <v>1</v>
      </c>
      <c r="O142" s="96" t="str">
        <f>IF(O$3="","",IF(COUNTIFS(Base!$A$3:$A$5001,O$3,Base!$B$3:$B$5001,$A$131,Base!$AA$3:$AA$5001,"&lt;&gt;")=0,"",SUMIFS(Base!$AA$3:$AA$5001,Base!$A$3:$A$5001,O$3,Base!$B$3:$B$5001,$A$131)))</f>
        <v/>
      </c>
      <c r="P142" s="96" t="str">
        <f>IF(P$3="","",IF(COUNTIFS(Base!$A$3:$A$5001,P$3,Base!$B$3:$B$5001,$A$131,Base!$AA$3:$AA$5001,"&lt;&gt;")=0,"",SUMIFS(Base!$AA$3:$AA$5001,Base!$A$3:$A$5001,P$3,Base!$B$3:$B$5001,$A$131)))</f>
        <v/>
      </c>
      <c r="Q142" s="96" t="str">
        <f>IF(Q$3="","",IF(COUNTIFS(Base!$A$3:$A$5001,Q$3,Base!$B$3:$B$5001,$A$131,Base!$AA$3:$AA$5001,"&lt;&gt;")=0,"",SUMIFS(Base!$AA$3:$AA$5001,Base!$A$3:$A$5001,Q$3,Base!$B$3:$B$5001,$A$131)))</f>
        <v/>
      </c>
      <c r="R142" s="96" t="str">
        <f>IF(R$3="","",IF(COUNTIFS(Base!$A$3:$A$5001,R$3,Base!$B$3:$B$5001,$A$131,Base!$AA$3:$AA$5001,"&lt;&gt;")=0,"",SUMIFS(Base!$AA$3:$AA$5001,Base!$A$3:$A$5001,R$3,Base!$B$3:$B$5001,$A$131)))</f>
        <v/>
      </c>
      <c r="S142" s="96" t="str">
        <f>IF(S$3="","",IF(COUNTIFS(Base!$A$3:$A$5001,S$3,Base!$B$3:$B$5001,$A$131,Base!$AA$3:$AA$5001,"&lt;&gt;")=0,"",SUMIFS(Base!$AA$3:$AA$5001,Base!$A$3:$A$5001,S$3,Base!$B$3:$B$5001,$A$131)))</f>
        <v/>
      </c>
      <c r="T142" s="96" t="str">
        <f>IF(T$3="","",IF(COUNTIFS(Base!$A$3:$A$5001,T$3,Base!$B$3:$B$5001,$A$131,Base!$AA$3:$AA$5001,"&lt;&gt;")=0,"",SUMIFS(Base!$AA$3:$AA$5001,Base!$A$3:$A$5001,T$3,Base!$B$3:$B$5001,$A$131)))</f>
        <v/>
      </c>
      <c r="U142" s="96">
        <f>IF(U$3="","",IF(COUNTIFS(Base!$A$3:$A$5001,U$3,Base!$B$3:$B$5001,$A$131,Base!$AA$3:$AA$5001,"&lt;&gt;")=0,"",SUMIFS(Base!$AA$3:$AA$5001,Base!$A$3:$A$5001,U$3,Base!$B$3:$B$5001,$A$131)))</f>
        <v>1</v>
      </c>
      <c r="V142" s="96" t="str">
        <f>IF(V$3="","",IF(COUNTIFS(Base!$A$3:$A$5001,V$3,Base!$B$3:$B$5001,$A$131,Base!$AA$3:$AA$5001,"&lt;&gt;")=0,"",SUMIFS(Base!$AA$3:$AA$5001,Base!$A$3:$A$5001,V$3,Base!$B$3:$B$5001,$A$131)))</f>
        <v/>
      </c>
      <c r="W142" s="96" t="str">
        <f>IF(W$3="","",IF(COUNTIFS(Base!$A$3:$A$5001,W$3,Base!$B$3:$B$5001,$A$131,Base!$AA$3:$AA$5001,"&lt;&gt;")=0,"",SUMIFS(Base!$AA$3:$AA$5001,Base!$A$3:$A$5001,W$3,Base!$B$3:$B$5001,$A$131)))</f>
        <v/>
      </c>
      <c r="X142" s="96" t="str">
        <f>IF(X$3="","",IF(COUNTIFS(Base!$A$3:$A$5001,X$3,Base!$B$3:$B$5001,$A$131,Base!$AA$3:$AA$5001,"&lt;&gt;")=0,"",SUMIFS(Base!$AA$3:$AA$5001,Base!$A$3:$A$5001,X$3,Base!$B$3:$B$5001,$A$131)))</f>
        <v/>
      </c>
      <c r="Y142" s="96" t="str">
        <f>IF(Y$3="","",IF(COUNTIFS(Base!$A$3:$A$5001,Y$3,Base!$B$3:$B$5001,$A$131,Base!$AA$3:$AA$5001,"&lt;&gt;")=0,"",SUMIFS(Base!$AA$3:$AA$5001,Base!$A$3:$A$5001,Y$3,Base!$B$3:$B$5001,$A$131)))</f>
        <v/>
      </c>
      <c r="Z142" s="96" t="str">
        <f>IF(Z$3="","",IF(COUNTIFS(Base!$A$3:$A$5001,Z$3,Base!$B$3:$B$5001,$A$131,Base!$AA$3:$AA$5001,"&lt;&gt;")=0,"",SUMIFS(Base!$AA$3:$AA$5001,Base!$A$3:$A$5001,Z$3,Base!$B$3:$B$5001,$A$131)))</f>
        <v/>
      </c>
      <c r="AA142" s="96" t="str">
        <f>IF(AA$3="","",IF(COUNTIFS(Base!$A$3:$A$5001,AA$3,Base!$B$3:$B$5001,$A$131,Base!$AA$3:$AA$5001,"&lt;&gt;")=0,"",SUMIFS(Base!$AA$3:$AA$5001,Base!$A$3:$A$5001,AA$3,Base!$B$3:$B$5001,$A$131)))</f>
        <v/>
      </c>
      <c r="AB142" s="96" t="str">
        <f>IF(AB$3="","",IF(COUNTIFS(Base!$A$3:$A$5001,AB$3,Base!$B$3:$B$5001,$A$131,Base!$AA$3:$AA$5001,"&lt;&gt;")=0,"",SUMIFS(Base!$AA$3:$AA$5001,Base!$A$3:$A$5001,AB$3,Base!$B$3:$B$5001,$A$131)))</f>
        <v/>
      </c>
      <c r="AC142" s="96" t="str">
        <f>IF(AC$3="","",IF(COUNTIFS(Base!$A$3:$A$5001,AC$3,Base!$B$3:$B$5001,$A$131,Base!$AA$3:$AA$5001,"&lt;&gt;")=0,"",SUMIFS(Base!$AA$3:$AA$5001,Base!$A$3:$A$5001,AC$3,Base!$B$3:$B$5001,$A$131)))</f>
        <v/>
      </c>
      <c r="AD142" s="96" t="str">
        <f>IF(AD$3="","",IF(COUNTIFS(Base!$A$3:$A$5001,AD$3,Base!$B$3:$B$5001,$A$131,Base!$AA$3:$AA$5001,"&lt;&gt;")=0,"",SUMIFS(Base!$AA$3:$AA$5001,Base!$A$3:$A$5001,AD$3,Base!$B$3:$B$5001,$A$131)))</f>
        <v/>
      </c>
      <c r="AE142" s="96">
        <f>IF(AE$3="","",IF(COUNTIFS(Base!$A$3:$A$5001,AE$3,Base!$B$3:$B$5001,$A$131,Base!$AA$3:$AA$5001,"&lt;&gt;")=0,"",SUMIFS(Base!$AA$3:$AA$5001,Base!$A$3:$A$5001,AE$3,Base!$B$3:$B$5001,$A$131)))</f>
        <v>1</v>
      </c>
      <c r="AF142" s="96" t="str">
        <f>IF(AF$3="","",IF(COUNTIFS(Base!$A$3:$A$5001,AF$3,Base!$B$3:$B$5001,$A$131,Base!$AA$3:$AA$5001,"&lt;&gt;")=0,"",SUMIFS(Base!$AA$3:$AA$5001,Base!$A$3:$A$5001,AF$3,Base!$B$3:$B$5001,$A$131)))</f>
        <v/>
      </c>
      <c r="AG142" s="96" t="str">
        <f>IF(AG$3="","",IF(COUNTIFS(Base!$A$3:$A$5001,AG$3,Base!$B$3:$B$5001,$A$131,Base!$AA$3:$AA$5001,"&lt;&gt;")=0,"",SUMIFS(Base!$AA$3:$AA$5001,Base!$A$3:$A$5001,AG$3,Base!$B$3:$B$5001,$A$131)))</f>
        <v/>
      </c>
      <c r="AH142" s="96" t="str">
        <f>IF(AH$3="","",IF(COUNTIFS(Base!$A$3:$A$5001,AH$3,Base!$B$3:$B$5001,$A$131,Base!$AA$3:$AA$5001,"&lt;&gt;")=0,"",SUMIFS(Base!$AA$3:$AA$5001,Base!$A$3:$A$5001,AH$3,Base!$B$3:$B$5001,$A$131)))</f>
        <v/>
      </c>
      <c r="AI142" s="96" t="str">
        <f>IF(AI$3="","",IF(COUNTIFS(Base!$A$3:$A$5001,AI$3,Base!$B$3:$B$5001,$A$131,Base!$AA$3:$AA$5001,"&lt;&gt;")=0,"",SUMIFS(Base!$AA$3:$AA$5001,Base!$A$3:$A$5001,AI$3,Base!$B$3:$B$5001,$A$131)))</f>
        <v/>
      </c>
      <c r="AJ142" s="97" t="str">
        <f>IF(AJ$3="","",IF(COUNTIFS(Base!$A$3:$A$5001,AJ$3,Base!$B$3:$B$5001,$A$131,Base!$AA$3:$AA$5001,"&lt;&gt;")=0,"",SUMIFS(Base!$AA$3:$AA$5001,Base!$A$3:$A$5001,AJ$3,Base!$B$3:$B$5001,$A$131)))</f>
        <v/>
      </c>
      <c r="AK142" s="98">
        <f>IF(COUNT(F142:AJ142)=0,"",SUM(F142:AJ142))</f>
        <v>5</v>
      </c>
    </row>
    <row r="143" ht="15.75" customHeight="1">
      <c r="A143" s="118"/>
      <c r="B143" s="115"/>
      <c r="C143" s="92" t="inlineStr">
        <is>
          <t xml:space="preserve">Folga</t>
        </is>
      </c>
      <c r="D143" s="93" t="str">
        <f>IFERROR(1/(1/INDEX(calculos!$C$55:$K$83,MATCH("Folga",calculos!$A$55:$A$83,0),MATCH($A$131,calculos!$C$54:$K$54,0))),"")</f>
        <v/>
      </c>
      <c r="E143" s="94"/>
      <c r="F143" s="95" t="str">
        <f>IF(F$3="","",IF(COUNTIFS(Base!$A$3:$A$5001,F$3,Base!$B$3:$B$5001,$A$131,Base!$AB$3:$AB$5001,"&lt;&gt;")=0,"",SUMIFS(Base!$AB$3:$AB$5001,Base!$A$3:$A$5001,F$3,Base!$B$3:$B$5001,$A$131)))</f>
        <v/>
      </c>
      <c r="G143" s="96" t="str">
        <f>IF(G$3="","",IF(COUNTIFS(Base!$A$3:$A$5001,G$3,Base!$B$3:$B$5001,$A$131,Base!$AB$3:$AB$5001,"&lt;&gt;")=0,"",SUMIFS(Base!$AB$3:$AB$5001,Base!$A$3:$A$5001,G$3,Base!$B$3:$B$5001,$A$131)))</f>
        <v/>
      </c>
      <c r="H143" s="96">
        <f>IF(H$3="","",IF(COUNTIFS(Base!$A$3:$A$5001,H$3,Base!$B$3:$B$5001,$A$131,Base!$AB$3:$AB$5001,"&lt;&gt;")=0,"",SUMIFS(Base!$AB$3:$AB$5001,Base!$A$3:$A$5001,H$3,Base!$B$3:$B$5001,$A$131)))</f>
        <v>1</v>
      </c>
      <c r="I143" s="96" t="str">
        <f>IF(I$3="","",IF(COUNTIFS(Base!$A$3:$A$5001,I$3,Base!$B$3:$B$5001,$A$131,Base!$AB$3:$AB$5001,"&lt;&gt;")=0,"",SUMIFS(Base!$AB$3:$AB$5001,Base!$A$3:$A$5001,I$3,Base!$B$3:$B$5001,$A$131)))</f>
        <v/>
      </c>
      <c r="J143" s="96" t="str">
        <f>IF(J$3="","",IF(COUNTIFS(Base!$A$3:$A$5001,J$3,Base!$B$3:$B$5001,$A$131,Base!$AB$3:$AB$5001,"&lt;&gt;")=0,"",SUMIFS(Base!$AB$3:$AB$5001,Base!$A$3:$A$5001,J$3,Base!$B$3:$B$5001,$A$131)))</f>
        <v/>
      </c>
      <c r="K143" s="96" t="str">
        <f>IF(K$3="","",IF(COUNTIFS(Base!$A$3:$A$5001,K$3,Base!$B$3:$B$5001,$A$131,Base!$AB$3:$AB$5001,"&lt;&gt;")=0,"",SUMIFS(Base!$AB$3:$AB$5001,Base!$A$3:$A$5001,K$3,Base!$B$3:$B$5001,$A$131)))</f>
        <v/>
      </c>
      <c r="L143" s="96" t="str">
        <f>IF(L$3="","",IF(COUNTIFS(Base!$A$3:$A$5001,L$3,Base!$B$3:$B$5001,$A$131,Base!$AB$3:$AB$5001,"&lt;&gt;")=0,"",SUMIFS(Base!$AB$3:$AB$5001,Base!$A$3:$A$5001,L$3,Base!$B$3:$B$5001,$A$131)))</f>
        <v/>
      </c>
      <c r="M143" s="96" t="str">
        <f>IF(M$3="","",IF(COUNTIFS(Base!$A$3:$A$5001,M$3,Base!$B$3:$B$5001,$A$131,Base!$AB$3:$AB$5001,"&lt;&gt;")=0,"",SUMIFS(Base!$AB$3:$AB$5001,Base!$A$3:$A$5001,M$3,Base!$B$3:$B$5001,$A$131)))</f>
        <v/>
      </c>
      <c r="N143" s="96" t="str">
        <f>IF(N$3="","",IF(COUNTIFS(Base!$A$3:$A$5001,N$3,Base!$B$3:$B$5001,$A$131,Base!$AB$3:$AB$5001,"&lt;&gt;")=0,"",SUMIFS(Base!$AB$3:$AB$5001,Base!$A$3:$A$5001,N$3,Base!$B$3:$B$5001,$A$131)))</f>
        <v/>
      </c>
      <c r="O143" s="96" t="str">
        <f>IF(O$3="","",IF(COUNTIFS(Base!$A$3:$A$5001,O$3,Base!$B$3:$B$5001,$A$131,Base!$AB$3:$AB$5001,"&lt;&gt;")=0,"",SUMIFS(Base!$AB$3:$AB$5001,Base!$A$3:$A$5001,O$3,Base!$B$3:$B$5001,$A$131)))</f>
        <v/>
      </c>
      <c r="P143" s="96" t="str">
        <f>IF(P$3="","",IF(COUNTIFS(Base!$A$3:$A$5001,P$3,Base!$B$3:$B$5001,$A$131,Base!$AB$3:$AB$5001,"&lt;&gt;")=0,"",SUMIFS(Base!$AB$3:$AB$5001,Base!$A$3:$A$5001,P$3,Base!$B$3:$B$5001,$A$131)))</f>
        <v/>
      </c>
      <c r="Q143" s="96">
        <f>IF(Q$3="","",IF(COUNTIFS(Base!$A$3:$A$5001,Q$3,Base!$B$3:$B$5001,$A$131,Base!$AB$3:$AB$5001,"&lt;&gt;")=0,"",SUMIFS(Base!$AB$3:$AB$5001,Base!$A$3:$A$5001,Q$3,Base!$B$3:$B$5001,$A$131)))</f>
        <v>1</v>
      </c>
      <c r="R143" s="96" t="str">
        <f>IF(R$3="","",IF(COUNTIFS(Base!$A$3:$A$5001,R$3,Base!$B$3:$B$5001,$A$131,Base!$AB$3:$AB$5001,"&lt;&gt;")=0,"",SUMIFS(Base!$AB$3:$AB$5001,Base!$A$3:$A$5001,R$3,Base!$B$3:$B$5001,$A$131)))</f>
        <v/>
      </c>
      <c r="S143" s="96" t="str">
        <f>IF(S$3="","",IF(COUNTIFS(Base!$A$3:$A$5001,S$3,Base!$B$3:$B$5001,$A$131,Base!$AB$3:$AB$5001,"&lt;&gt;")=0,"",SUMIFS(Base!$AB$3:$AB$5001,Base!$A$3:$A$5001,S$3,Base!$B$3:$B$5001,$A$131)))</f>
        <v/>
      </c>
      <c r="T143" s="96">
        <f>IF(T$3="","",IF(COUNTIFS(Base!$A$3:$A$5001,T$3,Base!$B$3:$B$5001,$A$131,Base!$AB$3:$AB$5001,"&lt;&gt;")=0,"",SUMIFS(Base!$AB$3:$AB$5001,Base!$A$3:$A$5001,T$3,Base!$B$3:$B$5001,$A$131)))</f>
        <v>1</v>
      </c>
      <c r="U143" s="96" t="str">
        <f>IF(U$3="","",IF(COUNTIFS(Base!$A$3:$A$5001,U$3,Base!$B$3:$B$5001,$A$131,Base!$AB$3:$AB$5001,"&lt;&gt;")=0,"",SUMIFS(Base!$AB$3:$AB$5001,Base!$A$3:$A$5001,U$3,Base!$B$3:$B$5001,$A$131)))</f>
        <v/>
      </c>
      <c r="V143" s="96" t="str">
        <f>IF(V$3="","",IF(COUNTIFS(Base!$A$3:$A$5001,V$3,Base!$B$3:$B$5001,$A$131,Base!$AB$3:$AB$5001,"&lt;&gt;")=0,"",SUMIFS(Base!$AB$3:$AB$5001,Base!$A$3:$A$5001,V$3,Base!$B$3:$B$5001,$A$131)))</f>
        <v/>
      </c>
      <c r="W143" s="96" t="str">
        <f>IF(W$3="","",IF(COUNTIFS(Base!$A$3:$A$5001,W$3,Base!$B$3:$B$5001,$A$131,Base!$AB$3:$AB$5001,"&lt;&gt;")=0,"",SUMIFS(Base!$AB$3:$AB$5001,Base!$A$3:$A$5001,W$3,Base!$B$3:$B$5001,$A$131)))</f>
        <v/>
      </c>
      <c r="X143" s="96" t="str">
        <f>IF(X$3="","",IF(COUNTIFS(Base!$A$3:$A$5001,X$3,Base!$B$3:$B$5001,$A$131,Base!$AB$3:$AB$5001,"&lt;&gt;")=0,"",SUMIFS(Base!$AB$3:$AB$5001,Base!$A$3:$A$5001,X$3,Base!$B$3:$B$5001,$A$131)))</f>
        <v/>
      </c>
      <c r="Y143" s="96" t="str">
        <f>IF(Y$3="","",IF(COUNTIFS(Base!$A$3:$A$5001,Y$3,Base!$B$3:$B$5001,$A$131,Base!$AB$3:$AB$5001,"&lt;&gt;")=0,"",SUMIFS(Base!$AB$3:$AB$5001,Base!$A$3:$A$5001,Y$3,Base!$B$3:$B$5001,$A$131)))</f>
        <v/>
      </c>
      <c r="Z143" s="96" t="str">
        <f>IF(Z$3="","",IF(COUNTIFS(Base!$A$3:$A$5001,Z$3,Base!$B$3:$B$5001,$A$131,Base!$AB$3:$AB$5001,"&lt;&gt;")=0,"",SUMIFS(Base!$AB$3:$AB$5001,Base!$A$3:$A$5001,Z$3,Base!$B$3:$B$5001,$A$131)))</f>
        <v/>
      </c>
      <c r="AA143" s="96" t="str">
        <f>IF(AA$3="","",IF(COUNTIFS(Base!$A$3:$A$5001,AA$3,Base!$B$3:$B$5001,$A$131,Base!$AB$3:$AB$5001,"&lt;&gt;")=0,"",SUMIFS(Base!$AB$3:$AB$5001,Base!$A$3:$A$5001,AA$3,Base!$B$3:$B$5001,$A$131)))</f>
        <v/>
      </c>
      <c r="AB143" s="96" t="str">
        <f>IF(AB$3="","",IF(COUNTIFS(Base!$A$3:$A$5001,AB$3,Base!$B$3:$B$5001,$A$131,Base!$AB$3:$AB$5001,"&lt;&gt;")=0,"",SUMIFS(Base!$AB$3:$AB$5001,Base!$A$3:$A$5001,AB$3,Base!$B$3:$B$5001,$A$131)))</f>
        <v/>
      </c>
      <c r="AC143" s="96">
        <f>IF(AC$3="","",IF(COUNTIFS(Base!$A$3:$A$5001,AC$3,Base!$B$3:$B$5001,$A$131,Base!$AB$3:$AB$5001,"&lt;&gt;")=0,"",SUMIFS(Base!$AB$3:$AB$5001,Base!$A$3:$A$5001,AC$3,Base!$B$3:$B$5001,$A$131)))</f>
        <v>1</v>
      </c>
      <c r="AD143" s="96" t="str">
        <f>IF(AD$3="","",IF(COUNTIFS(Base!$A$3:$A$5001,AD$3,Base!$B$3:$B$5001,$A$131,Base!$AB$3:$AB$5001,"&lt;&gt;")=0,"",SUMIFS(Base!$AB$3:$AB$5001,Base!$A$3:$A$5001,AD$3,Base!$B$3:$B$5001,$A$131)))</f>
        <v/>
      </c>
      <c r="AE143" s="96" t="str">
        <f>IF(AE$3="","",IF(COUNTIFS(Base!$A$3:$A$5001,AE$3,Base!$B$3:$B$5001,$A$131,Base!$AB$3:$AB$5001,"&lt;&gt;")=0,"",SUMIFS(Base!$AB$3:$AB$5001,Base!$A$3:$A$5001,AE$3,Base!$B$3:$B$5001,$A$131)))</f>
        <v/>
      </c>
      <c r="AF143" s="96" t="str">
        <f>IF(AF$3="","",IF(COUNTIFS(Base!$A$3:$A$5001,AF$3,Base!$B$3:$B$5001,$A$131,Base!$AB$3:$AB$5001,"&lt;&gt;")=0,"",SUMIFS(Base!$AB$3:$AB$5001,Base!$A$3:$A$5001,AF$3,Base!$B$3:$B$5001,$A$131)))</f>
        <v/>
      </c>
      <c r="AG143" s="96" t="str">
        <f>IF(AG$3="","",IF(COUNTIFS(Base!$A$3:$A$5001,AG$3,Base!$B$3:$B$5001,$A$131,Base!$AB$3:$AB$5001,"&lt;&gt;")=0,"",SUMIFS(Base!$AB$3:$AB$5001,Base!$A$3:$A$5001,AG$3,Base!$B$3:$B$5001,$A$131)))</f>
        <v/>
      </c>
      <c r="AH143" s="96" t="str">
        <f>IF(AH$3="","",IF(COUNTIFS(Base!$A$3:$A$5001,AH$3,Base!$B$3:$B$5001,$A$131,Base!$AB$3:$AB$5001,"&lt;&gt;")=0,"",SUMIFS(Base!$AB$3:$AB$5001,Base!$A$3:$A$5001,AH$3,Base!$B$3:$B$5001,$A$131)))</f>
        <v/>
      </c>
      <c r="AI143" s="96" t="str">
        <f>IF(AI$3="","",IF(COUNTIFS(Base!$A$3:$A$5001,AI$3,Base!$B$3:$B$5001,$A$131,Base!$AB$3:$AB$5001,"&lt;&gt;")=0,"",SUMIFS(Base!$AB$3:$AB$5001,Base!$A$3:$A$5001,AI$3,Base!$B$3:$B$5001,$A$131)))</f>
        <v/>
      </c>
      <c r="AJ143" s="97" t="str">
        <f>IF(AJ$3="","",IF(COUNTIFS(Base!$A$3:$A$5001,AJ$3,Base!$B$3:$B$5001,$A$131,Base!$AB$3:$AB$5001,"&lt;&gt;")=0,"",SUMIFS(Base!$AB$3:$AB$5001,Base!$A$3:$A$5001,AJ$3,Base!$B$3:$B$5001,$A$131)))</f>
        <v/>
      </c>
      <c r="AK143" s="98">
        <f>IF(COUNT(F143:AJ143)=0,"",SUM(F143:AJ143))</f>
        <v>4</v>
      </c>
    </row>
    <row r="144" ht="15.75" customHeight="1">
      <c r="A144" s="118"/>
      <c r="B144" s="115"/>
      <c r="C144" s="92" t="inlineStr">
        <is>
          <t xml:space="preserve">Férias</t>
        </is>
      </c>
      <c r="D144" s="93" t="str">
        <f>IFERROR(1/(1/INDEX(calculos!$C$55:$K$83,MATCH("Férias",calculos!$A$55:$A$83,0),MATCH($A$131,calculos!$C$54:$K$54,0))),"")</f>
        <v/>
      </c>
      <c r="E144" s="94"/>
      <c r="F144" s="95">
        <f>IF(F$3="","",IF(COUNTIFS(Base!$A$3:$A$5001,F$3,Base!$B$3:$B$5001,$A$131,Base!$AC$3:$AC$5001,"&lt;&gt;")=0,"",SUMIFS(Base!$AC$3:$AC$5001,Base!$A$3:$A$5001,F$3,Base!$B$3:$B$5001,$A$131)))</f>
        <v>1</v>
      </c>
      <c r="G144" s="96" t="str">
        <f>IF(G$3="","",IF(COUNTIFS(Base!$A$3:$A$5001,G$3,Base!$B$3:$B$5001,$A$131,Base!$AC$3:$AC$5001,"&lt;&gt;")=0,"",SUMIFS(Base!$AC$3:$AC$5001,Base!$A$3:$A$5001,G$3,Base!$B$3:$B$5001,$A$131)))</f>
        <v/>
      </c>
      <c r="H144" s="96" t="str">
        <f>IF(H$3="","",IF(COUNTIFS(Base!$A$3:$A$5001,H$3,Base!$B$3:$B$5001,$A$131,Base!$AC$3:$AC$5001,"&lt;&gt;")=0,"",SUMIFS(Base!$AC$3:$AC$5001,Base!$A$3:$A$5001,H$3,Base!$B$3:$B$5001,$A$131)))</f>
        <v/>
      </c>
      <c r="I144" s="96" t="str">
        <f>IF(I$3="","",IF(COUNTIFS(Base!$A$3:$A$5001,I$3,Base!$B$3:$B$5001,$A$131,Base!$AC$3:$AC$5001,"&lt;&gt;")=0,"",SUMIFS(Base!$AC$3:$AC$5001,Base!$A$3:$A$5001,I$3,Base!$B$3:$B$5001,$A$131)))</f>
        <v/>
      </c>
      <c r="J144" s="96" t="str">
        <f>IF(J$3="","",IF(COUNTIFS(Base!$A$3:$A$5001,J$3,Base!$B$3:$B$5001,$A$131,Base!$AC$3:$AC$5001,"&lt;&gt;")=0,"",SUMIFS(Base!$AC$3:$AC$5001,Base!$A$3:$A$5001,J$3,Base!$B$3:$B$5001,$A$131)))</f>
        <v/>
      </c>
      <c r="K144" s="96" t="str">
        <f>IF(K$3="","",IF(COUNTIFS(Base!$A$3:$A$5001,K$3,Base!$B$3:$B$5001,$A$131,Base!$AC$3:$AC$5001,"&lt;&gt;")=0,"",SUMIFS(Base!$AC$3:$AC$5001,Base!$A$3:$A$5001,K$3,Base!$B$3:$B$5001,$A$131)))</f>
        <v/>
      </c>
      <c r="L144" s="96" t="str">
        <f>IF(L$3="","",IF(COUNTIFS(Base!$A$3:$A$5001,L$3,Base!$B$3:$B$5001,$A$131,Base!$AC$3:$AC$5001,"&lt;&gt;")=0,"",SUMIFS(Base!$AC$3:$AC$5001,Base!$A$3:$A$5001,L$3,Base!$B$3:$B$5001,$A$131)))</f>
        <v/>
      </c>
      <c r="M144" s="96" t="str">
        <f>IF(M$3="","",IF(COUNTIFS(Base!$A$3:$A$5001,M$3,Base!$B$3:$B$5001,$A$131,Base!$AC$3:$AC$5001,"&lt;&gt;")=0,"",SUMIFS(Base!$AC$3:$AC$5001,Base!$A$3:$A$5001,M$3,Base!$B$3:$B$5001,$A$131)))</f>
        <v/>
      </c>
      <c r="N144" s="96" t="str">
        <f>IF(N$3="","",IF(COUNTIFS(Base!$A$3:$A$5001,N$3,Base!$B$3:$B$5001,$A$131,Base!$AC$3:$AC$5001,"&lt;&gt;")=0,"",SUMIFS(Base!$AC$3:$AC$5001,Base!$A$3:$A$5001,N$3,Base!$B$3:$B$5001,$A$131)))</f>
        <v/>
      </c>
      <c r="O144" s="96" t="str">
        <f>IF(O$3="","",IF(COUNTIFS(Base!$A$3:$A$5001,O$3,Base!$B$3:$B$5001,$A$131,Base!$AC$3:$AC$5001,"&lt;&gt;")=0,"",SUMIFS(Base!$AC$3:$AC$5001,Base!$A$3:$A$5001,O$3,Base!$B$3:$B$5001,$A$131)))</f>
        <v/>
      </c>
      <c r="P144" s="96" t="str">
        <f>IF(P$3="","",IF(COUNTIFS(Base!$A$3:$A$5001,P$3,Base!$B$3:$B$5001,$A$131,Base!$AC$3:$AC$5001,"&lt;&gt;")=0,"",SUMIFS(Base!$AC$3:$AC$5001,Base!$A$3:$A$5001,P$3,Base!$B$3:$B$5001,$A$131)))</f>
        <v/>
      </c>
      <c r="Q144" s="96" t="str">
        <f>IF(Q$3="","",IF(COUNTIFS(Base!$A$3:$A$5001,Q$3,Base!$B$3:$B$5001,$A$131,Base!$AC$3:$AC$5001,"&lt;&gt;")=0,"",SUMIFS(Base!$AC$3:$AC$5001,Base!$A$3:$A$5001,Q$3,Base!$B$3:$B$5001,$A$131)))</f>
        <v/>
      </c>
      <c r="R144" s="96" t="str">
        <f>IF(R$3="","",IF(COUNTIFS(Base!$A$3:$A$5001,R$3,Base!$B$3:$B$5001,$A$131,Base!$AC$3:$AC$5001,"&lt;&gt;")=0,"",SUMIFS(Base!$AC$3:$AC$5001,Base!$A$3:$A$5001,R$3,Base!$B$3:$B$5001,$A$131)))</f>
        <v/>
      </c>
      <c r="S144" s="96" t="str">
        <f>IF(S$3="","",IF(COUNTIFS(Base!$A$3:$A$5001,S$3,Base!$B$3:$B$5001,$A$131,Base!$AC$3:$AC$5001,"&lt;&gt;")=0,"",SUMIFS(Base!$AC$3:$AC$5001,Base!$A$3:$A$5001,S$3,Base!$B$3:$B$5001,$A$131)))</f>
        <v/>
      </c>
      <c r="T144" s="96" t="str">
        <f>IF(T$3="","",IF(COUNTIFS(Base!$A$3:$A$5001,T$3,Base!$B$3:$B$5001,$A$131,Base!$AC$3:$AC$5001,"&lt;&gt;")=0,"",SUMIFS(Base!$AC$3:$AC$5001,Base!$A$3:$A$5001,T$3,Base!$B$3:$B$5001,$A$131)))</f>
        <v/>
      </c>
      <c r="U144" s="96" t="str">
        <f>IF(U$3="","",IF(COUNTIFS(Base!$A$3:$A$5001,U$3,Base!$B$3:$B$5001,$A$131,Base!$AC$3:$AC$5001,"&lt;&gt;")=0,"",SUMIFS(Base!$AC$3:$AC$5001,Base!$A$3:$A$5001,U$3,Base!$B$3:$B$5001,$A$131)))</f>
        <v/>
      </c>
      <c r="V144" s="96" t="str">
        <f>IF(V$3="","",IF(COUNTIFS(Base!$A$3:$A$5001,V$3,Base!$B$3:$B$5001,$A$131,Base!$AC$3:$AC$5001,"&lt;&gt;")=0,"",SUMIFS(Base!$AC$3:$AC$5001,Base!$A$3:$A$5001,V$3,Base!$B$3:$B$5001,$A$131)))</f>
        <v/>
      </c>
      <c r="W144" s="96" t="str">
        <f>IF(W$3="","",IF(COUNTIFS(Base!$A$3:$A$5001,W$3,Base!$B$3:$B$5001,$A$131,Base!$AC$3:$AC$5001,"&lt;&gt;")=0,"",SUMIFS(Base!$AC$3:$AC$5001,Base!$A$3:$A$5001,W$3,Base!$B$3:$B$5001,$A$131)))</f>
        <v/>
      </c>
      <c r="X144" s="96" t="str">
        <f>IF(X$3="","",IF(COUNTIFS(Base!$A$3:$A$5001,X$3,Base!$B$3:$B$5001,$A$131,Base!$AC$3:$AC$5001,"&lt;&gt;")=0,"",SUMIFS(Base!$AC$3:$AC$5001,Base!$A$3:$A$5001,X$3,Base!$B$3:$B$5001,$A$131)))</f>
        <v/>
      </c>
      <c r="Y144" s="96" t="str">
        <f>IF(Y$3="","",IF(COUNTIFS(Base!$A$3:$A$5001,Y$3,Base!$B$3:$B$5001,$A$131,Base!$AC$3:$AC$5001,"&lt;&gt;")=0,"",SUMIFS(Base!$AC$3:$AC$5001,Base!$A$3:$A$5001,Y$3,Base!$B$3:$B$5001,$A$131)))</f>
        <v/>
      </c>
      <c r="Z144" s="96" t="str">
        <f>IF(Z$3="","",IF(COUNTIFS(Base!$A$3:$A$5001,Z$3,Base!$B$3:$B$5001,$A$131,Base!$AC$3:$AC$5001,"&lt;&gt;")=0,"",SUMIFS(Base!$AC$3:$AC$5001,Base!$A$3:$A$5001,Z$3,Base!$B$3:$B$5001,$A$131)))</f>
        <v/>
      </c>
      <c r="AA144" s="96" t="str">
        <f>IF(AA$3="","",IF(COUNTIFS(Base!$A$3:$A$5001,AA$3,Base!$B$3:$B$5001,$A$131,Base!$AC$3:$AC$5001,"&lt;&gt;")=0,"",SUMIFS(Base!$AC$3:$AC$5001,Base!$A$3:$A$5001,AA$3,Base!$B$3:$B$5001,$A$131)))</f>
        <v/>
      </c>
      <c r="AB144" s="96" t="str">
        <f>IF(AB$3="","",IF(COUNTIFS(Base!$A$3:$A$5001,AB$3,Base!$B$3:$B$5001,$A$131,Base!$AC$3:$AC$5001,"&lt;&gt;")=0,"",SUMIFS(Base!$AC$3:$AC$5001,Base!$A$3:$A$5001,AB$3,Base!$B$3:$B$5001,$A$131)))</f>
        <v/>
      </c>
      <c r="AC144" s="96" t="str">
        <f>IF(AC$3="","",IF(COUNTIFS(Base!$A$3:$A$5001,AC$3,Base!$B$3:$B$5001,$A$131,Base!$AC$3:$AC$5001,"&lt;&gt;")=0,"",SUMIFS(Base!$AC$3:$AC$5001,Base!$A$3:$A$5001,AC$3,Base!$B$3:$B$5001,$A$131)))</f>
        <v/>
      </c>
      <c r="AD144" s="96" t="str">
        <f>IF(AD$3="","",IF(COUNTIFS(Base!$A$3:$A$5001,AD$3,Base!$B$3:$B$5001,$A$131,Base!$AC$3:$AC$5001,"&lt;&gt;")=0,"",SUMIFS(Base!$AC$3:$AC$5001,Base!$A$3:$A$5001,AD$3,Base!$B$3:$B$5001,$A$131)))</f>
        <v/>
      </c>
      <c r="AE144" s="96" t="str">
        <f>IF(AE$3="","",IF(COUNTIFS(Base!$A$3:$A$5001,AE$3,Base!$B$3:$B$5001,$A$131,Base!$AC$3:$AC$5001,"&lt;&gt;")=0,"",SUMIFS(Base!$AC$3:$AC$5001,Base!$A$3:$A$5001,AE$3,Base!$B$3:$B$5001,$A$131)))</f>
        <v/>
      </c>
      <c r="AF144" s="96" t="str">
        <f>IF(AF$3="","",IF(COUNTIFS(Base!$A$3:$A$5001,AF$3,Base!$B$3:$B$5001,$A$131,Base!$AC$3:$AC$5001,"&lt;&gt;")=0,"",SUMIFS(Base!$AC$3:$AC$5001,Base!$A$3:$A$5001,AF$3,Base!$B$3:$B$5001,$A$131)))</f>
        <v/>
      </c>
      <c r="AG144" s="96" t="str">
        <f>IF(AG$3="","",IF(COUNTIFS(Base!$A$3:$A$5001,AG$3,Base!$B$3:$B$5001,$A$131,Base!$AC$3:$AC$5001,"&lt;&gt;")=0,"",SUMIFS(Base!$AC$3:$AC$5001,Base!$A$3:$A$5001,AG$3,Base!$B$3:$B$5001,$A$131)))</f>
        <v/>
      </c>
      <c r="AH144" s="96" t="str">
        <f>IF(AH$3="","",IF(COUNTIFS(Base!$A$3:$A$5001,AH$3,Base!$B$3:$B$5001,$A$131,Base!$AC$3:$AC$5001,"&lt;&gt;")=0,"",SUMIFS(Base!$AC$3:$AC$5001,Base!$A$3:$A$5001,AH$3,Base!$B$3:$B$5001,$A$131)))</f>
        <v/>
      </c>
      <c r="AI144" s="96" t="str">
        <f>IF(AI$3="","",IF(COUNTIFS(Base!$A$3:$A$5001,AI$3,Base!$B$3:$B$5001,$A$131,Base!$AC$3:$AC$5001,"&lt;&gt;")=0,"",SUMIFS(Base!$AC$3:$AC$5001,Base!$A$3:$A$5001,AI$3,Base!$B$3:$B$5001,$A$131)))</f>
        <v/>
      </c>
      <c r="AJ144" s="97" t="str">
        <f>IF(AJ$3="","",IF(COUNTIFS(Base!$A$3:$A$5001,AJ$3,Base!$B$3:$B$5001,$A$131,Base!$AC$3:$AC$5001,"&lt;&gt;")=0,"",SUMIFS(Base!$AC$3:$AC$5001,Base!$A$3:$A$5001,AJ$3,Base!$B$3:$B$5001,$A$131)))</f>
        <v/>
      </c>
      <c r="AK144" s="98">
        <f>IF(COUNT(F144:AJ144)=0,"",SUM(F144:AJ144))</f>
        <v>1</v>
      </c>
    </row>
    <row r="145" ht="15.75" customHeight="1">
      <c r="A145" s="119"/>
      <c r="B145" s="116"/>
      <c r="C145" s="99" t="inlineStr">
        <is>
          <t xml:space="preserve">Desligamentos</t>
        </is>
      </c>
      <c r="D145" s="100" t="str">
        <f>IFERROR(1/(1/INDEX(calculos!$C$55:$K$83,MATCH("Desligamentos",calculos!$A$55:$A$83,0),MATCH($A$131,calculos!$C$54:$K$54,0))),"")</f>
        <v/>
      </c>
      <c r="E145" s="101"/>
      <c r="F145" s="102" t="str">
        <f>IF(F$3="","",IF(COUNTIFS(Base!$A$3:$A$5001,F$3,Base!$B$3:$B$5001,$A$131,Base!$AD$3:$AD$5001,"&lt;&gt;")=0,"",SUMIFS(Base!$AD$3:$AD$5001,Base!$A$3:$A$5001,F$3,Base!$B$3:$B$5001,$A$131)))</f>
        <v/>
      </c>
      <c r="G145" s="103" t="str">
        <f>IF(G$3="","",IF(COUNTIFS(Base!$A$3:$A$5001,G$3,Base!$B$3:$B$5001,$A$131,Base!$AD$3:$AD$5001,"&lt;&gt;")=0,"",SUMIFS(Base!$AD$3:$AD$5001,Base!$A$3:$A$5001,G$3,Base!$B$3:$B$5001,$A$131)))</f>
        <v/>
      </c>
      <c r="H145" s="103" t="str">
        <f>IF(H$3="","",IF(COUNTIFS(Base!$A$3:$A$5001,H$3,Base!$B$3:$B$5001,$A$131,Base!$AD$3:$AD$5001,"&lt;&gt;")=0,"",SUMIFS(Base!$AD$3:$AD$5001,Base!$A$3:$A$5001,H$3,Base!$B$3:$B$5001,$A$131)))</f>
        <v/>
      </c>
      <c r="I145" s="103" t="str">
        <f>IF(I$3="","",IF(COUNTIFS(Base!$A$3:$A$5001,I$3,Base!$B$3:$B$5001,$A$131,Base!$AD$3:$AD$5001,"&lt;&gt;")=0,"",SUMIFS(Base!$AD$3:$AD$5001,Base!$A$3:$A$5001,I$3,Base!$B$3:$B$5001,$A$131)))</f>
        <v/>
      </c>
      <c r="J145" s="103" t="str">
        <f>IF(J$3="","",IF(COUNTIFS(Base!$A$3:$A$5001,J$3,Base!$B$3:$B$5001,$A$131,Base!$AD$3:$AD$5001,"&lt;&gt;")=0,"",SUMIFS(Base!$AD$3:$AD$5001,Base!$A$3:$A$5001,J$3,Base!$B$3:$B$5001,$A$131)))</f>
        <v/>
      </c>
      <c r="K145" s="103" t="str">
        <f>IF(K$3="","",IF(COUNTIFS(Base!$A$3:$A$5001,K$3,Base!$B$3:$B$5001,$A$131,Base!$AD$3:$AD$5001,"&lt;&gt;")=0,"",SUMIFS(Base!$AD$3:$AD$5001,Base!$A$3:$A$5001,K$3,Base!$B$3:$B$5001,$A$131)))</f>
        <v/>
      </c>
      <c r="L145" s="103" t="str">
        <f>IF(L$3="","",IF(COUNTIFS(Base!$A$3:$A$5001,L$3,Base!$B$3:$B$5001,$A$131,Base!$AD$3:$AD$5001,"&lt;&gt;")=0,"",SUMIFS(Base!$AD$3:$AD$5001,Base!$A$3:$A$5001,L$3,Base!$B$3:$B$5001,$A$131)))</f>
        <v/>
      </c>
      <c r="M145" s="103" t="str">
        <f>IF(M$3="","",IF(COUNTIFS(Base!$A$3:$A$5001,M$3,Base!$B$3:$B$5001,$A$131,Base!$AD$3:$AD$5001,"&lt;&gt;")=0,"",SUMIFS(Base!$AD$3:$AD$5001,Base!$A$3:$A$5001,M$3,Base!$B$3:$B$5001,$A$131)))</f>
        <v/>
      </c>
      <c r="N145" s="103" t="str">
        <f>IF(N$3="","",IF(COUNTIFS(Base!$A$3:$A$5001,N$3,Base!$B$3:$B$5001,$A$131,Base!$AD$3:$AD$5001,"&lt;&gt;")=0,"",SUMIFS(Base!$AD$3:$AD$5001,Base!$A$3:$A$5001,N$3,Base!$B$3:$B$5001,$A$131)))</f>
        <v/>
      </c>
      <c r="O145" s="103" t="str">
        <f>IF(O$3="","",IF(COUNTIFS(Base!$A$3:$A$5001,O$3,Base!$B$3:$B$5001,$A$131,Base!$AD$3:$AD$5001,"&lt;&gt;")=0,"",SUMIFS(Base!$AD$3:$AD$5001,Base!$A$3:$A$5001,O$3,Base!$B$3:$B$5001,$A$131)))</f>
        <v/>
      </c>
      <c r="P145" s="103" t="str">
        <f>IF(P$3="","",IF(COUNTIFS(Base!$A$3:$A$5001,P$3,Base!$B$3:$B$5001,$A$131,Base!$AD$3:$AD$5001,"&lt;&gt;")=0,"",SUMIFS(Base!$AD$3:$AD$5001,Base!$A$3:$A$5001,P$3,Base!$B$3:$B$5001,$A$131)))</f>
        <v/>
      </c>
      <c r="Q145" s="103" t="str">
        <f>IF(Q$3="","",IF(COUNTIFS(Base!$A$3:$A$5001,Q$3,Base!$B$3:$B$5001,$A$131,Base!$AD$3:$AD$5001,"&lt;&gt;")=0,"",SUMIFS(Base!$AD$3:$AD$5001,Base!$A$3:$A$5001,Q$3,Base!$B$3:$B$5001,$A$131)))</f>
        <v/>
      </c>
      <c r="R145" s="103" t="str">
        <f>IF(R$3="","",IF(COUNTIFS(Base!$A$3:$A$5001,R$3,Base!$B$3:$B$5001,$A$131,Base!$AD$3:$AD$5001,"&lt;&gt;")=0,"",SUMIFS(Base!$AD$3:$AD$5001,Base!$A$3:$A$5001,R$3,Base!$B$3:$B$5001,$A$131)))</f>
        <v/>
      </c>
      <c r="S145" s="103" t="str">
        <f>IF(S$3="","",IF(COUNTIFS(Base!$A$3:$A$5001,S$3,Base!$B$3:$B$5001,$A$131,Base!$AD$3:$AD$5001,"&lt;&gt;")=0,"",SUMIFS(Base!$AD$3:$AD$5001,Base!$A$3:$A$5001,S$3,Base!$B$3:$B$5001,$A$131)))</f>
        <v/>
      </c>
      <c r="T145" s="103" t="str">
        <f>IF(T$3="","",IF(COUNTIFS(Base!$A$3:$A$5001,T$3,Base!$B$3:$B$5001,$A$131,Base!$AD$3:$AD$5001,"&lt;&gt;")=0,"",SUMIFS(Base!$AD$3:$AD$5001,Base!$A$3:$A$5001,T$3,Base!$B$3:$B$5001,$A$131)))</f>
        <v/>
      </c>
      <c r="U145" s="103" t="str">
        <f>IF(U$3="","",IF(COUNTIFS(Base!$A$3:$A$5001,U$3,Base!$B$3:$B$5001,$A$131,Base!$AD$3:$AD$5001,"&lt;&gt;")=0,"",SUMIFS(Base!$AD$3:$AD$5001,Base!$A$3:$A$5001,U$3,Base!$B$3:$B$5001,$A$131)))</f>
        <v/>
      </c>
      <c r="V145" s="103" t="str">
        <f>IF(V$3="","",IF(COUNTIFS(Base!$A$3:$A$5001,V$3,Base!$B$3:$B$5001,$A$131,Base!$AD$3:$AD$5001,"&lt;&gt;")=0,"",SUMIFS(Base!$AD$3:$AD$5001,Base!$A$3:$A$5001,V$3,Base!$B$3:$B$5001,$A$131)))</f>
        <v/>
      </c>
      <c r="W145" s="103" t="str">
        <f>IF(W$3="","",IF(COUNTIFS(Base!$A$3:$A$5001,W$3,Base!$B$3:$B$5001,$A$131,Base!$AD$3:$AD$5001,"&lt;&gt;")=0,"",SUMIFS(Base!$AD$3:$AD$5001,Base!$A$3:$A$5001,W$3,Base!$B$3:$B$5001,$A$131)))</f>
        <v/>
      </c>
      <c r="X145" s="103" t="str">
        <f>IF(X$3="","",IF(COUNTIFS(Base!$A$3:$A$5001,X$3,Base!$B$3:$B$5001,$A$131,Base!$AD$3:$AD$5001,"&lt;&gt;")=0,"",SUMIFS(Base!$AD$3:$AD$5001,Base!$A$3:$A$5001,X$3,Base!$B$3:$B$5001,$A$131)))</f>
        <v/>
      </c>
      <c r="Y145" s="103" t="str">
        <f>IF(Y$3="","",IF(COUNTIFS(Base!$A$3:$A$5001,Y$3,Base!$B$3:$B$5001,$A$131,Base!$AD$3:$AD$5001,"&lt;&gt;")=0,"",SUMIFS(Base!$AD$3:$AD$5001,Base!$A$3:$A$5001,Y$3,Base!$B$3:$B$5001,$A$131)))</f>
        <v/>
      </c>
      <c r="Z145" s="103" t="str">
        <f>IF(Z$3="","",IF(COUNTIFS(Base!$A$3:$A$5001,Z$3,Base!$B$3:$B$5001,$A$131,Base!$AD$3:$AD$5001,"&lt;&gt;")=0,"",SUMIFS(Base!$AD$3:$AD$5001,Base!$A$3:$A$5001,Z$3,Base!$B$3:$B$5001,$A$131)))</f>
        <v/>
      </c>
      <c r="AA145" s="103" t="str">
        <f>IF(AA$3="","",IF(COUNTIFS(Base!$A$3:$A$5001,AA$3,Base!$B$3:$B$5001,$A$131,Base!$AD$3:$AD$5001,"&lt;&gt;")=0,"",SUMIFS(Base!$AD$3:$AD$5001,Base!$A$3:$A$5001,AA$3,Base!$B$3:$B$5001,$A$131)))</f>
        <v/>
      </c>
      <c r="AB145" s="103" t="str">
        <f>IF(AB$3="","",IF(COUNTIFS(Base!$A$3:$A$5001,AB$3,Base!$B$3:$B$5001,$A$131,Base!$AD$3:$AD$5001,"&lt;&gt;")=0,"",SUMIFS(Base!$AD$3:$AD$5001,Base!$A$3:$A$5001,AB$3,Base!$B$3:$B$5001,$A$131)))</f>
        <v/>
      </c>
      <c r="AC145" s="103" t="str">
        <f>IF(AC$3="","",IF(COUNTIFS(Base!$A$3:$A$5001,AC$3,Base!$B$3:$B$5001,$A$131,Base!$AD$3:$AD$5001,"&lt;&gt;")=0,"",SUMIFS(Base!$AD$3:$AD$5001,Base!$A$3:$A$5001,AC$3,Base!$B$3:$B$5001,$A$131)))</f>
        <v/>
      </c>
      <c r="AD145" s="103" t="str">
        <f>IF(AD$3="","",IF(COUNTIFS(Base!$A$3:$A$5001,AD$3,Base!$B$3:$B$5001,$A$131,Base!$AD$3:$AD$5001,"&lt;&gt;")=0,"",SUMIFS(Base!$AD$3:$AD$5001,Base!$A$3:$A$5001,AD$3,Base!$B$3:$B$5001,$A$131)))</f>
        <v/>
      </c>
      <c r="AE145" s="103" t="str">
        <f>IF(AE$3="","",IF(COUNTIFS(Base!$A$3:$A$5001,AE$3,Base!$B$3:$B$5001,$A$131,Base!$AD$3:$AD$5001,"&lt;&gt;")=0,"",SUMIFS(Base!$AD$3:$AD$5001,Base!$A$3:$A$5001,AE$3,Base!$B$3:$B$5001,$A$131)))</f>
        <v/>
      </c>
      <c r="AF145" s="103" t="str">
        <f>IF(AF$3="","",IF(COUNTIFS(Base!$A$3:$A$5001,AF$3,Base!$B$3:$B$5001,$A$131,Base!$AD$3:$AD$5001,"&lt;&gt;")=0,"",SUMIFS(Base!$AD$3:$AD$5001,Base!$A$3:$A$5001,AF$3,Base!$B$3:$B$5001,$A$131)))</f>
        <v/>
      </c>
      <c r="AG145" s="103" t="str">
        <f>IF(AG$3="","",IF(COUNTIFS(Base!$A$3:$A$5001,AG$3,Base!$B$3:$B$5001,$A$131,Base!$AD$3:$AD$5001,"&lt;&gt;")=0,"",SUMIFS(Base!$AD$3:$AD$5001,Base!$A$3:$A$5001,AG$3,Base!$B$3:$B$5001,$A$131)))</f>
        <v/>
      </c>
      <c r="AH145" s="103" t="str">
        <f>IF(AH$3="","",IF(COUNTIFS(Base!$A$3:$A$5001,AH$3,Base!$B$3:$B$5001,$A$131,Base!$AD$3:$AD$5001,"&lt;&gt;")=0,"",SUMIFS(Base!$AD$3:$AD$5001,Base!$A$3:$A$5001,AH$3,Base!$B$3:$B$5001,$A$131)))</f>
        <v/>
      </c>
      <c r="AI145" s="103" t="str">
        <f>IF(AI$3="","",IF(COUNTIFS(Base!$A$3:$A$5001,AI$3,Base!$B$3:$B$5001,$A$131,Base!$AD$3:$AD$5001,"&lt;&gt;")=0,"",SUMIFS(Base!$AD$3:$AD$5001,Base!$A$3:$A$5001,AI$3,Base!$B$3:$B$5001,$A$131)))</f>
        <v/>
      </c>
      <c r="AJ145" s="104" t="str">
        <f>IF(AJ$3="","",IF(COUNTIFS(Base!$A$3:$A$5001,AJ$3,Base!$B$3:$B$5001,$A$131,Base!$AD$3:$AD$5001,"&lt;&gt;")=0,"",SUMIFS(Base!$AD$3:$AD$5001,Base!$A$3:$A$5001,AJ$3,Base!$B$3:$B$5001,$A$131)))</f>
        <v/>
      </c>
      <c r="AK145" s="100" t="str">
        <f>IF(COUNT(F145:AJ145)=0,"",SUM(F145:AJ145))</f>
        <v/>
      </c>
    </row>
    <row r="147" ht="15.75" customHeight="1">
      <c r="A147" s="117" t="inlineStr">
        <is>
          <t xml:space="preserve">ALPARGATAS</t>
        </is>
      </c>
      <c r="B147" s="105" t="inlineStr">
        <is>
          <t xml:space="preserve">IN</t>
        </is>
      </c>
      <c r="C147" s="21" t="inlineStr">
        <is>
          <t xml:space="preserve">Veículos Recebidos</t>
        </is>
      </c>
      <c r="D147" s="22" t="str">
        <f>IFERROR(1/(1/INDEX(calculos!$C$55:$K$83,MATCH("IN Veículos Recebidos",calculos!$A$55:$A$83,0),MATCH($A$147,calculos!$C$54:$K$54,0))),"")</f>
        <v/>
      </c>
      <c r="E147" s="23"/>
      <c r="F147" s="24">
        <f>IF(F$3="","",IF(COUNTIFS(Base!$A$3:$A$5001,F$3,Base!$B$3:$B$5001,$A$147,Base!$C$3:$C$5001,"&lt;&gt;")=0,"",SUMIFS(Base!$C$3:$C$5001,Base!$A$3:$A$5001,F$3,Base!$B$3:$B$5001,$A$147)))</f>
        <v>2</v>
      </c>
      <c r="G147" s="25">
        <f>IF(G$3="","",IF(COUNTIFS(Base!$A$3:$A$5001,G$3,Base!$B$3:$B$5001,$A$147,Base!$C$3:$C$5001,"&lt;&gt;")=0,"",SUMIFS(Base!$C$3:$C$5001,Base!$A$3:$A$5001,G$3,Base!$B$3:$B$5001,$A$147)))</f>
        <v>4</v>
      </c>
      <c r="H147" s="25">
        <f>IF(H$3="","",IF(COUNTIFS(Base!$A$3:$A$5001,H$3,Base!$B$3:$B$5001,$A$147,Base!$C$3:$C$5001,"&lt;&gt;")=0,"",SUMIFS(Base!$C$3:$C$5001,Base!$A$3:$A$5001,H$3,Base!$B$3:$B$5001,$A$147)))</f>
        <v>4</v>
      </c>
      <c r="I147" s="25">
        <f>IF(I$3="","",IF(COUNTIFS(Base!$A$3:$A$5001,I$3,Base!$B$3:$B$5001,$A$147,Base!$C$3:$C$5001,"&lt;&gt;")=0,"",SUMIFS(Base!$C$3:$C$5001,Base!$A$3:$A$5001,I$3,Base!$B$3:$B$5001,$A$147)))</f>
        <v>2</v>
      </c>
      <c r="J147" s="25">
        <f>IF(J$3="","",IF(COUNTIFS(Base!$A$3:$A$5001,J$3,Base!$B$3:$B$5001,$A$147,Base!$C$3:$C$5001,"&lt;&gt;")=0,"",SUMIFS(Base!$C$3:$C$5001,Base!$A$3:$A$5001,J$3,Base!$B$3:$B$5001,$A$147)))</f>
        <v>3</v>
      </c>
      <c r="K147" s="25" t="str">
        <f>IF(K$3="","",IF(COUNTIFS(Base!$A$3:$A$5001,K$3,Base!$B$3:$B$5001,$A$147,Base!$C$3:$C$5001,"&lt;&gt;")=0,"",SUMIFS(Base!$C$3:$C$5001,Base!$A$3:$A$5001,K$3,Base!$B$3:$B$5001,$A$147)))</f>
        <v/>
      </c>
      <c r="L147" s="25">
        <f>IF(L$3="","",IF(COUNTIFS(Base!$A$3:$A$5001,L$3,Base!$B$3:$B$5001,$A$147,Base!$C$3:$C$5001,"&lt;&gt;")=0,"",SUMIFS(Base!$C$3:$C$5001,Base!$A$3:$A$5001,L$3,Base!$B$3:$B$5001,$A$147)))</f>
        <v>3</v>
      </c>
      <c r="M147" s="25">
        <f>IF(M$3="","",IF(COUNTIFS(Base!$A$3:$A$5001,M$3,Base!$B$3:$B$5001,$A$147,Base!$C$3:$C$5001,"&lt;&gt;")=0,"",SUMIFS(Base!$C$3:$C$5001,Base!$A$3:$A$5001,M$3,Base!$B$3:$B$5001,$A$147)))</f>
        <v>8</v>
      </c>
      <c r="N147" s="25">
        <f>IF(N$3="","",IF(COUNTIFS(Base!$A$3:$A$5001,N$3,Base!$B$3:$B$5001,$A$147,Base!$C$3:$C$5001,"&lt;&gt;")=0,"",SUMIFS(Base!$C$3:$C$5001,Base!$A$3:$A$5001,N$3,Base!$B$3:$B$5001,$A$147)))</f>
        <v>5</v>
      </c>
      <c r="O147" s="25">
        <f>IF(O$3="","",IF(COUNTIFS(Base!$A$3:$A$5001,O$3,Base!$B$3:$B$5001,$A$147,Base!$C$3:$C$5001,"&lt;&gt;")=0,"",SUMIFS(Base!$C$3:$C$5001,Base!$A$3:$A$5001,O$3,Base!$B$3:$B$5001,$A$147)))</f>
        <v>6</v>
      </c>
      <c r="P147" s="25">
        <f>IF(P$3="","",IF(COUNTIFS(Base!$A$3:$A$5001,P$3,Base!$B$3:$B$5001,$A$147,Base!$C$3:$C$5001,"&lt;&gt;")=0,"",SUMIFS(Base!$C$3:$C$5001,Base!$A$3:$A$5001,P$3,Base!$B$3:$B$5001,$A$147)))</f>
        <v>2</v>
      </c>
      <c r="Q147" s="25">
        <f>IF(Q$3="","",IF(COUNTIFS(Base!$A$3:$A$5001,Q$3,Base!$B$3:$B$5001,$A$147,Base!$C$3:$C$5001,"&lt;&gt;")=0,"",SUMIFS(Base!$C$3:$C$5001,Base!$A$3:$A$5001,Q$3,Base!$B$3:$B$5001,$A$147)))</f>
        <v>5</v>
      </c>
      <c r="R147" s="25" t="str">
        <f>IF(R$3="","",IF(COUNTIFS(Base!$A$3:$A$5001,R$3,Base!$B$3:$B$5001,$A$147,Base!$C$3:$C$5001,"&lt;&gt;")=0,"",SUMIFS(Base!$C$3:$C$5001,Base!$A$3:$A$5001,R$3,Base!$B$3:$B$5001,$A$147)))</f>
        <v/>
      </c>
      <c r="S147" s="25">
        <f>IF(S$3="","",IF(COUNTIFS(Base!$A$3:$A$5001,S$3,Base!$B$3:$B$5001,$A$147,Base!$C$3:$C$5001,"&lt;&gt;")=0,"",SUMIFS(Base!$C$3:$C$5001,Base!$A$3:$A$5001,S$3,Base!$B$3:$B$5001,$A$147)))</f>
        <v>4</v>
      </c>
      <c r="T147" s="25">
        <f>IF(T$3="","",IF(COUNTIFS(Base!$A$3:$A$5001,T$3,Base!$B$3:$B$5001,$A$147,Base!$C$3:$C$5001,"&lt;&gt;")=0,"",SUMIFS(Base!$C$3:$C$5001,Base!$A$3:$A$5001,T$3,Base!$B$3:$B$5001,$A$147)))</f>
        <v>3</v>
      </c>
      <c r="U147" s="25">
        <f>IF(U$3="","",IF(COUNTIFS(Base!$A$3:$A$5001,U$3,Base!$B$3:$B$5001,$A$147,Base!$C$3:$C$5001,"&lt;&gt;")=0,"",SUMIFS(Base!$C$3:$C$5001,Base!$A$3:$A$5001,U$3,Base!$B$3:$B$5001,$A$147)))</f>
        <v>5</v>
      </c>
      <c r="V147" s="25">
        <f>IF(V$3="","",IF(COUNTIFS(Base!$A$3:$A$5001,V$3,Base!$B$3:$B$5001,$A$147,Base!$C$3:$C$5001,"&lt;&gt;")=0,"",SUMIFS(Base!$C$3:$C$5001,Base!$A$3:$A$5001,V$3,Base!$B$3:$B$5001,$A$147)))</f>
        <v>8</v>
      </c>
      <c r="W147" s="25">
        <f>IF(W$3="","",IF(COUNTIFS(Base!$A$3:$A$5001,W$3,Base!$B$3:$B$5001,$A$147,Base!$C$3:$C$5001,"&lt;&gt;")=0,"",SUMIFS(Base!$C$3:$C$5001,Base!$A$3:$A$5001,W$3,Base!$B$3:$B$5001,$A$147)))</f>
        <v>4</v>
      </c>
      <c r="X147" s="25">
        <f>IF(X$3="","",IF(COUNTIFS(Base!$A$3:$A$5001,X$3,Base!$B$3:$B$5001,$A$147,Base!$C$3:$C$5001,"&lt;&gt;")=0,"",SUMIFS(Base!$C$3:$C$5001,Base!$A$3:$A$5001,X$3,Base!$B$3:$B$5001,$A$147)))</f>
        <v>5</v>
      </c>
      <c r="Y147" s="25" t="str">
        <f>IF(Y$3="","",IF(COUNTIFS(Base!$A$3:$A$5001,Y$3,Base!$B$3:$B$5001,$A$147,Base!$C$3:$C$5001,"&lt;&gt;")=0,"",SUMIFS(Base!$C$3:$C$5001,Base!$A$3:$A$5001,Y$3,Base!$B$3:$B$5001,$A$147)))</f>
        <v/>
      </c>
      <c r="Z147" s="25">
        <f>IF(Z$3="","",IF(COUNTIFS(Base!$A$3:$A$5001,Z$3,Base!$B$3:$B$5001,$A$147,Base!$C$3:$C$5001,"&lt;&gt;")=0,"",SUMIFS(Base!$C$3:$C$5001,Base!$A$3:$A$5001,Z$3,Base!$B$3:$B$5001,$A$147)))</f>
        <v>5</v>
      </c>
      <c r="AA147" s="25">
        <f>IF(AA$3="","",IF(COUNTIFS(Base!$A$3:$A$5001,AA$3,Base!$B$3:$B$5001,$A$147,Base!$C$3:$C$5001,"&lt;&gt;")=0,"",SUMIFS(Base!$C$3:$C$5001,Base!$A$3:$A$5001,AA$3,Base!$B$3:$B$5001,$A$147)))</f>
        <v>4</v>
      </c>
      <c r="AB147" s="25">
        <f>IF(AB$3="","",IF(COUNTIFS(Base!$A$3:$A$5001,AB$3,Base!$B$3:$B$5001,$A$147,Base!$C$3:$C$5001,"&lt;&gt;")=0,"",SUMIFS(Base!$C$3:$C$5001,Base!$A$3:$A$5001,AB$3,Base!$B$3:$B$5001,$A$147)))</f>
        <v>5</v>
      </c>
      <c r="AC147" s="25">
        <f>IF(AC$3="","",IF(COUNTIFS(Base!$A$3:$A$5001,AC$3,Base!$B$3:$B$5001,$A$147,Base!$C$3:$C$5001,"&lt;&gt;")=0,"",SUMIFS(Base!$C$3:$C$5001,Base!$A$3:$A$5001,AC$3,Base!$B$3:$B$5001,$A$147)))</f>
        <v>4</v>
      </c>
      <c r="AD147" s="25">
        <f>IF(AD$3="","",IF(COUNTIFS(Base!$A$3:$A$5001,AD$3,Base!$B$3:$B$5001,$A$147,Base!$C$3:$C$5001,"&lt;&gt;")=0,"",SUMIFS(Base!$C$3:$C$5001,Base!$A$3:$A$5001,AD$3,Base!$B$3:$B$5001,$A$147)))</f>
        <v>6</v>
      </c>
      <c r="AE147" s="25">
        <f>IF(AE$3="","",IF(COUNTIFS(Base!$A$3:$A$5001,AE$3,Base!$B$3:$B$5001,$A$147,Base!$C$3:$C$5001,"&lt;&gt;")=0,"",SUMIFS(Base!$C$3:$C$5001,Base!$A$3:$A$5001,AE$3,Base!$B$3:$B$5001,$A$147)))</f>
        <v>6</v>
      </c>
      <c r="AF147" s="25" t="str">
        <f>IF(AF$3="","",IF(COUNTIFS(Base!$A$3:$A$5001,AF$3,Base!$B$3:$B$5001,$A$147,Base!$C$3:$C$5001,"&lt;&gt;")=0,"",SUMIFS(Base!$C$3:$C$5001,Base!$A$3:$A$5001,AF$3,Base!$B$3:$B$5001,$A$147)))</f>
        <v/>
      </c>
      <c r="AG147" s="25">
        <f>IF(AG$3="","",IF(COUNTIFS(Base!$A$3:$A$5001,AG$3,Base!$B$3:$B$5001,$A$147,Base!$C$3:$C$5001,"&lt;&gt;")=0,"",SUMIFS(Base!$C$3:$C$5001,Base!$A$3:$A$5001,AG$3,Base!$B$3:$B$5001,$A$147)))</f>
        <v>2</v>
      </c>
      <c r="AH147" s="25">
        <f>IF(AH$3="","",IF(COUNTIFS(Base!$A$3:$A$5001,AH$3,Base!$B$3:$B$5001,$A$147,Base!$C$3:$C$5001,"&lt;&gt;")=0,"",SUMIFS(Base!$C$3:$C$5001,Base!$A$3:$A$5001,AH$3,Base!$B$3:$B$5001,$A$147)))</f>
        <v>8</v>
      </c>
      <c r="AI147" s="25" t="str">
        <f>IF(AI$3="","",IF(COUNTIFS(Base!$A$3:$A$5001,AI$3,Base!$B$3:$B$5001,$A$147,Base!$C$3:$C$5001,"&lt;&gt;")=0,"",SUMIFS(Base!$C$3:$C$5001,Base!$A$3:$A$5001,AI$3,Base!$B$3:$B$5001,$A$147)))</f>
        <v/>
      </c>
      <c r="AJ147" s="26" t="str">
        <f>IF(AJ$3="","",IF(COUNTIFS(Base!$A$3:$A$5001,AJ$3,Base!$B$3:$B$5001,$A$147,Base!$C$3:$C$5001,"&lt;&gt;")=0,"",SUMIFS(Base!$C$3:$C$5001,Base!$A$3:$A$5001,AJ$3,Base!$B$3:$B$5001,$A$147)))</f>
        <v/>
      </c>
      <c r="AK147" s="27">
        <f>IF(COUNT(F147:AJ147)=0,"",SUM(F147:AJ147))</f>
        <v>113</v>
      </c>
    </row>
    <row r="148" ht="15.75" customHeight="1">
      <c r="A148" s="118"/>
      <c r="B148" s="107"/>
      <c r="C148" s="35" t="inlineStr">
        <is>
          <t xml:space="preserve">Caixas Movimentadas</t>
        </is>
      </c>
      <c r="D148" s="469" t="str">
        <f>IFERROR(1/(1/INDEX(calculos!$C$55:$K$83,MATCH("IN Caixas Movimentadas",calculos!$A$55:$A$83,0),MATCH($A$147,calculos!$C$54:$K$54,0))),"")</f>
        <v/>
      </c>
      <c r="E148" s="37"/>
      <c r="F148" s="470">
        <f>IF(F$3="","",IF(COUNTIFS(Base!$A$3:$A$5001,F$3,Base!$B$3:$B$5001,$A$147,Base!$F$3:$F$5001,"&lt;&gt;")=0,"",SUMIFS(Base!$F$3:$F$5001,Base!$A$3:$A$5001,F$3,Base!$B$3:$B$5001,$A$147)))</f>
        <v>2396</v>
      </c>
      <c r="G148" s="471">
        <f>IF(G$3="","",IF(COUNTIFS(Base!$A$3:$A$5001,G$3,Base!$B$3:$B$5001,$A$147,Base!$F$3:$F$5001,"&lt;&gt;")=0,"",SUMIFS(Base!$F$3:$F$5001,Base!$A$3:$A$5001,G$3,Base!$B$3:$B$5001,$A$147)))</f>
        <v>2271</v>
      </c>
      <c r="H148" s="471">
        <f>IF(H$3="","",IF(COUNTIFS(Base!$A$3:$A$5001,H$3,Base!$B$3:$B$5001,$A$147,Base!$F$3:$F$5001,"&lt;&gt;")=0,"",SUMIFS(Base!$F$3:$F$5001,Base!$A$3:$A$5001,H$3,Base!$B$3:$B$5001,$A$147)))</f>
        <v>320</v>
      </c>
      <c r="I148" s="471">
        <f>IF(I$3="","",IF(COUNTIFS(Base!$A$3:$A$5001,I$3,Base!$B$3:$B$5001,$A$147,Base!$F$3:$F$5001,"&lt;&gt;")=0,"",SUMIFS(Base!$F$3:$F$5001,Base!$A$3:$A$5001,I$3,Base!$B$3:$B$5001,$A$147)))</f>
        <v>429</v>
      </c>
      <c r="J148" s="471">
        <f>IF(J$3="","",IF(COUNTIFS(Base!$A$3:$A$5001,J$3,Base!$B$3:$B$5001,$A$147,Base!$F$3:$F$5001,"&lt;&gt;")=0,"",SUMIFS(Base!$F$3:$F$5001,Base!$A$3:$A$5001,J$3,Base!$B$3:$B$5001,$A$147)))</f>
        <v>1105</v>
      </c>
      <c r="K148" s="471" t="str">
        <f>IF(K$3="","",IF(COUNTIFS(Base!$A$3:$A$5001,K$3,Base!$B$3:$B$5001,$A$147,Base!$F$3:$F$5001,"&lt;&gt;")=0,"",SUMIFS(Base!$F$3:$F$5001,Base!$A$3:$A$5001,K$3,Base!$B$3:$B$5001,$A$147)))</f>
        <v/>
      </c>
      <c r="L148" s="471">
        <f>IF(L$3="","",IF(COUNTIFS(Base!$A$3:$A$5001,L$3,Base!$B$3:$B$5001,$A$147,Base!$F$3:$F$5001,"&lt;&gt;")=0,"",SUMIFS(Base!$F$3:$F$5001,Base!$A$3:$A$5001,L$3,Base!$B$3:$B$5001,$A$147)))</f>
        <v>1536</v>
      </c>
      <c r="M148" s="471">
        <f>IF(M$3="","",IF(COUNTIFS(Base!$A$3:$A$5001,M$3,Base!$B$3:$B$5001,$A$147,Base!$F$3:$F$5001,"&lt;&gt;")=0,"",SUMIFS(Base!$F$3:$F$5001,Base!$A$3:$A$5001,M$3,Base!$B$3:$B$5001,$A$147)))</f>
        <v>342</v>
      </c>
      <c r="N148" s="471">
        <f>IF(N$3="","",IF(COUNTIFS(Base!$A$3:$A$5001,N$3,Base!$B$3:$B$5001,$A$147,Base!$F$3:$F$5001,"&lt;&gt;")=0,"",SUMIFS(Base!$F$3:$F$5001,Base!$A$3:$A$5001,N$3,Base!$B$3:$B$5001,$A$147)))</f>
        <v>2132</v>
      </c>
      <c r="O148" s="471">
        <f>IF(O$3="","",IF(COUNTIFS(Base!$A$3:$A$5001,O$3,Base!$B$3:$B$5001,$A$147,Base!$F$3:$F$5001,"&lt;&gt;")=0,"",SUMIFS(Base!$F$3:$F$5001,Base!$A$3:$A$5001,O$3,Base!$B$3:$B$5001,$A$147)))</f>
        <v>2199</v>
      </c>
      <c r="P148" s="471">
        <f>IF(P$3="","",IF(COUNTIFS(Base!$A$3:$A$5001,P$3,Base!$B$3:$B$5001,$A$147,Base!$F$3:$F$5001,"&lt;&gt;")=0,"",SUMIFS(Base!$F$3:$F$5001,Base!$A$3:$A$5001,P$3,Base!$B$3:$B$5001,$A$147)))</f>
        <v>2025</v>
      </c>
      <c r="Q148" s="471">
        <f>IF(Q$3="","",IF(COUNTIFS(Base!$A$3:$A$5001,Q$3,Base!$B$3:$B$5001,$A$147,Base!$F$3:$F$5001,"&lt;&gt;")=0,"",SUMIFS(Base!$F$3:$F$5001,Base!$A$3:$A$5001,Q$3,Base!$B$3:$B$5001,$A$147)))</f>
        <v>312</v>
      </c>
      <c r="R148" s="471" t="str">
        <f>IF(R$3="","",IF(COUNTIFS(Base!$A$3:$A$5001,R$3,Base!$B$3:$B$5001,$A$147,Base!$F$3:$F$5001,"&lt;&gt;")=0,"",SUMIFS(Base!$F$3:$F$5001,Base!$A$3:$A$5001,R$3,Base!$B$3:$B$5001,$A$147)))</f>
        <v/>
      </c>
      <c r="S148" s="471">
        <f>IF(S$3="","",IF(COUNTIFS(Base!$A$3:$A$5001,S$3,Base!$B$3:$B$5001,$A$147,Base!$F$3:$F$5001,"&lt;&gt;")=0,"",SUMIFS(Base!$F$3:$F$5001,Base!$A$3:$A$5001,S$3,Base!$B$3:$B$5001,$A$147)))</f>
        <v>669</v>
      </c>
      <c r="T148" s="471">
        <f>IF(T$3="","",IF(COUNTIFS(Base!$A$3:$A$5001,T$3,Base!$B$3:$B$5001,$A$147,Base!$F$3:$F$5001,"&lt;&gt;")=0,"",SUMIFS(Base!$F$3:$F$5001,Base!$A$3:$A$5001,T$3,Base!$B$3:$B$5001,$A$147)))</f>
        <v>2002</v>
      </c>
      <c r="U148" s="471">
        <f>IF(U$3="","",IF(COUNTIFS(Base!$A$3:$A$5001,U$3,Base!$B$3:$B$5001,$A$147,Base!$F$3:$F$5001,"&lt;&gt;")=0,"",SUMIFS(Base!$F$3:$F$5001,Base!$A$3:$A$5001,U$3,Base!$B$3:$B$5001,$A$147)))</f>
        <v>1124</v>
      </c>
      <c r="V148" s="471">
        <f>IF(V$3="","",IF(COUNTIFS(Base!$A$3:$A$5001,V$3,Base!$B$3:$B$5001,$A$147,Base!$F$3:$F$5001,"&lt;&gt;")=0,"",SUMIFS(Base!$F$3:$F$5001,Base!$A$3:$A$5001,V$3,Base!$B$3:$B$5001,$A$147)))</f>
        <v>704</v>
      </c>
      <c r="W148" s="471">
        <f>IF(W$3="","",IF(COUNTIFS(Base!$A$3:$A$5001,W$3,Base!$B$3:$B$5001,$A$147,Base!$F$3:$F$5001,"&lt;&gt;")=0,"",SUMIFS(Base!$F$3:$F$5001,Base!$A$3:$A$5001,W$3,Base!$B$3:$B$5001,$A$147)))</f>
        <v>2074</v>
      </c>
      <c r="X148" s="471">
        <f>IF(X$3="","",IF(COUNTIFS(Base!$A$3:$A$5001,X$3,Base!$B$3:$B$5001,$A$147,Base!$F$3:$F$5001,"&lt;&gt;")=0,"",SUMIFS(Base!$F$3:$F$5001,Base!$A$3:$A$5001,X$3,Base!$B$3:$B$5001,$A$147)))</f>
        <v>1269</v>
      </c>
      <c r="Y148" s="471" t="str">
        <f>IF(Y$3="","",IF(COUNTIFS(Base!$A$3:$A$5001,Y$3,Base!$B$3:$B$5001,$A$147,Base!$F$3:$F$5001,"&lt;&gt;")=0,"",SUMIFS(Base!$F$3:$F$5001,Base!$A$3:$A$5001,Y$3,Base!$B$3:$B$5001,$A$147)))</f>
        <v/>
      </c>
      <c r="Z148" s="471">
        <f>IF(Z$3="","",IF(COUNTIFS(Base!$A$3:$A$5001,Z$3,Base!$B$3:$B$5001,$A$147,Base!$F$3:$F$5001,"&lt;&gt;")=0,"",SUMIFS(Base!$F$3:$F$5001,Base!$A$3:$A$5001,Z$3,Base!$B$3:$B$5001,$A$147)))</f>
        <v>1015</v>
      </c>
      <c r="AA148" s="471">
        <f>IF(AA$3="","",IF(COUNTIFS(Base!$A$3:$A$5001,AA$3,Base!$B$3:$B$5001,$A$147,Base!$F$3:$F$5001,"&lt;&gt;")=0,"",SUMIFS(Base!$F$3:$F$5001,Base!$A$3:$A$5001,AA$3,Base!$B$3:$B$5001,$A$147)))</f>
        <v>524</v>
      </c>
      <c r="AB148" s="471">
        <f>IF(AB$3="","",IF(COUNTIFS(Base!$A$3:$A$5001,AB$3,Base!$B$3:$B$5001,$A$147,Base!$F$3:$F$5001,"&lt;&gt;")=0,"",SUMIFS(Base!$F$3:$F$5001,Base!$A$3:$A$5001,AB$3,Base!$B$3:$B$5001,$A$147)))</f>
        <v>1148</v>
      </c>
      <c r="AC148" s="471">
        <f>IF(AC$3="","",IF(COUNTIFS(Base!$A$3:$A$5001,AC$3,Base!$B$3:$B$5001,$A$147,Base!$F$3:$F$5001,"&lt;&gt;")=0,"",SUMIFS(Base!$F$3:$F$5001,Base!$A$3:$A$5001,AC$3,Base!$B$3:$B$5001,$A$147)))</f>
        <v>582</v>
      </c>
      <c r="AD148" s="471">
        <f>IF(AD$3="","",IF(COUNTIFS(Base!$A$3:$A$5001,AD$3,Base!$B$3:$B$5001,$A$147,Base!$F$3:$F$5001,"&lt;&gt;")=0,"",SUMIFS(Base!$F$3:$F$5001,Base!$A$3:$A$5001,AD$3,Base!$B$3:$B$5001,$A$147)))</f>
        <v>1724</v>
      </c>
      <c r="AE148" s="471">
        <f>IF(AE$3="","",IF(COUNTIFS(Base!$A$3:$A$5001,AE$3,Base!$B$3:$B$5001,$A$147,Base!$F$3:$F$5001,"&lt;&gt;")=0,"",SUMIFS(Base!$F$3:$F$5001,Base!$A$3:$A$5001,AE$3,Base!$B$3:$B$5001,$A$147)))</f>
        <v>1203</v>
      </c>
      <c r="AF148" s="471" t="str">
        <f>IF(AF$3="","",IF(COUNTIFS(Base!$A$3:$A$5001,AF$3,Base!$B$3:$B$5001,$A$147,Base!$F$3:$F$5001,"&lt;&gt;")=0,"",SUMIFS(Base!$F$3:$F$5001,Base!$A$3:$A$5001,AF$3,Base!$B$3:$B$5001,$A$147)))</f>
        <v/>
      </c>
      <c r="AG148" s="471">
        <f>IF(AG$3="","",IF(COUNTIFS(Base!$A$3:$A$5001,AG$3,Base!$B$3:$B$5001,$A$147,Base!$F$3:$F$5001,"&lt;&gt;")=0,"",SUMIFS(Base!$F$3:$F$5001,Base!$A$3:$A$5001,AG$3,Base!$B$3:$B$5001,$A$147)))</f>
        <v>2222</v>
      </c>
      <c r="AH148" s="471">
        <f>IF(AH$3="","",IF(COUNTIFS(Base!$A$3:$A$5001,AH$3,Base!$B$3:$B$5001,$A$147,Base!$F$3:$F$5001,"&lt;&gt;")=0,"",SUMIFS(Base!$F$3:$F$5001,Base!$A$3:$A$5001,AH$3,Base!$B$3:$B$5001,$A$147)))</f>
        <v>1957</v>
      </c>
      <c r="AI148" s="471" t="str">
        <f>IF(AI$3="","",IF(COUNTIFS(Base!$A$3:$A$5001,AI$3,Base!$B$3:$B$5001,$A$147,Base!$F$3:$F$5001,"&lt;&gt;")=0,"",SUMIFS(Base!$F$3:$F$5001,Base!$A$3:$A$5001,AI$3,Base!$B$3:$B$5001,$A$147)))</f>
        <v/>
      </c>
      <c r="AJ148" s="472" t="str">
        <f>IF(AJ$3="","",IF(COUNTIFS(Base!$A$3:$A$5001,AJ$3,Base!$B$3:$B$5001,$A$147,Base!$F$3:$F$5001,"&lt;&gt;")=0,"",SUMIFS(Base!$F$3:$F$5001,Base!$A$3:$A$5001,AJ$3,Base!$B$3:$B$5001,$A$147)))</f>
        <v/>
      </c>
      <c r="AK148" s="469">
        <f>IF(COUNT(F148:AJ148)=0,"",SUM(F148:AJ148))</f>
        <v>33284</v>
      </c>
    </row>
    <row r="149" ht="15.75" customHeight="1">
      <c r="A149" s="118"/>
      <c r="B149" s="108" t="inlineStr">
        <is>
          <t xml:space="preserve">OUT</t>
        </is>
      </c>
      <c r="C149" s="41" t="inlineStr">
        <is>
          <t xml:space="preserve">Veículos Expedidos</t>
        </is>
      </c>
      <c r="D149" s="42" t="str">
        <f>IFERROR(1/(1/INDEX(calculos!$C$55:$K$83,MATCH("OUT Veículos Expedidos",calculos!$A$55:$A$83,0),MATCH($A$147,calculos!$C$54:$K$54,0))),"")</f>
        <v/>
      </c>
      <c r="E149" s="43"/>
      <c r="F149" s="44">
        <f>IF(F$3="","",IF(COUNTIFS(Base!$A$3:$A$5001,F$3,Base!$B$3:$B$5001,$A$147,Base!$L$3:$L$5001,"&lt;&gt;")=0,"",SUMIFS(Base!$L$3:$L$5001,Base!$A$3:$A$5001,F$3,Base!$B$3:$B$5001,$A$147)))</f>
        <v>10</v>
      </c>
      <c r="G149" s="45">
        <f>IF(G$3="","",IF(COUNTIFS(Base!$A$3:$A$5001,G$3,Base!$B$3:$B$5001,$A$147,Base!$L$3:$L$5001,"&lt;&gt;")=0,"",SUMIFS(Base!$L$3:$L$5001,Base!$A$3:$A$5001,G$3,Base!$B$3:$B$5001,$A$147)))</f>
        <v>9</v>
      </c>
      <c r="H149" s="45">
        <f>IF(H$3="","",IF(COUNTIFS(Base!$A$3:$A$5001,H$3,Base!$B$3:$B$5001,$A$147,Base!$L$3:$L$5001,"&lt;&gt;")=0,"",SUMIFS(Base!$L$3:$L$5001,Base!$A$3:$A$5001,H$3,Base!$B$3:$B$5001,$A$147)))</f>
        <v>10</v>
      </c>
      <c r="I149" s="45">
        <f>IF(I$3="","",IF(COUNTIFS(Base!$A$3:$A$5001,I$3,Base!$B$3:$B$5001,$A$147,Base!$L$3:$L$5001,"&lt;&gt;")=0,"",SUMIFS(Base!$L$3:$L$5001,Base!$A$3:$A$5001,I$3,Base!$B$3:$B$5001,$A$147)))</f>
        <v>9</v>
      </c>
      <c r="J149" s="45">
        <f>IF(J$3="","",IF(COUNTIFS(Base!$A$3:$A$5001,J$3,Base!$B$3:$B$5001,$A$147,Base!$L$3:$L$5001,"&lt;&gt;")=0,"",SUMIFS(Base!$L$3:$L$5001,Base!$A$3:$A$5001,J$3,Base!$B$3:$B$5001,$A$147)))</f>
        <v>7</v>
      </c>
      <c r="K149" s="45" t="str">
        <f>IF(K$3="","",IF(COUNTIFS(Base!$A$3:$A$5001,K$3,Base!$B$3:$B$5001,$A$147,Base!$L$3:$L$5001,"&lt;&gt;")=0,"",SUMIFS(Base!$L$3:$L$5001,Base!$A$3:$A$5001,K$3,Base!$B$3:$B$5001,$A$147)))</f>
        <v/>
      </c>
      <c r="L149" s="45">
        <f>IF(L$3="","",IF(COUNTIFS(Base!$A$3:$A$5001,L$3,Base!$B$3:$B$5001,$A$147,Base!$L$3:$L$5001,"&lt;&gt;")=0,"",SUMIFS(Base!$L$3:$L$5001,Base!$A$3:$A$5001,L$3,Base!$B$3:$B$5001,$A$147)))</f>
        <v>4</v>
      </c>
      <c r="M149" s="45">
        <f>IF(M$3="","",IF(COUNTIFS(Base!$A$3:$A$5001,M$3,Base!$B$3:$B$5001,$A$147,Base!$L$3:$L$5001,"&lt;&gt;")=0,"",SUMIFS(Base!$L$3:$L$5001,Base!$A$3:$A$5001,M$3,Base!$B$3:$B$5001,$A$147)))</f>
        <v>3</v>
      </c>
      <c r="N149" s="45">
        <f>IF(N$3="","",IF(COUNTIFS(Base!$A$3:$A$5001,N$3,Base!$B$3:$B$5001,$A$147,Base!$L$3:$L$5001,"&lt;&gt;")=0,"",SUMIFS(Base!$L$3:$L$5001,Base!$A$3:$A$5001,N$3,Base!$B$3:$B$5001,$A$147)))</f>
        <v>3</v>
      </c>
      <c r="O149" s="45">
        <f>IF(O$3="","",IF(COUNTIFS(Base!$A$3:$A$5001,O$3,Base!$B$3:$B$5001,$A$147,Base!$L$3:$L$5001,"&lt;&gt;")=0,"",SUMIFS(Base!$L$3:$L$5001,Base!$A$3:$A$5001,O$3,Base!$B$3:$B$5001,$A$147)))</f>
        <v>8</v>
      </c>
      <c r="P149" s="45">
        <f>IF(P$3="","",IF(COUNTIFS(Base!$A$3:$A$5001,P$3,Base!$B$3:$B$5001,$A$147,Base!$L$3:$L$5001,"&lt;&gt;")=0,"",SUMIFS(Base!$L$3:$L$5001,Base!$A$3:$A$5001,P$3,Base!$B$3:$B$5001,$A$147)))</f>
        <v>6</v>
      </c>
      <c r="Q149" s="45">
        <f>IF(Q$3="","",IF(COUNTIFS(Base!$A$3:$A$5001,Q$3,Base!$B$3:$B$5001,$A$147,Base!$L$3:$L$5001,"&lt;&gt;")=0,"",SUMIFS(Base!$L$3:$L$5001,Base!$A$3:$A$5001,Q$3,Base!$B$3:$B$5001,$A$147)))</f>
        <v>9</v>
      </c>
      <c r="R149" s="45" t="str">
        <f>IF(R$3="","",IF(COUNTIFS(Base!$A$3:$A$5001,R$3,Base!$B$3:$B$5001,$A$147,Base!$L$3:$L$5001,"&lt;&gt;")=0,"",SUMIFS(Base!$L$3:$L$5001,Base!$A$3:$A$5001,R$3,Base!$B$3:$B$5001,$A$147)))</f>
        <v/>
      </c>
      <c r="S149" s="45">
        <f>IF(S$3="","",IF(COUNTIFS(Base!$A$3:$A$5001,S$3,Base!$B$3:$B$5001,$A$147,Base!$L$3:$L$5001,"&lt;&gt;")=0,"",SUMIFS(Base!$L$3:$L$5001,Base!$A$3:$A$5001,S$3,Base!$B$3:$B$5001,$A$147)))</f>
        <v>3</v>
      </c>
      <c r="T149" s="45">
        <f>IF(T$3="","",IF(COUNTIFS(Base!$A$3:$A$5001,T$3,Base!$B$3:$B$5001,$A$147,Base!$L$3:$L$5001,"&lt;&gt;")=0,"",SUMIFS(Base!$L$3:$L$5001,Base!$A$3:$A$5001,T$3,Base!$B$3:$B$5001,$A$147)))</f>
        <v>9</v>
      </c>
      <c r="U149" s="45">
        <f>IF(U$3="","",IF(COUNTIFS(Base!$A$3:$A$5001,U$3,Base!$B$3:$B$5001,$A$147,Base!$L$3:$L$5001,"&lt;&gt;")=0,"",SUMIFS(Base!$L$3:$L$5001,Base!$A$3:$A$5001,U$3,Base!$B$3:$B$5001,$A$147)))</f>
        <v>6</v>
      </c>
      <c r="V149" s="45">
        <f>IF(V$3="","",IF(COUNTIFS(Base!$A$3:$A$5001,V$3,Base!$B$3:$B$5001,$A$147,Base!$L$3:$L$5001,"&lt;&gt;")=0,"",SUMIFS(Base!$L$3:$L$5001,Base!$A$3:$A$5001,V$3,Base!$B$3:$B$5001,$A$147)))</f>
        <v>2</v>
      </c>
      <c r="W149" s="45">
        <f>IF(W$3="","",IF(COUNTIFS(Base!$A$3:$A$5001,W$3,Base!$B$3:$B$5001,$A$147,Base!$L$3:$L$5001,"&lt;&gt;")=0,"",SUMIFS(Base!$L$3:$L$5001,Base!$A$3:$A$5001,W$3,Base!$B$3:$B$5001,$A$147)))</f>
        <v>10</v>
      </c>
      <c r="X149" s="45">
        <f>IF(X$3="","",IF(COUNTIFS(Base!$A$3:$A$5001,X$3,Base!$B$3:$B$5001,$A$147,Base!$L$3:$L$5001,"&lt;&gt;")=0,"",SUMIFS(Base!$L$3:$L$5001,Base!$A$3:$A$5001,X$3,Base!$B$3:$B$5001,$A$147)))</f>
        <v>6</v>
      </c>
      <c r="Y149" s="45" t="str">
        <f>IF(Y$3="","",IF(COUNTIFS(Base!$A$3:$A$5001,Y$3,Base!$B$3:$B$5001,$A$147,Base!$L$3:$L$5001,"&lt;&gt;")=0,"",SUMIFS(Base!$L$3:$L$5001,Base!$A$3:$A$5001,Y$3,Base!$B$3:$B$5001,$A$147)))</f>
        <v/>
      </c>
      <c r="Z149" s="45">
        <f>IF(Z$3="","",IF(COUNTIFS(Base!$A$3:$A$5001,Z$3,Base!$B$3:$B$5001,$A$147,Base!$L$3:$L$5001,"&lt;&gt;")=0,"",SUMIFS(Base!$L$3:$L$5001,Base!$A$3:$A$5001,Z$3,Base!$B$3:$B$5001,$A$147)))</f>
        <v>7</v>
      </c>
      <c r="AA149" s="45">
        <f>IF(AA$3="","",IF(COUNTIFS(Base!$A$3:$A$5001,AA$3,Base!$B$3:$B$5001,$A$147,Base!$L$3:$L$5001,"&lt;&gt;")=0,"",SUMIFS(Base!$L$3:$L$5001,Base!$A$3:$A$5001,AA$3,Base!$B$3:$B$5001,$A$147)))</f>
        <v>5</v>
      </c>
      <c r="AB149" s="45">
        <f>IF(AB$3="","",IF(COUNTIFS(Base!$A$3:$A$5001,AB$3,Base!$B$3:$B$5001,$A$147,Base!$L$3:$L$5001,"&lt;&gt;")=0,"",SUMIFS(Base!$L$3:$L$5001,Base!$A$3:$A$5001,AB$3,Base!$B$3:$B$5001,$A$147)))</f>
        <v>5</v>
      </c>
      <c r="AC149" s="45">
        <f>IF(AC$3="","",IF(COUNTIFS(Base!$A$3:$A$5001,AC$3,Base!$B$3:$B$5001,$A$147,Base!$L$3:$L$5001,"&lt;&gt;")=0,"",SUMIFS(Base!$L$3:$L$5001,Base!$A$3:$A$5001,AC$3,Base!$B$3:$B$5001,$A$147)))</f>
        <v>5</v>
      </c>
      <c r="AD149" s="45">
        <f>IF(AD$3="","",IF(COUNTIFS(Base!$A$3:$A$5001,AD$3,Base!$B$3:$B$5001,$A$147,Base!$L$3:$L$5001,"&lt;&gt;")=0,"",SUMIFS(Base!$L$3:$L$5001,Base!$A$3:$A$5001,AD$3,Base!$B$3:$B$5001,$A$147)))</f>
        <v>6</v>
      </c>
      <c r="AE149" s="45">
        <f>IF(AE$3="","",IF(COUNTIFS(Base!$A$3:$A$5001,AE$3,Base!$B$3:$B$5001,$A$147,Base!$L$3:$L$5001,"&lt;&gt;")=0,"",SUMIFS(Base!$L$3:$L$5001,Base!$A$3:$A$5001,AE$3,Base!$B$3:$B$5001,$A$147)))</f>
        <v>9</v>
      </c>
      <c r="AF149" s="45" t="str">
        <f>IF(AF$3="","",IF(COUNTIFS(Base!$A$3:$A$5001,AF$3,Base!$B$3:$B$5001,$A$147,Base!$L$3:$L$5001,"&lt;&gt;")=0,"",SUMIFS(Base!$L$3:$L$5001,Base!$A$3:$A$5001,AF$3,Base!$B$3:$B$5001,$A$147)))</f>
        <v/>
      </c>
      <c r="AG149" s="45">
        <f>IF(AG$3="","",IF(COUNTIFS(Base!$A$3:$A$5001,AG$3,Base!$B$3:$B$5001,$A$147,Base!$L$3:$L$5001,"&lt;&gt;")=0,"",SUMIFS(Base!$L$3:$L$5001,Base!$A$3:$A$5001,AG$3,Base!$B$3:$B$5001,$A$147)))</f>
        <v>11</v>
      </c>
      <c r="AH149" s="45">
        <f>IF(AH$3="","",IF(COUNTIFS(Base!$A$3:$A$5001,AH$3,Base!$B$3:$B$5001,$A$147,Base!$L$3:$L$5001,"&lt;&gt;")=0,"",SUMIFS(Base!$L$3:$L$5001,Base!$A$3:$A$5001,AH$3,Base!$B$3:$B$5001,$A$147)))</f>
        <v>5</v>
      </c>
      <c r="AI149" s="45" t="str">
        <f>IF(AI$3="","",IF(COUNTIFS(Base!$A$3:$A$5001,AI$3,Base!$B$3:$B$5001,$A$147,Base!$L$3:$L$5001,"&lt;&gt;")=0,"",SUMIFS(Base!$L$3:$L$5001,Base!$A$3:$A$5001,AI$3,Base!$B$3:$B$5001,$A$147)))</f>
        <v/>
      </c>
      <c r="AJ149" s="46" t="str">
        <f>IF(AJ$3="","",IF(COUNTIFS(Base!$A$3:$A$5001,AJ$3,Base!$B$3:$B$5001,$A$147,Base!$L$3:$L$5001,"&lt;&gt;")=0,"",SUMIFS(Base!$L$3:$L$5001,Base!$A$3:$A$5001,AJ$3,Base!$B$3:$B$5001,$A$147)))</f>
        <v/>
      </c>
      <c r="AK149" s="47">
        <f>IF(COUNT(F149:AJ149)=0,"",SUM(F149:AJ149))</f>
        <v>167</v>
      </c>
    </row>
    <row r="150" ht="15.75" customHeight="1">
      <c r="A150" s="118"/>
      <c r="B150" s="110"/>
      <c r="C150" s="55" t="inlineStr">
        <is>
          <t xml:space="preserve">Caixas Expedidas</t>
        </is>
      </c>
      <c r="D150" s="473" t="str">
        <f>IFERROR(1/(1/INDEX(calculos!$C$55:$K$83,MATCH("OUT Caixas Expedidas",calculos!$A$55:$A$83,0),MATCH($A$147,calculos!$C$54:$K$54,0))),"")</f>
        <v/>
      </c>
      <c r="E150" s="57"/>
      <c r="F150" s="474">
        <f>IF(F$3="","",IF(COUNTIFS(Base!$A$3:$A$5001,F$3,Base!$B$3:$B$5001,$A$147,Base!$O$3:$O$5001,"&lt;&gt;")=0,"",SUMIFS(Base!$O$3:$O$5001,Base!$A$3:$A$5001,F$3,Base!$B$3:$B$5001,$A$147)))</f>
        <v>632</v>
      </c>
      <c r="G150" s="475">
        <f>IF(G$3="","",IF(COUNTIFS(Base!$A$3:$A$5001,G$3,Base!$B$3:$B$5001,$A$147,Base!$O$3:$O$5001,"&lt;&gt;")=0,"",SUMIFS(Base!$O$3:$O$5001,Base!$A$3:$A$5001,G$3,Base!$B$3:$B$5001,$A$147)))</f>
        <v>2074</v>
      </c>
      <c r="H150" s="475">
        <f>IF(H$3="","",IF(COUNTIFS(Base!$A$3:$A$5001,H$3,Base!$B$3:$B$5001,$A$147,Base!$O$3:$O$5001,"&lt;&gt;")=0,"",SUMIFS(Base!$O$3:$O$5001,Base!$A$3:$A$5001,H$3,Base!$B$3:$B$5001,$A$147)))</f>
        <v>2107</v>
      </c>
      <c r="I150" s="475">
        <f>IF(I$3="","",IF(COUNTIFS(Base!$A$3:$A$5001,I$3,Base!$B$3:$B$5001,$A$147,Base!$O$3:$O$5001,"&lt;&gt;")=0,"",SUMIFS(Base!$O$3:$O$5001,Base!$A$3:$A$5001,I$3,Base!$B$3:$B$5001,$A$147)))</f>
        <v>1841</v>
      </c>
      <c r="J150" s="475">
        <f>IF(J$3="","",IF(COUNTIFS(Base!$A$3:$A$5001,J$3,Base!$B$3:$B$5001,$A$147,Base!$O$3:$O$5001,"&lt;&gt;")=0,"",SUMIFS(Base!$O$3:$O$5001,Base!$A$3:$A$5001,J$3,Base!$B$3:$B$5001,$A$147)))</f>
        <v>556</v>
      </c>
      <c r="K150" s="475" t="str">
        <f>IF(K$3="","",IF(COUNTIFS(Base!$A$3:$A$5001,K$3,Base!$B$3:$B$5001,$A$147,Base!$O$3:$O$5001,"&lt;&gt;")=0,"",SUMIFS(Base!$O$3:$O$5001,Base!$A$3:$A$5001,K$3,Base!$B$3:$B$5001,$A$147)))</f>
        <v/>
      </c>
      <c r="L150" s="475">
        <f>IF(L$3="","",IF(COUNTIFS(Base!$A$3:$A$5001,L$3,Base!$B$3:$B$5001,$A$147,Base!$O$3:$O$5001,"&lt;&gt;")=0,"",SUMIFS(Base!$O$3:$O$5001,Base!$A$3:$A$5001,L$3,Base!$B$3:$B$5001,$A$147)))</f>
        <v>1256</v>
      </c>
      <c r="M150" s="475">
        <f>IF(M$3="","",IF(COUNTIFS(Base!$A$3:$A$5001,M$3,Base!$B$3:$B$5001,$A$147,Base!$O$3:$O$5001,"&lt;&gt;")=0,"",SUMIFS(Base!$O$3:$O$5001,Base!$A$3:$A$5001,M$3,Base!$B$3:$B$5001,$A$147)))</f>
        <v>2449</v>
      </c>
      <c r="N150" s="475">
        <f>IF(N$3="","",IF(COUNTIFS(Base!$A$3:$A$5001,N$3,Base!$B$3:$B$5001,$A$147,Base!$O$3:$O$5001,"&lt;&gt;")=0,"",SUMIFS(Base!$O$3:$O$5001,Base!$A$3:$A$5001,N$3,Base!$B$3:$B$5001,$A$147)))</f>
        <v>699</v>
      </c>
      <c r="O150" s="475">
        <f>IF(O$3="","",IF(COUNTIFS(Base!$A$3:$A$5001,O$3,Base!$B$3:$B$5001,$A$147,Base!$O$3:$O$5001,"&lt;&gt;")=0,"",SUMIFS(Base!$O$3:$O$5001,Base!$A$3:$A$5001,O$3,Base!$B$3:$B$5001,$A$147)))</f>
        <v>1607</v>
      </c>
      <c r="P150" s="475">
        <f>IF(P$3="","",IF(COUNTIFS(Base!$A$3:$A$5001,P$3,Base!$B$3:$B$5001,$A$147,Base!$O$3:$O$5001,"&lt;&gt;")=0,"",SUMIFS(Base!$O$3:$O$5001,Base!$A$3:$A$5001,P$3,Base!$B$3:$B$5001,$A$147)))</f>
        <v>1470</v>
      </c>
      <c r="Q150" s="475">
        <f>IF(Q$3="","",IF(COUNTIFS(Base!$A$3:$A$5001,Q$3,Base!$B$3:$B$5001,$A$147,Base!$O$3:$O$5001,"&lt;&gt;")=0,"",SUMIFS(Base!$O$3:$O$5001,Base!$A$3:$A$5001,Q$3,Base!$B$3:$B$5001,$A$147)))</f>
        <v>1252</v>
      </c>
      <c r="R150" s="475" t="str">
        <f>IF(R$3="","",IF(COUNTIFS(Base!$A$3:$A$5001,R$3,Base!$B$3:$B$5001,$A$147,Base!$O$3:$O$5001,"&lt;&gt;")=0,"",SUMIFS(Base!$O$3:$O$5001,Base!$A$3:$A$5001,R$3,Base!$B$3:$B$5001,$A$147)))</f>
        <v/>
      </c>
      <c r="S150" s="475">
        <f>IF(S$3="","",IF(COUNTIFS(Base!$A$3:$A$5001,S$3,Base!$B$3:$B$5001,$A$147,Base!$O$3:$O$5001,"&lt;&gt;")=0,"",SUMIFS(Base!$O$3:$O$5001,Base!$A$3:$A$5001,S$3,Base!$B$3:$B$5001,$A$147)))</f>
        <v>1381</v>
      </c>
      <c r="T150" s="475">
        <f>IF(T$3="","",IF(COUNTIFS(Base!$A$3:$A$5001,T$3,Base!$B$3:$B$5001,$A$147,Base!$O$3:$O$5001,"&lt;&gt;")=0,"",SUMIFS(Base!$O$3:$O$5001,Base!$A$3:$A$5001,T$3,Base!$B$3:$B$5001,$A$147)))</f>
        <v>1079</v>
      </c>
      <c r="U150" s="475">
        <f>IF(U$3="","",IF(COUNTIFS(Base!$A$3:$A$5001,U$3,Base!$B$3:$B$5001,$A$147,Base!$O$3:$O$5001,"&lt;&gt;")=0,"",SUMIFS(Base!$O$3:$O$5001,Base!$A$3:$A$5001,U$3,Base!$B$3:$B$5001,$A$147)))</f>
        <v>1920</v>
      </c>
      <c r="V150" s="475">
        <f>IF(V$3="","",IF(COUNTIFS(Base!$A$3:$A$5001,V$3,Base!$B$3:$B$5001,$A$147,Base!$O$3:$O$5001,"&lt;&gt;")=0,"",SUMIFS(Base!$O$3:$O$5001,Base!$A$3:$A$5001,V$3,Base!$B$3:$B$5001,$A$147)))</f>
        <v>1243</v>
      </c>
      <c r="W150" s="475">
        <f>IF(W$3="","",IF(COUNTIFS(Base!$A$3:$A$5001,W$3,Base!$B$3:$B$5001,$A$147,Base!$O$3:$O$5001,"&lt;&gt;")=0,"",SUMIFS(Base!$O$3:$O$5001,Base!$A$3:$A$5001,W$3,Base!$B$3:$B$5001,$A$147)))</f>
        <v>2460</v>
      </c>
      <c r="X150" s="475">
        <f>IF(X$3="","",IF(COUNTIFS(Base!$A$3:$A$5001,X$3,Base!$B$3:$B$5001,$A$147,Base!$O$3:$O$5001,"&lt;&gt;")=0,"",SUMIFS(Base!$O$3:$O$5001,Base!$A$3:$A$5001,X$3,Base!$B$3:$B$5001,$A$147)))</f>
        <v>2067</v>
      </c>
      <c r="Y150" s="475" t="str">
        <f>IF(Y$3="","",IF(COUNTIFS(Base!$A$3:$A$5001,Y$3,Base!$B$3:$B$5001,$A$147,Base!$O$3:$O$5001,"&lt;&gt;")=0,"",SUMIFS(Base!$O$3:$O$5001,Base!$A$3:$A$5001,Y$3,Base!$B$3:$B$5001,$A$147)))</f>
        <v/>
      </c>
      <c r="Z150" s="475">
        <f>IF(Z$3="","",IF(COUNTIFS(Base!$A$3:$A$5001,Z$3,Base!$B$3:$B$5001,$A$147,Base!$O$3:$O$5001,"&lt;&gt;")=0,"",SUMIFS(Base!$O$3:$O$5001,Base!$A$3:$A$5001,Z$3,Base!$B$3:$B$5001,$A$147)))</f>
        <v>1768</v>
      </c>
      <c r="AA150" s="475">
        <f>IF(AA$3="","",IF(COUNTIFS(Base!$A$3:$A$5001,AA$3,Base!$B$3:$B$5001,$A$147,Base!$O$3:$O$5001,"&lt;&gt;")=0,"",SUMIFS(Base!$O$3:$O$5001,Base!$A$3:$A$5001,AA$3,Base!$B$3:$B$5001,$A$147)))</f>
        <v>1924</v>
      </c>
      <c r="AB150" s="475">
        <f>IF(AB$3="","",IF(COUNTIFS(Base!$A$3:$A$5001,AB$3,Base!$B$3:$B$5001,$A$147,Base!$O$3:$O$5001,"&lt;&gt;")=0,"",SUMIFS(Base!$O$3:$O$5001,Base!$A$3:$A$5001,AB$3,Base!$B$3:$B$5001,$A$147)))</f>
        <v>2147</v>
      </c>
      <c r="AC150" s="475">
        <f>IF(AC$3="","",IF(COUNTIFS(Base!$A$3:$A$5001,AC$3,Base!$B$3:$B$5001,$A$147,Base!$O$3:$O$5001,"&lt;&gt;")=0,"",SUMIFS(Base!$O$3:$O$5001,Base!$A$3:$A$5001,AC$3,Base!$B$3:$B$5001,$A$147)))</f>
        <v>2210</v>
      </c>
      <c r="AD150" s="475">
        <f>IF(AD$3="","",IF(COUNTIFS(Base!$A$3:$A$5001,AD$3,Base!$B$3:$B$5001,$A$147,Base!$O$3:$O$5001,"&lt;&gt;")=0,"",SUMIFS(Base!$O$3:$O$5001,Base!$A$3:$A$5001,AD$3,Base!$B$3:$B$5001,$A$147)))</f>
        <v>1301</v>
      </c>
      <c r="AE150" s="475">
        <f>IF(AE$3="","",IF(COUNTIFS(Base!$A$3:$A$5001,AE$3,Base!$B$3:$B$5001,$A$147,Base!$O$3:$O$5001,"&lt;&gt;")=0,"",SUMIFS(Base!$O$3:$O$5001,Base!$A$3:$A$5001,AE$3,Base!$B$3:$B$5001,$A$147)))</f>
        <v>399</v>
      </c>
      <c r="AF150" s="475" t="str">
        <f>IF(AF$3="","",IF(COUNTIFS(Base!$A$3:$A$5001,AF$3,Base!$B$3:$B$5001,$A$147,Base!$O$3:$O$5001,"&lt;&gt;")=0,"",SUMIFS(Base!$O$3:$O$5001,Base!$A$3:$A$5001,AF$3,Base!$B$3:$B$5001,$A$147)))</f>
        <v/>
      </c>
      <c r="AG150" s="475">
        <f>IF(AG$3="","",IF(COUNTIFS(Base!$A$3:$A$5001,AG$3,Base!$B$3:$B$5001,$A$147,Base!$O$3:$O$5001,"&lt;&gt;")=0,"",SUMIFS(Base!$O$3:$O$5001,Base!$A$3:$A$5001,AG$3,Base!$B$3:$B$5001,$A$147)))</f>
        <v>957</v>
      </c>
      <c r="AH150" s="475">
        <f>IF(AH$3="","",IF(COUNTIFS(Base!$A$3:$A$5001,AH$3,Base!$B$3:$B$5001,$A$147,Base!$O$3:$O$5001,"&lt;&gt;")=0,"",SUMIFS(Base!$O$3:$O$5001,Base!$A$3:$A$5001,AH$3,Base!$B$3:$B$5001,$A$147)))</f>
        <v>405</v>
      </c>
      <c r="AI150" s="475" t="str">
        <f>IF(AI$3="","",IF(COUNTIFS(Base!$A$3:$A$5001,AI$3,Base!$B$3:$B$5001,$A$147,Base!$O$3:$O$5001,"&lt;&gt;")=0,"",SUMIFS(Base!$O$3:$O$5001,Base!$A$3:$A$5001,AI$3,Base!$B$3:$B$5001,$A$147)))</f>
        <v/>
      </c>
      <c r="AJ150" s="476" t="str">
        <f>IF(AJ$3="","",IF(COUNTIFS(Base!$A$3:$A$5001,AJ$3,Base!$B$3:$B$5001,$A$147,Base!$O$3:$O$5001,"&lt;&gt;")=0,"",SUMIFS(Base!$O$3:$O$5001,Base!$A$3:$A$5001,AJ$3,Base!$B$3:$B$5001,$A$147)))</f>
        <v/>
      </c>
      <c r="AK150" s="473">
        <f>IF(COUNT(F150:AJ150)=0,"",SUM(F150:AJ150))</f>
        <v>37204</v>
      </c>
    </row>
    <row r="151" ht="15.75" customHeight="1">
      <c r="A151" s="118"/>
      <c r="B151" s="111" t="inlineStr">
        <is>
          <t xml:space="preserve">NC</t>
        </is>
      </c>
      <c r="C151" s="61" t="inlineStr">
        <is>
          <t xml:space="preserve">Incidentes</t>
        </is>
      </c>
      <c r="D151" s="62" t="str">
        <f>IFERROR(1/(1/INDEX(calculos!$C$55:$K$83,MATCH("NC Incidentes",calculos!$A$55:$A$83,0),MATCH($A$147,calculos!$C$54:$K$54,0))),"")</f>
        <v/>
      </c>
      <c r="E151" s="63"/>
      <c r="F151" s="64">
        <f>IF(F$3="","",IF(COUNTIFS(Base!$A$3:$A$5001,F$3,Base!$B$3:$B$5001,$A$147,Base!$U$3:$U$5001,"&lt;&gt;")=0,"",SUMIFS(Base!$U$3:$U$5001,Base!$A$3:$A$5001,F$3,Base!$B$3:$B$5001,$A$147)))</f>
        <v>0</v>
      </c>
      <c r="G151" s="65">
        <f>IF(G$3="","",IF(COUNTIFS(Base!$A$3:$A$5001,G$3,Base!$B$3:$B$5001,$A$147,Base!$U$3:$U$5001,"&lt;&gt;")=0,"",SUMIFS(Base!$U$3:$U$5001,Base!$A$3:$A$5001,G$3,Base!$B$3:$B$5001,$A$147)))</f>
        <v>0</v>
      </c>
      <c r="H151" s="65">
        <f>IF(H$3="","",IF(COUNTIFS(Base!$A$3:$A$5001,H$3,Base!$B$3:$B$5001,$A$147,Base!$U$3:$U$5001,"&lt;&gt;")=0,"",SUMIFS(Base!$U$3:$U$5001,Base!$A$3:$A$5001,H$3,Base!$B$3:$B$5001,$A$147)))</f>
        <v>0</v>
      </c>
      <c r="I151" s="65">
        <f>IF(I$3="","",IF(COUNTIFS(Base!$A$3:$A$5001,I$3,Base!$B$3:$B$5001,$A$147,Base!$U$3:$U$5001,"&lt;&gt;")=0,"",SUMIFS(Base!$U$3:$U$5001,Base!$A$3:$A$5001,I$3,Base!$B$3:$B$5001,$A$147)))</f>
        <v>0</v>
      </c>
      <c r="J151" s="65">
        <f>IF(J$3="","",IF(COUNTIFS(Base!$A$3:$A$5001,J$3,Base!$B$3:$B$5001,$A$147,Base!$U$3:$U$5001,"&lt;&gt;")=0,"",SUMIFS(Base!$U$3:$U$5001,Base!$A$3:$A$5001,J$3,Base!$B$3:$B$5001,$A$147)))</f>
        <v>0</v>
      </c>
      <c r="K151" s="65" t="str">
        <f>IF(K$3="","",IF(COUNTIFS(Base!$A$3:$A$5001,K$3,Base!$B$3:$B$5001,$A$147,Base!$U$3:$U$5001,"&lt;&gt;")=0,"",SUMIFS(Base!$U$3:$U$5001,Base!$A$3:$A$5001,K$3,Base!$B$3:$B$5001,$A$147)))</f>
        <v/>
      </c>
      <c r="L151" s="65">
        <f>IF(L$3="","",IF(COUNTIFS(Base!$A$3:$A$5001,L$3,Base!$B$3:$B$5001,$A$147,Base!$U$3:$U$5001,"&lt;&gt;")=0,"",SUMIFS(Base!$U$3:$U$5001,Base!$A$3:$A$5001,L$3,Base!$B$3:$B$5001,$A$147)))</f>
        <v>0</v>
      </c>
      <c r="M151" s="65">
        <f>IF(M$3="","",IF(COUNTIFS(Base!$A$3:$A$5001,M$3,Base!$B$3:$B$5001,$A$147,Base!$U$3:$U$5001,"&lt;&gt;")=0,"",SUMIFS(Base!$U$3:$U$5001,Base!$A$3:$A$5001,M$3,Base!$B$3:$B$5001,$A$147)))</f>
        <v>0</v>
      </c>
      <c r="N151" s="65">
        <f>IF(N$3="","",IF(COUNTIFS(Base!$A$3:$A$5001,N$3,Base!$B$3:$B$5001,$A$147,Base!$U$3:$U$5001,"&lt;&gt;")=0,"",SUMIFS(Base!$U$3:$U$5001,Base!$A$3:$A$5001,N$3,Base!$B$3:$B$5001,$A$147)))</f>
        <v>0</v>
      </c>
      <c r="O151" s="65">
        <f>IF(O$3="","",IF(COUNTIFS(Base!$A$3:$A$5001,O$3,Base!$B$3:$B$5001,$A$147,Base!$U$3:$U$5001,"&lt;&gt;")=0,"",SUMIFS(Base!$U$3:$U$5001,Base!$A$3:$A$5001,O$3,Base!$B$3:$B$5001,$A$147)))</f>
        <v>0</v>
      </c>
      <c r="P151" s="65">
        <f>IF(P$3="","",IF(COUNTIFS(Base!$A$3:$A$5001,P$3,Base!$B$3:$B$5001,$A$147,Base!$U$3:$U$5001,"&lt;&gt;")=0,"",SUMIFS(Base!$U$3:$U$5001,Base!$A$3:$A$5001,P$3,Base!$B$3:$B$5001,$A$147)))</f>
        <v>0</v>
      </c>
      <c r="Q151" s="65">
        <f>IF(Q$3="","",IF(COUNTIFS(Base!$A$3:$A$5001,Q$3,Base!$B$3:$B$5001,$A$147,Base!$U$3:$U$5001,"&lt;&gt;")=0,"",SUMIFS(Base!$U$3:$U$5001,Base!$A$3:$A$5001,Q$3,Base!$B$3:$B$5001,$A$147)))</f>
        <v>0</v>
      </c>
      <c r="R151" s="65" t="str">
        <f>IF(R$3="","",IF(COUNTIFS(Base!$A$3:$A$5001,R$3,Base!$B$3:$B$5001,$A$147,Base!$U$3:$U$5001,"&lt;&gt;")=0,"",SUMIFS(Base!$U$3:$U$5001,Base!$A$3:$A$5001,R$3,Base!$B$3:$B$5001,$A$147)))</f>
        <v/>
      </c>
      <c r="S151" s="65">
        <f>IF(S$3="","",IF(COUNTIFS(Base!$A$3:$A$5001,S$3,Base!$B$3:$B$5001,$A$147,Base!$U$3:$U$5001,"&lt;&gt;")=0,"",SUMIFS(Base!$U$3:$U$5001,Base!$A$3:$A$5001,S$3,Base!$B$3:$B$5001,$A$147)))</f>
        <v>0</v>
      </c>
      <c r="T151" s="65">
        <f>IF(T$3="","",IF(COUNTIFS(Base!$A$3:$A$5001,T$3,Base!$B$3:$B$5001,$A$147,Base!$U$3:$U$5001,"&lt;&gt;")=0,"",SUMIFS(Base!$U$3:$U$5001,Base!$A$3:$A$5001,T$3,Base!$B$3:$B$5001,$A$147)))</f>
        <v>0</v>
      </c>
      <c r="U151" s="65">
        <f>IF(U$3="","",IF(COUNTIFS(Base!$A$3:$A$5001,U$3,Base!$B$3:$B$5001,$A$147,Base!$U$3:$U$5001,"&lt;&gt;")=0,"",SUMIFS(Base!$U$3:$U$5001,Base!$A$3:$A$5001,U$3,Base!$B$3:$B$5001,$A$147)))</f>
        <v>0</v>
      </c>
      <c r="V151" s="65">
        <f>IF(V$3="","",IF(COUNTIFS(Base!$A$3:$A$5001,V$3,Base!$B$3:$B$5001,$A$147,Base!$U$3:$U$5001,"&lt;&gt;")=0,"",SUMIFS(Base!$U$3:$U$5001,Base!$A$3:$A$5001,V$3,Base!$B$3:$B$5001,$A$147)))</f>
        <v>0</v>
      </c>
      <c r="W151" s="65">
        <f>IF(W$3="","",IF(COUNTIFS(Base!$A$3:$A$5001,W$3,Base!$B$3:$B$5001,$A$147,Base!$U$3:$U$5001,"&lt;&gt;")=0,"",SUMIFS(Base!$U$3:$U$5001,Base!$A$3:$A$5001,W$3,Base!$B$3:$B$5001,$A$147)))</f>
        <v>0</v>
      </c>
      <c r="X151" s="65">
        <f>IF(X$3="","",IF(COUNTIFS(Base!$A$3:$A$5001,X$3,Base!$B$3:$B$5001,$A$147,Base!$U$3:$U$5001,"&lt;&gt;")=0,"",SUMIFS(Base!$U$3:$U$5001,Base!$A$3:$A$5001,X$3,Base!$B$3:$B$5001,$A$147)))</f>
        <v>0</v>
      </c>
      <c r="Y151" s="65" t="str">
        <f>IF(Y$3="","",IF(COUNTIFS(Base!$A$3:$A$5001,Y$3,Base!$B$3:$B$5001,$A$147,Base!$U$3:$U$5001,"&lt;&gt;")=0,"",SUMIFS(Base!$U$3:$U$5001,Base!$A$3:$A$5001,Y$3,Base!$B$3:$B$5001,$A$147)))</f>
        <v/>
      </c>
      <c r="Z151" s="65">
        <f>IF(Z$3="","",IF(COUNTIFS(Base!$A$3:$A$5001,Z$3,Base!$B$3:$B$5001,$A$147,Base!$U$3:$U$5001,"&lt;&gt;")=0,"",SUMIFS(Base!$U$3:$U$5001,Base!$A$3:$A$5001,Z$3,Base!$B$3:$B$5001,$A$147)))</f>
        <v>0</v>
      </c>
      <c r="AA151" s="65">
        <f>IF(AA$3="","",IF(COUNTIFS(Base!$A$3:$A$5001,AA$3,Base!$B$3:$B$5001,$A$147,Base!$U$3:$U$5001,"&lt;&gt;")=0,"",SUMIFS(Base!$U$3:$U$5001,Base!$A$3:$A$5001,AA$3,Base!$B$3:$B$5001,$A$147)))</f>
        <v>0</v>
      </c>
      <c r="AB151" s="65">
        <f>IF(AB$3="","",IF(COUNTIFS(Base!$A$3:$A$5001,AB$3,Base!$B$3:$B$5001,$A$147,Base!$U$3:$U$5001,"&lt;&gt;")=0,"",SUMIFS(Base!$U$3:$U$5001,Base!$A$3:$A$5001,AB$3,Base!$B$3:$B$5001,$A$147)))</f>
        <v>0</v>
      </c>
      <c r="AC151" s="65">
        <f>IF(AC$3="","",IF(COUNTIFS(Base!$A$3:$A$5001,AC$3,Base!$B$3:$B$5001,$A$147,Base!$U$3:$U$5001,"&lt;&gt;")=0,"",SUMIFS(Base!$U$3:$U$5001,Base!$A$3:$A$5001,AC$3,Base!$B$3:$B$5001,$A$147)))</f>
        <v>0</v>
      </c>
      <c r="AD151" s="65">
        <f>IF(AD$3="","",IF(COUNTIFS(Base!$A$3:$A$5001,AD$3,Base!$B$3:$B$5001,$A$147,Base!$U$3:$U$5001,"&lt;&gt;")=0,"",SUMIFS(Base!$U$3:$U$5001,Base!$A$3:$A$5001,AD$3,Base!$B$3:$B$5001,$A$147)))</f>
        <v>0</v>
      </c>
      <c r="AE151" s="65">
        <f>IF(AE$3="","",IF(COUNTIFS(Base!$A$3:$A$5001,AE$3,Base!$B$3:$B$5001,$A$147,Base!$U$3:$U$5001,"&lt;&gt;")=0,"",SUMIFS(Base!$U$3:$U$5001,Base!$A$3:$A$5001,AE$3,Base!$B$3:$B$5001,$A$147)))</f>
        <v>0</v>
      </c>
      <c r="AF151" s="65" t="str">
        <f>IF(AF$3="","",IF(COUNTIFS(Base!$A$3:$A$5001,AF$3,Base!$B$3:$B$5001,$A$147,Base!$U$3:$U$5001,"&lt;&gt;")=0,"",SUMIFS(Base!$U$3:$U$5001,Base!$A$3:$A$5001,AF$3,Base!$B$3:$B$5001,$A$147)))</f>
        <v/>
      </c>
      <c r="AG151" s="65">
        <f>IF(AG$3="","",IF(COUNTIFS(Base!$A$3:$A$5001,AG$3,Base!$B$3:$B$5001,$A$147,Base!$U$3:$U$5001,"&lt;&gt;")=0,"",SUMIFS(Base!$U$3:$U$5001,Base!$A$3:$A$5001,AG$3,Base!$B$3:$B$5001,$A$147)))</f>
        <v>0</v>
      </c>
      <c r="AH151" s="65">
        <f>IF(AH$3="","",IF(COUNTIFS(Base!$A$3:$A$5001,AH$3,Base!$B$3:$B$5001,$A$147,Base!$U$3:$U$5001,"&lt;&gt;")=0,"",SUMIFS(Base!$U$3:$U$5001,Base!$A$3:$A$5001,AH$3,Base!$B$3:$B$5001,$A$147)))</f>
        <v>0</v>
      </c>
      <c r="AI151" s="65" t="str">
        <f>IF(AI$3="","",IF(COUNTIFS(Base!$A$3:$A$5001,AI$3,Base!$B$3:$B$5001,$A$147,Base!$U$3:$U$5001,"&lt;&gt;")=0,"",SUMIFS(Base!$U$3:$U$5001,Base!$A$3:$A$5001,AI$3,Base!$B$3:$B$5001,$A$147)))</f>
        <v/>
      </c>
      <c r="AJ151" s="66" t="str">
        <f>IF(AJ$3="","",IF(COUNTIFS(Base!$A$3:$A$5001,AJ$3,Base!$B$3:$B$5001,$A$147,Base!$U$3:$U$5001,"&lt;&gt;")=0,"",SUMIFS(Base!$U$3:$U$5001,Base!$A$3:$A$5001,AJ$3,Base!$B$3:$B$5001,$A$147)))</f>
        <v/>
      </c>
      <c r="AK151" s="67">
        <f>IF(COUNT(F151:AJ151)=0,"",SUM(F151:AJ151))</f>
        <v>0</v>
      </c>
    </row>
    <row r="152" ht="15.75" customHeight="1">
      <c r="A152" s="118"/>
      <c r="B152" s="112"/>
      <c r="C152" s="68" t="inlineStr">
        <is>
          <t xml:space="preserve">No show</t>
        </is>
      </c>
      <c r="D152" s="69" t="str">
        <f>IFERROR(1/(1/INDEX(calculos!$C$55:$K$83,MATCH("NC No show",calculos!$A$55:$A$83,0),MATCH($A$147,calculos!$C$54:$K$54,0))),"")</f>
        <v/>
      </c>
      <c r="E152" s="70"/>
      <c r="F152" s="71">
        <f>IF(F$3="","",IF(COUNTIFS(Base!$A$3:$A$5001,F$3,Base!$B$3:$B$5001,$A$147,Base!$V$3:$V$5001,"&lt;&gt;")=0,"",SUMIFS(Base!$V$3:$V$5001,Base!$A$3:$A$5001,F$3,Base!$B$3:$B$5001,$A$147)))</f>
        <v>0</v>
      </c>
      <c r="G152" s="72">
        <f>IF(G$3="","",IF(COUNTIFS(Base!$A$3:$A$5001,G$3,Base!$B$3:$B$5001,$A$147,Base!$V$3:$V$5001,"&lt;&gt;")=0,"",SUMIFS(Base!$V$3:$V$5001,Base!$A$3:$A$5001,G$3,Base!$B$3:$B$5001,$A$147)))</f>
        <v>0</v>
      </c>
      <c r="H152" s="72">
        <f>IF(H$3="","",IF(COUNTIFS(Base!$A$3:$A$5001,H$3,Base!$B$3:$B$5001,$A$147,Base!$V$3:$V$5001,"&lt;&gt;")=0,"",SUMIFS(Base!$V$3:$V$5001,Base!$A$3:$A$5001,H$3,Base!$B$3:$B$5001,$A$147)))</f>
        <v>1</v>
      </c>
      <c r="I152" s="72">
        <f>IF(I$3="","",IF(COUNTIFS(Base!$A$3:$A$5001,I$3,Base!$B$3:$B$5001,$A$147,Base!$V$3:$V$5001,"&lt;&gt;")=0,"",SUMIFS(Base!$V$3:$V$5001,Base!$A$3:$A$5001,I$3,Base!$B$3:$B$5001,$A$147)))</f>
        <v>0</v>
      </c>
      <c r="J152" s="72">
        <f>IF(J$3="","",IF(COUNTIFS(Base!$A$3:$A$5001,J$3,Base!$B$3:$B$5001,$A$147,Base!$V$3:$V$5001,"&lt;&gt;")=0,"",SUMIFS(Base!$V$3:$V$5001,Base!$A$3:$A$5001,J$3,Base!$B$3:$B$5001,$A$147)))</f>
        <v>0</v>
      </c>
      <c r="K152" s="72" t="str">
        <f>IF(K$3="","",IF(COUNTIFS(Base!$A$3:$A$5001,K$3,Base!$B$3:$B$5001,$A$147,Base!$V$3:$V$5001,"&lt;&gt;")=0,"",SUMIFS(Base!$V$3:$V$5001,Base!$A$3:$A$5001,K$3,Base!$B$3:$B$5001,$A$147)))</f>
        <v/>
      </c>
      <c r="L152" s="72">
        <f>IF(L$3="","",IF(COUNTIFS(Base!$A$3:$A$5001,L$3,Base!$B$3:$B$5001,$A$147,Base!$V$3:$V$5001,"&lt;&gt;")=0,"",SUMIFS(Base!$V$3:$V$5001,Base!$A$3:$A$5001,L$3,Base!$B$3:$B$5001,$A$147)))</f>
        <v>0</v>
      </c>
      <c r="M152" s="72">
        <f>IF(M$3="","",IF(COUNTIFS(Base!$A$3:$A$5001,M$3,Base!$B$3:$B$5001,$A$147,Base!$V$3:$V$5001,"&lt;&gt;")=0,"",SUMIFS(Base!$V$3:$V$5001,Base!$A$3:$A$5001,M$3,Base!$B$3:$B$5001,$A$147)))</f>
        <v>0</v>
      </c>
      <c r="N152" s="72">
        <f>IF(N$3="","",IF(COUNTIFS(Base!$A$3:$A$5001,N$3,Base!$B$3:$B$5001,$A$147,Base!$V$3:$V$5001,"&lt;&gt;")=0,"",SUMIFS(Base!$V$3:$V$5001,Base!$A$3:$A$5001,N$3,Base!$B$3:$B$5001,$A$147)))</f>
        <v>0</v>
      </c>
      <c r="O152" s="72">
        <f>IF(O$3="","",IF(COUNTIFS(Base!$A$3:$A$5001,O$3,Base!$B$3:$B$5001,$A$147,Base!$V$3:$V$5001,"&lt;&gt;")=0,"",SUMIFS(Base!$V$3:$V$5001,Base!$A$3:$A$5001,O$3,Base!$B$3:$B$5001,$A$147)))</f>
        <v>0</v>
      </c>
      <c r="P152" s="72">
        <f>IF(P$3="","",IF(COUNTIFS(Base!$A$3:$A$5001,P$3,Base!$B$3:$B$5001,$A$147,Base!$V$3:$V$5001,"&lt;&gt;")=0,"",SUMIFS(Base!$V$3:$V$5001,Base!$A$3:$A$5001,P$3,Base!$B$3:$B$5001,$A$147)))</f>
        <v>0</v>
      </c>
      <c r="Q152" s="72">
        <f>IF(Q$3="","",IF(COUNTIFS(Base!$A$3:$A$5001,Q$3,Base!$B$3:$B$5001,$A$147,Base!$V$3:$V$5001,"&lt;&gt;")=0,"",SUMIFS(Base!$V$3:$V$5001,Base!$A$3:$A$5001,Q$3,Base!$B$3:$B$5001,$A$147)))</f>
        <v>0</v>
      </c>
      <c r="R152" s="72" t="str">
        <f>IF(R$3="","",IF(COUNTIFS(Base!$A$3:$A$5001,R$3,Base!$B$3:$B$5001,$A$147,Base!$V$3:$V$5001,"&lt;&gt;")=0,"",SUMIFS(Base!$V$3:$V$5001,Base!$A$3:$A$5001,R$3,Base!$B$3:$B$5001,$A$147)))</f>
        <v/>
      </c>
      <c r="S152" s="72">
        <f>IF(S$3="","",IF(COUNTIFS(Base!$A$3:$A$5001,S$3,Base!$B$3:$B$5001,$A$147,Base!$V$3:$V$5001,"&lt;&gt;")=0,"",SUMIFS(Base!$V$3:$V$5001,Base!$A$3:$A$5001,S$3,Base!$B$3:$B$5001,$A$147)))</f>
        <v>0</v>
      </c>
      <c r="T152" s="72">
        <f>IF(T$3="","",IF(COUNTIFS(Base!$A$3:$A$5001,T$3,Base!$B$3:$B$5001,$A$147,Base!$V$3:$V$5001,"&lt;&gt;")=0,"",SUMIFS(Base!$V$3:$V$5001,Base!$A$3:$A$5001,T$3,Base!$B$3:$B$5001,$A$147)))</f>
        <v>0</v>
      </c>
      <c r="U152" s="72">
        <f>IF(U$3="","",IF(COUNTIFS(Base!$A$3:$A$5001,U$3,Base!$B$3:$B$5001,$A$147,Base!$V$3:$V$5001,"&lt;&gt;")=0,"",SUMIFS(Base!$V$3:$V$5001,Base!$A$3:$A$5001,U$3,Base!$B$3:$B$5001,$A$147)))</f>
        <v>0</v>
      </c>
      <c r="V152" s="72">
        <f>IF(V$3="","",IF(COUNTIFS(Base!$A$3:$A$5001,V$3,Base!$B$3:$B$5001,$A$147,Base!$V$3:$V$5001,"&lt;&gt;")=0,"",SUMIFS(Base!$V$3:$V$5001,Base!$A$3:$A$5001,V$3,Base!$B$3:$B$5001,$A$147)))</f>
        <v>0</v>
      </c>
      <c r="W152" s="72">
        <f>IF(W$3="","",IF(COUNTIFS(Base!$A$3:$A$5001,W$3,Base!$B$3:$B$5001,$A$147,Base!$V$3:$V$5001,"&lt;&gt;")=0,"",SUMIFS(Base!$V$3:$V$5001,Base!$A$3:$A$5001,W$3,Base!$B$3:$B$5001,$A$147)))</f>
        <v>0</v>
      </c>
      <c r="X152" s="72">
        <f>IF(X$3="","",IF(COUNTIFS(Base!$A$3:$A$5001,X$3,Base!$B$3:$B$5001,$A$147,Base!$V$3:$V$5001,"&lt;&gt;")=0,"",SUMIFS(Base!$V$3:$V$5001,Base!$A$3:$A$5001,X$3,Base!$B$3:$B$5001,$A$147)))</f>
        <v>0</v>
      </c>
      <c r="Y152" s="72" t="str">
        <f>IF(Y$3="","",IF(COUNTIFS(Base!$A$3:$A$5001,Y$3,Base!$B$3:$B$5001,$A$147,Base!$V$3:$V$5001,"&lt;&gt;")=0,"",SUMIFS(Base!$V$3:$V$5001,Base!$A$3:$A$5001,Y$3,Base!$B$3:$B$5001,$A$147)))</f>
        <v/>
      </c>
      <c r="Z152" s="72">
        <f>IF(Z$3="","",IF(COUNTIFS(Base!$A$3:$A$5001,Z$3,Base!$B$3:$B$5001,$A$147,Base!$V$3:$V$5001,"&lt;&gt;")=0,"",SUMIFS(Base!$V$3:$V$5001,Base!$A$3:$A$5001,Z$3,Base!$B$3:$B$5001,$A$147)))</f>
        <v>0</v>
      </c>
      <c r="AA152" s="72">
        <f>IF(AA$3="","",IF(COUNTIFS(Base!$A$3:$A$5001,AA$3,Base!$B$3:$B$5001,$A$147,Base!$V$3:$V$5001,"&lt;&gt;")=0,"",SUMIFS(Base!$V$3:$V$5001,Base!$A$3:$A$5001,AA$3,Base!$B$3:$B$5001,$A$147)))</f>
        <v>0</v>
      </c>
      <c r="AB152" s="72">
        <f>IF(AB$3="","",IF(COUNTIFS(Base!$A$3:$A$5001,AB$3,Base!$B$3:$B$5001,$A$147,Base!$V$3:$V$5001,"&lt;&gt;")=0,"",SUMIFS(Base!$V$3:$V$5001,Base!$A$3:$A$5001,AB$3,Base!$B$3:$B$5001,$A$147)))</f>
        <v>0</v>
      </c>
      <c r="AC152" s="72">
        <f>IF(AC$3="","",IF(COUNTIFS(Base!$A$3:$A$5001,AC$3,Base!$B$3:$B$5001,$A$147,Base!$V$3:$V$5001,"&lt;&gt;")=0,"",SUMIFS(Base!$V$3:$V$5001,Base!$A$3:$A$5001,AC$3,Base!$B$3:$B$5001,$A$147)))</f>
        <v>0</v>
      </c>
      <c r="AD152" s="72">
        <f>IF(AD$3="","",IF(COUNTIFS(Base!$A$3:$A$5001,AD$3,Base!$B$3:$B$5001,$A$147,Base!$V$3:$V$5001,"&lt;&gt;")=0,"",SUMIFS(Base!$V$3:$V$5001,Base!$A$3:$A$5001,AD$3,Base!$B$3:$B$5001,$A$147)))</f>
        <v>0</v>
      </c>
      <c r="AE152" s="72">
        <f>IF(AE$3="","",IF(COUNTIFS(Base!$A$3:$A$5001,AE$3,Base!$B$3:$B$5001,$A$147,Base!$V$3:$V$5001,"&lt;&gt;")=0,"",SUMIFS(Base!$V$3:$V$5001,Base!$A$3:$A$5001,AE$3,Base!$B$3:$B$5001,$A$147)))</f>
        <v>0</v>
      </c>
      <c r="AF152" s="72" t="str">
        <f>IF(AF$3="","",IF(COUNTIFS(Base!$A$3:$A$5001,AF$3,Base!$B$3:$B$5001,$A$147,Base!$V$3:$V$5001,"&lt;&gt;")=0,"",SUMIFS(Base!$V$3:$V$5001,Base!$A$3:$A$5001,AF$3,Base!$B$3:$B$5001,$A$147)))</f>
        <v/>
      </c>
      <c r="AG152" s="72">
        <f>IF(AG$3="","",IF(COUNTIFS(Base!$A$3:$A$5001,AG$3,Base!$B$3:$B$5001,$A$147,Base!$V$3:$V$5001,"&lt;&gt;")=0,"",SUMIFS(Base!$V$3:$V$5001,Base!$A$3:$A$5001,AG$3,Base!$B$3:$B$5001,$A$147)))</f>
        <v>0</v>
      </c>
      <c r="AH152" s="72">
        <f>IF(AH$3="","",IF(COUNTIFS(Base!$A$3:$A$5001,AH$3,Base!$B$3:$B$5001,$A$147,Base!$V$3:$V$5001,"&lt;&gt;")=0,"",SUMIFS(Base!$V$3:$V$5001,Base!$A$3:$A$5001,AH$3,Base!$B$3:$B$5001,$A$147)))</f>
        <v>0</v>
      </c>
      <c r="AI152" s="72" t="str">
        <f>IF(AI$3="","",IF(COUNTIFS(Base!$A$3:$A$5001,AI$3,Base!$B$3:$B$5001,$A$147,Base!$V$3:$V$5001,"&lt;&gt;")=0,"",SUMIFS(Base!$V$3:$V$5001,Base!$A$3:$A$5001,AI$3,Base!$B$3:$B$5001,$A$147)))</f>
        <v/>
      </c>
      <c r="AJ152" s="73" t="str">
        <f>IF(AJ$3="","",IF(COUNTIFS(Base!$A$3:$A$5001,AJ$3,Base!$B$3:$B$5001,$A$147,Base!$V$3:$V$5001,"&lt;&gt;")=0,"",SUMIFS(Base!$V$3:$V$5001,Base!$A$3:$A$5001,AJ$3,Base!$B$3:$B$5001,$A$147)))</f>
        <v/>
      </c>
      <c r="AK152" s="74">
        <f>IF(COUNT(F152:AJ152)=0,"",SUM(F152:AJ152))</f>
        <v>1</v>
      </c>
    </row>
    <row r="153" ht="15.75" customHeight="1">
      <c r="A153" s="118"/>
      <c r="B153" s="113"/>
      <c r="C153" s="75" t="inlineStr">
        <is>
          <t xml:space="preserve">Backlog</t>
        </is>
      </c>
      <c r="D153" s="76" t="str">
        <f>IFERROR(1/(1/INDEX(calculos!$C$55:$K$83,MATCH("NC Backlog",calculos!$A$55:$A$83,0),MATCH($A$147,calculos!$C$54:$K$54,0))),"")</f>
        <v/>
      </c>
      <c r="E153" s="77"/>
      <c r="F153" s="78">
        <f>IF(F$3="","",IF(COUNTIFS(Base!$A$3:$A$5001,F$3,Base!$B$3:$B$5001,$A$147,Base!$W$3:$W$5001,"&lt;&gt;")=0,"",SUMIFS(Base!$W$3:$W$5001,Base!$A$3:$A$5001,F$3,Base!$B$3:$B$5001,$A$147)))</f>
        <v>12</v>
      </c>
      <c r="G153" s="79" t="str">
        <f>IF(G$3="","",IF(COUNTIFS(Base!$A$3:$A$5001,G$3,Base!$B$3:$B$5001,$A$147,Base!$W$3:$W$5001,"&lt;&gt;")=0,"",SUMIFS(Base!$W$3:$W$5001,Base!$A$3:$A$5001,G$3,Base!$B$3:$B$5001,$A$147)))</f>
        <v/>
      </c>
      <c r="H153" s="79" t="str">
        <f>IF(H$3="","",IF(COUNTIFS(Base!$A$3:$A$5001,H$3,Base!$B$3:$B$5001,$A$147,Base!$W$3:$W$5001,"&lt;&gt;")=0,"",SUMIFS(Base!$W$3:$W$5001,Base!$A$3:$A$5001,H$3,Base!$B$3:$B$5001,$A$147)))</f>
        <v/>
      </c>
      <c r="I153" s="79" t="str">
        <f>IF(I$3="","",IF(COUNTIFS(Base!$A$3:$A$5001,I$3,Base!$B$3:$B$5001,$A$147,Base!$W$3:$W$5001,"&lt;&gt;")=0,"",SUMIFS(Base!$W$3:$W$5001,Base!$A$3:$A$5001,I$3,Base!$B$3:$B$5001,$A$147)))</f>
        <v/>
      </c>
      <c r="J153" s="79">
        <f>IF(J$3="","",IF(COUNTIFS(Base!$A$3:$A$5001,J$3,Base!$B$3:$B$5001,$A$147,Base!$W$3:$W$5001,"&lt;&gt;")=0,"",SUMIFS(Base!$W$3:$W$5001,Base!$A$3:$A$5001,J$3,Base!$B$3:$B$5001,$A$147)))</f>
        <v>12</v>
      </c>
      <c r="K153" s="79" t="str">
        <f>IF(K$3="","",IF(COUNTIFS(Base!$A$3:$A$5001,K$3,Base!$B$3:$B$5001,$A$147,Base!$W$3:$W$5001,"&lt;&gt;")=0,"",SUMIFS(Base!$W$3:$W$5001,Base!$A$3:$A$5001,K$3,Base!$B$3:$B$5001,$A$147)))</f>
        <v/>
      </c>
      <c r="L153" s="79">
        <f>IF(L$3="","",IF(COUNTIFS(Base!$A$3:$A$5001,L$3,Base!$B$3:$B$5001,$A$147,Base!$W$3:$W$5001,"&lt;&gt;")=0,"",SUMIFS(Base!$W$3:$W$5001,Base!$A$3:$A$5001,L$3,Base!$B$3:$B$5001,$A$147)))</f>
        <v>10</v>
      </c>
      <c r="M153" s="79" t="str">
        <f>IF(M$3="","",IF(COUNTIFS(Base!$A$3:$A$5001,M$3,Base!$B$3:$B$5001,$A$147,Base!$W$3:$W$5001,"&lt;&gt;")=0,"",SUMIFS(Base!$W$3:$W$5001,Base!$A$3:$A$5001,M$3,Base!$B$3:$B$5001,$A$147)))</f>
        <v/>
      </c>
      <c r="N153" s="79" t="str">
        <f>IF(N$3="","",IF(COUNTIFS(Base!$A$3:$A$5001,N$3,Base!$B$3:$B$5001,$A$147,Base!$W$3:$W$5001,"&lt;&gt;")=0,"",SUMIFS(Base!$W$3:$W$5001,Base!$A$3:$A$5001,N$3,Base!$B$3:$B$5001,$A$147)))</f>
        <v/>
      </c>
      <c r="O153" s="79">
        <f>IF(O$3="","",IF(COUNTIFS(Base!$A$3:$A$5001,O$3,Base!$B$3:$B$5001,$A$147,Base!$W$3:$W$5001,"&lt;&gt;")=0,"",SUMIFS(Base!$W$3:$W$5001,Base!$A$3:$A$5001,O$3,Base!$B$3:$B$5001,$A$147)))</f>
        <v>4</v>
      </c>
      <c r="P153" s="79" t="str">
        <f>IF(P$3="","",IF(COUNTIFS(Base!$A$3:$A$5001,P$3,Base!$B$3:$B$5001,$A$147,Base!$W$3:$W$5001,"&lt;&gt;")=0,"",SUMIFS(Base!$W$3:$W$5001,Base!$A$3:$A$5001,P$3,Base!$B$3:$B$5001,$A$147)))</f>
        <v/>
      </c>
      <c r="Q153" s="79" t="str">
        <f>IF(Q$3="","",IF(COUNTIFS(Base!$A$3:$A$5001,Q$3,Base!$B$3:$B$5001,$A$147,Base!$W$3:$W$5001,"&lt;&gt;")=0,"",SUMIFS(Base!$W$3:$W$5001,Base!$A$3:$A$5001,Q$3,Base!$B$3:$B$5001,$A$147)))</f>
        <v/>
      </c>
      <c r="R153" s="79" t="str">
        <f>IF(R$3="","",IF(COUNTIFS(Base!$A$3:$A$5001,R$3,Base!$B$3:$B$5001,$A$147,Base!$W$3:$W$5001,"&lt;&gt;")=0,"",SUMIFS(Base!$W$3:$W$5001,Base!$A$3:$A$5001,R$3,Base!$B$3:$B$5001,$A$147)))</f>
        <v/>
      </c>
      <c r="S153" s="79" t="str">
        <f>IF(S$3="","",IF(COUNTIFS(Base!$A$3:$A$5001,S$3,Base!$B$3:$B$5001,$A$147,Base!$W$3:$W$5001,"&lt;&gt;")=0,"",SUMIFS(Base!$W$3:$W$5001,Base!$A$3:$A$5001,S$3,Base!$B$3:$B$5001,$A$147)))</f>
        <v/>
      </c>
      <c r="T153" s="79">
        <f>IF(T$3="","",IF(COUNTIFS(Base!$A$3:$A$5001,T$3,Base!$B$3:$B$5001,$A$147,Base!$W$3:$W$5001,"&lt;&gt;")=0,"",SUMIFS(Base!$W$3:$W$5001,Base!$A$3:$A$5001,T$3,Base!$B$3:$B$5001,$A$147)))</f>
        <v>14</v>
      </c>
      <c r="U153" s="79" t="str">
        <f>IF(U$3="","",IF(COUNTIFS(Base!$A$3:$A$5001,U$3,Base!$B$3:$B$5001,$A$147,Base!$W$3:$W$5001,"&lt;&gt;")=0,"",SUMIFS(Base!$W$3:$W$5001,Base!$A$3:$A$5001,U$3,Base!$B$3:$B$5001,$A$147)))</f>
        <v/>
      </c>
      <c r="V153" s="79" t="str">
        <f>IF(V$3="","",IF(COUNTIFS(Base!$A$3:$A$5001,V$3,Base!$B$3:$B$5001,$A$147,Base!$W$3:$W$5001,"&lt;&gt;")=0,"",SUMIFS(Base!$W$3:$W$5001,Base!$A$3:$A$5001,V$3,Base!$B$3:$B$5001,$A$147)))</f>
        <v/>
      </c>
      <c r="W153" s="79" t="str">
        <f>IF(W$3="","",IF(COUNTIFS(Base!$A$3:$A$5001,W$3,Base!$B$3:$B$5001,$A$147,Base!$W$3:$W$5001,"&lt;&gt;")=0,"",SUMIFS(Base!$W$3:$W$5001,Base!$A$3:$A$5001,W$3,Base!$B$3:$B$5001,$A$147)))</f>
        <v/>
      </c>
      <c r="X153" s="79">
        <f>IF(X$3="","",IF(COUNTIFS(Base!$A$3:$A$5001,X$3,Base!$B$3:$B$5001,$A$147,Base!$W$3:$W$5001,"&lt;&gt;")=0,"",SUMIFS(Base!$W$3:$W$5001,Base!$A$3:$A$5001,X$3,Base!$B$3:$B$5001,$A$147)))</f>
        <v>13</v>
      </c>
      <c r="Y153" s="79" t="str">
        <f>IF(Y$3="","",IF(COUNTIFS(Base!$A$3:$A$5001,Y$3,Base!$B$3:$B$5001,$A$147,Base!$W$3:$W$5001,"&lt;&gt;")=0,"",SUMIFS(Base!$W$3:$W$5001,Base!$A$3:$A$5001,Y$3,Base!$B$3:$B$5001,$A$147)))</f>
        <v/>
      </c>
      <c r="Z153" s="79" t="str">
        <f>IF(Z$3="","",IF(COUNTIFS(Base!$A$3:$A$5001,Z$3,Base!$B$3:$B$5001,$A$147,Base!$W$3:$W$5001,"&lt;&gt;")=0,"",SUMIFS(Base!$W$3:$W$5001,Base!$A$3:$A$5001,Z$3,Base!$B$3:$B$5001,$A$147)))</f>
        <v/>
      </c>
      <c r="AA153" s="79" t="str">
        <f>IF(AA$3="","",IF(COUNTIFS(Base!$A$3:$A$5001,AA$3,Base!$B$3:$B$5001,$A$147,Base!$W$3:$W$5001,"&lt;&gt;")=0,"",SUMIFS(Base!$W$3:$W$5001,Base!$A$3:$A$5001,AA$3,Base!$B$3:$B$5001,$A$147)))</f>
        <v/>
      </c>
      <c r="AB153" s="79" t="str">
        <f>IF(AB$3="","",IF(COUNTIFS(Base!$A$3:$A$5001,AB$3,Base!$B$3:$B$5001,$A$147,Base!$W$3:$W$5001,"&lt;&gt;")=0,"",SUMIFS(Base!$W$3:$W$5001,Base!$A$3:$A$5001,AB$3,Base!$B$3:$B$5001,$A$147)))</f>
        <v/>
      </c>
      <c r="AC153" s="79" t="str">
        <f>IF(AC$3="","",IF(COUNTIFS(Base!$A$3:$A$5001,AC$3,Base!$B$3:$B$5001,$A$147,Base!$W$3:$W$5001,"&lt;&gt;")=0,"",SUMIFS(Base!$W$3:$W$5001,Base!$A$3:$A$5001,AC$3,Base!$B$3:$B$5001,$A$147)))</f>
        <v/>
      </c>
      <c r="AD153" s="79">
        <f>IF(AD$3="","",IF(COUNTIFS(Base!$A$3:$A$5001,AD$3,Base!$B$3:$B$5001,$A$147,Base!$W$3:$W$5001,"&lt;&gt;")=0,"",SUMIFS(Base!$W$3:$W$5001,Base!$A$3:$A$5001,AD$3,Base!$B$3:$B$5001,$A$147)))</f>
        <v>1</v>
      </c>
      <c r="AE153" s="79" t="str">
        <f>IF(AE$3="","",IF(COUNTIFS(Base!$A$3:$A$5001,AE$3,Base!$B$3:$B$5001,$A$147,Base!$W$3:$W$5001,"&lt;&gt;")=0,"",SUMIFS(Base!$W$3:$W$5001,Base!$A$3:$A$5001,AE$3,Base!$B$3:$B$5001,$A$147)))</f>
        <v/>
      </c>
      <c r="AF153" s="79" t="str">
        <f>IF(AF$3="","",IF(COUNTIFS(Base!$A$3:$A$5001,AF$3,Base!$B$3:$B$5001,$A$147,Base!$W$3:$W$5001,"&lt;&gt;")=0,"",SUMIFS(Base!$W$3:$W$5001,Base!$A$3:$A$5001,AF$3,Base!$B$3:$B$5001,$A$147)))</f>
        <v/>
      </c>
      <c r="AG153" s="79">
        <f>IF(AG$3="","",IF(COUNTIFS(Base!$A$3:$A$5001,AG$3,Base!$B$3:$B$5001,$A$147,Base!$W$3:$W$5001,"&lt;&gt;")=0,"",SUMIFS(Base!$W$3:$W$5001,Base!$A$3:$A$5001,AG$3,Base!$B$3:$B$5001,$A$147)))</f>
        <v>7</v>
      </c>
      <c r="AH153" s="79" t="str">
        <f>IF(AH$3="","",IF(COUNTIFS(Base!$A$3:$A$5001,AH$3,Base!$B$3:$B$5001,$A$147,Base!$W$3:$W$5001,"&lt;&gt;")=0,"",SUMIFS(Base!$W$3:$W$5001,Base!$A$3:$A$5001,AH$3,Base!$B$3:$B$5001,$A$147)))</f>
        <v/>
      </c>
      <c r="AI153" s="79" t="str">
        <f>IF(AI$3="","",IF(COUNTIFS(Base!$A$3:$A$5001,AI$3,Base!$B$3:$B$5001,$A$147,Base!$W$3:$W$5001,"&lt;&gt;")=0,"",SUMIFS(Base!$W$3:$W$5001,Base!$A$3:$A$5001,AI$3,Base!$B$3:$B$5001,$A$147)))</f>
        <v/>
      </c>
      <c r="AJ153" s="80" t="str">
        <f>IF(AJ$3="","",IF(COUNTIFS(Base!$A$3:$A$5001,AJ$3,Base!$B$3:$B$5001,$A$147,Base!$W$3:$W$5001,"&lt;&gt;")=0,"",SUMIFS(Base!$W$3:$W$5001,Base!$A$3:$A$5001,AJ$3,Base!$B$3:$B$5001,$A$147)))</f>
        <v/>
      </c>
      <c r="AK153" s="76">
        <f>IFERROR(LOOKUP(9.99E+307,F153:AJ153),"")</f>
        <v>7</v>
      </c>
    </row>
    <row r="154" ht="15.75" customHeight="1">
      <c r="A154" s="118"/>
      <c r="B154" s="105" t="inlineStr">
        <is>
          <t xml:space="preserve">OCUPAÇÃO (P.P)</t>
        </is>
      </c>
      <c r="C154" s="21" t="inlineStr">
        <is>
          <t xml:space="preserve">Posições Disponíveis</t>
        </is>
      </c>
      <c r="D154" s="22" t="str">
        <f>IFERROR(1/(1/INDEX(calculos!$C$55:$K$83,MATCH("Posições Disponíveis",calculos!$A$55:$A$83,0),MATCH($A$147,calculos!$C$54:$K$54,0))),"")</f>
        <v/>
      </c>
      <c r="E154" s="23"/>
      <c r="F154" s="24">
        <f>IF(F$3="","",IF(COUNTIFS(Base!$A$3:$A$5001,F$3,Base!$B$3:$B$5001,$A$147,Base!$X$3:$X$5001,"&lt;&gt;")=0,"",SUMIFS(Base!$X$3:$X$5001,Base!$A$3:$A$5001,F$3,Base!$B$3:$B$5001,$A$147)))</f>
        <v>1800</v>
      </c>
      <c r="G154" s="25">
        <f>IF(G$3="","",IF(COUNTIFS(Base!$A$3:$A$5001,G$3,Base!$B$3:$B$5001,$A$147,Base!$X$3:$X$5001,"&lt;&gt;")=0,"",SUMIFS(Base!$X$3:$X$5001,Base!$A$3:$A$5001,G$3,Base!$B$3:$B$5001,$A$147)))</f>
        <v>1800</v>
      </c>
      <c r="H154" s="25">
        <f>IF(H$3="","",IF(COUNTIFS(Base!$A$3:$A$5001,H$3,Base!$B$3:$B$5001,$A$147,Base!$X$3:$X$5001,"&lt;&gt;")=0,"",SUMIFS(Base!$X$3:$X$5001,Base!$A$3:$A$5001,H$3,Base!$B$3:$B$5001,$A$147)))</f>
        <v>1800</v>
      </c>
      <c r="I154" s="25">
        <f>IF(I$3="","",IF(COUNTIFS(Base!$A$3:$A$5001,I$3,Base!$B$3:$B$5001,$A$147,Base!$X$3:$X$5001,"&lt;&gt;")=0,"",SUMIFS(Base!$X$3:$X$5001,Base!$A$3:$A$5001,I$3,Base!$B$3:$B$5001,$A$147)))</f>
        <v>1800</v>
      </c>
      <c r="J154" s="25">
        <f>IF(J$3="","",IF(COUNTIFS(Base!$A$3:$A$5001,J$3,Base!$B$3:$B$5001,$A$147,Base!$X$3:$X$5001,"&lt;&gt;")=0,"",SUMIFS(Base!$X$3:$X$5001,Base!$A$3:$A$5001,J$3,Base!$B$3:$B$5001,$A$147)))</f>
        <v>1800</v>
      </c>
      <c r="K154" s="25" t="str">
        <f>IF(K$3="","",IF(COUNTIFS(Base!$A$3:$A$5001,K$3,Base!$B$3:$B$5001,$A$147,Base!$X$3:$X$5001,"&lt;&gt;")=0,"",SUMIFS(Base!$X$3:$X$5001,Base!$A$3:$A$5001,K$3,Base!$B$3:$B$5001,$A$147)))</f>
        <v/>
      </c>
      <c r="L154" s="25">
        <f>IF(L$3="","",IF(COUNTIFS(Base!$A$3:$A$5001,L$3,Base!$B$3:$B$5001,$A$147,Base!$X$3:$X$5001,"&lt;&gt;")=0,"",SUMIFS(Base!$X$3:$X$5001,Base!$A$3:$A$5001,L$3,Base!$B$3:$B$5001,$A$147)))</f>
        <v>1800</v>
      </c>
      <c r="M154" s="25">
        <f>IF(M$3="","",IF(COUNTIFS(Base!$A$3:$A$5001,M$3,Base!$B$3:$B$5001,$A$147,Base!$X$3:$X$5001,"&lt;&gt;")=0,"",SUMIFS(Base!$X$3:$X$5001,Base!$A$3:$A$5001,M$3,Base!$B$3:$B$5001,$A$147)))</f>
        <v>1800</v>
      </c>
      <c r="N154" s="25">
        <f>IF(N$3="","",IF(COUNTIFS(Base!$A$3:$A$5001,N$3,Base!$B$3:$B$5001,$A$147,Base!$X$3:$X$5001,"&lt;&gt;")=0,"",SUMIFS(Base!$X$3:$X$5001,Base!$A$3:$A$5001,N$3,Base!$B$3:$B$5001,$A$147)))</f>
        <v>1800</v>
      </c>
      <c r="O154" s="25">
        <f>IF(O$3="","",IF(COUNTIFS(Base!$A$3:$A$5001,O$3,Base!$B$3:$B$5001,$A$147,Base!$X$3:$X$5001,"&lt;&gt;")=0,"",SUMIFS(Base!$X$3:$X$5001,Base!$A$3:$A$5001,O$3,Base!$B$3:$B$5001,$A$147)))</f>
        <v>1800</v>
      </c>
      <c r="P154" s="25">
        <f>IF(P$3="","",IF(COUNTIFS(Base!$A$3:$A$5001,P$3,Base!$B$3:$B$5001,$A$147,Base!$X$3:$X$5001,"&lt;&gt;")=0,"",SUMIFS(Base!$X$3:$X$5001,Base!$A$3:$A$5001,P$3,Base!$B$3:$B$5001,$A$147)))</f>
        <v>1800</v>
      </c>
      <c r="Q154" s="25">
        <f>IF(Q$3="","",IF(COUNTIFS(Base!$A$3:$A$5001,Q$3,Base!$B$3:$B$5001,$A$147,Base!$X$3:$X$5001,"&lt;&gt;")=0,"",SUMIFS(Base!$X$3:$X$5001,Base!$A$3:$A$5001,Q$3,Base!$B$3:$B$5001,$A$147)))</f>
        <v>1800</v>
      </c>
      <c r="R154" s="25" t="str">
        <f>IF(R$3="","",IF(COUNTIFS(Base!$A$3:$A$5001,R$3,Base!$B$3:$B$5001,$A$147,Base!$X$3:$X$5001,"&lt;&gt;")=0,"",SUMIFS(Base!$X$3:$X$5001,Base!$A$3:$A$5001,R$3,Base!$B$3:$B$5001,$A$147)))</f>
        <v/>
      </c>
      <c r="S154" s="25">
        <f>IF(S$3="","",IF(COUNTIFS(Base!$A$3:$A$5001,S$3,Base!$B$3:$B$5001,$A$147,Base!$X$3:$X$5001,"&lt;&gt;")=0,"",SUMIFS(Base!$X$3:$X$5001,Base!$A$3:$A$5001,S$3,Base!$B$3:$B$5001,$A$147)))</f>
        <v>1800</v>
      </c>
      <c r="T154" s="25">
        <f>IF(T$3="","",IF(COUNTIFS(Base!$A$3:$A$5001,T$3,Base!$B$3:$B$5001,$A$147,Base!$X$3:$X$5001,"&lt;&gt;")=0,"",SUMIFS(Base!$X$3:$X$5001,Base!$A$3:$A$5001,T$3,Base!$B$3:$B$5001,$A$147)))</f>
        <v>1800</v>
      </c>
      <c r="U154" s="25">
        <f>IF(U$3="","",IF(COUNTIFS(Base!$A$3:$A$5001,U$3,Base!$B$3:$B$5001,$A$147,Base!$X$3:$X$5001,"&lt;&gt;")=0,"",SUMIFS(Base!$X$3:$X$5001,Base!$A$3:$A$5001,U$3,Base!$B$3:$B$5001,$A$147)))</f>
        <v>1800</v>
      </c>
      <c r="V154" s="25">
        <f>IF(V$3="","",IF(COUNTIFS(Base!$A$3:$A$5001,V$3,Base!$B$3:$B$5001,$A$147,Base!$X$3:$X$5001,"&lt;&gt;")=0,"",SUMIFS(Base!$X$3:$X$5001,Base!$A$3:$A$5001,V$3,Base!$B$3:$B$5001,$A$147)))</f>
        <v>1800</v>
      </c>
      <c r="W154" s="25">
        <f>IF(W$3="","",IF(COUNTIFS(Base!$A$3:$A$5001,W$3,Base!$B$3:$B$5001,$A$147,Base!$X$3:$X$5001,"&lt;&gt;")=0,"",SUMIFS(Base!$X$3:$X$5001,Base!$A$3:$A$5001,W$3,Base!$B$3:$B$5001,$A$147)))</f>
        <v>1800</v>
      </c>
      <c r="X154" s="25">
        <f>IF(X$3="","",IF(COUNTIFS(Base!$A$3:$A$5001,X$3,Base!$B$3:$B$5001,$A$147,Base!$X$3:$X$5001,"&lt;&gt;")=0,"",SUMIFS(Base!$X$3:$X$5001,Base!$A$3:$A$5001,X$3,Base!$B$3:$B$5001,$A$147)))</f>
        <v>1800</v>
      </c>
      <c r="Y154" s="25" t="str">
        <f>IF(Y$3="","",IF(COUNTIFS(Base!$A$3:$A$5001,Y$3,Base!$B$3:$B$5001,$A$147,Base!$X$3:$X$5001,"&lt;&gt;")=0,"",SUMIFS(Base!$X$3:$X$5001,Base!$A$3:$A$5001,Y$3,Base!$B$3:$B$5001,$A$147)))</f>
        <v/>
      </c>
      <c r="Z154" s="25">
        <f>IF(Z$3="","",IF(COUNTIFS(Base!$A$3:$A$5001,Z$3,Base!$B$3:$B$5001,$A$147,Base!$X$3:$X$5001,"&lt;&gt;")=0,"",SUMIFS(Base!$X$3:$X$5001,Base!$A$3:$A$5001,Z$3,Base!$B$3:$B$5001,$A$147)))</f>
        <v>1800</v>
      </c>
      <c r="AA154" s="25">
        <f>IF(AA$3="","",IF(COUNTIFS(Base!$A$3:$A$5001,AA$3,Base!$B$3:$B$5001,$A$147,Base!$X$3:$X$5001,"&lt;&gt;")=0,"",SUMIFS(Base!$X$3:$X$5001,Base!$A$3:$A$5001,AA$3,Base!$B$3:$B$5001,$A$147)))</f>
        <v>1800</v>
      </c>
      <c r="AB154" s="25">
        <f>IF(AB$3="","",IF(COUNTIFS(Base!$A$3:$A$5001,AB$3,Base!$B$3:$B$5001,$A$147,Base!$X$3:$X$5001,"&lt;&gt;")=0,"",SUMIFS(Base!$X$3:$X$5001,Base!$A$3:$A$5001,AB$3,Base!$B$3:$B$5001,$A$147)))</f>
        <v>1800</v>
      </c>
      <c r="AC154" s="25">
        <f>IF(AC$3="","",IF(COUNTIFS(Base!$A$3:$A$5001,AC$3,Base!$B$3:$B$5001,$A$147,Base!$X$3:$X$5001,"&lt;&gt;")=0,"",SUMIFS(Base!$X$3:$X$5001,Base!$A$3:$A$5001,AC$3,Base!$B$3:$B$5001,$A$147)))</f>
        <v>1800</v>
      </c>
      <c r="AD154" s="25">
        <f>IF(AD$3="","",IF(COUNTIFS(Base!$A$3:$A$5001,AD$3,Base!$B$3:$B$5001,$A$147,Base!$X$3:$X$5001,"&lt;&gt;")=0,"",SUMIFS(Base!$X$3:$X$5001,Base!$A$3:$A$5001,AD$3,Base!$B$3:$B$5001,$A$147)))</f>
        <v>1800</v>
      </c>
      <c r="AE154" s="25">
        <f>IF(AE$3="","",IF(COUNTIFS(Base!$A$3:$A$5001,AE$3,Base!$B$3:$B$5001,$A$147,Base!$X$3:$X$5001,"&lt;&gt;")=0,"",SUMIFS(Base!$X$3:$X$5001,Base!$A$3:$A$5001,AE$3,Base!$B$3:$B$5001,$A$147)))</f>
        <v>1800</v>
      </c>
      <c r="AF154" s="25" t="str">
        <f>IF(AF$3="","",IF(COUNTIFS(Base!$A$3:$A$5001,AF$3,Base!$B$3:$B$5001,$A$147,Base!$X$3:$X$5001,"&lt;&gt;")=0,"",SUMIFS(Base!$X$3:$X$5001,Base!$A$3:$A$5001,AF$3,Base!$B$3:$B$5001,$A$147)))</f>
        <v/>
      </c>
      <c r="AG154" s="25">
        <f>IF(AG$3="","",IF(COUNTIFS(Base!$A$3:$A$5001,AG$3,Base!$B$3:$B$5001,$A$147,Base!$X$3:$X$5001,"&lt;&gt;")=0,"",SUMIFS(Base!$X$3:$X$5001,Base!$A$3:$A$5001,AG$3,Base!$B$3:$B$5001,$A$147)))</f>
        <v>1800</v>
      </c>
      <c r="AH154" s="25">
        <f>IF(AH$3="","",IF(COUNTIFS(Base!$A$3:$A$5001,AH$3,Base!$B$3:$B$5001,$A$147,Base!$X$3:$X$5001,"&lt;&gt;")=0,"",SUMIFS(Base!$X$3:$X$5001,Base!$A$3:$A$5001,AH$3,Base!$B$3:$B$5001,$A$147)))</f>
        <v>1800</v>
      </c>
      <c r="AI154" s="25" t="str">
        <f>IF(AI$3="","",IF(COUNTIFS(Base!$A$3:$A$5001,AI$3,Base!$B$3:$B$5001,$A$147,Base!$X$3:$X$5001,"&lt;&gt;")=0,"",SUMIFS(Base!$X$3:$X$5001,Base!$A$3:$A$5001,AI$3,Base!$B$3:$B$5001,$A$147)))</f>
        <v/>
      </c>
      <c r="AJ154" s="26" t="str">
        <f>IF(AJ$3="","",IF(COUNTIFS(Base!$A$3:$A$5001,AJ$3,Base!$B$3:$B$5001,$A$147,Base!$X$3:$X$5001,"&lt;&gt;")=0,"",SUMIFS(Base!$X$3:$X$5001,Base!$A$3:$A$5001,AJ$3,Base!$B$3:$B$5001,$A$147)))</f>
        <v/>
      </c>
      <c r="AK154" s="27">
        <f>IFERROR(LOOKUP(9.99E+307,F154:AJ154),"")</f>
        <v>1800</v>
      </c>
    </row>
    <row r="155" ht="15.75" customHeight="1">
      <c r="A155" s="118"/>
      <c r="B155" s="106"/>
      <c r="C155" s="28" t="inlineStr">
        <is>
          <t xml:space="preserve">Posições Ocupadas</t>
        </is>
      </c>
      <c r="D155" s="29" t="str">
        <f>IFERROR(1/(1/INDEX(calculos!$C$55:$K$83,MATCH("Posições Ocupadas",calculos!$A$55:$A$83,0),MATCH($A$147,calculos!$C$54:$K$54,0))),"")</f>
        <v/>
      </c>
      <c r="E155" s="30"/>
      <c r="F155" s="31">
        <f>IF(F$3="","",IF(COUNTIFS(Base!$A$3:$A$5001,F$3,Base!$B$3:$B$5001,$A$147,Base!$Y$3:$Y$5001,"&lt;&gt;")=0,"",SUMIFS(Base!$Y$3:$Y$5001,Base!$A$3:$A$5001,F$3,Base!$B$3:$B$5001,$A$147)))</f>
        <v>1121</v>
      </c>
      <c r="G155" s="32">
        <f>IF(G$3="","",IF(COUNTIFS(Base!$A$3:$A$5001,G$3,Base!$B$3:$B$5001,$A$147,Base!$Y$3:$Y$5001,"&lt;&gt;")=0,"",SUMIFS(Base!$Y$3:$Y$5001,Base!$A$3:$A$5001,G$3,Base!$B$3:$B$5001,$A$147)))</f>
        <v>1673</v>
      </c>
      <c r="H155" s="32">
        <f>IF(H$3="","",IF(COUNTIFS(Base!$A$3:$A$5001,H$3,Base!$B$3:$B$5001,$A$147,Base!$Y$3:$Y$5001,"&lt;&gt;")=0,"",SUMIFS(Base!$Y$3:$Y$5001,Base!$A$3:$A$5001,H$3,Base!$B$3:$B$5001,$A$147)))</f>
        <v>1393</v>
      </c>
      <c r="I155" s="32">
        <f>IF(I$3="","",IF(COUNTIFS(Base!$A$3:$A$5001,I$3,Base!$B$3:$B$5001,$A$147,Base!$Y$3:$Y$5001,"&lt;&gt;")=0,"",SUMIFS(Base!$Y$3:$Y$5001,Base!$A$3:$A$5001,I$3,Base!$B$3:$B$5001,$A$147)))</f>
        <v>1031</v>
      </c>
      <c r="J155" s="32">
        <f>IF(J$3="","",IF(COUNTIFS(Base!$A$3:$A$5001,J$3,Base!$B$3:$B$5001,$A$147,Base!$Y$3:$Y$5001,"&lt;&gt;")=0,"",SUMIFS(Base!$Y$3:$Y$5001,Base!$A$3:$A$5001,J$3,Base!$B$3:$B$5001,$A$147)))</f>
        <v>1694</v>
      </c>
      <c r="K155" s="32" t="str">
        <f>IF(K$3="","",IF(COUNTIFS(Base!$A$3:$A$5001,K$3,Base!$B$3:$B$5001,$A$147,Base!$Y$3:$Y$5001,"&lt;&gt;")=0,"",SUMIFS(Base!$Y$3:$Y$5001,Base!$A$3:$A$5001,K$3,Base!$B$3:$B$5001,$A$147)))</f>
        <v/>
      </c>
      <c r="L155" s="32">
        <f>IF(L$3="","",IF(COUNTIFS(Base!$A$3:$A$5001,L$3,Base!$B$3:$B$5001,$A$147,Base!$Y$3:$Y$5001,"&lt;&gt;")=0,"",SUMIFS(Base!$Y$3:$Y$5001,Base!$A$3:$A$5001,L$3,Base!$B$3:$B$5001,$A$147)))</f>
        <v>1660</v>
      </c>
      <c r="M155" s="32">
        <f>IF(M$3="","",IF(COUNTIFS(Base!$A$3:$A$5001,M$3,Base!$B$3:$B$5001,$A$147,Base!$Y$3:$Y$5001,"&lt;&gt;")=0,"",SUMIFS(Base!$Y$3:$Y$5001,Base!$A$3:$A$5001,M$3,Base!$B$3:$B$5001,$A$147)))</f>
        <v>1384</v>
      </c>
      <c r="N155" s="32">
        <f>IF(N$3="","",IF(COUNTIFS(Base!$A$3:$A$5001,N$3,Base!$B$3:$B$5001,$A$147,Base!$Y$3:$Y$5001,"&lt;&gt;")=0,"",SUMIFS(Base!$Y$3:$Y$5001,Base!$A$3:$A$5001,N$3,Base!$B$3:$B$5001,$A$147)))</f>
        <v>1083</v>
      </c>
      <c r="O155" s="32">
        <f>IF(O$3="","",IF(COUNTIFS(Base!$A$3:$A$5001,O$3,Base!$B$3:$B$5001,$A$147,Base!$Y$3:$Y$5001,"&lt;&gt;")=0,"",SUMIFS(Base!$Y$3:$Y$5001,Base!$A$3:$A$5001,O$3,Base!$B$3:$B$5001,$A$147)))</f>
        <v>1314</v>
      </c>
      <c r="P155" s="32">
        <f>IF(P$3="","",IF(COUNTIFS(Base!$A$3:$A$5001,P$3,Base!$B$3:$B$5001,$A$147,Base!$Y$3:$Y$5001,"&lt;&gt;")=0,"",SUMIFS(Base!$Y$3:$Y$5001,Base!$A$3:$A$5001,P$3,Base!$B$3:$B$5001,$A$147)))</f>
        <v>1458</v>
      </c>
      <c r="Q155" s="32">
        <f>IF(Q$3="","",IF(COUNTIFS(Base!$A$3:$A$5001,Q$3,Base!$B$3:$B$5001,$A$147,Base!$Y$3:$Y$5001,"&lt;&gt;")=0,"",SUMIFS(Base!$Y$3:$Y$5001,Base!$A$3:$A$5001,Q$3,Base!$B$3:$B$5001,$A$147)))</f>
        <v>1299</v>
      </c>
      <c r="R155" s="32" t="str">
        <f>IF(R$3="","",IF(COUNTIFS(Base!$A$3:$A$5001,R$3,Base!$B$3:$B$5001,$A$147,Base!$Y$3:$Y$5001,"&lt;&gt;")=0,"",SUMIFS(Base!$Y$3:$Y$5001,Base!$A$3:$A$5001,R$3,Base!$B$3:$B$5001,$A$147)))</f>
        <v/>
      </c>
      <c r="S155" s="32">
        <f>IF(S$3="","",IF(COUNTIFS(Base!$A$3:$A$5001,S$3,Base!$B$3:$B$5001,$A$147,Base!$Y$3:$Y$5001,"&lt;&gt;")=0,"",SUMIFS(Base!$Y$3:$Y$5001,Base!$A$3:$A$5001,S$3,Base!$B$3:$B$5001,$A$147)))</f>
        <v>1408</v>
      </c>
      <c r="T155" s="32">
        <f>IF(T$3="","",IF(COUNTIFS(Base!$A$3:$A$5001,T$3,Base!$B$3:$B$5001,$A$147,Base!$Y$3:$Y$5001,"&lt;&gt;")=0,"",SUMIFS(Base!$Y$3:$Y$5001,Base!$A$3:$A$5001,T$3,Base!$B$3:$B$5001,$A$147)))</f>
        <v>1174</v>
      </c>
      <c r="U155" s="32">
        <f>IF(U$3="","",IF(COUNTIFS(Base!$A$3:$A$5001,U$3,Base!$B$3:$B$5001,$A$147,Base!$Y$3:$Y$5001,"&lt;&gt;")=0,"",SUMIFS(Base!$Y$3:$Y$5001,Base!$A$3:$A$5001,U$3,Base!$B$3:$B$5001,$A$147)))</f>
        <v>1211</v>
      </c>
      <c r="V155" s="32">
        <f>IF(V$3="","",IF(COUNTIFS(Base!$A$3:$A$5001,V$3,Base!$B$3:$B$5001,$A$147,Base!$Y$3:$Y$5001,"&lt;&gt;")=0,"",SUMIFS(Base!$Y$3:$Y$5001,Base!$A$3:$A$5001,V$3,Base!$B$3:$B$5001,$A$147)))</f>
        <v>1268</v>
      </c>
      <c r="W155" s="32">
        <f>IF(W$3="","",IF(COUNTIFS(Base!$A$3:$A$5001,W$3,Base!$B$3:$B$5001,$A$147,Base!$Y$3:$Y$5001,"&lt;&gt;")=0,"",SUMIFS(Base!$Y$3:$Y$5001,Base!$A$3:$A$5001,W$3,Base!$B$3:$B$5001,$A$147)))</f>
        <v>1375</v>
      </c>
      <c r="X155" s="32">
        <f>IF(X$3="","",IF(COUNTIFS(Base!$A$3:$A$5001,X$3,Base!$B$3:$B$5001,$A$147,Base!$Y$3:$Y$5001,"&lt;&gt;")=0,"",SUMIFS(Base!$Y$3:$Y$5001,Base!$A$3:$A$5001,X$3,Base!$B$3:$B$5001,$A$147)))</f>
        <v>1674</v>
      </c>
      <c r="Y155" s="32" t="str">
        <f>IF(Y$3="","",IF(COUNTIFS(Base!$A$3:$A$5001,Y$3,Base!$B$3:$B$5001,$A$147,Base!$Y$3:$Y$5001,"&lt;&gt;")=0,"",SUMIFS(Base!$Y$3:$Y$5001,Base!$A$3:$A$5001,Y$3,Base!$B$3:$B$5001,$A$147)))</f>
        <v/>
      </c>
      <c r="Z155" s="32">
        <f>IF(Z$3="","",IF(COUNTIFS(Base!$A$3:$A$5001,Z$3,Base!$B$3:$B$5001,$A$147,Base!$Y$3:$Y$5001,"&lt;&gt;")=0,"",SUMIFS(Base!$Y$3:$Y$5001,Base!$A$3:$A$5001,Z$3,Base!$B$3:$B$5001,$A$147)))</f>
        <v>1247</v>
      </c>
      <c r="AA155" s="32">
        <f>IF(AA$3="","",IF(COUNTIFS(Base!$A$3:$A$5001,AA$3,Base!$B$3:$B$5001,$A$147,Base!$Y$3:$Y$5001,"&lt;&gt;")=0,"",SUMIFS(Base!$Y$3:$Y$5001,Base!$A$3:$A$5001,AA$3,Base!$B$3:$B$5001,$A$147)))</f>
        <v>1698</v>
      </c>
      <c r="AB155" s="32">
        <f>IF(AB$3="","",IF(COUNTIFS(Base!$A$3:$A$5001,AB$3,Base!$B$3:$B$5001,$A$147,Base!$Y$3:$Y$5001,"&lt;&gt;")=0,"",SUMIFS(Base!$Y$3:$Y$5001,Base!$A$3:$A$5001,AB$3,Base!$B$3:$B$5001,$A$147)))</f>
        <v>1697</v>
      </c>
      <c r="AC155" s="32">
        <f>IF(AC$3="","",IF(COUNTIFS(Base!$A$3:$A$5001,AC$3,Base!$B$3:$B$5001,$A$147,Base!$Y$3:$Y$5001,"&lt;&gt;")=0,"",SUMIFS(Base!$Y$3:$Y$5001,Base!$A$3:$A$5001,AC$3,Base!$B$3:$B$5001,$A$147)))</f>
        <v>1435</v>
      </c>
      <c r="AD155" s="32">
        <f>IF(AD$3="","",IF(COUNTIFS(Base!$A$3:$A$5001,AD$3,Base!$B$3:$B$5001,$A$147,Base!$Y$3:$Y$5001,"&lt;&gt;")=0,"",SUMIFS(Base!$Y$3:$Y$5001,Base!$A$3:$A$5001,AD$3,Base!$B$3:$B$5001,$A$147)))</f>
        <v>1344</v>
      </c>
      <c r="AE155" s="32">
        <f>IF(AE$3="","",IF(COUNTIFS(Base!$A$3:$A$5001,AE$3,Base!$B$3:$B$5001,$A$147,Base!$Y$3:$Y$5001,"&lt;&gt;")=0,"",SUMIFS(Base!$Y$3:$Y$5001,Base!$A$3:$A$5001,AE$3,Base!$B$3:$B$5001,$A$147)))</f>
        <v>1346</v>
      </c>
      <c r="AF155" s="32" t="str">
        <f>IF(AF$3="","",IF(COUNTIFS(Base!$A$3:$A$5001,AF$3,Base!$B$3:$B$5001,$A$147,Base!$Y$3:$Y$5001,"&lt;&gt;")=0,"",SUMIFS(Base!$Y$3:$Y$5001,Base!$A$3:$A$5001,AF$3,Base!$B$3:$B$5001,$A$147)))</f>
        <v/>
      </c>
      <c r="AG155" s="32">
        <f>IF(AG$3="","",IF(COUNTIFS(Base!$A$3:$A$5001,AG$3,Base!$B$3:$B$5001,$A$147,Base!$Y$3:$Y$5001,"&lt;&gt;")=0,"",SUMIFS(Base!$Y$3:$Y$5001,Base!$A$3:$A$5001,AG$3,Base!$B$3:$B$5001,$A$147)))</f>
        <v>1622</v>
      </c>
      <c r="AH155" s="32">
        <f>IF(AH$3="","",IF(COUNTIFS(Base!$A$3:$A$5001,AH$3,Base!$B$3:$B$5001,$A$147,Base!$Y$3:$Y$5001,"&lt;&gt;")=0,"",SUMIFS(Base!$Y$3:$Y$5001,Base!$A$3:$A$5001,AH$3,Base!$B$3:$B$5001,$A$147)))</f>
        <v>1078</v>
      </c>
      <c r="AI155" s="32" t="str">
        <f>IF(AI$3="","",IF(COUNTIFS(Base!$A$3:$A$5001,AI$3,Base!$B$3:$B$5001,$A$147,Base!$Y$3:$Y$5001,"&lt;&gt;")=0,"",SUMIFS(Base!$Y$3:$Y$5001,Base!$A$3:$A$5001,AI$3,Base!$B$3:$B$5001,$A$147)))</f>
        <v/>
      </c>
      <c r="AJ155" s="33" t="str">
        <f>IF(AJ$3="","",IF(COUNTIFS(Base!$A$3:$A$5001,AJ$3,Base!$B$3:$B$5001,$A$147,Base!$Y$3:$Y$5001,"&lt;&gt;")=0,"",SUMIFS(Base!$Y$3:$Y$5001,Base!$A$3:$A$5001,AJ$3,Base!$B$3:$B$5001,$A$147)))</f>
        <v/>
      </c>
      <c r="AK155" s="34">
        <f>IFERROR(LOOKUP(9.99E+307,F155:AJ155),"")</f>
        <v>1078</v>
      </c>
    </row>
    <row r="156" ht="15.75" customHeight="1">
      <c r="A156" s="118"/>
      <c r="B156" s="107"/>
      <c r="C156" s="35" t="inlineStr">
        <is>
          <t xml:space="preserve">Taxa de Ocupação</t>
        </is>
      </c>
      <c r="D156" s="81" t="str">
        <f>IFERROR(1/(1/INDEX(calculos!$C$55:$K$83,MATCH("Taxa de Ocupação",calculos!$A$55:$A$83,0),MATCH($A$147,calculos!$C$54:$K$54,0))),"")</f>
        <v/>
      </c>
      <c r="E156" s="37"/>
      <c r="F156" s="82">
        <f>IF(AND(ISNUMBER(F154),ISNUMBER(F155)),IF(F154&gt;0,F155/F154,""),"")</f>
        <v>0.622777777777778</v>
      </c>
      <c r="G156" s="83">
        <f>IF(AND(ISNUMBER(G154),ISNUMBER(G155)),IF(G154&gt;0,G155/G154,""),"")</f>
        <v>0.929444444444444</v>
      </c>
      <c r="H156" s="83">
        <f>IF(AND(ISNUMBER(H154),ISNUMBER(H155)),IF(H154&gt;0,H155/H154,""),"")</f>
        <v>0.773888888888889</v>
      </c>
      <c r="I156" s="83">
        <f>IF(AND(ISNUMBER(I154),ISNUMBER(I155)),IF(I154&gt;0,I155/I154,""),"")</f>
        <v>0.572777777777778</v>
      </c>
      <c r="J156" s="83">
        <f>IF(AND(ISNUMBER(J154),ISNUMBER(J155)),IF(J154&gt;0,J155/J154,""),"")</f>
        <v>0.941111111111111</v>
      </c>
      <c r="K156" s="83" t="str">
        <f>IF(AND(ISNUMBER(K154),ISNUMBER(K155)),IF(K154&gt;0,K155/K154,""),"")</f>
        <v/>
      </c>
      <c r="L156" s="83">
        <f>IF(AND(ISNUMBER(L154),ISNUMBER(L155)),IF(L154&gt;0,L155/L154,""),"")</f>
        <v>0.922222222222222</v>
      </c>
      <c r="M156" s="83">
        <f>IF(AND(ISNUMBER(M154),ISNUMBER(M155)),IF(M154&gt;0,M155/M154,""),"")</f>
        <v>0.768888888888889</v>
      </c>
      <c r="N156" s="83">
        <f>IF(AND(ISNUMBER(N154),ISNUMBER(N155)),IF(N154&gt;0,N155/N154,""),"")</f>
        <v>0.601666666666667</v>
      </c>
      <c r="O156" s="83">
        <f>IF(AND(ISNUMBER(O154),ISNUMBER(O155)),IF(O154&gt;0,O155/O154,""),"")</f>
        <v>0.73</v>
      </c>
      <c r="P156" s="83">
        <f>IF(AND(ISNUMBER(P154),ISNUMBER(P155)),IF(P154&gt;0,P155/P154,""),"")</f>
        <v>0.81</v>
      </c>
      <c r="Q156" s="83">
        <f>IF(AND(ISNUMBER(Q154),ISNUMBER(Q155)),IF(Q154&gt;0,Q155/Q154,""),"")</f>
        <v>0.721666666666667</v>
      </c>
      <c r="R156" s="83" t="str">
        <f>IF(AND(ISNUMBER(R154),ISNUMBER(R155)),IF(R154&gt;0,R155/R154,""),"")</f>
        <v/>
      </c>
      <c r="S156" s="83">
        <f>IF(AND(ISNUMBER(S154),ISNUMBER(S155)),IF(S154&gt;0,S155/S154,""),"")</f>
        <v>0.782222222222222</v>
      </c>
      <c r="T156" s="83">
        <f>IF(AND(ISNUMBER(T154),ISNUMBER(T155)),IF(T154&gt;0,T155/T154,""),"")</f>
        <v>0.652222222222222</v>
      </c>
      <c r="U156" s="83">
        <f>IF(AND(ISNUMBER(U154),ISNUMBER(U155)),IF(U154&gt;0,U155/U154,""),"")</f>
        <v>0.672777777777778</v>
      </c>
      <c r="V156" s="83">
        <f>IF(AND(ISNUMBER(V154),ISNUMBER(V155)),IF(V154&gt;0,V155/V154,""),"")</f>
        <v>0.704444444444444</v>
      </c>
      <c r="W156" s="83">
        <f>IF(AND(ISNUMBER(W154),ISNUMBER(W155)),IF(W154&gt;0,W155/W154,""),"")</f>
        <v>0.763888888888889</v>
      </c>
      <c r="X156" s="83">
        <f>IF(AND(ISNUMBER(X154),ISNUMBER(X155)),IF(X154&gt;0,X155/X154,""),"")</f>
        <v>0.93</v>
      </c>
      <c r="Y156" s="83" t="str">
        <f>IF(AND(ISNUMBER(Y154),ISNUMBER(Y155)),IF(Y154&gt;0,Y155/Y154,""),"")</f>
        <v/>
      </c>
      <c r="Z156" s="83">
        <f>IF(AND(ISNUMBER(Z154),ISNUMBER(Z155)),IF(Z154&gt;0,Z155/Z154,""),"")</f>
        <v>0.692777777777778</v>
      </c>
      <c r="AA156" s="83">
        <f>IF(AND(ISNUMBER(AA154),ISNUMBER(AA155)),IF(AA154&gt;0,AA155/AA154,""),"")</f>
        <v>0.943333333333333</v>
      </c>
      <c r="AB156" s="83">
        <f>IF(AND(ISNUMBER(AB154),ISNUMBER(AB155)),IF(AB154&gt;0,AB155/AB154,""),"")</f>
        <v>0.942777777777778</v>
      </c>
      <c r="AC156" s="83">
        <f>IF(AND(ISNUMBER(AC154),ISNUMBER(AC155)),IF(AC154&gt;0,AC155/AC154,""),"")</f>
        <v>0.797222222222222</v>
      </c>
      <c r="AD156" s="83">
        <f>IF(AND(ISNUMBER(AD154),ISNUMBER(AD155)),IF(AD154&gt;0,AD155/AD154,""),"")</f>
        <v>0.746666666666667</v>
      </c>
      <c r="AE156" s="83">
        <f>IF(AND(ISNUMBER(AE154),ISNUMBER(AE155)),IF(AE154&gt;0,AE155/AE154,""),"")</f>
        <v>0.747777777777778</v>
      </c>
      <c r="AF156" s="83" t="str">
        <f>IF(AND(ISNUMBER(AF154),ISNUMBER(AF155)),IF(AF154&gt;0,AF155/AF154,""),"")</f>
        <v/>
      </c>
      <c r="AG156" s="83">
        <f>IF(AND(ISNUMBER(AG154),ISNUMBER(AG155)),IF(AG154&gt;0,AG155/AG154,""),"")</f>
        <v>0.901111111111111</v>
      </c>
      <c r="AH156" s="83">
        <f>IF(AND(ISNUMBER(AH154),ISNUMBER(AH155)),IF(AH154&gt;0,AH155/AH154,""),"")</f>
        <v>0.598888888888889</v>
      </c>
      <c r="AI156" s="83" t="str">
        <f>IF(AND(ISNUMBER(AI154),ISNUMBER(AI155)),IF(AI154&gt;0,AI155/AI154,""),"")</f>
        <v/>
      </c>
      <c r="AJ156" s="84" t="str">
        <f>IF(AND(ISNUMBER(AJ154),ISNUMBER(AJ155)),IF(AJ154&gt;0,AJ155/AJ154,""),"")</f>
        <v/>
      </c>
      <c r="AK156" s="81">
        <f>IF(AND(ISNUMBER(AK154),ISNUMBER(AK155)),IF(AK154&gt;0,AK155/AK154,""),"")</f>
        <v>0.598888888888889</v>
      </c>
    </row>
    <row r="157" ht="15.75" customHeight="1">
      <c r="A157" s="118"/>
      <c r="B157" s="114" t="inlineStr">
        <is>
          <t xml:space="preserve">GENTE</t>
        </is>
      </c>
      <c r="C157" s="85" t="inlineStr">
        <is>
          <t xml:space="preserve">Efetivo</t>
        </is>
      </c>
      <c r="D157" s="86" t="str">
        <f>IFERROR(1/(1/INDEX(calculos!$C$55:$K$83,MATCH("Efetivo",calculos!$A$55:$A$83,0),MATCH($A$147,calculos!$C$54:$K$54,0))),"")</f>
        <v/>
      </c>
      <c r="E157" s="87"/>
      <c r="F157" s="88">
        <f>IF(F$3="","",IF(COUNTIFS(Base!$A$3:$A$5001,F$3,Base!$B$3:$B$5001,$A$147,Base!$Z$3:$Z$5001,"&lt;&gt;")=0,"",SUMIFS(Base!$Z$3:$Z$5001,Base!$A$3:$A$5001,F$3,Base!$B$3:$B$5001,$A$147)))</f>
        <v>13</v>
      </c>
      <c r="G157" s="89">
        <f>IF(G$3="","",IF(COUNTIFS(Base!$A$3:$A$5001,G$3,Base!$B$3:$B$5001,$A$147,Base!$Z$3:$Z$5001,"&lt;&gt;")=0,"",SUMIFS(Base!$Z$3:$Z$5001,Base!$A$3:$A$5001,G$3,Base!$B$3:$B$5001,$A$147)))</f>
        <v>8</v>
      </c>
      <c r="H157" s="89">
        <f>IF(H$3="","",IF(COUNTIFS(Base!$A$3:$A$5001,H$3,Base!$B$3:$B$5001,$A$147,Base!$Z$3:$Z$5001,"&lt;&gt;")=0,"",SUMIFS(Base!$Z$3:$Z$5001,Base!$A$3:$A$5001,H$3,Base!$B$3:$B$5001,$A$147)))</f>
        <v>5</v>
      </c>
      <c r="I157" s="89">
        <f>IF(I$3="","",IF(COUNTIFS(Base!$A$3:$A$5001,I$3,Base!$B$3:$B$5001,$A$147,Base!$Z$3:$Z$5001,"&lt;&gt;")=0,"",SUMIFS(Base!$Z$3:$Z$5001,Base!$A$3:$A$5001,I$3,Base!$B$3:$B$5001,$A$147)))</f>
        <v>13</v>
      </c>
      <c r="J157" s="89">
        <f>IF(J$3="","",IF(COUNTIFS(Base!$A$3:$A$5001,J$3,Base!$B$3:$B$5001,$A$147,Base!$Z$3:$Z$5001,"&lt;&gt;")=0,"",SUMIFS(Base!$Z$3:$Z$5001,Base!$A$3:$A$5001,J$3,Base!$B$3:$B$5001,$A$147)))</f>
        <v>4</v>
      </c>
      <c r="K157" s="89" t="str">
        <f>IF(K$3="","",IF(COUNTIFS(Base!$A$3:$A$5001,K$3,Base!$B$3:$B$5001,$A$147,Base!$Z$3:$Z$5001,"&lt;&gt;")=0,"",SUMIFS(Base!$Z$3:$Z$5001,Base!$A$3:$A$5001,K$3,Base!$B$3:$B$5001,$A$147)))</f>
        <v/>
      </c>
      <c r="L157" s="89">
        <f>IF(L$3="","",IF(COUNTIFS(Base!$A$3:$A$5001,L$3,Base!$B$3:$B$5001,$A$147,Base!$Z$3:$Z$5001,"&lt;&gt;")=0,"",SUMIFS(Base!$Z$3:$Z$5001,Base!$A$3:$A$5001,L$3,Base!$B$3:$B$5001,$A$147)))</f>
        <v>4</v>
      </c>
      <c r="M157" s="89">
        <f>IF(M$3="","",IF(COUNTIFS(Base!$A$3:$A$5001,M$3,Base!$B$3:$B$5001,$A$147,Base!$Z$3:$Z$5001,"&lt;&gt;")=0,"",SUMIFS(Base!$Z$3:$Z$5001,Base!$A$3:$A$5001,M$3,Base!$B$3:$B$5001,$A$147)))</f>
        <v>9</v>
      </c>
      <c r="N157" s="89">
        <f>IF(N$3="","",IF(COUNTIFS(Base!$A$3:$A$5001,N$3,Base!$B$3:$B$5001,$A$147,Base!$Z$3:$Z$5001,"&lt;&gt;")=0,"",SUMIFS(Base!$Z$3:$Z$5001,Base!$A$3:$A$5001,N$3,Base!$B$3:$B$5001,$A$147)))</f>
        <v>7</v>
      </c>
      <c r="O157" s="89">
        <f>IF(O$3="","",IF(COUNTIFS(Base!$A$3:$A$5001,O$3,Base!$B$3:$B$5001,$A$147,Base!$Z$3:$Z$5001,"&lt;&gt;")=0,"",SUMIFS(Base!$Z$3:$Z$5001,Base!$A$3:$A$5001,O$3,Base!$B$3:$B$5001,$A$147)))</f>
        <v>5</v>
      </c>
      <c r="P157" s="89">
        <f>IF(P$3="","",IF(COUNTIFS(Base!$A$3:$A$5001,P$3,Base!$B$3:$B$5001,$A$147,Base!$Z$3:$Z$5001,"&lt;&gt;")=0,"",SUMIFS(Base!$Z$3:$Z$5001,Base!$A$3:$A$5001,P$3,Base!$B$3:$B$5001,$A$147)))</f>
        <v>6</v>
      </c>
      <c r="Q157" s="89">
        <f>IF(Q$3="","",IF(COUNTIFS(Base!$A$3:$A$5001,Q$3,Base!$B$3:$B$5001,$A$147,Base!$Z$3:$Z$5001,"&lt;&gt;")=0,"",SUMIFS(Base!$Z$3:$Z$5001,Base!$A$3:$A$5001,Q$3,Base!$B$3:$B$5001,$A$147)))</f>
        <v>11</v>
      </c>
      <c r="R157" s="89" t="str">
        <f>IF(R$3="","",IF(COUNTIFS(Base!$A$3:$A$5001,R$3,Base!$B$3:$B$5001,$A$147,Base!$Z$3:$Z$5001,"&lt;&gt;")=0,"",SUMIFS(Base!$Z$3:$Z$5001,Base!$A$3:$A$5001,R$3,Base!$B$3:$B$5001,$A$147)))</f>
        <v/>
      </c>
      <c r="S157" s="89">
        <f>IF(S$3="","",IF(COUNTIFS(Base!$A$3:$A$5001,S$3,Base!$B$3:$B$5001,$A$147,Base!$Z$3:$Z$5001,"&lt;&gt;")=0,"",SUMIFS(Base!$Z$3:$Z$5001,Base!$A$3:$A$5001,S$3,Base!$B$3:$B$5001,$A$147)))</f>
        <v>13</v>
      </c>
      <c r="T157" s="89">
        <f>IF(T$3="","",IF(COUNTIFS(Base!$A$3:$A$5001,T$3,Base!$B$3:$B$5001,$A$147,Base!$Z$3:$Z$5001,"&lt;&gt;")=0,"",SUMIFS(Base!$Z$3:$Z$5001,Base!$A$3:$A$5001,T$3,Base!$B$3:$B$5001,$A$147)))</f>
        <v>6</v>
      </c>
      <c r="U157" s="89">
        <f>IF(U$3="","",IF(COUNTIFS(Base!$A$3:$A$5001,U$3,Base!$B$3:$B$5001,$A$147,Base!$Z$3:$Z$5001,"&lt;&gt;")=0,"",SUMIFS(Base!$Z$3:$Z$5001,Base!$A$3:$A$5001,U$3,Base!$B$3:$B$5001,$A$147)))</f>
        <v>4</v>
      </c>
      <c r="V157" s="89">
        <f>IF(V$3="","",IF(COUNTIFS(Base!$A$3:$A$5001,V$3,Base!$B$3:$B$5001,$A$147,Base!$Z$3:$Z$5001,"&lt;&gt;")=0,"",SUMIFS(Base!$Z$3:$Z$5001,Base!$A$3:$A$5001,V$3,Base!$B$3:$B$5001,$A$147)))</f>
        <v>6</v>
      </c>
      <c r="W157" s="89">
        <f>IF(W$3="","",IF(COUNTIFS(Base!$A$3:$A$5001,W$3,Base!$B$3:$B$5001,$A$147,Base!$Z$3:$Z$5001,"&lt;&gt;")=0,"",SUMIFS(Base!$Z$3:$Z$5001,Base!$A$3:$A$5001,W$3,Base!$B$3:$B$5001,$A$147)))</f>
        <v>6</v>
      </c>
      <c r="X157" s="89">
        <f>IF(X$3="","",IF(COUNTIFS(Base!$A$3:$A$5001,X$3,Base!$B$3:$B$5001,$A$147,Base!$Z$3:$Z$5001,"&lt;&gt;")=0,"",SUMIFS(Base!$Z$3:$Z$5001,Base!$A$3:$A$5001,X$3,Base!$B$3:$B$5001,$A$147)))</f>
        <v>10</v>
      </c>
      <c r="Y157" s="89" t="str">
        <f>IF(Y$3="","",IF(COUNTIFS(Base!$A$3:$A$5001,Y$3,Base!$B$3:$B$5001,$A$147,Base!$Z$3:$Z$5001,"&lt;&gt;")=0,"",SUMIFS(Base!$Z$3:$Z$5001,Base!$A$3:$A$5001,Y$3,Base!$B$3:$B$5001,$A$147)))</f>
        <v/>
      </c>
      <c r="Z157" s="89">
        <f>IF(Z$3="","",IF(COUNTIFS(Base!$A$3:$A$5001,Z$3,Base!$B$3:$B$5001,$A$147,Base!$Z$3:$Z$5001,"&lt;&gt;")=0,"",SUMIFS(Base!$Z$3:$Z$5001,Base!$A$3:$A$5001,Z$3,Base!$B$3:$B$5001,$A$147)))</f>
        <v>9</v>
      </c>
      <c r="AA157" s="89">
        <f>IF(AA$3="","",IF(COUNTIFS(Base!$A$3:$A$5001,AA$3,Base!$B$3:$B$5001,$A$147,Base!$Z$3:$Z$5001,"&lt;&gt;")=0,"",SUMIFS(Base!$Z$3:$Z$5001,Base!$A$3:$A$5001,AA$3,Base!$B$3:$B$5001,$A$147)))</f>
        <v>12</v>
      </c>
      <c r="AB157" s="89">
        <f>IF(AB$3="","",IF(COUNTIFS(Base!$A$3:$A$5001,AB$3,Base!$B$3:$B$5001,$A$147,Base!$Z$3:$Z$5001,"&lt;&gt;")=0,"",SUMIFS(Base!$Z$3:$Z$5001,Base!$A$3:$A$5001,AB$3,Base!$B$3:$B$5001,$A$147)))</f>
        <v>4</v>
      </c>
      <c r="AC157" s="89">
        <f>IF(AC$3="","",IF(COUNTIFS(Base!$A$3:$A$5001,AC$3,Base!$B$3:$B$5001,$A$147,Base!$Z$3:$Z$5001,"&lt;&gt;")=0,"",SUMIFS(Base!$Z$3:$Z$5001,Base!$A$3:$A$5001,AC$3,Base!$B$3:$B$5001,$A$147)))</f>
        <v>13</v>
      </c>
      <c r="AD157" s="89">
        <f>IF(AD$3="","",IF(COUNTIFS(Base!$A$3:$A$5001,AD$3,Base!$B$3:$B$5001,$A$147,Base!$Z$3:$Z$5001,"&lt;&gt;")=0,"",SUMIFS(Base!$Z$3:$Z$5001,Base!$A$3:$A$5001,AD$3,Base!$B$3:$B$5001,$A$147)))</f>
        <v>7</v>
      </c>
      <c r="AE157" s="89">
        <f>IF(AE$3="","",IF(COUNTIFS(Base!$A$3:$A$5001,AE$3,Base!$B$3:$B$5001,$A$147,Base!$Z$3:$Z$5001,"&lt;&gt;")=0,"",SUMIFS(Base!$Z$3:$Z$5001,Base!$A$3:$A$5001,AE$3,Base!$B$3:$B$5001,$A$147)))</f>
        <v>9</v>
      </c>
      <c r="AF157" s="89" t="str">
        <f>IF(AF$3="","",IF(COUNTIFS(Base!$A$3:$A$5001,AF$3,Base!$B$3:$B$5001,$A$147,Base!$Z$3:$Z$5001,"&lt;&gt;")=0,"",SUMIFS(Base!$Z$3:$Z$5001,Base!$A$3:$A$5001,AF$3,Base!$B$3:$B$5001,$A$147)))</f>
        <v/>
      </c>
      <c r="AG157" s="89">
        <f>IF(AG$3="","",IF(COUNTIFS(Base!$A$3:$A$5001,AG$3,Base!$B$3:$B$5001,$A$147,Base!$Z$3:$Z$5001,"&lt;&gt;")=0,"",SUMIFS(Base!$Z$3:$Z$5001,Base!$A$3:$A$5001,AG$3,Base!$B$3:$B$5001,$A$147)))</f>
        <v>7</v>
      </c>
      <c r="AH157" s="89">
        <f>IF(AH$3="","",IF(COUNTIFS(Base!$A$3:$A$5001,AH$3,Base!$B$3:$B$5001,$A$147,Base!$Z$3:$Z$5001,"&lt;&gt;")=0,"",SUMIFS(Base!$Z$3:$Z$5001,Base!$A$3:$A$5001,AH$3,Base!$B$3:$B$5001,$A$147)))</f>
        <v>14</v>
      </c>
      <c r="AI157" s="89" t="str">
        <f>IF(AI$3="","",IF(COUNTIFS(Base!$A$3:$A$5001,AI$3,Base!$B$3:$B$5001,$A$147,Base!$Z$3:$Z$5001,"&lt;&gt;")=0,"",SUMIFS(Base!$Z$3:$Z$5001,Base!$A$3:$A$5001,AI$3,Base!$B$3:$B$5001,$A$147)))</f>
        <v/>
      </c>
      <c r="AJ157" s="90" t="str">
        <f>IF(AJ$3="","",IF(COUNTIFS(Base!$A$3:$A$5001,AJ$3,Base!$B$3:$B$5001,$A$147,Base!$Z$3:$Z$5001,"&lt;&gt;")=0,"",SUMIFS(Base!$Z$3:$Z$5001,Base!$A$3:$A$5001,AJ$3,Base!$B$3:$B$5001,$A$147)))</f>
        <v/>
      </c>
      <c r="AK157" s="91">
        <f>IFERROR(LOOKUP(9.99E+307,F157:AJ157),"")</f>
        <v>14</v>
      </c>
    </row>
    <row r="158" ht="15.75" customHeight="1">
      <c r="A158" s="118"/>
      <c r="B158" s="115"/>
      <c r="C158" s="92" t="inlineStr">
        <is>
          <t xml:space="preserve">Falta</t>
        </is>
      </c>
      <c r="D158" s="93" t="str">
        <f>IFERROR(1/(1/INDEX(calculos!$C$55:$K$83,MATCH("Falta",calculos!$A$55:$A$83,0),MATCH($A$147,calculos!$C$54:$K$54,0))),"")</f>
        <v/>
      </c>
      <c r="E158" s="94"/>
      <c r="F158" s="95" t="str">
        <f>IF(F$3="","",IF(COUNTIFS(Base!$A$3:$A$5001,F$3,Base!$B$3:$B$5001,$A$147,Base!$AA$3:$AA$5001,"&lt;&gt;")=0,"",SUMIFS(Base!$AA$3:$AA$5001,Base!$A$3:$A$5001,F$3,Base!$B$3:$B$5001,$A$147)))</f>
        <v/>
      </c>
      <c r="G158" s="96">
        <f>IF(G$3="","",IF(COUNTIFS(Base!$A$3:$A$5001,G$3,Base!$B$3:$B$5001,$A$147,Base!$AA$3:$AA$5001,"&lt;&gt;")=0,"",SUMIFS(Base!$AA$3:$AA$5001,Base!$A$3:$A$5001,G$3,Base!$B$3:$B$5001,$A$147)))</f>
        <v>1</v>
      </c>
      <c r="H158" s="96" t="str">
        <f>IF(H$3="","",IF(COUNTIFS(Base!$A$3:$A$5001,H$3,Base!$B$3:$B$5001,$A$147,Base!$AA$3:$AA$5001,"&lt;&gt;")=0,"",SUMIFS(Base!$AA$3:$AA$5001,Base!$A$3:$A$5001,H$3,Base!$B$3:$B$5001,$A$147)))</f>
        <v/>
      </c>
      <c r="I158" s="96" t="str">
        <f>IF(I$3="","",IF(COUNTIFS(Base!$A$3:$A$5001,I$3,Base!$B$3:$B$5001,$A$147,Base!$AA$3:$AA$5001,"&lt;&gt;")=0,"",SUMIFS(Base!$AA$3:$AA$5001,Base!$A$3:$A$5001,I$3,Base!$B$3:$B$5001,$A$147)))</f>
        <v/>
      </c>
      <c r="J158" s="96" t="str">
        <f>IF(J$3="","",IF(COUNTIFS(Base!$A$3:$A$5001,J$3,Base!$B$3:$B$5001,$A$147,Base!$AA$3:$AA$5001,"&lt;&gt;")=0,"",SUMIFS(Base!$AA$3:$AA$5001,Base!$A$3:$A$5001,J$3,Base!$B$3:$B$5001,$A$147)))</f>
        <v/>
      </c>
      <c r="K158" s="96" t="str">
        <f>IF(K$3="","",IF(COUNTIFS(Base!$A$3:$A$5001,K$3,Base!$B$3:$B$5001,$A$147,Base!$AA$3:$AA$5001,"&lt;&gt;")=0,"",SUMIFS(Base!$AA$3:$AA$5001,Base!$A$3:$A$5001,K$3,Base!$B$3:$B$5001,$A$147)))</f>
        <v/>
      </c>
      <c r="L158" s="96" t="str">
        <f>IF(L$3="","",IF(COUNTIFS(Base!$A$3:$A$5001,L$3,Base!$B$3:$B$5001,$A$147,Base!$AA$3:$AA$5001,"&lt;&gt;")=0,"",SUMIFS(Base!$AA$3:$AA$5001,Base!$A$3:$A$5001,L$3,Base!$B$3:$B$5001,$A$147)))</f>
        <v/>
      </c>
      <c r="M158" s="96" t="str">
        <f>IF(M$3="","",IF(COUNTIFS(Base!$A$3:$A$5001,M$3,Base!$B$3:$B$5001,$A$147,Base!$AA$3:$AA$5001,"&lt;&gt;")=0,"",SUMIFS(Base!$AA$3:$AA$5001,Base!$A$3:$A$5001,M$3,Base!$B$3:$B$5001,$A$147)))</f>
        <v/>
      </c>
      <c r="N158" s="96" t="str">
        <f>IF(N$3="","",IF(COUNTIFS(Base!$A$3:$A$5001,N$3,Base!$B$3:$B$5001,$A$147,Base!$AA$3:$AA$5001,"&lt;&gt;")=0,"",SUMIFS(Base!$AA$3:$AA$5001,Base!$A$3:$A$5001,N$3,Base!$B$3:$B$5001,$A$147)))</f>
        <v/>
      </c>
      <c r="O158" s="96" t="str">
        <f>IF(O$3="","",IF(COUNTIFS(Base!$A$3:$A$5001,O$3,Base!$B$3:$B$5001,$A$147,Base!$AA$3:$AA$5001,"&lt;&gt;")=0,"",SUMIFS(Base!$AA$3:$AA$5001,Base!$A$3:$A$5001,O$3,Base!$B$3:$B$5001,$A$147)))</f>
        <v/>
      </c>
      <c r="P158" s="96" t="str">
        <f>IF(P$3="","",IF(COUNTIFS(Base!$A$3:$A$5001,P$3,Base!$B$3:$B$5001,$A$147,Base!$AA$3:$AA$5001,"&lt;&gt;")=0,"",SUMIFS(Base!$AA$3:$AA$5001,Base!$A$3:$A$5001,P$3,Base!$B$3:$B$5001,$A$147)))</f>
        <v/>
      </c>
      <c r="Q158" s="96" t="str">
        <f>IF(Q$3="","",IF(COUNTIFS(Base!$A$3:$A$5001,Q$3,Base!$B$3:$B$5001,$A$147,Base!$AA$3:$AA$5001,"&lt;&gt;")=0,"",SUMIFS(Base!$AA$3:$AA$5001,Base!$A$3:$A$5001,Q$3,Base!$B$3:$B$5001,$A$147)))</f>
        <v/>
      </c>
      <c r="R158" s="96" t="str">
        <f>IF(R$3="","",IF(COUNTIFS(Base!$A$3:$A$5001,R$3,Base!$B$3:$B$5001,$A$147,Base!$AA$3:$AA$5001,"&lt;&gt;")=0,"",SUMIFS(Base!$AA$3:$AA$5001,Base!$A$3:$A$5001,R$3,Base!$B$3:$B$5001,$A$147)))</f>
        <v/>
      </c>
      <c r="S158" s="96" t="str">
        <f>IF(S$3="","",IF(COUNTIFS(Base!$A$3:$A$5001,S$3,Base!$B$3:$B$5001,$A$147,Base!$AA$3:$AA$5001,"&lt;&gt;")=0,"",SUMIFS(Base!$AA$3:$AA$5001,Base!$A$3:$A$5001,S$3,Base!$B$3:$B$5001,$A$147)))</f>
        <v/>
      </c>
      <c r="T158" s="96" t="str">
        <f>IF(T$3="","",IF(COUNTIFS(Base!$A$3:$A$5001,T$3,Base!$B$3:$B$5001,$A$147,Base!$AA$3:$AA$5001,"&lt;&gt;")=0,"",SUMIFS(Base!$AA$3:$AA$5001,Base!$A$3:$A$5001,T$3,Base!$B$3:$B$5001,$A$147)))</f>
        <v/>
      </c>
      <c r="U158" s="96" t="str">
        <f>IF(U$3="","",IF(COUNTIFS(Base!$A$3:$A$5001,U$3,Base!$B$3:$B$5001,$A$147,Base!$AA$3:$AA$5001,"&lt;&gt;")=0,"",SUMIFS(Base!$AA$3:$AA$5001,Base!$A$3:$A$5001,U$3,Base!$B$3:$B$5001,$A$147)))</f>
        <v/>
      </c>
      <c r="V158" s="96">
        <f>IF(V$3="","",IF(COUNTIFS(Base!$A$3:$A$5001,V$3,Base!$B$3:$B$5001,$A$147,Base!$AA$3:$AA$5001,"&lt;&gt;")=0,"",SUMIFS(Base!$AA$3:$AA$5001,Base!$A$3:$A$5001,V$3,Base!$B$3:$B$5001,$A$147)))</f>
        <v>1</v>
      </c>
      <c r="W158" s="96" t="str">
        <f>IF(W$3="","",IF(COUNTIFS(Base!$A$3:$A$5001,W$3,Base!$B$3:$B$5001,$A$147,Base!$AA$3:$AA$5001,"&lt;&gt;")=0,"",SUMIFS(Base!$AA$3:$AA$5001,Base!$A$3:$A$5001,W$3,Base!$B$3:$B$5001,$A$147)))</f>
        <v/>
      </c>
      <c r="X158" s="96" t="str">
        <f>IF(X$3="","",IF(COUNTIFS(Base!$A$3:$A$5001,X$3,Base!$B$3:$B$5001,$A$147,Base!$AA$3:$AA$5001,"&lt;&gt;")=0,"",SUMIFS(Base!$AA$3:$AA$5001,Base!$A$3:$A$5001,X$3,Base!$B$3:$B$5001,$A$147)))</f>
        <v/>
      </c>
      <c r="Y158" s="96" t="str">
        <f>IF(Y$3="","",IF(COUNTIFS(Base!$A$3:$A$5001,Y$3,Base!$B$3:$B$5001,$A$147,Base!$AA$3:$AA$5001,"&lt;&gt;")=0,"",SUMIFS(Base!$AA$3:$AA$5001,Base!$A$3:$A$5001,Y$3,Base!$B$3:$B$5001,$A$147)))</f>
        <v/>
      </c>
      <c r="Z158" s="96">
        <f>IF(Z$3="","",IF(COUNTIFS(Base!$A$3:$A$5001,Z$3,Base!$B$3:$B$5001,$A$147,Base!$AA$3:$AA$5001,"&lt;&gt;")=0,"",SUMIFS(Base!$AA$3:$AA$5001,Base!$A$3:$A$5001,Z$3,Base!$B$3:$B$5001,$A$147)))</f>
        <v>1</v>
      </c>
      <c r="AA158" s="96" t="str">
        <f>IF(AA$3="","",IF(COUNTIFS(Base!$A$3:$A$5001,AA$3,Base!$B$3:$B$5001,$A$147,Base!$AA$3:$AA$5001,"&lt;&gt;")=0,"",SUMIFS(Base!$AA$3:$AA$5001,Base!$A$3:$A$5001,AA$3,Base!$B$3:$B$5001,$A$147)))</f>
        <v/>
      </c>
      <c r="AB158" s="96" t="str">
        <f>IF(AB$3="","",IF(COUNTIFS(Base!$A$3:$A$5001,AB$3,Base!$B$3:$B$5001,$A$147,Base!$AA$3:$AA$5001,"&lt;&gt;")=0,"",SUMIFS(Base!$AA$3:$AA$5001,Base!$A$3:$A$5001,AB$3,Base!$B$3:$B$5001,$A$147)))</f>
        <v/>
      </c>
      <c r="AC158" s="96" t="str">
        <f>IF(AC$3="","",IF(COUNTIFS(Base!$A$3:$A$5001,AC$3,Base!$B$3:$B$5001,$A$147,Base!$AA$3:$AA$5001,"&lt;&gt;")=0,"",SUMIFS(Base!$AA$3:$AA$5001,Base!$A$3:$A$5001,AC$3,Base!$B$3:$B$5001,$A$147)))</f>
        <v/>
      </c>
      <c r="AD158" s="96" t="str">
        <f>IF(AD$3="","",IF(COUNTIFS(Base!$A$3:$A$5001,AD$3,Base!$B$3:$B$5001,$A$147,Base!$AA$3:$AA$5001,"&lt;&gt;")=0,"",SUMIFS(Base!$AA$3:$AA$5001,Base!$A$3:$A$5001,AD$3,Base!$B$3:$B$5001,$A$147)))</f>
        <v/>
      </c>
      <c r="AE158" s="96" t="str">
        <f>IF(AE$3="","",IF(COUNTIFS(Base!$A$3:$A$5001,AE$3,Base!$B$3:$B$5001,$A$147,Base!$AA$3:$AA$5001,"&lt;&gt;")=0,"",SUMIFS(Base!$AA$3:$AA$5001,Base!$A$3:$A$5001,AE$3,Base!$B$3:$B$5001,$A$147)))</f>
        <v/>
      </c>
      <c r="AF158" s="96" t="str">
        <f>IF(AF$3="","",IF(COUNTIFS(Base!$A$3:$A$5001,AF$3,Base!$B$3:$B$5001,$A$147,Base!$AA$3:$AA$5001,"&lt;&gt;")=0,"",SUMIFS(Base!$AA$3:$AA$5001,Base!$A$3:$A$5001,AF$3,Base!$B$3:$B$5001,$A$147)))</f>
        <v/>
      </c>
      <c r="AG158" s="96" t="str">
        <f>IF(AG$3="","",IF(COUNTIFS(Base!$A$3:$A$5001,AG$3,Base!$B$3:$B$5001,$A$147,Base!$AA$3:$AA$5001,"&lt;&gt;")=0,"",SUMIFS(Base!$AA$3:$AA$5001,Base!$A$3:$A$5001,AG$3,Base!$B$3:$B$5001,$A$147)))</f>
        <v/>
      </c>
      <c r="AH158" s="96" t="str">
        <f>IF(AH$3="","",IF(COUNTIFS(Base!$A$3:$A$5001,AH$3,Base!$B$3:$B$5001,$A$147,Base!$AA$3:$AA$5001,"&lt;&gt;")=0,"",SUMIFS(Base!$AA$3:$AA$5001,Base!$A$3:$A$5001,AH$3,Base!$B$3:$B$5001,$A$147)))</f>
        <v/>
      </c>
      <c r="AI158" s="96" t="str">
        <f>IF(AI$3="","",IF(COUNTIFS(Base!$A$3:$A$5001,AI$3,Base!$B$3:$B$5001,$A$147,Base!$AA$3:$AA$5001,"&lt;&gt;")=0,"",SUMIFS(Base!$AA$3:$AA$5001,Base!$A$3:$A$5001,AI$3,Base!$B$3:$B$5001,$A$147)))</f>
        <v/>
      </c>
      <c r="AJ158" s="97" t="str">
        <f>IF(AJ$3="","",IF(COUNTIFS(Base!$A$3:$A$5001,AJ$3,Base!$B$3:$B$5001,$A$147,Base!$AA$3:$AA$5001,"&lt;&gt;")=0,"",SUMIFS(Base!$AA$3:$AA$5001,Base!$A$3:$A$5001,AJ$3,Base!$B$3:$B$5001,$A$147)))</f>
        <v/>
      </c>
      <c r="AK158" s="98">
        <f>IF(COUNT(F158:AJ158)=0,"",SUM(F158:AJ158))</f>
        <v>3</v>
      </c>
    </row>
    <row r="159" ht="15.75" customHeight="1">
      <c r="A159" s="118"/>
      <c r="B159" s="115"/>
      <c r="C159" s="92" t="inlineStr">
        <is>
          <t xml:space="preserve">Folga</t>
        </is>
      </c>
      <c r="D159" s="93" t="str">
        <f>IFERROR(1/(1/INDEX(calculos!$C$55:$K$83,MATCH("Folga",calculos!$A$55:$A$83,0),MATCH($A$147,calculos!$C$54:$K$54,0))),"")</f>
        <v/>
      </c>
      <c r="E159" s="94"/>
      <c r="F159" s="95" t="str">
        <f>IF(F$3="","",IF(COUNTIFS(Base!$A$3:$A$5001,F$3,Base!$B$3:$B$5001,$A$147,Base!$AB$3:$AB$5001,"&lt;&gt;")=0,"",SUMIFS(Base!$AB$3:$AB$5001,Base!$A$3:$A$5001,F$3,Base!$B$3:$B$5001,$A$147)))</f>
        <v/>
      </c>
      <c r="G159" s="96" t="str">
        <f>IF(G$3="","",IF(COUNTIFS(Base!$A$3:$A$5001,G$3,Base!$B$3:$B$5001,$A$147,Base!$AB$3:$AB$5001,"&lt;&gt;")=0,"",SUMIFS(Base!$AB$3:$AB$5001,Base!$A$3:$A$5001,G$3,Base!$B$3:$B$5001,$A$147)))</f>
        <v/>
      </c>
      <c r="H159" s="96" t="str">
        <f>IF(H$3="","",IF(COUNTIFS(Base!$A$3:$A$5001,H$3,Base!$B$3:$B$5001,$A$147,Base!$AB$3:$AB$5001,"&lt;&gt;")=0,"",SUMIFS(Base!$AB$3:$AB$5001,Base!$A$3:$A$5001,H$3,Base!$B$3:$B$5001,$A$147)))</f>
        <v/>
      </c>
      <c r="I159" s="96" t="str">
        <f>IF(I$3="","",IF(COUNTIFS(Base!$A$3:$A$5001,I$3,Base!$B$3:$B$5001,$A$147,Base!$AB$3:$AB$5001,"&lt;&gt;")=0,"",SUMIFS(Base!$AB$3:$AB$5001,Base!$A$3:$A$5001,I$3,Base!$B$3:$B$5001,$A$147)))</f>
        <v/>
      </c>
      <c r="J159" s="96" t="str">
        <f>IF(J$3="","",IF(COUNTIFS(Base!$A$3:$A$5001,J$3,Base!$B$3:$B$5001,$A$147,Base!$AB$3:$AB$5001,"&lt;&gt;")=0,"",SUMIFS(Base!$AB$3:$AB$5001,Base!$A$3:$A$5001,J$3,Base!$B$3:$B$5001,$A$147)))</f>
        <v/>
      </c>
      <c r="K159" s="96" t="str">
        <f>IF(K$3="","",IF(COUNTIFS(Base!$A$3:$A$5001,K$3,Base!$B$3:$B$5001,$A$147,Base!$AB$3:$AB$5001,"&lt;&gt;")=0,"",SUMIFS(Base!$AB$3:$AB$5001,Base!$A$3:$A$5001,K$3,Base!$B$3:$B$5001,$A$147)))</f>
        <v/>
      </c>
      <c r="L159" s="96" t="str">
        <f>IF(L$3="","",IF(COUNTIFS(Base!$A$3:$A$5001,L$3,Base!$B$3:$B$5001,$A$147,Base!$AB$3:$AB$5001,"&lt;&gt;")=0,"",SUMIFS(Base!$AB$3:$AB$5001,Base!$A$3:$A$5001,L$3,Base!$B$3:$B$5001,$A$147)))</f>
        <v/>
      </c>
      <c r="M159" s="96" t="str">
        <f>IF(M$3="","",IF(COUNTIFS(Base!$A$3:$A$5001,M$3,Base!$B$3:$B$5001,$A$147,Base!$AB$3:$AB$5001,"&lt;&gt;")=0,"",SUMIFS(Base!$AB$3:$AB$5001,Base!$A$3:$A$5001,M$3,Base!$B$3:$B$5001,$A$147)))</f>
        <v/>
      </c>
      <c r="N159" s="96" t="str">
        <f>IF(N$3="","",IF(COUNTIFS(Base!$A$3:$A$5001,N$3,Base!$B$3:$B$5001,$A$147,Base!$AB$3:$AB$5001,"&lt;&gt;")=0,"",SUMIFS(Base!$AB$3:$AB$5001,Base!$A$3:$A$5001,N$3,Base!$B$3:$B$5001,$A$147)))</f>
        <v/>
      </c>
      <c r="O159" s="96" t="str">
        <f>IF(O$3="","",IF(COUNTIFS(Base!$A$3:$A$5001,O$3,Base!$B$3:$B$5001,$A$147,Base!$AB$3:$AB$5001,"&lt;&gt;")=0,"",SUMIFS(Base!$AB$3:$AB$5001,Base!$A$3:$A$5001,O$3,Base!$B$3:$B$5001,$A$147)))</f>
        <v/>
      </c>
      <c r="P159" s="96" t="str">
        <f>IF(P$3="","",IF(COUNTIFS(Base!$A$3:$A$5001,P$3,Base!$B$3:$B$5001,$A$147,Base!$AB$3:$AB$5001,"&lt;&gt;")=0,"",SUMIFS(Base!$AB$3:$AB$5001,Base!$A$3:$A$5001,P$3,Base!$B$3:$B$5001,$A$147)))</f>
        <v/>
      </c>
      <c r="Q159" s="96" t="str">
        <f>IF(Q$3="","",IF(COUNTIFS(Base!$A$3:$A$5001,Q$3,Base!$B$3:$B$5001,$A$147,Base!$AB$3:$AB$5001,"&lt;&gt;")=0,"",SUMIFS(Base!$AB$3:$AB$5001,Base!$A$3:$A$5001,Q$3,Base!$B$3:$B$5001,$A$147)))</f>
        <v/>
      </c>
      <c r="R159" s="96" t="str">
        <f>IF(R$3="","",IF(COUNTIFS(Base!$A$3:$A$5001,R$3,Base!$B$3:$B$5001,$A$147,Base!$AB$3:$AB$5001,"&lt;&gt;")=0,"",SUMIFS(Base!$AB$3:$AB$5001,Base!$A$3:$A$5001,R$3,Base!$B$3:$B$5001,$A$147)))</f>
        <v/>
      </c>
      <c r="S159" s="96" t="str">
        <f>IF(S$3="","",IF(COUNTIFS(Base!$A$3:$A$5001,S$3,Base!$B$3:$B$5001,$A$147,Base!$AB$3:$AB$5001,"&lt;&gt;")=0,"",SUMIFS(Base!$AB$3:$AB$5001,Base!$A$3:$A$5001,S$3,Base!$B$3:$B$5001,$A$147)))</f>
        <v/>
      </c>
      <c r="T159" s="96" t="str">
        <f>IF(T$3="","",IF(COUNTIFS(Base!$A$3:$A$5001,T$3,Base!$B$3:$B$5001,$A$147,Base!$AB$3:$AB$5001,"&lt;&gt;")=0,"",SUMIFS(Base!$AB$3:$AB$5001,Base!$A$3:$A$5001,T$3,Base!$B$3:$B$5001,$A$147)))</f>
        <v/>
      </c>
      <c r="U159" s="96" t="str">
        <f>IF(U$3="","",IF(COUNTIFS(Base!$A$3:$A$5001,U$3,Base!$B$3:$B$5001,$A$147,Base!$AB$3:$AB$5001,"&lt;&gt;")=0,"",SUMIFS(Base!$AB$3:$AB$5001,Base!$A$3:$A$5001,U$3,Base!$B$3:$B$5001,$A$147)))</f>
        <v/>
      </c>
      <c r="V159" s="96" t="str">
        <f>IF(V$3="","",IF(COUNTIFS(Base!$A$3:$A$5001,V$3,Base!$B$3:$B$5001,$A$147,Base!$AB$3:$AB$5001,"&lt;&gt;")=0,"",SUMIFS(Base!$AB$3:$AB$5001,Base!$A$3:$A$5001,V$3,Base!$B$3:$B$5001,$A$147)))</f>
        <v/>
      </c>
      <c r="W159" s="96" t="str">
        <f>IF(W$3="","",IF(COUNTIFS(Base!$A$3:$A$5001,W$3,Base!$B$3:$B$5001,$A$147,Base!$AB$3:$AB$5001,"&lt;&gt;")=0,"",SUMIFS(Base!$AB$3:$AB$5001,Base!$A$3:$A$5001,W$3,Base!$B$3:$B$5001,$A$147)))</f>
        <v/>
      </c>
      <c r="X159" s="96">
        <f>IF(X$3="","",IF(COUNTIFS(Base!$A$3:$A$5001,X$3,Base!$B$3:$B$5001,$A$147,Base!$AB$3:$AB$5001,"&lt;&gt;")=0,"",SUMIFS(Base!$AB$3:$AB$5001,Base!$A$3:$A$5001,X$3,Base!$B$3:$B$5001,$A$147)))</f>
        <v>1</v>
      </c>
      <c r="Y159" s="96" t="str">
        <f>IF(Y$3="","",IF(COUNTIFS(Base!$A$3:$A$5001,Y$3,Base!$B$3:$B$5001,$A$147,Base!$AB$3:$AB$5001,"&lt;&gt;")=0,"",SUMIFS(Base!$AB$3:$AB$5001,Base!$A$3:$A$5001,Y$3,Base!$B$3:$B$5001,$A$147)))</f>
        <v/>
      </c>
      <c r="Z159" s="96" t="str">
        <f>IF(Z$3="","",IF(COUNTIFS(Base!$A$3:$A$5001,Z$3,Base!$B$3:$B$5001,$A$147,Base!$AB$3:$AB$5001,"&lt;&gt;")=0,"",SUMIFS(Base!$AB$3:$AB$5001,Base!$A$3:$A$5001,Z$3,Base!$B$3:$B$5001,$A$147)))</f>
        <v/>
      </c>
      <c r="AA159" s="96" t="str">
        <f>IF(AA$3="","",IF(COUNTIFS(Base!$A$3:$A$5001,AA$3,Base!$B$3:$B$5001,$A$147,Base!$AB$3:$AB$5001,"&lt;&gt;")=0,"",SUMIFS(Base!$AB$3:$AB$5001,Base!$A$3:$A$5001,AA$3,Base!$B$3:$B$5001,$A$147)))</f>
        <v/>
      </c>
      <c r="AB159" s="96" t="str">
        <f>IF(AB$3="","",IF(COUNTIFS(Base!$A$3:$A$5001,AB$3,Base!$B$3:$B$5001,$A$147,Base!$AB$3:$AB$5001,"&lt;&gt;")=0,"",SUMIFS(Base!$AB$3:$AB$5001,Base!$A$3:$A$5001,AB$3,Base!$B$3:$B$5001,$A$147)))</f>
        <v/>
      </c>
      <c r="AC159" s="96" t="str">
        <f>IF(AC$3="","",IF(COUNTIFS(Base!$A$3:$A$5001,AC$3,Base!$B$3:$B$5001,$A$147,Base!$AB$3:$AB$5001,"&lt;&gt;")=0,"",SUMIFS(Base!$AB$3:$AB$5001,Base!$A$3:$A$5001,AC$3,Base!$B$3:$B$5001,$A$147)))</f>
        <v/>
      </c>
      <c r="AD159" s="96" t="str">
        <f>IF(AD$3="","",IF(COUNTIFS(Base!$A$3:$A$5001,AD$3,Base!$B$3:$B$5001,$A$147,Base!$AB$3:$AB$5001,"&lt;&gt;")=0,"",SUMIFS(Base!$AB$3:$AB$5001,Base!$A$3:$A$5001,AD$3,Base!$B$3:$B$5001,$A$147)))</f>
        <v/>
      </c>
      <c r="AE159" s="96" t="str">
        <f>IF(AE$3="","",IF(COUNTIFS(Base!$A$3:$A$5001,AE$3,Base!$B$3:$B$5001,$A$147,Base!$AB$3:$AB$5001,"&lt;&gt;")=0,"",SUMIFS(Base!$AB$3:$AB$5001,Base!$A$3:$A$5001,AE$3,Base!$B$3:$B$5001,$A$147)))</f>
        <v/>
      </c>
      <c r="AF159" s="96" t="str">
        <f>IF(AF$3="","",IF(COUNTIFS(Base!$A$3:$A$5001,AF$3,Base!$B$3:$B$5001,$A$147,Base!$AB$3:$AB$5001,"&lt;&gt;")=0,"",SUMIFS(Base!$AB$3:$AB$5001,Base!$A$3:$A$5001,AF$3,Base!$B$3:$B$5001,$A$147)))</f>
        <v/>
      </c>
      <c r="AG159" s="96" t="str">
        <f>IF(AG$3="","",IF(COUNTIFS(Base!$A$3:$A$5001,AG$3,Base!$B$3:$B$5001,$A$147,Base!$AB$3:$AB$5001,"&lt;&gt;")=0,"",SUMIFS(Base!$AB$3:$AB$5001,Base!$A$3:$A$5001,AG$3,Base!$B$3:$B$5001,$A$147)))</f>
        <v/>
      </c>
      <c r="AH159" s="96" t="str">
        <f>IF(AH$3="","",IF(COUNTIFS(Base!$A$3:$A$5001,AH$3,Base!$B$3:$B$5001,$A$147,Base!$AB$3:$AB$5001,"&lt;&gt;")=0,"",SUMIFS(Base!$AB$3:$AB$5001,Base!$A$3:$A$5001,AH$3,Base!$B$3:$B$5001,$A$147)))</f>
        <v/>
      </c>
      <c r="AI159" s="96" t="str">
        <f>IF(AI$3="","",IF(COUNTIFS(Base!$A$3:$A$5001,AI$3,Base!$B$3:$B$5001,$A$147,Base!$AB$3:$AB$5001,"&lt;&gt;")=0,"",SUMIFS(Base!$AB$3:$AB$5001,Base!$A$3:$A$5001,AI$3,Base!$B$3:$B$5001,$A$147)))</f>
        <v/>
      </c>
      <c r="AJ159" s="97" t="str">
        <f>IF(AJ$3="","",IF(COUNTIFS(Base!$A$3:$A$5001,AJ$3,Base!$B$3:$B$5001,$A$147,Base!$AB$3:$AB$5001,"&lt;&gt;")=0,"",SUMIFS(Base!$AB$3:$AB$5001,Base!$A$3:$A$5001,AJ$3,Base!$B$3:$B$5001,$A$147)))</f>
        <v/>
      </c>
      <c r="AK159" s="98">
        <f>IF(COUNT(F159:AJ159)=0,"",SUM(F159:AJ159))</f>
        <v>1</v>
      </c>
    </row>
    <row r="160" ht="15.75" customHeight="1">
      <c r="A160" s="118"/>
      <c r="B160" s="115"/>
      <c r="C160" s="92" t="inlineStr">
        <is>
          <t xml:space="preserve">Férias</t>
        </is>
      </c>
      <c r="D160" s="93" t="str">
        <f>IFERROR(1/(1/INDEX(calculos!$C$55:$K$83,MATCH("Férias",calculos!$A$55:$A$83,0),MATCH($A$147,calculos!$C$54:$K$54,0))),"")</f>
        <v/>
      </c>
      <c r="E160" s="94"/>
      <c r="F160" s="95" t="str">
        <f>IF(F$3="","",IF(COUNTIFS(Base!$A$3:$A$5001,F$3,Base!$B$3:$B$5001,$A$147,Base!$AC$3:$AC$5001,"&lt;&gt;")=0,"",SUMIFS(Base!$AC$3:$AC$5001,Base!$A$3:$A$5001,F$3,Base!$B$3:$B$5001,$A$147)))</f>
        <v/>
      </c>
      <c r="G160" s="96" t="str">
        <f>IF(G$3="","",IF(COUNTIFS(Base!$A$3:$A$5001,G$3,Base!$B$3:$B$5001,$A$147,Base!$AC$3:$AC$5001,"&lt;&gt;")=0,"",SUMIFS(Base!$AC$3:$AC$5001,Base!$A$3:$A$5001,G$3,Base!$B$3:$B$5001,$A$147)))</f>
        <v/>
      </c>
      <c r="H160" s="96" t="str">
        <f>IF(H$3="","",IF(COUNTIFS(Base!$A$3:$A$5001,H$3,Base!$B$3:$B$5001,$A$147,Base!$AC$3:$AC$5001,"&lt;&gt;")=0,"",SUMIFS(Base!$AC$3:$AC$5001,Base!$A$3:$A$5001,H$3,Base!$B$3:$B$5001,$A$147)))</f>
        <v/>
      </c>
      <c r="I160" s="96" t="str">
        <f>IF(I$3="","",IF(COUNTIFS(Base!$A$3:$A$5001,I$3,Base!$B$3:$B$5001,$A$147,Base!$AC$3:$AC$5001,"&lt;&gt;")=0,"",SUMIFS(Base!$AC$3:$AC$5001,Base!$A$3:$A$5001,I$3,Base!$B$3:$B$5001,$A$147)))</f>
        <v/>
      </c>
      <c r="J160" s="96" t="str">
        <f>IF(J$3="","",IF(COUNTIFS(Base!$A$3:$A$5001,J$3,Base!$B$3:$B$5001,$A$147,Base!$AC$3:$AC$5001,"&lt;&gt;")=0,"",SUMIFS(Base!$AC$3:$AC$5001,Base!$A$3:$A$5001,J$3,Base!$B$3:$B$5001,$A$147)))</f>
        <v/>
      </c>
      <c r="K160" s="96" t="str">
        <f>IF(K$3="","",IF(COUNTIFS(Base!$A$3:$A$5001,K$3,Base!$B$3:$B$5001,$A$147,Base!$AC$3:$AC$5001,"&lt;&gt;")=0,"",SUMIFS(Base!$AC$3:$AC$5001,Base!$A$3:$A$5001,K$3,Base!$B$3:$B$5001,$A$147)))</f>
        <v/>
      </c>
      <c r="L160" s="96" t="str">
        <f>IF(L$3="","",IF(COUNTIFS(Base!$A$3:$A$5001,L$3,Base!$B$3:$B$5001,$A$147,Base!$AC$3:$AC$5001,"&lt;&gt;")=0,"",SUMIFS(Base!$AC$3:$AC$5001,Base!$A$3:$A$5001,L$3,Base!$B$3:$B$5001,$A$147)))</f>
        <v/>
      </c>
      <c r="M160" s="96" t="str">
        <f>IF(M$3="","",IF(COUNTIFS(Base!$A$3:$A$5001,M$3,Base!$B$3:$B$5001,$A$147,Base!$AC$3:$AC$5001,"&lt;&gt;")=0,"",SUMIFS(Base!$AC$3:$AC$5001,Base!$A$3:$A$5001,M$3,Base!$B$3:$B$5001,$A$147)))</f>
        <v/>
      </c>
      <c r="N160" s="96" t="str">
        <f>IF(N$3="","",IF(COUNTIFS(Base!$A$3:$A$5001,N$3,Base!$B$3:$B$5001,$A$147,Base!$AC$3:$AC$5001,"&lt;&gt;")=0,"",SUMIFS(Base!$AC$3:$AC$5001,Base!$A$3:$A$5001,N$3,Base!$B$3:$B$5001,$A$147)))</f>
        <v/>
      </c>
      <c r="O160" s="96" t="str">
        <f>IF(O$3="","",IF(COUNTIFS(Base!$A$3:$A$5001,O$3,Base!$B$3:$B$5001,$A$147,Base!$AC$3:$AC$5001,"&lt;&gt;")=0,"",SUMIFS(Base!$AC$3:$AC$5001,Base!$A$3:$A$5001,O$3,Base!$B$3:$B$5001,$A$147)))</f>
        <v/>
      </c>
      <c r="P160" s="96" t="str">
        <f>IF(P$3="","",IF(COUNTIFS(Base!$A$3:$A$5001,P$3,Base!$B$3:$B$5001,$A$147,Base!$AC$3:$AC$5001,"&lt;&gt;")=0,"",SUMIFS(Base!$AC$3:$AC$5001,Base!$A$3:$A$5001,P$3,Base!$B$3:$B$5001,$A$147)))</f>
        <v/>
      </c>
      <c r="Q160" s="96" t="str">
        <f>IF(Q$3="","",IF(COUNTIFS(Base!$A$3:$A$5001,Q$3,Base!$B$3:$B$5001,$A$147,Base!$AC$3:$AC$5001,"&lt;&gt;")=0,"",SUMIFS(Base!$AC$3:$AC$5001,Base!$A$3:$A$5001,Q$3,Base!$B$3:$B$5001,$A$147)))</f>
        <v/>
      </c>
      <c r="R160" s="96" t="str">
        <f>IF(R$3="","",IF(COUNTIFS(Base!$A$3:$A$5001,R$3,Base!$B$3:$B$5001,$A$147,Base!$AC$3:$AC$5001,"&lt;&gt;")=0,"",SUMIFS(Base!$AC$3:$AC$5001,Base!$A$3:$A$5001,R$3,Base!$B$3:$B$5001,$A$147)))</f>
        <v/>
      </c>
      <c r="S160" s="96" t="str">
        <f>IF(S$3="","",IF(COUNTIFS(Base!$A$3:$A$5001,S$3,Base!$B$3:$B$5001,$A$147,Base!$AC$3:$AC$5001,"&lt;&gt;")=0,"",SUMIFS(Base!$AC$3:$AC$5001,Base!$A$3:$A$5001,S$3,Base!$B$3:$B$5001,$A$147)))</f>
        <v/>
      </c>
      <c r="T160" s="96" t="str">
        <f>IF(T$3="","",IF(COUNTIFS(Base!$A$3:$A$5001,T$3,Base!$B$3:$B$5001,$A$147,Base!$AC$3:$AC$5001,"&lt;&gt;")=0,"",SUMIFS(Base!$AC$3:$AC$5001,Base!$A$3:$A$5001,T$3,Base!$B$3:$B$5001,$A$147)))</f>
        <v/>
      </c>
      <c r="U160" s="96" t="str">
        <f>IF(U$3="","",IF(COUNTIFS(Base!$A$3:$A$5001,U$3,Base!$B$3:$B$5001,$A$147,Base!$AC$3:$AC$5001,"&lt;&gt;")=0,"",SUMIFS(Base!$AC$3:$AC$5001,Base!$A$3:$A$5001,U$3,Base!$B$3:$B$5001,$A$147)))</f>
        <v/>
      </c>
      <c r="V160" s="96" t="str">
        <f>IF(V$3="","",IF(COUNTIFS(Base!$A$3:$A$5001,V$3,Base!$B$3:$B$5001,$A$147,Base!$AC$3:$AC$5001,"&lt;&gt;")=0,"",SUMIFS(Base!$AC$3:$AC$5001,Base!$A$3:$A$5001,V$3,Base!$B$3:$B$5001,$A$147)))</f>
        <v/>
      </c>
      <c r="W160" s="96" t="str">
        <f>IF(W$3="","",IF(COUNTIFS(Base!$A$3:$A$5001,W$3,Base!$B$3:$B$5001,$A$147,Base!$AC$3:$AC$5001,"&lt;&gt;")=0,"",SUMIFS(Base!$AC$3:$AC$5001,Base!$A$3:$A$5001,W$3,Base!$B$3:$B$5001,$A$147)))</f>
        <v/>
      </c>
      <c r="X160" s="96" t="str">
        <f>IF(X$3="","",IF(COUNTIFS(Base!$A$3:$A$5001,X$3,Base!$B$3:$B$5001,$A$147,Base!$AC$3:$AC$5001,"&lt;&gt;")=0,"",SUMIFS(Base!$AC$3:$AC$5001,Base!$A$3:$A$5001,X$3,Base!$B$3:$B$5001,$A$147)))</f>
        <v/>
      </c>
      <c r="Y160" s="96" t="str">
        <f>IF(Y$3="","",IF(COUNTIFS(Base!$A$3:$A$5001,Y$3,Base!$B$3:$B$5001,$A$147,Base!$AC$3:$AC$5001,"&lt;&gt;")=0,"",SUMIFS(Base!$AC$3:$AC$5001,Base!$A$3:$A$5001,Y$3,Base!$B$3:$B$5001,$A$147)))</f>
        <v/>
      </c>
      <c r="Z160" s="96" t="str">
        <f>IF(Z$3="","",IF(COUNTIFS(Base!$A$3:$A$5001,Z$3,Base!$B$3:$B$5001,$A$147,Base!$AC$3:$AC$5001,"&lt;&gt;")=0,"",SUMIFS(Base!$AC$3:$AC$5001,Base!$A$3:$A$5001,Z$3,Base!$B$3:$B$5001,$A$147)))</f>
        <v/>
      </c>
      <c r="AA160" s="96" t="str">
        <f>IF(AA$3="","",IF(COUNTIFS(Base!$A$3:$A$5001,AA$3,Base!$B$3:$B$5001,$A$147,Base!$AC$3:$AC$5001,"&lt;&gt;")=0,"",SUMIFS(Base!$AC$3:$AC$5001,Base!$A$3:$A$5001,AA$3,Base!$B$3:$B$5001,$A$147)))</f>
        <v/>
      </c>
      <c r="AB160" s="96" t="str">
        <f>IF(AB$3="","",IF(COUNTIFS(Base!$A$3:$A$5001,AB$3,Base!$B$3:$B$5001,$A$147,Base!$AC$3:$AC$5001,"&lt;&gt;")=0,"",SUMIFS(Base!$AC$3:$AC$5001,Base!$A$3:$A$5001,AB$3,Base!$B$3:$B$5001,$A$147)))</f>
        <v/>
      </c>
      <c r="AC160" s="96" t="str">
        <f>IF(AC$3="","",IF(COUNTIFS(Base!$A$3:$A$5001,AC$3,Base!$B$3:$B$5001,$A$147,Base!$AC$3:$AC$5001,"&lt;&gt;")=0,"",SUMIFS(Base!$AC$3:$AC$5001,Base!$A$3:$A$5001,AC$3,Base!$B$3:$B$5001,$A$147)))</f>
        <v/>
      </c>
      <c r="AD160" s="96" t="str">
        <f>IF(AD$3="","",IF(COUNTIFS(Base!$A$3:$A$5001,AD$3,Base!$B$3:$B$5001,$A$147,Base!$AC$3:$AC$5001,"&lt;&gt;")=0,"",SUMIFS(Base!$AC$3:$AC$5001,Base!$A$3:$A$5001,AD$3,Base!$B$3:$B$5001,$A$147)))</f>
        <v/>
      </c>
      <c r="AE160" s="96">
        <f>IF(AE$3="","",IF(COUNTIFS(Base!$A$3:$A$5001,AE$3,Base!$B$3:$B$5001,$A$147,Base!$AC$3:$AC$5001,"&lt;&gt;")=0,"",SUMIFS(Base!$AC$3:$AC$5001,Base!$A$3:$A$5001,AE$3,Base!$B$3:$B$5001,$A$147)))</f>
        <v>1</v>
      </c>
      <c r="AF160" s="96" t="str">
        <f>IF(AF$3="","",IF(COUNTIFS(Base!$A$3:$A$5001,AF$3,Base!$B$3:$B$5001,$A$147,Base!$AC$3:$AC$5001,"&lt;&gt;")=0,"",SUMIFS(Base!$AC$3:$AC$5001,Base!$A$3:$A$5001,AF$3,Base!$B$3:$B$5001,$A$147)))</f>
        <v/>
      </c>
      <c r="AG160" s="96" t="str">
        <f>IF(AG$3="","",IF(COUNTIFS(Base!$A$3:$A$5001,AG$3,Base!$B$3:$B$5001,$A$147,Base!$AC$3:$AC$5001,"&lt;&gt;")=0,"",SUMIFS(Base!$AC$3:$AC$5001,Base!$A$3:$A$5001,AG$3,Base!$B$3:$B$5001,$A$147)))</f>
        <v/>
      </c>
      <c r="AH160" s="96" t="str">
        <f>IF(AH$3="","",IF(COUNTIFS(Base!$A$3:$A$5001,AH$3,Base!$B$3:$B$5001,$A$147,Base!$AC$3:$AC$5001,"&lt;&gt;")=0,"",SUMIFS(Base!$AC$3:$AC$5001,Base!$A$3:$A$5001,AH$3,Base!$B$3:$B$5001,$A$147)))</f>
        <v/>
      </c>
      <c r="AI160" s="96" t="str">
        <f>IF(AI$3="","",IF(COUNTIFS(Base!$A$3:$A$5001,AI$3,Base!$B$3:$B$5001,$A$147,Base!$AC$3:$AC$5001,"&lt;&gt;")=0,"",SUMIFS(Base!$AC$3:$AC$5001,Base!$A$3:$A$5001,AI$3,Base!$B$3:$B$5001,$A$147)))</f>
        <v/>
      </c>
      <c r="AJ160" s="97" t="str">
        <f>IF(AJ$3="","",IF(COUNTIFS(Base!$A$3:$A$5001,AJ$3,Base!$B$3:$B$5001,$A$147,Base!$AC$3:$AC$5001,"&lt;&gt;")=0,"",SUMIFS(Base!$AC$3:$AC$5001,Base!$A$3:$A$5001,AJ$3,Base!$B$3:$B$5001,$A$147)))</f>
        <v/>
      </c>
      <c r="AK160" s="98">
        <f>IF(COUNT(F160:AJ160)=0,"",SUM(F160:AJ160))</f>
        <v>1</v>
      </c>
    </row>
    <row r="161" ht="15.75" customHeight="1">
      <c r="A161" s="119"/>
      <c r="B161" s="116"/>
      <c r="C161" s="99" t="inlineStr">
        <is>
          <t xml:space="preserve">Desligamentos</t>
        </is>
      </c>
      <c r="D161" s="100" t="str">
        <f>IFERROR(1/(1/INDEX(calculos!$C$55:$K$83,MATCH("Desligamentos",calculos!$A$55:$A$83,0),MATCH($A$147,calculos!$C$54:$K$54,0))),"")</f>
        <v/>
      </c>
      <c r="E161" s="101"/>
      <c r="F161" s="102" t="str">
        <f>IF(F$3="","",IF(COUNTIFS(Base!$A$3:$A$5001,F$3,Base!$B$3:$B$5001,$A$147,Base!$AD$3:$AD$5001,"&lt;&gt;")=0,"",SUMIFS(Base!$AD$3:$AD$5001,Base!$A$3:$A$5001,F$3,Base!$B$3:$B$5001,$A$147)))</f>
        <v/>
      </c>
      <c r="G161" s="103" t="str">
        <f>IF(G$3="","",IF(COUNTIFS(Base!$A$3:$A$5001,G$3,Base!$B$3:$B$5001,$A$147,Base!$AD$3:$AD$5001,"&lt;&gt;")=0,"",SUMIFS(Base!$AD$3:$AD$5001,Base!$A$3:$A$5001,G$3,Base!$B$3:$B$5001,$A$147)))</f>
        <v/>
      </c>
      <c r="H161" s="103" t="str">
        <f>IF(H$3="","",IF(COUNTIFS(Base!$A$3:$A$5001,H$3,Base!$B$3:$B$5001,$A$147,Base!$AD$3:$AD$5001,"&lt;&gt;")=0,"",SUMIFS(Base!$AD$3:$AD$5001,Base!$A$3:$A$5001,H$3,Base!$B$3:$B$5001,$A$147)))</f>
        <v/>
      </c>
      <c r="I161" s="103" t="str">
        <f>IF(I$3="","",IF(COUNTIFS(Base!$A$3:$A$5001,I$3,Base!$B$3:$B$5001,$A$147,Base!$AD$3:$AD$5001,"&lt;&gt;")=0,"",SUMIFS(Base!$AD$3:$AD$5001,Base!$A$3:$A$5001,I$3,Base!$B$3:$B$5001,$A$147)))</f>
        <v/>
      </c>
      <c r="J161" s="103" t="str">
        <f>IF(J$3="","",IF(COUNTIFS(Base!$A$3:$A$5001,J$3,Base!$B$3:$B$5001,$A$147,Base!$AD$3:$AD$5001,"&lt;&gt;")=0,"",SUMIFS(Base!$AD$3:$AD$5001,Base!$A$3:$A$5001,J$3,Base!$B$3:$B$5001,$A$147)))</f>
        <v/>
      </c>
      <c r="K161" s="103" t="str">
        <f>IF(K$3="","",IF(COUNTIFS(Base!$A$3:$A$5001,K$3,Base!$B$3:$B$5001,$A$147,Base!$AD$3:$AD$5001,"&lt;&gt;")=0,"",SUMIFS(Base!$AD$3:$AD$5001,Base!$A$3:$A$5001,K$3,Base!$B$3:$B$5001,$A$147)))</f>
        <v/>
      </c>
      <c r="L161" s="103" t="str">
        <f>IF(L$3="","",IF(COUNTIFS(Base!$A$3:$A$5001,L$3,Base!$B$3:$B$5001,$A$147,Base!$AD$3:$AD$5001,"&lt;&gt;")=0,"",SUMIFS(Base!$AD$3:$AD$5001,Base!$A$3:$A$5001,L$3,Base!$B$3:$B$5001,$A$147)))</f>
        <v/>
      </c>
      <c r="M161" s="103" t="str">
        <f>IF(M$3="","",IF(COUNTIFS(Base!$A$3:$A$5001,M$3,Base!$B$3:$B$5001,$A$147,Base!$AD$3:$AD$5001,"&lt;&gt;")=0,"",SUMIFS(Base!$AD$3:$AD$5001,Base!$A$3:$A$5001,M$3,Base!$B$3:$B$5001,$A$147)))</f>
        <v/>
      </c>
      <c r="N161" s="103" t="str">
        <f>IF(N$3="","",IF(COUNTIFS(Base!$A$3:$A$5001,N$3,Base!$B$3:$B$5001,$A$147,Base!$AD$3:$AD$5001,"&lt;&gt;")=0,"",SUMIFS(Base!$AD$3:$AD$5001,Base!$A$3:$A$5001,N$3,Base!$B$3:$B$5001,$A$147)))</f>
        <v/>
      </c>
      <c r="O161" s="103" t="str">
        <f>IF(O$3="","",IF(COUNTIFS(Base!$A$3:$A$5001,O$3,Base!$B$3:$B$5001,$A$147,Base!$AD$3:$AD$5001,"&lt;&gt;")=0,"",SUMIFS(Base!$AD$3:$AD$5001,Base!$A$3:$A$5001,O$3,Base!$B$3:$B$5001,$A$147)))</f>
        <v/>
      </c>
      <c r="P161" s="103" t="str">
        <f>IF(P$3="","",IF(COUNTIFS(Base!$A$3:$A$5001,P$3,Base!$B$3:$B$5001,$A$147,Base!$AD$3:$AD$5001,"&lt;&gt;")=0,"",SUMIFS(Base!$AD$3:$AD$5001,Base!$A$3:$A$5001,P$3,Base!$B$3:$B$5001,$A$147)))</f>
        <v/>
      </c>
      <c r="Q161" s="103" t="str">
        <f>IF(Q$3="","",IF(COUNTIFS(Base!$A$3:$A$5001,Q$3,Base!$B$3:$B$5001,$A$147,Base!$AD$3:$AD$5001,"&lt;&gt;")=0,"",SUMIFS(Base!$AD$3:$AD$5001,Base!$A$3:$A$5001,Q$3,Base!$B$3:$B$5001,$A$147)))</f>
        <v/>
      </c>
      <c r="R161" s="103" t="str">
        <f>IF(R$3="","",IF(COUNTIFS(Base!$A$3:$A$5001,R$3,Base!$B$3:$B$5001,$A$147,Base!$AD$3:$AD$5001,"&lt;&gt;")=0,"",SUMIFS(Base!$AD$3:$AD$5001,Base!$A$3:$A$5001,R$3,Base!$B$3:$B$5001,$A$147)))</f>
        <v/>
      </c>
      <c r="S161" s="103" t="str">
        <f>IF(S$3="","",IF(COUNTIFS(Base!$A$3:$A$5001,S$3,Base!$B$3:$B$5001,$A$147,Base!$AD$3:$AD$5001,"&lt;&gt;")=0,"",SUMIFS(Base!$AD$3:$AD$5001,Base!$A$3:$A$5001,S$3,Base!$B$3:$B$5001,$A$147)))</f>
        <v/>
      </c>
      <c r="T161" s="103" t="str">
        <f>IF(T$3="","",IF(COUNTIFS(Base!$A$3:$A$5001,T$3,Base!$B$3:$B$5001,$A$147,Base!$AD$3:$AD$5001,"&lt;&gt;")=0,"",SUMIFS(Base!$AD$3:$AD$5001,Base!$A$3:$A$5001,T$3,Base!$B$3:$B$5001,$A$147)))</f>
        <v/>
      </c>
      <c r="U161" s="103" t="str">
        <f>IF(U$3="","",IF(COUNTIFS(Base!$A$3:$A$5001,U$3,Base!$B$3:$B$5001,$A$147,Base!$AD$3:$AD$5001,"&lt;&gt;")=0,"",SUMIFS(Base!$AD$3:$AD$5001,Base!$A$3:$A$5001,U$3,Base!$B$3:$B$5001,$A$147)))</f>
        <v/>
      </c>
      <c r="V161" s="103" t="str">
        <f>IF(V$3="","",IF(COUNTIFS(Base!$A$3:$A$5001,V$3,Base!$B$3:$B$5001,$A$147,Base!$AD$3:$AD$5001,"&lt;&gt;")=0,"",SUMIFS(Base!$AD$3:$AD$5001,Base!$A$3:$A$5001,V$3,Base!$B$3:$B$5001,$A$147)))</f>
        <v/>
      </c>
      <c r="W161" s="103" t="str">
        <f>IF(W$3="","",IF(COUNTIFS(Base!$A$3:$A$5001,W$3,Base!$B$3:$B$5001,$A$147,Base!$AD$3:$AD$5001,"&lt;&gt;")=0,"",SUMIFS(Base!$AD$3:$AD$5001,Base!$A$3:$A$5001,W$3,Base!$B$3:$B$5001,$A$147)))</f>
        <v/>
      </c>
      <c r="X161" s="103" t="str">
        <f>IF(X$3="","",IF(COUNTIFS(Base!$A$3:$A$5001,X$3,Base!$B$3:$B$5001,$A$147,Base!$AD$3:$AD$5001,"&lt;&gt;")=0,"",SUMIFS(Base!$AD$3:$AD$5001,Base!$A$3:$A$5001,X$3,Base!$B$3:$B$5001,$A$147)))</f>
        <v/>
      </c>
      <c r="Y161" s="103" t="str">
        <f>IF(Y$3="","",IF(COUNTIFS(Base!$A$3:$A$5001,Y$3,Base!$B$3:$B$5001,$A$147,Base!$AD$3:$AD$5001,"&lt;&gt;")=0,"",SUMIFS(Base!$AD$3:$AD$5001,Base!$A$3:$A$5001,Y$3,Base!$B$3:$B$5001,$A$147)))</f>
        <v/>
      </c>
      <c r="Z161" s="103" t="str">
        <f>IF(Z$3="","",IF(COUNTIFS(Base!$A$3:$A$5001,Z$3,Base!$B$3:$B$5001,$A$147,Base!$AD$3:$AD$5001,"&lt;&gt;")=0,"",SUMIFS(Base!$AD$3:$AD$5001,Base!$A$3:$A$5001,Z$3,Base!$B$3:$B$5001,$A$147)))</f>
        <v/>
      </c>
      <c r="AA161" s="103" t="str">
        <f>IF(AA$3="","",IF(COUNTIFS(Base!$A$3:$A$5001,AA$3,Base!$B$3:$B$5001,$A$147,Base!$AD$3:$AD$5001,"&lt;&gt;")=0,"",SUMIFS(Base!$AD$3:$AD$5001,Base!$A$3:$A$5001,AA$3,Base!$B$3:$B$5001,$A$147)))</f>
        <v/>
      </c>
      <c r="AB161" s="103" t="str">
        <f>IF(AB$3="","",IF(COUNTIFS(Base!$A$3:$A$5001,AB$3,Base!$B$3:$B$5001,$A$147,Base!$AD$3:$AD$5001,"&lt;&gt;")=0,"",SUMIFS(Base!$AD$3:$AD$5001,Base!$A$3:$A$5001,AB$3,Base!$B$3:$B$5001,$A$147)))</f>
        <v/>
      </c>
      <c r="AC161" s="103" t="str">
        <f>IF(AC$3="","",IF(COUNTIFS(Base!$A$3:$A$5001,AC$3,Base!$B$3:$B$5001,$A$147,Base!$AD$3:$AD$5001,"&lt;&gt;")=0,"",SUMIFS(Base!$AD$3:$AD$5001,Base!$A$3:$A$5001,AC$3,Base!$B$3:$B$5001,$A$147)))</f>
        <v/>
      </c>
      <c r="AD161" s="103" t="str">
        <f>IF(AD$3="","",IF(COUNTIFS(Base!$A$3:$A$5001,AD$3,Base!$B$3:$B$5001,$A$147,Base!$AD$3:$AD$5001,"&lt;&gt;")=0,"",SUMIFS(Base!$AD$3:$AD$5001,Base!$A$3:$A$5001,AD$3,Base!$B$3:$B$5001,$A$147)))</f>
        <v/>
      </c>
      <c r="AE161" s="103" t="str">
        <f>IF(AE$3="","",IF(COUNTIFS(Base!$A$3:$A$5001,AE$3,Base!$B$3:$B$5001,$A$147,Base!$AD$3:$AD$5001,"&lt;&gt;")=0,"",SUMIFS(Base!$AD$3:$AD$5001,Base!$A$3:$A$5001,AE$3,Base!$B$3:$B$5001,$A$147)))</f>
        <v/>
      </c>
      <c r="AF161" s="103" t="str">
        <f>IF(AF$3="","",IF(COUNTIFS(Base!$A$3:$A$5001,AF$3,Base!$B$3:$B$5001,$A$147,Base!$AD$3:$AD$5001,"&lt;&gt;")=0,"",SUMIFS(Base!$AD$3:$AD$5001,Base!$A$3:$A$5001,AF$3,Base!$B$3:$B$5001,$A$147)))</f>
        <v/>
      </c>
      <c r="AG161" s="103" t="str">
        <f>IF(AG$3="","",IF(COUNTIFS(Base!$A$3:$A$5001,AG$3,Base!$B$3:$B$5001,$A$147,Base!$AD$3:$AD$5001,"&lt;&gt;")=0,"",SUMIFS(Base!$AD$3:$AD$5001,Base!$A$3:$A$5001,AG$3,Base!$B$3:$B$5001,$A$147)))</f>
        <v/>
      </c>
      <c r="AH161" s="103" t="str">
        <f>IF(AH$3="","",IF(COUNTIFS(Base!$A$3:$A$5001,AH$3,Base!$B$3:$B$5001,$A$147,Base!$AD$3:$AD$5001,"&lt;&gt;")=0,"",SUMIFS(Base!$AD$3:$AD$5001,Base!$A$3:$A$5001,AH$3,Base!$B$3:$B$5001,$A$147)))</f>
        <v/>
      </c>
      <c r="AI161" s="103" t="str">
        <f>IF(AI$3="","",IF(COUNTIFS(Base!$A$3:$A$5001,AI$3,Base!$B$3:$B$5001,$A$147,Base!$AD$3:$AD$5001,"&lt;&gt;")=0,"",SUMIFS(Base!$AD$3:$AD$5001,Base!$A$3:$A$5001,AI$3,Base!$B$3:$B$5001,$A$147)))</f>
        <v/>
      </c>
      <c r="AJ161" s="104" t="str">
        <f>IF(AJ$3="","",IF(COUNTIFS(Base!$A$3:$A$5001,AJ$3,Base!$B$3:$B$5001,$A$147,Base!$AD$3:$AD$5001,"&lt;&gt;")=0,"",SUMIFS(Base!$AD$3:$AD$5001,Base!$A$3:$A$5001,AJ$3,Base!$B$3:$B$5001,$A$147)))</f>
        <v/>
      </c>
      <c r="AK161" s="100" t="str">
        <f>IF(COUNT(F161:AJ161)=0,"",SUM(F161:AJ161))</f>
        <v/>
      </c>
    </row>
    <row r="164">
      <c r="A164" s="120" t="inlineStr">
        <is>
          <t xml:space="preserve">Mês / ano: filtro na célula vermelha do canto superior direito. Cada cliente mostra só os indicadores que usa. Célula vazia = sem registro. MÊS: soma nos fluxos e NC; último dado em backlog, posições e efetivo. Taxa = ocupadas ÷ disponíveis. Destaques: incidente &gt; 0; ocupação ≥ 70% (atenção) e ≥ 90% (crítico). META: aba calculos (oculta).</t>
        </is>
      </c>
    </row>
  </sheetData>
  <mergeCells count="61">
    <mergeCell ref="F1:AD1"/>
    <mergeCell ref="AE1:AK1"/>
    <mergeCell ref="A2:A3"/>
    <mergeCell ref="B2:C3"/>
    <mergeCell ref="D2:D3"/>
    <mergeCell ref="F2:AJ2"/>
    <mergeCell ref="AK2:AK3"/>
    <mergeCell ref="B5:B7"/>
    <mergeCell ref="B8:B10"/>
    <mergeCell ref="B11:B13"/>
    <mergeCell ref="B14:B16"/>
    <mergeCell ref="B17:B21"/>
    <mergeCell ref="A5:A21"/>
    <mergeCell ref="B23:B25"/>
    <mergeCell ref="B26:B28"/>
    <mergeCell ref="B29:B31"/>
    <mergeCell ref="B32:B34"/>
    <mergeCell ref="B35:B39"/>
    <mergeCell ref="A23:A39"/>
    <mergeCell ref="B41:B44"/>
    <mergeCell ref="B45:B48"/>
    <mergeCell ref="B49:B51"/>
    <mergeCell ref="B52:B54"/>
    <mergeCell ref="B55:B59"/>
    <mergeCell ref="A41:A59"/>
    <mergeCell ref="B61:B63"/>
    <mergeCell ref="B64:B66"/>
    <mergeCell ref="B67:B69"/>
    <mergeCell ref="B70:B72"/>
    <mergeCell ref="B73:B77"/>
    <mergeCell ref="A61:A77"/>
    <mergeCell ref="B79:B82"/>
    <mergeCell ref="B83:B86"/>
    <mergeCell ref="B87:B89"/>
    <mergeCell ref="B90:B92"/>
    <mergeCell ref="B93:B97"/>
    <mergeCell ref="A79:A97"/>
    <mergeCell ref="B99:B100"/>
    <mergeCell ref="B101:B102"/>
    <mergeCell ref="B103:B105"/>
    <mergeCell ref="B106:B108"/>
    <mergeCell ref="B109:B113"/>
    <mergeCell ref="A99:A113"/>
    <mergeCell ref="B115:B116"/>
    <mergeCell ref="B117:B118"/>
    <mergeCell ref="B119:B121"/>
    <mergeCell ref="B122:B124"/>
    <mergeCell ref="B125:B129"/>
    <mergeCell ref="A115:A129"/>
    <mergeCell ref="B131:B132"/>
    <mergeCell ref="B133:B134"/>
    <mergeCell ref="B135:B137"/>
    <mergeCell ref="B138:B140"/>
    <mergeCell ref="B141:B145"/>
    <mergeCell ref="A131:A145"/>
    <mergeCell ref="B147:B148"/>
    <mergeCell ref="B149:B150"/>
    <mergeCell ref="B151:B153"/>
    <mergeCell ref="B154:B156"/>
    <mergeCell ref="B157:B161"/>
    <mergeCell ref="A147:A161"/>
  </mergeCells>
  <conditionalFormatting sqref="F3:AJ3">
    <cfRule type="expression" dxfId="9" priority="1">
      <formula>AND(ISNUMBER(F3),WEEKDAY(F3,2)&gt;5)</formula>
    </cfRule>
  </conditionalFormatting>
  <conditionalFormatting sqref="F11:AJ11">
    <cfRule type="expression" dxfId="0" priority="2">
      <formula>AND(ISNUMBER(F11),F11&gt;0)</formula>
    </cfRule>
  </conditionalFormatting>
  <conditionalFormatting sqref="F16:AK16">
    <cfRule type="expression" dxfId="1" priority="3" stopIfTrue="1">
      <formula>AND(ISNUMBER(F16),F16&gt;=0.9)</formula>
    </cfRule>
    <cfRule type="expression" dxfId="2" priority="4">
      <formula>AND(ISNUMBER(F16),F16&gt;=0.7)</formula>
    </cfRule>
  </conditionalFormatting>
  <conditionalFormatting sqref="F29:AJ29">
    <cfRule type="expression" dxfId="0" priority="5">
      <formula>AND(ISNUMBER(F29),F29&gt;0)</formula>
    </cfRule>
  </conditionalFormatting>
  <conditionalFormatting sqref="F34:AK34">
    <cfRule type="expression" dxfId="1" priority="6" stopIfTrue="1">
      <formula>AND(ISNUMBER(F34),F34&gt;=0.9)</formula>
    </cfRule>
    <cfRule type="expression" dxfId="2" priority="7">
      <formula>AND(ISNUMBER(F34),F34&gt;=0.7)</formula>
    </cfRule>
  </conditionalFormatting>
  <conditionalFormatting sqref="F49:AJ49">
    <cfRule type="expression" dxfId="0" priority="8">
      <formula>AND(ISNUMBER(F49),F49&gt;0)</formula>
    </cfRule>
  </conditionalFormatting>
  <conditionalFormatting sqref="F54:AK54">
    <cfRule type="expression" dxfId="1" priority="9" stopIfTrue="1">
      <formula>AND(ISNUMBER(F54),F54&gt;=0.9)</formula>
    </cfRule>
    <cfRule type="expression" dxfId="2" priority="10">
      <formula>AND(ISNUMBER(F54),F54&gt;=0.7)</formula>
    </cfRule>
  </conditionalFormatting>
  <conditionalFormatting sqref="F67:AJ67">
    <cfRule type="expression" dxfId="0" priority="11">
      <formula>AND(ISNUMBER(F67),F67&gt;0)</formula>
    </cfRule>
  </conditionalFormatting>
  <conditionalFormatting sqref="F72:AK72">
    <cfRule type="expression" dxfId="1" priority="12" stopIfTrue="1">
      <formula>AND(ISNUMBER(F72),F72&gt;=0.9)</formula>
    </cfRule>
    <cfRule type="expression" dxfId="2" priority="13">
      <formula>AND(ISNUMBER(F72),F72&gt;=0.7)</formula>
    </cfRule>
  </conditionalFormatting>
  <conditionalFormatting sqref="F87:AJ87">
    <cfRule type="expression" dxfId="0" priority="14">
      <formula>AND(ISNUMBER(F87),F87&gt;0)</formula>
    </cfRule>
  </conditionalFormatting>
  <conditionalFormatting sqref="F92:AK92">
    <cfRule type="expression" dxfId="1" priority="15" stopIfTrue="1">
      <formula>AND(ISNUMBER(F92),F92&gt;=0.9)</formula>
    </cfRule>
    <cfRule type="expression" dxfId="2" priority="16">
      <formula>AND(ISNUMBER(F92),F92&gt;=0.7)</formula>
    </cfRule>
  </conditionalFormatting>
  <conditionalFormatting sqref="F103:AJ103">
    <cfRule type="expression" dxfId="0" priority="17">
      <formula>AND(ISNUMBER(F103),F103&gt;0)</formula>
    </cfRule>
  </conditionalFormatting>
  <conditionalFormatting sqref="F108:AK108">
    <cfRule type="expression" dxfId="1" priority="18" stopIfTrue="1">
      <formula>AND(ISNUMBER(F108),F108&gt;=0.9)</formula>
    </cfRule>
    <cfRule type="expression" dxfId="2" priority="19">
      <formula>AND(ISNUMBER(F108),F108&gt;=0.7)</formula>
    </cfRule>
  </conditionalFormatting>
  <conditionalFormatting sqref="F119:AJ119">
    <cfRule type="expression" dxfId="0" priority="20">
      <formula>AND(ISNUMBER(F119),F119&gt;0)</formula>
    </cfRule>
  </conditionalFormatting>
  <conditionalFormatting sqref="F124:AK124">
    <cfRule type="expression" dxfId="1" priority="21" stopIfTrue="1">
      <formula>AND(ISNUMBER(F124),F124&gt;=0.9)</formula>
    </cfRule>
    <cfRule type="expression" dxfId="2" priority="22">
      <formula>AND(ISNUMBER(F124),F124&gt;=0.7)</formula>
    </cfRule>
  </conditionalFormatting>
  <conditionalFormatting sqref="F135:AJ135">
    <cfRule type="expression" dxfId="0" priority="23">
      <formula>AND(ISNUMBER(F135),F135&gt;0)</formula>
    </cfRule>
  </conditionalFormatting>
  <conditionalFormatting sqref="F140:AK140">
    <cfRule type="expression" dxfId="1" priority="24" stopIfTrue="1">
      <formula>AND(ISNUMBER(F140),F140&gt;=0.9)</formula>
    </cfRule>
    <cfRule type="expression" dxfId="2" priority="25">
      <formula>AND(ISNUMBER(F140),F140&gt;=0.7)</formula>
    </cfRule>
  </conditionalFormatting>
  <conditionalFormatting sqref="F151:AJ151">
    <cfRule type="expression" dxfId="0" priority="26">
      <formula>AND(ISNUMBER(F151),F151&gt;0)</formula>
    </cfRule>
  </conditionalFormatting>
  <conditionalFormatting sqref="F156:AK156">
    <cfRule type="expression" dxfId="1" priority="27" stopIfTrue="1">
      <formula>AND(ISNUMBER(F156),F156&gt;=0.9)</formula>
    </cfRule>
    <cfRule type="expression" dxfId="2" priority="28">
      <formula>AND(ISNUMBER(F156),F156&gt;=0.7)</formula>
    </cfRule>
  </conditionalFormatting>
  <dataValidations count="1">
    <dataValidation type="list" allowBlank="0" showInputMessage="1" showErrorMessage="1" errorTitle="Mês / ano" error="Escolha um item da lista." promptTitle="Mês / ano" prompt="Escolha o mês / ano desta aba. Os dados vêm da aba Base." sqref="AE1">
      <formula1>calculos!$AN$12:$AN$35</formula1>
    </dataValidation>
  </dataValidations>
  <pageMargins left="0.25" right="0.25" top="0.4" bottom="0.4" header="0.2" footer="0.2"/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AA80"/>
  <sheetViews>
    <sheetView showGridLines="0" zoomScale="85" zoomScaleNormal="85"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2" customWidth="1"/>
    <col min="2" max="2" width="10" customWidth="1"/>
    <col min="3" max="3" width="10" customWidth="1"/>
    <col min="4" max="4" width="10" customWidth="1"/>
    <col min="5" max="5" width="10" customWidth="1"/>
    <col min="6" max="6" width="2.5" customWidth="1"/>
    <col min="7" max="7" width="10" customWidth="1"/>
    <col min="8" max="8" width="10" customWidth="1"/>
    <col min="9" max="9" width="10" customWidth="1"/>
    <col min="10" max="10" width="10" customWidth="1"/>
    <col min="11" max="11" width="2.5" customWidth="1"/>
    <col min="12" max="12" width="10" customWidth="1"/>
    <col min="13" max="13" width="10" customWidth="1"/>
    <col min="14" max="14" width="10" customWidth="1"/>
    <col min="15" max="15" width="10" customWidth="1"/>
    <col min="16" max="16" width="2.5" customWidth="1"/>
    <col min="17" max="17" width="10" customWidth="1"/>
    <col min="18" max="18" width="10" customWidth="1"/>
    <col min="19" max="19" width="10" customWidth="1"/>
    <col min="20" max="20" width="10" customWidth="1"/>
    <col min="21" max="21" width="2.5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2" customWidth="1"/>
  </cols>
  <sheetData>
    <row r="1" ht="34.5" customHeight="1">
      <c r="A1" s="1"/>
      <c r="B1" s="1"/>
      <c r="C1" s="1"/>
      <c r="D1" s="1"/>
      <c r="E1" s="2" t="inlineStr">
        <is>
          <t xml:space="preserve">QUADRO DE INDICADORES · DETALHE DO MÊS</t>
        </is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inlineStr">
        <is>
          <t xml:space="preserve">SETEMBRO · 2026</t>
        </is>
      </c>
      <c r="W1" s="3"/>
      <c r="X1" s="3"/>
      <c r="Y1" s="3"/>
      <c r="Z1" s="3"/>
      <c r="AA1" s="3"/>
    </row>
    <row r="3" ht="24" customHeight="1">
      <c r="B3" s="175" t="str">
        <f>"Cliente: "&amp;calculos_quadro!$B$2&amp;"     ·     para trocar o cliente, use o filtro da aba Indicadores"</f>
        <v>Cliente: Todos     ·     para trocar o cliente, use o filtro da aba Indicadores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Q3" s="176" t="str">
        <f>IF(calculos_quadro!$B$9=0,"Sem dados na Base para o mês escolhido","Dados até "&amp;TEXT(calculos_quadro!$C$7+calculos_quadro!$B$9-1,"dd/mm")&amp;"/"&amp;YEAR(calculos_quadro!$C$7)&amp;" · comparação: "&amp;calculos_quadro!$B$8&amp;", dias 1 a "&amp;calculos_quadro!$B$9)</f>
        <v>Dados até 29/09/2026 · comparação: Agosto/2026, dias 1 a 29</v>
      </c>
      <c r="R3" s="176"/>
      <c r="S3" s="176"/>
      <c r="T3" s="176"/>
      <c r="U3" s="176"/>
      <c r="V3" s="176"/>
      <c r="W3" s="176"/>
      <c r="X3" s="176"/>
      <c r="Y3" s="176"/>
      <c r="Z3" s="176"/>
    </row>
    <row r="5" ht="20" customHeight="1">
      <c r="B5" s="177" t="inlineStr">
        <is>
          <t xml:space="preserve">QUADRO DE INDICADORES · cliente e mês selecionados</t>
        </is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 ht="28" customHeight="1">
      <c r="B6" s="178" t="inlineStr">
        <is>
          <t xml:space="preserve">GRUPO</t>
        </is>
      </c>
      <c r="C6" s="179"/>
      <c r="D6" s="178" t="inlineStr">
        <is>
          <t xml:space="preserve">INDICADOR</t>
        </is>
      </c>
      <c r="E6" s="180"/>
      <c r="F6" s="180"/>
      <c r="G6" s="179"/>
      <c r="H6" s="181" t="inlineStr">
        <is>
          <t xml:space="preserve">META</t>
        </is>
      </c>
      <c r="I6" s="182"/>
      <c r="J6" s="181" t="inlineStr">
        <is>
          <t xml:space="preserve">REALIZADO</t>
        </is>
      </c>
      <c r="K6" s="183"/>
      <c r="L6" s="182"/>
      <c r="M6" s="181" t="inlineStr">
        <is>
          <t xml:space="preserve">MÉDIA / DIA</t>
        </is>
      </c>
      <c r="N6" s="182"/>
      <c r="O6" s="181" t="inlineStr">
        <is>
          <t xml:space="preserve">MÁXIMO NO DIA</t>
        </is>
      </c>
      <c r="P6" s="183"/>
      <c r="Q6" s="182"/>
      <c r="R6" s="181" t="inlineStr">
        <is>
          <t xml:space="preserve">MÊS ANTERIOR</t>
        </is>
      </c>
      <c r="S6" s="182"/>
      <c r="T6" s="181" t="inlineStr">
        <is>
          <t xml:space="preserve">VARIAÇÃO</t>
        </is>
      </c>
      <c r="U6" s="183"/>
      <c r="V6" s="182"/>
      <c r="W6" s="181" t="inlineStr">
        <is>
          <t xml:space="preserve">% DA META</t>
        </is>
      </c>
      <c r="X6" s="182"/>
      <c r="Y6" s="181" t="inlineStr">
        <is>
          <t xml:space="preserve">STATUS</t>
        </is>
      </c>
      <c r="Z6" s="182"/>
    </row>
    <row r="7" ht="16" customHeight="1">
      <c r="B7" s="394" t="inlineStr">
        <is>
          <t xml:space="preserve">IN</t>
        </is>
      </c>
      <c r="C7" s="21"/>
      <c r="D7" s="185" t="str">
        <f>IF(calculos_quadro!$D$2="","",MID(calculos_quadro!$D$2,FIND(" ",calculos_quadro!$D$2)+1,99))</f>
        <v>Veículos Recebidos</v>
      </c>
      <c r="E7" s="184"/>
      <c r="F7" s="184"/>
      <c r="G7" s="184"/>
      <c r="H7" s="187" t="str">
        <f>IF(calculos_quadro!$D$2="","",INDEX(calculos_quadro!$C$48:$AE$48,MATCH(calculos_quadro!$D$2,calculos_quadro!$C$11:$AE$11,0)))</f>
        <v/>
      </c>
      <c r="I7" s="186"/>
      <c r="J7" s="189">
        <f>IF(calculos_quadro!$D$2="","",INDEX(calculos_quadro!$C$43:$AE$43,MATCH(calculos_quadro!$D$2,calculos_quadro!$C$11:$AE$11,0)))</f>
        <v>1106</v>
      </c>
      <c r="K7" s="188"/>
      <c r="L7" s="188"/>
      <c r="M7" s="191">
        <f>IF(calculos_quadro!$D$2="","",INDEX(calculos_quadro!$C$44:$AE$44,MATCH(calculos_quadro!$D$2,calculos_quadro!$C$11:$AE$11,0)))</f>
        <v>44.24</v>
      </c>
      <c r="N7" s="190"/>
      <c r="O7" s="193">
        <f>IF(calculos_quadro!$D$2="","",INDEX(calculos_quadro!$C$45:$AE$45,MATCH(calculos_quadro!$D$2,calculos_quadro!$C$11:$AE$11,0)))</f>
        <v>57</v>
      </c>
      <c r="P7" s="192"/>
      <c r="Q7" s="192"/>
      <c r="R7" s="193">
        <f>IF(calculos_quadro!$D$2="","",INDEX(calculos_quadro!$C$46:$AE$46,MATCH(calculos_quadro!$D$2,calculos_quadro!$C$11:$AE$11,0)))</f>
        <v>1128</v>
      </c>
      <c r="S7" s="192"/>
      <c r="T7" s="195">
        <f>IF(calculos_quadro!$D$2="","",INDEX(calculos_quadro!$C$47:$AE$47,MATCH(calculos_quadro!$D$2,calculos_quadro!$C$11:$AE$11,0)))</f>
        <v>-0.0195035460992907</v>
      </c>
      <c r="U7" s="194"/>
      <c r="V7" s="194"/>
      <c r="W7" s="197" t="str">
        <f>IF(calculos_quadro!$D$2="","",INDEX(calculos_quadro!$C$49:$AE$49,MATCH(calculos_quadro!$D$2,calculos_quadro!$C$11:$AE$11,0)))</f>
        <v/>
      </c>
      <c r="X7" s="196"/>
      <c r="Y7" s="199" t="str">
        <f>IF(calculos_quadro!$D$2="","",INDEX(calculos_quadro!$C$50:$AE$50,MATCH(calculos_quadro!$D$2,calculos_quadro!$C$11:$AE$11,0)))</f>
        <v/>
      </c>
      <c r="Z7" s="200"/>
    </row>
    <row r="8" ht="16" customHeight="1">
      <c r="B8" s="395"/>
      <c r="C8" s="28"/>
      <c r="D8" s="202" t="str">
        <f>IF(calculos_quadro!$E$2="","",MID(calculos_quadro!$E$2,FIND(" ",calculos_quadro!$E$2)+1,99))</f>
        <v>Pallets Movimentados</v>
      </c>
      <c r="E8" s="201"/>
      <c r="F8" s="201"/>
      <c r="G8" s="201"/>
      <c r="H8" s="204" t="str">
        <f>IF(calculos_quadro!$E$2="","",INDEX(calculos_quadro!$C$48:$AE$48,MATCH(calculos_quadro!$E$2,calculos_quadro!$C$11:$AE$11,0)))</f>
        <v/>
      </c>
      <c r="I8" s="203"/>
      <c r="J8" s="206">
        <f>IF(calculos_quadro!$E$2="","",INDEX(calculos_quadro!$C$43:$AE$43,MATCH(calculos_quadro!$E$2,calculos_quadro!$C$11:$AE$11,0)))</f>
        <v>12991</v>
      </c>
      <c r="K8" s="205"/>
      <c r="L8" s="205"/>
      <c r="M8" s="208">
        <f>IF(calculos_quadro!$E$2="","",INDEX(calculos_quadro!$C$44:$AE$44,MATCH(calculos_quadro!$E$2,calculos_quadro!$C$11:$AE$11,0)))</f>
        <v>519.64</v>
      </c>
      <c r="N8" s="207"/>
      <c r="O8" s="210">
        <f>IF(calculos_quadro!$E$2="","",INDEX(calculos_quadro!$C$45:$AE$45,MATCH(calculos_quadro!$E$2,calculos_quadro!$C$11:$AE$11,0)))</f>
        <v>647</v>
      </c>
      <c r="P8" s="209"/>
      <c r="Q8" s="209"/>
      <c r="R8" s="210">
        <f>IF(calculos_quadro!$E$2="","",INDEX(calculos_quadro!$C$46:$AE$46,MATCH(calculos_quadro!$E$2,calculos_quadro!$C$11:$AE$11,0)))</f>
        <v>12435</v>
      </c>
      <c r="S8" s="209"/>
      <c r="T8" s="212">
        <f>IF(calculos_quadro!$E$2="","",INDEX(calculos_quadro!$C$47:$AE$47,MATCH(calculos_quadro!$E$2,calculos_quadro!$C$11:$AE$11,0)))</f>
        <v>0.0447125050261359</v>
      </c>
      <c r="U8" s="211"/>
      <c r="V8" s="211"/>
      <c r="W8" s="214" t="str">
        <f>IF(calculos_quadro!$E$2="","",INDEX(calculos_quadro!$C$49:$AE$49,MATCH(calculos_quadro!$E$2,calculos_quadro!$C$11:$AE$11,0)))</f>
        <v/>
      </c>
      <c r="X8" s="213"/>
      <c r="Y8" s="216" t="str">
        <f>IF(calculos_quadro!$E$2="","",INDEX(calculos_quadro!$C$50:$AE$50,MATCH(calculos_quadro!$E$2,calculos_quadro!$C$11:$AE$11,0)))</f>
        <v/>
      </c>
      <c r="Z8" s="217"/>
    </row>
    <row r="9" ht="16" customHeight="1">
      <c r="B9" s="395"/>
      <c r="C9" s="28"/>
      <c r="D9" s="202" t="str">
        <f>IF(calculos_quadro!$F$2="","",MID(calculos_quadro!$F$2,FIND(" ",calculos_quadro!$F$2)+1,99))</f>
        <v>Toneladas Movimentadas</v>
      </c>
      <c r="E9" s="201"/>
      <c r="F9" s="201"/>
      <c r="G9" s="201"/>
      <c r="H9" s="204" t="str">
        <f>IF(calculos_quadro!$F$2="","",INDEX(calculos_quadro!$C$48:$AE$48,MATCH(calculos_quadro!$F$2,calculos_quadro!$C$11:$AE$11,0)))</f>
        <v/>
      </c>
      <c r="I9" s="203"/>
      <c r="J9" s="206">
        <f>IF(calculos_quadro!$F$2="","",INDEX(calculos_quadro!$C$43:$AE$43,MATCH(calculos_quadro!$F$2,calculos_quadro!$C$11:$AE$11,0)))</f>
        <v>3872.89</v>
      </c>
      <c r="K9" s="205"/>
      <c r="L9" s="205"/>
      <c r="M9" s="208">
        <f>IF(calculos_quadro!$F$2="","",INDEX(calculos_quadro!$C$44:$AE$44,MATCH(calculos_quadro!$F$2,calculos_quadro!$C$11:$AE$11,0)))</f>
        <v>154.9156</v>
      </c>
      <c r="N9" s="207"/>
      <c r="O9" s="210">
        <f>IF(calculos_quadro!$F$2="","",INDEX(calculos_quadro!$C$45:$AE$45,MATCH(calculos_quadro!$F$2,calculos_quadro!$C$11:$AE$11,0)))</f>
        <v>234.41</v>
      </c>
      <c r="P9" s="209"/>
      <c r="Q9" s="209"/>
      <c r="R9" s="210">
        <f>IF(calculos_quadro!$F$2="","",INDEX(calculos_quadro!$C$46:$AE$46,MATCH(calculos_quadro!$F$2,calculos_quadro!$C$11:$AE$11,0)))</f>
        <v>3355.07</v>
      </c>
      <c r="S9" s="209"/>
      <c r="T9" s="212">
        <f>IF(calculos_quadro!$F$2="","",INDEX(calculos_quadro!$C$47:$AE$47,MATCH(calculos_quadro!$F$2,calculos_quadro!$C$11:$AE$11,0)))</f>
        <v>0.154339551782824</v>
      </c>
      <c r="U9" s="211"/>
      <c r="V9" s="211"/>
      <c r="W9" s="214" t="str">
        <f>IF(calculos_quadro!$F$2="","",INDEX(calculos_quadro!$C$49:$AE$49,MATCH(calculos_quadro!$F$2,calculos_quadro!$C$11:$AE$11,0)))</f>
        <v/>
      </c>
      <c r="X9" s="213"/>
      <c r="Y9" s="216" t="str">
        <f>IF(calculos_quadro!$F$2="","",INDEX(calculos_quadro!$C$50:$AE$50,MATCH(calculos_quadro!$F$2,calculos_quadro!$C$11:$AE$11,0)))</f>
        <v/>
      </c>
      <c r="Z9" s="217"/>
    </row>
    <row r="10" ht="16" customHeight="1">
      <c r="B10" s="396"/>
      <c r="C10" s="35"/>
      <c r="D10" s="219" t="str">
        <f>IF(calculos_quadro!$G$2="","",MID(calculos_quadro!$G$2,FIND(" ",calculos_quadro!$G$2)+1,99))</f>
        <v>Linhas NF</v>
      </c>
      <c r="E10" s="218"/>
      <c r="F10" s="218"/>
      <c r="G10" s="218"/>
      <c r="H10" s="221" t="str">
        <f>IF(calculos_quadro!$G$2="","",INDEX(calculos_quadro!$C$48:$AE$48,MATCH(calculos_quadro!$G$2,calculos_quadro!$C$11:$AE$11,0)))</f>
        <v/>
      </c>
      <c r="I10" s="220"/>
      <c r="J10" s="477">
        <f>IF(calculos_quadro!$G$2="","",INDEX(calculos_quadro!$C$43:$AE$43,MATCH(calculos_quadro!$G$2,calculos_quadro!$C$11:$AE$11,0)))</f>
        <v>3026</v>
      </c>
      <c r="K10" s="222"/>
      <c r="L10" s="222"/>
      <c r="M10" s="225">
        <f>IF(calculos_quadro!$G$2="","",INDEX(calculos_quadro!$C$44:$AE$44,MATCH(calculos_quadro!$G$2,calculos_quadro!$C$11:$AE$11,0)))</f>
        <v>121.04</v>
      </c>
      <c r="N10" s="224"/>
      <c r="O10" s="478">
        <f>IF(calculos_quadro!$G$2="","",INDEX(calculos_quadro!$C$45:$AE$45,MATCH(calculos_quadro!$G$2,calculos_quadro!$C$11:$AE$11,0)))</f>
        <v>181</v>
      </c>
      <c r="P10" s="224"/>
      <c r="Q10" s="224"/>
      <c r="R10" s="478">
        <f>IF(calculos_quadro!$G$2="","",INDEX(calculos_quadro!$C$46:$AE$46,MATCH(calculos_quadro!$G$2,calculos_quadro!$C$11:$AE$11,0)))</f>
        <v>3221</v>
      </c>
      <c r="S10" s="224"/>
      <c r="T10" s="227">
        <f>IF(calculos_quadro!$G$2="","",INDEX(calculos_quadro!$C$47:$AE$47,MATCH(calculos_quadro!$G$2,calculos_quadro!$C$11:$AE$11,0)))</f>
        <v>-0.0605402049053089</v>
      </c>
      <c r="U10" s="226"/>
      <c r="V10" s="226"/>
      <c r="W10" s="229" t="str">
        <f>IF(calculos_quadro!$G$2="","",INDEX(calculos_quadro!$C$49:$AE$49,MATCH(calculos_quadro!$G$2,calculos_quadro!$C$11:$AE$11,0)))</f>
        <v/>
      </c>
      <c r="X10" s="228"/>
      <c r="Y10" s="231" t="str">
        <f>IF(calculos_quadro!$G$2="","",INDEX(calculos_quadro!$C$50:$AE$50,MATCH(calculos_quadro!$G$2,calculos_quadro!$C$11:$AE$11,0)))</f>
        <v/>
      </c>
      <c r="Z10" s="232"/>
    </row>
    <row r="11" ht="16" customHeight="1">
      <c r="B11" s="397" t="inlineStr">
        <is>
          <t xml:space="preserve">OUT</t>
        </is>
      </c>
      <c r="C11" s="41"/>
      <c r="D11" s="234" t="str">
        <f>IF(calculos_quadro!$H$2="","",MID(calculos_quadro!$H$2,FIND(" ",calculos_quadro!$H$2)+1,99))</f>
        <v>Veículos Expedidos</v>
      </c>
      <c r="E11" s="233"/>
      <c r="F11" s="233"/>
      <c r="G11" s="233"/>
      <c r="H11" s="236" t="str">
        <f>IF(calculos_quadro!$H$2="","",INDEX(calculos_quadro!$C$48:$AE$48,MATCH(calculos_quadro!$H$2,calculos_quadro!$C$11:$AE$11,0)))</f>
        <v/>
      </c>
      <c r="I11" s="235"/>
      <c r="J11" s="238">
        <f>IF(calculos_quadro!$H$2="","",INDEX(calculos_quadro!$C$43:$AE$43,MATCH(calculos_quadro!$H$2,calculos_quadro!$C$11:$AE$11,0)))</f>
        <v>1466</v>
      </c>
      <c r="K11" s="237"/>
      <c r="L11" s="237"/>
      <c r="M11" s="240">
        <f>IF(calculos_quadro!$H$2="","",INDEX(calculos_quadro!$C$44:$AE$44,MATCH(calculos_quadro!$H$2,calculos_quadro!$C$11:$AE$11,0)))</f>
        <v>58.64</v>
      </c>
      <c r="N11" s="239"/>
      <c r="O11" s="242">
        <f>IF(calculos_quadro!$H$2="","",INDEX(calculos_quadro!$C$45:$AE$45,MATCH(calculos_quadro!$H$2,calculos_quadro!$C$11:$AE$11,0)))</f>
        <v>82</v>
      </c>
      <c r="P11" s="241"/>
      <c r="Q11" s="241"/>
      <c r="R11" s="242">
        <f>IF(calculos_quadro!$H$2="","",INDEX(calculos_quadro!$C$46:$AE$46,MATCH(calculos_quadro!$H$2,calculos_quadro!$C$11:$AE$11,0)))</f>
        <v>1383</v>
      </c>
      <c r="S11" s="241"/>
      <c r="T11" s="244">
        <f>IF(calculos_quadro!$H$2="","",INDEX(calculos_quadro!$C$47:$AE$47,MATCH(calculos_quadro!$H$2,calculos_quadro!$C$11:$AE$11,0)))</f>
        <v>0.0600144613159797</v>
      </c>
      <c r="U11" s="243"/>
      <c r="V11" s="243"/>
      <c r="W11" s="246" t="str">
        <f>IF(calculos_quadro!$H$2="","",INDEX(calculos_quadro!$C$49:$AE$49,MATCH(calculos_quadro!$H$2,calculos_quadro!$C$11:$AE$11,0)))</f>
        <v/>
      </c>
      <c r="X11" s="245"/>
      <c r="Y11" s="248" t="str">
        <f>IF(calculos_quadro!$H$2="","",INDEX(calculos_quadro!$C$50:$AE$50,MATCH(calculos_quadro!$H$2,calculos_quadro!$C$11:$AE$11,0)))</f>
        <v/>
      </c>
      <c r="Z11" s="249"/>
    </row>
    <row r="12" ht="16" customHeight="1">
      <c r="B12" s="398"/>
      <c r="C12" s="48"/>
      <c r="D12" s="251" t="str">
        <f>IF(calculos_quadro!$I$2="","",MID(calculos_quadro!$I$2,FIND(" ",calculos_quadro!$I$2)+1,99))</f>
        <v>Pallets Movimentados</v>
      </c>
      <c r="E12" s="250"/>
      <c r="F12" s="250"/>
      <c r="G12" s="250"/>
      <c r="H12" s="253" t="str">
        <f>IF(calculos_quadro!$I$2="","",INDEX(calculos_quadro!$C$48:$AE$48,MATCH(calculos_quadro!$I$2,calculos_quadro!$C$11:$AE$11,0)))</f>
        <v/>
      </c>
      <c r="I12" s="252"/>
      <c r="J12" s="255">
        <f>IF(calculos_quadro!$I$2="","",INDEX(calculos_quadro!$C$43:$AE$43,MATCH(calculos_quadro!$I$2,calculos_quadro!$C$11:$AE$11,0)))</f>
        <v>16470</v>
      </c>
      <c r="K12" s="254"/>
      <c r="L12" s="254"/>
      <c r="M12" s="257">
        <f>IF(calculos_quadro!$I$2="","",INDEX(calculos_quadro!$C$44:$AE$44,MATCH(calculos_quadro!$I$2,calculos_quadro!$C$11:$AE$11,0)))</f>
        <v>658.8</v>
      </c>
      <c r="N12" s="256"/>
      <c r="O12" s="259">
        <f>IF(calculos_quadro!$I$2="","",INDEX(calculos_quadro!$C$45:$AE$45,MATCH(calculos_quadro!$I$2,calculos_quadro!$C$11:$AE$11,0)))</f>
        <v>815</v>
      </c>
      <c r="P12" s="258"/>
      <c r="Q12" s="258"/>
      <c r="R12" s="259">
        <f>IF(calculos_quadro!$I$2="","",INDEX(calculos_quadro!$C$46:$AE$46,MATCH(calculos_quadro!$I$2,calculos_quadro!$C$11:$AE$11,0)))</f>
        <v>15100</v>
      </c>
      <c r="S12" s="258"/>
      <c r="T12" s="261">
        <f>IF(calculos_quadro!$I$2="","",INDEX(calculos_quadro!$C$47:$AE$47,MATCH(calculos_quadro!$I$2,calculos_quadro!$C$11:$AE$11,0)))</f>
        <v>0.090728476821192</v>
      </c>
      <c r="U12" s="260"/>
      <c r="V12" s="260"/>
      <c r="W12" s="263" t="str">
        <f>IF(calculos_quadro!$I$2="","",INDEX(calculos_quadro!$C$49:$AE$49,MATCH(calculos_quadro!$I$2,calculos_quadro!$C$11:$AE$11,0)))</f>
        <v/>
      </c>
      <c r="X12" s="262"/>
      <c r="Y12" s="265" t="str">
        <f>IF(calculos_quadro!$I$2="","",INDEX(calculos_quadro!$C$50:$AE$50,MATCH(calculos_quadro!$I$2,calculos_quadro!$C$11:$AE$11,0)))</f>
        <v/>
      </c>
      <c r="Z12" s="266"/>
    </row>
    <row r="13" ht="16" customHeight="1">
      <c r="B13" s="398"/>
      <c r="C13" s="48"/>
      <c r="D13" s="251" t="str">
        <f>IF(calculos_quadro!$J$2="","",MID(calculos_quadro!$J$2,FIND(" ",calculos_quadro!$J$2)+1,99))</f>
        <v>Toneladas Movimentadas</v>
      </c>
      <c r="E13" s="250"/>
      <c r="F13" s="250"/>
      <c r="G13" s="250"/>
      <c r="H13" s="253" t="str">
        <f>IF(calculos_quadro!$J$2="","",INDEX(calculos_quadro!$C$48:$AE$48,MATCH(calculos_quadro!$J$2,calculos_quadro!$C$11:$AE$11,0)))</f>
        <v/>
      </c>
      <c r="I13" s="252"/>
      <c r="J13" s="255">
        <f>IF(calculos_quadro!$J$2="","",INDEX(calculos_quadro!$C$43:$AE$43,MATCH(calculos_quadro!$J$2,calculos_quadro!$C$11:$AE$11,0)))</f>
        <v>4711.04</v>
      </c>
      <c r="K13" s="254"/>
      <c r="L13" s="254"/>
      <c r="M13" s="257">
        <f>IF(calculos_quadro!$J$2="","",INDEX(calculos_quadro!$C$44:$AE$44,MATCH(calculos_quadro!$J$2,calculos_quadro!$C$11:$AE$11,0)))</f>
        <v>188.4416</v>
      </c>
      <c r="N13" s="256"/>
      <c r="O13" s="259">
        <f>IF(calculos_quadro!$J$2="","",INDEX(calculos_quadro!$C$45:$AE$45,MATCH(calculos_quadro!$J$2,calculos_quadro!$C$11:$AE$11,0)))</f>
        <v>276.12</v>
      </c>
      <c r="P13" s="258"/>
      <c r="Q13" s="258"/>
      <c r="R13" s="259">
        <f>IF(calculos_quadro!$J$2="","",INDEX(calculos_quadro!$C$46:$AE$46,MATCH(calculos_quadro!$J$2,calculos_quadro!$C$11:$AE$11,0)))</f>
        <v>3472.39</v>
      </c>
      <c r="S13" s="258"/>
      <c r="T13" s="261">
        <f>IF(calculos_quadro!$J$2="","",INDEX(calculos_quadro!$C$47:$AE$47,MATCH(calculos_quadro!$J$2,calculos_quadro!$C$11:$AE$11,0)))</f>
        <v>0.35671396358128</v>
      </c>
      <c r="U13" s="260"/>
      <c r="V13" s="260"/>
      <c r="W13" s="263" t="str">
        <f>IF(calculos_quadro!$J$2="","",INDEX(calculos_quadro!$C$49:$AE$49,MATCH(calculos_quadro!$J$2,calculos_quadro!$C$11:$AE$11,0)))</f>
        <v/>
      </c>
      <c r="X13" s="262"/>
      <c r="Y13" s="265" t="str">
        <f>IF(calculos_quadro!$J$2="","",INDEX(calculos_quadro!$C$50:$AE$50,MATCH(calculos_quadro!$J$2,calculos_quadro!$C$11:$AE$11,0)))</f>
        <v/>
      </c>
      <c r="Z13" s="266"/>
    </row>
    <row r="14" ht="16" customHeight="1">
      <c r="B14" s="399"/>
      <c r="C14" s="55"/>
      <c r="D14" s="268" t="str">
        <f>IF(calculos_quadro!$K$2="","",MID(calculos_quadro!$K$2,FIND(" ",calculos_quadro!$K$2)+1,99))</f>
        <v>Linhas NF</v>
      </c>
      <c r="E14" s="267"/>
      <c r="F14" s="267"/>
      <c r="G14" s="267"/>
      <c r="H14" s="270" t="str">
        <f>IF(calculos_quadro!$K$2="","",INDEX(calculos_quadro!$C$48:$AE$48,MATCH(calculos_quadro!$K$2,calculos_quadro!$C$11:$AE$11,0)))</f>
        <v/>
      </c>
      <c r="I14" s="269"/>
      <c r="J14" s="479">
        <f>IF(calculos_quadro!$K$2="","",INDEX(calculos_quadro!$C$43:$AE$43,MATCH(calculos_quadro!$K$2,calculos_quadro!$C$11:$AE$11,0)))</f>
        <v>3271</v>
      </c>
      <c r="K14" s="271"/>
      <c r="L14" s="271"/>
      <c r="M14" s="274">
        <f>IF(calculos_quadro!$K$2="","",INDEX(calculos_quadro!$C$44:$AE$44,MATCH(calculos_quadro!$K$2,calculos_quadro!$C$11:$AE$11,0)))</f>
        <v>130.84</v>
      </c>
      <c r="N14" s="273"/>
      <c r="O14" s="480">
        <f>IF(calculos_quadro!$K$2="","",INDEX(calculos_quadro!$C$45:$AE$45,MATCH(calculos_quadro!$K$2,calculos_quadro!$C$11:$AE$11,0)))</f>
        <v>197</v>
      </c>
      <c r="P14" s="273"/>
      <c r="Q14" s="273"/>
      <c r="R14" s="480">
        <f>IF(calculos_quadro!$K$2="","",INDEX(calculos_quadro!$C$46:$AE$46,MATCH(calculos_quadro!$K$2,calculos_quadro!$C$11:$AE$11,0)))</f>
        <v>3306</v>
      </c>
      <c r="S14" s="273"/>
      <c r="T14" s="276">
        <f>IF(calculos_quadro!$K$2="","",INDEX(calculos_quadro!$C$47:$AE$47,MATCH(calculos_quadro!$K$2,calculos_quadro!$C$11:$AE$11,0)))</f>
        <v>-0.0105868118572293</v>
      </c>
      <c r="U14" s="275"/>
      <c r="V14" s="275"/>
      <c r="W14" s="278" t="str">
        <f>IF(calculos_quadro!$K$2="","",INDEX(calculos_quadro!$C$49:$AE$49,MATCH(calculos_quadro!$K$2,calculos_quadro!$C$11:$AE$11,0)))</f>
        <v/>
      </c>
      <c r="X14" s="277"/>
      <c r="Y14" s="280" t="str">
        <f>IF(calculos_quadro!$K$2="","",INDEX(calculos_quadro!$C$50:$AE$50,MATCH(calculos_quadro!$K$2,calculos_quadro!$C$11:$AE$11,0)))</f>
        <v/>
      </c>
      <c r="Z14" s="281"/>
    </row>
    <row r="15" ht="16" customHeight="1">
      <c r="B15" s="400" t="inlineStr">
        <is>
          <t xml:space="preserve">NC</t>
        </is>
      </c>
      <c r="C15" s="61"/>
      <c r="D15" s="283" t="inlineStr">
        <is>
          <t xml:space="preserve">Incidentes</t>
        </is>
      </c>
      <c r="E15" s="282"/>
      <c r="F15" s="282"/>
      <c r="G15" s="282"/>
      <c r="H15" s="285" t="str">
        <f>calculos_quadro!$U$48</f>
        <v/>
      </c>
      <c r="I15" s="284"/>
      <c r="J15" s="287">
        <f>calculos_quadro!$U$43</f>
        <v>5</v>
      </c>
      <c r="K15" s="286"/>
      <c r="L15" s="286"/>
      <c r="M15" s="289">
        <f>calculos_quadro!$U$44</f>
        <v>1.25</v>
      </c>
      <c r="N15" s="288"/>
      <c r="O15" s="291">
        <f>calculos_quadro!$U$45</f>
        <v>2</v>
      </c>
      <c r="P15" s="290"/>
      <c r="Q15" s="290"/>
      <c r="R15" s="291">
        <f>calculos_quadro!$U$46</f>
        <v>8</v>
      </c>
      <c r="S15" s="290"/>
      <c r="T15" s="293">
        <f>calculos_quadro!$U$47</f>
        <v>-0.375</v>
      </c>
      <c r="U15" s="292"/>
      <c r="V15" s="292"/>
      <c r="W15" s="295" t="str">
        <f>calculos_quadro!$U$49</f>
        <v/>
      </c>
      <c r="X15" s="294"/>
      <c r="Y15" s="297" t="str">
        <f>calculos_quadro!$U$50</f>
        <v/>
      </c>
      <c r="Z15" s="298"/>
    </row>
    <row r="16" ht="16" customHeight="1">
      <c r="B16" s="401"/>
      <c r="C16" s="68"/>
      <c r="D16" s="300" t="inlineStr">
        <is>
          <t xml:space="preserve">No show</t>
        </is>
      </c>
      <c r="E16" s="299"/>
      <c r="F16" s="299"/>
      <c r="G16" s="299"/>
      <c r="H16" s="302" t="str">
        <f>calculos_quadro!$V$48</f>
        <v/>
      </c>
      <c r="I16" s="301"/>
      <c r="J16" s="304">
        <f>calculos_quadro!$V$43</f>
        <v>20</v>
      </c>
      <c r="K16" s="303"/>
      <c r="L16" s="303"/>
      <c r="M16" s="306">
        <f>calculos_quadro!$V$44</f>
        <v>1.33333333333333</v>
      </c>
      <c r="N16" s="305"/>
      <c r="O16" s="308">
        <f>calculos_quadro!$V$45</f>
        <v>3</v>
      </c>
      <c r="P16" s="307"/>
      <c r="Q16" s="307"/>
      <c r="R16" s="308">
        <f>calculos_quadro!$V$46</f>
        <v>17</v>
      </c>
      <c r="S16" s="307"/>
      <c r="T16" s="310">
        <f>calculos_quadro!$V$47</f>
        <v>0.176470588235294</v>
      </c>
      <c r="U16" s="309"/>
      <c r="V16" s="309"/>
      <c r="W16" s="312" t="str">
        <f>calculos_quadro!$V$49</f>
        <v/>
      </c>
      <c r="X16" s="311"/>
      <c r="Y16" s="314" t="str">
        <f>calculos_quadro!$V$50</f>
        <v/>
      </c>
      <c r="Z16" s="315"/>
    </row>
    <row r="17" ht="16" customHeight="1">
      <c r="B17" s="402"/>
      <c r="C17" s="75"/>
      <c r="D17" s="317" t="inlineStr">
        <is>
          <t xml:space="preserve">Backlog</t>
        </is>
      </c>
      <c r="E17" s="316"/>
      <c r="F17" s="316"/>
      <c r="G17" s="316"/>
      <c r="H17" s="319" t="str">
        <f>calculos_quadro!$W$48</f>
        <v/>
      </c>
      <c r="I17" s="318"/>
      <c r="J17" s="321">
        <f>calculos_quadro!$W$43</f>
        <v>71</v>
      </c>
      <c r="K17" s="320"/>
      <c r="L17" s="320"/>
      <c r="M17" s="323">
        <f>calculos_quadro!$W$44</f>
        <v>61.5172413793103</v>
      </c>
      <c r="N17" s="322"/>
      <c r="O17" s="325">
        <f>calculos_quadro!$W$45</f>
        <v>83</v>
      </c>
      <c r="P17" s="324"/>
      <c r="Q17" s="324"/>
      <c r="R17" s="325">
        <f>calculos_quadro!$W$46</f>
        <v>64</v>
      </c>
      <c r="S17" s="324"/>
      <c r="T17" s="327">
        <f>calculos_quadro!$W$47</f>
        <v>0.109375</v>
      </c>
      <c r="U17" s="326"/>
      <c r="V17" s="326"/>
      <c r="W17" s="329" t="str">
        <f>calculos_quadro!$W$49</f>
        <v/>
      </c>
      <c r="X17" s="328"/>
      <c r="Y17" s="331" t="str">
        <f>calculos_quadro!$W$50</f>
        <v/>
      </c>
      <c r="Z17" s="332"/>
    </row>
    <row r="18" ht="16" customHeight="1">
      <c r="B18" s="394" t="inlineStr">
        <is>
          <t xml:space="preserve">OCUPAÇÃO (P.P)</t>
        </is>
      </c>
      <c r="C18" s="21"/>
      <c r="D18" s="185" t="inlineStr">
        <is>
          <t xml:space="preserve">Posições Disponíveis</t>
        </is>
      </c>
      <c r="E18" s="184"/>
      <c r="F18" s="184"/>
      <c r="G18" s="184"/>
      <c r="H18" s="187" t="str">
        <f>calculos_quadro!$X$48</f>
        <v/>
      </c>
      <c r="I18" s="186"/>
      <c r="J18" s="334">
        <f>calculos_quadro!$X$43</f>
        <v>13700</v>
      </c>
      <c r="K18" s="333"/>
      <c r="L18" s="333"/>
      <c r="M18" s="191"/>
      <c r="N18" s="190"/>
      <c r="O18" s="336">
        <f>calculos_quadro!$X$45</f>
        <v>13700</v>
      </c>
      <c r="P18" s="335"/>
      <c r="Q18" s="335"/>
      <c r="R18" s="336">
        <f>calculos_quadro!$X$46</f>
        <v>13700</v>
      </c>
      <c r="S18" s="335"/>
      <c r="T18" s="195">
        <f>calculos_quadro!$X$47</f>
        <v>0</v>
      </c>
      <c r="U18" s="194"/>
      <c r="V18" s="194"/>
      <c r="W18" s="197" t="str">
        <f>calculos_quadro!$X$49</f>
        <v/>
      </c>
      <c r="X18" s="196"/>
      <c r="Y18" s="199" t="str">
        <f>calculos_quadro!$X$50</f>
        <v/>
      </c>
      <c r="Z18" s="200"/>
    </row>
    <row r="19" ht="16" customHeight="1">
      <c r="B19" s="395"/>
      <c r="C19" s="28"/>
      <c r="D19" s="202" t="inlineStr">
        <is>
          <t xml:space="preserve">Posições Ocupadas</t>
        </is>
      </c>
      <c r="E19" s="201"/>
      <c r="F19" s="201"/>
      <c r="G19" s="201"/>
      <c r="H19" s="204" t="str">
        <f>calculos_quadro!$Y$48</f>
        <v/>
      </c>
      <c r="I19" s="203"/>
      <c r="J19" s="206">
        <f>calculos_quadro!$Y$43</f>
        <v>10404</v>
      </c>
      <c r="K19" s="205"/>
      <c r="L19" s="205"/>
      <c r="M19" s="208">
        <f>calculos_quadro!$Y$44</f>
        <v>10345.724137931</v>
      </c>
      <c r="N19" s="207"/>
      <c r="O19" s="210">
        <f>calculos_quadro!$Y$45</f>
        <v>11247</v>
      </c>
      <c r="P19" s="209"/>
      <c r="Q19" s="209"/>
      <c r="R19" s="210">
        <f>calculos_quadro!$Y$46</f>
        <v>9185</v>
      </c>
      <c r="S19" s="209"/>
      <c r="T19" s="212">
        <f>calculos_quadro!$Y$47</f>
        <v>0.132716385410996</v>
      </c>
      <c r="U19" s="211"/>
      <c r="V19" s="211"/>
      <c r="W19" s="214" t="str">
        <f>calculos_quadro!$Y$49</f>
        <v/>
      </c>
      <c r="X19" s="213"/>
      <c r="Y19" s="216" t="str">
        <f>calculos_quadro!$Y$50</f>
        <v/>
      </c>
      <c r="Z19" s="217"/>
    </row>
    <row r="20" ht="16" customHeight="1">
      <c r="B20" s="396"/>
      <c r="C20" s="35"/>
      <c r="D20" s="219" t="inlineStr">
        <is>
          <t xml:space="preserve">Taxa de Ocupação</t>
        </is>
      </c>
      <c r="E20" s="218"/>
      <c r="F20" s="218"/>
      <c r="G20" s="218"/>
      <c r="H20" s="338" t="str">
        <f>calculos_quadro!$Z$48</f>
        <v/>
      </c>
      <c r="I20" s="337"/>
      <c r="J20" s="340">
        <f>calculos_quadro!$Z$43</f>
        <v>0.759416058394161</v>
      </c>
      <c r="K20" s="339"/>
      <c r="L20" s="339"/>
      <c r="M20" s="342">
        <f>calculos_quadro!$Z$44</f>
        <v>0.755162345834382</v>
      </c>
      <c r="N20" s="341"/>
      <c r="O20" s="342">
        <f>calculos_quadro!$Z$45</f>
        <v>0.820948905109489</v>
      </c>
      <c r="P20" s="341"/>
      <c r="Q20" s="341"/>
      <c r="R20" s="342">
        <f>calculos_quadro!$Z$46</f>
        <v>0.67043795620438</v>
      </c>
      <c r="S20" s="341"/>
      <c r="T20" s="227">
        <f>calculos_quadro!$Z$47</f>
        <v>0.132716385410996</v>
      </c>
      <c r="U20" s="226"/>
      <c r="V20" s="226"/>
      <c r="W20" s="229" t="str">
        <f>calculos_quadro!$Z$49</f>
        <v/>
      </c>
      <c r="X20" s="228"/>
      <c r="Y20" s="231" t="str">
        <f>calculos_quadro!$Z$50</f>
        <v>atenção</v>
      </c>
      <c r="Z20" s="232"/>
    </row>
    <row r="21" ht="16" customHeight="1">
      <c r="B21" s="403" t="inlineStr">
        <is>
          <t xml:space="preserve">GENTE</t>
        </is>
      </c>
      <c r="C21" s="85"/>
      <c r="D21" s="344" t="inlineStr">
        <is>
          <t xml:space="preserve">Efetivo</t>
        </is>
      </c>
      <c r="E21" s="343"/>
      <c r="F21" s="343"/>
      <c r="G21" s="343"/>
      <c r="H21" s="346" t="str">
        <f>calculos_quadro!$AA$48</f>
        <v/>
      </c>
      <c r="I21" s="345"/>
      <c r="J21" s="348">
        <f>calculos_quadro!$AA$43</f>
        <v>69</v>
      </c>
      <c r="K21" s="347"/>
      <c r="L21" s="347"/>
      <c r="M21" s="350">
        <f>calculos_quadro!$AA$44</f>
        <v>75.6206896551724</v>
      </c>
      <c r="N21" s="349"/>
      <c r="O21" s="352">
        <f>calculos_quadro!$AA$45</f>
        <v>91</v>
      </c>
      <c r="P21" s="351"/>
      <c r="Q21" s="351"/>
      <c r="R21" s="352">
        <f>calculos_quadro!$AA$46</f>
        <v>79</v>
      </c>
      <c r="S21" s="351"/>
      <c r="T21" s="354">
        <f>calculos_quadro!$AA$47</f>
        <v>-0.126582278481013</v>
      </c>
      <c r="U21" s="353"/>
      <c r="V21" s="353"/>
      <c r="W21" s="356" t="str">
        <f>calculos_quadro!$AA$49</f>
        <v/>
      </c>
      <c r="X21" s="355"/>
      <c r="Y21" s="358" t="str">
        <f>calculos_quadro!$AA$50</f>
        <v/>
      </c>
      <c r="Z21" s="359"/>
    </row>
    <row r="22" ht="16" customHeight="1">
      <c r="B22" s="404"/>
      <c r="C22" s="92"/>
      <c r="D22" s="361" t="inlineStr">
        <is>
          <t xml:space="preserve">Falta</t>
        </is>
      </c>
      <c r="E22" s="360"/>
      <c r="F22" s="360"/>
      <c r="G22" s="360"/>
      <c r="H22" s="363" t="str">
        <f>calculos_quadro!$AB$48</f>
        <v/>
      </c>
      <c r="I22" s="362"/>
      <c r="J22" s="365">
        <f>calculos_quadro!$AB$43</f>
        <v>42</v>
      </c>
      <c r="K22" s="364"/>
      <c r="L22" s="364"/>
      <c r="M22" s="367">
        <f>calculos_quadro!$AB$44</f>
        <v>2</v>
      </c>
      <c r="N22" s="366"/>
      <c r="O22" s="369">
        <f>calculos_quadro!$AB$45</f>
        <v>4</v>
      </c>
      <c r="P22" s="368"/>
      <c r="Q22" s="368"/>
      <c r="R22" s="369">
        <f>calculos_quadro!$AB$46</f>
        <v>36</v>
      </c>
      <c r="S22" s="368"/>
      <c r="T22" s="371">
        <f>calculos_quadro!$AB$47</f>
        <v>0.166666666666667</v>
      </c>
      <c r="U22" s="370"/>
      <c r="V22" s="370"/>
      <c r="W22" s="373" t="str">
        <f>calculos_quadro!$AB$49</f>
        <v/>
      </c>
      <c r="X22" s="372"/>
      <c r="Y22" s="375" t="str">
        <f>calculos_quadro!$AB$50</f>
        <v/>
      </c>
      <c r="Z22" s="376"/>
    </row>
    <row r="23" ht="16" customHeight="1">
      <c r="B23" s="404"/>
      <c r="C23" s="92"/>
      <c r="D23" s="361" t="inlineStr">
        <is>
          <t xml:space="preserve">Folga</t>
        </is>
      </c>
      <c r="E23" s="360"/>
      <c r="F23" s="360"/>
      <c r="G23" s="360"/>
      <c r="H23" s="363" t="str">
        <f>calculos_quadro!$AC$48</f>
        <v/>
      </c>
      <c r="I23" s="362"/>
      <c r="J23" s="365">
        <f>calculos_quadro!$AC$43</f>
        <v>20</v>
      </c>
      <c r="K23" s="364"/>
      <c r="L23" s="364"/>
      <c r="M23" s="367">
        <f>calculos_quadro!$AC$44</f>
        <v>1.53846153846154</v>
      </c>
      <c r="N23" s="366"/>
      <c r="O23" s="369">
        <f>calculos_quadro!$AC$45</f>
        <v>3</v>
      </c>
      <c r="P23" s="368"/>
      <c r="Q23" s="368"/>
      <c r="R23" s="369">
        <f>calculos_quadro!$AC$46</f>
        <v>25</v>
      </c>
      <c r="S23" s="368"/>
      <c r="T23" s="371">
        <f>calculos_quadro!$AC$47</f>
        <v>-0.2</v>
      </c>
      <c r="U23" s="370"/>
      <c r="V23" s="370"/>
      <c r="W23" s="373" t="str">
        <f>calculos_quadro!$AC$49</f>
        <v/>
      </c>
      <c r="X23" s="372"/>
      <c r="Y23" s="375" t="str">
        <f>calculos_quadro!$AC$50</f>
        <v/>
      </c>
      <c r="Z23" s="376"/>
    </row>
    <row r="24" ht="16" customHeight="1">
      <c r="B24" s="404"/>
      <c r="C24" s="92"/>
      <c r="D24" s="361" t="inlineStr">
        <is>
          <t xml:space="preserve">Férias</t>
        </is>
      </c>
      <c r="E24" s="360"/>
      <c r="F24" s="360"/>
      <c r="G24" s="360"/>
      <c r="H24" s="363" t="str">
        <f>calculos_quadro!$AD$48</f>
        <v/>
      </c>
      <c r="I24" s="362"/>
      <c r="J24" s="365">
        <f>calculos_quadro!$AD$43</f>
        <v>12</v>
      </c>
      <c r="K24" s="364"/>
      <c r="L24" s="364"/>
      <c r="M24" s="367">
        <f>calculos_quadro!$AD$44</f>
        <v>1</v>
      </c>
      <c r="N24" s="366"/>
      <c r="O24" s="369">
        <f>calculos_quadro!$AD$45</f>
        <v>1</v>
      </c>
      <c r="P24" s="368"/>
      <c r="Q24" s="368"/>
      <c r="R24" s="369">
        <f>calculos_quadro!$AD$46</f>
        <v>11</v>
      </c>
      <c r="S24" s="368"/>
      <c r="T24" s="371">
        <f>calculos_quadro!$AD$47</f>
        <v>0.0909090909090908</v>
      </c>
      <c r="U24" s="370"/>
      <c r="V24" s="370"/>
      <c r="W24" s="373" t="str">
        <f>calculos_quadro!$AD$49</f>
        <v/>
      </c>
      <c r="X24" s="372"/>
      <c r="Y24" s="375" t="str">
        <f>calculos_quadro!$AD$50</f>
        <v/>
      </c>
      <c r="Z24" s="376"/>
    </row>
    <row r="25" ht="16" customHeight="1">
      <c r="B25" s="405"/>
      <c r="C25" s="99"/>
      <c r="D25" s="378" t="inlineStr">
        <is>
          <t xml:space="preserve">Desligamentos</t>
        </is>
      </c>
      <c r="E25" s="377"/>
      <c r="F25" s="377"/>
      <c r="G25" s="377"/>
      <c r="H25" s="380" t="str">
        <f>calculos_quadro!$AE$48</f>
        <v/>
      </c>
      <c r="I25" s="379"/>
      <c r="J25" s="382">
        <f>calculos_quadro!$AE$43</f>
        <v>2</v>
      </c>
      <c r="K25" s="381"/>
      <c r="L25" s="381"/>
      <c r="M25" s="384">
        <f>calculos_quadro!$AE$44</f>
        <v>1</v>
      </c>
      <c r="N25" s="383"/>
      <c r="O25" s="386">
        <f>calculos_quadro!$AE$45</f>
        <v>1</v>
      </c>
      <c r="P25" s="385"/>
      <c r="Q25" s="385"/>
      <c r="R25" s="386">
        <f>calculos_quadro!$AE$46</f>
        <v>5</v>
      </c>
      <c r="S25" s="385"/>
      <c r="T25" s="388">
        <f>calculos_quadro!$AE$47</f>
        <v>-0.6</v>
      </c>
      <c r="U25" s="387"/>
      <c r="V25" s="387"/>
      <c r="W25" s="390" t="str">
        <f>calculos_quadro!$AE$49</f>
        <v/>
      </c>
      <c r="X25" s="389"/>
      <c r="Y25" s="392" t="str">
        <f>calculos_quadro!$AE$50</f>
        <v/>
      </c>
      <c r="Z25" s="393"/>
    </row>
    <row r="26">
      <c r="B26" s="120" t="inlineStr">
        <is>
          <t xml:space="preserve">IN e OUT mostram os indicadores do cliente escolhido na aba Indicadores (em "Todos": veículos, pallets, toneladas e linhas NF). Realizado: soma do mês nos fluxos; último valor em backlog, posições e efetivo. Média/dia: dias com movimento. Metas e faixas: aba calculos (oculta). Vazio = sem registro.</t>
        </is>
      </c>
    </row>
    <row r="28" ht="20" customHeight="1">
      <c r="B28" s="177" t="inlineStr">
        <is>
          <t xml:space="preserve">RESUMO POR CLIENTE · mês inteiro (1/2) · "—" = indicador não usado pelo cliente</t>
        </is>
      </c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</row>
    <row r="29" ht="30" customHeight="1">
      <c r="B29" s="406" t="inlineStr">
        <is>
          <t xml:space="preserve">GRUPO</t>
        </is>
      </c>
      <c r="C29" s="407"/>
      <c r="D29" s="406" t="inlineStr">
        <is>
          <t xml:space="preserve">INDICADOR</t>
        </is>
      </c>
      <c r="E29" s="408"/>
      <c r="F29" s="408"/>
      <c r="G29" s="407"/>
      <c r="H29" s="409" t="inlineStr">
        <is>
          <t xml:space="preserve">BASF</t>
        </is>
      </c>
      <c r="I29" s="410"/>
      <c r="J29" s="409" t="inlineStr">
        <is>
          <t xml:space="preserve">BEAUTYBIZ</t>
        </is>
      </c>
      <c r="K29" s="411"/>
      <c r="L29" s="410"/>
      <c r="M29" s="409" t="inlineStr">
        <is>
          <t xml:space="preserve">BOTICÁRIO</t>
        </is>
      </c>
      <c r="N29" s="410"/>
      <c r="O29" s="409" t="inlineStr">
        <is>
          <t xml:space="preserve">SUPPLY</t>
        </is>
      </c>
      <c r="P29" s="411"/>
      <c r="Q29" s="410"/>
      <c r="R29" s="409" t="inlineStr">
        <is>
          <t xml:space="preserve">GE VERNOVA</t>
        </is>
      </c>
      <c r="S29" s="410"/>
      <c r="T29" s="412" t="inlineStr">
        <is>
          <t xml:space="preserve">TOTAL CD</t>
        </is>
      </c>
      <c r="U29" s="413"/>
      <c r="V29" s="414"/>
    </row>
    <row r="30" ht="15.75" customHeight="1">
      <c r="B30" s="394" t="inlineStr">
        <is>
          <t xml:space="preserve">IN</t>
        </is>
      </c>
      <c r="C30" s="21"/>
      <c r="D30" s="185" t="inlineStr">
        <is>
          <t xml:space="preserve">Veículos Recebidos</t>
        </is>
      </c>
      <c r="E30" s="184"/>
      <c r="F30" s="184"/>
      <c r="G30" s="184"/>
      <c r="H30" s="193">
        <f>calculos_quadro!B96</f>
        <v>130</v>
      </c>
      <c r="I30" s="192"/>
      <c r="J30" s="193">
        <f>calculos_quadro!C96</f>
        <v>120</v>
      </c>
      <c r="K30" s="192"/>
      <c r="L30" s="192"/>
      <c r="M30" s="193">
        <f>calculos_quadro!D96</f>
        <v>136</v>
      </c>
      <c r="N30" s="192"/>
      <c r="O30" s="193">
        <f>calculos_quadro!E96</f>
        <v>129</v>
      </c>
      <c r="P30" s="192"/>
      <c r="Q30" s="192"/>
      <c r="R30" s="193">
        <f>calculos_quadro!F96</f>
        <v>122</v>
      </c>
      <c r="S30" s="192"/>
      <c r="T30" s="187">
        <f>calculos_quadro!K96</f>
        <v>1106</v>
      </c>
      <c r="U30" s="186"/>
      <c r="V30" s="415"/>
    </row>
    <row r="31" ht="15.75" customHeight="1">
      <c r="B31" s="395"/>
      <c r="C31" s="28"/>
      <c r="D31" s="202" t="inlineStr">
        <is>
          <t xml:space="preserve">Pallets Movimentados</t>
        </is>
      </c>
      <c r="E31" s="201"/>
      <c r="F31" s="201"/>
      <c r="G31" s="201"/>
      <c r="H31" s="210">
        <f>calculos_quadro!B97</f>
        <v>2293</v>
      </c>
      <c r="I31" s="209"/>
      <c r="J31" s="210">
        <f>calculos_quadro!C97</f>
        <v>2316</v>
      </c>
      <c r="K31" s="209"/>
      <c r="L31" s="209"/>
      <c r="M31" s="210" t="str">
        <f>calculos_quadro!D97</f>
        <v>—</v>
      </c>
      <c r="N31" s="209"/>
      <c r="O31" s="210">
        <f>calculos_quadro!E97</f>
        <v>2108</v>
      </c>
      <c r="P31" s="209"/>
      <c r="Q31" s="209"/>
      <c r="R31" s="210">
        <f>calculos_quadro!F97</f>
        <v>2113</v>
      </c>
      <c r="S31" s="209"/>
      <c r="T31" s="204">
        <f>calculos_quadro!K97</f>
        <v>12991</v>
      </c>
      <c r="U31" s="203"/>
      <c r="V31" s="416"/>
    </row>
    <row r="32" ht="15.75" customHeight="1">
      <c r="B32" s="395"/>
      <c r="C32" s="28"/>
      <c r="D32" s="202" t="inlineStr">
        <is>
          <t xml:space="preserve">Toneladas Movimentadas</t>
        </is>
      </c>
      <c r="E32" s="201"/>
      <c r="F32" s="201"/>
      <c r="G32" s="201"/>
      <c r="H32" s="481">
        <f>calculos_quadro!B98</f>
        <v>2148.13</v>
      </c>
      <c r="I32" s="483"/>
      <c r="J32" s="481" t="str">
        <f>calculos_quadro!C98</f>
        <v>—</v>
      </c>
      <c r="K32" s="483"/>
      <c r="L32" s="483"/>
      <c r="M32" s="481" t="str">
        <f>calculos_quadro!D98</f>
        <v>—</v>
      </c>
      <c r="N32" s="483"/>
      <c r="O32" s="481">
        <f>calculos_quadro!E98</f>
        <v>1724.76</v>
      </c>
      <c r="P32" s="483"/>
      <c r="Q32" s="483"/>
      <c r="R32" s="481" t="str">
        <f>calculos_quadro!F98</f>
        <v>—</v>
      </c>
      <c r="S32" s="483"/>
      <c r="T32" s="482">
        <f>calculos_quadro!K98</f>
        <v>3872.89</v>
      </c>
      <c r="U32" s="484"/>
      <c r="V32" s="485"/>
    </row>
    <row r="33" ht="15.75" customHeight="1">
      <c r="B33" s="395"/>
      <c r="C33" s="28"/>
      <c r="D33" s="202" t="inlineStr">
        <is>
          <t xml:space="preserve">Caixas Movimentadas</t>
        </is>
      </c>
      <c r="E33" s="201"/>
      <c r="F33" s="201"/>
      <c r="G33" s="201"/>
      <c r="H33" s="210" t="str">
        <f>calculos_quadro!B99</f>
        <v>—</v>
      </c>
      <c r="I33" s="209"/>
      <c r="J33" s="210">
        <f>calculos_quadro!C99</f>
        <v>36123</v>
      </c>
      <c r="K33" s="209"/>
      <c r="L33" s="209"/>
      <c r="M33" s="210" t="str">
        <f>calculos_quadro!D99</f>
        <v>—</v>
      </c>
      <c r="N33" s="209"/>
      <c r="O33" s="210" t="str">
        <f>calculos_quadro!E99</f>
        <v>—</v>
      </c>
      <c r="P33" s="209"/>
      <c r="Q33" s="209"/>
      <c r="R33" s="210" t="str">
        <f>calculos_quadro!F99</f>
        <v>—</v>
      </c>
      <c r="S33" s="209"/>
      <c r="T33" s="204">
        <f>calculos_quadro!K99</f>
        <v>69407</v>
      </c>
      <c r="U33" s="203"/>
      <c r="V33" s="416"/>
    </row>
    <row r="34" ht="15.75" customHeight="1">
      <c r="B34" s="395"/>
      <c r="C34" s="28"/>
      <c r="D34" s="202" t="inlineStr">
        <is>
          <t xml:space="preserve">Itens Recebidos CX Mista</t>
        </is>
      </c>
      <c r="E34" s="201"/>
      <c r="F34" s="201"/>
      <c r="G34" s="201"/>
      <c r="H34" s="210" t="str">
        <f>calculos_quadro!B100</f>
        <v>—</v>
      </c>
      <c r="I34" s="209"/>
      <c r="J34" s="210" t="str">
        <f>calculos_quadro!C100</f>
        <v>—</v>
      </c>
      <c r="K34" s="209"/>
      <c r="L34" s="209"/>
      <c r="M34" s="210">
        <f>calculos_quadro!D100</f>
        <v>87289</v>
      </c>
      <c r="N34" s="209"/>
      <c r="O34" s="210" t="str">
        <f>calculos_quadro!E100</f>
        <v>—</v>
      </c>
      <c r="P34" s="209"/>
      <c r="Q34" s="209"/>
      <c r="R34" s="210" t="str">
        <f>calculos_quadro!F100</f>
        <v>—</v>
      </c>
      <c r="S34" s="209"/>
      <c r="T34" s="204">
        <f>calculos_quadro!K100</f>
        <v>87289</v>
      </c>
      <c r="U34" s="203"/>
      <c r="V34" s="416"/>
    </row>
    <row r="35" ht="15.75" customHeight="1">
      <c r="B35" s="395"/>
      <c r="C35" s="28"/>
      <c r="D35" s="202" t="inlineStr">
        <is>
          <t xml:space="preserve">Caixas Mistas Recebidas</t>
        </is>
      </c>
      <c r="E35" s="201"/>
      <c r="F35" s="201"/>
      <c r="G35" s="201"/>
      <c r="H35" s="210" t="str">
        <f>calculos_quadro!B101</f>
        <v>—</v>
      </c>
      <c r="I35" s="209"/>
      <c r="J35" s="210" t="str">
        <f>calculos_quadro!C101</f>
        <v>—</v>
      </c>
      <c r="K35" s="209"/>
      <c r="L35" s="209"/>
      <c r="M35" s="210">
        <f>calculos_quadro!D101</f>
        <v>5410</v>
      </c>
      <c r="N35" s="209"/>
      <c r="O35" s="210" t="str">
        <f>calculos_quadro!E101</f>
        <v>—</v>
      </c>
      <c r="P35" s="209"/>
      <c r="Q35" s="209"/>
      <c r="R35" s="210" t="str">
        <f>calculos_quadro!F101</f>
        <v>—</v>
      </c>
      <c r="S35" s="209"/>
      <c r="T35" s="204">
        <f>calculos_quadro!K101</f>
        <v>5410</v>
      </c>
      <c r="U35" s="203"/>
      <c r="V35" s="416"/>
    </row>
    <row r="36" ht="15.75" customHeight="1">
      <c r="B36" s="395"/>
      <c r="C36" s="28"/>
      <c r="D36" s="202" t="inlineStr">
        <is>
          <t xml:space="preserve">Caixas Fechadas</t>
        </is>
      </c>
      <c r="E36" s="201"/>
      <c r="F36" s="201"/>
      <c r="G36" s="201"/>
      <c r="H36" s="210" t="str">
        <f>calculos_quadro!B102</f>
        <v>—</v>
      </c>
      <c r="I36" s="209"/>
      <c r="J36" s="210" t="str">
        <f>calculos_quadro!C102</f>
        <v>—</v>
      </c>
      <c r="K36" s="209"/>
      <c r="L36" s="209"/>
      <c r="M36" s="210">
        <f>calculos_quadro!D102</f>
        <v>11383</v>
      </c>
      <c r="N36" s="209"/>
      <c r="O36" s="210" t="str">
        <f>calculos_quadro!E102</f>
        <v>—</v>
      </c>
      <c r="P36" s="209"/>
      <c r="Q36" s="209"/>
      <c r="R36" s="210" t="str">
        <f>calculos_quadro!F102</f>
        <v>—</v>
      </c>
      <c r="S36" s="209"/>
      <c r="T36" s="204">
        <f>calculos_quadro!K102</f>
        <v>11383</v>
      </c>
      <c r="U36" s="203"/>
      <c r="V36" s="416"/>
    </row>
    <row r="37" ht="15.75" customHeight="1">
      <c r="B37" s="395"/>
      <c r="C37" s="28"/>
      <c r="D37" s="202" t="inlineStr">
        <is>
          <t xml:space="preserve">Peças Movimentadas</t>
        </is>
      </c>
      <c r="E37" s="201"/>
      <c r="F37" s="201"/>
      <c r="G37" s="201"/>
      <c r="H37" s="210" t="str">
        <f>calculos_quadro!B103</f>
        <v>—</v>
      </c>
      <c r="I37" s="209"/>
      <c r="J37" s="210" t="str">
        <f>calculos_quadro!C103</f>
        <v>—</v>
      </c>
      <c r="K37" s="209"/>
      <c r="L37" s="209"/>
      <c r="M37" s="210" t="str">
        <f>calculos_quadro!D103</f>
        <v>—</v>
      </c>
      <c r="N37" s="209"/>
      <c r="O37" s="210" t="str">
        <f>calculos_quadro!E103</f>
        <v>—</v>
      </c>
      <c r="P37" s="209"/>
      <c r="Q37" s="209"/>
      <c r="R37" s="210">
        <f>calculos_quadro!F103</f>
        <v>7689</v>
      </c>
      <c r="S37" s="209"/>
      <c r="T37" s="204">
        <f>calculos_quadro!K103</f>
        <v>7689</v>
      </c>
      <c r="U37" s="203"/>
      <c r="V37" s="416"/>
    </row>
    <row r="38" ht="15.75" customHeight="1">
      <c r="B38" s="396"/>
      <c r="C38" s="35"/>
      <c r="D38" s="219" t="inlineStr">
        <is>
          <t xml:space="preserve">Linhas NF</t>
        </is>
      </c>
      <c r="E38" s="218"/>
      <c r="F38" s="218"/>
      <c r="G38" s="218"/>
      <c r="H38" s="478" t="str">
        <f>calculos_quadro!B104</f>
        <v>—</v>
      </c>
      <c r="I38" s="487"/>
      <c r="J38" s="478" t="str">
        <f>calculos_quadro!C104</f>
        <v>—</v>
      </c>
      <c r="K38" s="487"/>
      <c r="L38" s="487"/>
      <c r="M38" s="478" t="str">
        <f>calculos_quadro!D104</f>
        <v>—</v>
      </c>
      <c r="N38" s="487"/>
      <c r="O38" s="478" t="str">
        <f>calculos_quadro!E104</f>
        <v>—</v>
      </c>
      <c r="P38" s="487"/>
      <c r="Q38" s="487"/>
      <c r="R38" s="478">
        <f>calculos_quadro!F104</f>
        <v>1509</v>
      </c>
      <c r="S38" s="487"/>
      <c r="T38" s="486">
        <f>calculos_quadro!K104</f>
        <v>3026</v>
      </c>
      <c r="U38" s="488"/>
      <c r="V38" s="489"/>
    </row>
    <row r="39" ht="15.75" customHeight="1">
      <c r="B39" s="397" t="inlineStr">
        <is>
          <t xml:space="preserve">OUT</t>
        </is>
      </c>
      <c r="C39" s="41"/>
      <c r="D39" s="234" t="inlineStr">
        <is>
          <t xml:space="preserve">Veículos Expedidos</t>
        </is>
      </c>
      <c r="E39" s="233"/>
      <c r="F39" s="233"/>
      <c r="G39" s="233"/>
      <c r="H39" s="242">
        <f>calculos_quadro!B105</f>
        <v>150</v>
      </c>
      <c r="I39" s="241"/>
      <c r="J39" s="242">
        <f>calculos_quadro!C105</f>
        <v>154</v>
      </c>
      <c r="K39" s="241"/>
      <c r="L39" s="241"/>
      <c r="M39" s="242">
        <f>calculos_quadro!D105</f>
        <v>163</v>
      </c>
      <c r="N39" s="241"/>
      <c r="O39" s="242">
        <f>calculos_quadro!E105</f>
        <v>166</v>
      </c>
      <c r="P39" s="241"/>
      <c r="Q39" s="241"/>
      <c r="R39" s="242">
        <f>calculos_quadro!F105</f>
        <v>165</v>
      </c>
      <c r="S39" s="241"/>
      <c r="T39" s="236">
        <f>calculos_quadro!K105</f>
        <v>1466</v>
      </c>
      <c r="U39" s="235"/>
      <c r="V39" s="420"/>
    </row>
    <row r="40" ht="15.75" customHeight="1">
      <c r="B40" s="398"/>
      <c r="C40" s="48"/>
      <c r="D40" s="251" t="inlineStr">
        <is>
          <t xml:space="preserve">Pallets Movimentados</t>
        </is>
      </c>
      <c r="E40" s="250"/>
      <c r="F40" s="250"/>
      <c r="G40" s="250"/>
      <c r="H40" s="259">
        <f>calculos_quadro!B106</f>
        <v>2389</v>
      </c>
      <c r="I40" s="258"/>
      <c r="J40" s="259">
        <f>calculos_quadro!C106</f>
        <v>2419</v>
      </c>
      <c r="K40" s="258"/>
      <c r="L40" s="258"/>
      <c r="M40" s="259">
        <f>calculos_quadro!D106</f>
        <v>2067</v>
      </c>
      <c r="N40" s="258"/>
      <c r="O40" s="259">
        <f>calculos_quadro!E106</f>
        <v>2487</v>
      </c>
      <c r="P40" s="258"/>
      <c r="Q40" s="258"/>
      <c r="R40" s="259">
        <f>calculos_quadro!F106</f>
        <v>2408</v>
      </c>
      <c r="S40" s="258"/>
      <c r="T40" s="253">
        <f>calculos_quadro!K106</f>
        <v>16470</v>
      </c>
      <c r="U40" s="252"/>
      <c r="V40" s="421"/>
    </row>
    <row r="41" ht="15.75" customHeight="1">
      <c r="B41" s="398"/>
      <c r="C41" s="48"/>
      <c r="D41" s="251" t="inlineStr">
        <is>
          <t xml:space="preserve">Toneladas Movimentadas</t>
        </is>
      </c>
      <c r="E41" s="250"/>
      <c r="F41" s="250"/>
      <c r="G41" s="250"/>
      <c r="H41" s="490">
        <f>calculos_quadro!B107</f>
        <v>2668.39</v>
      </c>
      <c r="I41" s="492"/>
      <c r="J41" s="490" t="str">
        <f>calculos_quadro!C107</f>
        <v>—</v>
      </c>
      <c r="K41" s="492"/>
      <c r="L41" s="492"/>
      <c r="M41" s="490" t="str">
        <f>calculos_quadro!D107</f>
        <v>—</v>
      </c>
      <c r="N41" s="492"/>
      <c r="O41" s="490">
        <f>calculos_quadro!E107</f>
        <v>2042.65</v>
      </c>
      <c r="P41" s="492"/>
      <c r="Q41" s="492"/>
      <c r="R41" s="490" t="str">
        <f>calculos_quadro!F107</f>
        <v>—</v>
      </c>
      <c r="S41" s="492"/>
      <c r="T41" s="491">
        <f>calculos_quadro!K107</f>
        <v>4711.04</v>
      </c>
      <c r="U41" s="493"/>
      <c r="V41" s="494"/>
    </row>
    <row r="42" ht="15.75" customHeight="1">
      <c r="B42" s="398"/>
      <c r="C42" s="48"/>
      <c r="D42" s="251" t="inlineStr">
        <is>
          <t xml:space="preserve">Pedidos Expedidos</t>
        </is>
      </c>
      <c r="E42" s="250"/>
      <c r="F42" s="250"/>
      <c r="G42" s="250"/>
      <c r="H42" s="259" t="str">
        <f>calculos_quadro!B109</f>
        <v>—</v>
      </c>
      <c r="I42" s="258"/>
      <c r="J42" s="259">
        <f>calculos_quadro!C109</f>
        <v>8699</v>
      </c>
      <c r="K42" s="258"/>
      <c r="L42" s="258"/>
      <c r="M42" s="259" t="str">
        <f>calculos_quadro!D109</f>
        <v>—</v>
      </c>
      <c r="N42" s="258"/>
      <c r="O42" s="259" t="str">
        <f>calculos_quadro!E109</f>
        <v>—</v>
      </c>
      <c r="P42" s="258"/>
      <c r="Q42" s="258"/>
      <c r="R42" s="259" t="str">
        <f>calculos_quadro!F109</f>
        <v>—</v>
      </c>
      <c r="S42" s="258"/>
      <c r="T42" s="253">
        <f>calculos_quadro!K109</f>
        <v>8699</v>
      </c>
      <c r="U42" s="252"/>
      <c r="V42" s="421"/>
    </row>
    <row r="43" ht="15.75" customHeight="1">
      <c r="B43" s="398"/>
      <c r="C43" s="48"/>
      <c r="D43" s="251" t="inlineStr">
        <is>
          <t xml:space="preserve">Pedidos Faturados</t>
        </is>
      </c>
      <c r="E43" s="250"/>
      <c r="F43" s="250"/>
      <c r="G43" s="250"/>
      <c r="H43" s="259" t="str">
        <f>calculos_quadro!B110</f>
        <v>—</v>
      </c>
      <c r="I43" s="258"/>
      <c r="J43" s="259" t="str">
        <f>calculos_quadro!C110</f>
        <v>—</v>
      </c>
      <c r="K43" s="258"/>
      <c r="L43" s="258"/>
      <c r="M43" s="259">
        <f>calculos_quadro!D110</f>
        <v>18637</v>
      </c>
      <c r="N43" s="258"/>
      <c r="O43" s="259" t="str">
        <f>calculos_quadro!E110</f>
        <v>—</v>
      </c>
      <c r="P43" s="258"/>
      <c r="Q43" s="258"/>
      <c r="R43" s="259" t="str">
        <f>calculos_quadro!F110</f>
        <v>—</v>
      </c>
      <c r="S43" s="258"/>
      <c r="T43" s="253">
        <f>calculos_quadro!K110</f>
        <v>18637</v>
      </c>
      <c r="U43" s="252"/>
      <c r="V43" s="421"/>
    </row>
    <row r="44" ht="15.75" customHeight="1">
      <c r="B44" s="398"/>
      <c r="C44" s="48"/>
      <c r="D44" s="251" t="inlineStr">
        <is>
          <t xml:space="preserve">Itens Expedidos</t>
        </is>
      </c>
      <c r="E44" s="250"/>
      <c r="F44" s="250"/>
      <c r="G44" s="250"/>
      <c r="H44" s="259" t="str">
        <f>calculos_quadro!B111</f>
        <v>—</v>
      </c>
      <c r="I44" s="258"/>
      <c r="J44" s="259" t="str">
        <f>calculos_quadro!C111</f>
        <v>—</v>
      </c>
      <c r="K44" s="258"/>
      <c r="L44" s="258"/>
      <c r="M44" s="259">
        <f>calculos_quadro!D111</f>
        <v>128382</v>
      </c>
      <c r="N44" s="258"/>
      <c r="O44" s="259" t="str">
        <f>calculos_quadro!E111</f>
        <v>—</v>
      </c>
      <c r="P44" s="258"/>
      <c r="Q44" s="258"/>
      <c r="R44" s="259" t="str">
        <f>calculos_quadro!F111</f>
        <v>—</v>
      </c>
      <c r="S44" s="258"/>
      <c r="T44" s="253">
        <f>calculos_quadro!K111</f>
        <v>128382</v>
      </c>
      <c r="U44" s="252"/>
      <c r="V44" s="421"/>
    </row>
    <row r="45" ht="15.75" customHeight="1">
      <c r="B45" s="398"/>
      <c r="C45" s="48"/>
      <c r="D45" s="251" t="inlineStr">
        <is>
          <t xml:space="preserve">Peças Movimentadas</t>
        </is>
      </c>
      <c r="E45" s="250"/>
      <c r="F45" s="250"/>
      <c r="G45" s="250"/>
      <c r="H45" s="259" t="str">
        <f>calculos_quadro!B112</f>
        <v>—</v>
      </c>
      <c r="I45" s="258"/>
      <c r="J45" s="259" t="str">
        <f>calculos_quadro!C112</f>
        <v>—</v>
      </c>
      <c r="K45" s="258"/>
      <c r="L45" s="258"/>
      <c r="M45" s="259" t="str">
        <f>calculos_quadro!D112</f>
        <v>—</v>
      </c>
      <c r="N45" s="258"/>
      <c r="O45" s="259" t="str">
        <f>calculos_quadro!E112</f>
        <v>—</v>
      </c>
      <c r="P45" s="258"/>
      <c r="Q45" s="258"/>
      <c r="R45" s="259">
        <f>calculos_quadro!F112</f>
        <v>7734</v>
      </c>
      <c r="S45" s="258"/>
      <c r="T45" s="253">
        <f>calculos_quadro!K112</f>
        <v>7734</v>
      </c>
      <c r="U45" s="252"/>
      <c r="V45" s="421"/>
    </row>
    <row r="46" ht="15.75" customHeight="1">
      <c r="B46" s="399"/>
      <c r="C46" s="55"/>
      <c r="D46" s="268" t="inlineStr">
        <is>
          <t xml:space="preserve">Linhas NF</t>
        </is>
      </c>
      <c r="E46" s="267"/>
      <c r="F46" s="267"/>
      <c r="G46" s="267"/>
      <c r="H46" s="480" t="str">
        <f>calculos_quadro!B113</f>
        <v>—</v>
      </c>
      <c r="I46" s="496"/>
      <c r="J46" s="480" t="str">
        <f>calculos_quadro!C113</f>
        <v>—</v>
      </c>
      <c r="K46" s="496"/>
      <c r="L46" s="496"/>
      <c r="M46" s="480" t="str">
        <f>calculos_quadro!D113</f>
        <v>—</v>
      </c>
      <c r="N46" s="496"/>
      <c r="O46" s="480" t="str">
        <f>calculos_quadro!E113</f>
        <v>—</v>
      </c>
      <c r="P46" s="496"/>
      <c r="Q46" s="496"/>
      <c r="R46" s="480">
        <f>calculos_quadro!F113</f>
        <v>1567</v>
      </c>
      <c r="S46" s="496"/>
      <c r="T46" s="495">
        <f>calculos_quadro!K113</f>
        <v>3271</v>
      </c>
      <c r="U46" s="497"/>
      <c r="V46" s="498"/>
    </row>
    <row r="47" ht="15.75" customHeight="1">
      <c r="B47" s="400" t="inlineStr">
        <is>
          <t xml:space="preserve">NC</t>
        </is>
      </c>
      <c r="C47" s="61"/>
      <c r="D47" s="283" t="inlineStr">
        <is>
          <t xml:space="preserve">Incidentes</t>
        </is>
      </c>
      <c r="E47" s="282"/>
      <c r="F47" s="282"/>
      <c r="G47" s="282"/>
      <c r="H47" s="291">
        <f>calculos_quadro!B114</f>
        <v>0</v>
      </c>
      <c r="I47" s="290"/>
      <c r="J47" s="291">
        <f>calculos_quadro!C114</f>
        <v>1</v>
      </c>
      <c r="K47" s="290"/>
      <c r="L47" s="290"/>
      <c r="M47" s="291">
        <f>calculos_quadro!D114</f>
        <v>0</v>
      </c>
      <c r="N47" s="290"/>
      <c r="O47" s="291">
        <f>calculos_quadro!E114</f>
        <v>0</v>
      </c>
      <c r="P47" s="290"/>
      <c r="Q47" s="290"/>
      <c r="R47" s="291">
        <f>calculos_quadro!F114</f>
        <v>1</v>
      </c>
      <c r="S47" s="290"/>
      <c r="T47" s="285">
        <f>calculos_quadro!K114</f>
        <v>5</v>
      </c>
      <c r="U47" s="284"/>
      <c r="V47" s="425"/>
    </row>
    <row r="48" ht="15.75" customHeight="1">
      <c r="B48" s="401"/>
      <c r="C48" s="68"/>
      <c r="D48" s="300" t="inlineStr">
        <is>
          <t xml:space="preserve">No show</t>
        </is>
      </c>
      <c r="E48" s="299"/>
      <c r="F48" s="299"/>
      <c r="G48" s="299"/>
      <c r="H48" s="308">
        <f>calculos_quadro!B115</f>
        <v>1</v>
      </c>
      <c r="I48" s="307"/>
      <c r="J48" s="308">
        <f>calculos_quadro!C115</f>
        <v>3</v>
      </c>
      <c r="K48" s="307"/>
      <c r="L48" s="307"/>
      <c r="M48" s="308">
        <f>calculos_quadro!D115</f>
        <v>2</v>
      </c>
      <c r="N48" s="307"/>
      <c r="O48" s="308">
        <f>calculos_quadro!E115</f>
        <v>2</v>
      </c>
      <c r="P48" s="307"/>
      <c r="Q48" s="307"/>
      <c r="R48" s="308">
        <f>calculos_quadro!F115</f>
        <v>4</v>
      </c>
      <c r="S48" s="307"/>
      <c r="T48" s="302">
        <f>calculos_quadro!K115</f>
        <v>20</v>
      </c>
      <c r="U48" s="301"/>
      <c r="V48" s="426"/>
    </row>
    <row r="49" ht="15.75" customHeight="1">
      <c r="B49" s="402"/>
      <c r="C49" s="75"/>
      <c r="D49" s="317" t="inlineStr">
        <is>
          <t xml:space="preserve">Backlog</t>
        </is>
      </c>
      <c r="E49" s="316"/>
      <c r="F49" s="316"/>
      <c r="G49" s="316"/>
      <c r="H49" s="325">
        <f>calculos_quadro!B116</f>
        <v>6</v>
      </c>
      <c r="I49" s="324"/>
      <c r="J49" s="325">
        <f>calculos_quadro!C116</f>
        <v>6</v>
      </c>
      <c r="K49" s="324"/>
      <c r="L49" s="324"/>
      <c r="M49" s="325">
        <f>calculos_quadro!D116</f>
        <v>5</v>
      </c>
      <c r="N49" s="324"/>
      <c r="O49" s="325">
        <f>calculos_quadro!E116</f>
        <v>6</v>
      </c>
      <c r="P49" s="324"/>
      <c r="Q49" s="324"/>
      <c r="R49" s="325">
        <f>calculos_quadro!F116</f>
        <v>15</v>
      </c>
      <c r="S49" s="324"/>
      <c r="T49" s="319">
        <f>calculos_quadro!K116</f>
        <v>71</v>
      </c>
      <c r="U49" s="318"/>
      <c r="V49" s="427"/>
    </row>
    <row r="50" ht="15.75" customHeight="1">
      <c r="B50" s="394" t="inlineStr">
        <is>
          <t xml:space="preserve">OCUPAÇÃO (P.P)</t>
        </is>
      </c>
      <c r="C50" s="21"/>
      <c r="D50" s="185" t="inlineStr">
        <is>
          <t xml:space="preserve">Posições Disponíveis</t>
        </is>
      </c>
      <c r="E50" s="184"/>
      <c r="F50" s="184"/>
      <c r="G50" s="184"/>
      <c r="H50" s="193">
        <f>calculos_quadro!B117</f>
        <v>2200</v>
      </c>
      <c r="I50" s="192"/>
      <c r="J50" s="193">
        <f>calculos_quadro!C117</f>
        <v>1200</v>
      </c>
      <c r="K50" s="192"/>
      <c r="L50" s="192"/>
      <c r="M50" s="193">
        <f>calculos_quadro!D117</f>
        <v>3500</v>
      </c>
      <c r="N50" s="192"/>
      <c r="O50" s="193">
        <f>calculos_quadro!E117</f>
        <v>1600</v>
      </c>
      <c r="P50" s="192"/>
      <c r="Q50" s="192"/>
      <c r="R50" s="193">
        <f>calculos_quadro!F117</f>
        <v>900</v>
      </c>
      <c r="S50" s="192"/>
      <c r="T50" s="187">
        <f>calculos_quadro!K117</f>
        <v>13700</v>
      </c>
      <c r="U50" s="186"/>
      <c r="V50" s="415"/>
    </row>
    <row r="51" ht="15.75" customHeight="1">
      <c r="B51" s="395"/>
      <c r="C51" s="28"/>
      <c r="D51" s="202" t="inlineStr">
        <is>
          <t xml:space="preserve">Posições Ocupadas</t>
        </is>
      </c>
      <c r="E51" s="201"/>
      <c r="F51" s="201"/>
      <c r="G51" s="201"/>
      <c r="H51" s="210">
        <f>calculos_quadro!B118</f>
        <v>1935</v>
      </c>
      <c r="I51" s="209"/>
      <c r="J51" s="210">
        <f>calculos_quadro!C118</f>
        <v>913</v>
      </c>
      <c r="K51" s="209"/>
      <c r="L51" s="209"/>
      <c r="M51" s="210">
        <f>calculos_quadro!D118</f>
        <v>2863</v>
      </c>
      <c r="N51" s="209"/>
      <c r="O51" s="210">
        <f>calculos_quadro!E118</f>
        <v>1077</v>
      </c>
      <c r="P51" s="209"/>
      <c r="Q51" s="209"/>
      <c r="R51" s="210">
        <f>calculos_quadro!F118</f>
        <v>738</v>
      </c>
      <c r="S51" s="209"/>
      <c r="T51" s="204">
        <f>calculos_quadro!K118</f>
        <v>10404</v>
      </c>
      <c r="U51" s="203"/>
      <c r="V51" s="416"/>
    </row>
    <row r="52" ht="15.75" customHeight="1">
      <c r="B52" s="396"/>
      <c r="C52" s="35"/>
      <c r="D52" s="219" t="inlineStr">
        <is>
          <t xml:space="preserve">Taxa de Ocupação</t>
        </is>
      </c>
      <c r="E52" s="218"/>
      <c r="F52" s="218"/>
      <c r="G52" s="218"/>
      <c r="H52" s="229">
        <f>calculos_quadro!B119</f>
        <v>0.879545454545455</v>
      </c>
      <c r="I52" s="228"/>
      <c r="J52" s="229">
        <f>calculos_quadro!C119</f>
        <v>0.760833333333333</v>
      </c>
      <c r="K52" s="228"/>
      <c r="L52" s="228"/>
      <c r="M52" s="229">
        <f>calculos_quadro!D119</f>
        <v>0.818</v>
      </c>
      <c r="N52" s="228"/>
      <c r="O52" s="229">
        <f>calculos_quadro!E119</f>
        <v>0.673125</v>
      </c>
      <c r="P52" s="228"/>
      <c r="Q52" s="228"/>
      <c r="R52" s="229">
        <f>calculos_quadro!F119</f>
        <v>0.82</v>
      </c>
      <c r="S52" s="228"/>
      <c r="T52" s="338">
        <f>calculos_quadro!K119</f>
        <v>0.759416058394161</v>
      </c>
      <c r="U52" s="337"/>
      <c r="V52" s="428"/>
    </row>
    <row r="53" ht="15.75" customHeight="1">
      <c r="B53" s="403" t="inlineStr">
        <is>
          <t xml:space="preserve">GENTE</t>
        </is>
      </c>
      <c r="C53" s="85"/>
      <c r="D53" s="344" t="inlineStr">
        <is>
          <t xml:space="preserve">Efetivo</t>
        </is>
      </c>
      <c r="E53" s="343"/>
      <c r="F53" s="343"/>
      <c r="G53" s="343"/>
      <c r="H53" s="352">
        <f>calculos_quadro!B120</f>
        <v>6</v>
      </c>
      <c r="I53" s="351"/>
      <c r="J53" s="352">
        <f>calculos_quadro!C120</f>
        <v>5</v>
      </c>
      <c r="K53" s="351"/>
      <c r="L53" s="351"/>
      <c r="M53" s="352">
        <f>calculos_quadro!D120</f>
        <v>9</v>
      </c>
      <c r="N53" s="351"/>
      <c r="O53" s="352">
        <f>calculos_quadro!E120</f>
        <v>11</v>
      </c>
      <c r="P53" s="351"/>
      <c r="Q53" s="351"/>
      <c r="R53" s="352">
        <f>calculos_quadro!F120</f>
        <v>6</v>
      </c>
      <c r="S53" s="351"/>
      <c r="T53" s="346">
        <f>calculos_quadro!K120</f>
        <v>69</v>
      </c>
      <c r="U53" s="345"/>
      <c r="V53" s="429"/>
    </row>
    <row r="54" ht="15.75" customHeight="1">
      <c r="B54" s="404"/>
      <c r="C54" s="92"/>
      <c r="D54" s="361" t="inlineStr">
        <is>
          <t xml:space="preserve">Falta</t>
        </is>
      </c>
      <c r="E54" s="360"/>
      <c r="F54" s="360"/>
      <c r="G54" s="360"/>
      <c r="H54" s="369">
        <f>calculos_quadro!B121</f>
        <v>2</v>
      </c>
      <c r="I54" s="368"/>
      <c r="J54" s="369">
        <f>calculos_quadro!C121</f>
        <v>5</v>
      </c>
      <c r="K54" s="368"/>
      <c r="L54" s="368"/>
      <c r="M54" s="369">
        <f>calculos_quadro!D121</f>
        <v>9</v>
      </c>
      <c r="N54" s="368"/>
      <c r="O54" s="369">
        <f>calculos_quadro!E121</f>
        <v>2</v>
      </c>
      <c r="P54" s="368"/>
      <c r="Q54" s="368"/>
      <c r="R54" s="369">
        <f>calculos_quadro!F121</f>
        <v>4</v>
      </c>
      <c r="S54" s="368"/>
      <c r="T54" s="363">
        <f>calculos_quadro!K121</f>
        <v>42</v>
      </c>
      <c r="U54" s="362"/>
      <c r="V54" s="430"/>
    </row>
    <row r="55" ht="15.75" customHeight="1">
      <c r="B55" s="404"/>
      <c r="C55" s="92"/>
      <c r="D55" s="361" t="inlineStr">
        <is>
          <t xml:space="preserve">Folga</t>
        </is>
      </c>
      <c r="E55" s="360"/>
      <c r="F55" s="360"/>
      <c r="G55" s="360"/>
      <c r="H55" s="369">
        <f>calculos_quadro!B122</f>
        <v>1</v>
      </c>
      <c r="I55" s="368"/>
      <c r="J55" s="369">
        <f>calculos_quadro!C122</f>
        <v>2</v>
      </c>
      <c r="K55" s="368"/>
      <c r="L55" s="368"/>
      <c r="M55" s="369">
        <f>calculos_quadro!D122</f>
        <v>2</v>
      </c>
      <c r="N55" s="368"/>
      <c r="O55" s="369">
        <f>calculos_quadro!E122</f>
        <v>1</v>
      </c>
      <c r="P55" s="368"/>
      <c r="Q55" s="368"/>
      <c r="R55" s="369">
        <f>calculos_quadro!F122</f>
        <v>2</v>
      </c>
      <c r="S55" s="368"/>
      <c r="T55" s="363">
        <f>calculos_quadro!K122</f>
        <v>20</v>
      </c>
      <c r="U55" s="362"/>
      <c r="V55" s="430"/>
    </row>
    <row r="56" ht="15.75" customHeight="1">
      <c r="B56" s="404"/>
      <c r="C56" s="92"/>
      <c r="D56" s="361" t="inlineStr">
        <is>
          <t xml:space="preserve">Férias</t>
        </is>
      </c>
      <c r="E56" s="360"/>
      <c r="F56" s="360"/>
      <c r="G56" s="360"/>
      <c r="H56" s="369">
        <f>calculos_quadro!B123</f>
        <v>2</v>
      </c>
      <c r="I56" s="368"/>
      <c r="J56" s="369">
        <f>calculos_quadro!C123</f>
        <v>1</v>
      </c>
      <c r="K56" s="368"/>
      <c r="L56" s="368"/>
      <c r="M56" s="369">
        <f>calculos_quadro!D123</f>
        <v>0</v>
      </c>
      <c r="N56" s="368"/>
      <c r="O56" s="369">
        <f>calculos_quadro!E123</f>
        <v>4</v>
      </c>
      <c r="P56" s="368"/>
      <c r="Q56" s="368"/>
      <c r="R56" s="369">
        <f>calculos_quadro!F123</f>
        <v>1</v>
      </c>
      <c r="S56" s="368"/>
      <c r="T56" s="363">
        <f>calculos_quadro!K123</f>
        <v>12</v>
      </c>
      <c r="U56" s="362"/>
      <c r="V56" s="430"/>
    </row>
    <row r="57" ht="15.75" customHeight="1">
      <c r="B57" s="405"/>
      <c r="C57" s="99"/>
      <c r="D57" s="378" t="inlineStr">
        <is>
          <t xml:space="preserve">Desligamentos</t>
        </is>
      </c>
      <c r="E57" s="377"/>
      <c r="F57" s="377"/>
      <c r="G57" s="377"/>
      <c r="H57" s="386">
        <f>calculos_quadro!B124</f>
        <v>0</v>
      </c>
      <c r="I57" s="385"/>
      <c r="J57" s="386">
        <f>calculos_quadro!C124</f>
        <v>0</v>
      </c>
      <c r="K57" s="385"/>
      <c r="L57" s="385"/>
      <c r="M57" s="386">
        <f>calculos_quadro!D124</f>
        <v>0</v>
      </c>
      <c r="N57" s="385"/>
      <c r="O57" s="386">
        <f>calculos_quadro!E124</f>
        <v>0</v>
      </c>
      <c r="P57" s="385"/>
      <c r="Q57" s="385"/>
      <c r="R57" s="386">
        <f>calculos_quadro!F124</f>
        <v>1</v>
      </c>
      <c r="S57" s="385"/>
      <c r="T57" s="380">
        <f>calculos_quadro!K124</f>
        <v>2</v>
      </c>
      <c r="U57" s="379"/>
      <c r="V57" s="431"/>
    </row>
    <row r="59" ht="20" customHeight="1">
      <c r="B59" s="177" t="inlineStr">
        <is>
          <t xml:space="preserve">RESUMO POR CLIENTE · mês inteiro (2/2) · "—" = indicador não usado pelo cliente</t>
        </is>
      </c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ht="30" customHeight="1">
      <c r="B60" s="406" t="inlineStr">
        <is>
          <t xml:space="preserve">GRUPO</t>
        </is>
      </c>
      <c r="C60" s="407"/>
      <c r="D60" s="406" t="inlineStr">
        <is>
          <t xml:space="preserve">INDICADOR</t>
        </is>
      </c>
      <c r="E60" s="408"/>
      <c r="F60" s="408"/>
      <c r="G60" s="407"/>
      <c r="H60" s="409" t="inlineStr">
        <is>
          <t xml:space="preserve">VESTAS</t>
        </is>
      </c>
      <c r="I60" s="410"/>
      <c r="J60" s="409" t="inlineStr">
        <is>
          <t xml:space="preserve">VEDACIT</t>
        </is>
      </c>
      <c r="K60" s="411"/>
      <c r="L60" s="410"/>
      <c r="M60" s="409" t="inlineStr">
        <is>
          <t xml:space="preserve">OMNLIFE</t>
        </is>
      </c>
      <c r="N60" s="410"/>
      <c r="O60" s="409" t="inlineStr">
        <is>
          <t xml:space="preserve">ALPARGATAS</t>
        </is>
      </c>
      <c r="P60" s="411"/>
      <c r="Q60" s="410"/>
      <c r="R60" s="409"/>
      <c r="S60" s="410"/>
      <c r="T60" s="412" t="inlineStr">
        <is>
          <t xml:space="preserve">TOTAL CD</t>
        </is>
      </c>
      <c r="U60" s="413"/>
      <c r="V60" s="414"/>
    </row>
    <row r="61" ht="15.75" customHeight="1">
      <c r="B61" s="394" t="inlineStr">
        <is>
          <t xml:space="preserve">IN</t>
        </is>
      </c>
      <c r="C61" s="21"/>
      <c r="D61" s="185" t="inlineStr">
        <is>
          <t xml:space="preserve">Veículos Recebidos</t>
        </is>
      </c>
      <c r="E61" s="184"/>
      <c r="F61" s="184"/>
      <c r="G61" s="184"/>
      <c r="H61" s="193">
        <f>calculos_quadro!G96</f>
        <v>116</v>
      </c>
      <c r="I61" s="192"/>
      <c r="J61" s="193">
        <f>calculos_quadro!H96</f>
        <v>128</v>
      </c>
      <c r="K61" s="192"/>
      <c r="L61" s="192"/>
      <c r="M61" s="193">
        <f>calculos_quadro!I96</f>
        <v>112</v>
      </c>
      <c r="N61" s="192"/>
      <c r="O61" s="193">
        <f>calculos_quadro!J96</f>
        <v>113</v>
      </c>
      <c r="P61" s="192"/>
      <c r="Q61" s="192"/>
      <c r="R61" s="193"/>
      <c r="S61" s="192"/>
      <c r="T61" s="187">
        <f>calculos_quadro!K96</f>
        <v>1106</v>
      </c>
      <c r="U61" s="186"/>
      <c r="V61" s="415"/>
    </row>
    <row r="62" ht="15.75" customHeight="1">
      <c r="B62" s="395"/>
      <c r="C62" s="28"/>
      <c r="D62" s="202" t="inlineStr">
        <is>
          <t xml:space="preserve">Pallets Movimentados</t>
        </is>
      </c>
      <c r="E62" s="201"/>
      <c r="F62" s="201"/>
      <c r="G62" s="201"/>
      <c r="H62" s="210" t="str">
        <f>calculos_quadro!G97</f>
        <v>—</v>
      </c>
      <c r="I62" s="209"/>
      <c r="J62" s="210">
        <f>calculos_quadro!H97</f>
        <v>1988</v>
      </c>
      <c r="K62" s="209"/>
      <c r="L62" s="209"/>
      <c r="M62" s="210">
        <f>calculos_quadro!I97</f>
        <v>2173</v>
      </c>
      <c r="N62" s="209"/>
      <c r="O62" s="210" t="str">
        <f>calculos_quadro!J97</f>
        <v>—</v>
      </c>
      <c r="P62" s="209"/>
      <c r="Q62" s="209"/>
      <c r="R62" s="210"/>
      <c r="S62" s="209"/>
      <c r="T62" s="204">
        <f>calculos_quadro!K97</f>
        <v>12991</v>
      </c>
      <c r="U62" s="203"/>
      <c r="V62" s="416"/>
    </row>
    <row r="63" ht="15.75" customHeight="1">
      <c r="B63" s="395"/>
      <c r="C63" s="28"/>
      <c r="D63" s="202" t="inlineStr">
        <is>
          <t xml:space="preserve">Caixas Movimentadas</t>
        </is>
      </c>
      <c r="E63" s="201"/>
      <c r="F63" s="201"/>
      <c r="G63" s="201"/>
      <c r="H63" s="210" t="str">
        <f>calculos_quadro!G99</f>
        <v>—</v>
      </c>
      <c r="I63" s="209"/>
      <c r="J63" s="210" t="str">
        <f>calculos_quadro!H99</f>
        <v>—</v>
      </c>
      <c r="K63" s="209"/>
      <c r="L63" s="209"/>
      <c r="M63" s="210" t="str">
        <f>calculos_quadro!I99</f>
        <v>—</v>
      </c>
      <c r="N63" s="209"/>
      <c r="O63" s="210">
        <f>calculos_quadro!J99</f>
        <v>33284</v>
      </c>
      <c r="P63" s="209"/>
      <c r="Q63" s="209"/>
      <c r="R63" s="210"/>
      <c r="S63" s="209"/>
      <c r="T63" s="204">
        <f>calculos_quadro!K99</f>
        <v>69407</v>
      </c>
      <c r="U63" s="203"/>
      <c r="V63" s="416"/>
    </row>
    <row r="64" ht="15.75" customHeight="1">
      <c r="B64" s="396"/>
      <c r="C64" s="35"/>
      <c r="D64" s="219" t="inlineStr">
        <is>
          <t xml:space="preserve">Linhas NF</t>
        </is>
      </c>
      <c r="E64" s="218"/>
      <c r="F64" s="218"/>
      <c r="G64" s="218"/>
      <c r="H64" s="478">
        <f>calculos_quadro!G104</f>
        <v>1517</v>
      </c>
      <c r="I64" s="487"/>
      <c r="J64" s="478" t="str">
        <f>calculos_quadro!H104</f>
        <v>—</v>
      </c>
      <c r="K64" s="487"/>
      <c r="L64" s="487"/>
      <c r="M64" s="478" t="str">
        <f>calculos_quadro!I104</f>
        <v>—</v>
      </c>
      <c r="N64" s="487"/>
      <c r="O64" s="478" t="str">
        <f>calculos_quadro!J104</f>
        <v>—</v>
      </c>
      <c r="P64" s="487"/>
      <c r="Q64" s="487"/>
      <c r="R64" s="478"/>
      <c r="S64" s="487"/>
      <c r="T64" s="486">
        <f>calculos_quadro!K104</f>
        <v>3026</v>
      </c>
      <c r="U64" s="488"/>
      <c r="V64" s="489"/>
    </row>
    <row r="65" ht="15.75" customHeight="1">
      <c r="B65" s="397" t="inlineStr">
        <is>
          <t xml:space="preserve">OUT</t>
        </is>
      </c>
      <c r="C65" s="41"/>
      <c r="D65" s="234" t="inlineStr">
        <is>
          <t xml:space="preserve">Veículos Expedidos</t>
        </is>
      </c>
      <c r="E65" s="233"/>
      <c r="F65" s="233"/>
      <c r="G65" s="233"/>
      <c r="H65" s="242">
        <f>calculos_quadro!G105</f>
        <v>164</v>
      </c>
      <c r="I65" s="241"/>
      <c r="J65" s="242">
        <f>calculos_quadro!H105</f>
        <v>154</v>
      </c>
      <c r="K65" s="241"/>
      <c r="L65" s="241"/>
      <c r="M65" s="242">
        <f>calculos_quadro!I105</f>
        <v>183</v>
      </c>
      <c r="N65" s="241"/>
      <c r="O65" s="242">
        <f>calculos_quadro!J105</f>
        <v>167</v>
      </c>
      <c r="P65" s="241"/>
      <c r="Q65" s="241"/>
      <c r="R65" s="242"/>
      <c r="S65" s="241"/>
      <c r="T65" s="236">
        <f>calculos_quadro!K105</f>
        <v>1466</v>
      </c>
      <c r="U65" s="235"/>
      <c r="V65" s="420"/>
    </row>
    <row r="66" ht="15.75" customHeight="1">
      <c r="B66" s="398"/>
      <c r="C66" s="48"/>
      <c r="D66" s="251" t="inlineStr">
        <is>
          <t xml:space="preserve">Pallets Movimentados</t>
        </is>
      </c>
      <c r="E66" s="250"/>
      <c r="F66" s="250"/>
      <c r="G66" s="250"/>
      <c r="H66" s="259" t="str">
        <f>calculos_quadro!G106</f>
        <v>—</v>
      </c>
      <c r="I66" s="258"/>
      <c r="J66" s="259">
        <f>calculos_quadro!H106</f>
        <v>2152</v>
      </c>
      <c r="K66" s="258"/>
      <c r="L66" s="258"/>
      <c r="M66" s="259">
        <f>calculos_quadro!I106</f>
        <v>2548</v>
      </c>
      <c r="N66" s="258"/>
      <c r="O66" s="259" t="str">
        <f>calculos_quadro!J106</f>
        <v>—</v>
      </c>
      <c r="P66" s="258"/>
      <c r="Q66" s="258"/>
      <c r="R66" s="259"/>
      <c r="S66" s="258"/>
      <c r="T66" s="253">
        <f>calculos_quadro!K106</f>
        <v>16470</v>
      </c>
      <c r="U66" s="252"/>
      <c r="V66" s="421"/>
    </row>
    <row r="67" ht="15.75" customHeight="1">
      <c r="B67" s="398"/>
      <c r="C67" s="48"/>
      <c r="D67" s="251" t="inlineStr">
        <is>
          <t xml:space="preserve">Caixas Expedidas</t>
        </is>
      </c>
      <c r="E67" s="250"/>
      <c r="F67" s="250"/>
      <c r="G67" s="250"/>
      <c r="H67" s="259" t="str">
        <f>calculos_quadro!G108</f>
        <v>—</v>
      </c>
      <c r="I67" s="258"/>
      <c r="J67" s="259" t="str">
        <f>calculos_quadro!H108</f>
        <v>—</v>
      </c>
      <c r="K67" s="258"/>
      <c r="L67" s="258"/>
      <c r="M67" s="259" t="str">
        <f>calculos_quadro!I108</f>
        <v>—</v>
      </c>
      <c r="N67" s="258"/>
      <c r="O67" s="259">
        <f>calculos_quadro!J108</f>
        <v>37204</v>
      </c>
      <c r="P67" s="258"/>
      <c r="Q67" s="258"/>
      <c r="R67" s="259"/>
      <c r="S67" s="258"/>
      <c r="T67" s="253">
        <f>calculos_quadro!K108</f>
        <v>37204</v>
      </c>
      <c r="U67" s="252"/>
      <c r="V67" s="421"/>
    </row>
    <row r="68" ht="15.75" customHeight="1">
      <c r="B68" s="399"/>
      <c r="C68" s="55"/>
      <c r="D68" s="268" t="inlineStr">
        <is>
          <t xml:space="preserve">Linhas NF</t>
        </is>
      </c>
      <c r="E68" s="267"/>
      <c r="F68" s="267"/>
      <c r="G68" s="267"/>
      <c r="H68" s="480">
        <f>calculos_quadro!G113</f>
        <v>1704</v>
      </c>
      <c r="I68" s="496"/>
      <c r="J68" s="480" t="str">
        <f>calculos_quadro!H113</f>
        <v>—</v>
      </c>
      <c r="K68" s="496"/>
      <c r="L68" s="496"/>
      <c r="M68" s="480" t="str">
        <f>calculos_quadro!I113</f>
        <v>—</v>
      </c>
      <c r="N68" s="496"/>
      <c r="O68" s="480" t="str">
        <f>calculos_quadro!J113</f>
        <v>—</v>
      </c>
      <c r="P68" s="496"/>
      <c r="Q68" s="496"/>
      <c r="R68" s="480"/>
      <c r="S68" s="496"/>
      <c r="T68" s="495">
        <f>calculos_quadro!K113</f>
        <v>3271</v>
      </c>
      <c r="U68" s="497"/>
      <c r="V68" s="498"/>
    </row>
    <row r="69" ht="15.75" customHeight="1">
      <c r="B69" s="400" t="inlineStr">
        <is>
          <t xml:space="preserve">NC</t>
        </is>
      </c>
      <c r="C69" s="61"/>
      <c r="D69" s="283" t="inlineStr">
        <is>
          <t xml:space="preserve">Incidentes</t>
        </is>
      </c>
      <c r="E69" s="282"/>
      <c r="F69" s="282"/>
      <c r="G69" s="282"/>
      <c r="H69" s="291">
        <f>calculos_quadro!G114</f>
        <v>1</v>
      </c>
      <c r="I69" s="290"/>
      <c r="J69" s="291">
        <f>calculos_quadro!H114</f>
        <v>2</v>
      </c>
      <c r="K69" s="290"/>
      <c r="L69" s="290"/>
      <c r="M69" s="291">
        <f>calculos_quadro!I114</f>
        <v>0</v>
      </c>
      <c r="N69" s="290"/>
      <c r="O69" s="291">
        <f>calculos_quadro!J114</f>
        <v>0</v>
      </c>
      <c r="P69" s="290"/>
      <c r="Q69" s="290"/>
      <c r="R69" s="291"/>
      <c r="S69" s="290"/>
      <c r="T69" s="285">
        <f>calculos_quadro!K114</f>
        <v>5</v>
      </c>
      <c r="U69" s="284"/>
      <c r="V69" s="425"/>
    </row>
    <row r="70" ht="15.75" customHeight="1">
      <c r="B70" s="401"/>
      <c r="C70" s="68"/>
      <c r="D70" s="300" t="inlineStr">
        <is>
          <t xml:space="preserve">No show</t>
        </is>
      </c>
      <c r="E70" s="299"/>
      <c r="F70" s="299"/>
      <c r="G70" s="299"/>
      <c r="H70" s="308">
        <f>calculos_quadro!G115</f>
        <v>2</v>
      </c>
      <c r="I70" s="307"/>
      <c r="J70" s="308">
        <f>calculos_quadro!H115</f>
        <v>2</v>
      </c>
      <c r="K70" s="307"/>
      <c r="L70" s="307"/>
      <c r="M70" s="308">
        <f>calculos_quadro!I115</f>
        <v>3</v>
      </c>
      <c r="N70" s="307"/>
      <c r="O70" s="308">
        <f>calculos_quadro!J115</f>
        <v>1</v>
      </c>
      <c r="P70" s="307"/>
      <c r="Q70" s="307"/>
      <c r="R70" s="308"/>
      <c r="S70" s="307"/>
      <c r="T70" s="302">
        <f>calculos_quadro!K115</f>
        <v>20</v>
      </c>
      <c r="U70" s="301"/>
      <c r="V70" s="426"/>
    </row>
    <row r="71" ht="15.75" customHeight="1">
      <c r="B71" s="402"/>
      <c r="C71" s="75"/>
      <c r="D71" s="317" t="inlineStr">
        <is>
          <t xml:space="preserve">Backlog</t>
        </is>
      </c>
      <c r="E71" s="316"/>
      <c r="F71" s="316"/>
      <c r="G71" s="316"/>
      <c r="H71" s="325">
        <f>calculos_quadro!G116</f>
        <v>3</v>
      </c>
      <c r="I71" s="324"/>
      <c r="J71" s="325">
        <f>calculos_quadro!H116</f>
        <v>15</v>
      </c>
      <c r="K71" s="324"/>
      <c r="L71" s="324"/>
      <c r="M71" s="325">
        <f>calculos_quadro!I116</f>
        <v>8</v>
      </c>
      <c r="N71" s="324"/>
      <c r="O71" s="325">
        <f>calculos_quadro!J116</f>
        <v>7</v>
      </c>
      <c r="P71" s="324"/>
      <c r="Q71" s="324"/>
      <c r="R71" s="325"/>
      <c r="S71" s="324"/>
      <c r="T71" s="319">
        <f>calculos_quadro!K116</f>
        <v>71</v>
      </c>
      <c r="U71" s="318"/>
      <c r="V71" s="427"/>
    </row>
    <row r="72" ht="15.75" customHeight="1">
      <c r="B72" s="394" t="inlineStr">
        <is>
          <t xml:space="preserve">OCUPAÇÃO (P.P)</t>
        </is>
      </c>
      <c r="C72" s="21"/>
      <c r="D72" s="185" t="inlineStr">
        <is>
          <t xml:space="preserve">Posições Disponíveis</t>
        </is>
      </c>
      <c r="E72" s="184"/>
      <c r="F72" s="184"/>
      <c r="G72" s="184"/>
      <c r="H72" s="193">
        <f>calculos_quadro!G117</f>
        <v>600</v>
      </c>
      <c r="I72" s="192"/>
      <c r="J72" s="193">
        <f>calculos_quadro!H117</f>
        <v>1400</v>
      </c>
      <c r="K72" s="192"/>
      <c r="L72" s="192"/>
      <c r="M72" s="193">
        <f>calculos_quadro!I117</f>
        <v>500</v>
      </c>
      <c r="N72" s="192"/>
      <c r="O72" s="193">
        <f>calculos_quadro!J117</f>
        <v>1800</v>
      </c>
      <c r="P72" s="192"/>
      <c r="Q72" s="192"/>
      <c r="R72" s="193"/>
      <c r="S72" s="192"/>
      <c r="T72" s="187">
        <f>calculos_quadro!K117</f>
        <v>13700</v>
      </c>
      <c r="U72" s="186"/>
      <c r="V72" s="415"/>
    </row>
    <row r="73" ht="15.75" customHeight="1">
      <c r="B73" s="395"/>
      <c r="C73" s="28"/>
      <c r="D73" s="202" t="inlineStr">
        <is>
          <t xml:space="preserve">Posições Ocupadas</t>
        </is>
      </c>
      <c r="E73" s="201"/>
      <c r="F73" s="201"/>
      <c r="G73" s="201"/>
      <c r="H73" s="210">
        <f>calculos_quadro!G118</f>
        <v>382</v>
      </c>
      <c r="I73" s="209"/>
      <c r="J73" s="210">
        <f>calculos_quadro!H118</f>
        <v>962</v>
      </c>
      <c r="K73" s="209"/>
      <c r="L73" s="209"/>
      <c r="M73" s="210">
        <f>calculos_quadro!I118</f>
        <v>456</v>
      </c>
      <c r="N73" s="209"/>
      <c r="O73" s="210">
        <f>calculos_quadro!J118</f>
        <v>1078</v>
      </c>
      <c r="P73" s="209"/>
      <c r="Q73" s="209"/>
      <c r="R73" s="210"/>
      <c r="S73" s="209"/>
      <c r="T73" s="204">
        <f>calculos_quadro!K118</f>
        <v>10404</v>
      </c>
      <c r="U73" s="203"/>
      <c r="V73" s="416"/>
    </row>
    <row r="74" ht="15.75" customHeight="1">
      <c r="B74" s="396"/>
      <c r="C74" s="35"/>
      <c r="D74" s="219" t="inlineStr">
        <is>
          <t xml:space="preserve">Taxa de Ocupação</t>
        </is>
      </c>
      <c r="E74" s="218"/>
      <c r="F74" s="218"/>
      <c r="G74" s="218"/>
      <c r="H74" s="229">
        <f>calculos_quadro!G119</f>
        <v>0.636666666666667</v>
      </c>
      <c r="I74" s="228"/>
      <c r="J74" s="229">
        <f>calculos_quadro!H119</f>
        <v>0.687142857142857</v>
      </c>
      <c r="K74" s="228"/>
      <c r="L74" s="228"/>
      <c r="M74" s="229">
        <f>calculos_quadro!I119</f>
        <v>0.912</v>
      </c>
      <c r="N74" s="228"/>
      <c r="O74" s="229">
        <f>calculos_quadro!J119</f>
        <v>0.598888888888889</v>
      </c>
      <c r="P74" s="228"/>
      <c r="Q74" s="228"/>
      <c r="R74" s="229"/>
      <c r="S74" s="228"/>
      <c r="T74" s="338">
        <f>calculos_quadro!K119</f>
        <v>0.759416058394161</v>
      </c>
      <c r="U74" s="337"/>
      <c r="V74" s="428"/>
    </row>
    <row r="75" ht="15.75" customHeight="1">
      <c r="B75" s="403" t="inlineStr">
        <is>
          <t xml:space="preserve">GENTE</t>
        </is>
      </c>
      <c r="C75" s="85"/>
      <c r="D75" s="344" t="inlineStr">
        <is>
          <t xml:space="preserve">Efetivo</t>
        </is>
      </c>
      <c r="E75" s="343"/>
      <c r="F75" s="343"/>
      <c r="G75" s="343"/>
      <c r="H75" s="352">
        <f>calculos_quadro!G120</f>
        <v>6</v>
      </c>
      <c r="I75" s="351"/>
      <c r="J75" s="352">
        <f>calculos_quadro!H120</f>
        <v>7</v>
      </c>
      <c r="K75" s="351"/>
      <c r="L75" s="351"/>
      <c r="M75" s="352">
        <f>calculos_quadro!I120</f>
        <v>5</v>
      </c>
      <c r="N75" s="351"/>
      <c r="O75" s="352">
        <f>calculos_quadro!J120</f>
        <v>14</v>
      </c>
      <c r="P75" s="351"/>
      <c r="Q75" s="351"/>
      <c r="R75" s="352"/>
      <c r="S75" s="351"/>
      <c r="T75" s="346">
        <f>calculos_quadro!K120</f>
        <v>69</v>
      </c>
      <c r="U75" s="345"/>
      <c r="V75" s="429"/>
    </row>
    <row r="76" ht="15.75" customHeight="1">
      <c r="B76" s="404"/>
      <c r="C76" s="92"/>
      <c r="D76" s="361" t="inlineStr">
        <is>
          <t xml:space="preserve">Falta</t>
        </is>
      </c>
      <c r="E76" s="360"/>
      <c r="F76" s="360"/>
      <c r="G76" s="360"/>
      <c r="H76" s="369">
        <f>calculos_quadro!G121</f>
        <v>5</v>
      </c>
      <c r="I76" s="368"/>
      <c r="J76" s="369">
        <f>calculos_quadro!H121</f>
        <v>7</v>
      </c>
      <c r="K76" s="368"/>
      <c r="L76" s="368"/>
      <c r="M76" s="369">
        <f>calculos_quadro!I121</f>
        <v>5</v>
      </c>
      <c r="N76" s="368"/>
      <c r="O76" s="369">
        <f>calculos_quadro!J121</f>
        <v>3</v>
      </c>
      <c r="P76" s="368"/>
      <c r="Q76" s="368"/>
      <c r="R76" s="369"/>
      <c r="S76" s="368"/>
      <c r="T76" s="363">
        <f>calculos_quadro!K121</f>
        <v>42</v>
      </c>
      <c r="U76" s="362"/>
      <c r="V76" s="430"/>
    </row>
    <row r="77" ht="15.75" customHeight="1">
      <c r="B77" s="404"/>
      <c r="C77" s="92"/>
      <c r="D77" s="361" t="inlineStr">
        <is>
          <t xml:space="preserve">Folga</t>
        </is>
      </c>
      <c r="E77" s="360"/>
      <c r="F77" s="360"/>
      <c r="G77" s="360"/>
      <c r="H77" s="369">
        <f>calculos_quadro!G122</f>
        <v>4</v>
      </c>
      <c r="I77" s="368"/>
      <c r="J77" s="369">
        <f>calculos_quadro!H122</f>
        <v>3</v>
      </c>
      <c r="K77" s="368"/>
      <c r="L77" s="368"/>
      <c r="M77" s="369">
        <f>calculos_quadro!I122</f>
        <v>4</v>
      </c>
      <c r="N77" s="368"/>
      <c r="O77" s="369">
        <f>calculos_quadro!J122</f>
        <v>1</v>
      </c>
      <c r="P77" s="368"/>
      <c r="Q77" s="368"/>
      <c r="R77" s="369"/>
      <c r="S77" s="368"/>
      <c r="T77" s="363">
        <f>calculos_quadro!K122</f>
        <v>20</v>
      </c>
      <c r="U77" s="362"/>
      <c r="V77" s="430"/>
    </row>
    <row r="78" ht="15.75" customHeight="1">
      <c r="B78" s="404"/>
      <c r="C78" s="92"/>
      <c r="D78" s="361" t="inlineStr">
        <is>
          <t xml:space="preserve">Férias</t>
        </is>
      </c>
      <c r="E78" s="360"/>
      <c r="F78" s="360"/>
      <c r="G78" s="360"/>
      <c r="H78" s="369">
        <f>calculos_quadro!G123</f>
        <v>0</v>
      </c>
      <c r="I78" s="368"/>
      <c r="J78" s="369">
        <f>calculos_quadro!H123</f>
        <v>2</v>
      </c>
      <c r="K78" s="368"/>
      <c r="L78" s="368"/>
      <c r="M78" s="369">
        <f>calculos_quadro!I123</f>
        <v>1</v>
      </c>
      <c r="N78" s="368"/>
      <c r="O78" s="369">
        <f>calculos_quadro!J123</f>
        <v>1</v>
      </c>
      <c r="P78" s="368"/>
      <c r="Q78" s="368"/>
      <c r="R78" s="369"/>
      <c r="S78" s="368"/>
      <c r="T78" s="363">
        <f>calculos_quadro!K123</f>
        <v>12</v>
      </c>
      <c r="U78" s="362"/>
      <c r="V78" s="430"/>
    </row>
    <row r="79" ht="15.75" customHeight="1">
      <c r="B79" s="405"/>
      <c r="C79" s="99"/>
      <c r="D79" s="378" t="inlineStr">
        <is>
          <t xml:space="preserve">Desligamentos</t>
        </is>
      </c>
      <c r="E79" s="377"/>
      <c r="F79" s="377"/>
      <c r="G79" s="377"/>
      <c r="H79" s="386">
        <f>calculos_quadro!G124</f>
        <v>0</v>
      </c>
      <c r="I79" s="385"/>
      <c r="J79" s="386">
        <f>calculos_quadro!H124</f>
        <v>1</v>
      </c>
      <c r="K79" s="385"/>
      <c r="L79" s="385"/>
      <c r="M79" s="386">
        <f>calculos_quadro!I124</f>
        <v>0</v>
      </c>
      <c r="N79" s="385"/>
      <c r="O79" s="386">
        <f>calculos_quadro!J124</f>
        <v>0</v>
      </c>
      <c r="P79" s="385"/>
      <c r="Q79" s="385"/>
      <c r="R79" s="386"/>
      <c r="S79" s="385"/>
      <c r="T79" s="380">
        <f>calculos_quadro!K124</f>
        <v>2</v>
      </c>
      <c r="U79" s="379"/>
      <c r="V79" s="431"/>
    </row>
    <row r="80">
      <c r="B80" s="120" t="inlineStr">
        <is>
          <t xml:space="preserve">Fluxos: soma do mês · Estoques (backlog, posições, efetivo): último dado do mês · TOTAL CD: soma dos clientes (posições disponíveis = capacidade do CD, se informada na aba calculos); taxa = ocupadas ÷ disponíveis.</t>
        </is>
      </c>
    </row>
  </sheetData>
  <mergeCells count="548">
    <mergeCell ref="E1:U1"/>
    <mergeCell ref="V1:AA1"/>
    <mergeCell ref="B3:N3"/>
    <mergeCell ref="Q3:Z3"/>
    <mergeCell ref="B5:Z5"/>
    <mergeCell ref="B6:C6"/>
    <mergeCell ref="D6:G6"/>
    <mergeCell ref="H6:I6"/>
    <mergeCell ref="J6:L6"/>
    <mergeCell ref="M6:N6"/>
    <mergeCell ref="O6:Q6"/>
    <mergeCell ref="R6:S6"/>
    <mergeCell ref="T6:V6"/>
    <mergeCell ref="W6:X6"/>
    <mergeCell ref="Y6:Z6"/>
    <mergeCell ref="D7:G7"/>
    <mergeCell ref="H7:I7"/>
    <mergeCell ref="J7:L7"/>
    <mergeCell ref="M7:N7"/>
    <mergeCell ref="O7:Q7"/>
    <mergeCell ref="R7:S7"/>
    <mergeCell ref="T7:V7"/>
    <mergeCell ref="W7:X7"/>
    <mergeCell ref="Y7:Z7"/>
    <mergeCell ref="D8:G8"/>
    <mergeCell ref="H8:I8"/>
    <mergeCell ref="J8:L8"/>
    <mergeCell ref="M8:N8"/>
    <mergeCell ref="O8:Q8"/>
    <mergeCell ref="R8:S8"/>
    <mergeCell ref="T8:V8"/>
    <mergeCell ref="W8:X8"/>
    <mergeCell ref="Y8:Z8"/>
    <mergeCell ref="D9:G9"/>
    <mergeCell ref="H9:I9"/>
    <mergeCell ref="J9:L9"/>
    <mergeCell ref="M9:N9"/>
    <mergeCell ref="O9:Q9"/>
    <mergeCell ref="R9:S9"/>
    <mergeCell ref="T9:V9"/>
    <mergeCell ref="W9:X9"/>
    <mergeCell ref="Y9:Z9"/>
    <mergeCell ref="D10:G10"/>
    <mergeCell ref="H10:I10"/>
    <mergeCell ref="J10:L10"/>
    <mergeCell ref="M10:N10"/>
    <mergeCell ref="O10:Q10"/>
    <mergeCell ref="R10:S10"/>
    <mergeCell ref="T10:V10"/>
    <mergeCell ref="W10:X10"/>
    <mergeCell ref="Y10:Z10"/>
    <mergeCell ref="B7:C10"/>
    <mergeCell ref="D11:G11"/>
    <mergeCell ref="H11:I11"/>
    <mergeCell ref="J11:L11"/>
    <mergeCell ref="M11:N11"/>
    <mergeCell ref="O11:Q11"/>
    <mergeCell ref="R11:S11"/>
    <mergeCell ref="T11:V11"/>
    <mergeCell ref="W11:X11"/>
    <mergeCell ref="Y11:Z11"/>
    <mergeCell ref="D12:G12"/>
    <mergeCell ref="H12:I12"/>
    <mergeCell ref="J12:L12"/>
    <mergeCell ref="M12:N12"/>
    <mergeCell ref="O12:Q12"/>
    <mergeCell ref="R12:S12"/>
    <mergeCell ref="T12:V12"/>
    <mergeCell ref="W12:X12"/>
    <mergeCell ref="Y12:Z12"/>
    <mergeCell ref="D13:G13"/>
    <mergeCell ref="H13:I13"/>
    <mergeCell ref="J13:L13"/>
    <mergeCell ref="M13:N13"/>
    <mergeCell ref="O13:Q13"/>
    <mergeCell ref="R13:S13"/>
    <mergeCell ref="T13:V13"/>
    <mergeCell ref="W13:X13"/>
    <mergeCell ref="Y13:Z13"/>
    <mergeCell ref="D14:G14"/>
    <mergeCell ref="H14:I14"/>
    <mergeCell ref="J14:L14"/>
    <mergeCell ref="M14:N14"/>
    <mergeCell ref="O14:Q14"/>
    <mergeCell ref="R14:S14"/>
    <mergeCell ref="T14:V14"/>
    <mergeCell ref="W14:X14"/>
    <mergeCell ref="Y14:Z14"/>
    <mergeCell ref="B11:C14"/>
    <mergeCell ref="D15:G15"/>
    <mergeCell ref="H15:I15"/>
    <mergeCell ref="J15:L15"/>
    <mergeCell ref="M15:N15"/>
    <mergeCell ref="O15:Q15"/>
    <mergeCell ref="R15:S15"/>
    <mergeCell ref="T15:V15"/>
    <mergeCell ref="W15:X15"/>
    <mergeCell ref="Y15:Z15"/>
    <mergeCell ref="D16:G16"/>
    <mergeCell ref="H16:I16"/>
    <mergeCell ref="J16:L16"/>
    <mergeCell ref="M16:N16"/>
    <mergeCell ref="O16:Q16"/>
    <mergeCell ref="R16:S16"/>
    <mergeCell ref="T16:V16"/>
    <mergeCell ref="W16:X16"/>
    <mergeCell ref="Y16:Z16"/>
    <mergeCell ref="D17:G17"/>
    <mergeCell ref="H17:I17"/>
    <mergeCell ref="J17:L17"/>
    <mergeCell ref="M17:N17"/>
    <mergeCell ref="O17:Q17"/>
    <mergeCell ref="R17:S17"/>
    <mergeCell ref="T17:V17"/>
    <mergeCell ref="W17:X17"/>
    <mergeCell ref="Y17:Z17"/>
    <mergeCell ref="B15:C17"/>
    <mergeCell ref="D18:G18"/>
    <mergeCell ref="H18:I18"/>
    <mergeCell ref="J18:L18"/>
    <mergeCell ref="M18:N18"/>
    <mergeCell ref="O18:Q18"/>
    <mergeCell ref="R18:S18"/>
    <mergeCell ref="T18:V18"/>
    <mergeCell ref="W18:X18"/>
    <mergeCell ref="Y18:Z18"/>
    <mergeCell ref="D19:G19"/>
    <mergeCell ref="H19:I19"/>
    <mergeCell ref="J19:L19"/>
    <mergeCell ref="M19:N19"/>
    <mergeCell ref="O19:Q19"/>
    <mergeCell ref="R19:S19"/>
    <mergeCell ref="T19:V19"/>
    <mergeCell ref="W19:X19"/>
    <mergeCell ref="Y19:Z19"/>
    <mergeCell ref="D20:G20"/>
    <mergeCell ref="H20:I20"/>
    <mergeCell ref="J20:L20"/>
    <mergeCell ref="M20:N20"/>
    <mergeCell ref="O20:Q20"/>
    <mergeCell ref="R20:S20"/>
    <mergeCell ref="T20:V20"/>
    <mergeCell ref="W20:X20"/>
    <mergeCell ref="Y20:Z20"/>
    <mergeCell ref="B18:C20"/>
    <mergeCell ref="D21:G21"/>
    <mergeCell ref="H21:I21"/>
    <mergeCell ref="J21:L21"/>
    <mergeCell ref="M21:N21"/>
    <mergeCell ref="O21:Q21"/>
    <mergeCell ref="R21:S21"/>
    <mergeCell ref="T21:V21"/>
    <mergeCell ref="W21:X21"/>
    <mergeCell ref="Y21:Z21"/>
    <mergeCell ref="D22:G22"/>
    <mergeCell ref="H22:I22"/>
    <mergeCell ref="J22:L22"/>
    <mergeCell ref="M22:N22"/>
    <mergeCell ref="O22:Q22"/>
    <mergeCell ref="R22:S22"/>
    <mergeCell ref="T22:V22"/>
    <mergeCell ref="W22:X22"/>
    <mergeCell ref="Y22:Z22"/>
    <mergeCell ref="D23:G23"/>
    <mergeCell ref="H23:I23"/>
    <mergeCell ref="J23:L23"/>
    <mergeCell ref="M23:N23"/>
    <mergeCell ref="O23:Q23"/>
    <mergeCell ref="R23:S23"/>
    <mergeCell ref="T23:V23"/>
    <mergeCell ref="W23:X23"/>
    <mergeCell ref="Y23:Z23"/>
    <mergeCell ref="D24:G24"/>
    <mergeCell ref="H24:I24"/>
    <mergeCell ref="J24:L24"/>
    <mergeCell ref="M24:N24"/>
    <mergeCell ref="O24:Q24"/>
    <mergeCell ref="R24:S24"/>
    <mergeCell ref="T24:V24"/>
    <mergeCell ref="W24:X24"/>
    <mergeCell ref="Y24:Z24"/>
    <mergeCell ref="D25:G25"/>
    <mergeCell ref="H25:I25"/>
    <mergeCell ref="J25:L25"/>
    <mergeCell ref="M25:N25"/>
    <mergeCell ref="O25:Q25"/>
    <mergeCell ref="R25:S25"/>
    <mergeCell ref="T25:V25"/>
    <mergeCell ref="W25:X25"/>
    <mergeCell ref="Y25:Z25"/>
    <mergeCell ref="B21:C25"/>
    <mergeCell ref="B28:Z28"/>
    <mergeCell ref="B29:C29"/>
    <mergeCell ref="D29:G29"/>
    <mergeCell ref="H29:I29"/>
    <mergeCell ref="J29:L29"/>
    <mergeCell ref="M29:N29"/>
    <mergeCell ref="O29:Q29"/>
    <mergeCell ref="R29:S29"/>
    <mergeCell ref="T29:V29"/>
    <mergeCell ref="D30:G30"/>
    <mergeCell ref="H30:I30"/>
    <mergeCell ref="J30:L30"/>
    <mergeCell ref="M30:N30"/>
    <mergeCell ref="O30:Q30"/>
    <mergeCell ref="R30:S30"/>
    <mergeCell ref="T30:V30"/>
    <mergeCell ref="D31:G31"/>
    <mergeCell ref="H31:I31"/>
    <mergeCell ref="J31:L31"/>
    <mergeCell ref="M31:N31"/>
    <mergeCell ref="O31:Q31"/>
    <mergeCell ref="R31:S31"/>
    <mergeCell ref="T31:V31"/>
    <mergeCell ref="D32:G32"/>
    <mergeCell ref="H32:I32"/>
    <mergeCell ref="J32:L32"/>
    <mergeCell ref="M32:N32"/>
    <mergeCell ref="O32:Q32"/>
    <mergeCell ref="R32:S32"/>
    <mergeCell ref="T32:V32"/>
    <mergeCell ref="D33:G33"/>
    <mergeCell ref="H33:I33"/>
    <mergeCell ref="J33:L33"/>
    <mergeCell ref="M33:N33"/>
    <mergeCell ref="O33:Q33"/>
    <mergeCell ref="R33:S33"/>
    <mergeCell ref="T33:V33"/>
    <mergeCell ref="D34:G34"/>
    <mergeCell ref="H34:I34"/>
    <mergeCell ref="J34:L34"/>
    <mergeCell ref="M34:N34"/>
    <mergeCell ref="O34:Q34"/>
    <mergeCell ref="R34:S34"/>
    <mergeCell ref="T34:V34"/>
    <mergeCell ref="D35:G35"/>
    <mergeCell ref="H35:I35"/>
    <mergeCell ref="J35:L35"/>
    <mergeCell ref="M35:N35"/>
    <mergeCell ref="O35:Q35"/>
    <mergeCell ref="R35:S35"/>
    <mergeCell ref="T35:V35"/>
    <mergeCell ref="D36:G36"/>
    <mergeCell ref="H36:I36"/>
    <mergeCell ref="J36:L36"/>
    <mergeCell ref="M36:N36"/>
    <mergeCell ref="O36:Q36"/>
    <mergeCell ref="R36:S36"/>
    <mergeCell ref="T36:V36"/>
    <mergeCell ref="D37:G37"/>
    <mergeCell ref="H37:I37"/>
    <mergeCell ref="J37:L37"/>
    <mergeCell ref="M37:N37"/>
    <mergeCell ref="O37:Q37"/>
    <mergeCell ref="R37:S37"/>
    <mergeCell ref="T37:V37"/>
    <mergeCell ref="D38:G38"/>
    <mergeCell ref="H38:I38"/>
    <mergeCell ref="J38:L38"/>
    <mergeCell ref="M38:N38"/>
    <mergeCell ref="O38:Q38"/>
    <mergeCell ref="R38:S38"/>
    <mergeCell ref="T38:V38"/>
    <mergeCell ref="B30:C38"/>
    <mergeCell ref="D39:G39"/>
    <mergeCell ref="H39:I39"/>
    <mergeCell ref="J39:L39"/>
    <mergeCell ref="M39:N39"/>
    <mergeCell ref="O39:Q39"/>
    <mergeCell ref="R39:S39"/>
    <mergeCell ref="T39:V39"/>
    <mergeCell ref="D40:G40"/>
    <mergeCell ref="H40:I40"/>
    <mergeCell ref="J40:L40"/>
    <mergeCell ref="M40:N40"/>
    <mergeCell ref="O40:Q40"/>
    <mergeCell ref="R40:S40"/>
    <mergeCell ref="T40:V40"/>
    <mergeCell ref="D41:G41"/>
    <mergeCell ref="H41:I41"/>
    <mergeCell ref="J41:L41"/>
    <mergeCell ref="M41:N41"/>
    <mergeCell ref="O41:Q41"/>
    <mergeCell ref="R41:S41"/>
    <mergeCell ref="T41:V41"/>
    <mergeCell ref="D42:G42"/>
    <mergeCell ref="H42:I42"/>
    <mergeCell ref="J42:L42"/>
    <mergeCell ref="M42:N42"/>
    <mergeCell ref="O42:Q42"/>
    <mergeCell ref="R42:S42"/>
    <mergeCell ref="T42:V42"/>
    <mergeCell ref="D43:G43"/>
    <mergeCell ref="H43:I43"/>
    <mergeCell ref="J43:L43"/>
    <mergeCell ref="M43:N43"/>
    <mergeCell ref="O43:Q43"/>
    <mergeCell ref="R43:S43"/>
    <mergeCell ref="T43:V43"/>
    <mergeCell ref="D44:G44"/>
    <mergeCell ref="H44:I44"/>
    <mergeCell ref="J44:L44"/>
    <mergeCell ref="M44:N44"/>
    <mergeCell ref="O44:Q44"/>
    <mergeCell ref="R44:S44"/>
    <mergeCell ref="T44:V44"/>
    <mergeCell ref="D45:G45"/>
    <mergeCell ref="H45:I45"/>
    <mergeCell ref="J45:L45"/>
    <mergeCell ref="M45:N45"/>
    <mergeCell ref="O45:Q45"/>
    <mergeCell ref="R45:S45"/>
    <mergeCell ref="T45:V45"/>
    <mergeCell ref="D46:G46"/>
    <mergeCell ref="H46:I46"/>
    <mergeCell ref="J46:L46"/>
    <mergeCell ref="M46:N46"/>
    <mergeCell ref="O46:Q46"/>
    <mergeCell ref="R46:S46"/>
    <mergeCell ref="T46:V46"/>
    <mergeCell ref="B39:C46"/>
    <mergeCell ref="D47:G47"/>
    <mergeCell ref="H47:I47"/>
    <mergeCell ref="J47:L47"/>
    <mergeCell ref="M47:N47"/>
    <mergeCell ref="O47:Q47"/>
    <mergeCell ref="R47:S47"/>
    <mergeCell ref="T47:V47"/>
    <mergeCell ref="D48:G48"/>
    <mergeCell ref="H48:I48"/>
    <mergeCell ref="J48:L48"/>
    <mergeCell ref="M48:N48"/>
    <mergeCell ref="O48:Q48"/>
    <mergeCell ref="R48:S48"/>
    <mergeCell ref="T48:V48"/>
    <mergeCell ref="D49:G49"/>
    <mergeCell ref="H49:I49"/>
    <mergeCell ref="J49:L49"/>
    <mergeCell ref="M49:N49"/>
    <mergeCell ref="O49:Q49"/>
    <mergeCell ref="R49:S49"/>
    <mergeCell ref="T49:V49"/>
    <mergeCell ref="B47:C49"/>
    <mergeCell ref="D50:G50"/>
    <mergeCell ref="H50:I50"/>
    <mergeCell ref="J50:L50"/>
    <mergeCell ref="M50:N50"/>
    <mergeCell ref="O50:Q50"/>
    <mergeCell ref="R50:S50"/>
    <mergeCell ref="T50:V50"/>
    <mergeCell ref="D51:G51"/>
    <mergeCell ref="H51:I51"/>
    <mergeCell ref="J51:L51"/>
    <mergeCell ref="M51:N51"/>
    <mergeCell ref="O51:Q51"/>
    <mergeCell ref="R51:S51"/>
    <mergeCell ref="T51:V51"/>
    <mergeCell ref="D52:G52"/>
    <mergeCell ref="H52:I52"/>
    <mergeCell ref="J52:L52"/>
    <mergeCell ref="M52:N52"/>
    <mergeCell ref="O52:Q52"/>
    <mergeCell ref="R52:S52"/>
    <mergeCell ref="T52:V52"/>
    <mergeCell ref="B50:C52"/>
    <mergeCell ref="D53:G53"/>
    <mergeCell ref="H53:I53"/>
    <mergeCell ref="J53:L53"/>
    <mergeCell ref="M53:N53"/>
    <mergeCell ref="O53:Q53"/>
    <mergeCell ref="R53:S53"/>
    <mergeCell ref="T53:V53"/>
    <mergeCell ref="D54:G54"/>
    <mergeCell ref="H54:I54"/>
    <mergeCell ref="J54:L54"/>
    <mergeCell ref="M54:N54"/>
    <mergeCell ref="O54:Q54"/>
    <mergeCell ref="R54:S54"/>
    <mergeCell ref="T54:V54"/>
    <mergeCell ref="D55:G55"/>
    <mergeCell ref="H55:I55"/>
    <mergeCell ref="J55:L55"/>
    <mergeCell ref="M55:N55"/>
    <mergeCell ref="O55:Q55"/>
    <mergeCell ref="R55:S55"/>
    <mergeCell ref="T55:V55"/>
    <mergeCell ref="D56:G56"/>
    <mergeCell ref="H56:I56"/>
    <mergeCell ref="J56:L56"/>
    <mergeCell ref="M56:N56"/>
    <mergeCell ref="O56:Q56"/>
    <mergeCell ref="R56:S56"/>
    <mergeCell ref="T56:V56"/>
    <mergeCell ref="D57:G57"/>
    <mergeCell ref="H57:I57"/>
    <mergeCell ref="J57:L57"/>
    <mergeCell ref="M57:N57"/>
    <mergeCell ref="O57:Q57"/>
    <mergeCell ref="R57:S57"/>
    <mergeCell ref="T57:V57"/>
    <mergeCell ref="B53:C57"/>
    <mergeCell ref="B59:Z59"/>
    <mergeCell ref="B60:C60"/>
    <mergeCell ref="D60:G60"/>
    <mergeCell ref="H60:I60"/>
    <mergeCell ref="J60:L60"/>
    <mergeCell ref="M60:N60"/>
    <mergeCell ref="O60:Q60"/>
    <mergeCell ref="R60:S60"/>
    <mergeCell ref="T60:V60"/>
    <mergeCell ref="D61:G61"/>
    <mergeCell ref="H61:I61"/>
    <mergeCell ref="J61:L61"/>
    <mergeCell ref="M61:N61"/>
    <mergeCell ref="O61:Q61"/>
    <mergeCell ref="R61:S61"/>
    <mergeCell ref="T61:V61"/>
    <mergeCell ref="D62:G62"/>
    <mergeCell ref="H62:I62"/>
    <mergeCell ref="J62:L62"/>
    <mergeCell ref="M62:N62"/>
    <mergeCell ref="O62:Q62"/>
    <mergeCell ref="R62:S62"/>
    <mergeCell ref="T62:V62"/>
    <mergeCell ref="D63:G63"/>
    <mergeCell ref="H63:I63"/>
    <mergeCell ref="J63:L63"/>
    <mergeCell ref="M63:N63"/>
    <mergeCell ref="O63:Q63"/>
    <mergeCell ref="R63:S63"/>
    <mergeCell ref="T63:V63"/>
    <mergeCell ref="D64:G64"/>
    <mergeCell ref="H64:I64"/>
    <mergeCell ref="J64:L64"/>
    <mergeCell ref="M64:N64"/>
    <mergeCell ref="O64:Q64"/>
    <mergeCell ref="R64:S64"/>
    <mergeCell ref="T64:V64"/>
    <mergeCell ref="B61:C64"/>
    <mergeCell ref="D65:G65"/>
    <mergeCell ref="H65:I65"/>
    <mergeCell ref="J65:L65"/>
    <mergeCell ref="M65:N65"/>
    <mergeCell ref="O65:Q65"/>
    <mergeCell ref="R65:S65"/>
    <mergeCell ref="T65:V65"/>
    <mergeCell ref="D66:G66"/>
    <mergeCell ref="H66:I66"/>
    <mergeCell ref="J66:L66"/>
    <mergeCell ref="M66:N66"/>
    <mergeCell ref="O66:Q66"/>
    <mergeCell ref="R66:S66"/>
    <mergeCell ref="T66:V66"/>
    <mergeCell ref="D67:G67"/>
    <mergeCell ref="H67:I67"/>
    <mergeCell ref="J67:L67"/>
    <mergeCell ref="M67:N67"/>
    <mergeCell ref="O67:Q67"/>
    <mergeCell ref="R67:S67"/>
    <mergeCell ref="T67:V67"/>
    <mergeCell ref="D68:G68"/>
    <mergeCell ref="H68:I68"/>
    <mergeCell ref="J68:L68"/>
    <mergeCell ref="M68:N68"/>
    <mergeCell ref="O68:Q68"/>
    <mergeCell ref="R68:S68"/>
    <mergeCell ref="T68:V68"/>
    <mergeCell ref="B65:C68"/>
    <mergeCell ref="D69:G69"/>
    <mergeCell ref="H69:I69"/>
    <mergeCell ref="J69:L69"/>
    <mergeCell ref="M69:N69"/>
    <mergeCell ref="O69:Q69"/>
    <mergeCell ref="R69:S69"/>
    <mergeCell ref="T69:V69"/>
    <mergeCell ref="D70:G70"/>
    <mergeCell ref="H70:I70"/>
    <mergeCell ref="J70:L70"/>
    <mergeCell ref="M70:N70"/>
    <mergeCell ref="O70:Q70"/>
    <mergeCell ref="R70:S70"/>
    <mergeCell ref="T70:V70"/>
    <mergeCell ref="D71:G71"/>
    <mergeCell ref="H71:I71"/>
    <mergeCell ref="J71:L71"/>
    <mergeCell ref="M71:N71"/>
    <mergeCell ref="O71:Q71"/>
    <mergeCell ref="R71:S71"/>
    <mergeCell ref="T71:V71"/>
    <mergeCell ref="B69:C71"/>
    <mergeCell ref="D72:G72"/>
    <mergeCell ref="H72:I72"/>
    <mergeCell ref="J72:L72"/>
    <mergeCell ref="M72:N72"/>
    <mergeCell ref="O72:Q72"/>
    <mergeCell ref="R72:S72"/>
    <mergeCell ref="T72:V72"/>
    <mergeCell ref="D73:G73"/>
    <mergeCell ref="H73:I73"/>
    <mergeCell ref="J73:L73"/>
    <mergeCell ref="M73:N73"/>
    <mergeCell ref="O73:Q73"/>
    <mergeCell ref="R73:S73"/>
    <mergeCell ref="T73:V73"/>
    <mergeCell ref="D74:G74"/>
    <mergeCell ref="H74:I74"/>
    <mergeCell ref="J74:L74"/>
    <mergeCell ref="M74:N74"/>
    <mergeCell ref="O74:Q74"/>
    <mergeCell ref="R74:S74"/>
    <mergeCell ref="T74:V74"/>
    <mergeCell ref="B72:C74"/>
    <mergeCell ref="D75:G75"/>
    <mergeCell ref="H75:I75"/>
    <mergeCell ref="J75:L75"/>
    <mergeCell ref="M75:N75"/>
    <mergeCell ref="O75:Q75"/>
    <mergeCell ref="R75:S75"/>
    <mergeCell ref="T75:V75"/>
    <mergeCell ref="D76:G76"/>
    <mergeCell ref="H76:I76"/>
    <mergeCell ref="J76:L76"/>
    <mergeCell ref="M76:N76"/>
    <mergeCell ref="O76:Q76"/>
    <mergeCell ref="R76:S76"/>
    <mergeCell ref="T76:V76"/>
    <mergeCell ref="D77:G77"/>
    <mergeCell ref="H77:I77"/>
    <mergeCell ref="J77:L77"/>
    <mergeCell ref="M77:N77"/>
    <mergeCell ref="O77:Q77"/>
    <mergeCell ref="R77:S77"/>
    <mergeCell ref="T77:V77"/>
    <mergeCell ref="D78:G78"/>
    <mergeCell ref="H78:I78"/>
    <mergeCell ref="J78:L78"/>
    <mergeCell ref="M78:N78"/>
    <mergeCell ref="O78:Q78"/>
    <mergeCell ref="R78:S78"/>
    <mergeCell ref="T78:V78"/>
    <mergeCell ref="D79:G79"/>
    <mergeCell ref="H79:I79"/>
    <mergeCell ref="J79:L79"/>
    <mergeCell ref="M79:N79"/>
    <mergeCell ref="O79:Q79"/>
    <mergeCell ref="R79:S79"/>
    <mergeCell ref="T79:V79"/>
    <mergeCell ref="B75:C79"/>
  </mergeCells>
  <conditionalFormatting sqref="J7 O7 R7">
    <cfRule type="expression" dxfId="10" priority="1">
      <formula>ISNUMBER(SEARCH("Toneladas",$D7))</formula>
    </cfRule>
  </conditionalFormatting>
  <conditionalFormatting sqref="T7">
    <cfRule type="expression" dxfId="3" priority="2">
      <formula>AND(ISNUMBER(T7),T7&gt;0)</formula>
    </cfRule>
    <cfRule type="expression" dxfId="4" priority="3">
      <formula>AND(ISNUMBER(T7),T7&lt;0)</formula>
    </cfRule>
  </conditionalFormatting>
  <conditionalFormatting sqref="Y7">
    <cfRule type="expression" dxfId="3" priority="4">
      <formula>OR(Y7="meta atingida",Y7="dentro do limite",Y7="dentro da faixa")</formula>
    </cfRule>
    <cfRule type="expression" dxfId="5" priority="5">
      <formula>OR(Y7="atenção",Y7="abaixo da meta")</formula>
    </cfRule>
    <cfRule type="expression" dxfId="4" priority="6">
      <formula>OR(Y7="crítico",Y7="acima do limite")</formula>
    </cfRule>
  </conditionalFormatting>
  <conditionalFormatting sqref="J8 O8 R8">
    <cfRule type="expression" dxfId="10" priority="7">
      <formula>ISNUMBER(SEARCH("Toneladas",$D8))</formula>
    </cfRule>
  </conditionalFormatting>
  <conditionalFormatting sqref="T8">
    <cfRule type="expression" dxfId="3" priority="8">
      <formula>AND(ISNUMBER(T8),T8&gt;0)</formula>
    </cfRule>
    <cfRule type="expression" dxfId="4" priority="9">
      <formula>AND(ISNUMBER(T8),T8&lt;0)</formula>
    </cfRule>
  </conditionalFormatting>
  <conditionalFormatting sqref="Y8">
    <cfRule type="expression" dxfId="3" priority="10">
      <formula>OR(Y8="meta atingida",Y8="dentro do limite",Y8="dentro da faixa")</formula>
    </cfRule>
    <cfRule type="expression" dxfId="5" priority="11">
      <formula>OR(Y8="atenção",Y8="abaixo da meta")</formula>
    </cfRule>
    <cfRule type="expression" dxfId="4" priority="12">
      <formula>OR(Y8="crítico",Y8="acima do limite")</formula>
    </cfRule>
  </conditionalFormatting>
  <conditionalFormatting sqref="J9 O9 R9">
    <cfRule type="expression" dxfId="10" priority="13">
      <formula>ISNUMBER(SEARCH("Toneladas",$D9))</formula>
    </cfRule>
  </conditionalFormatting>
  <conditionalFormatting sqref="T9">
    <cfRule type="expression" dxfId="3" priority="14">
      <formula>AND(ISNUMBER(T9),T9&gt;0)</formula>
    </cfRule>
    <cfRule type="expression" dxfId="4" priority="15">
      <formula>AND(ISNUMBER(T9),T9&lt;0)</formula>
    </cfRule>
  </conditionalFormatting>
  <conditionalFormatting sqref="Y9">
    <cfRule type="expression" dxfId="3" priority="16">
      <formula>OR(Y9="meta atingida",Y9="dentro do limite",Y9="dentro da faixa")</formula>
    </cfRule>
    <cfRule type="expression" dxfId="5" priority="17">
      <formula>OR(Y9="atenção",Y9="abaixo da meta")</formula>
    </cfRule>
    <cfRule type="expression" dxfId="4" priority="18">
      <formula>OR(Y9="crítico",Y9="acima do limite")</formula>
    </cfRule>
  </conditionalFormatting>
  <conditionalFormatting sqref="J10 O10 R10">
    <cfRule type="expression" dxfId="10" priority="19">
      <formula>ISNUMBER(SEARCH("Toneladas",$D10))</formula>
    </cfRule>
  </conditionalFormatting>
  <conditionalFormatting sqref="T10">
    <cfRule type="expression" dxfId="3" priority="20">
      <formula>AND(ISNUMBER(T10),T10&gt;0)</formula>
    </cfRule>
    <cfRule type="expression" dxfId="4" priority="21">
      <formula>AND(ISNUMBER(T10),T10&lt;0)</formula>
    </cfRule>
  </conditionalFormatting>
  <conditionalFormatting sqref="Y10">
    <cfRule type="expression" dxfId="3" priority="22">
      <formula>OR(Y10="meta atingida",Y10="dentro do limite",Y10="dentro da faixa")</formula>
    </cfRule>
    <cfRule type="expression" dxfId="5" priority="23">
      <formula>OR(Y10="atenção",Y10="abaixo da meta")</formula>
    </cfRule>
    <cfRule type="expression" dxfId="4" priority="24">
      <formula>OR(Y10="crítico",Y10="acima do limite")</formula>
    </cfRule>
  </conditionalFormatting>
  <conditionalFormatting sqref="J11 O11 R11">
    <cfRule type="expression" dxfId="10" priority="25">
      <formula>ISNUMBER(SEARCH("Toneladas",$D11))</formula>
    </cfRule>
  </conditionalFormatting>
  <conditionalFormatting sqref="T11">
    <cfRule type="expression" dxfId="3" priority="26">
      <formula>AND(ISNUMBER(T11),T11&gt;0)</formula>
    </cfRule>
    <cfRule type="expression" dxfId="4" priority="27">
      <formula>AND(ISNUMBER(T11),T11&lt;0)</formula>
    </cfRule>
  </conditionalFormatting>
  <conditionalFormatting sqref="Y11">
    <cfRule type="expression" dxfId="3" priority="28">
      <formula>OR(Y11="meta atingida",Y11="dentro do limite",Y11="dentro da faixa")</formula>
    </cfRule>
    <cfRule type="expression" dxfId="5" priority="29">
      <formula>OR(Y11="atenção",Y11="abaixo da meta")</formula>
    </cfRule>
    <cfRule type="expression" dxfId="4" priority="30">
      <formula>OR(Y11="crítico",Y11="acima do limite")</formula>
    </cfRule>
  </conditionalFormatting>
  <conditionalFormatting sqref="J12 O12 R12">
    <cfRule type="expression" dxfId="10" priority="31">
      <formula>ISNUMBER(SEARCH("Toneladas",$D12))</formula>
    </cfRule>
  </conditionalFormatting>
  <conditionalFormatting sqref="T12">
    <cfRule type="expression" dxfId="3" priority="32">
      <formula>AND(ISNUMBER(T12),T12&gt;0)</formula>
    </cfRule>
    <cfRule type="expression" dxfId="4" priority="33">
      <formula>AND(ISNUMBER(T12),T12&lt;0)</formula>
    </cfRule>
  </conditionalFormatting>
  <conditionalFormatting sqref="Y12">
    <cfRule type="expression" dxfId="3" priority="34">
      <formula>OR(Y12="meta atingida",Y12="dentro do limite",Y12="dentro da faixa")</formula>
    </cfRule>
    <cfRule type="expression" dxfId="5" priority="35">
      <formula>OR(Y12="atenção",Y12="abaixo da meta")</formula>
    </cfRule>
    <cfRule type="expression" dxfId="4" priority="36">
      <formula>OR(Y12="crítico",Y12="acima do limite")</formula>
    </cfRule>
  </conditionalFormatting>
  <conditionalFormatting sqref="J13 O13 R13">
    <cfRule type="expression" dxfId="10" priority="37">
      <formula>ISNUMBER(SEARCH("Toneladas",$D13))</formula>
    </cfRule>
  </conditionalFormatting>
  <conditionalFormatting sqref="T13">
    <cfRule type="expression" dxfId="3" priority="38">
      <formula>AND(ISNUMBER(T13),T13&gt;0)</formula>
    </cfRule>
    <cfRule type="expression" dxfId="4" priority="39">
      <formula>AND(ISNUMBER(T13),T13&lt;0)</formula>
    </cfRule>
  </conditionalFormatting>
  <conditionalFormatting sqref="Y13">
    <cfRule type="expression" dxfId="3" priority="40">
      <formula>OR(Y13="meta atingida",Y13="dentro do limite",Y13="dentro da faixa")</formula>
    </cfRule>
    <cfRule type="expression" dxfId="5" priority="41">
      <formula>OR(Y13="atenção",Y13="abaixo da meta")</formula>
    </cfRule>
    <cfRule type="expression" dxfId="4" priority="42">
      <formula>OR(Y13="crítico",Y13="acima do limite")</formula>
    </cfRule>
  </conditionalFormatting>
  <conditionalFormatting sqref="J14 O14 R14">
    <cfRule type="expression" dxfId="10" priority="43">
      <formula>ISNUMBER(SEARCH("Toneladas",$D14))</formula>
    </cfRule>
  </conditionalFormatting>
  <conditionalFormatting sqref="T14">
    <cfRule type="expression" dxfId="3" priority="44">
      <formula>AND(ISNUMBER(T14),T14&gt;0)</formula>
    </cfRule>
    <cfRule type="expression" dxfId="4" priority="45">
      <formula>AND(ISNUMBER(T14),T14&lt;0)</formula>
    </cfRule>
  </conditionalFormatting>
  <conditionalFormatting sqref="Y14">
    <cfRule type="expression" dxfId="3" priority="46">
      <formula>OR(Y14="meta atingida",Y14="dentro do limite",Y14="dentro da faixa")</formula>
    </cfRule>
    <cfRule type="expression" dxfId="5" priority="47">
      <formula>OR(Y14="atenção",Y14="abaixo da meta")</formula>
    </cfRule>
    <cfRule type="expression" dxfId="4" priority="48">
      <formula>OR(Y14="crítico",Y14="acima do limite")</formula>
    </cfRule>
  </conditionalFormatting>
  <conditionalFormatting sqref="T15">
    <cfRule type="expression" dxfId="3" priority="49">
      <formula>AND(ISNUMBER(T15),T15&gt;0)</formula>
    </cfRule>
    <cfRule type="expression" dxfId="4" priority="50">
      <formula>AND(ISNUMBER(T15),T15&lt;0)</formula>
    </cfRule>
  </conditionalFormatting>
  <conditionalFormatting sqref="Y15">
    <cfRule type="expression" dxfId="3" priority="51">
      <formula>OR(Y15="meta atingida",Y15="dentro do limite",Y15="dentro da faixa")</formula>
    </cfRule>
    <cfRule type="expression" dxfId="5" priority="52">
      <formula>OR(Y15="atenção",Y15="abaixo da meta")</formula>
    </cfRule>
    <cfRule type="expression" dxfId="4" priority="53">
      <formula>OR(Y15="crítico",Y15="acima do limite")</formula>
    </cfRule>
  </conditionalFormatting>
  <conditionalFormatting sqref="T16">
    <cfRule type="expression" dxfId="3" priority="54">
      <formula>AND(ISNUMBER(T16),T16&gt;0)</formula>
    </cfRule>
    <cfRule type="expression" dxfId="4" priority="55">
      <formula>AND(ISNUMBER(T16),T16&lt;0)</formula>
    </cfRule>
  </conditionalFormatting>
  <conditionalFormatting sqref="Y16">
    <cfRule type="expression" dxfId="3" priority="56">
      <formula>OR(Y16="meta atingida",Y16="dentro do limite",Y16="dentro da faixa")</formula>
    </cfRule>
    <cfRule type="expression" dxfId="5" priority="57">
      <formula>OR(Y16="atenção",Y16="abaixo da meta")</formula>
    </cfRule>
    <cfRule type="expression" dxfId="4" priority="58">
      <formula>OR(Y16="crítico",Y16="acima do limite")</formula>
    </cfRule>
  </conditionalFormatting>
  <conditionalFormatting sqref="T17">
    <cfRule type="expression" dxfId="3" priority="59">
      <formula>AND(ISNUMBER(T17),T17&gt;0)</formula>
    </cfRule>
    <cfRule type="expression" dxfId="4" priority="60">
      <formula>AND(ISNUMBER(T17),T17&lt;0)</formula>
    </cfRule>
  </conditionalFormatting>
  <conditionalFormatting sqref="Y17">
    <cfRule type="expression" dxfId="3" priority="61">
      <formula>OR(Y17="meta atingida",Y17="dentro do limite",Y17="dentro da faixa")</formula>
    </cfRule>
    <cfRule type="expression" dxfId="5" priority="62">
      <formula>OR(Y17="atenção",Y17="abaixo da meta")</formula>
    </cfRule>
    <cfRule type="expression" dxfId="4" priority="63">
      <formula>OR(Y17="crítico",Y17="acima do limite")</formula>
    </cfRule>
  </conditionalFormatting>
  <conditionalFormatting sqref="T18">
    <cfRule type="expression" dxfId="3" priority="64">
      <formula>AND(ISNUMBER(T18),T18&gt;0)</formula>
    </cfRule>
    <cfRule type="expression" dxfId="4" priority="65">
      <formula>AND(ISNUMBER(T18),T18&lt;0)</formula>
    </cfRule>
  </conditionalFormatting>
  <conditionalFormatting sqref="Y18">
    <cfRule type="expression" dxfId="3" priority="66">
      <formula>OR(Y18="meta atingida",Y18="dentro do limite",Y18="dentro da faixa")</formula>
    </cfRule>
    <cfRule type="expression" dxfId="5" priority="67">
      <formula>OR(Y18="atenção",Y18="abaixo da meta")</formula>
    </cfRule>
    <cfRule type="expression" dxfId="4" priority="68">
      <formula>OR(Y18="crítico",Y18="acima do limite")</formula>
    </cfRule>
  </conditionalFormatting>
  <conditionalFormatting sqref="T19">
    <cfRule type="expression" dxfId="3" priority="69">
      <formula>AND(ISNUMBER(T19),T19&gt;0)</formula>
    </cfRule>
    <cfRule type="expression" dxfId="4" priority="70">
      <formula>AND(ISNUMBER(T19),T19&lt;0)</formula>
    </cfRule>
  </conditionalFormatting>
  <conditionalFormatting sqref="Y19">
    <cfRule type="expression" dxfId="3" priority="71">
      <formula>OR(Y19="meta atingida",Y19="dentro do limite",Y19="dentro da faixa")</formula>
    </cfRule>
    <cfRule type="expression" dxfId="5" priority="72">
      <formula>OR(Y19="atenção",Y19="abaixo da meta")</formula>
    </cfRule>
    <cfRule type="expression" dxfId="4" priority="73">
      <formula>OR(Y19="crítico",Y19="acima do limite")</formula>
    </cfRule>
  </conditionalFormatting>
  <conditionalFormatting sqref="T20">
    <cfRule type="expression" dxfId="3" priority="74">
      <formula>AND(ISNUMBER(T20),T20&gt;0)</formula>
    </cfRule>
    <cfRule type="expression" dxfId="4" priority="75">
      <formula>AND(ISNUMBER(T20),T20&lt;0)</formula>
    </cfRule>
  </conditionalFormatting>
  <conditionalFormatting sqref="Y20">
    <cfRule type="expression" dxfId="3" priority="76">
      <formula>OR(Y20="meta atingida",Y20="dentro do limite",Y20="dentro da faixa")</formula>
    </cfRule>
    <cfRule type="expression" dxfId="5" priority="77">
      <formula>OR(Y20="atenção",Y20="abaixo da meta")</formula>
    </cfRule>
    <cfRule type="expression" dxfId="4" priority="78">
      <formula>OR(Y20="crítico",Y20="acima do limite")</formula>
    </cfRule>
  </conditionalFormatting>
  <conditionalFormatting sqref="T21">
    <cfRule type="expression" dxfId="3" priority="79">
      <formula>AND(ISNUMBER(T21),T21&gt;0)</formula>
    </cfRule>
    <cfRule type="expression" dxfId="4" priority="80">
      <formula>AND(ISNUMBER(T21),T21&lt;0)</formula>
    </cfRule>
  </conditionalFormatting>
  <conditionalFormatting sqref="Y21">
    <cfRule type="expression" dxfId="3" priority="81">
      <formula>OR(Y21="meta atingida",Y21="dentro do limite",Y21="dentro da faixa")</formula>
    </cfRule>
    <cfRule type="expression" dxfId="5" priority="82">
      <formula>OR(Y21="atenção",Y21="abaixo da meta")</formula>
    </cfRule>
    <cfRule type="expression" dxfId="4" priority="83">
      <formula>OR(Y21="crítico",Y21="acima do limite")</formula>
    </cfRule>
  </conditionalFormatting>
  <conditionalFormatting sqref="T22">
    <cfRule type="expression" dxfId="3" priority="84">
      <formula>AND(ISNUMBER(T22),T22&gt;0)</formula>
    </cfRule>
    <cfRule type="expression" dxfId="4" priority="85">
      <formula>AND(ISNUMBER(T22),T22&lt;0)</formula>
    </cfRule>
  </conditionalFormatting>
  <conditionalFormatting sqref="Y22">
    <cfRule type="expression" dxfId="3" priority="86">
      <formula>OR(Y22="meta atingida",Y22="dentro do limite",Y22="dentro da faixa")</formula>
    </cfRule>
    <cfRule type="expression" dxfId="5" priority="87">
      <formula>OR(Y22="atenção",Y22="abaixo da meta")</formula>
    </cfRule>
    <cfRule type="expression" dxfId="4" priority="88">
      <formula>OR(Y22="crítico",Y22="acima do limite")</formula>
    </cfRule>
  </conditionalFormatting>
  <conditionalFormatting sqref="T23">
    <cfRule type="expression" dxfId="3" priority="89">
      <formula>AND(ISNUMBER(T23),T23&gt;0)</formula>
    </cfRule>
    <cfRule type="expression" dxfId="4" priority="90">
      <formula>AND(ISNUMBER(T23),T23&lt;0)</formula>
    </cfRule>
  </conditionalFormatting>
  <conditionalFormatting sqref="Y23">
    <cfRule type="expression" dxfId="3" priority="91">
      <formula>OR(Y23="meta atingida",Y23="dentro do limite",Y23="dentro da faixa")</formula>
    </cfRule>
    <cfRule type="expression" dxfId="5" priority="92">
      <formula>OR(Y23="atenção",Y23="abaixo da meta")</formula>
    </cfRule>
    <cfRule type="expression" dxfId="4" priority="93">
      <formula>OR(Y23="crítico",Y23="acima do limite")</formula>
    </cfRule>
  </conditionalFormatting>
  <conditionalFormatting sqref="T24">
    <cfRule type="expression" dxfId="3" priority="94">
      <formula>AND(ISNUMBER(T24),T24&gt;0)</formula>
    </cfRule>
    <cfRule type="expression" dxfId="4" priority="95">
      <formula>AND(ISNUMBER(T24),T24&lt;0)</formula>
    </cfRule>
  </conditionalFormatting>
  <conditionalFormatting sqref="Y24">
    <cfRule type="expression" dxfId="3" priority="96">
      <formula>OR(Y24="meta atingida",Y24="dentro do limite",Y24="dentro da faixa")</formula>
    </cfRule>
    <cfRule type="expression" dxfId="5" priority="97">
      <formula>OR(Y24="atenção",Y24="abaixo da meta")</formula>
    </cfRule>
    <cfRule type="expression" dxfId="4" priority="98">
      <formula>OR(Y24="crítico",Y24="acima do limite")</formula>
    </cfRule>
  </conditionalFormatting>
  <conditionalFormatting sqref="T25">
    <cfRule type="expression" dxfId="3" priority="99">
      <formula>AND(ISNUMBER(T25),T25&gt;0)</formula>
    </cfRule>
    <cfRule type="expression" dxfId="4" priority="100">
      <formula>AND(ISNUMBER(T25),T25&lt;0)</formula>
    </cfRule>
  </conditionalFormatting>
  <conditionalFormatting sqref="Y25">
    <cfRule type="expression" dxfId="3" priority="101">
      <formula>OR(Y25="meta atingida",Y25="dentro do limite",Y25="dentro da faixa")</formula>
    </cfRule>
    <cfRule type="expression" dxfId="5" priority="102">
      <formula>OR(Y25="atenção",Y25="abaixo da meta")</formula>
    </cfRule>
    <cfRule type="expression" dxfId="4" priority="103">
      <formula>OR(Y25="crítico",Y25="acima do limite")</formula>
    </cfRule>
  </conditionalFormatting>
  <dataValidations count="1">
    <dataValidation type="list" allowBlank="0" showInputMessage="1" showErrorMessage="1" errorTitle="Mês / ano" error="Escolha um item da lista." promptTitle="Mês / ano" prompt="Escolha o mês / ano do Quadro. Para trocar o cliente, use o filtro da aba Indicadores." sqref="V1">
      <formula1>calculos!$AN$12:$AN$35</formula1>
    </dataValidation>
  </dataValidations>
  <pageMargins left="0.25" right="0.25" top="0.4" bottom="0.4" header="0.2" footer="0.2"/>
  <pageSetup paperSize="9" orientation="landscape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AP293"/>
  <sheetViews>
    <sheetView showGridLines="0" zoomScale="100" zoomScaleNormal="100" workbookViewId="0">
      <pane xSplit="2" ySplit="11" topLeftCell="C12" activePane="bottomRight" state="frozen"/>
      <selection pane="bottomRight" activeCell="C12" sqref="C12"/>
    </sheetView>
  </sheetViews>
  <sheetFormatPr defaultRowHeight="15"/>
  <cols>
    <col min="1" max="1" width="30" customWidth="1"/>
    <col min="2" max="2" width="14" customWidth="1"/>
    <col min="3" max="31" width="12" customWidth="1"/>
    <col min="42" max="42" width="60" customWidth="1"/>
  </cols>
  <sheetData>
    <row r="1">
      <c r="A1" t="inlineStr">
        <is>
          <t xml:space="preserve">CÁLCULOS — base dos KPIs, quadro e gráficos (gerado automaticamente; células amarelas podem ser editadas)</t>
        </is>
      </c>
    </row>
    <row r="2">
      <c r="A2" t="inlineStr">
        <is>
          <t xml:space="preserve">Cliente selecionado</t>
        </is>
      </c>
      <c r="B2" t="str">
        <f>IF(OR(Indicadores!$D$3="",Indicadores!$D$3="Todos"),"Todos",Indicadores!$D$3)</f>
        <v>Todos</v>
      </c>
      <c r="C2" t="inlineStr">
        <is>
          <t xml:space="preserve">Slots →</t>
        </is>
      </c>
      <c r="D2" t="str">
        <f>T(INDEX($B$284:$B$293,MATCH($B$2,$A$284:$A$293,0)))</f>
        <v>IN Veículos Recebidos</v>
      </c>
      <c r="E2" t="str">
        <f>T(INDEX($C$284:$C$293,MATCH($B$2,$A$284:$A$293,0)))</f>
        <v>IN Pallets Movimentados</v>
      </c>
      <c r="F2" t="str">
        <f>T(INDEX($D$284:$D$293,MATCH($B$2,$A$284:$A$293,0)))</f>
        <v>IN Toneladas Movimentadas</v>
      </c>
      <c r="G2" t="str">
        <f>T(INDEX($E$284:$E$293,MATCH($B$2,$A$284:$A$293,0)))</f>
        <v>IN Linhas NF</v>
      </c>
      <c r="H2" t="str">
        <f>T(INDEX($F$284:$F$293,MATCH($B$2,$A$284:$A$293,0)))</f>
        <v>OUT Veículos Expedidos</v>
      </c>
      <c r="I2" t="str">
        <f>T(INDEX($G$284:$G$293,MATCH($B$2,$A$284:$A$293,0)))</f>
        <v>OUT Pallets Movimentados</v>
      </c>
      <c r="J2" t="str">
        <f>T(INDEX($H$284:$H$293,MATCH($B$2,$A$284:$A$293,0)))</f>
        <v>OUT Toneladas Movimentadas</v>
      </c>
      <c r="K2" t="str">
        <f>T(INDEX($I$284:$I$293,MATCH($B$2,$A$284:$A$293,0)))</f>
        <v>OUT Linhas NF</v>
      </c>
    </row>
    <row r="3">
      <c r="A3" t="inlineStr">
        <is>
          <t xml:space="preserve">Destaque IN / OUT (cartões e gráfico semanal)</t>
        </is>
      </c>
      <c r="B3" t="str">
        <f>T(INDEX($J$284:$J$293,MATCH($B$2,$A$284:$A$293,0)))</f>
        <v>IN Pallets Movimentados</v>
      </c>
      <c r="C3" t="str">
        <f>T(INDEX($K$284:$K$293,MATCH($B$2,$A$284:$A$293,0)))</f>
        <v>OUT Pallets Movimentados</v>
      </c>
    </row>
    <row r="4">
      <c r="A4" t="inlineStr">
        <is>
          <t xml:space="preserve">Capacidade do CD (posições)</t>
        </is>
      </c>
      <c r="B4" s="160"/>
      <c r="C4" t="inlineStr">
        <is>
          <t xml:space="preserve">vazio = soma das posições disponíveis dos clientes</t>
        </is>
      </c>
    </row>
    <row r="5">
      <c r="A5" t="inlineStr">
        <is>
          <t xml:space="preserve">Faixa de atenção (ocupação)</t>
        </is>
      </c>
      <c r="B5" s="160">
        <v>0.7</v>
      </c>
    </row>
    <row r="6">
      <c r="A6" t="inlineStr">
        <is>
          <t xml:space="preserve">Faixa crítica (ocupação)</t>
        </is>
      </c>
      <c r="B6" s="160">
        <v>0.9</v>
      </c>
    </row>
    <row r="7">
      <c r="A7" t="inlineStr">
        <is>
          <t xml:space="preserve">Competência</t>
        </is>
      </c>
      <c r="B7" t="str">
        <f>INDEX({"Janeiro","Fevereiro","Março","Abril","Maio","Junho","Julho","Agosto","Setembro","Outubro","Novembro","Dezembro"},MONTH($C$7))&amp;"/"&amp;YEAR($C$7)</f>
        <v>Setembro/2026</v>
      </c>
      <c r="C7" s="152">
        <f>IF(ISNUMBER(Indicadores!$U$1),DATE(YEAR(Indicadores!$U$1),MONTH(Indicadores!$U$1),1),IFERROR(DATE(VALUE(RIGHT(TRIM(Indicadores!$U$1),4)),MATCH(TRIM(LEFT(Indicadores!$U$1,FIND("·",Indicadores!$U$1)-1)),{"JANEIRO","FEVEREIRO","MARÇO","ABRIL","MAIO","JUNHO","JULHO","AGOSTO","SETEMBRO","OUTUBRO","NOVEMBRO","DEZEMBRO"},0),1),DATE(2026,9,1)))</f>
        <v>46266</v>
      </c>
      <c r="D7" s="152">
        <f>DATE(YEAR($C$7),MONTH($C$7)+1,0)</f>
        <v>46295</v>
      </c>
    </row>
    <row r="8">
      <c r="A8" t="inlineStr">
        <is>
          <t xml:space="preserve">Mês anterior (comparação)</t>
        </is>
      </c>
      <c r="B8" t="str">
        <f>INDEX({"Janeiro","Fevereiro","Março","Abril","Maio","Junho","Julho","Agosto","Setembro","Outubro","Novembro","Dezembro"},MONTH($C$8))&amp;"/"&amp;YEAR($C$8)</f>
        <v>Agosto/2026</v>
      </c>
      <c r="C8" s="152">
        <f>DATE(YEAR($C$7),MONTH($C$7)-1,1)</f>
        <v>46235</v>
      </c>
      <c r="D8" s="152">
        <f>IF($B$9=0,$C$8-1,MIN($C$8+MAX(MIN($B$9,31),1)-1,DATE(YEAR($C$8),MONTH($C$8)+1,0)))</f>
        <v>46263</v>
      </c>
    </row>
    <row r="9">
      <c r="A9" t="inlineStr">
        <is>
          <t xml:space="preserve">Comparar até o dia</t>
        </is>
      </c>
      <c r="B9">
        <f>IFERROR(IF(_xlfn.MAXIFS(Base!$A$3:$A$5001,Base!$A$3:$A$5001,"&gt;="&amp;$C$7,Base!$A$3:$A$5001,"&lt;="&amp;$D$7)=0,0,DAY(_xlfn.MAXIFS(Base!$A$3:$A$5001,Base!$A$3:$A$5001,"&gt;="&amp;$C$7,Base!$A$3:$A$5001,"&lt;="&amp;$D$7))),0)</f>
        <v>29</v>
      </c>
      <c r="C9" t="inlineStr">
        <is>
          <t xml:space="preserve">o mês anterior é somado do dia 1 até este dia (último dia com dado no mês escolhido)</t>
        </is>
      </c>
    </row>
    <row r="11">
      <c r="A11" s="145" t="inlineStr">
        <is>
          <t xml:space="preserve">Dia</t>
        </is>
      </c>
      <c r="B11" s="145" t="inlineStr">
        <is>
          <t xml:space="preserve">Data</t>
        </is>
      </c>
      <c r="C11" s="145" t="inlineStr">
        <is>
          <t xml:space="preserve">IN Veículos Recebidos</t>
        </is>
      </c>
      <c r="D11" s="145" t="inlineStr">
        <is>
          <t xml:space="preserve">IN Pallets Movimentados</t>
        </is>
      </c>
      <c r="E11" s="145" t="inlineStr">
        <is>
          <t xml:space="preserve">IN Toneladas Movimentadas</t>
        </is>
      </c>
      <c r="F11" s="145" t="inlineStr">
        <is>
          <t xml:space="preserve">IN Caixas Movimentadas</t>
        </is>
      </c>
      <c r="G11" s="145" t="inlineStr">
        <is>
          <t xml:space="preserve">IN Itens Recebidos CX Mista</t>
        </is>
      </c>
      <c r="H11" s="145" t="inlineStr">
        <is>
          <t xml:space="preserve">IN Caixas Mistas Recebidas</t>
        </is>
      </c>
      <c r="I11" s="145" t="inlineStr">
        <is>
          <t xml:space="preserve">IN Caixas Fechadas</t>
        </is>
      </c>
      <c r="J11" s="145" t="inlineStr">
        <is>
          <t xml:space="preserve">IN Peças Movimentadas</t>
        </is>
      </c>
      <c r="K11" s="145" t="inlineStr">
        <is>
          <t xml:space="preserve">IN Linhas NF</t>
        </is>
      </c>
      <c r="L11" s="145" t="inlineStr">
        <is>
          <t xml:space="preserve">OUT Veículos Expedidos</t>
        </is>
      </c>
      <c r="M11" s="145" t="inlineStr">
        <is>
          <t xml:space="preserve">OUT Pallets Movimentados</t>
        </is>
      </c>
      <c r="N11" s="145" t="inlineStr">
        <is>
          <t xml:space="preserve">OUT Toneladas Movimentadas</t>
        </is>
      </c>
      <c r="O11" s="145" t="inlineStr">
        <is>
          <t xml:space="preserve">OUT Caixas Expedidas</t>
        </is>
      </c>
      <c r="P11" s="145" t="inlineStr">
        <is>
          <t xml:space="preserve">OUT Pedidos Expedidos</t>
        </is>
      </c>
      <c r="Q11" s="145" t="inlineStr">
        <is>
          <t xml:space="preserve">OUT Pedidos Faturados</t>
        </is>
      </c>
      <c r="R11" s="145" t="inlineStr">
        <is>
          <t xml:space="preserve">OUT Itens Expedidos</t>
        </is>
      </c>
      <c r="S11" s="145" t="inlineStr">
        <is>
          <t xml:space="preserve">OUT Peças Movimentadas</t>
        </is>
      </c>
      <c r="T11" s="145" t="inlineStr">
        <is>
          <t xml:space="preserve">OUT Linhas NF</t>
        </is>
      </c>
      <c r="U11" s="145" t="inlineStr">
        <is>
          <t xml:space="preserve">NC Incidentes</t>
        </is>
      </c>
      <c r="V11" s="145" t="inlineStr">
        <is>
          <t xml:space="preserve">NC No show</t>
        </is>
      </c>
      <c r="W11" s="145" t="inlineStr">
        <is>
          <t xml:space="preserve">NC Backlog</t>
        </is>
      </c>
      <c r="X11" s="145" t="inlineStr">
        <is>
          <t xml:space="preserve">Posições Disponíveis</t>
        </is>
      </c>
      <c r="Y11" s="145" t="inlineStr">
        <is>
          <t xml:space="preserve">Posições Ocupadas</t>
        </is>
      </c>
      <c r="Z11" s="145" t="inlineStr">
        <is>
          <t xml:space="preserve">Taxa de Ocupação</t>
        </is>
      </c>
      <c r="AA11" s="145" t="inlineStr">
        <is>
          <t xml:space="preserve">Efetivo</t>
        </is>
      </c>
      <c r="AB11" s="145" t="inlineStr">
        <is>
          <t xml:space="preserve">Falta</t>
        </is>
      </c>
      <c r="AC11" s="145" t="inlineStr">
        <is>
          <t xml:space="preserve">Folga</t>
        </is>
      </c>
      <c r="AD11" s="145" t="inlineStr">
        <is>
          <t xml:space="preserve">Férias</t>
        </is>
      </c>
      <c r="AE11" s="145" t="inlineStr">
        <is>
          <t xml:space="preserve">Desligamentos</t>
        </is>
      </c>
      <c r="AG11" s="145" t="inlineStr">
        <is>
          <t xml:space="preserve">Destaque IN</t>
        </is>
      </c>
      <c r="AH11" s="145" t="inlineStr">
        <is>
          <t xml:space="preserve">Destaque OUT</t>
        </is>
      </c>
      <c r="AI11" s="145" t="inlineStr">
        <is>
          <t xml:space="preserve">Faixa atenção</t>
        </is>
      </c>
      <c r="AJ11" s="145" t="inlineStr">
        <is>
          <t xml:space="preserve">Faixa crítica</t>
        </is>
      </c>
      <c r="AL11" s="145" t="inlineStr">
        <is>
          <t xml:space="preserve">Clientes (filtro)</t>
        </is>
      </c>
      <c r="AN11" s="145" t="inlineStr">
        <is>
          <t xml:space="preserve">Meses (filtros das abas)</t>
        </is>
      </c>
      <c r="AP11" s="145" t="inlineStr">
        <is>
          <t xml:space="preserve">Títulos dos gráficos</t>
        </is>
      </c>
    </row>
    <row r="12">
      <c r="A12">
        <v>1</v>
      </c>
      <c r="B12" s="152">
        <f>IF(ISNUMBER($A12),$C$7+$A12-1,"")</f>
        <v>46266</v>
      </c>
      <c r="C12">
        <f>IF($B$2="Todos",SUMIFS(Base!$C$3:$C$5001,Base!$A$3:$A$5001,$B12),SUMIFS(Base!$C$3:$C$5001,Base!$A$3:$A$5001,$B12,Base!$B$3:$B$5001,$B$2))</f>
        <v>40</v>
      </c>
      <c r="D12">
        <f>IF($B$2="Todos",SUMIFS(Base!$D$3:$D$5001,Base!$A$3:$A$5001,$B12),SUMIFS(Base!$D$3:$D$5001,Base!$A$3:$A$5001,$B12,Base!$B$3:$B$5001,$B$2))</f>
        <v>474</v>
      </c>
      <c r="E12">
        <f>IF($B$2="Todos",SUMIFS(Base!$E$3:$E$5001,Base!$A$3:$A$5001,$B12),SUMIFS(Base!$E$3:$E$5001,Base!$A$3:$A$5001,$B12,Base!$B$3:$B$5001,$B$2))</f>
        <v>172.25</v>
      </c>
      <c r="F12">
        <f>IF($B$2="Todos",SUMIFS(Base!$F$3:$F$5001,Base!$A$3:$A$5001,$B12),SUMIFS(Base!$F$3:$F$5001,Base!$A$3:$A$5001,$B12,Base!$B$3:$B$5001,$B$2))</f>
        <v>3961</v>
      </c>
      <c r="G12">
        <f>IF($B$2="Todos",SUMIFS(Base!$G$3:$G$5001,Base!$A$3:$A$5001,$B12),SUMIFS(Base!$G$3:$G$5001,Base!$A$3:$A$5001,$B12,Base!$B$3:$B$5001,$B$2))</f>
        <v>2565</v>
      </c>
      <c r="H12">
        <f>IF($B$2="Todos",SUMIFS(Base!$H$3:$H$5001,Base!$A$3:$A$5001,$B12),SUMIFS(Base!$H$3:$H$5001,Base!$A$3:$A$5001,$B12,Base!$B$3:$B$5001,$B$2))</f>
        <v>262</v>
      </c>
      <c r="I12">
        <f>IF($B$2="Todos",SUMIFS(Base!$I$3:$I$5001,Base!$A$3:$A$5001,$B12),SUMIFS(Base!$I$3:$I$5001,Base!$A$3:$A$5001,$B12,Base!$B$3:$B$5001,$B$2))</f>
        <v>769</v>
      </c>
      <c r="J12">
        <f>IF($B$2="Todos",SUMIFS(Base!$J$3:$J$5001,Base!$A$3:$A$5001,$B12),SUMIFS(Base!$J$3:$J$5001,Base!$A$3:$A$5001,$B12,Base!$B$3:$B$5001,$B$2))</f>
        <v>243</v>
      </c>
      <c r="K12">
        <f>IF($B$2="Todos",SUMIFS(Base!$K$3:$K$5001,Base!$A$3:$A$5001,$B12),SUMIFS(Base!$K$3:$K$5001,Base!$A$3:$A$5001,$B12,Base!$B$3:$B$5001,$B$2))</f>
        <v>171</v>
      </c>
      <c r="L12">
        <f>IF($B$2="Todos",SUMIFS(Base!$L$3:$L$5001,Base!$A$3:$A$5001,$B12),SUMIFS(Base!$L$3:$L$5001,Base!$A$3:$A$5001,$B12,Base!$B$3:$B$5001,$B$2))</f>
        <v>82</v>
      </c>
      <c r="M12">
        <f>IF($B$2="Todos",SUMIFS(Base!$M$3:$M$5001,Base!$A$3:$A$5001,$B12),SUMIFS(Base!$M$3:$M$5001,Base!$A$3:$A$5001,$B12,Base!$B$3:$B$5001,$B$2))</f>
        <v>744</v>
      </c>
      <c r="N12">
        <f>IF($B$2="Todos",SUMIFS(Base!$N$3:$N$5001,Base!$A$3:$A$5001,$B12),SUMIFS(Base!$N$3:$N$5001,Base!$A$3:$A$5001,$B12,Base!$B$3:$B$5001,$B$2))</f>
        <v>244.34</v>
      </c>
      <c r="O12">
        <f>IF($B$2="Todos",SUMIFS(Base!$O$3:$O$5001,Base!$A$3:$A$5001,$B12),SUMIFS(Base!$O$3:$O$5001,Base!$A$3:$A$5001,$B12,Base!$B$3:$B$5001,$B$2))</f>
        <v>632</v>
      </c>
      <c r="P12">
        <f>IF($B$2="Todos",SUMIFS(Base!$P$3:$P$5001,Base!$A$3:$A$5001,$B12),SUMIFS(Base!$P$3:$P$5001,Base!$A$3:$A$5001,$B12,Base!$B$3:$B$5001,$B$2))</f>
        <v>111</v>
      </c>
      <c r="Q12">
        <f>IF($B$2="Todos",SUMIFS(Base!$Q$3:$Q$5001,Base!$A$3:$A$5001,$B12),SUMIFS(Base!$Q$3:$Q$5001,Base!$A$3:$A$5001,$B12,Base!$B$3:$B$5001,$B$2))</f>
        <v>154</v>
      </c>
      <c r="R12">
        <f>IF($B$2="Todos",SUMIFS(Base!$R$3:$R$5001,Base!$A$3:$A$5001,$B12),SUMIFS(Base!$R$3:$R$5001,Base!$A$3:$A$5001,$B12,Base!$B$3:$B$5001,$B$2))</f>
        <v>5167</v>
      </c>
      <c r="S12">
        <f>IF($B$2="Todos",SUMIFS(Base!$S$3:$S$5001,Base!$A$3:$A$5001,$B12),SUMIFS(Base!$S$3:$S$5001,Base!$A$3:$A$5001,$B12,Base!$B$3:$B$5001,$B$2))</f>
        <v>219</v>
      </c>
      <c r="T12">
        <f>IF($B$2="Todos",SUMIFS(Base!$T$3:$T$5001,Base!$A$3:$A$5001,$B12),SUMIFS(Base!$T$3:$T$5001,Base!$A$3:$A$5001,$B12,Base!$B$3:$B$5001,$B$2))</f>
        <v>136</v>
      </c>
      <c r="U12">
        <f>IF($B$2="Todos",SUMIFS(Base!$U$3:$U$5001,Base!$A$3:$A$5001,$B12),SUMIFS(Base!$U$3:$U$5001,Base!$A$3:$A$5001,$B12,Base!$B$3:$B$5001,$B$2))</f>
        <v>0</v>
      </c>
      <c r="V12">
        <f>IF($B$2="Todos",SUMIFS(Base!$V$3:$V$5001,Base!$A$3:$A$5001,$B12),SUMIFS(Base!$V$3:$V$5001,Base!$A$3:$A$5001,$B12,Base!$B$3:$B$5001,$B$2))</f>
        <v>0</v>
      </c>
      <c r="W12">
        <f>IF($B$2="Todos",IF(COUNT($C$128:$K$128)=0,"",SUM($C$128:$K$128)),IFERROR(INDEX($C$128:$K$128,MATCH($B$2,$C$127:$K$127,0)),""))</f>
        <v>21</v>
      </c>
      <c r="X12">
        <f>IF(Y12="","",IF($B$2="Todos",IF(ISNUMBER($B$4),$B$4,IF(COUNT($C$163:$K$163)=0,"",SUM($C$163:$K$163))),IFERROR(INDEX($C$163:$K$163,MATCH($B$2,$C$162:$K$162,0)),"")))</f>
        <v>13700</v>
      </c>
      <c r="Y12">
        <f>IF($B$2="Todos",IF(COUNT($C$198:$K$198)=0,"",SUM($C$198:$K$198)),IFERROR(INDEX($C$198:$K$198,MATCH($B$2,$C$197:$K$197,0)),""))</f>
        <v>10304</v>
      </c>
      <c r="Z12">
        <f>IF(AND(ISNUMBER(Y12),ISNUMBER(X12)),IF(X12&gt;0,Y12/X12,""),"")</f>
        <v>0.752116788321168</v>
      </c>
      <c r="AA12">
        <f>IF($B$2="Todos",IF(COUNT($C$233:$K$233)=0,"",SUM($C$233:$K$233)),IFERROR(INDEX($C$233:$K$233,MATCH($B$2,$C$232:$K$232,0)),""))</f>
        <v>83</v>
      </c>
      <c r="AB12">
        <f>IF($B$2="Todos",SUMIFS(Base!$AA$3:$AA$5001,Base!$A$3:$A$5001,$B12),SUMIFS(Base!$AA$3:$AA$5001,Base!$A$3:$A$5001,$B12,Base!$B$3:$B$5001,$B$2))</f>
        <v>1</v>
      </c>
      <c r="AC12">
        <f>IF($B$2="Todos",SUMIFS(Base!$AB$3:$AB$5001,Base!$A$3:$A$5001,$B12),SUMIFS(Base!$AB$3:$AB$5001,Base!$A$3:$A$5001,$B12,Base!$B$3:$B$5001,$B$2))</f>
        <v>2</v>
      </c>
      <c r="AD12">
        <f>IF($B$2="Todos",SUMIFS(Base!$AC$3:$AC$5001,Base!$A$3:$A$5001,$B12),SUMIFS(Base!$AC$3:$AC$5001,Base!$A$3:$A$5001,$B12,Base!$B$3:$B$5001,$B$2))</f>
        <v>1</v>
      </c>
      <c r="AE12">
        <f>IF($B$2="Todos",SUMIFS(Base!$AD$3:$AD$5001,Base!$A$3:$A$5001,$B12),SUMIFS(Base!$AD$3:$AD$5001,Base!$A$3:$A$5001,$B12,Base!$B$3:$B$5001,$B$2))</f>
        <v>0</v>
      </c>
      <c r="AG12">
        <f>IFERROR(N(INDEX($C12:$AE12,MATCH($B$3,$C$11:$AE$11,0))),0)</f>
        <v>474</v>
      </c>
      <c r="AH12">
        <f>IFERROR(N(INDEX($C12:$AE12,MATCH($C$3,$C$11:$AE$11,0))),0)</f>
        <v>744</v>
      </c>
      <c r="AI12">
        <f>$B$5</f>
        <v>0.7</v>
      </c>
      <c r="AJ12">
        <f>$B$6</f>
        <v>0.9</v>
      </c>
      <c r="AL12" t="inlineStr">
        <is>
          <t xml:space="preserve">Todos</t>
        </is>
      </c>
      <c r="AN12" t="inlineStr">
        <is>
          <t xml:space="preserve">JANEIRO · 2026</t>
        </is>
      </c>
      <c r="AP12" t="str">
        <f>"Veículos por dia · recebidos x expedidos — "&amp;IF($B$2="Todos","todos os clientes",$B$2)</f>
        <v>Veículos por dia · recebidos x expedidos — todos os clientes</v>
      </c>
    </row>
    <row r="13">
      <c r="A13">
        <v>2</v>
      </c>
      <c r="B13" s="152">
        <f>IF(ISNUMBER($A13),$C$7+$A13-1,"")</f>
        <v>46267</v>
      </c>
      <c r="C13">
        <f>IF($B$2="Todos",SUMIFS(Base!$C$3:$C$5001,Base!$A$3:$A$5001,$B13),SUMIFS(Base!$C$3:$C$5001,Base!$A$3:$A$5001,$B13,Base!$B$3:$B$5001,$B$2))</f>
        <v>52</v>
      </c>
      <c r="D13">
        <f>IF($B$2="Todos",SUMIFS(Base!$D$3:$D$5001,Base!$A$3:$A$5001,$B13),SUMIFS(Base!$D$3:$D$5001,Base!$A$3:$A$5001,$B13,Base!$B$3:$B$5001,$B$2))</f>
        <v>468</v>
      </c>
      <c r="E13">
        <f>IF($B$2="Todos",SUMIFS(Base!$E$3:$E$5001,Base!$A$3:$A$5001,$B13),SUMIFS(Base!$E$3:$E$5001,Base!$A$3:$A$5001,$B13,Base!$B$3:$B$5001,$B$2))</f>
        <v>222.11</v>
      </c>
      <c r="F13">
        <f>IF($B$2="Todos",SUMIFS(Base!$F$3:$F$5001,Base!$A$3:$A$5001,$B13),SUMIFS(Base!$F$3:$F$5001,Base!$A$3:$A$5001,$B13,Base!$B$3:$B$5001,$B$2))</f>
        <v>3012</v>
      </c>
      <c r="G13">
        <f>IF($B$2="Todos",SUMIFS(Base!$G$3:$G$5001,Base!$A$3:$A$5001,$B13),SUMIFS(Base!$G$3:$G$5001,Base!$A$3:$A$5001,$B13,Base!$B$3:$B$5001,$B$2))</f>
        <v>3268</v>
      </c>
      <c r="H13">
        <f>IF($B$2="Todos",SUMIFS(Base!$H$3:$H$5001,Base!$A$3:$A$5001,$B13),SUMIFS(Base!$H$3:$H$5001,Base!$A$3:$A$5001,$B13,Base!$B$3:$B$5001,$B$2))</f>
        <v>271</v>
      </c>
      <c r="I13">
        <f>IF($B$2="Todos",SUMIFS(Base!$I$3:$I$5001,Base!$A$3:$A$5001,$B13),SUMIFS(Base!$I$3:$I$5001,Base!$A$3:$A$5001,$B13,Base!$B$3:$B$5001,$B$2))</f>
        <v>842</v>
      </c>
      <c r="J13">
        <f>IF($B$2="Todos",SUMIFS(Base!$J$3:$J$5001,Base!$A$3:$A$5001,$B13),SUMIFS(Base!$J$3:$J$5001,Base!$A$3:$A$5001,$B13,Base!$B$3:$B$5001,$B$2))</f>
        <v>381</v>
      </c>
      <c r="K13">
        <f>IF($B$2="Todos",SUMIFS(Base!$K$3:$K$5001,Base!$A$3:$A$5001,$B13),SUMIFS(Base!$K$3:$K$5001,Base!$A$3:$A$5001,$B13,Base!$B$3:$B$5001,$B$2))</f>
        <v>103</v>
      </c>
      <c r="L13">
        <f>IF($B$2="Todos",SUMIFS(Base!$L$3:$L$5001,Base!$A$3:$A$5001,$B13),SUMIFS(Base!$L$3:$L$5001,Base!$A$3:$A$5001,$B13,Base!$B$3:$B$5001,$B$2))</f>
        <v>70</v>
      </c>
      <c r="M13">
        <f>IF($B$2="Todos",SUMIFS(Base!$M$3:$M$5001,Base!$A$3:$A$5001,$B13),SUMIFS(Base!$M$3:$M$5001,Base!$A$3:$A$5001,$B13,Base!$B$3:$B$5001,$B$2))</f>
        <v>746</v>
      </c>
      <c r="N13">
        <f>IF($B$2="Todos",SUMIFS(Base!$N$3:$N$5001,Base!$A$3:$A$5001,$B13),SUMIFS(Base!$N$3:$N$5001,Base!$A$3:$A$5001,$B13,Base!$B$3:$B$5001,$B$2))</f>
        <v>148.98</v>
      </c>
      <c r="O13">
        <f>IF($B$2="Todos",SUMIFS(Base!$O$3:$O$5001,Base!$A$3:$A$5001,$B13),SUMIFS(Base!$O$3:$O$5001,Base!$A$3:$A$5001,$B13,Base!$B$3:$B$5001,$B$2))</f>
        <v>2074</v>
      </c>
      <c r="P13">
        <f>IF($B$2="Todos",SUMIFS(Base!$P$3:$P$5001,Base!$A$3:$A$5001,$B13),SUMIFS(Base!$P$3:$P$5001,Base!$A$3:$A$5001,$B13,Base!$B$3:$B$5001,$B$2))</f>
        <v>270</v>
      </c>
      <c r="Q13">
        <f>IF($B$2="Todos",SUMIFS(Base!$Q$3:$Q$5001,Base!$A$3:$A$5001,$B13),SUMIFS(Base!$Q$3:$Q$5001,Base!$A$3:$A$5001,$B13,Base!$B$3:$B$5001,$B$2))</f>
        <v>865</v>
      </c>
      <c r="R13">
        <f>IF($B$2="Todos",SUMIFS(Base!$R$3:$R$5001,Base!$A$3:$A$5001,$B13),SUMIFS(Base!$R$3:$R$5001,Base!$A$3:$A$5001,$B13,Base!$B$3:$B$5001,$B$2))</f>
        <v>4213</v>
      </c>
      <c r="S13">
        <f>IF($B$2="Todos",SUMIFS(Base!$S$3:$S$5001,Base!$A$3:$A$5001,$B13),SUMIFS(Base!$S$3:$S$5001,Base!$A$3:$A$5001,$B13,Base!$B$3:$B$5001,$B$2))</f>
        <v>531</v>
      </c>
      <c r="T13">
        <f>IF($B$2="Todos",SUMIFS(Base!$T$3:$T$5001,Base!$A$3:$A$5001,$B13),SUMIFS(Base!$T$3:$T$5001,Base!$A$3:$A$5001,$B13,Base!$B$3:$B$5001,$B$2))</f>
        <v>116</v>
      </c>
      <c r="U13">
        <f>IF($B$2="Todos",SUMIFS(Base!$U$3:$U$5001,Base!$A$3:$A$5001,$B13),SUMIFS(Base!$U$3:$U$5001,Base!$A$3:$A$5001,$B13,Base!$B$3:$B$5001,$B$2))</f>
        <v>0</v>
      </c>
      <c r="V13">
        <f>IF($B$2="Todos",SUMIFS(Base!$V$3:$V$5001,Base!$A$3:$A$5001,$B13),SUMIFS(Base!$V$3:$V$5001,Base!$A$3:$A$5001,$B13,Base!$B$3:$B$5001,$B$2))</f>
        <v>1</v>
      </c>
      <c r="W13">
        <f>IF($B$2="Todos",IF(COUNT($C$129:$K$129)=0,"",SUM($C$129:$K$129)),IFERROR(INDEX($C$129:$K$129,MATCH($B$2,$C$127:$K$127,0)),""))</f>
        <v>43</v>
      </c>
      <c r="X13">
        <f>IF(Y13="","",IF($B$2="Todos",IF(ISNUMBER($B$4),$B$4,IF(COUNT($C$164:$K$164)=0,"",SUM($C$164:$K$164))),IFERROR(INDEX($C$164:$K$164,MATCH($B$2,$C$162:$K$162,0)),"")))</f>
        <v>13700</v>
      </c>
      <c r="Y13">
        <f>IF($B$2="Todos",IF(COUNT($C$199:$K$199)=0,"",SUM($C$199:$K$199)),IFERROR(INDEX($C$199:$K$199,MATCH($B$2,$C$197:$K$197,0)),""))</f>
        <v>10928</v>
      </c>
      <c r="Z13">
        <f>IF(AND(ISNUMBER(Y13),ISNUMBER(X13)),IF(X13&gt;0,Y13/X13,""),"")</f>
        <v>0.797664233576642</v>
      </c>
      <c r="AA13">
        <f>IF($B$2="Todos",IF(COUNT($C$234:$K$234)=0,"",SUM($C$234:$K$234)),IFERROR(INDEX($C$234:$K$234,MATCH($B$2,$C$232:$K$232,0)),""))</f>
        <v>88</v>
      </c>
      <c r="AB13">
        <f>IF($B$2="Todos",SUMIFS(Base!$AA$3:$AA$5001,Base!$A$3:$A$5001,$B13),SUMIFS(Base!$AA$3:$AA$5001,Base!$A$3:$A$5001,$B13,Base!$B$3:$B$5001,$B$2))</f>
        <v>2</v>
      </c>
      <c r="AC13">
        <f>IF($B$2="Todos",SUMIFS(Base!$AB$3:$AB$5001,Base!$A$3:$A$5001,$B13),SUMIFS(Base!$AB$3:$AB$5001,Base!$A$3:$A$5001,$B13,Base!$B$3:$B$5001,$B$2))</f>
        <v>0</v>
      </c>
      <c r="AD13">
        <f>IF($B$2="Todos",SUMIFS(Base!$AC$3:$AC$5001,Base!$A$3:$A$5001,$B13),SUMIFS(Base!$AC$3:$AC$5001,Base!$A$3:$A$5001,$B13,Base!$B$3:$B$5001,$B$2))</f>
        <v>1</v>
      </c>
      <c r="AE13">
        <f>IF($B$2="Todos",SUMIFS(Base!$AD$3:$AD$5001,Base!$A$3:$A$5001,$B13),SUMIFS(Base!$AD$3:$AD$5001,Base!$A$3:$A$5001,$B13,Base!$B$3:$B$5001,$B$2))</f>
        <v>0</v>
      </c>
      <c r="AG13">
        <f>IFERROR(N(INDEX($C13:$AE13,MATCH($B$3,$C$11:$AE$11,0))),0)</f>
        <v>468</v>
      </c>
      <c r="AH13">
        <f>IFERROR(N(INDEX($C13:$AE13,MATCH($C$3,$C$11:$AE$11,0))),0)</f>
        <v>746</v>
      </c>
      <c r="AI13">
        <f>$B$5</f>
        <v>0.7</v>
      </c>
      <c r="AJ13">
        <f>$B$6</f>
        <v>0.9</v>
      </c>
      <c r="AL13" t="inlineStr">
        <is>
          <t xml:space="preserve">BASF</t>
        </is>
      </c>
      <c r="AN13" t="inlineStr">
        <is>
          <t xml:space="preserve">FEVEREIRO · 2026</t>
        </is>
      </c>
      <c r="AP13" t="str">
        <f>"Taxa de ocupação por dia — "&amp;IF($B$2="Todos","todos os clientes",$B$2)</f>
        <v>Taxa de ocupação por dia — todos os clientes</v>
      </c>
    </row>
    <row r="14">
      <c r="A14">
        <v>3</v>
      </c>
      <c r="B14" s="152">
        <f>IF(ISNUMBER($A14),$C$7+$A14-1,"")</f>
        <v>46268</v>
      </c>
      <c r="C14">
        <f>IF($B$2="Todos",SUMIFS(Base!$C$3:$C$5001,Base!$A$3:$A$5001,$B14),SUMIFS(Base!$C$3:$C$5001,Base!$A$3:$A$5001,$B14,Base!$B$3:$B$5001,$B$2))</f>
        <v>38</v>
      </c>
      <c r="D14">
        <f>IF($B$2="Todos",SUMIFS(Base!$D$3:$D$5001,Base!$A$3:$A$5001,$B14),SUMIFS(Base!$D$3:$D$5001,Base!$A$3:$A$5001,$B14,Base!$B$3:$B$5001,$B$2))</f>
        <v>647</v>
      </c>
      <c r="E14">
        <f>IF($B$2="Todos",SUMIFS(Base!$E$3:$E$5001,Base!$A$3:$A$5001,$B14),SUMIFS(Base!$E$3:$E$5001,Base!$A$3:$A$5001,$B14,Base!$B$3:$B$5001,$B$2))</f>
        <v>95.85</v>
      </c>
      <c r="F14">
        <f>IF($B$2="Todos",SUMIFS(Base!$F$3:$F$5001,Base!$A$3:$A$5001,$B14),SUMIFS(Base!$F$3:$F$5001,Base!$A$3:$A$5001,$B14,Base!$B$3:$B$5001,$B$2))</f>
        <v>2004</v>
      </c>
      <c r="G14">
        <f>IF($B$2="Todos",SUMIFS(Base!$G$3:$G$5001,Base!$A$3:$A$5001,$B14),SUMIFS(Base!$G$3:$G$5001,Base!$A$3:$A$5001,$B14,Base!$B$3:$B$5001,$B$2))</f>
        <v>4567</v>
      </c>
      <c r="H14">
        <f>IF($B$2="Todos",SUMIFS(Base!$H$3:$H$5001,Base!$A$3:$A$5001,$B14),SUMIFS(Base!$H$3:$H$5001,Base!$A$3:$A$5001,$B14,Base!$B$3:$B$5001,$B$2))</f>
        <v>258</v>
      </c>
      <c r="I14">
        <f>IF($B$2="Todos",SUMIFS(Base!$I$3:$I$5001,Base!$A$3:$A$5001,$B14),SUMIFS(Base!$I$3:$I$5001,Base!$A$3:$A$5001,$B14,Base!$B$3:$B$5001,$B$2))</f>
        <v>420</v>
      </c>
      <c r="J14">
        <f>IF($B$2="Todos",SUMIFS(Base!$J$3:$J$5001,Base!$A$3:$A$5001,$B14),SUMIFS(Base!$J$3:$J$5001,Base!$A$3:$A$5001,$B14,Base!$B$3:$B$5001,$B$2))</f>
        <v>510</v>
      </c>
      <c r="K14">
        <f>IF($B$2="Todos",SUMIFS(Base!$K$3:$K$5001,Base!$A$3:$A$5001,$B14),SUMIFS(Base!$K$3:$K$5001,Base!$A$3:$A$5001,$B14,Base!$B$3:$B$5001,$B$2))</f>
        <v>121</v>
      </c>
      <c r="L14">
        <f>IF($B$2="Todos",SUMIFS(Base!$L$3:$L$5001,Base!$A$3:$A$5001,$B14),SUMIFS(Base!$L$3:$L$5001,Base!$A$3:$A$5001,$B14,Base!$B$3:$B$5001,$B$2))</f>
        <v>68</v>
      </c>
      <c r="M14">
        <f>IF($B$2="Todos",SUMIFS(Base!$M$3:$M$5001,Base!$A$3:$A$5001,$B14),SUMIFS(Base!$M$3:$M$5001,Base!$A$3:$A$5001,$B14,Base!$B$3:$B$5001,$B$2))</f>
        <v>560</v>
      </c>
      <c r="N14">
        <f>IF($B$2="Todos",SUMIFS(Base!$N$3:$N$5001,Base!$A$3:$A$5001,$B14),SUMIFS(Base!$N$3:$N$5001,Base!$A$3:$A$5001,$B14,Base!$B$3:$B$5001,$B$2))</f>
        <v>80.79</v>
      </c>
      <c r="O14">
        <f>IF($B$2="Todos",SUMIFS(Base!$O$3:$O$5001,Base!$A$3:$A$5001,$B14),SUMIFS(Base!$O$3:$O$5001,Base!$A$3:$A$5001,$B14,Base!$B$3:$B$5001,$B$2))</f>
        <v>2107</v>
      </c>
      <c r="P14">
        <f>IF($B$2="Todos",SUMIFS(Base!$P$3:$P$5001,Base!$A$3:$A$5001,$B14),SUMIFS(Base!$P$3:$P$5001,Base!$A$3:$A$5001,$B14,Base!$B$3:$B$5001,$B$2))</f>
        <v>432</v>
      </c>
      <c r="Q14">
        <f>IF($B$2="Todos",SUMIFS(Base!$Q$3:$Q$5001,Base!$A$3:$A$5001,$B14),SUMIFS(Base!$Q$3:$Q$5001,Base!$A$3:$A$5001,$B14,Base!$B$3:$B$5001,$B$2))</f>
        <v>768</v>
      </c>
      <c r="R14">
        <f>IF($B$2="Todos",SUMIFS(Base!$R$3:$R$5001,Base!$A$3:$A$5001,$B14),SUMIFS(Base!$R$3:$R$5001,Base!$A$3:$A$5001,$B14,Base!$B$3:$B$5001,$B$2))</f>
        <v>3197</v>
      </c>
      <c r="S14">
        <f>IF($B$2="Todos",SUMIFS(Base!$S$3:$S$5001,Base!$A$3:$A$5001,$B14),SUMIFS(Base!$S$3:$S$5001,Base!$A$3:$A$5001,$B14,Base!$B$3:$B$5001,$B$2))</f>
        <v>456</v>
      </c>
      <c r="T14">
        <f>IF($B$2="Todos",SUMIFS(Base!$T$3:$T$5001,Base!$A$3:$A$5001,$B14),SUMIFS(Base!$T$3:$T$5001,Base!$A$3:$A$5001,$B14,Base!$B$3:$B$5001,$B$2))</f>
        <v>120</v>
      </c>
      <c r="U14">
        <f>IF($B$2="Todos",SUMIFS(Base!$U$3:$U$5001,Base!$A$3:$A$5001,$B14),SUMIFS(Base!$U$3:$U$5001,Base!$A$3:$A$5001,$B14,Base!$B$3:$B$5001,$B$2))</f>
        <v>2</v>
      </c>
      <c r="V14">
        <f>IF($B$2="Todos",SUMIFS(Base!$V$3:$V$5001,Base!$A$3:$A$5001,$B14),SUMIFS(Base!$V$3:$V$5001,Base!$A$3:$A$5001,$B14,Base!$B$3:$B$5001,$B$2))</f>
        <v>1</v>
      </c>
      <c r="W14">
        <f>IF($B$2="Todos",IF(COUNT($C$130:$K$130)=0,"",SUM($C$130:$K$130)),IFERROR(INDEX($C$130:$K$130,MATCH($B$2,$C$127:$K$127,0)),""))</f>
        <v>41</v>
      </c>
      <c r="X14">
        <f>IF(Y14="","",IF($B$2="Todos",IF(ISNUMBER($B$4),$B$4,IF(COUNT($C$165:$K$165)=0,"",SUM($C$165:$K$165))),IFERROR(INDEX($C$165:$K$165,MATCH($B$2,$C$162:$K$162,0)),"")))</f>
        <v>13700</v>
      </c>
      <c r="Y14">
        <f>IF($B$2="Todos",IF(COUNT($C$200:$K$200)=0,"",SUM($C$200:$K$200)),IFERROR(INDEX($C$200:$K$200,MATCH($B$2,$C$197:$K$197,0)),""))</f>
        <v>10902</v>
      </c>
      <c r="Z14">
        <f>IF(AND(ISNUMBER(Y14),ISNUMBER(X14)),IF(X14&gt;0,Y14/X14,""),"")</f>
        <v>0.795766423357664</v>
      </c>
      <c r="AA14">
        <f>IF($B$2="Todos",IF(COUNT($C$235:$K$235)=0,"",SUM($C$235:$K$235)),IFERROR(INDEX($C$235:$K$235,MATCH($B$2,$C$232:$K$232,0)),""))</f>
        <v>90</v>
      </c>
      <c r="AB14">
        <f>IF($B$2="Todos",SUMIFS(Base!$AA$3:$AA$5001,Base!$A$3:$A$5001,$B14),SUMIFS(Base!$AA$3:$AA$5001,Base!$A$3:$A$5001,$B14,Base!$B$3:$B$5001,$B$2))</f>
        <v>3</v>
      </c>
      <c r="AC14">
        <f>IF($B$2="Todos",SUMIFS(Base!$AB$3:$AB$5001,Base!$A$3:$A$5001,$B14),SUMIFS(Base!$AB$3:$AB$5001,Base!$A$3:$A$5001,$B14,Base!$B$3:$B$5001,$B$2))</f>
        <v>1</v>
      </c>
      <c r="AD14">
        <f>IF($B$2="Todos",SUMIFS(Base!$AC$3:$AC$5001,Base!$A$3:$A$5001,$B14),SUMIFS(Base!$AC$3:$AC$5001,Base!$A$3:$A$5001,$B14,Base!$B$3:$B$5001,$B$2))</f>
        <v>1</v>
      </c>
      <c r="AE14">
        <f>IF($B$2="Todos",SUMIFS(Base!$AD$3:$AD$5001,Base!$A$3:$A$5001,$B14),SUMIFS(Base!$AD$3:$AD$5001,Base!$A$3:$A$5001,$B14,Base!$B$3:$B$5001,$B$2))</f>
        <v>0</v>
      </c>
      <c r="AG14">
        <f>IFERROR(N(INDEX($C14:$AE14,MATCH($B$3,$C$11:$AE$11,0))),0)</f>
        <v>647</v>
      </c>
      <c r="AH14">
        <f>IFERROR(N(INDEX($C14:$AE14,MATCH($C$3,$C$11:$AE$11,0))),0)</f>
        <v>560</v>
      </c>
      <c r="AI14">
        <f>$B$5</f>
        <v>0.7</v>
      </c>
      <c r="AJ14">
        <f>$B$6</f>
        <v>0.9</v>
      </c>
      <c r="AL14" t="inlineStr">
        <is>
          <t xml:space="preserve">BEAUTYBIZ</t>
        </is>
      </c>
      <c r="AN14" t="inlineStr">
        <is>
          <t xml:space="preserve">MARÇO · 2026</t>
        </is>
      </c>
      <c r="AP14" t="str">
        <f>"Por semana · "&amp;MID($B$3,FIND(" ",$B$3)+1,99)&amp;" (IN) x "&amp;MID($C$3,FIND(" ",$C$3)+1,99)&amp;" (OUT) — "&amp;IF($B$2="Todos","todos os clientes",$B$2)</f>
        <v>Por semana · Pallets Movimentados (IN) x Pallets Movimentados (OUT) — todos os clientes</v>
      </c>
    </row>
    <row r="15">
      <c r="A15">
        <v>4</v>
      </c>
      <c r="B15" s="152">
        <f>IF(ISNUMBER($A15),$C$7+$A15-1,"")</f>
        <v>46269</v>
      </c>
      <c r="C15">
        <f>IF($B$2="Todos",SUMIFS(Base!$C$3:$C$5001,Base!$A$3:$A$5001,$B15),SUMIFS(Base!$C$3:$C$5001,Base!$A$3:$A$5001,$B15,Base!$B$3:$B$5001,$B$2))</f>
        <v>32</v>
      </c>
      <c r="D15">
        <f>IF($B$2="Todos",SUMIFS(Base!$D$3:$D$5001,Base!$A$3:$A$5001,$B15),SUMIFS(Base!$D$3:$D$5001,Base!$A$3:$A$5001,$B15,Base!$B$3:$B$5001,$B$2))</f>
        <v>599</v>
      </c>
      <c r="E15">
        <f>IF($B$2="Todos",SUMIFS(Base!$E$3:$E$5001,Base!$A$3:$A$5001,$B15),SUMIFS(Base!$E$3:$E$5001,Base!$A$3:$A$5001,$B15,Base!$B$3:$B$5001,$B$2))</f>
        <v>147.21</v>
      </c>
      <c r="F15">
        <f>IF($B$2="Todos",SUMIFS(Base!$F$3:$F$5001,Base!$A$3:$A$5001,$B15),SUMIFS(Base!$F$3:$F$5001,Base!$A$3:$A$5001,$B15,Base!$B$3:$B$5001,$B$2))</f>
        <v>847</v>
      </c>
      <c r="G15">
        <f>IF($B$2="Todos",SUMIFS(Base!$G$3:$G$5001,Base!$A$3:$A$5001,$B15),SUMIFS(Base!$G$3:$G$5001,Base!$A$3:$A$5001,$B15,Base!$B$3:$B$5001,$B$2))</f>
        <v>4959</v>
      </c>
      <c r="H15">
        <f>IF($B$2="Todos",SUMIFS(Base!$H$3:$H$5001,Base!$A$3:$A$5001,$B15),SUMIFS(Base!$H$3:$H$5001,Base!$A$3:$A$5001,$B15,Base!$B$3:$B$5001,$B$2))</f>
        <v>362</v>
      </c>
      <c r="I15">
        <f>IF($B$2="Todos",SUMIFS(Base!$I$3:$I$5001,Base!$A$3:$A$5001,$B15),SUMIFS(Base!$I$3:$I$5001,Base!$A$3:$A$5001,$B15,Base!$B$3:$B$5001,$B$2))</f>
        <v>103</v>
      </c>
      <c r="J15">
        <f>IF($B$2="Todos",SUMIFS(Base!$J$3:$J$5001,Base!$A$3:$A$5001,$B15),SUMIFS(Base!$J$3:$J$5001,Base!$A$3:$A$5001,$B15,Base!$B$3:$B$5001,$B$2))</f>
        <v>539</v>
      </c>
      <c r="K15">
        <f>IF($B$2="Todos",SUMIFS(Base!$K$3:$K$5001,Base!$A$3:$A$5001,$B15),SUMIFS(Base!$K$3:$K$5001,Base!$A$3:$A$5001,$B15,Base!$B$3:$B$5001,$B$2))</f>
        <v>181</v>
      </c>
      <c r="L15">
        <f>IF($B$2="Todos",SUMIFS(Base!$L$3:$L$5001,Base!$A$3:$A$5001,$B15),SUMIFS(Base!$L$3:$L$5001,Base!$A$3:$A$5001,$B15,Base!$B$3:$B$5001,$B$2))</f>
        <v>58</v>
      </c>
      <c r="M15">
        <f>IF($B$2="Todos",SUMIFS(Base!$M$3:$M$5001,Base!$A$3:$A$5001,$B15),SUMIFS(Base!$M$3:$M$5001,Base!$A$3:$A$5001,$B15,Base!$B$3:$B$5001,$B$2))</f>
        <v>815</v>
      </c>
      <c r="N15">
        <f>IF($B$2="Todos",SUMIFS(Base!$N$3:$N$5001,Base!$A$3:$A$5001,$B15),SUMIFS(Base!$N$3:$N$5001,Base!$A$3:$A$5001,$B15,Base!$B$3:$B$5001,$B$2))</f>
        <v>172.94</v>
      </c>
      <c r="O15">
        <f>IF($B$2="Todos",SUMIFS(Base!$O$3:$O$5001,Base!$A$3:$A$5001,$B15),SUMIFS(Base!$O$3:$O$5001,Base!$A$3:$A$5001,$B15,Base!$B$3:$B$5001,$B$2))</f>
        <v>1841</v>
      </c>
      <c r="P15">
        <f>IF($B$2="Todos",SUMIFS(Base!$P$3:$P$5001,Base!$A$3:$A$5001,$B15),SUMIFS(Base!$P$3:$P$5001,Base!$A$3:$A$5001,$B15,Base!$B$3:$B$5001,$B$2))</f>
        <v>497</v>
      </c>
      <c r="Q15">
        <f>IF($B$2="Todos",SUMIFS(Base!$Q$3:$Q$5001,Base!$A$3:$A$5001,$B15),SUMIFS(Base!$Q$3:$Q$5001,Base!$A$3:$A$5001,$B15,Base!$B$3:$B$5001,$B$2))</f>
        <v>932</v>
      </c>
      <c r="R15">
        <f>IF($B$2="Todos",SUMIFS(Base!$R$3:$R$5001,Base!$A$3:$A$5001,$B15),SUMIFS(Base!$R$3:$R$5001,Base!$A$3:$A$5001,$B15,Base!$B$3:$B$5001,$B$2))</f>
        <v>3181</v>
      </c>
      <c r="S15">
        <f>IF($B$2="Todos",SUMIFS(Base!$S$3:$S$5001,Base!$A$3:$A$5001,$B15),SUMIFS(Base!$S$3:$S$5001,Base!$A$3:$A$5001,$B15,Base!$B$3:$B$5001,$B$2))</f>
        <v>355</v>
      </c>
      <c r="T15">
        <f>IF($B$2="Todos",SUMIFS(Base!$T$3:$T$5001,Base!$A$3:$A$5001,$B15),SUMIFS(Base!$T$3:$T$5001,Base!$A$3:$A$5001,$B15,Base!$B$3:$B$5001,$B$2))</f>
        <v>130</v>
      </c>
      <c r="U15">
        <f>IF($B$2="Todos",SUMIFS(Base!$U$3:$U$5001,Base!$A$3:$A$5001,$B15),SUMIFS(Base!$U$3:$U$5001,Base!$A$3:$A$5001,$B15,Base!$B$3:$B$5001,$B$2))</f>
        <v>0</v>
      </c>
      <c r="V15">
        <f>IF($B$2="Todos",SUMIFS(Base!$V$3:$V$5001,Base!$A$3:$A$5001,$B15),SUMIFS(Base!$V$3:$V$5001,Base!$A$3:$A$5001,$B15,Base!$B$3:$B$5001,$B$2))</f>
        <v>1</v>
      </c>
      <c r="W15">
        <f>IF($B$2="Todos",IF(COUNT($C$131:$K$131)=0,"",SUM($C$131:$K$131)),IFERROR(INDEX($C$131:$K$131,MATCH($B$2,$C$127:$K$127,0)),""))</f>
        <v>47</v>
      </c>
      <c r="X15">
        <f>IF(Y15="","",IF($B$2="Todos",IF(ISNUMBER($B$4),$B$4,IF(COUNT($C$166:$K$166)=0,"",SUM($C$166:$K$166))),IFERROR(INDEX($C$166:$K$166,MATCH($B$2,$C$162:$K$162,0)),"")))</f>
        <v>13700</v>
      </c>
      <c r="Y15">
        <f>IF($B$2="Todos",IF(COUNT($C$201:$K$201)=0,"",SUM($C$201:$K$201)),IFERROR(INDEX($C$201:$K$201,MATCH($B$2,$C$197:$K$197,0)),""))</f>
        <v>9465</v>
      </c>
      <c r="Z15">
        <f>IF(AND(ISNUMBER(Y15),ISNUMBER(X15)),IF(X15&gt;0,Y15/X15,""),"")</f>
        <v>0.690875912408759</v>
      </c>
      <c r="AA15">
        <f>IF($B$2="Todos",IF(COUNT($C$236:$K$236)=0,"",SUM($C$236:$K$236)),IFERROR(INDEX($C$236:$K$236,MATCH($B$2,$C$232:$K$232,0)),""))</f>
        <v>81</v>
      </c>
      <c r="AB15">
        <f>IF($B$2="Todos",SUMIFS(Base!$AA$3:$AA$5001,Base!$A$3:$A$5001,$B15),SUMIFS(Base!$AA$3:$AA$5001,Base!$A$3:$A$5001,$B15,Base!$B$3:$B$5001,$B$2))</f>
        <v>1</v>
      </c>
      <c r="AC15">
        <f>IF($B$2="Todos",SUMIFS(Base!$AB$3:$AB$5001,Base!$A$3:$A$5001,$B15),SUMIFS(Base!$AB$3:$AB$5001,Base!$A$3:$A$5001,$B15,Base!$B$3:$B$5001,$B$2))</f>
        <v>2</v>
      </c>
      <c r="AD15">
        <f>IF($B$2="Todos",SUMIFS(Base!$AC$3:$AC$5001,Base!$A$3:$A$5001,$B15),SUMIFS(Base!$AC$3:$AC$5001,Base!$A$3:$A$5001,$B15,Base!$B$3:$B$5001,$B$2))</f>
        <v>0</v>
      </c>
      <c r="AE15">
        <f>IF($B$2="Todos",SUMIFS(Base!$AD$3:$AD$5001,Base!$A$3:$A$5001,$B15),SUMIFS(Base!$AD$3:$AD$5001,Base!$A$3:$A$5001,$B15,Base!$B$3:$B$5001,$B$2))</f>
        <v>1</v>
      </c>
      <c r="AG15">
        <f>IFERROR(N(INDEX($C15:$AE15,MATCH($B$3,$C$11:$AE$11,0))),0)</f>
        <v>599</v>
      </c>
      <c r="AH15">
        <f>IFERROR(N(INDEX($C15:$AE15,MATCH($C$3,$C$11:$AE$11,0))),0)</f>
        <v>815</v>
      </c>
      <c r="AI15">
        <f>$B$5</f>
        <v>0.7</v>
      </c>
      <c r="AJ15">
        <f>$B$6</f>
        <v>0.9</v>
      </c>
      <c r="AL15" t="inlineStr">
        <is>
          <t xml:space="preserve">BOTICÁRIO</t>
        </is>
      </c>
      <c r="AN15" t="inlineStr">
        <is>
          <t xml:space="preserve">ABRIL · 2026</t>
        </is>
      </c>
    </row>
    <row r="16">
      <c r="A16">
        <v>5</v>
      </c>
      <c r="B16" s="152">
        <f>IF(ISNUMBER($A16),$C$7+$A16-1,"")</f>
        <v>46270</v>
      </c>
      <c r="C16">
        <f>IF($B$2="Todos",SUMIFS(Base!$C$3:$C$5001,Base!$A$3:$A$5001,$B16),SUMIFS(Base!$C$3:$C$5001,Base!$A$3:$A$5001,$B16,Base!$B$3:$B$5001,$B$2))</f>
        <v>41</v>
      </c>
      <c r="D16">
        <f>IF($B$2="Todos",SUMIFS(Base!$D$3:$D$5001,Base!$A$3:$A$5001,$B16),SUMIFS(Base!$D$3:$D$5001,Base!$A$3:$A$5001,$B16,Base!$B$3:$B$5001,$B$2))</f>
        <v>579</v>
      </c>
      <c r="E16">
        <f>IF($B$2="Todos",SUMIFS(Base!$E$3:$E$5001,Base!$A$3:$A$5001,$B16),SUMIFS(Base!$E$3:$E$5001,Base!$A$3:$A$5001,$B16,Base!$B$3:$B$5001,$B$2))</f>
        <v>91.35</v>
      </c>
      <c r="F16">
        <f>IF($B$2="Todos",SUMIFS(Base!$F$3:$F$5001,Base!$A$3:$A$5001,$B16),SUMIFS(Base!$F$3:$F$5001,Base!$A$3:$A$5001,$B16,Base!$B$3:$B$5001,$B$2))</f>
        <v>3430</v>
      </c>
      <c r="G16">
        <f>IF($B$2="Todos",SUMIFS(Base!$G$3:$G$5001,Base!$A$3:$A$5001,$B16),SUMIFS(Base!$G$3:$G$5001,Base!$A$3:$A$5001,$B16,Base!$B$3:$B$5001,$B$2))</f>
        <v>1899</v>
      </c>
      <c r="H16">
        <f>IF($B$2="Todos",SUMIFS(Base!$H$3:$H$5001,Base!$A$3:$A$5001,$B16),SUMIFS(Base!$H$3:$H$5001,Base!$A$3:$A$5001,$B16,Base!$B$3:$B$5001,$B$2))</f>
        <v>78</v>
      </c>
      <c r="I16">
        <f>IF($B$2="Todos",SUMIFS(Base!$I$3:$I$5001,Base!$A$3:$A$5001,$B16),SUMIFS(Base!$I$3:$I$5001,Base!$A$3:$A$5001,$B16,Base!$B$3:$B$5001,$B$2))</f>
        <v>630</v>
      </c>
      <c r="J16">
        <f>IF($B$2="Todos",SUMIFS(Base!$J$3:$J$5001,Base!$A$3:$A$5001,$B16),SUMIFS(Base!$J$3:$J$5001,Base!$A$3:$A$5001,$B16,Base!$B$3:$B$5001,$B$2))</f>
        <v>217</v>
      </c>
      <c r="K16">
        <f>IF($B$2="Todos",SUMIFS(Base!$K$3:$K$5001,Base!$A$3:$A$5001,$B16),SUMIFS(Base!$K$3:$K$5001,Base!$A$3:$A$5001,$B16,Base!$B$3:$B$5001,$B$2))</f>
        <v>103</v>
      </c>
      <c r="L16">
        <f>IF($B$2="Todos",SUMIFS(Base!$L$3:$L$5001,Base!$A$3:$A$5001,$B16),SUMIFS(Base!$L$3:$L$5001,Base!$A$3:$A$5001,$B16,Base!$B$3:$B$5001,$B$2))</f>
        <v>45</v>
      </c>
      <c r="M16">
        <f>IF($B$2="Todos",SUMIFS(Base!$M$3:$M$5001,Base!$A$3:$A$5001,$B16),SUMIFS(Base!$M$3:$M$5001,Base!$A$3:$A$5001,$B16,Base!$B$3:$B$5001,$B$2))</f>
        <v>431</v>
      </c>
      <c r="N16">
        <f>IF($B$2="Todos",SUMIFS(Base!$N$3:$N$5001,Base!$A$3:$A$5001,$B16),SUMIFS(Base!$N$3:$N$5001,Base!$A$3:$A$5001,$B16,Base!$B$3:$B$5001,$B$2))</f>
        <v>201.47</v>
      </c>
      <c r="O16">
        <f>IF($B$2="Todos",SUMIFS(Base!$O$3:$O$5001,Base!$A$3:$A$5001,$B16),SUMIFS(Base!$O$3:$O$5001,Base!$A$3:$A$5001,$B16,Base!$B$3:$B$5001,$B$2))</f>
        <v>556</v>
      </c>
      <c r="P16">
        <f>IF($B$2="Todos",SUMIFS(Base!$P$3:$P$5001,Base!$A$3:$A$5001,$B16),SUMIFS(Base!$P$3:$P$5001,Base!$A$3:$A$5001,$B16,Base!$B$3:$B$5001,$B$2))</f>
        <v>560</v>
      </c>
      <c r="Q16">
        <f>IF($B$2="Todos",SUMIFS(Base!$Q$3:$Q$5001,Base!$A$3:$A$5001,$B16),SUMIFS(Base!$Q$3:$Q$5001,Base!$A$3:$A$5001,$B16,Base!$B$3:$B$5001,$B$2))</f>
        <v>1113</v>
      </c>
      <c r="R16">
        <f>IF($B$2="Todos",SUMIFS(Base!$R$3:$R$5001,Base!$A$3:$A$5001,$B16),SUMIFS(Base!$R$3:$R$5001,Base!$A$3:$A$5001,$B16,Base!$B$3:$B$5001,$B$2))</f>
        <v>8485</v>
      </c>
      <c r="S16">
        <f>IF($B$2="Todos",SUMIFS(Base!$S$3:$S$5001,Base!$A$3:$A$5001,$B16),SUMIFS(Base!$S$3:$S$5001,Base!$A$3:$A$5001,$B16,Base!$B$3:$B$5001,$B$2))</f>
        <v>248</v>
      </c>
      <c r="T16">
        <f>IF($B$2="Todos",SUMIFS(Base!$T$3:$T$5001,Base!$A$3:$A$5001,$B16),SUMIFS(Base!$T$3:$T$5001,Base!$A$3:$A$5001,$B16,Base!$B$3:$B$5001,$B$2))</f>
        <v>143</v>
      </c>
      <c r="U16">
        <f>IF($B$2="Todos",SUMIFS(Base!$U$3:$U$5001,Base!$A$3:$A$5001,$B16),SUMIFS(Base!$U$3:$U$5001,Base!$A$3:$A$5001,$B16,Base!$B$3:$B$5001,$B$2))</f>
        <v>0</v>
      </c>
      <c r="V16">
        <f>IF($B$2="Todos",SUMIFS(Base!$V$3:$V$5001,Base!$A$3:$A$5001,$B16),SUMIFS(Base!$V$3:$V$5001,Base!$A$3:$A$5001,$B16,Base!$B$3:$B$5001,$B$2))</f>
        <v>0</v>
      </c>
      <c r="W16">
        <f>IF($B$2="Todos",IF(COUNT($C$132:$K$132)=0,"",SUM($C$132:$K$132)),IFERROR(INDEX($C$132:$K$132,MATCH($B$2,$C$127:$K$127,0)),""))</f>
        <v>49</v>
      </c>
      <c r="X16">
        <f>IF(Y16="","",IF($B$2="Todos",IF(ISNUMBER($B$4),$B$4,IF(COUNT($C$167:$K$167)=0,"",SUM($C$167:$K$167))),IFERROR(INDEX($C$167:$K$167,MATCH($B$2,$C$162:$K$162,0)),"")))</f>
        <v>13700</v>
      </c>
      <c r="Y16">
        <f>IF($B$2="Todos",IF(COUNT($C$202:$K$202)=0,"",SUM($C$202:$K$202)),IFERROR(INDEX($C$202:$K$202,MATCH($B$2,$C$197:$K$197,0)),""))</f>
        <v>10738</v>
      </c>
      <c r="Z16">
        <f>IF(AND(ISNUMBER(Y16),ISNUMBER(X16)),IF(X16&gt;0,Y16/X16,""),"")</f>
        <v>0.783795620437956</v>
      </c>
      <c r="AA16">
        <f>IF($B$2="Todos",IF(COUNT($C$237:$K$237)=0,"",SUM($C$237:$K$237)),IFERROR(INDEX($C$237:$K$237,MATCH($B$2,$C$232:$K$232,0)),""))</f>
        <v>69</v>
      </c>
      <c r="AB16">
        <f>IF($B$2="Todos",SUMIFS(Base!$AA$3:$AA$5001,Base!$A$3:$A$5001,$B16),SUMIFS(Base!$AA$3:$AA$5001,Base!$A$3:$A$5001,$B16,Base!$B$3:$B$5001,$B$2))</f>
        <v>2</v>
      </c>
      <c r="AC16">
        <f>IF($B$2="Todos",SUMIFS(Base!$AB$3:$AB$5001,Base!$A$3:$A$5001,$B16),SUMIFS(Base!$AB$3:$AB$5001,Base!$A$3:$A$5001,$B16,Base!$B$3:$B$5001,$B$2))</f>
        <v>0</v>
      </c>
      <c r="AD16">
        <f>IF($B$2="Todos",SUMIFS(Base!$AC$3:$AC$5001,Base!$A$3:$A$5001,$B16),SUMIFS(Base!$AC$3:$AC$5001,Base!$A$3:$A$5001,$B16,Base!$B$3:$B$5001,$B$2))</f>
        <v>0</v>
      </c>
      <c r="AE16">
        <f>IF($B$2="Todos",SUMIFS(Base!$AD$3:$AD$5001,Base!$A$3:$A$5001,$B16),SUMIFS(Base!$AD$3:$AD$5001,Base!$A$3:$A$5001,$B16,Base!$B$3:$B$5001,$B$2))</f>
        <v>0</v>
      </c>
      <c r="AG16">
        <f>IFERROR(N(INDEX($C16:$AE16,MATCH($B$3,$C$11:$AE$11,0))),0)</f>
        <v>579</v>
      </c>
      <c r="AH16">
        <f>IFERROR(N(INDEX($C16:$AE16,MATCH($C$3,$C$11:$AE$11,0))),0)</f>
        <v>431</v>
      </c>
      <c r="AI16">
        <f>$B$5</f>
        <v>0.7</v>
      </c>
      <c r="AJ16">
        <f>$B$6</f>
        <v>0.9</v>
      </c>
      <c r="AL16" t="inlineStr">
        <is>
          <t xml:space="preserve">SUPPLY</t>
        </is>
      </c>
      <c r="AN16" t="inlineStr">
        <is>
          <t xml:space="preserve">MAIO · 2026</t>
        </is>
      </c>
    </row>
    <row r="17">
      <c r="A17">
        <v>6</v>
      </c>
      <c r="B17" s="152">
        <f>IF(ISNUMBER($A17),$C$7+$A17-1,"")</f>
        <v>46271</v>
      </c>
      <c r="C17">
        <f>IF($B$2="Todos",SUMIFS(Base!$C$3:$C$5001,Base!$A$3:$A$5001,$B17),SUMIFS(Base!$C$3:$C$5001,Base!$A$3:$A$5001,$B17,Base!$B$3:$B$5001,$B$2))</f>
        <v>0</v>
      </c>
      <c r="D17">
        <f>IF($B$2="Todos",SUMIFS(Base!$D$3:$D$5001,Base!$A$3:$A$5001,$B17),SUMIFS(Base!$D$3:$D$5001,Base!$A$3:$A$5001,$B17,Base!$B$3:$B$5001,$B$2))</f>
        <v>0</v>
      </c>
      <c r="E17">
        <f>IF($B$2="Todos",SUMIFS(Base!$E$3:$E$5001,Base!$A$3:$A$5001,$B17),SUMIFS(Base!$E$3:$E$5001,Base!$A$3:$A$5001,$B17,Base!$B$3:$B$5001,$B$2))</f>
        <v>0</v>
      </c>
      <c r="F17">
        <f>IF($B$2="Todos",SUMIFS(Base!$F$3:$F$5001,Base!$A$3:$A$5001,$B17),SUMIFS(Base!$F$3:$F$5001,Base!$A$3:$A$5001,$B17,Base!$B$3:$B$5001,$B$2))</f>
        <v>0</v>
      </c>
      <c r="G17">
        <f>IF($B$2="Todos",SUMIFS(Base!$G$3:$G$5001,Base!$A$3:$A$5001,$B17),SUMIFS(Base!$G$3:$G$5001,Base!$A$3:$A$5001,$B17,Base!$B$3:$B$5001,$B$2))</f>
        <v>0</v>
      </c>
      <c r="H17">
        <f>IF($B$2="Todos",SUMIFS(Base!$H$3:$H$5001,Base!$A$3:$A$5001,$B17),SUMIFS(Base!$H$3:$H$5001,Base!$A$3:$A$5001,$B17,Base!$B$3:$B$5001,$B$2))</f>
        <v>0</v>
      </c>
      <c r="I17">
        <f>IF($B$2="Todos",SUMIFS(Base!$I$3:$I$5001,Base!$A$3:$A$5001,$B17),SUMIFS(Base!$I$3:$I$5001,Base!$A$3:$A$5001,$B17,Base!$B$3:$B$5001,$B$2))</f>
        <v>0</v>
      </c>
      <c r="J17">
        <f>IF($B$2="Todos",SUMIFS(Base!$J$3:$J$5001,Base!$A$3:$A$5001,$B17),SUMIFS(Base!$J$3:$J$5001,Base!$A$3:$A$5001,$B17,Base!$B$3:$B$5001,$B$2))</f>
        <v>0</v>
      </c>
      <c r="K17">
        <f>IF($B$2="Todos",SUMIFS(Base!$K$3:$K$5001,Base!$A$3:$A$5001,$B17),SUMIFS(Base!$K$3:$K$5001,Base!$A$3:$A$5001,$B17,Base!$B$3:$B$5001,$B$2))</f>
        <v>0</v>
      </c>
      <c r="L17">
        <f>IF($B$2="Todos",SUMIFS(Base!$L$3:$L$5001,Base!$A$3:$A$5001,$B17),SUMIFS(Base!$L$3:$L$5001,Base!$A$3:$A$5001,$B17,Base!$B$3:$B$5001,$B$2))</f>
        <v>0</v>
      </c>
      <c r="M17">
        <f>IF($B$2="Todos",SUMIFS(Base!$M$3:$M$5001,Base!$A$3:$A$5001,$B17),SUMIFS(Base!$M$3:$M$5001,Base!$A$3:$A$5001,$B17,Base!$B$3:$B$5001,$B$2))</f>
        <v>0</v>
      </c>
      <c r="N17">
        <f>IF($B$2="Todos",SUMIFS(Base!$N$3:$N$5001,Base!$A$3:$A$5001,$B17),SUMIFS(Base!$N$3:$N$5001,Base!$A$3:$A$5001,$B17,Base!$B$3:$B$5001,$B$2))</f>
        <v>0</v>
      </c>
      <c r="O17">
        <f>IF($B$2="Todos",SUMIFS(Base!$O$3:$O$5001,Base!$A$3:$A$5001,$B17),SUMIFS(Base!$O$3:$O$5001,Base!$A$3:$A$5001,$B17,Base!$B$3:$B$5001,$B$2))</f>
        <v>0</v>
      </c>
      <c r="P17">
        <f>IF($B$2="Todos",SUMIFS(Base!$P$3:$P$5001,Base!$A$3:$A$5001,$B17),SUMIFS(Base!$P$3:$P$5001,Base!$A$3:$A$5001,$B17,Base!$B$3:$B$5001,$B$2))</f>
        <v>0</v>
      </c>
      <c r="Q17">
        <f>IF($B$2="Todos",SUMIFS(Base!$Q$3:$Q$5001,Base!$A$3:$A$5001,$B17),SUMIFS(Base!$Q$3:$Q$5001,Base!$A$3:$A$5001,$B17,Base!$B$3:$B$5001,$B$2))</f>
        <v>0</v>
      </c>
      <c r="R17">
        <f>IF($B$2="Todos",SUMIFS(Base!$R$3:$R$5001,Base!$A$3:$A$5001,$B17),SUMIFS(Base!$R$3:$R$5001,Base!$A$3:$A$5001,$B17,Base!$B$3:$B$5001,$B$2))</f>
        <v>0</v>
      </c>
      <c r="S17">
        <f>IF($B$2="Todos",SUMIFS(Base!$S$3:$S$5001,Base!$A$3:$A$5001,$B17),SUMIFS(Base!$S$3:$S$5001,Base!$A$3:$A$5001,$B17,Base!$B$3:$B$5001,$B$2))</f>
        <v>0</v>
      </c>
      <c r="T17">
        <f>IF($B$2="Todos",SUMIFS(Base!$T$3:$T$5001,Base!$A$3:$A$5001,$B17),SUMIFS(Base!$T$3:$T$5001,Base!$A$3:$A$5001,$B17,Base!$B$3:$B$5001,$B$2))</f>
        <v>0</v>
      </c>
      <c r="U17">
        <f>IF($B$2="Todos",SUMIFS(Base!$U$3:$U$5001,Base!$A$3:$A$5001,$B17),SUMIFS(Base!$U$3:$U$5001,Base!$A$3:$A$5001,$B17,Base!$B$3:$B$5001,$B$2))</f>
        <v>0</v>
      </c>
      <c r="V17">
        <f>IF($B$2="Todos",SUMIFS(Base!$V$3:$V$5001,Base!$A$3:$A$5001,$B17),SUMIFS(Base!$V$3:$V$5001,Base!$A$3:$A$5001,$B17,Base!$B$3:$B$5001,$B$2))</f>
        <v>0</v>
      </c>
      <c r="W17">
        <f>IF($B$2="Todos",IF(COUNT($C$133:$K$133)=0,"",SUM($C$133:$K$133)),IFERROR(INDEX($C$133:$K$133,MATCH($B$2,$C$127:$K$127,0)),""))</f>
        <v>49</v>
      </c>
      <c r="X17">
        <f>IF(Y17="","",IF($B$2="Todos",IF(ISNUMBER($B$4),$B$4,IF(COUNT($C$168:$K$168)=0,"",SUM($C$168:$K$168))),IFERROR(INDEX($C$168:$K$168,MATCH($B$2,$C$162:$K$162,0)),"")))</f>
        <v>13700</v>
      </c>
      <c r="Y17">
        <f>IF($B$2="Todos",IF(COUNT($C$203:$K$203)=0,"",SUM($C$203:$K$203)),IFERROR(INDEX($C$203:$K$203,MATCH($B$2,$C$197:$K$197,0)),""))</f>
        <v>10738</v>
      </c>
      <c r="Z17">
        <f>IF(AND(ISNUMBER(Y17),ISNUMBER(X17)),IF(X17&gt;0,Y17/X17,""),"")</f>
        <v>0.783795620437956</v>
      </c>
      <c r="AA17">
        <f>IF($B$2="Todos",IF(COUNT($C$238:$K$238)=0,"",SUM($C$238:$K$238)),IFERROR(INDEX($C$238:$K$238,MATCH($B$2,$C$232:$K$232,0)),""))</f>
        <v>69</v>
      </c>
      <c r="AB17">
        <f>IF($B$2="Todos",SUMIFS(Base!$AA$3:$AA$5001,Base!$A$3:$A$5001,$B17),SUMIFS(Base!$AA$3:$AA$5001,Base!$A$3:$A$5001,$B17,Base!$B$3:$B$5001,$B$2))</f>
        <v>0</v>
      </c>
      <c r="AC17">
        <f>IF($B$2="Todos",SUMIFS(Base!$AB$3:$AB$5001,Base!$A$3:$A$5001,$B17),SUMIFS(Base!$AB$3:$AB$5001,Base!$A$3:$A$5001,$B17,Base!$B$3:$B$5001,$B$2))</f>
        <v>0</v>
      </c>
      <c r="AD17">
        <f>IF($B$2="Todos",SUMIFS(Base!$AC$3:$AC$5001,Base!$A$3:$A$5001,$B17),SUMIFS(Base!$AC$3:$AC$5001,Base!$A$3:$A$5001,$B17,Base!$B$3:$B$5001,$B$2))</f>
        <v>0</v>
      </c>
      <c r="AE17">
        <f>IF($B$2="Todos",SUMIFS(Base!$AD$3:$AD$5001,Base!$A$3:$A$5001,$B17),SUMIFS(Base!$AD$3:$AD$5001,Base!$A$3:$A$5001,$B17,Base!$B$3:$B$5001,$B$2))</f>
        <v>0</v>
      </c>
      <c r="AG17">
        <f>IFERROR(N(INDEX($C17:$AE17,MATCH($B$3,$C$11:$AE$11,0))),0)</f>
        <v>0</v>
      </c>
      <c r="AH17">
        <f>IFERROR(N(INDEX($C17:$AE17,MATCH($C$3,$C$11:$AE$11,0))),0)</f>
        <v>0</v>
      </c>
      <c r="AI17">
        <f>$B$5</f>
        <v>0.7</v>
      </c>
      <c r="AJ17">
        <f>$B$6</f>
        <v>0.9</v>
      </c>
      <c r="AL17" t="inlineStr">
        <is>
          <t xml:space="preserve">GE VERNOVA</t>
        </is>
      </c>
      <c r="AN17" t="inlineStr">
        <is>
          <t xml:space="preserve">JUNHO · 2026</t>
        </is>
      </c>
    </row>
    <row r="18">
      <c r="A18">
        <v>7</v>
      </c>
      <c r="B18" s="152">
        <f>IF(ISNUMBER($A18),$C$7+$A18-1,"")</f>
        <v>46272</v>
      </c>
      <c r="C18">
        <f>IF($B$2="Todos",SUMIFS(Base!$C$3:$C$5001,Base!$A$3:$A$5001,$B18),SUMIFS(Base!$C$3:$C$5001,Base!$A$3:$A$5001,$B18,Base!$B$3:$B$5001,$B$2))</f>
        <v>38</v>
      </c>
      <c r="D18">
        <f>IF($B$2="Todos",SUMIFS(Base!$D$3:$D$5001,Base!$A$3:$A$5001,$B18),SUMIFS(Base!$D$3:$D$5001,Base!$A$3:$A$5001,$B18,Base!$B$3:$B$5001,$B$2))</f>
        <v>541</v>
      </c>
      <c r="E18">
        <f>IF($B$2="Todos",SUMIFS(Base!$E$3:$E$5001,Base!$A$3:$A$5001,$B18),SUMIFS(Base!$E$3:$E$5001,Base!$A$3:$A$5001,$B18,Base!$B$3:$B$5001,$B$2))</f>
        <v>187.6</v>
      </c>
      <c r="F18">
        <f>IF($B$2="Todos",SUMIFS(Base!$F$3:$F$5001,Base!$A$3:$A$5001,$B18),SUMIFS(Base!$F$3:$F$5001,Base!$A$3:$A$5001,$B18,Base!$B$3:$B$5001,$B$2))</f>
        <v>2343</v>
      </c>
      <c r="G18">
        <f>IF($B$2="Todos",SUMIFS(Base!$G$3:$G$5001,Base!$A$3:$A$5001,$B18),SUMIFS(Base!$G$3:$G$5001,Base!$A$3:$A$5001,$B18,Base!$B$3:$B$5001,$B$2))</f>
        <v>5627</v>
      </c>
      <c r="H18">
        <f>IF($B$2="Todos",SUMIFS(Base!$H$3:$H$5001,Base!$A$3:$A$5001,$B18),SUMIFS(Base!$H$3:$H$5001,Base!$A$3:$A$5001,$B18,Base!$B$3:$B$5001,$B$2))</f>
        <v>187</v>
      </c>
      <c r="I18">
        <f>IF($B$2="Todos",SUMIFS(Base!$I$3:$I$5001,Base!$A$3:$A$5001,$B18),SUMIFS(Base!$I$3:$I$5001,Base!$A$3:$A$5001,$B18,Base!$B$3:$B$5001,$B$2))</f>
        <v>147</v>
      </c>
      <c r="J18">
        <f>IF($B$2="Todos",SUMIFS(Base!$J$3:$J$5001,Base!$A$3:$A$5001,$B18),SUMIFS(Base!$J$3:$J$5001,Base!$A$3:$A$5001,$B18,Base!$B$3:$B$5001,$B$2))</f>
        <v>126</v>
      </c>
      <c r="K18">
        <f>IF($B$2="Todos",SUMIFS(Base!$K$3:$K$5001,Base!$A$3:$A$5001,$B18),SUMIFS(Base!$K$3:$K$5001,Base!$A$3:$A$5001,$B18,Base!$B$3:$B$5001,$B$2))</f>
        <v>108</v>
      </c>
      <c r="L18">
        <f>IF($B$2="Todos",SUMIFS(Base!$L$3:$L$5001,Base!$A$3:$A$5001,$B18),SUMIFS(Base!$L$3:$L$5001,Base!$A$3:$A$5001,$B18,Base!$B$3:$B$5001,$B$2))</f>
        <v>54</v>
      </c>
      <c r="M18">
        <f>IF($B$2="Todos",SUMIFS(Base!$M$3:$M$5001,Base!$A$3:$A$5001,$B18),SUMIFS(Base!$M$3:$M$5001,Base!$A$3:$A$5001,$B18,Base!$B$3:$B$5001,$B$2))</f>
        <v>629</v>
      </c>
      <c r="N18">
        <f>IF($B$2="Todos",SUMIFS(Base!$N$3:$N$5001,Base!$A$3:$A$5001,$B18),SUMIFS(Base!$N$3:$N$5001,Base!$A$3:$A$5001,$B18,Base!$B$3:$B$5001,$B$2))</f>
        <v>172.32</v>
      </c>
      <c r="O18">
        <f>IF($B$2="Todos",SUMIFS(Base!$O$3:$O$5001,Base!$A$3:$A$5001,$B18),SUMIFS(Base!$O$3:$O$5001,Base!$A$3:$A$5001,$B18,Base!$B$3:$B$5001,$B$2))</f>
        <v>1256</v>
      </c>
      <c r="P18">
        <f>IF($B$2="Todos",SUMIFS(Base!$P$3:$P$5001,Base!$A$3:$A$5001,$B18),SUMIFS(Base!$P$3:$P$5001,Base!$A$3:$A$5001,$B18,Base!$B$3:$B$5001,$B$2))</f>
        <v>122</v>
      </c>
      <c r="Q18">
        <f>IF($B$2="Todos",SUMIFS(Base!$Q$3:$Q$5001,Base!$A$3:$A$5001,$B18),SUMIFS(Base!$Q$3:$Q$5001,Base!$A$3:$A$5001,$B18,Base!$B$3:$B$5001,$B$2))</f>
        <v>208</v>
      </c>
      <c r="R18">
        <f>IF($B$2="Todos",SUMIFS(Base!$R$3:$R$5001,Base!$A$3:$A$5001,$B18),SUMIFS(Base!$R$3:$R$5001,Base!$A$3:$A$5001,$B18,Base!$B$3:$B$5001,$B$2))</f>
        <v>5411</v>
      </c>
      <c r="S18">
        <f>IF($B$2="Todos",SUMIFS(Base!$S$3:$S$5001,Base!$A$3:$A$5001,$B18),SUMIFS(Base!$S$3:$S$5001,Base!$A$3:$A$5001,$B18,Base!$B$3:$B$5001,$B$2))</f>
        <v>227</v>
      </c>
      <c r="T18">
        <f>IF($B$2="Todos",SUMIFS(Base!$T$3:$T$5001,Base!$A$3:$A$5001,$B18),SUMIFS(Base!$T$3:$T$5001,Base!$A$3:$A$5001,$B18,Base!$B$3:$B$5001,$B$2))</f>
        <v>45</v>
      </c>
      <c r="U18">
        <f>IF($B$2="Todos",SUMIFS(Base!$U$3:$U$5001,Base!$A$3:$A$5001,$B18),SUMIFS(Base!$U$3:$U$5001,Base!$A$3:$A$5001,$B18,Base!$B$3:$B$5001,$B$2))</f>
        <v>0</v>
      </c>
      <c r="V18">
        <f>IF($B$2="Todos",SUMIFS(Base!$V$3:$V$5001,Base!$A$3:$A$5001,$B18),SUMIFS(Base!$V$3:$V$5001,Base!$A$3:$A$5001,$B18,Base!$B$3:$B$5001,$B$2))</f>
        <v>0</v>
      </c>
      <c r="W18">
        <f>IF($B$2="Todos",IF(COUNT($C$134:$K$134)=0,"",SUM($C$134:$K$134)),IFERROR(INDEX($C$134:$K$134,MATCH($B$2,$C$127:$K$127,0)),""))</f>
        <v>66</v>
      </c>
      <c r="X18">
        <f>IF(Y18="","",IF($B$2="Todos",IF(ISNUMBER($B$4),$B$4,IF(COUNT($C$169:$K$169)=0,"",SUM($C$169:$K$169))),IFERROR(INDEX($C$169:$K$169,MATCH($B$2,$C$162:$K$162,0)),"")))</f>
        <v>13700</v>
      </c>
      <c r="Y18">
        <f>IF($B$2="Todos",IF(COUNT($C$204:$K$204)=0,"",SUM($C$204:$K$204)),IFERROR(INDEX($C$204:$K$204,MATCH($B$2,$C$197:$K$197,0)),""))</f>
        <v>10682</v>
      </c>
      <c r="Z18">
        <f>IF(AND(ISNUMBER(Y18),ISNUMBER(X18)),IF(X18&gt;0,Y18/X18,""),"")</f>
        <v>0.77970802919708</v>
      </c>
      <c r="AA18">
        <f>IF($B$2="Todos",IF(COUNT($C$239:$K$239)=0,"",SUM($C$239:$K$239)),IFERROR(INDEX($C$239:$K$239,MATCH($B$2,$C$232:$K$232,0)),""))</f>
        <v>66</v>
      </c>
      <c r="AB18">
        <f>IF($B$2="Todos",SUMIFS(Base!$AA$3:$AA$5001,Base!$A$3:$A$5001,$B18),SUMIFS(Base!$AA$3:$AA$5001,Base!$A$3:$A$5001,$B18,Base!$B$3:$B$5001,$B$2))</f>
        <v>0</v>
      </c>
      <c r="AC18">
        <f>IF($B$2="Todos",SUMIFS(Base!$AB$3:$AB$5001,Base!$A$3:$A$5001,$B18),SUMIFS(Base!$AB$3:$AB$5001,Base!$A$3:$A$5001,$B18,Base!$B$3:$B$5001,$B$2))</f>
        <v>0</v>
      </c>
      <c r="AD18">
        <f>IF($B$2="Todos",SUMIFS(Base!$AC$3:$AC$5001,Base!$A$3:$A$5001,$B18),SUMIFS(Base!$AC$3:$AC$5001,Base!$A$3:$A$5001,$B18,Base!$B$3:$B$5001,$B$2))</f>
        <v>1</v>
      </c>
      <c r="AE18">
        <f>IF($B$2="Todos",SUMIFS(Base!$AD$3:$AD$5001,Base!$A$3:$A$5001,$B18),SUMIFS(Base!$AD$3:$AD$5001,Base!$A$3:$A$5001,$B18,Base!$B$3:$B$5001,$B$2))</f>
        <v>0</v>
      </c>
      <c r="AG18">
        <f>IFERROR(N(INDEX($C18:$AE18,MATCH($B$3,$C$11:$AE$11,0))),0)</f>
        <v>541</v>
      </c>
      <c r="AH18">
        <f>IFERROR(N(INDEX($C18:$AE18,MATCH($C$3,$C$11:$AE$11,0))),0)</f>
        <v>629</v>
      </c>
      <c r="AI18">
        <f>$B$5</f>
        <v>0.7</v>
      </c>
      <c r="AJ18">
        <f>$B$6</f>
        <v>0.9</v>
      </c>
      <c r="AL18" t="inlineStr">
        <is>
          <t xml:space="preserve">VESTAS</t>
        </is>
      </c>
      <c r="AN18" t="inlineStr">
        <is>
          <t xml:space="preserve">JULHO · 2026</t>
        </is>
      </c>
    </row>
    <row r="19">
      <c r="A19">
        <v>8</v>
      </c>
      <c r="B19" s="152">
        <f>IF(ISNUMBER($A19),$C$7+$A19-1,"")</f>
        <v>46273</v>
      </c>
      <c r="C19">
        <f>IF($B$2="Todos",SUMIFS(Base!$C$3:$C$5001,Base!$A$3:$A$5001,$B19),SUMIFS(Base!$C$3:$C$5001,Base!$A$3:$A$5001,$B19,Base!$B$3:$B$5001,$B$2))</f>
        <v>37</v>
      </c>
      <c r="D19">
        <f>IF($B$2="Todos",SUMIFS(Base!$D$3:$D$5001,Base!$A$3:$A$5001,$B19),SUMIFS(Base!$D$3:$D$5001,Base!$A$3:$A$5001,$B19,Base!$B$3:$B$5001,$B$2))</f>
        <v>375</v>
      </c>
      <c r="E19">
        <f>IF($B$2="Todos",SUMIFS(Base!$E$3:$E$5001,Base!$A$3:$A$5001,$B19),SUMIFS(Base!$E$3:$E$5001,Base!$A$3:$A$5001,$B19,Base!$B$3:$B$5001,$B$2))</f>
        <v>186.01</v>
      </c>
      <c r="F19">
        <f>IF($B$2="Todos",SUMIFS(Base!$F$3:$F$5001,Base!$A$3:$A$5001,$B19),SUMIFS(Base!$F$3:$F$5001,Base!$A$3:$A$5001,$B19,Base!$B$3:$B$5001,$B$2))</f>
        <v>803</v>
      </c>
      <c r="G19">
        <f>IF($B$2="Todos",SUMIFS(Base!$G$3:$G$5001,Base!$A$3:$A$5001,$B19),SUMIFS(Base!$G$3:$G$5001,Base!$A$3:$A$5001,$B19,Base!$B$3:$B$5001,$B$2))</f>
        <v>1195</v>
      </c>
      <c r="H19">
        <f>IF($B$2="Todos",SUMIFS(Base!$H$3:$H$5001,Base!$A$3:$A$5001,$B19),SUMIFS(Base!$H$3:$H$5001,Base!$A$3:$A$5001,$B19,Base!$B$3:$B$5001,$B$2))</f>
        <v>365</v>
      </c>
      <c r="I19">
        <f>IF($B$2="Todos",SUMIFS(Base!$I$3:$I$5001,Base!$A$3:$A$5001,$B19),SUMIFS(Base!$I$3:$I$5001,Base!$A$3:$A$5001,$B19,Base!$B$3:$B$5001,$B$2))</f>
        <v>556</v>
      </c>
      <c r="J19">
        <f>IF($B$2="Todos",SUMIFS(Base!$J$3:$J$5001,Base!$A$3:$A$5001,$B19),SUMIFS(Base!$J$3:$J$5001,Base!$A$3:$A$5001,$B19,Base!$B$3:$B$5001,$B$2))</f>
        <v>259</v>
      </c>
      <c r="K19">
        <f>IF($B$2="Todos",SUMIFS(Base!$K$3:$K$5001,Base!$A$3:$A$5001,$B19),SUMIFS(Base!$K$3:$K$5001,Base!$A$3:$A$5001,$B19,Base!$B$3:$B$5001,$B$2))</f>
        <v>151</v>
      </c>
      <c r="L19">
        <f>IF($B$2="Todos",SUMIFS(Base!$L$3:$L$5001,Base!$A$3:$A$5001,$B19),SUMIFS(Base!$L$3:$L$5001,Base!$A$3:$A$5001,$B19,Base!$B$3:$B$5001,$B$2))</f>
        <v>49</v>
      </c>
      <c r="M19">
        <f>IF($B$2="Todos",SUMIFS(Base!$M$3:$M$5001,Base!$A$3:$A$5001,$B19),SUMIFS(Base!$M$3:$M$5001,Base!$A$3:$A$5001,$B19,Base!$B$3:$B$5001,$B$2))</f>
        <v>673</v>
      </c>
      <c r="N19">
        <f>IF($B$2="Todos",SUMIFS(Base!$N$3:$N$5001,Base!$A$3:$A$5001,$B19),SUMIFS(Base!$N$3:$N$5001,Base!$A$3:$A$5001,$B19,Base!$B$3:$B$5001,$B$2))</f>
        <v>145.59</v>
      </c>
      <c r="O19">
        <f>IF($B$2="Todos",SUMIFS(Base!$O$3:$O$5001,Base!$A$3:$A$5001,$B19),SUMIFS(Base!$O$3:$O$5001,Base!$A$3:$A$5001,$B19,Base!$B$3:$B$5001,$B$2))</f>
        <v>2449</v>
      </c>
      <c r="P19">
        <f>IF($B$2="Todos",SUMIFS(Base!$P$3:$P$5001,Base!$A$3:$A$5001,$B19),SUMIFS(Base!$P$3:$P$5001,Base!$A$3:$A$5001,$B19,Base!$B$3:$B$5001,$B$2))</f>
        <v>491</v>
      </c>
      <c r="Q19">
        <f>IF($B$2="Todos",SUMIFS(Base!$Q$3:$Q$5001,Base!$A$3:$A$5001,$B19),SUMIFS(Base!$Q$3:$Q$5001,Base!$A$3:$A$5001,$B19,Base!$B$3:$B$5001,$B$2))</f>
        <v>876</v>
      </c>
      <c r="R19">
        <f>IF($B$2="Todos",SUMIFS(Base!$R$3:$R$5001,Base!$A$3:$A$5001,$B19),SUMIFS(Base!$R$3:$R$5001,Base!$A$3:$A$5001,$B19,Base!$B$3:$B$5001,$B$2))</f>
        <v>3417</v>
      </c>
      <c r="S19">
        <f>IF($B$2="Todos",SUMIFS(Base!$S$3:$S$5001,Base!$A$3:$A$5001,$B19),SUMIFS(Base!$S$3:$S$5001,Base!$A$3:$A$5001,$B19,Base!$B$3:$B$5001,$B$2))</f>
        <v>401</v>
      </c>
      <c r="T19">
        <f>IF($B$2="Todos",SUMIFS(Base!$T$3:$T$5001,Base!$A$3:$A$5001,$B19),SUMIFS(Base!$T$3:$T$5001,Base!$A$3:$A$5001,$B19,Base!$B$3:$B$5001,$B$2))</f>
        <v>135</v>
      </c>
      <c r="U19">
        <f>IF($B$2="Todos",SUMIFS(Base!$U$3:$U$5001,Base!$A$3:$A$5001,$B19),SUMIFS(Base!$U$3:$U$5001,Base!$A$3:$A$5001,$B19,Base!$B$3:$B$5001,$B$2))</f>
        <v>0</v>
      </c>
      <c r="V19">
        <f>IF($B$2="Todos",SUMIFS(Base!$V$3:$V$5001,Base!$A$3:$A$5001,$B19),SUMIFS(Base!$V$3:$V$5001,Base!$A$3:$A$5001,$B19,Base!$B$3:$B$5001,$B$2))</f>
        <v>2</v>
      </c>
      <c r="W19">
        <f>IF($B$2="Todos",IF(COUNT($C$135:$K$135)=0,"",SUM($C$135:$K$135)),IFERROR(INDEX($C$135:$K$135,MATCH($B$2,$C$127:$K$127,0)),""))</f>
        <v>76</v>
      </c>
      <c r="X19">
        <f>IF(Y19="","",IF($B$2="Todos",IF(ISNUMBER($B$4),$B$4,IF(COUNT($C$170:$K$170)=0,"",SUM($C$170:$K$170))),IFERROR(INDEX($C$170:$K$170,MATCH($B$2,$C$162:$K$162,0)),"")))</f>
        <v>13700</v>
      </c>
      <c r="Y19">
        <f>IF($B$2="Todos",IF(COUNT($C$205:$K$205)=0,"",SUM($C$205:$K$205)),IFERROR(INDEX($C$205:$K$205,MATCH($B$2,$C$197:$K$197,0)),""))</f>
        <v>9577</v>
      </c>
      <c r="Z19">
        <f>IF(AND(ISNUMBER(Y19),ISNUMBER(X19)),IF(X19&gt;0,Y19/X19,""),"")</f>
        <v>0.699051094890511</v>
      </c>
      <c r="AA19">
        <f>IF($B$2="Todos",IF(COUNT($C$240:$K$240)=0,"",SUM($C$240:$K$240)),IFERROR(INDEX($C$240:$K$240,MATCH($B$2,$C$232:$K$232,0)),""))</f>
        <v>72</v>
      </c>
      <c r="AB19">
        <f>IF($B$2="Todos",SUMIFS(Base!$AA$3:$AA$5001,Base!$A$3:$A$5001,$B19),SUMIFS(Base!$AA$3:$AA$5001,Base!$A$3:$A$5001,$B19,Base!$B$3:$B$5001,$B$2))</f>
        <v>3</v>
      </c>
      <c r="AC19">
        <f>IF($B$2="Todos",SUMIFS(Base!$AB$3:$AB$5001,Base!$A$3:$A$5001,$B19),SUMIFS(Base!$AB$3:$AB$5001,Base!$A$3:$A$5001,$B19,Base!$B$3:$B$5001,$B$2))</f>
        <v>0</v>
      </c>
      <c r="AD19">
        <f>IF($B$2="Todos",SUMIFS(Base!$AC$3:$AC$5001,Base!$A$3:$A$5001,$B19),SUMIFS(Base!$AC$3:$AC$5001,Base!$A$3:$A$5001,$B19,Base!$B$3:$B$5001,$B$2))</f>
        <v>0</v>
      </c>
      <c r="AE19">
        <f>IF($B$2="Todos",SUMIFS(Base!$AD$3:$AD$5001,Base!$A$3:$A$5001,$B19),SUMIFS(Base!$AD$3:$AD$5001,Base!$A$3:$A$5001,$B19,Base!$B$3:$B$5001,$B$2))</f>
        <v>0</v>
      </c>
      <c r="AG19">
        <f>IFERROR(N(INDEX($C19:$AE19,MATCH($B$3,$C$11:$AE$11,0))),0)</f>
        <v>375</v>
      </c>
      <c r="AH19">
        <f>IFERROR(N(INDEX($C19:$AE19,MATCH($C$3,$C$11:$AE$11,0))),0)</f>
        <v>673</v>
      </c>
      <c r="AI19">
        <f>$B$5</f>
        <v>0.7</v>
      </c>
      <c r="AJ19">
        <f>$B$6</f>
        <v>0.9</v>
      </c>
      <c r="AL19" t="inlineStr">
        <is>
          <t xml:space="preserve">VEDACIT</t>
        </is>
      </c>
      <c r="AN19" t="inlineStr">
        <is>
          <t xml:space="preserve">AGOSTO · 2026</t>
        </is>
      </c>
    </row>
    <row r="20">
      <c r="A20">
        <v>9</v>
      </c>
      <c r="B20" s="152">
        <f>IF(ISNUMBER($A20),$C$7+$A20-1,"")</f>
        <v>46274</v>
      </c>
      <c r="C20">
        <f>IF($B$2="Todos",SUMIFS(Base!$C$3:$C$5001,Base!$A$3:$A$5001,$B20),SUMIFS(Base!$C$3:$C$5001,Base!$A$3:$A$5001,$B20,Base!$B$3:$B$5001,$B$2))</f>
        <v>47</v>
      </c>
      <c r="D20">
        <f>IF($B$2="Todos",SUMIFS(Base!$D$3:$D$5001,Base!$A$3:$A$5001,$B20),SUMIFS(Base!$D$3:$D$5001,Base!$A$3:$A$5001,$B20,Base!$B$3:$B$5001,$B$2))</f>
        <v>528</v>
      </c>
      <c r="E20">
        <f>IF($B$2="Todos",SUMIFS(Base!$E$3:$E$5001,Base!$A$3:$A$5001,$B20),SUMIFS(Base!$E$3:$E$5001,Base!$A$3:$A$5001,$B20,Base!$B$3:$B$5001,$B$2))</f>
        <v>87.23</v>
      </c>
      <c r="F20">
        <f>IF($B$2="Todos",SUMIFS(Base!$F$3:$F$5001,Base!$A$3:$A$5001,$B20),SUMIFS(Base!$F$3:$F$5001,Base!$A$3:$A$5001,$B20,Base!$B$3:$B$5001,$B$2))</f>
        <v>3279</v>
      </c>
      <c r="G20">
        <f>IF($B$2="Todos",SUMIFS(Base!$G$3:$G$5001,Base!$A$3:$A$5001,$B20),SUMIFS(Base!$G$3:$G$5001,Base!$A$3:$A$5001,$B20,Base!$B$3:$B$5001,$B$2))</f>
        <v>3738</v>
      </c>
      <c r="H20">
        <f>IF($B$2="Todos",SUMIFS(Base!$H$3:$H$5001,Base!$A$3:$A$5001,$B20),SUMIFS(Base!$H$3:$H$5001,Base!$A$3:$A$5001,$B20,Base!$B$3:$B$5001,$B$2))</f>
        <v>106</v>
      </c>
      <c r="I20">
        <f>IF($B$2="Todos",SUMIFS(Base!$I$3:$I$5001,Base!$A$3:$A$5001,$B20),SUMIFS(Base!$I$3:$I$5001,Base!$A$3:$A$5001,$B20,Base!$B$3:$B$5001,$B$2))</f>
        <v>254</v>
      </c>
      <c r="J20">
        <f>IF($B$2="Todos",SUMIFS(Base!$J$3:$J$5001,Base!$A$3:$A$5001,$B20),SUMIFS(Base!$J$3:$J$5001,Base!$A$3:$A$5001,$B20,Base!$B$3:$B$5001,$B$2))</f>
        <v>385</v>
      </c>
      <c r="K20">
        <f>IF($B$2="Todos",SUMIFS(Base!$K$3:$K$5001,Base!$A$3:$A$5001,$B20),SUMIFS(Base!$K$3:$K$5001,Base!$A$3:$A$5001,$B20,Base!$B$3:$B$5001,$B$2))</f>
        <v>101</v>
      </c>
      <c r="L20">
        <f>IF($B$2="Todos",SUMIFS(Base!$L$3:$L$5001,Base!$A$3:$A$5001,$B20),SUMIFS(Base!$L$3:$L$5001,Base!$A$3:$A$5001,$B20,Base!$B$3:$B$5001,$B$2))</f>
        <v>48</v>
      </c>
      <c r="M20">
        <f>IF($B$2="Todos",SUMIFS(Base!$M$3:$M$5001,Base!$A$3:$A$5001,$B20),SUMIFS(Base!$M$3:$M$5001,Base!$A$3:$A$5001,$B20,Base!$B$3:$B$5001,$B$2))</f>
        <v>489</v>
      </c>
      <c r="N20">
        <f>IF($B$2="Todos",SUMIFS(Base!$N$3:$N$5001,Base!$A$3:$A$5001,$B20),SUMIFS(Base!$N$3:$N$5001,Base!$A$3:$A$5001,$B20,Base!$B$3:$B$5001,$B$2))</f>
        <v>276.12</v>
      </c>
      <c r="O20">
        <f>IF($B$2="Todos",SUMIFS(Base!$O$3:$O$5001,Base!$A$3:$A$5001,$B20),SUMIFS(Base!$O$3:$O$5001,Base!$A$3:$A$5001,$B20,Base!$B$3:$B$5001,$B$2))</f>
        <v>699</v>
      </c>
      <c r="P20">
        <f>IF($B$2="Todos",SUMIFS(Base!$P$3:$P$5001,Base!$A$3:$A$5001,$B20),SUMIFS(Base!$P$3:$P$5001,Base!$A$3:$A$5001,$B20,Base!$B$3:$B$5001,$B$2))</f>
        <v>574</v>
      </c>
      <c r="Q20">
        <f>IF($B$2="Todos",SUMIFS(Base!$Q$3:$Q$5001,Base!$A$3:$A$5001,$B20),SUMIFS(Base!$Q$3:$Q$5001,Base!$A$3:$A$5001,$B20,Base!$B$3:$B$5001,$B$2))</f>
        <v>263</v>
      </c>
      <c r="R20">
        <f>IF($B$2="Todos",SUMIFS(Base!$R$3:$R$5001,Base!$A$3:$A$5001,$B20),SUMIFS(Base!$R$3:$R$5001,Base!$A$3:$A$5001,$B20,Base!$B$3:$B$5001,$B$2))</f>
        <v>6254</v>
      </c>
      <c r="S20">
        <f>IF($B$2="Todos",SUMIFS(Base!$S$3:$S$5001,Base!$A$3:$A$5001,$B20),SUMIFS(Base!$S$3:$S$5001,Base!$A$3:$A$5001,$B20,Base!$B$3:$B$5001,$B$2))</f>
        <v>133</v>
      </c>
      <c r="T20">
        <f>IF($B$2="Todos",SUMIFS(Base!$T$3:$T$5001,Base!$A$3:$A$5001,$B20),SUMIFS(Base!$T$3:$T$5001,Base!$A$3:$A$5001,$B20,Base!$B$3:$B$5001,$B$2))</f>
        <v>170</v>
      </c>
      <c r="U20">
        <f>IF($B$2="Todos",SUMIFS(Base!$U$3:$U$5001,Base!$A$3:$A$5001,$B20),SUMIFS(Base!$U$3:$U$5001,Base!$A$3:$A$5001,$B20,Base!$B$3:$B$5001,$B$2))</f>
        <v>0</v>
      </c>
      <c r="V20">
        <f>IF($B$2="Todos",SUMIFS(Base!$V$3:$V$5001,Base!$A$3:$A$5001,$B20),SUMIFS(Base!$V$3:$V$5001,Base!$A$3:$A$5001,$B20,Base!$B$3:$B$5001,$B$2))</f>
        <v>0</v>
      </c>
      <c r="W20">
        <f>IF($B$2="Todos",IF(COUNT($C$136:$K$136)=0,"",SUM($C$136:$K$136)),IFERROR(INDEX($C$136:$K$136,MATCH($B$2,$C$127:$K$127,0)),""))</f>
        <v>76</v>
      </c>
      <c r="X20">
        <f>IF(Y20="","",IF($B$2="Todos",IF(ISNUMBER($B$4),$B$4,IF(COUNT($C$171:$K$171)=0,"",SUM($C$171:$K$171))),IFERROR(INDEX($C$171:$K$171,MATCH($B$2,$C$162:$K$162,0)),"")))</f>
        <v>13700</v>
      </c>
      <c r="Y20">
        <f>IF($B$2="Todos",IF(COUNT($C$206:$K$206)=0,"",SUM($C$206:$K$206)),IFERROR(INDEX($C$206:$K$206,MATCH($B$2,$C$197:$K$197,0)),""))</f>
        <v>10262</v>
      </c>
      <c r="Z20">
        <f>IF(AND(ISNUMBER(Y20),ISNUMBER(X20)),IF(X20&gt;0,Y20/X20,""),"")</f>
        <v>0.749051094890511</v>
      </c>
      <c r="AA20">
        <f>IF($B$2="Todos",IF(COUNT($C$241:$K$241)=0,"",SUM($C$241:$K$241)),IFERROR(INDEX($C$241:$K$241,MATCH($B$2,$C$232:$K$232,0)),""))</f>
        <v>91</v>
      </c>
      <c r="AB20">
        <f>IF($B$2="Todos",SUMIFS(Base!$AA$3:$AA$5001,Base!$A$3:$A$5001,$B20),SUMIFS(Base!$AA$3:$AA$5001,Base!$A$3:$A$5001,$B20,Base!$B$3:$B$5001,$B$2))</f>
        <v>2</v>
      </c>
      <c r="AC20">
        <f>IF($B$2="Todos",SUMIFS(Base!$AB$3:$AB$5001,Base!$A$3:$A$5001,$B20),SUMIFS(Base!$AB$3:$AB$5001,Base!$A$3:$A$5001,$B20,Base!$B$3:$B$5001,$B$2))</f>
        <v>1</v>
      </c>
      <c r="AD20">
        <f>IF($B$2="Todos",SUMIFS(Base!$AC$3:$AC$5001,Base!$A$3:$A$5001,$B20),SUMIFS(Base!$AC$3:$AC$5001,Base!$A$3:$A$5001,$B20,Base!$B$3:$B$5001,$B$2))</f>
        <v>0</v>
      </c>
      <c r="AE20">
        <f>IF($B$2="Todos",SUMIFS(Base!$AD$3:$AD$5001,Base!$A$3:$A$5001,$B20),SUMIFS(Base!$AD$3:$AD$5001,Base!$A$3:$A$5001,$B20,Base!$B$3:$B$5001,$B$2))</f>
        <v>0</v>
      </c>
      <c r="AG20">
        <f>IFERROR(N(INDEX($C20:$AE20,MATCH($B$3,$C$11:$AE$11,0))),0)</f>
        <v>528</v>
      </c>
      <c r="AH20">
        <f>IFERROR(N(INDEX($C20:$AE20,MATCH($C$3,$C$11:$AE$11,0))),0)</f>
        <v>489</v>
      </c>
      <c r="AI20">
        <f>$B$5</f>
        <v>0.7</v>
      </c>
      <c r="AJ20">
        <f>$B$6</f>
        <v>0.9</v>
      </c>
      <c r="AL20" t="inlineStr">
        <is>
          <t xml:space="preserve">OMNLIFE</t>
        </is>
      </c>
      <c r="AN20" t="inlineStr">
        <is>
          <t xml:space="preserve">SETEMBRO · 2026</t>
        </is>
      </c>
    </row>
    <row r="21">
      <c r="A21">
        <v>10</v>
      </c>
      <c r="B21" s="152">
        <f>IF(ISNUMBER($A21),$C$7+$A21-1,"")</f>
        <v>46275</v>
      </c>
      <c r="C21">
        <f>IF($B$2="Todos",SUMIFS(Base!$C$3:$C$5001,Base!$A$3:$A$5001,$B21),SUMIFS(Base!$C$3:$C$5001,Base!$A$3:$A$5001,$B21,Base!$B$3:$B$5001,$B$2))</f>
        <v>51</v>
      </c>
      <c r="D21">
        <f>IF($B$2="Todos",SUMIFS(Base!$D$3:$D$5001,Base!$A$3:$A$5001,$B21),SUMIFS(Base!$D$3:$D$5001,Base!$A$3:$A$5001,$B21,Base!$B$3:$B$5001,$B$2))</f>
        <v>595</v>
      </c>
      <c r="E21">
        <f>IF($B$2="Todos",SUMIFS(Base!$E$3:$E$5001,Base!$A$3:$A$5001,$B21),SUMIFS(Base!$E$3:$E$5001,Base!$A$3:$A$5001,$B21,Base!$B$3:$B$5001,$B$2))</f>
        <v>172.79</v>
      </c>
      <c r="F21">
        <f>IF($B$2="Todos",SUMIFS(Base!$F$3:$F$5001,Base!$A$3:$A$5001,$B21),SUMIFS(Base!$F$3:$F$5001,Base!$A$3:$A$5001,$B21,Base!$B$3:$B$5001,$B$2))</f>
        <v>4678</v>
      </c>
      <c r="G21">
        <f>IF($B$2="Todos",SUMIFS(Base!$G$3:$G$5001,Base!$A$3:$A$5001,$B21),SUMIFS(Base!$G$3:$G$5001,Base!$A$3:$A$5001,$B21,Base!$B$3:$B$5001,$B$2))</f>
        <v>2122</v>
      </c>
      <c r="H21">
        <f>IF($B$2="Todos",SUMIFS(Base!$H$3:$H$5001,Base!$A$3:$A$5001,$B21),SUMIFS(Base!$H$3:$H$5001,Base!$A$3:$A$5001,$B21,Base!$B$3:$B$5001,$B$2))</f>
        <v>73</v>
      </c>
      <c r="I21">
        <f>IF($B$2="Todos",SUMIFS(Base!$I$3:$I$5001,Base!$A$3:$A$5001,$B21),SUMIFS(Base!$I$3:$I$5001,Base!$A$3:$A$5001,$B21,Base!$B$3:$B$5001,$B$2))</f>
        <v>130</v>
      </c>
      <c r="J21">
        <f>IF($B$2="Todos",SUMIFS(Base!$J$3:$J$5001,Base!$A$3:$A$5001,$B21),SUMIFS(Base!$J$3:$J$5001,Base!$A$3:$A$5001,$B21,Base!$B$3:$B$5001,$B$2))</f>
        <v>418</v>
      </c>
      <c r="K21">
        <f>IF($B$2="Todos",SUMIFS(Base!$K$3:$K$5001,Base!$A$3:$A$5001,$B21),SUMIFS(Base!$K$3:$K$5001,Base!$A$3:$A$5001,$B21,Base!$B$3:$B$5001,$B$2))</f>
        <v>76</v>
      </c>
      <c r="L21">
        <f>IF($B$2="Todos",SUMIFS(Base!$L$3:$L$5001,Base!$A$3:$A$5001,$B21),SUMIFS(Base!$L$3:$L$5001,Base!$A$3:$A$5001,$B21,Base!$B$3:$B$5001,$B$2))</f>
        <v>62</v>
      </c>
      <c r="M21">
        <f>IF($B$2="Todos",SUMIFS(Base!$M$3:$M$5001,Base!$A$3:$A$5001,$B21),SUMIFS(Base!$M$3:$M$5001,Base!$A$3:$A$5001,$B21,Base!$B$3:$B$5001,$B$2))</f>
        <v>730</v>
      </c>
      <c r="N21">
        <f>IF($B$2="Todos",SUMIFS(Base!$N$3:$N$5001,Base!$A$3:$A$5001,$B21),SUMIFS(Base!$N$3:$N$5001,Base!$A$3:$A$5001,$B21,Base!$B$3:$B$5001,$B$2))</f>
        <v>231.88</v>
      </c>
      <c r="O21">
        <f>IF($B$2="Todos",SUMIFS(Base!$O$3:$O$5001,Base!$A$3:$A$5001,$B21),SUMIFS(Base!$O$3:$O$5001,Base!$A$3:$A$5001,$B21,Base!$B$3:$B$5001,$B$2))</f>
        <v>1607</v>
      </c>
      <c r="P21">
        <f>IF($B$2="Todos",SUMIFS(Base!$P$3:$P$5001,Base!$A$3:$A$5001,$B21),SUMIFS(Base!$P$3:$P$5001,Base!$A$3:$A$5001,$B21,Base!$B$3:$B$5001,$B$2))</f>
        <v>279</v>
      </c>
      <c r="Q21">
        <f>IF($B$2="Todos",SUMIFS(Base!$Q$3:$Q$5001,Base!$A$3:$A$5001,$B21),SUMIFS(Base!$Q$3:$Q$5001,Base!$A$3:$A$5001,$B21,Base!$B$3:$B$5001,$B$2))</f>
        <v>389</v>
      </c>
      <c r="R21">
        <f>IF($B$2="Todos",SUMIFS(Base!$R$3:$R$5001,Base!$A$3:$A$5001,$B21),SUMIFS(Base!$R$3:$R$5001,Base!$A$3:$A$5001,$B21,Base!$B$3:$B$5001,$B$2))</f>
        <v>3883</v>
      </c>
      <c r="S21">
        <f>IF($B$2="Todos",SUMIFS(Base!$S$3:$S$5001,Base!$A$3:$A$5001,$B21),SUMIFS(Base!$S$3:$S$5001,Base!$A$3:$A$5001,$B21,Base!$B$3:$B$5001,$B$2))</f>
        <v>225</v>
      </c>
      <c r="T21">
        <f>IF($B$2="Todos",SUMIFS(Base!$T$3:$T$5001,Base!$A$3:$A$5001,$B21),SUMIFS(Base!$T$3:$T$5001,Base!$A$3:$A$5001,$B21,Base!$B$3:$B$5001,$B$2))</f>
        <v>197</v>
      </c>
      <c r="U21">
        <f>IF($B$2="Todos",SUMIFS(Base!$U$3:$U$5001,Base!$A$3:$A$5001,$B21),SUMIFS(Base!$U$3:$U$5001,Base!$A$3:$A$5001,$B21,Base!$B$3:$B$5001,$B$2))</f>
        <v>0</v>
      </c>
      <c r="V21">
        <f>IF($B$2="Todos",SUMIFS(Base!$V$3:$V$5001,Base!$A$3:$A$5001,$B21),SUMIFS(Base!$V$3:$V$5001,Base!$A$3:$A$5001,$B21,Base!$B$3:$B$5001,$B$2))</f>
        <v>0</v>
      </c>
      <c r="W21">
        <f>IF($B$2="Todos",IF(COUNT($C$137:$K$137)=0,"",SUM($C$137:$K$137)),IFERROR(INDEX($C$137:$K$137,MATCH($B$2,$C$127:$K$127,0)),""))</f>
        <v>58</v>
      </c>
      <c r="X21">
        <f>IF(Y21="","",IF($B$2="Todos",IF(ISNUMBER($B$4),$B$4,IF(COUNT($C$172:$K$172)=0,"",SUM($C$172:$K$172))),IFERROR(INDEX($C$172:$K$172,MATCH($B$2,$C$162:$K$162,0)),"")))</f>
        <v>13700</v>
      </c>
      <c r="Y21">
        <f>IF($B$2="Todos",IF(COUNT($C$207:$K$207)=0,"",SUM($C$207:$K$207)),IFERROR(INDEX($C$207:$K$207,MATCH($B$2,$C$197:$K$197,0)),""))</f>
        <v>10519</v>
      </c>
      <c r="Z21">
        <f>IF(AND(ISNUMBER(Y21),ISNUMBER(X21)),IF(X21&gt;0,Y21/X21,""),"")</f>
        <v>0.767810218978102</v>
      </c>
      <c r="AA21">
        <f>IF($B$2="Todos",IF(COUNT($C$242:$K$242)=0,"",SUM($C$242:$K$242)),IFERROR(INDEX($C$242:$K$242,MATCH($B$2,$C$232:$K$232,0)),""))</f>
        <v>77</v>
      </c>
      <c r="AB21">
        <f>IF($B$2="Todos",SUMIFS(Base!$AA$3:$AA$5001,Base!$A$3:$A$5001,$B21),SUMIFS(Base!$AA$3:$AA$5001,Base!$A$3:$A$5001,$B21,Base!$B$3:$B$5001,$B$2))</f>
        <v>3</v>
      </c>
      <c r="AC21">
        <f>IF($B$2="Todos",SUMIFS(Base!$AB$3:$AB$5001,Base!$A$3:$A$5001,$B21),SUMIFS(Base!$AB$3:$AB$5001,Base!$A$3:$A$5001,$B21,Base!$B$3:$B$5001,$B$2))</f>
        <v>2</v>
      </c>
      <c r="AD21">
        <f>IF($B$2="Todos",SUMIFS(Base!$AC$3:$AC$5001,Base!$A$3:$A$5001,$B21),SUMIFS(Base!$AC$3:$AC$5001,Base!$A$3:$A$5001,$B21,Base!$B$3:$B$5001,$B$2))</f>
        <v>0</v>
      </c>
      <c r="AE21">
        <f>IF($B$2="Todos",SUMIFS(Base!$AD$3:$AD$5001,Base!$A$3:$A$5001,$B21),SUMIFS(Base!$AD$3:$AD$5001,Base!$A$3:$A$5001,$B21,Base!$B$3:$B$5001,$B$2))</f>
        <v>0</v>
      </c>
      <c r="AG21">
        <f>IFERROR(N(INDEX($C21:$AE21,MATCH($B$3,$C$11:$AE$11,0))),0)</f>
        <v>595</v>
      </c>
      <c r="AH21">
        <f>IFERROR(N(INDEX($C21:$AE21,MATCH($C$3,$C$11:$AE$11,0))),0)</f>
        <v>730</v>
      </c>
      <c r="AI21">
        <f>$B$5</f>
        <v>0.7</v>
      </c>
      <c r="AJ21">
        <f>$B$6</f>
        <v>0.9</v>
      </c>
      <c r="AL21" t="inlineStr">
        <is>
          <t xml:space="preserve">ALPARGATAS</t>
        </is>
      </c>
      <c r="AN21" t="inlineStr">
        <is>
          <t xml:space="preserve">OUTUBRO · 2026</t>
        </is>
      </c>
    </row>
    <row r="22">
      <c r="A22">
        <v>11</v>
      </c>
      <c r="B22" s="152">
        <f>IF(ISNUMBER($A22),$C$7+$A22-1,"")</f>
        <v>46276</v>
      </c>
      <c r="C22">
        <f>IF($B$2="Todos",SUMIFS(Base!$C$3:$C$5001,Base!$A$3:$A$5001,$B22),SUMIFS(Base!$C$3:$C$5001,Base!$A$3:$A$5001,$B22,Base!$B$3:$B$5001,$B$2))</f>
        <v>42</v>
      </c>
      <c r="D22">
        <f>IF($B$2="Todos",SUMIFS(Base!$D$3:$D$5001,Base!$A$3:$A$5001,$B22),SUMIFS(Base!$D$3:$D$5001,Base!$A$3:$A$5001,$B22,Base!$B$3:$B$5001,$B$2))</f>
        <v>436</v>
      </c>
      <c r="E22">
        <f>IF($B$2="Todos",SUMIFS(Base!$E$3:$E$5001,Base!$A$3:$A$5001,$B22),SUMIFS(Base!$E$3:$E$5001,Base!$A$3:$A$5001,$B22,Base!$B$3:$B$5001,$B$2))</f>
        <v>112.24</v>
      </c>
      <c r="F22">
        <f>IF($B$2="Todos",SUMIFS(Base!$F$3:$F$5001,Base!$A$3:$A$5001,$B22),SUMIFS(Base!$F$3:$F$5001,Base!$A$3:$A$5001,$B22,Base!$B$3:$B$5001,$B$2))</f>
        <v>3425</v>
      </c>
      <c r="G22">
        <f>IF($B$2="Todos",SUMIFS(Base!$G$3:$G$5001,Base!$A$3:$A$5001,$B22),SUMIFS(Base!$G$3:$G$5001,Base!$A$3:$A$5001,$B22,Base!$B$3:$B$5001,$B$2))</f>
        <v>1878</v>
      </c>
      <c r="H22">
        <f>IF($B$2="Todos",SUMIFS(Base!$H$3:$H$5001,Base!$A$3:$A$5001,$B22),SUMIFS(Base!$H$3:$H$5001,Base!$A$3:$A$5001,$B22,Base!$B$3:$B$5001,$B$2))</f>
        <v>67</v>
      </c>
      <c r="I22">
        <f>IF($B$2="Todos",SUMIFS(Base!$I$3:$I$5001,Base!$A$3:$A$5001,$B22),SUMIFS(Base!$I$3:$I$5001,Base!$A$3:$A$5001,$B22,Base!$B$3:$B$5001,$B$2))</f>
        <v>501</v>
      </c>
      <c r="J22">
        <f>IF($B$2="Todos",SUMIFS(Base!$J$3:$J$5001,Base!$A$3:$A$5001,$B22),SUMIFS(Base!$J$3:$J$5001,Base!$A$3:$A$5001,$B22,Base!$B$3:$B$5001,$B$2))</f>
        <v>304</v>
      </c>
      <c r="K22">
        <f>IF($B$2="Todos",SUMIFS(Base!$K$3:$K$5001,Base!$A$3:$A$5001,$B22),SUMIFS(Base!$K$3:$K$5001,Base!$A$3:$A$5001,$B22,Base!$B$3:$B$5001,$B$2))</f>
        <v>121</v>
      </c>
      <c r="L22">
        <f>IF($B$2="Todos",SUMIFS(Base!$L$3:$L$5001,Base!$A$3:$A$5001,$B22),SUMIFS(Base!$L$3:$L$5001,Base!$A$3:$A$5001,$B22,Base!$B$3:$B$5001,$B$2))</f>
        <v>61</v>
      </c>
      <c r="M22">
        <f>IF($B$2="Todos",SUMIFS(Base!$M$3:$M$5001,Base!$A$3:$A$5001,$B22),SUMIFS(Base!$M$3:$M$5001,Base!$A$3:$A$5001,$B22,Base!$B$3:$B$5001,$B$2))</f>
        <v>704</v>
      </c>
      <c r="N22">
        <f>IF($B$2="Todos",SUMIFS(Base!$N$3:$N$5001,Base!$A$3:$A$5001,$B22),SUMIFS(Base!$N$3:$N$5001,Base!$A$3:$A$5001,$B22,Base!$B$3:$B$5001,$B$2))</f>
        <v>260.67</v>
      </c>
      <c r="O22">
        <f>IF($B$2="Todos",SUMIFS(Base!$O$3:$O$5001,Base!$A$3:$A$5001,$B22),SUMIFS(Base!$O$3:$O$5001,Base!$A$3:$A$5001,$B22,Base!$B$3:$B$5001,$B$2))</f>
        <v>1470</v>
      </c>
      <c r="P22">
        <f>IF($B$2="Todos",SUMIFS(Base!$P$3:$P$5001,Base!$A$3:$A$5001,$B22),SUMIFS(Base!$P$3:$P$5001,Base!$A$3:$A$5001,$B22,Base!$B$3:$B$5001,$B$2))</f>
        <v>673</v>
      </c>
      <c r="Q22">
        <f>IF($B$2="Todos",SUMIFS(Base!$Q$3:$Q$5001,Base!$A$3:$A$5001,$B22),SUMIFS(Base!$Q$3:$Q$5001,Base!$A$3:$A$5001,$B22,Base!$B$3:$B$5001,$B$2))</f>
        <v>1095</v>
      </c>
      <c r="R22">
        <f>IF($B$2="Todos",SUMIFS(Base!$R$3:$R$5001,Base!$A$3:$A$5001,$B22),SUMIFS(Base!$R$3:$R$5001,Base!$A$3:$A$5001,$B22,Base!$B$3:$B$5001,$B$2))</f>
        <v>8662</v>
      </c>
      <c r="S22">
        <f>IF($B$2="Todos",SUMIFS(Base!$S$3:$S$5001,Base!$A$3:$A$5001,$B22),SUMIFS(Base!$S$3:$S$5001,Base!$A$3:$A$5001,$B22,Base!$B$3:$B$5001,$B$2))</f>
        <v>283</v>
      </c>
      <c r="T22">
        <f>IF($B$2="Todos",SUMIFS(Base!$T$3:$T$5001,Base!$A$3:$A$5001,$B22),SUMIFS(Base!$T$3:$T$5001,Base!$A$3:$A$5001,$B22,Base!$B$3:$B$5001,$B$2))</f>
        <v>102</v>
      </c>
      <c r="U22">
        <f>IF($B$2="Todos",SUMIFS(Base!$U$3:$U$5001,Base!$A$3:$A$5001,$B22),SUMIFS(Base!$U$3:$U$5001,Base!$A$3:$A$5001,$B22,Base!$B$3:$B$5001,$B$2))</f>
        <v>0</v>
      </c>
      <c r="V22">
        <f>IF($B$2="Todos",SUMIFS(Base!$V$3:$V$5001,Base!$A$3:$A$5001,$B22),SUMIFS(Base!$V$3:$V$5001,Base!$A$3:$A$5001,$B22,Base!$B$3:$B$5001,$B$2))</f>
        <v>1</v>
      </c>
      <c r="W22">
        <f>IF($B$2="Todos",IF(COUNT($C$138:$K$138)=0,"",SUM($C$138:$K$138)),IFERROR(INDEX($C$138:$K$138,MATCH($B$2,$C$127:$K$127,0)),""))</f>
        <v>58</v>
      </c>
      <c r="X22">
        <f>IF(Y22="","",IF($B$2="Todos",IF(ISNUMBER($B$4),$B$4,IF(COUNT($C$173:$K$173)=0,"",SUM($C$173:$K$173))),IFERROR(INDEX($C$173:$K$173,MATCH($B$2,$C$162:$K$162,0)),"")))</f>
        <v>13700</v>
      </c>
      <c r="Y22">
        <f>IF($B$2="Todos",IF(COUNT($C$208:$K$208)=0,"",SUM($C$208:$K$208)),IFERROR(INDEX($C$208:$K$208,MATCH($B$2,$C$197:$K$197,0)),""))</f>
        <v>10336</v>
      </c>
      <c r="Z22">
        <f>IF(AND(ISNUMBER(Y22),ISNUMBER(X22)),IF(X22&gt;0,Y22/X22,""),"")</f>
        <v>0.754452554744526</v>
      </c>
      <c r="AA22">
        <f>IF($B$2="Todos",IF(COUNT($C$243:$K$243)=0,"",SUM($C$243:$K$243)),IFERROR(INDEX($C$243:$K$243,MATCH($B$2,$C$232:$K$232,0)),""))</f>
        <v>84</v>
      </c>
      <c r="AB22">
        <f>IF($B$2="Todos",SUMIFS(Base!$AA$3:$AA$5001,Base!$A$3:$A$5001,$B22),SUMIFS(Base!$AA$3:$AA$5001,Base!$A$3:$A$5001,$B22,Base!$B$3:$B$5001,$B$2))</f>
        <v>1</v>
      </c>
      <c r="AC22">
        <f>IF($B$2="Todos",SUMIFS(Base!$AB$3:$AB$5001,Base!$A$3:$A$5001,$B22),SUMIFS(Base!$AB$3:$AB$5001,Base!$A$3:$A$5001,$B22,Base!$B$3:$B$5001,$B$2))</f>
        <v>0</v>
      </c>
      <c r="AD22">
        <f>IF($B$2="Todos",SUMIFS(Base!$AC$3:$AC$5001,Base!$A$3:$A$5001,$B22),SUMIFS(Base!$AC$3:$AC$5001,Base!$A$3:$A$5001,$B22,Base!$B$3:$B$5001,$B$2))</f>
        <v>0</v>
      </c>
      <c r="AE22">
        <f>IF($B$2="Todos",SUMIFS(Base!$AD$3:$AD$5001,Base!$A$3:$A$5001,$B22),SUMIFS(Base!$AD$3:$AD$5001,Base!$A$3:$A$5001,$B22,Base!$B$3:$B$5001,$B$2))</f>
        <v>0</v>
      </c>
      <c r="AG22">
        <f>IFERROR(N(INDEX($C22:$AE22,MATCH($B$3,$C$11:$AE$11,0))),0)</f>
        <v>436</v>
      </c>
      <c r="AH22">
        <f>IFERROR(N(INDEX($C22:$AE22,MATCH($C$3,$C$11:$AE$11,0))),0)</f>
        <v>704</v>
      </c>
      <c r="AI22">
        <f>$B$5</f>
        <v>0.7</v>
      </c>
      <c r="AJ22">
        <f>$B$6</f>
        <v>0.9</v>
      </c>
      <c r="AN22" t="inlineStr">
        <is>
          <t xml:space="preserve">NOVEMBRO · 2026</t>
        </is>
      </c>
    </row>
    <row r="23">
      <c r="A23">
        <v>12</v>
      </c>
      <c r="B23" s="152">
        <f>IF(ISNUMBER($A23),$C$7+$A23-1,"")</f>
        <v>46277</v>
      </c>
      <c r="C23">
        <f>IF($B$2="Todos",SUMIFS(Base!$C$3:$C$5001,Base!$A$3:$A$5001,$B23),SUMIFS(Base!$C$3:$C$5001,Base!$A$3:$A$5001,$B23,Base!$B$3:$B$5001,$B$2))</f>
        <v>41</v>
      </c>
      <c r="D23">
        <f>IF($B$2="Todos",SUMIFS(Base!$D$3:$D$5001,Base!$A$3:$A$5001,$B23),SUMIFS(Base!$D$3:$D$5001,Base!$A$3:$A$5001,$B23,Base!$B$3:$B$5001,$B$2))</f>
        <v>477</v>
      </c>
      <c r="E23">
        <f>IF($B$2="Todos",SUMIFS(Base!$E$3:$E$5001,Base!$A$3:$A$5001,$B23),SUMIFS(Base!$E$3:$E$5001,Base!$A$3:$A$5001,$B23,Base!$B$3:$B$5001,$B$2))</f>
        <v>151.7</v>
      </c>
      <c r="F23">
        <f>IF($B$2="Todos",SUMIFS(Base!$F$3:$F$5001,Base!$A$3:$A$5001,$B23),SUMIFS(Base!$F$3:$F$5001,Base!$A$3:$A$5001,$B23,Base!$B$3:$B$5001,$B$2))</f>
        <v>1581</v>
      </c>
      <c r="G23">
        <f>IF($B$2="Todos",SUMIFS(Base!$G$3:$G$5001,Base!$A$3:$A$5001,$B23),SUMIFS(Base!$G$3:$G$5001,Base!$A$3:$A$5001,$B23,Base!$B$3:$B$5001,$B$2))</f>
        <v>2726</v>
      </c>
      <c r="H23">
        <f>IF($B$2="Todos",SUMIFS(Base!$H$3:$H$5001,Base!$A$3:$A$5001,$B23),SUMIFS(Base!$H$3:$H$5001,Base!$A$3:$A$5001,$B23,Base!$B$3:$B$5001,$B$2))</f>
        <v>191</v>
      </c>
      <c r="I23">
        <f>IF($B$2="Todos",SUMIFS(Base!$I$3:$I$5001,Base!$A$3:$A$5001,$B23),SUMIFS(Base!$I$3:$I$5001,Base!$A$3:$A$5001,$B23,Base!$B$3:$B$5001,$B$2))</f>
        <v>390</v>
      </c>
      <c r="J23">
        <f>IF($B$2="Todos",SUMIFS(Base!$J$3:$J$5001,Base!$A$3:$A$5001,$B23),SUMIFS(Base!$J$3:$J$5001,Base!$A$3:$A$5001,$B23,Base!$B$3:$B$5001,$B$2))</f>
        <v>530</v>
      </c>
      <c r="K23">
        <f>IF($B$2="Todos",SUMIFS(Base!$K$3:$K$5001,Base!$A$3:$A$5001,$B23),SUMIFS(Base!$K$3:$K$5001,Base!$A$3:$A$5001,$B23,Base!$B$3:$B$5001,$B$2))</f>
        <v>123</v>
      </c>
      <c r="L23">
        <f>IF($B$2="Todos",SUMIFS(Base!$L$3:$L$5001,Base!$A$3:$A$5001,$B23),SUMIFS(Base!$L$3:$L$5001,Base!$A$3:$A$5001,$B23,Base!$B$3:$B$5001,$B$2))</f>
        <v>66</v>
      </c>
      <c r="M23">
        <f>IF($B$2="Todos",SUMIFS(Base!$M$3:$M$5001,Base!$A$3:$A$5001,$B23),SUMIFS(Base!$M$3:$M$5001,Base!$A$3:$A$5001,$B23,Base!$B$3:$B$5001,$B$2))</f>
        <v>617</v>
      </c>
      <c r="N23">
        <f>IF($B$2="Todos",SUMIFS(Base!$N$3:$N$5001,Base!$A$3:$A$5001,$B23),SUMIFS(Base!$N$3:$N$5001,Base!$A$3:$A$5001,$B23,Base!$B$3:$B$5001,$B$2))</f>
        <v>128.05</v>
      </c>
      <c r="O23">
        <f>IF($B$2="Todos",SUMIFS(Base!$O$3:$O$5001,Base!$A$3:$A$5001,$B23),SUMIFS(Base!$O$3:$O$5001,Base!$A$3:$A$5001,$B23,Base!$B$3:$B$5001,$B$2))</f>
        <v>1252</v>
      </c>
      <c r="P23">
        <f>IF($B$2="Todos",SUMIFS(Base!$P$3:$P$5001,Base!$A$3:$A$5001,$B23),SUMIFS(Base!$P$3:$P$5001,Base!$A$3:$A$5001,$B23,Base!$B$3:$B$5001,$B$2))</f>
        <v>92</v>
      </c>
      <c r="Q23">
        <f>IF($B$2="Todos",SUMIFS(Base!$Q$3:$Q$5001,Base!$A$3:$A$5001,$B23),SUMIFS(Base!$Q$3:$Q$5001,Base!$A$3:$A$5001,$B23,Base!$B$3:$B$5001,$B$2))</f>
        <v>715</v>
      </c>
      <c r="R23">
        <f>IF($B$2="Todos",SUMIFS(Base!$R$3:$R$5001,Base!$A$3:$A$5001,$B23),SUMIFS(Base!$R$3:$R$5001,Base!$A$3:$A$5001,$B23,Base!$B$3:$B$5001,$B$2))</f>
        <v>3568</v>
      </c>
      <c r="S23">
        <f>IF($B$2="Todos",SUMIFS(Base!$S$3:$S$5001,Base!$A$3:$A$5001,$B23),SUMIFS(Base!$S$3:$S$5001,Base!$A$3:$A$5001,$B23,Base!$B$3:$B$5001,$B$2))</f>
        <v>70</v>
      </c>
      <c r="T23">
        <f>IF($B$2="Todos",SUMIFS(Base!$T$3:$T$5001,Base!$A$3:$A$5001,$B23),SUMIFS(Base!$T$3:$T$5001,Base!$A$3:$A$5001,$B23,Base!$B$3:$B$5001,$B$2))</f>
        <v>120</v>
      </c>
      <c r="U23">
        <f>IF($B$2="Todos",SUMIFS(Base!$U$3:$U$5001,Base!$A$3:$A$5001,$B23),SUMIFS(Base!$U$3:$U$5001,Base!$A$3:$A$5001,$B23,Base!$B$3:$B$5001,$B$2))</f>
        <v>0</v>
      </c>
      <c r="V23">
        <f>IF($B$2="Todos",SUMIFS(Base!$V$3:$V$5001,Base!$A$3:$A$5001,$B23),SUMIFS(Base!$V$3:$V$5001,Base!$A$3:$A$5001,$B23,Base!$B$3:$B$5001,$B$2))</f>
        <v>1</v>
      </c>
      <c r="W23">
        <f>IF($B$2="Todos",IF(COUNT($C$139:$K$139)=0,"",SUM($C$139:$K$139)),IFERROR(INDEX($C$139:$K$139,MATCH($B$2,$C$127:$K$127,0)),""))</f>
        <v>57</v>
      </c>
      <c r="X23">
        <f>IF(Y23="","",IF($B$2="Todos",IF(ISNUMBER($B$4),$B$4,IF(COUNT($C$174:$K$174)=0,"",SUM($C$174:$K$174))),IFERROR(INDEX($C$174:$K$174,MATCH($B$2,$C$162:$K$162,0)),"")))</f>
        <v>13700</v>
      </c>
      <c r="Y23">
        <f>IF($B$2="Todos",IF(COUNT($C$209:$K$209)=0,"",SUM($C$209:$K$209)),IFERROR(INDEX($C$209:$K$209,MATCH($B$2,$C$197:$K$197,0)),""))</f>
        <v>10061</v>
      </c>
      <c r="Z23">
        <f>IF(AND(ISNUMBER(Y23),ISNUMBER(X23)),IF(X23&gt;0,Y23/X23,""),"")</f>
        <v>0.734379562043796</v>
      </c>
      <c r="AA23">
        <f>IF($B$2="Todos",IF(COUNT($C$244:$K$244)=0,"",SUM($C$244:$K$244)),IFERROR(INDEX($C$244:$K$244,MATCH($B$2,$C$232:$K$232,0)),""))</f>
        <v>63</v>
      </c>
      <c r="AB23">
        <f>IF($B$2="Todos",SUMIFS(Base!$AA$3:$AA$5001,Base!$A$3:$A$5001,$B23),SUMIFS(Base!$AA$3:$AA$5001,Base!$A$3:$A$5001,$B23,Base!$B$3:$B$5001,$B$2))</f>
        <v>1</v>
      </c>
      <c r="AC23">
        <f>IF($B$2="Todos",SUMIFS(Base!$AB$3:$AB$5001,Base!$A$3:$A$5001,$B23),SUMIFS(Base!$AB$3:$AB$5001,Base!$A$3:$A$5001,$B23,Base!$B$3:$B$5001,$B$2))</f>
        <v>1</v>
      </c>
      <c r="AD23">
        <f>IF($B$2="Todos",SUMIFS(Base!$AC$3:$AC$5001,Base!$A$3:$A$5001,$B23),SUMIFS(Base!$AC$3:$AC$5001,Base!$A$3:$A$5001,$B23,Base!$B$3:$B$5001,$B$2))</f>
        <v>1</v>
      </c>
      <c r="AE23">
        <f>IF($B$2="Todos",SUMIFS(Base!$AD$3:$AD$5001,Base!$A$3:$A$5001,$B23),SUMIFS(Base!$AD$3:$AD$5001,Base!$A$3:$A$5001,$B23,Base!$B$3:$B$5001,$B$2))</f>
        <v>0</v>
      </c>
      <c r="AG23">
        <f>IFERROR(N(INDEX($C23:$AE23,MATCH($B$3,$C$11:$AE$11,0))),0)</f>
        <v>477</v>
      </c>
      <c r="AH23">
        <f>IFERROR(N(INDEX($C23:$AE23,MATCH($C$3,$C$11:$AE$11,0))),0)</f>
        <v>617</v>
      </c>
      <c r="AI23">
        <f>$B$5</f>
        <v>0.7</v>
      </c>
      <c r="AJ23">
        <f>$B$6</f>
        <v>0.9</v>
      </c>
      <c r="AN23" t="inlineStr">
        <is>
          <t xml:space="preserve">DEZEMBRO · 2026</t>
        </is>
      </c>
    </row>
    <row r="24">
      <c r="A24">
        <v>13</v>
      </c>
      <c r="B24" s="152">
        <f>IF(ISNUMBER($A24),$C$7+$A24-1,"")</f>
        <v>46278</v>
      </c>
      <c r="C24">
        <f>IF($B$2="Todos",SUMIFS(Base!$C$3:$C$5001,Base!$A$3:$A$5001,$B24),SUMIFS(Base!$C$3:$C$5001,Base!$A$3:$A$5001,$B24,Base!$B$3:$B$5001,$B$2))</f>
        <v>0</v>
      </c>
      <c r="D24">
        <f>IF($B$2="Todos",SUMIFS(Base!$D$3:$D$5001,Base!$A$3:$A$5001,$B24),SUMIFS(Base!$D$3:$D$5001,Base!$A$3:$A$5001,$B24,Base!$B$3:$B$5001,$B$2))</f>
        <v>0</v>
      </c>
      <c r="E24">
        <f>IF($B$2="Todos",SUMIFS(Base!$E$3:$E$5001,Base!$A$3:$A$5001,$B24),SUMIFS(Base!$E$3:$E$5001,Base!$A$3:$A$5001,$B24,Base!$B$3:$B$5001,$B$2))</f>
        <v>0</v>
      </c>
      <c r="F24">
        <f>IF($B$2="Todos",SUMIFS(Base!$F$3:$F$5001,Base!$A$3:$A$5001,$B24),SUMIFS(Base!$F$3:$F$5001,Base!$A$3:$A$5001,$B24,Base!$B$3:$B$5001,$B$2))</f>
        <v>0</v>
      </c>
      <c r="G24">
        <f>IF($B$2="Todos",SUMIFS(Base!$G$3:$G$5001,Base!$A$3:$A$5001,$B24),SUMIFS(Base!$G$3:$G$5001,Base!$A$3:$A$5001,$B24,Base!$B$3:$B$5001,$B$2))</f>
        <v>0</v>
      </c>
      <c r="H24">
        <f>IF($B$2="Todos",SUMIFS(Base!$H$3:$H$5001,Base!$A$3:$A$5001,$B24),SUMIFS(Base!$H$3:$H$5001,Base!$A$3:$A$5001,$B24,Base!$B$3:$B$5001,$B$2))</f>
        <v>0</v>
      </c>
      <c r="I24">
        <f>IF($B$2="Todos",SUMIFS(Base!$I$3:$I$5001,Base!$A$3:$A$5001,$B24),SUMIFS(Base!$I$3:$I$5001,Base!$A$3:$A$5001,$B24,Base!$B$3:$B$5001,$B$2))</f>
        <v>0</v>
      </c>
      <c r="J24">
        <f>IF($B$2="Todos",SUMIFS(Base!$J$3:$J$5001,Base!$A$3:$A$5001,$B24),SUMIFS(Base!$J$3:$J$5001,Base!$A$3:$A$5001,$B24,Base!$B$3:$B$5001,$B$2))</f>
        <v>0</v>
      </c>
      <c r="K24">
        <f>IF($B$2="Todos",SUMIFS(Base!$K$3:$K$5001,Base!$A$3:$A$5001,$B24),SUMIFS(Base!$K$3:$K$5001,Base!$A$3:$A$5001,$B24,Base!$B$3:$B$5001,$B$2))</f>
        <v>0</v>
      </c>
      <c r="L24">
        <f>IF($B$2="Todos",SUMIFS(Base!$L$3:$L$5001,Base!$A$3:$A$5001,$B24),SUMIFS(Base!$L$3:$L$5001,Base!$A$3:$A$5001,$B24,Base!$B$3:$B$5001,$B$2))</f>
        <v>0</v>
      </c>
      <c r="M24">
        <f>IF($B$2="Todos",SUMIFS(Base!$M$3:$M$5001,Base!$A$3:$A$5001,$B24),SUMIFS(Base!$M$3:$M$5001,Base!$A$3:$A$5001,$B24,Base!$B$3:$B$5001,$B$2))</f>
        <v>0</v>
      </c>
      <c r="N24">
        <f>IF($B$2="Todos",SUMIFS(Base!$N$3:$N$5001,Base!$A$3:$A$5001,$B24),SUMIFS(Base!$N$3:$N$5001,Base!$A$3:$A$5001,$B24,Base!$B$3:$B$5001,$B$2))</f>
        <v>0</v>
      </c>
      <c r="O24">
        <f>IF($B$2="Todos",SUMIFS(Base!$O$3:$O$5001,Base!$A$3:$A$5001,$B24),SUMIFS(Base!$O$3:$O$5001,Base!$A$3:$A$5001,$B24,Base!$B$3:$B$5001,$B$2))</f>
        <v>0</v>
      </c>
      <c r="P24">
        <f>IF($B$2="Todos",SUMIFS(Base!$P$3:$P$5001,Base!$A$3:$A$5001,$B24),SUMIFS(Base!$P$3:$P$5001,Base!$A$3:$A$5001,$B24,Base!$B$3:$B$5001,$B$2))</f>
        <v>0</v>
      </c>
      <c r="Q24">
        <f>IF($B$2="Todos",SUMIFS(Base!$Q$3:$Q$5001,Base!$A$3:$A$5001,$B24),SUMIFS(Base!$Q$3:$Q$5001,Base!$A$3:$A$5001,$B24,Base!$B$3:$B$5001,$B$2))</f>
        <v>0</v>
      </c>
      <c r="R24">
        <f>IF($B$2="Todos",SUMIFS(Base!$R$3:$R$5001,Base!$A$3:$A$5001,$B24),SUMIFS(Base!$R$3:$R$5001,Base!$A$3:$A$5001,$B24,Base!$B$3:$B$5001,$B$2))</f>
        <v>0</v>
      </c>
      <c r="S24">
        <f>IF($B$2="Todos",SUMIFS(Base!$S$3:$S$5001,Base!$A$3:$A$5001,$B24),SUMIFS(Base!$S$3:$S$5001,Base!$A$3:$A$5001,$B24,Base!$B$3:$B$5001,$B$2))</f>
        <v>0</v>
      </c>
      <c r="T24">
        <f>IF($B$2="Todos",SUMIFS(Base!$T$3:$T$5001,Base!$A$3:$A$5001,$B24),SUMIFS(Base!$T$3:$T$5001,Base!$A$3:$A$5001,$B24,Base!$B$3:$B$5001,$B$2))</f>
        <v>0</v>
      </c>
      <c r="U24">
        <f>IF($B$2="Todos",SUMIFS(Base!$U$3:$U$5001,Base!$A$3:$A$5001,$B24),SUMIFS(Base!$U$3:$U$5001,Base!$A$3:$A$5001,$B24,Base!$B$3:$B$5001,$B$2))</f>
        <v>0</v>
      </c>
      <c r="V24">
        <f>IF($B$2="Todos",SUMIFS(Base!$V$3:$V$5001,Base!$A$3:$A$5001,$B24),SUMIFS(Base!$V$3:$V$5001,Base!$A$3:$A$5001,$B24,Base!$B$3:$B$5001,$B$2))</f>
        <v>0</v>
      </c>
      <c r="W24">
        <f>IF($B$2="Todos",IF(COUNT($C$140:$K$140)=0,"",SUM($C$140:$K$140)),IFERROR(INDEX($C$140:$K$140,MATCH($B$2,$C$127:$K$127,0)),""))</f>
        <v>57</v>
      </c>
      <c r="X24">
        <f>IF(Y24="","",IF($B$2="Todos",IF(ISNUMBER($B$4),$B$4,IF(COUNT($C$175:$K$175)=0,"",SUM($C$175:$K$175))),IFERROR(INDEX($C$175:$K$175,MATCH($B$2,$C$162:$K$162,0)),"")))</f>
        <v>13700</v>
      </c>
      <c r="Y24">
        <f>IF($B$2="Todos",IF(COUNT($C$210:$K$210)=0,"",SUM($C$210:$K$210)),IFERROR(INDEX($C$210:$K$210,MATCH($B$2,$C$197:$K$197,0)),""))</f>
        <v>10061</v>
      </c>
      <c r="Z24">
        <f>IF(AND(ISNUMBER(Y24),ISNUMBER(X24)),IF(X24&gt;0,Y24/X24,""),"")</f>
        <v>0.734379562043796</v>
      </c>
      <c r="AA24">
        <f>IF($B$2="Todos",IF(COUNT($C$245:$K$245)=0,"",SUM($C$245:$K$245)),IFERROR(INDEX($C$245:$K$245,MATCH($B$2,$C$232:$K$232,0)),""))</f>
        <v>63</v>
      </c>
      <c r="AB24">
        <f>IF($B$2="Todos",SUMIFS(Base!$AA$3:$AA$5001,Base!$A$3:$A$5001,$B24),SUMIFS(Base!$AA$3:$AA$5001,Base!$A$3:$A$5001,$B24,Base!$B$3:$B$5001,$B$2))</f>
        <v>0</v>
      </c>
      <c r="AC24">
        <f>IF($B$2="Todos",SUMIFS(Base!$AB$3:$AB$5001,Base!$A$3:$A$5001,$B24),SUMIFS(Base!$AB$3:$AB$5001,Base!$A$3:$A$5001,$B24,Base!$B$3:$B$5001,$B$2))</f>
        <v>0</v>
      </c>
      <c r="AD24">
        <f>IF($B$2="Todos",SUMIFS(Base!$AC$3:$AC$5001,Base!$A$3:$A$5001,$B24),SUMIFS(Base!$AC$3:$AC$5001,Base!$A$3:$A$5001,$B24,Base!$B$3:$B$5001,$B$2))</f>
        <v>0</v>
      </c>
      <c r="AE24">
        <f>IF($B$2="Todos",SUMIFS(Base!$AD$3:$AD$5001,Base!$A$3:$A$5001,$B24),SUMIFS(Base!$AD$3:$AD$5001,Base!$A$3:$A$5001,$B24,Base!$B$3:$B$5001,$B$2))</f>
        <v>0</v>
      </c>
      <c r="AG24">
        <f>IFERROR(N(INDEX($C24:$AE24,MATCH($B$3,$C$11:$AE$11,0))),0)</f>
        <v>0</v>
      </c>
      <c r="AH24">
        <f>IFERROR(N(INDEX($C24:$AE24,MATCH($C$3,$C$11:$AE$11,0))),0)</f>
        <v>0</v>
      </c>
      <c r="AI24">
        <f>$B$5</f>
        <v>0.7</v>
      </c>
      <c r="AJ24">
        <f>$B$6</f>
        <v>0.9</v>
      </c>
      <c r="AN24" t="inlineStr">
        <is>
          <t xml:space="preserve">JANEIRO · 2027</t>
        </is>
      </c>
    </row>
    <row r="25">
      <c r="A25">
        <v>14</v>
      </c>
      <c r="B25" s="152">
        <f>IF(ISNUMBER($A25),$C$7+$A25-1,"")</f>
        <v>46279</v>
      </c>
      <c r="C25">
        <f>IF($B$2="Todos",SUMIFS(Base!$C$3:$C$5001,Base!$A$3:$A$5001,$B25),SUMIFS(Base!$C$3:$C$5001,Base!$A$3:$A$5001,$B25,Base!$B$3:$B$5001,$B$2))</f>
        <v>42</v>
      </c>
      <c r="D25">
        <f>IF($B$2="Todos",SUMIFS(Base!$D$3:$D$5001,Base!$A$3:$A$5001,$B25),SUMIFS(Base!$D$3:$D$5001,Base!$A$3:$A$5001,$B25,Base!$B$3:$B$5001,$B$2))</f>
        <v>589</v>
      </c>
      <c r="E25">
        <f>IF($B$2="Todos",SUMIFS(Base!$E$3:$E$5001,Base!$A$3:$A$5001,$B25),SUMIFS(Base!$E$3:$E$5001,Base!$A$3:$A$5001,$B25,Base!$B$3:$B$5001,$B$2))</f>
        <v>208.85</v>
      </c>
      <c r="F25">
        <f>IF($B$2="Todos",SUMIFS(Base!$F$3:$F$5001,Base!$A$3:$A$5001,$B25),SUMIFS(Base!$F$3:$F$5001,Base!$A$3:$A$5001,$B25,Base!$B$3:$B$5001,$B$2))</f>
        <v>3144</v>
      </c>
      <c r="G25">
        <f>IF($B$2="Todos",SUMIFS(Base!$G$3:$G$5001,Base!$A$3:$A$5001,$B25),SUMIFS(Base!$G$3:$G$5001,Base!$A$3:$A$5001,$B25,Base!$B$3:$B$5001,$B$2))</f>
        <v>2238</v>
      </c>
      <c r="H25">
        <f>IF($B$2="Todos",SUMIFS(Base!$H$3:$H$5001,Base!$A$3:$A$5001,$B25),SUMIFS(Base!$H$3:$H$5001,Base!$A$3:$A$5001,$B25,Base!$B$3:$B$5001,$B$2))</f>
        <v>98</v>
      </c>
      <c r="I25">
        <f>IF($B$2="Todos",SUMIFS(Base!$I$3:$I$5001,Base!$A$3:$A$5001,$B25),SUMIFS(Base!$I$3:$I$5001,Base!$A$3:$A$5001,$B25,Base!$B$3:$B$5001,$B$2))</f>
        <v>797</v>
      </c>
      <c r="J25">
        <f>IF($B$2="Todos",SUMIFS(Base!$J$3:$J$5001,Base!$A$3:$A$5001,$B25),SUMIFS(Base!$J$3:$J$5001,Base!$A$3:$A$5001,$B25,Base!$B$3:$B$5001,$B$2))</f>
        <v>525</v>
      </c>
      <c r="K25">
        <f>IF($B$2="Todos",SUMIFS(Base!$K$3:$K$5001,Base!$A$3:$A$5001,$B25),SUMIFS(Base!$K$3:$K$5001,Base!$A$3:$A$5001,$B25,Base!$B$3:$B$5001,$B$2))</f>
        <v>180</v>
      </c>
      <c r="L25">
        <f>IF($B$2="Todos",SUMIFS(Base!$L$3:$L$5001,Base!$A$3:$A$5001,$B25),SUMIFS(Base!$L$3:$L$5001,Base!$A$3:$A$5001,$B25,Base!$B$3:$B$5001,$B$2))</f>
        <v>67</v>
      </c>
      <c r="M25">
        <f>IF($B$2="Todos",SUMIFS(Base!$M$3:$M$5001,Base!$A$3:$A$5001,$B25),SUMIFS(Base!$M$3:$M$5001,Base!$A$3:$A$5001,$B25,Base!$B$3:$B$5001,$B$2))</f>
        <v>716</v>
      </c>
      <c r="N25">
        <f>IF($B$2="Todos",SUMIFS(Base!$N$3:$N$5001,Base!$A$3:$A$5001,$B25),SUMIFS(Base!$N$3:$N$5001,Base!$A$3:$A$5001,$B25,Base!$B$3:$B$5001,$B$2))</f>
        <v>213.59</v>
      </c>
      <c r="O25">
        <f>IF($B$2="Todos",SUMIFS(Base!$O$3:$O$5001,Base!$A$3:$A$5001,$B25),SUMIFS(Base!$O$3:$O$5001,Base!$A$3:$A$5001,$B25,Base!$B$3:$B$5001,$B$2))</f>
        <v>1381</v>
      </c>
      <c r="P25">
        <f>IF($B$2="Todos",SUMIFS(Base!$P$3:$P$5001,Base!$A$3:$A$5001,$B25),SUMIFS(Base!$P$3:$P$5001,Base!$A$3:$A$5001,$B25,Base!$B$3:$B$5001,$B$2))</f>
        <v>108</v>
      </c>
      <c r="Q25">
        <f>IF($B$2="Todos",SUMIFS(Base!$Q$3:$Q$5001,Base!$A$3:$A$5001,$B25),SUMIFS(Base!$Q$3:$Q$5001,Base!$A$3:$A$5001,$B25,Base!$B$3:$B$5001,$B$2))</f>
        <v>912</v>
      </c>
      <c r="R25">
        <f>IF($B$2="Todos",SUMIFS(Base!$R$3:$R$5001,Base!$A$3:$A$5001,$B25),SUMIFS(Base!$R$3:$R$5001,Base!$A$3:$A$5001,$B25,Base!$B$3:$B$5001,$B$2))</f>
        <v>3424</v>
      </c>
      <c r="S25">
        <f>IF($B$2="Todos",SUMIFS(Base!$S$3:$S$5001,Base!$A$3:$A$5001,$B25),SUMIFS(Base!$S$3:$S$5001,Base!$A$3:$A$5001,$B25,Base!$B$3:$B$5001,$B$2))</f>
        <v>518</v>
      </c>
      <c r="T25">
        <f>IF($B$2="Todos",SUMIFS(Base!$T$3:$T$5001,Base!$A$3:$A$5001,$B25),SUMIFS(Base!$T$3:$T$5001,Base!$A$3:$A$5001,$B25,Base!$B$3:$B$5001,$B$2))</f>
        <v>151</v>
      </c>
      <c r="U25">
        <f>IF($B$2="Todos",SUMIFS(Base!$U$3:$U$5001,Base!$A$3:$A$5001,$B25),SUMIFS(Base!$U$3:$U$5001,Base!$A$3:$A$5001,$B25,Base!$B$3:$B$5001,$B$2))</f>
        <v>0</v>
      </c>
      <c r="V25">
        <f>IF($B$2="Todos",SUMIFS(Base!$V$3:$V$5001,Base!$A$3:$A$5001,$B25),SUMIFS(Base!$V$3:$V$5001,Base!$A$3:$A$5001,$B25,Base!$B$3:$B$5001,$B$2))</f>
        <v>0</v>
      </c>
      <c r="W25">
        <f>IF($B$2="Todos",IF(COUNT($C$141:$K$141)=0,"",SUM($C$141:$K$141)),IFERROR(INDEX($C$141:$K$141,MATCH($B$2,$C$127:$K$127,0)),""))</f>
        <v>57</v>
      </c>
      <c r="X25">
        <f>IF(Y25="","",IF($B$2="Todos",IF(ISNUMBER($B$4),$B$4,IF(COUNT($C$176:$K$176)=0,"",SUM($C$176:$K$176))),IFERROR(INDEX($C$176:$K$176,MATCH($B$2,$C$162:$K$162,0)),"")))</f>
        <v>13700</v>
      </c>
      <c r="Y25">
        <f>IF($B$2="Todos",IF(COUNT($C$211:$K$211)=0,"",SUM($C$211:$K$211)),IFERROR(INDEX($C$211:$K$211,MATCH($B$2,$C$197:$K$197,0)),""))</f>
        <v>11247</v>
      </c>
      <c r="Z25">
        <f>IF(AND(ISNUMBER(Y25),ISNUMBER(X25)),IF(X25&gt;0,Y25/X25,""),"")</f>
        <v>0.820948905109489</v>
      </c>
      <c r="AA25">
        <f>IF($B$2="Todos",IF(COUNT($C$246:$K$246)=0,"",SUM($C$246:$K$246)),IFERROR(INDEX($C$246:$K$246,MATCH($B$2,$C$232:$K$232,0)),""))</f>
        <v>80</v>
      </c>
      <c r="AB25">
        <f>IF($B$2="Todos",SUMIFS(Base!$AA$3:$AA$5001,Base!$A$3:$A$5001,$B25),SUMIFS(Base!$AA$3:$AA$5001,Base!$A$3:$A$5001,$B25,Base!$B$3:$B$5001,$B$2))</f>
        <v>1</v>
      </c>
      <c r="AC25">
        <f>IF($B$2="Todos",SUMIFS(Base!$AB$3:$AB$5001,Base!$A$3:$A$5001,$B25),SUMIFS(Base!$AB$3:$AB$5001,Base!$A$3:$A$5001,$B25,Base!$B$3:$B$5001,$B$2))</f>
        <v>1</v>
      </c>
      <c r="AD25">
        <f>IF($B$2="Todos",SUMIFS(Base!$AC$3:$AC$5001,Base!$A$3:$A$5001,$B25),SUMIFS(Base!$AC$3:$AC$5001,Base!$A$3:$A$5001,$B25,Base!$B$3:$B$5001,$B$2))</f>
        <v>1</v>
      </c>
      <c r="AE25">
        <f>IF($B$2="Todos",SUMIFS(Base!$AD$3:$AD$5001,Base!$A$3:$A$5001,$B25),SUMIFS(Base!$AD$3:$AD$5001,Base!$A$3:$A$5001,$B25,Base!$B$3:$B$5001,$B$2))</f>
        <v>0</v>
      </c>
      <c r="AG25">
        <f>IFERROR(N(INDEX($C25:$AE25,MATCH($B$3,$C$11:$AE$11,0))),0)</f>
        <v>589</v>
      </c>
      <c r="AH25">
        <f>IFERROR(N(INDEX($C25:$AE25,MATCH($C$3,$C$11:$AE$11,0))),0)</f>
        <v>716</v>
      </c>
      <c r="AI25">
        <f>$B$5</f>
        <v>0.7</v>
      </c>
      <c r="AJ25">
        <f>$B$6</f>
        <v>0.9</v>
      </c>
      <c r="AN25" t="inlineStr">
        <is>
          <t xml:space="preserve">FEVEREIRO · 2027</t>
        </is>
      </c>
    </row>
    <row r="26">
      <c r="A26">
        <v>15</v>
      </c>
      <c r="B26" s="152">
        <f>IF(ISNUMBER($A26),$C$7+$A26-1,"")</f>
        <v>46280</v>
      </c>
      <c r="C26">
        <f>IF($B$2="Todos",SUMIFS(Base!$C$3:$C$5001,Base!$A$3:$A$5001,$B26),SUMIFS(Base!$C$3:$C$5001,Base!$A$3:$A$5001,$B26,Base!$B$3:$B$5001,$B$2))</f>
        <v>36</v>
      </c>
      <c r="D26">
        <f>IF($B$2="Todos",SUMIFS(Base!$D$3:$D$5001,Base!$A$3:$A$5001,$B26),SUMIFS(Base!$D$3:$D$5001,Base!$A$3:$A$5001,$B26,Base!$B$3:$B$5001,$B$2))</f>
        <v>641</v>
      </c>
      <c r="E26">
        <f>IF($B$2="Todos",SUMIFS(Base!$E$3:$E$5001,Base!$A$3:$A$5001,$B26),SUMIFS(Base!$E$3:$E$5001,Base!$A$3:$A$5001,$B26,Base!$B$3:$B$5001,$B$2))</f>
        <v>181.1</v>
      </c>
      <c r="F26">
        <f>IF($B$2="Todos",SUMIFS(Base!$F$3:$F$5001,Base!$A$3:$A$5001,$B26),SUMIFS(Base!$F$3:$F$5001,Base!$A$3:$A$5001,$B26,Base!$B$3:$B$5001,$B$2))</f>
        <v>4347</v>
      </c>
      <c r="G26">
        <f>IF($B$2="Todos",SUMIFS(Base!$G$3:$G$5001,Base!$A$3:$A$5001,$B26),SUMIFS(Base!$G$3:$G$5001,Base!$A$3:$A$5001,$B26,Base!$B$3:$B$5001,$B$2))</f>
        <v>3477</v>
      </c>
      <c r="H26">
        <f>IF($B$2="Todos",SUMIFS(Base!$H$3:$H$5001,Base!$A$3:$A$5001,$B26),SUMIFS(Base!$H$3:$H$5001,Base!$A$3:$A$5001,$B26,Base!$B$3:$B$5001,$B$2))</f>
        <v>285</v>
      </c>
      <c r="I26">
        <f>IF($B$2="Todos",SUMIFS(Base!$I$3:$I$5001,Base!$A$3:$A$5001,$B26),SUMIFS(Base!$I$3:$I$5001,Base!$A$3:$A$5001,$B26,Base!$B$3:$B$5001,$B$2))</f>
        <v>702</v>
      </c>
      <c r="J26">
        <f>IF($B$2="Todos",SUMIFS(Base!$J$3:$J$5001,Base!$A$3:$A$5001,$B26),SUMIFS(Base!$J$3:$J$5001,Base!$A$3:$A$5001,$B26,Base!$B$3:$B$5001,$B$2))</f>
        <v>64</v>
      </c>
      <c r="K26">
        <f>IF($B$2="Todos",SUMIFS(Base!$K$3:$K$5001,Base!$A$3:$A$5001,$B26),SUMIFS(Base!$K$3:$K$5001,Base!$A$3:$A$5001,$B26,Base!$B$3:$B$5001,$B$2))</f>
        <v>164</v>
      </c>
      <c r="L26">
        <f>IF($B$2="Todos",SUMIFS(Base!$L$3:$L$5001,Base!$A$3:$A$5001,$B26),SUMIFS(Base!$L$3:$L$5001,Base!$A$3:$A$5001,$B26,Base!$B$3:$B$5001,$B$2))</f>
        <v>53</v>
      </c>
      <c r="M26">
        <f>IF($B$2="Todos",SUMIFS(Base!$M$3:$M$5001,Base!$A$3:$A$5001,$B26),SUMIFS(Base!$M$3:$M$5001,Base!$A$3:$A$5001,$B26,Base!$B$3:$B$5001,$B$2))</f>
        <v>601</v>
      </c>
      <c r="N26">
        <f>IF($B$2="Todos",SUMIFS(Base!$N$3:$N$5001,Base!$A$3:$A$5001,$B26),SUMIFS(Base!$N$3:$N$5001,Base!$A$3:$A$5001,$B26,Base!$B$3:$B$5001,$B$2))</f>
        <v>173.86</v>
      </c>
      <c r="O26">
        <f>IF($B$2="Todos",SUMIFS(Base!$O$3:$O$5001,Base!$A$3:$A$5001,$B26),SUMIFS(Base!$O$3:$O$5001,Base!$A$3:$A$5001,$B26,Base!$B$3:$B$5001,$B$2))</f>
        <v>1079</v>
      </c>
      <c r="P26">
        <f>IF($B$2="Todos",SUMIFS(Base!$P$3:$P$5001,Base!$A$3:$A$5001,$B26),SUMIFS(Base!$P$3:$P$5001,Base!$A$3:$A$5001,$B26,Base!$B$3:$B$5001,$B$2))</f>
        <v>492</v>
      </c>
      <c r="Q26">
        <f>IF($B$2="Todos",SUMIFS(Base!$Q$3:$Q$5001,Base!$A$3:$A$5001,$B26),SUMIFS(Base!$Q$3:$Q$5001,Base!$A$3:$A$5001,$B26,Base!$B$3:$B$5001,$B$2))</f>
        <v>265</v>
      </c>
      <c r="R26">
        <f>IF($B$2="Todos",SUMIFS(Base!$R$3:$R$5001,Base!$A$3:$A$5001,$B26),SUMIFS(Base!$R$3:$R$5001,Base!$A$3:$A$5001,$B26,Base!$B$3:$B$5001,$B$2))</f>
        <v>3650</v>
      </c>
      <c r="S26">
        <f>IF($B$2="Todos",SUMIFS(Base!$S$3:$S$5001,Base!$A$3:$A$5001,$B26),SUMIFS(Base!$S$3:$S$5001,Base!$A$3:$A$5001,$B26,Base!$B$3:$B$5001,$B$2))</f>
        <v>506</v>
      </c>
      <c r="T26">
        <f>IF($B$2="Todos",SUMIFS(Base!$T$3:$T$5001,Base!$A$3:$A$5001,$B26),SUMIFS(Base!$T$3:$T$5001,Base!$A$3:$A$5001,$B26,Base!$B$3:$B$5001,$B$2))</f>
        <v>157</v>
      </c>
      <c r="U26">
        <f>IF($B$2="Todos",SUMIFS(Base!$U$3:$U$5001,Base!$A$3:$A$5001,$B26),SUMIFS(Base!$U$3:$U$5001,Base!$A$3:$A$5001,$B26,Base!$B$3:$B$5001,$B$2))</f>
        <v>1</v>
      </c>
      <c r="V26">
        <f>IF($B$2="Todos",SUMIFS(Base!$V$3:$V$5001,Base!$A$3:$A$5001,$B26),SUMIFS(Base!$V$3:$V$5001,Base!$A$3:$A$5001,$B26,Base!$B$3:$B$5001,$B$2))</f>
        <v>1</v>
      </c>
      <c r="W26">
        <f>IF($B$2="Todos",IF(COUNT($C$142:$K$142)=0,"",SUM($C$142:$K$142)),IFERROR(INDEX($C$142:$K$142,MATCH($B$2,$C$127:$K$127,0)),""))</f>
        <v>70</v>
      </c>
      <c r="X26">
        <f>IF(Y26="","",IF($B$2="Todos",IF(ISNUMBER($B$4),$B$4,IF(COUNT($C$177:$K$177)=0,"",SUM($C$177:$K$177))),IFERROR(INDEX($C$177:$K$177,MATCH($B$2,$C$162:$K$162,0)),"")))</f>
        <v>13700</v>
      </c>
      <c r="Y26">
        <f>IF($B$2="Todos",IF(COUNT($C$212:$K$212)=0,"",SUM($C$212:$K$212)),IFERROR(INDEX($C$212:$K$212,MATCH($B$2,$C$197:$K$197,0)),""))</f>
        <v>9927</v>
      </c>
      <c r="Z26">
        <f>IF(AND(ISNUMBER(Y26),ISNUMBER(X26)),IF(X26&gt;0,Y26/X26,""),"")</f>
        <v>0.724598540145985</v>
      </c>
      <c r="AA26">
        <f>IF($B$2="Todos",IF(COUNT($C$247:$K$247)=0,"",SUM($C$247:$K$247)),IFERROR(INDEX($C$247:$K$247,MATCH($B$2,$C$232:$K$232,0)),""))</f>
        <v>64</v>
      </c>
      <c r="AB26">
        <f>IF($B$2="Todos",SUMIFS(Base!$AA$3:$AA$5001,Base!$A$3:$A$5001,$B26),SUMIFS(Base!$AA$3:$AA$5001,Base!$A$3:$A$5001,$B26,Base!$B$3:$B$5001,$B$2))</f>
        <v>1</v>
      </c>
      <c r="AC26">
        <f>IF($B$2="Todos",SUMIFS(Base!$AB$3:$AB$5001,Base!$A$3:$A$5001,$B26),SUMIFS(Base!$AB$3:$AB$5001,Base!$A$3:$A$5001,$B26,Base!$B$3:$B$5001,$B$2))</f>
        <v>1</v>
      </c>
      <c r="AD26">
        <f>IF($B$2="Todos",SUMIFS(Base!$AC$3:$AC$5001,Base!$A$3:$A$5001,$B26),SUMIFS(Base!$AC$3:$AC$5001,Base!$A$3:$A$5001,$B26,Base!$B$3:$B$5001,$B$2))</f>
        <v>0</v>
      </c>
      <c r="AE26">
        <f>IF($B$2="Todos",SUMIFS(Base!$AD$3:$AD$5001,Base!$A$3:$A$5001,$B26),SUMIFS(Base!$AD$3:$AD$5001,Base!$A$3:$A$5001,$B26,Base!$B$3:$B$5001,$B$2))</f>
        <v>0</v>
      </c>
      <c r="AG26">
        <f>IFERROR(N(INDEX($C26:$AE26,MATCH($B$3,$C$11:$AE$11,0))),0)</f>
        <v>641</v>
      </c>
      <c r="AH26">
        <f>IFERROR(N(INDEX($C26:$AE26,MATCH($C$3,$C$11:$AE$11,0))),0)</f>
        <v>601</v>
      </c>
      <c r="AI26">
        <f>$B$5</f>
        <v>0.7</v>
      </c>
      <c r="AJ26">
        <f>$B$6</f>
        <v>0.9</v>
      </c>
      <c r="AN26" t="inlineStr">
        <is>
          <t xml:space="preserve">MARÇO · 2027</t>
        </is>
      </c>
    </row>
    <row r="27">
      <c r="A27">
        <v>16</v>
      </c>
      <c r="B27" s="152">
        <f>IF(ISNUMBER($A27),$C$7+$A27-1,"")</f>
        <v>46281</v>
      </c>
      <c r="C27">
        <f>IF($B$2="Todos",SUMIFS(Base!$C$3:$C$5001,Base!$A$3:$A$5001,$B27),SUMIFS(Base!$C$3:$C$5001,Base!$A$3:$A$5001,$B27,Base!$B$3:$B$5001,$B$2))</f>
        <v>50</v>
      </c>
      <c r="D27">
        <f>IF($B$2="Todos",SUMIFS(Base!$D$3:$D$5001,Base!$A$3:$A$5001,$B27),SUMIFS(Base!$D$3:$D$5001,Base!$A$3:$A$5001,$B27,Base!$B$3:$B$5001,$B$2))</f>
        <v>509</v>
      </c>
      <c r="E27">
        <f>IF($B$2="Todos",SUMIFS(Base!$E$3:$E$5001,Base!$A$3:$A$5001,$B27),SUMIFS(Base!$E$3:$E$5001,Base!$A$3:$A$5001,$B27,Base!$B$3:$B$5001,$B$2))</f>
        <v>111.31</v>
      </c>
      <c r="F27">
        <f>IF($B$2="Todos",SUMIFS(Base!$F$3:$F$5001,Base!$A$3:$A$5001,$B27),SUMIFS(Base!$F$3:$F$5001,Base!$A$3:$A$5001,$B27,Base!$B$3:$B$5001,$B$2))</f>
        <v>2897</v>
      </c>
      <c r="G27">
        <f>IF($B$2="Todos",SUMIFS(Base!$G$3:$G$5001,Base!$A$3:$A$5001,$B27),SUMIFS(Base!$G$3:$G$5001,Base!$A$3:$A$5001,$B27,Base!$B$3:$B$5001,$B$2))</f>
        <v>4287</v>
      </c>
      <c r="H27">
        <f>IF($B$2="Todos",SUMIFS(Base!$H$3:$H$5001,Base!$A$3:$A$5001,$B27),SUMIFS(Base!$H$3:$H$5001,Base!$A$3:$A$5001,$B27,Base!$B$3:$B$5001,$B$2))</f>
        <v>135</v>
      </c>
      <c r="I27">
        <f>IF($B$2="Todos",SUMIFS(Base!$I$3:$I$5001,Base!$A$3:$A$5001,$B27),SUMIFS(Base!$I$3:$I$5001,Base!$A$3:$A$5001,$B27,Base!$B$3:$B$5001,$B$2))</f>
        <v>420</v>
      </c>
      <c r="J27">
        <f>IF($B$2="Todos",SUMIFS(Base!$J$3:$J$5001,Base!$A$3:$A$5001,$B27),SUMIFS(Base!$J$3:$J$5001,Base!$A$3:$A$5001,$B27,Base!$B$3:$B$5001,$B$2))</f>
        <v>227</v>
      </c>
      <c r="K27">
        <f>IF($B$2="Todos",SUMIFS(Base!$K$3:$K$5001,Base!$A$3:$A$5001,$B27),SUMIFS(Base!$K$3:$K$5001,Base!$A$3:$A$5001,$B27,Base!$B$3:$B$5001,$B$2))</f>
        <v>97</v>
      </c>
      <c r="L27">
        <f>IF($B$2="Todos",SUMIFS(Base!$L$3:$L$5001,Base!$A$3:$A$5001,$B27),SUMIFS(Base!$L$3:$L$5001,Base!$A$3:$A$5001,$B27,Base!$B$3:$B$5001,$B$2))</f>
        <v>59</v>
      </c>
      <c r="M27">
        <f>IF($B$2="Todos",SUMIFS(Base!$M$3:$M$5001,Base!$A$3:$A$5001,$B27),SUMIFS(Base!$M$3:$M$5001,Base!$A$3:$A$5001,$B27,Base!$B$3:$B$5001,$B$2))</f>
        <v>703</v>
      </c>
      <c r="N27">
        <f>IF($B$2="Todos",SUMIFS(Base!$N$3:$N$5001,Base!$A$3:$A$5001,$B27),SUMIFS(Base!$N$3:$N$5001,Base!$A$3:$A$5001,$B27,Base!$B$3:$B$5001,$B$2))</f>
        <v>137.72</v>
      </c>
      <c r="O27">
        <f>IF($B$2="Todos",SUMIFS(Base!$O$3:$O$5001,Base!$A$3:$A$5001,$B27),SUMIFS(Base!$O$3:$O$5001,Base!$A$3:$A$5001,$B27,Base!$B$3:$B$5001,$B$2))</f>
        <v>1920</v>
      </c>
      <c r="P27">
        <f>IF($B$2="Todos",SUMIFS(Base!$P$3:$P$5001,Base!$A$3:$A$5001,$B27),SUMIFS(Base!$P$3:$P$5001,Base!$A$3:$A$5001,$B27,Base!$B$3:$B$5001,$B$2))</f>
        <v>136</v>
      </c>
      <c r="Q27">
        <f>IF($B$2="Todos",SUMIFS(Base!$Q$3:$Q$5001,Base!$A$3:$A$5001,$B27),SUMIFS(Base!$Q$3:$Q$5001,Base!$A$3:$A$5001,$B27,Base!$B$3:$B$5001,$B$2))</f>
        <v>602</v>
      </c>
      <c r="R27">
        <f>IF($B$2="Todos",SUMIFS(Base!$R$3:$R$5001,Base!$A$3:$A$5001,$B27),SUMIFS(Base!$R$3:$R$5001,Base!$A$3:$A$5001,$B27,Base!$B$3:$B$5001,$B$2))</f>
        <v>2667</v>
      </c>
      <c r="S27">
        <f>IF($B$2="Todos",SUMIFS(Base!$S$3:$S$5001,Base!$A$3:$A$5001,$B27),SUMIFS(Base!$S$3:$S$5001,Base!$A$3:$A$5001,$B27,Base!$B$3:$B$5001,$B$2))</f>
        <v>241</v>
      </c>
      <c r="T27">
        <f>IF($B$2="Todos",SUMIFS(Base!$T$3:$T$5001,Base!$A$3:$A$5001,$B27),SUMIFS(Base!$T$3:$T$5001,Base!$A$3:$A$5001,$B27,Base!$B$3:$B$5001,$B$2))</f>
        <v>108</v>
      </c>
      <c r="U27">
        <f>IF($B$2="Todos",SUMIFS(Base!$U$3:$U$5001,Base!$A$3:$A$5001,$B27),SUMIFS(Base!$U$3:$U$5001,Base!$A$3:$A$5001,$B27,Base!$B$3:$B$5001,$B$2))</f>
        <v>0</v>
      </c>
      <c r="V27">
        <f>IF($B$2="Todos",SUMIFS(Base!$V$3:$V$5001,Base!$A$3:$A$5001,$B27),SUMIFS(Base!$V$3:$V$5001,Base!$A$3:$A$5001,$B27,Base!$B$3:$B$5001,$B$2))</f>
        <v>1</v>
      </c>
      <c r="W27">
        <f>IF($B$2="Todos",IF(COUNT($C$143:$K$143)=0,"",SUM($C$143:$K$143)),IFERROR(INDEX($C$143:$K$143,MATCH($B$2,$C$127:$K$127,0)),""))</f>
        <v>83</v>
      </c>
      <c r="X27">
        <f>IF(Y27="","",IF($B$2="Todos",IF(ISNUMBER($B$4),$B$4,IF(COUNT($C$178:$K$178)=0,"",SUM($C$178:$K$178))),IFERROR(INDEX($C$178:$K$178,MATCH($B$2,$C$162:$K$162,0)),"")))</f>
        <v>13700</v>
      </c>
      <c r="Y27">
        <f>IF($B$2="Todos",IF(COUNT($C$213:$K$213)=0,"",SUM($C$213:$K$213)),IFERROR(INDEX($C$213:$K$213,MATCH($B$2,$C$197:$K$197,0)),""))</f>
        <v>8858</v>
      </c>
      <c r="Z27">
        <f>IF(AND(ISNUMBER(Y27),ISNUMBER(X27)),IF(X27&gt;0,Y27/X27,""),"")</f>
        <v>0.646569343065694</v>
      </c>
      <c r="AA27">
        <f>IF($B$2="Todos",IF(COUNT($C$248:$K$248)=0,"",SUM($C$248:$K$248)),IFERROR(INDEX($C$248:$K$248,MATCH($B$2,$C$232:$K$232,0)),""))</f>
        <v>63</v>
      </c>
      <c r="AB27">
        <f>IF($B$2="Todos",SUMIFS(Base!$AA$3:$AA$5001,Base!$A$3:$A$5001,$B27),SUMIFS(Base!$AA$3:$AA$5001,Base!$A$3:$A$5001,$B27,Base!$B$3:$B$5001,$B$2))</f>
        <v>4</v>
      </c>
      <c r="AC27">
        <f>IF($B$2="Todos",SUMIFS(Base!$AB$3:$AB$5001,Base!$A$3:$A$5001,$B27),SUMIFS(Base!$AB$3:$AB$5001,Base!$A$3:$A$5001,$B27,Base!$B$3:$B$5001,$B$2))</f>
        <v>0</v>
      </c>
      <c r="AD27">
        <f>IF($B$2="Todos",SUMIFS(Base!$AC$3:$AC$5001,Base!$A$3:$A$5001,$B27),SUMIFS(Base!$AC$3:$AC$5001,Base!$A$3:$A$5001,$B27,Base!$B$3:$B$5001,$B$2))</f>
        <v>1</v>
      </c>
      <c r="AE27">
        <f>IF($B$2="Todos",SUMIFS(Base!$AD$3:$AD$5001,Base!$A$3:$A$5001,$B27),SUMIFS(Base!$AD$3:$AD$5001,Base!$A$3:$A$5001,$B27,Base!$B$3:$B$5001,$B$2))</f>
        <v>0</v>
      </c>
      <c r="AG27">
        <f>IFERROR(N(INDEX($C27:$AE27,MATCH($B$3,$C$11:$AE$11,0))),0)</f>
        <v>509</v>
      </c>
      <c r="AH27">
        <f>IFERROR(N(INDEX($C27:$AE27,MATCH($C$3,$C$11:$AE$11,0))),0)</f>
        <v>703</v>
      </c>
      <c r="AI27">
        <f>$B$5</f>
        <v>0.7</v>
      </c>
      <c r="AJ27">
        <f>$B$6</f>
        <v>0.9</v>
      </c>
      <c r="AN27" t="inlineStr">
        <is>
          <t xml:space="preserve">ABRIL · 2027</t>
        </is>
      </c>
    </row>
    <row r="28">
      <c r="A28">
        <v>17</v>
      </c>
      <c r="B28" s="152">
        <f>IF(ISNUMBER($A28),$C$7+$A28-1,"")</f>
        <v>46282</v>
      </c>
      <c r="C28">
        <f>IF($B$2="Todos",SUMIFS(Base!$C$3:$C$5001,Base!$A$3:$A$5001,$B28),SUMIFS(Base!$C$3:$C$5001,Base!$A$3:$A$5001,$B28,Base!$B$3:$B$5001,$B$2))</f>
        <v>41</v>
      </c>
      <c r="D28">
        <f>IF($B$2="Todos",SUMIFS(Base!$D$3:$D$5001,Base!$A$3:$A$5001,$B28),SUMIFS(Base!$D$3:$D$5001,Base!$A$3:$A$5001,$B28,Base!$B$3:$B$5001,$B$2))</f>
        <v>413</v>
      </c>
      <c r="E28">
        <f>IF($B$2="Todos",SUMIFS(Base!$E$3:$E$5001,Base!$A$3:$A$5001,$B28),SUMIFS(Base!$E$3:$E$5001,Base!$A$3:$A$5001,$B28,Base!$B$3:$B$5001,$B$2))</f>
        <v>181.15</v>
      </c>
      <c r="F28">
        <f>IF($B$2="Todos",SUMIFS(Base!$F$3:$F$5001,Base!$A$3:$A$5001,$B28),SUMIFS(Base!$F$3:$F$5001,Base!$A$3:$A$5001,$B28,Base!$B$3:$B$5001,$B$2))</f>
        <v>1966</v>
      </c>
      <c r="G28">
        <f>IF($B$2="Todos",SUMIFS(Base!$G$3:$G$5001,Base!$A$3:$A$5001,$B28),SUMIFS(Base!$G$3:$G$5001,Base!$A$3:$A$5001,$B28,Base!$B$3:$B$5001,$B$2))</f>
        <v>5455</v>
      </c>
      <c r="H28">
        <f>IF($B$2="Todos",SUMIFS(Base!$H$3:$H$5001,Base!$A$3:$A$5001,$B28),SUMIFS(Base!$H$3:$H$5001,Base!$A$3:$A$5001,$B28,Base!$B$3:$B$5001,$B$2))</f>
        <v>348</v>
      </c>
      <c r="I28">
        <f>IF($B$2="Todos",SUMIFS(Base!$I$3:$I$5001,Base!$A$3:$A$5001,$B28),SUMIFS(Base!$I$3:$I$5001,Base!$A$3:$A$5001,$B28,Base!$B$3:$B$5001,$B$2))</f>
        <v>794</v>
      </c>
      <c r="J28">
        <f>IF($B$2="Todos",SUMIFS(Base!$J$3:$J$5001,Base!$A$3:$A$5001,$B28),SUMIFS(Base!$J$3:$J$5001,Base!$A$3:$A$5001,$B28,Base!$B$3:$B$5001,$B$2))</f>
        <v>163</v>
      </c>
      <c r="K28">
        <f>IF($B$2="Todos",SUMIFS(Base!$K$3:$K$5001,Base!$A$3:$A$5001,$B28),SUMIFS(Base!$K$3:$K$5001,Base!$A$3:$A$5001,$B28,Base!$B$3:$B$5001,$B$2))</f>
        <v>133</v>
      </c>
      <c r="L28">
        <f>IF($B$2="Todos",SUMIFS(Base!$L$3:$L$5001,Base!$A$3:$A$5001,$B28),SUMIFS(Base!$L$3:$L$5001,Base!$A$3:$A$5001,$B28,Base!$B$3:$B$5001,$B$2))</f>
        <v>58</v>
      </c>
      <c r="M28">
        <f>IF($B$2="Todos",SUMIFS(Base!$M$3:$M$5001,Base!$A$3:$A$5001,$B28),SUMIFS(Base!$M$3:$M$5001,Base!$A$3:$A$5001,$B28,Base!$B$3:$B$5001,$B$2))</f>
        <v>727</v>
      </c>
      <c r="N28">
        <f>IF($B$2="Todos",SUMIFS(Base!$N$3:$N$5001,Base!$A$3:$A$5001,$B28),SUMIFS(Base!$N$3:$N$5001,Base!$A$3:$A$5001,$B28,Base!$B$3:$B$5001,$B$2))</f>
        <v>196.08</v>
      </c>
      <c r="O28">
        <f>IF($B$2="Todos",SUMIFS(Base!$O$3:$O$5001,Base!$A$3:$A$5001,$B28),SUMIFS(Base!$O$3:$O$5001,Base!$A$3:$A$5001,$B28,Base!$B$3:$B$5001,$B$2))</f>
        <v>1243</v>
      </c>
      <c r="P28">
        <f>IF($B$2="Todos",SUMIFS(Base!$P$3:$P$5001,Base!$A$3:$A$5001,$B28),SUMIFS(Base!$P$3:$P$5001,Base!$A$3:$A$5001,$B28,Base!$B$3:$B$5001,$B$2))</f>
        <v>618</v>
      </c>
      <c r="Q28">
        <f>IF($B$2="Todos",SUMIFS(Base!$Q$3:$Q$5001,Base!$A$3:$A$5001,$B28),SUMIFS(Base!$Q$3:$Q$5001,Base!$A$3:$A$5001,$B28,Base!$B$3:$B$5001,$B$2))</f>
        <v>592</v>
      </c>
      <c r="R28">
        <f>IF($B$2="Todos",SUMIFS(Base!$R$3:$R$5001,Base!$A$3:$A$5001,$B28),SUMIFS(Base!$R$3:$R$5001,Base!$A$3:$A$5001,$B28,Base!$B$3:$B$5001,$B$2))</f>
        <v>3855</v>
      </c>
      <c r="S28">
        <f>IF($B$2="Todos",SUMIFS(Base!$S$3:$S$5001,Base!$A$3:$A$5001,$B28),SUMIFS(Base!$S$3:$S$5001,Base!$A$3:$A$5001,$B28,Base!$B$3:$B$5001,$B$2))</f>
        <v>104</v>
      </c>
      <c r="T28">
        <f>IF($B$2="Todos",SUMIFS(Base!$T$3:$T$5001,Base!$A$3:$A$5001,$B28),SUMIFS(Base!$T$3:$T$5001,Base!$A$3:$A$5001,$B28,Base!$B$3:$B$5001,$B$2))</f>
        <v>145</v>
      </c>
      <c r="U28">
        <f>IF($B$2="Todos",SUMIFS(Base!$U$3:$U$5001,Base!$A$3:$A$5001,$B28),SUMIFS(Base!$U$3:$U$5001,Base!$A$3:$A$5001,$B28,Base!$B$3:$B$5001,$B$2))</f>
        <v>0</v>
      </c>
      <c r="V28">
        <f>IF($B$2="Todos",SUMIFS(Base!$V$3:$V$5001,Base!$A$3:$A$5001,$B28),SUMIFS(Base!$V$3:$V$5001,Base!$A$3:$A$5001,$B28,Base!$B$3:$B$5001,$B$2))</f>
        <v>1</v>
      </c>
      <c r="W28">
        <f>IF($B$2="Todos",IF(COUNT($C$144:$K$144)=0,"",SUM($C$144:$K$144)),IFERROR(INDEX($C$144:$K$144,MATCH($B$2,$C$127:$K$127,0)),""))</f>
        <v>79</v>
      </c>
      <c r="X28">
        <f>IF(Y28="","",IF($B$2="Todos",IF(ISNUMBER($B$4),$B$4,IF(COUNT($C$179:$K$179)=0,"",SUM($C$179:$K$179))),IFERROR(INDEX($C$179:$K$179,MATCH($B$2,$C$162:$K$162,0)),"")))</f>
        <v>13700</v>
      </c>
      <c r="Y28">
        <f>IF($B$2="Todos",IF(COUNT($C$214:$K$214)=0,"",SUM($C$214:$K$214)),IFERROR(INDEX($C$214:$K$214,MATCH($B$2,$C$197:$K$197,0)),""))</f>
        <v>10453</v>
      </c>
      <c r="Z28">
        <f>IF(AND(ISNUMBER(Y28),ISNUMBER(X28)),IF(X28&gt;0,Y28/X28,""),"")</f>
        <v>0.762992700729927</v>
      </c>
      <c r="AA28">
        <f>IF($B$2="Todos",IF(COUNT($C$249:$K$249)=0,"",SUM($C$249:$K$249)),IFERROR(INDEX($C$249:$K$249,MATCH($B$2,$C$232:$K$232,0)),""))</f>
        <v>64</v>
      </c>
      <c r="AB28">
        <f>IF($B$2="Todos",SUMIFS(Base!$AA$3:$AA$5001,Base!$A$3:$A$5001,$B28),SUMIFS(Base!$AA$3:$AA$5001,Base!$A$3:$A$5001,$B28,Base!$B$3:$B$5001,$B$2))</f>
        <v>2</v>
      </c>
      <c r="AC28">
        <f>IF($B$2="Todos",SUMIFS(Base!$AB$3:$AB$5001,Base!$A$3:$A$5001,$B28),SUMIFS(Base!$AB$3:$AB$5001,Base!$A$3:$A$5001,$B28,Base!$B$3:$B$5001,$B$2))</f>
        <v>0</v>
      </c>
      <c r="AD28">
        <f>IF($B$2="Todos",SUMIFS(Base!$AC$3:$AC$5001,Base!$A$3:$A$5001,$B28),SUMIFS(Base!$AC$3:$AC$5001,Base!$A$3:$A$5001,$B28,Base!$B$3:$B$5001,$B$2))</f>
        <v>1</v>
      </c>
      <c r="AE28">
        <f>IF($B$2="Todos",SUMIFS(Base!$AD$3:$AD$5001,Base!$A$3:$A$5001,$B28),SUMIFS(Base!$AD$3:$AD$5001,Base!$A$3:$A$5001,$B28,Base!$B$3:$B$5001,$B$2))</f>
        <v>0</v>
      </c>
      <c r="AG28">
        <f>IFERROR(N(INDEX($C28:$AE28,MATCH($B$3,$C$11:$AE$11,0))),0)</f>
        <v>413</v>
      </c>
      <c r="AH28">
        <f>IFERROR(N(INDEX($C28:$AE28,MATCH($C$3,$C$11:$AE$11,0))),0)</f>
        <v>727</v>
      </c>
      <c r="AI28">
        <f>$B$5</f>
        <v>0.7</v>
      </c>
      <c r="AJ28">
        <f>$B$6</f>
        <v>0.9</v>
      </c>
      <c r="AN28" t="inlineStr">
        <is>
          <t xml:space="preserve">MAIO · 2027</t>
        </is>
      </c>
    </row>
    <row r="29">
      <c r="A29">
        <v>18</v>
      </c>
      <c r="B29" s="152">
        <f>IF(ISNUMBER($A29),$C$7+$A29-1,"")</f>
        <v>46283</v>
      </c>
      <c r="C29">
        <f>IF($B$2="Todos",SUMIFS(Base!$C$3:$C$5001,Base!$A$3:$A$5001,$B29),SUMIFS(Base!$C$3:$C$5001,Base!$A$3:$A$5001,$B29,Base!$B$3:$B$5001,$B$2))</f>
        <v>46</v>
      </c>
      <c r="D29">
        <f>IF($B$2="Todos",SUMIFS(Base!$D$3:$D$5001,Base!$A$3:$A$5001,$B29),SUMIFS(Base!$D$3:$D$5001,Base!$A$3:$A$5001,$B29,Base!$B$3:$B$5001,$B$2))</f>
        <v>468</v>
      </c>
      <c r="E29">
        <f>IF($B$2="Todos",SUMIFS(Base!$E$3:$E$5001,Base!$A$3:$A$5001,$B29),SUMIFS(Base!$E$3:$E$5001,Base!$A$3:$A$5001,$B29,Base!$B$3:$B$5001,$B$2))</f>
        <v>114.74</v>
      </c>
      <c r="F29">
        <f>IF($B$2="Todos",SUMIFS(Base!$F$3:$F$5001,Base!$A$3:$A$5001,$B29),SUMIFS(Base!$F$3:$F$5001,Base!$A$3:$A$5001,$B29,Base!$B$3:$B$5001,$B$2))</f>
        <v>2729</v>
      </c>
      <c r="G29">
        <f>IF($B$2="Todos",SUMIFS(Base!$G$3:$G$5001,Base!$A$3:$A$5001,$B29),SUMIFS(Base!$G$3:$G$5001,Base!$A$3:$A$5001,$B29,Base!$B$3:$B$5001,$B$2))</f>
        <v>4614</v>
      </c>
      <c r="H29">
        <f>IF($B$2="Todos",SUMIFS(Base!$H$3:$H$5001,Base!$A$3:$A$5001,$B29),SUMIFS(Base!$H$3:$H$5001,Base!$A$3:$A$5001,$B29,Base!$B$3:$B$5001,$B$2))</f>
        <v>69</v>
      </c>
      <c r="I29">
        <f>IF($B$2="Todos",SUMIFS(Base!$I$3:$I$5001,Base!$A$3:$A$5001,$B29),SUMIFS(Base!$I$3:$I$5001,Base!$A$3:$A$5001,$B29,Base!$B$3:$B$5001,$B$2))</f>
        <v>275</v>
      </c>
      <c r="J29">
        <f>IF($B$2="Todos",SUMIFS(Base!$J$3:$J$5001,Base!$A$3:$A$5001,$B29),SUMIFS(Base!$J$3:$J$5001,Base!$A$3:$A$5001,$B29,Base!$B$3:$B$5001,$B$2))</f>
        <v>119</v>
      </c>
      <c r="K29">
        <f>IF($B$2="Todos",SUMIFS(Base!$K$3:$K$5001,Base!$A$3:$A$5001,$B29),SUMIFS(Base!$K$3:$K$5001,Base!$A$3:$A$5001,$B29,Base!$B$3:$B$5001,$B$2))</f>
        <v>170</v>
      </c>
      <c r="L29">
        <f>IF($B$2="Todos",SUMIFS(Base!$L$3:$L$5001,Base!$A$3:$A$5001,$B29),SUMIFS(Base!$L$3:$L$5001,Base!$A$3:$A$5001,$B29,Base!$B$3:$B$5001,$B$2))</f>
        <v>60</v>
      </c>
      <c r="M29">
        <f>IF($B$2="Todos",SUMIFS(Base!$M$3:$M$5001,Base!$A$3:$A$5001,$B29),SUMIFS(Base!$M$3:$M$5001,Base!$A$3:$A$5001,$B29,Base!$B$3:$B$5001,$B$2))</f>
        <v>783</v>
      </c>
      <c r="N29">
        <f>IF($B$2="Todos",SUMIFS(Base!$N$3:$N$5001,Base!$A$3:$A$5001,$B29),SUMIFS(Base!$N$3:$N$5001,Base!$A$3:$A$5001,$B29,Base!$B$3:$B$5001,$B$2))</f>
        <v>191.5</v>
      </c>
      <c r="O29">
        <f>IF($B$2="Todos",SUMIFS(Base!$O$3:$O$5001,Base!$A$3:$A$5001,$B29),SUMIFS(Base!$O$3:$O$5001,Base!$A$3:$A$5001,$B29,Base!$B$3:$B$5001,$B$2))</f>
        <v>2460</v>
      </c>
      <c r="P29">
        <f>IF($B$2="Todos",SUMIFS(Base!$P$3:$P$5001,Base!$A$3:$A$5001,$B29),SUMIFS(Base!$P$3:$P$5001,Base!$A$3:$A$5001,$B29,Base!$B$3:$B$5001,$B$2))</f>
        <v>217</v>
      </c>
      <c r="Q29">
        <f>IF($B$2="Todos",SUMIFS(Base!$Q$3:$Q$5001,Base!$A$3:$A$5001,$B29),SUMIFS(Base!$Q$3:$Q$5001,Base!$A$3:$A$5001,$B29,Base!$B$3:$B$5001,$B$2))</f>
        <v>866</v>
      </c>
      <c r="R29">
        <f>IF($B$2="Todos",SUMIFS(Base!$R$3:$R$5001,Base!$A$3:$A$5001,$B29),SUMIFS(Base!$R$3:$R$5001,Base!$A$3:$A$5001,$B29,Base!$B$3:$B$5001,$B$2))</f>
        <v>6567</v>
      </c>
      <c r="S29">
        <f>IF($B$2="Todos",SUMIFS(Base!$S$3:$S$5001,Base!$A$3:$A$5001,$B29),SUMIFS(Base!$S$3:$S$5001,Base!$A$3:$A$5001,$B29,Base!$B$3:$B$5001,$B$2))</f>
        <v>140</v>
      </c>
      <c r="T29">
        <f>IF($B$2="Todos",SUMIFS(Base!$T$3:$T$5001,Base!$A$3:$A$5001,$B29),SUMIFS(Base!$T$3:$T$5001,Base!$A$3:$A$5001,$B29,Base!$B$3:$B$5001,$B$2))</f>
        <v>123</v>
      </c>
      <c r="U29">
        <f>IF($B$2="Todos",SUMIFS(Base!$U$3:$U$5001,Base!$A$3:$A$5001,$B29),SUMIFS(Base!$U$3:$U$5001,Base!$A$3:$A$5001,$B29,Base!$B$3:$B$5001,$B$2))</f>
        <v>1</v>
      </c>
      <c r="V29">
        <f>IF($B$2="Todos",SUMIFS(Base!$V$3:$V$5001,Base!$A$3:$A$5001,$B29),SUMIFS(Base!$V$3:$V$5001,Base!$A$3:$A$5001,$B29,Base!$B$3:$B$5001,$B$2))</f>
        <v>0</v>
      </c>
      <c r="W29">
        <f>IF($B$2="Todos",IF(COUNT($C$145:$K$145)=0,"",SUM($C$145:$K$145)),IFERROR(INDEX($C$145:$K$145,MATCH($B$2,$C$127:$K$127,0)),""))</f>
        <v>73</v>
      </c>
      <c r="X29">
        <f>IF(Y29="","",IF($B$2="Todos",IF(ISNUMBER($B$4),$B$4,IF(COUNT($C$180:$K$180)=0,"",SUM($C$180:$K$180))),IFERROR(INDEX($C$180:$K$180,MATCH($B$2,$C$162:$K$162,0)),"")))</f>
        <v>13700</v>
      </c>
      <c r="Y29">
        <f>IF($B$2="Todos",IF(COUNT($C$215:$K$215)=0,"",SUM($C$215:$K$215)),IFERROR(INDEX($C$215:$K$215,MATCH($B$2,$C$197:$K$197,0)),""))</f>
        <v>10565</v>
      </c>
      <c r="Z29">
        <f>IF(AND(ISNUMBER(Y29),ISNUMBER(X29)),IF(X29&gt;0,Y29/X29,""),"")</f>
        <v>0.771167883211679</v>
      </c>
      <c r="AA29">
        <f>IF($B$2="Todos",IF(COUNT($C$250:$K$250)=0,"",SUM($C$250:$K$250)),IFERROR(INDEX($C$250:$K$250,MATCH($B$2,$C$232:$K$232,0)),""))</f>
        <v>76</v>
      </c>
      <c r="AB29">
        <f>IF($B$2="Todos",SUMIFS(Base!$AA$3:$AA$5001,Base!$A$3:$A$5001,$B29),SUMIFS(Base!$AA$3:$AA$5001,Base!$A$3:$A$5001,$B29,Base!$B$3:$B$5001,$B$2))</f>
        <v>0</v>
      </c>
      <c r="AC29">
        <f>IF($B$2="Todos",SUMIFS(Base!$AB$3:$AB$5001,Base!$A$3:$A$5001,$B29),SUMIFS(Base!$AB$3:$AB$5001,Base!$A$3:$A$5001,$B29,Base!$B$3:$B$5001,$B$2))</f>
        <v>0</v>
      </c>
      <c r="AD29">
        <f>IF($B$2="Todos",SUMIFS(Base!$AC$3:$AC$5001,Base!$A$3:$A$5001,$B29),SUMIFS(Base!$AC$3:$AC$5001,Base!$A$3:$A$5001,$B29,Base!$B$3:$B$5001,$B$2))</f>
        <v>0</v>
      </c>
      <c r="AE29">
        <f>IF($B$2="Todos",SUMIFS(Base!$AD$3:$AD$5001,Base!$A$3:$A$5001,$B29),SUMIFS(Base!$AD$3:$AD$5001,Base!$A$3:$A$5001,$B29,Base!$B$3:$B$5001,$B$2))</f>
        <v>0</v>
      </c>
      <c r="AG29">
        <f>IFERROR(N(INDEX($C29:$AE29,MATCH($B$3,$C$11:$AE$11,0))),0)</f>
        <v>468</v>
      </c>
      <c r="AH29">
        <f>IFERROR(N(INDEX($C29:$AE29,MATCH($C$3,$C$11:$AE$11,0))),0)</f>
        <v>783</v>
      </c>
      <c r="AI29">
        <f>$B$5</f>
        <v>0.7</v>
      </c>
      <c r="AJ29">
        <f>$B$6</f>
        <v>0.9</v>
      </c>
      <c r="AN29" t="inlineStr">
        <is>
          <t xml:space="preserve">JUNHO · 2027</t>
        </is>
      </c>
    </row>
    <row r="30">
      <c r="A30">
        <v>19</v>
      </c>
      <c r="B30" s="152">
        <f>IF(ISNUMBER($A30),$C$7+$A30-1,"")</f>
        <v>46284</v>
      </c>
      <c r="C30">
        <f>IF($B$2="Todos",SUMIFS(Base!$C$3:$C$5001,Base!$A$3:$A$5001,$B30),SUMIFS(Base!$C$3:$C$5001,Base!$A$3:$A$5001,$B30,Base!$B$3:$B$5001,$B$2))</f>
        <v>47</v>
      </c>
      <c r="D30">
        <f>IF($B$2="Todos",SUMIFS(Base!$D$3:$D$5001,Base!$A$3:$A$5001,$B30),SUMIFS(Base!$D$3:$D$5001,Base!$A$3:$A$5001,$B30,Base!$B$3:$B$5001,$B$2))</f>
        <v>499</v>
      </c>
      <c r="E30">
        <f>IF($B$2="Todos",SUMIFS(Base!$E$3:$E$5001,Base!$A$3:$A$5001,$B30),SUMIFS(Base!$E$3:$E$5001,Base!$A$3:$A$5001,$B30,Base!$B$3:$B$5001,$B$2))</f>
        <v>117.37</v>
      </c>
      <c r="F30">
        <f>IF($B$2="Todos",SUMIFS(Base!$F$3:$F$5001,Base!$A$3:$A$5001,$B30),SUMIFS(Base!$F$3:$F$5001,Base!$A$3:$A$5001,$B30,Base!$B$3:$B$5001,$B$2))</f>
        <v>1975</v>
      </c>
      <c r="G30">
        <f>IF($B$2="Todos",SUMIFS(Base!$G$3:$G$5001,Base!$A$3:$A$5001,$B30),SUMIFS(Base!$G$3:$G$5001,Base!$A$3:$A$5001,$B30,Base!$B$3:$B$5001,$B$2))</f>
        <v>1932</v>
      </c>
      <c r="H30">
        <f>IF($B$2="Todos",SUMIFS(Base!$H$3:$H$5001,Base!$A$3:$A$5001,$B30),SUMIFS(Base!$H$3:$H$5001,Base!$A$3:$A$5001,$B30,Base!$B$3:$B$5001,$B$2))</f>
        <v>208</v>
      </c>
      <c r="I30">
        <f>IF($B$2="Todos",SUMIFS(Base!$I$3:$I$5001,Base!$A$3:$A$5001,$B30),SUMIFS(Base!$I$3:$I$5001,Base!$A$3:$A$5001,$B30,Base!$B$3:$B$5001,$B$2))</f>
        <v>101</v>
      </c>
      <c r="J30">
        <f>IF($B$2="Todos",SUMIFS(Base!$J$3:$J$5001,Base!$A$3:$A$5001,$B30),SUMIFS(Base!$J$3:$J$5001,Base!$A$3:$A$5001,$B30,Base!$B$3:$B$5001,$B$2))</f>
        <v>405</v>
      </c>
      <c r="K30">
        <f>IF($B$2="Todos",SUMIFS(Base!$K$3:$K$5001,Base!$A$3:$A$5001,$B30),SUMIFS(Base!$K$3:$K$5001,Base!$A$3:$A$5001,$B30,Base!$B$3:$B$5001,$B$2))</f>
        <v>84</v>
      </c>
      <c r="L30">
        <f>IF($B$2="Todos",SUMIFS(Base!$L$3:$L$5001,Base!$A$3:$A$5001,$B30),SUMIFS(Base!$L$3:$L$5001,Base!$A$3:$A$5001,$B30,Base!$B$3:$B$5001,$B$2))</f>
        <v>63</v>
      </c>
      <c r="M30">
        <f>IF($B$2="Todos",SUMIFS(Base!$M$3:$M$5001,Base!$A$3:$A$5001,$B30),SUMIFS(Base!$M$3:$M$5001,Base!$A$3:$A$5001,$B30,Base!$B$3:$B$5001,$B$2))</f>
        <v>617</v>
      </c>
      <c r="N30">
        <f>IF($B$2="Todos",SUMIFS(Base!$N$3:$N$5001,Base!$A$3:$A$5001,$B30),SUMIFS(Base!$N$3:$N$5001,Base!$A$3:$A$5001,$B30,Base!$B$3:$B$5001,$B$2))</f>
        <v>187.89</v>
      </c>
      <c r="O30">
        <f>IF($B$2="Todos",SUMIFS(Base!$O$3:$O$5001,Base!$A$3:$A$5001,$B30),SUMIFS(Base!$O$3:$O$5001,Base!$A$3:$A$5001,$B30,Base!$B$3:$B$5001,$B$2))</f>
        <v>2067</v>
      </c>
      <c r="P30">
        <f>IF($B$2="Todos",SUMIFS(Base!$P$3:$P$5001,Base!$A$3:$A$5001,$B30),SUMIFS(Base!$P$3:$P$5001,Base!$A$3:$A$5001,$B30,Base!$B$3:$B$5001,$B$2))</f>
        <v>667</v>
      </c>
      <c r="Q30">
        <f>IF($B$2="Todos",SUMIFS(Base!$Q$3:$Q$5001,Base!$A$3:$A$5001,$B30),SUMIFS(Base!$Q$3:$Q$5001,Base!$A$3:$A$5001,$B30,Base!$B$3:$B$5001,$B$2))</f>
        <v>416</v>
      </c>
      <c r="R30">
        <f>IF($B$2="Todos",SUMIFS(Base!$R$3:$R$5001,Base!$A$3:$A$5001,$B30),SUMIFS(Base!$R$3:$R$5001,Base!$A$3:$A$5001,$B30,Base!$B$3:$B$5001,$B$2))</f>
        <v>7730</v>
      </c>
      <c r="S30">
        <f>IF($B$2="Todos",SUMIFS(Base!$S$3:$S$5001,Base!$A$3:$A$5001,$B30),SUMIFS(Base!$S$3:$S$5001,Base!$A$3:$A$5001,$B30,Base!$B$3:$B$5001,$B$2))</f>
        <v>529</v>
      </c>
      <c r="T30">
        <f>IF($B$2="Todos",SUMIFS(Base!$T$3:$T$5001,Base!$A$3:$A$5001,$B30),SUMIFS(Base!$T$3:$T$5001,Base!$A$3:$A$5001,$B30,Base!$B$3:$B$5001,$B$2))</f>
        <v>175</v>
      </c>
      <c r="U30">
        <f>IF($B$2="Todos",SUMIFS(Base!$U$3:$U$5001,Base!$A$3:$A$5001,$B30),SUMIFS(Base!$U$3:$U$5001,Base!$A$3:$A$5001,$B30,Base!$B$3:$B$5001,$B$2))</f>
        <v>0</v>
      </c>
      <c r="V30">
        <f>IF($B$2="Todos",SUMIFS(Base!$V$3:$V$5001,Base!$A$3:$A$5001,$B30),SUMIFS(Base!$V$3:$V$5001,Base!$A$3:$A$5001,$B30,Base!$B$3:$B$5001,$B$2))</f>
        <v>1</v>
      </c>
      <c r="W30">
        <f>IF($B$2="Todos",IF(COUNT($C$146:$K$146)=0,"",SUM($C$146:$K$146)),IFERROR(INDEX($C$146:$K$146,MATCH($B$2,$C$127:$K$127,0)),""))</f>
        <v>67</v>
      </c>
      <c r="X30">
        <f>IF(Y30="","",IF($B$2="Todos",IF(ISNUMBER($B$4),$B$4,IF(COUNT($C$181:$K$181)=0,"",SUM($C$181:$K$181))),IFERROR(INDEX($C$181:$K$181,MATCH($B$2,$C$162:$K$162,0)),"")))</f>
        <v>13700</v>
      </c>
      <c r="Y30">
        <f>IF($B$2="Todos",IF(COUNT($C$216:$K$216)=0,"",SUM($C$216:$K$216)),IFERROR(INDEX($C$216:$K$216,MATCH($B$2,$C$197:$K$197,0)),""))</f>
        <v>10201</v>
      </c>
      <c r="Z30">
        <f>IF(AND(ISNUMBER(Y30),ISNUMBER(X30)),IF(X30&gt;0,Y30/X30,""),"")</f>
        <v>0.744598540145985</v>
      </c>
      <c r="AA30">
        <f>IF($B$2="Todos",IF(COUNT($C$251:$K$251)=0,"",SUM($C$251:$K$251)),IFERROR(INDEX($C$251:$K$251,MATCH($B$2,$C$232:$K$232,0)),""))</f>
        <v>81</v>
      </c>
      <c r="AB30">
        <f>IF($B$2="Todos",SUMIFS(Base!$AA$3:$AA$5001,Base!$A$3:$A$5001,$B30),SUMIFS(Base!$AA$3:$AA$5001,Base!$A$3:$A$5001,$B30,Base!$B$3:$B$5001,$B$2))</f>
        <v>2</v>
      </c>
      <c r="AC30">
        <f>IF($B$2="Todos",SUMIFS(Base!$AB$3:$AB$5001,Base!$A$3:$A$5001,$B30),SUMIFS(Base!$AB$3:$AB$5001,Base!$A$3:$A$5001,$B30,Base!$B$3:$B$5001,$B$2))</f>
        <v>2</v>
      </c>
      <c r="AD30">
        <f>IF($B$2="Todos",SUMIFS(Base!$AC$3:$AC$5001,Base!$A$3:$A$5001,$B30),SUMIFS(Base!$AC$3:$AC$5001,Base!$A$3:$A$5001,$B30,Base!$B$3:$B$5001,$B$2))</f>
        <v>1</v>
      </c>
      <c r="AE30">
        <f>IF($B$2="Todos",SUMIFS(Base!$AD$3:$AD$5001,Base!$A$3:$A$5001,$B30),SUMIFS(Base!$AD$3:$AD$5001,Base!$A$3:$A$5001,$B30,Base!$B$3:$B$5001,$B$2))</f>
        <v>0</v>
      </c>
      <c r="AG30">
        <f>IFERROR(N(INDEX($C30:$AE30,MATCH($B$3,$C$11:$AE$11,0))),0)</f>
        <v>499</v>
      </c>
      <c r="AH30">
        <f>IFERROR(N(INDEX($C30:$AE30,MATCH($C$3,$C$11:$AE$11,0))),0)</f>
        <v>617</v>
      </c>
      <c r="AI30">
        <f>$B$5</f>
        <v>0.7</v>
      </c>
      <c r="AJ30">
        <f>$B$6</f>
        <v>0.9</v>
      </c>
      <c r="AN30" t="inlineStr">
        <is>
          <t xml:space="preserve">JULHO · 2027</t>
        </is>
      </c>
    </row>
    <row r="31">
      <c r="A31">
        <v>20</v>
      </c>
      <c r="B31" s="152">
        <f>IF(ISNUMBER($A31),$C$7+$A31-1,"")</f>
        <v>46285</v>
      </c>
      <c r="C31">
        <f>IF($B$2="Todos",SUMIFS(Base!$C$3:$C$5001,Base!$A$3:$A$5001,$B31),SUMIFS(Base!$C$3:$C$5001,Base!$A$3:$A$5001,$B31,Base!$B$3:$B$5001,$B$2))</f>
        <v>0</v>
      </c>
      <c r="D31">
        <f>IF($B$2="Todos",SUMIFS(Base!$D$3:$D$5001,Base!$A$3:$A$5001,$B31),SUMIFS(Base!$D$3:$D$5001,Base!$A$3:$A$5001,$B31,Base!$B$3:$B$5001,$B$2))</f>
        <v>0</v>
      </c>
      <c r="E31">
        <f>IF($B$2="Todos",SUMIFS(Base!$E$3:$E$5001,Base!$A$3:$A$5001,$B31),SUMIFS(Base!$E$3:$E$5001,Base!$A$3:$A$5001,$B31,Base!$B$3:$B$5001,$B$2))</f>
        <v>0</v>
      </c>
      <c r="F31">
        <f>IF($B$2="Todos",SUMIFS(Base!$F$3:$F$5001,Base!$A$3:$A$5001,$B31),SUMIFS(Base!$F$3:$F$5001,Base!$A$3:$A$5001,$B31,Base!$B$3:$B$5001,$B$2))</f>
        <v>0</v>
      </c>
      <c r="G31">
        <f>IF($B$2="Todos",SUMIFS(Base!$G$3:$G$5001,Base!$A$3:$A$5001,$B31),SUMIFS(Base!$G$3:$G$5001,Base!$A$3:$A$5001,$B31,Base!$B$3:$B$5001,$B$2))</f>
        <v>0</v>
      </c>
      <c r="H31">
        <f>IF($B$2="Todos",SUMIFS(Base!$H$3:$H$5001,Base!$A$3:$A$5001,$B31),SUMIFS(Base!$H$3:$H$5001,Base!$A$3:$A$5001,$B31,Base!$B$3:$B$5001,$B$2))</f>
        <v>0</v>
      </c>
      <c r="I31">
        <f>IF($B$2="Todos",SUMIFS(Base!$I$3:$I$5001,Base!$A$3:$A$5001,$B31),SUMIFS(Base!$I$3:$I$5001,Base!$A$3:$A$5001,$B31,Base!$B$3:$B$5001,$B$2))</f>
        <v>0</v>
      </c>
      <c r="J31">
        <f>IF($B$2="Todos",SUMIFS(Base!$J$3:$J$5001,Base!$A$3:$A$5001,$B31),SUMIFS(Base!$J$3:$J$5001,Base!$A$3:$A$5001,$B31,Base!$B$3:$B$5001,$B$2))</f>
        <v>0</v>
      </c>
      <c r="K31">
        <f>IF($B$2="Todos",SUMIFS(Base!$K$3:$K$5001,Base!$A$3:$A$5001,$B31),SUMIFS(Base!$K$3:$K$5001,Base!$A$3:$A$5001,$B31,Base!$B$3:$B$5001,$B$2))</f>
        <v>0</v>
      </c>
      <c r="L31">
        <f>IF($B$2="Todos",SUMIFS(Base!$L$3:$L$5001,Base!$A$3:$A$5001,$B31),SUMIFS(Base!$L$3:$L$5001,Base!$A$3:$A$5001,$B31,Base!$B$3:$B$5001,$B$2))</f>
        <v>0</v>
      </c>
      <c r="M31">
        <f>IF($B$2="Todos",SUMIFS(Base!$M$3:$M$5001,Base!$A$3:$A$5001,$B31),SUMIFS(Base!$M$3:$M$5001,Base!$A$3:$A$5001,$B31,Base!$B$3:$B$5001,$B$2))</f>
        <v>0</v>
      </c>
      <c r="N31">
        <f>IF($B$2="Todos",SUMIFS(Base!$N$3:$N$5001,Base!$A$3:$A$5001,$B31),SUMIFS(Base!$N$3:$N$5001,Base!$A$3:$A$5001,$B31,Base!$B$3:$B$5001,$B$2))</f>
        <v>0</v>
      </c>
      <c r="O31">
        <f>IF($B$2="Todos",SUMIFS(Base!$O$3:$O$5001,Base!$A$3:$A$5001,$B31),SUMIFS(Base!$O$3:$O$5001,Base!$A$3:$A$5001,$B31,Base!$B$3:$B$5001,$B$2))</f>
        <v>0</v>
      </c>
      <c r="P31">
        <f>IF($B$2="Todos",SUMIFS(Base!$P$3:$P$5001,Base!$A$3:$A$5001,$B31),SUMIFS(Base!$P$3:$P$5001,Base!$A$3:$A$5001,$B31,Base!$B$3:$B$5001,$B$2))</f>
        <v>0</v>
      </c>
      <c r="Q31">
        <f>IF($B$2="Todos",SUMIFS(Base!$Q$3:$Q$5001,Base!$A$3:$A$5001,$B31),SUMIFS(Base!$Q$3:$Q$5001,Base!$A$3:$A$5001,$B31,Base!$B$3:$B$5001,$B$2))</f>
        <v>0</v>
      </c>
      <c r="R31">
        <f>IF($B$2="Todos",SUMIFS(Base!$R$3:$R$5001,Base!$A$3:$A$5001,$B31),SUMIFS(Base!$R$3:$R$5001,Base!$A$3:$A$5001,$B31,Base!$B$3:$B$5001,$B$2))</f>
        <v>0</v>
      </c>
      <c r="S31">
        <f>IF($B$2="Todos",SUMIFS(Base!$S$3:$S$5001,Base!$A$3:$A$5001,$B31),SUMIFS(Base!$S$3:$S$5001,Base!$A$3:$A$5001,$B31,Base!$B$3:$B$5001,$B$2))</f>
        <v>0</v>
      </c>
      <c r="T31">
        <f>IF($B$2="Todos",SUMIFS(Base!$T$3:$T$5001,Base!$A$3:$A$5001,$B31),SUMIFS(Base!$T$3:$T$5001,Base!$A$3:$A$5001,$B31,Base!$B$3:$B$5001,$B$2))</f>
        <v>0</v>
      </c>
      <c r="U31">
        <f>IF($B$2="Todos",SUMIFS(Base!$U$3:$U$5001,Base!$A$3:$A$5001,$B31),SUMIFS(Base!$U$3:$U$5001,Base!$A$3:$A$5001,$B31,Base!$B$3:$B$5001,$B$2))</f>
        <v>0</v>
      </c>
      <c r="V31">
        <f>IF($B$2="Todos",SUMIFS(Base!$V$3:$V$5001,Base!$A$3:$A$5001,$B31),SUMIFS(Base!$V$3:$V$5001,Base!$A$3:$A$5001,$B31,Base!$B$3:$B$5001,$B$2))</f>
        <v>0</v>
      </c>
      <c r="W31">
        <f>IF($B$2="Todos",IF(COUNT($C$147:$K$147)=0,"",SUM($C$147:$K$147)),IFERROR(INDEX($C$147:$K$147,MATCH($B$2,$C$127:$K$127,0)),""))</f>
        <v>67</v>
      </c>
      <c r="X31">
        <f>IF(Y31="","",IF($B$2="Todos",IF(ISNUMBER($B$4),$B$4,IF(COUNT($C$182:$K$182)=0,"",SUM($C$182:$K$182))),IFERROR(INDEX($C$182:$K$182,MATCH($B$2,$C$162:$K$162,0)),"")))</f>
        <v>13700</v>
      </c>
      <c r="Y31">
        <f>IF($B$2="Todos",IF(COUNT($C$217:$K$217)=0,"",SUM($C$217:$K$217)),IFERROR(INDEX($C$217:$K$217,MATCH($B$2,$C$197:$K$197,0)),""))</f>
        <v>10201</v>
      </c>
      <c r="Z31">
        <f>IF(AND(ISNUMBER(Y31),ISNUMBER(X31)),IF(X31&gt;0,Y31/X31,""),"")</f>
        <v>0.744598540145985</v>
      </c>
      <c r="AA31">
        <f>IF($B$2="Todos",IF(COUNT($C$252:$K$252)=0,"",SUM($C$252:$K$252)),IFERROR(INDEX($C$252:$K$252,MATCH($B$2,$C$232:$K$232,0)),""))</f>
        <v>81</v>
      </c>
      <c r="AB31">
        <f>IF($B$2="Todos",SUMIFS(Base!$AA$3:$AA$5001,Base!$A$3:$A$5001,$B31),SUMIFS(Base!$AA$3:$AA$5001,Base!$A$3:$A$5001,$B31,Base!$B$3:$B$5001,$B$2))</f>
        <v>0</v>
      </c>
      <c r="AC31">
        <f>IF($B$2="Todos",SUMIFS(Base!$AB$3:$AB$5001,Base!$A$3:$A$5001,$B31),SUMIFS(Base!$AB$3:$AB$5001,Base!$A$3:$A$5001,$B31,Base!$B$3:$B$5001,$B$2))</f>
        <v>0</v>
      </c>
      <c r="AD31">
        <f>IF($B$2="Todos",SUMIFS(Base!$AC$3:$AC$5001,Base!$A$3:$A$5001,$B31),SUMIFS(Base!$AC$3:$AC$5001,Base!$A$3:$A$5001,$B31,Base!$B$3:$B$5001,$B$2))</f>
        <v>0</v>
      </c>
      <c r="AE31">
        <f>IF($B$2="Todos",SUMIFS(Base!$AD$3:$AD$5001,Base!$A$3:$A$5001,$B31),SUMIFS(Base!$AD$3:$AD$5001,Base!$A$3:$A$5001,$B31,Base!$B$3:$B$5001,$B$2))</f>
        <v>0</v>
      </c>
      <c r="AG31">
        <f>IFERROR(N(INDEX($C31:$AE31,MATCH($B$3,$C$11:$AE$11,0))),0)</f>
        <v>0</v>
      </c>
      <c r="AH31">
        <f>IFERROR(N(INDEX($C31:$AE31,MATCH($C$3,$C$11:$AE$11,0))),0)</f>
        <v>0</v>
      </c>
      <c r="AI31">
        <f>$B$5</f>
        <v>0.7</v>
      </c>
      <c r="AJ31">
        <f>$B$6</f>
        <v>0.9</v>
      </c>
      <c r="AN31" t="inlineStr">
        <is>
          <t xml:space="preserve">AGOSTO · 2027</t>
        </is>
      </c>
    </row>
    <row r="32">
      <c r="A32">
        <v>21</v>
      </c>
      <c r="B32" s="152">
        <f>IF(ISNUMBER($A32),$C$7+$A32-1,"")</f>
        <v>46286</v>
      </c>
      <c r="C32">
        <f>IF($B$2="Todos",SUMIFS(Base!$C$3:$C$5001,Base!$A$3:$A$5001,$B32),SUMIFS(Base!$C$3:$C$5001,Base!$A$3:$A$5001,$B32,Base!$B$3:$B$5001,$B$2))</f>
        <v>57</v>
      </c>
      <c r="D32">
        <f>IF($B$2="Todos",SUMIFS(Base!$D$3:$D$5001,Base!$A$3:$A$5001,$B32),SUMIFS(Base!$D$3:$D$5001,Base!$A$3:$A$5001,$B32,Base!$B$3:$B$5001,$B$2))</f>
        <v>489</v>
      </c>
      <c r="E32">
        <f>IF($B$2="Todos",SUMIFS(Base!$E$3:$E$5001,Base!$A$3:$A$5001,$B32),SUMIFS(Base!$E$3:$E$5001,Base!$A$3:$A$5001,$B32,Base!$B$3:$B$5001,$B$2))</f>
        <v>209.27</v>
      </c>
      <c r="F32">
        <f>IF($B$2="Todos",SUMIFS(Base!$F$3:$F$5001,Base!$A$3:$A$5001,$B32),SUMIFS(Base!$F$3:$F$5001,Base!$A$3:$A$5001,$B32,Base!$B$3:$B$5001,$B$2))</f>
        <v>2728</v>
      </c>
      <c r="G32">
        <f>IF($B$2="Todos",SUMIFS(Base!$G$3:$G$5001,Base!$A$3:$A$5001,$B32),SUMIFS(Base!$G$3:$G$5001,Base!$A$3:$A$5001,$B32,Base!$B$3:$B$5001,$B$2))</f>
        <v>4379</v>
      </c>
      <c r="H32">
        <f>IF($B$2="Todos",SUMIFS(Base!$H$3:$H$5001,Base!$A$3:$A$5001,$B32),SUMIFS(Base!$H$3:$H$5001,Base!$A$3:$A$5001,$B32,Base!$B$3:$B$5001,$B$2))</f>
        <v>115</v>
      </c>
      <c r="I32">
        <f>IF($B$2="Todos",SUMIFS(Base!$I$3:$I$5001,Base!$A$3:$A$5001,$B32),SUMIFS(Base!$I$3:$I$5001,Base!$A$3:$A$5001,$B32,Base!$B$3:$B$5001,$B$2))</f>
        <v>173</v>
      </c>
      <c r="J32">
        <f>IF($B$2="Todos",SUMIFS(Base!$J$3:$J$5001,Base!$A$3:$A$5001,$B32),SUMIFS(Base!$J$3:$J$5001,Base!$A$3:$A$5001,$B32,Base!$B$3:$B$5001,$B$2))</f>
        <v>385</v>
      </c>
      <c r="K32">
        <f>IF($B$2="Todos",SUMIFS(Base!$K$3:$K$5001,Base!$A$3:$A$5001,$B32),SUMIFS(Base!$K$3:$K$5001,Base!$A$3:$A$5001,$B32,Base!$B$3:$B$5001,$B$2))</f>
        <v>70</v>
      </c>
      <c r="L32">
        <f>IF($B$2="Todos",SUMIFS(Base!$L$3:$L$5001,Base!$A$3:$A$5001,$B32),SUMIFS(Base!$L$3:$L$5001,Base!$A$3:$A$5001,$B32,Base!$B$3:$B$5001,$B$2))</f>
        <v>64</v>
      </c>
      <c r="M32">
        <f>IF($B$2="Todos",SUMIFS(Base!$M$3:$M$5001,Base!$A$3:$A$5001,$B32),SUMIFS(Base!$M$3:$M$5001,Base!$A$3:$A$5001,$B32,Base!$B$3:$B$5001,$B$2))</f>
        <v>615</v>
      </c>
      <c r="N32">
        <f>IF($B$2="Todos",SUMIFS(Base!$N$3:$N$5001,Base!$A$3:$A$5001,$B32),SUMIFS(Base!$N$3:$N$5001,Base!$A$3:$A$5001,$B32,Base!$B$3:$B$5001,$B$2))</f>
        <v>202.43</v>
      </c>
      <c r="O32">
        <f>IF($B$2="Todos",SUMIFS(Base!$O$3:$O$5001,Base!$A$3:$A$5001,$B32),SUMIFS(Base!$O$3:$O$5001,Base!$A$3:$A$5001,$B32,Base!$B$3:$B$5001,$B$2))</f>
        <v>1768</v>
      </c>
      <c r="P32">
        <f>IF($B$2="Todos",SUMIFS(Base!$P$3:$P$5001,Base!$A$3:$A$5001,$B32),SUMIFS(Base!$P$3:$P$5001,Base!$A$3:$A$5001,$B32,Base!$B$3:$B$5001,$B$2))</f>
        <v>93</v>
      </c>
      <c r="Q32">
        <f>IF($B$2="Todos",SUMIFS(Base!$Q$3:$Q$5001,Base!$A$3:$A$5001,$B32),SUMIFS(Base!$Q$3:$Q$5001,Base!$A$3:$A$5001,$B32,Base!$B$3:$B$5001,$B$2))</f>
        <v>1195</v>
      </c>
      <c r="R32">
        <f>IF($B$2="Todos",SUMIFS(Base!$R$3:$R$5001,Base!$A$3:$A$5001,$B32),SUMIFS(Base!$R$3:$R$5001,Base!$A$3:$A$5001,$B32,Base!$B$3:$B$5001,$B$2))</f>
        <v>3742</v>
      </c>
      <c r="S32">
        <f>IF($B$2="Todos",SUMIFS(Base!$S$3:$S$5001,Base!$A$3:$A$5001,$B32),SUMIFS(Base!$S$3:$S$5001,Base!$A$3:$A$5001,$B32,Base!$B$3:$B$5001,$B$2))</f>
        <v>131</v>
      </c>
      <c r="T32">
        <f>IF($B$2="Todos",SUMIFS(Base!$T$3:$T$5001,Base!$A$3:$A$5001,$B32),SUMIFS(Base!$T$3:$T$5001,Base!$A$3:$A$5001,$B32,Base!$B$3:$B$5001,$B$2))</f>
        <v>94</v>
      </c>
      <c r="U32">
        <f>IF($B$2="Todos",SUMIFS(Base!$U$3:$U$5001,Base!$A$3:$A$5001,$B32),SUMIFS(Base!$U$3:$U$5001,Base!$A$3:$A$5001,$B32,Base!$B$3:$B$5001,$B$2))</f>
        <v>0</v>
      </c>
      <c r="V32">
        <f>IF($B$2="Todos",SUMIFS(Base!$V$3:$V$5001,Base!$A$3:$A$5001,$B32),SUMIFS(Base!$V$3:$V$5001,Base!$A$3:$A$5001,$B32,Base!$B$3:$B$5001,$B$2))</f>
        <v>2</v>
      </c>
      <c r="W32">
        <f>IF($B$2="Todos",IF(COUNT($C$148:$K$148)=0,"",SUM($C$148:$K$148)),IFERROR(INDEX($C$148:$K$148,MATCH($B$2,$C$127:$K$127,0)),""))</f>
        <v>67</v>
      </c>
      <c r="X32">
        <f>IF(Y32="","",IF($B$2="Todos",IF(ISNUMBER($B$4),$B$4,IF(COUNT($C$183:$K$183)=0,"",SUM($C$183:$K$183))),IFERROR(INDEX($C$183:$K$183,MATCH($B$2,$C$162:$K$162,0)),"")))</f>
        <v>13700</v>
      </c>
      <c r="Y32">
        <f>IF($B$2="Todos",IF(COUNT($C$218:$K$218)=0,"",SUM($C$218:$K$218)),IFERROR(INDEX($C$218:$K$218,MATCH($B$2,$C$197:$K$197,0)),""))</f>
        <v>10423</v>
      </c>
      <c r="Z32">
        <f>IF(AND(ISNUMBER(Y32),ISNUMBER(X32)),IF(X32&gt;0,Y32/X32,""),"")</f>
        <v>0.760802919708029</v>
      </c>
      <c r="AA32">
        <f>IF($B$2="Todos",IF(COUNT($C$253:$K$253)=0,"",SUM($C$253:$K$253)),IFERROR(INDEX($C$253:$K$253,MATCH($B$2,$C$232:$K$232,0)),""))</f>
        <v>76</v>
      </c>
      <c r="AB32">
        <f>IF($B$2="Todos",SUMIFS(Base!$AA$3:$AA$5001,Base!$A$3:$A$5001,$B32),SUMIFS(Base!$AA$3:$AA$5001,Base!$A$3:$A$5001,$B32,Base!$B$3:$B$5001,$B$2))</f>
        <v>3</v>
      </c>
      <c r="AC32">
        <f>IF($B$2="Todos",SUMIFS(Base!$AB$3:$AB$5001,Base!$A$3:$A$5001,$B32),SUMIFS(Base!$AB$3:$AB$5001,Base!$A$3:$A$5001,$B32,Base!$B$3:$B$5001,$B$2))</f>
        <v>3</v>
      </c>
      <c r="AD32">
        <f>IF($B$2="Todos",SUMIFS(Base!$AC$3:$AC$5001,Base!$A$3:$A$5001,$B32),SUMIFS(Base!$AC$3:$AC$5001,Base!$A$3:$A$5001,$B32,Base!$B$3:$B$5001,$B$2))</f>
        <v>1</v>
      </c>
      <c r="AE32">
        <f>IF($B$2="Todos",SUMIFS(Base!$AD$3:$AD$5001,Base!$A$3:$A$5001,$B32),SUMIFS(Base!$AD$3:$AD$5001,Base!$A$3:$A$5001,$B32,Base!$B$3:$B$5001,$B$2))</f>
        <v>0</v>
      </c>
      <c r="AG32">
        <f>IFERROR(N(INDEX($C32:$AE32,MATCH($B$3,$C$11:$AE$11,0))),0)</f>
        <v>489</v>
      </c>
      <c r="AH32">
        <f>IFERROR(N(INDEX($C32:$AE32,MATCH($C$3,$C$11:$AE$11,0))),0)</f>
        <v>615</v>
      </c>
      <c r="AI32">
        <f>$B$5</f>
        <v>0.7</v>
      </c>
      <c r="AJ32">
        <f>$B$6</f>
        <v>0.9</v>
      </c>
      <c r="AN32" t="inlineStr">
        <is>
          <t xml:space="preserve">SETEMBRO · 2027</t>
        </is>
      </c>
    </row>
    <row r="33">
      <c r="A33">
        <v>22</v>
      </c>
      <c r="B33" s="152">
        <f>IF(ISNUMBER($A33),$C$7+$A33-1,"")</f>
        <v>46287</v>
      </c>
      <c r="C33">
        <f>IF($B$2="Todos",SUMIFS(Base!$C$3:$C$5001,Base!$A$3:$A$5001,$B33),SUMIFS(Base!$C$3:$C$5001,Base!$A$3:$A$5001,$B33,Base!$B$3:$B$5001,$B$2))</f>
        <v>52</v>
      </c>
      <c r="D33">
        <f>IF($B$2="Todos",SUMIFS(Base!$D$3:$D$5001,Base!$A$3:$A$5001,$B33),SUMIFS(Base!$D$3:$D$5001,Base!$A$3:$A$5001,$B33,Base!$B$3:$B$5001,$B$2))</f>
        <v>383</v>
      </c>
      <c r="E33">
        <f>IF($B$2="Todos",SUMIFS(Base!$E$3:$E$5001,Base!$A$3:$A$5001,$B33),SUMIFS(Base!$E$3:$E$5001,Base!$A$3:$A$5001,$B33,Base!$B$3:$B$5001,$B$2))</f>
        <v>234.41</v>
      </c>
      <c r="F33">
        <f>IF($B$2="Todos",SUMIFS(Base!$F$3:$F$5001,Base!$A$3:$A$5001,$B33),SUMIFS(Base!$F$3:$F$5001,Base!$A$3:$A$5001,$B33,Base!$B$3:$B$5001,$B$2))</f>
        <v>1394</v>
      </c>
      <c r="G33">
        <f>IF($B$2="Todos",SUMIFS(Base!$G$3:$G$5001,Base!$A$3:$A$5001,$B33),SUMIFS(Base!$G$3:$G$5001,Base!$A$3:$A$5001,$B33,Base!$B$3:$B$5001,$B$2))</f>
        <v>2838</v>
      </c>
      <c r="H33">
        <f>IF($B$2="Todos",SUMIFS(Base!$H$3:$H$5001,Base!$A$3:$A$5001,$B33),SUMIFS(Base!$H$3:$H$5001,Base!$A$3:$A$5001,$B33,Base!$B$3:$B$5001,$B$2))</f>
        <v>292</v>
      </c>
      <c r="I33">
        <f>IF($B$2="Todos",SUMIFS(Base!$I$3:$I$5001,Base!$A$3:$A$5001,$B33),SUMIFS(Base!$I$3:$I$5001,Base!$A$3:$A$5001,$B33,Base!$B$3:$B$5001,$B$2))</f>
        <v>256</v>
      </c>
      <c r="J33">
        <f>IF($B$2="Todos",SUMIFS(Base!$J$3:$J$5001,Base!$A$3:$A$5001,$B33),SUMIFS(Base!$J$3:$J$5001,Base!$A$3:$A$5001,$B33,Base!$B$3:$B$5001,$B$2))</f>
        <v>98</v>
      </c>
      <c r="K33">
        <f>IF($B$2="Todos",SUMIFS(Base!$K$3:$K$5001,Base!$A$3:$A$5001,$B33),SUMIFS(Base!$K$3:$K$5001,Base!$A$3:$A$5001,$B33,Base!$B$3:$B$5001,$B$2))</f>
        <v>159</v>
      </c>
      <c r="L33">
        <f>IF($B$2="Todos",SUMIFS(Base!$L$3:$L$5001,Base!$A$3:$A$5001,$B33),SUMIFS(Base!$L$3:$L$5001,Base!$A$3:$A$5001,$B33,Base!$B$3:$B$5001,$B$2))</f>
        <v>52</v>
      </c>
      <c r="M33">
        <f>IF($B$2="Todos",SUMIFS(Base!$M$3:$M$5001,Base!$A$3:$A$5001,$B33),SUMIFS(Base!$M$3:$M$5001,Base!$A$3:$A$5001,$B33,Base!$B$3:$B$5001,$B$2))</f>
        <v>645</v>
      </c>
      <c r="N33">
        <f>IF($B$2="Todos",SUMIFS(Base!$N$3:$N$5001,Base!$A$3:$A$5001,$B33),SUMIFS(Base!$N$3:$N$5001,Base!$A$3:$A$5001,$B33,Base!$B$3:$B$5001,$B$2))</f>
        <v>245.74</v>
      </c>
      <c r="O33">
        <f>IF($B$2="Todos",SUMIFS(Base!$O$3:$O$5001,Base!$A$3:$A$5001,$B33),SUMIFS(Base!$O$3:$O$5001,Base!$A$3:$A$5001,$B33,Base!$B$3:$B$5001,$B$2))</f>
        <v>1924</v>
      </c>
      <c r="P33">
        <f>IF($B$2="Todos",SUMIFS(Base!$P$3:$P$5001,Base!$A$3:$A$5001,$B33),SUMIFS(Base!$P$3:$P$5001,Base!$A$3:$A$5001,$B33,Base!$B$3:$B$5001,$B$2))</f>
        <v>366</v>
      </c>
      <c r="Q33">
        <f>IF($B$2="Todos",SUMIFS(Base!$Q$3:$Q$5001,Base!$A$3:$A$5001,$B33),SUMIFS(Base!$Q$3:$Q$5001,Base!$A$3:$A$5001,$B33,Base!$B$3:$B$5001,$B$2))</f>
        <v>739</v>
      </c>
      <c r="R33">
        <f>IF($B$2="Todos",SUMIFS(Base!$R$3:$R$5001,Base!$A$3:$A$5001,$B33),SUMIFS(Base!$R$3:$R$5001,Base!$A$3:$A$5001,$B33,Base!$B$3:$B$5001,$B$2))</f>
        <v>8821</v>
      </c>
      <c r="S33">
        <f>IF($B$2="Todos",SUMIFS(Base!$S$3:$S$5001,Base!$A$3:$A$5001,$B33),SUMIFS(Base!$S$3:$S$5001,Base!$A$3:$A$5001,$B33,Base!$B$3:$B$5001,$B$2))</f>
        <v>525</v>
      </c>
      <c r="T33">
        <f>IF($B$2="Todos",SUMIFS(Base!$T$3:$T$5001,Base!$A$3:$A$5001,$B33),SUMIFS(Base!$T$3:$T$5001,Base!$A$3:$A$5001,$B33,Base!$B$3:$B$5001,$B$2))</f>
        <v>171</v>
      </c>
      <c r="U33">
        <f>IF($B$2="Todos",SUMIFS(Base!$U$3:$U$5001,Base!$A$3:$A$5001,$B33),SUMIFS(Base!$U$3:$U$5001,Base!$A$3:$A$5001,$B33,Base!$B$3:$B$5001,$B$2))</f>
        <v>0</v>
      </c>
      <c r="V33">
        <f>IF($B$2="Todos",SUMIFS(Base!$V$3:$V$5001,Base!$A$3:$A$5001,$B33),SUMIFS(Base!$V$3:$V$5001,Base!$A$3:$A$5001,$B33,Base!$B$3:$B$5001,$B$2))</f>
        <v>1</v>
      </c>
      <c r="W33">
        <f>IF($B$2="Todos",IF(COUNT($C$149:$K$149)=0,"",SUM($C$149:$K$149)),IFERROR(INDEX($C$149:$K$149,MATCH($B$2,$C$127:$K$127,0)),""))</f>
        <v>62</v>
      </c>
      <c r="X33">
        <f>IF(Y33="","",IF($B$2="Todos",IF(ISNUMBER($B$4),$B$4,IF(COUNT($C$184:$K$184)=0,"",SUM($C$184:$K$184))),IFERROR(INDEX($C$184:$K$184,MATCH($B$2,$C$162:$K$162,0)),"")))</f>
        <v>13700</v>
      </c>
      <c r="Y33">
        <f>IF($B$2="Todos",IF(COUNT($C$219:$K$219)=0,"",SUM($C$219:$K$219)),IFERROR(INDEX($C$219:$K$219,MATCH($B$2,$C$197:$K$197,0)),""))</f>
        <v>10250</v>
      </c>
      <c r="Z33">
        <f>IF(AND(ISNUMBER(Y33),ISNUMBER(X33)),IF(X33&gt;0,Y33/X33,""),"")</f>
        <v>0.748175182481752</v>
      </c>
      <c r="AA33">
        <f>IF($B$2="Todos",IF(COUNT($C$254:$K$254)=0,"",SUM($C$254:$K$254)),IFERROR(INDEX($C$254:$K$254,MATCH($B$2,$C$232:$K$232,0)),""))</f>
        <v>85</v>
      </c>
      <c r="AB33">
        <f>IF($B$2="Todos",SUMIFS(Base!$AA$3:$AA$5001,Base!$A$3:$A$5001,$B33),SUMIFS(Base!$AA$3:$AA$5001,Base!$A$3:$A$5001,$B33,Base!$B$3:$B$5001,$B$2))</f>
        <v>1</v>
      </c>
      <c r="AC33">
        <f>IF($B$2="Todos",SUMIFS(Base!$AB$3:$AB$5001,Base!$A$3:$A$5001,$B33),SUMIFS(Base!$AB$3:$AB$5001,Base!$A$3:$A$5001,$B33,Base!$B$3:$B$5001,$B$2))</f>
        <v>0</v>
      </c>
      <c r="AD33">
        <f>IF($B$2="Todos",SUMIFS(Base!$AC$3:$AC$5001,Base!$A$3:$A$5001,$B33),SUMIFS(Base!$AC$3:$AC$5001,Base!$A$3:$A$5001,$B33,Base!$B$3:$B$5001,$B$2))</f>
        <v>0</v>
      </c>
      <c r="AE33">
        <f>IF($B$2="Todos",SUMIFS(Base!$AD$3:$AD$5001,Base!$A$3:$A$5001,$B33),SUMIFS(Base!$AD$3:$AD$5001,Base!$A$3:$A$5001,$B33,Base!$B$3:$B$5001,$B$2))</f>
        <v>1</v>
      </c>
      <c r="AG33">
        <f>IFERROR(N(INDEX($C33:$AE33,MATCH($B$3,$C$11:$AE$11,0))),0)</f>
        <v>383</v>
      </c>
      <c r="AH33">
        <f>IFERROR(N(INDEX($C33:$AE33,MATCH($C$3,$C$11:$AE$11,0))),0)</f>
        <v>645</v>
      </c>
      <c r="AI33">
        <f>$B$5</f>
        <v>0.7</v>
      </c>
      <c r="AJ33">
        <f>$B$6</f>
        <v>0.9</v>
      </c>
      <c r="AN33" t="inlineStr">
        <is>
          <t xml:space="preserve">OUTUBRO · 2027</t>
        </is>
      </c>
    </row>
    <row r="34">
      <c r="A34">
        <v>23</v>
      </c>
      <c r="B34" s="152">
        <f>IF(ISNUMBER($A34),$C$7+$A34-1,"")</f>
        <v>46288</v>
      </c>
      <c r="C34">
        <f>IF($B$2="Todos",SUMIFS(Base!$C$3:$C$5001,Base!$A$3:$A$5001,$B34),SUMIFS(Base!$C$3:$C$5001,Base!$A$3:$A$5001,$B34,Base!$B$3:$B$5001,$B$2))</f>
        <v>40</v>
      </c>
      <c r="D34">
        <f>IF($B$2="Todos",SUMIFS(Base!$D$3:$D$5001,Base!$A$3:$A$5001,$B34),SUMIFS(Base!$D$3:$D$5001,Base!$A$3:$A$5001,$B34,Base!$B$3:$B$5001,$B$2))</f>
        <v>612</v>
      </c>
      <c r="E34">
        <f>IF($B$2="Todos",SUMIFS(Base!$E$3:$E$5001,Base!$A$3:$A$5001,$B34),SUMIFS(Base!$E$3:$E$5001,Base!$A$3:$A$5001,$B34,Base!$B$3:$B$5001,$B$2))</f>
        <v>179.06</v>
      </c>
      <c r="F34">
        <f>IF($B$2="Todos",SUMIFS(Base!$F$3:$F$5001,Base!$A$3:$A$5001,$B34),SUMIFS(Base!$F$3:$F$5001,Base!$A$3:$A$5001,$B34,Base!$B$3:$B$5001,$B$2))</f>
        <v>1831</v>
      </c>
      <c r="G34">
        <f>IF($B$2="Todos",SUMIFS(Base!$G$3:$G$5001,Base!$A$3:$A$5001,$B34),SUMIFS(Base!$G$3:$G$5001,Base!$A$3:$A$5001,$B34,Base!$B$3:$B$5001,$B$2))</f>
        <v>2854</v>
      </c>
      <c r="H34">
        <f>IF($B$2="Todos",SUMIFS(Base!$H$3:$H$5001,Base!$A$3:$A$5001,$B34),SUMIFS(Base!$H$3:$H$5001,Base!$A$3:$A$5001,$B34,Base!$B$3:$B$5001,$B$2))</f>
        <v>279</v>
      </c>
      <c r="I34">
        <f>IF($B$2="Todos",SUMIFS(Base!$I$3:$I$5001,Base!$A$3:$A$5001,$B34),SUMIFS(Base!$I$3:$I$5001,Base!$A$3:$A$5001,$B34,Base!$B$3:$B$5001,$B$2))</f>
        <v>504</v>
      </c>
      <c r="J34">
        <f>IF($B$2="Todos",SUMIFS(Base!$J$3:$J$5001,Base!$A$3:$A$5001,$B34),SUMIFS(Base!$J$3:$J$5001,Base!$A$3:$A$5001,$B34,Base!$B$3:$B$5001,$B$2))</f>
        <v>471</v>
      </c>
      <c r="K34">
        <f>IF($B$2="Todos",SUMIFS(Base!$K$3:$K$5001,Base!$A$3:$A$5001,$B34),SUMIFS(Base!$K$3:$K$5001,Base!$A$3:$A$5001,$B34,Base!$B$3:$B$5001,$B$2))</f>
        <v>149</v>
      </c>
      <c r="L34">
        <f>IF($B$2="Todos",SUMIFS(Base!$L$3:$L$5001,Base!$A$3:$A$5001,$B34),SUMIFS(Base!$L$3:$L$5001,Base!$A$3:$A$5001,$B34,Base!$B$3:$B$5001,$B$2))</f>
        <v>47</v>
      </c>
      <c r="M34">
        <f>IF($B$2="Todos",SUMIFS(Base!$M$3:$M$5001,Base!$A$3:$A$5001,$B34),SUMIFS(Base!$M$3:$M$5001,Base!$A$3:$A$5001,$B34,Base!$B$3:$B$5001,$B$2))</f>
        <v>726</v>
      </c>
      <c r="N34">
        <f>IF($B$2="Todos",SUMIFS(Base!$N$3:$N$5001,Base!$A$3:$A$5001,$B34),SUMIFS(Base!$N$3:$N$5001,Base!$A$3:$A$5001,$B34,Base!$B$3:$B$5001,$B$2))</f>
        <v>149.75</v>
      </c>
      <c r="O34">
        <f>IF($B$2="Todos",SUMIFS(Base!$O$3:$O$5001,Base!$A$3:$A$5001,$B34),SUMIFS(Base!$O$3:$O$5001,Base!$A$3:$A$5001,$B34,Base!$B$3:$B$5001,$B$2))</f>
        <v>2147</v>
      </c>
      <c r="P34">
        <f>IF($B$2="Todos",SUMIFS(Base!$P$3:$P$5001,Base!$A$3:$A$5001,$B34),SUMIFS(Base!$P$3:$P$5001,Base!$A$3:$A$5001,$B34,Base!$B$3:$B$5001,$B$2))</f>
        <v>91</v>
      </c>
      <c r="Q34">
        <f>IF($B$2="Todos",SUMIFS(Base!$Q$3:$Q$5001,Base!$A$3:$A$5001,$B34),SUMIFS(Base!$Q$3:$Q$5001,Base!$A$3:$A$5001,$B34,Base!$B$3:$B$5001,$B$2))</f>
        <v>787</v>
      </c>
      <c r="R34">
        <f>IF($B$2="Todos",SUMIFS(Base!$R$3:$R$5001,Base!$A$3:$A$5001,$B34),SUMIFS(Base!$R$3:$R$5001,Base!$A$3:$A$5001,$B34,Base!$B$3:$B$5001,$B$2))</f>
        <v>8974</v>
      </c>
      <c r="S34">
        <f>IF($B$2="Todos",SUMIFS(Base!$S$3:$S$5001,Base!$A$3:$A$5001,$B34),SUMIFS(Base!$S$3:$S$5001,Base!$A$3:$A$5001,$B34,Base!$B$3:$B$5001,$B$2))</f>
        <v>281</v>
      </c>
      <c r="T34">
        <f>IF($B$2="Todos",SUMIFS(Base!$T$3:$T$5001,Base!$A$3:$A$5001,$B34),SUMIFS(Base!$T$3:$T$5001,Base!$A$3:$A$5001,$B34,Base!$B$3:$B$5001,$B$2))</f>
        <v>187</v>
      </c>
      <c r="U34">
        <f>IF($B$2="Todos",SUMIFS(Base!$U$3:$U$5001,Base!$A$3:$A$5001,$B34),SUMIFS(Base!$U$3:$U$5001,Base!$A$3:$A$5001,$B34,Base!$B$3:$B$5001,$B$2))</f>
        <v>1</v>
      </c>
      <c r="V34">
        <f>IF($B$2="Todos",SUMIFS(Base!$V$3:$V$5001,Base!$A$3:$A$5001,$B34),SUMIFS(Base!$V$3:$V$5001,Base!$A$3:$A$5001,$B34,Base!$B$3:$B$5001,$B$2))</f>
        <v>2</v>
      </c>
      <c r="W34">
        <f>IF($B$2="Todos",IF(COUNT($C$150:$K$150)=0,"",SUM($C$150:$K$150)),IFERROR(INDEX($C$150:$K$150,MATCH($B$2,$C$127:$K$127,0)),""))</f>
        <v>58</v>
      </c>
      <c r="X34">
        <f>IF(Y34="","",IF($B$2="Todos",IF(ISNUMBER($B$4),$B$4,IF(COUNT($C$185:$K$185)=0,"",SUM($C$185:$K$185))),IFERROR(INDEX($C$185:$K$185,MATCH($B$2,$C$162:$K$162,0)),"")))</f>
        <v>13700</v>
      </c>
      <c r="Y34">
        <f>IF($B$2="Todos",IF(COUNT($C$220:$K$220)=0,"",SUM($C$220:$K$220)),IFERROR(INDEX($C$220:$K$220,MATCH($B$2,$C$197:$K$197,0)),""))</f>
        <v>11087</v>
      </c>
      <c r="Z34">
        <f>IF(AND(ISNUMBER(Y34),ISNUMBER(X34)),IF(X34&gt;0,Y34/X34,""),"")</f>
        <v>0.809270072992701</v>
      </c>
      <c r="AA34">
        <f>IF($B$2="Todos",IF(COUNT($C$255:$K$255)=0,"",SUM($C$255:$K$255)),IFERROR(INDEX($C$255:$K$255,MATCH($B$2,$C$232:$K$232,0)),""))</f>
        <v>58</v>
      </c>
      <c r="AB34">
        <f>IF($B$2="Todos",SUMIFS(Base!$AA$3:$AA$5001,Base!$A$3:$A$5001,$B34),SUMIFS(Base!$AA$3:$AA$5001,Base!$A$3:$A$5001,$B34,Base!$B$3:$B$5001,$B$2))</f>
        <v>0</v>
      </c>
      <c r="AC34">
        <f>IF($B$2="Todos",SUMIFS(Base!$AB$3:$AB$5001,Base!$A$3:$A$5001,$B34),SUMIFS(Base!$AB$3:$AB$5001,Base!$A$3:$A$5001,$B34,Base!$B$3:$B$5001,$B$2))</f>
        <v>0</v>
      </c>
      <c r="AD34">
        <f>IF($B$2="Todos",SUMIFS(Base!$AC$3:$AC$5001,Base!$A$3:$A$5001,$B34),SUMIFS(Base!$AC$3:$AC$5001,Base!$A$3:$A$5001,$B34,Base!$B$3:$B$5001,$B$2))</f>
        <v>0</v>
      </c>
      <c r="AE34">
        <f>IF($B$2="Todos",SUMIFS(Base!$AD$3:$AD$5001,Base!$A$3:$A$5001,$B34),SUMIFS(Base!$AD$3:$AD$5001,Base!$A$3:$A$5001,$B34,Base!$B$3:$B$5001,$B$2))</f>
        <v>0</v>
      </c>
      <c r="AG34">
        <f>IFERROR(N(INDEX($C34:$AE34,MATCH($B$3,$C$11:$AE$11,0))),0)</f>
        <v>612</v>
      </c>
      <c r="AH34">
        <f>IFERROR(N(INDEX($C34:$AE34,MATCH($C$3,$C$11:$AE$11,0))),0)</f>
        <v>726</v>
      </c>
      <c r="AI34">
        <f>$B$5</f>
        <v>0.7</v>
      </c>
      <c r="AJ34">
        <f>$B$6</f>
        <v>0.9</v>
      </c>
      <c r="AN34" t="inlineStr">
        <is>
          <t xml:space="preserve">NOVEMBRO · 2027</t>
        </is>
      </c>
    </row>
    <row r="35">
      <c r="A35">
        <v>24</v>
      </c>
      <c r="B35" s="152">
        <f>IF(ISNUMBER($A35),$C$7+$A35-1,"")</f>
        <v>46289</v>
      </c>
      <c r="C35">
        <f>IF($B$2="Todos",SUMIFS(Base!$C$3:$C$5001,Base!$A$3:$A$5001,$B35),SUMIFS(Base!$C$3:$C$5001,Base!$A$3:$A$5001,$B35,Base!$B$3:$B$5001,$B$2))</f>
        <v>44</v>
      </c>
      <c r="D35">
        <f>IF($B$2="Todos",SUMIFS(Base!$D$3:$D$5001,Base!$A$3:$A$5001,$B35),SUMIFS(Base!$D$3:$D$5001,Base!$A$3:$A$5001,$B35,Base!$B$3:$B$5001,$B$2))</f>
        <v>563</v>
      </c>
      <c r="E35">
        <f>IF($B$2="Todos",SUMIFS(Base!$E$3:$E$5001,Base!$A$3:$A$5001,$B35),SUMIFS(Base!$E$3:$E$5001,Base!$A$3:$A$5001,$B35,Base!$B$3:$B$5001,$B$2))</f>
        <v>149.66</v>
      </c>
      <c r="F35">
        <f>IF($B$2="Todos",SUMIFS(Base!$F$3:$F$5001,Base!$A$3:$A$5001,$B35),SUMIFS(Base!$F$3:$F$5001,Base!$A$3:$A$5001,$B35,Base!$B$3:$B$5001,$B$2))</f>
        <v>2687</v>
      </c>
      <c r="G35">
        <f>IF($B$2="Todos",SUMIFS(Base!$G$3:$G$5001,Base!$A$3:$A$5001,$B35),SUMIFS(Base!$G$3:$G$5001,Base!$A$3:$A$5001,$B35,Base!$B$3:$B$5001,$B$2))</f>
        <v>5893</v>
      </c>
      <c r="H35">
        <f>IF($B$2="Todos",SUMIFS(Base!$H$3:$H$5001,Base!$A$3:$A$5001,$B35),SUMIFS(Base!$H$3:$H$5001,Base!$A$3:$A$5001,$B35,Base!$B$3:$B$5001,$B$2))</f>
        <v>392</v>
      </c>
      <c r="I35">
        <f>IF($B$2="Todos",SUMIFS(Base!$I$3:$I$5001,Base!$A$3:$A$5001,$B35),SUMIFS(Base!$I$3:$I$5001,Base!$A$3:$A$5001,$B35,Base!$B$3:$B$5001,$B$2))</f>
        <v>203</v>
      </c>
      <c r="J35">
        <f>IF($B$2="Todos",SUMIFS(Base!$J$3:$J$5001,Base!$A$3:$A$5001,$B35),SUMIFS(Base!$J$3:$J$5001,Base!$A$3:$A$5001,$B35,Base!$B$3:$B$5001,$B$2))</f>
        <v>464</v>
      </c>
      <c r="K35">
        <f>IF($B$2="Todos",SUMIFS(Base!$K$3:$K$5001,Base!$A$3:$A$5001,$B35),SUMIFS(Base!$K$3:$K$5001,Base!$A$3:$A$5001,$B35,Base!$B$3:$B$5001,$B$2))</f>
        <v>69</v>
      </c>
      <c r="L35">
        <f>IF($B$2="Todos",SUMIFS(Base!$L$3:$L$5001,Base!$A$3:$A$5001,$B35),SUMIFS(Base!$L$3:$L$5001,Base!$A$3:$A$5001,$B35,Base!$B$3:$B$5001,$B$2))</f>
        <v>55</v>
      </c>
      <c r="M35">
        <f>IF($B$2="Todos",SUMIFS(Base!$M$3:$M$5001,Base!$A$3:$A$5001,$B35),SUMIFS(Base!$M$3:$M$5001,Base!$A$3:$A$5001,$B35,Base!$B$3:$B$5001,$B$2))</f>
        <v>582</v>
      </c>
      <c r="N35">
        <f>IF($B$2="Todos",SUMIFS(Base!$N$3:$N$5001,Base!$A$3:$A$5001,$B35),SUMIFS(Base!$N$3:$N$5001,Base!$A$3:$A$5001,$B35,Base!$B$3:$B$5001,$B$2))</f>
        <v>109.09</v>
      </c>
      <c r="O35">
        <f>IF($B$2="Todos",SUMIFS(Base!$O$3:$O$5001,Base!$A$3:$A$5001,$B35),SUMIFS(Base!$O$3:$O$5001,Base!$A$3:$A$5001,$B35,Base!$B$3:$B$5001,$B$2))</f>
        <v>2210</v>
      </c>
      <c r="P35">
        <f>IF($B$2="Todos",SUMIFS(Base!$P$3:$P$5001,Base!$A$3:$A$5001,$B35),SUMIFS(Base!$P$3:$P$5001,Base!$A$3:$A$5001,$B35,Base!$B$3:$B$5001,$B$2))</f>
        <v>582</v>
      </c>
      <c r="Q35">
        <f>IF($B$2="Todos",SUMIFS(Base!$Q$3:$Q$5001,Base!$A$3:$A$5001,$B35),SUMIFS(Base!$Q$3:$Q$5001,Base!$A$3:$A$5001,$B35,Base!$B$3:$B$5001,$B$2))</f>
        <v>891</v>
      </c>
      <c r="R35">
        <f>IF($B$2="Todos",SUMIFS(Base!$R$3:$R$5001,Base!$A$3:$A$5001,$B35),SUMIFS(Base!$R$3:$R$5001,Base!$A$3:$A$5001,$B35,Base!$B$3:$B$5001,$B$2))</f>
        <v>4444</v>
      </c>
      <c r="S35">
        <f>IF($B$2="Todos",SUMIFS(Base!$S$3:$S$5001,Base!$A$3:$A$5001,$B35),SUMIFS(Base!$S$3:$S$5001,Base!$A$3:$A$5001,$B35,Base!$B$3:$B$5001,$B$2))</f>
        <v>185</v>
      </c>
      <c r="T35">
        <f>IF($B$2="Todos",SUMIFS(Base!$T$3:$T$5001,Base!$A$3:$A$5001,$B35),SUMIFS(Base!$T$3:$T$5001,Base!$A$3:$A$5001,$B35,Base!$B$3:$B$5001,$B$2))</f>
        <v>188</v>
      </c>
      <c r="U35">
        <f>IF($B$2="Todos",SUMIFS(Base!$U$3:$U$5001,Base!$A$3:$A$5001,$B35),SUMIFS(Base!$U$3:$U$5001,Base!$A$3:$A$5001,$B35,Base!$B$3:$B$5001,$B$2))</f>
        <v>0</v>
      </c>
      <c r="V35">
        <f>IF($B$2="Todos",SUMIFS(Base!$V$3:$V$5001,Base!$A$3:$A$5001,$B35),SUMIFS(Base!$V$3:$V$5001,Base!$A$3:$A$5001,$B35,Base!$B$3:$B$5001,$B$2))</f>
        <v>1</v>
      </c>
      <c r="W35">
        <f>IF($B$2="Todos",IF(COUNT($C$151:$K$151)=0,"",SUM($C$151:$K$151)),IFERROR(INDEX($C$151:$K$151,MATCH($B$2,$C$127:$K$127,0)),""))</f>
        <v>58</v>
      </c>
      <c r="X35">
        <f>IF(Y35="","",IF($B$2="Todos",IF(ISNUMBER($B$4),$B$4,IF(COUNT($C$186:$K$186)=0,"",SUM($C$186:$K$186))),IFERROR(INDEX($C$186:$K$186,MATCH($B$2,$C$162:$K$162,0)),"")))</f>
        <v>13700</v>
      </c>
      <c r="Y35">
        <f>IF($B$2="Todos",IF(COUNT($C$221:$K$221)=0,"",SUM($C$221:$K$221)),IFERROR(INDEX($C$221:$K$221,MATCH($B$2,$C$197:$K$197,0)),""))</f>
        <v>10477</v>
      </c>
      <c r="Z35">
        <f>IF(AND(ISNUMBER(Y35),ISNUMBER(X35)),IF(X35&gt;0,Y35/X35,""),"")</f>
        <v>0.764744525547445</v>
      </c>
      <c r="AA35">
        <f>IF($B$2="Todos",IF(COUNT($C$256:$K$256)=0,"",SUM($C$256:$K$256)),IFERROR(INDEX($C$256:$K$256,MATCH($B$2,$C$232:$K$232,0)),""))</f>
        <v>82</v>
      </c>
      <c r="AB35">
        <f>IF($B$2="Todos",SUMIFS(Base!$AA$3:$AA$5001,Base!$A$3:$A$5001,$B35),SUMIFS(Base!$AA$3:$AA$5001,Base!$A$3:$A$5001,$B35,Base!$B$3:$B$5001,$B$2))</f>
        <v>2</v>
      </c>
      <c r="AC35">
        <f>IF($B$2="Todos",SUMIFS(Base!$AB$3:$AB$5001,Base!$A$3:$A$5001,$B35),SUMIFS(Base!$AB$3:$AB$5001,Base!$A$3:$A$5001,$B35,Base!$B$3:$B$5001,$B$2))</f>
        <v>1</v>
      </c>
      <c r="AD35">
        <f>IF($B$2="Todos",SUMIFS(Base!$AC$3:$AC$5001,Base!$A$3:$A$5001,$B35),SUMIFS(Base!$AC$3:$AC$5001,Base!$A$3:$A$5001,$B35,Base!$B$3:$B$5001,$B$2))</f>
        <v>0</v>
      </c>
      <c r="AE35">
        <f>IF($B$2="Todos",SUMIFS(Base!$AD$3:$AD$5001,Base!$A$3:$A$5001,$B35),SUMIFS(Base!$AD$3:$AD$5001,Base!$A$3:$A$5001,$B35,Base!$B$3:$B$5001,$B$2))</f>
        <v>0</v>
      </c>
      <c r="AG35">
        <f>IFERROR(N(INDEX($C35:$AE35,MATCH($B$3,$C$11:$AE$11,0))),0)</f>
        <v>563</v>
      </c>
      <c r="AH35">
        <f>IFERROR(N(INDEX($C35:$AE35,MATCH($C$3,$C$11:$AE$11,0))),0)</f>
        <v>582</v>
      </c>
      <c r="AI35">
        <f>$B$5</f>
        <v>0.7</v>
      </c>
      <c r="AJ35">
        <f>$B$6</f>
        <v>0.9</v>
      </c>
      <c r="AN35" t="inlineStr">
        <is>
          <t xml:space="preserve">DEZEMBRO · 2027</t>
        </is>
      </c>
    </row>
    <row r="36">
      <c r="A36">
        <v>25</v>
      </c>
      <c r="B36" s="152">
        <f>IF(ISNUMBER($A36),$C$7+$A36-1,"")</f>
        <v>46290</v>
      </c>
      <c r="C36">
        <f>IF($B$2="Todos",SUMIFS(Base!$C$3:$C$5001,Base!$A$3:$A$5001,$B36),SUMIFS(Base!$C$3:$C$5001,Base!$A$3:$A$5001,$B36,Base!$B$3:$B$5001,$B$2))</f>
        <v>57</v>
      </c>
      <c r="D36">
        <f>IF($B$2="Todos",SUMIFS(Base!$D$3:$D$5001,Base!$A$3:$A$5001,$B36),SUMIFS(Base!$D$3:$D$5001,Base!$A$3:$A$5001,$B36,Base!$B$3:$B$5001,$B$2))</f>
        <v>587</v>
      </c>
      <c r="E36">
        <f>IF($B$2="Todos",SUMIFS(Base!$E$3:$E$5001,Base!$A$3:$A$5001,$B36),SUMIFS(Base!$E$3:$E$5001,Base!$A$3:$A$5001,$B36,Base!$B$3:$B$5001,$B$2))</f>
        <v>191.11</v>
      </c>
      <c r="F36">
        <f>IF($B$2="Todos",SUMIFS(Base!$F$3:$F$5001,Base!$A$3:$A$5001,$B36),SUMIFS(Base!$F$3:$F$5001,Base!$A$3:$A$5001,$B36,Base!$B$3:$B$5001,$B$2))</f>
        <v>2706</v>
      </c>
      <c r="G36">
        <f>IF($B$2="Todos",SUMIFS(Base!$G$3:$G$5001,Base!$A$3:$A$5001,$B36),SUMIFS(Base!$G$3:$G$5001,Base!$A$3:$A$5001,$B36,Base!$B$3:$B$5001,$B$2))</f>
        <v>2950</v>
      </c>
      <c r="H36">
        <f>IF($B$2="Todos",SUMIFS(Base!$H$3:$H$5001,Base!$A$3:$A$5001,$B36),SUMIFS(Base!$H$3:$H$5001,Base!$A$3:$A$5001,$B36,Base!$B$3:$B$5001,$B$2))</f>
        <v>179</v>
      </c>
      <c r="I36">
        <f>IF($B$2="Todos",SUMIFS(Base!$I$3:$I$5001,Base!$A$3:$A$5001,$B36),SUMIFS(Base!$I$3:$I$5001,Base!$A$3:$A$5001,$B36,Base!$B$3:$B$5001,$B$2))</f>
        <v>434</v>
      </c>
      <c r="J36">
        <f>IF($B$2="Todos",SUMIFS(Base!$J$3:$J$5001,Base!$A$3:$A$5001,$B36),SUMIFS(Base!$J$3:$J$5001,Base!$A$3:$A$5001,$B36,Base!$B$3:$B$5001,$B$2))</f>
        <v>248</v>
      </c>
      <c r="K36">
        <f>IF($B$2="Todos",SUMIFS(Base!$K$3:$K$5001,Base!$A$3:$A$5001,$B36),SUMIFS(Base!$K$3:$K$5001,Base!$A$3:$A$5001,$B36,Base!$B$3:$B$5001,$B$2))</f>
        <v>84</v>
      </c>
      <c r="L36">
        <f>IF($B$2="Todos",SUMIFS(Base!$L$3:$L$5001,Base!$A$3:$A$5001,$B36),SUMIFS(Base!$L$3:$L$5001,Base!$A$3:$A$5001,$B36,Base!$B$3:$B$5001,$B$2))</f>
        <v>47</v>
      </c>
      <c r="M36">
        <f>IF($B$2="Todos",SUMIFS(Base!$M$3:$M$5001,Base!$A$3:$A$5001,$B36),SUMIFS(Base!$M$3:$M$5001,Base!$A$3:$A$5001,$B36,Base!$B$3:$B$5001,$B$2))</f>
        <v>607</v>
      </c>
      <c r="N36">
        <f>IF($B$2="Todos",SUMIFS(Base!$N$3:$N$5001,Base!$A$3:$A$5001,$B36),SUMIFS(Base!$N$3:$N$5001,Base!$A$3:$A$5001,$B36,Base!$B$3:$B$5001,$B$2))</f>
        <v>194.74</v>
      </c>
      <c r="O36">
        <f>IF($B$2="Todos",SUMIFS(Base!$O$3:$O$5001,Base!$A$3:$A$5001,$B36),SUMIFS(Base!$O$3:$O$5001,Base!$A$3:$A$5001,$B36,Base!$B$3:$B$5001,$B$2))</f>
        <v>1301</v>
      </c>
      <c r="P36">
        <f>IF($B$2="Todos",SUMIFS(Base!$P$3:$P$5001,Base!$A$3:$A$5001,$B36),SUMIFS(Base!$P$3:$P$5001,Base!$A$3:$A$5001,$B36,Base!$B$3:$B$5001,$B$2))</f>
        <v>490</v>
      </c>
      <c r="Q36">
        <f>IF($B$2="Todos",SUMIFS(Base!$Q$3:$Q$5001,Base!$A$3:$A$5001,$B36),SUMIFS(Base!$Q$3:$Q$5001,Base!$A$3:$A$5001,$B36,Base!$B$3:$B$5001,$B$2))</f>
        <v>1136</v>
      </c>
      <c r="R36">
        <f>IF($B$2="Todos",SUMIFS(Base!$R$3:$R$5001,Base!$A$3:$A$5001,$B36),SUMIFS(Base!$R$3:$R$5001,Base!$A$3:$A$5001,$B36,Base!$B$3:$B$5001,$B$2))</f>
        <v>5932</v>
      </c>
      <c r="S36">
        <f>IF($B$2="Todos",SUMIFS(Base!$S$3:$S$5001,Base!$A$3:$A$5001,$B36),SUMIFS(Base!$S$3:$S$5001,Base!$A$3:$A$5001,$B36,Base!$B$3:$B$5001,$B$2))</f>
        <v>118</v>
      </c>
      <c r="T36">
        <f>IF($B$2="Todos",SUMIFS(Base!$T$3:$T$5001,Base!$A$3:$A$5001,$B36),SUMIFS(Base!$T$3:$T$5001,Base!$A$3:$A$5001,$B36,Base!$B$3:$B$5001,$B$2))</f>
        <v>66</v>
      </c>
      <c r="U36">
        <f>IF($B$2="Todos",SUMIFS(Base!$U$3:$U$5001,Base!$A$3:$A$5001,$B36),SUMIFS(Base!$U$3:$U$5001,Base!$A$3:$A$5001,$B36,Base!$B$3:$B$5001,$B$2))</f>
        <v>0</v>
      </c>
      <c r="V36">
        <f>IF($B$2="Todos",SUMIFS(Base!$V$3:$V$5001,Base!$A$3:$A$5001,$B36),SUMIFS(Base!$V$3:$V$5001,Base!$A$3:$A$5001,$B36,Base!$B$3:$B$5001,$B$2))</f>
        <v>0</v>
      </c>
      <c r="W36">
        <f>IF($B$2="Todos",IF(COUNT($C$152:$K$152)=0,"",SUM($C$152:$K$152)),IFERROR(INDEX($C$152:$K$152,MATCH($B$2,$C$127:$K$127,0)),""))</f>
        <v>50</v>
      </c>
      <c r="X36">
        <f>IF(Y36="","",IF($B$2="Todos",IF(ISNUMBER($B$4),$B$4,IF(COUNT($C$187:$K$187)=0,"",SUM($C$187:$K$187))),IFERROR(INDEX($C$187:$K$187,MATCH($B$2,$C$162:$K$162,0)),"")))</f>
        <v>13700</v>
      </c>
      <c r="Y36">
        <f>IF($B$2="Todos",IF(COUNT($C$222:$K$222)=0,"",SUM($C$222:$K$222)),IFERROR(INDEX($C$222:$K$222,MATCH($B$2,$C$197:$K$197,0)),""))</f>
        <v>10332</v>
      </c>
      <c r="Z36">
        <f>IF(AND(ISNUMBER(Y36),ISNUMBER(X36)),IF(X36&gt;0,Y36/X36,""),"")</f>
        <v>0.754160583941606</v>
      </c>
      <c r="AA36">
        <f>IF($B$2="Todos",IF(COUNT($C$257:$K$257)=0,"",SUM($C$257:$K$257)),IFERROR(INDEX($C$257:$K$257,MATCH($B$2,$C$232:$K$232,0)),""))</f>
        <v>74</v>
      </c>
      <c r="AB36">
        <f>IF($B$2="Todos",SUMIFS(Base!$AA$3:$AA$5001,Base!$A$3:$A$5001,$B36),SUMIFS(Base!$AA$3:$AA$5001,Base!$A$3:$A$5001,$B36,Base!$B$3:$B$5001,$B$2))</f>
        <v>3</v>
      </c>
      <c r="AC36">
        <f>IF($B$2="Todos",SUMIFS(Base!$AB$3:$AB$5001,Base!$A$3:$A$5001,$B36),SUMIFS(Base!$AB$3:$AB$5001,Base!$A$3:$A$5001,$B36,Base!$B$3:$B$5001,$B$2))</f>
        <v>0</v>
      </c>
      <c r="AD36">
        <f>IF($B$2="Todos",SUMIFS(Base!$AC$3:$AC$5001,Base!$A$3:$A$5001,$B36),SUMIFS(Base!$AC$3:$AC$5001,Base!$A$3:$A$5001,$B36,Base!$B$3:$B$5001,$B$2))</f>
        <v>0</v>
      </c>
      <c r="AE36">
        <f>IF($B$2="Todos",SUMIFS(Base!$AD$3:$AD$5001,Base!$A$3:$A$5001,$B36),SUMIFS(Base!$AD$3:$AD$5001,Base!$A$3:$A$5001,$B36,Base!$B$3:$B$5001,$B$2))</f>
        <v>0</v>
      </c>
      <c r="AG36">
        <f>IFERROR(N(INDEX($C36:$AE36,MATCH($B$3,$C$11:$AE$11,0))),0)</f>
        <v>587</v>
      </c>
      <c r="AH36">
        <f>IFERROR(N(INDEX($C36:$AE36,MATCH($C$3,$C$11:$AE$11,0))),0)</f>
        <v>607</v>
      </c>
      <c r="AI36">
        <f>$B$5</f>
        <v>0.7</v>
      </c>
      <c r="AJ36">
        <f>$B$6</f>
        <v>0.9</v>
      </c>
    </row>
    <row r="37">
      <c r="A37">
        <v>26</v>
      </c>
      <c r="B37" s="152">
        <f>IF(ISNUMBER($A37),$C$7+$A37-1,"")</f>
        <v>46291</v>
      </c>
      <c r="C37">
        <f>IF($B$2="Todos",SUMIFS(Base!$C$3:$C$5001,Base!$A$3:$A$5001,$B37),SUMIFS(Base!$C$3:$C$5001,Base!$A$3:$A$5001,$B37,Base!$B$3:$B$5001,$B$2))</f>
        <v>46</v>
      </c>
      <c r="D37">
        <f>IF($B$2="Todos",SUMIFS(Base!$D$3:$D$5001,Base!$A$3:$A$5001,$B37),SUMIFS(Base!$D$3:$D$5001,Base!$A$3:$A$5001,$B37,Base!$B$3:$B$5001,$B$2))</f>
        <v>483</v>
      </c>
      <c r="E37">
        <f>IF($B$2="Todos",SUMIFS(Base!$E$3:$E$5001,Base!$A$3:$A$5001,$B37),SUMIFS(Base!$E$3:$E$5001,Base!$A$3:$A$5001,$B37,Base!$B$3:$B$5001,$B$2))</f>
        <v>147.22</v>
      </c>
      <c r="F37">
        <f>IF($B$2="Todos",SUMIFS(Base!$F$3:$F$5001,Base!$A$3:$A$5001,$B37),SUMIFS(Base!$F$3:$F$5001,Base!$A$3:$A$5001,$B37,Base!$B$3:$B$5001,$B$2))</f>
        <v>3112</v>
      </c>
      <c r="G37">
        <f>IF($B$2="Todos",SUMIFS(Base!$G$3:$G$5001,Base!$A$3:$A$5001,$B37),SUMIFS(Base!$G$3:$G$5001,Base!$A$3:$A$5001,$B37,Base!$B$3:$B$5001,$B$2))</f>
        <v>2125</v>
      </c>
      <c r="H37">
        <f>IF($B$2="Todos",SUMIFS(Base!$H$3:$H$5001,Base!$A$3:$A$5001,$B37),SUMIFS(Base!$H$3:$H$5001,Base!$A$3:$A$5001,$B37,Base!$B$3:$B$5001,$B$2))</f>
        <v>382</v>
      </c>
      <c r="I37">
        <f>IF($B$2="Todos",SUMIFS(Base!$I$3:$I$5001,Base!$A$3:$A$5001,$B37),SUMIFS(Base!$I$3:$I$5001,Base!$A$3:$A$5001,$B37,Base!$B$3:$B$5001,$B$2))</f>
        <v>865</v>
      </c>
      <c r="J37">
        <f>IF($B$2="Todos",SUMIFS(Base!$J$3:$J$5001,Base!$A$3:$A$5001,$B37),SUMIFS(Base!$J$3:$J$5001,Base!$A$3:$A$5001,$B37,Base!$B$3:$B$5001,$B$2))</f>
        <v>184</v>
      </c>
      <c r="K37">
        <f>IF($B$2="Todos",SUMIFS(Base!$K$3:$K$5001,Base!$A$3:$A$5001,$B37),SUMIFS(Base!$K$3:$K$5001,Base!$A$3:$A$5001,$B37,Base!$B$3:$B$5001,$B$2))</f>
        <v>100</v>
      </c>
      <c r="L37">
        <f>IF($B$2="Todos",SUMIFS(Base!$L$3:$L$5001,Base!$A$3:$A$5001,$B37),SUMIFS(Base!$L$3:$L$5001,Base!$A$3:$A$5001,$B37,Base!$B$3:$B$5001,$B$2))</f>
        <v>53</v>
      </c>
      <c r="M37">
        <f>IF($B$2="Todos",SUMIFS(Base!$M$3:$M$5001,Base!$A$3:$A$5001,$B37),SUMIFS(Base!$M$3:$M$5001,Base!$A$3:$A$5001,$B37,Base!$B$3:$B$5001,$B$2))</f>
        <v>581</v>
      </c>
      <c r="N37">
        <f>IF($B$2="Todos",SUMIFS(Base!$N$3:$N$5001,Base!$A$3:$A$5001,$B37),SUMIFS(Base!$N$3:$N$5001,Base!$A$3:$A$5001,$B37,Base!$B$3:$B$5001,$B$2))</f>
        <v>191.53</v>
      </c>
      <c r="O37">
        <f>IF($B$2="Todos",SUMIFS(Base!$O$3:$O$5001,Base!$A$3:$A$5001,$B37),SUMIFS(Base!$O$3:$O$5001,Base!$A$3:$A$5001,$B37,Base!$B$3:$B$5001,$B$2))</f>
        <v>399</v>
      </c>
      <c r="P37">
        <f>IF($B$2="Todos",SUMIFS(Base!$P$3:$P$5001,Base!$A$3:$A$5001,$B37),SUMIFS(Base!$P$3:$P$5001,Base!$A$3:$A$5001,$B37,Base!$B$3:$B$5001,$B$2))</f>
        <v>171</v>
      </c>
      <c r="Q37">
        <f>IF($B$2="Todos",SUMIFS(Base!$Q$3:$Q$5001,Base!$A$3:$A$5001,$B37),SUMIFS(Base!$Q$3:$Q$5001,Base!$A$3:$A$5001,$B37,Base!$B$3:$B$5001,$B$2))</f>
        <v>496</v>
      </c>
      <c r="R37">
        <f>IF($B$2="Todos",SUMIFS(Base!$R$3:$R$5001,Base!$A$3:$A$5001,$B37),SUMIFS(Base!$R$3:$R$5001,Base!$A$3:$A$5001,$B37,Base!$B$3:$B$5001,$B$2))</f>
        <v>3907</v>
      </c>
      <c r="S37">
        <f>IF($B$2="Todos",SUMIFS(Base!$S$3:$S$5001,Base!$A$3:$A$5001,$B37),SUMIFS(Base!$S$3:$S$5001,Base!$A$3:$A$5001,$B37,Base!$B$3:$B$5001,$B$2))</f>
        <v>186</v>
      </c>
      <c r="T37">
        <f>IF($B$2="Todos",SUMIFS(Base!$T$3:$T$5001,Base!$A$3:$A$5001,$B37),SUMIFS(Base!$T$3:$T$5001,Base!$A$3:$A$5001,$B37,Base!$B$3:$B$5001,$B$2))</f>
        <v>84</v>
      </c>
      <c r="U37">
        <f>IF($B$2="Todos",SUMIFS(Base!$U$3:$U$5001,Base!$A$3:$A$5001,$B37),SUMIFS(Base!$U$3:$U$5001,Base!$A$3:$A$5001,$B37,Base!$B$3:$B$5001,$B$2))</f>
        <v>0</v>
      </c>
      <c r="V37">
        <f>IF($B$2="Todos",SUMIFS(Base!$V$3:$V$5001,Base!$A$3:$A$5001,$B37),SUMIFS(Base!$V$3:$V$5001,Base!$A$3:$A$5001,$B37,Base!$B$3:$B$5001,$B$2))</f>
        <v>0</v>
      </c>
      <c r="W37">
        <f>IF($B$2="Todos",IF(COUNT($C$153:$K$153)=0,"",SUM($C$153:$K$153)),IFERROR(INDEX($C$153:$K$153,MATCH($B$2,$C$127:$K$127,0)),""))</f>
        <v>77</v>
      </c>
      <c r="X37">
        <f>IF(Y37="","",IF($B$2="Todos",IF(ISNUMBER($B$4),$B$4,IF(COUNT($C$188:$K$188)=0,"",SUM($C$188:$K$188))),IFERROR(INDEX($C$188:$K$188,MATCH($B$2,$C$162:$K$162,0)),"")))</f>
        <v>13700</v>
      </c>
      <c r="Y37">
        <f>IF($B$2="Todos",IF(COUNT($C$223:$K$223)=0,"",SUM($C$223:$K$223)),IFERROR(INDEX($C$223:$K$223,MATCH($B$2,$C$197:$K$197,0)),""))</f>
        <v>10291</v>
      </c>
      <c r="Z37">
        <f>IF(AND(ISNUMBER(Y37),ISNUMBER(X37)),IF(X37&gt;0,Y37/X37,""),"")</f>
        <v>0.751167883211679</v>
      </c>
      <c r="AA37">
        <f>IF($B$2="Todos",IF(COUNT($C$258:$K$258)=0,"",SUM($C$258:$K$258)),IFERROR(INDEX($C$258:$K$258,MATCH($B$2,$C$232:$K$232,0)),""))</f>
        <v>83</v>
      </c>
      <c r="AB37">
        <f>IF($B$2="Todos",SUMIFS(Base!$AA$3:$AA$5001,Base!$A$3:$A$5001,$B37),SUMIFS(Base!$AA$3:$AA$5001,Base!$A$3:$A$5001,$B37,Base!$B$3:$B$5001,$B$2))</f>
        <v>2</v>
      </c>
      <c r="AC37">
        <f>IF($B$2="Todos",SUMIFS(Base!$AB$3:$AB$5001,Base!$A$3:$A$5001,$B37),SUMIFS(Base!$AB$3:$AB$5001,Base!$A$3:$A$5001,$B37,Base!$B$3:$B$5001,$B$2))</f>
        <v>2</v>
      </c>
      <c r="AD37">
        <f>IF($B$2="Todos",SUMIFS(Base!$AC$3:$AC$5001,Base!$A$3:$A$5001,$B37),SUMIFS(Base!$AC$3:$AC$5001,Base!$A$3:$A$5001,$B37,Base!$B$3:$B$5001,$B$2))</f>
        <v>1</v>
      </c>
      <c r="AE37">
        <f>IF($B$2="Todos",SUMIFS(Base!$AD$3:$AD$5001,Base!$A$3:$A$5001,$B37),SUMIFS(Base!$AD$3:$AD$5001,Base!$A$3:$A$5001,$B37,Base!$B$3:$B$5001,$B$2))</f>
        <v>0</v>
      </c>
      <c r="AG37">
        <f>IFERROR(N(INDEX($C37:$AE37,MATCH($B$3,$C$11:$AE$11,0))),0)</f>
        <v>483</v>
      </c>
      <c r="AH37">
        <f>IFERROR(N(INDEX($C37:$AE37,MATCH($C$3,$C$11:$AE$11,0))),0)</f>
        <v>581</v>
      </c>
      <c r="AI37">
        <f>$B$5</f>
        <v>0.7</v>
      </c>
      <c r="AJ37">
        <f>$B$6</f>
        <v>0.9</v>
      </c>
    </row>
    <row r="38">
      <c r="A38">
        <v>27</v>
      </c>
      <c r="B38" s="152">
        <f>IF(ISNUMBER($A38),$C$7+$A38-1,"")</f>
        <v>46292</v>
      </c>
      <c r="C38">
        <f>IF($B$2="Todos",SUMIFS(Base!$C$3:$C$5001,Base!$A$3:$A$5001,$B38),SUMIFS(Base!$C$3:$C$5001,Base!$A$3:$A$5001,$B38,Base!$B$3:$B$5001,$B$2))</f>
        <v>0</v>
      </c>
      <c r="D38">
        <f>IF($B$2="Todos",SUMIFS(Base!$D$3:$D$5001,Base!$A$3:$A$5001,$B38),SUMIFS(Base!$D$3:$D$5001,Base!$A$3:$A$5001,$B38,Base!$B$3:$B$5001,$B$2))</f>
        <v>0</v>
      </c>
      <c r="E38">
        <f>IF($B$2="Todos",SUMIFS(Base!$E$3:$E$5001,Base!$A$3:$A$5001,$B38),SUMIFS(Base!$E$3:$E$5001,Base!$A$3:$A$5001,$B38,Base!$B$3:$B$5001,$B$2))</f>
        <v>0</v>
      </c>
      <c r="F38">
        <f>IF($B$2="Todos",SUMIFS(Base!$F$3:$F$5001,Base!$A$3:$A$5001,$B38),SUMIFS(Base!$F$3:$F$5001,Base!$A$3:$A$5001,$B38,Base!$B$3:$B$5001,$B$2))</f>
        <v>0</v>
      </c>
      <c r="G38">
        <f>IF($B$2="Todos",SUMIFS(Base!$G$3:$G$5001,Base!$A$3:$A$5001,$B38),SUMIFS(Base!$G$3:$G$5001,Base!$A$3:$A$5001,$B38,Base!$B$3:$B$5001,$B$2))</f>
        <v>0</v>
      </c>
      <c r="H38">
        <f>IF($B$2="Todos",SUMIFS(Base!$H$3:$H$5001,Base!$A$3:$A$5001,$B38),SUMIFS(Base!$H$3:$H$5001,Base!$A$3:$A$5001,$B38,Base!$B$3:$B$5001,$B$2))</f>
        <v>0</v>
      </c>
      <c r="I38">
        <f>IF($B$2="Todos",SUMIFS(Base!$I$3:$I$5001,Base!$A$3:$A$5001,$B38),SUMIFS(Base!$I$3:$I$5001,Base!$A$3:$A$5001,$B38,Base!$B$3:$B$5001,$B$2))</f>
        <v>0</v>
      </c>
      <c r="J38">
        <f>IF($B$2="Todos",SUMIFS(Base!$J$3:$J$5001,Base!$A$3:$A$5001,$B38),SUMIFS(Base!$J$3:$J$5001,Base!$A$3:$A$5001,$B38,Base!$B$3:$B$5001,$B$2))</f>
        <v>0</v>
      </c>
      <c r="K38">
        <f>IF($B$2="Todos",SUMIFS(Base!$K$3:$K$5001,Base!$A$3:$A$5001,$B38),SUMIFS(Base!$K$3:$K$5001,Base!$A$3:$A$5001,$B38,Base!$B$3:$B$5001,$B$2))</f>
        <v>0</v>
      </c>
      <c r="L38">
        <f>IF($B$2="Todos",SUMIFS(Base!$L$3:$L$5001,Base!$A$3:$A$5001,$B38),SUMIFS(Base!$L$3:$L$5001,Base!$A$3:$A$5001,$B38,Base!$B$3:$B$5001,$B$2))</f>
        <v>0</v>
      </c>
      <c r="M38">
        <f>IF($B$2="Todos",SUMIFS(Base!$M$3:$M$5001,Base!$A$3:$A$5001,$B38),SUMIFS(Base!$M$3:$M$5001,Base!$A$3:$A$5001,$B38,Base!$B$3:$B$5001,$B$2))</f>
        <v>0</v>
      </c>
      <c r="N38">
        <f>IF($B$2="Todos",SUMIFS(Base!$N$3:$N$5001,Base!$A$3:$A$5001,$B38),SUMIFS(Base!$N$3:$N$5001,Base!$A$3:$A$5001,$B38,Base!$B$3:$B$5001,$B$2))</f>
        <v>0</v>
      </c>
      <c r="O38">
        <f>IF($B$2="Todos",SUMIFS(Base!$O$3:$O$5001,Base!$A$3:$A$5001,$B38),SUMIFS(Base!$O$3:$O$5001,Base!$A$3:$A$5001,$B38,Base!$B$3:$B$5001,$B$2))</f>
        <v>0</v>
      </c>
      <c r="P38">
        <f>IF($B$2="Todos",SUMIFS(Base!$P$3:$P$5001,Base!$A$3:$A$5001,$B38),SUMIFS(Base!$P$3:$P$5001,Base!$A$3:$A$5001,$B38,Base!$B$3:$B$5001,$B$2))</f>
        <v>0</v>
      </c>
      <c r="Q38">
        <f>IF($B$2="Todos",SUMIFS(Base!$Q$3:$Q$5001,Base!$A$3:$A$5001,$B38),SUMIFS(Base!$Q$3:$Q$5001,Base!$A$3:$A$5001,$B38,Base!$B$3:$B$5001,$B$2))</f>
        <v>0</v>
      </c>
      <c r="R38">
        <f>IF($B$2="Todos",SUMIFS(Base!$R$3:$R$5001,Base!$A$3:$A$5001,$B38),SUMIFS(Base!$R$3:$R$5001,Base!$A$3:$A$5001,$B38,Base!$B$3:$B$5001,$B$2))</f>
        <v>0</v>
      </c>
      <c r="S38">
        <f>IF($B$2="Todos",SUMIFS(Base!$S$3:$S$5001,Base!$A$3:$A$5001,$B38),SUMIFS(Base!$S$3:$S$5001,Base!$A$3:$A$5001,$B38,Base!$B$3:$B$5001,$B$2))</f>
        <v>0</v>
      </c>
      <c r="T38">
        <f>IF($B$2="Todos",SUMIFS(Base!$T$3:$T$5001,Base!$A$3:$A$5001,$B38),SUMIFS(Base!$T$3:$T$5001,Base!$A$3:$A$5001,$B38,Base!$B$3:$B$5001,$B$2))</f>
        <v>0</v>
      </c>
      <c r="U38">
        <f>IF($B$2="Todos",SUMIFS(Base!$U$3:$U$5001,Base!$A$3:$A$5001,$B38),SUMIFS(Base!$U$3:$U$5001,Base!$A$3:$A$5001,$B38,Base!$B$3:$B$5001,$B$2))</f>
        <v>0</v>
      </c>
      <c r="V38">
        <f>IF($B$2="Todos",SUMIFS(Base!$V$3:$V$5001,Base!$A$3:$A$5001,$B38),SUMIFS(Base!$V$3:$V$5001,Base!$A$3:$A$5001,$B38,Base!$B$3:$B$5001,$B$2))</f>
        <v>0</v>
      </c>
      <c r="W38">
        <f>IF($B$2="Todos",IF(COUNT($C$154:$K$154)=0,"",SUM($C$154:$K$154)),IFERROR(INDEX($C$154:$K$154,MATCH($B$2,$C$127:$K$127,0)),""))</f>
        <v>77</v>
      </c>
      <c r="X38">
        <f>IF(Y38="","",IF($B$2="Todos",IF(ISNUMBER($B$4),$B$4,IF(COUNT($C$189:$K$189)=0,"",SUM($C$189:$K$189))),IFERROR(INDEX($C$189:$K$189,MATCH($B$2,$C$162:$K$162,0)),"")))</f>
        <v>13700</v>
      </c>
      <c r="Y38">
        <f>IF($B$2="Todos",IF(COUNT($C$224:$K$224)=0,"",SUM($C$224:$K$224)),IFERROR(INDEX($C$224:$K$224,MATCH($B$2,$C$197:$K$197,0)),""))</f>
        <v>10291</v>
      </c>
      <c r="Z38">
        <f>IF(AND(ISNUMBER(Y38),ISNUMBER(X38)),IF(X38&gt;0,Y38/X38,""),"")</f>
        <v>0.751167883211679</v>
      </c>
      <c r="AA38">
        <f>IF($B$2="Todos",IF(COUNT($C$259:$K$259)=0,"",SUM($C$259:$K$259)),IFERROR(INDEX($C$259:$K$259,MATCH($B$2,$C$232:$K$232,0)),""))</f>
        <v>83</v>
      </c>
      <c r="AB38">
        <f>IF($B$2="Todos",SUMIFS(Base!$AA$3:$AA$5001,Base!$A$3:$A$5001,$B38),SUMIFS(Base!$AA$3:$AA$5001,Base!$A$3:$A$5001,$B38,Base!$B$3:$B$5001,$B$2))</f>
        <v>0</v>
      </c>
      <c r="AC38">
        <f>IF($B$2="Todos",SUMIFS(Base!$AB$3:$AB$5001,Base!$A$3:$A$5001,$B38),SUMIFS(Base!$AB$3:$AB$5001,Base!$A$3:$A$5001,$B38,Base!$B$3:$B$5001,$B$2))</f>
        <v>0</v>
      </c>
      <c r="AD38">
        <f>IF($B$2="Todos",SUMIFS(Base!$AC$3:$AC$5001,Base!$A$3:$A$5001,$B38),SUMIFS(Base!$AC$3:$AC$5001,Base!$A$3:$A$5001,$B38,Base!$B$3:$B$5001,$B$2))</f>
        <v>0</v>
      </c>
      <c r="AE38">
        <f>IF($B$2="Todos",SUMIFS(Base!$AD$3:$AD$5001,Base!$A$3:$A$5001,$B38),SUMIFS(Base!$AD$3:$AD$5001,Base!$A$3:$A$5001,$B38,Base!$B$3:$B$5001,$B$2))</f>
        <v>0</v>
      </c>
      <c r="AG38">
        <f>IFERROR(N(INDEX($C38:$AE38,MATCH($B$3,$C$11:$AE$11,0))),0)</f>
        <v>0</v>
      </c>
      <c r="AH38">
        <f>IFERROR(N(INDEX($C38:$AE38,MATCH($C$3,$C$11:$AE$11,0))),0)</f>
        <v>0</v>
      </c>
      <c r="AI38">
        <f>$B$5</f>
        <v>0.7</v>
      </c>
      <c r="AJ38">
        <f>$B$6</f>
        <v>0.9</v>
      </c>
    </row>
    <row r="39">
      <c r="A39">
        <v>28</v>
      </c>
      <c r="B39" s="152">
        <f>IF(ISNUMBER($A39),$C$7+$A39-1,"")</f>
        <v>46293</v>
      </c>
      <c r="C39">
        <f>IF($B$2="Todos",SUMIFS(Base!$C$3:$C$5001,Base!$A$3:$A$5001,$B39),SUMIFS(Base!$C$3:$C$5001,Base!$A$3:$A$5001,$B39,Base!$B$3:$B$5001,$B$2))</f>
        <v>38</v>
      </c>
      <c r="D39">
        <f>IF($B$2="Todos",SUMIFS(Base!$D$3:$D$5001,Base!$A$3:$A$5001,$B39),SUMIFS(Base!$D$3:$D$5001,Base!$A$3:$A$5001,$B39,Base!$B$3:$B$5001,$B$2))</f>
        <v>532</v>
      </c>
      <c r="E39">
        <f>IF($B$2="Todos",SUMIFS(Base!$E$3:$E$5001,Base!$A$3:$A$5001,$B39),SUMIFS(Base!$E$3:$E$5001,Base!$A$3:$A$5001,$B39,Base!$B$3:$B$5001,$B$2))</f>
        <v>149.41</v>
      </c>
      <c r="F39">
        <f>IF($B$2="Todos",SUMIFS(Base!$F$3:$F$5001,Base!$A$3:$A$5001,$B39),SUMIFS(Base!$F$3:$F$5001,Base!$A$3:$A$5001,$B39,Base!$B$3:$B$5001,$B$2))</f>
        <v>4537</v>
      </c>
      <c r="G39">
        <f>IF($B$2="Todos",SUMIFS(Base!$G$3:$G$5001,Base!$A$3:$A$5001,$B39),SUMIFS(Base!$G$3:$G$5001,Base!$A$3:$A$5001,$B39,Base!$B$3:$B$5001,$B$2))</f>
        <v>5721</v>
      </c>
      <c r="H39">
        <f>IF($B$2="Todos",SUMIFS(Base!$H$3:$H$5001,Base!$A$3:$A$5001,$B39),SUMIFS(Base!$H$3:$H$5001,Base!$A$3:$A$5001,$B39,Base!$B$3:$B$5001,$B$2))</f>
        <v>61</v>
      </c>
      <c r="I39">
        <f>IF($B$2="Todos",SUMIFS(Base!$I$3:$I$5001,Base!$A$3:$A$5001,$B39),SUMIFS(Base!$I$3:$I$5001,Base!$A$3:$A$5001,$B39,Base!$B$3:$B$5001,$B$2))</f>
        <v>435</v>
      </c>
      <c r="J39">
        <f>IF($B$2="Todos",SUMIFS(Base!$J$3:$J$5001,Base!$A$3:$A$5001,$B39),SUMIFS(Base!$J$3:$J$5001,Base!$A$3:$A$5001,$B39,Base!$B$3:$B$5001,$B$2))</f>
        <v>279</v>
      </c>
      <c r="K39">
        <f>IF($B$2="Todos",SUMIFS(Base!$K$3:$K$5001,Base!$A$3:$A$5001,$B39),SUMIFS(Base!$K$3:$K$5001,Base!$A$3:$A$5001,$B39,Base!$B$3:$B$5001,$B$2))</f>
        <v>84</v>
      </c>
      <c r="L39">
        <f>IF($B$2="Todos",SUMIFS(Base!$L$3:$L$5001,Base!$A$3:$A$5001,$B39),SUMIFS(Base!$L$3:$L$5001,Base!$A$3:$A$5001,$B39,Base!$B$3:$B$5001,$B$2))</f>
        <v>54</v>
      </c>
      <c r="M39">
        <f>IF($B$2="Todos",SUMIFS(Base!$M$3:$M$5001,Base!$A$3:$A$5001,$B39),SUMIFS(Base!$M$3:$M$5001,Base!$A$3:$A$5001,$B39,Base!$B$3:$B$5001,$B$2))</f>
        <v>694</v>
      </c>
      <c r="N39">
        <f>IF($B$2="Todos",SUMIFS(Base!$N$3:$N$5001,Base!$A$3:$A$5001,$B39),SUMIFS(Base!$N$3:$N$5001,Base!$A$3:$A$5001,$B39,Base!$B$3:$B$5001,$B$2))</f>
        <v>264.27</v>
      </c>
      <c r="O39">
        <f>IF($B$2="Todos",SUMIFS(Base!$O$3:$O$5001,Base!$A$3:$A$5001,$B39),SUMIFS(Base!$O$3:$O$5001,Base!$A$3:$A$5001,$B39,Base!$B$3:$B$5001,$B$2))</f>
        <v>957</v>
      </c>
      <c r="P39">
        <f>IF($B$2="Todos",SUMIFS(Base!$P$3:$P$5001,Base!$A$3:$A$5001,$B39),SUMIFS(Base!$P$3:$P$5001,Base!$A$3:$A$5001,$B39,Base!$B$3:$B$5001,$B$2))</f>
        <v>407</v>
      </c>
      <c r="Q39">
        <f>IF($B$2="Todos",SUMIFS(Base!$Q$3:$Q$5001,Base!$A$3:$A$5001,$B39),SUMIFS(Base!$Q$3:$Q$5001,Base!$A$3:$A$5001,$B39,Base!$B$3:$B$5001,$B$2))</f>
        <v>1197</v>
      </c>
      <c r="R39">
        <f>IF($B$2="Todos",SUMIFS(Base!$R$3:$R$5001,Base!$A$3:$A$5001,$B39),SUMIFS(Base!$R$3:$R$5001,Base!$A$3:$A$5001,$B39,Base!$B$3:$B$5001,$B$2))</f>
        <v>2282</v>
      </c>
      <c r="S39">
        <f>IF($B$2="Todos",SUMIFS(Base!$S$3:$S$5001,Base!$A$3:$A$5001,$B39),SUMIFS(Base!$S$3:$S$5001,Base!$A$3:$A$5001,$B39,Base!$B$3:$B$5001,$B$2))</f>
        <v>533</v>
      </c>
      <c r="T39">
        <f>IF($B$2="Todos",SUMIFS(Base!$T$3:$T$5001,Base!$A$3:$A$5001,$B39),SUMIFS(Base!$T$3:$T$5001,Base!$A$3:$A$5001,$B39,Base!$B$3:$B$5001,$B$2))</f>
        <v>132</v>
      </c>
      <c r="U39">
        <f>IF($B$2="Todos",SUMIFS(Base!$U$3:$U$5001,Base!$A$3:$A$5001,$B39),SUMIFS(Base!$U$3:$U$5001,Base!$A$3:$A$5001,$B39,Base!$B$3:$B$5001,$B$2))</f>
        <v>0</v>
      </c>
      <c r="V39">
        <f>IF($B$2="Todos",SUMIFS(Base!$V$3:$V$5001,Base!$A$3:$A$5001,$B39),SUMIFS(Base!$V$3:$V$5001,Base!$A$3:$A$5001,$B39,Base!$B$3:$B$5001,$B$2))</f>
        <v>0</v>
      </c>
      <c r="W39">
        <f>IF($B$2="Todos",IF(COUNT($C$155:$K$155)=0,"",SUM($C$155:$K$155)),IFERROR(INDEX($C$155:$K$155,MATCH($B$2,$C$127:$K$127,0)),""))</f>
        <v>70</v>
      </c>
      <c r="X39">
        <f>IF(Y39="","",IF($B$2="Todos",IF(ISNUMBER($B$4),$B$4,IF(COUNT($C$190:$K$190)=0,"",SUM($C$190:$K$190))),IFERROR(INDEX($C$190:$K$190,MATCH($B$2,$C$162:$K$162,0)),"")))</f>
        <v>13700</v>
      </c>
      <c r="Y39">
        <f>IF($B$2="Todos",IF(COUNT($C$225:$K$225)=0,"",SUM($C$225:$K$225)),IFERROR(INDEX($C$225:$K$225,MATCH($B$2,$C$197:$K$197,0)),""))</f>
        <v>10446</v>
      </c>
      <c r="Z39">
        <f>IF(AND(ISNUMBER(Y39),ISNUMBER(X39)),IF(X39&gt;0,Y39/X39,""),"")</f>
        <v>0.762481751824818</v>
      </c>
      <c r="AA39">
        <f>IF($B$2="Todos",IF(COUNT($C$260:$K$260)=0,"",SUM($C$260:$K$260)),IFERROR(INDEX($C$260:$K$260,MATCH($B$2,$C$232:$K$232,0)),""))</f>
        <v>78</v>
      </c>
      <c r="AB39">
        <f>IF($B$2="Todos",SUMIFS(Base!$AA$3:$AA$5001,Base!$A$3:$A$5001,$B39),SUMIFS(Base!$AA$3:$AA$5001,Base!$A$3:$A$5001,$B39,Base!$B$3:$B$5001,$B$2))</f>
        <v>2</v>
      </c>
      <c r="AC39">
        <f>IF($B$2="Todos",SUMIFS(Base!$AB$3:$AB$5001,Base!$A$3:$A$5001,$B39),SUMIFS(Base!$AB$3:$AB$5001,Base!$A$3:$A$5001,$B39,Base!$B$3:$B$5001,$B$2))</f>
        <v>1</v>
      </c>
      <c r="AD39">
        <f>IF($B$2="Todos",SUMIFS(Base!$AC$3:$AC$5001,Base!$A$3:$A$5001,$B39),SUMIFS(Base!$AC$3:$AC$5001,Base!$A$3:$A$5001,$B39,Base!$B$3:$B$5001,$B$2))</f>
        <v>1</v>
      </c>
      <c r="AE39">
        <f>IF($B$2="Todos",SUMIFS(Base!$AD$3:$AD$5001,Base!$A$3:$A$5001,$B39),SUMIFS(Base!$AD$3:$AD$5001,Base!$A$3:$A$5001,$B39,Base!$B$3:$B$5001,$B$2))</f>
        <v>0</v>
      </c>
      <c r="AG39">
        <f>IFERROR(N(INDEX($C39:$AE39,MATCH($B$3,$C$11:$AE$11,0))),0)</f>
        <v>532</v>
      </c>
      <c r="AH39">
        <f>IFERROR(N(INDEX($C39:$AE39,MATCH($C$3,$C$11:$AE$11,0))),0)</f>
        <v>694</v>
      </c>
      <c r="AI39">
        <f>$B$5</f>
        <v>0.7</v>
      </c>
      <c r="AJ39">
        <f>$B$6</f>
        <v>0.9</v>
      </c>
    </row>
    <row r="40">
      <c r="A40">
        <f>IF(DAY($D$7)&gt;=29,29,"")</f>
        <v>29</v>
      </c>
      <c r="B40" s="152">
        <f>IF(ISNUMBER($A40),$C$7+$A40-1,"")</f>
        <v>46294</v>
      </c>
      <c r="C40">
        <f>IF($B$2="Todos",SUMIFS(Base!$C$3:$C$5001,Base!$A$3:$A$5001,$B40),SUMIFS(Base!$C$3:$C$5001,Base!$A$3:$A$5001,$B40,Base!$B$3:$B$5001,$B$2))</f>
        <v>51</v>
      </c>
      <c r="D40">
        <f>IF($B$2="Todos",SUMIFS(Base!$D$3:$D$5001,Base!$A$3:$A$5001,$B40),SUMIFS(Base!$D$3:$D$5001,Base!$A$3:$A$5001,$B40,Base!$B$3:$B$5001,$B$2))</f>
        <v>504</v>
      </c>
      <c r="E40">
        <f>IF($B$2="Todos",SUMIFS(Base!$E$3:$E$5001,Base!$A$3:$A$5001,$B40),SUMIFS(Base!$E$3:$E$5001,Base!$A$3:$A$5001,$B40,Base!$B$3:$B$5001,$B$2))</f>
        <v>71.89</v>
      </c>
      <c r="F40">
        <f>IF($B$2="Todos",SUMIFS(Base!$F$3:$F$5001,Base!$A$3:$A$5001,$B40),SUMIFS(Base!$F$3:$F$5001,Base!$A$3:$A$5001,$B40,Base!$B$3:$B$5001,$B$2))</f>
        <v>3991</v>
      </c>
      <c r="G40">
        <f>IF($B$2="Todos",SUMIFS(Base!$G$3:$G$5001,Base!$A$3:$A$5001,$B40),SUMIFS(Base!$G$3:$G$5001,Base!$A$3:$A$5001,$B40,Base!$B$3:$B$5001,$B$2))</f>
        <v>3982</v>
      </c>
      <c r="H40">
        <f>IF($B$2="Todos",SUMIFS(Base!$H$3:$H$5001,Base!$A$3:$A$5001,$B40),SUMIFS(Base!$H$3:$H$5001,Base!$A$3:$A$5001,$B40,Base!$B$3:$B$5001,$B$2))</f>
        <v>347</v>
      </c>
      <c r="I40">
        <f>IF($B$2="Todos",SUMIFS(Base!$I$3:$I$5001,Base!$A$3:$A$5001,$B40),SUMIFS(Base!$I$3:$I$5001,Base!$A$3:$A$5001,$B40,Base!$B$3:$B$5001,$B$2))</f>
        <v>682</v>
      </c>
      <c r="J40">
        <f>IF($B$2="Todos",SUMIFS(Base!$J$3:$J$5001,Base!$A$3:$A$5001,$B40),SUMIFS(Base!$J$3:$J$5001,Base!$A$3:$A$5001,$B40,Base!$B$3:$B$5001,$B$2))</f>
        <v>145</v>
      </c>
      <c r="K40">
        <f>IF($B$2="Todos",SUMIFS(Base!$K$3:$K$5001,Base!$A$3:$A$5001,$B40),SUMIFS(Base!$K$3:$K$5001,Base!$A$3:$A$5001,$B40,Base!$B$3:$B$5001,$B$2))</f>
        <v>124</v>
      </c>
      <c r="L40">
        <f>IF($B$2="Todos",SUMIFS(Base!$L$3:$L$5001,Base!$A$3:$A$5001,$B40),SUMIFS(Base!$L$3:$L$5001,Base!$A$3:$A$5001,$B40,Base!$B$3:$B$5001,$B$2))</f>
        <v>71</v>
      </c>
      <c r="M40">
        <f>IF($B$2="Todos",SUMIFS(Base!$M$3:$M$5001,Base!$A$3:$A$5001,$B40),SUMIFS(Base!$M$3:$M$5001,Base!$A$3:$A$5001,$B40,Base!$B$3:$B$5001,$B$2))</f>
        <v>735</v>
      </c>
      <c r="N40">
        <f>IF($B$2="Todos",SUMIFS(Base!$N$3:$N$5001,Base!$A$3:$A$5001,$B40),SUMIFS(Base!$N$3:$N$5001,Base!$A$3:$A$5001,$B40,Base!$B$3:$B$5001,$B$2))</f>
        <v>189.7</v>
      </c>
      <c r="O40">
        <f>IF($B$2="Todos",SUMIFS(Base!$O$3:$O$5001,Base!$A$3:$A$5001,$B40),SUMIFS(Base!$O$3:$O$5001,Base!$A$3:$A$5001,$B40,Base!$B$3:$B$5001,$B$2))</f>
        <v>405</v>
      </c>
      <c r="P40">
        <f>IF($B$2="Todos",SUMIFS(Base!$P$3:$P$5001,Base!$A$3:$A$5001,$B40),SUMIFS(Base!$P$3:$P$5001,Base!$A$3:$A$5001,$B40,Base!$B$3:$B$5001,$B$2))</f>
        <v>160</v>
      </c>
      <c r="Q40">
        <f>IF($B$2="Todos",SUMIFS(Base!$Q$3:$Q$5001,Base!$A$3:$A$5001,$B40),SUMIFS(Base!$Q$3:$Q$5001,Base!$A$3:$A$5001,$B40,Base!$B$3:$B$5001,$B$2))</f>
        <v>1165</v>
      </c>
      <c r="R40">
        <f>IF($B$2="Todos",SUMIFS(Base!$R$3:$R$5001,Base!$A$3:$A$5001,$B40),SUMIFS(Base!$R$3:$R$5001,Base!$A$3:$A$5001,$B40,Base!$B$3:$B$5001,$B$2))</f>
        <v>6949</v>
      </c>
      <c r="S40">
        <f>IF($B$2="Todos",SUMIFS(Base!$S$3:$S$5001,Base!$A$3:$A$5001,$B40),SUMIFS(Base!$S$3:$S$5001,Base!$A$3:$A$5001,$B40,Base!$B$3:$B$5001,$B$2))</f>
        <v>589</v>
      </c>
      <c r="T40">
        <f>IF($B$2="Todos",SUMIFS(Base!$T$3:$T$5001,Base!$A$3:$A$5001,$B40),SUMIFS(Base!$T$3:$T$5001,Base!$A$3:$A$5001,$B40,Base!$B$3:$B$5001,$B$2))</f>
        <v>76</v>
      </c>
      <c r="U40">
        <f>IF($B$2="Todos",SUMIFS(Base!$U$3:$U$5001,Base!$A$3:$A$5001,$B40),SUMIFS(Base!$U$3:$U$5001,Base!$A$3:$A$5001,$B40,Base!$B$3:$B$5001,$B$2))</f>
        <v>0</v>
      </c>
      <c r="V40">
        <f>IF($B$2="Todos",SUMIFS(Base!$V$3:$V$5001,Base!$A$3:$A$5001,$B40),SUMIFS(Base!$V$3:$V$5001,Base!$A$3:$A$5001,$B40,Base!$B$3:$B$5001,$B$2))</f>
        <v>3</v>
      </c>
      <c r="W40">
        <f>IF($B$2="Todos",IF(COUNT($C$156:$K$156)=0,"",SUM($C$156:$K$156)),IFERROR(INDEX($C$156:$K$156,MATCH($B$2,$C$127:$K$127,0)),""))</f>
        <v>71</v>
      </c>
      <c r="X40">
        <f>IF(Y40="","",IF($B$2="Todos",IF(ISNUMBER($B$4),$B$4,IF(COUNT($C$191:$K$191)=0,"",SUM($C$191:$K$191))),IFERROR(INDEX($C$191:$K$191,MATCH($B$2,$C$162:$K$162,0)),"")))</f>
        <v>13700</v>
      </c>
      <c r="Y40">
        <f>IF($B$2="Todos",IF(COUNT($C$226:$K$226)=0,"",SUM($C$226:$K$226)),IFERROR(INDEX($C$226:$K$226,MATCH($B$2,$C$197:$K$197,0)),""))</f>
        <v>10404</v>
      </c>
      <c r="Z40">
        <f>IF(AND(ISNUMBER(Y40),ISNUMBER(X40)),IF(X40&gt;0,Y40/X40,""),"")</f>
        <v>0.759416058394161</v>
      </c>
      <c r="AA40">
        <f>IF($B$2="Todos",IF(COUNT($C$261:$K$261)=0,"",SUM($C$261:$K$261)),IFERROR(INDEX($C$261:$K$261,MATCH($B$2,$C$232:$K$232,0)),""))</f>
        <v>69</v>
      </c>
      <c r="AB40">
        <f>IF($B$2="Todos",SUMIFS(Base!$AA$3:$AA$5001,Base!$A$3:$A$5001,$B40),SUMIFS(Base!$AA$3:$AA$5001,Base!$A$3:$A$5001,$B40,Base!$B$3:$B$5001,$B$2))</f>
        <v>0</v>
      </c>
      <c r="AC40">
        <f>IF($B$2="Todos",SUMIFS(Base!$AB$3:$AB$5001,Base!$A$3:$A$5001,$B40),SUMIFS(Base!$AB$3:$AB$5001,Base!$A$3:$A$5001,$B40,Base!$B$3:$B$5001,$B$2))</f>
        <v>0</v>
      </c>
      <c r="AD40">
        <f>IF($B$2="Todos",SUMIFS(Base!$AC$3:$AC$5001,Base!$A$3:$A$5001,$B40),SUMIFS(Base!$AC$3:$AC$5001,Base!$A$3:$A$5001,$B40,Base!$B$3:$B$5001,$B$2))</f>
        <v>0</v>
      </c>
      <c r="AE40">
        <f>IF($B$2="Todos",SUMIFS(Base!$AD$3:$AD$5001,Base!$A$3:$A$5001,$B40),SUMIFS(Base!$AD$3:$AD$5001,Base!$A$3:$A$5001,$B40,Base!$B$3:$B$5001,$B$2))</f>
        <v>0</v>
      </c>
      <c r="AG40">
        <f>IFERROR(N(INDEX($C40:$AE40,MATCH($B$3,$C$11:$AE$11,0))),0)</f>
        <v>504</v>
      </c>
      <c r="AH40">
        <f>IFERROR(N(INDEX($C40:$AE40,MATCH($C$3,$C$11:$AE$11,0))),0)</f>
        <v>735</v>
      </c>
      <c r="AI40">
        <f>$B$5</f>
        <v>0.7</v>
      </c>
      <c r="AJ40">
        <f>$B$6</f>
        <v>0.9</v>
      </c>
    </row>
    <row r="41">
      <c r="A41">
        <f>IF(DAY($D$7)&gt;=30,30,"")</f>
        <v>30</v>
      </c>
      <c r="B41" s="152">
        <f>IF(ISNUMBER($A41),$C$7+$A41-1,"")</f>
        <v>46295</v>
      </c>
      <c r="C41">
        <f>IF($B$2="Todos",SUMIFS(Base!$C$3:$C$5001,Base!$A$3:$A$5001,$B41),SUMIFS(Base!$C$3:$C$5001,Base!$A$3:$A$5001,$B41,Base!$B$3:$B$5001,$B$2))</f>
        <v>0</v>
      </c>
      <c r="D41">
        <f>IF($B$2="Todos",SUMIFS(Base!$D$3:$D$5001,Base!$A$3:$A$5001,$B41),SUMIFS(Base!$D$3:$D$5001,Base!$A$3:$A$5001,$B41,Base!$B$3:$B$5001,$B$2))</f>
        <v>0</v>
      </c>
      <c r="E41">
        <f>IF($B$2="Todos",SUMIFS(Base!$E$3:$E$5001,Base!$A$3:$A$5001,$B41),SUMIFS(Base!$E$3:$E$5001,Base!$A$3:$A$5001,$B41,Base!$B$3:$B$5001,$B$2))</f>
        <v>0</v>
      </c>
      <c r="F41">
        <f>IF($B$2="Todos",SUMIFS(Base!$F$3:$F$5001,Base!$A$3:$A$5001,$B41),SUMIFS(Base!$F$3:$F$5001,Base!$A$3:$A$5001,$B41,Base!$B$3:$B$5001,$B$2))</f>
        <v>0</v>
      </c>
      <c r="G41">
        <f>IF($B$2="Todos",SUMIFS(Base!$G$3:$G$5001,Base!$A$3:$A$5001,$B41),SUMIFS(Base!$G$3:$G$5001,Base!$A$3:$A$5001,$B41,Base!$B$3:$B$5001,$B$2))</f>
        <v>0</v>
      </c>
      <c r="H41">
        <f>IF($B$2="Todos",SUMIFS(Base!$H$3:$H$5001,Base!$A$3:$A$5001,$B41),SUMIFS(Base!$H$3:$H$5001,Base!$A$3:$A$5001,$B41,Base!$B$3:$B$5001,$B$2))</f>
        <v>0</v>
      </c>
      <c r="I41">
        <f>IF($B$2="Todos",SUMIFS(Base!$I$3:$I$5001,Base!$A$3:$A$5001,$B41),SUMIFS(Base!$I$3:$I$5001,Base!$A$3:$A$5001,$B41,Base!$B$3:$B$5001,$B$2))</f>
        <v>0</v>
      </c>
      <c r="J41">
        <f>IF($B$2="Todos",SUMIFS(Base!$J$3:$J$5001,Base!$A$3:$A$5001,$B41),SUMIFS(Base!$J$3:$J$5001,Base!$A$3:$A$5001,$B41,Base!$B$3:$B$5001,$B$2))</f>
        <v>0</v>
      </c>
      <c r="K41">
        <f>IF($B$2="Todos",SUMIFS(Base!$K$3:$K$5001,Base!$A$3:$A$5001,$B41),SUMIFS(Base!$K$3:$K$5001,Base!$A$3:$A$5001,$B41,Base!$B$3:$B$5001,$B$2))</f>
        <v>0</v>
      </c>
      <c r="L41">
        <f>IF($B$2="Todos",SUMIFS(Base!$L$3:$L$5001,Base!$A$3:$A$5001,$B41),SUMIFS(Base!$L$3:$L$5001,Base!$A$3:$A$5001,$B41,Base!$B$3:$B$5001,$B$2))</f>
        <v>0</v>
      </c>
      <c r="M41">
        <f>IF($B$2="Todos",SUMIFS(Base!$M$3:$M$5001,Base!$A$3:$A$5001,$B41),SUMIFS(Base!$M$3:$M$5001,Base!$A$3:$A$5001,$B41,Base!$B$3:$B$5001,$B$2))</f>
        <v>0</v>
      </c>
      <c r="N41">
        <f>IF($B$2="Todos",SUMIFS(Base!$N$3:$N$5001,Base!$A$3:$A$5001,$B41),SUMIFS(Base!$N$3:$N$5001,Base!$A$3:$A$5001,$B41,Base!$B$3:$B$5001,$B$2))</f>
        <v>0</v>
      </c>
      <c r="O41">
        <f>IF($B$2="Todos",SUMIFS(Base!$O$3:$O$5001,Base!$A$3:$A$5001,$B41),SUMIFS(Base!$O$3:$O$5001,Base!$A$3:$A$5001,$B41,Base!$B$3:$B$5001,$B$2))</f>
        <v>0</v>
      </c>
      <c r="P41">
        <f>IF($B$2="Todos",SUMIFS(Base!$P$3:$P$5001,Base!$A$3:$A$5001,$B41),SUMIFS(Base!$P$3:$P$5001,Base!$A$3:$A$5001,$B41,Base!$B$3:$B$5001,$B$2))</f>
        <v>0</v>
      </c>
      <c r="Q41">
        <f>IF($B$2="Todos",SUMIFS(Base!$Q$3:$Q$5001,Base!$A$3:$A$5001,$B41),SUMIFS(Base!$Q$3:$Q$5001,Base!$A$3:$A$5001,$B41,Base!$B$3:$B$5001,$B$2))</f>
        <v>0</v>
      </c>
      <c r="R41">
        <f>IF($B$2="Todos",SUMIFS(Base!$R$3:$R$5001,Base!$A$3:$A$5001,$B41),SUMIFS(Base!$R$3:$R$5001,Base!$A$3:$A$5001,$B41,Base!$B$3:$B$5001,$B$2))</f>
        <v>0</v>
      </c>
      <c r="S41">
        <f>IF($B$2="Todos",SUMIFS(Base!$S$3:$S$5001,Base!$A$3:$A$5001,$B41),SUMIFS(Base!$S$3:$S$5001,Base!$A$3:$A$5001,$B41,Base!$B$3:$B$5001,$B$2))</f>
        <v>0</v>
      </c>
      <c r="T41">
        <f>IF($B$2="Todos",SUMIFS(Base!$T$3:$T$5001,Base!$A$3:$A$5001,$B41),SUMIFS(Base!$T$3:$T$5001,Base!$A$3:$A$5001,$B41,Base!$B$3:$B$5001,$B$2))</f>
        <v>0</v>
      </c>
      <c r="U41">
        <f>IF($B$2="Todos",SUMIFS(Base!$U$3:$U$5001,Base!$A$3:$A$5001,$B41),SUMIFS(Base!$U$3:$U$5001,Base!$A$3:$A$5001,$B41,Base!$B$3:$B$5001,$B$2))</f>
        <v>0</v>
      </c>
      <c r="V41">
        <f>IF($B$2="Todos",SUMIFS(Base!$V$3:$V$5001,Base!$A$3:$A$5001,$B41),SUMIFS(Base!$V$3:$V$5001,Base!$A$3:$A$5001,$B41,Base!$B$3:$B$5001,$B$2))</f>
        <v>0</v>
      </c>
      <c r="W41" t="str">
        <f>IF($B$2="Todos",IF(COUNT($C$157:$K$157)=0,"",SUM($C$157:$K$157)),IFERROR(INDEX($C$157:$K$157,MATCH($B$2,$C$127:$K$127,0)),""))</f>
        <v/>
      </c>
      <c r="X41" t="str">
        <f>IF(Y41="","",IF($B$2="Todos",IF(ISNUMBER($B$4),$B$4,IF(COUNT($C$192:$K$192)=0,"",SUM($C$192:$K$192))),IFERROR(INDEX($C$192:$K$192,MATCH($B$2,$C$162:$K$162,0)),"")))</f>
        <v/>
      </c>
      <c r="Y41" t="str">
        <f>IF($B$2="Todos",IF(COUNT($C$227:$K$227)=0,"",SUM($C$227:$K$227)),IFERROR(INDEX($C$227:$K$227,MATCH($B$2,$C$197:$K$197,0)),""))</f>
        <v/>
      </c>
      <c r="Z41" t="str">
        <f>IF(AND(ISNUMBER(Y41),ISNUMBER(X41)),IF(X41&gt;0,Y41/X41,""),"")</f>
        <v/>
      </c>
      <c r="AA41" t="str">
        <f>IF($B$2="Todos",IF(COUNT($C$262:$K$262)=0,"",SUM($C$262:$K$262)),IFERROR(INDEX($C$262:$K$262,MATCH($B$2,$C$232:$K$232,0)),""))</f>
        <v/>
      </c>
      <c r="AB41">
        <f>IF($B$2="Todos",SUMIFS(Base!$AA$3:$AA$5001,Base!$A$3:$A$5001,$B41),SUMIFS(Base!$AA$3:$AA$5001,Base!$A$3:$A$5001,$B41,Base!$B$3:$B$5001,$B$2))</f>
        <v>0</v>
      </c>
      <c r="AC41">
        <f>IF($B$2="Todos",SUMIFS(Base!$AB$3:$AB$5001,Base!$A$3:$A$5001,$B41),SUMIFS(Base!$AB$3:$AB$5001,Base!$A$3:$A$5001,$B41,Base!$B$3:$B$5001,$B$2))</f>
        <v>0</v>
      </c>
      <c r="AD41">
        <f>IF($B$2="Todos",SUMIFS(Base!$AC$3:$AC$5001,Base!$A$3:$A$5001,$B41),SUMIFS(Base!$AC$3:$AC$5001,Base!$A$3:$A$5001,$B41,Base!$B$3:$B$5001,$B$2))</f>
        <v>0</v>
      </c>
      <c r="AE41">
        <f>IF($B$2="Todos",SUMIFS(Base!$AD$3:$AD$5001,Base!$A$3:$A$5001,$B41),SUMIFS(Base!$AD$3:$AD$5001,Base!$A$3:$A$5001,$B41,Base!$B$3:$B$5001,$B$2))</f>
        <v>0</v>
      </c>
      <c r="AG41">
        <f>IFERROR(N(INDEX($C41:$AE41,MATCH($B$3,$C$11:$AE$11,0))),0)</f>
        <v>0</v>
      </c>
      <c r="AH41">
        <f>IFERROR(N(INDEX($C41:$AE41,MATCH($C$3,$C$11:$AE$11,0))),0)</f>
        <v>0</v>
      </c>
      <c r="AI41">
        <f>$B$5</f>
        <v>0.7</v>
      </c>
      <c r="AJ41">
        <f>$B$6</f>
        <v>0.9</v>
      </c>
    </row>
    <row r="42">
      <c r="A42" t="str">
        <f>IF(DAY($D$7)&gt;=31,31,"")</f>
        <v/>
      </c>
      <c r="B42" s="152" t="str">
        <f>IF(ISNUMBER($A42),$C$7+$A42-1,"")</f>
        <v/>
      </c>
      <c r="C42">
        <f>IF($B$2="Todos",SUMIFS(Base!$C$3:$C$5001,Base!$A$3:$A$5001,$B42),SUMIFS(Base!$C$3:$C$5001,Base!$A$3:$A$5001,$B42,Base!$B$3:$B$5001,$B$2))</f>
        <v>0</v>
      </c>
      <c r="D42">
        <f>IF($B$2="Todos",SUMIFS(Base!$D$3:$D$5001,Base!$A$3:$A$5001,$B42),SUMIFS(Base!$D$3:$D$5001,Base!$A$3:$A$5001,$B42,Base!$B$3:$B$5001,$B$2))</f>
        <v>0</v>
      </c>
      <c r="E42">
        <f>IF($B$2="Todos",SUMIFS(Base!$E$3:$E$5001,Base!$A$3:$A$5001,$B42),SUMIFS(Base!$E$3:$E$5001,Base!$A$3:$A$5001,$B42,Base!$B$3:$B$5001,$B$2))</f>
        <v>0</v>
      </c>
      <c r="F42">
        <f>IF($B$2="Todos",SUMIFS(Base!$F$3:$F$5001,Base!$A$3:$A$5001,$B42),SUMIFS(Base!$F$3:$F$5001,Base!$A$3:$A$5001,$B42,Base!$B$3:$B$5001,$B$2))</f>
        <v>0</v>
      </c>
      <c r="G42">
        <f>IF($B$2="Todos",SUMIFS(Base!$G$3:$G$5001,Base!$A$3:$A$5001,$B42),SUMIFS(Base!$G$3:$G$5001,Base!$A$3:$A$5001,$B42,Base!$B$3:$B$5001,$B$2))</f>
        <v>0</v>
      </c>
      <c r="H42">
        <f>IF($B$2="Todos",SUMIFS(Base!$H$3:$H$5001,Base!$A$3:$A$5001,$B42),SUMIFS(Base!$H$3:$H$5001,Base!$A$3:$A$5001,$B42,Base!$B$3:$B$5001,$B$2))</f>
        <v>0</v>
      </c>
      <c r="I42">
        <f>IF($B$2="Todos",SUMIFS(Base!$I$3:$I$5001,Base!$A$3:$A$5001,$B42),SUMIFS(Base!$I$3:$I$5001,Base!$A$3:$A$5001,$B42,Base!$B$3:$B$5001,$B$2))</f>
        <v>0</v>
      </c>
      <c r="J42">
        <f>IF($B$2="Todos",SUMIFS(Base!$J$3:$J$5001,Base!$A$3:$A$5001,$B42),SUMIFS(Base!$J$3:$J$5001,Base!$A$3:$A$5001,$B42,Base!$B$3:$B$5001,$B$2))</f>
        <v>0</v>
      </c>
      <c r="K42">
        <f>IF($B$2="Todos",SUMIFS(Base!$K$3:$K$5001,Base!$A$3:$A$5001,$B42),SUMIFS(Base!$K$3:$K$5001,Base!$A$3:$A$5001,$B42,Base!$B$3:$B$5001,$B$2))</f>
        <v>0</v>
      </c>
      <c r="L42">
        <f>IF($B$2="Todos",SUMIFS(Base!$L$3:$L$5001,Base!$A$3:$A$5001,$B42),SUMIFS(Base!$L$3:$L$5001,Base!$A$3:$A$5001,$B42,Base!$B$3:$B$5001,$B$2))</f>
        <v>0</v>
      </c>
      <c r="M42">
        <f>IF($B$2="Todos",SUMIFS(Base!$M$3:$M$5001,Base!$A$3:$A$5001,$B42),SUMIFS(Base!$M$3:$M$5001,Base!$A$3:$A$5001,$B42,Base!$B$3:$B$5001,$B$2))</f>
        <v>0</v>
      </c>
      <c r="N42">
        <f>IF($B$2="Todos",SUMIFS(Base!$N$3:$N$5001,Base!$A$3:$A$5001,$B42),SUMIFS(Base!$N$3:$N$5001,Base!$A$3:$A$5001,$B42,Base!$B$3:$B$5001,$B$2))</f>
        <v>0</v>
      </c>
      <c r="O42">
        <f>IF($B$2="Todos",SUMIFS(Base!$O$3:$O$5001,Base!$A$3:$A$5001,$B42),SUMIFS(Base!$O$3:$O$5001,Base!$A$3:$A$5001,$B42,Base!$B$3:$B$5001,$B$2))</f>
        <v>0</v>
      </c>
      <c r="P42">
        <f>IF($B$2="Todos",SUMIFS(Base!$P$3:$P$5001,Base!$A$3:$A$5001,$B42),SUMIFS(Base!$P$3:$P$5001,Base!$A$3:$A$5001,$B42,Base!$B$3:$B$5001,$B$2))</f>
        <v>0</v>
      </c>
      <c r="Q42">
        <f>IF($B$2="Todos",SUMIFS(Base!$Q$3:$Q$5001,Base!$A$3:$A$5001,$B42),SUMIFS(Base!$Q$3:$Q$5001,Base!$A$3:$A$5001,$B42,Base!$B$3:$B$5001,$B$2))</f>
        <v>0</v>
      </c>
      <c r="R42">
        <f>IF($B$2="Todos",SUMIFS(Base!$R$3:$R$5001,Base!$A$3:$A$5001,$B42),SUMIFS(Base!$R$3:$R$5001,Base!$A$3:$A$5001,$B42,Base!$B$3:$B$5001,$B$2))</f>
        <v>0</v>
      </c>
      <c r="S42">
        <f>IF($B$2="Todos",SUMIFS(Base!$S$3:$S$5001,Base!$A$3:$A$5001,$B42),SUMIFS(Base!$S$3:$S$5001,Base!$A$3:$A$5001,$B42,Base!$B$3:$B$5001,$B$2))</f>
        <v>0</v>
      </c>
      <c r="T42">
        <f>IF($B$2="Todos",SUMIFS(Base!$T$3:$T$5001,Base!$A$3:$A$5001,$B42),SUMIFS(Base!$T$3:$T$5001,Base!$A$3:$A$5001,$B42,Base!$B$3:$B$5001,$B$2))</f>
        <v>0</v>
      </c>
      <c r="U42">
        <f>IF($B$2="Todos",SUMIFS(Base!$U$3:$U$5001,Base!$A$3:$A$5001,$B42),SUMIFS(Base!$U$3:$U$5001,Base!$A$3:$A$5001,$B42,Base!$B$3:$B$5001,$B$2))</f>
        <v>0</v>
      </c>
      <c r="V42">
        <f>IF($B$2="Todos",SUMIFS(Base!$V$3:$V$5001,Base!$A$3:$A$5001,$B42),SUMIFS(Base!$V$3:$V$5001,Base!$A$3:$A$5001,$B42,Base!$B$3:$B$5001,$B$2))</f>
        <v>0</v>
      </c>
      <c r="W42" t="str">
        <f>IF($B$2="Todos",IF(COUNT($C$158:$K$158)=0,"",SUM($C$158:$K$158)),IFERROR(INDEX($C$158:$K$158,MATCH($B$2,$C$127:$K$127,0)),""))</f>
        <v/>
      </c>
      <c r="X42" t="str">
        <f>IF(Y42="","",IF($B$2="Todos",IF(ISNUMBER($B$4),$B$4,IF(COUNT($C$193:$K$193)=0,"",SUM($C$193:$K$193))),IFERROR(INDEX($C$193:$K$193,MATCH($B$2,$C$162:$K$162,0)),"")))</f>
        <v/>
      </c>
      <c r="Y42" t="str">
        <f>IF($B$2="Todos",IF(COUNT($C$228:$K$228)=0,"",SUM($C$228:$K$228)),IFERROR(INDEX($C$228:$K$228,MATCH($B$2,$C$197:$K$197,0)),""))</f>
        <v/>
      </c>
      <c r="Z42" t="str">
        <f>IF(AND(ISNUMBER(Y42),ISNUMBER(X42)),IF(X42&gt;0,Y42/X42,""),"")</f>
        <v/>
      </c>
      <c r="AA42" t="str">
        <f>IF($B$2="Todos",IF(COUNT($C$263:$K$263)=0,"",SUM($C$263:$K$263)),IFERROR(INDEX($C$263:$K$263,MATCH($B$2,$C$232:$K$232,0)),""))</f>
        <v/>
      </c>
      <c r="AB42">
        <f>IF($B$2="Todos",SUMIFS(Base!$AA$3:$AA$5001,Base!$A$3:$A$5001,$B42),SUMIFS(Base!$AA$3:$AA$5001,Base!$A$3:$A$5001,$B42,Base!$B$3:$B$5001,$B$2))</f>
        <v>0</v>
      </c>
      <c r="AC42">
        <f>IF($B$2="Todos",SUMIFS(Base!$AB$3:$AB$5001,Base!$A$3:$A$5001,$B42),SUMIFS(Base!$AB$3:$AB$5001,Base!$A$3:$A$5001,$B42,Base!$B$3:$B$5001,$B$2))</f>
        <v>0</v>
      </c>
      <c r="AD42">
        <f>IF($B$2="Todos",SUMIFS(Base!$AC$3:$AC$5001,Base!$A$3:$A$5001,$B42),SUMIFS(Base!$AC$3:$AC$5001,Base!$A$3:$A$5001,$B42,Base!$B$3:$B$5001,$B$2))</f>
        <v>0</v>
      </c>
      <c r="AE42">
        <f>IF($B$2="Todos",SUMIFS(Base!$AD$3:$AD$5001,Base!$A$3:$A$5001,$B42),SUMIFS(Base!$AD$3:$AD$5001,Base!$A$3:$A$5001,$B42,Base!$B$3:$B$5001,$B$2))</f>
        <v>0</v>
      </c>
      <c r="AG42">
        <f>IFERROR(N(INDEX($C42:$AE42,MATCH($B$3,$C$11:$AE$11,0))),0)</f>
        <v>0</v>
      </c>
      <c r="AH42">
        <f>IFERROR(N(INDEX($C42:$AE42,MATCH($C$3,$C$11:$AE$11,0))),0)</f>
        <v>0</v>
      </c>
      <c r="AI42">
        <f>$B$5</f>
        <v>0.7</v>
      </c>
      <c r="AJ42">
        <f>$B$6</f>
        <v>0.9</v>
      </c>
    </row>
    <row r="43">
      <c r="A43" t="inlineStr">
        <is>
          <t xml:space="preserve">Realizado no mês (soma · último dado em estoque)</t>
        </is>
      </c>
      <c r="C43">
        <f>SUM(C12:C42)</f>
        <v>1106</v>
      </c>
      <c r="D43">
        <f>SUM(D12:D42)</f>
        <v>12991</v>
      </c>
      <c r="E43">
        <f>SUM(E12:E42)</f>
        <v>3872.89</v>
      </c>
      <c r="F43">
        <f>SUM(F12:F42)</f>
        <v>69407</v>
      </c>
      <c r="G43">
        <f>SUM(G12:G42)</f>
        <v>87289</v>
      </c>
      <c r="H43">
        <f>SUM(H12:H42)</f>
        <v>5410</v>
      </c>
      <c r="I43">
        <f>SUM(I12:I42)</f>
        <v>11383</v>
      </c>
      <c r="J43">
        <f>SUM(J12:J42)</f>
        <v>7689</v>
      </c>
      <c r="K43">
        <f>SUM(K12:K42)</f>
        <v>3026</v>
      </c>
      <c r="L43">
        <f>SUM(L12:L42)</f>
        <v>1466</v>
      </c>
      <c r="M43">
        <f>SUM(M12:M42)</f>
        <v>16470</v>
      </c>
      <c r="N43">
        <f>SUM(N12:N42)</f>
        <v>4711.04</v>
      </c>
      <c r="O43">
        <f>SUM(O12:O42)</f>
        <v>37204</v>
      </c>
      <c r="P43">
        <f>SUM(P12:P42)</f>
        <v>8699</v>
      </c>
      <c r="Q43">
        <f>SUM(Q12:Q42)</f>
        <v>18637</v>
      </c>
      <c r="R43">
        <f>SUM(R12:R42)</f>
        <v>128382</v>
      </c>
      <c r="S43">
        <f>SUM(S12:S42)</f>
        <v>7734</v>
      </c>
      <c r="T43">
        <f>SUM(T12:T42)</f>
        <v>3271</v>
      </c>
      <c r="U43">
        <f>SUM(U12:U42)</f>
        <v>5</v>
      </c>
      <c r="V43">
        <f>SUM(V12:V42)</f>
        <v>20</v>
      </c>
      <c r="W43">
        <f>IFERROR(LOOKUP(9.99E+307,W12:W42),"")</f>
        <v>71</v>
      </c>
      <c r="X43">
        <f>IFERROR(LOOKUP(9.99E+307,X12:X42),"")</f>
        <v>13700</v>
      </c>
      <c r="Y43">
        <f>IFERROR(LOOKUP(9.99E+307,Y12:Y42),"")</f>
        <v>10404</v>
      </c>
      <c r="Z43">
        <f>IF(AND(ISNUMBER(Y43),ISNUMBER(X43)),IF(X43&gt;0,Y43/X43,""),"")</f>
        <v>0.759416058394161</v>
      </c>
      <c r="AA43">
        <f>IFERROR(LOOKUP(9.99E+307,AA12:AA42),"")</f>
        <v>69</v>
      </c>
      <c r="AB43">
        <f>SUM(AB12:AB42)</f>
        <v>42</v>
      </c>
      <c r="AC43">
        <f>SUM(AC12:AC42)</f>
        <v>20</v>
      </c>
      <c r="AD43">
        <f>SUM(AD12:AD42)</f>
        <v>12</v>
      </c>
      <c r="AE43">
        <f>SUM(AE12:AE42)</f>
        <v>2</v>
      </c>
    </row>
    <row r="44">
      <c r="A44" t="inlineStr">
        <is>
          <t xml:space="preserve">Média por dia</t>
        </is>
      </c>
      <c r="C44">
        <f>IFERROR(AVERAGEIF(C12:C42,"&gt;0"),"")</f>
        <v>44.24</v>
      </c>
      <c r="D44">
        <f>IFERROR(AVERAGEIF(D12:D42,"&gt;0"),"")</f>
        <v>519.64</v>
      </c>
      <c r="E44">
        <f>IFERROR(AVERAGEIF(E12:E42,"&gt;0"),"")</f>
        <v>154.9156</v>
      </c>
      <c r="F44">
        <f>IFERROR(AVERAGEIF(F12:F42,"&gt;0"),"")</f>
        <v>2776.28</v>
      </c>
      <c r="G44">
        <f>IFERROR(AVERAGEIF(G12:G42,"&gt;0"),"")</f>
        <v>3491.56</v>
      </c>
      <c r="H44">
        <f>IFERROR(AVERAGEIF(H12:H42,"&gt;0"),"")</f>
        <v>216.4</v>
      </c>
      <c r="I44">
        <f>IFERROR(AVERAGEIF(I12:I42,"&gt;0"),"")</f>
        <v>455.32</v>
      </c>
      <c r="J44">
        <f>IFERROR(AVERAGEIF(J12:J42,"&gt;0"),"")</f>
        <v>307.56</v>
      </c>
      <c r="K44">
        <f>IFERROR(AVERAGEIF(K12:K42,"&gt;0"),"")</f>
        <v>121.04</v>
      </c>
      <c r="L44">
        <f>IFERROR(AVERAGEIF(L12:L42,"&gt;0"),"")</f>
        <v>58.64</v>
      </c>
      <c r="M44">
        <f>IFERROR(AVERAGEIF(M12:M42,"&gt;0"),"")</f>
        <v>658.8</v>
      </c>
      <c r="N44">
        <f>IFERROR(AVERAGEIF(N12:N42,"&gt;0"),"")</f>
        <v>188.4416</v>
      </c>
      <c r="O44">
        <f>IFERROR(AVERAGEIF(O12:O42,"&gt;0"),"")</f>
        <v>1488.16</v>
      </c>
      <c r="P44">
        <f>IFERROR(AVERAGEIF(P12:P42,"&gt;0"),"")</f>
        <v>347.96</v>
      </c>
      <c r="Q44">
        <f>IFERROR(AVERAGEIF(Q12:Q42,"&gt;0"),"")</f>
        <v>745.48</v>
      </c>
      <c r="R44">
        <f>IFERROR(AVERAGEIF(R12:R42,"&gt;0"),"")</f>
        <v>5135.28</v>
      </c>
      <c r="S44">
        <f>IFERROR(AVERAGEIF(S12:S42,"&gt;0"),"")</f>
        <v>309.36</v>
      </c>
      <c r="T44">
        <f>IFERROR(AVERAGEIF(T12:T42,"&gt;0"),"")</f>
        <v>130.84</v>
      </c>
      <c r="U44">
        <f>IFERROR(AVERAGEIF(U12:U42,"&gt;0"),"")</f>
        <v>1.25</v>
      </c>
      <c r="V44">
        <f>IFERROR(AVERAGEIF(V12:V42,"&gt;0"),"")</f>
        <v>1.33333333333333</v>
      </c>
      <c r="W44">
        <f>IFERROR(AVERAGE(W12:W42),"")</f>
        <v>61.5172413793103</v>
      </c>
      <c r="X44">
        <f>IFERROR(AVERAGE(X12:X42),"")</f>
        <v>13700</v>
      </c>
      <c r="Y44">
        <f>IFERROR(AVERAGE(Y12:Y42),"")</f>
        <v>10345.724137931</v>
      </c>
      <c r="Z44">
        <f>IFERROR(AVERAGE(Z12:Z42),"")</f>
        <v>0.755162345834382</v>
      </c>
      <c r="AA44">
        <f>IFERROR(AVERAGE(AA12:AA42),"")</f>
        <v>75.6206896551724</v>
      </c>
      <c r="AB44">
        <f>IFERROR(AVERAGEIF(AB12:AB42,"&gt;0"),"")</f>
        <v>2</v>
      </c>
      <c r="AC44">
        <f>IFERROR(AVERAGEIF(AC12:AC42,"&gt;0"),"")</f>
        <v>1.53846153846154</v>
      </c>
      <c r="AD44">
        <f>IFERROR(AVERAGEIF(AD12:AD42,"&gt;0"),"")</f>
        <v>1</v>
      </c>
      <c r="AE44">
        <f>IFERROR(AVERAGEIF(AE12:AE42,"&gt;0"),"")</f>
        <v>1</v>
      </c>
    </row>
    <row r="45">
      <c r="A45" t="inlineStr">
        <is>
          <t xml:space="preserve">Máximo em um dia</t>
        </is>
      </c>
      <c r="C45">
        <f>IF(COUNT(C12:C42)=0,"",MAX(C12:C42))</f>
        <v>57</v>
      </c>
      <c r="D45">
        <f>IF(COUNT(D12:D42)=0,"",MAX(D12:D42))</f>
        <v>647</v>
      </c>
      <c r="E45">
        <f>IF(COUNT(E12:E42)=0,"",MAX(E12:E42))</f>
        <v>234.41</v>
      </c>
      <c r="F45">
        <f>IF(COUNT(F12:F42)=0,"",MAX(F12:F42))</f>
        <v>4678</v>
      </c>
      <c r="G45">
        <f>IF(COUNT(G12:G42)=0,"",MAX(G12:G42))</f>
        <v>5893</v>
      </c>
      <c r="H45">
        <f>IF(COUNT(H12:H42)=0,"",MAX(H12:H42))</f>
        <v>392</v>
      </c>
      <c r="I45">
        <f>IF(COUNT(I12:I42)=0,"",MAX(I12:I42))</f>
        <v>865</v>
      </c>
      <c r="J45">
        <f>IF(COUNT(J12:J42)=0,"",MAX(J12:J42))</f>
        <v>539</v>
      </c>
      <c r="K45">
        <f>IF(COUNT(K12:K42)=0,"",MAX(K12:K42))</f>
        <v>181</v>
      </c>
      <c r="L45">
        <f>IF(COUNT(L12:L42)=0,"",MAX(L12:L42))</f>
        <v>82</v>
      </c>
      <c r="M45">
        <f>IF(COUNT(M12:M42)=0,"",MAX(M12:M42))</f>
        <v>815</v>
      </c>
      <c r="N45">
        <f>IF(COUNT(N12:N42)=0,"",MAX(N12:N42))</f>
        <v>276.12</v>
      </c>
      <c r="O45">
        <f>IF(COUNT(O12:O42)=0,"",MAX(O12:O42))</f>
        <v>2460</v>
      </c>
      <c r="P45">
        <f>IF(COUNT(P12:P42)=0,"",MAX(P12:P42))</f>
        <v>673</v>
      </c>
      <c r="Q45">
        <f>IF(COUNT(Q12:Q42)=0,"",MAX(Q12:Q42))</f>
        <v>1197</v>
      </c>
      <c r="R45">
        <f>IF(COUNT(R12:R42)=0,"",MAX(R12:R42))</f>
        <v>8974</v>
      </c>
      <c r="S45">
        <f>IF(COUNT(S12:S42)=0,"",MAX(S12:S42))</f>
        <v>589</v>
      </c>
      <c r="T45">
        <f>IF(COUNT(T12:T42)=0,"",MAX(T12:T42))</f>
        <v>197</v>
      </c>
      <c r="U45">
        <f>IF(COUNT(U12:U42)=0,"",MAX(U12:U42))</f>
        <v>2</v>
      </c>
      <c r="V45">
        <f>IF(COUNT(V12:V42)=0,"",MAX(V12:V42))</f>
        <v>3</v>
      </c>
      <c r="W45">
        <f>IF(COUNT(W12:W42)=0,"",MAX(W12:W42))</f>
        <v>83</v>
      </c>
      <c r="X45">
        <f>IF(COUNT(X12:X42)=0,"",MAX(X12:X42))</f>
        <v>13700</v>
      </c>
      <c r="Y45">
        <f>IF(COUNT(Y12:Y42)=0,"",MAX(Y12:Y42))</f>
        <v>11247</v>
      </c>
      <c r="Z45">
        <f>IF(COUNT(Z12:Z42)=0,"",MAX(Z12:Z42))</f>
        <v>0.820948905109489</v>
      </c>
      <c r="AA45">
        <f>IF(COUNT(AA12:AA42)=0,"",MAX(AA12:AA42))</f>
        <v>91</v>
      </c>
      <c r="AB45">
        <f>IF(COUNT(AB12:AB42)=0,"",MAX(AB12:AB42))</f>
        <v>4</v>
      </c>
      <c r="AC45">
        <f>IF(COUNT(AC12:AC42)=0,"",MAX(AC12:AC42))</f>
        <v>3</v>
      </c>
      <c r="AD45">
        <f>IF(COUNT(AD12:AD42)=0,"",MAX(AD12:AD42))</f>
        <v>1</v>
      </c>
      <c r="AE45">
        <f>IF(COUNT(AE12:AE42)=0,"",MAX(AE12:AE42))</f>
        <v>1</v>
      </c>
    </row>
    <row r="46">
      <c r="A46" t="inlineStr">
        <is>
          <t xml:space="preserve">Mês anterior (mesmo intervalo)</t>
        </is>
      </c>
      <c r="C46">
        <f>IF($B$2="Todos",SUMIFS(Base!$C$3:$C$5001,Base!$A$3:$A$5001,"&gt;="&amp;$C$8,Base!$A$3:$A$5001,"&lt;="&amp;$D$8),SUMIFS(Base!$C$3:$C$5001,Base!$A$3:$A$5001,"&gt;="&amp;$C$8,Base!$A$3:$A$5001,"&lt;="&amp;$D$8,Base!$B$3:$B$5001,$B$2))</f>
        <v>1128</v>
      </c>
      <c r="D46">
        <f>IF($B$2="Todos",SUMIFS(Base!$D$3:$D$5001,Base!$A$3:$A$5001,"&gt;="&amp;$C$8,Base!$A$3:$A$5001,"&lt;="&amp;$D$8),SUMIFS(Base!$D$3:$D$5001,Base!$A$3:$A$5001,"&gt;="&amp;$C$8,Base!$A$3:$A$5001,"&lt;="&amp;$D$8,Base!$B$3:$B$5001,$B$2))</f>
        <v>12435</v>
      </c>
      <c r="E46">
        <f>IF($B$2="Todos",SUMIFS(Base!$E$3:$E$5001,Base!$A$3:$A$5001,"&gt;="&amp;$C$8,Base!$A$3:$A$5001,"&lt;="&amp;$D$8),SUMIFS(Base!$E$3:$E$5001,Base!$A$3:$A$5001,"&gt;="&amp;$C$8,Base!$A$3:$A$5001,"&lt;="&amp;$D$8,Base!$B$3:$B$5001,$B$2))</f>
        <v>3355.07</v>
      </c>
      <c r="F46">
        <f>IF($B$2="Todos",SUMIFS(Base!$F$3:$F$5001,Base!$A$3:$A$5001,"&gt;="&amp;$C$8,Base!$A$3:$A$5001,"&lt;="&amp;$D$8),SUMIFS(Base!$F$3:$F$5001,Base!$A$3:$A$5001,"&gt;="&amp;$C$8,Base!$A$3:$A$5001,"&lt;="&amp;$D$8,Base!$B$3:$B$5001,$B$2))</f>
        <v>70493</v>
      </c>
      <c r="G46">
        <f>IF($B$2="Todos",SUMIFS(Base!$G$3:$G$5001,Base!$A$3:$A$5001,"&gt;="&amp;$C$8,Base!$A$3:$A$5001,"&lt;="&amp;$D$8),SUMIFS(Base!$G$3:$G$5001,Base!$A$3:$A$5001,"&gt;="&amp;$C$8,Base!$A$3:$A$5001,"&lt;="&amp;$D$8,Base!$B$3:$B$5001,$B$2))</f>
        <v>74174</v>
      </c>
      <c r="H46">
        <f>IF($B$2="Todos",SUMIFS(Base!$H$3:$H$5001,Base!$A$3:$A$5001,"&gt;="&amp;$C$8,Base!$A$3:$A$5001,"&lt;="&amp;$D$8),SUMIFS(Base!$H$3:$H$5001,Base!$A$3:$A$5001,"&gt;="&amp;$C$8,Base!$A$3:$A$5001,"&lt;="&amp;$D$8,Base!$B$3:$B$5001,$B$2))</f>
        <v>5308</v>
      </c>
      <c r="I46">
        <f>IF($B$2="Todos",SUMIFS(Base!$I$3:$I$5001,Base!$A$3:$A$5001,"&gt;="&amp;$C$8,Base!$A$3:$A$5001,"&lt;="&amp;$D$8),SUMIFS(Base!$I$3:$I$5001,Base!$A$3:$A$5001,"&gt;="&amp;$C$8,Base!$A$3:$A$5001,"&lt;="&amp;$D$8,Base!$B$3:$B$5001,$B$2))</f>
        <v>11605</v>
      </c>
      <c r="J46">
        <f>IF($B$2="Todos",SUMIFS(Base!$J$3:$J$5001,Base!$A$3:$A$5001,"&gt;="&amp;$C$8,Base!$A$3:$A$5001,"&lt;="&amp;$D$8),SUMIFS(Base!$J$3:$J$5001,Base!$A$3:$A$5001,"&gt;="&amp;$C$8,Base!$A$3:$A$5001,"&lt;="&amp;$D$8,Base!$B$3:$B$5001,$B$2))</f>
        <v>7696</v>
      </c>
      <c r="K46">
        <f>IF($B$2="Todos",SUMIFS(Base!$K$3:$K$5001,Base!$A$3:$A$5001,"&gt;="&amp;$C$8,Base!$A$3:$A$5001,"&lt;="&amp;$D$8),SUMIFS(Base!$K$3:$K$5001,Base!$A$3:$A$5001,"&gt;="&amp;$C$8,Base!$A$3:$A$5001,"&lt;="&amp;$D$8,Base!$B$3:$B$5001,$B$2))</f>
        <v>3221</v>
      </c>
      <c r="L46">
        <f>IF($B$2="Todos",SUMIFS(Base!$L$3:$L$5001,Base!$A$3:$A$5001,"&gt;="&amp;$C$8,Base!$A$3:$A$5001,"&lt;="&amp;$D$8),SUMIFS(Base!$L$3:$L$5001,Base!$A$3:$A$5001,"&gt;="&amp;$C$8,Base!$A$3:$A$5001,"&lt;="&amp;$D$8,Base!$B$3:$B$5001,$B$2))</f>
        <v>1383</v>
      </c>
      <c r="M46">
        <f>IF($B$2="Todos",SUMIFS(Base!$M$3:$M$5001,Base!$A$3:$A$5001,"&gt;="&amp;$C$8,Base!$A$3:$A$5001,"&lt;="&amp;$D$8),SUMIFS(Base!$M$3:$M$5001,Base!$A$3:$A$5001,"&gt;="&amp;$C$8,Base!$A$3:$A$5001,"&lt;="&amp;$D$8,Base!$B$3:$B$5001,$B$2))</f>
        <v>15100</v>
      </c>
      <c r="N46">
        <f>IF($B$2="Todos",SUMIFS(Base!$N$3:$N$5001,Base!$A$3:$A$5001,"&gt;="&amp;$C$8,Base!$A$3:$A$5001,"&lt;="&amp;$D$8),SUMIFS(Base!$N$3:$N$5001,Base!$A$3:$A$5001,"&gt;="&amp;$C$8,Base!$A$3:$A$5001,"&lt;="&amp;$D$8,Base!$B$3:$B$5001,$B$2))</f>
        <v>3472.39</v>
      </c>
      <c r="O46">
        <f>IF($B$2="Todos",SUMIFS(Base!$O$3:$O$5001,Base!$A$3:$A$5001,"&gt;="&amp;$C$8,Base!$A$3:$A$5001,"&lt;="&amp;$D$8),SUMIFS(Base!$O$3:$O$5001,Base!$A$3:$A$5001,"&gt;="&amp;$C$8,Base!$A$3:$A$5001,"&lt;="&amp;$D$8,Base!$B$3:$B$5001,$B$2))</f>
        <v>36198</v>
      </c>
      <c r="P46">
        <f>IF($B$2="Todos",SUMIFS(Base!$P$3:$P$5001,Base!$A$3:$A$5001,"&gt;="&amp;$C$8,Base!$A$3:$A$5001,"&lt;="&amp;$D$8),SUMIFS(Base!$P$3:$P$5001,Base!$A$3:$A$5001,"&gt;="&amp;$C$8,Base!$A$3:$A$5001,"&lt;="&amp;$D$8,Base!$B$3:$B$5001,$B$2))</f>
        <v>11978</v>
      </c>
      <c r="Q46">
        <f>IF($B$2="Todos",SUMIFS(Base!$Q$3:$Q$5001,Base!$A$3:$A$5001,"&gt;="&amp;$C$8,Base!$A$3:$A$5001,"&lt;="&amp;$D$8),SUMIFS(Base!$Q$3:$Q$5001,Base!$A$3:$A$5001,"&gt;="&amp;$C$8,Base!$A$3:$A$5001,"&lt;="&amp;$D$8,Base!$B$3:$B$5001,$B$2))</f>
        <v>16950</v>
      </c>
      <c r="R46">
        <f>IF($B$2="Todos",SUMIFS(Base!$R$3:$R$5001,Base!$A$3:$A$5001,"&gt;="&amp;$C$8,Base!$A$3:$A$5001,"&lt;="&amp;$D$8),SUMIFS(Base!$R$3:$R$5001,Base!$A$3:$A$5001,"&gt;="&amp;$C$8,Base!$A$3:$A$5001,"&lt;="&amp;$D$8,Base!$B$3:$B$5001,$B$2))</f>
        <v>122261</v>
      </c>
      <c r="S46">
        <f>IF($B$2="Todos",SUMIFS(Base!$S$3:$S$5001,Base!$A$3:$A$5001,"&gt;="&amp;$C$8,Base!$A$3:$A$5001,"&lt;="&amp;$D$8),SUMIFS(Base!$S$3:$S$5001,Base!$A$3:$A$5001,"&gt;="&amp;$C$8,Base!$A$3:$A$5001,"&lt;="&amp;$D$8,Base!$B$3:$B$5001,$B$2))</f>
        <v>6375</v>
      </c>
      <c r="T46">
        <f>IF($B$2="Todos",SUMIFS(Base!$T$3:$T$5001,Base!$A$3:$A$5001,"&gt;="&amp;$C$8,Base!$A$3:$A$5001,"&lt;="&amp;$D$8),SUMIFS(Base!$T$3:$T$5001,Base!$A$3:$A$5001,"&gt;="&amp;$C$8,Base!$A$3:$A$5001,"&lt;="&amp;$D$8,Base!$B$3:$B$5001,$B$2))</f>
        <v>3306</v>
      </c>
      <c r="U46">
        <f>IF($B$2="Todos",SUMIFS(Base!$U$3:$U$5001,Base!$A$3:$A$5001,"&gt;="&amp;$C$8,Base!$A$3:$A$5001,"&lt;="&amp;$D$8),SUMIFS(Base!$U$3:$U$5001,Base!$A$3:$A$5001,"&gt;="&amp;$C$8,Base!$A$3:$A$5001,"&lt;="&amp;$D$8,Base!$B$3:$B$5001,$B$2))</f>
        <v>8</v>
      </c>
      <c r="V46">
        <f>IF($B$2="Todos",SUMIFS(Base!$V$3:$V$5001,Base!$A$3:$A$5001,"&gt;="&amp;$C$8,Base!$A$3:$A$5001,"&lt;="&amp;$D$8),SUMIFS(Base!$V$3:$V$5001,Base!$A$3:$A$5001,"&gt;="&amp;$C$8,Base!$A$3:$A$5001,"&lt;="&amp;$D$8,Base!$B$3:$B$5001,$B$2))</f>
        <v>17</v>
      </c>
      <c r="W46">
        <f>IF($B$2="Todos",IF(COUNT($C$159:$K$159)=0,"",SUM($C$159:$K$159)),IFERROR(INDEX($C$159:$K$159,MATCH($B$2,$C$127:$K$127,0)),""))</f>
        <v>64</v>
      </c>
      <c r="X46">
        <f>IF(Y46="","",IF($B$2="Todos",IF(ISNUMBER($B$4),$B$4,IF(COUNT($C$194:$K$194)=0,"",SUM($C$194:$K$194))),IFERROR(INDEX($C$194:$K$194,MATCH($B$2,$C$162:$K$162,0)),"")))</f>
        <v>13700</v>
      </c>
      <c r="Y46">
        <f>IF($B$2="Todos",IF(COUNT($C$229:$K$229)=0,"",SUM($C$229:$K$229)),IFERROR(INDEX($C$229:$K$229,MATCH($B$2,$C$197:$K$197,0)),""))</f>
        <v>9185</v>
      </c>
      <c r="Z46">
        <f>IF(AND(ISNUMBER(Y46),ISNUMBER(X46)),IF(X46&gt;0,Y46/X46,""),"")</f>
        <v>0.67043795620438</v>
      </c>
      <c r="AA46">
        <f>IF($B$2="Todos",IF(COUNT($C$264:$K$264)=0,"",SUM($C$264:$K$264)),IFERROR(INDEX($C$264:$K$264,MATCH($B$2,$C$232:$K$232,0)),""))</f>
        <v>79</v>
      </c>
      <c r="AB46">
        <f>IF($B$2="Todos",SUMIFS(Base!$AA$3:$AA$5001,Base!$A$3:$A$5001,"&gt;="&amp;$C$8,Base!$A$3:$A$5001,"&lt;="&amp;$D$8),SUMIFS(Base!$AA$3:$AA$5001,Base!$A$3:$A$5001,"&gt;="&amp;$C$8,Base!$A$3:$A$5001,"&lt;="&amp;$D$8,Base!$B$3:$B$5001,$B$2))</f>
        <v>36</v>
      </c>
      <c r="AC46">
        <f>IF($B$2="Todos",SUMIFS(Base!$AB$3:$AB$5001,Base!$A$3:$A$5001,"&gt;="&amp;$C$8,Base!$A$3:$A$5001,"&lt;="&amp;$D$8),SUMIFS(Base!$AB$3:$AB$5001,Base!$A$3:$A$5001,"&gt;="&amp;$C$8,Base!$A$3:$A$5001,"&lt;="&amp;$D$8,Base!$B$3:$B$5001,$B$2))</f>
        <v>25</v>
      </c>
      <c r="AD46">
        <f>IF($B$2="Todos",SUMIFS(Base!$AC$3:$AC$5001,Base!$A$3:$A$5001,"&gt;="&amp;$C$8,Base!$A$3:$A$5001,"&lt;="&amp;$D$8),SUMIFS(Base!$AC$3:$AC$5001,Base!$A$3:$A$5001,"&gt;="&amp;$C$8,Base!$A$3:$A$5001,"&lt;="&amp;$D$8,Base!$B$3:$B$5001,$B$2))</f>
        <v>11</v>
      </c>
      <c r="AE46">
        <f>IF($B$2="Todos",SUMIFS(Base!$AD$3:$AD$5001,Base!$A$3:$A$5001,"&gt;="&amp;$C$8,Base!$A$3:$A$5001,"&lt;="&amp;$D$8),SUMIFS(Base!$AD$3:$AD$5001,Base!$A$3:$A$5001,"&gt;="&amp;$C$8,Base!$A$3:$A$5001,"&lt;="&amp;$D$8,Base!$B$3:$B$5001,$B$2))</f>
        <v>5</v>
      </c>
    </row>
    <row r="47">
      <c r="A47" t="inlineStr">
        <is>
          <t xml:space="preserve">Variação vs mês anterior</t>
        </is>
      </c>
      <c r="C47">
        <f>IF(AND(ISNUMBER(C43),ISNUMBER(C46)),IF(C46&lt;&gt;0,C43/C46-1,""),"")</f>
        <v>-0.0195035460992907</v>
      </c>
      <c r="D47">
        <f>IF(AND(ISNUMBER(D43),ISNUMBER(D46)),IF(D46&lt;&gt;0,D43/D46-1,""),"")</f>
        <v>0.0447125050261359</v>
      </c>
      <c r="E47">
        <f>IF(AND(ISNUMBER(E43),ISNUMBER(E46)),IF(E46&lt;&gt;0,E43/E46-1,""),"")</f>
        <v>0.154339551782824</v>
      </c>
      <c r="F47">
        <f>IF(AND(ISNUMBER(F43),ISNUMBER(F46)),IF(F46&lt;&gt;0,F43/F46-1,""),"")</f>
        <v>-0.0154057849715574</v>
      </c>
      <c r="G47">
        <f>IF(AND(ISNUMBER(G43),ISNUMBER(G46)),IF(G46&lt;&gt;0,G43/G46-1,""),"")</f>
        <v>0.176813977943754</v>
      </c>
      <c r="H47">
        <f>IF(AND(ISNUMBER(H43),ISNUMBER(H46)),IF(H46&lt;&gt;0,H43/H46-1,""),"")</f>
        <v>0.0192162773172571</v>
      </c>
      <c r="I47">
        <f>IF(AND(ISNUMBER(I43),ISNUMBER(I46)),IF(I46&lt;&gt;0,I43/I46-1,""),"")</f>
        <v>-0.0191296854803964</v>
      </c>
      <c r="J47">
        <f>IF(AND(ISNUMBER(J43),ISNUMBER(J46)),IF(J46&lt;&gt;0,J43/J46-1,""),"")</f>
        <v>-0.000909563409563385</v>
      </c>
      <c r="K47">
        <f>IF(AND(ISNUMBER(K43),ISNUMBER(K46)),IF(K46&lt;&gt;0,K43/K46-1,""),"")</f>
        <v>-0.0605402049053089</v>
      </c>
      <c r="L47">
        <f>IF(AND(ISNUMBER(L43),ISNUMBER(L46)),IF(L46&lt;&gt;0,L43/L46-1,""),"")</f>
        <v>0.0600144613159797</v>
      </c>
      <c r="M47">
        <f>IF(AND(ISNUMBER(M43),ISNUMBER(M46)),IF(M46&lt;&gt;0,M43/M46-1,""),"")</f>
        <v>0.090728476821192</v>
      </c>
      <c r="N47">
        <f>IF(AND(ISNUMBER(N43),ISNUMBER(N46)),IF(N46&lt;&gt;0,N43/N46-1,""),"")</f>
        <v>0.35671396358128</v>
      </c>
      <c r="O47">
        <f>IF(AND(ISNUMBER(O43),ISNUMBER(O46)),IF(O46&lt;&gt;0,O43/O46-1,""),"")</f>
        <v>0.0277915906956185</v>
      </c>
      <c r="P47">
        <f>IF(AND(ISNUMBER(P43),ISNUMBER(P46)),IF(P46&lt;&gt;0,P43/P46-1,""),"")</f>
        <v>-0.273751878443814</v>
      </c>
      <c r="Q47">
        <f>IF(AND(ISNUMBER(Q43),ISNUMBER(Q46)),IF(Q46&lt;&gt;0,Q43/Q46-1,""),"")</f>
        <v>0.0995280235988201</v>
      </c>
      <c r="R47">
        <f>IF(AND(ISNUMBER(R43),ISNUMBER(R46)),IF(R46&lt;&gt;0,R43/R46-1,""),"")</f>
        <v>0.0500650248239423</v>
      </c>
      <c r="S47">
        <f>IF(AND(ISNUMBER(S43),ISNUMBER(S46)),IF(S46&lt;&gt;0,S43/S46-1,""),"")</f>
        <v>0.213176470588235</v>
      </c>
      <c r="T47">
        <f>IF(AND(ISNUMBER(T43),ISNUMBER(T46)),IF(T46&lt;&gt;0,T43/T46-1,""),"")</f>
        <v>-0.0105868118572293</v>
      </c>
      <c r="U47">
        <f>IF(AND(ISNUMBER(U43),ISNUMBER(U46)),IF(U46&lt;&gt;0,U43/U46-1,""),"")</f>
        <v>-0.375</v>
      </c>
      <c r="V47">
        <f>IF(AND(ISNUMBER(V43),ISNUMBER(V46)),IF(V46&lt;&gt;0,V43/V46-1,""),"")</f>
        <v>0.176470588235294</v>
      </c>
      <c r="W47">
        <f>IF(AND(ISNUMBER(W43),ISNUMBER(W46)),IF(W46&lt;&gt;0,W43/W46-1,""),"")</f>
        <v>0.109375</v>
      </c>
      <c r="X47">
        <f>IF(AND(ISNUMBER(X43),ISNUMBER(X46)),IF(X46&lt;&gt;0,X43/X46-1,""),"")</f>
        <v>0</v>
      </c>
      <c r="Y47">
        <f>IF(AND(ISNUMBER(Y43),ISNUMBER(Y46)),IF(Y46&lt;&gt;0,Y43/Y46-1,""),"")</f>
        <v>0.132716385410996</v>
      </c>
      <c r="Z47">
        <f>IF(AND(ISNUMBER(Z43),ISNUMBER(Z46)),IF(Z46&lt;&gt;0,Z43/Z46-1,""),"")</f>
        <v>0.132716385410996</v>
      </c>
      <c r="AA47">
        <f>IF(AND(ISNUMBER(AA43),ISNUMBER(AA46)),IF(AA46&lt;&gt;0,AA43/AA46-1,""),"")</f>
        <v>-0.126582278481013</v>
      </c>
      <c r="AB47">
        <f>IF(AND(ISNUMBER(AB43),ISNUMBER(AB46)),IF(AB46&lt;&gt;0,AB43/AB46-1,""),"")</f>
        <v>0.166666666666667</v>
      </c>
      <c r="AC47">
        <f>IF(AND(ISNUMBER(AC43),ISNUMBER(AC46)),IF(AC46&lt;&gt;0,AC43/AC46-1,""),"")</f>
        <v>-0.2</v>
      </c>
      <c r="AD47">
        <f>IF(AND(ISNUMBER(AD43),ISNUMBER(AD46)),IF(AD46&lt;&gt;0,AD43/AD46-1,""),"")</f>
        <v>0.0909090909090908</v>
      </c>
      <c r="AE47">
        <f>IF(AND(ISNUMBER(AE43),ISNUMBER(AE46)),IF(AE46&lt;&gt;0,AE43/AE46-1,""),"")</f>
        <v>-0.6</v>
      </c>
    </row>
    <row r="48">
      <c r="A48" t="inlineStr">
        <is>
          <t xml:space="preserve">Meta (cliente selecionado)</t>
        </is>
      </c>
      <c r="C48" t="str">
        <f>IFERROR(1/(1/INDEX($B$55:$K$55,MATCH($B$2,$B$54:$K$54,0))),"")</f>
        <v/>
      </c>
      <c r="D48" t="str">
        <f>IFERROR(1/(1/INDEX($B$56:$K$56,MATCH($B$2,$B$54:$K$54,0))),"")</f>
        <v/>
      </c>
      <c r="E48" t="str">
        <f>IFERROR(1/(1/INDEX($B$57:$K$57,MATCH($B$2,$B$54:$K$54,0))),"")</f>
        <v/>
      </c>
      <c r="F48" t="str">
        <f>IFERROR(1/(1/INDEX($B$58:$K$58,MATCH($B$2,$B$54:$K$54,0))),"")</f>
        <v/>
      </c>
      <c r="G48" t="str">
        <f>IFERROR(1/(1/INDEX($B$59:$K$59,MATCH($B$2,$B$54:$K$54,0))),"")</f>
        <v/>
      </c>
      <c r="H48" t="str">
        <f>IFERROR(1/(1/INDEX($B$60:$K$60,MATCH($B$2,$B$54:$K$54,0))),"")</f>
        <v/>
      </c>
      <c r="I48" t="str">
        <f>IFERROR(1/(1/INDEX($B$61:$K$61,MATCH($B$2,$B$54:$K$54,0))),"")</f>
        <v/>
      </c>
      <c r="J48" t="str">
        <f>IFERROR(1/(1/INDEX($B$62:$K$62,MATCH($B$2,$B$54:$K$54,0))),"")</f>
        <v/>
      </c>
      <c r="K48" t="str">
        <f>IFERROR(1/(1/INDEX($B$63:$K$63,MATCH($B$2,$B$54:$K$54,0))),"")</f>
        <v/>
      </c>
      <c r="L48" t="str">
        <f>IFERROR(1/(1/INDEX($B$64:$K$64,MATCH($B$2,$B$54:$K$54,0))),"")</f>
        <v/>
      </c>
      <c r="M48" t="str">
        <f>IFERROR(1/(1/INDEX($B$65:$K$65,MATCH($B$2,$B$54:$K$54,0))),"")</f>
        <v/>
      </c>
      <c r="N48" t="str">
        <f>IFERROR(1/(1/INDEX($B$66:$K$66,MATCH($B$2,$B$54:$K$54,0))),"")</f>
        <v/>
      </c>
      <c r="O48" t="str">
        <f>IFERROR(1/(1/INDEX($B$67:$K$67,MATCH($B$2,$B$54:$K$54,0))),"")</f>
        <v/>
      </c>
      <c r="P48" t="str">
        <f>IFERROR(1/(1/INDEX($B$68:$K$68,MATCH($B$2,$B$54:$K$54,0))),"")</f>
        <v/>
      </c>
      <c r="Q48" t="str">
        <f>IFERROR(1/(1/INDEX($B$69:$K$69,MATCH($B$2,$B$54:$K$54,0))),"")</f>
        <v/>
      </c>
      <c r="R48" t="str">
        <f>IFERROR(1/(1/INDEX($B$70:$K$70,MATCH($B$2,$B$54:$K$54,0))),"")</f>
        <v/>
      </c>
      <c r="S48" t="str">
        <f>IFERROR(1/(1/INDEX($B$71:$K$71,MATCH($B$2,$B$54:$K$54,0))),"")</f>
        <v/>
      </c>
      <c r="T48" t="str">
        <f>IFERROR(1/(1/INDEX($B$72:$K$72,MATCH($B$2,$B$54:$K$54,0))),"")</f>
        <v/>
      </c>
      <c r="U48" t="str">
        <f>IFERROR(1/(1/INDEX($B$73:$K$73,MATCH($B$2,$B$54:$K$54,0))),"")</f>
        <v/>
      </c>
      <c r="V48" t="str">
        <f>IFERROR(1/(1/INDEX($B$74:$K$74,MATCH($B$2,$B$54:$K$54,0))),"")</f>
        <v/>
      </c>
      <c r="W48" t="str">
        <f>IFERROR(1/(1/INDEX($B$75:$K$75,MATCH($B$2,$B$54:$K$54,0))),"")</f>
        <v/>
      </c>
      <c r="X48" t="str">
        <f>IFERROR(1/(1/INDEX($B$76:$K$76,MATCH($B$2,$B$54:$K$54,0))),"")</f>
        <v/>
      </c>
      <c r="Y48" t="str">
        <f>IFERROR(1/(1/INDEX($B$77:$K$77,MATCH($B$2,$B$54:$K$54,0))),"")</f>
        <v/>
      </c>
      <c r="Z48" t="str">
        <f>IFERROR(1/(1/INDEX($B$78:$K$78,MATCH($B$2,$B$54:$K$54,0))),"")</f>
        <v/>
      </c>
      <c r="AA48" t="str">
        <f>IFERROR(1/(1/INDEX($B$79:$K$79,MATCH($B$2,$B$54:$K$54,0))),"")</f>
        <v/>
      </c>
      <c r="AB48" t="str">
        <f>IFERROR(1/(1/INDEX($B$80:$K$80,MATCH($B$2,$B$54:$K$54,0))),"")</f>
        <v/>
      </c>
      <c r="AC48" t="str">
        <f>IFERROR(1/(1/INDEX($B$81:$K$81,MATCH($B$2,$B$54:$K$54,0))),"")</f>
        <v/>
      </c>
      <c r="AD48" t="str">
        <f>IFERROR(1/(1/INDEX($B$82:$K$82,MATCH($B$2,$B$54:$K$54,0))),"")</f>
        <v/>
      </c>
      <c r="AE48" t="str">
        <f>IFERROR(1/(1/INDEX($B$83:$K$83,MATCH($B$2,$B$54:$K$54,0))),"")</f>
        <v/>
      </c>
    </row>
    <row r="49">
      <c r="A49" t="inlineStr">
        <is>
          <t xml:space="preserve">% da meta</t>
        </is>
      </c>
      <c r="C49" t="str">
        <f>IF(AND(ISNUMBER(C48),ISNUMBER(C43)),IF(C48&gt;0,C43/C48,""),"")</f>
        <v/>
      </c>
      <c r="D49" t="str">
        <f>IF(AND(ISNUMBER(D48),ISNUMBER(D43)),IF(D48&gt;0,D43/D48,""),"")</f>
        <v/>
      </c>
      <c r="E49" t="str">
        <f>IF(AND(ISNUMBER(E48),ISNUMBER(E43)),IF(E48&gt;0,E43/E48,""),"")</f>
        <v/>
      </c>
      <c r="F49" t="str">
        <f>IF(AND(ISNUMBER(F48),ISNUMBER(F43)),IF(F48&gt;0,F43/F48,""),"")</f>
        <v/>
      </c>
      <c r="G49" t="str">
        <f>IF(AND(ISNUMBER(G48),ISNUMBER(G43)),IF(G48&gt;0,G43/G48,""),"")</f>
        <v/>
      </c>
      <c r="H49" t="str">
        <f>IF(AND(ISNUMBER(H48),ISNUMBER(H43)),IF(H48&gt;0,H43/H48,""),"")</f>
        <v/>
      </c>
      <c r="I49" t="str">
        <f>IF(AND(ISNUMBER(I48),ISNUMBER(I43)),IF(I48&gt;0,I43/I48,""),"")</f>
        <v/>
      </c>
      <c r="J49" t="str">
        <f>IF(AND(ISNUMBER(J48),ISNUMBER(J43)),IF(J48&gt;0,J43/J48,""),"")</f>
        <v/>
      </c>
      <c r="K49" t="str">
        <f>IF(AND(ISNUMBER(K48),ISNUMBER(K43)),IF(K48&gt;0,K43/K48,""),"")</f>
        <v/>
      </c>
      <c r="L49" t="str">
        <f>IF(AND(ISNUMBER(L48),ISNUMBER(L43)),IF(L48&gt;0,L43/L48,""),"")</f>
        <v/>
      </c>
      <c r="M49" t="str">
        <f>IF(AND(ISNUMBER(M48),ISNUMBER(M43)),IF(M48&gt;0,M43/M48,""),"")</f>
        <v/>
      </c>
      <c r="N49" t="str">
        <f>IF(AND(ISNUMBER(N48),ISNUMBER(N43)),IF(N48&gt;0,N43/N48,""),"")</f>
        <v/>
      </c>
      <c r="O49" t="str">
        <f>IF(AND(ISNUMBER(O48),ISNUMBER(O43)),IF(O48&gt;0,O43/O48,""),"")</f>
        <v/>
      </c>
      <c r="P49" t="str">
        <f>IF(AND(ISNUMBER(P48),ISNUMBER(P43)),IF(P48&gt;0,P43/P48,""),"")</f>
        <v/>
      </c>
      <c r="Q49" t="str">
        <f>IF(AND(ISNUMBER(Q48),ISNUMBER(Q43)),IF(Q48&gt;0,Q43/Q48,""),"")</f>
        <v/>
      </c>
      <c r="R49" t="str">
        <f>IF(AND(ISNUMBER(R48),ISNUMBER(R43)),IF(R48&gt;0,R43/R48,""),"")</f>
        <v/>
      </c>
      <c r="S49" t="str">
        <f>IF(AND(ISNUMBER(S48),ISNUMBER(S43)),IF(S48&gt;0,S43/S48,""),"")</f>
        <v/>
      </c>
      <c r="T49" t="str">
        <f>IF(AND(ISNUMBER(T48),ISNUMBER(T43)),IF(T48&gt;0,T43/T48,""),"")</f>
        <v/>
      </c>
      <c r="U49" t="str">
        <f>IF(AND(ISNUMBER(U48),ISNUMBER(U43)),IF(U48&gt;0,U43/U48,""),"")</f>
        <v/>
      </c>
      <c r="V49" t="str">
        <f>IF(AND(ISNUMBER(V48),ISNUMBER(V43)),IF(V48&gt;0,V43/V48,""),"")</f>
        <v/>
      </c>
      <c r="W49" t="str">
        <f>IF(AND(ISNUMBER(W48),ISNUMBER(W43)),IF(W48&gt;0,W43/W48,""),"")</f>
        <v/>
      </c>
      <c r="X49" t="str">
        <f>IF(AND(ISNUMBER(X48),ISNUMBER(X43)),IF(X48&gt;0,X43/X48,""),"")</f>
        <v/>
      </c>
      <c r="Y49" t="str">
        <f>IF(AND(ISNUMBER(Y48),ISNUMBER(Y43)),IF(Y48&gt;0,Y43/Y48,""),"")</f>
        <v/>
      </c>
      <c r="Z49" t="str">
        <f>IF(AND(ISNUMBER(Z48),ISNUMBER(Z43)),IF(Z48&gt;0,Z43/Z48,""),"")</f>
        <v/>
      </c>
      <c r="AA49" t="str">
        <f>IF(AND(ISNUMBER(AA48),ISNUMBER(AA43)),IF(AA48&gt;0,AA43/AA48,""),"")</f>
        <v/>
      </c>
      <c r="AB49" t="str">
        <f>IF(AND(ISNUMBER(AB48),ISNUMBER(AB43)),IF(AB48&gt;0,AB43/AB48,""),"")</f>
        <v/>
      </c>
      <c r="AC49" t="str">
        <f>IF(AND(ISNUMBER(AC48),ISNUMBER(AC43)),IF(AC48&gt;0,AC43/AC48,""),"")</f>
        <v/>
      </c>
      <c r="AD49" t="str">
        <f>IF(AND(ISNUMBER(AD48),ISNUMBER(AD43)),IF(AD48&gt;0,AD43/AD48,""),"")</f>
        <v/>
      </c>
      <c r="AE49" t="str">
        <f>IF(AND(ISNUMBER(AE48),ISNUMBER(AE43)),IF(AE48&gt;0,AE43/AE48,""),"")</f>
        <v/>
      </c>
    </row>
    <row r="50">
      <c r="A50" t="inlineStr">
        <is>
          <t xml:space="preserve">Status</t>
        </is>
      </c>
      <c r="C50" t="str">
        <f>IF(ISNUMBER(C49),IF(C49&gt;=1,"meta atingida","abaixo da meta"),"")</f>
        <v/>
      </c>
      <c r="D50" t="str">
        <f>IF(ISNUMBER(D49),IF(D49&gt;=1,"meta atingida","abaixo da meta"),"")</f>
        <v/>
      </c>
      <c r="E50" t="str">
        <f>IF(ISNUMBER(E49),IF(E49&gt;=1,"meta atingida","abaixo da meta"),"")</f>
        <v/>
      </c>
      <c r="F50" t="str">
        <f>IF(ISNUMBER(F49),IF(F49&gt;=1,"meta atingida","abaixo da meta"),"")</f>
        <v/>
      </c>
      <c r="G50" t="str">
        <f>IF(ISNUMBER(G49),IF(G49&gt;=1,"meta atingida","abaixo da meta"),"")</f>
        <v/>
      </c>
      <c r="H50" t="str">
        <f>IF(ISNUMBER(H49),IF(H49&gt;=1,"meta atingida","abaixo da meta"),"")</f>
        <v/>
      </c>
      <c r="I50" t="str">
        <f>IF(ISNUMBER(I49),IF(I49&gt;=1,"meta atingida","abaixo da meta"),"")</f>
        <v/>
      </c>
      <c r="J50" t="str">
        <f>IF(ISNUMBER(J49),IF(J49&gt;=1,"meta atingida","abaixo da meta"),"")</f>
        <v/>
      </c>
      <c r="K50" t="str">
        <f>IF(ISNUMBER(K49),IF(K49&gt;=1,"meta atingida","abaixo da meta"),"")</f>
        <v/>
      </c>
      <c r="L50" t="str">
        <f>IF(ISNUMBER(L49),IF(L49&gt;=1,"meta atingida","abaixo da meta"),"")</f>
        <v/>
      </c>
      <c r="M50" t="str">
        <f>IF(ISNUMBER(M49),IF(M49&gt;=1,"meta atingida","abaixo da meta"),"")</f>
        <v/>
      </c>
      <c r="N50" t="str">
        <f>IF(ISNUMBER(N49),IF(N49&gt;=1,"meta atingida","abaixo da meta"),"")</f>
        <v/>
      </c>
      <c r="O50" t="str">
        <f>IF(ISNUMBER(O49),IF(O49&gt;=1,"meta atingida","abaixo da meta"),"")</f>
        <v/>
      </c>
      <c r="P50" t="str">
        <f>IF(ISNUMBER(P49),IF(P49&gt;=1,"meta atingida","abaixo da meta"),"")</f>
        <v/>
      </c>
      <c r="Q50" t="str">
        <f>IF(ISNUMBER(Q49),IF(Q49&gt;=1,"meta atingida","abaixo da meta"),"")</f>
        <v/>
      </c>
      <c r="R50" t="str">
        <f>IF(ISNUMBER(R49),IF(R49&gt;=1,"meta atingida","abaixo da meta"),"")</f>
        <v/>
      </c>
      <c r="S50" t="str">
        <f>IF(ISNUMBER(S49),IF(S49&gt;=1,"meta atingida","abaixo da meta"),"")</f>
        <v/>
      </c>
      <c r="T50" t="str">
        <f>IF(ISNUMBER(T49),IF(T49&gt;=1,"meta atingida","abaixo da meta"),"")</f>
        <v/>
      </c>
      <c r="U50" t="str">
        <f>IF(AND(ISNUMBER(U48),ISNUMBER(U43)),IF(U43&lt;=U48,"dentro do limite","acima do limite"),"")</f>
        <v/>
      </c>
      <c r="V50" t="str">
        <f>IF(AND(ISNUMBER(V48),ISNUMBER(V43)),IF(V43&lt;=V48,"dentro do limite","acima do limite"),"")</f>
        <v/>
      </c>
      <c r="W50" t="str">
        <f>IF(AND(ISNUMBER(W48),ISNUMBER(W43)),IF(W43&lt;=W48,"dentro do limite","acima do limite"),"")</f>
        <v/>
      </c>
      <c r="X50" t="str">
        <f>IF(ISNUMBER(X49),IF(X49&gt;=1,"meta atingida","abaixo da meta"),"")</f>
        <v/>
      </c>
      <c r="Y50" t="str">
        <f>IF(ISNUMBER(Y49),IF(Y49&gt;=1,"meta atingida","abaixo da meta"),"")</f>
        <v/>
      </c>
      <c r="Z50" t="str">
        <f>IF(ISNUMBER(Z43),IF(Z43&gt;=$B$6,"crítico",IF(Z43&gt;=$B$5,"atenção","dentro da faixa")),"")</f>
        <v>atenção</v>
      </c>
      <c r="AA50" t="str">
        <f>IF(ISNUMBER(AA49),IF(AA49&gt;=1,"meta atingida","abaixo da meta"),"")</f>
        <v/>
      </c>
      <c r="AB50" t="str">
        <f>IF(AND(ISNUMBER(AB48),ISNUMBER(AB43)),IF(AB43&lt;=AB48,"dentro do limite","acima do limite"),"")</f>
        <v/>
      </c>
      <c r="AC50" t="str">
        <f>IF(ISNUMBER(AC49),IF(AC49&gt;=1,"meta atingida","abaixo da meta"),"")</f>
        <v/>
      </c>
      <c r="AD50" t="str">
        <f>IF(ISNUMBER(AD49),IF(AD49&gt;=1,"meta atingida","abaixo da meta"),"")</f>
        <v/>
      </c>
      <c r="AE50" t="str">
        <f>IF(AND(ISNUMBER(AE48),ISNUMBER(AE43)),IF(AE43&lt;=AE48,"dentro do limite","acima do limite"),"")</f>
        <v/>
      </c>
    </row>
    <row r="53">
      <c r="A53" t="inlineStr">
        <is>
          <t xml:space="preserve">METAS DO MÊS por indicador (edite as células amarelas; vazio = sem meta). Taxa de ocupação: meta em %.</t>
        </is>
      </c>
    </row>
    <row r="54">
      <c r="A54" s="145" t="inlineStr">
        <is>
          <t xml:space="preserve">Indicador</t>
        </is>
      </c>
      <c r="B54" s="145" t="inlineStr">
        <is>
          <t xml:space="preserve">Todos</t>
        </is>
      </c>
      <c r="C54" s="145" t="inlineStr">
        <is>
          <t xml:space="preserve">BASF</t>
        </is>
      </c>
      <c r="D54" s="145" t="inlineStr">
        <is>
          <t xml:space="preserve">BEAUTYBIZ</t>
        </is>
      </c>
      <c r="E54" s="145" t="inlineStr">
        <is>
          <t xml:space="preserve">BOTICÁRIO</t>
        </is>
      </c>
      <c r="F54" s="145" t="inlineStr">
        <is>
          <t xml:space="preserve">SUPPLY</t>
        </is>
      </c>
      <c r="G54" s="145" t="inlineStr">
        <is>
          <t xml:space="preserve">GE VERNOVA</t>
        </is>
      </c>
      <c r="H54" s="145" t="inlineStr">
        <is>
          <t xml:space="preserve">VESTAS</t>
        </is>
      </c>
      <c r="I54" s="145" t="inlineStr">
        <is>
          <t xml:space="preserve">VEDACIT</t>
        </is>
      </c>
      <c r="J54" s="145" t="inlineStr">
        <is>
          <t xml:space="preserve">OMNLIFE</t>
        </is>
      </c>
      <c r="K54" s="145" t="inlineStr">
        <is>
          <t xml:space="preserve">ALPARGATAS</t>
        </is>
      </c>
    </row>
    <row r="55">
      <c r="A55" t="inlineStr">
        <is>
          <t xml:space="preserve">IN Veículos Recebidos</t>
        </is>
      </c>
      <c r="B55" s="160"/>
      <c r="C55" s="160"/>
      <c r="D55" s="160"/>
      <c r="E55" s="160"/>
      <c r="F55" s="160"/>
      <c r="G55" s="160"/>
      <c r="H55" s="160"/>
      <c r="I55" s="160"/>
      <c r="J55" s="160"/>
      <c r="K55" s="160"/>
    </row>
    <row r="56">
      <c r="A56" t="inlineStr">
        <is>
          <t xml:space="preserve">IN Pallets Movimentados</t>
        </is>
      </c>
      <c r="B56" s="160"/>
      <c r="C56" s="160"/>
      <c r="D56" s="160"/>
      <c r="E56" s="160"/>
      <c r="F56" s="160"/>
      <c r="G56" s="160"/>
      <c r="H56" s="160"/>
      <c r="I56" s="160"/>
      <c r="J56" s="160"/>
      <c r="K56" s="160"/>
    </row>
    <row r="57">
      <c r="A57" t="inlineStr">
        <is>
          <t xml:space="preserve">IN Toneladas Movimentadas</t>
        </is>
      </c>
      <c r="B57" s="160"/>
      <c r="C57" s="160"/>
      <c r="D57" s="160"/>
      <c r="E57" s="160"/>
      <c r="F57" s="160"/>
      <c r="G57" s="160"/>
      <c r="H57" s="160"/>
      <c r="I57" s="160"/>
      <c r="J57" s="160"/>
      <c r="K57" s="160"/>
    </row>
    <row r="58">
      <c r="A58" t="inlineStr">
        <is>
          <t xml:space="preserve">IN Caixas Movimentadas</t>
        </is>
      </c>
      <c r="B58" s="160"/>
      <c r="C58" s="160"/>
      <c r="D58" s="160"/>
      <c r="E58" s="160"/>
      <c r="F58" s="160"/>
      <c r="G58" s="160"/>
      <c r="H58" s="160"/>
      <c r="I58" s="160"/>
      <c r="J58" s="160"/>
      <c r="K58" s="160"/>
    </row>
    <row r="59">
      <c r="A59" t="inlineStr">
        <is>
          <t xml:space="preserve">IN Itens Recebidos CX Mista</t>
        </is>
      </c>
      <c r="B59" s="160"/>
      <c r="C59" s="160"/>
      <c r="D59" s="160"/>
      <c r="E59" s="160"/>
      <c r="F59" s="160"/>
      <c r="G59" s="160"/>
      <c r="H59" s="160"/>
      <c r="I59" s="160"/>
      <c r="J59" s="160"/>
      <c r="K59" s="160"/>
    </row>
    <row r="60">
      <c r="A60" t="inlineStr">
        <is>
          <t xml:space="preserve">IN Caixas Mistas Recebidas</t>
        </is>
      </c>
      <c r="B60" s="160"/>
      <c r="C60" s="160"/>
      <c r="D60" s="160"/>
      <c r="E60" s="160"/>
      <c r="F60" s="160"/>
      <c r="G60" s="160"/>
      <c r="H60" s="160"/>
      <c r="I60" s="160"/>
      <c r="J60" s="160"/>
      <c r="K60" s="160"/>
    </row>
    <row r="61">
      <c r="A61" t="inlineStr">
        <is>
          <t xml:space="preserve">IN Caixas Fechadas</t>
        </is>
      </c>
      <c r="B61" s="160"/>
      <c r="C61" s="160"/>
      <c r="D61" s="160"/>
      <c r="E61" s="160"/>
      <c r="F61" s="160"/>
      <c r="G61" s="160"/>
      <c r="H61" s="160"/>
      <c r="I61" s="160"/>
      <c r="J61" s="160"/>
      <c r="K61" s="160"/>
    </row>
    <row r="62">
      <c r="A62" t="inlineStr">
        <is>
          <t xml:space="preserve">IN Peças Movimentadas</t>
        </is>
      </c>
      <c r="B62" s="160"/>
      <c r="C62" s="160"/>
      <c r="D62" s="160"/>
      <c r="E62" s="160"/>
      <c r="F62" s="160"/>
      <c r="G62" s="160"/>
      <c r="H62" s="160"/>
      <c r="I62" s="160"/>
      <c r="J62" s="160"/>
      <c r="K62" s="160"/>
    </row>
    <row r="63">
      <c r="A63" t="inlineStr">
        <is>
          <t xml:space="preserve">IN Linhas NF</t>
        </is>
      </c>
      <c r="B63" s="160"/>
      <c r="C63" s="160"/>
      <c r="D63" s="160"/>
      <c r="E63" s="160"/>
      <c r="F63" s="160"/>
      <c r="G63" s="160"/>
      <c r="H63" s="160"/>
      <c r="I63" s="160"/>
      <c r="J63" s="160"/>
      <c r="K63" s="160"/>
    </row>
    <row r="64">
      <c r="A64" t="inlineStr">
        <is>
          <t xml:space="preserve">OUT Veículos Expedidos</t>
        </is>
      </c>
      <c r="B64" s="160"/>
      <c r="C64" s="160"/>
      <c r="D64" s="160"/>
      <c r="E64" s="160"/>
      <c r="F64" s="160"/>
      <c r="G64" s="160"/>
      <c r="H64" s="160"/>
      <c r="I64" s="160"/>
      <c r="J64" s="160"/>
      <c r="K64" s="160"/>
    </row>
    <row r="65">
      <c r="A65" t="inlineStr">
        <is>
          <t xml:space="preserve">OUT Pallets Movimentados</t>
        </is>
      </c>
      <c r="B65" s="160"/>
      <c r="C65" s="160"/>
      <c r="D65" s="160"/>
      <c r="E65" s="160"/>
      <c r="F65" s="160"/>
      <c r="G65" s="160"/>
      <c r="H65" s="160"/>
      <c r="I65" s="160"/>
      <c r="J65" s="160"/>
      <c r="K65" s="160"/>
    </row>
    <row r="66">
      <c r="A66" t="inlineStr">
        <is>
          <t xml:space="preserve">OUT Toneladas Movimentadas</t>
        </is>
      </c>
      <c r="B66" s="160"/>
      <c r="C66" s="160"/>
      <c r="D66" s="160"/>
      <c r="E66" s="160"/>
      <c r="F66" s="160"/>
      <c r="G66" s="160"/>
      <c r="H66" s="160"/>
      <c r="I66" s="160"/>
      <c r="J66" s="160"/>
      <c r="K66" s="160"/>
    </row>
    <row r="67">
      <c r="A67" t="inlineStr">
        <is>
          <t xml:space="preserve">OUT Caixas Expedidas</t>
        </is>
      </c>
      <c r="B67" s="160"/>
      <c r="C67" s="160"/>
      <c r="D67" s="160"/>
      <c r="E67" s="160"/>
      <c r="F67" s="160"/>
      <c r="G67" s="160"/>
      <c r="H67" s="160"/>
      <c r="I67" s="160"/>
      <c r="J67" s="160"/>
      <c r="K67" s="160"/>
    </row>
    <row r="68">
      <c r="A68" t="inlineStr">
        <is>
          <t xml:space="preserve">OUT Pedidos Expedidos</t>
        </is>
      </c>
      <c r="B68" s="160"/>
      <c r="C68" s="160"/>
      <c r="D68" s="160"/>
      <c r="E68" s="160"/>
      <c r="F68" s="160"/>
      <c r="G68" s="160"/>
      <c r="H68" s="160"/>
      <c r="I68" s="160"/>
      <c r="J68" s="160"/>
      <c r="K68" s="160"/>
    </row>
    <row r="69">
      <c r="A69" t="inlineStr">
        <is>
          <t xml:space="preserve">OUT Pedidos Faturados</t>
        </is>
      </c>
      <c r="B69" s="160"/>
      <c r="C69" s="160"/>
      <c r="D69" s="160"/>
      <c r="E69" s="160"/>
      <c r="F69" s="160"/>
      <c r="G69" s="160"/>
      <c r="H69" s="160"/>
      <c r="I69" s="160"/>
      <c r="J69" s="160"/>
      <c r="K69" s="160"/>
    </row>
    <row r="70">
      <c r="A70" t="inlineStr">
        <is>
          <t xml:space="preserve">OUT Itens Expedidos</t>
        </is>
      </c>
      <c r="B70" s="160"/>
      <c r="C70" s="160"/>
      <c r="D70" s="160"/>
      <c r="E70" s="160"/>
      <c r="F70" s="160"/>
      <c r="G70" s="160"/>
      <c r="H70" s="160"/>
      <c r="I70" s="160"/>
      <c r="J70" s="160"/>
      <c r="K70" s="160"/>
    </row>
    <row r="71">
      <c r="A71" t="inlineStr">
        <is>
          <t xml:space="preserve">OUT Peças Movimentadas</t>
        </is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</row>
    <row r="72">
      <c r="A72" t="inlineStr">
        <is>
          <t xml:space="preserve">OUT Linhas NF</t>
        </is>
      </c>
      <c r="B72" s="160"/>
      <c r="C72" s="160"/>
      <c r="D72" s="160"/>
      <c r="E72" s="160"/>
      <c r="F72" s="160"/>
      <c r="G72" s="160"/>
      <c r="H72" s="160"/>
      <c r="I72" s="160"/>
      <c r="J72" s="160"/>
      <c r="K72" s="160"/>
    </row>
    <row r="73">
      <c r="A73" t="inlineStr">
        <is>
          <t xml:space="preserve">NC Incidentes</t>
        </is>
      </c>
      <c r="B73" s="160"/>
      <c r="C73" s="160"/>
      <c r="D73" s="160"/>
      <c r="E73" s="160"/>
      <c r="F73" s="160"/>
      <c r="G73" s="160"/>
      <c r="H73" s="160"/>
      <c r="I73" s="160"/>
      <c r="J73" s="160"/>
      <c r="K73" s="160"/>
    </row>
    <row r="74">
      <c r="A74" t="inlineStr">
        <is>
          <t xml:space="preserve">NC No show</t>
        </is>
      </c>
      <c r="B74" s="160"/>
      <c r="C74" s="160"/>
      <c r="D74" s="160"/>
      <c r="E74" s="160"/>
      <c r="F74" s="160"/>
      <c r="G74" s="160"/>
      <c r="H74" s="160"/>
      <c r="I74" s="160"/>
      <c r="J74" s="160"/>
      <c r="K74" s="160"/>
    </row>
    <row r="75">
      <c r="A75" t="inlineStr">
        <is>
          <t xml:space="preserve">NC Backlog</t>
        </is>
      </c>
      <c r="B75" s="160"/>
      <c r="C75" s="160"/>
      <c r="D75" s="160"/>
      <c r="E75" s="160"/>
      <c r="F75" s="160"/>
      <c r="G75" s="160"/>
      <c r="H75" s="160"/>
      <c r="I75" s="160"/>
      <c r="J75" s="160"/>
      <c r="K75" s="160"/>
    </row>
    <row r="76">
      <c r="A76" t="inlineStr">
        <is>
          <t xml:space="preserve">Posições Disponíveis</t>
        </is>
      </c>
      <c r="B76" s="160"/>
      <c r="C76" s="160"/>
      <c r="D76" s="160"/>
      <c r="E76" s="160"/>
      <c r="F76" s="160"/>
      <c r="G76" s="160"/>
      <c r="H76" s="160"/>
      <c r="I76" s="160"/>
      <c r="J76" s="160"/>
      <c r="K76" s="160"/>
    </row>
    <row r="77">
      <c r="A77" t="inlineStr">
        <is>
          <t xml:space="preserve">Posições Ocupadas</t>
        </is>
      </c>
      <c r="B77" s="160"/>
      <c r="C77" s="160"/>
      <c r="D77" s="160"/>
      <c r="E77" s="160"/>
      <c r="F77" s="160"/>
      <c r="G77" s="160"/>
      <c r="H77" s="160"/>
      <c r="I77" s="160"/>
      <c r="J77" s="160"/>
      <c r="K77" s="160"/>
    </row>
    <row r="78">
      <c r="A78" t="inlineStr">
        <is>
          <t xml:space="preserve">Taxa de Ocupação</t>
        </is>
      </c>
      <c r="B78" s="160"/>
      <c r="C78" s="160"/>
      <c r="D78" s="160"/>
      <c r="E78" s="160"/>
      <c r="F78" s="160"/>
      <c r="G78" s="160"/>
      <c r="H78" s="160"/>
      <c r="I78" s="160"/>
      <c r="J78" s="160"/>
      <c r="K78" s="160"/>
    </row>
    <row r="79">
      <c r="A79" t="inlineStr">
        <is>
          <t xml:space="preserve">Efetivo</t>
        </is>
      </c>
      <c r="B79" s="160"/>
      <c r="C79" s="160"/>
      <c r="D79" s="160"/>
      <c r="E79" s="160"/>
      <c r="F79" s="160"/>
      <c r="G79" s="160"/>
      <c r="H79" s="160"/>
      <c r="I79" s="160"/>
      <c r="J79" s="160"/>
      <c r="K79" s="160"/>
    </row>
    <row r="80">
      <c r="A80" t="inlineStr">
        <is>
          <t xml:space="preserve">Falta</t>
        </is>
      </c>
      <c r="B80" s="160"/>
      <c r="C80" s="160"/>
      <c r="D80" s="160"/>
      <c r="E80" s="160"/>
      <c r="F80" s="160"/>
      <c r="G80" s="160"/>
      <c r="H80" s="160"/>
      <c r="I80" s="160"/>
      <c r="J80" s="160"/>
      <c r="K80" s="160"/>
    </row>
    <row r="81">
      <c r="A81" t="inlineStr">
        <is>
          <t xml:space="preserve">Folga</t>
        </is>
      </c>
      <c r="B81" s="160"/>
      <c r="C81" s="160"/>
      <c r="D81" s="160"/>
      <c r="E81" s="160"/>
      <c r="F81" s="160"/>
      <c r="G81" s="160"/>
      <c r="H81" s="160"/>
      <c r="I81" s="160"/>
      <c r="J81" s="160"/>
      <c r="K81" s="160"/>
    </row>
    <row r="82">
      <c r="A82" t="inlineStr">
        <is>
          <t xml:space="preserve">Férias</t>
        </is>
      </c>
      <c r="B82" s="160"/>
      <c r="C82" s="160"/>
      <c r="D82" s="160"/>
      <c r="E82" s="160"/>
      <c r="F82" s="160"/>
      <c r="G82" s="160"/>
      <c r="H82" s="160"/>
      <c r="I82" s="160"/>
      <c r="J82" s="160"/>
      <c r="K82" s="160"/>
    </row>
    <row r="83">
      <c r="A83" t="inlineStr">
        <is>
          <t xml:space="preserve">Desligamentos</t>
        </is>
      </c>
      <c r="B83" s="160"/>
      <c r="C83" s="160"/>
      <c r="D83" s="160"/>
      <c r="E83" s="160"/>
      <c r="F83" s="160"/>
      <c r="G83" s="160"/>
      <c r="H83" s="160"/>
      <c r="I83" s="160"/>
      <c r="J83" s="160"/>
      <c r="K83" s="160"/>
    </row>
    <row r="86">
      <c r="F86" s="145" t="inlineStr">
        <is>
          <t xml:space="preserve">Semana</t>
        </is>
      </c>
      <c r="G86" s="145" t="inlineStr">
        <is>
          <t xml:space="preserve">Do dia</t>
        </is>
      </c>
      <c r="H86" s="145" t="inlineStr">
        <is>
          <t xml:space="preserve">Ao dia</t>
        </is>
      </c>
      <c r="I86" s="145" t="inlineStr">
        <is>
          <t xml:space="preserve">IN</t>
        </is>
      </c>
      <c r="J86" s="145" t="inlineStr">
        <is>
          <t xml:space="preserve">OUT</t>
        </is>
      </c>
    </row>
    <row r="87">
      <c r="F87" t="inlineStr">
        <is>
          <t xml:space="preserve">Sem 1 (01–07)</t>
        </is>
      </c>
      <c r="G87">
        <v>1</v>
      </c>
      <c r="H87">
        <v>7</v>
      </c>
      <c r="I87">
        <f>SUMIFS($AG$12:$AG$42,$A$12:$A$42,"&gt;="&amp;$G87,$A$12:$A$42,"&lt;="&amp;$H87)</f>
        <v>3308</v>
      </c>
      <c r="J87">
        <f>SUMIFS($AH$12:$AH$42,$A$12:$A$42,"&gt;="&amp;$G87,$A$12:$A$42,"&lt;="&amp;$H87)</f>
        <v>3925</v>
      </c>
    </row>
    <row r="88">
      <c r="F88" t="inlineStr">
        <is>
          <t xml:space="preserve">Sem 2 (08–14)</t>
        </is>
      </c>
      <c r="G88">
        <v>8</v>
      </c>
      <c r="H88">
        <v>14</v>
      </c>
      <c r="I88">
        <f>SUMIFS($AG$12:$AG$42,$A$12:$A$42,"&gt;="&amp;$G88,$A$12:$A$42,"&lt;="&amp;$H88)</f>
        <v>3000</v>
      </c>
      <c r="J88">
        <f>SUMIFS($AH$12:$AH$42,$A$12:$A$42,"&gt;="&amp;$G88,$A$12:$A$42,"&lt;="&amp;$H88)</f>
        <v>3929</v>
      </c>
    </row>
    <row r="89">
      <c r="F89" t="inlineStr">
        <is>
          <t xml:space="preserve">Sem 3 (15–21)</t>
        </is>
      </c>
      <c r="G89">
        <v>15</v>
      </c>
      <c r="H89">
        <v>21</v>
      </c>
      <c r="I89">
        <f>SUMIFS($AG$12:$AG$42,$A$12:$A$42,"&gt;="&amp;$G89,$A$12:$A$42,"&lt;="&amp;$H89)</f>
        <v>3019</v>
      </c>
      <c r="J89">
        <f>SUMIFS($AH$12:$AH$42,$A$12:$A$42,"&gt;="&amp;$G89,$A$12:$A$42,"&lt;="&amp;$H89)</f>
        <v>4046</v>
      </c>
    </row>
    <row r="90">
      <c r="F90" t="inlineStr">
        <is>
          <t xml:space="preserve">Sem 4 (22–28)</t>
        </is>
      </c>
      <c r="G90">
        <v>22</v>
      </c>
      <c r="H90">
        <v>28</v>
      </c>
      <c r="I90">
        <f>SUMIFS($AG$12:$AG$42,$A$12:$A$42,"&gt;="&amp;$G90,$A$12:$A$42,"&lt;="&amp;$H90)</f>
        <v>3160</v>
      </c>
      <c r="J90">
        <f>SUMIFS($AH$12:$AH$42,$A$12:$A$42,"&gt;="&amp;$G90,$A$12:$A$42,"&lt;="&amp;$H90)</f>
        <v>3835</v>
      </c>
    </row>
    <row r="91">
      <c r="F91" t="str">
        <f>IF(DAY($D$7)&lt;29,"Sem 5 (—)","Sem 5 (29–"&amp;DAY($D$7)&amp;")")</f>
        <v>Sem 5 (29–30)</v>
      </c>
      <c r="G91">
        <v>29</v>
      </c>
      <c r="H91">
        <f>DAY($D$7)</f>
        <v>30</v>
      </c>
      <c r="I91">
        <f>SUMIFS($AG$12:$AG$42,$A$12:$A$42,"&gt;="&amp;$G91,$A$12:$A$42,"&lt;="&amp;$H91)</f>
        <v>504</v>
      </c>
      <c r="J91">
        <f>SUMIFS($AH$12:$AH$42,$A$12:$A$42,"&gt;="&amp;$G91,$A$12:$A$42,"&lt;="&amp;$H91)</f>
        <v>735</v>
      </c>
    </row>
    <row r="94">
      <c r="A94" t="inlineStr">
        <is>
          <t xml:space="preserve">POR CLIENTE — mês inteiro (todos os clientes, independe do filtro). Estoque = último dado do mês. "—" = indicador não usado pelo cliente.</t>
        </is>
      </c>
    </row>
    <row r="95">
      <c r="A95" s="145" t="inlineStr">
        <is>
          <t xml:space="preserve">Indicador</t>
        </is>
      </c>
      <c r="B95" s="145" t="inlineStr">
        <is>
          <t xml:space="preserve">BASF</t>
        </is>
      </c>
      <c r="C95" s="145" t="inlineStr">
        <is>
          <t xml:space="preserve">BEAUTYBIZ</t>
        </is>
      </c>
      <c r="D95" s="145" t="inlineStr">
        <is>
          <t xml:space="preserve">BOTICÁRIO</t>
        </is>
      </c>
      <c r="E95" s="145" t="inlineStr">
        <is>
          <t xml:space="preserve">SUPPLY</t>
        </is>
      </c>
      <c r="F95" s="145" t="inlineStr">
        <is>
          <t xml:space="preserve">GE VERNOVA</t>
        </is>
      </c>
      <c r="G95" s="145" t="inlineStr">
        <is>
          <t xml:space="preserve">VESTAS</t>
        </is>
      </c>
      <c r="H95" s="145" t="inlineStr">
        <is>
          <t xml:space="preserve">VEDACIT</t>
        </is>
      </c>
      <c r="I95" s="145" t="inlineStr">
        <is>
          <t xml:space="preserve">OMNLIFE</t>
        </is>
      </c>
      <c r="J95" s="145" t="inlineStr">
        <is>
          <t xml:space="preserve">ALPARGATAS</t>
        </is>
      </c>
      <c r="K95" s="145" t="inlineStr">
        <is>
          <t xml:space="preserve">TOTAL CD</t>
        </is>
      </c>
    </row>
    <row r="96">
      <c r="A96" t="inlineStr">
        <is>
          <t xml:space="preserve">IN Veículos Recebidos</t>
        </is>
      </c>
      <c r="B96">
        <f>SUMIFS(Base!$C$3:$C$5001,Base!$B$3:$B$5001,B$95,Base!$A$3:$A$5001,"&gt;="&amp;$C$7,Base!$A$3:$A$5001,"&lt;="&amp;$D$7)</f>
        <v>130</v>
      </c>
      <c r="C96">
        <f>SUMIFS(Base!$C$3:$C$5001,Base!$B$3:$B$5001,C$95,Base!$A$3:$A$5001,"&gt;="&amp;$C$7,Base!$A$3:$A$5001,"&lt;="&amp;$D$7)</f>
        <v>120</v>
      </c>
      <c r="D96">
        <f>SUMIFS(Base!$C$3:$C$5001,Base!$B$3:$B$5001,D$95,Base!$A$3:$A$5001,"&gt;="&amp;$C$7,Base!$A$3:$A$5001,"&lt;="&amp;$D$7)</f>
        <v>136</v>
      </c>
      <c r="E96">
        <f>SUMIFS(Base!$C$3:$C$5001,Base!$B$3:$B$5001,E$95,Base!$A$3:$A$5001,"&gt;="&amp;$C$7,Base!$A$3:$A$5001,"&lt;="&amp;$D$7)</f>
        <v>129</v>
      </c>
      <c r="F96">
        <f>SUMIFS(Base!$C$3:$C$5001,Base!$B$3:$B$5001,F$95,Base!$A$3:$A$5001,"&gt;="&amp;$C$7,Base!$A$3:$A$5001,"&lt;="&amp;$D$7)</f>
        <v>122</v>
      </c>
      <c r="G96">
        <f>SUMIFS(Base!$C$3:$C$5001,Base!$B$3:$B$5001,G$95,Base!$A$3:$A$5001,"&gt;="&amp;$C$7,Base!$A$3:$A$5001,"&lt;="&amp;$D$7)</f>
        <v>116</v>
      </c>
      <c r="H96">
        <f>SUMIFS(Base!$C$3:$C$5001,Base!$B$3:$B$5001,H$95,Base!$A$3:$A$5001,"&gt;="&amp;$C$7,Base!$A$3:$A$5001,"&lt;="&amp;$D$7)</f>
        <v>128</v>
      </c>
      <c r="I96">
        <f>SUMIFS(Base!$C$3:$C$5001,Base!$B$3:$B$5001,I$95,Base!$A$3:$A$5001,"&gt;="&amp;$C$7,Base!$A$3:$A$5001,"&lt;="&amp;$D$7)</f>
        <v>112</v>
      </c>
      <c r="J96">
        <f>SUMIFS(Base!$C$3:$C$5001,Base!$B$3:$B$5001,J$95,Base!$A$3:$A$5001,"&gt;="&amp;$C$7,Base!$A$3:$A$5001,"&lt;="&amp;$D$7)</f>
        <v>113</v>
      </c>
      <c r="K96">
        <f>SUM(B96:J96)</f>
        <v>1106</v>
      </c>
    </row>
    <row r="97">
      <c r="A97" t="inlineStr">
        <is>
          <t xml:space="preserve">IN Pallets Movimentados</t>
        </is>
      </c>
      <c r="B97">
        <f>SUMIFS(Base!$D$3:$D$5001,Base!$B$3:$B$5001,B$95,Base!$A$3:$A$5001,"&gt;="&amp;$C$7,Base!$A$3:$A$5001,"&lt;="&amp;$D$7)</f>
        <v>2293</v>
      </c>
      <c r="C97">
        <f>SUMIFS(Base!$D$3:$D$5001,Base!$B$3:$B$5001,C$95,Base!$A$3:$A$5001,"&gt;="&amp;$C$7,Base!$A$3:$A$5001,"&lt;="&amp;$D$7)</f>
        <v>2316</v>
      </c>
      <c r="D97" t="inlineStr">
        <is>
          <t xml:space="preserve">—</t>
        </is>
      </c>
      <c r="E97">
        <f>SUMIFS(Base!$D$3:$D$5001,Base!$B$3:$B$5001,E$95,Base!$A$3:$A$5001,"&gt;="&amp;$C$7,Base!$A$3:$A$5001,"&lt;="&amp;$D$7)</f>
        <v>2108</v>
      </c>
      <c r="F97">
        <f>SUMIFS(Base!$D$3:$D$5001,Base!$B$3:$B$5001,F$95,Base!$A$3:$A$5001,"&gt;="&amp;$C$7,Base!$A$3:$A$5001,"&lt;="&amp;$D$7)</f>
        <v>2113</v>
      </c>
      <c r="G97" t="inlineStr">
        <is>
          <t xml:space="preserve">—</t>
        </is>
      </c>
      <c r="H97">
        <f>SUMIFS(Base!$D$3:$D$5001,Base!$B$3:$B$5001,H$95,Base!$A$3:$A$5001,"&gt;="&amp;$C$7,Base!$A$3:$A$5001,"&lt;="&amp;$D$7)</f>
        <v>1988</v>
      </c>
      <c r="I97">
        <f>SUMIFS(Base!$D$3:$D$5001,Base!$B$3:$B$5001,I$95,Base!$A$3:$A$5001,"&gt;="&amp;$C$7,Base!$A$3:$A$5001,"&lt;="&amp;$D$7)</f>
        <v>2173</v>
      </c>
      <c r="J97" t="inlineStr">
        <is>
          <t xml:space="preserve">—</t>
        </is>
      </c>
      <c r="K97">
        <f>SUM(B97:J97)</f>
        <v>12991</v>
      </c>
    </row>
    <row r="98">
      <c r="A98" t="inlineStr">
        <is>
          <t xml:space="preserve">IN Toneladas Movimentadas</t>
        </is>
      </c>
      <c r="B98">
        <f>SUMIFS(Base!$E$3:$E$5001,Base!$B$3:$B$5001,B$95,Base!$A$3:$A$5001,"&gt;="&amp;$C$7,Base!$A$3:$A$5001,"&lt;="&amp;$D$7)</f>
        <v>2148.13</v>
      </c>
      <c r="C98" t="inlineStr">
        <is>
          <t xml:space="preserve">—</t>
        </is>
      </c>
      <c r="D98" t="inlineStr">
        <is>
          <t xml:space="preserve">—</t>
        </is>
      </c>
      <c r="E98">
        <f>SUMIFS(Base!$E$3:$E$5001,Base!$B$3:$B$5001,E$95,Base!$A$3:$A$5001,"&gt;="&amp;$C$7,Base!$A$3:$A$5001,"&lt;="&amp;$D$7)</f>
        <v>1724.76</v>
      </c>
      <c r="F98" t="inlineStr">
        <is>
          <t xml:space="preserve">—</t>
        </is>
      </c>
      <c r="G98" t="inlineStr">
        <is>
          <t xml:space="preserve">—</t>
        </is>
      </c>
      <c r="H98" t="inlineStr">
        <is>
          <t xml:space="preserve">—</t>
        </is>
      </c>
      <c r="I98" t="inlineStr">
        <is>
          <t xml:space="preserve">—</t>
        </is>
      </c>
      <c r="J98" t="inlineStr">
        <is>
          <t xml:space="preserve">—</t>
        </is>
      </c>
      <c r="K98">
        <f>SUM(B98:J98)</f>
        <v>3872.89</v>
      </c>
    </row>
    <row r="99">
      <c r="A99" t="inlineStr">
        <is>
          <t xml:space="preserve">IN Caixas Movimentadas</t>
        </is>
      </c>
      <c r="B99" t="inlineStr">
        <is>
          <t xml:space="preserve">—</t>
        </is>
      </c>
      <c r="C99">
        <f>SUMIFS(Base!$F$3:$F$5001,Base!$B$3:$B$5001,C$95,Base!$A$3:$A$5001,"&gt;="&amp;$C$7,Base!$A$3:$A$5001,"&lt;="&amp;$D$7)</f>
        <v>36123</v>
      </c>
      <c r="D99" t="inlineStr">
        <is>
          <t xml:space="preserve">—</t>
        </is>
      </c>
      <c r="E99" t="inlineStr">
        <is>
          <t xml:space="preserve">—</t>
        </is>
      </c>
      <c r="F99" t="inlineStr">
        <is>
          <t xml:space="preserve">—</t>
        </is>
      </c>
      <c r="G99" t="inlineStr">
        <is>
          <t xml:space="preserve">—</t>
        </is>
      </c>
      <c r="H99" t="inlineStr">
        <is>
          <t xml:space="preserve">—</t>
        </is>
      </c>
      <c r="I99" t="inlineStr">
        <is>
          <t xml:space="preserve">—</t>
        </is>
      </c>
      <c r="J99">
        <f>SUMIFS(Base!$F$3:$F$5001,Base!$B$3:$B$5001,J$95,Base!$A$3:$A$5001,"&gt;="&amp;$C$7,Base!$A$3:$A$5001,"&lt;="&amp;$D$7)</f>
        <v>33284</v>
      </c>
      <c r="K99">
        <f>SUM(B99:J99)</f>
        <v>69407</v>
      </c>
    </row>
    <row r="100">
      <c r="A100" t="inlineStr">
        <is>
          <t xml:space="preserve">IN Itens Recebidos CX Mista</t>
        </is>
      </c>
      <c r="B100" t="inlineStr">
        <is>
          <t xml:space="preserve">—</t>
        </is>
      </c>
      <c r="C100" t="inlineStr">
        <is>
          <t xml:space="preserve">—</t>
        </is>
      </c>
      <c r="D100">
        <f>SUMIFS(Base!$G$3:$G$5001,Base!$B$3:$B$5001,D$95,Base!$A$3:$A$5001,"&gt;="&amp;$C$7,Base!$A$3:$A$5001,"&lt;="&amp;$D$7)</f>
        <v>87289</v>
      </c>
      <c r="E100" t="inlineStr">
        <is>
          <t xml:space="preserve">—</t>
        </is>
      </c>
      <c r="F100" t="inlineStr">
        <is>
          <t xml:space="preserve">—</t>
        </is>
      </c>
      <c r="G100" t="inlineStr">
        <is>
          <t xml:space="preserve">—</t>
        </is>
      </c>
      <c r="H100" t="inlineStr">
        <is>
          <t xml:space="preserve">—</t>
        </is>
      </c>
      <c r="I100" t="inlineStr">
        <is>
          <t xml:space="preserve">—</t>
        </is>
      </c>
      <c r="J100" t="inlineStr">
        <is>
          <t xml:space="preserve">—</t>
        </is>
      </c>
      <c r="K100">
        <f>SUM(B100:J100)</f>
        <v>87289</v>
      </c>
    </row>
    <row r="101">
      <c r="A101" t="inlineStr">
        <is>
          <t xml:space="preserve">IN Caixas Mistas Recebidas</t>
        </is>
      </c>
      <c r="B101" t="inlineStr">
        <is>
          <t xml:space="preserve">—</t>
        </is>
      </c>
      <c r="C101" t="inlineStr">
        <is>
          <t xml:space="preserve">—</t>
        </is>
      </c>
      <c r="D101">
        <f>SUMIFS(Base!$H$3:$H$5001,Base!$B$3:$B$5001,D$95,Base!$A$3:$A$5001,"&gt;="&amp;$C$7,Base!$A$3:$A$5001,"&lt;="&amp;$D$7)</f>
        <v>5410</v>
      </c>
      <c r="E101" t="inlineStr">
        <is>
          <t xml:space="preserve">—</t>
        </is>
      </c>
      <c r="F101" t="inlineStr">
        <is>
          <t xml:space="preserve">—</t>
        </is>
      </c>
      <c r="G101" t="inlineStr">
        <is>
          <t xml:space="preserve">—</t>
        </is>
      </c>
      <c r="H101" t="inlineStr">
        <is>
          <t xml:space="preserve">—</t>
        </is>
      </c>
      <c r="I101" t="inlineStr">
        <is>
          <t xml:space="preserve">—</t>
        </is>
      </c>
      <c r="J101" t="inlineStr">
        <is>
          <t xml:space="preserve">—</t>
        </is>
      </c>
      <c r="K101">
        <f>SUM(B101:J101)</f>
        <v>5410</v>
      </c>
    </row>
    <row r="102">
      <c r="A102" t="inlineStr">
        <is>
          <t xml:space="preserve">IN Caixas Fechadas</t>
        </is>
      </c>
      <c r="B102" t="inlineStr">
        <is>
          <t xml:space="preserve">—</t>
        </is>
      </c>
      <c r="C102" t="inlineStr">
        <is>
          <t xml:space="preserve">—</t>
        </is>
      </c>
      <c r="D102">
        <f>SUMIFS(Base!$I$3:$I$5001,Base!$B$3:$B$5001,D$95,Base!$A$3:$A$5001,"&gt;="&amp;$C$7,Base!$A$3:$A$5001,"&lt;="&amp;$D$7)</f>
        <v>11383</v>
      </c>
      <c r="E102" t="inlineStr">
        <is>
          <t xml:space="preserve">—</t>
        </is>
      </c>
      <c r="F102" t="inlineStr">
        <is>
          <t xml:space="preserve">—</t>
        </is>
      </c>
      <c r="G102" t="inlineStr">
        <is>
          <t xml:space="preserve">—</t>
        </is>
      </c>
      <c r="H102" t="inlineStr">
        <is>
          <t xml:space="preserve">—</t>
        </is>
      </c>
      <c r="I102" t="inlineStr">
        <is>
          <t xml:space="preserve">—</t>
        </is>
      </c>
      <c r="J102" t="inlineStr">
        <is>
          <t xml:space="preserve">—</t>
        </is>
      </c>
      <c r="K102">
        <f>SUM(B102:J102)</f>
        <v>11383</v>
      </c>
    </row>
    <row r="103">
      <c r="A103" t="inlineStr">
        <is>
          <t xml:space="preserve">IN Peças Movimentadas</t>
        </is>
      </c>
      <c r="B103" t="inlineStr">
        <is>
          <t xml:space="preserve">—</t>
        </is>
      </c>
      <c r="C103" t="inlineStr">
        <is>
          <t xml:space="preserve">—</t>
        </is>
      </c>
      <c r="D103" t="inlineStr">
        <is>
          <t xml:space="preserve">—</t>
        </is>
      </c>
      <c r="E103" t="inlineStr">
        <is>
          <t xml:space="preserve">—</t>
        </is>
      </c>
      <c r="F103">
        <f>SUMIFS(Base!$J$3:$J$5001,Base!$B$3:$B$5001,F$95,Base!$A$3:$A$5001,"&gt;="&amp;$C$7,Base!$A$3:$A$5001,"&lt;="&amp;$D$7)</f>
        <v>7689</v>
      </c>
      <c r="G103" t="inlineStr">
        <is>
          <t xml:space="preserve">—</t>
        </is>
      </c>
      <c r="H103" t="inlineStr">
        <is>
          <t xml:space="preserve">—</t>
        </is>
      </c>
      <c r="I103" t="inlineStr">
        <is>
          <t xml:space="preserve">—</t>
        </is>
      </c>
      <c r="J103" t="inlineStr">
        <is>
          <t xml:space="preserve">—</t>
        </is>
      </c>
      <c r="K103">
        <f>SUM(B103:J103)</f>
        <v>7689</v>
      </c>
    </row>
    <row r="104">
      <c r="A104" t="inlineStr">
        <is>
          <t xml:space="preserve">IN Linhas NF</t>
        </is>
      </c>
      <c r="B104" t="inlineStr">
        <is>
          <t xml:space="preserve">—</t>
        </is>
      </c>
      <c r="C104" t="inlineStr">
        <is>
          <t xml:space="preserve">—</t>
        </is>
      </c>
      <c r="D104" t="inlineStr">
        <is>
          <t xml:space="preserve">—</t>
        </is>
      </c>
      <c r="E104" t="inlineStr">
        <is>
          <t xml:space="preserve">—</t>
        </is>
      </c>
      <c r="F104">
        <f>SUMIFS(Base!$K$3:$K$5001,Base!$B$3:$B$5001,F$95,Base!$A$3:$A$5001,"&gt;="&amp;$C$7,Base!$A$3:$A$5001,"&lt;="&amp;$D$7)</f>
        <v>1509</v>
      </c>
      <c r="G104">
        <f>SUMIFS(Base!$K$3:$K$5001,Base!$B$3:$B$5001,G$95,Base!$A$3:$A$5001,"&gt;="&amp;$C$7,Base!$A$3:$A$5001,"&lt;="&amp;$D$7)</f>
        <v>1517</v>
      </c>
      <c r="H104" t="inlineStr">
        <is>
          <t xml:space="preserve">—</t>
        </is>
      </c>
      <c r="I104" t="inlineStr">
        <is>
          <t xml:space="preserve">—</t>
        </is>
      </c>
      <c r="J104" t="inlineStr">
        <is>
          <t xml:space="preserve">—</t>
        </is>
      </c>
      <c r="K104">
        <f>SUM(B104:J104)</f>
        <v>3026</v>
      </c>
    </row>
    <row r="105">
      <c r="A105" t="inlineStr">
        <is>
          <t xml:space="preserve">OUT Veículos Expedidos</t>
        </is>
      </c>
      <c r="B105">
        <f>SUMIFS(Base!$L$3:$L$5001,Base!$B$3:$B$5001,B$95,Base!$A$3:$A$5001,"&gt;="&amp;$C$7,Base!$A$3:$A$5001,"&lt;="&amp;$D$7)</f>
        <v>150</v>
      </c>
      <c r="C105">
        <f>SUMIFS(Base!$L$3:$L$5001,Base!$B$3:$B$5001,C$95,Base!$A$3:$A$5001,"&gt;="&amp;$C$7,Base!$A$3:$A$5001,"&lt;="&amp;$D$7)</f>
        <v>154</v>
      </c>
      <c r="D105">
        <f>SUMIFS(Base!$L$3:$L$5001,Base!$B$3:$B$5001,D$95,Base!$A$3:$A$5001,"&gt;="&amp;$C$7,Base!$A$3:$A$5001,"&lt;="&amp;$D$7)</f>
        <v>163</v>
      </c>
      <c r="E105">
        <f>SUMIFS(Base!$L$3:$L$5001,Base!$B$3:$B$5001,E$95,Base!$A$3:$A$5001,"&gt;="&amp;$C$7,Base!$A$3:$A$5001,"&lt;="&amp;$D$7)</f>
        <v>166</v>
      </c>
      <c r="F105">
        <f>SUMIFS(Base!$L$3:$L$5001,Base!$B$3:$B$5001,F$95,Base!$A$3:$A$5001,"&gt;="&amp;$C$7,Base!$A$3:$A$5001,"&lt;="&amp;$D$7)</f>
        <v>165</v>
      </c>
      <c r="G105">
        <f>SUMIFS(Base!$L$3:$L$5001,Base!$B$3:$B$5001,G$95,Base!$A$3:$A$5001,"&gt;="&amp;$C$7,Base!$A$3:$A$5001,"&lt;="&amp;$D$7)</f>
        <v>164</v>
      </c>
      <c r="H105">
        <f>SUMIFS(Base!$L$3:$L$5001,Base!$B$3:$B$5001,H$95,Base!$A$3:$A$5001,"&gt;="&amp;$C$7,Base!$A$3:$A$5001,"&lt;="&amp;$D$7)</f>
        <v>154</v>
      </c>
      <c r="I105">
        <f>SUMIFS(Base!$L$3:$L$5001,Base!$B$3:$B$5001,I$95,Base!$A$3:$A$5001,"&gt;="&amp;$C$7,Base!$A$3:$A$5001,"&lt;="&amp;$D$7)</f>
        <v>183</v>
      </c>
      <c r="J105">
        <f>SUMIFS(Base!$L$3:$L$5001,Base!$B$3:$B$5001,J$95,Base!$A$3:$A$5001,"&gt;="&amp;$C$7,Base!$A$3:$A$5001,"&lt;="&amp;$D$7)</f>
        <v>167</v>
      </c>
      <c r="K105">
        <f>SUM(B105:J105)</f>
        <v>1466</v>
      </c>
    </row>
    <row r="106">
      <c r="A106" t="inlineStr">
        <is>
          <t xml:space="preserve">OUT Pallets Movimentados</t>
        </is>
      </c>
      <c r="B106">
        <f>SUMIFS(Base!$M$3:$M$5001,Base!$B$3:$B$5001,B$95,Base!$A$3:$A$5001,"&gt;="&amp;$C$7,Base!$A$3:$A$5001,"&lt;="&amp;$D$7)</f>
        <v>2389</v>
      </c>
      <c r="C106">
        <f>SUMIFS(Base!$M$3:$M$5001,Base!$B$3:$B$5001,C$95,Base!$A$3:$A$5001,"&gt;="&amp;$C$7,Base!$A$3:$A$5001,"&lt;="&amp;$D$7)</f>
        <v>2419</v>
      </c>
      <c r="D106">
        <f>SUMIFS(Base!$M$3:$M$5001,Base!$B$3:$B$5001,D$95,Base!$A$3:$A$5001,"&gt;="&amp;$C$7,Base!$A$3:$A$5001,"&lt;="&amp;$D$7)</f>
        <v>2067</v>
      </c>
      <c r="E106">
        <f>SUMIFS(Base!$M$3:$M$5001,Base!$B$3:$B$5001,E$95,Base!$A$3:$A$5001,"&gt;="&amp;$C$7,Base!$A$3:$A$5001,"&lt;="&amp;$D$7)</f>
        <v>2487</v>
      </c>
      <c r="F106">
        <f>SUMIFS(Base!$M$3:$M$5001,Base!$B$3:$B$5001,F$95,Base!$A$3:$A$5001,"&gt;="&amp;$C$7,Base!$A$3:$A$5001,"&lt;="&amp;$D$7)</f>
        <v>2408</v>
      </c>
      <c r="G106" t="inlineStr">
        <is>
          <t xml:space="preserve">—</t>
        </is>
      </c>
      <c r="H106">
        <f>SUMIFS(Base!$M$3:$M$5001,Base!$B$3:$B$5001,H$95,Base!$A$3:$A$5001,"&gt;="&amp;$C$7,Base!$A$3:$A$5001,"&lt;="&amp;$D$7)</f>
        <v>2152</v>
      </c>
      <c r="I106">
        <f>SUMIFS(Base!$M$3:$M$5001,Base!$B$3:$B$5001,I$95,Base!$A$3:$A$5001,"&gt;="&amp;$C$7,Base!$A$3:$A$5001,"&lt;="&amp;$D$7)</f>
        <v>2548</v>
      </c>
      <c r="J106" t="inlineStr">
        <is>
          <t xml:space="preserve">—</t>
        </is>
      </c>
      <c r="K106">
        <f>SUM(B106:J106)</f>
        <v>16470</v>
      </c>
    </row>
    <row r="107">
      <c r="A107" t="inlineStr">
        <is>
          <t xml:space="preserve">OUT Toneladas Movimentadas</t>
        </is>
      </c>
      <c r="B107">
        <f>SUMIFS(Base!$N$3:$N$5001,Base!$B$3:$B$5001,B$95,Base!$A$3:$A$5001,"&gt;="&amp;$C$7,Base!$A$3:$A$5001,"&lt;="&amp;$D$7)</f>
        <v>2668.39</v>
      </c>
      <c r="C107" t="inlineStr">
        <is>
          <t xml:space="preserve">—</t>
        </is>
      </c>
      <c r="D107" t="inlineStr">
        <is>
          <t xml:space="preserve">—</t>
        </is>
      </c>
      <c r="E107">
        <f>SUMIFS(Base!$N$3:$N$5001,Base!$B$3:$B$5001,E$95,Base!$A$3:$A$5001,"&gt;="&amp;$C$7,Base!$A$3:$A$5001,"&lt;="&amp;$D$7)</f>
        <v>2042.65</v>
      </c>
      <c r="F107" t="inlineStr">
        <is>
          <t xml:space="preserve">—</t>
        </is>
      </c>
      <c r="G107" t="inlineStr">
        <is>
          <t xml:space="preserve">—</t>
        </is>
      </c>
      <c r="H107" t="inlineStr">
        <is>
          <t xml:space="preserve">—</t>
        </is>
      </c>
      <c r="I107" t="inlineStr">
        <is>
          <t xml:space="preserve">—</t>
        </is>
      </c>
      <c r="J107" t="inlineStr">
        <is>
          <t xml:space="preserve">—</t>
        </is>
      </c>
      <c r="K107">
        <f>SUM(B107:J107)</f>
        <v>4711.04</v>
      </c>
    </row>
    <row r="108">
      <c r="A108" t="inlineStr">
        <is>
          <t xml:space="preserve">OUT Caixas Expedidas</t>
        </is>
      </c>
      <c r="B108" t="inlineStr">
        <is>
          <t xml:space="preserve">—</t>
        </is>
      </c>
      <c r="C108" t="inlineStr">
        <is>
          <t xml:space="preserve">—</t>
        </is>
      </c>
      <c r="D108" t="inlineStr">
        <is>
          <t xml:space="preserve">—</t>
        </is>
      </c>
      <c r="E108" t="inlineStr">
        <is>
          <t xml:space="preserve">—</t>
        </is>
      </c>
      <c r="F108" t="inlineStr">
        <is>
          <t xml:space="preserve">—</t>
        </is>
      </c>
      <c r="G108" t="inlineStr">
        <is>
          <t xml:space="preserve">—</t>
        </is>
      </c>
      <c r="H108" t="inlineStr">
        <is>
          <t xml:space="preserve">—</t>
        </is>
      </c>
      <c r="I108" t="inlineStr">
        <is>
          <t xml:space="preserve">—</t>
        </is>
      </c>
      <c r="J108">
        <f>SUMIFS(Base!$O$3:$O$5001,Base!$B$3:$B$5001,J$95,Base!$A$3:$A$5001,"&gt;="&amp;$C$7,Base!$A$3:$A$5001,"&lt;="&amp;$D$7)</f>
        <v>37204</v>
      </c>
      <c r="K108">
        <f>SUM(B108:J108)</f>
        <v>37204</v>
      </c>
    </row>
    <row r="109">
      <c r="A109" t="inlineStr">
        <is>
          <t xml:space="preserve">OUT Pedidos Expedidos</t>
        </is>
      </c>
      <c r="B109" t="inlineStr">
        <is>
          <t xml:space="preserve">—</t>
        </is>
      </c>
      <c r="C109">
        <f>SUMIFS(Base!$P$3:$P$5001,Base!$B$3:$B$5001,C$95,Base!$A$3:$A$5001,"&gt;="&amp;$C$7,Base!$A$3:$A$5001,"&lt;="&amp;$D$7)</f>
        <v>8699</v>
      </c>
      <c r="D109" t="inlineStr">
        <is>
          <t xml:space="preserve">—</t>
        </is>
      </c>
      <c r="E109" t="inlineStr">
        <is>
          <t xml:space="preserve">—</t>
        </is>
      </c>
      <c r="F109" t="inlineStr">
        <is>
          <t xml:space="preserve">—</t>
        </is>
      </c>
      <c r="G109" t="inlineStr">
        <is>
          <t xml:space="preserve">—</t>
        </is>
      </c>
      <c r="H109" t="inlineStr">
        <is>
          <t xml:space="preserve">—</t>
        </is>
      </c>
      <c r="I109" t="inlineStr">
        <is>
          <t xml:space="preserve">—</t>
        </is>
      </c>
      <c r="J109" t="inlineStr">
        <is>
          <t xml:space="preserve">—</t>
        </is>
      </c>
      <c r="K109">
        <f>SUM(B109:J109)</f>
        <v>8699</v>
      </c>
    </row>
    <row r="110">
      <c r="A110" t="inlineStr">
        <is>
          <t xml:space="preserve">OUT Pedidos Faturados</t>
        </is>
      </c>
      <c r="B110" t="inlineStr">
        <is>
          <t xml:space="preserve">—</t>
        </is>
      </c>
      <c r="C110" t="inlineStr">
        <is>
          <t xml:space="preserve">—</t>
        </is>
      </c>
      <c r="D110">
        <f>SUMIFS(Base!$Q$3:$Q$5001,Base!$B$3:$B$5001,D$95,Base!$A$3:$A$5001,"&gt;="&amp;$C$7,Base!$A$3:$A$5001,"&lt;="&amp;$D$7)</f>
        <v>18637</v>
      </c>
      <c r="E110" t="inlineStr">
        <is>
          <t xml:space="preserve">—</t>
        </is>
      </c>
      <c r="F110" t="inlineStr">
        <is>
          <t xml:space="preserve">—</t>
        </is>
      </c>
      <c r="G110" t="inlineStr">
        <is>
          <t xml:space="preserve">—</t>
        </is>
      </c>
      <c r="H110" t="inlineStr">
        <is>
          <t xml:space="preserve">—</t>
        </is>
      </c>
      <c r="I110" t="inlineStr">
        <is>
          <t xml:space="preserve">—</t>
        </is>
      </c>
      <c r="J110" t="inlineStr">
        <is>
          <t xml:space="preserve">—</t>
        </is>
      </c>
      <c r="K110">
        <f>SUM(B110:J110)</f>
        <v>18637</v>
      </c>
    </row>
    <row r="111">
      <c r="A111" t="inlineStr">
        <is>
          <t xml:space="preserve">OUT Itens Expedidos</t>
        </is>
      </c>
      <c r="B111" t="inlineStr">
        <is>
          <t xml:space="preserve">—</t>
        </is>
      </c>
      <c r="C111" t="inlineStr">
        <is>
          <t xml:space="preserve">—</t>
        </is>
      </c>
      <c r="D111">
        <f>SUMIFS(Base!$R$3:$R$5001,Base!$B$3:$B$5001,D$95,Base!$A$3:$A$5001,"&gt;="&amp;$C$7,Base!$A$3:$A$5001,"&lt;="&amp;$D$7)</f>
        <v>128382</v>
      </c>
      <c r="E111" t="inlineStr">
        <is>
          <t xml:space="preserve">—</t>
        </is>
      </c>
      <c r="F111" t="inlineStr">
        <is>
          <t xml:space="preserve">—</t>
        </is>
      </c>
      <c r="G111" t="inlineStr">
        <is>
          <t xml:space="preserve">—</t>
        </is>
      </c>
      <c r="H111" t="inlineStr">
        <is>
          <t xml:space="preserve">—</t>
        </is>
      </c>
      <c r="I111" t="inlineStr">
        <is>
          <t xml:space="preserve">—</t>
        </is>
      </c>
      <c r="J111" t="inlineStr">
        <is>
          <t xml:space="preserve">—</t>
        </is>
      </c>
      <c r="K111">
        <f>SUM(B111:J111)</f>
        <v>128382</v>
      </c>
    </row>
    <row r="112">
      <c r="A112" t="inlineStr">
        <is>
          <t xml:space="preserve">OUT Peças Movimentadas</t>
        </is>
      </c>
      <c r="B112" t="inlineStr">
        <is>
          <t xml:space="preserve">—</t>
        </is>
      </c>
      <c r="C112" t="inlineStr">
        <is>
          <t xml:space="preserve">—</t>
        </is>
      </c>
      <c r="D112" t="inlineStr">
        <is>
          <t xml:space="preserve">—</t>
        </is>
      </c>
      <c r="E112" t="inlineStr">
        <is>
          <t xml:space="preserve">—</t>
        </is>
      </c>
      <c r="F112">
        <f>SUMIFS(Base!$S$3:$S$5001,Base!$B$3:$B$5001,F$95,Base!$A$3:$A$5001,"&gt;="&amp;$C$7,Base!$A$3:$A$5001,"&lt;="&amp;$D$7)</f>
        <v>7734</v>
      </c>
      <c r="G112" t="inlineStr">
        <is>
          <t xml:space="preserve">—</t>
        </is>
      </c>
      <c r="H112" t="inlineStr">
        <is>
          <t xml:space="preserve">—</t>
        </is>
      </c>
      <c r="I112" t="inlineStr">
        <is>
          <t xml:space="preserve">—</t>
        </is>
      </c>
      <c r="J112" t="inlineStr">
        <is>
          <t xml:space="preserve">—</t>
        </is>
      </c>
      <c r="K112">
        <f>SUM(B112:J112)</f>
        <v>7734</v>
      </c>
    </row>
    <row r="113">
      <c r="A113" t="inlineStr">
        <is>
          <t xml:space="preserve">OUT Linhas NF</t>
        </is>
      </c>
      <c r="B113" t="inlineStr">
        <is>
          <t xml:space="preserve">—</t>
        </is>
      </c>
      <c r="C113" t="inlineStr">
        <is>
          <t xml:space="preserve">—</t>
        </is>
      </c>
      <c r="D113" t="inlineStr">
        <is>
          <t xml:space="preserve">—</t>
        </is>
      </c>
      <c r="E113" t="inlineStr">
        <is>
          <t xml:space="preserve">—</t>
        </is>
      </c>
      <c r="F113">
        <f>SUMIFS(Base!$T$3:$T$5001,Base!$B$3:$B$5001,F$95,Base!$A$3:$A$5001,"&gt;="&amp;$C$7,Base!$A$3:$A$5001,"&lt;="&amp;$D$7)</f>
        <v>1567</v>
      </c>
      <c r="G113">
        <f>SUMIFS(Base!$T$3:$T$5001,Base!$B$3:$B$5001,G$95,Base!$A$3:$A$5001,"&gt;="&amp;$C$7,Base!$A$3:$A$5001,"&lt;="&amp;$D$7)</f>
        <v>1704</v>
      </c>
      <c r="H113" t="inlineStr">
        <is>
          <t xml:space="preserve">—</t>
        </is>
      </c>
      <c r="I113" t="inlineStr">
        <is>
          <t xml:space="preserve">—</t>
        </is>
      </c>
      <c r="J113" t="inlineStr">
        <is>
          <t xml:space="preserve">—</t>
        </is>
      </c>
      <c r="K113">
        <f>SUM(B113:J113)</f>
        <v>3271</v>
      </c>
    </row>
    <row r="114">
      <c r="A114" t="inlineStr">
        <is>
          <t xml:space="preserve">NC Incidentes</t>
        </is>
      </c>
      <c r="B114">
        <f>SUMIFS(Base!$U$3:$U$5001,Base!$B$3:$B$5001,B$95,Base!$A$3:$A$5001,"&gt;="&amp;$C$7,Base!$A$3:$A$5001,"&lt;="&amp;$D$7)</f>
        <v>0</v>
      </c>
      <c r="C114">
        <f>SUMIFS(Base!$U$3:$U$5001,Base!$B$3:$B$5001,C$95,Base!$A$3:$A$5001,"&gt;="&amp;$C$7,Base!$A$3:$A$5001,"&lt;="&amp;$D$7)</f>
        <v>1</v>
      </c>
      <c r="D114">
        <f>SUMIFS(Base!$U$3:$U$5001,Base!$B$3:$B$5001,D$95,Base!$A$3:$A$5001,"&gt;="&amp;$C$7,Base!$A$3:$A$5001,"&lt;="&amp;$D$7)</f>
        <v>0</v>
      </c>
      <c r="E114">
        <f>SUMIFS(Base!$U$3:$U$5001,Base!$B$3:$B$5001,E$95,Base!$A$3:$A$5001,"&gt;="&amp;$C$7,Base!$A$3:$A$5001,"&lt;="&amp;$D$7)</f>
        <v>0</v>
      </c>
      <c r="F114">
        <f>SUMIFS(Base!$U$3:$U$5001,Base!$B$3:$B$5001,F$95,Base!$A$3:$A$5001,"&gt;="&amp;$C$7,Base!$A$3:$A$5001,"&lt;="&amp;$D$7)</f>
        <v>1</v>
      </c>
      <c r="G114">
        <f>SUMIFS(Base!$U$3:$U$5001,Base!$B$3:$B$5001,G$95,Base!$A$3:$A$5001,"&gt;="&amp;$C$7,Base!$A$3:$A$5001,"&lt;="&amp;$D$7)</f>
        <v>1</v>
      </c>
      <c r="H114">
        <f>SUMIFS(Base!$U$3:$U$5001,Base!$B$3:$B$5001,H$95,Base!$A$3:$A$5001,"&gt;="&amp;$C$7,Base!$A$3:$A$5001,"&lt;="&amp;$D$7)</f>
        <v>2</v>
      </c>
      <c r="I114">
        <f>SUMIFS(Base!$U$3:$U$5001,Base!$B$3:$B$5001,I$95,Base!$A$3:$A$5001,"&gt;="&amp;$C$7,Base!$A$3:$A$5001,"&lt;="&amp;$D$7)</f>
        <v>0</v>
      </c>
      <c r="J114">
        <f>SUMIFS(Base!$U$3:$U$5001,Base!$B$3:$B$5001,J$95,Base!$A$3:$A$5001,"&gt;="&amp;$C$7,Base!$A$3:$A$5001,"&lt;="&amp;$D$7)</f>
        <v>0</v>
      </c>
      <c r="K114">
        <f>SUM(B114:J114)</f>
        <v>5</v>
      </c>
    </row>
    <row r="115">
      <c r="A115" t="inlineStr">
        <is>
          <t xml:space="preserve">NC No show</t>
        </is>
      </c>
      <c r="B115">
        <f>SUMIFS(Base!$V$3:$V$5001,Base!$B$3:$B$5001,B$95,Base!$A$3:$A$5001,"&gt;="&amp;$C$7,Base!$A$3:$A$5001,"&lt;="&amp;$D$7)</f>
        <v>1</v>
      </c>
      <c r="C115">
        <f>SUMIFS(Base!$V$3:$V$5001,Base!$B$3:$B$5001,C$95,Base!$A$3:$A$5001,"&gt;="&amp;$C$7,Base!$A$3:$A$5001,"&lt;="&amp;$D$7)</f>
        <v>3</v>
      </c>
      <c r="D115">
        <f>SUMIFS(Base!$V$3:$V$5001,Base!$B$3:$B$5001,D$95,Base!$A$3:$A$5001,"&gt;="&amp;$C$7,Base!$A$3:$A$5001,"&lt;="&amp;$D$7)</f>
        <v>2</v>
      </c>
      <c r="E115">
        <f>SUMIFS(Base!$V$3:$V$5001,Base!$B$3:$B$5001,E$95,Base!$A$3:$A$5001,"&gt;="&amp;$C$7,Base!$A$3:$A$5001,"&lt;="&amp;$D$7)</f>
        <v>2</v>
      </c>
      <c r="F115">
        <f>SUMIFS(Base!$V$3:$V$5001,Base!$B$3:$B$5001,F$95,Base!$A$3:$A$5001,"&gt;="&amp;$C$7,Base!$A$3:$A$5001,"&lt;="&amp;$D$7)</f>
        <v>4</v>
      </c>
      <c r="G115">
        <f>SUMIFS(Base!$V$3:$V$5001,Base!$B$3:$B$5001,G$95,Base!$A$3:$A$5001,"&gt;="&amp;$C$7,Base!$A$3:$A$5001,"&lt;="&amp;$D$7)</f>
        <v>2</v>
      </c>
      <c r="H115">
        <f>SUMIFS(Base!$V$3:$V$5001,Base!$B$3:$B$5001,H$95,Base!$A$3:$A$5001,"&gt;="&amp;$C$7,Base!$A$3:$A$5001,"&lt;="&amp;$D$7)</f>
        <v>2</v>
      </c>
      <c r="I115">
        <f>SUMIFS(Base!$V$3:$V$5001,Base!$B$3:$B$5001,I$95,Base!$A$3:$A$5001,"&gt;="&amp;$C$7,Base!$A$3:$A$5001,"&lt;="&amp;$D$7)</f>
        <v>3</v>
      </c>
      <c r="J115">
        <f>SUMIFS(Base!$V$3:$V$5001,Base!$B$3:$B$5001,J$95,Base!$A$3:$A$5001,"&gt;="&amp;$C$7,Base!$A$3:$A$5001,"&lt;="&amp;$D$7)</f>
        <v>1</v>
      </c>
      <c r="K115">
        <f>SUM(B115:J115)</f>
        <v>20</v>
      </c>
    </row>
    <row r="116">
      <c r="A116" t="inlineStr">
        <is>
          <t xml:space="preserve">NC Backlog</t>
        </is>
      </c>
      <c r="B116">
        <f>IF(COUNTIFS(Base!$B$3:$B$5001,B$95,Base!$A$3:$A$5001,"&gt;="&amp;$C$7,Base!$A$3:$A$5001,"&lt;="&amp;$D$7,Base!$W$3:$W$5001,"&lt;&gt;")=0,"",SUMIFS(Base!$W$3:$W$5001,Base!$B$3:$B$5001,B$95,Base!$A$3:$A$5001,_xlfn.MAXIFS(Base!$A$3:$A$5001,Base!$B$3:$B$5001,B$95,Base!$A$3:$A$5001,"&gt;="&amp;$C$7,Base!$A$3:$A$5001,"&lt;="&amp;$D$7,Base!$W$3:$W$5001,"&lt;&gt;")))</f>
        <v>6</v>
      </c>
      <c r="C116">
        <f>IF(COUNTIFS(Base!$B$3:$B$5001,C$95,Base!$A$3:$A$5001,"&gt;="&amp;$C$7,Base!$A$3:$A$5001,"&lt;="&amp;$D$7,Base!$W$3:$W$5001,"&lt;&gt;")=0,"",SUMIFS(Base!$W$3:$W$5001,Base!$B$3:$B$5001,C$95,Base!$A$3:$A$5001,_xlfn.MAXIFS(Base!$A$3:$A$5001,Base!$B$3:$B$5001,C$95,Base!$A$3:$A$5001,"&gt;="&amp;$C$7,Base!$A$3:$A$5001,"&lt;="&amp;$D$7,Base!$W$3:$W$5001,"&lt;&gt;")))</f>
        <v>6</v>
      </c>
      <c r="D116">
        <f>IF(COUNTIFS(Base!$B$3:$B$5001,D$95,Base!$A$3:$A$5001,"&gt;="&amp;$C$7,Base!$A$3:$A$5001,"&lt;="&amp;$D$7,Base!$W$3:$W$5001,"&lt;&gt;")=0,"",SUMIFS(Base!$W$3:$W$5001,Base!$B$3:$B$5001,D$95,Base!$A$3:$A$5001,_xlfn.MAXIFS(Base!$A$3:$A$5001,Base!$B$3:$B$5001,D$95,Base!$A$3:$A$5001,"&gt;="&amp;$C$7,Base!$A$3:$A$5001,"&lt;="&amp;$D$7,Base!$W$3:$W$5001,"&lt;&gt;")))</f>
        <v>5</v>
      </c>
      <c r="E116">
        <f>IF(COUNTIFS(Base!$B$3:$B$5001,E$95,Base!$A$3:$A$5001,"&gt;="&amp;$C$7,Base!$A$3:$A$5001,"&lt;="&amp;$D$7,Base!$W$3:$W$5001,"&lt;&gt;")=0,"",SUMIFS(Base!$W$3:$W$5001,Base!$B$3:$B$5001,E$95,Base!$A$3:$A$5001,_xlfn.MAXIFS(Base!$A$3:$A$5001,Base!$B$3:$B$5001,E$95,Base!$A$3:$A$5001,"&gt;="&amp;$C$7,Base!$A$3:$A$5001,"&lt;="&amp;$D$7,Base!$W$3:$W$5001,"&lt;&gt;")))</f>
        <v>6</v>
      </c>
      <c r="F116">
        <f>IF(COUNTIFS(Base!$B$3:$B$5001,F$95,Base!$A$3:$A$5001,"&gt;="&amp;$C$7,Base!$A$3:$A$5001,"&lt;="&amp;$D$7,Base!$W$3:$W$5001,"&lt;&gt;")=0,"",SUMIFS(Base!$W$3:$W$5001,Base!$B$3:$B$5001,F$95,Base!$A$3:$A$5001,_xlfn.MAXIFS(Base!$A$3:$A$5001,Base!$B$3:$B$5001,F$95,Base!$A$3:$A$5001,"&gt;="&amp;$C$7,Base!$A$3:$A$5001,"&lt;="&amp;$D$7,Base!$W$3:$W$5001,"&lt;&gt;")))</f>
        <v>15</v>
      </c>
      <c r="G116">
        <f>IF(COUNTIFS(Base!$B$3:$B$5001,G$95,Base!$A$3:$A$5001,"&gt;="&amp;$C$7,Base!$A$3:$A$5001,"&lt;="&amp;$D$7,Base!$W$3:$W$5001,"&lt;&gt;")=0,"",SUMIFS(Base!$W$3:$W$5001,Base!$B$3:$B$5001,G$95,Base!$A$3:$A$5001,_xlfn.MAXIFS(Base!$A$3:$A$5001,Base!$B$3:$B$5001,G$95,Base!$A$3:$A$5001,"&gt;="&amp;$C$7,Base!$A$3:$A$5001,"&lt;="&amp;$D$7,Base!$W$3:$W$5001,"&lt;&gt;")))</f>
        <v>3</v>
      </c>
      <c r="H116">
        <f>IF(COUNTIFS(Base!$B$3:$B$5001,H$95,Base!$A$3:$A$5001,"&gt;="&amp;$C$7,Base!$A$3:$A$5001,"&lt;="&amp;$D$7,Base!$W$3:$W$5001,"&lt;&gt;")=0,"",SUMIFS(Base!$W$3:$W$5001,Base!$B$3:$B$5001,H$95,Base!$A$3:$A$5001,_xlfn.MAXIFS(Base!$A$3:$A$5001,Base!$B$3:$B$5001,H$95,Base!$A$3:$A$5001,"&gt;="&amp;$C$7,Base!$A$3:$A$5001,"&lt;="&amp;$D$7,Base!$W$3:$W$5001,"&lt;&gt;")))</f>
        <v>15</v>
      </c>
      <c r="I116">
        <f>IF(COUNTIFS(Base!$B$3:$B$5001,I$95,Base!$A$3:$A$5001,"&gt;="&amp;$C$7,Base!$A$3:$A$5001,"&lt;="&amp;$D$7,Base!$W$3:$W$5001,"&lt;&gt;")=0,"",SUMIFS(Base!$W$3:$W$5001,Base!$B$3:$B$5001,I$95,Base!$A$3:$A$5001,_xlfn.MAXIFS(Base!$A$3:$A$5001,Base!$B$3:$B$5001,I$95,Base!$A$3:$A$5001,"&gt;="&amp;$C$7,Base!$A$3:$A$5001,"&lt;="&amp;$D$7,Base!$W$3:$W$5001,"&lt;&gt;")))</f>
        <v>8</v>
      </c>
      <c r="J116">
        <f>IF(COUNTIFS(Base!$B$3:$B$5001,J$95,Base!$A$3:$A$5001,"&gt;="&amp;$C$7,Base!$A$3:$A$5001,"&lt;="&amp;$D$7,Base!$W$3:$W$5001,"&lt;&gt;")=0,"",SUMIFS(Base!$W$3:$W$5001,Base!$B$3:$B$5001,J$95,Base!$A$3:$A$5001,_xlfn.MAXIFS(Base!$A$3:$A$5001,Base!$B$3:$B$5001,J$95,Base!$A$3:$A$5001,"&gt;="&amp;$C$7,Base!$A$3:$A$5001,"&lt;="&amp;$D$7,Base!$W$3:$W$5001,"&lt;&gt;")))</f>
        <v>7</v>
      </c>
      <c r="K116">
        <f>IF(COUNT(B116:J116)=0,"",SUM(B116:J116))</f>
        <v>71</v>
      </c>
    </row>
    <row r="117">
      <c r="A117" t="inlineStr">
        <is>
          <t xml:space="preserve">Posições Disponíveis</t>
        </is>
      </c>
      <c r="B117">
        <f>IF(COUNTIFS(Base!$B$3:$B$5001,B$95,Base!$A$3:$A$5001,"&gt;="&amp;$C$7,Base!$A$3:$A$5001,"&lt;="&amp;$D$7,Base!$X$3:$X$5001,"&lt;&gt;")=0,"",SUMIFS(Base!$X$3:$X$5001,Base!$B$3:$B$5001,B$95,Base!$A$3:$A$5001,_xlfn.MAXIFS(Base!$A$3:$A$5001,Base!$B$3:$B$5001,B$95,Base!$A$3:$A$5001,"&gt;="&amp;$C$7,Base!$A$3:$A$5001,"&lt;="&amp;$D$7,Base!$X$3:$X$5001,"&lt;&gt;")))</f>
        <v>2200</v>
      </c>
      <c r="C117">
        <f>IF(COUNTIFS(Base!$B$3:$B$5001,C$95,Base!$A$3:$A$5001,"&gt;="&amp;$C$7,Base!$A$3:$A$5001,"&lt;="&amp;$D$7,Base!$X$3:$X$5001,"&lt;&gt;")=0,"",SUMIFS(Base!$X$3:$X$5001,Base!$B$3:$B$5001,C$95,Base!$A$3:$A$5001,_xlfn.MAXIFS(Base!$A$3:$A$5001,Base!$B$3:$B$5001,C$95,Base!$A$3:$A$5001,"&gt;="&amp;$C$7,Base!$A$3:$A$5001,"&lt;="&amp;$D$7,Base!$X$3:$X$5001,"&lt;&gt;")))</f>
        <v>1200</v>
      </c>
      <c r="D117">
        <f>IF(COUNTIFS(Base!$B$3:$B$5001,D$95,Base!$A$3:$A$5001,"&gt;="&amp;$C$7,Base!$A$3:$A$5001,"&lt;="&amp;$D$7,Base!$X$3:$X$5001,"&lt;&gt;")=0,"",SUMIFS(Base!$X$3:$X$5001,Base!$B$3:$B$5001,D$95,Base!$A$3:$A$5001,_xlfn.MAXIFS(Base!$A$3:$A$5001,Base!$B$3:$B$5001,D$95,Base!$A$3:$A$5001,"&gt;="&amp;$C$7,Base!$A$3:$A$5001,"&lt;="&amp;$D$7,Base!$X$3:$X$5001,"&lt;&gt;")))</f>
        <v>3500</v>
      </c>
      <c r="E117">
        <f>IF(COUNTIFS(Base!$B$3:$B$5001,E$95,Base!$A$3:$A$5001,"&gt;="&amp;$C$7,Base!$A$3:$A$5001,"&lt;="&amp;$D$7,Base!$X$3:$X$5001,"&lt;&gt;")=0,"",SUMIFS(Base!$X$3:$X$5001,Base!$B$3:$B$5001,E$95,Base!$A$3:$A$5001,_xlfn.MAXIFS(Base!$A$3:$A$5001,Base!$B$3:$B$5001,E$95,Base!$A$3:$A$5001,"&gt;="&amp;$C$7,Base!$A$3:$A$5001,"&lt;="&amp;$D$7,Base!$X$3:$X$5001,"&lt;&gt;")))</f>
        <v>1600</v>
      </c>
      <c r="F117">
        <f>IF(COUNTIFS(Base!$B$3:$B$5001,F$95,Base!$A$3:$A$5001,"&gt;="&amp;$C$7,Base!$A$3:$A$5001,"&lt;="&amp;$D$7,Base!$X$3:$X$5001,"&lt;&gt;")=0,"",SUMIFS(Base!$X$3:$X$5001,Base!$B$3:$B$5001,F$95,Base!$A$3:$A$5001,_xlfn.MAXIFS(Base!$A$3:$A$5001,Base!$B$3:$B$5001,F$95,Base!$A$3:$A$5001,"&gt;="&amp;$C$7,Base!$A$3:$A$5001,"&lt;="&amp;$D$7,Base!$X$3:$X$5001,"&lt;&gt;")))</f>
        <v>900</v>
      </c>
      <c r="G117">
        <f>IF(COUNTIFS(Base!$B$3:$B$5001,G$95,Base!$A$3:$A$5001,"&gt;="&amp;$C$7,Base!$A$3:$A$5001,"&lt;="&amp;$D$7,Base!$X$3:$X$5001,"&lt;&gt;")=0,"",SUMIFS(Base!$X$3:$X$5001,Base!$B$3:$B$5001,G$95,Base!$A$3:$A$5001,_xlfn.MAXIFS(Base!$A$3:$A$5001,Base!$B$3:$B$5001,G$95,Base!$A$3:$A$5001,"&gt;="&amp;$C$7,Base!$A$3:$A$5001,"&lt;="&amp;$D$7,Base!$X$3:$X$5001,"&lt;&gt;")))</f>
        <v>600</v>
      </c>
      <c r="H117">
        <f>IF(COUNTIFS(Base!$B$3:$B$5001,H$95,Base!$A$3:$A$5001,"&gt;="&amp;$C$7,Base!$A$3:$A$5001,"&lt;="&amp;$D$7,Base!$X$3:$X$5001,"&lt;&gt;")=0,"",SUMIFS(Base!$X$3:$X$5001,Base!$B$3:$B$5001,H$95,Base!$A$3:$A$5001,_xlfn.MAXIFS(Base!$A$3:$A$5001,Base!$B$3:$B$5001,H$95,Base!$A$3:$A$5001,"&gt;="&amp;$C$7,Base!$A$3:$A$5001,"&lt;="&amp;$D$7,Base!$X$3:$X$5001,"&lt;&gt;")))</f>
        <v>1400</v>
      </c>
      <c r="I117">
        <f>IF(COUNTIFS(Base!$B$3:$B$5001,I$95,Base!$A$3:$A$5001,"&gt;="&amp;$C$7,Base!$A$3:$A$5001,"&lt;="&amp;$D$7,Base!$X$3:$X$5001,"&lt;&gt;")=0,"",SUMIFS(Base!$X$3:$X$5001,Base!$B$3:$B$5001,I$95,Base!$A$3:$A$5001,_xlfn.MAXIFS(Base!$A$3:$A$5001,Base!$B$3:$B$5001,I$95,Base!$A$3:$A$5001,"&gt;="&amp;$C$7,Base!$A$3:$A$5001,"&lt;="&amp;$D$7,Base!$X$3:$X$5001,"&lt;&gt;")))</f>
        <v>500</v>
      </c>
      <c r="J117">
        <f>IF(COUNTIFS(Base!$B$3:$B$5001,J$95,Base!$A$3:$A$5001,"&gt;="&amp;$C$7,Base!$A$3:$A$5001,"&lt;="&amp;$D$7,Base!$X$3:$X$5001,"&lt;&gt;")=0,"",SUMIFS(Base!$X$3:$X$5001,Base!$B$3:$B$5001,J$95,Base!$A$3:$A$5001,_xlfn.MAXIFS(Base!$A$3:$A$5001,Base!$B$3:$B$5001,J$95,Base!$A$3:$A$5001,"&gt;="&amp;$C$7,Base!$A$3:$A$5001,"&lt;="&amp;$D$7,Base!$X$3:$X$5001,"&lt;&gt;")))</f>
        <v>1800</v>
      </c>
      <c r="K117">
        <f>IF(ISNUMBER($B$4),$B$4,IF(COUNT(B117:J117)=0,"",SUM(B117:J117)))</f>
        <v>13700</v>
      </c>
    </row>
    <row r="118">
      <c r="A118" t="inlineStr">
        <is>
          <t xml:space="preserve">Posições Ocupadas</t>
        </is>
      </c>
      <c r="B118">
        <f>IF(COUNTIFS(Base!$B$3:$B$5001,B$95,Base!$A$3:$A$5001,"&gt;="&amp;$C$7,Base!$A$3:$A$5001,"&lt;="&amp;$D$7,Base!$Y$3:$Y$5001,"&lt;&gt;")=0,"",SUMIFS(Base!$Y$3:$Y$5001,Base!$B$3:$B$5001,B$95,Base!$A$3:$A$5001,_xlfn.MAXIFS(Base!$A$3:$A$5001,Base!$B$3:$B$5001,B$95,Base!$A$3:$A$5001,"&gt;="&amp;$C$7,Base!$A$3:$A$5001,"&lt;="&amp;$D$7,Base!$Y$3:$Y$5001,"&lt;&gt;")))</f>
        <v>1935</v>
      </c>
      <c r="C118">
        <f>IF(COUNTIFS(Base!$B$3:$B$5001,C$95,Base!$A$3:$A$5001,"&gt;="&amp;$C$7,Base!$A$3:$A$5001,"&lt;="&amp;$D$7,Base!$Y$3:$Y$5001,"&lt;&gt;")=0,"",SUMIFS(Base!$Y$3:$Y$5001,Base!$B$3:$B$5001,C$95,Base!$A$3:$A$5001,_xlfn.MAXIFS(Base!$A$3:$A$5001,Base!$B$3:$B$5001,C$95,Base!$A$3:$A$5001,"&gt;="&amp;$C$7,Base!$A$3:$A$5001,"&lt;="&amp;$D$7,Base!$Y$3:$Y$5001,"&lt;&gt;")))</f>
        <v>913</v>
      </c>
      <c r="D118">
        <f>IF(COUNTIFS(Base!$B$3:$B$5001,D$95,Base!$A$3:$A$5001,"&gt;="&amp;$C$7,Base!$A$3:$A$5001,"&lt;="&amp;$D$7,Base!$Y$3:$Y$5001,"&lt;&gt;")=0,"",SUMIFS(Base!$Y$3:$Y$5001,Base!$B$3:$B$5001,D$95,Base!$A$3:$A$5001,_xlfn.MAXIFS(Base!$A$3:$A$5001,Base!$B$3:$B$5001,D$95,Base!$A$3:$A$5001,"&gt;="&amp;$C$7,Base!$A$3:$A$5001,"&lt;="&amp;$D$7,Base!$Y$3:$Y$5001,"&lt;&gt;")))</f>
        <v>2863</v>
      </c>
      <c r="E118">
        <f>IF(COUNTIFS(Base!$B$3:$B$5001,E$95,Base!$A$3:$A$5001,"&gt;="&amp;$C$7,Base!$A$3:$A$5001,"&lt;="&amp;$D$7,Base!$Y$3:$Y$5001,"&lt;&gt;")=0,"",SUMIFS(Base!$Y$3:$Y$5001,Base!$B$3:$B$5001,E$95,Base!$A$3:$A$5001,_xlfn.MAXIFS(Base!$A$3:$A$5001,Base!$B$3:$B$5001,E$95,Base!$A$3:$A$5001,"&gt;="&amp;$C$7,Base!$A$3:$A$5001,"&lt;="&amp;$D$7,Base!$Y$3:$Y$5001,"&lt;&gt;")))</f>
        <v>1077</v>
      </c>
      <c r="F118">
        <f>IF(COUNTIFS(Base!$B$3:$B$5001,F$95,Base!$A$3:$A$5001,"&gt;="&amp;$C$7,Base!$A$3:$A$5001,"&lt;="&amp;$D$7,Base!$Y$3:$Y$5001,"&lt;&gt;")=0,"",SUMIFS(Base!$Y$3:$Y$5001,Base!$B$3:$B$5001,F$95,Base!$A$3:$A$5001,_xlfn.MAXIFS(Base!$A$3:$A$5001,Base!$B$3:$B$5001,F$95,Base!$A$3:$A$5001,"&gt;="&amp;$C$7,Base!$A$3:$A$5001,"&lt;="&amp;$D$7,Base!$Y$3:$Y$5001,"&lt;&gt;")))</f>
        <v>738</v>
      </c>
      <c r="G118">
        <f>IF(COUNTIFS(Base!$B$3:$B$5001,G$95,Base!$A$3:$A$5001,"&gt;="&amp;$C$7,Base!$A$3:$A$5001,"&lt;="&amp;$D$7,Base!$Y$3:$Y$5001,"&lt;&gt;")=0,"",SUMIFS(Base!$Y$3:$Y$5001,Base!$B$3:$B$5001,G$95,Base!$A$3:$A$5001,_xlfn.MAXIFS(Base!$A$3:$A$5001,Base!$B$3:$B$5001,G$95,Base!$A$3:$A$5001,"&gt;="&amp;$C$7,Base!$A$3:$A$5001,"&lt;="&amp;$D$7,Base!$Y$3:$Y$5001,"&lt;&gt;")))</f>
        <v>382</v>
      </c>
      <c r="H118">
        <f>IF(COUNTIFS(Base!$B$3:$B$5001,H$95,Base!$A$3:$A$5001,"&gt;="&amp;$C$7,Base!$A$3:$A$5001,"&lt;="&amp;$D$7,Base!$Y$3:$Y$5001,"&lt;&gt;")=0,"",SUMIFS(Base!$Y$3:$Y$5001,Base!$B$3:$B$5001,H$95,Base!$A$3:$A$5001,_xlfn.MAXIFS(Base!$A$3:$A$5001,Base!$B$3:$B$5001,H$95,Base!$A$3:$A$5001,"&gt;="&amp;$C$7,Base!$A$3:$A$5001,"&lt;="&amp;$D$7,Base!$Y$3:$Y$5001,"&lt;&gt;")))</f>
        <v>962</v>
      </c>
      <c r="I118">
        <f>IF(COUNTIFS(Base!$B$3:$B$5001,I$95,Base!$A$3:$A$5001,"&gt;="&amp;$C$7,Base!$A$3:$A$5001,"&lt;="&amp;$D$7,Base!$Y$3:$Y$5001,"&lt;&gt;")=0,"",SUMIFS(Base!$Y$3:$Y$5001,Base!$B$3:$B$5001,I$95,Base!$A$3:$A$5001,_xlfn.MAXIFS(Base!$A$3:$A$5001,Base!$B$3:$B$5001,I$95,Base!$A$3:$A$5001,"&gt;="&amp;$C$7,Base!$A$3:$A$5001,"&lt;="&amp;$D$7,Base!$Y$3:$Y$5001,"&lt;&gt;")))</f>
        <v>456</v>
      </c>
      <c r="J118">
        <f>IF(COUNTIFS(Base!$B$3:$B$5001,J$95,Base!$A$3:$A$5001,"&gt;="&amp;$C$7,Base!$A$3:$A$5001,"&lt;="&amp;$D$7,Base!$Y$3:$Y$5001,"&lt;&gt;")=0,"",SUMIFS(Base!$Y$3:$Y$5001,Base!$B$3:$B$5001,J$95,Base!$A$3:$A$5001,_xlfn.MAXIFS(Base!$A$3:$A$5001,Base!$B$3:$B$5001,J$95,Base!$A$3:$A$5001,"&gt;="&amp;$C$7,Base!$A$3:$A$5001,"&lt;="&amp;$D$7,Base!$Y$3:$Y$5001,"&lt;&gt;")))</f>
        <v>1078</v>
      </c>
      <c r="K118">
        <f>IF(COUNT(B118:J118)=0,"",SUM(B118:J118))</f>
        <v>10404</v>
      </c>
    </row>
    <row r="119">
      <c r="A119" t="inlineStr">
        <is>
          <t xml:space="preserve">Taxa de Ocupação</t>
        </is>
      </c>
      <c r="B119">
        <f>IF(AND(ISNUMBER(B118),ISNUMBER(B117)),IF(B117&gt;0,B118/B117,""),"")</f>
        <v>0.879545454545455</v>
      </c>
      <c r="C119">
        <f>IF(AND(ISNUMBER(C118),ISNUMBER(C117)),IF(C117&gt;0,C118/C117,""),"")</f>
        <v>0.760833333333333</v>
      </c>
      <c r="D119">
        <f>IF(AND(ISNUMBER(D118),ISNUMBER(D117)),IF(D117&gt;0,D118/D117,""),"")</f>
        <v>0.818</v>
      </c>
      <c r="E119">
        <f>IF(AND(ISNUMBER(E118),ISNUMBER(E117)),IF(E117&gt;0,E118/E117,""),"")</f>
        <v>0.673125</v>
      </c>
      <c r="F119">
        <f>IF(AND(ISNUMBER(F118),ISNUMBER(F117)),IF(F117&gt;0,F118/F117,""),"")</f>
        <v>0.82</v>
      </c>
      <c r="G119">
        <f>IF(AND(ISNUMBER(G118),ISNUMBER(G117)),IF(G117&gt;0,G118/G117,""),"")</f>
        <v>0.636666666666667</v>
      </c>
      <c r="H119">
        <f>IF(AND(ISNUMBER(H118),ISNUMBER(H117)),IF(H117&gt;0,H118/H117,""),"")</f>
        <v>0.687142857142857</v>
      </c>
      <c r="I119">
        <f>IF(AND(ISNUMBER(I118),ISNUMBER(I117)),IF(I117&gt;0,I118/I117,""),"")</f>
        <v>0.912</v>
      </c>
      <c r="J119">
        <f>IF(AND(ISNUMBER(J118),ISNUMBER(J117)),IF(J117&gt;0,J118/J117,""),"")</f>
        <v>0.598888888888889</v>
      </c>
      <c r="K119">
        <f>IFERROR(K118/K117,"")</f>
        <v>0.759416058394161</v>
      </c>
    </row>
    <row r="120">
      <c r="A120" t="inlineStr">
        <is>
          <t xml:space="preserve">Efetivo</t>
        </is>
      </c>
      <c r="B120">
        <f>IF(COUNTIFS(Base!$B$3:$B$5001,B$95,Base!$A$3:$A$5001,"&gt;="&amp;$C$7,Base!$A$3:$A$5001,"&lt;="&amp;$D$7,Base!$Z$3:$Z$5001,"&lt;&gt;")=0,"",SUMIFS(Base!$Z$3:$Z$5001,Base!$B$3:$B$5001,B$95,Base!$A$3:$A$5001,_xlfn.MAXIFS(Base!$A$3:$A$5001,Base!$B$3:$B$5001,B$95,Base!$A$3:$A$5001,"&gt;="&amp;$C$7,Base!$A$3:$A$5001,"&lt;="&amp;$D$7,Base!$Z$3:$Z$5001,"&lt;&gt;")))</f>
        <v>6</v>
      </c>
      <c r="C120">
        <f>IF(COUNTIFS(Base!$B$3:$B$5001,C$95,Base!$A$3:$A$5001,"&gt;="&amp;$C$7,Base!$A$3:$A$5001,"&lt;="&amp;$D$7,Base!$Z$3:$Z$5001,"&lt;&gt;")=0,"",SUMIFS(Base!$Z$3:$Z$5001,Base!$B$3:$B$5001,C$95,Base!$A$3:$A$5001,_xlfn.MAXIFS(Base!$A$3:$A$5001,Base!$B$3:$B$5001,C$95,Base!$A$3:$A$5001,"&gt;="&amp;$C$7,Base!$A$3:$A$5001,"&lt;="&amp;$D$7,Base!$Z$3:$Z$5001,"&lt;&gt;")))</f>
        <v>5</v>
      </c>
      <c r="D120">
        <f>IF(COUNTIFS(Base!$B$3:$B$5001,D$95,Base!$A$3:$A$5001,"&gt;="&amp;$C$7,Base!$A$3:$A$5001,"&lt;="&amp;$D$7,Base!$Z$3:$Z$5001,"&lt;&gt;")=0,"",SUMIFS(Base!$Z$3:$Z$5001,Base!$B$3:$B$5001,D$95,Base!$A$3:$A$5001,_xlfn.MAXIFS(Base!$A$3:$A$5001,Base!$B$3:$B$5001,D$95,Base!$A$3:$A$5001,"&gt;="&amp;$C$7,Base!$A$3:$A$5001,"&lt;="&amp;$D$7,Base!$Z$3:$Z$5001,"&lt;&gt;")))</f>
        <v>9</v>
      </c>
      <c r="E120">
        <f>IF(COUNTIFS(Base!$B$3:$B$5001,E$95,Base!$A$3:$A$5001,"&gt;="&amp;$C$7,Base!$A$3:$A$5001,"&lt;="&amp;$D$7,Base!$Z$3:$Z$5001,"&lt;&gt;")=0,"",SUMIFS(Base!$Z$3:$Z$5001,Base!$B$3:$B$5001,E$95,Base!$A$3:$A$5001,_xlfn.MAXIFS(Base!$A$3:$A$5001,Base!$B$3:$B$5001,E$95,Base!$A$3:$A$5001,"&gt;="&amp;$C$7,Base!$A$3:$A$5001,"&lt;="&amp;$D$7,Base!$Z$3:$Z$5001,"&lt;&gt;")))</f>
        <v>11</v>
      </c>
      <c r="F120">
        <f>IF(COUNTIFS(Base!$B$3:$B$5001,F$95,Base!$A$3:$A$5001,"&gt;="&amp;$C$7,Base!$A$3:$A$5001,"&lt;="&amp;$D$7,Base!$Z$3:$Z$5001,"&lt;&gt;")=0,"",SUMIFS(Base!$Z$3:$Z$5001,Base!$B$3:$B$5001,F$95,Base!$A$3:$A$5001,_xlfn.MAXIFS(Base!$A$3:$A$5001,Base!$B$3:$B$5001,F$95,Base!$A$3:$A$5001,"&gt;="&amp;$C$7,Base!$A$3:$A$5001,"&lt;="&amp;$D$7,Base!$Z$3:$Z$5001,"&lt;&gt;")))</f>
        <v>6</v>
      </c>
      <c r="G120">
        <f>IF(COUNTIFS(Base!$B$3:$B$5001,G$95,Base!$A$3:$A$5001,"&gt;="&amp;$C$7,Base!$A$3:$A$5001,"&lt;="&amp;$D$7,Base!$Z$3:$Z$5001,"&lt;&gt;")=0,"",SUMIFS(Base!$Z$3:$Z$5001,Base!$B$3:$B$5001,G$95,Base!$A$3:$A$5001,_xlfn.MAXIFS(Base!$A$3:$A$5001,Base!$B$3:$B$5001,G$95,Base!$A$3:$A$5001,"&gt;="&amp;$C$7,Base!$A$3:$A$5001,"&lt;="&amp;$D$7,Base!$Z$3:$Z$5001,"&lt;&gt;")))</f>
        <v>6</v>
      </c>
      <c r="H120">
        <f>IF(COUNTIFS(Base!$B$3:$B$5001,H$95,Base!$A$3:$A$5001,"&gt;="&amp;$C$7,Base!$A$3:$A$5001,"&lt;="&amp;$D$7,Base!$Z$3:$Z$5001,"&lt;&gt;")=0,"",SUMIFS(Base!$Z$3:$Z$5001,Base!$B$3:$B$5001,H$95,Base!$A$3:$A$5001,_xlfn.MAXIFS(Base!$A$3:$A$5001,Base!$B$3:$B$5001,H$95,Base!$A$3:$A$5001,"&gt;="&amp;$C$7,Base!$A$3:$A$5001,"&lt;="&amp;$D$7,Base!$Z$3:$Z$5001,"&lt;&gt;")))</f>
        <v>7</v>
      </c>
      <c r="I120">
        <f>IF(COUNTIFS(Base!$B$3:$B$5001,I$95,Base!$A$3:$A$5001,"&gt;="&amp;$C$7,Base!$A$3:$A$5001,"&lt;="&amp;$D$7,Base!$Z$3:$Z$5001,"&lt;&gt;")=0,"",SUMIFS(Base!$Z$3:$Z$5001,Base!$B$3:$B$5001,I$95,Base!$A$3:$A$5001,_xlfn.MAXIFS(Base!$A$3:$A$5001,Base!$B$3:$B$5001,I$95,Base!$A$3:$A$5001,"&gt;="&amp;$C$7,Base!$A$3:$A$5001,"&lt;="&amp;$D$7,Base!$Z$3:$Z$5001,"&lt;&gt;")))</f>
        <v>5</v>
      </c>
      <c r="J120">
        <f>IF(COUNTIFS(Base!$B$3:$B$5001,J$95,Base!$A$3:$A$5001,"&gt;="&amp;$C$7,Base!$A$3:$A$5001,"&lt;="&amp;$D$7,Base!$Z$3:$Z$5001,"&lt;&gt;")=0,"",SUMIFS(Base!$Z$3:$Z$5001,Base!$B$3:$B$5001,J$95,Base!$A$3:$A$5001,_xlfn.MAXIFS(Base!$A$3:$A$5001,Base!$B$3:$B$5001,J$95,Base!$A$3:$A$5001,"&gt;="&amp;$C$7,Base!$A$3:$A$5001,"&lt;="&amp;$D$7,Base!$Z$3:$Z$5001,"&lt;&gt;")))</f>
        <v>14</v>
      </c>
      <c r="K120">
        <f>IF(COUNT(B120:J120)=0,"",SUM(B120:J120))</f>
        <v>69</v>
      </c>
    </row>
    <row r="121">
      <c r="A121" t="inlineStr">
        <is>
          <t xml:space="preserve">Falta</t>
        </is>
      </c>
      <c r="B121">
        <f>SUMIFS(Base!$AA$3:$AA$5001,Base!$B$3:$B$5001,B$95,Base!$A$3:$A$5001,"&gt;="&amp;$C$7,Base!$A$3:$A$5001,"&lt;="&amp;$D$7)</f>
        <v>2</v>
      </c>
      <c r="C121">
        <f>SUMIFS(Base!$AA$3:$AA$5001,Base!$B$3:$B$5001,C$95,Base!$A$3:$A$5001,"&gt;="&amp;$C$7,Base!$A$3:$A$5001,"&lt;="&amp;$D$7)</f>
        <v>5</v>
      </c>
      <c r="D121">
        <f>SUMIFS(Base!$AA$3:$AA$5001,Base!$B$3:$B$5001,D$95,Base!$A$3:$A$5001,"&gt;="&amp;$C$7,Base!$A$3:$A$5001,"&lt;="&amp;$D$7)</f>
        <v>9</v>
      </c>
      <c r="E121">
        <f>SUMIFS(Base!$AA$3:$AA$5001,Base!$B$3:$B$5001,E$95,Base!$A$3:$A$5001,"&gt;="&amp;$C$7,Base!$A$3:$A$5001,"&lt;="&amp;$D$7)</f>
        <v>2</v>
      </c>
      <c r="F121">
        <f>SUMIFS(Base!$AA$3:$AA$5001,Base!$B$3:$B$5001,F$95,Base!$A$3:$A$5001,"&gt;="&amp;$C$7,Base!$A$3:$A$5001,"&lt;="&amp;$D$7)</f>
        <v>4</v>
      </c>
      <c r="G121">
        <f>SUMIFS(Base!$AA$3:$AA$5001,Base!$B$3:$B$5001,G$95,Base!$A$3:$A$5001,"&gt;="&amp;$C$7,Base!$A$3:$A$5001,"&lt;="&amp;$D$7)</f>
        <v>5</v>
      </c>
      <c r="H121">
        <f>SUMIFS(Base!$AA$3:$AA$5001,Base!$B$3:$B$5001,H$95,Base!$A$3:$A$5001,"&gt;="&amp;$C$7,Base!$A$3:$A$5001,"&lt;="&amp;$D$7)</f>
        <v>7</v>
      </c>
      <c r="I121">
        <f>SUMIFS(Base!$AA$3:$AA$5001,Base!$B$3:$B$5001,I$95,Base!$A$3:$A$5001,"&gt;="&amp;$C$7,Base!$A$3:$A$5001,"&lt;="&amp;$D$7)</f>
        <v>5</v>
      </c>
      <c r="J121">
        <f>SUMIFS(Base!$AA$3:$AA$5001,Base!$B$3:$B$5001,J$95,Base!$A$3:$A$5001,"&gt;="&amp;$C$7,Base!$A$3:$A$5001,"&lt;="&amp;$D$7)</f>
        <v>3</v>
      </c>
      <c r="K121">
        <f>SUM(B121:J121)</f>
        <v>42</v>
      </c>
    </row>
    <row r="122">
      <c r="A122" t="inlineStr">
        <is>
          <t xml:space="preserve">Folga</t>
        </is>
      </c>
      <c r="B122">
        <f>SUMIFS(Base!$AB$3:$AB$5001,Base!$B$3:$B$5001,B$95,Base!$A$3:$A$5001,"&gt;="&amp;$C$7,Base!$A$3:$A$5001,"&lt;="&amp;$D$7)</f>
        <v>1</v>
      </c>
      <c r="C122">
        <f>SUMIFS(Base!$AB$3:$AB$5001,Base!$B$3:$B$5001,C$95,Base!$A$3:$A$5001,"&gt;="&amp;$C$7,Base!$A$3:$A$5001,"&lt;="&amp;$D$7)</f>
        <v>2</v>
      </c>
      <c r="D122">
        <f>SUMIFS(Base!$AB$3:$AB$5001,Base!$B$3:$B$5001,D$95,Base!$A$3:$A$5001,"&gt;="&amp;$C$7,Base!$A$3:$A$5001,"&lt;="&amp;$D$7)</f>
        <v>2</v>
      </c>
      <c r="E122">
        <f>SUMIFS(Base!$AB$3:$AB$5001,Base!$B$3:$B$5001,E$95,Base!$A$3:$A$5001,"&gt;="&amp;$C$7,Base!$A$3:$A$5001,"&lt;="&amp;$D$7)</f>
        <v>1</v>
      </c>
      <c r="F122">
        <f>SUMIFS(Base!$AB$3:$AB$5001,Base!$B$3:$B$5001,F$95,Base!$A$3:$A$5001,"&gt;="&amp;$C$7,Base!$A$3:$A$5001,"&lt;="&amp;$D$7)</f>
        <v>2</v>
      </c>
      <c r="G122">
        <f>SUMIFS(Base!$AB$3:$AB$5001,Base!$B$3:$B$5001,G$95,Base!$A$3:$A$5001,"&gt;="&amp;$C$7,Base!$A$3:$A$5001,"&lt;="&amp;$D$7)</f>
        <v>4</v>
      </c>
      <c r="H122">
        <f>SUMIFS(Base!$AB$3:$AB$5001,Base!$B$3:$B$5001,H$95,Base!$A$3:$A$5001,"&gt;="&amp;$C$7,Base!$A$3:$A$5001,"&lt;="&amp;$D$7)</f>
        <v>3</v>
      </c>
      <c r="I122">
        <f>SUMIFS(Base!$AB$3:$AB$5001,Base!$B$3:$B$5001,I$95,Base!$A$3:$A$5001,"&gt;="&amp;$C$7,Base!$A$3:$A$5001,"&lt;="&amp;$D$7)</f>
        <v>4</v>
      </c>
      <c r="J122">
        <f>SUMIFS(Base!$AB$3:$AB$5001,Base!$B$3:$B$5001,J$95,Base!$A$3:$A$5001,"&gt;="&amp;$C$7,Base!$A$3:$A$5001,"&lt;="&amp;$D$7)</f>
        <v>1</v>
      </c>
      <c r="K122">
        <f>SUM(B122:J122)</f>
        <v>20</v>
      </c>
    </row>
    <row r="123">
      <c r="A123" t="inlineStr">
        <is>
          <t xml:space="preserve">Férias</t>
        </is>
      </c>
      <c r="B123">
        <f>SUMIFS(Base!$AC$3:$AC$5001,Base!$B$3:$B$5001,B$95,Base!$A$3:$A$5001,"&gt;="&amp;$C$7,Base!$A$3:$A$5001,"&lt;="&amp;$D$7)</f>
        <v>2</v>
      </c>
      <c r="C123">
        <f>SUMIFS(Base!$AC$3:$AC$5001,Base!$B$3:$B$5001,C$95,Base!$A$3:$A$5001,"&gt;="&amp;$C$7,Base!$A$3:$A$5001,"&lt;="&amp;$D$7)</f>
        <v>1</v>
      </c>
      <c r="D123">
        <f>SUMIFS(Base!$AC$3:$AC$5001,Base!$B$3:$B$5001,D$95,Base!$A$3:$A$5001,"&gt;="&amp;$C$7,Base!$A$3:$A$5001,"&lt;="&amp;$D$7)</f>
        <v>0</v>
      </c>
      <c r="E123">
        <f>SUMIFS(Base!$AC$3:$AC$5001,Base!$B$3:$B$5001,E$95,Base!$A$3:$A$5001,"&gt;="&amp;$C$7,Base!$A$3:$A$5001,"&lt;="&amp;$D$7)</f>
        <v>4</v>
      </c>
      <c r="F123">
        <f>SUMIFS(Base!$AC$3:$AC$5001,Base!$B$3:$B$5001,F$95,Base!$A$3:$A$5001,"&gt;="&amp;$C$7,Base!$A$3:$A$5001,"&lt;="&amp;$D$7)</f>
        <v>1</v>
      </c>
      <c r="G123">
        <f>SUMIFS(Base!$AC$3:$AC$5001,Base!$B$3:$B$5001,G$95,Base!$A$3:$A$5001,"&gt;="&amp;$C$7,Base!$A$3:$A$5001,"&lt;="&amp;$D$7)</f>
        <v>0</v>
      </c>
      <c r="H123">
        <f>SUMIFS(Base!$AC$3:$AC$5001,Base!$B$3:$B$5001,H$95,Base!$A$3:$A$5001,"&gt;="&amp;$C$7,Base!$A$3:$A$5001,"&lt;="&amp;$D$7)</f>
        <v>2</v>
      </c>
      <c r="I123">
        <f>SUMIFS(Base!$AC$3:$AC$5001,Base!$B$3:$B$5001,I$95,Base!$A$3:$A$5001,"&gt;="&amp;$C$7,Base!$A$3:$A$5001,"&lt;="&amp;$D$7)</f>
        <v>1</v>
      </c>
      <c r="J123">
        <f>SUMIFS(Base!$AC$3:$AC$5001,Base!$B$3:$B$5001,J$95,Base!$A$3:$A$5001,"&gt;="&amp;$C$7,Base!$A$3:$A$5001,"&lt;="&amp;$D$7)</f>
        <v>1</v>
      </c>
      <c r="K123">
        <f>SUM(B123:J123)</f>
        <v>12</v>
      </c>
    </row>
    <row r="124">
      <c r="A124" t="inlineStr">
        <is>
          <t xml:space="preserve">Desligamentos</t>
        </is>
      </c>
      <c r="B124">
        <f>SUMIFS(Base!$AD$3:$AD$5001,Base!$B$3:$B$5001,B$95,Base!$A$3:$A$5001,"&gt;="&amp;$C$7,Base!$A$3:$A$5001,"&lt;="&amp;$D$7)</f>
        <v>0</v>
      </c>
      <c r="C124">
        <f>SUMIFS(Base!$AD$3:$AD$5001,Base!$B$3:$B$5001,C$95,Base!$A$3:$A$5001,"&gt;="&amp;$C$7,Base!$A$3:$A$5001,"&lt;="&amp;$D$7)</f>
        <v>0</v>
      </c>
      <c r="D124">
        <f>SUMIFS(Base!$AD$3:$AD$5001,Base!$B$3:$B$5001,D$95,Base!$A$3:$A$5001,"&gt;="&amp;$C$7,Base!$A$3:$A$5001,"&lt;="&amp;$D$7)</f>
        <v>0</v>
      </c>
      <c r="E124">
        <f>SUMIFS(Base!$AD$3:$AD$5001,Base!$B$3:$B$5001,E$95,Base!$A$3:$A$5001,"&gt;="&amp;$C$7,Base!$A$3:$A$5001,"&lt;="&amp;$D$7)</f>
        <v>0</v>
      </c>
      <c r="F124">
        <f>SUMIFS(Base!$AD$3:$AD$5001,Base!$B$3:$B$5001,F$95,Base!$A$3:$A$5001,"&gt;="&amp;$C$7,Base!$A$3:$A$5001,"&lt;="&amp;$D$7)</f>
        <v>1</v>
      </c>
      <c r="G124">
        <f>SUMIFS(Base!$AD$3:$AD$5001,Base!$B$3:$B$5001,G$95,Base!$A$3:$A$5001,"&gt;="&amp;$C$7,Base!$A$3:$A$5001,"&lt;="&amp;$D$7)</f>
        <v>0</v>
      </c>
      <c r="H124">
        <f>SUMIFS(Base!$AD$3:$AD$5001,Base!$B$3:$B$5001,H$95,Base!$A$3:$A$5001,"&gt;="&amp;$C$7,Base!$A$3:$A$5001,"&lt;="&amp;$D$7)</f>
        <v>1</v>
      </c>
      <c r="I124">
        <f>SUMIFS(Base!$AD$3:$AD$5001,Base!$B$3:$B$5001,I$95,Base!$A$3:$A$5001,"&gt;="&amp;$C$7,Base!$A$3:$A$5001,"&lt;="&amp;$D$7)</f>
        <v>0</v>
      </c>
      <c r="J124">
        <f>SUMIFS(Base!$AD$3:$AD$5001,Base!$B$3:$B$5001,J$95,Base!$A$3:$A$5001,"&gt;="&amp;$C$7,Base!$A$3:$A$5001,"&lt;="&amp;$D$7)</f>
        <v>0</v>
      </c>
      <c r="K124">
        <f>SUM(B124:J124)</f>
        <v>2</v>
      </c>
    </row>
    <row r="126">
      <c r="A126" t="inlineStr">
        <is>
          <t xml:space="preserve">ESTOQUES POR CLIENTE — último valor informado até cada dia (base de Backlog, Posições e Efetivo)</t>
        </is>
      </c>
    </row>
    <row r="127">
      <c r="A127" s="145" t="inlineStr">
        <is>
          <t xml:space="preserve">Backlog</t>
        </is>
      </c>
      <c r="B127" s="145" t="inlineStr">
        <is>
          <t xml:space="preserve">Data</t>
        </is>
      </c>
      <c r="C127" s="145" t="inlineStr">
        <is>
          <t xml:space="preserve">BASF</t>
        </is>
      </c>
      <c r="D127" s="145" t="inlineStr">
        <is>
          <t xml:space="preserve">BEAUTYBIZ</t>
        </is>
      </c>
      <c r="E127" s="145" t="inlineStr">
        <is>
          <t xml:space="preserve">BOTICÁRIO</t>
        </is>
      </c>
      <c r="F127" s="145" t="inlineStr">
        <is>
          <t xml:space="preserve">SUPPLY</t>
        </is>
      </c>
      <c r="G127" s="145" t="inlineStr">
        <is>
          <t xml:space="preserve">GE VERNOVA</t>
        </is>
      </c>
      <c r="H127" s="145" t="inlineStr">
        <is>
          <t xml:space="preserve">VESTAS</t>
        </is>
      </c>
      <c r="I127" s="145" t="inlineStr">
        <is>
          <t xml:space="preserve">VEDACIT</t>
        </is>
      </c>
      <c r="J127" s="145" t="inlineStr">
        <is>
          <t xml:space="preserve">OMNLIFE</t>
        </is>
      </c>
      <c r="K127" s="145" t="inlineStr">
        <is>
          <t xml:space="preserve">ALPARGATAS</t>
        </is>
      </c>
    </row>
    <row r="128">
      <c r="A128">
        <v>1</v>
      </c>
      <c r="B128" s="152">
        <f>$B$12</f>
        <v>46266</v>
      </c>
      <c r="C128">
        <f>IF($A128&gt;$B$9,"",IF(COUNTIFS(Base!$B$3:$B$5001,C$127,Base!$A$3:$A$5001,"&gt;="&amp;$C$7,Base!$A$3:$A$5001,"&lt;="&amp;$B128,Base!$W$3:$W$5001,"&lt;&gt;")=0,"",SUMIFS(Base!$W$3:$W$5001,Base!$B$3:$B$5001,C$127,Base!$A$3:$A$5001,_xlfn.MAXIFS(Base!$A$3:$A$5001,Base!$B$3:$B$5001,C$127,Base!$A$3:$A$5001,"&gt;="&amp;$C$7,Base!$A$3:$A$5001,"&lt;="&amp;$B128,Base!$W$3:$W$5001,"&lt;&gt;"))))</f>
        <v>3</v>
      </c>
      <c r="D128" t="str">
        <f>IF($A128&gt;$B$9,"",IF(COUNTIFS(Base!$B$3:$B$5001,D$127,Base!$A$3:$A$5001,"&gt;="&amp;$C$7,Base!$A$3:$A$5001,"&lt;="&amp;$B128,Base!$W$3:$W$5001,"&lt;&gt;")=0,"",SUMIFS(Base!$W$3:$W$5001,Base!$B$3:$B$5001,D$127,Base!$A$3:$A$5001,_xlfn.MAXIFS(Base!$A$3:$A$5001,Base!$B$3:$B$5001,D$127,Base!$A$3:$A$5001,"&gt;="&amp;$C$7,Base!$A$3:$A$5001,"&lt;="&amp;$B128,Base!$W$3:$W$5001,"&lt;&gt;"))))</f>
        <v/>
      </c>
      <c r="E128" t="str">
        <f>IF($A128&gt;$B$9,"",IF(COUNTIFS(Base!$B$3:$B$5001,E$127,Base!$A$3:$A$5001,"&gt;="&amp;$C$7,Base!$A$3:$A$5001,"&lt;="&amp;$B128,Base!$W$3:$W$5001,"&lt;&gt;")=0,"",SUMIFS(Base!$W$3:$W$5001,Base!$B$3:$B$5001,E$127,Base!$A$3:$A$5001,_xlfn.MAXIFS(Base!$A$3:$A$5001,Base!$B$3:$B$5001,E$127,Base!$A$3:$A$5001,"&gt;="&amp;$C$7,Base!$A$3:$A$5001,"&lt;="&amp;$B128,Base!$W$3:$W$5001,"&lt;&gt;"))))</f>
        <v/>
      </c>
      <c r="F128">
        <f>IF($A128&gt;$B$9,"",IF(COUNTIFS(Base!$B$3:$B$5001,F$127,Base!$A$3:$A$5001,"&gt;="&amp;$C$7,Base!$A$3:$A$5001,"&lt;="&amp;$B128,Base!$W$3:$W$5001,"&lt;&gt;")=0,"",SUMIFS(Base!$W$3:$W$5001,Base!$B$3:$B$5001,F$127,Base!$A$3:$A$5001,_xlfn.MAXIFS(Base!$A$3:$A$5001,Base!$B$3:$B$5001,F$127,Base!$A$3:$A$5001,"&gt;="&amp;$C$7,Base!$A$3:$A$5001,"&lt;="&amp;$B128,Base!$W$3:$W$5001,"&lt;&gt;"))))</f>
        <v>6</v>
      </c>
      <c r="G128" t="str">
        <f>IF($A128&gt;$B$9,"",IF(COUNTIFS(Base!$B$3:$B$5001,G$127,Base!$A$3:$A$5001,"&gt;="&amp;$C$7,Base!$A$3:$A$5001,"&lt;="&amp;$B128,Base!$W$3:$W$5001,"&lt;&gt;")=0,"",SUMIFS(Base!$W$3:$W$5001,Base!$B$3:$B$5001,G$127,Base!$A$3:$A$5001,_xlfn.MAXIFS(Base!$A$3:$A$5001,Base!$B$3:$B$5001,G$127,Base!$A$3:$A$5001,"&gt;="&amp;$C$7,Base!$A$3:$A$5001,"&lt;="&amp;$B128,Base!$W$3:$W$5001,"&lt;&gt;"))))</f>
        <v/>
      </c>
      <c r="H128" t="str">
        <f>IF($A128&gt;$B$9,"",IF(COUNTIFS(Base!$B$3:$B$5001,H$127,Base!$A$3:$A$5001,"&gt;="&amp;$C$7,Base!$A$3:$A$5001,"&lt;="&amp;$B128,Base!$W$3:$W$5001,"&lt;&gt;")=0,"",SUMIFS(Base!$W$3:$W$5001,Base!$B$3:$B$5001,H$127,Base!$A$3:$A$5001,_xlfn.MAXIFS(Base!$A$3:$A$5001,Base!$B$3:$B$5001,H$127,Base!$A$3:$A$5001,"&gt;="&amp;$C$7,Base!$A$3:$A$5001,"&lt;="&amp;$B128,Base!$W$3:$W$5001,"&lt;&gt;"))))</f>
        <v/>
      </c>
      <c r="I128" t="str">
        <f>IF($A128&gt;$B$9,"",IF(COUNTIFS(Base!$B$3:$B$5001,I$127,Base!$A$3:$A$5001,"&gt;="&amp;$C$7,Base!$A$3:$A$5001,"&lt;="&amp;$B128,Base!$W$3:$W$5001,"&lt;&gt;")=0,"",SUMIFS(Base!$W$3:$W$5001,Base!$B$3:$B$5001,I$127,Base!$A$3:$A$5001,_xlfn.MAXIFS(Base!$A$3:$A$5001,Base!$B$3:$B$5001,I$127,Base!$A$3:$A$5001,"&gt;="&amp;$C$7,Base!$A$3:$A$5001,"&lt;="&amp;$B128,Base!$W$3:$W$5001,"&lt;&gt;"))))</f>
        <v/>
      </c>
      <c r="J128" t="str">
        <f>IF($A128&gt;$B$9,"",IF(COUNTIFS(Base!$B$3:$B$5001,J$127,Base!$A$3:$A$5001,"&gt;="&amp;$C$7,Base!$A$3:$A$5001,"&lt;="&amp;$B128,Base!$W$3:$W$5001,"&lt;&gt;")=0,"",SUMIFS(Base!$W$3:$W$5001,Base!$B$3:$B$5001,J$127,Base!$A$3:$A$5001,_xlfn.MAXIFS(Base!$A$3:$A$5001,Base!$B$3:$B$5001,J$127,Base!$A$3:$A$5001,"&gt;="&amp;$C$7,Base!$A$3:$A$5001,"&lt;="&amp;$B128,Base!$W$3:$W$5001,"&lt;&gt;"))))</f>
        <v/>
      </c>
      <c r="K128">
        <f>IF($A128&gt;$B$9,"",IF(COUNTIFS(Base!$B$3:$B$5001,K$127,Base!$A$3:$A$5001,"&gt;="&amp;$C$7,Base!$A$3:$A$5001,"&lt;="&amp;$B128,Base!$W$3:$W$5001,"&lt;&gt;")=0,"",SUMIFS(Base!$W$3:$W$5001,Base!$B$3:$B$5001,K$127,Base!$A$3:$A$5001,_xlfn.MAXIFS(Base!$A$3:$A$5001,Base!$B$3:$B$5001,K$127,Base!$A$3:$A$5001,"&gt;="&amp;$C$7,Base!$A$3:$A$5001,"&lt;="&amp;$B128,Base!$W$3:$W$5001,"&lt;&gt;"))))</f>
        <v>12</v>
      </c>
    </row>
    <row r="129">
      <c r="A129">
        <v>2</v>
      </c>
      <c r="B129" s="152">
        <f>$B$13</f>
        <v>46267</v>
      </c>
      <c r="C129">
        <f>IF($A129&gt;$B$9,"",IF(COUNTIFS(Base!$B$3:$B$5001,C$127,Base!$A$3:$A$5001,"&gt;="&amp;$C$7,Base!$A$3:$A$5001,"&lt;="&amp;$B129,Base!$W$3:$W$5001,"&lt;&gt;")=0,"",SUMIFS(Base!$W$3:$W$5001,Base!$B$3:$B$5001,C$127,Base!$A$3:$A$5001,_xlfn.MAXIFS(Base!$A$3:$A$5001,Base!$B$3:$B$5001,C$127,Base!$A$3:$A$5001,"&gt;="&amp;$C$7,Base!$A$3:$A$5001,"&lt;="&amp;$B129,Base!$W$3:$W$5001,"&lt;&gt;"))))</f>
        <v>3</v>
      </c>
      <c r="D129" t="str">
        <f>IF($A129&gt;$B$9,"",IF(COUNTIFS(Base!$B$3:$B$5001,D$127,Base!$A$3:$A$5001,"&gt;="&amp;$C$7,Base!$A$3:$A$5001,"&lt;="&amp;$B129,Base!$W$3:$W$5001,"&lt;&gt;")=0,"",SUMIFS(Base!$W$3:$W$5001,Base!$B$3:$B$5001,D$127,Base!$A$3:$A$5001,_xlfn.MAXIFS(Base!$A$3:$A$5001,Base!$B$3:$B$5001,D$127,Base!$A$3:$A$5001,"&gt;="&amp;$C$7,Base!$A$3:$A$5001,"&lt;="&amp;$B129,Base!$W$3:$W$5001,"&lt;&gt;"))))</f>
        <v/>
      </c>
      <c r="E129">
        <f>IF($A129&gt;$B$9,"",IF(COUNTIFS(Base!$B$3:$B$5001,E$127,Base!$A$3:$A$5001,"&gt;="&amp;$C$7,Base!$A$3:$A$5001,"&lt;="&amp;$B129,Base!$W$3:$W$5001,"&lt;&gt;")=0,"",SUMIFS(Base!$W$3:$W$5001,Base!$B$3:$B$5001,E$127,Base!$A$3:$A$5001,_xlfn.MAXIFS(Base!$A$3:$A$5001,Base!$B$3:$B$5001,E$127,Base!$A$3:$A$5001,"&gt;="&amp;$C$7,Base!$A$3:$A$5001,"&lt;="&amp;$B129,Base!$W$3:$W$5001,"&lt;&gt;"))))</f>
        <v>14</v>
      </c>
      <c r="F129">
        <f>IF($A129&gt;$B$9,"",IF(COUNTIFS(Base!$B$3:$B$5001,F$127,Base!$A$3:$A$5001,"&gt;="&amp;$C$7,Base!$A$3:$A$5001,"&lt;="&amp;$B129,Base!$W$3:$W$5001,"&lt;&gt;")=0,"",SUMIFS(Base!$W$3:$W$5001,Base!$B$3:$B$5001,F$127,Base!$A$3:$A$5001,_xlfn.MAXIFS(Base!$A$3:$A$5001,Base!$B$3:$B$5001,F$127,Base!$A$3:$A$5001,"&gt;="&amp;$C$7,Base!$A$3:$A$5001,"&lt;="&amp;$B129,Base!$W$3:$W$5001,"&lt;&gt;"))))</f>
        <v>6</v>
      </c>
      <c r="G129" t="str">
        <f>IF($A129&gt;$B$9,"",IF(COUNTIFS(Base!$B$3:$B$5001,G$127,Base!$A$3:$A$5001,"&gt;="&amp;$C$7,Base!$A$3:$A$5001,"&lt;="&amp;$B129,Base!$W$3:$W$5001,"&lt;&gt;")=0,"",SUMIFS(Base!$W$3:$W$5001,Base!$B$3:$B$5001,G$127,Base!$A$3:$A$5001,_xlfn.MAXIFS(Base!$A$3:$A$5001,Base!$B$3:$B$5001,G$127,Base!$A$3:$A$5001,"&gt;="&amp;$C$7,Base!$A$3:$A$5001,"&lt;="&amp;$B129,Base!$W$3:$W$5001,"&lt;&gt;"))))</f>
        <v/>
      </c>
      <c r="H129" t="str">
        <f>IF($A129&gt;$B$9,"",IF(COUNTIFS(Base!$B$3:$B$5001,H$127,Base!$A$3:$A$5001,"&gt;="&amp;$C$7,Base!$A$3:$A$5001,"&lt;="&amp;$B129,Base!$W$3:$W$5001,"&lt;&gt;")=0,"",SUMIFS(Base!$W$3:$W$5001,Base!$B$3:$B$5001,H$127,Base!$A$3:$A$5001,_xlfn.MAXIFS(Base!$A$3:$A$5001,Base!$B$3:$B$5001,H$127,Base!$A$3:$A$5001,"&gt;="&amp;$C$7,Base!$A$3:$A$5001,"&lt;="&amp;$B129,Base!$W$3:$W$5001,"&lt;&gt;"))))</f>
        <v/>
      </c>
      <c r="I129">
        <f>IF($A129&gt;$B$9,"",IF(COUNTIFS(Base!$B$3:$B$5001,I$127,Base!$A$3:$A$5001,"&gt;="&amp;$C$7,Base!$A$3:$A$5001,"&lt;="&amp;$B129,Base!$W$3:$W$5001,"&lt;&gt;")=0,"",SUMIFS(Base!$W$3:$W$5001,Base!$B$3:$B$5001,I$127,Base!$A$3:$A$5001,_xlfn.MAXIFS(Base!$A$3:$A$5001,Base!$B$3:$B$5001,I$127,Base!$A$3:$A$5001,"&gt;="&amp;$C$7,Base!$A$3:$A$5001,"&lt;="&amp;$B129,Base!$W$3:$W$5001,"&lt;&gt;"))))</f>
        <v>7</v>
      </c>
      <c r="J129">
        <f>IF($A129&gt;$B$9,"",IF(COUNTIFS(Base!$B$3:$B$5001,J$127,Base!$A$3:$A$5001,"&gt;="&amp;$C$7,Base!$A$3:$A$5001,"&lt;="&amp;$B129,Base!$W$3:$W$5001,"&lt;&gt;")=0,"",SUMIFS(Base!$W$3:$W$5001,Base!$B$3:$B$5001,J$127,Base!$A$3:$A$5001,_xlfn.MAXIFS(Base!$A$3:$A$5001,Base!$B$3:$B$5001,J$127,Base!$A$3:$A$5001,"&gt;="&amp;$C$7,Base!$A$3:$A$5001,"&lt;="&amp;$B129,Base!$W$3:$W$5001,"&lt;&gt;"))))</f>
        <v>1</v>
      </c>
      <c r="K129">
        <f>IF($A129&gt;$B$9,"",IF(COUNTIFS(Base!$B$3:$B$5001,K$127,Base!$A$3:$A$5001,"&gt;="&amp;$C$7,Base!$A$3:$A$5001,"&lt;="&amp;$B129,Base!$W$3:$W$5001,"&lt;&gt;")=0,"",SUMIFS(Base!$W$3:$W$5001,Base!$B$3:$B$5001,K$127,Base!$A$3:$A$5001,_xlfn.MAXIFS(Base!$A$3:$A$5001,Base!$B$3:$B$5001,K$127,Base!$A$3:$A$5001,"&gt;="&amp;$C$7,Base!$A$3:$A$5001,"&lt;="&amp;$B129,Base!$W$3:$W$5001,"&lt;&gt;"))))</f>
        <v>12</v>
      </c>
    </row>
    <row r="130">
      <c r="A130">
        <v>3</v>
      </c>
      <c r="B130" s="152">
        <f>$B$14</f>
        <v>46268</v>
      </c>
      <c r="C130">
        <f>IF($A130&gt;$B$9,"",IF(COUNTIFS(Base!$B$3:$B$5001,C$127,Base!$A$3:$A$5001,"&gt;="&amp;$C$7,Base!$A$3:$A$5001,"&lt;="&amp;$B130,Base!$W$3:$W$5001,"&lt;&gt;")=0,"",SUMIFS(Base!$W$3:$W$5001,Base!$B$3:$B$5001,C$127,Base!$A$3:$A$5001,_xlfn.MAXIFS(Base!$A$3:$A$5001,Base!$B$3:$B$5001,C$127,Base!$A$3:$A$5001,"&gt;="&amp;$C$7,Base!$A$3:$A$5001,"&lt;="&amp;$B130,Base!$W$3:$W$5001,"&lt;&gt;"))))</f>
        <v>1</v>
      </c>
      <c r="D130">
        <f>IF($A130&gt;$B$9,"",IF(COUNTIFS(Base!$B$3:$B$5001,D$127,Base!$A$3:$A$5001,"&gt;="&amp;$C$7,Base!$A$3:$A$5001,"&lt;="&amp;$B130,Base!$W$3:$W$5001,"&lt;&gt;")=0,"",SUMIFS(Base!$W$3:$W$5001,Base!$B$3:$B$5001,D$127,Base!$A$3:$A$5001,_xlfn.MAXIFS(Base!$A$3:$A$5001,Base!$B$3:$B$5001,D$127,Base!$A$3:$A$5001,"&gt;="&amp;$C$7,Base!$A$3:$A$5001,"&lt;="&amp;$B130,Base!$W$3:$W$5001,"&lt;&gt;"))))</f>
        <v>0</v>
      </c>
      <c r="E130">
        <f>IF($A130&gt;$B$9,"",IF(COUNTIFS(Base!$B$3:$B$5001,E$127,Base!$A$3:$A$5001,"&gt;="&amp;$C$7,Base!$A$3:$A$5001,"&lt;="&amp;$B130,Base!$W$3:$W$5001,"&lt;&gt;")=0,"",SUMIFS(Base!$W$3:$W$5001,Base!$B$3:$B$5001,E$127,Base!$A$3:$A$5001,_xlfn.MAXIFS(Base!$A$3:$A$5001,Base!$B$3:$B$5001,E$127,Base!$A$3:$A$5001,"&gt;="&amp;$C$7,Base!$A$3:$A$5001,"&lt;="&amp;$B130,Base!$W$3:$W$5001,"&lt;&gt;"))))</f>
        <v>14</v>
      </c>
      <c r="F130">
        <f>IF($A130&gt;$B$9,"",IF(COUNTIFS(Base!$B$3:$B$5001,F$127,Base!$A$3:$A$5001,"&gt;="&amp;$C$7,Base!$A$3:$A$5001,"&lt;="&amp;$B130,Base!$W$3:$W$5001,"&lt;&gt;")=0,"",SUMIFS(Base!$W$3:$W$5001,Base!$B$3:$B$5001,F$127,Base!$A$3:$A$5001,_xlfn.MAXIFS(Base!$A$3:$A$5001,Base!$B$3:$B$5001,F$127,Base!$A$3:$A$5001,"&gt;="&amp;$C$7,Base!$A$3:$A$5001,"&lt;="&amp;$B130,Base!$W$3:$W$5001,"&lt;&gt;"))))</f>
        <v>6</v>
      </c>
      <c r="G130" t="str">
        <f>IF($A130&gt;$B$9,"",IF(COUNTIFS(Base!$B$3:$B$5001,G$127,Base!$A$3:$A$5001,"&gt;="&amp;$C$7,Base!$A$3:$A$5001,"&lt;="&amp;$B130,Base!$W$3:$W$5001,"&lt;&gt;")=0,"",SUMIFS(Base!$W$3:$W$5001,Base!$B$3:$B$5001,G$127,Base!$A$3:$A$5001,_xlfn.MAXIFS(Base!$A$3:$A$5001,Base!$B$3:$B$5001,G$127,Base!$A$3:$A$5001,"&gt;="&amp;$C$7,Base!$A$3:$A$5001,"&lt;="&amp;$B130,Base!$W$3:$W$5001,"&lt;&gt;"))))</f>
        <v/>
      </c>
      <c r="H130" t="str">
        <f>IF($A130&gt;$B$9,"",IF(COUNTIFS(Base!$B$3:$B$5001,H$127,Base!$A$3:$A$5001,"&gt;="&amp;$C$7,Base!$A$3:$A$5001,"&lt;="&amp;$B130,Base!$W$3:$W$5001,"&lt;&gt;")=0,"",SUMIFS(Base!$W$3:$W$5001,Base!$B$3:$B$5001,H$127,Base!$A$3:$A$5001,_xlfn.MAXIFS(Base!$A$3:$A$5001,Base!$B$3:$B$5001,H$127,Base!$A$3:$A$5001,"&gt;="&amp;$C$7,Base!$A$3:$A$5001,"&lt;="&amp;$B130,Base!$W$3:$W$5001,"&lt;&gt;"))))</f>
        <v/>
      </c>
      <c r="I130">
        <f>IF($A130&gt;$B$9,"",IF(COUNTIFS(Base!$B$3:$B$5001,I$127,Base!$A$3:$A$5001,"&gt;="&amp;$C$7,Base!$A$3:$A$5001,"&lt;="&amp;$B130,Base!$W$3:$W$5001,"&lt;&gt;")=0,"",SUMIFS(Base!$W$3:$W$5001,Base!$B$3:$B$5001,I$127,Base!$A$3:$A$5001,_xlfn.MAXIFS(Base!$A$3:$A$5001,Base!$B$3:$B$5001,I$127,Base!$A$3:$A$5001,"&gt;="&amp;$C$7,Base!$A$3:$A$5001,"&lt;="&amp;$B130,Base!$W$3:$W$5001,"&lt;&gt;"))))</f>
        <v>7</v>
      </c>
      <c r="J130">
        <f>IF($A130&gt;$B$9,"",IF(COUNTIFS(Base!$B$3:$B$5001,J$127,Base!$A$3:$A$5001,"&gt;="&amp;$C$7,Base!$A$3:$A$5001,"&lt;="&amp;$B130,Base!$W$3:$W$5001,"&lt;&gt;")=0,"",SUMIFS(Base!$W$3:$W$5001,Base!$B$3:$B$5001,J$127,Base!$A$3:$A$5001,_xlfn.MAXIFS(Base!$A$3:$A$5001,Base!$B$3:$B$5001,J$127,Base!$A$3:$A$5001,"&gt;="&amp;$C$7,Base!$A$3:$A$5001,"&lt;="&amp;$B130,Base!$W$3:$W$5001,"&lt;&gt;"))))</f>
        <v>1</v>
      </c>
      <c r="K130">
        <f>IF($A130&gt;$B$9,"",IF(COUNTIFS(Base!$B$3:$B$5001,K$127,Base!$A$3:$A$5001,"&gt;="&amp;$C$7,Base!$A$3:$A$5001,"&lt;="&amp;$B130,Base!$W$3:$W$5001,"&lt;&gt;")=0,"",SUMIFS(Base!$W$3:$W$5001,Base!$B$3:$B$5001,K$127,Base!$A$3:$A$5001,_xlfn.MAXIFS(Base!$A$3:$A$5001,Base!$B$3:$B$5001,K$127,Base!$A$3:$A$5001,"&gt;="&amp;$C$7,Base!$A$3:$A$5001,"&lt;="&amp;$B130,Base!$W$3:$W$5001,"&lt;&gt;"))))</f>
        <v>12</v>
      </c>
    </row>
    <row r="131">
      <c r="A131">
        <v>4</v>
      </c>
      <c r="B131" s="152">
        <f>$B$15</f>
        <v>46269</v>
      </c>
      <c r="C131">
        <f>IF($A131&gt;$B$9,"",IF(COUNTIFS(Base!$B$3:$B$5001,C$127,Base!$A$3:$A$5001,"&gt;="&amp;$C$7,Base!$A$3:$A$5001,"&lt;="&amp;$B131,Base!$W$3:$W$5001,"&lt;&gt;")=0,"",SUMIFS(Base!$W$3:$W$5001,Base!$B$3:$B$5001,C$127,Base!$A$3:$A$5001,_xlfn.MAXIFS(Base!$A$3:$A$5001,Base!$B$3:$B$5001,C$127,Base!$A$3:$A$5001,"&gt;="&amp;$C$7,Base!$A$3:$A$5001,"&lt;="&amp;$B131,Base!$W$3:$W$5001,"&lt;&gt;"))))</f>
        <v>1</v>
      </c>
      <c r="D131">
        <f>IF($A131&gt;$B$9,"",IF(COUNTIFS(Base!$B$3:$B$5001,D$127,Base!$A$3:$A$5001,"&gt;="&amp;$C$7,Base!$A$3:$A$5001,"&lt;="&amp;$B131,Base!$W$3:$W$5001,"&lt;&gt;")=0,"",SUMIFS(Base!$W$3:$W$5001,Base!$B$3:$B$5001,D$127,Base!$A$3:$A$5001,_xlfn.MAXIFS(Base!$A$3:$A$5001,Base!$B$3:$B$5001,D$127,Base!$A$3:$A$5001,"&gt;="&amp;$C$7,Base!$A$3:$A$5001,"&lt;="&amp;$B131,Base!$W$3:$W$5001,"&lt;&gt;"))))</f>
        <v>0</v>
      </c>
      <c r="E131">
        <f>IF($A131&gt;$B$9,"",IF(COUNTIFS(Base!$B$3:$B$5001,E$127,Base!$A$3:$A$5001,"&gt;="&amp;$C$7,Base!$A$3:$A$5001,"&lt;="&amp;$B131,Base!$W$3:$W$5001,"&lt;&gt;")=0,"",SUMIFS(Base!$W$3:$W$5001,Base!$B$3:$B$5001,E$127,Base!$A$3:$A$5001,_xlfn.MAXIFS(Base!$A$3:$A$5001,Base!$B$3:$B$5001,E$127,Base!$A$3:$A$5001,"&gt;="&amp;$C$7,Base!$A$3:$A$5001,"&lt;="&amp;$B131,Base!$W$3:$W$5001,"&lt;&gt;"))))</f>
        <v>14</v>
      </c>
      <c r="F131">
        <f>IF($A131&gt;$B$9,"",IF(COUNTIFS(Base!$B$3:$B$5001,F$127,Base!$A$3:$A$5001,"&gt;="&amp;$C$7,Base!$A$3:$A$5001,"&lt;="&amp;$B131,Base!$W$3:$W$5001,"&lt;&gt;")=0,"",SUMIFS(Base!$W$3:$W$5001,Base!$B$3:$B$5001,F$127,Base!$A$3:$A$5001,_xlfn.MAXIFS(Base!$A$3:$A$5001,Base!$B$3:$B$5001,F$127,Base!$A$3:$A$5001,"&gt;="&amp;$C$7,Base!$A$3:$A$5001,"&lt;="&amp;$B131,Base!$W$3:$W$5001,"&lt;&gt;"))))</f>
        <v>6</v>
      </c>
      <c r="G131" t="str">
        <f>IF($A131&gt;$B$9,"",IF(COUNTIFS(Base!$B$3:$B$5001,G$127,Base!$A$3:$A$5001,"&gt;="&amp;$C$7,Base!$A$3:$A$5001,"&lt;="&amp;$B131,Base!$W$3:$W$5001,"&lt;&gt;")=0,"",SUMIFS(Base!$W$3:$W$5001,Base!$B$3:$B$5001,G$127,Base!$A$3:$A$5001,_xlfn.MAXIFS(Base!$A$3:$A$5001,Base!$B$3:$B$5001,G$127,Base!$A$3:$A$5001,"&gt;="&amp;$C$7,Base!$A$3:$A$5001,"&lt;="&amp;$B131,Base!$W$3:$W$5001,"&lt;&gt;"))))</f>
        <v/>
      </c>
      <c r="H131">
        <f>IF($A131&gt;$B$9,"",IF(COUNTIFS(Base!$B$3:$B$5001,H$127,Base!$A$3:$A$5001,"&gt;="&amp;$C$7,Base!$A$3:$A$5001,"&lt;="&amp;$B131,Base!$W$3:$W$5001,"&lt;&gt;")=0,"",SUMIFS(Base!$W$3:$W$5001,Base!$B$3:$B$5001,H$127,Base!$A$3:$A$5001,_xlfn.MAXIFS(Base!$A$3:$A$5001,Base!$B$3:$B$5001,H$127,Base!$A$3:$A$5001,"&gt;="&amp;$C$7,Base!$A$3:$A$5001,"&lt;="&amp;$B131,Base!$W$3:$W$5001,"&lt;&gt;"))))</f>
        <v>6</v>
      </c>
      <c r="I131">
        <f>IF($A131&gt;$B$9,"",IF(COUNTIFS(Base!$B$3:$B$5001,I$127,Base!$A$3:$A$5001,"&gt;="&amp;$C$7,Base!$A$3:$A$5001,"&lt;="&amp;$B131,Base!$W$3:$W$5001,"&lt;&gt;")=0,"",SUMIFS(Base!$W$3:$W$5001,Base!$B$3:$B$5001,I$127,Base!$A$3:$A$5001,_xlfn.MAXIFS(Base!$A$3:$A$5001,Base!$B$3:$B$5001,I$127,Base!$A$3:$A$5001,"&gt;="&amp;$C$7,Base!$A$3:$A$5001,"&lt;="&amp;$B131,Base!$W$3:$W$5001,"&lt;&gt;"))))</f>
        <v>7</v>
      </c>
      <c r="J131">
        <f>IF($A131&gt;$B$9,"",IF(COUNTIFS(Base!$B$3:$B$5001,J$127,Base!$A$3:$A$5001,"&gt;="&amp;$C$7,Base!$A$3:$A$5001,"&lt;="&amp;$B131,Base!$W$3:$W$5001,"&lt;&gt;")=0,"",SUMIFS(Base!$W$3:$W$5001,Base!$B$3:$B$5001,J$127,Base!$A$3:$A$5001,_xlfn.MAXIFS(Base!$A$3:$A$5001,Base!$B$3:$B$5001,J$127,Base!$A$3:$A$5001,"&gt;="&amp;$C$7,Base!$A$3:$A$5001,"&lt;="&amp;$B131,Base!$W$3:$W$5001,"&lt;&gt;"))))</f>
        <v>1</v>
      </c>
      <c r="K131">
        <f>IF($A131&gt;$B$9,"",IF(COUNTIFS(Base!$B$3:$B$5001,K$127,Base!$A$3:$A$5001,"&gt;="&amp;$C$7,Base!$A$3:$A$5001,"&lt;="&amp;$B131,Base!$W$3:$W$5001,"&lt;&gt;")=0,"",SUMIFS(Base!$W$3:$W$5001,Base!$B$3:$B$5001,K$127,Base!$A$3:$A$5001,_xlfn.MAXIFS(Base!$A$3:$A$5001,Base!$B$3:$B$5001,K$127,Base!$A$3:$A$5001,"&gt;="&amp;$C$7,Base!$A$3:$A$5001,"&lt;="&amp;$B131,Base!$W$3:$W$5001,"&lt;&gt;"))))</f>
        <v>12</v>
      </c>
    </row>
    <row r="132">
      <c r="A132">
        <v>5</v>
      </c>
      <c r="B132" s="152">
        <f>$B$16</f>
        <v>46270</v>
      </c>
      <c r="C132">
        <f>IF($A132&gt;$B$9,"",IF(COUNTIFS(Base!$B$3:$B$5001,C$127,Base!$A$3:$A$5001,"&gt;="&amp;$C$7,Base!$A$3:$A$5001,"&lt;="&amp;$B132,Base!$W$3:$W$5001,"&lt;&gt;")=0,"",SUMIFS(Base!$W$3:$W$5001,Base!$B$3:$B$5001,C$127,Base!$A$3:$A$5001,_xlfn.MAXIFS(Base!$A$3:$A$5001,Base!$B$3:$B$5001,C$127,Base!$A$3:$A$5001,"&gt;="&amp;$C$7,Base!$A$3:$A$5001,"&lt;="&amp;$B132,Base!$W$3:$W$5001,"&lt;&gt;"))))</f>
        <v>1</v>
      </c>
      <c r="D132">
        <f>IF($A132&gt;$B$9,"",IF(COUNTIFS(Base!$B$3:$B$5001,D$127,Base!$A$3:$A$5001,"&gt;="&amp;$C$7,Base!$A$3:$A$5001,"&lt;="&amp;$B132,Base!$W$3:$W$5001,"&lt;&gt;")=0,"",SUMIFS(Base!$W$3:$W$5001,Base!$B$3:$B$5001,D$127,Base!$A$3:$A$5001,_xlfn.MAXIFS(Base!$A$3:$A$5001,Base!$B$3:$B$5001,D$127,Base!$A$3:$A$5001,"&gt;="&amp;$C$7,Base!$A$3:$A$5001,"&lt;="&amp;$B132,Base!$W$3:$W$5001,"&lt;&gt;"))))</f>
        <v>0</v>
      </c>
      <c r="E132">
        <f>IF($A132&gt;$B$9,"",IF(COUNTIFS(Base!$B$3:$B$5001,E$127,Base!$A$3:$A$5001,"&gt;="&amp;$C$7,Base!$A$3:$A$5001,"&lt;="&amp;$B132,Base!$W$3:$W$5001,"&lt;&gt;")=0,"",SUMIFS(Base!$W$3:$W$5001,Base!$B$3:$B$5001,E$127,Base!$A$3:$A$5001,_xlfn.MAXIFS(Base!$A$3:$A$5001,Base!$B$3:$B$5001,E$127,Base!$A$3:$A$5001,"&gt;="&amp;$C$7,Base!$A$3:$A$5001,"&lt;="&amp;$B132,Base!$W$3:$W$5001,"&lt;&gt;"))))</f>
        <v>14</v>
      </c>
      <c r="F132">
        <f>IF($A132&gt;$B$9,"",IF(COUNTIFS(Base!$B$3:$B$5001,F$127,Base!$A$3:$A$5001,"&gt;="&amp;$C$7,Base!$A$3:$A$5001,"&lt;="&amp;$B132,Base!$W$3:$W$5001,"&lt;&gt;")=0,"",SUMIFS(Base!$W$3:$W$5001,Base!$B$3:$B$5001,F$127,Base!$A$3:$A$5001,_xlfn.MAXIFS(Base!$A$3:$A$5001,Base!$B$3:$B$5001,F$127,Base!$A$3:$A$5001,"&gt;="&amp;$C$7,Base!$A$3:$A$5001,"&lt;="&amp;$B132,Base!$W$3:$W$5001,"&lt;&gt;"))))</f>
        <v>6</v>
      </c>
      <c r="G132" t="str">
        <f>IF($A132&gt;$B$9,"",IF(COUNTIFS(Base!$B$3:$B$5001,G$127,Base!$A$3:$A$5001,"&gt;="&amp;$C$7,Base!$A$3:$A$5001,"&lt;="&amp;$B132,Base!$W$3:$W$5001,"&lt;&gt;")=0,"",SUMIFS(Base!$W$3:$W$5001,Base!$B$3:$B$5001,G$127,Base!$A$3:$A$5001,_xlfn.MAXIFS(Base!$A$3:$A$5001,Base!$B$3:$B$5001,G$127,Base!$A$3:$A$5001,"&gt;="&amp;$C$7,Base!$A$3:$A$5001,"&lt;="&amp;$B132,Base!$W$3:$W$5001,"&lt;&gt;"))))</f>
        <v/>
      </c>
      <c r="H132">
        <f>IF($A132&gt;$B$9,"",IF(COUNTIFS(Base!$B$3:$B$5001,H$127,Base!$A$3:$A$5001,"&gt;="&amp;$C$7,Base!$A$3:$A$5001,"&lt;="&amp;$B132,Base!$W$3:$W$5001,"&lt;&gt;")=0,"",SUMIFS(Base!$W$3:$W$5001,Base!$B$3:$B$5001,H$127,Base!$A$3:$A$5001,_xlfn.MAXIFS(Base!$A$3:$A$5001,Base!$B$3:$B$5001,H$127,Base!$A$3:$A$5001,"&gt;="&amp;$C$7,Base!$A$3:$A$5001,"&lt;="&amp;$B132,Base!$W$3:$W$5001,"&lt;&gt;"))))</f>
        <v>6</v>
      </c>
      <c r="I132">
        <f>IF($A132&gt;$B$9,"",IF(COUNTIFS(Base!$B$3:$B$5001,I$127,Base!$A$3:$A$5001,"&gt;="&amp;$C$7,Base!$A$3:$A$5001,"&lt;="&amp;$B132,Base!$W$3:$W$5001,"&lt;&gt;")=0,"",SUMIFS(Base!$W$3:$W$5001,Base!$B$3:$B$5001,I$127,Base!$A$3:$A$5001,_xlfn.MAXIFS(Base!$A$3:$A$5001,Base!$B$3:$B$5001,I$127,Base!$A$3:$A$5001,"&gt;="&amp;$C$7,Base!$A$3:$A$5001,"&lt;="&amp;$B132,Base!$W$3:$W$5001,"&lt;&gt;"))))</f>
        <v>9</v>
      </c>
      <c r="J132">
        <f>IF($A132&gt;$B$9,"",IF(COUNTIFS(Base!$B$3:$B$5001,J$127,Base!$A$3:$A$5001,"&gt;="&amp;$C$7,Base!$A$3:$A$5001,"&lt;="&amp;$B132,Base!$W$3:$W$5001,"&lt;&gt;")=0,"",SUMIFS(Base!$W$3:$W$5001,Base!$B$3:$B$5001,J$127,Base!$A$3:$A$5001,_xlfn.MAXIFS(Base!$A$3:$A$5001,Base!$B$3:$B$5001,J$127,Base!$A$3:$A$5001,"&gt;="&amp;$C$7,Base!$A$3:$A$5001,"&lt;="&amp;$B132,Base!$W$3:$W$5001,"&lt;&gt;"))))</f>
        <v>1</v>
      </c>
      <c r="K132">
        <f>IF($A132&gt;$B$9,"",IF(COUNTIFS(Base!$B$3:$B$5001,K$127,Base!$A$3:$A$5001,"&gt;="&amp;$C$7,Base!$A$3:$A$5001,"&lt;="&amp;$B132,Base!$W$3:$W$5001,"&lt;&gt;")=0,"",SUMIFS(Base!$W$3:$W$5001,Base!$B$3:$B$5001,K$127,Base!$A$3:$A$5001,_xlfn.MAXIFS(Base!$A$3:$A$5001,Base!$B$3:$B$5001,K$127,Base!$A$3:$A$5001,"&gt;="&amp;$C$7,Base!$A$3:$A$5001,"&lt;="&amp;$B132,Base!$W$3:$W$5001,"&lt;&gt;"))))</f>
        <v>12</v>
      </c>
    </row>
    <row r="133">
      <c r="A133">
        <v>6</v>
      </c>
      <c r="B133" s="152">
        <f>$B$17</f>
        <v>46271</v>
      </c>
      <c r="C133">
        <f>IF($A133&gt;$B$9,"",IF(COUNTIFS(Base!$B$3:$B$5001,C$127,Base!$A$3:$A$5001,"&gt;="&amp;$C$7,Base!$A$3:$A$5001,"&lt;="&amp;$B133,Base!$W$3:$W$5001,"&lt;&gt;")=0,"",SUMIFS(Base!$W$3:$W$5001,Base!$B$3:$B$5001,C$127,Base!$A$3:$A$5001,_xlfn.MAXIFS(Base!$A$3:$A$5001,Base!$B$3:$B$5001,C$127,Base!$A$3:$A$5001,"&gt;="&amp;$C$7,Base!$A$3:$A$5001,"&lt;="&amp;$B133,Base!$W$3:$W$5001,"&lt;&gt;"))))</f>
        <v>1</v>
      </c>
      <c r="D133">
        <f>IF($A133&gt;$B$9,"",IF(COUNTIFS(Base!$B$3:$B$5001,D$127,Base!$A$3:$A$5001,"&gt;="&amp;$C$7,Base!$A$3:$A$5001,"&lt;="&amp;$B133,Base!$W$3:$W$5001,"&lt;&gt;")=0,"",SUMIFS(Base!$W$3:$W$5001,Base!$B$3:$B$5001,D$127,Base!$A$3:$A$5001,_xlfn.MAXIFS(Base!$A$3:$A$5001,Base!$B$3:$B$5001,D$127,Base!$A$3:$A$5001,"&gt;="&amp;$C$7,Base!$A$3:$A$5001,"&lt;="&amp;$B133,Base!$W$3:$W$5001,"&lt;&gt;"))))</f>
        <v>0</v>
      </c>
      <c r="E133">
        <f>IF($A133&gt;$B$9,"",IF(COUNTIFS(Base!$B$3:$B$5001,E$127,Base!$A$3:$A$5001,"&gt;="&amp;$C$7,Base!$A$3:$A$5001,"&lt;="&amp;$B133,Base!$W$3:$W$5001,"&lt;&gt;")=0,"",SUMIFS(Base!$W$3:$W$5001,Base!$B$3:$B$5001,E$127,Base!$A$3:$A$5001,_xlfn.MAXIFS(Base!$A$3:$A$5001,Base!$B$3:$B$5001,E$127,Base!$A$3:$A$5001,"&gt;="&amp;$C$7,Base!$A$3:$A$5001,"&lt;="&amp;$B133,Base!$W$3:$W$5001,"&lt;&gt;"))))</f>
        <v>14</v>
      </c>
      <c r="F133">
        <f>IF($A133&gt;$B$9,"",IF(COUNTIFS(Base!$B$3:$B$5001,F$127,Base!$A$3:$A$5001,"&gt;="&amp;$C$7,Base!$A$3:$A$5001,"&lt;="&amp;$B133,Base!$W$3:$W$5001,"&lt;&gt;")=0,"",SUMIFS(Base!$W$3:$W$5001,Base!$B$3:$B$5001,F$127,Base!$A$3:$A$5001,_xlfn.MAXIFS(Base!$A$3:$A$5001,Base!$B$3:$B$5001,F$127,Base!$A$3:$A$5001,"&gt;="&amp;$C$7,Base!$A$3:$A$5001,"&lt;="&amp;$B133,Base!$W$3:$W$5001,"&lt;&gt;"))))</f>
        <v>6</v>
      </c>
      <c r="G133" t="str">
        <f>IF($A133&gt;$B$9,"",IF(COUNTIFS(Base!$B$3:$B$5001,G$127,Base!$A$3:$A$5001,"&gt;="&amp;$C$7,Base!$A$3:$A$5001,"&lt;="&amp;$B133,Base!$W$3:$W$5001,"&lt;&gt;")=0,"",SUMIFS(Base!$W$3:$W$5001,Base!$B$3:$B$5001,G$127,Base!$A$3:$A$5001,_xlfn.MAXIFS(Base!$A$3:$A$5001,Base!$B$3:$B$5001,G$127,Base!$A$3:$A$5001,"&gt;="&amp;$C$7,Base!$A$3:$A$5001,"&lt;="&amp;$B133,Base!$W$3:$W$5001,"&lt;&gt;"))))</f>
        <v/>
      </c>
      <c r="H133">
        <f>IF($A133&gt;$B$9,"",IF(COUNTIFS(Base!$B$3:$B$5001,H$127,Base!$A$3:$A$5001,"&gt;="&amp;$C$7,Base!$A$3:$A$5001,"&lt;="&amp;$B133,Base!$W$3:$W$5001,"&lt;&gt;")=0,"",SUMIFS(Base!$W$3:$W$5001,Base!$B$3:$B$5001,H$127,Base!$A$3:$A$5001,_xlfn.MAXIFS(Base!$A$3:$A$5001,Base!$B$3:$B$5001,H$127,Base!$A$3:$A$5001,"&gt;="&amp;$C$7,Base!$A$3:$A$5001,"&lt;="&amp;$B133,Base!$W$3:$W$5001,"&lt;&gt;"))))</f>
        <v>6</v>
      </c>
      <c r="I133">
        <f>IF($A133&gt;$B$9,"",IF(COUNTIFS(Base!$B$3:$B$5001,I$127,Base!$A$3:$A$5001,"&gt;="&amp;$C$7,Base!$A$3:$A$5001,"&lt;="&amp;$B133,Base!$W$3:$W$5001,"&lt;&gt;")=0,"",SUMIFS(Base!$W$3:$W$5001,Base!$B$3:$B$5001,I$127,Base!$A$3:$A$5001,_xlfn.MAXIFS(Base!$A$3:$A$5001,Base!$B$3:$B$5001,I$127,Base!$A$3:$A$5001,"&gt;="&amp;$C$7,Base!$A$3:$A$5001,"&lt;="&amp;$B133,Base!$W$3:$W$5001,"&lt;&gt;"))))</f>
        <v>9</v>
      </c>
      <c r="J133">
        <f>IF($A133&gt;$B$9,"",IF(COUNTIFS(Base!$B$3:$B$5001,J$127,Base!$A$3:$A$5001,"&gt;="&amp;$C$7,Base!$A$3:$A$5001,"&lt;="&amp;$B133,Base!$W$3:$W$5001,"&lt;&gt;")=0,"",SUMIFS(Base!$W$3:$W$5001,Base!$B$3:$B$5001,J$127,Base!$A$3:$A$5001,_xlfn.MAXIFS(Base!$A$3:$A$5001,Base!$B$3:$B$5001,J$127,Base!$A$3:$A$5001,"&gt;="&amp;$C$7,Base!$A$3:$A$5001,"&lt;="&amp;$B133,Base!$W$3:$W$5001,"&lt;&gt;"))))</f>
        <v>1</v>
      </c>
      <c r="K133">
        <f>IF($A133&gt;$B$9,"",IF(COUNTIFS(Base!$B$3:$B$5001,K$127,Base!$A$3:$A$5001,"&gt;="&amp;$C$7,Base!$A$3:$A$5001,"&lt;="&amp;$B133,Base!$W$3:$W$5001,"&lt;&gt;")=0,"",SUMIFS(Base!$W$3:$W$5001,Base!$B$3:$B$5001,K$127,Base!$A$3:$A$5001,_xlfn.MAXIFS(Base!$A$3:$A$5001,Base!$B$3:$B$5001,K$127,Base!$A$3:$A$5001,"&gt;="&amp;$C$7,Base!$A$3:$A$5001,"&lt;="&amp;$B133,Base!$W$3:$W$5001,"&lt;&gt;"))))</f>
        <v>12</v>
      </c>
    </row>
    <row r="134">
      <c r="A134">
        <v>7</v>
      </c>
      <c r="B134" s="152">
        <f>$B$18</f>
        <v>46272</v>
      </c>
      <c r="C134">
        <f>IF($A134&gt;$B$9,"",IF(COUNTIFS(Base!$B$3:$B$5001,C$127,Base!$A$3:$A$5001,"&gt;="&amp;$C$7,Base!$A$3:$A$5001,"&lt;="&amp;$B134,Base!$W$3:$W$5001,"&lt;&gt;")=0,"",SUMIFS(Base!$W$3:$W$5001,Base!$B$3:$B$5001,C$127,Base!$A$3:$A$5001,_xlfn.MAXIFS(Base!$A$3:$A$5001,Base!$B$3:$B$5001,C$127,Base!$A$3:$A$5001,"&gt;="&amp;$C$7,Base!$A$3:$A$5001,"&lt;="&amp;$B134,Base!$W$3:$W$5001,"&lt;&gt;"))))</f>
        <v>14</v>
      </c>
      <c r="D134">
        <f>IF($A134&gt;$B$9,"",IF(COUNTIFS(Base!$B$3:$B$5001,D$127,Base!$A$3:$A$5001,"&gt;="&amp;$C$7,Base!$A$3:$A$5001,"&lt;="&amp;$B134,Base!$W$3:$W$5001,"&lt;&gt;")=0,"",SUMIFS(Base!$W$3:$W$5001,Base!$B$3:$B$5001,D$127,Base!$A$3:$A$5001,_xlfn.MAXIFS(Base!$A$3:$A$5001,Base!$B$3:$B$5001,D$127,Base!$A$3:$A$5001,"&gt;="&amp;$C$7,Base!$A$3:$A$5001,"&lt;="&amp;$B134,Base!$W$3:$W$5001,"&lt;&gt;"))))</f>
        <v>0</v>
      </c>
      <c r="E134">
        <f>IF($A134&gt;$B$9,"",IF(COUNTIFS(Base!$B$3:$B$5001,E$127,Base!$A$3:$A$5001,"&gt;="&amp;$C$7,Base!$A$3:$A$5001,"&lt;="&amp;$B134,Base!$W$3:$W$5001,"&lt;&gt;")=0,"",SUMIFS(Base!$W$3:$W$5001,Base!$B$3:$B$5001,E$127,Base!$A$3:$A$5001,_xlfn.MAXIFS(Base!$A$3:$A$5001,Base!$B$3:$B$5001,E$127,Base!$A$3:$A$5001,"&gt;="&amp;$C$7,Base!$A$3:$A$5001,"&lt;="&amp;$B134,Base!$W$3:$W$5001,"&lt;&gt;"))))</f>
        <v>14</v>
      </c>
      <c r="F134">
        <f>IF($A134&gt;$B$9,"",IF(COUNTIFS(Base!$B$3:$B$5001,F$127,Base!$A$3:$A$5001,"&gt;="&amp;$C$7,Base!$A$3:$A$5001,"&lt;="&amp;$B134,Base!$W$3:$W$5001,"&lt;&gt;")=0,"",SUMIFS(Base!$W$3:$W$5001,Base!$B$3:$B$5001,F$127,Base!$A$3:$A$5001,_xlfn.MAXIFS(Base!$A$3:$A$5001,Base!$B$3:$B$5001,F$127,Base!$A$3:$A$5001,"&gt;="&amp;$C$7,Base!$A$3:$A$5001,"&lt;="&amp;$B134,Base!$W$3:$W$5001,"&lt;&gt;"))))</f>
        <v>6</v>
      </c>
      <c r="G134" t="str">
        <f>IF($A134&gt;$B$9,"",IF(COUNTIFS(Base!$B$3:$B$5001,G$127,Base!$A$3:$A$5001,"&gt;="&amp;$C$7,Base!$A$3:$A$5001,"&lt;="&amp;$B134,Base!$W$3:$W$5001,"&lt;&gt;")=0,"",SUMIFS(Base!$W$3:$W$5001,Base!$B$3:$B$5001,G$127,Base!$A$3:$A$5001,_xlfn.MAXIFS(Base!$A$3:$A$5001,Base!$B$3:$B$5001,G$127,Base!$A$3:$A$5001,"&gt;="&amp;$C$7,Base!$A$3:$A$5001,"&lt;="&amp;$B134,Base!$W$3:$W$5001,"&lt;&gt;"))))</f>
        <v/>
      </c>
      <c r="H134">
        <f>IF($A134&gt;$B$9,"",IF(COUNTIFS(Base!$B$3:$B$5001,H$127,Base!$A$3:$A$5001,"&gt;="&amp;$C$7,Base!$A$3:$A$5001,"&lt;="&amp;$B134,Base!$W$3:$W$5001,"&lt;&gt;")=0,"",SUMIFS(Base!$W$3:$W$5001,Base!$B$3:$B$5001,H$127,Base!$A$3:$A$5001,_xlfn.MAXIFS(Base!$A$3:$A$5001,Base!$B$3:$B$5001,H$127,Base!$A$3:$A$5001,"&gt;="&amp;$C$7,Base!$A$3:$A$5001,"&lt;="&amp;$B134,Base!$W$3:$W$5001,"&lt;&gt;"))))</f>
        <v>6</v>
      </c>
      <c r="I134">
        <f>IF($A134&gt;$B$9,"",IF(COUNTIFS(Base!$B$3:$B$5001,I$127,Base!$A$3:$A$5001,"&gt;="&amp;$C$7,Base!$A$3:$A$5001,"&lt;="&amp;$B134,Base!$W$3:$W$5001,"&lt;&gt;")=0,"",SUMIFS(Base!$W$3:$W$5001,Base!$B$3:$B$5001,I$127,Base!$A$3:$A$5001,_xlfn.MAXIFS(Base!$A$3:$A$5001,Base!$B$3:$B$5001,I$127,Base!$A$3:$A$5001,"&gt;="&amp;$C$7,Base!$A$3:$A$5001,"&lt;="&amp;$B134,Base!$W$3:$W$5001,"&lt;&gt;"))))</f>
        <v>15</v>
      </c>
      <c r="J134">
        <f>IF($A134&gt;$B$9,"",IF(COUNTIFS(Base!$B$3:$B$5001,J$127,Base!$A$3:$A$5001,"&gt;="&amp;$C$7,Base!$A$3:$A$5001,"&lt;="&amp;$B134,Base!$W$3:$W$5001,"&lt;&gt;")=0,"",SUMIFS(Base!$W$3:$W$5001,Base!$B$3:$B$5001,J$127,Base!$A$3:$A$5001,_xlfn.MAXIFS(Base!$A$3:$A$5001,Base!$B$3:$B$5001,J$127,Base!$A$3:$A$5001,"&gt;="&amp;$C$7,Base!$A$3:$A$5001,"&lt;="&amp;$B134,Base!$W$3:$W$5001,"&lt;&gt;"))))</f>
        <v>1</v>
      </c>
      <c r="K134">
        <f>IF($A134&gt;$B$9,"",IF(COUNTIFS(Base!$B$3:$B$5001,K$127,Base!$A$3:$A$5001,"&gt;="&amp;$C$7,Base!$A$3:$A$5001,"&lt;="&amp;$B134,Base!$W$3:$W$5001,"&lt;&gt;")=0,"",SUMIFS(Base!$W$3:$W$5001,Base!$B$3:$B$5001,K$127,Base!$A$3:$A$5001,_xlfn.MAXIFS(Base!$A$3:$A$5001,Base!$B$3:$B$5001,K$127,Base!$A$3:$A$5001,"&gt;="&amp;$C$7,Base!$A$3:$A$5001,"&lt;="&amp;$B134,Base!$W$3:$W$5001,"&lt;&gt;"))))</f>
        <v>10</v>
      </c>
    </row>
    <row r="135">
      <c r="A135">
        <v>8</v>
      </c>
      <c r="B135" s="152">
        <f>$B$19</f>
        <v>46273</v>
      </c>
      <c r="C135">
        <f>IF($A135&gt;$B$9,"",IF(COUNTIFS(Base!$B$3:$B$5001,C$127,Base!$A$3:$A$5001,"&gt;="&amp;$C$7,Base!$A$3:$A$5001,"&lt;="&amp;$B135,Base!$W$3:$W$5001,"&lt;&gt;")=0,"",SUMIFS(Base!$W$3:$W$5001,Base!$B$3:$B$5001,C$127,Base!$A$3:$A$5001,_xlfn.MAXIFS(Base!$A$3:$A$5001,Base!$B$3:$B$5001,C$127,Base!$A$3:$A$5001,"&gt;="&amp;$C$7,Base!$A$3:$A$5001,"&lt;="&amp;$B135,Base!$W$3:$W$5001,"&lt;&gt;"))))</f>
        <v>13</v>
      </c>
      <c r="D135">
        <f>IF($A135&gt;$B$9,"",IF(COUNTIFS(Base!$B$3:$B$5001,D$127,Base!$A$3:$A$5001,"&gt;="&amp;$C$7,Base!$A$3:$A$5001,"&lt;="&amp;$B135,Base!$W$3:$W$5001,"&lt;&gt;")=0,"",SUMIFS(Base!$W$3:$W$5001,Base!$B$3:$B$5001,D$127,Base!$A$3:$A$5001,_xlfn.MAXIFS(Base!$A$3:$A$5001,Base!$B$3:$B$5001,D$127,Base!$A$3:$A$5001,"&gt;="&amp;$C$7,Base!$A$3:$A$5001,"&lt;="&amp;$B135,Base!$W$3:$W$5001,"&lt;&gt;"))))</f>
        <v>0</v>
      </c>
      <c r="E135">
        <f>IF($A135&gt;$B$9,"",IF(COUNTIFS(Base!$B$3:$B$5001,E$127,Base!$A$3:$A$5001,"&gt;="&amp;$C$7,Base!$A$3:$A$5001,"&lt;="&amp;$B135,Base!$W$3:$W$5001,"&lt;&gt;")=0,"",SUMIFS(Base!$W$3:$W$5001,Base!$B$3:$B$5001,E$127,Base!$A$3:$A$5001,_xlfn.MAXIFS(Base!$A$3:$A$5001,Base!$B$3:$B$5001,E$127,Base!$A$3:$A$5001,"&gt;="&amp;$C$7,Base!$A$3:$A$5001,"&lt;="&amp;$B135,Base!$W$3:$W$5001,"&lt;&gt;"))))</f>
        <v>14</v>
      </c>
      <c r="F135">
        <f>IF($A135&gt;$B$9,"",IF(COUNTIFS(Base!$B$3:$B$5001,F$127,Base!$A$3:$A$5001,"&gt;="&amp;$C$7,Base!$A$3:$A$5001,"&lt;="&amp;$B135,Base!$W$3:$W$5001,"&lt;&gt;")=0,"",SUMIFS(Base!$W$3:$W$5001,Base!$B$3:$B$5001,F$127,Base!$A$3:$A$5001,_xlfn.MAXIFS(Base!$A$3:$A$5001,Base!$B$3:$B$5001,F$127,Base!$A$3:$A$5001,"&gt;="&amp;$C$7,Base!$A$3:$A$5001,"&lt;="&amp;$B135,Base!$W$3:$W$5001,"&lt;&gt;"))))</f>
        <v>13</v>
      </c>
      <c r="G135" t="str">
        <f>IF($A135&gt;$B$9,"",IF(COUNTIFS(Base!$B$3:$B$5001,G$127,Base!$A$3:$A$5001,"&gt;="&amp;$C$7,Base!$A$3:$A$5001,"&lt;="&amp;$B135,Base!$W$3:$W$5001,"&lt;&gt;")=0,"",SUMIFS(Base!$W$3:$W$5001,Base!$B$3:$B$5001,G$127,Base!$A$3:$A$5001,_xlfn.MAXIFS(Base!$A$3:$A$5001,Base!$B$3:$B$5001,G$127,Base!$A$3:$A$5001,"&gt;="&amp;$C$7,Base!$A$3:$A$5001,"&lt;="&amp;$B135,Base!$W$3:$W$5001,"&lt;&gt;"))))</f>
        <v/>
      </c>
      <c r="H135">
        <f>IF($A135&gt;$B$9,"",IF(COUNTIFS(Base!$B$3:$B$5001,H$127,Base!$A$3:$A$5001,"&gt;="&amp;$C$7,Base!$A$3:$A$5001,"&lt;="&amp;$B135,Base!$W$3:$W$5001,"&lt;&gt;")=0,"",SUMIFS(Base!$W$3:$W$5001,Base!$B$3:$B$5001,H$127,Base!$A$3:$A$5001,_xlfn.MAXIFS(Base!$A$3:$A$5001,Base!$B$3:$B$5001,H$127,Base!$A$3:$A$5001,"&gt;="&amp;$C$7,Base!$A$3:$A$5001,"&lt;="&amp;$B135,Base!$W$3:$W$5001,"&lt;&gt;"))))</f>
        <v>6</v>
      </c>
      <c r="I135">
        <f>IF($A135&gt;$B$9,"",IF(COUNTIFS(Base!$B$3:$B$5001,I$127,Base!$A$3:$A$5001,"&gt;="&amp;$C$7,Base!$A$3:$A$5001,"&lt;="&amp;$B135,Base!$W$3:$W$5001,"&lt;&gt;")=0,"",SUMIFS(Base!$W$3:$W$5001,Base!$B$3:$B$5001,I$127,Base!$A$3:$A$5001,_xlfn.MAXIFS(Base!$A$3:$A$5001,Base!$B$3:$B$5001,I$127,Base!$A$3:$A$5001,"&gt;="&amp;$C$7,Base!$A$3:$A$5001,"&lt;="&amp;$B135,Base!$W$3:$W$5001,"&lt;&gt;"))))</f>
        <v>15</v>
      </c>
      <c r="J135">
        <f>IF($A135&gt;$B$9,"",IF(COUNTIFS(Base!$B$3:$B$5001,J$127,Base!$A$3:$A$5001,"&gt;="&amp;$C$7,Base!$A$3:$A$5001,"&lt;="&amp;$B135,Base!$W$3:$W$5001,"&lt;&gt;")=0,"",SUMIFS(Base!$W$3:$W$5001,Base!$B$3:$B$5001,J$127,Base!$A$3:$A$5001,_xlfn.MAXIFS(Base!$A$3:$A$5001,Base!$B$3:$B$5001,J$127,Base!$A$3:$A$5001,"&gt;="&amp;$C$7,Base!$A$3:$A$5001,"&lt;="&amp;$B135,Base!$W$3:$W$5001,"&lt;&gt;"))))</f>
        <v>5</v>
      </c>
      <c r="K135">
        <f>IF($A135&gt;$B$9,"",IF(COUNTIFS(Base!$B$3:$B$5001,K$127,Base!$A$3:$A$5001,"&gt;="&amp;$C$7,Base!$A$3:$A$5001,"&lt;="&amp;$B135,Base!$W$3:$W$5001,"&lt;&gt;")=0,"",SUMIFS(Base!$W$3:$W$5001,Base!$B$3:$B$5001,K$127,Base!$A$3:$A$5001,_xlfn.MAXIFS(Base!$A$3:$A$5001,Base!$B$3:$B$5001,K$127,Base!$A$3:$A$5001,"&gt;="&amp;$C$7,Base!$A$3:$A$5001,"&lt;="&amp;$B135,Base!$W$3:$W$5001,"&lt;&gt;"))))</f>
        <v>10</v>
      </c>
    </row>
    <row r="136">
      <c r="A136">
        <v>9</v>
      </c>
      <c r="B136" s="152">
        <f>$B$20</f>
        <v>46274</v>
      </c>
      <c r="C136">
        <f>IF($A136&gt;$B$9,"",IF(COUNTIFS(Base!$B$3:$B$5001,C$127,Base!$A$3:$A$5001,"&gt;="&amp;$C$7,Base!$A$3:$A$5001,"&lt;="&amp;$B136,Base!$W$3:$W$5001,"&lt;&gt;")=0,"",SUMIFS(Base!$W$3:$W$5001,Base!$B$3:$B$5001,C$127,Base!$A$3:$A$5001,_xlfn.MAXIFS(Base!$A$3:$A$5001,Base!$B$3:$B$5001,C$127,Base!$A$3:$A$5001,"&gt;="&amp;$C$7,Base!$A$3:$A$5001,"&lt;="&amp;$B136,Base!$W$3:$W$5001,"&lt;&gt;"))))</f>
        <v>13</v>
      </c>
      <c r="D136">
        <f>IF($A136&gt;$B$9,"",IF(COUNTIFS(Base!$B$3:$B$5001,D$127,Base!$A$3:$A$5001,"&gt;="&amp;$C$7,Base!$A$3:$A$5001,"&lt;="&amp;$B136,Base!$W$3:$W$5001,"&lt;&gt;")=0,"",SUMIFS(Base!$W$3:$W$5001,Base!$B$3:$B$5001,D$127,Base!$A$3:$A$5001,_xlfn.MAXIFS(Base!$A$3:$A$5001,Base!$B$3:$B$5001,D$127,Base!$A$3:$A$5001,"&gt;="&amp;$C$7,Base!$A$3:$A$5001,"&lt;="&amp;$B136,Base!$W$3:$W$5001,"&lt;&gt;"))))</f>
        <v>0</v>
      </c>
      <c r="E136">
        <f>IF($A136&gt;$B$9,"",IF(COUNTIFS(Base!$B$3:$B$5001,E$127,Base!$A$3:$A$5001,"&gt;="&amp;$C$7,Base!$A$3:$A$5001,"&lt;="&amp;$B136,Base!$W$3:$W$5001,"&lt;&gt;")=0,"",SUMIFS(Base!$W$3:$W$5001,Base!$B$3:$B$5001,E$127,Base!$A$3:$A$5001,_xlfn.MAXIFS(Base!$A$3:$A$5001,Base!$B$3:$B$5001,E$127,Base!$A$3:$A$5001,"&gt;="&amp;$C$7,Base!$A$3:$A$5001,"&lt;="&amp;$B136,Base!$W$3:$W$5001,"&lt;&gt;"))))</f>
        <v>14</v>
      </c>
      <c r="F136">
        <f>IF($A136&gt;$B$9,"",IF(COUNTIFS(Base!$B$3:$B$5001,F$127,Base!$A$3:$A$5001,"&gt;="&amp;$C$7,Base!$A$3:$A$5001,"&lt;="&amp;$B136,Base!$W$3:$W$5001,"&lt;&gt;")=0,"",SUMIFS(Base!$W$3:$W$5001,Base!$B$3:$B$5001,F$127,Base!$A$3:$A$5001,_xlfn.MAXIFS(Base!$A$3:$A$5001,Base!$B$3:$B$5001,F$127,Base!$A$3:$A$5001,"&gt;="&amp;$C$7,Base!$A$3:$A$5001,"&lt;="&amp;$B136,Base!$W$3:$W$5001,"&lt;&gt;"))))</f>
        <v>14</v>
      </c>
      <c r="G136">
        <f>IF($A136&gt;$B$9,"",IF(COUNTIFS(Base!$B$3:$B$5001,G$127,Base!$A$3:$A$5001,"&gt;="&amp;$C$7,Base!$A$3:$A$5001,"&lt;="&amp;$B136,Base!$W$3:$W$5001,"&lt;&gt;")=0,"",SUMIFS(Base!$W$3:$W$5001,Base!$B$3:$B$5001,G$127,Base!$A$3:$A$5001,_xlfn.MAXIFS(Base!$A$3:$A$5001,Base!$B$3:$B$5001,G$127,Base!$A$3:$A$5001,"&gt;="&amp;$C$7,Base!$A$3:$A$5001,"&lt;="&amp;$B136,Base!$W$3:$W$5001,"&lt;&gt;"))))</f>
        <v>3</v>
      </c>
      <c r="H136">
        <f>IF($A136&gt;$B$9,"",IF(COUNTIFS(Base!$B$3:$B$5001,H$127,Base!$A$3:$A$5001,"&gt;="&amp;$C$7,Base!$A$3:$A$5001,"&lt;="&amp;$B136,Base!$W$3:$W$5001,"&lt;&gt;")=0,"",SUMIFS(Base!$W$3:$W$5001,Base!$B$3:$B$5001,H$127,Base!$A$3:$A$5001,_xlfn.MAXIFS(Base!$A$3:$A$5001,Base!$B$3:$B$5001,H$127,Base!$A$3:$A$5001,"&gt;="&amp;$C$7,Base!$A$3:$A$5001,"&lt;="&amp;$B136,Base!$W$3:$W$5001,"&lt;&gt;"))))</f>
        <v>6</v>
      </c>
      <c r="I136">
        <f>IF($A136&gt;$B$9,"",IF(COUNTIFS(Base!$B$3:$B$5001,I$127,Base!$A$3:$A$5001,"&gt;="&amp;$C$7,Base!$A$3:$A$5001,"&lt;="&amp;$B136,Base!$W$3:$W$5001,"&lt;&gt;")=0,"",SUMIFS(Base!$W$3:$W$5001,Base!$B$3:$B$5001,I$127,Base!$A$3:$A$5001,_xlfn.MAXIFS(Base!$A$3:$A$5001,Base!$B$3:$B$5001,I$127,Base!$A$3:$A$5001,"&gt;="&amp;$C$7,Base!$A$3:$A$5001,"&lt;="&amp;$B136,Base!$W$3:$W$5001,"&lt;&gt;"))))</f>
        <v>15</v>
      </c>
      <c r="J136">
        <f>IF($A136&gt;$B$9,"",IF(COUNTIFS(Base!$B$3:$B$5001,J$127,Base!$A$3:$A$5001,"&gt;="&amp;$C$7,Base!$A$3:$A$5001,"&lt;="&amp;$B136,Base!$W$3:$W$5001,"&lt;&gt;")=0,"",SUMIFS(Base!$W$3:$W$5001,Base!$B$3:$B$5001,J$127,Base!$A$3:$A$5001,_xlfn.MAXIFS(Base!$A$3:$A$5001,Base!$B$3:$B$5001,J$127,Base!$A$3:$A$5001,"&gt;="&amp;$C$7,Base!$A$3:$A$5001,"&lt;="&amp;$B136,Base!$W$3:$W$5001,"&lt;&gt;"))))</f>
        <v>1</v>
      </c>
      <c r="K136">
        <f>IF($A136&gt;$B$9,"",IF(COUNTIFS(Base!$B$3:$B$5001,K$127,Base!$A$3:$A$5001,"&gt;="&amp;$C$7,Base!$A$3:$A$5001,"&lt;="&amp;$B136,Base!$W$3:$W$5001,"&lt;&gt;")=0,"",SUMIFS(Base!$W$3:$W$5001,Base!$B$3:$B$5001,K$127,Base!$A$3:$A$5001,_xlfn.MAXIFS(Base!$A$3:$A$5001,Base!$B$3:$B$5001,K$127,Base!$A$3:$A$5001,"&gt;="&amp;$C$7,Base!$A$3:$A$5001,"&lt;="&amp;$B136,Base!$W$3:$W$5001,"&lt;&gt;"))))</f>
        <v>10</v>
      </c>
    </row>
    <row r="137">
      <c r="A137">
        <v>10</v>
      </c>
      <c r="B137" s="152">
        <f>$B$21</f>
        <v>46275</v>
      </c>
      <c r="C137">
        <f>IF($A137&gt;$B$9,"",IF(COUNTIFS(Base!$B$3:$B$5001,C$127,Base!$A$3:$A$5001,"&gt;="&amp;$C$7,Base!$A$3:$A$5001,"&lt;="&amp;$B137,Base!$W$3:$W$5001,"&lt;&gt;")=0,"",SUMIFS(Base!$W$3:$W$5001,Base!$B$3:$B$5001,C$127,Base!$A$3:$A$5001,_xlfn.MAXIFS(Base!$A$3:$A$5001,Base!$B$3:$B$5001,C$127,Base!$A$3:$A$5001,"&gt;="&amp;$C$7,Base!$A$3:$A$5001,"&lt;="&amp;$B137,Base!$W$3:$W$5001,"&lt;&gt;"))))</f>
        <v>4</v>
      </c>
      <c r="D137">
        <f>IF($A137&gt;$B$9,"",IF(COUNTIFS(Base!$B$3:$B$5001,D$127,Base!$A$3:$A$5001,"&gt;="&amp;$C$7,Base!$A$3:$A$5001,"&lt;="&amp;$B137,Base!$W$3:$W$5001,"&lt;&gt;")=0,"",SUMIFS(Base!$W$3:$W$5001,Base!$B$3:$B$5001,D$127,Base!$A$3:$A$5001,_xlfn.MAXIFS(Base!$A$3:$A$5001,Base!$B$3:$B$5001,D$127,Base!$A$3:$A$5001,"&gt;="&amp;$C$7,Base!$A$3:$A$5001,"&lt;="&amp;$B137,Base!$W$3:$W$5001,"&lt;&gt;"))))</f>
        <v>0</v>
      </c>
      <c r="E137">
        <f>IF($A137&gt;$B$9,"",IF(COUNTIFS(Base!$B$3:$B$5001,E$127,Base!$A$3:$A$5001,"&gt;="&amp;$C$7,Base!$A$3:$A$5001,"&lt;="&amp;$B137,Base!$W$3:$W$5001,"&lt;&gt;")=0,"",SUMIFS(Base!$W$3:$W$5001,Base!$B$3:$B$5001,E$127,Base!$A$3:$A$5001,_xlfn.MAXIFS(Base!$A$3:$A$5001,Base!$B$3:$B$5001,E$127,Base!$A$3:$A$5001,"&gt;="&amp;$C$7,Base!$A$3:$A$5001,"&lt;="&amp;$B137,Base!$W$3:$W$5001,"&lt;&gt;"))))</f>
        <v>14</v>
      </c>
      <c r="F137">
        <f>IF($A137&gt;$B$9,"",IF(COUNTIFS(Base!$B$3:$B$5001,F$127,Base!$A$3:$A$5001,"&gt;="&amp;$C$7,Base!$A$3:$A$5001,"&lt;="&amp;$B137,Base!$W$3:$W$5001,"&lt;&gt;")=0,"",SUMIFS(Base!$W$3:$W$5001,Base!$B$3:$B$5001,F$127,Base!$A$3:$A$5001,_xlfn.MAXIFS(Base!$A$3:$A$5001,Base!$B$3:$B$5001,F$127,Base!$A$3:$A$5001,"&gt;="&amp;$C$7,Base!$A$3:$A$5001,"&lt;="&amp;$B137,Base!$W$3:$W$5001,"&lt;&gt;"))))</f>
        <v>14</v>
      </c>
      <c r="G137">
        <f>IF($A137&gt;$B$9,"",IF(COUNTIFS(Base!$B$3:$B$5001,G$127,Base!$A$3:$A$5001,"&gt;="&amp;$C$7,Base!$A$3:$A$5001,"&lt;="&amp;$B137,Base!$W$3:$W$5001,"&lt;&gt;")=0,"",SUMIFS(Base!$W$3:$W$5001,Base!$B$3:$B$5001,G$127,Base!$A$3:$A$5001,_xlfn.MAXIFS(Base!$A$3:$A$5001,Base!$B$3:$B$5001,G$127,Base!$A$3:$A$5001,"&gt;="&amp;$C$7,Base!$A$3:$A$5001,"&lt;="&amp;$B137,Base!$W$3:$W$5001,"&lt;&gt;"))))</f>
        <v>3</v>
      </c>
      <c r="H137">
        <f>IF($A137&gt;$B$9,"",IF(COUNTIFS(Base!$B$3:$B$5001,H$127,Base!$A$3:$A$5001,"&gt;="&amp;$C$7,Base!$A$3:$A$5001,"&lt;="&amp;$B137,Base!$W$3:$W$5001,"&lt;&gt;")=0,"",SUMIFS(Base!$W$3:$W$5001,Base!$B$3:$B$5001,H$127,Base!$A$3:$A$5001,_xlfn.MAXIFS(Base!$A$3:$A$5001,Base!$B$3:$B$5001,H$127,Base!$A$3:$A$5001,"&gt;="&amp;$C$7,Base!$A$3:$A$5001,"&lt;="&amp;$B137,Base!$W$3:$W$5001,"&lt;&gt;"))))</f>
        <v>3</v>
      </c>
      <c r="I137">
        <f>IF($A137&gt;$B$9,"",IF(COUNTIFS(Base!$B$3:$B$5001,I$127,Base!$A$3:$A$5001,"&gt;="&amp;$C$7,Base!$A$3:$A$5001,"&lt;="&amp;$B137,Base!$W$3:$W$5001,"&lt;&gt;")=0,"",SUMIFS(Base!$W$3:$W$5001,Base!$B$3:$B$5001,I$127,Base!$A$3:$A$5001,_xlfn.MAXIFS(Base!$A$3:$A$5001,Base!$B$3:$B$5001,I$127,Base!$A$3:$A$5001,"&gt;="&amp;$C$7,Base!$A$3:$A$5001,"&lt;="&amp;$B137,Base!$W$3:$W$5001,"&lt;&gt;"))))</f>
        <v>15</v>
      </c>
      <c r="J137">
        <f>IF($A137&gt;$B$9,"",IF(COUNTIFS(Base!$B$3:$B$5001,J$127,Base!$A$3:$A$5001,"&gt;="&amp;$C$7,Base!$A$3:$A$5001,"&lt;="&amp;$B137,Base!$W$3:$W$5001,"&lt;&gt;")=0,"",SUMIFS(Base!$W$3:$W$5001,Base!$B$3:$B$5001,J$127,Base!$A$3:$A$5001,_xlfn.MAXIFS(Base!$A$3:$A$5001,Base!$B$3:$B$5001,J$127,Base!$A$3:$A$5001,"&gt;="&amp;$C$7,Base!$A$3:$A$5001,"&lt;="&amp;$B137,Base!$W$3:$W$5001,"&lt;&gt;"))))</f>
        <v>1</v>
      </c>
      <c r="K137">
        <f>IF($A137&gt;$B$9,"",IF(COUNTIFS(Base!$B$3:$B$5001,K$127,Base!$A$3:$A$5001,"&gt;="&amp;$C$7,Base!$A$3:$A$5001,"&lt;="&amp;$B137,Base!$W$3:$W$5001,"&lt;&gt;")=0,"",SUMIFS(Base!$W$3:$W$5001,Base!$B$3:$B$5001,K$127,Base!$A$3:$A$5001,_xlfn.MAXIFS(Base!$A$3:$A$5001,Base!$B$3:$B$5001,K$127,Base!$A$3:$A$5001,"&gt;="&amp;$C$7,Base!$A$3:$A$5001,"&lt;="&amp;$B137,Base!$W$3:$W$5001,"&lt;&gt;"))))</f>
        <v>4</v>
      </c>
    </row>
    <row r="138">
      <c r="A138">
        <v>11</v>
      </c>
      <c r="B138" s="152">
        <f>$B$22</f>
        <v>46276</v>
      </c>
      <c r="C138">
        <f>IF($A138&gt;$B$9,"",IF(COUNTIFS(Base!$B$3:$B$5001,C$127,Base!$A$3:$A$5001,"&gt;="&amp;$C$7,Base!$A$3:$A$5001,"&lt;="&amp;$B138,Base!$W$3:$W$5001,"&lt;&gt;")=0,"",SUMIFS(Base!$W$3:$W$5001,Base!$B$3:$B$5001,C$127,Base!$A$3:$A$5001,_xlfn.MAXIFS(Base!$A$3:$A$5001,Base!$B$3:$B$5001,C$127,Base!$A$3:$A$5001,"&gt;="&amp;$C$7,Base!$A$3:$A$5001,"&lt;="&amp;$B138,Base!$W$3:$W$5001,"&lt;&gt;"))))</f>
        <v>4</v>
      </c>
      <c r="D138">
        <f>IF($A138&gt;$B$9,"",IF(COUNTIFS(Base!$B$3:$B$5001,D$127,Base!$A$3:$A$5001,"&gt;="&amp;$C$7,Base!$A$3:$A$5001,"&lt;="&amp;$B138,Base!$W$3:$W$5001,"&lt;&gt;")=0,"",SUMIFS(Base!$W$3:$W$5001,Base!$B$3:$B$5001,D$127,Base!$A$3:$A$5001,_xlfn.MAXIFS(Base!$A$3:$A$5001,Base!$B$3:$B$5001,D$127,Base!$A$3:$A$5001,"&gt;="&amp;$C$7,Base!$A$3:$A$5001,"&lt;="&amp;$B138,Base!$W$3:$W$5001,"&lt;&gt;"))))</f>
        <v>0</v>
      </c>
      <c r="E138">
        <f>IF($A138&gt;$B$9,"",IF(COUNTIFS(Base!$B$3:$B$5001,E$127,Base!$A$3:$A$5001,"&gt;="&amp;$C$7,Base!$A$3:$A$5001,"&lt;="&amp;$B138,Base!$W$3:$W$5001,"&lt;&gt;")=0,"",SUMIFS(Base!$W$3:$W$5001,Base!$B$3:$B$5001,E$127,Base!$A$3:$A$5001,_xlfn.MAXIFS(Base!$A$3:$A$5001,Base!$B$3:$B$5001,E$127,Base!$A$3:$A$5001,"&gt;="&amp;$C$7,Base!$A$3:$A$5001,"&lt;="&amp;$B138,Base!$W$3:$W$5001,"&lt;&gt;"))))</f>
        <v>14</v>
      </c>
      <c r="F138">
        <f>IF($A138&gt;$B$9,"",IF(COUNTIFS(Base!$B$3:$B$5001,F$127,Base!$A$3:$A$5001,"&gt;="&amp;$C$7,Base!$A$3:$A$5001,"&lt;="&amp;$B138,Base!$W$3:$W$5001,"&lt;&gt;")=0,"",SUMIFS(Base!$W$3:$W$5001,Base!$B$3:$B$5001,F$127,Base!$A$3:$A$5001,_xlfn.MAXIFS(Base!$A$3:$A$5001,Base!$B$3:$B$5001,F$127,Base!$A$3:$A$5001,"&gt;="&amp;$C$7,Base!$A$3:$A$5001,"&lt;="&amp;$B138,Base!$W$3:$W$5001,"&lt;&gt;"))))</f>
        <v>14</v>
      </c>
      <c r="G138">
        <f>IF($A138&gt;$B$9,"",IF(COUNTIFS(Base!$B$3:$B$5001,G$127,Base!$A$3:$A$5001,"&gt;="&amp;$C$7,Base!$A$3:$A$5001,"&lt;="&amp;$B138,Base!$W$3:$W$5001,"&lt;&gt;")=0,"",SUMIFS(Base!$W$3:$W$5001,Base!$B$3:$B$5001,G$127,Base!$A$3:$A$5001,_xlfn.MAXIFS(Base!$A$3:$A$5001,Base!$B$3:$B$5001,G$127,Base!$A$3:$A$5001,"&gt;="&amp;$C$7,Base!$A$3:$A$5001,"&lt;="&amp;$B138,Base!$W$3:$W$5001,"&lt;&gt;"))))</f>
        <v>3</v>
      </c>
      <c r="H138">
        <f>IF($A138&gt;$B$9,"",IF(COUNTIFS(Base!$B$3:$B$5001,H$127,Base!$A$3:$A$5001,"&gt;="&amp;$C$7,Base!$A$3:$A$5001,"&lt;="&amp;$B138,Base!$W$3:$W$5001,"&lt;&gt;")=0,"",SUMIFS(Base!$W$3:$W$5001,Base!$B$3:$B$5001,H$127,Base!$A$3:$A$5001,_xlfn.MAXIFS(Base!$A$3:$A$5001,Base!$B$3:$B$5001,H$127,Base!$A$3:$A$5001,"&gt;="&amp;$C$7,Base!$A$3:$A$5001,"&lt;="&amp;$B138,Base!$W$3:$W$5001,"&lt;&gt;"))))</f>
        <v>3</v>
      </c>
      <c r="I138">
        <f>IF($A138&gt;$B$9,"",IF(COUNTIFS(Base!$B$3:$B$5001,I$127,Base!$A$3:$A$5001,"&gt;="&amp;$C$7,Base!$A$3:$A$5001,"&lt;="&amp;$B138,Base!$W$3:$W$5001,"&lt;&gt;")=0,"",SUMIFS(Base!$W$3:$W$5001,Base!$B$3:$B$5001,I$127,Base!$A$3:$A$5001,_xlfn.MAXIFS(Base!$A$3:$A$5001,Base!$B$3:$B$5001,I$127,Base!$A$3:$A$5001,"&gt;="&amp;$C$7,Base!$A$3:$A$5001,"&lt;="&amp;$B138,Base!$W$3:$W$5001,"&lt;&gt;"))))</f>
        <v>15</v>
      </c>
      <c r="J138">
        <f>IF($A138&gt;$B$9,"",IF(COUNTIFS(Base!$B$3:$B$5001,J$127,Base!$A$3:$A$5001,"&gt;="&amp;$C$7,Base!$A$3:$A$5001,"&lt;="&amp;$B138,Base!$W$3:$W$5001,"&lt;&gt;")=0,"",SUMIFS(Base!$W$3:$W$5001,Base!$B$3:$B$5001,J$127,Base!$A$3:$A$5001,_xlfn.MAXIFS(Base!$A$3:$A$5001,Base!$B$3:$B$5001,J$127,Base!$A$3:$A$5001,"&gt;="&amp;$C$7,Base!$A$3:$A$5001,"&lt;="&amp;$B138,Base!$W$3:$W$5001,"&lt;&gt;"))))</f>
        <v>1</v>
      </c>
      <c r="K138">
        <f>IF($A138&gt;$B$9,"",IF(COUNTIFS(Base!$B$3:$B$5001,K$127,Base!$A$3:$A$5001,"&gt;="&amp;$C$7,Base!$A$3:$A$5001,"&lt;="&amp;$B138,Base!$W$3:$W$5001,"&lt;&gt;")=0,"",SUMIFS(Base!$W$3:$W$5001,Base!$B$3:$B$5001,K$127,Base!$A$3:$A$5001,_xlfn.MAXIFS(Base!$A$3:$A$5001,Base!$B$3:$B$5001,K$127,Base!$A$3:$A$5001,"&gt;="&amp;$C$7,Base!$A$3:$A$5001,"&lt;="&amp;$B138,Base!$W$3:$W$5001,"&lt;&gt;"))))</f>
        <v>4</v>
      </c>
    </row>
    <row r="139">
      <c r="A139">
        <v>12</v>
      </c>
      <c r="B139" s="152">
        <f>$B$23</f>
        <v>46277</v>
      </c>
      <c r="C139">
        <f>IF($A139&gt;$B$9,"",IF(COUNTIFS(Base!$B$3:$B$5001,C$127,Base!$A$3:$A$5001,"&gt;="&amp;$C$7,Base!$A$3:$A$5001,"&lt;="&amp;$B139,Base!$W$3:$W$5001,"&lt;&gt;")=0,"",SUMIFS(Base!$W$3:$W$5001,Base!$B$3:$B$5001,C$127,Base!$A$3:$A$5001,_xlfn.MAXIFS(Base!$A$3:$A$5001,Base!$B$3:$B$5001,C$127,Base!$A$3:$A$5001,"&gt;="&amp;$C$7,Base!$A$3:$A$5001,"&lt;="&amp;$B139,Base!$W$3:$W$5001,"&lt;&gt;"))))</f>
        <v>4</v>
      </c>
      <c r="D139">
        <f>IF($A139&gt;$B$9,"",IF(COUNTIFS(Base!$B$3:$B$5001,D$127,Base!$A$3:$A$5001,"&gt;="&amp;$C$7,Base!$A$3:$A$5001,"&lt;="&amp;$B139,Base!$W$3:$W$5001,"&lt;&gt;")=0,"",SUMIFS(Base!$W$3:$W$5001,Base!$B$3:$B$5001,D$127,Base!$A$3:$A$5001,_xlfn.MAXIFS(Base!$A$3:$A$5001,Base!$B$3:$B$5001,D$127,Base!$A$3:$A$5001,"&gt;="&amp;$C$7,Base!$A$3:$A$5001,"&lt;="&amp;$B139,Base!$W$3:$W$5001,"&lt;&gt;"))))</f>
        <v>0</v>
      </c>
      <c r="E139">
        <f>IF($A139&gt;$B$9,"",IF(COUNTIFS(Base!$B$3:$B$5001,E$127,Base!$A$3:$A$5001,"&gt;="&amp;$C$7,Base!$A$3:$A$5001,"&lt;="&amp;$B139,Base!$W$3:$W$5001,"&lt;&gt;")=0,"",SUMIFS(Base!$W$3:$W$5001,Base!$B$3:$B$5001,E$127,Base!$A$3:$A$5001,_xlfn.MAXIFS(Base!$A$3:$A$5001,Base!$B$3:$B$5001,E$127,Base!$A$3:$A$5001,"&gt;="&amp;$C$7,Base!$A$3:$A$5001,"&lt;="&amp;$B139,Base!$W$3:$W$5001,"&lt;&gt;"))))</f>
        <v>14</v>
      </c>
      <c r="F139">
        <f>IF($A139&gt;$B$9,"",IF(COUNTIFS(Base!$B$3:$B$5001,F$127,Base!$A$3:$A$5001,"&gt;="&amp;$C$7,Base!$A$3:$A$5001,"&lt;="&amp;$B139,Base!$W$3:$W$5001,"&lt;&gt;")=0,"",SUMIFS(Base!$W$3:$W$5001,Base!$B$3:$B$5001,F$127,Base!$A$3:$A$5001,_xlfn.MAXIFS(Base!$A$3:$A$5001,Base!$B$3:$B$5001,F$127,Base!$A$3:$A$5001,"&gt;="&amp;$C$7,Base!$A$3:$A$5001,"&lt;="&amp;$B139,Base!$W$3:$W$5001,"&lt;&gt;"))))</f>
        <v>14</v>
      </c>
      <c r="G139">
        <f>IF($A139&gt;$B$9,"",IF(COUNTIFS(Base!$B$3:$B$5001,G$127,Base!$A$3:$A$5001,"&gt;="&amp;$C$7,Base!$A$3:$A$5001,"&lt;="&amp;$B139,Base!$W$3:$W$5001,"&lt;&gt;")=0,"",SUMIFS(Base!$W$3:$W$5001,Base!$B$3:$B$5001,G$127,Base!$A$3:$A$5001,_xlfn.MAXIFS(Base!$A$3:$A$5001,Base!$B$3:$B$5001,G$127,Base!$A$3:$A$5001,"&gt;="&amp;$C$7,Base!$A$3:$A$5001,"&lt;="&amp;$B139,Base!$W$3:$W$5001,"&lt;&gt;"))))</f>
        <v>3</v>
      </c>
      <c r="H139">
        <f>IF($A139&gt;$B$9,"",IF(COUNTIFS(Base!$B$3:$B$5001,H$127,Base!$A$3:$A$5001,"&gt;="&amp;$C$7,Base!$A$3:$A$5001,"&lt;="&amp;$B139,Base!$W$3:$W$5001,"&lt;&gt;")=0,"",SUMIFS(Base!$W$3:$W$5001,Base!$B$3:$B$5001,H$127,Base!$A$3:$A$5001,_xlfn.MAXIFS(Base!$A$3:$A$5001,Base!$B$3:$B$5001,H$127,Base!$A$3:$A$5001,"&gt;="&amp;$C$7,Base!$A$3:$A$5001,"&lt;="&amp;$B139,Base!$W$3:$W$5001,"&lt;&gt;"))))</f>
        <v>3</v>
      </c>
      <c r="I139">
        <f>IF($A139&gt;$B$9,"",IF(COUNTIFS(Base!$B$3:$B$5001,I$127,Base!$A$3:$A$5001,"&gt;="&amp;$C$7,Base!$A$3:$A$5001,"&lt;="&amp;$B139,Base!$W$3:$W$5001,"&lt;&gt;")=0,"",SUMIFS(Base!$W$3:$W$5001,Base!$B$3:$B$5001,I$127,Base!$A$3:$A$5001,_xlfn.MAXIFS(Base!$A$3:$A$5001,Base!$B$3:$B$5001,I$127,Base!$A$3:$A$5001,"&gt;="&amp;$C$7,Base!$A$3:$A$5001,"&lt;="&amp;$B139,Base!$W$3:$W$5001,"&lt;&gt;"))))</f>
        <v>14</v>
      </c>
      <c r="J139">
        <f>IF($A139&gt;$B$9,"",IF(COUNTIFS(Base!$B$3:$B$5001,J$127,Base!$A$3:$A$5001,"&gt;="&amp;$C$7,Base!$A$3:$A$5001,"&lt;="&amp;$B139,Base!$W$3:$W$5001,"&lt;&gt;")=0,"",SUMIFS(Base!$W$3:$W$5001,Base!$B$3:$B$5001,J$127,Base!$A$3:$A$5001,_xlfn.MAXIFS(Base!$A$3:$A$5001,Base!$B$3:$B$5001,J$127,Base!$A$3:$A$5001,"&gt;="&amp;$C$7,Base!$A$3:$A$5001,"&lt;="&amp;$B139,Base!$W$3:$W$5001,"&lt;&gt;"))))</f>
        <v>1</v>
      </c>
      <c r="K139">
        <f>IF($A139&gt;$B$9,"",IF(COUNTIFS(Base!$B$3:$B$5001,K$127,Base!$A$3:$A$5001,"&gt;="&amp;$C$7,Base!$A$3:$A$5001,"&lt;="&amp;$B139,Base!$W$3:$W$5001,"&lt;&gt;")=0,"",SUMIFS(Base!$W$3:$W$5001,Base!$B$3:$B$5001,K$127,Base!$A$3:$A$5001,_xlfn.MAXIFS(Base!$A$3:$A$5001,Base!$B$3:$B$5001,K$127,Base!$A$3:$A$5001,"&gt;="&amp;$C$7,Base!$A$3:$A$5001,"&lt;="&amp;$B139,Base!$W$3:$W$5001,"&lt;&gt;"))))</f>
        <v>4</v>
      </c>
    </row>
    <row r="140">
      <c r="A140">
        <v>13</v>
      </c>
      <c r="B140" s="152">
        <f>$B$24</f>
        <v>46278</v>
      </c>
      <c r="C140">
        <f>IF($A140&gt;$B$9,"",IF(COUNTIFS(Base!$B$3:$B$5001,C$127,Base!$A$3:$A$5001,"&gt;="&amp;$C$7,Base!$A$3:$A$5001,"&lt;="&amp;$B140,Base!$W$3:$W$5001,"&lt;&gt;")=0,"",SUMIFS(Base!$W$3:$W$5001,Base!$B$3:$B$5001,C$127,Base!$A$3:$A$5001,_xlfn.MAXIFS(Base!$A$3:$A$5001,Base!$B$3:$B$5001,C$127,Base!$A$3:$A$5001,"&gt;="&amp;$C$7,Base!$A$3:$A$5001,"&lt;="&amp;$B140,Base!$W$3:$W$5001,"&lt;&gt;"))))</f>
        <v>4</v>
      </c>
      <c r="D140">
        <f>IF($A140&gt;$B$9,"",IF(COUNTIFS(Base!$B$3:$B$5001,D$127,Base!$A$3:$A$5001,"&gt;="&amp;$C$7,Base!$A$3:$A$5001,"&lt;="&amp;$B140,Base!$W$3:$W$5001,"&lt;&gt;")=0,"",SUMIFS(Base!$W$3:$W$5001,Base!$B$3:$B$5001,D$127,Base!$A$3:$A$5001,_xlfn.MAXIFS(Base!$A$3:$A$5001,Base!$B$3:$B$5001,D$127,Base!$A$3:$A$5001,"&gt;="&amp;$C$7,Base!$A$3:$A$5001,"&lt;="&amp;$B140,Base!$W$3:$W$5001,"&lt;&gt;"))))</f>
        <v>0</v>
      </c>
      <c r="E140">
        <f>IF($A140&gt;$B$9,"",IF(COUNTIFS(Base!$B$3:$B$5001,E$127,Base!$A$3:$A$5001,"&gt;="&amp;$C$7,Base!$A$3:$A$5001,"&lt;="&amp;$B140,Base!$W$3:$W$5001,"&lt;&gt;")=0,"",SUMIFS(Base!$W$3:$W$5001,Base!$B$3:$B$5001,E$127,Base!$A$3:$A$5001,_xlfn.MAXIFS(Base!$A$3:$A$5001,Base!$B$3:$B$5001,E$127,Base!$A$3:$A$5001,"&gt;="&amp;$C$7,Base!$A$3:$A$5001,"&lt;="&amp;$B140,Base!$W$3:$W$5001,"&lt;&gt;"))))</f>
        <v>14</v>
      </c>
      <c r="F140">
        <f>IF($A140&gt;$B$9,"",IF(COUNTIFS(Base!$B$3:$B$5001,F$127,Base!$A$3:$A$5001,"&gt;="&amp;$C$7,Base!$A$3:$A$5001,"&lt;="&amp;$B140,Base!$W$3:$W$5001,"&lt;&gt;")=0,"",SUMIFS(Base!$W$3:$W$5001,Base!$B$3:$B$5001,F$127,Base!$A$3:$A$5001,_xlfn.MAXIFS(Base!$A$3:$A$5001,Base!$B$3:$B$5001,F$127,Base!$A$3:$A$5001,"&gt;="&amp;$C$7,Base!$A$3:$A$5001,"&lt;="&amp;$B140,Base!$W$3:$W$5001,"&lt;&gt;"))))</f>
        <v>14</v>
      </c>
      <c r="G140">
        <f>IF($A140&gt;$B$9,"",IF(COUNTIFS(Base!$B$3:$B$5001,G$127,Base!$A$3:$A$5001,"&gt;="&amp;$C$7,Base!$A$3:$A$5001,"&lt;="&amp;$B140,Base!$W$3:$W$5001,"&lt;&gt;")=0,"",SUMIFS(Base!$W$3:$W$5001,Base!$B$3:$B$5001,G$127,Base!$A$3:$A$5001,_xlfn.MAXIFS(Base!$A$3:$A$5001,Base!$B$3:$B$5001,G$127,Base!$A$3:$A$5001,"&gt;="&amp;$C$7,Base!$A$3:$A$5001,"&lt;="&amp;$B140,Base!$W$3:$W$5001,"&lt;&gt;"))))</f>
        <v>3</v>
      </c>
      <c r="H140">
        <f>IF($A140&gt;$B$9,"",IF(COUNTIFS(Base!$B$3:$B$5001,H$127,Base!$A$3:$A$5001,"&gt;="&amp;$C$7,Base!$A$3:$A$5001,"&lt;="&amp;$B140,Base!$W$3:$W$5001,"&lt;&gt;")=0,"",SUMIFS(Base!$W$3:$W$5001,Base!$B$3:$B$5001,H$127,Base!$A$3:$A$5001,_xlfn.MAXIFS(Base!$A$3:$A$5001,Base!$B$3:$B$5001,H$127,Base!$A$3:$A$5001,"&gt;="&amp;$C$7,Base!$A$3:$A$5001,"&lt;="&amp;$B140,Base!$W$3:$W$5001,"&lt;&gt;"))))</f>
        <v>3</v>
      </c>
      <c r="I140">
        <f>IF($A140&gt;$B$9,"",IF(COUNTIFS(Base!$B$3:$B$5001,I$127,Base!$A$3:$A$5001,"&gt;="&amp;$C$7,Base!$A$3:$A$5001,"&lt;="&amp;$B140,Base!$W$3:$W$5001,"&lt;&gt;")=0,"",SUMIFS(Base!$W$3:$W$5001,Base!$B$3:$B$5001,I$127,Base!$A$3:$A$5001,_xlfn.MAXIFS(Base!$A$3:$A$5001,Base!$B$3:$B$5001,I$127,Base!$A$3:$A$5001,"&gt;="&amp;$C$7,Base!$A$3:$A$5001,"&lt;="&amp;$B140,Base!$W$3:$W$5001,"&lt;&gt;"))))</f>
        <v>14</v>
      </c>
      <c r="J140">
        <f>IF($A140&gt;$B$9,"",IF(COUNTIFS(Base!$B$3:$B$5001,J$127,Base!$A$3:$A$5001,"&gt;="&amp;$C$7,Base!$A$3:$A$5001,"&lt;="&amp;$B140,Base!$W$3:$W$5001,"&lt;&gt;")=0,"",SUMIFS(Base!$W$3:$W$5001,Base!$B$3:$B$5001,J$127,Base!$A$3:$A$5001,_xlfn.MAXIFS(Base!$A$3:$A$5001,Base!$B$3:$B$5001,J$127,Base!$A$3:$A$5001,"&gt;="&amp;$C$7,Base!$A$3:$A$5001,"&lt;="&amp;$B140,Base!$W$3:$W$5001,"&lt;&gt;"))))</f>
        <v>1</v>
      </c>
      <c r="K140">
        <f>IF($A140&gt;$B$9,"",IF(COUNTIFS(Base!$B$3:$B$5001,K$127,Base!$A$3:$A$5001,"&gt;="&amp;$C$7,Base!$A$3:$A$5001,"&lt;="&amp;$B140,Base!$W$3:$W$5001,"&lt;&gt;")=0,"",SUMIFS(Base!$W$3:$W$5001,Base!$B$3:$B$5001,K$127,Base!$A$3:$A$5001,_xlfn.MAXIFS(Base!$A$3:$A$5001,Base!$B$3:$B$5001,K$127,Base!$A$3:$A$5001,"&gt;="&amp;$C$7,Base!$A$3:$A$5001,"&lt;="&amp;$B140,Base!$W$3:$W$5001,"&lt;&gt;"))))</f>
        <v>4</v>
      </c>
    </row>
    <row r="141">
      <c r="A141">
        <v>14</v>
      </c>
      <c r="B141" s="152">
        <f>$B$25</f>
        <v>46279</v>
      </c>
      <c r="C141">
        <f>IF($A141&gt;$B$9,"",IF(COUNTIFS(Base!$B$3:$B$5001,C$127,Base!$A$3:$A$5001,"&gt;="&amp;$C$7,Base!$A$3:$A$5001,"&lt;="&amp;$B141,Base!$W$3:$W$5001,"&lt;&gt;")=0,"",SUMIFS(Base!$W$3:$W$5001,Base!$B$3:$B$5001,C$127,Base!$A$3:$A$5001,_xlfn.MAXIFS(Base!$A$3:$A$5001,Base!$B$3:$B$5001,C$127,Base!$A$3:$A$5001,"&gt;="&amp;$C$7,Base!$A$3:$A$5001,"&lt;="&amp;$B141,Base!$W$3:$W$5001,"&lt;&gt;"))))</f>
        <v>4</v>
      </c>
      <c r="D141">
        <f>IF($A141&gt;$B$9,"",IF(COUNTIFS(Base!$B$3:$B$5001,D$127,Base!$A$3:$A$5001,"&gt;="&amp;$C$7,Base!$A$3:$A$5001,"&lt;="&amp;$B141,Base!$W$3:$W$5001,"&lt;&gt;")=0,"",SUMIFS(Base!$W$3:$W$5001,Base!$B$3:$B$5001,D$127,Base!$A$3:$A$5001,_xlfn.MAXIFS(Base!$A$3:$A$5001,Base!$B$3:$B$5001,D$127,Base!$A$3:$A$5001,"&gt;="&amp;$C$7,Base!$A$3:$A$5001,"&lt;="&amp;$B141,Base!$W$3:$W$5001,"&lt;&gt;"))))</f>
        <v>0</v>
      </c>
      <c r="E141">
        <f>IF($A141&gt;$B$9,"",IF(COUNTIFS(Base!$B$3:$B$5001,E$127,Base!$A$3:$A$5001,"&gt;="&amp;$C$7,Base!$A$3:$A$5001,"&lt;="&amp;$B141,Base!$W$3:$W$5001,"&lt;&gt;")=0,"",SUMIFS(Base!$W$3:$W$5001,Base!$B$3:$B$5001,E$127,Base!$A$3:$A$5001,_xlfn.MAXIFS(Base!$A$3:$A$5001,Base!$B$3:$B$5001,E$127,Base!$A$3:$A$5001,"&gt;="&amp;$C$7,Base!$A$3:$A$5001,"&lt;="&amp;$B141,Base!$W$3:$W$5001,"&lt;&gt;"))))</f>
        <v>14</v>
      </c>
      <c r="F141">
        <f>IF($A141&gt;$B$9,"",IF(COUNTIFS(Base!$B$3:$B$5001,F$127,Base!$A$3:$A$5001,"&gt;="&amp;$C$7,Base!$A$3:$A$5001,"&lt;="&amp;$B141,Base!$W$3:$W$5001,"&lt;&gt;")=0,"",SUMIFS(Base!$W$3:$W$5001,Base!$B$3:$B$5001,F$127,Base!$A$3:$A$5001,_xlfn.MAXIFS(Base!$A$3:$A$5001,Base!$B$3:$B$5001,F$127,Base!$A$3:$A$5001,"&gt;="&amp;$C$7,Base!$A$3:$A$5001,"&lt;="&amp;$B141,Base!$W$3:$W$5001,"&lt;&gt;"))))</f>
        <v>14</v>
      </c>
      <c r="G141">
        <f>IF($A141&gt;$B$9,"",IF(COUNTIFS(Base!$B$3:$B$5001,G$127,Base!$A$3:$A$5001,"&gt;="&amp;$C$7,Base!$A$3:$A$5001,"&lt;="&amp;$B141,Base!$W$3:$W$5001,"&lt;&gt;")=0,"",SUMIFS(Base!$W$3:$W$5001,Base!$B$3:$B$5001,G$127,Base!$A$3:$A$5001,_xlfn.MAXIFS(Base!$A$3:$A$5001,Base!$B$3:$B$5001,G$127,Base!$A$3:$A$5001,"&gt;="&amp;$C$7,Base!$A$3:$A$5001,"&lt;="&amp;$B141,Base!$W$3:$W$5001,"&lt;&gt;"))))</f>
        <v>3</v>
      </c>
      <c r="H141">
        <f>IF($A141&gt;$B$9,"",IF(COUNTIFS(Base!$B$3:$B$5001,H$127,Base!$A$3:$A$5001,"&gt;="&amp;$C$7,Base!$A$3:$A$5001,"&lt;="&amp;$B141,Base!$W$3:$W$5001,"&lt;&gt;")=0,"",SUMIFS(Base!$W$3:$W$5001,Base!$B$3:$B$5001,H$127,Base!$A$3:$A$5001,_xlfn.MAXIFS(Base!$A$3:$A$5001,Base!$B$3:$B$5001,H$127,Base!$A$3:$A$5001,"&gt;="&amp;$C$7,Base!$A$3:$A$5001,"&lt;="&amp;$B141,Base!$W$3:$W$5001,"&lt;&gt;"))))</f>
        <v>3</v>
      </c>
      <c r="I141">
        <f>IF($A141&gt;$B$9,"",IF(COUNTIFS(Base!$B$3:$B$5001,I$127,Base!$A$3:$A$5001,"&gt;="&amp;$C$7,Base!$A$3:$A$5001,"&lt;="&amp;$B141,Base!$W$3:$W$5001,"&lt;&gt;")=0,"",SUMIFS(Base!$W$3:$W$5001,Base!$B$3:$B$5001,I$127,Base!$A$3:$A$5001,_xlfn.MAXIFS(Base!$A$3:$A$5001,Base!$B$3:$B$5001,I$127,Base!$A$3:$A$5001,"&gt;="&amp;$C$7,Base!$A$3:$A$5001,"&lt;="&amp;$B141,Base!$W$3:$W$5001,"&lt;&gt;"))))</f>
        <v>14</v>
      </c>
      <c r="J141">
        <f>IF($A141&gt;$B$9,"",IF(COUNTIFS(Base!$B$3:$B$5001,J$127,Base!$A$3:$A$5001,"&gt;="&amp;$C$7,Base!$A$3:$A$5001,"&lt;="&amp;$B141,Base!$W$3:$W$5001,"&lt;&gt;")=0,"",SUMIFS(Base!$W$3:$W$5001,Base!$B$3:$B$5001,J$127,Base!$A$3:$A$5001,_xlfn.MAXIFS(Base!$A$3:$A$5001,Base!$B$3:$B$5001,J$127,Base!$A$3:$A$5001,"&gt;="&amp;$C$7,Base!$A$3:$A$5001,"&lt;="&amp;$B141,Base!$W$3:$W$5001,"&lt;&gt;"))))</f>
        <v>1</v>
      </c>
      <c r="K141">
        <f>IF($A141&gt;$B$9,"",IF(COUNTIFS(Base!$B$3:$B$5001,K$127,Base!$A$3:$A$5001,"&gt;="&amp;$C$7,Base!$A$3:$A$5001,"&lt;="&amp;$B141,Base!$W$3:$W$5001,"&lt;&gt;")=0,"",SUMIFS(Base!$W$3:$W$5001,Base!$B$3:$B$5001,K$127,Base!$A$3:$A$5001,_xlfn.MAXIFS(Base!$A$3:$A$5001,Base!$B$3:$B$5001,K$127,Base!$A$3:$A$5001,"&gt;="&amp;$C$7,Base!$A$3:$A$5001,"&lt;="&amp;$B141,Base!$W$3:$W$5001,"&lt;&gt;"))))</f>
        <v>4</v>
      </c>
    </row>
    <row r="142">
      <c r="A142">
        <v>15</v>
      </c>
      <c r="B142" s="152">
        <f>$B$26</f>
        <v>46280</v>
      </c>
      <c r="C142">
        <f>IF($A142&gt;$B$9,"",IF(COUNTIFS(Base!$B$3:$B$5001,C$127,Base!$A$3:$A$5001,"&gt;="&amp;$C$7,Base!$A$3:$A$5001,"&lt;="&amp;$B142,Base!$W$3:$W$5001,"&lt;&gt;")=0,"",SUMIFS(Base!$W$3:$W$5001,Base!$B$3:$B$5001,C$127,Base!$A$3:$A$5001,_xlfn.MAXIFS(Base!$A$3:$A$5001,Base!$B$3:$B$5001,C$127,Base!$A$3:$A$5001,"&gt;="&amp;$C$7,Base!$A$3:$A$5001,"&lt;="&amp;$B142,Base!$W$3:$W$5001,"&lt;&gt;"))))</f>
        <v>4</v>
      </c>
      <c r="D142">
        <f>IF($A142&gt;$B$9,"",IF(COUNTIFS(Base!$B$3:$B$5001,D$127,Base!$A$3:$A$5001,"&gt;="&amp;$C$7,Base!$A$3:$A$5001,"&lt;="&amp;$B142,Base!$W$3:$W$5001,"&lt;&gt;")=0,"",SUMIFS(Base!$W$3:$W$5001,Base!$B$3:$B$5001,D$127,Base!$A$3:$A$5001,_xlfn.MAXIFS(Base!$A$3:$A$5001,Base!$B$3:$B$5001,D$127,Base!$A$3:$A$5001,"&gt;="&amp;$C$7,Base!$A$3:$A$5001,"&lt;="&amp;$B142,Base!$W$3:$W$5001,"&lt;&gt;"))))</f>
        <v>9</v>
      </c>
      <c r="E142">
        <f>IF($A142&gt;$B$9,"",IF(COUNTIFS(Base!$B$3:$B$5001,E$127,Base!$A$3:$A$5001,"&gt;="&amp;$C$7,Base!$A$3:$A$5001,"&lt;="&amp;$B142,Base!$W$3:$W$5001,"&lt;&gt;")=0,"",SUMIFS(Base!$W$3:$W$5001,Base!$B$3:$B$5001,E$127,Base!$A$3:$A$5001,_xlfn.MAXIFS(Base!$A$3:$A$5001,Base!$B$3:$B$5001,E$127,Base!$A$3:$A$5001,"&gt;="&amp;$C$7,Base!$A$3:$A$5001,"&lt;="&amp;$B142,Base!$W$3:$W$5001,"&lt;&gt;"))))</f>
        <v>14</v>
      </c>
      <c r="F142">
        <f>IF($A142&gt;$B$9,"",IF(COUNTIFS(Base!$B$3:$B$5001,F$127,Base!$A$3:$A$5001,"&gt;="&amp;$C$7,Base!$A$3:$A$5001,"&lt;="&amp;$B142,Base!$W$3:$W$5001,"&lt;&gt;")=0,"",SUMIFS(Base!$W$3:$W$5001,Base!$B$3:$B$5001,F$127,Base!$A$3:$A$5001,_xlfn.MAXIFS(Base!$A$3:$A$5001,Base!$B$3:$B$5001,F$127,Base!$A$3:$A$5001,"&gt;="&amp;$C$7,Base!$A$3:$A$5001,"&lt;="&amp;$B142,Base!$W$3:$W$5001,"&lt;&gt;"))))</f>
        <v>6</v>
      </c>
      <c r="G142">
        <f>IF($A142&gt;$B$9,"",IF(COUNTIFS(Base!$B$3:$B$5001,G$127,Base!$A$3:$A$5001,"&gt;="&amp;$C$7,Base!$A$3:$A$5001,"&lt;="&amp;$B142,Base!$W$3:$W$5001,"&lt;&gt;")=0,"",SUMIFS(Base!$W$3:$W$5001,Base!$B$3:$B$5001,G$127,Base!$A$3:$A$5001,_xlfn.MAXIFS(Base!$A$3:$A$5001,Base!$B$3:$B$5001,G$127,Base!$A$3:$A$5001,"&gt;="&amp;$C$7,Base!$A$3:$A$5001,"&lt;="&amp;$B142,Base!$W$3:$W$5001,"&lt;&gt;"))))</f>
        <v>3</v>
      </c>
      <c r="H142">
        <f>IF($A142&gt;$B$9,"",IF(COUNTIFS(Base!$B$3:$B$5001,H$127,Base!$A$3:$A$5001,"&gt;="&amp;$C$7,Base!$A$3:$A$5001,"&lt;="&amp;$B142,Base!$W$3:$W$5001,"&lt;&gt;")=0,"",SUMIFS(Base!$W$3:$W$5001,Base!$B$3:$B$5001,H$127,Base!$A$3:$A$5001,_xlfn.MAXIFS(Base!$A$3:$A$5001,Base!$B$3:$B$5001,H$127,Base!$A$3:$A$5001,"&gt;="&amp;$C$7,Base!$A$3:$A$5001,"&lt;="&amp;$B142,Base!$W$3:$W$5001,"&lt;&gt;"))))</f>
        <v>5</v>
      </c>
      <c r="I142">
        <f>IF($A142&gt;$B$9,"",IF(COUNTIFS(Base!$B$3:$B$5001,I$127,Base!$A$3:$A$5001,"&gt;="&amp;$C$7,Base!$A$3:$A$5001,"&lt;="&amp;$B142,Base!$W$3:$W$5001,"&lt;&gt;")=0,"",SUMIFS(Base!$W$3:$W$5001,Base!$B$3:$B$5001,I$127,Base!$A$3:$A$5001,_xlfn.MAXIFS(Base!$A$3:$A$5001,Base!$B$3:$B$5001,I$127,Base!$A$3:$A$5001,"&gt;="&amp;$C$7,Base!$A$3:$A$5001,"&lt;="&amp;$B142,Base!$W$3:$W$5001,"&lt;&gt;"))))</f>
        <v>14</v>
      </c>
      <c r="J142">
        <f>IF($A142&gt;$B$9,"",IF(COUNTIFS(Base!$B$3:$B$5001,J$127,Base!$A$3:$A$5001,"&gt;="&amp;$C$7,Base!$A$3:$A$5001,"&lt;="&amp;$B142,Base!$W$3:$W$5001,"&lt;&gt;")=0,"",SUMIFS(Base!$W$3:$W$5001,Base!$B$3:$B$5001,J$127,Base!$A$3:$A$5001,_xlfn.MAXIFS(Base!$A$3:$A$5001,Base!$B$3:$B$5001,J$127,Base!$A$3:$A$5001,"&gt;="&amp;$C$7,Base!$A$3:$A$5001,"&lt;="&amp;$B142,Base!$W$3:$W$5001,"&lt;&gt;"))))</f>
        <v>1</v>
      </c>
      <c r="K142">
        <f>IF($A142&gt;$B$9,"",IF(COUNTIFS(Base!$B$3:$B$5001,K$127,Base!$A$3:$A$5001,"&gt;="&amp;$C$7,Base!$A$3:$A$5001,"&lt;="&amp;$B142,Base!$W$3:$W$5001,"&lt;&gt;")=0,"",SUMIFS(Base!$W$3:$W$5001,Base!$B$3:$B$5001,K$127,Base!$A$3:$A$5001,_xlfn.MAXIFS(Base!$A$3:$A$5001,Base!$B$3:$B$5001,K$127,Base!$A$3:$A$5001,"&gt;="&amp;$C$7,Base!$A$3:$A$5001,"&lt;="&amp;$B142,Base!$W$3:$W$5001,"&lt;&gt;"))))</f>
        <v>14</v>
      </c>
    </row>
    <row r="143">
      <c r="A143">
        <v>16</v>
      </c>
      <c r="B143" s="152">
        <f>$B$27</f>
        <v>46281</v>
      </c>
      <c r="C143">
        <f>IF($A143&gt;$B$9,"",IF(COUNTIFS(Base!$B$3:$B$5001,C$127,Base!$A$3:$A$5001,"&gt;="&amp;$C$7,Base!$A$3:$A$5001,"&lt;="&amp;$B143,Base!$W$3:$W$5001,"&lt;&gt;")=0,"",SUMIFS(Base!$W$3:$W$5001,Base!$B$3:$B$5001,C$127,Base!$A$3:$A$5001,_xlfn.MAXIFS(Base!$A$3:$A$5001,Base!$B$3:$B$5001,C$127,Base!$A$3:$A$5001,"&gt;="&amp;$C$7,Base!$A$3:$A$5001,"&lt;="&amp;$B143,Base!$W$3:$W$5001,"&lt;&gt;"))))</f>
        <v>4</v>
      </c>
      <c r="D143">
        <f>IF($A143&gt;$B$9,"",IF(COUNTIFS(Base!$B$3:$B$5001,D$127,Base!$A$3:$A$5001,"&gt;="&amp;$C$7,Base!$A$3:$A$5001,"&lt;="&amp;$B143,Base!$W$3:$W$5001,"&lt;&gt;")=0,"",SUMIFS(Base!$W$3:$W$5001,Base!$B$3:$B$5001,D$127,Base!$A$3:$A$5001,_xlfn.MAXIFS(Base!$A$3:$A$5001,Base!$B$3:$B$5001,D$127,Base!$A$3:$A$5001,"&gt;="&amp;$C$7,Base!$A$3:$A$5001,"&lt;="&amp;$B143,Base!$W$3:$W$5001,"&lt;&gt;"))))</f>
        <v>12</v>
      </c>
      <c r="E143">
        <f>IF($A143&gt;$B$9,"",IF(COUNTIFS(Base!$B$3:$B$5001,E$127,Base!$A$3:$A$5001,"&gt;="&amp;$C$7,Base!$A$3:$A$5001,"&lt;="&amp;$B143,Base!$W$3:$W$5001,"&lt;&gt;")=0,"",SUMIFS(Base!$W$3:$W$5001,Base!$B$3:$B$5001,E$127,Base!$A$3:$A$5001,_xlfn.MAXIFS(Base!$A$3:$A$5001,Base!$B$3:$B$5001,E$127,Base!$A$3:$A$5001,"&gt;="&amp;$C$7,Base!$A$3:$A$5001,"&lt;="&amp;$B143,Base!$W$3:$W$5001,"&lt;&gt;"))))</f>
        <v>14</v>
      </c>
      <c r="F143">
        <f>IF($A143&gt;$B$9,"",IF(COUNTIFS(Base!$B$3:$B$5001,F$127,Base!$A$3:$A$5001,"&gt;="&amp;$C$7,Base!$A$3:$A$5001,"&lt;="&amp;$B143,Base!$W$3:$W$5001,"&lt;&gt;")=0,"",SUMIFS(Base!$W$3:$W$5001,Base!$B$3:$B$5001,F$127,Base!$A$3:$A$5001,_xlfn.MAXIFS(Base!$A$3:$A$5001,Base!$B$3:$B$5001,F$127,Base!$A$3:$A$5001,"&gt;="&amp;$C$7,Base!$A$3:$A$5001,"&lt;="&amp;$B143,Base!$W$3:$W$5001,"&lt;&gt;"))))</f>
        <v>6</v>
      </c>
      <c r="G143">
        <f>IF($A143&gt;$B$9,"",IF(COUNTIFS(Base!$B$3:$B$5001,G$127,Base!$A$3:$A$5001,"&gt;="&amp;$C$7,Base!$A$3:$A$5001,"&lt;="&amp;$B143,Base!$W$3:$W$5001,"&lt;&gt;")=0,"",SUMIFS(Base!$W$3:$W$5001,Base!$B$3:$B$5001,G$127,Base!$A$3:$A$5001,_xlfn.MAXIFS(Base!$A$3:$A$5001,Base!$B$3:$B$5001,G$127,Base!$A$3:$A$5001,"&gt;="&amp;$C$7,Base!$A$3:$A$5001,"&lt;="&amp;$B143,Base!$W$3:$W$5001,"&lt;&gt;"))))</f>
        <v>14</v>
      </c>
      <c r="H143">
        <f>IF($A143&gt;$B$9,"",IF(COUNTIFS(Base!$B$3:$B$5001,H$127,Base!$A$3:$A$5001,"&gt;="&amp;$C$7,Base!$A$3:$A$5001,"&lt;="&amp;$B143,Base!$W$3:$W$5001,"&lt;&gt;")=0,"",SUMIFS(Base!$W$3:$W$5001,Base!$B$3:$B$5001,H$127,Base!$A$3:$A$5001,_xlfn.MAXIFS(Base!$A$3:$A$5001,Base!$B$3:$B$5001,H$127,Base!$A$3:$A$5001,"&gt;="&amp;$C$7,Base!$A$3:$A$5001,"&lt;="&amp;$B143,Base!$W$3:$W$5001,"&lt;&gt;"))))</f>
        <v>4</v>
      </c>
      <c r="I143">
        <f>IF($A143&gt;$B$9,"",IF(COUNTIFS(Base!$B$3:$B$5001,I$127,Base!$A$3:$A$5001,"&gt;="&amp;$C$7,Base!$A$3:$A$5001,"&lt;="&amp;$B143,Base!$W$3:$W$5001,"&lt;&gt;")=0,"",SUMIFS(Base!$W$3:$W$5001,Base!$B$3:$B$5001,I$127,Base!$A$3:$A$5001,_xlfn.MAXIFS(Base!$A$3:$A$5001,Base!$B$3:$B$5001,I$127,Base!$A$3:$A$5001,"&gt;="&amp;$C$7,Base!$A$3:$A$5001,"&lt;="&amp;$B143,Base!$W$3:$W$5001,"&lt;&gt;"))))</f>
        <v>14</v>
      </c>
      <c r="J143">
        <f>IF($A143&gt;$B$9,"",IF(COUNTIFS(Base!$B$3:$B$5001,J$127,Base!$A$3:$A$5001,"&gt;="&amp;$C$7,Base!$A$3:$A$5001,"&lt;="&amp;$B143,Base!$W$3:$W$5001,"&lt;&gt;")=0,"",SUMIFS(Base!$W$3:$W$5001,Base!$B$3:$B$5001,J$127,Base!$A$3:$A$5001,_xlfn.MAXIFS(Base!$A$3:$A$5001,Base!$B$3:$B$5001,J$127,Base!$A$3:$A$5001,"&gt;="&amp;$C$7,Base!$A$3:$A$5001,"&lt;="&amp;$B143,Base!$W$3:$W$5001,"&lt;&gt;"))))</f>
        <v>1</v>
      </c>
      <c r="K143">
        <f>IF($A143&gt;$B$9,"",IF(COUNTIFS(Base!$B$3:$B$5001,K$127,Base!$A$3:$A$5001,"&gt;="&amp;$C$7,Base!$A$3:$A$5001,"&lt;="&amp;$B143,Base!$W$3:$W$5001,"&lt;&gt;")=0,"",SUMIFS(Base!$W$3:$W$5001,Base!$B$3:$B$5001,K$127,Base!$A$3:$A$5001,_xlfn.MAXIFS(Base!$A$3:$A$5001,Base!$B$3:$B$5001,K$127,Base!$A$3:$A$5001,"&gt;="&amp;$C$7,Base!$A$3:$A$5001,"&lt;="&amp;$B143,Base!$W$3:$W$5001,"&lt;&gt;"))))</f>
        <v>14</v>
      </c>
    </row>
    <row r="144">
      <c r="A144">
        <v>17</v>
      </c>
      <c r="B144" s="152">
        <f>$B$28</f>
        <v>46282</v>
      </c>
      <c r="C144">
        <f>IF($A144&gt;$B$9,"",IF(COUNTIFS(Base!$B$3:$B$5001,C$127,Base!$A$3:$A$5001,"&gt;="&amp;$C$7,Base!$A$3:$A$5001,"&lt;="&amp;$B144,Base!$W$3:$W$5001,"&lt;&gt;")=0,"",SUMIFS(Base!$W$3:$W$5001,Base!$B$3:$B$5001,C$127,Base!$A$3:$A$5001,_xlfn.MAXIFS(Base!$A$3:$A$5001,Base!$B$3:$B$5001,C$127,Base!$A$3:$A$5001,"&gt;="&amp;$C$7,Base!$A$3:$A$5001,"&lt;="&amp;$B144,Base!$W$3:$W$5001,"&lt;&gt;"))))</f>
        <v>4</v>
      </c>
      <c r="D144">
        <f>IF($A144&gt;$B$9,"",IF(COUNTIFS(Base!$B$3:$B$5001,D$127,Base!$A$3:$A$5001,"&gt;="&amp;$C$7,Base!$A$3:$A$5001,"&lt;="&amp;$B144,Base!$W$3:$W$5001,"&lt;&gt;")=0,"",SUMIFS(Base!$W$3:$W$5001,Base!$B$3:$B$5001,D$127,Base!$A$3:$A$5001,_xlfn.MAXIFS(Base!$A$3:$A$5001,Base!$B$3:$B$5001,D$127,Base!$A$3:$A$5001,"&gt;="&amp;$C$7,Base!$A$3:$A$5001,"&lt;="&amp;$B144,Base!$W$3:$W$5001,"&lt;&gt;"))))</f>
        <v>12</v>
      </c>
      <c r="E144">
        <f>IF($A144&gt;$B$9,"",IF(COUNTIFS(Base!$B$3:$B$5001,E$127,Base!$A$3:$A$5001,"&gt;="&amp;$C$7,Base!$A$3:$A$5001,"&lt;="&amp;$B144,Base!$W$3:$W$5001,"&lt;&gt;")=0,"",SUMIFS(Base!$W$3:$W$5001,Base!$B$3:$B$5001,E$127,Base!$A$3:$A$5001,_xlfn.MAXIFS(Base!$A$3:$A$5001,Base!$B$3:$B$5001,E$127,Base!$A$3:$A$5001,"&gt;="&amp;$C$7,Base!$A$3:$A$5001,"&lt;="&amp;$B144,Base!$W$3:$W$5001,"&lt;&gt;"))))</f>
        <v>7</v>
      </c>
      <c r="F144">
        <f>IF($A144&gt;$B$9,"",IF(COUNTIFS(Base!$B$3:$B$5001,F$127,Base!$A$3:$A$5001,"&gt;="&amp;$C$7,Base!$A$3:$A$5001,"&lt;="&amp;$B144,Base!$W$3:$W$5001,"&lt;&gt;")=0,"",SUMIFS(Base!$W$3:$W$5001,Base!$B$3:$B$5001,F$127,Base!$A$3:$A$5001,_xlfn.MAXIFS(Base!$A$3:$A$5001,Base!$B$3:$B$5001,F$127,Base!$A$3:$A$5001,"&gt;="&amp;$C$7,Base!$A$3:$A$5001,"&lt;="&amp;$B144,Base!$W$3:$W$5001,"&lt;&gt;"))))</f>
        <v>6</v>
      </c>
      <c r="G144">
        <f>IF($A144&gt;$B$9,"",IF(COUNTIFS(Base!$B$3:$B$5001,G$127,Base!$A$3:$A$5001,"&gt;="&amp;$C$7,Base!$A$3:$A$5001,"&lt;="&amp;$B144,Base!$W$3:$W$5001,"&lt;&gt;")=0,"",SUMIFS(Base!$W$3:$W$5001,Base!$B$3:$B$5001,G$127,Base!$A$3:$A$5001,_xlfn.MAXIFS(Base!$A$3:$A$5001,Base!$B$3:$B$5001,G$127,Base!$A$3:$A$5001,"&gt;="&amp;$C$7,Base!$A$3:$A$5001,"&lt;="&amp;$B144,Base!$W$3:$W$5001,"&lt;&gt;"))))</f>
        <v>14</v>
      </c>
      <c r="H144">
        <f>IF($A144&gt;$B$9,"",IF(COUNTIFS(Base!$B$3:$B$5001,H$127,Base!$A$3:$A$5001,"&gt;="&amp;$C$7,Base!$A$3:$A$5001,"&lt;="&amp;$B144,Base!$W$3:$W$5001,"&lt;&gt;")=0,"",SUMIFS(Base!$W$3:$W$5001,Base!$B$3:$B$5001,H$127,Base!$A$3:$A$5001,_xlfn.MAXIFS(Base!$A$3:$A$5001,Base!$B$3:$B$5001,H$127,Base!$A$3:$A$5001,"&gt;="&amp;$C$7,Base!$A$3:$A$5001,"&lt;="&amp;$B144,Base!$W$3:$W$5001,"&lt;&gt;"))))</f>
        <v>7</v>
      </c>
      <c r="I144">
        <f>IF($A144&gt;$B$9,"",IF(COUNTIFS(Base!$B$3:$B$5001,I$127,Base!$A$3:$A$5001,"&gt;="&amp;$C$7,Base!$A$3:$A$5001,"&lt;="&amp;$B144,Base!$W$3:$W$5001,"&lt;&gt;")=0,"",SUMIFS(Base!$W$3:$W$5001,Base!$B$3:$B$5001,I$127,Base!$A$3:$A$5001,_xlfn.MAXIFS(Base!$A$3:$A$5001,Base!$B$3:$B$5001,I$127,Base!$A$3:$A$5001,"&gt;="&amp;$C$7,Base!$A$3:$A$5001,"&lt;="&amp;$B144,Base!$W$3:$W$5001,"&lt;&gt;"))))</f>
        <v>14</v>
      </c>
      <c r="J144">
        <f>IF($A144&gt;$B$9,"",IF(COUNTIFS(Base!$B$3:$B$5001,J$127,Base!$A$3:$A$5001,"&gt;="&amp;$C$7,Base!$A$3:$A$5001,"&lt;="&amp;$B144,Base!$W$3:$W$5001,"&lt;&gt;")=0,"",SUMIFS(Base!$W$3:$W$5001,Base!$B$3:$B$5001,J$127,Base!$A$3:$A$5001,_xlfn.MAXIFS(Base!$A$3:$A$5001,Base!$B$3:$B$5001,J$127,Base!$A$3:$A$5001,"&gt;="&amp;$C$7,Base!$A$3:$A$5001,"&lt;="&amp;$B144,Base!$W$3:$W$5001,"&lt;&gt;"))))</f>
        <v>1</v>
      </c>
      <c r="K144">
        <f>IF($A144&gt;$B$9,"",IF(COUNTIFS(Base!$B$3:$B$5001,K$127,Base!$A$3:$A$5001,"&gt;="&amp;$C$7,Base!$A$3:$A$5001,"&lt;="&amp;$B144,Base!$W$3:$W$5001,"&lt;&gt;")=0,"",SUMIFS(Base!$W$3:$W$5001,Base!$B$3:$B$5001,K$127,Base!$A$3:$A$5001,_xlfn.MAXIFS(Base!$A$3:$A$5001,Base!$B$3:$B$5001,K$127,Base!$A$3:$A$5001,"&gt;="&amp;$C$7,Base!$A$3:$A$5001,"&lt;="&amp;$B144,Base!$W$3:$W$5001,"&lt;&gt;"))))</f>
        <v>14</v>
      </c>
    </row>
    <row r="145">
      <c r="A145">
        <v>18</v>
      </c>
      <c r="B145" s="152">
        <f>$B$29</f>
        <v>46283</v>
      </c>
      <c r="C145">
        <f>IF($A145&gt;$B$9,"",IF(COUNTIFS(Base!$B$3:$B$5001,C$127,Base!$A$3:$A$5001,"&gt;="&amp;$C$7,Base!$A$3:$A$5001,"&lt;="&amp;$B145,Base!$W$3:$W$5001,"&lt;&gt;")=0,"",SUMIFS(Base!$W$3:$W$5001,Base!$B$3:$B$5001,C$127,Base!$A$3:$A$5001,_xlfn.MAXIFS(Base!$A$3:$A$5001,Base!$B$3:$B$5001,C$127,Base!$A$3:$A$5001,"&gt;="&amp;$C$7,Base!$A$3:$A$5001,"&lt;="&amp;$B145,Base!$W$3:$W$5001,"&lt;&gt;"))))</f>
        <v>4</v>
      </c>
      <c r="D145">
        <f>IF($A145&gt;$B$9,"",IF(COUNTIFS(Base!$B$3:$B$5001,D$127,Base!$A$3:$A$5001,"&gt;="&amp;$C$7,Base!$A$3:$A$5001,"&lt;="&amp;$B145,Base!$W$3:$W$5001,"&lt;&gt;")=0,"",SUMIFS(Base!$W$3:$W$5001,Base!$B$3:$B$5001,D$127,Base!$A$3:$A$5001,_xlfn.MAXIFS(Base!$A$3:$A$5001,Base!$B$3:$B$5001,D$127,Base!$A$3:$A$5001,"&gt;="&amp;$C$7,Base!$A$3:$A$5001,"&lt;="&amp;$B145,Base!$W$3:$W$5001,"&lt;&gt;"))))</f>
        <v>14</v>
      </c>
      <c r="E145">
        <f>IF($A145&gt;$B$9,"",IF(COUNTIFS(Base!$B$3:$B$5001,E$127,Base!$A$3:$A$5001,"&gt;="&amp;$C$7,Base!$A$3:$A$5001,"&lt;="&amp;$B145,Base!$W$3:$W$5001,"&lt;&gt;")=0,"",SUMIFS(Base!$W$3:$W$5001,Base!$B$3:$B$5001,E$127,Base!$A$3:$A$5001,_xlfn.MAXIFS(Base!$A$3:$A$5001,Base!$B$3:$B$5001,E$127,Base!$A$3:$A$5001,"&gt;="&amp;$C$7,Base!$A$3:$A$5001,"&lt;="&amp;$B145,Base!$W$3:$W$5001,"&lt;&gt;"))))</f>
        <v>5</v>
      </c>
      <c r="F145">
        <f>IF($A145&gt;$B$9,"",IF(COUNTIFS(Base!$B$3:$B$5001,F$127,Base!$A$3:$A$5001,"&gt;="&amp;$C$7,Base!$A$3:$A$5001,"&lt;="&amp;$B145,Base!$W$3:$W$5001,"&lt;&gt;")=0,"",SUMIFS(Base!$W$3:$W$5001,Base!$B$3:$B$5001,F$127,Base!$A$3:$A$5001,_xlfn.MAXIFS(Base!$A$3:$A$5001,Base!$B$3:$B$5001,F$127,Base!$A$3:$A$5001,"&gt;="&amp;$C$7,Base!$A$3:$A$5001,"&lt;="&amp;$B145,Base!$W$3:$W$5001,"&lt;&gt;"))))</f>
        <v>6</v>
      </c>
      <c r="G145">
        <f>IF($A145&gt;$B$9,"",IF(COUNTIFS(Base!$B$3:$B$5001,G$127,Base!$A$3:$A$5001,"&gt;="&amp;$C$7,Base!$A$3:$A$5001,"&lt;="&amp;$B145,Base!$W$3:$W$5001,"&lt;&gt;")=0,"",SUMIFS(Base!$W$3:$W$5001,Base!$B$3:$B$5001,G$127,Base!$A$3:$A$5001,_xlfn.MAXIFS(Base!$A$3:$A$5001,Base!$B$3:$B$5001,G$127,Base!$A$3:$A$5001,"&gt;="&amp;$C$7,Base!$A$3:$A$5001,"&lt;="&amp;$B145,Base!$W$3:$W$5001,"&lt;&gt;"))))</f>
        <v>14</v>
      </c>
      <c r="H145">
        <f>IF($A145&gt;$B$9,"",IF(COUNTIFS(Base!$B$3:$B$5001,H$127,Base!$A$3:$A$5001,"&gt;="&amp;$C$7,Base!$A$3:$A$5001,"&lt;="&amp;$B145,Base!$W$3:$W$5001,"&lt;&gt;")=0,"",SUMIFS(Base!$W$3:$W$5001,Base!$B$3:$B$5001,H$127,Base!$A$3:$A$5001,_xlfn.MAXIFS(Base!$A$3:$A$5001,Base!$B$3:$B$5001,H$127,Base!$A$3:$A$5001,"&gt;="&amp;$C$7,Base!$A$3:$A$5001,"&lt;="&amp;$B145,Base!$W$3:$W$5001,"&lt;&gt;"))))</f>
        <v>7</v>
      </c>
      <c r="I145">
        <f>IF($A145&gt;$B$9,"",IF(COUNTIFS(Base!$B$3:$B$5001,I$127,Base!$A$3:$A$5001,"&gt;="&amp;$C$7,Base!$A$3:$A$5001,"&lt;="&amp;$B145,Base!$W$3:$W$5001,"&lt;&gt;")=0,"",SUMIFS(Base!$W$3:$W$5001,Base!$B$3:$B$5001,I$127,Base!$A$3:$A$5001,_xlfn.MAXIFS(Base!$A$3:$A$5001,Base!$B$3:$B$5001,I$127,Base!$A$3:$A$5001,"&gt;="&amp;$C$7,Base!$A$3:$A$5001,"&lt;="&amp;$B145,Base!$W$3:$W$5001,"&lt;&gt;"))))</f>
        <v>8</v>
      </c>
      <c r="J145">
        <f>IF($A145&gt;$B$9,"",IF(COUNTIFS(Base!$B$3:$B$5001,J$127,Base!$A$3:$A$5001,"&gt;="&amp;$C$7,Base!$A$3:$A$5001,"&lt;="&amp;$B145,Base!$W$3:$W$5001,"&lt;&gt;")=0,"",SUMIFS(Base!$W$3:$W$5001,Base!$B$3:$B$5001,J$127,Base!$A$3:$A$5001,_xlfn.MAXIFS(Base!$A$3:$A$5001,Base!$B$3:$B$5001,J$127,Base!$A$3:$A$5001,"&gt;="&amp;$C$7,Base!$A$3:$A$5001,"&lt;="&amp;$B145,Base!$W$3:$W$5001,"&lt;&gt;"))))</f>
        <v>1</v>
      </c>
      <c r="K145">
        <f>IF($A145&gt;$B$9,"",IF(COUNTIFS(Base!$B$3:$B$5001,K$127,Base!$A$3:$A$5001,"&gt;="&amp;$C$7,Base!$A$3:$A$5001,"&lt;="&amp;$B145,Base!$W$3:$W$5001,"&lt;&gt;")=0,"",SUMIFS(Base!$W$3:$W$5001,Base!$B$3:$B$5001,K$127,Base!$A$3:$A$5001,_xlfn.MAXIFS(Base!$A$3:$A$5001,Base!$B$3:$B$5001,K$127,Base!$A$3:$A$5001,"&gt;="&amp;$C$7,Base!$A$3:$A$5001,"&lt;="&amp;$B145,Base!$W$3:$W$5001,"&lt;&gt;"))))</f>
        <v>14</v>
      </c>
    </row>
    <row r="146">
      <c r="A146">
        <v>19</v>
      </c>
      <c r="B146" s="152">
        <f>$B$30</f>
        <v>46284</v>
      </c>
      <c r="C146">
        <f>IF($A146&gt;$B$9,"",IF(COUNTIFS(Base!$B$3:$B$5001,C$127,Base!$A$3:$A$5001,"&gt;="&amp;$C$7,Base!$A$3:$A$5001,"&lt;="&amp;$B146,Base!$W$3:$W$5001,"&lt;&gt;")=0,"",SUMIFS(Base!$W$3:$W$5001,Base!$B$3:$B$5001,C$127,Base!$A$3:$A$5001,_xlfn.MAXIFS(Base!$A$3:$A$5001,Base!$B$3:$B$5001,C$127,Base!$A$3:$A$5001,"&gt;="&amp;$C$7,Base!$A$3:$A$5001,"&lt;="&amp;$B146,Base!$W$3:$W$5001,"&lt;&gt;"))))</f>
        <v>4</v>
      </c>
      <c r="D146">
        <f>IF($A146&gt;$B$9,"",IF(COUNTIFS(Base!$B$3:$B$5001,D$127,Base!$A$3:$A$5001,"&gt;="&amp;$C$7,Base!$A$3:$A$5001,"&lt;="&amp;$B146,Base!$W$3:$W$5001,"&lt;&gt;")=0,"",SUMIFS(Base!$W$3:$W$5001,Base!$B$3:$B$5001,D$127,Base!$A$3:$A$5001,_xlfn.MAXIFS(Base!$A$3:$A$5001,Base!$B$3:$B$5001,D$127,Base!$A$3:$A$5001,"&gt;="&amp;$C$7,Base!$A$3:$A$5001,"&lt;="&amp;$B146,Base!$W$3:$W$5001,"&lt;&gt;"))))</f>
        <v>14</v>
      </c>
      <c r="E146">
        <f>IF($A146&gt;$B$9,"",IF(COUNTIFS(Base!$B$3:$B$5001,E$127,Base!$A$3:$A$5001,"&gt;="&amp;$C$7,Base!$A$3:$A$5001,"&lt;="&amp;$B146,Base!$W$3:$W$5001,"&lt;&gt;")=0,"",SUMIFS(Base!$W$3:$W$5001,Base!$B$3:$B$5001,E$127,Base!$A$3:$A$5001,_xlfn.MAXIFS(Base!$A$3:$A$5001,Base!$B$3:$B$5001,E$127,Base!$A$3:$A$5001,"&gt;="&amp;$C$7,Base!$A$3:$A$5001,"&lt;="&amp;$B146,Base!$W$3:$W$5001,"&lt;&gt;"))))</f>
        <v>5</v>
      </c>
      <c r="F146">
        <f>IF($A146&gt;$B$9,"",IF(COUNTIFS(Base!$B$3:$B$5001,F$127,Base!$A$3:$A$5001,"&gt;="&amp;$C$7,Base!$A$3:$A$5001,"&lt;="&amp;$B146,Base!$W$3:$W$5001,"&lt;&gt;")=0,"",SUMIFS(Base!$W$3:$W$5001,Base!$B$3:$B$5001,F$127,Base!$A$3:$A$5001,_xlfn.MAXIFS(Base!$A$3:$A$5001,Base!$B$3:$B$5001,F$127,Base!$A$3:$A$5001,"&gt;="&amp;$C$7,Base!$A$3:$A$5001,"&lt;="&amp;$B146,Base!$W$3:$W$5001,"&lt;&gt;"))))</f>
        <v>6</v>
      </c>
      <c r="G146">
        <f>IF($A146&gt;$B$9,"",IF(COUNTIFS(Base!$B$3:$B$5001,G$127,Base!$A$3:$A$5001,"&gt;="&amp;$C$7,Base!$A$3:$A$5001,"&lt;="&amp;$B146,Base!$W$3:$W$5001,"&lt;&gt;")=0,"",SUMIFS(Base!$W$3:$W$5001,Base!$B$3:$B$5001,G$127,Base!$A$3:$A$5001,_xlfn.MAXIFS(Base!$A$3:$A$5001,Base!$B$3:$B$5001,G$127,Base!$A$3:$A$5001,"&gt;="&amp;$C$7,Base!$A$3:$A$5001,"&lt;="&amp;$B146,Base!$W$3:$W$5001,"&lt;&gt;"))))</f>
        <v>13</v>
      </c>
      <c r="H146">
        <f>IF($A146&gt;$B$9,"",IF(COUNTIFS(Base!$B$3:$B$5001,H$127,Base!$A$3:$A$5001,"&gt;="&amp;$C$7,Base!$A$3:$A$5001,"&lt;="&amp;$B146,Base!$W$3:$W$5001,"&lt;&gt;")=0,"",SUMIFS(Base!$W$3:$W$5001,Base!$B$3:$B$5001,H$127,Base!$A$3:$A$5001,_xlfn.MAXIFS(Base!$A$3:$A$5001,Base!$B$3:$B$5001,H$127,Base!$A$3:$A$5001,"&gt;="&amp;$C$7,Base!$A$3:$A$5001,"&lt;="&amp;$B146,Base!$W$3:$W$5001,"&lt;&gt;"))))</f>
        <v>3</v>
      </c>
      <c r="I146">
        <f>IF($A146&gt;$B$9,"",IF(COUNTIFS(Base!$B$3:$B$5001,I$127,Base!$A$3:$A$5001,"&gt;="&amp;$C$7,Base!$A$3:$A$5001,"&lt;="&amp;$B146,Base!$W$3:$W$5001,"&lt;&gt;")=0,"",SUMIFS(Base!$W$3:$W$5001,Base!$B$3:$B$5001,I$127,Base!$A$3:$A$5001,_xlfn.MAXIFS(Base!$A$3:$A$5001,Base!$B$3:$B$5001,I$127,Base!$A$3:$A$5001,"&gt;="&amp;$C$7,Base!$A$3:$A$5001,"&lt;="&amp;$B146,Base!$W$3:$W$5001,"&lt;&gt;"))))</f>
        <v>8</v>
      </c>
      <c r="J146">
        <f>IF($A146&gt;$B$9,"",IF(COUNTIFS(Base!$B$3:$B$5001,J$127,Base!$A$3:$A$5001,"&gt;="&amp;$C$7,Base!$A$3:$A$5001,"&lt;="&amp;$B146,Base!$W$3:$W$5001,"&lt;&gt;")=0,"",SUMIFS(Base!$W$3:$W$5001,Base!$B$3:$B$5001,J$127,Base!$A$3:$A$5001,_xlfn.MAXIFS(Base!$A$3:$A$5001,Base!$B$3:$B$5001,J$127,Base!$A$3:$A$5001,"&gt;="&amp;$C$7,Base!$A$3:$A$5001,"&lt;="&amp;$B146,Base!$W$3:$W$5001,"&lt;&gt;"))))</f>
        <v>1</v>
      </c>
      <c r="K146">
        <f>IF($A146&gt;$B$9,"",IF(COUNTIFS(Base!$B$3:$B$5001,K$127,Base!$A$3:$A$5001,"&gt;="&amp;$C$7,Base!$A$3:$A$5001,"&lt;="&amp;$B146,Base!$W$3:$W$5001,"&lt;&gt;")=0,"",SUMIFS(Base!$W$3:$W$5001,Base!$B$3:$B$5001,K$127,Base!$A$3:$A$5001,_xlfn.MAXIFS(Base!$A$3:$A$5001,Base!$B$3:$B$5001,K$127,Base!$A$3:$A$5001,"&gt;="&amp;$C$7,Base!$A$3:$A$5001,"&lt;="&amp;$B146,Base!$W$3:$W$5001,"&lt;&gt;"))))</f>
        <v>13</v>
      </c>
    </row>
    <row r="147">
      <c r="A147">
        <v>20</v>
      </c>
      <c r="B147" s="152">
        <f>$B$31</f>
        <v>46285</v>
      </c>
      <c r="C147">
        <f>IF($A147&gt;$B$9,"",IF(COUNTIFS(Base!$B$3:$B$5001,C$127,Base!$A$3:$A$5001,"&gt;="&amp;$C$7,Base!$A$3:$A$5001,"&lt;="&amp;$B147,Base!$W$3:$W$5001,"&lt;&gt;")=0,"",SUMIFS(Base!$W$3:$W$5001,Base!$B$3:$B$5001,C$127,Base!$A$3:$A$5001,_xlfn.MAXIFS(Base!$A$3:$A$5001,Base!$B$3:$B$5001,C$127,Base!$A$3:$A$5001,"&gt;="&amp;$C$7,Base!$A$3:$A$5001,"&lt;="&amp;$B147,Base!$W$3:$W$5001,"&lt;&gt;"))))</f>
        <v>4</v>
      </c>
      <c r="D147">
        <f>IF($A147&gt;$B$9,"",IF(COUNTIFS(Base!$B$3:$B$5001,D$127,Base!$A$3:$A$5001,"&gt;="&amp;$C$7,Base!$A$3:$A$5001,"&lt;="&amp;$B147,Base!$W$3:$W$5001,"&lt;&gt;")=0,"",SUMIFS(Base!$W$3:$W$5001,Base!$B$3:$B$5001,D$127,Base!$A$3:$A$5001,_xlfn.MAXIFS(Base!$A$3:$A$5001,Base!$B$3:$B$5001,D$127,Base!$A$3:$A$5001,"&gt;="&amp;$C$7,Base!$A$3:$A$5001,"&lt;="&amp;$B147,Base!$W$3:$W$5001,"&lt;&gt;"))))</f>
        <v>14</v>
      </c>
      <c r="E147">
        <f>IF($A147&gt;$B$9,"",IF(COUNTIFS(Base!$B$3:$B$5001,E$127,Base!$A$3:$A$5001,"&gt;="&amp;$C$7,Base!$A$3:$A$5001,"&lt;="&amp;$B147,Base!$W$3:$W$5001,"&lt;&gt;")=0,"",SUMIFS(Base!$W$3:$W$5001,Base!$B$3:$B$5001,E$127,Base!$A$3:$A$5001,_xlfn.MAXIFS(Base!$A$3:$A$5001,Base!$B$3:$B$5001,E$127,Base!$A$3:$A$5001,"&gt;="&amp;$C$7,Base!$A$3:$A$5001,"&lt;="&amp;$B147,Base!$W$3:$W$5001,"&lt;&gt;"))))</f>
        <v>5</v>
      </c>
      <c r="F147">
        <f>IF($A147&gt;$B$9,"",IF(COUNTIFS(Base!$B$3:$B$5001,F$127,Base!$A$3:$A$5001,"&gt;="&amp;$C$7,Base!$A$3:$A$5001,"&lt;="&amp;$B147,Base!$W$3:$W$5001,"&lt;&gt;")=0,"",SUMIFS(Base!$W$3:$W$5001,Base!$B$3:$B$5001,F$127,Base!$A$3:$A$5001,_xlfn.MAXIFS(Base!$A$3:$A$5001,Base!$B$3:$B$5001,F$127,Base!$A$3:$A$5001,"&gt;="&amp;$C$7,Base!$A$3:$A$5001,"&lt;="&amp;$B147,Base!$W$3:$W$5001,"&lt;&gt;"))))</f>
        <v>6</v>
      </c>
      <c r="G147">
        <f>IF($A147&gt;$B$9,"",IF(COUNTIFS(Base!$B$3:$B$5001,G$127,Base!$A$3:$A$5001,"&gt;="&amp;$C$7,Base!$A$3:$A$5001,"&lt;="&amp;$B147,Base!$W$3:$W$5001,"&lt;&gt;")=0,"",SUMIFS(Base!$W$3:$W$5001,Base!$B$3:$B$5001,G$127,Base!$A$3:$A$5001,_xlfn.MAXIFS(Base!$A$3:$A$5001,Base!$B$3:$B$5001,G$127,Base!$A$3:$A$5001,"&gt;="&amp;$C$7,Base!$A$3:$A$5001,"&lt;="&amp;$B147,Base!$W$3:$W$5001,"&lt;&gt;"))))</f>
        <v>13</v>
      </c>
      <c r="H147">
        <f>IF($A147&gt;$B$9,"",IF(COUNTIFS(Base!$B$3:$B$5001,H$127,Base!$A$3:$A$5001,"&gt;="&amp;$C$7,Base!$A$3:$A$5001,"&lt;="&amp;$B147,Base!$W$3:$W$5001,"&lt;&gt;")=0,"",SUMIFS(Base!$W$3:$W$5001,Base!$B$3:$B$5001,H$127,Base!$A$3:$A$5001,_xlfn.MAXIFS(Base!$A$3:$A$5001,Base!$B$3:$B$5001,H$127,Base!$A$3:$A$5001,"&gt;="&amp;$C$7,Base!$A$3:$A$5001,"&lt;="&amp;$B147,Base!$W$3:$W$5001,"&lt;&gt;"))))</f>
        <v>3</v>
      </c>
      <c r="I147">
        <f>IF($A147&gt;$B$9,"",IF(COUNTIFS(Base!$B$3:$B$5001,I$127,Base!$A$3:$A$5001,"&gt;="&amp;$C$7,Base!$A$3:$A$5001,"&lt;="&amp;$B147,Base!$W$3:$W$5001,"&lt;&gt;")=0,"",SUMIFS(Base!$W$3:$W$5001,Base!$B$3:$B$5001,I$127,Base!$A$3:$A$5001,_xlfn.MAXIFS(Base!$A$3:$A$5001,Base!$B$3:$B$5001,I$127,Base!$A$3:$A$5001,"&gt;="&amp;$C$7,Base!$A$3:$A$5001,"&lt;="&amp;$B147,Base!$W$3:$W$5001,"&lt;&gt;"))))</f>
        <v>8</v>
      </c>
      <c r="J147">
        <f>IF($A147&gt;$B$9,"",IF(COUNTIFS(Base!$B$3:$B$5001,J$127,Base!$A$3:$A$5001,"&gt;="&amp;$C$7,Base!$A$3:$A$5001,"&lt;="&amp;$B147,Base!$W$3:$W$5001,"&lt;&gt;")=0,"",SUMIFS(Base!$W$3:$W$5001,Base!$B$3:$B$5001,J$127,Base!$A$3:$A$5001,_xlfn.MAXIFS(Base!$A$3:$A$5001,Base!$B$3:$B$5001,J$127,Base!$A$3:$A$5001,"&gt;="&amp;$C$7,Base!$A$3:$A$5001,"&lt;="&amp;$B147,Base!$W$3:$W$5001,"&lt;&gt;"))))</f>
        <v>1</v>
      </c>
      <c r="K147">
        <f>IF($A147&gt;$B$9,"",IF(COUNTIFS(Base!$B$3:$B$5001,K$127,Base!$A$3:$A$5001,"&gt;="&amp;$C$7,Base!$A$3:$A$5001,"&lt;="&amp;$B147,Base!$W$3:$W$5001,"&lt;&gt;")=0,"",SUMIFS(Base!$W$3:$W$5001,Base!$B$3:$B$5001,K$127,Base!$A$3:$A$5001,_xlfn.MAXIFS(Base!$A$3:$A$5001,Base!$B$3:$B$5001,K$127,Base!$A$3:$A$5001,"&gt;="&amp;$C$7,Base!$A$3:$A$5001,"&lt;="&amp;$B147,Base!$W$3:$W$5001,"&lt;&gt;"))))</f>
        <v>13</v>
      </c>
    </row>
    <row r="148">
      <c r="A148">
        <v>21</v>
      </c>
      <c r="B148" s="152">
        <f>$B$32</f>
        <v>46286</v>
      </c>
      <c r="C148">
        <f>IF($A148&gt;$B$9,"",IF(COUNTIFS(Base!$B$3:$B$5001,C$127,Base!$A$3:$A$5001,"&gt;="&amp;$C$7,Base!$A$3:$A$5001,"&lt;="&amp;$B148,Base!$W$3:$W$5001,"&lt;&gt;")=0,"",SUMIFS(Base!$W$3:$W$5001,Base!$B$3:$B$5001,C$127,Base!$A$3:$A$5001,_xlfn.MAXIFS(Base!$A$3:$A$5001,Base!$B$3:$B$5001,C$127,Base!$A$3:$A$5001,"&gt;="&amp;$C$7,Base!$A$3:$A$5001,"&lt;="&amp;$B148,Base!$W$3:$W$5001,"&lt;&gt;"))))</f>
        <v>15</v>
      </c>
      <c r="D148">
        <f>IF($A148&gt;$B$9,"",IF(COUNTIFS(Base!$B$3:$B$5001,D$127,Base!$A$3:$A$5001,"&gt;="&amp;$C$7,Base!$A$3:$A$5001,"&lt;="&amp;$B148,Base!$W$3:$W$5001,"&lt;&gt;")=0,"",SUMIFS(Base!$W$3:$W$5001,Base!$B$3:$B$5001,D$127,Base!$A$3:$A$5001,_xlfn.MAXIFS(Base!$A$3:$A$5001,Base!$B$3:$B$5001,D$127,Base!$A$3:$A$5001,"&gt;="&amp;$C$7,Base!$A$3:$A$5001,"&lt;="&amp;$B148,Base!$W$3:$W$5001,"&lt;&gt;"))))</f>
        <v>14</v>
      </c>
      <c r="E148">
        <f>IF($A148&gt;$B$9,"",IF(COUNTIFS(Base!$B$3:$B$5001,E$127,Base!$A$3:$A$5001,"&gt;="&amp;$C$7,Base!$A$3:$A$5001,"&lt;="&amp;$B148,Base!$W$3:$W$5001,"&lt;&gt;")=0,"",SUMIFS(Base!$W$3:$W$5001,Base!$B$3:$B$5001,E$127,Base!$A$3:$A$5001,_xlfn.MAXIFS(Base!$A$3:$A$5001,Base!$B$3:$B$5001,E$127,Base!$A$3:$A$5001,"&gt;="&amp;$C$7,Base!$A$3:$A$5001,"&lt;="&amp;$B148,Base!$W$3:$W$5001,"&lt;&gt;"))))</f>
        <v>5</v>
      </c>
      <c r="F148">
        <f>IF($A148&gt;$B$9,"",IF(COUNTIFS(Base!$B$3:$B$5001,F$127,Base!$A$3:$A$5001,"&gt;="&amp;$C$7,Base!$A$3:$A$5001,"&lt;="&amp;$B148,Base!$W$3:$W$5001,"&lt;&gt;")=0,"",SUMIFS(Base!$W$3:$W$5001,Base!$B$3:$B$5001,F$127,Base!$A$3:$A$5001,_xlfn.MAXIFS(Base!$A$3:$A$5001,Base!$B$3:$B$5001,F$127,Base!$A$3:$A$5001,"&gt;="&amp;$C$7,Base!$A$3:$A$5001,"&lt;="&amp;$B148,Base!$W$3:$W$5001,"&lt;&gt;"))))</f>
        <v>6</v>
      </c>
      <c r="G148">
        <f>IF($A148&gt;$B$9,"",IF(COUNTIFS(Base!$B$3:$B$5001,G$127,Base!$A$3:$A$5001,"&gt;="&amp;$C$7,Base!$A$3:$A$5001,"&lt;="&amp;$B148,Base!$W$3:$W$5001,"&lt;&gt;")=0,"",SUMIFS(Base!$W$3:$W$5001,Base!$B$3:$B$5001,G$127,Base!$A$3:$A$5001,_xlfn.MAXIFS(Base!$A$3:$A$5001,Base!$B$3:$B$5001,G$127,Base!$A$3:$A$5001,"&gt;="&amp;$C$7,Base!$A$3:$A$5001,"&lt;="&amp;$B148,Base!$W$3:$W$5001,"&lt;&gt;"))))</f>
        <v>2</v>
      </c>
      <c r="H148">
        <f>IF($A148&gt;$B$9,"",IF(COUNTIFS(Base!$B$3:$B$5001,H$127,Base!$A$3:$A$5001,"&gt;="&amp;$C$7,Base!$A$3:$A$5001,"&lt;="&amp;$B148,Base!$W$3:$W$5001,"&lt;&gt;")=0,"",SUMIFS(Base!$W$3:$W$5001,Base!$B$3:$B$5001,H$127,Base!$A$3:$A$5001,_xlfn.MAXIFS(Base!$A$3:$A$5001,Base!$B$3:$B$5001,H$127,Base!$A$3:$A$5001,"&gt;="&amp;$C$7,Base!$A$3:$A$5001,"&lt;="&amp;$B148,Base!$W$3:$W$5001,"&lt;&gt;"))))</f>
        <v>3</v>
      </c>
      <c r="I148">
        <f>IF($A148&gt;$B$9,"",IF(COUNTIFS(Base!$B$3:$B$5001,I$127,Base!$A$3:$A$5001,"&gt;="&amp;$C$7,Base!$A$3:$A$5001,"&lt;="&amp;$B148,Base!$W$3:$W$5001,"&lt;&gt;")=0,"",SUMIFS(Base!$W$3:$W$5001,Base!$B$3:$B$5001,I$127,Base!$A$3:$A$5001,_xlfn.MAXIFS(Base!$A$3:$A$5001,Base!$B$3:$B$5001,I$127,Base!$A$3:$A$5001,"&gt;="&amp;$C$7,Base!$A$3:$A$5001,"&lt;="&amp;$B148,Base!$W$3:$W$5001,"&lt;&gt;"))))</f>
        <v>8</v>
      </c>
      <c r="J148">
        <f>IF($A148&gt;$B$9,"",IF(COUNTIFS(Base!$B$3:$B$5001,J$127,Base!$A$3:$A$5001,"&gt;="&amp;$C$7,Base!$A$3:$A$5001,"&lt;="&amp;$B148,Base!$W$3:$W$5001,"&lt;&gt;")=0,"",SUMIFS(Base!$W$3:$W$5001,Base!$B$3:$B$5001,J$127,Base!$A$3:$A$5001,_xlfn.MAXIFS(Base!$A$3:$A$5001,Base!$B$3:$B$5001,J$127,Base!$A$3:$A$5001,"&gt;="&amp;$C$7,Base!$A$3:$A$5001,"&lt;="&amp;$B148,Base!$W$3:$W$5001,"&lt;&gt;"))))</f>
        <v>1</v>
      </c>
      <c r="K148">
        <f>IF($A148&gt;$B$9,"",IF(COUNTIFS(Base!$B$3:$B$5001,K$127,Base!$A$3:$A$5001,"&gt;="&amp;$C$7,Base!$A$3:$A$5001,"&lt;="&amp;$B148,Base!$W$3:$W$5001,"&lt;&gt;")=0,"",SUMIFS(Base!$W$3:$W$5001,Base!$B$3:$B$5001,K$127,Base!$A$3:$A$5001,_xlfn.MAXIFS(Base!$A$3:$A$5001,Base!$B$3:$B$5001,K$127,Base!$A$3:$A$5001,"&gt;="&amp;$C$7,Base!$A$3:$A$5001,"&lt;="&amp;$B148,Base!$W$3:$W$5001,"&lt;&gt;"))))</f>
        <v>13</v>
      </c>
    </row>
    <row r="149">
      <c r="A149">
        <v>22</v>
      </c>
      <c r="B149" s="152">
        <f>$B$33</f>
        <v>46287</v>
      </c>
      <c r="C149">
        <f>IF($A149&gt;$B$9,"",IF(COUNTIFS(Base!$B$3:$B$5001,C$127,Base!$A$3:$A$5001,"&gt;="&amp;$C$7,Base!$A$3:$A$5001,"&lt;="&amp;$B149,Base!$W$3:$W$5001,"&lt;&gt;")=0,"",SUMIFS(Base!$W$3:$W$5001,Base!$B$3:$B$5001,C$127,Base!$A$3:$A$5001,_xlfn.MAXIFS(Base!$A$3:$A$5001,Base!$B$3:$B$5001,C$127,Base!$A$3:$A$5001,"&gt;="&amp;$C$7,Base!$A$3:$A$5001,"&lt;="&amp;$B149,Base!$W$3:$W$5001,"&lt;&gt;"))))</f>
        <v>6</v>
      </c>
      <c r="D149">
        <f>IF($A149&gt;$B$9,"",IF(COUNTIFS(Base!$B$3:$B$5001,D$127,Base!$A$3:$A$5001,"&gt;="&amp;$C$7,Base!$A$3:$A$5001,"&lt;="&amp;$B149,Base!$W$3:$W$5001,"&lt;&gt;")=0,"",SUMIFS(Base!$W$3:$W$5001,Base!$B$3:$B$5001,D$127,Base!$A$3:$A$5001,_xlfn.MAXIFS(Base!$A$3:$A$5001,Base!$B$3:$B$5001,D$127,Base!$A$3:$A$5001,"&gt;="&amp;$C$7,Base!$A$3:$A$5001,"&lt;="&amp;$B149,Base!$W$3:$W$5001,"&lt;&gt;"))))</f>
        <v>14</v>
      </c>
      <c r="E149">
        <f>IF($A149&gt;$B$9,"",IF(COUNTIFS(Base!$B$3:$B$5001,E$127,Base!$A$3:$A$5001,"&gt;="&amp;$C$7,Base!$A$3:$A$5001,"&lt;="&amp;$B149,Base!$W$3:$W$5001,"&lt;&gt;")=0,"",SUMIFS(Base!$W$3:$W$5001,Base!$B$3:$B$5001,E$127,Base!$A$3:$A$5001,_xlfn.MAXIFS(Base!$A$3:$A$5001,Base!$B$3:$B$5001,E$127,Base!$A$3:$A$5001,"&gt;="&amp;$C$7,Base!$A$3:$A$5001,"&lt;="&amp;$B149,Base!$W$3:$W$5001,"&lt;&gt;"))))</f>
        <v>5</v>
      </c>
      <c r="F149">
        <f>IF($A149&gt;$B$9,"",IF(COUNTIFS(Base!$B$3:$B$5001,F$127,Base!$A$3:$A$5001,"&gt;="&amp;$C$7,Base!$A$3:$A$5001,"&lt;="&amp;$B149,Base!$W$3:$W$5001,"&lt;&gt;")=0,"",SUMIFS(Base!$W$3:$W$5001,Base!$B$3:$B$5001,F$127,Base!$A$3:$A$5001,_xlfn.MAXIFS(Base!$A$3:$A$5001,Base!$B$3:$B$5001,F$127,Base!$A$3:$A$5001,"&gt;="&amp;$C$7,Base!$A$3:$A$5001,"&lt;="&amp;$B149,Base!$W$3:$W$5001,"&lt;&gt;"))))</f>
        <v>6</v>
      </c>
      <c r="G149">
        <f>IF($A149&gt;$B$9,"",IF(COUNTIFS(Base!$B$3:$B$5001,G$127,Base!$A$3:$A$5001,"&gt;="&amp;$C$7,Base!$A$3:$A$5001,"&lt;="&amp;$B149,Base!$W$3:$W$5001,"&lt;&gt;")=0,"",SUMIFS(Base!$W$3:$W$5001,Base!$B$3:$B$5001,G$127,Base!$A$3:$A$5001,_xlfn.MAXIFS(Base!$A$3:$A$5001,Base!$B$3:$B$5001,G$127,Base!$A$3:$A$5001,"&gt;="&amp;$C$7,Base!$A$3:$A$5001,"&lt;="&amp;$B149,Base!$W$3:$W$5001,"&lt;&gt;"))))</f>
        <v>2</v>
      </c>
      <c r="H149">
        <f>IF($A149&gt;$B$9,"",IF(COUNTIFS(Base!$B$3:$B$5001,H$127,Base!$A$3:$A$5001,"&gt;="&amp;$C$7,Base!$A$3:$A$5001,"&lt;="&amp;$B149,Base!$W$3:$W$5001,"&lt;&gt;")=0,"",SUMIFS(Base!$W$3:$W$5001,Base!$B$3:$B$5001,H$127,Base!$A$3:$A$5001,_xlfn.MAXIFS(Base!$A$3:$A$5001,Base!$B$3:$B$5001,H$127,Base!$A$3:$A$5001,"&gt;="&amp;$C$7,Base!$A$3:$A$5001,"&lt;="&amp;$B149,Base!$W$3:$W$5001,"&lt;&gt;"))))</f>
        <v>3</v>
      </c>
      <c r="I149">
        <f>IF($A149&gt;$B$9,"",IF(COUNTIFS(Base!$B$3:$B$5001,I$127,Base!$A$3:$A$5001,"&gt;="&amp;$C$7,Base!$A$3:$A$5001,"&lt;="&amp;$B149,Base!$W$3:$W$5001,"&lt;&gt;")=0,"",SUMIFS(Base!$W$3:$W$5001,Base!$B$3:$B$5001,I$127,Base!$A$3:$A$5001,_xlfn.MAXIFS(Base!$A$3:$A$5001,Base!$B$3:$B$5001,I$127,Base!$A$3:$A$5001,"&gt;="&amp;$C$7,Base!$A$3:$A$5001,"&lt;="&amp;$B149,Base!$W$3:$W$5001,"&lt;&gt;"))))</f>
        <v>3</v>
      </c>
      <c r="J149">
        <f>IF($A149&gt;$B$9,"",IF(COUNTIFS(Base!$B$3:$B$5001,J$127,Base!$A$3:$A$5001,"&gt;="&amp;$C$7,Base!$A$3:$A$5001,"&lt;="&amp;$B149,Base!$W$3:$W$5001,"&lt;&gt;")=0,"",SUMIFS(Base!$W$3:$W$5001,Base!$B$3:$B$5001,J$127,Base!$A$3:$A$5001,_xlfn.MAXIFS(Base!$A$3:$A$5001,Base!$B$3:$B$5001,J$127,Base!$A$3:$A$5001,"&gt;="&amp;$C$7,Base!$A$3:$A$5001,"&lt;="&amp;$B149,Base!$W$3:$W$5001,"&lt;&gt;"))))</f>
        <v>10</v>
      </c>
      <c r="K149">
        <f>IF($A149&gt;$B$9,"",IF(COUNTIFS(Base!$B$3:$B$5001,K$127,Base!$A$3:$A$5001,"&gt;="&amp;$C$7,Base!$A$3:$A$5001,"&lt;="&amp;$B149,Base!$W$3:$W$5001,"&lt;&gt;")=0,"",SUMIFS(Base!$W$3:$W$5001,Base!$B$3:$B$5001,K$127,Base!$A$3:$A$5001,_xlfn.MAXIFS(Base!$A$3:$A$5001,Base!$B$3:$B$5001,K$127,Base!$A$3:$A$5001,"&gt;="&amp;$C$7,Base!$A$3:$A$5001,"&lt;="&amp;$B149,Base!$W$3:$W$5001,"&lt;&gt;"))))</f>
        <v>13</v>
      </c>
    </row>
    <row r="150">
      <c r="A150">
        <v>23</v>
      </c>
      <c r="B150" s="152">
        <f>$B$34</f>
        <v>46288</v>
      </c>
      <c r="C150">
        <f>IF($A150&gt;$B$9,"",IF(COUNTIFS(Base!$B$3:$B$5001,C$127,Base!$A$3:$A$5001,"&gt;="&amp;$C$7,Base!$A$3:$A$5001,"&lt;="&amp;$B150,Base!$W$3:$W$5001,"&lt;&gt;")=0,"",SUMIFS(Base!$W$3:$W$5001,Base!$B$3:$B$5001,C$127,Base!$A$3:$A$5001,_xlfn.MAXIFS(Base!$A$3:$A$5001,Base!$B$3:$B$5001,C$127,Base!$A$3:$A$5001,"&gt;="&amp;$C$7,Base!$A$3:$A$5001,"&lt;="&amp;$B150,Base!$W$3:$W$5001,"&lt;&gt;"))))</f>
        <v>6</v>
      </c>
      <c r="D150">
        <f>IF($A150&gt;$B$9,"",IF(COUNTIFS(Base!$B$3:$B$5001,D$127,Base!$A$3:$A$5001,"&gt;="&amp;$C$7,Base!$A$3:$A$5001,"&lt;="&amp;$B150,Base!$W$3:$W$5001,"&lt;&gt;")=0,"",SUMIFS(Base!$W$3:$W$5001,Base!$B$3:$B$5001,D$127,Base!$A$3:$A$5001,_xlfn.MAXIFS(Base!$A$3:$A$5001,Base!$B$3:$B$5001,D$127,Base!$A$3:$A$5001,"&gt;="&amp;$C$7,Base!$A$3:$A$5001,"&lt;="&amp;$B150,Base!$W$3:$W$5001,"&lt;&gt;"))))</f>
        <v>14</v>
      </c>
      <c r="E150">
        <f>IF($A150&gt;$B$9,"",IF(COUNTIFS(Base!$B$3:$B$5001,E$127,Base!$A$3:$A$5001,"&gt;="&amp;$C$7,Base!$A$3:$A$5001,"&lt;="&amp;$B150,Base!$W$3:$W$5001,"&lt;&gt;")=0,"",SUMIFS(Base!$W$3:$W$5001,Base!$B$3:$B$5001,E$127,Base!$A$3:$A$5001,_xlfn.MAXIFS(Base!$A$3:$A$5001,Base!$B$3:$B$5001,E$127,Base!$A$3:$A$5001,"&gt;="&amp;$C$7,Base!$A$3:$A$5001,"&lt;="&amp;$B150,Base!$W$3:$W$5001,"&lt;&gt;"))))</f>
        <v>1</v>
      </c>
      <c r="F150">
        <f>IF($A150&gt;$B$9,"",IF(COUNTIFS(Base!$B$3:$B$5001,F$127,Base!$A$3:$A$5001,"&gt;="&amp;$C$7,Base!$A$3:$A$5001,"&lt;="&amp;$B150,Base!$W$3:$W$5001,"&lt;&gt;")=0,"",SUMIFS(Base!$W$3:$W$5001,Base!$B$3:$B$5001,F$127,Base!$A$3:$A$5001,_xlfn.MAXIFS(Base!$A$3:$A$5001,Base!$B$3:$B$5001,F$127,Base!$A$3:$A$5001,"&gt;="&amp;$C$7,Base!$A$3:$A$5001,"&lt;="&amp;$B150,Base!$W$3:$W$5001,"&lt;&gt;"))))</f>
        <v>6</v>
      </c>
      <c r="G150">
        <f>IF($A150&gt;$B$9,"",IF(COUNTIFS(Base!$B$3:$B$5001,G$127,Base!$A$3:$A$5001,"&gt;="&amp;$C$7,Base!$A$3:$A$5001,"&lt;="&amp;$B150,Base!$W$3:$W$5001,"&lt;&gt;")=0,"",SUMIFS(Base!$W$3:$W$5001,Base!$B$3:$B$5001,G$127,Base!$A$3:$A$5001,_xlfn.MAXIFS(Base!$A$3:$A$5001,Base!$B$3:$B$5001,G$127,Base!$A$3:$A$5001,"&gt;="&amp;$C$7,Base!$A$3:$A$5001,"&lt;="&amp;$B150,Base!$W$3:$W$5001,"&lt;&gt;"))))</f>
        <v>2</v>
      </c>
      <c r="H150">
        <f>IF($A150&gt;$B$9,"",IF(COUNTIFS(Base!$B$3:$B$5001,H$127,Base!$A$3:$A$5001,"&gt;="&amp;$C$7,Base!$A$3:$A$5001,"&lt;="&amp;$B150,Base!$W$3:$W$5001,"&lt;&gt;")=0,"",SUMIFS(Base!$W$3:$W$5001,Base!$B$3:$B$5001,H$127,Base!$A$3:$A$5001,_xlfn.MAXIFS(Base!$A$3:$A$5001,Base!$B$3:$B$5001,H$127,Base!$A$3:$A$5001,"&gt;="&amp;$C$7,Base!$A$3:$A$5001,"&lt;="&amp;$B150,Base!$W$3:$W$5001,"&lt;&gt;"))))</f>
        <v>3</v>
      </c>
      <c r="I150">
        <f>IF($A150&gt;$B$9,"",IF(COUNTIFS(Base!$B$3:$B$5001,I$127,Base!$A$3:$A$5001,"&gt;="&amp;$C$7,Base!$A$3:$A$5001,"&lt;="&amp;$B150,Base!$W$3:$W$5001,"&lt;&gt;")=0,"",SUMIFS(Base!$W$3:$W$5001,Base!$B$3:$B$5001,I$127,Base!$A$3:$A$5001,_xlfn.MAXIFS(Base!$A$3:$A$5001,Base!$B$3:$B$5001,I$127,Base!$A$3:$A$5001,"&gt;="&amp;$C$7,Base!$A$3:$A$5001,"&lt;="&amp;$B150,Base!$W$3:$W$5001,"&lt;&gt;"))))</f>
        <v>3</v>
      </c>
      <c r="J150">
        <f>IF($A150&gt;$B$9,"",IF(COUNTIFS(Base!$B$3:$B$5001,J$127,Base!$A$3:$A$5001,"&gt;="&amp;$C$7,Base!$A$3:$A$5001,"&lt;="&amp;$B150,Base!$W$3:$W$5001,"&lt;&gt;")=0,"",SUMIFS(Base!$W$3:$W$5001,Base!$B$3:$B$5001,J$127,Base!$A$3:$A$5001,_xlfn.MAXIFS(Base!$A$3:$A$5001,Base!$B$3:$B$5001,J$127,Base!$A$3:$A$5001,"&gt;="&amp;$C$7,Base!$A$3:$A$5001,"&lt;="&amp;$B150,Base!$W$3:$W$5001,"&lt;&gt;"))))</f>
        <v>10</v>
      </c>
      <c r="K150">
        <f>IF($A150&gt;$B$9,"",IF(COUNTIFS(Base!$B$3:$B$5001,K$127,Base!$A$3:$A$5001,"&gt;="&amp;$C$7,Base!$A$3:$A$5001,"&lt;="&amp;$B150,Base!$W$3:$W$5001,"&lt;&gt;")=0,"",SUMIFS(Base!$W$3:$W$5001,Base!$B$3:$B$5001,K$127,Base!$A$3:$A$5001,_xlfn.MAXIFS(Base!$A$3:$A$5001,Base!$B$3:$B$5001,K$127,Base!$A$3:$A$5001,"&gt;="&amp;$C$7,Base!$A$3:$A$5001,"&lt;="&amp;$B150,Base!$W$3:$W$5001,"&lt;&gt;"))))</f>
        <v>13</v>
      </c>
    </row>
    <row r="151">
      <c r="A151">
        <v>24</v>
      </c>
      <c r="B151" s="152">
        <f>$B$35</f>
        <v>46289</v>
      </c>
      <c r="C151">
        <f>IF($A151&gt;$B$9,"",IF(COUNTIFS(Base!$B$3:$B$5001,C$127,Base!$A$3:$A$5001,"&gt;="&amp;$C$7,Base!$A$3:$A$5001,"&lt;="&amp;$B151,Base!$W$3:$W$5001,"&lt;&gt;")=0,"",SUMIFS(Base!$W$3:$W$5001,Base!$B$3:$B$5001,C$127,Base!$A$3:$A$5001,_xlfn.MAXIFS(Base!$A$3:$A$5001,Base!$B$3:$B$5001,C$127,Base!$A$3:$A$5001,"&gt;="&amp;$C$7,Base!$A$3:$A$5001,"&lt;="&amp;$B151,Base!$W$3:$W$5001,"&lt;&gt;"))))</f>
        <v>6</v>
      </c>
      <c r="D151">
        <f>IF($A151&gt;$B$9,"",IF(COUNTIFS(Base!$B$3:$B$5001,D$127,Base!$A$3:$A$5001,"&gt;="&amp;$C$7,Base!$A$3:$A$5001,"&lt;="&amp;$B151,Base!$W$3:$W$5001,"&lt;&gt;")=0,"",SUMIFS(Base!$W$3:$W$5001,Base!$B$3:$B$5001,D$127,Base!$A$3:$A$5001,_xlfn.MAXIFS(Base!$A$3:$A$5001,Base!$B$3:$B$5001,D$127,Base!$A$3:$A$5001,"&gt;="&amp;$C$7,Base!$A$3:$A$5001,"&lt;="&amp;$B151,Base!$W$3:$W$5001,"&lt;&gt;"))))</f>
        <v>14</v>
      </c>
      <c r="E151">
        <f>IF($A151&gt;$B$9,"",IF(COUNTIFS(Base!$B$3:$B$5001,E$127,Base!$A$3:$A$5001,"&gt;="&amp;$C$7,Base!$A$3:$A$5001,"&lt;="&amp;$B151,Base!$W$3:$W$5001,"&lt;&gt;")=0,"",SUMIFS(Base!$W$3:$W$5001,Base!$B$3:$B$5001,E$127,Base!$A$3:$A$5001,_xlfn.MAXIFS(Base!$A$3:$A$5001,Base!$B$3:$B$5001,E$127,Base!$A$3:$A$5001,"&gt;="&amp;$C$7,Base!$A$3:$A$5001,"&lt;="&amp;$B151,Base!$W$3:$W$5001,"&lt;&gt;"))))</f>
        <v>1</v>
      </c>
      <c r="F151">
        <f>IF($A151&gt;$B$9,"",IF(COUNTIFS(Base!$B$3:$B$5001,F$127,Base!$A$3:$A$5001,"&gt;="&amp;$C$7,Base!$A$3:$A$5001,"&lt;="&amp;$B151,Base!$W$3:$W$5001,"&lt;&gt;")=0,"",SUMIFS(Base!$W$3:$W$5001,Base!$B$3:$B$5001,F$127,Base!$A$3:$A$5001,_xlfn.MAXIFS(Base!$A$3:$A$5001,Base!$B$3:$B$5001,F$127,Base!$A$3:$A$5001,"&gt;="&amp;$C$7,Base!$A$3:$A$5001,"&lt;="&amp;$B151,Base!$W$3:$W$5001,"&lt;&gt;"))))</f>
        <v>6</v>
      </c>
      <c r="G151">
        <f>IF($A151&gt;$B$9,"",IF(COUNTIFS(Base!$B$3:$B$5001,G$127,Base!$A$3:$A$5001,"&gt;="&amp;$C$7,Base!$A$3:$A$5001,"&lt;="&amp;$B151,Base!$W$3:$W$5001,"&lt;&gt;")=0,"",SUMIFS(Base!$W$3:$W$5001,Base!$B$3:$B$5001,G$127,Base!$A$3:$A$5001,_xlfn.MAXIFS(Base!$A$3:$A$5001,Base!$B$3:$B$5001,G$127,Base!$A$3:$A$5001,"&gt;="&amp;$C$7,Base!$A$3:$A$5001,"&lt;="&amp;$B151,Base!$W$3:$W$5001,"&lt;&gt;"))))</f>
        <v>2</v>
      </c>
      <c r="H151">
        <f>IF($A151&gt;$B$9,"",IF(COUNTIFS(Base!$B$3:$B$5001,H$127,Base!$A$3:$A$5001,"&gt;="&amp;$C$7,Base!$A$3:$A$5001,"&lt;="&amp;$B151,Base!$W$3:$W$5001,"&lt;&gt;")=0,"",SUMIFS(Base!$W$3:$W$5001,Base!$B$3:$B$5001,H$127,Base!$A$3:$A$5001,_xlfn.MAXIFS(Base!$A$3:$A$5001,Base!$B$3:$B$5001,H$127,Base!$A$3:$A$5001,"&gt;="&amp;$C$7,Base!$A$3:$A$5001,"&lt;="&amp;$B151,Base!$W$3:$W$5001,"&lt;&gt;"))))</f>
        <v>3</v>
      </c>
      <c r="I151">
        <f>IF($A151&gt;$B$9,"",IF(COUNTIFS(Base!$B$3:$B$5001,I$127,Base!$A$3:$A$5001,"&gt;="&amp;$C$7,Base!$A$3:$A$5001,"&lt;="&amp;$B151,Base!$W$3:$W$5001,"&lt;&gt;")=0,"",SUMIFS(Base!$W$3:$W$5001,Base!$B$3:$B$5001,I$127,Base!$A$3:$A$5001,_xlfn.MAXIFS(Base!$A$3:$A$5001,Base!$B$3:$B$5001,I$127,Base!$A$3:$A$5001,"&gt;="&amp;$C$7,Base!$A$3:$A$5001,"&lt;="&amp;$B151,Base!$W$3:$W$5001,"&lt;&gt;"))))</f>
        <v>3</v>
      </c>
      <c r="J151">
        <f>IF($A151&gt;$B$9,"",IF(COUNTIFS(Base!$B$3:$B$5001,J$127,Base!$A$3:$A$5001,"&gt;="&amp;$C$7,Base!$A$3:$A$5001,"&lt;="&amp;$B151,Base!$W$3:$W$5001,"&lt;&gt;")=0,"",SUMIFS(Base!$W$3:$W$5001,Base!$B$3:$B$5001,J$127,Base!$A$3:$A$5001,_xlfn.MAXIFS(Base!$A$3:$A$5001,Base!$B$3:$B$5001,J$127,Base!$A$3:$A$5001,"&gt;="&amp;$C$7,Base!$A$3:$A$5001,"&lt;="&amp;$B151,Base!$W$3:$W$5001,"&lt;&gt;"))))</f>
        <v>10</v>
      </c>
      <c r="K151">
        <f>IF($A151&gt;$B$9,"",IF(COUNTIFS(Base!$B$3:$B$5001,K$127,Base!$A$3:$A$5001,"&gt;="&amp;$C$7,Base!$A$3:$A$5001,"&lt;="&amp;$B151,Base!$W$3:$W$5001,"&lt;&gt;")=0,"",SUMIFS(Base!$W$3:$W$5001,Base!$B$3:$B$5001,K$127,Base!$A$3:$A$5001,_xlfn.MAXIFS(Base!$A$3:$A$5001,Base!$B$3:$B$5001,K$127,Base!$A$3:$A$5001,"&gt;="&amp;$C$7,Base!$A$3:$A$5001,"&lt;="&amp;$B151,Base!$W$3:$W$5001,"&lt;&gt;"))))</f>
        <v>13</v>
      </c>
    </row>
    <row r="152">
      <c r="A152">
        <v>25</v>
      </c>
      <c r="B152" s="152">
        <f>$B$36</f>
        <v>46290</v>
      </c>
      <c r="C152">
        <f>IF($A152&gt;$B$9,"",IF(COUNTIFS(Base!$B$3:$B$5001,C$127,Base!$A$3:$A$5001,"&gt;="&amp;$C$7,Base!$A$3:$A$5001,"&lt;="&amp;$B152,Base!$W$3:$W$5001,"&lt;&gt;")=0,"",SUMIFS(Base!$W$3:$W$5001,Base!$B$3:$B$5001,C$127,Base!$A$3:$A$5001,_xlfn.MAXIFS(Base!$A$3:$A$5001,Base!$B$3:$B$5001,C$127,Base!$A$3:$A$5001,"&gt;="&amp;$C$7,Base!$A$3:$A$5001,"&lt;="&amp;$B152,Base!$W$3:$W$5001,"&lt;&gt;"))))</f>
        <v>0</v>
      </c>
      <c r="D152">
        <f>IF($A152&gt;$B$9,"",IF(COUNTIFS(Base!$B$3:$B$5001,D$127,Base!$A$3:$A$5001,"&gt;="&amp;$C$7,Base!$A$3:$A$5001,"&lt;="&amp;$B152,Base!$W$3:$W$5001,"&lt;&gt;")=0,"",SUMIFS(Base!$W$3:$W$5001,Base!$B$3:$B$5001,D$127,Base!$A$3:$A$5001,_xlfn.MAXIFS(Base!$A$3:$A$5001,Base!$B$3:$B$5001,D$127,Base!$A$3:$A$5001,"&gt;="&amp;$C$7,Base!$A$3:$A$5001,"&lt;="&amp;$B152,Base!$W$3:$W$5001,"&lt;&gt;"))))</f>
        <v>14</v>
      </c>
      <c r="E152">
        <f>IF($A152&gt;$B$9,"",IF(COUNTIFS(Base!$B$3:$B$5001,E$127,Base!$A$3:$A$5001,"&gt;="&amp;$C$7,Base!$A$3:$A$5001,"&lt;="&amp;$B152,Base!$W$3:$W$5001,"&lt;&gt;")=0,"",SUMIFS(Base!$W$3:$W$5001,Base!$B$3:$B$5001,E$127,Base!$A$3:$A$5001,_xlfn.MAXIFS(Base!$A$3:$A$5001,Base!$B$3:$B$5001,E$127,Base!$A$3:$A$5001,"&gt;="&amp;$C$7,Base!$A$3:$A$5001,"&lt;="&amp;$B152,Base!$W$3:$W$5001,"&lt;&gt;"))))</f>
        <v>1</v>
      </c>
      <c r="F152">
        <f>IF($A152&gt;$B$9,"",IF(COUNTIFS(Base!$B$3:$B$5001,F$127,Base!$A$3:$A$5001,"&gt;="&amp;$C$7,Base!$A$3:$A$5001,"&lt;="&amp;$B152,Base!$W$3:$W$5001,"&lt;&gt;")=0,"",SUMIFS(Base!$W$3:$W$5001,Base!$B$3:$B$5001,F$127,Base!$A$3:$A$5001,_xlfn.MAXIFS(Base!$A$3:$A$5001,Base!$B$3:$B$5001,F$127,Base!$A$3:$A$5001,"&gt;="&amp;$C$7,Base!$A$3:$A$5001,"&lt;="&amp;$B152,Base!$W$3:$W$5001,"&lt;&gt;"))))</f>
        <v>6</v>
      </c>
      <c r="G152">
        <f>IF($A152&gt;$B$9,"",IF(COUNTIFS(Base!$B$3:$B$5001,G$127,Base!$A$3:$A$5001,"&gt;="&amp;$C$7,Base!$A$3:$A$5001,"&lt;="&amp;$B152,Base!$W$3:$W$5001,"&lt;&gt;")=0,"",SUMIFS(Base!$W$3:$W$5001,Base!$B$3:$B$5001,G$127,Base!$A$3:$A$5001,_xlfn.MAXIFS(Base!$A$3:$A$5001,Base!$B$3:$B$5001,G$127,Base!$A$3:$A$5001,"&gt;="&amp;$C$7,Base!$A$3:$A$5001,"&lt;="&amp;$B152,Base!$W$3:$W$5001,"&lt;&gt;"))))</f>
        <v>2</v>
      </c>
      <c r="H152">
        <f>IF($A152&gt;$B$9,"",IF(COUNTIFS(Base!$B$3:$B$5001,H$127,Base!$A$3:$A$5001,"&gt;="&amp;$C$7,Base!$A$3:$A$5001,"&lt;="&amp;$B152,Base!$W$3:$W$5001,"&lt;&gt;")=0,"",SUMIFS(Base!$W$3:$W$5001,Base!$B$3:$B$5001,H$127,Base!$A$3:$A$5001,_xlfn.MAXIFS(Base!$A$3:$A$5001,Base!$B$3:$B$5001,H$127,Base!$A$3:$A$5001,"&gt;="&amp;$C$7,Base!$A$3:$A$5001,"&lt;="&amp;$B152,Base!$W$3:$W$5001,"&lt;&gt;"))))</f>
        <v>3</v>
      </c>
      <c r="I152">
        <f>IF($A152&gt;$B$9,"",IF(COUNTIFS(Base!$B$3:$B$5001,I$127,Base!$A$3:$A$5001,"&gt;="&amp;$C$7,Base!$A$3:$A$5001,"&lt;="&amp;$B152,Base!$W$3:$W$5001,"&lt;&gt;")=0,"",SUMIFS(Base!$W$3:$W$5001,Base!$B$3:$B$5001,I$127,Base!$A$3:$A$5001,_xlfn.MAXIFS(Base!$A$3:$A$5001,Base!$B$3:$B$5001,I$127,Base!$A$3:$A$5001,"&gt;="&amp;$C$7,Base!$A$3:$A$5001,"&lt;="&amp;$B152,Base!$W$3:$W$5001,"&lt;&gt;"))))</f>
        <v>13</v>
      </c>
      <c r="J152">
        <f>IF($A152&gt;$B$9,"",IF(COUNTIFS(Base!$B$3:$B$5001,J$127,Base!$A$3:$A$5001,"&gt;="&amp;$C$7,Base!$A$3:$A$5001,"&lt;="&amp;$B152,Base!$W$3:$W$5001,"&lt;&gt;")=0,"",SUMIFS(Base!$W$3:$W$5001,Base!$B$3:$B$5001,J$127,Base!$A$3:$A$5001,_xlfn.MAXIFS(Base!$A$3:$A$5001,Base!$B$3:$B$5001,J$127,Base!$A$3:$A$5001,"&gt;="&amp;$C$7,Base!$A$3:$A$5001,"&lt;="&amp;$B152,Base!$W$3:$W$5001,"&lt;&gt;"))))</f>
        <v>10</v>
      </c>
      <c r="K152">
        <f>IF($A152&gt;$B$9,"",IF(COUNTIFS(Base!$B$3:$B$5001,K$127,Base!$A$3:$A$5001,"&gt;="&amp;$C$7,Base!$A$3:$A$5001,"&lt;="&amp;$B152,Base!$W$3:$W$5001,"&lt;&gt;")=0,"",SUMIFS(Base!$W$3:$W$5001,Base!$B$3:$B$5001,K$127,Base!$A$3:$A$5001,_xlfn.MAXIFS(Base!$A$3:$A$5001,Base!$B$3:$B$5001,K$127,Base!$A$3:$A$5001,"&gt;="&amp;$C$7,Base!$A$3:$A$5001,"&lt;="&amp;$B152,Base!$W$3:$W$5001,"&lt;&gt;"))))</f>
        <v>1</v>
      </c>
    </row>
    <row r="153">
      <c r="A153">
        <v>26</v>
      </c>
      <c r="B153" s="152">
        <f>$B$37</f>
        <v>46291</v>
      </c>
      <c r="C153">
        <f>IF($A153&gt;$B$9,"",IF(COUNTIFS(Base!$B$3:$B$5001,C$127,Base!$A$3:$A$5001,"&gt;="&amp;$C$7,Base!$A$3:$A$5001,"&lt;="&amp;$B153,Base!$W$3:$W$5001,"&lt;&gt;")=0,"",SUMIFS(Base!$W$3:$W$5001,Base!$B$3:$B$5001,C$127,Base!$A$3:$A$5001,_xlfn.MAXIFS(Base!$A$3:$A$5001,Base!$B$3:$B$5001,C$127,Base!$A$3:$A$5001,"&gt;="&amp;$C$7,Base!$A$3:$A$5001,"&lt;="&amp;$B153,Base!$W$3:$W$5001,"&lt;&gt;"))))</f>
        <v>6</v>
      </c>
      <c r="D153">
        <f>IF($A153&gt;$B$9,"",IF(COUNTIFS(Base!$B$3:$B$5001,D$127,Base!$A$3:$A$5001,"&gt;="&amp;$C$7,Base!$A$3:$A$5001,"&lt;="&amp;$B153,Base!$W$3:$W$5001,"&lt;&gt;")=0,"",SUMIFS(Base!$W$3:$W$5001,Base!$B$3:$B$5001,D$127,Base!$A$3:$A$5001,_xlfn.MAXIFS(Base!$A$3:$A$5001,Base!$B$3:$B$5001,D$127,Base!$A$3:$A$5001,"&gt;="&amp;$C$7,Base!$A$3:$A$5001,"&lt;="&amp;$B153,Base!$W$3:$W$5001,"&lt;&gt;"))))</f>
        <v>14</v>
      </c>
      <c r="E153">
        <f>IF($A153&gt;$B$9,"",IF(COUNTIFS(Base!$B$3:$B$5001,E$127,Base!$A$3:$A$5001,"&gt;="&amp;$C$7,Base!$A$3:$A$5001,"&lt;="&amp;$B153,Base!$W$3:$W$5001,"&lt;&gt;")=0,"",SUMIFS(Base!$W$3:$W$5001,Base!$B$3:$B$5001,E$127,Base!$A$3:$A$5001,_xlfn.MAXIFS(Base!$A$3:$A$5001,Base!$B$3:$B$5001,E$127,Base!$A$3:$A$5001,"&gt;="&amp;$C$7,Base!$A$3:$A$5001,"&lt;="&amp;$B153,Base!$W$3:$W$5001,"&lt;&gt;"))))</f>
        <v>9</v>
      </c>
      <c r="F153">
        <f>IF($A153&gt;$B$9,"",IF(COUNTIFS(Base!$B$3:$B$5001,F$127,Base!$A$3:$A$5001,"&gt;="&amp;$C$7,Base!$A$3:$A$5001,"&lt;="&amp;$B153,Base!$W$3:$W$5001,"&lt;&gt;")=0,"",SUMIFS(Base!$W$3:$W$5001,Base!$B$3:$B$5001,F$127,Base!$A$3:$A$5001,_xlfn.MAXIFS(Base!$A$3:$A$5001,Base!$B$3:$B$5001,F$127,Base!$A$3:$A$5001,"&gt;="&amp;$C$7,Base!$A$3:$A$5001,"&lt;="&amp;$B153,Base!$W$3:$W$5001,"&lt;&gt;"))))</f>
        <v>6</v>
      </c>
      <c r="G153">
        <f>IF($A153&gt;$B$9,"",IF(COUNTIFS(Base!$B$3:$B$5001,G$127,Base!$A$3:$A$5001,"&gt;="&amp;$C$7,Base!$A$3:$A$5001,"&lt;="&amp;$B153,Base!$W$3:$W$5001,"&lt;&gt;")=0,"",SUMIFS(Base!$W$3:$W$5001,Base!$B$3:$B$5001,G$127,Base!$A$3:$A$5001,_xlfn.MAXIFS(Base!$A$3:$A$5001,Base!$B$3:$B$5001,G$127,Base!$A$3:$A$5001,"&gt;="&amp;$C$7,Base!$A$3:$A$5001,"&lt;="&amp;$B153,Base!$W$3:$W$5001,"&lt;&gt;"))))</f>
        <v>15</v>
      </c>
      <c r="H153">
        <f>IF($A153&gt;$B$9,"",IF(COUNTIFS(Base!$B$3:$B$5001,H$127,Base!$A$3:$A$5001,"&gt;="&amp;$C$7,Base!$A$3:$A$5001,"&lt;="&amp;$B153,Base!$W$3:$W$5001,"&lt;&gt;")=0,"",SUMIFS(Base!$W$3:$W$5001,Base!$B$3:$B$5001,H$127,Base!$A$3:$A$5001,_xlfn.MAXIFS(Base!$A$3:$A$5001,Base!$B$3:$B$5001,H$127,Base!$A$3:$A$5001,"&gt;="&amp;$C$7,Base!$A$3:$A$5001,"&lt;="&amp;$B153,Base!$W$3:$W$5001,"&lt;&gt;"))))</f>
        <v>3</v>
      </c>
      <c r="I153">
        <f>IF($A153&gt;$B$9,"",IF(COUNTIFS(Base!$B$3:$B$5001,I$127,Base!$A$3:$A$5001,"&gt;="&amp;$C$7,Base!$A$3:$A$5001,"&lt;="&amp;$B153,Base!$W$3:$W$5001,"&lt;&gt;")=0,"",SUMIFS(Base!$W$3:$W$5001,Base!$B$3:$B$5001,I$127,Base!$A$3:$A$5001,_xlfn.MAXIFS(Base!$A$3:$A$5001,Base!$B$3:$B$5001,I$127,Base!$A$3:$A$5001,"&gt;="&amp;$C$7,Base!$A$3:$A$5001,"&lt;="&amp;$B153,Base!$W$3:$W$5001,"&lt;&gt;"))))</f>
        <v>13</v>
      </c>
      <c r="J153">
        <f>IF($A153&gt;$B$9,"",IF(COUNTIFS(Base!$B$3:$B$5001,J$127,Base!$A$3:$A$5001,"&gt;="&amp;$C$7,Base!$A$3:$A$5001,"&lt;="&amp;$B153,Base!$W$3:$W$5001,"&lt;&gt;")=0,"",SUMIFS(Base!$W$3:$W$5001,Base!$B$3:$B$5001,J$127,Base!$A$3:$A$5001,_xlfn.MAXIFS(Base!$A$3:$A$5001,Base!$B$3:$B$5001,J$127,Base!$A$3:$A$5001,"&gt;="&amp;$C$7,Base!$A$3:$A$5001,"&lt;="&amp;$B153,Base!$W$3:$W$5001,"&lt;&gt;"))))</f>
        <v>10</v>
      </c>
      <c r="K153">
        <f>IF($A153&gt;$B$9,"",IF(COUNTIFS(Base!$B$3:$B$5001,K$127,Base!$A$3:$A$5001,"&gt;="&amp;$C$7,Base!$A$3:$A$5001,"&lt;="&amp;$B153,Base!$W$3:$W$5001,"&lt;&gt;")=0,"",SUMIFS(Base!$W$3:$W$5001,Base!$B$3:$B$5001,K$127,Base!$A$3:$A$5001,_xlfn.MAXIFS(Base!$A$3:$A$5001,Base!$B$3:$B$5001,K$127,Base!$A$3:$A$5001,"&gt;="&amp;$C$7,Base!$A$3:$A$5001,"&lt;="&amp;$B153,Base!$W$3:$W$5001,"&lt;&gt;"))))</f>
        <v>1</v>
      </c>
    </row>
    <row r="154">
      <c r="A154">
        <v>27</v>
      </c>
      <c r="B154" s="152">
        <f>$B$38</f>
        <v>46292</v>
      </c>
      <c r="C154">
        <f>IF($A154&gt;$B$9,"",IF(COUNTIFS(Base!$B$3:$B$5001,C$127,Base!$A$3:$A$5001,"&gt;="&amp;$C$7,Base!$A$3:$A$5001,"&lt;="&amp;$B154,Base!$W$3:$W$5001,"&lt;&gt;")=0,"",SUMIFS(Base!$W$3:$W$5001,Base!$B$3:$B$5001,C$127,Base!$A$3:$A$5001,_xlfn.MAXIFS(Base!$A$3:$A$5001,Base!$B$3:$B$5001,C$127,Base!$A$3:$A$5001,"&gt;="&amp;$C$7,Base!$A$3:$A$5001,"&lt;="&amp;$B154,Base!$W$3:$W$5001,"&lt;&gt;"))))</f>
        <v>6</v>
      </c>
      <c r="D154">
        <f>IF($A154&gt;$B$9,"",IF(COUNTIFS(Base!$B$3:$B$5001,D$127,Base!$A$3:$A$5001,"&gt;="&amp;$C$7,Base!$A$3:$A$5001,"&lt;="&amp;$B154,Base!$W$3:$W$5001,"&lt;&gt;")=0,"",SUMIFS(Base!$W$3:$W$5001,Base!$B$3:$B$5001,D$127,Base!$A$3:$A$5001,_xlfn.MAXIFS(Base!$A$3:$A$5001,Base!$B$3:$B$5001,D$127,Base!$A$3:$A$5001,"&gt;="&amp;$C$7,Base!$A$3:$A$5001,"&lt;="&amp;$B154,Base!$W$3:$W$5001,"&lt;&gt;"))))</f>
        <v>14</v>
      </c>
      <c r="E154">
        <f>IF($A154&gt;$B$9,"",IF(COUNTIFS(Base!$B$3:$B$5001,E$127,Base!$A$3:$A$5001,"&gt;="&amp;$C$7,Base!$A$3:$A$5001,"&lt;="&amp;$B154,Base!$W$3:$W$5001,"&lt;&gt;")=0,"",SUMIFS(Base!$W$3:$W$5001,Base!$B$3:$B$5001,E$127,Base!$A$3:$A$5001,_xlfn.MAXIFS(Base!$A$3:$A$5001,Base!$B$3:$B$5001,E$127,Base!$A$3:$A$5001,"&gt;="&amp;$C$7,Base!$A$3:$A$5001,"&lt;="&amp;$B154,Base!$W$3:$W$5001,"&lt;&gt;"))))</f>
        <v>9</v>
      </c>
      <c r="F154">
        <f>IF($A154&gt;$B$9,"",IF(COUNTIFS(Base!$B$3:$B$5001,F$127,Base!$A$3:$A$5001,"&gt;="&amp;$C$7,Base!$A$3:$A$5001,"&lt;="&amp;$B154,Base!$W$3:$W$5001,"&lt;&gt;")=0,"",SUMIFS(Base!$W$3:$W$5001,Base!$B$3:$B$5001,F$127,Base!$A$3:$A$5001,_xlfn.MAXIFS(Base!$A$3:$A$5001,Base!$B$3:$B$5001,F$127,Base!$A$3:$A$5001,"&gt;="&amp;$C$7,Base!$A$3:$A$5001,"&lt;="&amp;$B154,Base!$W$3:$W$5001,"&lt;&gt;"))))</f>
        <v>6</v>
      </c>
      <c r="G154">
        <f>IF($A154&gt;$B$9,"",IF(COUNTIFS(Base!$B$3:$B$5001,G$127,Base!$A$3:$A$5001,"&gt;="&amp;$C$7,Base!$A$3:$A$5001,"&lt;="&amp;$B154,Base!$W$3:$W$5001,"&lt;&gt;")=0,"",SUMIFS(Base!$W$3:$W$5001,Base!$B$3:$B$5001,G$127,Base!$A$3:$A$5001,_xlfn.MAXIFS(Base!$A$3:$A$5001,Base!$B$3:$B$5001,G$127,Base!$A$3:$A$5001,"&gt;="&amp;$C$7,Base!$A$3:$A$5001,"&lt;="&amp;$B154,Base!$W$3:$W$5001,"&lt;&gt;"))))</f>
        <v>15</v>
      </c>
      <c r="H154">
        <f>IF($A154&gt;$B$9,"",IF(COUNTIFS(Base!$B$3:$B$5001,H$127,Base!$A$3:$A$5001,"&gt;="&amp;$C$7,Base!$A$3:$A$5001,"&lt;="&amp;$B154,Base!$W$3:$W$5001,"&lt;&gt;")=0,"",SUMIFS(Base!$W$3:$W$5001,Base!$B$3:$B$5001,H$127,Base!$A$3:$A$5001,_xlfn.MAXIFS(Base!$A$3:$A$5001,Base!$B$3:$B$5001,H$127,Base!$A$3:$A$5001,"&gt;="&amp;$C$7,Base!$A$3:$A$5001,"&lt;="&amp;$B154,Base!$W$3:$W$5001,"&lt;&gt;"))))</f>
        <v>3</v>
      </c>
      <c r="I154">
        <f>IF($A154&gt;$B$9,"",IF(COUNTIFS(Base!$B$3:$B$5001,I$127,Base!$A$3:$A$5001,"&gt;="&amp;$C$7,Base!$A$3:$A$5001,"&lt;="&amp;$B154,Base!$W$3:$W$5001,"&lt;&gt;")=0,"",SUMIFS(Base!$W$3:$W$5001,Base!$B$3:$B$5001,I$127,Base!$A$3:$A$5001,_xlfn.MAXIFS(Base!$A$3:$A$5001,Base!$B$3:$B$5001,I$127,Base!$A$3:$A$5001,"&gt;="&amp;$C$7,Base!$A$3:$A$5001,"&lt;="&amp;$B154,Base!$W$3:$W$5001,"&lt;&gt;"))))</f>
        <v>13</v>
      </c>
      <c r="J154">
        <f>IF($A154&gt;$B$9,"",IF(COUNTIFS(Base!$B$3:$B$5001,J$127,Base!$A$3:$A$5001,"&gt;="&amp;$C$7,Base!$A$3:$A$5001,"&lt;="&amp;$B154,Base!$W$3:$W$5001,"&lt;&gt;")=0,"",SUMIFS(Base!$W$3:$W$5001,Base!$B$3:$B$5001,J$127,Base!$A$3:$A$5001,_xlfn.MAXIFS(Base!$A$3:$A$5001,Base!$B$3:$B$5001,J$127,Base!$A$3:$A$5001,"&gt;="&amp;$C$7,Base!$A$3:$A$5001,"&lt;="&amp;$B154,Base!$W$3:$W$5001,"&lt;&gt;"))))</f>
        <v>10</v>
      </c>
      <c r="K154">
        <f>IF($A154&gt;$B$9,"",IF(COUNTIFS(Base!$B$3:$B$5001,K$127,Base!$A$3:$A$5001,"&gt;="&amp;$C$7,Base!$A$3:$A$5001,"&lt;="&amp;$B154,Base!$W$3:$W$5001,"&lt;&gt;")=0,"",SUMIFS(Base!$W$3:$W$5001,Base!$B$3:$B$5001,K$127,Base!$A$3:$A$5001,_xlfn.MAXIFS(Base!$A$3:$A$5001,Base!$B$3:$B$5001,K$127,Base!$A$3:$A$5001,"&gt;="&amp;$C$7,Base!$A$3:$A$5001,"&lt;="&amp;$B154,Base!$W$3:$W$5001,"&lt;&gt;"))))</f>
        <v>1</v>
      </c>
    </row>
    <row r="155">
      <c r="A155">
        <v>28</v>
      </c>
      <c r="B155" s="152">
        <f>$B$39</f>
        <v>46293</v>
      </c>
      <c r="C155">
        <f>IF($A155&gt;$B$9,"",IF(COUNTIFS(Base!$B$3:$B$5001,C$127,Base!$A$3:$A$5001,"&gt;="&amp;$C$7,Base!$A$3:$A$5001,"&lt;="&amp;$B155,Base!$W$3:$W$5001,"&lt;&gt;")=0,"",SUMIFS(Base!$W$3:$W$5001,Base!$B$3:$B$5001,C$127,Base!$A$3:$A$5001,_xlfn.MAXIFS(Base!$A$3:$A$5001,Base!$B$3:$B$5001,C$127,Base!$A$3:$A$5001,"&gt;="&amp;$C$7,Base!$A$3:$A$5001,"&lt;="&amp;$B155,Base!$W$3:$W$5001,"&lt;&gt;"))))</f>
        <v>6</v>
      </c>
      <c r="D155">
        <f>IF($A155&gt;$B$9,"",IF(COUNTIFS(Base!$B$3:$B$5001,D$127,Base!$A$3:$A$5001,"&gt;="&amp;$C$7,Base!$A$3:$A$5001,"&lt;="&amp;$B155,Base!$W$3:$W$5001,"&lt;&gt;")=0,"",SUMIFS(Base!$W$3:$W$5001,Base!$B$3:$B$5001,D$127,Base!$A$3:$A$5001,_xlfn.MAXIFS(Base!$A$3:$A$5001,Base!$B$3:$B$5001,D$127,Base!$A$3:$A$5001,"&gt;="&amp;$C$7,Base!$A$3:$A$5001,"&lt;="&amp;$B155,Base!$W$3:$W$5001,"&lt;&gt;"))))</f>
        <v>6</v>
      </c>
      <c r="E155">
        <f>IF($A155&gt;$B$9,"",IF(COUNTIFS(Base!$B$3:$B$5001,E$127,Base!$A$3:$A$5001,"&gt;="&amp;$C$7,Base!$A$3:$A$5001,"&lt;="&amp;$B155,Base!$W$3:$W$5001,"&lt;&gt;")=0,"",SUMIFS(Base!$W$3:$W$5001,Base!$B$3:$B$5001,E$127,Base!$A$3:$A$5001,_xlfn.MAXIFS(Base!$A$3:$A$5001,Base!$B$3:$B$5001,E$127,Base!$A$3:$A$5001,"&gt;="&amp;$C$7,Base!$A$3:$A$5001,"&lt;="&amp;$B155,Base!$W$3:$W$5001,"&lt;&gt;"))))</f>
        <v>4</v>
      </c>
      <c r="F155">
        <f>IF($A155&gt;$B$9,"",IF(COUNTIFS(Base!$B$3:$B$5001,F$127,Base!$A$3:$A$5001,"&gt;="&amp;$C$7,Base!$A$3:$A$5001,"&lt;="&amp;$B155,Base!$W$3:$W$5001,"&lt;&gt;")=0,"",SUMIFS(Base!$W$3:$W$5001,Base!$B$3:$B$5001,F$127,Base!$A$3:$A$5001,_xlfn.MAXIFS(Base!$A$3:$A$5001,Base!$B$3:$B$5001,F$127,Base!$A$3:$A$5001,"&gt;="&amp;$C$7,Base!$A$3:$A$5001,"&lt;="&amp;$B155,Base!$W$3:$W$5001,"&lt;&gt;"))))</f>
        <v>6</v>
      </c>
      <c r="G155">
        <f>IF($A155&gt;$B$9,"",IF(COUNTIFS(Base!$B$3:$B$5001,G$127,Base!$A$3:$A$5001,"&gt;="&amp;$C$7,Base!$A$3:$A$5001,"&lt;="&amp;$B155,Base!$W$3:$W$5001,"&lt;&gt;")=0,"",SUMIFS(Base!$W$3:$W$5001,Base!$B$3:$B$5001,G$127,Base!$A$3:$A$5001,_xlfn.MAXIFS(Base!$A$3:$A$5001,Base!$B$3:$B$5001,G$127,Base!$A$3:$A$5001,"&gt;="&amp;$C$7,Base!$A$3:$A$5001,"&lt;="&amp;$B155,Base!$W$3:$W$5001,"&lt;&gt;"))))</f>
        <v>15</v>
      </c>
      <c r="H155">
        <f>IF($A155&gt;$B$9,"",IF(COUNTIFS(Base!$B$3:$B$5001,H$127,Base!$A$3:$A$5001,"&gt;="&amp;$C$7,Base!$A$3:$A$5001,"&lt;="&amp;$B155,Base!$W$3:$W$5001,"&lt;&gt;")=0,"",SUMIFS(Base!$W$3:$W$5001,Base!$B$3:$B$5001,H$127,Base!$A$3:$A$5001,_xlfn.MAXIFS(Base!$A$3:$A$5001,Base!$B$3:$B$5001,H$127,Base!$A$3:$A$5001,"&gt;="&amp;$C$7,Base!$A$3:$A$5001,"&lt;="&amp;$B155,Base!$W$3:$W$5001,"&lt;&gt;"))))</f>
        <v>3</v>
      </c>
      <c r="I155">
        <f>IF($A155&gt;$B$9,"",IF(COUNTIFS(Base!$B$3:$B$5001,I$127,Base!$A$3:$A$5001,"&gt;="&amp;$C$7,Base!$A$3:$A$5001,"&lt;="&amp;$B155,Base!$W$3:$W$5001,"&lt;&gt;")=0,"",SUMIFS(Base!$W$3:$W$5001,Base!$B$3:$B$5001,I$127,Base!$A$3:$A$5001,_xlfn.MAXIFS(Base!$A$3:$A$5001,Base!$B$3:$B$5001,I$127,Base!$A$3:$A$5001,"&gt;="&amp;$C$7,Base!$A$3:$A$5001,"&lt;="&amp;$B155,Base!$W$3:$W$5001,"&lt;&gt;"))))</f>
        <v>13</v>
      </c>
      <c r="J155">
        <f>IF($A155&gt;$B$9,"",IF(COUNTIFS(Base!$B$3:$B$5001,J$127,Base!$A$3:$A$5001,"&gt;="&amp;$C$7,Base!$A$3:$A$5001,"&lt;="&amp;$B155,Base!$W$3:$W$5001,"&lt;&gt;")=0,"",SUMIFS(Base!$W$3:$W$5001,Base!$B$3:$B$5001,J$127,Base!$A$3:$A$5001,_xlfn.MAXIFS(Base!$A$3:$A$5001,Base!$B$3:$B$5001,J$127,Base!$A$3:$A$5001,"&gt;="&amp;$C$7,Base!$A$3:$A$5001,"&lt;="&amp;$B155,Base!$W$3:$W$5001,"&lt;&gt;"))))</f>
        <v>10</v>
      </c>
      <c r="K155">
        <f>IF($A155&gt;$B$9,"",IF(COUNTIFS(Base!$B$3:$B$5001,K$127,Base!$A$3:$A$5001,"&gt;="&amp;$C$7,Base!$A$3:$A$5001,"&lt;="&amp;$B155,Base!$W$3:$W$5001,"&lt;&gt;")=0,"",SUMIFS(Base!$W$3:$W$5001,Base!$B$3:$B$5001,K$127,Base!$A$3:$A$5001,_xlfn.MAXIFS(Base!$A$3:$A$5001,Base!$B$3:$B$5001,K$127,Base!$A$3:$A$5001,"&gt;="&amp;$C$7,Base!$A$3:$A$5001,"&lt;="&amp;$B155,Base!$W$3:$W$5001,"&lt;&gt;"))))</f>
        <v>7</v>
      </c>
    </row>
    <row r="156">
      <c r="A156">
        <v>29</v>
      </c>
      <c r="B156" s="152">
        <f>$B$40</f>
        <v>46294</v>
      </c>
      <c r="C156">
        <f>IF($A156&gt;$B$9,"",IF(COUNTIFS(Base!$B$3:$B$5001,C$127,Base!$A$3:$A$5001,"&gt;="&amp;$C$7,Base!$A$3:$A$5001,"&lt;="&amp;$B156,Base!$W$3:$W$5001,"&lt;&gt;")=0,"",SUMIFS(Base!$W$3:$W$5001,Base!$B$3:$B$5001,C$127,Base!$A$3:$A$5001,_xlfn.MAXIFS(Base!$A$3:$A$5001,Base!$B$3:$B$5001,C$127,Base!$A$3:$A$5001,"&gt;="&amp;$C$7,Base!$A$3:$A$5001,"&lt;="&amp;$B156,Base!$W$3:$W$5001,"&lt;&gt;"))))</f>
        <v>6</v>
      </c>
      <c r="D156">
        <f>IF($A156&gt;$B$9,"",IF(COUNTIFS(Base!$B$3:$B$5001,D$127,Base!$A$3:$A$5001,"&gt;="&amp;$C$7,Base!$A$3:$A$5001,"&lt;="&amp;$B156,Base!$W$3:$W$5001,"&lt;&gt;")=0,"",SUMIFS(Base!$W$3:$W$5001,Base!$B$3:$B$5001,D$127,Base!$A$3:$A$5001,_xlfn.MAXIFS(Base!$A$3:$A$5001,Base!$B$3:$B$5001,D$127,Base!$A$3:$A$5001,"&gt;="&amp;$C$7,Base!$A$3:$A$5001,"&lt;="&amp;$B156,Base!$W$3:$W$5001,"&lt;&gt;"))))</f>
        <v>6</v>
      </c>
      <c r="E156">
        <f>IF($A156&gt;$B$9,"",IF(COUNTIFS(Base!$B$3:$B$5001,E$127,Base!$A$3:$A$5001,"&gt;="&amp;$C$7,Base!$A$3:$A$5001,"&lt;="&amp;$B156,Base!$W$3:$W$5001,"&lt;&gt;")=0,"",SUMIFS(Base!$W$3:$W$5001,Base!$B$3:$B$5001,E$127,Base!$A$3:$A$5001,_xlfn.MAXIFS(Base!$A$3:$A$5001,Base!$B$3:$B$5001,E$127,Base!$A$3:$A$5001,"&gt;="&amp;$C$7,Base!$A$3:$A$5001,"&lt;="&amp;$B156,Base!$W$3:$W$5001,"&lt;&gt;"))))</f>
        <v>5</v>
      </c>
      <c r="F156">
        <f>IF($A156&gt;$B$9,"",IF(COUNTIFS(Base!$B$3:$B$5001,F$127,Base!$A$3:$A$5001,"&gt;="&amp;$C$7,Base!$A$3:$A$5001,"&lt;="&amp;$B156,Base!$W$3:$W$5001,"&lt;&gt;")=0,"",SUMIFS(Base!$W$3:$W$5001,Base!$B$3:$B$5001,F$127,Base!$A$3:$A$5001,_xlfn.MAXIFS(Base!$A$3:$A$5001,Base!$B$3:$B$5001,F$127,Base!$A$3:$A$5001,"&gt;="&amp;$C$7,Base!$A$3:$A$5001,"&lt;="&amp;$B156,Base!$W$3:$W$5001,"&lt;&gt;"))))</f>
        <v>6</v>
      </c>
      <c r="G156">
        <f>IF($A156&gt;$B$9,"",IF(COUNTIFS(Base!$B$3:$B$5001,G$127,Base!$A$3:$A$5001,"&gt;="&amp;$C$7,Base!$A$3:$A$5001,"&lt;="&amp;$B156,Base!$W$3:$W$5001,"&lt;&gt;")=0,"",SUMIFS(Base!$W$3:$W$5001,Base!$B$3:$B$5001,G$127,Base!$A$3:$A$5001,_xlfn.MAXIFS(Base!$A$3:$A$5001,Base!$B$3:$B$5001,G$127,Base!$A$3:$A$5001,"&gt;="&amp;$C$7,Base!$A$3:$A$5001,"&lt;="&amp;$B156,Base!$W$3:$W$5001,"&lt;&gt;"))))</f>
        <v>15</v>
      </c>
      <c r="H156">
        <f>IF($A156&gt;$B$9,"",IF(COUNTIFS(Base!$B$3:$B$5001,H$127,Base!$A$3:$A$5001,"&gt;="&amp;$C$7,Base!$A$3:$A$5001,"&lt;="&amp;$B156,Base!$W$3:$W$5001,"&lt;&gt;")=0,"",SUMIFS(Base!$W$3:$W$5001,Base!$B$3:$B$5001,H$127,Base!$A$3:$A$5001,_xlfn.MAXIFS(Base!$A$3:$A$5001,Base!$B$3:$B$5001,H$127,Base!$A$3:$A$5001,"&gt;="&amp;$C$7,Base!$A$3:$A$5001,"&lt;="&amp;$B156,Base!$W$3:$W$5001,"&lt;&gt;"))))</f>
        <v>3</v>
      </c>
      <c r="I156">
        <f>IF($A156&gt;$B$9,"",IF(COUNTIFS(Base!$B$3:$B$5001,I$127,Base!$A$3:$A$5001,"&gt;="&amp;$C$7,Base!$A$3:$A$5001,"&lt;="&amp;$B156,Base!$W$3:$W$5001,"&lt;&gt;")=0,"",SUMIFS(Base!$W$3:$W$5001,Base!$B$3:$B$5001,I$127,Base!$A$3:$A$5001,_xlfn.MAXIFS(Base!$A$3:$A$5001,Base!$B$3:$B$5001,I$127,Base!$A$3:$A$5001,"&gt;="&amp;$C$7,Base!$A$3:$A$5001,"&lt;="&amp;$B156,Base!$W$3:$W$5001,"&lt;&gt;"))))</f>
        <v>15</v>
      </c>
      <c r="J156">
        <f>IF($A156&gt;$B$9,"",IF(COUNTIFS(Base!$B$3:$B$5001,J$127,Base!$A$3:$A$5001,"&gt;="&amp;$C$7,Base!$A$3:$A$5001,"&lt;="&amp;$B156,Base!$W$3:$W$5001,"&lt;&gt;")=0,"",SUMIFS(Base!$W$3:$W$5001,Base!$B$3:$B$5001,J$127,Base!$A$3:$A$5001,_xlfn.MAXIFS(Base!$A$3:$A$5001,Base!$B$3:$B$5001,J$127,Base!$A$3:$A$5001,"&gt;="&amp;$C$7,Base!$A$3:$A$5001,"&lt;="&amp;$B156,Base!$W$3:$W$5001,"&lt;&gt;"))))</f>
        <v>8</v>
      </c>
      <c r="K156">
        <f>IF($A156&gt;$B$9,"",IF(COUNTIFS(Base!$B$3:$B$5001,K$127,Base!$A$3:$A$5001,"&gt;="&amp;$C$7,Base!$A$3:$A$5001,"&lt;="&amp;$B156,Base!$W$3:$W$5001,"&lt;&gt;")=0,"",SUMIFS(Base!$W$3:$W$5001,Base!$B$3:$B$5001,K$127,Base!$A$3:$A$5001,_xlfn.MAXIFS(Base!$A$3:$A$5001,Base!$B$3:$B$5001,K$127,Base!$A$3:$A$5001,"&gt;="&amp;$C$7,Base!$A$3:$A$5001,"&lt;="&amp;$B156,Base!$W$3:$W$5001,"&lt;&gt;"))))</f>
        <v>7</v>
      </c>
    </row>
    <row r="157">
      <c r="A157">
        <v>30</v>
      </c>
      <c r="B157" s="152">
        <f>$B$41</f>
        <v>46295</v>
      </c>
      <c r="C157" t="str">
        <f>IF($A157&gt;$B$9,"",IF(COUNTIFS(Base!$B$3:$B$5001,C$127,Base!$A$3:$A$5001,"&gt;="&amp;$C$7,Base!$A$3:$A$5001,"&lt;="&amp;$B157,Base!$W$3:$W$5001,"&lt;&gt;")=0,"",SUMIFS(Base!$W$3:$W$5001,Base!$B$3:$B$5001,C$127,Base!$A$3:$A$5001,_xlfn.MAXIFS(Base!$A$3:$A$5001,Base!$B$3:$B$5001,C$127,Base!$A$3:$A$5001,"&gt;="&amp;$C$7,Base!$A$3:$A$5001,"&lt;="&amp;$B157,Base!$W$3:$W$5001,"&lt;&gt;"))))</f>
        <v/>
      </c>
      <c r="D157" t="str">
        <f>IF($A157&gt;$B$9,"",IF(COUNTIFS(Base!$B$3:$B$5001,D$127,Base!$A$3:$A$5001,"&gt;="&amp;$C$7,Base!$A$3:$A$5001,"&lt;="&amp;$B157,Base!$W$3:$W$5001,"&lt;&gt;")=0,"",SUMIFS(Base!$W$3:$W$5001,Base!$B$3:$B$5001,D$127,Base!$A$3:$A$5001,_xlfn.MAXIFS(Base!$A$3:$A$5001,Base!$B$3:$B$5001,D$127,Base!$A$3:$A$5001,"&gt;="&amp;$C$7,Base!$A$3:$A$5001,"&lt;="&amp;$B157,Base!$W$3:$W$5001,"&lt;&gt;"))))</f>
        <v/>
      </c>
      <c r="E157" t="str">
        <f>IF($A157&gt;$B$9,"",IF(COUNTIFS(Base!$B$3:$B$5001,E$127,Base!$A$3:$A$5001,"&gt;="&amp;$C$7,Base!$A$3:$A$5001,"&lt;="&amp;$B157,Base!$W$3:$W$5001,"&lt;&gt;")=0,"",SUMIFS(Base!$W$3:$W$5001,Base!$B$3:$B$5001,E$127,Base!$A$3:$A$5001,_xlfn.MAXIFS(Base!$A$3:$A$5001,Base!$B$3:$B$5001,E$127,Base!$A$3:$A$5001,"&gt;="&amp;$C$7,Base!$A$3:$A$5001,"&lt;="&amp;$B157,Base!$W$3:$W$5001,"&lt;&gt;"))))</f>
        <v/>
      </c>
      <c r="F157" t="str">
        <f>IF($A157&gt;$B$9,"",IF(COUNTIFS(Base!$B$3:$B$5001,F$127,Base!$A$3:$A$5001,"&gt;="&amp;$C$7,Base!$A$3:$A$5001,"&lt;="&amp;$B157,Base!$W$3:$W$5001,"&lt;&gt;")=0,"",SUMIFS(Base!$W$3:$W$5001,Base!$B$3:$B$5001,F$127,Base!$A$3:$A$5001,_xlfn.MAXIFS(Base!$A$3:$A$5001,Base!$B$3:$B$5001,F$127,Base!$A$3:$A$5001,"&gt;="&amp;$C$7,Base!$A$3:$A$5001,"&lt;="&amp;$B157,Base!$W$3:$W$5001,"&lt;&gt;"))))</f>
        <v/>
      </c>
      <c r="G157" t="str">
        <f>IF($A157&gt;$B$9,"",IF(COUNTIFS(Base!$B$3:$B$5001,G$127,Base!$A$3:$A$5001,"&gt;="&amp;$C$7,Base!$A$3:$A$5001,"&lt;="&amp;$B157,Base!$W$3:$W$5001,"&lt;&gt;")=0,"",SUMIFS(Base!$W$3:$W$5001,Base!$B$3:$B$5001,G$127,Base!$A$3:$A$5001,_xlfn.MAXIFS(Base!$A$3:$A$5001,Base!$B$3:$B$5001,G$127,Base!$A$3:$A$5001,"&gt;="&amp;$C$7,Base!$A$3:$A$5001,"&lt;="&amp;$B157,Base!$W$3:$W$5001,"&lt;&gt;"))))</f>
        <v/>
      </c>
      <c r="H157" t="str">
        <f>IF($A157&gt;$B$9,"",IF(COUNTIFS(Base!$B$3:$B$5001,H$127,Base!$A$3:$A$5001,"&gt;="&amp;$C$7,Base!$A$3:$A$5001,"&lt;="&amp;$B157,Base!$W$3:$W$5001,"&lt;&gt;")=0,"",SUMIFS(Base!$W$3:$W$5001,Base!$B$3:$B$5001,H$127,Base!$A$3:$A$5001,_xlfn.MAXIFS(Base!$A$3:$A$5001,Base!$B$3:$B$5001,H$127,Base!$A$3:$A$5001,"&gt;="&amp;$C$7,Base!$A$3:$A$5001,"&lt;="&amp;$B157,Base!$W$3:$W$5001,"&lt;&gt;"))))</f>
        <v/>
      </c>
      <c r="I157" t="str">
        <f>IF($A157&gt;$B$9,"",IF(COUNTIFS(Base!$B$3:$B$5001,I$127,Base!$A$3:$A$5001,"&gt;="&amp;$C$7,Base!$A$3:$A$5001,"&lt;="&amp;$B157,Base!$W$3:$W$5001,"&lt;&gt;")=0,"",SUMIFS(Base!$W$3:$W$5001,Base!$B$3:$B$5001,I$127,Base!$A$3:$A$5001,_xlfn.MAXIFS(Base!$A$3:$A$5001,Base!$B$3:$B$5001,I$127,Base!$A$3:$A$5001,"&gt;="&amp;$C$7,Base!$A$3:$A$5001,"&lt;="&amp;$B157,Base!$W$3:$W$5001,"&lt;&gt;"))))</f>
        <v/>
      </c>
      <c r="J157" t="str">
        <f>IF($A157&gt;$B$9,"",IF(COUNTIFS(Base!$B$3:$B$5001,J$127,Base!$A$3:$A$5001,"&gt;="&amp;$C$7,Base!$A$3:$A$5001,"&lt;="&amp;$B157,Base!$W$3:$W$5001,"&lt;&gt;")=0,"",SUMIFS(Base!$W$3:$W$5001,Base!$B$3:$B$5001,J$127,Base!$A$3:$A$5001,_xlfn.MAXIFS(Base!$A$3:$A$5001,Base!$B$3:$B$5001,J$127,Base!$A$3:$A$5001,"&gt;="&amp;$C$7,Base!$A$3:$A$5001,"&lt;="&amp;$B157,Base!$W$3:$W$5001,"&lt;&gt;"))))</f>
        <v/>
      </c>
      <c r="K157" t="str">
        <f>IF($A157&gt;$B$9,"",IF(COUNTIFS(Base!$B$3:$B$5001,K$127,Base!$A$3:$A$5001,"&gt;="&amp;$C$7,Base!$A$3:$A$5001,"&lt;="&amp;$B157,Base!$W$3:$W$5001,"&lt;&gt;")=0,"",SUMIFS(Base!$W$3:$W$5001,Base!$B$3:$B$5001,K$127,Base!$A$3:$A$5001,_xlfn.MAXIFS(Base!$A$3:$A$5001,Base!$B$3:$B$5001,K$127,Base!$A$3:$A$5001,"&gt;="&amp;$C$7,Base!$A$3:$A$5001,"&lt;="&amp;$B157,Base!$W$3:$W$5001,"&lt;&gt;"))))</f>
        <v/>
      </c>
    </row>
    <row r="158">
      <c r="A158">
        <v>31</v>
      </c>
      <c r="B158" s="152" t="str">
        <f>$B$42</f>
        <v/>
      </c>
      <c r="C158" t="str">
        <f>IF($A158&gt;$B$9,"",IF(COUNTIFS(Base!$B$3:$B$5001,C$127,Base!$A$3:$A$5001,"&gt;="&amp;$C$7,Base!$A$3:$A$5001,"&lt;="&amp;$B158,Base!$W$3:$W$5001,"&lt;&gt;")=0,"",SUMIFS(Base!$W$3:$W$5001,Base!$B$3:$B$5001,C$127,Base!$A$3:$A$5001,_xlfn.MAXIFS(Base!$A$3:$A$5001,Base!$B$3:$B$5001,C$127,Base!$A$3:$A$5001,"&gt;="&amp;$C$7,Base!$A$3:$A$5001,"&lt;="&amp;$B158,Base!$W$3:$W$5001,"&lt;&gt;"))))</f>
        <v/>
      </c>
      <c r="D158" t="str">
        <f>IF($A158&gt;$B$9,"",IF(COUNTIFS(Base!$B$3:$B$5001,D$127,Base!$A$3:$A$5001,"&gt;="&amp;$C$7,Base!$A$3:$A$5001,"&lt;="&amp;$B158,Base!$W$3:$W$5001,"&lt;&gt;")=0,"",SUMIFS(Base!$W$3:$W$5001,Base!$B$3:$B$5001,D$127,Base!$A$3:$A$5001,_xlfn.MAXIFS(Base!$A$3:$A$5001,Base!$B$3:$B$5001,D$127,Base!$A$3:$A$5001,"&gt;="&amp;$C$7,Base!$A$3:$A$5001,"&lt;="&amp;$B158,Base!$W$3:$W$5001,"&lt;&gt;"))))</f>
        <v/>
      </c>
      <c r="E158" t="str">
        <f>IF($A158&gt;$B$9,"",IF(COUNTIFS(Base!$B$3:$B$5001,E$127,Base!$A$3:$A$5001,"&gt;="&amp;$C$7,Base!$A$3:$A$5001,"&lt;="&amp;$B158,Base!$W$3:$W$5001,"&lt;&gt;")=0,"",SUMIFS(Base!$W$3:$W$5001,Base!$B$3:$B$5001,E$127,Base!$A$3:$A$5001,_xlfn.MAXIFS(Base!$A$3:$A$5001,Base!$B$3:$B$5001,E$127,Base!$A$3:$A$5001,"&gt;="&amp;$C$7,Base!$A$3:$A$5001,"&lt;="&amp;$B158,Base!$W$3:$W$5001,"&lt;&gt;"))))</f>
        <v/>
      </c>
      <c r="F158" t="str">
        <f>IF($A158&gt;$B$9,"",IF(COUNTIFS(Base!$B$3:$B$5001,F$127,Base!$A$3:$A$5001,"&gt;="&amp;$C$7,Base!$A$3:$A$5001,"&lt;="&amp;$B158,Base!$W$3:$W$5001,"&lt;&gt;")=0,"",SUMIFS(Base!$W$3:$W$5001,Base!$B$3:$B$5001,F$127,Base!$A$3:$A$5001,_xlfn.MAXIFS(Base!$A$3:$A$5001,Base!$B$3:$B$5001,F$127,Base!$A$3:$A$5001,"&gt;="&amp;$C$7,Base!$A$3:$A$5001,"&lt;="&amp;$B158,Base!$W$3:$W$5001,"&lt;&gt;"))))</f>
        <v/>
      </c>
      <c r="G158" t="str">
        <f>IF($A158&gt;$B$9,"",IF(COUNTIFS(Base!$B$3:$B$5001,G$127,Base!$A$3:$A$5001,"&gt;="&amp;$C$7,Base!$A$3:$A$5001,"&lt;="&amp;$B158,Base!$W$3:$W$5001,"&lt;&gt;")=0,"",SUMIFS(Base!$W$3:$W$5001,Base!$B$3:$B$5001,G$127,Base!$A$3:$A$5001,_xlfn.MAXIFS(Base!$A$3:$A$5001,Base!$B$3:$B$5001,G$127,Base!$A$3:$A$5001,"&gt;="&amp;$C$7,Base!$A$3:$A$5001,"&lt;="&amp;$B158,Base!$W$3:$W$5001,"&lt;&gt;"))))</f>
        <v/>
      </c>
      <c r="H158" t="str">
        <f>IF($A158&gt;$B$9,"",IF(COUNTIFS(Base!$B$3:$B$5001,H$127,Base!$A$3:$A$5001,"&gt;="&amp;$C$7,Base!$A$3:$A$5001,"&lt;="&amp;$B158,Base!$W$3:$W$5001,"&lt;&gt;")=0,"",SUMIFS(Base!$W$3:$W$5001,Base!$B$3:$B$5001,H$127,Base!$A$3:$A$5001,_xlfn.MAXIFS(Base!$A$3:$A$5001,Base!$B$3:$B$5001,H$127,Base!$A$3:$A$5001,"&gt;="&amp;$C$7,Base!$A$3:$A$5001,"&lt;="&amp;$B158,Base!$W$3:$W$5001,"&lt;&gt;"))))</f>
        <v/>
      </c>
      <c r="I158" t="str">
        <f>IF($A158&gt;$B$9,"",IF(COUNTIFS(Base!$B$3:$B$5001,I$127,Base!$A$3:$A$5001,"&gt;="&amp;$C$7,Base!$A$3:$A$5001,"&lt;="&amp;$B158,Base!$W$3:$W$5001,"&lt;&gt;")=0,"",SUMIFS(Base!$W$3:$W$5001,Base!$B$3:$B$5001,I$127,Base!$A$3:$A$5001,_xlfn.MAXIFS(Base!$A$3:$A$5001,Base!$B$3:$B$5001,I$127,Base!$A$3:$A$5001,"&gt;="&amp;$C$7,Base!$A$3:$A$5001,"&lt;="&amp;$B158,Base!$W$3:$W$5001,"&lt;&gt;"))))</f>
        <v/>
      </c>
      <c r="J158" t="str">
        <f>IF($A158&gt;$B$9,"",IF(COUNTIFS(Base!$B$3:$B$5001,J$127,Base!$A$3:$A$5001,"&gt;="&amp;$C$7,Base!$A$3:$A$5001,"&lt;="&amp;$B158,Base!$W$3:$W$5001,"&lt;&gt;")=0,"",SUMIFS(Base!$W$3:$W$5001,Base!$B$3:$B$5001,J$127,Base!$A$3:$A$5001,_xlfn.MAXIFS(Base!$A$3:$A$5001,Base!$B$3:$B$5001,J$127,Base!$A$3:$A$5001,"&gt;="&amp;$C$7,Base!$A$3:$A$5001,"&lt;="&amp;$B158,Base!$W$3:$W$5001,"&lt;&gt;"))))</f>
        <v/>
      </c>
      <c r="K158" t="str">
        <f>IF($A158&gt;$B$9,"",IF(COUNTIFS(Base!$B$3:$B$5001,K$127,Base!$A$3:$A$5001,"&gt;="&amp;$C$7,Base!$A$3:$A$5001,"&lt;="&amp;$B158,Base!$W$3:$W$5001,"&lt;&gt;")=0,"",SUMIFS(Base!$W$3:$W$5001,Base!$B$3:$B$5001,K$127,Base!$A$3:$A$5001,_xlfn.MAXIFS(Base!$A$3:$A$5001,Base!$B$3:$B$5001,K$127,Base!$A$3:$A$5001,"&gt;="&amp;$C$7,Base!$A$3:$A$5001,"&lt;="&amp;$B158,Base!$W$3:$W$5001,"&lt;&gt;"))))</f>
        <v/>
      </c>
    </row>
    <row r="159">
      <c r="A159" t="inlineStr">
        <is>
          <t xml:space="preserve">Mês anterior (último)</t>
        </is>
      </c>
      <c r="C159">
        <f>IF(COUNTIFS(Base!$B$3:$B$5001,C$127,Base!$A$3:$A$5001,"&gt;="&amp;$C$8,Base!$A$3:$A$5001,"&lt;="&amp;$D$8,Base!$W$3:$W$5001,"&lt;&gt;")=0,"",SUMIFS(Base!$W$3:$W$5001,Base!$B$3:$B$5001,C$127,Base!$A$3:$A$5001,_xlfn.MAXIFS(Base!$A$3:$A$5001,Base!$B$3:$B$5001,C$127,Base!$A$3:$A$5001,"&gt;="&amp;$C$8,Base!$A$3:$A$5001,"&lt;="&amp;$D$8,Base!$W$3:$W$5001,"&lt;&gt;")))</f>
        <v>8</v>
      </c>
      <c r="D159">
        <f>IF(COUNTIFS(Base!$B$3:$B$5001,D$127,Base!$A$3:$A$5001,"&gt;="&amp;$C$8,Base!$A$3:$A$5001,"&lt;="&amp;$D$8,Base!$W$3:$W$5001,"&lt;&gt;")=0,"",SUMIFS(Base!$W$3:$W$5001,Base!$B$3:$B$5001,D$127,Base!$A$3:$A$5001,_xlfn.MAXIFS(Base!$A$3:$A$5001,Base!$B$3:$B$5001,D$127,Base!$A$3:$A$5001,"&gt;="&amp;$C$8,Base!$A$3:$A$5001,"&lt;="&amp;$D$8,Base!$W$3:$W$5001,"&lt;&gt;")))</f>
        <v>1</v>
      </c>
      <c r="E159">
        <f>IF(COUNTIFS(Base!$B$3:$B$5001,E$127,Base!$A$3:$A$5001,"&gt;="&amp;$C$8,Base!$A$3:$A$5001,"&lt;="&amp;$D$8,Base!$W$3:$W$5001,"&lt;&gt;")=0,"",SUMIFS(Base!$W$3:$W$5001,Base!$B$3:$B$5001,E$127,Base!$A$3:$A$5001,_xlfn.MAXIFS(Base!$A$3:$A$5001,Base!$B$3:$B$5001,E$127,Base!$A$3:$A$5001,"&gt;="&amp;$C$8,Base!$A$3:$A$5001,"&lt;="&amp;$D$8,Base!$W$3:$W$5001,"&lt;&gt;")))</f>
        <v>10</v>
      </c>
      <c r="F159">
        <f>IF(COUNTIFS(Base!$B$3:$B$5001,F$127,Base!$A$3:$A$5001,"&gt;="&amp;$C$8,Base!$A$3:$A$5001,"&lt;="&amp;$D$8,Base!$W$3:$W$5001,"&lt;&gt;")=0,"",SUMIFS(Base!$W$3:$W$5001,Base!$B$3:$B$5001,F$127,Base!$A$3:$A$5001,_xlfn.MAXIFS(Base!$A$3:$A$5001,Base!$B$3:$B$5001,F$127,Base!$A$3:$A$5001,"&gt;="&amp;$C$8,Base!$A$3:$A$5001,"&lt;="&amp;$D$8,Base!$W$3:$W$5001,"&lt;&gt;")))</f>
        <v>6</v>
      </c>
      <c r="G159">
        <f>IF(COUNTIFS(Base!$B$3:$B$5001,G$127,Base!$A$3:$A$5001,"&gt;="&amp;$C$8,Base!$A$3:$A$5001,"&lt;="&amp;$D$8,Base!$W$3:$W$5001,"&lt;&gt;")=0,"",SUMIFS(Base!$W$3:$W$5001,Base!$B$3:$B$5001,G$127,Base!$A$3:$A$5001,_xlfn.MAXIFS(Base!$A$3:$A$5001,Base!$B$3:$B$5001,G$127,Base!$A$3:$A$5001,"&gt;="&amp;$C$8,Base!$A$3:$A$5001,"&lt;="&amp;$D$8,Base!$W$3:$W$5001,"&lt;&gt;")))</f>
        <v>7</v>
      </c>
      <c r="H159">
        <f>IF(COUNTIFS(Base!$B$3:$B$5001,H$127,Base!$A$3:$A$5001,"&gt;="&amp;$C$8,Base!$A$3:$A$5001,"&lt;="&amp;$D$8,Base!$W$3:$W$5001,"&lt;&gt;")=0,"",SUMIFS(Base!$W$3:$W$5001,Base!$B$3:$B$5001,H$127,Base!$A$3:$A$5001,_xlfn.MAXIFS(Base!$A$3:$A$5001,Base!$B$3:$B$5001,H$127,Base!$A$3:$A$5001,"&gt;="&amp;$C$8,Base!$A$3:$A$5001,"&lt;="&amp;$D$8,Base!$W$3:$W$5001,"&lt;&gt;")))</f>
        <v>14</v>
      </c>
      <c r="I159">
        <f>IF(COUNTIFS(Base!$B$3:$B$5001,I$127,Base!$A$3:$A$5001,"&gt;="&amp;$C$8,Base!$A$3:$A$5001,"&lt;="&amp;$D$8,Base!$W$3:$W$5001,"&lt;&gt;")=0,"",SUMIFS(Base!$W$3:$W$5001,Base!$B$3:$B$5001,I$127,Base!$A$3:$A$5001,_xlfn.MAXIFS(Base!$A$3:$A$5001,Base!$B$3:$B$5001,I$127,Base!$A$3:$A$5001,"&gt;="&amp;$C$8,Base!$A$3:$A$5001,"&lt;="&amp;$D$8,Base!$W$3:$W$5001,"&lt;&gt;")))</f>
        <v>1</v>
      </c>
      <c r="J159">
        <f>IF(COUNTIFS(Base!$B$3:$B$5001,J$127,Base!$A$3:$A$5001,"&gt;="&amp;$C$8,Base!$A$3:$A$5001,"&lt;="&amp;$D$8,Base!$W$3:$W$5001,"&lt;&gt;")=0,"",SUMIFS(Base!$W$3:$W$5001,Base!$B$3:$B$5001,J$127,Base!$A$3:$A$5001,_xlfn.MAXIFS(Base!$A$3:$A$5001,Base!$B$3:$B$5001,J$127,Base!$A$3:$A$5001,"&gt;="&amp;$C$8,Base!$A$3:$A$5001,"&lt;="&amp;$D$8,Base!$W$3:$W$5001,"&lt;&gt;")))</f>
        <v>6</v>
      </c>
      <c r="K159">
        <f>IF(COUNTIFS(Base!$B$3:$B$5001,K$127,Base!$A$3:$A$5001,"&gt;="&amp;$C$8,Base!$A$3:$A$5001,"&lt;="&amp;$D$8,Base!$W$3:$W$5001,"&lt;&gt;")=0,"",SUMIFS(Base!$W$3:$W$5001,Base!$B$3:$B$5001,K$127,Base!$A$3:$A$5001,_xlfn.MAXIFS(Base!$A$3:$A$5001,Base!$B$3:$B$5001,K$127,Base!$A$3:$A$5001,"&gt;="&amp;$C$8,Base!$A$3:$A$5001,"&lt;="&amp;$D$8,Base!$W$3:$W$5001,"&lt;&gt;")))</f>
        <v>11</v>
      </c>
    </row>
    <row r="162">
      <c r="A162" s="145" t="inlineStr">
        <is>
          <t xml:space="preserve">Posições Disponíveis</t>
        </is>
      </c>
      <c r="B162" s="145" t="inlineStr">
        <is>
          <t xml:space="preserve">Data</t>
        </is>
      </c>
      <c r="C162" s="145" t="inlineStr">
        <is>
          <t xml:space="preserve">BASF</t>
        </is>
      </c>
      <c r="D162" s="145" t="inlineStr">
        <is>
          <t xml:space="preserve">BEAUTYBIZ</t>
        </is>
      </c>
      <c r="E162" s="145" t="inlineStr">
        <is>
          <t xml:space="preserve">BOTICÁRIO</t>
        </is>
      </c>
      <c r="F162" s="145" t="inlineStr">
        <is>
          <t xml:space="preserve">SUPPLY</t>
        </is>
      </c>
      <c r="G162" s="145" t="inlineStr">
        <is>
          <t xml:space="preserve">GE VERNOVA</t>
        </is>
      </c>
      <c r="H162" s="145" t="inlineStr">
        <is>
          <t xml:space="preserve">VESTAS</t>
        </is>
      </c>
      <c r="I162" s="145" t="inlineStr">
        <is>
          <t xml:space="preserve">VEDACIT</t>
        </is>
      </c>
      <c r="J162" s="145" t="inlineStr">
        <is>
          <t xml:space="preserve">OMNLIFE</t>
        </is>
      </c>
      <c r="K162" s="145" t="inlineStr">
        <is>
          <t xml:space="preserve">ALPARGATAS</t>
        </is>
      </c>
    </row>
    <row r="163">
      <c r="A163">
        <v>1</v>
      </c>
      <c r="B163" s="152">
        <f>$B$12</f>
        <v>46266</v>
      </c>
      <c r="C163">
        <f>IF($A163&gt;$B$9,"",IF(COUNTIFS(Base!$B$3:$B$5001,C$162,Base!$A$3:$A$5001,"&gt;="&amp;$C$7,Base!$A$3:$A$5001,"&lt;="&amp;$B163,Base!$X$3:$X$5001,"&lt;&gt;")=0,"",SUMIFS(Base!$X$3:$X$5001,Base!$B$3:$B$5001,C$162,Base!$A$3:$A$5001,_xlfn.MAXIFS(Base!$A$3:$A$5001,Base!$B$3:$B$5001,C$162,Base!$A$3:$A$5001,"&gt;="&amp;$C$7,Base!$A$3:$A$5001,"&lt;="&amp;$B163,Base!$X$3:$X$5001,"&lt;&gt;"))))</f>
        <v>2200</v>
      </c>
      <c r="D163">
        <f>IF($A163&gt;$B$9,"",IF(COUNTIFS(Base!$B$3:$B$5001,D$162,Base!$A$3:$A$5001,"&gt;="&amp;$C$7,Base!$A$3:$A$5001,"&lt;="&amp;$B163,Base!$X$3:$X$5001,"&lt;&gt;")=0,"",SUMIFS(Base!$X$3:$X$5001,Base!$B$3:$B$5001,D$162,Base!$A$3:$A$5001,_xlfn.MAXIFS(Base!$A$3:$A$5001,Base!$B$3:$B$5001,D$162,Base!$A$3:$A$5001,"&gt;="&amp;$C$7,Base!$A$3:$A$5001,"&lt;="&amp;$B163,Base!$X$3:$X$5001,"&lt;&gt;"))))</f>
        <v>1200</v>
      </c>
      <c r="E163">
        <f>IF($A163&gt;$B$9,"",IF(COUNTIFS(Base!$B$3:$B$5001,E$162,Base!$A$3:$A$5001,"&gt;="&amp;$C$7,Base!$A$3:$A$5001,"&lt;="&amp;$B163,Base!$X$3:$X$5001,"&lt;&gt;")=0,"",SUMIFS(Base!$X$3:$X$5001,Base!$B$3:$B$5001,E$162,Base!$A$3:$A$5001,_xlfn.MAXIFS(Base!$A$3:$A$5001,Base!$B$3:$B$5001,E$162,Base!$A$3:$A$5001,"&gt;="&amp;$C$7,Base!$A$3:$A$5001,"&lt;="&amp;$B163,Base!$X$3:$X$5001,"&lt;&gt;"))))</f>
        <v>3500</v>
      </c>
      <c r="F163">
        <f>IF($A163&gt;$B$9,"",IF(COUNTIFS(Base!$B$3:$B$5001,F$162,Base!$A$3:$A$5001,"&gt;="&amp;$C$7,Base!$A$3:$A$5001,"&lt;="&amp;$B163,Base!$X$3:$X$5001,"&lt;&gt;")=0,"",SUMIFS(Base!$X$3:$X$5001,Base!$B$3:$B$5001,F$162,Base!$A$3:$A$5001,_xlfn.MAXIFS(Base!$A$3:$A$5001,Base!$B$3:$B$5001,F$162,Base!$A$3:$A$5001,"&gt;="&amp;$C$7,Base!$A$3:$A$5001,"&lt;="&amp;$B163,Base!$X$3:$X$5001,"&lt;&gt;"))))</f>
        <v>1600</v>
      </c>
      <c r="G163">
        <f>IF($A163&gt;$B$9,"",IF(COUNTIFS(Base!$B$3:$B$5001,G$162,Base!$A$3:$A$5001,"&gt;="&amp;$C$7,Base!$A$3:$A$5001,"&lt;="&amp;$B163,Base!$X$3:$X$5001,"&lt;&gt;")=0,"",SUMIFS(Base!$X$3:$X$5001,Base!$B$3:$B$5001,G$162,Base!$A$3:$A$5001,_xlfn.MAXIFS(Base!$A$3:$A$5001,Base!$B$3:$B$5001,G$162,Base!$A$3:$A$5001,"&gt;="&amp;$C$7,Base!$A$3:$A$5001,"&lt;="&amp;$B163,Base!$X$3:$X$5001,"&lt;&gt;"))))</f>
        <v>900</v>
      </c>
      <c r="H163">
        <f>IF($A163&gt;$B$9,"",IF(COUNTIFS(Base!$B$3:$B$5001,H$162,Base!$A$3:$A$5001,"&gt;="&amp;$C$7,Base!$A$3:$A$5001,"&lt;="&amp;$B163,Base!$X$3:$X$5001,"&lt;&gt;")=0,"",SUMIFS(Base!$X$3:$X$5001,Base!$B$3:$B$5001,H$162,Base!$A$3:$A$5001,_xlfn.MAXIFS(Base!$A$3:$A$5001,Base!$B$3:$B$5001,H$162,Base!$A$3:$A$5001,"&gt;="&amp;$C$7,Base!$A$3:$A$5001,"&lt;="&amp;$B163,Base!$X$3:$X$5001,"&lt;&gt;"))))</f>
        <v>600</v>
      </c>
      <c r="I163">
        <f>IF($A163&gt;$B$9,"",IF(COUNTIFS(Base!$B$3:$B$5001,I$162,Base!$A$3:$A$5001,"&gt;="&amp;$C$7,Base!$A$3:$A$5001,"&lt;="&amp;$B163,Base!$X$3:$X$5001,"&lt;&gt;")=0,"",SUMIFS(Base!$X$3:$X$5001,Base!$B$3:$B$5001,I$162,Base!$A$3:$A$5001,_xlfn.MAXIFS(Base!$A$3:$A$5001,Base!$B$3:$B$5001,I$162,Base!$A$3:$A$5001,"&gt;="&amp;$C$7,Base!$A$3:$A$5001,"&lt;="&amp;$B163,Base!$X$3:$X$5001,"&lt;&gt;"))))</f>
        <v>1400</v>
      </c>
      <c r="J163">
        <f>IF($A163&gt;$B$9,"",IF(COUNTIFS(Base!$B$3:$B$5001,J$162,Base!$A$3:$A$5001,"&gt;="&amp;$C$7,Base!$A$3:$A$5001,"&lt;="&amp;$B163,Base!$X$3:$X$5001,"&lt;&gt;")=0,"",SUMIFS(Base!$X$3:$X$5001,Base!$B$3:$B$5001,J$162,Base!$A$3:$A$5001,_xlfn.MAXIFS(Base!$A$3:$A$5001,Base!$B$3:$B$5001,J$162,Base!$A$3:$A$5001,"&gt;="&amp;$C$7,Base!$A$3:$A$5001,"&lt;="&amp;$B163,Base!$X$3:$X$5001,"&lt;&gt;"))))</f>
        <v>500</v>
      </c>
      <c r="K163">
        <f>IF($A163&gt;$B$9,"",IF(COUNTIFS(Base!$B$3:$B$5001,K$162,Base!$A$3:$A$5001,"&gt;="&amp;$C$7,Base!$A$3:$A$5001,"&lt;="&amp;$B163,Base!$X$3:$X$5001,"&lt;&gt;")=0,"",SUMIFS(Base!$X$3:$X$5001,Base!$B$3:$B$5001,K$162,Base!$A$3:$A$5001,_xlfn.MAXIFS(Base!$A$3:$A$5001,Base!$B$3:$B$5001,K$162,Base!$A$3:$A$5001,"&gt;="&amp;$C$7,Base!$A$3:$A$5001,"&lt;="&amp;$B163,Base!$X$3:$X$5001,"&lt;&gt;"))))</f>
        <v>1800</v>
      </c>
    </row>
    <row r="164">
      <c r="A164">
        <v>2</v>
      </c>
      <c r="B164" s="152">
        <f>$B$13</f>
        <v>46267</v>
      </c>
      <c r="C164">
        <f>IF($A164&gt;$B$9,"",IF(COUNTIFS(Base!$B$3:$B$5001,C$162,Base!$A$3:$A$5001,"&gt;="&amp;$C$7,Base!$A$3:$A$5001,"&lt;="&amp;$B164,Base!$X$3:$X$5001,"&lt;&gt;")=0,"",SUMIFS(Base!$X$3:$X$5001,Base!$B$3:$B$5001,C$162,Base!$A$3:$A$5001,_xlfn.MAXIFS(Base!$A$3:$A$5001,Base!$B$3:$B$5001,C$162,Base!$A$3:$A$5001,"&gt;="&amp;$C$7,Base!$A$3:$A$5001,"&lt;="&amp;$B164,Base!$X$3:$X$5001,"&lt;&gt;"))))</f>
        <v>2200</v>
      </c>
      <c r="D164">
        <f>IF($A164&gt;$B$9,"",IF(COUNTIFS(Base!$B$3:$B$5001,D$162,Base!$A$3:$A$5001,"&gt;="&amp;$C$7,Base!$A$3:$A$5001,"&lt;="&amp;$B164,Base!$X$3:$X$5001,"&lt;&gt;")=0,"",SUMIFS(Base!$X$3:$X$5001,Base!$B$3:$B$5001,D$162,Base!$A$3:$A$5001,_xlfn.MAXIFS(Base!$A$3:$A$5001,Base!$B$3:$B$5001,D$162,Base!$A$3:$A$5001,"&gt;="&amp;$C$7,Base!$A$3:$A$5001,"&lt;="&amp;$B164,Base!$X$3:$X$5001,"&lt;&gt;"))))</f>
        <v>1200</v>
      </c>
      <c r="E164">
        <f>IF($A164&gt;$B$9,"",IF(COUNTIFS(Base!$B$3:$B$5001,E$162,Base!$A$3:$A$5001,"&gt;="&amp;$C$7,Base!$A$3:$A$5001,"&lt;="&amp;$B164,Base!$X$3:$X$5001,"&lt;&gt;")=0,"",SUMIFS(Base!$X$3:$X$5001,Base!$B$3:$B$5001,E$162,Base!$A$3:$A$5001,_xlfn.MAXIFS(Base!$A$3:$A$5001,Base!$B$3:$B$5001,E$162,Base!$A$3:$A$5001,"&gt;="&amp;$C$7,Base!$A$3:$A$5001,"&lt;="&amp;$B164,Base!$X$3:$X$5001,"&lt;&gt;"))))</f>
        <v>3500</v>
      </c>
      <c r="F164">
        <f>IF($A164&gt;$B$9,"",IF(COUNTIFS(Base!$B$3:$B$5001,F$162,Base!$A$3:$A$5001,"&gt;="&amp;$C$7,Base!$A$3:$A$5001,"&lt;="&amp;$B164,Base!$X$3:$X$5001,"&lt;&gt;")=0,"",SUMIFS(Base!$X$3:$X$5001,Base!$B$3:$B$5001,F$162,Base!$A$3:$A$5001,_xlfn.MAXIFS(Base!$A$3:$A$5001,Base!$B$3:$B$5001,F$162,Base!$A$3:$A$5001,"&gt;="&amp;$C$7,Base!$A$3:$A$5001,"&lt;="&amp;$B164,Base!$X$3:$X$5001,"&lt;&gt;"))))</f>
        <v>1600</v>
      </c>
      <c r="G164">
        <f>IF($A164&gt;$B$9,"",IF(COUNTIFS(Base!$B$3:$B$5001,G$162,Base!$A$3:$A$5001,"&gt;="&amp;$C$7,Base!$A$3:$A$5001,"&lt;="&amp;$B164,Base!$X$3:$X$5001,"&lt;&gt;")=0,"",SUMIFS(Base!$X$3:$X$5001,Base!$B$3:$B$5001,G$162,Base!$A$3:$A$5001,_xlfn.MAXIFS(Base!$A$3:$A$5001,Base!$B$3:$B$5001,G$162,Base!$A$3:$A$5001,"&gt;="&amp;$C$7,Base!$A$3:$A$5001,"&lt;="&amp;$B164,Base!$X$3:$X$5001,"&lt;&gt;"))))</f>
        <v>900</v>
      </c>
      <c r="H164">
        <f>IF($A164&gt;$B$9,"",IF(COUNTIFS(Base!$B$3:$B$5001,H$162,Base!$A$3:$A$5001,"&gt;="&amp;$C$7,Base!$A$3:$A$5001,"&lt;="&amp;$B164,Base!$X$3:$X$5001,"&lt;&gt;")=0,"",SUMIFS(Base!$X$3:$X$5001,Base!$B$3:$B$5001,H$162,Base!$A$3:$A$5001,_xlfn.MAXIFS(Base!$A$3:$A$5001,Base!$B$3:$B$5001,H$162,Base!$A$3:$A$5001,"&gt;="&amp;$C$7,Base!$A$3:$A$5001,"&lt;="&amp;$B164,Base!$X$3:$X$5001,"&lt;&gt;"))))</f>
        <v>600</v>
      </c>
      <c r="I164">
        <f>IF($A164&gt;$B$9,"",IF(COUNTIFS(Base!$B$3:$B$5001,I$162,Base!$A$3:$A$5001,"&gt;="&amp;$C$7,Base!$A$3:$A$5001,"&lt;="&amp;$B164,Base!$X$3:$X$5001,"&lt;&gt;")=0,"",SUMIFS(Base!$X$3:$X$5001,Base!$B$3:$B$5001,I$162,Base!$A$3:$A$5001,_xlfn.MAXIFS(Base!$A$3:$A$5001,Base!$B$3:$B$5001,I$162,Base!$A$3:$A$5001,"&gt;="&amp;$C$7,Base!$A$3:$A$5001,"&lt;="&amp;$B164,Base!$X$3:$X$5001,"&lt;&gt;"))))</f>
        <v>1400</v>
      </c>
      <c r="J164">
        <f>IF($A164&gt;$B$9,"",IF(COUNTIFS(Base!$B$3:$B$5001,J$162,Base!$A$3:$A$5001,"&gt;="&amp;$C$7,Base!$A$3:$A$5001,"&lt;="&amp;$B164,Base!$X$3:$X$5001,"&lt;&gt;")=0,"",SUMIFS(Base!$X$3:$X$5001,Base!$B$3:$B$5001,J$162,Base!$A$3:$A$5001,_xlfn.MAXIFS(Base!$A$3:$A$5001,Base!$B$3:$B$5001,J$162,Base!$A$3:$A$5001,"&gt;="&amp;$C$7,Base!$A$3:$A$5001,"&lt;="&amp;$B164,Base!$X$3:$X$5001,"&lt;&gt;"))))</f>
        <v>500</v>
      </c>
      <c r="K164">
        <f>IF($A164&gt;$B$9,"",IF(COUNTIFS(Base!$B$3:$B$5001,K$162,Base!$A$3:$A$5001,"&gt;="&amp;$C$7,Base!$A$3:$A$5001,"&lt;="&amp;$B164,Base!$X$3:$X$5001,"&lt;&gt;")=0,"",SUMIFS(Base!$X$3:$X$5001,Base!$B$3:$B$5001,K$162,Base!$A$3:$A$5001,_xlfn.MAXIFS(Base!$A$3:$A$5001,Base!$B$3:$B$5001,K$162,Base!$A$3:$A$5001,"&gt;="&amp;$C$7,Base!$A$3:$A$5001,"&lt;="&amp;$B164,Base!$X$3:$X$5001,"&lt;&gt;"))))</f>
        <v>1800</v>
      </c>
    </row>
    <row r="165">
      <c r="A165">
        <v>3</v>
      </c>
      <c r="B165" s="152">
        <f>$B$14</f>
        <v>46268</v>
      </c>
      <c r="C165">
        <f>IF($A165&gt;$B$9,"",IF(COUNTIFS(Base!$B$3:$B$5001,C$162,Base!$A$3:$A$5001,"&gt;="&amp;$C$7,Base!$A$3:$A$5001,"&lt;="&amp;$B165,Base!$X$3:$X$5001,"&lt;&gt;")=0,"",SUMIFS(Base!$X$3:$X$5001,Base!$B$3:$B$5001,C$162,Base!$A$3:$A$5001,_xlfn.MAXIFS(Base!$A$3:$A$5001,Base!$B$3:$B$5001,C$162,Base!$A$3:$A$5001,"&gt;="&amp;$C$7,Base!$A$3:$A$5001,"&lt;="&amp;$B165,Base!$X$3:$X$5001,"&lt;&gt;"))))</f>
        <v>2200</v>
      </c>
      <c r="D165">
        <f>IF($A165&gt;$B$9,"",IF(COUNTIFS(Base!$B$3:$B$5001,D$162,Base!$A$3:$A$5001,"&gt;="&amp;$C$7,Base!$A$3:$A$5001,"&lt;="&amp;$B165,Base!$X$3:$X$5001,"&lt;&gt;")=0,"",SUMIFS(Base!$X$3:$X$5001,Base!$B$3:$B$5001,D$162,Base!$A$3:$A$5001,_xlfn.MAXIFS(Base!$A$3:$A$5001,Base!$B$3:$B$5001,D$162,Base!$A$3:$A$5001,"&gt;="&amp;$C$7,Base!$A$3:$A$5001,"&lt;="&amp;$B165,Base!$X$3:$X$5001,"&lt;&gt;"))))</f>
        <v>1200</v>
      </c>
      <c r="E165">
        <f>IF($A165&gt;$B$9,"",IF(COUNTIFS(Base!$B$3:$B$5001,E$162,Base!$A$3:$A$5001,"&gt;="&amp;$C$7,Base!$A$3:$A$5001,"&lt;="&amp;$B165,Base!$X$3:$X$5001,"&lt;&gt;")=0,"",SUMIFS(Base!$X$3:$X$5001,Base!$B$3:$B$5001,E$162,Base!$A$3:$A$5001,_xlfn.MAXIFS(Base!$A$3:$A$5001,Base!$B$3:$B$5001,E$162,Base!$A$3:$A$5001,"&gt;="&amp;$C$7,Base!$A$3:$A$5001,"&lt;="&amp;$B165,Base!$X$3:$X$5001,"&lt;&gt;"))))</f>
        <v>3500</v>
      </c>
      <c r="F165">
        <f>IF($A165&gt;$B$9,"",IF(COUNTIFS(Base!$B$3:$B$5001,F$162,Base!$A$3:$A$5001,"&gt;="&amp;$C$7,Base!$A$3:$A$5001,"&lt;="&amp;$B165,Base!$X$3:$X$5001,"&lt;&gt;")=0,"",SUMIFS(Base!$X$3:$X$5001,Base!$B$3:$B$5001,F$162,Base!$A$3:$A$5001,_xlfn.MAXIFS(Base!$A$3:$A$5001,Base!$B$3:$B$5001,F$162,Base!$A$3:$A$5001,"&gt;="&amp;$C$7,Base!$A$3:$A$5001,"&lt;="&amp;$B165,Base!$X$3:$X$5001,"&lt;&gt;"))))</f>
        <v>1600</v>
      </c>
      <c r="G165">
        <f>IF($A165&gt;$B$9,"",IF(COUNTIFS(Base!$B$3:$B$5001,G$162,Base!$A$3:$A$5001,"&gt;="&amp;$C$7,Base!$A$3:$A$5001,"&lt;="&amp;$B165,Base!$X$3:$X$5001,"&lt;&gt;")=0,"",SUMIFS(Base!$X$3:$X$5001,Base!$B$3:$B$5001,G$162,Base!$A$3:$A$5001,_xlfn.MAXIFS(Base!$A$3:$A$5001,Base!$B$3:$B$5001,G$162,Base!$A$3:$A$5001,"&gt;="&amp;$C$7,Base!$A$3:$A$5001,"&lt;="&amp;$B165,Base!$X$3:$X$5001,"&lt;&gt;"))))</f>
        <v>900</v>
      </c>
      <c r="H165">
        <f>IF($A165&gt;$B$9,"",IF(COUNTIFS(Base!$B$3:$B$5001,H$162,Base!$A$3:$A$5001,"&gt;="&amp;$C$7,Base!$A$3:$A$5001,"&lt;="&amp;$B165,Base!$X$3:$X$5001,"&lt;&gt;")=0,"",SUMIFS(Base!$X$3:$X$5001,Base!$B$3:$B$5001,H$162,Base!$A$3:$A$5001,_xlfn.MAXIFS(Base!$A$3:$A$5001,Base!$B$3:$B$5001,H$162,Base!$A$3:$A$5001,"&gt;="&amp;$C$7,Base!$A$3:$A$5001,"&lt;="&amp;$B165,Base!$X$3:$X$5001,"&lt;&gt;"))))</f>
        <v>600</v>
      </c>
      <c r="I165">
        <f>IF($A165&gt;$B$9,"",IF(COUNTIFS(Base!$B$3:$B$5001,I$162,Base!$A$3:$A$5001,"&gt;="&amp;$C$7,Base!$A$3:$A$5001,"&lt;="&amp;$B165,Base!$X$3:$X$5001,"&lt;&gt;")=0,"",SUMIFS(Base!$X$3:$X$5001,Base!$B$3:$B$5001,I$162,Base!$A$3:$A$5001,_xlfn.MAXIFS(Base!$A$3:$A$5001,Base!$B$3:$B$5001,I$162,Base!$A$3:$A$5001,"&gt;="&amp;$C$7,Base!$A$3:$A$5001,"&lt;="&amp;$B165,Base!$X$3:$X$5001,"&lt;&gt;"))))</f>
        <v>1400</v>
      </c>
      <c r="J165">
        <f>IF($A165&gt;$B$9,"",IF(COUNTIFS(Base!$B$3:$B$5001,J$162,Base!$A$3:$A$5001,"&gt;="&amp;$C$7,Base!$A$3:$A$5001,"&lt;="&amp;$B165,Base!$X$3:$X$5001,"&lt;&gt;")=0,"",SUMIFS(Base!$X$3:$X$5001,Base!$B$3:$B$5001,J$162,Base!$A$3:$A$5001,_xlfn.MAXIFS(Base!$A$3:$A$5001,Base!$B$3:$B$5001,J$162,Base!$A$3:$A$5001,"&gt;="&amp;$C$7,Base!$A$3:$A$5001,"&lt;="&amp;$B165,Base!$X$3:$X$5001,"&lt;&gt;"))))</f>
        <v>500</v>
      </c>
      <c r="K165">
        <f>IF($A165&gt;$B$9,"",IF(COUNTIFS(Base!$B$3:$B$5001,K$162,Base!$A$3:$A$5001,"&gt;="&amp;$C$7,Base!$A$3:$A$5001,"&lt;="&amp;$B165,Base!$X$3:$X$5001,"&lt;&gt;")=0,"",SUMIFS(Base!$X$3:$X$5001,Base!$B$3:$B$5001,K$162,Base!$A$3:$A$5001,_xlfn.MAXIFS(Base!$A$3:$A$5001,Base!$B$3:$B$5001,K$162,Base!$A$3:$A$5001,"&gt;="&amp;$C$7,Base!$A$3:$A$5001,"&lt;="&amp;$B165,Base!$X$3:$X$5001,"&lt;&gt;"))))</f>
        <v>1800</v>
      </c>
    </row>
    <row r="166">
      <c r="A166">
        <v>4</v>
      </c>
      <c r="B166" s="152">
        <f>$B$15</f>
        <v>46269</v>
      </c>
      <c r="C166">
        <f>IF($A166&gt;$B$9,"",IF(COUNTIFS(Base!$B$3:$B$5001,C$162,Base!$A$3:$A$5001,"&gt;="&amp;$C$7,Base!$A$3:$A$5001,"&lt;="&amp;$B166,Base!$X$3:$X$5001,"&lt;&gt;")=0,"",SUMIFS(Base!$X$3:$X$5001,Base!$B$3:$B$5001,C$162,Base!$A$3:$A$5001,_xlfn.MAXIFS(Base!$A$3:$A$5001,Base!$B$3:$B$5001,C$162,Base!$A$3:$A$5001,"&gt;="&amp;$C$7,Base!$A$3:$A$5001,"&lt;="&amp;$B166,Base!$X$3:$X$5001,"&lt;&gt;"))))</f>
        <v>2200</v>
      </c>
      <c r="D166">
        <f>IF($A166&gt;$B$9,"",IF(COUNTIFS(Base!$B$3:$B$5001,D$162,Base!$A$3:$A$5001,"&gt;="&amp;$C$7,Base!$A$3:$A$5001,"&lt;="&amp;$B166,Base!$X$3:$X$5001,"&lt;&gt;")=0,"",SUMIFS(Base!$X$3:$X$5001,Base!$B$3:$B$5001,D$162,Base!$A$3:$A$5001,_xlfn.MAXIFS(Base!$A$3:$A$5001,Base!$B$3:$B$5001,D$162,Base!$A$3:$A$5001,"&gt;="&amp;$C$7,Base!$A$3:$A$5001,"&lt;="&amp;$B166,Base!$X$3:$X$5001,"&lt;&gt;"))))</f>
        <v>1200</v>
      </c>
      <c r="E166">
        <f>IF($A166&gt;$B$9,"",IF(COUNTIFS(Base!$B$3:$B$5001,E$162,Base!$A$3:$A$5001,"&gt;="&amp;$C$7,Base!$A$3:$A$5001,"&lt;="&amp;$B166,Base!$X$3:$X$5001,"&lt;&gt;")=0,"",SUMIFS(Base!$X$3:$X$5001,Base!$B$3:$B$5001,E$162,Base!$A$3:$A$5001,_xlfn.MAXIFS(Base!$A$3:$A$5001,Base!$B$3:$B$5001,E$162,Base!$A$3:$A$5001,"&gt;="&amp;$C$7,Base!$A$3:$A$5001,"&lt;="&amp;$B166,Base!$X$3:$X$5001,"&lt;&gt;"))))</f>
        <v>3500</v>
      </c>
      <c r="F166">
        <f>IF($A166&gt;$B$9,"",IF(COUNTIFS(Base!$B$3:$B$5001,F$162,Base!$A$3:$A$5001,"&gt;="&amp;$C$7,Base!$A$3:$A$5001,"&lt;="&amp;$B166,Base!$X$3:$X$5001,"&lt;&gt;")=0,"",SUMIFS(Base!$X$3:$X$5001,Base!$B$3:$B$5001,F$162,Base!$A$3:$A$5001,_xlfn.MAXIFS(Base!$A$3:$A$5001,Base!$B$3:$B$5001,F$162,Base!$A$3:$A$5001,"&gt;="&amp;$C$7,Base!$A$3:$A$5001,"&lt;="&amp;$B166,Base!$X$3:$X$5001,"&lt;&gt;"))))</f>
        <v>1600</v>
      </c>
      <c r="G166">
        <f>IF($A166&gt;$B$9,"",IF(COUNTIFS(Base!$B$3:$B$5001,G$162,Base!$A$3:$A$5001,"&gt;="&amp;$C$7,Base!$A$3:$A$5001,"&lt;="&amp;$B166,Base!$X$3:$X$5001,"&lt;&gt;")=0,"",SUMIFS(Base!$X$3:$X$5001,Base!$B$3:$B$5001,G$162,Base!$A$3:$A$5001,_xlfn.MAXIFS(Base!$A$3:$A$5001,Base!$B$3:$B$5001,G$162,Base!$A$3:$A$5001,"&gt;="&amp;$C$7,Base!$A$3:$A$5001,"&lt;="&amp;$B166,Base!$X$3:$X$5001,"&lt;&gt;"))))</f>
        <v>900</v>
      </c>
      <c r="H166">
        <f>IF($A166&gt;$B$9,"",IF(COUNTIFS(Base!$B$3:$B$5001,H$162,Base!$A$3:$A$5001,"&gt;="&amp;$C$7,Base!$A$3:$A$5001,"&lt;="&amp;$B166,Base!$X$3:$X$5001,"&lt;&gt;")=0,"",SUMIFS(Base!$X$3:$X$5001,Base!$B$3:$B$5001,H$162,Base!$A$3:$A$5001,_xlfn.MAXIFS(Base!$A$3:$A$5001,Base!$B$3:$B$5001,H$162,Base!$A$3:$A$5001,"&gt;="&amp;$C$7,Base!$A$3:$A$5001,"&lt;="&amp;$B166,Base!$X$3:$X$5001,"&lt;&gt;"))))</f>
        <v>600</v>
      </c>
      <c r="I166">
        <f>IF($A166&gt;$B$9,"",IF(COUNTIFS(Base!$B$3:$B$5001,I$162,Base!$A$3:$A$5001,"&gt;="&amp;$C$7,Base!$A$3:$A$5001,"&lt;="&amp;$B166,Base!$X$3:$X$5001,"&lt;&gt;")=0,"",SUMIFS(Base!$X$3:$X$5001,Base!$B$3:$B$5001,I$162,Base!$A$3:$A$5001,_xlfn.MAXIFS(Base!$A$3:$A$5001,Base!$B$3:$B$5001,I$162,Base!$A$3:$A$5001,"&gt;="&amp;$C$7,Base!$A$3:$A$5001,"&lt;="&amp;$B166,Base!$X$3:$X$5001,"&lt;&gt;"))))</f>
        <v>1400</v>
      </c>
      <c r="J166">
        <f>IF($A166&gt;$B$9,"",IF(COUNTIFS(Base!$B$3:$B$5001,J$162,Base!$A$3:$A$5001,"&gt;="&amp;$C$7,Base!$A$3:$A$5001,"&lt;="&amp;$B166,Base!$X$3:$X$5001,"&lt;&gt;")=0,"",SUMIFS(Base!$X$3:$X$5001,Base!$B$3:$B$5001,J$162,Base!$A$3:$A$5001,_xlfn.MAXIFS(Base!$A$3:$A$5001,Base!$B$3:$B$5001,J$162,Base!$A$3:$A$5001,"&gt;="&amp;$C$7,Base!$A$3:$A$5001,"&lt;="&amp;$B166,Base!$X$3:$X$5001,"&lt;&gt;"))))</f>
        <v>500</v>
      </c>
      <c r="K166">
        <f>IF($A166&gt;$B$9,"",IF(COUNTIFS(Base!$B$3:$B$5001,K$162,Base!$A$3:$A$5001,"&gt;="&amp;$C$7,Base!$A$3:$A$5001,"&lt;="&amp;$B166,Base!$X$3:$X$5001,"&lt;&gt;")=0,"",SUMIFS(Base!$X$3:$X$5001,Base!$B$3:$B$5001,K$162,Base!$A$3:$A$5001,_xlfn.MAXIFS(Base!$A$3:$A$5001,Base!$B$3:$B$5001,K$162,Base!$A$3:$A$5001,"&gt;="&amp;$C$7,Base!$A$3:$A$5001,"&lt;="&amp;$B166,Base!$X$3:$X$5001,"&lt;&gt;"))))</f>
        <v>1800</v>
      </c>
    </row>
    <row r="167">
      <c r="A167">
        <v>5</v>
      </c>
      <c r="B167" s="152">
        <f>$B$16</f>
        <v>46270</v>
      </c>
      <c r="C167">
        <f>IF($A167&gt;$B$9,"",IF(COUNTIFS(Base!$B$3:$B$5001,C$162,Base!$A$3:$A$5001,"&gt;="&amp;$C$7,Base!$A$3:$A$5001,"&lt;="&amp;$B167,Base!$X$3:$X$5001,"&lt;&gt;")=0,"",SUMIFS(Base!$X$3:$X$5001,Base!$B$3:$B$5001,C$162,Base!$A$3:$A$5001,_xlfn.MAXIFS(Base!$A$3:$A$5001,Base!$B$3:$B$5001,C$162,Base!$A$3:$A$5001,"&gt;="&amp;$C$7,Base!$A$3:$A$5001,"&lt;="&amp;$B167,Base!$X$3:$X$5001,"&lt;&gt;"))))</f>
        <v>2200</v>
      </c>
      <c r="D167">
        <f>IF($A167&gt;$B$9,"",IF(COUNTIFS(Base!$B$3:$B$5001,D$162,Base!$A$3:$A$5001,"&gt;="&amp;$C$7,Base!$A$3:$A$5001,"&lt;="&amp;$B167,Base!$X$3:$X$5001,"&lt;&gt;")=0,"",SUMIFS(Base!$X$3:$X$5001,Base!$B$3:$B$5001,D$162,Base!$A$3:$A$5001,_xlfn.MAXIFS(Base!$A$3:$A$5001,Base!$B$3:$B$5001,D$162,Base!$A$3:$A$5001,"&gt;="&amp;$C$7,Base!$A$3:$A$5001,"&lt;="&amp;$B167,Base!$X$3:$X$5001,"&lt;&gt;"))))</f>
        <v>1200</v>
      </c>
      <c r="E167">
        <f>IF($A167&gt;$B$9,"",IF(COUNTIFS(Base!$B$3:$B$5001,E$162,Base!$A$3:$A$5001,"&gt;="&amp;$C$7,Base!$A$3:$A$5001,"&lt;="&amp;$B167,Base!$X$3:$X$5001,"&lt;&gt;")=0,"",SUMIFS(Base!$X$3:$X$5001,Base!$B$3:$B$5001,E$162,Base!$A$3:$A$5001,_xlfn.MAXIFS(Base!$A$3:$A$5001,Base!$B$3:$B$5001,E$162,Base!$A$3:$A$5001,"&gt;="&amp;$C$7,Base!$A$3:$A$5001,"&lt;="&amp;$B167,Base!$X$3:$X$5001,"&lt;&gt;"))))</f>
        <v>3500</v>
      </c>
      <c r="F167">
        <f>IF($A167&gt;$B$9,"",IF(COUNTIFS(Base!$B$3:$B$5001,F$162,Base!$A$3:$A$5001,"&gt;="&amp;$C$7,Base!$A$3:$A$5001,"&lt;="&amp;$B167,Base!$X$3:$X$5001,"&lt;&gt;")=0,"",SUMIFS(Base!$X$3:$X$5001,Base!$B$3:$B$5001,F$162,Base!$A$3:$A$5001,_xlfn.MAXIFS(Base!$A$3:$A$5001,Base!$B$3:$B$5001,F$162,Base!$A$3:$A$5001,"&gt;="&amp;$C$7,Base!$A$3:$A$5001,"&lt;="&amp;$B167,Base!$X$3:$X$5001,"&lt;&gt;"))))</f>
        <v>1600</v>
      </c>
      <c r="G167">
        <f>IF($A167&gt;$B$9,"",IF(COUNTIFS(Base!$B$3:$B$5001,G$162,Base!$A$3:$A$5001,"&gt;="&amp;$C$7,Base!$A$3:$A$5001,"&lt;="&amp;$B167,Base!$X$3:$X$5001,"&lt;&gt;")=0,"",SUMIFS(Base!$X$3:$X$5001,Base!$B$3:$B$5001,G$162,Base!$A$3:$A$5001,_xlfn.MAXIFS(Base!$A$3:$A$5001,Base!$B$3:$B$5001,G$162,Base!$A$3:$A$5001,"&gt;="&amp;$C$7,Base!$A$3:$A$5001,"&lt;="&amp;$B167,Base!$X$3:$X$5001,"&lt;&gt;"))))</f>
        <v>900</v>
      </c>
      <c r="H167">
        <f>IF($A167&gt;$B$9,"",IF(COUNTIFS(Base!$B$3:$B$5001,H$162,Base!$A$3:$A$5001,"&gt;="&amp;$C$7,Base!$A$3:$A$5001,"&lt;="&amp;$B167,Base!$X$3:$X$5001,"&lt;&gt;")=0,"",SUMIFS(Base!$X$3:$X$5001,Base!$B$3:$B$5001,H$162,Base!$A$3:$A$5001,_xlfn.MAXIFS(Base!$A$3:$A$5001,Base!$B$3:$B$5001,H$162,Base!$A$3:$A$5001,"&gt;="&amp;$C$7,Base!$A$3:$A$5001,"&lt;="&amp;$B167,Base!$X$3:$X$5001,"&lt;&gt;"))))</f>
        <v>600</v>
      </c>
      <c r="I167">
        <f>IF($A167&gt;$B$9,"",IF(COUNTIFS(Base!$B$3:$B$5001,I$162,Base!$A$3:$A$5001,"&gt;="&amp;$C$7,Base!$A$3:$A$5001,"&lt;="&amp;$B167,Base!$X$3:$X$5001,"&lt;&gt;")=0,"",SUMIFS(Base!$X$3:$X$5001,Base!$B$3:$B$5001,I$162,Base!$A$3:$A$5001,_xlfn.MAXIFS(Base!$A$3:$A$5001,Base!$B$3:$B$5001,I$162,Base!$A$3:$A$5001,"&gt;="&amp;$C$7,Base!$A$3:$A$5001,"&lt;="&amp;$B167,Base!$X$3:$X$5001,"&lt;&gt;"))))</f>
        <v>1400</v>
      </c>
      <c r="J167">
        <f>IF($A167&gt;$B$9,"",IF(COUNTIFS(Base!$B$3:$B$5001,J$162,Base!$A$3:$A$5001,"&gt;="&amp;$C$7,Base!$A$3:$A$5001,"&lt;="&amp;$B167,Base!$X$3:$X$5001,"&lt;&gt;")=0,"",SUMIFS(Base!$X$3:$X$5001,Base!$B$3:$B$5001,J$162,Base!$A$3:$A$5001,_xlfn.MAXIFS(Base!$A$3:$A$5001,Base!$B$3:$B$5001,J$162,Base!$A$3:$A$5001,"&gt;="&amp;$C$7,Base!$A$3:$A$5001,"&lt;="&amp;$B167,Base!$X$3:$X$5001,"&lt;&gt;"))))</f>
        <v>500</v>
      </c>
      <c r="K167">
        <f>IF($A167&gt;$B$9,"",IF(COUNTIFS(Base!$B$3:$B$5001,K$162,Base!$A$3:$A$5001,"&gt;="&amp;$C$7,Base!$A$3:$A$5001,"&lt;="&amp;$B167,Base!$X$3:$X$5001,"&lt;&gt;")=0,"",SUMIFS(Base!$X$3:$X$5001,Base!$B$3:$B$5001,K$162,Base!$A$3:$A$5001,_xlfn.MAXIFS(Base!$A$3:$A$5001,Base!$B$3:$B$5001,K$162,Base!$A$3:$A$5001,"&gt;="&amp;$C$7,Base!$A$3:$A$5001,"&lt;="&amp;$B167,Base!$X$3:$X$5001,"&lt;&gt;"))))</f>
        <v>1800</v>
      </c>
    </row>
    <row r="168">
      <c r="A168">
        <v>6</v>
      </c>
      <c r="B168" s="152">
        <f>$B$17</f>
        <v>46271</v>
      </c>
      <c r="C168">
        <f>IF($A168&gt;$B$9,"",IF(COUNTIFS(Base!$B$3:$B$5001,C$162,Base!$A$3:$A$5001,"&gt;="&amp;$C$7,Base!$A$3:$A$5001,"&lt;="&amp;$B168,Base!$X$3:$X$5001,"&lt;&gt;")=0,"",SUMIFS(Base!$X$3:$X$5001,Base!$B$3:$B$5001,C$162,Base!$A$3:$A$5001,_xlfn.MAXIFS(Base!$A$3:$A$5001,Base!$B$3:$B$5001,C$162,Base!$A$3:$A$5001,"&gt;="&amp;$C$7,Base!$A$3:$A$5001,"&lt;="&amp;$B168,Base!$X$3:$X$5001,"&lt;&gt;"))))</f>
        <v>2200</v>
      </c>
      <c r="D168">
        <f>IF($A168&gt;$B$9,"",IF(COUNTIFS(Base!$B$3:$B$5001,D$162,Base!$A$3:$A$5001,"&gt;="&amp;$C$7,Base!$A$3:$A$5001,"&lt;="&amp;$B168,Base!$X$3:$X$5001,"&lt;&gt;")=0,"",SUMIFS(Base!$X$3:$X$5001,Base!$B$3:$B$5001,D$162,Base!$A$3:$A$5001,_xlfn.MAXIFS(Base!$A$3:$A$5001,Base!$B$3:$B$5001,D$162,Base!$A$3:$A$5001,"&gt;="&amp;$C$7,Base!$A$3:$A$5001,"&lt;="&amp;$B168,Base!$X$3:$X$5001,"&lt;&gt;"))))</f>
        <v>1200</v>
      </c>
      <c r="E168">
        <f>IF($A168&gt;$B$9,"",IF(COUNTIFS(Base!$B$3:$B$5001,E$162,Base!$A$3:$A$5001,"&gt;="&amp;$C$7,Base!$A$3:$A$5001,"&lt;="&amp;$B168,Base!$X$3:$X$5001,"&lt;&gt;")=0,"",SUMIFS(Base!$X$3:$X$5001,Base!$B$3:$B$5001,E$162,Base!$A$3:$A$5001,_xlfn.MAXIFS(Base!$A$3:$A$5001,Base!$B$3:$B$5001,E$162,Base!$A$3:$A$5001,"&gt;="&amp;$C$7,Base!$A$3:$A$5001,"&lt;="&amp;$B168,Base!$X$3:$X$5001,"&lt;&gt;"))))</f>
        <v>3500</v>
      </c>
      <c r="F168">
        <f>IF($A168&gt;$B$9,"",IF(COUNTIFS(Base!$B$3:$B$5001,F$162,Base!$A$3:$A$5001,"&gt;="&amp;$C$7,Base!$A$3:$A$5001,"&lt;="&amp;$B168,Base!$X$3:$X$5001,"&lt;&gt;")=0,"",SUMIFS(Base!$X$3:$X$5001,Base!$B$3:$B$5001,F$162,Base!$A$3:$A$5001,_xlfn.MAXIFS(Base!$A$3:$A$5001,Base!$B$3:$B$5001,F$162,Base!$A$3:$A$5001,"&gt;="&amp;$C$7,Base!$A$3:$A$5001,"&lt;="&amp;$B168,Base!$X$3:$X$5001,"&lt;&gt;"))))</f>
        <v>1600</v>
      </c>
      <c r="G168">
        <f>IF($A168&gt;$B$9,"",IF(COUNTIFS(Base!$B$3:$B$5001,G$162,Base!$A$3:$A$5001,"&gt;="&amp;$C$7,Base!$A$3:$A$5001,"&lt;="&amp;$B168,Base!$X$3:$X$5001,"&lt;&gt;")=0,"",SUMIFS(Base!$X$3:$X$5001,Base!$B$3:$B$5001,G$162,Base!$A$3:$A$5001,_xlfn.MAXIFS(Base!$A$3:$A$5001,Base!$B$3:$B$5001,G$162,Base!$A$3:$A$5001,"&gt;="&amp;$C$7,Base!$A$3:$A$5001,"&lt;="&amp;$B168,Base!$X$3:$X$5001,"&lt;&gt;"))))</f>
        <v>900</v>
      </c>
      <c r="H168">
        <f>IF($A168&gt;$B$9,"",IF(COUNTIFS(Base!$B$3:$B$5001,H$162,Base!$A$3:$A$5001,"&gt;="&amp;$C$7,Base!$A$3:$A$5001,"&lt;="&amp;$B168,Base!$X$3:$X$5001,"&lt;&gt;")=0,"",SUMIFS(Base!$X$3:$X$5001,Base!$B$3:$B$5001,H$162,Base!$A$3:$A$5001,_xlfn.MAXIFS(Base!$A$3:$A$5001,Base!$B$3:$B$5001,H$162,Base!$A$3:$A$5001,"&gt;="&amp;$C$7,Base!$A$3:$A$5001,"&lt;="&amp;$B168,Base!$X$3:$X$5001,"&lt;&gt;"))))</f>
        <v>600</v>
      </c>
      <c r="I168">
        <f>IF($A168&gt;$B$9,"",IF(COUNTIFS(Base!$B$3:$B$5001,I$162,Base!$A$3:$A$5001,"&gt;="&amp;$C$7,Base!$A$3:$A$5001,"&lt;="&amp;$B168,Base!$X$3:$X$5001,"&lt;&gt;")=0,"",SUMIFS(Base!$X$3:$X$5001,Base!$B$3:$B$5001,I$162,Base!$A$3:$A$5001,_xlfn.MAXIFS(Base!$A$3:$A$5001,Base!$B$3:$B$5001,I$162,Base!$A$3:$A$5001,"&gt;="&amp;$C$7,Base!$A$3:$A$5001,"&lt;="&amp;$B168,Base!$X$3:$X$5001,"&lt;&gt;"))))</f>
        <v>1400</v>
      </c>
      <c r="J168">
        <f>IF($A168&gt;$B$9,"",IF(COUNTIFS(Base!$B$3:$B$5001,J$162,Base!$A$3:$A$5001,"&gt;="&amp;$C$7,Base!$A$3:$A$5001,"&lt;="&amp;$B168,Base!$X$3:$X$5001,"&lt;&gt;")=0,"",SUMIFS(Base!$X$3:$X$5001,Base!$B$3:$B$5001,J$162,Base!$A$3:$A$5001,_xlfn.MAXIFS(Base!$A$3:$A$5001,Base!$B$3:$B$5001,J$162,Base!$A$3:$A$5001,"&gt;="&amp;$C$7,Base!$A$3:$A$5001,"&lt;="&amp;$B168,Base!$X$3:$X$5001,"&lt;&gt;"))))</f>
        <v>500</v>
      </c>
      <c r="K168">
        <f>IF($A168&gt;$B$9,"",IF(COUNTIFS(Base!$B$3:$B$5001,K$162,Base!$A$3:$A$5001,"&gt;="&amp;$C$7,Base!$A$3:$A$5001,"&lt;="&amp;$B168,Base!$X$3:$X$5001,"&lt;&gt;")=0,"",SUMIFS(Base!$X$3:$X$5001,Base!$B$3:$B$5001,K$162,Base!$A$3:$A$5001,_xlfn.MAXIFS(Base!$A$3:$A$5001,Base!$B$3:$B$5001,K$162,Base!$A$3:$A$5001,"&gt;="&amp;$C$7,Base!$A$3:$A$5001,"&lt;="&amp;$B168,Base!$X$3:$X$5001,"&lt;&gt;"))))</f>
        <v>1800</v>
      </c>
    </row>
    <row r="169">
      <c r="A169">
        <v>7</v>
      </c>
      <c r="B169" s="152">
        <f>$B$18</f>
        <v>46272</v>
      </c>
      <c r="C169">
        <f>IF($A169&gt;$B$9,"",IF(COUNTIFS(Base!$B$3:$B$5001,C$162,Base!$A$3:$A$5001,"&gt;="&amp;$C$7,Base!$A$3:$A$5001,"&lt;="&amp;$B169,Base!$X$3:$X$5001,"&lt;&gt;")=0,"",SUMIFS(Base!$X$3:$X$5001,Base!$B$3:$B$5001,C$162,Base!$A$3:$A$5001,_xlfn.MAXIFS(Base!$A$3:$A$5001,Base!$B$3:$B$5001,C$162,Base!$A$3:$A$5001,"&gt;="&amp;$C$7,Base!$A$3:$A$5001,"&lt;="&amp;$B169,Base!$X$3:$X$5001,"&lt;&gt;"))))</f>
        <v>2200</v>
      </c>
      <c r="D169">
        <f>IF($A169&gt;$B$9,"",IF(COUNTIFS(Base!$B$3:$B$5001,D$162,Base!$A$3:$A$5001,"&gt;="&amp;$C$7,Base!$A$3:$A$5001,"&lt;="&amp;$B169,Base!$X$3:$X$5001,"&lt;&gt;")=0,"",SUMIFS(Base!$X$3:$X$5001,Base!$B$3:$B$5001,D$162,Base!$A$3:$A$5001,_xlfn.MAXIFS(Base!$A$3:$A$5001,Base!$B$3:$B$5001,D$162,Base!$A$3:$A$5001,"&gt;="&amp;$C$7,Base!$A$3:$A$5001,"&lt;="&amp;$B169,Base!$X$3:$X$5001,"&lt;&gt;"))))</f>
        <v>1200</v>
      </c>
      <c r="E169">
        <f>IF($A169&gt;$B$9,"",IF(COUNTIFS(Base!$B$3:$B$5001,E$162,Base!$A$3:$A$5001,"&gt;="&amp;$C$7,Base!$A$3:$A$5001,"&lt;="&amp;$B169,Base!$X$3:$X$5001,"&lt;&gt;")=0,"",SUMIFS(Base!$X$3:$X$5001,Base!$B$3:$B$5001,E$162,Base!$A$3:$A$5001,_xlfn.MAXIFS(Base!$A$3:$A$5001,Base!$B$3:$B$5001,E$162,Base!$A$3:$A$5001,"&gt;="&amp;$C$7,Base!$A$3:$A$5001,"&lt;="&amp;$B169,Base!$X$3:$X$5001,"&lt;&gt;"))))</f>
        <v>3500</v>
      </c>
      <c r="F169">
        <f>IF($A169&gt;$B$9,"",IF(COUNTIFS(Base!$B$3:$B$5001,F$162,Base!$A$3:$A$5001,"&gt;="&amp;$C$7,Base!$A$3:$A$5001,"&lt;="&amp;$B169,Base!$X$3:$X$5001,"&lt;&gt;")=0,"",SUMIFS(Base!$X$3:$X$5001,Base!$B$3:$B$5001,F$162,Base!$A$3:$A$5001,_xlfn.MAXIFS(Base!$A$3:$A$5001,Base!$B$3:$B$5001,F$162,Base!$A$3:$A$5001,"&gt;="&amp;$C$7,Base!$A$3:$A$5001,"&lt;="&amp;$B169,Base!$X$3:$X$5001,"&lt;&gt;"))))</f>
        <v>1600</v>
      </c>
      <c r="G169">
        <f>IF($A169&gt;$B$9,"",IF(COUNTIFS(Base!$B$3:$B$5001,G$162,Base!$A$3:$A$5001,"&gt;="&amp;$C$7,Base!$A$3:$A$5001,"&lt;="&amp;$B169,Base!$X$3:$X$5001,"&lt;&gt;")=0,"",SUMIFS(Base!$X$3:$X$5001,Base!$B$3:$B$5001,G$162,Base!$A$3:$A$5001,_xlfn.MAXIFS(Base!$A$3:$A$5001,Base!$B$3:$B$5001,G$162,Base!$A$3:$A$5001,"&gt;="&amp;$C$7,Base!$A$3:$A$5001,"&lt;="&amp;$B169,Base!$X$3:$X$5001,"&lt;&gt;"))))</f>
        <v>900</v>
      </c>
      <c r="H169">
        <f>IF($A169&gt;$B$9,"",IF(COUNTIFS(Base!$B$3:$B$5001,H$162,Base!$A$3:$A$5001,"&gt;="&amp;$C$7,Base!$A$3:$A$5001,"&lt;="&amp;$B169,Base!$X$3:$X$5001,"&lt;&gt;")=0,"",SUMIFS(Base!$X$3:$X$5001,Base!$B$3:$B$5001,H$162,Base!$A$3:$A$5001,_xlfn.MAXIFS(Base!$A$3:$A$5001,Base!$B$3:$B$5001,H$162,Base!$A$3:$A$5001,"&gt;="&amp;$C$7,Base!$A$3:$A$5001,"&lt;="&amp;$B169,Base!$X$3:$X$5001,"&lt;&gt;"))))</f>
        <v>600</v>
      </c>
      <c r="I169">
        <f>IF($A169&gt;$B$9,"",IF(COUNTIFS(Base!$B$3:$B$5001,I$162,Base!$A$3:$A$5001,"&gt;="&amp;$C$7,Base!$A$3:$A$5001,"&lt;="&amp;$B169,Base!$X$3:$X$5001,"&lt;&gt;")=0,"",SUMIFS(Base!$X$3:$X$5001,Base!$B$3:$B$5001,I$162,Base!$A$3:$A$5001,_xlfn.MAXIFS(Base!$A$3:$A$5001,Base!$B$3:$B$5001,I$162,Base!$A$3:$A$5001,"&gt;="&amp;$C$7,Base!$A$3:$A$5001,"&lt;="&amp;$B169,Base!$X$3:$X$5001,"&lt;&gt;"))))</f>
        <v>1400</v>
      </c>
      <c r="J169">
        <f>IF($A169&gt;$B$9,"",IF(COUNTIFS(Base!$B$3:$B$5001,J$162,Base!$A$3:$A$5001,"&gt;="&amp;$C$7,Base!$A$3:$A$5001,"&lt;="&amp;$B169,Base!$X$3:$X$5001,"&lt;&gt;")=0,"",SUMIFS(Base!$X$3:$X$5001,Base!$B$3:$B$5001,J$162,Base!$A$3:$A$5001,_xlfn.MAXIFS(Base!$A$3:$A$5001,Base!$B$3:$B$5001,J$162,Base!$A$3:$A$5001,"&gt;="&amp;$C$7,Base!$A$3:$A$5001,"&lt;="&amp;$B169,Base!$X$3:$X$5001,"&lt;&gt;"))))</f>
        <v>500</v>
      </c>
      <c r="K169">
        <f>IF($A169&gt;$B$9,"",IF(COUNTIFS(Base!$B$3:$B$5001,K$162,Base!$A$3:$A$5001,"&gt;="&amp;$C$7,Base!$A$3:$A$5001,"&lt;="&amp;$B169,Base!$X$3:$X$5001,"&lt;&gt;")=0,"",SUMIFS(Base!$X$3:$X$5001,Base!$B$3:$B$5001,K$162,Base!$A$3:$A$5001,_xlfn.MAXIFS(Base!$A$3:$A$5001,Base!$B$3:$B$5001,K$162,Base!$A$3:$A$5001,"&gt;="&amp;$C$7,Base!$A$3:$A$5001,"&lt;="&amp;$B169,Base!$X$3:$X$5001,"&lt;&gt;"))))</f>
        <v>1800</v>
      </c>
    </row>
    <row r="170">
      <c r="A170">
        <v>8</v>
      </c>
      <c r="B170" s="152">
        <f>$B$19</f>
        <v>46273</v>
      </c>
      <c r="C170">
        <f>IF($A170&gt;$B$9,"",IF(COUNTIFS(Base!$B$3:$B$5001,C$162,Base!$A$3:$A$5001,"&gt;="&amp;$C$7,Base!$A$3:$A$5001,"&lt;="&amp;$B170,Base!$X$3:$X$5001,"&lt;&gt;")=0,"",SUMIFS(Base!$X$3:$X$5001,Base!$B$3:$B$5001,C$162,Base!$A$3:$A$5001,_xlfn.MAXIFS(Base!$A$3:$A$5001,Base!$B$3:$B$5001,C$162,Base!$A$3:$A$5001,"&gt;="&amp;$C$7,Base!$A$3:$A$5001,"&lt;="&amp;$B170,Base!$X$3:$X$5001,"&lt;&gt;"))))</f>
        <v>2200</v>
      </c>
      <c r="D170">
        <f>IF($A170&gt;$B$9,"",IF(COUNTIFS(Base!$B$3:$B$5001,D$162,Base!$A$3:$A$5001,"&gt;="&amp;$C$7,Base!$A$3:$A$5001,"&lt;="&amp;$B170,Base!$X$3:$X$5001,"&lt;&gt;")=0,"",SUMIFS(Base!$X$3:$X$5001,Base!$B$3:$B$5001,D$162,Base!$A$3:$A$5001,_xlfn.MAXIFS(Base!$A$3:$A$5001,Base!$B$3:$B$5001,D$162,Base!$A$3:$A$5001,"&gt;="&amp;$C$7,Base!$A$3:$A$5001,"&lt;="&amp;$B170,Base!$X$3:$X$5001,"&lt;&gt;"))))</f>
        <v>1200</v>
      </c>
      <c r="E170">
        <f>IF($A170&gt;$B$9,"",IF(COUNTIFS(Base!$B$3:$B$5001,E$162,Base!$A$3:$A$5001,"&gt;="&amp;$C$7,Base!$A$3:$A$5001,"&lt;="&amp;$B170,Base!$X$3:$X$5001,"&lt;&gt;")=0,"",SUMIFS(Base!$X$3:$X$5001,Base!$B$3:$B$5001,E$162,Base!$A$3:$A$5001,_xlfn.MAXIFS(Base!$A$3:$A$5001,Base!$B$3:$B$5001,E$162,Base!$A$3:$A$5001,"&gt;="&amp;$C$7,Base!$A$3:$A$5001,"&lt;="&amp;$B170,Base!$X$3:$X$5001,"&lt;&gt;"))))</f>
        <v>3500</v>
      </c>
      <c r="F170">
        <f>IF($A170&gt;$B$9,"",IF(COUNTIFS(Base!$B$3:$B$5001,F$162,Base!$A$3:$A$5001,"&gt;="&amp;$C$7,Base!$A$3:$A$5001,"&lt;="&amp;$B170,Base!$X$3:$X$5001,"&lt;&gt;")=0,"",SUMIFS(Base!$X$3:$X$5001,Base!$B$3:$B$5001,F$162,Base!$A$3:$A$5001,_xlfn.MAXIFS(Base!$A$3:$A$5001,Base!$B$3:$B$5001,F$162,Base!$A$3:$A$5001,"&gt;="&amp;$C$7,Base!$A$3:$A$5001,"&lt;="&amp;$B170,Base!$X$3:$X$5001,"&lt;&gt;"))))</f>
        <v>1600</v>
      </c>
      <c r="G170">
        <f>IF($A170&gt;$B$9,"",IF(COUNTIFS(Base!$B$3:$B$5001,G$162,Base!$A$3:$A$5001,"&gt;="&amp;$C$7,Base!$A$3:$A$5001,"&lt;="&amp;$B170,Base!$X$3:$X$5001,"&lt;&gt;")=0,"",SUMIFS(Base!$X$3:$X$5001,Base!$B$3:$B$5001,G$162,Base!$A$3:$A$5001,_xlfn.MAXIFS(Base!$A$3:$A$5001,Base!$B$3:$B$5001,G$162,Base!$A$3:$A$5001,"&gt;="&amp;$C$7,Base!$A$3:$A$5001,"&lt;="&amp;$B170,Base!$X$3:$X$5001,"&lt;&gt;"))))</f>
        <v>900</v>
      </c>
      <c r="H170">
        <f>IF($A170&gt;$B$9,"",IF(COUNTIFS(Base!$B$3:$B$5001,H$162,Base!$A$3:$A$5001,"&gt;="&amp;$C$7,Base!$A$3:$A$5001,"&lt;="&amp;$B170,Base!$X$3:$X$5001,"&lt;&gt;")=0,"",SUMIFS(Base!$X$3:$X$5001,Base!$B$3:$B$5001,H$162,Base!$A$3:$A$5001,_xlfn.MAXIFS(Base!$A$3:$A$5001,Base!$B$3:$B$5001,H$162,Base!$A$3:$A$5001,"&gt;="&amp;$C$7,Base!$A$3:$A$5001,"&lt;="&amp;$B170,Base!$X$3:$X$5001,"&lt;&gt;"))))</f>
        <v>600</v>
      </c>
      <c r="I170">
        <f>IF($A170&gt;$B$9,"",IF(COUNTIFS(Base!$B$3:$B$5001,I$162,Base!$A$3:$A$5001,"&gt;="&amp;$C$7,Base!$A$3:$A$5001,"&lt;="&amp;$B170,Base!$X$3:$X$5001,"&lt;&gt;")=0,"",SUMIFS(Base!$X$3:$X$5001,Base!$B$3:$B$5001,I$162,Base!$A$3:$A$5001,_xlfn.MAXIFS(Base!$A$3:$A$5001,Base!$B$3:$B$5001,I$162,Base!$A$3:$A$5001,"&gt;="&amp;$C$7,Base!$A$3:$A$5001,"&lt;="&amp;$B170,Base!$X$3:$X$5001,"&lt;&gt;"))))</f>
        <v>1400</v>
      </c>
      <c r="J170">
        <f>IF($A170&gt;$B$9,"",IF(COUNTIFS(Base!$B$3:$B$5001,J$162,Base!$A$3:$A$5001,"&gt;="&amp;$C$7,Base!$A$3:$A$5001,"&lt;="&amp;$B170,Base!$X$3:$X$5001,"&lt;&gt;")=0,"",SUMIFS(Base!$X$3:$X$5001,Base!$B$3:$B$5001,J$162,Base!$A$3:$A$5001,_xlfn.MAXIFS(Base!$A$3:$A$5001,Base!$B$3:$B$5001,J$162,Base!$A$3:$A$5001,"&gt;="&amp;$C$7,Base!$A$3:$A$5001,"&lt;="&amp;$B170,Base!$X$3:$X$5001,"&lt;&gt;"))))</f>
        <v>500</v>
      </c>
      <c r="K170">
        <f>IF($A170&gt;$B$9,"",IF(COUNTIFS(Base!$B$3:$B$5001,K$162,Base!$A$3:$A$5001,"&gt;="&amp;$C$7,Base!$A$3:$A$5001,"&lt;="&amp;$B170,Base!$X$3:$X$5001,"&lt;&gt;")=0,"",SUMIFS(Base!$X$3:$X$5001,Base!$B$3:$B$5001,K$162,Base!$A$3:$A$5001,_xlfn.MAXIFS(Base!$A$3:$A$5001,Base!$B$3:$B$5001,K$162,Base!$A$3:$A$5001,"&gt;="&amp;$C$7,Base!$A$3:$A$5001,"&lt;="&amp;$B170,Base!$X$3:$X$5001,"&lt;&gt;"))))</f>
        <v>1800</v>
      </c>
    </row>
    <row r="171">
      <c r="A171">
        <v>9</v>
      </c>
      <c r="B171" s="152">
        <f>$B$20</f>
        <v>46274</v>
      </c>
      <c r="C171">
        <f>IF($A171&gt;$B$9,"",IF(COUNTIFS(Base!$B$3:$B$5001,C$162,Base!$A$3:$A$5001,"&gt;="&amp;$C$7,Base!$A$3:$A$5001,"&lt;="&amp;$B171,Base!$X$3:$X$5001,"&lt;&gt;")=0,"",SUMIFS(Base!$X$3:$X$5001,Base!$B$3:$B$5001,C$162,Base!$A$3:$A$5001,_xlfn.MAXIFS(Base!$A$3:$A$5001,Base!$B$3:$B$5001,C$162,Base!$A$3:$A$5001,"&gt;="&amp;$C$7,Base!$A$3:$A$5001,"&lt;="&amp;$B171,Base!$X$3:$X$5001,"&lt;&gt;"))))</f>
        <v>2200</v>
      </c>
      <c r="D171">
        <f>IF($A171&gt;$B$9,"",IF(COUNTIFS(Base!$B$3:$B$5001,D$162,Base!$A$3:$A$5001,"&gt;="&amp;$C$7,Base!$A$3:$A$5001,"&lt;="&amp;$B171,Base!$X$3:$X$5001,"&lt;&gt;")=0,"",SUMIFS(Base!$X$3:$X$5001,Base!$B$3:$B$5001,D$162,Base!$A$3:$A$5001,_xlfn.MAXIFS(Base!$A$3:$A$5001,Base!$B$3:$B$5001,D$162,Base!$A$3:$A$5001,"&gt;="&amp;$C$7,Base!$A$3:$A$5001,"&lt;="&amp;$B171,Base!$X$3:$X$5001,"&lt;&gt;"))))</f>
        <v>1200</v>
      </c>
      <c r="E171">
        <f>IF($A171&gt;$B$9,"",IF(COUNTIFS(Base!$B$3:$B$5001,E$162,Base!$A$3:$A$5001,"&gt;="&amp;$C$7,Base!$A$3:$A$5001,"&lt;="&amp;$B171,Base!$X$3:$X$5001,"&lt;&gt;")=0,"",SUMIFS(Base!$X$3:$X$5001,Base!$B$3:$B$5001,E$162,Base!$A$3:$A$5001,_xlfn.MAXIFS(Base!$A$3:$A$5001,Base!$B$3:$B$5001,E$162,Base!$A$3:$A$5001,"&gt;="&amp;$C$7,Base!$A$3:$A$5001,"&lt;="&amp;$B171,Base!$X$3:$X$5001,"&lt;&gt;"))))</f>
        <v>3500</v>
      </c>
      <c r="F171">
        <f>IF($A171&gt;$B$9,"",IF(COUNTIFS(Base!$B$3:$B$5001,F$162,Base!$A$3:$A$5001,"&gt;="&amp;$C$7,Base!$A$3:$A$5001,"&lt;="&amp;$B171,Base!$X$3:$X$5001,"&lt;&gt;")=0,"",SUMIFS(Base!$X$3:$X$5001,Base!$B$3:$B$5001,F$162,Base!$A$3:$A$5001,_xlfn.MAXIFS(Base!$A$3:$A$5001,Base!$B$3:$B$5001,F$162,Base!$A$3:$A$5001,"&gt;="&amp;$C$7,Base!$A$3:$A$5001,"&lt;="&amp;$B171,Base!$X$3:$X$5001,"&lt;&gt;"))))</f>
        <v>1600</v>
      </c>
      <c r="G171">
        <f>IF($A171&gt;$B$9,"",IF(COUNTIFS(Base!$B$3:$B$5001,G$162,Base!$A$3:$A$5001,"&gt;="&amp;$C$7,Base!$A$3:$A$5001,"&lt;="&amp;$B171,Base!$X$3:$X$5001,"&lt;&gt;")=0,"",SUMIFS(Base!$X$3:$X$5001,Base!$B$3:$B$5001,G$162,Base!$A$3:$A$5001,_xlfn.MAXIFS(Base!$A$3:$A$5001,Base!$B$3:$B$5001,G$162,Base!$A$3:$A$5001,"&gt;="&amp;$C$7,Base!$A$3:$A$5001,"&lt;="&amp;$B171,Base!$X$3:$X$5001,"&lt;&gt;"))))</f>
        <v>900</v>
      </c>
      <c r="H171">
        <f>IF($A171&gt;$B$9,"",IF(COUNTIFS(Base!$B$3:$B$5001,H$162,Base!$A$3:$A$5001,"&gt;="&amp;$C$7,Base!$A$3:$A$5001,"&lt;="&amp;$B171,Base!$X$3:$X$5001,"&lt;&gt;")=0,"",SUMIFS(Base!$X$3:$X$5001,Base!$B$3:$B$5001,H$162,Base!$A$3:$A$5001,_xlfn.MAXIFS(Base!$A$3:$A$5001,Base!$B$3:$B$5001,H$162,Base!$A$3:$A$5001,"&gt;="&amp;$C$7,Base!$A$3:$A$5001,"&lt;="&amp;$B171,Base!$X$3:$X$5001,"&lt;&gt;"))))</f>
        <v>600</v>
      </c>
      <c r="I171">
        <f>IF($A171&gt;$B$9,"",IF(COUNTIFS(Base!$B$3:$B$5001,I$162,Base!$A$3:$A$5001,"&gt;="&amp;$C$7,Base!$A$3:$A$5001,"&lt;="&amp;$B171,Base!$X$3:$X$5001,"&lt;&gt;")=0,"",SUMIFS(Base!$X$3:$X$5001,Base!$B$3:$B$5001,I$162,Base!$A$3:$A$5001,_xlfn.MAXIFS(Base!$A$3:$A$5001,Base!$B$3:$B$5001,I$162,Base!$A$3:$A$5001,"&gt;="&amp;$C$7,Base!$A$3:$A$5001,"&lt;="&amp;$B171,Base!$X$3:$X$5001,"&lt;&gt;"))))</f>
        <v>1400</v>
      </c>
      <c r="J171">
        <f>IF($A171&gt;$B$9,"",IF(COUNTIFS(Base!$B$3:$B$5001,J$162,Base!$A$3:$A$5001,"&gt;="&amp;$C$7,Base!$A$3:$A$5001,"&lt;="&amp;$B171,Base!$X$3:$X$5001,"&lt;&gt;")=0,"",SUMIFS(Base!$X$3:$X$5001,Base!$B$3:$B$5001,J$162,Base!$A$3:$A$5001,_xlfn.MAXIFS(Base!$A$3:$A$5001,Base!$B$3:$B$5001,J$162,Base!$A$3:$A$5001,"&gt;="&amp;$C$7,Base!$A$3:$A$5001,"&lt;="&amp;$B171,Base!$X$3:$X$5001,"&lt;&gt;"))))</f>
        <v>500</v>
      </c>
      <c r="K171">
        <f>IF($A171&gt;$B$9,"",IF(COUNTIFS(Base!$B$3:$B$5001,K$162,Base!$A$3:$A$5001,"&gt;="&amp;$C$7,Base!$A$3:$A$5001,"&lt;="&amp;$B171,Base!$X$3:$X$5001,"&lt;&gt;")=0,"",SUMIFS(Base!$X$3:$X$5001,Base!$B$3:$B$5001,K$162,Base!$A$3:$A$5001,_xlfn.MAXIFS(Base!$A$3:$A$5001,Base!$B$3:$B$5001,K$162,Base!$A$3:$A$5001,"&gt;="&amp;$C$7,Base!$A$3:$A$5001,"&lt;="&amp;$B171,Base!$X$3:$X$5001,"&lt;&gt;"))))</f>
        <v>1800</v>
      </c>
    </row>
    <row r="172">
      <c r="A172">
        <v>10</v>
      </c>
      <c r="B172" s="152">
        <f>$B$21</f>
        <v>46275</v>
      </c>
      <c r="C172">
        <f>IF($A172&gt;$B$9,"",IF(COUNTIFS(Base!$B$3:$B$5001,C$162,Base!$A$3:$A$5001,"&gt;="&amp;$C$7,Base!$A$3:$A$5001,"&lt;="&amp;$B172,Base!$X$3:$X$5001,"&lt;&gt;")=0,"",SUMIFS(Base!$X$3:$X$5001,Base!$B$3:$B$5001,C$162,Base!$A$3:$A$5001,_xlfn.MAXIFS(Base!$A$3:$A$5001,Base!$B$3:$B$5001,C$162,Base!$A$3:$A$5001,"&gt;="&amp;$C$7,Base!$A$3:$A$5001,"&lt;="&amp;$B172,Base!$X$3:$X$5001,"&lt;&gt;"))))</f>
        <v>2200</v>
      </c>
      <c r="D172">
        <f>IF($A172&gt;$B$9,"",IF(COUNTIFS(Base!$B$3:$B$5001,D$162,Base!$A$3:$A$5001,"&gt;="&amp;$C$7,Base!$A$3:$A$5001,"&lt;="&amp;$B172,Base!$X$3:$X$5001,"&lt;&gt;")=0,"",SUMIFS(Base!$X$3:$X$5001,Base!$B$3:$B$5001,D$162,Base!$A$3:$A$5001,_xlfn.MAXIFS(Base!$A$3:$A$5001,Base!$B$3:$B$5001,D$162,Base!$A$3:$A$5001,"&gt;="&amp;$C$7,Base!$A$3:$A$5001,"&lt;="&amp;$B172,Base!$X$3:$X$5001,"&lt;&gt;"))))</f>
        <v>1200</v>
      </c>
      <c r="E172">
        <f>IF($A172&gt;$B$9,"",IF(COUNTIFS(Base!$B$3:$B$5001,E$162,Base!$A$3:$A$5001,"&gt;="&amp;$C$7,Base!$A$3:$A$5001,"&lt;="&amp;$B172,Base!$X$3:$X$5001,"&lt;&gt;")=0,"",SUMIFS(Base!$X$3:$X$5001,Base!$B$3:$B$5001,E$162,Base!$A$3:$A$5001,_xlfn.MAXIFS(Base!$A$3:$A$5001,Base!$B$3:$B$5001,E$162,Base!$A$3:$A$5001,"&gt;="&amp;$C$7,Base!$A$3:$A$5001,"&lt;="&amp;$B172,Base!$X$3:$X$5001,"&lt;&gt;"))))</f>
        <v>3500</v>
      </c>
      <c r="F172">
        <f>IF($A172&gt;$B$9,"",IF(COUNTIFS(Base!$B$3:$B$5001,F$162,Base!$A$3:$A$5001,"&gt;="&amp;$C$7,Base!$A$3:$A$5001,"&lt;="&amp;$B172,Base!$X$3:$X$5001,"&lt;&gt;")=0,"",SUMIFS(Base!$X$3:$X$5001,Base!$B$3:$B$5001,F$162,Base!$A$3:$A$5001,_xlfn.MAXIFS(Base!$A$3:$A$5001,Base!$B$3:$B$5001,F$162,Base!$A$3:$A$5001,"&gt;="&amp;$C$7,Base!$A$3:$A$5001,"&lt;="&amp;$B172,Base!$X$3:$X$5001,"&lt;&gt;"))))</f>
        <v>1600</v>
      </c>
      <c r="G172">
        <f>IF($A172&gt;$B$9,"",IF(COUNTIFS(Base!$B$3:$B$5001,G$162,Base!$A$3:$A$5001,"&gt;="&amp;$C$7,Base!$A$3:$A$5001,"&lt;="&amp;$B172,Base!$X$3:$X$5001,"&lt;&gt;")=0,"",SUMIFS(Base!$X$3:$X$5001,Base!$B$3:$B$5001,G$162,Base!$A$3:$A$5001,_xlfn.MAXIFS(Base!$A$3:$A$5001,Base!$B$3:$B$5001,G$162,Base!$A$3:$A$5001,"&gt;="&amp;$C$7,Base!$A$3:$A$5001,"&lt;="&amp;$B172,Base!$X$3:$X$5001,"&lt;&gt;"))))</f>
        <v>900</v>
      </c>
      <c r="H172">
        <f>IF($A172&gt;$B$9,"",IF(COUNTIFS(Base!$B$3:$B$5001,H$162,Base!$A$3:$A$5001,"&gt;="&amp;$C$7,Base!$A$3:$A$5001,"&lt;="&amp;$B172,Base!$X$3:$X$5001,"&lt;&gt;")=0,"",SUMIFS(Base!$X$3:$X$5001,Base!$B$3:$B$5001,H$162,Base!$A$3:$A$5001,_xlfn.MAXIFS(Base!$A$3:$A$5001,Base!$B$3:$B$5001,H$162,Base!$A$3:$A$5001,"&gt;="&amp;$C$7,Base!$A$3:$A$5001,"&lt;="&amp;$B172,Base!$X$3:$X$5001,"&lt;&gt;"))))</f>
        <v>600</v>
      </c>
      <c r="I172">
        <f>IF($A172&gt;$B$9,"",IF(COUNTIFS(Base!$B$3:$B$5001,I$162,Base!$A$3:$A$5001,"&gt;="&amp;$C$7,Base!$A$3:$A$5001,"&lt;="&amp;$B172,Base!$X$3:$X$5001,"&lt;&gt;")=0,"",SUMIFS(Base!$X$3:$X$5001,Base!$B$3:$B$5001,I$162,Base!$A$3:$A$5001,_xlfn.MAXIFS(Base!$A$3:$A$5001,Base!$B$3:$B$5001,I$162,Base!$A$3:$A$5001,"&gt;="&amp;$C$7,Base!$A$3:$A$5001,"&lt;="&amp;$B172,Base!$X$3:$X$5001,"&lt;&gt;"))))</f>
        <v>1400</v>
      </c>
      <c r="J172">
        <f>IF($A172&gt;$B$9,"",IF(COUNTIFS(Base!$B$3:$B$5001,J$162,Base!$A$3:$A$5001,"&gt;="&amp;$C$7,Base!$A$3:$A$5001,"&lt;="&amp;$B172,Base!$X$3:$X$5001,"&lt;&gt;")=0,"",SUMIFS(Base!$X$3:$X$5001,Base!$B$3:$B$5001,J$162,Base!$A$3:$A$5001,_xlfn.MAXIFS(Base!$A$3:$A$5001,Base!$B$3:$B$5001,J$162,Base!$A$3:$A$5001,"&gt;="&amp;$C$7,Base!$A$3:$A$5001,"&lt;="&amp;$B172,Base!$X$3:$X$5001,"&lt;&gt;"))))</f>
        <v>500</v>
      </c>
      <c r="K172">
        <f>IF($A172&gt;$B$9,"",IF(COUNTIFS(Base!$B$3:$B$5001,K$162,Base!$A$3:$A$5001,"&gt;="&amp;$C$7,Base!$A$3:$A$5001,"&lt;="&amp;$B172,Base!$X$3:$X$5001,"&lt;&gt;")=0,"",SUMIFS(Base!$X$3:$X$5001,Base!$B$3:$B$5001,K$162,Base!$A$3:$A$5001,_xlfn.MAXIFS(Base!$A$3:$A$5001,Base!$B$3:$B$5001,K$162,Base!$A$3:$A$5001,"&gt;="&amp;$C$7,Base!$A$3:$A$5001,"&lt;="&amp;$B172,Base!$X$3:$X$5001,"&lt;&gt;"))))</f>
        <v>1800</v>
      </c>
    </row>
    <row r="173">
      <c r="A173">
        <v>11</v>
      </c>
      <c r="B173" s="152">
        <f>$B$22</f>
        <v>46276</v>
      </c>
      <c r="C173">
        <f>IF($A173&gt;$B$9,"",IF(COUNTIFS(Base!$B$3:$B$5001,C$162,Base!$A$3:$A$5001,"&gt;="&amp;$C$7,Base!$A$3:$A$5001,"&lt;="&amp;$B173,Base!$X$3:$X$5001,"&lt;&gt;")=0,"",SUMIFS(Base!$X$3:$X$5001,Base!$B$3:$B$5001,C$162,Base!$A$3:$A$5001,_xlfn.MAXIFS(Base!$A$3:$A$5001,Base!$B$3:$B$5001,C$162,Base!$A$3:$A$5001,"&gt;="&amp;$C$7,Base!$A$3:$A$5001,"&lt;="&amp;$B173,Base!$X$3:$X$5001,"&lt;&gt;"))))</f>
        <v>2200</v>
      </c>
      <c r="D173">
        <f>IF($A173&gt;$B$9,"",IF(COUNTIFS(Base!$B$3:$B$5001,D$162,Base!$A$3:$A$5001,"&gt;="&amp;$C$7,Base!$A$3:$A$5001,"&lt;="&amp;$B173,Base!$X$3:$X$5001,"&lt;&gt;")=0,"",SUMIFS(Base!$X$3:$X$5001,Base!$B$3:$B$5001,D$162,Base!$A$3:$A$5001,_xlfn.MAXIFS(Base!$A$3:$A$5001,Base!$B$3:$B$5001,D$162,Base!$A$3:$A$5001,"&gt;="&amp;$C$7,Base!$A$3:$A$5001,"&lt;="&amp;$B173,Base!$X$3:$X$5001,"&lt;&gt;"))))</f>
        <v>1200</v>
      </c>
      <c r="E173">
        <f>IF($A173&gt;$B$9,"",IF(COUNTIFS(Base!$B$3:$B$5001,E$162,Base!$A$3:$A$5001,"&gt;="&amp;$C$7,Base!$A$3:$A$5001,"&lt;="&amp;$B173,Base!$X$3:$X$5001,"&lt;&gt;")=0,"",SUMIFS(Base!$X$3:$X$5001,Base!$B$3:$B$5001,E$162,Base!$A$3:$A$5001,_xlfn.MAXIFS(Base!$A$3:$A$5001,Base!$B$3:$B$5001,E$162,Base!$A$3:$A$5001,"&gt;="&amp;$C$7,Base!$A$3:$A$5001,"&lt;="&amp;$B173,Base!$X$3:$X$5001,"&lt;&gt;"))))</f>
        <v>3500</v>
      </c>
      <c r="F173">
        <f>IF($A173&gt;$B$9,"",IF(COUNTIFS(Base!$B$3:$B$5001,F$162,Base!$A$3:$A$5001,"&gt;="&amp;$C$7,Base!$A$3:$A$5001,"&lt;="&amp;$B173,Base!$X$3:$X$5001,"&lt;&gt;")=0,"",SUMIFS(Base!$X$3:$X$5001,Base!$B$3:$B$5001,F$162,Base!$A$3:$A$5001,_xlfn.MAXIFS(Base!$A$3:$A$5001,Base!$B$3:$B$5001,F$162,Base!$A$3:$A$5001,"&gt;="&amp;$C$7,Base!$A$3:$A$5001,"&lt;="&amp;$B173,Base!$X$3:$X$5001,"&lt;&gt;"))))</f>
        <v>1600</v>
      </c>
      <c r="G173">
        <f>IF($A173&gt;$B$9,"",IF(COUNTIFS(Base!$B$3:$B$5001,G$162,Base!$A$3:$A$5001,"&gt;="&amp;$C$7,Base!$A$3:$A$5001,"&lt;="&amp;$B173,Base!$X$3:$X$5001,"&lt;&gt;")=0,"",SUMIFS(Base!$X$3:$X$5001,Base!$B$3:$B$5001,G$162,Base!$A$3:$A$5001,_xlfn.MAXIFS(Base!$A$3:$A$5001,Base!$B$3:$B$5001,G$162,Base!$A$3:$A$5001,"&gt;="&amp;$C$7,Base!$A$3:$A$5001,"&lt;="&amp;$B173,Base!$X$3:$X$5001,"&lt;&gt;"))))</f>
        <v>900</v>
      </c>
      <c r="H173">
        <f>IF($A173&gt;$B$9,"",IF(COUNTIFS(Base!$B$3:$B$5001,H$162,Base!$A$3:$A$5001,"&gt;="&amp;$C$7,Base!$A$3:$A$5001,"&lt;="&amp;$B173,Base!$X$3:$X$5001,"&lt;&gt;")=0,"",SUMIFS(Base!$X$3:$X$5001,Base!$B$3:$B$5001,H$162,Base!$A$3:$A$5001,_xlfn.MAXIFS(Base!$A$3:$A$5001,Base!$B$3:$B$5001,H$162,Base!$A$3:$A$5001,"&gt;="&amp;$C$7,Base!$A$3:$A$5001,"&lt;="&amp;$B173,Base!$X$3:$X$5001,"&lt;&gt;"))))</f>
        <v>600</v>
      </c>
      <c r="I173">
        <f>IF($A173&gt;$B$9,"",IF(COUNTIFS(Base!$B$3:$B$5001,I$162,Base!$A$3:$A$5001,"&gt;="&amp;$C$7,Base!$A$3:$A$5001,"&lt;="&amp;$B173,Base!$X$3:$X$5001,"&lt;&gt;")=0,"",SUMIFS(Base!$X$3:$X$5001,Base!$B$3:$B$5001,I$162,Base!$A$3:$A$5001,_xlfn.MAXIFS(Base!$A$3:$A$5001,Base!$B$3:$B$5001,I$162,Base!$A$3:$A$5001,"&gt;="&amp;$C$7,Base!$A$3:$A$5001,"&lt;="&amp;$B173,Base!$X$3:$X$5001,"&lt;&gt;"))))</f>
        <v>1400</v>
      </c>
      <c r="J173">
        <f>IF($A173&gt;$B$9,"",IF(COUNTIFS(Base!$B$3:$B$5001,J$162,Base!$A$3:$A$5001,"&gt;="&amp;$C$7,Base!$A$3:$A$5001,"&lt;="&amp;$B173,Base!$X$3:$X$5001,"&lt;&gt;")=0,"",SUMIFS(Base!$X$3:$X$5001,Base!$B$3:$B$5001,J$162,Base!$A$3:$A$5001,_xlfn.MAXIFS(Base!$A$3:$A$5001,Base!$B$3:$B$5001,J$162,Base!$A$3:$A$5001,"&gt;="&amp;$C$7,Base!$A$3:$A$5001,"&lt;="&amp;$B173,Base!$X$3:$X$5001,"&lt;&gt;"))))</f>
        <v>500</v>
      </c>
      <c r="K173">
        <f>IF($A173&gt;$B$9,"",IF(COUNTIFS(Base!$B$3:$B$5001,K$162,Base!$A$3:$A$5001,"&gt;="&amp;$C$7,Base!$A$3:$A$5001,"&lt;="&amp;$B173,Base!$X$3:$X$5001,"&lt;&gt;")=0,"",SUMIFS(Base!$X$3:$X$5001,Base!$B$3:$B$5001,K$162,Base!$A$3:$A$5001,_xlfn.MAXIFS(Base!$A$3:$A$5001,Base!$B$3:$B$5001,K$162,Base!$A$3:$A$5001,"&gt;="&amp;$C$7,Base!$A$3:$A$5001,"&lt;="&amp;$B173,Base!$X$3:$X$5001,"&lt;&gt;"))))</f>
        <v>1800</v>
      </c>
    </row>
    <row r="174">
      <c r="A174">
        <v>12</v>
      </c>
      <c r="B174" s="152">
        <f>$B$23</f>
        <v>46277</v>
      </c>
      <c r="C174">
        <f>IF($A174&gt;$B$9,"",IF(COUNTIFS(Base!$B$3:$B$5001,C$162,Base!$A$3:$A$5001,"&gt;="&amp;$C$7,Base!$A$3:$A$5001,"&lt;="&amp;$B174,Base!$X$3:$X$5001,"&lt;&gt;")=0,"",SUMIFS(Base!$X$3:$X$5001,Base!$B$3:$B$5001,C$162,Base!$A$3:$A$5001,_xlfn.MAXIFS(Base!$A$3:$A$5001,Base!$B$3:$B$5001,C$162,Base!$A$3:$A$5001,"&gt;="&amp;$C$7,Base!$A$3:$A$5001,"&lt;="&amp;$B174,Base!$X$3:$X$5001,"&lt;&gt;"))))</f>
        <v>2200</v>
      </c>
      <c r="D174">
        <f>IF($A174&gt;$B$9,"",IF(COUNTIFS(Base!$B$3:$B$5001,D$162,Base!$A$3:$A$5001,"&gt;="&amp;$C$7,Base!$A$3:$A$5001,"&lt;="&amp;$B174,Base!$X$3:$X$5001,"&lt;&gt;")=0,"",SUMIFS(Base!$X$3:$X$5001,Base!$B$3:$B$5001,D$162,Base!$A$3:$A$5001,_xlfn.MAXIFS(Base!$A$3:$A$5001,Base!$B$3:$B$5001,D$162,Base!$A$3:$A$5001,"&gt;="&amp;$C$7,Base!$A$3:$A$5001,"&lt;="&amp;$B174,Base!$X$3:$X$5001,"&lt;&gt;"))))</f>
        <v>1200</v>
      </c>
      <c r="E174">
        <f>IF($A174&gt;$B$9,"",IF(COUNTIFS(Base!$B$3:$B$5001,E$162,Base!$A$3:$A$5001,"&gt;="&amp;$C$7,Base!$A$3:$A$5001,"&lt;="&amp;$B174,Base!$X$3:$X$5001,"&lt;&gt;")=0,"",SUMIFS(Base!$X$3:$X$5001,Base!$B$3:$B$5001,E$162,Base!$A$3:$A$5001,_xlfn.MAXIFS(Base!$A$3:$A$5001,Base!$B$3:$B$5001,E$162,Base!$A$3:$A$5001,"&gt;="&amp;$C$7,Base!$A$3:$A$5001,"&lt;="&amp;$B174,Base!$X$3:$X$5001,"&lt;&gt;"))))</f>
        <v>3500</v>
      </c>
      <c r="F174">
        <f>IF($A174&gt;$B$9,"",IF(COUNTIFS(Base!$B$3:$B$5001,F$162,Base!$A$3:$A$5001,"&gt;="&amp;$C$7,Base!$A$3:$A$5001,"&lt;="&amp;$B174,Base!$X$3:$X$5001,"&lt;&gt;")=0,"",SUMIFS(Base!$X$3:$X$5001,Base!$B$3:$B$5001,F$162,Base!$A$3:$A$5001,_xlfn.MAXIFS(Base!$A$3:$A$5001,Base!$B$3:$B$5001,F$162,Base!$A$3:$A$5001,"&gt;="&amp;$C$7,Base!$A$3:$A$5001,"&lt;="&amp;$B174,Base!$X$3:$X$5001,"&lt;&gt;"))))</f>
        <v>1600</v>
      </c>
      <c r="G174">
        <f>IF($A174&gt;$B$9,"",IF(COUNTIFS(Base!$B$3:$B$5001,G$162,Base!$A$3:$A$5001,"&gt;="&amp;$C$7,Base!$A$3:$A$5001,"&lt;="&amp;$B174,Base!$X$3:$X$5001,"&lt;&gt;")=0,"",SUMIFS(Base!$X$3:$X$5001,Base!$B$3:$B$5001,G$162,Base!$A$3:$A$5001,_xlfn.MAXIFS(Base!$A$3:$A$5001,Base!$B$3:$B$5001,G$162,Base!$A$3:$A$5001,"&gt;="&amp;$C$7,Base!$A$3:$A$5001,"&lt;="&amp;$B174,Base!$X$3:$X$5001,"&lt;&gt;"))))</f>
        <v>900</v>
      </c>
      <c r="H174">
        <f>IF($A174&gt;$B$9,"",IF(COUNTIFS(Base!$B$3:$B$5001,H$162,Base!$A$3:$A$5001,"&gt;="&amp;$C$7,Base!$A$3:$A$5001,"&lt;="&amp;$B174,Base!$X$3:$X$5001,"&lt;&gt;")=0,"",SUMIFS(Base!$X$3:$X$5001,Base!$B$3:$B$5001,H$162,Base!$A$3:$A$5001,_xlfn.MAXIFS(Base!$A$3:$A$5001,Base!$B$3:$B$5001,H$162,Base!$A$3:$A$5001,"&gt;="&amp;$C$7,Base!$A$3:$A$5001,"&lt;="&amp;$B174,Base!$X$3:$X$5001,"&lt;&gt;"))))</f>
        <v>600</v>
      </c>
      <c r="I174">
        <f>IF($A174&gt;$B$9,"",IF(COUNTIFS(Base!$B$3:$B$5001,I$162,Base!$A$3:$A$5001,"&gt;="&amp;$C$7,Base!$A$3:$A$5001,"&lt;="&amp;$B174,Base!$X$3:$X$5001,"&lt;&gt;")=0,"",SUMIFS(Base!$X$3:$X$5001,Base!$B$3:$B$5001,I$162,Base!$A$3:$A$5001,_xlfn.MAXIFS(Base!$A$3:$A$5001,Base!$B$3:$B$5001,I$162,Base!$A$3:$A$5001,"&gt;="&amp;$C$7,Base!$A$3:$A$5001,"&lt;="&amp;$B174,Base!$X$3:$X$5001,"&lt;&gt;"))))</f>
        <v>1400</v>
      </c>
      <c r="J174">
        <f>IF($A174&gt;$B$9,"",IF(COUNTIFS(Base!$B$3:$B$5001,J$162,Base!$A$3:$A$5001,"&gt;="&amp;$C$7,Base!$A$3:$A$5001,"&lt;="&amp;$B174,Base!$X$3:$X$5001,"&lt;&gt;")=0,"",SUMIFS(Base!$X$3:$X$5001,Base!$B$3:$B$5001,J$162,Base!$A$3:$A$5001,_xlfn.MAXIFS(Base!$A$3:$A$5001,Base!$B$3:$B$5001,J$162,Base!$A$3:$A$5001,"&gt;="&amp;$C$7,Base!$A$3:$A$5001,"&lt;="&amp;$B174,Base!$X$3:$X$5001,"&lt;&gt;"))))</f>
        <v>500</v>
      </c>
      <c r="K174">
        <f>IF($A174&gt;$B$9,"",IF(COUNTIFS(Base!$B$3:$B$5001,K$162,Base!$A$3:$A$5001,"&gt;="&amp;$C$7,Base!$A$3:$A$5001,"&lt;="&amp;$B174,Base!$X$3:$X$5001,"&lt;&gt;")=0,"",SUMIFS(Base!$X$3:$X$5001,Base!$B$3:$B$5001,K$162,Base!$A$3:$A$5001,_xlfn.MAXIFS(Base!$A$3:$A$5001,Base!$B$3:$B$5001,K$162,Base!$A$3:$A$5001,"&gt;="&amp;$C$7,Base!$A$3:$A$5001,"&lt;="&amp;$B174,Base!$X$3:$X$5001,"&lt;&gt;"))))</f>
        <v>1800</v>
      </c>
    </row>
    <row r="175">
      <c r="A175">
        <v>13</v>
      </c>
      <c r="B175" s="152">
        <f>$B$24</f>
        <v>46278</v>
      </c>
      <c r="C175">
        <f>IF($A175&gt;$B$9,"",IF(COUNTIFS(Base!$B$3:$B$5001,C$162,Base!$A$3:$A$5001,"&gt;="&amp;$C$7,Base!$A$3:$A$5001,"&lt;="&amp;$B175,Base!$X$3:$X$5001,"&lt;&gt;")=0,"",SUMIFS(Base!$X$3:$X$5001,Base!$B$3:$B$5001,C$162,Base!$A$3:$A$5001,_xlfn.MAXIFS(Base!$A$3:$A$5001,Base!$B$3:$B$5001,C$162,Base!$A$3:$A$5001,"&gt;="&amp;$C$7,Base!$A$3:$A$5001,"&lt;="&amp;$B175,Base!$X$3:$X$5001,"&lt;&gt;"))))</f>
        <v>2200</v>
      </c>
      <c r="D175">
        <f>IF($A175&gt;$B$9,"",IF(COUNTIFS(Base!$B$3:$B$5001,D$162,Base!$A$3:$A$5001,"&gt;="&amp;$C$7,Base!$A$3:$A$5001,"&lt;="&amp;$B175,Base!$X$3:$X$5001,"&lt;&gt;")=0,"",SUMIFS(Base!$X$3:$X$5001,Base!$B$3:$B$5001,D$162,Base!$A$3:$A$5001,_xlfn.MAXIFS(Base!$A$3:$A$5001,Base!$B$3:$B$5001,D$162,Base!$A$3:$A$5001,"&gt;="&amp;$C$7,Base!$A$3:$A$5001,"&lt;="&amp;$B175,Base!$X$3:$X$5001,"&lt;&gt;"))))</f>
        <v>1200</v>
      </c>
      <c r="E175">
        <f>IF($A175&gt;$B$9,"",IF(COUNTIFS(Base!$B$3:$B$5001,E$162,Base!$A$3:$A$5001,"&gt;="&amp;$C$7,Base!$A$3:$A$5001,"&lt;="&amp;$B175,Base!$X$3:$X$5001,"&lt;&gt;")=0,"",SUMIFS(Base!$X$3:$X$5001,Base!$B$3:$B$5001,E$162,Base!$A$3:$A$5001,_xlfn.MAXIFS(Base!$A$3:$A$5001,Base!$B$3:$B$5001,E$162,Base!$A$3:$A$5001,"&gt;="&amp;$C$7,Base!$A$3:$A$5001,"&lt;="&amp;$B175,Base!$X$3:$X$5001,"&lt;&gt;"))))</f>
        <v>3500</v>
      </c>
      <c r="F175">
        <f>IF($A175&gt;$B$9,"",IF(COUNTIFS(Base!$B$3:$B$5001,F$162,Base!$A$3:$A$5001,"&gt;="&amp;$C$7,Base!$A$3:$A$5001,"&lt;="&amp;$B175,Base!$X$3:$X$5001,"&lt;&gt;")=0,"",SUMIFS(Base!$X$3:$X$5001,Base!$B$3:$B$5001,F$162,Base!$A$3:$A$5001,_xlfn.MAXIFS(Base!$A$3:$A$5001,Base!$B$3:$B$5001,F$162,Base!$A$3:$A$5001,"&gt;="&amp;$C$7,Base!$A$3:$A$5001,"&lt;="&amp;$B175,Base!$X$3:$X$5001,"&lt;&gt;"))))</f>
        <v>1600</v>
      </c>
      <c r="G175">
        <f>IF($A175&gt;$B$9,"",IF(COUNTIFS(Base!$B$3:$B$5001,G$162,Base!$A$3:$A$5001,"&gt;="&amp;$C$7,Base!$A$3:$A$5001,"&lt;="&amp;$B175,Base!$X$3:$X$5001,"&lt;&gt;")=0,"",SUMIFS(Base!$X$3:$X$5001,Base!$B$3:$B$5001,G$162,Base!$A$3:$A$5001,_xlfn.MAXIFS(Base!$A$3:$A$5001,Base!$B$3:$B$5001,G$162,Base!$A$3:$A$5001,"&gt;="&amp;$C$7,Base!$A$3:$A$5001,"&lt;="&amp;$B175,Base!$X$3:$X$5001,"&lt;&gt;"))))</f>
        <v>900</v>
      </c>
      <c r="H175">
        <f>IF($A175&gt;$B$9,"",IF(COUNTIFS(Base!$B$3:$B$5001,H$162,Base!$A$3:$A$5001,"&gt;="&amp;$C$7,Base!$A$3:$A$5001,"&lt;="&amp;$B175,Base!$X$3:$X$5001,"&lt;&gt;")=0,"",SUMIFS(Base!$X$3:$X$5001,Base!$B$3:$B$5001,H$162,Base!$A$3:$A$5001,_xlfn.MAXIFS(Base!$A$3:$A$5001,Base!$B$3:$B$5001,H$162,Base!$A$3:$A$5001,"&gt;="&amp;$C$7,Base!$A$3:$A$5001,"&lt;="&amp;$B175,Base!$X$3:$X$5001,"&lt;&gt;"))))</f>
        <v>600</v>
      </c>
      <c r="I175">
        <f>IF($A175&gt;$B$9,"",IF(COUNTIFS(Base!$B$3:$B$5001,I$162,Base!$A$3:$A$5001,"&gt;="&amp;$C$7,Base!$A$3:$A$5001,"&lt;="&amp;$B175,Base!$X$3:$X$5001,"&lt;&gt;")=0,"",SUMIFS(Base!$X$3:$X$5001,Base!$B$3:$B$5001,I$162,Base!$A$3:$A$5001,_xlfn.MAXIFS(Base!$A$3:$A$5001,Base!$B$3:$B$5001,I$162,Base!$A$3:$A$5001,"&gt;="&amp;$C$7,Base!$A$3:$A$5001,"&lt;="&amp;$B175,Base!$X$3:$X$5001,"&lt;&gt;"))))</f>
        <v>1400</v>
      </c>
      <c r="J175">
        <f>IF($A175&gt;$B$9,"",IF(COUNTIFS(Base!$B$3:$B$5001,J$162,Base!$A$3:$A$5001,"&gt;="&amp;$C$7,Base!$A$3:$A$5001,"&lt;="&amp;$B175,Base!$X$3:$X$5001,"&lt;&gt;")=0,"",SUMIFS(Base!$X$3:$X$5001,Base!$B$3:$B$5001,J$162,Base!$A$3:$A$5001,_xlfn.MAXIFS(Base!$A$3:$A$5001,Base!$B$3:$B$5001,J$162,Base!$A$3:$A$5001,"&gt;="&amp;$C$7,Base!$A$3:$A$5001,"&lt;="&amp;$B175,Base!$X$3:$X$5001,"&lt;&gt;"))))</f>
        <v>500</v>
      </c>
      <c r="K175">
        <f>IF($A175&gt;$B$9,"",IF(COUNTIFS(Base!$B$3:$B$5001,K$162,Base!$A$3:$A$5001,"&gt;="&amp;$C$7,Base!$A$3:$A$5001,"&lt;="&amp;$B175,Base!$X$3:$X$5001,"&lt;&gt;")=0,"",SUMIFS(Base!$X$3:$X$5001,Base!$B$3:$B$5001,K$162,Base!$A$3:$A$5001,_xlfn.MAXIFS(Base!$A$3:$A$5001,Base!$B$3:$B$5001,K$162,Base!$A$3:$A$5001,"&gt;="&amp;$C$7,Base!$A$3:$A$5001,"&lt;="&amp;$B175,Base!$X$3:$X$5001,"&lt;&gt;"))))</f>
        <v>1800</v>
      </c>
    </row>
    <row r="176">
      <c r="A176">
        <v>14</v>
      </c>
      <c r="B176" s="152">
        <f>$B$25</f>
        <v>46279</v>
      </c>
      <c r="C176">
        <f>IF($A176&gt;$B$9,"",IF(COUNTIFS(Base!$B$3:$B$5001,C$162,Base!$A$3:$A$5001,"&gt;="&amp;$C$7,Base!$A$3:$A$5001,"&lt;="&amp;$B176,Base!$X$3:$X$5001,"&lt;&gt;")=0,"",SUMIFS(Base!$X$3:$X$5001,Base!$B$3:$B$5001,C$162,Base!$A$3:$A$5001,_xlfn.MAXIFS(Base!$A$3:$A$5001,Base!$B$3:$B$5001,C$162,Base!$A$3:$A$5001,"&gt;="&amp;$C$7,Base!$A$3:$A$5001,"&lt;="&amp;$B176,Base!$X$3:$X$5001,"&lt;&gt;"))))</f>
        <v>2200</v>
      </c>
      <c r="D176">
        <f>IF($A176&gt;$B$9,"",IF(COUNTIFS(Base!$B$3:$B$5001,D$162,Base!$A$3:$A$5001,"&gt;="&amp;$C$7,Base!$A$3:$A$5001,"&lt;="&amp;$B176,Base!$X$3:$X$5001,"&lt;&gt;")=0,"",SUMIFS(Base!$X$3:$X$5001,Base!$B$3:$B$5001,D$162,Base!$A$3:$A$5001,_xlfn.MAXIFS(Base!$A$3:$A$5001,Base!$B$3:$B$5001,D$162,Base!$A$3:$A$5001,"&gt;="&amp;$C$7,Base!$A$3:$A$5001,"&lt;="&amp;$B176,Base!$X$3:$X$5001,"&lt;&gt;"))))</f>
        <v>1200</v>
      </c>
      <c r="E176">
        <f>IF($A176&gt;$B$9,"",IF(COUNTIFS(Base!$B$3:$B$5001,E$162,Base!$A$3:$A$5001,"&gt;="&amp;$C$7,Base!$A$3:$A$5001,"&lt;="&amp;$B176,Base!$X$3:$X$5001,"&lt;&gt;")=0,"",SUMIFS(Base!$X$3:$X$5001,Base!$B$3:$B$5001,E$162,Base!$A$3:$A$5001,_xlfn.MAXIFS(Base!$A$3:$A$5001,Base!$B$3:$B$5001,E$162,Base!$A$3:$A$5001,"&gt;="&amp;$C$7,Base!$A$3:$A$5001,"&lt;="&amp;$B176,Base!$X$3:$X$5001,"&lt;&gt;"))))</f>
        <v>3500</v>
      </c>
      <c r="F176">
        <f>IF($A176&gt;$B$9,"",IF(COUNTIFS(Base!$B$3:$B$5001,F$162,Base!$A$3:$A$5001,"&gt;="&amp;$C$7,Base!$A$3:$A$5001,"&lt;="&amp;$B176,Base!$X$3:$X$5001,"&lt;&gt;")=0,"",SUMIFS(Base!$X$3:$X$5001,Base!$B$3:$B$5001,F$162,Base!$A$3:$A$5001,_xlfn.MAXIFS(Base!$A$3:$A$5001,Base!$B$3:$B$5001,F$162,Base!$A$3:$A$5001,"&gt;="&amp;$C$7,Base!$A$3:$A$5001,"&lt;="&amp;$B176,Base!$X$3:$X$5001,"&lt;&gt;"))))</f>
        <v>1600</v>
      </c>
      <c r="G176">
        <f>IF($A176&gt;$B$9,"",IF(COUNTIFS(Base!$B$3:$B$5001,G$162,Base!$A$3:$A$5001,"&gt;="&amp;$C$7,Base!$A$3:$A$5001,"&lt;="&amp;$B176,Base!$X$3:$X$5001,"&lt;&gt;")=0,"",SUMIFS(Base!$X$3:$X$5001,Base!$B$3:$B$5001,G$162,Base!$A$3:$A$5001,_xlfn.MAXIFS(Base!$A$3:$A$5001,Base!$B$3:$B$5001,G$162,Base!$A$3:$A$5001,"&gt;="&amp;$C$7,Base!$A$3:$A$5001,"&lt;="&amp;$B176,Base!$X$3:$X$5001,"&lt;&gt;"))))</f>
        <v>900</v>
      </c>
      <c r="H176">
        <f>IF($A176&gt;$B$9,"",IF(COUNTIFS(Base!$B$3:$B$5001,H$162,Base!$A$3:$A$5001,"&gt;="&amp;$C$7,Base!$A$3:$A$5001,"&lt;="&amp;$B176,Base!$X$3:$X$5001,"&lt;&gt;")=0,"",SUMIFS(Base!$X$3:$X$5001,Base!$B$3:$B$5001,H$162,Base!$A$3:$A$5001,_xlfn.MAXIFS(Base!$A$3:$A$5001,Base!$B$3:$B$5001,H$162,Base!$A$3:$A$5001,"&gt;="&amp;$C$7,Base!$A$3:$A$5001,"&lt;="&amp;$B176,Base!$X$3:$X$5001,"&lt;&gt;"))))</f>
        <v>600</v>
      </c>
      <c r="I176">
        <f>IF($A176&gt;$B$9,"",IF(COUNTIFS(Base!$B$3:$B$5001,I$162,Base!$A$3:$A$5001,"&gt;="&amp;$C$7,Base!$A$3:$A$5001,"&lt;="&amp;$B176,Base!$X$3:$X$5001,"&lt;&gt;")=0,"",SUMIFS(Base!$X$3:$X$5001,Base!$B$3:$B$5001,I$162,Base!$A$3:$A$5001,_xlfn.MAXIFS(Base!$A$3:$A$5001,Base!$B$3:$B$5001,I$162,Base!$A$3:$A$5001,"&gt;="&amp;$C$7,Base!$A$3:$A$5001,"&lt;="&amp;$B176,Base!$X$3:$X$5001,"&lt;&gt;"))))</f>
        <v>1400</v>
      </c>
      <c r="J176">
        <f>IF($A176&gt;$B$9,"",IF(COUNTIFS(Base!$B$3:$B$5001,J$162,Base!$A$3:$A$5001,"&gt;="&amp;$C$7,Base!$A$3:$A$5001,"&lt;="&amp;$B176,Base!$X$3:$X$5001,"&lt;&gt;")=0,"",SUMIFS(Base!$X$3:$X$5001,Base!$B$3:$B$5001,J$162,Base!$A$3:$A$5001,_xlfn.MAXIFS(Base!$A$3:$A$5001,Base!$B$3:$B$5001,J$162,Base!$A$3:$A$5001,"&gt;="&amp;$C$7,Base!$A$3:$A$5001,"&lt;="&amp;$B176,Base!$X$3:$X$5001,"&lt;&gt;"))))</f>
        <v>500</v>
      </c>
      <c r="K176">
        <f>IF($A176&gt;$B$9,"",IF(COUNTIFS(Base!$B$3:$B$5001,K$162,Base!$A$3:$A$5001,"&gt;="&amp;$C$7,Base!$A$3:$A$5001,"&lt;="&amp;$B176,Base!$X$3:$X$5001,"&lt;&gt;")=0,"",SUMIFS(Base!$X$3:$X$5001,Base!$B$3:$B$5001,K$162,Base!$A$3:$A$5001,_xlfn.MAXIFS(Base!$A$3:$A$5001,Base!$B$3:$B$5001,K$162,Base!$A$3:$A$5001,"&gt;="&amp;$C$7,Base!$A$3:$A$5001,"&lt;="&amp;$B176,Base!$X$3:$X$5001,"&lt;&gt;"))))</f>
        <v>1800</v>
      </c>
    </row>
    <row r="177">
      <c r="A177">
        <v>15</v>
      </c>
      <c r="B177" s="152">
        <f>$B$26</f>
        <v>46280</v>
      </c>
      <c r="C177">
        <f>IF($A177&gt;$B$9,"",IF(COUNTIFS(Base!$B$3:$B$5001,C$162,Base!$A$3:$A$5001,"&gt;="&amp;$C$7,Base!$A$3:$A$5001,"&lt;="&amp;$B177,Base!$X$3:$X$5001,"&lt;&gt;")=0,"",SUMIFS(Base!$X$3:$X$5001,Base!$B$3:$B$5001,C$162,Base!$A$3:$A$5001,_xlfn.MAXIFS(Base!$A$3:$A$5001,Base!$B$3:$B$5001,C$162,Base!$A$3:$A$5001,"&gt;="&amp;$C$7,Base!$A$3:$A$5001,"&lt;="&amp;$B177,Base!$X$3:$X$5001,"&lt;&gt;"))))</f>
        <v>2200</v>
      </c>
      <c r="D177">
        <f>IF($A177&gt;$B$9,"",IF(COUNTIFS(Base!$B$3:$B$5001,D$162,Base!$A$3:$A$5001,"&gt;="&amp;$C$7,Base!$A$3:$A$5001,"&lt;="&amp;$B177,Base!$X$3:$X$5001,"&lt;&gt;")=0,"",SUMIFS(Base!$X$3:$X$5001,Base!$B$3:$B$5001,D$162,Base!$A$3:$A$5001,_xlfn.MAXIFS(Base!$A$3:$A$5001,Base!$B$3:$B$5001,D$162,Base!$A$3:$A$5001,"&gt;="&amp;$C$7,Base!$A$3:$A$5001,"&lt;="&amp;$B177,Base!$X$3:$X$5001,"&lt;&gt;"))))</f>
        <v>1200</v>
      </c>
      <c r="E177">
        <f>IF($A177&gt;$B$9,"",IF(COUNTIFS(Base!$B$3:$B$5001,E$162,Base!$A$3:$A$5001,"&gt;="&amp;$C$7,Base!$A$3:$A$5001,"&lt;="&amp;$B177,Base!$X$3:$X$5001,"&lt;&gt;")=0,"",SUMIFS(Base!$X$3:$X$5001,Base!$B$3:$B$5001,E$162,Base!$A$3:$A$5001,_xlfn.MAXIFS(Base!$A$3:$A$5001,Base!$B$3:$B$5001,E$162,Base!$A$3:$A$5001,"&gt;="&amp;$C$7,Base!$A$3:$A$5001,"&lt;="&amp;$B177,Base!$X$3:$X$5001,"&lt;&gt;"))))</f>
        <v>3500</v>
      </c>
      <c r="F177">
        <f>IF($A177&gt;$B$9,"",IF(COUNTIFS(Base!$B$3:$B$5001,F$162,Base!$A$3:$A$5001,"&gt;="&amp;$C$7,Base!$A$3:$A$5001,"&lt;="&amp;$B177,Base!$X$3:$X$5001,"&lt;&gt;")=0,"",SUMIFS(Base!$X$3:$X$5001,Base!$B$3:$B$5001,F$162,Base!$A$3:$A$5001,_xlfn.MAXIFS(Base!$A$3:$A$5001,Base!$B$3:$B$5001,F$162,Base!$A$3:$A$5001,"&gt;="&amp;$C$7,Base!$A$3:$A$5001,"&lt;="&amp;$B177,Base!$X$3:$X$5001,"&lt;&gt;"))))</f>
        <v>1600</v>
      </c>
      <c r="G177">
        <f>IF($A177&gt;$B$9,"",IF(COUNTIFS(Base!$B$3:$B$5001,G$162,Base!$A$3:$A$5001,"&gt;="&amp;$C$7,Base!$A$3:$A$5001,"&lt;="&amp;$B177,Base!$X$3:$X$5001,"&lt;&gt;")=0,"",SUMIFS(Base!$X$3:$X$5001,Base!$B$3:$B$5001,G$162,Base!$A$3:$A$5001,_xlfn.MAXIFS(Base!$A$3:$A$5001,Base!$B$3:$B$5001,G$162,Base!$A$3:$A$5001,"&gt;="&amp;$C$7,Base!$A$3:$A$5001,"&lt;="&amp;$B177,Base!$X$3:$X$5001,"&lt;&gt;"))))</f>
        <v>900</v>
      </c>
      <c r="H177">
        <f>IF($A177&gt;$B$9,"",IF(COUNTIFS(Base!$B$3:$B$5001,H$162,Base!$A$3:$A$5001,"&gt;="&amp;$C$7,Base!$A$3:$A$5001,"&lt;="&amp;$B177,Base!$X$3:$X$5001,"&lt;&gt;")=0,"",SUMIFS(Base!$X$3:$X$5001,Base!$B$3:$B$5001,H$162,Base!$A$3:$A$5001,_xlfn.MAXIFS(Base!$A$3:$A$5001,Base!$B$3:$B$5001,H$162,Base!$A$3:$A$5001,"&gt;="&amp;$C$7,Base!$A$3:$A$5001,"&lt;="&amp;$B177,Base!$X$3:$X$5001,"&lt;&gt;"))))</f>
        <v>600</v>
      </c>
      <c r="I177">
        <f>IF($A177&gt;$B$9,"",IF(COUNTIFS(Base!$B$3:$B$5001,I$162,Base!$A$3:$A$5001,"&gt;="&amp;$C$7,Base!$A$3:$A$5001,"&lt;="&amp;$B177,Base!$X$3:$X$5001,"&lt;&gt;")=0,"",SUMIFS(Base!$X$3:$X$5001,Base!$B$3:$B$5001,I$162,Base!$A$3:$A$5001,_xlfn.MAXIFS(Base!$A$3:$A$5001,Base!$B$3:$B$5001,I$162,Base!$A$3:$A$5001,"&gt;="&amp;$C$7,Base!$A$3:$A$5001,"&lt;="&amp;$B177,Base!$X$3:$X$5001,"&lt;&gt;"))))</f>
        <v>1400</v>
      </c>
      <c r="J177">
        <f>IF($A177&gt;$B$9,"",IF(COUNTIFS(Base!$B$3:$B$5001,J$162,Base!$A$3:$A$5001,"&gt;="&amp;$C$7,Base!$A$3:$A$5001,"&lt;="&amp;$B177,Base!$X$3:$X$5001,"&lt;&gt;")=0,"",SUMIFS(Base!$X$3:$X$5001,Base!$B$3:$B$5001,J$162,Base!$A$3:$A$5001,_xlfn.MAXIFS(Base!$A$3:$A$5001,Base!$B$3:$B$5001,J$162,Base!$A$3:$A$5001,"&gt;="&amp;$C$7,Base!$A$3:$A$5001,"&lt;="&amp;$B177,Base!$X$3:$X$5001,"&lt;&gt;"))))</f>
        <v>500</v>
      </c>
      <c r="K177">
        <f>IF($A177&gt;$B$9,"",IF(COUNTIFS(Base!$B$3:$B$5001,K$162,Base!$A$3:$A$5001,"&gt;="&amp;$C$7,Base!$A$3:$A$5001,"&lt;="&amp;$B177,Base!$X$3:$X$5001,"&lt;&gt;")=0,"",SUMIFS(Base!$X$3:$X$5001,Base!$B$3:$B$5001,K$162,Base!$A$3:$A$5001,_xlfn.MAXIFS(Base!$A$3:$A$5001,Base!$B$3:$B$5001,K$162,Base!$A$3:$A$5001,"&gt;="&amp;$C$7,Base!$A$3:$A$5001,"&lt;="&amp;$B177,Base!$X$3:$X$5001,"&lt;&gt;"))))</f>
        <v>1800</v>
      </c>
    </row>
    <row r="178">
      <c r="A178">
        <v>16</v>
      </c>
      <c r="B178" s="152">
        <f>$B$27</f>
        <v>46281</v>
      </c>
      <c r="C178">
        <f>IF($A178&gt;$B$9,"",IF(COUNTIFS(Base!$B$3:$B$5001,C$162,Base!$A$3:$A$5001,"&gt;="&amp;$C$7,Base!$A$3:$A$5001,"&lt;="&amp;$B178,Base!$X$3:$X$5001,"&lt;&gt;")=0,"",SUMIFS(Base!$X$3:$X$5001,Base!$B$3:$B$5001,C$162,Base!$A$3:$A$5001,_xlfn.MAXIFS(Base!$A$3:$A$5001,Base!$B$3:$B$5001,C$162,Base!$A$3:$A$5001,"&gt;="&amp;$C$7,Base!$A$3:$A$5001,"&lt;="&amp;$B178,Base!$X$3:$X$5001,"&lt;&gt;"))))</f>
        <v>2200</v>
      </c>
      <c r="D178">
        <f>IF($A178&gt;$B$9,"",IF(COUNTIFS(Base!$B$3:$B$5001,D$162,Base!$A$3:$A$5001,"&gt;="&amp;$C$7,Base!$A$3:$A$5001,"&lt;="&amp;$B178,Base!$X$3:$X$5001,"&lt;&gt;")=0,"",SUMIFS(Base!$X$3:$X$5001,Base!$B$3:$B$5001,D$162,Base!$A$3:$A$5001,_xlfn.MAXIFS(Base!$A$3:$A$5001,Base!$B$3:$B$5001,D$162,Base!$A$3:$A$5001,"&gt;="&amp;$C$7,Base!$A$3:$A$5001,"&lt;="&amp;$B178,Base!$X$3:$X$5001,"&lt;&gt;"))))</f>
        <v>1200</v>
      </c>
      <c r="E178">
        <f>IF($A178&gt;$B$9,"",IF(COUNTIFS(Base!$B$3:$B$5001,E$162,Base!$A$3:$A$5001,"&gt;="&amp;$C$7,Base!$A$3:$A$5001,"&lt;="&amp;$B178,Base!$X$3:$X$5001,"&lt;&gt;")=0,"",SUMIFS(Base!$X$3:$X$5001,Base!$B$3:$B$5001,E$162,Base!$A$3:$A$5001,_xlfn.MAXIFS(Base!$A$3:$A$5001,Base!$B$3:$B$5001,E$162,Base!$A$3:$A$5001,"&gt;="&amp;$C$7,Base!$A$3:$A$5001,"&lt;="&amp;$B178,Base!$X$3:$X$5001,"&lt;&gt;"))))</f>
        <v>3500</v>
      </c>
      <c r="F178">
        <f>IF($A178&gt;$B$9,"",IF(COUNTIFS(Base!$B$3:$B$5001,F$162,Base!$A$3:$A$5001,"&gt;="&amp;$C$7,Base!$A$3:$A$5001,"&lt;="&amp;$B178,Base!$X$3:$X$5001,"&lt;&gt;")=0,"",SUMIFS(Base!$X$3:$X$5001,Base!$B$3:$B$5001,F$162,Base!$A$3:$A$5001,_xlfn.MAXIFS(Base!$A$3:$A$5001,Base!$B$3:$B$5001,F$162,Base!$A$3:$A$5001,"&gt;="&amp;$C$7,Base!$A$3:$A$5001,"&lt;="&amp;$B178,Base!$X$3:$X$5001,"&lt;&gt;"))))</f>
        <v>1600</v>
      </c>
      <c r="G178">
        <f>IF($A178&gt;$B$9,"",IF(COUNTIFS(Base!$B$3:$B$5001,G$162,Base!$A$3:$A$5001,"&gt;="&amp;$C$7,Base!$A$3:$A$5001,"&lt;="&amp;$B178,Base!$X$3:$X$5001,"&lt;&gt;")=0,"",SUMIFS(Base!$X$3:$X$5001,Base!$B$3:$B$5001,G$162,Base!$A$3:$A$5001,_xlfn.MAXIFS(Base!$A$3:$A$5001,Base!$B$3:$B$5001,G$162,Base!$A$3:$A$5001,"&gt;="&amp;$C$7,Base!$A$3:$A$5001,"&lt;="&amp;$B178,Base!$X$3:$X$5001,"&lt;&gt;"))))</f>
        <v>900</v>
      </c>
      <c r="H178">
        <f>IF($A178&gt;$B$9,"",IF(COUNTIFS(Base!$B$3:$B$5001,H$162,Base!$A$3:$A$5001,"&gt;="&amp;$C$7,Base!$A$3:$A$5001,"&lt;="&amp;$B178,Base!$X$3:$X$5001,"&lt;&gt;")=0,"",SUMIFS(Base!$X$3:$X$5001,Base!$B$3:$B$5001,H$162,Base!$A$3:$A$5001,_xlfn.MAXIFS(Base!$A$3:$A$5001,Base!$B$3:$B$5001,H$162,Base!$A$3:$A$5001,"&gt;="&amp;$C$7,Base!$A$3:$A$5001,"&lt;="&amp;$B178,Base!$X$3:$X$5001,"&lt;&gt;"))))</f>
        <v>600</v>
      </c>
      <c r="I178">
        <f>IF($A178&gt;$B$9,"",IF(COUNTIFS(Base!$B$3:$B$5001,I$162,Base!$A$3:$A$5001,"&gt;="&amp;$C$7,Base!$A$3:$A$5001,"&lt;="&amp;$B178,Base!$X$3:$X$5001,"&lt;&gt;")=0,"",SUMIFS(Base!$X$3:$X$5001,Base!$B$3:$B$5001,I$162,Base!$A$3:$A$5001,_xlfn.MAXIFS(Base!$A$3:$A$5001,Base!$B$3:$B$5001,I$162,Base!$A$3:$A$5001,"&gt;="&amp;$C$7,Base!$A$3:$A$5001,"&lt;="&amp;$B178,Base!$X$3:$X$5001,"&lt;&gt;"))))</f>
        <v>1400</v>
      </c>
      <c r="J178">
        <f>IF($A178&gt;$B$9,"",IF(COUNTIFS(Base!$B$3:$B$5001,J$162,Base!$A$3:$A$5001,"&gt;="&amp;$C$7,Base!$A$3:$A$5001,"&lt;="&amp;$B178,Base!$X$3:$X$5001,"&lt;&gt;")=0,"",SUMIFS(Base!$X$3:$X$5001,Base!$B$3:$B$5001,J$162,Base!$A$3:$A$5001,_xlfn.MAXIFS(Base!$A$3:$A$5001,Base!$B$3:$B$5001,J$162,Base!$A$3:$A$5001,"&gt;="&amp;$C$7,Base!$A$3:$A$5001,"&lt;="&amp;$B178,Base!$X$3:$X$5001,"&lt;&gt;"))))</f>
        <v>500</v>
      </c>
      <c r="K178">
        <f>IF($A178&gt;$B$9,"",IF(COUNTIFS(Base!$B$3:$B$5001,K$162,Base!$A$3:$A$5001,"&gt;="&amp;$C$7,Base!$A$3:$A$5001,"&lt;="&amp;$B178,Base!$X$3:$X$5001,"&lt;&gt;")=0,"",SUMIFS(Base!$X$3:$X$5001,Base!$B$3:$B$5001,K$162,Base!$A$3:$A$5001,_xlfn.MAXIFS(Base!$A$3:$A$5001,Base!$B$3:$B$5001,K$162,Base!$A$3:$A$5001,"&gt;="&amp;$C$7,Base!$A$3:$A$5001,"&lt;="&amp;$B178,Base!$X$3:$X$5001,"&lt;&gt;"))))</f>
        <v>1800</v>
      </c>
    </row>
    <row r="179">
      <c r="A179">
        <v>17</v>
      </c>
      <c r="B179" s="152">
        <f>$B$28</f>
        <v>46282</v>
      </c>
      <c r="C179">
        <f>IF($A179&gt;$B$9,"",IF(COUNTIFS(Base!$B$3:$B$5001,C$162,Base!$A$3:$A$5001,"&gt;="&amp;$C$7,Base!$A$3:$A$5001,"&lt;="&amp;$B179,Base!$X$3:$X$5001,"&lt;&gt;")=0,"",SUMIFS(Base!$X$3:$X$5001,Base!$B$3:$B$5001,C$162,Base!$A$3:$A$5001,_xlfn.MAXIFS(Base!$A$3:$A$5001,Base!$B$3:$B$5001,C$162,Base!$A$3:$A$5001,"&gt;="&amp;$C$7,Base!$A$3:$A$5001,"&lt;="&amp;$B179,Base!$X$3:$X$5001,"&lt;&gt;"))))</f>
        <v>2200</v>
      </c>
      <c r="D179">
        <f>IF($A179&gt;$B$9,"",IF(COUNTIFS(Base!$B$3:$B$5001,D$162,Base!$A$3:$A$5001,"&gt;="&amp;$C$7,Base!$A$3:$A$5001,"&lt;="&amp;$B179,Base!$X$3:$X$5001,"&lt;&gt;")=0,"",SUMIFS(Base!$X$3:$X$5001,Base!$B$3:$B$5001,D$162,Base!$A$3:$A$5001,_xlfn.MAXIFS(Base!$A$3:$A$5001,Base!$B$3:$B$5001,D$162,Base!$A$3:$A$5001,"&gt;="&amp;$C$7,Base!$A$3:$A$5001,"&lt;="&amp;$B179,Base!$X$3:$X$5001,"&lt;&gt;"))))</f>
        <v>1200</v>
      </c>
      <c r="E179">
        <f>IF($A179&gt;$B$9,"",IF(COUNTIFS(Base!$B$3:$B$5001,E$162,Base!$A$3:$A$5001,"&gt;="&amp;$C$7,Base!$A$3:$A$5001,"&lt;="&amp;$B179,Base!$X$3:$X$5001,"&lt;&gt;")=0,"",SUMIFS(Base!$X$3:$X$5001,Base!$B$3:$B$5001,E$162,Base!$A$3:$A$5001,_xlfn.MAXIFS(Base!$A$3:$A$5001,Base!$B$3:$B$5001,E$162,Base!$A$3:$A$5001,"&gt;="&amp;$C$7,Base!$A$3:$A$5001,"&lt;="&amp;$B179,Base!$X$3:$X$5001,"&lt;&gt;"))))</f>
        <v>3500</v>
      </c>
      <c r="F179">
        <f>IF($A179&gt;$B$9,"",IF(COUNTIFS(Base!$B$3:$B$5001,F$162,Base!$A$3:$A$5001,"&gt;="&amp;$C$7,Base!$A$3:$A$5001,"&lt;="&amp;$B179,Base!$X$3:$X$5001,"&lt;&gt;")=0,"",SUMIFS(Base!$X$3:$X$5001,Base!$B$3:$B$5001,F$162,Base!$A$3:$A$5001,_xlfn.MAXIFS(Base!$A$3:$A$5001,Base!$B$3:$B$5001,F$162,Base!$A$3:$A$5001,"&gt;="&amp;$C$7,Base!$A$3:$A$5001,"&lt;="&amp;$B179,Base!$X$3:$X$5001,"&lt;&gt;"))))</f>
        <v>1600</v>
      </c>
      <c r="G179">
        <f>IF($A179&gt;$B$9,"",IF(COUNTIFS(Base!$B$3:$B$5001,G$162,Base!$A$3:$A$5001,"&gt;="&amp;$C$7,Base!$A$3:$A$5001,"&lt;="&amp;$B179,Base!$X$3:$X$5001,"&lt;&gt;")=0,"",SUMIFS(Base!$X$3:$X$5001,Base!$B$3:$B$5001,G$162,Base!$A$3:$A$5001,_xlfn.MAXIFS(Base!$A$3:$A$5001,Base!$B$3:$B$5001,G$162,Base!$A$3:$A$5001,"&gt;="&amp;$C$7,Base!$A$3:$A$5001,"&lt;="&amp;$B179,Base!$X$3:$X$5001,"&lt;&gt;"))))</f>
        <v>900</v>
      </c>
      <c r="H179">
        <f>IF($A179&gt;$B$9,"",IF(COUNTIFS(Base!$B$3:$B$5001,H$162,Base!$A$3:$A$5001,"&gt;="&amp;$C$7,Base!$A$3:$A$5001,"&lt;="&amp;$B179,Base!$X$3:$X$5001,"&lt;&gt;")=0,"",SUMIFS(Base!$X$3:$X$5001,Base!$B$3:$B$5001,H$162,Base!$A$3:$A$5001,_xlfn.MAXIFS(Base!$A$3:$A$5001,Base!$B$3:$B$5001,H$162,Base!$A$3:$A$5001,"&gt;="&amp;$C$7,Base!$A$3:$A$5001,"&lt;="&amp;$B179,Base!$X$3:$X$5001,"&lt;&gt;"))))</f>
        <v>600</v>
      </c>
      <c r="I179">
        <f>IF($A179&gt;$B$9,"",IF(COUNTIFS(Base!$B$3:$B$5001,I$162,Base!$A$3:$A$5001,"&gt;="&amp;$C$7,Base!$A$3:$A$5001,"&lt;="&amp;$B179,Base!$X$3:$X$5001,"&lt;&gt;")=0,"",SUMIFS(Base!$X$3:$X$5001,Base!$B$3:$B$5001,I$162,Base!$A$3:$A$5001,_xlfn.MAXIFS(Base!$A$3:$A$5001,Base!$B$3:$B$5001,I$162,Base!$A$3:$A$5001,"&gt;="&amp;$C$7,Base!$A$3:$A$5001,"&lt;="&amp;$B179,Base!$X$3:$X$5001,"&lt;&gt;"))))</f>
        <v>1400</v>
      </c>
      <c r="J179">
        <f>IF($A179&gt;$B$9,"",IF(COUNTIFS(Base!$B$3:$B$5001,J$162,Base!$A$3:$A$5001,"&gt;="&amp;$C$7,Base!$A$3:$A$5001,"&lt;="&amp;$B179,Base!$X$3:$X$5001,"&lt;&gt;")=0,"",SUMIFS(Base!$X$3:$X$5001,Base!$B$3:$B$5001,J$162,Base!$A$3:$A$5001,_xlfn.MAXIFS(Base!$A$3:$A$5001,Base!$B$3:$B$5001,J$162,Base!$A$3:$A$5001,"&gt;="&amp;$C$7,Base!$A$3:$A$5001,"&lt;="&amp;$B179,Base!$X$3:$X$5001,"&lt;&gt;"))))</f>
        <v>500</v>
      </c>
      <c r="K179">
        <f>IF($A179&gt;$B$9,"",IF(COUNTIFS(Base!$B$3:$B$5001,K$162,Base!$A$3:$A$5001,"&gt;="&amp;$C$7,Base!$A$3:$A$5001,"&lt;="&amp;$B179,Base!$X$3:$X$5001,"&lt;&gt;")=0,"",SUMIFS(Base!$X$3:$X$5001,Base!$B$3:$B$5001,K$162,Base!$A$3:$A$5001,_xlfn.MAXIFS(Base!$A$3:$A$5001,Base!$B$3:$B$5001,K$162,Base!$A$3:$A$5001,"&gt;="&amp;$C$7,Base!$A$3:$A$5001,"&lt;="&amp;$B179,Base!$X$3:$X$5001,"&lt;&gt;"))))</f>
        <v>1800</v>
      </c>
    </row>
    <row r="180">
      <c r="A180">
        <v>18</v>
      </c>
      <c r="B180" s="152">
        <f>$B$29</f>
        <v>46283</v>
      </c>
      <c r="C180">
        <f>IF($A180&gt;$B$9,"",IF(COUNTIFS(Base!$B$3:$B$5001,C$162,Base!$A$3:$A$5001,"&gt;="&amp;$C$7,Base!$A$3:$A$5001,"&lt;="&amp;$B180,Base!$X$3:$X$5001,"&lt;&gt;")=0,"",SUMIFS(Base!$X$3:$X$5001,Base!$B$3:$B$5001,C$162,Base!$A$3:$A$5001,_xlfn.MAXIFS(Base!$A$3:$A$5001,Base!$B$3:$B$5001,C$162,Base!$A$3:$A$5001,"&gt;="&amp;$C$7,Base!$A$3:$A$5001,"&lt;="&amp;$B180,Base!$X$3:$X$5001,"&lt;&gt;"))))</f>
        <v>2200</v>
      </c>
      <c r="D180">
        <f>IF($A180&gt;$B$9,"",IF(COUNTIFS(Base!$B$3:$B$5001,D$162,Base!$A$3:$A$5001,"&gt;="&amp;$C$7,Base!$A$3:$A$5001,"&lt;="&amp;$B180,Base!$X$3:$X$5001,"&lt;&gt;")=0,"",SUMIFS(Base!$X$3:$X$5001,Base!$B$3:$B$5001,D$162,Base!$A$3:$A$5001,_xlfn.MAXIFS(Base!$A$3:$A$5001,Base!$B$3:$B$5001,D$162,Base!$A$3:$A$5001,"&gt;="&amp;$C$7,Base!$A$3:$A$5001,"&lt;="&amp;$B180,Base!$X$3:$X$5001,"&lt;&gt;"))))</f>
        <v>1200</v>
      </c>
      <c r="E180">
        <f>IF($A180&gt;$B$9,"",IF(COUNTIFS(Base!$B$3:$B$5001,E$162,Base!$A$3:$A$5001,"&gt;="&amp;$C$7,Base!$A$3:$A$5001,"&lt;="&amp;$B180,Base!$X$3:$X$5001,"&lt;&gt;")=0,"",SUMIFS(Base!$X$3:$X$5001,Base!$B$3:$B$5001,E$162,Base!$A$3:$A$5001,_xlfn.MAXIFS(Base!$A$3:$A$5001,Base!$B$3:$B$5001,E$162,Base!$A$3:$A$5001,"&gt;="&amp;$C$7,Base!$A$3:$A$5001,"&lt;="&amp;$B180,Base!$X$3:$X$5001,"&lt;&gt;"))))</f>
        <v>3500</v>
      </c>
      <c r="F180">
        <f>IF($A180&gt;$B$9,"",IF(COUNTIFS(Base!$B$3:$B$5001,F$162,Base!$A$3:$A$5001,"&gt;="&amp;$C$7,Base!$A$3:$A$5001,"&lt;="&amp;$B180,Base!$X$3:$X$5001,"&lt;&gt;")=0,"",SUMIFS(Base!$X$3:$X$5001,Base!$B$3:$B$5001,F$162,Base!$A$3:$A$5001,_xlfn.MAXIFS(Base!$A$3:$A$5001,Base!$B$3:$B$5001,F$162,Base!$A$3:$A$5001,"&gt;="&amp;$C$7,Base!$A$3:$A$5001,"&lt;="&amp;$B180,Base!$X$3:$X$5001,"&lt;&gt;"))))</f>
        <v>1600</v>
      </c>
      <c r="G180">
        <f>IF($A180&gt;$B$9,"",IF(COUNTIFS(Base!$B$3:$B$5001,G$162,Base!$A$3:$A$5001,"&gt;="&amp;$C$7,Base!$A$3:$A$5001,"&lt;="&amp;$B180,Base!$X$3:$X$5001,"&lt;&gt;")=0,"",SUMIFS(Base!$X$3:$X$5001,Base!$B$3:$B$5001,G$162,Base!$A$3:$A$5001,_xlfn.MAXIFS(Base!$A$3:$A$5001,Base!$B$3:$B$5001,G$162,Base!$A$3:$A$5001,"&gt;="&amp;$C$7,Base!$A$3:$A$5001,"&lt;="&amp;$B180,Base!$X$3:$X$5001,"&lt;&gt;"))))</f>
        <v>900</v>
      </c>
      <c r="H180">
        <f>IF($A180&gt;$B$9,"",IF(COUNTIFS(Base!$B$3:$B$5001,H$162,Base!$A$3:$A$5001,"&gt;="&amp;$C$7,Base!$A$3:$A$5001,"&lt;="&amp;$B180,Base!$X$3:$X$5001,"&lt;&gt;")=0,"",SUMIFS(Base!$X$3:$X$5001,Base!$B$3:$B$5001,H$162,Base!$A$3:$A$5001,_xlfn.MAXIFS(Base!$A$3:$A$5001,Base!$B$3:$B$5001,H$162,Base!$A$3:$A$5001,"&gt;="&amp;$C$7,Base!$A$3:$A$5001,"&lt;="&amp;$B180,Base!$X$3:$X$5001,"&lt;&gt;"))))</f>
        <v>600</v>
      </c>
      <c r="I180">
        <f>IF($A180&gt;$B$9,"",IF(COUNTIFS(Base!$B$3:$B$5001,I$162,Base!$A$3:$A$5001,"&gt;="&amp;$C$7,Base!$A$3:$A$5001,"&lt;="&amp;$B180,Base!$X$3:$X$5001,"&lt;&gt;")=0,"",SUMIFS(Base!$X$3:$X$5001,Base!$B$3:$B$5001,I$162,Base!$A$3:$A$5001,_xlfn.MAXIFS(Base!$A$3:$A$5001,Base!$B$3:$B$5001,I$162,Base!$A$3:$A$5001,"&gt;="&amp;$C$7,Base!$A$3:$A$5001,"&lt;="&amp;$B180,Base!$X$3:$X$5001,"&lt;&gt;"))))</f>
        <v>1400</v>
      </c>
      <c r="J180">
        <f>IF($A180&gt;$B$9,"",IF(COUNTIFS(Base!$B$3:$B$5001,J$162,Base!$A$3:$A$5001,"&gt;="&amp;$C$7,Base!$A$3:$A$5001,"&lt;="&amp;$B180,Base!$X$3:$X$5001,"&lt;&gt;")=0,"",SUMIFS(Base!$X$3:$X$5001,Base!$B$3:$B$5001,J$162,Base!$A$3:$A$5001,_xlfn.MAXIFS(Base!$A$3:$A$5001,Base!$B$3:$B$5001,J$162,Base!$A$3:$A$5001,"&gt;="&amp;$C$7,Base!$A$3:$A$5001,"&lt;="&amp;$B180,Base!$X$3:$X$5001,"&lt;&gt;"))))</f>
        <v>500</v>
      </c>
      <c r="K180">
        <f>IF($A180&gt;$B$9,"",IF(COUNTIFS(Base!$B$3:$B$5001,K$162,Base!$A$3:$A$5001,"&gt;="&amp;$C$7,Base!$A$3:$A$5001,"&lt;="&amp;$B180,Base!$X$3:$X$5001,"&lt;&gt;")=0,"",SUMIFS(Base!$X$3:$X$5001,Base!$B$3:$B$5001,K$162,Base!$A$3:$A$5001,_xlfn.MAXIFS(Base!$A$3:$A$5001,Base!$B$3:$B$5001,K$162,Base!$A$3:$A$5001,"&gt;="&amp;$C$7,Base!$A$3:$A$5001,"&lt;="&amp;$B180,Base!$X$3:$X$5001,"&lt;&gt;"))))</f>
        <v>1800</v>
      </c>
    </row>
    <row r="181">
      <c r="A181">
        <v>19</v>
      </c>
      <c r="B181" s="152">
        <f>$B$30</f>
        <v>46284</v>
      </c>
      <c r="C181">
        <f>IF($A181&gt;$B$9,"",IF(COUNTIFS(Base!$B$3:$B$5001,C$162,Base!$A$3:$A$5001,"&gt;="&amp;$C$7,Base!$A$3:$A$5001,"&lt;="&amp;$B181,Base!$X$3:$X$5001,"&lt;&gt;")=0,"",SUMIFS(Base!$X$3:$X$5001,Base!$B$3:$B$5001,C$162,Base!$A$3:$A$5001,_xlfn.MAXIFS(Base!$A$3:$A$5001,Base!$B$3:$B$5001,C$162,Base!$A$3:$A$5001,"&gt;="&amp;$C$7,Base!$A$3:$A$5001,"&lt;="&amp;$B181,Base!$X$3:$X$5001,"&lt;&gt;"))))</f>
        <v>2200</v>
      </c>
      <c r="D181">
        <f>IF($A181&gt;$B$9,"",IF(COUNTIFS(Base!$B$3:$B$5001,D$162,Base!$A$3:$A$5001,"&gt;="&amp;$C$7,Base!$A$3:$A$5001,"&lt;="&amp;$B181,Base!$X$3:$X$5001,"&lt;&gt;")=0,"",SUMIFS(Base!$X$3:$X$5001,Base!$B$3:$B$5001,D$162,Base!$A$3:$A$5001,_xlfn.MAXIFS(Base!$A$3:$A$5001,Base!$B$3:$B$5001,D$162,Base!$A$3:$A$5001,"&gt;="&amp;$C$7,Base!$A$3:$A$5001,"&lt;="&amp;$B181,Base!$X$3:$X$5001,"&lt;&gt;"))))</f>
        <v>1200</v>
      </c>
      <c r="E181">
        <f>IF($A181&gt;$B$9,"",IF(COUNTIFS(Base!$B$3:$B$5001,E$162,Base!$A$3:$A$5001,"&gt;="&amp;$C$7,Base!$A$3:$A$5001,"&lt;="&amp;$B181,Base!$X$3:$X$5001,"&lt;&gt;")=0,"",SUMIFS(Base!$X$3:$X$5001,Base!$B$3:$B$5001,E$162,Base!$A$3:$A$5001,_xlfn.MAXIFS(Base!$A$3:$A$5001,Base!$B$3:$B$5001,E$162,Base!$A$3:$A$5001,"&gt;="&amp;$C$7,Base!$A$3:$A$5001,"&lt;="&amp;$B181,Base!$X$3:$X$5001,"&lt;&gt;"))))</f>
        <v>3500</v>
      </c>
      <c r="F181">
        <f>IF($A181&gt;$B$9,"",IF(COUNTIFS(Base!$B$3:$B$5001,F$162,Base!$A$3:$A$5001,"&gt;="&amp;$C$7,Base!$A$3:$A$5001,"&lt;="&amp;$B181,Base!$X$3:$X$5001,"&lt;&gt;")=0,"",SUMIFS(Base!$X$3:$X$5001,Base!$B$3:$B$5001,F$162,Base!$A$3:$A$5001,_xlfn.MAXIFS(Base!$A$3:$A$5001,Base!$B$3:$B$5001,F$162,Base!$A$3:$A$5001,"&gt;="&amp;$C$7,Base!$A$3:$A$5001,"&lt;="&amp;$B181,Base!$X$3:$X$5001,"&lt;&gt;"))))</f>
        <v>1600</v>
      </c>
      <c r="G181">
        <f>IF($A181&gt;$B$9,"",IF(COUNTIFS(Base!$B$3:$B$5001,G$162,Base!$A$3:$A$5001,"&gt;="&amp;$C$7,Base!$A$3:$A$5001,"&lt;="&amp;$B181,Base!$X$3:$X$5001,"&lt;&gt;")=0,"",SUMIFS(Base!$X$3:$X$5001,Base!$B$3:$B$5001,G$162,Base!$A$3:$A$5001,_xlfn.MAXIFS(Base!$A$3:$A$5001,Base!$B$3:$B$5001,G$162,Base!$A$3:$A$5001,"&gt;="&amp;$C$7,Base!$A$3:$A$5001,"&lt;="&amp;$B181,Base!$X$3:$X$5001,"&lt;&gt;"))))</f>
        <v>900</v>
      </c>
      <c r="H181">
        <f>IF($A181&gt;$B$9,"",IF(COUNTIFS(Base!$B$3:$B$5001,H$162,Base!$A$3:$A$5001,"&gt;="&amp;$C$7,Base!$A$3:$A$5001,"&lt;="&amp;$B181,Base!$X$3:$X$5001,"&lt;&gt;")=0,"",SUMIFS(Base!$X$3:$X$5001,Base!$B$3:$B$5001,H$162,Base!$A$3:$A$5001,_xlfn.MAXIFS(Base!$A$3:$A$5001,Base!$B$3:$B$5001,H$162,Base!$A$3:$A$5001,"&gt;="&amp;$C$7,Base!$A$3:$A$5001,"&lt;="&amp;$B181,Base!$X$3:$X$5001,"&lt;&gt;"))))</f>
        <v>600</v>
      </c>
      <c r="I181">
        <f>IF($A181&gt;$B$9,"",IF(COUNTIFS(Base!$B$3:$B$5001,I$162,Base!$A$3:$A$5001,"&gt;="&amp;$C$7,Base!$A$3:$A$5001,"&lt;="&amp;$B181,Base!$X$3:$X$5001,"&lt;&gt;")=0,"",SUMIFS(Base!$X$3:$X$5001,Base!$B$3:$B$5001,I$162,Base!$A$3:$A$5001,_xlfn.MAXIFS(Base!$A$3:$A$5001,Base!$B$3:$B$5001,I$162,Base!$A$3:$A$5001,"&gt;="&amp;$C$7,Base!$A$3:$A$5001,"&lt;="&amp;$B181,Base!$X$3:$X$5001,"&lt;&gt;"))))</f>
        <v>1400</v>
      </c>
      <c r="J181">
        <f>IF($A181&gt;$B$9,"",IF(COUNTIFS(Base!$B$3:$B$5001,J$162,Base!$A$3:$A$5001,"&gt;="&amp;$C$7,Base!$A$3:$A$5001,"&lt;="&amp;$B181,Base!$X$3:$X$5001,"&lt;&gt;")=0,"",SUMIFS(Base!$X$3:$X$5001,Base!$B$3:$B$5001,J$162,Base!$A$3:$A$5001,_xlfn.MAXIFS(Base!$A$3:$A$5001,Base!$B$3:$B$5001,J$162,Base!$A$3:$A$5001,"&gt;="&amp;$C$7,Base!$A$3:$A$5001,"&lt;="&amp;$B181,Base!$X$3:$X$5001,"&lt;&gt;"))))</f>
        <v>500</v>
      </c>
      <c r="K181">
        <f>IF($A181&gt;$B$9,"",IF(COUNTIFS(Base!$B$3:$B$5001,K$162,Base!$A$3:$A$5001,"&gt;="&amp;$C$7,Base!$A$3:$A$5001,"&lt;="&amp;$B181,Base!$X$3:$X$5001,"&lt;&gt;")=0,"",SUMIFS(Base!$X$3:$X$5001,Base!$B$3:$B$5001,K$162,Base!$A$3:$A$5001,_xlfn.MAXIFS(Base!$A$3:$A$5001,Base!$B$3:$B$5001,K$162,Base!$A$3:$A$5001,"&gt;="&amp;$C$7,Base!$A$3:$A$5001,"&lt;="&amp;$B181,Base!$X$3:$X$5001,"&lt;&gt;"))))</f>
        <v>1800</v>
      </c>
    </row>
    <row r="182">
      <c r="A182">
        <v>20</v>
      </c>
      <c r="B182" s="152">
        <f>$B$31</f>
        <v>46285</v>
      </c>
      <c r="C182">
        <f>IF($A182&gt;$B$9,"",IF(COUNTIFS(Base!$B$3:$B$5001,C$162,Base!$A$3:$A$5001,"&gt;="&amp;$C$7,Base!$A$3:$A$5001,"&lt;="&amp;$B182,Base!$X$3:$X$5001,"&lt;&gt;")=0,"",SUMIFS(Base!$X$3:$X$5001,Base!$B$3:$B$5001,C$162,Base!$A$3:$A$5001,_xlfn.MAXIFS(Base!$A$3:$A$5001,Base!$B$3:$B$5001,C$162,Base!$A$3:$A$5001,"&gt;="&amp;$C$7,Base!$A$3:$A$5001,"&lt;="&amp;$B182,Base!$X$3:$X$5001,"&lt;&gt;"))))</f>
        <v>2200</v>
      </c>
      <c r="D182">
        <f>IF($A182&gt;$B$9,"",IF(COUNTIFS(Base!$B$3:$B$5001,D$162,Base!$A$3:$A$5001,"&gt;="&amp;$C$7,Base!$A$3:$A$5001,"&lt;="&amp;$B182,Base!$X$3:$X$5001,"&lt;&gt;")=0,"",SUMIFS(Base!$X$3:$X$5001,Base!$B$3:$B$5001,D$162,Base!$A$3:$A$5001,_xlfn.MAXIFS(Base!$A$3:$A$5001,Base!$B$3:$B$5001,D$162,Base!$A$3:$A$5001,"&gt;="&amp;$C$7,Base!$A$3:$A$5001,"&lt;="&amp;$B182,Base!$X$3:$X$5001,"&lt;&gt;"))))</f>
        <v>1200</v>
      </c>
      <c r="E182">
        <f>IF($A182&gt;$B$9,"",IF(COUNTIFS(Base!$B$3:$B$5001,E$162,Base!$A$3:$A$5001,"&gt;="&amp;$C$7,Base!$A$3:$A$5001,"&lt;="&amp;$B182,Base!$X$3:$X$5001,"&lt;&gt;")=0,"",SUMIFS(Base!$X$3:$X$5001,Base!$B$3:$B$5001,E$162,Base!$A$3:$A$5001,_xlfn.MAXIFS(Base!$A$3:$A$5001,Base!$B$3:$B$5001,E$162,Base!$A$3:$A$5001,"&gt;="&amp;$C$7,Base!$A$3:$A$5001,"&lt;="&amp;$B182,Base!$X$3:$X$5001,"&lt;&gt;"))))</f>
        <v>3500</v>
      </c>
      <c r="F182">
        <f>IF($A182&gt;$B$9,"",IF(COUNTIFS(Base!$B$3:$B$5001,F$162,Base!$A$3:$A$5001,"&gt;="&amp;$C$7,Base!$A$3:$A$5001,"&lt;="&amp;$B182,Base!$X$3:$X$5001,"&lt;&gt;")=0,"",SUMIFS(Base!$X$3:$X$5001,Base!$B$3:$B$5001,F$162,Base!$A$3:$A$5001,_xlfn.MAXIFS(Base!$A$3:$A$5001,Base!$B$3:$B$5001,F$162,Base!$A$3:$A$5001,"&gt;="&amp;$C$7,Base!$A$3:$A$5001,"&lt;="&amp;$B182,Base!$X$3:$X$5001,"&lt;&gt;"))))</f>
        <v>1600</v>
      </c>
      <c r="G182">
        <f>IF($A182&gt;$B$9,"",IF(COUNTIFS(Base!$B$3:$B$5001,G$162,Base!$A$3:$A$5001,"&gt;="&amp;$C$7,Base!$A$3:$A$5001,"&lt;="&amp;$B182,Base!$X$3:$X$5001,"&lt;&gt;")=0,"",SUMIFS(Base!$X$3:$X$5001,Base!$B$3:$B$5001,G$162,Base!$A$3:$A$5001,_xlfn.MAXIFS(Base!$A$3:$A$5001,Base!$B$3:$B$5001,G$162,Base!$A$3:$A$5001,"&gt;="&amp;$C$7,Base!$A$3:$A$5001,"&lt;="&amp;$B182,Base!$X$3:$X$5001,"&lt;&gt;"))))</f>
        <v>900</v>
      </c>
      <c r="H182">
        <f>IF($A182&gt;$B$9,"",IF(COUNTIFS(Base!$B$3:$B$5001,H$162,Base!$A$3:$A$5001,"&gt;="&amp;$C$7,Base!$A$3:$A$5001,"&lt;="&amp;$B182,Base!$X$3:$X$5001,"&lt;&gt;")=0,"",SUMIFS(Base!$X$3:$X$5001,Base!$B$3:$B$5001,H$162,Base!$A$3:$A$5001,_xlfn.MAXIFS(Base!$A$3:$A$5001,Base!$B$3:$B$5001,H$162,Base!$A$3:$A$5001,"&gt;="&amp;$C$7,Base!$A$3:$A$5001,"&lt;="&amp;$B182,Base!$X$3:$X$5001,"&lt;&gt;"))))</f>
        <v>600</v>
      </c>
      <c r="I182">
        <f>IF($A182&gt;$B$9,"",IF(COUNTIFS(Base!$B$3:$B$5001,I$162,Base!$A$3:$A$5001,"&gt;="&amp;$C$7,Base!$A$3:$A$5001,"&lt;="&amp;$B182,Base!$X$3:$X$5001,"&lt;&gt;")=0,"",SUMIFS(Base!$X$3:$X$5001,Base!$B$3:$B$5001,I$162,Base!$A$3:$A$5001,_xlfn.MAXIFS(Base!$A$3:$A$5001,Base!$B$3:$B$5001,I$162,Base!$A$3:$A$5001,"&gt;="&amp;$C$7,Base!$A$3:$A$5001,"&lt;="&amp;$B182,Base!$X$3:$X$5001,"&lt;&gt;"))))</f>
        <v>1400</v>
      </c>
      <c r="J182">
        <f>IF($A182&gt;$B$9,"",IF(COUNTIFS(Base!$B$3:$B$5001,J$162,Base!$A$3:$A$5001,"&gt;="&amp;$C$7,Base!$A$3:$A$5001,"&lt;="&amp;$B182,Base!$X$3:$X$5001,"&lt;&gt;")=0,"",SUMIFS(Base!$X$3:$X$5001,Base!$B$3:$B$5001,J$162,Base!$A$3:$A$5001,_xlfn.MAXIFS(Base!$A$3:$A$5001,Base!$B$3:$B$5001,J$162,Base!$A$3:$A$5001,"&gt;="&amp;$C$7,Base!$A$3:$A$5001,"&lt;="&amp;$B182,Base!$X$3:$X$5001,"&lt;&gt;"))))</f>
        <v>500</v>
      </c>
      <c r="K182">
        <f>IF($A182&gt;$B$9,"",IF(COUNTIFS(Base!$B$3:$B$5001,K$162,Base!$A$3:$A$5001,"&gt;="&amp;$C$7,Base!$A$3:$A$5001,"&lt;="&amp;$B182,Base!$X$3:$X$5001,"&lt;&gt;")=0,"",SUMIFS(Base!$X$3:$X$5001,Base!$B$3:$B$5001,K$162,Base!$A$3:$A$5001,_xlfn.MAXIFS(Base!$A$3:$A$5001,Base!$B$3:$B$5001,K$162,Base!$A$3:$A$5001,"&gt;="&amp;$C$7,Base!$A$3:$A$5001,"&lt;="&amp;$B182,Base!$X$3:$X$5001,"&lt;&gt;"))))</f>
        <v>1800</v>
      </c>
    </row>
    <row r="183">
      <c r="A183">
        <v>21</v>
      </c>
      <c r="B183" s="152">
        <f>$B$32</f>
        <v>46286</v>
      </c>
      <c r="C183">
        <f>IF($A183&gt;$B$9,"",IF(COUNTIFS(Base!$B$3:$B$5001,C$162,Base!$A$3:$A$5001,"&gt;="&amp;$C$7,Base!$A$3:$A$5001,"&lt;="&amp;$B183,Base!$X$3:$X$5001,"&lt;&gt;")=0,"",SUMIFS(Base!$X$3:$X$5001,Base!$B$3:$B$5001,C$162,Base!$A$3:$A$5001,_xlfn.MAXIFS(Base!$A$3:$A$5001,Base!$B$3:$B$5001,C$162,Base!$A$3:$A$5001,"&gt;="&amp;$C$7,Base!$A$3:$A$5001,"&lt;="&amp;$B183,Base!$X$3:$X$5001,"&lt;&gt;"))))</f>
        <v>2200</v>
      </c>
      <c r="D183">
        <f>IF($A183&gt;$B$9,"",IF(COUNTIFS(Base!$B$3:$B$5001,D$162,Base!$A$3:$A$5001,"&gt;="&amp;$C$7,Base!$A$3:$A$5001,"&lt;="&amp;$B183,Base!$X$3:$X$5001,"&lt;&gt;")=0,"",SUMIFS(Base!$X$3:$X$5001,Base!$B$3:$B$5001,D$162,Base!$A$3:$A$5001,_xlfn.MAXIFS(Base!$A$3:$A$5001,Base!$B$3:$B$5001,D$162,Base!$A$3:$A$5001,"&gt;="&amp;$C$7,Base!$A$3:$A$5001,"&lt;="&amp;$B183,Base!$X$3:$X$5001,"&lt;&gt;"))))</f>
        <v>1200</v>
      </c>
      <c r="E183">
        <f>IF($A183&gt;$B$9,"",IF(COUNTIFS(Base!$B$3:$B$5001,E$162,Base!$A$3:$A$5001,"&gt;="&amp;$C$7,Base!$A$3:$A$5001,"&lt;="&amp;$B183,Base!$X$3:$X$5001,"&lt;&gt;")=0,"",SUMIFS(Base!$X$3:$X$5001,Base!$B$3:$B$5001,E$162,Base!$A$3:$A$5001,_xlfn.MAXIFS(Base!$A$3:$A$5001,Base!$B$3:$B$5001,E$162,Base!$A$3:$A$5001,"&gt;="&amp;$C$7,Base!$A$3:$A$5001,"&lt;="&amp;$B183,Base!$X$3:$X$5001,"&lt;&gt;"))))</f>
        <v>3500</v>
      </c>
      <c r="F183">
        <f>IF($A183&gt;$B$9,"",IF(COUNTIFS(Base!$B$3:$B$5001,F$162,Base!$A$3:$A$5001,"&gt;="&amp;$C$7,Base!$A$3:$A$5001,"&lt;="&amp;$B183,Base!$X$3:$X$5001,"&lt;&gt;")=0,"",SUMIFS(Base!$X$3:$X$5001,Base!$B$3:$B$5001,F$162,Base!$A$3:$A$5001,_xlfn.MAXIFS(Base!$A$3:$A$5001,Base!$B$3:$B$5001,F$162,Base!$A$3:$A$5001,"&gt;="&amp;$C$7,Base!$A$3:$A$5001,"&lt;="&amp;$B183,Base!$X$3:$X$5001,"&lt;&gt;"))))</f>
        <v>1600</v>
      </c>
      <c r="G183">
        <f>IF($A183&gt;$B$9,"",IF(COUNTIFS(Base!$B$3:$B$5001,G$162,Base!$A$3:$A$5001,"&gt;="&amp;$C$7,Base!$A$3:$A$5001,"&lt;="&amp;$B183,Base!$X$3:$X$5001,"&lt;&gt;")=0,"",SUMIFS(Base!$X$3:$X$5001,Base!$B$3:$B$5001,G$162,Base!$A$3:$A$5001,_xlfn.MAXIFS(Base!$A$3:$A$5001,Base!$B$3:$B$5001,G$162,Base!$A$3:$A$5001,"&gt;="&amp;$C$7,Base!$A$3:$A$5001,"&lt;="&amp;$B183,Base!$X$3:$X$5001,"&lt;&gt;"))))</f>
        <v>900</v>
      </c>
      <c r="H183">
        <f>IF($A183&gt;$B$9,"",IF(COUNTIFS(Base!$B$3:$B$5001,H$162,Base!$A$3:$A$5001,"&gt;="&amp;$C$7,Base!$A$3:$A$5001,"&lt;="&amp;$B183,Base!$X$3:$X$5001,"&lt;&gt;")=0,"",SUMIFS(Base!$X$3:$X$5001,Base!$B$3:$B$5001,H$162,Base!$A$3:$A$5001,_xlfn.MAXIFS(Base!$A$3:$A$5001,Base!$B$3:$B$5001,H$162,Base!$A$3:$A$5001,"&gt;="&amp;$C$7,Base!$A$3:$A$5001,"&lt;="&amp;$B183,Base!$X$3:$X$5001,"&lt;&gt;"))))</f>
        <v>600</v>
      </c>
      <c r="I183">
        <f>IF($A183&gt;$B$9,"",IF(COUNTIFS(Base!$B$3:$B$5001,I$162,Base!$A$3:$A$5001,"&gt;="&amp;$C$7,Base!$A$3:$A$5001,"&lt;="&amp;$B183,Base!$X$3:$X$5001,"&lt;&gt;")=0,"",SUMIFS(Base!$X$3:$X$5001,Base!$B$3:$B$5001,I$162,Base!$A$3:$A$5001,_xlfn.MAXIFS(Base!$A$3:$A$5001,Base!$B$3:$B$5001,I$162,Base!$A$3:$A$5001,"&gt;="&amp;$C$7,Base!$A$3:$A$5001,"&lt;="&amp;$B183,Base!$X$3:$X$5001,"&lt;&gt;"))))</f>
        <v>1400</v>
      </c>
      <c r="J183">
        <f>IF($A183&gt;$B$9,"",IF(COUNTIFS(Base!$B$3:$B$5001,J$162,Base!$A$3:$A$5001,"&gt;="&amp;$C$7,Base!$A$3:$A$5001,"&lt;="&amp;$B183,Base!$X$3:$X$5001,"&lt;&gt;")=0,"",SUMIFS(Base!$X$3:$X$5001,Base!$B$3:$B$5001,J$162,Base!$A$3:$A$5001,_xlfn.MAXIFS(Base!$A$3:$A$5001,Base!$B$3:$B$5001,J$162,Base!$A$3:$A$5001,"&gt;="&amp;$C$7,Base!$A$3:$A$5001,"&lt;="&amp;$B183,Base!$X$3:$X$5001,"&lt;&gt;"))))</f>
        <v>500</v>
      </c>
      <c r="K183">
        <f>IF($A183&gt;$B$9,"",IF(COUNTIFS(Base!$B$3:$B$5001,K$162,Base!$A$3:$A$5001,"&gt;="&amp;$C$7,Base!$A$3:$A$5001,"&lt;="&amp;$B183,Base!$X$3:$X$5001,"&lt;&gt;")=0,"",SUMIFS(Base!$X$3:$X$5001,Base!$B$3:$B$5001,K$162,Base!$A$3:$A$5001,_xlfn.MAXIFS(Base!$A$3:$A$5001,Base!$B$3:$B$5001,K$162,Base!$A$3:$A$5001,"&gt;="&amp;$C$7,Base!$A$3:$A$5001,"&lt;="&amp;$B183,Base!$X$3:$X$5001,"&lt;&gt;"))))</f>
        <v>1800</v>
      </c>
    </row>
    <row r="184">
      <c r="A184">
        <v>22</v>
      </c>
      <c r="B184" s="152">
        <f>$B$33</f>
        <v>46287</v>
      </c>
      <c r="C184">
        <f>IF($A184&gt;$B$9,"",IF(COUNTIFS(Base!$B$3:$B$5001,C$162,Base!$A$3:$A$5001,"&gt;="&amp;$C$7,Base!$A$3:$A$5001,"&lt;="&amp;$B184,Base!$X$3:$X$5001,"&lt;&gt;")=0,"",SUMIFS(Base!$X$3:$X$5001,Base!$B$3:$B$5001,C$162,Base!$A$3:$A$5001,_xlfn.MAXIFS(Base!$A$3:$A$5001,Base!$B$3:$B$5001,C$162,Base!$A$3:$A$5001,"&gt;="&amp;$C$7,Base!$A$3:$A$5001,"&lt;="&amp;$B184,Base!$X$3:$X$5001,"&lt;&gt;"))))</f>
        <v>2200</v>
      </c>
      <c r="D184">
        <f>IF($A184&gt;$B$9,"",IF(COUNTIFS(Base!$B$3:$B$5001,D$162,Base!$A$3:$A$5001,"&gt;="&amp;$C$7,Base!$A$3:$A$5001,"&lt;="&amp;$B184,Base!$X$3:$X$5001,"&lt;&gt;")=0,"",SUMIFS(Base!$X$3:$X$5001,Base!$B$3:$B$5001,D$162,Base!$A$3:$A$5001,_xlfn.MAXIFS(Base!$A$3:$A$5001,Base!$B$3:$B$5001,D$162,Base!$A$3:$A$5001,"&gt;="&amp;$C$7,Base!$A$3:$A$5001,"&lt;="&amp;$B184,Base!$X$3:$X$5001,"&lt;&gt;"))))</f>
        <v>1200</v>
      </c>
      <c r="E184">
        <f>IF($A184&gt;$B$9,"",IF(COUNTIFS(Base!$B$3:$B$5001,E$162,Base!$A$3:$A$5001,"&gt;="&amp;$C$7,Base!$A$3:$A$5001,"&lt;="&amp;$B184,Base!$X$3:$X$5001,"&lt;&gt;")=0,"",SUMIFS(Base!$X$3:$X$5001,Base!$B$3:$B$5001,E$162,Base!$A$3:$A$5001,_xlfn.MAXIFS(Base!$A$3:$A$5001,Base!$B$3:$B$5001,E$162,Base!$A$3:$A$5001,"&gt;="&amp;$C$7,Base!$A$3:$A$5001,"&lt;="&amp;$B184,Base!$X$3:$X$5001,"&lt;&gt;"))))</f>
        <v>3500</v>
      </c>
      <c r="F184">
        <f>IF($A184&gt;$B$9,"",IF(COUNTIFS(Base!$B$3:$B$5001,F$162,Base!$A$3:$A$5001,"&gt;="&amp;$C$7,Base!$A$3:$A$5001,"&lt;="&amp;$B184,Base!$X$3:$X$5001,"&lt;&gt;")=0,"",SUMIFS(Base!$X$3:$X$5001,Base!$B$3:$B$5001,F$162,Base!$A$3:$A$5001,_xlfn.MAXIFS(Base!$A$3:$A$5001,Base!$B$3:$B$5001,F$162,Base!$A$3:$A$5001,"&gt;="&amp;$C$7,Base!$A$3:$A$5001,"&lt;="&amp;$B184,Base!$X$3:$X$5001,"&lt;&gt;"))))</f>
        <v>1600</v>
      </c>
      <c r="G184">
        <f>IF($A184&gt;$B$9,"",IF(COUNTIFS(Base!$B$3:$B$5001,G$162,Base!$A$3:$A$5001,"&gt;="&amp;$C$7,Base!$A$3:$A$5001,"&lt;="&amp;$B184,Base!$X$3:$X$5001,"&lt;&gt;")=0,"",SUMIFS(Base!$X$3:$X$5001,Base!$B$3:$B$5001,G$162,Base!$A$3:$A$5001,_xlfn.MAXIFS(Base!$A$3:$A$5001,Base!$B$3:$B$5001,G$162,Base!$A$3:$A$5001,"&gt;="&amp;$C$7,Base!$A$3:$A$5001,"&lt;="&amp;$B184,Base!$X$3:$X$5001,"&lt;&gt;"))))</f>
        <v>900</v>
      </c>
      <c r="H184">
        <f>IF($A184&gt;$B$9,"",IF(COUNTIFS(Base!$B$3:$B$5001,H$162,Base!$A$3:$A$5001,"&gt;="&amp;$C$7,Base!$A$3:$A$5001,"&lt;="&amp;$B184,Base!$X$3:$X$5001,"&lt;&gt;")=0,"",SUMIFS(Base!$X$3:$X$5001,Base!$B$3:$B$5001,H$162,Base!$A$3:$A$5001,_xlfn.MAXIFS(Base!$A$3:$A$5001,Base!$B$3:$B$5001,H$162,Base!$A$3:$A$5001,"&gt;="&amp;$C$7,Base!$A$3:$A$5001,"&lt;="&amp;$B184,Base!$X$3:$X$5001,"&lt;&gt;"))))</f>
        <v>600</v>
      </c>
      <c r="I184">
        <f>IF($A184&gt;$B$9,"",IF(COUNTIFS(Base!$B$3:$B$5001,I$162,Base!$A$3:$A$5001,"&gt;="&amp;$C$7,Base!$A$3:$A$5001,"&lt;="&amp;$B184,Base!$X$3:$X$5001,"&lt;&gt;")=0,"",SUMIFS(Base!$X$3:$X$5001,Base!$B$3:$B$5001,I$162,Base!$A$3:$A$5001,_xlfn.MAXIFS(Base!$A$3:$A$5001,Base!$B$3:$B$5001,I$162,Base!$A$3:$A$5001,"&gt;="&amp;$C$7,Base!$A$3:$A$5001,"&lt;="&amp;$B184,Base!$X$3:$X$5001,"&lt;&gt;"))))</f>
        <v>1400</v>
      </c>
      <c r="J184">
        <f>IF($A184&gt;$B$9,"",IF(COUNTIFS(Base!$B$3:$B$5001,J$162,Base!$A$3:$A$5001,"&gt;="&amp;$C$7,Base!$A$3:$A$5001,"&lt;="&amp;$B184,Base!$X$3:$X$5001,"&lt;&gt;")=0,"",SUMIFS(Base!$X$3:$X$5001,Base!$B$3:$B$5001,J$162,Base!$A$3:$A$5001,_xlfn.MAXIFS(Base!$A$3:$A$5001,Base!$B$3:$B$5001,J$162,Base!$A$3:$A$5001,"&gt;="&amp;$C$7,Base!$A$3:$A$5001,"&lt;="&amp;$B184,Base!$X$3:$X$5001,"&lt;&gt;"))))</f>
        <v>500</v>
      </c>
      <c r="K184">
        <f>IF($A184&gt;$B$9,"",IF(COUNTIFS(Base!$B$3:$B$5001,K$162,Base!$A$3:$A$5001,"&gt;="&amp;$C$7,Base!$A$3:$A$5001,"&lt;="&amp;$B184,Base!$X$3:$X$5001,"&lt;&gt;")=0,"",SUMIFS(Base!$X$3:$X$5001,Base!$B$3:$B$5001,K$162,Base!$A$3:$A$5001,_xlfn.MAXIFS(Base!$A$3:$A$5001,Base!$B$3:$B$5001,K$162,Base!$A$3:$A$5001,"&gt;="&amp;$C$7,Base!$A$3:$A$5001,"&lt;="&amp;$B184,Base!$X$3:$X$5001,"&lt;&gt;"))))</f>
        <v>1800</v>
      </c>
    </row>
    <row r="185">
      <c r="A185">
        <v>23</v>
      </c>
      <c r="B185" s="152">
        <f>$B$34</f>
        <v>46288</v>
      </c>
      <c r="C185">
        <f>IF($A185&gt;$B$9,"",IF(COUNTIFS(Base!$B$3:$B$5001,C$162,Base!$A$3:$A$5001,"&gt;="&amp;$C$7,Base!$A$3:$A$5001,"&lt;="&amp;$B185,Base!$X$3:$X$5001,"&lt;&gt;")=0,"",SUMIFS(Base!$X$3:$X$5001,Base!$B$3:$B$5001,C$162,Base!$A$3:$A$5001,_xlfn.MAXIFS(Base!$A$3:$A$5001,Base!$B$3:$B$5001,C$162,Base!$A$3:$A$5001,"&gt;="&amp;$C$7,Base!$A$3:$A$5001,"&lt;="&amp;$B185,Base!$X$3:$X$5001,"&lt;&gt;"))))</f>
        <v>2200</v>
      </c>
      <c r="D185">
        <f>IF($A185&gt;$B$9,"",IF(COUNTIFS(Base!$B$3:$B$5001,D$162,Base!$A$3:$A$5001,"&gt;="&amp;$C$7,Base!$A$3:$A$5001,"&lt;="&amp;$B185,Base!$X$3:$X$5001,"&lt;&gt;")=0,"",SUMIFS(Base!$X$3:$X$5001,Base!$B$3:$B$5001,D$162,Base!$A$3:$A$5001,_xlfn.MAXIFS(Base!$A$3:$A$5001,Base!$B$3:$B$5001,D$162,Base!$A$3:$A$5001,"&gt;="&amp;$C$7,Base!$A$3:$A$5001,"&lt;="&amp;$B185,Base!$X$3:$X$5001,"&lt;&gt;"))))</f>
        <v>1200</v>
      </c>
      <c r="E185">
        <f>IF($A185&gt;$B$9,"",IF(COUNTIFS(Base!$B$3:$B$5001,E$162,Base!$A$3:$A$5001,"&gt;="&amp;$C$7,Base!$A$3:$A$5001,"&lt;="&amp;$B185,Base!$X$3:$X$5001,"&lt;&gt;")=0,"",SUMIFS(Base!$X$3:$X$5001,Base!$B$3:$B$5001,E$162,Base!$A$3:$A$5001,_xlfn.MAXIFS(Base!$A$3:$A$5001,Base!$B$3:$B$5001,E$162,Base!$A$3:$A$5001,"&gt;="&amp;$C$7,Base!$A$3:$A$5001,"&lt;="&amp;$B185,Base!$X$3:$X$5001,"&lt;&gt;"))))</f>
        <v>3500</v>
      </c>
      <c r="F185">
        <f>IF($A185&gt;$B$9,"",IF(COUNTIFS(Base!$B$3:$B$5001,F$162,Base!$A$3:$A$5001,"&gt;="&amp;$C$7,Base!$A$3:$A$5001,"&lt;="&amp;$B185,Base!$X$3:$X$5001,"&lt;&gt;")=0,"",SUMIFS(Base!$X$3:$X$5001,Base!$B$3:$B$5001,F$162,Base!$A$3:$A$5001,_xlfn.MAXIFS(Base!$A$3:$A$5001,Base!$B$3:$B$5001,F$162,Base!$A$3:$A$5001,"&gt;="&amp;$C$7,Base!$A$3:$A$5001,"&lt;="&amp;$B185,Base!$X$3:$X$5001,"&lt;&gt;"))))</f>
        <v>1600</v>
      </c>
      <c r="G185">
        <f>IF($A185&gt;$B$9,"",IF(COUNTIFS(Base!$B$3:$B$5001,G$162,Base!$A$3:$A$5001,"&gt;="&amp;$C$7,Base!$A$3:$A$5001,"&lt;="&amp;$B185,Base!$X$3:$X$5001,"&lt;&gt;")=0,"",SUMIFS(Base!$X$3:$X$5001,Base!$B$3:$B$5001,G$162,Base!$A$3:$A$5001,_xlfn.MAXIFS(Base!$A$3:$A$5001,Base!$B$3:$B$5001,G$162,Base!$A$3:$A$5001,"&gt;="&amp;$C$7,Base!$A$3:$A$5001,"&lt;="&amp;$B185,Base!$X$3:$X$5001,"&lt;&gt;"))))</f>
        <v>900</v>
      </c>
      <c r="H185">
        <f>IF($A185&gt;$B$9,"",IF(COUNTIFS(Base!$B$3:$B$5001,H$162,Base!$A$3:$A$5001,"&gt;="&amp;$C$7,Base!$A$3:$A$5001,"&lt;="&amp;$B185,Base!$X$3:$X$5001,"&lt;&gt;")=0,"",SUMIFS(Base!$X$3:$X$5001,Base!$B$3:$B$5001,H$162,Base!$A$3:$A$5001,_xlfn.MAXIFS(Base!$A$3:$A$5001,Base!$B$3:$B$5001,H$162,Base!$A$3:$A$5001,"&gt;="&amp;$C$7,Base!$A$3:$A$5001,"&lt;="&amp;$B185,Base!$X$3:$X$5001,"&lt;&gt;"))))</f>
        <v>600</v>
      </c>
      <c r="I185">
        <f>IF($A185&gt;$B$9,"",IF(COUNTIFS(Base!$B$3:$B$5001,I$162,Base!$A$3:$A$5001,"&gt;="&amp;$C$7,Base!$A$3:$A$5001,"&lt;="&amp;$B185,Base!$X$3:$X$5001,"&lt;&gt;")=0,"",SUMIFS(Base!$X$3:$X$5001,Base!$B$3:$B$5001,I$162,Base!$A$3:$A$5001,_xlfn.MAXIFS(Base!$A$3:$A$5001,Base!$B$3:$B$5001,I$162,Base!$A$3:$A$5001,"&gt;="&amp;$C$7,Base!$A$3:$A$5001,"&lt;="&amp;$B185,Base!$X$3:$X$5001,"&lt;&gt;"))))</f>
        <v>1400</v>
      </c>
      <c r="J185">
        <f>IF($A185&gt;$B$9,"",IF(COUNTIFS(Base!$B$3:$B$5001,J$162,Base!$A$3:$A$5001,"&gt;="&amp;$C$7,Base!$A$3:$A$5001,"&lt;="&amp;$B185,Base!$X$3:$X$5001,"&lt;&gt;")=0,"",SUMIFS(Base!$X$3:$X$5001,Base!$B$3:$B$5001,J$162,Base!$A$3:$A$5001,_xlfn.MAXIFS(Base!$A$3:$A$5001,Base!$B$3:$B$5001,J$162,Base!$A$3:$A$5001,"&gt;="&amp;$C$7,Base!$A$3:$A$5001,"&lt;="&amp;$B185,Base!$X$3:$X$5001,"&lt;&gt;"))))</f>
        <v>500</v>
      </c>
      <c r="K185">
        <f>IF($A185&gt;$B$9,"",IF(COUNTIFS(Base!$B$3:$B$5001,K$162,Base!$A$3:$A$5001,"&gt;="&amp;$C$7,Base!$A$3:$A$5001,"&lt;="&amp;$B185,Base!$X$3:$X$5001,"&lt;&gt;")=0,"",SUMIFS(Base!$X$3:$X$5001,Base!$B$3:$B$5001,K$162,Base!$A$3:$A$5001,_xlfn.MAXIFS(Base!$A$3:$A$5001,Base!$B$3:$B$5001,K$162,Base!$A$3:$A$5001,"&gt;="&amp;$C$7,Base!$A$3:$A$5001,"&lt;="&amp;$B185,Base!$X$3:$X$5001,"&lt;&gt;"))))</f>
        <v>1800</v>
      </c>
    </row>
    <row r="186">
      <c r="A186">
        <v>24</v>
      </c>
      <c r="B186" s="152">
        <f>$B$35</f>
        <v>46289</v>
      </c>
      <c r="C186">
        <f>IF($A186&gt;$B$9,"",IF(COUNTIFS(Base!$B$3:$B$5001,C$162,Base!$A$3:$A$5001,"&gt;="&amp;$C$7,Base!$A$3:$A$5001,"&lt;="&amp;$B186,Base!$X$3:$X$5001,"&lt;&gt;")=0,"",SUMIFS(Base!$X$3:$X$5001,Base!$B$3:$B$5001,C$162,Base!$A$3:$A$5001,_xlfn.MAXIFS(Base!$A$3:$A$5001,Base!$B$3:$B$5001,C$162,Base!$A$3:$A$5001,"&gt;="&amp;$C$7,Base!$A$3:$A$5001,"&lt;="&amp;$B186,Base!$X$3:$X$5001,"&lt;&gt;"))))</f>
        <v>2200</v>
      </c>
      <c r="D186">
        <f>IF($A186&gt;$B$9,"",IF(COUNTIFS(Base!$B$3:$B$5001,D$162,Base!$A$3:$A$5001,"&gt;="&amp;$C$7,Base!$A$3:$A$5001,"&lt;="&amp;$B186,Base!$X$3:$X$5001,"&lt;&gt;")=0,"",SUMIFS(Base!$X$3:$X$5001,Base!$B$3:$B$5001,D$162,Base!$A$3:$A$5001,_xlfn.MAXIFS(Base!$A$3:$A$5001,Base!$B$3:$B$5001,D$162,Base!$A$3:$A$5001,"&gt;="&amp;$C$7,Base!$A$3:$A$5001,"&lt;="&amp;$B186,Base!$X$3:$X$5001,"&lt;&gt;"))))</f>
        <v>1200</v>
      </c>
      <c r="E186">
        <f>IF($A186&gt;$B$9,"",IF(COUNTIFS(Base!$B$3:$B$5001,E$162,Base!$A$3:$A$5001,"&gt;="&amp;$C$7,Base!$A$3:$A$5001,"&lt;="&amp;$B186,Base!$X$3:$X$5001,"&lt;&gt;")=0,"",SUMIFS(Base!$X$3:$X$5001,Base!$B$3:$B$5001,E$162,Base!$A$3:$A$5001,_xlfn.MAXIFS(Base!$A$3:$A$5001,Base!$B$3:$B$5001,E$162,Base!$A$3:$A$5001,"&gt;="&amp;$C$7,Base!$A$3:$A$5001,"&lt;="&amp;$B186,Base!$X$3:$X$5001,"&lt;&gt;"))))</f>
        <v>3500</v>
      </c>
      <c r="F186">
        <f>IF($A186&gt;$B$9,"",IF(COUNTIFS(Base!$B$3:$B$5001,F$162,Base!$A$3:$A$5001,"&gt;="&amp;$C$7,Base!$A$3:$A$5001,"&lt;="&amp;$B186,Base!$X$3:$X$5001,"&lt;&gt;")=0,"",SUMIFS(Base!$X$3:$X$5001,Base!$B$3:$B$5001,F$162,Base!$A$3:$A$5001,_xlfn.MAXIFS(Base!$A$3:$A$5001,Base!$B$3:$B$5001,F$162,Base!$A$3:$A$5001,"&gt;="&amp;$C$7,Base!$A$3:$A$5001,"&lt;="&amp;$B186,Base!$X$3:$X$5001,"&lt;&gt;"))))</f>
        <v>1600</v>
      </c>
      <c r="G186">
        <f>IF($A186&gt;$B$9,"",IF(COUNTIFS(Base!$B$3:$B$5001,G$162,Base!$A$3:$A$5001,"&gt;="&amp;$C$7,Base!$A$3:$A$5001,"&lt;="&amp;$B186,Base!$X$3:$X$5001,"&lt;&gt;")=0,"",SUMIFS(Base!$X$3:$X$5001,Base!$B$3:$B$5001,G$162,Base!$A$3:$A$5001,_xlfn.MAXIFS(Base!$A$3:$A$5001,Base!$B$3:$B$5001,G$162,Base!$A$3:$A$5001,"&gt;="&amp;$C$7,Base!$A$3:$A$5001,"&lt;="&amp;$B186,Base!$X$3:$X$5001,"&lt;&gt;"))))</f>
        <v>900</v>
      </c>
      <c r="H186">
        <f>IF($A186&gt;$B$9,"",IF(COUNTIFS(Base!$B$3:$B$5001,H$162,Base!$A$3:$A$5001,"&gt;="&amp;$C$7,Base!$A$3:$A$5001,"&lt;="&amp;$B186,Base!$X$3:$X$5001,"&lt;&gt;")=0,"",SUMIFS(Base!$X$3:$X$5001,Base!$B$3:$B$5001,H$162,Base!$A$3:$A$5001,_xlfn.MAXIFS(Base!$A$3:$A$5001,Base!$B$3:$B$5001,H$162,Base!$A$3:$A$5001,"&gt;="&amp;$C$7,Base!$A$3:$A$5001,"&lt;="&amp;$B186,Base!$X$3:$X$5001,"&lt;&gt;"))))</f>
        <v>600</v>
      </c>
      <c r="I186">
        <f>IF($A186&gt;$B$9,"",IF(COUNTIFS(Base!$B$3:$B$5001,I$162,Base!$A$3:$A$5001,"&gt;="&amp;$C$7,Base!$A$3:$A$5001,"&lt;="&amp;$B186,Base!$X$3:$X$5001,"&lt;&gt;")=0,"",SUMIFS(Base!$X$3:$X$5001,Base!$B$3:$B$5001,I$162,Base!$A$3:$A$5001,_xlfn.MAXIFS(Base!$A$3:$A$5001,Base!$B$3:$B$5001,I$162,Base!$A$3:$A$5001,"&gt;="&amp;$C$7,Base!$A$3:$A$5001,"&lt;="&amp;$B186,Base!$X$3:$X$5001,"&lt;&gt;"))))</f>
        <v>1400</v>
      </c>
      <c r="J186">
        <f>IF($A186&gt;$B$9,"",IF(COUNTIFS(Base!$B$3:$B$5001,J$162,Base!$A$3:$A$5001,"&gt;="&amp;$C$7,Base!$A$3:$A$5001,"&lt;="&amp;$B186,Base!$X$3:$X$5001,"&lt;&gt;")=0,"",SUMIFS(Base!$X$3:$X$5001,Base!$B$3:$B$5001,J$162,Base!$A$3:$A$5001,_xlfn.MAXIFS(Base!$A$3:$A$5001,Base!$B$3:$B$5001,J$162,Base!$A$3:$A$5001,"&gt;="&amp;$C$7,Base!$A$3:$A$5001,"&lt;="&amp;$B186,Base!$X$3:$X$5001,"&lt;&gt;"))))</f>
        <v>500</v>
      </c>
      <c r="K186">
        <f>IF($A186&gt;$B$9,"",IF(COUNTIFS(Base!$B$3:$B$5001,K$162,Base!$A$3:$A$5001,"&gt;="&amp;$C$7,Base!$A$3:$A$5001,"&lt;="&amp;$B186,Base!$X$3:$X$5001,"&lt;&gt;")=0,"",SUMIFS(Base!$X$3:$X$5001,Base!$B$3:$B$5001,K$162,Base!$A$3:$A$5001,_xlfn.MAXIFS(Base!$A$3:$A$5001,Base!$B$3:$B$5001,K$162,Base!$A$3:$A$5001,"&gt;="&amp;$C$7,Base!$A$3:$A$5001,"&lt;="&amp;$B186,Base!$X$3:$X$5001,"&lt;&gt;"))))</f>
        <v>1800</v>
      </c>
    </row>
    <row r="187">
      <c r="A187">
        <v>25</v>
      </c>
      <c r="B187" s="152">
        <f>$B$36</f>
        <v>46290</v>
      </c>
      <c r="C187">
        <f>IF($A187&gt;$B$9,"",IF(COUNTIFS(Base!$B$3:$B$5001,C$162,Base!$A$3:$A$5001,"&gt;="&amp;$C$7,Base!$A$3:$A$5001,"&lt;="&amp;$B187,Base!$X$3:$X$5001,"&lt;&gt;")=0,"",SUMIFS(Base!$X$3:$X$5001,Base!$B$3:$B$5001,C$162,Base!$A$3:$A$5001,_xlfn.MAXIFS(Base!$A$3:$A$5001,Base!$B$3:$B$5001,C$162,Base!$A$3:$A$5001,"&gt;="&amp;$C$7,Base!$A$3:$A$5001,"&lt;="&amp;$B187,Base!$X$3:$X$5001,"&lt;&gt;"))))</f>
        <v>2200</v>
      </c>
      <c r="D187">
        <f>IF($A187&gt;$B$9,"",IF(COUNTIFS(Base!$B$3:$B$5001,D$162,Base!$A$3:$A$5001,"&gt;="&amp;$C$7,Base!$A$3:$A$5001,"&lt;="&amp;$B187,Base!$X$3:$X$5001,"&lt;&gt;")=0,"",SUMIFS(Base!$X$3:$X$5001,Base!$B$3:$B$5001,D$162,Base!$A$3:$A$5001,_xlfn.MAXIFS(Base!$A$3:$A$5001,Base!$B$3:$B$5001,D$162,Base!$A$3:$A$5001,"&gt;="&amp;$C$7,Base!$A$3:$A$5001,"&lt;="&amp;$B187,Base!$X$3:$X$5001,"&lt;&gt;"))))</f>
        <v>1200</v>
      </c>
      <c r="E187">
        <f>IF($A187&gt;$B$9,"",IF(COUNTIFS(Base!$B$3:$B$5001,E$162,Base!$A$3:$A$5001,"&gt;="&amp;$C$7,Base!$A$3:$A$5001,"&lt;="&amp;$B187,Base!$X$3:$X$5001,"&lt;&gt;")=0,"",SUMIFS(Base!$X$3:$X$5001,Base!$B$3:$B$5001,E$162,Base!$A$3:$A$5001,_xlfn.MAXIFS(Base!$A$3:$A$5001,Base!$B$3:$B$5001,E$162,Base!$A$3:$A$5001,"&gt;="&amp;$C$7,Base!$A$3:$A$5001,"&lt;="&amp;$B187,Base!$X$3:$X$5001,"&lt;&gt;"))))</f>
        <v>3500</v>
      </c>
      <c r="F187">
        <f>IF($A187&gt;$B$9,"",IF(COUNTIFS(Base!$B$3:$B$5001,F$162,Base!$A$3:$A$5001,"&gt;="&amp;$C$7,Base!$A$3:$A$5001,"&lt;="&amp;$B187,Base!$X$3:$X$5001,"&lt;&gt;")=0,"",SUMIFS(Base!$X$3:$X$5001,Base!$B$3:$B$5001,F$162,Base!$A$3:$A$5001,_xlfn.MAXIFS(Base!$A$3:$A$5001,Base!$B$3:$B$5001,F$162,Base!$A$3:$A$5001,"&gt;="&amp;$C$7,Base!$A$3:$A$5001,"&lt;="&amp;$B187,Base!$X$3:$X$5001,"&lt;&gt;"))))</f>
        <v>1600</v>
      </c>
      <c r="G187">
        <f>IF($A187&gt;$B$9,"",IF(COUNTIFS(Base!$B$3:$B$5001,G$162,Base!$A$3:$A$5001,"&gt;="&amp;$C$7,Base!$A$3:$A$5001,"&lt;="&amp;$B187,Base!$X$3:$X$5001,"&lt;&gt;")=0,"",SUMIFS(Base!$X$3:$X$5001,Base!$B$3:$B$5001,G$162,Base!$A$3:$A$5001,_xlfn.MAXIFS(Base!$A$3:$A$5001,Base!$B$3:$B$5001,G$162,Base!$A$3:$A$5001,"&gt;="&amp;$C$7,Base!$A$3:$A$5001,"&lt;="&amp;$B187,Base!$X$3:$X$5001,"&lt;&gt;"))))</f>
        <v>900</v>
      </c>
      <c r="H187">
        <f>IF($A187&gt;$B$9,"",IF(COUNTIFS(Base!$B$3:$B$5001,H$162,Base!$A$3:$A$5001,"&gt;="&amp;$C$7,Base!$A$3:$A$5001,"&lt;="&amp;$B187,Base!$X$3:$X$5001,"&lt;&gt;")=0,"",SUMIFS(Base!$X$3:$X$5001,Base!$B$3:$B$5001,H$162,Base!$A$3:$A$5001,_xlfn.MAXIFS(Base!$A$3:$A$5001,Base!$B$3:$B$5001,H$162,Base!$A$3:$A$5001,"&gt;="&amp;$C$7,Base!$A$3:$A$5001,"&lt;="&amp;$B187,Base!$X$3:$X$5001,"&lt;&gt;"))))</f>
        <v>600</v>
      </c>
      <c r="I187">
        <f>IF($A187&gt;$B$9,"",IF(COUNTIFS(Base!$B$3:$B$5001,I$162,Base!$A$3:$A$5001,"&gt;="&amp;$C$7,Base!$A$3:$A$5001,"&lt;="&amp;$B187,Base!$X$3:$X$5001,"&lt;&gt;")=0,"",SUMIFS(Base!$X$3:$X$5001,Base!$B$3:$B$5001,I$162,Base!$A$3:$A$5001,_xlfn.MAXIFS(Base!$A$3:$A$5001,Base!$B$3:$B$5001,I$162,Base!$A$3:$A$5001,"&gt;="&amp;$C$7,Base!$A$3:$A$5001,"&lt;="&amp;$B187,Base!$X$3:$X$5001,"&lt;&gt;"))))</f>
        <v>1400</v>
      </c>
      <c r="J187">
        <f>IF($A187&gt;$B$9,"",IF(COUNTIFS(Base!$B$3:$B$5001,J$162,Base!$A$3:$A$5001,"&gt;="&amp;$C$7,Base!$A$3:$A$5001,"&lt;="&amp;$B187,Base!$X$3:$X$5001,"&lt;&gt;")=0,"",SUMIFS(Base!$X$3:$X$5001,Base!$B$3:$B$5001,J$162,Base!$A$3:$A$5001,_xlfn.MAXIFS(Base!$A$3:$A$5001,Base!$B$3:$B$5001,J$162,Base!$A$3:$A$5001,"&gt;="&amp;$C$7,Base!$A$3:$A$5001,"&lt;="&amp;$B187,Base!$X$3:$X$5001,"&lt;&gt;"))))</f>
        <v>500</v>
      </c>
      <c r="K187">
        <f>IF($A187&gt;$B$9,"",IF(COUNTIFS(Base!$B$3:$B$5001,K$162,Base!$A$3:$A$5001,"&gt;="&amp;$C$7,Base!$A$3:$A$5001,"&lt;="&amp;$B187,Base!$X$3:$X$5001,"&lt;&gt;")=0,"",SUMIFS(Base!$X$3:$X$5001,Base!$B$3:$B$5001,K$162,Base!$A$3:$A$5001,_xlfn.MAXIFS(Base!$A$3:$A$5001,Base!$B$3:$B$5001,K$162,Base!$A$3:$A$5001,"&gt;="&amp;$C$7,Base!$A$3:$A$5001,"&lt;="&amp;$B187,Base!$X$3:$X$5001,"&lt;&gt;"))))</f>
        <v>1800</v>
      </c>
    </row>
    <row r="188">
      <c r="A188">
        <v>26</v>
      </c>
      <c r="B188" s="152">
        <f>$B$37</f>
        <v>46291</v>
      </c>
      <c r="C188">
        <f>IF($A188&gt;$B$9,"",IF(COUNTIFS(Base!$B$3:$B$5001,C$162,Base!$A$3:$A$5001,"&gt;="&amp;$C$7,Base!$A$3:$A$5001,"&lt;="&amp;$B188,Base!$X$3:$X$5001,"&lt;&gt;")=0,"",SUMIFS(Base!$X$3:$X$5001,Base!$B$3:$B$5001,C$162,Base!$A$3:$A$5001,_xlfn.MAXIFS(Base!$A$3:$A$5001,Base!$B$3:$B$5001,C$162,Base!$A$3:$A$5001,"&gt;="&amp;$C$7,Base!$A$3:$A$5001,"&lt;="&amp;$B188,Base!$X$3:$X$5001,"&lt;&gt;"))))</f>
        <v>2200</v>
      </c>
      <c r="D188">
        <f>IF($A188&gt;$B$9,"",IF(COUNTIFS(Base!$B$3:$B$5001,D$162,Base!$A$3:$A$5001,"&gt;="&amp;$C$7,Base!$A$3:$A$5001,"&lt;="&amp;$B188,Base!$X$3:$X$5001,"&lt;&gt;")=0,"",SUMIFS(Base!$X$3:$X$5001,Base!$B$3:$B$5001,D$162,Base!$A$3:$A$5001,_xlfn.MAXIFS(Base!$A$3:$A$5001,Base!$B$3:$B$5001,D$162,Base!$A$3:$A$5001,"&gt;="&amp;$C$7,Base!$A$3:$A$5001,"&lt;="&amp;$B188,Base!$X$3:$X$5001,"&lt;&gt;"))))</f>
        <v>1200</v>
      </c>
      <c r="E188">
        <f>IF($A188&gt;$B$9,"",IF(COUNTIFS(Base!$B$3:$B$5001,E$162,Base!$A$3:$A$5001,"&gt;="&amp;$C$7,Base!$A$3:$A$5001,"&lt;="&amp;$B188,Base!$X$3:$X$5001,"&lt;&gt;")=0,"",SUMIFS(Base!$X$3:$X$5001,Base!$B$3:$B$5001,E$162,Base!$A$3:$A$5001,_xlfn.MAXIFS(Base!$A$3:$A$5001,Base!$B$3:$B$5001,E$162,Base!$A$3:$A$5001,"&gt;="&amp;$C$7,Base!$A$3:$A$5001,"&lt;="&amp;$B188,Base!$X$3:$X$5001,"&lt;&gt;"))))</f>
        <v>3500</v>
      </c>
      <c r="F188">
        <f>IF($A188&gt;$B$9,"",IF(COUNTIFS(Base!$B$3:$B$5001,F$162,Base!$A$3:$A$5001,"&gt;="&amp;$C$7,Base!$A$3:$A$5001,"&lt;="&amp;$B188,Base!$X$3:$X$5001,"&lt;&gt;")=0,"",SUMIFS(Base!$X$3:$X$5001,Base!$B$3:$B$5001,F$162,Base!$A$3:$A$5001,_xlfn.MAXIFS(Base!$A$3:$A$5001,Base!$B$3:$B$5001,F$162,Base!$A$3:$A$5001,"&gt;="&amp;$C$7,Base!$A$3:$A$5001,"&lt;="&amp;$B188,Base!$X$3:$X$5001,"&lt;&gt;"))))</f>
        <v>1600</v>
      </c>
      <c r="G188">
        <f>IF($A188&gt;$B$9,"",IF(COUNTIFS(Base!$B$3:$B$5001,G$162,Base!$A$3:$A$5001,"&gt;="&amp;$C$7,Base!$A$3:$A$5001,"&lt;="&amp;$B188,Base!$X$3:$X$5001,"&lt;&gt;")=0,"",SUMIFS(Base!$X$3:$X$5001,Base!$B$3:$B$5001,G$162,Base!$A$3:$A$5001,_xlfn.MAXIFS(Base!$A$3:$A$5001,Base!$B$3:$B$5001,G$162,Base!$A$3:$A$5001,"&gt;="&amp;$C$7,Base!$A$3:$A$5001,"&lt;="&amp;$B188,Base!$X$3:$X$5001,"&lt;&gt;"))))</f>
        <v>900</v>
      </c>
      <c r="H188">
        <f>IF($A188&gt;$B$9,"",IF(COUNTIFS(Base!$B$3:$B$5001,H$162,Base!$A$3:$A$5001,"&gt;="&amp;$C$7,Base!$A$3:$A$5001,"&lt;="&amp;$B188,Base!$X$3:$X$5001,"&lt;&gt;")=0,"",SUMIFS(Base!$X$3:$X$5001,Base!$B$3:$B$5001,H$162,Base!$A$3:$A$5001,_xlfn.MAXIFS(Base!$A$3:$A$5001,Base!$B$3:$B$5001,H$162,Base!$A$3:$A$5001,"&gt;="&amp;$C$7,Base!$A$3:$A$5001,"&lt;="&amp;$B188,Base!$X$3:$X$5001,"&lt;&gt;"))))</f>
        <v>600</v>
      </c>
      <c r="I188">
        <f>IF($A188&gt;$B$9,"",IF(COUNTIFS(Base!$B$3:$B$5001,I$162,Base!$A$3:$A$5001,"&gt;="&amp;$C$7,Base!$A$3:$A$5001,"&lt;="&amp;$B188,Base!$X$3:$X$5001,"&lt;&gt;")=0,"",SUMIFS(Base!$X$3:$X$5001,Base!$B$3:$B$5001,I$162,Base!$A$3:$A$5001,_xlfn.MAXIFS(Base!$A$3:$A$5001,Base!$B$3:$B$5001,I$162,Base!$A$3:$A$5001,"&gt;="&amp;$C$7,Base!$A$3:$A$5001,"&lt;="&amp;$B188,Base!$X$3:$X$5001,"&lt;&gt;"))))</f>
        <v>1400</v>
      </c>
      <c r="J188">
        <f>IF($A188&gt;$B$9,"",IF(COUNTIFS(Base!$B$3:$B$5001,J$162,Base!$A$3:$A$5001,"&gt;="&amp;$C$7,Base!$A$3:$A$5001,"&lt;="&amp;$B188,Base!$X$3:$X$5001,"&lt;&gt;")=0,"",SUMIFS(Base!$X$3:$X$5001,Base!$B$3:$B$5001,J$162,Base!$A$3:$A$5001,_xlfn.MAXIFS(Base!$A$3:$A$5001,Base!$B$3:$B$5001,J$162,Base!$A$3:$A$5001,"&gt;="&amp;$C$7,Base!$A$3:$A$5001,"&lt;="&amp;$B188,Base!$X$3:$X$5001,"&lt;&gt;"))))</f>
        <v>500</v>
      </c>
      <c r="K188">
        <f>IF($A188&gt;$B$9,"",IF(COUNTIFS(Base!$B$3:$B$5001,K$162,Base!$A$3:$A$5001,"&gt;="&amp;$C$7,Base!$A$3:$A$5001,"&lt;="&amp;$B188,Base!$X$3:$X$5001,"&lt;&gt;")=0,"",SUMIFS(Base!$X$3:$X$5001,Base!$B$3:$B$5001,K$162,Base!$A$3:$A$5001,_xlfn.MAXIFS(Base!$A$3:$A$5001,Base!$B$3:$B$5001,K$162,Base!$A$3:$A$5001,"&gt;="&amp;$C$7,Base!$A$3:$A$5001,"&lt;="&amp;$B188,Base!$X$3:$X$5001,"&lt;&gt;"))))</f>
        <v>1800</v>
      </c>
    </row>
    <row r="189">
      <c r="A189">
        <v>27</v>
      </c>
      <c r="B189" s="152">
        <f>$B$38</f>
        <v>46292</v>
      </c>
      <c r="C189">
        <f>IF($A189&gt;$B$9,"",IF(COUNTIFS(Base!$B$3:$B$5001,C$162,Base!$A$3:$A$5001,"&gt;="&amp;$C$7,Base!$A$3:$A$5001,"&lt;="&amp;$B189,Base!$X$3:$X$5001,"&lt;&gt;")=0,"",SUMIFS(Base!$X$3:$X$5001,Base!$B$3:$B$5001,C$162,Base!$A$3:$A$5001,_xlfn.MAXIFS(Base!$A$3:$A$5001,Base!$B$3:$B$5001,C$162,Base!$A$3:$A$5001,"&gt;="&amp;$C$7,Base!$A$3:$A$5001,"&lt;="&amp;$B189,Base!$X$3:$X$5001,"&lt;&gt;"))))</f>
        <v>2200</v>
      </c>
      <c r="D189">
        <f>IF($A189&gt;$B$9,"",IF(COUNTIFS(Base!$B$3:$B$5001,D$162,Base!$A$3:$A$5001,"&gt;="&amp;$C$7,Base!$A$3:$A$5001,"&lt;="&amp;$B189,Base!$X$3:$X$5001,"&lt;&gt;")=0,"",SUMIFS(Base!$X$3:$X$5001,Base!$B$3:$B$5001,D$162,Base!$A$3:$A$5001,_xlfn.MAXIFS(Base!$A$3:$A$5001,Base!$B$3:$B$5001,D$162,Base!$A$3:$A$5001,"&gt;="&amp;$C$7,Base!$A$3:$A$5001,"&lt;="&amp;$B189,Base!$X$3:$X$5001,"&lt;&gt;"))))</f>
        <v>1200</v>
      </c>
      <c r="E189">
        <f>IF($A189&gt;$B$9,"",IF(COUNTIFS(Base!$B$3:$B$5001,E$162,Base!$A$3:$A$5001,"&gt;="&amp;$C$7,Base!$A$3:$A$5001,"&lt;="&amp;$B189,Base!$X$3:$X$5001,"&lt;&gt;")=0,"",SUMIFS(Base!$X$3:$X$5001,Base!$B$3:$B$5001,E$162,Base!$A$3:$A$5001,_xlfn.MAXIFS(Base!$A$3:$A$5001,Base!$B$3:$B$5001,E$162,Base!$A$3:$A$5001,"&gt;="&amp;$C$7,Base!$A$3:$A$5001,"&lt;="&amp;$B189,Base!$X$3:$X$5001,"&lt;&gt;"))))</f>
        <v>3500</v>
      </c>
      <c r="F189">
        <f>IF($A189&gt;$B$9,"",IF(COUNTIFS(Base!$B$3:$B$5001,F$162,Base!$A$3:$A$5001,"&gt;="&amp;$C$7,Base!$A$3:$A$5001,"&lt;="&amp;$B189,Base!$X$3:$X$5001,"&lt;&gt;")=0,"",SUMIFS(Base!$X$3:$X$5001,Base!$B$3:$B$5001,F$162,Base!$A$3:$A$5001,_xlfn.MAXIFS(Base!$A$3:$A$5001,Base!$B$3:$B$5001,F$162,Base!$A$3:$A$5001,"&gt;="&amp;$C$7,Base!$A$3:$A$5001,"&lt;="&amp;$B189,Base!$X$3:$X$5001,"&lt;&gt;"))))</f>
        <v>1600</v>
      </c>
      <c r="G189">
        <f>IF($A189&gt;$B$9,"",IF(COUNTIFS(Base!$B$3:$B$5001,G$162,Base!$A$3:$A$5001,"&gt;="&amp;$C$7,Base!$A$3:$A$5001,"&lt;="&amp;$B189,Base!$X$3:$X$5001,"&lt;&gt;")=0,"",SUMIFS(Base!$X$3:$X$5001,Base!$B$3:$B$5001,G$162,Base!$A$3:$A$5001,_xlfn.MAXIFS(Base!$A$3:$A$5001,Base!$B$3:$B$5001,G$162,Base!$A$3:$A$5001,"&gt;="&amp;$C$7,Base!$A$3:$A$5001,"&lt;="&amp;$B189,Base!$X$3:$X$5001,"&lt;&gt;"))))</f>
        <v>900</v>
      </c>
      <c r="H189">
        <f>IF($A189&gt;$B$9,"",IF(COUNTIFS(Base!$B$3:$B$5001,H$162,Base!$A$3:$A$5001,"&gt;="&amp;$C$7,Base!$A$3:$A$5001,"&lt;="&amp;$B189,Base!$X$3:$X$5001,"&lt;&gt;")=0,"",SUMIFS(Base!$X$3:$X$5001,Base!$B$3:$B$5001,H$162,Base!$A$3:$A$5001,_xlfn.MAXIFS(Base!$A$3:$A$5001,Base!$B$3:$B$5001,H$162,Base!$A$3:$A$5001,"&gt;="&amp;$C$7,Base!$A$3:$A$5001,"&lt;="&amp;$B189,Base!$X$3:$X$5001,"&lt;&gt;"))))</f>
        <v>600</v>
      </c>
      <c r="I189">
        <f>IF($A189&gt;$B$9,"",IF(COUNTIFS(Base!$B$3:$B$5001,I$162,Base!$A$3:$A$5001,"&gt;="&amp;$C$7,Base!$A$3:$A$5001,"&lt;="&amp;$B189,Base!$X$3:$X$5001,"&lt;&gt;")=0,"",SUMIFS(Base!$X$3:$X$5001,Base!$B$3:$B$5001,I$162,Base!$A$3:$A$5001,_xlfn.MAXIFS(Base!$A$3:$A$5001,Base!$B$3:$B$5001,I$162,Base!$A$3:$A$5001,"&gt;="&amp;$C$7,Base!$A$3:$A$5001,"&lt;="&amp;$B189,Base!$X$3:$X$5001,"&lt;&gt;"))))</f>
        <v>1400</v>
      </c>
      <c r="J189">
        <f>IF($A189&gt;$B$9,"",IF(COUNTIFS(Base!$B$3:$B$5001,J$162,Base!$A$3:$A$5001,"&gt;="&amp;$C$7,Base!$A$3:$A$5001,"&lt;="&amp;$B189,Base!$X$3:$X$5001,"&lt;&gt;")=0,"",SUMIFS(Base!$X$3:$X$5001,Base!$B$3:$B$5001,J$162,Base!$A$3:$A$5001,_xlfn.MAXIFS(Base!$A$3:$A$5001,Base!$B$3:$B$5001,J$162,Base!$A$3:$A$5001,"&gt;="&amp;$C$7,Base!$A$3:$A$5001,"&lt;="&amp;$B189,Base!$X$3:$X$5001,"&lt;&gt;"))))</f>
        <v>500</v>
      </c>
      <c r="K189">
        <f>IF($A189&gt;$B$9,"",IF(COUNTIFS(Base!$B$3:$B$5001,K$162,Base!$A$3:$A$5001,"&gt;="&amp;$C$7,Base!$A$3:$A$5001,"&lt;="&amp;$B189,Base!$X$3:$X$5001,"&lt;&gt;")=0,"",SUMIFS(Base!$X$3:$X$5001,Base!$B$3:$B$5001,K$162,Base!$A$3:$A$5001,_xlfn.MAXIFS(Base!$A$3:$A$5001,Base!$B$3:$B$5001,K$162,Base!$A$3:$A$5001,"&gt;="&amp;$C$7,Base!$A$3:$A$5001,"&lt;="&amp;$B189,Base!$X$3:$X$5001,"&lt;&gt;"))))</f>
        <v>1800</v>
      </c>
    </row>
    <row r="190">
      <c r="A190">
        <v>28</v>
      </c>
      <c r="B190" s="152">
        <f>$B$39</f>
        <v>46293</v>
      </c>
      <c r="C190">
        <f>IF($A190&gt;$B$9,"",IF(COUNTIFS(Base!$B$3:$B$5001,C$162,Base!$A$3:$A$5001,"&gt;="&amp;$C$7,Base!$A$3:$A$5001,"&lt;="&amp;$B190,Base!$X$3:$X$5001,"&lt;&gt;")=0,"",SUMIFS(Base!$X$3:$X$5001,Base!$B$3:$B$5001,C$162,Base!$A$3:$A$5001,_xlfn.MAXIFS(Base!$A$3:$A$5001,Base!$B$3:$B$5001,C$162,Base!$A$3:$A$5001,"&gt;="&amp;$C$7,Base!$A$3:$A$5001,"&lt;="&amp;$B190,Base!$X$3:$X$5001,"&lt;&gt;"))))</f>
        <v>2200</v>
      </c>
      <c r="D190">
        <f>IF($A190&gt;$B$9,"",IF(COUNTIFS(Base!$B$3:$B$5001,D$162,Base!$A$3:$A$5001,"&gt;="&amp;$C$7,Base!$A$3:$A$5001,"&lt;="&amp;$B190,Base!$X$3:$X$5001,"&lt;&gt;")=0,"",SUMIFS(Base!$X$3:$X$5001,Base!$B$3:$B$5001,D$162,Base!$A$3:$A$5001,_xlfn.MAXIFS(Base!$A$3:$A$5001,Base!$B$3:$B$5001,D$162,Base!$A$3:$A$5001,"&gt;="&amp;$C$7,Base!$A$3:$A$5001,"&lt;="&amp;$B190,Base!$X$3:$X$5001,"&lt;&gt;"))))</f>
        <v>1200</v>
      </c>
      <c r="E190">
        <f>IF($A190&gt;$B$9,"",IF(COUNTIFS(Base!$B$3:$B$5001,E$162,Base!$A$3:$A$5001,"&gt;="&amp;$C$7,Base!$A$3:$A$5001,"&lt;="&amp;$B190,Base!$X$3:$X$5001,"&lt;&gt;")=0,"",SUMIFS(Base!$X$3:$X$5001,Base!$B$3:$B$5001,E$162,Base!$A$3:$A$5001,_xlfn.MAXIFS(Base!$A$3:$A$5001,Base!$B$3:$B$5001,E$162,Base!$A$3:$A$5001,"&gt;="&amp;$C$7,Base!$A$3:$A$5001,"&lt;="&amp;$B190,Base!$X$3:$X$5001,"&lt;&gt;"))))</f>
        <v>3500</v>
      </c>
      <c r="F190">
        <f>IF($A190&gt;$B$9,"",IF(COUNTIFS(Base!$B$3:$B$5001,F$162,Base!$A$3:$A$5001,"&gt;="&amp;$C$7,Base!$A$3:$A$5001,"&lt;="&amp;$B190,Base!$X$3:$X$5001,"&lt;&gt;")=0,"",SUMIFS(Base!$X$3:$X$5001,Base!$B$3:$B$5001,F$162,Base!$A$3:$A$5001,_xlfn.MAXIFS(Base!$A$3:$A$5001,Base!$B$3:$B$5001,F$162,Base!$A$3:$A$5001,"&gt;="&amp;$C$7,Base!$A$3:$A$5001,"&lt;="&amp;$B190,Base!$X$3:$X$5001,"&lt;&gt;"))))</f>
        <v>1600</v>
      </c>
      <c r="G190">
        <f>IF($A190&gt;$B$9,"",IF(COUNTIFS(Base!$B$3:$B$5001,G$162,Base!$A$3:$A$5001,"&gt;="&amp;$C$7,Base!$A$3:$A$5001,"&lt;="&amp;$B190,Base!$X$3:$X$5001,"&lt;&gt;")=0,"",SUMIFS(Base!$X$3:$X$5001,Base!$B$3:$B$5001,G$162,Base!$A$3:$A$5001,_xlfn.MAXIFS(Base!$A$3:$A$5001,Base!$B$3:$B$5001,G$162,Base!$A$3:$A$5001,"&gt;="&amp;$C$7,Base!$A$3:$A$5001,"&lt;="&amp;$B190,Base!$X$3:$X$5001,"&lt;&gt;"))))</f>
        <v>900</v>
      </c>
      <c r="H190">
        <f>IF($A190&gt;$B$9,"",IF(COUNTIFS(Base!$B$3:$B$5001,H$162,Base!$A$3:$A$5001,"&gt;="&amp;$C$7,Base!$A$3:$A$5001,"&lt;="&amp;$B190,Base!$X$3:$X$5001,"&lt;&gt;")=0,"",SUMIFS(Base!$X$3:$X$5001,Base!$B$3:$B$5001,H$162,Base!$A$3:$A$5001,_xlfn.MAXIFS(Base!$A$3:$A$5001,Base!$B$3:$B$5001,H$162,Base!$A$3:$A$5001,"&gt;="&amp;$C$7,Base!$A$3:$A$5001,"&lt;="&amp;$B190,Base!$X$3:$X$5001,"&lt;&gt;"))))</f>
        <v>600</v>
      </c>
      <c r="I190">
        <f>IF($A190&gt;$B$9,"",IF(COUNTIFS(Base!$B$3:$B$5001,I$162,Base!$A$3:$A$5001,"&gt;="&amp;$C$7,Base!$A$3:$A$5001,"&lt;="&amp;$B190,Base!$X$3:$X$5001,"&lt;&gt;")=0,"",SUMIFS(Base!$X$3:$X$5001,Base!$B$3:$B$5001,I$162,Base!$A$3:$A$5001,_xlfn.MAXIFS(Base!$A$3:$A$5001,Base!$B$3:$B$5001,I$162,Base!$A$3:$A$5001,"&gt;="&amp;$C$7,Base!$A$3:$A$5001,"&lt;="&amp;$B190,Base!$X$3:$X$5001,"&lt;&gt;"))))</f>
        <v>1400</v>
      </c>
      <c r="J190">
        <f>IF($A190&gt;$B$9,"",IF(COUNTIFS(Base!$B$3:$B$5001,J$162,Base!$A$3:$A$5001,"&gt;="&amp;$C$7,Base!$A$3:$A$5001,"&lt;="&amp;$B190,Base!$X$3:$X$5001,"&lt;&gt;")=0,"",SUMIFS(Base!$X$3:$X$5001,Base!$B$3:$B$5001,J$162,Base!$A$3:$A$5001,_xlfn.MAXIFS(Base!$A$3:$A$5001,Base!$B$3:$B$5001,J$162,Base!$A$3:$A$5001,"&gt;="&amp;$C$7,Base!$A$3:$A$5001,"&lt;="&amp;$B190,Base!$X$3:$X$5001,"&lt;&gt;"))))</f>
        <v>500</v>
      </c>
      <c r="K190">
        <f>IF($A190&gt;$B$9,"",IF(COUNTIFS(Base!$B$3:$B$5001,K$162,Base!$A$3:$A$5001,"&gt;="&amp;$C$7,Base!$A$3:$A$5001,"&lt;="&amp;$B190,Base!$X$3:$X$5001,"&lt;&gt;")=0,"",SUMIFS(Base!$X$3:$X$5001,Base!$B$3:$B$5001,K$162,Base!$A$3:$A$5001,_xlfn.MAXIFS(Base!$A$3:$A$5001,Base!$B$3:$B$5001,K$162,Base!$A$3:$A$5001,"&gt;="&amp;$C$7,Base!$A$3:$A$5001,"&lt;="&amp;$B190,Base!$X$3:$X$5001,"&lt;&gt;"))))</f>
        <v>1800</v>
      </c>
    </row>
    <row r="191">
      <c r="A191">
        <v>29</v>
      </c>
      <c r="B191" s="152">
        <f>$B$40</f>
        <v>46294</v>
      </c>
      <c r="C191">
        <f>IF($A191&gt;$B$9,"",IF(COUNTIFS(Base!$B$3:$B$5001,C$162,Base!$A$3:$A$5001,"&gt;="&amp;$C$7,Base!$A$3:$A$5001,"&lt;="&amp;$B191,Base!$X$3:$X$5001,"&lt;&gt;")=0,"",SUMIFS(Base!$X$3:$X$5001,Base!$B$3:$B$5001,C$162,Base!$A$3:$A$5001,_xlfn.MAXIFS(Base!$A$3:$A$5001,Base!$B$3:$B$5001,C$162,Base!$A$3:$A$5001,"&gt;="&amp;$C$7,Base!$A$3:$A$5001,"&lt;="&amp;$B191,Base!$X$3:$X$5001,"&lt;&gt;"))))</f>
        <v>2200</v>
      </c>
      <c r="D191">
        <f>IF($A191&gt;$B$9,"",IF(COUNTIFS(Base!$B$3:$B$5001,D$162,Base!$A$3:$A$5001,"&gt;="&amp;$C$7,Base!$A$3:$A$5001,"&lt;="&amp;$B191,Base!$X$3:$X$5001,"&lt;&gt;")=0,"",SUMIFS(Base!$X$3:$X$5001,Base!$B$3:$B$5001,D$162,Base!$A$3:$A$5001,_xlfn.MAXIFS(Base!$A$3:$A$5001,Base!$B$3:$B$5001,D$162,Base!$A$3:$A$5001,"&gt;="&amp;$C$7,Base!$A$3:$A$5001,"&lt;="&amp;$B191,Base!$X$3:$X$5001,"&lt;&gt;"))))</f>
        <v>1200</v>
      </c>
      <c r="E191">
        <f>IF($A191&gt;$B$9,"",IF(COUNTIFS(Base!$B$3:$B$5001,E$162,Base!$A$3:$A$5001,"&gt;="&amp;$C$7,Base!$A$3:$A$5001,"&lt;="&amp;$B191,Base!$X$3:$X$5001,"&lt;&gt;")=0,"",SUMIFS(Base!$X$3:$X$5001,Base!$B$3:$B$5001,E$162,Base!$A$3:$A$5001,_xlfn.MAXIFS(Base!$A$3:$A$5001,Base!$B$3:$B$5001,E$162,Base!$A$3:$A$5001,"&gt;="&amp;$C$7,Base!$A$3:$A$5001,"&lt;="&amp;$B191,Base!$X$3:$X$5001,"&lt;&gt;"))))</f>
        <v>3500</v>
      </c>
      <c r="F191">
        <f>IF($A191&gt;$B$9,"",IF(COUNTIFS(Base!$B$3:$B$5001,F$162,Base!$A$3:$A$5001,"&gt;="&amp;$C$7,Base!$A$3:$A$5001,"&lt;="&amp;$B191,Base!$X$3:$X$5001,"&lt;&gt;")=0,"",SUMIFS(Base!$X$3:$X$5001,Base!$B$3:$B$5001,F$162,Base!$A$3:$A$5001,_xlfn.MAXIFS(Base!$A$3:$A$5001,Base!$B$3:$B$5001,F$162,Base!$A$3:$A$5001,"&gt;="&amp;$C$7,Base!$A$3:$A$5001,"&lt;="&amp;$B191,Base!$X$3:$X$5001,"&lt;&gt;"))))</f>
        <v>1600</v>
      </c>
      <c r="G191">
        <f>IF($A191&gt;$B$9,"",IF(COUNTIFS(Base!$B$3:$B$5001,G$162,Base!$A$3:$A$5001,"&gt;="&amp;$C$7,Base!$A$3:$A$5001,"&lt;="&amp;$B191,Base!$X$3:$X$5001,"&lt;&gt;")=0,"",SUMIFS(Base!$X$3:$X$5001,Base!$B$3:$B$5001,G$162,Base!$A$3:$A$5001,_xlfn.MAXIFS(Base!$A$3:$A$5001,Base!$B$3:$B$5001,G$162,Base!$A$3:$A$5001,"&gt;="&amp;$C$7,Base!$A$3:$A$5001,"&lt;="&amp;$B191,Base!$X$3:$X$5001,"&lt;&gt;"))))</f>
        <v>900</v>
      </c>
      <c r="H191">
        <f>IF($A191&gt;$B$9,"",IF(COUNTIFS(Base!$B$3:$B$5001,H$162,Base!$A$3:$A$5001,"&gt;="&amp;$C$7,Base!$A$3:$A$5001,"&lt;="&amp;$B191,Base!$X$3:$X$5001,"&lt;&gt;")=0,"",SUMIFS(Base!$X$3:$X$5001,Base!$B$3:$B$5001,H$162,Base!$A$3:$A$5001,_xlfn.MAXIFS(Base!$A$3:$A$5001,Base!$B$3:$B$5001,H$162,Base!$A$3:$A$5001,"&gt;="&amp;$C$7,Base!$A$3:$A$5001,"&lt;="&amp;$B191,Base!$X$3:$X$5001,"&lt;&gt;"))))</f>
        <v>600</v>
      </c>
      <c r="I191">
        <f>IF($A191&gt;$B$9,"",IF(COUNTIFS(Base!$B$3:$B$5001,I$162,Base!$A$3:$A$5001,"&gt;="&amp;$C$7,Base!$A$3:$A$5001,"&lt;="&amp;$B191,Base!$X$3:$X$5001,"&lt;&gt;")=0,"",SUMIFS(Base!$X$3:$X$5001,Base!$B$3:$B$5001,I$162,Base!$A$3:$A$5001,_xlfn.MAXIFS(Base!$A$3:$A$5001,Base!$B$3:$B$5001,I$162,Base!$A$3:$A$5001,"&gt;="&amp;$C$7,Base!$A$3:$A$5001,"&lt;="&amp;$B191,Base!$X$3:$X$5001,"&lt;&gt;"))))</f>
        <v>1400</v>
      </c>
      <c r="J191">
        <f>IF($A191&gt;$B$9,"",IF(COUNTIFS(Base!$B$3:$B$5001,J$162,Base!$A$3:$A$5001,"&gt;="&amp;$C$7,Base!$A$3:$A$5001,"&lt;="&amp;$B191,Base!$X$3:$X$5001,"&lt;&gt;")=0,"",SUMIFS(Base!$X$3:$X$5001,Base!$B$3:$B$5001,J$162,Base!$A$3:$A$5001,_xlfn.MAXIFS(Base!$A$3:$A$5001,Base!$B$3:$B$5001,J$162,Base!$A$3:$A$5001,"&gt;="&amp;$C$7,Base!$A$3:$A$5001,"&lt;="&amp;$B191,Base!$X$3:$X$5001,"&lt;&gt;"))))</f>
        <v>500</v>
      </c>
      <c r="K191">
        <f>IF($A191&gt;$B$9,"",IF(COUNTIFS(Base!$B$3:$B$5001,K$162,Base!$A$3:$A$5001,"&gt;="&amp;$C$7,Base!$A$3:$A$5001,"&lt;="&amp;$B191,Base!$X$3:$X$5001,"&lt;&gt;")=0,"",SUMIFS(Base!$X$3:$X$5001,Base!$B$3:$B$5001,K$162,Base!$A$3:$A$5001,_xlfn.MAXIFS(Base!$A$3:$A$5001,Base!$B$3:$B$5001,K$162,Base!$A$3:$A$5001,"&gt;="&amp;$C$7,Base!$A$3:$A$5001,"&lt;="&amp;$B191,Base!$X$3:$X$5001,"&lt;&gt;"))))</f>
        <v>1800</v>
      </c>
    </row>
    <row r="192">
      <c r="A192">
        <v>30</v>
      </c>
      <c r="B192" s="152">
        <f>$B$41</f>
        <v>46295</v>
      </c>
      <c r="C192" t="str">
        <f>IF($A192&gt;$B$9,"",IF(COUNTIFS(Base!$B$3:$B$5001,C$162,Base!$A$3:$A$5001,"&gt;="&amp;$C$7,Base!$A$3:$A$5001,"&lt;="&amp;$B192,Base!$X$3:$X$5001,"&lt;&gt;")=0,"",SUMIFS(Base!$X$3:$X$5001,Base!$B$3:$B$5001,C$162,Base!$A$3:$A$5001,_xlfn.MAXIFS(Base!$A$3:$A$5001,Base!$B$3:$B$5001,C$162,Base!$A$3:$A$5001,"&gt;="&amp;$C$7,Base!$A$3:$A$5001,"&lt;="&amp;$B192,Base!$X$3:$X$5001,"&lt;&gt;"))))</f>
        <v/>
      </c>
      <c r="D192" t="str">
        <f>IF($A192&gt;$B$9,"",IF(COUNTIFS(Base!$B$3:$B$5001,D$162,Base!$A$3:$A$5001,"&gt;="&amp;$C$7,Base!$A$3:$A$5001,"&lt;="&amp;$B192,Base!$X$3:$X$5001,"&lt;&gt;")=0,"",SUMIFS(Base!$X$3:$X$5001,Base!$B$3:$B$5001,D$162,Base!$A$3:$A$5001,_xlfn.MAXIFS(Base!$A$3:$A$5001,Base!$B$3:$B$5001,D$162,Base!$A$3:$A$5001,"&gt;="&amp;$C$7,Base!$A$3:$A$5001,"&lt;="&amp;$B192,Base!$X$3:$X$5001,"&lt;&gt;"))))</f>
        <v/>
      </c>
      <c r="E192" t="str">
        <f>IF($A192&gt;$B$9,"",IF(COUNTIFS(Base!$B$3:$B$5001,E$162,Base!$A$3:$A$5001,"&gt;="&amp;$C$7,Base!$A$3:$A$5001,"&lt;="&amp;$B192,Base!$X$3:$X$5001,"&lt;&gt;")=0,"",SUMIFS(Base!$X$3:$X$5001,Base!$B$3:$B$5001,E$162,Base!$A$3:$A$5001,_xlfn.MAXIFS(Base!$A$3:$A$5001,Base!$B$3:$B$5001,E$162,Base!$A$3:$A$5001,"&gt;="&amp;$C$7,Base!$A$3:$A$5001,"&lt;="&amp;$B192,Base!$X$3:$X$5001,"&lt;&gt;"))))</f>
        <v/>
      </c>
      <c r="F192" t="str">
        <f>IF($A192&gt;$B$9,"",IF(COUNTIFS(Base!$B$3:$B$5001,F$162,Base!$A$3:$A$5001,"&gt;="&amp;$C$7,Base!$A$3:$A$5001,"&lt;="&amp;$B192,Base!$X$3:$X$5001,"&lt;&gt;")=0,"",SUMIFS(Base!$X$3:$X$5001,Base!$B$3:$B$5001,F$162,Base!$A$3:$A$5001,_xlfn.MAXIFS(Base!$A$3:$A$5001,Base!$B$3:$B$5001,F$162,Base!$A$3:$A$5001,"&gt;="&amp;$C$7,Base!$A$3:$A$5001,"&lt;="&amp;$B192,Base!$X$3:$X$5001,"&lt;&gt;"))))</f>
        <v/>
      </c>
      <c r="G192" t="str">
        <f>IF($A192&gt;$B$9,"",IF(COUNTIFS(Base!$B$3:$B$5001,G$162,Base!$A$3:$A$5001,"&gt;="&amp;$C$7,Base!$A$3:$A$5001,"&lt;="&amp;$B192,Base!$X$3:$X$5001,"&lt;&gt;")=0,"",SUMIFS(Base!$X$3:$X$5001,Base!$B$3:$B$5001,G$162,Base!$A$3:$A$5001,_xlfn.MAXIFS(Base!$A$3:$A$5001,Base!$B$3:$B$5001,G$162,Base!$A$3:$A$5001,"&gt;="&amp;$C$7,Base!$A$3:$A$5001,"&lt;="&amp;$B192,Base!$X$3:$X$5001,"&lt;&gt;"))))</f>
        <v/>
      </c>
      <c r="H192" t="str">
        <f>IF($A192&gt;$B$9,"",IF(COUNTIFS(Base!$B$3:$B$5001,H$162,Base!$A$3:$A$5001,"&gt;="&amp;$C$7,Base!$A$3:$A$5001,"&lt;="&amp;$B192,Base!$X$3:$X$5001,"&lt;&gt;")=0,"",SUMIFS(Base!$X$3:$X$5001,Base!$B$3:$B$5001,H$162,Base!$A$3:$A$5001,_xlfn.MAXIFS(Base!$A$3:$A$5001,Base!$B$3:$B$5001,H$162,Base!$A$3:$A$5001,"&gt;="&amp;$C$7,Base!$A$3:$A$5001,"&lt;="&amp;$B192,Base!$X$3:$X$5001,"&lt;&gt;"))))</f>
        <v/>
      </c>
      <c r="I192" t="str">
        <f>IF($A192&gt;$B$9,"",IF(COUNTIFS(Base!$B$3:$B$5001,I$162,Base!$A$3:$A$5001,"&gt;="&amp;$C$7,Base!$A$3:$A$5001,"&lt;="&amp;$B192,Base!$X$3:$X$5001,"&lt;&gt;")=0,"",SUMIFS(Base!$X$3:$X$5001,Base!$B$3:$B$5001,I$162,Base!$A$3:$A$5001,_xlfn.MAXIFS(Base!$A$3:$A$5001,Base!$B$3:$B$5001,I$162,Base!$A$3:$A$5001,"&gt;="&amp;$C$7,Base!$A$3:$A$5001,"&lt;="&amp;$B192,Base!$X$3:$X$5001,"&lt;&gt;"))))</f>
        <v/>
      </c>
      <c r="J192" t="str">
        <f>IF($A192&gt;$B$9,"",IF(COUNTIFS(Base!$B$3:$B$5001,J$162,Base!$A$3:$A$5001,"&gt;="&amp;$C$7,Base!$A$3:$A$5001,"&lt;="&amp;$B192,Base!$X$3:$X$5001,"&lt;&gt;")=0,"",SUMIFS(Base!$X$3:$X$5001,Base!$B$3:$B$5001,J$162,Base!$A$3:$A$5001,_xlfn.MAXIFS(Base!$A$3:$A$5001,Base!$B$3:$B$5001,J$162,Base!$A$3:$A$5001,"&gt;="&amp;$C$7,Base!$A$3:$A$5001,"&lt;="&amp;$B192,Base!$X$3:$X$5001,"&lt;&gt;"))))</f>
        <v/>
      </c>
      <c r="K192" t="str">
        <f>IF($A192&gt;$B$9,"",IF(COUNTIFS(Base!$B$3:$B$5001,K$162,Base!$A$3:$A$5001,"&gt;="&amp;$C$7,Base!$A$3:$A$5001,"&lt;="&amp;$B192,Base!$X$3:$X$5001,"&lt;&gt;")=0,"",SUMIFS(Base!$X$3:$X$5001,Base!$B$3:$B$5001,K$162,Base!$A$3:$A$5001,_xlfn.MAXIFS(Base!$A$3:$A$5001,Base!$B$3:$B$5001,K$162,Base!$A$3:$A$5001,"&gt;="&amp;$C$7,Base!$A$3:$A$5001,"&lt;="&amp;$B192,Base!$X$3:$X$5001,"&lt;&gt;"))))</f>
        <v/>
      </c>
    </row>
    <row r="193">
      <c r="A193">
        <v>31</v>
      </c>
      <c r="B193" s="152" t="str">
        <f>$B$42</f>
        <v/>
      </c>
      <c r="C193" t="str">
        <f>IF($A193&gt;$B$9,"",IF(COUNTIFS(Base!$B$3:$B$5001,C$162,Base!$A$3:$A$5001,"&gt;="&amp;$C$7,Base!$A$3:$A$5001,"&lt;="&amp;$B193,Base!$X$3:$X$5001,"&lt;&gt;")=0,"",SUMIFS(Base!$X$3:$X$5001,Base!$B$3:$B$5001,C$162,Base!$A$3:$A$5001,_xlfn.MAXIFS(Base!$A$3:$A$5001,Base!$B$3:$B$5001,C$162,Base!$A$3:$A$5001,"&gt;="&amp;$C$7,Base!$A$3:$A$5001,"&lt;="&amp;$B193,Base!$X$3:$X$5001,"&lt;&gt;"))))</f>
        <v/>
      </c>
      <c r="D193" t="str">
        <f>IF($A193&gt;$B$9,"",IF(COUNTIFS(Base!$B$3:$B$5001,D$162,Base!$A$3:$A$5001,"&gt;="&amp;$C$7,Base!$A$3:$A$5001,"&lt;="&amp;$B193,Base!$X$3:$X$5001,"&lt;&gt;")=0,"",SUMIFS(Base!$X$3:$X$5001,Base!$B$3:$B$5001,D$162,Base!$A$3:$A$5001,_xlfn.MAXIFS(Base!$A$3:$A$5001,Base!$B$3:$B$5001,D$162,Base!$A$3:$A$5001,"&gt;="&amp;$C$7,Base!$A$3:$A$5001,"&lt;="&amp;$B193,Base!$X$3:$X$5001,"&lt;&gt;"))))</f>
        <v/>
      </c>
      <c r="E193" t="str">
        <f>IF($A193&gt;$B$9,"",IF(COUNTIFS(Base!$B$3:$B$5001,E$162,Base!$A$3:$A$5001,"&gt;="&amp;$C$7,Base!$A$3:$A$5001,"&lt;="&amp;$B193,Base!$X$3:$X$5001,"&lt;&gt;")=0,"",SUMIFS(Base!$X$3:$X$5001,Base!$B$3:$B$5001,E$162,Base!$A$3:$A$5001,_xlfn.MAXIFS(Base!$A$3:$A$5001,Base!$B$3:$B$5001,E$162,Base!$A$3:$A$5001,"&gt;="&amp;$C$7,Base!$A$3:$A$5001,"&lt;="&amp;$B193,Base!$X$3:$X$5001,"&lt;&gt;"))))</f>
        <v/>
      </c>
      <c r="F193" t="str">
        <f>IF($A193&gt;$B$9,"",IF(COUNTIFS(Base!$B$3:$B$5001,F$162,Base!$A$3:$A$5001,"&gt;="&amp;$C$7,Base!$A$3:$A$5001,"&lt;="&amp;$B193,Base!$X$3:$X$5001,"&lt;&gt;")=0,"",SUMIFS(Base!$X$3:$X$5001,Base!$B$3:$B$5001,F$162,Base!$A$3:$A$5001,_xlfn.MAXIFS(Base!$A$3:$A$5001,Base!$B$3:$B$5001,F$162,Base!$A$3:$A$5001,"&gt;="&amp;$C$7,Base!$A$3:$A$5001,"&lt;="&amp;$B193,Base!$X$3:$X$5001,"&lt;&gt;"))))</f>
        <v/>
      </c>
      <c r="G193" t="str">
        <f>IF($A193&gt;$B$9,"",IF(COUNTIFS(Base!$B$3:$B$5001,G$162,Base!$A$3:$A$5001,"&gt;="&amp;$C$7,Base!$A$3:$A$5001,"&lt;="&amp;$B193,Base!$X$3:$X$5001,"&lt;&gt;")=0,"",SUMIFS(Base!$X$3:$X$5001,Base!$B$3:$B$5001,G$162,Base!$A$3:$A$5001,_xlfn.MAXIFS(Base!$A$3:$A$5001,Base!$B$3:$B$5001,G$162,Base!$A$3:$A$5001,"&gt;="&amp;$C$7,Base!$A$3:$A$5001,"&lt;="&amp;$B193,Base!$X$3:$X$5001,"&lt;&gt;"))))</f>
        <v/>
      </c>
      <c r="H193" t="str">
        <f>IF($A193&gt;$B$9,"",IF(COUNTIFS(Base!$B$3:$B$5001,H$162,Base!$A$3:$A$5001,"&gt;="&amp;$C$7,Base!$A$3:$A$5001,"&lt;="&amp;$B193,Base!$X$3:$X$5001,"&lt;&gt;")=0,"",SUMIFS(Base!$X$3:$X$5001,Base!$B$3:$B$5001,H$162,Base!$A$3:$A$5001,_xlfn.MAXIFS(Base!$A$3:$A$5001,Base!$B$3:$B$5001,H$162,Base!$A$3:$A$5001,"&gt;="&amp;$C$7,Base!$A$3:$A$5001,"&lt;="&amp;$B193,Base!$X$3:$X$5001,"&lt;&gt;"))))</f>
        <v/>
      </c>
      <c r="I193" t="str">
        <f>IF($A193&gt;$B$9,"",IF(COUNTIFS(Base!$B$3:$B$5001,I$162,Base!$A$3:$A$5001,"&gt;="&amp;$C$7,Base!$A$3:$A$5001,"&lt;="&amp;$B193,Base!$X$3:$X$5001,"&lt;&gt;")=0,"",SUMIFS(Base!$X$3:$X$5001,Base!$B$3:$B$5001,I$162,Base!$A$3:$A$5001,_xlfn.MAXIFS(Base!$A$3:$A$5001,Base!$B$3:$B$5001,I$162,Base!$A$3:$A$5001,"&gt;="&amp;$C$7,Base!$A$3:$A$5001,"&lt;="&amp;$B193,Base!$X$3:$X$5001,"&lt;&gt;"))))</f>
        <v/>
      </c>
      <c r="J193" t="str">
        <f>IF($A193&gt;$B$9,"",IF(COUNTIFS(Base!$B$3:$B$5001,J$162,Base!$A$3:$A$5001,"&gt;="&amp;$C$7,Base!$A$3:$A$5001,"&lt;="&amp;$B193,Base!$X$3:$X$5001,"&lt;&gt;")=0,"",SUMIFS(Base!$X$3:$X$5001,Base!$B$3:$B$5001,J$162,Base!$A$3:$A$5001,_xlfn.MAXIFS(Base!$A$3:$A$5001,Base!$B$3:$B$5001,J$162,Base!$A$3:$A$5001,"&gt;="&amp;$C$7,Base!$A$3:$A$5001,"&lt;="&amp;$B193,Base!$X$3:$X$5001,"&lt;&gt;"))))</f>
        <v/>
      </c>
      <c r="K193" t="str">
        <f>IF($A193&gt;$B$9,"",IF(COUNTIFS(Base!$B$3:$B$5001,K$162,Base!$A$3:$A$5001,"&gt;="&amp;$C$7,Base!$A$3:$A$5001,"&lt;="&amp;$B193,Base!$X$3:$X$5001,"&lt;&gt;")=0,"",SUMIFS(Base!$X$3:$X$5001,Base!$B$3:$B$5001,K$162,Base!$A$3:$A$5001,_xlfn.MAXIFS(Base!$A$3:$A$5001,Base!$B$3:$B$5001,K$162,Base!$A$3:$A$5001,"&gt;="&amp;$C$7,Base!$A$3:$A$5001,"&lt;="&amp;$B193,Base!$X$3:$X$5001,"&lt;&gt;"))))</f>
        <v/>
      </c>
    </row>
    <row r="194">
      <c r="A194" t="inlineStr">
        <is>
          <t xml:space="preserve">Mês anterior (último)</t>
        </is>
      </c>
      <c r="C194">
        <f>IF(COUNTIFS(Base!$B$3:$B$5001,C$162,Base!$A$3:$A$5001,"&gt;="&amp;$C$8,Base!$A$3:$A$5001,"&lt;="&amp;$D$8,Base!$X$3:$X$5001,"&lt;&gt;")=0,"",SUMIFS(Base!$X$3:$X$5001,Base!$B$3:$B$5001,C$162,Base!$A$3:$A$5001,_xlfn.MAXIFS(Base!$A$3:$A$5001,Base!$B$3:$B$5001,C$162,Base!$A$3:$A$5001,"&gt;="&amp;$C$8,Base!$A$3:$A$5001,"&lt;="&amp;$D$8,Base!$X$3:$X$5001,"&lt;&gt;")))</f>
        <v>2200</v>
      </c>
      <c r="D194">
        <f>IF(COUNTIFS(Base!$B$3:$B$5001,D$162,Base!$A$3:$A$5001,"&gt;="&amp;$C$8,Base!$A$3:$A$5001,"&lt;="&amp;$D$8,Base!$X$3:$X$5001,"&lt;&gt;")=0,"",SUMIFS(Base!$X$3:$X$5001,Base!$B$3:$B$5001,D$162,Base!$A$3:$A$5001,_xlfn.MAXIFS(Base!$A$3:$A$5001,Base!$B$3:$B$5001,D$162,Base!$A$3:$A$5001,"&gt;="&amp;$C$8,Base!$A$3:$A$5001,"&lt;="&amp;$D$8,Base!$X$3:$X$5001,"&lt;&gt;")))</f>
        <v>1200</v>
      </c>
      <c r="E194">
        <f>IF(COUNTIFS(Base!$B$3:$B$5001,E$162,Base!$A$3:$A$5001,"&gt;="&amp;$C$8,Base!$A$3:$A$5001,"&lt;="&amp;$D$8,Base!$X$3:$X$5001,"&lt;&gt;")=0,"",SUMIFS(Base!$X$3:$X$5001,Base!$B$3:$B$5001,E$162,Base!$A$3:$A$5001,_xlfn.MAXIFS(Base!$A$3:$A$5001,Base!$B$3:$B$5001,E$162,Base!$A$3:$A$5001,"&gt;="&amp;$C$8,Base!$A$3:$A$5001,"&lt;="&amp;$D$8,Base!$X$3:$X$5001,"&lt;&gt;")))</f>
        <v>3500</v>
      </c>
      <c r="F194">
        <f>IF(COUNTIFS(Base!$B$3:$B$5001,F$162,Base!$A$3:$A$5001,"&gt;="&amp;$C$8,Base!$A$3:$A$5001,"&lt;="&amp;$D$8,Base!$X$3:$X$5001,"&lt;&gt;")=0,"",SUMIFS(Base!$X$3:$X$5001,Base!$B$3:$B$5001,F$162,Base!$A$3:$A$5001,_xlfn.MAXIFS(Base!$A$3:$A$5001,Base!$B$3:$B$5001,F$162,Base!$A$3:$A$5001,"&gt;="&amp;$C$8,Base!$A$3:$A$5001,"&lt;="&amp;$D$8,Base!$X$3:$X$5001,"&lt;&gt;")))</f>
        <v>1600</v>
      </c>
      <c r="G194">
        <f>IF(COUNTIFS(Base!$B$3:$B$5001,G$162,Base!$A$3:$A$5001,"&gt;="&amp;$C$8,Base!$A$3:$A$5001,"&lt;="&amp;$D$8,Base!$X$3:$X$5001,"&lt;&gt;")=0,"",SUMIFS(Base!$X$3:$X$5001,Base!$B$3:$B$5001,G$162,Base!$A$3:$A$5001,_xlfn.MAXIFS(Base!$A$3:$A$5001,Base!$B$3:$B$5001,G$162,Base!$A$3:$A$5001,"&gt;="&amp;$C$8,Base!$A$3:$A$5001,"&lt;="&amp;$D$8,Base!$X$3:$X$5001,"&lt;&gt;")))</f>
        <v>900</v>
      </c>
      <c r="H194">
        <f>IF(COUNTIFS(Base!$B$3:$B$5001,H$162,Base!$A$3:$A$5001,"&gt;="&amp;$C$8,Base!$A$3:$A$5001,"&lt;="&amp;$D$8,Base!$X$3:$X$5001,"&lt;&gt;")=0,"",SUMIFS(Base!$X$3:$X$5001,Base!$B$3:$B$5001,H$162,Base!$A$3:$A$5001,_xlfn.MAXIFS(Base!$A$3:$A$5001,Base!$B$3:$B$5001,H$162,Base!$A$3:$A$5001,"&gt;="&amp;$C$8,Base!$A$3:$A$5001,"&lt;="&amp;$D$8,Base!$X$3:$X$5001,"&lt;&gt;")))</f>
        <v>600</v>
      </c>
      <c r="I194">
        <f>IF(COUNTIFS(Base!$B$3:$B$5001,I$162,Base!$A$3:$A$5001,"&gt;="&amp;$C$8,Base!$A$3:$A$5001,"&lt;="&amp;$D$8,Base!$X$3:$X$5001,"&lt;&gt;")=0,"",SUMIFS(Base!$X$3:$X$5001,Base!$B$3:$B$5001,I$162,Base!$A$3:$A$5001,_xlfn.MAXIFS(Base!$A$3:$A$5001,Base!$B$3:$B$5001,I$162,Base!$A$3:$A$5001,"&gt;="&amp;$C$8,Base!$A$3:$A$5001,"&lt;="&amp;$D$8,Base!$X$3:$X$5001,"&lt;&gt;")))</f>
        <v>1400</v>
      </c>
      <c r="J194">
        <f>IF(COUNTIFS(Base!$B$3:$B$5001,J$162,Base!$A$3:$A$5001,"&gt;="&amp;$C$8,Base!$A$3:$A$5001,"&lt;="&amp;$D$8,Base!$X$3:$X$5001,"&lt;&gt;")=0,"",SUMIFS(Base!$X$3:$X$5001,Base!$B$3:$B$5001,J$162,Base!$A$3:$A$5001,_xlfn.MAXIFS(Base!$A$3:$A$5001,Base!$B$3:$B$5001,J$162,Base!$A$3:$A$5001,"&gt;="&amp;$C$8,Base!$A$3:$A$5001,"&lt;="&amp;$D$8,Base!$X$3:$X$5001,"&lt;&gt;")))</f>
        <v>500</v>
      </c>
      <c r="K194">
        <f>IF(COUNTIFS(Base!$B$3:$B$5001,K$162,Base!$A$3:$A$5001,"&gt;="&amp;$C$8,Base!$A$3:$A$5001,"&lt;="&amp;$D$8,Base!$X$3:$X$5001,"&lt;&gt;")=0,"",SUMIFS(Base!$X$3:$X$5001,Base!$B$3:$B$5001,K$162,Base!$A$3:$A$5001,_xlfn.MAXIFS(Base!$A$3:$A$5001,Base!$B$3:$B$5001,K$162,Base!$A$3:$A$5001,"&gt;="&amp;$C$8,Base!$A$3:$A$5001,"&lt;="&amp;$D$8,Base!$X$3:$X$5001,"&lt;&gt;")))</f>
        <v>1800</v>
      </c>
    </row>
    <row r="197">
      <c r="A197" s="145" t="inlineStr">
        <is>
          <t xml:space="preserve">Posições Ocupadas</t>
        </is>
      </c>
      <c r="B197" s="145" t="inlineStr">
        <is>
          <t xml:space="preserve">Data</t>
        </is>
      </c>
      <c r="C197" s="145" t="inlineStr">
        <is>
          <t xml:space="preserve">BASF</t>
        </is>
      </c>
      <c r="D197" s="145" t="inlineStr">
        <is>
          <t xml:space="preserve">BEAUTYBIZ</t>
        </is>
      </c>
      <c r="E197" s="145" t="inlineStr">
        <is>
          <t xml:space="preserve">BOTICÁRIO</t>
        </is>
      </c>
      <c r="F197" s="145" t="inlineStr">
        <is>
          <t xml:space="preserve">SUPPLY</t>
        </is>
      </c>
      <c r="G197" s="145" t="inlineStr">
        <is>
          <t xml:space="preserve">GE VERNOVA</t>
        </is>
      </c>
      <c r="H197" s="145" t="inlineStr">
        <is>
          <t xml:space="preserve">VESTAS</t>
        </is>
      </c>
      <c r="I197" s="145" t="inlineStr">
        <is>
          <t xml:space="preserve">VEDACIT</t>
        </is>
      </c>
      <c r="J197" s="145" t="inlineStr">
        <is>
          <t xml:space="preserve">OMNLIFE</t>
        </is>
      </c>
      <c r="K197" s="145" t="inlineStr">
        <is>
          <t xml:space="preserve">ALPARGATAS</t>
        </is>
      </c>
    </row>
    <row r="198">
      <c r="A198">
        <v>1</v>
      </c>
      <c r="B198" s="152">
        <f>$B$12</f>
        <v>46266</v>
      </c>
      <c r="C198">
        <f>IF($A198&gt;$B$9,"",IF(COUNTIFS(Base!$B$3:$B$5001,C$197,Base!$A$3:$A$5001,"&gt;="&amp;$C$7,Base!$A$3:$A$5001,"&lt;="&amp;$B198,Base!$Y$3:$Y$5001,"&lt;&gt;")=0,"",SUMIFS(Base!$Y$3:$Y$5001,Base!$B$3:$B$5001,C$197,Base!$A$3:$A$5001,_xlfn.MAXIFS(Base!$A$3:$A$5001,Base!$B$3:$B$5001,C$197,Base!$A$3:$A$5001,"&gt;="&amp;$C$7,Base!$A$3:$A$5001,"&lt;="&amp;$B198,Base!$Y$3:$Y$5001,"&lt;&gt;"))))</f>
        <v>1272</v>
      </c>
      <c r="D198">
        <f>IF($A198&gt;$B$9,"",IF(COUNTIFS(Base!$B$3:$B$5001,D$197,Base!$A$3:$A$5001,"&gt;="&amp;$C$7,Base!$A$3:$A$5001,"&lt;="&amp;$B198,Base!$Y$3:$Y$5001,"&lt;&gt;")=0,"",SUMIFS(Base!$Y$3:$Y$5001,Base!$B$3:$B$5001,D$197,Base!$A$3:$A$5001,_xlfn.MAXIFS(Base!$A$3:$A$5001,Base!$B$3:$B$5001,D$197,Base!$A$3:$A$5001,"&gt;="&amp;$C$7,Base!$A$3:$A$5001,"&lt;="&amp;$B198,Base!$Y$3:$Y$5001,"&lt;&gt;"))))</f>
        <v>1050</v>
      </c>
      <c r="E198">
        <f>IF($A198&gt;$B$9,"",IF(COUNTIFS(Base!$B$3:$B$5001,E$197,Base!$A$3:$A$5001,"&gt;="&amp;$C$7,Base!$A$3:$A$5001,"&lt;="&amp;$B198,Base!$Y$3:$Y$5001,"&lt;&gt;")=0,"",SUMIFS(Base!$Y$3:$Y$5001,Base!$B$3:$B$5001,E$197,Base!$A$3:$A$5001,_xlfn.MAXIFS(Base!$A$3:$A$5001,Base!$B$3:$B$5001,E$197,Base!$A$3:$A$5001,"&gt;="&amp;$C$7,Base!$A$3:$A$5001,"&lt;="&amp;$B198,Base!$Y$3:$Y$5001,"&lt;&gt;"))))</f>
        <v>2813</v>
      </c>
      <c r="F198">
        <f>IF($A198&gt;$B$9,"",IF(COUNTIFS(Base!$B$3:$B$5001,F$197,Base!$A$3:$A$5001,"&gt;="&amp;$C$7,Base!$A$3:$A$5001,"&lt;="&amp;$B198,Base!$Y$3:$Y$5001,"&lt;&gt;")=0,"",SUMIFS(Base!$Y$3:$Y$5001,Base!$B$3:$B$5001,F$197,Base!$A$3:$A$5001,_xlfn.MAXIFS(Base!$A$3:$A$5001,Base!$B$3:$B$5001,F$197,Base!$A$3:$A$5001,"&gt;="&amp;$C$7,Base!$A$3:$A$5001,"&lt;="&amp;$B198,Base!$Y$3:$Y$5001,"&lt;&gt;"))))</f>
        <v>1338</v>
      </c>
      <c r="G198">
        <f>IF($A198&gt;$B$9,"",IF(COUNTIFS(Base!$B$3:$B$5001,G$197,Base!$A$3:$A$5001,"&gt;="&amp;$C$7,Base!$A$3:$A$5001,"&lt;="&amp;$B198,Base!$Y$3:$Y$5001,"&lt;&gt;")=0,"",SUMIFS(Base!$Y$3:$Y$5001,Base!$B$3:$B$5001,G$197,Base!$A$3:$A$5001,_xlfn.MAXIFS(Base!$A$3:$A$5001,Base!$B$3:$B$5001,G$197,Base!$A$3:$A$5001,"&gt;="&amp;$C$7,Base!$A$3:$A$5001,"&lt;="&amp;$B198,Base!$Y$3:$Y$5001,"&lt;&gt;"))))</f>
        <v>818</v>
      </c>
      <c r="H198">
        <f>IF($A198&gt;$B$9,"",IF(COUNTIFS(Base!$B$3:$B$5001,H$197,Base!$A$3:$A$5001,"&gt;="&amp;$C$7,Base!$A$3:$A$5001,"&lt;="&amp;$B198,Base!$Y$3:$Y$5001,"&lt;&gt;")=0,"",SUMIFS(Base!$Y$3:$Y$5001,Base!$B$3:$B$5001,H$197,Base!$A$3:$A$5001,_xlfn.MAXIFS(Base!$A$3:$A$5001,Base!$B$3:$B$5001,H$197,Base!$A$3:$A$5001,"&gt;="&amp;$C$7,Base!$A$3:$A$5001,"&lt;="&amp;$B198,Base!$Y$3:$Y$5001,"&lt;&gt;"))))</f>
        <v>519</v>
      </c>
      <c r="I198">
        <f>IF($A198&gt;$B$9,"",IF(COUNTIFS(Base!$B$3:$B$5001,I$197,Base!$A$3:$A$5001,"&gt;="&amp;$C$7,Base!$A$3:$A$5001,"&lt;="&amp;$B198,Base!$Y$3:$Y$5001,"&lt;&gt;")=0,"",SUMIFS(Base!$Y$3:$Y$5001,Base!$B$3:$B$5001,I$197,Base!$A$3:$A$5001,_xlfn.MAXIFS(Base!$A$3:$A$5001,Base!$B$3:$B$5001,I$197,Base!$A$3:$A$5001,"&gt;="&amp;$C$7,Base!$A$3:$A$5001,"&lt;="&amp;$B198,Base!$Y$3:$Y$5001,"&lt;&gt;"))))</f>
        <v>991</v>
      </c>
      <c r="J198">
        <f>IF($A198&gt;$B$9,"",IF(COUNTIFS(Base!$B$3:$B$5001,J$197,Base!$A$3:$A$5001,"&gt;="&amp;$C$7,Base!$A$3:$A$5001,"&lt;="&amp;$B198,Base!$Y$3:$Y$5001,"&lt;&gt;")=0,"",SUMIFS(Base!$Y$3:$Y$5001,Base!$B$3:$B$5001,J$197,Base!$A$3:$A$5001,_xlfn.MAXIFS(Base!$A$3:$A$5001,Base!$B$3:$B$5001,J$197,Base!$A$3:$A$5001,"&gt;="&amp;$C$7,Base!$A$3:$A$5001,"&lt;="&amp;$B198,Base!$Y$3:$Y$5001,"&lt;&gt;"))))</f>
        <v>382</v>
      </c>
      <c r="K198">
        <f>IF($A198&gt;$B$9,"",IF(COUNTIFS(Base!$B$3:$B$5001,K$197,Base!$A$3:$A$5001,"&gt;="&amp;$C$7,Base!$A$3:$A$5001,"&lt;="&amp;$B198,Base!$Y$3:$Y$5001,"&lt;&gt;")=0,"",SUMIFS(Base!$Y$3:$Y$5001,Base!$B$3:$B$5001,K$197,Base!$A$3:$A$5001,_xlfn.MAXIFS(Base!$A$3:$A$5001,Base!$B$3:$B$5001,K$197,Base!$A$3:$A$5001,"&gt;="&amp;$C$7,Base!$A$3:$A$5001,"&lt;="&amp;$B198,Base!$Y$3:$Y$5001,"&lt;&gt;"))))</f>
        <v>1121</v>
      </c>
    </row>
    <row r="199">
      <c r="A199">
        <v>2</v>
      </c>
      <c r="B199" s="152">
        <f>$B$13</f>
        <v>46267</v>
      </c>
      <c r="C199">
        <f>IF($A199&gt;$B$9,"",IF(COUNTIFS(Base!$B$3:$B$5001,C$197,Base!$A$3:$A$5001,"&gt;="&amp;$C$7,Base!$A$3:$A$5001,"&lt;="&amp;$B199,Base!$Y$3:$Y$5001,"&lt;&gt;")=0,"",SUMIFS(Base!$Y$3:$Y$5001,Base!$B$3:$B$5001,C$197,Base!$A$3:$A$5001,_xlfn.MAXIFS(Base!$A$3:$A$5001,Base!$B$3:$B$5001,C$197,Base!$A$3:$A$5001,"&gt;="&amp;$C$7,Base!$A$3:$A$5001,"&lt;="&amp;$B199,Base!$Y$3:$Y$5001,"&lt;&gt;"))))</f>
        <v>1848</v>
      </c>
      <c r="D199">
        <f>IF($A199&gt;$B$9,"",IF(COUNTIFS(Base!$B$3:$B$5001,D$197,Base!$A$3:$A$5001,"&gt;="&amp;$C$7,Base!$A$3:$A$5001,"&lt;="&amp;$B199,Base!$Y$3:$Y$5001,"&lt;&gt;")=0,"",SUMIFS(Base!$Y$3:$Y$5001,Base!$B$3:$B$5001,D$197,Base!$A$3:$A$5001,_xlfn.MAXIFS(Base!$A$3:$A$5001,Base!$B$3:$B$5001,D$197,Base!$A$3:$A$5001,"&gt;="&amp;$C$7,Base!$A$3:$A$5001,"&lt;="&amp;$B199,Base!$Y$3:$Y$5001,"&lt;&gt;"))))</f>
        <v>955</v>
      </c>
      <c r="E199">
        <f>IF($A199&gt;$B$9,"",IF(COUNTIFS(Base!$B$3:$B$5001,E$197,Base!$A$3:$A$5001,"&gt;="&amp;$C$7,Base!$A$3:$A$5001,"&lt;="&amp;$B199,Base!$Y$3:$Y$5001,"&lt;&gt;")=0,"",SUMIFS(Base!$Y$3:$Y$5001,Base!$B$3:$B$5001,E$197,Base!$A$3:$A$5001,_xlfn.MAXIFS(Base!$A$3:$A$5001,Base!$B$3:$B$5001,E$197,Base!$A$3:$A$5001,"&gt;="&amp;$C$7,Base!$A$3:$A$5001,"&lt;="&amp;$B199,Base!$Y$3:$Y$5001,"&lt;&gt;"))))</f>
        <v>2661</v>
      </c>
      <c r="F199">
        <f>IF($A199&gt;$B$9,"",IF(COUNTIFS(Base!$B$3:$B$5001,F$197,Base!$A$3:$A$5001,"&gt;="&amp;$C$7,Base!$A$3:$A$5001,"&lt;="&amp;$B199,Base!$Y$3:$Y$5001,"&lt;&gt;")=0,"",SUMIFS(Base!$Y$3:$Y$5001,Base!$B$3:$B$5001,F$197,Base!$A$3:$A$5001,_xlfn.MAXIFS(Base!$A$3:$A$5001,Base!$B$3:$B$5001,F$197,Base!$A$3:$A$5001,"&gt;="&amp;$C$7,Base!$A$3:$A$5001,"&lt;="&amp;$B199,Base!$Y$3:$Y$5001,"&lt;&gt;"))))</f>
        <v>1073</v>
      </c>
      <c r="G199">
        <f>IF($A199&gt;$B$9,"",IF(COUNTIFS(Base!$B$3:$B$5001,G$197,Base!$A$3:$A$5001,"&gt;="&amp;$C$7,Base!$A$3:$A$5001,"&lt;="&amp;$B199,Base!$Y$3:$Y$5001,"&lt;&gt;")=0,"",SUMIFS(Base!$Y$3:$Y$5001,Base!$B$3:$B$5001,G$197,Base!$A$3:$A$5001,_xlfn.MAXIFS(Base!$A$3:$A$5001,Base!$B$3:$B$5001,G$197,Base!$A$3:$A$5001,"&gt;="&amp;$C$7,Base!$A$3:$A$5001,"&lt;="&amp;$B199,Base!$Y$3:$Y$5001,"&lt;&gt;"))))</f>
        <v>764</v>
      </c>
      <c r="H199">
        <f>IF($A199&gt;$B$9,"",IF(COUNTIFS(Base!$B$3:$B$5001,H$197,Base!$A$3:$A$5001,"&gt;="&amp;$C$7,Base!$A$3:$A$5001,"&lt;="&amp;$B199,Base!$Y$3:$Y$5001,"&lt;&gt;")=0,"",SUMIFS(Base!$Y$3:$Y$5001,Base!$B$3:$B$5001,H$197,Base!$A$3:$A$5001,_xlfn.MAXIFS(Base!$A$3:$A$5001,Base!$B$3:$B$5001,H$197,Base!$A$3:$A$5001,"&gt;="&amp;$C$7,Base!$A$3:$A$5001,"&lt;="&amp;$B199,Base!$Y$3:$Y$5001,"&lt;&gt;"))))</f>
        <v>414</v>
      </c>
      <c r="I199">
        <f>IF($A199&gt;$B$9,"",IF(COUNTIFS(Base!$B$3:$B$5001,I$197,Base!$A$3:$A$5001,"&gt;="&amp;$C$7,Base!$A$3:$A$5001,"&lt;="&amp;$B199,Base!$Y$3:$Y$5001,"&lt;&gt;")=0,"",SUMIFS(Base!$Y$3:$Y$5001,Base!$B$3:$B$5001,I$197,Base!$A$3:$A$5001,_xlfn.MAXIFS(Base!$A$3:$A$5001,Base!$B$3:$B$5001,I$197,Base!$A$3:$A$5001,"&gt;="&amp;$C$7,Base!$A$3:$A$5001,"&lt;="&amp;$B199,Base!$Y$3:$Y$5001,"&lt;&gt;"))))</f>
        <v>1109</v>
      </c>
      <c r="J199">
        <f>IF($A199&gt;$B$9,"",IF(COUNTIFS(Base!$B$3:$B$5001,J$197,Base!$A$3:$A$5001,"&gt;="&amp;$C$7,Base!$A$3:$A$5001,"&lt;="&amp;$B199,Base!$Y$3:$Y$5001,"&lt;&gt;")=0,"",SUMIFS(Base!$Y$3:$Y$5001,Base!$B$3:$B$5001,J$197,Base!$A$3:$A$5001,_xlfn.MAXIFS(Base!$A$3:$A$5001,Base!$B$3:$B$5001,J$197,Base!$A$3:$A$5001,"&gt;="&amp;$C$7,Base!$A$3:$A$5001,"&lt;="&amp;$B199,Base!$Y$3:$Y$5001,"&lt;&gt;"))))</f>
        <v>431</v>
      </c>
      <c r="K199">
        <f>IF($A199&gt;$B$9,"",IF(COUNTIFS(Base!$B$3:$B$5001,K$197,Base!$A$3:$A$5001,"&gt;="&amp;$C$7,Base!$A$3:$A$5001,"&lt;="&amp;$B199,Base!$Y$3:$Y$5001,"&lt;&gt;")=0,"",SUMIFS(Base!$Y$3:$Y$5001,Base!$B$3:$B$5001,K$197,Base!$A$3:$A$5001,_xlfn.MAXIFS(Base!$A$3:$A$5001,Base!$B$3:$B$5001,K$197,Base!$A$3:$A$5001,"&gt;="&amp;$C$7,Base!$A$3:$A$5001,"&lt;="&amp;$B199,Base!$Y$3:$Y$5001,"&lt;&gt;"))))</f>
        <v>1673</v>
      </c>
    </row>
    <row r="200">
      <c r="A200">
        <v>3</v>
      </c>
      <c r="B200" s="152">
        <f>$B$14</f>
        <v>46268</v>
      </c>
      <c r="C200">
        <f>IF($A200&gt;$B$9,"",IF(COUNTIFS(Base!$B$3:$B$5001,C$197,Base!$A$3:$A$5001,"&gt;="&amp;$C$7,Base!$A$3:$A$5001,"&lt;="&amp;$B200,Base!$Y$3:$Y$5001,"&lt;&gt;")=0,"",SUMIFS(Base!$Y$3:$Y$5001,Base!$B$3:$B$5001,C$197,Base!$A$3:$A$5001,_xlfn.MAXIFS(Base!$A$3:$A$5001,Base!$B$3:$B$5001,C$197,Base!$A$3:$A$5001,"&gt;="&amp;$C$7,Base!$A$3:$A$5001,"&lt;="&amp;$B200,Base!$Y$3:$Y$5001,"&lt;&gt;"))))</f>
        <v>2112</v>
      </c>
      <c r="D200">
        <f>IF($A200&gt;$B$9,"",IF(COUNTIFS(Base!$B$3:$B$5001,D$197,Base!$A$3:$A$5001,"&gt;="&amp;$C$7,Base!$A$3:$A$5001,"&lt;="&amp;$B200,Base!$Y$3:$Y$5001,"&lt;&gt;")=0,"",SUMIFS(Base!$Y$3:$Y$5001,Base!$B$3:$B$5001,D$197,Base!$A$3:$A$5001,_xlfn.MAXIFS(Base!$A$3:$A$5001,Base!$B$3:$B$5001,D$197,Base!$A$3:$A$5001,"&gt;="&amp;$C$7,Base!$A$3:$A$5001,"&lt;="&amp;$B200,Base!$Y$3:$Y$5001,"&lt;&gt;"))))</f>
        <v>772</v>
      </c>
      <c r="E200">
        <f>IF($A200&gt;$B$9,"",IF(COUNTIFS(Base!$B$3:$B$5001,E$197,Base!$A$3:$A$5001,"&gt;="&amp;$C$7,Base!$A$3:$A$5001,"&lt;="&amp;$B200,Base!$Y$3:$Y$5001,"&lt;&gt;")=0,"",SUMIFS(Base!$Y$3:$Y$5001,Base!$B$3:$B$5001,E$197,Base!$A$3:$A$5001,_xlfn.MAXIFS(Base!$A$3:$A$5001,Base!$B$3:$B$5001,E$197,Base!$A$3:$A$5001,"&gt;="&amp;$C$7,Base!$A$3:$A$5001,"&lt;="&amp;$B200,Base!$Y$3:$Y$5001,"&lt;&gt;"))))</f>
        <v>2409</v>
      </c>
      <c r="F200">
        <f>IF($A200&gt;$B$9,"",IF(COUNTIFS(Base!$B$3:$B$5001,F$197,Base!$A$3:$A$5001,"&gt;="&amp;$C$7,Base!$A$3:$A$5001,"&lt;="&amp;$B200,Base!$Y$3:$Y$5001,"&lt;&gt;")=0,"",SUMIFS(Base!$Y$3:$Y$5001,Base!$B$3:$B$5001,F$197,Base!$A$3:$A$5001,_xlfn.MAXIFS(Base!$A$3:$A$5001,Base!$B$3:$B$5001,F$197,Base!$A$3:$A$5001,"&gt;="&amp;$C$7,Base!$A$3:$A$5001,"&lt;="&amp;$B200,Base!$Y$3:$Y$5001,"&lt;&gt;"))))</f>
        <v>1226</v>
      </c>
      <c r="G200">
        <f>IF($A200&gt;$B$9,"",IF(COUNTIFS(Base!$B$3:$B$5001,G$197,Base!$A$3:$A$5001,"&gt;="&amp;$C$7,Base!$A$3:$A$5001,"&lt;="&amp;$B200,Base!$Y$3:$Y$5001,"&lt;&gt;")=0,"",SUMIFS(Base!$Y$3:$Y$5001,Base!$B$3:$B$5001,G$197,Base!$A$3:$A$5001,_xlfn.MAXIFS(Base!$A$3:$A$5001,Base!$B$3:$B$5001,G$197,Base!$A$3:$A$5001,"&gt;="&amp;$C$7,Base!$A$3:$A$5001,"&lt;="&amp;$B200,Base!$Y$3:$Y$5001,"&lt;&gt;"))))</f>
        <v>810</v>
      </c>
      <c r="H200">
        <f>IF($A200&gt;$B$9,"",IF(COUNTIFS(Base!$B$3:$B$5001,H$197,Base!$A$3:$A$5001,"&gt;="&amp;$C$7,Base!$A$3:$A$5001,"&lt;="&amp;$B200,Base!$Y$3:$Y$5001,"&lt;&gt;")=0,"",SUMIFS(Base!$Y$3:$Y$5001,Base!$B$3:$B$5001,H$197,Base!$A$3:$A$5001,_xlfn.MAXIFS(Base!$A$3:$A$5001,Base!$B$3:$B$5001,H$197,Base!$A$3:$A$5001,"&gt;="&amp;$C$7,Base!$A$3:$A$5001,"&lt;="&amp;$B200,Base!$Y$3:$Y$5001,"&lt;&gt;"))))</f>
        <v>556</v>
      </c>
      <c r="I200">
        <f>IF($A200&gt;$B$9,"",IF(COUNTIFS(Base!$B$3:$B$5001,I$197,Base!$A$3:$A$5001,"&gt;="&amp;$C$7,Base!$A$3:$A$5001,"&lt;="&amp;$B200,Base!$Y$3:$Y$5001,"&lt;&gt;")=0,"",SUMIFS(Base!$Y$3:$Y$5001,Base!$B$3:$B$5001,I$197,Base!$A$3:$A$5001,_xlfn.MAXIFS(Base!$A$3:$A$5001,Base!$B$3:$B$5001,I$197,Base!$A$3:$A$5001,"&gt;="&amp;$C$7,Base!$A$3:$A$5001,"&lt;="&amp;$B200,Base!$Y$3:$Y$5001,"&lt;&gt;"))))</f>
        <v>1269</v>
      </c>
      <c r="J200">
        <f>IF($A200&gt;$B$9,"",IF(COUNTIFS(Base!$B$3:$B$5001,J$197,Base!$A$3:$A$5001,"&gt;="&amp;$C$7,Base!$A$3:$A$5001,"&lt;="&amp;$B200,Base!$Y$3:$Y$5001,"&lt;&gt;")=0,"",SUMIFS(Base!$Y$3:$Y$5001,Base!$B$3:$B$5001,J$197,Base!$A$3:$A$5001,_xlfn.MAXIFS(Base!$A$3:$A$5001,Base!$B$3:$B$5001,J$197,Base!$A$3:$A$5001,"&gt;="&amp;$C$7,Base!$A$3:$A$5001,"&lt;="&amp;$B200,Base!$Y$3:$Y$5001,"&lt;&gt;"))))</f>
        <v>355</v>
      </c>
      <c r="K200">
        <f>IF($A200&gt;$B$9,"",IF(COUNTIFS(Base!$B$3:$B$5001,K$197,Base!$A$3:$A$5001,"&gt;="&amp;$C$7,Base!$A$3:$A$5001,"&lt;="&amp;$B200,Base!$Y$3:$Y$5001,"&lt;&gt;")=0,"",SUMIFS(Base!$Y$3:$Y$5001,Base!$B$3:$B$5001,K$197,Base!$A$3:$A$5001,_xlfn.MAXIFS(Base!$A$3:$A$5001,Base!$B$3:$B$5001,K$197,Base!$A$3:$A$5001,"&gt;="&amp;$C$7,Base!$A$3:$A$5001,"&lt;="&amp;$B200,Base!$Y$3:$Y$5001,"&lt;&gt;"))))</f>
        <v>1393</v>
      </c>
    </row>
    <row r="201">
      <c r="A201">
        <v>4</v>
      </c>
      <c r="B201" s="152">
        <f>$B$15</f>
        <v>46269</v>
      </c>
      <c r="C201">
        <f>IF($A201&gt;$B$9,"",IF(COUNTIFS(Base!$B$3:$B$5001,C$197,Base!$A$3:$A$5001,"&gt;="&amp;$C$7,Base!$A$3:$A$5001,"&lt;="&amp;$B201,Base!$Y$3:$Y$5001,"&lt;&gt;")=0,"",SUMIFS(Base!$Y$3:$Y$5001,Base!$B$3:$B$5001,C$197,Base!$A$3:$A$5001,_xlfn.MAXIFS(Base!$A$3:$A$5001,Base!$B$3:$B$5001,C$197,Base!$A$3:$A$5001,"&gt;="&amp;$C$7,Base!$A$3:$A$5001,"&lt;="&amp;$B201,Base!$Y$3:$Y$5001,"&lt;&gt;"))))</f>
        <v>1616</v>
      </c>
      <c r="D201">
        <f>IF($A201&gt;$B$9,"",IF(COUNTIFS(Base!$B$3:$B$5001,D$197,Base!$A$3:$A$5001,"&gt;="&amp;$C$7,Base!$A$3:$A$5001,"&lt;="&amp;$B201,Base!$Y$3:$Y$5001,"&lt;&gt;")=0,"",SUMIFS(Base!$Y$3:$Y$5001,Base!$B$3:$B$5001,D$197,Base!$A$3:$A$5001,_xlfn.MAXIFS(Base!$A$3:$A$5001,Base!$B$3:$B$5001,D$197,Base!$A$3:$A$5001,"&gt;="&amp;$C$7,Base!$A$3:$A$5001,"&lt;="&amp;$B201,Base!$Y$3:$Y$5001,"&lt;&gt;"))))</f>
        <v>1008</v>
      </c>
      <c r="E201">
        <f>IF($A201&gt;$B$9,"",IF(COUNTIFS(Base!$B$3:$B$5001,E$197,Base!$A$3:$A$5001,"&gt;="&amp;$C$7,Base!$A$3:$A$5001,"&lt;="&amp;$B201,Base!$Y$3:$Y$5001,"&lt;&gt;")=0,"",SUMIFS(Base!$Y$3:$Y$5001,Base!$B$3:$B$5001,E$197,Base!$A$3:$A$5001,_xlfn.MAXIFS(Base!$A$3:$A$5001,Base!$B$3:$B$5001,E$197,Base!$A$3:$A$5001,"&gt;="&amp;$C$7,Base!$A$3:$A$5001,"&lt;="&amp;$B201,Base!$Y$3:$Y$5001,"&lt;&gt;"))))</f>
        <v>2219</v>
      </c>
      <c r="F201">
        <f>IF($A201&gt;$B$9,"",IF(COUNTIFS(Base!$B$3:$B$5001,F$197,Base!$A$3:$A$5001,"&gt;="&amp;$C$7,Base!$A$3:$A$5001,"&lt;="&amp;$B201,Base!$Y$3:$Y$5001,"&lt;&gt;")=0,"",SUMIFS(Base!$Y$3:$Y$5001,Base!$B$3:$B$5001,F$197,Base!$A$3:$A$5001,_xlfn.MAXIFS(Base!$A$3:$A$5001,Base!$B$3:$B$5001,F$197,Base!$A$3:$A$5001,"&gt;="&amp;$C$7,Base!$A$3:$A$5001,"&lt;="&amp;$B201,Base!$Y$3:$Y$5001,"&lt;&gt;"))))</f>
        <v>949</v>
      </c>
      <c r="G201">
        <f>IF($A201&gt;$B$9,"",IF(COUNTIFS(Base!$B$3:$B$5001,G$197,Base!$A$3:$A$5001,"&gt;="&amp;$C$7,Base!$A$3:$A$5001,"&lt;="&amp;$B201,Base!$Y$3:$Y$5001,"&lt;&gt;")=0,"",SUMIFS(Base!$Y$3:$Y$5001,Base!$B$3:$B$5001,G$197,Base!$A$3:$A$5001,_xlfn.MAXIFS(Base!$A$3:$A$5001,Base!$B$3:$B$5001,G$197,Base!$A$3:$A$5001,"&gt;="&amp;$C$7,Base!$A$3:$A$5001,"&lt;="&amp;$B201,Base!$Y$3:$Y$5001,"&lt;&gt;"))))</f>
        <v>797</v>
      </c>
      <c r="H201">
        <f>IF($A201&gt;$B$9,"",IF(COUNTIFS(Base!$B$3:$B$5001,H$197,Base!$A$3:$A$5001,"&gt;="&amp;$C$7,Base!$A$3:$A$5001,"&lt;="&amp;$B201,Base!$Y$3:$Y$5001,"&lt;&gt;")=0,"",SUMIFS(Base!$Y$3:$Y$5001,Base!$B$3:$B$5001,H$197,Base!$A$3:$A$5001,_xlfn.MAXIFS(Base!$A$3:$A$5001,Base!$B$3:$B$5001,H$197,Base!$A$3:$A$5001,"&gt;="&amp;$C$7,Base!$A$3:$A$5001,"&lt;="&amp;$B201,Base!$Y$3:$Y$5001,"&lt;&gt;"))))</f>
        <v>499</v>
      </c>
      <c r="I201">
        <f>IF($A201&gt;$B$9,"",IF(COUNTIFS(Base!$B$3:$B$5001,I$197,Base!$A$3:$A$5001,"&gt;="&amp;$C$7,Base!$A$3:$A$5001,"&lt;="&amp;$B201,Base!$Y$3:$Y$5001,"&lt;&gt;")=0,"",SUMIFS(Base!$Y$3:$Y$5001,Base!$B$3:$B$5001,I$197,Base!$A$3:$A$5001,_xlfn.MAXIFS(Base!$A$3:$A$5001,Base!$B$3:$B$5001,I$197,Base!$A$3:$A$5001,"&gt;="&amp;$C$7,Base!$A$3:$A$5001,"&lt;="&amp;$B201,Base!$Y$3:$Y$5001,"&lt;&gt;"))))</f>
        <v>943</v>
      </c>
      <c r="J201">
        <f>IF($A201&gt;$B$9,"",IF(COUNTIFS(Base!$B$3:$B$5001,J$197,Base!$A$3:$A$5001,"&gt;="&amp;$C$7,Base!$A$3:$A$5001,"&lt;="&amp;$B201,Base!$Y$3:$Y$5001,"&lt;&gt;")=0,"",SUMIFS(Base!$Y$3:$Y$5001,Base!$B$3:$B$5001,J$197,Base!$A$3:$A$5001,_xlfn.MAXIFS(Base!$A$3:$A$5001,Base!$B$3:$B$5001,J$197,Base!$A$3:$A$5001,"&gt;="&amp;$C$7,Base!$A$3:$A$5001,"&lt;="&amp;$B201,Base!$Y$3:$Y$5001,"&lt;&gt;"))))</f>
        <v>403</v>
      </c>
      <c r="K201">
        <f>IF($A201&gt;$B$9,"",IF(COUNTIFS(Base!$B$3:$B$5001,K$197,Base!$A$3:$A$5001,"&gt;="&amp;$C$7,Base!$A$3:$A$5001,"&lt;="&amp;$B201,Base!$Y$3:$Y$5001,"&lt;&gt;")=0,"",SUMIFS(Base!$Y$3:$Y$5001,Base!$B$3:$B$5001,K$197,Base!$A$3:$A$5001,_xlfn.MAXIFS(Base!$A$3:$A$5001,Base!$B$3:$B$5001,K$197,Base!$A$3:$A$5001,"&gt;="&amp;$C$7,Base!$A$3:$A$5001,"&lt;="&amp;$B201,Base!$Y$3:$Y$5001,"&lt;&gt;"))))</f>
        <v>1031</v>
      </c>
    </row>
    <row r="202">
      <c r="A202">
        <v>5</v>
      </c>
      <c r="B202" s="152">
        <f>$B$16</f>
        <v>46270</v>
      </c>
      <c r="C202">
        <f>IF($A202&gt;$B$9,"",IF(COUNTIFS(Base!$B$3:$B$5001,C$197,Base!$A$3:$A$5001,"&gt;="&amp;$C$7,Base!$A$3:$A$5001,"&lt;="&amp;$B202,Base!$Y$3:$Y$5001,"&lt;&gt;")=0,"",SUMIFS(Base!$Y$3:$Y$5001,Base!$B$3:$B$5001,C$197,Base!$A$3:$A$5001,_xlfn.MAXIFS(Base!$A$3:$A$5001,Base!$B$3:$B$5001,C$197,Base!$A$3:$A$5001,"&gt;="&amp;$C$7,Base!$A$3:$A$5001,"&lt;="&amp;$B202,Base!$Y$3:$Y$5001,"&lt;&gt;"))))</f>
        <v>1983</v>
      </c>
      <c r="D202">
        <f>IF($A202&gt;$B$9,"",IF(COUNTIFS(Base!$B$3:$B$5001,D$197,Base!$A$3:$A$5001,"&gt;="&amp;$C$7,Base!$A$3:$A$5001,"&lt;="&amp;$B202,Base!$Y$3:$Y$5001,"&lt;&gt;")=0,"",SUMIFS(Base!$Y$3:$Y$5001,Base!$B$3:$B$5001,D$197,Base!$A$3:$A$5001,_xlfn.MAXIFS(Base!$A$3:$A$5001,Base!$B$3:$B$5001,D$197,Base!$A$3:$A$5001,"&gt;="&amp;$C$7,Base!$A$3:$A$5001,"&lt;="&amp;$B202,Base!$Y$3:$Y$5001,"&lt;&gt;"))))</f>
        <v>712</v>
      </c>
      <c r="E202">
        <f>IF($A202&gt;$B$9,"",IF(COUNTIFS(Base!$B$3:$B$5001,E$197,Base!$A$3:$A$5001,"&gt;="&amp;$C$7,Base!$A$3:$A$5001,"&lt;="&amp;$B202,Base!$Y$3:$Y$5001,"&lt;&gt;")=0,"",SUMIFS(Base!$Y$3:$Y$5001,Base!$B$3:$B$5001,E$197,Base!$A$3:$A$5001,_xlfn.MAXIFS(Base!$A$3:$A$5001,Base!$B$3:$B$5001,E$197,Base!$A$3:$A$5001,"&gt;="&amp;$C$7,Base!$A$3:$A$5001,"&lt;="&amp;$B202,Base!$Y$3:$Y$5001,"&lt;&gt;"))))</f>
        <v>2245</v>
      </c>
      <c r="F202">
        <f>IF($A202&gt;$B$9,"",IF(COUNTIFS(Base!$B$3:$B$5001,F$197,Base!$A$3:$A$5001,"&gt;="&amp;$C$7,Base!$A$3:$A$5001,"&lt;="&amp;$B202,Base!$Y$3:$Y$5001,"&lt;&gt;")=0,"",SUMIFS(Base!$Y$3:$Y$5001,Base!$B$3:$B$5001,F$197,Base!$A$3:$A$5001,_xlfn.MAXIFS(Base!$A$3:$A$5001,Base!$B$3:$B$5001,F$197,Base!$A$3:$A$5001,"&gt;="&amp;$C$7,Base!$A$3:$A$5001,"&lt;="&amp;$B202,Base!$Y$3:$Y$5001,"&lt;&gt;"))))</f>
        <v>1310</v>
      </c>
      <c r="G202">
        <f>IF($A202&gt;$B$9,"",IF(COUNTIFS(Base!$B$3:$B$5001,G$197,Base!$A$3:$A$5001,"&gt;="&amp;$C$7,Base!$A$3:$A$5001,"&lt;="&amp;$B202,Base!$Y$3:$Y$5001,"&lt;&gt;")=0,"",SUMIFS(Base!$Y$3:$Y$5001,Base!$B$3:$B$5001,G$197,Base!$A$3:$A$5001,_xlfn.MAXIFS(Base!$A$3:$A$5001,Base!$B$3:$B$5001,G$197,Base!$A$3:$A$5001,"&gt;="&amp;$C$7,Base!$A$3:$A$5001,"&lt;="&amp;$B202,Base!$Y$3:$Y$5001,"&lt;&gt;"))))</f>
        <v>754</v>
      </c>
      <c r="H202">
        <f>IF($A202&gt;$B$9,"",IF(COUNTIFS(Base!$B$3:$B$5001,H$197,Base!$A$3:$A$5001,"&gt;="&amp;$C$7,Base!$A$3:$A$5001,"&lt;="&amp;$B202,Base!$Y$3:$Y$5001,"&lt;&gt;")=0,"",SUMIFS(Base!$Y$3:$Y$5001,Base!$B$3:$B$5001,H$197,Base!$A$3:$A$5001,_xlfn.MAXIFS(Base!$A$3:$A$5001,Base!$B$3:$B$5001,H$197,Base!$A$3:$A$5001,"&gt;="&amp;$C$7,Base!$A$3:$A$5001,"&lt;="&amp;$B202,Base!$Y$3:$Y$5001,"&lt;&gt;"))))</f>
        <v>411</v>
      </c>
      <c r="I202">
        <f>IF($A202&gt;$B$9,"",IF(COUNTIFS(Base!$B$3:$B$5001,I$197,Base!$A$3:$A$5001,"&gt;="&amp;$C$7,Base!$A$3:$A$5001,"&lt;="&amp;$B202,Base!$Y$3:$Y$5001,"&lt;&gt;")=0,"",SUMIFS(Base!$Y$3:$Y$5001,Base!$B$3:$B$5001,I$197,Base!$A$3:$A$5001,_xlfn.MAXIFS(Base!$A$3:$A$5001,Base!$B$3:$B$5001,I$197,Base!$A$3:$A$5001,"&gt;="&amp;$C$7,Base!$A$3:$A$5001,"&lt;="&amp;$B202,Base!$Y$3:$Y$5001,"&lt;&gt;"))))</f>
        <v>1158</v>
      </c>
      <c r="J202">
        <f>IF($A202&gt;$B$9,"",IF(COUNTIFS(Base!$B$3:$B$5001,J$197,Base!$A$3:$A$5001,"&gt;="&amp;$C$7,Base!$A$3:$A$5001,"&lt;="&amp;$B202,Base!$Y$3:$Y$5001,"&lt;&gt;")=0,"",SUMIFS(Base!$Y$3:$Y$5001,Base!$B$3:$B$5001,J$197,Base!$A$3:$A$5001,_xlfn.MAXIFS(Base!$A$3:$A$5001,Base!$B$3:$B$5001,J$197,Base!$A$3:$A$5001,"&gt;="&amp;$C$7,Base!$A$3:$A$5001,"&lt;="&amp;$B202,Base!$Y$3:$Y$5001,"&lt;&gt;"))))</f>
        <v>471</v>
      </c>
      <c r="K202">
        <f>IF($A202&gt;$B$9,"",IF(COUNTIFS(Base!$B$3:$B$5001,K$197,Base!$A$3:$A$5001,"&gt;="&amp;$C$7,Base!$A$3:$A$5001,"&lt;="&amp;$B202,Base!$Y$3:$Y$5001,"&lt;&gt;")=0,"",SUMIFS(Base!$Y$3:$Y$5001,Base!$B$3:$B$5001,K$197,Base!$A$3:$A$5001,_xlfn.MAXIFS(Base!$A$3:$A$5001,Base!$B$3:$B$5001,K$197,Base!$A$3:$A$5001,"&gt;="&amp;$C$7,Base!$A$3:$A$5001,"&lt;="&amp;$B202,Base!$Y$3:$Y$5001,"&lt;&gt;"))))</f>
        <v>1694</v>
      </c>
    </row>
    <row r="203">
      <c r="A203">
        <v>6</v>
      </c>
      <c r="B203" s="152">
        <f>$B$17</f>
        <v>46271</v>
      </c>
      <c r="C203">
        <f>IF($A203&gt;$B$9,"",IF(COUNTIFS(Base!$B$3:$B$5001,C$197,Base!$A$3:$A$5001,"&gt;="&amp;$C$7,Base!$A$3:$A$5001,"&lt;="&amp;$B203,Base!$Y$3:$Y$5001,"&lt;&gt;")=0,"",SUMIFS(Base!$Y$3:$Y$5001,Base!$B$3:$B$5001,C$197,Base!$A$3:$A$5001,_xlfn.MAXIFS(Base!$A$3:$A$5001,Base!$B$3:$B$5001,C$197,Base!$A$3:$A$5001,"&gt;="&amp;$C$7,Base!$A$3:$A$5001,"&lt;="&amp;$B203,Base!$Y$3:$Y$5001,"&lt;&gt;"))))</f>
        <v>1983</v>
      </c>
      <c r="D203">
        <f>IF($A203&gt;$B$9,"",IF(COUNTIFS(Base!$B$3:$B$5001,D$197,Base!$A$3:$A$5001,"&gt;="&amp;$C$7,Base!$A$3:$A$5001,"&lt;="&amp;$B203,Base!$Y$3:$Y$5001,"&lt;&gt;")=0,"",SUMIFS(Base!$Y$3:$Y$5001,Base!$B$3:$B$5001,D$197,Base!$A$3:$A$5001,_xlfn.MAXIFS(Base!$A$3:$A$5001,Base!$B$3:$B$5001,D$197,Base!$A$3:$A$5001,"&gt;="&amp;$C$7,Base!$A$3:$A$5001,"&lt;="&amp;$B203,Base!$Y$3:$Y$5001,"&lt;&gt;"))))</f>
        <v>712</v>
      </c>
      <c r="E203">
        <f>IF($A203&gt;$B$9,"",IF(COUNTIFS(Base!$B$3:$B$5001,E$197,Base!$A$3:$A$5001,"&gt;="&amp;$C$7,Base!$A$3:$A$5001,"&lt;="&amp;$B203,Base!$Y$3:$Y$5001,"&lt;&gt;")=0,"",SUMIFS(Base!$Y$3:$Y$5001,Base!$B$3:$B$5001,E$197,Base!$A$3:$A$5001,_xlfn.MAXIFS(Base!$A$3:$A$5001,Base!$B$3:$B$5001,E$197,Base!$A$3:$A$5001,"&gt;="&amp;$C$7,Base!$A$3:$A$5001,"&lt;="&amp;$B203,Base!$Y$3:$Y$5001,"&lt;&gt;"))))</f>
        <v>2245</v>
      </c>
      <c r="F203">
        <f>IF($A203&gt;$B$9,"",IF(COUNTIFS(Base!$B$3:$B$5001,F$197,Base!$A$3:$A$5001,"&gt;="&amp;$C$7,Base!$A$3:$A$5001,"&lt;="&amp;$B203,Base!$Y$3:$Y$5001,"&lt;&gt;")=0,"",SUMIFS(Base!$Y$3:$Y$5001,Base!$B$3:$B$5001,F$197,Base!$A$3:$A$5001,_xlfn.MAXIFS(Base!$A$3:$A$5001,Base!$B$3:$B$5001,F$197,Base!$A$3:$A$5001,"&gt;="&amp;$C$7,Base!$A$3:$A$5001,"&lt;="&amp;$B203,Base!$Y$3:$Y$5001,"&lt;&gt;"))))</f>
        <v>1310</v>
      </c>
      <c r="G203">
        <f>IF($A203&gt;$B$9,"",IF(COUNTIFS(Base!$B$3:$B$5001,G$197,Base!$A$3:$A$5001,"&gt;="&amp;$C$7,Base!$A$3:$A$5001,"&lt;="&amp;$B203,Base!$Y$3:$Y$5001,"&lt;&gt;")=0,"",SUMIFS(Base!$Y$3:$Y$5001,Base!$B$3:$B$5001,G$197,Base!$A$3:$A$5001,_xlfn.MAXIFS(Base!$A$3:$A$5001,Base!$B$3:$B$5001,G$197,Base!$A$3:$A$5001,"&gt;="&amp;$C$7,Base!$A$3:$A$5001,"&lt;="&amp;$B203,Base!$Y$3:$Y$5001,"&lt;&gt;"))))</f>
        <v>754</v>
      </c>
      <c r="H203">
        <f>IF($A203&gt;$B$9,"",IF(COUNTIFS(Base!$B$3:$B$5001,H$197,Base!$A$3:$A$5001,"&gt;="&amp;$C$7,Base!$A$3:$A$5001,"&lt;="&amp;$B203,Base!$Y$3:$Y$5001,"&lt;&gt;")=0,"",SUMIFS(Base!$Y$3:$Y$5001,Base!$B$3:$B$5001,H$197,Base!$A$3:$A$5001,_xlfn.MAXIFS(Base!$A$3:$A$5001,Base!$B$3:$B$5001,H$197,Base!$A$3:$A$5001,"&gt;="&amp;$C$7,Base!$A$3:$A$5001,"&lt;="&amp;$B203,Base!$Y$3:$Y$5001,"&lt;&gt;"))))</f>
        <v>411</v>
      </c>
      <c r="I203">
        <f>IF($A203&gt;$B$9,"",IF(COUNTIFS(Base!$B$3:$B$5001,I$197,Base!$A$3:$A$5001,"&gt;="&amp;$C$7,Base!$A$3:$A$5001,"&lt;="&amp;$B203,Base!$Y$3:$Y$5001,"&lt;&gt;")=0,"",SUMIFS(Base!$Y$3:$Y$5001,Base!$B$3:$B$5001,I$197,Base!$A$3:$A$5001,_xlfn.MAXIFS(Base!$A$3:$A$5001,Base!$B$3:$B$5001,I$197,Base!$A$3:$A$5001,"&gt;="&amp;$C$7,Base!$A$3:$A$5001,"&lt;="&amp;$B203,Base!$Y$3:$Y$5001,"&lt;&gt;"))))</f>
        <v>1158</v>
      </c>
      <c r="J203">
        <f>IF($A203&gt;$B$9,"",IF(COUNTIFS(Base!$B$3:$B$5001,J$197,Base!$A$3:$A$5001,"&gt;="&amp;$C$7,Base!$A$3:$A$5001,"&lt;="&amp;$B203,Base!$Y$3:$Y$5001,"&lt;&gt;")=0,"",SUMIFS(Base!$Y$3:$Y$5001,Base!$B$3:$B$5001,J$197,Base!$A$3:$A$5001,_xlfn.MAXIFS(Base!$A$3:$A$5001,Base!$B$3:$B$5001,J$197,Base!$A$3:$A$5001,"&gt;="&amp;$C$7,Base!$A$3:$A$5001,"&lt;="&amp;$B203,Base!$Y$3:$Y$5001,"&lt;&gt;"))))</f>
        <v>471</v>
      </c>
      <c r="K203">
        <f>IF($A203&gt;$B$9,"",IF(COUNTIFS(Base!$B$3:$B$5001,K$197,Base!$A$3:$A$5001,"&gt;="&amp;$C$7,Base!$A$3:$A$5001,"&lt;="&amp;$B203,Base!$Y$3:$Y$5001,"&lt;&gt;")=0,"",SUMIFS(Base!$Y$3:$Y$5001,Base!$B$3:$B$5001,K$197,Base!$A$3:$A$5001,_xlfn.MAXIFS(Base!$A$3:$A$5001,Base!$B$3:$B$5001,K$197,Base!$A$3:$A$5001,"&gt;="&amp;$C$7,Base!$A$3:$A$5001,"&lt;="&amp;$B203,Base!$Y$3:$Y$5001,"&lt;&gt;"))))</f>
        <v>1694</v>
      </c>
    </row>
    <row r="204">
      <c r="A204">
        <v>7</v>
      </c>
      <c r="B204" s="152">
        <f>$B$18</f>
        <v>46272</v>
      </c>
      <c r="C204">
        <f>IF($A204&gt;$B$9,"",IF(COUNTIFS(Base!$B$3:$B$5001,C$197,Base!$A$3:$A$5001,"&gt;="&amp;$C$7,Base!$A$3:$A$5001,"&lt;="&amp;$B204,Base!$Y$3:$Y$5001,"&lt;&gt;")=0,"",SUMIFS(Base!$Y$3:$Y$5001,Base!$B$3:$B$5001,C$197,Base!$A$3:$A$5001,_xlfn.MAXIFS(Base!$A$3:$A$5001,Base!$B$3:$B$5001,C$197,Base!$A$3:$A$5001,"&gt;="&amp;$C$7,Base!$A$3:$A$5001,"&lt;="&amp;$B204,Base!$Y$3:$Y$5001,"&lt;&gt;"))))</f>
        <v>1660</v>
      </c>
      <c r="D204">
        <f>IF($A204&gt;$B$9,"",IF(COUNTIFS(Base!$B$3:$B$5001,D$197,Base!$A$3:$A$5001,"&gt;="&amp;$C$7,Base!$A$3:$A$5001,"&lt;="&amp;$B204,Base!$Y$3:$Y$5001,"&lt;&gt;")=0,"",SUMIFS(Base!$Y$3:$Y$5001,Base!$B$3:$B$5001,D$197,Base!$A$3:$A$5001,_xlfn.MAXIFS(Base!$A$3:$A$5001,Base!$B$3:$B$5001,D$197,Base!$A$3:$A$5001,"&gt;="&amp;$C$7,Base!$A$3:$A$5001,"&lt;="&amp;$B204,Base!$Y$3:$Y$5001,"&lt;&gt;"))))</f>
        <v>939</v>
      </c>
      <c r="E204">
        <f>IF($A204&gt;$B$9,"",IF(COUNTIFS(Base!$B$3:$B$5001,E$197,Base!$A$3:$A$5001,"&gt;="&amp;$C$7,Base!$A$3:$A$5001,"&lt;="&amp;$B204,Base!$Y$3:$Y$5001,"&lt;&gt;")=0,"",SUMIFS(Base!$Y$3:$Y$5001,Base!$B$3:$B$5001,E$197,Base!$A$3:$A$5001,_xlfn.MAXIFS(Base!$A$3:$A$5001,Base!$B$3:$B$5001,E$197,Base!$A$3:$A$5001,"&gt;="&amp;$C$7,Base!$A$3:$A$5001,"&lt;="&amp;$B204,Base!$Y$3:$Y$5001,"&lt;&gt;"))))</f>
        <v>2613</v>
      </c>
      <c r="F204">
        <f>IF($A204&gt;$B$9,"",IF(COUNTIFS(Base!$B$3:$B$5001,F$197,Base!$A$3:$A$5001,"&gt;="&amp;$C$7,Base!$A$3:$A$5001,"&lt;="&amp;$B204,Base!$Y$3:$Y$5001,"&lt;&gt;")=0,"",SUMIFS(Base!$Y$3:$Y$5001,Base!$B$3:$B$5001,F$197,Base!$A$3:$A$5001,_xlfn.MAXIFS(Base!$A$3:$A$5001,Base!$B$3:$B$5001,F$197,Base!$A$3:$A$5001,"&gt;="&amp;$C$7,Base!$A$3:$A$5001,"&lt;="&amp;$B204,Base!$Y$3:$Y$5001,"&lt;&gt;"))))</f>
        <v>1425</v>
      </c>
      <c r="G204">
        <f>IF($A204&gt;$B$9,"",IF(COUNTIFS(Base!$B$3:$B$5001,G$197,Base!$A$3:$A$5001,"&gt;="&amp;$C$7,Base!$A$3:$A$5001,"&lt;="&amp;$B204,Base!$Y$3:$Y$5001,"&lt;&gt;")=0,"",SUMIFS(Base!$Y$3:$Y$5001,Base!$B$3:$B$5001,G$197,Base!$A$3:$A$5001,_xlfn.MAXIFS(Base!$A$3:$A$5001,Base!$B$3:$B$5001,G$197,Base!$A$3:$A$5001,"&gt;="&amp;$C$7,Base!$A$3:$A$5001,"&lt;="&amp;$B204,Base!$Y$3:$Y$5001,"&lt;&gt;"))))</f>
        <v>759</v>
      </c>
      <c r="H204">
        <f>IF($A204&gt;$B$9,"",IF(COUNTIFS(Base!$B$3:$B$5001,H$197,Base!$A$3:$A$5001,"&gt;="&amp;$C$7,Base!$A$3:$A$5001,"&lt;="&amp;$B204,Base!$Y$3:$Y$5001,"&lt;&gt;")=0,"",SUMIFS(Base!$Y$3:$Y$5001,Base!$B$3:$B$5001,H$197,Base!$A$3:$A$5001,_xlfn.MAXIFS(Base!$A$3:$A$5001,Base!$B$3:$B$5001,H$197,Base!$A$3:$A$5001,"&gt;="&amp;$C$7,Base!$A$3:$A$5001,"&lt;="&amp;$B204,Base!$Y$3:$Y$5001,"&lt;&gt;"))))</f>
        <v>431</v>
      </c>
      <c r="I204">
        <f>IF($A204&gt;$B$9,"",IF(COUNTIFS(Base!$B$3:$B$5001,I$197,Base!$A$3:$A$5001,"&gt;="&amp;$C$7,Base!$A$3:$A$5001,"&lt;="&amp;$B204,Base!$Y$3:$Y$5001,"&lt;&gt;")=0,"",SUMIFS(Base!$Y$3:$Y$5001,Base!$B$3:$B$5001,I$197,Base!$A$3:$A$5001,_xlfn.MAXIFS(Base!$A$3:$A$5001,Base!$B$3:$B$5001,I$197,Base!$A$3:$A$5001,"&gt;="&amp;$C$7,Base!$A$3:$A$5001,"&lt;="&amp;$B204,Base!$Y$3:$Y$5001,"&lt;&gt;"))))</f>
        <v>888</v>
      </c>
      <c r="J204">
        <f>IF($A204&gt;$B$9,"",IF(COUNTIFS(Base!$B$3:$B$5001,J$197,Base!$A$3:$A$5001,"&gt;="&amp;$C$7,Base!$A$3:$A$5001,"&lt;="&amp;$B204,Base!$Y$3:$Y$5001,"&lt;&gt;")=0,"",SUMIFS(Base!$Y$3:$Y$5001,Base!$B$3:$B$5001,J$197,Base!$A$3:$A$5001,_xlfn.MAXIFS(Base!$A$3:$A$5001,Base!$B$3:$B$5001,J$197,Base!$A$3:$A$5001,"&gt;="&amp;$C$7,Base!$A$3:$A$5001,"&lt;="&amp;$B204,Base!$Y$3:$Y$5001,"&lt;&gt;"))))</f>
        <v>307</v>
      </c>
      <c r="K204">
        <f>IF($A204&gt;$B$9,"",IF(COUNTIFS(Base!$B$3:$B$5001,K$197,Base!$A$3:$A$5001,"&gt;="&amp;$C$7,Base!$A$3:$A$5001,"&lt;="&amp;$B204,Base!$Y$3:$Y$5001,"&lt;&gt;")=0,"",SUMIFS(Base!$Y$3:$Y$5001,Base!$B$3:$B$5001,K$197,Base!$A$3:$A$5001,_xlfn.MAXIFS(Base!$A$3:$A$5001,Base!$B$3:$B$5001,K$197,Base!$A$3:$A$5001,"&gt;="&amp;$C$7,Base!$A$3:$A$5001,"&lt;="&amp;$B204,Base!$Y$3:$Y$5001,"&lt;&gt;"))))</f>
        <v>1660</v>
      </c>
    </row>
    <row r="205">
      <c r="A205">
        <v>8</v>
      </c>
      <c r="B205" s="152">
        <f>$B$19</f>
        <v>46273</v>
      </c>
      <c r="C205">
        <f>IF($A205&gt;$B$9,"",IF(COUNTIFS(Base!$B$3:$B$5001,C$197,Base!$A$3:$A$5001,"&gt;="&amp;$C$7,Base!$A$3:$A$5001,"&lt;="&amp;$B205,Base!$Y$3:$Y$5001,"&lt;&gt;")=0,"",SUMIFS(Base!$Y$3:$Y$5001,Base!$B$3:$B$5001,C$197,Base!$A$3:$A$5001,_xlfn.MAXIFS(Base!$A$3:$A$5001,Base!$B$3:$B$5001,C$197,Base!$A$3:$A$5001,"&gt;="&amp;$C$7,Base!$A$3:$A$5001,"&lt;="&amp;$B205,Base!$Y$3:$Y$5001,"&lt;&gt;"))))</f>
        <v>2055</v>
      </c>
      <c r="D205">
        <f>IF($A205&gt;$B$9,"",IF(COUNTIFS(Base!$B$3:$B$5001,D$197,Base!$A$3:$A$5001,"&gt;="&amp;$C$7,Base!$A$3:$A$5001,"&lt;="&amp;$B205,Base!$Y$3:$Y$5001,"&lt;&gt;")=0,"",SUMIFS(Base!$Y$3:$Y$5001,Base!$B$3:$B$5001,D$197,Base!$A$3:$A$5001,_xlfn.MAXIFS(Base!$A$3:$A$5001,Base!$B$3:$B$5001,D$197,Base!$A$3:$A$5001,"&gt;="&amp;$C$7,Base!$A$3:$A$5001,"&lt;="&amp;$B205,Base!$Y$3:$Y$5001,"&lt;&gt;"))))</f>
        <v>911</v>
      </c>
      <c r="E205">
        <f>IF($A205&gt;$B$9,"",IF(COUNTIFS(Base!$B$3:$B$5001,E$197,Base!$A$3:$A$5001,"&gt;="&amp;$C$7,Base!$A$3:$A$5001,"&lt;="&amp;$B205,Base!$Y$3:$Y$5001,"&lt;&gt;")=0,"",SUMIFS(Base!$Y$3:$Y$5001,Base!$B$3:$B$5001,E$197,Base!$A$3:$A$5001,_xlfn.MAXIFS(Base!$A$3:$A$5001,Base!$B$3:$B$5001,E$197,Base!$A$3:$A$5001,"&gt;="&amp;$C$7,Base!$A$3:$A$5001,"&lt;="&amp;$B205,Base!$Y$3:$Y$5001,"&lt;&gt;"))))</f>
        <v>2032</v>
      </c>
      <c r="F205">
        <f>IF($A205&gt;$B$9,"",IF(COUNTIFS(Base!$B$3:$B$5001,F$197,Base!$A$3:$A$5001,"&gt;="&amp;$C$7,Base!$A$3:$A$5001,"&lt;="&amp;$B205,Base!$Y$3:$Y$5001,"&lt;&gt;")=0,"",SUMIFS(Base!$Y$3:$Y$5001,Base!$B$3:$B$5001,F$197,Base!$A$3:$A$5001,_xlfn.MAXIFS(Base!$A$3:$A$5001,Base!$B$3:$B$5001,F$197,Base!$A$3:$A$5001,"&gt;="&amp;$C$7,Base!$A$3:$A$5001,"&lt;="&amp;$B205,Base!$Y$3:$Y$5001,"&lt;&gt;"))))</f>
        <v>939</v>
      </c>
      <c r="G205">
        <f>IF($A205&gt;$B$9,"",IF(COUNTIFS(Base!$B$3:$B$5001,G$197,Base!$A$3:$A$5001,"&gt;="&amp;$C$7,Base!$A$3:$A$5001,"&lt;="&amp;$B205,Base!$Y$3:$Y$5001,"&lt;&gt;")=0,"",SUMIFS(Base!$Y$3:$Y$5001,Base!$B$3:$B$5001,G$197,Base!$A$3:$A$5001,_xlfn.MAXIFS(Base!$A$3:$A$5001,Base!$B$3:$B$5001,G$197,Base!$A$3:$A$5001,"&gt;="&amp;$C$7,Base!$A$3:$A$5001,"&lt;="&amp;$B205,Base!$Y$3:$Y$5001,"&lt;&gt;"))))</f>
        <v>727</v>
      </c>
      <c r="H205">
        <f>IF($A205&gt;$B$9,"",IF(COUNTIFS(Base!$B$3:$B$5001,H$197,Base!$A$3:$A$5001,"&gt;="&amp;$C$7,Base!$A$3:$A$5001,"&lt;="&amp;$B205,Base!$Y$3:$Y$5001,"&lt;&gt;")=0,"",SUMIFS(Base!$Y$3:$Y$5001,Base!$B$3:$B$5001,H$197,Base!$A$3:$A$5001,_xlfn.MAXIFS(Base!$A$3:$A$5001,Base!$B$3:$B$5001,H$197,Base!$A$3:$A$5001,"&gt;="&amp;$C$7,Base!$A$3:$A$5001,"&lt;="&amp;$B205,Base!$Y$3:$Y$5001,"&lt;&gt;"))))</f>
        <v>370</v>
      </c>
      <c r="I205">
        <f>IF($A205&gt;$B$9,"",IF(COUNTIFS(Base!$B$3:$B$5001,I$197,Base!$A$3:$A$5001,"&gt;="&amp;$C$7,Base!$A$3:$A$5001,"&lt;="&amp;$B205,Base!$Y$3:$Y$5001,"&lt;&gt;")=0,"",SUMIFS(Base!$Y$3:$Y$5001,Base!$B$3:$B$5001,I$197,Base!$A$3:$A$5001,_xlfn.MAXIFS(Base!$A$3:$A$5001,Base!$B$3:$B$5001,I$197,Base!$A$3:$A$5001,"&gt;="&amp;$C$7,Base!$A$3:$A$5001,"&lt;="&amp;$B205,Base!$Y$3:$Y$5001,"&lt;&gt;"))))</f>
        <v>866</v>
      </c>
      <c r="J205">
        <f>IF($A205&gt;$B$9,"",IF(COUNTIFS(Base!$B$3:$B$5001,J$197,Base!$A$3:$A$5001,"&gt;="&amp;$C$7,Base!$A$3:$A$5001,"&lt;="&amp;$B205,Base!$Y$3:$Y$5001,"&lt;&gt;")=0,"",SUMIFS(Base!$Y$3:$Y$5001,Base!$B$3:$B$5001,J$197,Base!$A$3:$A$5001,_xlfn.MAXIFS(Base!$A$3:$A$5001,Base!$B$3:$B$5001,J$197,Base!$A$3:$A$5001,"&gt;="&amp;$C$7,Base!$A$3:$A$5001,"&lt;="&amp;$B205,Base!$Y$3:$Y$5001,"&lt;&gt;"))))</f>
        <v>293</v>
      </c>
      <c r="K205">
        <f>IF($A205&gt;$B$9,"",IF(COUNTIFS(Base!$B$3:$B$5001,K$197,Base!$A$3:$A$5001,"&gt;="&amp;$C$7,Base!$A$3:$A$5001,"&lt;="&amp;$B205,Base!$Y$3:$Y$5001,"&lt;&gt;")=0,"",SUMIFS(Base!$Y$3:$Y$5001,Base!$B$3:$B$5001,K$197,Base!$A$3:$A$5001,_xlfn.MAXIFS(Base!$A$3:$A$5001,Base!$B$3:$B$5001,K$197,Base!$A$3:$A$5001,"&gt;="&amp;$C$7,Base!$A$3:$A$5001,"&lt;="&amp;$B205,Base!$Y$3:$Y$5001,"&lt;&gt;"))))</f>
        <v>1384</v>
      </c>
    </row>
    <row r="206">
      <c r="A206">
        <v>9</v>
      </c>
      <c r="B206" s="152">
        <f>$B$20</f>
        <v>46274</v>
      </c>
      <c r="C206">
        <f>IF($A206&gt;$B$9,"",IF(COUNTIFS(Base!$B$3:$B$5001,C$197,Base!$A$3:$A$5001,"&gt;="&amp;$C$7,Base!$A$3:$A$5001,"&lt;="&amp;$B206,Base!$Y$3:$Y$5001,"&lt;&gt;")=0,"",SUMIFS(Base!$Y$3:$Y$5001,Base!$B$3:$B$5001,C$197,Base!$A$3:$A$5001,_xlfn.MAXIFS(Base!$A$3:$A$5001,Base!$B$3:$B$5001,C$197,Base!$A$3:$A$5001,"&gt;="&amp;$C$7,Base!$A$3:$A$5001,"&lt;="&amp;$B206,Base!$Y$3:$Y$5001,"&lt;&gt;"))))</f>
        <v>1673</v>
      </c>
      <c r="D206">
        <f>IF($A206&gt;$B$9,"",IF(COUNTIFS(Base!$B$3:$B$5001,D$197,Base!$A$3:$A$5001,"&gt;="&amp;$C$7,Base!$A$3:$A$5001,"&lt;="&amp;$B206,Base!$Y$3:$Y$5001,"&lt;&gt;")=0,"",SUMIFS(Base!$Y$3:$Y$5001,Base!$B$3:$B$5001,D$197,Base!$A$3:$A$5001,_xlfn.MAXIFS(Base!$A$3:$A$5001,Base!$B$3:$B$5001,D$197,Base!$A$3:$A$5001,"&gt;="&amp;$C$7,Base!$A$3:$A$5001,"&lt;="&amp;$B206,Base!$Y$3:$Y$5001,"&lt;&gt;"))))</f>
        <v>756</v>
      </c>
      <c r="E206">
        <f>IF($A206&gt;$B$9,"",IF(COUNTIFS(Base!$B$3:$B$5001,E$197,Base!$A$3:$A$5001,"&gt;="&amp;$C$7,Base!$A$3:$A$5001,"&lt;="&amp;$B206,Base!$Y$3:$Y$5001,"&lt;&gt;")=0,"",SUMIFS(Base!$Y$3:$Y$5001,Base!$B$3:$B$5001,E$197,Base!$A$3:$A$5001,_xlfn.MAXIFS(Base!$A$3:$A$5001,Base!$B$3:$B$5001,E$197,Base!$A$3:$A$5001,"&gt;="&amp;$C$7,Base!$A$3:$A$5001,"&lt;="&amp;$B206,Base!$Y$3:$Y$5001,"&lt;&gt;"))))</f>
        <v>2989</v>
      </c>
      <c r="F206">
        <f>IF($A206&gt;$B$9,"",IF(COUNTIFS(Base!$B$3:$B$5001,F$197,Base!$A$3:$A$5001,"&gt;="&amp;$C$7,Base!$A$3:$A$5001,"&lt;="&amp;$B206,Base!$Y$3:$Y$5001,"&lt;&gt;")=0,"",SUMIFS(Base!$Y$3:$Y$5001,Base!$B$3:$B$5001,F$197,Base!$A$3:$A$5001,_xlfn.MAXIFS(Base!$A$3:$A$5001,Base!$B$3:$B$5001,F$197,Base!$A$3:$A$5001,"&gt;="&amp;$C$7,Base!$A$3:$A$5001,"&lt;="&amp;$B206,Base!$Y$3:$Y$5001,"&lt;&gt;"))))</f>
        <v>1398</v>
      </c>
      <c r="G206">
        <f>IF($A206&gt;$B$9,"",IF(COUNTIFS(Base!$B$3:$B$5001,G$197,Base!$A$3:$A$5001,"&gt;="&amp;$C$7,Base!$A$3:$A$5001,"&lt;="&amp;$B206,Base!$Y$3:$Y$5001,"&lt;&gt;")=0,"",SUMIFS(Base!$Y$3:$Y$5001,Base!$B$3:$B$5001,G$197,Base!$A$3:$A$5001,_xlfn.MAXIFS(Base!$A$3:$A$5001,Base!$B$3:$B$5001,G$197,Base!$A$3:$A$5001,"&gt;="&amp;$C$7,Base!$A$3:$A$5001,"&lt;="&amp;$B206,Base!$Y$3:$Y$5001,"&lt;&gt;"))))</f>
        <v>791</v>
      </c>
      <c r="H206">
        <f>IF($A206&gt;$B$9,"",IF(COUNTIFS(Base!$B$3:$B$5001,H$197,Base!$A$3:$A$5001,"&gt;="&amp;$C$7,Base!$A$3:$A$5001,"&lt;="&amp;$B206,Base!$Y$3:$Y$5001,"&lt;&gt;")=0,"",SUMIFS(Base!$Y$3:$Y$5001,Base!$B$3:$B$5001,H$197,Base!$A$3:$A$5001,_xlfn.MAXIFS(Base!$A$3:$A$5001,Base!$B$3:$B$5001,H$197,Base!$A$3:$A$5001,"&gt;="&amp;$C$7,Base!$A$3:$A$5001,"&lt;="&amp;$B206,Base!$Y$3:$Y$5001,"&lt;&gt;"))))</f>
        <v>443</v>
      </c>
      <c r="I206">
        <f>IF($A206&gt;$B$9,"",IF(COUNTIFS(Base!$B$3:$B$5001,I$197,Base!$A$3:$A$5001,"&gt;="&amp;$C$7,Base!$A$3:$A$5001,"&lt;="&amp;$B206,Base!$Y$3:$Y$5001,"&lt;&gt;")=0,"",SUMIFS(Base!$Y$3:$Y$5001,Base!$B$3:$B$5001,I$197,Base!$A$3:$A$5001,_xlfn.MAXIFS(Base!$A$3:$A$5001,Base!$B$3:$B$5001,I$197,Base!$A$3:$A$5001,"&gt;="&amp;$C$7,Base!$A$3:$A$5001,"&lt;="&amp;$B206,Base!$Y$3:$Y$5001,"&lt;&gt;"))))</f>
        <v>848</v>
      </c>
      <c r="J206">
        <f>IF($A206&gt;$B$9,"",IF(COUNTIFS(Base!$B$3:$B$5001,J$197,Base!$A$3:$A$5001,"&gt;="&amp;$C$7,Base!$A$3:$A$5001,"&lt;="&amp;$B206,Base!$Y$3:$Y$5001,"&lt;&gt;")=0,"",SUMIFS(Base!$Y$3:$Y$5001,Base!$B$3:$B$5001,J$197,Base!$A$3:$A$5001,_xlfn.MAXIFS(Base!$A$3:$A$5001,Base!$B$3:$B$5001,J$197,Base!$A$3:$A$5001,"&gt;="&amp;$C$7,Base!$A$3:$A$5001,"&lt;="&amp;$B206,Base!$Y$3:$Y$5001,"&lt;&gt;"))))</f>
        <v>281</v>
      </c>
      <c r="K206">
        <f>IF($A206&gt;$B$9,"",IF(COUNTIFS(Base!$B$3:$B$5001,K$197,Base!$A$3:$A$5001,"&gt;="&amp;$C$7,Base!$A$3:$A$5001,"&lt;="&amp;$B206,Base!$Y$3:$Y$5001,"&lt;&gt;")=0,"",SUMIFS(Base!$Y$3:$Y$5001,Base!$B$3:$B$5001,K$197,Base!$A$3:$A$5001,_xlfn.MAXIFS(Base!$A$3:$A$5001,Base!$B$3:$B$5001,K$197,Base!$A$3:$A$5001,"&gt;="&amp;$C$7,Base!$A$3:$A$5001,"&lt;="&amp;$B206,Base!$Y$3:$Y$5001,"&lt;&gt;"))))</f>
        <v>1083</v>
      </c>
    </row>
    <row r="207">
      <c r="A207">
        <v>10</v>
      </c>
      <c r="B207" s="152">
        <f>$B$21</f>
        <v>46275</v>
      </c>
      <c r="C207">
        <f>IF($A207&gt;$B$9,"",IF(COUNTIFS(Base!$B$3:$B$5001,C$197,Base!$A$3:$A$5001,"&gt;="&amp;$C$7,Base!$A$3:$A$5001,"&lt;="&amp;$B207,Base!$Y$3:$Y$5001,"&lt;&gt;")=0,"",SUMIFS(Base!$Y$3:$Y$5001,Base!$B$3:$B$5001,C$197,Base!$A$3:$A$5001,_xlfn.MAXIFS(Base!$A$3:$A$5001,Base!$B$3:$B$5001,C$197,Base!$A$3:$A$5001,"&gt;="&amp;$C$7,Base!$A$3:$A$5001,"&lt;="&amp;$B207,Base!$Y$3:$Y$5001,"&lt;&gt;"))))</f>
        <v>1902</v>
      </c>
      <c r="D207">
        <f>IF($A207&gt;$B$9,"",IF(COUNTIFS(Base!$B$3:$B$5001,D$197,Base!$A$3:$A$5001,"&gt;="&amp;$C$7,Base!$A$3:$A$5001,"&lt;="&amp;$B207,Base!$Y$3:$Y$5001,"&lt;&gt;")=0,"",SUMIFS(Base!$Y$3:$Y$5001,Base!$B$3:$B$5001,D$197,Base!$A$3:$A$5001,_xlfn.MAXIFS(Base!$A$3:$A$5001,Base!$B$3:$B$5001,D$197,Base!$A$3:$A$5001,"&gt;="&amp;$C$7,Base!$A$3:$A$5001,"&lt;="&amp;$B207,Base!$Y$3:$Y$5001,"&lt;&gt;"))))</f>
        <v>754</v>
      </c>
      <c r="E207">
        <f>IF($A207&gt;$B$9,"",IF(COUNTIFS(Base!$B$3:$B$5001,E$197,Base!$A$3:$A$5001,"&gt;="&amp;$C$7,Base!$A$3:$A$5001,"&lt;="&amp;$B207,Base!$Y$3:$Y$5001,"&lt;&gt;")=0,"",SUMIFS(Base!$Y$3:$Y$5001,Base!$B$3:$B$5001,E$197,Base!$A$3:$A$5001,_xlfn.MAXIFS(Base!$A$3:$A$5001,Base!$B$3:$B$5001,E$197,Base!$A$3:$A$5001,"&gt;="&amp;$C$7,Base!$A$3:$A$5001,"&lt;="&amp;$B207,Base!$Y$3:$Y$5001,"&lt;&gt;"))))</f>
        <v>2504</v>
      </c>
      <c r="F207">
        <f>IF($A207&gt;$B$9,"",IF(COUNTIFS(Base!$B$3:$B$5001,F$197,Base!$A$3:$A$5001,"&gt;="&amp;$C$7,Base!$A$3:$A$5001,"&lt;="&amp;$B207,Base!$Y$3:$Y$5001,"&lt;&gt;")=0,"",SUMIFS(Base!$Y$3:$Y$5001,Base!$B$3:$B$5001,F$197,Base!$A$3:$A$5001,_xlfn.MAXIFS(Base!$A$3:$A$5001,Base!$B$3:$B$5001,F$197,Base!$A$3:$A$5001,"&gt;="&amp;$C$7,Base!$A$3:$A$5001,"&lt;="&amp;$B207,Base!$Y$3:$Y$5001,"&lt;&gt;"))))</f>
        <v>1426</v>
      </c>
      <c r="G207">
        <f>IF($A207&gt;$B$9,"",IF(COUNTIFS(Base!$B$3:$B$5001,G$197,Base!$A$3:$A$5001,"&gt;="&amp;$C$7,Base!$A$3:$A$5001,"&lt;="&amp;$B207,Base!$Y$3:$Y$5001,"&lt;&gt;")=0,"",SUMIFS(Base!$Y$3:$Y$5001,Base!$B$3:$B$5001,G$197,Base!$A$3:$A$5001,_xlfn.MAXIFS(Base!$A$3:$A$5001,Base!$B$3:$B$5001,G$197,Base!$A$3:$A$5001,"&gt;="&amp;$C$7,Base!$A$3:$A$5001,"&lt;="&amp;$B207,Base!$Y$3:$Y$5001,"&lt;&gt;"))))</f>
        <v>700</v>
      </c>
      <c r="H207">
        <f>IF($A207&gt;$B$9,"",IF(COUNTIFS(Base!$B$3:$B$5001,H$197,Base!$A$3:$A$5001,"&gt;="&amp;$C$7,Base!$A$3:$A$5001,"&lt;="&amp;$B207,Base!$Y$3:$Y$5001,"&lt;&gt;")=0,"",SUMIFS(Base!$Y$3:$Y$5001,Base!$B$3:$B$5001,H$197,Base!$A$3:$A$5001,_xlfn.MAXIFS(Base!$A$3:$A$5001,Base!$B$3:$B$5001,H$197,Base!$A$3:$A$5001,"&gt;="&amp;$C$7,Base!$A$3:$A$5001,"&lt;="&amp;$B207,Base!$Y$3:$Y$5001,"&lt;&gt;"))))</f>
        <v>412</v>
      </c>
      <c r="I207">
        <f>IF($A207&gt;$B$9,"",IF(COUNTIFS(Base!$B$3:$B$5001,I$197,Base!$A$3:$A$5001,"&gt;="&amp;$C$7,Base!$A$3:$A$5001,"&lt;="&amp;$B207,Base!$Y$3:$Y$5001,"&lt;&gt;")=0,"",SUMIFS(Base!$Y$3:$Y$5001,Base!$B$3:$B$5001,I$197,Base!$A$3:$A$5001,_xlfn.MAXIFS(Base!$A$3:$A$5001,Base!$B$3:$B$5001,I$197,Base!$A$3:$A$5001,"&gt;="&amp;$C$7,Base!$A$3:$A$5001,"&lt;="&amp;$B207,Base!$Y$3:$Y$5001,"&lt;&gt;"))))</f>
        <v>1145</v>
      </c>
      <c r="J207">
        <f>IF($A207&gt;$B$9,"",IF(COUNTIFS(Base!$B$3:$B$5001,J$197,Base!$A$3:$A$5001,"&gt;="&amp;$C$7,Base!$A$3:$A$5001,"&lt;="&amp;$B207,Base!$Y$3:$Y$5001,"&lt;&gt;")=0,"",SUMIFS(Base!$Y$3:$Y$5001,Base!$B$3:$B$5001,J$197,Base!$A$3:$A$5001,_xlfn.MAXIFS(Base!$A$3:$A$5001,Base!$B$3:$B$5001,J$197,Base!$A$3:$A$5001,"&gt;="&amp;$C$7,Base!$A$3:$A$5001,"&lt;="&amp;$B207,Base!$Y$3:$Y$5001,"&lt;&gt;"))))</f>
        <v>362</v>
      </c>
      <c r="K207">
        <f>IF($A207&gt;$B$9,"",IF(COUNTIFS(Base!$B$3:$B$5001,K$197,Base!$A$3:$A$5001,"&gt;="&amp;$C$7,Base!$A$3:$A$5001,"&lt;="&amp;$B207,Base!$Y$3:$Y$5001,"&lt;&gt;")=0,"",SUMIFS(Base!$Y$3:$Y$5001,Base!$B$3:$B$5001,K$197,Base!$A$3:$A$5001,_xlfn.MAXIFS(Base!$A$3:$A$5001,Base!$B$3:$B$5001,K$197,Base!$A$3:$A$5001,"&gt;="&amp;$C$7,Base!$A$3:$A$5001,"&lt;="&amp;$B207,Base!$Y$3:$Y$5001,"&lt;&gt;"))))</f>
        <v>1314</v>
      </c>
    </row>
    <row r="208">
      <c r="A208">
        <v>11</v>
      </c>
      <c r="B208" s="152">
        <f>$B$22</f>
        <v>46276</v>
      </c>
      <c r="C208">
        <f>IF($A208&gt;$B$9,"",IF(COUNTIFS(Base!$B$3:$B$5001,C$197,Base!$A$3:$A$5001,"&gt;="&amp;$C$7,Base!$A$3:$A$5001,"&lt;="&amp;$B208,Base!$Y$3:$Y$5001,"&lt;&gt;")=0,"",SUMIFS(Base!$Y$3:$Y$5001,Base!$B$3:$B$5001,C$197,Base!$A$3:$A$5001,_xlfn.MAXIFS(Base!$A$3:$A$5001,Base!$B$3:$B$5001,C$197,Base!$A$3:$A$5001,"&gt;="&amp;$C$7,Base!$A$3:$A$5001,"&lt;="&amp;$B208,Base!$Y$3:$Y$5001,"&lt;&gt;"))))</f>
        <v>1281</v>
      </c>
      <c r="D208">
        <f>IF($A208&gt;$B$9,"",IF(COUNTIFS(Base!$B$3:$B$5001,D$197,Base!$A$3:$A$5001,"&gt;="&amp;$C$7,Base!$A$3:$A$5001,"&lt;="&amp;$B208,Base!$Y$3:$Y$5001,"&lt;&gt;")=0,"",SUMIFS(Base!$Y$3:$Y$5001,Base!$B$3:$B$5001,D$197,Base!$A$3:$A$5001,_xlfn.MAXIFS(Base!$A$3:$A$5001,Base!$B$3:$B$5001,D$197,Base!$A$3:$A$5001,"&gt;="&amp;$C$7,Base!$A$3:$A$5001,"&lt;="&amp;$B208,Base!$Y$3:$Y$5001,"&lt;&gt;"))))</f>
        <v>752</v>
      </c>
      <c r="E208">
        <f>IF($A208&gt;$B$9,"",IF(COUNTIFS(Base!$B$3:$B$5001,E$197,Base!$A$3:$A$5001,"&gt;="&amp;$C$7,Base!$A$3:$A$5001,"&lt;="&amp;$B208,Base!$Y$3:$Y$5001,"&lt;&gt;")=0,"",SUMIFS(Base!$Y$3:$Y$5001,Base!$B$3:$B$5001,E$197,Base!$A$3:$A$5001,_xlfn.MAXIFS(Base!$A$3:$A$5001,Base!$B$3:$B$5001,E$197,Base!$A$3:$A$5001,"&gt;="&amp;$C$7,Base!$A$3:$A$5001,"&lt;="&amp;$B208,Base!$Y$3:$Y$5001,"&lt;&gt;"))))</f>
        <v>3106</v>
      </c>
      <c r="F208">
        <f>IF($A208&gt;$B$9,"",IF(COUNTIFS(Base!$B$3:$B$5001,F$197,Base!$A$3:$A$5001,"&gt;="&amp;$C$7,Base!$A$3:$A$5001,"&lt;="&amp;$B208,Base!$Y$3:$Y$5001,"&lt;&gt;")=0,"",SUMIFS(Base!$Y$3:$Y$5001,Base!$B$3:$B$5001,F$197,Base!$A$3:$A$5001,_xlfn.MAXIFS(Base!$A$3:$A$5001,Base!$B$3:$B$5001,F$197,Base!$A$3:$A$5001,"&gt;="&amp;$C$7,Base!$A$3:$A$5001,"&lt;="&amp;$B208,Base!$Y$3:$Y$5001,"&lt;&gt;"))))</f>
        <v>1035</v>
      </c>
      <c r="G208">
        <f>IF($A208&gt;$B$9,"",IF(COUNTIFS(Base!$B$3:$B$5001,G$197,Base!$A$3:$A$5001,"&gt;="&amp;$C$7,Base!$A$3:$A$5001,"&lt;="&amp;$B208,Base!$Y$3:$Y$5001,"&lt;&gt;")=0,"",SUMIFS(Base!$Y$3:$Y$5001,Base!$B$3:$B$5001,G$197,Base!$A$3:$A$5001,_xlfn.MAXIFS(Base!$A$3:$A$5001,Base!$B$3:$B$5001,G$197,Base!$A$3:$A$5001,"&gt;="&amp;$C$7,Base!$A$3:$A$5001,"&lt;="&amp;$B208,Base!$Y$3:$Y$5001,"&lt;&gt;"))))</f>
        <v>823</v>
      </c>
      <c r="H208">
        <f>IF($A208&gt;$B$9,"",IF(COUNTIFS(Base!$B$3:$B$5001,H$197,Base!$A$3:$A$5001,"&gt;="&amp;$C$7,Base!$A$3:$A$5001,"&lt;="&amp;$B208,Base!$Y$3:$Y$5001,"&lt;&gt;")=0,"",SUMIFS(Base!$Y$3:$Y$5001,Base!$B$3:$B$5001,H$197,Base!$A$3:$A$5001,_xlfn.MAXIFS(Base!$A$3:$A$5001,Base!$B$3:$B$5001,H$197,Base!$A$3:$A$5001,"&gt;="&amp;$C$7,Base!$A$3:$A$5001,"&lt;="&amp;$B208,Base!$Y$3:$Y$5001,"&lt;&gt;"))))</f>
        <v>485</v>
      </c>
      <c r="I208">
        <f>IF($A208&gt;$B$9,"",IF(COUNTIFS(Base!$B$3:$B$5001,I$197,Base!$A$3:$A$5001,"&gt;="&amp;$C$7,Base!$A$3:$A$5001,"&lt;="&amp;$B208,Base!$Y$3:$Y$5001,"&lt;&gt;")=0,"",SUMIFS(Base!$Y$3:$Y$5001,Base!$B$3:$B$5001,I$197,Base!$A$3:$A$5001,_xlfn.MAXIFS(Base!$A$3:$A$5001,Base!$B$3:$B$5001,I$197,Base!$A$3:$A$5001,"&gt;="&amp;$C$7,Base!$A$3:$A$5001,"&lt;="&amp;$B208,Base!$Y$3:$Y$5001,"&lt;&gt;"))))</f>
        <v>1048</v>
      </c>
      <c r="J208">
        <f>IF($A208&gt;$B$9,"",IF(COUNTIFS(Base!$B$3:$B$5001,J$197,Base!$A$3:$A$5001,"&gt;="&amp;$C$7,Base!$A$3:$A$5001,"&lt;="&amp;$B208,Base!$Y$3:$Y$5001,"&lt;&gt;")=0,"",SUMIFS(Base!$Y$3:$Y$5001,Base!$B$3:$B$5001,J$197,Base!$A$3:$A$5001,_xlfn.MAXIFS(Base!$A$3:$A$5001,Base!$B$3:$B$5001,J$197,Base!$A$3:$A$5001,"&gt;="&amp;$C$7,Base!$A$3:$A$5001,"&lt;="&amp;$B208,Base!$Y$3:$Y$5001,"&lt;&gt;"))))</f>
        <v>348</v>
      </c>
      <c r="K208">
        <f>IF($A208&gt;$B$9,"",IF(COUNTIFS(Base!$B$3:$B$5001,K$197,Base!$A$3:$A$5001,"&gt;="&amp;$C$7,Base!$A$3:$A$5001,"&lt;="&amp;$B208,Base!$Y$3:$Y$5001,"&lt;&gt;")=0,"",SUMIFS(Base!$Y$3:$Y$5001,Base!$B$3:$B$5001,K$197,Base!$A$3:$A$5001,_xlfn.MAXIFS(Base!$A$3:$A$5001,Base!$B$3:$B$5001,K$197,Base!$A$3:$A$5001,"&gt;="&amp;$C$7,Base!$A$3:$A$5001,"&lt;="&amp;$B208,Base!$Y$3:$Y$5001,"&lt;&gt;"))))</f>
        <v>1458</v>
      </c>
    </row>
    <row r="209">
      <c r="A209">
        <v>12</v>
      </c>
      <c r="B209" s="152">
        <f>$B$23</f>
        <v>46277</v>
      </c>
      <c r="C209">
        <f>IF($A209&gt;$B$9,"",IF(COUNTIFS(Base!$B$3:$B$5001,C$197,Base!$A$3:$A$5001,"&gt;="&amp;$C$7,Base!$A$3:$A$5001,"&lt;="&amp;$B209,Base!$Y$3:$Y$5001,"&lt;&gt;")=0,"",SUMIFS(Base!$Y$3:$Y$5001,Base!$B$3:$B$5001,C$197,Base!$A$3:$A$5001,_xlfn.MAXIFS(Base!$A$3:$A$5001,Base!$B$3:$B$5001,C$197,Base!$A$3:$A$5001,"&gt;="&amp;$C$7,Base!$A$3:$A$5001,"&lt;="&amp;$B209,Base!$Y$3:$Y$5001,"&lt;&gt;"))))</f>
        <v>1581</v>
      </c>
      <c r="D209">
        <f>IF($A209&gt;$B$9,"",IF(COUNTIFS(Base!$B$3:$B$5001,D$197,Base!$A$3:$A$5001,"&gt;="&amp;$C$7,Base!$A$3:$A$5001,"&lt;="&amp;$B209,Base!$Y$3:$Y$5001,"&lt;&gt;")=0,"",SUMIFS(Base!$Y$3:$Y$5001,Base!$B$3:$B$5001,D$197,Base!$A$3:$A$5001,_xlfn.MAXIFS(Base!$A$3:$A$5001,Base!$B$3:$B$5001,D$197,Base!$A$3:$A$5001,"&gt;="&amp;$C$7,Base!$A$3:$A$5001,"&lt;="&amp;$B209,Base!$Y$3:$Y$5001,"&lt;&gt;"))))</f>
        <v>1132</v>
      </c>
      <c r="E209">
        <f>IF($A209&gt;$B$9,"",IF(COUNTIFS(Base!$B$3:$B$5001,E$197,Base!$A$3:$A$5001,"&gt;="&amp;$C$7,Base!$A$3:$A$5001,"&lt;="&amp;$B209,Base!$Y$3:$Y$5001,"&lt;&gt;")=0,"",SUMIFS(Base!$Y$3:$Y$5001,Base!$B$3:$B$5001,E$197,Base!$A$3:$A$5001,_xlfn.MAXIFS(Base!$A$3:$A$5001,Base!$B$3:$B$5001,E$197,Base!$A$3:$A$5001,"&gt;="&amp;$C$7,Base!$A$3:$A$5001,"&lt;="&amp;$B209,Base!$Y$3:$Y$5001,"&lt;&gt;"))))</f>
        <v>1956</v>
      </c>
      <c r="F209">
        <f>IF($A209&gt;$B$9,"",IF(COUNTIFS(Base!$B$3:$B$5001,F$197,Base!$A$3:$A$5001,"&gt;="&amp;$C$7,Base!$A$3:$A$5001,"&lt;="&amp;$B209,Base!$Y$3:$Y$5001,"&lt;&gt;")=0,"",SUMIFS(Base!$Y$3:$Y$5001,Base!$B$3:$B$5001,F$197,Base!$A$3:$A$5001,_xlfn.MAXIFS(Base!$A$3:$A$5001,Base!$B$3:$B$5001,F$197,Base!$A$3:$A$5001,"&gt;="&amp;$C$7,Base!$A$3:$A$5001,"&lt;="&amp;$B209,Base!$Y$3:$Y$5001,"&lt;&gt;"))))</f>
        <v>1399</v>
      </c>
      <c r="G209">
        <f>IF($A209&gt;$B$9,"",IF(COUNTIFS(Base!$B$3:$B$5001,G$197,Base!$A$3:$A$5001,"&gt;="&amp;$C$7,Base!$A$3:$A$5001,"&lt;="&amp;$B209,Base!$Y$3:$Y$5001,"&lt;&gt;")=0,"",SUMIFS(Base!$Y$3:$Y$5001,Base!$B$3:$B$5001,G$197,Base!$A$3:$A$5001,_xlfn.MAXIFS(Base!$A$3:$A$5001,Base!$B$3:$B$5001,G$197,Base!$A$3:$A$5001,"&gt;="&amp;$C$7,Base!$A$3:$A$5001,"&lt;="&amp;$B209,Base!$Y$3:$Y$5001,"&lt;&gt;"))))</f>
        <v>733</v>
      </c>
      <c r="H209">
        <f>IF($A209&gt;$B$9,"",IF(COUNTIFS(Base!$B$3:$B$5001,H$197,Base!$A$3:$A$5001,"&gt;="&amp;$C$7,Base!$A$3:$A$5001,"&lt;="&amp;$B209,Base!$Y$3:$Y$5001,"&lt;&gt;")=0,"",SUMIFS(Base!$Y$3:$Y$5001,Base!$B$3:$B$5001,H$197,Base!$A$3:$A$5001,_xlfn.MAXIFS(Base!$A$3:$A$5001,Base!$B$3:$B$5001,H$197,Base!$A$3:$A$5001,"&gt;="&amp;$C$7,Base!$A$3:$A$5001,"&lt;="&amp;$B209,Base!$Y$3:$Y$5001,"&lt;&gt;"))))</f>
        <v>451</v>
      </c>
      <c r="I209">
        <f>IF($A209&gt;$B$9,"",IF(COUNTIFS(Base!$B$3:$B$5001,I$197,Base!$A$3:$A$5001,"&gt;="&amp;$C$7,Base!$A$3:$A$5001,"&lt;="&amp;$B209,Base!$Y$3:$Y$5001,"&lt;&gt;")=0,"",SUMIFS(Base!$Y$3:$Y$5001,Base!$B$3:$B$5001,I$197,Base!$A$3:$A$5001,_xlfn.MAXIFS(Base!$A$3:$A$5001,Base!$B$3:$B$5001,I$197,Base!$A$3:$A$5001,"&gt;="&amp;$C$7,Base!$A$3:$A$5001,"&lt;="&amp;$B209,Base!$Y$3:$Y$5001,"&lt;&gt;"))))</f>
        <v>1091</v>
      </c>
      <c r="J209">
        <f>IF($A209&gt;$B$9,"",IF(COUNTIFS(Base!$B$3:$B$5001,J$197,Base!$A$3:$A$5001,"&gt;="&amp;$C$7,Base!$A$3:$A$5001,"&lt;="&amp;$B209,Base!$Y$3:$Y$5001,"&lt;&gt;")=0,"",SUMIFS(Base!$Y$3:$Y$5001,Base!$B$3:$B$5001,J$197,Base!$A$3:$A$5001,_xlfn.MAXIFS(Base!$A$3:$A$5001,Base!$B$3:$B$5001,J$197,Base!$A$3:$A$5001,"&gt;="&amp;$C$7,Base!$A$3:$A$5001,"&lt;="&amp;$B209,Base!$Y$3:$Y$5001,"&lt;&gt;"))))</f>
        <v>419</v>
      </c>
      <c r="K209">
        <f>IF($A209&gt;$B$9,"",IF(COUNTIFS(Base!$B$3:$B$5001,K$197,Base!$A$3:$A$5001,"&gt;="&amp;$C$7,Base!$A$3:$A$5001,"&lt;="&amp;$B209,Base!$Y$3:$Y$5001,"&lt;&gt;")=0,"",SUMIFS(Base!$Y$3:$Y$5001,Base!$B$3:$B$5001,K$197,Base!$A$3:$A$5001,_xlfn.MAXIFS(Base!$A$3:$A$5001,Base!$B$3:$B$5001,K$197,Base!$A$3:$A$5001,"&gt;="&amp;$C$7,Base!$A$3:$A$5001,"&lt;="&amp;$B209,Base!$Y$3:$Y$5001,"&lt;&gt;"))))</f>
        <v>1299</v>
      </c>
    </row>
    <row r="210">
      <c r="A210">
        <v>13</v>
      </c>
      <c r="B210" s="152">
        <f>$B$24</f>
        <v>46278</v>
      </c>
      <c r="C210">
        <f>IF($A210&gt;$B$9,"",IF(COUNTIFS(Base!$B$3:$B$5001,C$197,Base!$A$3:$A$5001,"&gt;="&amp;$C$7,Base!$A$3:$A$5001,"&lt;="&amp;$B210,Base!$Y$3:$Y$5001,"&lt;&gt;")=0,"",SUMIFS(Base!$Y$3:$Y$5001,Base!$B$3:$B$5001,C$197,Base!$A$3:$A$5001,_xlfn.MAXIFS(Base!$A$3:$A$5001,Base!$B$3:$B$5001,C$197,Base!$A$3:$A$5001,"&gt;="&amp;$C$7,Base!$A$3:$A$5001,"&lt;="&amp;$B210,Base!$Y$3:$Y$5001,"&lt;&gt;"))))</f>
        <v>1581</v>
      </c>
      <c r="D210">
        <f>IF($A210&gt;$B$9,"",IF(COUNTIFS(Base!$B$3:$B$5001,D$197,Base!$A$3:$A$5001,"&gt;="&amp;$C$7,Base!$A$3:$A$5001,"&lt;="&amp;$B210,Base!$Y$3:$Y$5001,"&lt;&gt;")=0,"",SUMIFS(Base!$Y$3:$Y$5001,Base!$B$3:$B$5001,D$197,Base!$A$3:$A$5001,_xlfn.MAXIFS(Base!$A$3:$A$5001,Base!$B$3:$B$5001,D$197,Base!$A$3:$A$5001,"&gt;="&amp;$C$7,Base!$A$3:$A$5001,"&lt;="&amp;$B210,Base!$Y$3:$Y$5001,"&lt;&gt;"))))</f>
        <v>1132</v>
      </c>
      <c r="E210">
        <f>IF($A210&gt;$B$9,"",IF(COUNTIFS(Base!$B$3:$B$5001,E$197,Base!$A$3:$A$5001,"&gt;="&amp;$C$7,Base!$A$3:$A$5001,"&lt;="&amp;$B210,Base!$Y$3:$Y$5001,"&lt;&gt;")=0,"",SUMIFS(Base!$Y$3:$Y$5001,Base!$B$3:$B$5001,E$197,Base!$A$3:$A$5001,_xlfn.MAXIFS(Base!$A$3:$A$5001,Base!$B$3:$B$5001,E$197,Base!$A$3:$A$5001,"&gt;="&amp;$C$7,Base!$A$3:$A$5001,"&lt;="&amp;$B210,Base!$Y$3:$Y$5001,"&lt;&gt;"))))</f>
        <v>1956</v>
      </c>
      <c r="F210">
        <f>IF($A210&gt;$B$9,"",IF(COUNTIFS(Base!$B$3:$B$5001,F$197,Base!$A$3:$A$5001,"&gt;="&amp;$C$7,Base!$A$3:$A$5001,"&lt;="&amp;$B210,Base!$Y$3:$Y$5001,"&lt;&gt;")=0,"",SUMIFS(Base!$Y$3:$Y$5001,Base!$B$3:$B$5001,F$197,Base!$A$3:$A$5001,_xlfn.MAXIFS(Base!$A$3:$A$5001,Base!$B$3:$B$5001,F$197,Base!$A$3:$A$5001,"&gt;="&amp;$C$7,Base!$A$3:$A$5001,"&lt;="&amp;$B210,Base!$Y$3:$Y$5001,"&lt;&gt;"))))</f>
        <v>1399</v>
      </c>
      <c r="G210">
        <f>IF($A210&gt;$B$9,"",IF(COUNTIFS(Base!$B$3:$B$5001,G$197,Base!$A$3:$A$5001,"&gt;="&amp;$C$7,Base!$A$3:$A$5001,"&lt;="&amp;$B210,Base!$Y$3:$Y$5001,"&lt;&gt;")=0,"",SUMIFS(Base!$Y$3:$Y$5001,Base!$B$3:$B$5001,G$197,Base!$A$3:$A$5001,_xlfn.MAXIFS(Base!$A$3:$A$5001,Base!$B$3:$B$5001,G$197,Base!$A$3:$A$5001,"&gt;="&amp;$C$7,Base!$A$3:$A$5001,"&lt;="&amp;$B210,Base!$Y$3:$Y$5001,"&lt;&gt;"))))</f>
        <v>733</v>
      </c>
      <c r="H210">
        <f>IF($A210&gt;$B$9,"",IF(COUNTIFS(Base!$B$3:$B$5001,H$197,Base!$A$3:$A$5001,"&gt;="&amp;$C$7,Base!$A$3:$A$5001,"&lt;="&amp;$B210,Base!$Y$3:$Y$5001,"&lt;&gt;")=0,"",SUMIFS(Base!$Y$3:$Y$5001,Base!$B$3:$B$5001,H$197,Base!$A$3:$A$5001,_xlfn.MAXIFS(Base!$A$3:$A$5001,Base!$B$3:$B$5001,H$197,Base!$A$3:$A$5001,"&gt;="&amp;$C$7,Base!$A$3:$A$5001,"&lt;="&amp;$B210,Base!$Y$3:$Y$5001,"&lt;&gt;"))))</f>
        <v>451</v>
      </c>
      <c r="I210">
        <f>IF($A210&gt;$B$9,"",IF(COUNTIFS(Base!$B$3:$B$5001,I$197,Base!$A$3:$A$5001,"&gt;="&amp;$C$7,Base!$A$3:$A$5001,"&lt;="&amp;$B210,Base!$Y$3:$Y$5001,"&lt;&gt;")=0,"",SUMIFS(Base!$Y$3:$Y$5001,Base!$B$3:$B$5001,I$197,Base!$A$3:$A$5001,_xlfn.MAXIFS(Base!$A$3:$A$5001,Base!$B$3:$B$5001,I$197,Base!$A$3:$A$5001,"&gt;="&amp;$C$7,Base!$A$3:$A$5001,"&lt;="&amp;$B210,Base!$Y$3:$Y$5001,"&lt;&gt;"))))</f>
        <v>1091</v>
      </c>
      <c r="J210">
        <f>IF($A210&gt;$B$9,"",IF(COUNTIFS(Base!$B$3:$B$5001,J$197,Base!$A$3:$A$5001,"&gt;="&amp;$C$7,Base!$A$3:$A$5001,"&lt;="&amp;$B210,Base!$Y$3:$Y$5001,"&lt;&gt;")=0,"",SUMIFS(Base!$Y$3:$Y$5001,Base!$B$3:$B$5001,J$197,Base!$A$3:$A$5001,_xlfn.MAXIFS(Base!$A$3:$A$5001,Base!$B$3:$B$5001,J$197,Base!$A$3:$A$5001,"&gt;="&amp;$C$7,Base!$A$3:$A$5001,"&lt;="&amp;$B210,Base!$Y$3:$Y$5001,"&lt;&gt;"))))</f>
        <v>419</v>
      </c>
      <c r="K210">
        <f>IF($A210&gt;$B$9,"",IF(COUNTIFS(Base!$B$3:$B$5001,K$197,Base!$A$3:$A$5001,"&gt;="&amp;$C$7,Base!$A$3:$A$5001,"&lt;="&amp;$B210,Base!$Y$3:$Y$5001,"&lt;&gt;")=0,"",SUMIFS(Base!$Y$3:$Y$5001,Base!$B$3:$B$5001,K$197,Base!$A$3:$A$5001,_xlfn.MAXIFS(Base!$A$3:$A$5001,Base!$B$3:$B$5001,K$197,Base!$A$3:$A$5001,"&gt;="&amp;$C$7,Base!$A$3:$A$5001,"&lt;="&amp;$B210,Base!$Y$3:$Y$5001,"&lt;&gt;"))))</f>
        <v>1299</v>
      </c>
    </row>
    <row r="211">
      <c r="A211">
        <v>14</v>
      </c>
      <c r="B211" s="152">
        <f>$B$25</f>
        <v>46279</v>
      </c>
      <c r="C211">
        <f>IF($A211&gt;$B$9,"",IF(COUNTIFS(Base!$B$3:$B$5001,C$197,Base!$A$3:$A$5001,"&gt;="&amp;$C$7,Base!$A$3:$A$5001,"&lt;="&amp;$B211,Base!$Y$3:$Y$5001,"&lt;&gt;")=0,"",SUMIFS(Base!$Y$3:$Y$5001,Base!$B$3:$B$5001,C$197,Base!$A$3:$A$5001,_xlfn.MAXIFS(Base!$A$3:$A$5001,Base!$B$3:$B$5001,C$197,Base!$A$3:$A$5001,"&gt;="&amp;$C$7,Base!$A$3:$A$5001,"&lt;="&amp;$B211,Base!$Y$3:$Y$5001,"&lt;&gt;"))))</f>
        <v>1909</v>
      </c>
      <c r="D211">
        <f>IF($A211&gt;$B$9,"",IF(COUNTIFS(Base!$B$3:$B$5001,D$197,Base!$A$3:$A$5001,"&gt;="&amp;$C$7,Base!$A$3:$A$5001,"&lt;="&amp;$B211,Base!$Y$3:$Y$5001,"&lt;&gt;")=0,"",SUMIFS(Base!$Y$3:$Y$5001,Base!$B$3:$B$5001,D$197,Base!$A$3:$A$5001,_xlfn.MAXIFS(Base!$A$3:$A$5001,Base!$B$3:$B$5001,D$197,Base!$A$3:$A$5001,"&gt;="&amp;$C$7,Base!$A$3:$A$5001,"&lt;="&amp;$B211,Base!$Y$3:$Y$5001,"&lt;&gt;"))))</f>
        <v>808</v>
      </c>
      <c r="E211">
        <f>IF($A211&gt;$B$9,"",IF(COUNTIFS(Base!$B$3:$B$5001,E$197,Base!$A$3:$A$5001,"&gt;="&amp;$C$7,Base!$A$3:$A$5001,"&lt;="&amp;$B211,Base!$Y$3:$Y$5001,"&lt;&gt;")=0,"",SUMIFS(Base!$Y$3:$Y$5001,Base!$B$3:$B$5001,E$197,Base!$A$3:$A$5001,_xlfn.MAXIFS(Base!$A$3:$A$5001,Base!$B$3:$B$5001,E$197,Base!$A$3:$A$5001,"&gt;="&amp;$C$7,Base!$A$3:$A$5001,"&lt;="&amp;$B211,Base!$Y$3:$Y$5001,"&lt;&gt;"))))</f>
        <v>2986</v>
      </c>
      <c r="F211">
        <f>IF($A211&gt;$B$9,"",IF(COUNTIFS(Base!$B$3:$B$5001,F$197,Base!$A$3:$A$5001,"&gt;="&amp;$C$7,Base!$A$3:$A$5001,"&lt;="&amp;$B211,Base!$Y$3:$Y$5001,"&lt;&gt;")=0,"",SUMIFS(Base!$Y$3:$Y$5001,Base!$B$3:$B$5001,F$197,Base!$A$3:$A$5001,_xlfn.MAXIFS(Base!$A$3:$A$5001,Base!$B$3:$B$5001,F$197,Base!$A$3:$A$5001,"&gt;="&amp;$C$7,Base!$A$3:$A$5001,"&lt;="&amp;$B211,Base!$Y$3:$Y$5001,"&lt;&gt;"))))</f>
        <v>1339</v>
      </c>
      <c r="G211">
        <f>IF($A211&gt;$B$9,"",IF(COUNTIFS(Base!$B$3:$B$5001,G$197,Base!$A$3:$A$5001,"&gt;="&amp;$C$7,Base!$A$3:$A$5001,"&lt;="&amp;$B211,Base!$Y$3:$Y$5001,"&lt;&gt;")=0,"",SUMIFS(Base!$Y$3:$Y$5001,Base!$B$3:$B$5001,G$197,Base!$A$3:$A$5001,_xlfn.MAXIFS(Base!$A$3:$A$5001,Base!$B$3:$B$5001,G$197,Base!$A$3:$A$5001,"&gt;="&amp;$C$7,Base!$A$3:$A$5001,"&lt;="&amp;$B211,Base!$Y$3:$Y$5001,"&lt;&gt;"))))</f>
        <v>504</v>
      </c>
      <c r="H211">
        <f>IF($A211&gt;$B$9,"",IF(COUNTIFS(Base!$B$3:$B$5001,H$197,Base!$A$3:$A$5001,"&gt;="&amp;$C$7,Base!$A$3:$A$5001,"&lt;="&amp;$B211,Base!$Y$3:$Y$5001,"&lt;&gt;")=0,"",SUMIFS(Base!$Y$3:$Y$5001,Base!$B$3:$B$5001,H$197,Base!$A$3:$A$5001,_xlfn.MAXIFS(Base!$A$3:$A$5001,Base!$B$3:$B$5001,H$197,Base!$A$3:$A$5001,"&gt;="&amp;$C$7,Base!$A$3:$A$5001,"&lt;="&amp;$B211,Base!$Y$3:$Y$5001,"&lt;&gt;"))))</f>
        <v>492</v>
      </c>
      <c r="I211">
        <f>IF($A211&gt;$B$9,"",IF(COUNTIFS(Base!$B$3:$B$5001,I$197,Base!$A$3:$A$5001,"&gt;="&amp;$C$7,Base!$A$3:$A$5001,"&lt;="&amp;$B211,Base!$Y$3:$Y$5001,"&lt;&gt;")=0,"",SUMIFS(Base!$Y$3:$Y$5001,Base!$B$3:$B$5001,I$197,Base!$A$3:$A$5001,_xlfn.MAXIFS(Base!$A$3:$A$5001,Base!$B$3:$B$5001,I$197,Base!$A$3:$A$5001,"&gt;="&amp;$C$7,Base!$A$3:$A$5001,"&lt;="&amp;$B211,Base!$Y$3:$Y$5001,"&lt;&gt;"))))</f>
        <v>1354</v>
      </c>
      <c r="J211">
        <f>IF($A211&gt;$B$9,"",IF(COUNTIFS(Base!$B$3:$B$5001,J$197,Base!$A$3:$A$5001,"&gt;="&amp;$C$7,Base!$A$3:$A$5001,"&lt;="&amp;$B211,Base!$Y$3:$Y$5001,"&lt;&gt;")=0,"",SUMIFS(Base!$Y$3:$Y$5001,Base!$B$3:$B$5001,J$197,Base!$A$3:$A$5001,_xlfn.MAXIFS(Base!$A$3:$A$5001,Base!$B$3:$B$5001,J$197,Base!$A$3:$A$5001,"&gt;="&amp;$C$7,Base!$A$3:$A$5001,"&lt;="&amp;$B211,Base!$Y$3:$Y$5001,"&lt;&gt;"))))</f>
        <v>447</v>
      </c>
      <c r="K211">
        <f>IF($A211&gt;$B$9,"",IF(COUNTIFS(Base!$B$3:$B$5001,K$197,Base!$A$3:$A$5001,"&gt;="&amp;$C$7,Base!$A$3:$A$5001,"&lt;="&amp;$B211,Base!$Y$3:$Y$5001,"&lt;&gt;")=0,"",SUMIFS(Base!$Y$3:$Y$5001,Base!$B$3:$B$5001,K$197,Base!$A$3:$A$5001,_xlfn.MAXIFS(Base!$A$3:$A$5001,Base!$B$3:$B$5001,K$197,Base!$A$3:$A$5001,"&gt;="&amp;$C$7,Base!$A$3:$A$5001,"&lt;="&amp;$B211,Base!$Y$3:$Y$5001,"&lt;&gt;"))))</f>
        <v>1408</v>
      </c>
    </row>
    <row r="212">
      <c r="A212">
        <v>15</v>
      </c>
      <c r="B212" s="152">
        <f>$B$26</f>
        <v>46280</v>
      </c>
      <c r="C212">
        <f>IF($A212&gt;$B$9,"",IF(COUNTIFS(Base!$B$3:$B$5001,C$197,Base!$A$3:$A$5001,"&gt;="&amp;$C$7,Base!$A$3:$A$5001,"&lt;="&amp;$B212,Base!$Y$3:$Y$5001,"&lt;&gt;")=0,"",SUMIFS(Base!$Y$3:$Y$5001,Base!$B$3:$B$5001,C$197,Base!$A$3:$A$5001,_xlfn.MAXIFS(Base!$A$3:$A$5001,Base!$B$3:$B$5001,C$197,Base!$A$3:$A$5001,"&gt;="&amp;$C$7,Base!$A$3:$A$5001,"&lt;="&amp;$B212,Base!$Y$3:$Y$5001,"&lt;&gt;"))))</f>
        <v>1633</v>
      </c>
      <c r="D212">
        <f>IF($A212&gt;$B$9,"",IF(COUNTIFS(Base!$B$3:$B$5001,D$197,Base!$A$3:$A$5001,"&gt;="&amp;$C$7,Base!$A$3:$A$5001,"&lt;="&amp;$B212,Base!$Y$3:$Y$5001,"&lt;&gt;")=0,"",SUMIFS(Base!$Y$3:$Y$5001,Base!$B$3:$B$5001,D$197,Base!$A$3:$A$5001,_xlfn.MAXIFS(Base!$A$3:$A$5001,Base!$B$3:$B$5001,D$197,Base!$A$3:$A$5001,"&gt;="&amp;$C$7,Base!$A$3:$A$5001,"&lt;="&amp;$B212,Base!$Y$3:$Y$5001,"&lt;&gt;"))))</f>
        <v>1148</v>
      </c>
      <c r="E212">
        <f>IF($A212&gt;$B$9,"",IF(COUNTIFS(Base!$B$3:$B$5001,E$197,Base!$A$3:$A$5001,"&gt;="&amp;$C$7,Base!$A$3:$A$5001,"&lt;="&amp;$B212,Base!$Y$3:$Y$5001,"&lt;&gt;")=0,"",SUMIFS(Base!$Y$3:$Y$5001,Base!$B$3:$B$5001,E$197,Base!$A$3:$A$5001,_xlfn.MAXIFS(Base!$A$3:$A$5001,Base!$B$3:$B$5001,E$197,Base!$A$3:$A$5001,"&gt;="&amp;$C$7,Base!$A$3:$A$5001,"&lt;="&amp;$B212,Base!$Y$3:$Y$5001,"&lt;&gt;"))))</f>
        <v>2316</v>
      </c>
      <c r="F212">
        <f>IF($A212&gt;$B$9,"",IF(COUNTIFS(Base!$B$3:$B$5001,F$197,Base!$A$3:$A$5001,"&gt;="&amp;$C$7,Base!$A$3:$A$5001,"&lt;="&amp;$B212,Base!$Y$3:$Y$5001,"&lt;&gt;")=0,"",SUMIFS(Base!$Y$3:$Y$5001,Base!$B$3:$B$5001,F$197,Base!$A$3:$A$5001,_xlfn.MAXIFS(Base!$A$3:$A$5001,Base!$B$3:$B$5001,F$197,Base!$A$3:$A$5001,"&gt;="&amp;$C$7,Base!$A$3:$A$5001,"&lt;="&amp;$B212,Base!$Y$3:$Y$5001,"&lt;&gt;"))))</f>
        <v>1506</v>
      </c>
      <c r="G212">
        <f>IF($A212&gt;$B$9,"",IF(COUNTIFS(Base!$B$3:$B$5001,G$197,Base!$A$3:$A$5001,"&gt;="&amp;$C$7,Base!$A$3:$A$5001,"&lt;="&amp;$B212,Base!$Y$3:$Y$5001,"&lt;&gt;")=0,"",SUMIFS(Base!$Y$3:$Y$5001,Base!$B$3:$B$5001,G$197,Base!$A$3:$A$5001,_xlfn.MAXIFS(Base!$A$3:$A$5001,Base!$B$3:$B$5001,G$197,Base!$A$3:$A$5001,"&gt;="&amp;$C$7,Base!$A$3:$A$5001,"&lt;="&amp;$B212,Base!$Y$3:$Y$5001,"&lt;&gt;"))))</f>
        <v>503</v>
      </c>
      <c r="H212">
        <f>IF($A212&gt;$B$9,"",IF(COUNTIFS(Base!$B$3:$B$5001,H$197,Base!$A$3:$A$5001,"&gt;="&amp;$C$7,Base!$A$3:$A$5001,"&lt;="&amp;$B212,Base!$Y$3:$Y$5001,"&lt;&gt;")=0,"",SUMIFS(Base!$Y$3:$Y$5001,Base!$B$3:$B$5001,H$197,Base!$A$3:$A$5001,_xlfn.MAXIFS(Base!$A$3:$A$5001,Base!$B$3:$B$5001,H$197,Base!$A$3:$A$5001,"&gt;="&amp;$C$7,Base!$A$3:$A$5001,"&lt;="&amp;$B212,Base!$Y$3:$Y$5001,"&lt;&gt;"))))</f>
        <v>368</v>
      </c>
      <c r="I212">
        <f>IF($A212&gt;$B$9,"",IF(COUNTIFS(Base!$B$3:$B$5001,I$197,Base!$A$3:$A$5001,"&gt;="&amp;$C$7,Base!$A$3:$A$5001,"&lt;="&amp;$B212,Base!$Y$3:$Y$5001,"&lt;&gt;")=0,"",SUMIFS(Base!$Y$3:$Y$5001,Base!$B$3:$B$5001,I$197,Base!$A$3:$A$5001,_xlfn.MAXIFS(Base!$A$3:$A$5001,Base!$B$3:$B$5001,I$197,Base!$A$3:$A$5001,"&gt;="&amp;$C$7,Base!$A$3:$A$5001,"&lt;="&amp;$B212,Base!$Y$3:$Y$5001,"&lt;&gt;"))))</f>
        <v>909</v>
      </c>
      <c r="J212">
        <f>IF($A212&gt;$B$9,"",IF(COUNTIFS(Base!$B$3:$B$5001,J$197,Base!$A$3:$A$5001,"&gt;="&amp;$C$7,Base!$A$3:$A$5001,"&lt;="&amp;$B212,Base!$Y$3:$Y$5001,"&lt;&gt;")=0,"",SUMIFS(Base!$Y$3:$Y$5001,Base!$B$3:$B$5001,J$197,Base!$A$3:$A$5001,_xlfn.MAXIFS(Base!$A$3:$A$5001,Base!$B$3:$B$5001,J$197,Base!$A$3:$A$5001,"&gt;="&amp;$C$7,Base!$A$3:$A$5001,"&lt;="&amp;$B212,Base!$Y$3:$Y$5001,"&lt;&gt;"))))</f>
        <v>370</v>
      </c>
      <c r="K212">
        <f>IF($A212&gt;$B$9,"",IF(COUNTIFS(Base!$B$3:$B$5001,K$197,Base!$A$3:$A$5001,"&gt;="&amp;$C$7,Base!$A$3:$A$5001,"&lt;="&amp;$B212,Base!$Y$3:$Y$5001,"&lt;&gt;")=0,"",SUMIFS(Base!$Y$3:$Y$5001,Base!$B$3:$B$5001,K$197,Base!$A$3:$A$5001,_xlfn.MAXIFS(Base!$A$3:$A$5001,Base!$B$3:$B$5001,K$197,Base!$A$3:$A$5001,"&gt;="&amp;$C$7,Base!$A$3:$A$5001,"&lt;="&amp;$B212,Base!$Y$3:$Y$5001,"&lt;&gt;"))))</f>
        <v>1174</v>
      </c>
    </row>
    <row r="213">
      <c r="A213">
        <v>16</v>
      </c>
      <c r="B213" s="152">
        <f>$B$27</f>
        <v>46281</v>
      </c>
      <c r="C213">
        <f>IF($A213&gt;$B$9,"",IF(COUNTIFS(Base!$B$3:$B$5001,C$197,Base!$A$3:$A$5001,"&gt;="&amp;$C$7,Base!$A$3:$A$5001,"&lt;="&amp;$B213,Base!$Y$3:$Y$5001,"&lt;&gt;")=0,"",SUMIFS(Base!$Y$3:$Y$5001,Base!$B$3:$B$5001,C$197,Base!$A$3:$A$5001,_xlfn.MAXIFS(Base!$A$3:$A$5001,Base!$B$3:$B$5001,C$197,Base!$A$3:$A$5001,"&gt;="&amp;$C$7,Base!$A$3:$A$5001,"&lt;="&amp;$B213,Base!$Y$3:$Y$5001,"&lt;&gt;"))))</f>
        <v>1473</v>
      </c>
      <c r="D213">
        <f>IF($A213&gt;$B$9,"",IF(COUNTIFS(Base!$B$3:$B$5001,D$197,Base!$A$3:$A$5001,"&gt;="&amp;$C$7,Base!$A$3:$A$5001,"&lt;="&amp;$B213,Base!$Y$3:$Y$5001,"&lt;&gt;")=0,"",SUMIFS(Base!$Y$3:$Y$5001,Base!$B$3:$B$5001,D$197,Base!$A$3:$A$5001,_xlfn.MAXIFS(Base!$A$3:$A$5001,Base!$B$3:$B$5001,D$197,Base!$A$3:$A$5001,"&gt;="&amp;$C$7,Base!$A$3:$A$5001,"&lt;="&amp;$B213,Base!$Y$3:$Y$5001,"&lt;&gt;"))))</f>
        <v>710</v>
      </c>
      <c r="E213">
        <f>IF($A213&gt;$B$9,"",IF(COUNTIFS(Base!$B$3:$B$5001,E$197,Base!$A$3:$A$5001,"&gt;="&amp;$C$7,Base!$A$3:$A$5001,"&lt;="&amp;$B213,Base!$Y$3:$Y$5001,"&lt;&gt;")=0,"",SUMIFS(Base!$Y$3:$Y$5001,Base!$B$3:$B$5001,E$197,Base!$A$3:$A$5001,_xlfn.MAXIFS(Base!$A$3:$A$5001,Base!$B$3:$B$5001,E$197,Base!$A$3:$A$5001,"&gt;="&amp;$C$7,Base!$A$3:$A$5001,"&lt;="&amp;$B213,Base!$Y$3:$Y$5001,"&lt;&gt;"))))</f>
        <v>2071</v>
      </c>
      <c r="F213">
        <f>IF($A213&gt;$B$9,"",IF(COUNTIFS(Base!$B$3:$B$5001,F$197,Base!$A$3:$A$5001,"&gt;="&amp;$C$7,Base!$A$3:$A$5001,"&lt;="&amp;$B213,Base!$Y$3:$Y$5001,"&lt;&gt;")=0,"",SUMIFS(Base!$Y$3:$Y$5001,Base!$B$3:$B$5001,F$197,Base!$A$3:$A$5001,_xlfn.MAXIFS(Base!$A$3:$A$5001,Base!$B$3:$B$5001,F$197,Base!$A$3:$A$5001,"&gt;="&amp;$C$7,Base!$A$3:$A$5001,"&lt;="&amp;$B213,Base!$Y$3:$Y$5001,"&lt;&gt;"))))</f>
        <v>896</v>
      </c>
      <c r="G213">
        <f>IF($A213&gt;$B$9,"",IF(COUNTIFS(Base!$B$3:$B$5001,G$197,Base!$A$3:$A$5001,"&gt;="&amp;$C$7,Base!$A$3:$A$5001,"&lt;="&amp;$B213,Base!$Y$3:$Y$5001,"&lt;&gt;")=0,"",SUMIFS(Base!$Y$3:$Y$5001,Base!$B$3:$B$5001,G$197,Base!$A$3:$A$5001,_xlfn.MAXIFS(Base!$A$3:$A$5001,Base!$B$3:$B$5001,G$197,Base!$A$3:$A$5001,"&gt;="&amp;$C$7,Base!$A$3:$A$5001,"&lt;="&amp;$B213,Base!$Y$3:$Y$5001,"&lt;&gt;"))))</f>
        <v>660</v>
      </c>
      <c r="H213">
        <f>IF($A213&gt;$B$9,"",IF(COUNTIFS(Base!$B$3:$B$5001,H$197,Base!$A$3:$A$5001,"&gt;="&amp;$C$7,Base!$A$3:$A$5001,"&lt;="&amp;$B213,Base!$Y$3:$Y$5001,"&lt;&gt;")=0,"",SUMIFS(Base!$Y$3:$Y$5001,Base!$B$3:$B$5001,H$197,Base!$A$3:$A$5001,_xlfn.MAXIFS(Base!$A$3:$A$5001,Base!$B$3:$B$5001,H$197,Base!$A$3:$A$5001,"&gt;="&amp;$C$7,Base!$A$3:$A$5001,"&lt;="&amp;$B213,Base!$Y$3:$Y$5001,"&lt;&gt;"))))</f>
        <v>340</v>
      </c>
      <c r="I213">
        <f>IF($A213&gt;$B$9,"",IF(COUNTIFS(Base!$B$3:$B$5001,I$197,Base!$A$3:$A$5001,"&gt;="&amp;$C$7,Base!$A$3:$A$5001,"&lt;="&amp;$B213,Base!$Y$3:$Y$5001,"&lt;&gt;")=0,"",SUMIFS(Base!$Y$3:$Y$5001,Base!$B$3:$B$5001,I$197,Base!$A$3:$A$5001,_xlfn.MAXIFS(Base!$A$3:$A$5001,Base!$B$3:$B$5001,I$197,Base!$A$3:$A$5001,"&gt;="&amp;$C$7,Base!$A$3:$A$5001,"&lt;="&amp;$B213,Base!$Y$3:$Y$5001,"&lt;&gt;"))))</f>
        <v>1083</v>
      </c>
      <c r="J213">
        <f>IF($A213&gt;$B$9,"",IF(COUNTIFS(Base!$B$3:$B$5001,J$197,Base!$A$3:$A$5001,"&gt;="&amp;$C$7,Base!$A$3:$A$5001,"&lt;="&amp;$B213,Base!$Y$3:$Y$5001,"&lt;&gt;")=0,"",SUMIFS(Base!$Y$3:$Y$5001,Base!$B$3:$B$5001,J$197,Base!$A$3:$A$5001,_xlfn.MAXIFS(Base!$A$3:$A$5001,Base!$B$3:$B$5001,J$197,Base!$A$3:$A$5001,"&gt;="&amp;$C$7,Base!$A$3:$A$5001,"&lt;="&amp;$B213,Base!$Y$3:$Y$5001,"&lt;&gt;"))))</f>
        <v>414</v>
      </c>
      <c r="K213">
        <f>IF($A213&gt;$B$9,"",IF(COUNTIFS(Base!$B$3:$B$5001,K$197,Base!$A$3:$A$5001,"&gt;="&amp;$C$7,Base!$A$3:$A$5001,"&lt;="&amp;$B213,Base!$Y$3:$Y$5001,"&lt;&gt;")=0,"",SUMIFS(Base!$Y$3:$Y$5001,Base!$B$3:$B$5001,K$197,Base!$A$3:$A$5001,_xlfn.MAXIFS(Base!$A$3:$A$5001,Base!$B$3:$B$5001,K$197,Base!$A$3:$A$5001,"&gt;="&amp;$C$7,Base!$A$3:$A$5001,"&lt;="&amp;$B213,Base!$Y$3:$Y$5001,"&lt;&gt;"))))</f>
        <v>1211</v>
      </c>
    </row>
    <row r="214">
      <c r="A214">
        <v>17</v>
      </c>
      <c r="B214" s="152">
        <f>$B$28</f>
        <v>46282</v>
      </c>
      <c r="C214">
        <f>IF($A214&gt;$B$9,"",IF(COUNTIFS(Base!$B$3:$B$5001,C$197,Base!$A$3:$A$5001,"&gt;="&amp;$C$7,Base!$A$3:$A$5001,"&lt;="&amp;$B214,Base!$Y$3:$Y$5001,"&lt;&gt;")=0,"",SUMIFS(Base!$Y$3:$Y$5001,Base!$B$3:$B$5001,C$197,Base!$A$3:$A$5001,_xlfn.MAXIFS(Base!$A$3:$A$5001,Base!$B$3:$B$5001,C$197,Base!$A$3:$A$5001,"&gt;="&amp;$C$7,Base!$A$3:$A$5001,"&lt;="&amp;$B214,Base!$Y$3:$Y$5001,"&lt;&gt;"))))</f>
        <v>1814</v>
      </c>
      <c r="D214">
        <f>IF($A214&gt;$B$9,"",IF(COUNTIFS(Base!$B$3:$B$5001,D$197,Base!$A$3:$A$5001,"&gt;="&amp;$C$7,Base!$A$3:$A$5001,"&lt;="&amp;$B214,Base!$Y$3:$Y$5001,"&lt;&gt;")=0,"",SUMIFS(Base!$Y$3:$Y$5001,Base!$B$3:$B$5001,D$197,Base!$A$3:$A$5001,_xlfn.MAXIFS(Base!$A$3:$A$5001,Base!$B$3:$B$5001,D$197,Base!$A$3:$A$5001,"&gt;="&amp;$C$7,Base!$A$3:$A$5001,"&lt;="&amp;$B214,Base!$Y$3:$Y$5001,"&lt;&gt;"))))</f>
        <v>898</v>
      </c>
      <c r="E214">
        <f>IF($A214&gt;$B$9,"",IF(COUNTIFS(Base!$B$3:$B$5001,E$197,Base!$A$3:$A$5001,"&gt;="&amp;$C$7,Base!$A$3:$A$5001,"&lt;="&amp;$B214,Base!$Y$3:$Y$5001,"&lt;&gt;")=0,"",SUMIFS(Base!$Y$3:$Y$5001,Base!$B$3:$B$5001,E$197,Base!$A$3:$A$5001,_xlfn.MAXIFS(Base!$A$3:$A$5001,Base!$B$3:$B$5001,E$197,Base!$A$3:$A$5001,"&gt;="&amp;$C$7,Base!$A$3:$A$5001,"&lt;="&amp;$B214,Base!$Y$3:$Y$5001,"&lt;&gt;"))))</f>
        <v>2412</v>
      </c>
      <c r="F214">
        <f>IF($A214&gt;$B$9,"",IF(COUNTIFS(Base!$B$3:$B$5001,F$197,Base!$A$3:$A$5001,"&gt;="&amp;$C$7,Base!$A$3:$A$5001,"&lt;="&amp;$B214,Base!$Y$3:$Y$5001,"&lt;&gt;")=0,"",SUMIFS(Base!$Y$3:$Y$5001,Base!$B$3:$B$5001,F$197,Base!$A$3:$A$5001,_xlfn.MAXIFS(Base!$A$3:$A$5001,Base!$B$3:$B$5001,F$197,Base!$A$3:$A$5001,"&gt;="&amp;$C$7,Base!$A$3:$A$5001,"&lt;="&amp;$B214,Base!$Y$3:$Y$5001,"&lt;&gt;"))))</f>
        <v>1134</v>
      </c>
      <c r="G214">
        <f>IF($A214&gt;$B$9,"",IF(COUNTIFS(Base!$B$3:$B$5001,G$197,Base!$A$3:$A$5001,"&gt;="&amp;$C$7,Base!$A$3:$A$5001,"&lt;="&amp;$B214,Base!$Y$3:$Y$5001,"&lt;&gt;")=0,"",SUMIFS(Base!$Y$3:$Y$5001,Base!$B$3:$B$5001,G$197,Base!$A$3:$A$5001,_xlfn.MAXIFS(Base!$A$3:$A$5001,Base!$B$3:$B$5001,G$197,Base!$A$3:$A$5001,"&gt;="&amp;$C$7,Base!$A$3:$A$5001,"&lt;="&amp;$B214,Base!$Y$3:$Y$5001,"&lt;&gt;"))))</f>
        <v>786</v>
      </c>
      <c r="H214">
        <f>IF($A214&gt;$B$9,"",IF(COUNTIFS(Base!$B$3:$B$5001,H$197,Base!$A$3:$A$5001,"&gt;="&amp;$C$7,Base!$A$3:$A$5001,"&lt;="&amp;$B214,Base!$Y$3:$Y$5001,"&lt;&gt;")=0,"",SUMIFS(Base!$Y$3:$Y$5001,Base!$B$3:$B$5001,H$197,Base!$A$3:$A$5001,_xlfn.MAXIFS(Base!$A$3:$A$5001,Base!$B$3:$B$5001,H$197,Base!$A$3:$A$5001,"&gt;="&amp;$C$7,Base!$A$3:$A$5001,"&lt;="&amp;$B214,Base!$Y$3:$Y$5001,"&lt;&gt;"))))</f>
        <v>359</v>
      </c>
      <c r="I214">
        <f>IF($A214&gt;$B$9,"",IF(COUNTIFS(Base!$B$3:$B$5001,I$197,Base!$A$3:$A$5001,"&gt;="&amp;$C$7,Base!$A$3:$A$5001,"&lt;="&amp;$B214,Base!$Y$3:$Y$5001,"&lt;&gt;")=0,"",SUMIFS(Base!$Y$3:$Y$5001,Base!$B$3:$B$5001,I$197,Base!$A$3:$A$5001,_xlfn.MAXIFS(Base!$A$3:$A$5001,Base!$B$3:$B$5001,I$197,Base!$A$3:$A$5001,"&gt;="&amp;$C$7,Base!$A$3:$A$5001,"&lt;="&amp;$B214,Base!$Y$3:$Y$5001,"&lt;&gt;"))))</f>
        <v>1350</v>
      </c>
      <c r="J214">
        <f>IF($A214&gt;$B$9,"",IF(COUNTIFS(Base!$B$3:$B$5001,J$197,Base!$A$3:$A$5001,"&gt;="&amp;$C$7,Base!$A$3:$A$5001,"&lt;="&amp;$B214,Base!$Y$3:$Y$5001,"&lt;&gt;")=0,"",SUMIFS(Base!$Y$3:$Y$5001,Base!$B$3:$B$5001,J$197,Base!$A$3:$A$5001,_xlfn.MAXIFS(Base!$A$3:$A$5001,Base!$B$3:$B$5001,J$197,Base!$A$3:$A$5001,"&gt;="&amp;$C$7,Base!$A$3:$A$5001,"&lt;="&amp;$B214,Base!$Y$3:$Y$5001,"&lt;&gt;"))))</f>
        <v>432</v>
      </c>
      <c r="K214">
        <f>IF($A214&gt;$B$9,"",IF(COUNTIFS(Base!$B$3:$B$5001,K$197,Base!$A$3:$A$5001,"&gt;="&amp;$C$7,Base!$A$3:$A$5001,"&lt;="&amp;$B214,Base!$Y$3:$Y$5001,"&lt;&gt;")=0,"",SUMIFS(Base!$Y$3:$Y$5001,Base!$B$3:$B$5001,K$197,Base!$A$3:$A$5001,_xlfn.MAXIFS(Base!$A$3:$A$5001,Base!$B$3:$B$5001,K$197,Base!$A$3:$A$5001,"&gt;="&amp;$C$7,Base!$A$3:$A$5001,"&lt;="&amp;$B214,Base!$Y$3:$Y$5001,"&lt;&gt;"))))</f>
        <v>1268</v>
      </c>
    </row>
    <row r="215">
      <c r="A215">
        <v>18</v>
      </c>
      <c r="B215" s="152">
        <f>$B$29</f>
        <v>46283</v>
      </c>
      <c r="C215">
        <f>IF($A215&gt;$B$9,"",IF(COUNTIFS(Base!$B$3:$B$5001,C$197,Base!$A$3:$A$5001,"&gt;="&amp;$C$7,Base!$A$3:$A$5001,"&lt;="&amp;$B215,Base!$Y$3:$Y$5001,"&lt;&gt;")=0,"",SUMIFS(Base!$Y$3:$Y$5001,Base!$B$3:$B$5001,C$197,Base!$A$3:$A$5001,_xlfn.MAXIFS(Base!$A$3:$A$5001,Base!$B$3:$B$5001,C$197,Base!$A$3:$A$5001,"&gt;="&amp;$C$7,Base!$A$3:$A$5001,"&lt;="&amp;$B215,Base!$Y$3:$Y$5001,"&lt;&gt;"))))</f>
        <v>1872</v>
      </c>
      <c r="D215">
        <f>IF($A215&gt;$B$9,"",IF(COUNTIFS(Base!$B$3:$B$5001,D$197,Base!$A$3:$A$5001,"&gt;="&amp;$C$7,Base!$A$3:$A$5001,"&lt;="&amp;$B215,Base!$Y$3:$Y$5001,"&lt;&gt;")=0,"",SUMIFS(Base!$Y$3:$Y$5001,Base!$B$3:$B$5001,D$197,Base!$A$3:$A$5001,_xlfn.MAXIFS(Base!$A$3:$A$5001,Base!$B$3:$B$5001,D$197,Base!$A$3:$A$5001,"&gt;="&amp;$C$7,Base!$A$3:$A$5001,"&lt;="&amp;$B215,Base!$Y$3:$Y$5001,"&lt;&gt;"))))</f>
        <v>841</v>
      </c>
      <c r="E215">
        <f>IF($A215&gt;$B$9,"",IF(COUNTIFS(Base!$B$3:$B$5001,E$197,Base!$A$3:$A$5001,"&gt;="&amp;$C$7,Base!$A$3:$A$5001,"&lt;="&amp;$B215,Base!$Y$3:$Y$5001,"&lt;&gt;")=0,"",SUMIFS(Base!$Y$3:$Y$5001,Base!$B$3:$B$5001,E$197,Base!$A$3:$A$5001,_xlfn.MAXIFS(Base!$A$3:$A$5001,Base!$B$3:$B$5001,E$197,Base!$A$3:$A$5001,"&gt;="&amp;$C$7,Base!$A$3:$A$5001,"&lt;="&amp;$B215,Base!$Y$3:$Y$5001,"&lt;&gt;"))))</f>
        <v>2944</v>
      </c>
      <c r="F215">
        <f>IF($A215&gt;$B$9,"",IF(COUNTIFS(Base!$B$3:$B$5001,F$197,Base!$A$3:$A$5001,"&gt;="&amp;$C$7,Base!$A$3:$A$5001,"&lt;="&amp;$B215,Base!$Y$3:$Y$5001,"&lt;&gt;")=0,"",SUMIFS(Base!$Y$3:$Y$5001,Base!$B$3:$B$5001,F$197,Base!$A$3:$A$5001,_xlfn.MAXIFS(Base!$A$3:$A$5001,Base!$B$3:$B$5001,F$197,Base!$A$3:$A$5001,"&gt;="&amp;$C$7,Base!$A$3:$A$5001,"&lt;="&amp;$B215,Base!$Y$3:$Y$5001,"&lt;&gt;"))))</f>
        <v>1015</v>
      </c>
      <c r="G215">
        <f>IF($A215&gt;$B$9,"",IF(COUNTIFS(Base!$B$3:$B$5001,G$197,Base!$A$3:$A$5001,"&gt;="&amp;$C$7,Base!$A$3:$A$5001,"&lt;="&amp;$B215,Base!$Y$3:$Y$5001,"&lt;&gt;")=0,"",SUMIFS(Base!$Y$3:$Y$5001,Base!$B$3:$B$5001,G$197,Base!$A$3:$A$5001,_xlfn.MAXIFS(Base!$A$3:$A$5001,Base!$B$3:$B$5001,G$197,Base!$A$3:$A$5001,"&gt;="&amp;$C$7,Base!$A$3:$A$5001,"&lt;="&amp;$B215,Base!$Y$3:$Y$5001,"&lt;&gt;"))))</f>
        <v>718</v>
      </c>
      <c r="H215">
        <f>IF($A215&gt;$B$9,"",IF(COUNTIFS(Base!$B$3:$B$5001,H$197,Base!$A$3:$A$5001,"&gt;="&amp;$C$7,Base!$A$3:$A$5001,"&lt;="&amp;$B215,Base!$Y$3:$Y$5001,"&lt;&gt;")=0,"",SUMIFS(Base!$Y$3:$Y$5001,Base!$B$3:$B$5001,H$197,Base!$A$3:$A$5001,_xlfn.MAXIFS(Base!$A$3:$A$5001,Base!$B$3:$B$5001,H$197,Base!$A$3:$A$5001,"&gt;="&amp;$C$7,Base!$A$3:$A$5001,"&lt;="&amp;$B215,Base!$Y$3:$Y$5001,"&lt;&gt;"))))</f>
        <v>464</v>
      </c>
      <c r="I215">
        <f>IF($A215&gt;$B$9,"",IF(COUNTIFS(Base!$B$3:$B$5001,I$197,Base!$A$3:$A$5001,"&gt;="&amp;$C$7,Base!$A$3:$A$5001,"&lt;="&amp;$B215,Base!$Y$3:$Y$5001,"&lt;&gt;")=0,"",SUMIFS(Base!$Y$3:$Y$5001,Base!$B$3:$B$5001,I$197,Base!$A$3:$A$5001,_xlfn.MAXIFS(Base!$A$3:$A$5001,Base!$B$3:$B$5001,I$197,Base!$A$3:$A$5001,"&gt;="&amp;$C$7,Base!$A$3:$A$5001,"&lt;="&amp;$B215,Base!$Y$3:$Y$5001,"&lt;&gt;"))))</f>
        <v>946</v>
      </c>
      <c r="J215">
        <f>IF($A215&gt;$B$9,"",IF(COUNTIFS(Base!$B$3:$B$5001,J$197,Base!$A$3:$A$5001,"&gt;="&amp;$C$7,Base!$A$3:$A$5001,"&lt;="&amp;$B215,Base!$Y$3:$Y$5001,"&lt;&gt;")=0,"",SUMIFS(Base!$Y$3:$Y$5001,Base!$B$3:$B$5001,J$197,Base!$A$3:$A$5001,_xlfn.MAXIFS(Base!$A$3:$A$5001,Base!$B$3:$B$5001,J$197,Base!$A$3:$A$5001,"&gt;="&amp;$C$7,Base!$A$3:$A$5001,"&lt;="&amp;$B215,Base!$Y$3:$Y$5001,"&lt;&gt;"))))</f>
        <v>390</v>
      </c>
      <c r="K215">
        <f>IF($A215&gt;$B$9,"",IF(COUNTIFS(Base!$B$3:$B$5001,K$197,Base!$A$3:$A$5001,"&gt;="&amp;$C$7,Base!$A$3:$A$5001,"&lt;="&amp;$B215,Base!$Y$3:$Y$5001,"&lt;&gt;")=0,"",SUMIFS(Base!$Y$3:$Y$5001,Base!$B$3:$B$5001,K$197,Base!$A$3:$A$5001,_xlfn.MAXIFS(Base!$A$3:$A$5001,Base!$B$3:$B$5001,K$197,Base!$A$3:$A$5001,"&gt;="&amp;$C$7,Base!$A$3:$A$5001,"&lt;="&amp;$B215,Base!$Y$3:$Y$5001,"&lt;&gt;"))))</f>
        <v>1375</v>
      </c>
    </row>
    <row r="216">
      <c r="A216">
        <v>19</v>
      </c>
      <c r="B216" s="152">
        <f>$B$30</f>
        <v>46284</v>
      </c>
      <c r="C216">
        <f>IF($A216&gt;$B$9,"",IF(COUNTIFS(Base!$B$3:$B$5001,C$197,Base!$A$3:$A$5001,"&gt;="&amp;$C$7,Base!$A$3:$A$5001,"&lt;="&amp;$B216,Base!$Y$3:$Y$5001,"&lt;&gt;")=0,"",SUMIFS(Base!$Y$3:$Y$5001,Base!$B$3:$B$5001,C$197,Base!$A$3:$A$5001,_xlfn.MAXIFS(Base!$A$3:$A$5001,Base!$B$3:$B$5001,C$197,Base!$A$3:$A$5001,"&gt;="&amp;$C$7,Base!$A$3:$A$5001,"&lt;="&amp;$B216,Base!$Y$3:$Y$5001,"&lt;&gt;"))))</f>
        <v>1403</v>
      </c>
      <c r="D216">
        <f>IF($A216&gt;$B$9,"",IF(COUNTIFS(Base!$B$3:$B$5001,D$197,Base!$A$3:$A$5001,"&gt;="&amp;$C$7,Base!$A$3:$A$5001,"&lt;="&amp;$B216,Base!$Y$3:$Y$5001,"&lt;&gt;")=0,"",SUMIFS(Base!$Y$3:$Y$5001,Base!$B$3:$B$5001,D$197,Base!$A$3:$A$5001,_xlfn.MAXIFS(Base!$A$3:$A$5001,Base!$B$3:$B$5001,D$197,Base!$A$3:$A$5001,"&gt;="&amp;$C$7,Base!$A$3:$A$5001,"&lt;="&amp;$B216,Base!$Y$3:$Y$5001,"&lt;&gt;"))))</f>
        <v>1114</v>
      </c>
      <c r="E216">
        <f>IF($A216&gt;$B$9,"",IF(COUNTIFS(Base!$B$3:$B$5001,E$197,Base!$A$3:$A$5001,"&gt;="&amp;$C$7,Base!$A$3:$A$5001,"&lt;="&amp;$B216,Base!$Y$3:$Y$5001,"&lt;&gt;")=0,"",SUMIFS(Base!$Y$3:$Y$5001,Base!$B$3:$B$5001,E$197,Base!$A$3:$A$5001,_xlfn.MAXIFS(Base!$A$3:$A$5001,Base!$B$3:$B$5001,E$197,Base!$A$3:$A$5001,"&gt;="&amp;$C$7,Base!$A$3:$A$5001,"&lt;="&amp;$B216,Base!$Y$3:$Y$5001,"&lt;&gt;"))))</f>
        <v>2354</v>
      </c>
      <c r="F216">
        <f>IF($A216&gt;$B$9,"",IF(COUNTIFS(Base!$B$3:$B$5001,F$197,Base!$A$3:$A$5001,"&gt;="&amp;$C$7,Base!$A$3:$A$5001,"&lt;="&amp;$B216,Base!$Y$3:$Y$5001,"&lt;&gt;")=0,"",SUMIFS(Base!$Y$3:$Y$5001,Base!$B$3:$B$5001,F$197,Base!$A$3:$A$5001,_xlfn.MAXIFS(Base!$A$3:$A$5001,Base!$B$3:$B$5001,F$197,Base!$A$3:$A$5001,"&gt;="&amp;$C$7,Base!$A$3:$A$5001,"&lt;="&amp;$B216,Base!$Y$3:$Y$5001,"&lt;&gt;"))))</f>
        <v>1140</v>
      </c>
      <c r="G216">
        <f>IF($A216&gt;$B$9,"",IF(COUNTIFS(Base!$B$3:$B$5001,G$197,Base!$A$3:$A$5001,"&gt;="&amp;$C$7,Base!$A$3:$A$5001,"&lt;="&amp;$B216,Base!$Y$3:$Y$5001,"&lt;&gt;")=0,"",SUMIFS(Base!$Y$3:$Y$5001,Base!$B$3:$B$5001,G$197,Base!$A$3:$A$5001,_xlfn.MAXIFS(Base!$A$3:$A$5001,Base!$B$3:$B$5001,G$197,Base!$A$3:$A$5001,"&gt;="&amp;$C$7,Base!$A$3:$A$5001,"&lt;="&amp;$B216,Base!$Y$3:$Y$5001,"&lt;&gt;"))))</f>
        <v>577</v>
      </c>
      <c r="H216">
        <f>IF($A216&gt;$B$9,"",IF(COUNTIFS(Base!$B$3:$B$5001,H$197,Base!$A$3:$A$5001,"&gt;="&amp;$C$7,Base!$A$3:$A$5001,"&lt;="&amp;$B216,Base!$Y$3:$Y$5001,"&lt;&gt;")=0,"",SUMIFS(Base!$Y$3:$Y$5001,Base!$B$3:$B$5001,H$197,Base!$A$3:$A$5001,_xlfn.MAXIFS(Base!$A$3:$A$5001,Base!$B$3:$B$5001,H$197,Base!$A$3:$A$5001,"&gt;="&amp;$C$7,Base!$A$3:$A$5001,"&lt;="&amp;$B216,Base!$Y$3:$Y$5001,"&lt;&gt;"))))</f>
        <v>345</v>
      </c>
      <c r="I216">
        <f>IF($A216&gt;$B$9,"",IF(COUNTIFS(Base!$B$3:$B$5001,I$197,Base!$A$3:$A$5001,"&gt;="&amp;$C$7,Base!$A$3:$A$5001,"&lt;="&amp;$B216,Base!$Y$3:$Y$5001,"&lt;&gt;")=0,"",SUMIFS(Base!$Y$3:$Y$5001,Base!$B$3:$B$5001,I$197,Base!$A$3:$A$5001,_xlfn.MAXIFS(Base!$A$3:$A$5001,Base!$B$3:$B$5001,I$197,Base!$A$3:$A$5001,"&gt;="&amp;$C$7,Base!$A$3:$A$5001,"&lt;="&amp;$B216,Base!$Y$3:$Y$5001,"&lt;&gt;"))))</f>
        <v>1233</v>
      </c>
      <c r="J216">
        <f>IF($A216&gt;$B$9,"",IF(COUNTIFS(Base!$B$3:$B$5001,J$197,Base!$A$3:$A$5001,"&gt;="&amp;$C$7,Base!$A$3:$A$5001,"&lt;="&amp;$B216,Base!$Y$3:$Y$5001,"&lt;&gt;")=0,"",SUMIFS(Base!$Y$3:$Y$5001,Base!$B$3:$B$5001,J$197,Base!$A$3:$A$5001,_xlfn.MAXIFS(Base!$A$3:$A$5001,Base!$B$3:$B$5001,J$197,Base!$A$3:$A$5001,"&gt;="&amp;$C$7,Base!$A$3:$A$5001,"&lt;="&amp;$B216,Base!$Y$3:$Y$5001,"&lt;&gt;"))))</f>
        <v>361</v>
      </c>
      <c r="K216">
        <f>IF($A216&gt;$B$9,"",IF(COUNTIFS(Base!$B$3:$B$5001,K$197,Base!$A$3:$A$5001,"&gt;="&amp;$C$7,Base!$A$3:$A$5001,"&lt;="&amp;$B216,Base!$Y$3:$Y$5001,"&lt;&gt;")=0,"",SUMIFS(Base!$Y$3:$Y$5001,Base!$B$3:$B$5001,K$197,Base!$A$3:$A$5001,_xlfn.MAXIFS(Base!$A$3:$A$5001,Base!$B$3:$B$5001,K$197,Base!$A$3:$A$5001,"&gt;="&amp;$C$7,Base!$A$3:$A$5001,"&lt;="&amp;$B216,Base!$Y$3:$Y$5001,"&lt;&gt;"))))</f>
        <v>1674</v>
      </c>
    </row>
    <row r="217">
      <c r="A217">
        <v>20</v>
      </c>
      <c r="B217" s="152">
        <f>$B$31</f>
        <v>46285</v>
      </c>
      <c r="C217">
        <f>IF($A217&gt;$B$9,"",IF(COUNTIFS(Base!$B$3:$B$5001,C$197,Base!$A$3:$A$5001,"&gt;="&amp;$C$7,Base!$A$3:$A$5001,"&lt;="&amp;$B217,Base!$Y$3:$Y$5001,"&lt;&gt;")=0,"",SUMIFS(Base!$Y$3:$Y$5001,Base!$B$3:$B$5001,C$197,Base!$A$3:$A$5001,_xlfn.MAXIFS(Base!$A$3:$A$5001,Base!$B$3:$B$5001,C$197,Base!$A$3:$A$5001,"&gt;="&amp;$C$7,Base!$A$3:$A$5001,"&lt;="&amp;$B217,Base!$Y$3:$Y$5001,"&lt;&gt;"))))</f>
        <v>1403</v>
      </c>
      <c r="D217">
        <f>IF($A217&gt;$B$9,"",IF(COUNTIFS(Base!$B$3:$B$5001,D$197,Base!$A$3:$A$5001,"&gt;="&amp;$C$7,Base!$A$3:$A$5001,"&lt;="&amp;$B217,Base!$Y$3:$Y$5001,"&lt;&gt;")=0,"",SUMIFS(Base!$Y$3:$Y$5001,Base!$B$3:$B$5001,D$197,Base!$A$3:$A$5001,_xlfn.MAXIFS(Base!$A$3:$A$5001,Base!$B$3:$B$5001,D$197,Base!$A$3:$A$5001,"&gt;="&amp;$C$7,Base!$A$3:$A$5001,"&lt;="&amp;$B217,Base!$Y$3:$Y$5001,"&lt;&gt;"))))</f>
        <v>1114</v>
      </c>
      <c r="E217">
        <f>IF($A217&gt;$B$9,"",IF(COUNTIFS(Base!$B$3:$B$5001,E$197,Base!$A$3:$A$5001,"&gt;="&amp;$C$7,Base!$A$3:$A$5001,"&lt;="&amp;$B217,Base!$Y$3:$Y$5001,"&lt;&gt;")=0,"",SUMIFS(Base!$Y$3:$Y$5001,Base!$B$3:$B$5001,E$197,Base!$A$3:$A$5001,_xlfn.MAXIFS(Base!$A$3:$A$5001,Base!$B$3:$B$5001,E$197,Base!$A$3:$A$5001,"&gt;="&amp;$C$7,Base!$A$3:$A$5001,"&lt;="&amp;$B217,Base!$Y$3:$Y$5001,"&lt;&gt;"))))</f>
        <v>2354</v>
      </c>
      <c r="F217">
        <f>IF($A217&gt;$B$9,"",IF(COUNTIFS(Base!$B$3:$B$5001,F$197,Base!$A$3:$A$5001,"&gt;="&amp;$C$7,Base!$A$3:$A$5001,"&lt;="&amp;$B217,Base!$Y$3:$Y$5001,"&lt;&gt;")=0,"",SUMIFS(Base!$Y$3:$Y$5001,Base!$B$3:$B$5001,F$197,Base!$A$3:$A$5001,_xlfn.MAXIFS(Base!$A$3:$A$5001,Base!$B$3:$B$5001,F$197,Base!$A$3:$A$5001,"&gt;="&amp;$C$7,Base!$A$3:$A$5001,"&lt;="&amp;$B217,Base!$Y$3:$Y$5001,"&lt;&gt;"))))</f>
        <v>1140</v>
      </c>
      <c r="G217">
        <f>IF($A217&gt;$B$9,"",IF(COUNTIFS(Base!$B$3:$B$5001,G$197,Base!$A$3:$A$5001,"&gt;="&amp;$C$7,Base!$A$3:$A$5001,"&lt;="&amp;$B217,Base!$Y$3:$Y$5001,"&lt;&gt;")=0,"",SUMIFS(Base!$Y$3:$Y$5001,Base!$B$3:$B$5001,G$197,Base!$A$3:$A$5001,_xlfn.MAXIFS(Base!$A$3:$A$5001,Base!$B$3:$B$5001,G$197,Base!$A$3:$A$5001,"&gt;="&amp;$C$7,Base!$A$3:$A$5001,"&lt;="&amp;$B217,Base!$Y$3:$Y$5001,"&lt;&gt;"))))</f>
        <v>577</v>
      </c>
      <c r="H217">
        <f>IF($A217&gt;$B$9,"",IF(COUNTIFS(Base!$B$3:$B$5001,H$197,Base!$A$3:$A$5001,"&gt;="&amp;$C$7,Base!$A$3:$A$5001,"&lt;="&amp;$B217,Base!$Y$3:$Y$5001,"&lt;&gt;")=0,"",SUMIFS(Base!$Y$3:$Y$5001,Base!$B$3:$B$5001,H$197,Base!$A$3:$A$5001,_xlfn.MAXIFS(Base!$A$3:$A$5001,Base!$B$3:$B$5001,H$197,Base!$A$3:$A$5001,"&gt;="&amp;$C$7,Base!$A$3:$A$5001,"&lt;="&amp;$B217,Base!$Y$3:$Y$5001,"&lt;&gt;"))))</f>
        <v>345</v>
      </c>
      <c r="I217">
        <f>IF($A217&gt;$B$9,"",IF(COUNTIFS(Base!$B$3:$B$5001,I$197,Base!$A$3:$A$5001,"&gt;="&amp;$C$7,Base!$A$3:$A$5001,"&lt;="&amp;$B217,Base!$Y$3:$Y$5001,"&lt;&gt;")=0,"",SUMIFS(Base!$Y$3:$Y$5001,Base!$B$3:$B$5001,I$197,Base!$A$3:$A$5001,_xlfn.MAXIFS(Base!$A$3:$A$5001,Base!$B$3:$B$5001,I$197,Base!$A$3:$A$5001,"&gt;="&amp;$C$7,Base!$A$3:$A$5001,"&lt;="&amp;$B217,Base!$Y$3:$Y$5001,"&lt;&gt;"))))</f>
        <v>1233</v>
      </c>
      <c r="J217">
        <f>IF($A217&gt;$B$9,"",IF(COUNTIFS(Base!$B$3:$B$5001,J$197,Base!$A$3:$A$5001,"&gt;="&amp;$C$7,Base!$A$3:$A$5001,"&lt;="&amp;$B217,Base!$Y$3:$Y$5001,"&lt;&gt;")=0,"",SUMIFS(Base!$Y$3:$Y$5001,Base!$B$3:$B$5001,J$197,Base!$A$3:$A$5001,_xlfn.MAXIFS(Base!$A$3:$A$5001,Base!$B$3:$B$5001,J$197,Base!$A$3:$A$5001,"&gt;="&amp;$C$7,Base!$A$3:$A$5001,"&lt;="&amp;$B217,Base!$Y$3:$Y$5001,"&lt;&gt;"))))</f>
        <v>361</v>
      </c>
      <c r="K217">
        <f>IF($A217&gt;$B$9,"",IF(COUNTIFS(Base!$B$3:$B$5001,K$197,Base!$A$3:$A$5001,"&gt;="&amp;$C$7,Base!$A$3:$A$5001,"&lt;="&amp;$B217,Base!$Y$3:$Y$5001,"&lt;&gt;")=0,"",SUMIFS(Base!$Y$3:$Y$5001,Base!$B$3:$B$5001,K$197,Base!$A$3:$A$5001,_xlfn.MAXIFS(Base!$A$3:$A$5001,Base!$B$3:$B$5001,K$197,Base!$A$3:$A$5001,"&gt;="&amp;$C$7,Base!$A$3:$A$5001,"&lt;="&amp;$B217,Base!$Y$3:$Y$5001,"&lt;&gt;"))))</f>
        <v>1674</v>
      </c>
    </row>
    <row r="218">
      <c r="A218">
        <v>21</v>
      </c>
      <c r="B218" s="152">
        <f>$B$32</f>
        <v>46286</v>
      </c>
      <c r="C218">
        <f>IF($A218&gt;$B$9,"",IF(COUNTIFS(Base!$B$3:$B$5001,C$197,Base!$A$3:$A$5001,"&gt;="&amp;$C$7,Base!$A$3:$A$5001,"&lt;="&amp;$B218,Base!$Y$3:$Y$5001,"&lt;&gt;")=0,"",SUMIFS(Base!$Y$3:$Y$5001,Base!$B$3:$B$5001,C$197,Base!$A$3:$A$5001,_xlfn.MAXIFS(Base!$A$3:$A$5001,Base!$B$3:$B$5001,C$197,Base!$A$3:$A$5001,"&gt;="&amp;$C$7,Base!$A$3:$A$5001,"&lt;="&amp;$B218,Base!$Y$3:$Y$5001,"&lt;&gt;"))))</f>
        <v>1794</v>
      </c>
      <c r="D218">
        <f>IF($A218&gt;$B$9,"",IF(COUNTIFS(Base!$B$3:$B$5001,D$197,Base!$A$3:$A$5001,"&gt;="&amp;$C$7,Base!$A$3:$A$5001,"&lt;="&amp;$B218,Base!$Y$3:$Y$5001,"&lt;&gt;")=0,"",SUMIFS(Base!$Y$3:$Y$5001,Base!$B$3:$B$5001,D$197,Base!$A$3:$A$5001,_xlfn.MAXIFS(Base!$A$3:$A$5001,Base!$B$3:$B$5001,D$197,Base!$A$3:$A$5001,"&gt;="&amp;$C$7,Base!$A$3:$A$5001,"&lt;="&amp;$B218,Base!$Y$3:$Y$5001,"&lt;&gt;"))))</f>
        <v>829</v>
      </c>
      <c r="E218">
        <f>IF($A218&gt;$B$9,"",IF(COUNTIFS(Base!$B$3:$B$5001,E$197,Base!$A$3:$A$5001,"&gt;="&amp;$C$7,Base!$A$3:$A$5001,"&lt;="&amp;$B218,Base!$Y$3:$Y$5001,"&lt;&gt;")=0,"",SUMIFS(Base!$Y$3:$Y$5001,Base!$B$3:$B$5001,E$197,Base!$A$3:$A$5001,_xlfn.MAXIFS(Base!$A$3:$A$5001,Base!$B$3:$B$5001,E$197,Base!$A$3:$A$5001,"&gt;="&amp;$C$7,Base!$A$3:$A$5001,"&lt;="&amp;$B218,Base!$Y$3:$Y$5001,"&lt;&gt;"))))</f>
        <v>2860</v>
      </c>
      <c r="F218">
        <f>IF($A218&gt;$B$9,"",IF(COUNTIFS(Base!$B$3:$B$5001,F$197,Base!$A$3:$A$5001,"&gt;="&amp;$C$7,Base!$A$3:$A$5001,"&lt;="&amp;$B218,Base!$Y$3:$Y$5001,"&lt;&gt;")=0,"",SUMIFS(Base!$Y$3:$Y$5001,Base!$B$3:$B$5001,F$197,Base!$A$3:$A$5001,_xlfn.MAXIFS(Base!$A$3:$A$5001,Base!$B$3:$B$5001,F$197,Base!$A$3:$A$5001,"&gt;="&amp;$C$7,Base!$A$3:$A$5001,"&lt;="&amp;$B218,Base!$Y$3:$Y$5001,"&lt;&gt;"))))</f>
        <v>1253</v>
      </c>
      <c r="G218">
        <f>IF($A218&gt;$B$9,"",IF(COUNTIFS(Base!$B$3:$B$5001,G$197,Base!$A$3:$A$5001,"&gt;="&amp;$C$7,Base!$A$3:$A$5001,"&lt;="&amp;$B218,Base!$Y$3:$Y$5001,"&lt;&gt;")=0,"",SUMIFS(Base!$Y$3:$Y$5001,Base!$B$3:$B$5001,G$197,Base!$A$3:$A$5001,_xlfn.MAXIFS(Base!$A$3:$A$5001,Base!$B$3:$B$5001,G$197,Base!$A$3:$A$5001,"&gt;="&amp;$C$7,Base!$A$3:$A$5001,"&lt;="&amp;$B218,Base!$Y$3:$Y$5001,"&lt;&gt;"))))</f>
        <v>507</v>
      </c>
      <c r="H218">
        <f>IF($A218&gt;$B$9,"",IF(COUNTIFS(Base!$B$3:$B$5001,H$197,Base!$A$3:$A$5001,"&gt;="&amp;$C$7,Base!$A$3:$A$5001,"&lt;="&amp;$B218,Base!$Y$3:$Y$5001,"&lt;&gt;")=0,"",SUMIFS(Base!$Y$3:$Y$5001,Base!$B$3:$B$5001,H$197,Base!$A$3:$A$5001,_xlfn.MAXIFS(Base!$A$3:$A$5001,Base!$B$3:$B$5001,H$197,Base!$A$3:$A$5001,"&gt;="&amp;$C$7,Base!$A$3:$A$5001,"&lt;="&amp;$B218,Base!$Y$3:$Y$5001,"&lt;&gt;"))))</f>
        <v>421</v>
      </c>
      <c r="I218">
        <f>IF($A218&gt;$B$9,"",IF(COUNTIFS(Base!$B$3:$B$5001,I$197,Base!$A$3:$A$5001,"&gt;="&amp;$C$7,Base!$A$3:$A$5001,"&lt;="&amp;$B218,Base!$Y$3:$Y$5001,"&lt;&gt;")=0,"",SUMIFS(Base!$Y$3:$Y$5001,Base!$B$3:$B$5001,I$197,Base!$A$3:$A$5001,_xlfn.MAXIFS(Base!$A$3:$A$5001,Base!$B$3:$B$5001,I$197,Base!$A$3:$A$5001,"&gt;="&amp;$C$7,Base!$A$3:$A$5001,"&lt;="&amp;$B218,Base!$Y$3:$Y$5001,"&lt;&gt;"))))</f>
        <v>1114</v>
      </c>
      <c r="J218">
        <f>IF($A218&gt;$B$9,"",IF(COUNTIFS(Base!$B$3:$B$5001,J$197,Base!$A$3:$A$5001,"&gt;="&amp;$C$7,Base!$A$3:$A$5001,"&lt;="&amp;$B218,Base!$Y$3:$Y$5001,"&lt;&gt;")=0,"",SUMIFS(Base!$Y$3:$Y$5001,Base!$B$3:$B$5001,J$197,Base!$A$3:$A$5001,_xlfn.MAXIFS(Base!$A$3:$A$5001,Base!$B$3:$B$5001,J$197,Base!$A$3:$A$5001,"&gt;="&amp;$C$7,Base!$A$3:$A$5001,"&lt;="&amp;$B218,Base!$Y$3:$Y$5001,"&lt;&gt;"))))</f>
        <v>398</v>
      </c>
      <c r="K218">
        <f>IF($A218&gt;$B$9,"",IF(COUNTIFS(Base!$B$3:$B$5001,K$197,Base!$A$3:$A$5001,"&gt;="&amp;$C$7,Base!$A$3:$A$5001,"&lt;="&amp;$B218,Base!$Y$3:$Y$5001,"&lt;&gt;")=0,"",SUMIFS(Base!$Y$3:$Y$5001,Base!$B$3:$B$5001,K$197,Base!$A$3:$A$5001,_xlfn.MAXIFS(Base!$A$3:$A$5001,Base!$B$3:$B$5001,K$197,Base!$A$3:$A$5001,"&gt;="&amp;$C$7,Base!$A$3:$A$5001,"&lt;="&amp;$B218,Base!$Y$3:$Y$5001,"&lt;&gt;"))))</f>
        <v>1247</v>
      </c>
    </row>
    <row r="219">
      <c r="A219">
        <v>22</v>
      </c>
      <c r="B219" s="152">
        <f>$B$33</f>
        <v>46287</v>
      </c>
      <c r="C219">
        <f>IF($A219&gt;$B$9,"",IF(COUNTIFS(Base!$B$3:$B$5001,C$197,Base!$A$3:$A$5001,"&gt;="&amp;$C$7,Base!$A$3:$A$5001,"&lt;="&amp;$B219,Base!$Y$3:$Y$5001,"&lt;&gt;")=0,"",SUMIFS(Base!$Y$3:$Y$5001,Base!$B$3:$B$5001,C$197,Base!$A$3:$A$5001,_xlfn.MAXIFS(Base!$A$3:$A$5001,Base!$B$3:$B$5001,C$197,Base!$A$3:$A$5001,"&gt;="&amp;$C$7,Base!$A$3:$A$5001,"&lt;="&amp;$B219,Base!$Y$3:$Y$5001,"&lt;&gt;"))))</f>
        <v>1334</v>
      </c>
      <c r="D219">
        <f>IF($A219&gt;$B$9,"",IF(COUNTIFS(Base!$B$3:$B$5001,D$197,Base!$A$3:$A$5001,"&gt;="&amp;$C$7,Base!$A$3:$A$5001,"&lt;="&amp;$B219,Base!$Y$3:$Y$5001,"&lt;&gt;")=0,"",SUMIFS(Base!$Y$3:$Y$5001,Base!$B$3:$B$5001,D$197,Base!$A$3:$A$5001,_xlfn.MAXIFS(Base!$A$3:$A$5001,Base!$B$3:$B$5001,D$197,Base!$A$3:$A$5001,"&gt;="&amp;$C$7,Base!$A$3:$A$5001,"&lt;="&amp;$B219,Base!$Y$3:$Y$5001,"&lt;&gt;"))))</f>
        <v>712</v>
      </c>
      <c r="E219">
        <f>IF($A219&gt;$B$9,"",IF(COUNTIFS(Base!$B$3:$B$5001,E$197,Base!$A$3:$A$5001,"&gt;="&amp;$C$7,Base!$A$3:$A$5001,"&lt;="&amp;$B219,Base!$Y$3:$Y$5001,"&lt;&gt;")=0,"",SUMIFS(Base!$Y$3:$Y$5001,Base!$B$3:$B$5001,E$197,Base!$A$3:$A$5001,_xlfn.MAXIFS(Base!$A$3:$A$5001,Base!$B$3:$B$5001,E$197,Base!$A$3:$A$5001,"&gt;="&amp;$C$7,Base!$A$3:$A$5001,"&lt;="&amp;$B219,Base!$Y$3:$Y$5001,"&lt;&gt;"))))</f>
        <v>2499</v>
      </c>
      <c r="F219">
        <f>IF($A219&gt;$B$9,"",IF(COUNTIFS(Base!$B$3:$B$5001,F$197,Base!$A$3:$A$5001,"&gt;="&amp;$C$7,Base!$A$3:$A$5001,"&lt;="&amp;$B219,Base!$Y$3:$Y$5001,"&lt;&gt;")=0,"",SUMIFS(Base!$Y$3:$Y$5001,Base!$B$3:$B$5001,F$197,Base!$A$3:$A$5001,_xlfn.MAXIFS(Base!$A$3:$A$5001,Base!$B$3:$B$5001,F$197,Base!$A$3:$A$5001,"&gt;="&amp;$C$7,Base!$A$3:$A$5001,"&lt;="&amp;$B219,Base!$Y$3:$Y$5001,"&lt;&gt;"))))</f>
        <v>1199</v>
      </c>
      <c r="G219">
        <f>IF($A219&gt;$B$9,"",IF(COUNTIFS(Base!$B$3:$B$5001,G$197,Base!$A$3:$A$5001,"&gt;="&amp;$C$7,Base!$A$3:$A$5001,"&lt;="&amp;$B219,Base!$Y$3:$Y$5001,"&lt;&gt;")=0,"",SUMIFS(Base!$Y$3:$Y$5001,Base!$B$3:$B$5001,G$197,Base!$A$3:$A$5001,_xlfn.MAXIFS(Base!$A$3:$A$5001,Base!$B$3:$B$5001,G$197,Base!$A$3:$A$5001,"&gt;="&amp;$C$7,Base!$A$3:$A$5001,"&lt;="&amp;$B219,Base!$Y$3:$Y$5001,"&lt;&gt;"))))</f>
        <v>802</v>
      </c>
      <c r="H219">
        <f>IF($A219&gt;$B$9,"",IF(COUNTIFS(Base!$B$3:$B$5001,H$197,Base!$A$3:$A$5001,"&gt;="&amp;$C$7,Base!$A$3:$A$5001,"&lt;="&amp;$B219,Base!$Y$3:$Y$5001,"&lt;&gt;")=0,"",SUMIFS(Base!$Y$3:$Y$5001,Base!$B$3:$B$5001,H$197,Base!$A$3:$A$5001,_xlfn.MAXIFS(Base!$A$3:$A$5001,Base!$B$3:$B$5001,H$197,Base!$A$3:$A$5001,"&gt;="&amp;$C$7,Base!$A$3:$A$5001,"&lt;="&amp;$B219,Base!$Y$3:$Y$5001,"&lt;&gt;"))))</f>
        <v>387</v>
      </c>
      <c r="I219">
        <f>IF($A219&gt;$B$9,"",IF(COUNTIFS(Base!$B$3:$B$5001,I$197,Base!$A$3:$A$5001,"&gt;="&amp;$C$7,Base!$A$3:$A$5001,"&lt;="&amp;$B219,Base!$Y$3:$Y$5001,"&lt;&gt;")=0,"",SUMIFS(Base!$Y$3:$Y$5001,Base!$B$3:$B$5001,I$197,Base!$A$3:$A$5001,_xlfn.MAXIFS(Base!$A$3:$A$5001,Base!$B$3:$B$5001,I$197,Base!$A$3:$A$5001,"&gt;="&amp;$C$7,Base!$A$3:$A$5001,"&lt;="&amp;$B219,Base!$Y$3:$Y$5001,"&lt;&gt;"))))</f>
        <v>1219</v>
      </c>
      <c r="J219">
        <f>IF($A219&gt;$B$9,"",IF(COUNTIFS(Base!$B$3:$B$5001,J$197,Base!$A$3:$A$5001,"&gt;="&amp;$C$7,Base!$A$3:$A$5001,"&lt;="&amp;$B219,Base!$Y$3:$Y$5001,"&lt;&gt;")=0,"",SUMIFS(Base!$Y$3:$Y$5001,Base!$B$3:$B$5001,J$197,Base!$A$3:$A$5001,_xlfn.MAXIFS(Base!$A$3:$A$5001,Base!$B$3:$B$5001,J$197,Base!$A$3:$A$5001,"&gt;="&amp;$C$7,Base!$A$3:$A$5001,"&lt;="&amp;$B219,Base!$Y$3:$Y$5001,"&lt;&gt;"))))</f>
        <v>400</v>
      </c>
      <c r="K219">
        <f>IF($A219&gt;$B$9,"",IF(COUNTIFS(Base!$B$3:$B$5001,K$197,Base!$A$3:$A$5001,"&gt;="&amp;$C$7,Base!$A$3:$A$5001,"&lt;="&amp;$B219,Base!$Y$3:$Y$5001,"&lt;&gt;")=0,"",SUMIFS(Base!$Y$3:$Y$5001,Base!$B$3:$B$5001,K$197,Base!$A$3:$A$5001,_xlfn.MAXIFS(Base!$A$3:$A$5001,Base!$B$3:$B$5001,K$197,Base!$A$3:$A$5001,"&gt;="&amp;$C$7,Base!$A$3:$A$5001,"&lt;="&amp;$B219,Base!$Y$3:$Y$5001,"&lt;&gt;"))))</f>
        <v>1698</v>
      </c>
    </row>
    <row r="220">
      <c r="A220">
        <v>23</v>
      </c>
      <c r="B220" s="152">
        <f>$B$34</f>
        <v>46288</v>
      </c>
      <c r="C220">
        <f>IF($A220&gt;$B$9,"",IF(COUNTIFS(Base!$B$3:$B$5001,C$197,Base!$A$3:$A$5001,"&gt;="&amp;$C$7,Base!$A$3:$A$5001,"&lt;="&amp;$B220,Base!$Y$3:$Y$5001,"&lt;&gt;")=0,"",SUMIFS(Base!$Y$3:$Y$5001,Base!$B$3:$B$5001,C$197,Base!$A$3:$A$5001,_xlfn.MAXIFS(Base!$A$3:$A$5001,Base!$B$3:$B$5001,C$197,Base!$A$3:$A$5001,"&gt;="&amp;$C$7,Base!$A$3:$A$5001,"&lt;="&amp;$B220,Base!$Y$3:$Y$5001,"&lt;&gt;"))))</f>
        <v>1518</v>
      </c>
      <c r="D220">
        <f>IF($A220&gt;$B$9,"",IF(COUNTIFS(Base!$B$3:$B$5001,D$197,Base!$A$3:$A$5001,"&gt;="&amp;$C$7,Base!$A$3:$A$5001,"&lt;="&amp;$B220,Base!$Y$3:$Y$5001,"&lt;&gt;")=0,"",SUMIFS(Base!$Y$3:$Y$5001,Base!$B$3:$B$5001,D$197,Base!$A$3:$A$5001,_xlfn.MAXIFS(Base!$A$3:$A$5001,Base!$B$3:$B$5001,D$197,Base!$A$3:$A$5001,"&gt;="&amp;$C$7,Base!$A$3:$A$5001,"&lt;="&amp;$B220,Base!$Y$3:$Y$5001,"&lt;&gt;"))))</f>
        <v>868</v>
      </c>
      <c r="E220">
        <f>IF($A220&gt;$B$9,"",IF(COUNTIFS(Base!$B$3:$B$5001,E$197,Base!$A$3:$A$5001,"&gt;="&amp;$C$7,Base!$A$3:$A$5001,"&lt;="&amp;$B220,Base!$Y$3:$Y$5001,"&lt;&gt;")=0,"",SUMIFS(Base!$Y$3:$Y$5001,Base!$B$3:$B$5001,E$197,Base!$A$3:$A$5001,_xlfn.MAXIFS(Base!$A$3:$A$5001,Base!$B$3:$B$5001,E$197,Base!$A$3:$A$5001,"&gt;="&amp;$C$7,Base!$A$3:$A$5001,"&lt;="&amp;$B220,Base!$Y$3:$Y$5001,"&lt;&gt;"))))</f>
        <v>3179</v>
      </c>
      <c r="F220">
        <f>IF($A220&gt;$B$9,"",IF(COUNTIFS(Base!$B$3:$B$5001,F$197,Base!$A$3:$A$5001,"&gt;="&amp;$C$7,Base!$A$3:$A$5001,"&lt;="&amp;$B220,Base!$Y$3:$Y$5001,"&lt;&gt;")=0,"",SUMIFS(Base!$Y$3:$Y$5001,Base!$B$3:$B$5001,F$197,Base!$A$3:$A$5001,_xlfn.MAXIFS(Base!$A$3:$A$5001,Base!$B$3:$B$5001,F$197,Base!$A$3:$A$5001,"&gt;="&amp;$C$7,Base!$A$3:$A$5001,"&lt;="&amp;$B220,Base!$Y$3:$Y$5001,"&lt;&gt;"))))</f>
        <v>1151</v>
      </c>
      <c r="G220">
        <f>IF($A220&gt;$B$9,"",IF(COUNTIFS(Base!$B$3:$B$5001,G$197,Base!$A$3:$A$5001,"&gt;="&amp;$C$7,Base!$A$3:$A$5001,"&lt;="&amp;$B220,Base!$Y$3:$Y$5001,"&lt;&gt;")=0,"",SUMIFS(Base!$Y$3:$Y$5001,Base!$B$3:$B$5001,G$197,Base!$A$3:$A$5001,_xlfn.MAXIFS(Base!$A$3:$A$5001,Base!$B$3:$B$5001,G$197,Base!$A$3:$A$5001,"&gt;="&amp;$C$7,Base!$A$3:$A$5001,"&lt;="&amp;$B220,Base!$Y$3:$Y$5001,"&lt;&gt;"))))</f>
        <v>834</v>
      </c>
      <c r="H220">
        <f>IF($A220&gt;$B$9,"",IF(COUNTIFS(Base!$B$3:$B$5001,H$197,Base!$A$3:$A$5001,"&gt;="&amp;$C$7,Base!$A$3:$A$5001,"&lt;="&amp;$B220,Base!$Y$3:$Y$5001,"&lt;&gt;")=0,"",SUMIFS(Base!$Y$3:$Y$5001,Base!$B$3:$B$5001,H$197,Base!$A$3:$A$5001,_xlfn.MAXIFS(Base!$A$3:$A$5001,Base!$B$3:$B$5001,H$197,Base!$A$3:$A$5001,"&gt;="&amp;$C$7,Base!$A$3:$A$5001,"&lt;="&amp;$B220,Base!$Y$3:$Y$5001,"&lt;&gt;"))))</f>
        <v>580</v>
      </c>
      <c r="I220">
        <f>IF($A220&gt;$B$9,"",IF(COUNTIFS(Base!$B$3:$B$5001,I$197,Base!$A$3:$A$5001,"&gt;="&amp;$C$7,Base!$A$3:$A$5001,"&lt;="&amp;$B220,Base!$Y$3:$Y$5001,"&lt;&gt;")=0,"",SUMIFS(Base!$Y$3:$Y$5001,Base!$B$3:$B$5001,I$197,Base!$A$3:$A$5001,_xlfn.MAXIFS(Base!$A$3:$A$5001,Base!$B$3:$B$5001,I$197,Base!$A$3:$A$5001,"&gt;="&amp;$C$7,Base!$A$3:$A$5001,"&lt;="&amp;$B220,Base!$Y$3:$Y$5001,"&lt;&gt;"))))</f>
        <v>856</v>
      </c>
      <c r="J220">
        <f>IF($A220&gt;$B$9,"",IF(COUNTIFS(Base!$B$3:$B$5001,J$197,Base!$A$3:$A$5001,"&gt;="&amp;$C$7,Base!$A$3:$A$5001,"&lt;="&amp;$B220,Base!$Y$3:$Y$5001,"&lt;&gt;")=0,"",SUMIFS(Base!$Y$3:$Y$5001,Base!$B$3:$B$5001,J$197,Base!$A$3:$A$5001,_xlfn.MAXIFS(Base!$A$3:$A$5001,Base!$B$3:$B$5001,J$197,Base!$A$3:$A$5001,"&gt;="&amp;$C$7,Base!$A$3:$A$5001,"&lt;="&amp;$B220,Base!$Y$3:$Y$5001,"&lt;&gt;"))))</f>
        <v>404</v>
      </c>
      <c r="K220">
        <f>IF($A220&gt;$B$9,"",IF(COUNTIFS(Base!$B$3:$B$5001,K$197,Base!$A$3:$A$5001,"&gt;="&amp;$C$7,Base!$A$3:$A$5001,"&lt;="&amp;$B220,Base!$Y$3:$Y$5001,"&lt;&gt;")=0,"",SUMIFS(Base!$Y$3:$Y$5001,Base!$B$3:$B$5001,K$197,Base!$A$3:$A$5001,_xlfn.MAXIFS(Base!$A$3:$A$5001,Base!$B$3:$B$5001,K$197,Base!$A$3:$A$5001,"&gt;="&amp;$C$7,Base!$A$3:$A$5001,"&lt;="&amp;$B220,Base!$Y$3:$Y$5001,"&lt;&gt;"))))</f>
        <v>1697</v>
      </c>
    </row>
    <row r="221">
      <c r="A221">
        <v>24</v>
      </c>
      <c r="B221" s="152">
        <f>$B$35</f>
        <v>46289</v>
      </c>
      <c r="C221">
        <f>IF($A221&gt;$B$9,"",IF(COUNTIFS(Base!$B$3:$B$5001,C$197,Base!$A$3:$A$5001,"&gt;="&amp;$C$7,Base!$A$3:$A$5001,"&lt;="&amp;$B221,Base!$Y$3:$Y$5001,"&lt;&gt;")=0,"",SUMIFS(Base!$Y$3:$Y$5001,Base!$B$3:$B$5001,C$197,Base!$A$3:$A$5001,_xlfn.MAXIFS(Base!$A$3:$A$5001,Base!$B$3:$B$5001,C$197,Base!$A$3:$A$5001,"&gt;="&amp;$C$7,Base!$A$3:$A$5001,"&lt;="&amp;$B221,Base!$Y$3:$Y$5001,"&lt;&gt;"))))</f>
        <v>1710</v>
      </c>
      <c r="D221">
        <f>IF($A221&gt;$B$9,"",IF(COUNTIFS(Base!$B$3:$B$5001,D$197,Base!$A$3:$A$5001,"&gt;="&amp;$C$7,Base!$A$3:$A$5001,"&lt;="&amp;$B221,Base!$Y$3:$Y$5001,"&lt;&gt;")=0,"",SUMIFS(Base!$Y$3:$Y$5001,Base!$B$3:$B$5001,D$197,Base!$A$3:$A$5001,_xlfn.MAXIFS(Base!$A$3:$A$5001,Base!$B$3:$B$5001,D$197,Base!$A$3:$A$5001,"&gt;="&amp;$C$7,Base!$A$3:$A$5001,"&lt;="&amp;$B221,Base!$Y$3:$Y$5001,"&lt;&gt;"))))</f>
        <v>1076</v>
      </c>
      <c r="E221">
        <f>IF($A221&gt;$B$9,"",IF(COUNTIFS(Base!$B$3:$B$5001,E$197,Base!$A$3:$A$5001,"&gt;="&amp;$C$7,Base!$A$3:$A$5001,"&lt;="&amp;$B221,Base!$Y$3:$Y$5001,"&lt;&gt;")=0,"",SUMIFS(Base!$Y$3:$Y$5001,Base!$B$3:$B$5001,E$197,Base!$A$3:$A$5001,_xlfn.MAXIFS(Base!$A$3:$A$5001,Base!$B$3:$B$5001,E$197,Base!$A$3:$A$5001,"&gt;="&amp;$C$7,Base!$A$3:$A$5001,"&lt;="&amp;$B221,Base!$Y$3:$Y$5001,"&lt;&gt;"))))</f>
        <v>2814</v>
      </c>
      <c r="F221">
        <f>IF($A221&gt;$B$9,"",IF(COUNTIFS(Base!$B$3:$B$5001,F$197,Base!$A$3:$A$5001,"&gt;="&amp;$C$7,Base!$A$3:$A$5001,"&lt;="&amp;$B221,Base!$Y$3:$Y$5001,"&lt;&gt;")=0,"",SUMIFS(Base!$Y$3:$Y$5001,Base!$B$3:$B$5001,F$197,Base!$A$3:$A$5001,_xlfn.MAXIFS(Base!$A$3:$A$5001,Base!$B$3:$B$5001,F$197,Base!$A$3:$A$5001,"&gt;="&amp;$C$7,Base!$A$3:$A$5001,"&lt;="&amp;$B221,Base!$Y$3:$Y$5001,"&lt;&gt;"))))</f>
        <v>1193</v>
      </c>
      <c r="G221">
        <f>IF($A221&gt;$B$9,"",IF(COUNTIFS(Base!$B$3:$B$5001,G$197,Base!$A$3:$A$5001,"&gt;="&amp;$C$7,Base!$A$3:$A$5001,"&lt;="&amp;$B221,Base!$Y$3:$Y$5001,"&lt;&gt;")=0,"",SUMIFS(Base!$Y$3:$Y$5001,Base!$B$3:$B$5001,G$197,Base!$A$3:$A$5001,_xlfn.MAXIFS(Base!$A$3:$A$5001,Base!$B$3:$B$5001,G$197,Base!$A$3:$A$5001,"&gt;="&amp;$C$7,Base!$A$3:$A$5001,"&lt;="&amp;$B221,Base!$Y$3:$Y$5001,"&lt;&gt;"))))</f>
        <v>506</v>
      </c>
      <c r="H221">
        <f>IF($A221&gt;$B$9,"",IF(COUNTIFS(Base!$B$3:$B$5001,H$197,Base!$A$3:$A$5001,"&gt;="&amp;$C$7,Base!$A$3:$A$5001,"&lt;="&amp;$B221,Base!$Y$3:$Y$5001,"&lt;&gt;")=0,"",SUMIFS(Base!$Y$3:$Y$5001,Base!$B$3:$B$5001,H$197,Base!$A$3:$A$5001,_xlfn.MAXIFS(Base!$A$3:$A$5001,Base!$B$3:$B$5001,H$197,Base!$A$3:$A$5001,"&gt;="&amp;$C$7,Base!$A$3:$A$5001,"&lt;="&amp;$B221,Base!$Y$3:$Y$5001,"&lt;&gt;"))))</f>
        <v>383</v>
      </c>
      <c r="I221">
        <f>IF($A221&gt;$B$9,"",IF(COUNTIFS(Base!$B$3:$B$5001,I$197,Base!$A$3:$A$5001,"&gt;="&amp;$C$7,Base!$A$3:$A$5001,"&lt;="&amp;$B221,Base!$Y$3:$Y$5001,"&lt;&gt;")=0,"",SUMIFS(Base!$Y$3:$Y$5001,Base!$B$3:$B$5001,I$197,Base!$A$3:$A$5001,_xlfn.MAXIFS(Base!$A$3:$A$5001,Base!$B$3:$B$5001,I$197,Base!$A$3:$A$5001,"&gt;="&amp;$C$7,Base!$A$3:$A$5001,"&lt;="&amp;$B221,Base!$Y$3:$Y$5001,"&lt;&gt;"))))</f>
        <v>1060</v>
      </c>
      <c r="J221">
        <f>IF($A221&gt;$B$9,"",IF(COUNTIFS(Base!$B$3:$B$5001,J$197,Base!$A$3:$A$5001,"&gt;="&amp;$C$7,Base!$A$3:$A$5001,"&lt;="&amp;$B221,Base!$Y$3:$Y$5001,"&lt;&gt;")=0,"",SUMIFS(Base!$Y$3:$Y$5001,Base!$B$3:$B$5001,J$197,Base!$A$3:$A$5001,_xlfn.MAXIFS(Base!$A$3:$A$5001,Base!$B$3:$B$5001,J$197,Base!$A$3:$A$5001,"&gt;="&amp;$C$7,Base!$A$3:$A$5001,"&lt;="&amp;$B221,Base!$Y$3:$Y$5001,"&lt;&gt;"))))</f>
        <v>300</v>
      </c>
      <c r="K221">
        <f>IF($A221&gt;$B$9,"",IF(COUNTIFS(Base!$B$3:$B$5001,K$197,Base!$A$3:$A$5001,"&gt;="&amp;$C$7,Base!$A$3:$A$5001,"&lt;="&amp;$B221,Base!$Y$3:$Y$5001,"&lt;&gt;")=0,"",SUMIFS(Base!$Y$3:$Y$5001,Base!$B$3:$B$5001,K$197,Base!$A$3:$A$5001,_xlfn.MAXIFS(Base!$A$3:$A$5001,Base!$B$3:$B$5001,K$197,Base!$A$3:$A$5001,"&gt;="&amp;$C$7,Base!$A$3:$A$5001,"&lt;="&amp;$B221,Base!$Y$3:$Y$5001,"&lt;&gt;"))))</f>
        <v>1435</v>
      </c>
    </row>
    <row r="222">
      <c r="A222">
        <v>25</v>
      </c>
      <c r="B222" s="152">
        <f>$B$36</f>
        <v>46290</v>
      </c>
      <c r="C222">
        <f>IF($A222&gt;$B$9,"",IF(COUNTIFS(Base!$B$3:$B$5001,C$197,Base!$A$3:$A$5001,"&gt;="&amp;$C$7,Base!$A$3:$A$5001,"&lt;="&amp;$B222,Base!$Y$3:$Y$5001,"&lt;&gt;")=0,"",SUMIFS(Base!$Y$3:$Y$5001,Base!$B$3:$B$5001,C$197,Base!$A$3:$A$5001,_xlfn.MAXIFS(Base!$A$3:$A$5001,Base!$B$3:$B$5001,C$197,Base!$A$3:$A$5001,"&gt;="&amp;$C$7,Base!$A$3:$A$5001,"&lt;="&amp;$B222,Base!$Y$3:$Y$5001,"&lt;&gt;"))))</f>
        <v>1642</v>
      </c>
      <c r="D222">
        <f>IF($A222&gt;$B$9,"",IF(COUNTIFS(Base!$B$3:$B$5001,D$197,Base!$A$3:$A$5001,"&gt;="&amp;$C$7,Base!$A$3:$A$5001,"&lt;="&amp;$B222,Base!$Y$3:$Y$5001,"&lt;&gt;")=0,"",SUMIFS(Base!$Y$3:$Y$5001,Base!$B$3:$B$5001,D$197,Base!$A$3:$A$5001,_xlfn.MAXIFS(Base!$A$3:$A$5001,Base!$B$3:$B$5001,D$197,Base!$A$3:$A$5001,"&gt;="&amp;$C$7,Base!$A$3:$A$5001,"&lt;="&amp;$B222,Base!$Y$3:$Y$5001,"&lt;&gt;"))))</f>
        <v>856</v>
      </c>
      <c r="E222">
        <f>IF($A222&gt;$B$9,"",IF(COUNTIFS(Base!$B$3:$B$5001,E$197,Base!$A$3:$A$5001,"&gt;="&amp;$C$7,Base!$A$3:$A$5001,"&lt;="&amp;$B222,Base!$Y$3:$Y$5001,"&lt;&gt;")=0,"",SUMIFS(Base!$Y$3:$Y$5001,Base!$B$3:$B$5001,E$197,Base!$A$3:$A$5001,_xlfn.MAXIFS(Base!$A$3:$A$5001,Base!$B$3:$B$5001,E$197,Base!$A$3:$A$5001,"&gt;="&amp;$C$7,Base!$A$3:$A$5001,"&lt;="&amp;$B222,Base!$Y$3:$Y$5001,"&lt;&gt;"))))</f>
        <v>2650</v>
      </c>
      <c r="F222">
        <f>IF($A222&gt;$B$9,"",IF(COUNTIFS(Base!$B$3:$B$5001,F$197,Base!$A$3:$A$5001,"&gt;="&amp;$C$7,Base!$A$3:$A$5001,"&lt;="&amp;$B222,Base!$Y$3:$Y$5001,"&lt;&gt;")=0,"",SUMIFS(Base!$Y$3:$Y$5001,Base!$B$3:$B$5001,F$197,Base!$A$3:$A$5001,_xlfn.MAXIFS(Base!$A$3:$A$5001,Base!$B$3:$B$5001,F$197,Base!$A$3:$A$5001,"&gt;="&amp;$C$7,Base!$A$3:$A$5001,"&lt;="&amp;$B222,Base!$Y$3:$Y$5001,"&lt;&gt;"))))</f>
        <v>931</v>
      </c>
      <c r="G222">
        <f>IF($A222&gt;$B$9,"",IF(COUNTIFS(Base!$B$3:$B$5001,G$197,Base!$A$3:$A$5001,"&gt;="&amp;$C$7,Base!$A$3:$A$5001,"&lt;="&amp;$B222,Base!$Y$3:$Y$5001,"&lt;&gt;")=0,"",SUMIFS(Base!$Y$3:$Y$5001,Base!$B$3:$B$5001,G$197,Base!$A$3:$A$5001,_xlfn.MAXIFS(Base!$A$3:$A$5001,Base!$B$3:$B$5001,G$197,Base!$A$3:$A$5001,"&gt;="&amp;$C$7,Base!$A$3:$A$5001,"&lt;="&amp;$B222,Base!$Y$3:$Y$5001,"&lt;&gt;"))))</f>
        <v>769</v>
      </c>
      <c r="H222">
        <f>IF($A222&gt;$B$9,"",IF(COUNTIFS(Base!$B$3:$B$5001,H$197,Base!$A$3:$A$5001,"&gt;="&amp;$C$7,Base!$A$3:$A$5001,"&lt;="&amp;$B222,Base!$Y$3:$Y$5001,"&lt;&gt;")=0,"",SUMIFS(Base!$Y$3:$Y$5001,Base!$B$3:$B$5001,H$197,Base!$A$3:$A$5001,_xlfn.MAXIFS(Base!$A$3:$A$5001,Base!$B$3:$B$5001,H$197,Base!$A$3:$A$5001,"&gt;="&amp;$C$7,Base!$A$3:$A$5001,"&lt;="&amp;$B222,Base!$Y$3:$Y$5001,"&lt;&gt;"))))</f>
        <v>428</v>
      </c>
      <c r="I222">
        <f>IF($A222&gt;$B$9,"",IF(COUNTIFS(Base!$B$3:$B$5001,I$197,Base!$A$3:$A$5001,"&gt;="&amp;$C$7,Base!$A$3:$A$5001,"&lt;="&amp;$B222,Base!$Y$3:$Y$5001,"&lt;&gt;")=0,"",SUMIFS(Base!$Y$3:$Y$5001,Base!$B$3:$B$5001,I$197,Base!$A$3:$A$5001,_xlfn.MAXIFS(Base!$A$3:$A$5001,Base!$B$3:$B$5001,I$197,Base!$A$3:$A$5001,"&gt;="&amp;$C$7,Base!$A$3:$A$5001,"&lt;="&amp;$B222,Base!$Y$3:$Y$5001,"&lt;&gt;"))))</f>
        <v>1230</v>
      </c>
      <c r="J222">
        <f>IF($A222&gt;$B$9,"",IF(COUNTIFS(Base!$B$3:$B$5001,J$197,Base!$A$3:$A$5001,"&gt;="&amp;$C$7,Base!$A$3:$A$5001,"&lt;="&amp;$B222,Base!$Y$3:$Y$5001,"&lt;&gt;")=0,"",SUMIFS(Base!$Y$3:$Y$5001,Base!$B$3:$B$5001,J$197,Base!$A$3:$A$5001,_xlfn.MAXIFS(Base!$A$3:$A$5001,Base!$B$3:$B$5001,J$197,Base!$A$3:$A$5001,"&gt;="&amp;$C$7,Base!$A$3:$A$5001,"&lt;="&amp;$B222,Base!$Y$3:$Y$5001,"&lt;&gt;"))))</f>
        <v>482</v>
      </c>
      <c r="K222">
        <f>IF($A222&gt;$B$9,"",IF(COUNTIFS(Base!$B$3:$B$5001,K$197,Base!$A$3:$A$5001,"&gt;="&amp;$C$7,Base!$A$3:$A$5001,"&lt;="&amp;$B222,Base!$Y$3:$Y$5001,"&lt;&gt;")=0,"",SUMIFS(Base!$Y$3:$Y$5001,Base!$B$3:$B$5001,K$197,Base!$A$3:$A$5001,_xlfn.MAXIFS(Base!$A$3:$A$5001,Base!$B$3:$B$5001,K$197,Base!$A$3:$A$5001,"&gt;="&amp;$C$7,Base!$A$3:$A$5001,"&lt;="&amp;$B222,Base!$Y$3:$Y$5001,"&lt;&gt;"))))</f>
        <v>1344</v>
      </c>
    </row>
    <row r="223">
      <c r="A223">
        <v>26</v>
      </c>
      <c r="B223" s="152">
        <f>$B$37</f>
        <v>46291</v>
      </c>
      <c r="C223">
        <f>IF($A223&gt;$B$9,"",IF(COUNTIFS(Base!$B$3:$B$5001,C$197,Base!$A$3:$A$5001,"&gt;="&amp;$C$7,Base!$A$3:$A$5001,"&lt;="&amp;$B223,Base!$Y$3:$Y$5001,"&lt;&gt;")=0,"",SUMIFS(Base!$Y$3:$Y$5001,Base!$B$3:$B$5001,C$197,Base!$A$3:$A$5001,_xlfn.MAXIFS(Base!$A$3:$A$5001,Base!$B$3:$B$5001,C$197,Base!$A$3:$A$5001,"&gt;="&amp;$C$7,Base!$A$3:$A$5001,"&lt;="&amp;$B223,Base!$Y$3:$Y$5001,"&lt;&gt;"))))</f>
        <v>2122</v>
      </c>
      <c r="D223">
        <f>IF($A223&gt;$B$9,"",IF(COUNTIFS(Base!$B$3:$B$5001,D$197,Base!$A$3:$A$5001,"&gt;="&amp;$C$7,Base!$A$3:$A$5001,"&lt;="&amp;$B223,Base!$Y$3:$Y$5001,"&lt;&gt;")=0,"",SUMIFS(Base!$Y$3:$Y$5001,Base!$B$3:$B$5001,D$197,Base!$A$3:$A$5001,_xlfn.MAXIFS(Base!$A$3:$A$5001,Base!$B$3:$B$5001,D$197,Base!$A$3:$A$5001,"&gt;="&amp;$C$7,Base!$A$3:$A$5001,"&lt;="&amp;$B223,Base!$Y$3:$Y$5001,"&lt;&gt;"))))</f>
        <v>796</v>
      </c>
      <c r="E223">
        <f>IF($A223&gt;$B$9,"",IF(COUNTIFS(Base!$B$3:$B$5001,E$197,Base!$A$3:$A$5001,"&gt;="&amp;$C$7,Base!$A$3:$A$5001,"&lt;="&amp;$B223,Base!$Y$3:$Y$5001,"&lt;&gt;")=0,"",SUMIFS(Base!$Y$3:$Y$5001,Base!$B$3:$B$5001,E$197,Base!$A$3:$A$5001,_xlfn.MAXIFS(Base!$A$3:$A$5001,Base!$B$3:$B$5001,E$197,Base!$A$3:$A$5001,"&gt;="&amp;$C$7,Base!$A$3:$A$5001,"&lt;="&amp;$B223,Base!$Y$3:$Y$5001,"&lt;&gt;"))))</f>
        <v>2339</v>
      </c>
      <c r="F223">
        <f>IF($A223&gt;$B$9,"",IF(COUNTIFS(Base!$B$3:$B$5001,F$197,Base!$A$3:$A$5001,"&gt;="&amp;$C$7,Base!$A$3:$A$5001,"&lt;="&amp;$B223,Base!$Y$3:$Y$5001,"&lt;&gt;")=0,"",SUMIFS(Base!$Y$3:$Y$5001,Base!$B$3:$B$5001,F$197,Base!$A$3:$A$5001,_xlfn.MAXIFS(Base!$A$3:$A$5001,Base!$B$3:$B$5001,F$197,Base!$A$3:$A$5001,"&gt;="&amp;$C$7,Base!$A$3:$A$5001,"&lt;="&amp;$B223,Base!$Y$3:$Y$5001,"&lt;&gt;"))))</f>
        <v>1366</v>
      </c>
      <c r="G223">
        <f>IF($A223&gt;$B$9,"",IF(COUNTIFS(Base!$B$3:$B$5001,G$197,Base!$A$3:$A$5001,"&gt;="&amp;$C$7,Base!$A$3:$A$5001,"&lt;="&amp;$B223,Base!$Y$3:$Y$5001,"&lt;&gt;")=0,"",SUMIFS(Base!$Y$3:$Y$5001,Base!$B$3:$B$5001,G$197,Base!$A$3:$A$5001,_xlfn.MAXIFS(Base!$A$3:$A$5001,Base!$B$3:$B$5001,G$197,Base!$A$3:$A$5001,"&gt;="&amp;$C$7,Base!$A$3:$A$5001,"&lt;="&amp;$B223,Base!$Y$3:$Y$5001,"&lt;&gt;"))))</f>
        <v>627</v>
      </c>
      <c r="H223">
        <f>IF($A223&gt;$B$9,"",IF(COUNTIFS(Base!$B$3:$B$5001,H$197,Base!$A$3:$A$5001,"&gt;="&amp;$C$7,Base!$A$3:$A$5001,"&lt;="&amp;$B223,Base!$Y$3:$Y$5001,"&lt;&gt;")=0,"",SUMIFS(Base!$Y$3:$Y$5001,Base!$B$3:$B$5001,H$197,Base!$A$3:$A$5001,_xlfn.MAXIFS(Base!$A$3:$A$5001,Base!$B$3:$B$5001,H$197,Base!$A$3:$A$5001,"&gt;="&amp;$C$7,Base!$A$3:$A$5001,"&lt;="&amp;$B223,Base!$Y$3:$Y$5001,"&lt;&gt;"))))</f>
        <v>459</v>
      </c>
      <c r="I223">
        <f>IF($A223&gt;$B$9,"",IF(COUNTIFS(Base!$B$3:$B$5001,I$197,Base!$A$3:$A$5001,"&gt;="&amp;$C$7,Base!$A$3:$A$5001,"&lt;="&amp;$B223,Base!$Y$3:$Y$5001,"&lt;&gt;")=0,"",SUMIFS(Base!$Y$3:$Y$5001,Base!$B$3:$B$5001,I$197,Base!$A$3:$A$5001,_xlfn.MAXIFS(Base!$A$3:$A$5001,Base!$B$3:$B$5001,I$197,Base!$A$3:$A$5001,"&gt;="&amp;$C$7,Base!$A$3:$A$5001,"&lt;="&amp;$B223,Base!$Y$3:$Y$5001,"&lt;&gt;"))))</f>
        <v>891</v>
      </c>
      <c r="J223">
        <f>IF($A223&gt;$B$9,"",IF(COUNTIFS(Base!$B$3:$B$5001,J$197,Base!$A$3:$A$5001,"&gt;="&amp;$C$7,Base!$A$3:$A$5001,"&lt;="&amp;$B223,Base!$Y$3:$Y$5001,"&lt;&gt;")=0,"",SUMIFS(Base!$Y$3:$Y$5001,Base!$B$3:$B$5001,J$197,Base!$A$3:$A$5001,_xlfn.MAXIFS(Base!$A$3:$A$5001,Base!$B$3:$B$5001,J$197,Base!$A$3:$A$5001,"&gt;="&amp;$C$7,Base!$A$3:$A$5001,"&lt;="&amp;$B223,Base!$Y$3:$Y$5001,"&lt;&gt;"))))</f>
        <v>345</v>
      </c>
      <c r="K223">
        <f>IF($A223&gt;$B$9,"",IF(COUNTIFS(Base!$B$3:$B$5001,K$197,Base!$A$3:$A$5001,"&gt;="&amp;$C$7,Base!$A$3:$A$5001,"&lt;="&amp;$B223,Base!$Y$3:$Y$5001,"&lt;&gt;")=0,"",SUMIFS(Base!$Y$3:$Y$5001,Base!$B$3:$B$5001,K$197,Base!$A$3:$A$5001,_xlfn.MAXIFS(Base!$A$3:$A$5001,Base!$B$3:$B$5001,K$197,Base!$A$3:$A$5001,"&gt;="&amp;$C$7,Base!$A$3:$A$5001,"&lt;="&amp;$B223,Base!$Y$3:$Y$5001,"&lt;&gt;"))))</f>
        <v>1346</v>
      </c>
    </row>
    <row r="224">
      <c r="A224">
        <v>27</v>
      </c>
      <c r="B224" s="152">
        <f>$B$38</f>
        <v>46292</v>
      </c>
      <c r="C224">
        <f>IF($A224&gt;$B$9,"",IF(COUNTIFS(Base!$B$3:$B$5001,C$197,Base!$A$3:$A$5001,"&gt;="&amp;$C$7,Base!$A$3:$A$5001,"&lt;="&amp;$B224,Base!$Y$3:$Y$5001,"&lt;&gt;")=0,"",SUMIFS(Base!$Y$3:$Y$5001,Base!$B$3:$B$5001,C$197,Base!$A$3:$A$5001,_xlfn.MAXIFS(Base!$A$3:$A$5001,Base!$B$3:$B$5001,C$197,Base!$A$3:$A$5001,"&gt;="&amp;$C$7,Base!$A$3:$A$5001,"&lt;="&amp;$B224,Base!$Y$3:$Y$5001,"&lt;&gt;"))))</f>
        <v>2122</v>
      </c>
      <c r="D224">
        <f>IF($A224&gt;$B$9,"",IF(COUNTIFS(Base!$B$3:$B$5001,D$197,Base!$A$3:$A$5001,"&gt;="&amp;$C$7,Base!$A$3:$A$5001,"&lt;="&amp;$B224,Base!$Y$3:$Y$5001,"&lt;&gt;")=0,"",SUMIFS(Base!$Y$3:$Y$5001,Base!$B$3:$B$5001,D$197,Base!$A$3:$A$5001,_xlfn.MAXIFS(Base!$A$3:$A$5001,Base!$B$3:$B$5001,D$197,Base!$A$3:$A$5001,"&gt;="&amp;$C$7,Base!$A$3:$A$5001,"&lt;="&amp;$B224,Base!$Y$3:$Y$5001,"&lt;&gt;"))))</f>
        <v>796</v>
      </c>
      <c r="E224">
        <f>IF($A224&gt;$B$9,"",IF(COUNTIFS(Base!$B$3:$B$5001,E$197,Base!$A$3:$A$5001,"&gt;="&amp;$C$7,Base!$A$3:$A$5001,"&lt;="&amp;$B224,Base!$Y$3:$Y$5001,"&lt;&gt;")=0,"",SUMIFS(Base!$Y$3:$Y$5001,Base!$B$3:$B$5001,E$197,Base!$A$3:$A$5001,_xlfn.MAXIFS(Base!$A$3:$A$5001,Base!$B$3:$B$5001,E$197,Base!$A$3:$A$5001,"&gt;="&amp;$C$7,Base!$A$3:$A$5001,"&lt;="&amp;$B224,Base!$Y$3:$Y$5001,"&lt;&gt;"))))</f>
        <v>2339</v>
      </c>
      <c r="F224">
        <f>IF($A224&gt;$B$9,"",IF(COUNTIFS(Base!$B$3:$B$5001,F$197,Base!$A$3:$A$5001,"&gt;="&amp;$C$7,Base!$A$3:$A$5001,"&lt;="&amp;$B224,Base!$Y$3:$Y$5001,"&lt;&gt;")=0,"",SUMIFS(Base!$Y$3:$Y$5001,Base!$B$3:$B$5001,F$197,Base!$A$3:$A$5001,_xlfn.MAXIFS(Base!$A$3:$A$5001,Base!$B$3:$B$5001,F$197,Base!$A$3:$A$5001,"&gt;="&amp;$C$7,Base!$A$3:$A$5001,"&lt;="&amp;$B224,Base!$Y$3:$Y$5001,"&lt;&gt;"))))</f>
        <v>1366</v>
      </c>
      <c r="G224">
        <f>IF($A224&gt;$B$9,"",IF(COUNTIFS(Base!$B$3:$B$5001,G$197,Base!$A$3:$A$5001,"&gt;="&amp;$C$7,Base!$A$3:$A$5001,"&lt;="&amp;$B224,Base!$Y$3:$Y$5001,"&lt;&gt;")=0,"",SUMIFS(Base!$Y$3:$Y$5001,Base!$B$3:$B$5001,G$197,Base!$A$3:$A$5001,_xlfn.MAXIFS(Base!$A$3:$A$5001,Base!$B$3:$B$5001,G$197,Base!$A$3:$A$5001,"&gt;="&amp;$C$7,Base!$A$3:$A$5001,"&lt;="&amp;$B224,Base!$Y$3:$Y$5001,"&lt;&gt;"))))</f>
        <v>627</v>
      </c>
      <c r="H224">
        <f>IF($A224&gt;$B$9,"",IF(COUNTIFS(Base!$B$3:$B$5001,H$197,Base!$A$3:$A$5001,"&gt;="&amp;$C$7,Base!$A$3:$A$5001,"&lt;="&amp;$B224,Base!$Y$3:$Y$5001,"&lt;&gt;")=0,"",SUMIFS(Base!$Y$3:$Y$5001,Base!$B$3:$B$5001,H$197,Base!$A$3:$A$5001,_xlfn.MAXIFS(Base!$A$3:$A$5001,Base!$B$3:$B$5001,H$197,Base!$A$3:$A$5001,"&gt;="&amp;$C$7,Base!$A$3:$A$5001,"&lt;="&amp;$B224,Base!$Y$3:$Y$5001,"&lt;&gt;"))))</f>
        <v>459</v>
      </c>
      <c r="I224">
        <f>IF($A224&gt;$B$9,"",IF(COUNTIFS(Base!$B$3:$B$5001,I$197,Base!$A$3:$A$5001,"&gt;="&amp;$C$7,Base!$A$3:$A$5001,"&lt;="&amp;$B224,Base!$Y$3:$Y$5001,"&lt;&gt;")=0,"",SUMIFS(Base!$Y$3:$Y$5001,Base!$B$3:$B$5001,I$197,Base!$A$3:$A$5001,_xlfn.MAXIFS(Base!$A$3:$A$5001,Base!$B$3:$B$5001,I$197,Base!$A$3:$A$5001,"&gt;="&amp;$C$7,Base!$A$3:$A$5001,"&lt;="&amp;$B224,Base!$Y$3:$Y$5001,"&lt;&gt;"))))</f>
        <v>891</v>
      </c>
      <c r="J224">
        <f>IF($A224&gt;$B$9,"",IF(COUNTIFS(Base!$B$3:$B$5001,J$197,Base!$A$3:$A$5001,"&gt;="&amp;$C$7,Base!$A$3:$A$5001,"&lt;="&amp;$B224,Base!$Y$3:$Y$5001,"&lt;&gt;")=0,"",SUMIFS(Base!$Y$3:$Y$5001,Base!$B$3:$B$5001,J$197,Base!$A$3:$A$5001,_xlfn.MAXIFS(Base!$A$3:$A$5001,Base!$B$3:$B$5001,J$197,Base!$A$3:$A$5001,"&gt;="&amp;$C$7,Base!$A$3:$A$5001,"&lt;="&amp;$B224,Base!$Y$3:$Y$5001,"&lt;&gt;"))))</f>
        <v>345</v>
      </c>
      <c r="K224">
        <f>IF($A224&gt;$B$9,"",IF(COUNTIFS(Base!$B$3:$B$5001,K$197,Base!$A$3:$A$5001,"&gt;="&amp;$C$7,Base!$A$3:$A$5001,"&lt;="&amp;$B224,Base!$Y$3:$Y$5001,"&lt;&gt;")=0,"",SUMIFS(Base!$Y$3:$Y$5001,Base!$B$3:$B$5001,K$197,Base!$A$3:$A$5001,_xlfn.MAXIFS(Base!$A$3:$A$5001,Base!$B$3:$B$5001,K$197,Base!$A$3:$A$5001,"&gt;="&amp;$C$7,Base!$A$3:$A$5001,"&lt;="&amp;$B224,Base!$Y$3:$Y$5001,"&lt;&gt;"))))</f>
        <v>1346</v>
      </c>
    </row>
    <row r="225">
      <c r="A225">
        <v>28</v>
      </c>
      <c r="B225" s="152">
        <f>$B$39</f>
        <v>46293</v>
      </c>
      <c r="C225">
        <f>IF($A225&gt;$B$9,"",IF(COUNTIFS(Base!$B$3:$B$5001,C$197,Base!$A$3:$A$5001,"&gt;="&amp;$C$7,Base!$A$3:$A$5001,"&lt;="&amp;$B225,Base!$Y$3:$Y$5001,"&lt;&gt;")=0,"",SUMIFS(Base!$Y$3:$Y$5001,Base!$B$3:$B$5001,C$197,Base!$A$3:$A$5001,_xlfn.MAXIFS(Base!$A$3:$A$5001,Base!$B$3:$B$5001,C$197,Base!$A$3:$A$5001,"&gt;="&amp;$C$7,Base!$A$3:$A$5001,"&lt;="&amp;$B225,Base!$Y$3:$Y$5001,"&lt;&gt;"))))</f>
        <v>1882</v>
      </c>
      <c r="D225">
        <f>IF($A225&gt;$B$9,"",IF(COUNTIFS(Base!$B$3:$B$5001,D$197,Base!$A$3:$A$5001,"&gt;="&amp;$C$7,Base!$A$3:$A$5001,"&lt;="&amp;$B225,Base!$Y$3:$Y$5001,"&lt;&gt;")=0,"",SUMIFS(Base!$Y$3:$Y$5001,Base!$B$3:$B$5001,D$197,Base!$A$3:$A$5001,_xlfn.MAXIFS(Base!$A$3:$A$5001,Base!$B$3:$B$5001,D$197,Base!$A$3:$A$5001,"&gt;="&amp;$C$7,Base!$A$3:$A$5001,"&lt;="&amp;$B225,Base!$Y$3:$Y$5001,"&lt;&gt;"))))</f>
        <v>782</v>
      </c>
      <c r="E225">
        <f>IF($A225&gt;$B$9,"",IF(COUNTIFS(Base!$B$3:$B$5001,E$197,Base!$A$3:$A$5001,"&gt;="&amp;$C$7,Base!$A$3:$A$5001,"&lt;="&amp;$B225,Base!$Y$3:$Y$5001,"&lt;&gt;")=0,"",SUMIFS(Base!$Y$3:$Y$5001,Base!$B$3:$B$5001,E$197,Base!$A$3:$A$5001,_xlfn.MAXIFS(Base!$A$3:$A$5001,Base!$B$3:$B$5001,E$197,Base!$A$3:$A$5001,"&gt;="&amp;$C$7,Base!$A$3:$A$5001,"&lt;="&amp;$B225,Base!$Y$3:$Y$5001,"&lt;&gt;"))))</f>
        <v>2649</v>
      </c>
      <c r="F225">
        <f>IF($A225&gt;$B$9,"",IF(COUNTIFS(Base!$B$3:$B$5001,F$197,Base!$A$3:$A$5001,"&gt;="&amp;$C$7,Base!$A$3:$A$5001,"&lt;="&amp;$B225,Base!$Y$3:$Y$5001,"&lt;&gt;")=0,"",SUMIFS(Base!$Y$3:$Y$5001,Base!$B$3:$B$5001,F$197,Base!$A$3:$A$5001,_xlfn.MAXIFS(Base!$A$3:$A$5001,Base!$B$3:$B$5001,F$197,Base!$A$3:$A$5001,"&gt;="&amp;$C$7,Base!$A$3:$A$5001,"&lt;="&amp;$B225,Base!$Y$3:$Y$5001,"&lt;&gt;"))))</f>
        <v>1239</v>
      </c>
      <c r="G225">
        <f>IF($A225&gt;$B$9,"",IF(COUNTIFS(Base!$B$3:$B$5001,G$197,Base!$A$3:$A$5001,"&gt;="&amp;$C$7,Base!$A$3:$A$5001,"&lt;="&amp;$B225,Base!$Y$3:$Y$5001,"&lt;&gt;")=0,"",SUMIFS(Base!$Y$3:$Y$5001,Base!$B$3:$B$5001,G$197,Base!$A$3:$A$5001,_xlfn.MAXIFS(Base!$A$3:$A$5001,Base!$B$3:$B$5001,G$197,Base!$A$3:$A$5001,"&gt;="&amp;$C$7,Base!$A$3:$A$5001,"&lt;="&amp;$B225,Base!$Y$3:$Y$5001,"&lt;&gt;"))))</f>
        <v>770</v>
      </c>
      <c r="H225">
        <f>IF($A225&gt;$B$9,"",IF(COUNTIFS(Base!$B$3:$B$5001,H$197,Base!$A$3:$A$5001,"&gt;="&amp;$C$7,Base!$A$3:$A$5001,"&lt;="&amp;$B225,Base!$Y$3:$Y$5001,"&lt;&gt;")=0,"",SUMIFS(Base!$Y$3:$Y$5001,Base!$B$3:$B$5001,H$197,Base!$A$3:$A$5001,_xlfn.MAXIFS(Base!$A$3:$A$5001,Base!$B$3:$B$5001,H$197,Base!$A$3:$A$5001,"&gt;="&amp;$C$7,Base!$A$3:$A$5001,"&lt;="&amp;$B225,Base!$Y$3:$Y$5001,"&lt;&gt;"))))</f>
        <v>359</v>
      </c>
      <c r="I225">
        <f>IF($A225&gt;$B$9,"",IF(COUNTIFS(Base!$B$3:$B$5001,I$197,Base!$A$3:$A$5001,"&gt;="&amp;$C$7,Base!$A$3:$A$5001,"&lt;="&amp;$B225,Base!$Y$3:$Y$5001,"&lt;&gt;")=0,"",SUMIFS(Base!$Y$3:$Y$5001,Base!$B$3:$B$5001,I$197,Base!$A$3:$A$5001,_xlfn.MAXIFS(Base!$A$3:$A$5001,Base!$B$3:$B$5001,I$197,Base!$A$3:$A$5001,"&gt;="&amp;$C$7,Base!$A$3:$A$5001,"&lt;="&amp;$B225,Base!$Y$3:$Y$5001,"&lt;&gt;"))))</f>
        <v>845</v>
      </c>
      <c r="J225">
        <f>IF($A225&gt;$B$9,"",IF(COUNTIFS(Base!$B$3:$B$5001,J$197,Base!$A$3:$A$5001,"&gt;="&amp;$C$7,Base!$A$3:$A$5001,"&lt;="&amp;$B225,Base!$Y$3:$Y$5001,"&lt;&gt;")=0,"",SUMIFS(Base!$Y$3:$Y$5001,Base!$B$3:$B$5001,J$197,Base!$A$3:$A$5001,_xlfn.MAXIFS(Base!$A$3:$A$5001,Base!$B$3:$B$5001,J$197,Base!$A$3:$A$5001,"&gt;="&amp;$C$7,Base!$A$3:$A$5001,"&lt;="&amp;$B225,Base!$Y$3:$Y$5001,"&lt;&gt;"))))</f>
        <v>298</v>
      </c>
      <c r="K225">
        <f>IF($A225&gt;$B$9,"",IF(COUNTIFS(Base!$B$3:$B$5001,K$197,Base!$A$3:$A$5001,"&gt;="&amp;$C$7,Base!$A$3:$A$5001,"&lt;="&amp;$B225,Base!$Y$3:$Y$5001,"&lt;&gt;")=0,"",SUMIFS(Base!$Y$3:$Y$5001,Base!$B$3:$B$5001,K$197,Base!$A$3:$A$5001,_xlfn.MAXIFS(Base!$A$3:$A$5001,Base!$B$3:$B$5001,K$197,Base!$A$3:$A$5001,"&gt;="&amp;$C$7,Base!$A$3:$A$5001,"&lt;="&amp;$B225,Base!$Y$3:$Y$5001,"&lt;&gt;"))))</f>
        <v>1622</v>
      </c>
    </row>
    <row r="226">
      <c r="A226">
        <v>29</v>
      </c>
      <c r="B226" s="152">
        <f>$B$40</f>
        <v>46294</v>
      </c>
      <c r="C226">
        <f>IF($A226&gt;$B$9,"",IF(COUNTIFS(Base!$B$3:$B$5001,C$197,Base!$A$3:$A$5001,"&gt;="&amp;$C$7,Base!$A$3:$A$5001,"&lt;="&amp;$B226,Base!$Y$3:$Y$5001,"&lt;&gt;")=0,"",SUMIFS(Base!$Y$3:$Y$5001,Base!$B$3:$B$5001,C$197,Base!$A$3:$A$5001,_xlfn.MAXIFS(Base!$A$3:$A$5001,Base!$B$3:$B$5001,C$197,Base!$A$3:$A$5001,"&gt;="&amp;$C$7,Base!$A$3:$A$5001,"&lt;="&amp;$B226,Base!$Y$3:$Y$5001,"&lt;&gt;"))))</f>
        <v>1935</v>
      </c>
      <c r="D226">
        <f>IF($A226&gt;$B$9,"",IF(COUNTIFS(Base!$B$3:$B$5001,D$197,Base!$A$3:$A$5001,"&gt;="&amp;$C$7,Base!$A$3:$A$5001,"&lt;="&amp;$B226,Base!$Y$3:$Y$5001,"&lt;&gt;")=0,"",SUMIFS(Base!$Y$3:$Y$5001,Base!$B$3:$B$5001,D$197,Base!$A$3:$A$5001,_xlfn.MAXIFS(Base!$A$3:$A$5001,Base!$B$3:$B$5001,D$197,Base!$A$3:$A$5001,"&gt;="&amp;$C$7,Base!$A$3:$A$5001,"&lt;="&amp;$B226,Base!$Y$3:$Y$5001,"&lt;&gt;"))))</f>
        <v>913</v>
      </c>
      <c r="E226">
        <f>IF($A226&gt;$B$9,"",IF(COUNTIFS(Base!$B$3:$B$5001,E$197,Base!$A$3:$A$5001,"&gt;="&amp;$C$7,Base!$A$3:$A$5001,"&lt;="&amp;$B226,Base!$Y$3:$Y$5001,"&lt;&gt;")=0,"",SUMIFS(Base!$Y$3:$Y$5001,Base!$B$3:$B$5001,E$197,Base!$A$3:$A$5001,_xlfn.MAXIFS(Base!$A$3:$A$5001,Base!$B$3:$B$5001,E$197,Base!$A$3:$A$5001,"&gt;="&amp;$C$7,Base!$A$3:$A$5001,"&lt;="&amp;$B226,Base!$Y$3:$Y$5001,"&lt;&gt;"))))</f>
        <v>2863</v>
      </c>
      <c r="F226">
        <f>IF($A226&gt;$B$9,"",IF(COUNTIFS(Base!$B$3:$B$5001,F$197,Base!$A$3:$A$5001,"&gt;="&amp;$C$7,Base!$A$3:$A$5001,"&lt;="&amp;$B226,Base!$Y$3:$Y$5001,"&lt;&gt;")=0,"",SUMIFS(Base!$Y$3:$Y$5001,Base!$B$3:$B$5001,F$197,Base!$A$3:$A$5001,_xlfn.MAXIFS(Base!$A$3:$A$5001,Base!$B$3:$B$5001,F$197,Base!$A$3:$A$5001,"&gt;="&amp;$C$7,Base!$A$3:$A$5001,"&lt;="&amp;$B226,Base!$Y$3:$Y$5001,"&lt;&gt;"))))</f>
        <v>1077</v>
      </c>
      <c r="G226">
        <f>IF($A226&gt;$B$9,"",IF(COUNTIFS(Base!$B$3:$B$5001,G$197,Base!$A$3:$A$5001,"&gt;="&amp;$C$7,Base!$A$3:$A$5001,"&lt;="&amp;$B226,Base!$Y$3:$Y$5001,"&lt;&gt;")=0,"",SUMIFS(Base!$Y$3:$Y$5001,Base!$B$3:$B$5001,G$197,Base!$A$3:$A$5001,_xlfn.MAXIFS(Base!$A$3:$A$5001,Base!$B$3:$B$5001,G$197,Base!$A$3:$A$5001,"&gt;="&amp;$C$7,Base!$A$3:$A$5001,"&lt;="&amp;$B226,Base!$Y$3:$Y$5001,"&lt;&gt;"))))</f>
        <v>738</v>
      </c>
      <c r="H226">
        <f>IF($A226&gt;$B$9,"",IF(COUNTIFS(Base!$B$3:$B$5001,H$197,Base!$A$3:$A$5001,"&gt;="&amp;$C$7,Base!$A$3:$A$5001,"&lt;="&amp;$B226,Base!$Y$3:$Y$5001,"&lt;&gt;")=0,"",SUMIFS(Base!$Y$3:$Y$5001,Base!$B$3:$B$5001,H$197,Base!$A$3:$A$5001,_xlfn.MAXIFS(Base!$A$3:$A$5001,Base!$B$3:$B$5001,H$197,Base!$A$3:$A$5001,"&gt;="&amp;$C$7,Base!$A$3:$A$5001,"&lt;="&amp;$B226,Base!$Y$3:$Y$5001,"&lt;&gt;"))))</f>
        <v>382</v>
      </c>
      <c r="I226">
        <f>IF($A226&gt;$B$9,"",IF(COUNTIFS(Base!$B$3:$B$5001,I$197,Base!$A$3:$A$5001,"&gt;="&amp;$C$7,Base!$A$3:$A$5001,"&lt;="&amp;$B226,Base!$Y$3:$Y$5001,"&lt;&gt;")=0,"",SUMIFS(Base!$Y$3:$Y$5001,Base!$B$3:$B$5001,I$197,Base!$A$3:$A$5001,_xlfn.MAXIFS(Base!$A$3:$A$5001,Base!$B$3:$B$5001,I$197,Base!$A$3:$A$5001,"&gt;="&amp;$C$7,Base!$A$3:$A$5001,"&lt;="&amp;$B226,Base!$Y$3:$Y$5001,"&lt;&gt;"))))</f>
        <v>962</v>
      </c>
      <c r="J226">
        <f>IF($A226&gt;$B$9,"",IF(COUNTIFS(Base!$B$3:$B$5001,J$197,Base!$A$3:$A$5001,"&gt;="&amp;$C$7,Base!$A$3:$A$5001,"&lt;="&amp;$B226,Base!$Y$3:$Y$5001,"&lt;&gt;")=0,"",SUMIFS(Base!$Y$3:$Y$5001,Base!$B$3:$B$5001,J$197,Base!$A$3:$A$5001,_xlfn.MAXIFS(Base!$A$3:$A$5001,Base!$B$3:$B$5001,J$197,Base!$A$3:$A$5001,"&gt;="&amp;$C$7,Base!$A$3:$A$5001,"&lt;="&amp;$B226,Base!$Y$3:$Y$5001,"&lt;&gt;"))))</f>
        <v>456</v>
      </c>
      <c r="K226">
        <f>IF($A226&gt;$B$9,"",IF(COUNTIFS(Base!$B$3:$B$5001,K$197,Base!$A$3:$A$5001,"&gt;="&amp;$C$7,Base!$A$3:$A$5001,"&lt;="&amp;$B226,Base!$Y$3:$Y$5001,"&lt;&gt;")=0,"",SUMIFS(Base!$Y$3:$Y$5001,Base!$B$3:$B$5001,K$197,Base!$A$3:$A$5001,_xlfn.MAXIFS(Base!$A$3:$A$5001,Base!$B$3:$B$5001,K$197,Base!$A$3:$A$5001,"&gt;="&amp;$C$7,Base!$A$3:$A$5001,"&lt;="&amp;$B226,Base!$Y$3:$Y$5001,"&lt;&gt;"))))</f>
        <v>1078</v>
      </c>
    </row>
    <row r="227">
      <c r="A227">
        <v>30</v>
      </c>
      <c r="B227" s="152">
        <f>$B$41</f>
        <v>46295</v>
      </c>
      <c r="C227" t="str">
        <f>IF($A227&gt;$B$9,"",IF(COUNTIFS(Base!$B$3:$B$5001,C$197,Base!$A$3:$A$5001,"&gt;="&amp;$C$7,Base!$A$3:$A$5001,"&lt;="&amp;$B227,Base!$Y$3:$Y$5001,"&lt;&gt;")=0,"",SUMIFS(Base!$Y$3:$Y$5001,Base!$B$3:$B$5001,C$197,Base!$A$3:$A$5001,_xlfn.MAXIFS(Base!$A$3:$A$5001,Base!$B$3:$B$5001,C$197,Base!$A$3:$A$5001,"&gt;="&amp;$C$7,Base!$A$3:$A$5001,"&lt;="&amp;$B227,Base!$Y$3:$Y$5001,"&lt;&gt;"))))</f>
        <v/>
      </c>
      <c r="D227" t="str">
        <f>IF($A227&gt;$B$9,"",IF(COUNTIFS(Base!$B$3:$B$5001,D$197,Base!$A$3:$A$5001,"&gt;="&amp;$C$7,Base!$A$3:$A$5001,"&lt;="&amp;$B227,Base!$Y$3:$Y$5001,"&lt;&gt;")=0,"",SUMIFS(Base!$Y$3:$Y$5001,Base!$B$3:$B$5001,D$197,Base!$A$3:$A$5001,_xlfn.MAXIFS(Base!$A$3:$A$5001,Base!$B$3:$B$5001,D$197,Base!$A$3:$A$5001,"&gt;="&amp;$C$7,Base!$A$3:$A$5001,"&lt;="&amp;$B227,Base!$Y$3:$Y$5001,"&lt;&gt;"))))</f>
        <v/>
      </c>
      <c r="E227" t="str">
        <f>IF($A227&gt;$B$9,"",IF(COUNTIFS(Base!$B$3:$B$5001,E$197,Base!$A$3:$A$5001,"&gt;="&amp;$C$7,Base!$A$3:$A$5001,"&lt;="&amp;$B227,Base!$Y$3:$Y$5001,"&lt;&gt;")=0,"",SUMIFS(Base!$Y$3:$Y$5001,Base!$B$3:$B$5001,E$197,Base!$A$3:$A$5001,_xlfn.MAXIFS(Base!$A$3:$A$5001,Base!$B$3:$B$5001,E$197,Base!$A$3:$A$5001,"&gt;="&amp;$C$7,Base!$A$3:$A$5001,"&lt;="&amp;$B227,Base!$Y$3:$Y$5001,"&lt;&gt;"))))</f>
        <v/>
      </c>
      <c r="F227" t="str">
        <f>IF($A227&gt;$B$9,"",IF(COUNTIFS(Base!$B$3:$B$5001,F$197,Base!$A$3:$A$5001,"&gt;="&amp;$C$7,Base!$A$3:$A$5001,"&lt;="&amp;$B227,Base!$Y$3:$Y$5001,"&lt;&gt;")=0,"",SUMIFS(Base!$Y$3:$Y$5001,Base!$B$3:$B$5001,F$197,Base!$A$3:$A$5001,_xlfn.MAXIFS(Base!$A$3:$A$5001,Base!$B$3:$B$5001,F$197,Base!$A$3:$A$5001,"&gt;="&amp;$C$7,Base!$A$3:$A$5001,"&lt;="&amp;$B227,Base!$Y$3:$Y$5001,"&lt;&gt;"))))</f>
        <v/>
      </c>
      <c r="G227" t="str">
        <f>IF($A227&gt;$B$9,"",IF(COUNTIFS(Base!$B$3:$B$5001,G$197,Base!$A$3:$A$5001,"&gt;="&amp;$C$7,Base!$A$3:$A$5001,"&lt;="&amp;$B227,Base!$Y$3:$Y$5001,"&lt;&gt;")=0,"",SUMIFS(Base!$Y$3:$Y$5001,Base!$B$3:$B$5001,G$197,Base!$A$3:$A$5001,_xlfn.MAXIFS(Base!$A$3:$A$5001,Base!$B$3:$B$5001,G$197,Base!$A$3:$A$5001,"&gt;="&amp;$C$7,Base!$A$3:$A$5001,"&lt;="&amp;$B227,Base!$Y$3:$Y$5001,"&lt;&gt;"))))</f>
        <v/>
      </c>
      <c r="H227" t="str">
        <f>IF($A227&gt;$B$9,"",IF(COUNTIFS(Base!$B$3:$B$5001,H$197,Base!$A$3:$A$5001,"&gt;="&amp;$C$7,Base!$A$3:$A$5001,"&lt;="&amp;$B227,Base!$Y$3:$Y$5001,"&lt;&gt;")=0,"",SUMIFS(Base!$Y$3:$Y$5001,Base!$B$3:$B$5001,H$197,Base!$A$3:$A$5001,_xlfn.MAXIFS(Base!$A$3:$A$5001,Base!$B$3:$B$5001,H$197,Base!$A$3:$A$5001,"&gt;="&amp;$C$7,Base!$A$3:$A$5001,"&lt;="&amp;$B227,Base!$Y$3:$Y$5001,"&lt;&gt;"))))</f>
        <v/>
      </c>
      <c r="I227" t="str">
        <f>IF($A227&gt;$B$9,"",IF(COUNTIFS(Base!$B$3:$B$5001,I$197,Base!$A$3:$A$5001,"&gt;="&amp;$C$7,Base!$A$3:$A$5001,"&lt;="&amp;$B227,Base!$Y$3:$Y$5001,"&lt;&gt;")=0,"",SUMIFS(Base!$Y$3:$Y$5001,Base!$B$3:$B$5001,I$197,Base!$A$3:$A$5001,_xlfn.MAXIFS(Base!$A$3:$A$5001,Base!$B$3:$B$5001,I$197,Base!$A$3:$A$5001,"&gt;="&amp;$C$7,Base!$A$3:$A$5001,"&lt;="&amp;$B227,Base!$Y$3:$Y$5001,"&lt;&gt;"))))</f>
        <v/>
      </c>
      <c r="J227" t="str">
        <f>IF($A227&gt;$B$9,"",IF(COUNTIFS(Base!$B$3:$B$5001,J$197,Base!$A$3:$A$5001,"&gt;="&amp;$C$7,Base!$A$3:$A$5001,"&lt;="&amp;$B227,Base!$Y$3:$Y$5001,"&lt;&gt;")=0,"",SUMIFS(Base!$Y$3:$Y$5001,Base!$B$3:$B$5001,J$197,Base!$A$3:$A$5001,_xlfn.MAXIFS(Base!$A$3:$A$5001,Base!$B$3:$B$5001,J$197,Base!$A$3:$A$5001,"&gt;="&amp;$C$7,Base!$A$3:$A$5001,"&lt;="&amp;$B227,Base!$Y$3:$Y$5001,"&lt;&gt;"))))</f>
        <v/>
      </c>
      <c r="K227" t="str">
        <f>IF($A227&gt;$B$9,"",IF(COUNTIFS(Base!$B$3:$B$5001,K$197,Base!$A$3:$A$5001,"&gt;="&amp;$C$7,Base!$A$3:$A$5001,"&lt;="&amp;$B227,Base!$Y$3:$Y$5001,"&lt;&gt;")=0,"",SUMIFS(Base!$Y$3:$Y$5001,Base!$B$3:$B$5001,K$197,Base!$A$3:$A$5001,_xlfn.MAXIFS(Base!$A$3:$A$5001,Base!$B$3:$B$5001,K$197,Base!$A$3:$A$5001,"&gt;="&amp;$C$7,Base!$A$3:$A$5001,"&lt;="&amp;$B227,Base!$Y$3:$Y$5001,"&lt;&gt;"))))</f>
        <v/>
      </c>
    </row>
    <row r="228">
      <c r="A228">
        <v>31</v>
      </c>
      <c r="B228" s="152" t="str">
        <f>$B$42</f>
        <v/>
      </c>
      <c r="C228" t="str">
        <f>IF($A228&gt;$B$9,"",IF(COUNTIFS(Base!$B$3:$B$5001,C$197,Base!$A$3:$A$5001,"&gt;="&amp;$C$7,Base!$A$3:$A$5001,"&lt;="&amp;$B228,Base!$Y$3:$Y$5001,"&lt;&gt;")=0,"",SUMIFS(Base!$Y$3:$Y$5001,Base!$B$3:$B$5001,C$197,Base!$A$3:$A$5001,_xlfn.MAXIFS(Base!$A$3:$A$5001,Base!$B$3:$B$5001,C$197,Base!$A$3:$A$5001,"&gt;="&amp;$C$7,Base!$A$3:$A$5001,"&lt;="&amp;$B228,Base!$Y$3:$Y$5001,"&lt;&gt;"))))</f>
        <v/>
      </c>
      <c r="D228" t="str">
        <f>IF($A228&gt;$B$9,"",IF(COUNTIFS(Base!$B$3:$B$5001,D$197,Base!$A$3:$A$5001,"&gt;="&amp;$C$7,Base!$A$3:$A$5001,"&lt;="&amp;$B228,Base!$Y$3:$Y$5001,"&lt;&gt;")=0,"",SUMIFS(Base!$Y$3:$Y$5001,Base!$B$3:$B$5001,D$197,Base!$A$3:$A$5001,_xlfn.MAXIFS(Base!$A$3:$A$5001,Base!$B$3:$B$5001,D$197,Base!$A$3:$A$5001,"&gt;="&amp;$C$7,Base!$A$3:$A$5001,"&lt;="&amp;$B228,Base!$Y$3:$Y$5001,"&lt;&gt;"))))</f>
        <v/>
      </c>
      <c r="E228" t="str">
        <f>IF($A228&gt;$B$9,"",IF(COUNTIFS(Base!$B$3:$B$5001,E$197,Base!$A$3:$A$5001,"&gt;="&amp;$C$7,Base!$A$3:$A$5001,"&lt;="&amp;$B228,Base!$Y$3:$Y$5001,"&lt;&gt;")=0,"",SUMIFS(Base!$Y$3:$Y$5001,Base!$B$3:$B$5001,E$197,Base!$A$3:$A$5001,_xlfn.MAXIFS(Base!$A$3:$A$5001,Base!$B$3:$B$5001,E$197,Base!$A$3:$A$5001,"&gt;="&amp;$C$7,Base!$A$3:$A$5001,"&lt;="&amp;$B228,Base!$Y$3:$Y$5001,"&lt;&gt;"))))</f>
        <v/>
      </c>
      <c r="F228" t="str">
        <f>IF($A228&gt;$B$9,"",IF(COUNTIFS(Base!$B$3:$B$5001,F$197,Base!$A$3:$A$5001,"&gt;="&amp;$C$7,Base!$A$3:$A$5001,"&lt;="&amp;$B228,Base!$Y$3:$Y$5001,"&lt;&gt;")=0,"",SUMIFS(Base!$Y$3:$Y$5001,Base!$B$3:$B$5001,F$197,Base!$A$3:$A$5001,_xlfn.MAXIFS(Base!$A$3:$A$5001,Base!$B$3:$B$5001,F$197,Base!$A$3:$A$5001,"&gt;="&amp;$C$7,Base!$A$3:$A$5001,"&lt;="&amp;$B228,Base!$Y$3:$Y$5001,"&lt;&gt;"))))</f>
        <v/>
      </c>
      <c r="G228" t="str">
        <f>IF($A228&gt;$B$9,"",IF(COUNTIFS(Base!$B$3:$B$5001,G$197,Base!$A$3:$A$5001,"&gt;="&amp;$C$7,Base!$A$3:$A$5001,"&lt;="&amp;$B228,Base!$Y$3:$Y$5001,"&lt;&gt;")=0,"",SUMIFS(Base!$Y$3:$Y$5001,Base!$B$3:$B$5001,G$197,Base!$A$3:$A$5001,_xlfn.MAXIFS(Base!$A$3:$A$5001,Base!$B$3:$B$5001,G$197,Base!$A$3:$A$5001,"&gt;="&amp;$C$7,Base!$A$3:$A$5001,"&lt;="&amp;$B228,Base!$Y$3:$Y$5001,"&lt;&gt;"))))</f>
        <v/>
      </c>
      <c r="H228" t="str">
        <f>IF($A228&gt;$B$9,"",IF(COUNTIFS(Base!$B$3:$B$5001,H$197,Base!$A$3:$A$5001,"&gt;="&amp;$C$7,Base!$A$3:$A$5001,"&lt;="&amp;$B228,Base!$Y$3:$Y$5001,"&lt;&gt;")=0,"",SUMIFS(Base!$Y$3:$Y$5001,Base!$B$3:$B$5001,H$197,Base!$A$3:$A$5001,_xlfn.MAXIFS(Base!$A$3:$A$5001,Base!$B$3:$B$5001,H$197,Base!$A$3:$A$5001,"&gt;="&amp;$C$7,Base!$A$3:$A$5001,"&lt;="&amp;$B228,Base!$Y$3:$Y$5001,"&lt;&gt;"))))</f>
        <v/>
      </c>
      <c r="I228" t="str">
        <f>IF($A228&gt;$B$9,"",IF(COUNTIFS(Base!$B$3:$B$5001,I$197,Base!$A$3:$A$5001,"&gt;="&amp;$C$7,Base!$A$3:$A$5001,"&lt;="&amp;$B228,Base!$Y$3:$Y$5001,"&lt;&gt;")=0,"",SUMIFS(Base!$Y$3:$Y$5001,Base!$B$3:$B$5001,I$197,Base!$A$3:$A$5001,_xlfn.MAXIFS(Base!$A$3:$A$5001,Base!$B$3:$B$5001,I$197,Base!$A$3:$A$5001,"&gt;="&amp;$C$7,Base!$A$3:$A$5001,"&lt;="&amp;$B228,Base!$Y$3:$Y$5001,"&lt;&gt;"))))</f>
        <v/>
      </c>
      <c r="J228" t="str">
        <f>IF($A228&gt;$B$9,"",IF(COUNTIFS(Base!$B$3:$B$5001,J$197,Base!$A$3:$A$5001,"&gt;="&amp;$C$7,Base!$A$3:$A$5001,"&lt;="&amp;$B228,Base!$Y$3:$Y$5001,"&lt;&gt;")=0,"",SUMIFS(Base!$Y$3:$Y$5001,Base!$B$3:$B$5001,J$197,Base!$A$3:$A$5001,_xlfn.MAXIFS(Base!$A$3:$A$5001,Base!$B$3:$B$5001,J$197,Base!$A$3:$A$5001,"&gt;="&amp;$C$7,Base!$A$3:$A$5001,"&lt;="&amp;$B228,Base!$Y$3:$Y$5001,"&lt;&gt;"))))</f>
        <v/>
      </c>
      <c r="K228" t="str">
        <f>IF($A228&gt;$B$9,"",IF(COUNTIFS(Base!$B$3:$B$5001,K$197,Base!$A$3:$A$5001,"&gt;="&amp;$C$7,Base!$A$3:$A$5001,"&lt;="&amp;$B228,Base!$Y$3:$Y$5001,"&lt;&gt;")=0,"",SUMIFS(Base!$Y$3:$Y$5001,Base!$B$3:$B$5001,K$197,Base!$A$3:$A$5001,_xlfn.MAXIFS(Base!$A$3:$A$5001,Base!$B$3:$B$5001,K$197,Base!$A$3:$A$5001,"&gt;="&amp;$C$7,Base!$A$3:$A$5001,"&lt;="&amp;$B228,Base!$Y$3:$Y$5001,"&lt;&gt;"))))</f>
        <v/>
      </c>
    </row>
    <row r="229">
      <c r="A229" t="inlineStr">
        <is>
          <t xml:space="preserve">Mês anterior (último)</t>
        </is>
      </c>
      <c r="C229">
        <f>IF(COUNTIFS(Base!$B$3:$B$5001,C$197,Base!$A$3:$A$5001,"&gt;="&amp;$C$8,Base!$A$3:$A$5001,"&lt;="&amp;$D$8,Base!$Y$3:$Y$5001,"&lt;&gt;")=0,"",SUMIFS(Base!$Y$3:$Y$5001,Base!$B$3:$B$5001,C$197,Base!$A$3:$A$5001,_xlfn.MAXIFS(Base!$A$3:$A$5001,Base!$B$3:$B$5001,C$197,Base!$A$3:$A$5001,"&gt;="&amp;$C$8,Base!$A$3:$A$5001,"&lt;="&amp;$D$8,Base!$Y$3:$Y$5001,"&lt;&gt;")))</f>
        <v>1690</v>
      </c>
      <c r="D229">
        <f>IF(COUNTIFS(Base!$B$3:$B$5001,D$197,Base!$A$3:$A$5001,"&gt;="&amp;$C$8,Base!$A$3:$A$5001,"&lt;="&amp;$D$8,Base!$Y$3:$Y$5001,"&lt;&gt;")=0,"",SUMIFS(Base!$Y$3:$Y$5001,Base!$B$3:$B$5001,D$197,Base!$A$3:$A$5001,_xlfn.MAXIFS(Base!$A$3:$A$5001,Base!$B$3:$B$5001,D$197,Base!$A$3:$A$5001,"&gt;="&amp;$C$8,Base!$A$3:$A$5001,"&lt;="&amp;$D$8,Base!$Y$3:$Y$5001,"&lt;&gt;")))</f>
        <v>764</v>
      </c>
      <c r="E229">
        <f>IF(COUNTIFS(Base!$B$3:$B$5001,E$197,Base!$A$3:$A$5001,"&gt;="&amp;$C$8,Base!$A$3:$A$5001,"&lt;="&amp;$D$8,Base!$Y$3:$Y$5001,"&lt;&gt;")=0,"",SUMIFS(Base!$Y$3:$Y$5001,Base!$B$3:$B$5001,E$197,Base!$A$3:$A$5001,_xlfn.MAXIFS(Base!$A$3:$A$5001,Base!$B$3:$B$5001,E$197,Base!$A$3:$A$5001,"&gt;="&amp;$C$8,Base!$A$3:$A$5001,"&lt;="&amp;$D$8,Base!$Y$3:$Y$5001,"&lt;&gt;")))</f>
        <v>2327</v>
      </c>
      <c r="F229">
        <f>IF(COUNTIFS(Base!$B$3:$B$5001,F$197,Base!$A$3:$A$5001,"&gt;="&amp;$C$8,Base!$A$3:$A$5001,"&lt;="&amp;$D$8,Base!$Y$3:$Y$5001,"&lt;&gt;")=0,"",SUMIFS(Base!$Y$3:$Y$5001,Base!$B$3:$B$5001,F$197,Base!$A$3:$A$5001,_xlfn.MAXIFS(Base!$A$3:$A$5001,Base!$B$3:$B$5001,F$197,Base!$A$3:$A$5001,"&gt;="&amp;$C$8,Base!$A$3:$A$5001,"&lt;="&amp;$D$8,Base!$Y$3:$Y$5001,"&lt;&gt;")))</f>
        <v>928</v>
      </c>
      <c r="G229">
        <f>IF(COUNTIFS(Base!$B$3:$B$5001,G$197,Base!$A$3:$A$5001,"&gt;="&amp;$C$8,Base!$A$3:$A$5001,"&lt;="&amp;$D$8,Base!$Y$3:$Y$5001,"&lt;&gt;")=0,"",SUMIFS(Base!$Y$3:$Y$5001,Base!$B$3:$B$5001,G$197,Base!$A$3:$A$5001,_xlfn.MAXIFS(Base!$A$3:$A$5001,Base!$B$3:$B$5001,G$197,Base!$A$3:$A$5001,"&gt;="&amp;$C$8,Base!$A$3:$A$5001,"&lt;="&amp;$D$8,Base!$Y$3:$Y$5001,"&lt;&gt;")))</f>
        <v>571</v>
      </c>
      <c r="H229">
        <f>IF(COUNTIFS(Base!$B$3:$B$5001,H$197,Base!$A$3:$A$5001,"&gt;="&amp;$C$8,Base!$A$3:$A$5001,"&lt;="&amp;$D$8,Base!$Y$3:$Y$5001,"&lt;&gt;")=0,"",SUMIFS(Base!$Y$3:$Y$5001,Base!$B$3:$B$5001,H$197,Base!$A$3:$A$5001,_xlfn.MAXIFS(Base!$A$3:$A$5001,Base!$B$3:$B$5001,H$197,Base!$A$3:$A$5001,"&gt;="&amp;$C$8,Base!$A$3:$A$5001,"&lt;="&amp;$D$8,Base!$Y$3:$Y$5001,"&lt;&gt;")))</f>
        <v>403</v>
      </c>
      <c r="I229">
        <f>IF(COUNTIFS(Base!$B$3:$B$5001,I$197,Base!$A$3:$A$5001,"&gt;="&amp;$C$8,Base!$A$3:$A$5001,"&lt;="&amp;$D$8,Base!$Y$3:$Y$5001,"&lt;&gt;")=0,"",SUMIFS(Base!$Y$3:$Y$5001,Base!$B$3:$B$5001,I$197,Base!$A$3:$A$5001,_xlfn.MAXIFS(Base!$A$3:$A$5001,Base!$B$3:$B$5001,I$197,Base!$A$3:$A$5001,"&gt;="&amp;$C$8,Base!$A$3:$A$5001,"&lt;="&amp;$D$8,Base!$Y$3:$Y$5001,"&lt;&gt;")))</f>
        <v>962</v>
      </c>
      <c r="J229">
        <f>IF(COUNTIFS(Base!$B$3:$B$5001,J$197,Base!$A$3:$A$5001,"&gt;="&amp;$C$8,Base!$A$3:$A$5001,"&lt;="&amp;$D$8,Base!$Y$3:$Y$5001,"&lt;&gt;")=0,"",SUMIFS(Base!$Y$3:$Y$5001,Base!$B$3:$B$5001,J$197,Base!$A$3:$A$5001,_xlfn.MAXIFS(Base!$A$3:$A$5001,Base!$B$3:$B$5001,J$197,Base!$A$3:$A$5001,"&gt;="&amp;$C$8,Base!$A$3:$A$5001,"&lt;="&amp;$D$8,Base!$Y$3:$Y$5001,"&lt;&gt;")))</f>
        <v>484</v>
      </c>
      <c r="K229">
        <f>IF(COUNTIFS(Base!$B$3:$B$5001,K$197,Base!$A$3:$A$5001,"&gt;="&amp;$C$8,Base!$A$3:$A$5001,"&lt;="&amp;$D$8,Base!$Y$3:$Y$5001,"&lt;&gt;")=0,"",SUMIFS(Base!$Y$3:$Y$5001,Base!$B$3:$B$5001,K$197,Base!$A$3:$A$5001,_xlfn.MAXIFS(Base!$A$3:$A$5001,Base!$B$3:$B$5001,K$197,Base!$A$3:$A$5001,"&gt;="&amp;$C$8,Base!$A$3:$A$5001,"&lt;="&amp;$D$8,Base!$Y$3:$Y$5001,"&lt;&gt;")))</f>
        <v>1056</v>
      </c>
    </row>
    <row r="232">
      <c r="A232" s="145" t="inlineStr">
        <is>
          <t xml:space="preserve">Efetivo</t>
        </is>
      </c>
      <c r="B232" s="145" t="inlineStr">
        <is>
          <t xml:space="preserve">Data</t>
        </is>
      </c>
      <c r="C232" s="145" t="inlineStr">
        <is>
          <t xml:space="preserve">BASF</t>
        </is>
      </c>
      <c r="D232" s="145" t="inlineStr">
        <is>
          <t xml:space="preserve">BEAUTYBIZ</t>
        </is>
      </c>
      <c r="E232" s="145" t="inlineStr">
        <is>
          <t xml:space="preserve">BOTICÁRIO</t>
        </is>
      </c>
      <c r="F232" s="145" t="inlineStr">
        <is>
          <t xml:space="preserve">SUPPLY</t>
        </is>
      </c>
      <c r="G232" s="145" t="inlineStr">
        <is>
          <t xml:space="preserve">GE VERNOVA</t>
        </is>
      </c>
      <c r="H232" s="145" t="inlineStr">
        <is>
          <t xml:space="preserve">VESTAS</t>
        </is>
      </c>
      <c r="I232" s="145" t="inlineStr">
        <is>
          <t xml:space="preserve">VEDACIT</t>
        </is>
      </c>
      <c r="J232" s="145" t="inlineStr">
        <is>
          <t xml:space="preserve">OMNLIFE</t>
        </is>
      </c>
      <c r="K232" s="145" t="inlineStr">
        <is>
          <t xml:space="preserve">ALPARGATAS</t>
        </is>
      </c>
    </row>
    <row r="233">
      <c r="A233">
        <v>1</v>
      </c>
      <c r="B233" s="152">
        <f>$B$12</f>
        <v>46266</v>
      </c>
      <c r="C233">
        <f>IF($A233&gt;$B$9,"",IF(COUNTIFS(Base!$B$3:$B$5001,C$232,Base!$A$3:$A$5001,"&gt;="&amp;$C$7,Base!$A$3:$A$5001,"&lt;="&amp;$B233,Base!$Z$3:$Z$5001,"&lt;&gt;")=0,"",SUMIFS(Base!$Z$3:$Z$5001,Base!$B$3:$B$5001,C$232,Base!$A$3:$A$5001,_xlfn.MAXIFS(Base!$A$3:$A$5001,Base!$B$3:$B$5001,C$232,Base!$A$3:$A$5001,"&gt;="&amp;$C$7,Base!$A$3:$A$5001,"&lt;="&amp;$B233,Base!$Z$3:$Z$5001,"&lt;&gt;"))))</f>
        <v>8</v>
      </c>
      <c r="D233">
        <f>IF($A233&gt;$B$9,"",IF(COUNTIFS(Base!$B$3:$B$5001,D$232,Base!$A$3:$A$5001,"&gt;="&amp;$C$7,Base!$A$3:$A$5001,"&lt;="&amp;$B233,Base!$Z$3:$Z$5001,"&lt;&gt;")=0,"",SUMIFS(Base!$Z$3:$Z$5001,Base!$B$3:$B$5001,D$232,Base!$A$3:$A$5001,_xlfn.MAXIFS(Base!$A$3:$A$5001,Base!$B$3:$B$5001,D$232,Base!$A$3:$A$5001,"&gt;="&amp;$C$7,Base!$A$3:$A$5001,"&lt;="&amp;$B233,Base!$Z$3:$Z$5001,"&lt;&gt;"))))</f>
        <v>9</v>
      </c>
      <c r="E233">
        <f>IF($A233&gt;$B$9,"",IF(COUNTIFS(Base!$B$3:$B$5001,E$232,Base!$A$3:$A$5001,"&gt;="&amp;$C$7,Base!$A$3:$A$5001,"&lt;="&amp;$B233,Base!$Z$3:$Z$5001,"&lt;&gt;")=0,"",SUMIFS(Base!$Z$3:$Z$5001,Base!$B$3:$B$5001,E$232,Base!$A$3:$A$5001,_xlfn.MAXIFS(Base!$A$3:$A$5001,Base!$B$3:$B$5001,E$232,Base!$A$3:$A$5001,"&gt;="&amp;$C$7,Base!$A$3:$A$5001,"&lt;="&amp;$B233,Base!$Z$3:$Z$5001,"&lt;&gt;"))))</f>
        <v>11</v>
      </c>
      <c r="F233">
        <f>IF($A233&gt;$B$9,"",IF(COUNTIFS(Base!$B$3:$B$5001,F$232,Base!$A$3:$A$5001,"&gt;="&amp;$C$7,Base!$A$3:$A$5001,"&lt;="&amp;$B233,Base!$Z$3:$Z$5001,"&lt;&gt;")=0,"",SUMIFS(Base!$Z$3:$Z$5001,Base!$B$3:$B$5001,F$232,Base!$A$3:$A$5001,_xlfn.MAXIFS(Base!$A$3:$A$5001,Base!$B$3:$B$5001,F$232,Base!$A$3:$A$5001,"&gt;="&amp;$C$7,Base!$A$3:$A$5001,"&lt;="&amp;$B233,Base!$Z$3:$Z$5001,"&lt;&gt;"))))</f>
        <v>4</v>
      </c>
      <c r="G233">
        <f>IF($A233&gt;$B$9,"",IF(COUNTIFS(Base!$B$3:$B$5001,G$232,Base!$A$3:$A$5001,"&gt;="&amp;$C$7,Base!$A$3:$A$5001,"&lt;="&amp;$B233,Base!$Z$3:$Z$5001,"&lt;&gt;")=0,"",SUMIFS(Base!$Z$3:$Z$5001,Base!$B$3:$B$5001,G$232,Base!$A$3:$A$5001,_xlfn.MAXIFS(Base!$A$3:$A$5001,Base!$B$3:$B$5001,G$232,Base!$A$3:$A$5001,"&gt;="&amp;$C$7,Base!$A$3:$A$5001,"&lt;="&amp;$B233,Base!$Z$3:$Z$5001,"&lt;&gt;"))))</f>
        <v>6</v>
      </c>
      <c r="H233">
        <f>IF($A233&gt;$B$9,"",IF(COUNTIFS(Base!$B$3:$B$5001,H$232,Base!$A$3:$A$5001,"&gt;="&amp;$C$7,Base!$A$3:$A$5001,"&lt;="&amp;$B233,Base!$Z$3:$Z$5001,"&lt;&gt;")=0,"",SUMIFS(Base!$Z$3:$Z$5001,Base!$B$3:$B$5001,H$232,Base!$A$3:$A$5001,_xlfn.MAXIFS(Base!$A$3:$A$5001,Base!$B$3:$B$5001,H$232,Base!$A$3:$A$5001,"&gt;="&amp;$C$7,Base!$A$3:$A$5001,"&lt;="&amp;$B233,Base!$Z$3:$Z$5001,"&lt;&gt;"))))</f>
        <v>14</v>
      </c>
      <c r="I233">
        <f>IF($A233&gt;$B$9,"",IF(COUNTIFS(Base!$B$3:$B$5001,I$232,Base!$A$3:$A$5001,"&gt;="&amp;$C$7,Base!$A$3:$A$5001,"&lt;="&amp;$B233,Base!$Z$3:$Z$5001,"&lt;&gt;")=0,"",SUMIFS(Base!$Z$3:$Z$5001,Base!$B$3:$B$5001,I$232,Base!$A$3:$A$5001,_xlfn.MAXIFS(Base!$A$3:$A$5001,Base!$B$3:$B$5001,I$232,Base!$A$3:$A$5001,"&gt;="&amp;$C$7,Base!$A$3:$A$5001,"&lt;="&amp;$B233,Base!$Z$3:$Z$5001,"&lt;&gt;"))))</f>
        <v>12</v>
      </c>
      <c r="J233">
        <f>IF($A233&gt;$B$9,"",IF(COUNTIFS(Base!$B$3:$B$5001,J$232,Base!$A$3:$A$5001,"&gt;="&amp;$C$7,Base!$A$3:$A$5001,"&lt;="&amp;$B233,Base!$Z$3:$Z$5001,"&lt;&gt;")=0,"",SUMIFS(Base!$Z$3:$Z$5001,Base!$B$3:$B$5001,J$232,Base!$A$3:$A$5001,_xlfn.MAXIFS(Base!$A$3:$A$5001,Base!$B$3:$B$5001,J$232,Base!$A$3:$A$5001,"&gt;="&amp;$C$7,Base!$A$3:$A$5001,"&lt;="&amp;$B233,Base!$Z$3:$Z$5001,"&lt;&gt;"))))</f>
        <v>6</v>
      </c>
      <c r="K233">
        <f>IF($A233&gt;$B$9,"",IF(COUNTIFS(Base!$B$3:$B$5001,K$232,Base!$A$3:$A$5001,"&gt;="&amp;$C$7,Base!$A$3:$A$5001,"&lt;="&amp;$B233,Base!$Z$3:$Z$5001,"&lt;&gt;")=0,"",SUMIFS(Base!$Z$3:$Z$5001,Base!$B$3:$B$5001,K$232,Base!$A$3:$A$5001,_xlfn.MAXIFS(Base!$A$3:$A$5001,Base!$B$3:$B$5001,K$232,Base!$A$3:$A$5001,"&gt;="&amp;$C$7,Base!$A$3:$A$5001,"&lt;="&amp;$B233,Base!$Z$3:$Z$5001,"&lt;&gt;"))))</f>
        <v>13</v>
      </c>
    </row>
    <row r="234">
      <c r="A234">
        <v>2</v>
      </c>
      <c r="B234" s="152">
        <f>$B$13</f>
        <v>46267</v>
      </c>
      <c r="C234">
        <f>IF($A234&gt;$B$9,"",IF(COUNTIFS(Base!$B$3:$B$5001,C$232,Base!$A$3:$A$5001,"&gt;="&amp;$C$7,Base!$A$3:$A$5001,"&lt;="&amp;$B234,Base!$Z$3:$Z$5001,"&lt;&gt;")=0,"",SUMIFS(Base!$Z$3:$Z$5001,Base!$B$3:$B$5001,C$232,Base!$A$3:$A$5001,_xlfn.MAXIFS(Base!$A$3:$A$5001,Base!$B$3:$B$5001,C$232,Base!$A$3:$A$5001,"&gt;="&amp;$C$7,Base!$A$3:$A$5001,"&lt;="&amp;$B234,Base!$Z$3:$Z$5001,"&lt;&gt;"))))</f>
        <v>8</v>
      </c>
      <c r="D234">
        <f>IF($A234&gt;$B$9,"",IF(COUNTIFS(Base!$B$3:$B$5001,D$232,Base!$A$3:$A$5001,"&gt;="&amp;$C$7,Base!$A$3:$A$5001,"&lt;="&amp;$B234,Base!$Z$3:$Z$5001,"&lt;&gt;")=0,"",SUMIFS(Base!$Z$3:$Z$5001,Base!$B$3:$B$5001,D$232,Base!$A$3:$A$5001,_xlfn.MAXIFS(Base!$A$3:$A$5001,Base!$B$3:$B$5001,D$232,Base!$A$3:$A$5001,"&gt;="&amp;$C$7,Base!$A$3:$A$5001,"&lt;="&amp;$B234,Base!$Z$3:$Z$5001,"&lt;&gt;"))))</f>
        <v>10</v>
      </c>
      <c r="E234">
        <f>IF($A234&gt;$B$9,"",IF(COUNTIFS(Base!$B$3:$B$5001,E$232,Base!$A$3:$A$5001,"&gt;="&amp;$C$7,Base!$A$3:$A$5001,"&lt;="&amp;$B234,Base!$Z$3:$Z$5001,"&lt;&gt;")=0,"",SUMIFS(Base!$Z$3:$Z$5001,Base!$B$3:$B$5001,E$232,Base!$A$3:$A$5001,_xlfn.MAXIFS(Base!$A$3:$A$5001,Base!$B$3:$B$5001,E$232,Base!$A$3:$A$5001,"&gt;="&amp;$C$7,Base!$A$3:$A$5001,"&lt;="&amp;$B234,Base!$Z$3:$Z$5001,"&lt;&gt;"))))</f>
        <v>10</v>
      </c>
      <c r="F234">
        <f>IF($A234&gt;$B$9,"",IF(COUNTIFS(Base!$B$3:$B$5001,F$232,Base!$A$3:$A$5001,"&gt;="&amp;$C$7,Base!$A$3:$A$5001,"&lt;="&amp;$B234,Base!$Z$3:$Z$5001,"&lt;&gt;")=0,"",SUMIFS(Base!$Z$3:$Z$5001,Base!$B$3:$B$5001,F$232,Base!$A$3:$A$5001,_xlfn.MAXIFS(Base!$A$3:$A$5001,Base!$B$3:$B$5001,F$232,Base!$A$3:$A$5001,"&gt;="&amp;$C$7,Base!$A$3:$A$5001,"&lt;="&amp;$B234,Base!$Z$3:$Z$5001,"&lt;&gt;"))))</f>
        <v>14</v>
      </c>
      <c r="G234">
        <f>IF($A234&gt;$B$9,"",IF(COUNTIFS(Base!$B$3:$B$5001,G$232,Base!$A$3:$A$5001,"&gt;="&amp;$C$7,Base!$A$3:$A$5001,"&lt;="&amp;$B234,Base!$Z$3:$Z$5001,"&lt;&gt;")=0,"",SUMIFS(Base!$Z$3:$Z$5001,Base!$B$3:$B$5001,G$232,Base!$A$3:$A$5001,_xlfn.MAXIFS(Base!$A$3:$A$5001,Base!$B$3:$B$5001,G$232,Base!$A$3:$A$5001,"&gt;="&amp;$C$7,Base!$A$3:$A$5001,"&lt;="&amp;$B234,Base!$Z$3:$Z$5001,"&lt;&gt;"))))</f>
        <v>8</v>
      </c>
      <c r="H234">
        <f>IF($A234&gt;$B$9,"",IF(COUNTIFS(Base!$B$3:$B$5001,H$232,Base!$A$3:$A$5001,"&gt;="&amp;$C$7,Base!$A$3:$A$5001,"&lt;="&amp;$B234,Base!$Z$3:$Z$5001,"&lt;&gt;")=0,"",SUMIFS(Base!$Z$3:$Z$5001,Base!$B$3:$B$5001,H$232,Base!$A$3:$A$5001,_xlfn.MAXIFS(Base!$A$3:$A$5001,Base!$B$3:$B$5001,H$232,Base!$A$3:$A$5001,"&gt;="&amp;$C$7,Base!$A$3:$A$5001,"&lt;="&amp;$B234,Base!$Z$3:$Z$5001,"&lt;&gt;"))))</f>
        <v>6</v>
      </c>
      <c r="I234">
        <f>IF($A234&gt;$B$9,"",IF(COUNTIFS(Base!$B$3:$B$5001,I$232,Base!$A$3:$A$5001,"&gt;="&amp;$C$7,Base!$A$3:$A$5001,"&lt;="&amp;$B234,Base!$Z$3:$Z$5001,"&lt;&gt;")=0,"",SUMIFS(Base!$Z$3:$Z$5001,Base!$B$3:$B$5001,I$232,Base!$A$3:$A$5001,_xlfn.MAXIFS(Base!$A$3:$A$5001,Base!$B$3:$B$5001,I$232,Base!$A$3:$A$5001,"&gt;="&amp;$C$7,Base!$A$3:$A$5001,"&lt;="&amp;$B234,Base!$Z$3:$Z$5001,"&lt;&gt;"))))</f>
        <v>10</v>
      </c>
      <c r="J234">
        <f>IF($A234&gt;$B$9,"",IF(COUNTIFS(Base!$B$3:$B$5001,J$232,Base!$A$3:$A$5001,"&gt;="&amp;$C$7,Base!$A$3:$A$5001,"&lt;="&amp;$B234,Base!$Z$3:$Z$5001,"&lt;&gt;")=0,"",SUMIFS(Base!$Z$3:$Z$5001,Base!$B$3:$B$5001,J$232,Base!$A$3:$A$5001,_xlfn.MAXIFS(Base!$A$3:$A$5001,Base!$B$3:$B$5001,J$232,Base!$A$3:$A$5001,"&gt;="&amp;$C$7,Base!$A$3:$A$5001,"&lt;="&amp;$B234,Base!$Z$3:$Z$5001,"&lt;&gt;"))))</f>
        <v>14</v>
      </c>
      <c r="K234">
        <f>IF($A234&gt;$B$9,"",IF(COUNTIFS(Base!$B$3:$B$5001,K$232,Base!$A$3:$A$5001,"&gt;="&amp;$C$7,Base!$A$3:$A$5001,"&lt;="&amp;$B234,Base!$Z$3:$Z$5001,"&lt;&gt;")=0,"",SUMIFS(Base!$Z$3:$Z$5001,Base!$B$3:$B$5001,K$232,Base!$A$3:$A$5001,_xlfn.MAXIFS(Base!$A$3:$A$5001,Base!$B$3:$B$5001,K$232,Base!$A$3:$A$5001,"&gt;="&amp;$C$7,Base!$A$3:$A$5001,"&lt;="&amp;$B234,Base!$Z$3:$Z$5001,"&lt;&gt;"))))</f>
        <v>8</v>
      </c>
    </row>
    <row r="235">
      <c r="A235">
        <v>3</v>
      </c>
      <c r="B235" s="152">
        <f>$B$14</f>
        <v>46268</v>
      </c>
      <c r="C235">
        <f>IF($A235&gt;$B$9,"",IF(COUNTIFS(Base!$B$3:$B$5001,C$232,Base!$A$3:$A$5001,"&gt;="&amp;$C$7,Base!$A$3:$A$5001,"&lt;="&amp;$B235,Base!$Z$3:$Z$5001,"&lt;&gt;")=0,"",SUMIFS(Base!$Z$3:$Z$5001,Base!$B$3:$B$5001,C$232,Base!$A$3:$A$5001,_xlfn.MAXIFS(Base!$A$3:$A$5001,Base!$B$3:$B$5001,C$232,Base!$A$3:$A$5001,"&gt;="&amp;$C$7,Base!$A$3:$A$5001,"&lt;="&amp;$B235,Base!$Z$3:$Z$5001,"&lt;&gt;"))))</f>
        <v>13</v>
      </c>
      <c r="D235">
        <f>IF($A235&gt;$B$9,"",IF(COUNTIFS(Base!$B$3:$B$5001,D$232,Base!$A$3:$A$5001,"&gt;="&amp;$C$7,Base!$A$3:$A$5001,"&lt;="&amp;$B235,Base!$Z$3:$Z$5001,"&lt;&gt;")=0,"",SUMIFS(Base!$Z$3:$Z$5001,Base!$B$3:$B$5001,D$232,Base!$A$3:$A$5001,_xlfn.MAXIFS(Base!$A$3:$A$5001,Base!$B$3:$B$5001,D$232,Base!$A$3:$A$5001,"&gt;="&amp;$C$7,Base!$A$3:$A$5001,"&lt;="&amp;$B235,Base!$Z$3:$Z$5001,"&lt;&gt;"))))</f>
        <v>6</v>
      </c>
      <c r="E235">
        <f>IF($A235&gt;$B$9,"",IF(COUNTIFS(Base!$B$3:$B$5001,E$232,Base!$A$3:$A$5001,"&gt;="&amp;$C$7,Base!$A$3:$A$5001,"&lt;="&amp;$B235,Base!$Z$3:$Z$5001,"&lt;&gt;")=0,"",SUMIFS(Base!$Z$3:$Z$5001,Base!$B$3:$B$5001,E$232,Base!$A$3:$A$5001,_xlfn.MAXIFS(Base!$A$3:$A$5001,Base!$B$3:$B$5001,E$232,Base!$A$3:$A$5001,"&gt;="&amp;$C$7,Base!$A$3:$A$5001,"&lt;="&amp;$B235,Base!$Z$3:$Z$5001,"&lt;&gt;"))))</f>
        <v>8</v>
      </c>
      <c r="F235">
        <f>IF($A235&gt;$B$9,"",IF(COUNTIFS(Base!$B$3:$B$5001,F$232,Base!$A$3:$A$5001,"&gt;="&amp;$C$7,Base!$A$3:$A$5001,"&lt;="&amp;$B235,Base!$Z$3:$Z$5001,"&lt;&gt;")=0,"",SUMIFS(Base!$Z$3:$Z$5001,Base!$B$3:$B$5001,F$232,Base!$A$3:$A$5001,_xlfn.MAXIFS(Base!$A$3:$A$5001,Base!$B$3:$B$5001,F$232,Base!$A$3:$A$5001,"&gt;="&amp;$C$7,Base!$A$3:$A$5001,"&lt;="&amp;$B235,Base!$Z$3:$Z$5001,"&lt;&gt;"))))</f>
        <v>11</v>
      </c>
      <c r="G235">
        <f>IF($A235&gt;$B$9,"",IF(COUNTIFS(Base!$B$3:$B$5001,G$232,Base!$A$3:$A$5001,"&gt;="&amp;$C$7,Base!$A$3:$A$5001,"&lt;="&amp;$B235,Base!$Z$3:$Z$5001,"&lt;&gt;")=0,"",SUMIFS(Base!$Z$3:$Z$5001,Base!$B$3:$B$5001,G$232,Base!$A$3:$A$5001,_xlfn.MAXIFS(Base!$A$3:$A$5001,Base!$B$3:$B$5001,G$232,Base!$A$3:$A$5001,"&gt;="&amp;$C$7,Base!$A$3:$A$5001,"&lt;="&amp;$B235,Base!$Z$3:$Z$5001,"&lt;&gt;"))))</f>
        <v>14</v>
      </c>
      <c r="H235">
        <f>IF($A235&gt;$B$9,"",IF(COUNTIFS(Base!$B$3:$B$5001,H$232,Base!$A$3:$A$5001,"&gt;="&amp;$C$7,Base!$A$3:$A$5001,"&lt;="&amp;$B235,Base!$Z$3:$Z$5001,"&lt;&gt;")=0,"",SUMIFS(Base!$Z$3:$Z$5001,Base!$B$3:$B$5001,H$232,Base!$A$3:$A$5001,_xlfn.MAXIFS(Base!$A$3:$A$5001,Base!$B$3:$B$5001,H$232,Base!$A$3:$A$5001,"&gt;="&amp;$C$7,Base!$A$3:$A$5001,"&lt;="&amp;$B235,Base!$Z$3:$Z$5001,"&lt;&gt;"))))</f>
        <v>11</v>
      </c>
      <c r="I235">
        <f>IF($A235&gt;$B$9,"",IF(COUNTIFS(Base!$B$3:$B$5001,I$232,Base!$A$3:$A$5001,"&gt;="&amp;$C$7,Base!$A$3:$A$5001,"&lt;="&amp;$B235,Base!$Z$3:$Z$5001,"&lt;&gt;")=0,"",SUMIFS(Base!$Z$3:$Z$5001,Base!$B$3:$B$5001,I$232,Base!$A$3:$A$5001,_xlfn.MAXIFS(Base!$A$3:$A$5001,Base!$B$3:$B$5001,I$232,Base!$A$3:$A$5001,"&gt;="&amp;$C$7,Base!$A$3:$A$5001,"&lt;="&amp;$B235,Base!$Z$3:$Z$5001,"&lt;&gt;"))))</f>
        <v>12</v>
      </c>
      <c r="J235">
        <f>IF($A235&gt;$B$9,"",IF(COUNTIFS(Base!$B$3:$B$5001,J$232,Base!$A$3:$A$5001,"&gt;="&amp;$C$7,Base!$A$3:$A$5001,"&lt;="&amp;$B235,Base!$Z$3:$Z$5001,"&lt;&gt;")=0,"",SUMIFS(Base!$Z$3:$Z$5001,Base!$B$3:$B$5001,J$232,Base!$A$3:$A$5001,_xlfn.MAXIFS(Base!$A$3:$A$5001,Base!$B$3:$B$5001,J$232,Base!$A$3:$A$5001,"&gt;="&amp;$C$7,Base!$A$3:$A$5001,"&lt;="&amp;$B235,Base!$Z$3:$Z$5001,"&lt;&gt;"))))</f>
        <v>10</v>
      </c>
      <c r="K235">
        <f>IF($A235&gt;$B$9,"",IF(COUNTIFS(Base!$B$3:$B$5001,K$232,Base!$A$3:$A$5001,"&gt;="&amp;$C$7,Base!$A$3:$A$5001,"&lt;="&amp;$B235,Base!$Z$3:$Z$5001,"&lt;&gt;")=0,"",SUMIFS(Base!$Z$3:$Z$5001,Base!$B$3:$B$5001,K$232,Base!$A$3:$A$5001,_xlfn.MAXIFS(Base!$A$3:$A$5001,Base!$B$3:$B$5001,K$232,Base!$A$3:$A$5001,"&gt;="&amp;$C$7,Base!$A$3:$A$5001,"&lt;="&amp;$B235,Base!$Z$3:$Z$5001,"&lt;&gt;"))))</f>
        <v>5</v>
      </c>
    </row>
    <row r="236">
      <c r="A236">
        <v>4</v>
      </c>
      <c r="B236" s="152">
        <f>$B$15</f>
        <v>46269</v>
      </c>
      <c r="C236">
        <f>IF($A236&gt;$B$9,"",IF(COUNTIFS(Base!$B$3:$B$5001,C$232,Base!$A$3:$A$5001,"&gt;="&amp;$C$7,Base!$A$3:$A$5001,"&lt;="&amp;$B236,Base!$Z$3:$Z$5001,"&lt;&gt;")=0,"",SUMIFS(Base!$Z$3:$Z$5001,Base!$B$3:$B$5001,C$232,Base!$A$3:$A$5001,_xlfn.MAXIFS(Base!$A$3:$A$5001,Base!$B$3:$B$5001,C$232,Base!$A$3:$A$5001,"&gt;="&amp;$C$7,Base!$A$3:$A$5001,"&lt;="&amp;$B236,Base!$Z$3:$Z$5001,"&lt;&gt;"))))</f>
        <v>13</v>
      </c>
      <c r="D236">
        <f>IF($A236&gt;$B$9,"",IF(COUNTIFS(Base!$B$3:$B$5001,D$232,Base!$A$3:$A$5001,"&gt;="&amp;$C$7,Base!$A$3:$A$5001,"&lt;="&amp;$B236,Base!$Z$3:$Z$5001,"&lt;&gt;")=0,"",SUMIFS(Base!$Z$3:$Z$5001,Base!$B$3:$B$5001,D$232,Base!$A$3:$A$5001,_xlfn.MAXIFS(Base!$A$3:$A$5001,Base!$B$3:$B$5001,D$232,Base!$A$3:$A$5001,"&gt;="&amp;$C$7,Base!$A$3:$A$5001,"&lt;="&amp;$B236,Base!$Z$3:$Z$5001,"&lt;&gt;"))))</f>
        <v>11</v>
      </c>
      <c r="E236">
        <f>IF($A236&gt;$B$9,"",IF(COUNTIFS(Base!$B$3:$B$5001,E$232,Base!$A$3:$A$5001,"&gt;="&amp;$C$7,Base!$A$3:$A$5001,"&lt;="&amp;$B236,Base!$Z$3:$Z$5001,"&lt;&gt;")=0,"",SUMIFS(Base!$Z$3:$Z$5001,Base!$B$3:$B$5001,E$232,Base!$A$3:$A$5001,_xlfn.MAXIFS(Base!$A$3:$A$5001,Base!$B$3:$B$5001,E$232,Base!$A$3:$A$5001,"&gt;="&amp;$C$7,Base!$A$3:$A$5001,"&lt;="&amp;$B236,Base!$Z$3:$Z$5001,"&lt;&gt;"))))</f>
        <v>4</v>
      </c>
      <c r="F236">
        <f>IF($A236&gt;$B$9,"",IF(COUNTIFS(Base!$B$3:$B$5001,F$232,Base!$A$3:$A$5001,"&gt;="&amp;$C$7,Base!$A$3:$A$5001,"&lt;="&amp;$B236,Base!$Z$3:$Z$5001,"&lt;&gt;")=0,"",SUMIFS(Base!$Z$3:$Z$5001,Base!$B$3:$B$5001,F$232,Base!$A$3:$A$5001,_xlfn.MAXIFS(Base!$A$3:$A$5001,Base!$B$3:$B$5001,F$232,Base!$A$3:$A$5001,"&gt;="&amp;$C$7,Base!$A$3:$A$5001,"&lt;="&amp;$B236,Base!$Z$3:$Z$5001,"&lt;&gt;"))))</f>
        <v>5</v>
      </c>
      <c r="G236">
        <f>IF($A236&gt;$B$9,"",IF(COUNTIFS(Base!$B$3:$B$5001,G$232,Base!$A$3:$A$5001,"&gt;="&amp;$C$7,Base!$A$3:$A$5001,"&lt;="&amp;$B236,Base!$Z$3:$Z$5001,"&lt;&gt;")=0,"",SUMIFS(Base!$Z$3:$Z$5001,Base!$B$3:$B$5001,G$232,Base!$A$3:$A$5001,_xlfn.MAXIFS(Base!$A$3:$A$5001,Base!$B$3:$B$5001,G$232,Base!$A$3:$A$5001,"&gt;="&amp;$C$7,Base!$A$3:$A$5001,"&lt;="&amp;$B236,Base!$Z$3:$Z$5001,"&lt;&gt;"))))</f>
        <v>5</v>
      </c>
      <c r="H236">
        <f>IF($A236&gt;$B$9,"",IF(COUNTIFS(Base!$B$3:$B$5001,H$232,Base!$A$3:$A$5001,"&gt;="&amp;$C$7,Base!$A$3:$A$5001,"&lt;="&amp;$B236,Base!$Z$3:$Z$5001,"&lt;&gt;")=0,"",SUMIFS(Base!$Z$3:$Z$5001,Base!$B$3:$B$5001,H$232,Base!$A$3:$A$5001,_xlfn.MAXIFS(Base!$A$3:$A$5001,Base!$B$3:$B$5001,H$232,Base!$A$3:$A$5001,"&gt;="&amp;$C$7,Base!$A$3:$A$5001,"&lt;="&amp;$B236,Base!$Z$3:$Z$5001,"&lt;&gt;"))))</f>
        <v>5</v>
      </c>
      <c r="I236">
        <f>IF($A236&gt;$B$9,"",IF(COUNTIFS(Base!$B$3:$B$5001,I$232,Base!$A$3:$A$5001,"&gt;="&amp;$C$7,Base!$A$3:$A$5001,"&lt;="&amp;$B236,Base!$Z$3:$Z$5001,"&lt;&gt;")=0,"",SUMIFS(Base!$Z$3:$Z$5001,Base!$B$3:$B$5001,I$232,Base!$A$3:$A$5001,_xlfn.MAXIFS(Base!$A$3:$A$5001,Base!$B$3:$B$5001,I$232,Base!$A$3:$A$5001,"&gt;="&amp;$C$7,Base!$A$3:$A$5001,"&lt;="&amp;$B236,Base!$Z$3:$Z$5001,"&lt;&gt;"))))</f>
        <v>11</v>
      </c>
      <c r="J236">
        <f>IF($A236&gt;$B$9,"",IF(COUNTIFS(Base!$B$3:$B$5001,J$232,Base!$A$3:$A$5001,"&gt;="&amp;$C$7,Base!$A$3:$A$5001,"&lt;="&amp;$B236,Base!$Z$3:$Z$5001,"&lt;&gt;")=0,"",SUMIFS(Base!$Z$3:$Z$5001,Base!$B$3:$B$5001,J$232,Base!$A$3:$A$5001,_xlfn.MAXIFS(Base!$A$3:$A$5001,Base!$B$3:$B$5001,J$232,Base!$A$3:$A$5001,"&gt;="&amp;$C$7,Base!$A$3:$A$5001,"&lt;="&amp;$B236,Base!$Z$3:$Z$5001,"&lt;&gt;"))))</f>
        <v>14</v>
      </c>
      <c r="K236">
        <f>IF($A236&gt;$B$9,"",IF(COUNTIFS(Base!$B$3:$B$5001,K$232,Base!$A$3:$A$5001,"&gt;="&amp;$C$7,Base!$A$3:$A$5001,"&lt;="&amp;$B236,Base!$Z$3:$Z$5001,"&lt;&gt;")=0,"",SUMIFS(Base!$Z$3:$Z$5001,Base!$B$3:$B$5001,K$232,Base!$A$3:$A$5001,_xlfn.MAXIFS(Base!$A$3:$A$5001,Base!$B$3:$B$5001,K$232,Base!$A$3:$A$5001,"&gt;="&amp;$C$7,Base!$A$3:$A$5001,"&lt;="&amp;$B236,Base!$Z$3:$Z$5001,"&lt;&gt;"))))</f>
        <v>13</v>
      </c>
    </row>
    <row r="237">
      <c r="A237">
        <v>5</v>
      </c>
      <c r="B237" s="152">
        <f>$B$16</f>
        <v>46270</v>
      </c>
      <c r="C237">
        <f>IF($A237&gt;$B$9,"",IF(COUNTIFS(Base!$B$3:$B$5001,C$232,Base!$A$3:$A$5001,"&gt;="&amp;$C$7,Base!$A$3:$A$5001,"&lt;="&amp;$B237,Base!$Z$3:$Z$5001,"&lt;&gt;")=0,"",SUMIFS(Base!$Z$3:$Z$5001,Base!$B$3:$B$5001,C$232,Base!$A$3:$A$5001,_xlfn.MAXIFS(Base!$A$3:$A$5001,Base!$B$3:$B$5001,C$232,Base!$A$3:$A$5001,"&gt;="&amp;$C$7,Base!$A$3:$A$5001,"&lt;="&amp;$B237,Base!$Z$3:$Z$5001,"&lt;&gt;"))))</f>
        <v>9</v>
      </c>
      <c r="D237">
        <f>IF($A237&gt;$B$9,"",IF(COUNTIFS(Base!$B$3:$B$5001,D$232,Base!$A$3:$A$5001,"&gt;="&amp;$C$7,Base!$A$3:$A$5001,"&lt;="&amp;$B237,Base!$Z$3:$Z$5001,"&lt;&gt;")=0,"",SUMIFS(Base!$Z$3:$Z$5001,Base!$B$3:$B$5001,D$232,Base!$A$3:$A$5001,_xlfn.MAXIFS(Base!$A$3:$A$5001,Base!$B$3:$B$5001,D$232,Base!$A$3:$A$5001,"&gt;="&amp;$C$7,Base!$A$3:$A$5001,"&lt;="&amp;$B237,Base!$Z$3:$Z$5001,"&lt;&gt;"))))</f>
        <v>9</v>
      </c>
      <c r="E237">
        <f>IF($A237&gt;$B$9,"",IF(COUNTIFS(Base!$B$3:$B$5001,E$232,Base!$A$3:$A$5001,"&gt;="&amp;$C$7,Base!$A$3:$A$5001,"&lt;="&amp;$B237,Base!$Z$3:$Z$5001,"&lt;&gt;")=0,"",SUMIFS(Base!$Z$3:$Z$5001,Base!$B$3:$B$5001,E$232,Base!$A$3:$A$5001,_xlfn.MAXIFS(Base!$A$3:$A$5001,Base!$B$3:$B$5001,E$232,Base!$A$3:$A$5001,"&gt;="&amp;$C$7,Base!$A$3:$A$5001,"&lt;="&amp;$B237,Base!$Z$3:$Z$5001,"&lt;&gt;"))))</f>
        <v>4</v>
      </c>
      <c r="F237">
        <f>IF($A237&gt;$B$9,"",IF(COUNTIFS(Base!$B$3:$B$5001,F$232,Base!$A$3:$A$5001,"&gt;="&amp;$C$7,Base!$A$3:$A$5001,"&lt;="&amp;$B237,Base!$Z$3:$Z$5001,"&lt;&gt;")=0,"",SUMIFS(Base!$Z$3:$Z$5001,Base!$B$3:$B$5001,F$232,Base!$A$3:$A$5001,_xlfn.MAXIFS(Base!$A$3:$A$5001,Base!$B$3:$B$5001,F$232,Base!$A$3:$A$5001,"&gt;="&amp;$C$7,Base!$A$3:$A$5001,"&lt;="&amp;$B237,Base!$Z$3:$Z$5001,"&lt;&gt;"))))</f>
        <v>13</v>
      </c>
      <c r="G237">
        <f>IF($A237&gt;$B$9,"",IF(COUNTIFS(Base!$B$3:$B$5001,G$232,Base!$A$3:$A$5001,"&gt;="&amp;$C$7,Base!$A$3:$A$5001,"&lt;="&amp;$B237,Base!$Z$3:$Z$5001,"&lt;&gt;")=0,"",SUMIFS(Base!$Z$3:$Z$5001,Base!$B$3:$B$5001,G$232,Base!$A$3:$A$5001,_xlfn.MAXIFS(Base!$A$3:$A$5001,Base!$B$3:$B$5001,G$232,Base!$A$3:$A$5001,"&gt;="&amp;$C$7,Base!$A$3:$A$5001,"&lt;="&amp;$B237,Base!$Z$3:$Z$5001,"&lt;&gt;"))))</f>
        <v>8</v>
      </c>
      <c r="H237">
        <f>IF($A237&gt;$B$9,"",IF(COUNTIFS(Base!$B$3:$B$5001,H$232,Base!$A$3:$A$5001,"&gt;="&amp;$C$7,Base!$A$3:$A$5001,"&lt;="&amp;$B237,Base!$Z$3:$Z$5001,"&lt;&gt;")=0,"",SUMIFS(Base!$Z$3:$Z$5001,Base!$B$3:$B$5001,H$232,Base!$A$3:$A$5001,_xlfn.MAXIFS(Base!$A$3:$A$5001,Base!$B$3:$B$5001,H$232,Base!$A$3:$A$5001,"&gt;="&amp;$C$7,Base!$A$3:$A$5001,"&lt;="&amp;$B237,Base!$Z$3:$Z$5001,"&lt;&gt;"))))</f>
        <v>7</v>
      </c>
      <c r="I237">
        <f>IF($A237&gt;$B$9,"",IF(COUNTIFS(Base!$B$3:$B$5001,I$232,Base!$A$3:$A$5001,"&gt;="&amp;$C$7,Base!$A$3:$A$5001,"&lt;="&amp;$B237,Base!$Z$3:$Z$5001,"&lt;&gt;")=0,"",SUMIFS(Base!$Z$3:$Z$5001,Base!$B$3:$B$5001,I$232,Base!$A$3:$A$5001,_xlfn.MAXIFS(Base!$A$3:$A$5001,Base!$B$3:$B$5001,I$232,Base!$A$3:$A$5001,"&gt;="&amp;$C$7,Base!$A$3:$A$5001,"&lt;="&amp;$B237,Base!$Z$3:$Z$5001,"&lt;&gt;"))))</f>
        <v>6</v>
      </c>
      <c r="J237">
        <f>IF($A237&gt;$B$9,"",IF(COUNTIFS(Base!$B$3:$B$5001,J$232,Base!$A$3:$A$5001,"&gt;="&amp;$C$7,Base!$A$3:$A$5001,"&lt;="&amp;$B237,Base!$Z$3:$Z$5001,"&lt;&gt;")=0,"",SUMIFS(Base!$Z$3:$Z$5001,Base!$B$3:$B$5001,J$232,Base!$A$3:$A$5001,_xlfn.MAXIFS(Base!$A$3:$A$5001,Base!$B$3:$B$5001,J$232,Base!$A$3:$A$5001,"&gt;="&amp;$C$7,Base!$A$3:$A$5001,"&lt;="&amp;$B237,Base!$Z$3:$Z$5001,"&lt;&gt;"))))</f>
        <v>9</v>
      </c>
      <c r="K237">
        <f>IF($A237&gt;$B$9,"",IF(COUNTIFS(Base!$B$3:$B$5001,K$232,Base!$A$3:$A$5001,"&gt;="&amp;$C$7,Base!$A$3:$A$5001,"&lt;="&amp;$B237,Base!$Z$3:$Z$5001,"&lt;&gt;")=0,"",SUMIFS(Base!$Z$3:$Z$5001,Base!$B$3:$B$5001,K$232,Base!$A$3:$A$5001,_xlfn.MAXIFS(Base!$A$3:$A$5001,Base!$B$3:$B$5001,K$232,Base!$A$3:$A$5001,"&gt;="&amp;$C$7,Base!$A$3:$A$5001,"&lt;="&amp;$B237,Base!$Z$3:$Z$5001,"&lt;&gt;"))))</f>
        <v>4</v>
      </c>
    </row>
    <row r="238">
      <c r="A238">
        <v>6</v>
      </c>
      <c r="B238" s="152">
        <f>$B$17</f>
        <v>46271</v>
      </c>
      <c r="C238">
        <f>IF($A238&gt;$B$9,"",IF(COUNTIFS(Base!$B$3:$B$5001,C$232,Base!$A$3:$A$5001,"&gt;="&amp;$C$7,Base!$A$3:$A$5001,"&lt;="&amp;$B238,Base!$Z$3:$Z$5001,"&lt;&gt;")=0,"",SUMIFS(Base!$Z$3:$Z$5001,Base!$B$3:$B$5001,C$232,Base!$A$3:$A$5001,_xlfn.MAXIFS(Base!$A$3:$A$5001,Base!$B$3:$B$5001,C$232,Base!$A$3:$A$5001,"&gt;="&amp;$C$7,Base!$A$3:$A$5001,"&lt;="&amp;$B238,Base!$Z$3:$Z$5001,"&lt;&gt;"))))</f>
        <v>9</v>
      </c>
      <c r="D238">
        <f>IF($A238&gt;$B$9,"",IF(COUNTIFS(Base!$B$3:$B$5001,D$232,Base!$A$3:$A$5001,"&gt;="&amp;$C$7,Base!$A$3:$A$5001,"&lt;="&amp;$B238,Base!$Z$3:$Z$5001,"&lt;&gt;")=0,"",SUMIFS(Base!$Z$3:$Z$5001,Base!$B$3:$B$5001,D$232,Base!$A$3:$A$5001,_xlfn.MAXIFS(Base!$A$3:$A$5001,Base!$B$3:$B$5001,D$232,Base!$A$3:$A$5001,"&gt;="&amp;$C$7,Base!$A$3:$A$5001,"&lt;="&amp;$B238,Base!$Z$3:$Z$5001,"&lt;&gt;"))))</f>
        <v>9</v>
      </c>
      <c r="E238">
        <f>IF($A238&gt;$B$9,"",IF(COUNTIFS(Base!$B$3:$B$5001,E$232,Base!$A$3:$A$5001,"&gt;="&amp;$C$7,Base!$A$3:$A$5001,"&lt;="&amp;$B238,Base!$Z$3:$Z$5001,"&lt;&gt;")=0,"",SUMIFS(Base!$Z$3:$Z$5001,Base!$B$3:$B$5001,E$232,Base!$A$3:$A$5001,_xlfn.MAXIFS(Base!$A$3:$A$5001,Base!$B$3:$B$5001,E$232,Base!$A$3:$A$5001,"&gt;="&amp;$C$7,Base!$A$3:$A$5001,"&lt;="&amp;$B238,Base!$Z$3:$Z$5001,"&lt;&gt;"))))</f>
        <v>4</v>
      </c>
      <c r="F238">
        <f>IF($A238&gt;$B$9,"",IF(COUNTIFS(Base!$B$3:$B$5001,F$232,Base!$A$3:$A$5001,"&gt;="&amp;$C$7,Base!$A$3:$A$5001,"&lt;="&amp;$B238,Base!$Z$3:$Z$5001,"&lt;&gt;")=0,"",SUMIFS(Base!$Z$3:$Z$5001,Base!$B$3:$B$5001,F$232,Base!$A$3:$A$5001,_xlfn.MAXIFS(Base!$A$3:$A$5001,Base!$B$3:$B$5001,F$232,Base!$A$3:$A$5001,"&gt;="&amp;$C$7,Base!$A$3:$A$5001,"&lt;="&amp;$B238,Base!$Z$3:$Z$5001,"&lt;&gt;"))))</f>
        <v>13</v>
      </c>
      <c r="G238">
        <f>IF($A238&gt;$B$9,"",IF(COUNTIFS(Base!$B$3:$B$5001,G$232,Base!$A$3:$A$5001,"&gt;="&amp;$C$7,Base!$A$3:$A$5001,"&lt;="&amp;$B238,Base!$Z$3:$Z$5001,"&lt;&gt;")=0,"",SUMIFS(Base!$Z$3:$Z$5001,Base!$B$3:$B$5001,G$232,Base!$A$3:$A$5001,_xlfn.MAXIFS(Base!$A$3:$A$5001,Base!$B$3:$B$5001,G$232,Base!$A$3:$A$5001,"&gt;="&amp;$C$7,Base!$A$3:$A$5001,"&lt;="&amp;$B238,Base!$Z$3:$Z$5001,"&lt;&gt;"))))</f>
        <v>8</v>
      </c>
      <c r="H238">
        <f>IF($A238&gt;$B$9,"",IF(COUNTIFS(Base!$B$3:$B$5001,H$232,Base!$A$3:$A$5001,"&gt;="&amp;$C$7,Base!$A$3:$A$5001,"&lt;="&amp;$B238,Base!$Z$3:$Z$5001,"&lt;&gt;")=0,"",SUMIFS(Base!$Z$3:$Z$5001,Base!$B$3:$B$5001,H$232,Base!$A$3:$A$5001,_xlfn.MAXIFS(Base!$A$3:$A$5001,Base!$B$3:$B$5001,H$232,Base!$A$3:$A$5001,"&gt;="&amp;$C$7,Base!$A$3:$A$5001,"&lt;="&amp;$B238,Base!$Z$3:$Z$5001,"&lt;&gt;"))))</f>
        <v>7</v>
      </c>
      <c r="I238">
        <f>IF($A238&gt;$B$9,"",IF(COUNTIFS(Base!$B$3:$B$5001,I$232,Base!$A$3:$A$5001,"&gt;="&amp;$C$7,Base!$A$3:$A$5001,"&lt;="&amp;$B238,Base!$Z$3:$Z$5001,"&lt;&gt;")=0,"",SUMIFS(Base!$Z$3:$Z$5001,Base!$B$3:$B$5001,I$232,Base!$A$3:$A$5001,_xlfn.MAXIFS(Base!$A$3:$A$5001,Base!$B$3:$B$5001,I$232,Base!$A$3:$A$5001,"&gt;="&amp;$C$7,Base!$A$3:$A$5001,"&lt;="&amp;$B238,Base!$Z$3:$Z$5001,"&lt;&gt;"))))</f>
        <v>6</v>
      </c>
      <c r="J238">
        <f>IF($A238&gt;$B$9,"",IF(COUNTIFS(Base!$B$3:$B$5001,J$232,Base!$A$3:$A$5001,"&gt;="&amp;$C$7,Base!$A$3:$A$5001,"&lt;="&amp;$B238,Base!$Z$3:$Z$5001,"&lt;&gt;")=0,"",SUMIFS(Base!$Z$3:$Z$5001,Base!$B$3:$B$5001,J$232,Base!$A$3:$A$5001,_xlfn.MAXIFS(Base!$A$3:$A$5001,Base!$B$3:$B$5001,J$232,Base!$A$3:$A$5001,"&gt;="&amp;$C$7,Base!$A$3:$A$5001,"&lt;="&amp;$B238,Base!$Z$3:$Z$5001,"&lt;&gt;"))))</f>
        <v>9</v>
      </c>
      <c r="K238">
        <f>IF($A238&gt;$B$9,"",IF(COUNTIFS(Base!$B$3:$B$5001,K$232,Base!$A$3:$A$5001,"&gt;="&amp;$C$7,Base!$A$3:$A$5001,"&lt;="&amp;$B238,Base!$Z$3:$Z$5001,"&lt;&gt;")=0,"",SUMIFS(Base!$Z$3:$Z$5001,Base!$B$3:$B$5001,K$232,Base!$A$3:$A$5001,_xlfn.MAXIFS(Base!$A$3:$A$5001,Base!$B$3:$B$5001,K$232,Base!$A$3:$A$5001,"&gt;="&amp;$C$7,Base!$A$3:$A$5001,"&lt;="&amp;$B238,Base!$Z$3:$Z$5001,"&lt;&gt;"))))</f>
        <v>4</v>
      </c>
    </row>
    <row r="239">
      <c r="A239">
        <v>7</v>
      </c>
      <c r="B239" s="152">
        <f>$B$18</f>
        <v>46272</v>
      </c>
      <c r="C239">
        <f>IF($A239&gt;$B$9,"",IF(COUNTIFS(Base!$B$3:$B$5001,C$232,Base!$A$3:$A$5001,"&gt;="&amp;$C$7,Base!$A$3:$A$5001,"&lt;="&amp;$B239,Base!$Z$3:$Z$5001,"&lt;&gt;")=0,"",SUMIFS(Base!$Z$3:$Z$5001,Base!$B$3:$B$5001,C$232,Base!$A$3:$A$5001,_xlfn.MAXIFS(Base!$A$3:$A$5001,Base!$B$3:$B$5001,C$232,Base!$A$3:$A$5001,"&gt;="&amp;$C$7,Base!$A$3:$A$5001,"&lt;="&amp;$B239,Base!$Z$3:$Z$5001,"&lt;&gt;"))))</f>
        <v>5</v>
      </c>
      <c r="D239">
        <f>IF($A239&gt;$B$9,"",IF(COUNTIFS(Base!$B$3:$B$5001,D$232,Base!$A$3:$A$5001,"&gt;="&amp;$C$7,Base!$A$3:$A$5001,"&lt;="&amp;$B239,Base!$Z$3:$Z$5001,"&lt;&gt;")=0,"",SUMIFS(Base!$Z$3:$Z$5001,Base!$B$3:$B$5001,D$232,Base!$A$3:$A$5001,_xlfn.MAXIFS(Base!$A$3:$A$5001,Base!$B$3:$B$5001,D$232,Base!$A$3:$A$5001,"&gt;="&amp;$C$7,Base!$A$3:$A$5001,"&lt;="&amp;$B239,Base!$Z$3:$Z$5001,"&lt;&gt;"))))</f>
        <v>5</v>
      </c>
      <c r="E239">
        <f>IF($A239&gt;$B$9,"",IF(COUNTIFS(Base!$B$3:$B$5001,E$232,Base!$A$3:$A$5001,"&gt;="&amp;$C$7,Base!$A$3:$A$5001,"&lt;="&amp;$B239,Base!$Z$3:$Z$5001,"&lt;&gt;")=0,"",SUMIFS(Base!$Z$3:$Z$5001,Base!$B$3:$B$5001,E$232,Base!$A$3:$A$5001,_xlfn.MAXIFS(Base!$A$3:$A$5001,Base!$B$3:$B$5001,E$232,Base!$A$3:$A$5001,"&gt;="&amp;$C$7,Base!$A$3:$A$5001,"&lt;="&amp;$B239,Base!$Z$3:$Z$5001,"&lt;&gt;"))))</f>
        <v>11</v>
      </c>
      <c r="F239">
        <f>IF($A239&gt;$B$9,"",IF(COUNTIFS(Base!$B$3:$B$5001,F$232,Base!$A$3:$A$5001,"&gt;="&amp;$C$7,Base!$A$3:$A$5001,"&lt;="&amp;$B239,Base!$Z$3:$Z$5001,"&lt;&gt;")=0,"",SUMIFS(Base!$Z$3:$Z$5001,Base!$B$3:$B$5001,F$232,Base!$A$3:$A$5001,_xlfn.MAXIFS(Base!$A$3:$A$5001,Base!$B$3:$B$5001,F$232,Base!$A$3:$A$5001,"&gt;="&amp;$C$7,Base!$A$3:$A$5001,"&lt;="&amp;$B239,Base!$Z$3:$Z$5001,"&lt;&gt;"))))</f>
        <v>4</v>
      </c>
      <c r="G239">
        <f>IF($A239&gt;$B$9,"",IF(COUNTIFS(Base!$B$3:$B$5001,G$232,Base!$A$3:$A$5001,"&gt;="&amp;$C$7,Base!$A$3:$A$5001,"&lt;="&amp;$B239,Base!$Z$3:$Z$5001,"&lt;&gt;")=0,"",SUMIFS(Base!$Z$3:$Z$5001,Base!$B$3:$B$5001,G$232,Base!$A$3:$A$5001,_xlfn.MAXIFS(Base!$A$3:$A$5001,Base!$B$3:$B$5001,G$232,Base!$A$3:$A$5001,"&gt;="&amp;$C$7,Base!$A$3:$A$5001,"&lt;="&amp;$B239,Base!$Z$3:$Z$5001,"&lt;&gt;"))))</f>
        <v>4</v>
      </c>
      <c r="H239">
        <f>IF($A239&gt;$B$9,"",IF(COUNTIFS(Base!$B$3:$B$5001,H$232,Base!$A$3:$A$5001,"&gt;="&amp;$C$7,Base!$A$3:$A$5001,"&lt;="&amp;$B239,Base!$Z$3:$Z$5001,"&lt;&gt;")=0,"",SUMIFS(Base!$Z$3:$Z$5001,Base!$B$3:$B$5001,H$232,Base!$A$3:$A$5001,_xlfn.MAXIFS(Base!$A$3:$A$5001,Base!$B$3:$B$5001,H$232,Base!$A$3:$A$5001,"&gt;="&amp;$C$7,Base!$A$3:$A$5001,"&lt;="&amp;$B239,Base!$Z$3:$Z$5001,"&lt;&gt;"))))</f>
        <v>14</v>
      </c>
      <c r="I239">
        <f>IF($A239&gt;$B$9,"",IF(COUNTIFS(Base!$B$3:$B$5001,I$232,Base!$A$3:$A$5001,"&gt;="&amp;$C$7,Base!$A$3:$A$5001,"&lt;="&amp;$B239,Base!$Z$3:$Z$5001,"&lt;&gt;")=0,"",SUMIFS(Base!$Z$3:$Z$5001,Base!$B$3:$B$5001,I$232,Base!$A$3:$A$5001,_xlfn.MAXIFS(Base!$A$3:$A$5001,Base!$B$3:$B$5001,I$232,Base!$A$3:$A$5001,"&gt;="&amp;$C$7,Base!$A$3:$A$5001,"&lt;="&amp;$B239,Base!$Z$3:$Z$5001,"&lt;&gt;"))))</f>
        <v>11</v>
      </c>
      <c r="J239">
        <f>IF($A239&gt;$B$9,"",IF(COUNTIFS(Base!$B$3:$B$5001,J$232,Base!$A$3:$A$5001,"&gt;="&amp;$C$7,Base!$A$3:$A$5001,"&lt;="&amp;$B239,Base!$Z$3:$Z$5001,"&lt;&gt;")=0,"",SUMIFS(Base!$Z$3:$Z$5001,Base!$B$3:$B$5001,J$232,Base!$A$3:$A$5001,_xlfn.MAXIFS(Base!$A$3:$A$5001,Base!$B$3:$B$5001,J$232,Base!$A$3:$A$5001,"&gt;="&amp;$C$7,Base!$A$3:$A$5001,"&lt;="&amp;$B239,Base!$Z$3:$Z$5001,"&lt;&gt;"))))</f>
        <v>8</v>
      </c>
      <c r="K239">
        <f>IF($A239&gt;$B$9,"",IF(COUNTIFS(Base!$B$3:$B$5001,K$232,Base!$A$3:$A$5001,"&gt;="&amp;$C$7,Base!$A$3:$A$5001,"&lt;="&amp;$B239,Base!$Z$3:$Z$5001,"&lt;&gt;")=0,"",SUMIFS(Base!$Z$3:$Z$5001,Base!$B$3:$B$5001,K$232,Base!$A$3:$A$5001,_xlfn.MAXIFS(Base!$A$3:$A$5001,Base!$B$3:$B$5001,K$232,Base!$A$3:$A$5001,"&gt;="&amp;$C$7,Base!$A$3:$A$5001,"&lt;="&amp;$B239,Base!$Z$3:$Z$5001,"&lt;&gt;"))))</f>
        <v>4</v>
      </c>
    </row>
    <row r="240">
      <c r="A240">
        <v>8</v>
      </c>
      <c r="B240" s="152">
        <f>$B$19</f>
        <v>46273</v>
      </c>
      <c r="C240">
        <f>IF($A240&gt;$B$9,"",IF(COUNTIFS(Base!$B$3:$B$5001,C$232,Base!$A$3:$A$5001,"&gt;="&amp;$C$7,Base!$A$3:$A$5001,"&lt;="&amp;$B240,Base!$Z$3:$Z$5001,"&lt;&gt;")=0,"",SUMIFS(Base!$Z$3:$Z$5001,Base!$B$3:$B$5001,C$232,Base!$A$3:$A$5001,_xlfn.MAXIFS(Base!$A$3:$A$5001,Base!$B$3:$B$5001,C$232,Base!$A$3:$A$5001,"&gt;="&amp;$C$7,Base!$A$3:$A$5001,"&lt;="&amp;$B240,Base!$Z$3:$Z$5001,"&lt;&gt;"))))</f>
        <v>5</v>
      </c>
      <c r="D240">
        <f>IF($A240&gt;$B$9,"",IF(COUNTIFS(Base!$B$3:$B$5001,D$232,Base!$A$3:$A$5001,"&gt;="&amp;$C$7,Base!$A$3:$A$5001,"&lt;="&amp;$B240,Base!$Z$3:$Z$5001,"&lt;&gt;")=0,"",SUMIFS(Base!$Z$3:$Z$5001,Base!$B$3:$B$5001,D$232,Base!$A$3:$A$5001,_xlfn.MAXIFS(Base!$A$3:$A$5001,Base!$B$3:$B$5001,D$232,Base!$A$3:$A$5001,"&gt;="&amp;$C$7,Base!$A$3:$A$5001,"&lt;="&amp;$B240,Base!$Z$3:$Z$5001,"&lt;&gt;"))))</f>
        <v>12</v>
      </c>
      <c r="E240">
        <f>IF($A240&gt;$B$9,"",IF(COUNTIFS(Base!$B$3:$B$5001,E$232,Base!$A$3:$A$5001,"&gt;="&amp;$C$7,Base!$A$3:$A$5001,"&lt;="&amp;$B240,Base!$Z$3:$Z$5001,"&lt;&gt;")=0,"",SUMIFS(Base!$Z$3:$Z$5001,Base!$B$3:$B$5001,E$232,Base!$A$3:$A$5001,_xlfn.MAXIFS(Base!$A$3:$A$5001,Base!$B$3:$B$5001,E$232,Base!$A$3:$A$5001,"&gt;="&amp;$C$7,Base!$A$3:$A$5001,"&lt;="&amp;$B240,Base!$Z$3:$Z$5001,"&lt;&gt;"))))</f>
        <v>4</v>
      </c>
      <c r="F240">
        <f>IF($A240&gt;$B$9,"",IF(COUNTIFS(Base!$B$3:$B$5001,F$232,Base!$A$3:$A$5001,"&gt;="&amp;$C$7,Base!$A$3:$A$5001,"&lt;="&amp;$B240,Base!$Z$3:$Z$5001,"&lt;&gt;")=0,"",SUMIFS(Base!$Z$3:$Z$5001,Base!$B$3:$B$5001,F$232,Base!$A$3:$A$5001,_xlfn.MAXIFS(Base!$A$3:$A$5001,Base!$B$3:$B$5001,F$232,Base!$A$3:$A$5001,"&gt;="&amp;$C$7,Base!$A$3:$A$5001,"&lt;="&amp;$B240,Base!$Z$3:$Z$5001,"&lt;&gt;"))))</f>
        <v>7</v>
      </c>
      <c r="G240">
        <f>IF($A240&gt;$B$9,"",IF(COUNTIFS(Base!$B$3:$B$5001,G$232,Base!$A$3:$A$5001,"&gt;="&amp;$C$7,Base!$A$3:$A$5001,"&lt;="&amp;$B240,Base!$Z$3:$Z$5001,"&lt;&gt;")=0,"",SUMIFS(Base!$Z$3:$Z$5001,Base!$B$3:$B$5001,G$232,Base!$A$3:$A$5001,_xlfn.MAXIFS(Base!$A$3:$A$5001,Base!$B$3:$B$5001,G$232,Base!$A$3:$A$5001,"&gt;="&amp;$C$7,Base!$A$3:$A$5001,"&lt;="&amp;$B240,Base!$Z$3:$Z$5001,"&lt;&gt;"))))</f>
        <v>14</v>
      </c>
      <c r="H240">
        <f>IF($A240&gt;$B$9,"",IF(COUNTIFS(Base!$B$3:$B$5001,H$232,Base!$A$3:$A$5001,"&gt;="&amp;$C$7,Base!$A$3:$A$5001,"&lt;="&amp;$B240,Base!$Z$3:$Z$5001,"&lt;&gt;")=0,"",SUMIFS(Base!$Z$3:$Z$5001,Base!$B$3:$B$5001,H$232,Base!$A$3:$A$5001,_xlfn.MAXIFS(Base!$A$3:$A$5001,Base!$B$3:$B$5001,H$232,Base!$A$3:$A$5001,"&gt;="&amp;$C$7,Base!$A$3:$A$5001,"&lt;="&amp;$B240,Base!$Z$3:$Z$5001,"&lt;&gt;"))))</f>
        <v>9</v>
      </c>
      <c r="I240">
        <f>IF($A240&gt;$B$9,"",IF(COUNTIFS(Base!$B$3:$B$5001,I$232,Base!$A$3:$A$5001,"&gt;="&amp;$C$7,Base!$A$3:$A$5001,"&lt;="&amp;$B240,Base!$Z$3:$Z$5001,"&lt;&gt;")=0,"",SUMIFS(Base!$Z$3:$Z$5001,Base!$B$3:$B$5001,I$232,Base!$A$3:$A$5001,_xlfn.MAXIFS(Base!$A$3:$A$5001,Base!$B$3:$B$5001,I$232,Base!$A$3:$A$5001,"&gt;="&amp;$C$7,Base!$A$3:$A$5001,"&lt;="&amp;$B240,Base!$Z$3:$Z$5001,"&lt;&gt;"))))</f>
        <v>5</v>
      </c>
      <c r="J240">
        <f>IF($A240&gt;$B$9,"",IF(COUNTIFS(Base!$B$3:$B$5001,J$232,Base!$A$3:$A$5001,"&gt;="&amp;$C$7,Base!$A$3:$A$5001,"&lt;="&amp;$B240,Base!$Z$3:$Z$5001,"&lt;&gt;")=0,"",SUMIFS(Base!$Z$3:$Z$5001,Base!$B$3:$B$5001,J$232,Base!$A$3:$A$5001,_xlfn.MAXIFS(Base!$A$3:$A$5001,Base!$B$3:$B$5001,J$232,Base!$A$3:$A$5001,"&gt;="&amp;$C$7,Base!$A$3:$A$5001,"&lt;="&amp;$B240,Base!$Z$3:$Z$5001,"&lt;&gt;"))))</f>
        <v>7</v>
      </c>
      <c r="K240">
        <f>IF($A240&gt;$B$9,"",IF(COUNTIFS(Base!$B$3:$B$5001,K$232,Base!$A$3:$A$5001,"&gt;="&amp;$C$7,Base!$A$3:$A$5001,"&lt;="&amp;$B240,Base!$Z$3:$Z$5001,"&lt;&gt;")=0,"",SUMIFS(Base!$Z$3:$Z$5001,Base!$B$3:$B$5001,K$232,Base!$A$3:$A$5001,_xlfn.MAXIFS(Base!$A$3:$A$5001,Base!$B$3:$B$5001,K$232,Base!$A$3:$A$5001,"&gt;="&amp;$C$7,Base!$A$3:$A$5001,"&lt;="&amp;$B240,Base!$Z$3:$Z$5001,"&lt;&gt;"))))</f>
        <v>9</v>
      </c>
    </row>
    <row r="241">
      <c r="A241">
        <v>9</v>
      </c>
      <c r="B241" s="152">
        <f>$B$20</f>
        <v>46274</v>
      </c>
      <c r="C241">
        <f>IF($A241&gt;$B$9,"",IF(COUNTIFS(Base!$B$3:$B$5001,C$232,Base!$A$3:$A$5001,"&gt;="&amp;$C$7,Base!$A$3:$A$5001,"&lt;="&amp;$B241,Base!$Z$3:$Z$5001,"&lt;&gt;")=0,"",SUMIFS(Base!$Z$3:$Z$5001,Base!$B$3:$B$5001,C$232,Base!$A$3:$A$5001,_xlfn.MAXIFS(Base!$A$3:$A$5001,Base!$B$3:$B$5001,C$232,Base!$A$3:$A$5001,"&gt;="&amp;$C$7,Base!$A$3:$A$5001,"&lt;="&amp;$B241,Base!$Z$3:$Z$5001,"&lt;&gt;"))))</f>
        <v>6</v>
      </c>
      <c r="D241">
        <f>IF($A241&gt;$B$9,"",IF(COUNTIFS(Base!$B$3:$B$5001,D$232,Base!$A$3:$A$5001,"&gt;="&amp;$C$7,Base!$A$3:$A$5001,"&lt;="&amp;$B241,Base!$Z$3:$Z$5001,"&lt;&gt;")=0,"",SUMIFS(Base!$Z$3:$Z$5001,Base!$B$3:$B$5001,D$232,Base!$A$3:$A$5001,_xlfn.MAXIFS(Base!$A$3:$A$5001,Base!$B$3:$B$5001,D$232,Base!$A$3:$A$5001,"&gt;="&amp;$C$7,Base!$A$3:$A$5001,"&lt;="&amp;$B241,Base!$Z$3:$Z$5001,"&lt;&gt;"))))</f>
        <v>11</v>
      </c>
      <c r="E241">
        <f>IF($A241&gt;$B$9,"",IF(COUNTIFS(Base!$B$3:$B$5001,E$232,Base!$A$3:$A$5001,"&gt;="&amp;$C$7,Base!$A$3:$A$5001,"&lt;="&amp;$B241,Base!$Z$3:$Z$5001,"&lt;&gt;")=0,"",SUMIFS(Base!$Z$3:$Z$5001,Base!$B$3:$B$5001,E$232,Base!$A$3:$A$5001,_xlfn.MAXIFS(Base!$A$3:$A$5001,Base!$B$3:$B$5001,E$232,Base!$A$3:$A$5001,"&gt;="&amp;$C$7,Base!$A$3:$A$5001,"&lt;="&amp;$B241,Base!$Z$3:$Z$5001,"&lt;&gt;"))))</f>
        <v>4</v>
      </c>
      <c r="F241">
        <f>IF($A241&gt;$B$9,"",IF(COUNTIFS(Base!$B$3:$B$5001,F$232,Base!$A$3:$A$5001,"&gt;="&amp;$C$7,Base!$A$3:$A$5001,"&lt;="&amp;$B241,Base!$Z$3:$Z$5001,"&lt;&gt;")=0,"",SUMIFS(Base!$Z$3:$Z$5001,Base!$B$3:$B$5001,F$232,Base!$A$3:$A$5001,_xlfn.MAXIFS(Base!$A$3:$A$5001,Base!$B$3:$B$5001,F$232,Base!$A$3:$A$5001,"&gt;="&amp;$C$7,Base!$A$3:$A$5001,"&lt;="&amp;$B241,Base!$Z$3:$Z$5001,"&lt;&gt;"))))</f>
        <v>14</v>
      </c>
      <c r="G241">
        <f>IF($A241&gt;$B$9,"",IF(COUNTIFS(Base!$B$3:$B$5001,G$232,Base!$A$3:$A$5001,"&gt;="&amp;$C$7,Base!$A$3:$A$5001,"&lt;="&amp;$B241,Base!$Z$3:$Z$5001,"&lt;&gt;")=0,"",SUMIFS(Base!$Z$3:$Z$5001,Base!$B$3:$B$5001,G$232,Base!$A$3:$A$5001,_xlfn.MAXIFS(Base!$A$3:$A$5001,Base!$B$3:$B$5001,G$232,Base!$A$3:$A$5001,"&gt;="&amp;$C$7,Base!$A$3:$A$5001,"&lt;="&amp;$B241,Base!$Z$3:$Z$5001,"&lt;&gt;"))))</f>
        <v>12</v>
      </c>
      <c r="H241">
        <f>IF($A241&gt;$B$9,"",IF(COUNTIFS(Base!$B$3:$B$5001,H$232,Base!$A$3:$A$5001,"&gt;="&amp;$C$7,Base!$A$3:$A$5001,"&lt;="&amp;$B241,Base!$Z$3:$Z$5001,"&lt;&gt;")=0,"",SUMIFS(Base!$Z$3:$Z$5001,Base!$B$3:$B$5001,H$232,Base!$A$3:$A$5001,_xlfn.MAXIFS(Base!$A$3:$A$5001,Base!$B$3:$B$5001,H$232,Base!$A$3:$A$5001,"&gt;="&amp;$C$7,Base!$A$3:$A$5001,"&lt;="&amp;$B241,Base!$Z$3:$Z$5001,"&lt;&gt;"))))</f>
        <v>11</v>
      </c>
      <c r="I241">
        <f>IF($A241&gt;$B$9,"",IF(COUNTIFS(Base!$B$3:$B$5001,I$232,Base!$A$3:$A$5001,"&gt;="&amp;$C$7,Base!$A$3:$A$5001,"&lt;="&amp;$B241,Base!$Z$3:$Z$5001,"&lt;&gt;")=0,"",SUMIFS(Base!$Z$3:$Z$5001,Base!$B$3:$B$5001,I$232,Base!$A$3:$A$5001,_xlfn.MAXIFS(Base!$A$3:$A$5001,Base!$B$3:$B$5001,I$232,Base!$A$3:$A$5001,"&gt;="&amp;$C$7,Base!$A$3:$A$5001,"&lt;="&amp;$B241,Base!$Z$3:$Z$5001,"&lt;&gt;"))))</f>
        <v>12</v>
      </c>
      <c r="J241">
        <f>IF($A241&gt;$B$9,"",IF(COUNTIFS(Base!$B$3:$B$5001,J$232,Base!$A$3:$A$5001,"&gt;="&amp;$C$7,Base!$A$3:$A$5001,"&lt;="&amp;$B241,Base!$Z$3:$Z$5001,"&lt;&gt;")=0,"",SUMIFS(Base!$Z$3:$Z$5001,Base!$B$3:$B$5001,J$232,Base!$A$3:$A$5001,_xlfn.MAXIFS(Base!$A$3:$A$5001,Base!$B$3:$B$5001,J$232,Base!$A$3:$A$5001,"&gt;="&amp;$C$7,Base!$A$3:$A$5001,"&lt;="&amp;$B241,Base!$Z$3:$Z$5001,"&lt;&gt;"))))</f>
        <v>14</v>
      </c>
      <c r="K241">
        <f>IF($A241&gt;$B$9,"",IF(COUNTIFS(Base!$B$3:$B$5001,K$232,Base!$A$3:$A$5001,"&gt;="&amp;$C$7,Base!$A$3:$A$5001,"&lt;="&amp;$B241,Base!$Z$3:$Z$5001,"&lt;&gt;")=0,"",SUMIFS(Base!$Z$3:$Z$5001,Base!$B$3:$B$5001,K$232,Base!$A$3:$A$5001,_xlfn.MAXIFS(Base!$A$3:$A$5001,Base!$B$3:$B$5001,K$232,Base!$A$3:$A$5001,"&gt;="&amp;$C$7,Base!$A$3:$A$5001,"&lt;="&amp;$B241,Base!$Z$3:$Z$5001,"&lt;&gt;"))))</f>
        <v>7</v>
      </c>
    </row>
    <row r="242">
      <c r="A242">
        <v>10</v>
      </c>
      <c r="B242" s="152">
        <f>$B$21</f>
        <v>46275</v>
      </c>
      <c r="C242">
        <f>IF($A242&gt;$B$9,"",IF(COUNTIFS(Base!$B$3:$B$5001,C$232,Base!$A$3:$A$5001,"&gt;="&amp;$C$7,Base!$A$3:$A$5001,"&lt;="&amp;$B242,Base!$Z$3:$Z$5001,"&lt;&gt;")=0,"",SUMIFS(Base!$Z$3:$Z$5001,Base!$B$3:$B$5001,C$232,Base!$A$3:$A$5001,_xlfn.MAXIFS(Base!$A$3:$A$5001,Base!$B$3:$B$5001,C$232,Base!$A$3:$A$5001,"&gt;="&amp;$C$7,Base!$A$3:$A$5001,"&lt;="&amp;$B242,Base!$Z$3:$Z$5001,"&lt;&gt;"))))</f>
        <v>11</v>
      </c>
      <c r="D242">
        <f>IF($A242&gt;$B$9,"",IF(COUNTIFS(Base!$B$3:$B$5001,D$232,Base!$A$3:$A$5001,"&gt;="&amp;$C$7,Base!$A$3:$A$5001,"&lt;="&amp;$B242,Base!$Z$3:$Z$5001,"&lt;&gt;")=0,"",SUMIFS(Base!$Z$3:$Z$5001,Base!$B$3:$B$5001,D$232,Base!$A$3:$A$5001,_xlfn.MAXIFS(Base!$A$3:$A$5001,Base!$B$3:$B$5001,D$232,Base!$A$3:$A$5001,"&gt;="&amp;$C$7,Base!$A$3:$A$5001,"&lt;="&amp;$B242,Base!$Z$3:$Z$5001,"&lt;&gt;"))))</f>
        <v>10</v>
      </c>
      <c r="E242">
        <f>IF($A242&gt;$B$9,"",IF(COUNTIFS(Base!$B$3:$B$5001,E$232,Base!$A$3:$A$5001,"&gt;="&amp;$C$7,Base!$A$3:$A$5001,"&lt;="&amp;$B242,Base!$Z$3:$Z$5001,"&lt;&gt;")=0,"",SUMIFS(Base!$Z$3:$Z$5001,Base!$B$3:$B$5001,E$232,Base!$A$3:$A$5001,_xlfn.MAXIFS(Base!$A$3:$A$5001,Base!$B$3:$B$5001,E$232,Base!$A$3:$A$5001,"&gt;="&amp;$C$7,Base!$A$3:$A$5001,"&lt;="&amp;$B242,Base!$Z$3:$Z$5001,"&lt;&gt;"))))</f>
        <v>8</v>
      </c>
      <c r="F242">
        <f>IF($A242&gt;$B$9,"",IF(COUNTIFS(Base!$B$3:$B$5001,F$232,Base!$A$3:$A$5001,"&gt;="&amp;$C$7,Base!$A$3:$A$5001,"&lt;="&amp;$B242,Base!$Z$3:$Z$5001,"&lt;&gt;")=0,"",SUMIFS(Base!$Z$3:$Z$5001,Base!$B$3:$B$5001,F$232,Base!$A$3:$A$5001,_xlfn.MAXIFS(Base!$A$3:$A$5001,Base!$B$3:$B$5001,F$232,Base!$A$3:$A$5001,"&gt;="&amp;$C$7,Base!$A$3:$A$5001,"&lt;="&amp;$B242,Base!$Z$3:$Z$5001,"&lt;&gt;"))))</f>
        <v>8</v>
      </c>
      <c r="G242">
        <f>IF($A242&gt;$B$9,"",IF(COUNTIFS(Base!$B$3:$B$5001,G$232,Base!$A$3:$A$5001,"&gt;="&amp;$C$7,Base!$A$3:$A$5001,"&lt;="&amp;$B242,Base!$Z$3:$Z$5001,"&lt;&gt;")=0,"",SUMIFS(Base!$Z$3:$Z$5001,Base!$B$3:$B$5001,G$232,Base!$A$3:$A$5001,_xlfn.MAXIFS(Base!$A$3:$A$5001,Base!$B$3:$B$5001,G$232,Base!$A$3:$A$5001,"&gt;="&amp;$C$7,Base!$A$3:$A$5001,"&lt;="&amp;$B242,Base!$Z$3:$Z$5001,"&lt;&gt;"))))</f>
        <v>4</v>
      </c>
      <c r="H242">
        <f>IF($A242&gt;$B$9,"",IF(COUNTIFS(Base!$B$3:$B$5001,H$232,Base!$A$3:$A$5001,"&gt;="&amp;$C$7,Base!$A$3:$A$5001,"&lt;="&amp;$B242,Base!$Z$3:$Z$5001,"&lt;&gt;")=0,"",SUMIFS(Base!$Z$3:$Z$5001,Base!$B$3:$B$5001,H$232,Base!$A$3:$A$5001,_xlfn.MAXIFS(Base!$A$3:$A$5001,Base!$B$3:$B$5001,H$232,Base!$A$3:$A$5001,"&gt;="&amp;$C$7,Base!$A$3:$A$5001,"&lt;="&amp;$B242,Base!$Z$3:$Z$5001,"&lt;&gt;"))))</f>
        <v>4</v>
      </c>
      <c r="I242">
        <f>IF($A242&gt;$B$9,"",IF(COUNTIFS(Base!$B$3:$B$5001,I$232,Base!$A$3:$A$5001,"&gt;="&amp;$C$7,Base!$A$3:$A$5001,"&lt;="&amp;$B242,Base!$Z$3:$Z$5001,"&lt;&gt;")=0,"",SUMIFS(Base!$Z$3:$Z$5001,Base!$B$3:$B$5001,I$232,Base!$A$3:$A$5001,_xlfn.MAXIFS(Base!$A$3:$A$5001,Base!$B$3:$B$5001,I$232,Base!$A$3:$A$5001,"&gt;="&amp;$C$7,Base!$A$3:$A$5001,"&lt;="&amp;$B242,Base!$Z$3:$Z$5001,"&lt;&gt;"))))</f>
        <v>13</v>
      </c>
      <c r="J242">
        <f>IF($A242&gt;$B$9,"",IF(COUNTIFS(Base!$B$3:$B$5001,J$232,Base!$A$3:$A$5001,"&gt;="&amp;$C$7,Base!$A$3:$A$5001,"&lt;="&amp;$B242,Base!$Z$3:$Z$5001,"&lt;&gt;")=0,"",SUMIFS(Base!$Z$3:$Z$5001,Base!$B$3:$B$5001,J$232,Base!$A$3:$A$5001,_xlfn.MAXIFS(Base!$A$3:$A$5001,Base!$B$3:$B$5001,J$232,Base!$A$3:$A$5001,"&gt;="&amp;$C$7,Base!$A$3:$A$5001,"&lt;="&amp;$B242,Base!$Z$3:$Z$5001,"&lt;&gt;"))))</f>
        <v>14</v>
      </c>
      <c r="K242">
        <f>IF($A242&gt;$B$9,"",IF(COUNTIFS(Base!$B$3:$B$5001,K$232,Base!$A$3:$A$5001,"&gt;="&amp;$C$7,Base!$A$3:$A$5001,"&lt;="&amp;$B242,Base!$Z$3:$Z$5001,"&lt;&gt;")=0,"",SUMIFS(Base!$Z$3:$Z$5001,Base!$B$3:$B$5001,K$232,Base!$A$3:$A$5001,_xlfn.MAXIFS(Base!$A$3:$A$5001,Base!$B$3:$B$5001,K$232,Base!$A$3:$A$5001,"&gt;="&amp;$C$7,Base!$A$3:$A$5001,"&lt;="&amp;$B242,Base!$Z$3:$Z$5001,"&lt;&gt;"))))</f>
        <v>5</v>
      </c>
    </row>
    <row r="243">
      <c r="A243">
        <v>11</v>
      </c>
      <c r="B243" s="152">
        <f>$B$22</f>
        <v>46276</v>
      </c>
      <c r="C243">
        <f>IF($A243&gt;$B$9,"",IF(COUNTIFS(Base!$B$3:$B$5001,C$232,Base!$A$3:$A$5001,"&gt;="&amp;$C$7,Base!$A$3:$A$5001,"&lt;="&amp;$B243,Base!$Z$3:$Z$5001,"&lt;&gt;")=0,"",SUMIFS(Base!$Z$3:$Z$5001,Base!$B$3:$B$5001,C$232,Base!$A$3:$A$5001,_xlfn.MAXIFS(Base!$A$3:$A$5001,Base!$B$3:$B$5001,C$232,Base!$A$3:$A$5001,"&gt;="&amp;$C$7,Base!$A$3:$A$5001,"&lt;="&amp;$B243,Base!$Z$3:$Z$5001,"&lt;&gt;"))))</f>
        <v>10</v>
      </c>
      <c r="D243">
        <f>IF($A243&gt;$B$9,"",IF(COUNTIFS(Base!$B$3:$B$5001,D$232,Base!$A$3:$A$5001,"&gt;="&amp;$C$7,Base!$A$3:$A$5001,"&lt;="&amp;$B243,Base!$Z$3:$Z$5001,"&lt;&gt;")=0,"",SUMIFS(Base!$Z$3:$Z$5001,Base!$B$3:$B$5001,D$232,Base!$A$3:$A$5001,_xlfn.MAXIFS(Base!$A$3:$A$5001,Base!$B$3:$B$5001,D$232,Base!$A$3:$A$5001,"&gt;="&amp;$C$7,Base!$A$3:$A$5001,"&lt;="&amp;$B243,Base!$Z$3:$Z$5001,"&lt;&gt;"))))</f>
        <v>14</v>
      </c>
      <c r="E243">
        <f>IF($A243&gt;$B$9,"",IF(COUNTIFS(Base!$B$3:$B$5001,E$232,Base!$A$3:$A$5001,"&gt;="&amp;$C$7,Base!$A$3:$A$5001,"&lt;="&amp;$B243,Base!$Z$3:$Z$5001,"&lt;&gt;")=0,"",SUMIFS(Base!$Z$3:$Z$5001,Base!$B$3:$B$5001,E$232,Base!$A$3:$A$5001,_xlfn.MAXIFS(Base!$A$3:$A$5001,Base!$B$3:$B$5001,E$232,Base!$A$3:$A$5001,"&gt;="&amp;$C$7,Base!$A$3:$A$5001,"&lt;="&amp;$B243,Base!$Z$3:$Z$5001,"&lt;&gt;"))))</f>
        <v>10</v>
      </c>
      <c r="F243">
        <f>IF($A243&gt;$B$9,"",IF(COUNTIFS(Base!$B$3:$B$5001,F$232,Base!$A$3:$A$5001,"&gt;="&amp;$C$7,Base!$A$3:$A$5001,"&lt;="&amp;$B243,Base!$Z$3:$Z$5001,"&lt;&gt;")=0,"",SUMIFS(Base!$Z$3:$Z$5001,Base!$B$3:$B$5001,F$232,Base!$A$3:$A$5001,_xlfn.MAXIFS(Base!$A$3:$A$5001,Base!$B$3:$B$5001,F$232,Base!$A$3:$A$5001,"&gt;="&amp;$C$7,Base!$A$3:$A$5001,"&lt;="&amp;$B243,Base!$Z$3:$Z$5001,"&lt;&gt;"))))</f>
        <v>6</v>
      </c>
      <c r="G243">
        <f>IF($A243&gt;$B$9,"",IF(COUNTIFS(Base!$B$3:$B$5001,G$232,Base!$A$3:$A$5001,"&gt;="&amp;$C$7,Base!$A$3:$A$5001,"&lt;="&amp;$B243,Base!$Z$3:$Z$5001,"&lt;&gt;")=0,"",SUMIFS(Base!$Z$3:$Z$5001,Base!$B$3:$B$5001,G$232,Base!$A$3:$A$5001,_xlfn.MAXIFS(Base!$A$3:$A$5001,Base!$B$3:$B$5001,G$232,Base!$A$3:$A$5001,"&gt;="&amp;$C$7,Base!$A$3:$A$5001,"&lt;="&amp;$B243,Base!$Z$3:$Z$5001,"&lt;&gt;"))))</f>
        <v>12</v>
      </c>
      <c r="H243">
        <f>IF($A243&gt;$B$9,"",IF(COUNTIFS(Base!$B$3:$B$5001,H$232,Base!$A$3:$A$5001,"&gt;="&amp;$C$7,Base!$A$3:$A$5001,"&lt;="&amp;$B243,Base!$Z$3:$Z$5001,"&lt;&gt;")=0,"",SUMIFS(Base!$Z$3:$Z$5001,Base!$B$3:$B$5001,H$232,Base!$A$3:$A$5001,_xlfn.MAXIFS(Base!$A$3:$A$5001,Base!$B$3:$B$5001,H$232,Base!$A$3:$A$5001,"&gt;="&amp;$C$7,Base!$A$3:$A$5001,"&lt;="&amp;$B243,Base!$Z$3:$Z$5001,"&lt;&gt;"))))</f>
        <v>8</v>
      </c>
      <c r="I243">
        <f>IF($A243&gt;$B$9,"",IF(COUNTIFS(Base!$B$3:$B$5001,I$232,Base!$A$3:$A$5001,"&gt;="&amp;$C$7,Base!$A$3:$A$5001,"&lt;="&amp;$B243,Base!$Z$3:$Z$5001,"&lt;&gt;")=0,"",SUMIFS(Base!$Z$3:$Z$5001,Base!$B$3:$B$5001,I$232,Base!$A$3:$A$5001,_xlfn.MAXIFS(Base!$A$3:$A$5001,Base!$B$3:$B$5001,I$232,Base!$A$3:$A$5001,"&gt;="&amp;$C$7,Base!$A$3:$A$5001,"&lt;="&amp;$B243,Base!$Z$3:$Z$5001,"&lt;&gt;"))))</f>
        <v>8</v>
      </c>
      <c r="J243">
        <f>IF($A243&gt;$B$9,"",IF(COUNTIFS(Base!$B$3:$B$5001,J$232,Base!$A$3:$A$5001,"&gt;="&amp;$C$7,Base!$A$3:$A$5001,"&lt;="&amp;$B243,Base!$Z$3:$Z$5001,"&lt;&gt;")=0,"",SUMIFS(Base!$Z$3:$Z$5001,Base!$B$3:$B$5001,J$232,Base!$A$3:$A$5001,_xlfn.MAXIFS(Base!$A$3:$A$5001,Base!$B$3:$B$5001,J$232,Base!$A$3:$A$5001,"&gt;="&amp;$C$7,Base!$A$3:$A$5001,"&lt;="&amp;$B243,Base!$Z$3:$Z$5001,"&lt;&gt;"))))</f>
        <v>10</v>
      </c>
      <c r="K243">
        <f>IF($A243&gt;$B$9,"",IF(COUNTIFS(Base!$B$3:$B$5001,K$232,Base!$A$3:$A$5001,"&gt;="&amp;$C$7,Base!$A$3:$A$5001,"&lt;="&amp;$B243,Base!$Z$3:$Z$5001,"&lt;&gt;")=0,"",SUMIFS(Base!$Z$3:$Z$5001,Base!$B$3:$B$5001,K$232,Base!$A$3:$A$5001,_xlfn.MAXIFS(Base!$A$3:$A$5001,Base!$B$3:$B$5001,K$232,Base!$A$3:$A$5001,"&gt;="&amp;$C$7,Base!$A$3:$A$5001,"&lt;="&amp;$B243,Base!$Z$3:$Z$5001,"&lt;&gt;"))))</f>
        <v>6</v>
      </c>
    </row>
    <row r="244">
      <c r="A244">
        <v>12</v>
      </c>
      <c r="B244" s="152">
        <f>$B$23</f>
        <v>46277</v>
      </c>
      <c r="C244">
        <f>IF($A244&gt;$B$9,"",IF(COUNTIFS(Base!$B$3:$B$5001,C$232,Base!$A$3:$A$5001,"&gt;="&amp;$C$7,Base!$A$3:$A$5001,"&lt;="&amp;$B244,Base!$Z$3:$Z$5001,"&lt;&gt;")=0,"",SUMIFS(Base!$Z$3:$Z$5001,Base!$B$3:$B$5001,C$232,Base!$A$3:$A$5001,_xlfn.MAXIFS(Base!$A$3:$A$5001,Base!$B$3:$B$5001,C$232,Base!$A$3:$A$5001,"&gt;="&amp;$C$7,Base!$A$3:$A$5001,"&lt;="&amp;$B244,Base!$Z$3:$Z$5001,"&lt;&gt;"))))</f>
        <v>6</v>
      </c>
      <c r="D244">
        <f>IF($A244&gt;$B$9,"",IF(COUNTIFS(Base!$B$3:$B$5001,D$232,Base!$A$3:$A$5001,"&gt;="&amp;$C$7,Base!$A$3:$A$5001,"&lt;="&amp;$B244,Base!$Z$3:$Z$5001,"&lt;&gt;")=0,"",SUMIFS(Base!$Z$3:$Z$5001,Base!$B$3:$B$5001,D$232,Base!$A$3:$A$5001,_xlfn.MAXIFS(Base!$A$3:$A$5001,Base!$B$3:$B$5001,D$232,Base!$A$3:$A$5001,"&gt;="&amp;$C$7,Base!$A$3:$A$5001,"&lt;="&amp;$B244,Base!$Z$3:$Z$5001,"&lt;&gt;"))))</f>
        <v>5</v>
      </c>
      <c r="E244">
        <f>IF($A244&gt;$B$9,"",IF(COUNTIFS(Base!$B$3:$B$5001,E$232,Base!$A$3:$A$5001,"&gt;="&amp;$C$7,Base!$A$3:$A$5001,"&lt;="&amp;$B244,Base!$Z$3:$Z$5001,"&lt;&gt;")=0,"",SUMIFS(Base!$Z$3:$Z$5001,Base!$B$3:$B$5001,E$232,Base!$A$3:$A$5001,_xlfn.MAXIFS(Base!$A$3:$A$5001,Base!$B$3:$B$5001,E$232,Base!$A$3:$A$5001,"&gt;="&amp;$C$7,Base!$A$3:$A$5001,"&lt;="&amp;$B244,Base!$Z$3:$Z$5001,"&lt;&gt;"))))</f>
        <v>7</v>
      </c>
      <c r="F244">
        <f>IF($A244&gt;$B$9,"",IF(COUNTIFS(Base!$B$3:$B$5001,F$232,Base!$A$3:$A$5001,"&gt;="&amp;$C$7,Base!$A$3:$A$5001,"&lt;="&amp;$B244,Base!$Z$3:$Z$5001,"&lt;&gt;")=0,"",SUMIFS(Base!$Z$3:$Z$5001,Base!$B$3:$B$5001,F$232,Base!$A$3:$A$5001,_xlfn.MAXIFS(Base!$A$3:$A$5001,Base!$B$3:$B$5001,F$232,Base!$A$3:$A$5001,"&gt;="&amp;$C$7,Base!$A$3:$A$5001,"&lt;="&amp;$B244,Base!$Z$3:$Z$5001,"&lt;&gt;"))))</f>
        <v>6</v>
      </c>
      <c r="G244">
        <f>IF($A244&gt;$B$9,"",IF(COUNTIFS(Base!$B$3:$B$5001,G$232,Base!$A$3:$A$5001,"&gt;="&amp;$C$7,Base!$A$3:$A$5001,"&lt;="&amp;$B244,Base!$Z$3:$Z$5001,"&lt;&gt;")=0,"",SUMIFS(Base!$Z$3:$Z$5001,Base!$B$3:$B$5001,G$232,Base!$A$3:$A$5001,_xlfn.MAXIFS(Base!$A$3:$A$5001,Base!$B$3:$B$5001,G$232,Base!$A$3:$A$5001,"&gt;="&amp;$C$7,Base!$A$3:$A$5001,"&lt;="&amp;$B244,Base!$Z$3:$Z$5001,"&lt;&gt;"))))</f>
        <v>5</v>
      </c>
      <c r="H244">
        <f>IF($A244&gt;$B$9,"",IF(COUNTIFS(Base!$B$3:$B$5001,H$232,Base!$A$3:$A$5001,"&gt;="&amp;$C$7,Base!$A$3:$A$5001,"&lt;="&amp;$B244,Base!$Z$3:$Z$5001,"&lt;&gt;")=0,"",SUMIFS(Base!$Z$3:$Z$5001,Base!$B$3:$B$5001,H$232,Base!$A$3:$A$5001,_xlfn.MAXIFS(Base!$A$3:$A$5001,Base!$B$3:$B$5001,H$232,Base!$A$3:$A$5001,"&gt;="&amp;$C$7,Base!$A$3:$A$5001,"&lt;="&amp;$B244,Base!$Z$3:$Z$5001,"&lt;&gt;"))))</f>
        <v>4</v>
      </c>
      <c r="I244">
        <f>IF($A244&gt;$B$9,"",IF(COUNTIFS(Base!$B$3:$B$5001,I$232,Base!$A$3:$A$5001,"&gt;="&amp;$C$7,Base!$A$3:$A$5001,"&lt;="&amp;$B244,Base!$Z$3:$Z$5001,"&lt;&gt;")=0,"",SUMIFS(Base!$Z$3:$Z$5001,Base!$B$3:$B$5001,I$232,Base!$A$3:$A$5001,_xlfn.MAXIFS(Base!$A$3:$A$5001,Base!$B$3:$B$5001,I$232,Base!$A$3:$A$5001,"&gt;="&amp;$C$7,Base!$A$3:$A$5001,"&lt;="&amp;$B244,Base!$Z$3:$Z$5001,"&lt;&gt;"))))</f>
        <v>13</v>
      </c>
      <c r="J244">
        <f>IF($A244&gt;$B$9,"",IF(COUNTIFS(Base!$B$3:$B$5001,J$232,Base!$A$3:$A$5001,"&gt;="&amp;$C$7,Base!$A$3:$A$5001,"&lt;="&amp;$B244,Base!$Z$3:$Z$5001,"&lt;&gt;")=0,"",SUMIFS(Base!$Z$3:$Z$5001,Base!$B$3:$B$5001,J$232,Base!$A$3:$A$5001,_xlfn.MAXIFS(Base!$A$3:$A$5001,Base!$B$3:$B$5001,J$232,Base!$A$3:$A$5001,"&gt;="&amp;$C$7,Base!$A$3:$A$5001,"&lt;="&amp;$B244,Base!$Z$3:$Z$5001,"&lt;&gt;"))))</f>
        <v>6</v>
      </c>
      <c r="K244">
        <f>IF($A244&gt;$B$9,"",IF(COUNTIFS(Base!$B$3:$B$5001,K$232,Base!$A$3:$A$5001,"&gt;="&amp;$C$7,Base!$A$3:$A$5001,"&lt;="&amp;$B244,Base!$Z$3:$Z$5001,"&lt;&gt;")=0,"",SUMIFS(Base!$Z$3:$Z$5001,Base!$B$3:$B$5001,K$232,Base!$A$3:$A$5001,_xlfn.MAXIFS(Base!$A$3:$A$5001,Base!$B$3:$B$5001,K$232,Base!$A$3:$A$5001,"&gt;="&amp;$C$7,Base!$A$3:$A$5001,"&lt;="&amp;$B244,Base!$Z$3:$Z$5001,"&lt;&gt;"))))</f>
        <v>11</v>
      </c>
    </row>
    <row r="245">
      <c r="A245">
        <v>13</v>
      </c>
      <c r="B245" s="152">
        <f>$B$24</f>
        <v>46278</v>
      </c>
      <c r="C245">
        <f>IF($A245&gt;$B$9,"",IF(COUNTIFS(Base!$B$3:$B$5001,C$232,Base!$A$3:$A$5001,"&gt;="&amp;$C$7,Base!$A$3:$A$5001,"&lt;="&amp;$B245,Base!$Z$3:$Z$5001,"&lt;&gt;")=0,"",SUMIFS(Base!$Z$3:$Z$5001,Base!$B$3:$B$5001,C$232,Base!$A$3:$A$5001,_xlfn.MAXIFS(Base!$A$3:$A$5001,Base!$B$3:$B$5001,C$232,Base!$A$3:$A$5001,"&gt;="&amp;$C$7,Base!$A$3:$A$5001,"&lt;="&amp;$B245,Base!$Z$3:$Z$5001,"&lt;&gt;"))))</f>
        <v>6</v>
      </c>
      <c r="D245">
        <f>IF($A245&gt;$B$9,"",IF(COUNTIFS(Base!$B$3:$B$5001,D$232,Base!$A$3:$A$5001,"&gt;="&amp;$C$7,Base!$A$3:$A$5001,"&lt;="&amp;$B245,Base!$Z$3:$Z$5001,"&lt;&gt;")=0,"",SUMIFS(Base!$Z$3:$Z$5001,Base!$B$3:$B$5001,D$232,Base!$A$3:$A$5001,_xlfn.MAXIFS(Base!$A$3:$A$5001,Base!$B$3:$B$5001,D$232,Base!$A$3:$A$5001,"&gt;="&amp;$C$7,Base!$A$3:$A$5001,"&lt;="&amp;$B245,Base!$Z$3:$Z$5001,"&lt;&gt;"))))</f>
        <v>5</v>
      </c>
      <c r="E245">
        <f>IF($A245&gt;$B$9,"",IF(COUNTIFS(Base!$B$3:$B$5001,E$232,Base!$A$3:$A$5001,"&gt;="&amp;$C$7,Base!$A$3:$A$5001,"&lt;="&amp;$B245,Base!$Z$3:$Z$5001,"&lt;&gt;")=0,"",SUMIFS(Base!$Z$3:$Z$5001,Base!$B$3:$B$5001,E$232,Base!$A$3:$A$5001,_xlfn.MAXIFS(Base!$A$3:$A$5001,Base!$B$3:$B$5001,E$232,Base!$A$3:$A$5001,"&gt;="&amp;$C$7,Base!$A$3:$A$5001,"&lt;="&amp;$B245,Base!$Z$3:$Z$5001,"&lt;&gt;"))))</f>
        <v>7</v>
      </c>
      <c r="F245">
        <f>IF($A245&gt;$B$9,"",IF(COUNTIFS(Base!$B$3:$B$5001,F$232,Base!$A$3:$A$5001,"&gt;="&amp;$C$7,Base!$A$3:$A$5001,"&lt;="&amp;$B245,Base!$Z$3:$Z$5001,"&lt;&gt;")=0,"",SUMIFS(Base!$Z$3:$Z$5001,Base!$B$3:$B$5001,F$232,Base!$A$3:$A$5001,_xlfn.MAXIFS(Base!$A$3:$A$5001,Base!$B$3:$B$5001,F$232,Base!$A$3:$A$5001,"&gt;="&amp;$C$7,Base!$A$3:$A$5001,"&lt;="&amp;$B245,Base!$Z$3:$Z$5001,"&lt;&gt;"))))</f>
        <v>6</v>
      </c>
      <c r="G245">
        <f>IF($A245&gt;$B$9,"",IF(COUNTIFS(Base!$B$3:$B$5001,G$232,Base!$A$3:$A$5001,"&gt;="&amp;$C$7,Base!$A$3:$A$5001,"&lt;="&amp;$B245,Base!$Z$3:$Z$5001,"&lt;&gt;")=0,"",SUMIFS(Base!$Z$3:$Z$5001,Base!$B$3:$B$5001,G$232,Base!$A$3:$A$5001,_xlfn.MAXIFS(Base!$A$3:$A$5001,Base!$B$3:$B$5001,G$232,Base!$A$3:$A$5001,"&gt;="&amp;$C$7,Base!$A$3:$A$5001,"&lt;="&amp;$B245,Base!$Z$3:$Z$5001,"&lt;&gt;"))))</f>
        <v>5</v>
      </c>
      <c r="H245">
        <f>IF($A245&gt;$B$9,"",IF(COUNTIFS(Base!$B$3:$B$5001,H$232,Base!$A$3:$A$5001,"&gt;="&amp;$C$7,Base!$A$3:$A$5001,"&lt;="&amp;$B245,Base!$Z$3:$Z$5001,"&lt;&gt;")=0,"",SUMIFS(Base!$Z$3:$Z$5001,Base!$B$3:$B$5001,H$232,Base!$A$3:$A$5001,_xlfn.MAXIFS(Base!$A$3:$A$5001,Base!$B$3:$B$5001,H$232,Base!$A$3:$A$5001,"&gt;="&amp;$C$7,Base!$A$3:$A$5001,"&lt;="&amp;$B245,Base!$Z$3:$Z$5001,"&lt;&gt;"))))</f>
        <v>4</v>
      </c>
      <c r="I245">
        <f>IF($A245&gt;$B$9,"",IF(COUNTIFS(Base!$B$3:$B$5001,I$232,Base!$A$3:$A$5001,"&gt;="&amp;$C$7,Base!$A$3:$A$5001,"&lt;="&amp;$B245,Base!$Z$3:$Z$5001,"&lt;&gt;")=0,"",SUMIFS(Base!$Z$3:$Z$5001,Base!$B$3:$B$5001,I$232,Base!$A$3:$A$5001,_xlfn.MAXIFS(Base!$A$3:$A$5001,Base!$B$3:$B$5001,I$232,Base!$A$3:$A$5001,"&gt;="&amp;$C$7,Base!$A$3:$A$5001,"&lt;="&amp;$B245,Base!$Z$3:$Z$5001,"&lt;&gt;"))))</f>
        <v>13</v>
      </c>
      <c r="J245">
        <f>IF($A245&gt;$B$9,"",IF(COUNTIFS(Base!$B$3:$B$5001,J$232,Base!$A$3:$A$5001,"&gt;="&amp;$C$7,Base!$A$3:$A$5001,"&lt;="&amp;$B245,Base!$Z$3:$Z$5001,"&lt;&gt;")=0,"",SUMIFS(Base!$Z$3:$Z$5001,Base!$B$3:$B$5001,J$232,Base!$A$3:$A$5001,_xlfn.MAXIFS(Base!$A$3:$A$5001,Base!$B$3:$B$5001,J$232,Base!$A$3:$A$5001,"&gt;="&amp;$C$7,Base!$A$3:$A$5001,"&lt;="&amp;$B245,Base!$Z$3:$Z$5001,"&lt;&gt;"))))</f>
        <v>6</v>
      </c>
      <c r="K245">
        <f>IF($A245&gt;$B$9,"",IF(COUNTIFS(Base!$B$3:$B$5001,K$232,Base!$A$3:$A$5001,"&gt;="&amp;$C$7,Base!$A$3:$A$5001,"&lt;="&amp;$B245,Base!$Z$3:$Z$5001,"&lt;&gt;")=0,"",SUMIFS(Base!$Z$3:$Z$5001,Base!$B$3:$B$5001,K$232,Base!$A$3:$A$5001,_xlfn.MAXIFS(Base!$A$3:$A$5001,Base!$B$3:$B$5001,K$232,Base!$A$3:$A$5001,"&gt;="&amp;$C$7,Base!$A$3:$A$5001,"&lt;="&amp;$B245,Base!$Z$3:$Z$5001,"&lt;&gt;"))))</f>
        <v>11</v>
      </c>
    </row>
    <row r="246">
      <c r="A246">
        <v>14</v>
      </c>
      <c r="B246" s="152">
        <f>$B$25</f>
        <v>46279</v>
      </c>
      <c r="C246">
        <f>IF($A246&gt;$B$9,"",IF(COUNTIFS(Base!$B$3:$B$5001,C$232,Base!$A$3:$A$5001,"&gt;="&amp;$C$7,Base!$A$3:$A$5001,"&lt;="&amp;$B246,Base!$Z$3:$Z$5001,"&lt;&gt;")=0,"",SUMIFS(Base!$Z$3:$Z$5001,Base!$B$3:$B$5001,C$232,Base!$A$3:$A$5001,_xlfn.MAXIFS(Base!$A$3:$A$5001,Base!$B$3:$B$5001,C$232,Base!$A$3:$A$5001,"&gt;="&amp;$C$7,Base!$A$3:$A$5001,"&lt;="&amp;$B246,Base!$Z$3:$Z$5001,"&lt;&gt;"))))</f>
        <v>8</v>
      </c>
      <c r="D246">
        <f>IF($A246&gt;$B$9,"",IF(COUNTIFS(Base!$B$3:$B$5001,D$232,Base!$A$3:$A$5001,"&gt;="&amp;$C$7,Base!$A$3:$A$5001,"&lt;="&amp;$B246,Base!$Z$3:$Z$5001,"&lt;&gt;")=0,"",SUMIFS(Base!$Z$3:$Z$5001,Base!$B$3:$B$5001,D$232,Base!$A$3:$A$5001,_xlfn.MAXIFS(Base!$A$3:$A$5001,Base!$B$3:$B$5001,D$232,Base!$A$3:$A$5001,"&gt;="&amp;$C$7,Base!$A$3:$A$5001,"&lt;="&amp;$B246,Base!$Z$3:$Z$5001,"&lt;&gt;"))))</f>
        <v>12</v>
      </c>
      <c r="E246">
        <f>IF($A246&gt;$B$9,"",IF(COUNTIFS(Base!$B$3:$B$5001,E$232,Base!$A$3:$A$5001,"&gt;="&amp;$C$7,Base!$A$3:$A$5001,"&lt;="&amp;$B246,Base!$Z$3:$Z$5001,"&lt;&gt;")=0,"",SUMIFS(Base!$Z$3:$Z$5001,Base!$B$3:$B$5001,E$232,Base!$A$3:$A$5001,_xlfn.MAXIFS(Base!$A$3:$A$5001,Base!$B$3:$B$5001,E$232,Base!$A$3:$A$5001,"&gt;="&amp;$C$7,Base!$A$3:$A$5001,"&lt;="&amp;$B246,Base!$Z$3:$Z$5001,"&lt;&gt;"))))</f>
        <v>7</v>
      </c>
      <c r="F246">
        <f>IF($A246&gt;$B$9,"",IF(COUNTIFS(Base!$B$3:$B$5001,F$232,Base!$A$3:$A$5001,"&gt;="&amp;$C$7,Base!$A$3:$A$5001,"&lt;="&amp;$B246,Base!$Z$3:$Z$5001,"&lt;&gt;")=0,"",SUMIFS(Base!$Z$3:$Z$5001,Base!$B$3:$B$5001,F$232,Base!$A$3:$A$5001,_xlfn.MAXIFS(Base!$A$3:$A$5001,Base!$B$3:$B$5001,F$232,Base!$A$3:$A$5001,"&gt;="&amp;$C$7,Base!$A$3:$A$5001,"&lt;="&amp;$B246,Base!$Z$3:$Z$5001,"&lt;&gt;"))))</f>
        <v>11</v>
      </c>
      <c r="G246">
        <f>IF($A246&gt;$B$9,"",IF(COUNTIFS(Base!$B$3:$B$5001,G$232,Base!$A$3:$A$5001,"&gt;="&amp;$C$7,Base!$A$3:$A$5001,"&lt;="&amp;$B246,Base!$Z$3:$Z$5001,"&lt;&gt;")=0,"",SUMIFS(Base!$Z$3:$Z$5001,Base!$B$3:$B$5001,G$232,Base!$A$3:$A$5001,_xlfn.MAXIFS(Base!$A$3:$A$5001,Base!$B$3:$B$5001,G$232,Base!$A$3:$A$5001,"&gt;="&amp;$C$7,Base!$A$3:$A$5001,"&lt;="&amp;$B246,Base!$Z$3:$Z$5001,"&lt;&gt;"))))</f>
        <v>5</v>
      </c>
      <c r="H246">
        <f>IF($A246&gt;$B$9,"",IF(COUNTIFS(Base!$B$3:$B$5001,H$232,Base!$A$3:$A$5001,"&gt;="&amp;$C$7,Base!$A$3:$A$5001,"&lt;="&amp;$B246,Base!$Z$3:$Z$5001,"&lt;&gt;")=0,"",SUMIFS(Base!$Z$3:$Z$5001,Base!$B$3:$B$5001,H$232,Base!$A$3:$A$5001,_xlfn.MAXIFS(Base!$A$3:$A$5001,Base!$B$3:$B$5001,H$232,Base!$A$3:$A$5001,"&gt;="&amp;$C$7,Base!$A$3:$A$5001,"&lt;="&amp;$B246,Base!$Z$3:$Z$5001,"&lt;&gt;"))))</f>
        <v>12</v>
      </c>
      <c r="I246">
        <f>IF($A246&gt;$B$9,"",IF(COUNTIFS(Base!$B$3:$B$5001,I$232,Base!$A$3:$A$5001,"&gt;="&amp;$C$7,Base!$A$3:$A$5001,"&lt;="&amp;$B246,Base!$Z$3:$Z$5001,"&lt;&gt;")=0,"",SUMIFS(Base!$Z$3:$Z$5001,Base!$B$3:$B$5001,I$232,Base!$A$3:$A$5001,_xlfn.MAXIFS(Base!$A$3:$A$5001,Base!$B$3:$B$5001,I$232,Base!$A$3:$A$5001,"&gt;="&amp;$C$7,Base!$A$3:$A$5001,"&lt;="&amp;$B246,Base!$Z$3:$Z$5001,"&lt;&gt;"))))</f>
        <v>5</v>
      </c>
      <c r="J246">
        <f>IF($A246&gt;$B$9,"",IF(COUNTIFS(Base!$B$3:$B$5001,J$232,Base!$A$3:$A$5001,"&gt;="&amp;$C$7,Base!$A$3:$A$5001,"&lt;="&amp;$B246,Base!$Z$3:$Z$5001,"&lt;&gt;")=0,"",SUMIFS(Base!$Z$3:$Z$5001,Base!$B$3:$B$5001,J$232,Base!$A$3:$A$5001,_xlfn.MAXIFS(Base!$A$3:$A$5001,Base!$B$3:$B$5001,J$232,Base!$A$3:$A$5001,"&gt;="&amp;$C$7,Base!$A$3:$A$5001,"&lt;="&amp;$B246,Base!$Z$3:$Z$5001,"&lt;&gt;"))))</f>
        <v>7</v>
      </c>
      <c r="K246">
        <f>IF($A246&gt;$B$9,"",IF(COUNTIFS(Base!$B$3:$B$5001,K$232,Base!$A$3:$A$5001,"&gt;="&amp;$C$7,Base!$A$3:$A$5001,"&lt;="&amp;$B246,Base!$Z$3:$Z$5001,"&lt;&gt;")=0,"",SUMIFS(Base!$Z$3:$Z$5001,Base!$B$3:$B$5001,K$232,Base!$A$3:$A$5001,_xlfn.MAXIFS(Base!$A$3:$A$5001,Base!$B$3:$B$5001,K$232,Base!$A$3:$A$5001,"&gt;="&amp;$C$7,Base!$A$3:$A$5001,"&lt;="&amp;$B246,Base!$Z$3:$Z$5001,"&lt;&gt;"))))</f>
        <v>13</v>
      </c>
    </row>
    <row r="247">
      <c r="A247">
        <v>15</v>
      </c>
      <c r="B247" s="152">
        <f>$B$26</f>
        <v>46280</v>
      </c>
      <c r="C247">
        <f>IF($A247&gt;$B$9,"",IF(COUNTIFS(Base!$B$3:$B$5001,C$232,Base!$A$3:$A$5001,"&gt;="&amp;$C$7,Base!$A$3:$A$5001,"&lt;="&amp;$B247,Base!$Z$3:$Z$5001,"&lt;&gt;")=0,"",SUMIFS(Base!$Z$3:$Z$5001,Base!$B$3:$B$5001,C$232,Base!$A$3:$A$5001,_xlfn.MAXIFS(Base!$A$3:$A$5001,Base!$B$3:$B$5001,C$232,Base!$A$3:$A$5001,"&gt;="&amp;$C$7,Base!$A$3:$A$5001,"&lt;="&amp;$B247,Base!$Z$3:$Z$5001,"&lt;&gt;"))))</f>
        <v>8</v>
      </c>
      <c r="D247">
        <f>IF($A247&gt;$B$9,"",IF(COUNTIFS(Base!$B$3:$B$5001,D$232,Base!$A$3:$A$5001,"&gt;="&amp;$C$7,Base!$A$3:$A$5001,"&lt;="&amp;$B247,Base!$Z$3:$Z$5001,"&lt;&gt;")=0,"",SUMIFS(Base!$Z$3:$Z$5001,Base!$B$3:$B$5001,D$232,Base!$A$3:$A$5001,_xlfn.MAXIFS(Base!$A$3:$A$5001,Base!$B$3:$B$5001,D$232,Base!$A$3:$A$5001,"&gt;="&amp;$C$7,Base!$A$3:$A$5001,"&lt;="&amp;$B247,Base!$Z$3:$Z$5001,"&lt;&gt;"))))</f>
        <v>7</v>
      </c>
      <c r="E247">
        <f>IF($A247&gt;$B$9,"",IF(COUNTIFS(Base!$B$3:$B$5001,E$232,Base!$A$3:$A$5001,"&gt;="&amp;$C$7,Base!$A$3:$A$5001,"&lt;="&amp;$B247,Base!$Z$3:$Z$5001,"&lt;&gt;")=0,"",SUMIFS(Base!$Z$3:$Z$5001,Base!$B$3:$B$5001,E$232,Base!$A$3:$A$5001,_xlfn.MAXIFS(Base!$A$3:$A$5001,Base!$B$3:$B$5001,E$232,Base!$A$3:$A$5001,"&gt;="&amp;$C$7,Base!$A$3:$A$5001,"&lt;="&amp;$B247,Base!$Z$3:$Z$5001,"&lt;&gt;"))))</f>
        <v>10</v>
      </c>
      <c r="F247">
        <f>IF($A247&gt;$B$9,"",IF(COUNTIFS(Base!$B$3:$B$5001,F$232,Base!$A$3:$A$5001,"&gt;="&amp;$C$7,Base!$A$3:$A$5001,"&lt;="&amp;$B247,Base!$Z$3:$Z$5001,"&lt;&gt;")=0,"",SUMIFS(Base!$Z$3:$Z$5001,Base!$B$3:$B$5001,F$232,Base!$A$3:$A$5001,_xlfn.MAXIFS(Base!$A$3:$A$5001,Base!$B$3:$B$5001,F$232,Base!$A$3:$A$5001,"&gt;="&amp;$C$7,Base!$A$3:$A$5001,"&lt;="&amp;$B247,Base!$Z$3:$Z$5001,"&lt;&gt;"))))</f>
        <v>8</v>
      </c>
      <c r="G247">
        <f>IF($A247&gt;$B$9,"",IF(COUNTIFS(Base!$B$3:$B$5001,G$232,Base!$A$3:$A$5001,"&gt;="&amp;$C$7,Base!$A$3:$A$5001,"&lt;="&amp;$B247,Base!$Z$3:$Z$5001,"&lt;&gt;")=0,"",SUMIFS(Base!$Z$3:$Z$5001,Base!$B$3:$B$5001,G$232,Base!$A$3:$A$5001,_xlfn.MAXIFS(Base!$A$3:$A$5001,Base!$B$3:$B$5001,G$232,Base!$A$3:$A$5001,"&gt;="&amp;$C$7,Base!$A$3:$A$5001,"&lt;="&amp;$B247,Base!$Z$3:$Z$5001,"&lt;&gt;"))))</f>
        <v>4</v>
      </c>
      <c r="H247">
        <f>IF($A247&gt;$B$9,"",IF(COUNTIFS(Base!$B$3:$B$5001,H$232,Base!$A$3:$A$5001,"&gt;="&amp;$C$7,Base!$A$3:$A$5001,"&lt;="&amp;$B247,Base!$Z$3:$Z$5001,"&lt;&gt;")=0,"",SUMIFS(Base!$Z$3:$Z$5001,Base!$B$3:$B$5001,H$232,Base!$A$3:$A$5001,_xlfn.MAXIFS(Base!$A$3:$A$5001,Base!$B$3:$B$5001,H$232,Base!$A$3:$A$5001,"&gt;="&amp;$C$7,Base!$A$3:$A$5001,"&lt;="&amp;$B247,Base!$Z$3:$Z$5001,"&lt;&gt;"))))</f>
        <v>5</v>
      </c>
      <c r="I247">
        <f>IF($A247&gt;$B$9,"",IF(COUNTIFS(Base!$B$3:$B$5001,I$232,Base!$A$3:$A$5001,"&gt;="&amp;$C$7,Base!$A$3:$A$5001,"&lt;="&amp;$B247,Base!$Z$3:$Z$5001,"&lt;&gt;")=0,"",SUMIFS(Base!$Z$3:$Z$5001,Base!$B$3:$B$5001,I$232,Base!$A$3:$A$5001,_xlfn.MAXIFS(Base!$A$3:$A$5001,Base!$B$3:$B$5001,I$232,Base!$A$3:$A$5001,"&gt;="&amp;$C$7,Base!$A$3:$A$5001,"&lt;="&amp;$B247,Base!$Z$3:$Z$5001,"&lt;&gt;"))))</f>
        <v>4</v>
      </c>
      <c r="J247">
        <f>IF($A247&gt;$B$9,"",IF(COUNTIFS(Base!$B$3:$B$5001,J$232,Base!$A$3:$A$5001,"&gt;="&amp;$C$7,Base!$A$3:$A$5001,"&lt;="&amp;$B247,Base!$Z$3:$Z$5001,"&lt;&gt;")=0,"",SUMIFS(Base!$Z$3:$Z$5001,Base!$B$3:$B$5001,J$232,Base!$A$3:$A$5001,_xlfn.MAXIFS(Base!$A$3:$A$5001,Base!$B$3:$B$5001,J$232,Base!$A$3:$A$5001,"&gt;="&amp;$C$7,Base!$A$3:$A$5001,"&lt;="&amp;$B247,Base!$Z$3:$Z$5001,"&lt;&gt;"))))</f>
        <v>12</v>
      </c>
      <c r="K247">
        <f>IF($A247&gt;$B$9,"",IF(COUNTIFS(Base!$B$3:$B$5001,K$232,Base!$A$3:$A$5001,"&gt;="&amp;$C$7,Base!$A$3:$A$5001,"&lt;="&amp;$B247,Base!$Z$3:$Z$5001,"&lt;&gt;")=0,"",SUMIFS(Base!$Z$3:$Z$5001,Base!$B$3:$B$5001,K$232,Base!$A$3:$A$5001,_xlfn.MAXIFS(Base!$A$3:$A$5001,Base!$B$3:$B$5001,K$232,Base!$A$3:$A$5001,"&gt;="&amp;$C$7,Base!$A$3:$A$5001,"&lt;="&amp;$B247,Base!$Z$3:$Z$5001,"&lt;&gt;"))))</f>
        <v>6</v>
      </c>
    </row>
    <row r="248">
      <c r="A248">
        <v>16</v>
      </c>
      <c r="B248" s="152">
        <f>$B$27</f>
        <v>46281</v>
      </c>
      <c r="C248">
        <f>IF($A248&gt;$B$9,"",IF(COUNTIFS(Base!$B$3:$B$5001,C$232,Base!$A$3:$A$5001,"&gt;="&amp;$C$7,Base!$A$3:$A$5001,"&lt;="&amp;$B248,Base!$Z$3:$Z$5001,"&lt;&gt;")=0,"",SUMIFS(Base!$Z$3:$Z$5001,Base!$B$3:$B$5001,C$232,Base!$A$3:$A$5001,_xlfn.MAXIFS(Base!$A$3:$A$5001,Base!$B$3:$B$5001,C$232,Base!$A$3:$A$5001,"&gt;="&amp;$C$7,Base!$A$3:$A$5001,"&lt;="&amp;$B248,Base!$Z$3:$Z$5001,"&lt;&gt;"))))</f>
        <v>4</v>
      </c>
      <c r="D248">
        <f>IF($A248&gt;$B$9,"",IF(COUNTIFS(Base!$B$3:$B$5001,D$232,Base!$A$3:$A$5001,"&gt;="&amp;$C$7,Base!$A$3:$A$5001,"&lt;="&amp;$B248,Base!$Z$3:$Z$5001,"&lt;&gt;")=0,"",SUMIFS(Base!$Z$3:$Z$5001,Base!$B$3:$B$5001,D$232,Base!$A$3:$A$5001,_xlfn.MAXIFS(Base!$A$3:$A$5001,Base!$B$3:$B$5001,D$232,Base!$A$3:$A$5001,"&gt;="&amp;$C$7,Base!$A$3:$A$5001,"&lt;="&amp;$B248,Base!$Z$3:$Z$5001,"&lt;&gt;"))))</f>
        <v>10</v>
      </c>
      <c r="E248">
        <f>IF($A248&gt;$B$9,"",IF(COUNTIFS(Base!$B$3:$B$5001,E$232,Base!$A$3:$A$5001,"&gt;="&amp;$C$7,Base!$A$3:$A$5001,"&lt;="&amp;$B248,Base!$Z$3:$Z$5001,"&lt;&gt;")=0,"",SUMIFS(Base!$Z$3:$Z$5001,Base!$B$3:$B$5001,E$232,Base!$A$3:$A$5001,_xlfn.MAXIFS(Base!$A$3:$A$5001,Base!$B$3:$B$5001,E$232,Base!$A$3:$A$5001,"&gt;="&amp;$C$7,Base!$A$3:$A$5001,"&lt;="&amp;$B248,Base!$Z$3:$Z$5001,"&lt;&gt;"))))</f>
        <v>12</v>
      </c>
      <c r="F248">
        <f>IF($A248&gt;$B$9,"",IF(COUNTIFS(Base!$B$3:$B$5001,F$232,Base!$A$3:$A$5001,"&gt;="&amp;$C$7,Base!$A$3:$A$5001,"&lt;="&amp;$B248,Base!$Z$3:$Z$5001,"&lt;&gt;")=0,"",SUMIFS(Base!$Z$3:$Z$5001,Base!$B$3:$B$5001,F$232,Base!$A$3:$A$5001,_xlfn.MAXIFS(Base!$A$3:$A$5001,Base!$B$3:$B$5001,F$232,Base!$A$3:$A$5001,"&gt;="&amp;$C$7,Base!$A$3:$A$5001,"&lt;="&amp;$B248,Base!$Z$3:$Z$5001,"&lt;&gt;"))))</f>
        <v>6</v>
      </c>
      <c r="G248">
        <f>IF($A248&gt;$B$9,"",IF(COUNTIFS(Base!$B$3:$B$5001,G$232,Base!$A$3:$A$5001,"&gt;="&amp;$C$7,Base!$A$3:$A$5001,"&lt;="&amp;$B248,Base!$Z$3:$Z$5001,"&lt;&gt;")=0,"",SUMIFS(Base!$Z$3:$Z$5001,Base!$B$3:$B$5001,G$232,Base!$A$3:$A$5001,_xlfn.MAXIFS(Base!$A$3:$A$5001,Base!$B$3:$B$5001,G$232,Base!$A$3:$A$5001,"&gt;="&amp;$C$7,Base!$A$3:$A$5001,"&lt;="&amp;$B248,Base!$Z$3:$Z$5001,"&lt;&gt;"))))</f>
        <v>4</v>
      </c>
      <c r="H248">
        <f>IF($A248&gt;$B$9,"",IF(COUNTIFS(Base!$B$3:$B$5001,H$232,Base!$A$3:$A$5001,"&gt;="&amp;$C$7,Base!$A$3:$A$5001,"&lt;="&amp;$B248,Base!$Z$3:$Z$5001,"&lt;&gt;")=0,"",SUMIFS(Base!$Z$3:$Z$5001,Base!$B$3:$B$5001,H$232,Base!$A$3:$A$5001,_xlfn.MAXIFS(Base!$A$3:$A$5001,Base!$B$3:$B$5001,H$232,Base!$A$3:$A$5001,"&gt;="&amp;$C$7,Base!$A$3:$A$5001,"&lt;="&amp;$B248,Base!$Z$3:$Z$5001,"&lt;&gt;"))))</f>
        <v>9</v>
      </c>
      <c r="I248">
        <f>IF($A248&gt;$B$9,"",IF(COUNTIFS(Base!$B$3:$B$5001,I$232,Base!$A$3:$A$5001,"&gt;="&amp;$C$7,Base!$A$3:$A$5001,"&lt;="&amp;$B248,Base!$Z$3:$Z$5001,"&lt;&gt;")=0,"",SUMIFS(Base!$Z$3:$Z$5001,Base!$B$3:$B$5001,I$232,Base!$A$3:$A$5001,_xlfn.MAXIFS(Base!$A$3:$A$5001,Base!$B$3:$B$5001,I$232,Base!$A$3:$A$5001,"&gt;="&amp;$C$7,Base!$A$3:$A$5001,"&lt;="&amp;$B248,Base!$Z$3:$Z$5001,"&lt;&gt;"))))</f>
        <v>8</v>
      </c>
      <c r="J248">
        <f>IF($A248&gt;$B$9,"",IF(COUNTIFS(Base!$B$3:$B$5001,J$232,Base!$A$3:$A$5001,"&gt;="&amp;$C$7,Base!$A$3:$A$5001,"&lt;="&amp;$B248,Base!$Z$3:$Z$5001,"&lt;&gt;")=0,"",SUMIFS(Base!$Z$3:$Z$5001,Base!$B$3:$B$5001,J$232,Base!$A$3:$A$5001,_xlfn.MAXIFS(Base!$A$3:$A$5001,Base!$B$3:$B$5001,J$232,Base!$A$3:$A$5001,"&gt;="&amp;$C$7,Base!$A$3:$A$5001,"&lt;="&amp;$B248,Base!$Z$3:$Z$5001,"&lt;&gt;"))))</f>
        <v>6</v>
      </c>
      <c r="K248">
        <f>IF($A248&gt;$B$9,"",IF(COUNTIFS(Base!$B$3:$B$5001,K$232,Base!$A$3:$A$5001,"&gt;="&amp;$C$7,Base!$A$3:$A$5001,"&lt;="&amp;$B248,Base!$Z$3:$Z$5001,"&lt;&gt;")=0,"",SUMIFS(Base!$Z$3:$Z$5001,Base!$B$3:$B$5001,K$232,Base!$A$3:$A$5001,_xlfn.MAXIFS(Base!$A$3:$A$5001,Base!$B$3:$B$5001,K$232,Base!$A$3:$A$5001,"&gt;="&amp;$C$7,Base!$A$3:$A$5001,"&lt;="&amp;$B248,Base!$Z$3:$Z$5001,"&lt;&gt;"))))</f>
        <v>4</v>
      </c>
    </row>
    <row r="249">
      <c r="A249">
        <v>17</v>
      </c>
      <c r="B249" s="152">
        <f>$B$28</f>
        <v>46282</v>
      </c>
      <c r="C249">
        <f>IF($A249&gt;$B$9,"",IF(COUNTIFS(Base!$B$3:$B$5001,C$232,Base!$A$3:$A$5001,"&gt;="&amp;$C$7,Base!$A$3:$A$5001,"&lt;="&amp;$B249,Base!$Z$3:$Z$5001,"&lt;&gt;")=0,"",SUMIFS(Base!$Z$3:$Z$5001,Base!$B$3:$B$5001,C$232,Base!$A$3:$A$5001,_xlfn.MAXIFS(Base!$A$3:$A$5001,Base!$B$3:$B$5001,C$232,Base!$A$3:$A$5001,"&gt;="&amp;$C$7,Base!$A$3:$A$5001,"&lt;="&amp;$B249,Base!$Z$3:$Z$5001,"&lt;&gt;"))))</f>
        <v>14</v>
      </c>
      <c r="D249">
        <f>IF($A249&gt;$B$9,"",IF(COUNTIFS(Base!$B$3:$B$5001,D$232,Base!$A$3:$A$5001,"&gt;="&amp;$C$7,Base!$A$3:$A$5001,"&lt;="&amp;$B249,Base!$Z$3:$Z$5001,"&lt;&gt;")=0,"",SUMIFS(Base!$Z$3:$Z$5001,Base!$B$3:$B$5001,D$232,Base!$A$3:$A$5001,_xlfn.MAXIFS(Base!$A$3:$A$5001,Base!$B$3:$B$5001,D$232,Base!$A$3:$A$5001,"&gt;="&amp;$C$7,Base!$A$3:$A$5001,"&lt;="&amp;$B249,Base!$Z$3:$Z$5001,"&lt;&gt;"))))</f>
        <v>6</v>
      </c>
      <c r="E249">
        <f>IF($A249&gt;$B$9,"",IF(COUNTIFS(Base!$B$3:$B$5001,E$232,Base!$A$3:$A$5001,"&gt;="&amp;$C$7,Base!$A$3:$A$5001,"&lt;="&amp;$B249,Base!$Z$3:$Z$5001,"&lt;&gt;")=0,"",SUMIFS(Base!$Z$3:$Z$5001,Base!$B$3:$B$5001,E$232,Base!$A$3:$A$5001,_xlfn.MAXIFS(Base!$A$3:$A$5001,Base!$B$3:$B$5001,E$232,Base!$A$3:$A$5001,"&gt;="&amp;$C$7,Base!$A$3:$A$5001,"&lt;="&amp;$B249,Base!$Z$3:$Z$5001,"&lt;&gt;"))))</f>
        <v>6</v>
      </c>
      <c r="F249">
        <f>IF($A249&gt;$B$9,"",IF(COUNTIFS(Base!$B$3:$B$5001,F$232,Base!$A$3:$A$5001,"&gt;="&amp;$C$7,Base!$A$3:$A$5001,"&lt;="&amp;$B249,Base!$Z$3:$Z$5001,"&lt;&gt;")=0,"",SUMIFS(Base!$Z$3:$Z$5001,Base!$B$3:$B$5001,F$232,Base!$A$3:$A$5001,_xlfn.MAXIFS(Base!$A$3:$A$5001,Base!$B$3:$B$5001,F$232,Base!$A$3:$A$5001,"&gt;="&amp;$C$7,Base!$A$3:$A$5001,"&lt;="&amp;$B249,Base!$Z$3:$Z$5001,"&lt;&gt;"))))</f>
        <v>4</v>
      </c>
      <c r="G249">
        <f>IF($A249&gt;$B$9,"",IF(COUNTIFS(Base!$B$3:$B$5001,G$232,Base!$A$3:$A$5001,"&gt;="&amp;$C$7,Base!$A$3:$A$5001,"&lt;="&amp;$B249,Base!$Z$3:$Z$5001,"&lt;&gt;")=0,"",SUMIFS(Base!$Z$3:$Z$5001,Base!$B$3:$B$5001,G$232,Base!$A$3:$A$5001,_xlfn.MAXIFS(Base!$A$3:$A$5001,Base!$B$3:$B$5001,G$232,Base!$A$3:$A$5001,"&gt;="&amp;$C$7,Base!$A$3:$A$5001,"&lt;="&amp;$B249,Base!$Z$3:$Z$5001,"&lt;&gt;"))))</f>
        <v>9</v>
      </c>
      <c r="H249">
        <f>IF($A249&gt;$B$9,"",IF(COUNTIFS(Base!$B$3:$B$5001,H$232,Base!$A$3:$A$5001,"&gt;="&amp;$C$7,Base!$A$3:$A$5001,"&lt;="&amp;$B249,Base!$Z$3:$Z$5001,"&lt;&gt;")=0,"",SUMIFS(Base!$Z$3:$Z$5001,Base!$B$3:$B$5001,H$232,Base!$A$3:$A$5001,_xlfn.MAXIFS(Base!$A$3:$A$5001,Base!$B$3:$B$5001,H$232,Base!$A$3:$A$5001,"&gt;="&amp;$C$7,Base!$A$3:$A$5001,"&lt;="&amp;$B249,Base!$Z$3:$Z$5001,"&lt;&gt;"))))</f>
        <v>10</v>
      </c>
      <c r="I249">
        <f>IF($A249&gt;$B$9,"",IF(COUNTIFS(Base!$B$3:$B$5001,I$232,Base!$A$3:$A$5001,"&gt;="&amp;$C$7,Base!$A$3:$A$5001,"&lt;="&amp;$B249,Base!$Z$3:$Z$5001,"&lt;&gt;")=0,"",SUMIFS(Base!$Z$3:$Z$5001,Base!$B$3:$B$5001,I$232,Base!$A$3:$A$5001,_xlfn.MAXIFS(Base!$A$3:$A$5001,Base!$B$3:$B$5001,I$232,Base!$A$3:$A$5001,"&gt;="&amp;$C$7,Base!$A$3:$A$5001,"&lt;="&amp;$B249,Base!$Z$3:$Z$5001,"&lt;&gt;"))))</f>
        <v>4</v>
      </c>
      <c r="J249">
        <f>IF($A249&gt;$B$9,"",IF(COUNTIFS(Base!$B$3:$B$5001,J$232,Base!$A$3:$A$5001,"&gt;="&amp;$C$7,Base!$A$3:$A$5001,"&lt;="&amp;$B249,Base!$Z$3:$Z$5001,"&lt;&gt;")=0,"",SUMIFS(Base!$Z$3:$Z$5001,Base!$B$3:$B$5001,J$232,Base!$A$3:$A$5001,_xlfn.MAXIFS(Base!$A$3:$A$5001,Base!$B$3:$B$5001,J$232,Base!$A$3:$A$5001,"&gt;="&amp;$C$7,Base!$A$3:$A$5001,"&lt;="&amp;$B249,Base!$Z$3:$Z$5001,"&lt;&gt;"))))</f>
        <v>5</v>
      </c>
      <c r="K249">
        <f>IF($A249&gt;$B$9,"",IF(COUNTIFS(Base!$B$3:$B$5001,K$232,Base!$A$3:$A$5001,"&gt;="&amp;$C$7,Base!$A$3:$A$5001,"&lt;="&amp;$B249,Base!$Z$3:$Z$5001,"&lt;&gt;")=0,"",SUMIFS(Base!$Z$3:$Z$5001,Base!$B$3:$B$5001,K$232,Base!$A$3:$A$5001,_xlfn.MAXIFS(Base!$A$3:$A$5001,Base!$B$3:$B$5001,K$232,Base!$A$3:$A$5001,"&gt;="&amp;$C$7,Base!$A$3:$A$5001,"&lt;="&amp;$B249,Base!$Z$3:$Z$5001,"&lt;&gt;"))))</f>
        <v>6</v>
      </c>
    </row>
    <row r="250">
      <c r="A250">
        <v>18</v>
      </c>
      <c r="B250" s="152">
        <f>$B$29</f>
        <v>46283</v>
      </c>
      <c r="C250">
        <f>IF($A250&gt;$B$9,"",IF(COUNTIFS(Base!$B$3:$B$5001,C$232,Base!$A$3:$A$5001,"&gt;="&amp;$C$7,Base!$A$3:$A$5001,"&lt;="&amp;$B250,Base!$Z$3:$Z$5001,"&lt;&gt;")=0,"",SUMIFS(Base!$Z$3:$Z$5001,Base!$B$3:$B$5001,C$232,Base!$A$3:$A$5001,_xlfn.MAXIFS(Base!$A$3:$A$5001,Base!$B$3:$B$5001,C$232,Base!$A$3:$A$5001,"&gt;="&amp;$C$7,Base!$A$3:$A$5001,"&lt;="&amp;$B250,Base!$Z$3:$Z$5001,"&lt;&gt;"))))</f>
        <v>5</v>
      </c>
      <c r="D250">
        <f>IF($A250&gt;$B$9,"",IF(COUNTIFS(Base!$B$3:$B$5001,D$232,Base!$A$3:$A$5001,"&gt;="&amp;$C$7,Base!$A$3:$A$5001,"&lt;="&amp;$B250,Base!$Z$3:$Z$5001,"&lt;&gt;")=0,"",SUMIFS(Base!$Z$3:$Z$5001,Base!$B$3:$B$5001,D$232,Base!$A$3:$A$5001,_xlfn.MAXIFS(Base!$A$3:$A$5001,Base!$B$3:$B$5001,D$232,Base!$A$3:$A$5001,"&gt;="&amp;$C$7,Base!$A$3:$A$5001,"&lt;="&amp;$B250,Base!$Z$3:$Z$5001,"&lt;&gt;"))))</f>
        <v>8</v>
      </c>
      <c r="E250">
        <f>IF($A250&gt;$B$9,"",IF(COUNTIFS(Base!$B$3:$B$5001,E$232,Base!$A$3:$A$5001,"&gt;="&amp;$C$7,Base!$A$3:$A$5001,"&lt;="&amp;$B250,Base!$Z$3:$Z$5001,"&lt;&gt;")=0,"",SUMIFS(Base!$Z$3:$Z$5001,Base!$B$3:$B$5001,E$232,Base!$A$3:$A$5001,_xlfn.MAXIFS(Base!$A$3:$A$5001,Base!$B$3:$B$5001,E$232,Base!$A$3:$A$5001,"&gt;="&amp;$C$7,Base!$A$3:$A$5001,"&lt;="&amp;$B250,Base!$Z$3:$Z$5001,"&lt;&gt;"))))</f>
        <v>8</v>
      </c>
      <c r="F250">
        <f>IF($A250&gt;$B$9,"",IF(COUNTIFS(Base!$B$3:$B$5001,F$232,Base!$A$3:$A$5001,"&gt;="&amp;$C$7,Base!$A$3:$A$5001,"&lt;="&amp;$B250,Base!$Z$3:$Z$5001,"&lt;&gt;")=0,"",SUMIFS(Base!$Z$3:$Z$5001,Base!$B$3:$B$5001,F$232,Base!$A$3:$A$5001,_xlfn.MAXIFS(Base!$A$3:$A$5001,Base!$B$3:$B$5001,F$232,Base!$A$3:$A$5001,"&gt;="&amp;$C$7,Base!$A$3:$A$5001,"&lt;="&amp;$B250,Base!$Z$3:$Z$5001,"&lt;&gt;"))))</f>
        <v>13</v>
      </c>
      <c r="G250">
        <f>IF($A250&gt;$B$9,"",IF(COUNTIFS(Base!$B$3:$B$5001,G$232,Base!$A$3:$A$5001,"&gt;="&amp;$C$7,Base!$A$3:$A$5001,"&lt;="&amp;$B250,Base!$Z$3:$Z$5001,"&lt;&gt;")=0,"",SUMIFS(Base!$Z$3:$Z$5001,Base!$B$3:$B$5001,G$232,Base!$A$3:$A$5001,_xlfn.MAXIFS(Base!$A$3:$A$5001,Base!$B$3:$B$5001,G$232,Base!$A$3:$A$5001,"&gt;="&amp;$C$7,Base!$A$3:$A$5001,"&lt;="&amp;$B250,Base!$Z$3:$Z$5001,"&lt;&gt;"))))</f>
        <v>12</v>
      </c>
      <c r="H250">
        <f>IF($A250&gt;$B$9,"",IF(COUNTIFS(Base!$B$3:$B$5001,H$232,Base!$A$3:$A$5001,"&gt;="&amp;$C$7,Base!$A$3:$A$5001,"&lt;="&amp;$B250,Base!$Z$3:$Z$5001,"&lt;&gt;")=0,"",SUMIFS(Base!$Z$3:$Z$5001,Base!$B$3:$B$5001,H$232,Base!$A$3:$A$5001,_xlfn.MAXIFS(Base!$A$3:$A$5001,Base!$B$3:$B$5001,H$232,Base!$A$3:$A$5001,"&gt;="&amp;$C$7,Base!$A$3:$A$5001,"&lt;="&amp;$B250,Base!$Z$3:$Z$5001,"&lt;&gt;"))))</f>
        <v>6</v>
      </c>
      <c r="I250">
        <f>IF($A250&gt;$B$9,"",IF(COUNTIFS(Base!$B$3:$B$5001,I$232,Base!$A$3:$A$5001,"&gt;="&amp;$C$7,Base!$A$3:$A$5001,"&lt;="&amp;$B250,Base!$Z$3:$Z$5001,"&lt;&gt;")=0,"",SUMIFS(Base!$Z$3:$Z$5001,Base!$B$3:$B$5001,I$232,Base!$A$3:$A$5001,_xlfn.MAXIFS(Base!$A$3:$A$5001,Base!$B$3:$B$5001,I$232,Base!$A$3:$A$5001,"&gt;="&amp;$C$7,Base!$A$3:$A$5001,"&lt;="&amp;$B250,Base!$Z$3:$Z$5001,"&lt;&gt;"))))</f>
        <v>5</v>
      </c>
      <c r="J250">
        <f>IF($A250&gt;$B$9,"",IF(COUNTIFS(Base!$B$3:$B$5001,J$232,Base!$A$3:$A$5001,"&gt;="&amp;$C$7,Base!$A$3:$A$5001,"&lt;="&amp;$B250,Base!$Z$3:$Z$5001,"&lt;&gt;")=0,"",SUMIFS(Base!$Z$3:$Z$5001,Base!$B$3:$B$5001,J$232,Base!$A$3:$A$5001,_xlfn.MAXIFS(Base!$A$3:$A$5001,Base!$B$3:$B$5001,J$232,Base!$A$3:$A$5001,"&gt;="&amp;$C$7,Base!$A$3:$A$5001,"&lt;="&amp;$B250,Base!$Z$3:$Z$5001,"&lt;&gt;"))))</f>
        <v>13</v>
      </c>
      <c r="K250">
        <f>IF($A250&gt;$B$9,"",IF(COUNTIFS(Base!$B$3:$B$5001,K$232,Base!$A$3:$A$5001,"&gt;="&amp;$C$7,Base!$A$3:$A$5001,"&lt;="&amp;$B250,Base!$Z$3:$Z$5001,"&lt;&gt;")=0,"",SUMIFS(Base!$Z$3:$Z$5001,Base!$B$3:$B$5001,K$232,Base!$A$3:$A$5001,_xlfn.MAXIFS(Base!$A$3:$A$5001,Base!$B$3:$B$5001,K$232,Base!$A$3:$A$5001,"&gt;="&amp;$C$7,Base!$A$3:$A$5001,"&lt;="&amp;$B250,Base!$Z$3:$Z$5001,"&lt;&gt;"))))</f>
        <v>6</v>
      </c>
    </row>
    <row r="251">
      <c r="A251">
        <v>19</v>
      </c>
      <c r="B251" s="152">
        <f>$B$30</f>
        <v>46284</v>
      </c>
      <c r="C251">
        <f>IF($A251&gt;$B$9,"",IF(COUNTIFS(Base!$B$3:$B$5001,C$232,Base!$A$3:$A$5001,"&gt;="&amp;$C$7,Base!$A$3:$A$5001,"&lt;="&amp;$B251,Base!$Z$3:$Z$5001,"&lt;&gt;")=0,"",SUMIFS(Base!$Z$3:$Z$5001,Base!$B$3:$B$5001,C$232,Base!$A$3:$A$5001,_xlfn.MAXIFS(Base!$A$3:$A$5001,Base!$B$3:$B$5001,C$232,Base!$A$3:$A$5001,"&gt;="&amp;$C$7,Base!$A$3:$A$5001,"&lt;="&amp;$B251,Base!$Z$3:$Z$5001,"&lt;&gt;"))))</f>
        <v>9</v>
      </c>
      <c r="D251">
        <f>IF($A251&gt;$B$9,"",IF(COUNTIFS(Base!$B$3:$B$5001,D$232,Base!$A$3:$A$5001,"&gt;="&amp;$C$7,Base!$A$3:$A$5001,"&lt;="&amp;$B251,Base!$Z$3:$Z$5001,"&lt;&gt;")=0,"",SUMIFS(Base!$Z$3:$Z$5001,Base!$B$3:$B$5001,D$232,Base!$A$3:$A$5001,_xlfn.MAXIFS(Base!$A$3:$A$5001,Base!$B$3:$B$5001,D$232,Base!$A$3:$A$5001,"&gt;="&amp;$C$7,Base!$A$3:$A$5001,"&lt;="&amp;$B251,Base!$Z$3:$Z$5001,"&lt;&gt;"))))</f>
        <v>8</v>
      </c>
      <c r="E251">
        <f>IF($A251&gt;$B$9,"",IF(COUNTIFS(Base!$B$3:$B$5001,E$232,Base!$A$3:$A$5001,"&gt;="&amp;$C$7,Base!$A$3:$A$5001,"&lt;="&amp;$B251,Base!$Z$3:$Z$5001,"&lt;&gt;")=0,"",SUMIFS(Base!$Z$3:$Z$5001,Base!$B$3:$B$5001,E$232,Base!$A$3:$A$5001,_xlfn.MAXIFS(Base!$A$3:$A$5001,Base!$B$3:$B$5001,E$232,Base!$A$3:$A$5001,"&gt;="&amp;$C$7,Base!$A$3:$A$5001,"&lt;="&amp;$B251,Base!$Z$3:$Z$5001,"&lt;&gt;"))))</f>
        <v>5</v>
      </c>
      <c r="F251">
        <f>IF($A251&gt;$B$9,"",IF(COUNTIFS(Base!$B$3:$B$5001,F$232,Base!$A$3:$A$5001,"&gt;="&amp;$C$7,Base!$A$3:$A$5001,"&lt;="&amp;$B251,Base!$Z$3:$Z$5001,"&lt;&gt;")=0,"",SUMIFS(Base!$Z$3:$Z$5001,Base!$B$3:$B$5001,F$232,Base!$A$3:$A$5001,_xlfn.MAXIFS(Base!$A$3:$A$5001,Base!$B$3:$B$5001,F$232,Base!$A$3:$A$5001,"&gt;="&amp;$C$7,Base!$A$3:$A$5001,"&lt;="&amp;$B251,Base!$Z$3:$Z$5001,"&lt;&gt;"))))</f>
        <v>6</v>
      </c>
      <c r="G251">
        <f>IF($A251&gt;$B$9,"",IF(COUNTIFS(Base!$B$3:$B$5001,G$232,Base!$A$3:$A$5001,"&gt;="&amp;$C$7,Base!$A$3:$A$5001,"&lt;="&amp;$B251,Base!$Z$3:$Z$5001,"&lt;&gt;")=0,"",SUMIFS(Base!$Z$3:$Z$5001,Base!$B$3:$B$5001,G$232,Base!$A$3:$A$5001,_xlfn.MAXIFS(Base!$A$3:$A$5001,Base!$B$3:$B$5001,G$232,Base!$A$3:$A$5001,"&gt;="&amp;$C$7,Base!$A$3:$A$5001,"&lt;="&amp;$B251,Base!$Z$3:$Z$5001,"&lt;&gt;"))))</f>
        <v>8</v>
      </c>
      <c r="H251">
        <f>IF($A251&gt;$B$9,"",IF(COUNTIFS(Base!$B$3:$B$5001,H$232,Base!$A$3:$A$5001,"&gt;="&amp;$C$7,Base!$A$3:$A$5001,"&lt;="&amp;$B251,Base!$Z$3:$Z$5001,"&lt;&gt;")=0,"",SUMIFS(Base!$Z$3:$Z$5001,Base!$B$3:$B$5001,H$232,Base!$A$3:$A$5001,_xlfn.MAXIFS(Base!$A$3:$A$5001,Base!$B$3:$B$5001,H$232,Base!$A$3:$A$5001,"&gt;="&amp;$C$7,Base!$A$3:$A$5001,"&lt;="&amp;$B251,Base!$Z$3:$Z$5001,"&lt;&gt;"))))</f>
        <v>13</v>
      </c>
      <c r="I251">
        <f>IF($A251&gt;$B$9,"",IF(COUNTIFS(Base!$B$3:$B$5001,I$232,Base!$A$3:$A$5001,"&gt;="&amp;$C$7,Base!$A$3:$A$5001,"&lt;="&amp;$B251,Base!$Z$3:$Z$5001,"&lt;&gt;")=0,"",SUMIFS(Base!$Z$3:$Z$5001,Base!$B$3:$B$5001,I$232,Base!$A$3:$A$5001,_xlfn.MAXIFS(Base!$A$3:$A$5001,Base!$B$3:$B$5001,I$232,Base!$A$3:$A$5001,"&gt;="&amp;$C$7,Base!$A$3:$A$5001,"&lt;="&amp;$B251,Base!$Z$3:$Z$5001,"&lt;&gt;"))))</f>
        <v>10</v>
      </c>
      <c r="J251">
        <f>IF($A251&gt;$B$9,"",IF(COUNTIFS(Base!$B$3:$B$5001,J$232,Base!$A$3:$A$5001,"&gt;="&amp;$C$7,Base!$A$3:$A$5001,"&lt;="&amp;$B251,Base!$Z$3:$Z$5001,"&lt;&gt;")=0,"",SUMIFS(Base!$Z$3:$Z$5001,Base!$B$3:$B$5001,J$232,Base!$A$3:$A$5001,_xlfn.MAXIFS(Base!$A$3:$A$5001,Base!$B$3:$B$5001,J$232,Base!$A$3:$A$5001,"&gt;="&amp;$C$7,Base!$A$3:$A$5001,"&lt;="&amp;$B251,Base!$Z$3:$Z$5001,"&lt;&gt;"))))</f>
        <v>12</v>
      </c>
      <c r="K251">
        <f>IF($A251&gt;$B$9,"",IF(COUNTIFS(Base!$B$3:$B$5001,K$232,Base!$A$3:$A$5001,"&gt;="&amp;$C$7,Base!$A$3:$A$5001,"&lt;="&amp;$B251,Base!$Z$3:$Z$5001,"&lt;&gt;")=0,"",SUMIFS(Base!$Z$3:$Z$5001,Base!$B$3:$B$5001,K$232,Base!$A$3:$A$5001,_xlfn.MAXIFS(Base!$A$3:$A$5001,Base!$B$3:$B$5001,K$232,Base!$A$3:$A$5001,"&gt;="&amp;$C$7,Base!$A$3:$A$5001,"&lt;="&amp;$B251,Base!$Z$3:$Z$5001,"&lt;&gt;"))))</f>
        <v>10</v>
      </c>
    </row>
    <row r="252">
      <c r="A252">
        <v>20</v>
      </c>
      <c r="B252" s="152">
        <f>$B$31</f>
        <v>46285</v>
      </c>
      <c r="C252">
        <f>IF($A252&gt;$B$9,"",IF(COUNTIFS(Base!$B$3:$B$5001,C$232,Base!$A$3:$A$5001,"&gt;="&amp;$C$7,Base!$A$3:$A$5001,"&lt;="&amp;$B252,Base!$Z$3:$Z$5001,"&lt;&gt;")=0,"",SUMIFS(Base!$Z$3:$Z$5001,Base!$B$3:$B$5001,C$232,Base!$A$3:$A$5001,_xlfn.MAXIFS(Base!$A$3:$A$5001,Base!$B$3:$B$5001,C$232,Base!$A$3:$A$5001,"&gt;="&amp;$C$7,Base!$A$3:$A$5001,"&lt;="&amp;$B252,Base!$Z$3:$Z$5001,"&lt;&gt;"))))</f>
        <v>9</v>
      </c>
      <c r="D252">
        <f>IF($A252&gt;$B$9,"",IF(COUNTIFS(Base!$B$3:$B$5001,D$232,Base!$A$3:$A$5001,"&gt;="&amp;$C$7,Base!$A$3:$A$5001,"&lt;="&amp;$B252,Base!$Z$3:$Z$5001,"&lt;&gt;")=0,"",SUMIFS(Base!$Z$3:$Z$5001,Base!$B$3:$B$5001,D$232,Base!$A$3:$A$5001,_xlfn.MAXIFS(Base!$A$3:$A$5001,Base!$B$3:$B$5001,D$232,Base!$A$3:$A$5001,"&gt;="&amp;$C$7,Base!$A$3:$A$5001,"&lt;="&amp;$B252,Base!$Z$3:$Z$5001,"&lt;&gt;"))))</f>
        <v>8</v>
      </c>
      <c r="E252">
        <f>IF($A252&gt;$B$9,"",IF(COUNTIFS(Base!$B$3:$B$5001,E$232,Base!$A$3:$A$5001,"&gt;="&amp;$C$7,Base!$A$3:$A$5001,"&lt;="&amp;$B252,Base!$Z$3:$Z$5001,"&lt;&gt;")=0,"",SUMIFS(Base!$Z$3:$Z$5001,Base!$B$3:$B$5001,E$232,Base!$A$3:$A$5001,_xlfn.MAXIFS(Base!$A$3:$A$5001,Base!$B$3:$B$5001,E$232,Base!$A$3:$A$5001,"&gt;="&amp;$C$7,Base!$A$3:$A$5001,"&lt;="&amp;$B252,Base!$Z$3:$Z$5001,"&lt;&gt;"))))</f>
        <v>5</v>
      </c>
      <c r="F252">
        <f>IF($A252&gt;$B$9,"",IF(COUNTIFS(Base!$B$3:$B$5001,F$232,Base!$A$3:$A$5001,"&gt;="&amp;$C$7,Base!$A$3:$A$5001,"&lt;="&amp;$B252,Base!$Z$3:$Z$5001,"&lt;&gt;")=0,"",SUMIFS(Base!$Z$3:$Z$5001,Base!$B$3:$B$5001,F$232,Base!$A$3:$A$5001,_xlfn.MAXIFS(Base!$A$3:$A$5001,Base!$B$3:$B$5001,F$232,Base!$A$3:$A$5001,"&gt;="&amp;$C$7,Base!$A$3:$A$5001,"&lt;="&amp;$B252,Base!$Z$3:$Z$5001,"&lt;&gt;"))))</f>
        <v>6</v>
      </c>
      <c r="G252">
        <f>IF($A252&gt;$B$9,"",IF(COUNTIFS(Base!$B$3:$B$5001,G$232,Base!$A$3:$A$5001,"&gt;="&amp;$C$7,Base!$A$3:$A$5001,"&lt;="&amp;$B252,Base!$Z$3:$Z$5001,"&lt;&gt;")=0,"",SUMIFS(Base!$Z$3:$Z$5001,Base!$B$3:$B$5001,G$232,Base!$A$3:$A$5001,_xlfn.MAXIFS(Base!$A$3:$A$5001,Base!$B$3:$B$5001,G$232,Base!$A$3:$A$5001,"&gt;="&amp;$C$7,Base!$A$3:$A$5001,"&lt;="&amp;$B252,Base!$Z$3:$Z$5001,"&lt;&gt;"))))</f>
        <v>8</v>
      </c>
      <c r="H252">
        <f>IF($A252&gt;$B$9,"",IF(COUNTIFS(Base!$B$3:$B$5001,H$232,Base!$A$3:$A$5001,"&gt;="&amp;$C$7,Base!$A$3:$A$5001,"&lt;="&amp;$B252,Base!$Z$3:$Z$5001,"&lt;&gt;")=0,"",SUMIFS(Base!$Z$3:$Z$5001,Base!$B$3:$B$5001,H$232,Base!$A$3:$A$5001,_xlfn.MAXIFS(Base!$A$3:$A$5001,Base!$B$3:$B$5001,H$232,Base!$A$3:$A$5001,"&gt;="&amp;$C$7,Base!$A$3:$A$5001,"&lt;="&amp;$B252,Base!$Z$3:$Z$5001,"&lt;&gt;"))))</f>
        <v>13</v>
      </c>
      <c r="I252">
        <f>IF($A252&gt;$B$9,"",IF(COUNTIFS(Base!$B$3:$B$5001,I$232,Base!$A$3:$A$5001,"&gt;="&amp;$C$7,Base!$A$3:$A$5001,"&lt;="&amp;$B252,Base!$Z$3:$Z$5001,"&lt;&gt;")=0,"",SUMIFS(Base!$Z$3:$Z$5001,Base!$B$3:$B$5001,I$232,Base!$A$3:$A$5001,_xlfn.MAXIFS(Base!$A$3:$A$5001,Base!$B$3:$B$5001,I$232,Base!$A$3:$A$5001,"&gt;="&amp;$C$7,Base!$A$3:$A$5001,"&lt;="&amp;$B252,Base!$Z$3:$Z$5001,"&lt;&gt;"))))</f>
        <v>10</v>
      </c>
      <c r="J252">
        <f>IF($A252&gt;$B$9,"",IF(COUNTIFS(Base!$B$3:$B$5001,J$232,Base!$A$3:$A$5001,"&gt;="&amp;$C$7,Base!$A$3:$A$5001,"&lt;="&amp;$B252,Base!$Z$3:$Z$5001,"&lt;&gt;")=0,"",SUMIFS(Base!$Z$3:$Z$5001,Base!$B$3:$B$5001,J$232,Base!$A$3:$A$5001,_xlfn.MAXIFS(Base!$A$3:$A$5001,Base!$B$3:$B$5001,J$232,Base!$A$3:$A$5001,"&gt;="&amp;$C$7,Base!$A$3:$A$5001,"&lt;="&amp;$B252,Base!$Z$3:$Z$5001,"&lt;&gt;"))))</f>
        <v>12</v>
      </c>
      <c r="K252">
        <f>IF($A252&gt;$B$9,"",IF(COUNTIFS(Base!$B$3:$B$5001,K$232,Base!$A$3:$A$5001,"&gt;="&amp;$C$7,Base!$A$3:$A$5001,"&lt;="&amp;$B252,Base!$Z$3:$Z$5001,"&lt;&gt;")=0,"",SUMIFS(Base!$Z$3:$Z$5001,Base!$B$3:$B$5001,K$232,Base!$A$3:$A$5001,_xlfn.MAXIFS(Base!$A$3:$A$5001,Base!$B$3:$B$5001,K$232,Base!$A$3:$A$5001,"&gt;="&amp;$C$7,Base!$A$3:$A$5001,"&lt;="&amp;$B252,Base!$Z$3:$Z$5001,"&lt;&gt;"))))</f>
        <v>10</v>
      </c>
    </row>
    <row r="253">
      <c r="A253">
        <v>21</v>
      </c>
      <c r="B253" s="152">
        <f>$B$32</f>
        <v>46286</v>
      </c>
      <c r="C253">
        <f>IF($A253&gt;$B$9,"",IF(COUNTIFS(Base!$B$3:$B$5001,C$232,Base!$A$3:$A$5001,"&gt;="&amp;$C$7,Base!$A$3:$A$5001,"&lt;="&amp;$B253,Base!$Z$3:$Z$5001,"&lt;&gt;")=0,"",SUMIFS(Base!$Z$3:$Z$5001,Base!$B$3:$B$5001,C$232,Base!$A$3:$A$5001,_xlfn.MAXIFS(Base!$A$3:$A$5001,Base!$B$3:$B$5001,C$232,Base!$A$3:$A$5001,"&gt;="&amp;$C$7,Base!$A$3:$A$5001,"&lt;="&amp;$B253,Base!$Z$3:$Z$5001,"&lt;&gt;"))))</f>
        <v>7</v>
      </c>
      <c r="D253">
        <f>IF($A253&gt;$B$9,"",IF(COUNTIFS(Base!$B$3:$B$5001,D$232,Base!$A$3:$A$5001,"&gt;="&amp;$C$7,Base!$A$3:$A$5001,"&lt;="&amp;$B253,Base!$Z$3:$Z$5001,"&lt;&gt;")=0,"",SUMIFS(Base!$Z$3:$Z$5001,Base!$B$3:$B$5001,D$232,Base!$A$3:$A$5001,_xlfn.MAXIFS(Base!$A$3:$A$5001,Base!$B$3:$B$5001,D$232,Base!$A$3:$A$5001,"&gt;="&amp;$C$7,Base!$A$3:$A$5001,"&lt;="&amp;$B253,Base!$Z$3:$Z$5001,"&lt;&gt;"))))</f>
        <v>6</v>
      </c>
      <c r="E253">
        <f>IF($A253&gt;$B$9,"",IF(COUNTIFS(Base!$B$3:$B$5001,E$232,Base!$A$3:$A$5001,"&gt;="&amp;$C$7,Base!$A$3:$A$5001,"&lt;="&amp;$B253,Base!$Z$3:$Z$5001,"&lt;&gt;")=0,"",SUMIFS(Base!$Z$3:$Z$5001,Base!$B$3:$B$5001,E$232,Base!$A$3:$A$5001,_xlfn.MAXIFS(Base!$A$3:$A$5001,Base!$B$3:$B$5001,E$232,Base!$A$3:$A$5001,"&gt;="&amp;$C$7,Base!$A$3:$A$5001,"&lt;="&amp;$B253,Base!$Z$3:$Z$5001,"&lt;&gt;"))))</f>
        <v>10</v>
      </c>
      <c r="F253">
        <f>IF($A253&gt;$B$9,"",IF(COUNTIFS(Base!$B$3:$B$5001,F$232,Base!$A$3:$A$5001,"&gt;="&amp;$C$7,Base!$A$3:$A$5001,"&lt;="&amp;$B253,Base!$Z$3:$Z$5001,"&lt;&gt;")=0,"",SUMIFS(Base!$Z$3:$Z$5001,Base!$B$3:$B$5001,F$232,Base!$A$3:$A$5001,_xlfn.MAXIFS(Base!$A$3:$A$5001,Base!$B$3:$B$5001,F$232,Base!$A$3:$A$5001,"&gt;="&amp;$C$7,Base!$A$3:$A$5001,"&lt;="&amp;$B253,Base!$Z$3:$Z$5001,"&lt;&gt;"))))</f>
        <v>5</v>
      </c>
      <c r="G253">
        <f>IF($A253&gt;$B$9,"",IF(COUNTIFS(Base!$B$3:$B$5001,G$232,Base!$A$3:$A$5001,"&gt;="&amp;$C$7,Base!$A$3:$A$5001,"&lt;="&amp;$B253,Base!$Z$3:$Z$5001,"&lt;&gt;")=0,"",SUMIFS(Base!$Z$3:$Z$5001,Base!$B$3:$B$5001,G$232,Base!$A$3:$A$5001,_xlfn.MAXIFS(Base!$A$3:$A$5001,Base!$B$3:$B$5001,G$232,Base!$A$3:$A$5001,"&gt;="&amp;$C$7,Base!$A$3:$A$5001,"&lt;="&amp;$B253,Base!$Z$3:$Z$5001,"&lt;&gt;"))))</f>
        <v>11</v>
      </c>
      <c r="H253">
        <f>IF($A253&gt;$B$9,"",IF(COUNTIFS(Base!$B$3:$B$5001,H$232,Base!$A$3:$A$5001,"&gt;="&amp;$C$7,Base!$A$3:$A$5001,"&lt;="&amp;$B253,Base!$Z$3:$Z$5001,"&lt;&gt;")=0,"",SUMIFS(Base!$Z$3:$Z$5001,Base!$B$3:$B$5001,H$232,Base!$A$3:$A$5001,_xlfn.MAXIFS(Base!$A$3:$A$5001,Base!$B$3:$B$5001,H$232,Base!$A$3:$A$5001,"&gt;="&amp;$C$7,Base!$A$3:$A$5001,"&lt;="&amp;$B253,Base!$Z$3:$Z$5001,"&lt;&gt;"))))</f>
        <v>11</v>
      </c>
      <c r="I253">
        <f>IF($A253&gt;$B$9,"",IF(COUNTIFS(Base!$B$3:$B$5001,I$232,Base!$A$3:$A$5001,"&gt;="&amp;$C$7,Base!$A$3:$A$5001,"&lt;="&amp;$B253,Base!$Z$3:$Z$5001,"&lt;&gt;")=0,"",SUMIFS(Base!$Z$3:$Z$5001,Base!$B$3:$B$5001,I$232,Base!$A$3:$A$5001,_xlfn.MAXIFS(Base!$A$3:$A$5001,Base!$B$3:$B$5001,I$232,Base!$A$3:$A$5001,"&gt;="&amp;$C$7,Base!$A$3:$A$5001,"&lt;="&amp;$B253,Base!$Z$3:$Z$5001,"&lt;&gt;"))))</f>
        <v>9</v>
      </c>
      <c r="J253">
        <f>IF($A253&gt;$B$9,"",IF(COUNTIFS(Base!$B$3:$B$5001,J$232,Base!$A$3:$A$5001,"&gt;="&amp;$C$7,Base!$A$3:$A$5001,"&lt;="&amp;$B253,Base!$Z$3:$Z$5001,"&lt;&gt;")=0,"",SUMIFS(Base!$Z$3:$Z$5001,Base!$B$3:$B$5001,J$232,Base!$A$3:$A$5001,_xlfn.MAXIFS(Base!$A$3:$A$5001,Base!$B$3:$B$5001,J$232,Base!$A$3:$A$5001,"&gt;="&amp;$C$7,Base!$A$3:$A$5001,"&lt;="&amp;$B253,Base!$Z$3:$Z$5001,"&lt;&gt;"))))</f>
        <v>8</v>
      </c>
      <c r="K253">
        <f>IF($A253&gt;$B$9,"",IF(COUNTIFS(Base!$B$3:$B$5001,K$232,Base!$A$3:$A$5001,"&gt;="&amp;$C$7,Base!$A$3:$A$5001,"&lt;="&amp;$B253,Base!$Z$3:$Z$5001,"&lt;&gt;")=0,"",SUMIFS(Base!$Z$3:$Z$5001,Base!$B$3:$B$5001,K$232,Base!$A$3:$A$5001,_xlfn.MAXIFS(Base!$A$3:$A$5001,Base!$B$3:$B$5001,K$232,Base!$A$3:$A$5001,"&gt;="&amp;$C$7,Base!$A$3:$A$5001,"&lt;="&amp;$B253,Base!$Z$3:$Z$5001,"&lt;&gt;"))))</f>
        <v>9</v>
      </c>
    </row>
    <row r="254">
      <c r="A254">
        <v>22</v>
      </c>
      <c r="B254" s="152">
        <f>$B$33</f>
        <v>46287</v>
      </c>
      <c r="C254">
        <f>IF($A254&gt;$B$9,"",IF(COUNTIFS(Base!$B$3:$B$5001,C$232,Base!$A$3:$A$5001,"&gt;="&amp;$C$7,Base!$A$3:$A$5001,"&lt;="&amp;$B254,Base!$Z$3:$Z$5001,"&lt;&gt;")=0,"",SUMIFS(Base!$Z$3:$Z$5001,Base!$B$3:$B$5001,C$232,Base!$A$3:$A$5001,_xlfn.MAXIFS(Base!$A$3:$A$5001,Base!$B$3:$B$5001,C$232,Base!$A$3:$A$5001,"&gt;="&amp;$C$7,Base!$A$3:$A$5001,"&lt;="&amp;$B254,Base!$Z$3:$Z$5001,"&lt;&gt;"))))</f>
        <v>12</v>
      </c>
      <c r="D254">
        <f>IF($A254&gt;$B$9,"",IF(COUNTIFS(Base!$B$3:$B$5001,D$232,Base!$A$3:$A$5001,"&gt;="&amp;$C$7,Base!$A$3:$A$5001,"&lt;="&amp;$B254,Base!$Z$3:$Z$5001,"&lt;&gt;")=0,"",SUMIFS(Base!$Z$3:$Z$5001,Base!$B$3:$B$5001,D$232,Base!$A$3:$A$5001,_xlfn.MAXIFS(Base!$A$3:$A$5001,Base!$B$3:$B$5001,D$232,Base!$A$3:$A$5001,"&gt;="&amp;$C$7,Base!$A$3:$A$5001,"&lt;="&amp;$B254,Base!$Z$3:$Z$5001,"&lt;&gt;"))))</f>
        <v>11</v>
      </c>
      <c r="E254">
        <f>IF($A254&gt;$B$9,"",IF(COUNTIFS(Base!$B$3:$B$5001,E$232,Base!$A$3:$A$5001,"&gt;="&amp;$C$7,Base!$A$3:$A$5001,"&lt;="&amp;$B254,Base!$Z$3:$Z$5001,"&lt;&gt;")=0,"",SUMIFS(Base!$Z$3:$Z$5001,Base!$B$3:$B$5001,E$232,Base!$A$3:$A$5001,_xlfn.MAXIFS(Base!$A$3:$A$5001,Base!$B$3:$B$5001,E$232,Base!$A$3:$A$5001,"&gt;="&amp;$C$7,Base!$A$3:$A$5001,"&lt;="&amp;$B254,Base!$Z$3:$Z$5001,"&lt;&gt;"))))</f>
        <v>6</v>
      </c>
      <c r="F254">
        <f>IF($A254&gt;$B$9,"",IF(COUNTIFS(Base!$B$3:$B$5001,F$232,Base!$A$3:$A$5001,"&gt;="&amp;$C$7,Base!$A$3:$A$5001,"&lt;="&amp;$B254,Base!$Z$3:$Z$5001,"&lt;&gt;")=0,"",SUMIFS(Base!$Z$3:$Z$5001,Base!$B$3:$B$5001,F$232,Base!$A$3:$A$5001,_xlfn.MAXIFS(Base!$A$3:$A$5001,Base!$B$3:$B$5001,F$232,Base!$A$3:$A$5001,"&gt;="&amp;$C$7,Base!$A$3:$A$5001,"&lt;="&amp;$B254,Base!$Z$3:$Z$5001,"&lt;&gt;"))))</f>
        <v>8</v>
      </c>
      <c r="G254">
        <f>IF($A254&gt;$B$9,"",IF(COUNTIFS(Base!$B$3:$B$5001,G$232,Base!$A$3:$A$5001,"&gt;="&amp;$C$7,Base!$A$3:$A$5001,"&lt;="&amp;$B254,Base!$Z$3:$Z$5001,"&lt;&gt;")=0,"",SUMIFS(Base!$Z$3:$Z$5001,Base!$B$3:$B$5001,G$232,Base!$A$3:$A$5001,_xlfn.MAXIFS(Base!$A$3:$A$5001,Base!$B$3:$B$5001,G$232,Base!$A$3:$A$5001,"&gt;="&amp;$C$7,Base!$A$3:$A$5001,"&lt;="&amp;$B254,Base!$Z$3:$Z$5001,"&lt;&gt;"))))</f>
        <v>8</v>
      </c>
      <c r="H254">
        <f>IF($A254&gt;$B$9,"",IF(COUNTIFS(Base!$B$3:$B$5001,H$232,Base!$A$3:$A$5001,"&gt;="&amp;$C$7,Base!$A$3:$A$5001,"&lt;="&amp;$B254,Base!$Z$3:$Z$5001,"&lt;&gt;")=0,"",SUMIFS(Base!$Z$3:$Z$5001,Base!$B$3:$B$5001,H$232,Base!$A$3:$A$5001,_xlfn.MAXIFS(Base!$A$3:$A$5001,Base!$B$3:$B$5001,H$232,Base!$A$3:$A$5001,"&gt;="&amp;$C$7,Base!$A$3:$A$5001,"&lt;="&amp;$B254,Base!$Z$3:$Z$5001,"&lt;&gt;"))))</f>
        <v>8</v>
      </c>
      <c r="I254">
        <f>IF($A254&gt;$B$9,"",IF(COUNTIFS(Base!$B$3:$B$5001,I$232,Base!$A$3:$A$5001,"&gt;="&amp;$C$7,Base!$A$3:$A$5001,"&lt;="&amp;$B254,Base!$Z$3:$Z$5001,"&lt;&gt;")=0,"",SUMIFS(Base!$Z$3:$Z$5001,Base!$B$3:$B$5001,I$232,Base!$A$3:$A$5001,_xlfn.MAXIFS(Base!$A$3:$A$5001,Base!$B$3:$B$5001,I$232,Base!$A$3:$A$5001,"&gt;="&amp;$C$7,Base!$A$3:$A$5001,"&lt;="&amp;$B254,Base!$Z$3:$Z$5001,"&lt;&gt;"))))</f>
        <v>13</v>
      </c>
      <c r="J254">
        <f>IF($A254&gt;$B$9,"",IF(COUNTIFS(Base!$B$3:$B$5001,J$232,Base!$A$3:$A$5001,"&gt;="&amp;$C$7,Base!$A$3:$A$5001,"&lt;="&amp;$B254,Base!$Z$3:$Z$5001,"&lt;&gt;")=0,"",SUMIFS(Base!$Z$3:$Z$5001,Base!$B$3:$B$5001,J$232,Base!$A$3:$A$5001,_xlfn.MAXIFS(Base!$A$3:$A$5001,Base!$B$3:$B$5001,J$232,Base!$A$3:$A$5001,"&gt;="&amp;$C$7,Base!$A$3:$A$5001,"&lt;="&amp;$B254,Base!$Z$3:$Z$5001,"&lt;&gt;"))))</f>
        <v>7</v>
      </c>
      <c r="K254">
        <f>IF($A254&gt;$B$9,"",IF(COUNTIFS(Base!$B$3:$B$5001,K$232,Base!$A$3:$A$5001,"&gt;="&amp;$C$7,Base!$A$3:$A$5001,"&lt;="&amp;$B254,Base!$Z$3:$Z$5001,"&lt;&gt;")=0,"",SUMIFS(Base!$Z$3:$Z$5001,Base!$B$3:$B$5001,K$232,Base!$A$3:$A$5001,_xlfn.MAXIFS(Base!$A$3:$A$5001,Base!$B$3:$B$5001,K$232,Base!$A$3:$A$5001,"&gt;="&amp;$C$7,Base!$A$3:$A$5001,"&lt;="&amp;$B254,Base!$Z$3:$Z$5001,"&lt;&gt;"))))</f>
        <v>12</v>
      </c>
    </row>
    <row r="255">
      <c r="A255">
        <v>23</v>
      </c>
      <c r="B255" s="152">
        <f>$B$34</f>
        <v>46288</v>
      </c>
      <c r="C255">
        <f>IF($A255&gt;$B$9,"",IF(COUNTIFS(Base!$B$3:$B$5001,C$232,Base!$A$3:$A$5001,"&gt;="&amp;$C$7,Base!$A$3:$A$5001,"&lt;="&amp;$B255,Base!$Z$3:$Z$5001,"&lt;&gt;")=0,"",SUMIFS(Base!$Z$3:$Z$5001,Base!$B$3:$B$5001,C$232,Base!$A$3:$A$5001,_xlfn.MAXIFS(Base!$A$3:$A$5001,Base!$B$3:$B$5001,C$232,Base!$A$3:$A$5001,"&gt;="&amp;$C$7,Base!$A$3:$A$5001,"&lt;="&amp;$B255,Base!$Z$3:$Z$5001,"&lt;&gt;"))))</f>
        <v>9</v>
      </c>
      <c r="D255">
        <f>IF($A255&gt;$B$9,"",IF(COUNTIFS(Base!$B$3:$B$5001,D$232,Base!$A$3:$A$5001,"&gt;="&amp;$C$7,Base!$A$3:$A$5001,"&lt;="&amp;$B255,Base!$Z$3:$Z$5001,"&lt;&gt;")=0,"",SUMIFS(Base!$Z$3:$Z$5001,Base!$B$3:$B$5001,D$232,Base!$A$3:$A$5001,_xlfn.MAXIFS(Base!$A$3:$A$5001,Base!$B$3:$B$5001,D$232,Base!$A$3:$A$5001,"&gt;="&amp;$C$7,Base!$A$3:$A$5001,"&lt;="&amp;$B255,Base!$Z$3:$Z$5001,"&lt;&gt;"))))</f>
        <v>6</v>
      </c>
      <c r="E255">
        <f>IF($A255&gt;$B$9,"",IF(COUNTIFS(Base!$B$3:$B$5001,E$232,Base!$A$3:$A$5001,"&gt;="&amp;$C$7,Base!$A$3:$A$5001,"&lt;="&amp;$B255,Base!$Z$3:$Z$5001,"&lt;&gt;")=0,"",SUMIFS(Base!$Z$3:$Z$5001,Base!$B$3:$B$5001,E$232,Base!$A$3:$A$5001,_xlfn.MAXIFS(Base!$A$3:$A$5001,Base!$B$3:$B$5001,E$232,Base!$A$3:$A$5001,"&gt;="&amp;$C$7,Base!$A$3:$A$5001,"&lt;="&amp;$B255,Base!$Z$3:$Z$5001,"&lt;&gt;"))))</f>
        <v>11</v>
      </c>
      <c r="F255">
        <f>IF($A255&gt;$B$9,"",IF(COUNTIFS(Base!$B$3:$B$5001,F$232,Base!$A$3:$A$5001,"&gt;="&amp;$C$7,Base!$A$3:$A$5001,"&lt;="&amp;$B255,Base!$Z$3:$Z$5001,"&lt;&gt;")=0,"",SUMIFS(Base!$Z$3:$Z$5001,Base!$B$3:$B$5001,F$232,Base!$A$3:$A$5001,_xlfn.MAXIFS(Base!$A$3:$A$5001,Base!$B$3:$B$5001,F$232,Base!$A$3:$A$5001,"&gt;="&amp;$C$7,Base!$A$3:$A$5001,"&lt;="&amp;$B255,Base!$Z$3:$Z$5001,"&lt;&gt;"))))</f>
        <v>5</v>
      </c>
      <c r="G255">
        <f>IF($A255&gt;$B$9,"",IF(COUNTIFS(Base!$B$3:$B$5001,G$232,Base!$A$3:$A$5001,"&gt;="&amp;$C$7,Base!$A$3:$A$5001,"&lt;="&amp;$B255,Base!$Z$3:$Z$5001,"&lt;&gt;")=0,"",SUMIFS(Base!$Z$3:$Z$5001,Base!$B$3:$B$5001,G$232,Base!$A$3:$A$5001,_xlfn.MAXIFS(Base!$A$3:$A$5001,Base!$B$3:$B$5001,G$232,Base!$A$3:$A$5001,"&gt;="&amp;$C$7,Base!$A$3:$A$5001,"&lt;="&amp;$B255,Base!$Z$3:$Z$5001,"&lt;&gt;"))))</f>
        <v>9</v>
      </c>
      <c r="H255">
        <f>IF($A255&gt;$B$9,"",IF(COUNTIFS(Base!$B$3:$B$5001,H$232,Base!$A$3:$A$5001,"&gt;="&amp;$C$7,Base!$A$3:$A$5001,"&lt;="&amp;$B255,Base!$Z$3:$Z$5001,"&lt;&gt;")=0,"",SUMIFS(Base!$Z$3:$Z$5001,Base!$B$3:$B$5001,H$232,Base!$A$3:$A$5001,_xlfn.MAXIFS(Base!$A$3:$A$5001,Base!$B$3:$B$5001,H$232,Base!$A$3:$A$5001,"&gt;="&amp;$C$7,Base!$A$3:$A$5001,"&lt;="&amp;$B255,Base!$Z$3:$Z$5001,"&lt;&gt;"))))</f>
        <v>4</v>
      </c>
      <c r="I255">
        <f>IF($A255&gt;$B$9,"",IF(COUNTIFS(Base!$B$3:$B$5001,I$232,Base!$A$3:$A$5001,"&gt;="&amp;$C$7,Base!$A$3:$A$5001,"&lt;="&amp;$B255,Base!$Z$3:$Z$5001,"&lt;&gt;")=0,"",SUMIFS(Base!$Z$3:$Z$5001,Base!$B$3:$B$5001,I$232,Base!$A$3:$A$5001,_xlfn.MAXIFS(Base!$A$3:$A$5001,Base!$B$3:$B$5001,I$232,Base!$A$3:$A$5001,"&gt;="&amp;$C$7,Base!$A$3:$A$5001,"&lt;="&amp;$B255,Base!$Z$3:$Z$5001,"&lt;&gt;"))))</f>
        <v>4</v>
      </c>
      <c r="J255">
        <f>IF($A255&gt;$B$9,"",IF(COUNTIFS(Base!$B$3:$B$5001,J$232,Base!$A$3:$A$5001,"&gt;="&amp;$C$7,Base!$A$3:$A$5001,"&lt;="&amp;$B255,Base!$Z$3:$Z$5001,"&lt;&gt;")=0,"",SUMIFS(Base!$Z$3:$Z$5001,Base!$B$3:$B$5001,J$232,Base!$A$3:$A$5001,_xlfn.MAXIFS(Base!$A$3:$A$5001,Base!$B$3:$B$5001,J$232,Base!$A$3:$A$5001,"&gt;="&amp;$C$7,Base!$A$3:$A$5001,"&lt;="&amp;$B255,Base!$Z$3:$Z$5001,"&lt;&gt;"))))</f>
        <v>6</v>
      </c>
      <c r="K255">
        <f>IF($A255&gt;$B$9,"",IF(COUNTIFS(Base!$B$3:$B$5001,K$232,Base!$A$3:$A$5001,"&gt;="&amp;$C$7,Base!$A$3:$A$5001,"&lt;="&amp;$B255,Base!$Z$3:$Z$5001,"&lt;&gt;")=0,"",SUMIFS(Base!$Z$3:$Z$5001,Base!$B$3:$B$5001,K$232,Base!$A$3:$A$5001,_xlfn.MAXIFS(Base!$A$3:$A$5001,Base!$B$3:$B$5001,K$232,Base!$A$3:$A$5001,"&gt;="&amp;$C$7,Base!$A$3:$A$5001,"&lt;="&amp;$B255,Base!$Z$3:$Z$5001,"&lt;&gt;"))))</f>
        <v>4</v>
      </c>
    </row>
    <row r="256">
      <c r="A256">
        <v>24</v>
      </c>
      <c r="B256" s="152">
        <f>$B$35</f>
        <v>46289</v>
      </c>
      <c r="C256">
        <f>IF($A256&gt;$B$9,"",IF(COUNTIFS(Base!$B$3:$B$5001,C$232,Base!$A$3:$A$5001,"&gt;="&amp;$C$7,Base!$A$3:$A$5001,"&lt;="&amp;$B256,Base!$Z$3:$Z$5001,"&lt;&gt;")=0,"",SUMIFS(Base!$Z$3:$Z$5001,Base!$B$3:$B$5001,C$232,Base!$A$3:$A$5001,_xlfn.MAXIFS(Base!$A$3:$A$5001,Base!$B$3:$B$5001,C$232,Base!$A$3:$A$5001,"&gt;="&amp;$C$7,Base!$A$3:$A$5001,"&lt;="&amp;$B256,Base!$Z$3:$Z$5001,"&lt;&gt;"))))</f>
        <v>4</v>
      </c>
      <c r="D256">
        <f>IF($A256&gt;$B$9,"",IF(COUNTIFS(Base!$B$3:$B$5001,D$232,Base!$A$3:$A$5001,"&gt;="&amp;$C$7,Base!$A$3:$A$5001,"&lt;="&amp;$B256,Base!$Z$3:$Z$5001,"&lt;&gt;")=0,"",SUMIFS(Base!$Z$3:$Z$5001,Base!$B$3:$B$5001,D$232,Base!$A$3:$A$5001,_xlfn.MAXIFS(Base!$A$3:$A$5001,Base!$B$3:$B$5001,D$232,Base!$A$3:$A$5001,"&gt;="&amp;$C$7,Base!$A$3:$A$5001,"&lt;="&amp;$B256,Base!$Z$3:$Z$5001,"&lt;&gt;"))))</f>
        <v>5</v>
      </c>
      <c r="E256">
        <f>IF($A256&gt;$B$9,"",IF(COUNTIFS(Base!$B$3:$B$5001,E$232,Base!$A$3:$A$5001,"&gt;="&amp;$C$7,Base!$A$3:$A$5001,"&lt;="&amp;$B256,Base!$Z$3:$Z$5001,"&lt;&gt;")=0,"",SUMIFS(Base!$Z$3:$Z$5001,Base!$B$3:$B$5001,E$232,Base!$A$3:$A$5001,_xlfn.MAXIFS(Base!$A$3:$A$5001,Base!$B$3:$B$5001,E$232,Base!$A$3:$A$5001,"&gt;="&amp;$C$7,Base!$A$3:$A$5001,"&lt;="&amp;$B256,Base!$Z$3:$Z$5001,"&lt;&gt;"))))</f>
        <v>6</v>
      </c>
      <c r="F256">
        <f>IF($A256&gt;$B$9,"",IF(COUNTIFS(Base!$B$3:$B$5001,F$232,Base!$A$3:$A$5001,"&gt;="&amp;$C$7,Base!$A$3:$A$5001,"&lt;="&amp;$B256,Base!$Z$3:$Z$5001,"&lt;&gt;")=0,"",SUMIFS(Base!$Z$3:$Z$5001,Base!$B$3:$B$5001,F$232,Base!$A$3:$A$5001,_xlfn.MAXIFS(Base!$A$3:$A$5001,Base!$B$3:$B$5001,F$232,Base!$A$3:$A$5001,"&gt;="&amp;$C$7,Base!$A$3:$A$5001,"&lt;="&amp;$B256,Base!$Z$3:$Z$5001,"&lt;&gt;"))))</f>
        <v>12</v>
      </c>
      <c r="G256">
        <f>IF($A256&gt;$B$9,"",IF(COUNTIFS(Base!$B$3:$B$5001,G$232,Base!$A$3:$A$5001,"&gt;="&amp;$C$7,Base!$A$3:$A$5001,"&lt;="&amp;$B256,Base!$Z$3:$Z$5001,"&lt;&gt;")=0,"",SUMIFS(Base!$Z$3:$Z$5001,Base!$B$3:$B$5001,G$232,Base!$A$3:$A$5001,_xlfn.MAXIFS(Base!$A$3:$A$5001,Base!$B$3:$B$5001,G$232,Base!$A$3:$A$5001,"&gt;="&amp;$C$7,Base!$A$3:$A$5001,"&lt;="&amp;$B256,Base!$Z$3:$Z$5001,"&lt;&gt;"))))</f>
        <v>9</v>
      </c>
      <c r="H256">
        <f>IF($A256&gt;$B$9,"",IF(COUNTIFS(Base!$B$3:$B$5001,H$232,Base!$A$3:$A$5001,"&gt;="&amp;$C$7,Base!$A$3:$A$5001,"&lt;="&amp;$B256,Base!$Z$3:$Z$5001,"&lt;&gt;")=0,"",SUMIFS(Base!$Z$3:$Z$5001,Base!$B$3:$B$5001,H$232,Base!$A$3:$A$5001,_xlfn.MAXIFS(Base!$A$3:$A$5001,Base!$B$3:$B$5001,H$232,Base!$A$3:$A$5001,"&gt;="&amp;$C$7,Base!$A$3:$A$5001,"&lt;="&amp;$B256,Base!$Z$3:$Z$5001,"&lt;&gt;"))))</f>
        <v>9</v>
      </c>
      <c r="I256">
        <f>IF($A256&gt;$B$9,"",IF(COUNTIFS(Base!$B$3:$B$5001,I$232,Base!$A$3:$A$5001,"&gt;="&amp;$C$7,Base!$A$3:$A$5001,"&lt;="&amp;$B256,Base!$Z$3:$Z$5001,"&lt;&gt;")=0,"",SUMIFS(Base!$Z$3:$Z$5001,Base!$B$3:$B$5001,I$232,Base!$A$3:$A$5001,_xlfn.MAXIFS(Base!$A$3:$A$5001,Base!$B$3:$B$5001,I$232,Base!$A$3:$A$5001,"&gt;="&amp;$C$7,Base!$A$3:$A$5001,"&lt;="&amp;$B256,Base!$Z$3:$Z$5001,"&lt;&gt;"))))</f>
        <v>10</v>
      </c>
      <c r="J256">
        <f>IF($A256&gt;$B$9,"",IF(COUNTIFS(Base!$B$3:$B$5001,J$232,Base!$A$3:$A$5001,"&gt;="&amp;$C$7,Base!$A$3:$A$5001,"&lt;="&amp;$B256,Base!$Z$3:$Z$5001,"&lt;&gt;")=0,"",SUMIFS(Base!$Z$3:$Z$5001,Base!$B$3:$B$5001,J$232,Base!$A$3:$A$5001,_xlfn.MAXIFS(Base!$A$3:$A$5001,Base!$B$3:$B$5001,J$232,Base!$A$3:$A$5001,"&gt;="&amp;$C$7,Base!$A$3:$A$5001,"&lt;="&amp;$B256,Base!$Z$3:$Z$5001,"&lt;&gt;"))))</f>
        <v>14</v>
      </c>
      <c r="K256">
        <f>IF($A256&gt;$B$9,"",IF(COUNTIFS(Base!$B$3:$B$5001,K$232,Base!$A$3:$A$5001,"&gt;="&amp;$C$7,Base!$A$3:$A$5001,"&lt;="&amp;$B256,Base!$Z$3:$Z$5001,"&lt;&gt;")=0,"",SUMIFS(Base!$Z$3:$Z$5001,Base!$B$3:$B$5001,K$232,Base!$A$3:$A$5001,_xlfn.MAXIFS(Base!$A$3:$A$5001,Base!$B$3:$B$5001,K$232,Base!$A$3:$A$5001,"&gt;="&amp;$C$7,Base!$A$3:$A$5001,"&lt;="&amp;$B256,Base!$Z$3:$Z$5001,"&lt;&gt;"))))</f>
        <v>13</v>
      </c>
    </row>
    <row r="257">
      <c r="A257">
        <v>25</v>
      </c>
      <c r="B257" s="152">
        <f>$B$36</f>
        <v>46290</v>
      </c>
      <c r="C257">
        <f>IF($A257&gt;$B$9,"",IF(COUNTIFS(Base!$B$3:$B$5001,C$232,Base!$A$3:$A$5001,"&gt;="&amp;$C$7,Base!$A$3:$A$5001,"&lt;="&amp;$B257,Base!$Z$3:$Z$5001,"&lt;&gt;")=0,"",SUMIFS(Base!$Z$3:$Z$5001,Base!$B$3:$B$5001,C$232,Base!$A$3:$A$5001,_xlfn.MAXIFS(Base!$A$3:$A$5001,Base!$B$3:$B$5001,C$232,Base!$A$3:$A$5001,"&gt;="&amp;$C$7,Base!$A$3:$A$5001,"&lt;="&amp;$B257,Base!$Z$3:$Z$5001,"&lt;&gt;"))))</f>
        <v>10</v>
      </c>
      <c r="D257">
        <f>IF($A257&gt;$B$9,"",IF(COUNTIFS(Base!$B$3:$B$5001,D$232,Base!$A$3:$A$5001,"&gt;="&amp;$C$7,Base!$A$3:$A$5001,"&lt;="&amp;$B257,Base!$Z$3:$Z$5001,"&lt;&gt;")=0,"",SUMIFS(Base!$Z$3:$Z$5001,Base!$B$3:$B$5001,D$232,Base!$A$3:$A$5001,_xlfn.MAXIFS(Base!$A$3:$A$5001,Base!$B$3:$B$5001,D$232,Base!$A$3:$A$5001,"&gt;="&amp;$C$7,Base!$A$3:$A$5001,"&lt;="&amp;$B257,Base!$Z$3:$Z$5001,"&lt;&gt;"))))</f>
        <v>7</v>
      </c>
      <c r="E257">
        <f>IF($A257&gt;$B$9,"",IF(COUNTIFS(Base!$B$3:$B$5001,E$232,Base!$A$3:$A$5001,"&gt;="&amp;$C$7,Base!$A$3:$A$5001,"&lt;="&amp;$B257,Base!$Z$3:$Z$5001,"&lt;&gt;")=0,"",SUMIFS(Base!$Z$3:$Z$5001,Base!$B$3:$B$5001,E$232,Base!$A$3:$A$5001,_xlfn.MAXIFS(Base!$A$3:$A$5001,Base!$B$3:$B$5001,E$232,Base!$A$3:$A$5001,"&gt;="&amp;$C$7,Base!$A$3:$A$5001,"&lt;="&amp;$B257,Base!$Z$3:$Z$5001,"&lt;&gt;"))))</f>
        <v>11</v>
      </c>
      <c r="F257">
        <f>IF($A257&gt;$B$9,"",IF(COUNTIFS(Base!$B$3:$B$5001,F$232,Base!$A$3:$A$5001,"&gt;="&amp;$C$7,Base!$A$3:$A$5001,"&lt;="&amp;$B257,Base!$Z$3:$Z$5001,"&lt;&gt;")=0,"",SUMIFS(Base!$Z$3:$Z$5001,Base!$B$3:$B$5001,F$232,Base!$A$3:$A$5001,_xlfn.MAXIFS(Base!$A$3:$A$5001,Base!$B$3:$B$5001,F$232,Base!$A$3:$A$5001,"&gt;="&amp;$C$7,Base!$A$3:$A$5001,"&lt;="&amp;$B257,Base!$Z$3:$Z$5001,"&lt;&gt;"))))</f>
        <v>5</v>
      </c>
      <c r="G257">
        <f>IF($A257&gt;$B$9,"",IF(COUNTIFS(Base!$B$3:$B$5001,G$232,Base!$A$3:$A$5001,"&gt;="&amp;$C$7,Base!$A$3:$A$5001,"&lt;="&amp;$B257,Base!$Z$3:$Z$5001,"&lt;&gt;")=0,"",SUMIFS(Base!$Z$3:$Z$5001,Base!$B$3:$B$5001,G$232,Base!$A$3:$A$5001,_xlfn.MAXIFS(Base!$A$3:$A$5001,Base!$B$3:$B$5001,G$232,Base!$A$3:$A$5001,"&gt;="&amp;$C$7,Base!$A$3:$A$5001,"&lt;="&amp;$B257,Base!$Z$3:$Z$5001,"&lt;&gt;"))))</f>
        <v>9</v>
      </c>
      <c r="H257">
        <f>IF($A257&gt;$B$9,"",IF(COUNTIFS(Base!$B$3:$B$5001,H$232,Base!$A$3:$A$5001,"&gt;="&amp;$C$7,Base!$A$3:$A$5001,"&lt;="&amp;$B257,Base!$Z$3:$Z$5001,"&lt;&gt;")=0,"",SUMIFS(Base!$Z$3:$Z$5001,Base!$B$3:$B$5001,H$232,Base!$A$3:$A$5001,_xlfn.MAXIFS(Base!$A$3:$A$5001,Base!$B$3:$B$5001,H$232,Base!$A$3:$A$5001,"&gt;="&amp;$C$7,Base!$A$3:$A$5001,"&lt;="&amp;$B257,Base!$Z$3:$Z$5001,"&lt;&gt;"))))</f>
        <v>12</v>
      </c>
      <c r="I257">
        <f>IF($A257&gt;$B$9,"",IF(COUNTIFS(Base!$B$3:$B$5001,I$232,Base!$A$3:$A$5001,"&gt;="&amp;$C$7,Base!$A$3:$A$5001,"&lt;="&amp;$B257,Base!$Z$3:$Z$5001,"&lt;&gt;")=0,"",SUMIFS(Base!$Z$3:$Z$5001,Base!$B$3:$B$5001,I$232,Base!$A$3:$A$5001,_xlfn.MAXIFS(Base!$A$3:$A$5001,Base!$B$3:$B$5001,I$232,Base!$A$3:$A$5001,"&gt;="&amp;$C$7,Base!$A$3:$A$5001,"&lt;="&amp;$B257,Base!$Z$3:$Z$5001,"&lt;&gt;"))))</f>
        <v>9</v>
      </c>
      <c r="J257">
        <f>IF($A257&gt;$B$9,"",IF(COUNTIFS(Base!$B$3:$B$5001,J$232,Base!$A$3:$A$5001,"&gt;="&amp;$C$7,Base!$A$3:$A$5001,"&lt;="&amp;$B257,Base!$Z$3:$Z$5001,"&lt;&gt;")=0,"",SUMIFS(Base!$Z$3:$Z$5001,Base!$B$3:$B$5001,J$232,Base!$A$3:$A$5001,_xlfn.MAXIFS(Base!$A$3:$A$5001,Base!$B$3:$B$5001,J$232,Base!$A$3:$A$5001,"&gt;="&amp;$C$7,Base!$A$3:$A$5001,"&lt;="&amp;$B257,Base!$Z$3:$Z$5001,"&lt;&gt;"))))</f>
        <v>4</v>
      </c>
      <c r="K257">
        <f>IF($A257&gt;$B$9,"",IF(COUNTIFS(Base!$B$3:$B$5001,K$232,Base!$A$3:$A$5001,"&gt;="&amp;$C$7,Base!$A$3:$A$5001,"&lt;="&amp;$B257,Base!$Z$3:$Z$5001,"&lt;&gt;")=0,"",SUMIFS(Base!$Z$3:$Z$5001,Base!$B$3:$B$5001,K$232,Base!$A$3:$A$5001,_xlfn.MAXIFS(Base!$A$3:$A$5001,Base!$B$3:$B$5001,K$232,Base!$A$3:$A$5001,"&gt;="&amp;$C$7,Base!$A$3:$A$5001,"&lt;="&amp;$B257,Base!$Z$3:$Z$5001,"&lt;&gt;"))))</f>
        <v>7</v>
      </c>
    </row>
    <row r="258">
      <c r="A258">
        <v>26</v>
      </c>
      <c r="B258" s="152">
        <f>$B$37</f>
        <v>46291</v>
      </c>
      <c r="C258">
        <f>IF($A258&gt;$B$9,"",IF(COUNTIFS(Base!$B$3:$B$5001,C$232,Base!$A$3:$A$5001,"&gt;="&amp;$C$7,Base!$A$3:$A$5001,"&lt;="&amp;$B258,Base!$Z$3:$Z$5001,"&lt;&gt;")=0,"",SUMIFS(Base!$Z$3:$Z$5001,Base!$B$3:$B$5001,C$232,Base!$A$3:$A$5001,_xlfn.MAXIFS(Base!$A$3:$A$5001,Base!$B$3:$B$5001,C$232,Base!$A$3:$A$5001,"&gt;="&amp;$C$7,Base!$A$3:$A$5001,"&lt;="&amp;$B258,Base!$Z$3:$Z$5001,"&lt;&gt;"))))</f>
        <v>10</v>
      </c>
      <c r="D258">
        <f>IF($A258&gt;$B$9,"",IF(COUNTIFS(Base!$B$3:$B$5001,D$232,Base!$A$3:$A$5001,"&gt;="&amp;$C$7,Base!$A$3:$A$5001,"&lt;="&amp;$B258,Base!$Z$3:$Z$5001,"&lt;&gt;")=0,"",SUMIFS(Base!$Z$3:$Z$5001,Base!$B$3:$B$5001,D$232,Base!$A$3:$A$5001,_xlfn.MAXIFS(Base!$A$3:$A$5001,Base!$B$3:$B$5001,D$232,Base!$A$3:$A$5001,"&gt;="&amp;$C$7,Base!$A$3:$A$5001,"&lt;="&amp;$B258,Base!$Z$3:$Z$5001,"&lt;&gt;"))))</f>
        <v>11</v>
      </c>
      <c r="E258">
        <f>IF($A258&gt;$B$9,"",IF(COUNTIFS(Base!$B$3:$B$5001,E$232,Base!$A$3:$A$5001,"&gt;="&amp;$C$7,Base!$A$3:$A$5001,"&lt;="&amp;$B258,Base!$Z$3:$Z$5001,"&lt;&gt;")=0,"",SUMIFS(Base!$Z$3:$Z$5001,Base!$B$3:$B$5001,E$232,Base!$A$3:$A$5001,_xlfn.MAXIFS(Base!$A$3:$A$5001,Base!$B$3:$B$5001,E$232,Base!$A$3:$A$5001,"&gt;="&amp;$C$7,Base!$A$3:$A$5001,"&lt;="&amp;$B258,Base!$Z$3:$Z$5001,"&lt;&gt;"))))</f>
        <v>12</v>
      </c>
      <c r="F258">
        <f>IF($A258&gt;$B$9,"",IF(COUNTIFS(Base!$B$3:$B$5001,F$232,Base!$A$3:$A$5001,"&gt;="&amp;$C$7,Base!$A$3:$A$5001,"&lt;="&amp;$B258,Base!$Z$3:$Z$5001,"&lt;&gt;")=0,"",SUMIFS(Base!$Z$3:$Z$5001,Base!$B$3:$B$5001,F$232,Base!$A$3:$A$5001,_xlfn.MAXIFS(Base!$A$3:$A$5001,Base!$B$3:$B$5001,F$232,Base!$A$3:$A$5001,"&gt;="&amp;$C$7,Base!$A$3:$A$5001,"&lt;="&amp;$B258,Base!$Z$3:$Z$5001,"&lt;&gt;"))))</f>
        <v>9</v>
      </c>
      <c r="G258">
        <f>IF($A258&gt;$B$9,"",IF(COUNTIFS(Base!$B$3:$B$5001,G$232,Base!$A$3:$A$5001,"&gt;="&amp;$C$7,Base!$A$3:$A$5001,"&lt;="&amp;$B258,Base!$Z$3:$Z$5001,"&lt;&gt;")=0,"",SUMIFS(Base!$Z$3:$Z$5001,Base!$B$3:$B$5001,G$232,Base!$A$3:$A$5001,_xlfn.MAXIFS(Base!$A$3:$A$5001,Base!$B$3:$B$5001,G$232,Base!$A$3:$A$5001,"&gt;="&amp;$C$7,Base!$A$3:$A$5001,"&lt;="&amp;$B258,Base!$Z$3:$Z$5001,"&lt;&gt;"))))</f>
        <v>11</v>
      </c>
      <c r="H258">
        <f>IF($A258&gt;$B$9,"",IF(COUNTIFS(Base!$B$3:$B$5001,H$232,Base!$A$3:$A$5001,"&gt;="&amp;$C$7,Base!$A$3:$A$5001,"&lt;="&amp;$B258,Base!$Z$3:$Z$5001,"&lt;&gt;")=0,"",SUMIFS(Base!$Z$3:$Z$5001,Base!$B$3:$B$5001,H$232,Base!$A$3:$A$5001,_xlfn.MAXIFS(Base!$A$3:$A$5001,Base!$B$3:$B$5001,H$232,Base!$A$3:$A$5001,"&gt;="&amp;$C$7,Base!$A$3:$A$5001,"&lt;="&amp;$B258,Base!$Z$3:$Z$5001,"&lt;&gt;"))))</f>
        <v>6</v>
      </c>
      <c r="I258">
        <f>IF($A258&gt;$B$9,"",IF(COUNTIFS(Base!$B$3:$B$5001,I$232,Base!$A$3:$A$5001,"&gt;="&amp;$C$7,Base!$A$3:$A$5001,"&lt;="&amp;$B258,Base!$Z$3:$Z$5001,"&lt;&gt;")=0,"",SUMIFS(Base!$Z$3:$Z$5001,Base!$B$3:$B$5001,I$232,Base!$A$3:$A$5001,_xlfn.MAXIFS(Base!$A$3:$A$5001,Base!$B$3:$B$5001,I$232,Base!$A$3:$A$5001,"&gt;="&amp;$C$7,Base!$A$3:$A$5001,"&lt;="&amp;$B258,Base!$Z$3:$Z$5001,"&lt;&gt;"))))</f>
        <v>9</v>
      </c>
      <c r="J258">
        <f>IF($A258&gt;$B$9,"",IF(COUNTIFS(Base!$B$3:$B$5001,J$232,Base!$A$3:$A$5001,"&gt;="&amp;$C$7,Base!$A$3:$A$5001,"&lt;="&amp;$B258,Base!$Z$3:$Z$5001,"&lt;&gt;")=0,"",SUMIFS(Base!$Z$3:$Z$5001,Base!$B$3:$B$5001,J$232,Base!$A$3:$A$5001,_xlfn.MAXIFS(Base!$A$3:$A$5001,Base!$B$3:$B$5001,J$232,Base!$A$3:$A$5001,"&gt;="&amp;$C$7,Base!$A$3:$A$5001,"&lt;="&amp;$B258,Base!$Z$3:$Z$5001,"&lt;&gt;"))))</f>
        <v>6</v>
      </c>
      <c r="K258">
        <f>IF($A258&gt;$B$9,"",IF(COUNTIFS(Base!$B$3:$B$5001,K$232,Base!$A$3:$A$5001,"&gt;="&amp;$C$7,Base!$A$3:$A$5001,"&lt;="&amp;$B258,Base!$Z$3:$Z$5001,"&lt;&gt;")=0,"",SUMIFS(Base!$Z$3:$Z$5001,Base!$B$3:$B$5001,K$232,Base!$A$3:$A$5001,_xlfn.MAXIFS(Base!$A$3:$A$5001,Base!$B$3:$B$5001,K$232,Base!$A$3:$A$5001,"&gt;="&amp;$C$7,Base!$A$3:$A$5001,"&lt;="&amp;$B258,Base!$Z$3:$Z$5001,"&lt;&gt;"))))</f>
        <v>9</v>
      </c>
    </row>
    <row r="259">
      <c r="A259">
        <v>27</v>
      </c>
      <c r="B259" s="152">
        <f>$B$38</f>
        <v>46292</v>
      </c>
      <c r="C259">
        <f>IF($A259&gt;$B$9,"",IF(COUNTIFS(Base!$B$3:$B$5001,C$232,Base!$A$3:$A$5001,"&gt;="&amp;$C$7,Base!$A$3:$A$5001,"&lt;="&amp;$B259,Base!$Z$3:$Z$5001,"&lt;&gt;")=0,"",SUMIFS(Base!$Z$3:$Z$5001,Base!$B$3:$B$5001,C$232,Base!$A$3:$A$5001,_xlfn.MAXIFS(Base!$A$3:$A$5001,Base!$B$3:$B$5001,C$232,Base!$A$3:$A$5001,"&gt;="&amp;$C$7,Base!$A$3:$A$5001,"&lt;="&amp;$B259,Base!$Z$3:$Z$5001,"&lt;&gt;"))))</f>
        <v>10</v>
      </c>
      <c r="D259">
        <f>IF($A259&gt;$B$9,"",IF(COUNTIFS(Base!$B$3:$B$5001,D$232,Base!$A$3:$A$5001,"&gt;="&amp;$C$7,Base!$A$3:$A$5001,"&lt;="&amp;$B259,Base!$Z$3:$Z$5001,"&lt;&gt;")=0,"",SUMIFS(Base!$Z$3:$Z$5001,Base!$B$3:$B$5001,D$232,Base!$A$3:$A$5001,_xlfn.MAXIFS(Base!$A$3:$A$5001,Base!$B$3:$B$5001,D$232,Base!$A$3:$A$5001,"&gt;="&amp;$C$7,Base!$A$3:$A$5001,"&lt;="&amp;$B259,Base!$Z$3:$Z$5001,"&lt;&gt;"))))</f>
        <v>11</v>
      </c>
      <c r="E259">
        <f>IF($A259&gt;$B$9,"",IF(COUNTIFS(Base!$B$3:$B$5001,E$232,Base!$A$3:$A$5001,"&gt;="&amp;$C$7,Base!$A$3:$A$5001,"&lt;="&amp;$B259,Base!$Z$3:$Z$5001,"&lt;&gt;")=0,"",SUMIFS(Base!$Z$3:$Z$5001,Base!$B$3:$B$5001,E$232,Base!$A$3:$A$5001,_xlfn.MAXIFS(Base!$A$3:$A$5001,Base!$B$3:$B$5001,E$232,Base!$A$3:$A$5001,"&gt;="&amp;$C$7,Base!$A$3:$A$5001,"&lt;="&amp;$B259,Base!$Z$3:$Z$5001,"&lt;&gt;"))))</f>
        <v>12</v>
      </c>
      <c r="F259">
        <f>IF($A259&gt;$B$9,"",IF(COUNTIFS(Base!$B$3:$B$5001,F$232,Base!$A$3:$A$5001,"&gt;="&amp;$C$7,Base!$A$3:$A$5001,"&lt;="&amp;$B259,Base!$Z$3:$Z$5001,"&lt;&gt;")=0,"",SUMIFS(Base!$Z$3:$Z$5001,Base!$B$3:$B$5001,F$232,Base!$A$3:$A$5001,_xlfn.MAXIFS(Base!$A$3:$A$5001,Base!$B$3:$B$5001,F$232,Base!$A$3:$A$5001,"&gt;="&amp;$C$7,Base!$A$3:$A$5001,"&lt;="&amp;$B259,Base!$Z$3:$Z$5001,"&lt;&gt;"))))</f>
        <v>9</v>
      </c>
      <c r="G259">
        <f>IF($A259&gt;$B$9,"",IF(COUNTIFS(Base!$B$3:$B$5001,G$232,Base!$A$3:$A$5001,"&gt;="&amp;$C$7,Base!$A$3:$A$5001,"&lt;="&amp;$B259,Base!$Z$3:$Z$5001,"&lt;&gt;")=0,"",SUMIFS(Base!$Z$3:$Z$5001,Base!$B$3:$B$5001,G$232,Base!$A$3:$A$5001,_xlfn.MAXIFS(Base!$A$3:$A$5001,Base!$B$3:$B$5001,G$232,Base!$A$3:$A$5001,"&gt;="&amp;$C$7,Base!$A$3:$A$5001,"&lt;="&amp;$B259,Base!$Z$3:$Z$5001,"&lt;&gt;"))))</f>
        <v>11</v>
      </c>
      <c r="H259">
        <f>IF($A259&gt;$B$9,"",IF(COUNTIFS(Base!$B$3:$B$5001,H$232,Base!$A$3:$A$5001,"&gt;="&amp;$C$7,Base!$A$3:$A$5001,"&lt;="&amp;$B259,Base!$Z$3:$Z$5001,"&lt;&gt;")=0,"",SUMIFS(Base!$Z$3:$Z$5001,Base!$B$3:$B$5001,H$232,Base!$A$3:$A$5001,_xlfn.MAXIFS(Base!$A$3:$A$5001,Base!$B$3:$B$5001,H$232,Base!$A$3:$A$5001,"&gt;="&amp;$C$7,Base!$A$3:$A$5001,"&lt;="&amp;$B259,Base!$Z$3:$Z$5001,"&lt;&gt;"))))</f>
        <v>6</v>
      </c>
      <c r="I259">
        <f>IF($A259&gt;$B$9,"",IF(COUNTIFS(Base!$B$3:$B$5001,I$232,Base!$A$3:$A$5001,"&gt;="&amp;$C$7,Base!$A$3:$A$5001,"&lt;="&amp;$B259,Base!$Z$3:$Z$5001,"&lt;&gt;")=0,"",SUMIFS(Base!$Z$3:$Z$5001,Base!$B$3:$B$5001,I$232,Base!$A$3:$A$5001,_xlfn.MAXIFS(Base!$A$3:$A$5001,Base!$B$3:$B$5001,I$232,Base!$A$3:$A$5001,"&gt;="&amp;$C$7,Base!$A$3:$A$5001,"&lt;="&amp;$B259,Base!$Z$3:$Z$5001,"&lt;&gt;"))))</f>
        <v>9</v>
      </c>
      <c r="J259">
        <f>IF($A259&gt;$B$9,"",IF(COUNTIFS(Base!$B$3:$B$5001,J$232,Base!$A$3:$A$5001,"&gt;="&amp;$C$7,Base!$A$3:$A$5001,"&lt;="&amp;$B259,Base!$Z$3:$Z$5001,"&lt;&gt;")=0,"",SUMIFS(Base!$Z$3:$Z$5001,Base!$B$3:$B$5001,J$232,Base!$A$3:$A$5001,_xlfn.MAXIFS(Base!$A$3:$A$5001,Base!$B$3:$B$5001,J$232,Base!$A$3:$A$5001,"&gt;="&amp;$C$7,Base!$A$3:$A$5001,"&lt;="&amp;$B259,Base!$Z$3:$Z$5001,"&lt;&gt;"))))</f>
        <v>6</v>
      </c>
      <c r="K259">
        <f>IF($A259&gt;$B$9,"",IF(COUNTIFS(Base!$B$3:$B$5001,K$232,Base!$A$3:$A$5001,"&gt;="&amp;$C$7,Base!$A$3:$A$5001,"&lt;="&amp;$B259,Base!$Z$3:$Z$5001,"&lt;&gt;")=0,"",SUMIFS(Base!$Z$3:$Z$5001,Base!$B$3:$B$5001,K$232,Base!$A$3:$A$5001,_xlfn.MAXIFS(Base!$A$3:$A$5001,Base!$B$3:$B$5001,K$232,Base!$A$3:$A$5001,"&gt;="&amp;$C$7,Base!$A$3:$A$5001,"&lt;="&amp;$B259,Base!$Z$3:$Z$5001,"&lt;&gt;"))))</f>
        <v>9</v>
      </c>
    </row>
    <row r="260">
      <c r="A260">
        <v>28</v>
      </c>
      <c r="B260" s="152">
        <f>$B$39</f>
        <v>46293</v>
      </c>
      <c r="C260">
        <f>IF($A260&gt;$B$9,"",IF(COUNTIFS(Base!$B$3:$B$5001,C$232,Base!$A$3:$A$5001,"&gt;="&amp;$C$7,Base!$A$3:$A$5001,"&lt;="&amp;$B260,Base!$Z$3:$Z$5001,"&lt;&gt;")=0,"",SUMIFS(Base!$Z$3:$Z$5001,Base!$B$3:$B$5001,C$232,Base!$A$3:$A$5001,_xlfn.MAXIFS(Base!$A$3:$A$5001,Base!$B$3:$B$5001,C$232,Base!$A$3:$A$5001,"&gt;="&amp;$C$7,Base!$A$3:$A$5001,"&lt;="&amp;$B260,Base!$Z$3:$Z$5001,"&lt;&gt;"))))</f>
        <v>13</v>
      </c>
      <c r="D260">
        <f>IF($A260&gt;$B$9,"",IF(COUNTIFS(Base!$B$3:$B$5001,D$232,Base!$A$3:$A$5001,"&gt;="&amp;$C$7,Base!$A$3:$A$5001,"&lt;="&amp;$B260,Base!$Z$3:$Z$5001,"&lt;&gt;")=0,"",SUMIFS(Base!$Z$3:$Z$5001,Base!$B$3:$B$5001,D$232,Base!$A$3:$A$5001,_xlfn.MAXIFS(Base!$A$3:$A$5001,Base!$B$3:$B$5001,D$232,Base!$A$3:$A$5001,"&gt;="&amp;$C$7,Base!$A$3:$A$5001,"&lt;="&amp;$B260,Base!$Z$3:$Z$5001,"&lt;&gt;"))))</f>
        <v>4</v>
      </c>
      <c r="E260">
        <f>IF($A260&gt;$B$9,"",IF(COUNTIFS(Base!$B$3:$B$5001,E$232,Base!$A$3:$A$5001,"&gt;="&amp;$C$7,Base!$A$3:$A$5001,"&lt;="&amp;$B260,Base!$Z$3:$Z$5001,"&lt;&gt;")=0,"",SUMIFS(Base!$Z$3:$Z$5001,Base!$B$3:$B$5001,E$232,Base!$A$3:$A$5001,_xlfn.MAXIFS(Base!$A$3:$A$5001,Base!$B$3:$B$5001,E$232,Base!$A$3:$A$5001,"&gt;="&amp;$C$7,Base!$A$3:$A$5001,"&lt;="&amp;$B260,Base!$Z$3:$Z$5001,"&lt;&gt;"))))</f>
        <v>11</v>
      </c>
      <c r="F260">
        <f>IF($A260&gt;$B$9,"",IF(COUNTIFS(Base!$B$3:$B$5001,F$232,Base!$A$3:$A$5001,"&gt;="&amp;$C$7,Base!$A$3:$A$5001,"&lt;="&amp;$B260,Base!$Z$3:$Z$5001,"&lt;&gt;")=0,"",SUMIFS(Base!$Z$3:$Z$5001,Base!$B$3:$B$5001,F$232,Base!$A$3:$A$5001,_xlfn.MAXIFS(Base!$A$3:$A$5001,Base!$B$3:$B$5001,F$232,Base!$A$3:$A$5001,"&gt;="&amp;$C$7,Base!$A$3:$A$5001,"&lt;="&amp;$B260,Base!$Z$3:$Z$5001,"&lt;&gt;"))))</f>
        <v>6</v>
      </c>
      <c r="G260">
        <f>IF($A260&gt;$B$9,"",IF(COUNTIFS(Base!$B$3:$B$5001,G$232,Base!$A$3:$A$5001,"&gt;="&amp;$C$7,Base!$A$3:$A$5001,"&lt;="&amp;$B260,Base!$Z$3:$Z$5001,"&lt;&gt;")=0,"",SUMIFS(Base!$Z$3:$Z$5001,Base!$B$3:$B$5001,G$232,Base!$A$3:$A$5001,_xlfn.MAXIFS(Base!$A$3:$A$5001,Base!$B$3:$B$5001,G$232,Base!$A$3:$A$5001,"&gt;="&amp;$C$7,Base!$A$3:$A$5001,"&lt;="&amp;$B260,Base!$Z$3:$Z$5001,"&lt;&gt;"))))</f>
        <v>7</v>
      </c>
      <c r="H260">
        <f>IF($A260&gt;$B$9,"",IF(COUNTIFS(Base!$B$3:$B$5001,H$232,Base!$A$3:$A$5001,"&gt;="&amp;$C$7,Base!$A$3:$A$5001,"&lt;="&amp;$B260,Base!$Z$3:$Z$5001,"&lt;&gt;")=0,"",SUMIFS(Base!$Z$3:$Z$5001,Base!$B$3:$B$5001,H$232,Base!$A$3:$A$5001,_xlfn.MAXIFS(Base!$A$3:$A$5001,Base!$B$3:$B$5001,H$232,Base!$A$3:$A$5001,"&gt;="&amp;$C$7,Base!$A$3:$A$5001,"&lt;="&amp;$B260,Base!$Z$3:$Z$5001,"&lt;&gt;"))))</f>
        <v>9</v>
      </c>
      <c r="I260">
        <f>IF($A260&gt;$B$9,"",IF(COUNTIFS(Base!$B$3:$B$5001,I$232,Base!$A$3:$A$5001,"&gt;="&amp;$C$7,Base!$A$3:$A$5001,"&lt;="&amp;$B260,Base!$Z$3:$Z$5001,"&lt;&gt;")=0,"",SUMIFS(Base!$Z$3:$Z$5001,Base!$B$3:$B$5001,I$232,Base!$A$3:$A$5001,_xlfn.MAXIFS(Base!$A$3:$A$5001,Base!$B$3:$B$5001,I$232,Base!$A$3:$A$5001,"&gt;="&amp;$C$7,Base!$A$3:$A$5001,"&lt;="&amp;$B260,Base!$Z$3:$Z$5001,"&lt;&gt;"))))</f>
        <v>10</v>
      </c>
      <c r="J260">
        <f>IF($A260&gt;$B$9,"",IF(COUNTIFS(Base!$B$3:$B$5001,J$232,Base!$A$3:$A$5001,"&gt;="&amp;$C$7,Base!$A$3:$A$5001,"&lt;="&amp;$B260,Base!$Z$3:$Z$5001,"&lt;&gt;")=0,"",SUMIFS(Base!$Z$3:$Z$5001,Base!$B$3:$B$5001,J$232,Base!$A$3:$A$5001,_xlfn.MAXIFS(Base!$A$3:$A$5001,Base!$B$3:$B$5001,J$232,Base!$A$3:$A$5001,"&gt;="&amp;$C$7,Base!$A$3:$A$5001,"&lt;="&amp;$B260,Base!$Z$3:$Z$5001,"&lt;&gt;"))))</f>
        <v>11</v>
      </c>
      <c r="K260">
        <f>IF($A260&gt;$B$9,"",IF(COUNTIFS(Base!$B$3:$B$5001,K$232,Base!$A$3:$A$5001,"&gt;="&amp;$C$7,Base!$A$3:$A$5001,"&lt;="&amp;$B260,Base!$Z$3:$Z$5001,"&lt;&gt;")=0,"",SUMIFS(Base!$Z$3:$Z$5001,Base!$B$3:$B$5001,K$232,Base!$A$3:$A$5001,_xlfn.MAXIFS(Base!$A$3:$A$5001,Base!$B$3:$B$5001,K$232,Base!$A$3:$A$5001,"&gt;="&amp;$C$7,Base!$A$3:$A$5001,"&lt;="&amp;$B260,Base!$Z$3:$Z$5001,"&lt;&gt;"))))</f>
        <v>7</v>
      </c>
    </row>
    <row r="261">
      <c r="A261">
        <v>29</v>
      </c>
      <c r="B261" s="152">
        <f>$B$40</f>
        <v>46294</v>
      </c>
      <c r="C261">
        <f>IF($A261&gt;$B$9,"",IF(COUNTIFS(Base!$B$3:$B$5001,C$232,Base!$A$3:$A$5001,"&gt;="&amp;$C$7,Base!$A$3:$A$5001,"&lt;="&amp;$B261,Base!$Z$3:$Z$5001,"&lt;&gt;")=0,"",SUMIFS(Base!$Z$3:$Z$5001,Base!$B$3:$B$5001,C$232,Base!$A$3:$A$5001,_xlfn.MAXIFS(Base!$A$3:$A$5001,Base!$B$3:$B$5001,C$232,Base!$A$3:$A$5001,"&gt;="&amp;$C$7,Base!$A$3:$A$5001,"&lt;="&amp;$B261,Base!$Z$3:$Z$5001,"&lt;&gt;"))))</f>
        <v>6</v>
      </c>
      <c r="D261">
        <f>IF($A261&gt;$B$9,"",IF(COUNTIFS(Base!$B$3:$B$5001,D$232,Base!$A$3:$A$5001,"&gt;="&amp;$C$7,Base!$A$3:$A$5001,"&lt;="&amp;$B261,Base!$Z$3:$Z$5001,"&lt;&gt;")=0,"",SUMIFS(Base!$Z$3:$Z$5001,Base!$B$3:$B$5001,D$232,Base!$A$3:$A$5001,_xlfn.MAXIFS(Base!$A$3:$A$5001,Base!$B$3:$B$5001,D$232,Base!$A$3:$A$5001,"&gt;="&amp;$C$7,Base!$A$3:$A$5001,"&lt;="&amp;$B261,Base!$Z$3:$Z$5001,"&lt;&gt;"))))</f>
        <v>5</v>
      </c>
      <c r="E261">
        <f>IF($A261&gt;$B$9,"",IF(COUNTIFS(Base!$B$3:$B$5001,E$232,Base!$A$3:$A$5001,"&gt;="&amp;$C$7,Base!$A$3:$A$5001,"&lt;="&amp;$B261,Base!$Z$3:$Z$5001,"&lt;&gt;")=0,"",SUMIFS(Base!$Z$3:$Z$5001,Base!$B$3:$B$5001,E$232,Base!$A$3:$A$5001,_xlfn.MAXIFS(Base!$A$3:$A$5001,Base!$B$3:$B$5001,E$232,Base!$A$3:$A$5001,"&gt;="&amp;$C$7,Base!$A$3:$A$5001,"&lt;="&amp;$B261,Base!$Z$3:$Z$5001,"&lt;&gt;"))))</f>
        <v>9</v>
      </c>
      <c r="F261">
        <f>IF($A261&gt;$B$9,"",IF(COUNTIFS(Base!$B$3:$B$5001,F$232,Base!$A$3:$A$5001,"&gt;="&amp;$C$7,Base!$A$3:$A$5001,"&lt;="&amp;$B261,Base!$Z$3:$Z$5001,"&lt;&gt;")=0,"",SUMIFS(Base!$Z$3:$Z$5001,Base!$B$3:$B$5001,F$232,Base!$A$3:$A$5001,_xlfn.MAXIFS(Base!$A$3:$A$5001,Base!$B$3:$B$5001,F$232,Base!$A$3:$A$5001,"&gt;="&amp;$C$7,Base!$A$3:$A$5001,"&lt;="&amp;$B261,Base!$Z$3:$Z$5001,"&lt;&gt;"))))</f>
        <v>11</v>
      </c>
      <c r="G261">
        <f>IF($A261&gt;$B$9,"",IF(COUNTIFS(Base!$B$3:$B$5001,G$232,Base!$A$3:$A$5001,"&gt;="&amp;$C$7,Base!$A$3:$A$5001,"&lt;="&amp;$B261,Base!$Z$3:$Z$5001,"&lt;&gt;")=0,"",SUMIFS(Base!$Z$3:$Z$5001,Base!$B$3:$B$5001,G$232,Base!$A$3:$A$5001,_xlfn.MAXIFS(Base!$A$3:$A$5001,Base!$B$3:$B$5001,G$232,Base!$A$3:$A$5001,"&gt;="&amp;$C$7,Base!$A$3:$A$5001,"&lt;="&amp;$B261,Base!$Z$3:$Z$5001,"&lt;&gt;"))))</f>
        <v>6</v>
      </c>
      <c r="H261">
        <f>IF($A261&gt;$B$9,"",IF(COUNTIFS(Base!$B$3:$B$5001,H$232,Base!$A$3:$A$5001,"&gt;="&amp;$C$7,Base!$A$3:$A$5001,"&lt;="&amp;$B261,Base!$Z$3:$Z$5001,"&lt;&gt;")=0,"",SUMIFS(Base!$Z$3:$Z$5001,Base!$B$3:$B$5001,H$232,Base!$A$3:$A$5001,_xlfn.MAXIFS(Base!$A$3:$A$5001,Base!$B$3:$B$5001,H$232,Base!$A$3:$A$5001,"&gt;="&amp;$C$7,Base!$A$3:$A$5001,"&lt;="&amp;$B261,Base!$Z$3:$Z$5001,"&lt;&gt;"))))</f>
        <v>6</v>
      </c>
      <c r="I261">
        <f>IF($A261&gt;$B$9,"",IF(COUNTIFS(Base!$B$3:$B$5001,I$232,Base!$A$3:$A$5001,"&gt;="&amp;$C$7,Base!$A$3:$A$5001,"&lt;="&amp;$B261,Base!$Z$3:$Z$5001,"&lt;&gt;")=0,"",SUMIFS(Base!$Z$3:$Z$5001,Base!$B$3:$B$5001,I$232,Base!$A$3:$A$5001,_xlfn.MAXIFS(Base!$A$3:$A$5001,Base!$B$3:$B$5001,I$232,Base!$A$3:$A$5001,"&gt;="&amp;$C$7,Base!$A$3:$A$5001,"&lt;="&amp;$B261,Base!$Z$3:$Z$5001,"&lt;&gt;"))))</f>
        <v>7</v>
      </c>
      <c r="J261">
        <f>IF($A261&gt;$B$9,"",IF(COUNTIFS(Base!$B$3:$B$5001,J$232,Base!$A$3:$A$5001,"&gt;="&amp;$C$7,Base!$A$3:$A$5001,"&lt;="&amp;$B261,Base!$Z$3:$Z$5001,"&lt;&gt;")=0,"",SUMIFS(Base!$Z$3:$Z$5001,Base!$B$3:$B$5001,J$232,Base!$A$3:$A$5001,_xlfn.MAXIFS(Base!$A$3:$A$5001,Base!$B$3:$B$5001,J$232,Base!$A$3:$A$5001,"&gt;="&amp;$C$7,Base!$A$3:$A$5001,"&lt;="&amp;$B261,Base!$Z$3:$Z$5001,"&lt;&gt;"))))</f>
        <v>5</v>
      </c>
      <c r="K261">
        <f>IF($A261&gt;$B$9,"",IF(COUNTIFS(Base!$B$3:$B$5001,K$232,Base!$A$3:$A$5001,"&gt;="&amp;$C$7,Base!$A$3:$A$5001,"&lt;="&amp;$B261,Base!$Z$3:$Z$5001,"&lt;&gt;")=0,"",SUMIFS(Base!$Z$3:$Z$5001,Base!$B$3:$B$5001,K$232,Base!$A$3:$A$5001,_xlfn.MAXIFS(Base!$A$3:$A$5001,Base!$B$3:$B$5001,K$232,Base!$A$3:$A$5001,"&gt;="&amp;$C$7,Base!$A$3:$A$5001,"&lt;="&amp;$B261,Base!$Z$3:$Z$5001,"&lt;&gt;"))))</f>
        <v>14</v>
      </c>
    </row>
    <row r="262">
      <c r="A262">
        <v>30</v>
      </c>
      <c r="B262" s="152">
        <f>$B$41</f>
        <v>46295</v>
      </c>
      <c r="C262" t="str">
        <f>IF($A262&gt;$B$9,"",IF(COUNTIFS(Base!$B$3:$B$5001,C$232,Base!$A$3:$A$5001,"&gt;="&amp;$C$7,Base!$A$3:$A$5001,"&lt;="&amp;$B262,Base!$Z$3:$Z$5001,"&lt;&gt;")=0,"",SUMIFS(Base!$Z$3:$Z$5001,Base!$B$3:$B$5001,C$232,Base!$A$3:$A$5001,_xlfn.MAXIFS(Base!$A$3:$A$5001,Base!$B$3:$B$5001,C$232,Base!$A$3:$A$5001,"&gt;="&amp;$C$7,Base!$A$3:$A$5001,"&lt;="&amp;$B262,Base!$Z$3:$Z$5001,"&lt;&gt;"))))</f>
        <v/>
      </c>
      <c r="D262" t="str">
        <f>IF($A262&gt;$B$9,"",IF(COUNTIFS(Base!$B$3:$B$5001,D$232,Base!$A$3:$A$5001,"&gt;="&amp;$C$7,Base!$A$3:$A$5001,"&lt;="&amp;$B262,Base!$Z$3:$Z$5001,"&lt;&gt;")=0,"",SUMIFS(Base!$Z$3:$Z$5001,Base!$B$3:$B$5001,D$232,Base!$A$3:$A$5001,_xlfn.MAXIFS(Base!$A$3:$A$5001,Base!$B$3:$B$5001,D$232,Base!$A$3:$A$5001,"&gt;="&amp;$C$7,Base!$A$3:$A$5001,"&lt;="&amp;$B262,Base!$Z$3:$Z$5001,"&lt;&gt;"))))</f>
        <v/>
      </c>
      <c r="E262" t="str">
        <f>IF($A262&gt;$B$9,"",IF(COUNTIFS(Base!$B$3:$B$5001,E$232,Base!$A$3:$A$5001,"&gt;="&amp;$C$7,Base!$A$3:$A$5001,"&lt;="&amp;$B262,Base!$Z$3:$Z$5001,"&lt;&gt;")=0,"",SUMIFS(Base!$Z$3:$Z$5001,Base!$B$3:$B$5001,E$232,Base!$A$3:$A$5001,_xlfn.MAXIFS(Base!$A$3:$A$5001,Base!$B$3:$B$5001,E$232,Base!$A$3:$A$5001,"&gt;="&amp;$C$7,Base!$A$3:$A$5001,"&lt;="&amp;$B262,Base!$Z$3:$Z$5001,"&lt;&gt;"))))</f>
        <v/>
      </c>
      <c r="F262" t="str">
        <f>IF($A262&gt;$B$9,"",IF(COUNTIFS(Base!$B$3:$B$5001,F$232,Base!$A$3:$A$5001,"&gt;="&amp;$C$7,Base!$A$3:$A$5001,"&lt;="&amp;$B262,Base!$Z$3:$Z$5001,"&lt;&gt;")=0,"",SUMIFS(Base!$Z$3:$Z$5001,Base!$B$3:$B$5001,F$232,Base!$A$3:$A$5001,_xlfn.MAXIFS(Base!$A$3:$A$5001,Base!$B$3:$B$5001,F$232,Base!$A$3:$A$5001,"&gt;="&amp;$C$7,Base!$A$3:$A$5001,"&lt;="&amp;$B262,Base!$Z$3:$Z$5001,"&lt;&gt;"))))</f>
        <v/>
      </c>
      <c r="G262" t="str">
        <f>IF($A262&gt;$B$9,"",IF(COUNTIFS(Base!$B$3:$B$5001,G$232,Base!$A$3:$A$5001,"&gt;="&amp;$C$7,Base!$A$3:$A$5001,"&lt;="&amp;$B262,Base!$Z$3:$Z$5001,"&lt;&gt;")=0,"",SUMIFS(Base!$Z$3:$Z$5001,Base!$B$3:$B$5001,G$232,Base!$A$3:$A$5001,_xlfn.MAXIFS(Base!$A$3:$A$5001,Base!$B$3:$B$5001,G$232,Base!$A$3:$A$5001,"&gt;="&amp;$C$7,Base!$A$3:$A$5001,"&lt;="&amp;$B262,Base!$Z$3:$Z$5001,"&lt;&gt;"))))</f>
        <v/>
      </c>
      <c r="H262" t="str">
        <f>IF($A262&gt;$B$9,"",IF(COUNTIFS(Base!$B$3:$B$5001,H$232,Base!$A$3:$A$5001,"&gt;="&amp;$C$7,Base!$A$3:$A$5001,"&lt;="&amp;$B262,Base!$Z$3:$Z$5001,"&lt;&gt;")=0,"",SUMIFS(Base!$Z$3:$Z$5001,Base!$B$3:$B$5001,H$232,Base!$A$3:$A$5001,_xlfn.MAXIFS(Base!$A$3:$A$5001,Base!$B$3:$B$5001,H$232,Base!$A$3:$A$5001,"&gt;="&amp;$C$7,Base!$A$3:$A$5001,"&lt;="&amp;$B262,Base!$Z$3:$Z$5001,"&lt;&gt;"))))</f>
        <v/>
      </c>
      <c r="I262" t="str">
        <f>IF($A262&gt;$B$9,"",IF(COUNTIFS(Base!$B$3:$B$5001,I$232,Base!$A$3:$A$5001,"&gt;="&amp;$C$7,Base!$A$3:$A$5001,"&lt;="&amp;$B262,Base!$Z$3:$Z$5001,"&lt;&gt;")=0,"",SUMIFS(Base!$Z$3:$Z$5001,Base!$B$3:$B$5001,I$232,Base!$A$3:$A$5001,_xlfn.MAXIFS(Base!$A$3:$A$5001,Base!$B$3:$B$5001,I$232,Base!$A$3:$A$5001,"&gt;="&amp;$C$7,Base!$A$3:$A$5001,"&lt;="&amp;$B262,Base!$Z$3:$Z$5001,"&lt;&gt;"))))</f>
        <v/>
      </c>
      <c r="J262" t="str">
        <f>IF($A262&gt;$B$9,"",IF(COUNTIFS(Base!$B$3:$B$5001,J$232,Base!$A$3:$A$5001,"&gt;="&amp;$C$7,Base!$A$3:$A$5001,"&lt;="&amp;$B262,Base!$Z$3:$Z$5001,"&lt;&gt;")=0,"",SUMIFS(Base!$Z$3:$Z$5001,Base!$B$3:$B$5001,J$232,Base!$A$3:$A$5001,_xlfn.MAXIFS(Base!$A$3:$A$5001,Base!$B$3:$B$5001,J$232,Base!$A$3:$A$5001,"&gt;="&amp;$C$7,Base!$A$3:$A$5001,"&lt;="&amp;$B262,Base!$Z$3:$Z$5001,"&lt;&gt;"))))</f>
        <v/>
      </c>
      <c r="K262" t="str">
        <f>IF($A262&gt;$B$9,"",IF(COUNTIFS(Base!$B$3:$B$5001,K$232,Base!$A$3:$A$5001,"&gt;="&amp;$C$7,Base!$A$3:$A$5001,"&lt;="&amp;$B262,Base!$Z$3:$Z$5001,"&lt;&gt;")=0,"",SUMIFS(Base!$Z$3:$Z$5001,Base!$B$3:$B$5001,K$232,Base!$A$3:$A$5001,_xlfn.MAXIFS(Base!$A$3:$A$5001,Base!$B$3:$B$5001,K$232,Base!$A$3:$A$5001,"&gt;="&amp;$C$7,Base!$A$3:$A$5001,"&lt;="&amp;$B262,Base!$Z$3:$Z$5001,"&lt;&gt;"))))</f>
        <v/>
      </c>
    </row>
    <row r="263">
      <c r="A263">
        <v>31</v>
      </c>
      <c r="B263" s="152" t="str">
        <f>$B$42</f>
        <v/>
      </c>
      <c r="C263" t="str">
        <f>IF($A263&gt;$B$9,"",IF(COUNTIFS(Base!$B$3:$B$5001,C$232,Base!$A$3:$A$5001,"&gt;="&amp;$C$7,Base!$A$3:$A$5001,"&lt;="&amp;$B263,Base!$Z$3:$Z$5001,"&lt;&gt;")=0,"",SUMIFS(Base!$Z$3:$Z$5001,Base!$B$3:$B$5001,C$232,Base!$A$3:$A$5001,_xlfn.MAXIFS(Base!$A$3:$A$5001,Base!$B$3:$B$5001,C$232,Base!$A$3:$A$5001,"&gt;="&amp;$C$7,Base!$A$3:$A$5001,"&lt;="&amp;$B263,Base!$Z$3:$Z$5001,"&lt;&gt;"))))</f>
        <v/>
      </c>
      <c r="D263" t="str">
        <f>IF($A263&gt;$B$9,"",IF(COUNTIFS(Base!$B$3:$B$5001,D$232,Base!$A$3:$A$5001,"&gt;="&amp;$C$7,Base!$A$3:$A$5001,"&lt;="&amp;$B263,Base!$Z$3:$Z$5001,"&lt;&gt;")=0,"",SUMIFS(Base!$Z$3:$Z$5001,Base!$B$3:$B$5001,D$232,Base!$A$3:$A$5001,_xlfn.MAXIFS(Base!$A$3:$A$5001,Base!$B$3:$B$5001,D$232,Base!$A$3:$A$5001,"&gt;="&amp;$C$7,Base!$A$3:$A$5001,"&lt;="&amp;$B263,Base!$Z$3:$Z$5001,"&lt;&gt;"))))</f>
        <v/>
      </c>
      <c r="E263" t="str">
        <f>IF($A263&gt;$B$9,"",IF(COUNTIFS(Base!$B$3:$B$5001,E$232,Base!$A$3:$A$5001,"&gt;="&amp;$C$7,Base!$A$3:$A$5001,"&lt;="&amp;$B263,Base!$Z$3:$Z$5001,"&lt;&gt;")=0,"",SUMIFS(Base!$Z$3:$Z$5001,Base!$B$3:$B$5001,E$232,Base!$A$3:$A$5001,_xlfn.MAXIFS(Base!$A$3:$A$5001,Base!$B$3:$B$5001,E$232,Base!$A$3:$A$5001,"&gt;="&amp;$C$7,Base!$A$3:$A$5001,"&lt;="&amp;$B263,Base!$Z$3:$Z$5001,"&lt;&gt;"))))</f>
        <v/>
      </c>
      <c r="F263" t="str">
        <f>IF($A263&gt;$B$9,"",IF(COUNTIFS(Base!$B$3:$B$5001,F$232,Base!$A$3:$A$5001,"&gt;="&amp;$C$7,Base!$A$3:$A$5001,"&lt;="&amp;$B263,Base!$Z$3:$Z$5001,"&lt;&gt;")=0,"",SUMIFS(Base!$Z$3:$Z$5001,Base!$B$3:$B$5001,F$232,Base!$A$3:$A$5001,_xlfn.MAXIFS(Base!$A$3:$A$5001,Base!$B$3:$B$5001,F$232,Base!$A$3:$A$5001,"&gt;="&amp;$C$7,Base!$A$3:$A$5001,"&lt;="&amp;$B263,Base!$Z$3:$Z$5001,"&lt;&gt;"))))</f>
        <v/>
      </c>
      <c r="G263" t="str">
        <f>IF($A263&gt;$B$9,"",IF(COUNTIFS(Base!$B$3:$B$5001,G$232,Base!$A$3:$A$5001,"&gt;="&amp;$C$7,Base!$A$3:$A$5001,"&lt;="&amp;$B263,Base!$Z$3:$Z$5001,"&lt;&gt;")=0,"",SUMIFS(Base!$Z$3:$Z$5001,Base!$B$3:$B$5001,G$232,Base!$A$3:$A$5001,_xlfn.MAXIFS(Base!$A$3:$A$5001,Base!$B$3:$B$5001,G$232,Base!$A$3:$A$5001,"&gt;="&amp;$C$7,Base!$A$3:$A$5001,"&lt;="&amp;$B263,Base!$Z$3:$Z$5001,"&lt;&gt;"))))</f>
        <v/>
      </c>
      <c r="H263" t="str">
        <f>IF($A263&gt;$B$9,"",IF(COUNTIFS(Base!$B$3:$B$5001,H$232,Base!$A$3:$A$5001,"&gt;="&amp;$C$7,Base!$A$3:$A$5001,"&lt;="&amp;$B263,Base!$Z$3:$Z$5001,"&lt;&gt;")=0,"",SUMIFS(Base!$Z$3:$Z$5001,Base!$B$3:$B$5001,H$232,Base!$A$3:$A$5001,_xlfn.MAXIFS(Base!$A$3:$A$5001,Base!$B$3:$B$5001,H$232,Base!$A$3:$A$5001,"&gt;="&amp;$C$7,Base!$A$3:$A$5001,"&lt;="&amp;$B263,Base!$Z$3:$Z$5001,"&lt;&gt;"))))</f>
        <v/>
      </c>
      <c r="I263" t="str">
        <f>IF($A263&gt;$B$9,"",IF(COUNTIFS(Base!$B$3:$B$5001,I$232,Base!$A$3:$A$5001,"&gt;="&amp;$C$7,Base!$A$3:$A$5001,"&lt;="&amp;$B263,Base!$Z$3:$Z$5001,"&lt;&gt;")=0,"",SUMIFS(Base!$Z$3:$Z$5001,Base!$B$3:$B$5001,I$232,Base!$A$3:$A$5001,_xlfn.MAXIFS(Base!$A$3:$A$5001,Base!$B$3:$B$5001,I$232,Base!$A$3:$A$5001,"&gt;="&amp;$C$7,Base!$A$3:$A$5001,"&lt;="&amp;$B263,Base!$Z$3:$Z$5001,"&lt;&gt;"))))</f>
        <v/>
      </c>
      <c r="J263" t="str">
        <f>IF($A263&gt;$B$9,"",IF(COUNTIFS(Base!$B$3:$B$5001,J$232,Base!$A$3:$A$5001,"&gt;="&amp;$C$7,Base!$A$3:$A$5001,"&lt;="&amp;$B263,Base!$Z$3:$Z$5001,"&lt;&gt;")=0,"",SUMIFS(Base!$Z$3:$Z$5001,Base!$B$3:$B$5001,J$232,Base!$A$3:$A$5001,_xlfn.MAXIFS(Base!$A$3:$A$5001,Base!$B$3:$B$5001,J$232,Base!$A$3:$A$5001,"&gt;="&amp;$C$7,Base!$A$3:$A$5001,"&lt;="&amp;$B263,Base!$Z$3:$Z$5001,"&lt;&gt;"))))</f>
        <v/>
      </c>
      <c r="K263" t="str">
        <f>IF($A263&gt;$B$9,"",IF(COUNTIFS(Base!$B$3:$B$5001,K$232,Base!$A$3:$A$5001,"&gt;="&amp;$C$7,Base!$A$3:$A$5001,"&lt;="&amp;$B263,Base!$Z$3:$Z$5001,"&lt;&gt;")=0,"",SUMIFS(Base!$Z$3:$Z$5001,Base!$B$3:$B$5001,K$232,Base!$A$3:$A$5001,_xlfn.MAXIFS(Base!$A$3:$A$5001,Base!$B$3:$B$5001,K$232,Base!$A$3:$A$5001,"&gt;="&amp;$C$7,Base!$A$3:$A$5001,"&lt;="&amp;$B263,Base!$Z$3:$Z$5001,"&lt;&gt;"))))</f>
        <v/>
      </c>
    </row>
    <row r="264">
      <c r="A264" t="inlineStr">
        <is>
          <t xml:space="preserve">Mês anterior (último)</t>
        </is>
      </c>
      <c r="C264">
        <f>IF(COUNTIFS(Base!$B$3:$B$5001,C$232,Base!$A$3:$A$5001,"&gt;="&amp;$C$8,Base!$A$3:$A$5001,"&lt;="&amp;$D$8,Base!$Z$3:$Z$5001,"&lt;&gt;")=0,"",SUMIFS(Base!$Z$3:$Z$5001,Base!$B$3:$B$5001,C$232,Base!$A$3:$A$5001,_xlfn.MAXIFS(Base!$A$3:$A$5001,Base!$B$3:$B$5001,C$232,Base!$A$3:$A$5001,"&gt;="&amp;$C$8,Base!$A$3:$A$5001,"&lt;="&amp;$D$8,Base!$Z$3:$Z$5001,"&lt;&gt;")))</f>
        <v>5</v>
      </c>
      <c r="D264">
        <f>IF(COUNTIFS(Base!$B$3:$B$5001,D$232,Base!$A$3:$A$5001,"&gt;="&amp;$C$8,Base!$A$3:$A$5001,"&lt;="&amp;$D$8,Base!$Z$3:$Z$5001,"&lt;&gt;")=0,"",SUMIFS(Base!$Z$3:$Z$5001,Base!$B$3:$B$5001,D$232,Base!$A$3:$A$5001,_xlfn.MAXIFS(Base!$A$3:$A$5001,Base!$B$3:$B$5001,D$232,Base!$A$3:$A$5001,"&gt;="&amp;$C$8,Base!$A$3:$A$5001,"&lt;="&amp;$D$8,Base!$Z$3:$Z$5001,"&lt;&gt;")))</f>
        <v>14</v>
      </c>
      <c r="E264">
        <f>IF(COUNTIFS(Base!$B$3:$B$5001,E$232,Base!$A$3:$A$5001,"&gt;="&amp;$C$8,Base!$A$3:$A$5001,"&lt;="&amp;$D$8,Base!$Z$3:$Z$5001,"&lt;&gt;")=0,"",SUMIFS(Base!$Z$3:$Z$5001,Base!$B$3:$B$5001,E$232,Base!$A$3:$A$5001,_xlfn.MAXIFS(Base!$A$3:$A$5001,Base!$B$3:$B$5001,E$232,Base!$A$3:$A$5001,"&gt;="&amp;$C$8,Base!$A$3:$A$5001,"&lt;="&amp;$D$8,Base!$Z$3:$Z$5001,"&lt;&gt;")))</f>
        <v>11</v>
      </c>
      <c r="F264">
        <f>IF(COUNTIFS(Base!$B$3:$B$5001,F$232,Base!$A$3:$A$5001,"&gt;="&amp;$C$8,Base!$A$3:$A$5001,"&lt;="&amp;$D$8,Base!$Z$3:$Z$5001,"&lt;&gt;")=0,"",SUMIFS(Base!$Z$3:$Z$5001,Base!$B$3:$B$5001,F$232,Base!$A$3:$A$5001,_xlfn.MAXIFS(Base!$A$3:$A$5001,Base!$B$3:$B$5001,F$232,Base!$A$3:$A$5001,"&gt;="&amp;$C$8,Base!$A$3:$A$5001,"&lt;="&amp;$D$8,Base!$Z$3:$Z$5001,"&lt;&gt;")))</f>
        <v>13</v>
      </c>
      <c r="G264">
        <f>IF(COUNTIFS(Base!$B$3:$B$5001,G$232,Base!$A$3:$A$5001,"&gt;="&amp;$C$8,Base!$A$3:$A$5001,"&lt;="&amp;$D$8,Base!$Z$3:$Z$5001,"&lt;&gt;")=0,"",SUMIFS(Base!$Z$3:$Z$5001,Base!$B$3:$B$5001,G$232,Base!$A$3:$A$5001,_xlfn.MAXIFS(Base!$A$3:$A$5001,Base!$B$3:$B$5001,G$232,Base!$A$3:$A$5001,"&gt;="&amp;$C$8,Base!$A$3:$A$5001,"&lt;="&amp;$D$8,Base!$Z$3:$Z$5001,"&lt;&gt;")))</f>
        <v>5</v>
      </c>
      <c r="H264">
        <f>IF(COUNTIFS(Base!$B$3:$B$5001,H$232,Base!$A$3:$A$5001,"&gt;="&amp;$C$8,Base!$A$3:$A$5001,"&lt;="&amp;$D$8,Base!$Z$3:$Z$5001,"&lt;&gt;")=0,"",SUMIFS(Base!$Z$3:$Z$5001,Base!$B$3:$B$5001,H$232,Base!$A$3:$A$5001,_xlfn.MAXIFS(Base!$A$3:$A$5001,Base!$B$3:$B$5001,H$232,Base!$A$3:$A$5001,"&gt;="&amp;$C$8,Base!$A$3:$A$5001,"&lt;="&amp;$D$8,Base!$Z$3:$Z$5001,"&lt;&gt;")))</f>
        <v>7</v>
      </c>
      <c r="I264">
        <f>IF(COUNTIFS(Base!$B$3:$B$5001,I$232,Base!$A$3:$A$5001,"&gt;="&amp;$C$8,Base!$A$3:$A$5001,"&lt;="&amp;$D$8,Base!$Z$3:$Z$5001,"&lt;&gt;")=0,"",SUMIFS(Base!$Z$3:$Z$5001,Base!$B$3:$B$5001,I$232,Base!$A$3:$A$5001,_xlfn.MAXIFS(Base!$A$3:$A$5001,Base!$B$3:$B$5001,I$232,Base!$A$3:$A$5001,"&gt;="&amp;$C$8,Base!$A$3:$A$5001,"&lt;="&amp;$D$8,Base!$Z$3:$Z$5001,"&lt;&gt;")))</f>
        <v>6</v>
      </c>
      <c r="J264">
        <f>IF(COUNTIFS(Base!$B$3:$B$5001,J$232,Base!$A$3:$A$5001,"&gt;="&amp;$C$8,Base!$A$3:$A$5001,"&lt;="&amp;$D$8,Base!$Z$3:$Z$5001,"&lt;&gt;")=0,"",SUMIFS(Base!$Z$3:$Z$5001,Base!$B$3:$B$5001,J$232,Base!$A$3:$A$5001,_xlfn.MAXIFS(Base!$A$3:$A$5001,Base!$B$3:$B$5001,J$232,Base!$A$3:$A$5001,"&gt;="&amp;$C$8,Base!$A$3:$A$5001,"&lt;="&amp;$D$8,Base!$Z$3:$Z$5001,"&lt;&gt;")))</f>
        <v>12</v>
      </c>
      <c r="K264">
        <f>IF(COUNTIFS(Base!$B$3:$B$5001,K$232,Base!$A$3:$A$5001,"&gt;="&amp;$C$8,Base!$A$3:$A$5001,"&lt;="&amp;$D$8,Base!$Z$3:$Z$5001,"&lt;&gt;")=0,"",SUMIFS(Base!$Z$3:$Z$5001,Base!$B$3:$B$5001,K$232,Base!$A$3:$A$5001,_xlfn.MAXIFS(Base!$A$3:$A$5001,Base!$B$3:$B$5001,K$232,Base!$A$3:$A$5001,"&gt;="&amp;$C$8,Base!$A$3:$A$5001,"&lt;="&amp;$D$8,Base!$Z$3:$Z$5001,"&lt;&gt;")))</f>
        <v>6</v>
      </c>
    </row>
    <row r="268">
      <c r="A268" t="inlineStr">
        <is>
          <t xml:space="preserve">INDICADORES POR CLIENTE (x = o cliente usa o indicador; a Base acinzenta e bloqueia os demais)</t>
        </is>
      </c>
    </row>
    <row r="269">
      <c r="A269" s="145" t="inlineStr">
        <is>
          <t xml:space="preserve">Cliente</t>
        </is>
      </c>
      <c r="B269" s="145" t="inlineStr">
        <is>
          <t xml:space="preserve">IN Veículos Recebidos</t>
        </is>
      </c>
      <c r="C269" s="145" t="inlineStr">
        <is>
          <t xml:space="preserve">IN Pallets Movimentados</t>
        </is>
      </c>
      <c r="D269" s="145" t="inlineStr">
        <is>
          <t xml:space="preserve">IN Toneladas Movimentadas</t>
        </is>
      </c>
      <c r="E269" s="145" t="inlineStr">
        <is>
          <t xml:space="preserve">IN Caixas Movimentadas</t>
        </is>
      </c>
      <c r="F269" s="145" t="inlineStr">
        <is>
          <t xml:space="preserve">IN Itens Recebidos CX Mista</t>
        </is>
      </c>
      <c r="G269" s="145" t="inlineStr">
        <is>
          <t xml:space="preserve">IN Caixas Mistas Recebidas</t>
        </is>
      </c>
      <c r="H269" s="145" t="inlineStr">
        <is>
          <t xml:space="preserve">IN Caixas Fechadas</t>
        </is>
      </c>
      <c r="I269" s="145" t="inlineStr">
        <is>
          <t xml:space="preserve">IN Peças Movimentadas</t>
        </is>
      </c>
      <c r="J269" s="145" t="inlineStr">
        <is>
          <t xml:space="preserve">IN Linhas NF</t>
        </is>
      </c>
      <c r="K269" s="145" t="inlineStr">
        <is>
          <t xml:space="preserve">OUT Veículos Expedidos</t>
        </is>
      </c>
      <c r="L269" s="145" t="inlineStr">
        <is>
          <t xml:space="preserve">OUT Pallets Movimentados</t>
        </is>
      </c>
      <c r="M269" s="145" t="inlineStr">
        <is>
          <t xml:space="preserve">OUT Toneladas Movimentadas</t>
        </is>
      </c>
      <c r="N269" s="145" t="inlineStr">
        <is>
          <t xml:space="preserve">OUT Caixas Expedidas</t>
        </is>
      </c>
      <c r="O269" s="145" t="inlineStr">
        <is>
          <t xml:space="preserve">OUT Pedidos Expedidos</t>
        </is>
      </c>
      <c r="P269" s="145" t="inlineStr">
        <is>
          <t xml:space="preserve">OUT Pedidos Faturados</t>
        </is>
      </c>
      <c r="Q269" s="145" t="inlineStr">
        <is>
          <t xml:space="preserve">OUT Itens Expedidos</t>
        </is>
      </c>
      <c r="R269" s="145" t="inlineStr">
        <is>
          <t xml:space="preserve">OUT Peças Movimentadas</t>
        </is>
      </c>
      <c r="S269" s="145" t="inlineStr">
        <is>
          <t xml:space="preserve">OUT Linhas NF</t>
        </is>
      </c>
      <c r="T269" s="145" t="inlineStr">
        <is>
          <t xml:space="preserve">NC Incidentes</t>
        </is>
      </c>
      <c r="U269" s="145" t="inlineStr">
        <is>
          <t xml:space="preserve">NC No show</t>
        </is>
      </c>
      <c r="V269" s="145" t="inlineStr">
        <is>
          <t xml:space="preserve">NC Backlog</t>
        </is>
      </c>
      <c r="W269" s="145" t="inlineStr">
        <is>
          <t xml:space="preserve">Posições Disponíveis</t>
        </is>
      </c>
      <c r="X269" s="145" t="inlineStr">
        <is>
          <t xml:space="preserve">Posições Ocupadas</t>
        </is>
      </c>
      <c r="Y269" s="145" t="inlineStr">
        <is>
          <t xml:space="preserve">Efetivo</t>
        </is>
      </c>
      <c r="Z269" s="145" t="inlineStr">
        <is>
          <t xml:space="preserve">Falta</t>
        </is>
      </c>
      <c r="AA269" s="145" t="inlineStr">
        <is>
          <t xml:space="preserve">Folga</t>
        </is>
      </c>
      <c r="AB269" s="145" t="inlineStr">
        <is>
          <t xml:space="preserve">Férias</t>
        </is>
      </c>
      <c r="AC269" s="145" t="inlineStr">
        <is>
          <t xml:space="preserve">Desligamentos</t>
        </is>
      </c>
    </row>
    <row r="270">
      <c r="A270" t="inlineStr">
        <is>
          <t xml:space="preserve">BASF</t>
        </is>
      </c>
      <c r="B270" s="160" t="inlineStr">
        <is>
          <t xml:space="preserve">x</t>
        </is>
      </c>
      <c r="C270" s="160" t="inlineStr">
        <is>
          <t xml:space="preserve">x</t>
        </is>
      </c>
      <c r="D270" s="160" t="inlineStr">
        <is>
          <t xml:space="preserve">x</t>
        </is>
      </c>
      <c r="E270" s="160"/>
      <c r="F270" s="160"/>
      <c r="G270" s="160"/>
      <c r="H270" s="160"/>
      <c r="I270" s="160"/>
      <c r="J270" s="160"/>
      <c r="K270" s="160" t="inlineStr">
        <is>
          <t xml:space="preserve">x</t>
        </is>
      </c>
      <c r="L270" s="160" t="inlineStr">
        <is>
          <t xml:space="preserve">x</t>
        </is>
      </c>
      <c r="M270" s="160" t="inlineStr">
        <is>
          <t xml:space="preserve">x</t>
        </is>
      </c>
      <c r="N270" s="160"/>
      <c r="O270" s="160"/>
      <c r="P270" s="160"/>
      <c r="Q270" s="160"/>
      <c r="R270" s="160"/>
      <c r="S270" s="160"/>
      <c r="T270" s="160" t="inlineStr">
        <is>
          <t xml:space="preserve">x</t>
        </is>
      </c>
      <c r="U270" s="160" t="inlineStr">
        <is>
          <t xml:space="preserve">x</t>
        </is>
      </c>
      <c r="V270" s="160" t="inlineStr">
        <is>
          <t xml:space="preserve">x</t>
        </is>
      </c>
      <c r="W270" s="160" t="inlineStr">
        <is>
          <t xml:space="preserve">x</t>
        </is>
      </c>
      <c r="X270" s="160" t="inlineStr">
        <is>
          <t xml:space="preserve">x</t>
        </is>
      </c>
      <c r="Y270" s="160" t="inlineStr">
        <is>
          <t xml:space="preserve">x</t>
        </is>
      </c>
      <c r="Z270" s="160" t="inlineStr">
        <is>
          <t xml:space="preserve">x</t>
        </is>
      </c>
      <c r="AA270" s="160" t="inlineStr">
        <is>
          <t xml:space="preserve">x</t>
        </is>
      </c>
      <c r="AB270" s="160" t="inlineStr">
        <is>
          <t xml:space="preserve">x</t>
        </is>
      </c>
      <c r="AC270" s="160" t="inlineStr">
        <is>
          <t xml:space="preserve">x</t>
        </is>
      </c>
    </row>
    <row r="271">
      <c r="A271" t="inlineStr">
        <is>
          <t xml:space="preserve">BEAUTYBIZ</t>
        </is>
      </c>
      <c r="B271" s="160" t="inlineStr">
        <is>
          <t xml:space="preserve">x</t>
        </is>
      </c>
      <c r="C271" s="160" t="inlineStr">
        <is>
          <t xml:space="preserve">x</t>
        </is>
      </c>
      <c r="D271" s="160"/>
      <c r="E271" s="160" t="inlineStr">
        <is>
          <t xml:space="preserve">x</t>
        </is>
      </c>
      <c r="F271" s="160"/>
      <c r="G271" s="160"/>
      <c r="H271" s="160"/>
      <c r="I271" s="160"/>
      <c r="J271" s="160"/>
      <c r="K271" s="160" t="inlineStr">
        <is>
          <t xml:space="preserve">x</t>
        </is>
      </c>
      <c r="L271" s="160" t="inlineStr">
        <is>
          <t xml:space="preserve">x</t>
        </is>
      </c>
      <c r="M271" s="160"/>
      <c r="N271" s="160"/>
      <c r="O271" s="160" t="inlineStr">
        <is>
          <t xml:space="preserve">x</t>
        </is>
      </c>
      <c r="P271" s="160"/>
      <c r="Q271" s="160"/>
      <c r="R271" s="160"/>
      <c r="S271" s="160"/>
      <c r="T271" s="160" t="inlineStr">
        <is>
          <t xml:space="preserve">x</t>
        </is>
      </c>
      <c r="U271" s="160" t="inlineStr">
        <is>
          <t xml:space="preserve">x</t>
        </is>
      </c>
      <c r="V271" s="160" t="inlineStr">
        <is>
          <t xml:space="preserve">x</t>
        </is>
      </c>
      <c r="W271" s="160" t="inlineStr">
        <is>
          <t xml:space="preserve">x</t>
        </is>
      </c>
      <c r="X271" s="160" t="inlineStr">
        <is>
          <t xml:space="preserve">x</t>
        </is>
      </c>
      <c r="Y271" s="160" t="inlineStr">
        <is>
          <t xml:space="preserve">x</t>
        </is>
      </c>
      <c r="Z271" s="160" t="inlineStr">
        <is>
          <t xml:space="preserve">x</t>
        </is>
      </c>
      <c r="AA271" s="160" t="inlineStr">
        <is>
          <t xml:space="preserve">x</t>
        </is>
      </c>
      <c r="AB271" s="160" t="inlineStr">
        <is>
          <t xml:space="preserve">x</t>
        </is>
      </c>
      <c r="AC271" s="160" t="inlineStr">
        <is>
          <t xml:space="preserve">x</t>
        </is>
      </c>
    </row>
    <row r="272">
      <c r="A272" t="inlineStr">
        <is>
          <t xml:space="preserve">BOTICÁRIO</t>
        </is>
      </c>
      <c r="B272" s="160" t="inlineStr">
        <is>
          <t xml:space="preserve">x</t>
        </is>
      </c>
      <c r="C272" s="160"/>
      <c r="D272" s="160"/>
      <c r="E272" s="160"/>
      <c r="F272" s="160" t="inlineStr">
        <is>
          <t xml:space="preserve">x</t>
        </is>
      </c>
      <c r="G272" s="160" t="inlineStr">
        <is>
          <t xml:space="preserve">x</t>
        </is>
      </c>
      <c r="H272" s="160" t="inlineStr">
        <is>
          <t xml:space="preserve">x</t>
        </is>
      </c>
      <c r="I272" s="160"/>
      <c r="J272" s="160"/>
      <c r="K272" s="160" t="inlineStr">
        <is>
          <t xml:space="preserve">x</t>
        </is>
      </c>
      <c r="L272" s="160" t="inlineStr">
        <is>
          <t xml:space="preserve">x</t>
        </is>
      </c>
      <c r="M272" s="160"/>
      <c r="N272" s="160"/>
      <c r="O272" s="160"/>
      <c r="P272" s="160" t="inlineStr">
        <is>
          <t xml:space="preserve">x</t>
        </is>
      </c>
      <c r="Q272" s="160" t="inlineStr">
        <is>
          <t xml:space="preserve">x</t>
        </is>
      </c>
      <c r="R272" s="160"/>
      <c r="S272" s="160"/>
      <c r="T272" s="160" t="inlineStr">
        <is>
          <t xml:space="preserve">x</t>
        </is>
      </c>
      <c r="U272" s="160" t="inlineStr">
        <is>
          <t xml:space="preserve">x</t>
        </is>
      </c>
      <c r="V272" s="160" t="inlineStr">
        <is>
          <t xml:space="preserve">x</t>
        </is>
      </c>
      <c r="W272" s="160" t="inlineStr">
        <is>
          <t xml:space="preserve">x</t>
        </is>
      </c>
      <c r="X272" s="160" t="inlineStr">
        <is>
          <t xml:space="preserve">x</t>
        </is>
      </c>
      <c r="Y272" s="160" t="inlineStr">
        <is>
          <t xml:space="preserve">x</t>
        </is>
      </c>
      <c r="Z272" s="160" t="inlineStr">
        <is>
          <t xml:space="preserve">x</t>
        </is>
      </c>
      <c r="AA272" s="160" t="inlineStr">
        <is>
          <t xml:space="preserve">x</t>
        </is>
      </c>
      <c r="AB272" s="160" t="inlineStr">
        <is>
          <t xml:space="preserve">x</t>
        </is>
      </c>
      <c r="AC272" s="160" t="inlineStr">
        <is>
          <t xml:space="preserve">x</t>
        </is>
      </c>
    </row>
    <row r="273">
      <c r="A273" t="inlineStr">
        <is>
          <t xml:space="preserve">SUPPLY</t>
        </is>
      </c>
      <c r="B273" s="160" t="inlineStr">
        <is>
          <t xml:space="preserve">x</t>
        </is>
      </c>
      <c r="C273" s="160" t="inlineStr">
        <is>
          <t xml:space="preserve">x</t>
        </is>
      </c>
      <c r="D273" s="160" t="inlineStr">
        <is>
          <t xml:space="preserve">x</t>
        </is>
      </c>
      <c r="E273" s="160"/>
      <c r="F273" s="160"/>
      <c r="G273" s="160"/>
      <c r="H273" s="160"/>
      <c r="I273" s="160"/>
      <c r="J273" s="160"/>
      <c r="K273" s="160" t="inlineStr">
        <is>
          <t xml:space="preserve">x</t>
        </is>
      </c>
      <c r="L273" s="160" t="inlineStr">
        <is>
          <t xml:space="preserve">x</t>
        </is>
      </c>
      <c r="M273" s="160" t="inlineStr">
        <is>
          <t xml:space="preserve">x</t>
        </is>
      </c>
      <c r="N273" s="160"/>
      <c r="O273" s="160"/>
      <c r="P273" s="160"/>
      <c r="Q273" s="160"/>
      <c r="R273" s="160"/>
      <c r="S273" s="160"/>
      <c r="T273" s="160" t="inlineStr">
        <is>
          <t xml:space="preserve">x</t>
        </is>
      </c>
      <c r="U273" s="160" t="inlineStr">
        <is>
          <t xml:space="preserve">x</t>
        </is>
      </c>
      <c r="V273" s="160" t="inlineStr">
        <is>
          <t xml:space="preserve">x</t>
        </is>
      </c>
      <c r="W273" s="160" t="inlineStr">
        <is>
          <t xml:space="preserve">x</t>
        </is>
      </c>
      <c r="X273" s="160" t="inlineStr">
        <is>
          <t xml:space="preserve">x</t>
        </is>
      </c>
      <c r="Y273" s="160" t="inlineStr">
        <is>
          <t xml:space="preserve">x</t>
        </is>
      </c>
      <c r="Z273" s="160" t="inlineStr">
        <is>
          <t xml:space="preserve">x</t>
        </is>
      </c>
      <c r="AA273" s="160" t="inlineStr">
        <is>
          <t xml:space="preserve">x</t>
        </is>
      </c>
      <c r="AB273" s="160" t="inlineStr">
        <is>
          <t xml:space="preserve">x</t>
        </is>
      </c>
      <c r="AC273" s="160" t="inlineStr">
        <is>
          <t xml:space="preserve">x</t>
        </is>
      </c>
    </row>
    <row r="274">
      <c r="A274" t="inlineStr">
        <is>
          <t xml:space="preserve">GE VERNOVA</t>
        </is>
      </c>
      <c r="B274" s="160" t="inlineStr">
        <is>
          <t xml:space="preserve">x</t>
        </is>
      </c>
      <c r="C274" s="160" t="inlineStr">
        <is>
          <t xml:space="preserve">x</t>
        </is>
      </c>
      <c r="D274" s="160"/>
      <c r="E274" s="160"/>
      <c r="F274" s="160"/>
      <c r="G274" s="160"/>
      <c r="H274" s="160"/>
      <c r="I274" s="160" t="inlineStr">
        <is>
          <t xml:space="preserve">x</t>
        </is>
      </c>
      <c r="J274" s="160" t="inlineStr">
        <is>
          <t xml:space="preserve">x</t>
        </is>
      </c>
      <c r="K274" s="160" t="inlineStr">
        <is>
          <t xml:space="preserve">x</t>
        </is>
      </c>
      <c r="L274" s="160" t="inlineStr">
        <is>
          <t xml:space="preserve">x</t>
        </is>
      </c>
      <c r="M274" s="160"/>
      <c r="N274" s="160"/>
      <c r="O274" s="160"/>
      <c r="P274" s="160"/>
      <c r="Q274" s="160"/>
      <c r="R274" s="160" t="inlineStr">
        <is>
          <t xml:space="preserve">x</t>
        </is>
      </c>
      <c r="S274" s="160" t="inlineStr">
        <is>
          <t xml:space="preserve">x</t>
        </is>
      </c>
      <c r="T274" s="160" t="inlineStr">
        <is>
          <t xml:space="preserve">x</t>
        </is>
      </c>
      <c r="U274" s="160" t="inlineStr">
        <is>
          <t xml:space="preserve">x</t>
        </is>
      </c>
      <c r="V274" s="160" t="inlineStr">
        <is>
          <t xml:space="preserve">x</t>
        </is>
      </c>
      <c r="W274" s="160" t="inlineStr">
        <is>
          <t xml:space="preserve">x</t>
        </is>
      </c>
      <c r="X274" s="160" t="inlineStr">
        <is>
          <t xml:space="preserve">x</t>
        </is>
      </c>
      <c r="Y274" s="160" t="inlineStr">
        <is>
          <t xml:space="preserve">x</t>
        </is>
      </c>
      <c r="Z274" s="160" t="inlineStr">
        <is>
          <t xml:space="preserve">x</t>
        </is>
      </c>
      <c r="AA274" s="160" t="inlineStr">
        <is>
          <t xml:space="preserve">x</t>
        </is>
      </c>
      <c r="AB274" s="160" t="inlineStr">
        <is>
          <t xml:space="preserve">x</t>
        </is>
      </c>
      <c r="AC274" s="160" t="inlineStr">
        <is>
          <t xml:space="preserve">x</t>
        </is>
      </c>
    </row>
    <row r="275">
      <c r="A275" t="inlineStr">
        <is>
          <t xml:space="preserve">VESTAS</t>
        </is>
      </c>
      <c r="B275" s="160" t="inlineStr">
        <is>
          <t xml:space="preserve">x</t>
        </is>
      </c>
      <c r="C275" s="160"/>
      <c r="D275" s="160"/>
      <c r="E275" s="160"/>
      <c r="F275" s="160"/>
      <c r="G275" s="160"/>
      <c r="H275" s="160"/>
      <c r="I275" s="160"/>
      <c r="J275" s="160" t="inlineStr">
        <is>
          <t xml:space="preserve">x</t>
        </is>
      </c>
      <c r="K275" s="160" t="inlineStr">
        <is>
          <t xml:space="preserve">x</t>
        </is>
      </c>
      <c r="L275" s="160"/>
      <c r="M275" s="160"/>
      <c r="N275" s="160"/>
      <c r="O275" s="160"/>
      <c r="P275" s="160"/>
      <c r="Q275" s="160"/>
      <c r="R275" s="160"/>
      <c r="S275" s="160" t="inlineStr">
        <is>
          <t xml:space="preserve">x</t>
        </is>
      </c>
      <c r="T275" s="160" t="inlineStr">
        <is>
          <t xml:space="preserve">x</t>
        </is>
      </c>
      <c r="U275" s="160" t="inlineStr">
        <is>
          <t xml:space="preserve">x</t>
        </is>
      </c>
      <c r="V275" s="160" t="inlineStr">
        <is>
          <t xml:space="preserve">x</t>
        </is>
      </c>
      <c r="W275" s="160" t="inlineStr">
        <is>
          <t xml:space="preserve">x</t>
        </is>
      </c>
      <c r="X275" s="160" t="inlineStr">
        <is>
          <t xml:space="preserve">x</t>
        </is>
      </c>
      <c r="Y275" s="160" t="inlineStr">
        <is>
          <t xml:space="preserve">x</t>
        </is>
      </c>
      <c r="Z275" s="160" t="inlineStr">
        <is>
          <t xml:space="preserve">x</t>
        </is>
      </c>
      <c r="AA275" s="160" t="inlineStr">
        <is>
          <t xml:space="preserve">x</t>
        </is>
      </c>
      <c r="AB275" s="160" t="inlineStr">
        <is>
          <t xml:space="preserve">x</t>
        </is>
      </c>
      <c r="AC275" s="160" t="inlineStr">
        <is>
          <t xml:space="preserve">x</t>
        </is>
      </c>
    </row>
    <row r="276">
      <c r="A276" t="inlineStr">
        <is>
          <t xml:space="preserve">VEDACIT</t>
        </is>
      </c>
      <c r="B276" s="160" t="inlineStr">
        <is>
          <t xml:space="preserve">x</t>
        </is>
      </c>
      <c r="C276" s="160" t="inlineStr">
        <is>
          <t xml:space="preserve">x</t>
        </is>
      </c>
      <c r="D276" s="160"/>
      <c r="E276" s="160"/>
      <c r="F276" s="160"/>
      <c r="G276" s="160"/>
      <c r="H276" s="160"/>
      <c r="I276" s="160"/>
      <c r="J276" s="160"/>
      <c r="K276" s="160" t="inlineStr">
        <is>
          <t xml:space="preserve">x</t>
        </is>
      </c>
      <c r="L276" s="160" t="inlineStr">
        <is>
          <t xml:space="preserve">x</t>
        </is>
      </c>
      <c r="M276" s="160"/>
      <c r="N276" s="160"/>
      <c r="O276" s="160"/>
      <c r="P276" s="160"/>
      <c r="Q276" s="160"/>
      <c r="R276" s="160"/>
      <c r="S276" s="160"/>
      <c r="T276" s="160" t="inlineStr">
        <is>
          <t xml:space="preserve">x</t>
        </is>
      </c>
      <c r="U276" s="160" t="inlineStr">
        <is>
          <t xml:space="preserve">x</t>
        </is>
      </c>
      <c r="V276" s="160" t="inlineStr">
        <is>
          <t xml:space="preserve">x</t>
        </is>
      </c>
      <c r="W276" s="160" t="inlineStr">
        <is>
          <t xml:space="preserve">x</t>
        </is>
      </c>
      <c r="X276" s="160" t="inlineStr">
        <is>
          <t xml:space="preserve">x</t>
        </is>
      </c>
      <c r="Y276" s="160" t="inlineStr">
        <is>
          <t xml:space="preserve">x</t>
        </is>
      </c>
      <c r="Z276" s="160" t="inlineStr">
        <is>
          <t xml:space="preserve">x</t>
        </is>
      </c>
      <c r="AA276" s="160" t="inlineStr">
        <is>
          <t xml:space="preserve">x</t>
        </is>
      </c>
      <c r="AB276" s="160" t="inlineStr">
        <is>
          <t xml:space="preserve">x</t>
        </is>
      </c>
      <c r="AC276" s="160" t="inlineStr">
        <is>
          <t xml:space="preserve">x</t>
        </is>
      </c>
    </row>
    <row r="277">
      <c r="A277" t="inlineStr">
        <is>
          <t xml:space="preserve">OMNLIFE</t>
        </is>
      </c>
      <c r="B277" s="160" t="inlineStr">
        <is>
          <t xml:space="preserve">x</t>
        </is>
      </c>
      <c r="C277" s="160" t="inlineStr">
        <is>
          <t xml:space="preserve">x</t>
        </is>
      </c>
      <c r="D277" s="160"/>
      <c r="E277" s="160"/>
      <c r="F277" s="160"/>
      <c r="G277" s="160"/>
      <c r="H277" s="160"/>
      <c r="I277" s="160"/>
      <c r="J277" s="160"/>
      <c r="K277" s="160" t="inlineStr">
        <is>
          <t xml:space="preserve">x</t>
        </is>
      </c>
      <c r="L277" s="160" t="inlineStr">
        <is>
          <t xml:space="preserve">x</t>
        </is>
      </c>
      <c r="M277" s="160"/>
      <c r="N277" s="160"/>
      <c r="O277" s="160"/>
      <c r="P277" s="160"/>
      <c r="Q277" s="160"/>
      <c r="R277" s="160"/>
      <c r="S277" s="160"/>
      <c r="T277" s="160" t="inlineStr">
        <is>
          <t xml:space="preserve">x</t>
        </is>
      </c>
      <c r="U277" s="160" t="inlineStr">
        <is>
          <t xml:space="preserve">x</t>
        </is>
      </c>
      <c r="V277" s="160" t="inlineStr">
        <is>
          <t xml:space="preserve">x</t>
        </is>
      </c>
      <c r="W277" s="160" t="inlineStr">
        <is>
          <t xml:space="preserve">x</t>
        </is>
      </c>
      <c r="X277" s="160" t="inlineStr">
        <is>
          <t xml:space="preserve">x</t>
        </is>
      </c>
      <c r="Y277" s="160" t="inlineStr">
        <is>
          <t xml:space="preserve">x</t>
        </is>
      </c>
      <c r="Z277" s="160" t="inlineStr">
        <is>
          <t xml:space="preserve">x</t>
        </is>
      </c>
      <c r="AA277" s="160" t="inlineStr">
        <is>
          <t xml:space="preserve">x</t>
        </is>
      </c>
      <c r="AB277" s="160" t="inlineStr">
        <is>
          <t xml:space="preserve">x</t>
        </is>
      </c>
      <c r="AC277" s="160" t="inlineStr">
        <is>
          <t xml:space="preserve">x</t>
        </is>
      </c>
    </row>
    <row r="278">
      <c r="A278" t="inlineStr">
        <is>
          <t xml:space="preserve">ALPARGATAS</t>
        </is>
      </c>
      <c r="B278" s="160" t="inlineStr">
        <is>
          <t xml:space="preserve">x</t>
        </is>
      </c>
      <c r="C278" s="160"/>
      <c r="D278" s="160"/>
      <c r="E278" s="160" t="inlineStr">
        <is>
          <t xml:space="preserve">x</t>
        </is>
      </c>
      <c r="F278" s="160"/>
      <c r="G278" s="160"/>
      <c r="H278" s="160"/>
      <c r="I278" s="160"/>
      <c r="J278" s="160"/>
      <c r="K278" s="160" t="inlineStr">
        <is>
          <t xml:space="preserve">x</t>
        </is>
      </c>
      <c r="L278" s="160"/>
      <c r="M278" s="160"/>
      <c r="N278" s="160" t="inlineStr">
        <is>
          <t xml:space="preserve">x</t>
        </is>
      </c>
      <c r="O278" s="160"/>
      <c r="P278" s="160"/>
      <c r="Q278" s="160"/>
      <c r="R278" s="160"/>
      <c r="S278" s="160"/>
      <c r="T278" s="160" t="inlineStr">
        <is>
          <t xml:space="preserve">x</t>
        </is>
      </c>
      <c r="U278" s="160" t="inlineStr">
        <is>
          <t xml:space="preserve">x</t>
        </is>
      </c>
      <c r="V278" s="160" t="inlineStr">
        <is>
          <t xml:space="preserve">x</t>
        </is>
      </c>
      <c r="W278" s="160" t="inlineStr">
        <is>
          <t xml:space="preserve">x</t>
        </is>
      </c>
      <c r="X278" s="160" t="inlineStr">
        <is>
          <t xml:space="preserve">x</t>
        </is>
      </c>
      <c r="Y278" s="160" t="inlineStr">
        <is>
          <t xml:space="preserve">x</t>
        </is>
      </c>
      <c r="Z278" s="160" t="inlineStr">
        <is>
          <t xml:space="preserve">x</t>
        </is>
      </c>
      <c r="AA278" s="160" t="inlineStr">
        <is>
          <t xml:space="preserve">x</t>
        </is>
      </c>
      <c r="AB278" s="160" t="inlineStr">
        <is>
          <t xml:space="preserve">x</t>
        </is>
      </c>
      <c r="AC278" s="160" t="inlineStr">
        <is>
          <t xml:space="preserve">x</t>
        </is>
      </c>
    </row>
    <row r="282">
      <c r="A282" t="inlineStr">
        <is>
          <t xml:space="preserve">INDICADORES EXIBIDOS NO QUADRO (IN 1-4, OUT 1-4) e DESTAQUE dos cartões/gráfico semanal</t>
        </is>
      </c>
    </row>
    <row r="283">
      <c r="A283" s="145" t="inlineStr">
        <is>
          <t xml:space="preserve">Cliente</t>
        </is>
      </c>
      <c r="B283" s="145" t="inlineStr">
        <is>
          <t xml:space="preserve">IN 1</t>
        </is>
      </c>
      <c r="C283" s="145" t="inlineStr">
        <is>
          <t xml:space="preserve">IN 2</t>
        </is>
      </c>
      <c r="D283" s="145" t="inlineStr">
        <is>
          <t xml:space="preserve">IN 3</t>
        </is>
      </c>
      <c r="E283" s="145" t="inlineStr">
        <is>
          <t xml:space="preserve">IN 4</t>
        </is>
      </c>
      <c r="F283" s="145" t="inlineStr">
        <is>
          <t xml:space="preserve">OUT 1</t>
        </is>
      </c>
      <c r="G283" s="145" t="inlineStr">
        <is>
          <t xml:space="preserve">OUT 2</t>
        </is>
      </c>
      <c r="H283" s="145" t="inlineStr">
        <is>
          <t xml:space="preserve">OUT 3</t>
        </is>
      </c>
      <c r="I283" s="145" t="inlineStr">
        <is>
          <t xml:space="preserve">OUT 4</t>
        </is>
      </c>
      <c r="J283" s="145" t="inlineStr">
        <is>
          <t xml:space="preserve">Destaque IN</t>
        </is>
      </c>
      <c r="K283" s="145" t="inlineStr">
        <is>
          <t xml:space="preserve">Destaque OUT</t>
        </is>
      </c>
    </row>
    <row r="284">
      <c r="A284" t="inlineStr">
        <is>
          <t xml:space="preserve">Todos</t>
        </is>
      </c>
      <c r="B284" s="160" t="inlineStr">
        <is>
          <t xml:space="preserve">IN Veículos Recebidos</t>
        </is>
      </c>
      <c r="C284" s="160" t="inlineStr">
        <is>
          <t xml:space="preserve">IN Pallets Movimentados</t>
        </is>
      </c>
      <c r="D284" s="160" t="inlineStr">
        <is>
          <t xml:space="preserve">IN Toneladas Movimentadas</t>
        </is>
      </c>
      <c r="E284" s="160" t="inlineStr">
        <is>
          <t xml:space="preserve">IN Linhas NF</t>
        </is>
      </c>
      <c r="F284" s="160" t="inlineStr">
        <is>
          <t xml:space="preserve">OUT Veículos Expedidos</t>
        </is>
      </c>
      <c r="G284" s="160" t="inlineStr">
        <is>
          <t xml:space="preserve">OUT Pallets Movimentados</t>
        </is>
      </c>
      <c r="H284" s="160" t="inlineStr">
        <is>
          <t xml:space="preserve">OUT Toneladas Movimentadas</t>
        </is>
      </c>
      <c r="I284" s="160" t="inlineStr">
        <is>
          <t xml:space="preserve">OUT Linhas NF</t>
        </is>
      </c>
      <c r="J284" s="160" t="inlineStr">
        <is>
          <t xml:space="preserve">IN Pallets Movimentados</t>
        </is>
      </c>
      <c r="K284" s="160" t="inlineStr">
        <is>
          <t xml:space="preserve">OUT Pallets Movimentados</t>
        </is>
      </c>
    </row>
    <row r="285">
      <c r="A285" t="inlineStr">
        <is>
          <t xml:space="preserve">BASF</t>
        </is>
      </c>
      <c r="B285" s="160" t="inlineStr">
        <is>
          <t xml:space="preserve">IN Veículos Recebidos</t>
        </is>
      </c>
      <c r="C285" s="160" t="inlineStr">
        <is>
          <t xml:space="preserve">IN Pallets Movimentados</t>
        </is>
      </c>
      <c r="D285" s="160" t="inlineStr">
        <is>
          <t xml:space="preserve">IN Toneladas Movimentadas</t>
        </is>
      </c>
      <c r="F285" s="160" t="inlineStr">
        <is>
          <t xml:space="preserve">OUT Veículos Expedidos</t>
        </is>
      </c>
      <c r="G285" s="160" t="inlineStr">
        <is>
          <t xml:space="preserve">OUT Pallets Movimentados</t>
        </is>
      </c>
      <c r="H285" s="160" t="inlineStr">
        <is>
          <t xml:space="preserve">OUT Toneladas Movimentadas</t>
        </is>
      </c>
      <c r="J285" s="160" t="inlineStr">
        <is>
          <t xml:space="preserve">IN Pallets Movimentados</t>
        </is>
      </c>
      <c r="K285" s="160" t="inlineStr">
        <is>
          <t xml:space="preserve">OUT Pallets Movimentados</t>
        </is>
      </c>
    </row>
    <row r="286">
      <c r="A286" t="inlineStr">
        <is>
          <t xml:space="preserve">BEAUTYBIZ</t>
        </is>
      </c>
      <c r="B286" s="160" t="inlineStr">
        <is>
          <t xml:space="preserve">IN Veículos Recebidos</t>
        </is>
      </c>
      <c r="C286" s="160" t="inlineStr">
        <is>
          <t xml:space="preserve">IN Pallets Movimentados</t>
        </is>
      </c>
      <c r="D286" s="160" t="inlineStr">
        <is>
          <t xml:space="preserve">IN Caixas Movimentadas</t>
        </is>
      </c>
      <c r="F286" s="160" t="inlineStr">
        <is>
          <t xml:space="preserve">OUT Veículos Expedidos</t>
        </is>
      </c>
      <c r="G286" s="160" t="inlineStr">
        <is>
          <t xml:space="preserve">OUT Pallets Movimentados</t>
        </is>
      </c>
      <c r="H286" s="160" t="inlineStr">
        <is>
          <t xml:space="preserve">OUT Pedidos Expedidos</t>
        </is>
      </c>
      <c r="J286" s="160" t="inlineStr">
        <is>
          <t xml:space="preserve">IN Pallets Movimentados</t>
        </is>
      </c>
      <c r="K286" s="160" t="inlineStr">
        <is>
          <t xml:space="preserve">OUT Pallets Movimentados</t>
        </is>
      </c>
    </row>
    <row r="287">
      <c r="A287" t="inlineStr">
        <is>
          <t xml:space="preserve">BOTICÁRIO</t>
        </is>
      </c>
      <c r="B287" s="160" t="inlineStr">
        <is>
          <t xml:space="preserve">IN Veículos Recebidos</t>
        </is>
      </c>
      <c r="C287" s="160" t="inlineStr">
        <is>
          <t xml:space="preserve">IN Itens Recebidos CX Mista</t>
        </is>
      </c>
      <c r="D287" s="160" t="inlineStr">
        <is>
          <t xml:space="preserve">IN Caixas Mistas Recebidas</t>
        </is>
      </c>
      <c r="E287" s="160" t="inlineStr">
        <is>
          <t xml:space="preserve">IN Caixas Fechadas</t>
        </is>
      </c>
      <c r="F287" s="160" t="inlineStr">
        <is>
          <t xml:space="preserve">OUT Veículos Expedidos</t>
        </is>
      </c>
      <c r="G287" s="160" t="inlineStr">
        <is>
          <t xml:space="preserve">OUT Pedidos Faturados</t>
        </is>
      </c>
      <c r="H287" s="160" t="inlineStr">
        <is>
          <t xml:space="preserve">OUT Itens Expedidos</t>
        </is>
      </c>
      <c r="I287" s="160" t="inlineStr">
        <is>
          <t xml:space="preserve">OUT Pallets Movimentados</t>
        </is>
      </c>
      <c r="J287" s="160" t="inlineStr">
        <is>
          <t xml:space="preserve">IN Itens Recebidos CX Mista</t>
        </is>
      </c>
      <c r="K287" s="160" t="inlineStr">
        <is>
          <t xml:space="preserve">OUT Pedidos Faturados</t>
        </is>
      </c>
    </row>
    <row r="288">
      <c r="A288" t="inlineStr">
        <is>
          <t xml:space="preserve">SUPPLY</t>
        </is>
      </c>
      <c r="B288" s="160" t="inlineStr">
        <is>
          <t xml:space="preserve">IN Veículos Recebidos</t>
        </is>
      </c>
      <c r="C288" s="160" t="inlineStr">
        <is>
          <t xml:space="preserve">IN Pallets Movimentados</t>
        </is>
      </c>
      <c r="D288" s="160" t="inlineStr">
        <is>
          <t xml:space="preserve">IN Toneladas Movimentadas</t>
        </is>
      </c>
      <c r="F288" s="160" t="inlineStr">
        <is>
          <t xml:space="preserve">OUT Veículos Expedidos</t>
        </is>
      </c>
      <c r="G288" s="160" t="inlineStr">
        <is>
          <t xml:space="preserve">OUT Pallets Movimentados</t>
        </is>
      </c>
      <c r="H288" s="160" t="inlineStr">
        <is>
          <t xml:space="preserve">OUT Toneladas Movimentadas</t>
        </is>
      </c>
      <c r="J288" s="160" t="inlineStr">
        <is>
          <t xml:space="preserve">IN Pallets Movimentados</t>
        </is>
      </c>
      <c r="K288" s="160" t="inlineStr">
        <is>
          <t xml:space="preserve">OUT Pallets Movimentados</t>
        </is>
      </c>
    </row>
    <row r="289">
      <c r="A289" t="inlineStr">
        <is>
          <t xml:space="preserve">GE VERNOVA</t>
        </is>
      </c>
      <c r="B289" s="160" t="inlineStr">
        <is>
          <t xml:space="preserve">IN Veículos Recebidos</t>
        </is>
      </c>
      <c r="C289" s="160" t="inlineStr">
        <is>
          <t xml:space="preserve">IN Pallets Movimentados</t>
        </is>
      </c>
      <c r="D289" s="160" t="inlineStr">
        <is>
          <t xml:space="preserve">IN Peças Movimentadas</t>
        </is>
      </c>
      <c r="E289" s="160" t="inlineStr">
        <is>
          <t xml:space="preserve">IN Linhas NF</t>
        </is>
      </c>
      <c r="F289" s="160" t="inlineStr">
        <is>
          <t xml:space="preserve">OUT Veículos Expedidos</t>
        </is>
      </c>
      <c r="G289" s="160" t="inlineStr">
        <is>
          <t xml:space="preserve">OUT Pallets Movimentados</t>
        </is>
      </c>
      <c r="H289" s="160" t="inlineStr">
        <is>
          <t xml:space="preserve">OUT Peças Movimentadas</t>
        </is>
      </c>
      <c r="I289" s="160" t="inlineStr">
        <is>
          <t xml:space="preserve">OUT Linhas NF</t>
        </is>
      </c>
      <c r="J289" s="160" t="inlineStr">
        <is>
          <t xml:space="preserve">IN Pallets Movimentados</t>
        </is>
      </c>
      <c r="K289" s="160" t="inlineStr">
        <is>
          <t xml:space="preserve">OUT Pallets Movimentados</t>
        </is>
      </c>
    </row>
    <row r="290">
      <c r="A290" t="inlineStr">
        <is>
          <t xml:space="preserve">VESTAS</t>
        </is>
      </c>
      <c r="B290" s="160" t="inlineStr">
        <is>
          <t xml:space="preserve">IN Veículos Recebidos</t>
        </is>
      </c>
      <c r="C290" s="160" t="inlineStr">
        <is>
          <t xml:space="preserve">IN Linhas NF</t>
        </is>
      </c>
      <c r="F290" s="160" t="inlineStr">
        <is>
          <t xml:space="preserve">OUT Veículos Expedidos</t>
        </is>
      </c>
      <c r="G290" s="160" t="inlineStr">
        <is>
          <t xml:space="preserve">OUT Linhas NF</t>
        </is>
      </c>
      <c r="J290" s="160" t="inlineStr">
        <is>
          <t xml:space="preserve">IN Linhas NF</t>
        </is>
      </c>
      <c r="K290" s="160" t="inlineStr">
        <is>
          <t xml:space="preserve">OUT Linhas NF</t>
        </is>
      </c>
    </row>
    <row r="291">
      <c r="A291" t="inlineStr">
        <is>
          <t xml:space="preserve">VEDACIT</t>
        </is>
      </c>
      <c r="B291" s="160" t="inlineStr">
        <is>
          <t xml:space="preserve">IN Veículos Recebidos</t>
        </is>
      </c>
      <c r="C291" s="160" t="inlineStr">
        <is>
          <t xml:space="preserve">IN Pallets Movimentados</t>
        </is>
      </c>
      <c r="F291" s="160" t="inlineStr">
        <is>
          <t xml:space="preserve">OUT Veículos Expedidos</t>
        </is>
      </c>
      <c r="G291" s="160" t="inlineStr">
        <is>
          <t xml:space="preserve">OUT Pallets Movimentados</t>
        </is>
      </c>
      <c r="J291" s="160" t="inlineStr">
        <is>
          <t xml:space="preserve">IN Pallets Movimentados</t>
        </is>
      </c>
      <c r="K291" s="160" t="inlineStr">
        <is>
          <t xml:space="preserve">OUT Pallets Movimentados</t>
        </is>
      </c>
    </row>
    <row r="292">
      <c r="A292" t="inlineStr">
        <is>
          <t xml:space="preserve">OMNLIFE</t>
        </is>
      </c>
      <c r="B292" s="160" t="inlineStr">
        <is>
          <t xml:space="preserve">IN Veículos Recebidos</t>
        </is>
      </c>
      <c r="C292" s="160" t="inlineStr">
        <is>
          <t xml:space="preserve">IN Pallets Movimentados</t>
        </is>
      </c>
      <c r="F292" s="160" t="inlineStr">
        <is>
          <t xml:space="preserve">OUT Veículos Expedidos</t>
        </is>
      </c>
      <c r="G292" s="160" t="inlineStr">
        <is>
          <t xml:space="preserve">OUT Pallets Movimentados</t>
        </is>
      </c>
      <c r="J292" s="160" t="inlineStr">
        <is>
          <t xml:space="preserve">IN Pallets Movimentados</t>
        </is>
      </c>
      <c r="K292" s="160" t="inlineStr">
        <is>
          <t xml:space="preserve">OUT Pallets Movimentados</t>
        </is>
      </c>
    </row>
    <row r="293">
      <c r="A293" t="inlineStr">
        <is>
          <t xml:space="preserve">ALPARGATAS</t>
        </is>
      </c>
      <c r="B293" s="160" t="inlineStr">
        <is>
          <t xml:space="preserve">IN Veículos Recebidos</t>
        </is>
      </c>
      <c r="C293" s="160" t="inlineStr">
        <is>
          <t xml:space="preserve">IN Caixas Movimentadas</t>
        </is>
      </c>
      <c r="F293" s="160" t="inlineStr">
        <is>
          <t xml:space="preserve">OUT Veículos Expedidos</t>
        </is>
      </c>
      <c r="G293" s="160" t="inlineStr">
        <is>
          <t xml:space="preserve">OUT Caixas Expedidas</t>
        </is>
      </c>
      <c r="J293" s="160" t="inlineStr">
        <is>
          <t xml:space="preserve">IN Caixas Movimentadas</t>
        </is>
      </c>
      <c r="K293" s="160" t="inlineStr">
        <is>
          <t xml:space="preserve">OUT Caixas Expedidas</t>
        </is>
      </c>
    </row>
  </sheetData>
  <pageMargins left="0.25" right="0.25" top="0.4" bottom="0.4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AG461"/>
  <sheetViews>
    <sheetView showGridLines="0" zoomScale="100" zoomScaleNormal="100" workbookViewId="0">
      <pane xSplit="2" ySplit="2" topLeftCell="C3" activePane="bottomRight" state="frozen"/>
      <selection pane="bottomRight" activeCell="A462" sqref="A462"/>
    </sheetView>
  </sheetViews>
  <sheetFormatPr defaultRowHeight="15"/>
  <cols>
    <col min="1" max="1" width="11" customWidth="1"/>
    <col min="2" max="2" width="16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1" customWidth="1"/>
    <col min="26" max="26" width="11" customWidth="1"/>
    <col min="27" max="27" width="11" customWidth="1"/>
    <col min="28" max="28" width="11" customWidth="1"/>
    <col min="29" max="29" width="11" customWidth="1"/>
    <col min="30" max="30" width="11" customWidth="1"/>
    <col min="31" max="31" width="11" customWidth="1"/>
    <col min="32" max="32" width="3" customWidth="1"/>
    <col min="33" max="33" width="95" customWidth="1"/>
  </cols>
  <sheetData>
    <row r="1" ht="20" customHeight="1">
      <c r="A1" s="459" t="inlineStr">
        <is>
          <t xml:space="preserve">REGISTRO</t>
        </is>
      </c>
      <c r="B1" s="459"/>
      <c r="C1" s="460" t="inlineStr">
        <is>
          <t xml:space="preserve">IN · RECEBIMENTO</t>
        </is>
      </c>
      <c r="D1" s="460"/>
      <c r="E1" s="460"/>
      <c r="F1" s="460"/>
      <c r="G1" s="460"/>
      <c r="H1" s="460"/>
      <c r="I1" s="460"/>
      <c r="J1" s="460"/>
      <c r="K1" s="460"/>
      <c r="L1" s="461" t="inlineStr">
        <is>
          <t xml:space="preserve">OUT · EXPEDIÇÃO</t>
        </is>
      </c>
      <c r="M1" s="461"/>
      <c r="N1" s="461"/>
      <c r="O1" s="461"/>
      <c r="P1" s="461"/>
      <c r="Q1" s="461"/>
      <c r="R1" s="461"/>
      <c r="S1" s="461"/>
      <c r="T1" s="461"/>
      <c r="U1" s="462" t="inlineStr">
        <is>
          <t xml:space="preserve">NC · NÃO CONFORMIDADES</t>
        </is>
      </c>
      <c r="V1" s="462"/>
      <c r="W1" s="462"/>
      <c r="X1" s="463" t="inlineStr">
        <is>
          <t xml:space="preserve">OCUPAÇÃO (P.P)</t>
        </is>
      </c>
      <c r="Y1" s="463"/>
      <c r="Z1" s="464" t="inlineStr">
        <is>
          <t xml:space="preserve">GENTE</t>
        </is>
      </c>
      <c r="AA1" s="464"/>
      <c r="AB1" s="464"/>
      <c r="AC1" s="464"/>
      <c r="AD1" s="464"/>
      <c r="AE1" s="465" t="inlineStr">
        <is>
          <t xml:space="preserve">CONTRATO</t>
        </is>
      </c>
    </row>
    <row r="2" ht="42" customHeight="1">
      <c r="A2" s="121" t="inlineStr">
        <is>
          <t xml:space="preserve">Data</t>
        </is>
      </c>
      <c r="B2" s="121" t="inlineStr">
        <is>
          <t xml:space="preserve">Cliente</t>
        </is>
      </c>
      <c r="C2" s="121" t="inlineStr">
        <is>
          <t xml:space="preserve">IN Veículos Recebidos</t>
        </is>
      </c>
      <c r="D2" s="121" t="inlineStr">
        <is>
          <t xml:space="preserve">IN Pallets Movimentados</t>
        </is>
      </c>
      <c r="E2" s="121" t="inlineStr">
        <is>
          <t xml:space="preserve">IN Toneladas Movimentadas</t>
        </is>
      </c>
      <c r="F2" s="121" t="inlineStr">
        <is>
          <t xml:space="preserve">IN Caixas Movimentadas</t>
        </is>
      </c>
      <c r="G2" s="121" t="inlineStr">
        <is>
          <t xml:space="preserve">IN Itens Recebidos CX Mista</t>
        </is>
      </c>
      <c r="H2" s="121" t="inlineStr">
        <is>
          <t xml:space="preserve">IN Caixas Mistas Recebidas</t>
        </is>
      </c>
      <c r="I2" s="121" t="inlineStr">
        <is>
          <t xml:space="preserve">IN Caixas Fechadas</t>
        </is>
      </c>
      <c r="J2" s="121" t="inlineStr">
        <is>
          <t xml:space="preserve">IN Peças Movimentadas</t>
        </is>
      </c>
      <c r="K2" s="121" t="inlineStr">
        <is>
          <t xml:space="preserve">IN Linhas NF</t>
        </is>
      </c>
      <c r="L2" s="121" t="inlineStr">
        <is>
          <t xml:space="preserve">OUT Veículos Expedidos</t>
        </is>
      </c>
      <c r="M2" s="121" t="inlineStr">
        <is>
          <t xml:space="preserve">OUT Pallets Movimentados</t>
        </is>
      </c>
      <c r="N2" s="121" t="inlineStr">
        <is>
          <t xml:space="preserve">OUT Toneladas Movimentadas</t>
        </is>
      </c>
      <c r="O2" s="121" t="inlineStr">
        <is>
          <t xml:space="preserve">OUT Caixas Expedidas</t>
        </is>
      </c>
      <c r="P2" s="121" t="inlineStr">
        <is>
          <t xml:space="preserve">OUT Pedidos Expedidos</t>
        </is>
      </c>
      <c r="Q2" s="121" t="inlineStr">
        <is>
          <t xml:space="preserve">OUT Pedidos Faturados</t>
        </is>
      </c>
      <c r="R2" s="121" t="inlineStr">
        <is>
          <t xml:space="preserve">OUT Itens Expedidos</t>
        </is>
      </c>
      <c r="S2" s="121" t="inlineStr">
        <is>
          <t xml:space="preserve">OUT Peças Movimentadas</t>
        </is>
      </c>
      <c r="T2" s="121" t="inlineStr">
        <is>
          <t xml:space="preserve">OUT Linhas NF</t>
        </is>
      </c>
      <c r="U2" s="121" t="inlineStr">
        <is>
          <t xml:space="preserve">NC Incidentes</t>
        </is>
      </c>
      <c r="V2" s="121" t="inlineStr">
        <is>
          <t xml:space="preserve">NC No show</t>
        </is>
      </c>
      <c r="W2" s="121" t="inlineStr">
        <is>
          <t xml:space="preserve">NC Backlog</t>
        </is>
      </c>
      <c r="X2" s="121" t="inlineStr">
        <is>
          <t xml:space="preserve">Posições Disponíveis</t>
        </is>
      </c>
      <c r="Y2" s="121" t="inlineStr">
        <is>
          <t xml:space="preserve">Posições Ocupadas</t>
        </is>
      </c>
      <c r="Z2" s="121" t="inlineStr">
        <is>
          <t xml:space="preserve">Efetivo</t>
        </is>
      </c>
      <c r="AA2" s="121" t="inlineStr">
        <is>
          <t xml:space="preserve">Falta</t>
        </is>
      </c>
      <c r="AB2" s="121" t="inlineStr">
        <is>
          <t xml:space="preserve">Folga</t>
        </is>
      </c>
      <c r="AC2" s="121" t="inlineStr">
        <is>
          <t xml:space="preserve">Férias</t>
        </is>
      </c>
      <c r="AD2" s="121" t="inlineStr">
        <is>
          <t xml:space="preserve">Desligamentos</t>
        </is>
      </c>
      <c r="AE2" s="121" t="inlineStr">
        <is>
          <t xml:space="preserve">Modalidade</t>
        </is>
      </c>
      <c r="AG2" s="466" t="inlineStr">
        <is>
          <t xml:space="preserve">COMO PREENCHER A BASE</t>
        </is>
      </c>
    </row>
    <row r="3">
      <c r="A3" s="122">
        <v>46235</v>
      </c>
      <c r="B3" s="123" t="inlineStr">
        <is>
          <t xml:space="preserve">BASF</t>
        </is>
      </c>
      <c r="C3" s="124">
        <v>4</v>
      </c>
      <c r="D3" s="124">
        <v>41</v>
      </c>
      <c r="E3" s="125">
        <v>96.37</v>
      </c>
      <c r="F3" s="124"/>
      <c r="G3" s="124"/>
      <c r="H3" s="124"/>
      <c r="I3" s="124"/>
      <c r="J3" s="124"/>
      <c r="K3" s="124"/>
      <c r="L3" s="124">
        <v>2</v>
      </c>
      <c r="M3" s="124">
        <v>95</v>
      </c>
      <c r="N3" s="125">
        <v>60.71</v>
      </c>
      <c r="O3" s="124"/>
      <c r="P3" s="124"/>
      <c r="Q3" s="124"/>
      <c r="R3" s="124"/>
      <c r="S3" s="124"/>
      <c r="T3" s="124"/>
      <c r="U3" s="124">
        <v>0</v>
      </c>
      <c r="V3" s="124">
        <v>0</v>
      </c>
      <c r="W3" s="124">
        <v>13</v>
      </c>
      <c r="X3" s="124">
        <v>2200</v>
      </c>
      <c r="Y3" s="124">
        <v>1596</v>
      </c>
      <c r="Z3" s="124">
        <v>7</v>
      </c>
      <c r="AA3" s="124">
        <v>1</v>
      </c>
      <c r="AB3" s="124"/>
      <c r="AC3" s="124"/>
      <c r="AD3" s="124"/>
      <c r="AE3" s="126" t="inlineStr">
        <is>
          <t xml:space="preserve">Contrato</t>
        </is>
      </c>
      <c r="AG3" s="467" t="inlineStr">
        <is>
          <t xml:space="preserve">• Uma linha por dia e por cliente.</t>
        </is>
      </c>
    </row>
    <row r="4">
      <c r="A4" s="122">
        <v>46235</v>
      </c>
      <c r="B4" s="123" t="inlineStr">
        <is>
          <t xml:space="preserve">BEAUTYBIZ</t>
        </is>
      </c>
      <c r="C4" s="124">
        <v>3</v>
      </c>
      <c r="D4" s="124">
        <v>107</v>
      </c>
      <c r="E4" s="125"/>
      <c r="F4" s="124">
        <v>2384</v>
      </c>
      <c r="G4" s="124"/>
      <c r="H4" s="124"/>
      <c r="I4" s="124"/>
      <c r="J4" s="124"/>
      <c r="K4" s="124"/>
      <c r="L4" s="124">
        <v>7</v>
      </c>
      <c r="M4" s="124">
        <v>75</v>
      </c>
      <c r="N4" s="125"/>
      <c r="O4" s="124"/>
      <c r="P4" s="124">
        <v>685</v>
      </c>
      <c r="Q4" s="124"/>
      <c r="R4" s="124"/>
      <c r="S4" s="124"/>
      <c r="T4" s="124"/>
      <c r="U4" s="124">
        <v>1</v>
      </c>
      <c r="V4" s="124">
        <v>0</v>
      </c>
      <c r="W4" s="124">
        <v>4</v>
      </c>
      <c r="X4" s="124">
        <v>1200</v>
      </c>
      <c r="Y4" s="124">
        <v>932</v>
      </c>
      <c r="Z4" s="124">
        <v>13</v>
      </c>
      <c r="AA4" s="124"/>
      <c r="AB4" s="124"/>
      <c r="AC4" s="124"/>
      <c r="AD4" s="124"/>
      <c r="AE4" s="126" t="inlineStr">
        <is>
          <t xml:space="preserve">Contrato</t>
        </is>
      </c>
      <c r="AG4" s="467" t="inlineStr">
        <is>
          <t xml:space="preserve">• Digite na primeira linha vazia logo abaixo da tabela: ela cresce sozinha e leva formato, listas e validações.</t>
        </is>
      </c>
    </row>
    <row r="5">
      <c r="A5" s="122">
        <v>46235</v>
      </c>
      <c r="B5" s="123" t="inlineStr">
        <is>
          <t xml:space="preserve">BOTICÁRIO</t>
        </is>
      </c>
      <c r="C5" s="124">
        <v>6</v>
      </c>
      <c r="D5" s="124"/>
      <c r="E5" s="125"/>
      <c r="F5" s="124"/>
      <c r="G5" s="124">
        <v>2736</v>
      </c>
      <c r="H5" s="124">
        <v>246</v>
      </c>
      <c r="I5" s="124">
        <v>150</v>
      </c>
      <c r="J5" s="124"/>
      <c r="K5" s="124"/>
      <c r="L5" s="124">
        <v>2</v>
      </c>
      <c r="M5" s="124">
        <v>79</v>
      </c>
      <c r="N5" s="125"/>
      <c r="O5" s="124"/>
      <c r="P5" s="124"/>
      <c r="Q5" s="124">
        <v>366</v>
      </c>
      <c r="R5" s="124">
        <v>6602</v>
      </c>
      <c r="S5" s="124"/>
      <c r="T5" s="124"/>
      <c r="U5" s="124">
        <v>0</v>
      </c>
      <c r="V5" s="124">
        <v>0</v>
      </c>
      <c r="W5" s="124"/>
      <c r="X5" s="124">
        <v>3500</v>
      </c>
      <c r="Y5" s="124">
        <v>2365</v>
      </c>
      <c r="Z5" s="124">
        <v>6</v>
      </c>
      <c r="AA5" s="124"/>
      <c r="AB5" s="124"/>
      <c r="AC5" s="124"/>
      <c r="AD5" s="124"/>
      <c r="AE5" s="126" t="inlineStr">
        <is>
          <t xml:space="preserve">Contrato</t>
        </is>
      </c>
      <c r="AG5" s="467" t="inlineStr">
        <is>
          <t xml:space="preserve">• Data: dd/mm/aaaa.   Cliente e Modalidade: escolha na lista (setinha da célula).</t>
        </is>
      </c>
    </row>
    <row r="6">
      <c r="A6" s="122">
        <v>46235</v>
      </c>
      <c r="B6" s="123" t="inlineStr">
        <is>
          <t xml:space="preserve">SUPPLY</t>
        </is>
      </c>
      <c r="C6" s="124">
        <v>8</v>
      </c>
      <c r="D6" s="124">
        <v>122</v>
      </c>
      <c r="E6" s="125">
        <v>50.99</v>
      </c>
      <c r="F6" s="124"/>
      <c r="G6" s="124"/>
      <c r="H6" s="124"/>
      <c r="I6" s="124"/>
      <c r="J6" s="124"/>
      <c r="K6" s="124"/>
      <c r="L6" s="124">
        <v>11</v>
      </c>
      <c r="M6" s="124">
        <v>36</v>
      </c>
      <c r="N6" s="125">
        <v>67.27</v>
      </c>
      <c r="O6" s="124"/>
      <c r="P6" s="124"/>
      <c r="Q6" s="124"/>
      <c r="R6" s="124"/>
      <c r="S6" s="124"/>
      <c r="T6" s="124"/>
      <c r="U6" s="124">
        <v>0</v>
      </c>
      <c r="V6" s="124">
        <v>0</v>
      </c>
      <c r="W6" s="124"/>
      <c r="X6" s="124">
        <v>1600</v>
      </c>
      <c r="Y6" s="124">
        <v>906</v>
      </c>
      <c r="Z6" s="124">
        <v>14</v>
      </c>
      <c r="AA6" s="124">
        <v>1</v>
      </c>
      <c r="AB6" s="124"/>
      <c r="AC6" s="124"/>
      <c r="AD6" s="124"/>
      <c r="AE6" s="126" t="inlineStr">
        <is>
          <t xml:space="preserve">Spot</t>
        </is>
      </c>
      <c r="AG6" s="467" t="inlineStr">
        <is>
          <t xml:space="preserve">• Células CINZA = indicador que o cliente não usa (a planilha não deixa digitar).</t>
        </is>
      </c>
    </row>
    <row r="7">
      <c r="A7" s="122">
        <v>46235</v>
      </c>
      <c r="B7" s="123" t="inlineStr">
        <is>
          <t xml:space="preserve">GE VERNOVA</t>
        </is>
      </c>
      <c r="C7" s="124">
        <v>4</v>
      </c>
      <c r="D7" s="124">
        <v>69</v>
      </c>
      <c r="E7" s="125"/>
      <c r="F7" s="124"/>
      <c r="G7" s="124"/>
      <c r="H7" s="124"/>
      <c r="I7" s="124"/>
      <c r="J7" s="124">
        <v>323</v>
      </c>
      <c r="K7" s="124">
        <v>97</v>
      </c>
      <c r="L7" s="124">
        <v>2</v>
      </c>
      <c r="M7" s="124">
        <v>33</v>
      </c>
      <c r="N7" s="125"/>
      <c r="O7" s="124"/>
      <c r="P7" s="124"/>
      <c r="Q7" s="124"/>
      <c r="R7" s="124"/>
      <c r="S7" s="124">
        <v>198</v>
      </c>
      <c r="T7" s="124">
        <v>86</v>
      </c>
      <c r="U7" s="124">
        <v>0</v>
      </c>
      <c r="V7" s="124">
        <v>0</v>
      </c>
      <c r="W7" s="124"/>
      <c r="X7" s="124">
        <v>900</v>
      </c>
      <c r="Y7" s="124">
        <v>713</v>
      </c>
      <c r="Z7" s="124">
        <v>14</v>
      </c>
      <c r="AA7" s="124"/>
      <c r="AB7" s="124"/>
      <c r="AC7" s="124"/>
      <c r="AD7" s="124"/>
      <c r="AE7" s="126" t="inlineStr">
        <is>
          <t xml:space="preserve">Contrato</t>
        </is>
      </c>
      <c r="AG7" s="467" t="inlineStr">
        <is>
          <t xml:space="preserve">• Números: só 0 ou maior. Toneladas aceitam casas decimais. Em branco = não medido.</t>
        </is>
      </c>
    </row>
    <row r="8">
      <c r="A8" s="122">
        <v>46235</v>
      </c>
      <c r="B8" s="123" t="inlineStr">
        <is>
          <t xml:space="preserve">VESTAS</t>
        </is>
      </c>
      <c r="C8" s="124">
        <v>2</v>
      </c>
      <c r="D8" s="124"/>
      <c r="E8" s="125"/>
      <c r="F8" s="124"/>
      <c r="G8" s="124"/>
      <c r="H8" s="124"/>
      <c r="I8" s="124"/>
      <c r="J8" s="124"/>
      <c r="K8" s="124">
        <v>60</v>
      </c>
      <c r="L8" s="124">
        <v>3</v>
      </c>
      <c r="M8" s="124"/>
      <c r="N8" s="125"/>
      <c r="O8" s="124"/>
      <c r="P8" s="124"/>
      <c r="Q8" s="124"/>
      <c r="R8" s="124"/>
      <c r="S8" s="124"/>
      <c r="T8" s="124">
        <v>22</v>
      </c>
      <c r="U8" s="124">
        <v>0</v>
      </c>
      <c r="V8" s="124">
        <v>0</v>
      </c>
      <c r="W8" s="124">
        <v>7</v>
      </c>
      <c r="X8" s="124">
        <v>600</v>
      </c>
      <c r="Y8" s="124">
        <v>430</v>
      </c>
      <c r="Z8" s="124">
        <v>11</v>
      </c>
      <c r="AA8" s="124">
        <v>1</v>
      </c>
      <c r="AB8" s="124"/>
      <c r="AC8" s="124"/>
      <c r="AD8" s="124"/>
      <c r="AE8" s="126" t="inlineStr">
        <is>
          <t xml:space="preserve">Cross</t>
        </is>
      </c>
      <c r="AG8" s="468" t="inlineStr">
        <is>
          <t xml:space="preserve">SOMA NO MÊS</t>
        </is>
      </c>
    </row>
    <row r="9">
      <c r="A9" s="122">
        <v>46235</v>
      </c>
      <c r="B9" s="123" t="inlineStr">
        <is>
          <t xml:space="preserve">VEDACIT</t>
        </is>
      </c>
      <c r="C9" s="124">
        <v>7</v>
      </c>
      <c r="D9" s="124">
        <v>140</v>
      </c>
      <c r="E9" s="125"/>
      <c r="F9" s="124"/>
      <c r="G9" s="124"/>
      <c r="H9" s="124"/>
      <c r="I9" s="124"/>
      <c r="J9" s="124"/>
      <c r="K9" s="124"/>
      <c r="L9" s="124">
        <v>4</v>
      </c>
      <c r="M9" s="124">
        <v>78</v>
      </c>
      <c r="N9" s="125"/>
      <c r="O9" s="124"/>
      <c r="P9" s="124"/>
      <c r="Q9" s="124"/>
      <c r="R9" s="124"/>
      <c r="S9" s="124"/>
      <c r="T9" s="124"/>
      <c r="U9" s="124">
        <v>0</v>
      </c>
      <c r="V9" s="124">
        <v>0</v>
      </c>
      <c r="W9" s="124"/>
      <c r="X9" s="124">
        <v>1400</v>
      </c>
      <c r="Y9" s="124">
        <v>858</v>
      </c>
      <c r="Z9" s="124">
        <v>6</v>
      </c>
      <c r="AA9" s="124"/>
      <c r="AB9" s="124"/>
      <c r="AC9" s="124">
        <v>1</v>
      </c>
      <c r="AD9" s="124"/>
      <c r="AE9" s="126" t="inlineStr">
        <is>
          <t xml:space="preserve">Contrato</t>
        </is>
      </c>
      <c r="AG9" s="467" t="inlineStr">
        <is>
          <t xml:space="preserve">• Fluxos de IN e OUT, incidentes, no show, falta, folga, férias e desligamentos: valor do dia.</t>
        </is>
      </c>
    </row>
    <row r="10">
      <c r="A10" s="122">
        <v>46235</v>
      </c>
      <c r="B10" s="123" t="inlineStr">
        <is>
          <t xml:space="preserve">OMNLIFE</t>
        </is>
      </c>
      <c r="C10" s="124">
        <v>3</v>
      </c>
      <c r="D10" s="124">
        <v>59</v>
      </c>
      <c r="E10" s="125"/>
      <c r="F10" s="124"/>
      <c r="G10" s="124"/>
      <c r="H10" s="124"/>
      <c r="I10" s="124"/>
      <c r="J10" s="124"/>
      <c r="K10" s="124"/>
      <c r="L10" s="124">
        <v>3</v>
      </c>
      <c r="M10" s="124">
        <v>94</v>
      </c>
      <c r="N10" s="125"/>
      <c r="O10" s="124"/>
      <c r="P10" s="124"/>
      <c r="Q10" s="124"/>
      <c r="R10" s="124"/>
      <c r="S10" s="124"/>
      <c r="T10" s="124"/>
      <c r="U10" s="124">
        <v>0</v>
      </c>
      <c r="V10" s="124">
        <v>0</v>
      </c>
      <c r="W10" s="124">
        <v>1</v>
      </c>
      <c r="X10" s="124">
        <v>500</v>
      </c>
      <c r="Y10" s="124">
        <v>370</v>
      </c>
      <c r="Z10" s="124">
        <v>14</v>
      </c>
      <c r="AA10" s="124"/>
      <c r="AB10" s="124"/>
      <c r="AC10" s="124"/>
      <c r="AD10" s="124"/>
      <c r="AE10" s="126" t="inlineStr">
        <is>
          <t xml:space="preserve">Spot</t>
        </is>
      </c>
      <c r="AG10" s="468" t="inlineStr">
        <is>
          <t xml:space="preserve">ÚLTIMO VALOR DO MÊS</t>
        </is>
      </c>
    </row>
    <row r="11">
      <c r="A11" s="122">
        <v>46235</v>
      </c>
      <c r="B11" s="123" t="inlineStr">
        <is>
          <t xml:space="preserve">ALPARGATAS</t>
        </is>
      </c>
      <c r="C11" s="124">
        <v>6</v>
      </c>
      <c r="D11" s="124"/>
      <c r="E11" s="125"/>
      <c r="F11" s="124">
        <v>436</v>
      </c>
      <c r="G11" s="124"/>
      <c r="H11" s="124"/>
      <c r="I11" s="124"/>
      <c r="J11" s="124"/>
      <c r="K11" s="124"/>
      <c r="L11" s="124">
        <v>2</v>
      </c>
      <c r="M11" s="124"/>
      <c r="N11" s="125"/>
      <c r="O11" s="124">
        <v>780</v>
      </c>
      <c r="P11" s="124"/>
      <c r="Q11" s="124"/>
      <c r="R11" s="124"/>
      <c r="S11" s="124"/>
      <c r="T11" s="124"/>
      <c r="U11" s="124">
        <v>0</v>
      </c>
      <c r="V11" s="124">
        <v>0</v>
      </c>
      <c r="W11" s="124">
        <v>0</v>
      </c>
      <c r="X11" s="124">
        <v>1800</v>
      </c>
      <c r="Y11" s="124">
        <v>1418</v>
      </c>
      <c r="Z11" s="124">
        <v>12</v>
      </c>
      <c r="AA11" s="124">
        <v>1</v>
      </c>
      <c r="AB11" s="124"/>
      <c r="AC11" s="124">
        <v>1</v>
      </c>
      <c r="AD11" s="124"/>
      <c r="AE11" s="126" t="inlineStr">
        <is>
          <t xml:space="preserve">Contrato</t>
        </is>
      </c>
      <c r="AG11" s="467" t="inlineStr">
        <is>
          <t xml:space="preserve">• Backlog, posições disponíveis/ocupadas e efetivo: posição do dia (vale o último lançado).</t>
        </is>
      </c>
    </row>
    <row r="12">
      <c r="A12" s="122">
        <v>46237</v>
      </c>
      <c r="B12" s="123" t="inlineStr">
        <is>
          <t xml:space="preserve">BASF</t>
        </is>
      </c>
      <c r="C12" s="124">
        <v>6</v>
      </c>
      <c r="D12" s="124">
        <v>40</v>
      </c>
      <c r="E12" s="125">
        <v>46.53</v>
      </c>
      <c r="F12" s="124"/>
      <c r="G12" s="124"/>
      <c r="H12" s="124"/>
      <c r="I12" s="124"/>
      <c r="J12" s="124"/>
      <c r="K12" s="124"/>
      <c r="L12" s="124">
        <v>5</v>
      </c>
      <c r="M12" s="124">
        <v>70</v>
      </c>
      <c r="N12" s="125">
        <v>30.36</v>
      </c>
      <c r="O12" s="124"/>
      <c r="P12" s="124"/>
      <c r="Q12" s="124"/>
      <c r="R12" s="124"/>
      <c r="S12" s="124"/>
      <c r="T12" s="124"/>
      <c r="U12" s="124">
        <v>0</v>
      </c>
      <c r="V12" s="124">
        <v>0</v>
      </c>
      <c r="W12" s="124"/>
      <c r="X12" s="124">
        <v>2200</v>
      </c>
      <c r="Y12" s="124">
        <v>1657</v>
      </c>
      <c r="Z12" s="124">
        <v>5</v>
      </c>
      <c r="AA12" s="124">
        <v>1</v>
      </c>
      <c r="AB12" s="124"/>
      <c r="AC12" s="124"/>
      <c r="AD12" s="124"/>
      <c r="AE12" s="126" t="inlineStr">
        <is>
          <t xml:space="preserve">Contrato</t>
        </is>
      </c>
      <c r="AG12" s="468" t="inlineStr">
        <is>
          <t xml:space="preserve">ALERTAS</t>
        </is>
      </c>
    </row>
    <row r="13">
      <c r="A13" s="122">
        <v>46237</v>
      </c>
      <c r="B13" s="123" t="inlineStr">
        <is>
          <t xml:space="preserve">BEAUTYBIZ</t>
        </is>
      </c>
      <c r="C13" s="124">
        <v>6</v>
      </c>
      <c r="D13" s="124">
        <v>92</v>
      </c>
      <c r="E13" s="125"/>
      <c r="F13" s="124">
        <v>751</v>
      </c>
      <c r="G13" s="124"/>
      <c r="H13" s="124"/>
      <c r="I13" s="124"/>
      <c r="J13" s="124"/>
      <c r="K13" s="124"/>
      <c r="L13" s="124">
        <v>11</v>
      </c>
      <c r="M13" s="124">
        <v>70</v>
      </c>
      <c r="N13" s="125"/>
      <c r="O13" s="124"/>
      <c r="P13" s="124">
        <v>507</v>
      </c>
      <c r="Q13" s="124"/>
      <c r="R13" s="124"/>
      <c r="S13" s="124"/>
      <c r="T13" s="124"/>
      <c r="U13" s="124">
        <v>0</v>
      </c>
      <c r="V13" s="124">
        <v>0</v>
      </c>
      <c r="W13" s="124">
        <v>2</v>
      </c>
      <c r="X13" s="124">
        <v>1200</v>
      </c>
      <c r="Y13" s="124">
        <v>1010</v>
      </c>
      <c r="Z13" s="124">
        <v>8</v>
      </c>
      <c r="AA13" s="124"/>
      <c r="AB13" s="124"/>
      <c r="AC13" s="124"/>
      <c r="AD13" s="124"/>
      <c r="AE13" s="126" t="inlineStr">
        <is>
          <t xml:space="preserve">Contrato</t>
        </is>
      </c>
      <c r="AG13" s="467" t="inlineStr">
        <is>
          <t xml:space="preserve">• Vermelho: mesma data e cliente lançados duas vezes.</t>
        </is>
      </c>
    </row>
    <row r="14">
      <c r="A14" s="122">
        <v>46237</v>
      </c>
      <c r="B14" s="123" t="inlineStr">
        <is>
          <t xml:space="preserve">BOTICÁRIO</t>
        </is>
      </c>
      <c r="C14" s="124">
        <v>5</v>
      </c>
      <c r="D14" s="124"/>
      <c r="E14" s="125"/>
      <c r="F14" s="124"/>
      <c r="G14" s="124">
        <v>3414</v>
      </c>
      <c r="H14" s="124">
        <v>276</v>
      </c>
      <c r="I14" s="124">
        <v>590</v>
      </c>
      <c r="J14" s="124"/>
      <c r="K14" s="124"/>
      <c r="L14" s="124">
        <v>9</v>
      </c>
      <c r="M14" s="124">
        <v>53</v>
      </c>
      <c r="N14" s="125"/>
      <c r="O14" s="124"/>
      <c r="P14" s="124"/>
      <c r="Q14" s="124">
        <v>946</v>
      </c>
      <c r="R14" s="124">
        <v>2963</v>
      </c>
      <c r="S14" s="124"/>
      <c r="T14" s="124"/>
      <c r="U14" s="124">
        <v>0</v>
      </c>
      <c r="V14" s="124">
        <v>0</v>
      </c>
      <c r="W14" s="124">
        <v>15</v>
      </c>
      <c r="X14" s="124">
        <v>3500</v>
      </c>
      <c r="Y14" s="124">
        <v>2447</v>
      </c>
      <c r="Z14" s="124">
        <v>4</v>
      </c>
      <c r="AA14" s="124"/>
      <c r="AB14" s="124"/>
      <c r="AC14" s="124"/>
      <c r="AD14" s="124"/>
      <c r="AE14" s="126" t="inlineStr">
        <is>
          <t xml:space="preserve">Contrato</t>
        </is>
      </c>
      <c r="AG14" s="467" t="inlineStr">
        <is>
          <t xml:space="preserve">• Amarelo: linha incompleta (data sem cliente ou o contrário) ou posições ocupadas maiores que as disponíveis.</t>
        </is>
      </c>
    </row>
    <row r="15">
      <c r="A15" s="122">
        <v>46237</v>
      </c>
      <c r="B15" s="123" t="inlineStr">
        <is>
          <t xml:space="preserve">SUPPLY</t>
        </is>
      </c>
      <c r="C15" s="124">
        <v>6</v>
      </c>
      <c r="D15" s="124">
        <v>68</v>
      </c>
      <c r="E15" s="125">
        <v>116.07</v>
      </c>
      <c r="F15" s="124"/>
      <c r="G15" s="124"/>
      <c r="H15" s="124"/>
      <c r="I15" s="124"/>
      <c r="J15" s="124"/>
      <c r="K15" s="124"/>
      <c r="L15" s="124">
        <v>9</v>
      </c>
      <c r="M15" s="124">
        <v>68</v>
      </c>
      <c r="N15" s="125">
        <v>136.81</v>
      </c>
      <c r="O15" s="124"/>
      <c r="P15" s="124"/>
      <c r="Q15" s="124"/>
      <c r="R15" s="124"/>
      <c r="S15" s="124"/>
      <c r="T15" s="124"/>
      <c r="U15" s="124">
        <v>0</v>
      </c>
      <c r="V15" s="124">
        <v>0</v>
      </c>
      <c r="W15" s="124"/>
      <c r="X15" s="124">
        <v>1600</v>
      </c>
      <c r="Y15" s="124">
        <v>1106</v>
      </c>
      <c r="Z15" s="124">
        <v>11</v>
      </c>
      <c r="AA15" s="124"/>
      <c r="AB15" s="124"/>
      <c r="AC15" s="124"/>
      <c r="AD15" s="124"/>
      <c r="AE15" s="126" t="inlineStr">
        <is>
          <t xml:space="preserve">Spot</t>
        </is>
      </c>
      <c r="AG15" s="467" t="inlineStr">
        <is>
          <t xml:space="preserve">• Monitoramento, Indicadores e Quadro leem esta aba automaticamente.</t>
        </is>
      </c>
    </row>
    <row r="16">
      <c r="A16" s="122">
        <v>46237</v>
      </c>
      <c r="B16" s="123" t="inlineStr">
        <is>
          <t xml:space="preserve">GE VERNOVA</t>
        </is>
      </c>
      <c r="C16" s="124">
        <v>6</v>
      </c>
      <c r="D16" s="124">
        <v>131</v>
      </c>
      <c r="E16" s="125"/>
      <c r="F16" s="124"/>
      <c r="G16" s="124"/>
      <c r="H16" s="124"/>
      <c r="I16" s="124"/>
      <c r="J16" s="124">
        <v>96</v>
      </c>
      <c r="K16" s="124">
        <v>82</v>
      </c>
      <c r="L16" s="124">
        <v>11</v>
      </c>
      <c r="M16" s="124">
        <v>129</v>
      </c>
      <c r="N16" s="125"/>
      <c r="O16" s="124"/>
      <c r="P16" s="124"/>
      <c r="Q16" s="124"/>
      <c r="R16" s="124"/>
      <c r="S16" s="124">
        <v>462</v>
      </c>
      <c r="T16" s="124">
        <v>62</v>
      </c>
      <c r="U16" s="124">
        <v>0</v>
      </c>
      <c r="V16" s="124">
        <v>0</v>
      </c>
      <c r="W16" s="124"/>
      <c r="X16" s="124">
        <v>900</v>
      </c>
      <c r="Y16" s="124">
        <v>797</v>
      </c>
      <c r="Z16" s="124">
        <v>10</v>
      </c>
      <c r="AA16" s="124"/>
      <c r="AB16" s="124"/>
      <c r="AC16" s="124"/>
      <c r="AD16" s="124"/>
      <c r="AE16" s="126" t="inlineStr">
        <is>
          <t xml:space="preserve">Contrato</t>
        </is>
      </c>
    </row>
    <row r="17">
      <c r="A17" s="122">
        <v>46237</v>
      </c>
      <c r="B17" s="123" t="inlineStr">
        <is>
          <t xml:space="preserve">VESTAS</t>
        </is>
      </c>
      <c r="C17" s="124">
        <v>8</v>
      </c>
      <c r="D17" s="124"/>
      <c r="E17" s="125"/>
      <c r="F17" s="124"/>
      <c r="G17" s="124"/>
      <c r="H17" s="124"/>
      <c r="I17" s="124"/>
      <c r="J17" s="124"/>
      <c r="K17" s="124">
        <v>13</v>
      </c>
      <c r="L17" s="124">
        <v>7</v>
      </c>
      <c r="M17" s="124"/>
      <c r="N17" s="125"/>
      <c r="O17" s="124"/>
      <c r="P17" s="124"/>
      <c r="Q17" s="124"/>
      <c r="R17" s="124"/>
      <c r="S17" s="124"/>
      <c r="T17" s="124">
        <v>61</v>
      </c>
      <c r="U17" s="124">
        <v>0</v>
      </c>
      <c r="V17" s="124">
        <v>0</v>
      </c>
      <c r="W17" s="124"/>
      <c r="X17" s="124">
        <v>600</v>
      </c>
      <c r="Y17" s="124">
        <v>449</v>
      </c>
      <c r="Z17" s="124">
        <v>9</v>
      </c>
      <c r="AA17" s="124"/>
      <c r="AB17" s="124"/>
      <c r="AC17" s="124">
        <v>1</v>
      </c>
      <c r="AD17" s="124"/>
      <c r="AE17" s="126" t="inlineStr">
        <is>
          <t xml:space="preserve">Cross</t>
        </is>
      </c>
    </row>
    <row r="18">
      <c r="A18" s="122">
        <v>46237</v>
      </c>
      <c r="B18" s="123" t="inlineStr">
        <is>
          <t xml:space="preserve">VEDACIT</t>
        </is>
      </c>
      <c r="C18" s="124">
        <v>7</v>
      </c>
      <c r="D18" s="124">
        <v>34</v>
      </c>
      <c r="E18" s="125"/>
      <c r="F18" s="124"/>
      <c r="G18" s="124"/>
      <c r="H18" s="124"/>
      <c r="I18" s="124"/>
      <c r="J18" s="124"/>
      <c r="K18" s="124"/>
      <c r="L18" s="124">
        <v>9</v>
      </c>
      <c r="M18" s="124">
        <v>39</v>
      </c>
      <c r="N18" s="125"/>
      <c r="O18" s="124"/>
      <c r="P18" s="124"/>
      <c r="Q18" s="124"/>
      <c r="R18" s="124"/>
      <c r="S18" s="124"/>
      <c r="T18" s="124"/>
      <c r="U18" s="124">
        <v>0</v>
      </c>
      <c r="V18" s="124">
        <v>0</v>
      </c>
      <c r="W18" s="124"/>
      <c r="X18" s="124">
        <v>1400</v>
      </c>
      <c r="Y18" s="124">
        <v>786</v>
      </c>
      <c r="Z18" s="124">
        <v>7</v>
      </c>
      <c r="AA18" s="124"/>
      <c r="AB18" s="124"/>
      <c r="AC18" s="124"/>
      <c r="AD18" s="124"/>
      <c r="AE18" s="126" t="inlineStr">
        <is>
          <t xml:space="preserve">Contrato</t>
        </is>
      </c>
    </row>
    <row r="19">
      <c r="A19" s="122">
        <v>46237</v>
      </c>
      <c r="B19" s="123" t="inlineStr">
        <is>
          <t xml:space="preserve">OMNLIFE</t>
        </is>
      </c>
      <c r="C19" s="124">
        <v>4</v>
      </c>
      <c r="D19" s="124">
        <v>38</v>
      </c>
      <c r="E19" s="125"/>
      <c r="F19" s="124"/>
      <c r="G19" s="124"/>
      <c r="H19" s="124"/>
      <c r="I19" s="124"/>
      <c r="J19" s="124"/>
      <c r="K19" s="124"/>
      <c r="L19" s="124">
        <v>11</v>
      </c>
      <c r="M19" s="124">
        <v>69</v>
      </c>
      <c r="N19" s="125"/>
      <c r="O19" s="124"/>
      <c r="P19" s="124"/>
      <c r="Q19" s="124"/>
      <c r="R19" s="124"/>
      <c r="S19" s="124"/>
      <c r="T19" s="124"/>
      <c r="U19" s="124">
        <v>0</v>
      </c>
      <c r="V19" s="124">
        <v>0</v>
      </c>
      <c r="W19" s="124"/>
      <c r="X19" s="124">
        <v>500</v>
      </c>
      <c r="Y19" s="124">
        <v>363</v>
      </c>
      <c r="Z19" s="124">
        <v>12</v>
      </c>
      <c r="AA19" s="124">
        <v>1</v>
      </c>
      <c r="AB19" s="124"/>
      <c r="AC19" s="124"/>
      <c r="AD19" s="124"/>
      <c r="AE19" s="126" t="inlineStr">
        <is>
          <t xml:space="preserve">Spot</t>
        </is>
      </c>
    </row>
    <row r="20">
      <c r="A20" s="122">
        <v>46237</v>
      </c>
      <c r="B20" s="123" t="inlineStr">
        <is>
          <t xml:space="preserve">ALPARGATAS</t>
        </is>
      </c>
      <c r="C20" s="124">
        <v>7</v>
      </c>
      <c r="D20" s="124"/>
      <c r="E20" s="125"/>
      <c r="F20" s="124">
        <v>1638</v>
      </c>
      <c r="G20" s="124"/>
      <c r="H20" s="124"/>
      <c r="I20" s="124"/>
      <c r="J20" s="124"/>
      <c r="K20" s="124"/>
      <c r="L20" s="124">
        <v>9</v>
      </c>
      <c r="M20" s="124"/>
      <c r="N20" s="125"/>
      <c r="O20" s="124">
        <v>644</v>
      </c>
      <c r="P20" s="124"/>
      <c r="Q20" s="124"/>
      <c r="R20" s="124"/>
      <c r="S20" s="124"/>
      <c r="T20" s="124"/>
      <c r="U20" s="124">
        <v>0</v>
      </c>
      <c r="V20" s="124">
        <v>0</v>
      </c>
      <c r="W20" s="124">
        <v>1</v>
      </c>
      <c r="X20" s="124">
        <v>1800</v>
      </c>
      <c r="Y20" s="124">
        <v>1236</v>
      </c>
      <c r="Z20" s="124">
        <v>12</v>
      </c>
      <c r="AA20" s="124"/>
      <c r="AB20" s="124"/>
      <c r="AC20" s="124"/>
      <c r="AD20" s="124"/>
      <c r="AE20" s="126" t="inlineStr">
        <is>
          <t xml:space="preserve">Contrato</t>
        </is>
      </c>
    </row>
    <row r="21">
      <c r="A21" s="122">
        <v>46238</v>
      </c>
      <c r="B21" s="123" t="inlineStr">
        <is>
          <t xml:space="preserve">BASF</t>
        </is>
      </c>
      <c r="C21" s="124">
        <v>2</v>
      </c>
      <c r="D21" s="124">
        <v>46</v>
      </c>
      <c r="E21" s="125">
        <v>20.27</v>
      </c>
      <c r="F21" s="124"/>
      <c r="G21" s="124"/>
      <c r="H21" s="124"/>
      <c r="I21" s="124"/>
      <c r="J21" s="124"/>
      <c r="K21" s="124"/>
      <c r="L21" s="124">
        <v>2</v>
      </c>
      <c r="M21" s="124">
        <v>83</v>
      </c>
      <c r="N21" s="125">
        <v>18.48</v>
      </c>
      <c r="O21" s="124"/>
      <c r="P21" s="124"/>
      <c r="Q21" s="124"/>
      <c r="R21" s="124"/>
      <c r="S21" s="124"/>
      <c r="T21" s="124"/>
      <c r="U21" s="124">
        <v>0</v>
      </c>
      <c r="V21" s="124">
        <v>1</v>
      </c>
      <c r="W21" s="124"/>
      <c r="X21" s="124">
        <v>2200</v>
      </c>
      <c r="Y21" s="124">
        <v>2109</v>
      </c>
      <c r="Z21" s="124">
        <v>13</v>
      </c>
      <c r="AA21" s="124"/>
      <c r="AB21" s="124"/>
      <c r="AC21" s="124"/>
      <c r="AD21" s="124"/>
      <c r="AE21" s="126" t="inlineStr">
        <is>
          <t xml:space="preserve">Contrato</t>
        </is>
      </c>
    </row>
    <row r="22">
      <c r="A22" s="122">
        <v>46238</v>
      </c>
      <c r="B22" s="123" t="inlineStr">
        <is>
          <t xml:space="preserve">BEAUTYBIZ</t>
        </is>
      </c>
      <c r="C22" s="124">
        <v>5</v>
      </c>
      <c r="D22" s="124">
        <v>151</v>
      </c>
      <c r="E22" s="125"/>
      <c r="F22" s="124">
        <v>1838</v>
      </c>
      <c r="G22" s="124"/>
      <c r="H22" s="124"/>
      <c r="I22" s="124"/>
      <c r="J22" s="124"/>
      <c r="K22" s="124"/>
      <c r="L22" s="124">
        <v>10</v>
      </c>
      <c r="M22" s="124">
        <v>151</v>
      </c>
      <c r="N22" s="125"/>
      <c r="O22" s="124"/>
      <c r="P22" s="124">
        <v>240</v>
      </c>
      <c r="Q22" s="124"/>
      <c r="R22" s="124"/>
      <c r="S22" s="124"/>
      <c r="T22" s="124"/>
      <c r="U22" s="124">
        <v>0</v>
      </c>
      <c r="V22" s="124">
        <v>0</v>
      </c>
      <c r="W22" s="124"/>
      <c r="X22" s="124">
        <v>1200</v>
      </c>
      <c r="Y22" s="124">
        <v>729</v>
      </c>
      <c r="Z22" s="124">
        <v>5</v>
      </c>
      <c r="AA22" s="124"/>
      <c r="AB22" s="124"/>
      <c r="AC22" s="124"/>
      <c r="AD22" s="124"/>
      <c r="AE22" s="126" t="inlineStr">
        <is>
          <t xml:space="preserve">Contrato</t>
        </is>
      </c>
    </row>
    <row r="23">
      <c r="A23" s="122">
        <v>46238</v>
      </c>
      <c r="B23" s="123" t="inlineStr">
        <is>
          <t xml:space="preserve">BOTICÁRIO</t>
        </is>
      </c>
      <c r="C23" s="124">
        <v>3</v>
      </c>
      <c r="D23" s="124"/>
      <c r="E23" s="125"/>
      <c r="F23" s="124"/>
      <c r="G23" s="124">
        <v>2374</v>
      </c>
      <c r="H23" s="124">
        <v>101</v>
      </c>
      <c r="I23" s="124">
        <v>721</v>
      </c>
      <c r="J23" s="124"/>
      <c r="K23" s="124"/>
      <c r="L23" s="124">
        <v>11</v>
      </c>
      <c r="M23" s="124">
        <v>55</v>
      </c>
      <c r="N23" s="125"/>
      <c r="O23" s="124"/>
      <c r="P23" s="124"/>
      <c r="Q23" s="124">
        <v>825</v>
      </c>
      <c r="R23" s="124">
        <v>4246</v>
      </c>
      <c r="S23" s="124"/>
      <c r="T23" s="124"/>
      <c r="U23" s="124">
        <v>0</v>
      </c>
      <c r="V23" s="124">
        <v>0</v>
      </c>
      <c r="W23" s="124"/>
      <c r="X23" s="124">
        <v>3500</v>
      </c>
      <c r="Y23" s="124">
        <v>2063</v>
      </c>
      <c r="Z23" s="124">
        <v>11</v>
      </c>
      <c r="AA23" s="124"/>
      <c r="AB23" s="124"/>
      <c r="AC23" s="124"/>
      <c r="AD23" s="124"/>
      <c r="AE23" s="126" t="inlineStr">
        <is>
          <t xml:space="preserve">Contrato</t>
        </is>
      </c>
    </row>
    <row r="24">
      <c r="A24" s="122">
        <v>46238</v>
      </c>
      <c r="B24" s="123" t="inlineStr">
        <is>
          <t xml:space="preserve">SUPPLY</t>
        </is>
      </c>
      <c r="C24" s="124">
        <v>8</v>
      </c>
      <c r="D24" s="124">
        <v>76</v>
      </c>
      <c r="E24" s="125">
        <v>67.66</v>
      </c>
      <c r="F24" s="124"/>
      <c r="G24" s="124"/>
      <c r="H24" s="124"/>
      <c r="I24" s="124"/>
      <c r="J24" s="124"/>
      <c r="K24" s="124"/>
      <c r="L24" s="124">
        <v>5</v>
      </c>
      <c r="M24" s="124">
        <v>32</v>
      </c>
      <c r="N24" s="125">
        <v>60.74</v>
      </c>
      <c r="O24" s="124"/>
      <c r="P24" s="124"/>
      <c r="Q24" s="124"/>
      <c r="R24" s="124"/>
      <c r="S24" s="124"/>
      <c r="T24" s="124"/>
      <c r="U24" s="124">
        <v>0</v>
      </c>
      <c r="V24" s="124">
        <v>0</v>
      </c>
      <c r="W24" s="124"/>
      <c r="X24" s="124">
        <v>1600</v>
      </c>
      <c r="Y24" s="124">
        <v>1138</v>
      </c>
      <c r="Z24" s="124">
        <v>12</v>
      </c>
      <c r="AA24" s="124"/>
      <c r="AB24" s="124"/>
      <c r="AC24" s="124"/>
      <c r="AD24" s="124"/>
      <c r="AE24" s="126" t="inlineStr">
        <is>
          <t xml:space="preserve">Spot</t>
        </is>
      </c>
    </row>
    <row r="25">
      <c r="A25" s="122">
        <v>46238</v>
      </c>
      <c r="B25" s="123" t="inlineStr">
        <is>
          <t xml:space="preserve">GE VERNOVA</t>
        </is>
      </c>
      <c r="C25" s="124">
        <v>7</v>
      </c>
      <c r="D25" s="124">
        <v>156</v>
      </c>
      <c r="E25" s="125"/>
      <c r="F25" s="124"/>
      <c r="G25" s="124"/>
      <c r="H25" s="124"/>
      <c r="I25" s="124"/>
      <c r="J25" s="124">
        <v>107</v>
      </c>
      <c r="K25" s="124">
        <v>39</v>
      </c>
      <c r="L25" s="124">
        <v>2</v>
      </c>
      <c r="M25" s="124">
        <v>129</v>
      </c>
      <c r="N25" s="125"/>
      <c r="O25" s="124"/>
      <c r="P25" s="124"/>
      <c r="Q25" s="124"/>
      <c r="R25" s="124"/>
      <c r="S25" s="124">
        <v>198</v>
      </c>
      <c r="T25" s="124">
        <v>24</v>
      </c>
      <c r="U25" s="124">
        <v>0</v>
      </c>
      <c r="V25" s="124">
        <v>0</v>
      </c>
      <c r="W25" s="124"/>
      <c r="X25" s="124">
        <v>900</v>
      </c>
      <c r="Y25" s="124">
        <v>592</v>
      </c>
      <c r="Z25" s="124">
        <v>6</v>
      </c>
      <c r="AA25" s="124"/>
      <c r="AB25" s="124"/>
      <c r="AC25" s="124"/>
      <c r="AD25" s="124"/>
      <c r="AE25" s="126" t="inlineStr">
        <is>
          <t xml:space="preserve">Contrato</t>
        </is>
      </c>
    </row>
    <row r="26">
      <c r="A26" s="122">
        <v>46238</v>
      </c>
      <c r="B26" s="123" t="inlineStr">
        <is>
          <t xml:space="preserve">VESTAS</t>
        </is>
      </c>
      <c r="C26" s="124">
        <v>3</v>
      </c>
      <c r="D26" s="124"/>
      <c r="E26" s="125"/>
      <c r="F26" s="124"/>
      <c r="G26" s="124"/>
      <c r="H26" s="124"/>
      <c r="I26" s="124"/>
      <c r="J26" s="124"/>
      <c r="K26" s="124">
        <v>97</v>
      </c>
      <c r="L26" s="124">
        <v>3</v>
      </c>
      <c r="M26" s="124"/>
      <c r="N26" s="125"/>
      <c r="O26" s="124"/>
      <c r="P26" s="124"/>
      <c r="Q26" s="124"/>
      <c r="R26" s="124"/>
      <c r="S26" s="124"/>
      <c r="T26" s="124">
        <v>108</v>
      </c>
      <c r="U26" s="124">
        <v>0</v>
      </c>
      <c r="V26" s="124">
        <v>1</v>
      </c>
      <c r="W26" s="124">
        <v>8</v>
      </c>
      <c r="X26" s="124">
        <v>600</v>
      </c>
      <c r="Y26" s="124">
        <v>351</v>
      </c>
      <c r="Z26" s="124">
        <v>7</v>
      </c>
      <c r="AA26" s="124">
        <v>1</v>
      </c>
      <c r="AB26" s="124"/>
      <c r="AC26" s="124"/>
      <c r="AD26" s="124"/>
      <c r="AE26" s="126" t="inlineStr">
        <is>
          <t xml:space="preserve">Cross</t>
        </is>
      </c>
    </row>
    <row r="27">
      <c r="A27" s="122">
        <v>46238</v>
      </c>
      <c r="B27" s="123" t="inlineStr">
        <is>
          <t xml:space="preserve">VEDACIT</t>
        </is>
      </c>
      <c r="C27" s="124">
        <v>5</v>
      </c>
      <c r="D27" s="124">
        <v>149</v>
      </c>
      <c r="E27" s="125"/>
      <c r="F27" s="124"/>
      <c r="G27" s="124"/>
      <c r="H27" s="124"/>
      <c r="I27" s="124"/>
      <c r="J27" s="124"/>
      <c r="K27" s="124"/>
      <c r="L27" s="124">
        <v>4</v>
      </c>
      <c r="M27" s="124">
        <v>38</v>
      </c>
      <c r="N27" s="125"/>
      <c r="O27" s="124"/>
      <c r="P27" s="124"/>
      <c r="Q27" s="124"/>
      <c r="R27" s="124"/>
      <c r="S27" s="124"/>
      <c r="T27" s="124"/>
      <c r="U27" s="124">
        <v>0</v>
      </c>
      <c r="V27" s="124">
        <v>0</v>
      </c>
      <c r="W27" s="124">
        <v>5</v>
      </c>
      <c r="X27" s="124">
        <v>1400</v>
      </c>
      <c r="Y27" s="124">
        <v>923</v>
      </c>
      <c r="Z27" s="124">
        <v>6</v>
      </c>
      <c r="AA27" s="124"/>
      <c r="AB27" s="124"/>
      <c r="AC27" s="124"/>
      <c r="AD27" s="124"/>
      <c r="AE27" s="126" t="inlineStr">
        <is>
          <t xml:space="preserve">Contrato</t>
        </is>
      </c>
    </row>
    <row r="28">
      <c r="A28" s="122">
        <v>46238</v>
      </c>
      <c r="B28" s="123" t="inlineStr">
        <is>
          <t xml:space="preserve">OMNLIFE</t>
        </is>
      </c>
      <c r="C28" s="124">
        <v>4</v>
      </c>
      <c r="D28" s="124">
        <v>90</v>
      </c>
      <c r="E28" s="125"/>
      <c r="F28" s="124"/>
      <c r="G28" s="124"/>
      <c r="H28" s="124"/>
      <c r="I28" s="124"/>
      <c r="J28" s="124"/>
      <c r="K28" s="124"/>
      <c r="L28" s="124">
        <v>3</v>
      </c>
      <c r="M28" s="124">
        <v>68</v>
      </c>
      <c r="N28" s="125"/>
      <c r="O28" s="124"/>
      <c r="P28" s="124"/>
      <c r="Q28" s="124"/>
      <c r="R28" s="124"/>
      <c r="S28" s="124"/>
      <c r="T28" s="124"/>
      <c r="U28" s="124">
        <v>1</v>
      </c>
      <c r="V28" s="124">
        <v>0</v>
      </c>
      <c r="W28" s="124">
        <v>6</v>
      </c>
      <c r="X28" s="124">
        <v>500</v>
      </c>
      <c r="Y28" s="124">
        <v>382</v>
      </c>
      <c r="Z28" s="124">
        <v>7</v>
      </c>
      <c r="AA28" s="124"/>
      <c r="AB28" s="124"/>
      <c r="AC28" s="124"/>
      <c r="AD28" s="124"/>
      <c r="AE28" s="126" t="inlineStr">
        <is>
          <t xml:space="preserve">Spot</t>
        </is>
      </c>
    </row>
    <row r="29">
      <c r="A29" s="122">
        <v>46238</v>
      </c>
      <c r="B29" s="123" t="inlineStr">
        <is>
          <t xml:space="preserve">ALPARGATAS</t>
        </is>
      </c>
      <c r="C29" s="124">
        <v>5</v>
      </c>
      <c r="D29" s="124"/>
      <c r="E29" s="125"/>
      <c r="F29" s="124">
        <v>2136</v>
      </c>
      <c r="G29" s="124"/>
      <c r="H29" s="124"/>
      <c r="I29" s="124"/>
      <c r="J29" s="124"/>
      <c r="K29" s="124"/>
      <c r="L29" s="124">
        <v>5</v>
      </c>
      <c r="M29" s="124"/>
      <c r="N29" s="125"/>
      <c r="O29" s="124">
        <v>1465</v>
      </c>
      <c r="P29" s="124"/>
      <c r="Q29" s="124"/>
      <c r="R29" s="124"/>
      <c r="S29" s="124"/>
      <c r="T29" s="124"/>
      <c r="U29" s="124">
        <v>0</v>
      </c>
      <c r="V29" s="124">
        <v>0</v>
      </c>
      <c r="W29" s="124"/>
      <c r="X29" s="124">
        <v>1800</v>
      </c>
      <c r="Y29" s="124">
        <v>1619</v>
      </c>
      <c r="Z29" s="124">
        <v>14</v>
      </c>
      <c r="AA29" s="124">
        <v>1</v>
      </c>
      <c r="AB29" s="124"/>
      <c r="AC29" s="124"/>
      <c r="AD29" s="124"/>
      <c r="AE29" s="126" t="inlineStr">
        <is>
          <t xml:space="preserve">Contrato</t>
        </is>
      </c>
    </row>
    <row r="30">
      <c r="A30" s="122">
        <v>46239</v>
      </c>
      <c r="B30" s="123" t="inlineStr">
        <is>
          <t xml:space="preserve">BASF</t>
        </is>
      </c>
      <c r="C30" s="124">
        <v>2</v>
      </c>
      <c r="D30" s="124">
        <v>107</v>
      </c>
      <c r="E30" s="125">
        <v>124.98</v>
      </c>
      <c r="F30" s="124"/>
      <c r="G30" s="124"/>
      <c r="H30" s="124"/>
      <c r="I30" s="124"/>
      <c r="J30" s="124"/>
      <c r="K30" s="124"/>
      <c r="L30" s="124">
        <v>6</v>
      </c>
      <c r="M30" s="124">
        <v>27</v>
      </c>
      <c r="N30" s="125">
        <v>98.15</v>
      </c>
      <c r="O30" s="124"/>
      <c r="P30" s="124"/>
      <c r="Q30" s="124"/>
      <c r="R30" s="124"/>
      <c r="S30" s="124"/>
      <c r="T30" s="124"/>
      <c r="U30" s="124">
        <v>0</v>
      </c>
      <c r="V30" s="124">
        <v>0</v>
      </c>
      <c r="W30" s="124"/>
      <c r="X30" s="124">
        <v>2200</v>
      </c>
      <c r="Y30" s="124">
        <v>1763</v>
      </c>
      <c r="Z30" s="124">
        <v>8</v>
      </c>
      <c r="AA30" s="124">
        <v>1</v>
      </c>
      <c r="AB30" s="124"/>
      <c r="AC30" s="124"/>
      <c r="AD30" s="124">
        <v>1</v>
      </c>
      <c r="AE30" s="126" t="inlineStr">
        <is>
          <t xml:space="preserve">Contrato</t>
        </is>
      </c>
    </row>
    <row r="31">
      <c r="A31" s="122">
        <v>46239</v>
      </c>
      <c r="B31" s="123" t="inlineStr">
        <is>
          <t xml:space="preserve">BEAUTYBIZ</t>
        </is>
      </c>
      <c r="C31" s="124">
        <v>4</v>
      </c>
      <c r="D31" s="124">
        <v>66</v>
      </c>
      <c r="E31" s="125"/>
      <c r="F31" s="124">
        <v>2466</v>
      </c>
      <c r="G31" s="124"/>
      <c r="H31" s="124"/>
      <c r="I31" s="124"/>
      <c r="J31" s="124"/>
      <c r="K31" s="124"/>
      <c r="L31" s="124">
        <v>5</v>
      </c>
      <c r="M31" s="124">
        <v>24</v>
      </c>
      <c r="N31" s="125"/>
      <c r="O31" s="124"/>
      <c r="P31" s="124">
        <v>627</v>
      </c>
      <c r="Q31" s="124"/>
      <c r="R31" s="124"/>
      <c r="S31" s="124"/>
      <c r="T31" s="124"/>
      <c r="U31" s="124">
        <v>0</v>
      </c>
      <c r="V31" s="124">
        <v>0</v>
      </c>
      <c r="W31" s="124"/>
      <c r="X31" s="124">
        <v>1200</v>
      </c>
      <c r="Y31" s="124">
        <v>702</v>
      </c>
      <c r="Z31" s="124">
        <v>8</v>
      </c>
      <c r="AA31" s="124"/>
      <c r="AB31" s="124"/>
      <c r="AC31" s="124"/>
      <c r="AD31" s="124">
        <v>1</v>
      </c>
      <c r="AE31" s="126" t="inlineStr">
        <is>
          <t xml:space="preserve">Contrato</t>
        </is>
      </c>
    </row>
    <row r="32">
      <c r="A32" s="122">
        <v>46239</v>
      </c>
      <c r="B32" s="123" t="inlineStr">
        <is>
          <t xml:space="preserve">BOTICÁRIO</t>
        </is>
      </c>
      <c r="C32" s="124">
        <v>3</v>
      </c>
      <c r="D32" s="124"/>
      <c r="E32" s="125"/>
      <c r="F32" s="124"/>
      <c r="G32" s="124">
        <v>1266</v>
      </c>
      <c r="H32" s="124">
        <v>195</v>
      </c>
      <c r="I32" s="124">
        <v>133</v>
      </c>
      <c r="J32" s="124"/>
      <c r="K32" s="124"/>
      <c r="L32" s="124">
        <v>2</v>
      </c>
      <c r="M32" s="124">
        <v>101</v>
      </c>
      <c r="N32" s="125"/>
      <c r="O32" s="124"/>
      <c r="P32" s="124"/>
      <c r="Q32" s="124">
        <v>469</v>
      </c>
      <c r="R32" s="124">
        <v>3246</v>
      </c>
      <c r="S32" s="124"/>
      <c r="T32" s="124"/>
      <c r="U32" s="124">
        <v>0</v>
      </c>
      <c r="V32" s="124">
        <v>0</v>
      </c>
      <c r="W32" s="124"/>
      <c r="X32" s="124">
        <v>3500</v>
      </c>
      <c r="Y32" s="124">
        <v>2977</v>
      </c>
      <c r="Z32" s="124">
        <v>13</v>
      </c>
      <c r="AA32" s="124"/>
      <c r="AB32" s="124"/>
      <c r="AC32" s="124"/>
      <c r="AD32" s="124"/>
      <c r="AE32" s="126" t="inlineStr">
        <is>
          <t xml:space="preserve">Contrato</t>
        </is>
      </c>
    </row>
    <row r="33">
      <c r="A33" s="122">
        <v>46239</v>
      </c>
      <c r="B33" s="123" t="inlineStr">
        <is>
          <t xml:space="preserve">SUPPLY</t>
        </is>
      </c>
      <c r="C33" s="124">
        <v>7</v>
      </c>
      <c r="D33" s="124">
        <v>110</v>
      </c>
      <c r="E33" s="125">
        <v>20.47</v>
      </c>
      <c r="F33" s="124"/>
      <c r="G33" s="124"/>
      <c r="H33" s="124"/>
      <c r="I33" s="124"/>
      <c r="J33" s="124"/>
      <c r="K33" s="124"/>
      <c r="L33" s="124">
        <v>10</v>
      </c>
      <c r="M33" s="124">
        <v>144</v>
      </c>
      <c r="N33" s="125">
        <v>93.42</v>
      </c>
      <c r="O33" s="124"/>
      <c r="P33" s="124"/>
      <c r="Q33" s="124"/>
      <c r="R33" s="124"/>
      <c r="S33" s="124"/>
      <c r="T33" s="124"/>
      <c r="U33" s="124">
        <v>0</v>
      </c>
      <c r="V33" s="124">
        <v>0</v>
      </c>
      <c r="W33" s="124">
        <v>0</v>
      </c>
      <c r="X33" s="124">
        <v>1600</v>
      </c>
      <c r="Y33" s="124">
        <v>1435</v>
      </c>
      <c r="Z33" s="124">
        <v>13</v>
      </c>
      <c r="AA33" s="124"/>
      <c r="AB33" s="124"/>
      <c r="AC33" s="124"/>
      <c r="AD33" s="124"/>
      <c r="AE33" s="126" t="inlineStr">
        <is>
          <t xml:space="preserve">Spot</t>
        </is>
      </c>
    </row>
    <row r="34">
      <c r="A34" s="122">
        <v>46239</v>
      </c>
      <c r="B34" s="123" t="inlineStr">
        <is>
          <t xml:space="preserve">GE VERNOVA</t>
        </is>
      </c>
      <c r="C34" s="124">
        <v>2</v>
      </c>
      <c r="D34" s="124">
        <v>25</v>
      </c>
      <c r="E34" s="125"/>
      <c r="F34" s="124"/>
      <c r="G34" s="124"/>
      <c r="H34" s="124"/>
      <c r="I34" s="124"/>
      <c r="J34" s="124">
        <v>400</v>
      </c>
      <c r="K34" s="124">
        <v>115</v>
      </c>
      <c r="L34" s="124">
        <v>5</v>
      </c>
      <c r="M34" s="124">
        <v>83</v>
      </c>
      <c r="N34" s="125"/>
      <c r="O34" s="124"/>
      <c r="P34" s="124"/>
      <c r="Q34" s="124"/>
      <c r="R34" s="124"/>
      <c r="S34" s="124">
        <v>77</v>
      </c>
      <c r="T34" s="124">
        <v>12</v>
      </c>
      <c r="U34" s="124">
        <v>0</v>
      </c>
      <c r="V34" s="124">
        <v>0</v>
      </c>
      <c r="W34" s="124">
        <v>14</v>
      </c>
      <c r="X34" s="124">
        <v>900</v>
      </c>
      <c r="Y34" s="124">
        <v>796</v>
      </c>
      <c r="Z34" s="124">
        <v>12</v>
      </c>
      <c r="AA34" s="124"/>
      <c r="AB34" s="124">
        <v>1</v>
      </c>
      <c r="AC34" s="124"/>
      <c r="AD34" s="124"/>
      <c r="AE34" s="126" t="inlineStr">
        <is>
          <t xml:space="preserve">Contrato</t>
        </is>
      </c>
    </row>
    <row r="35">
      <c r="A35" s="122">
        <v>46239</v>
      </c>
      <c r="B35" s="123" t="inlineStr">
        <is>
          <t xml:space="preserve">VESTAS</t>
        </is>
      </c>
      <c r="C35" s="124">
        <v>5</v>
      </c>
      <c r="D35" s="124"/>
      <c r="E35" s="125"/>
      <c r="F35" s="124"/>
      <c r="G35" s="124"/>
      <c r="H35" s="124"/>
      <c r="I35" s="124"/>
      <c r="J35" s="124"/>
      <c r="K35" s="124">
        <v>99</v>
      </c>
      <c r="L35" s="124">
        <v>10</v>
      </c>
      <c r="M35" s="124"/>
      <c r="N35" s="125"/>
      <c r="O35" s="124"/>
      <c r="P35" s="124"/>
      <c r="Q35" s="124"/>
      <c r="R35" s="124"/>
      <c r="S35" s="124"/>
      <c r="T35" s="124">
        <v>35</v>
      </c>
      <c r="U35" s="124">
        <v>0</v>
      </c>
      <c r="V35" s="124">
        <v>0</v>
      </c>
      <c r="W35" s="124"/>
      <c r="X35" s="124">
        <v>600</v>
      </c>
      <c r="Y35" s="124">
        <v>446</v>
      </c>
      <c r="Z35" s="124">
        <v>10</v>
      </c>
      <c r="AA35" s="124">
        <v>1</v>
      </c>
      <c r="AB35" s="124"/>
      <c r="AC35" s="124"/>
      <c r="AD35" s="124"/>
      <c r="AE35" s="126" t="inlineStr">
        <is>
          <t xml:space="preserve">Cross</t>
        </is>
      </c>
    </row>
    <row r="36">
      <c r="A36" s="122">
        <v>46239</v>
      </c>
      <c r="B36" s="123" t="inlineStr">
        <is>
          <t xml:space="preserve">VEDACIT</t>
        </is>
      </c>
      <c r="C36" s="124">
        <v>6</v>
      </c>
      <c r="D36" s="124">
        <v>47</v>
      </c>
      <c r="E36" s="125"/>
      <c r="F36" s="124"/>
      <c r="G36" s="124"/>
      <c r="H36" s="124"/>
      <c r="I36" s="124"/>
      <c r="J36" s="124"/>
      <c r="K36" s="124"/>
      <c r="L36" s="124">
        <v>7</v>
      </c>
      <c r="M36" s="124">
        <v>66</v>
      </c>
      <c r="N36" s="125"/>
      <c r="O36" s="124"/>
      <c r="P36" s="124"/>
      <c r="Q36" s="124"/>
      <c r="R36" s="124"/>
      <c r="S36" s="124"/>
      <c r="T36" s="124"/>
      <c r="U36" s="124">
        <v>0</v>
      </c>
      <c r="V36" s="124">
        <v>0</v>
      </c>
      <c r="W36" s="124"/>
      <c r="X36" s="124">
        <v>1400</v>
      </c>
      <c r="Y36" s="124">
        <v>848</v>
      </c>
      <c r="Z36" s="124">
        <v>11</v>
      </c>
      <c r="AA36" s="124">
        <v>1</v>
      </c>
      <c r="AB36" s="124"/>
      <c r="AC36" s="124"/>
      <c r="AD36" s="124"/>
      <c r="AE36" s="126" t="inlineStr">
        <is>
          <t xml:space="preserve">Contrato</t>
        </is>
      </c>
    </row>
    <row r="37">
      <c r="A37" s="122">
        <v>46239</v>
      </c>
      <c r="B37" s="123" t="inlineStr">
        <is>
          <t xml:space="preserve">OMNLIFE</t>
        </is>
      </c>
      <c r="C37" s="124">
        <v>6</v>
      </c>
      <c r="D37" s="124">
        <v>60</v>
      </c>
      <c r="E37" s="125"/>
      <c r="F37" s="124"/>
      <c r="G37" s="124"/>
      <c r="H37" s="124"/>
      <c r="I37" s="124"/>
      <c r="J37" s="124"/>
      <c r="K37" s="124"/>
      <c r="L37" s="124">
        <v>7</v>
      </c>
      <c r="M37" s="124">
        <v>85</v>
      </c>
      <c r="N37" s="125"/>
      <c r="O37" s="124"/>
      <c r="P37" s="124"/>
      <c r="Q37" s="124"/>
      <c r="R37" s="124"/>
      <c r="S37" s="124"/>
      <c r="T37" s="124"/>
      <c r="U37" s="124">
        <v>0</v>
      </c>
      <c r="V37" s="124">
        <v>0</v>
      </c>
      <c r="W37" s="124"/>
      <c r="X37" s="124">
        <v>500</v>
      </c>
      <c r="Y37" s="124">
        <v>316</v>
      </c>
      <c r="Z37" s="124">
        <v>5</v>
      </c>
      <c r="AA37" s="124"/>
      <c r="AB37" s="124">
        <v>1</v>
      </c>
      <c r="AC37" s="124"/>
      <c r="AD37" s="124"/>
      <c r="AE37" s="126" t="inlineStr">
        <is>
          <t xml:space="preserve">Spot</t>
        </is>
      </c>
    </row>
    <row r="38">
      <c r="A38" s="122">
        <v>46239</v>
      </c>
      <c r="B38" s="123" t="inlineStr">
        <is>
          <t xml:space="preserve">ALPARGATAS</t>
        </is>
      </c>
      <c r="C38" s="124">
        <v>8</v>
      </c>
      <c r="D38" s="124"/>
      <c r="E38" s="125"/>
      <c r="F38" s="124">
        <v>1288</v>
      </c>
      <c r="G38" s="124"/>
      <c r="H38" s="124"/>
      <c r="I38" s="124"/>
      <c r="J38" s="124"/>
      <c r="K38" s="124"/>
      <c r="L38" s="124">
        <v>4</v>
      </c>
      <c r="M38" s="124"/>
      <c r="N38" s="125"/>
      <c r="O38" s="124">
        <v>782</v>
      </c>
      <c r="P38" s="124"/>
      <c r="Q38" s="124"/>
      <c r="R38" s="124"/>
      <c r="S38" s="124"/>
      <c r="T38" s="124"/>
      <c r="U38" s="124">
        <v>0</v>
      </c>
      <c r="V38" s="124">
        <v>0</v>
      </c>
      <c r="W38" s="124"/>
      <c r="X38" s="124">
        <v>1800</v>
      </c>
      <c r="Y38" s="124">
        <v>1097</v>
      </c>
      <c r="Z38" s="124">
        <v>12</v>
      </c>
      <c r="AA38" s="124"/>
      <c r="AB38" s="124"/>
      <c r="AC38" s="124"/>
      <c r="AD38" s="124"/>
      <c r="AE38" s="126" t="inlineStr">
        <is>
          <t xml:space="preserve">Contrato</t>
        </is>
      </c>
    </row>
    <row r="39">
      <c r="A39" s="122">
        <v>46240</v>
      </c>
      <c r="B39" s="123" t="inlineStr">
        <is>
          <t xml:space="preserve">BASF</t>
        </is>
      </c>
      <c r="C39" s="124">
        <v>3</v>
      </c>
      <c r="D39" s="124">
        <v>35</v>
      </c>
      <c r="E39" s="125">
        <v>60.65</v>
      </c>
      <c r="F39" s="124"/>
      <c r="G39" s="124"/>
      <c r="H39" s="124"/>
      <c r="I39" s="124"/>
      <c r="J39" s="124"/>
      <c r="K39" s="124"/>
      <c r="L39" s="124">
        <v>6</v>
      </c>
      <c r="M39" s="124">
        <v>142</v>
      </c>
      <c r="N39" s="125">
        <v>64.26</v>
      </c>
      <c r="O39" s="124"/>
      <c r="P39" s="124"/>
      <c r="Q39" s="124"/>
      <c r="R39" s="124"/>
      <c r="S39" s="124"/>
      <c r="T39" s="124"/>
      <c r="U39" s="124">
        <v>0</v>
      </c>
      <c r="V39" s="124">
        <v>0</v>
      </c>
      <c r="W39" s="124"/>
      <c r="X39" s="124">
        <v>2200</v>
      </c>
      <c r="Y39" s="124">
        <v>1584</v>
      </c>
      <c r="Z39" s="124">
        <v>6</v>
      </c>
      <c r="AA39" s="124"/>
      <c r="AB39" s="124"/>
      <c r="AC39" s="124"/>
      <c r="AD39" s="124"/>
      <c r="AE39" s="126" t="inlineStr">
        <is>
          <t xml:space="preserve">Contrato</t>
        </is>
      </c>
    </row>
    <row r="40">
      <c r="A40" s="122">
        <v>46240</v>
      </c>
      <c r="B40" s="123" t="inlineStr">
        <is>
          <t xml:space="preserve">BEAUTYBIZ</t>
        </is>
      </c>
      <c r="C40" s="124">
        <v>4</v>
      </c>
      <c r="D40" s="124">
        <v>67</v>
      </c>
      <c r="E40" s="125"/>
      <c r="F40" s="124">
        <v>1176</v>
      </c>
      <c r="G40" s="124"/>
      <c r="H40" s="124"/>
      <c r="I40" s="124"/>
      <c r="J40" s="124"/>
      <c r="K40" s="124"/>
      <c r="L40" s="124">
        <v>11</v>
      </c>
      <c r="M40" s="124">
        <v>47</v>
      </c>
      <c r="N40" s="125"/>
      <c r="O40" s="124"/>
      <c r="P40" s="124">
        <v>87</v>
      </c>
      <c r="Q40" s="124"/>
      <c r="R40" s="124"/>
      <c r="S40" s="124"/>
      <c r="T40" s="124"/>
      <c r="U40" s="124">
        <v>0</v>
      </c>
      <c r="V40" s="124">
        <v>0</v>
      </c>
      <c r="W40" s="124">
        <v>12</v>
      </c>
      <c r="X40" s="124">
        <v>1200</v>
      </c>
      <c r="Y40" s="124">
        <v>1163</v>
      </c>
      <c r="Z40" s="124">
        <v>13</v>
      </c>
      <c r="AA40" s="124">
        <v>1</v>
      </c>
      <c r="AB40" s="124"/>
      <c r="AC40" s="124"/>
      <c r="AD40" s="124"/>
      <c r="AE40" s="126" t="inlineStr">
        <is>
          <t xml:space="preserve">Contrato</t>
        </is>
      </c>
    </row>
    <row r="41">
      <c r="A41" s="122">
        <v>46240</v>
      </c>
      <c r="B41" s="123" t="inlineStr">
        <is>
          <t xml:space="preserve">BOTICÁRIO</t>
        </is>
      </c>
      <c r="C41" s="124">
        <v>3</v>
      </c>
      <c r="D41" s="124"/>
      <c r="E41" s="125"/>
      <c r="F41" s="124"/>
      <c r="G41" s="124">
        <v>1068</v>
      </c>
      <c r="H41" s="124">
        <v>285</v>
      </c>
      <c r="I41" s="124">
        <v>607</v>
      </c>
      <c r="J41" s="124"/>
      <c r="K41" s="124"/>
      <c r="L41" s="124">
        <v>3</v>
      </c>
      <c r="M41" s="124">
        <v>64</v>
      </c>
      <c r="N41" s="125"/>
      <c r="O41" s="124"/>
      <c r="P41" s="124"/>
      <c r="Q41" s="124">
        <v>1169</v>
      </c>
      <c r="R41" s="124">
        <v>4771</v>
      </c>
      <c r="S41" s="124"/>
      <c r="T41" s="124"/>
      <c r="U41" s="124">
        <v>0</v>
      </c>
      <c r="V41" s="124">
        <v>0</v>
      </c>
      <c r="W41" s="124"/>
      <c r="X41" s="124">
        <v>3500</v>
      </c>
      <c r="Y41" s="124">
        <v>1967</v>
      </c>
      <c r="Z41" s="124">
        <v>14</v>
      </c>
      <c r="AA41" s="124"/>
      <c r="AB41" s="124"/>
      <c r="AC41" s="124"/>
      <c r="AD41" s="124"/>
      <c r="AE41" s="126" t="inlineStr">
        <is>
          <t xml:space="preserve">Contrato</t>
        </is>
      </c>
    </row>
    <row r="42">
      <c r="A42" s="122">
        <v>46240</v>
      </c>
      <c r="B42" s="123" t="inlineStr">
        <is>
          <t xml:space="preserve">SUPPLY</t>
        </is>
      </c>
      <c r="C42" s="124">
        <v>2</v>
      </c>
      <c r="D42" s="124">
        <v>150</v>
      </c>
      <c r="E42" s="125">
        <v>66.36</v>
      </c>
      <c r="F42" s="124"/>
      <c r="G42" s="124"/>
      <c r="H42" s="124"/>
      <c r="I42" s="124"/>
      <c r="J42" s="124"/>
      <c r="K42" s="124"/>
      <c r="L42" s="124">
        <v>8</v>
      </c>
      <c r="M42" s="124">
        <v>39</v>
      </c>
      <c r="N42" s="125">
        <v>123.68</v>
      </c>
      <c r="O42" s="124"/>
      <c r="P42" s="124"/>
      <c r="Q42" s="124"/>
      <c r="R42" s="124"/>
      <c r="S42" s="124"/>
      <c r="T42" s="124"/>
      <c r="U42" s="124">
        <v>0</v>
      </c>
      <c r="V42" s="124">
        <v>0</v>
      </c>
      <c r="W42" s="124"/>
      <c r="X42" s="124">
        <v>1600</v>
      </c>
      <c r="Y42" s="124">
        <v>994</v>
      </c>
      <c r="Z42" s="124">
        <v>10</v>
      </c>
      <c r="AA42" s="124"/>
      <c r="AB42" s="124"/>
      <c r="AC42" s="124"/>
      <c r="AD42" s="124"/>
      <c r="AE42" s="126" t="inlineStr">
        <is>
          <t xml:space="preserve">Spot</t>
        </is>
      </c>
    </row>
    <row r="43">
      <c r="A43" s="122">
        <v>46240</v>
      </c>
      <c r="B43" s="123" t="inlineStr">
        <is>
          <t xml:space="preserve">GE VERNOVA</t>
        </is>
      </c>
      <c r="C43" s="124">
        <v>3</v>
      </c>
      <c r="D43" s="124">
        <v>111</v>
      </c>
      <c r="E43" s="125"/>
      <c r="F43" s="124"/>
      <c r="G43" s="124"/>
      <c r="H43" s="124"/>
      <c r="I43" s="124"/>
      <c r="J43" s="124">
        <v>215</v>
      </c>
      <c r="K43" s="124">
        <v>71</v>
      </c>
      <c r="L43" s="124">
        <v>5</v>
      </c>
      <c r="M43" s="124">
        <v>43</v>
      </c>
      <c r="N43" s="125"/>
      <c r="O43" s="124"/>
      <c r="P43" s="124"/>
      <c r="Q43" s="124"/>
      <c r="R43" s="124"/>
      <c r="S43" s="124">
        <v>138</v>
      </c>
      <c r="T43" s="124">
        <v>32</v>
      </c>
      <c r="U43" s="124">
        <v>0</v>
      </c>
      <c r="V43" s="124">
        <v>0</v>
      </c>
      <c r="W43" s="124">
        <v>10</v>
      </c>
      <c r="X43" s="124">
        <v>900</v>
      </c>
      <c r="Y43" s="124">
        <v>871</v>
      </c>
      <c r="Z43" s="124">
        <v>11</v>
      </c>
      <c r="AA43" s="124"/>
      <c r="AB43" s="124"/>
      <c r="AC43" s="124"/>
      <c r="AD43" s="124"/>
      <c r="AE43" s="126" t="inlineStr">
        <is>
          <t xml:space="preserve">Contrato</t>
        </is>
      </c>
    </row>
    <row r="44">
      <c r="A44" s="122">
        <v>46240</v>
      </c>
      <c r="B44" s="123" t="inlineStr">
        <is>
          <t xml:space="preserve">VESTAS</t>
        </is>
      </c>
      <c r="C44" s="124">
        <v>5</v>
      </c>
      <c r="D44" s="124"/>
      <c r="E44" s="125"/>
      <c r="F44" s="124"/>
      <c r="G44" s="124"/>
      <c r="H44" s="124"/>
      <c r="I44" s="124"/>
      <c r="J44" s="124"/>
      <c r="K44" s="124">
        <v>45</v>
      </c>
      <c r="L44" s="124">
        <v>5</v>
      </c>
      <c r="M44" s="124"/>
      <c r="N44" s="125"/>
      <c r="O44" s="124"/>
      <c r="P44" s="124"/>
      <c r="Q44" s="124"/>
      <c r="R44" s="124"/>
      <c r="S44" s="124"/>
      <c r="T44" s="124">
        <v>99</v>
      </c>
      <c r="U44" s="124">
        <v>0</v>
      </c>
      <c r="V44" s="124">
        <v>1</v>
      </c>
      <c r="W44" s="124"/>
      <c r="X44" s="124">
        <v>600</v>
      </c>
      <c r="Y44" s="124">
        <v>426</v>
      </c>
      <c r="Z44" s="124">
        <v>12</v>
      </c>
      <c r="AA44" s="124"/>
      <c r="AB44" s="124"/>
      <c r="AC44" s="124"/>
      <c r="AD44" s="124"/>
      <c r="AE44" s="126" t="inlineStr">
        <is>
          <t xml:space="preserve">Cross</t>
        </is>
      </c>
    </row>
    <row r="45">
      <c r="A45" s="122">
        <v>46240</v>
      </c>
      <c r="B45" s="123" t="inlineStr">
        <is>
          <t xml:space="preserve">VEDACIT</t>
        </is>
      </c>
      <c r="C45" s="124">
        <v>6</v>
      </c>
      <c r="D45" s="124">
        <v>70</v>
      </c>
      <c r="E45" s="125"/>
      <c r="F45" s="124"/>
      <c r="G45" s="124"/>
      <c r="H45" s="124"/>
      <c r="I45" s="124"/>
      <c r="J45" s="124"/>
      <c r="K45" s="124"/>
      <c r="L45" s="124">
        <v>8</v>
      </c>
      <c r="M45" s="124">
        <v>94</v>
      </c>
      <c r="N45" s="125"/>
      <c r="O45" s="124"/>
      <c r="P45" s="124"/>
      <c r="Q45" s="124"/>
      <c r="R45" s="124"/>
      <c r="S45" s="124"/>
      <c r="T45" s="124"/>
      <c r="U45" s="124">
        <v>0</v>
      </c>
      <c r="V45" s="124">
        <v>0</v>
      </c>
      <c r="W45" s="124">
        <v>7</v>
      </c>
      <c r="X45" s="124">
        <v>1400</v>
      </c>
      <c r="Y45" s="124">
        <v>996</v>
      </c>
      <c r="Z45" s="124">
        <v>14</v>
      </c>
      <c r="AA45" s="124"/>
      <c r="AB45" s="124"/>
      <c r="AC45" s="124"/>
      <c r="AD45" s="124"/>
      <c r="AE45" s="126" t="inlineStr">
        <is>
          <t xml:space="preserve">Contrato</t>
        </is>
      </c>
    </row>
    <row r="46">
      <c r="A46" s="122">
        <v>46240</v>
      </c>
      <c r="B46" s="123" t="inlineStr">
        <is>
          <t xml:space="preserve">OMNLIFE</t>
        </is>
      </c>
      <c r="C46" s="124">
        <v>2</v>
      </c>
      <c r="D46" s="124">
        <v>24</v>
      </c>
      <c r="E46" s="125"/>
      <c r="F46" s="124"/>
      <c r="G46" s="124"/>
      <c r="H46" s="124"/>
      <c r="I46" s="124"/>
      <c r="J46" s="124"/>
      <c r="K46" s="124"/>
      <c r="L46" s="124">
        <v>9</v>
      </c>
      <c r="M46" s="124">
        <v>145</v>
      </c>
      <c r="N46" s="125"/>
      <c r="O46" s="124"/>
      <c r="P46" s="124"/>
      <c r="Q46" s="124"/>
      <c r="R46" s="124"/>
      <c r="S46" s="124"/>
      <c r="T46" s="124"/>
      <c r="U46" s="124">
        <v>0</v>
      </c>
      <c r="V46" s="124">
        <v>0</v>
      </c>
      <c r="W46" s="124">
        <v>12</v>
      </c>
      <c r="X46" s="124">
        <v>500</v>
      </c>
      <c r="Y46" s="124">
        <v>470</v>
      </c>
      <c r="Z46" s="124">
        <v>12</v>
      </c>
      <c r="AA46" s="124"/>
      <c r="AB46" s="124"/>
      <c r="AC46" s="124"/>
      <c r="AD46" s="124"/>
      <c r="AE46" s="126" t="inlineStr">
        <is>
          <t xml:space="preserve">Spot</t>
        </is>
      </c>
    </row>
    <row r="47">
      <c r="A47" s="122">
        <v>46240</v>
      </c>
      <c r="B47" s="123" t="inlineStr">
        <is>
          <t xml:space="preserve">ALPARGATAS</t>
        </is>
      </c>
      <c r="C47" s="124">
        <v>3</v>
      </c>
      <c r="D47" s="124"/>
      <c r="E47" s="125"/>
      <c r="F47" s="124">
        <v>1449</v>
      </c>
      <c r="G47" s="124"/>
      <c r="H47" s="124"/>
      <c r="I47" s="124"/>
      <c r="J47" s="124"/>
      <c r="K47" s="124"/>
      <c r="L47" s="124">
        <v>8</v>
      </c>
      <c r="M47" s="124"/>
      <c r="N47" s="125"/>
      <c r="O47" s="124">
        <v>2465</v>
      </c>
      <c r="P47" s="124"/>
      <c r="Q47" s="124"/>
      <c r="R47" s="124"/>
      <c r="S47" s="124"/>
      <c r="T47" s="124"/>
      <c r="U47" s="124">
        <v>0</v>
      </c>
      <c r="V47" s="124">
        <v>0</v>
      </c>
      <c r="W47" s="124"/>
      <c r="X47" s="124">
        <v>1800</v>
      </c>
      <c r="Y47" s="124">
        <v>1335</v>
      </c>
      <c r="Z47" s="124">
        <v>12</v>
      </c>
      <c r="AA47" s="124"/>
      <c r="AB47" s="124">
        <v>1</v>
      </c>
      <c r="AC47" s="124"/>
      <c r="AD47" s="124"/>
      <c r="AE47" s="126" t="inlineStr">
        <is>
          <t xml:space="preserve">Contrato</t>
        </is>
      </c>
    </row>
    <row r="48">
      <c r="A48" s="122">
        <v>46241</v>
      </c>
      <c r="B48" s="123" t="inlineStr">
        <is>
          <t xml:space="preserve">BASF</t>
        </is>
      </c>
      <c r="C48" s="124">
        <v>2</v>
      </c>
      <c r="D48" s="124">
        <v>120</v>
      </c>
      <c r="E48" s="125">
        <v>135.3</v>
      </c>
      <c r="F48" s="124"/>
      <c r="G48" s="124"/>
      <c r="H48" s="124"/>
      <c r="I48" s="124"/>
      <c r="J48" s="124"/>
      <c r="K48" s="124"/>
      <c r="L48" s="124">
        <v>8</v>
      </c>
      <c r="M48" s="124">
        <v>93</v>
      </c>
      <c r="N48" s="125">
        <v>69.68</v>
      </c>
      <c r="O48" s="124"/>
      <c r="P48" s="124"/>
      <c r="Q48" s="124"/>
      <c r="R48" s="124"/>
      <c r="S48" s="124"/>
      <c r="T48" s="124"/>
      <c r="U48" s="124">
        <v>0</v>
      </c>
      <c r="V48" s="124">
        <v>0</v>
      </c>
      <c r="W48" s="124"/>
      <c r="X48" s="124">
        <v>2200</v>
      </c>
      <c r="Y48" s="124">
        <v>2081</v>
      </c>
      <c r="Z48" s="124">
        <v>7</v>
      </c>
      <c r="AA48" s="124"/>
      <c r="AB48" s="124"/>
      <c r="AC48" s="124"/>
      <c r="AD48" s="124">
        <v>1</v>
      </c>
      <c r="AE48" s="126" t="inlineStr">
        <is>
          <t xml:space="preserve">Contrato</t>
        </is>
      </c>
    </row>
    <row r="49">
      <c r="A49" s="122">
        <v>46241</v>
      </c>
      <c r="B49" s="123" t="inlineStr">
        <is>
          <t xml:space="preserve">BEAUTYBIZ</t>
        </is>
      </c>
      <c r="C49" s="124">
        <v>4</v>
      </c>
      <c r="D49" s="124">
        <v>84</v>
      </c>
      <c r="E49" s="125"/>
      <c r="F49" s="124">
        <v>2409</v>
      </c>
      <c r="G49" s="124"/>
      <c r="H49" s="124"/>
      <c r="I49" s="124"/>
      <c r="J49" s="124"/>
      <c r="K49" s="124"/>
      <c r="L49" s="124">
        <v>8</v>
      </c>
      <c r="M49" s="124">
        <v>143</v>
      </c>
      <c r="N49" s="125"/>
      <c r="O49" s="124"/>
      <c r="P49" s="124">
        <v>374</v>
      </c>
      <c r="Q49" s="124"/>
      <c r="R49" s="124"/>
      <c r="S49" s="124"/>
      <c r="T49" s="124"/>
      <c r="U49" s="124">
        <v>0</v>
      </c>
      <c r="V49" s="124">
        <v>0</v>
      </c>
      <c r="W49" s="124"/>
      <c r="X49" s="124">
        <v>1200</v>
      </c>
      <c r="Y49" s="124">
        <v>1015</v>
      </c>
      <c r="Z49" s="124">
        <v>8</v>
      </c>
      <c r="AA49" s="124">
        <v>1</v>
      </c>
      <c r="AB49" s="124"/>
      <c r="AC49" s="124"/>
      <c r="AD49" s="124"/>
      <c r="AE49" s="126" t="inlineStr">
        <is>
          <t xml:space="preserve">Contrato</t>
        </is>
      </c>
    </row>
    <row r="50">
      <c r="A50" s="122">
        <v>46241</v>
      </c>
      <c r="B50" s="123" t="inlineStr">
        <is>
          <t xml:space="preserve">BOTICÁRIO</t>
        </is>
      </c>
      <c r="C50" s="124">
        <v>2</v>
      </c>
      <c r="D50" s="124"/>
      <c r="E50" s="125"/>
      <c r="F50" s="124"/>
      <c r="G50" s="124">
        <v>1984</v>
      </c>
      <c r="H50" s="124">
        <v>204</v>
      </c>
      <c r="I50" s="124">
        <v>396</v>
      </c>
      <c r="J50" s="124"/>
      <c r="K50" s="124"/>
      <c r="L50" s="124">
        <v>6</v>
      </c>
      <c r="M50" s="124">
        <v>70</v>
      </c>
      <c r="N50" s="125"/>
      <c r="O50" s="124"/>
      <c r="P50" s="124"/>
      <c r="Q50" s="124">
        <v>880</v>
      </c>
      <c r="R50" s="124">
        <v>6887</v>
      </c>
      <c r="S50" s="124"/>
      <c r="T50" s="124"/>
      <c r="U50" s="124">
        <v>0</v>
      </c>
      <c r="V50" s="124">
        <v>1</v>
      </c>
      <c r="W50" s="124">
        <v>2</v>
      </c>
      <c r="X50" s="124">
        <v>3500</v>
      </c>
      <c r="Y50" s="124">
        <v>2226</v>
      </c>
      <c r="Z50" s="124">
        <v>7</v>
      </c>
      <c r="AA50" s="124"/>
      <c r="AB50" s="124"/>
      <c r="AC50" s="124"/>
      <c r="AD50" s="124"/>
      <c r="AE50" s="126" t="inlineStr">
        <is>
          <t xml:space="preserve">Contrato</t>
        </is>
      </c>
    </row>
    <row r="51">
      <c r="A51" s="122">
        <v>46241</v>
      </c>
      <c r="B51" s="123" t="inlineStr">
        <is>
          <t xml:space="preserve">SUPPLY</t>
        </is>
      </c>
      <c r="C51" s="124">
        <v>7</v>
      </c>
      <c r="D51" s="124">
        <v>61</v>
      </c>
      <c r="E51" s="125">
        <v>133.99</v>
      </c>
      <c r="F51" s="124"/>
      <c r="G51" s="124"/>
      <c r="H51" s="124"/>
      <c r="I51" s="124"/>
      <c r="J51" s="124"/>
      <c r="K51" s="124"/>
      <c r="L51" s="124">
        <v>6</v>
      </c>
      <c r="M51" s="124">
        <v>46</v>
      </c>
      <c r="N51" s="125">
        <v>42.92</v>
      </c>
      <c r="O51" s="124"/>
      <c r="P51" s="124"/>
      <c r="Q51" s="124"/>
      <c r="R51" s="124"/>
      <c r="S51" s="124"/>
      <c r="T51" s="124"/>
      <c r="U51" s="124">
        <v>0</v>
      </c>
      <c r="V51" s="124">
        <v>0</v>
      </c>
      <c r="W51" s="124"/>
      <c r="X51" s="124">
        <v>1600</v>
      </c>
      <c r="Y51" s="124">
        <v>978</v>
      </c>
      <c r="Z51" s="124">
        <v>10</v>
      </c>
      <c r="AA51" s="124">
        <v>1</v>
      </c>
      <c r="AB51" s="124">
        <v>1</v>
      </c>
      <c r="AC51" s="124"/>
      <c r="AD51" s="124"/>
      <c r="AE51" s="126" t="inlineStr">
        <is>
          <t xml:space="preserve">Spot</t>
        </is>
      </c>
    </row>
    <row r="52">
      <c r="A52" s="122">
        <v>46241</v>
      </c>
      <c r="B52" s="123" t="inlineStr">
        <is>
          <t xml:space="preserve">GE VERNOVA</t>
        </is>
      </c>
      <c r="C52" s="124">
        <v>6</v>
      </c>
      <c r="D52" s="124">
        <v>45</v>
      </c>
      <c r="E52" s="125"/>
      <c r="F52" s="124"/>
      <c r="G52" s="124"/>
      <c r="H52" s="124"/>
      <c r="I52" s="124"/>
      <c r="J52" s="124">
        <v>297</v>
      </c>
      <c r="K52" s="124">
        <v>88</v>
      </c>
      <c r="L52" s="124">
        <v>5</v>
      </c>
      <c r="M52" s="124">
        <v>35</v>
      </c>
      <c r="N52" s="125"/>
      <c r="O52" s="124"/>
      <c r="P52" s="124"/>
      <c r="Q52" s="124"/>
      <c r="R52" s="124"/>
      <c r="S52" s="124">
        <v>93</v>
      </c>
      <c r="T52" s="124">
        <v>28</v>
      </c>
      <c r="U52" s="124">
        <v>0</v>
      </c>
      <c r="V52" s="124">
        <v>0</v>
      </c>
      <c r="W52" s="124"/>
      <c r="X52" s="124">
        <v>900</v>
      </c>
      <c r="Y52" s="124">
        <v>671</v>
      </c>
      <c r="Z52" s="124">
        <v>8</v>
      </c>
      <c r="AA52" s="124"/>
      <c r="AB52" s="124"/>
      <c r="AC52" s="124"/>
      <c r="AD52" s="124"/>
      <c r="AE52" s="126" t="inlineStr">
        <is>
          <t xml:space="preserve">Contrato</t>
        </is>
      </c>
    </row>
    <row r="53">
      <c r="A53" s="122">
        <v>46241</v>
      </c>
      <c r="B53" s="123" t="inlineStr">
        <is>
          <t xml:space="preserve">VESTAS</t>
        </is>
      </c>
      <c r="C53" s="124">
        <v>3</v>
      </c>
      <c r="D53" s="124"/>
      <c r="E53" s="125"/>
      <c r="F53" s="124"/>
      <c r="G53" s="124"/>
      <c r="H53" s="124"/>
      <c r="I53" s="124"/>
      <c r="J53" s="124"/>
      <c r="K53" s="124">
        <v>10</v>
      </c>
      <c r="L53" s="124">
        <v>4</v>
      </c>
      <c r="M53" s="124"/>
      <c r="N53" s="125"/>
      <c r="O53" s="124"/>
      <c r="P53" s="124"/>
      <c r="Q53" s="124"/>
      <c r="R53" s="124"/>
      <c r="S53" s="124"/>
      <c r="T53" s="124">
        <v>48</v>
      </c>
      <c r="U53" s="124">
        <v>0</v>
      </c>
      <c r="V53" s="124">
        <v>0</v>
      </c>
      <c r="W53" s="124"/>
      <c r="X53" s="124">
        <v>600</v>
      </c>
      <c r="Y53" s="124">
        <v>382</v>
      </c>
      <c r="Z53" s="124">
        <v>9</v>
      </c>
      <c r="AA53" s="124"/>
      <c r="AB53" s="124"/>
      <c r="AC53" s="124"/>
      <c r="AD53" s="124"/>
      <c r="AE53" s="126" t="inlineStr">
        <is>
          <t xml:space="preserve">Cross</t>
        </is>
      </c>
    </row>
    <row r="54">
      <c r="A54" s="122">
        <v>46241</v>
      </c>
      <c r="B54" s="123" t="inlineStr">
        <is>
          <t xml:space="preserve">VEDACIT</t>
        </is>
      </c>
      <c r="C54" s="124">
        <v>6</v>
      </c>
      <c r="D54" s="124">
        <v>47</v>
      </c>
      <c r="E54" s="125"/>
      <c r="F54" s="124"/>
      <c r="G54" s="124"/>
      <c r="H54" s="124"/>
      <c r="I54" s="124"/>
      <c r="J54" s="124"/>
      <c r="K54" s="124"/>
      <c r="L54" s="124">
        <v>7</v>
      </c>
      <c r="M54" s="124">
        <v>82</v>
      </c>
      <c r="N54" s="125"/>
      <c r="O54" s="124"/>
      <c r="P54" s="124"/>
      <c r="Q54" s="124"/>
      <c r="R54" s="124"/>
      <c r="S54" s="124"/>
      <c r="T54" s="124"/>
      <c r="U54" s="124">
        <v>0</v>
      </c>
      <c r="V54" s="124">
        <v>0</v>
      </c>
      <c r="W54" s="124"/>
      <c r="X54" s="124">
        <v>1400</v>
      </c>
      <c r="Y54" s="124">
        <v>1141</v>
      </c>
      <c r="Z54" s="124">
        <v>7</v>
      </c>
      <c r="AA54" s="124"/>
      <c r="AB54" s="124"/>
      <c r="AC54" s="124">
        <v>1</v>
      </c>
      <c r="AD54" s="124"/>
      <c r="AE54" s="126" t="inlineStr">
        <is>
          <t xml:space="preserve">Contrato</t>
        </is>
      </c>
    </row>
    <row r="55">
      <c r="A55" s="122">
        <v>46241</v>
      </c>
      <c r="B55" s="123" t="inlineStr">
        <is>
          <t xml:space="preserve">OMNLIFE</t>
        </is>
      </c>
      <c r="C55" s="124">
        <v>2</v>
      </c>
      <c r="D55" s="124">
        <v>148</v>
      </c>
      <c r="E55" s="125"/>
      <c r="F55" s="124"/>
      <c r="G55" s="124"/>
      <c r="H55" s="124"/>
      <c r="I55" s="124"/>
      <c r="J55" s="124"/>
      <c r="K55" s="124"/>
      <c r="L55" s="124">
        <v>4</v>
      </c>
      <c r="M55" s="124">
        <v>124</v>
      </c>
      <c r="N55" s="125"/>
      <c r="O55" s="124"/>
      <c r="P55" s="124"/>
      <c r="Q55" s="124"/>
      <c r="R55" s="124"/>
      <c r="S55" s="124"/>
      <c r="T55" s="124"/>
      <c r="U55" s="124">
        <v>0</v>
      </c>
      <c r="V55" s="124">
        <v>0</v>
      </c>
      <c r="W55" s="124">
        <v>1</v>
      </c>
      <c r="X55" s="124">
        <v>500</v>
      </c>
      <c r="Y55" s="124">
        <v>330</v>
      </c>
      <c r="Z55" s="124">
        <v>9</v>
      </c>
      <c r="AA55" s="124"/>
      <c r="AB55" s="124"/>
      <c r="AC55" s="124"/>
      <c r="AD55" s="124"/>
      <c r="AE55" s="126" t="inlineStr">
        <is>
          <t xml:space="preserve">Spot</t>
        </is>
      </c>
    </row>
    <row r="56">
      <c r="A56" s="122">
        <v>46241</v>
      </c>
      <c r="B56" s="123" t="inlineStr">
        <is>
          <t xml:space="preserve">ALPARGATAS</t>
        </is>
      </c>
      <c r="C56" s="124">
        <v>7</v>
      </c>
      <c r="D56" s="124"/>
      <c r="E56" s="125"/>
      <c r="F56" s="124">
        <v>2382</v>
      </c>
      <c r="G56" s="124"/>
      <c r="H56" s="124"/>
      <c r="I56" s="124"/>
      <c r="J56" s="124"/>
      <c r="K56" s="124"/>
      <c r="L56" s="124">
        <v>2</v>
      </c>
      <c r="M56" s="124"/>
      <c r="N56" s="125"/>
      <c r="O56" s="124">
        <v>2199</v>
      </c>
      <c r="P56" s="124"/>
      <c r="Q56" s="124"/>
      <c r="R56" s="124"/>
      <c r="S56" s="124"/>
      <c r="T56" s="124"/>
      <c r="U56" s="124">
        <v>0</v>
      </c>
      <c r="V56" s="124">
        <v>0</v>
      </c>
      <c r="W56" s="124"/>
      <c r="X56" s="124">
        <v>1800</v>
      </c>
      <c r="Y56" s="124">
        <v>1576</v>
      </c>
      <c r="Z56" s="124">
        <v>8</v>
      </c>
      <c r="AA56" s="124"/>
      <c r="AB56" s="124"/>
      <c r="AC56" s="124"/>
      <c r="AD56" s="124"/>
      <c r="AE56" s="126" t="inlineStr">
        <is>
          <t xml:space="preserve">Contrato</t>
        </is>
      </c>
    </row>
    <row r="57">
      <c r="A57" s="122">
        <v>46242</v>
      </c>
      <c r="B57" s="123" t="inlineStr">
        <is>
          <t xml:space="preserve">BASF</t>
        </is>
      </c>
      <c r="C57" s="124">
        <v>2</v>
      </c>
      <c r="D57" s="124">
        <v>150</v>
      </c>
      <c r="E57" s="125">
        <v>52.91</v>
      </c>
      <c r="F57" s="124"/>
      <c r="G57" s="124"/>
      <c r="H57" s="124"/>
      <c r="I57" s="124"/>
      <c r="J57" s="124"/>
      <c r="K57" s="124"/>
      <c r="L57" s="124">
        <v>8</v>
      </c>
      <c r="M57" s="124">
        <v>41</v>
      </c>
      <c r="N57" s="125">
        <v>44.52</v>
      </c>
      <c r="O57" s="124"/>
      <c r="P57" s="124"/>
      <c r="Q57" s="124"/>
      <c r="R57" s="124"/>
      <c r="S57" s="124"/>
      <c r="T57" s="124"/>
      <c r="U57" s="124">
        <v>0</v>
      </c>
      <c r="V57" s="124">
        <v>0</v>
      </c>
      <c r="W57" s="124"/>
      <c r="X57" s="124">
        <v>2200</v>
      </c>
      <c r="Y57" s="124">
        <v>1760</v>
      </c>
      <c r="Z57" s="124">
        <v>12</v>
      </c>
      <c r="AA57" s="124"/>
      <c r="AB57" s="124"/>
      <c r="AC57" s="124"/>
      <c r="AD57" s="124"/>
      <c r="AE57" s="126" t="inlineStr">
        <is>
          <t xml:space="preserve">Contrato</t>
        </is>
      </c>
    </row>
    <row r="58">
      <c r="A58" s="122">
        <v>46242</v>
      </c>
      <c r="B58" s="123" t="inlineStr">
        <is>
          <t xml:space="preserve">BEAUTYBIZ</t>
        </is>
      </c>
      <c r="C58" s="124">
        <v>2</v>
      </c>
      <c r="D58" s="124">
        <v>97</v>
      </c>
      <c r="E58" s="125"/>
      <c r="F58" s="124">
        <v>1016</v>
      </c>
      <c r="G58" s="124"/>
      <c r="H58" s="124"/>
      <c r="I58" s="124"/>
      <c r="J58" s="124"/>
      <c r="K58" s="124"/>
      <c r="L58" s="124">
        <v>11</v>
      </c>
      <c r="M58" s="124">
        <v>143</v>
      </c>
      <c r="N58" s="125"/>
      <c r="O58" s="124"/>
      <c r="P58" s="124">
        <v>692</v>
      </c>
      <c r="Q58" s="124"/>
      <c r="R58" s="124"/>
      <c r="S58" s="124"/>
      <c r="T58" s="124"/>
      <c r="U58" s="124">
        <v>0</v>
      </c>
      <c r="V58" s="124">
        <v>0</v>
      </c>
      <c r="W58" s="124">
        <v>15</v>
      </c>
      <c r="X58" s="124">
        <v>1200</v>
      </c>
      <c r="Y58" s="124">
        <v>1158</v>
      </c>
      <c r="Z58" s="124">
        <v>11</v>
      </c>
      <c r="AA58" s="124"/>
      <c r="AB58" s="124"/>
      <c r="AC58" s="124"/>
      <c r="AD58" s="124"/>
      <c r="AE58" s="126" t="inlineStr">
        <is>
          <t xml:space="preserve">Contrato</t>
        </is>
      </c>
    </row>
    <row r="59">
      <c r="A59" s="122">
        <v>46242</v>
      </c>
      <c r="B59" s="123" t="inlineStr">
        <is>
          <t xml:space="preserve">BOTICÁRIO</t>
        </is>
      </c>
      <c r="C59" s="124">
        <v>3</v>
      </c>
      <c r="D59" s="124"/>
      <c r="E59" s="125"/>
      <c r="F59" s="124"/>
      <c r="G59" s="124">
        <v>3600</v>
      </c>
      <c r="H59" s="124">
        <v>323</v>
      </c>
      <c r="I59" s="124">
        <v>707</v>
      </c>
      <c r="J59" s="124"/>
      <c r="K59" s="124"/>
      <c r="L59" s="124">
        <v>9</v>
      </c>
      <c r="M59" s="124">
        <v>57</v>
      </c>
      <c r="N59" s="125"/>
      <c r="O59" s="124"/>
      <c r="P59" s="124"/>
      <c r="Q59" s="124">
        <v>458</v>
      </c>
      <c r="R59" s="124">
        <v>3595</v>
      </c>
      <c r="S59" s="124"/>
      <c r="T59" s="124"/>
      <c r="U59" s="124">
        <v>0</v>
      </c>
      <c r="V59" s="124">
        <v>0</v>
      </c>
      <c r="W59" s="124"/>
      <c r="X59" s="124">
        <v>3500</v>
      </c>
      <c r="Y59" s="124">
        <v>2198</v>
      </c>
      <c r="Z59" s="124">
        <v>7</v>
      </c>
      <c r="AA59" s="124"/>
      <c r="AB59" s="124"/>
      <c r="AC59" s="124"/>
      <c r="AD59" s="124"/>
      <c r="AE59" s="126" t="inlineStr">
        <is>
          <t xml:space="preserve">Contrato</t>
        </is>
      </c>
    </row>
    <row r="60">
      <c r="A60" s="122">
        <v>46242</v>
      </c>
      <c r="B60" s="123" t="inlineStr">
        <is>
          <t xml:space="preserve">SUPPLY</t>
        </is>
      </c>
      <c r="C60" s="124">
        <v>4</v>
      </c>
      <c r="D60" s="124">
        <v>158</v>
      </c>
      <c r="E60" s="125">
        <v>78.42</v>
      </c>
      <c r="F60" s="124"/>
      <c r="G60" s="124"/>
      <c r="H60" s="124"/>
      <c r="I60" s="124"/>
      <c r="J60" s="124"/>
      <c r="K60" s="124"/>
      <c r="L60" s="124">
        <v>4</v>
      </c>
      <c r="M60" s="124">
        <v>133</v>
      </c>
      <c r="N60" s="125">
        <v>96.67</v>
      </c>
      <c r="O60" s="124"/>
      <c r="P60" s="124"/>
      <c r="Q60" s="124"/>
      <c r="R60" s="124"/>
      <c r="S60" s="124"/>
      <c r="T60" s="124"/>
      <c r="U60" s="124">
        <v>0</v>
      </c>
      <c r="V60" s="124">
        <v>0</v>
      </c>
      <c r="W60" s="124"/>
      <c r="X60" s="124">
        <v>1600</v>
      </c>
      <c r="Y60" s="124">
        <v>1430</v>
      </c>
      <c r="Z60" s="124">
        <v>11</v>
      </c>
      <c r="AA60" s="124"/>
      <c r="AB60" s="124">
        <v>1</v>
      </c>
      <c r="AC60" s="124"/>
      <c r="AD60" s="124"/>
      <c r="AE60" s="126" t="inlineStr">
        <is>
          <t xml:space="preserve">Spot</t>
        </is>
      </c>
    </row>
    <row r="61">
      <c r="A61" s="122">
        <v>46242</v>
      </c>
      <c r="B61" s="123" t="inlineStr">
        <is>
          <t xml:space="preserve">GE VERNOVA</t>
        </is>
      </c>
      <c r="C61" s="124">
        <v>3</v>
      </c>
      <c r="D61" s="124">
        <v>156</v>
      </c>
      <c r="E61" s="125"/>
      <c r="F61" s="124"/>
      <c r="G61" s="124"/>
      <c r="H61" s="124"/>
      <c r="I61" s="124"/>
      <c r="J61" s="124">
        <v>370</v>
      </c>
      <c r="K61" s="124">
        <v>112</v>
      </c>
      <c r="L61" s="124">
        <v>5</v>
      </c>
      <c r="M61" s="124">
        <v>141</v>
      </c>
      <c r="N61" s="125"/>
      <c r="O61" s="124"/>
      <c r="P61" s="124"/>
      <c r="Q61" s="124"/>
      <c r="R61" s="124"/>
      <c r="S61" s="124">
        <v>297</v>
      </c>
      <c r="T61" s="124">
        <v>38</v>
      </c>
      <c r="U61" s="124">
        <v>0</v>
      </c>
      <c r="V61" s="124">
        <v>0</v>
      </c>
      <c r="W61" s="124">
        <v>11</v>
      </c>
      <c r="X61" s="124">
        <v>900</v>
      </c>
      <c r="Y61" s="124">
        <v>577</v>
      </c>
      <c r="Z61" s="124">
        <v>9</v>
      </c>
      <c r="AA61" s="124"/>
      <c r="AB61" s="124">
        <v>1</v>
      </c>
      <c r="AC61" s="124"/>
      <c r="AD61" s="124"/>
      <c r="AE61" s="126" t="inlineStr">
        <is>
          <t xml:space="preserve">Contrato</t>
        </is>
      </c>
    </row>
    <row r="62">
      <c r="A62" s="122">
        <v>46242</v>
      </c>
      <c r="B62" s="123" t="inlineStr">
        <is>
          <t xml:space="preserve">VESTAS</t>
        </is>
      </c>
      <c r="C62" s="124">
        <v>7</v>
      </c>
      <c r="D62" s="124"/>
      <c r="E62" s="125"/>
      <c r="F62" s="124"/>
      <c r="G62" s="124"/>
      <c r="H62" s="124"/>
      <c r="I62" s="124"/>
      <c r="J62" s="124"/>
      <c r="K62" s="124">
        <v>110</v>
      </c>
      <c r="L62" s="124">
        <v>10</v>
      </c>
      <c r="M62" s="124"/>
      <c r="N62" s="125"/>
      <c r="O62" s="124"/>
      <c r="P62" s="124"/>
      <c r="Q62" s="124"/>
      <c r="R62" s="124"/>
      <c r="S62" s="124"/>
      <c r="T62" s="124">
        <v>100</v>
      </c>
      <c r="U62" s="124">
        <v>0</v>
      </c>
      <c r="V62" s="124">
        <v>0</v>
      </c>
      <c r="W62" s="124"/>
      <c r="X62" s="124">
        <v>600</v>
      </c>
      <c r="Y62" s="124">
        <v>349</v>
      </c>
      <c r="Z62" s="124">
        <v>4</v>
      </c>
      <c r="AA62" s="124"/>
      <c r="AB62" s="124"/>
      <c r="AC62" s="124"/>
      <c r="AD62" s="124"/>
      <c r="AE62" s="126" t="inlineStr">
        <is>
          <t xml:space="preserve">Cross</t>
        </is>
      </c>
    </row>
    <row r="63">
      <c r="A63" s="122">
        <v>46242</v>
      </c>
      <c r="B63" s="123" t="inlineStr">
        <is>
          <t xml:space="preserve">VEDACIT</t>
        </is>
      </c>
      <c r="C63" s="124">
        <v>4</v>
      </c>
      <c r="D63" s="124">
        <v>97</v>
      </c>
      <c r="E63" s="125"/>
      <c r="F63" s="124"/>
      <c r="G63" s="124"/>
      <c r="H63" s="124"/>
      <c r="I63" s="124"/>
      <c r="J63" s="124"/>
      <c r="K63" s="124"/>
      <c r="L63" s="124">
        <v>8</v>
      </c>
      <c r="M63" s="124">
        <v>32</v>
      </c>
      <c r="N63" s="125"/>
      <c r="O63" s="124"/>
      <c r="P63" s="124"/>
      <c r="Q63" s="124"/>
      <c r="R63" s="124"/>
      <c r="S63" s="124"/>
      <c r="T63" s="124"/>
      <c r="U63" s="124">
        <v>0</v>
      </c>
      <c r="V63" s="124">
        <v>0</v>
      </c>
      <c r="W63" s="124"/>
      <c r="X63" s="124">
        <v>1400</v>
      </c>
      <c r="Y63" s="124">
        <v>936</v>
      </c>
      <c r="Z63" s="124">
        <v>8</v>
      </c>
      <c r="AA63" s="124"/>
      <c r="AB63" s="124">
        <v>1</v>
      </c>
      <c r="AC63" s="124"/>
      <c r="AD63" s="124"/>
      <c r="AE63" s="126" t="inlineStr">
        <is>
          <t xml:space="preserve">Contrato</t>
        </is>
      </c>
    </row>
    <row r="64">
      <c r="A64" s="122">
        <v>46242</v>
      </c>
      <c r="B64" s="123" t="inlineStr">
        <is>
          <t xml:space="preserve">OMNLIFE</t>
        </is>
      </c>
      <c r="C64" s="124">
        <v>4</v>
      </c>
      <c r="D64" s="124">
        <v>22</v>
      </c>
      <c r="E64" s="125"/>
      <c r="F64" s="124"/>
      <c r="G64" s="124"/>
      <c r="H64" s="124"/>
      <c r="I64" s="124"/>
      <c r="J64" s="124"/>
      <c r="K64" s="124"/>
      <c r="L64" s="124">
        <v>9</v>
      </c>
      <c r="M64" s="124">
        <v>132</v>
      </c>
      <c r="N64" s="125"/>
      <c r="O64" s="124"/>
      <c r="P64" s="124"/>
      <c r="Q64" s="124"/>
      <c r="R64" s="124"/>
      <c r="S64" s="124"/>
      <c r="T64" s="124"/>
      <c r="U64" s="124">
        <v>0</v>
      </c>
      <c r="V64" s="124">
        <v>0</v>
      </c>
      <c r="W64" s="124"/>
      <c r="X64" s="124">
        <v>500</v>
      </c>
      <c r="Y64" s="124">
        <v>472</v>
      </c>
      <c r="Z64" s="124">
        <v>10</v>
      </c>
      <c r="AA64" s="124"/>
      <c r="AB64" s="124"/>
      <c r="AC64" s="124"/>
      <c r="AD64" s="124"/>
      <c r="AE64" s="126" t="inlineStr">
        <is>
          <t xml:space="preserve">Spot</t>
        </is>
      </c>
    </row>
    <row r="65">
      <c r="A65" s="122">
        <v>46242</v>
      </c>
      <c r="B65" s="123" t="inlineStr">
        <is>
          <t xml:space="preserve">ALPARGATAS</t>
        </is>
      </c>
      <c r="C65" s="124">
        <v>8</v>
      </c>
      <c r="D65" s="124"/>
      <c r="E65" s="125"/>
      <c r="F65" s="124">
        <v>1313</v>
      </c>
      <c r="G65" s="124"/>
      <c r="H65" s="124"/>
      <c r="I65" s="124"/>
      <c r="J65" s="124"/>
      <c r="K65" s="124"/>
      <c r="L65" s="124">
        <v>3</v>
      </c>
      <c r="M65" s="124"/>
      <c r="N65" s="125"/>
      <c r="O65" s="124">
        <v>334</v>
      </c>
      <c r="P65" s="124"/>
      <c r="Q65" s="124"/>
      <c r="R65" s="124"/>
      <c r="S65" s="124"/>
      <c r="T65" s="124"/>
      <c r="U65" s="124">
        <v>0</v>
      </c>
      <c r="V65" s="124">
        <v>0</v>
      </c>
      <c r="W65" s="124"/>
      <c r="X65" s="124">
        <v>1800</v>
      </c>
      <c r="Y65" s="124">
        <v>1057</v>
      </c>
      <c r="Z65" s="124">
        <v>13</v>
      </c>
      <c r="AA65" s="124"/>
      <c r="AB65" s="124"/>
      <c r="AC65" s="124"/>
      <c r="AD65" s="124"/>
      <c r="AE65" s="126" t="inlineStr">
        <is>
          <t xml:space="preserve">Contrato</t>
        </is>
      </c>
    </row>
    <row r="66">
      <c r="A66" s="122">
        <v>46244</v>
      </c>
      <c r="B66" s="123" t="inlineStr">
        <is>
          <t xml:space="preserve">BASF</t>
        </is>
      </c>
      <c r="C66" s="124">
        <v>3</v>
      </c>
      <c r="D66" s="124">
        <v>44</v>
      </c>
      <c r="E66" s="125">
        <v>23.39</v>
      </c>
      <c r="F66" s="124"/>
      <c r="G66" s="124"/>
      <c r="H66" s="124"/>
      <c r="I66" s="124"/>
      <c r="J66" s="124"/>
      <c r="K66" s="124"/>
      <c r="L66" s="124">
        <v>5</v>
      </c>
      <c r="M66" s="124">
        <v>125</v>
      </c>
      <c r="N66" s="125">
        <v>114.02</v>
      </c>
      <c r="O66" s="124"/>
      <c r="P66" s="124"/>
      <c r="Q66" s="124"/>
      <c r="R66" s="124"/>
      <c r="S66" s="124"/>
      <c r="T66" s="124"/>
      <c r="U66" s="124">
        <v>0</v>
      </c>
      <c r="V66" s="124">
        <v>0</v>
      </c>
      <c r="W66" s="124"/>
      <c r="X66" s="124">
        <v>2200</v>
      </c>
      <c r="Y66" s="124">
        <v>1250</v>
      </c>
      <c r="Z66" s="124">
        <v>11</v>
      </c>
      <c r="AA66" s="124"/>
      <c r="AB66" s="124"/>
      <c r="AC66" s="124"/>
      <c r="AD66" s="124"/>
      <c r="AE66" s="126" t="inlineStr">
        <is>
          <t xml:space="preserve">Contrato</t>
        </is>
      </c>
    </row>
    <row r="67">
      <c r="A67" s="122">
        <v>46244</v>
      </c>
      <c r="B67" s="123" t="inlineStr">
        <is>
          <t xml:space="preserve">BEAUTYBIZ</t>
        </is>
      </c>
      <c r="C67" s="124">
        <v>6</v>
      </c>
      <c r="D67" s="124">
        <v>116</v>
      </c>
      <c r="E67" s="125"/>
      <c r="F67" s="124">
        <v>2260</v>
      </c>
      <c r="G67" s="124"/>
      <c r="H67" s="124"/>
      <c r="I67" s="124"/>
      <c r="J67" s="124"/>
      <c r="K67" s="124"/>
      <c r="L67" s="124">
        <v>8</v>
      </c>
      <c r="M67" s="124">
        <v>139</v>
      </c>
      <c r="N67" s="125"/>
      <c r="O67" s="124"/>
      <c r="P67" s="124">
        <v>465</v>
      </c>
      <c r="Q67" s="124"/>
      <c r="R67" s="124"/>
      <c r="S67" s="124"/>
      <c r="T67" s="124"/>
      <c r="U67" s="124">
        <v>0</v>
      </c>
      <c r="V67" s="124">
        <v>0</v>
      </c>
      <c r="W67" s="124"/>
      <c r="X67" s="124">
        <v>1200</v>
      </c>
      <c r="Y67" s="124">
        <v>944</v>
      </c>
      <c r="Z67" s="124">
        <v>4</v>
      </c>
      <c r="AA67" s="124"/>
      <c r="AB67" s="124"/>
      <c r="AC67" s="124"/>
      <c r="AD67" s="124"/>
      <c r="AE67" s="126" t="inlineStr">
        <is>
          <t xml:space="preserve">Contrato</t>
        </is>
      </c>
    </row>
    <row r="68">
      <c r="A68" s="122">
        <v>46244</v>
      </c>
      <c r="B68" s="123" t="inlineStr">
        <is>
          <t xml:space="preserve">BOTICÁRIO</t>
        </is>
      </c>
      <c r="C68" s="124">
        <v>3</v>
      </c>
      <c r="D68" s="124"/>
      <c r="E68" s="125"/>
      <c r="F68" s="124"/>
      <c r="G68" s="124">
        <v>4569</v>
      </c>
      <c r="H68" s="124">
        <v>365</v>
      </c>
      <c r="I68" s="124">
        <v>132</v>
      </c>
      <c r="J68" s="124"/>
      <c r="K68" s="124"/>
      <c r="L68" s="124">
        <v>7</v>
      </c>
      <c r="M68" s="124">
        <v>137</v>
      </c>
      <c r="N68" s="125"/>
      <c r="O68" s="124"/>
      <c r="P68" s="124"/>
      <c r="Q68" s="124">
        <v>945</v>
      </c>
      <c r="R68" s="124">
        <v>1785</v>
      </c>
      <c r="S68" s="124"/>
      <c r="T68" s="124"/>
      <c r="U68" s="124">
        <v>0</v>
      </c>
      <c r="V68" s="124">
        <v>0</v>
      </c>
      <c r="W68" s="124"/>
      <c r="X68" s="124">
        <v>3500</v>
      </c>
      <c r="Y68" s="124">
        <v>2846</v>
      </c>
      <c r="Z68" s="124">
        <v>8</v>
      </c>
      <c r="AA68" s="124"/>
      <c r="AB68" s="124"/>
      <c r="AC68" s="124"/>
      <c r="AD68" s="124"/>
      <c r="AE68" s="126" t="inlineStr">
        <is>
          <t xml:space="preserve">Contrato</t>
        </is>
      </c>
    </row>
    <row r="69">
      <c r="A69" s="122">
        <v>46244</v>
      </c>
      <c r="B69" s="123" t="inlineStr">
        <is>
          <t xml:space="preserve">SUPPLY</t>
        </is>
      </c>
      <c r="C69" s="124">
        <v>4</v>
      </c>
      <c r="D69" s="124">
        <v>90</v>
      </c>
      <c r="E69" s="125">
        <v>37.35</v>
      </c>
      <c r="F69" s="124"/>
      <c r="G69" s="124"/>
      <c r="H69" s="124"/>
      <c r="I69" s="124"/>
      <c r="J69" s="124"/>
      <c r="K69" s="124"/>
      <c r="L69" s="124">
        <v>2</v>
      </c>
      <c r="M69" s="124">
        <v>158</v>
      </c>
      <c r="N69" s="125">
        <v>73.16</v>
      </c>
      <c r="O69" s="124"/>
      <c r="P69" s="124"/>
      <c r="Q69" s="124"/>
      <c r="R69" s="124"/>
      <c r="S69" s="124"/>
      <c r="T69" s="124"/>
      <c r="U69" s="124">
        <v>0</v>
      </c>
      <c r="V69" s="124">
        <v>0</v>
      </c>
      <c r="W69" s="124"/>
      <c r="X69" s="124">
        <v>1600</v>
      </c>
      <c r="Y69" s="124">
        <v>1442</v>
      </c>
      <c r="Z69" s="124">
        <v>11</v>
      </c>
      <c r="AA69" s="124"/>
      <c r="AB69" s="124">
        <v>1</v>
      </c>
      <c r="AC69" s="124"/>
      <c r="AD69" s="124"/>
      <c r="AE69" s="126" t="inlineStr">
        <is>
          <t xml:space="preserve">Spot</t>
        </is>
      </c>
    </row>
    <row r="70">
      <c r="A70" s="122">
        <v>46244</v>
      </c>
      <c r="B70" s="123" t="inlineStr">
        <is>
          <t xml:space="preserve">GE VERNOVA</t>
        </is>
      </c>
      <c r="C70" s="124">
        <v>7</v>
      </c>
      <c r="D70" s="124">
        <v>90</v>
      </c>
      <c r="E70" s="125"/>
      <c r="F70" s="124"/>
      <c r="G70" s="124"/>
      <c r="H70" s="124"/>
      <c r="I70" s="124"/>
      <c r="J70" s="124">
        <v>411</v>
      </c>
      <c r="K70" s="124">
        <v>14</v>
      </c>
      <c r="L70" s="124">
        <v>3</v>
      </c>
      <c r="M70" s="124">
        <v>149</v>
      </c>
      <c r="N70" s="125"/>
      <c r="O70" s="124"/>
      <c r="P70" s="124"/>
      <c r="Q70" s="124"/>
      <c r="R70" s="124"/>
      <c r="S70" s="124">
        <v>222</v>
      </c>
      <c r="T70" s="124">
        <v>89</v>
      </c>
      <c r="U70" s="124">
        <v>0</v>
      </c>
      <c r="V70" s="124">
        <v>0</v>
      </c>
      <c r="W70" s="124"/>
      <c r="X70" s="124">
        <v>900</v>
      </c>
      <c r="Y70" s="124">
        <v>741</v>
      </c>
      <c r="Z70" s="124">
        <v>6</v>
      </c>
      <c r="AA70" s="124">
        <v>1</v>
      </c>
      <c r="AB70" s="124">
        <v>1</v>
      </c>
      <c r="AC70" s="124"/>
      <c r="AD70" s="124"/>
      <c r="AE70" s="126" t="inlineStr">
        <is>
          <t xml:space="preserve">Contrato</t>
        </is>
      </c>
    </row>
    <row r="71">
      <c r="A71" s="122">
        <v>46244</v>
      </c>
      <c r="B71" s="123" t="inlineStr">
        <is>
          <t xml:space="preserve">VESTAS</t>
        </is>
      </c>
      <c r="C71" s="124">
        <v>2</v>
      </c>
      <c r="D71" s="124"/>
      <c r="E71" s="125"/>
      <c r="F71" s="124"/>
      <c r="G71" s="124"/>
      <c r="H71" s="124"/>
      <c r="I71" s="124"/>
      <c r="J71" s="124"/>
      <c r="K71" s="124">
        <v>24</v>
      </c>
      <c r="L71" s="124">
        <v>10</v>
      </c>
      <c r="M71" s="124"/>
      <c r="N71" s="125"/>
      <c r="O71" s="124"/>
      <c r="P71" s="124"/>
      <c r="Q71" s="124"/>
      <c r="R71" s="124"/>
      <c r="S71" s="124"/>
      <c r="T71" s="124">
        <v>41</v>
      </c>
      <c r="U71" s="124">
        <v>0</v>
      </c>
      <c r="V71" s="124">
        <v>0</v>
      </c>
      <c r="W71" s="124"/>
      <c r="X71" s="124">
        <v>600</v>
      </c>
      <c r="Y71" s="124">
        <v>511</v>
      </c>
      <c r="Z71" s="124">
        <v>7</v>
      </c>
      <c r="AA71" s="124">
        <v>1</v>
      </c>
      <c r="AB71" s="124"/>
      <c r="AC71" s="124"/>
      <c r="AD71" s="124"/>
      <c r="AE71" s="126" t="inlineStr">
        <is>
          <t xml:space="preserve">Cross</t>
        </is>
      </c>
    </row>
    <row r="72">
      <c r="A72" s="122">
        <v>46244</v>
      </c>
      <c r="B72" s="123" t="inlineStr">
        <is>
          <t xml:space="preserve">VEDACIT</t>
        </is>
      </c>
      <c r="C72" s="124">
        <v>8</v>
      </c>
      <c r="D72" s="124">
        <v>58</v>
      </c>
      <c r="E72" s="125"/>
      <c r="F72" s="124"/>
      <c r="G72" s="124"/>
      <c r="H72" s="124"/>
      <c r="I72" s="124"/>
      <c r="J72" s="124"/>
      <c r="K72" s="124"/>
      <c r="L72" s="124">
        <v>10</v>
      </c>
      <c r="M72" s="124">
        <v>40</v>
      </c>
      <c r="N72" s="125"/>
      <c r="O72" s="124"/>
      <c r="P72" s="124"/>
      <c r="Q72" s="124"/>
      <c r="R72" s="124"/>
      <c r="S72" s="124"/>
      <c r="T72" s="124"/>
      <c r="U72" s="124">
        <v>0</v>
      </c>
      <c r="V72" s="124">
        <v>0</v>
      </c>
      <c r="W72" s="124">
        <v>8</v>
      </c>
      <c r="X72" s="124">
        <v>1400</v>
      </c>
      <c r="Y72" s="124">
        <v>1132</v>
      </c>
      <c r="Z72" s="124">
        <v>7</v>
      </c>
      <c r="AA72" s="124"/>
      <c r="AB72" s="124">
        <v>1</v>
      </c>
      <c r="AC72" s="124"/>
      <c r="AD72" s="124"/>
      <c r="AE72" s="126" t="inlineStr">
        <is>
          <t xml:space="preserve">Contrato</t>
        </is>
      </c>
    </row>
    <row r="73">
      <c r="A73" s="122">
        <v>46244</v>
      </c>
      <c r="B73" s="123" t="inlineStr">
        <is>
          <t xml:space="preserve">OMNLIFE</t>
        </is>
      </c>
      <c r="C73" s="124">
        <v>8</v>
      </c>
      <c r="D73" s="124">
        <v>115</v>
      </c>
      <c r="E73" s="125"/>
      <c r="F73" s="124"/>
      <c r="G73" s="124"/>
      <c r="H73" s="124"/>
      <c r="I73" s="124"/>
      <c r="J73" s="124"/>
      <c r="K73" s="124"/>
      <c r="L73" s="124">
        <v>10</v>
      </c>
      <c r="M73" s="124">
        <v>43</v>
      </c>
      <c r="N73" s="125"/>
      <c r="O73" s="124"/>
      <c r="P73" s="124"/>
      <c r="Q73" s="124"/>
      <c r="R73" s="124"/>
      <c r="S73" s="124"/>
      <c r="T73" s="124"/>
      <c r="U73" s="124">
        <v>0</v>
      </c>
      <c r="V73" s="124">
        <v>0</v>
      </c>
      <c r="W73" s="124"/>
      <c r="X73" s="124">
        <v>500</v>
      </c>
      <c r="Y73" s="124">
        <v>408</v>
      </c>
      <c r="Z73" s="124">
        <v>9</v>
      </c>
      <c r="AA73" s="124"/>
      <c r="AB73" s="124"/>
      <c r="AC73" s="124"/>
      <c r="AD73" s="124"/>
      <c r="AE73" s="126" t="inlineStr">
        <is>
          <t xml:space="preserve">Spot</t>
        </is>
      </c>
    </row>
    <row r="74">
      <c r="A74" s="122">
        <v>46244</v>
      </c>
      <c r="B74" s="123" t="inlineStr">
        <is>
          <t xml:space="preserve">ALPARGATAS</t>
        </is>
      </c>
      <c r="C74" s="124">
        <v>8</v>
      </c>
      <c r="D74" s="124"/>
      <c r="E74" s="125"/>
      <c r="F74" s="124">
        <v>854</v>
      </c>
      <c r="G74" s="124"/>
      <c r="H74" s="124"/>
      <c r="I74" s="124"/>
      <c r="J74" s="124"/>
      <c r="K74" s="124"/>
      <c r="L74" s="124">
        <v>7</v>
      </c>
      <c r="M74" s="124"/>
      <c r="N74" s="125"/>
      <c r="O74" s="124">
        <v>2270</v>
      </c>
      <c r="P74" s="124"/>
      <c r="Q74" s="124"/>
      <c r="R74" s="124"/>
      <c r="S74" s="124"/>
      <c r="T74" s="124"/>
      <c r="U74" s="124">
        <v>0</v>
      </c>
      <c r="V74" s="124">
        <v>0</v>
      </c>
      <c r="W74" s="124"/>
      <c r="X74" s="124">
        <v>1800</v>
      </c>
      <c r="Y74" s="124">
        <v>1268</v>
      </c>
      <c r="Z74" s="124">
        <v>6</v>
      </c>
      <c r="AA74" s="124"/>
      <c r="AB74" s="124"/>
      <c r="AC74" s="124"/>
      <c r="AD74" s="124"/>
      <c r="AE74" s="126" t="inlineStr">
        <is>
          <t xml:space="preserve">Contrato</t>
        </is>
      </c>
    </row>
    <row r="75">
      <c r="A75" s="122">
        <v>46245</v>
      </c>
      <c r="B75" s="123" t="inlineStr">
        <is>
          <t xml:space="preserve">BASF</t>
        </is>
      </c>
      <c r="C75" s="124">
        <v>7</v>
      </c>
      <c r="D75" s="124">
        <v>26</v>
      </c>
      <c r="E75" s="125">
        <v>117.48</v>
      </c>
      <c r="F75" s="124"/>
      <c r="G75" s="124"/>
      <c r="H75" s="124"/>
      <c r="I75" s="124"/>
      <c r="J75" s="124"/>
      <c r="K75" s="124"/>
      <c r="L75" s="124">
        <v>4</v>
      </c>
      <c r="M75" s="124">
        <v>109</v>
      </c>
      <c r="N75" s="125">
        <v>138.01</v>
      </c>
      <c r="O75" s="124"/>
      <c r="P75" s="124"/>
      <c r="Q75" s="124"/>
      <c r="R75" s="124"/>
      <c r="S75" s="124"/>
      <c r="T75" s="124"/>
      <c r="U75" s="124">
        <v>0</v>
      </c>
      <c r="V75" s="124">
        <v>0</v>
      </c>
      <c r="W75" s="124"/>
      <c r="X75" s="124">
        <v>2200</v>
      </c>
      <c r="Y75" s="124">
        <v>1211</v>
      </c>
      <c r="Z75" s="124">
        <v>4</v>
      </c>
      <c r="AA75" s="124"/>
      <c r="AB75" s="124"/>
      <c r="AC75" s="124"/>
      <c r="AD75" s="124"/>
      <c r="AE75" s="126" t="inlineStr">
        <is>
          <t xml:space="preserve">Contrato</t>
        </is>
      </c>
    </row>
    <row r="76">
      <c r="A76" s="122">
        <v>46245</v>
      </c>
      <c r="B76" s="123" t="inlineStr">
        <is>
          <t xml:space="preserve">BEAUTYBIZ</t>
        </is>
      </c>
      <c r="C76" s="124">
        <v>4</v>
      </c>
      <c r="D76" s="124">
        <v>26</v>
      </c>
      <c r="E76" s="125"/>
      <c r="F76" s="124">
        <v>1374</v>
      </c>
      <c r="G76" s="124"/>
      <c r="H76" s="124"/>
      <c r="I76" s="124"/>
      <c r="J76" s="124"/>
      <c r="K76" s="124"/>
      <c r="L76" s="124">
        <v>8</v>
      </c>
      <c r="M76" s="124">
        <v>26</v>
      </c>
      <c r="N76" s="125"/>
      <c r="O76" s="124"/>
      <c r="P76" s="124">
        <v>113</v>
      </c>
      <c r="Q76" s="124"/>
      <c r="R76" s="124"/>
      <c r="S76" s="124"/>
      <c r="T76" s="124"/>
      <c r="U76" s="124">
        <v>0</v>
      </c>
      <c r="V76" s="124">
        <v>0</v>
      </c>
      <c r="W76" s="124"/>
      <c r="X76" s="124">
        <v>1200</v>
      </c>
      <c r="Y76" s="124">
        <v>929</v>
      </c>
      <c r="Z76" s="124">
        <v>10</v>
      </c>
      <c r="AA76" s="124"/>
      <c r="AB76" s="124"/>
      <c r="AC76" s="124"/>
      <c r="AD76" s="124"/>
      <c r="AE76" s="126" t="inlineStr">
        <is>
          <t xml:space="preserve">Contrato</t>
        </is>
      </c>
    </row>
    <row r="77">
      <c r="A77" s="122">
        <v>46245</v>
      </c>
      <c r="B77" s="123" t="inlineStr">
        <is>
          <t xml:space="preserve">BOTICÁRIO</t>
        </is>
      </c>
      <c r="C77" s="124">
        <v>5</v>
      </c>
      <c r="D77" s="124"/>
      <c r="E77" s="125"/>
      <c r="F77" s="124"/>
      <c r="G77" s="124">
        <v>1500</v>
      </c>
      <c r="H77" s="124">
        <v>378</v>
      </c>
      <c r="I77" s="124">
        <v>294</v>
      </c>
      <c r="J77" s="124"/>
      <c r="K77" s="124"/>
      <c r="L77" s="124">
        <v>3</v>
      </c>
      <c r="M77" s="124">
        <v>141</v>
      </c>
      <c r="N77" s="125"/>
      <c r="O77" s="124"/>
      <c r="P77" s="124"/>
      <c r="Q77" s="124">
        <v>250</v>
      </c>
      <c r="R77" s="124">
        <v>6286</v>
      </c>
      <c r="S77" s="124"/>
      <c r="T77" s="124"/>
      <c r="U77" s="124">
        <v>0</v>
      </c>
      <c r="V77" s="124">
        <v>0</v>
      </c>
      <c r="W77" s="124">
        <v>0</v>
      </c>
      <c r="X77" s="124">
        <v>3500</v>
      </c>
      <c r="Y77" s="124">
        <v>2007</v>
      </c>
      <c r="Z77" s="124">
        <v>12</v>
      </c>
      <c r="AA77" s="124"/>
      <c r="AB77" s="124"/>
      <c r="AC77" s="124"/>
      <c r="AD77" s="124"/>
      <c r="AE77" s="126" t="inlineStr">
        <is>
          <t xml:space="preserve">Contrato</t>
        </is>
      </c>
    </row>
    <row r="78">
      <c r="A78" s="122">
        <v>46245</v>
      </c>
      <c r="B78" s="123" t="inlineStr">
        <is>
          <t xml:space="preserve">SUPPLY</t>
        </is>
      </c>
      <c r="C78" s="124">
        <v>5</v>
      </c>
      <c r="D78" s="124">
        <v>88</v>
      </c>
      <c r="E78" s="125">
        <v>35.64</v>
      </c>
      <c r="F78" s="124"/>
      <c r="G78" s="124"/>
      <c r="H78" s="124"/>
      <c r="I78" s="124"/>
      <c r="J78" s="124"/>
      <c r="K78" s="124"/>
      <c r="L78" s="124">
        <v>2</v>
      </c>
      <c r="M78" s="124">
        <v>28</v>
      </c>
      <c r="N78" s="125">
        <v>18.15</v>
      </c>
      <c r="O78" s="124"/>
      <c r="P78" s="124"/>
      <c r="Q78" s="124"/>
      <c r="R78" s="124"/>
      <c r="S78" s="124"/>
      <c r="T78" s="124"/>
      <c r="U78" s="124">
        <v>0</v>
      </c>
      <c r="V78" s="124">
        <v>0</v>
      </c>
      <c r="W78" s="124"/>
      <c r="X78" s="124">
        <v>1600</v>
      </c>
      <c r="Y78" s="124">
        <v>950</v>
      </c>
      <c r="Z78" s="124">
        <v>13</v>
      </c>
      <c r="AA78" s="124"/>
      <c r="AB78" s="124"/>
      <c r="AC78" s="124"/>
      <c r="AD78" s="124"/>
      <c r="AE78" s="126" t="inlineStr">
        <is>
          <t xml:space="preserve">Spot</t>
        </is>
      </c>
    </row>
    <row r="79">
      <c r="A79" s="122">
        <v>46245</v>
      </c>
      <c r="B79" s="123" t="inlineStr">
        <is>
          <t xml:space="preserve">GE VERNOVA</t>
        </is>
      </c>
      <c r="C79" s="124">
        <v>6</v>
      </c>
      <c r="D79" s="124">
        <v>90</v>
      </c>
      <c r="E79" s="125"/>
      <c r="F79" s="124"/>
      <c r="G79" s="124"/>
      <c r="H79" s="124"/>
      <c r="I79" s="124"/>
      <c r="J79" s="124">
        <v>402</v>
      </c>
      <c r="K79" s="124">
        <v>99</v>
      </c>
      <c r="L79" s="124">
        <v>3</v>
      </c>
      <c r="M79" s="124">
        <v>63</v>
      </c>
      <c r="N79" s="125"/>
      <c r="O79" s="124"/>
      <c r="P79" s="124"/>
      <c r="Q79" s="124"/>
      <c r="R79" s="124"/>
      <c r="S79" s="124">
        <v>215</v>
      </c>
      <c r="T79" s="124">
        <v>15</v>
      </c>
      <c r="U79" s="124">
        <v>0</v>
      </c>
      <c r="V79" s="124">
        <v>0</v>
      </c>
      <c r="W79" s="124"/>
      <c r="X79" s="124">
        <v>900</v>
      </c>
      <c r="Y79" s="124">
        <v>497</v>
      </c>
      <c r="Z79" s="124">
        <v>10</v>
      </c>
      <c r="AA79" s="124"/>
      <c r="AB79" s="124"/>
      <c r="AC79" s="124"/>
      <c r="AD79" s="124"/>
      <c r="AE79" s="126" t="inlineStr">
        <is>
          <t xml:space="preserve">Contrato</t>
        </is>
      </c>
    </row>
    <row r="80">
      <c r="A80" s="122">
        <v>46245</v>
      </c>
      <c r="B80" s="123" t="inlineStr">
        <is>
          <t xml:space="preserve">VESTAS</t>
        </is>
      </c>
      <c r="C80" s="124">
        <v>3</v>
      </c>
      <c r="D80" s="124"/>
      <c r="E80" s="125"/>
      <c r="F80" s="124"/>
      <c r="G80" s="124"/>
      <c r="H80" s="124"/>
      <c r="I80" s="124"/>
      <c r="J80" s="124"/>
      <c r="K80" s="124">
        <v>21</v>
      </c>
      <c r="L80" s="124">
        <v>4</v>
      </c>
      <c r="M80" s="124"/>
      <c r="N80" s="125"/>
      <c r="O80" s="124"/>
      <c r="P80" s="124"/>
      <c r="Q80" s="124"/>
      <c r="R80" s="124"/>
      <c r="S80" s="124"/>
      <c r="T80" s="124">
        <v>14</v>
      </c>
      <c r="U80" s="124">
        <v>0</v>
      </c>
      <c r="V80" s="124">
        <v>0</v>
      </c>
      <c r="W80" s="124"/>
      <c r="X80" s="124">
        <v>600</v>
      </c>
      <c r="Y80" s="124">
        <v>543</v>
      </c>
      <c r="Z80" s="124">
        <v>4</v>
      </c>
      <c r="AA80" s="124"/>
      <c r="AB80" s="124"/>
      <c r="AC80" s="124"/>
      <c r="AD80" s="124"/>
      <c r="AE80" s="126" t="inlineStr">
        <is>
          <t xml:space="preserve">Cross</t>
        </is>
      </c>
    </row>
    <row r="81">
      <c r="A81" s="122">
        <v>46245</v>
      </c>
      <c r="B81" s="123" t="inlineStr">
        <is>
          <t xml:space="preserve">VEDACIT</t>
        </is>
      </c>
      <c r="C81" s="124">
        <v>5</v>
      </c>
      <c r="D81" s="124">
        <v>57</v>
      </c>
      <c r="E81" s="125"/>
      <c r="F81" s="124"/>
      <c r="G81" s="124"/>
      <c r="H81" s="124"/>
      <c r="I81" s="124"/>
      <c r="J81" s="124"/>
      <c r="K81" s="124"/>
      <c r="L81" s="124">
        <v>8</v>
      </c>
      <c r="M81" s="124">
        <v>155</v>
      </c>
      <c r="N81" s="125"/>
      <c r="O81" s="124"/>
      <c r="P81" s="124"/>
      <c r="Q81" s="124"/>
      <c r="R81" s="124"/>
      <c r="S81" s="124"/>
      <c r="T81" s="124"/>
      <c r="U81" s="124">
        <v>0</v>
      </c>
      <c r="V81" s="124">
        <v>0</v>
      </c>
      <c r="W81" s="124">
        <v>8</v>
      </c>
      <c r="X81" s="124">
        <v>1400</v>
      </c>
      <c r="Y81" s="124">
        <v>1301</v>
      </c>
      <c r="Z81" s="124">
        <v>7</v>
      </c>
      <c r="AA81" s="124"/>
      <c r="AB81" s="124"/>
      <c r="AC81" s="124"/>
      <c r="AD81" s="124"/>
      <c r="AE81" s="126" t="inlineStr">
        <is>
          <t xml:space="preserve">Contrato</t>
        </is>
      </c>
    </row>
    <row r="82">
      <c r="A82" s="122">
        <v>46245</v>
      </c>
      <c r="B82" s="123" t="inlineStr">
        <is>
          <t xml:space="preserve">OMNLIFE</t>
        </is>
      </c>
      <c r="C82" s="124">
        <v>4</v>
      </c>
      <c r="D82" s="124">
        <v>53</v>
      </c>
      <c r="E82" s="125"/>
      <c r="F82" s="124"/>
      <c r="G82" s="124"/>
      <c r="H82" s="124"/>
      <c r="I82" s="124"/>
      <c r="J82" s="124"/>
      <c r="K82" s="124"/>
      <c r="L82" s="124">
        <v>11</v>
      </c>
      <c r="M82" s="124">
        <v>108</v>
      </c>
      <c r="N82" s="125"/>
      <c r="O82" s="124"/>
      <c r="P82" s="124"/>
      <c r="Q82" s="124"/>
      <c r="R82" s="124"/>
      <c r="S82" s="124"/>
      <c r="T82" s="124"/>
      <c r="U82" s="124">
        <v>0</v>
      </c>
      <c r="V82" s="124">
        <v>0</v>
      </c>
      <c r="W82" s="124"/>
      <c r="X82" s="124">
        <v>500</v>
      </c>
      <c r="Y82" s="124">
        <v>373</v>
      </c>
      <c r="Z82" s="124">
        <v>12</v>
      </c>
      <c r="AA82" s="124"/>
      <c r="AB82" s="124"/>
      <c r="AC82" s="124"/>
      <c r="AD82" s="124"/>
      <c r="AE82" s="126" t="inlineStr">
        <is>
          <t xml:space="preserve">Spot</t>
        </is>
      </c>
    </row>
    <row r="83">
      <c r="A83" s="122">
        <v>46245</v>
      </c>
      <c r="B83" s="123" t="inlineStr">
        <is>
          <t xml:space="preserve">ALPARGATAS</t>
        </is>
      </c>
      <c r="C83" s="124">
        <v>5</v>
      </c>
      <c r="D83" s="124"/>
      <c r="E83" s="125"/>
      <c r="F83" s="124">
        <v>977</v>
      </c>
      <c r="G83" s="124"/>
      <c r="H83" s="124"/>
      <c r="I83" s="124"/>
      <c r="J83" s="124"/>
      <c r="K83" s="124"/>
      <c r="L83" s="124">
        <v>4</v>
      </c>
      <c r="M83" s="124"/>
      <c r="N83" s="125"/>
      <c r="O83" s="124">
        <v>1732</v>
      </c>
      <c r="P83" s="124"/>
      <c r="Q83" s="124"/>
      <c r="R83" s="124"/>
      <c r="S83" s="124"/>
      <c r="T83" s="124"/>
      <c r="U83" s="124">
        <v>0</v>
      </c>
      <c r="V83" s="124">
        <v>0</v>
      </c>
      <c r="W83" s="124">
        <v>0</v>
      </c>
      <c r="X83" s="124">
        <v>1800</v>
      </c>
      <c r="Y83" s="124">
        <v>1074</v>
      </c>
      <c r="Z83" s="124">
        <v>13</v>
      </c>
      <c r="AA83" s="124"/>
      <c r="AB83" s="124"/>
      <c r="AC83" s="124"/>
      <c r="AD83" s="124"/>
      <c r="AE83" s="126" t="inlineStr">
        <is>
          <t xml:space="preserve">Contrato</t>
        </is>
      </c>
    </row>
    <row r="84">
      <c r="A84" s="122">
        <v>46246</v>
      </c>
      <c r="B84" s="123" t="inlineStr">
        <is>
          <t xml:space="preserve">BASF</t>
        </is>
      </c>
      <c r="C84" s="124">
        <v>2</v>
      </c>
      <c r="D84" s="124">
        <v>116</v>
      </c>
      <c r="E84" s="125">
        <v>94.23</v>
      </c>
      <c r="F84" s="124"/>
      <c r="G84" s="124"/>
      <c r="H84" s="124"/>
      <c r="I84" s="124"/>
      <c r="J84" s="124"/>
      <c r="K84" s="124"/>
      <c r="L84" s="124">
        <v>8</v>
      </c>
      <c r="M84" s="124">
        <v>123</v>
      </c>
      <c r="N84" s="125">
        <v>23.22</v>
      </c>
      <c r="O84" s="124"/>
      <c r="P84" s="124"/>
      <c r="Q84" s="124"/>
      <c r="R84" s="124"/>
      <c r="S84" s="124"/>
      <c r="T84" s="124"/>
      <c r="U84" s="124">
        <v>0</v>
      </c>
      <c r="V84" s="124">
        <v>0</v>
      </c>
      <c r="W84" s="124"/>
      <c r="X84" s="124">
        <v>2200</v>
      </c>
      <c r="Y84" s="124">
        <v>1967</v>
      </c>
      <c r="Z84" s="124">
        <v>14</v>
      </c>
      <c r="AA84" s="124">
        <v>1</v>
      </c>
      <c r="AB84" s="124"/>
      <c r="AC84" s="124"/>
      <c r="AD84" s="124"/>
      <c r="AE84" s="126" t="inlineStr">
        <is>
          <t xml:space="preserve">Contrato</t>
        </is>
      </c>
    </row>
    <row r="85">
      <c r="A85" s="122">
        <v>46246</v>
      </c>
      <c r="B85" s="123" t="inlineStr">
        <is>
          <t xml:space="preserve">BEAUTYBIZ</t>
        </is>
      </c>
      <c r="C85" s="124">
        <v>2</v>
      </c>
      <c r="D85" s="124">
        <v>48</v>
      </c>
      <c r="E85" s="125"/>
      <c r="F85" s="124">
        <v>546</v>
      </c>
      <c r="G85" s="124"/>
      <c r="H85" s="124"/>
      <c r="I85" s="124"/>
      <c r="J85" s="124"/>
      <c r="K85" s="124"/>
      <c r="L85" s="124">
        <v>2</v>
      </c>
      <c r="M85" s="124">
        <v>138</v>
      </c>
      <c r="N85" s="125"/>
      <c r="O85" s="124"/>
      <c r="P85" s="124">
        <v>583</v>
      </c>
      <c r="Q85" s="124"/>
      <c r="R85" s="124"/>
      <c r="S85" s="124"/>
      <c r="T85" s="124"/>
      <c r="U85" s="124">
        <v>0</v>
      </c>
      <c r="V85" s="124">
        <v>0</v>
      </c>
      <c r="W85" s="124"/>
      <c r="X85" s="124">
        <v>1200</v>
      </c>
      <c r="Y85" s="124">
        <v>804</v>
      </c>
      <c r="Z85" s="124">
        <v>5</v>
      </c>
      <c r="AA85" s="124">
        <v>1</v>
      </c>
      <c r="AB85" s="124"/>
      <c r="AC85" s="124"/>
      <c r="AD85" s="124"/>
      <c r="AE85" s="126" t="inlineStr">
        <is>
          <t xml:space="preserve">Contrato</t>
        </is>
      </c>
    </row>
    <row r="86">
      <c r="A86" s="122">
        <v>46246</v>
      </c>
      <c r="B86" s="123" t="inlineStr">
        <is>
          <t xml:space="preserve">BOTICÁRIO</t>
        </is>
      </c>
      <c r="C86" s="124">
        <v>4</v>
      </c>
      <c r="D86" s="124"/>
      <c r="E86" s="125"/>
      <c r="F86" s="124"/>
      <c r="G86" s="124">
        <v>2158</v>
      </c>
      <c r="H86" s="124">
        <v>179</v>
      </c>
      <c r="I86" s="124">
        <v>844</v>
      </c>
      <c r="J86" s="124"/>
      <c r="K86" s="124"/>
      <c r="L86" s="124">
        <v>2</v>
      </c>
      <c r="M86" s="124">
        <v>127</v>
      </c>
      <c r="N86" s="125"/>
      <c r="O86" s="124"/>
      <c r="P86" s="124"/>
      <c r="Q86" s="124">
        <v>947</v>
      </c>
      <c r="R86" s="124">
        <v>8327</v>
      </c>
      <c r="S86" s="124"/>
      <c r="T86" s="124"/>
      <c r="U86" s="124">
        <v>0</v>
      </c>
      <c r="V86" s="124">
        <v>0</v>
      </c>
      <c r="W86" s="124">
        <v>0</v>
      </c>
      <c r="X86" s="124">
        <v>3500</v>
      </c>
      <c r="Y86" s="124">
        <v>3084</v>
      </c>
      <c r="Z86" s="124">
        <v>4</v>
      </c>
      <c r="AA86" s="124"/>
      <c r="AB86" s="124"/>
      <c r="AC86" s="124"/>
      <c r="AD86" s="124"/>
      <c r="AE86" s="126" t="inlineStr">
        <is>
          <t xml:space="preserve">Contrato</t>
        </is>
      </c>
    </row>
    <row r="87">
      <c r="A87" s="122">
        <v>46246</v>
      </c>
      <c r="B87" s="123" t="inlineStr">
        <is>
          <t xml:space="preserve">SUPPLY</t>
        </is>
      </c>
      <c r="C87" s="124">
        <v>5</v>
      </c>
      <c r="D87" s="124">
        <v>50</v>
      </c>
      <c r="E87" s="125">
        <v>122.78</v>
      </c>
      <c r="F87" s="124"/>
      <c r="G87" s="124"/>
      <c r="H87" s="124"/>
      <c r="I87" s="124"/>
      <c r="J87" s="124"/>
      <c r="K87" s="124"/>
      <c r="L87" s="124">
        <v>2</v>
      </c>
      <c r="M87" s="124">
        <v>134</v>
      </c>
      <c r="N87" s="125">
        <v>36.3</v>
      </c>
      <c r="O87" s="124"/>
      <c r="P87" s="124"/>
      <c r="Q87" s="124"/>
      <c r="R87" s="124"/>
      <c r="S87" s="124"/>
      <c r="T87" s="124"/>
      <c r="U87" s="124">
        <v>1</v>
      </c>
      <c r="V87" s="124">
        <v>0</v>
      </c>
      <c r="W87" s="124"/>
      <c r="X87" s="124">
        <v>1600</v>
      </c>
      <c r="Y87" s="124">
        <v>1537</v>
      </c>
      <c r="Z87" s="124">
        <v>4</v>
      </c>
      <c r="AA87" s="124"/>
      <c r="AB87" s="124">
        <v>1</v>
      </c>
      <c r="AC87" s="124"/>
      <c r="AD87" s="124"/>
      <c r="AE87" s="126" t="inlineStr">
        <is>
          <t xml:space="preserve">Spot</t>
        </is>
      </c>
    </row>
    <row r="88">
      <c r="A88" s="122">
        <v>46246</v>
      </c>
      <c r="B88" s="123" t="inlineStr">
        <is>
          <t xml:space="preserve">GE VERNOVA</t>
        </is>
      </c>
      <c r="C88" s="124">
        <v>8</v>
      </c>
      <c r="D88" s="124">
        <v>102</v>
      </c>
      <c r="E88" s="125"/>
      <c r="F88" s="124"/>
      <c r="G88" s="124"/>
      <c r="H88" s="124"/>
      <c r="I88" s="124"/>
      <c r="J88" s="124">
        <v>576</v>
      </c>
      <c r="K88" s="124">
        <v>66</v>
      </c>
      <c r="L88" s="124">
        <v>7</v>
      </c>
      <c r="M88" s="124">
        <v>42</v>
      </c>
      <c r="N88" s="125"/>
      <c r="O88" s="124"/>
      <c r="P88" s="124"/>
      <c r="Q88" s="124"/>
      <c r="R88" s="124"/>
      <c r="S88" s="124">
        <v>498</v>
      </c>
      <c r="T88" s="124">
        <v>113</v>
      </c>
      <c r="U88" s="124">
        <v>0</v>
      </c>
      <c r="V88" s="124">
        <v>0</v>
      </c>
      <c r="W88" s="124"/>
      <c r="X88" s="124">
        <v>900</v>
      </c>
      <c r="Y88" s="124">
        <v>784</v>
      </c>
      <c r="Z88" s="124">
        <v>11</v>
      </c>
      <c r="AA88" s="124"/>
      <c r="AB88" s="124"/>
      <c r="AC88" s="124"/>
      <c r="AD88" s="124"/>
      <c r="AE88" s="126" t="inlineStr">
        <is>
          <t xml:space="preserve">Contrato</t>
        </is>
      </c>
    </row>
    <row r="89">
      <c r="A89" s="122">
        <v>46246</v>
      </c>
      <c r="B89" s="123" t="inlineStr">
        <is>
          <t xml:space="preserve">VESTAS</t>
        </is>
      </c>
      <c r="C89" s="124">
        <v>4</v>
      </c>
      <c r="D89" s="124"/>
      <c r="E89" s="125"/>
      <c r="F89" s="124"/>
      <c r="G89" s="124"/>
      <c r="H89" s="124"/>
      <c r="I89" s="124"/>
      <c r="J89" s="124"/>
      <c r="K89" s="124">
        <v>54</v>
      </c>
      <c r="L89" s="124">
        <v>5</v>
      </c>
      <c r="M89" s="124"/>
      <c r="N89" s="125"/>
      <c r="O89" s="124"/>
      <c r="P89" s="124"/>
      <c r="Q89" s="124"/>
      <c r="R89" s="124"/>
      <c r="S89" s="124"/>
      <c r="T89" s="124">
        <v>107</v>
      </c>
      <c r="U89" s="124">
        <v>0</v>
      </c>
      <c r="V89" s="124">
        <v>0</v>
      </c>
      <c r="W89" s="124">
        <v>6</v>
      </c>
      <c r="X89" s="124">
        <v>600</v>
      </c>
      <c r="Y89" s="124">
        <v>406</v>
      </c>
      <c r="Z89" s="124">
        <v>10</v>
      </c>
      <c r="AA89" s="124"/>
      <c r="AB89" s="124"/>
      <c r="AC89" s="124"/>
      <c r="AD89" s="124"/>
      <c r="AE89" s="126" t="inlineStr">
        <is>
          <t xml:space="preserve">Cross</t>
        </is>
      </c>
    </row>
    <row r="90">
      <c r="A90" s="122">
        <v>46246</v>
      </c>
      <c r="B90" s="123" t="inlineStr">
        <is>
          <t xml:space="preserve">VEDACIT</t>
        </is>
      </c>
      <c r="C90" s="124">
        <v>3</v>
      </c>
      <c r="D90" s="124">
        <v>84</v>
      </c>
      <c r="E90" s="125"/>
      <c r="F90" s="124"/>
      <c r="G90" s="124"/>
      <c r="H90" s="124"/>
      <c r="I90" s="124"/>
      <c r="J90" s="124"/>
      <c r="K90" s="124"/>
      <c r="L90" s="124">
        <v>7</v>
      </c>
      <c r="M90" s="124">
        <v>125</v>
      </c>
      <c r="N90" s="125"/>
      <c r="O90" s="124"/>
      <c r="P90" s="124"/>
      <c r="Q90" s="124"/>
      <c r="R90" s="124"/>
      <c r="S90" s="124"/>
      <c r="T90" s="124"/>
      <c r="U90" s="124">
        <v>0</v>
      </c>
      <c r="V90" s="124">
        <v>0</v>
      </c>
      <c r="W90" s="124"/>
      <c r="X90" s="124">
        <v>1400</v>
      </c>
      <c r="Y90" s="124">
        <v>962</v>
      </c>
      <c r="Z90" s="124">
        <v>6</v>
      </c>
      <c r="AA90" s="124"/>
      <c r="AB90" s="124"/>
      <c r="AC90" s="124"/>
      <c r="AD90" s="124"/>
      <c r="AE90" s="126" t="inlineStr">
        <is>
          <t xml:space="preserve">Contrato</t>
        </is>
      </c>
    </row>
    <row r="91">
      <c r="A91" s="122">
        <v>46246</v>
      </c>
      <c r="B91" s="123" t="inlineStr">
        <is>
          <t xml:space="preserve">OMNLIFE</t>
        </is>
      </c>
      <c r="C91" s="124">
        <v>5</v>
      </c>
      <c r="D91" s="124">
        <v>116</v>
      </c>
      <c r="E91" s="125"/>
      <c r="F91" s="124"/>
      <c r="G91" s="124"/>
      <c r="H91" s="124"/>
      <c r="I91" s="124"/>
      <c r="J91" s="124"/>
      <c r="K91" s="124"/>
      <c r="L91" s="124">
        <v>4</v>
      </c>
      <c r="M91" s="124">
        <v>52</v>
      </c>
      <c r="N91" s="125"/>
      <c r="O91" s="124"/>
      <c r="P91" s="124"/>
      <c r="Q91" s="124"/>
      <c r="R91" s="124"/>
      <c r="S91" s="124"/>
      <c r="T91" s="124"/>
      <c r="U91" s="124">
        <v>0</v>
      </c>
      <c r="V91" s="124">
        <v>0</v>
      </c>
      <c r="W91" s="124"/>
      <c r="X91" s="124">
        <v>500</v>
      </c>
      <c r="Y91" s="124">
        <v>381</v>
      </c>
      <c r="Z91" s="124">
        <v>8</v>
      </c>
      <c r="AA91" s="124"/>
      <c r="AB91" s="124"/>
      <c r="AC91" s="124"/>
      <c r="AD91" s="124"/>
      <c r="AE91" s="126" t="inlineStr">
        <is>
          <t xml:space="preserve">Spot</t>
        </is>
      </c>
    </row>
    <row r="92">
      <c r="A92" s="122">
        <v>46246</v>
      </c>
      <c r="B92" s="123" t="inlineStr">
        <is>
          <t xml:space="preserve">ALPARGATAS</t>
        </is>
      </c>
      <c r="C92" s="124">
        <v>3</v>
      </c>
      <c r="D92" s="124"/>
      <c r="E92" s="125"/>
      <c r="F92" s="124">
        <v>844</v>
      </c>
      <c r="G92" s="124"/>
      <c r="H92" s="124"/>
      <c r="I92" s="124"/>
      <c r="J92" s="124"/>
      <c r="K92" s="124"/>
      <c r="L92" s="124">
        <v>5</v>
      </c>
      <c r="M92" s="124"/>
      <c r="N92" s="125"/>
      <c r="O92" s="124">
        <v>1501</v>
      </c>
      <c r="P92" s="124"/>
      <c r="Q92" s="124"/>
      <c r="R92" s="124"/>
      <c r="S92" s="124"/>
      <c r="T92" s="124"/>
      <c r="U92" s="124">
        <v>0</v>
      </c>
      <c r="V92" s="124">
        <v>0</v>
      </c>
      <c r="W92" s="124">
        <v>3</v>
      </c>
      <c r="X92" s="124">
        <v>1800</v>
      </c>
      <c r="Y92" s="124">
        <v>1114</v>
      </c>
      <c r="Z92" s="124">
        <v>14</v>
      </c>
      <c r="AA92" s="124">
        <v>1</v>
      </c>
      <c r="AB92" s="124"/>
      <c r="AC92" s="124"/>
      <c r="AD92" s="124"/>
      <c r="AE92" s="126" t="inlineStr">
        <is>
          <t xml:space="preserve">Contrato</t>
        </is>
      </c>
    </row>
    <row r="93">
      <c r="A93" s="122">
        <v>46247</v>
      </c>
      <c r="B93" s="123" t="inlineStr">
        <is>
          <t xml:space="preserve">BASF</t>
        </is>
      </c>
      <c r="C93" s="124">
        <v>7</v>
      </c>
      <c r="D93" s="124">
        <v>80</v>
      </c>
      <c r="E93" s="125">
        <v>39.52</v>
      </c>
      <c r="F93" s="124"/>
      <c r="G93" s="124"/>
      <c r="H93" s="124"/>
      <c r="I93" s="124"/>
      <c r="J93" s="124"/>
      <c r="K93" s="124"/>
      <c r="L93" s="124">
        <v>8</v>
      </c>
      <c r="M93" s="124">
        <v>34</v>
      </c>
      <c r="N93" s="125">
        <v>40.81</v>
      </c>
      <c r="O93" s="124"/>
      <c r="P93" s="124"/>
      <c r="Q93" s="124"/>
      <c r="R93" s="124"/>
      <c r="S93" s="124"/>
      <c r="T93" s="124"/>
      <c r="U93" s="124">
        <v>0</v>
      </c>
      <c r="V93" s="124">
        <v>1</v>
      </c>
      <c r="W93" s="124"/>
      <c r="X93" s="124">
        <v>2200</v>
      </c>
      <c r="Y93" s="124">
        <v>1940</v>
      </c>
      <c r="Z93" s="124">
        <v>7</v>
      </c>
      <c r="AA93" s="124"/>
      <c r="AB93" s="124"/>
      <c r="AC93" s="124"/>
      <c r="AD93" s="124"/>
      <c r="AE93" s="126" t="inlineStr">
        <is>
          <t xml:space="preserve">Contrato</t>
        </is>
      </c>
    </row>
    <row r="94">
      <c r="A94" s="122">
        <v>46247</v>
      </c>
      <c r="B94" s="123" t="inlineStr">
        <is>
          <t xml:space="preserve">BEAUTYBIZ</t>
        </is>
      </c>
      <c r="C94" s="124">
        <v>6</v>
      </c>
      <c r="D94" s="124">
        <v>76</v>
      </c>
      <c r="E94" s="125"/>
      <c r="F94" s="124">
        <v>1930</v>
      </c>
      <c r="G94" s="124"/>
      <c r="H94" s="124"/>
      <c r="I94" s="124"/>
      <c r="J94" s="124"/>
      <c r="K94" s="124"/>
      <c r="L94" s="124">
        <v>11</v>
      </c>
      <c r="M94" s="124">
        <v>80</v>
      </c>
      <c r="N94" s="125"/>
      <c r="O94" s="124"/>
      <c r="P94" s="124">
        <v>435</v>
      </c>
      <c r="Q94" s="124"/>
      <c r="R94" s="124"/>
      <c r="S94" s="124"/>
      <c r="T94" s="124"/>
      <c r="U94" s="124">
        <v>0</v>
      </c>
      <c r="V94" s="124">
        <v>0</v>
      </c>
      <c r="W94" s="124">
        <v>7</v>
      </c>
      <c r="X94" s="124">
        <v>1200</v>
      </c>
      <c r="Y94" s="124">
        <v>1002</v>
      </c>
      <c r="Z94" s="124">
        <v>14</v>
      </c>
      <c r="AA94" s="124">
        <v>1</v>
      </c>
      <c r="AB94" s="124"/>
      <c r="AC94" s="124"/>
      <c r="AD94" s="124"/>
      <c r="AE94" s="126" t="inlineStr">
        <is>
          <t xml:space="preserve">Contrato</t>
        </is>
      </c>
    </row>
    <row r="95">
      <c r="A95" s="122">
        <v>46247</v>
      </c>
      <c r="B95" s="123" t="inlineStr">
        <is>
          <t xml:space="preserve">BOTICÁRIO</t>
        </is>
      </c>
      <c r="C95" s="124">
        <v>8</v>
      </c>
      <c r="D95" s="124"/>
      <c r="E95" s="125"/>
      <c r="F95" s="124"/>
      <c r="G95" s="124">
        <v>2060</v>
      </c>
      <c r="H95" s="124">
        <v>196</v>
      </c>
      <c r="I95" s="124">
        <v>670</v>
      </c>
      <c r="J95" s="124"/>
      <c r="K95" s="124"/>
      <c r="L95" s="124">
        <v>3</v>
      </c>
      <c r="M95" s="124">
        <v>22</v>
      </c>
      <c r="N95" s="125"/>
      <c r="O95" s="124"/>
      <c r="P95" s="124"/>
      <c r="Q95" s="124">
        <v>1041</v>
      </c>
      <c r="R95" s="124">
        <v>5120</v>
      </c>
      <c r="S95" s="124"/>
      <c r="T95" s="124"/>
      <c r="U95" s="124">
        <v>0</v>
      </c>
      <c r="V95" s="124">
        <v>0</v>
      </c>
      <c r="W95" s="124"/>
      <c r="X95" s="124">
        <v>3500</v>
      </c>
      <c r="Y95" s="124">
        <v>3208</v>
      </c>
      <c r="Z95" s="124">
        <v>14</v>
      </c>
      <c r="AA95" s="124"/>
      <c r="AB95" s="124">
        <v>1</v>
      </c>
      <c r="AC95" s="124"/>
      <c r="AD95" s="124"/>
      <c r="AE95" s="126" t="inlineStr">
        <is>
          <t xml:space="preserve">Contrato</t>
        </is>
      </c>
    </row>
    <row r="96">
      <c r="A96" s="122">
        <v>46247</v>
      </c>
      <c r="B96" s="123" t="inlineStr">
        <is>
          <t xml:space="preserve">SUPPLY</t>
        </is>
      </c>
      <c r="C96" s="124">
        <v>2</v>
      </c>
      <c r="D96" s="124">
        <v>55</v>
      </c>
      <c r="E96" s="125">
        <v>42.24</v>
      </c>
      <c r="F96" s="124"/>
      <c r="G96" s="124"/>
      <c r="H96" s="124"/>
      <c r="I96" s="124"/>
      <c r="J96" s="124"/>
      <c r="K96" s="124"/>
      <c r="L96" s="124">
        <v>9</v>
      </c>
      <c r="M96" s="124">
        <v>153</v>
      </c>
      <c r="N96" s="125">
        <v>39.98</v>
      </c>
      <c r="O96" s="124"/>
      <c r="P96" s="124"/>
      <c r="Q96" s="124"/>
      <c r="R96" s="124"/>
      <c r="S96" s="124"/>
      <c r="T96" s="124"/>
      <c r="U96" s="124">
        <v>0</v>
      </c>
      <c r="V96" s="124">
        <v>0</v>
      </c>
      <c r="W96" s="124"/>
      <c r="X96" s="124">
        <v>1600</v>
      </c>
      <c r="Y96" s="124">
        <v>1017</v>
      </c>
      <c r="Z96" s="124">
        <v>11</v>
      </c>
      <c r="AA96" s="124"/>
      <c r="AB96" s="124"/>
      <c r="AC96" s="124"/>
      <c r="AD96" s="124"/>
      <c r="AE96" s="126" t="inlineStr">
        <is>
          <t xml:space="preserve">Spot</t>
        </is>
      </c>
    </row>
    <row r="97">
      <c r="A97" s="122">
        <v>46247</v>
      </c>
      <c r="B97" s="123" t="inlineStr">
        <is>
          <t xml:space="preserve">GE VERNOVA</t>
        </is>
      </c>
      <c r="C97" s="124">
        <v>4</v>
      </c>
      <c r="D97" s="124">
        <v>152</v>
      </c>
      <c r="E97" s="125"/>
      <c r="F97" s="124"/>
      <c r="G97" s="124"/>
      <c r="H97" s="124"/>
      <c r="I97" s="124"/>
      <c r="J97" s="124">
        <v>165</v>
      </c>
      <c r="K97" s="124">
        <v>85</v>
      </c>
      <c r="L97" s="124">
        <v>5</v>
      </c>
      <c r="M97" s="124">
        <v>126</v>
      </c>
      <c r="N97" s="125"/>
      <c r="O97" s="124"/>
      <c r="P97" s="124"/>
      <c r="Q97" s="124"/>
      <c r="R97" s="124"/>
      <c r="S97" s="124">
        <v>117</v>
      </c>
      <c r="T97" s="124">
        <v>118</v>
      </c>
      <c r="U97" s="124">
        <v>0</v>
      </c>
      <c r="V97" s="124">
        <v>1</v>
      </c>
      <c r="W97" s="124">
        <v>12</v>
      </c>
      <c r="X97" s="124">
        <v>900</v>
      </c>
      <c r="Y97" s="124">
        <v>518</v>
      </c>
      <c r="Z97" s="124">
        <v>5</v>
      </c>
      <c r="AA97" s="124"/>
      <c r="AB97" s="124"/>
      <c r="AC97" s="124"/>
      <c r="AD97" s="124"/>
      <c r="AE97" s="126" t="inlineStr">
        <is>
          <t xml:space="preserve">Contrato</t>
        </is>
      </c>
    </row>
    <row r="98">
      <c r="A98" s="122">
        <v>46247</v>
      </c>
      <c r="B98" s="123" t="inlineStr">
        <is>
          <t xml:space="preserve">VESTAS</t>
        </is>
      </c>
      <c r="C98" s="124">
        <v>3</v>
      </c>
      <c r="D98" s="124"/>
      <c r="E98" s="125"/>
      <c r="F98" s="124"/>
      <c r="G98" s="124"/>
      <c r="H98" s="124"/>
      <c r="I98" s="124"/>
      <c r="J98" s="124"/>
      <c r="K98" s="124">
        <v>34</v>
      </c>
      <c r="L98" s="124">
        <v>9</v>
      </c>
      <c r="M98" s="124"/>
      <c r="N98" s="125"/>
      <c r="O98" s="124"/>
      <c r="P98" s="124"/>
      <c r="Q98" s="124"/>
      <c r="R98" s="124"/>
      <c r="S98" s="124"/>
      <c r="T98" s="124">
        <v>113</v>
      </c>
      <c r="U98" s="124">
        <v>0</v>
      </c>
      <c r="V98" s="124">
        <v>0</v>
      </c>
      <c r="W98" s="124"/>
      <c r="X98" s="124">
        <v>600</v>
      </c>
      <c r="Y98" s="124">
        <v>428</v>
      </c>
      <c r="Z98" s="124">
        <v>7</v>
      </c>
      <c r="AA98" s="124"/>
      <c r="AB98" s="124"/>
      <c r="AC98" s="124"/>
      <c r="AD98" s="124"/>
      <c r="AE98" s="126" t="inlineStr">
        <is>
          <t xml:space="preserve">Cross</t>
        </is>
      </c>
    </row>
    <row r="99">
      <c r="A99" s="122">
        <v>46247</v>
      </c>
      <c r="B99" s="123" t="inlineStr">
        <is>
          <t xml:space="preserve">VEDACIT</t>
        </is>
      </c>
      <c r="C99" s="124">
        <v>3</v>
      </c>
      <c r="D99" s="124">
        <v>109</v>
      </c>
      <c r="E99" s="125"/>
      <c r="F99" s="124"/>
      <c r="G99" s="124"/>
      <c r="H99" s="124"/>
      <c r="I99" s="124"/>
      <c r="J99" s="124"/>
      <c r="K99" s="124"/>
      <c r="L99" s="124">
        <v>9</v>
      </c>
      <c r="M99" s="124">
        <v>134</v>
      </c>
      <c r="N99" s="125"/>
      <c r="O99" s="124"/>
      <c r="P99" s="124"/>
      <c r="Q99" s="124"/>
      <c r="R99" s="124"/>
      <c r="S99" s="124"/>
      <c r="T99" s="124"/>
      <c r="U99" s="124">
        <v>0</v>
      </c>
      <c r="V99" s="124">
        <v>0</v>
      </c>
      <c r="W99" s="124"/>
      <c r="X99" s="124">
        <v>1400</v>
      </c>
      <c r="Y99" s="124">
        <v>1237</v>
      </c>
      <c r="Z99" s="124">
        <v>10</v>
      </c>
      <c r="AA99" s="124"/>
      <c r="AB99" s="124"/>
      <c r="AC99" s="124"/>
      <c r="AD99" s="124"/>
      <c r="AE99" s="126" t="inlineStr">
        <is>
          <t xml:space="preserve">Contrato</t>
        </is>
      </c>
    </row>
    <row r="100">
      <c r="A100" s="122">
        <v>46247</v>
      </c>
      <c r="B100" s="123" t="inlineStr">
        <is>
          <t xml:space="preserve">OMNLIFE</t>
        </is>
      </c>
      <c r="C100" s="124">
        <v>7</v>
      </c>
      <c r="D100" s="124">
        <v>69</v>
      </c>
      <c r="E100" s="125"/>
      <c r="F100" s="124"/>
      <c r="G100" s="124"/>
      <c r="H100" s="124"/>
      <c r="I100" s="124"/>
      <c r="J100" s="124"/>
      <c r="K100" s="124"/>
      <c r="L100" s="124">
        <v>10</v>
      </c>
      <c r="M100" s="124">
        <v>57</v>
      </c>
      <c r="N100" s="125"/>
      <c r="O100" s="124"/>
      <c r="P100" s="124"/>
      <c r="Q100" s="124"/>
      <c r="R100" s="124"/>
      <c r="S100" s="124"/>
      <c r="T100" s="124"/>
      <c r="U100" s="124">
        <v>0</v>
      </c>
      <c r="V100" s="124">
        <v>0</v>
      </c>
      <c r="W100" s="124"/>
      <c r="X100" s="124">
        <v>500</v>
      </c>
      <c r="Y100" s="124">
        <v>314</v>
      </c>
      <c r="Z100" s="124">
        <v>4</v>
      </c>
      <c r="AA100" s="124"/>
      <c r="AB100" s="124"/>
      <c r="AC100" s="124"/>
      <c r="AD100" s="124"/>
      <c r="AE100" s="126" t="inlineStr">
        <is>
          <t xml:space="preserve">Spot</t>
        </is>
      </c>
    </row>
    <row r="101">
      <c r="A101" s="122">
        <v>46247</v>
      </c>
      <c r="B101" s="123" t="inlineStr">
        <is>
          <t xml:space="preserve">ALPARGATAS</t>
        </is>
      </c>
      <c r="C101" s="124">
        <v>4</v>
      </c>
      <c r="D101" s="124"/>
      <c r="E101" s="125"/>
      <c r="F101" s="124">
        <v>1366</v>
      </c>
      <c r="G101" s="124"/>
      <c r="H101" s="124"/>
      <c r="I101" s="124"/>
      <c r="J101" s="124"/>
      <c r="K101" s="124"/>
      <c r="L101" s="124">
        <v>8</v>
      </c>
      <c r="M101" s="124"/>
      <c r="N101" s="125"/>
      <c r="O101" s="124">
        <v>496</v>
      </c>
      <c r="P101" s="124"/>
      <c r="Q101" s="124"/>
      <c r="R101" s="124"/>
      <c r="S101" s="124"/>
      <c r="T101" s="124"/>
      <c r="U101" s="124">
        <v>0</v>
      </c>
      <c r="V101" s="124">
        <v>0</v>
      </c>
      <c r="W101" s="124"/>
      <c r="X101" s="124">
        <v>1800</v>
      </c>
      <c r="Y101" s="124">
        <v>1281</v>
      </c>
      <c r="Z101" s="124">
        <v>5</v>
      </c>
      <c r="AA101" s="124"/>
      <c r="AB101" s="124"/>
      <c r="AC101" s="124"/>
      <c r="AD101" s="124"/>
      <c r="AE101" s="126" t="inlineStr">
        <is>
          <t xml:space="preserve">Contrato</t>
        </is>
      </c>
    </row>
    <row r="102">
      <c r="A102" s="122">
        <v>46248</v>
      </c>
      <c r="B102" s="123" t="inlineStr">
        <is>
          <t xml:space="preserve">BASF</t>
        </is>
      </c>
      <c r="C102" s="124">
        <v>7</v>
      </c>
      <c r="D102" s="124">
        <v>108</v>
      </c>
      <c r="E102" s="125">
        <v>16.87</v>
      </c>
      <c r="F102" s="124"/>
      <c r="G102" s="124"/>
      <c r="H102" s="124"/>
      <c r="I102" s="124"/>
      <c r="J102" s="124"/>
      <c r="K102" s="124"/>
      <c r="L102" s="124">
        <v>2</v>
      </c>
      <c r="M102" s="124">
        <v>153</v>
      </c>
      <c r="N102" s="125">
        <v>96.99</v>
      </c>
      <c r="O102" s="124"/>
      <c r="P102" s="124"/>
      <c r="Q102" s="124"/>
      <c r="R102" s="124"/>
      <c r="S102" s="124"/>
      <c r="T102" s="124"/>
      <c r="U102" s="124">
        <v>0</v>
      </c>
      <c r="V102" s="124">
        <v>0</v>
      </c>
      <c r="W102" s="124">
        <v>7</v>
      </c>
      <c r="X102" s="124">
        <v>2200</v>
      </c>
      <c r="Y102" s="124">
        <v>1381</v>
      </c>
      <c r="Z102" s="124">
        <v>11</v>
      </c>
      <c r="AA102" s="124"/>
      <c r="AB102" s="124"/>
      <c r="AC102" s="124"/>
      <c r="AD102" s="124"/>
      <c r="AE102" s="126" t="inlineStr">
        <is>
          <t xml:space="preserve">Contrato</t>
        </is>
      </c>
    </row>
    <row r="103">
      <c r="A103" s="122">
        <v>46248</v>
      </c>
      <c r="B103" s="123" t="inlineStr">
        <is>
          <t xml:space="preserve">BEAUTYBIZ</t>
        </is>
      </c>
      <c r="C103" s="124">
        <v>3</v>
      </c>
      <c r="D103" s="124">
        <v>144</v>
      </c>
      <c r="E103" s="125"/>
      <c r="F103" s="124">
        <v>1638</v>
      </c>
      <c r="G103" s="124"/>
      <c r="H103" s="124"/>
      <c r="I103" s="124"/>
      <c r="J103" s="124"/>
      <c r="K103" s="124"/>
      <c r="L103" s="124">
        <v>9</v>
      </c>
      <c r="M103" s="124">
        <v>113</v>
      </c>
      <c r="N103" s="125"/>
      <c r="O103" s="124"/>
      <c r="P103" s="124">
        <v>634</v>
      </c>
      <c r="Q103" s="124"/>
      <c r="R103" s="124"/>
      <c r="S103" s="124"/>
      <c r="T103" s="124"/>
      <c r="U103" s="124">
        <v>0</v>
      </c>
      <c r="V103" s="124">
        <v>0</v>
      </c>
      <c r="W103" s="124">
        <v>6</v>
      </c>
      <c r="X103" s="124">
        <v>1200</v>
      </c>
      <c r="Y103" s="124">
        <v>927</v>
      </c>
      <c r="Z103" s="124">
        <v>11</v>
      </c>
      <c r="AA103" s="124"/>
      <c r="AB103" s="124"/>
      <c r="AC103" s="124"/>
      <c r="AD103" s="124"/>
      <c r="AE103" s="126" t="inlineStr">
        <is>
          <t xml:space="preserve">Contrato</t>
        </is>
      </c>
    </row>
    <row r="104">
      <c r="A104" s="122">
        <v>46248</v>
      </c>
      <c r="B104" s="123" t="inlineStr">
        <is>
          <t xml:space="preserve">BOTICÁRIO</t>
        </is>
      </c>
      <c r="C104" s="124">
        <v>7</v>
      </c>
      <c r="D104" s="124"/>
      <c r="E104" s="125"/>
      <c r="F104" s="124"/>
      <c r="G104" s="124">
        <v>3260</v>
      </c>
      <c r="H104" s="124">
        <v>249</v>
      </c>
      <c r="I104" s="124">
        <v>487</v>
      </c>
      <c r="J104" s="124"/>
      <c r="K104" s="124"/>
      <c r="L104" s="124">
        <v>11</v>
      </c>
      <c r="M104" s="124">
        <v>43</v>
      </c>
      <c r="N104" s="125"/>
      <c r="O104" s="124"/>
      <c r="P104" s="124"/>
      <c r="Q104" s="124">
        <v>885</v>
      </c>
      <c r="R104" s="124">
        <v>3349</v>
      </c>
      <c r="S104" s="124"/>
      <c r="T104" s="124"/>
      <c r="U104" s="124">
        <v>0</v>
      </c>
      <c r="V104" s="124">
        <v>0</v>
      </c>
      <c r="W104" s="124">
        <v>10</v>
      </c>
      <c r="X104" s="124">
        <v>3500</v>
      </c>
      <c r="Y104" s="124">
        <v>2612</v>
      </c>
      <c r="Z104" s="124">
        <v>13</v>
      </c>
      <c r="AA104" s="124"/>
      <c r="AB104" s="124"/>
      <c r="AC104" s="124"/>
      <c r="AD104" s="124"/>
      <c r="AE104" s="126" t="inlineStr">
        <is>
          <t xml:space="preserve">Contrato</t>
        </is>
      </c>
    </row>
    <row r="105">
      <c r="A105" s="122">
        <v>46248</v>
      </c>
      <c r="B105" s="123" t="inlineStr">
        <is>
          <t xml:space="preserve">SUPPLY</t>
        </is>
      </c>
      <c r="C105" s="124">
        <v>8</v>
      </c>
      <c r="D105" s="124">
        <v>114</v>
      </c>
      <c r="E105" s="125">
        <v>37.56</v>
      </c>
      <c r="F105" s="124"/>
      <c r="G105" s="124"/>
      <c r="H105" s="124"/>
      <c r="I105" s="124"/>
      <c r="J105" s="124"/>
      <c r="K105" s="124"/>
      <c r="L105" s="124">
        <v>5</v>
      </c>
      <c r="M105" s="124">
        <v>110</v>
      </c>
      <c r="N105" s="125">
        <v>17.57</v>
      </c>
      <c r="O105" s="124"/>
      <c r="P105" s="124"/>
      <c r="Q105" s="124"/>
      <c r="R105" s="124"/>
      <c r="S105" s="124"/>
      <c r="T105" s="124"/>
      <c r="U105" s="124">
        <v>1</v>
      </c>
      <c r="V105" s="124">
        <v>0</v>
      </c>
      <c r="W105" s="124"/>
      <c r="X105" s="124">
        <v>1600</v>
      </c>
      <c r="Y105" s="124">
        <v>1423</v>
      </c>
      <c r="Z105" s="124">
        <v>5</v>
      </c>
      <c r="AA105" s="124"/>
      <c r="AB105" s="124"/>
      <c r="AC105" s="124"/>
      <c r="AD105" s="124"/>
      <c r="AE105" s="126" t="inlineStr">
        <is>
          <t xml:space="preserve">Spot</t>
        </is>
      </c>
    </row>
    <row r="106">
      <c r="A106" s="122">
        <v>46248</v>
      </c>
      <c r="B106" s="123" t="inlineStr">
        <is>
          <t xml:space="preserve">GE VERNOVA</t>
        </is>
      </c>
      <c r="C106" s="124">
        <v>7</v>
      </c>
      <c r="D106" s="124">
        <v>107</v>
      </c>
      <c r="E106" s="125"/>
      <c r="F106" s="124"/>
      <c r="G106" s="124"/>
      <c r="H106" s="124"/>
      <c r="I106" s="124"/>
      <c r="J106" s="124">
        <v>236</v>
      </c>
      <c r="K106" s="124">
        <v>104</v>
      </c>
      <c r="L106" s="124">
        <v>5</v>
      </c>
      <c r="M106" s="124">
        <v>86</v>
      </c>
      <c r="N106" s="125"/>
      <c r="O106" s="124"/>
      <c r="P106" s="124"/>
      <c r="Q106" s="124"/>
      <c r="R106" s="124"/>
      <c r="S106" s="124">
        <v>339</v>
      </c>
      <c r="T106" s="124">
        <v>94</v>
      </c>
      <c r="U106" s="124">
        <v>0</v>
      </c>
      <c r="V106" s="124">
        <v>0</v>
      </c>
      <c r="W106" s="124"/>
      <c r="X106" s="124">
        <v>900</v>
      </c>
      <c r="Y106" s="124">
        <v>704</v>
      </c>
      <c r="Z106" s="124">
        <v>8</v>
      </c>
      <c r="AA106" s="124"/>
      <c r="AB106" s="124"/>
      <c r="AC106" s="124"/>
      <c r="AD106" s="124"/>
      <c r="AE106" s="126" t="inlineStr">
        <is>
          <t xml:space="preserve">Contrato</t>
        </is>
      </c>
    </row>
    <row r="107">
      <c r="A107" s="122">
        <v>46248</v>
      </c>
      <c r="B107" s="123" t="inlineStr">
        <is>
          <t xml:space="preserve">VESTAS</t>
        </is>
      </c>
      <c r="C107" s="124">
        <v>3</v>
      </c>
      <c r="D107" s="124"/>
      <c r="E107" s="125"/>
      <c r="F107" s="124"/>
      <c r="G107" s="124"/>
      <c r="H107" s="124"/>
      <c r="I107" s="124"/>
      <c r="J107" s="124"/>
      <c r="K107" s="124">
        <v>65</v>
      </c>
      <c r="L107" s="124">
        <v>11</v>
      </c>
      <c r="M107" s="124"/>
      <c r="N107" s="125"/>
      <c r="O107" s="124"/>
      <c r="P107" s="124"/>
      <c r="Q107" s="124"/>
      <c r="R107" s="124"/>
      <c r="S107" s="124"/>
      <c r="T107" s="124">
        <v>82</v>
      </c>
      <c r="U107" s="124">
        <v>0</v>
      </c>
      <c r="V107" s="124">
        <v>0</v>
      </c>
      <c r="W107" s="124"/>
      <c r="X107" s="124">
        <v>600</v>
      </c>
      <c r="Y107" s="124">
        <v>405</v>
      </c>
      <c r="Z107" s="124">
        <v>13</v>
      </c>
      <c r="AA107" s="124"/>
      <c r="AB107" s="124">
        <v>1</v>
      </c>
      <c r="AC107" s="124"/>
      <c r="AD107" s="124"/>
      <c r="AE107" s="126" t="inlineStr">
        <is>
          <t xml:space="preserve">Cross</t>
        </is>
      </c>
    </row>
    <row r="108">
      <c r="A108" s="122">
        <v>46248</v>
      </c>
      <c r="B108" s="123" t="inlineStr">
        <is>
          <t xml:space="preserve">VEDACIT</t>
        </is>
      </c>
      <c r="C108" s="124">
        <v>5</v>
      </c>
      <c r="D108" s="124">
        <v>76</v>
      </c>
      <c r="E108" s="125"/>
      <c r="F108" s="124"/>
      <c r="G108" s="124"/>
      <c r="H108" s="124"/>
      <c r="I108" s="124"/>
      <c r="J108" s="124"/>
      <c r="K108" s="124"/>
      <c r="L108" s="124">
        <v>7</v>
      </c>
      <c r="M108" s="124">
        <v>75</v>
      </c>
      <c r="N108" s="125"/>
      <c r="O108" s="124"/>
      <c r="P108" s="124"/>
      <c r="Q108" s="124"/>
      <c r="R108" s="124"/>
      <c r="S108" s="124"/>
      <c r="T108" s="124"/>
      <c r="U108" s="124">
        <v>0</v>
      </c>
      <c r="V108" s="124">
        <v>1</v>
      </c>
      <c r="W108" s="124"/>
      <c r="X108" s="124">
        <v>1400</v>
      </c>
      <c r="Y108" s="124">
        <v>1049</v>
      </c>
      <c r="Z108" s="124">
        <v>14</v>
      </c>
      <c r="AA108" s="124">
        <v>1</v>
      </c>
      <c r="AB108" s="124"/>
      <c r="AC108" s="124"/>
      <c r="AD108" s="124"/>
      <c r="AE108" s="126" t="inlineStr">
        <is>
          <t xml:space="preserve">Contrato</t>
        </is>
      </c>
    </row>
    <row r="109">
      <c r="A109" s="122">
        <v>46248</v>
      </c>
      <c r="B109" s="123" t="inlineStr">
        <is>
          <t xml:space="preserve">OMNLIFE</t>
        </is>
      </c>
      <c r="C109" s="124">
        <v>3</v>
      </c>
      <c r="D109" s="124">
        <v>114</v>
      </c>
      <c r="E109" s="125"/>
      <c r="F109" s="124"/>
      <c r="G109" s="124"/>
      <c r="H109" s="124"/>
      <c r="I109" s="124"/>
      <c r="J109" s="124"/>
      <c r="K109" s="124"/>
      <c r="L109" s="124">
        <v>8</v>
      </c>
      <c r="M109" s="124">
        <v>142</v>
      </c>
      <c r="N109" s="125"/>
      <c r="O109" s="124"/>
      <c r="P109" s="124"/>
      <c r="Q109" s="124"/>
      <c r="R109" s="124"/>
      <c r="S109" s="124"/>
      <c r="T109" s="124"/>
      <c r="U109" s="124">
        <v>0</v>
      </c>
      <c r="V109" s="124">
        <v>1</v>
      </c>
      <c r="W109" s="124"/>
      <c r="X109" s="124">
        <v>500</v>
      </c>
      <c r="Y109" s="124">
        <v>406</v>
      </c>
      <c r="Z109" s="124">
        <v>6</v>
      </c>
      <c r="AA109" s="124">
        <v>1</v>
      </c>
      <c r="AB109" s="124"/>
      <c r="AC109" s="124">
        <v>1</v>
      </c>
      <c r="AD109" s="124"/>
      <c r="AE109" s="126" t="inlineStr">
        <is>
          <t xml:space="preserve">Spot</t>
        </is>
      </c>
    </row>
    <row r="110">
      <c r="A110" s="122">
        <v>46248</v>
      </c>
      <c r="B110" s="123" t="inlineStr">
        <is>
          <t xml:space="preserve">ALPARGATAS</t>
        </is>
      </c>
      <c r="C110" s="124">
        <v>8</v>
      </c>
      <c r="D110" s="124"/>
      <c r="E110" s="125"/>
      <c r="F110" s="124">
        <v>1742</v>
      </c>
      <c r="G110" s="124"/>
      <c r="H110" s="124"/>
      <c r="I110" s="124"/>
      <c r="J110" s="124"/>
      <c r="K110" s="124"/>
      <c r="L110" s="124">
        <v>5</v>
      </c>
      <c r="M110" s="124"/>
      <c r="N110" s="125"/>
      <c r="O110" s="124">
        <v>2192</v>
      </c>
      <c r="P110" s="124"/>
      <c r="Q110" s="124"/>
      <c r="R110" s="124"/>
      <c r="S110" s="124"/>
      <c r="T110" s="124"/>
      <c r="U110" s="124">
        <v>0</v>
      </c>
      <c r="V110" s="124">
        <v>0</v>
      </c>
      <c r="W110" s="124">
        <v>9</v>
      </c>
      <c r="X110" s="124">
        <v>1800</v>
      </c>
      <c r="Y110" s="124">
        <v>1129</v>
      </c>
      <c r="Z110" s="124">
        <v>4</v>
      </c>
      <c r="AA110" s="124"/>
      <c r="AB110" s="124"/>
      <c r="AC110" s="124"/>
      <c r="AD110" s="124"/>
      <c r="AE110" s="126" t="inlineStr">
        <is>
          <t xml:space="preserve">Contrato</t>
        </is>
      </c>
    </row>
    <row r="111">
      <c r="A111" s="122">
        <v>46249</v>
      </c>
      <c r="B111" s="123" t="inlineStr">
        <is>
          <t xml:space="preserve">BASF</t>
        </is>
      </c>
      <c r="C111" s="124">
        <v>2</v>
      </c>
      <c r="D111" s="124">
        <v>99</v>
      </c>
      <c r="E111" s="125">
        <v>19.92</v>
      </c>
      <c r="F111" s="124"/>
      <c r="G111" s="124"/>
      <c r="H111" s="124"/>
      <c r="I111" s="124"/>
      <c r="J111" s="124"/>
      <c r="K111" s="124"/>
      <c r="L111" s="124">
        <v>3</v>
      </c>
      <c r="M111" s="124">
        <v>133</v>
      </c>
      <c r="N111" s="125">
        <v>86.92</v>
      </c>
      <c r="O111" s="124"/>
      <c r="P111" s="124"/>
      <c r="Q111" s="124"/>
      <c r="R111" s="124"/>
      <c r="S111" s="124"/>
      <c r="T111" s="124"/>
      <c r="U111" s="124">
        <v>0</v>
      </c>
      <c r="V111" s="124">
        <v>0</v>
      </c>
      <c r="W111" s="124">
        <v>12</v>
      </c>
      <c r="X111" s="124">
        <v>2200</v>
      </c>
      <c r="Y111" s="124">
        <v>1758</v>
      </c>
      <c r="Z111" s="124">
        <v>14</v>
      </c>
      <c r="AA111" s="124"/>
      <c r="AB111" s="124"/>
      <c r="AC111" s="124"/>
      <c r="AD111" s="124"/>
      <c r="AE111" s="126" t="inlineStr">
        <is>
          <t xml:space="preserve">Contrato</t>
        </is>
      </c>
    </row>
    <row r="112">
      <c r="A112" s="122">
        <v>46249</v>
      </c>
      <c r="B112" s="123" t="inlineStr">
        <is>
          <t xml:space="preserve">BEAUTYBIZ</t>
        </is>
      </c>
      <c r="C112" s="124">
        <v>6</v>
      </c>
      <c r="D112" s="124">
        <v>49</v>
      </c>
      <c r="E112" s="125"/>
      <c r="F112" s="124">
        <v>633</v>
      </c>
      <c r="G112" s="124"/>
      <c r="H112" s="124"/>
      <c r="I112" s="124"/>
      <c r="J112" s="124"/>
      <c r="K112" s="124"/>
      <c r="L112" s="124">
        <v>2</v>
      </c>
      <c r="M112" s="124">
        <v>20</v>
      </c>
      <c r="N112" s="125"/>
      <c r="O112" s="124"/>
      <c r="P112" s="124">
        <v>503</v>
      </c>
      <c r="Q112" s="124"/>
      <c r="R112" s="124"/>
      <c r="S112" s="124"/>
      <c r="T112" s="124"/>
      <c r="U112" s="124">
        <v>0</v>
      </c>
      <c r="V112" s="124">
        <v>0</v>
      </c>
      <c r="W112" s="124">
        <v>3</v>
      </c>
      <c r="X112" s="124">
        <v>1200</v>
      </c>
      <c r="Y112" s="124">
        <v>725</v>
      </c>
      <c r="Z112" s="124">
        <v>4</v>
      </c>
      <c r="AA112" s="124"/>
      <c r="AB112" s="124"/>
      <c r="AC112" s="124"/>
      <c r="AD112" s="124"/>
      <c r="AE112" s="126" t="inlineStr">
        <is>
          <t xml:space="preserve">Contrato</t>
        </is>
      </c>
    </row>
    <row r="113">
      <c r="A113" s="122">
        <v>46249</v>
      </c>
      <c r="B113" s="123" t="inlineStr">
        <is>
          <t xml:space="preserve">BOTICÁRIO</t>
        </is>
      </c>
      <c r="C113" s="124">
        <v>8</v>
      </c>
      <c r="D113" s="124"/>
      <c r="E113" s="125"/>
      <c r="F113" s="124"/>
      <c r="G113" s="124">
        <v>2702</v>
      </c>
      <c r="H113" s="124">
        <v>314</v>
      </c>
      <c r="I113" s="124">
        <v>655</v>
      </c>
      <c r="J113" s="124"/>
      <c r="K113" s="124"/>
      <c r="L113" s="124">
        <v>3</v>
      </c>
      <c r="M113" s="124">
        <v>98</v>
      </c>
      <c r="N113" s="125"/>
      <c r="O113" s="124"/>
      <c r="P113" s="124"/>
      <c r="Q113" s="124">
        <v>947</v>
      </c>
      <c r="R113" s="124">
        <v>3698</v>
      </c>
      <c r="S113" s="124"/>
      <c r="T113" s="124"/>
      <c r="U113" s="124">
        <v>0</v>
      </c>
      <c r="V113" s="124">
        <v>0</v>
      </c>
      <c r="W113" s="124"/>
      <c r="X113" s="124">
        <v>3500</v>
      </c>
      <c r="Y113" s="124">
        <v>3267</v>
      </c>
      <c r="Z113" s="124">
        <v>4</v>
      </c>
      <c r="AA113" s="124"/>
      <c r="AB113" s="124">
        <v>1</v>
      </c>
      <c r="AC113" s="124">
        <v>1</v>
      </c>
      <c r="AD113" s="124"/>
      <c r="AE113" s="126" t="inlineStr">
        <is>
          <t xml:space="preserve">Contrato</t>
        </is>
      </c>
    </row>
    <row r="114">
      <c r="A114" s="122">
        <v>46249</v>
      </c>
      <c r="B114" s="123" t="inlineStr">
        <is>
          <t xml:space="preserve">SUPPLY</t>
        </is>
      </c>
      <c r="C114" s="124">
        <v>7</v>
      </c>
      <c r="D114" s="124">
        <v>31</v>
      </c>
      <c r="E114" s="125">
        <v>53.88</v>
      </c>
      <c r="F114" s="124"/>
      <c r="G114" s="124"/>
      <c r="H114" s="124"/>
      <c r="I114" s="124"/>
      <c r="J114" s="124"/>
      <c r="K114" s="124"/>
      <c r="L114" s="124">
        <v>9</v>
      </c>
      <c r="M114" s="124">
        <v>43</v>
      </c>
      <c r="N114" s="125">
        <v>122.62</v>
      </c>
      <c r="O114" s="124"/>
      <c r="P114" s="124"/>
      <c r="Q114" s="124"/>
      <c r="R114" s="124"/>
      <c r="S114" s="124"/>
      <c r="T114" s="124"/>
      <c r="U114" s="124">
        <v>0</v>
      </c>
      <c r="V114" s="124">
        <v>1</v>
      </c>
      <c r="W114" s="124"/>
      <c r="X114" s="124">
        <v>1600</v>
      </c>
      <c r="Y114" s="124">
        <v>1266</v>
      </c>
      <c r="Z114" s="124">
        <v>11</v>
      </c>
      <c r="AA114" s="124"/>
      <c r="AB114" s="124"/>
      <c r="AC114" s="124"/>
      <c r="AD114" s="124"/>
      <c r="AE114" s="126" t="inlineStr">
        <is>
          <t xml:space="preserve">Spot</t>
        </is>
      </c>
    </row>
    <row r="115">
      <c r="A115" s="122">
        <v>46249</v>
      </c>
      <c r="B115" s="123" t="inlineStr">
        <is>
          <t xml:space="preserve">GE VERNOVA</t>
        </is>
      </c>
      <c r="C115" s="124">
        <v>8</v>
      </c>
      <c r="D115" s="124">
        <v>42</v>
      </c>
      <c r="E115" s="125"/>
      <c r="F115" s="124"/>
      <c r="G115" s="124"/>
      <c r="H115" s="124"/>
      <c r="I115" s="124"/>
      <c r="J115" s="124">
        <v>491</v>
      </c>
      <c r="K115" s="124">
        <v>62</v>
      </c>
      <c r="L115" s="124">
        <v>9</v>
      </c>
      <c r="M115" s="124">
        <v>83</v>
      </c>
      <c r="N115" s="125"/>
      <c r="O115" s="124"/>
      <c r="P115" s="124"/>
      <c r="Q115" s="124"/>
      <c r="R115" s="124"/>
      <c r="S115" s="124">
        <v>199</v>
      </c>
      <c r="T115" s="124">
        <v>93</v>
      </c>
      <c r="U115" s="124">
        <v>0</v>
      </c>
      <c r="V115" s="124">
        <v>0</v>
      </c>
      <c r="W115" s="124"/>
      <c r="X115" s="124">
        <v>900</v>
      </c>
      <c r="Y115" s="124">
        <v>741</v>
      </c>
      <c r="Z115" s="124">
        <v>13</v>
      </c>
      <c r="AA115" s="124"/>
      <c r="AB115" s="124"/>
      <c r="AC115" s="124"/>
      <c r="AD115" s="124"/>
      <c r="AE115" s="126" t="inlineStr">
        <is>
          <t xml:space="preserve">Contrato</t>
        </is>
      </c>
    </row>
    <row r="116">
      <c r="A116" s="122">
        <v>46249</v>
      </c>
      <c r="B116" s="123" t="inlineStr">
        <is>
          <t xml:space="preserve">VESTAS</t>
        </is>
      </c>
      <c r="C116" s="124">
        <v>6</v>
      </c>
      <c r="D116" s="124"/>
      <c r="E116" s="125"/>
      <c r="F116" s="124"/>
      <c r="G116" s="124"/>
      <c r="H116" s="124"/>
      <c r="I116" s="124"/>
      <c r="J116" s="124"/>
      <c r="K116" s="124">
        <v>43</v>
      </c>
      <c r="L116" s="124">
        <v>6</v>
      </c>
      <c r="M116" s="124"/>
      <c r="N116" s="125"/>
      <c r="O116" s="124"/>
      <c r="P116" s="124"/>
      <c r="Q116" s="124"/>
      <c r="R116" s="124"/>
      <c r="S116" s="124"/>
      <c r="T116" s="124">
        <v>107</v>
      </c>
      <c r="U116" s="124">
        <v>0</v>
      </c>
      <c r="V116" s="124">
        <v>0</v>
      </c>
      <c r="W116" s="124"/>
      <c r="X116" s="124">
        <v>600</v>
      </c>
      <c r="Y116" s="124">
        <v>555</v>
      </c>
      <c r="Z116" s="124">
        <v>11</v>
      </c>
      <c r="AA116" s="124"/>
      <c r="AB116" s="124">
        <v>1</v>
      </c>
      <c r="AC116" s="124"/>
      <c r="AD116" s="124"/>
      <c r="AE116" s="126" t="inlineStr">
        <is>
          <t xml:space="preserve">Cross</t>
        </is>
      </c>
    </row>
    <row r="117">
      <c r="A117" s="122">
        <v>46249</v>
      </c>
      <c r="B117" s="123" t="inlineStr">
        <is>
          <t xml:space="preserve">VEDACIT</t>
        </is>
      </c>
      <c r="C117" s="124">
        <v>6</v>
      </c>
      <c r="D117" s="124">
        <v>134</v>
      </c>
      <c r="E117" s="125"/>
      <c r="F117" s="124"/>
      <c r="G117" s="124"/>
      <c r="H117" s="124"/>
      <c r="I117" s="124"/>
      <c r="J117" s="124"/>
      <c r="K117" s="124"/>
      <c r="L117" s="124">
        <v>10</v>
      </c>
      <c r="M117" s="124">
        <v>25</v>
      </c>
      <c r="N117" s="125"/>
      <c r="O117" s="124"/>
      <c r="P117" s="124"/>
      <c r="Q117" s="124"/>
      <c r="R117" s="124"/>
      <c r="S117" s="124"/>
      <c r="T117" s="124"/>
      <c r="U117" s="124">
        <v>0</v>
      </c>
      <c r="V117" s="124">
        <v>0</v>
      </c>
      <c r="W117" s="124"/>
      <c r="X117" s="124">
        <v>1400</v>
      </c>
      <c r="Y117" s="124">
        <v>1106</v>
      </c>
      <c r="Z117" s="124">
        <v>8</v>
      </c>
      <c r="AA117" s="124"/>
      <c r="AB117" s="124"/>
      <c r="AC117" s="124"/>
      <c r="AD117" s="124"/>
      <c r="AE117" s="126" t="inlineStr">
        <is>
          <t xml:space="preserve">Contrato</t>
        </is>
      </c>
    </row>
    <row r="118">
      <c r="A118" s="122">
        <v>46249</v>
      </c>
      <c r="B118" s="123" t="inlineStr">
        <is>
          <t xml:space="preserve">OMNLIFE</t>
        </is>
      </c>
      <c r="C118" s="124">
        <v>5</v>
      </c>
      <c r="D118" s="124">
        <v>94</v>
      </c>
      <c r="E118" s="125"/>
      <c r="F118" s="124"/>
      <c r="G118" s="124"/>
      <c r="H118" s="124"/>
      <c r="I118" s="124"/>
      <c r="J118" s="124"/>
      <c r="K118" s="124"/>
      <c r="L118" s="124">
        <v>7</v>
      </c>
      <c r="M118" s="124">
        <v>87</v>
      </c>
      <c r="N118" s="125"/>
      <c r="O118" s="124"/>
      <c r="P118" s="124"/>
      <c r="Q118" s="124"/>
      <c r="R118" s="124"/>
      <c r="S118" s="124"/>
      <c r="T118" s="124"/>
      <c r="U118" s="124">
        <v>0</v>
      </c>
      <c r="V118" s="124">
        <v>0</v>
      </c>
      <c r="W118" s="124"/>
      <c r="X118" s="124">
        <v>500</v>
      </c>
      <c r="Y118" s="124">
        <v>481</v>
      </c>
      <c r="Z118" s="124">
        <v>8</v>
      </c>
      <c r="AA118" s="124"/>
      <c r="AB118" s="124"/>
      <c r="AC118" s="124"/>
      <c r="AD118" s="124"/>
      <c r="AE118" s="126" t="inlineStr">
        <is>
          <t xml:space="preserve">Spot</t>
        </is>
      </c>
    </row>
    <row r="119">
      <c r="A119" s="122">
        <v>46249</v>
      </c>
      <c r="B119" s="123" t="inlineStr">
        <is>
          <t xml:space="preserve">ALPARGATAS</t>
        </is>
      </c>
      <c r="C119" s="124">
        <v>3</v>
      </c>
      <c r="D119" s="124"/>
      <c r="E119" s="125"/>
      <c r="F119" s="124">
        <v>1952</v>
      </c>
      <c r="G119" s="124"/>
      <c r="H119" s="124"/>
      <c r="I119" s="124"/>
      <c r="J119" s="124"/>
      <c r="K119" s="124"/>
      <c r="L119" s="124">
        <v>9</v>
      </c>
      <c r="M119" s="124"/>
      <c r="N119" s="125"/>
      <c r="O119" s="124">
        <v>1357</v>
      </c>
      <c r="P119" s="124"/>
      <c r="Q119" s="124"/>
      <c r="R119" s="124"/>
      <c r="S119" s="124"/>
      <c r="T119" s="124"/>
      <c r="U119" s="124">
        <v>0</v>
      </c>
      <c r="V119" s="124">
        <v>0</v>
      </c>
      <c r="W119" s="124"/>
      <c r="X119" s="124">
        <v>1800</v>
      </c>
      <c r="Y119" s="124">
        <v>1166</v>
      </c>
      <c r="Z119" s="124">
        <v>13</v>
      </c>
      <c r="AA119" s="124"/>
      <c r="AB119" s="124"/>
      <c r="AC119" s="124"/>
      <c r="AD119" s="124"/>
      <c r="AE119" s="126" t="inlineStr">
        <is>
          <t xml:space="preserve">Contrato</t>
        </is>
      </c>
    </row>
    <row r="120">
      <c r="A120" s="122">
        <v>46251</v>
      </c>
      <c r="B120" s="123" t="inlineStr">
        <is>
          <t xml:space="preserve">BASF</t>
        </is>
      </c>
      <c r="C120" s="124">
        <v>5</v>
      </c>
      <c r="D120" s="124">
        <v>48</v>
      </c>
      <c r="E120" s="125">
        <v>41.59</v>
      </c>
      <c r="F120" s="124"/>
      <c r="G120" s="124"/>
      <c r="H120" s="124"/>
      <c r="I120" s="124"/>
      <c r="J120" s="124"/>
      <c r="K120" s="124"/>
      <c r="L120" s="124">
        <v>2</v>
      </c>
      <c r="M120" s="124">
        <v>132</v>
      </c>
      <c r="N120" s="125">
        <v>51.22</v>
      </c>
      <c r="O120" s="124"/>
      <c r="P120" s="124"/>
      <c r="Q120" s="124"/>
      <c r="R120" s="124"/>
      <c r="S120" s="124"/>
      <c r="T120" s="124"/>
      <c r="U120" s="124">
        <v>0</v>
      </c>
      <c r="V120" s="124">
        <v>0</v>
      </c>
      <c r="W120" s="124"/>
      <c r="X120" s="124">
        <v>2200</v>
      </c>
      <c r="Y120" s="124">
        <v>2001</v>
      </c>
      <c r="Z120" s="124">
        <v>7</v>
      </c>
      <c r="AA120" s="124">
        <v>1</v>
      </c>
      <c r="AB120" s="124"/>
      <c r="AC120" s="124"/>
      <c r="AD120" s="124"/>
      <c r="AE120" s="126" t="inlineStr">
        <is>
          <t xml:space="preserve">Contrato</t>
        </is>
      </c>
    </row>
    <row r="121">
      <c r="A121" s="122">
        <v>46251</v>
      </c>
      <c r="B121" s="123" t="inlineStr">
        <is>
          <t xml:space="preserve">BEAUTYBIZ</t>
        </is>
      </c>
      <c r="C121" s="124">
        <v>6</v>
      </c>
      <c r="D121" s="124">
        <v>130</v>
      </c>
      <c r="E121" s="125"/>
      <c r="F121" s="124">
        <v>643</v>
      </c>
      <c r="G121" s="124"/>
      <c r="H121" s="124"/>
      <c r="I121" s="124"/>
      <c r="J121" s="124"/>
      <c r="K121" s="124"/>
      <c r="L121" s="124">
        <v>7</v>
      </c>
      <c r="M121" s="124">
        <v>68</v>
      </c>
      <c r="N121" s="125"/>
      <c r="O121" s="124"/>
      <c r="P121" s="124">
        <v>402</v>
      </c>
      <c r="Q121" s="124"/>
      <c r="R121" s="124"/>
      <c r="S121" s="124"/>
      <c r="T121" s="124"/>
      <c r="U121" s="124">
        <v>1</v>
      </c>
      <c r="V121" s="124">
        <v>1</v>
      </c>
      <c r="W121" s="124"/>
      <c r="X121" s="124">
        <v>1200</v>
      </c>
      <c r="Y121" s="124">
        <v>1096</v>
      </c>
      <c r="Z121" s="124">
        <v>11</v>
      </c>
      <c r="AA121" s="124"/>
      <c r="AB121" s="124"/>
      <c r="AC121" s="124"/>
      <c r="AD121" s="124"/>
      <c r="AE121" s="126" t="inlineStr">
        <is>
          <t xml:space="preserve">Contrato</t>
        </is>
      </c>
    </row>
    <row r="122">
      <c r="A122" s="122">
        <v>46251</v>
      </c>
      <c r="B122" s="123" t="inlineStr">
        <is>
          <t xml:space="preserve">BOTICÁRIO</t>
        </is>
      </c>
      <c r="C122" s="124">
        <v>2</v>
      </c>
      <c r="D122" s="124"/>
      <c r="E122" s="125"/>
      <c r="F122" s="124"/>
      <c r="G122" s="124">
        <v>3123</v>
      </c>
      <c r="H122" s="124">
        <v>261</v>
      </c>
      <c r="I122" s="124">
        <v>586</v>
      </c>
      <c r="J122" s="124"/>
      <c r="K122" s="124"/>
      <c r="L122" s="124">
        <v>3</v>
      </c>
      <c r="M122" s="124">
        <v>159</v>
      </c>
      <c r="N122" s="125"/>
      <c r="O122" s="124"/>
      <c r="P122" s="124"/>
      <c r="Q122" s="124">
        <v>1035</v>
      </c>
      <c r="R122" s="124">
        <v>4041</v>
      </c>
      <c r="S122" s="124"/>
      <c r="T122" s="124"/>
      <c r="U122" s="124">
        <v>0</v>
      </c>
      <c r="V122" s="124">
        <v>1</v>
      </c>
      <c r="W122" s="124">
        <v>11</v>
      </c>
      <c r="X122" s="124">
        <v>3500</v>
      </c>
      <c r="Y122" s="124">
        <v>3204</v>
      </c>
      <c r="Z122" s="124">
        <v>11</v>
      </c>
      <c r="AA122" s="124"/>
      <c r="AB122" s="124"/>
      <c r="AC122" s="124"/>
      <c r="AD122" s="124"/>
      <c r="AE122" s="126" t="inlineStr">
        <is>
          <t xml:space="preserve">Contrato</t>
        </is>
      </c>
    </row>
    <row r="123">
      <c r="A123" s="122">
        <v>46251</v>
      </c>
      <c r="B123" s="123" t="inlineStr">
        <is>
          <t xml:space="preserve">SUPPLY</t>
        </is>
      </c>
      <c r="C123" s="124">
        <v>6</v>
      </c>
      <c r="D123" s="124">
        <v>149</v>
      </c>
      <c r="E123" s="125">
        <v>103.3</v>
      </c>
      <c r="F123" s="124"/>
      <c r="G123" s="124"/>
      <c r="H123" s="124"/>
      <c r="I123" s="124"/>
      <c r="J123" s="124"/>
      <c r="K123" s="124"/>
      <c r="L123" s="124">
        <v>2</v>
      </c>
      <c r="M123" s="124">
        <v>64</v>
      </c>
      <c r="N123" s="125">
        <v>44.15</v>
      </c>
      <c r="O123" s="124"/>
      <c r="P123" s="124"/>
      <c r="Q123" s="124"/>
      <c r="R123" s="124"/>
      <c r="S123" s="124"/>
      <c r="T123" s="124"/>
      <c r="U123" s="124">
        <v>0</v>
      </c>
      <c r="V123" s="124">
        <v>0</v>
      </c>
      <c r="W123" s="124"/>
      <c r="X123" s="124">
        <v>1600</v>
      </c>
      <c r="Y123" s="124">
        <v>1002</v>
      </c>
      <c r="Z123" s="124">
        <v>6</v>
      </c>
      <c r="AA123" s="124"/>
      <c r="AB123" s="124"/>
      <c r="AC123" s="124"/>
      <c r="AD123" s="124"/>
      <c r="AE123" s="126" t="inlineStr">
        <is>
          <t xml:space="preserve">Spot</t>
        </is>
      </c>
    </row>
    <row r="124">
      <c r="A124" s="122">
        <v>46251</v>
      </c>
      <c r="B124" s="123" t="inlineStr">
        <is>
          <t xml:space="preserve">GE VERNOVA</t>
        </is>
      </c>
      <c r="C124" s="124">
        <v>8</v>
      </c>
      <c r="D124" s="124">
        <v>151</v>
      </c>
      <c r="E124" s="125"/>
      <c r="F124" s="124"/>
      <c r="G124" s="124"/>
      <c r="H124" s="124"/>
      <c r="I124" s="124"/>
      <c r="J124" s="124">
        <v>82</v>
      </c>
      <c r="K124" s="124">
        <v>70</v>
      </c>
      <c r="L124" s="124">
        <v>2</v>
      </c>
      <c r="M124" s="124">
        <v>148</v>
      </c>
      <c r="N124" s="125"/>
      <c r="O124" s="124"/>
      <c r="P124" s="124"/>
      <c r="Q124" s="124"/>
      <c r="R124" s="124"/>
      <c r="S124" s="124">
        <v>191</v>
      </c>
      <c r="T124" s="124">
        <v>66</v>
      </c>
      <c r="U124" s="124">
        <v>0</v>
      </c>
      <c r="V124" s="124">
        <v>0</v>
      </c>
      <c r="W124" s="124"/>
      <c r="X124" s="124">
        <v>900</v>
      </c>
      <c r="Y124" s="124">
        <v>533</v>
      </c>
      <c r="Z124" s="124">
        <v>9</v>
      </c>
      <c r="AA124" s="124"/>
      <c r="AB124" s="124"/>
      <c r="AC124" s="124"/>
      <c r="AD124" s="124"/>
      <c r="AE124" s="126" t="inlineStr">
        <is>
          <t xml:space="preserve">Contrato</t>
        </is>
      </c>
    </row>
    <row r="125">
      <c r="A125" s="122">
        <v>46251</v>
      </c>
      <c r="B125" s="123" t="inlineStr">
        <is>
          <t xml:space="preserve">VESTAS</t>
        </is>
      </c>
      <c r="C125" s="124">
        <v>6</v>
      </c>
      <c r="D125" s="124"/>
      <c r="E125" s="125"/>
      <c r="F125" s="124"/>
      <c r="G125" s="124"/>
      <c r="H125" s="124"/>
      <c r="I125" s="124"/>
      <c r="J125" s="124"/>
      <c r="K125" s="124">
        <v>93</v>
      </c>
      <c r="L125" s="124">
        <v>3</v>
      </c>
      <c r="M125" s="124"/>
      <c r="N125" s="125"/>
      <c r="O125" s="124"/>
      <c r="P125" s="124"/>
      <c r="Q125" s="124"/>
      <c r="R125" s="124"/>
      <c r="S125" s="124"/>
      <c r="T125" s="124">
        <v>45</v>
      </c>
      <c r="U125" s="124">
        <v>0</v>
      </c>
      <c r="V125" s="124">
        <v>0</v>
      </c>
      <c r="W125" s="124"/>
      <c r="X125" s="124">
        <v>600</v>
      </c>
      <c r="Y125" s="124">
        <v>372</v>
      </c>
      <c r="Z125" s="124">
        <v>7</v>
      </c>
      <c r="AA125" s="124"/>
      <c r="AB125" s="124"/>
      <c r="AC125" s="124"/>
      <c r="AD125" s="124"/>
      <c r="AE125" s="126" t="inlineStr">
        <is>
          <t xml:space="preserve">Cross</t>
        </is>
      </c>
    </row>
    <row r="126">
      <c r="A126" s="122">
        <v>46251</v>
      </c>
      <c r="B126" s="123" t="inlineStr">
        <is>
          <t xml:space="preserve">VEDACIT</t>
        </is>
      </c>
      <c r="C126" s="124">
        <v>8</v>
      </c>
      <c r="D126" s="124">
        <v>131</v>
      </c>
      <c r="E126" s="125"/>
      <c r="F126" s="124"/>
      <c r="G126" s="124"/>
      <c r="H126" s="124"/>
      <c r="I126" s="124"/>
      <c r="J126" s="124"/>
      <c r="K126" s="124"/>
      <c r="L126" s="124">
        <v>3</v>
      </c>
      <c r="M126" s="124">
        <v>136</v>
      </c>
      <c r="N126" s="125"/>
      <c r="O126" s="124"/>
      <c r="P126" s="124"/>
      <c r="Q126" s="124"/>
      <c r="R126" s="124"/>
      <c r="S126" s="124"/>
      <c r="T126" s="124"/>
      <c r="U126" s="124">
        <v>0</v>
      </c>
      <c r="V126" s="124">
        <v>0</v>
      </c>
      <c r="W126" s="124"/>
      <c r="X126" s="124">
        <v>1400</v>
      </c>
      <c r="Y126" s="124">
        <v>1210</v>
      </c>
      <c r="Z126" s="124">
        <v>11</v>
      </c>
      <c r="AA126" s="124"/>
      <c r="AB126" s="124"/>
      <c r="AC126" s="124"/>
      <c r="AD126" s="124"/>
      <c r="AE126" s="126" t="inlineStr">
        <is>
          <t xml:space="preserve">Contrato</t>
        </is>
      </c>
    </row>
    <row r="127">
      <c r="A127" s="122">
        <v>46251</v>
      </c>
      <c r="B127" s="123" t="inlineStr">
        <is>
          <t xml:space="preserve">OMNLIFE</t>
        </is>
      </c>
      <c r="C127" s="124">
        <v>2</v>
      </c>
      <c r="D127" s="124">
        <v>156</v>
      </c>
      <c r="E127" s="125"/>
      <c r="F127" s="124"/>
      <c r="G127" s="124"/>
      <c r="H127" s="124"/>
      <c r="I127" s="124"/>
      <c r="J127" s="124"/>
      <c r="K127" s="124"/>
      <c r="L127" s="124">
        <v>5</v>
      </c>
      <c r="M127" s="124">
        <v>52</v>
      </c>
      <c r="N127" s="125"/>
      <c r="O127" s="124"/>
      <c r="P127" s="124"/>
      <c r="Q127" s="124"/>
      <c r="R127" s="124"/>
      <c r="S127" s="124"/>
      <c r="T127" s="124"/>
      <c r="U127" s="124">
        <v>0</v>
      </c>
      <c r="V127" s="124">
        <v>0</v>
      </c>
      <c r="W127" s="124"/>
      <c r="X127" s="124">
        <v>500</v>
      </c>
      <c r="Y127" s="124">
        <v>429</v>
      </c>
      <c r="Z127" s="124">
        <v>6</v>
      </c>
      <c r="AA127" s="124"/>
      <c r="AB127" s="124"/>
      <c r="AC127" s="124"/>
      <c r="AD127" s="124"/>
      <c r="AE127" s="126" t="inlineStr">
        <is>
          <t xml:space="preserve">Spot</t>
        </is>
      </c>
    </row>
    <row r="128">
      <c r="A128" s="122">
        <v>46251</v>
      </c>
      <c r="B128" s="123" t="inlineStr">
        <is>
          <t xml:space="preserve">ALPARGATAS</t>
        </is>
      </c>
      <c r="C128" s="124">
        <v>3</v>
      </c>
      <c r="D128" s="124"/>
      <c r="E128" s="125"/>
      <c r="F128" s="124">
        <v>1205</v>
      </c>
      <c r="G128" s="124"/>
      <c r="H128" s="124"/>
      <c r="I128" s="124"/>
      <c r="J128" s="124"/>
      <c r="K128" s="124"/>
      <c r="L128" s="124">
        <v>3</v>
      </c>
      <c r="M128" s="124"/>
      <c r="N128" s="125"/>
      <c r="O128" s="124">
        <v>923</v>
      </c>
      <c r="P128" s="124"/>
      <c r="Q128" s="124"/>
      <c r="R128" s="124"/>
      <c r="S128" s="124"/>
      <c r="T128" s="124"/>
      <c r="U128" s="124">
        <v>0</v>
      </c>
      <c r="V128" s="124">
        <v>0</v>
      </c>
      <c r="W128" s="124">
        <v>15</v>
      </c>
      <c r="X128" s="124">
        <v>1800</v>
      </c>
      <c r="Y128" s="124">
        <v>1072</v>
      </c>
      <c r="Z128" s="124">
        <v>11</v>
      </c>
      <c r="AA128" s="124"/>
      <c r="AB128" s="124"/>
      <c r="AC128" s="124"/>
      <c r="AD128" s="124"/>
      <c r="AE128" s="126" t="inlineStr">
        <is>
          <t xml:space="preserve">Contrato</t>
        </is>
      </c>
    </row>
    <row r="129">
      <c r="A129" s="122">
        <v>46252</v>
      </c>
      <c r="B129" s="123" t="inlineStr">
        <is>
          <t xml:space="preserve">BASF</t>
        </is>
      </c>
      <c r="C129" s="124">
        <v>8</v>
      </c>
      <c r="D129" s="124">
        <v>113</v>
      </c>
      <c r="E129" s="125">
        <v>41.39</v>
      </c>
      <c r="F129" s="124"/>
      <c r="G129" s="124"/>
      <c r="H129" s="124"/>
      <c r="I129" s="124"/>
      <c r="J129" s="124"/>
      <c r="K129" s="124"/>
      <c r="L129" s="124">
        <v>6</v>
      </c>
      <c r="M129" s="124">
        <v>60</v>
      </c>
      <c r="N129" s="125">
        <v>47.22</v>
      </c>
      <c r="O129" s="124"/>
      <c r="P129" s="124"/>
      <c r="Q129" s="124"/>
      <c r="R129" s="124"/>
      <c r="S129" s="124"/>
      <c r="T129" s="124"/>
      <c r="U129" s="124">
        <v>0</v>
      </c>
      <c r="V129" s="124">
        <v>0</v>
      </c>
      <c r="W129" s="124"/>
      <c r="X129" s="124">
        <v>2200</v>
      </c>
      <c r="Y129" s="124">
        <v>2132</v>
      </c>
      <c r="Z129" s="124">
        <v>7</v>
      </c>
      <c r="AA129" s="124">
        <v>1</v>
      </c>
      <c r="AB129" s="124"/>
      <c r="AC129" s="124"/>
      <c r="AD129" s="124"/>
      <c r="AE129" s="126" t="inlineStr">
        <is>
          <t xml:space="preserve">Contrato</t>
        </is>
      </c>
    </row>
    <row r="130">
      <c r="A130" s="122">
        <v>46252</v>
      </c>
      <c r="B130" s="123" t="inlineStr">
        <is>
          <t xml:space="preserve">BEAUTYBIZ</t>
        </is>
      </c>
      <c r="C130" s="124">
        <v>7</v>
      </c>
      <c r="D130" s="124">
        <v>61</v>
      </c>
      <c r="E130" s="125"/>
      <c r="F130" s="124">
        <v>2452</v>
      </c>
      <c r="G130" s="124"/>
      <c r="H130" s="124"/>
      <c r="I130" s="124"/>
      <c r="J130" s="124"/>
      <c r="K130" s="124"/>
      <c r="L130" s="124">
        <v>2</v>
      </c>
      <c r="M130" s="124">
        <v>132</v>
      </c>
      <c r="N130" s="125"/>
      <c r="O130" s="124"/>
      <c r="P130" s="124">
        <v>291</v>
      </c>
      <c r="Q130" s="124"/>
      <c r="R130" s="124"/>
      <c r="S130" s="124"/>
      <c r="T130" s="124"/>
      <c r="U130" s="124">
        <v>0</v>
      </c>
      <c r="V130" s="124">
        <v>1</v>
      </c>
      <c r="W130" s="124"/>
      <c r="X130" s="124">
        <v>1200</v>
      </c>
      <c r="Y130" s="124">
        <v>925</v>
      </c>
      <c r="Z130" s="124">
        <v>6</v>
      </c>
      <c r="AA130" s="124"/>
      <c r="AB130" s="124">
        <v>1</v>
      </c>
      <c r="AC130" s="124"/>
      <c r="AD130" s="124"/>
      <c r="AE130" s="126" t="inlineStr">
        <is>
          <t xml:space="preserve">Contrato</t>
        </is>
      </c>
    </row>
    <row r="131">
      <c r="A131" s="122">
        <v>46252</v>
      </c>
      <c r="B131" s="123" t="inlineStr">
        <is>
          <t xml:space="preserve">BOTICÁRIO</t>
        </is>
      </c>
      <c r="C131" s="124">
        <v>3</v>
      </c>
      <c r="D131" s="124"/>
      <c r="E131" s="125"/>
      <c r="F131" s="124"/>
      <c r="G131" s="124">
        <v>5185</v>
      </c>
      <c r="H131" s="124">
        <v>237</v>
      </c>
      <c r="I131" s="124">
        <v>284</v>
      </c>
      <c r="J131" s="124"/>
      <c r="K131" s="124"/>
      <c r="L131" s="124">
        <v>3</v>
      </c>
      <c r="M131" s="124">
        <v>144</v>
      </c>
      <c r="N131" s="125"/>
      <c r="O131" s="124"/>
      <c r="P131" s="124"/>
      <c r="Q131" s="124">
        <v>780</v>
      </c>
      <c r="R131" s="124">
        <v>7717</v>
      </c>
      <c r="S131" s="124"/>
      <c r="T131" s="124"/>
      <c r="U131" s="124">
        <v>0</v>
      </c>
      <c r="V131" s="124">
        <v>0</v>
      </c>
      <c r="W131" s="124">
        <v>4</v>
      </c>
      <c r="X131" s="124">
        <v>3500</v>
      </c>
      <c r="Y131" s="124">
        <v>2825</v>
      </c>
      <c r="Z131" s="124">
        <v>14</v>
      </c>
      <c r="AA131" s="124"/>
      <c r="AB131" s="124"/>
      <c r="AC131" s="124"/>
      <c r="AD131" s="124"/>
      <c r="AE131" s="126" t="inlineStr">
        <is>
          <t xml:space="preserve">Contrato</t>
        </is>
      </c>
    </row>
    <row r="132">
      <c r="A132" s="122">
        <v>46252</v>
      </c>
      <c r="B132" s="123" t="inlineStr">
        <is>
          <t xml:space="preserve">SUPPLY</t>
        </is>
      </c>
      <c r="C132" s="124">
        <v>7</v>
      </c>
      <c r="D132" s="124">
        <v>77</v>
      </c>
      <c r="E132" s="125">
        <v>105.21</v>
      </c>
      <c r="F132" s="124"/>
      <c r="G132" s="124"/>
      <c r="H132" s="124"/>
      <c r="I132" s="124"/>
      <c r="J132" s="124"/>
      <c r="K132" s="124"/>
      <c r="L132" s="124">
        <v>2</v>
      </c>
      <c r="M132" s="124">
        <v>133</v>
      </c>
      <c r="N132" s="125">
        <v>56.9</v>
      </c>
      <c r="O132" s="124"/>
      <c r="P132" s="124"/>
      <c r="Q132" s="124"/>
      <c r="R132" s="124"/>
      <c r="S132" s="124"/>
      <c r="T132" s="124"/>
      <c r="U132" s="124">
        <v>0</v>
      </c>
      <c r="V132" s="124">
        <v>0</v>
      </c>
      <c r="W132" s="124"/>
      <c r="X132" s="124">
        <v>1600</v>
      </c>
      <c r="Y132" s="124">
        <v>890</v>
      </c>
      <c r="Z132" s="124">
        <v>11</v>
      </c>
      <c r="AA132" s="124">
        <v>1</v>
      </c>
      <c r="AB132" s="124"/>
      <c r="AC132" s="124"/>
      <c r="AD132" s="124"/>
      <c r="AE132" s="126" t="inlineStr">
        <is>
          <t xml:space="preserve">Spot</t>
        </is>
      </c>
    </row>
    <row r="133">
      <c r="A133" s="122">
        <v>46252</v>
      </c>
      <c r="B133" s="123" t="inlineStr">
        <is>
          <t xml:space="preserve">GE VERNOVA</t>
        </is>
      </c>
      <c r="C133" s="124">
        <v>8</v>
      </c>
      <c r="D133" s="124">
        <v>25</v>
      </c>
      <c r="E133" s="125"/>
      <c r="F133" s="124"/>
      <c r="G133" s="124"/>
      <c r="H133" s="124"/>
      <c r="I133" s="124"/>
      <c r="J133" s="124">
        <v>436</v>
      </c>
      <c r="K133" s="124">
        <v>73</v>
      </c>
      <c r="L133" s="124">
        <v>10</v>
      </c>
      <c r="M133" s="124">
        <v>69</v>
      </c>
      <c r="N133" s="125"/>
      <c r="O133" s="124"/>
      <c r="P133" s="124"/>
      <c r="Q133" s="124"/>
      <c r="R133" s="124"/>
      <c r="S133" s="124">
        <v>562</v>
      </c>
      <c r="T133" s="124">
        <v>116</v>
      </c>
      <c r="U133" s="124">
        <v>0</v>
      </c>
      <c r="V133" s="124">
        <v>0</v>
      </c>
      <c r="W133" s="124">
        <v>10</v>
      </c>
      <c r="X133" s="124">
        <v>900</v>
      </c>
      <c r="Y133" s="124">
        <v>789</v>
      </c>
      <c r="Z133" s="124">
        <v>10</v>
      </c>
      <c r="AA133" s="124"/>
      <c r="AB133" s="124"/>
      <c r="AC133" s="124"/>
      <c r="AD133" s="124"/>
      <c r="AE133" s="126" t="inlineStr">
        <is>
          <t xml:space="preserve">Contrato</t>
        </is>
      </c>
    </row>
    <row r="134">
      <c r="A134" s="122">
        <v>46252</v>
      </c>
      <c r="B134" s="123" t="inlineStr">
        <is>
          <t xml:space="preserve">VESTAS</t>
        </is>
      </c>
      <c r="C134" s="124">
        <v>7</v>
      </c>
      <c r="D134" s="124"/>
      <c r="E134" s="125"/>
      <c r="F134" s="124"/>
      <c r="G134" s="124"/>
      <c r="H134" s="124"/>
      <c r="I134" s="124"/>
      <c r="J134" s="124"/>
      <c r="K134" s="124">
        <v>59</v>
      </c>
      <c r="L134" s="124">
        <v>2</v>
      </c>
      <c r="M134" s="124"/>
      <c r="N134" s="125"/>
      <c r="O134" s="124"/>
      <c r="P134" s="124"/>
      <c r="Q134" s="124"/>
      <c r="R134" s="124"/>
      <c r="S134" s="124"/>
      <c r="T134" s="124">
        <v>98</v>
      </c>
      <c r="U134" s="124">
        <v>0</v>
      </c>
      <c r="V134" s="124">
        <v>0</v>
      </c>
      <c r="W134" s="124">
        <v>5</v>
      </c>
      <c r="X134" s="124">
        <v>600</v>
      </c>
      <c r="Y134" s="124">
        <v>372</v>
      </c>
      <c r="Z134" s="124">
        <v>8</v>
      </c>
      <c r="AA134" s="124"/>
      <c r="AB134" s="124"/>
      <c r="AC134" s="124">
        <v>1</v>
      </c>
      <c r="AD134" s="124"/>
      <c r="AE134" s="126" t="inlineStr">
        <is>
          <t xml:space="preserve">Cross</t>
        </is>
      </c>
    </row>
    <row r="135">
      <c r="A135" s="122">
        <v>46252</v>
      </c>
      <c r="B135" s="123" t="inlineStr">
        <is>
          <t xml:space="preserve">VEDACIT</t>
        </is>
      </c>
      <c r="C135" s="124">
        <v>6</v>
      </c>
      <c r="D135" s="124">
        <v>47</v>
      </c>
      <c r="E135" s="125"/>
      <c r="F135" s="124"/>
      <c r="G135" s="124"/>
      <c r="H135" s="124"/>
      <c r="I135" s="124"/>
      <c r="J135" s="124"/>
      <c r="K135" s="124"/>
      <c r="L135" s="124">
        <v>2</v>
      </c>
      <c r="M135" s="124">
        <v>103</v>
      </c>
      <c r="N135" s="125"/>
      <c r="O135" s="124"/>
      <c r="P135" s="124"/>
      <c r="Q135" s="124"/>
      <c r="R135" s="124"/>
      <c r="S135" s="124"/>
      <c r="T135" s="124"/>
      <c r="U135" s="124">
        <v>0</v>
      </c>
      <c r="V135" s="124">
        <v>0</v>
      </c>
      <c r="W135" s="124"/>
      <c r="X135" s="124">
        <v>1400</v>
      </c>
      <c r="Y135" s="124">
        <v>830</v>
      </c>
      <c r="Z135" s="124">
        <v>5</v>
      </c>
      <c r="AA135" s="124"/>
      <c r="AB135" s="124">
        <v>1</v>
      </c>
      <c r="AC135" s="124"/>
      <c r="AD135" s="124"/>
      <c r="AE135" s="126" t="inlineStr">
        <is>
          <t xml:space="preserve">Contrato</t>
        </is>
      </c>
    </row>
    <row r="136">
      <c r="A136" s="122">
        <v>46252</v>
      </c>
      <c r="B136" s="123" t="inlineStr">
        <is>
          <t xml:space="preserve">OMNLIFE</t>
        </is>
      </c>
      <c r="C136" s="124">
        <v>5</v>
      </c>
      <c r="D136" s="124">
        <v>59</v>
      </c>
      <c r="E136" s="125"/>
      <c r="F136" s="124"/>
      <c r="G136" s="124"/>
      <c r="H136" s="124"/>
      <c r="I136" s="124"/>
      <c r="J136" s="124"/>
      <c r="K136" s="124"/>
      <c r="L136" s="124">
        <v>3</v>
      </c>
      <c r="M136" s="124">
        <v>76</v>
      </c>
      <c r="N136" s="125"/>
      <c r="O136" s="124"/>
      <c r="P136" s="124"/>
      <c r="Q136" s="124"/>
      <c r="R136" s="124"/>
      <c r="S136" s="124"/>
      <c r="T136" s="124"/>
      <c r="U136" s="124">
        <v>0</v>
      </c>
      <c r="V136" s="124">
        <v>0</v>
      </c>
      <c r="W136" s="124"/>
      <c r="X136" s="124">
        <v>500</v>
      </c>
      <c r="Y136" s="124">
        <v>305</v>
      </c>
      <c r="Z136" s="124">
        <v>13</v>
      </c>
      <c r="AA136" s="124"/>
      <c r="AB136" s="124"/>
      <c r="AC136" s="124"/>
      <c r="AD136" s="124">
        <v>1</v>
      </c>
      <c r="AE136" s="126" t="inlineStr">
        <is>
          <t xml:space="preserve">Spot</t>
        </is>
      </c>
    </row>
    <row r="137">
      <c r="A137" s="122">
        <v>46252</v>
      </c>
      <c r="B137" s="123" t="inlineStr">
        <is>
          <t xml:space="preserve">ALPARGATAS</t>
        </is>
      </c>
      <c r="C137" s="124">
        <v>6</v>
      </c>
      <c r="D137" s="124"/>
      <c r="E137" s="125"/>
      <c r="F137" s="124">
        <v>1826</v>
      </c>
      <c r="G137" s="124"/>
      <c r="H137" s="124"/>
      <c r="I137" s="124"/>
      <c r="J137" s="124"/>
      <c r="K137" s="124"/>
      <c r="L137" s="124">
        <v>7</v>
      </c>
      <c r="M137" s="124"/>
      <c r="N137" s="125"/>
      <c r="O137" s="124">
        <v>1686</v>
      </c>
      <c r="P137" s="124"/>
      <c r="Q137" s="124"/>
      <c r="R137" s="124"/>
      <c r="S137" s="124"/>
      <c r="T137" s="124"/>
      <c r="U137" s="124">
        <v>1</v>
      </c>
      <c r="V137" s="124">
        <v>0</v>
      </c>
      <c r="W137" s="124">
        <v>11</v>
      </c>
      <c r="X137" s="124">
        <v>1800</v>
      </c>
      <c r="Y137" s="124">
        <v>1245</v>
      </c>
      <c r="Z137" s="124">
        <v>7</v>
      </c>
      <c r="AA137" s="124"/>
      <c r="AB137" s="124"/>
      <c r="AC137" s="124"/>
      <c r="AD137" s="124"/>
      <c r="AE137" s="126" t="inlineStr">
        <is>
          <t xml:space="preserve">Contrato</t>
        </is>
      </c>
    </row>
    <row r="138">
      <c r="A138" s="122">
        <v>46253</v>
      </c>
      <c r="B138" s="123" t="inlineStr">
        <is>
          <t xml:space="preserve">BASF</t>
        </is>
      </c>
      <c r="C138" s="124">
        <v>8</v>
      </c>
      <c r="D138" s="124">
        <v>64</v>
      </c>
      <c r="E138" s="125">
        <v>65.07</v>
      </c>
      <c r="F138" s="124"/>
      <c r="G138" s="124"/>
      <c r="H138" s="124"/>
      <c r="I138" s="124"/>
      <c r="J138" s="124"/>
      <c r="K138" s="124"/>
      <c r="L138" s="124">
        <v>7</v>
      </c>
      <c r="M138" s="124">
        <v>65</v>
      </c>
      <c r="N138" s="125">
        <v>33.33</v>
      </c>
      <c r="O138" s="124"/>
      <c r="P138" s="124"/>
      <c r="Q138" s="124"/>
      <c r="R138" s="124"/>
      <c r="S138" s="124"/>
      <c r="T138" s="124"/>
      <c r="U138" s="124">
        <v>0</v>
      </c>
      <c r="V138" s="124">
        <v>0</v>
      </c>
      <c r="W138" s="124"/>
      <c r="X138" s="124">
        <v>2200</v>
      </c>
      <c r="Y138" s="124">
        <v>1822</v>
      </c>
      <c r="Z138" s="124">
        <v>4</v>
      </c>
      <c r="AA138" s="124"/>
      <c r="AB138" s="124"/>
      <c r="AC138" s="124"/>
      <c r="AD138" s="124"/>
      <c r="AE138" s="126" t="inlineStr">
        <is>
          <t xml:space="preserve">Contrato</t>
        </is>
      </c>
    </row>
    <row r="139">
      <c r="A139" s="122">
        <v>46253</v>
      </c>
      <c r="B139" s="123" t="inlineStr">
        <is>
          <t xml:space="preserve">BEAUTYBIZ</t>
        </is>
      </c>
      <c r="C139" s="124">
        <v>5</v>
      </c>
      <c r="D139" s="124">
        <v>22</v>
      </c>
      <c r="E139" s="125"/>
      <c r="F139" s="124">
        <v>606</v>
      </c>
      <c r="G139" s="124"/>
      <c r="H139" s="124"/>
      <c r="I139" s="124"/>
      <c r="J139" s="124"/>
      <c r="K139" s="124"/>
      <c r="L139" s="124">
        <v>11</v>
      </c>
      <c r="M139" s="124">
        <v>128</v>
      </c>
      <c r="N139" s="125"/>
      <c r="O139" s="124"/>
      <c r="P139" s="124">
        <v>660</v>
      </c>
      <c r="Q139" s="124"/>
      <c r="R139" s="124"/>
      <c r="S139" s="124"/>
      <c r="T139" s="124"/>
      <c r="U139" s="124">
        <v>0</v>
      </c>
      <c r="V139" s="124">
        <v>0</v>
      </c>
      <c r="W139" s="124"/>
      <c r="X139" s="124">
        <v>1200</v>
      </c>
      <c r="Y139" s="124">
        <v>1105</v>
      </c>
      <c r="Z139" s="124">
        <v>4</v>
      </c>
      <c r="AA139" s="124"/>
      <c r="AB139" s="124"/>
      <c r="AC139" s="124"/>
      <c r="AD139" s="124"/>
      <c r="AE139" s="126" t="inlineStr">
        <is>
          <t xml:space="preserve">Contrato</t>
        </is>
      </c>
    </row>
    <row r="140">
      <c r="A140" s="122">
        <v>46253</v>
      </c>
      <c r="B140" s="123" t="inlineStr">
        <is>
          <t xml:space="preserve">BOTICÁRIO</t>
        </is>
      </c>
      <c r="C140" s="124">
        <v>6</v>
      </c>
      <c r="D140" s="124"/>
      <c r="E140" s="125"/>
      <c r="F140" s="124"/>
      <c r="G140" s="124">
        <v>4992</v>
      </c>
      <c r="H140" s="124">
        <v>72</v>
      </c>
      <c r="I140" s="124">
        <v>180</v>
      </c>
      <c r="J140" s="124"/>
      <c r="K140" s="124"/>
      <c r="L140" s="124">
        <v>3</v>
      </c>
      <c r="M140" s="124">
        <v>25</v>
      </c>
      <c r="N140" s="125"/>
      <c r="O140" s="124"/>
      <c r="P140" s="124"/>
      <c r="Q140" s="124">
        <v>164</v>
      </c>
      <c r="R140" s="124">
        <v>3274</v>
      </c>
      <c r="S140" s="124"/>
      <c r="T140" s="124"/>
      <c r="U140" s="124">
        <v>0</v>
      </c>
      <c r="V140" s="124">
        <v>0</v>
      </c>
      <c r="W140" s="124">
        <v>1</v>
      </c>
      <c r="X140" s="124">
        <v>3500</v>
      </c>
      <c r="Y140" s="124">
        <v>2798</v>
      </c>
      <c r="Z140" s="124">
        <v>12</v>
      </c>
      <c r="AA140" s="124"/>
      <c r="AB140" s="124">
        <v>1</v>
      </c>
      <c r="AC140" s="124"/>
      <c r="AD140" s="124"/>
      <c r="AE140" s="126" t="inlineStr">
        <is>
          <t xml:space="preserve">Contrato</t>
        </is>
      </c>
    </row>
    <row r="141">
      <c r="A141" s="122">
        <v>46253</v>
      </c>
      <c r="B141" s="123" t="inlineStr">
        <is>
          <t xml:space="preserve">SUPPLY</t>
        </is>
      </c>
      <c r="C141" s="124">
        <v>5</v>
      </c>
      <c r="D141" s="124">
        <v>91</v>
      </c>
      <c r="E141" s="125">
        <v>125.65</v>
      </c>
      <c r="F141" s="124"/>
      <c r="G141" s="124"/>
      <c r="H141" s="124"/>
      <c r="I141" s="124"/>
      <c r="J141" s="124"/>
      <c r="K141" s="124"/>
      <c r="L141" s="124">
        <v>11</v>
      </c>
      <c r="M141" s="124">
        <v>100</v>
      </c>
      <c r="N141" s="125">
        <v>49.26</v>
      </c>
      <c r="O141" s="124"/>
      <c r="P141" s="124"/>
      <c r="Q141" s="124"/>
      <c r="R141" s="124"/>
      <c r="S141" s="124"/>
      <c r="T141" s="124"/>
      <c r="U141" s="124">
        <v>0</v>
      </c>
      <c r="V141" s="124">
        <v>0</v>
      </c>
      <c r="W141" s="124">
        <v>14</v>
      </c>
      <c r="X141" s="124">
        <v>1600</v>
      </c>
      <c r="Y141" s="124">
        <v>1289</v>
      </c>
      <c r="Z141" s="124">
        <v>13</v>
      </c>
      <c r="AA141" s="124"/>
      <c r="AB141" s="124"/>
      <c r="AC141" s="124"/>
      <c r="AD141" s="124"/>
      <c r="AE141" s="126" t="inlineStr">
        <is>
          <t xml:space="preserve">Spot</t>
        </is>
      </c>
    </row>
    <row r="142">
      <c r="A142" s="122">
        <v>46253</v>
      </c>
      <c r="B142" s="123" t="inlineStr">
        <is>
          <t xml:space="preserve">GE VERNOVA</t>
        </is>
      </c>
      <c r="C142" s="124">
        <v>8</v>
      </c>
      <c r="D142" s="124">
        <v>62</v>
      </c>
      <c r="E142" s="125"/>
      <c r="F142" s="124"/>
      <c r="G142" s="124"/>
      <c r="H142" s="124"/>
      <c r="I142" s="124"/>
      <c r="J142" s="124">
        <v>312</v>
      </c>
      <c r="K142" s="124">
        <v>100</v>
      </c>
      <c r="L142" s="124">
        <v>2</v>
      </c>
      <c r="M142" s="124">
        <v>66</v>
      </c>
      <c r="N142" s="125"/>
      <c r="O142" s="124"/>
      <c r="P142" s="124"/>
      <c r="Q142" s="124"/>
      <c r="R142" s="124"/>
      <c r="S142" s="124">
        <v>153</v>
      </c>
      <c r="T142" s="124">
        <v>70</v>
      </c>
      <c r="U142" s="124">
        <v>0</v>
      </c>
      <c r="V142" s="124">
        <v>0</v>
      </c>
      <c r="W142" s="124"/>
      <c r="X142" s="124">
        <v>900</v>
      </c>
      <c r="Y142" s="124">
        <v>556</v>
      </c>
      <c r="Z142" s="124">
        <v>7</v>
      </c>
      <c r="AA142" s="124"/>
      <c r="AB142" s="124"/>
      <c r="AC142" s="124"/>
      <c r="AD142" s="124"/>
      <c r="AE142" s="126" t="inlineStr">
        <is>
          <t xml:space="preserve">Contrato</t>
        </is>
      </c>
    </row>
    <row r="143">
      <c r="A143" s="122">
        <v>46253</v>
      </c>
      <c r="B143" s="123" t="inlineStr">
        <is>
          <t xml:space="preserve">VESTAS</t>
        </is>
      </c>
      <c r="C143" s="124">
        <v>3</v>
      </c>
      <c r="D143" s="124"/>
      <c r="E143" s="125"/>
      <c r="F143" s="124"/>
      <c r="G143" s="124"/>
      <c r="H143" s="124"/>
      <c r="I143" s="124"/>
      <c r="J143" s="124"/>
      <c r="K143" s="124">
        <v>16</v>
      </c>
      <c r="L143" s="124">
        <v>2</v>
      </c>
      <c r="M143" s="124"/>
      <c r="N143" s="125"/>
      <c r="O143" s="124"/>
      <c r="P143" s="124"/>
      <c r="Q143" s="124"/>
      <c r="R143" s="124"/>
      <c r="S143" s="124"/>
      <c r="T143" s="124">
        <v>70</v>
      </c>
      <c r="U143" s="124">
        <v>0</v>
      </c>
      <c r="V143" s="124">
        <v>0</v>
      </c>
      <c r="W143" s="124"/>
      <c r="X143" s="124">
        <v>600</v>
      </c>
      <c r="Y143" s="124">
        <v>460</v>
      </c>
      <c r="Z143" s="124">
        <v>11</v>
      </c>
      <c r="AA143" s="124"/>
      <c r="AB143" s="124"/>
      <c r="AC143" s="124"/>
      <c r="AD143" s="124"/>
      <c r="AE143" s="126" t="inlineStr">
        <is>
          <t xml:space="preserve">Cross</t>
        </is>
      </c>
    </row>
    <row r="144">
      <c r="A144" s="122">
        <v>46253</v>
      </c>
      <c r="B144" s="123" t="inlineStr">
        <is>
          <t xml:space="preserve">VEDACIT</t>
        </is>
      </c>
      <c r="C144" s="124">
        <v>6</v>
      </c>
      <c r="D144" s="124">
        <v>150</v>
      </c>
      <c r="E144" s="125"/>
      <c r="F144" s="124"/>
      <c r="G144" s="124"/>
      <c r="H144" s="124"/>
      <c r="I144" s="124"/>
      <c r="J144" s="124"/>
      <c r="K144" s="124"/>
      <c r="L144" s="124">
        <v>6</v>
      </c>
      <c r="M144" s="124">
        <v>113</v>
      </c>
      <c r="N144" s="125"/>
      <c r="O144" s="124"/>
      <c r="P144" s="124"/>
      <c r="Q144" s="124"/>
      <c r="R144" s="124"/>
      <c r="S144" s="124"/>
      <c r="T144" s="124"/>
      <c r="U144" s="124">
        <v>0</v>
      </c>
      <c r="V144" s="124">
        <v>0</v>
      </c>
      <c r="W144" s="124"/>
      <c r="X144" s="124">
        <v>1400</v>
      </c>
      <c r="Y144" s="124">
        <v>932</v>
      </c>
      <c r="Z144" s="124">
        <v>12</v>
      </c>
      <c r="AA144" s="124">
        <v>1</v>
      </c>
      <c r="AB144" s="124"/>
      <c r="AC144" s="124"/>
      <c r="AD144" s="124"/>
      <c r="AE144" s="126" t="inlineStr">
        <is>
          <t xml:space="preserve">Contrato</t>
        </is>
      </c>
    </row>
    <row r="145">
      <c r="A145" s="122">
        <v>46253</v>
      </c>
      <c r="B145" s="123" t="inlineStr">
        <is>
          <t xml:space="preserve">OMNLIFE</t>
        </is>
      </c>
      <c r="C145" s="124">
        <v>3</v>
      </c>
      <c r="D145" s="124">
        <v>108</v>
      </c>
      <c r="E145" s="125"/>
      <c r="F145" s="124"/>
      <c r="G145" s="124"/>
      <c r="H145" s="124"/>
      <c r="I145" s="124"/>
      <c r="J145" s="124"/>
      <c r="K145" s="124"/>
      <c r="L145" s="124">
        <v>8</v>
      </c>
      <c r="M145" s="124">
        <v>118</v>
      </c>
      <c r="N145" s="125"/>
      <c r="O145" s="124"/>
      <c r="P145" s="124"/>
      <c r="Q145" s="124"/>
      <c r="R145" s="124"/>
      <c r="S145" s="124"/>
      <c r="T145" s="124"/>
      <c r="U145" s="124">
        <v>0</v>
      </c>
      <c r="V145" s="124">
        <v>0</v>
      </c>
      <c r="W145" s="124"/>
      <c r="X145" s="124">
        <v>500</v>
      </c>
      <c r="Y145" s="124">
        <v>390</v>
      </c>
      <c r="Z145" s="124">
        <v>5</v>
      </c>
      <c r="AA145" s="124"/>
      <c r="AB145" s="124"/>
      <c r="AC145" s="124"/>
      <c r="AD145" s="124"/>
      <c r="AE145" s="126" t="inlineStr">
        <is>
          <t xml:space="preserve">Spot</t>
        </is>
      </c>
    </row>
    <row r="146">
      <c r="A146" s="122">
        <v>46253</v>
      </c>
      <c r="B146" s="123" t="inlineStr">
        <is>
          <t xml:space="preserve">ALPARGATAS</t>
        </is>
      </c>
      <c r="C146" s="124">
        <v>7</v>
      </c>
      <c r="D146" s="124"/>
      <c r="E146" s="125"/>
      <c r="F146" s="124">
        <v>2220</v>
      </c>
      <c r="G146" s="124"/>
      <c r="H146" s="124"/>
      <c r="I146" s="124"/>
      <c r="J146" s="124"/>
      <c r="K146" s="124"/>
      <c r="L146" s="124">
        <v>8</v>
      </c>
      <c r="M146" s="124"/>
      <c r="N146" s="125"/>
      <c r="O146" s="124">
        <v>1172</v>
      </c>
      <c r="P146" s="124"/>
      <c r="Q146" s="124"/>
      <c r="R146" s="124"/>
      <c r="S146" s="124"/>
      <c r="T146" s="124"/>
      <c r="U146" s="124">
        <v>0</v>
      </c>
      <c r="V146" s="124">
        <v>0</v>
      </c>
      <c r="W146" s="124"/>
      <c r="X146" s="124">
        <v>1800</v>
      </c>
      <c r="Y146" s="124">
        <v>1211</v>
      </c>
      <c r="Z146" s="124">
        <v>10</v>
      </c>
      <c r="AA146" s="124"/>
      <c r="AB146" s="124"/>
      <c r="AC146" s="124"/>
      <c r="AD146" s="124">
        <v>1</v>
      </c>
      <c r="AE146" s="126" t="inlineStr">
        <is>
          <t xml:space="preserve">Contrato</t>
        </is>
      </c>
    </row>
    <row r="147">
      <c r="A147" s="122">
        <v>46254</v>
      </c>
      <c r="B147" s="123" t="inlineStr">
        <is>
          <t xml:space="preserve">BASF</t>
        </is>
      </c>
      <c r="C147" s="124">
        <v>7</v>
      </c>
      <c r="D147" s="124">
        <v>158</v>
      </c>
      <c r="E147" s="125">
        <v>62.58</v>
      </c>
      <c r="F147" s="124"/>
      <c r="G147" s="124"/>
      <c r="H147" s="124"/>
      <c r="I147" s="124"/>
      <c r="J147" s="124"/>
      <c r="K147" s="124"/>
      <c r="L147" s="124">
        <v>5</v>
      </c>
      <c r="M147" s="124">
        <v>95</v>
      </c>
      <c r="N147" s="125">
        <v>115.37</v>
      </c>
      <c r="O147" s="124"/>
      <c r="P147" s="124"/>
      <c r="Q147" s="124"/>
      <c r="R147" s="124"/>
      <c r="S147" s="124"/>
      <c r="T147" s="124"/>
      <c r="U147" s="124">
        <v>0</v>
      </c>
      <c r="V147" s="124">
        <v>0</v>
      </c>
      <c r="W147" s="124">
        <v>10</v>
      </c>
      <c r="X147" s="124">
        <v>2200</v>
      </c>
      <c r="Y147" s="124">
        <v>1509</v>
      </c>
      <c r="Z147" s="124">
        <v>13</v>
      </c>
      <c r="AA147" s="124"/>
      <c r="AB147" s="124"/>
      <c r="AC147" s="124"/>
      <c r="AD147" s="124"/>
      <c r="AE147" s="126" t="inlineStr">
        <is>
          <t xml:space="preserve">Contrato</t>
        </is>
      </c>
    </row>
    <row r="148">
      <c r="A148" s="122">
        <v>46254</v>
      </c>
      <c r="B148" s="123" t="inlineStr">
        <is>
          <t xml:space="preserve">BEAUTYBIZ</t>
        </is>
      </c>
      <c r="C148" s="124">
        <v>8</v>
      </c>
      <c r="D148" s="124">
        <v>21</v>
      </c>
      <c r="E148" s="125"/>
      <c r="F148" s="124">
        <v>404</v>
      </c>
      <c r="G148" s="124"/>
      <c r="H148" s="124"/>
      <c r="I148" s="124"/>
      <c r="J148" s="124"/>
      <c r="K148" s="124"/>
      <c r="L148" s="124">
        <v>7</v>
      </c>
      <c r="M148" s="124">
        <v>89</v>
      </c>
      <c r="N148" s="125"/>
      <c r="O148" s="124"/>
      <c r="P148" s="124">
        <v>650</v>
      </c>
      <c r="Q148" s="124"/>
      <c r="R148" s="124"/>
      <c r="S148" s="124"/>
      <c r="T148" s="124"/>
      <c r="U148" s="124">
        <v>0</v>
      </c>
      <c r="V148" s="124">
        <v>0</v>
      </c>
      <c r="W148" s="124"/>
      <c r="X148" s="124">
        <v>1200</v>
      </c>
      <c r="Y148" s="124">
        <v>920</v>
      </c>
      <c r="Z148" s="124">
        <v>12</v>
      </c>
      <c r="AA148" s="124"/>
      <c r="AB148" s="124"/>
      <c r="AC148" s="124"/>
      <c r="AD148" s="124"/>
      <c r="AE148" s="126" t="inlineStr">
        <is>
          <t xml:space="preserve">Contrato</t>
        </is>
      </c>
    </row>
    <row r="149">
      <c r="A149" s="122">
        <v>46254</v>
      </c>
      <c r="B149" s="123" t="inlineStr">
        <is>
          <t xml:space="preserve">BOTICÁRIO</t>
        </is>
      </c>
      <c r="C149" s="124">
        <v>6</v>
      </c>
      <c r="D149" s="124"/>
      <c r="E149" s="125"/>
      <c r="F149" s="124"/>
      <c r="G149" s="124">
        <v>3155</v>
      </c>
      <c r="H149" s="124">
        <v>63</v>
      </c>
      <c r="I149" s="124">
        <v>154</v>
      </c>
      <c r="J149" s="124"/>
      <c r="K149" s="124"/>
      <c r="L149" s="124">
        <v>4</v>
      </c>
      <c r="M149" s="124">
        <v>110</v>
      </c>
      <c r="N149" s="125"/>
      <c r="O149" s="124"/>
      <c r="P149" s="124"/>
      <c r="Q149" s="124">
        <v>579</v>
      </c>
      <c r="R149" s="124">
        <v>5256</v>
      </c>
      <c r="S149" s="124"/>
      <c r="T149" s="124"/>
      <c r="U149" s="124">
        <v>0</v>
      </c>
      <c r="V149" s="124">
        <v>0</v>
      </c>
      <c r="W149" s="124">
        <v>13</v>
      </c>
      <c r="X149" s="124">
        <v>3500</v>
      </c>
      <c r="Y149" s="124">
        <v>2640</v>
      </c>
      <c r="Z149" s="124">
        <v>11</v>
      </c>
      <c r="AA149" s="124"/>
      <c r="AB149" s="124"/>
      <c r="AC149" s="124"/>
      <c r="AD149" s="124"/>
      <c r="AE149" s="126" t="inlineStr">
        <is>
          <t xml:space="preserve">Contrato</t>
        </is>
      </c>
    </row>
    <row r="150">
      <c r="A150" s="122">
        <v>46254</v>
      </c>
      <c r="B150" s="123" t="inlineStr">
        <is>
          <t xml:space="preserve">SUPPLY</t>
        </is>
      </c>
      <c r="C150" s="124">
        <v>7</v>
      </c>
      <c r="D150" s="124">
        <v>32</v>
      </c>
      <c r="E150" s="125">
        <v>60.34</v>
      </c>
      <c r="F150" s="124"/>
      <c r="G150" s="124"/>
      <c r="H150" s="124"/>
      <c r="I150" s="124"/>
      <c r="J150" s="124"/>
      <c r="K150" s="124"/>
      <c r="L150" s="124">
        <v>5</v>
      </c>
      <c r="M150" s="124">
        <v>30</v>
      </c>
      <c r="N150" s="125">
        <v>53.83</v>
      </c>
      <c r="O150" s="124"/>
      <c r="P150" s="124"/>
      <c r="Q150" s="124"/>
      <c r="R150" s="124"/>
      <c r="S150" s="124"/>
      <c r="T150" s="124"/>
      <c r="U150" s="124">
        <v>0</v>
      </c>
      <c r="V150" s="124">
        <v>0</v>
      </c>
      <c r="W150" s="124">
        <v>10</v>
      </c>
      <c r="X150" s="124">
        <v>1600</v>
      </c>
      <c r="Y150" s="124">
        <v>1431</v>
      </c>
      <c r="Z150" s="124">
        <v>12</v>
      </c>
      <c r="AA150" s="124"/>
      <c r="AB150" s="124"/>
      <c r="AC150" s="124"/>
      <c r="AD150" s="124"/>
      <c r="AE150" s="126" t="inlineStr">
        <is>
          <t xml:space="preserve">Spot</t>
        </is>
      </c>
    </row>
    <row r="151">
      <c r="A151" s="122">
        <v>46254</v>
      </c>
      <c r="B151" s="123" t="inlineStr">
        <is>
          <t xml:space="preserve">GE VERNOVA</t>
        </is>
      </c>
      <c r="C151" s="124">
        <v>5</v>
      </c>
      <c r="D151" s="124">
        <v>90</v>
      </c>
      <c r="E151" s="125"/>
      <c r="F151" s="124"/>
      <c r="G151" s="124"/>
      <c r="H151" s="124"/>
      <c r="I151" s="124"/>
      <c r="J151" s="124">
        <v>153</v>
      </c>
      <c r="K151" s="124">
        <v>30</v>
      </c>
      <c r="L151" s="124">
        <v>8</v>
      </c>
      <c r="M151" s="124">
        <v>104</v>
      </c>
      <c r="N151" s="125"/>
      <c r="O151" s="124"/>
      <c r="P151" s="124"/>
      <c r="Q151" s="124"/>
      <c r="R151" s="124"/>
      <c r="S151" s="124">
        <v>244</v>
      </c>
      <c r="T151" s="124">
        <v>119</v>
      </c>
      <c r="U151" s="124">
        <v>0</v>
      </c>
      <c r="V151" s="124">
        <v>1</v>
      </c>
      <c r="W151" s="124"/>
      <c r="X151" s="124">
        <v>900</v>
      </c>
      <c r="Y151" s="124">
        <v>792</v>
      </c>
      <c r="Z151" s="124">
        <v>8</v>
      </c>
      <c r="AA151" s="124"/>
      <c r="AB151" s="124"/>
      <c r="AC151" s="124"/>
      <c r="AD151" s="124"/>
      <c r="AE151" s="126" t="inlineStr">
        <is>
          <t xml:space="preserve">Contrato</t>
        </is>
      </c>
    </row>
    <row r="152">
      <c r="A152" s="122">
        <v>46254</v>
      </c>
      <c r="B152" s="123" t="inlineStr">
        <is>
          <t xml:space="preserve">VESTAS</t>
        </is>
      </c>
      <c r="C152" s="124">
        <v>2</v>
      </c>
      <c r="D152" s="124"/>
      <c r="E152" s="125"/>
      <c r="F152" s="124"/>
      <c r="G152" s="124"/>
      <c r="H152" s="124"/>
      <c r="I152" s="124"/>
      <c r="J152" s="124"/>
      <c r="K152" s="124">
        <v>11</v>
      </c>
      <c r="L152" s="124">
        <v>2</v>
      </c>
      <c r="M152" s="124"/>
      <c r="N152" s="125"/>
      <c r="O152" s="124"/>
      <c r="P152" s="124"/>
      <c r="Q152" s="124"/>
      <c r="R152" s="124"/>
      <c r="S152" s="124"/>
      <c r="T152" s="124">
        <v>29</v>
      </c>
      <c r="U152" s="124">
        <v>0</v>
      </c>
      <c r="V152" s="124">
        <v>0</v>
      </c>
      <c r="W152" s="124"/>
      <c r="X152" s="124">
        <v>600</v>
      </c>
      <c r="Y152" s="124">
        <v>555</v>
      </c>
      <c r="Z152" s="124">
        <v>12</v>
      </c>
      <c r="AA152" s="124"/>
      <c r="AB152" s="124"/>
      <c r="AC152" s="124"/>
      <c r="AD152" s="124"/>
      <c r="AE152" s="126" t="inlineStr">
        <is>
          <t xml:space="preserve">Cross</t>
        </is>
      </c>
    </row>
    <row r="153">
      <c r="A153" s="122">
        <v>46254</v>
      </c>
      <c r="B153" s="123" t="inlineStr">
        <is>
          <t xml:space="preserve">VEDACIT</t>
        </is>
      </c>
      <c r="C153" s="124">
        <v>3</v>
      </c>
      <c r="D153" s="124">
        <v>126</v>
      </c>
      <c r="E153" s="125"/>
      <c r="F153" s="124"/>
      <c r="G153" s="124"/>
      <c r="H153" s="124"/>
      <c r="I153" s="124"/>
      <c r="J153" s="124"/>
      <c r="K153" s="124"/>
      <c r="L153" s="124">
        <v>3</v>
      </c>
      <c r="M153" s="124">
        <v>34</v>
      </c>
      <c r="N153" s="125"/>
      <c r="O153" s="124"/>
      <c r="P153" s="124"/>
      <c r="Q153" s="124"/>
      <c r="R153" s="124"/>
      <c r="S153" s="124"/>
      <c r="T153" s="124"/>
      <c r="U153" s="124">
        <v>0</v>
      </c>
      <c r="V153" s="124">
        <v>0</v>
      </c>
      <c r="W153" s="124"/>
      <c r="X153" s="124">
        <v>1400</v>
      </c>
      <c r="Y153" s="124">
        <v>1130</v>
      </c>
      <c r="Z153" s="124">
        <v>4</v>
      </c>
      <c r="AA153" s="124"/>
      <c r="AB153" s="124"/>
      <c r="AC153" s="124"/>
      <c r="AD153" s="124"/>
      <c r="AE153" s="126" t="inlineStr">
        <is>
          <t xml:space="preserve">Contrato</t>
        </is>
      </c>
    </row>
    <row r="154">
      <c r="A154" s="122">
        <v>46254</v>
      </c>
      <c r="B154" s="123" t="inlineStr">
        <is>
          <t xml:space="preserve">OMNLIFE</t>
        </is>
      </c>
      <c r="C154" s="124">
        <v>3</v>
      </c>
      <c r="D154" s="124">
        <v>58</v>
      </c>
      <c r="E154" s="125"/>
      <c r="F154" s="124"/>
      <c r="G154" s="124"/>
      <c r="H154" s="124"/>
      <c r="I154" s="124"/>
      <c r="J154" s="124"/>
      <c r="K154" s="124"/>
      <c r="L154" s="124">
        <v>2</v>
      </c>
      <c r="M154" s="124">
        <v>108</v>
      </c>
      <c r="N154" s="125"/>
      <c r="O154" s="124"/>
      <c r="P154" s="124"/>
      <c r="Q154" s="124"/>
      <c r="R154" s="124"/>
      <c r="S154" s="124"/>
      <c r="T154" s="124"/>
      <c r="U154" s="124">
        <v>0</v>
      </c>
      <c r="V154" s="124">
        <v>0</v>
      </c>
      <c r="W154" s="124">
        <v>6</v>
      </c>
      <c r="X154" s="124">
        <v>500</v>
      </c>
      <c r="Y154" s="124">
        <v>369</v>
      </c>
      <c r="Z154" s="124">
        <v>10</v>
      </c>
      <c r="AA154" s="124">
        <v>1</v>
      </c>
      <c r="AB154" s="124"/>
      <c r="AC154" s="124"/>
      <c r="AD154" s="124"/>
      <c r="AE154" s="126" t="inlineStr">
        <is>
          <t xml:space="preserve">Spot</t>
        </is>
      </c>
    </row>
    <row r="155">
      <c r="A155" s="122">
        <v>46254</v>
      </c>
      <c r="B155" s="123" t="inlineStr">
        <is>
          <t xml:space="preserve">ALPARGATAS</t>
        </is>
      </c>
      <c r="C155" s="124">
        <v>2</v>
      </c>
      <c r="D155" s="124"/>
      <c r="E155" s="125"/>
      <c r="F155" s="124">
        <v>420</v>
      </c>
      <c r="G155" s="124"/>
      <c r="H155" s="124"/>
      <c r="I155" s="124"/>
      <c r="J155" s="124"/>
      <c r="K155" s="124"/>
      <c r="L155" s="124">
        <v>4</v>
      </c>
      <c r="M155" s="124"/>
      <c r="N155" s="125"/>
      <c r="O155" s="124">
        <v>812</v>
      </c>
      <c r="P155" s="124"/>
      <c r="Q155" s="124"/>
      <c r="R155" s="124"/>
      <c r="S155" s="124"/>
      <c r="T155" s="124"/>
      <c r="U155" s="124">
        <v>0</v>
      </c>
      <c r="V155" s="124">
        <v>0</v>
      </c>
      <c r="W155" s="124">
        <v>0</v>
      </c>
      <c r="X155" s="124">
        <v>1800</v>
      </c>
      <c r="Y155" s="124">
        <v>1669</v>
      </c>
      <c r="Z155" s="124">
        <v>11</v>
      </c>
      <c r="AA155" s="124"/>
      <c r="AB155" s="124"/>
      <c r="AC155" s="124"/>
      <c r="AD155" s="124"/>
      <c r="AE155" s="126" t="inlineStr">
        <is>
          <t xml:space="preserve">Contrato</t>
        </is>
      </c>
    </row>
    <row r="156">
      <c r="A156" s="122">
        <v>46255</v>
      </c>
      <c r="B156" s="123" t="inlineStr">
        <is>
          <t xml:space="preserve">BASF</t>
        </is>
      </c>
      <c r="C156" s="124">
        <v>8</v>
      </c>
      <c r="D156" s="124">
        <v>54</v>
      </c>
      <c r="E156" s="125">
        <v>63.72</v>
      </c>
      <c r="F156" s="124"/>
      <c r="G156" s="124"/>
      <c r="H156" s="124"/>
      <c r="I156" s="124"/>
      <c r="J156" s="124"/>
      <c r="K156" s="124"/>
      <c r="L156" s="124">
        <v>9</v>
      </c>
      <c r="M156" s="124">
        <v>50</v>
      </c>
      <c r="N156" s="125">
        <v>53.64</v>
      </c>
      <c r="O156" s="124"/>
      <c r="P156" s="124"/>
      <c r="Q156" s="124"/>
      <c r="R156" s="124"/>
      <c r="S156" s="124"/>
      <c r="T156" s="124"/>
      <c r="U156" s="124">
        <v>0</v>
      </c>
      <c r="V156" s="124">
        <v>0</v>
      </c>
      <c r="W156" s="124"/>
      <c r="X156" s="124">
        <v>2200</v>
      </c>
      <c r="Y156" s="124">
        <v>1434</v>
      </c>
      <c r="Z156" s="124">
        <v>6</v>
      </c>
      <c r="AA156" s="124"/>
      <c r="AB156" s="124"/>
      <c r="AC156" s="124">
        <v>1</v>
      </c>
      <c r="AD156" s="124"/>
      <c r="AE156" s="126" t="inlineStr">
        <is>
          <t xml:space="preserve">Contrato</t>
        </is>
      </c>
    </row>
    <row r="157">
      <c r="A157" s="122">
        <v>46255</v>
      </c>
      <c r="B157" s="123" t="inlineStr">
        <is>
          <t xml:space="preserve">BEAUTYBIZ</t>
        </is>
      </c>
      <c r="C157" s="124">
        <v>4</v>
      </c>
      <c r="D157" s="124">
        <v>70</v>
      </c>
      <c r="E157" s="125"/>
      <c r="F157" s="124">
        <v>1037</v>
      </c>
      <c r="G157" s="124"/>
      <c r="H157" s="124"/>
      <c r="I157" s="124"/>
      <c r="J157" s="124"/>
      <c r="K157" s="124"/>
      <c r="L157" s="124">
        <v>10</v>
      </c>
      <c r="M157" s="124">
        <v>67</v>
      </c>
      <c r="N157" s="125"/>
      <c r="O157" s="124"/>
      <c r="P157" s="124">
        <v>483</v>
      </c>
      <c r="Q157" s="124"/>
      <c r="R157" s="124"/>
      <c r="S157" s="124"/>
      <c r="T157" s="124"/>
      <c r="U157" s="124">
        <v>0</v>
      </c>
      <c r="V157" s="124">
        <v>0</v>
      </c>
      <c r="W157" s="124"/>
      <c r="X157" s="124">
        <v>1200</v>
      </c>
      <c r="Y157" s="124">
        <v>939</v>
      </c>
      <c r="Z157" s="124">
        <v>10</v>
      </c>
      <c r="AA157" s="124"/>
      <c r="AB157" s="124"/>
      <c r="AC157" s="124"/>
      <c r="AD157" s="124"/>
      <c r="AE157" s="126" t="inlineStr">
        <is>
          <t xml:space="preserve">Contrato</t>
        </is>
      </c>
    </row>
    <row r="158">
      <c r="A158" s="122">
        <v>46255</v>
      </c>
      <c r="B158" s="123" t="inlineStr">
        <is>
          <t xml:space="preserve">BOTICÁRIO</t>
        </is>
      </c>
      <c r="C158" s="124">
        <v>6</v>
      </c>
      <c r="D158" s="124"/>
      <c r="E158" s="125"/>
      <c r="F158" s="124"/>
      <c r="G158" s="124">
        <v>2575</v>
      </c>
      <c r="H158" s="124">
        <v>113</v>
      </c>
      <c r="I158" s="124">
        <v>664</v>
      </c>
      <c r="J158" s="124"/>
      <c r="K158" s="124"/>
      <c r="L158" s="124">
        <v>2</v>
      </c>
      <c r="M158" s="124">
        <v>37</v>
      </c>
      <c r="N158" s="125"/>
      <c r="O158" s="124"/>
      <c r="P158" s="124"/>
      <c r="Q158" s="124">
        <v>433</v>
      </c>
      <c r="R158" s="124">
        <v>7762</v>
      </c>
      <c r="S158" s="124"/>
      <c r="T158" s="124"/>
      <c r="U158" s="124">
        <v>0</v>
      </c>
      <c r="V158" s="124">
        <v>0</v>
      </c>
      <c r="W158" s="124"/>
      <c r="X158" s="124">
        <v>3500</v>
      </c>
      <c r="Y158" s="124">
        <v>2159</v>
      </c>
      <c r="Z158" s="124">
        <v>9</v>
      </c>
      <c r="AA158" s="124"/>
      <c r="AB158" s="124"/>
      <c r="AC158" s="124"/>
      <c r="AD158" s="124"/>
      <c r="AE158" s="126" t="inlineStr">
        <is>
          <t xml:space="preserve">Contrato</t>
        </is>
      </c>
    </row>
    <row r="159">
      <c r="A159" s="122">
        <v>46255</v>
      </c>
      <c r="B159" s="123" t="inlineStr">
        <is>
          <t xml:space="preserve">SUPPLY</t>
        </is>
      </c>
      <c r="C159" s="124">
        <v>4</v>
      </c>
      <c r="D159" s="124">
        <v>86</v>
      </c>
      <c r="E159" s="125">
        <v>40.56</v>
      </c>
      <c r="F159" s="124"/>
      <c r="G159" s="124"/>
      <c r="H159" s="124"/>
      <c r="I159" s="124"/>
      <c r="J159" s="124"/>
      <c r="K159" s="124"/>
      <c r="L159" s="124">
        <v>10</v>
      </c>
      <c r="M159" s="124">
        <v>114</v>
      </c>
      <c r="N159" s="125">
        <v>132.76</v>
      </c>
      <c r="O159" s="124"/>
      <c r="P159" s="124"/>
      <c r="Q159" s="124"/>
      <c r="R159" s="124"/>
      <c r="S159" s="124"/>
      <c r="T159" s="124"/>
      <c r="U159" s="124">
        <v>0</v>
      </c>
      <c r="V159" s="124">
        <v>0</v>
      </c>
      <c r="W159" s="124"/>
      <c r="X159" s="124">
        <v>1600</v>
      </c>
      <c r="Y159" s="124">
        <v>1545</v>
      </c>
      <c r="Z159" s="124">
        <v>12</v>
      </c>
      <c r="AA159" s="124"/>
      <c r="AB159" s="124"/>
      <c r="AC159" s="124"/>
      <c r="AD159" s="124"/>
      <c r="AE159" s="126" t="inlineStr">
        <is>
          <t xml:space="preserve">Spot</t>
        </is>
      </c>
    </row>
    <row r="160">
      <c r="A160" s="122">
        <v>46255</v>
      </c>
      <c r="B160" s="123" t="inlineStr">
        <is>
          <t xml:space="preserve">GE VERNOVA</t>
        </is>
      </c>
      <c r="C160" s="124">
        <v>2</v>
      </c>
      <c r="D160" s="124">
        <v>91</v>
      </c>
      <c r="E160" s="125"/>
      <c r="F160" s="124"/>
      <c r="G160" s="124"/>
      <c r="H160" s="124"/>
      <c r="I160" s="124"/>
      <c r="J160" s="124">
        <v>348</v>
      </c>
      <c r="K160" s="124">
        <v>39</v>
      </c>
      <c r="L160" s="124">
        <v>9</v>
      </c>
      <c r="M160" s="124">
        <v>73</v>
      </c>
      <c r="N160" s="125"/>
      <c r="O160" s="124"/>
      <c r="P160" s="124"/>
      <c r="Q160" s="124"/>
      <c r="R160" s="124"/>
      <c r="S160" s="124">
        <v>411</v>
      </c>
      <c r="T160" s="124">
        <v>72</v>
      </c>
      <c r="U160" s="124">
        <v>0</v>
      </c>
      <c r="V160" s="124">
        <v>0</v>
      </c>
      <c r="W160" s="124">
        <v>5</v>
      </c>
      <c r="X160" s="124">
        <v>900</v>
      </c>
      <c r="Y160" s="124">
        <v>788</v>
      </c>
      <c r="Z160" s="124">
        <v>7</v>
      </c>
      <c r="AA160" s="124"/>
      <c r="AB160" s="124"/>
      <c r="AC160" s="124"/>
      <c r="AD160" s="124"/>
      <c r="AE160" s="126" t="inlineStr">
        <is>
          <t xml:space="preserve">Contrato</t>
        </is>
      </c>
    </row>
    <row r="161">
      <c r="A161" s="122">
        <v>46255</v>
      </c>
      <c r="B161" s="123" t="inlineStr">
        <is>
          <t xml:space="preserve">VESTAS</t>
        </is>
      </c>
      <c r="C161" s="124">
        <v>4</v>
      </c>
      <c r="D161" s="124"/>
      <c r="E161" s="125"/>
      <c r="F161" s="124"/>
      <c r="G161" s="124"/>
      <c r="H161" s="124"/>
      <c r="I161" s="124"/>
      <c r="J161" s="124"/>
      <c r="K161" s="124">
        <v>65</v>
      </c>
      <c r="L161" s="124">
        <v>4</v>
      </c>
      <c r="M161" s="124"/>
      <c r="N161" s="125"/>
      <c r="O161" s="124"/>
      <c r="P161" s="124"/>
      <c r="Q161" s="124"/>
      <c r="R161" s="124"/>
      <c r="S161" s="124"/>
      <c r="T161" s="124">
        <v>17</v>
      </c>
      <c r="U161" s="124">
        <v>0</v>
      </c>
      <c r="V161" s="124">
        <v>0</v>
      </c>
      <c r="W161" s="124">
        <v>12</v>
      </c>
      <c r="X161" s="124">
        <v>600</v>
      </c>
      <c r="Y161" s="124">
        <v>401</v>
      </c>
      <c r="Z161" s="124">
        <v>10</v>
      </c>
      <c r="AA161" s="124"/>
      <c r="AB161" s="124"/>
      <c r="AC161" s="124"/>
      <c r="AD161" s="124"/>
      <c r="AE161" s="126" t="inlineStr">
        <is>
          <t xml:space="preserve">Cross</t>
        </is>
      </c>
    </row>
    <row r="162">
      <c r="A162" s="122">
        <v>46255</v>
      </c>
      <c r="B162" s="123" t="inlineStr">
        <is>
          <t xml:space="preserve">VEDACIT</t>
        </is>
      </c>
      <c r="C162" s="124">
        <v>8</v>
      </c>
      <c r="D162" s="124">
        <v>151</v>
      </c>
      <c r="E162" s="125"/>
      <c r="F162" s="124"/>
      <c r="G162" s="124"/>
      <c r="H162" s="124"/>
      <c r="I162" s="124"/>
      <c r="J162" s="124"/>
      <c r="K162" s="124"/>
      <c r="L162" s="124">
        <v>3</v>
      </c>
      <c r="M162" s="124">
        <v>71</v>
      </c>
      <c r="N162" s="125"/>
      <c r="O162" s="124"/>
      <c r="P162" s="124"/>
      <c r="Q162" s="124"/>
      <c r="R162" s="124"/>
      <c r="S162" s="124"/>
      <c r="T162" s="124"/>
      <c r="U162" s="124">
        <v>0</v>
      </c>
      <c r="V162" s="124">
        <v>0</v>
      </c>
      <c r="W162" s="124"/>
      <c r="X162" s="124">
        <v>1400</v>
      </c>
      <c r="Y162" s="124">
        <v>784</v>
      </c>
      <c r="Z162" s="124">
        <v>11</v>
      </c>
      <c r="AA162" s="124"/>
      <c r="AB162" s="124"/>
      <c r="AC162" s="124"/>
      <c r="AD162" s="124"/>
      <c r="AE162" s="126" t="inlineStr">
        <is>
          <t xml:space="preserve">Contrato</t>
        </is>
      </c>
    </row>
    <row r="163">
      <c r="A163" s="122">
        <v>46255</v>
      </c>
      <c r="B163" s="123" t="inlineStr">
        <is>
          <t xml:space="preserve">OMNLIFE</t>
        </is>
      </c>
      <c r="C163" s="124">
        <v>3</v>
      </c>
      <c r="D163" s="124">
        <v>36</v>
      </c>
      <c r="E163" s="125"/>
      <c r="F163" s="124"/>
      <c r="G163" s="124"/>
      <c r="H163" s="124"/>
      <c r="I163" s="124"/>
      <c r="J163" s="124"/>
      <c r="K163" s="124"/>
      <c r="L163" s="124">
        <v>11</v>
      </c>
      <c r="M163" s="124">
        <v>122</v>
      </c>
      <c r="N163" s="125"/>
      <c r="O163" s="124"/>
      <c r="P163" s="124"/>
      <c r="Q163" s="124"/>
      <c r="R163" s="124"/>
      <c r="S163" s="124"/>
      <c r="T163" s="124"/>
      <c r="U163" s="124">
        <v>0</v>
      </c>
      <c r="V163" s="124">
        <v>1</v>
      </c>
      <c r="W163" s="124">
        <v>5</v>
      </c>
      <c r="X163" s="124">
        <v>500</v>
      </c>
      <c r="Y163" s="124">
        <v>365</v>
      </c>
      <c r="Z163" s="124">
        <v>8</v>
      </c>
      <c r="AA163" s="124"/>
      <c r="AB163" s="124"/>
      <c r="AC163" s="124"/>
      <c r="AD163" s="124"/>
      <c r="AE163" s="126" t="inlineStr">
        <is>
          <t xml:space="preserve">Spot</t>
        </is>
      </c>
    </row>
    <row r="164">
      <c r="A164" s="122">
        <v>46255</v>
      </c>
      <c r="B164" s="123" t="inlineStr">
        <is>
          <t xml:space="preserve">ALPARGATAS</t>
        </is>
      </c>
      <c r="C164" s="124">
        <v>8</v>
      </c>
      <c r="D164" s="124"/>
      <c r="E164" s="125"/>
      <c r="F164" s="124">
        <v>1542</v>
      </c>
      <c r="G164" s="124"/>
      <c r="H164" s="124"/>
      <c r="I164" s="124"/>
      <c r="J164" s="124"/>
      <c r="K164" s="124"/>
      <c r="L164" s="124">
        <v>4</v>
      </c>
      <c r="M164" s="124"/>
      <c r="N164" s="125"/>
      <c r="O164" s="124">
        <v>1445</v>
      </c>
      <c r="P164" s="124"/>
      <c r="Q164" s="124"/>
      <c r="R164" s="124"/>
      <c r="S164" s="124"/>
      <c r="T164" s="124"/>
      <c r="U164" s="124">
        <v>0</v>
      </c>
      <c r="V164" s="124">
        <v>0</v>
      </c>
      <c r="W164" s="124"/>
      <c r="X164" s="124">
        <v>1800</v>
      </c>
      <c r="Y164" s="124">
        <v>1424</v>
      </c>
      <c r="Z164" s="124">
        <v>4</v>
      </c>
      <c r="AA164" s="124">
        <v>1</v>
      </c>
      <c r="AB164" s="124"/>
      <c r="AC164" s="124"/>
      <c r="AD164" s="124"/>
      <c r="AE164" s="126" t="inlineStr">
        <is>
          <t xml:space="preserve">Contrato</t>
        </is>
      </c>
    </row>
    <row r="165">
      <c r="A165" s="122">
        <v>46256</v>
      </c>
      <c r="B165" s="123" t="inlineStr">
        <is>
          <t xml:space="preserve">BASF</t>
        </is>
      </c>
      <c r="C165" s="124">
        <v>8</v>
      </c>
      <c r="D165" s="124">
        <v>101</v>
      </c>
      <c r="E165" s="125">
        <v>102.0</v>
      </c>
      <c r="F165" s="124"/>
      <c r="G165" s="124"/>
      <c r="H165" s="124"/>
      <c r="I165" s="124"/>
      <c r="J165" s="124"/>
      <c r="K165" s="124"/>
      <c r="L165" s="124">
        <v>11</v>
      </c>
      <c r="M165" s="124">
        <v>115</v>
      </c>
      <c r="N165" s="125">
        <v>19.64</v>
      </c>
      <c r="O165" s="124"/>
      <c r="P165" s="124"/>
      <c r="Q165" s="124"/>
      <c r="R165" s="124"/>
      <c r="S165" s="124"/>
      <c r="T165" s="124"/>
      <c r="U165" s="124">
        <v>0</v>
      </c>
      <c r="V165" s="124">
        <v>0</v>
      </c>
      <c r="W165" s="124"/>
      <c r="X165" s="124">
        <v>2200</v>
      </c>
      <c r="Y165" s="124">
        <v>2054</v>
      </c>
      <c r="Z165" s="124">
        <v>10</v>
      </c>
      <c r="AA165" s="124"/>
      <c r="AB165" s="124"/>
      <c r="AC165" s="124"/>
      <c r="AD165" s="124"/>
      <c r="AE165" s="126" t="inlineStr">
        <is>
          <t xml:space="preserve">Contrato</t>
        </is>
      </c>
    </row>
    <row r="166">
      <c r="A166" s="122">
        <v>46256</v>
      </c>
      <c r="B166" s="123" t="inlineStr">
        <is>
          <t xml:space="preserve">BEAUTYBIZ</t>
        </is>
      </c>
      <c r="C166" s="124">
        <v>3</v>
      </c>
      <c r="D166" s="124">
        <v>32</v>
      </c>
      <c r="E166" s="125"/>
      <c r="F166" s="124">
        <v>2381</v>
      </c>
      <c r="G166" s="124"/>
      <c r="H166" s="124"/>
      <c r="I166" s="124"/>
      <c r="J166" s="124"/>
      <c r="K166" s="124"/>
      <c r="L166" s="124">
        <v>6</v>
      </c>
      <c r="M166" s="124">
        <v>150</v>
      </c>
      <c r="N166" s="125"/>
      <c r="O166" s="124"/>
      <c r="P166" s="124">
        <v>508</v>
      </c>
      <c r="Q166" s="124"/>
      <c r="R166" s="124"/>
      <c r="S166" s="124"/>
      <c r="T166" s="124"/>
      <c r="U166" s="124">
        <v>0</v>
      </c>
      <c r="V166" s="124">
        <v>0</v>
      </c>
      <c r="W166" s="124"/>
      <c r="X166" s="124">
        <v>1200</v>
      </c>
      <c r="Y166" s="124">
        <v>888</v>
      </c>
      <c r="Z166" s="124">
        <v>4</v>
      </c>
      <c r="AA166" s="124"/>
      <c r="AB166" s="124"/>
      <c r="AC166" s="124"/>
      <c r="AD166" s="124"/>
      <c r="AE166" s="126" t="inlineStr">
        <is>
          <t xml:space="preserve">Contrato</t>
        </is>
      </c>
    </row>
    <row r="167">
      <c r="A167" s="122">
        <v>46256</v>
      </c>
      <c r="B167" s="123" t="inlineStr">
        <is>
          <t xml:space="preserve">BOTICÁRIO</t>
        </is>
      </c>
      <c r="C167" s="124">
        <v>7</v>
      </c>
      <c r="D167" s="124"/>
      <c r="E167" s="125"/>
      <c r="F167" s="124"/>
      <c r="G167" s="124">
        <v>3345</v>
      </c>
      <c r="H167" s="124">
        <v>124</v>
      </c>
      <c r="I167" s="124">
        <v>861</v>
      </c>
      <c r="J167" s="124"/>
      <c r="K167" s="124"/>
      <c r="L167" s="124">
        <v>10</v>
      </c>
      <c r="M167" s="124">
        <v>42</v>
      </c>
      <c r="N167" s="125"/>
      <c r="O167" s="124"/>
      <c r="P167" s="124"/>
      <c r="Q167" s="124">
        <v>737</v>
      </c>
      <c r="R167" s="124">
        <v>2808</v>
      </c>
      <c r="S167" s="124"/>
      <c r="T167" s="124"/>
      <c r="U167" s="124">
        <v>0</v>
      </c>
      <c r="V167" s="124">
        <v>0</v>
      </c>
      <c r="W167" s="124">
        <v>1</v>
      </c>
      <c r="X167" s="124">
        <v>3500</v>
      </c>
      <c r="Y167" s="124">
        <v>2172</v>
      </c>
      <c r="Z167" s="124">
        <v>9</v>
      </c>
      <c r="AA167" s="124"/>
      <c r="AB167" s="124"/>
      <c r="AC167" s="124"/>
      <c r="AD167" s="124"/>
      <c r="AE167" s="126" t="inlineStr">
        <is>
          <t xml:space="preserve">Contrato</t>
        </is>
      </c>
    </row>
    <row r="168">
      <c r="A168" s="122">
        <v>46256</v>
      </c>
      <c r="B168" s="123" t="inlineStr">
        <is>
          <t xml:space="preserve">SUPPLY</t>
        </is>
      </c>
      <c r="C168" s="124">
        <v>6</v>
      </c>
      <c r="D168" s="124">
        <v>113</v>
      </c>
      <c r="E168" s="125">
        <v>44.73</v>
      </c>
      <c r="F168" s="124"/>
      <c r="G168" s="124"/>
      <c r="H168" s="124"/>
      <c r="I168" s="124"/>
      <c r="J168" s="124"/>
      <c r="K168" s="124"/>
      <c r="L168" s="124">
        <v>4</v>
      </c>
      <c r="M168" s="124">
        <v>92</v>
      </c>
      <c r="N168" s="125">
        <v>70.63</v>
      </c>
      <c r="O168" s="124"/>
      <c r="P168" s="124"/>
      <c r="Q168" s="124"/>
      <c r="R168" s="124"/>
      <c r="S168" s="124"/>
      <c r="T168" s="124"/>
      <c r="U168" s="124">
        <v>0</v>
      </c>
      <c r="V168" s="124">
        <v>0</v>
      </c>
      <c r="W168" s="124">
        <v>4</v>
      </c>
      <c r="X168" s="124">
        <v>1600</v>
      </c>
      <c r="Y168" s="124">
        <v>1274</v>
      </c>
      <c r="Z168" s="124">
        <v>7</v>
      </c>
      <c r="AA168" s="124"/>
      <c r="AB168" s="124"/>
      <c r="AC168" s="124"/>
      <c r="AD168" s="124"/>
      <c r="AE168" s="126" t="inlineStr">
        <is>
          <t xml:space="preserve">Spot</t>
        </is>
      </c>
    </row>
    <row r="169">
      <c r="A169" s="122">
        <v>46256</v>
      </c>
      <c r="B169" s="123" t="inlineStr">
        <is>
          <t xml:space="preserve">GE VERNOVA</t>
        </is>
      </c>
      <c r="C169" s="124">
        <v>3</v>
      </c>
      <c r="D169" s="124">
        <v>113</v>
      </c>
      <c r="E169" s="125"/>
      <c r="F169" s="124"/>
      <c r="G169" s="124"/>
      <c r="H169" s="124"/>
      <c r="I169" s="124"/>
      <c r="J169" s="124">
        <v>379</v>
      </c>
      <c r="K169" s="124">
        <v>60</v>
      </c>
      <c r="L169" s="124">
        <v>9</v>
      </c>
      <c r="M169" s="124">
        <v>136</v>
      </c>
      <c r="N169" s="125"/>
      <c r="O169" s="124"/>
      <c r="P169" s="124"/>
      <c r="Q169" s="124"/>
      <c r="R169" s="124"/>
      <c r="S169" s="124">
        <v>112</v>
      </c>
      <c r="T169" s="124">
        <v>41</v>
      </c>
      <c r="U169" s="124">
        <v>0</v>
      </c>
      <c r="V169" s="124">
        <v>0</v>
      </c>
      <c r="W169" s="124">
        <v>8</v>
      </c>
      <c r="X169" s="124">
        <v>900</v>
      </c>
      <c r="Y169" s="124">
        <v>609</v>
      </c>
      <c r="Z169" s="124">
        <v>5</v>
      </c>
      <c r="AA169" s="124"/>
      <c r="AB169" s="124"/>
      <c r="AC169" s="124"/>
      <c r="AD169" s="124"/>
      <c r="AE169" s="126" t="inlineStr">
        <is>
          <t xml:space="preserve">Contrato</t>
        </is>
      </c>
    </row>
    <row r="170">
      <c r="A170" s="122">
        <v>46256</v>
      </c>
      <c r="B170" s="123" t="inlineStr">
        <is>
          <t xml:space="preserve">VESTAS</t>
        </is>
      </c>
      <c r="C170" s="124">
        <v>5</v>
      </c>
      <c r="D170" s="124"/>
      <c r="E170" s="125"/>
      <c r="F170" s="124"/>
      <c r="G170" s="124"/>
      <c r="H170" s="124"/>
      <c r="I170" s="124"/>
      <c r="J170" s="124"/>
      <c r="K170" s="124">
        <v>49</v>
      </c>
      <c r="L170" s="124">
        <v>3</v>
      </c>
      <c r="M170" s="124"/>
      <c r="N170" s="125"/>
      <c r="O170" s="124"/>
      <c r="P170" s="124"/>
      <c r="Q170" s="124"/>
      <c r="R170" s="124"/>
      <c r="S170" s="124"/>
      <c r="T170" s="124">
        <v>17</v>
      </c>
      <c r="U170" s="124">
        <v>1</v>
      </c>
      <c r="V170" s="124">
        <v>0</v>
      </c>
      <c r="W170" s="124"/>
      <c r="X170" s="124">
        <v>600</v>
      </c>
      <c r="Y170" s="124">
        <v>351</v>
      </c>
      <c r="Z170" s="124">
        <v>9</v>
      </c>
      <c r="AA170" s="124"/>
      <c r="AB170" s="124"/>
      <c r="AC170" s="124"/>
      <c r="AD170" s="124"/>
      <c r="AE170" s="126" t="inlineStr">
        <is>
          <t xml:space="preserve">Cross</t>
        </is>
      </c>
    </row>
    <row r="171">
      <c r="A171" s="122">
        <v>46256</v>
      </c>
      <c r="B171" s="123" t="inlineStr">
        <is>
          <t xml:space="preserve">VEDACIT</t>
        </is>
      </c>
      <c r="C171" s="124">
        <v>5</v>
      </c>
      <c r="D171" s="124">
        <v>46</v>
      </c>
      <c r="E171" s="125"/>
      <c r="F171" s="124"/>
      <c r="G171" s="124"/>
      <c r="H171" s="124"/>
      <c r="I171" s="124"/>
      <c r="J171" s="124"/>
      <c r="K171" s="124"/>
      <c r="L171" s="124">
        <v>7</v>
      </c>
      <c r="M171" s="124">
        <v>21</v>
      </c>
      <c r="N171" s="125"/>
      <c r="O171" s="124"/>
      <c r="P171" s="124"/>
      <c r="Q171" s="124"/>
      <c r="R171" s="124"/>
      <c r="S171" s="124"/>
      <c r="T171" s="124"/>
      <c r="U171" s="124">
        <v>0</v>
      </c>
      <c r="V171" s="124">
        <v>0</v>
      </c>
      <c r="W171" s="124"/>
      <c r="X171" s="124">
        <v>1400</v>
      </c>
      <c r="Y171" s="124">
        <v>1319</v>
      </c>
      <c r="Z171" s="124">
        <v>14</v>
      </c>
      <c r="AA171" s="124"/>
      <c r="AB171" s="124"/>
      <c r="AC171" s="124"/>
      <c r="AD171" s="124"/>
      <c r="AE171" s="126" t="inlineStr">
        <is>
          <t xml:space="preserve">Contrato</t>
        </is>
      </c>
    </row>
    <row r="172">
      <c r="A172" s="122">
        <v>46256</v>
      </c>
      <c r="B172" s="123" t="inlineStr">
        <is>
          <t xml:space="preserve">OMNLIFE</t>
        </is>
      </c>
      <c r="C172" s="124">
        <v>2</v>
      </c>
      <c r="D172" s="124">
        <v>75</v>
      </c>
      <c r="E172" s="125"/>
      <c r="F172" s="124"/>
      <c r="G172" s="124"/>
      <c r="H172" s="124"/>
      <c r="I172" s="124"/>
      <c r="J172" s="124"/>
      <c r="K172" s="124"/>
      <c r="L172" s="124">
        <v>3</v>
      </c>
      <c r="M172" s="124">
        <v>71</v>
      </c>
      <c r="N172" s="125"/>
      <c r="O172" s="124"/>
      <c r="P172" s="124"/>
      <c r="Q172" s="124"/>
      <c r="R172" s="124"/>
      <c r="S172" s="124"/>
      <c r="T172" s="124"/>
      <c r="U172" s="124">
        <v>0</v>
      </c>
      <c r="V172" s="124">
        <v>0</v>
      </c>
      <c r="W172" s="124"/>
      <c r="X172" s="124">
        <v>500</v>
      </c>
      <c r="Y172" s="124">
        <v>418</v>
      </c>
      <c r="Z172" s="124">
        <v>5</v>
      </c>
      <c r="AA172" s="124"/>
      <c r="AB172" s="124"/>
      <c r="AC172" s="124"/>
      <c r="AD172" s="124"/>
      <c r="AE172" s="126" t="inlineStr">
        <is>
          <t xml:space="preserve">Spot</t>
        </is>
      </c>
    </row>
    <row r="173">
      <c r="A173" s="122">
        <v>46256</v>
      </c>
      <c r="B173" s="123" t="inlineStr">
        <is>
          <t xml:space="preserve">ALPARGATAS</t>
        </is>
      </c>
      <c r="C173" s="124">
        <v>3</v>
      </c>
      <c r="D173" s="124"/>
      <c r="E173" s="125"/>
      <c r="F173" s="124">
        <v>2115</v>
      </c>
      <c r="G173" s="124"/>
      <c r="H173" s="124"/>
      <c r="I173" s="124"/>
      <c r="J173" s="124"/>
      <c r="K173" s="124"/>
      <c r="L173" s="124">
        <v>5</v>
      </c>
      <c r="M173" s="124"/>
      <c r="N173" s="125"/>
      <c r="O173" s="124">
        <v>1147</v>
      </c>
      <c r="P173" s="124"/>
      <c r="Q173" s="124"/>
      <c r="R173" s="124"/>
      <c r="S173" s="124"/>
      <c r="T173" s="124"/>
      <c r="U173" s="124">
        <v>0</v>
      </c>
      <c r="V173" s="124">
        <v>0</v>
      </c>
      <c r="W173" s="124"/>
      <c r="X173" s="124">
        <v>1800</v>
      </c>
      <c r="Y173" s="124">
        <v>1170</v>
      </c>
      <c r="Z173" s="124">
        <v>4</v>
      </c>
      <c r="AA173" s="124">
        <v>1</v>
      </c>
      <c r="AB173" s="124"/>
      <c r="AC173" s="124"/>
      <c r="AD173" s="124"/>
      <c r="AE173" s="126" t="inlineStr">
        <is>
          <t xml:space="preserve">Contrato</t>
        </is>
      </c>
    </row>
    <row r="174">
      <c r="A174" s="122">
        <v>46258</v>
      </c>
      <c r="B174" s="123" t="inlineStr">
        <is>
          <t xml:space="preserve">BASF</t>
        </is>
      </c>
      <c r="C174" s="124">
        <v>4</v>
      </c>
      <c r="D174" s="124">
        <v>27</v>
      </c>
      <c r="E174" s="125">
        <v>42.06</v>
      </c>
      <c r="F174" s="124"/>
      <c r="G174" s="124"/>
      <c r="H174" s="124"/>
      <c r="I174" s="124"/>
      <c r="J174" s="124"/>
      <c r="K174" s="124"/>
      <c r="L174" s="124">
        <v>6</v>
      </c>
      <c r="M174" s="124">
        <v>122</v>
      </c>
      <c r="N174" s="125">
        <v>139.45</v>
      </c>
      <c r="O174" s="124"/>
      <c r="P174" s="124"/>
      <c r="Q174" s="124"/>
      <c r="R174" s="124"/>
      <c r="S174" s="124"/>
      <c r="T174" s="124"/>
      <c r="U174" s="124">
        <v>0</v>
      </c>
      <c r="V174" s="124">
        <v>0</v>
      </c>
      <c r="W174" s="124">
        <v>7</v>
      </c>
      <c r="X174" s="124">
        <v>2200</v>
      </c>
      <c r="Y174" s="124">
        <v>1361</v>
      </c>
      <c r="Z174" s="124">
        <v>11</v>
      </c>
      <c r="AA174" s="124"/>
      <c r="AB174" s="124"/>
      <c r="AC174" s="124"/>
      <c r="AD174" s="124"/>
      <c r="AE174" s="126" t="inlineStr">
        <is>
          <t xml:space="preserve">Contrato</t>
        </is>
      </c>
    </row>
    <row r="175">
      <c r="A175" s="122">
        <v>46258</v>
      </c>
      <c r="B175" s="123" t="inlineStr">
        <is>
          <t xml:space="preserve">BEAUTYBIZ</t>
        </is>
      </c>
      <c r="C175" s="124">
        <v>5</v>
      </c>
      <c r="D175" s="124">
        <v>50</v>
      </c>
      <c r="E175" s="125"/>
      <c r="F175" s="124">
        <v>1119</v>
      </c>
      <c r="G175" s="124"/>
      <c r="H175" s="124"/>
      <c r="I175" s="124"/>
      <c r="J175" s="124"/>
      <c r="K175" s="124"/>
      <c r="L175" s="124">
        <v>2</v>
      </c>
      <c r="M175" s="124">
        <v>105</v>
      </c>
      <c r="N175" s="125"/>
      <c r="O175" s="124"/>
      <c r="P175" s="124">
        <v>596</v>
      </c>
      <c r="Q175" s="124"/>
      <c r="R175" s="124"/>
      <c r="S175" s="124"/>
      <c r="T175" s="124"/>
      <c r="U175" s="124">
        <v>0</v>
      </c>
      <c r="V175" s="124">
        <v>0</v>
      </c>
      <c r="W175" s="124">
        <v>1</v>
      </c>
      <c r="X175" s="124">
        <v>1200</v>
      </c>
      <c r="Y175" s="124">
        <v>919</v>
      </c>
      <c r="Z175" s="124">
        <v>10</v>
      </c>
      <c r="AA175" s="124"/>
      <c r="AB175" s="124">
        <v>1</v>
      </c>
      <c r="AC175" s="124">
        <v>1</v>
      </c>
      <c r="AD175" s="124"/>
      <c r="AE175" s="126" t="inlineStr">
        <is>
          <t xml:space="preserve">Contrato</t>
        </is>
      </c>
    </row>
    <row r="176">
      <c r="A176" s="122">
        <v>46258</v>
      </c>
      <c r="B176" s="123" t="inlineStr">
        <is>
          <t xml:space="preserve">BOTICÁRIO</t>
        </is>
      </c>
      <c r="C176" s="124">
        <v>3</v>
      </c>
      <c r="D176" s="124"/>
      <c r="E176" s="125"/>
      <c r="F176" s="124"/>
      <c r="G176" s="124">
        <v>4568</v>
      </c>
      <c r="H176" s="124">
        <v>188</v>
      </c>
      <c r="I176" s="124">
        <v>103</v>
      </c>
      <c r="J176" s="124"/>
      <c r="K176" s="124"/>
      <c r="L176" s="124">
        <v>10</v>
      </c>
      <c r="M176" s="124">
        <v>85</v>
      </c>
      <c r="N176" s="125"/>
      <c r="O176" s="124"/>
      <c r="P176" s="124"/>
      <c r="Q176" s="124">
        <v>859</v>
      </c>
      <c r="R176" s="124">
        <v>5756</v>
      </c>
      <c r="S176" s="124"/>
      <c r="T176" s="124"/>
      <c r="U176" s="124">
        <v>0</v>
      </c>
      <c r="V176" s="124">
        <v>0</v>
      </c>
      <c r="W176" s="124"/>
      <c r="X176" s="124">
        <v>3500</v>
      </c>
      <c r="Y176" s="124">
        <v>2711</v>
      </c>
      <c r="Z176" s="124">
        <v>14</v>
      </c>
      <c r="AA176" s="124"/>
      <c r="AB176" s="124"/>
      <c r="AC176" s="124"/>
      <c r="AD176" s="124"/>
      <c r="AE176" s="126" t="inlineStr">
        <is>
          <t xml:space="preserve">Contrato</t>
        </is>
      </c>
    </row>
    <row r="177">
      <c r="A177" s="122">
        <v>46258</v>
      </c>
      <c r="B177" s="123" t="inlineStr">
        <is>
          <t xml:space="preserve">SUPPLY</t>
        </is>
      </c>
      <c r="C177" s="124">
        <v>7</v>
      </c>
      <c r="D177" s="124">
        <v>28</v>
      </c>
      <c r="E177" s="125">
        <v>99.56</v>
      </c>
      <c r="F177" s="124"/>
      <c r="G177" s="124"/>
      <c r="H177" s="124"/>
      <c r="I177" s="124"/>
      <c r="J177" s="124"/>
      <c r="K177" s="124"/>
      <c r="L177" s="124">
        <v>8</v>
      </c>
      <c r="M177" s="124">
        <v>61</v>
      </c>
      <c r="N177" s="125">
        <v>86.39</v>
      </c>
      <c r="O177" s="124"/>
      <c r="P177" s="124"/>
      <c r="Q177" s="124"/>
      <c r="R177" s="124"/>
      <c r="S177" s="124"/>
      <c r="T177" s="124"/>
      <c r="U177" s="124">
        <v>0</v>
      </c>
      <c r="V177" s="124">
        <v>0</v>
      </c>
      <c r="W177" s="124"/>
      <c r="X177" s="124">
        <v>1600</v>
      </c>
      <c r="Y177" s="124">
        <v>1081</v>
      </c>
      <c r="Z177" s="124">
        <v>9</v>
      </c>
      <c r="AA177" s="124"/>
      <c r="AB177" s="124"/>
      <c r="AC177" s="124"/>
      <c r="AD177" s="124"/>
      <c r="AE177" s="126" t="inlineStr">
        <is>
          <t xml:space="preserve">Spot</t>
        </is>
      </c>
    </row>
    <row r="178">
      <c r="A178" s="122">
        <v>46258</v>
      </c>
      <c r="B178" s="123" t="inlineStr">
        <is>
          <t xml:space="preserve">GE VERNOVA</t>
        </is>
      </c>
      <c r="C178" s="124">
        <v>7</v>
      </c>
      <c r="D178" s="124">
        <v>116</v>
      </c>
      <c r="E178" s="125"/>
      <c r="F178" s="124"/>
      <c r="G178" s="124"/>
      <c r="H178" s="124"/>
      <c r="I178" s="124"/>
      <c r="J178" s="124">
        <v>130</v>
      </c>
      <c r="K178" s="124">
        <v>73</v>
      </c>
      <c r="L178" s="124">
        <v>7</v>
      </c>
      <c r="M178" s="124">
        <v>152</v>
      </c>
      <c r="N178" s="125"/>
      <c r="O178" s="124"/>
      <c r="P178" s="124"/>
      <c r="Q178" s="124"/>
      <c r="R178" s="124"/>
      <c r="S178" s="124">
        <v>248</v>
      </c>
      <c r="T178" s="124">
        <v>36</v>
      </c>
      <c r="U178" s="124">
        <v>0</v>
      </c>
      <c r="V178" s="124">
        <v>0</v>
      </c>
      <c r="W178" s="124">
        <v>6</v>
      </c>
      <c r="X178" s="124">
        <v>900</v>
      </c>
      <c r="Y178" s="124">
        <v>702</v>
      </c>
      <c r="Z178" s="124">
        <v>5</v>
      </c>
      <c r="AA178" s="124"/>
      <c r="AB178" s="124"/>
      <c r="AC178" s="124"/>
      <c r="AD178" s="124"/>
      <c r="AE178" s="126" t="inlineStr">
        <is>
          <t xml:space="preserve">Contrato</t>
        </is>
      </c>
    </row>
    <row r="179">
      <c r="A179" s="122">
        <v>46258</v>
      </c>
      <c r="B179" s="123" t="inlineStr">
        <is>
          <t xml:space="preserve">VESTAS</t>
        </is>
      </c>
      <c r="C179" s="124">
        <v>6</v>
      </c>
      <c r="D179" s="124"/>
      <c r="E179" s="125"/>
      <c r="F179" s="124"/>
      <c r="G179" s="124"/>
      <c r="H179" s="124"/>
      <c r="I179" s="124"/>
      <c r="J179" s="124"/>
      <c r="K179" s="124">
        <v>88</v>
      </c>
      <c r="L179" s="124">
        <v>4</v>
      </c>
      <c r="M179" s="124"/>
      <c r="N179" s="125"/>
      <c r="O179" s="124"/>
      <c r="P179" s="124"/>
      <c r="Q179" s="124"/>
      <c r="R179" s="124"/>
      <c r="S179" s="124"/>
      <c r="T179" s="124">
        <v>60</v>
      </c>
      <c r="U179" s="124">
        <v>0</v>
      </c>
      <c r="V179" s="124">
        <v>0</v>
      </c>
      <c r="W179" s="124"/>
      <c r="X179" s="124">
        <v>600</v>
      </c>
      <c r="Y179" s="124">
        <v>559</v>
      </c>
      <c r="Z179" s="124">
        <v>13</v>
      </c>
      <c r="AA179" s="124">
        <v>1</v>
      </c>
      <c r="AB179" s="124"/>
      <c r="AC179" s="124"/>
      <c r="AD179" s="124"/>
      <c r="AE179" s="126" t="inlineStr">
        <is>
          <t xml:space="preserve">Cross</t>
        </is>
      </c>
    </row>
    <row r="180">
      <c r="A180" s="122">
        <v>46258</v>
      </c>
      <c r="B180" s="123" t="inlineStr">
        <is>
          <t xml:space="preserve">VEDACIT</t>
        </is>
      </c>
      <c r="C180" s="124">
        <v>8</v>
      </c>
      <c r="D180" s="124">
        <v>97</v>
      </c>
      <c r="E180" s="125"/>
      <c r="F180" s="124"/>
      <c r="G180" s="124"/>
      <c r="H180" s="124"/>
      <c r="I180" s="124"/>
      <c r="J180" s="124"/>
      <c r="K180" s="124"/>
      <c r="L180" s="124">
        <v>9</v>
      </c>
      <c r="M180" s="124">
        <v>125</v>
      </c>
      <c r="N180" s="125"/>
      <c r="O180" s="124"/>
      <c r="P180" s="124"/>
      <c r="Q180" s="124"/>
      <c r="R180" s="124"/>
      <c r="S180" s="124"/>
      <c r="T180" s="124"/>
      <c r="U180" s="124">
        <v>0</v>
      </c>
      <c r="V180" s="124">
        <v>0</v>
      </c>
      <c r="W180" s="124"/>
      <c r="X180" s="124">
        <v>1400</v>
      </c>
      <c r="Y180" s="124">
        <v>830</v>
      </c>
      <c r="Z180" s="124">
        <v>14</v>
      </c>
      <c r="AA180" s="124"/>
      <c r="AB180" s="124"/>
      <c r="AC180" s="124"/>
      <c r="AD180" s="124"/>
      <c r="AE180" s="126" t="inlineStr">
        <is>
          <t xml:space="preserve">Contrato</t>
        </is>
      </c>
    </row>
    <row r="181">
      <c r="A181" s="122">
        <v>46258</v>
      </c>
      <c r="B181" s="123" t="inlineStr">
        <is>
          <t xml:space="preserve">OMNLIFE</t>
        </is>
      </c>
      <c r="C181" s="124">
        <v>7</v>
      </c>
      <c r="D181" s="124">
        <v>39</v>
      </c>
      <c r="E181" s="125"/>
      <c r="F181" s="124"/>
      <c r="G181" s="124"/>
      <c r="H181" s="124"/>
      <c r="I181" s="124"/>
      <c r="J181" s="124"/>
      <c r="K181" s="124"/>
      <c r="L181" s="124">
        <v>9</v>
      </c>
      <c r="M181" s="124">
        <v>28</v>
      </c>
      <c r="N181" s="125"/>
      <c r="O181" s="124"/>
      <c r="P181" s="124"/>
      <c r="Q181" s="124"/>
      <c r="R181" s="124"/>
      <c r="S181" s="124"/>
      <c r="T181" s="124"/>
      <c r="U181" s="124">
        <v>0</v>
      </c>
      <c r="V181" s="124">
        <v>0</v>
      </c>
      <c r="W181" s="124">
        <v>6</v>
      </c>
      <c r="X181" s="124">
        <v>500</v>
      </c>
      <c r="Y181" s="124">
        <v>371</v>
      </c>
      <c r="Z181" s="124">
        <v>5</v>
      </c>
      <c r="AA181" s="124"/>
      <c r="AB181" s="124"/>
      <c r="AC181" s="124"/>
      <c r="AD181" s="124"/>
      <c r="AE181" s="126" t="inlineStr">
        <is>
          <t xml:space="preserve">Spot</t>
        </is>
      </c>
    </row>
    <row r="182">
      <c r="A182" s="122">
        <v>46258</v>
      </c>
      <c r="B182" s="123" t="inlineStr">
        <is>
          <t xml:space="preserve">ALPARGATAS</t>
        </is>
      </c>
      <c r="C182" s="124">
        <v>8</v>
      </c>
      <c r="D182" s="124"/>
      <c r="E182" s="125"/>
      <c r="F182" s="124">
        <v>1538</v>
      </c>
      <c r="G182" s="124"/>
      <c r="H182" s="124"/>
      <c r="I182" s="124"/>
      <c r="J182" s="124"/>
      <c r="K182" s="124"/>
      <c r="L182" s="124">
        <v>11</v>
      </c>
      <c r="M182" s="124"/>
      <c r="N182" s="125"/>
      <c r="O182" s="124">
        <v>2302</v>
      </c>
      <c r="P182" s="124"/>
      <c r="Q182" s="124"/>
      <c r="R182" s="124"/>
      <c r="S182" s="124"/>
      <c r="T182" s="124"/>
      <c r="U182" s="124">
        <v>0</v>
      </c>
      <c r="V182" s="124">
        <v>0</v>
      </c>
      <c r="W182" s="124"/>
      <c r="X182" s="124">
        <v>1800</v>
      </c>
      <c r="Y182" s="124">
        <v>1567</v>
      </c>
      <c r="Z182" s="124">
        <v>14</v>
      </c>
      <c r="AA182" s="124">
        <v>1</v>
      </c>
      <c r="AB182" s="124"/>
      <c r="AC182" s="124"/>
      <c r="AD182" s="124"/>
      <c r="AE182" s="126" t="inlineStr">
        <is>
          <t xml:space="preserve">Contrato</t>
        </is>
      </c>
    </row>
    <row r="183">
      <c r="A183" s="122">
        <v>46259</v>
      </c>
      <c r="B183" s="123" t="inlineStr">
        <is>
          <t xml:space="preserve">BASF</t>
        </is>
      </c>
      <c r="C183" s="124">
        <v>5</v>
      </c>
      <c r="D183" s="124">
        <v>69</v>
      </c>
      <c r="E183" s="125">
        <v>76.12</v>
      </c>
      <c r="F183" s="124"/>
      <c r="G183" s="124"/>
      <c r="H183" s="124"/>
      <c r="I183" s="124"/>
      <c r="J183" s="124"/>
      <c r="K183" s="124"/>
      <c r="L183" s="124">
        <v>10</v>
      </c>
      <c r="M183" s="124">
        <v>69</v>
      </c>
      <c r="N183" s="125">
        <v>59.47</v>
      </c>
      <c r="O183" s="124"/>
      <c r="P183" s="124"/>
      <c r="Q183" s="124"/>
      <c r="R183" s="124"/>
      <c r="S183" s="124"/>
      <c r="T183" s="124"/>
      <c r="U183" s="124">
        <v>0</v>
      </c>
      <c r="V183" s="124">
        <v>0</v>
      </c>
      <c r="W183" s="124">
        <v>7</v>
      </c>
      <c r="X183" s="124">
        <v>2200</v>
      </c>
      <c r="Y183" s="124">
        <v>1445</v>
      </c>
      <c r="Z183" s="124">
        <v>7</v>
      </c>
      <c r="AA183" s="124"/>
      <c r="AB183" s="124">
        <v>1</v>
      </c>
      <c r="AC183" s="124"/>
      <c r="AD183" s="124"/>
      <c r="AE183" s="126" t="inlineStr">
        <is>
          <t xml:space="preserve">Contrato</t>
        </is>
      </c>
    </row>
    <row r="184">
      <c r="A184" s="122">
        <v>46259</v>
      </c>
      <c r="B184" s="123" t="inlineStr">
        <is>
          <t xml:space="preserve">BEAUTYBIZ</t>
        </is>
      </c>
      <c r="C184" s="124">
        <v>7</v>
      </c>
      <c r="D184" s="124">
        <v>88</v>
      </c>
      <c r="E184" s="125"/>
      <c r="F184" s="124">
        <v>462</v>
      </c>
      <c r="G184" s="124"/>
      <c r="H184" s="124"/>
      <c r="I184" s="124"/>
      <c r="J184" s="124"/>
      <c r="K184" s="124"/>
      <c r="L184" s="124">
        <v>4</v>
      </c>
      <c r="M184" s="124">
        <v>41</v>
      </c>
      <c r="N184" s="125"/>
      <c r="O184" s="124"/>
      <c r="P184" s="124">
        <v>657</v>
      </c>
      <c r="Q184" s="124"/>
      <c r="R184" s="124"/>
      <c r="S184" s="124"/>
      <c r="T184" s="124"/>
      <c r="U184" s="124">
        <v>0</v>
      </c>
      <c r="V184" s="124">
        <v>0</v>
      </c>
      <c r="W184" s="124"/>
      <c r="X184" s="124">
        <v>1200</v>
      </c>
      <c r="Y184" s="124">
        <v>956</v>
      </c>
      <c r="Z184" s="124">
        <v>8</v>
      </c>
      <c r="AA184" s="124"/>
      <c r="AB184" s="124"/>
      <c r="AC184" s="124"/>
      <c r="AD184" s="124"/>
      <c r="AE184" s="126" t="inlineStr">
        <is>
          <t xml:space="preserve">Contrato</t>
        </is>
      </c>
    </row>
    <row r="185">
      <c r="A185" s="122">
        <v>46259</v>
      </c>
      <c r="B185" s="123" t="inlineStr">
        <is>
          <t xml:space="preserve">BOTICÁRIO</t>
        </is>
      </c>
      <c r="C185" s="124">
        <v>2</v>
      </c>
      <c r="D185" s="124"/>
      <c r="E185" s="125"/>
      <c r="F185" s="124"/>
      <c r="G185" s="124">
        <v>2580</v>
      </c>
      <c r="H185" s="124">
        <v>111</v>
      </c>
      <c r="I185" s="124">
        <v>501</v>
      </c>
      <c r="J185" s="124"/>
      <c r="K185" s="124"/>
      <c r="L185" s="124">
        <v>10</v>
      </c>
      <c r="M185" s="124">
        <v>45</v>
      </c>
      <c r="N185" s="125"/>
      <c r="O185" s="124"/>
      <c r="P185" s="124"/>
      <c r="Q185" s="124">
        <v>990</v>
      </c>
      <c r="R185" s="124">
        <v>1765</v>
      </c>
      <c r="S185" s="124"/>
      <c r="T185" s="124"/>
      <c r="U185" s="124">
        <v>0</v>
      </c>
      <c r="V185" s="124">
        <v>0</v>
      </c>
      <c r="W185" s="124"/>
      <c r="X185" s="124">
        <v>3500</v>
      </c>
      <c r="Y185" s="124">
        <v>2624</v>
      </c>
      <c r="Z185" s="124">
        <v>6</v>
      </c>
      <c r="AA185" s="124"/>
      <c r="AB185" s="124"/>
      <c r="AC185" s="124"/>
      <c r="AD185" s="124"/>
      <c r="AE185" s="126" t="inlineStr">
        <is>
          <t xml:space="preserve">Contrato</t>
        </is>
      </c>
    </row>
    <row r="186">
      <c r="A186" s="122">
        <v>46259</v>
      </c>
      <c r="B186" s="123" t="inlineStr">
        <is>
          <t xml:space="preserve">SUPPLY</t>
        </is>
      </c>
      <c r="C186" s="124">
        <v>5</v>
      </c>
      <c r="D186" s="124">
        <v>70</v>
      </c>
      <c r="E186" s="125">
        <v>81.03</v>
      </c>
      <c r="F186" s="124"/>
      <c r="G186" s="124"/>
      <c r="H186" s="124"/>
      <c r="I186" s="124"/>
      <c r="J186" s="124"/>
      <c r="K186" s="124"/>
      <c r="L186" s="124">
        <v>5</v>
      </c>
      <c r="M186" s="124">
        <v>38</v>
      </c>
      <c r="N186" s="125">
        <v>93.08</v>
      </c>
      <c r="O186" s="124"/>
      <c r="P186" s="124"/>
      <c r="Q186" s="124"/>
      <c r="R186" s="124"/>
      <c r="S186" s="124"/>
      <c r="T186" s="124"/>
      <c r="U186" s="124">
        <v>0</v>
      </c>
      <c r="V186" s="124">
        <v>0</v>
      </c>
      <c r="W186" s="124"/>
      <c r="X186" s="124">
        <v>1600</v>
      </c>
      <c r="Y186" s="124">
        <v>1102</v>
      </c>
      <c r="Z186" s="124">
        <v>11</v>
      </c>
      <c r="AA186" s="124"/>
      <c r="AB186" s="124"/>
      <c r="AC186" s="124">
        <v>1</v>
      </c>
      <c r="AD186" s="124"/>
      <c r="AE186" s="126" t="inlineStr">
        <is>
          <t xml:space="preserve">Spot</t>
        </is>
      </c>
    </row>
    <row r="187">
      <c r="A187" s="122">
        <v>46259</v>
      </c>
      <c r="B187" s="123" t="inlineStr">
        <is>
          <t xml:space="preserve">GE VERNOVA</t>
        </is>
      </c>
      <c r="C187" s="124">
        <v>4</v>
      </c>
      <c r="D187" s="124">
        <v>22</v>
      </c>
      <c r="E187" s="125"/>
      <c r="F187" s="124"/>
      <c r="G187" s="124"/>
      <c r="H187" s="124"/>
      <c r="I187" s="124"/>
      <c r="J187" s="124">
        <v>302</v>
      </c>
      <c r="K187" s="124">
        <v>118</v>
      </c>
      <c r="L187" s="124">
        <v>2</v>
      </c>
      <c r="M187" s="124">
        <v>40</v>
      </c>
      <c r="N187" s="125"/>
      <c r="O187" s="124"/>
      <c r="P187" s="124"/>
      <c r="Q187" s="124"/>
      <c r="R187" s="124"/>
      <c r="S187" s="124">
        <v>419</v>
      </c>
      <c r="T187" s="124">
        <v>39</v>
      </c>
      <c r="U187" s="124">
        <v>0</v>
      </c>
      <c r="V187" s="124">
        <v>0</v>
      </c>
      <c r="W187" s="124">
        <v>4</v>
      </c>
      <c r="X187" s="124">
        <v>900</v>
      </c>
      <c r="Y187" s="124">
        <v>870</v>
      </c>
      <c r="Z187" s="124">
        <v>4</v>
      </c>
      <c r="AA187" s="124"/>
      <c r="AB187" s="124"/>
      <c r="AC187" s="124"/>
      <c r="AD187" s="124"/>
      <c r="AE187" s="126" t="inlineStr">
        <is>
          <t xml:space="preserve">Contrato</t>
        </is>
      </c>
    </row>
    <row r="188">
      <c r="A188" s="122">
        <v>46259</v>
      </c>
      <c r="B188" s="123" t="inlineStr">
        <is>
          <t xml:space="preserve">VESTAS</t>
        </is>
      </c>
      <c r="C188" s="124">
        <v>4</v>
      </c>
      <c r="D188" s="124"/>
      <c r="E188" s="125"/>
      <c r="F188" s="124"/>
      <c r="G188" s="124"/>
      <c r="H188" s="124"/>
      <c r="I188" s="124"/>
      <c r="J188" s="124"/>
      <c r="K188" s="124">
        <v>72</v>
      </c>
      <c r="L188" s="124">
        <v>2</v>
      </c>
      <c r="M188" s="124"/>
      <c r="N188" s="125"/>
      <c r="O188" s="124"/>
      <c r="P188" s="124"/>
      <c r="Q188" s="124"/>
      <c r="R188" s="124"/>
      <c r="S188" s="124"/>
      <c r="T188" s="124">
        <v>97</v>
      </c>
      <c r="U188" s="124">
        <v>0</v>
      </c>
      <c r="V188" s="124">
        <v>0</v>
      </c>
      <c r="W188" s="124"/>
      <c r="X188" s="124">
        <v>600</v>
      </c>
      <c r="Y188" s="124">
        <v>365</v>
      </c>
      <c r="Z188" s="124">
        <v>5</v>
      </c>
      <c r="AA188" s="124"/>
      <c r="AB188" s="124"/>
      <c r="AC188" s="124"/>
      <c r="AD188" s="124"/>
      <c r="AE188" s="126" t="inlineStr">
        <is>
          <t xml:space="preserve">Cross</t>
        </is>
      </c>
    </row>
    <row r="189">
      <c r="A189" s="122">
        <v>46259</v>
      </c>
      <c r="B189" s="123" t="inlineStr">
        <is>
          <t xml:space="preserve">VEDACIT</t>
        </is>
      </c>
      <c r="C189" s="124">
        <v>6</v>
      </c>
      <c r="D189" s="124">
        <v>69</v>
      </c>
      <c r="E189" s="125"/>
      <c r="F189" s="124"/>
      <c r="G189" s="124"/>
      <c r="H189" s="124"/>
      <c r="I189" s="124"/>
      <c r="J189" s="124"/>
      <c r="K189" s="124"/>
      <c r="L189" s="124">
        <v>7</v>
      </c>
      <c r="M189" s="124">
        <v>76</v>
      </c>
      <c r="N189" s="125"/>
      <c r="O189" s="124"/>
      <c r="P189" s="124"/>
      <c r="Q189" s="124"/>
      <c r="R189" s="124"/>
      <c r="S189" s="124"/>
      <c r="T189" s="124"/>
      <c r="U189" s="124">
        <v>0</v>
      </c>
      <c r="V189" s="124">
        <v>0</v>
      </c>
      <c r="W189" s="124"/>
      <c r="X189" s="124">
        <v>1400</v>
      </c>
      <c r="Y189" s="124">
        <v>1351</v>
      </c>
      <c r="Z189" s="124">
        <v>11</v>
      </c>
      <c r="AA189" s="124"/>
      <c r="AB189" s="124"/>
      <c r="AC189" s="124"/>
      <c r="AD189" s="124"/>
      <c r="AE189" s="126" t="inlineStr">
        <is>
          <t xml:space="preserve">Contrato</t>
        </is>
      </c>
    </row>
    <row r="190">
      <c r="A190" s="122">
        <v>46259</v>
      </c>
      <c r="B190" s="123" t="inlineStr">
        <is>
          <t xml:space="preserve">OMNLIFE</t>
        </is>
      </c>
      <c r="C190" s="124">
        <v>3</v>
      </c>
      <c r="D190" s="124">
        <v>48</v>
      </c>
      <c r="E190" s="125"/>
      <c r="F190" s="124"/>
      <c r="G190" s="124"/>
      <c r="H190" s="124"/>
      <c r="I190" s="124"/>
      <c r="J190" s="124"/>
      <c r="K190" s="124"/>
      <c r="L190" s="124">
        <v>10</v>
      </c>
      <c r="M190" s="124">
        <v>113</v>
      </c>
      <c r="N190" s="125"/>
      <c r="O190" s="124"/>
      <c r="P190" s="124"/>
      <c r="Q190" s="124"/>
      <c r="R190" s="124"/>
      <c r="S190" s="124"/>
      <c r="T190" s="124"/>
      <c r="U190" s="124">
        <v>0</v>
      </c>
      <c r="V190" s="124">
        <v>0</v>
      </c>
      <c r="W190" s="124"/>
      <c r="X190" s="124">
        <v>500</v>
      </c>
      <c r="Y190" s="124">
        <v>470</v>
      </c>
      <c r="Z190" s="124">
        <v>13</v>
      </c>
      <c r="AA190" s="124">
        <v>1</v>
      </c>
      <c r="AB190" s="124"/>
      <c r="AC190" s="124"/>
      <c r="AD190" s="124"/>
      <c r="AE190" s="126" t="inlineStr">
        <is>
          <t xml:space="preserve">Spot</t>
        </is>
      </c>
    </row>
    <row r="191">
      <c r="A191" s="122">
        <v>46259</v>
      </c>
      <c r="B191" s="123" t="inlineStr">
        <is>
          <t xml:space="preserve">ALPARGATAS</t>
        </is>
      </c>
      <c r="C191" s="124">
        <v>5</v>
      </c>
      <c r="D191" s="124"/>
      <c r="E191" s="125"/>
      <c r="F191" s="124">
        <v>2362</v>
      </c>
      <c r="G191" s="124"/>
      <c r="H191" s="124"/>
      <c r="I191" s="124"/>
      <c r="J191" s="124"/>
      <c r="K191" s="124"/>
      <c r="L191" s="124">
        <v>5</v>
      </c>
      <c r="M191" s="124"/>
      <c r="N191" s="125"/>
      <c r="O191" s="124">
        <v>2418</v>
      </c>
      <c r="P191" s="124"/>
      <c r="Q191" s="124"/>
      <c r="R191" s="124"/>
      <c r="S191" s="124"/>
      <c r="T191" s="124"/>
      <c r="U191" s="124">
        <v>0</v>
      </c>
      <c r="V191" s="124">
        <v>0</v>
      </c>
      <c r="W191" s="124">
        <v>11</v>
      </c>
      <c r="X191" s="124">
        <v>1800</v>
      </c>
      <c r="Y191" s="124">
        <v>1736</v>
      </c>
      <c r="Z191" s="124">
        <v>9</v>
      </c>
      <c r="AA191" s="124"/>
      <c r="AB191" s="124"/>
      <c r="AC191" s="124"/>
      <c r="AD191" s="124"/>
      <c r="AE191" s="126" t="inlineStr">
        <is>
          <t xml:space="preserve">Contrato</t>
        </is>
      </c>
    </row>
    <row r="192">
      <c r="A192" s="122">
        <v>46260</v>
      </c>
      <c r="B192" s="123" t="inlineStr">
        <is>
          <t xml:space="preserve">BASF</t>
        </is>
      </c>
      <c r="C192" s="124">
        <v>7</v>
      </c>
      <c r="D192" s="124">
        <v>64</v>
      </c>
      <c r="E192" s="125">
        <v>36.9</v>
      </c>
      <c r="F192" s="124"/>
      <c r="G192" s="124"/>
      <c r="H192" s="124"/>
      <c r="I192" s="124"/>
      <c r="J192" s="124"/>
      <c r="K192" s="124"/>
      <c r="L192" s="124">
        <v>10</v>
      </c>
      <c r="M192" s="124">
        <v>96</v>
      </c>
      <c r="N192" s="125">
        <v>109.81</v>
      </c>
      <c r="O192" s="124"/>
      <c r="P192" s="124"/>
      <c r="Q192" s="124"/>
      <c r="R192" s="124"/>
      <c r="S192" s="124"/>
      <c r="T192" s="124"/>
      <c r="U192" s="124">
        <v>0</v>
      </c>
      <c r="V192" s="124">
        <v>0</v>
      </c>
      <c r="W192" s="124">
        <v>1</v>
      </c>
      <c r="X192" s="124">
        <v>2200</v>
      </c>
      <c r="Y192" s="124">
        <v>1579</v>
      </c>
      <c r="Z192" s="124">
        <v>7</v>
      </c>
      <c r="AA192" s="124"/>
      <c r="AB192" s="124"/>
      <c r="AC192" s="124"/>
      <c r="AD192" s="124"/>
      <c r="AE192" s="126" t="inlineStr">
        <is>
          <t xml:space="preserve">Contrato</t>
        </is>
      </c>
    </row>
    <row r="193">
      <c r="A193" s="122">
        <v>46260</v>
      </c>
      <c r="B193" s="123" t="inlineStr">
        <is>
          <t xml:space="preserve">BEAUTYBIZ</t>
        </is>
      </c>
      <c r="C193" s="124">
        <v>3</v>
      </c>
      <c r="D193" s="124">
        <v>27</v>
      </c>
      <c r="E193" s="125"/>
      <c r="F193" s="124">
        <v>583</v>
      </c>
      <c r="G193" s="124"/>
      <c r="H193" s="124"/>
      <c r="I193" s="124"/>
      <c r="J193" s="124"/>
      <c r="K193" s="124"/>
      <c r="L193" s="124">
        <v>2</v>
      </c>
      <c r="M193" s="124">
        <v>30</v>
      </c>
      <c r="N193" s="125"/>
      <c r="O193" s="124"/>
      <c r="P193" s="124">
        <v>586</v>
      </c>
      <c r="Q193" s="124"/>
      <c r="R193" s="124"/>
      <c r="S193" s="124"/>
      <c r="T193" s="124"/>
      <c r="U193" s="124">
        <v>0</v>
      </c>
      <c r="V193" s="124">
        <v>0</v>
      </c>
      <c r="W193" s="124">
        <v>8</v>
      </c>
      <c r="X193" s="124">
        <v>1200</v>
      </c>
      <c r="Y193" s="124">
        <v>930</v>
      </c>
      <c r="Z193" s="124">
        <v>4</v>
      </c>
      <c r="AA193" s="124"/>
      <c r="AB193" s="124"/>
      <c r="AC193" s="124"/>
      <c r="AD193" s="124"/>
      <c r="AE193" s="126" t="inlineStr">
        <is>
          <t xml:space="preserve">Contrato</t>
        </is>
      </c>
    </row>
    <row r="194">
      <c r="A194" s="122">
        <v>46260</v>
      </c>
      <c r="B194" s="123" t="inlineStr">
        <is>
          <t xml:space="preserve">BOTICÁRIO</t>
        </is>
      </c>
      <c r="C194" s="124">
        <v>7</v>
      </c>
      <c r="D194" s="124"/>
      <c r="E194" s="125"/>
      <c r="F194" s="124"/>
      <c r="G194" s="124">
        <v>4174</v>
      </c>
      <c r="H194" s="124">
        <v>197</v>
      </c>
      <c r="I194" s="124">
        <v>643</v>
      </c>
      <c r="J194" s="124"/>
      <c r="K194" s="124"/>
      <c r="L194" s="124">
        <v>5</v>
      </c>
      <c r="M194" s="124">
        <v>26</v>
      </c>
      <c r="N194" s="125"/>
      <c r="O194" s="124"/>
      <c r="P194" s="124"/>
      <c r="Q194" s="124">
        <v>210</v>
      </c>
      <c r="R194" s="124">
        <v>4607</v>
      </c>
      <c r="S194" s="124"/>
      <c r="T194" s="124"/>
      <c r="U194" s="124">
        <v>0</v>
      </c>
      <c r="V194" s="124">
        <v>0</v>
      </c>
      <c r="W194" s="124"/>
      <c r="X194" s="124">
        <v>3500</v>
      </c>
      <c r="Y194" s="124">
        <v>2803</v>
      </c>
      <c r="Z194" s="124">
        <v>8</v>
      </c>
      <c r="AA194" s="124"/>
      <c r="AB194" s="124"/>
      <c r="AC194" s="124">
        <v>1</v>
      </c>
      <c r="AD194" s="124"/>
      <c r="AE194" s="126" t="inlineStr">
        <is>
          <t xml:space="preserve">Contrato</t>
        </is>
      </c>
    </row>
    <row r="195">
      <c r="A195" s="122">
        <v>46260</v>
      </c>
      <c r="B195" s="123" t="inlineStr">
        <is>
          <t xml:space="preserve">SUPPLY</t>
        </is>
      </c>
      <c r="C195" s="124">
        <v>6</v>
      </c>
      <c r="D195" s="124">
        <v>63</v>
      </c>
      <c r="E195" s="125">
        <v>66.89</v>
      </c>
      <c r="F195" s="124"/>
      <c r="G195" s="124"/>
      <c r="H195" s="124"/>
      <c r="I195" s="124"/>
      <c r="J195" s="124"/>
      <c r="K195" s="124"/>
      <c r="L195" s="124">
        <v>9</v>
      </c>
      <c r="M195" s="124">
        <v>136</v>
      </c>
      <c r="N195" s="125">
        <v>34.58</v>
      </c>
      <c r="O195" s="124"/>
      <c r="P195" s="124"/>
      <c r="Q195" s="124"/>
      <c r="R195" s="124"/>
      <c r="S195" s="124"/>
      <c r="T195" s="124"/>
      <c r="U195" s="124">
        <v>1</v>
      </c>
      <c r="V195" s="124">
        <v>0</v>
      </c>
      <c r="W195" s="124"/>
      <c r="X195" s="124">
        <v>1600</v>
      </c>
      <c r="Y195" s="124">
        <v>1444</v>
      </c>
      <c r="Z195" s="124">
        <v>9</v>
      </c>
      <c r="AA195" s="124"/>
      <c r="AB195" s="124"/>
      <c r="AC195" s="124"/>
      <c r="AD195" s="124"/>
      <c r="AE195" s="126" t="inlineStr">
        <is>
          <t xml:space="preserve">Spot</t>
        </is>
      </c>
    </row>
    <row r="196">
      <c r="A196" s="122">
        <v>46260</v>
      </c>
      <c r="B196" s="123" t="inlineStr">
        <is>
          <t xml:space="preserve">GE VERNOVA</t>
        </is>
      </c>
      <c r="C196" s="124">
        <v>5</v>
      </c>
      <c r="D196" s="124">
        <v>112</v>
      </c>
      <c r="E196" s="125"/>
      <c r="F196" s="124"/>
      <c r="G196" s="124"/>
      <c r="H196" s="124"/>
      <c r="I196" s="124"/>
      <c r="J196" s="124">
        <v>380</v>
      </c>
      <c r="K196" s="124">
        <v>46</v>
      </c>
      <c r="L196" s="124">
        <v>9</v>
      </c>
      <c r="M196" s="124">
        <v>56</v>
      </c>
      <c r="N196" s="125"/>
      <c r="O196" s="124"/>
      <c r="P196" s="124"/>
      <c r="Q196" s="124"/>
      <c r="R196" s="124"/>
      <c r="S196" s="124">
        <v>441</v>
      </c>
      <c r="T196" s="124">
        <v>93</v>
      </c>
      <c r="U196" s="124">
        <v>0</v>
      </c>
      <c r="V196" s="124">
        <v>0</v>
      </c>
      <c r="W196" s="124"/>
      <c r="X196" s="124">
        <v>900</v>
      </c>
      <c r="Y196" s="124">
        <v>864</v>
      </c>
      <c r="Z196" s="124">
        <v>11</v>
      </c>
      <c r="AA196" s="124"/>
      <c r="AB196" s="124"/>
      <c r="AC196" s="124"/>
      <c r="AD196" s="124"/>
      <c r="AE196" s="126" t="inlineStr">
        <is>
          <t xml:space="preserve">Contrato</t>
        </is>
      </c>
    </row>
    <row r="197">
      <c r="A197" s="122">
        <v>46260</v>
      </c>
      <c r="B197" s="123" t="inlineStr">
        <is>
          <t xml:space="preserve">VESTAS</t>
        </is>
      </c>
      <c r="C197" s="124">
        <v>3</v>
      </c>
      <c r="D197" s="124"/>
      <c r="E197" s="125"/>
      <c r="F197" s="124"/>
      <c r="G197" s="124"/>
      <c r="H197" s="124"/>
      <c r="I197" s="124"/>
      <c r="J197" s="124"/>
      <c r="K197" s="124">
        <v>71</v>
      </c>
      <c r="L197" s="124">
        <v>2</v>
      </c>
      <c r="M197" s="124"/>
      <c r="N197" s="125"/>
      <c r="O197" s="124"/>
      <c r="P197" s="124"/>
      <c r="Q197" s="124"/>
      <c r="R197" s="124"/>
      <c r="S197" s="124"/>
      <c r="T197" s="124">
        <v>99</v>
      </c>
      <c r="U197" s="124">
        <v>0</v>
      </c>
      <c r="V197" s="124">
        <v>0</v>
      </c>
      <c r="W197" s="124"/>
      <c r="X197" s="124">
        <v>600</v>
      </c>
      <c r="Y197" s="124">
        <v>431</v>
      </c>
      <c r="Z197" s="124">
        <v>5</v>
      </c>
      <c r="AA197" s="124"/>
      <c r="AB197" s="124"/>
      <c r="AC197" s="124"/>
      <c r="AD197" s="124"/>
      <c r="AE197" s="126" t="inlineStr">
        <is>
          <t xml:space="preserve">Cross</t>
        </is>
      </c>
    </row>
    <row r="198">
      <c r="A198" s="122">
        <v>46260</v>
      </c>
      <c r="B198" s="123" t="inlineStr">
        <is>
          <t xml:space="preserve">VEDACIT</t>
        </is>
      </c>
      <c r="C198" s="124">
        <v>3</v>
      </c>
      <c r="D198" s="124">
        <v>128</v>
      </c>
      <c r="E198" s="125"/>
      <c r="F198" s="124"/>
      <c r="G198" s="124"/>
      <c r="H198" s="124"/>
      <c r="I198" s="124"/>
      <c r="J198" s="124"/>
      <c r="K198" s="124"/>
      <c r="L198" s="124">
        <v>4</v>
      </c>
      <c r="M198" s="124">
        <v>104</v>
      </c>
      <c r="N198" s="125"/>
      <c r="O198" s="124"/>
      <c r="P198" s="124"/>
      <c r="Q198" s="124"/>
      <c r="R198" s="124"/>
      <c r="S198" s="124"/>
      <c r="T198" s="124"/>
      <c r="U198" s="124">
        <v>0</v>
      </c>
      <c r="V198" s="124">
        <v>0</v>
      </c>
      <c r="W198" s="124"/>
      <c r="X198" s="124">
        <v>1400</v>
      </c>
      <c r="Y198" s="124">
        <v>1273</v>
      </c>
      <c r="Z198" s="124">
        <v>6</v>
      </c>
      <c r="AA198" s="124"/>
      <c r="AB198" s="124"/>
      <c r="AC198" s="124"/>
      <c r="AD198" s="124"/>
      <c r="AE198" s="126" t="inlineStr">
        <is>
          <t xml:space="preserve">Contrato</t>
        </is>
      </c>
    </row>
    <row r="199">
      <c r="A199" s="122">
        <v>46260</v>
      </c>
      <c r="B199" s="123" t="inlineStr">
        <is>
          <t xml:space="preserve">OMNLIFE</t>
        </is>
      </c>
      <c r="C199" s="124">
        <v>8</v>
      </c>
      <c r="D199" s="124">
        <v>49</v>
      </c>
      <c r="E199" s="125"/>
      <c r="F199" s="124"/>
      <c r="G199" s="124"/>
      <c r="H199" s="124"/>
      <c r="I199" s="124"/>
      <c r="J199" s="124"/>
      <c r="K199" s="124"/>
      <c r="L199" s="124">
        <v>11</v>
      </c>
      <c r="M199" s="124">
        <v>146</v>
      </c>
      <c r="N199" s="125"/>
      <c r="O199" s="124"/>
      <c r="P199" s="124"/>
      <c r="Q199" s="124"/>
      <c r="R199" s="124"/>
      <c r="S199" s="124"/>
      <c r="T199" s="124"/>
      <c r="U199" s="124">
        <v>0</v>
      </c>
      <c r="V199" s="124">
        <v>0</v>
      </c>
      <c r="W199" s="124"/>
      <c r="X199" s="124">
        <v>500</v>
      </c>
      <c r="Y199" s="124">
        <v>280</v>
      </c>
      <c r="Z199" s="124">
        <v>14</v>
      </c>
      <c r="AA199" s="124"/>
      <c r="AB199" s="124">
        <v>1</v>
      </c>
      <c r="AC199" s="124"/>
      <c r="AD199" s="124"/>
      <c r="AE199" s="126" t="inlineStr">
        <is>
          <t xml:space="preserve">Spot</t>
        </is>
      </c>
    </row>
    <row r="200">
      <c r="A200" s="122">
        <v>46260</v>
      </c>
      <c r="B200" s="123" t="inlineStr">
        <is>
          <t xml:space="preserve">ALPARGATAS</t>
        </is>
      </c>
      <c r="C200" s="124">
        <v>8</v>
      </c>
      <c r="D200" s="124"/>
      <c r="E200" s="125"/>
      <c r="F200" s="124">
        <v>431</v>
      </c>
      <c r="G200" s="124"/>
      <c r="H200" s="124"/>
      <c r="I200" s="124"/>
      <c r="J200" s="124"/>
      <c r="K200" s="124"/>
      <c r="L200" s="124">
        <v>7</v>
      </c>
      <c r="M200" s="124"/>
      <c r="N200" s="125"/>
      <c r="O200" s="124">
        <v>1242</v>
      </c>
      <c r="P200" s="124"/>
      <c r="Q200" s="124"/>
      <c r="R200" s="124"/>
      <c r="S200" s="124"/>
      <c r="T200" s="124"/>
      <c r="U200" s="124">
        <v>0</v>
      </c>
      <c r="V200" s="124">
        <v>0</v>
      </c>
      <c r="W200" s="124"/>
      <c r="X200" s="124">
        <v>1800</v>
      </c>
      <c r="Y200" s="124">
        <v>1159</v>
      </c>
      <c r="Z200" s="124">
        <v>8</v>
      </c>
      <c r="AA200" s="124">
        <v>1</v>
      </c>
      <c r="AB200" s="124"/>
      <c r="AC200" s="124"/>
      <c r="AD200" s="124"/>
      <c r="AE200" s="126" t="inlineStr">
        <is>
          <t xml:space="preserve">Contrato</t>
        </is>
      </c>
    </row>
    <row r="201">
      <c r="A201" s="122">
        <v>46261</v>
      </c>
      <c r="B201" s="123" t="inlineStr">
        <is>
          <t xml:space="preserve">BASF</t>
        </is>
      </c>
      <c r="C201" s="124">
        <v>4</v>
      </c>
      <c r="D201" s="124">
        <v>79</v>
      </c>
      <c r="E201" s="125">
        <v>49.84</v>
      </c>
      <c r="F201" s="124"/>
      <c r="G201" s="124"/>
      <c r="H201" s="124"/>
      <c r="I201" s="124"/>
      <c r="J201" s="124"/>
      <c r="K201" s="124"/>
      <c r="L201" s="124">
        <v>10</v>
      </c>
      <c r="M201" s="124">
        <v>89</v>
      </c>
      <c r="N201" s="125">
        <v>137.67</v>
      </c>
      <c r="O201" s="124"/>
      <c r="P201" s="124"/>
      <c r="Q201" s="124"/>
      <c r="R201" s="124"/>
      <c r="S201" s="124"/>
      <c r="T201" s="124"/>
      <c r="U201" s="124">
        <v>0</v>
      </c>
      <c r="V201" s="124">
        <v>0</v>
      </c>
      <c r="W201" s="124"/>
      <c r="X201" s="124">
        <v>2200</v>
      </c>
      <c r="Y201" s="124">
        <v>1920</v>
      </c>
      <c r="Z201" s="124">
        <v>6</v>
      </c>
      <c r="AA201" s="124"/>
      <c r="AB201" s="124"/>
      <c r="AC201" s="124"/>
      <c r="AD201" s="124"/>
      <c r="AE201" s="126" t="inlineStr">
        <is>
          <t xml:space="preserve">Contrato</t>
        </is>
      </c>
    </row>
    <row r="202">
      <c r="A202" s="122">
        <v>46261</v>
      </c>
      <c r="B202" s="123" t="inlineStr">
        <is>
          <t xml:space="preserve">BEAUTYBIZ</t>
        </is>
      </c>
      <c r="C202" s="124">
        <v>8</v>
      </c>
      <c r="D202" s="124">
        <v>42</v>
      </c>
      <c r="E202" s="125"/>
      <c r="F202" s="124">
        <v>1802</v>
      </c>
      <c r="G202" s="124"/>
      <c r="H202" s="124"/>
      <c r="I202" s="124"/>
      <c r="J202" s="124"/>
      <c r="K202" s="124"/>
      <c r="L202" s="124">
        <v>7</v>
      </c>
      <c r="M202" s="124">
        <v>83</v>
      </c>
      <c r="N202" s="125"/>
      <c r="O202" s="124"/>
      <c r="P202" s="124">
        <v>439</v>
      </c>
      <c r="Q202" s="124"/>
      <c r="R202" s="124"/>
      <c r="S202" s="124"/>
      <c r="T202" s="124"/>
      <c r="U202" s="124">
        <v>0</v>
      </c>
      <c r="V202" s="124">
        <v>0</v>
      </c>
      <c r="W202" s="124"/>
      <c r="X202" s="124">
        <v>1200</v>
      </c>
      <c r="Y202" s="124">
        <v>841</v>
      </c>
      <c r="Z202" s="124">
        <v>11</v>
      </c>
      <c r="AA202" s="124"/>
      <c r="AB202" s="124"/>
      <c r="AC202" s="124"/>
      <c r="AD202" s="124"/>
      <c r="AE202" s="126" t="inlineStr">
        <is>
          <t xml:space="preserve">Contrato</t>
        </is>
      </c>
    </row>
    <row r="203">
      <c r="A203" s="122">
        <v>46261</v>
      </c>
      <c r="B203" s="123" t="inlineStr">
        <is>
          <t xml:space="preserve">BOTICÁRIO</t>
        </is>
      </c>
      <c r="C203" s="124">
        <v>2</v>
      </c>
      <c r="D203" s="124"/>
      <c r="E203" s="125"/>
      <c r="F203" s="124"/>
      <c r="G203" s="124">
        <v>1380</v>
      </c>
      <c r="H203" s="124">
        <v>391</v>
      </c>
      <c r="I203" s="124">
        <v>107</v>
      </c>
      <c r="J203" s="124"/>
      <c r="K203" s="124"/>
      <c r="L203" s="124">
        <v>11</v>
      </c>
      <c r="M203" s="124">
        <v>33</v>
      </c>
      <c r="N203" s="125"/>
      <c r="O203" s="124"/>
      <c r="P203" s="124"/>
      <c r="Q203" s="124">
        <v>308</v>
      </c>
      <c r="R203" s="124">
        <v>7020</v>
      </c>
      <c r="S203" s="124"/>
      <c r="T203" s="124"/>
      <c r="U203" s="124">
        <v>0</v>
      </c>
      <c r="V203" s="124">
        <v>0</v>
      </c>
      <c r="W203" s="124">
        <v>10</v>
      </c>
      <c r="X203" s="124">
        <v>3500</v>
      </c>
      <c r="Y203" s="124">
        <v>2868</v>
      </c>
      <c r="Z203" s="124">
        <v>14</v>
      </c>
      <c r="AA203" s="124"/>
      <c r="AB203" s="124"/>
      <c r="AC203" s="124"/>
      <c r="AD203" s="124"/>
      <c r="AE203" s="126" t="inlineStr">
        <is>
          <t xml:space="preserve">Contrato</t>
        </is>
      </c>
    </row>
    <row r="204">
      <c r="A204" s="122">
        <v>46261</v>
      </c>
      <c r="B204" s="123" t="inlineStr">
        <is>
          <t xml:space="preserve">SUPPLY</t>
        </is>
      </c>
      <c r="C204" s="124">
        <v>3</v>
      </c>
      <c r="D204" s="124">
        <v>130</v>
      </c>
      <c r="E204" s="125">
        <v>101.18</v>
      </c>
      <c r="F204" s="124"/>
      <c r="G204" s="124"/>
      <c r="H204" s="124"/>
      <c r="I204" s="124"/>
      <c r="J204" s="124"/>
      <c r="K204" s="124"/>
      <c r="L204" s="124">
        <v>2</v>
      </c>
      <c r="M204" s="124">
        <v>90</v>
      </c>
      <c r="N204" s="125">
        <v>43.95</v>
      </c>
      <c r="O204" s="124"/>
      <c r="P204" s="124"/>
      <c r="Q204" s="124"/>
      <c r="R204" s="124"/>
      <c r="S204" s="124"/>
      <c r="T204" s="124"/>
      <c r="U204" s="124">
        <v>0</v>
      </c>
      <c r="V204" s="124">
        <v>0</v>
      </c>
      <c r="W204" s="124">
        <v>10</v>
      </c>
      <c r="X204" s="124">
        <v>1600</v>
      </c>
      <c r="Y204" s="124">
        <v>923</v>
      </c>
      <c r="Z204" s="124">
        <v>5</v>
      </c>
      <c r="AA204" s="124">
        <v>1</v>
      </c>
      <c r="AB204" s="124"/>
      <c r="AC204" s="124"/>
      <c r="AD204" s="124"/>
      <c r="AE204" s="126" t="inlineStr">
        <is>
          <t xml:space="preserve">Spot</t>
        </is>
      </c>
    </row>
    <row r="205">
      <c r="A205" s="122">
        <v>46261</v>
      </c>
      <c r="B205" s="123" t="inlineStr">
        <is>
          <t xml:space="preserve">GE VERNOVA</t>
        </is>
      </c>
      <c r="C205" s="124">
        <v>3</v>
      </c>
      <c r="D205" s="124">
        <v>115</v>
      </c>
      <c r="E205" s="125"/>
      <c r="F205" s="124"/>
      <c r="G205" s="124"/>
      <c r="H205" s="124"/>
      <c r="I205" s="124"/>
      <c r="J205" s="124">
        <v>131</v>
      </c>
      <c r="K205" s="124">
        <v>91</v>
      </c>
      <c r="L205" s="124">
        <v>7</v>
      </c>
      <c r="M205" s="124">
        <v>35</v>
      </c>
      <c r="N205" s="125"/>
      <c r="O205" s="124"/>
      <c r="P205" s="124"/>
      <c r="Q205" s="124"/>
      <c r="R205" s="124"/>
      <c r="S205" s="124">
        <v>244</v>
      </c>
      <c r="T205" s="124">
        <v>64</v>
      </c>
      <c r="U205" s="124">
        <v>0</v>
      </c>
      <c r="V205" s="124">
        <v>0</v>
      </c>
      <c r="W205" s="124">
        <v>7</v>
      </c>
      <c r="X205" s="124">
        <v>900</v>
      </c>
      <c r="Y205" s="124">
        <v>771</v>
      </c>
      <c r="Z205" s="124">
        <v>8</v>
      </c>
      <c r="AA205" s="124"/>
      <c r="AB205" s="124">
        <v>1</v>
      </c>
      <c r="AC205" s="124"/>
      <c r="AD205" s="124"/>
      <c r="AE205" s="126" t="inlineStr">
        <is>
          <t xml:space="preserve">Contrato</t>
        </is>
      </c>
    </row>
    <row r="206">
      <c r="A206" s="122">
        <v>46261</v>
      </c>
      <c r="B206" s="123" t="inlineStr">
        <is>
          <t xml:space="preserve">VESTAS</t>
        </is>
      </c>
      <c r="C206" s="124">
        <v>3</v>
      </c>
      <c r="D206" s="124"/>
      <c r="E206" s="125"/>
      <c r="F206" s="124"/>
      <c r="G206" s="124"/>
      <c r="H206" s="124"/>
      <c r="I206" s="124"/>
      <c r="J206" s="124"/>
      <c r="K206" s="124">
        <v>15</v>
      </c>
      <c r="L206" s="124">
        <v>9</v>
      </c>
      <c r="M206" s="124"/>
      <c r="N206" s="125"/>
      <c r="O206" s="124"/>
      <c r="P206" s="124"/>
      <c r="Q206" s="124"/>
      <c r="R206" s="124"/>
      <c r="S206" s="124"/>
      <c r="T206" s="124">
        <v>114</v>
      </c>
      <c r="U206" s="124">
        <v>0</v>
      </c>
      <c r="V206" s="124">
        <v>0</v>
      </c>
      <c r="W206" s="124">
        <v>14</v>
      </c>
      <c r="X206" s="124">
        <v>600</v>
      </c>
      <c r="Y206" s="124">
        <v>467</v>
      </c>
      <c r="Z206" s="124">
        <v>12</v>
      </c>
      <c r="AA206" s="124"/>
      <c r="AB206" s="124"/>
      <c r="AC206" s="124"/>
      <c r="AD206" s="124"/>
      <c r="AE206" s="126" t="inlineStr">
        <is>
          <t xml:space="preserve">Cross</t>
        </is>
      </c>
    </row>
    <row r="207">
      <c r="A207" s="122">
        <v>46261</v>
      </c>
      <c r="B207" s="123" t="inlineStr">
        <is>
          <t xml:space="preserve">VEDACIT</t>
        </is>
      </c>
      <c r="C207" s="124">
        <v>3</v>
      </c>
      <c r="D207" s="124">
        <v>79</v>
      </c>
      <c r="E207" s="125"/>
      <c r="F207" s="124"/>
      <c r="G207" s="124"/>
      <c r="H207" s="124"/>
      <c r="I207" s="124"/>
      <c r="J207" s="124"/>
      <c r="K207" s="124"/>
      <c r="L207" s="124">
        <v>7</v>
      </c>
      <c r="M207" s="124">
        <v>73</v>
      </c>
      <c r="N207" s="125"/>
      <c r="O207" s="124"/>
      <c r="P207" s="124"/>
      <c r="Q207" s="124"/>
      <c r="R207" s="124"/>
      <c r="S207" s="124"/>
      <c r="T207" s="124"/>
      <c r="U207" s="124">
        <v>0</v>
      </c>
      <c r="V207" s="124">
        <v>0</v>
      </c>
      <c r="W207" s="124"/>
      <c r="X207" s="124">
        <v>1400</v>
      </c>
      <c r="Y207" s="124">
        <v>1242</v>
      </c>
      <c r="Z207" s="124">
        <v>14</v>
      </c>
      <c r="AA207" s="124">
        <v>1</v>
      </c>
      <c r="AB207" s="124"/>
      <c r="AC207" s="124"/>
      <c r="AD207" s="124"/>
      <c r="AE207" s="126" t="inlineStr">
        <is>
          <t xml:space="preserve">Contrato</t>
        </is>
      </c>
    </row>
    <row r="208">
      <c r="A208" s="122">
        <v>46261</v>
      </c>
      <c r="B208" s="123" t="inlineStr">
        <is>
          <t xml:space="preserve">OMNLIFE</t>
        </is>
      </c>
      <c r="C208" s="124">
        <v>6</v>
      </c>
      <c r="D208" s="124">
        <v>72</v>
      </c>
      <c r="E208" s="125"/>
      <c r="F208" s="124"/>
      <c r="G208" s="124"/>
      <c r="H208" s="124"/>
      <c r="I208" s="124"/>
      <c r="J208" s="124"/>
      <c r="K208" s="124"/>
      <c r="L208" s="124">
        <v>4</v>
      </c>
      <c r="M208" s="124">
        <v>47</v>
      </c>
      <c r="N208" s="125"/>
      <c r="O208" s="124"/>
      <c r="P208" s="124"/>
      <c r="Q208" s="124"/>
      <c r="R208" s="124"/>
      <c r="S208" s="124"/>
      <c r="T208" s="124"/>
      <c r="U208" s="124">
        <v>0</v>
      </c>
      <c r="V208" s="124">
        <v>0</v>
      </c>
      <c r="W208" s="124"/>
      <c r="X208" s="124">
        <v>500</v>
      </c>
      <c r="Y208" s="124">
        <v>465</v>
      </c>
      <c r="Z208" s="124">
        <v>4</v>
      </c>
      <c r="AA208" s="124"/>
      <c r="AB208" s="124"/>
      <c r="AC208" s="124"/>
      <c r="AD208" s="124"/>
      <c r="AE208" s="126" t="inlineStr">
        <is>
          <t xml:space="preserve">Spot</t>
        </is>
      </c>
    </row>
    <row r="209">
      <c r="A209" s="122">
        <v>46261</v>
      </c>
      <c r="B209" s="123" t="inlineStr">
        <is>
          <t xml:space="preserve">ALPARGATAS</t>
        </is>
      </c>
      <c r="C209" s="124">
        <v>6</v>
      </c>
      <c r="D209" s="124"/>
      <c r="E209" s="125"/>
      <c r="F209" s="124">
        <v>1302</v>
      </c>
      <c r="G209" s="124"/>
      <c r="H209" s="124"/>
      <c r="I209" s="124"/>
      <c r="J209" s="124"/>
      <c r="K209" s="124"/>
      <c r="L209" s="124">
        <v>7</v>
      </c>
      <c r="M209" s="124"/>
      <c r="N209" s="125"/>
      <c r="O209" s="124">
        <v>1388</v>
      </c>
      <c r="P209" s="124"/>
      <c r="Q209" s="124"/>
      <c r="R209" s="124"/>
      <c r="S209" s="124"/>
      <c r="T209" s="124"/>
      <c r="U209" s="124">
        <v>0</v>
      </c>
      <c r="V209" s="124">
        <v>0</v>
      </c>
      <c r="W209" s="124"/>
      <c r="X209" s="124">
        <v>1800</v>
      </c>
      <c r="Y209" s="124">
        <v>1402</v>
      </c>
      <c r="Z209" s="124">
        <v>10</v>
      </c>
      <c r="AA209" s="124"/>
      <c r="AB209" s="124"/>
      <c r="AC209" s="124"/>
      <c r="AD209" s="124"/>
      <c r="AE209" s="126" t="inlineStr">
        <is>
          <t xml:space="preserve">Contrato</t>
        </is>
      </c>
    </row>
    <row r="210">
      <c r="A210" s="122">
        <v>46262</v>
      </c>
      <c r="B210" s="123" t="inlineStr">
        <is>
          <t xml:space="preserve">BASF</t>
        </is>
      </c>
      <c r="C210" s="124">
        <v>6</v>
      </c>
      <c r="D210" s="124">
        <v>75</v>
      </c>
      <c r="E210" s="125">
        <v>80.78</v>
      </c>
      <c r="F210" s="124"/>
      <c r="G210" s="124"/>
      <c r="H210" s="124"/>
      <c r="I210" s="124"/>
      <c r="J210" s="124"/>
      <c r="K210" s="124"/>
      <c r="L210" s="124">
        <v>8</v>
      </c>
      <c r="M210" s="124">
        <v>114</v>
      </c>
      <c r="N210" s="125">
        <v>55.27</v>
      </c>
      <c r="O210" s="124"/>
      <c r="P210" s="124"/>
      <c r="Q210" s="124"/>
      <c r="R210" s="124"/>
      <c r="S210" s="124"/>
      <c r="T210" s="124"/>
      <c r="U210" s="124">
        <v>0</v>
      </c>
      <c r="V210" s="124">
        <v>0</v>
      </c>
      <c r="W210" s="124">
        <v>8</v>
      </c>
      <c r="X210" s="124">
        <v>2200</v>
      </c>
      <c r="Y210" s="124">
        <v>1452</v>
      </c>
      <c r="Z210" s="124">
        <v>11</v>
      </c>
      <c r="AA210" s="124"/>
      <c r="AB210" s="124"/>
      <c r="AC210" s="124"/>
      <c r="AD210" s="124"/>
      <c r="AE210" s="126" t="inlineStr">
        <is>
          <t xml:space="preserve">Contrato</t>
        </is>
      </c>
    </row>
    <row r="211">
      <c r="A211" s="122">
        <v>46262</v>
      </c>
      <c r="B211" s="123" t="inlineStr">
        <is>
          <t xml:space="preserve">BEAUTYBIZ</t>
        </is>
      </c>
      <c r="C211" s="124">
        <v>8</v>
      </c>
      <c r="D211" s="124">
        <v>29</v>
      </c>
      <c r="E211" s="125"/>
      <c r="F211" s="124">
        <v>1965</v>
      </c>
      <c r="G211" s="124"/>
      <c r="H211" s="124"/>
      <c r="I211" s="124"/>
      <c r="J211" s="124"/>
      <c r="K211" s="124"/>
      <c r="L211" s="124">
        <v>5</v>
      </c>
      <c r="M211" s="124">
        <v>48</v>
      </c>
      <c r="N211" s="125"/>
      <c r="O211" s="124"/>
      <c r="P211" s="124">
        <v>184</v>
      </c>
      <c r="Q211" s="124"/>
      <c r="R211" s="124"/>
      <c r="S211" s="124"/>
      <c r="T211" s="124"/>
      <c r="U211" s="124">
        <v>0</v>
      </c>
      <c r="V211" s="124">
        <v>0</v>
      </c>
      <c r="W211" s="124">
        <v>14</v>
      </c>
      <c r="X211" s="124">
        <v>1200</v>
      </c>
      <c r="Y211" s="124">
        <v>749</v>
      </c>
      <c r="Z211" s="124">
        <v>14</v>
      </c>
      <c r="AA211" s="124"/>
      <c r="AB211" s="124">
        <v>1</v>
      </c>
      <c r="AC211" s="124"/>
      <c r="AD211" s="124"/>
      <c r="AE211" s="126" t="inlineStr">
        <is>
          <t xml:space="preserve">Contrato</t>
        </is>
      </c>
    </row>
    <row r="212">
      <c r="A212" s="122">
        <v>46262</v>
      </c>
      <c r="B212" s="123" t="inlineStr">
        <is>
          <t xml:space="preserve">BOTICÁRIO</t>
        </is>
      </c>
      <c r="C212" s="124">
        <v>7</v>
      </c>
      <c r="D212" s="124"/>
      <c r="E212" s="125"/>
      <c r="F212" s="124"/>
      <c r="G212" s="124">
        <v>1439</v>
      </c>
      <c r="H212" s="124">
        <v>112</v>
      </c>
      <c r="I212" s="124">
        <v>301</v>
      </c>
      <c r="J212" s="124"/>
      <c r="K212" s="124"/>
      <c r="L212" s="124">
        <v>3</v>
      </c>
      <c r="M212" s="124">
        <v>92</v>
      </c>
      <c r="N212" s="125"/>
      <c r="O212" s="124"/>
      <c r="P212" s="124"/>
      <c r="Q212" s="124">
        <v>524</v>
      </c>
      <c r="R212" s="124">
        <v>7524</v>
      </c>
      <c r="S212" s="124"/>
      <c r="T212" s="124"/>
      <c r="U212" s="124">
        <v>0</v>
      </c>
      <c r="V212" s="124">
        <v>0</v>
      </c>
      <c r="W212" s="124"/>
      <c r="X212" s="124">
        <v>3500</v>
      </c>
      <c r="Y212" s="124">
        <v>3390</v>
      </c>
      <c r="Z212" s="124">
        <v>5</v>
      </c>
      <c r="AA212" s="124"/>
      <c r="AB212" s="124"/>
      <c r="AC212" s="124"/>
      <c r="AD212" s="124"/>
      <c r="AE212" s="126" t="inlineStr">
        <is>
          <t xml:space="preserve">Contrato</t>
        </is>
      </c>
    </row>
    <row r="213">
      <c r="A213" s="122">
        <v>46262</v>
      </c>
      <c r="B213" s="123" t="inlineStr">
        <is>
          <t xml:space="preserve">SUPPLY</t>
        </is>
      </c>
      <c r="C213" s="124">
        <v>3</v>
      </c>
      <c r="D213" s="124">
        <v>115</v>
      </c>
      <c r="E213" s="125">
        <v>60.87</v>
      </c>
      <c r="F213" s="124"/>
      <c r="G213" s="124"/>
      <c r="H213" s="124"/>
      <c r="I213" s="124"/>
      <c r="J213" s="124"/>
      <c r="K213" s="124"/>
      <c r="L213" s="124">
        <v>7</v>
      </c>
      <c r="M213" s="124">
        <v>53</v>
      </c>
      <c r="N213" s="125">
        <v>61.35</v>
      </c>
      <c r="O213" s="124"/>
      <c r="P213" s="124"/>
      <c r="Q213" s="124"/>
      <c r="R213" s="124"/>
      <c r="S213" s="124"/>
      <c r="T213" s="124"/>
      <c r="U213" s="124">
        <v>0</v>
      </c>
      <c r="V213" s="124">
        <v>0</v>
      </c>
      <c r="W213" s="124">
        <v>6</v>
      </c>
      <c r="X213" s="124">
        <v>1600</v>
      </c>
      <c r="Y213" s="124">
        <v>880</v>
      </c>
      <c r="Z213" s="124">
        <v>8</v>
      </c>
      <c r="AA213" s="124">
        <v>1</v>
      </c>
      <c r="AB213" s="124"/>
      <c r="AC213" s="124"/>
      <c r="AD213" s="124"/>
      <c r="AE213" s="126" t="inlineStr">
        <is>
          <t xml:space="preserve">Spot</t>
        </is>
      </c>
    </row>
    <row r="214">
      <c r="A214" s="122">
        <v>46262</v>
      </c>
      <c r="B214" s="123" t="inlineStr">
        <is>
          <t xml:space="preserve">GE VERNOVA</t>
        </is>
      </c>
      <c r="C214" s="124">
        <v>4</v>
      </c>
      <c r="D214" s="124">
        <v>53</v>
      </c>
      <c r="E214" s="125"/>
      <c r="F214" s="124"/>
      <c r="G214" s="124"/>
      <c r="H214" s="124"/>
      <c r="I214" s="124"/>
      <c r="J214" s="124">
        <v>508</v>
      </c>
      <c r="K214" s="124">
        <v>20</v>
      </c>
      <c r="L214" s="124">
        <v>8</v>
      </c>
      <c r="M214" s="124">
        <v>140</v>
      </c>
      <c r="N214" s="125"/>
      <c r="O214" s="124"/>
      <c r="P214" s="124"/>
      <c r="Q214" s="124"/>
      <c r="R214" s="124"/>
      <c r="S214" s="124">
        <v>160</v>
      </c>
      <c r="T214" s="124">
        <v>56</v>
      </c>
      <c r="U214" s="124">
        <v>0</v>
      </c>
      <c r="V214" s="124">
        <v>0</v>
      </c>
      <c r="W214" s="124"/>
      <c r="X214" s="124">
        <v>900</v>
      </c>
      <c r="Y214" s="124">
        <v>511</v>
      </c>
      <c r="Z214" s="124">
        <v>11</v>
      </c>
      <c r="AA214" s="124"/>
      <c r="AB214" s="124">
        <v>1</v>
      </c>
      <c r="AC214" s="124"/>
      <c r="AD214" s="124"/>
      <c r="AE214" s="126" t="inlineStr">
        <is>
          <t xml:space="preserve">Contrato</t>
        </is>
      </c>
    </row>
    <row r="215">
      <c r="A215" s="122">
        <v>46262</v>
      </c>
      <c r="B215" s="123" t="inlineStr">
        <is>
          <t xml:space="preserve">VESTAS</t>
        </is>
      </c>
      <c r="C215" s="124">
        <v>5</v>
      </c>
      <c r="D215" s="124"/>
      <c r="E215" s="125"/>
      <c r="F215" s="124"/>
      <c r="G215" s="124"/>
      <c r="H215" s="124"/>
      <c r="I215" s="124"/>
      <c r="J215" s="124"/>
      <c r="K215" s="124">
        <v>76</v>
      </c>
      <c r="L215" s="124">
        <v>4</v>
      </c>
      <c r="M215" s="124"/>
      <c r="N215" s="125"/>
      <c r="O215" s="124"/>
      <c r="P215" s="124"/>
      <c r="Q215" s="124"/>
      <c r="R215" s="124"/>
      <c r="S215" s="124"/>
      <c r="T215" s="124">
        <v>36</v>
      </c>
      <c r="U215" s="124">
        <v>0</v>
      </c>
      <c r="V215" s="124">
        <v>0</v>
      </c>
      <c r="W215" s="124"/>
      <c r="X215" s="124">
        <v>600</v>
      </c>
      <c r="Y215" s="124">
        <v>576</v>
      </c>
      <c r="Z215" s="124">
        <v>13</v>
      </c>
      <c r="AA215" s="124"/>
      <c r="AB215" s="124"/>
      <c r="AC215" s="124"/>
      <c r="AD215" s="124"/>
      <c r="AE215" s="126" t="inlineStr">
        <is>
          <t xml:space="preserve">Cross</t>
        </is>
      </c>
    </row>
    <row r="216">
      <c r="A216" s="122">
        <v>46262</v>
      </c>
      <c r="B216" s="123" t="inlineStr">
        <is>
          <t xml:space="preserve">VEDACIT</t>
        </is>
      </c>
      <c r="C216" s="124">
        <v>7</v>
      </c>
      <c r="D216" s="124">
        <v>73</v>
      </c>
      <c r="E216" s="125"/>
      <c r="F216" s="124"/>
      <c r="G216" s="124"/>
      <c r="H216" s="124"/>
      <c r="I216" s="124"/>
      <c r="J216" s="124"/>
      <c r="K216" s="124"/>
      <c r="L216" s="124">
        <v>7</v>
      </c>
      <c r="M216" s="124">
        <v>89</v>
      </c>
      <c r="N216" s="125"/>
      <c r="O216" s="124"/>
      <c r="P216" s="124"/>
      <c r="Q216" s="124"/>
      <c r="R216" s="124"/>
      <c r="S216" s="124"/>
      <c r="T216" s="124"/>
      <c r="U216" s="124">
        <v>0</v>
      </c>
      <c r="V216" s="124">
        <v>0</v>
      </c>
      <c r="W216" s="124">
        <v>14</v>
      </c>
      <c r="X216" s="124">
        <v>1400</v>
      </c>
      <c r="Y216" s="124">
        <v>1319</v>
      </c>
      <c r="Z216" s="124">
        <v>10</v>
      </c>
      <c r="AA216" s="124"/>
      <c r="AB216" s="124"/>
      <c r="AC216" s="124"/>
      <c r="AD216" s="124"/>
      <c r="AE216" s="126" t="inlineStr">
        <is>
          <t xml:space="preserve">Contrato</t>
        </is>
      </c>
    </row>
    <row r="217">
      <c r="A217" s="122">
        <v>46262</v>
      </c>
      <c r="B217" s="123" t="inlineStr">
        <is>
          <t xml:space="preserve">OMNLIFE</t>
        </is>
      </c>
      <c r="C217" s="124">
        <v>5</v>
      </c>
      <c r="D217" s="124">
        <v>91</v>
      </c>
      <c r="E217" s="125"/>
      <c r="F217" s="124"/>
      <c r="G217" s="124"/>
      <c r="H217" s="124"/>
      <c r="I217" s="124"/>
      <c r="J217" s="124"/>
      <c r="K217" s="124"/>
      <c r="L217" s="124">
        <v>10</v>
      </c>
      <c r="M217" s="124">
        <v>113</v>
      </c>
      <c r="N217" s="125"/>
      <c r="O217" s="124"/>
      <c r="P217" s="124"/>
      <c r="Q217" s="124"/>
      <c r="R217" s="124"/>
      <c r="S217" s="124"/>
      <c r="T217" s="124"/>
      <c r="U217" s="124">
        <v>0</v>
      </c>
      <c r="V217" s="124">
        <v>0</v>
      </c>
      <c r="W217" s="124">
        <v>9</v>
      </c>
      <c r="X217" s="124">
        <v>500</v>
      </c>
      <c r="Y217" s="124">
        <v>391</v>
      </c>
      <c r="Z217" s="124">
        <v>10</v>
      </c>
      <c r="AA217" s="124"/>
      <c r="AB217" s="124"/>
      <c r="AC217" s="124"/>
      <c r="AD217" s="124"/>
      <c r="AE217" s="126" t="inlineStr">
        <is>
          <t xml:space="preserve">Spot</t>
        </is>
      </c>
    </row>
    <row r="218">
      <c r="A218" s="122">
        <v>46262</v>
      </c>
      <c r="B218" s="123" t="inlineStr">
        <is>
          <t xml:space="preserve">ALPARGATAS</t>
        </is>
      </c>
      <c r="C218" s="124">
        <v>7</v>
      </c>
      <c r="D218" s="124"/>
      <c r="E218" s="125"/>
      <c r="F218" s="124">
        <v>523</v>
      </c>
      <c r="G218" s="124"/>
      <c r="H218" s="124"/>
      <c r="I218" s="124"/>
      <c r="J218" s="124"/>
      <c r="K218" s="124"/>
      <c r="L218" s="124">
        <v>2</v>
      </c>
      <c r="M218" s="124"/>
      <c r="N218" s="125"/>
      <c r="O218" s="124">
        <v>2032</v>
      </c>
      <c r="P218" s="124"/>
      <c r="Q218" s="124"/>
      <c r="R218" s="124"/>
      <c r="S218" s="124"/>
      <c r="T218" s="124"/>
      <c r="U218" s="124">
        <v>0</v>
      </c>
      <c r="V218" s="124">
        <v>1</v>
      </c>
      <c r="W218" s="124"/>
      <c r="X218" s="124">
        <v>1800</v>
      </c>
      <c r="Y218" s="124">
        <v>1527</v>
      </c>
      <c r="Z218" s="124">
        <v>11</v>
      </c>
      <c r="AA218" s="124"/>
      <c r="AB218" s="124"/>
      <c r="AC218" s="124"/>
      <c r="AD218" s="124"/>
      <c r="AE218" s="126" t="inlineStr">
        <is>
          <t xml:space="preserve">Contrato</t>
        </is>
      </c>
    </row>
    <row r="219">
      <c r="A219" s="122">
        <v>46263</v>
      </c>
      <c r="B219" s="123" t="inlineStr">
        <is>
          <t xml:space="preserve">BASF</t>
        </is>
      </c>
      <c r="C219" s="124">
        <v>2</v>
      </c>
      <c r="D219" s="124">
        <v>76</v>
      </c>
      <c r="E219" s="125">
        <v>21.26</v>
      </c>
      <c r="F219" s="124"/>
      <c r="G219" s="124"/>
      <c r="H219" s="124"/>
      <c r="I219" s="124"/>
      <c r="J219" s="124"/>
      <c r="K219" s="124"/>
      <c r="L219" s="124">
        <v>8</v>
      </c>
      <c r="M219" s="124">
        <v>64</v>
      </c>
      <c r="N219" s="125">
        <v>38.78</v>
      </c>
      <c r="O219" s="124"/>
      <c r="P219" s="124"/>
      <c r="Q219" s="124"/>
      <c r="R219" s="124"/>
      <c r="S219" s="124"/>
      <c r="T219" s="124"/>
      <c r="U219" s="124">
        <v>0</v>
      </c>
      <c r="V219" s="124">
        <v>0</v>
      </c>
      <c r="W219" s="124"/>
      <c r="X219" s="124">
        <v>2200</v>
      </c>
      <c r="Y219" s="124">
        <v>1690</v>
      </c>
      <c r="Z219" s="124">
        <v>5</v>
      </c>
      <c r="AA219" s="124"/>
      <c r="AB219" s="124"/>
      <c r="AC219" s="124"/>
      <c r="AD219" s="124"/>
      <c r="AE219" s="126" t="inlineStr">
        <is>
          <t xml:space="preserve">Contrato</t>
        </is>
      </c>
    </row>
    <row r="220">
      <c r="A220" s="122">
        <v>46263</v>
      </c>
      <c r="B220" s="123" t="inlineStr">
        <is>
          <t xml:space="preserve">BEAUTYBIZ</t>
        </is>
      </c>
      <c r="C220" s="124">
        <v>5</v>
      </c>
      <c r="D220" s="124">
        <v>78</v>
      </c>
      <c r="E220" s="125"/>
      <c r="F220" s="124">
        <v>412</v>
      </c>
      <c r="G220" s="124"/>
      <c r="H220" s="124"/>
      <c r="I220" s="124"/>
      <c r="J220" s="124"/>
      <c r="K220" s="124"/>
      <c r="L220" s="124">
        <v>5</v>
      </c>
      <c r="M220" s="124">
        <v>141</v>
      </c>
      <c r="N220" s="125"/>
      <c r="O220" s="124"/>
      <c r="P220" s="124">
        <v>577</v>
      </c>
      <c r="Q220" s="124"/>
      <c r="R220" s="124"/>
      <c r="S220" s="124"/>
      <c r="T220" s="124"/>
      <c r="U220" s="124">
        <v>0</v>
      </c>
      <c r="V220" s="124">
        <v>0</v>
      </c>
      <c r="W220" s="124">
        <v>1</v>
      </c>
      <c r="X220" s="124">
        <v>1200</v>
      </c>
      <c r="Y220" s="124">
        <v>764</v>
      </c>
      <c r="Z220" s="124">
        <v>14</v>
      </c>
      <c r="AA220" s="124"/>
      <c r="AB220" s="124"/>
      <c r="AC220" s="124"/>
      <c r="AD220" s="124"/>
      <c r="AE220" s="126" t="inlineStr">
        <is>
          <t xml:space="preserve">Contrato</t>
        </is>
      </c>
    </row>
    <row r="221">
      <c r="A221" s="122">
        <v>46263</v>
      </c>
      <c r="B221" s="123" t="inlineStr">
        <is>
          <t xml:space="preserve">BOTICÁRIO</t>
        </is>
      </c>
      <c r="C221" s="124">
        <v>4</v>
      </c>
      <c r="D221" s="124"/>
      <c r="E221" s="125"/>
      <c r="F221" s="124"/>
      <c r="G221" s="124">
        <v>4967</v>
      </c>
      <c r="H221" s="124">
        <v>128</v>
      </c>
      <c r="I221" s="124">
        <v>835</v>
      </c>
      <c r="J221" s="124"/>
      <c r="K221" s="124"/>
      <c r="L221" s="124">
        <v>7</v>
      </c>
      <c r="M221" s="124">
        <v>94</v>
      </c>
      <c r="N221" s="125"/>
      <c r="O221" s="124"/>
      <c r="P221" s="124"/>
      <c r="Q221" s="124">
        <v>203</v>
      </c>
      <c r="R221" s="124">
        <v>3856</v>
      </c>
      <c r="S221" s="124"/>
      <c r="T221" s="124"/>
      <c r="U221" s="124">
        <v>0</v>
      </c>
      <c r="V221" s="124">
        <v>0</v>
      </c>
      <c r="W221" s="124"/>
      <c r="X221" s="124">
        <v>3500</v>
      </c>
      <c r="Y221" s="124">
        <v>2327</v>
      </c>
      <c r="Z221" s="124">
        <v>11</v>
      </c>
      <c r="AA221" s="124"/>
      <c r="AB221" s="124"/>
      <c r="AC221" s="124"/>
      <c r="AD221" s="124"/>
      <c r="AE221" s="126" t="inlineStr">
        <is>
          <t xml:space="preserve">Contrato</t>
        </is>
      </c>
    </row>
    <row r="222">
      <c r="A222" s="122">
        <v>46263</v>
      </c>
      <c r="B222" s="123" t="inlineStr">
        <is>
          <t xml:space="preserve">SUPPLY</t>
        </is>
      </c>
      <c r="C222" s="124">
        <v>5</v>
      </c>
      <c r="D222" s="124">
        <v>150</v>
      </c>
      <c r="E222" s="125">
        <v>70.61</v>
      </c>
      <c r="F222" s="124"/>
      <c r="G222" s="124"/>
      <c r="H222" s="124"/>
      <c r="I222" s="124"/>
      <c r="J222" s="124"/>
      <c r="K222" s="124"/>
      <c r="L222" s="124">
        <v>10</v>
      </c>
      <c r="M222" s="124">
        <v>28</v>
      </c>
      <c r="N222" s="125">
        <v>69.22</v>
      </c>
      <c r="O222" s="124"/>
      <c r="P222" s="124"/>
      <c r="Q222" s="124"/>
      <c r="R222" s="124"/>
      <c r="S222" s="124"/>
      <c r="T222" s="124"/>
      <c r="U222" s="124">
        <v>0</v>
      </c>
      <c r="V222" s="124">
        <v>1</v>
      </c>
      <c r="W222" s="124"/>
      <c r="X222" s="124">
        <v>1600</v>
      </c>
      <c r="Y222" s="124">
        <v>928</v>
      </c>
      <c r="Z222" s="124">
        <v>13</v>
      </c>
      <c r="AA222" s="124"/>
      <c r="AB222" s="124">
        <v>1</v>
      </c>
      <c r="AC222" s="124"/>
      <c r="AD222" s="124"/>
      <c r="AE222" s="126" t="inlineStr">
        <is>
          <t xml:space="preserve">Spot</t>
        </is>
      </c>
    </row>
    <row r="223">
      <c r="A223" s="122">
        <v>46263</v>
      </c>
      <c r="B223" s="123" t="inlineStr">
        <is>
          <t xml:space="preserve">GE VERNOVA</t>
        </is>
      </c>
      <c r="C223" s="124">
        <v>3</v>
      </c>
      <c r="D223" s="124">
        <v>50</v>
      </c>
      <c r="E223" s="125"/>
      <c r="F223" s="124"/>
      <c r="G223" s="124"/>
      <c r="H223" s="124"/>
      <c r="I223" s="124"/>
      <c r="J223" s="124">
        <v>446</v>
      </c>
      <c r="K223" s="124">
        <v>92</v>
      </c>
      <c r="L223" s="124">
        <v>10</v>
      </c>
      <c r="M223" s="124">
        <v>94</v>
      </c>
      <c r="N223" s="125"/>
      <c r="O223" s="124"/>
      <c r="P223" s="124"/>
      <c r="Q223" s="124"/>
      <c r="R223" s="124"/>
      <c r="S223" s="124">
        <v>137</v>
      </c>
      <c r="T223" s="124">
        <v>95</v>
      </c>
      <c r="U223" s="124">
        <v>0</v>
      </c>
      <c r="V223" s="124">
        <v>0</v>
      </c>
      <c r="W223" s="124"/>
      <c r="X223" s="124">
        <v>900</v>
      </c>
      <c r="Y223" s="124">
        <v>571</v>
      </c>
      <c r="Z223" s="124">
        <v>5</v>
      </c>
      <c r="AA223" s="124"/>
      <c r="AB223" s="124"/>
      <c r="AC223" s="124"/>
      <c r="AD223" s="124"/>
      <c r="AE223" s="126" t="inlineStr">
        <is>
          <t xml:space="preserve">Contrato</t>
        </is>
      </c>
    </row>
    <row r="224">
      <c r="A224" s="122">
        <v>46263</v>
      </c>
      <c r="B224" s="123" t="inlineStr">
        <is>
          <t xml:space="preserve">VESTAS</t>
        </is>
      </c>
      <c r="C224" s="124">
        <v>8</v>
      </c>
      <c r="D224" s="124"/>
      <c r="E224" s="125"/>
      <c r="F224" s="124"/>
      <c r="G224" s="124"/>
      <c r="H224" s="124"/>
      <c r="I224" s="124"/>
      <c r="J224" s="124"/>
      <c r="K224" s="124">
        <v>85</v>
      </c>
      <c r="L224" s="124">
        <v>3</v>
      </c>
      <c r="M224" s="124"/>
      <c r="N224" s="125"/>
      <c r="O224" s="124"/>
      <c r="P224" s="124"/>
      <c r="Q224" s="124"/>
      <c r="R224" s="124"/>
      <c r="S224" s="124"/>
      <c r="T224" s="124">
        <v>16</v>
      </c>
      <c r="U224" s="124">
        <v>0</v>
      </c>
      <c r="V224" s="124">
        <v>1</v>
      </c>
      <c r="W224" s="124"/>
      <c r="X224" s="124">
        <v>600</v>
      </c>
      <c r="Y224" s="124">
        <v>403</v>
      </c>
      <c r="Z224" s="124">
        <v>7</v>
      </c>
      <c r="AA224" s="124"/>
      <c r="AB224" s="124"/>
      <c r="AC224" s="124"/>
      <c r="AD224" s="124"/>
      <c r="AE224" s="126" t="inlineStr">
        <is>
          <t xml:space="preserve">Cross</t>
        </is>
      </c>
    </row>
    <row r="225">
      <c r="A225" s="122">
        <v>46263</v>
      </c>
      <c r="B225" s="123" t="inlineStr">
        <is>
          <t xml:space="preserve">VEDACIT</t>
        </is>
      </c>
      <c r="C225" s="124">
        <v>4</v>
      </c>
      <c r="D225" s="124">
        <v>56</v>
      </c>
      <c r="E225" s="125"/>
      <c r="F225" s="124"/>
      <c r="G225" s="124"/>
      <c r="H225" s="124"/>
      <c r="I225" s="124"/>
      <c r="J225" s="124"/>
      <c r="K225" s="124"/>
      <c r="L225" s="124">
        <v>7</v>
      </c>
      <c r="M225" s="124">
        <v>50</v>
      </c>
      <c r="N225" s="125"/>
      <c r="O225" s="124"/>
      <c r="P225" s="124"/>
      <c r="Q225" s="124"/>
      <c r="R225" s="124"/>
      <c r="S225" s="124"/>
      <c r="T225" s="124"/>
      <c r="U225" s="124">
        <v>0</v>
      </c>
      <c r="V225" s="124">
        <v>0</v>
      </c>
      <c r="W225" s="124">
        <v>1</v>
      </c>
      <c r="X225" s="124">
        <v>1400</v>
      </c>
      <c r="Y225" s="124">
        <v>962</v>
      </c>
      <c r="Z225" s="124">
        <v>6</v>
      </c>
      <c r="AA225" s="124"/>
      <c r="AB225" s="124"/>
      <c r="AC225" s="124"/>
      <c r="AD225" s="124"/>
      <c r="AE225" s="126" t="inlineStr">
        <is>
          <t xml:space="preserve">Contrato</t>
        </is>
      </c>
    </row>
    <row r="226">
      <c r="A226" s="122">
        <v>46263</v>
      </c>
      <c r="B226" s="123" t="inlineStr">
        <is>
          <t xml:space="preserve">OMNLIFE</t>
        </is>
      </c>
      <c r="C226" s="124">
        <v>5</v>
      </c>
      <c r="D226" s="124">
        <v>121</v>
      </c>
      <c r="E226" s="125"/>
      <c r="F226" s="124"/>
      <c r="G226" s="124"/>
      <c r="H226" s="124"/>
      <c r="I226" s="124"/>
      <c r="J226" s="124"/>
      <c r="K226" s="124"/>
      <c r="L226" s="124">
        <v>6</v>
      </c>
      <c r="M226" s="124">
        <v>115</v>
      </c>
      <c r="N226" s="125"/>
      <c r="O226" s="124"/>
      <c r="P226" s="124"/>
      <c r="Q226" s="124"/>
      <c r="R226" s="124"/>
      <c r="S226" s="124"/>
      <c r="T226" s="124"/>
      <c r="U226" s="124">
        <v>0</v>
      </c>
      <c r="V226" s="124">
        <v>0</v>
      </c>
      <c r="W226" s="124">
        <v>6</v>
      </c>
      <c r="X226" s="124">
        <v>500</v>
      </c>
      <c r="Y226" s="124">
        <v>484</v>
      </c>
      <c r="Z226" s="124">
        <v>12</v>
      </c>
      <c r="AA226" s="124"/>
      <c r="AB226" s="124"/>
      <c r="AC226" s="124"/>
      <c r="AD226" s="124"/>
      <c r="AE226" s="126" t="inlineStr">
        <is>
          <t xml:space="preserve">Spot</t>
        </is>
      </c>
    </row>
    <row r="227">
      <c r="A227" s="122">
        <v>46263</v>
      </c>
      <c r="B227" s="123" t="inlineStr">
        <is>
          <t xml:space="preserve">ALPARGATAS</t>
        </is>
      </c>
      <c r="C227" s="124">
        <v>5</v>
      </c>
      <c r="D227" s="124"/>
      <c r="E227" s="125"/>
      <c r="F227" s="124">
        <v>2345</v>
      </c>
      <c r="G227" s="124"/>
      <c r="H227" s="124"/>
      <c r="I227" s="124"/>
      <c r="J227" s="124"/>
      <c r="K227" s="124"/>
      <c r="L227" s="124">
        <v>2</v>
      </c>
      <c r="M227" s="124"/>
      <c r="N227" s="125"/>
      <c r="O227" s="124">
        <v>1414</v>
      </c>
      <c r="P227" s="124"/>
      <c r="Q227" s="124"/>
      <c r="R227" s="124"/>
      <c r="S227" s="124"/>
      <c r="T227" s="124"/>
      <c r="U227" s="124">
        <v>0</v>
      </c>
      <c r="V227" s="124">
        <v>0</v>
      </c>
      <c r="W227" s="124"/>
      <c r="X227" s="124">
        <v>1800</v>
      </c>
      <c r="Y227" s="124">
        <v>1056</v>
      </c>
      <c r="Z227" s="124">
        <v>6</v>
      </c>
      <c r="AA227" s="124"/>
      <c r="AB227" s="124"/>
      <c r="AC227" s="124"/>
      <c r="AD227" s="124"/>
      <c r="AE227" s="126" t="inlineStr">
        <is>
          <t xml:space="preserve">Contrato</t>
        </is>
      </c>
    </row>
    <row r="228">
      <c r="A228" s="122">
        <v>46265</v>
      </c>
      <c r="B228" s="123" t="inlineStr">
        <is>
          <t xml:space="preserve">BASF</t>
        </is>
      </c>
      <c r="C228" s="124">
        <v>6</v>
      </c>
      <c r="D228" s="124">
        <v>61</v>
      </c>
      <c r="E228" s="125">
        <v>87.51</v>
      </c>
      <c r="F228" s="124"/>
      <c r="G228" s="124"/>
      <c r="H228" s="124"/>
      <c r="I228" s="124"/>
      <c r="J228" s="124"/>
      <c r="K228" s="124"/>
      <c r="L228" s="124">
        <v>3</v>
      </c>
      <c r="M228" s="124">
        <v>20</v>
      </c>
      <c r="N228" s="125">
        <v>39.3</v>
      </c>
      <c r="O228" s="124"/>
      <c r="P228" s="124"/>
      <c r="Q228" s="124"/>
      <c r="R228" s="124"/>
      <c r="S228" s="124"/>
      <c r="T228" s="124"/>
      <c r="U228" s="124">
        <v>0</v>
      </c>
      <c r="V228" s="124">
        <v>0</v>
      </c>
      <c r="W228" s="124">
        <v>11</v>
      </c>
      <c r="X228" s="124">
        <v>2200</v>
      </c>
      <c r="Y228" s="124">
        <v>1625</v>
      </c>
      <c r="Z228" s="124">
        <v>7</v>
      </c>
      <c r="AA228" s="124"/>
      <c r="AB228" s="124"/>
      <c r="AC228" s="124"/>
      <c r="AD228" s="124"/>
      <c r="AE228" s="126" t="inlineStr">
        <is>
          <t xml:space="preserve">Contrato</t>
        </is>
      </c>
    </row>
    <row r="229">
      <c r="A229" s="122">
        <v>46265</v>
      </c>
      <c r="B229" s="123" t="inlineStr">
        <is>
          <t xml:space="preserve">BEAUTYBIZ</t>
        </is>
      </c>
      <c r="C229" s="124">
        <v>7</v>
      </c>
      <c r="D229" s="124">
        <v>121</v>
      </c>
      <c r="E229" s="125"/>
      <c r="F229" s="124">
        <v>1300</v>
      </c>
      <c r="G229" s="124"/>
      <c r="H229" s="124"/>
      <c r="I229" s="124"/>
      <c r="J229" s="124"/>
      <c r="K229" s="124"/>
      <c r="L229" s="124">
        <v>9</v>
      </c>
      <c r="M229" s="124">
        <v>35</v>
      </c>
      <c r="N229" s="125"/>
      <c r="O229" s="124"/>
      <c r="P229" s="124">
        <v>180</v>
      </c>
      <c r="Q229" s="124"/>
      <c r="R229" s="124"/>
      <c r="S229" s="124"/>
      <c r="T229" s="124"/>
      <c r="U229" s="124">
        <v>0</v>
      </c>
      <c r="V229" s="124">
        <v>1</v>
      </c>
      <c r="W229" s="124">
        <v>3</v>
      </c>
      <c r="X229" s="124">
        <v>1200</v>
      </c>
      <c r="Y229" s="124">
        <v>868</v>
      </c>
      <c r="Z229" s="124">
        <v>6</v>
      </c>
      <c r="AA229" s="124"/>
      <c r="AB229" s="124"/>
      <c r="AC229" s="124"/>
      <c r="AD229" s="124"/>
      <c r="AE229" s="126" t="inlineStr">
        <is>
          <t xml:space="preserve">Contrato</t>
        </is>
      </c>
    </row>
    <row r="230">
      <c r="A230" s="122">
        <v>46265</v>
      </c>
      <c r="B230" s="123" t="inlineStr">
        <is>
          <t xml:space="preserve">BOTICÁRIO</t>
        </is>
      </c>
      <c r="C230" s="124">
        <v>7</v>
      </c>
      <c r="D230" s="124"/>
      <c r="E230" s="125"/>
      <c r="F230" s="124"/>
      <c r="G230" s="124">
        <v>2669</v>
      </c>
      <c r="H230" s="124">
        <v>285</v>
      </c>
      <c r="I230" s="124">
        <v>172</v>
      </c>
      <c r="J230" s="124"/>
      <c r="K230" s="124"/>
      <c r="L230" s="124">
        <v>2</v>
      </c>
      <c r="M230" s="124">
        <v>62</v>
      </c>
      <c r="N230" s="125"/>
      <c r="O230" s="124"/>
      <c r="P230" s="124"/>
      <c r="Q230" s="124">
        <v>827</v>
      </c>
      <c r="R230" s="124">
        <v>7775</v>
      </c>
      <c r="S230" s="124"/>
      <c r="T230" s="124"/>
      <c r="U230" s="124">
        <v>0</v>
      </c>
      <c r="V230" s="124">
        <v>0</v>
      </c>
      <c r="W230" s="124">
        <v>4</v>
      </c>
      <c r="X230" s="124">
        <v>3500</v>
      </c>
      <c r="Y230" s="124">
        <v>2654</v>
      </c>
      <c r="Z230" s="124">
        <v>12</v>
      </c>
      <c r="AA230" s="124"/>
      <c r="AB230" s="124"/>
      <c r="AC230" s="124"/>
      <c r="AD230" s="124"/>
      <c r="AE230" s="126" t="inlineStr">
        <is>
          <t xml:space="preserve">Contrato</t>
        </is>
      </c>
    </row>
    <row r="231">
      <c r="A231" s="122">
        <v>46265</v>
      </c>
      <c r="B231" s="123" t="inlineStr">
        <is>
          <t xml:space="preserve">SUPPLY</t>
        </is>
      </c>
      <c r="C231" s="124">
        <v>2</v>
      </c>
      <c r="D231" s="124">
        <v>55</v>
      </c>
      <c r="E231" s="125">
        <v>133.67</v>
      </c>
      <c r="F231" s="124"/>
      <c r="G231" s="124"/>
      <c r="H231" s="124"/>
      <c r="I231" s="124"/>
      <c r="J231" s="124"/>
      <c r="K231" s="124"/>
      <c r="L231" s="124">
        <v>4</v>
      </c>
      <c r="M231" s="124">
        <v>97</v>
      </c>
      <c r="N231" s="125">
        <v>138.5</v>
      </c>
      <c r="O231" s="124"/>
      <c r="P231" s="124"/>
      <c r="Q231" s="124"/>
      <c r="R231" s="124"/>
      <c r="S231" s="124"/>
      <c r="T231" s="124"/>
      <c r="U231" s="124">
        <v>0</v>
      </c>
      <c r="V231" s="124">
        <v>0</v>
      </c>
      <c r="W231" s="124"/>
      <c r="X231" s="124">
        <v>1600</v>
      </c>
      <c r="Y231" s="124">
        <v>1041</v>
      </c>
      <c r="Z231" s="124">
        <v>5</v>
      </c>
      <c r="AA231" s="124">
        <v>1</v>
      </c>
      <c r="AB231" s="124"/>
      <c r="AC231" s="124"/>
      <c r="AD231" s="124"/>
      <c r="AE231" s="126" t="inlineStr">
        <is>
          <t xml:space="preserve">Spot</t>
        </is>
      </c>
    </row>
    <row r="232">
      <c r="A232" s="122">
        <v>46265</v>
      </c>
      <c r="B232" s="123" t="inlineStr">
        <is>
          <t xml:space="preserve">GE VERNOVA</t>
        </is>
      </c>
      <c r="C232" s="124">
        <v>5</v>
      </c>
      <c r="D232" s="124">
        <v>116</v>
      </c>
      <c r="E232" s="125"/>
      <c r="F232" s="124"/>
      <c r="G232" s="124"/>
      <c r="H232" s="124"/>
      <c r="I232" s="124"/>
      <c r="J232" s="124">
        <v>176</v>
      </c>
      <c r="K232" s="124">
        <v>92</v>
      </c>
      <c r="L232" s="124">
        <v>3</v>
      </c>
      <c r="M232" s="124">
        <v>56</v>
      </c>
      <c r="N232" s="125"/>
      <c r="O232" s="124"/>
      <c r="P232" s="124"/>
      <c r="Q232" s="124"/>
      <c r="R232" s="124"/>
      <c r="S232" s="124">
        <v>67</v>
      </c>
      <c r="T232" s="124">
        <v>53</v>
      </c>
      <c r="U232" s="124">
        <v>0</v>
      </c>
      <c r="V232" s="124">
        <v>0</v>
      </c>
      <c r="W232" s="124"/>
      <c r="X232" s="124">
        <v>900</v>
      </c>
      <c r="Y232" s="124">
        <v>526</v>
      </c>
      <c r="Z232" s="124">
        <v>13</v>
      </c>
      <c r="AA232" s="124"/>
      <c r="AB232" s="124"/>
      <c r="AC232" s="124"/>
      <c r="AD232" s="124"/>
      <c r="AE232" s="126" t="inlineStr">
        <is>
          <t xml:space="preserve">Contrato</t>
        </is>
      </c>
    </row>
    <row r="233">
      <c r="A233" s="122">
        <v>46265</v>
      </c>
      <c r="B233" s="123" t="inlineStr">
        <is>
          <t xml:space="preserve">VESTAS</t>
        </is>
      </c>
      <c r="C233" s="124">
        <v>7</v>
      </c>
      <c r="D233" s="124"/>
      <c r="E233" s="125"/>
      <c r="F233" s="124"/>
      <c r="G233" s="124"/>
      <c r="H233" s="124"/>
      <c r="I233" s="124"/>
      <c r="J233" s="124"/>
      <c r="K233" s="124">
        <v>100</v>
      </c>
      <c r="L233" s="124">
        <v>2</v>
      </c>
      <c r="M233" s="124"/>
      <c r="N233" s="125"/>
      <c r="O233" s="124"/>
      <c r="P233" s="124"/>
      <c r="Q233" s="124"/>
      <c r="R233" s="124"/>
      <c r="S233" s="124"/>
      <c r="T233" s="124">
        <v>47</v>
      </c>
      <c r="U233" s="124">
        <v>0</v>
      </c>
      <c r="V233" s="124">
        <v>0</v>
      </c>
      <c r="W233" s="124"/>
      <c r="X233" s="124">
        <v>600</v>
      </c>
      <c r="Y233" s="124">
        <v>374</v>
      </c>
      <c r="Z233" s="124">
        <v>8</v>
      </c>
      <c r="AA233" s="124"/>
      <c r="AB233" s="124"/>
      <c r="AC233" s="124"/>
      <c r="AD233" s="124"/>
      <c r="AE233" s="126" t="inlineStr">
        <is>
          <t xml:space="preserve">Cross</t>
        </is>
      </c>
    </row>
    <row r="234">
      <c r="A234" s="122">
        <v>46265</v>
      </c>
      <c r="B234" s="123" t="inlineStr">
        <is>
          <t xml:space="preserve">VEDACIT</t>
        </is>
      </c>
      <c r="C234" s="124">
        <v>2</v>
      </c>
      <c r="D234" s="124">
        <v>151</v>
      </c>
      <c r="E234" s="125"/>
      <c r="F234" s="124"/>
      <c r="G234" s="124"/>
      <c r="H234" s="124"/>
      <c r="I234" s="124"/>
      <c r="J234" s="124"/>
      <c r="K234" s="124"/>
      <c r="L234" s="124">
        <v>6</v>
      </c>
      <c r="M234" s="124">
        <v>76</v>
      </c>
      <c r="N234" s="125"/>
      <c r="O234" s="124"/>
      <c r="P234" s="124"/>
      <c r="Q234" s="124"/>
      <c r="R234" s="124"/>
      <c r="S234" s="124"/>
      <c r="T234" s="124"/>
      <c r="U234" s="124">
        <v>0</v>
      </c>
      <c r="V234" s="124">
        <v>0</v>
      </c>
      <c r="W234" s="124"/>
      <c r="X234" s="124">
        <v>1400</v>
      </c>
      <c r="Y234" s="124">
        <v>1169</v>
      </c>
      <c r="Z234" s="124">
        <v>6</v>
      </c>
      <c r="AA234" s="124"/>
      <c r="AB234" s="124"/>
      <c r="AC234" s="124"/>
      <c r="AD234" s="124"/>
      <c r="AE234" s="126" t="inlineStr">
        <is>
          <t xml:space="preserve">Contrato</t>
        </is>
      </c>
    </row>
    <row r="235">
      <c r="A235" s="122">
        <v>46265</v>
      </c>
      <c r="B235" s="123" t="inlineStr">
        <is>
          <t xml:space="preserve">OMNLIFE</t>
        </is>
      </c>
      <c r="C235" s="124">
        <v>6</v>
      </c>
      <c r="D235" s="124">
        <v>119</v>
      </c>
      <c r="E235" s="125"/>
      <c r="F235" s="124"/>
      <c r="G235" s="124"/>
      <c r="H235" s="124"/>
      <c r="I235" s="124"/>
      <c r="J235" s="124"/>
      <c r="K235" s="124"/>
      <c r="L235" s="124">
        <v>2</v>
      </c>
      <c r="M235" s="124">
        <v>20</v>
      </c>
      <c r="N235" s="125"/>
      <c r="O235" s="124"/>
      <c r="P235" s="124"/>
      <c r="Q235" s="124"/>
      <c r="R235" s="124"/>
      <c r="S235" s="124"/>
      <c r="T235" s="124"/>
      <c r="U235" s="124">
        <v>0</v>
      </c>
      <c r="V235" s="124">
        <v>1</v>
      </c>
      <c r="W235" s="124"/>
      <c r="X235" s="124">
        <v>500</v>
      </c>
      <c r="Y235" s="124">
        <v>344</v>
      </c>
      <c r="Z235" s="124">
        <v>5</v>
      </c>
      <c r="AA235" s="124"/>
      <c r="AB235" s="124"/>
      <c r="AC235" s="124"/>
      <c r="AD235" s="124"/>
      <c r="AE235" s="126" t="inlineStr">
        <is>
          <t xml:space="preserve">Spot</t>
        </is>
      </c>
    </row>
    <row r="236">
      <c r="A236" s="122">
        <v>46265</v>
      </c>
      <c r="B236" s="123" t="inlineStr">
        <is>
          <t xml:space="preserve">ALPARGATAS</t>
        </is>
      </c>
      <c r="C236" s="124">
        <v>7</v>
      </c>
      <c r="D236" s="124"/>
      <c r="E236" s="125"/>
      <c r="F236" s="124">
        <v>2030</v>
      </c>
      <c r="G236" s="124"/>
      <c r="H236" s="124"/>
      <c r="I236" s="124"/>
      <c r="J236" s="124"/>
      <c r="K236" s="124"/>
      <c r="L236" s="124">
        <v>2</v>
      </c>
      <c r="M236" s="124"/>
      <c r="N236" s="125"/>
      <c r="O236" s="124">
        <v>1950</v>
      </c>
      <c r="P236" s="124"/>
      <c r="Q236" s="124"/>
      <c r="R236" s="124"/>
      <c r="S236" s="124"/>
      <c r="T236" s="124"/>
      <c r="U236" s="124">
        <v>0</v>
      </c>
      <c r="V236" s="124">
        <v>0</v>
      </c>
      <c r="W236" s="124"/>
      <c r="X236" s="124">
        <v>1800</v>
      </c>
      <c r="Y236" s="124">
        <v>1498</v>
      </c>
      <c r="Z236" s="124">
        <v>11</v>
      </c>
      <c r="AA236" s="124">
        <v>1</v>
      </c>
      <c r="AB236" s="124"/>
      <c r="AC236" s="124"/>
      <c r="AD236" s="124"/>
      <c r="AE236" s="126" t="inlineStr">
        <is>
          <t xml:space="preserve">Contrato</t>
        </is>
      </c>
    </row>
    <row r="237">
      <c r="A237" s="122">
        <v>46266</v>
      </c>
      <c r="B237" s="123" t="inlineStr">
        <is>
          <t xml:space="preserve">BASF</t>
        </is>
      </c>
      <c r="C237" s="124">
        <v>7</v>
      </c>
      <c r="D237" s="124">
        <v>136</v>
      </c>
      <c r="E237" s="125">
        <v>115.27</v>
      </c>
      <c r="F237" s="124"/>
      <c r="G237" s="124"/>
      <c r="H237" s="124"/>
      <c r="I237" s="124"/>
      <c r="J237" s="124"/>
      <c r="K237" s="124"/>
      <c r="L237" s="124">
        <v>7</v>
      </c>
      <c r="M237" s="124">
        <v>80</v>
      </c>
      <c r="N237" s="125">
        <v>118.15</v>
      </c>
      <c r="O237" s="124"/>
      <c r="P237" s="124"/>
      <c r="Q237" s="124"/>
      <c r="R237" s="124"/>
      <c r="S237" s="124"/>
      <c r="T237" s="124"/>
      <c r="U237" s="124">
        <v>0</v>
      </c>
      <c r="V237" s="124">
        <v>0</v>
      </c>
      <c r="W237" s="124">
        <v>3</v>
      </c>
      <c r="X237" s="124">
        <v>2200</v>
      </c>
      <c r="Y237" s="124">
        <v>1272</v>
      </c>
      <c r="Z237" s="124">
        <v>8</v>
      </c>
      <c r="AA237" s="124"/>
      <c r="AB237" s="124"/>
      <c r="AC237" s="124"/>
      <c r="AD237" s="124"/>
      <c r="AE237" s="126" t="inlineStr">
        <is>
          <t xml:space="preserve">Contrato</t>
        </is>
      </c>
    </row>
    <row r="238">
      <c r="A238" s="122">
        <v>46266</v>
      </c>
      <c r="B238" s="123" t="inlineStr">
        <is>
          <t xml:space="preserve">BEAUTYBIZ</t>
        </is>
      </c>
      <c r="C238" s="124">
        <v>5</v>
      </c>
      <c r="D238" s="124">
        <v>142</v>
      </c>
      <c r="E238" s="125"/>
      <c r="F238" s="124">
        <v>1565</v>
      </c>
      <c r="G238" s="124"/>
      <c r="H238" s="124"/>
      <c r="I238" s="124"/>
      <c r="J238" s="124"/>
      <c r="K238" s="124"/>
      <c r="L238" s="124">
        <v>11</v>
      </c>
      <c r="M238" s="124">
        <v>144</v>
      </c>
      <c r="N238" s="125"/>
      <c r="O238" s="124"/>
      <c r="P238" s="124">
        <v>111</v>
      </c>
      <c r="Q238" s="124"/>
      <c r="R238" s="124"/>
      <c r="S238" s="124"/>
      <c r="T238" s="124"/>
      <c r="U238" s="124">
        <v>0</v>
      </c>
      <c r="V238" s="124">
        <v>0</v>
      </c>
      <c r="W238" s="124"/>
      <c r="X238" s="124">
        <v>1200</v>
      </c>
      <c r="Y238" s="124">
        <v>1050</v>
      </c>
      <c r="Z238" s="124">
        <v>9</v>
      </c>
      <c r="AA238" s="124"/>
      <c r="AB238" s="124"/>
      <c r="AC238" s="124"/>
      <c r="AD238" s="124"/>
      <c r="AE238" s="126" t="inlineStr">
        <is>
          <t xml:space="preserve">Contrato</t>
        </is>
      </c>
    </row>
    <row r="239">
      <c r="A239" s="122">
        <v>46266</v>
      </c>
      <c r="B239" s="123" t="inlineStr">
        <is>
          <t xml:space="preserve">BOTICÁRIO</t>
        </is>
      </c>
      <c r="C239" s="124">
        <v>7</v>
      </c>
      <c r="D239" s="124"/>
      <c r="E239" s="125"/>
      <c r="F239" s="124"/>
      <c r="G239" s="124">
        <v>2565</v>
      </c>
      <c r="H239" s="124">
        <v>262</v>
      </c>
      <c r="I239" s="124">
        <v>769</v>
      </c>
      <c r="J239" s="124"/>
      <c r="K239" s="124"/>
      <c r="L239" s="124">
        <v>9</v>
      </c>
      <c r="M239" s="124">
        <v>22</v>
      </c>
      <c r="N239" s="125"/>
      <c r="O239" s="124"/>
      <c r="P239" s="124"/>
      <c r="Q239" s="124">
        <v>154</v>
      </c>
      <c r="R239" s="124">
        <v>5167</v>
      </c>
      <c r="S239" s="124"/>
      <c r="T239" s="124"/>
      <c r="U239" s="124">
        <v>0</v>
      </c>
      <c r="V239" s="124">
        <v>0</v>
      </c>
      <c r="W239" s="124"/>
      <c r="X239" s="124">
        <v>3500</v>
      </c>
      <c r="Y239" s="124">
        <v>2813</v>
      </c>
      <c r="Z239" s="124">
        <v>11</v>
      </c>
      <c r="AA239" s="124">
        <v>1</v>
      </c>
      <c r="AB239" s="124"/>
      <c r="AC239" s="124"/>
      <c r="AD239" s="124"/>
      <c r="AE239" s="126" t="inlineStr">
        <is>
          <t xml:space="preserve">Contrato</t>
        </is>
      </c>
    </row>
    <row r="240">
      <c r="A240" s="122">
        <v>46266</v>
      </c>
      <c r="B240" s="123" t="inlineStr">
        <is>
          <t xml:space="preserve">SUPPLY</t>
        </is>
      </c>
      <c r="C240" s="124">
        <v>5</v>
      </c>
      <c r="D240" s="124">
        <v>24</v>
      </c>
      <c r="E240" s="125">
        <v>56.98</v>
      </c>
      <c r="F240" s="124"/>
      <c r="G240" s="124"/>
      <c r="H240" s="124"/>
      <c r="I240" s="124"/>
      <c r="J240" s="124"/>
      <c r="K240" s="124"/>
      <c r="L240" s="124">
        <v>11</v>
      </c>
      <c r="M240" s="124">
        <v>46</v>
      </c>
      <c r="N240" s="125">
        <v>126.19</v>
      </c>
      <c r="O240" s="124"/>
      <c r="P240" s="124"/>
      <c r="Q240" s="124"/>
      <c r="R240" s="124"/>
      <c r="S240" s="124"/>
      <c r="T240" s="124"/>
      <c r="U240" s="124">
        <v>0</v>
      </c>
      <c r="V240" s="124">
        <v>0</v>
      </c>
      <c r="W240" s="124">
        <v>6</v>
      </c>
      <c r="X240" s="124">
        <v>1600</v>
      </c>
      <c r="Y240" s="124">
        <v>1338</v>
      </c>
      <c r="Z240" s="124">
        <v>4</v>
      </c>
      <c r="AA240" s="124"/>
      <c r="AB240" s="124"/>
      <c r="AC240" s="124"/>
      <c r="AD240" s="124"/>
      <c r="AE240" s="126" t="inlineStr">
        <is>
          <t xml:space="preserve">Spot</t>
        </is>
      </c>
    </row>
    <row r="241">
      <c r="A241" s="122">
        <v>46266</v>
      </c>
      <c r="B241" s="123" t="inlineStr">
        <is>
          <t xml:space="preserve">GE VERNOVA</t>
        </is>
      </c>
      <c r="C241" s="124">
        <v>3</v>
      </c>
      <c r="D241" s="124">
        <v>43</v>
      </c>
      <c r="E241" s="125"/>
      <c r="F241" s="124"/>
      <c r="G241" s="124"/>
      <c r="H241" s="124"/>
      <c r="I241" s="124"/>
      <c r="J241" s="124">
        <v>243</v>
      </c>
      <c r="K241" s="124">
        <v>99</v>
      </c>
      <c r="L241" s="124">
        <v>10</v>
      </c>
      <c r="M241" s="124">
        <v>154</v>
      </c>
      <c r="N241" s="125"/>
      <c r="O241" s="124"/>
      <c r="P241" s="124"/>
      <c r="Q241" s="124"/>
      <c r="R241" s="124"/>
      <c r="S241" s="124">
        <v>219</v>
      </c>
      <c r="T241" s="124">
        <v>45</v>
      </c>
      <c r="U241" s="124">
        <v>0</v>
      </c>
      <c r="V241" s="124">
        <v>0</v>
      </c>
      <c r="W241" s="124"/>
      <c r="X241" s="124">
        <v>900</v>
      </c>
      <c r="Y241" s="124">
        <v>818</v>
      </c>
      <c r="Z241" s="124">
        <v>6</v>
      </c>
      <c r="AA241" s="124"/>
      <c r="AB241" s="124">
        <v>1</v>
      </c>
      <c r="AC241" s="124"/>
      <c r="AD241" s="124"/>
      <c r="AE241" s="126" t="inlineStr">
        <is>
          <t xml:space="preserve">Contrato</t>
        </is>
      </c>
    </row>
    <row r="242">
      <c r="A242" s="122">
        <v>46266</v>
      </c>
      <c r="B242" s="123" t="inlineStr">
        <is>
          <t xml:space="preserve">VESTAS</t>
        </is>
      </c>
      <c r="C242" s="124">
        <v>3</v>
      </c>
      <c r="D242" s="124"/>
      <c r="E242" s="125"/>
      <c r="F242" s="124"/>
      <c r="G242" s="124"/>
      <c r="H242" s="124"/>
      <c r="I242" s="124"/>
      <c r="J242" s="124"/>
      <c r="K242" s="124">
        <v>72</v>
      </c>
      <c r="L242" s="124">
        <v>8</v>
      </c>
      <c r="M242" s="124"/>
      <c r="N242" s="125"/>
      <c r="O242" s="124"/>
      <c r="P242" s="124"/>
      <c r="Q242" s="124"/>
      <c r="R242" s="124"/>
      <c r="S242" s="124"/>
      <c r="T242" s="124">
        <v>91</v>
      </c>
      <c r="U242" s="124">
        <v>0</v>
      </c>
      <c r="V242" s="124">
        <v>0</v>
      </c>
      <c r="W242" s="124"/>
      <c r="X242" s="124">
        <v>600</v>
      </c>
      <c r="Y242" s="124">
        <v>519</v>
      </c>
      <c r="Z242" s="124">
        <v>14</v>
      </c>
      <c r="AA242" s="124"/>
      <c r="AB242" s="124"/>
      <c r="AC242" s="124"/>
      <c r="AD242" s="124"/>
      <c r="AE242" s="126" t="inlineStr">
        <is>
          <t xml:space="preserve">Cross</t>
        </is>
      </c>
    </row>
    <row r="243">
      <c r="A243" s="122">
        <v>46266</v>
      </c>
      <c r="B243" s="123" t="inlineStr">
        <is>
          <t xml:space="preserve">VEDACIT</t>
        </is>
      </c>
      <c r="C243" s="124">
        <v>2</v>
      </c>
      <c r="D243" s="124">
        <v>107</v>
      </c>
      <c r="E243" s="125"/>
      <c r="F243" s="124"/>
      <c r="G243" s="124"/>
      <c r="H243" s="124"/>
      <c r="I243" s="124"/>
      <c r="J243" s="124"/>
      <c r="K243" s="124"/>
      <c r="L243" s="124">
        <v>6</v>
      </c>
      <c r="M243" s="124">
        <v>154</v>
      </c>
      <c r="N243" s="125"/>
      <c r="O243" s="124"/>
      <c r="P243" s="124"/>
      <c r="Q243" s="124"/>
      <c r="R243" s="124"/>
      <c r="S243" s="124"/>
      <c r="T243" s="124"/>
      <c r="U243" s="124">
        <v>0</v>
      </c>
      <c r="V243" s="124">
        <v>0</v>
      </c>
      <c r="W243" s="124"/>
      <c r="X243" s="124">
        <v>1400</v>
      </c>
      <c r="Y243" s="124">
        <v>991</v>
      </c>
      <c r="Z243" s="124">
        <v>12</v>
      </c>
      <c r="AA243" s="124"/>
      <c r="AB243" s="124">
        <v>1</v>
      </c>
      <c r="AC243" s="124"/>
      <c r="AD243" s="124"/>
      <c r="AE243" s="126" t="inlineStr">
        <is>
          <t xml:space="preserve">Contrato</t>
        </is>
      </c>
    </row>
    <row r="244">
      <c r="A244" s="122">
        <v>46266</v>
      </c>
      <c r="B244" s="123" t="inlineStr">
        <is>
          <t xml:space="preserve">OMNLIFE</t>
        </is>
      </c>
      <c r="C244" s="124">
        <v>6</v>
      </c>
      <c r="D244" s="124">
        <v>22</v>
      </c>
      <c r="E244" s="125"/>
      <c r="F244" s="124"/>
      <c r="G244" s="124"/>
      <c r="H244" s="124"/>
      <c r="I244" s="124"/>
      <c r="J244" s="124"/>
      <c r="K244" s="124"/>
      <c r="L244" s="124">
        <v>10</v>
      </c>
      <c r="M244" s="124">
        <v>144</v>
      </c>
      <c r="N244" s="125"/>
      <c r="O244" s="124"/>
      <c r="P244" s="124"/>
      <c r="Q244" s="124"/>
      <c r="R244" s="124"/>
      <c r="S244" s="124"/>
      <c r="T244" s="124"/>
      <c r="U244" s="124">
        <v>0</v>
      </c>
      <c r="V244" s="124">
        <v>0</v>
      </c>
      <c r="W244" s="124"/>
      <c r="X244" s="124">
        <v>500</v>
      </c>
      <c r="Y244" s="124">
        <v>382</v>
      </c>
      <c r="Z244" s="124">
        <v>6</v>
      </c>
      <c r="AA244" s="124"/>
      <c r="AB244" s="124"/>
      <c r="AC244" s="124">
        <v>1</v>
      </c>
      <c r="AD244" s="124"/>
      <c r="AE244" s="126" t="inlineStr">
        <is>
          <t xml:space="preserve">Spot</t>
        </is>
      </c>
    </row>
    <row r="245">
      <c r="A245" s="122">
        <v>46266</v>
      </c>
      <c r="B245" s="123" t="inlineStr">
        <is>
          <t xml:space="preserve">ALPARGATAS</t>
        </is>
      </c>
      <c r="C245" s="124">
        <v>2</v>
      </c>
      <c r="D245" s="124"/>
      <c r="E245" s="125"/>
      <c r="F245" s="124">
        <v>2396</v>
      </c>
      <c r="G245" s="124"/>
      <c r="H245" s="124"/>
      <c r="I245" s="124"/>
      <c r="J245" s="124"/>
      <c r="K245" s="124"/>
      <c r="L245" s="124">
        <v>10</v>
      </c>
      <c r="M245" s="124"/>
      <c r="N245" s="125"/>
      <c r="O245" s="124">
        <v>632</v>
      </c>
      <c r="P245" s="124"/>
      <c r="Q245" s="124"/>
      <c r="R245" s="124"/>
      <c r="S245" s="124"/>
      <c r="T245" s="124"/>
      <c r="U245" s="124">
        <v>0</v>
      </c>
      <c r="V245" s="124">
        <v>0</v>
      </c>
      <c r="W245" s="124">
        <v>12</v>
      </c>
      <c r="X245" s="124">
        <v>1800</v>
      </c>
      <c r="Y245" s="124">
        <v>1121</v>
      </c>
      <c r="Z245" s="124">
        <v>13</v>
      </c>
      <c r="AA245" s="124"/>
      <c r="AB245" s="124"/>
      <c r="AC245" s="124"/>
      <c r="AD245" s="124"/>
      <c r="AE245" s="126" t="inlineStr">
        <is>
          <t xml:space="preserve">Contrato</t>
        </is>
      </c>
    </row>
    <row r="246">
      <c r="A246" s="122">
        <v>46267</v>
      </c>
      <c r="B246" s="123" t="inlineStr">
        <is>
          <t xml:space="preserve">BASF</t>
        </is>
      </c>
      <c r="C246" s="124">
        <v>5</v>
      </c>
      <c r="D246" s="124">
        <v>78</v>
      </c>
      <c r="E246" s="125">
        <v>137.27</v>
      </c>
      <c r="F246" s="124"/>
      <c r="G246" s="124"/>
      <c r="H246" s="124"/>
      <c r="I246" s="124"/>
      <c r="J246" s="124"/>
      <c r="K246" s="124"/>
      <c r="L246" s="124">
        <v>8</v>
      </c>
      <c r="M246" s="124">
        <v>132</v>
      </c>
      <c r="N246" s="125">
        <v>99.56</v>
      </c>
      <c r="O246" s="124"/>
      <c r="P246" s="124"/>
      <c r="Q246" s="124"/>
      <c r="R246" s="124"/>
      <c r="S246" s="124"/>
      <c r="T246" s="124"/>
      <c r="U246" s="124">
        <v>0</v>
      </c>
      <c r="V246" s="124">
        <v>0</v>
      </c>
      <c r="W246" s="124"/>
      <c r="X246" s="124">
        <v>2200</v>
      </c>
      <c r="Y246" s="124">
        <v>1848</v>
      </c>
      <c r="Z246" s="124">
        <v>8</v>
      </c>
      <c r="AA246" s="124"/>
      <c r="AB246" s="124"/>
      <c r="AC246" s="124"/>
      <c r="AD246" s="124"/>
      <c r="AE246" s="126" t="inlineStr">
        <is>
          <t xml:space="preserve">Contrato</t>
        </is>
      </c>
    </row>
    <row r="247">
      <c r="A247" s="122">
        <v>46267</v>
      </c>
      <c r="B247" s="123" t="inlineStr">
        <is>
          <t xml:space="preserve">BEAUTYBIZ</t>
        </is>
      </c>
      <c r="C247" s="124">
        <v>5</v>
      </c>
      <c r="D247" s="124">
        <v>145</v>
      </c>
      <c r="E247" s="125"/>
      <c r="F247" s="124">
        <v>741</v>
      </c>
      <c r="G247" s="124"/>
      <c r="H247" s="124"/>
      <c r="I247" s="124"/>
      <c r="J247" s="124"/>
      <c r="K247" s="124"/>
      <c r="L247" s="124">
        <v>10</v>
      </c>
      <c r="M247" s="124">
        <v>28</v>
      </c>
      <c r="N247" s="125"/>
      <c r="O247" s="124"/>
      <c r="P247" s="124">
        <v>270</v>
      </c>
      <c r="Q247" s="124"/>
      <c r="R247" s="124"/>
      <c r="S247" s="124"/>
      <c r="T247" s="124"/>
      <c r="U247" s="124">
        <v>0</v>
      </c>
      <c r="V247" s="124">
        <v>0</v>
      </c>
      <c r="W247" s="124"/>
      <c r="X247" s="124">
        <v>1200</v>
      </c>
      <c r="Y247" s="124">
        <v>955</v>
      </c>
      <c r="Z247" s="124">
        <v>10</v>
      </c>
      <c r="AA247" s="124"/>
      <c r="AB247" s="124"/>
      <c r="AC247" s="124"/>
      <c r="AD247" s="124"/>
      <c r="AE247" s="126" t="inlineStr">
        <is>
          <t xml:space="preserve">Contrato</t>
        </is>
      </c>
    </row>
    <row r="248">
      <c r="A248" s="122">
        <v>46267</v>
      </c>
      <c r="B248" s="123" t="inlineStr">
        <is>
          <t xml:space="preserve">BOTICÁRIO</t>
        </is>
      </c>
      <c r="C248" s="124">
        <v>8</v>
      </c>
      <c r="D248" s="124"/>
      <c r="E248" s="125"/>
      <c r="F248" s="124"/>
      <c r="G248" s="124">
        <v>3268</v>
      </c>
      <c r="H248" s="124">
        <v>271</v>
      </c>
      <c r="I248" s="124">
        <v>842</v>
      </c>
      <c r="J248" s="124"/>
      <c r="K248" s="124"/>
      <c r="L248" s="124">
        <v>6</v>
      </c>
      <c r="M248" s="124">
        <v>64</v>
      </c>
      <c r="N248" s="125"/>
      <c r="O248" s="124"/>
      <c r="P248" s="124"/>
      <c r="Q248" s="124">
        <v>865</v>
      </c>
      <c r="R248" s="124">
        <v>4213</v>
      </c>
      <c r="S248" s="124"/>
      <c r="T248" s="124"/>
      <c r="U248" s="124">
        <v>0</v>
      </c>
      <c r="V248" s="124">
        <v>0</v>
      </c>
      <c r="W248" s="124">
        <v>14</v>
      </c>
      <c r="X248" s="124">
        <v>3500</v>
      </c>
      <c r="Y248" s="124">
        <v>2661</v>
      </c>
      <c r="Z248" s="124">
        <v>10</v>
      </c>
      <c r="AA248" s="124"/>
      <c r="AB248" s="124"/>
      <c r="AC248" s="124"/>
      <c r="AD248" s="124"/>
      <c r="AE248" s="126" t="inlineStr">
        <is>
          <t xml:space="preserve">Contrato</t>
        </is>
      </c>
    </row>
    <row r="249">
      <c r="A249" s="122">
        <v>46267</v>
      </c>
      <c r="B249" s="123" t="inlineStr">
        <is>
          <t xml:space="preserve">SUPPLY</t>
        </is>
      </c>
      <c r="C249" s="124">
        <v>7</v>
      </c>
      <c r="D249" s="124">
        <v>85</v>
      </c>
      <c r="E249" s="125">
        <v>84.84</v>
      </c>
      <c r="F249" s="124"/>
      <c r="G249" s="124"/>
      <c r="H249" s="124"/>
      <c r="I249" s="124"/>
      <c r="J249" s="124"/>
      <c r="K249" s="124"/>
      <c r="L249" s="124">
        <v>8</v>
      </c>
      <c r="M249" s="124">
        <v>125</v>
      </c>
      <c r="N249" s="125">
        <v>49.42</v>
      </c>
      <c r="O249" s="124"/>
      <c r="P249" s="124"/>
      <c r="Q249" s="124"/>
      <c r="R249" s="124"/>
      <c r="S249" s="124"/>
      <c r="T249" s="124"/>
      <c r="U249" s="124">
        <v>0</v>
      </c>
      <c r="V249" s="124">
        <v>0</v>
      </c>
      <c r="W249" s="124"/>
      <c r="X249" s="124">
        <v>1600</v>
      </c>
      <c r="Y249" s="124">
        <v>1073</v>
      </c>
      <c r="Z249" s="124">
        <v>14</v>
      </c>
      <c r="AA249" s="124">
        <v>1</v>
      </c>
      <c r="AB249" s="124"/>
      <c r="AC249" s="124">
        <v>1</v>
      </c>
      <c r="AD249" s="124"/>
      <c r="AE249" s="126" t="inlineStr">
        <is>
          <t xml:space="preserve">Spot</t>
        </is>
      </c>
    </row>
    <row r="250">
      <c r="A250" s="122">
        <v>46267</v>
      </c>
      <c r="B250" s="123" t="inlineStr">
        <is>
          <t xml:space="preserve">GE VERNOVA</t>
        </is>
      </c>
      <c r="C250" s="124">
        <v>6</v>
      </c>
      <c r="D250" s="124">
        <v>62</v>
      </c>
      <c r="E250" s="125"/>
      <c r="F250" s="124"/>
      <c r="G250" s="124"/>
      <c r="H250" s="124"/>
      <c r="I250" s="124"/>
      <c r="J250" s="124">
        <v>381</v>
      </c>
      <c r="K250" s="124">
        <v>49</v>
      </c>
      <c r="L250" s="124">
        <v>11</v>
      </c>
      <c r="M250" s="124">
        <v>144</v>
      </c>
      <c r="N250" s="125"/>
      <c r="O250" s="124"/>
      <c r="P250" s="124"/>
      <c r="Q250" s="124"/>
      <c r="R250" s="124"/>
      <c r="S250" s="124">
        <v>531</v>
      </c>
      <c r="T250" s="124">
        <v>20</v>
      </c>
      <c r="U250" s="124">
        <v>0</v>
      </c>
      <c r="V250" s="124">
        <v>0</v>
      </c>
      <c r="W250" s="124"/>
      <c r="X250" s="124">
        <v>900</v>
      </c>
      <c r="Y250" s="124">
        <v>764</v>
      </c>
      <c r="Z250" s="124">
        <v>8</v>
      </c>
      <c r="AA250" s="124"/>
      <c r="AB250" s="124"/>
      <c r="AC250" s="124"/>
      <c r="AD250" s="124"/>
      <c r="AE250" s="126" t="inlineStr">
        <is>
          <t xml:space="preserve">Contrato</t>
        </is>
      </c>
    </row>
    <row r="251">
      <c r="A251" s="122">
        <v>46267</v>
      </c>
      <c r="B251" s="123" t="inlineStr">
        <is>
          <t xml:space="preserve">VESTAS</t>
        </is>
      </c>
      <c r="C251" s="124">
        <v>2</v>
      </c>
      <c r="D251" s="124"/>
      <c r="E251" s="125"/>
      <c r="F251" s="124"/>
      <c r="G251" s="124"/>
      <c r="H251" s="124"/>
      <c r="I251" s="124"/>
      <c r="J251" s="124"/>
      <c r="K251" s="124">
        <v>54</v>
      </c>
      <c r="L251" s="124">
        <v>10</v>
      </c>
      <c r="M251" s="124"/>
      <c r="N251" s="125"/>
      <c r="O251" s="124"/>
      <c r="P251" s="124"/>
      <c r="Q251" s="124"/>
      <c r="R251" s="124"/>
      <c r="S251" s="124"/>
      <c r="T251" s="124">
        <v>96</v>
      </c>
      <c r="U251" s="124">
        <v>0</v>
      </c>
      <c r="V251" s="124">
        <v>0</v>
      </c>
      <c r="W251" s="124"/>
      <c r="X251" s="124">
        <v>600</v>
      </c>
      <c r="Y251" s="124">
        <v>414</v>
      </c>
      <c r="Z251" s="124">
        <v>6</v>
      </c>
      <c r="AA251" s="124"/>
      <c r="AB251" s="124"/>
      <c r="AC251" s="124"/>
      <c r="AD251" s="124"/>
      <c r="AE251" s="126" t="inlineStr">
        <is>
          <t xml:space="preserve">Cross</t>
        </is>
      </c>
    </row>
    <row r="252">
      <c r="A252" s="122">
        <v>46267</v>
      </c>
      <c r="B252" s="123" t="inlineStr">
        <is>
          <t xml:space="preserve">VEDACIT</t>
        </is>
      </c>
      <c r="C252" s="124">
        <v>8</v>
      </c>
      <c r="D252" s="124">
        <v>60</v>
      </c>
      <c r="E252" s="125"/>
      <c r="F252" s="124"/>
      <c r="G252" s="124"/>
      <c r="H252" s="124"/>
      <c r="I252" s="124"/>
      <c r="J252" s="124"/>
      <c r="K252" s="124"/>
      <c r="L252" s="124">
        <v>4</v>
      </c>
      <c r="M252" s="124">
        <v>115</v>
      </c>
      <c r="N252" s="125"/>
      <c r="O252" s="124"/>
      <c r="P252" s="124"/>
      <c r="Q252" s="124"/>
      <c r="R252" s="124"/>
      <c r="S252" s="124"/>
      <c r="T252" s="124"/>
      <c r="U252" s="124">
        <v>0</v>
      </c>
      <c r="V252" s="124">
        <v>1</v>
      </c>
      <c r="W252" s="124">
        <v>7</v>
      </c>
      <c r="X252" s="124">
        <v>1400</v>
      </c>
      <c r="Y252" s="124">
        <v>1109</v>
      </c>
      <c r="Z252" s="124">
        <v>10</v>
      </c>
      <c r="AA252" s="124"/>
      <c r="AB252" s="124"/>
      <c r="AC252" s="124"/>
      <c r="AD252" s="124"/>
      <c r="AE252" s="126" t="inlineStr">
        <is>
          <t xml:space="preserve">Contrato</t>
        </is>
      </c>
    </row>
    <row r="253">
      <c r="A253" s="122">
        <v>46267</v>
      </c>
      <c r="B253" s="123" t="inlineStr">
        <is>
          <t xml:space="preserve">OMNLIFE</t>
        </is>
      </c>
      <c r="C253" s="124">
        <v>7</v>
      </c>
      <c r="D253" s="124">
        <v>38</v>
      </c>
      <c r="E253" s="125"/>
      <c r="F253" s="124"/>
      <c r="G253" s="124"/>
      <c r="H253" s="124"/>
      <c r="I253" s="124"/>
      <c r="J253" s="124"/>
      <c r="K253" s="124"/>
      <c r="L253" s="124">
        <v>4</v>
      </c>
      <c r="M253" s="124">
        <v>138</v>
      </c>
      <c r="N253" s="125"/>
      <c r="O253" s="124"/>
      <c r="P253" s="124"/>
      <c r="Q253" s="124"/>
      <c r="R253" s="124"/>
      <c r="S253" s="124"/>
      <c r="T253" s="124"/>
      <c r="U253" s="124">
        <v>0</v>
      </c>
      <c r="V253" s="124">
        <v>0</v>
      </c>
      <c r="W253" s="124">
        <v>1</v>
      </c>
      <c r="X253" s="124">
        <v>500</v>
      </c>
      <c r="Y253" s="124">
        <v>431</v>
      </c>
      <c r="Z253" s="124">
        <v>14</v>
      </c>
      <c r="AA253" s="124"/>
      <c r="AB253" s="124"/>
      <c r="AC253" s="124"/>
      <c r="AD253" s="124"/>
      <c r="AE253" s="126" t="inlineStr">
        <is>
          <t xml:space="preserve">Spot</t>
        </is>
      </c>
    </row>
    <row r="254">
      <c r="A254" s="122">
        <v>46267</v>
      </c>
      <c r="B254" s="123" t="inlineStr">
        <is>
          <t xml:space="preserve">ALPARGATAS</t>
        </is>
      </c>
      <c r="C254" s="124">
        <v>4</v>
      </c>
      <c r="D254" s="124"/>
      <c r="E254" s="125"/>
      <c r="F254" s="124">
        <v>2271</v>
      </c>
      <c r="G254" s="124"/>
      <c r="H254" s="124"/>
      <c r="I254" s="124"/>
      <c r="J254" s="124"/>
      <c r="K254" s="124"/>
      <c r="L254" s="124">
        <v>9</v>
      </c>
      <c r="M254" s="124"/>
      <c r="N254" s="125"/>
      <c r="O254" s="124">
        <v>2074</v>
      </c>
      <c r="P254" s="124"/>
      <c r="Q254" s="124"/>
      <c r="R254" s="124"/>
      <c r="S254" s="124"/>
      <c r="T254" s="124"/>
      <c r="U254" s="124">
        <v>0</v>
      </c>
      <c r="V254" s="124">
        <v>0</v>
      </c>
      <c r="W254" s="124"/>
      <c r="X254" s="124">
        <v>1800</v>
      </c>
      <c r="Y254" s="124">
        <v>1673</v>
      </c>
      <c r="Z254" s="124">
        <v>8</v>
      </c>
      <c r="AA254" s="124">
        <v>1</v>
      </c>
      <c r="AB254" s="124"/>
      <c r="AC254" s="124"/>
      <c r="AD254" s="124"/>
      <c r="AE254" s="126" t="inlineStr">
        <is>
          <t xml:space="preserve">Contrato</t>
        </is>
      </c>
    </row>
    <row r="255">
      <c r="A255" s="122">
        <v>46268</v>
      </c>
      <c r="B255" s="123" t="inlineStr">
        <is>
          <t xml:space="preserve">BASF</t>
        </is>
      </c>
      <c r="C255" s="124">
        <v>4</v>
      </c>
      <c r="D255" s="124">
        <v>117</v>
      </c>
      <c r="E255" s="125">
        <v>24.02</v>
      </c>
      <c r="F255" s="124"/>
      <c r="G255" s="124"/>
      <c r="H255" s="124"/>
      <c r="I255" s="124"/>
      <c r="J255" s="124"/>
      <c r="K255" s="124"/>
      <c r="L255" s="124">
        <v>10</v>
      </c>
      <c r="M255" s="124">
        <v>65</v>
      </c>
      <c r="N255" s="125">
        <v>15.43</v>
      </c>
      <c r="O255" s="124"/>
      <c r="P255" s="124"/>
      <c r="Q255" s="124"/>
      <c r="R255" s="124"/>
      <c r="S255" s="124"/>
      <c r="T255" s="124"/>
      <c r="U255" s="124">
        <v>0</v>
      </c>
      <c r="V255" s="124">
        <v>0</v>
      </c>
      <c r="W255" s="124">
        <v>1</v>
      </c>
      <c r="X255" s="124">
        <v>2200</v>
      </c>
      <c r="Y255" s="124">
        <v>2112</v>
      </c>
      <c r="Z255" s="124">
        <v>13</v>
      </c>
      <c r="AA255" s="124"/>
      <c r="AB255" s="124"/>
      <c r="AC255" s="124">
        <v>1</v>
      </c>
      <c r="AD255" s="124"/>
      <c r="AE255" s="126" t="inlineStr">
        <is>
          <t xml:space="preserve">Contrato</t>
        </is>
      </c>
    </row>
    <row r="256">
      <c r="A256" s="122">
        <v>46268</v>
      </c>
      <c r="B256" s="123" t="inlineStr">
        <is>
          <t xml:space="preserve">BEAUTYBIZ</t>
        </is>
      </c>
      <c r="C256" s="124">
        <v>2</v>
      </c>
      <c r="D256" s="124">
        <v>51</v>
      </c>
      <c r="E256" s="125"/>
      <c r="F256" s="124">
        <v>1684</v>
      </c>
      <c r="G256" s="124"/>
      <c r="H256" s="124"/>
      <c r="I256" s="124"/>
      <c r="J256" s="124"/>
      <c r="K256" s="124"/>
      <c r="L256" s="124">
        <v>5</v>
      </c>
      <c r="M256" s="124">
        <v>66</v>
      </c>
      <c r="N256" s="125"/>
      <c r="O256" s="124"/>
      <c r="P256" s="124">
        <v>432</v>
      </c>
      <c r="Q256" s="124"/>
      <c r="R256" s="124"/>
      <c r="S256" s="124"/>
      <c r="T256" s="124"/>
      <c r="U256" s="124">
        <v>0</v>
      </c>
      <c r="V256" s="124">
        <v>0</v>
      </c>
      <c r="W256" s="124">
        <v>0</v>
      </c>
      <c r="X256" s="124">
        <v>1200</v>
      </c>
      <c r="Y256" s="124">
        <v>772</v>
      </c>
      <c r="Z256" s="124">
        <v>6</v>
      </c>
      <c r="AA256" s="124">
        <v>1</v>
      </c>
      <c r="AB256" s="124"/>
      <c r="AC256" s="124"/>
      <c r="AD256" s="124"/>
      <c r="AE256" s="126" t="inlineStr">
        <is>
          <t xml:space="preserve">Contrato</t>
        </is>
      </c>
    </row>
    <row r="257">
      <c r="A257" s="122">
        <v>46268</v>
      </c>
      <c r="B257" s="123" t="inlineStr">
        <is>
          <t xml:space="preserve">BOTICÁRIO</t>
        </is>
      </c>
      <c r="C257" s="124">
        <v>6</v>
      </c>
      <c r="D257" s="124"/>
      <c r="E257" s="125"/>
      <c r="F257" s="124"/>
      <c r="G257" s="124">
        <v>4567</v>
      </c>
      <c r="H257" s="124">
        <v>258</v>
      </c>
      <c r="I257" s="124">
        <v>420</v>
      </c>
      <c r="J257" s="124"/>
      <c r="K257" s="124"/>
      <c r="L257" s="124">
        <v>7</v>
      </c>
      <c r="M257" s="124">
        <v>141</v>
      </c>
      <c r="N257" s="125"/>
      <c r="O257" s="124"/>
      <c r="P257" s="124"/>
      <c r="Q257" s="124">
        <v>768</v>
      </c>
      <c r="R257" s="124">
        <v>3197</v>
      </c>
      <c r="S257" s="124"/>
      <c r="T257" s="124"/>
      <c r="U257" s="124">
        <v>0</v>
      </c>
      <c r="V257" s="124">
        <v>0</v>
      </c>
      <c r="W257" s="124"/>
      <c r="X257" s="124">
        <v>3500</v>
      </c>
      <c r="Y257" s="124">
        <v>2409</v>
      </c>
      <c r="Z257" s="124">
        <v>8</v>
      </c>
      <c r="AA257" s="124">
        <v>1</v>
      </c>
      <c r="AB257" s="124"/>
      <c r="AC257" s="124"/>
      <c r="AD257" s="124"/>
      <c r="AE257" s="126" t="inlineStr">
        <is>
          <t xml:space="preserve">Contrato</t>
        </is>
      </c>
    </row>
    <row r="258">
      <c r="A258" s="122">
        <v>46268</v>
      </c>
      <c r="B258" s="123" t="inlineStr">
        <is>
          <t xml:space="preserve">SUPPLY</t>
        </is>
      </c>
      <c r="C258" s="124">
        <v>6</v>
      </c>
      <c r="D258" s="124">
        <v>119</v>
      </c>
      <c r="E258" s="125">
        <v>71.83</v>
      </c>
      <c r="F258" s="124"/>
      <c r="G258" s="124"/>
      <c r="H258" s="124"/>
      <c r="I258" s="124"/>
      <c r="J258" s="124"/>
      <c r="K258" s="124"/>
      <c r="L258" s="124">
        <v>5</v>
      </c>
      <c r="M258" s="124">
        <v>46</v>
      </c>
      <c r="N258" s="125">
        <v>65.36</v>
      </c>
      <c r="O258" s="124"/>
      <c r="P258" s="124"/>
      <c r="Q258" s="124"/>
      <c r="R258" s="124"/>
      <c r="S258" s="124"/>
      <c r="T258" s="124"/>
      <c r="U258" s="124">
        <v>0</v>
      </c>
      <c r="V258" s="124">
        <v>0</v>
      </c>
      <c r="W258" s="124"/>
      <c r="X258" s="124">
        <v>1600</v>
      </c>
      <c r="Y258" s="124">
        <v>1226</v>
      </c>
      <c r="Z258" s="124">
        <v>11</v>
      </c>
      <c r="AA258" s="124"/>
      <c r="AB258" s="124"/>
      <c r="AC258" s="124"/>
      <c r="AD258" s="124"/>
      <c r="AE258" s="126" t="inlineStr">
        <is>
          <t xml:space="preserve">Spot</t>
        </is>
      </c>
    </row>
    <row r="259">
      <c r="A259" s="122">
        <v>46268</v>
      </c>
      <c r="B259" s="123" t="inlineStr">
        <is>
          <t xml:space="preserve">GE VERNOVA</t>
        </is>
      </c>
      <c r="C259" s="124">
        <v>3</v>
      </c>
      <c r="D259" s="124">
        <v>125</v>
      </c>
      <c r="E259" s="125"/>
      <c r="F259" s="124"/>
      <c r="G259" s="124"/>
      <c r="H259" s="124"/>
      <c r="I259" s="124"/>
      <c r="J259" s="124">
        <v>510</v>
      </c>
      <c r="K259" s="124">
        <v>42</v>
      </c>
      <c r="L259" s="124">
        <v>9</v>
      </c>
      <c r="M259" s="124">
        <v>23</v>
      </c>
      <c r="N259" s="125"/>
      <c r="O259" s="124"/>
      <c r="P259" s="124"/>
      <c r="Q259" s="124"/>
      <c r="R259" s="124"/>
      <c r="S259" s="124">
        <v>456</v>
      </c>
      <c r="T259" s="124">
        <v>77</v>
      </c>
      <c r="U259" s="124">
        <v>1</v>
      </c>
      <c r="V259" s="124">
        <v>0</v>
      </c>
      <c r="W259" s="124"/>
      <c r="X259" s="124">
        <v>900</v>
      </c>
      <c r="Y259" s="124">
        <v>810</v>
      </c>
      <c r="Z259" s="124">
        <v>14</v>
      </c>
      <c r="AA259" s="124"/>
      <c r="AB259" s="124"/>
      <c r="AC259" s="124"/>
      <c r="AD259" s="124"/>
      <c r="AE259" s="126" t="inlineStr">
        <is>
          <t xml:space="preserve">Contrato</t>
        </is>
      </c>
    </row>
    <row r="260">
      <c r="A260" s="122">
        <v>46268</v>
      </c>
      <c r="B260" s="123" t="inlineStr">
        <is>
          <t xml:space="preserve">VESTAS</t>
        </is>
      </c>
      <c r="C260" s="124">
        <v>3</v>
      </c>
      <c r="D260" s="124"/>
      <c r="E260" s="125"/>
      <c r="F260" s="124"/>
      <c r="G260" s="124"/>
      <c r="H260" s="124"/>
      <c r="I260" s="124"/>
      <c r="J260" s="124"/>
      <c r="K260" s="124">
        <v>79</v>
      </c>
      <c r="L260" s="124">
        <v>11</v>
      </c>
      <c r="M260" s="124"/>
      <c r="N260" s="125"/>
      <c r="O260" s="124"/>
      <c r="P260" s="124"/>
      <c r="Q260" s="124"/>
      <c r="R260" s="124"/>
      <c r="S260" s="124"/>
      <c r="T260" s="124">
        <v>43</v>
      </c>
      <c r="U260" s="124">
        <v>1</v>
      </c>
      <c r="V260" s="124">
        <v>0</v>
      </c>
      <c r="W260" s="124"/>
      <c r="X260" s="124">
        <v>600</v>
      </c>
      <c r="Y260" s="124">
        <v>556</v>
      </c>
      <c r="Z260" s="124">
        <v>11</v>
      </c>
      <c r="AA260" s="124"/>
      <c r="AB260" s="124"/>
      <c r="AC260" s="124"/>
      <c r="AD260" s="124"/>
      <c r="AE260" s="126" t="inlineStr">
        <is>
          <t xml:space="preserve">Cross</t>
        </is>
      </c>
    </row>
    <row r="261">
      <c r="A261" s="122">
        <v>46268</v>
      </c>
      <c r="B261" s="123" t="inlineStr">
        <is>
          <t xml:space="preserve">VEDACIT</t>
        </is>
      </c>
      <c r="C261" s="124">
        <v>8</v>
      </c>
      <c r="D261" s="124">
        <v>88</v>
      </c>
      <c r="E261" s="125"/>
      <c r="F261" s="124"/>
      <c r="G261" s="124"/>
      <c r="H261" s="124"/>
      <c r="I261" s="124"/>
      <c r="J261" s="124"/>
      <c r="K261" s="124"/>
      <c r="L261" s="124">
        <v>2</v>
      </c>
      <c r="M261" s="124">
        <v>67</v>
      </c>
      <c r="N261" s="125"/>
      <c r="O261" s="124"/>
      <c r="P261" s="124"/>
      <c r="Q261" s="124"/>
      <c r="R261" s="124"/>
      <c r="S261" s="124"/>
      <c r="T261" s="124"/>
      <c r="U261" s="124">
        <v>0</v>
      </c>
      <c r="V261" s="124">
        <v>0</v>
      </c>
      <c r="W261" s="124"/>
      <c r="X261" s="124">
        <v>1400</v>
      </c>
      <c r="Y261" s="124">
        <v>1269</v>
      </c>
      <c r="Z261" s="124">
        <v>12</v>
      </c>
      <c r="AA261" s="124"/>
      <c r="AB261" s="124"/>
      <c r="AC261" s="124"/>
      <c r="AD261" s="124"/>
      <c r="AE261" s="126" t="inlineStr">
        <is>
          <t xml:space="preserve">Contrato</t>
        </is>
      </c>
    </row>
    <row r="262">
      <c r="A262" s="122">
        <v>46268</v>
      </c>
      <c r="B262" s="123" t="inlineStr">
        <is>
          <t xml:space="preserve">OMNLIFE</t>
        </is>
      </c>
      <c r="C262" s="124">
        <v>2</v>
      </c>
      <c r="D262" s="124">
        <v>147</v>
      </c>
      <c r="E262" s="125"/>
      <c r="F262" s="124"/>
      <c r="G262" s="124"/>
      <c r="H262" s="124"/>
      <c r="I262" s="124"/>
      <c r="J262" s="124"/>
      <c r="K262" s="124"/>
      <c r="L262" s="124">
        <v>9</v>
      </c>
      <c r="M262" s="124">
        <v>152</v>
      </c>
      <c r="N262" s="125"/>
      <c r="O262" s="124"/>
      <c r="P262" s="124"/>
      <c r="Q262" s="124"/>
      <c r="R262" s="124"/>
      <c r="S262" s="124"/>
      <c r="T262" s="124"/>
      <c r="U262" s="124">
        <v>0</v>
      </c>
      <c r="V262" s="124">
        <v>0</v>
      </c>
      <c r="W262" s="124"/>
      <c r="X262" s="124">
        <v>500</v>
      </c>
      <c r="Y262" s="124">
        <v>355</v>
      </c>
      <c r="Z262" s="124">
        <v>10</v>
      </c>
      <c r="AA262" s="124">
        <v>1</v>
      </c>
      <c r="AB262" s="124">
        <v>1</v>
      </c>
      <c r="AC262" s="124"/>
      <c r="AD262" s="124"/>
      <c r="AE262" s="126" t="inlineStr">
        <is>
          <t xml:space="preserve">Spot</t>
        </is>
      </c>
    </row>
    <row r="263">
      <c r="A263" s="122">
        <v>46268</v>
      </c>
      <c r="B263" s="123" t="inlineStr">
        <is>
          <t xml:space="preserve">ALPARGATAS</t>
        </is>
      </c>
      <c r="C263" s="124">
        <v>4</v>
      </c>
      <c r="D263" s="124"/>
      <c r="E263" s="125"/>
      <c r="F263" s="124">
        <v>320</v>
      </c>
      <c r="G263" s="124"/>
      <c r="H263" s="124"/>
      <c r="I263" s="124"/>
      <c r="J263" s="124"/>
      <c r="K263" s="124"/>
      <c r="L263" s="124">
        <v>10</v>
      </c>
      <c r="M263" s="124"/>
      <c r="N263" s="125"/>
      <c r="O263" s="124">
        <v>2107</v>
      </c>
      <c r="P263" s="124"/>
      <c r="Q263" s="124"/>
      <c r="R263" s="124"/>
      <c r="S263" s="124"/>
      <c r="T263" s="124"/>
      <c r="U263" s="124">
        <v>0</v>
      </c>
      <c r="V263" s="124">
        <v>1</v>
      </c>
      <c r="W263" s="124"/>
      <c r="X263" s="124">
        <v>1800</v>
      </c>
      <c r="Y263" s="124">
        <v>1393</v>
      </c>
      <c r="Z263" s="124">
        <v>5</v>
      </c>
      <c r="AA263" s="124"/>
      <c r="AB263" s="124"/>
      <c r="AC263" s="124"/>
      <c r="AD263" s="124"/>
      <c r="AE263" s="126" t="inlineStr">
        <is>
          <t xml:space="preserve">Contrato</t>
        </is>
      </c>
    </row>
    <row r="264">
      <c r="A264" s="122">
        <v>46269</v>
      </c>
      <c r="B264" s="123" t="inlineStr">
        <is>
          <t xml:space="preserve">BASF</t>
        </is>
      </c>
      <c r="C264" s="124">
        <v>7</v>
      </c>
      <c r="D264" s="124">
        <v>146</v>
      </c>
      <c r="E264" s="125">
        <v>15.92</v>
      </c>
      <c r="F264" s="124"/>
      <c r="G264" s="124"/>
      <c r="H264" s="124"/>
      <c r="I264" s="124"/>
      <c r="J264" s="124"/>
      <c r="K264" s="124"/>
      <c r="L264" s="124">
        <v>4</v>
      </c>
      <c r="M264" s="124">
        <v>69</v>
      </c>
      <c r="N264" s="125">
        <v>125.07</v>
      </c>
      <c r="O264" s="124"/>
      <c r="P264" s="124"/>
      <c r="Q264" s="124"/>
      <c r="R264" s="124"/>
      <c r="S264" s="124"/>
      <c r="T264" s="124"/>
      <c r="U264" s="124">
        <v>0</v>
      </c>
      <c r="V264" s="124">
        <v>0</v>
      </c>
      <c r="W264" s="124"/>
      <c r="X264" s="124">
        <v>2200</v>
      </c>
      <c r="Y264" s="124">
        <v>1616</v>
      </c>
      <c r="Z264" s="124">
        <v>13</v>
      </c>
      <c r="AA264" s="124"/>
      <c r="AB264" s="124"/>
      <c r="AC264" s="124"/>
      <c r="AD264" s="124"/>
      <c r="AE264" s="126" t="inlineStr">
        <is>
          <t xml:space="preserve">Contrato</t>
        </is>
      </c>
    </row>
    <row r="265">
      <c r="A265" s="122">
        <v>46269</v>
      </c>
      <c r="B265" s="123" t="inlineStr">
        <is>
          <t xml:space="preserve">BEAUTYBIZ</t>
        </is>
      </c>
      <c r="C265" s="124">
        <v>2</v>
      </c>
      <c r="D265" s="124">
        <v>121</v>
      </c>
      <c r="E265" s="125"/>
      <c r="F265" s="124">
        <v>418</v>
      </c>
      <c r="G265" s="124"/>
      <c r="H265" s="124"/>
      <c r="I265" s="124"/>
      <c r="J265" s="124"/>
      <c r="K265" s="124"/>
      <c r="L265" s="124">
        <v>6</v>
      </c>
      <c r="M265" s="124">
        <v>76</v>
      </c>
      <c r="N265" s="125"/>
      <c r="O265" s="124"/>
      <c r="P265" s="124">
        <v>497</v>
      </c>
      <c r="Q265" s="124"/>
      <c r="R265" s="124"/>
      <c r="S265" s="124"/>
      <c r="T265" s="124"/>
      <c r="U265" s="124">
        <v>0</v>
      </c>
      <c r="V265" s="124">
        <v>0</v>
      </c>
      <c r="W265" s="124"/>
      <c r="X265" s="124">
        <v>1200</v>
      </c>
      <c r="Y265" s="124">
        <v>1008</v>
      </c>
      <c r="Z265" s="124">
        <v>11</v>
      </c>
      <c r="AA265" s="124"/>
      <c r="AB265" s="124"/>
      <c r="AC265" s="124"/>
      <c r="AD265" s="124"/>
      <c r="AE265" s="126" t="inlineStr">
        <is>
          <t xml:space="preserve">Contrato</t>
        </is>
      </c>
    </row>
    <row r="266">
      <c r="A266" s="122">
        <v>46269</v>
      </c>
      <c r="B266" s="123" t="inlineStr">
        <is>
          <t xml:space="preserve">BOTICÁRIO</t>
        </is>
      </c>
      <c r="C266" s="124">
        <v>6</v>
      </c>
      <c r="D266" s="124"/>
      <c r="E266" s="125"/>
      <c r="F266" s="124"/>
      <c r="G266" s="124">
        <v>4959</v>
      </c>
      <c r="H266" s="124">
        <v>362</v>
      </c>
      <c r="I266" s="124">
        <v>103</v>
      </c>
      <c r="J266" s="124"/>
      <c r="K266" s="124"/>
      <c r="L266" s="124">
        <v>7</v>
      </c>
      <c r="M266" s="124">
        <v>123</v>
      </c>
      <c r="N266" s="125"/>
      <c r="O266" s="124"/>
      <c r="P266" s="124"/>
      <c r="Q266" s="124">
        <v>932</v>
      </c>
      <c r="R266" s="124">
        <v>3181</v>
      </c>
      <c r="S266" s="124"/>
      <c r="T266" s="124"/>
      <c r="U266" s="124">
        <v>0</v>
      </c>
      <c r="V266" s="124">
        <v>0</v>
      </c>
      <c r="W266" s="124"/>
      <c r="X266" s="124">
        <v>3500</v>
      </c>
      <c r="Y266" s="124">
        <v>2219</v>
      </c>
      <c r="Z266" s="124">
        <v>4</v>
      </c>
      <c r="AA266" s="124">
        <v>1</v>
      </c>
      <c r="AB266" s="124">
        <v>1</v>
      </c>
      <c r="AC266" s="124"/>
      <c r="AD266" s="124"/>
      <c r="AE266" s="126" t="inlineStr">
        <is>
          <t xml:space="preserve">Contrato</t>
        </is>
      </c>
    </row>
    <row r="267">
      <c r="A267" s="122">
        <v>46269</v>
      </c>
      <c r="B267" s="123" t="inlineStr">
        <is>
          <t xml:space="preserve">SUPPLY</t>
        </is>
      </c>
      <c r="C267" s="124">
        <v>3</v>
      </c>
      <c r="D267" s="124">
        <v>114</v>
      </c>
      <c r="E267" s="125">
        <v>131.29</v>
      </c>
      <c r="F267" s="124"/>
      <c r="G267" s="124"/>
      <c r="H267" s="124"/>
      <c r="I267" s="124"/>
      <c r="J267" s="124"/>
      <c r="K267" s="124"/>
      <c r="L267" s="124">
        <v>8</v>
      </c>
      <c r="M267" s="124">
        <v>148</v>
      </c>
      <c r="N267" s="125">
        <v>47.87</v>
      </c>
      <c r="O267" s="124"/>
      <c r="P267" s="124"/>
      <c r="Q267" s="124"/>
      <c r="R267" s="124"/>
      <c r="S267" s="124"/>
      <c r="T267" s="124"/>
      <c r="U267" s="124">
        <v>0</v>
      </c>
      <c r="V267" s="124">
        <v>1</v>
      </c>
      <c r="W267" s="124"/>
      <c r="X267" s="124">
        <v>1600</v>
      </c>
      <c r="Y267" s="124">
        <v>949</v>
      </c>
      <c r="Z267" s="124">
        <v>5</v>
      </c>
      <c r="AA267" s="124"/>
      <c r="AB267" s="124"/>
      <c r="AC267" s="124"/>
      <c r="AD267" s="124"/>
      <c r="AE267" s="126" t="inlineStr">
        <is>
          <t xml:space="preserve">Spot</t>
        </is>
      </c>
    </row>
    <row r="268">
      <c r="A268" s="122">
        <v>46269</v>
      </c>
      <c r="B268" s="123" t="inlineStr">
        <is>
          <t xml:space="preserve">GE VERNOVA</t>
        </is>
      </c>
      <c r="C268" s="124">
        <v>2</v>
      </c>
      <c r="D268" s="124">
        <v>130</v>
      </c>
      <c r="E268" s="125"/>
      <c r="F268" s="124"/>
      <c r="G268" s="124"/>
      <c r="H268" s="124"/>
      <c r="I268" s="124"/>
      <c r="J268" s="124">
        <v>539</v>
      </c>
      <c r="K268" s="124">
        <v>110</v>
      </c>
      <c r="L268" s="124">
        <v>2</v>
      </c>
      <c r="M268" s="124">
        <v>139</v>
      </c>
      <c r="N268" s="125"/>
      <c r="O268" s="124"/>
      <c r="P268" s="124"/>
      <c r="Q268" s="124"/>
      <c r="R268" s="124"/>
      <c r="S268" s="124">
        <v>355</v>
      </c>
      <c r="T268" s="124">
        <v>100</v>
      </c>
      <c r="U268" s="124">
        <v>0</v>
      </c>
      <c r="V268" s="124">
        <v>0</v>
      </c>
      <c r="W268" s="124"/>
      <c r="X268" s="124">
        <v>900</v>
      </c>
      <c r="Y268" s="124">
        <v>797</v>
      </c>
      <c r="Z268" s="124">
        <v>5</v>
      </c>
      <c r="AA268" s="124"/>
      <c r="AB268" s="124"/>
      <c r="AC268" s="124"/>
      <c r="AD268" s="124"/>
      <c r="AE268" s="126" t="inlineStr">
        <is>
          <t xml:space="preserve">Contrato</t>
        </is>
      </c>
    </row>
    <row r="269">
      <c r="A269" s="122">
        <v>46269</v>
      </c>
      <c r="B269" s="123" t="inlineStr">
        <is>
          <t xml:space="preserve">VESTAS</t>
        </is>
      </c>
      <c r="C269" s="124">
        <v>6</v>
      </c>
      <c r="D269" s="124"/>
      <c r="E269" s="125"/>
      <c r="F269" s="124"/>
      <c r="G269" s="124"/>
      <c r="H269" s="124"/>
      <c r="I269" s="124"/>
      <c r="J269" s="124"/>
      <c r="K269" s="124">
        <v>71</v>
      </c>
      <c r="L269" s="124">
        <v>4</v>
      </c>
      <c r="M269" s="124"/>
      <c r="N269" s="125"/>
      <c r="O269" s="124"/>
      <c r="P269" s="124"/>
      <c r="Q269" s="124"/>
      <c r="R269" s="124"/>
      <c r="S269" s="124"/>
      <c r="T269" s="124">
        <v>30</v>
      </c>
      <c r="U269" s="124">
        <v>0</v>
      </c>
      <c r="V269" s="124">
        <v>0</v>
      </c>
      <c r="W269" s="124">
        <v>6</v>
      </c>
      <c r="X269" s="124">
        <v>600</v>
      </c>
      <c r="Y269" s="124">
        <v>499</v>
      </c>
      <c r="Z269" s="124">
        <v>5</v>
      </c>
      <c r="AA269" s="124"/>
      <c r="AB269" s="124">
        <v>1</v>
      </c>
      <c r="AC269" s="124"/>
      <c r="AD269" s="124"/>
      <c r="AE269" s="126" t="inlineStr">
        <is>
          <t xml:space="preserve">Cross</t>
        </is>
      </c>
    </row>
    <row r="270">
      <c r="A270" s="122">
        <v>46269</v>
      </c>
      <c r="B270" s="123" t="inlineStr">
        <is>
          <t xml:space="preserve">VEDACIT</t>
        </is>
      </c>
      <c r="C270" s="124">
        <v>2</v>
      </c>
      <c r="D270" s="124">
        <v>53</v>
      </c>
      <c r="E270" s="125"/>
      <c r="F270" s="124"/>
      <c r="G270" s="124"/>
      <c r="H270" s="124"/>
      <c r="I270" s="124"/>
      <c r="J270" s="124"/>
      <c r="K270" s="124"/>
      <c r="L270" s="124">
        <v>10</v>
      </c>
      <c r="M270" s="124">
        <v>157</v>
      </c>
      <c r="N270" s="125"/>
      <c r="O270" s="124"/>
      <c r="P270" s="124"/>
      <c r="Q270" s="124"/>
      <c r="R270" s="124"/>
      <c r="S270" s="124"/>
      <c r="T270" s="124"/>
      <c r="U270" s="124">
        <v>0</v>
      </c>
      <c r="V270" s="124">
        <v>0</v>
      </c>
      <c r="W270" s="124"/>
      <c r="X270" s="124">
        <v>1400</v>
      </c>
      <c r="Y270" s="124">
        <v>943</v>
      </c>
      <c r="Z270" s="124">
        <v>11</v>
      </c>
      <c r="AA270" s="124"/>
      <c r="AB270" s="124"/>
      <c r="AC270" s="124"/>
      <c r="AD270" s="124">
        <v>1</v>
      </c>
      <c r="AE270" s="126" t="inlineStr">
        <is>
          <t xml:space="preserve">Contrato</t>
        </is>
      </c>
    </row>
    <row r="271">
      <c r="A271" s="122">
        <v>46269</v>
      </c>
      <c r="B271" s="123" t="inlineStr">
        <is>
          <t xml:space="preserve">OMNLIFE</t>
        </is>
      </c>
      <c r="C271" s="124">
        <v>2</v>
      </c>
      <c r="D271" s="124">
        <v>35</v>
      </c>
      <c r="E271" s="125"/>
      <c r="F271" s="124"/>
      <c r="G271" s="124"/>
      <c r="H271" s="124"/>
      <c r="I271" s="124"/>
      <c r="J271" s="124"/>
      <c r="K271" s="124"/>
      <c r="L271" s="124">
        <v>8</v>
      </c>
      <c r="M271" s="124">
        <v>103</v>
      </c>
      <c r="N271" s="125"/>
      <c r="O271" s="124"/>
      <c r="P271" s="124"/>
      <c r="Q271" s="124"/>
      <c r="R271" s="124"/>
      <c r="S271" s="124"/>
      <c r="T271" s="124"/>
      <c r="U271" s="124">
        <v>0</v>
      </c>
      <c r="V271" s="124">
        <v>0</v>
      </c>
      <c r="W271" s="124"/>
      <c r="X271" s="124">
        <v>500</v>
      </c>
      <c r="Y271" s="124">
        <v>403</v>
      </c>
      <c r="Z271" s="124">
        <v>14</v>
      </c>
      <c r="AA271" s="124"/>
      <c r="AB271" s="124"/>
      <c r="AC271" s="124"/>
      <c r="AD271" s="124"/>
      <c r="AE271" s="126" t="inlineStr">
        <is>
          <t xml:space="preserve">Spot</t>
        </is>
      </c>
    </row>
    <row r="272">
      <c r="A272" s="122">
        <v>46269</v>
      </c>
      <c r="B272" s="123" t="inlineStr">
        <is>
          <t xml:space="preserve">ALPARGATAS</t>
        </is>
      </c>
      <c r="C272" s="124">
        <v>2</v>
      </c>
      <c r="D272" s="124"/>
      <c r="E272" s="125"/>
      <c r="F272" s="124">
        <v>429</v>
      </c>
      <c r="G272" s="124"/>
      <c r="H272" s="124"/>
      <c r="I272" s="124"/>
      <c r="J272" s="124"/>
      <c r="K272" s="124"/>
      <c r="L272" s="124">
        <v>9</v>
      </c>
      <c r="M272" s="124"/>
      <c r="N272" s="125"/>
      <c r="O272" s="124">
        <v>1841</v>
      </c>
      <c r="P272" s="124"/>
      <c r="Q272" s="124"/>
      <c r="R272" s="124"/>
      <c r="S272" s="124"/>
      <c r="T272" s="124"/>
      <c r="U272" s="124">
        <v>0</v>
      </c>
      <c r="V272" s="124">
        <v>0</v>
      </c>
      <c r="W272" s="124"/>
      <c r="X272" s="124">
        <v>1800</v>
      </c>
      <c r="Y272" s="124">
        <v>1031</v>
      </c>
      <c r="Z272" s="124">
        <v>13</v>
      </c>
      <c r="AA272" s="124"/>
      <c r="AB272" s="124"/>
      <c r="AC272" s="124"/>
      <c r="AD272" s="124"/>
      <c r="AE272" s="126" t="inlineStr">
        <is>
          <t xml:space="preserve">Contrato</t>
        </is>
      </c>
    </row>
    <row r="273">
      <c r="A273" s="122">
        <v>46270</v>
      </c>
      <c r="B273" s="123" t="inlineStr">
        <is>
          <t xml:space="preserve">BASF</t>
        </is>
      </c>
      <c r="C273" s="124">
        <v>4</v>
      </c>
      <c r="D273" s="124">
        <v>68</v>
      </c>
      <c r="E273" s="125">
        <v>55.55</v>
      </c>
      <c r="F273" s="124"/>
      <c r="G273" s="124"/>
      <c r="H273" s="124"/>
      <c r="I273" s="124"/>
      <c r="J273" s="124"/>
      <c r="K273" s="124"/>
      <c r="L273" s="124">
        <v>2</v>
      </c>
      <c r="M273" s="124">
        <v>82</v>
      </c>
      <c r="N273" s="125">
        <v>137.61</v>
      </c>
      <c r="O273" s="124"/>
      <c r="P273" s="124"/>
      <c r="Q273" s="124"/>
      <c r="R273" s="124"/>
      <c r="S273" s="124"/>
      <c r="T273" s="124"/>
      <c r="U273" s="124">
        <v>0</v>
      </c>
      <c r="V273" s="124">
        <v>0</v>
      </c>
      <c r="W273" s="124"/>
      <c r="X273" s="124">
        <v>2200</v>
      </c>
      <c r="Y273" s="124">
        <v>1983</v>
      </c>
      <c r="Z273" s="124">
        <v>9</v>
      </c>
      <c r="AA273" s="124"/>
      <c r="AB273" s="124"/>
      <c r="AC273" s="124"/>
      <c r="AD273" s="124"/>
      <c r="AE273" s="126" t="inlineStr">
        <is>
          <t xml:space="preserve">Contrato</t>
        </is>
      </c>
    </row>
    <row r="274">
      <c r="A274" s="122">
        <v>46270</v>
      </c>
      <c r="B274" s="123" t="inlineStr">
        <is>
          <t xml:space="preserve">BEAUTYBIZ</t>
        </is>
      </c>
      <c r="C274" s="124">
        <v>3</v>
      </c>
      <c r="D274" s="124">
        <v>144</v>
      </c>
      <c r="E274" s="125"/>
      <c r="F274" s="124">
        <v>2325</v>
      </c>
      <c r="G274" s="124"/>
      <c r="H274" s="124"/>
      <c r="I274" s="124"/>
      <c r="J274" s="124"/>
      <c r="K274" s="124"/>
      <c r="L274" s="124">
        <v>5</v>
      </c>
      <c r="M274" s="124">
        <v>127</v>
      </c>
      <c r="N274" s="125"/>
      <c r="O274" s="124"/>
      <c r="P274" s="124">
        <v>560</v>
      </c>
      <c r="Q274" s="124"/>
      <c r="R274" s="124"/>
      <c r="S274" s="124"/>
      <c r="T274" s="124"/>
      <c r="U274" s="124">
        <v>0</v>
      </c>
      <c r="V274" s="124">
        <v>0</v>
      </c>
      <c r="W274" s="124"/>
      <c r="X274" s="124">
        <v>1200</v>
      </c>
      <c r="Y274" s="124">
        <v>712</v>
      </c>
      <c r="Z274" s="124">
        <v>9</v>
      </c>
      <c r="AA274" s="124"/>
      <c r="AB274" s="124"/>
      <c r="AC274" s="124"/>
      <c r="AD274" s="124"/>
      <c r="AE274" s="126" t="inlineStr">
        <is>
          <t xml:space="preserve">Contrato</t>
        </is>
      </c>
    </row>
    <row r="275">
      <c r="A275" s="122">
        <v>46270</v>
      </c>
      <c r="B275" s="123" t="inlineStr">
        <is>
          <t xml:space="preserve">BOTICÁRIO</t>
        </is>
      </c>
      <c r="C275" s="124">
        <v>5</v>
      </c>
      <c r="D275" s="124"/>
      <c r="E275" s="125"/>
      <c r="F275" s="124"/>
      <c r="G275" s="124">
        <v>1899</v>
      </c>
      <c r="H275" s="124">
        <v>78</v>
      </c>
      <c r="I275" s="124">
        <v>630</v>
      </c>
      <c r="J275" s="124"/>
      <c r="K275" s="124"/>
      <c r="L275" s="124">
        <v>4</v>
      </c>
      <c r="M275" s="124">
        <v>92</v>
      </c>
      <c r="N275" s="125"/>
      <c r="O275" s="124"/>
      <c r="P275" s="124"/>
      <c r="Q275" s="124">
        <v>1113</v>
      </c>
      <c r="R275" s="124">
        <v>8485</v>
      </c>
      <c r="S275" s="124"/>
      <c r="T275" s="124"/>
      <c r="U275" s="124">
        <v>0</v>
      </c>
      <c r="V275" s="124">
        <v>0</v>
      </c>
      <c r="W275" s="124"/>
      <c r="X275" s="124">
        <v>3500</v>
      </c>
      <c r="Y275" s="124">
        <v>2245</v>
      </c>
      <c r="Z275" s="124">
        <v>4</v>
      </c>
      <c r="AA275" s="124"/>
      <c r="AB275" s="124"/>
      <c r="AC275" s="124"/>
      <c r="AD275" s="124"/>
      <c r="AE275" s="126" t="inlineStr">
        <is>
          <t xml:space="preserve">Contrato</t>
        </is>
      </c>
    </row>
    <row r="276">
      <c r="A276" s="122">
        <v>46270</v>
      </c>
      <c r="B276" s="123" t="inlineStr">
        <is>
          <t xml:space="preserve">SUPPLY</t>
        </is>
      </c>
      <c r="C276" s="124">
        <v>6</v>
      </c>
      <c r="D276" s="124">
        <v>105</v>
      </c>
      <c r="E276" s="125">
        <v>35.8</v>
      </c>
      <c r="F276" s="124"/>
      <c r="G276" s="124"/>
      <c r="H276" s="124"/>
      <c r="I276" s="124"/>
      <c r="J276" s="124"/>
      <c r="K276" s="124"/>
      <c r="L276" s="124">
        <v>11</v>
      </c>
      <c r="M276" s="124">
        <v>59</v>
      </c>
      <c r="N276" s="125">
        <v>63.86</v>
      </c>
      <c r="O276" s="124"/>
      <c r="P276" s="124"/>
      <c r="Q276" s="124"/>
      <c r="R276" s="124"/>
      <c r="S276" s="124"/>
      <c r="T276" s="124"/>
      <c r="U276" s="124">
        <v>0</v>
      </c>
      <c r="V276" s="124">
        <v>0</v>
      </c>
      <c r="W276" s="124">
        <v>6</v>
      </c>
      <c r="X276" s="124">
        <v>1600</v>
      </c>
      <c r="Y276" s="124">
        <v>1310</v>
      </c>
      <c r="Z276" s="124">
        <v>13</v>
      </c>
      <c r="AA276" s="124"/>
      <c r="AB276" s="124"/>
      <c r="AC276" s="124"/>
      <c r="AD276" s="124"/>
      <c r="AE276" s="126" t="inlineStr">
        <is>
          <t xml:space="preserve">Spot</t>
        </is>
      </c>
    </row>
    <row r="277">
      <c r="A277" s="122">
        <v>46270</v>
      </c>
      <c r="B277" s="123" t="inlineStr">
        <is>
          <t xml:space="preserve">GE VERNOVA</t>
        </is>
      </c>
      <c r="C277" s="124">
        <v>6</v>
      </c>
      <c r="D277" s="124">
        <v>117</v>
      </c>
      <c r="E277" s="125"/>
      <c r="F277" s="124"/>
      <c r="G277" s="124"/>
      <c r="H277" s="124"/>
      <c r="I277" s="124"/>
      <c r="J277" s="124">
        <v>217</v>
      </c>
      <c r="K277" s="124">
        <v>17</v>
      </c>
      <c r="L277" s="124">
        <v>2</v>
      </c>
      <c r="M277" s="124">
        <v>22</v>
      </c>
      <c r="N277" s="125"/>
      <c r="O277" s="124"/>
      <c r="P277" s="124"/>
      <c r="Q277" s="124"/>
      <c r="R277" s="124"/>
      <c r="S277" s="124">
        <v>248</v>
      </c>
      <c r="T277" s="124">
        <v>25</v>
      </c>
      <c r="U277" s="124">
        <v>0</v>
      </c>
      <c r="V277" s="124">
        <v>0</v>
      </c>
      <c r="W277" s="124"/>
      <c r="X277" s="124">
        <v>900</v>
      </c>
      <c r="Y277" s="124">
        <v>754</v>
      </c>
      <c r="Z277" s="124">
        <v>8</v>
      </c>
      <c r="AA277" s="124"/>
      <c r="AB277" s="124"/>
      <c r="AC277" s="124"/>
      <c r="AD277" s="124"/>
      <c r="AE277" s="126" t="inlineStr">
        <is>
          <t xml:space="preserve">Contrato</t>
        </is>
      </c>
    </row>
    <row r="278">
      <c r="A278" s="122">
        <v>46270</v>
      </c>
      <c r="B278" s="123" t="inlineStr">
        <is>
          <t xml:space="preserve">VESTAS</t>
        </is>
      </c>
      <c r="C278" s="124">
        <v>4</v>
      </c>
      <c r="D278" s="124"/>
      <c r="E278" s="125"/>
      <c r="F278" s="124"/>
      <c r="G278" s="124"/>
      <c r="H278" s="124"/>
      <c r="I278" s="124"/>
      <c r="J278" s="124"/>
      <c r="K278" s="124">
        <v>86</v>
      </c>
      <c r="L278" s="124">
        <v>3</v>
      </c>
      <c r="M278" s="124"/>
      <c r="N278" s="125"/>
      <c r="O278" s="124"/>
      <c r="P278" s="124"/>
      <c r="Q278" s="124"/>
      <c r="R278" s="124"/>
      <c r="S278" s="124"/>
      <c r="T278" s="124">
        <v>118</v>
      </c>
      <c r="U278" s="124">
        <v>0</v>
      </c>
      <c r="V278" s="124">
        <v>0</v>
      </c>
      <c r="W278" s="124"/>
      <c r="X278" s="124">
        <v>600</v>
      </c>
      <c r="Y278" s="124">
        <v>411</v>
      </c>
      <c r="Z278" s="124">
        <v>7</v>
      </c>
      <c r="AA278" s="124">
        <v>1</v>
      </c>
      <c r="AB278" s="124"/>
      <c r="AC278" s="124"/>
      <c r="AD278" s="124"/>
      <c r="AE278" s="126" t="inlineStr">
        <is>
          <t xml:space="preserve">Cross</t>
        </is>
      </c>
    </row>
    <row r="279">
      <c r="A279" s="122">
        <v>46270</v>
      </c>
      <c r="B279" s="123" t="inlineStr">
        <is>
          <t xml:space="preserve">VEDACIT</t>
        </is>
      </c>
      <c r="C279" s="124">
        <v>7</v>
      </c>
      <c r="D279" s="124">
        <v>113</v>
      </c>
      <c r="E279" s="125"/>
      <c r="F279" s="124"/>
      <c r="G279" s="124"/>
      <c r="H279" s="124"/>
      <c r="I279" s="124"/>
      <c r="J279" s="124"/>
      <c r="K279" s="124"/>
      <c r="L279" s="124">
        <v>4</v>
      </c>
      <c r="M279" s="124">
        <v>21</v>
      </c>
      <c r="N279" s="125"/>
      <c r="O279" s="124"/>
      <c r="P279" s="124"/>
      <c r="Q279" s="124"/>
      <c r="R279" s="124"/>
      <c r="S279" s="124"/>
      <c r="T279" s="124"/>
      <c r="U279" s="124">
        <v>0</v>
      </c>
      <c r="V279" s="124">
        <v>0</v>
      </c>
      <c r="W279" s="124">
        <v>9</v>
      </c>
      <c r="X279" s="124">
        <v>1400</v>
      </c>
      <c r="Y279" s="124">
        <v>1158</v>
      </c>
      <c r="Z279" s="124">
        <v>6</v>
      </c>
      <c r="AA279" s="124">
        <v>1</v>
      </c>
      <c r="AB279" s="124"/>
      <c r="AC279" s="124"/>
      <c r="AD279" s="124"/>
      <c r="AE279" s="126" t="inlineStr">
        <is>
          <t xml:space="preserve">Contrato</t>
        </is>
      </c>
    </row>
    <row r="280">
      <c r="A280" s="122">
        <v>46270</v>
      </c>
      <c r="B280" s="123" t="inlineStr">
        <is>
          <t xml:space="preserve">OMNLIFE</t>
        </is>
      </c>
      <c r="C280" s="124">
        <v>3</v>
      </c>
      <c r="D280" s="124">
        <v>32</v>
      </c>
      <c r="E280" s="125"/>
      <c r="F280" s="124"/>
      <c r="G280" s="124"/>
      <c r="H280" s="124"/>
      <c r="I280" s="124"/>
      <c r="J280" s="124"/>
      <c r="K280" s="124"/>
      <c r="L280" s="124">
        <v>7</v>
      </c>
      <c r="M280" s="124">
        <v>28</v>
      </c>
      <c r="N280" s="125"/>
      <c r="O280" s="124"/>
      <c r="P280" s="124"/>
      <c r="Q280" s="124"/>
      <c r="R280" s="124"/>
      <c r="S280" s="124"/>
      <c r="T280" s="124"/>
      <c r="U280" s="124">
        <v>0</v>
      </c>
      <c r="V280" s="124">
        <v>0</v>
      </c>
      <c r="W280" s="124"/>
      <c r="X280" s="124">
        <v>500</v>
      </c>
      <c r="Y280" s="124">
        <v>471</v>
      </c>
      <c r="Z280" s="124">
        <v>9</v>
      </c>
      <c r="AA280" s="124"/>
      <c r="AB280" s="124"/>
      <c r="AC280" s="124"/>
      <c r="AD280" s="124"/>
      <c r="AE280" s="126" t="inlineStr">
        <is>
          <t xml:space="preserve">Spot</t>
        </is>
      </c>
    </row>
    <row r="281">
      <c r="A281" s="122">
        <v>46270</v>
      </c>
      <c r="B281" s="123" t="inlineStr">
        <is>
          <t xml:space="preserve">ALPARGATAS</t>
        </is>
      </c>
      <c r="C281" s="124">
        <v>3</v>
      </c>
      <c r="D281" s="124"/>
      <c r="E281" s="125"/>
      <c r="F281" s="124">
        <v>1105</v>
      </c>
      <c r="G281" s="124"/>
      <c r="H281" s="124"/>
      <c r="I281" s="124"/>
      <c r="J281" s="124"/>
      <c r="K281" s="124"/>
      <c r="L281" s="124">
        <v>7</v>
      </c>
      <c r="M281" s="124"/>
      <c r="N281" s="125"/>
      <c r="O281" s="124">
        <v>556</v>
      </c>
      <c r="P281" s="124"/>
      <c r="Q281" s="124"/>
      <c r="R281" s="124"/>
      <c r="S281" s="124"/>
      <c r="T281" s="124"/>
      <c r="U281" s="124">
        <v>0</v>
      </c>
      <c r="V281" s="124">
        <v>0</v>
      </c>
      <c r="W281" s="124">
        <v>12</v>
      </c>
      <c r="X281" s="124">
        <v>1800</v>
      </c>
      <c r="Y281" s="124">
        <v>1694</v>
      </c>
      <c r="Z281" s="124">
        <v>4</v>
      </c>
      <c r="AA281" s="124"/>
      <c r="AB281" s="124"/>
      <c r="AC281" s="124"/>
      <c r="AD281" s="124"/>
      <c r="AE281" s="126" t="inlineStr">
        <is>
          <t xml:space="preserve">Contrato</t>
        </is>
      </c>
    </row>
    <row r="282">
      <c r="A282" s="122">
        <v>46272</v>
      </c>
      <c r="B282" s="123" t="inlineStr">
        <is>
          <t xml:space="preserve">BASF</t>
        </is>
      </c>
      <c r="C282" s="124">
        <v>4</v>
      </c>
      <c r="D282" s="124">
        <v>109</v>
      </c>
      <c r="E282" s="125">
        <v>73.97</v>
      </c>
      <c r="F282" s="124"/>
      <c r="G282" s="124"/>
      <c r="H282" s="124"/>
      <c r="I282" s="124"/>
      <c r="J282" s="124"/>
      <c r="K282" s="124"/>
      <c r="L282" s="124">
        <v>10</v>
      </c>
      <c r="M282" s="124">
        <v>27</v>
      </c>
      <c r="N282" s="125">
        <v>97.95</v>
      </c>
      <c r="O282" s="124"/>
      <c r="P282" s="124"/>
      <c r="Q282" s="124"/>
      <c r="R282" s="124"/>
      <c r="S282" s="124"/>
      <c r="T282" s="124"/>
      <c r="U282" s="124">
        <v>0</v>
      </c>
      <c r="V282" s="124">
        <v>0</v>
      </c>
      <c r="W282" s="124">
        <v>14</v>
      </c>
      <c r="X282" s="124">
        <v>2200</v>
      </c>
      <c r="Y282" s="124">
        <v>1660</v>
      </c>
      <c r="Z282" s="124">
        <v>5</v>
      </c>
      <c r="AA282" s="124"/>
      <c r="AB282" s="124"/>
      <c r="AC282" s="124"/>
      <c r="AD282" s="124"/>
      <c r="AE282" s="126" t="inlineStr">
        <is>
          <t xml:space="preserve">Contrato</t>
        </is>
      </c>
    </row>
    <row r="283">
      <c r="A283" s="122">
        <v>46272</v>
      </c>
      <c r="B283" s="123" t="inlineStr">
        <is>
          <t xml:space="preserve">BEAUTYBIZ</t>
        </is>
      </c>
      <c r="C283" s="124">
        <v>5</v>
      </c>
      <c r="D283" s="124">
        <v>44</v>
      </c>
      <c r="E283" s="125"/>
      <c r="F283" s="124">
        <v>807</v>
      </c>
      <c r="G283" s="124"/>
      <c r="H283" s="124"/>
      <c r="I283" s="124"/>
      <c r="J283" s="124"/>
      <c r="K283" s="124"/>
      <c r="L283" s="124">
        <v>6</v>
      </c>
      <c r="M283" s="124">
        <v>36</v>
      </c>
      <c r="N283" s="125"/>
      <c r="O283" s="124"/>
      <c r="P283" s="124">
        <v>122</v>
      </c>
      <c r="Q283" s="124"/>
      <c r="R283" s="124"/>
      <c r="S283" s="124"/>
      <c r="T283" s="124"/>
      <c r="U283" s="124">
        <v>0</v>
      </c>
      <c r="V283" s="124">
        <v>0</v>
      </c>
      <c r="W283" s="124"/>
      <c r="X283" s="124">
        <v>1200</v>
      </c>
      <c r="Y283" s="124">
        <v>939</v>
      </c>
      <c r="Z283" s="124">
        <v>5</v>
      </c>
      <c r="AA283" s="124"/>
      <c r="AB283" s="124"/>
      <c r="AC283" s="124"/>
      <c r="AD283" s="124"/>
      <c r="AE283" s="126" t="inlineStr">
        <is>
          <t xml:space="preserve">Contrato</t>
        </is>
      </c>
    </row>
    <row r="284">
      <c r="A284" s="122">
        <v>46272</v>
      </c>
      <c r="B284" s="123" t="inlineStr">
        <is>
          <t xml:space="preserve">BOTICÁRIO</t>
        </is>
      </c>
      <c r="C284" s="124">
        <v>8</v>
      </c>
      <c r="D284" s="124"/>
      <c r="E284" s="125"/>
      <c r="F284" s="124"/>
      <c r="G284" s="124">
        <v>5627</v>
      </c>
      <c r="H284" s="124">
        <v>187</v>
      </c>
      <c r="I284" s="124">
        <v>147</v>
      </c>
      <c r="J284" s="124"/>
      <c r="K284" s="124"/>
      <c r="L284" s="124">
        <v>6</v>
      </c>
      <c r="M284" s="124">
        <v>91</v>
      </c>
      <c r="N284" s="125"/>
      <c r="O284" s="124"/>
      <c r="P284" s="124"/>
      <c r="Q284" s="124">
        <v>208</v>
      </c>
      <c r="R284" s="124">
        <v>5411</v>
      </c>
      <c r="S284" s="124"/>
      <c r="T284" s="124"/>
      <c r="U284" s="124">
        <v>0</v>
      </c>
      <c r="V284" s="124">
        <v>0</v>
      </c>
      <c r="W284" s="124"/>
      <c r="X284" s="124">
        <v>3500</v>
      </c>
      <c r="Y284" s="124">
        <v>2613</v>
      </c>
      <c r="Z284" s="124">
        <v>11</v>
      </c>
      <c r="AA284" s="124"/>
      <c r="AB284" s="124"/>
      <c r="AC284" s="124"/>
      <c r="AD284" s="124"/>
      <c r="AE284" s="126" t="inlineStr">
        <is>
          <t xml:space="preserve">Contrato</t>
        </is>
      </c>
    </row>
    <row r="285">
      <c r="A285" s="122">
        <v>46272</v>
      </c>
      <c r="B285" s="123" t="inlineStr">
        <is>
          <t xml:space="preserve">SUPPLY</t>
        </is>
      </c>
      <c r="C285" s="124">
        <v>2</v>
      </c>
      <c r="D285" s="124">
        <v>59</v>
      </c>
      <c r="E285" s="125">
        <v>113.63</v>
      </c>
      <c r="F285" s="124"/>
      <c r="G285" s="124"/>
      <c r="H285" s="124"/>
      <c r="I285" s="124"/>
      <c r="J285" s="124"/>
      <c r="K285" s="124"/>
      <c r="L285" s="124">
        <v>2</v>
      </c>
      <c r="M285" s="124">
        <v>118</v>
      </c>
      <c r="N285" s="125">
        <v>74.37</v>
      </c>
      <c r="O285" s="124"/>
      <c r="P285" s="124"/>
      <c r="Q285" s="124"/>
      <c r="R285" s="124"/>
      <c r="S285" s="124"/>
      <c r="T285" s="124"/>
      <c r="U285" s="124">
        <v>0</v>
      </c>
      <c r="V285" s="124">
        <v>0</v>
      </c>
      <c r="W285" s="124"/>
      <c r="X285" s="124">
        <v>1600</v>
      </c>
      <c r="Y285" s="124">
        <v>1425</v>
      </c>
      <c r="Z285" s="124">
        <v>4</v>
      </c>
      <c r="AA285" s="124"/>
      <c r="AB285" s="124"/>
      <c r="AC285" s="124">
        <v>1</v>
      </c>
      <c r="AD285" s="124"/>
      <c r="AE285" s="126" t="inlineStr">
        <is>
          <t xml:space="preserve">Spot</t>
        </is>
      </c>
    </row>
    <row r="286">
      <c r="A286" s="122">
        <v>46272</v>
      </c>
      <c r="B286" s="123" t="inlineStr">
        <is>
          <t xml:space="preserve">GE VERNOVA</t>
        </is>
      </c>
      <c r="C286" s="124">
        <v>7</v>
      </c>
      <c r="D286" s="124">
        <v>113</v>
      </c>
      <c r="E286" s="125"/>
      <c r="F286" s="124"/>
      <c r="G286" s="124"/>
      <c r="H286" s="124"/>
      <c r="I286" s="124"/>
      <c r="J286" s="124">
        <v>126</v>
      </c>
      <c r="K286" s="124">
        <v>50</v>
      </c>
      <c r="L286" s="124">
        <v>5</v>
      </c>
      <c r="M286" s="124">
        <v>144</v>
      </c>
      <c r="N286" s="125"/>
      <c r="O286" s="124"/>
      <c r="P286" s="124"/>
      <c r="Q286" s="124"/>
      <c r="R286" s="124"/>
      <c r="S286" s="124">
        <v>227</v>
      </c>
      <c r="T286" s="124">
        <v>14</v>
      </c>
      <c r="U286" s="124">
        <v>0</v>
      </c>
      <c r="V286" s="124">
        <v>0</v>
      </c>
      <c r="W286" s="124"/>
      <c r="X286" s="124">
        <v>900</v>
      </c>
      <c r="Y286" s="124">
        <v>759</v>
      </c>
      <c r="Z286" s="124">
        <v>4</v>
      </c>
      <c r="AA286" s="124"/>
      <c r="AB286" s="124"/>
      <c r="AC286" s="124"/>
      <c r="AD286" s="124"/>
      <c r="AE286" s="126" t="inlineStr">
        <is>
          <t xml:space="preserve">Contrato</t>
        </is>
      </c>
    </row>
    <row r="287">
      <c r="A287" s="122">
        <v>46272</v>
      </c>
      <c r="B287" s="123" t="inlineStr">
        <is>
          <t xml:space="preserve">VESTAS</t>
        </is>
      </c>
      <c r="C287" s="124">
        <v>2</v>
      </c>
      <c r="D287" s="124"/>
      <c r="E287" s="125"/>
      <c r="F287" s="124"/>
      <c r="G287" s="124"/>
      <c r="H287" s="124"/>
      <c r="I287" s="124"/>
      <c r="J287" s="124"/>
      <c r="K287" s="124">
        <v>58</v>
      </c>
      <c r="L287" s="124">
        <v>3</v>
      </c>
      <c r="M287" s="124"/>
      <c r="N287" s="125"/>
      <c r="O287" s="124"/>
      <c r="P287" s="124"/>
      <c r="Q287" s="124"/>
      <c r="R287" s="124"/>
      <c r="S287" s="124"/>
      <c r="T287" s="124">
        <v>31</v>
      </c>
      <c r="U287" s="124">
        <v>0</v>
      </c>
      <c r="V287" s="124">
        <v>0</v>
      </c>
      <c r="W287" s="124"/>
      <c r="X287" s="124">
        <v>600</v>
      </c>
      <c r="Y287" s="124">
        <v>431</v>
      </c>
      <c r="Z287" s="124">
        <v>14</v>
      </c>
      <c r="AA287" s="124"/>
      <c r="AB287" s="124"/>
      <c r="AC287" s="124"/>
      <c r="AD287" s="124"/>
      <c r="AE287" s="126" t="inlineStr">
        <is>
          <t xml:space="preserve">Cross</t>
        </is>
      </c>
    </row>
    <row r="288">
      <c r="A288" s="122">
        <v>46272</v>
      </c>
      <c r="B288" s="123" t="inlineStr">
        <is>
          <t xml:space="preserve">VEDACIT</t>
        </is>
      </c>
      <c r="C288" s="124">
        <v>4</v>
      </c>
      <c r="D288" s="124">
        <v>139</v>
      </c>
      <c r="E288" s="125"/>
      <c r="F288" s="124"/>
      <c r="G288" s="124"/>
      <c r="H288" s="124"/>
      <c r="I288" s="124"/>
      <c r="J288" s="124"/>
      <c r="K288" s="124"/>
      <c r="L288" s="124">
        <v>9</v>
      </c>
      <c r="M288" s="124">
        <v>114</v>
      </c>
      <c r="N288" s="125"/>
      <c r="O288" s="124"/>
      <c r="P288" s="124"/>
      <c r="Q288" s="124"/>
      <c r="R288" s="124"/>
      <c r="S288" s="124"/>
      <c r="T288" s="124"/>
      <c r="U288" s="124">
        <v>0</v>
      </c>
      <c r="V288" s="124">
        <v>0</v>
      </c>
      <c r="W288" s="124">
        <v>15</v>
      </c>
      <c r="X288" s="124">
        <v>1400</v>
      </c>
      <c r="Y288" s="124">
        <v>888</v>
      </c>
      <c r="Z288" s="124">
        <v>11</v>
      </c>
      <c r="AA288" s="124"/>
      <c r="AB288" s="124"/>
      <c r="AC288" s="124"/>
      <c r="AD288" s="124"/>
      <c r="AE288" s="126" t="inlineStr">
        <is>
          <t xml:space="preserve">Contrato</t>
        </is>
      </c>
    </row>
    <row r="289">
      <c r="A289" s="122">
        <v>46272</v>
      </c>
      <c r="B289" s="123" t="inlineStr">
        <is>
          <t xml:space="preserve">OMNLIFE</t>
        </is>
      </c>
      <c r="C289" s="124">
        <v>3</v>
      </c>
      <c r="D289" s="124">
        <v>77</v>
      </c>
      <c r="E289" s="125"/>
      <c r="F289" s="124"/>
      <c r="G289" s="124"/>
      <c r="H289" s="124"/>
      <c r="I289" s="124"/>
      <c r="J289" s="124"/>
      <c r="K289" s="124"/>
      <c r="L289" s="124">
        <v>9</v>
      </c>
      <c r="M289" s="124">
        <v>99</v>
      </c>
      <c r="N289" s="125"/>
      <c r="O289" s="124"/>
      <c r="P289" s="124"/>
      <c r="Q289" s="124"/>
      <c r="R289" s="124"/>
      <c r="S289" s="124"/>
      <c r="T289" s="124"/>
      <c r="U289" s="124">
        <v>0</v>
      </c>
      <c r="V289" s="124">
        <v>0</v>
      </c>
      <c r="W289" s="124"/>
      <c r="X289" s="124">
        <v>500</v>
      </c>
      <c r="Y289" s="124">
        <v>307</v>
      </c>
      <c r="Z289" s="124">
        <v>8</v>
      </c>
      <c r="AA289" s="124"/>
      <c r="AB289" s="124"/>
      <c r="AC289" s="124"/>
      <c r="AD289" s="124"/>
      <c r="AE289" s="126" t="inlineStr">
        <is>
          <t xml:space="preserve">Spot</t>
        </is>
      </c>
    </row>
    <row r="290">
      <c r="A290" s="122">
        <v>46272</v>
      </c>
      <c r="B290" s="123" t="inlineStr">
        <is>
          <t xml:space="preserve">ALPARGATAS</t>
        </is>
      </c>
      <c r="C290" s="124">
        <v>3</v>
      </c>
      <c r="D290" s="124"/>
      <c r="E290" s="125"/>
      <c r="F290" s="124">
        <v>1536</v>
      </c>
      <c r="G290" s="124"/>
      <c r="H290" s="124"/>
      <c r="I290" s="124"/>
      <c r="J290" s="124"/>
      <c r="K290" s="124"/>
      <c r="L290" s="124">
        <v>4</v>
      </c>
      <c r="M290" s="124"/>
      <c r="N290" s="125"/>
      <c r="O290" s="124">
        <v>1256</v>
      </c>
      <c r="P290" s="124"/>
      <c r="Q290" s="124"/>
      <c r="R290" s="124"/>
      <c r="S290" s="124"/>
      <c r="T290" s="124"/>
      <c r="U290" s="124">
        <v>0</v>
      </c>
      <c r="V290" s="124">
        <v>0</v>
      </c>
      <c r="W290" s="124">
        <v>10</v>
      </c>
      <c r="X290" s="124">
        <v>1800</v>
      </c>
      <c r="Y290" s="124">
        <v>1660</v>
      </c>
      <c r="Z290" s="124">
        <v>4</v>
      </c>
      <c r="AA290" s="124"/>
      <c r="AB290" s="124"/>
      <c r="AC290" s="124"/>
      <c r="AD290" s="124"/>
      <c r="AE290" s="126" t="inlineStr">
        <is>
          <t xml:space="preserve">Contrato</t>
        </is>
      </c>
    </row>
    <row r="291">
      <c r="A291" s="122">
        <v>46273</v>
      </c>
      <c r="B291" s="123" t="inlineStr">
        <is>
          <t xml:space="preserve">BASF</t>
        </is>
      </c>
      <c r="C291" s="124">
        <v>7</v>
      </c>
      <c r="D291" s="124">
        <v>55</v>
      </c>
      <c r="E291" s="125">
        <v>86.27</v>
      </c>
      <c r="F291" s="124"/>
      <c r="G291" s="124"/>
      <c r="H291" s="124"/>
      <c r="I291" s="124"/>
      <c r="J291" s="124"/>
      <c r="K291" s="124"/>
      <c r="L291" s="124">
        <v>4</v>
      </c>
      <c r="M291" s="124">
        <v>41</v>
      </c>
      <c r="N291" s="125">
        <v>108.06</v>
      </c>
      <c r="O291" s="124"/>
      <c r="P291" s="124"/>
      <c r="Q291" s="124"/>
      <c r="R291" s="124"/>
      <c r="S291" s="124"/>
      <c r="T291" s="124"/>
      <c r="U291" s="124">
        <v>0</v>
      </c>
      <c r="V291" s="124">
        <v>0</v>
      </c>
      <c r="W291" s="124">
        <v>13</v>
      </c>
      <c r="X291" s="124">
        <v>2200</v>
      </c>
      <c r="Y291" s="124">
        <v>2055</v>
      </c>
      <c r="Z291" s="124">
        <v>5</v>
      </c>
      <c r="AA291" s="124"/>
      <c r="AB291" s="124"/>
      <c r="AC291" s="124"/>
      <c r="AD291" s="124"/>
      <c r="AE291" s="126" t="inlineStr">
        <is>
          <t xml:space="preserve">Contrato</t>
        </is>
      </c>
    </row>
    <row r="292">
      <c r="A292" s="122">
        <v>46273</v>
      </c>
      <c r="B292" s="123" t="inlineStr">
        <is>
          <t xml:space="preserve">BEAUTYBIZ</t>
        </is>
      </c>
      <c r="C292" s="124">
        <v>3</v>
      </c>
      <c r="D292" s="124">
        <v>39</v>
      </c>
      <c r="E292" s="125"/>
      <c r="F292" s="124">
        <v>461</v>
      </c>
      <c r="G292" s="124"/>
      <c r="H292" s="124"/>
      <c r="I292" s="124"/>
      <c r="J292" s="124"/>
      <c r="K292" s="124"/>
      <c r="L292" s="124">
        <v>5</v>
      </c>
      <c r="M292" s="124">
        <v>62</v>
      </c>
      <c r="N292" s="125"/>
      <c r="O292" s="124"/>
      <c r="P292" s="124">
        <v>491</v>
      </c>
      <c r="Q292" s="124"/>
      <c r="R292" s="124"/>
      <c r="S292" s="124"/>
      <c r="T292" s="124"/>
      <c r="U292" s="124">
        <v>0</v>
      </c>
      <c r="V292" s="124">
        <v>0</v>
      </c>
      <c r="W292" s="124"/>
      <c r="X292" s="124">
        <v>1200</v>
      </c>
      <c r="Y292" s="124">
        <v>911</v>
      </c>
      <c r="Z292" s="124">
        <v>12</v>
      </c>
      <c r="AA292" s="124"/>
      <c r="AB292" s="124"/>
      <c r="AC292" s="124"/>
      <c r="AD292" s="124"/>
      <c r="AE292" s="126" t="inlineStr">
        <is>
          <t xml:space="preserve">Contrato</t>
        </is>
      </c>
    </row>
    <row r="293">
      <c r="A293" s="122">
        <v>46273</v>
      </c>
      <c r="B293" s="123" t="inlineStr">
        <is>
          <t xml:space="preserve">BOTICÁRIO</t>
        </is>
      </c>
      <c r="C293" s="124">
        <v>3</v>
      </c>
      <c r="D293" s="124"/>
      <c r="E293" s="125"/>
      <c r="F293" s="124"/>
      <c r="G293" s="124">
        <v>1195</v>
      </c>
      <c r="H293" s="124">
        <v>365</v>
      </c>
      <c r="I293" s="124">
        <v>556</v>
      </c>
      <c r="J293" s="124"/>
      <c r="K293" s="124"/>
      <c r="L293" s="124">
        <v>3</v>
      </c>
      <c r="M293" s="124">
        <v>53</v>
      </c>
      <c r="N293" s="125"/>
      <c r="O293" s="124"/>
      <c r="P293" s="124"/>
      <c r="Q293" s="124">
        <v>876</v>
      </c>
      <c r="R293" s="124">
        <v>3417</v>
      </c>
      <c r="S293" s="124"/>
      <c r="T293" s="124"/>
      <c r="U293" s="124">
        <v>0</v>
      </c>
      <c r="V293" s="124">
        <v>0</v>
      </c>
      <c r="W293" s="124"/>
      <c r="X293" s="124">
        <v>3500</v>
      </c>
      <c r="Y293" s="124">
        <v>2032</v>
      </c>
      <c r="Z293" s="124">
        <v>4</v>
      </c>
      <c r="AA293" s="124"/>
      <c r="AB293" s="124"/>
      <c r="AC293" s="124"/>
      <c r="AD293" s="124"/>
      <c r="AE293" s="126" t="inlineStr">
        <is>
          <t xml:space="preserve">Contrato</t>
        </is>
      </c>
    </row>
    <row r="294">
      <c r="A294" s="122">
        <v>46273</v>
      </c>
      <c r="B294" s="123" t="inlineStr">
        <is>
          <t xml:space="preserve">SUPPLY</t>
        </is>
      </c>
      <c r="C294" s="124">
        <v>2</v>
      </c>
      <c r="D294" s="124">
        <v>86</v>
      </c>
      <c r="E294" s="125">
        <v>99.74</v>
      </c>
      <c r="F294" s="124"/>
      <c r="G294" s="124"/>
      <c r="H294" s="124"/>
      <c r="I294" s="124"/>
      <c r="J294" s="124"/>
      <c r="K294" s="124"/>
      <c r="L294" s="124">
        <v>9</v>
      </c>
      <c r="M294" s="124">
        <v>110</v>
      </c>
      <c r="N294" s="125">
        <v>37.53</v>
      </c>
      <c r="O294" s="124"/>
      <c r="P294" s="124"/>
      <c r="Q294" s="124"/>
      <c r="R294" s="124"/>
      <c r="S294" s="124"/>
      <c r="T294" s="124"/>
      <c r="U294" s="124">
        <v>0</v>
      </c>
      <c r="V294" s="124">
        <v>0</v>
      </c>
      <c r="W294" s="124">
        <v>13</v>
      </c>
      <c r="X294" s="124">
        <v>1600</v>
      </c>
      <c r="Y294" s="124">
        <v>939</v>
      </c>
      <c r="Z294" s="124">
        <v>7</v>
      </c>
      <c r="AA294" s="124"/>
      <c r="AB294" s="124"/>
      <c r="AC294" s="124"/>
      <c r="AD294" s="124"/>
      <c r="AE294" s="126" t="inlineStr">
        <is>
          <t xml:space="preserve">Spot</t>
        </is>
      </c>
    </row>
    <row r="295">
      <c r="A295" s="122">
        <v>46273</v>
      </c>
      <c r="B295" s="123" t="inlineStr">
        <is>
          <t xml:space="preserve">GE VERNOVA</t>
        </is>
      </c>
      <c r="C295" s="124">
        <v>4</v>
      </c>
      <c r="D295" s="124">
        <v>119</v>
      </c>
      <c r="E295" s="125"/>
      <c r="F295" s="124"/>
      <c r="G295" s="124"/>
      <c r="H295" s="124"/>
      <c r="I295" s="124"/>
      <c r="J295" s="124">
        <v>259</v>
      </c>
      <c r="K295" s="124">
        <v>64</v>
      </c>
      <c r="L295" s="124">
        <v>5</v>
      </c>
      <c r="M295" s="124">
        <v>159</v>
      </c>
      <c r="N295" s="125"/>
      <c r="O295" s="124"/>
      <c r="P295" s="124"/>
      <c r="Q295" s="124"/>
      <c r="R295" s="124"/>
      <c r="S295" s="124">
        <v>401</v>
      </c>
      <c r="T295" s="124">
        <v>106</v>
      </c>
      <c r="U295" s="124">
        <v>0</v>
      </c>
      <c r="V295" s="124">
        <v>0</v>
      </c>
      <c r="W295" s="124"/>
      <c r="X295" s="124">
        <v>900</v>
      </c>
      <c r="Y295" s="124">
        <v>727</v>
      </c>
      <c r="Z295" s="124">
        <v>14</v>
      </c>
      <c r="AA295" s="124">
        <v>1</v>
      </c>
      <c r="AB295" s="124"/>
      <c r="AC295" s="124"/>
      <c r="AD295" s="124"/>
      <c r="AE295" s="126" t="inlineStr">
        <is>
          <t xml:space="preserve">Contrato</t>
        </is>
      </c>
    </row>
    <row r="296">
      <c r="A296" s="122">
        <v>46273</v>
      </c>
      <c r="B296" s="123" t="inlineStr">
        <is>
          <t xml:space="preserve">VESTAS</t>
        </is>
      </c>
      <c r="C296" s="124">
        <v>4</v>
      </c>
      <c r="D296" s="124"/>
      <c r="E296" s="125"/>
      <c r="F296" s="124"/>
      <c r="G296" s="124"/>
      <c r="H296" s="124"/>
      <c r="I296" s="124"/>
      <c r="J296" s="124"/>
      <c r="K296" s="124">
        <v>87</v>
      </c>
      <c r="L296" s="124">
        <v>6</v>
      </c>
      <c r="M296" s="124"/>
      <c r="N296" s="125"/>
      <c r="O296" s="124"/>
      <c r="P296" s="124"/>
      <c r="Q296" s="124"/>
      <c r="R296" s="124"/>
      <c r="S296" s="124"/>
      <c r="T296" s="124">
        <v>29</v>
      </c>
      <c r="U296" s="124">
        <v>0</v>
      </c>
      <c r="V296" s="124">
        <v>1</v>
      </c>
      <c r="W296" s="124"/>
      <c r="X296" s="124">
        <v>600</v>
      </c>
      <c r="Y296" s="124">
        <v>370</v>
      </c>
      <c r="Z296" s="124">
        <v>9</v>
      </c>
      <c r="AA296" s="124">
        <v>1</v>
      </c>
      <c r="AB296" s="124"/>
      <c r="AC296" s="124"/>
      <c r="AD296" s="124"/>
      <c r="AE296" s="126" t="inlineStr">
        <is>
          <t xml:space="preserve">Cross</t>
        </is>
      </c>
    </row>
    <row r="297">
      <c r="A297" s="122">
        <v>46273</v>
      </c>
      <c r="B297" s="123" t="inlineStr">
        <is>
          <t xml:space="preserve">VEDACIT</t>
        </is>
      </c>
      <c r="C297" s="124">
        <v>3</v>
      </c>
      <c r="D297" s="124">
        <v>54</v>
      </c>
      <c r="E297" s="125"/>
      <c r="F297" s="124"/>
      <c r="G297" s="124"/>
      <c r="H297" s="124"/>
      <c r="I297" s="124"/>
      <c r="J297" s="124"/>
      <c r="K297" s="124"/>
      <c r="L297" s="124">
        <v>7</v>
      </c>
      <c r="M297" s="124">
        <v>127</v>
      </c>
      <c r="N297" s="125"/>
      <c r="O297" s="124"/>
      <c r="P297" s="124"/>
      <c r="Q297" s="124"/>
      <c r="R297" s="124"/>
      <c r="S297" s="124"/>
      <c r="T297" s="124"/>
      <c r="U297" s="124">
        <v>0</v>
      </c>
      <c r="V297" s="124">
        <v>0</v>
      </c>
      <c r="W297" s="124"/>
      <c r="X297" s="124">
        <v>1400</v>
      </c>
      <c r="Y297" s="124">
        <v>866</v>
      </c>
      <c r="Z297" s="124">
        <v>5</v>
      </c>
      <c r="AA297" s="124"/>
      <c r="AB297" s="124"/>
      <c r="AC297" s="124"/>
      <c r="AD297" s="124"/>
      <c r="AE297" s="126" t="inlineStr">
        <is>
          <t xml:space="preserve">Contrato</t>
        </is>
      </c>
    </row>
    <row r="298">
      <c r="A298" s="122">
        <v>46273</v>
      </c>
      <c r="B298" s="123" t="inlineStr">
        <is>
          <t xml:space="preserve">OMNLIFE</t>
        </is>
      </c>
      <c r="C298" s="124">
        <v>3</v>
      </c>
      <c r="D298" s="124">
        <v>22</v>
      </c>
      <c r="E298" s="125"/>
      <c r="F298" s="124"/>
      <c r="G298" s="124"/>
      <c r="H298" s="124"/>
      <c r="I298" s="124"/>
      <c r="J298" s="124"/>
      <c r="K298" s="124"/>
      <c r="L298" s="124">
        <v>7</v>
      </c>
      <c r="M298" s="124">
        <v>121</v>
      </c>
      <c r="N298" s="125"/>
      <c r="O298" s="124"/>
      <c r="P298" s="124"/>
      <c r="Q298" s="124"/>
      <c r="R298" s="124"/>
      <c r="S298" s="124"/>
      <c r="T298" s="124"/>
      <c r="U298" s="124">
        <v>0</v>
      </c>
      <c r="V298" s="124">
        <v>1</v>
      </c>
      <c r="W298" s="124">
        <v>5</v>
      </c>
      <c r="X298" s="124">
        <v>500</v>
      </c>
      <c r="Y298" s="124">
        <v>293</v>
      </c>
      <c r="Z298" s="124">
        <v>7</v>
      </c>
      <c r="AA298" s="124">
        <v>1</v>
      </c>
      <c r="AB298" s="124"/>
      <c r="AC298" s="124"/>
      <c r="AD298" s="124"/>
      <c r="AE298" s="126" t="inlineStr">
        <is>
          <t xml:space="preserve">Spot</t>
        </is>
      </c>
    </row>
    <row r="299">
      <c r="A299" s="122">
        <v>46273</v>
      </c>
      <c r="B299" s="123" t="inlineStr">
        <is>
          <t xml:space="preserve">ALPARGATAS</t>
        </is>
      </c>
      <c r="C299" s="124">
        <v>8</v>
      </c>
      <c r="D299" s="124"/>
      <c r="E299" s="125"/>
      <c r="F299" s="124">
        <v>342</v>
      </c>
      <c r="G299" s="124"/>
      <c r="H299" s="124"/>
      <c r="I299" s="124"/>
      <c r="J299" s="124"/>
      <c r="K299" s="124"/>
      <c r="L299" s="124">
        <v>3</v>
      </c>
      <c r="M299" s="124"/>
      <c r="N299" s="125"/>
      <c r="O299" s="124">
        <v>2449</v>
      </c>
      <c r="P299" s="124"/>
      <c r="Q299" s="124"/>
      <c r="R299" s="124"/>
      <c r="S299" s="124"/>
      <c r="T299" s="124"/>
      <c r="U299" s="124">
        <v>0</v>
      </c>
      <c r="V299" s="124">
        <v>0</v>
      </c>
      <c r="W299" s="124"/>
      <c r="X299" s="124">
        <v>1800</v>
      </c>
      <c r="Y299" s="124">
        <v>1384</v>
      </c>
      <c r="Z299" s="124">
        <v>9</v>
      </c>
      <c r="AA299" s="124"/>
      <c r="AB299" s="124"/>
      <c r="AC299" s="124"/>
      <c r="AD299" s="124"/>
      <c r="AE299" s="126" t="inlineStr">
        <is>
          <t xml:space="preserve">Contrato</t>
        </is>
      </c>
    </row>
    <row r="300">
      <c r="A300" s="122">
        <v>46274</v>
      </c>
      <c r="B300" s="123" t="inlineStr">
        <is>
          <t xml:space="preserve">BASF</t>
        </is>
      </c>
      <c r="C300" s="124">
        <v>8</v>
      </c>
      <c r="D300" s="124">
        <v>56</v>
      </c>
      <c r="E300" s="125">
        <v>48.19</v>
      </c>
      <c r="F300" s="124"/>
      <c r="G300" s="124"/>
      <c r="H300" s="124"/>
      <c r="I300" s="124"/>
      <c r="J300" s="124"/>
      <c r="K300" s="124"/>
      <c r="L300" s="124">
        <v>2</v>
      </c>
      <c r="M300" s="124">
        <v>27</v>
      </c>
      <c r="N300" s="125">
        <v>136.7</v>
      </c>
      <c r="O300" s="124"/>
      <c r="P300" s="124"/>
      <c r="Q300" s="124"/>
      <c r="R300" s="124"/>
      <c r="S300" s="124"/>
      <c r="T300" s="124"/>
      <c r="U300" s="124">
        <v>0</v>
      </c>
      <c r="V300" s="124">
        <v>0</v>
      </c>
      <c r="W300" s="124"/>
      <c r="X300" s="124">
        <v>2200</v>
      </c>
      <c r="Y300" s="124">
        <v>1673</v>
      </c>
      <c r="Z300" s="124">
        <v>6</v>
      </c>
      <c r="AA300" s="124"/>
      <c r="AB300" s="124"/>
      <c r="AC300" s="124"/>
      <c r="AD300" s="124"/>
      <c r="AE300" s="126" t="inlineStr">
        <is>
          <t xml:space="preserve">Contrato</t>
        </is>
      </c>
    </row>
    <row r="301">
      <c r="A301" s="122">
        <v>46274</v>
      </c>
      <c r="B301" s="123" t="inlineStr">
        <is>
          <t xml:space="preserve">BEAUTYBIZ</t>
        </is>
      </c>
      <c r="C301" s="124">
        <v>3</v>
      </c>
      <c r="D301" s="124">
        <v>116</v>
      </c>
      <c r="E301" s="125"/>
      <c r="F301" s="124">
        <v>1147</v>
      </c>
      <c r="G301" s="124"/>
      <c r="H301" s="124"/>
      <c r="I301" s="124"/>
      <c r="J301" s="124"/>
      <c r="K301" s="124"/>
      <c r="L301" s="124">
        <v>9</v>
      </c>
      <c r="M301" s="124">
        <v>52</v>
      </c>
      <c r="N301" s="125"/>
      <c r="O301" s="124"/>
      <c r="P301" s="124">
        <v>574</v>
      </c>
      <c r="Q301" s="124"/>
      <c r="R301" s="124"/>
      <c r="S301" s="124"/>
      <c r="T301" s="124"/>
      <c r="U301" s="124">
        <v>0</v>
      </c>
      <c r="V301" s="124">
        <v>0</v>
      </c>
      <c r="W301" s="124"/>
      <c r="X301" s="124">
        <v>1200</v>
      </c>
      <c r="Y301" s="124">
        <v>756</v>
      </c>
      <c r="Z301" s="124">
        <v>11</v>
      </c>
      <c r="AA301" s="124"/>
      <c r="AB301" s="124"/>
      <c r="AC301" s="124"/>
      <c r="AD301" s="124"/>
      <c r="AE301" s="126" t="inlineStr">
        <is>
          <t xml:space="preserve">Contrato</t>
        </is>
      </c>
    </row>
    <row r="302">
      <c r="A302" s="122">
        <v>46274</v>
      </c>
      <c r="B302" s="123" t="inlineStr">
        <is>
          <t xml:space="preserve">BOTICÁRIO</t>
        </is>
      </c>
      <c r="C302" s="124">
        <v>6</v>
      </c>
      <c r="D302" s="124"/>
      <c r="E302" s="125"/>
      <c r="F302" s="124"/>
      <c r="G302" s="124">
        <v>3738</v>
      </c>
      <c r="H302" s="124">
        <v>106</v>
      </c>
      <c r="I302" s="124">
        <v>254</v>
      </c>
      <c r="J302" s="124"/>
      <c r="K302" s="124"/>
      <c r="L302" s="124">
        <v>7</v>
      </c>
      <c r="M302" s="124">
        <v>53</v>
      </c>
      <c r="N302" s="125"/>
      <c r="O302" s="124"/>
      <c r="P302" s="124"/>
      <c r="Q302" s="124">
        <v>263</v>
      </c>
      <c r="R302" s="124">
        <v>6254</v>
      </c>
      <c r="S302" s="124"/>
      <c r="T302" s="124"/>
      <c r="U302" s="124">
        <v>0</v>
      </c>
      <c r="V302" s="124">
        <v>0</v>
      </c>
      <c r="W302" s="124"/>
      <c r="X302" s="124">
        <v>3500</v>
      </c>
      <c r="Y302" s="124">
        <v>2989</v>
      </c>
      <c r="Z302" s="124">
        <v>4</v>
      </c>
      <c r="AA302" s="124"/>
      <c r="AB302" s="124">
        <v>1</v>
      </c>
      <c r="AC302" s="124"/>
      <c r="AD302" s="124"/>
      <c r="AE302" s="126" t="inlineStr">
        <is>
          <t xml:space="preserve">Contrato</t>
        </is>
      </c>
    </row>
    <row r="303">
      <c r="A303" s="122">
        <v>46274</v>
      </c>
      <c r="B303" s="123" t="inlineStr">
        <is>
          <t xml:space="preserve">SUPPLY</t>
        </is>
      </c>
      <c r="C303" s="124">
        <v>7</v>
      </c>
      <c r="D303" s="124">
        <v>83</v>
      </c>
      <c r="E303" s="125">
        <v>39.04</v>
      </c>
      <c r="F303" s="124"/>
      <c r="G303" s="124"/>
      <c r="H303" s="124"/>
      <c r="I303" s="124"/>
      <c r="J303" s="124"/>
      <c r="K303" s="124"/>
      <c r="L303" s="124">
        <v>3</v>
      </c>
      <c r="M303" s="124">
        <v>158</v>
      </c>
      <c r="N303" s="125">
        <v>139.42</v>
      </c>
      <c r="O303" s="124"/>
      <c r="P303" s="124"/>
      <c r="Q303" s="124"/>
      <c r="R303" s="124"/>
      <c r="S303" s="124"/>
      <c r="T303" s="124"/>
      <c r="U303" s="124">
        <v>0</v>
      </c>
      <c r="V303" s="124">
        <v>0</v>
      </c>
      <c r="W303" s="124">
        <v>14</v>
      </c>
      <c r="X303" s="124">
        <v>1600</v>
      </c>
      <c r="Y303" s="124">
        <v>1398</v>
      </c>
      <c r="Z303" s="124">
        <v>14</v>
      </c>
      <c r="AA303" s="124"/>
      <c r="AB303" s="124"/>
      <c r="AC303" s="124"/>
      <c r="AD303" s="124"/>
      <c r="AE303" s="126" t="inlineStr">
        <is>
          <t xml:space="preserve">Spot</t>
        </is>
      </c>
    </row>
    <row r="304">
      <c r="A304" s="122">
        <v>46274</v>
      </c>
      <c r="B304" s="123" t="inlineStr">
        <is>
          <t xml:space="preserve">GE VERNOVA</t>
        </is>
      </c>
      <c r="C304" s="124">
        <v>7</v>
      </c>
      <c r="D304" s="124">
        <v>27</v>
      </c>
      <c r="E304" s="125"/>
      <c r="F304" s="124"/>
      <c r="G304" s="124"/>
      <c r="H304" s="124"/>
      <c r="I304" s="124"/>
      <c r="J304" s="124">
        <v>385</v>
      </c>
      <c r="K304" s="124">
        <v>19</v>
      </c>
      <c r="L304" s="124">
        <v>2</v>
      </c>
      <c r="M304" s="124">
        <v>91</v>
      </c>
      <c r="N304" s="125"/>
      <c r="O304" s="124"/>
      <c r="P304" s="124"/>
      <c r="Q304" s="124"/>
      <c r="R304" s="124"/>
      <c r="S304" s="124">
        <v>133</v>
      </c>
      <c r="T304" s="124">
        <v>112</v>
      </c>
      <c r="U304" s="124">
        <v>0</v>
      </c>
      <c r="V304" s="124">
        <v>0</v>
      </c>
      <c r="W304" s="124">
        <v>3</v>
      </c>
      <c r="X304" s="124">
        <v>900</v>
      </c>
      <c r="Y304" s="124">
        <v>791</v>
      </c>
      <c r="Z304" s="124">
        <v>12</v>
      </c>
      <c r="AA304" s="124"/>
      <c r="AB304" s="124"/>
      <c r="AC304" s="124"/>
      <c r="AD304" s="124"/>
      <c r="AE304" s="126" t="inlineStr">
        <is>
          <t xml:space="preserve">Contrato</t>
        </is>
      </c>
    </row>
    <row r="305">
      <c r="A305" s="122">
        <v>46274</v>
      </c>
      <c r="B305" s="123" t="inlineStr">
        <is>
          <t xml:space="preserve">VESTAS</t>
        </is>
      </c>
      <c r="C305" s="124">
        <v>2</v>
      </c>
      <c r="D305" s="124"/>
      <c r="E305" s="125"/>
      <c r="F305" s="124"/>
      <c r="G305" s="124"/>
      <c r="H305" s="124"/>
      <c r="I305" s="124"/>
      <c r="J305" s="124"/>
      <c r="K305" s="124">
        <v>82</v>
      </c>
      <c r="L305" s="124">
        <v>8</v>
      </c>
      <c r="M305" s="124"/>
      <c r="N305" s="125"/>
      <c r="O305" s="124"/>
      <c r="P305" s="124"/>
      <c r="Q305" s="124"/>
      <c r="R305" s="124"/>
      <c r="S305" s="124"/>
      <c r="T305" s="124">
        <v>58</v>
      </c>
      <c r="U305" s="124">
        <v>0</v>
      </c>
      <c r="V305" s="124">
        <v>0</v>
      </c>
      <c r="W305" s="124"/>
      <c r="X305" s="124">
        <v>600</v>
      </c>
      <c r="Y305" s="124">
        <v>443</v>
      </c>
      <c r="Z305" s="124">
        <v>11</v>
      </c>
      <c r="AA305" s="124"/>
      <c r="AB305" s="124"/>
      <c r="AC305" s="124"/>
      <c r="AD305" s="124"/>
      <c r="AE305" s="126" t="inlineStr">
        <is>
          <t xml:space="preserve">Cross</t>
        </is>
      </c>
    </row>
    <row r="306">
      <c r="A306" s="122">
        <v>46274</v>
      </c>
      <c r="B306" s="123" t="inlineStr">
        <is>
          <t xml:space="preserve">VEDACIT</t>
        </is>
      </c>
      <c r="C306" s="124">
        <v>7</v>
      </c>
      <c r="D306" s="124">
        <v>121</v>
      </c>
      <c r="E306" s="125"/>
      <c r="F306" s="124"/>
      <c r="G306" s="124"/>
      <c r="H306" s="124"/>
      <c r="I306" s="124"/>
      <c r="J306" s="124"/>
      <c r="K306" s="124"/>
      <c r="L306" s="124">
        <v>5</v>
      </c>
      <c r="M306" s="124">
        <v>27</v>
      </c>
      <c r="N306" s="125"/>
      <c r="O306" s="124"/>
      <c r="P306" s="124"/>
      <c r="Q306" s="124"/>
      <c r="R306" s="124"/>
      <c r="S306" s="124"/>
      <c r="T306" s="124"/>
      <c r="U306" s="124">
        <v>0</v>
      </c>
      <c r="V306" s="124">
        <v>0</v>
      </c>
      <c r="W306" s="124"/>
      <c r="X306" s="124">
        <v>1400</v>
      </c>
      <c r="Y306" s="124">
        <v>848</v>
      </c>
      <c r="Z306" s="124">
        <v>12</v>
      </c>
      <c r="AA306" s="124">
        <v>1</v>
      </c>
      <c r="AB306" s="124"/>
      <c r="AC306" s="124"/>
      <c r="AD306" s="124"/>
      <c r="AE306" s="126" t="inlineStr">
        <is>
          <t xml:space="preserve">Contrato</t>
        </is>
      </c>
    </row>
    <row r="307">
      <c r="A307" s="122">
        <v>46274</v>
      </c>
      <c r="B307" s="123" t="inlineStr">
        <is>
          <t xml:space="preserve">OMNLIFE</t>
        </is>
      </c>
      <c r="C307" s="124">
        <v>2</v>
      </c>
      <c r="D307" s="124">
        <v>125</v>
      </c>
      <c r="E307" s="125"/>
      <c r="F307" s="124"/>
      <c r="G307" s="124"/>
      <c r="H307" s="124"/>
      <c r="I307" s="124"/>
      <c r="J307" s="124"/>
      <c r="K307" s="124"/>
      <c r="L307" s="124">
        <v>9</v>
      </c>
      <c r="M307" s="124">
        <v>81</v>
      </c>
      <c r="N307" s="125"/>
      <c r="O307" s="124"/>
      <c r="P307" s="124"/>
      <c r="Q307" s="124"/>
      <c r="R307" s="124"/>
      <c r="S307" s="124"/>
      <c r="T307" s="124"/>
      <c r="U307" s="124">
        <v>0</v>
      </c>
      <c r="V307" s="124">
        <v>0</v>
      </c>
      <c r="W307" s="124">
        <v>1</v>
      </c>
      <c r="X307" s="124">
        <v>500</v>
      </c>
      <c r="Y307" s="124">
        <v>281</v>
      </c>
      <c r="Z307" s="124">
        <v>14</v>
      </c>
      <c r="AA307" s="124">
        <v>1</v>
      </c>
      <c r="AB307" s="124"/>
      <c r="AC307" s="124"/>
      <c r="AD307" s="124"/>
      <c r="AE307" s="126" t="inlineStr">
        <is>
          <t xml:space="preserve">Spot</t>
        </is>
      </c>
    </row>
    <row r="308">
      <c r="A308" s="122">
        <v>46274</v>
      </c>
      <c r="B308" s="123" t="inlineStr">
        <is>
          <t xml:space="preserve">ALPARGATAS</t>
        </is>
      </c>
      <c r="C308" s="124">
        <v>5</v>
      </c>
      <c r="D308" s="124"/>
      <c r="E308" s="125"/>
      <c r="F308" s="124">
        <v>2132</v>
      </c>
      <c r="G308" s="124"/>
      <c r="H308" s="124"/>
      <c r="I308" s="124"/>
      <c r="J308" s="124"/>
      <c r="K308" s="124"/>
      <c r="L308" s="124">
        <v>3</v>
      </c>
      <c r="M308" s="124"/>
      <c r="N308" s="125"/>
      <c r="O308" s="124">
        <v>699</v>
      </c>
      <c r="P308" s="124"/>
      <c r="Q308" s="124"/>
      <c r="R308" s="124"/>
      <c r="S308" s="124"/>
      <c r="T308" s="124"/>
      <c r="U308" s="124">
        <v>0</v>
      </c>
      <c r="V308" s="124">
        <v>0</v>
      </c>
      <c r="W308" s="124"/>
      <c r="X308" s="124">
        <v>1800</v>
      </c>
      <c r="Y308" s="124">
        <v>1083</v>
      </c>
      <c r="Z308" s="124">
        <v>7</v>
      </c>
      <c r="AA308" s="124"/>
      <c r="AB308" s="124"/>
      <c r="AC308" s="124"/>
      <c r="AD308" s="124"/>
      <c r="AE308" s="126" t="inlineStr">
        <is>
          <t xml:space="preserve">Contrato</t>
        </is>
      </c>
    </row>
    <row r="309">
      <c r="A309" s="122">
        <v>46275</v>
      </c>
      <c r="B309" s="123" t="inlineStr">
        <is>
          <t xml:space="preserve">BASF</t>
        </is>
      </c>
      <c r="C309" s="124">
        <v>8</v>
      </c>
      <c r="D309" s="124">
        <v>120</v>
      </c>
      <c r="E309" s="125">
        <v>63.34</v>
      </c>
      <c r="F309" s="124"/>
      <c r="G309" s="124"/>
      <c r="H309" s="124"/>
      <c r="I309" s="124"/>
      <c r="J309" s="124"/>
      <c r="K309" s="124"/>
      <c r="L309" s="124">
        <v>4</v>
      </c>
      <c r="M309" s="124">
        <v>45</v>
      </c>
      <c r="N309" s="125">
        <v>116.36</v>
      </c>
      <c r="O309" s="124"/>
      <c r="P309" s="124"/>
      <c r="Q309" s="124"/>
      <c r="R309" s="124"/>
      <c r="S309" s="124"/>
      <c r="T309" s="124"/>
      <c r="U309" s="124">
        <v>0</v>
      </c>
      <c r="V309" s="124">
        <v>0</v>
      </c>
      <c r="W309" s="124">
        <v>4</v>
      </c>
      <c r="X309" s="124">
        <v>2200</v>
      </c>
      <c r="Y309" s="124">
        <v>1902</v>
      </c>
      <c r="Z309" s="124">
        <v>11</v>
      </c>
      <c r="AA309" s="124">
        <v>1</v>
      </c>
      <c r="AB309" s="124"/>
      <c r="AC309" s="124"/>
      <c r="AD309" s="124"/>
      <c r="AE309" s="126" t="inlineStr">
        <is>
          <t xml:space="preserve">Contrato</t>
        </is>
      </c>
    </row>
    <row r="310">
      <c r="A310" s="122">
        <v>46275</v>
      </c>
      <c r="B310" s="123" t="inlineStr">
        <is>
          <t xml:space="preserve">BEAUTYBIZ</t>
        </is>
      </c>
      <c r="C310" s="124">
        <v>3</v>
      </c>
      <c r="D310" s="124">
        <v>85</v>
      </c>
      <c r="E310" s="125"/>
      <c r="F310" s="124">
        <v>2479</v>
      </c>
      <c r="G310" s="124"/>
      <c r="H310" s="124"/>
      <c r="I310" s="124"/>
      <c r="J310" s="124"/>
      <c r="K310" s="124"/>
      <c r="L310" s="124">
        <v>3</v>
      </c>
      <c r="M310" s="124">
        <v>139</v>
      </c>
      <c r="N310" s="125"/>
      <c r="O310" s="124"/>
      <c r="P310" s="124">
        <v>279</v>
      </c>
      <c r="Q310" s="124"/>
      <c r="R310" s="124"/>
      <c r="S310" s="124"/>
      <c r="T310" s="124"/>
      <c r="U310" s="124">
        <v>0</v>
      </c>
      <c r="V310" s="124">
        <v>0</v>
      </c>
      <c r="W310" s="124"/>
      <c r="X310" s="124">
        <v>1200</v>
      </c>
      <c r="Y310" s="124">
        <v>754</v>
      </c>
      <c r="Z310" s="124">
        <v>10</v>
      </c>
      <c r="AA310" s="124">
        <v>1</v>
      </c>
      <c r="AB310" s="124">
        <v>1</v>
      </c>
      <c r="AC310" s="124"/>
      <c r="AD310" s="124"/>
      <c r="AE310" s="126" t="inlineStr">
        <is>
          <t xml:space="preserve">Contrato</t>
        </is>
      </c>
    </row>
    <row r="311">
      <c r="A311" s="122">
        <v>46275</v>
      </c>
      <c r="B311" s="123" t="inlineStr">
        <is>
          <t xml:space="preserve">BOTICÁRIO</t>
        </is>
      </c>
      <c r="C311" s="124">
        <v>7</v>
      </c>
      <c r="D311" s="124"/>
      <c r="E311" s="125"/>
      <c r="F311" s="124"/>
      <c r="G311" s="124">
        <v>2122</v>
      </c>
      <c r="H311" s="124">
        <v>73</v>
      </c>
      <c r="I311" s="124">
        <v>130</v>
      </c>
      <c r="J311" s="124"/>
      <c r="K311" s="124"/>
      <c r="L311" s="124">
        <v>11</v>
      </c>
      <c r="M311" s="124">
        <v>143</v>
      </c>
      <c r="N311" s="125"/>
      <c r="O311" s="124"/>
      <c r="P311" s="124"/>
      <c r="Q311" s="124">
        <v>389</v>
      </c>
      <c r="R311" s="124">
        <v>3883</v>
      </c>
      <c r="S311" s="124"/>
      <c r="T311" s="124"/>
      <c r="U311" s="124">
        <v>0</v>
      </c>
      <c r="V311" s="124">
        <v>0</v>
      </c>
      <c r="W311" s="124"/>
      <c r="X311" s="124">
        <v>3500</v>
      </c>
      <c r="Y311" s="124">
        <v>2504</v>
      </c>
      <c r="Z311" s="124">
        <v>8</v>
      </c>
      <c r="AA311" s="124">
        <v>1</v>
      </c>
      <c r="AB311" s="124"/>
      <c r="AC311" s="124"/>
      <c r="AD311" s="124"/>
      <c r="AE311" s="126" t="inlineStr">
        <is>
          <t xml:space="preserve">Contrato</t>
        </is>
      </c>
    </row>
    <row r="312">
      <c r="A312" s="122">
        <v>46275</v>
      </c>
      <c r="B312" s="123" t="inlineStr">
        <is>
          <t xml:space="preserve">SUPPLY</t>
        </is>
      </c>
      <c r="C312" s="124">
        <v>6</v>
      </c>
      <c r="D312" s="124">
        <v>144</v>
      </c>
      <c r="E312" s="125">
        <v>109.45</v>
      </c>
      <c r="F312" s="124"/>
      <c r="G312" s="124"/>
      <c r="H312" s="124"/>
      <c r="I312" s="124"/>
      <c r="J312" s="124"/>
      <c r="K312" s="124"/>
      <c r="L312" s="124">
        <v>4</v>
      </c>
      <c r="M312" s="124">
        <v>148</v>
      </c>
      <c r="N312" s="125">
        <v>115.52</v>
      </c>
      <c r="O312" s="124"/>
      <c r="P312" s="124"/>
      <c r="Q312" s="124"/>
      <c r="R312" s="124"/>
      <c r="S312" s="124"/>
      <c r="T312" s="124"/>
      <c r="U312" s="124">
        <v>0</v>
      </c>
      <c r="V312" s="124">
        <v>0</v>
      </c>
      <c r="W312" s="124"/>
      <c r="X312" s="124">
        <v>1600</v>
      </c>
      <c r="Y312" s="124">
        <v>1426</v>
      </c>
      <c r="Z312" s="124">
        <v>8</v>
      </c>
      <c r="AA312" s="124"/>
      <c r="AB312" s="124"/>
      <c r="AC312" s="124"/>
      <c r="AD312" s="124"/>
      <c r="AE312" s="126" t="inlineStr">
        <is>
          <t xml:space="preserve">Spot</t>
        </is>
      </c>
    </row>
    <row r="313">
      <c r="A313" s="122">
        <v>46275</v>
      </c>
      <c r="B313" s="123" t="inlineStr">
        <is>
          <t xml:space="preserve">GE VERNOVA</t>
        </is>
      </c>
      <c r="C313" s="124">
        <v>3</v>
      </c>
      <c r="D313" s="124">
        <v>119</v>
      </c>
      <c r="E313" s="125"/>
      <c r="F313" s="124"/>
      <c r="G313" s="124"/>
      <c r="H313" s="124"/>
      <c r="I313" s="124"/>
      <c r="J313" s="124">
        <v>418</v>
      </c>
      <c r="K313" s="124">
        <v>16</v>
      </c>
      <c r="L313" s="124">
        <v>10</v>
      </c>
      <c r="M313" s="124">
        <v>44</v>
      </c>
      <c r="N313" s="125"/>
      <c r="O313" s="124"/>
      <c r="P313" s="124"/>
      <c r="Q313" s="124"/>
      <c r="R313" s="124"/>
      <c r="S313" s="124">
        <v>225</v>
      </c>
      <c r="T313" s="124">
        <v>95</v>
      </c>
      <c r="U313" s="124">
        <v>0</v>
      </c>
      <c r="V313" s="124">
        <v>0</v>
      </c>
      <c r="W313" s="124"/>
      <c r="X313" s="124">
        <v>900</v>
      </c>
      <c r="Y313" s="124">
        <v>700</v>
      </c>
      <c r="Z313" s="124">
        <v>4</v>
      </c>
      <c r="AA313" s="124"/>
      <c r="AB313" s="124"/>
      <c r="AC313" s="124"/>
      <c r="AD313" s="124"/>
      <c r="AE313" s="126" t="inlineStr">
        <is>
          <t xml:space="preserve">Contrato</t>
        </is>
      </c>
    </row>
    <row r="314">
      <c r="A314" s="122">
        <v>46275</v>
      </c>
      <c r="B314" s="123" t="inlineStr">
        <is>
          <t xml:space="preserve">VESTAS</t>
        </is>
      </c>
      <c r="C314" s="124">
        <v>5</v>
      </c>
      <c r="D314" s="124"/>
      <c r="E314" s="125"/>
      <c r="F314" s="124"/>
      <c r="G314" s="124"/>
      <c r="H314" s="124"/>
      <c r="I314" s="124"/>
      <c r="J314" s="124"/>
      <c r="K314" s="124">
        <v>60</v>
      </c>
      <c r="L314" s="124">
        <v>9</v>
      </c>
      <c r="M314" s="124"/>
      <c r="N314" s="125"/>
      <c r="O314" s="124"/>
      <c r="P314" s="124"/>
      <c r="Q314" s="124"/>
      <c r="R314" s="124"/>
      <c r="S314" s="124"/>
      <c r="T314" s="124">
        <v>102</v>
      </c>
      <c r="U314" s="124">
        <v>0</v>
      </c>
      <c r="V314" s="124">
        <v>0</v>
      </c>
      <c r="W314" s="124">
        <v>3</v>
      </c>
      <c r="X314" s="124">
        <v>600</v>
      </c>
      <c r="Y314" s="124">
        <v>412</v>
      </c>
      <c r="Z314" s="124">
        <v>4</v>
      </c>
      <c r="AA314" s="124"/>
      <c r="AB314" s="124">
        <v>1</v>
      </c>
      <c r="AC314" s="124"/>
      <c r="AD314" s="124"/>
      <c r="AE314" s="126" t="inlineStr">
        <is>
          <t xml:space="preserve">Cross</t>
        </is>
      </c>
    </row>
    <row r="315">
      <c r="A315" s="122">
        <v>46275</v>
      </c>
      <c r="B315" s="123" t="inlineStr">
        <is>
          <t xml:space="preserve">VEDACIT</t>
        </is>
      </c>
      <c r="C315" s="124">
        <v>5</v>
      </c>
      <c r="D315" s="124">
        <v>27</v>
      </c>
      <c r="E315" s="125"/>
      <c r="F315" s="124"/>
      <c r="G315" s="124"/>
      <c r="H315" s="124"/>
      <c r="I315" s="124"/>
      <c r="J315" s="124"/>
      <c r="K315" s="124"/>
      <c r="L315" s="124">
        <v>10</v>
      </c>
      <c r="M315" s="124">
        <v>109</v>
      </c>
      <c r="N315" s="125"/>
      <c r="O315" s="124"/>
      <c r="P315" s="124"/>
      <c r="Q315" s="124"/>
      <c r="R315" s="124"/>
      <c r="S315" s="124"/>
      <c r="T315" s="124"/>
      <c r="U315" s="124">
        <v>0</v>
      </c>
      <c r="V315" s="124">
        <v>0</v>
      </c>
      <c r="W315" s="124"/>
      <c r="X315" s="124">
        <v>1400</v>
      </c>
      <c r="Y315" s="124">
        <v>1145</v>
      </c>
      <c r="Z315" s="124">
        <v>13</v>
      </c>
      <c r="AA315" s="124"/>
      <c r="AB315" s="124"/>
      <c r="AC315" s="124"/>
      <c r="AD315" s="124"/>
      <c r="AE315" s="126" t="inlineStr">
        <is>
          <t xml:space="preserve">Contrato</t>
        </is>
      </c>
    </row>
    <row r="316">
      <c r="A316" s="122">
        <v>46275</v>
      </c>
      <c r="B316" s="123" t="inlineStr">
        <is>
          <t xml:space="preserve">OMNLIFE</t>
        </is>
      </c>
      <c r="C316" s="124">
        <v>8</v>
      </c>
      <c r="D316" s="124">
        <v>100</v>
      </c>
      <c r="E316" s="125"/>
      <c r="F316" s="124"/>
      <c r="G316" s="124"/>
      <c r="H316" s="124"/>
      <c r="I316" s="124"/>
      <c r="J316" s="124"/>
      <c r="K316" s="124"/>
      <c r="L316" s="124">
        <v>3</v>
      </c>
      <c r="M316" s="124">
        <v>102</v>
      </c>
      <c r="N316" s="125"/>
      <c r="O316" s="124"/>
      <c r="P316" s="124"/>
      <c r="Q316" s="124"/>
      <c r="R316" s="124"/>
      <c r="S316" s="124"/>
      <c r="T316" s="124"/>
      <c r="U316" s="124">
        <v>0</v>
      </c>
      <c r="V316" s="124">
        <v>0</v>
      </c>
      <c r="W316" s="124"/>
      <c r="X316" s="124">
        <v>500</v>
      </c>
      <c r="Y316" s="124">
        <v>362</v>
      </c>
      <c r="Z316" s="124">
        <v>14</v>
      </c>
      <c r="AA316" s="124"/>
      <c r="AB316" s="124"/>
      <c r="AC316" s="124"/>
      <c r="AD316" s="124"/>
      <c r="AE316" s="126" t="inlineStr">
        <is>
          <t xml:space="preserve">Spot</t>
        </is>
      </c>
    </row>
    <row r="317">
      <c r="A317" s="122">
        <v>46275</v>
      </c>
      <c r="B317" s="123" t="inlineStr">
        <is>
          <t xml:space="preserve">ALPARGATAS</t>
        </is>
      </c>
      <c r="C317" s="124">
        <v>6</v>
      </c>
      <c r="D317" s="124"/>
      <c r="E317" s="125"/>
      <c r="F317" s="124">
        <v>2199</v>
      </c>
      <c r="G317" s="124"/>
      <c r="H317" s="124"/>
      <c r="I317" s="124"/>
      <c r="J317" s="124"/>
      <c r="K317" s="124"/>
      <c r="L317" s="124">
        <v>8</v>
      </c>
      <c r="M317" s="124"/>
      <c r="N317" s="125"/>
      <c r="O317" s="124">
        <v>1607</v>
      </c>
      <c r="P317" s="124"/>
      <c r="Q317" s="124"/>
      <c r="R317" s="124"/>
      <c r="S317" s="124"/>
      <c r="T317" s="124"/>
      <c r="U317" s="124">
        <v>0</v>
      </c>
      <c r="V317" s="124">
        <v>0</v>
      </c>
      <c r="W317" s="124">
        <v>4</v>
      </c>
      <c r="X317" s="124">
        <v>1800</v>
      </c>
      <c r="Y317" s="124">
        <v>1314</v>
      </c>
      <c r="Z317" s="124">
        <v>5</v>
      </c>
      <c r="AA317" s="124"/>
      <c r="AB317" s="124"/>
      <c r="AC317" s="124"/>
      <c r="AD317" s="124"/>
      <c r="AE317" s="126" t="inlineStr">
        <is>
          <t xml:space="preserve">Contrato</t>
        </is>
      </c>
    </row>
    <row r="318">
      <c r="A318" s="122">
        <v>46276</v>
      </c>
      <c r="B318" s="123" t="inlineStr">
        <is>
          <t xml:space="preserve">BASF</t>
        </is>
      </c>
      <c r="C318" s="124">
        <v>2</v>
      </c>
      <c r="D318" s="124">
        <v>131</v>
      </c>
      <c r="E318" s="125">
        <v>90.47</v>
      </c>
      <c r="F318" s="124"/>
      <c r="G318" s="124"/>
      <c r="H318" s="124"/>
      <c r="I318" s="124"/>
      <c r="J318" s="124"/>
      <c r="K318" s="124"/>
      <c r="L318" s="124">
        <v>2</v>
      </c>
      <c r="M318" s="124">
        <v>71</v>
      </c>
      <c r="N318" s="125">
        <v>132.77</v>
      </c>
      <c r="O318" s="124"/>
      <c r="P318" s="124"/>
      <c r="Q318" s="124"/>
      <c r="R318" s="124"/>
      <c r="S318" s="124"/>
      <c r="T318" s="124"/>
      <c r="U318" s="124">
        <v>0</v>
      </c>
      <c r="V318" s="124">
        <v>0</v>
      </c>
      <c r="W318" s="124"/>
      <c r="X318" s="124">
        <v>2200</v>
      </c>
      <c r="Y318" s="124">
        <v>1281</v>
      </c>
      <c r="Z318" s="124">
        <v>10</v>
      </c>
      <c r="AA318" s="124"/>
      <c r="AB318" s="124"/>
      <c r="AC318" s="124"/>
      <c r="AD318" s="124"/>
      <c r="AE318" s="126" t="inlineStr">
        <is>
          <t xml:space="preserve">Contrato</t>
        </is>
      </c>
    </row>
    <row r="319">
      <c r="A319" s="122">
        <v>46276</v>
      </c>
      <c r="B319" s="123" t="inlineStr">
        <is>
          <t xml:space="preserve">BEAUTYBIZ</t>
        </is>
      </c>
      <c r="C319" s="124">
        <v>3</v>
      </c>
      <c r="D319" s="124">
        <v>96</v>
      </c>
      <c r="E319" s="125"/>
      <c r="F319" s="124">
        <v>1400</v>
      </c>
      <c r="G319" s="124"/>
      <c r="H319" s="124"/>
      <c r="I319" s="124"/>
      <c r="J319" s="124"/>
      <c r="K319" s="124"/>
      <c r="L319" s="124">
        <v>8</v>
      </c>
      <c r="M319" s="124">
        <v>40</v>
      </c>
      <c r="N319" s="125"/>
      <c r="O319" s="124"/>
      <c r="P319" s="124">
        <v>673</v>
      </c>
      <c r="Q319" s="124"/>
      <c r="R319" s="124"/>
      <c r="S319" s="124"/>
      <c r="T319" s="124"/>
      <c r="U319" s="124">
        <v>0</v>
      </c>
      <c r="V319" s="124">
        <v>0</v>
      </c>
      <c r="W319" s="124"/>
      <c r="X319" s="124">
        <v>1200</v>
      </c>
      <c r="Y319" s="124">
        <v>752</v>
      </c>
      <c r="Z319" s="124">
        <v>14</v>
      </c>
      <c r="AA319" s="124"/>
      <c r="AB319" s="124"/>
      <c r="AC319" s="124"/>
      <c r="AD319" s="124"/>
      <c r="AE319" s="126" t="inlineStr">
        <is>
          <t xml:space="preserve">Contrato</t>
        </is>
      </c>
    </row>
    <row r="320">
      <c r="A320" s="122">
        <v>46276</v>
      </c>
      <c r="B320" s="123" t="inlineStr">
        <is>
          <t xml:space="preserve">BOTICÁRIO</t>
        </is>
      </c>
      <c r="C320" s="124">
        <v>8</v>
      </c>
      <c r="D320" s="124"/>
      <c r="E320" s="125"/>
      <c r="F320" s="124"/>
      <c r="G320" s="124">
        <v>1878</v>
      </c>
      <c r="H320" s="124">
        <v>67</v>
      </c>
      <c r="I320" s="124">
        <v>501</v>
      </c>
      <c r="J320" s="124"/>
      <c r="K320" s="124"/>
      <c r="L320" s="124">
        <v>10</v>
      </c>
      <c r="M320" s="124">
        <v>91</v>
      </c>
      <c r="N320" s="125"/>
      <c r="O320" s="124"/>
      <c r="P320" s="124"/>
      <c r="Q320" s="124">
        <v>1095</v>
      </c>
      <c r="R320" s="124">
        <v>8662</v>
      </c>
      <c r="S320" s="124"/>
      <c r="T320" s="124"/>
      <c r="U320" s="124">
        <v>0</v>
      </c>
      <c r="V320" s="124">
        <v>0</v>
      </c>
      <c r="W320" s="124">
        <v>14</v>
      </c>
      <c r="X320" s="124">
        <v>3500</v>
      </c>
      <c r="Y320" s="124">
        <v>3106</v>
      </c>
      <c r="Z320" s="124">
        <v>10</v>
      </c>
      <c r="AA320" s="124">
        <v>1</v>
      </c>
      <c r="AB320" s="124"/>
      <c r="AC320" s="124"/>
      <c r="AD320" s="124"/>
      <c r="AE320" s="126" t="inlineStr">
        <is>
          <t xml:space="preserve">Contrato</t>
        </is>
      </c>
    </row>
    <row r="321">
      <c r="A321" s="122">
        <v>46276</v>
      </c>
      <c r="B321" s="123" t="inlineStr">
        <is>
          <t xml:space="preserve">SUPPLY</t>
        </is>
      </c>
      <c r="C321" s="124">
        <v>3</v>
      </c>
      <c r="D321" s="124">
        <v>107</v>
      </c>
      <c r="E321" s="125">
        <v>21.77</v>
      </c>
      <c r="F321" s="124"/>
      <c r="G321" s="124"/>
      <c r="H321" s="124"/>
      <c r="I321" s="124"/>
      <c r="J321" s="124"/>
      <c r="K321" s="124"/>
      <c r="L321" s="124">
        <v>9</v>
      </c>
      <c r="M321" s="124">
        <v>132</v>
      </c>
      <c r="N321" s="125">
        <v>127.9</v>
      </c>
      <c r="O321" s="124"/>
      <c r="P321" s="124"/>
      <c r="Q321" s="124"/>
      <c r="R321" s="124"/>
      <c r="S321" s="124"/>
      <c r="T321" s="124"/>
      <c r="U321" s="124">
        <v>0</v>
      </c>
      <c r="V321" s="124">
        <v>0</v>
      </c>
      <c r="W321" s="124"/>
      <c r="X321" s="124">
        <v>1600</v>
      </c>
      <c r="Y321" s="124">
        <v>1035</v>
      </c>
      <c r="Z321" s="124">
        <v>6</v>
      </c>
      <c r="AA321" s="124"/>
      <c r="AB321" s="124"/>
      <c r="AC321" s="124"/>
      <c r="AD321" s="124"/>
      <c r="AE321" s="126" t="inlineStr">
        <is>
          <t xml:space="preserve">Spot</t>
        </is>
      </c>
    </row>
    <row r="322">
      <c r="A322" s="122">
        <v>46276</v>
      </c>
      <c r="B322" s="123" t="inlineStr">
        <is>
          <t xml:space="preserve">GE VERNOVA</t>
        </is>
      </c>
      <c r="C322" s="124">
        <v>7</v>
      </c>
      <c r="D322" s="124">
        <v>35</v>
      </c>
      <c r="E322" s="125"/>
      <c r="F322" s="124"/>
      <c r="G322" s="124"/>
      <c r="H322" s="124"/>
      <c r="I322" s="124"/>
      <c r="J322" s="124">
        <v>304</v>
      </c>
      <c r="K322" s="124">
        <v>75</v>
      </c>
      <c r="L322" s="124">
        <v>4</v>
      </c>
      <c r="M322" s="124">
        <v>137</v>
      </c>
      <c r="N322" s="125"/>
      <c r="O322" s="124"/>
      <c r="P322" s="124"/>
      <c r="Q322" s="124"/>
      <c r="R322" s="124"/>
      <c r="S322" s="124">
        <v>283</v>
      </c>
      <c r="T322" s="124">
        <v>66</v>
      </c>
      <c r="U322" s="124">
        <v>0</v>
      </c>
      <c r="V322" s="124">
        <v>1</v>
      </c>
      <c r="W322" s="124"/>
      <c r="X322" s="124">
        <v>900</v>
      </c>
      <c r="Y322" s="124">
        <v>823</v>
      </c>
      <c r="Z322" s="124">
        <v>12</v>
      </c>
      <c r="AA322" s="124"/>
      <c r="AB322" s="124"/>
      <c r="AC322" s="124"/>
      <c r="AD322" s="124"/>
      <c r="AE322" s="126" t="inlineStr">
        <is>
          <t xml:space="preserve">Contrato</t>
        </is>
      </c>
    </row>
    <row r="323">
      <c r="A323" s="122">
        <v>46276</v>
      </c>
      <c r="B323" s="123" t="inlineStr">
        <is>
          <t xml:space="preserve">VESTAS</t>
        </is>
      </c>
      <c r="C323" s="124">
        <v>8</v>
      </c>
      <c r="D323" s="124"/>
      <c r="E323" s="125"/>
      <c r="F323" s="124"/>
      <c r="G323" s="124"/>
      <c r="H323" s="124"/>
      <c r="I323" s="124"/>
      <c r="J323" s="124"/>
      <c r="K323" s="124">
        <v>46</v>
      </c>
      <c r="L323" s="124">
        <v>9</v>
      </c>
      <c r="M323" s="124"/>
      <c r="N323" s="125"/>
      <c r="O323" s="124"/>
      <c r="P323" s="124"/>
      <c r="Q323" s="124"/>
      <c r="R323" s="124"/>
      <c r="S323" s="124"/>
      <c r="T323" s="124">
        <v>36</v>
      </c>
      <c r="U323" s="124">
        <v>0</v>
      </c>
      <c r="V323" s="124">
        <v>0</v>
      </c>
      <c r="W323" s="124"/>
      <c r="X323" s="124">
        <v>600</v>
      </c>
      <c r="Y323" s="124">
        <v>485</v>
      </c>
      <c r="Z323" s="124">
        <v>8</v>
      </c>
      <c r="AA323" s="124"/>
      <c r="AB323" s="124"/>
      <c r="AC323" s="124"/>
      <c r="AD323" s="124"/>
      <c r="AE323" s="126" t="inlineStr">
        <is>
          <t xml:space="preserve">Cross</t>
        </is>
      </c>
    </row>
    <row r="324">
      <c r="A324" s="122">
        <v>46276</v>
      </c>
      <c r="B324" s="123" t="inlineStr">
        <is>
          <t xml:space="preserve">VEDACIT</t>
        </is>
      </c>
      <c r="C324" s="124">
        <v>6</v>
      </c>
      <c r="D324" s="124">
        <v>37</v>
      </c>
      <c r="E324" s="125"/>
      <c r="F324" s="124"/>
      <c r="G324" s="124"/>
      <c r="H324" s="124"/>
      <c r="I324" s="124"/>
      <c r="J324" s="124"/>
      <c r="K324" s="124"/>
      <c r="L324" s="124">
        <v>4</v>
      </c>
      <c r="M324" s="124">
        <v>78</v>
      </c>
      <c r="N324" s="125"/>
      <c r="O324" s="124"/>
      <c r="P324" s="124"/>
      <c r="Q324" s="124"/>
      <c r="R324" s="124"/>
      <c r="S324" s="124"/>
      <c r="T324" s="124"/>
      <c r="U324" s="124">
        <v>0</v>
      </c>
      <c r="V324" s="124">
        <v>0</v>
      </c>
      <c r="W324" s="124"/>
      <c r="X324" s="124">
        <v>1400</v>
      </c>
      <c r="Y324" s="124">
        <v>1048</v>
      </c>
      <c r="Z324" s="124">
        <v>8</v>
      </c>
      <c r="AA324" s="124"/>
      <c r="AB324" s="124"/>
      <c r="AC324" s="124"/>
      <c r="AD324" s="124"/>
      <c r="AE324" s="126" t="inlineStr">
        <is>
          <t xml:space="preserve">Contrato</t>
        </is>
      </c>
    </row>
    <row r="325">
      <c r="A325" s="122">
        <v>46276</v>
      </c>
      <c r="B325" s="123" t="inlineStr">
        <is>
          <t xml:space="preserve">OMNLIFE</t>
        </is>
      </c>
      <c r="C325" s="124">
        <v>3</v>
      </c>
      <c r="D325" s="124">
        <v>30</v>
      </c>
      <c r="E325" s="125"/>
      <c r="F325" s="124"/>
      <c r="G325" s="124"/>
      <c r="H325" s="124"/>
      <c r="I325" s="124"/>
      <c r="J325" s="124"/>
      <c r="K325" s="124"/>
      <c r="L325" s="124">
        <v>9</v>
      </c>
      <c r="M325" s="124">
        <v>155</v>
      </c>
      <c r="N325" s="125"/>
      <c r="O325" s="124"/>
      <c r="P325" s="124"/>
      <c r="Q325" s="124"/>
      <c r="R325" s="124"/>
      <c r="S325" s="124"/>
      <c r="T325" s="124"/>
      <c r="U325" s="124">
        <v>0</v>
      </c>
      <c r="V325" s="124">
        <v>0</v>
      </c>
      <c r="W325" s="124"/>
      <c r="X325" s="124">
        <v>500</v>
      </c>
      <c r="Y325" s="124">
        <v>348</v>
      </c>
      <c r="Z325" s="124">
        <v>10</v>
      </c>
      <c r="AA325" s="124"/>
      <c r="AB325" s="124"/>
      <c r="AC325" s="124"/>
      <c r="AD325" s="124"/>
      <c r="AE325" s="126" t="inlineStr">
        <is>
          <t xml:space="preserve">Spot</t>
        </is>
      </c>
    </row>
    <row r="326">
      <c r="A326" s="122">
        <v>46276</v>
      </c>
      <c r="B326" s="123" t="inlineStr">
        <is>
          <t xml:space="preserve">ALPARGATAS</t>
        </is>
      </c>
      <c r="C326" s="124">
        <v>2</v>
      </c>
      <c r="D326" s="124"/>
      <c r="E326" s="125"/>
      <c r="F326" s="124">
        <v>2025</v>
      </c>
      <c r="G326" s="124"/>
      <c r="H326" s="124"/>
      <c r="I326" s="124"/>
      <c r="J326" s="124"/>
      <c r="K326" s="124"/>
      <c r="L326" s="124">
        <v>6</v>
      </c>
      <c r="M326" s="124"/>
      <c r="N326" s="125"/>
      <c r="O326" s="124">
        <v>1470</v>
      </c>
      <c r="P326" s="124"/>
      <c r="Q326" s="124"/>
      <c r="R326" s="124"/>
      <c r="S326" s="124"/>
      <c r="T326" s="124"/>
      <c r="U326" s="124">
        <v>0</v>
      </c>
      <c r="V326" s="124">
        <v>0</v>
      </c>
      <c r="W326" s="124"/>
      <c r="X326" s="124">
        <v>1800</v>
      </c>
      <c r="Y326" s="124">
        <v>1458</v>
      </c>
      <c r="Z326" s="124">
        <v>6</v>
      </c>
      <c r="AA326" s="124"/>
      <c r="AB326" s="124"/>
      <c r="AC326" s="124"/>
      <c r="AD326" s="124"/>
      <c r="AE326" s="126" t="inlineStr">
        <is>
          <t xml:space="preserve">Contrato</t>
        </is>
      </c>
    </row>
    <row r="327">
      <c r="A327" s="122">
        <v>46277</v>
      </c>
      <c r="B327" s="123" t="inlineStr">
        <is>
          <t xml:space="preserve">BASF</t>
        </is>
      </c>
      <c r="C327" s="124">
        <v>3</v>
      </c>
      <c r="D327" s="124">
        <v>71</v>
      </c>
      <c r="E327" s="125">
        <v>121.45</v>
      </c>
      <c r="F327" s="124"/>
      <c r="G327" s="124"/>
      <c r="H327" s="124"/>
      <c r="I327" s="124"/>
      <c r="J327" s="124"/>
      <c r="K327" s="124"/>
      <c r="L327" s="124">
        <v>9</v>
      </c>
      <c r="M327" s="124">
        <v>102</v>
      </c>
      <c r="N327" s="125">
        <v>99.66</v>
      </c>
      <c r="O327" s="124"/>
      <c r="P327" s="124"/>
      <c r="Q327" s="124"/>
      <c r="R327" s="124"/>
      <c r="S327" s="124"/>
      <c r="T327" s="124"/>
      <c r="U327" s="124">
        <v>0</v>
      </c>
      <c r="V327" s="124">
        <v>0</v>
      </c>
      <c r="W327" s="124"/>
      <c r="X327" s="124">
        <v>2200</v>
      </c>
      <c r="Y327" s="124">
        <v>1581</v>
      </c>
      <c r="Z327" s="124">
        <v>6</v>
      </c>
      <c r="AA327" s="124"/>
      <c r="AB327" s="124"/>
      <c r="AC327" s="124"/>
      <c r="AD327" s="124"/>
      <c r="AE327" s="126" t="inlineStr">
        <is>
          <t xml:space="preserve">Contrato</t>
        </is>
      </c>
    </row>
    <row r="328">
      <c r="A328" s="122">
        <v>46277</v>
      </c>
      <c r="B328" s="123" t="inlineStr">
        <is>
          <t xml:space="preserve">BEAUTYBIZ</t>
        </is>
      </c>
      <c r="C328" s="124">
        <v>6</v>
      </c>
      <c r="D328" s="124">
        <v>132</v>
      </c>
      <c r="E328" s="125"/>
      <c r="F328" s="124">
        <v>1269</v>
      </c>
      <c r="G328" s="124"/>
      <c r="H328" s="124"/>
      <c r="I328" s="124"/>
      <c r="J328" s="124"/>
      <c r="K328" s="124"/>
      <c r="L328" s="124">
        <v>4</v>
      </c>
      <c r="M328" s="124">
        <v>93</v>
      </c>
      <c r="N328" s="125"/>
      <c r="O328" s="124"/>
      <c r="P328" s="124">
        <v>92</v>
      </c>
      <c r="Q328" s="124"/>
      <c r="R328" s="124"/>
      <c r="S328" s="124"/>
      <c r="T328" s="124"/>
      <c r="U328" s="124">
        <v>0</v>
      </c>
      <c r="V328" s="124">
        <v>0</v>
      </c>
      <c r="W328" s="124"/>
      <c r="X328" s="124">
        <v>1200</v>
      </c>
      <c r="Y328" s="124">
        <v>1132</v>
      </c>
      <c r="Z328" s="124">
        <v>5</v>
      </c>
      <c r="AA328" s="124"/>
      <c r="AB328" s="124"/>
      <c r="AC328" s="124"/>
      <c r="AD328" s="124"/>
      <c r="AE328" s="126" t="inlineStr">
        <is>
          <t xml:space="preserve">Contrato</t>
        </is>
      </c>
    </row>
    <row r="329">
      <c r="A329" s="122">
        <v>46277</v>
      </c>
      <c r="B329" s="123" t="inlineStr">
        <is>
          <t xml:space="preserve">BOTICÁRIO</t>
        </is>
      </c>
      <c r="C329" s="124">
        <v>3</v>
      </c>
      <c r="D329" s="124"/>
      <c r="E329" s="125"/>
      <c r="F329" s="124"/>
      <c r="G329" s="124">
        <v>2726</v>
      </c>
      <c r="H329" s="124">
        <v>191</v>
      </c>
      <c r="I329" s="124">
        <v>390</v>
      </c>
      <c r="J329" s="124"/>
      <c r="K329" s="124"/>
      <c r="L329" s="124">
        <v>11</v>
      </c>
      <c r="M329" s="124">
        <v>66</v>
      </c>
      <c r="N329" s="125"/>
      <c r="O329" s="124"/>
      <c r="P329" s="124"/>
      <c r="Q329" s="124">
        <v>715</v>
      </c>
      <c r="R329" s="124">
        <v>3568</v>
      </c>
      <c r="S329" s="124"/>
      <c r="T329" s="124"/>
      <c r="U329" s="124">
        <v>0</v>
      </c>
      <c r="V329" s="124">
        <v>0</v>
      </c>
      <c r="W329" s="124"/>
      <c r="X329" s="124">
        <v>3500</v>
      </c>
      <c r="Y329" s="124">
        <v>1956</v>
      </c>
      <c r="Z329" s="124">
        <v>7</v>
      </c>
      <c r="AA329" s="124"/>
      <c r="AB329" s="124"/>
      <c r="AC329" s="124"/>
      <c r="AD329" s="124"/>
      <c r="AE329" s="126" t="inlineStr">
        <is>
          <t xml:space="preserve">Contrato</t>
        </is>
      </c>
    </row>
    <row r="330">
      <c r="A330" s="122">
        <v>46277</v>
      </c>
      <c r="B330" s="123" t="inlineStr">
        <is>
          <t xml:space="preserve">SUPPLY</t>
        </is>
      </c>
      <c r="C330" s="124">
        <v>3</v>
      </c>
      <c r="D330" s="124">
        <v>81</v>
      </c>
      <c r="E330" s="125">
        <v>30.25</v>
      </c>
      <c r="F330" s="124"/>
      <c r="G330" s="124"/>
      <c r="H330" s="124"/>
      <c r="I330" s="124"/>
      <c r="J330" s="124"/>
      <c r="K330" s="124"/>
      <c r="L330" s="124">
        <v>11</v>
      </c>
      <c r="M330" s="124">
        <v>146</v>
      </c>
      <c r="N330" s="125">
        <v>28.39</v>
      </c>
      <c r="O330" s="124"/>
      <c r="P330" s="124"/>
      <c r="Q330" s="124"/>
      <c r="R330" s="124"/>
      <c r="S330" s="124"/>
      <c r="T330" s="124"/>
      <c r="U330" s="124">
        <v>0</v>
      </c>
      <c r="V330" s="124">
        <v>0</v>
      </c>
      <c r="W330" s="124"/>
      <c r="X330" s="124">
        <v>1600</v>
      </c>
      <c r="Y330" s="124">
        <v>1399</v>
      </c>
      <c r="Z330" s="124">
        <v>6</v>
      </c>
      <c r="AA330" s="124"/>
      <c r="AB330" s="124"/>
      <c r="AC330" s="124"/>
      <c r="AD330" s="124"/>
      <c r="AE330" s="126" t="inlineStr">
        <is>
          <t xml:space="preserve">Spot</t>
        </is>
      </c>
    </row>
    <row r="331">
      <c r="A331" s="122">
        <v>46277</v>
      </c>
      <c r="B331" s="123" t="inlineStr">
        <is>
          <t xml:space="preserve">GE VERNOVA</t>
        </is>
      </c>
      <c r="C331" s="124">
        <v>4</v>
      </c>
      <c r="D331" s="124">
        <v>33</v>
      </c>
      <c r="E331" s="125"/>
      <c r="F331" s="124"/>
      <c r="G331" s="124"/>
      <c r="H331" s="124"/>
      <c r="I331" s="124"/>
      <c r="J331" s="124">
        <v>530</v>
      </c>
      <c r="K331" s="124">
        <v>92</v>
      </c>
      <c r="L331" s="124">
        <v>7</v>
      </c>
      <c r="M331" s="124">
        <v>156</v>
      </c>
      <c r="N331" s="125"/>
      <c r="O331" s="124"/>
      <c r="P331" s="124"/>
      <c r="Q331" s="124"/>
      <c r="R331" s="124"/>
      <c r="S331" s="124">
        <v>70</v>
      </c>
      <c r="T331" s="124">
        <v>16</v>
      </c>
      <c r="U331" s="124">
        <v>0</v>
      </c>
      <c r="V331" s="124">
        <v>1</v>
      </c>
      <c r="W331" s="124"/>
      <c r="X331" s="124">
        <v>900</v>
      </c>
      <c r="Y331" s="124">
        <v>733</v>
      </c>
      <c r="Z331" s="124">
        <v>5</v>
      </c>
      <c r="AA331" s="124"/>
      <c r="AB331" s="124"/>
      <c r="AC331" s="124"/>
      <c r="AD331" s="124"/>
      <c r="AE331" s="126" t="inlineStr">
        <is>
          <t xml:space="preserve">Contrato</t>
        </is>
      </c>
    </row>
    <row r="332">
      <c r="A332" s="122">
        <v>46277</v>
      </c>
      <c r="B332" s="123" t="inlineStr">
        <is>
          <t xml:space="preserve">VESTAS</t>
        </is>
      </c>
      <c r="C332" s="124">
        <v>8</v>
      </c>
      <c r="D332" s="124"/>
      <c r="E332" s="125"/>
      <c r="F332" s="124"/>
      <c r="G332" s="124"/>
      <c r="H332" s="124"/>
      <c r="I332" s="124"/>
      <c r="J332" s="124"/>
      <c r="K332" s="124">
        <v>31</v>
      </c>
      <c r="L332" s="124">
        <v>3</v>
      </c>
      <c r="M332" s="124"/>
      <c r="N332" s="125"/>
      <c r="O332" s="124"/>
      <c r="P332" s="124"/>
      <c r="Q332" s="124"/>
      <c r="R332" s="124"/>
      <c r="S332" s="124"/>
      <c r="T332" s="124">
        <v>104</v>
      </c>
      <c r="U332" s="124">
        <v>0</v>
      </c>
      <c r="V332" s="124">
        <v>0</v>
      </c>
      <c r="W332" s="124"/>
      <c r="X332" s="124">
        <v>600</v>
      </c>
      <c r="Y332" s="124">
        <v>451</v>
      </c>
      <c r="Z332" s="124">
        <v>4</v>
      </c>
      <c r="AA332" s="124"/>
      <c r="AB332" s="124"/>
      <c r="AC332" s="124"/>
      <c r="AD332" s="124"/>
      <c r="AE332" s="126" t="inlineStr">
        <is>
          <t xml:space="preserve">Cross</t>
        </is>
      </c>
    </row>
    <row r="333">
      <c r="A333" s="122">
        <v>46277</v>
      </c>
      <c r="B333" s="123" t="inlineStr">
        <is>
          <t xml:space="preserve">VEDACIT</t>
        </is>
      </c>
      <c r="C333" s="124">
        <v>3</v>
      </c>
      <c r="D333" s="124">
        <v>69</v>
      </c>
      <c r="E333" s="125"/>
      <c r="F333" s="124"/>
      <c r="G333" s="124"/>
      <c r="H333" s="124"/>
      <c r="I333" s="124"/>
      <c r="J333" s="124"/>
      <c r="K333" s="124"/>
      <c r="L333" s="124">
        <v>9</v>
      </c>
      <c r="M333" s="124">
        <v>28</v>
      </c>
      <c r="N333" s="125"/>
      <c r="O333" s="124"/>
      <c r="P333" s="124"/>
      <c r="Q333" s="124"/>
      <c r="R333" s="124"/>
      <c r="S333" s="124"/>
      <c r="T333" s="124"/>
      <c r="U333" s="124">
        <v>0</v>
      </c>
      <c r="V333" s="124">
        <v>0</v>
      </c>
      <c r="W333" s="124">
        <v>14</v>
      </c>
      <c r="X333" s="124">
        <v>1400</v>
      </c>
      <c r="Y333" s="124">
        <v>1091</v>
      </c>
      <c r="Z333" s="124">
        <v>13</v>
      </c>
      <c r="AA333" s="124">
        <v>1</v>
      </c>
      <c r="AB333" s="124"/>
      <c r="AC333" s="124">
        <v>1</v>
      </c>
      <c r="AD333" s="124"/>
      <c r="AE333" s="126" t="inlineStr">
        <is>
          <t xml:space="preserve">Contrato</t>
        </is>
      </c>
    </row>
    <row r="334">
      <c r="A334" s="122">
        <v>46277</v>
      </c>
      <c r="B334" s="123" t="inlineStr">
        <is>
          <t xml:space="preserve">OMNLIFE</t>
        </is>
      </c>
      <c r="C334" s="124">
        <v>6</v>
      </c>
      <c r="D334" s="124">
        <v>91</v>
      </c>
      <c r="E334" s="125"/>
      <c r="F334" s="124"/>
      <c r="G334" s="124"/>
      <c r="H334" s="124"/>
      <c r="I334" s="124"/>
      <c r="J334" s="124"/>
      <c r="K334" s="124"/>
      <c r="L334" s="124">
        <v>3</v>
      </c>
      <c r="M334" s="124">
        <v>26</v>
      </c>
      <c r="N334" s="125"/>
      <c r="O334" s="124"/>
      <c r="P334" s="124"/>
      <c r="Q334" s="124"/>
      <c r="R334" s="124"/>
      <c r="S334" s="124"/>
      <c r="T334" s="124"/>
      <c r="U334" s="124">
        <v>0</v>
      </c>
      <c r="V334" s="124">
        <v>0</v>
      </c>
      <c r="W334" s="124"/>
      <c r="X334" s="124">
        <v>500</v>
      </c>
      <c r="Y334" s="124">
        <v>419</v>
      </c>
      <c r="Z334" s="124">
        <v>6</v>
      </c>
      <c r="AA334" s="124"/>
      <c r="AB334" s="124">
        <v>1</v>
      </c>
      <c r="AC334" s="124"/>
      <c r="AD334" s="124"/>
      <c r="AE334" s="126" t="inlineStr">
        <is>
          <t xml:space="preserve">Spot</t>
        </is>
      </c>
    </row>
    <row r="335">
      <c r="A335" s="122">
        <v>46277</v>
      </c>
      <c r="B335" s="123" t="inlineStr">
        <is>
          <t xml:space="preserve">ALPARGATAS</t>
        </is>
      </c>
      <c r="C335" s="124">
        <v>5</v>
      </c>
      <c r="D335" s="124"/>
      <c r="E335" s="125"/>
      <c r="F335" s="124">
        <v>312</v>
      </c>
      <c r="G335" s="124"/>
      <c r="H335" s="124"/>
      <c r="I335" s="124"/>
      <c r="J335" s="124"/>
      <c r="K335" s="124"/>
      <c r="L335" s="124">
        <v>9</v>
      </c>
      <c r="M335" s="124"/>
      <c r="N335" s="125"/>
      <c r="O335" s="124">
        <v>1252</v>
      </c>
      <c r="P335" s="124"/>
      <c r="Q335" s="124"/>
      <c r="R335" s="124"/>
      <c r="S335" s="124"/>
      <c r="T335" s="124"/>
      <c r="U335" s="124">
        <v>0</v>
      </c>
      <c r="V335" s="124">
        <v>0</v>
      </c>
      <c r="W335" s="124"/>
      <c r="X335" s="124">
        <v>1800</v>
      </c>
      <c r="Y335" s="124">
        <v>1299</v>
      </c>
      <c r="Z335" s="124">
        <v>11</v>
      </c>
      <c r="AA335" s="124"/>
      <c r="AB335" s="124"/>
      <c r="AC335" s="124"/>
      <c r="AD335" s="124"/>
      <c r="AE335" s="126" t="inlineStr">
        <is>
          <t xml:space="preserve">Contrato</t>
        </is>
      </c>
    </row>
    <row r="336">
      <c r="A336" s="122">
        <v>46279</v>
      </c>
      <c r="B336" s="123" t="inlineStr">
        <is>
          <t xml:space="preserve">BASF</t>
        </is>
      </c>
      <c r="C336" s="124">
        <v>4</v>
      </c>
      <c r="D336" s="124">
        <v>57</v>
      </c>
      <c r="E336" s="125">
        <v>127.97</v>
      </c>
      <c r="F336" s="124"/>
      <c r="G336" s="124"/>
      <c r="H336" s="124"/>
      <c r="I336" s="124"/>
      <c r="J336" s="124"/>
      <c r="K336" s="124"/>
      <c r="L336" s="124">
        <v>9</v>
      </c>
      <c r="M336" s="124">
        <v>130</v>
      </c>
      <c r="N336" s="125">
        <v>117.66</v>
      </c>
      <c r="O336" s="124"/>
      <c r="P336" s="124"/>
      <c r="Q336" s="124"/>
      <c r="R336" s="124"/>
      <c r="S336" s="124"/>
      <c r="T336" s="124"/>
      <c r="U336" s="124">
        <v>0</v>
      </c>
      <c r="V336" s="124">
        <v>0</v>
      </c>
      <c r="W336" s="124"/>
      <c r="X336" s="124">
        <v>2200</v>
      </c>
      <c r="Y336" s="124">
        <v>1909</v>
      </c>
      <c r="Z336" s="124">
        <v>8</v>
      </c>
      <c r="AA336" s="124"/>
      <c r="AB336" s="124"/>
      <c r="AC336" s="124"/>
      <c r="AD336" s="124"/>
      <c r="AE336" s="126" t="inlineStr">
        <is>
          <t xml:space="preserve">Contrato</t>
        </is>
      </c>
    </row>
    <row r="337">
      <c r="A337" s="122">
        <v>46279</v>
      </c>
      <c r="B337" s="123" t="inlineStr">
        <is>
          <t xml:space="preserve">BEAUTYBIZ</t>
        </is>
      </c>
      <c r="C337" s="124">
        <v>8</v>
      </c>
      <c r="D337" s="124">
        <v>140</v>
      </c>
      <c r="E337" s="125"/>
      <c r="F337" s="124">
        <v>2475</v>
      </c>
      <c r="G337" s="124"/>
      <c r="H337" s="124"/>
      <c r="I337" s="124"/>
      <c r="J337" s="124"/>
      <c r="K337" s="124"/>
      <c r="L337" s="124">
        <v>6</v>
      </c>
      <c r="M337" s="124">
        <v>136</v>
      </c>
      <c r="N337" s="125"/>
      <c r="O337" s="124"/>
      <c r="P337" s="124">
        <v>108</v>
      </c>
      <c r="Q337" s="124"/>
      <c r="R337" s="124"/>
      <c r="S337" s="124"/>
      <c r="T337" s="124"/>
      <c r="U337" s="124">
        <v>0</v>
      </c>
      <c r="V337" s="124">
        <v>0</v>
      </c>
      <c r="W337" s="124"/>
      <c r="X337" s="124">
        <v>1200</v>
      </c>
      <c r="Y337" s="124">
        <v>808</v>
      </c>
      <c r="Z337" s="124">
        <v>12</v>
      </c>
      <c r="AA337" s="124"/>
      <c r="AB337" s="124"/>
      <c r="AC337" s="124"/>
      <c r="AD337" s="124"/>
      <c r="AE337" s="126" t="inlineStr">
        <is>
          <t xml:space="preserve">Contrato</t>
        </is>
      </c>
    </row>
    <row r="338">
      <c r="A338" s="122">
        <v>46279</v>
      </c>
      <c r="B338" s="123" t="inlineStr">
        <is>
          <t xml:space="preserve">BOTICÁRIO</t>
        </is>
      </c>
      <c r="C338" s="124">
        <v>2</v>
      </c>
      <c r="D338" s="124"/>
      <c r="E338" s="125"/>
      <c r="F338" s="124"/>
      <c r="G338" s="124">
        <v>2238</v>
      </c>
      <c r="H338" s="124">
        <v>98</v>
      </c>
      <c r="I338" s="124">
        <v>797</v>
      </c>
      <c r="J338" s="124"/>
      <c r="K338" s="124"/>
      <c r="L338" s="124">
        <v>6</v>
      </c>
      <c r="M338" s="124">
        <v>122</v>
      </c>
      <c r="N338" s="125"/>
      <c r="O338" s="124"/>
      <c r="P338" s="124"/>
      <c r="Q338" s="124">
        <v>912</v>
      </c>
      <c r="R338" s="124">
        <v>3424</v>
      </c>
      <c r="S338" s="124"/>
      <c r="T338" s="124"/>
      <c r="U338" s="124">
        <v>0</v>
      </c>
      <c r="V338" s="124">
        <v>0</v>
      </c>
      <c r="W338" s="124"/>
      <c r="X338" s="124">
        <v>3500</v>
      </c>
      <c r="Y338" s="124">
        <v>2986</v>
      </c>
      <c r="Z338" s="124">
        <v>7</v>
      </c>
      <c r="AA338" s="124">
        <v>1</v>
      </c>
      <c r="AB338" s="124"/>
      <c r="AC338" s="124"/>
      <c r="AD338" s="124"/>
      <c r="AE338" s="126" t="inlineStr">
        <is>
          <t xml:space="preserve">Contrato</t>
        </is>
      </c>
    </row>
    <row r="339">
      <c r="A339" s="122">
        <v>46279</v>
      </c>
      <c r="B339" s="123" t="inlineStr">
        <is>
          <t xml:space="preserve">SUPPLY</t>
        </is>
      </c>
      <c r="C339" s="124">
        <v>5</v>
      </c>
      <c r="D339" s="124">
        <v>90</v>
      </c>
      <c r="E339" s="125">
        <v>80.88</v>
      </c>
      <c r="F339" s="124"/>
      <c r="G339" s="124"/>
      <c r="H339" s="124"/>
      <c r="I339" s="124"/>
      <c r="J339" s="124"/>
      <c r="K339" s="124"/>
      <c r="L339" s="124">
        <v>9</v>
      </c>
      <c r="M339" s="124">
        <v>116</v>
      </c>
      <c r="N339" s="125">
        <v>95.93</v>
      </c>
      <c r="O339" s="124"/>
      <c r="P339" s="124"/>
      <c r="Q339" s="124"/>
      <c r="R339" s="124"/>
      <c r="S339" s="124"/>
      <c r="T339" s="124"/>
      <c r="U339" s="124">
        <v>0</v>
      </c>
      <c r="V339" s="124">
        <v>0</v>
      </c>
      <c r="W339" s="124"/>
      <c r="X339" s="124">
        <v>1600</v>
      </c>
      <c r="Y339" s="124">
        <v>1339</v>
      </c>
      <c r="Z339" s="124">
        <v>11</v>
      </c>
      <c r="AA339" s="124"/>
      <c r="AB339" s="124">
        <v>1</v>
      </c>
      <c r="AC339" s="124"/>
      <c r="AD339" s="124"/>
      <c r="AE339" s="126" t="inlineStr">
        <is>
          <t xml:space="preserve">Spot</t>
        </is>
      </c>
    </row>
    <row r="340">
      <c r="A340" s="122">
        <v>46279</v>
      </c>
      <c r="B340" s="123" t="inlineStr">
        <is>
          <t xml:space="preserve">GE VERNOVA</t>
        </is>
      </c>
      <c r="C340" s="124">
        <v>4</v>
      </c>
      <c r="D340" s="124">
        <v>104</v>
      </c>
      <c r="E340" s="125"/>
      <c r="F340" s="124"/>
      <c r="G340" s="124"/>
      <c r="H340" s="124"/>
      <c r="I340" s="124"/>
      <c r="J340" s="124">
        <v>525</v>
      </c>
      <c r="K340" s="124">
        <v>91</v>
      </c>
      <c r="L340" s="124">
        <v>11</v>
      </c>
      <c r="M340" s="124">
        <v>69</v>
      </c>
      <c r="N340" s="125"/>
      <c r="O340" s="124"/>
      <c r="P340" s="124"/>
      <c r="Q340" s="124"/>
      <c r="R340" s="124"/>
      <c r="S340" s="124">
        <v>518</v>
      </c>
      <c r="T340" s="124">
        <v>104</v>
      </c>
      <c r="U340" s="124">
        <v>0</v>
      </c>
      <c r="V340" s="124">
        <v>0</v>
      </c>
      <c r="W340" s="124"/>
      <c r="X340" s="124">
        <v>900</v>
      </c>
      <c r="Y340" s="124">
        <v>504</v>
      </c>
      <c r="Z340" s="124">
        <v>5</v>
      </c>
      <c r="AA340" s="124"/>
      <c r="AB340" s="124"/>
      <c r="AC340" s="124">
        <v>1</v>
      </c>
      <c r="AD340" s="124"/>
      <c r="AE340" s="126" t="inlineStr">
        <is>
          <t xml:space="preserve">Contrato</t>
        </is>
      </c>
    </row>
    <row r="341">
      <c r="A341" s="122">
        <v>46279</v>
      </c>
      <c r="B341" s="123" t="inlineStr">
        <is>
          <t xml:space="preserve">VESTAS</t>
        </is>
      </c>
      <c r="C341" s="124">
        <v>5</v>
      </c>
      <c r="D341" s="124"/>
      <c r="E341" s="125"/>
      <c r="F341" s="124"/>
      <c r="G341" s="124"/>
      <c r="H341" s="124"/>
      <c r="I341" s="124"/>
      <c r="J341" s="124"/>
      <c r="K341" s="124">
        <v>89</v>
      </c>
      <c r="L341" s="124">
        <v>9</v>
      </c>
      <c r="M341" s="124"/>
      <c r="N341" s="125"/>
      <c r="O341" s="124"/>
      <c r="P341" s="124"/>
      <c r="Q341" s="124"/>
      <c r="R341" s="124"/>
      <c r="S341" s="124"/>
      <c r="T341" s="124">
        <v>47</v>
      </c>
      <c r="U341" s="124">
        <v>0</v>
      </c>
      <c r="V341" s="124">
        <v>0</v>
      </c>
      <c r="W341" s="124">
        <v>3</v>
      </c>
      <c r="X341" s="124">
        <v>600</v>
      </c>
      <c r="Y341" s="124">
        <v>492</v>
      </c>
      <c r="Z341" s="124">
        <v>12</v>
      </c>
      <c r="AA341" s="124"/>
      <c r="AB341" s="124"/>
      <c r="AC341" s="124"/>
      <c r="AD341" s="124"/>
      <c r="AE341" s="126" t="inlineStr">
        <is>
          <t xml:space="preserve">Cross</t>
        </is>
      </c>
    </row>
    <row r="342">
      <c r="A342" s="122">
        <v>46279</v>
      </c>
      <c r="B342" s="123" t="inlineStr">
        <is>
          <t xml:space="preserve">VEDACIT</t>
        </is>
      </c>
      <c r="C342" s="124">
        <v>8</v>
      </c>
      <c r="D342" s="124">
        <v>51</v>
      </c>
      <c r="E342" s="125"/>
      <c r="F342" s="124"/>
      <c r="G342" s="124"/>
      <c r="H342" s="124"/>
      <c r="I342" s="124"/>
      <c r="J342" s="124"/>
      <c r="K342" s="124"/>
      <c r="L342" s="124">
        <v>4</v>
      </c>
      <c r="M342" s="124">
        <v>28</v>
      </c>
      <c r="N342" s="125"/>
      <c r="O342" s="124"/>
      <c r="P342" s="124"/>
      <c r="Q342" s="124"/>
      <c r="R342" s="124"/>
      <c r="S342" s="124"/>
      <c r="T342" s="124"/>
      <c r="U342" s="124">
        <v>0</v>
      </c>
      <c r="V342" s="124">
        <v>0</v>
      </c>
      <c r="W342" s="124"/>
      <c r="X342" s="124">
        <v>1400</v>
      </c>
      <c r="Y342" s="124">
        <v>1354</v>
      </c>
      <c r="Z342" s="124">
        <v>5</v>
      </c>
      <c r="AA342" s="124"/>
      <c r="AB342" s="124"/>
      <c r="AC342" s="124"/>
      <c r="AD342" s="124"/>
      <c r="AE342" s="126" t="inlineStr">
        <is>
          <t xml:space="preserve">Contrato</t>
        </is>
      </c>
    </row>
    <row r="343">
      <c r="A343" s="122">
        <v>46279</v>
      </c>
      <c r="B343" s="123" t="inlineStr">
        <is>
          <t xml:space="preserve">OMNLIFE</t>
        </is>
      </c>
      <c r="C343" s="124">
        <v>2</v>
      </c>
      <c r="D343" s="124">
        <v>147</v>
      </c>
      <c r="E343" s="125"/>
      <c r="F343" s="124"/>
      <c r="G343" s="124"/>
      <c r="H343" s="124"/>
      <c r="I343" s="124"/>
      <c r="J343" s="124"/>
      <c r="K343" s="124"/>
      <c r="L343" s="124">
        <v>10</v>
      </c>
      <c r="M343" s="124">
        <v>115</v>
      </c>
      <c r="N343" s="125"/>
      <c r="O343" s="124"/>
      <c r="P343" s="124"/>
      <c r="Q343" s="124"/>
      <c r="R343" s="124"/>
      <c r="S343" s="124"/>
      <c r="T343" s="124"/>
      <c r="U343" s="124">
        <v>0</v>
      </c>
      <c r="V343" s="124">
        <v>0</v>
      </c>
      <c r="W343" s="124"/>
      <c r="X343" s="124">
        <v>500</v>
      </c>
      <c r="Y343" s="124">
        <v>447</v>
      </c>
      <c r="Z343" s="124">
        <v>7</v>
      </c>
      <c r="AA343" s="124"/>
      <c r="AB343" s="124"/>
      <c r="AC343" s="124"/>
      <c r="AD343" s="124"/>
      <c r="AE343" s="126" t="inlineStr">
        <is>
          <t xml:space="preserve">Spot</t>
        </is>
      </c>
    </row>
    <row r="344">
      <c r="A344" s="122">
        <v>46279</v>
      </c>
      <c r="B344" s="123" t="inlineStr">
        <is>
          <t xml:space="preserve">ALPARGATAS</t>
        </is>
      </c>
      <c r="C344" s="124">
        <v>4</v>
      </c>
      <c r="D344" s="124"/>
      <c r="E344" s="125"/>
      <c r="F344" s="124">
        <v>669</v>
      </c>
      <c r="G344" s="124"/>
      <c r="H344" s="124"/>
      <c r="I344" s="124"/>
      <c r="J344" s="124"/>
      <c r="K344" s="124"/>
      <c r="L344" s="124">
        <v>3</v>
      </c>
      <c r="M344" s="124"/>
      <c r="N344" s="125"/>
      <c r="O344" s="124">
        <v>1381</v>
      </c>
      <c r="P344" s="124"/>
      <c r="Q344" s="124"/>
      <c r="R344" s="124"/>
      <c r="S344" s="124"/>
      <c r="T344" s="124"/>
      <c r="U344" s="124">
        <v>0</v>
      </c>
      <c r="V344" s="124">
        <v>0</v>
      </c>
      <c r="W344" s="124"/>
      <c r="X344" s="124">
        <v>1800</v>
      </c>
      <c r="Y344" s="124">
        <v>1408</v>
      </c>
      <c r="Z344" s="124">
        <v>13</v>
      </c>
      <c r="AA344" s="124"/>
      <c r="AB344" s="124"/>
      <c r="AC344" s="124"/>
      <c r="AD344" s="124"/>
      <c r="AE344" s="126" t="inlineStr">
        <is>
          <t xml:space="preserve">Contrato</t>
        </is>
      </c>
    </row>
    <row r="345">
      <c r="A345" s="122">
        <v>46280</v>
      </c>
      <c r="B345" s="123" t="inlineStr">
        <is>
          <t xml:space="preserve">BASF</t>
        </is>
      </c>
      <c r="C345" s="124">
        <v>2</v>
      </c>
      <c r="D345" s="124">
        <v>155</v>
      </c>
      <c r="E345" s="125">
        <v>77.33</v>
      </c>
      <c r="F345" s="124"/>
      <c r="G345" s="124"/>
      <c r="H345" s="124"/>
      <c r="I345" s="124"/>
      <c r="J345" s="124"/>
      <c r="K345" s="124"/>
      <c r="L345" s="124">
        <v>4</v>
      </c>
      <c r="M345" s="124">
        <v>66</v>
      </c>
      <c r="N345" s="125">
        <v>87.22</v>
      </c>
      <c r="O345" s="124"/>
      <c r="P345" s="124"/>
      <c r="Q345" s="124"/>
      <c r="R345" s="124"/>
      <c r="S345" s="124"/>
      <c r="T345" s="124"/>
      <c r="U345" s="124">
        <v>0</v>
      </c>
      <c r="V345" s="124">
        <v>0</v>
      </c>
      <c r="W345" s="124"/>
      <c r="X345" s="124">
        <v>2200</v>
      </c>
      <c r="Y345" s="124">
        <v>1633</v>
      </c>
      <c r="Z345" s="124">
        <v>8</v>
      </c>
      <c r="AA345" s="124"/>
      <c r="AB345" s="124"/>
      <c r="AC345" s="124"/>
      <c r="AD345" s="124"/>
      <c r="AE345" s="126" t="inlineStr">
        <is>
          <t xml:space="preserve">Contrato</t>
        </is>
      </c>
    </row>
    <row r="346">
      <c r="A346" s="122">
        <v>46280</v>
      </c>
      <c r="B346" s="123" t="inlineStr">
        <is>
          <t xml:space="preserve">BEAUTYBIZ</t>
        </is>
      </c>
      <c r="C346" s="124">
        <v>6</v>
      </c>
      <c r="D346" s="124">
        <v>87</v>
      </c>
      <c r="E346" s="125"/>
      <c r="F346" s="124">
        <v>2345</v>
      </c>
      <c r="G346" s="124"/>
      <c r="H346" s="124"/>
      <c r="I346" s="124"/>
      <c r="J346" s="124"/>
      <c r="K346" s="124"/>
      <c r="L346" s="124">
        <v>3</v>
      </c>
      <c r="M346" s="124">
        <v>154</v>
      </c>
      <c r="N346" s="125"/>
      <c r="O346" s="124"/>
      <c r="P346" s="124">
        <v>492</v>
      </c>
      <c r="Q346" s="124"/>
      <c r="R346" s="124"/>
      <c r="S346" s="124"/>
      <c r="T346" s="124"/>
      <c r="U346" s="124">
        <v>0</v>
      </c>
      <c r="V346" s="124">
        <v>0</v>
      </c>
      <c r="W346" s="124">
        <v>9</v>
      </c>
      <c r="X346" s="124">
        <v>1200</v>
      </c>
      <c r="Y346" s="124">
        <v>1148</v>
      </c>
      <c r="Z346" s="124">
        <v>7</v>
      </c>
      <c r="AA346" s="124"/>
      <c r="AB346" s="124"/>
      <c r="AC346" s="124"/>
      <c r="AD346" s="124"/>
      <c r="AE346" s="126" t="inlineStr">
        <is>
          <t xml:space="preserve">Contrato</t>
        </is>
      </c>
    </row>
    <row r="347">
      <c r="A347" s="122">
        <v>46280</v>
      </c>
      <c r="B347" s="123" t="inlineStr">
        <is>
          <t xml:space="preserve">BOTICÁRIO</t>
        </is>
      </c>
      <c r="C347" s="124">
        <v>2</v>
      </c>
      <c r="D347" s="124"/>
      <c r="E347" s="125"/>
      <c r="F347" s="124"/>
      <c r="G347" s="124">
        <v>3477</v>
      </c>
      <c r="H347" s="124">
        <v>285</v>
      </c>
      <c r="I347" s="124">
        <v>702</v>
      </c>
      <c r="J347" s="124"/>
      <c r="K347" s="124"/>
      <c r="L347" s="124">
        <v>4</v>
      </c>
      <c r="M347" s="124">
        <v>34</v>
      </c>
      <c r="N347" s="125"/>
      <c r="O347" s="124"/>
      <c r="P347" s="124"/>
      <c r="Q347" s="124">
        <v>265</v>
      </c>
      <c r="R347" s="124">
        <v>3650</v>
      </c>
      <c r="S347" s="124"/>
      <c r="T347" s="124"/>
      <c r="U347" s="124">
        <v>0</v>
      </c>
      <c r="V347" s="124">
        <v>0</v>
      </c>
      <c r="W347" s="124"/>
      <c r="X347" s="124">
        <v>3500</v>
      </c>
      <c r="Y347" s="124">
        <v>2316</v>
      </c>
      <c r="Z347" s="124">
        <v>10</v>
      </c>
      <c r="AA347" s="124">
        <v>1</v>
      </c>
      <c r="AB347" s="124"/>
      <c r="AC347" s="124"/>
      <c r="AD347" s="124"/>
      <c r="AE347" s="126" t="inlineStr">
        <is>
          <t xml:space="preserve">Contrato</t>
        </is>
      </c>
    </row>
    <row r="348">
      <c r="A348" s="122">
        <v>46280</v>
      </c>
      <c r="B348" s="123" t="inlineStr">
        <is>
          <t xml:space="preserve">SUPPLY</t>
        </is>
      </c>
      <c r="C348" s="124">
        <v>5</v>
      </c>
      <c r="D348" s="124">
        <v>69</v>
      </c>
      <c r="E348" s="125">
        <v>103.77</v>
      </c>
      <c r="F348" s="124"/>
      <c r="G348" s="124"/>
      <c r="H348" s="124"/>
      <c r="I348" s="124"/>
      <c r="J348" s="124"/>
      <c r="K348" s="124"/>
      <c r="L348" s="124">
        <v>7</v>
      </c>
      <c r="M348" s="124">
        <v>45</v>
      </c>
      <c r="N348" s="125">
        <v>86.64</v>
      </c>
      <c r="O348" s="124"/>
      <c r="P348" s="124"/>
      <c r="Q348" s="124"/>
      <c r="R348" s="124"/>
      <c r="S348" s="124"/>
      <c r="T348" s="124"/>
      <c r="U348" s="124">
        <v>0</v>
      </c>
      <c r="V348" s="124">
        <v>0</v>
      </c>
      <c r="W348" s="124">
        <v>6</v>
      </c>
      <c r="X348" s="124">
        <v>1600</v>
      </c>
      <c r="Y348" s="124">
        <v>1506</v>
      </c>
      <c r="Z348" s="124">
        <v>8</v>
      </c>
      <c r="AA348" s="124"/>
      <c r="AB348" s="124"/>
      <c r="AC348" s="124"/>
      <c r="AD348" s="124"/>
      <c r="AE348" s="126" t="inlineStr">
        <is>
          <t xml:space="preserve">Spot</t>
        </is>
      </c>
    </row>
    <row r="349">
      <c r="A349" s="122">
        <v>46280</v>
      </c>
      <c r="B349" s="123" t="inlineStr">
        <is>
          <t xml:space="preserve">GE VERNOVA</t>
        </is>
      </c>
      <c r="C349" s="124">
        <v>4</v>
      </c>
      <c r="D349" s="124">
        <v>158</v>
      </c>
      <c r="E349" s="125"/>
      <c r="F349" s="124"/>
      <c r="G349" s="124"/>
      <c r="H349" s="124"/>
      <c r="I349" s="124"/>
      <c r="J349" s="124">
        <v>64</v>
      </c>
      <c r="K349" s="124">
        <v>75</v>
      </c>
      <c r="L349" s="124">
        <v>8</v>
      </c>
      <c r="M349" s="124">
        <v>79</v>
      </c>
      <c r="N349" s="125"/>
      <c r="O349" s="124"/>
      <c r="P349" s="124"/>
      <c r="Q349" s="124"/>
      <c r="R349" s="124"/>
      <c r="S349" s="124">
        <v>506</v>
      </c>
      <c r="T349" s="124">
        <v>108</v>
      </c>
      <c r="U349" s="124">
        <v>0</v>
      </c>
      <c r="V349" s="124">
        <v>0</v>
      </c>
      <c r="W349" s="124"/>
      <c r="X349" s="124">
        <v>900</v>
      </c>
      <c r="Y349" s="124">
        <v>503</v>
      </c>
      <c r="Z349" s="124">
        <v>4</v>
      </c>
      <c r="AA349" s="124"/>
      <c r="AB349" s="124"/>
      <c r="AC349" s="124"/>
      <c r="AD349" s="124"/>
      <c r="AE349" s="126" t="inlineStr">
        <is>
          <t xml:space="preserve">Contrato</t>
        </is>
      </c>
    </row>
    <row r="350">
      <c r="A350" s="122">
        <v>46280</v>
      </c>
      <c r="B350" s="123" t="inlineStr">
        <is>
          <t xml:space="preserve">VESTAS</t>
        </is>
      </c>
      <c r="C350" s="124">
        <v>3</v>
      </c>
      <c r="D350" s="124"/>
      <c r="E350" s="125"/>
      <c r="F350" s="124"/>
      <c r="G350" s="124"/>
      <c r="H350" s="124"/>
      <c r="I350" s="124"/>
      <c r="J350" s="124"/>
      <c r="K350" s="124">
        <v>89</v>
      </c>
      <c r="L350" s="124">
        <v>7</v>
      </c>
      <c r="M350" s="124"/>
      <c r="N350" s="125"/>
      <c r="O350" s="124"/>
      <c r="P350" s="124"/>
      <c r="Q350" s="124"/>
      <c r="R350" s="124"/>
      <c r="S350" s="124"/>
      <c r="T350" s="124">
        <v>49</v>
      </c>
      <c r="U350" s="124">
        <v>0</v>
      </c>
      <c r="V350" s="124">
        <v>0</v>
      </c>
      <c r="W350" s="124">
        <v>5</v>
      </c>
      <c r="X350" s="124">
        <v>600</v>
      </c>
      <c r="Y350" s="124">
        <v>368</v>
      </c>
      <c r="Z350" s="124">
        <v>5</v>
      </c>
      <c r="AA350" s="124"/>
      <c r="AB350" s="124"/>
      <c r="AC350" s="124"/>
      <c r="AD350" s="124"/>
      <c r="AE350" s="126" t="inlineStr">
        <is>
          <t xml:space="preserve">Cross</t>
        </is>
      </c>
    </row>
    <row r="351">
      <c r="A351" s="122">
        <v>46280</v>
      </c>
      <c r="B351" s="123" t="inlineStr">
        <is>
          <t xml:space="preserve">VEDACIT</t>
        </is>
      </c>
      <c r="C351" s="124">
        <v>6</v>
      </c>
      <c r="D351" s="124">
        <v>98</v>
      </c>
      <c r="E351" s="125"/>
      <c r="F351" s="124"/>
      <c r="G351" s="124"/>
      <c r="H351" s="124"/>
      <c r="I351" s="124"/>
      <c r="J351" s="124"/>
      <c r="K351" s="124"/>
      <c r="L351" s="124">
        <v>6</v>
      </c>
      <c r="M351" s="124">
        <v>96</v>
      </c>
      <c r="N351" s="125"/>
      <c r="O351" s="124"/>
      <c r="P351" s="124"/>
      <c r="Q351" s="124"/>
      <c r="R351" s="124"/>
      <c r="S351" s="124"/>
      <c r="T351" s="124"/>
      <c r="U351" s="124">
        <v>1</v>
      </c>
      <c r="V351" s="124">
        <v>1</v>
      </c>
      <c r="W351" s="124"/>
      <c r="X351" s="124">
        <v>1400</v>
      </c>
      <c r="Y351" s="124">
        <v>909</v>
      </c>
      <c r="Z351" s="124">
        <v>4</v>
      </c>
      <c r="AA351" s="124"/>
      <c r="AB351" s="124"/>
      <c r="AC351" s="124"/>
      <c r="AD351" s="124"/>
      <c r="AE351" s="126" t="inlineStr">
        <is>
          <t xml:space="preserve">Contrato</t>
        </is>
      </c>
    </row>
    <row r="352">
      <c r="A352" s="122">
        <v>46280</v>
      </c>
      <c r="B352" s="123" t="inlineStr">
        <is>
          <t xml:space="preserve">OMNLIFE</t>
        </is>
      </c>
      <c r="C352" s="124">
        <v>5</v>
      </c>
      <c r="D352" s="124">
        <v>74</v>
      </c>
      <c r="E352" s="125"/>
      <c r="F352" s="124"/>
      <c r="G352" s="124"/>
      <c r="H352" s="124"/>
      <c r="I352" s="124"/>
      <c r="J352" s="124"/>
      <c r="K352" s="124"/>
      <c r="L352" s="124">
        <v>5</v>
      </c>
      <c r="M352" s="124">
        <v>127</v>
      </c>
      <c r="N352" s="125"/>
      <c r="O352" s="124"/>
      <c r="P352" s="124"/>
      <c r="Q352" s="124"/>
      <c r="R352" s="124"/>
      <c r="S352" s="124"/>
      <c r="T352" s="124"/>
      <c r="U352" s="124">
        <v>0</v>
      </c>
      <c r="V352" s="124">
        <v>0</v>
      </c>
      <c r="W352" s="124"/>
      <c r="X352" s="124">
        <v>500</v>
      </c>
      <c r="Y352" s="124">
        <v>370</v>
      </c>
      <c r="Z352" s="124">
        <v>12</v>
      </c>
      <c r="AA352" s="124"/>
      <c r="AB352" s="124">
        <v>1</v>
      </c>
      <c r="AC352" s="124"/>
      <c r="AD352" s="124"/>
      <c r="AE352" s="126" t="inlineStr">
        <is>
          <t xml:space="preserve">Spot</t>
        </is>
      </c>
    </row>
    <row r="353">
      <c r="A353" s="122">
        <v>46280</v>
      </c>
      <c r="B353" s="123" t="inlineStr">
        <is>
          <t xml:space="preserve">ALPARGATAS</t>
        </is>
      </c>
      <c r="C353" s="124">
        <v>3</v>
      </c>
      <c r="D353" s="124"/>
      <c r="E353" s="125"/>
      <c r="F353" s="124">
        <v>2002</v>
      </c>
      <c r="G353" s="124"/>
      <c r="H353" s="124"/>
      <c r="I353" s="124"/>
      <c r="J353" s="124"/>
      <c r="K353" s="124"/>
      <c r="L353" s="124">
        <v>9</v>
      </c>
      <c r="M353" s="124"/>
      <c r="N353" s="125"/>
      <c r="O353" s="124">
        <v>1079</v>
      </c>
      <c r="P353" s="124"/>
      <c r="Q353" s="124"/>
      <c r="R353" s="124"/>
      <c r="S353" s="124"/>
      <c r="T353" s="124"/>
      <c r="U353" s="124">
        <v>0</v>
      </c>
      <c r="V353" s="124">
        <v>0</v>
      </c>
      <c r="W353" s="124">
        <v>14</v>
      </c>
      <c r="X353" s="124">
        <v>1800</v>
      </c>
      <c r="Y353" s="124">
        <v>1174</v>
      </c>
      <c r="Z353" s="124">
        <v>6</v>
      </c>
      <c r="AA353" s="124"/>
      <c r="AB353" s="124"/>
      <c r="AC353" s="124"/>
      <c r="AD353" s="124"/>
      <c r="AE353" s="126" t="inlineStr">
        <is>
          <t xml:space="preserve">Contrato</t>
        </is>
      </c>
    </row>
    <row r="354">
      <c r="A354" s="122">
        <v>46281</v>
      </c>
      <c r="B354" s="123" t="inlineStr">
        <is>
          <t xml:space="preserve">BASF</t>
        </is>
      </c>
      <c r="C354" s="124">
        <v>5</v>
      </c>
      <c r="D354" s="124">
        <v>149</v>
      </c>
      <c r="E354" s="125">
        <v>88.38</v>
      </c>
      <c r="F354" s="124"/>
      <c r="G354" s="124"/>
      <c r="H354" s="124"/>
      <c r="I354" s="124"/>
      <c r="J354" s="124"/>
      <c r="K354" s="124"/>
      <c r="L354" s="124">
        <v>6</v>
      </c>
      <c r="M354" s="124">
        <v>158</v>
      </c>
      <c r="N354" s="125">
        <v>106.86</v>
      </c>
      <c r="O354" s="124"/>
      <c r="P354" s="124"/>
      <c r="Q354" s="124"/>
      <c r="R354" s="124"/>
      <c r="S354" s="124"/>
      <c r="T354" s="124"/>
      <c r="U354" s="124">
        <v>0</v>
      </c>
      <c r="V354" s="124">
        <v>0</v>
      </c>
      <c r="W354" s="124"/>
      <c r="X354" s="124">
        <v>2200</v>
      </c>
      <c r="Y354" s="124">
        <v>1473</v>
      </c>
      <c r="Z354" s="124">
        <v>4</v>
      </c>
      <c r="AA354" s="124"/>
      <c r="AB354" s="124"/>
      <c r="AC354" s="124"/>
      <c r="AD354" s="124"/>
      <c r="AE354" s="126" t="inlineStr">
        <is>
          <t xml:space="preserve">Contrato</t>
        </is>
      </c>
    </row>
    <row r="355">
      <c r="A355" s="122">
        <v>46281</v>
      </c>
      <c r="B355" s="123" t="inlineStr">
        <is>
          <t xml:space="preserve">BEAUTYBIZ</t>
        </is>
      </c>
      <c r="C355" s="124">
        <v>5</v>
      </c>
      <c r="D355" s="124">
        <v>43</v>
      </c>
      <c r="E355" s="125"/>
      <c r="F355" s="124">
        <v>1773</v>
      </c>
      <c r="G355" s="124"/>
      <c r="H355" s="124"/>
      <c r="I355" s="124"/>
      <c r="J355" s="124"/>
      <c r="K355" s="124"/>
      <c r="L355" s="124">
        <v>6</v>
      </c>
      <c r="M355" s="124">
        <v>112</v>
      </c>
      <c r="N355" s="125"/>
      <c r="O355" s="124"/>
      <c r="P355" s="124">
        <v>136</v>
      </c>
      <c r="Q355" s="124"/>
      <c r="R355" s="124"/>
      <c r="S355" s="124"/>
      <c r="T355" s="124"/>
      <c r="U355" s="124">
        <v>0</v>
      </c>
      <c r="V355" s="124">
        <v>1</v>
      </c>
      <c r="W355" s="124">
        <v>12</v>
      </c>
      <c r="X355" s="124">
        <v>1200</v>
      </c>
      <c r="Y355" s="124">
        <v>710</v>
      </c>
      <c r="Z355" s="124">
        <v>10</v>
      </c>
      <c r="AA355" s="124">
        <v>1</v>
      </c>
      <c r="AB355" s="124"/>
      <c r="AC355" s="124"/>
      <c r="AD355" s="124"/>
      <c r="AE355" s="126" t="inlineStr">
        <is>
          <t xml:space="preserve">Contrato</t>
        </is>
      </c>
    </row>
    <row r="356">
      <c r="A356" s="122">
        <v>46281</v>
      </c>
      <c r="B356" s="123" t="inlineStr">
        <is>
          <t xml:space="preserve">BOTICÁRIO</t>
        </is>
      </c>
      <c r="C356" s="124">
        <v>3</v>
      </c>
      <c r="D356" s="124"/>
      <c r="E356" s="125"/>
      <c r="F356" s="124"/>
      <c r="G356" s="124">
        <v>4287</v>
      </c>
      <c r="H356" s="124">
        <v>135</v>
      </c>
      <c r="I356" s="124">
        <v>420</v>
      </c>
      <c r="J356" s="124"/>
      <c r="K356" s="124"/>
      <c r="L356" s="124">
        <v>8</v>
      </c>
      <c r="M356" s="124">
        <v>29</v>
      </c>
      <c r="N356" s="125"/>
      <c r="O356" s="124"/>
      <c r="P356" s="124"/>
      <c r="Q356" s="124">
        <v>602</v>
      </c>
      <c r="R356" s="124">
        <v>2667</v>
      </c>
      <c r="S356" s="124"/>
      <c r="T356" s="124"/>
      <c r="U356" s="124">
        <v>0</v>
      </c>
      <c r="V356" s="124">
        <v>0</v>
      </c>
      <c r="W356" s="124"/>
      <c r="X356" s="124">
        <v>3500</v>
      </c>
      <c r="Y356" s="124">
        <v>2071</v>
      </c>
      <c r="Z356" s="124">
        <v>12</v>
      </c>
      <c r="AA356" s="124"/>
      <c r="AB356" s="124"/>
      <c r="AC356" s="124"/>
      <c r="AD356" s="124"/>
      <c r="AE356" s="126" t="inlineStr">
        <is>
          <t xml:space="preserve">Contrato</t>
        </is>
      </c>
    </row>
    <row r="357">
      <c r="A357" s="122">
        <v>46281</v>
      </c>
      <c r="B357" s="123" t="inlineStr">
        <is>
          <t xml:space="preserve">SUPPLY</t>
        </is>
      </c>
      <c r="C357" s="124">
        <v>5</v>
      </c>
      <c r="D357" s="124">
        <v>82</v>
      </c>
      <c r="E357" s="125">
        <v>22.93</v>
      </c>
      <c r="F357" s="124"/>
      <c r="G357" s="124"/>
      <c r="H357" s="124"/>
      <c r="I357" s="124"/>
      <c r="J357" s="124"/>
      <c r="K357" s="124"/>
      <c r="L357" s="124">
        <v>7</v>
      </c>
      <c r="M357" s="124">
        <v>144</v>
      </c>
      <c r="N357" s="125">
        <v>30.86</v>
      </c>
      <c r="O357" s="124"/>
      <c r="P357" s="124"/>
      <c r="Q357" s="124"/>
      <c r="R357" s="124"/>
      <c r="S357" s="124"/>
      <c r="T357" s="124"/>
      <c r="U357" s="124">
        <v>0</v>
      </c>
      <c r="V357" s="124">
        <v>0</v>
      </c>
      <c r="W357" s="124"/>
      <c r="X357" s="124">
        <v>1600</v>
      </c>
      <c r="Y357" s="124">
        <v>896</v>
      </c>
      <c r="Z357" s="124">
        <v>6</v>
      </c>
      <c r="AA357" s="124"/>
      <c r="AB357" s="124"/>
      <c r="AC357" s="124">
        <v>1</v>
      </c>
      <c r="AD357" s="124"/>
      <c r="AE357" s="126" t="inlineStr">
        <is>
          <t xml:space="preserve">Spot</t>
        </is>
      </c>
    </row>
    <row r="358">
      <c r="A358" s="122">
        <v>46281</v>
      </c>
      <c r="B358" s="123" t="inlineStr">
        <is>
          <t xml:space="preserve">GE VERNOVA</t>
        </is>
      </c>
      <c r="C358" s="124">
        <v>7</v>
      </c>
      <c r="D358" s="124">
        <v>35</v>
      </c>
      <c r="E358" s="125"/>
      <c r="F358" s="124"/>
      <c r="G358" s="124"/>
      <c r="H358" s="124"/>
      <c r="I358" s="124"/>
      <c r="J358" s="124">
        <v>227</v>
      </c>
      <c r="K358" s="124">
        <v>15</v>
      </c>
      <c r="L358" s="124">
        <v>7</v>
      </c>
      <c r="M358" s="124">
        <v>121</v>
      </c>
      <c r="N358" s="125"/>
      <c r="O358" s="124"/>
      <c r="P358" s="124"/>
      <c r="Q358" s="124"/>
      <c r="R358" s="124"/>
      <c r="S358" s="124">
        <v>241</v>
      </c>
      <c r="T358" s="124">
        <v>86</v>
      </c>
      <c r="U358" s="124">
        <v>0</v>
      </c>
      <c r="V358" s="124">
        <v>0</v>
      </c>
      <c r="W358" s="124">
        <v>14</v>
      </c>
      <c r="X358" s="124">
        <v>900</v>
      </c>
      <c r="Y358" s="124">
        <v>660</v>
      </c>
      <c r="Z358" s="124">
        <v>4</v>
      </c>
      <c r="AA358" s="124">
        <v>1</v>
      </c>
      <c r="AB358" s="124"/>
      <c r="AC358" s="124"/>
      <c r="AD358" s="124"/>
      <c r="AE358" s="126" t="inlineStr">
        <is>
          <t xml:space="preserve">Contrato</t>
        </is>
      </c>
    </row>
    <row r="359">
      <c r="A359" s="122">
        <v>46281</v>
      </c>
      <c r="B359" s="123" t="inlineStr">
        <is>
          <t xml:space="preserve">VESTAS</t>
        </is>
      </c>
      <c r="C359" s="124">
        <v>8</v>
      </c>
      <c r="D359" s="124"/>
      <c r="E359" s="125"/>
      <c r="F359" s="124"/>
      <c r="G359" s="124"/>
      <c r="H359" s="124"/>
      <c r="I359" s="124"/>
      <c r="J359" s="124"/>
      <c r="K359" s="124">
        <v>82</v>
      </c>
      <c r="L359" s="124">
        <v>4</v>
      </c>
      <c r="M359" s="124"/>
      <c r="N359" s="125"/>
      <c r="O359" s="124"/>
      <c r="P359" s="124"/>
      <c r="Q359" s="124"/>
      <c r="R359" s="124"/>
      <c r="S359" s="124"/>
      <c r="T359" s="124">
        <v>22</v>
      </c>
      <c r="U359" s="124">
        <v>0</v>
      </c>
      <c r="V359" s="124">
        <v>0</v>
      </c>
      <c r="W359" s="124">
        <v>4</v>
      </c>
      <c r="X359" s="124">
        <v>600</v>
      </c>
      <c r="Y359" s="124">
        <v>340</v>
      </c>
      <c r="Z359" s="124">
        <v>9</v>
      </c>
      <c r="AA359" s="124">
        <v>1</v>
      </c>
      <c r="AB359" s="124"/>
      <c r="AC359" s="124"/>
      <c r="AD359" s="124"/>
      <c r="AE359" s="126" t="inlineStr">
        <is>
          <t xml:space="preserve">Cross</t>
        </is>
      </c>
    </row>
    <row r="360">
      <c r="A360" s="122">
        <v>46281</v>
      </c>
      <c r="B360" s="123" t="inlineStr">
        <is>
          <t xml:space="preserve">VEDACIT</t>
        </is>
      </c>
      <c r="C360" s="124">
        <v>7</v>
      </c>
      <c r="D360" s="124">
        <v>98</v>
      </c>
      <c r="E360" s="125"/>
      <c r="F360" s="124"/>
      <c r="G360" s="124"/>
      <c r="H360" s="124"/>
      <c r="I360" s="124"/>
      <c r="J360" s="124"/>
      <c r="K360" s="124"/>
      <c r="L360" s="124">
        <v>11</v>
      </c>
      <c r="M360" s="124">
        <v>81</v>
      </c>
      <c r="N360" s="125"/>
      <c r="O360" s="124"/>
      <c r="P360" s="124"/>
      <c r="Q360" s="124"/>
      <c r="R360" s="124"/>
      <c r="S360" s="124"/>
      <c r="T360" s="124"/>
      <c r="U360" s="124">
        <v>0</v>
      </c>
      <c r="V360" s="124">
        <v>0</v>
      </c>
      <c r="W360" s="124"/>
      <c r="X360" s="124">
        <v>1400</v>
      </c>
      <c r="Y360" s="124">
        <v>1083</v>
      </c>
      <c r="Z360" s="124">
        <v>8</v>
      </c>
      <c r="AA360" s="124"/>
      <c r="AB360" s="124"/>
      <c r="AC360" s="124"/>
      <c r="AD360" s="124"/>
      <c r="AE360" s="126" t="inlineStr">
        <is>
          <t xml:space="preserve">Contrato</t>
        </is>
      </c>
    </row>
    <row r="361">
      <c r="A361" s="122">
        <v>46281</v>
      </c>
      <c r="B361" s="123" t="inlineStr">
        <is>
          <t xml:space="preserve">OMNLIFE</t>
        </is>
      </c>
      <c r="C361" s="124">
        <v>5</v>
      </c>
      <c r="D361" s="124">
        <v>102</v>
      </c>
      <c r="E361" s="125"/>
      <c r="F361" s="124"/>
      <c r="G361" s="124"/>
      <c r="H361" s="124"/>
      <c r="I361" s="124"/>
      <c r="J361" s="124"/>
      <c r="K361" s="124"/>
      <c r="L361" s="124">
        <v>4</v>
      </c>
      <c r="M361" s="124">
        <v>58</v>
      </c>
      <c r="N361" s="125"/>
      <c r="O361" s="124"/>
      <c r="P361" s="124"/>
      <c r="Q361" s="124"/>
      <c r="R361" s="124"/>
      <c r="S361" s="124"/>
      <c r="T361" s="124"/>
      <c r="U361" s="124">
        <v>0</v>
      </c>
      <c r="V361" s="124">
        <v>0</v>
      </c>
      <c r="W361" s="124"/>
      <c r="X361" s="124">
        <v>500</v>
      </c>
      <c r="Y361" s="124">
        <v>414</v>
      </c>
      <c r="Z361" s="124">
        <v>6</v>
      </c>
      <c r="AA361" s="124">
        <v>1</v>
      </c>
      <c r="AB361" s="124"/>
      <c r="AC361" s="124"/>
      <c r="AD361" s="124"/>
      <c r="AE361" s="126" t="inlineStr">
        <is>
          <t xml:space="preserve">Spot</t>
        </is>
      </c>
    </row>
    <row r="362">
      <c r="A362" s="122">
        <v>46281</v>
      </c>
      <c r="B362" s="123" t="inlineStr">
        <is>
          <t xml:space="preserve">ALPARGATAS</t>
        </is>
      </c>
      <c r="C362" s="124">
        <v>5</v>
      </c>
      <c r="D362" s="124"/>
      <c r="E362" s="125"/>
      <c r="F362" s="124">
        <v>1124</v>
      </c>
      <c r="G362" s="124"/>
      <c r="H362" s="124"/>
      <c r="I362" s="124"/>
      <c r="J362" s="124"/>
      <c r="K362" s="124"/>
      <c r="L362" s="124">
        <v>6</v>
      </c>
      <c r="M362" s="124"/>
      <c r="N362" s="125"/>
      <c r="O362" s="124">
        <v>1920</v>
      </c>
      <c r="P362" s="124"/>
      <c r="Q362" s="124"/>
      <c r="R362" s="124"/>
      <c r="S362" s="124"/>
      <c r="T362" s="124"/>
      <c r="U362" s="124">
        <v>0</v>
      </c>
      <c r="V362" s="124">
        <v>0</v>
      </c>
      <c r="W362" s="124"/>
      <c r="X362" s="124">
        <v>1800</v>
      </c>
      <c r="Y362" s="124">
        <v>1211</v>
      </c>
      <c r="Z362" s="124">
        <v>4</v>
      </c>
      <c r="AA362" s="124"/>
      <c r="AB362" s="124"/>
      <c r="AC362" s="124"/>
      <c r="AD362" s="124"/>
      <c r="AE362" s="126" t="inlineStr">
        <is>
          <t xml:space="preserve">Contrato</t>
        </is>
      </c>
    </row>
    <row r="363">
      <c r="A363" s="122">
        <v>46282</v>
      </c>
      <c r="B363" s="123" t="inlineStr">
        <is>
          <t xml:space="preserve">BASF</t>
        </is>
      </c>
      <c r="C363" s="124">
        <v>5</v>
      </c>
      <c r="D363" s="124">
        <v>70</v>
      </c>
      <c r="E363" s="125">
        <v>53.3</v>
      </c>
      <c r="F363" s="124"/>
      <c r="G363" s="124"/>
      <c r="H363" s="124"/>
      <c r="I363" s="124"/>
      <c r="J363" s="124"/>
      <c r="K363" s="124"/>
      <c r="L363" s="124">
        <v>5</v>
      </c>
      <c r="M363" s="124">
        <v>125</v>
      </c>
      <c r="N363" s="125">
        <v>106.67</v>
      </c>
      <c r="O363" s="124"/>
      <c r="P363" s="124"/>
      <c r="Q363" s="124"/>
      <c r="R363" s="124"/>
      <c r="S363" s="124"/>
      <c r="T363" s="124"/>
      <c r="U363" s="124">
        <v>0</v>
      </c>
      <c r="V363" s="124">
        <v>0</v>
      </c>
      <c r="W363" s="124"/>
      <c r="X363" s="124">
        <v>2200</v>
      </c>
      <c r="Y363" s="124">
        <v>1814</v>
      </c>
      <c r="Z363" s="124">
        <v>14</v>
      </c>
      <c r="AA363" s="124"/>
      <c r="AB363" s="124"/>
      <c r="AC363" s="124">
        <v>1</v>
      </c>
      <c r="AD363" s="124"/>
      <c r="AE363" s="126" t="inlineStr">
        <is>
          <t xml:space="preserve">Contrato</t>
        </is>
      </c>
    </row>
    <row r="364">
      <c r="A364" s="122">
        <v>46282</v>
      </c>
      <c r="B364" s="123" t="inlineStr">
        <is>
          <t xml:space="preserve">BEAUTYBIZ</t>
        </is>
      </c>
      <c r="C364" s="124">
        <v>4</v>
      </c>
      <c r="D364" s="124">
        <v>77</v>
      </c>
      <c r="E364" s="125"/>
      <c r="F364" s="124">
        <v>1262</v>
      </c>
      <c r="G364" s="124"/>
      <c r="H364" s="124"/>
      <c r="I364" s="124"/>
      <c r="J364" s="124"/>
      <c r="K364" s="124"/>
      <c r="L364" s="124">
        <v>8</v>
      </c>
      <c r="M364" s="124">
        <v>144</v>
      </c>
      <c r="N364" s="125"/>
      <c r="O364" s="124"/>
      <c r="P364" s="124">
        <v>618</v>
      </c>
      <c r="Q364" s="124"/>
      <c r="R364" s="124"/>
      <c r="S364" s="124"/>
      <c r="T364" s="124"/>
      <c r="U364" s="124">
        <v>0</v>
      </c>
      <c r="V364" s="124">
        <v>0</v>
      </c>
      <c r="W364" s="124"/>
      <c r="X364" s="124">
        <v>1200</v>
      </c>
      <c r="Y364" s="124">
        <v>898</v>
      </c>
      <c r="Z364" s="124">
        <v>6</v>
      </c>
      <c r="AA364" s="124"/>
      <c r="AB364" s="124"/>
      <c r="AC364" s="124"/>
      <c r="AD364" s="124"/>
      <c r="AE364" s="126" t="inlineStr">
        <is>
          <t xml:space="preserve">Contrato</t>
        </is>
      </c>
    </row>
    <row r="365">
      <c r="A365" s="122">
        <v>46282</v>
      </c>
      <c r="B365" s="123" t="inlineStr">
        <is>
          <t xml:space="preserve">BOTICÁRIO</t>
        </is>
      </c>
      <c r="C365" s="124">
        <v>6</v>
      </c>
      <c r="D365" s="124"/>
      <c r="E365" s="125"/>
      <c r="F365" s="124"/>
      <c r="G365" s="124">
        <v>5455</v>
      </c>
      <c r="H365" s="124">
        <v>348</v>
      </c>
      <c r="I365" s="124">
        <v>794</v>
      </c>
      <c r="J365" s="124"/>
      <c r="K365" s="124"/>
      <c r="L365" s="124">
        <v>6</v>
      </c>
      <c r="M365" s="124">
        <v>156</v>
      </c>
      <c r="N365" s="125"/>
      <c r="O365" s="124"/>
      <c r="P365" s="124"/>
      <c r="Q365" s="124">
        <v>592</v>
      </c>
      <c r="R365" s="124">
        <v>3855</v>
      </c>
      <c r="S365" s="124"/>
      <c r="T365" s="124"/>
      <c r="U365" s="124">
        <v>0</v>
      </c>
      <c r="V365" s="124">
        <v>0</v>
      </c>
      <c r="W365" s="124">
        <v>7</v>
      </c>
      <c r="X365" s="124">
        <v>3500</v>
      </c>
      <c r="Y365" s="124">
        <v>2412</v>
      </c>
      <c r="Z365" s="124">
        <v>6</v>
      </c>
      <c r="AA365" s="124"/>
      <c r="AB365" s="124"/>
      <c r="AC365" s="124"/>
      <c r="AD365" s="124"/>
      <c r="AE365" s="126" t="inlineStr">
        <is>
          <t xml:space="preserve">Contrato</t>
        </is>
      </c>
    </row>
    <row r="366">
      <c r="A366" s="122">
        <v>46282</v>
      </c>
      <c r="B366" s="123" t="inlineStr">
        <is>
          <t xml:space="preserve">SUPPLY</t>
        </is>
      </c>
      <c r="C366" s="124">
        <v>4</v>
      </c>
      <c r="D366" s="124">
        <v>36</v>
      </c>
      <c r="E366" s="125">
        <v>127.85</v>
      </c>
      <c r="F366" s="124"/>
      <c r="G366" s="124"/>
      <c r="H366" s="124"/>
      <c r="I366" s="124"/>
      <c r="J366" s="124"/>
      <c r="K366" s="124"/>
      <c r="L366" s="124">
        <v>6</v>
      </c>
      <c r="M366" s="124">
        <v>75</v>
      </c>
      <c r="N366" s="125">
        <v>89.41</v>
      </c>
      <c r="O366" s="124"/>
      <c r="P366" s="124"/>
      <c r="Q366" s="124"/>
      <c r="R366" s="124"/>
      <c r="S366" s="124"/>
      <c r="T366" s="124"/>
      <c r="U366" s="124">
        <v>0</v>
      </c>
      <c r="V366" s="124">
        <v>1</v>
      </c>
      <c r="W366" s="124"/>
      <c r="X366" s="124">
        <v>1600</v>
      </c>
      <c r="Y366" s="124">
        <v>1134</v>
      </c>
      <c r="Z366" s="124">
        <v>4</v>
      </c>
      <c r="AA366" s="124"/>
      <c r="AB366" s="124"/>
      <c r="AC366" s="124"/>
      <c r="AD366" s="124"/>
      <c r="AE366" s="126" t="inlineStr">
        <is>
          <t xml:space="preserve">Spot</t>
        </is>
      </c>
    </row>
    <row r="367">
      <c r="A367" s="122">
        <v>46282</v>
      </c>
      <c r="B367" s="123" t="inlineStr">
        <is>
          <t xml:space="preserve">GE VERNOVA</t>
        </is>
      </c>
      <c r="C367" s="124">
        <v>2</v>
      </c>
      <c r="D367" s="124">
        <v>120</v>
      </c>
      <c r="E367" s="125"/>
      <c r="F367" s="124"/>
      <c r="G367" s="124"/>
      <c r="H367" s="124"/>
      <c r="I367" s="124"/>
      <c r="J367" s="124">
        <v>163</v>
      </c>
      <c r="K367" s="124">
        <v>73</v>
      </c>
      <c r="L367" s="124">
        <v>7</v>
      </c>
      <c r="M367" s="124">
        <v>52</v>
      </c>
      <c r="N367" s="125"/>
      <c r="O367" s="124"/>
      <c r="P367" s="124"/>
      <c r="Q367" s="124"/>
      <c r="R367" s="124"/>
      <c r="S367" s="124">
        <v>104</v>
      </c>
      <c r="T367" s="124">
        <v>87</v>
      </c>
      <c r="U367" s="124">
        <v>0</v>
      </c>
      <c r="V367" s="124">
        <v>0</v>
      </c>
      <c r="W367" s="124"/>
      <c r="X367" s="124">
        <v>900</v>
      </c>
      <c r="Y367" s="124">
        <v>786</v>
      </c>
      <c r="Z367" s="124">
        <v>9</v>
      </c>
      <c r="AA367" s="124">
        <v>1</v>
      </c>
      <c r="AB367" s="124"/>
      <c r="AC367" s="124"/>
      <c r="AD367" s="124"/>
      <c r="AE367" s="126" t="inlineStr">
        <is>
          <t xml:space="preserve">Contrato</t>
        </is>
      </c>
    </row>
    <row r="368">
      <c r="A368" s="122">
        <v>46282</v>
      </c>
      <c r="B368" s="123" t="inlineStr">
        <is>
          <t xml:space="preserve">VESTAS</t>
        </is>
      </c>
      <c r="C368" s="124">
        <v>2</v>
      </c>
      <c r="D368" s="124"/>
      <c r="E368" s="125"/>
      <c r="F368" s="124"/>
      <c r="G368" s="124"/>
      <c r="H368" s="124"/>
      <c r="I368" s="124"/>
      <c r="J368" s="124"/>
      <c r="K368" s="124">
        <v>60</v>
      </c>
      <c r="L368" s="124">
        <v>4</v>
      </c>
      <c r="M368" s="124"/>
      <c r="N368" s="125"/>
      <c r="O368" s="124"/>
      <c r="P368" s="124"/>
      <c r="Q368" s="124"/>
      <c r="R368" s="124"/>
      <c r="S368" s="124"/>
      <c r="T368" s="124">
        <v>58</v>
      </c>
      <c r="U368" s="124">
        <v>0</v>
      </c>
      <c r="V368" s="124">
        <v>0</v>
      </c>
      <c r="W368" s="124">
        <v>7</v>
      </c>
      <c r="X368" s="124">
        <v>600</v>
      </c>
      <c r="Y368" s="124">
        <v>359</v>
      </c>
      <c r="Z368" s="124">
        <v>10</v>
      </c>
      <c r="AA368" s="124"/>
      <c r="AB368" s="124"/>
      <c r="AC368" s="124"/>
      <c r="AD368" s="124"/>
      <c r="AE368" s="126" t="inlineStr">
        <is>
          <t xml:space="preserve">Cross</t>
        </is>
      </c>
    </row>
    <row r="369">
      <c r="A369" s="122">
        <v>46282</v>
      </c>
      <c r="B369" s="123" t="inlineStr">
        <is>
          <t xml:space="preserve">VEDACIT</t>
        </is>
      </c>
      <c r="C369" s="124">
        <v>4</v>
      </c>
      <c r="D369" s="124">
        <v>25</v>
      </c>
      <c r="E369" s="125"/>
      <c r="F369" s="124"/>
      <c r="G369" s="124"/>
      <c r="H369" s="124"/>
      <c r="I369" s="124"/>
      <c r="J369" s="124"/>
      <c r="K369" s="124"/>
      <c r="L369" s="124">
        <v>9</v>
      </c>
      <c r="M369" s="124">
        <v>133</v>
      </c>
      <c r="N369" s="125"/>
      <c r="O369" s="124"/>
      <c r="P369" s="124"/>
      <c r="Q369" s="124"/>
      <c r="R369" s="124"/>
      <c r="S369" s="124"/>
      <c r="T369" s="124"/>
      <c r="U369" s="124">
        <v>0</v>
      </c>
      <c r="V369" s="124">
        <v>0</v>
      </c>
      <c r="W369" s="124"/>
      <c r="X369" s="124">
        <v>1400</v>
      </c>
      <c r="Y369" s="124">
        <v>1350</v>
      </c>
      <c r="Z369" s="124">
        <v>4</v>
      </c>
      <c r="AA369" s="124"/>
      <c r="AB369" s="124"/>
      <c r="AC369" s="124"/>
      <c r="AD369" s="124"/>
      <c r="AE369" s="126" t="inlineStr">
        <is>
          <t xml:space="preserve">Contrato</t>
        </is>
      </c>
    </row>
    <row r="370">
      <c r="A370" s="122">
        <v>46282</v>
      </c>
      <c r="B370" s="123" t="inlineStr">
        <is>
          <t xml:space="preserve">OMNLIFE</t>
        </is>
      </c>
      <c r="C370" s="124">
        <v>6</v>
      </c>
      <c r="D370" s="124">
        <v>85</v>
      </c>
      <c r="E370" s="125"/>
      <c r="F370" s="124"/>
      <c r="G370" s="124"/>
      <c r="H370" s="124"/>
      <c r="I370" s="124"/>
      <c r="J370" s="124"/>
      <c r="K370" s="124"/>
      <c r="L370" s="124">
        <v>11</v>
      </c>
      <c r="M370" s="124">
        <v>42</v>
      </c>
      <c r="N370" s="125"/>
      <c r="O370" s="124"/>
      <c r="P370" s="124"/>
      <c r="Q370" s="124"/>
      <c r="R370" s="124"/>
      <c r="S370" s="124"/>
      <c r="T370" s="124"/>
      <c r="U370" s="124">
        <v>0</v>
      </c>
      <c r="V370" s="124">
        <v>0</v>
      </c>
      <c r="W370" s="124"/>
      <c r="X370" s="124">
        <v>500</v>
      </c>
      <c r="Y370" s="124">
        <v>432</v>
      </c>
      <c r="Z370" s="124">
        <v>5</v>
      </c>
      <c r="AA370" s="124"/>
      <c r="AB370" s="124"/>
      <c r="AC370" s="124"/>
      <c r="AD370" s="124"/>
      <c r="AE370" s="126" t="inlineStr">
        <is>
          <t xml:space="preserve">Spot</t>
        </is>
      </c>
    </row>
    <row r="371">
      <c r="A371" s="122">
        <v>46282</v>
      </c>
      <c r="B371" s="123" t="inlineStr">
        <is>
          <t xml:space="preserve">ALPARGATAS</t>
        </is>
      </c>
      <c r="C371" s="124">
        <v>8</v>
      </c>
      <c r="D371" s="124"/>
      <c r="E371" s="125"/>
      <c r="F371" s="124">
        <v>704</v>
      </c>
      <c r="G371" s="124"/>
      <c r="H371" s="124"/>
      <c r="I371" s="124"/>
      <c r="J371" s="124"/>
      <c r="K371" s="124"/>
      <c r="L371" s="124">
        <v>2</v>
      </c>
      <c r="M371" s="124"/>
      <c r="N371" s="125"/>
      <c r="O371" s="124">
        <v>1243</v>
      </c>
      <c r="P371" s="124"/>
      <c r="Q371" s="124"/>
      <c r="R371" s="124"/>
      <c r="S371" s="124"/>
      <c r="T371" s="124"/>
      <c r="U371" s="124">
        <v>0</v>
      </c>
      <c r="V371" s="124">
        <v>0</v>
      </c>
      <c r="W371" s="124"/>
      <c r="X371" s="124">
        <v>1800</v>
      </c>
      <c r="Y371" s="124">
        <v>1268</v>
      </c>
      <c r="Z371" s="124">
        <v>6</v>
      </c>
      <c r="AA371" s="124">
        <v>1</v>
      </c>
      <c r="AB371" s="124"/>
      <c r="AC371" s="124"/>
      <c r="AD371" s="124"/>
      <c r="AE371" s="126" t="inlineStr">
        <is>
          <t xml:space="preserve">Contrato</t>
        </is>
      </c>
    </row>
    <row r="372">
      <c r="A372" s="122">
        <v>46283</v>
      </c>
      <c r="B372" s="123" t="inlineStr">
        <is>
          <t xml:space="preserve">BASF</t>
        </is>
      </c>
      <c r="C372" s="124">
        <v>5</v>
      </c>
      <c r="D372" s="124">
        <v>50</v>
      </c>
      <c r="E372" s="125">
        <v>63.44</v>
      </c>
      <c r="F372" s="124"/>
      <c r="G372" s="124"/>
      <c r="H372" s="124"/>
      <c r="I372" s="124"/>
      <c r="J372" s="124"/>
      <c r="K372" s="124"/>
      <c r="L372" s="124">
        <v>10</v>
      </c>
      <c r="M372" s="124">
        <v>104</v>
      </c>
      <c r="N372" s="125">
        <v>84.91</v>
      </c>
      <c r="O372" s="124"/>
      <c r="P372" s="124"/>
      <c r="Q372" s="124"/>
      <c r="R372" s="124"/>
      <c r="S372" s="124"/>
      <c r="T372" s="124"/>
      <c r="U372" s="124">
        <v>0</v>
      </c>
      <c r="V372" s="124">
        <v>0</v>
      </c>
      <c r="W372" s="124"/>
      <c r="X372" s="124">
        <v>2200</v>
      </c>
      <c r="Y372" s="124">
        <v>1872</v>
      </c>
      <c r="Z372" s="124">
        <v>5</v>
      </c>
      <c r="AA372" s="124"/>
      <c r="AB372" s="124"/>
      <c r="AC372" s="124"/>
      <c r="AD372" s="124"/>
      <c r="AE372" s="126" t="inlineStr">
        <is>
          <t xml:space="preserve">Contrato</t>
        </is>
      </c>
    </row>
    <row r="373">
      <c r="A373" s="122">
        <v>46283</v>
      </c>
      <c r="B373" s="123" t="inlineStr">
        <is>
          <t xml:space="preserve">BEAUTYBIZ</t>
        </is>
      </c>
      <c r="C373" s="124">
        <v>6</v>
      </c>
      <c r="D373" s="124">
        <v>35</v>
      </c>
      <c r="E373" s="125"/>
      <c r="F373" s="124">
        <v>655</v>
      </c>
      <c r="G373" s="124"/>
      <c r="H373" s="124"/>
      <c r="I373" s="124"/>
      <c r="J373" s="124"/>
      <c r="K373" s="124"/>
      <c r="L373" s="124">
        <v>2</v>
      </c>
      <c r="M373" s="124">
        <v>145</v>
      </c>
      <c r="N373" s="125"/>
      <c r="O373" s="124"/>
      <c r="P373" s="124">
        <v>217</v>
      </c>
      <c r="Q373" s="124"/>
      <c r="R373" s="124"/>
      <c r="S373" s="124"/>
      <c r="T373" s="124"/>
      <c r="U373" s="124">
        <v>1</v>
      </c>
      <c r="V373" s="124">
        <v>0</v>
      </c>
      <c r="W373" s="124">
        <v>14</v>
      </c>
      <c r="X373" s="124">
        <v>1200</v>
      </c>
      <c r="Y373" s="124">
        <v>841</v>
      </c>
      <c r="Z373" s="124">
        <v>8</v>
      </c>
      <c r="AA373" s="124"/>
      <c r="AB373" s="124"/>
      <c r="AC373" s="124"/>
      <c r="AD373" s="124"/>
      <c r="AE373" s="126" t="inlineStr">
        <is>
          <t xml:space="preserve">Contrato</t>
        </is>
      </c>
    </row>
    <row r="374">
      <c r="A374" s="122">
        <v>46283</v>
      </c>
      <c r="B374" s="123" t="inlineStr">
        <is>
          <t xml:space="preserve">BOTICÁRIO</t>
        </is>
      </c>
      <c r="C374" s="124">
        <v>4</v>
      </c>
      <c r="D374" s="124"/>
      <c r="E374" s="125"/>
      <c r="F374" s="124"/>
      <c r="G374" s="124">
        <v>4614</v>
      </c>
      <c r="H374" s="124">
        <v>69</v>
      </c>
      <c r="I374" s="124">
        <v>275</v>
      </c>
      <c r="J374" s="124"/>
      <c r="K374" s="124"/>
      <c r="L374" s="124">
        <v>11</v>
      </c>
      <c r="M374" s="124">
        <v>89</v>
      </c>
      <c r="N374" s="125"/>
      <c r="O374" s="124"/>
      <c r="P374" s="124"/>
      <c r="Q374" s="124">
        <v>866</v>
      </c>
      <c r="R374" s="124">
        <v>6567</v>
      </c>
      <c r="S374" s="124"/>
      <c r="T374" s="124"/>
      <c r="U374" s="124">
        <v>0</v>
      </c>
      <c r="V374" s="124">
        <v>0</v>
      </c>
      <c r="W374" s="124">
        <v>5</v>
      </c>
      <c r="X374" s="124">
        <v>3500</v>
      </c>
      <c r="Y374" s="124">
        <v>2944</v>
      </c>
      <c r="Z374" s="124">
        <v>8</v>
      </c>
      <c r="AA374" s="124"/>
      <c r="AB374" s="124"/>
      <c r="AC374" s="124"/>
      <c r="AD374" s="124"/>
      <c r="AE374" s="126" t="inlineStr">
        <is>
          <t xml:space="preserve">Contrato</t>
        </is>
      </c>
    </row>
    <row r="375">
      <c r="A375" s="122">
        <v>46283</v>
      </c>
      <c r="B375" s="123" t="inlineStr">
        <is>
          <t xml:space="preserve">SUPPLY</t>
        </is>
      </c>
      <c r="C375" s="124">
        <v>6</v>
      </c>
      <c r="D375" s="124">
        <v>141</v>
      </c>
      <c r="E375" s="125">
        <v>51.3</v>
      </c>
      <c r="F375" s="124"/>
      <c r="G375" s="124"/>
      <c r="H375" s="124"/>
      <c r="I375" s="124"/>
      <c r="J375" s="124"/>
      <c r="K375" s="124"/>
      <c r="L375" s="124">
        <v>7</v>
      </c>
      <c r="M375" s="124">
        <v>120</v>
      </c>
      <c r="N375" s="125">
        <v>106.59</v>
      </c>
      <c r="O375" s="124"/>
      <c r="P375" s="124"/>
      <c r="Q375" s="124"/>
      <c r="R375" s="124"/>
      <c r="S375" s="124"/>
      <c r="T375" s="124"/>
      <c r="U375" s="124">
        <v>0</v>
      </c>
      <c r="V375" s="124">
        <v>0</v>
      </c>
      <c r="W375" s="124"/>
      <c r="X375" s="124">
        <v>1600</v>
      </c>
      <c r="Y375" s="124">
        <v>1015</v>
      </c>
      <c r="Z375" s="124">
        <v>13</v>
      </c>
      <c r="AA375" s="124"/>
      <c r="AB375" s="124"/>
      <c r="AC375" s="124"/>
      <c r="AD375" s="124"/>
      <c r="AE375" s="126" t="inlineStr">
        <is>
          <t xml:space="preserve">Spot</t>
        </is>
      </c>
    </row>
    <row r="376">
      <c r="A376" s="122">
        <v>46283</v>
      </c>
      <c r="B376" s="123" t="inlineStr">
        <is>
          <t xml:space="preserve">GE VERNOVA</t>
        </is>
      </c>
      <c r="C376" s="124">
        <v>7</v>
      </c>
      <c r="D376" s="124">
        <v>64</v>
      </c>
      <c r="E376" s="125"/>
      <c r="F376" s="124"/>
      <c r="G376" s="124"/>
      <c r="H376" s="124"/>
      <c r="I376" s="124"/>
      <c r="J376" s="124">
        <v>119</v>
      </c>
      <c r="K376" s="124">
        <v>103</v>
      </c>
      <c r="L376" s="124">
        <v>6</v>
      </c>
      <c r="M376" s="124">
        <v>96</v>
      </c>
      <c r="N376" s="125"/>
      <c r="O376" s="124"/>
      <c r="P376" s="124"/>
      <c r="Q376" s="124"/>
      <c r="R376" s="124"/>
      <c r="S376" s="124">
        <v>140</v>
      </c>
      <c r="T376" s="124">
        <v>16</v>
      </c>
      <c r="U376" s="124">
        <v>0</v>
      </c>
      <c r="V376" s="124">
        <v>0</v>
      </c>
      <c r="W376" s="124"/>
      <c r="X376" s="124">
        <v>900</v>
      </c>
      <c r="Y376" s="124">
        <v>718</v>
      </c>
      <c r="Z376" s="124">
        <v>12</v>
      </c>
      <c r="AA376" s="124"/>
      <c r="AB376" s="124"/>
      <c r="AC376" s="124"/>
      <c r="AD376" s="124"/>
      <c r="AE376" s="126" t="inlineStr">
        <is>
          <t xml:space="preserve">Contrato</t>
        </is>
      </c>
    </row>
    <row r="377">
      <c r="A377" s="122">
        <v>46283</v>
      </c>
      <c r="B377" s="123" t="inlineStr">
        <is>
          <t xml:space="preserve">VESTAS</t>
        </is>
      </c>
      <c r="C377" s="124">
        <v>7</v>
      </c>
      <c r="D377" s="124"/>
      <c r="E377" s="125"/>
      <c r="F377" s="124"/>
      <c r="G377" s="124"/>
      <c r="H377" s="124"/>
      <c r="I377" s="124"/>
      <c r="J377" s="124"/>
      <c r="K377" s="124">
        <v>67</v>
      </c>
      <c r="L377" s="124">
        <v>2</v>
      </c>
      <c r="M377" s="124"/>
      <c r="N377" s="125"/>
      <c r="O377" s="124"/>
      <c r="P377" s="124"/>
      <c r="Q377" s="124"/>
      <c r="R377" s="124"/>
      <c r="S377" s="124"/>
      <c r="T377" s="124">
        <v>107</v>
      </c>
      <c r="U377" s="124">
        <v>0</v>
      </c>
      <c r="V377" s="124">
        <v>0</v>
      </c>
      <c r="W377" s="124"/>
      <c r="X377" s="124">
        <v>600</v>
      </c>
      <c r="Y377" s="124">
        <v>464</v>
      </c>
      <c r="Z377" s="124">
        <v>6</v>
      </c>
      <c r="AA377" s="124"/>
      <c r="AB377" s="124"/>
      <c r="AC377" s="124"/>
      <c r="AD377" s="124"/>
      <c r="AE377" s="126" t="inlineStr">
        <is>
          <t xml:space="preserve">Cross</t>
        </is>
      </c>
    </row>
    <row r="378">
      <c r="A378" s="122">
        <v>46283</v>
      </c>
      <c r="B378" s="123" t="inlineStr">
        <is>
          <t xml:space="preserve">VEDACIT</t>
        </is>
      </c>
      <c r="C378" s="124">
        <v>4</v>
      </c>
      <c r="D378" s="124">
        <v>29</v>
      </c>
      <c r="E378" s="125"/>
      <c r="F378" s="124"/>
      <c r="G378" s="124"/>
      <c r="H378" s="124"/>
      <c r="I378" s="124"/>
      <c r="J378" s="124"/>
      <c r="K378" s="124"/>
      <c r="L378" s="124">
        <v>2</v>
      </c>
      <c r="M378" s="124">
        <v>107</v>
      </c>
      <c r="N378" s="125"/>
      <c r="O378" s="124"/>
      <c r="P378" s="124"/>
      <c r="Q378" s="124"/>
      <c r="R378" s="124"/>
      <c r="S378" s="124"/>
      <c r="T378" s="124"/>
      <c r="U378" s="124">
        <v>0</v>
      </c>
      <c r="V378" s="124">
        <v>0</v>
      </c>
      <c r="W378" s="124">
        <v>8</v>
      </c>
      <c r="X378" s="124">
        <v>1400</v>
      </c>
      <c r="Y378" s="124">
        <v>946</v>
      </c>
      <c r="Z378" s="124">
        <v>5</v>
      </c>
      <c r="AA378" s="124"/>
      <c r="AB378" s="124"/>
      <c r="AC378" s="124"/>
      <c r="AD378" s="124"/>
      <c r="AE378" s="126" t="inlineStr">
        <is>
          <t xml:space="preserve">Contrato</t>
        </is>
      </c>
    </row>
    <row r="379">
      <c r="A379" s="122">
        <v>46283</v>
      </c>
      <c r="B379" s="123" t="inlineStr">
        <is>
          <t xml:space="preserve">OMNLIFE</t>
        </is>
      </c>
      <c r="C379" s="124">
        <v>3</v>
      </c>
      <c r="D379" s="124">
        <v>149</v>
      </c>
      <c r="E379" s="125"/>
      <c r="F379" s="124"/>
      <c r="G379" s="124"/>
      <c r="H379" s="124"/>
      <c r="I379" s="124"/>
      <c r="J379" s="124"/>
      <c r="K379" s="124"/>
      <c r="L379" s="124">
        <v>10</v>
      </c>
      <c r="M379" s="124">
        <v>122</v>
      </c>
      <c r="N379" s="125"/>
      <c r="O379" s="124"/>
      <c r="P379" s="124"/>
      <c r="Q379" s="124"/>
      <c r="R379" s="124"/>
      <c r="S379" s="124"/>
      <c r="T379" s="124"/>
      <c r="U379" s="124">
        <v>0</v>
      </c>
      <c r="V379" s="124">
        <v>0</v>
      </c>
      <c r="W379" s="124"/>
      <c r="X379" s="124">
        <v>500</v>
      </c>
      <c r="Y379" s="124">
        <v>390</v>
      </c>
      <c r="Z379" s="124">
        <v>13</v>
      </c>
      <c r="AA379" s="124"/>
      <c r="AB379" s="124"/>
      <c r="AC379" s="124"/>
      <c r="AD379" s="124"/>
      <c r="AE379" s="126" t="inlineStr">
        <is>
          <t xml:space="preserve">Spot</t>
        </is>
      </c>
    </row>
    <row r="380">
      <c r="A380" s="122">
        <v>46283</v>
      </c>
      <c r="B380" s="123" t="inlineStr">
        <is>
          <t xml:space="preserve">ALPARGATAS</t>
        </is>
      </c>
      <c r="C380" s="124">
        <v>4</v>
      </c>
      <c r="D380" s="124"/>
      <c r="E380" s="125"/>
      <c r="F380" s="124">
        <v>2074</v>
      </c>
      <c r="G380" s="124"/>
      <c r="H380" s="124"/>
      <c r="I380" s="124"/>
      <c r="J380" s="124"/>
      <c r="K380" s="124"/>
      <c r="L380" s="124">
        <v>10</v>
      </c>
      <c r="M380" s="124"/>
      <c r="N380" s="125"/>
      <c r="O380" s="124">
        <v>2460</v>
      </c>
      <c r="P380" s="124"/>
      <c r="Q380" s="124"/>
      <c r="R380" s="124"/>
      <c r="S380" s="124"/>
      <c r="T380" s="124"/>
      <c r="U380" s="124">
        <v>0</v>
      </c>
      <c r="V380" s="124">
        <v>0</v>
      </c>
      <c r="W380" s="124"/>
      <c r="X380" s="124">
        <v>1800</v>
      </c>
      <c r="Y380" s="124">
        <v>1375</v>
      </c>
      <c r="Z380" s="124">
        <v>6</v>
      </c>
      <c r="AA380" s="124"/>
      <c r="AB380" s="124"/>
      <c r="AC380" s="124"/>
      <c r="AD380" s="124"/>
      <c r="AE380" s="126" t="inlineStr">
        <is>
          <t xml:space="preserve">Contrato</t>
        </is>
      </c>
    </row>
    <row r="381">
      <c r="A381" s="122">
        <v>46284</v>
      </c>
      <c r="B381" s="123" t="inlineStr">
        <is>
          <t xml:space="preserve">BASF</t>
        </is>
      </c>
      <c r="C381" s="124">
        <v>8</v>
      </c>
      <c r="D381" s="124">
        <v>71</v>
      </c>
      <c r="E381" s="125">
        <v>78.73</v>
      </c>
      <c r="F381" s="124"/>
      <c r="G381" s="124"/>
      <c r="H381" s="124"/>
      <c r="I381" s="124"/>
      <c r="J381" s="124"/>
      <c r="K381" s="124"/>
      <c r="L381" s="124">
        <v>7</v>
      </c>
      <c r="M381" s="124">
        <v>23</v>
      </c>
      <c r="N381" s="125">
        <v>109.19</v>
      </c>
      <c r="O381" s="124"/>
      <c r="P381" s="124"/>
      <c r="Q381" s="124"/>
      <c r="R381" s="124"/>
      <c r="S381" s="124"/>
      <c r="T381" s="124"/>
      <c r="U381" s="124">
        <v>0</v>
      </c>
      <c r="V381" s="124">
        <v>0</v>
      </c>
      <c r="W381" s="124"/>
      <c r="X381" s="124">
        <v>2200</v>
      </c>
      <c r="Y381" s="124">
        <v>1403</v>
      </c>
      <c r="Z381" s="124">
        <v>9</v>
      </c>
      <c r="AA381" s="124"/>
      <c r="AB381" s="124"/>
      <c r="AC381" s="124"/>
      <c r="AD381" s="124"/>
      <c r="AE381" s="126" t="inlineStr">
        <is>
          <t xml:space="preserve">Contrato</t>
        </is>
      </c>
    </row>
    <row r="382">
      <c r="A382" s="122">
        <v>46284</v>
      </c>
      <c r="B382" s="123" t="inlineStr">
        <is>
          <t xml:space="preserve">BEAUTYBIZ</t>
        </is>
      </c>
      <c r="C382" s="124">
        <v>7</v>
      </c>
      <c r="D382" s="124">
        <v>79</v>
      </c>
      <c r="E382" s="125"/>
      <c r="F382" s="124">
        <v>706</v>
      </c>
      <c r="G382" s="124"/>
      <c r="H382" s="124"/>
      <c r="I382" s="124"/>
      <c r="J382" s="124"/>
      <c r="K382" s="124"/>
      <c r="L382" s="124">
        <v>11</v>
      </c>
      <c r="M382" s="124">
        <v>49</v>
      </c>
      <c r="N382" s="125"/>
      <c r="O382" s="124"/>
      <c r="P382" s="124">
        <v>667</v>
      </c>
      <c r="Q382" s="124"/>
      <c r="R382" s="124"/>
      <c r="S382" s="124"/>
      <c r="T382" s="124"/>
      <c r="U382" s="124">
        <v>0</v>
      </c>
      <c r="V382" s="124">
        <v>0</v>
      </c>
      <c r="W382" s="124"/>
      <c r="X382" s="124">
        <v>1200</v>
      </c>
      <c r="Y382" s="124">
        <v>1114</v>
      </c>
      <c r="Z382" s="124">
        <v>8</v>
      </c>
      <c r="AA382" s="124"/>
      <c r="AB382" s="124"/>
      <c r="AC382" s="124"/>
      <c r="AD382" s="124"/>
      <c r="AE382" s="126" t="inlineStr">
        <is>
          <t xml:space="preserve">Contrato</t>
        </is>
      </c>
    </row>
    <row r="383">
      <c r="A383" s="122">
        <v>46284</v>
      </c>
      <c r="B383" s="123" t="inlineStr">
        <is>
          <t xml:space="preserve">BOTICÁRIO</t>
        </is>
      </c>
      <c r="C383" s="124">
        <v>6</v>
      </c>
      <c r="D383" s="124"/>
      <c r="E383" s="125"/>
      <c r="F383" s="124"/>
      <c r="G383" s="124">
        <v>1932</v>
      </c>
      <c r="H383" s="124">
        <v>208</v>
      </c>
      <c r="I383" s="124">
        <v>101</v>
      </c>
      <c r="J383" s="124"/>
      <c r="K383" s="124"/>
      <c r="L383" s="124">
        <v>9</v>
      </c>
      <c r="M383" s="124">
        <v>97</v>
      </c>
      <c r="N383" s="125"/>
      <c r="O383" s="124"/>
      <c r="P383" s="124"/>
      <c r="Q383" s="124">
        <v>416</v>
      </c>
      <c r="R383" s="124">
        <v>7730</v>
      </c>
      <c r="S383" s="124"/>
      <c r="T383" s="124"/>
      <c r="U383" s="124">
        <v>0</v>
      </c>
      <c r="V383" s="124">
        <v>0</v>
      </c>
      <c r="W383" s="124">
        <v>5</v>
      </c>
      <c r="X383" s="124">
        <v>3500</v>
      </c>
      <c r="Y383" s="124">
        <v>2354</v>
      </c>
      <c r="Z383" s="124">
        <v>5</v>
      </c>
      <c r="AA383" s="124"/>
      <c r="AB383" s="124"/>
      <c r="AC383" s="124"/>
      <c r="AD383" s="124"/>
      <c r="AE383" s="126" t="inlineStr">
        <is>
          <t xml:space="preserve">Contrato</t>
        </is>
      </c>
    </row>
    <row r="384">
      <c r="A384" s="122">
        <v>46284</v>
      </c>
      <c r="B384" s="123" t="inlineStr">
        <is>
          <t xml:space="preserve">SUPPLY</t>
        </is>
      </c>
      <c r="C384" s="124">
        <v>6</v>
      </c>
      <c r="D384" s="124">
        <v>153</v>
      </c>
      <c r="E384" s="125">
        <v>38.64</v>
      </c>
      <c r="F384" s="124"/>
      <c r="G384" s="124"/>
      <c r="H384" s="124"/>
      <c r="I384" s="124"/>
      <c r="J384" s="124"/>
      <c r="K384" s="124"/>
      <c r="L384" s="124">
        <v>3</v>
      </c>
      <c r="M384" s="124">
        <v>77</v>
      </c>
      <c r="N384" s="125">
        <v>78.7</v>
      </c>
      <c r="O384" s="124"/>
      <c r="P384" s="124"/>
      <c r="Q384" s="124"/>
      <c r="R384" s="124"/>
      <c r="S384" s="124"/>
      <c r="T384" s="124"/>
      <c r="U384" s="124">
        <v>0</v>
      </c>
      <c r="V384" s="124">
        <v>0</v>
      </c>
      <c r="W384" s="124"/>
      <c r="X384" s="124">
        <v>1600</v>
      </c>
      <c r="Y384" s="124">
        <v>1140</v>
      </c>
      <c r="Z384" s="124">
        <v>6</v>
      </c>
      <c r="AA384" s="124">
        <v>1</v>
      </c>
      <c r="AB384" s="124"/>
      <c r="AC384" s="124"/>
      <c r="AD384" s="124"/>
      <c r="AE384" s="126" t="inlineStr">
        <is>
          <t xml:space="preserve">Spot</t>
        </is>
      </c>
    </row>
    <row r="385">
      <c r="A385" s="122">
        <v>46284</v>
      </c>
      <c r="B385" s="123" t="inlineStr">
        <is>
          <t xml:space="preserve">GE VERNOVA</t>
        </is>
      </c>
      <c r="C385" s="124">
        <v>6</v>
      </c>
      <c r="D385" s="124">
        <v>47</v>
      </c>
      <c r="E385" s="125"/>
      <c r="F385" s="124"/>
      <c r="G385" s="124"/>
      <c r="H385" s="124"/>
      <c r="I385" s="124"/>
      <c r="J385" s="124">
        <v>405</v>
      </c>
      <c r="K385" s="124">
        <v>63</v>
      </c>
      <c r="L385" s="124">
        <v>2</v>
      </c>
      <c r="M385" s="124">
        <v>157</v>
      </c>
      <c r="N385" s="125"/>
      <c r="O385" s="124"/>
      <c r="P385" s="124"/>
      <c r="Q385" s="124"/>
      <c r="R385" s="124"/>
      <c r="S385" s="124">
        <v>529</v>
      </c>
      <c r="T385" s="124">
        <v>58</v>
      </c>
      <c r="U385" s="124">
        <v>0</v>
      </c>
      <c r="V385" s="124">
        <v>0</v>
      </c>
      <c r="W385" s="124">
        <v>13</v>
      </c>
      <c r="X385" s="124">
        <v>900</v>
      </c>
      <c r="Y385" s="124">
        <v>577</v>
      </c>
      <c r="Z385" s="124">
        <v>8</v>
      </c>
      <c r="AA385" s="124"/>
      <c r="AB385" s="124"/>
      <c r="AC385" s="124"/>
      <c r="AD385" s="124"/>
      <c r="AE385" s="126" t="inlineStr">
        <is>
          <t xml:space="preserve">Contrato</t>
        </is>
      </c>
    </row>
    <row r="386">
      <c r="A386" s="122">
        <v>46284</v>
      </c>
      <c r="B386" s="123" t="inlineStr">
        <is>
          <t xml:space="preserve">VESTAS</t>
        </is>
      </c>
      <c r="C386" s="124">
        <v>4</v>
      </c>
      <c r="D386" s="124"/>
      <c r="E386" s="125"/>
      <c r="F386" s="124"/>
      <c r="G386" s="124"/>
      <c r="H386" s="124"/>
      <c r="I386" s="124"/>
      <c r="J386" s="124"/>
      <c r="K386" s="124">
        <v>21</v>
      </c>
      <c r="L386" s="124">
        <v>10</v>
      </c>
      <c r="M386" s="124"/>
      <c r="N386" s="125"/>
      <c r="O386" s="124"/>
      <c r="P386" s="124"/>
      <c r="Q386" s="124"/>
      <c r="R386" s="124"/>
      <c r="S386" s="124"/>
      <c r="T386" s="124">
        <v>117</v>
      </c>
      <c r="U386" s="124">
        <v>0</v>
      </c>
      <c r="V386" s="124">
        <v>0</v>
      </c>
      <c r="W386" s="124">
        <v>3</v>
      </c>
      <c r="X386" s="124">
        <v>600</v>
      </c>
      <c r="Y386" s="124">
        <v>345</v>
      </c>
      <c r="Z386" s="124">
        <v>13</v>
      </c>
      <c r="AA386" s="124"/>
      <c r="AB386" s="124">
        <v>1</v>
      </c>
      <c r="AC386" s="124"/>
      <c r="AD386" s="124"/>
      <c r="AE386" s="126" t="inlineStr">
        <is>
          <t xml:space="preserve">Cross</t>
        </is>
      </c>
    </row>
    <row r="387">
      <c r="A387" s="122">
        <v>46284</v>
      </c>
      <c r="B387" s="123" t="inlineStr">
        <is>
          <t xml:space="preserve">VEDACIT</t>
        </is>
      </c>
      <c r="C387" s="124">
        <v>3</v>
      </c>
      <c r="D387" s="124">
        <v>32</v>
      </c>
      <c r="E387" s="125"/>
      <c r="F387" s="124"/>
      <c r="G387" s="124"/>
      <c r="H387" s="124"/>
      <c r="I387" s="124"/>
      <c r="J387" s="124"/>
      <c r="K387" s="124"/>
      <c r="L387" s="124">
        <v>6</v>
      </c>
      <c r="M387" s="124">
        <v>55</v>
      </c>
      <c r="N387" s="125"/>
      <c r="O387" s="124"/>
      <c r="P387" s="124"/>
      <c r="Q387" s="124"/>
      <c r="R387" s="124"/>
      <c r="S387" s="124"/>
      <c r="T387" s="124"/>
      <c r="U387" s="124">
        <v>0</v>
      </c>
      <c r="V387" s="124">
        <v>0</v>
      </c>
      <c r="W387" s="124"/>
      <c r="X387" s="124">
        <v>1400</v>
      </c>
      <c r="Y387" s="124">
        <v>1233</v>
      </c>
      <c r="Z387" s="124">
        <v>10</v>
      </c>
      <c r="AA387" s="124">
        <v>1</v>
      </c>
      <c r="AB387" s="124"/>
      <c r="AC387" s="124">
        <v>1</v>
      </c>
      <c r="AD387" s="124"/>
      <c r="AE387" s="126" t="inlineStr">
        <is>
          <t xml:space="preserve">Contrato</t>
        </is>
      </c>
    </row>
    <row r="388">
      <c r="A388" s="122">
        <v>46284</v>
      </c>
      <c r="B388" s="123" t="inlineStr">
        <is>
          <t xml:space="preserve">OMNLIFE</t>
        </is>
      </c>
      <c r="C388" s="124">
        <v>2</v>
      </c>
      <c r="D388" s="124">
        <v>117</v>
      </c>
      <c r="E388" s="125"/>
      <c r="F388" s="124"/>
      <c r="G388" s="124"/>
      <c r="H388" s="124"/>
      <c r="I388" s="124"/>
      <c r="J388" s="124"/>
      <c r="K388" s="124"/>
      <c r="L388" s="124">
        <v>9</v>
      </c>
      <c r="M388" s="124">
        <v>159</v>
      </c>
      <c r="N388" s="125"/>
      <c r="O388" s="124"/>
      <c r="P388" s="124"/>
      <c r="Q388" s="124"/>
      <c r="R388" s="124"/>
      <c r="S388" s="124"/>
      <c r="T388" s="124"/>
      <c r="U388" s="124">
        <v>0</v>
      </c>
      <c r="V388" s="124">
        <v>1</v>
      </c>
      <c r="W388" s="124"/>
      <c r="X388" s="124">
        <v>500</v>
      </c>
      <c r="Y388" s="124">
        <v>361</v>
      </c>
      <c r="Z388" s="124">
        <v>12</v>
      </c>
      <c r="AA388" s="124"/>
      <c r="AB388" s="124"/>
      <c r="AC388" s="124"/>
      <c r="AD388" s="124"/>
      <c r="AE388" s="126" t="inlineStr">
        <is>
          <t xml:space="preserve">Spot</t>
        </is>
      </c>
    </row>
    <row r="389">
      <c r="A389" s="122">
        <v>46284</v>
      </c>
      <c r="B389" s="123" t="inlineStr">
        <is>
          <t xml:space="preserve">ALPARGATAS</t>
        </is>
      </c>
      <c r="C389" s="124">
        <v>5</v>
      </c>
      <c r="D389" s="124"/>
      <c r="E389" s="125"/>
      <c r="F389" s="124">
        <v>1269</v>
      </c>
      <c r="G389" s="124"/>
      <c r="H389" s="124"/>
      <c r="I389" s="124"/>
      <c r="J389" s="124"/>
      <c r="K389" s="124"/>
      <c r="L389" s="124">
        <v>6</v>
      </c>
      <c r="M389" s="124"/>
      <c r="N389" s="125"/>
      <c r="O389" s="124">
        <v>2067</v>
      </c>
      <c r="P389" s="124"/>
      <c r="Q389" s="124"/>
      <c r="R389" s="124"/>
      <c r="S389" s="124"/>
      <c r="T389" s="124"/>
      <c r="U389" s="124">
        <v>0</v>
      </c>
      <c r="V389" s="124">
        <v>0</v>
      </c>
      <c r="W389" s="124">
        <v>13</v>
      </c>
      <c r="X389" s="124">
        <v>1800</v>
      </c>
      <c r="Y389" s="124">
        <v>1674</v>
      </c>
      <c r="Z389" s="124">
        <v>10</v>
      </c>
      <c r="AA389" s="124"/>
      <c r="AB389" s="124">
        <v>1</v>
      </c>
      <c r="AC389" s="124"/>
      <c r="AD389" s="124"/>
      <c r="AE389" s="126" t="inlineStr">
        <is>
          <t xml:space="preserve">Contrato</t>
        </is>
      </c>
    </row>
    <row r="390">
      <c r="A390" s="122">
        <v>46286</v>
      </c>
      <c r="B390" s="123" t="inlineStr">
        <is>
          <t xml:space="preserve">BASF</t>
        </is>
      </c>
      <c r="C390" s="124">
        <v>8</v>
      </c>
      <c r="D390" s="124">
        <v>159</v>
      </c>
      <c r="E390" s="125">
        <v>78.58</v>
      </c>
      <c r="F390" s="124"/>
      <c r="G390" s="124"/>
      <c r="H390" s="124"/>
      <c r="I390" s="124"/>
      <c r="J390" s="124"/>
      <c r="K390" s="124"/>
      <c r="L390" s="124">
        <v>3</v>
      </c>
      <c r="M390" s="124">
        <v>115</v>
      </c>
      <c r="N390" s="125">
        <v>127.4</v>
      </c>
      <c r="O390" s="124"/>
      <c r="P390" s="124"/>
      <c r="Q390" s="124"/>
      <c r="R390" s="124"/>
      <c r="S390" s="124"/>
      <c r="T390" s="124"/>
      <c r="U390" s="124">
        <v>0</v>
      </c>
      <c r="V390" s="124">
        <v>1</v>
      </c>
      <c r="W390" s="124">
        <v>15</v>
      </c>
      <c r="X390" s="124">
        <v>2200</v>
      </c>
      <c r="Y390" s="124">
        <v>1794</v>
      </c>
      <c r="Z390" s="124">
        <v>7</v>
      </c>
      <c r="AA390" s="124"/>
      <c r="AB390" s="124"/>
      <c r="AC390" s="124"/>
      <c r="AD390" s="124"/>
      <c r="AE390" s="126" t="inlineStr">
        <is>
          <t xml:space="preserve">Contrato</t>
        </is>
      </c>
    </row>
    <row r="391">
      <c r="A391" s="122">
        <v>46286</v>
      </c>
      <c r="B391" s="123" t="inlineStr">
        <is>
          <t xml:space="preserve">BEAUTYBIZ</t>
        </is>
      </c>
      <c r="C391" s="124">
        <v>7</v>
      </c>
      <c r="D391" s="124">
        <v>48</v>
      </c>
      <c r="E391" s="125"/>
      <c r="F391" s="124">
        <v>1713</v>
      </c>
      <c r="G391" s="124"/>
      <c r="H391" s="124"/>
      <c r="I391" s="124"/>
      <c r="J391" s="124"/>
      <c r="K391" s="124"/>
      <c r="L391" s="124">
        <v>8</v>
      </c>
      <c r="M391" s="124">
        <v>112</v>
      </c>
      <c r="N391" s="125"/>
      <c r="O391" s="124"/>
      <c r="P391" s="124">
        <v>93</v>
      </c>
      <c r="Q391" s="124"/>
      <c r="R391" s="124"/>
      <c r="S391" s="124"/>
      <c r="T391" s="124"/>
      <c r="U391" s="124">
        <v>0</v>
      </c>
      <c r="V391" s="124">
        <v>0</v>
      </c>
      <c r="W391" s="124"/>
      <c r="X391" s="124">
        <v>1200</v>
      </c>
      <c r="Y391" s="124">
        <v>829</v>
      </c>
      <c r="Z391" s="124">
        <v>6</v>
      </c>
      <c r="AA391" s="124">
        <v>1</v>
      </c>
      <c r="AB391" s="124">
        <v>1</v>
      </c>
      <c r="AC391" s="124">
        <v>1</v>
      </c>
      <c r="AD391" s="124"/>
      <c r="AE391" s="126" t="inlineStr">
        <is>
          <t xml:space="preserve">Contrato</t>
        </is>
      </c>
    </row>
    <row r="392">
      <c r="A392" s="122">
        <v>46286</v>
      </c>
      <c r="B392" s="123" t="inlineStr">
        <is>
          <t xml:space="preserve">BOTICÁRIO</t>
        </is>
      </c>
      <c r="C392" s="124">
        <v>7</v>
      </c>
      <c r="D392" s="124"/>
      <c r="E392" s="125"/>
      <c r="F392" s="124"/>
      <c r="G392" s="124">
        <v>4379</v>
      </c>
      <c r="H392" s="124">
        <v>115</v>
      </c>
      <c r="I392" s="124">
        <v>173</v>
      </c>
      <c r="J392" s="124"/>
      <c r="K392" s="124"/>
      <c r="L392" s="124">
        <v>8</v>
      </c>
      <c r="M392" s="124">
        <v>129</v>
      </c>
      <c r="N392" s="125"/>
      <c r="O392" s="124"/>
      <c r="P392" s="124"/>
      <c r="Q392" s="124">
        <v>1195</v>
      </c>
      <c r="R392" s="124">
        <v>3742</v>
      </c>
      <c r="S392" s="124"/>
      <c r="T392" s="124"/>
      <c r="U392" s="124">
        <v>0</v>
      </c>
      <c r="V392" s="124">
        <v>0</v>
      </c>
      <c r="W392" s="124"/>
      <c r="X392" s="124">
        <v>3500</v>
      </c>
      <c r="Y392" s="124">
        <v>2860</v>
      </c>
      <c r="Z392" s="124">
        <v>10</v>
      </c>
      <c r="AA392" s="124"/>
      <c r="AB392" s="124"/>
      <c r="AC392" s="124"/>
      <c r="AD392" s="124"/>
      <c r="AE392" s="126" t="inlineStr">
        <is>
          <t xml:space="preserve">Contrato</t>
        </is>
      </c>
    </row>
    <row r="393">
      <c r="A393" s="122">
        <v>46286</v>
      </c>
      <c r="B393" s="123" t="inlineStr">
        <is>
          <t xml:space="preserve">SUPPLY</t>
        </is>
      </c>
      <c r="C393" s="124">
        <v>5</v>
      </c>
      <c r="D393" s="124">
        <v>34</v>
      </c>
      <c r="E393" s="125">
        <v>130.69</v>
      </c>
      <c r="F393" s="124"/>
      <c r="G393" s="124"/>
      <c r="H393" s="124"/>
      <c r="I393" s="124"/>
      <c r="J393" s="124"/>
      <c r="K393" s="124"/>
      <c r="L393" s="124">
        <v>5</v>
      </c>
      <c r="M393" s="124">
        <v>47</v>
      </c>
      <c r="N393" s="125">
        <v>75.03</v>
      </c>
      <c r="O393" s="124"/>
      <c r="P393" s="124"/>
      <c r="Q393" s="124"/>
      <c r="R393" s="124"/>
      <c r="S393" s="124"/>
      <c r="T393" s="124"/>
      <c r="U393" s="124">
        <v>0</v>
      </c>
      <c r="V393" s="124">
        <v>0</v>
      </c>
      <c r="W393" s="124"/>
      <c r="X393" s="124">
        <v>1600</v>
      </c>
      <c r="Y393" s="124">
        <v>1253</v>
      </c>
      <c r="Z393" s="124">
        <v>5</v>
      </c>
      <c r="AA393" s="124"/>
      <c r="AB393" s="124"/>
      <c r="AC393" s="124"/>
      <c r="AD393" s="124"/>
      <c r="AE393" s="126" t="inlineStr">
        <is>
          <t xml:space="preserve">Spot</t>
        </is>
      </c>
    </row>
    <row r="394">
      <c r="A394" s="122">
        <v>46286</v>
      </c>
      <c r="B394" s="123" t="inlineStr">
        <is>
          <t xml:space="preserve">GE VERNOVA</t>
        </is>
      </c>
      <c r="C394" s="124">
        <v>3</v>
      </c>
      <c r="D394" s="124">
        <v>74</v>
      </c>
      <c r="E394" s="125"/>
      <c r="F394" s="124"/>
      <c r="G394" s="124"/>
      <c r="H394" s="124"/>
      <c r="I394" s="124"/>
      <c r="J394" s="124">
        <v>385</v>
      </c>
      <c r="K394" s="124">
        <v>49</v>
      </c>
      <c r="L394" s="124">
        <v>8</v>
      </c>
      <c r="M394" s="124">
        <v>43</v>
      </c>
      <c r="N394" s="125"/>
      <c r="O394" s="124"/>
      <c r="P394" s="124"/>
      <c r="Q394" s="124"/>
      <c r="R394" s="124"/>
      <c r="S394" s="124">
        <v>131</v>
      </c>
      <c r="T394" s="124">
        <v>40</v>
      </c>
      <c r="U394" s="124">
        <v>0</v>
      </c>
      <c r="V394" s="124">
        <v>0</v>
      </c>
      <c r="W394" s="124">
        <v>2</v>
      </c>
      <c r="X394" s="124">
        <v>900</v>
      </c>
      <c r="Y394" s="124">
        <v>507</v>
      </c>
      <c r="Z394" s="124">
        <v>11</v>
      </c>
      <c r="AA394" s="124"/>
      <c r="AB394" s="124"/>
      <c r="AC394" s="124"/>
      <c r="AD394" s="124"/>
      <c r="AE394" s="126" t="inlineStr">
        <is>
          <t xml:space="preserve">Contrato</t>
        </is>
      </c>
    </row>
    <row r="395">
      <c r="A395" s="122">
        <v>46286</v>
      </c>
      <c r="B395" s="123" t="inlineStr">
        <is>
          <t xml:space="preserve">VESTAS</t>
        </is>
      </c>
      <c r="C395" s="124">
        <v>7</v>
      </c>
      <c r="D395" s="124"/>
      <c r="E395" s="125"/>
      <c r="F395" s="124"/>
      <c r="G395" s="124"/>
      <c r="H395" s="124"/>
      <c r="I395" s="124"/>
      <c r="J395" s="124"/>
      <c r="K395" s="124">
        <v>21</v>
      </c>
      <c r="L395" s="124">
        <v>10</v>
      </c>
      <c r="M395" s="124"/>
      <c r="N395" s="125"/>
      <c r="O395" s="124"/>
      <c r="P395" s="124"/>
      <c r="Q395" s="124"/>
      <c r="R395" s="124"/>
      <c r="S395" s="124"/>
      <c r="T395" s="124">
        <v>54</v>
      </c>
      <c r="U395" s="124">
        <v>0</v>
      </c>
      <c r="V395" s="124">
        <v>0</v>
      </c>
      <c r="W395" s="124"/>
      <c r="X395" s="124">
        <v>600</v>
      </c>
      <c r="Y395" s="124">
        <v>421</v>
      </c>
      <c r="Z395" s="124">
        <v>11</v>
      </c>
      <c r="AA395" s="124">
        <v>1</v>
      </c>
      <c r="AB395" s="124">
        <v>1</v>
      </c>
      <c r="AC395" s="124"/>
      <c r="AD395" s="124"/>
      <c r="AE395" s="126" t="inlineStr">
        <is>
          <t xml:space="preserve">Cross</t>
        </is>
      </c>
    </row>
    <row r="396">
      <c r="A396" s="122">
        <v>46286</v>
      </c>
      <c r="B396" s="123" t="inlineStr">
        <is>
          <t xml:space="preserve">VEDACIT</t>
        </is>
      </c>
      <c r="C396" s="124">
        <v>7</v>
      </c>
      <c r="D396" s="124">
        <v>97</v>
      </c>
      <c r="E396" s="125"/>
      <c r="F396" s="124"/>
      <c r="G396" s="124"/>
      <c r="H396" s="124"/>
      <c r="I396" s="124"/>
      <c r="J396" s="124"/>
      <c r="K396" s="124"/>
      <c r="L396" s="124">
        <v>8</v>
      </c>
      <c r="M396" s="124">
        <v>29</v>
      </c>
      <c r="N396" s="125"/>
      <c r="O396" s="124"/>
      <c r="P396" s="124"/>
      <c r="Q396" s="124"/>
      <c r="R396" s="124"/>
      <c r="S396" s="124"/>
      <c r="T396" s="124"/>
      <c r="U396" s="124">
        <v>0</v>
      </c>
      <c r="V396" s="124">
        <v>0</v>
      </c>
      <c r="W396" s="124"/>
      <c r="X396" s="124">
        <v>1400</v>
      </c>
      <c r="Y396" s="124">
        <v>1114</v>
      </c>
      <c r="Z396" s="124">
        <v>9</v>
      </c>
      <c r="AA396" s="124"/>
      <c r="AB396" s="124">
        <v>1</v>
      </c>
      <c r="AC396" s="124"/>
      <c r="AD396" s="124"/>
      <c r="AE396" s="126" t="inlineStr">
        <is>
          <t xml:space="preserve">Contrato</t>
        </is>
      </c>
    </row>
    <row r="397">
      <c r="A397" s="122">
        <v>46286</v>
      </c>
      <c r="B397" s="123" t="inlineStr">
        <is>
          <t xml:space="preserve">OMNLIFE</t>
        </is>
      </c>
      <c r="C397" s="124">
        <v>8</v>
      </c>
      <c r="D397" s="124">
        <v>77</v>
      </c>
      <c r="E397" s="125"/>
      <c r="F397" s="124"/>
      <c r="G397" s="124"/>
      <c r="H397" s="124"/>
      <c r="I397" s="124"/>
      <c r="J397" s="124"/>
      <c r="K397" s="124"/>
      <c r="L397" s="124">
        <v>7</v>
      </c>
      <c r="M397" s="124">
        <v>140</v>
      </c>
      <c r="N397" s="125"/>
      <c r="O397" s="124"/>
      <c r="P397" s="124"/>
      <c r="Q397" s="124"/>
      <c r="R397" s="124"/>
      <c r="S397" s="124"/>
      <c r="T397" s="124"/>
      <c r="U397" s="124">
        <v>0</v>
      </c>
      <c r="V397" s="124">
        <v>1</v>
      </c>
      <c r="W397" s="124"/>
      <c r="X397" s="124">
        <v>500</v>
      </c>
      <c r="Y397" s="124">
        <v>398</v>
      </c>
      <c r="Z397" s="124">
        <v>8</v>
      </c>
      <c r="AA397" s="124"/>
      <c r="AB397" s="124"/>
      <c r="AC397" s="124"/>
      <c r="AD397" s="124"/>
      <c r="AE397" s="126" t="inlineStr">
        <is>
          <t xml:space="preserve">Spot</t>
        </is>
      </c>
    </row>
    <row r="398">
      <c r="A398" s="122">
        <v>46286</v>
      </c>
      <c r="B398" s="123" t="inlineStr">
        <is>
          <t xml:space="preserve">ALPARGATAS</t>
        </is>
      </c>
      <c r="C398" s="124">
        <v>5</v>
      </c>
      <c r="D398" s="124"/>
      <c r="E398" s="125"/>
      <c r="F398" s="124">
        <v>1015</v>
      </c>
      <c r="G398" s="124"/>
      <c r="H398" s="124"/>
      <c r="I398" s="124"/>
      <c r="J398" s="124"/>
      <c r="K398" s="124"/>
      <c r="L398" s="124">
        <v>7</v>
      </c>
      <c r="M398" s="124"/>
      <c r="N398" s="125"/>
      <c r="O398" s="124">
        <v>1768</v>
      </c>
      <c r="P398" s="124"/>
      <c r="Q398" s="124"/>
      <c r="R398" s="124"/>
      <c r="S398" s="124"/>
      <c r="T398" s="124"/>
      <c r="U398" s="124">
        <v>0</v>
      </c>
      <c r="V398" s="124">
        <v>0</v>
      </c>
      <c r="W398" s="124"/>
      <c r="X398" s="124">
        <v>1800</v>
      </c>
      <c r="Y398" s="124">
        <v>1247</v>
      </c>
      <c r="Z398" s="124">
        <v>9</v>
      </c>
      <c r="AA398" s="124">
        <v>1</v>
      </c>
      <c r="AB398" s="124"/>
      <c r="AC398" s="124"/>
      <c r="AD398" s="124"/>
      <c r="AE398" s="126" t="inlineStr">
        <is>
          <t xml:space="preserve">Contrato</t>
        </is>
      </c>
    </row>
    <row r="399">
      <c r="A399" s="122">
        <v>46287</v>
      </c>
      <c r="B399" s="123" t="inlineStr">
        <is>
          <t xml:space="preserve">BASF</t>
        </is>
      </c>
      <c r="C399" s="124">
        <v>4</v>
      </c>
      <c r="D399" s="124">
        <v>77</v>
      </c>
      <c r="E399" s="125">
        <v>126.57</v>
      </c>
      <c r="F399" s="124"/>
      <c r="G399" s="124"/>
      <c r="H399" s="124"/>
      <c r="I399" s="124"/>
      <c r="J399" s="124"/>
      <c r="K399" s="124"/>
      <c r="L399" s="124">
        <v>4</v>
      </c>
      <c r="M399" s="124">
        <v>157</v>
      </c>
      <c r="N399" s="125">
        <v>126.57</v>
      </c>
      <c r="O399" s="124"/>
      <c r="P399" s="124"/>
      <c r="Q399" s="124"/>
      <c r="R399" s="124"/>
      <c r="S399" s="124"/>
      <c r="T399" s="124"/>
      <c r="U399" s="124">
        <v>0</v>
      </c>
      <c r="V399" s="124">
        <v>0</v>
      </c>
      <c r="W399" s="124">
        <v>6</v>
      </c>
      <c r="X399" s="124">
        <v>2200</v>
      </c>
      <c r="Y399" s="124">
        <v>1334</v>
      </c>
      <c r="Z399" s="124">
        <v>12</v>
      </c>
      <c r="AA399" s="124"/>
      <c r="AB399" s="124"/>
      <c r="AC399" s="124"/>
      <c r="AD399" s="124"/>
      <c r="AE399" s="126" t="inlineStr">
        <is>
          <t xml:space="preserve">Contrato</t>
        </is>
      </c>
    </row>
    <row r="400">
      <c r="A400" s="122">
        <v>46287</v>
      </c>
      <c r="B400" s="123" t="inlineStr">
        <is>
          <t xml:space="preserve">BEAUTYBIZ</t>
        </is>
      </c>
      <c r="C400" s="124">
        <v>8</v>
      </c>
      <c r="D400" s="124">
        <v>44</v>
      </c>
      <c r="E400" s="125"/>
      <c r="F400" s="124">
        <v>870</v>
      </c>
      <c r="G400" s="124"/>
      <c r="H400" s="124"/>
      <c r="I400" s="124"/>
      <c r="J400" s="124"/>
      <c r="K400" s="124"/>
      <c r="L400" s="124">
        <v>8</v>
      </c>
      <c r="M400" s="124">
        <v>47</v>
      </c>
      <c r="N400" s="125"/>
      <c r="O400" s="124"/>
      <c r="P400" s="124">
        <v>366</v>
      </c>
      <c r="Q400" s="124"/>
      <c r="R400" s="124"/>
      <c r="S400" s="124"/>
      <c r="T400" s="124"/>
      <c r="U400" s="124">
        <v>0</v>
      </c>
      <c r="V400" s="124">
        <v>0</v>
      </c>
      <c r="W400" s="124"/>
      <c r="X400" s="124">
        <v>1200</v>
      </c>
      <c r="Y400" s="124">
        <v>712</v>
      </c>
      <c r="Z400" s="124">
        <v>11</v>
      </c>
      <c r="AA400" s="124"/>
      <c r="AB400" s="124"/>
      <c r="AC400" s="124"/>
      <c r="AD400" s="124"/>
      <c r="AE400" s="126" t="inlineStr">
        <is>
          <t xml:space="preserve">Contrato</t>
        </is>
      </c>
    </row>
    <row r="401">
      <c r="A401" s="122">
        <v>46287</v>
      </c>
      <c r="B401" s="123" t="inlineStr">
        <is>
          <t xml:space="preserve">BOTICÁRIO</t>
        </is>
      </c>
      <c r="C401" s="124">
        <v>8</v>
      </c>
      <c r="D401" s="124"/>
      <c r="E401" s="125"/>
      <c r="F401" s="124"/>
      <c r="G401" s="124">
        <v>2838</v>
      </c>
      <c r="H401" s="124">
        <v>292</v>
      </c>
      <c r="I401" s="124">
        <v>256</v>
      </c>
      <c r="J401" s="124"/>
      <c r="K401" s="124"/>
      <c r="L401" s="124">
        <v>8</v>
      </c>
      <c r="M401" s="124">
        <v>60</v>
      </c>
      <c r="N401" s="125"/>
      <c r="O401" s="124"/>
      <c r="P401" s="124"/>
      <c r="Q401" s="124">
        <v>739</v>
      </c>
      <c r="R401" s="124">
        <v>8821</v>
      </c>
      <c r="S401" s="124"/>
      <c r="T401" s="124"/>
      <c r="U401" s="124">
        <v>0</v>
      </c>
      <c r="V401" s="124">
        <v>0</v>
      </c>
      <c r="W401" s="124"/>
      <c r="X401" s="124">
        <v>3500</v>
      </c>
      <c r="Y401" s="124">
        <v>2499</v>
      </c>
      <c r="Z401" s="124">
        <v>6</v>
      </c>
      <c r="AA401" s="124"/>
      <c r="AB401" s="124"/>
      <c r="AC401" s="124"/>
      <c r="AD401" s="124"/>
      <c r="AE401" s="126" t="inlineStr">
        <is>
          <t xml:space="preserve">Contrato</t>
        </is>
      </c>
    </row>
    <row r="402">
      <c r="A402" s="122">
        <v>46287</v>
      </c>
      <c r="B402" s="123" t="inlineStr">
        <is>
          <t xml:space="preserve">SUPPLY</t>
        </is>
      </c>
      <c r="C402" s="124">
        <v>7</v>
      </c>
      <c r="D402" s="124">
        <v>53</v>
      </c>
      <c r="E402" s="125">
        <v>107.84</v>
      </c>
      <c r="F402" s="124"/>
      <c r="G402" s="124"/>
      <c r="H402" s="124"/>
      <c r="I402" s="124"/>
      <c r="J402" s="124"/>
      <c r="K402" s="124"/>
      <c r="L402" s="124">
        <v>9</v>
      </c>
      <c r="M402" s="124">
        <v>151</v>
      </c>
      <c r="N402" s="125">
        <v>119.17</v>
      </c>
      <c r="O402" s="124"/>
      <c r="P402" s="124"/>
      <c r="Q402" s="124"/>
      <c r="R402" s="124"/>
      <c r="S402" s="124"/>
      <c r="T402" s="124"/>
      <c r="U402" s="124">
        <v>0</v>
      </c>
      <c r="V402" s="124">
        <v>0</v>
      </c>
      <c r="W402" s="124"/>
      <c r="X402" s="124">
        <v>1600</v>
      </c>
      <c r="Y402" s="124">
        <v>1199</v>
      </c>
      <c r="Z402" s="124">
        <v>8</v>
      </c>
      <c r="AA402" s="124"/>
      <c r="AB402" s="124"/>
      <c r="AC402" s="124"/>
      <c r="AD402" s="124"/>
      <c r="AE402" s="126" t="inlineStr">
        <is>
          <t xml:space="preserve">Spot</t>
        </is>
      </c>
    </row>
    <row r="403">
      <c r="A403" s="122">
        <v>46287</v>
      </c>
      <c r="B403" s="123" t="inlineStr">
        <is>
          <t xml:space="preserve">GE VERNOVA</t>
        </is>
      </c>
      <c r="C403" s="124">
        <v>5</v>
      </c>
      <c r="D403" s="124">
        <v>44</v>
      </c>
      <c r="E403" s="125"/>
      <c r="F403" s="124"/>
      <c r="G403" s="124"/>
      <c r="H403" s="124"/>
      <c r="I403" s="124"/>
      <c r="J403" s="124">
        <v>98</v>
      </c>
      <c r="K403" s="124">
        <v>108</v>
      </c>
      <c r="L403" s="124">
        <v>7</v>
      </c>
      <c r="M403" s="124">
        <v>86</v>
      </c>
      <c r="N403" s="125"/>
      <c r="O403" s="124"/>
      <c r="P403" s="124"/>
      <c r="Q403" s="124"/>
      <c r="R403" s="124"/>
      <c r="S403" s="124">
        <v>525</v>
      </c>
      <c r="T403" s="124">
        <v>67</v>
      </c>
      <c r="U403" s="124">
        <v>0</v>
      </c>
      <c r="V403" s="124">
        <v>0</v>
      </c>
      <c r="W403" s="124"/>
      <c r="X403" s="124">
        <v>900</v>
      </c>
      <c r="Y403" s="124">
        <v>802</v>
      </c>
      <c r="Z403" s="124">
        <v>8</v>
      </c>
      <c r="AA403" s="124"/>
      <c r="AB403" s="124"/>
      <c r="AC403" s="124"/>
      <c r="AD403" s="124">
        <v>1</v>
      </c>
      <c r="AE403" s="126" t="inlineStr">
        <is>
          <t xml:space="preserve">Contrato</t>
        </is>
      </c>
    </row>
    <row r="404">
      <c r="A404" s="122">
        <v>46287</v>
      </c>
      <c r="B404" s="123" t="inlineStr">
        <is>
          <t xml:space="preserve">VESTAS</t>
        </is>
      </c>
      <c r="C404" s="124">
        <v>5</v>
      </c>
      <c r="D404" s="124"/>
      <c r="E404" s="125"/>
      <c r="F404" s="124"/>
      <c r="G404" s="124"/>
      <c r="H404" s="124"/>
      <c r="I404" s="124"/>
      <c r="J404" s="124"/>
      <c r="K404" s="124">
        <v>51</v>
      </c>
      <c r="L404" s="124">
        <v>2</v>
      </c>
      <c r="M404" s="124"/>
      <c r="N404" s="125"/>
      <c r="O404" s="124"/>
      <c r="P404" s="124"/>
      <c r="Q404" s="124"/>
      <c r="R404" s="124"/>
      <c r="S404" s="124"/>
      <c r="T404" s="124">
        <v>104</v>
      </c>
      <c r="U404" s="124">
        <v>0</v>
      </c>
      <c r="V404" s="124">
        <v>1</v>
      </c>
      <c r="W404" s="124"/>
      <c r="X404" s="124">
        <v>600</v>
      </c>
      <c r="Y404" s="124">
        <v>387</v>
      </c>
      <c r="Z404" s="124">
        <v>8</v>
      </c>
      <c r="AA404" s="124"/>
      <c r="AB404" s="124"/>
      <c r="AC404" s="124"/>
      <c r="AD404" s="124"/>
      <c r="AE404" s="126" t="inlineStr">
        <is>
          <t xml:space="preserve">Cross</t>
        </is>
      </c>
    </row>
    <row r="405">
      <c r="A405" s="122">
        <v>46287</v>
      </c>
      <c r="B405" s="123" t="inlineStr">
        <is>
          <t xml:space="preserve">VEDACIT</t>
        </is>
      </c>
      <c r="C405" s="124">
        <v>6</v>
      </c>
      <c r="D405" s="124">
        <v>32</v>
      </c>
      <c r="E405" s="125"/>
      <c r="F405" s="124"/>
      <c r="G405" s="124"/>
      <c r="H405" s="124"/>
      <c r="I405" s="124"/>
      <c r="J405" s="124"/>
      <c r="K405" s="124"/>
      <c r="L405" s="124">
        <v>6</v>
      </c>
      <c r="M405" s="124">
        <v>49</v>
      </c>
      <c r="N405" s="125"/>
      <c r="O405" s="124"/>
      <c r="P405" s="124"/>
      <c r="Q405" s="124"/>
      <c r="R405" s="124"/>
      <c r="S405" s="124"/>
      <c r="T405" s="124"/>
      <c r="U405" s="124">
        <v>0</v>
      </c>
      <c r="V405" s="124">
        <v>0</v>
      </c>
      <c r="W405" s="124">
        <v>3</v>
      </c>
      <c r="X405" s="124">
        <v>1400</v>
      </c>
      <c r="Y405" s="124">
        <v>1219</v>
      </c>
      <c r="Z405" s="124">
        <v>13</v>
      </c>
      <c r="AA405" s="124">
        <v>1</v>
      </c>
      <c r="AB405" s="124"/>
      <c r="AC405" s="124"/>
      <c r="AD405" s="124"/>
      <c r="AE405" s="126" t="inlineStr">
        <is>
          <t xml:space="preserve">Contrato</t>
        </is>
      </c>
    </row>
    <row r="406">
      <c r="A406" s="122">
        <v>46287</v>
      </c>
      <c r="B406" s="123" t="inlineStr">
        <is>
          <t xml:space="preserve">OMNLIFE</t>
        </is>
      </c>
      <c r="C406" s="124">
        <v>5</v>
      </c>
      <c r="D406" s="124">
        <v>133</v>
      </c>
      <c r="E406" s="125"/>
      <c r="F406" s="124"/>
      <c r="G406" s="124"/>
      <c r="H406" s="124"/>
      <c r="I406" s="124"/>
      <c r="J406" s="124"/>
      <c r="K406" s="124"/>
      <c r="L406" s="124">
        <v>3</v>
      </c>
      <c r="M406" s="124">
        <v>95</v>
      </c>
      <c r="N406" s="125"/>
      <c r="O406" s="124"/>
      <c r="P406" s="124"/>
      <c r="Q406" s="124"/>
      <c r="R406" s="124"/>
      <c r="S406" s="124"/>
      <c r="T406" s="124"/>
      <c r="U406" s="124">
        <v>0</v>
      </c>
      <c r="V406" s="124">
        <v>0</v>
      </c>
      <c r="W406" s="124">
        <v>10</v>
      </c>
      <c r="X406" s="124">
        <v>500</v>
      </c>
      <c r="Y406" s="124">
        <v>400</v>
      </c>
      <c r="Z406" s="124">
        <v>7</v>
      </c>
      <c r="AA406" s="124"/>
      <c r="AB406" s="124"/>
      <c r="AC406" s="124"/>
      <c r="AD406" s="124"/>
      <c r="AE406" s="126" t="inlineStr">
        <is>
          <t xml:space="preserve">Spot</t>
        </is>
      </c>
    </row>
    <row r="407">
      <c r="A407" s="122">
        <v>46287</v>
      </c>
      <c r="B407" s="123" t="inlineStr">
        <is>
          <t xml:space="preserve">ALPARGATAS</t>
        </is>
      </c>
      <c r="C407" s="124">
        <v>4</v>
      </c>
      <c r="D407" s="124"/>
      <c r="E407" s="125"/>
      <c r="F407" s="124">
        <v>524</v>
      </c>
      <c r="G407" s="124"/>
      <c r="H407" s="124"/>
      <c r="I407" s="124"/>
      <c r="J407" s="124"/>
      <c r="K407" s="124"/>
      <c r="L407" s="124">
        <v>5</v>
      </c>
      <c r="M407" s="124"/>
      <c r="N407" s="125"/>
      <c r="O407" s="124">
        <v>1924</v>
      </c>
      <c r="P407" s="124"/>
      <c r="Q407" s="124"/>
      <c r="R407" s="124"/>
      <c r="S407" s="124"/>
      <c r="T407" s="124"/>
      <c r="U407" s="124">
        <v>0</v>
      </c>
      <c r="V407" s="124">
        <v>0</v>
      </c>
      <c r="W407" s="124"/>
      <c r="X407" s="124">
        <v>1800</v>
      </c>
      <c r="Y407" s="124">
        <v>1698</v>
      </c>
      <c r="Z407" s="124">
        <v>12</v>
      </c>
      <c r="AA407" s="124"/>
      <c r="AB407" s="124"/>
      <c r="AC407" s="124"/>
      <c r="AD407" s="124"/>
      <c r="AE407" s="126" t="inlineStr">
        <is>
          <t xml:space="preserve">Contrato</t>
        </is>
      </c>
    </row>
    <row r="408">
      <c r="A408" s="122">
        <v>46288</v>
      </c>
      <c r="B408" s="123" t="inlineStr">
        <is>
          <t xml:space="preserve">BASF</t>
        </is>
      </c>
      <c r="C408" s="124">
        <v>2</v>
      </c>
      <c r="D408" s="124">
        <v>106</v>
      </c>
      <c r="E408" s="125">
        <v>116.12</v>
      </c>
      <c r="F408" s="124"/>
      <c r="G408" s="124"/>
      <c r="H408" s="124"/>
      <c r="I408" s="124"/>
      <c r="J408" s="124"/>
      <c r="K408" s="124"/>
      <c r="L408" s="124">
        <v>4</v>
      </c>
      <c r="M408" s="124">
        <v>115</v>
      </c>
      <c r="N408" s="125">
        <v>126.57</v>
      </c>
      <c r="O408" s="124"/>
      <c r="P408" s="124"/>
      <c r="Q408" s="124"/>
      <c r="R408" s="124"/>
      <c r="S408" s="124"/>
      <c r="T408" s="124"/>
      <c r="U408" s="124">
        <v>0</v>
      </c>
      <c r="V408" s="124">
        <v>0</v>
      </c>
      <c r="W408" s="124"/>
      <c r="X408" s="124">
        <v>2200</v>
      </c>
      <c r="Y408" s="124">
        <v>1518</v>
      </c>
      <c r="Z408" s="124">
        <v>9</v>
      </c>
      <c r="AA408" s="124"/>
      <c r="AB408" s="124"/>
      <c r="AC408" s="124"/>
      <c r="AD408" s="124"/>
      <c r="AE408" s="126" t="inlineStr">
        <is>
          <t xml:space="preserve">Contrato</t>
        </is>
      </c>
    </row>
    <row r="409">
      <c r="A409" s="122">
        <v>46288</v>
      </c>
      <c r="B409" s="123" t="inlineStr">
        <is>
          <t xml:space="preserve">BEAUTYBIZ</t>
        </is>
      </c>
      <c r="C409" s="124">
        <v>3</v>
      </c>
      <c r="D409" s="124">
        <v>156</v>
      </c>
      <c r="E409" s="125"/>
      <c r="F409" s="124">
        <v>683</v>
      </c>
      <c r="G409" s="124"/>
      <c r="H409" s="124"/>
      <c r="I409" s="124"/>
      <c r="J409" s="124"/>
      <c r="K409" s="124"/>
      <c r="L409" s="124">
        <v>2</v>
      </c>
      <c r="M409" s="124">
        <v>83</v>
      </c>
      <c r="N409" s="125"/>
      <c r="O409" s="124"/>
      <c r="P409" s="124">
        <v>91</v>
      </c>
      <c r="Q409" s="124"/>
      <c r="R409" s="124"/>
      <c r="S409" s="124"/>
      <c r="T409" s="124"/>
      <c r="U409" s="124">
        <v>0</v>
      </c>
      <c r="V409" s="124">
        <v>0</v>
      </c>
      <c r="W409" s="124"/>
      <c r="X409" s="124">
        <v>1200</v>
      </c>
      <c r="Y409" s="124">
        <v>868</v>
      </c>
      <c r="Z409" s="124">
        <v>6</v>
      </c>
      <c r="AA409" s="124"/>
      <c r="AB409" s="124"/>
      <c r="AC409" s="124"/>
      <c r="AD409" s="124"/>
      <c r="AE409" s="126" t="inlineStr">
        <is>
          <t xml:space="preserve">Contrato</t>
        </is>
      </c>
    </row>
    <row r="410">
      <c r="A410" s="122">
        <v>46288</v>
      </c>
      <c r="B410" s="123" t="inlineStr">
        <is>
          <t xml:space="preserve">BOTICÁRIO</t>
        </is>
      </c>
      <c r="C410" s="124">
        <v>5</v>
      </c>
      <c r="D410" s="124"/>
      <c r="E410" s="125"/>
      <c r="F410" s="124"/>
      <c r="G410" s="124">
        <v>2854</v>
      </c>
      <c r="H410" s="124">
        <v>279</v>
      </c>
      <c r="I410" s="124">
        <v>504</v>
      </c>
      <c r="J410" s="124"/>
      <c r="K410" s="124"/>
      <c r="L410" s="124">
        <v>5</v>
      </c>
      <c r="M410" s="124">
        <v>48</v>
      </c>
      <c r="N410" s="125"/>
      <c r="O410" s="124"/>
      <c r="P410" s="124"/>
      <c r="Q410" s="124">
        <v>787</v>
      </c>
      <c r="R410" s="124">
        <v>8974</v>
      </c>
      <c r="S410" s="124"/>
      <c r="T410" s="124"/>
      <c r="U410" s="124">
        <v>0</v>
      </c>
      <c r="V410" s="124">
        <v>1</v>
      </c>
      <c r="W410" s="124">
        <v>1</v>
      </c>
      <c r="X410" s="124">
        <v>3500</v>
      </c>
      <c r="Y410" s="124">
        <v>3179</v>
      </c>
      <c r="Z410" s="124">
        <v>11</v>
      </c>
      <c r="AA410" s="124"/>
      <c r="AB410" s="124"/>
      <c r="AC410" s="124"/>
      <c r="AD410" s="124"/>
      <c r="AE410" s="126" t="inlineStr">
        <is>
          <t xml:space="preserve">Contrato</t>
        </is>
      </c>
    </row>
    <row r="411">
      <c r="A411" s="122">
        <v>46288</v>
      </c>
      <c r="B411" s="123" t="inlineStr">
        <is>
          <t xml:space="preserve">SUPPLY</t>
        </is>
      </c>
      <c r="C411" s="124">
        <v>6</v>
      </c>
      <c r="D411" s="124">
        <v>21</v>
      </c>
      <c r="E411" s="125">
        <v>62.94</v>
      </c>
      <c r="F411" s="124"/>
      <c r="G411" s="124"/>
      <c r="H411" s="124"/>
      <c r="I411" s="124"/>
      <c r="J411" s="124"/>
      <c r="K411" s="124"/>
      <c r="L411" s="124">
        <v>4</v>
      </c>
      <c r="M411" s="124">
        <v>106</v>
      </c>
      <c r="N411" s="125">
        <v>23.18</v>
      </c>
      <c r="O411" s="124"/>
      <c r="P411" s="124"/>
      <c r="Q411" s="124"/>
      <c r="R411" s="124"/>
      <c r="S411" s="124"/>
      <c r="T411" s="124"/>
      <c r="U411" s="124">
        <v>0</v>
      </c>
      <c r="V411" s="124">
        <v>0</v>
      </c>
      <c r="W411" s="124"/>
      <c r="X411" s="124">
        <v>1600</v>
      </c>
      <c r="Y411" s="124">
        <v>1151</v>
      </c>
      <c r="Z411" s="124">
        <v>5</v>
      </c>
      <c r="AA411" s="124"/>
      <c r="AB411" s="124"/>
      <c r="AC411" s="124"/>
      <c r="AD411" s="124"/>
      <c r="AE411" s="126" t="inlineStr">
        <is>
          <t xml:space="preserve">Spot</t>
        </is>
      </c>
    </row>
    <row r="412">
      <c r="A412" s="122">
        <v>46288</v>
      </c>
      <c r="B412" s="123" t="inlineStr">
        <is>
          <t xml:space="preserve">GE VERNOVA</t>
        </is>
      </c>
      <c r="C412" s="124">
        <v>7</v>
      </c>
      <c r="D412" s="124">
        <v>85</v>
      </c>
      <c r="E412" s="125"/>
      <c r="F412" s="124"/>
      <c r="G412" s="124"/>
      <c r="H412" s="124"/>
      <c r="I412" s="124"/>
      <c r="J412" s="124">
        <v>471</v>
      </c>
      <c r="K412" s="124">
        <v>103</v>
      </c>
      <c r="L412" s="124">
        <v>5</v>
      </c>
      <c r="M412" s="124">
        <v>104</v>
      </c>
      <c r="N412" s="125"/>
      <c r="O412" s="124"/>
      <c r="P412" s="124"/>
      <c r="Q412" s="124"/>
      <c r="R412" s="124"/>
      <c r="S412" s="124">
        <v>281</v>
      </c>
      <c r="T412" s="124">
        <v>75</v>
      </c>
      <c r="U412" s="124">
        <v>0</v>
      </c>
      <c r="V412" s="124">
        <v>1</v>
      </c>
      <c r="W412" s="124"/>
      <c r="X412" s="124">
        <v>900</v>
      </c>
      <c r="Y412" s="124">
        <v>834</v>
      </c>
      <c r="Z412" s="124">
        <v>9</v>
      </c>
      <c r="AA412" s="124"/>
      <c r="AB412" s="124"/>
      <c r="AC412" s="124"/>
      <c r="AD412" s="124"/>
      <c r="AE412" s="126" t="inlineStr">
        <is>
          <t xml:space="preserve">Contrato</t>
        </is>
      </c>
    </row>
    <row r="413">
      <c r="A413" s="122">
        <v>46288</v>
      </c>
      <c r="B413" s="123" t="inlineStr">
        <is>
          <t xml:space="preserve">VESTAS</t>
        </is>
      </c>
      <c r="C413" s="124">
        <v>6</v>
      </c>
      <c r="D413" s="124"/>
      <c r="E413" s="125"/>
      <c r="F413" s="124"/>
      <c r="G413" s="124"/>
      <c r="H413" s="124"/>
      <c r="I413" s="124"/>
      <c r="J413" s="124"/>
      <c r="K413" s="124">
        <v>46</v>
      </c>
      <c r="L413" s="124">
        <v>7</v>
      </c>
      <c r="M413" s="124"/>
      <c r="N413" s="125"/>
      <c r="O413" s="124"/>
      <c r="P413" s="124"/>
      <c r="Q413" s="124"/>
      <c r="R413" s="124"/>
      <c r="S413" s="124"/>
      <c r="T413" s="124">
        <v>112</v>
      </c>
      <c r="U413" s="124">
        <v>0</v>
      </c>
      <c r="V413" s="124">
        <v>0</v>
      </c>
      <c r="W413" s="124"/>
      <c r="X413" s="124">
        <v>600</v>
      </c>
      <c r="Y413" s="124">
        <v>580</v>
      </c>
      <c r="Z413" s="124">
        <v>4</v>
      </c>
      <c r="AA413" s="124"/>
      <c r="AB413" s="124"/>
      <c r="AC413" s="124"/>
      <c r="AD413" s="124"/>
      <c r="AE413" s="126" t="inlineStr">
        <is>
          <t xml:space="preserve">Cross</t>
        </is>
      </c>
    </row>
    <row r="414">
      <c r="A414" s="122">
        <v>46288</v>
      </c>
      <c r="B414" s="123" t="inlineStr">
        <is>
          <t xml:space="preserve">VEDACIT</t>
        </is>
      </c>
      <c r="C414" s="124">
        <v>3</v>
      </c>
      <c r="D414" s="124">
        <v>122</v>
      </c>
      <c r="E414" s="125"/>
      <c r="F414" s="124"/>
      <c r="G414" s="124"/>
      <c r="H414" s="124"/>
      <c r="I414" s="124"/>
      <c r="J414" s="124"/>
      <c r="K414" s="124"/>
      <c r="L414" s="124">
        <v>5</v>
      </c>
      <c r="M414" s="124">
        <v>146</v>
      </c>
      <c r="N414" s="125"/>
      <c r="O414" s="124"/>
      <c r="P414" s="124"/>
      <c r="Q414" s="124"/>
      <c r="R414" s="124"/>
      <c r="S414" s="124"/>
      <c r="T414" s="124"/>
      <c r="U414" s="124">
        <v>1</v>
      </c>
      <c r="V414" s="124">
        <v>0</v>
      </c>
      <c r="W414" s="124"/>
      <c r="X414" s="124">
        <v>1400</v>
      </c>
      <c r="Y414" s="124">
        <v>856</v>
      </c>
      <c r="Z414" s="124">
        <v>4</v>
      </c>
      <c r="AA414" s="124"/>
      <c r="AB414" s="124"/>
      <c r="AC414" s="124"/>
      <c r="AD414" s="124"/>
      <c r="AE414" s="126" t="inlineStr">
        <is>
          <t xml:space="preserve">Contrato</t>
        </is>
      </c>
    </row>
    <row r="415">
      <c r="A415" s="122">
        <v>46288</v>
      </c>
      <c r="B415" s="123" t="inlineStr">
        <is>
          <t xml:space="preserve">OMNLIFE</t>
        </is>
      </c>
      <c r="C415" s="124">
        <v>3</v>
      </c>
      <c r="D415" s="124">
        <v>122</v>
      </c>
      <c r="E415" s="125"/>
      <c r="F415" s="124"/>
      <c r="G415" s="124"/>
      <c r="H415" s="124"/>
      <c r="I415" s="124"/>
      <c r="J415" s="124"/>
      <c r="K415" s="124"/>
      <c r="L415" s="124">
        <v>10</v>
      </c>
      <c r="M415" s="124">
        <v>124</v>
      </c>
      <c r="N415" s="125"/>
      <c r="O415" s="124"/>
      <c r="P415" s="124"/>
      <c r="Q415" s="124"/>
      <c r="R415" s="124"/>
      <c r="S415" s="124"/>
      <c r="T415" s="124"/>
      <c r="U415" s="124">
        <v>0</v>
      </c>
      <c r="V415" s="124">
        <v>0</v>
      </c>
      <c r="W415" s="124"/>
      <c r="X415" s="124">
        <v>500</v>
      </c>
      <c r="Y415" s="124">
        <v>404</v>
      </c>
      <c r="Z415" s="124">
        <v>6</v>
      </c>
      <c r="AA415" s="124"/>
      <c r="AB415" s="124"/>
      <c r="AC415" s="124"/>
      <c r="AD415" s="124"/>
      <c r="AE415" s="126" t="inlineStr">
        <is>
          <t xml:space="preserve">Spot</t>
        </is>
      </c>
    </row>
    <row r="416">
      <c r="A416" s="122">
        <v>46288</v>
      </c>
      <c r="B416" s="123" t="inlineStr">
        <is>
          <t xml:space="preserve">ALPARGATAS</t>
        </is>
      </c>
      <c r="C416" s="124">
        <v>5</v>
      </c>
      <c r="D416" s="124"/>
      <c r="E416" s="125"/>
      <c r="F416" s="124">
        <v>1148</v>
      </c>
      <c r="G416" s="124"/>
      <c r="H416" s="124"/>
      <c r="I416" s="124"/>
      <c r="J416" s="124"/>
      <c r="K416" s="124"/>
      <c r="L416" s="124">
        <v>5</v>
      </c>
      <c r="M416" s="124"/>
      <c r="N416" s="125"/>
      <c r="O416" s="124">
        <v>2147</v>
      </c>
      <c r="P416" s="124"/>
      <c r="Q416" s="124"/>
      <c r="R416" s="124"/>
      <c r="S416" s="124"/>
      <c r="T416" s="124"/>
      <c r="U416" s="124">
        <v>0</v>
      </c>
      <c r="V416" s="124">
        <v>0</v>
      </c>
      <c r="W416" s="124"/>
      <c r="X416" s="124">
        <v>1800</v>
      </c>
      <c r="Y416" s="124">
        <v>1697</v>
      </c>
      <c r="Z416" s="124">
        <v>4</v>
      </c>
      <c r="AA416" s="124"/>
      <c r="AB416" s="124"/>
      <c r="AC416" s="124"/>
      <c r="AD416" s="124"/>
      <c r="AE416" s="126" t="inlineStr">
        <is>
          <t xml:space="preserve">Contrato</t>
        </is>
      </c>
    </row>
    <row r="417">
      <c r="A417" s="122">
        <v>46289</v>
      </c>
      <c r="B417" s="123" t="inlineStr">
        <is>
          <t xml:space="preserve">BASF</t>
        </is>
      </c>
      <c r="C417" s="124">
        <v>7</v>
      </c>
      <c r="D417" s="124">
        <v>20</v>
      </c>
      <c r="E417" s="125">
        <v>119.43</v>
      </c>
      <c r="F417" s="124"/>
      <c r="G417" s="124"/>
      <c r="H417" s="124"/>
      <c r="I417" s="124"/>
      <c r="J417" s="124"/>
      <c r="K417" s="124"/>
      <c r="L417" s="124">
        <v>8</v>
      </c>
      <c r="M417" s="124">
        <v>124</v>
      </c>
      <c r="N417" s="125">
        <v>55.8</v>
      </c>
      <c r="O417" s="124"/>
      <c r="P417" s="124"/>
      <c r="Q417" s="124"/>
      <c r="R417" s="124"/>
      <c r="S417" s="124"/>
      <c r="T417" s="124"/>
      <c r="U417" s="124">
        <v>0</v>
      </c>
      <c r="V417" s="124">
        <v>0</v>
      </c>
      <c r="W417" s="124"/>
      <c r="X417" s="124">
        <v>2200</v>
      </c>
      <c r="Y417" s="124">
        <v>1710</v>
      </c>
      <c r="Z417" s="124">
        <v>4</v>
      </c>
      <c r="AA417" s="124"/>
      <c r="AB417" s="124"/>
      <c r="AC417" s="124"/>
      <c r="AD417" s="124"/>
      <c r="AE417" s="126" t="inlineStr">
        <is>
          <t xml:space="preserve">Contrato</t>
        </is>
      </c>
    </row>
    <row r="418">
      <c r="A418" s="122">
        <v>46289</v>
      </c>
      <c r="B418" s="123" t="inlineStr">
        <is>
          <t xml:space="preserve">BEAUTYBIZ</t>
        </is>
      </c>
      <c r="C418" s="124">
        <v>3</v>
      </c>
      <c r="D418" s="124">
        <v>134</v>
      </c>
      <c r="E418" s="125"/>
      <c r="F418" s="124">
        <v>2105</v>
      </c>
      <c r="G418" s="124"/>
      <c r="H418" s="124"/>
      <c r="I418" s="124"/>
      <c r="J418" s="124"/>
      <c r="K418" s="124"/>
      <c r="L418" s="124">
        <v>4</v>
      </c>
      <c r="M418" s="124">
        <v>151</v>
      </c>
      <c r="N418" s="125"/>
      <c r="O418" s="124"/>
      <c r="P418" s="124">
        <v>582</v>
      </c>
      <c r="Q418" s="124"/>
      <c r="R418" s="124"/>
      <c r="S418" s="124"/>
      <c r="T418" s="124"/>
      <c r="U418" s="124">
        <v>0</v>
      </c>
      <c r="V418" s="124">
        <v>1</v>
      </c>
      <c r="W418" s="124"/>
      <c r="X418" s="124">
        <v>1200</v>
      </c>
      <c r="Y418" s="124">
        <v>1076</v>
      </c>
      <c r="Z418" s="124">
        <v>5</v>
      </c>
      <c r="AA418" s="124"/>
      <c r="AB418" s="124"/>
      <c r="AC418" s="124"/>
      <c r="AD418" s="124"/>
      <c r="AE418" s="126" t="inlineStr">
        <is>
          <t xml:space="preserve">Contrato</t>
        </is>
      </c>
    </row>
    <row r="419">
      <c r="A419" s="122">
        <v>46289</v>
      </c>
      <c r="B419" s="123" t="inlineStr">
        <is>
          <t xml:space="preserve">BOTICÁRIO</t>
        </is>
      </c>
      <c r="C419" s="124">
        <v>7</v>
      </c>
      <c r="D419" s="124"/>
      <c r="E419" s="125"/>
      <c r="F419" s="124"/>
      <c r="G419" s="124">
        <v>5893</v>
      </c>
      <c r="H419" s="124">
        <v>392</v>
      </c>
      <c r="I419" s="124">
        <v>203</v>
      </c>
      <c r="J419" s="124"/>
      <c r="K419" s="124"/>
      <c r="L419" s="124">
        <v>3</v>
      </c>
      <c r="M419" s="124">
        <v>40</v>
      </c>
      <c r="N419" s="125"/>
      <c r="O419" s="124"/>
      <c r="P419" s="124"/>
      <c r="Q419" s="124">
        <v>891</v>
      </c>
      <c r="R419" s="124">
        <v>4444</v>
      </c>
      <c r="S419" s="124"/>
      <c r="T419" s="124"/>
      <c r="U419" s="124">
        <v>0</v>
      </c>
      <c r="V419" s="124">
        <v>0</v>
      </c>
      <c r="W419" s="124"/>
      <c r="X419" s="124">
        <v>3500</v>
      </c>
      <c r="Y419" s="124">
        <v>2814</v>
      </c>
      <c r="Z419" s="124">
        <v>6</v>
      </c>
      <c r="AA419" s="124">
        <v>1</v>
      </c>
      <c r="AB419" s="124"/>
      <c r="AC419" s="124"/>
      <c r="AD419" s="124"/>
      <c r="AE419" s="126" t="inlineStr">
        <is>
          <t xml:space="preserve">Contrato</t>
        </is>
      </c>
    </row>
    <row r="420">
      <c r="A420" s="122">
        <v>46289</v>
      </c>
      <c r="B420" s="123" t="inlineStr">
        <is>
          <t xml:space="preserve">SUPPLY</t>
        </is>
      </c>
      <c r="C420" s="124">
        <v>6</v>
      </c>
      <c r="D420" s="124">
        <v>114</v>
      </c>
      <c r="E420" s="125">
        <v>30.23</v>
      </c>
      <c r="F420" s="124"/>
      <c r="G420" s="124"/>
      <c r="H420" s="124"/>
      <c r="I420" s="124"/>
      <c r="J420" s="124"/>
      <c r="K420" s="124"/>
      <c r="L420" s="124">
        <v>9</v>
      </c>
      <c r="M420" s="124">
        <v>127</v>
      </c>
      <c r="N420" s="125">
        <v>53.29</v>
      </c>
      <c r="O420" s="124"/>
      <c r="P420" s="124"/>
      <c r="Q420" s="124"/>
      <c r="R420" s="124"/>
      <c r="S420" s="124"/>
      <c r="T420" s="124"/>
      <c r="U420" s="124">
        <v>0</v>
      </c>
      <c r="V420" s="124">
        <v>0</v>
      </c>
      <c r="W420" s="124"/>
      <c r="X420" s="124">
        <v>1600</v>
      </c>
      <c r="Y420" s="124">
        <v>1193</v>
      </c>
      <c r="Z420" s="124">
        <v>12</v>
      </c>
      <c r="AA420" s="124"/>
      <c r="AB420" s="124"/>
      <c r="AC420" s="124"/>
      <c r="AD420" s="124"/>
      <c r="AE420" s="126" t="inlineStr">
        <is>
          <t xml:space="preserve">Spot</t>
        </is>
      </c>
    </row>
    <row r="421">
      <c r="A421" s="122">
        <v>46289</v>
      </c>
      <c r="B421" s="123" t="inlineStr">
        <is>
          <t xml:space="preserve">GE VERNOVA</t>
        </is>
      </c>
      <c r="C421" s="124">
        <v>3</v>
      </c>
      <c r="D421" s="124">
        <v>30</v>
      </c>
      <c r="E421" s="125"/>
      <c r="F421" s="124"/>
      <c r="G421" s="124"/>
      <c r="H421" s="124"/>
      <c r="I421" s="124"/>
      <c r="J421" s="124">
        <v>464</v>
      </c>
      <c r="K421" s="124">
        <v>20</v>
      </c>
      <c r="L421" s="124">
        <v>8</v>
      </c>
      <c r="M421" s="124">
        <v>31</v>
      </c>
      <c r="N421" s="125"/>
      <c r="O421" s="124"/>
      <c r="P421" s="124"/>
      <c r="Q421" s="124"/>
      <c r="R421" s="124"/>
      <c r="S421" s="124">
        <v>185</v>
      </c>
      <c r="T421" s="124">
        <v>82</v>
      </c>
      <c r="U421" s="124">
        <v>0</v>
      </c>
      <c r="V421" s="124">
        <v>0</v>
      </c>
      <c r="W421" s="124"/>
      <c r="X421" s="124">
        <v>900</v>
      </c>
      <c r="Y421" s="124">
        <v>506</v>
      </c>
      <c r="Z421" s="124">
        <v>9</v>
      </c>
      <c r="AA421" s="124"/>
      <c r="AB421" s="124"/>
      <c r="AC421" s="124"/>
      <c r="AD421" s="124"/>
      <c r="AE421" s="126" t="inlineStr">
        <is>
          <t xml:space="preserve">Contrato</t>
        </is>
      </c>
    </row>
    <row r="422">
      <c r="A422" s="122">
        <v>46289</v>
      </c>
      <c r="B422" s="123" t="inlineStr">
        <is>
          <t xml:space="preserve">VESTAS</t>
        </is>
      </c>
      <c r="C422" s="124">
        <v>5</v>
      </c>
      <c r="D422" s="124"/>
      <c r="E422" s="125"/>
      <c r="F422" s="124"/>
      <c r="G422" s="124"/>
      <c r="H422" s="124"/>
      <c r="I422" s="124"/>
      <c r="J422" s="124"/>
      <c r="K422" s="124">
        <v>49</v>
      </c>
      <c r="L422" s="124">
        <v>10</v>
      </c>
      <c r="M422" s="124"/>
      <c r="N422" s="125"/>
      <c r="O422" s="124"/>
      <c r="P422" s="124"/>
      <c r="Q422" s="124"/>
      <c r="R422" s="124"/>
      <c r="S422" s="124"/>
      <c r="T422" s="124">
        <v>106</v>
      </c>
      <c r="U422" s="124">
        <v>0</v>
      </c>
      <c r="V422" s="124">
        <v>0</v>
      </c>
      <c r="W422" s="124">
        <v>3</v>
      </c>
      <c r="X422" s="124">
        <v>600</v>
      </c>
      <c r="Y422" s="124">
        <v>383</v>
      </c>
      <c r="Z422" s="124">
        <v>9</v>
      </c>
      <c r="AA422" s="124"/>
      <c r="AB422" s="124"/>
      <c r="AC422" s="124"/>
      <c r="AD422" s="124"/>
      <c r="AE422" s="126" t="inlineStr">
        <is>
          <t xml:space="preserve">Cross</t>
        </is>
      </c>
    </row>
    <row r="423">
      <c r="A423" s="122">
        <v>46289</v>
      </c>
      <c r="B423" s="123" t="inlineStr">
        <is>
          <t xml:space="preserve">VEDACIT</t>
        </is>
      </c>
      <c r="C423" s="124">
        <v>4</v>
      </c>
      <c r="D423" s="124">
        <v>107</v>
      </c>
      <c r="E423" s="125"/>
      <c r="F423" s="124"/>
      <c r="G423" s="124"/>
      <c r="H423" s="124"/>
      <c r="I423" s="124"/>
      <c r="J423" s="124"/>
      <c r="K423" s="124"/>
      <c r="L423" s="124">
        <v>2</v>
      </c>
      <c r="M423" s="124">
        <v>36</v>
      </c>
      <c r="N423" s="125"/>
      <c r="O423" s="124"/>
      <c r="P423" s="124"/>
      <c r="Q423" s="124"/>
      <c r="R423" s="124"/>
      <c r="S423" s="124"/>
      <c r="T423" s="124"/>
      <c r="U423" s="124">
        <v>0</v>
      </c>
      <c r="V423" s="124">
        <v>0</v>
      </c>
      <c r="W423" s="124"/>
      <c r="X423" s="124">
        <v>1400</v>
      </c>
      <c r="Y423" s="124">
        <v>1060</v>
      </c>
      <c r="Z423" s="124">
        <v>10</v>
      </c>
      <c r="AA423" s="124">
        <v>1</v>
      </c>
      <c r="AB423" s="124"/>
      <c r="AC423" s="124"/>
      <c r="AD423" s="124"/>
      <c r="AE423" s="126" t="inlineStr">
        <is>
          <t xml:space="preserve">Contrato</t>
        </is>
      </c>
    </row>
    <row r="424">
      <c r="A424" s="122">
        <v>46289</v>
      </c>
      <c r="B424" s="123" t="inlineStr">
        <is>
          <t xml:space="preserve">OMNLIFE</t>
        </is>
      </c>
      <c r="C424" s="124">
        <v>5</v>
      </c>
      <c r="D424" s="124">
        <v>158</v>
      </c>
      <c r="E424" s="125"/>
      <c r="F424" s="124"/>
      <c r="G424" s="124"/>
      <c r="H424" s="124"/>
      <c r="I424" s="124"/>
      <c r="J424" s="124"/>
      <c r="K424" s="124"/>
      <c r="L424" s="124">
        <v>6</v>
      </c>
      <c r="M424" s="124">
        <v>73</v>
      </c>
      <c r="N424" s="125"/>
      <c r="O424" s="124"/>
      <c r="P424" s="124"/>
      <c r="Q424" s="124"/>
      <c r="R424" s="124"/>
      <c r="S424" s="124"/>
      <c r="T424" s="124"/>
      <c r="U424" s="124">
        <v>0</v>
      </c>
      <c r="V424" s="124">
        <v>0</v>
      </c>
      <c r="W424" s="124"/>
      <c r="X424" s="124">
        <v>500</v>
      </c>
      <c r="Y424" s="124">
        <v>300</v>
      </c>
      <c r="Z424" s="124">
        <v>14</v>
      </c>
      <c r="AA424" s="124"/>
      <c r="AB424" s="124">
        <v>1</v>
      </c>
      <c r="AC424" s="124"/>
      <c r="AD424" s="124"/>
      <c r="AE424" s="126" t="inlineStr">
        <is>
          <t xml:space="preserve">Spot</t>
        </is>
      </c>
    </row>
    <row r="425">
      <c r="A425" s="122">
        <v>46289</v>
      </c>
      <c r="B425" s="123" t="inlineStr">
        <is>
          <t xml:space="preserve">ALPARGATAS</t>
        </is>
      </c>
      <c r="C425" s="124">
        <v>4</v>
      </c>
      <c r="D425" s="124"/>
      <c r="E425" s="125"/>
      <c r="F425" s="124">
        <v>582</v>
      </c>
      <c r="G425" s="124"/>
      <c r="H425" s="124"/>
      <c r="I425" s="124"/>
      <c r="J425" s="124"/>
      <c r="K425" s="124"/>
      <c r="L425" s="124">
        <v>5</v>
      </c>
      <c r="M425" s="124"/>
      <c r="N425" s="125"/>
      <c r="O425" s="124">
        <v>2210</v>
      </c>
      <c r="P425" s="124"/>
      <c r="Q425" s="124"/>
      <c r="R425" s="124"/>
      <c r="S425" s="124"/>
      <c r="T425" s="124"/>
      <c r="U425" s="124">
        <v>0</v>
      </c>
      <c r="V425" s="124">
        <v>0</v>
      </c>
      <c r="W425" s="124"/>
      <c r="X425" s="124">
        <v>1800</v>
      </c>
      <c r="Y425" s="124">
        <v>1435</v>
      </c>
      <c r="Z425" s="124">
        <v>13</v>
      </c>
      <c r="AA425" s="124"/>
      <c r="AB425" s="124"/>
      <c r="AC425" s="124"/>
      <c r="AD425" s="124"/>
      <c r="AE425" s="126" t="inlineStr">
        <is>
          <t xml:space="preserve">Contrato</t>
        </is>
      </c>
    </row>
    <row r="426">
      <c r="A426" s="122">
        <v>46290</v>
      </c>
      <c r="B426" s="123" t="inlineStr">
        <is>
          <t xml:space="preserve">BASF</t>
        </is>
      </c>
      <c r="C426" s="124">
        <v>8</v>
      </c>
      <c r="D426" s="124">
        <v>77</v>
      </c>
      <c r="E426" s="125">
        <v>138.86</v>
      </c>
      <c r="F426" s="124"/>
      <c r="G426" s="124"/>
      <c r="H426" s="124"/>
      <c r="I426" s="124"/>
      <c r="J426" s="124"/>
      <c r="K426" s="124"/>
      <c r="L426" s="124">
        <v>2</v>
      </c>
      <c r="M426" s="124">
        <v>138</v>
      </c>
      <c r="N426" s="125">
        <v>117.44</v>
      </c>
      <c r="O426" s="124"/>
      <c r="P426" s="124"/>
      <c r="Q426" s="124"/>
      <c r="R426" s="124"/>
      <c r="S426" s="124"/>
      <c r="T426" s="124"/>
      <c r="U426" s="124">
        <v>0</v>
      </c>
      <c r="V426" s="124">
        <v>0</v>
      </c>
      <c r="W426" s="124">
        <v>0</v>
      </c>
      <c r="X426" s="124">
        <v>2200</v>
      </c>
      <c r="Y426" s="124">
        <v>1642</v>
      </c>
      <c r="Z426" s="124">
        <v>10</v>
      </c>
      <c r="AA426" s="124"/>
      <c r="AB426" s="124"/>
      <c r="AC426" s="124"/>
      <c r="AD426" s="124"/>
      <c r="AE426" s="126" t="inlineStr">
        <is>
          <t xml:space="preserve">Contrato</t>
        </is>
      </c>
    </row>
    <row r="427">
      <c r="A427" s="122">
        <v>46290</v>
      </c>
      <c r="B427" s="123" t="inlineStr">
        <is>
          <t xml:space="preserve">BEAUTYBIZ</t>
        </is>
      </c>
      <c r="C427" s="124">
        <v>6</v>
      </c>
      <c r="D427" s="124">
        <v>158</v>
      </c>
      <c r="E427" s="125"/>
      <c r="F427" s="124">
        <v>982</v>
      </c>
      <c r="G427" s="124"/>
      <c r="H427" s="124"/>
      <c r="I427" s="124"/>
      <c r="J427" s="124"/>
      <c r="K427" s="124"/>
      <c r="L427" s="124">
        <v>4</v>
      </c>
      <c r="M427" s="124">
        <v>72</v>
      </c>
      <c r="N427" s="125"/>
      <c r="O427" s="124"/>
      <c r="P427" s="124">
        <v>490</v>
      </c>
      <c r="Q427" s="124"/>
      <c r="R427" s="124"/>
      <c r="S427" s="124"/>
      <c r="T427" s="124"/>
      <c r="U427" s="124">
        <v>0</v>
      </c>
      <c r="V427" s="124">
        <v>0</v>
      </c>
      <c r="W427" s="124"/>
      <c r="X427" s="124">
        <v>1200</v>
      </c>
      <c r="Y427" s="124">
        <v>856</v>
      </c>
      <c r="Z427" s="124">
        <v>7</v>
      </c>
      <c r="AA427" s="124">
        <v>1</v>
      </c>
      <c r="AB427" s="124"/>
      <c r="AC427" s="124"/>
      <c r="AD427" s="124"/>
      <c r="AE427" s="126" t="inlineStr">
        <is>
          <t xml:space="preserve">Contrato</t>
        </is>
      </c>
    </row>
    <row r="428">
      <c r="A428" s="122">
        <v>46290</v>
      </c>
      <c r="B428" s="123" t="inlineStr">
        <is>
          <t xml:space="preserve">BOTICÁRIO</t>
        </is>
      </c>
      <c r="C428" s="124">
        <v>8</v>
      </c>
      <c r="D428" s="124"/>
      <c r="E428" s="125"/>
      <c r="F428" s="124"/>
      <c r="G428" s="124">
        <v>2950</v>
      </c>
      <c r="H428" s="124">
        <v>179</v>
      </c>
      <c r="I428" s="124">
        <v>434</v>
      </c>
      <c r="J428" s="124"/>
      <c r="K428" s="124"/>
      <c r="L428" s="124">
        <v>3</v>
      </c>
      <c r="M428" s="124">
        <v>95</v>
      </c>
      <c r="N428" s="125"/>
      <c r="O428" s="124"/>
      <c r="P428" s="124"/>
      <c r="Q428" s="124">
        <v>1136</v>
      </c>
      <c r="R428" s="124">
        <v>5932</v>
      </c>
      <c r="S428" s="124"/>
      <c r="T428" s="124"/>
      <c r="U428" s="124">
        <v>0</v>
      </c>
      <c r="V428" s="124">
        <v>0</v>
      </c>
      <c r="W428" s="124"/>
      <c r="X428" s="124">
        <v>3500</v>
      </c>
      <c r="Y428" s="124">
        <v>2650</v>
      </c>
      <c r="Z428" s="124">
        <v>11</v>
      </c>
      <c r="AA428" s="124">
        <v>1</v>
      </c>
      <c r="AB428" s="124"/>
      <c r="AC428" s="124"/>
      <c r="AD428" s="124"/>
      <c r="AE428" s="126" t="inlineStr">
        <is>
          <t xml:space="preserve">Contrato</t>
        </is>
      </c>
    </row>
    <row r="429">
      <c r="A429" s="122">
        <v>46290</v>
      </c>
      <c r="B429" s="123" t="inlineStr">
        <is>
          <t xml:space="preserve">SUPPLY</t>
        </is>
      </c>
      <c r="C429" s="124">
        <v>7</v>
      </c>
      <c r="D429" s="124">
        <v>27</v>
      </c>
      <c r="E429" s="125">
        <v>52.25</v>
      </c>
      <c r="F429" s="124"/>
      <c r="G429" s="124"/>
      <c r="H429" s="124"/>
      <c r="I429" s="124"/>
      <c r="J429" s="124"/>
      <c r="K429" s="124"/>
      <c r="L429" s="124">
        <v>2</v>
      </c>
      <c r="M429" s="124">
        <v>50</v>
      </c>
      <c r="N429" s="125">
        <v>77.3</v>
      </c>
      <c r="O429" s="124"/>
      <c r="P429" s="124"/>
      <c r="Q429" s="124"/>
      <c r="R429" s="124"/>
      <c r="S429" s="124"/>
      <c r="T429" s="124"/>
      <c r="U429" s="124">
        <v>0</v>
      </c>
      <c r="V429" s="124">
        <v>0</v>
      </c>
      <c r="W429" s="124"/>
      <c r="X429" s="124">
        <v>1600</v>
      </c>
      <c r="Y429" s="124">
        <v>931</v>
      </c>
      <c r="Z429" s="124">
        <v>5</v>
      </c>
      <c r="AA429" s="124"/>
      <c r="AB429" s="124"/>
      <c r="AC429" s="124"/>
      <c r="AD429" s="124"/>
      <c r="AE429" s="126" t="inlineStr">
        <is>
          <t xml:space="preserve">Spot</t>
        </is>
      </c>
    </row>
    <row r="430">
      <c r="A430" s="122">
        <v>46290</v>
      </c>
      <c r="B430" s="123" t="inlineStr">
        <is>
          <t xml:space="preserve">GE VERNOVA</t>
        </is>
      </c>
      <c r="C430" s="124">
        <v>5</v>
      </c>
      <c r="D430" s="124">
        <v>124</v>
      </c>
      <c r="E430" s="125"/>
      <c r="F430" s="124"/>
      <c r="G430" s="124"/>
      <c r="H430" s="124"/>
      <c r="I430" s="124"/>
      <c r="J430" s="124">
        <v>248</v>
      </c>
      <c r="K430" s="124">
        <v>25</v>
      </c>
      <c r="L430" s="124">
        <v>5</v>
      </c>
      <c r="M430" s="124">
        <v>79</v>
      </c>
      <c r="N430" s="125"/>
      <c r="O430" s="124"/>
      <c r="P430" s="124"/>
      <c r="Q430" s="124"/>
      <c r="R430" s="124"/>
      <c r="S430" s="124">
        <v>118</v>
      </c>
      <c r="T430" s="124">
        <v>18</v>
      </c>
      <c r="U430" s="124">
        <v>0</v>
      </c>
      <c r="V430" s="124">
        <v>0</v>
      </c>
      <c r="W430" s="124"/>
      <c r="X430" s="124">
        <v>900</v>
      </c>
      <c r="Y430" s="124">
        <v>769</v>
      </c>
      <c r="Z430" s="124">
        <v>9</v>
      </c>
      <c r="AA430" s="124"/>
      <c r="AB430" s="124"/>
      <c r="AC430" s="124"/>
      <c r="AD430" s="124"/>
      <c r="AE430" s="126" t="inlineStr">
        <is>
          <t xml:space="preserve">Contrato</t>
        </is>
      </c>
    </row>
    <row r="431">
      <c r="A431" s="122">
        <v>46290</v>
      </c>
      <c r="B431" s="123" t="inlineStr">
        <is>
          <t xml:space="preserve">VESTAS</t>
        </is>
      </c>
      <c r="C431" s="124">
        <v>7</v>
      </c>
      <c r="D431" s="124"/>
      <c r="E431" s="125"/>
      <c r="F431" s="124"/>
      <c r="G431" s="124"/>
      <c r="H431" s="124"/>
      <c r="I431" s="124"/>
      <c r="J431" s="124"/>
      <c r="K431" s="124">
        <v>59</v>
      </c>
      <c r="L431" s="124">
        <v>9</v>
      </c>
      <c r="M431" s="124"/>
      <c r="N431" s="125"/>
      <c r="O431" s="124"/>
      <c r="P431" s="124"/>
      <c r="Q431" s="124"/>
      <c r="R431" s="124"/>
      <c r="S431" s="124"/>
      <c r="T431" s="124">
        <v>48</v>
      </c>
      <c r="U431" s="124">
        <v>0</v>
      </c>
      <c r="V431" s="124">
        <v>0</v>
      </c>
      <c r="W431" s="124"/>
      <c r="X431" s="124">
        <v>600</v>
      </c>
      <c r="Y431" s="124">
        <v>428</v>
      </c>
      <c r="Z431" s="124">
        <v>12</v>
      </c>
      <c r="AA431" s="124">
        <v>1</v>
      </c>
      <c r="AB431" s="124"/>
      <c r="AC431" s="124"/>
      <c r="AD431" s="124"/>
      <c r="AE431" s="126" t="inlineStr">
        <is>
          <t xml:space="preserve">Cross</t>
        </is>
      </c>
    </row>
    <row r="432">
      <c r="A432" s="122">
        <v>46290</v>
      </c>
      <c r="B432" s="123" t="inlineStr">
        <is>
          <t xml:space="preserve">VEDACIT</t>
        </is>
      </c>
      <c r="C432" s="124">
        <v>3</v>
      </c>
      <c r="D432" s="124">
        <v>133</v>
      </c>
      <c r="E432" s="125"/>
      <c r="F432" s="124"/>
      <c r="G432" s="124"/>
      <c r="H432" s="124"/>
      <c r="I432" s="124"/>
      <c r="J432" s="124"/>
      <c r="K432" s="124"/>
      <c r="L432" s="124">
        <v>7</v>
      </c>
      <c r="M432" s="124">
        <v>73</v>
      </c>
      <c r="N432" s="125"/>
      <c r="O432" s="124"/>
      <c r="P432" s="124"/>
      <c r="Q432" s="124"/>
      <c r="R432" s="124"/>
      <c r="S432" s="124"/>
      <c r="T432" s="124"/>
      <c r="U432" s="124">
        <v>0</v>
      </c>
      <c r="V432" s="124">
        <v>0</v>
      </c>
      <c r="W432" s="124">
        <v>13</v>
      </c>
      <c r="X432" s="124">
        <v>1400</v>
      </c>
      <c r="Y432" s="124">
        <v>1230</v>
      </c>
      <c r="Z432" s="124">
        <v>9</v>
      </c>
      <c r="AA432" s="124"/>
      <c r="AB432" s="124"/>
      <c r="AC432" s="124"/>
      <c r="AD432" s="124"/>
      <c r="AE432" s="126" t="inlineStr">
        <is>
          <t xml:space="preserve">Contrato</t>
        </is>
      </c>
    </row>
    <row r="433">
      <c r="A433" s="122">
        <v>46290</v>
      </c>
      <c r="B433" s="123" t="inlineStr">
        <is>
          <t xml:space="preserve">OMNLIFE</t>
        </is>
      </c>
      <c r="C433" s="124">
        <v>7</v>
      </c>
      <c r="D433" s="124">
        <v>68</v>
      </c>
      <c r="E433" s="125"/>
      <c r="F433" s="124"/>
      <c r="G433" s="124"/>
      <c r="H433" s="124"/>
      <c r="I433" s="124"/>
      <c r="J433" s="124"/>
      <c r="K433" s="124"/>
      <c r="L433" s="124">
        <v>9</v>
      </c>
      <c r="M433" s="124">
        <v>100</v>
      </c>
      <c r="N433" s="125"/>
      <c r="O433" s="124"/>
      <c r="P433" s="124"/>
      <c r="Q433" s="124"/>
      <c r="R433" s="124"/>
      <c r="S433" s="124"/>
      <c r="T433" s="124"/>
      <c r="U433" s="124">
        <v>0</v>
      </c>
      <c r="V433" s="124">
        <v>0</v>
      </c>
      <c r="W433" s="124"/>
      <c r="X433" s="124">
        <v>500</v>
      </c>
      <c r="Y433" s="124">
        <v>482</v>
      </c>
      <c r="Z433" s="124">
        <v>4</v>
      </c>
      <c r="AA433" s="124"/>
      <c r="AB433" s="124"/>
      <c r="AC433" s="124"/>
      <c r="AD433" s="124"/>
      <c r="AE433" s="126" t="inlineStr">
        <is>
          <t xml:space="preserve">Spot</t>
        </is>
      </c>
    </row>
    <row r="434">
      <c r="A434" s="122">
        <v>46290</v>
      </c>
      <c r="B434" s="123" t="inlineStr">
        <is>
          <t xml:space="preserve">ALPARGATAS</t>
        </is>
      </c>
      <c r="C434" s="124">
        <v>6</v>
      </c>
      <c r="D434" s="124"/>
      <c r="E434" s="125"/>
      <c r="F434" s="124">
        <v>1724</v>
      </c>
      <c r="G434" s="124"/>
      <c r="H434" s="124"/>
      <c r="I434" s="124"/>
      <c r="J434" s="124"/>
      <c r="K434" s="124"/>
      <c r="L434" s="124">
        <v>6</v>
      </c>
      <c r="M434" s="124"/>
      <c r="N434" s="125"/>
      <c r="O434" s="124">
        <v>1301</v>
      </c>
      <c r="P434" s="124"/>
      <c r="Q434" s="124"/>
      <c r="R434" s="124"/>
      <c r="S434" s="124"/>
      <c r="T434" s="124"/>
      <c r="U434" s="124">
        <v>0</v>
      </c>
      <c r="V434" s="124">
        <v>0</v>
      </c>
      <c r="W434" s="124">
        <v>1</v>
      </c>
      <c r="X434" s="124">
        <v>1800</v>
      </c>
      <c r="Y434" s="124">
        <v>1344</v>
      </c>
      <c r="Z434" s="124">
        <v>7</v>
      </c>
      <c r="AA434" s="124"/>
      <c r="AB434" s="124"/>
      <c r="AC434" s="124"/>
      <c r="AD434" s="124"/>
      <c r="AE434" s="126" t="inlineStr">
        <is>
          <t xml:space="preserve">Contrato</t>
        </is>
      </c>
    </row>
    <row r="435">
      <c r="A435" s="122">
        <v>46291</v>
      </c>
      <c r="B435" s="123" t="inlineStr">
        <is>
          <t xml:space="preserve">BASF</t>
        </is>
      </c>
      <c r="C435" s="124">
        <v>6</v>
      </c>
      <c r="D435" s="124">
        <v>39</v>
      </c>
      <c r="E435" s="125">
        <v>109.76</v>
      </c>
      <c r="F435" s="124"/>
      <c r="G435" s="124"/>
      <c r="H435" s="124"/>
      <c r="I435" s="124"/>
      <c r="J435" s="124"/>
      <c r="K435" s="124"/>
      <c r="L435" s="124">
        <v>10</v>
      </c>
      <c r="M435" s="124">
        <v>107</v>
      </c>
      <c r="N435" s="125">
        <v>120.76</v>
      </c>
      <c r="O435" s="124"/>
      <c r="P435" s="124"/>
      <c r="Q435" s="124"/>
      <c r="R435" s="124"/>
      <c r="S435" s="124"/>
      <c r="T435" s="124"/>
      <c r="U435" s="124">
        <v>0</v>
      </c>
      <c r="V435" s="124">
        <v>0</v>
      </c>
      <c r="W435" s="124">
        <v>6</v>
      </c>
      <c r="X435" s="124">
        <v>2200</v>
      </c>
      <c r="Y435" s="124">
        <v>2122</v>
      </c>
      <c r="Z435" s="124">
        <v>10</v>
      </c>
      <c r="AA435" s="124"/>
      <c r="AB435" s="124">
        <v>1</v>
      </c>
      <c r="AC435" s="124"/>
      <c r="AD435" s="124"/>
      <c r="AE435" s="126" t="inlineStr">
        <is>
          <t xml:space="preserve">Contrato</t>
        </is>
      </c>
    </row>
    <row r="436">
      <c r="A436" s="122">
        <v>46291</v>
      </c>
      <c r="B436" s="123" t="inlineStr">
        <is>
          <t xml:space="preserve">BEAUTYBIZ</t>
        </is>
      </c>
      <c r="C436" s="124">
        <v>6</v>
      </c>
      <c r="D436" s="124">
        <v>44</v>
      </c>
      <c r="E436" s="125"/>
      <c r="F436" s="124">
        <v>1909</v>
      </c>
      <c r="G436" s="124"/>
      <c r="H436" s="124"/>
      <c r="I436" s="124"/>
      <c r="J436" s="124"/>
      <c r="K436" s="124"/>
      <c r="L436" s="124">
        <v>3</v>
      </c>
      <c r="M436" s="124">
        <v>125</v>
      </c>
      <c r="N436" s="125"/>
      <c r="O436" s="124"/>
      <c r="P436" s="124">
        <v>171</v>
      </c>
      <c r="Q436" s="124"/>
      <c r="R436" s="124"/>
      <c r="S436" s="124"/>
      <c r="T436" s="124"/>
      <c r="U436" s="124">
        <v>0</v>
      </c>
      <c r="V436" s="124">
        <v>0</v>
      </c>
      <c r="W436" s="124"/>
      <c r="X436" s="124">
        <v>1200</v>
      </c>
      <c r="Y436" s="124">
        <v>796</v>
      </c>
      <c r="Z436" s="124">
        <v>11</v>
      </c>
      <c r="AA436" s="124"/>
      <c r="AB436" s="124"/>
      <c r="AC436" s="124"/>
      <c r="AD436" s="124"/>
      <c r="AE436" s="126" t="inlineStr">
        <is>
          <t xml:space="preserve">Contrato</t>
        </is>
      </c>
    </row>
    <row r="437">
      <c r="A437" s="122">
        <v>46291</v>
      </c>
      <c r="B437" s="123" t="inlineStr">
        <is>
          <t xml:space="preserve">BOTICÁRIO</t>
        </is>
      </c>
      <c r="C437" s="124">
        <v>5</v>
      </c>
      <c r="D437" s="124"/>
      <c r="E437" s="125"/>
      <c r="F437" s="124"/>
      <c r="G437" s="124">
        <v>2125</v>
      </c>
      <c r="H437" s="124">
        <v>382</v>
      </c>
      <c r="I437" s="124">
        <v>865</v>
      </c>
      <c r="J437" s="124"/>
      <c r="K437" s="124"/>
      <c r="L437" s="124">
        <v>2</v>
      </c>
      <c r="M437" s="124">
        <v>47</v>
      </c>
      <c r="N437" s="125"/>
      <c r="O437" s="124"/>
      <c r="P437" s="124"/>
      <c r="Q437" s="124">
        <v>496</v>
      </c>
      <c r="R437" s="124">
        <v>3907</v>
      </c>
      <c r="S437" s="124"/>
      <c r="T437" s="124"/>
      <c r="U437" s="124">
        <v>0</v>
      </c>
      <c r="V437" s="124">
        <v>0</v>
      </c>
      <c r="W437" s="124">
        <v>9</v>
      </c>
      <c r="X437" s="124">
        <v>3500</v>
      </c>
      <c r="Y437" s="124">
        <v>2339</v>
      </c>
      <c r="Z437" s="124">
        <v>12</v>
      </c>
      <c r="AA437" s="124"/>
      <c r="AB437" s="124"/>
      <c r="AC437" s="124"/>
      <c r="AD437" s="124"/>
      <c r="AE437" s="126" t="inlineStr">
        <is>
          <t xml:space="preserve">Contrato</t>
        </is>
      </c>
    </row>
    <row r="438">
      <c r="A438" s="122">
        <v>46291</v>
      </c>
      <c r="B438" s="123" t="inlineStr">
        <is>
          <t xml:space="preserve">SUPPLY</t>
        </is>
      </c>
      <c r="C438" s="124">
        <v>4</v>
      </c>
      <c r="D438" s="124">
        <v>36</v>
      </c>
      <c r="E438" s="125">
        <v>37.46</v>
      </c>
      <c r="F438" s="124"/>
      <c r="G438" s="124"/>
      <c r="H438" s="124"/>
      <c r="I438" s="124"/>
      <c r="J438" s="124"/>
      <c r="K438" s="124"/>
      <c r="L438" s="124">
        <v>4</v>
      </c>
      <c r="M438" s="124">
        <v>100</v>
      </c>
      <c r="N438" s="125">
        <v>70.77</v>
      </c>
      <c r="O438" s="124"/>
      <c r="P438" s="124"/>
      <c r="Q438" s="124"/>
      <c r="R438" s="124"/>
      <c r="S438" s="124"/>
      <c r="T438" s="124"/>
      <c r="U438" s="124">
        <v>0</v>
      </c>
      <c r="V438" s="124">
        <v>0</v>
      </c>
      <c r="W438" s="124"/>
      <c r="X438" s="124">
        <v>1600</v>
      </c>
      <c r="Y438" s="124">
        <v>1366</v>
      </c>
      <c r="Z438" s="124">
        <v>9</v>
      </c>
      <c r="AA438" s="124"/>
      <c r="AB438" s="124"/>
      <c r="AC438" s="124"/>
      <c r="AD438" s="124"/>
      <c r="AE438" s="126" t="inlineStr">
        <is>
          <t xml:space="preserve">Spot</t>
        </is>
      </c>
    </row>
    <row r="439">
      <c r="A439" s="122">
        <v>46291</v>
      </c>
      <c r="B439" s="123" t="inlineStr">
        <is>
          <t xml:space="preserve">GE VERNOVA</t>
        </is>
      </c>
      <c r="C439" s="124">
        <v>5</v>
      </c>
      <c r="D439" s="124">
        <v>147</v>
      </c>
      <c r="E439" s="125"/>
      <c r="F439" s="124"/>
      <c r="G439" s="124"/>
      <c r="H439" s="124"/>
      <c r="I439" s="124"/>
      <c r="J439" s="124">
        <v>184</v>
      </c>
      <c r="K439" s="124">
        <v>38</v>
      </c>
      <c r="L439" s="124">
        <v>8</v>
      </c>
      <c r="M439" s="124">
        <v>52</v>
      </c>
      <c r="N439" s="125"/>
      <c r="O439" s="124"/>
      <c r="P439" s="124"/>
      <c r="Q439" s="124"/>
      <c r="R439" s="124"/>
      <c r="S439" s="124">
        <v>186</v>
      </c>
      <c r="T439" s="124">
        <v>37</v>
      </c>
      <c r="U439" s="124">
        <v>0</v>
      </c>
      <c r="V439" s="124">
        <v>0</v>
      </c>
      <c r="W439" s="124">
        <v>15</v>
      </c>
      <c r="X439" s="124">
        <v>900</v>
      </c>
      <c r="Y439" s="124">
        <v>627</v>
      </c>
      <c r="Z439" s="124">
        <v>11</v>
      </c>
      <c r="AA439" s="124"/>
      <c r="AB439" s="124">
        <v>1</v>
      </c>
      <c r="AC439" s="124"/>
      <c r="AD439" s="124"/>
      <c r="AE439" s="126" t="inlineStr">
        <is>
          <t xml:space="preserve">Contrato</t>
        </is>
      </c>
    </row>
    <row r="440">
      <c r="A440" s="122">
        <v>46291</v>
      </c>
      <c r="B440" s="123" t="inlineStr">
        <is>
          <t xml:space="preserve">VESTAS</t>
        </is>
      </c>
      <c r="C440" s="124">
        <v>5</v>
      </c>
      <c r="D440" s="124"/>
      <c r="E440" s="125"/>
      <c r="F440" s="124"/>
      <c r="G440" s="124"/>
      <c r="H440" s="124"/>
      <c r="I440" s="124"/>
      <c r="J440" s="124"/>
      <c r="K440" s="124">
        <v>62</v>
      </c>
      <c r="L440" s="124">
        <v>2</v>
      </c>
      <c r="M440" s="124"/>
      <c r="N440" s="125"/>
      <c r="O440" s="124"/>
      <c r="P440" s="124"/>
      <c r="Q440" s="124"/>
      <c r="R440" s="124"/>
      <c r="S440" s="124"/>
      <c r="T440" s="124">
        <v>47</v>
      </c>
      <c r="U440" s="124">
        <v>0</v>
      </c>
      <c r="V440" s="124">
        <v>0</v>
      </c>
      <c r="W440" s="124"/>
      <c r="X440" s="124">
        <v>600</v>
      </c>
      <c r="Y440" s="124">
        <v>459</v>
      </c>
      <c r="Z440" s="124">
        <v>6</v>
      </c>
      <c r="AA440" s="124"/>
      <c r="AB440" s="124"/>
      <c r="AC440" s="124"/>
      <c r="AD440" s="124"/>
      <c r="AE440" s="126" t="inlineStr">
        <is>
          <t xml:space="preserve">Cross</t>
        </is>
      </c>
    </row>
    <row r="441">
      <c r="A441" s="122">
        <v>46291</v>
      </c>
      <c r="B441" s="123" t="inlineStr">
        <is>
          <t xml:space="preserve">VEDACIT</t>
        </is>
      </c>
      <c r="C441" s="124">
        <v>4</v>
      </c>
      <c r="D441" s="124">
        <v>62</v>
      </c>
      <c r="E441" s="125"/>
      <c r="F441" s="124"/>
      <c r="G441" s="124"/>
      <c r="H441" s="124"/>
      <c r="I441" s="124"/>
      <c r="J441" s="124"/>
      <c r="K441" s="124"/>
      <c r="L441" s="124">
        <v>7</v>
      </c>
      <c r="M441" s="124">
        <v>66</v>
      </c>
      <c r="N441" s="125"/>
      <c r="O441" s="124"/>
      <c r="P441" s="124"/>
      <c r="Q441" s="124"/>
      <c r="R441" s="124"/>
      <c r="S441" s="124"/>
      <c r="T441" s="124"/>
      <c r="U441" s="124">
        <v>0</v>
      </c>
      <c r="V441" s="124">
        <v>0</v>
      </c>
      <c r="W441" s="124"/>
      <c r="X441" s="124">
        <v>1400</v>
      </c>
      <c r="Y441" s="124">
        <v>891</v>
      </c>
      <c r="Z441" s="124">
        <v>9</v>
      </c>
      <c r="AA441" s="124">
        <v>1</v>
      </c>
      <c r="AB441" s="124"/>
      <c r="AC441" s="124"/>
      <c r="AD441" s="124"/>
      <c r="AE441" s="126" t="inlineStr">
        <is>
          <t xml:space="preserve">Contrato</t>
        </is>
      </c>
    </row>
    <row r="442">
      <c r="A442" s="122">
        <v>46291</v>
      </c>
      <c r="B442" s="123" t="inlineStr">
        <is>
          <t xml:space="preserve">OMNLIFE</t>
        </is>
      </c>
      <c r="C442" s="124">
        <v>5</v>
      </c>
      <c r="D442" s="124">
        <v>155</v>
      </c>
      <c r="E442" s="125"/>
      <c r="F442" s="124"/>
      <c r="G442" s="124"/>
      <c r="H442" s="124"/>
      <c r="I442" s="124"/>
      <c r="J442" s="124"/>
      <c r="K442" s="124"/>
      <c r="L442" s="124">
        <v>8</v>
      </c>
      <c r="M442" s="124">
        <v>84</v>
      </c>
      <c r="N442" s="125"/>
      <c r="O442" s="124"/>
      <c r="P442" s="124"/>
      <c r="Q442" s="124"/>
      <c r="R442" s="124"/>
      <c r="S442" s="124"/>
      <c r="T442" s="124"/>
      <c r="U442" s="124">
        <v>0</v>
      </c>
      <c r="V442" s="124">
        <v>0</v>
      </c>
      <c r="W442" s="124"/>
      <c r="X442" s="124">
        <v>500</v>
      </c>
      <c r="Y442" s="124">
        <v>345</v>
      </c>
      <c r="Z442" s="124">
        <v>6</v>
      </c>
      <c r="AA442" s="124">
        <v>1</v>
      </c>
      <c r="AB442" s="124"/>
      <c r="AC442" s="124"/>
      <c r="AD442" s="124"/>
      <c r="AE442" s="126" t="inlineStr">
        <is>
          <t xml:space="preserve">Spot</t>
        </is>
      </c>
    </row>
    <row r="443">
      <c r="A443" s="122">
        <v>46291</v>
      </c>
      <c r="B443" s="123" t="inlineStr">
        <is>
          <t xml:space="preserve">ALPARGATAS</t>
        </is>
      </c>
      <c r="C443" s="124">
        <v>6</v>
      </c>
      <c r="D443" s="124"/>
      <c r="E443" s="125"/>
      <c r="F443" s="124">
        <v>1203</v>
      </c>
      <c r="G443" s="124"/>
      <c r="H443" s="124"/>
      <c r="I443" s="124"/>
      <c r="J443" s="124"/>
      <c r="K443" s="124"/>
      <c r="L443" s="124">
        <v>9</v>
      </c>
      <c r="M443" s="124"/>
      <c r="N443" s="125"/>
      <c r="O443" s="124">
        <v>399</v>
      </c>
      <c r="P443" s="124"/>
      <c r="Q443" s="124"/>
      <c r="R443" s="124"/>
      <c r="S443" s="124"/>
      <c r="T443" s="124"/>
      <c r="U443" s="124">
        <v>0</v>
      </c>
      <c r="V443" s="124">
        <v>0</v>
      </c>
      <c r="W443" s="124"/>
      <c r="X443" s="124">
        <v>1800</v>
      </c>
      <c r="Y443" s="124">
        <v>1346</v>
      </c>
      <c r="Z443" s="124">
        <v>9</v>
      </c>
      <c r="AA443" s="124"/>
      <c r="AB443" s="124"/>
      <c r="AC443" s="124">
        <v>1</v>
      </c>
      <c r="AD443" s="124"/>
      <c r="AE443" s="126" t="inlineStr">
        <is>
          <t xml:space="preserve">Contrato</t>
        </is>
      </c>
    </row>
    <row r="444">
      <c r="A444" s="122">
        <v>46293</v>
      </c>
      <c r="B444" s="123" t="inlineStr">
        <is>
          <t xml:space="preserve">BASF</t>
        </is>
      </c>
      <c r="C444" s="124">
        <v>2</v>
      </c>
      <c r="D444" s="124">
        <v>140</v>
      </c>
      <c r="E444" s="125">
        <v>99.66</v>
      </c>
      <c r="F444" s="124"/>
      <c r="G444" s="124"/>
      <c r="H444" s="124"/>
      <c r="I444" s="124"/>
      <c r="J444" s="124"/>
      <c r="K444" s="124"/>
      <c r="L444" s="124">
        <v>6</v>
      </c>
      <c r="M444" s="124">
        <v>156</v>
      </c>
      <c r="N444" s="125">
        <v>133.34</v>
      </c>
      <c r="O444" s="124"/>
      <c r="P444" s="124"/>
      <c r="Q444" s="124"/>
      <c r="R444" s="124"/>
      <c r="S444" s="124"/>
      <c r="T444" s="124"/>
      <c r="U444" s="124">
        <v>0</v>
      </c>
      <c r="V444" s="124">
        <v>0</v>
      </c>
      <c r="W444" s="124"/>
      <c r="X444" s="124">
        <v>2200</v>
      </c>
      <c r="Y444" s="124">
        <v>1882</v>
      </c>
      <c r="Z444" s="124">
        <v>13</v>
      </c>
      <c r="AA444" s="124">
        <v>1</v>
      </c>
      <c r="AB444" s="124"/>
      <c r="AC444" s="124"/>
      <c r="AD444" s="124"/>
      <c r="AE444" s="126" t="inlineStr">
        <is>
          <t xml:space="preserve">Contrato</t>
        </is>
      </c>
    </row>
    <row r="445">
      <c r="A445" s="122">
        <v>46293</v>
      </c>
      <c r="B445" s="123" t="inlineStr">
        <is>
          <t xml:space="preserve">BEAUTYBIZ</t>
        </is>
      </c>
      <c r="C445" s="124">
        <v>6</v>
      </c>
      <c r="D445" s="124">
        <v>55</v>
      </c>
      <c r="E445" s="125"/>
      <c r="F445" s="124">
        <v>2315</v>
      </c>
      <c r="G445" s="124"/>
      <c r="H445" s="124"/>
      <c r="I445" s="124"/>
      <c r="J445" s="124"/>
      <c r="K445" s="124"/>
      <c r="L445" s="124">
        <v>6</v>
      </c>
      <c r="M445" s="124">
        <v>99</v>
      </c>
      <c r="N445" s="125"/>
      <c r="O445" s="124"/>
      <c r="P445" s="124">
        <v>407</v>
      </c>
      <c r="Q445" s="124"/>
      <c r="R445" s="124"/>
      <c r="S445" s="124"/>
      <c r="T445" s="124"/>
      <c r="U445" s="124">
        <v>0</v>
      </c>
      <c r="V445" s="124">
        <v>0</v>
      </c>
      <c r="W445" s="124">
        <v>6</v>
      </c>
      <c r="X445" s="124">
        <v>1200</v>
      </c>
      <c r="Y445" s="124">
        <v>782</v>
      </c>
      <c r="Z445" s="124">
        <v>4</v>
      </c>
      <c r="AA445" s="124"/>
      <c r="AB445" s="124"/>
      <c r="AC445" s="124"/>
      <c r="AD445" s="124"/>
      <c r="AE445" s="126" t="inlineStr">
        <is>
          <t xml:space="preserve">Contrato</t>
        </is>
      </c>
    </row>
    <row r="446">
      <c r="A446" s="122">
        <v>46293</v>
      </c>
      <c r="B446" s="123" t="inlineStr">
        <is>
          <t xml:space="preserve">BOTICÁRIO</t>
        </is>
      </c>
      <c r="C446" s="124">
        <v>4</v>
      </c>
      <c r="D446" s="124"/>
      <c r="E446" s="125"/>
      <c r="F446" s="124"/>
      <c r="G446" s="124">
        <v>5721</v>
      </c>
      <c r="H446" s="124">
        <v>61</v>
      </c>
      <c r="I446" s="124">
        <v>435</v>
      </c>
      <c r="J446" s="124"/>
      <c r="K446" s="124"/>
      <c r="L446" s="124">
        <v>2</v>
      </c>
      <c r="M446" s="124">
        <v>153</v>
      </c>
      <c r="N446" s="125"/>
      <c r="O446" s="124"/>
      <c r="P446" s="124"/>
      <c r="Q446" s="124">
        <v>1197</v>
      </c>
      <c r="R446" s="124">
        <v>2282</v>
      </c>
      <c r="S446" s="124"/>
      <c r="T446" s="124"/>
      <c r="U446" s="124">
        <v>0</v>
      </c>
      <c r="V446" s="124">
        <v>0</v>
      </c>
      <c r="W446" s="124">
        <v>4</v>
      </c>
      <c r="X446" s="124">
        <v>3500</v>
      </c>
      <c r="Y446" s="124">
        <v>2649</v>
      </c>
      <c r="Z446" s="124">
        <v>11</v>
      </c>
      <c r="AA446" s="124"/>
      <c r="AB446" s="124"/>
      <c r="AC446" s="124"/>
      <c r="AD446" s="124"/>
      <c r="AE446" s="126" t="inlineStr">
        <is>
          <t xml:space="preserve">Contrato</t>
        </is>
      </c>
    </row>
    <row r="447">
      <c r="A447" s="122">
        <v>46293</v>
      </c>
      <c r="B447" s="123" t="inlineStr">
        <is>
          <t xml:space="preserve">SUPPLY</t>
        </is>
      </c>
      <c r="C447" s="124">
        <v>5</v>
      </c>
      <c r="D447" s="124">
        <v>150</v>
      </c>
      <c r="E447" s="125">
        <v>49.75</v>
      </c>
      <c r="F447" s="124"/>
      <c r="G447" s="124"/>
      <c r="H447" s="124"/>
      <c r="I447" s="124"/>
      <c r="J447" s="124"/>
      <c r="K447" s="124"/>
      <c r="L447" s="124">
        <v>2</v>
      </c>
      <c r="M447" s="124">
        <v>36</v>
      </c>
      <c r="N447" s="125">
        <v>130.93</v>
      </c>
      <c r="O447" s="124"/>
      <c r="P447" s="124"/>
      <c r="Q447" s="124"/>
      <c r="R447" s="124"/>
      <c r="S447" s="124"/>
      <c r="T447" s="124"/>
      <c r="U447" s="124">
        <v>0</v>
      </c>
      <c r="V447" s="124">
        <v>0</v>
      </c>
      <c r="W447" s="124"/>
      <c r="X447" s="124">
        <v>1600</v>
      </c>
      <c r="Y447" s="124">
        <v>1239</v>
      </c>
      <c r="Z447" s="124">
        <v>6</v>
      </c>
      <c r="AA447" s="124"/>
      <c r="AB447" s="124"/>
      <c r="AC447" s="124">
        <v>1</v>
      </c>
      <c r="AD447" s="124"/>
      <c r="AE447" s="126" t="inlineStr">
        <is>
          <t xml:space="preserve">Spot</t>
        </is>
      </c>
    </row>
    <row r="448">
      <c r="A448" s="122">
        <v>46293</v>
      </c>
      <c r="B448" s="123" t="inlineStr">
        <is>
          <t xml:space="preserve">GE VERNOVA</t>
        </is>
      </c>
      <c r="C448" s="124">
        <v>4</v>
      </c>
      <c r="D448" s="124">
        <v>37</v>
      </c>
      <c r="E448" s="125"/>
      <c r="F448" s="124"/>
      <c r="G448" s="124"/>
      <c r="H448" s="124"/>
      <c r="I448" s="124"/>
      <c r="J448" s="124">
        <v>279</v>
      </c>
      <c r="K448" s="124">
        <v>13</v>
      </c>
      <c r="L448" s="124">
        <v>11</v>
      </c>
      <c r="M448" s="124">
        <v>87</v>
      </c>
      <c r="N448" s="125"/>
      <c r="O448" s="124"/>
      <c r="P448" s="124"/>
      <c r="Q448" s="124"/>
      <c r="R448" s="124"/>
      <c r="S448" s="124">
        <v>533</v>
      </c>
      <c r="T448" s="124">
        <v>86</v>
      </c>
      <c r="U448" s="124">
        <v>0</v>
      </c>
      <c r="V448" s="124">
        <v>0</v>
      </c>
      <c r="W448" s="124"/>
      <c r="X448" s="124">
        <v>900</v>
      </c>
      <c r="Y448" s="124">
        <v>770</v>
      </c>
      <c r="Z448" s="124">
        <v>7</v>
      </c>
      <c r="AA448" s="124">
        <v>1</v>
      </c>
      <c r="AB448" s="124"/>
      <c r="AC448" s="124"/>
      <c r="AD448" s="124"/>
      <c r="AE448" s="126" t="inlineStr">
        <is>
          <t xml:space="preserve">Contrato</t>
        </is>
      </c>
    </row>
    <row r="449">
      <c r="A449" s="122">
        <v>46293</v>
      </c>
      <c r="B449" s="123" t="inlineStr">
        <is>
          <t xml:space="preserve">VESTAS</t>
        </is>
      </c>
      <c r="C449" s="124">
        <v>2</v>
      </c>
      <c r="D449" s="124"/>
      <c r="E449" s="125"/>
      <c r="F449" s="124"/>
      <c r="G449" s="124"/>
      <c r="H449" s="124"/>
      <c r="I449" s="124"/>
      <c r="J449" s="124"/>
      <c r="K449" s="124">
        <v>71</v>
      </c>
      <c r="L449" s="124">
        <v>4</v>
      </c>
      <c r="M449" s="124"/>
      <c r="N449" s="125"/>
      <c r="O449" s="124"/>
      <c r="P449" s="124"/>
      <c r="Q449" s="124"/>
      <c r="R449" s="124"/>
      <c r="S449" s="124"/>
      <c r="T449" s="124">
        <v>46</v>
      </c>
      <c r="U449" s="124">
        <v>0</v>
      </c>
      <c r="V449" s="124">
        <v>0</v>
      </c>
      <c r="W449" s="124"/>
      <c r="X449" s="124">
        <v>600</v>
      </c>
      <c r="Y449" s="124">
        <v>359</v>
      </c>
      <c r="Z449" s="124">
        <v>9</v>
      </c>
      <c r="AA449" s="124"/>
      <c r="AB449" s="124"/>
      <c r="AC449" s="124"/>
      <c r="AD449" s="124"/>
      <c r="AE449" s="126" t="inlineStr">
        <is>
          <t xml:space="preserve">Cross</t>
        </is>
      </c>
    </row>
    <row r="450">
      <c r="A450" s="122">
        <v>46293</v>
      </c>
      <c r="B450" s="123" t="inlineStr">
        <is>
          <t xml:space="preserve">VEDACIT</t>
        </is>
      </c>
      <c r="C450" s="124">
        <v>8</v>
      </c>
      <c r="D450" s="124">
        <v>110</v>
      </c>
      <c r="E450" s="125"/>
      <c r="F450" s="124"/>
      <c r="G450" s="124"/>
      <c r="H450" s="124"/>
      <c r="I450" s="124"/>
      <c r="J450" s="124"/>
      <c r="K450" s="124"/>
      <c r="L450" s="124">
        <v>8</v>
      </c>
      <c r="M450" s="124">
        <v>102</v>
      </c>
      <c r="N450" s="125"/>
      <c r="O450" s="124"/>
      <c r="P450" s="124"/>
      <c r="Q450" s="124"/>
      <c r="R450" s="124"/>
      <c r="S450" s="124"/>
      <c r="T450" s="124"/>
      <c r="U450" s="124">
        <v>0</v>
      </c>
      <c r="V450" s="124">
        <v>0</v>
      </c>
      <c r="W450" s="124"/>
      <c r="X450" s="124">
        <v>1400</v>
      </c>
      <c r="Y450" s="124">
        <v>845</v>
      </c>
      <c r="Z450" s="124">
        <v>10</v>
      </c>
      <c r="AA450" s="124"/>
      <c r="AB450" s="124">
        <v>1</v>
      </c>
      <c r="AC450" s="124"/>
      <c r="AD450" s="124"/>
      <c r="AE450" s="126" t="inlineStr">
        <is>
          <t xml:space="preserve">Contrato</t>
        </is>
      </c>
    </row>
    <row r="451">
      <c r="A451" s="122">
        <v>46293</v>
      </c>
      <c r="B451" s="123" t="inlineStr">
        <is>
          <t xml:space="preserve">OMNLIFE</t>
        </is>
      </c>
      <c r="C451" s="124">
        <v>5</v>
      </c>
      <c r="D451" s="124">
        <v>40</v>
      </c>
      <c r="E451" s="125"/>
      <c r="F451" s="124"/>
      <c r="G451" s="124"/>
      <c r="H451" s="124"/>
      <c r="I451" s="124"/>
      <c r="J451" s="124"/>
      <c r="K451" s="124"/>
      <c r="L451" s="124">
        <v>4</v>
      </c>
      <c r="M451" s="124">
        <v>61</v>
      </c>
      <c r="N451" s="125"/>
      <c r="O451" s="124"/>
      <c r="P451" s="124"/>
      <c r="Q451" s="124"/>
      <c r="R451" s="124"/>
      <c r="S451" s="124"/>
      <c r="T451" s="124"/>
      <c r="U451" s="124">
        <v>0</v>
      </c>
      <c r="V451" s="124">
        <v>0</v>
      </c>
      <c r="W451" s="124"/>
      <c r="X451" s="124">
        <v>500</v>
      </c>
      <c r="Y451" s="124">
        <v>298</v>
      </c>
      <c r="Z451" s="124">
        <v>11</v>
      </c>
      <c r="AA451" s="124"/>
      <c r="AB451" s="124"/>
      <c r="AC451" s="124"/>
      <c r="AD451" s="124"/>
      <c r="AE451" s="126" t="inlineStr">
        <is>
          <t xml:space="preserve">Spot</t>
        </is>
      </c>
    </row>
    <row r="452">
      <c r="A452" s="122">
        <v>46293</v>
      </c>
      <c r="B452" s="123" t="inlineStr">
        <is>
          <t xml:space="preserve">ALPARGATAS</t>
        </is>
      </c>
      <c r="C452" s="124">
        <v>2</v>
      </c>
      <c r="D452" s="124"/>
      <c r="E452" s="125"/>
      <c r="F452" s="124">
        <v>2222</v>
      </c>
      <c r="G452" s="124"/>
      <c r="H452" s="124"/>
      <c r="I452" s="124"/>
      <c r="J452" s="124"/>
      <c r="K452" s="124"/>
      <c r="L452" s="124">
        <v>11</v>
      </c>
      <c r="M452" s="124"/>
      <c r="N452" s="125"/>
      <c r="O452" s="124">
        <v>957</v>
      </c>
      <c r="P452" s="124"/>
      <c r="Q452" s="124"/>
      <c r="R452" s="124"/>
      <c r="S452" s="124"/>
      <c r="T452" s="124"/>
      <c r="U452" s="124">
        <v>0</v>
      </c>
      <c r="V452" s="124">
        <v>0</v>
      </c>
      <c r="W452" s="124">
        <v>7</v>
      </c>
      <c r="X452" s="124">
        <v>1800</v>
      </c>
      <c r="Y452" s="124">
        <v>1622</v>
      </c>
      <c r="Z452" s="124">
        <v>7</v>
      </c>
      <c r="AA452" s="124"/>
      <c r="AB452" s="124"/>
      <c r="AC452" s="124"/>
      <c r="AD452" s="124"/>
      <c r="AE452" s="126" t="inlineStr">
        <is>
          <t xml:space="preserve">Contrato</t>
        </is>
      </c>
    </row>
    <row r="453">
      <c r="A453" s="122">
        <v>46294</v>
      </c>
      <c r="B453" s="123" t="inlineStr">
        <is>
          <t xml:space="preserve">BASF</t>
        </is>
      </c>
      <c r="C453" s="124">
        <v>5</v>
      </c>
      <c r="D453" s="124">
        <v>36</v>
      </c>
      <c r="E453" s="125">
        <v>38.28</v>
      </c>
      <c r="F453" s="124"/>
      <c r="G453" s="124"/>
      <c r="H453" s="124"/>
      <c r="I453" s="124"/>
      <c r="J453" s="124"/>
      <c r="K453" s="124"/>
      <c r="L453" s="124">
        <v>10</v>
      </c>
      <c r="M453" s="124">
        <v>130</v>
      </c>
      <c r="N453" s="125">
        <v>60.68</v>
      </c>
      <c r="O453" s="124"/>
      <c r="P453" s="124"/>
      <c r="Q453" s="124"/>
      <c r="R453" s="124"/>
      <c r="S453" s="124"/>
      <c r="T453" s="124"/>
      <c r="U453" s="124">
        <v>0</v>
      </c>
      <c r="V453" s="124">
        <v>0</v>
      </c>
      <c r="W453" s="124"/>
      <c r="X453" s="124">
        <v>2200</v>
      </c>
      <c r="Y453" s="124">
        <v>1935</v>
      </c>
      <c r="Z453" s="124">
        <v>6</v>
      </c>
      <c r="AA453" s="124"/>
      <c r="AB453" s="124"/>
      <c r="AC453" s="124"/>
      <c r="AD453" s="124"/>
      <c r="AE453" s="126" t="inlineStr">
        <is>
          <t xml:space="preserve">Contrato</t>
        </is>
      </c>
    </row>
    <row r="454">
      <c r="A454" s="122">
        <v>46294</v>
      </c>
      <c r="B454" s="123" t="inlineStr">
        <is>
          <t xml:space="preserve">BEAUTYBIZ</t>
        </is>
      </c>
      <c r="C454" s="124">
        <v>5</v>
      </c>
      <c r="D454" s="124">
        <v>101</v>
      </c>
      <c r="E454" s="125"/>
      <c r="F454" s="124">
        <v>2034</v>
      </c>
      <c r="G454" s="124"/>
      <c r="H454" s="124"/>
      <c r="I454" s="124"/>
      <c r="J454" s="124"/>
      <c r="K454" s="124"/>
      <c r="L454" s="124">
        <v>11</v>
      </c>
      <c r="M454" s="124">
        <v>127</v>
      </c>
      <c r="N454" s="125"/>
      <c r="O454" s="124"/>
      <c r="P454" s="124">
        <v>160</v>
      </c>
      <c r="Q454" s="124"/>
      <c r="R454" s="124"/>
      <c r="S454" s="124"/>
      <c r="T454" s="124"/>
      <c r="U454" s="124">
        <v>0</v>
      </c>
      <c r="V454" s="124">
        <v>1</v>
      </c>
      <c r="W454" s="124"/>
      <c r="X454" s="124">
        <v>1200</v>
      </c>
      <c r="Y454" s="124">
        <v>913</v>
      </c>
      <c r="Z454" s="124">
        <v>5</v>
      </c>
      <c r="AA454" s="124"/>
      <c r="AB454" s="124"/>
      <c r="AC454" s="124"/>
      <c r="AD454" s="124"/>
      <c r="AE454" s="126" t="inlineStr">
        <is>
          <t xml:space="preserve">Contrato</t>
        </is>
      </c>
    </row>
    <row r="455">
      <c r="A455" s="122">
        <v>46294</v>
      </c>
      <c r="B455" s="123" t="inlineStr">
        <is>
          <t xml:space="preserve">BOTICÁRIO</t>
        </is>
      </c>
      <c r="C455" s="124">
        <v>2</v>
      </c>
      <c r="D455" s="124"/>
      <c r="E455" s="125"/>
      <c r="F455" s="124"/>
      <c r="G455" s="124">
        <v>3982</v>
      </c>
      <c r="H455" s="124">
        <v>347</v>
      </c>
      <c r="I455" s="124">
        <v>682</v>
      </c>
      <c r="J455" s="124"/>
      <c r="K455" s="124"/>
      <c r="L455" s="124">
        <v>7</v>
      </c>
      <c r="M455" s="124">
        <v>29</v>
      </c>
      <c r="N455" s="125"/>
      <c r="O455" s="124"/>
      <c r="P455" s="124"/>
      <c r="Q455" s="124">
        <v>1165</v>
      </c>
      <c r="R455" s="124">
        <v>6949</v>
      </c>
      <c r="S455" s="124"/>
      <c r="T455" s="124"/>
      <c r="U455" s="124">
        <v>0</v>
      </c>
      <c r="V455" s="124">
        <v>1</v>
      </c>
      <c r="W455" s="124">
        <v>5</v>
      </c>
      <c r="X455" s="124">
        <v>3500</v>
      </c>
      <c r="Y455" s="124">
        <v>2863</v>
      </c>
      <c r="Z455" s="124">
        <v>9</v>
      </c>
      <c r="AA455" s="124"/>
      <c r="AB455" s="124"/>
      <c r="AC455" s="124"/>
      <c r="AD455" s="124"/>
      <c r="AE455" s="126" t="inlineStr">
        <is>
          <t xml:space="preserve">Contrato</t>
        </is>
      </c>
    </row>
    <row r="456">
      <c r="A456" s="122">
        <v>46294</v>
      </c>
      <c r="B456" s="123" t="inlineStr">
        <is>
          <t xml:space="preserve">SUPPLY</t>
        </is>
      </c>
      <c r="C456" s="124">
        <v>8</v>
      </c>
      <c r="D456" s="124">
        <v>95</v>
      </c>
      <c r="E456" s="125">
        <v>33.61</v>
      </c>
      <c r="F456" s="124"/>
      <c r="G456" s="124"/>
      <c r="H456" s="124"/>
      <c r="I456" s="124"/>
      <c r="J456" s="124"/>
      <c r="K456" s="124"/>
      <c r="L456" s="124">
        <v>11</v>
      </c>
      <c r="M456" s="124">
        <v>57</v>
      </c>
      <c r="N456" s="125">
        <v>129.02</v>
      </c>
      <c r="O456" s="124"/>
      <c r="P456" s="124"/>
      <c r="Q456" s="124"/>
      <c r="R456" s="124"/>
      <c r="S456" s="124"/>
      <c r="T456" s="124"/>
      <c r="U456" s="124">
        <v>0</v>
      </c>
      <c r="V456" s="124">
        <v>0</v>
      </c>
      <c r="W456" s="124"/>
      <c r="X456" s="124">
        <v>1600</v>
      </c>
      <c r="Y456" s="124">
        <v>1077</v>
      </c>
      <c r="Z456" s="124">
        <v>11</v>
      </c>
      <c r="AA456" s="124"/>
      <c r="AB456" s="124"/>
      <c r="AC456" s="124"/>
      <c r="AD456" s="124"/>
      <c r="AE456" s="126" t="inlineStr">
        <is>
          <t xml:space="preserve">Spot</t>
        </is>
      </c>
    </row>
    <row r="457">
      <c r="A457" s="122">
        <v>46294</v>
      </c>
      <c r="B457" s="123" t="inlineStr">
        <is>
          <t xml:space="preserve">GE VERNOVA</t>
        </is>
      </c>
      <c r="C457" s="124">
        <v>8</v>
      </c>
      <c r="D457" s="124">
        <v>121</v>
      </c>
      <c r="E457" s="125"/>
      <c r="F457" s="124"/>
      <c r="G457" s="124"/>
      <c r="H457" s="124"/>
      <c r="I457" s="124"/>
      <c r="J457" s="124">
        <v>145</v>
      </c>
      <c r="K457" s="124">
        <v>100</v>
      </c>
      <c r="L457" s="124">
        <v>5</v>
      </c>
      <c r="M457" s="124">
        <v>139</v>
      </c>
      <c r="N457" s="125"/>
      <c r="O457" s="124"/>
      <c r="P457" s="124"/>
      <c r="Q457" s="124"/>
      <c r="R457" s="124"/>
      <c r="S457" s="124">
        <v>589</v>
      </c>
      <c r="T457" s="124">
        <v>27</v>
      </c>
      <c r="U457" s="124">
        <v>0</v>
      </c>
      <c r="V457" s="124">
        <v>1</v>
      </c>
      <c r="W457" s="124"/>
      <c r="X457" s="124">
        <v>900</v>
      </c>
      <c r="Y457" s="124">
        <v>738</v>
      </c>
      <c r="Z457" s="124">
        <v>6</v>
      </c>
      <c r="AA457" s="124"/>
      <c r="AB457" s="124"/>
      <c r="AC457" s="124"/>
      <c r="AD457" s="124"/>
      <c r="AE457" s="126" t="inlineStr">
        <is>
          <t xml:space="preserve">Contrato</t>
        </is>
      </c>
    </row>
    <row r="458">
      <c r="A458" s="122">
        <v>46294</v>
      </c>
      <c r="B458" s="123" t="inlineStr">
        <is>
          <t xml:space="preserve">VESTAS</t>
        </is>
      </c>
      <c r="C458" s="124">
        <v>3</v>
      </c>
      <c r="D458" s="124"/>
      <c r="E458" s="125"/>
      <c r="F458" s="124"/>
      <c r="G458" s="124"/>
      <c r="H458" s="124"/>
      <c r="I458" s="124"/>
      <c r="J458" s="124"/>
      <c r="K458" s="124">
        <v>24</v>
      </c>
      <c r="L458" s="124">
        <v>10</v>
      </c>
      <c r="M458" s="124"/>
      <c r="N458" s="125"/>
      <c r="O458" s="124"/>
      <c r="P458" s="124"/>
      <c r="Q458" s="124"/>
      <c r="R458" s="124"/>
      <c r="S458" s="124"/>
      <c r="T458" s="124">
        <v>49</v>
      </c>
      <c r="U458" s="124">
        <v>0</v>
      </c>
      <c r="V458" s="124">
        <v>0</v>
      </c>
      <c r="W458" s="124"/>
      <c r="X458" s="124">
        <v>600</v>
      </c>
      <c r="Y458" s="124">
        <v>382</v>
      </c>
      <c r="Z458" s="124">
        <v>6</v>
      </c>
      <c r="AA458" s="124"/>
      <c r="AB458" s="124"/>
      <c r="AC458" s="124"/>
      <c r="AD458" s="124"/>
      <c r="AE458" s="126" t="inlineStr">
        <is>
          <t xml:space="preserve">Cross</t>
        </is>
      </c>
    </row>
    <row r="459">
      <c r="A459" s="122">
        <v>46294</v>
      </c>
      <c r="B459" s="123" t="inlineStr">
        <is>
          <t xml:space="preserve">VEDACIT</t>
        </is>
      </c>
      <c r="C459" s="124">
        <v>6</v>
      </c>
      <c r="D459" s="124">
        <v>124</v>
      </c>
      <c r="E459" s="125"/>
      <c r="F459" s="124"/>
      <c r="G459" s="124"/>
      <c r="H459" s="124"/>
      <c r="I459" s="124"/>
      <c r="J459" s="124"/>
      <c r="K459" s="124"/>
      <c r="L459" s="124">
        <v>3</v>
      </c>
      <c r="M459" s="124">
        <v>154</v>
      </c>
      <c r="N459" s="125"/>
      <c r="O459" s="124"/>
      <c r="P459" s="124"/>
      <c r="Q459" s="124"/>
      <c r="R459" s="124"/>
      <c r="S459" s="124"/>
      <c r="T459" s="124"/>
      <c r="U459" s="124">
        <v>0</v>
      </c>
      <c r="V459" s="124">
        <v>0</v>
      </c>
      <c r="W459" s="124">
        <v>15</v>
      </c>
      <c r="X459" s="124">
        <v>1400</v>
      </c>
      <c r="Y459" s="124">
        <v>962</v>
      </c>
      <c r="Z459" s="124">
        <v>7</v>
      </c>
      <c r="AA459" s="124"/>
      <c r="AB459" s="124"/>
      <c r="AC459" s="124"/>
      <c r="AD459" s="124"/>
      <c r="AE459" s="126" t="inlineStr">
        <is>
          <t xml:space="preserve">Contrato</t>
        </is>
      </c>
    </row>
    <row r="460">
      <c r="A460" s="122">
        <v>46294</v>
      </c>
      <c r="B460" s="123" t="inlineStr">
        <is>
          <t xml:space="preserve">OMNLIFE</t>
        </is>
      </c>
      <c r="C460" s="124">
        <v>6</v>
      </c>
      <c r="D460" s="124">
        <v>27</v>
      </c>
      <c r="E460" s="125"/>
      <c r="F460" s="124"/>
      <c r="G460" s="124"/>
      <c r="H460" s="124"/>
      <c r="I460" s="124"/>
      <c r="J460" s="124"/>
      <c r="K460" s="124"/>
      <c r="L460" s="124">
        <v>9</v>
      </c>
      <c r="M460" s="124">
        <v>99</v>
      </c>
      <c r="N460" s="125"/>
      <c r="O460" s="124"/>
      <c r="P460" s="124"/>
      <c r="Q460" s="124"/>
      <c r="R460" s="124"/>
      <c r="S460" s="124"/>
      <c r="T460" s="124"/>
      <c r="U460" s="124">
        <v>0</v>
      </c>
      <c r="V460" s="124">
        <v>0</v>
      </c>
      <c r="W460" s="124">
        <v>8</v>
      </c>
      <c r="X460" s="124">
        <v>500</v>
      </c>
      <c r="Y460" s="124">
        <v>456</v>
      </c>
      <c r="Z460" s="124">
        <v>5</v>
      </c>
      <c r="AA460" s="124"/>
      <c r="AB460" s="124"/>
      <c r="AC460" s="124"/>
      <c r="AD460" s="124"/>
      <c r="AE460" s="126" t="inlineStr">
        <is>
          <t xml:space="preserve">Spot</t>
        </is>
      </c>
    </row>
    <row r="461">
      <c r="A461" s="122">
        <v>46294</v>
      </c>
      <c r="B461" s="123" t="inlineStr">
        <is>
          <t xml:space="preserve">ALPARGATAS</t>
        </is>
      </c>
      <c r="C461" s="124">
        <v>8</v>
      </c>
      <c r="D461" s="124"/>
      <c r="E461" s="125"/>
      <c r="F461" s="124">
        <v>1957</v>
      </c>
      <c r="G461" s="124"/>
      <c r="H461" s="124"/>
      <c r="I461" s="124"/>
      <c r="J461" s="124"/>
      <c r="K461" s="124"/>
      <c r="L461" s="124">
        <v>5</v>
      </c>
      <c r="M461" s="124"/>
      <c r="N461" s="125"/>
      <c r="O461" s="124">
        <v>405</v>
      </c>
      <c r="P461" s="124"/>
      <c r="Q461" s="124"/>
      <c r="R461" s="124"/>
      <c r="S461" s="124"/>
      <c r="T461" s="124"/>
      <c r="U461" s="124">
        <v>0</v>
      </c>
      <c r="V461" s="124">
        <v>0</v>
      </c>
      <c r="W461" s="124"/>
      <c r="X461" s="124">
        <v>1800</v>
      </c>
      <c r="Y461" s="124">
        <v>1078</v>
      </c>
      <c r="Z461" s="124">
        <v>14</v>
      </c>
      <c r="AA461" s="124"/>
      <c r="AB461" s="124"/>
      <c r="AC461" s="124"/>
      <c r="AD461" s="124"/>
      <c r="AE461" s="126" t="inlineStr">
        <is>
          <t xml:space="preserve">Contrato</t>
        </is>
      </c>
    </row>
  </sheetData>
  <mergeCells count="6">
    <mergeCell ref="A1:B1"/>
    <mergeCell ref="C1:K1"/>
    <mergeCell ref="L1:T1"/>
    <mergeCell ref="U1:W1"/>
    <mergeCell ref="X1:Y1"/>
    <mergeCell ref="Z1:AD1"/>
  </mergeCells>
  <conditionalFormatting sqref="A3:B5001">
    <cfRule type="expression" dxfId="0" priority="1" stopIfTrue="1">
      <formula>AND($A3&lt;&gt;"",$B3&lt;&gt;"",COUNTIFS($A$3:$A$5001,$A3,$B$3:$B$5001,$B3)&gt;1)</formula>
    </cfRule>
    <cfRule type="expression" dxfId="2" priority="2">
      <formula>OR(AND($A3&lt;&gt;"",$B3=""),AND($A3="",$B3&lt;&gt;""))</formula>
    </cfRule>
  </conditionalFormatting>
  <conditionalFormatting sqref="C3:AD5001">
    <cfRule type="expression" dxfId="11" priority="3">
      <formula>AND($B3&lt;&gt;"",IFERROR(INDEX(calculos!$B$270:$AC$278,MATCH($B3,calculos!$A$270:$A$278,0),COLUMN()-2),"")&lt;&gt;"x")</formula>
    </cfRule>
  </conditionalFormatting>
  <conditionalFormatting sqref="Y3:Y5001">
    <cfRule type="expression" dxfId="2" priority="4">
      <formula>AND(ISNUMBER($X3),ISNUMBER($Y3),$Y3&gt;$X3)</formula>
    </cfRule>
  </conditionalFormatting>
  <dataValidations count="31">
    <dataValidation type="date" operator="between" allowBlank="1" showInputMessage="1" showErrorMessage="1" errorTitle="Data" error="Digite uma data válida (dd/mm/aaaa)." promptTitle="Data" prompt="Data do registro (dd/mm/aaaa)." sqref="A3:A5001">
      <formula1>DATE(2020,1,1)</formula1>
      <formula2>DATE(2035,12,31)</formula2>
    </dataValidation>
    <dataValidation type="list" allowBlank="1" showInputMessage="1" showErrorMessage="1" errorTitle="Cliente" error="Escolha um item da lista." promptTitle="Cliente" prompt="Escolha o cliente na lista. As colunas que ele não usa ficam cinza." sqref="B3:B5001">
      <formula1>calculos!$AL$13:$AL$21</formula1>
    </dataValidation>
    <dataValidation type="list" allowBlank="1" showInputMessage="1" showErrorMessage="1" errorTitle="Modalidade" error="Escolha um item da lista." promptTitle="Modalidade" prompt="Contrato, Spot ou Cross." sqref="AE3:AE5001">
      <formula1>"Contrato,Spot,Cross"</formula1>
    </dataValidation>
    <dataValidation type="custom" allowBlank="1" showInputMessage="1" showErrorMessage="1" errorTitle="Veículos Recebidos" error="Digite um número igual ou maior que zero. Se a célula está cinza, este indicador não é usado pelo cliente da linha (escolha o cliente antes)." promptTitle="Veículos Recebidos" prompt="IN Veículos Recebidos: valor do dia (soma no mês)." sqref="C3:C5001">
      <formula1>AND(ISNUMBER(C3),C3&gt;=0,IFERROR(INDEX(calculos!$B$270:$AC$278,MATCH($B3,calculos!$A$270:$A$278,0),COLUMN()-2),"")="x")</formula1>
    </dataValidation>
    <dataValidation type="custom" allowBlank="1" showInputMessage="1" showErrorMessage="1" errorTitle="Pallets Movimentados" error="Digite um número igual ou maior que zero. Se a célula está cinza, este indicador não é usado pelo cliente da linha (escolha o cliente antes)." promptTitle="Pallets Movimentados" prompt="IN Pallets Movimentados: valor do dia (soma no mês)." sqref="D3:D5001">
      <formula1>AND(ISNUMBER(D3),D3&gt;=0,IFERROR(INDEX(calculos!$B$270:$AC$278,MATCH($B3,calculos!$A$270:$A$278,0),COLUMN()-2),"")="x")</formula1>
    </dataValidation>
    <dataValidation type="custom" allowBlank="1" showInputMessage="1" showErrorMessage="1" errorTitle="Toneladas Movimentadas" error="Digite um número igual ou maior que zero. Se a célula está cinza, este indicador não é usado pelo cliente da linha (escolha o cliente antes)." promptTitle="Toneladas Movimentadas" prompt="IN Toneladas Movimentadas: valor do dia (soma no mês)." sqref="E3:E5001">
      <formula1>AND(ISNUMBER(E3),E3&gt;=0,IFERROR(INDEX(calculos!$B$270:$AC$278,MATCH($B3,calculos!$A$270:$A$278,0),COLUMN()-2),"")="x")</formula1>
    </dataValidation>
    <dataValidation type="custom" allowBlank="1" showInputMessage="1" showErrorMessage="1" errorTitle="Caixas Movimentadas" error="Digite um número igual ou maior que zero. Se a célula está cinza, este indicador não é usado pelo cliente da linha (escolha o cliente antes)." promptTitle="Caixas Movimentadas" prompt="IN Caixas Movimentadas: valor do dia (soma no mês)." sqref="F3:F5001">
      <formula1>AND(ISNUMBER(F3),F3&gt;=0,IFERROR(INDEX(calculos!$B$270:$AC$278,MATCH($B3,calculos!$A$270:$A$278,0),COLUMN()-2),"")="x")</formula1>
    </dataValidation>
    <dataValidation type="custom" allowBlank="1" showInputMessage="1" showErrorMessage="1" errorTitle="Itens Recebidos CX Mista" error="Digite um número igual ou maior que zero. Se a célula está cinza, este indicador não é usado pelo cliente da linha (escolha o cliente antes)." promptTitle="Itens Recebidos CX Mista" prompt="IN Itens Recebidos CX Mista: valor do dia (soma no mês)." sqref="G3:G5001">
      <formula1>AND(ISNUMBER(G3),G3&gt;=0,IFERROR(INDEX(calculos!$B$270:$AC$278,MATCH($B3,calculos!$A$270:$A$278,0),COLUMN()-2),"")="x")</formula1>
    </dataValidation>
    <dataValidation type="custom" allowBlank="1" showInputMessage="1" showErrorMessage="1" errorTitle="Caixas Mistas Recebidas" error="Digite um número igual ou maior que zero. Se a célula está cinza, este indicador não é usado pelo cliente da linha (escolha o cliente antes)." promptTitle="Caixas Mistas Recebidas" prompt="IN Caixas Mistas Recebidas: valor do dia (soma no mês)." sqref="H3:H5001">
      <formula1>AND(ISNUMBER(H3),H3&gt;=0,IFERROR(INDEX(calculos!$B$270:$AC$278,MATCH($B3,calculos!$A$270:$A$278,0),COLUMN()-2),"")="x")</formula1>
    </dataValidation>
    <dataValidation type="custom" allowBlank="1" showInputMessage="1" showErrorMessage="1" errorTitle="Caixas Fechadas" error="Digite um número igual ou maior que zero. Se a célula está cinza, este indicador não é usado pelo cliente da linha (escolha o cliente antes)." promptTitle="Caixas Fechadas" prompt="IN Caixas Fechadas: valor do dia (soma no mês)." sqref="I3:I5001">
      <formula1>AND(ISNUMBER(I3),I3&gt;=0,IFERROR(INDEX(calculos!$B$270:$AC$278,MATCH($B3,calculos!$A$270:$A$278,0),COLUMN()-2),"")="x")</formula1>
    </dataValidation>
    <dataValidation type="custom" allowBlank="1" showInputMessage="1" showErrorMessage="1" errorTitle="Peças Movimentadas" error="Digite um número igual ou maior que zero. Se a célula está cinza, este indicador não é usado pelo cliente da linha (escolha o cliente antes)." promptTitle="Peças Movimentadas" prompt="IN Peças Movimentadas: valor do dia (soma no mês)." sqref="J3:J5001">
      <formula1>AND(ISNUMBER(J3),J3&gt;=0,IFERROR(INDEX(calculos!$B$270:$AC$278,MATCH($B3,calculos!$A$270:$A$278,0),COLUMN()-2),"")="x")</formula1>
    </dataValidation>
    <dataValidation type="custom" allowBlank="1" showInputMessage="1" showErrorMessage="1" errorTitle="Linhas NF" error="Digite um número igual ou maior que zero. Se a célula está cinza, este indicador não é usado pelo cliente da linha (escolha o cliente antes)." promptTitle="Linhas NF" prompt="IN Linhas NF: valor do dia (soma no mês)." sqref="K3:K5001">
      <formula1>AND(ISNUMBER(K3),K3&gt;=0,IFERROR(INDEX(calculos!$B$270:$AC$278,MATCH($B3,calculos!$A$270:$A$278,0),COLUMN()-2),"")="x")</formula1>
    </dataValidation>
    <dataValidation type="custom" allowBlank="1" showInputMessage="1" showErrorMessage="1" errorTitle="Veículos Expedidos" error="Digite um número igual ou maior que zero. Se a célula está cinza, este indicador não é usado pelo cliente da linha (escolha o cliente antes)." promptTitle="Veículos Expedidos" prompt="OUT Veículos Expedidos: valor do dia (soma no mês)." sqref="L3:L5001">
      <formula1>AND(ISNUMBER(L3),L3&gt;=0,IFERROR(INDEX(calculos!$B$270:$AC$278,MATCH($B3,calculos!$A$270:$A$278,0),COLUMN()-2),"")="x")</formula1>
    </dataValidation>
    <dataValidation type="custom" allowBlank="1" showInputMessage="1" showErrorMessage="1" errorTitle="Pallets Movimentados" error="Digite um número igual ou maior que zero. Se a célula está cinza, este indicador não é usado pelo cliente da linha (escolha o cliente antes)." promptTitle="Pallets Movimentados" prompt="OUT Pallets Movimentados: valor do dia (soma no mês)." sqref="M3:M5001">
      <formula1>AND(ISNUMBER(M3),M3&gt;=0,IFERROR(INDEX(calculos!$B$270:$AC$278,MATCH($B3,calculos!$A$270:$A$278,0),COLUMN()-2),"")="x")</formula1>
    </dataValidation>
    <dataValidation type="custom" allowBlank="1" showInputMessage="1" showErrorMessage="1" errorTitle="Toneladas Movimentadas" error="Digite um número igual ou maior que zero. Se a célula está cinza, este indicador não é usado pelo cliente da linha (escolha o cliente antes)." promptTitle="Toneladas Movimentadas" prompt="OUT Toneladas Movimentadas: valor do dia (soma no mês)." sqref="N3:N5001">
      <formula1>AND(ISNUMBER(N3),N3&gt;=0,IFERROR(INDEX(calculos!$B$270:$AC$278,MATCH($B3,calculos!$A$270:$A$278,0),COLUMN()-2),"")="x")</formula1>
    </dataValidation>
    <dataValidation type="custom" allowBlank="1" showInputMessage="1" showErrorMessage="1" errorTitle="Caixas Expedidas" error="Digite um número igual ou maior que zero. Se a célula está cinza, este indicador não é usado pelo cliente da linha (escolha o cliente antes)." promptTitle="Caixas Expedidas" prompt="OUT Caixas Expedidas: valor do dia (soma no mês)." sqref="O3:O5001">
      <formula1>AND(ISNUMBER(O3),O3&gt;=0,IFERROR(INDEX(calculos!$B$270:$AC$278,MATCH($B3,calculos!$A$270:$A$278,0),COLUMN()-2),"")="x")</formula1>
    </dataValidation>
    <dataValidation type="custom" allowBlank="1" showInputMessage="1" showErrorMessage="1" errorTitle="Pedidos Expedidos" error="Digite um número igual ou maior que zero. Se a célula está cinza, este indicador não é usado pelo cliente da linha (escolha o cliente antes)." promptTitle="Pedidos Expedidos" prompt="OUT Pedidos Expedidos: valor do dia (soma no mês)." sqref="P3:P5001">
      <formula1>AND(ISNUMBER(P3),P3&gt;=0,IFERROR(INDEX(calculos!$B$270:$AC$278,MATCH($B3,calculos!$A$270:$A$278,0),COLUMN()-2),"")="x")</formula1>
    </dataValidation>
    <dataValidation type="custom" allowBlank="1" showInputMessage="1" showErrorMessage="1" errorTitle="Pedidos Faturados" error="Digite um número igual ou maior que zero. Se a célula está cinza, este indicador não é usado pelo cliente da linha (escolha o cliente antes)." promptTitle="Pedidos Faturados" prompt="OUT Pedidos Faturados: valor do dia (soma no mês)." sqref="Q3:Q5001">
      <formula1>AND(ISNUMBER(Q3),Q3&gt;=0,IFERROR(INDEX(calculos!$B$270:$AC$278,MATCH($B3,calculos!$A$270:$A$278,0),COLUMN()-2),"")="x")</formula1>
    </dataValidation>
    <dataValidation type="custom" allowBlank="1" showInputMessage="1" showErrorMessage="1" errorTitle="Itens Expedidos" error="Digite um número igual ou maior que zero. Se a célula está cinza, este indicador não é usado pelo cliente da linha (escolha o cliente antes)." promptTitle="Itens Expedidos" prompt="OUT Itens Expedidos: valor do dia (soma no mês)." sqref="R3:R5001">
      <formula1>AND(ISNUMBER(R3),R3&gt;=0,IFERROR(INDEX(calculos!$B$270:$AC$278,MATCH($B3,calculos!$A$270:$A$278,0),COLUMN()-2),"")="x")</formula1>
    </dataValidation>
    <dataValidation type="custom" allowBlank="1" showInputMessage="1" showErrorMessage="1" errorTitle="Peças Movimentadas" error="Digite um número igual ou maior que zero. Se a célula está cinza, este indicador não é usado pelo cliente da linha (escolha o cliente antes)." promptTitle="Peças Movimentadas" prompt="OUT Peças Movimentadas: valor do dia (soma no mês)." sqref="S3:S5001">
      <formula1>AND(ISNUMBER(S3),S3&gt;=0,IFERROR(INDEX(calculos!$B$270:$AC$278,MATCH($B3,calculos!$A$270:$A$278,0),COLUMN()-2),"")="x")</formula1>
    </dataValidation>
    <dataValidation type="custom" allowBlank="1" showInputMessage="1" showErrorMessage="1" errorTitle="Linhas NF" error="Digite um número igual ou maior que zero. Se a célula está cinza, este indicador não é usado pelo cliente da linha (escolha o cliente antes)." promptTitle="Linhas NF" prompt="OUT Linhas NF: valor do dia (soma no mês)." sqref="T3:T5001">
      <formula1>AND(ISNUMBER(T3),T3&gt;=0,IFERROR(INDEX(calculos!$B$270:$AC$278,MATCH($B3,calculos!$A$270:$A$278,0),COLUMN()-2),"")="x")</formula1>
    </dataValidation>
    <dataValidation type="custom" allowBlank="1" showInputMessage="1" showErrorMessage="1" errorTitle="Incidentes" error="Digite um número igual ou maior que zero. Se a célula está cinza, este indicador não é usado pelo cliente da linha (escolha o cliente antes)." promptTitle="Incidentes" prompt="NC Incidentes: valor do dia (soma no mês)." sqref="U3:U5001">
      <formula1>AND(ISNUMBER(U3),U3&gt;=0,IFERROR(INDEX(calculos!$B$270:$AC$278,MATCH($B3,calculos!$A$270:$A$278,0),COLUMN()-2),"")="x")</formula1>
    </dataValidation>
    <dataValidation type="custom" allowBlank="1" showInputMessage="1" showErrorMessage="1" errorTitle="No show" error="Digite um número igual ou maior que zero. Se a célula está cinza, este indicador não é usado pelo cliente da linha (escolha o cliente antes)." promptTitle="No show" prompt="NC No show: valor do dia (soma no mês)." sqref="V3:V5001">
      <formula1>AND(ISNUMBER(V3),V3&gt;=0,IFERROR(INDEX(calculos!$B$270:$AC$278,MATCH($B3,calculos!$A$270:$A$278,0),COLUMN()-2),"")="x")</formula1>
    </dataValidation>
    <dataValidation type="custom" allowBlank="1" showInputMessage="1" showErrorMessage="1" errorTitle="Backlog" error="Digite um número igual ou maior que zero. Se a célula está cinza, este indicador não é usado pelo cliente da linha (escolha o cliente antes)." promptTitle="Backlog" prompt="NC Backlog: posição do dia (vale o último do mês)." sqref="W3:W5001">
      <formula1>AND(ISNUMBER(W3),W3&gt;=0,IFERROR(INDEX(calculos!$B$270:$AC$278,MATCH($B3,calculos!$A$270:$A$278,0),COLUMN()-2),"")="x")</formula1>
    </dataValidation>
    <dataValidation type="custom" allowBlank="1" showInputMessage="1" showErrorMessage="1" errorTitle="Posições Disponíveis" error="Digite um número igual ou maior que zero. Se a célula está cinza, este indicador não é usado pelo cliente da linha (escolha o cliente antes)." promptTitle="Posições Disponíveis" prompt="Posições Disponíveis: posição do dia (vale o último do mês)." sqref="X3:X5001">
      <formula1>AND(ISNUMBER(X3),X3&gt;=0,IFERROR(INDEX(calculos!$B$270:$AC$278,MATCH($B3,calculos!$A$270:$A$278,0),COLUMN()-2),"")="x")</formula1>
    </dataValidation>
    <dataValidation type="custom" allowBlank="1" showInputMessage="1" showErrorMessage="1" errorTitle="Posições Ocupadas" error="Digite um número igual ou maior que zero. Se a célula está cinza, este indicador não é usado pelo cliente da linha (escolha o cliente antes)." promptTitle="Posições Ocupadas" prompt="Posições Ocupadas: posição do dia (vale o último do mês)." sqref="Y3:Y5001">
      <formula1>AND(ISNUMBER(Y3),Y3&gt;=0,IFERROR(INDEX(calculos!$B$270:$AC$278,MATCH($B3,calculos!$A$270:$A$278,0),COLUMN()-2),"")="x")</formula1>
    </dataValidation>
    <dataValidation type="custom" allowBlank="1" showInputMessage="1" showErrorMessage="1" errorTitle="Efetivo" error="Digite um número igual ou maior que zero. Se a célula está cinza, este indicador não é usado pelo cliente da linha (escolha o cliente antes)." promptTitle="Efetivo" prompt="Efetivo: posição do dia (vale o último do mês)." sqref="Z3:Z5001">
      <formula1>AND(ISNUMBER(Z3),Z3&gt;=0,IFERROR(INDEX(calculos!$B$270:$AC$278,MATCH($B3,calculos!$A$270:$A$278,0),COLUMN()-2),"")="x")</formula1>
    </dataValidation>
    <dataValidation type="custom" allowBlank="1" showInputMessage="1" showErrorMessage="1" errorTitle="Falta" error="Digite um número igual ou maior que zero. Se a célula está cinza, este indicador não é usado pelo cliente da linha (escolha o cliente antes)." promptTitle="Falta" prompt="Falta: valor do dia (soma no mês)." sqref="AA3:AA5001">
      <formula1>AND(ISNUMBER(AA3),AA3&gt;=0,IFERROR(INDEX(calculos!$B$270:$AC$278,MATCH($B3,calculos!$A$270:$A$278,0),COLUMN()-2),"")="x")</formula1>
    </dataValidation>
    <dataValidation type="custom" allowBlank="1" showInputMessage="1" showErrorMessage="1" errorTitle="Folga" error="Digite um número igual ou maior que zero. Se a célula está cinza, este indicador não é usado pelo cliente da linha (escolha o cliente antes)." promptTitle="Folga" prompt="Folga: valor do dia (soma no mês)." sqref="AB3:AB5001">
      <formula1>AND(ISNUMBER(AB3),AB3&gt;=0,IFERROR(INDEX(calculos!$B$270:$AC$278,MATCH($B3,calculos!$A$270:$A$278,0),COLUMN()-2),"")="x")</formula1>
    </dataValidation>
    <dataValidation type="custom" allowBlank="1" showInputMessage="1" showErrorMessage="1" errorTitle="Férias" error="Digite um número igual ou maior que zero. Se a célula está cinza, este indicador não é usado pelo cliente da linha (escolha o cliente antes)." promptTitle="Férias" prompt="Férias: valor do dia (soma no mês)." sqref="AC3:AC5001">
      <formula1>AND(ISNUMBER(AC3),AC3&gt;=0,IFERROR(INDEX(calculos!$B$270:$AC$278,MATCH($B3,calculos!$A$270:$A$278,0),COLUMN()-2),"")="x")</formula1>
    </dataValidation>
    <dataValidation type="custom" allowBlank="1" showInputMessage="1" showErrorMessage="1" errorTitle="Desligamentos" error="Digite um número igual ou maior que zero. Se a célula está cinza, este indicador não é usado pelo cliente da linha (escolha o cliente antes)." promptTitle="Desligamentos" prompt="Desligamentos: valor do dia (soma no mês)." sqref="AD3:AD5001">
      <formula1>AND(ISNUMBER(AD3),AD3&gt;=0,IFERROR(INDEX(calculos!$B$270:$AC$278,MATCH($B3,calculos!$A$270:$A$278,0),COLUMN()-2),"")="x")</formula1>
    </dataValidation>
  </dataValidations>
  <pageMargins left="0.25" right="0.25" top="0.4" bottom="0.4" header="0.2" footer="0.2"/>
  <pageSetup paperSize="9" orientation="landscape" fitToWidth="1" fitToHeight="0"/>
  <tableParts count="1">
    <tablePart r:id="rIdTb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AP293"/>
  <sheetViews>
    <sheetView showGridLines="0" zoomScale="100" zoomScaleNormal="100" workbookViewId="0">
      <pane xSplit="2" ySplit="11" topLeftCell="C12" activePane="bottomRight" state="frozen"/>
      <selection pane="bottomRight" activeCell="C12" sqref="C12"/>
    </sheetView>
  </sheetViews>
  <sheetFormatPr defaultRowHeight="15"/>
  <cols>
    <col min="1" max="1" width="30" customWidth="1"/>
    <col min="2" max="2" width="14" customWidth="1"/>
    <col min="3" max="31" width="12" customWidth="1"/>
    <col min="42" max="42" width="60" customWidth="1"/>
  </cols>
  <sheetData>
    <row r="1">
      <c r="A1" t="inlineStr">
        <is>
          <t xml:space="preserve">CÁLCULOS DO QUADRO — mês escolhido no Quadro; base dos KPIs, quadro e gráficos (gerado automaticamente; células amarelas podem ser editadas)</t>
        </is>
      </c>
    </row>
    <row r="2">
      <c r="A2" t="inlineStr">
        <is>
          <t xml:space="preserve">Cliente selecionado</t>
        </is>
      </c>
      <c r="B2" t="str">
        <f>IF(OR(Indicadores!$D$3="",Indicadores!$D$3="Todos"),"Todos",Indicadores!$D$3)</f>
        <v>Todos</v>
      </c>
      <c r="C2" t="inlineStr">
        <is>
          <t xml:space="preserve">Slots →</t>
        </is>
      </c>
      <c r="D2" t="str">
        <f>T(INDEX($B$284:$B$293,MATCH($B$2,$A$284:$A$293,0)))</f>
        <v>IN Veículos Recebidos</v>
      </c>
      <c r="E2" t="str">
        <f>T(INDEX($C$284:$C$293,MATCH($B$2,$A$284:$A$293,0)))</f>
        <v>IN Pallets Movimentados</v>
      </c>
      <c r="F2" t="str">
        <f>T(INDEX($D$284:$D$293,MATCH($B$2,$A$284:$A$293,0)))</f>
        <v>IN Toneladas Movimentadas</v>
      </c>
      <c r="G2" t="str">
        <f>T(INDEX($E$284:$E$293,MATCH($B$2,$A$284:$A$293,0)))</f>
        <v>IN Linhas NF</v>
      </c>
      <c r="H2" t="str">
        <f>T(INDEX($F$284:$F$293,MATCH($B$2,$A$284:$A$293,0)))</f>
        <v>OUT Veículos Expedidos</v>
      </c>
      <c r="I2" t="str">
        <f>T(INDEX($G$284:$G$293,MATCH($B$2,$A$284:$A$293,0)))</f>
        <v>OUT Pallets Movimentados</v>
      </c>
      <c r="J2" t="str">
        <f>T(INDEX($H$284:$H$293,MATCH($B$2,$A$284:$A$293,0)))</f>
        <v>OUT Toneladas Movimentadas</v>
      </c>
      <c r="K2" t="str">
        <f>T(INDEX($I$284:$I$293,MATCH($B$2,$A$284:$A$293,0)))</f>
        <v>OUT Linhas NF</v>
      </c>
    </row>
    <row r="3">
      <c r="A3" t="inlineStr">
        <is>
          <t xml:space="preserve">Destaque IN / OUT (cartões e gráfico semanal)</t>
        </is>
      </c>
      <c r="B3" t="str">
        <f>T(INDEX($J$284:$J$293,MATCH($B$2,$A$284:$A$293,0)))</f>
        <v>IN Pallets Movimentados</v>
      </c>
      <c r="C3" t="str">
        <f>T(INDEX($K$284:$K$293,MATCH($B$2,$A$284:$A$293,0)))</f>
        <v>OUT Pallets Movimentados</v>
      </c>
    </row>
    <row r="4">
      <c r="A4" t="inlineStr">
        <is>
          <t xml:space="preserve">Capacidade do CD (posições)</t>
        </is>
      </c>
      <c r="B4" s="160"/>
      <c r="C4" t="inlineStr">
        <is>
          <t xml:space="preserve">vazio = soma das posições disponíveis dos clientes</t>
        </is>
      </c>
    </row>
    <row r="5">
      <c r="A5" t="inlineStr">
        <is>
          <t xml:space="preserve">Faixa de atenção (ocupação)</t>
        </is>
      </c>
      <c r="B5" s="160">
        <v>0.7</v>
      </c>
    </row>
    <row r="6">
      <c r="A6" t="inlineStr">
        <is>
          <t xml:space="preserve">Faixa crítica (ocupação)</t>
        </is>
      </c>
      <c r="B6" s="160">
        <v>0.9</v>
      </c>
    </row>
    <row r="7">
      <c r="A7" t="inlineStr">
        <is>
          <t xml:space="preserve">Competência</t>
        </is>
      </c>
      <c r="B7" t="str">
        <f>INDEX({"Janeiro","Fevereiro","Março","Abril","Maio","Junho","Julho","Agosto","Setembro","Outubro","Novembro","Dezembro"},MONTH($C$7))&amp;"/"&amp;YEAR($C$7)</f>
        <v>Setembro/2026</v>
      </c>
      <c r="C7" s="152">
        <f>IF(ISNUMBER('Quadro de Indicadores'!$V$1),DATE(YEAR('Quadro de Indicadores'!$V$1),MONTH('Quadro de Indicadores'!$V$1),1),IFERROR(DATE(VALUE(RIGHT(TRIM('Quadro de Indicadores'!$V$1),4)),MATCH(TRIM(LEFT('Quadro de Indicadores'!$V$1,FIND("·",'Quadro de Indicadores'!$V$1)-1)),{"JANEIRO","FEVEREIRO","MARÇO","ABRIL","MAIO","JUNHO","JULHO","AGOSTO","SETEMBRO","OUTUBRO","NOVEMBRO","DEZEMBRO"},0),1),DATE(2026,9,1)))</f>
        <v>46266</v>
      </c>
      <c r="D7" s="152">
        <f>DATE(YEAR($C$7),MONTH($C$7)+1,0)</f>
        <v>46295</v>
      </c>
    </row>
    <row r="8">
      <c r="A8" t="inlineStr">
        <is>
          <t xml:space="preserve">Mês anterior (comparação)</t>
        </is>
      </c>
      <c r="B8" t="str">
        <f>INDEX({"Janeiro","Fevereiro","Março","Abril","Maio","Junho","Julho","Agosto","Setembro","Outubro","Novembro","Dezembro"},MONTH($C$8))&amp;"/"&amp;YEAR($C$8)</f>
        <v>Agosto/2026</v>
      </c>
      <c r="C8" s="152">
        <f>DATE(YEAR($C$7),MONTH($C$7)-1,1)</f>
        <v>46235</v>
      </c>
      <c r="D8" s="152">
        <f>IF($B$9=0,$C$8-1,MIN($C$8+MAX(MIN($B$9,31),1)-1,DATE(YEAR($C$8),MONTH($C$8)+1,0)))</f>
        <v>46263</v>
      </c>
    </row>
    <row r="9">
      <c r="A9" t="inlineStr">
        <is>
          <t xml:space="preserve">Comparar até o dia</t>
        </is>
      </c>
      <c r="B9">
        <f>IFERROR(IF(_xlfn.MAXIFS(Base!$A$3:$A$5001,Base!$A$3:$A$5001,"&gt;="&amp;$C$7,Base!$A$3:$A$5001,"&lt;="&amp;$D$7)=0,0,DAY(_xlfn.MAXIFS(Base!$A$3:$A$5001,Base!$A$3:$A$5001,"&gt;="&amp;$C$7,Base!$A$3:$A$5001,"&lt;="&amp;$D$7))),0)</f>
        <v>29</v>
      </c>
      <c r="C9" t="inlineStr">
        <is>
          <t xml:space="preserve">o mês anterior é somado do dia 1 até este dia (último dia com dado no mês escolhido)</t>
        </is>
      </c>
    </row>
    <row r="11">
      <c r="A11" s="145" t="inlineStr">
        <is>
          <t xml:space="preserve">Dia</t>
        </is>
      </c>
      <c r="B11" s="145" t="inlineStr">
        <is>
          <t xml:space="preserve">Data</t>
        </is>
      </c>
      <c r="C11" s="145" t="inlineStr">
        <is>
          <t xml:space="preserve">IN Veículos Recebidos</t>
        </is>
      </c>
      <c r="D11" s="145" t="inlineStr">
        <is>
          <t xml:space="preserve">IN Pallets Movimentados</t>
        </is>
      </c>
      <c r="E11" s="145" t="inlineStr">
        <is>
          <t xml:space="preserve">IN Toneladas Movimentadas</t>
        </is>
      </c>
      <c r="F11" s="145" t="inlineStr">
        <is>
          <t xml:space="preserve">IN Caixas Movimentadas</t>
        </is>
      </c>
      <c r="G11" s="145" t="inlineStr">
        <is>
          <t xml:space="preserve">IN Itens Recebidos CX Mista</t>
        </is>
      </c>
      <c r="H11" s="145" t="inlineStr">
        <is>
          <t xml:space="preserve">IN Caixas Mistas Recebidas</t>
        </is>
      </c>
      <c r="I11" s="145" t="inlineStr">
        <is>
          <t xml:space="preserve">IN Caixas Fechadas</t>
        </is>
      </c>
      <c r="J11" s="145" t="inlineStr">
        <is>
          <t xml:space="preserve">IN Peças Movimentadas</t>
        </is>
      </c>
      <c r="K11" s="145" t="inlineStr">
        <is>
          <t xml:space="preserve">IN Linhas NF</t>
        </is>
      </c>
      <c r="L11" s="145" t="inlineStr">
        <is>
          <t xml:space="preserve">OUT Veículos Expedidos</t>
        </is>
      </c>
      <c r="M11" s="145" t="inlineStr">
        <is>
          <t xml:space="preserve">OUT Pallets Movimentados</t>
        </is>
      </c>
      <c r="N11" s="145" t="inlineStr">
        <is>
          <t xml:space="preserve">OUT Toneladas Movimentadas</t>
        </is>
      </c>
      <c r="O11" s="145" t="inlineStr">
        <is>
          <t xml:space="preserve">OUT Caixas Expedidas</t>
        </is>
      </c>
      <c r="P11" s="145" t="inlineStr">
        <is>
          <t xml:space="preserve">OUT Pedidos Expedidos</t>
        </is>
      </c>
      <c r="Q11" s="145" t="inlineStr">
        <is>
          <t xml:space="preserve">OUT Pedidos Faturados</t>
        </is>
      </c>
      <c r="R11" s="145" t="inlineStr">
        <is>
          <t xml:space="preserve">OUT Itens Expedidos</t>
        </is>
      </c>
      <c r="S11" s="145" t="inlineStr">
        <is>
          <t xml:space="preserve">OUT Peças Movimentadas</t>
        </is>
      </c>
      <c r="T11" s="145" t="inlineStr">
        <is>
          <t xml:space="preserve">OUT Linhas NF</t>
        </is>
      </c>
      <c r="U11" s="145" t="inlineStr">
        <is>
          <t xml:space="preserve">NC Incidentes</t>
        </is>
      </c>
      <c r="V11" s="145" t="inlineStr">
        <is>
          <t xml:space="preserve">NC No show</t>
        </is>
      </c>
      <c r="W11" s="145" t="inlineStr">
        <is>
          <t xml:space="preserve">NC Backlog</t>
        </is>
      </c>
      <c r="X11" s="145" t="inlineStr">
        <is>
          <t xml:space="preserve">Posições Disponíveis</t>
        </is>
      </c>
      <c r="Y11" s="145" t="inlineStr">
        <is>
          <t xml:space="preserve">Posições Ocupadas</t>
        </is>
      </c>
      <c r="Z11" s="145" t="inlineStr">
        <is>
          <t xml:space="preserve">Taxa de Ocupação</t>
        </is>
      </c>
      <c r="AA11" s="145" t="inlineStr">
        <is>
          <t xml:space="preserve">Efetivo</t>
        </is>
      </c>
      <c r="AB11" s="145" t="inlineStr">
        <is>
          <t xml:space="preserve">Falta</t>
        </is>
      </c>
      <c r="AC11" s="145" t="inlineStr">
        <is>
          <t xml:space="preserve">Folga</t>
        </is>
      </c>
      <c r="AD11" s="145" t="inlineStr">
        <is>
          <t xml:space="preserve">Férias</t>
        </is>
      </c>
      <c r="AE11" s="145" t="inlineStr">
        <is>
          <t xml:space="preserve">Desligamentos</t>
        </is>
      </c>
      <c r="AG11" s="145" t="inlineStr">
        <is>
          <t xml:space="preserve">Destaque IN</t>
        </is>
      </c>
      <c r="AH11" s="145" t="inlineStr">
        <is>
          <t xml:space="preserve">Destaque OUT</t>
        </is>
      </c>
      <c r="AI11" s="145" t="inlineStr">
        <is>
          <t xml:space="preserve">Faixa atenção</t>
        </is>
      </c>
      <c r="AJ11" s="145" t="inlineStr">
        <is>
          <t xml:space="preserve">Faixa crítica</t>
        </is>
      </c>
      <c r="AL11" s="145" t="inlineStr">
        <is>
          <t xml:space="preserve">Clientes (filtro)</t>
        </is>
      </c>
      <c r="AN11" s="145" t="inlineStr">
        <is>
          <t xml:space="preserve">Meses (filtros das abas)</t>
        </is>
      </c>
      <c r="AP11" s="145" t="inlineStr">
        <is>
          <t xml:space="preserve">Títulos dos gráficos</t>
        </is>
      </c>
    </row>
    <row r="12">
      <c r="A12">
        <v>1</v>
      </c>
      <c r="B12" s="152">
        <f>IF(ISNUMBER($A12),$C$7+$A12-1,"")</f>
        <v>46266</v>
      </c>
      <c r="C12">
        <f>IF($B$2="Todos",SUMIFS(Base!$C$3:$C$5001,Base!$A$3:$A$5001,$B12),SUMIFS(Base!$C$3:$C$5001,Base!$A$3:$A$5001,$B12,Base!$B$3:$B$5001,$B$2))</f>
        <v>40</v>
      </c>
      <c r="D12">
        <f>IF($B$2="Todos",SUMIFS(Base!$D$3:$D$5001,Base!$A$3:$A$5001,$B12),SUMIFS(Base!$D$3:$D$5001,Base!$A$3:$A$5001,$B12,Base!$B$3:$B$5001,$B$2))</f>
        <v>474</v>
      </c>
      <c r="E12">
        <f>IF($B$2="Todos",SUMIFS(Base!$E$3:$E$5001,Base!$A$3:$A$5001,$B12),SUMIFS(Base!$E$3:$E$5001,Base!$A$3:$A$5001,$B12,Base!$B$3:$B$5001,$B$2))</f>
        <v>172.25</v>
      </c>
      <c r="F12">
        <f>IF($B$2="Todos",SUMIFS(Base!$F$3:$F$5001,Base!$A$3:$A$5001,$B12),SUMIFS(Base!$F$3:$F$5001,Base!$A$3:$A$5001,$B12,Base!$B$3:$B$5001,$B$2))</f>
        <v>3961</v>
      </c>
      <c r="G12">
        <f>IF($B$2="Todos",SUMIFS(Base!$G$3:$G$5001,Base!$A$3:$A$5001,$B12),SUMIFS(Base!$G$3:$G$5001,Base!$A$3:$A$5001,$B12,Base!$B$3:$B$5001,$B$2))</f>
        <v>2565</v>
      </c>
      <c r="H12">
        <f>IF($B$2="Todos",SUMIFS(Base!$H$3:$H$5001,Base!$A$3:$A$5001,$B12),SUMIFS(Base!$H$3:$H$5001,Base!$A$3:$A$5001,$B12,Base!$B$3:$B$5001,$B$2))</f>
        <v>262</v>
      </c>
      <c r="I12">
        <f>IF($B$2="Todos",SUMIFS(Base!$I$3:$I$5001,Base!$A$3:$A$5001,$B12),SUMIFS(Base!$I$3:$I$5001,Base!$A$3:$A$5001,$B12,Base!$B$3:$B$5001,$B$2))</f>
        <v>769</v>
      </c>
      <c r="J12">
        <f>IF($B$2="Todos",SUMIFS(Base!$J$3:$J$5001,Base!$A$3:$A$5001,$B12),SUMIFS(Base!$J$3:$J$5001,Base!$A$3:$A$5001,$B12,Base!$B$3:$B$5001,$B$2))</f>
        <v>243</v>
      </c>
      <c r="K12">
        <f>IF($B$2="Todos",SUMIFS(Base!$K$3:$K$5001,Base!$A$3:$A$5001,$B12),SUMIFS(Base!$K$3:$K$5001,Base!$A$3:$A$5001,$B12,Base!$B$3:$B$5001,$B$2))</f>
        <v>171</v>
      </c>
      <c r="L12">
        <f>IF($B$2="Todos",SUMIFS(Base!$L$3:$L$5001,Base!$A$3:$A$5001,$B12),SUMIFS(Base!$L$3:$L$5001,Base!$A$3:$A$5001,$B12,Base!$B$3:$B$5001,$B$2))</f>
        <v>82</v>
      </c>
      <c r="M12">
        <f>IF($B$2="Todos",SUMIFS(Base!$M$3:$M$5001,Base!$A$3:$A$5001,$B12),SUMIFS(Base!$M$3:$M$5001,Base!$A$3:$A$5001,$B12,Base!$B$3:$B$5001,$B$2))</f>
        <v>744</v>
      </c>
      <c r="N12">
        <f>IF($B$2="Todos",SUMIFS(Base!$N$3:$N$5001,Base!$A$3:$A$5001,$B12),SUMIFS(Base!$N$3:$N$5001,Base!$A$3:$A$5001,$B12,Base!$B$3:$B$5001,$B$2))</f>
        <v>244.34</v>
      </c>
      <c r="O12">
        <f>IF($B$2="Todos",SUMIFS(Base!$O$3:$O$5001,Base!$A$3:$A$5001,$B12),SUMIFS(Base!$O$3:$O$5001,Base!$A$3:$A$5001,$B12,Base!$B$3:$B$5001,$B$2))</f>
        <v>632</v>
      </c>
      <c r="P12">
        <f>IF($B$2="Todos",SUMIFS(Base!$P$3:$P$5001,Base!$A$3:$A$5001,$B12),SUMIFS(Base!$P$3:$P$5001,Base!$A$3:$A$5001,$B12,Base!$B$3:$B$5001,$B$2))</f>
        <v>111</v>
      </c>
      <c r="Q12">
        <f>IF($B$2="Todos",SUMIFS(Base!$Q$3:$Q$5001,Base!$A$3:$A$5001,$B12),SUMIFS(Base!$Q$3:$Q$5001,Base!$A$3:$A$5001,$B12,Base!$B$3:$B$5001,$B$2))</f>
        <v>154</v>
      </c>
      <c r="R12">
        <f>IF($B$2="Todos",SUMIFS(Base!$R$3:$R$5001,Base!$A$3:$A$5001,$B12),SUMIFS(Base!$R$3:$R$5001,Base!$A$3:$A$5001,$B12,Base!$B$3:$B$5001,$B$2))</f>
        <v>5167</v>
      </c>
      <c r="S12">
        <f>IF($B$2="Todos",SUMIFS(Base!$S$3:$S$5001,Base!$A$3:$A$5001,$B12),SUMIFS(Base!$S$3:$S$5001,Base!$A$3:$A$5001,$B12,Base!$B$3:$B$5001,$B$2))</f>
        <v>219</v>
      </c>
      <c r="T12">
        <f>IF($B$2="Todos",SUMIFS(Base!$T$3:$T$5001,Base!$A$3:$A$5001,$B12),SUMIFS(Base!$T$3:$T$5001,Base!$A$3:$A$5001,$B12,Base!$B$3:$B$5001,$B$2))</f>
        <v>136</v>
      </c>
      <c r="U12">
        <f>IF($B$2="Todos",SUMIFS(Base!$U$3:$U$5001,Base!$A$3:$A$5001,$B12),SUMIFS(Base!$U$3:$U$5001,Base!$A$3:$A$5001,$B12,Base!$B$3:$B$5001,$B$2))</f>
        <v>0</v>
      </c>
      <c r="V12">
        <f>IF($B$2="Todos",SUMIFS(Base!$V$3:$V$5001,Base!$A$3:$A$5001,$B12),SUMIFS(Base!$V$3:$V$5001,Base!$A$3:$A$5001,$B12,Base!$B$3:$B$5001,$B$2))</f>
        <v>0</v>
      </c>
      <c r="W12">
        <f>IF($B$2="Todos",IF(COUNT($C$128:$K$128)=0,"",SUM($C$128:$K$128)),IFERROR(INDEX($C$128:$K$128,MATCH($B$2,$C$127:$K$127,0)),""))</f>
        <v>21</v>
      </c>
      <c r="X12">
        <f>IF(Y12="","",IF($B$2="Todos",IF(ISNUMBER($B$4),$B$4,IF(COUNT($C$163:$K$163)=0,"",SUM($C$163:$K$163))),IFERROR(INDEX($C$163:$K$163,MATCH($B$2,$C$162:$K$162,0)),"")))</f>
        <v>13700</v>
      </c>
      <c r="Y12">
        <f>IF($B$2="Todos",IF(COUNT($C$198:$K$198)=0,"",SUM($C$198:$K$198)),IFERROR(INDEX($C$198:$K$198,MATCH($B$2,$C$197:$K$197,0)),""))</f>
        <v>10304</v>
      </c>
      <c r="Z12">
        <f>IF(AND(ISNUMBER(Y12),ISNUMBER(X12)),IF(X12&gt;0,Y12/X12,""),"")</f>
        <v>0.752116788321168</v>
      </c>
      <c r="AA12">
        <f>IF($B$2="Todos",IF(COUNT($C$233:$K$233)=0,"",SUM($C$233:$K$233)),IFERROR(INDEX($C$233:$K$233,MATCH($B$2,$C$232:$K$232,0)),""))</f>
        <v>83</v>
      </c>
      <c r="AB12">
        <f>IF($B$2="Todos",SUMIFS(Base!$AA$3:$AA$5001,Base!$A$3:$A$5001,$B12),SUMIFS(Base!$AA$3:$AA$5001,Base!$A$3:$A$5001,$B12,Base!$B$3:$B$5001,$B$2))</f>
        <v>1</v>
      </c>
      <c r="AC12">
        <f>IF($B$2="Todos",SUMIFS(Base!$AB$3:$AB$5001,Base!$A$3:$A$5001,$B12),SUMIFS(Base!$AB$3:$AB$5001,Base!$A$3:$A$5001,$B12,Base!$B$3:$B$5001,$B$2))</f>
        <v>2</v>
      </c>
      <c r="AD12">
        <f>IF($B$2="Todos",SUMIFS(Base!$AC$3:$AC$5001,Base!$A$3:$A$5001,$B12),SUMIFS(Base!$AC$3:$AC$5001,Base!$A$3:$A$5001,$B12,Base!$B$3:$B$5001,$B$2))</f>
        <v>1</v>
      </c>
      <c r="AE12">
        <f>IF($B$2="Todos",SUMIFS(Base!$AD$3:$AD$5001,Base!$A$3:$A$5001,$B12),SUMIFS(Base!$AD$3:$AD$5001,Base!$A$3:$A$5001,$B12,Base!$B$3:$B$5001,$B$2))</f>
        <v>0</v>
      </c>
      <c r="AG12">
        <f>IFERROR(N(INDEX($C12:$AE12,MATCH($B$3,$C$11:$AE$11,0))),0)</f>
        <v>474</v>
      </c>
      <c r="AH12">
        <f>IFERROR(N(INDEX($C12:$AE12,MATCH($C$3,$C$11:$AE$11,0))),0)</f>
        <v>744</v>
      </c>
      <c r="AI12">
        <f>$B$5</f>
        <v>0.7</v>
      </c>
      <c r="AJ12">
        <f>$B$6</f>
        <v>0.9</v>
      </c>
      <c r="AL12" t="inlineStr">
        <is>
          <t xml:space="preserve">Todos</t>
        </is>
      </c>
      <c r="AN12" t="inlineStr">
        <is>
          <t xml:space="preserve">JANEIRO · 2026</t>
        </is>
      </c>
      <c r="AP12" t="str">
        <f>"Veículos por dia · recebidos x expedidos — "&amp;IF($B$2="Todos","todos os clientes",$B$2)</f>
        <v>Veículos por dia · recebidos x expedidos — todos os clientes</v>
      </c>
    </row>
    <row r="13">
      <c r="A13">
        <v>2</v>
      </c>
      <c r="B13" s="152">
        <f>IF(ISNUMBER($A13),$C$7+$A13-1,"")</f>
        <v>46267</v>
      </c>
      <c r="C13">
        <f>IF($B$2="Todos",SUMIFS(Base!$C$3:$C$5001,Base!$A$3:$A$5001,$B13),SUMIFS(Base!$C$3:$C$5001,Base!$A$3:$A$5001,$B13,Base!$B$3:$B$5001,$B$2))</f>
        <v>52</v>
      </c>
      <c r="D13">
        <f>IF($B$2="Todos",SUMIFS(Base!$D$3:$D$5001,Base!$A$3:$A$5001,$B13),SUMIFS(Base!$D$3:$D$5001,Base!$A$3:$A$5001,$B13,Base!$B$3:$B$5001,$B$2))</f>
        <v>468</v>
      </c>
      <c r="E13">
        <f>IF($B$2="Todos",SUMIFS(Base!$E$3:$E$5001,Base!$A$3:$A$5001,$B13),SUMIFS(Base!$E$3:$E$5001,Base!$A$3:$A$5001,$B13,Base!$B$3:$B$5001,$B$2))</f>
        <v>222.11</v>
      </c>
      <c r="F13">
        <f>IF($B$2="Todos",SUMIFS(Base!$F$3:$F$5001,Base!$A$3:$A$5001,$B13),SUMIFS(Base!$F$3:$F$5001,Base!$A$3:$A$5001,$B13,Base!$B$3:$B$5001,$B$2))</f>
        <v>3012</v>
      </c>
      <c r="G13">
        <f>IF($B$2="Todos",SUMIFS(Base!$G$3:$G$5001,Base!$A$3:$A$5001,$B13),SUMIFS(Base!$G$3:$G$5001,Base!$A$3:$A$5001,$B13,Base!$B$3:$B$5001,$B$2))</f>
        <v>3268</v>
      </c>
      <c r="H13">
        <f>IF($B$2="Todos",SUMIFS(Base!$H$3:$H$5001,Base!$A$3:$A$5001,$B13),SUMIFS(Base!$H$3:$H$5001,Base!$A$3:$A$5001,$B13,Base!$B$3:$B$5001,$B$2))</f>
        <v>271</v>
      </c>
      <c r="I13">
        <f>IF($B$2="Todos",SUMIFS(Base!$I$3:$I$5001,Base!$A$3:$A$5001,$B13),SUMIFS(Base!$I$3:$I$5001,Base!$A$3:$A$5001,$B13,Base!$B$3:$B$5001,$B$2))</f>
        <v>842</v>
      </c>
      <c r="J13">
        <f>IF($B$2="Todos",SUMIFS(Base!$J$3:$J$5001,Base!$A$3:$A$5001,$B13),SUMIFS(Base!$J$3:$J$5001,Base!$A$3:$A$5001,$B13,Base!$B$3:$B$5001,$B$2))</f>
        <v>381</v>
      </c>
      <c r="K13">
        <f>IF($B$2="Todos",SUMIFS(Base!$K$3:$K$5001,Base!$A$3:$A$5001,$B13),SUMIFS(Base!$K$3:$K$5001,Base!$A$3:$A$5001,$B13,Base!$B$3:$B$5001,$B$2))</f>
        <v>103</v>
      </c>
      <c r="L13">
        <f>IF($B$2="Todos",SUMIFS(Base!$L$3:$L$5001,Base!$A$3:$A$5001,$B13),SUMIFS(Base!$L$3:$L$5001,Base!$A$3:$A$5001,$B13,Base!$B$3:$B$5001,$B$2))</f>
        <v>70</v>
      </c>
      <c r="M13">
        <f>IF($B$2="Todos",SUMIFS(Base!$M$3:$M$5001,Base!$A$3:$A$5001,$B13),SUMIFS(Base!$M$3:$M$5001,Base!$A$3:$A$5001,$B13,Base!$B$3:$B$5001,$B$2))</f>
        <v>746</v>
      </c>
      <c r="N13">
        <f>IF($B$2="Todos",SUMIFS(Base!$N$3:$N$5001,Base!$A$3:$A$5001,$B13),SUMIFS(Base!$N$3:$N$5001,Base!$A$3:$A$5001,$B13,Base!$B$3:$B$5001,$B$2))</f>
        <v>148.98</v>
      </c>
      <c r="O13">
        <f>IF($B$2="Todos",SUMIFS(Base!$O$3:$O$5001,Base!$A$3:$A$5001,$B13),SUMIFS(Base!$O$3:$O$5001,Base!$A$3:$A$5001,$B13,Base!$B$3:$B$5001,$B$2))</f>
        <v>2074</v>
      </c>
      <c r="P13">
        <f>IF($B$2="Todos",SUMIFS(Base!$P$3:$P$5001,Base!$A$3:$A$5001,$B13),SUMIFS(Base!$P$3:$P$5001,Base!$A$3:$A$5001,$B13,Base!$B$3:$B$5001,$B$2))</f>
        <v>270</v>
      </c>
      <c r="Q13">
        <f>IF($B$2="Todos",SUMIFS(Base!$Q$3:$Q$5001,Base!$A$3:$A$5001,$B13),SUMIFS(Base!$Q$3:$Q$5001,Base!$A$3:$A$5001,$B13,Base!$B$3:$B$5001,$B$2))</f>
        <v>865</v>
      </c>
      <c r="R13">
        <f>IF($B$2="Todos",SUMIFS(Base!$R$3:$R$5001,Base!$A$3:$A$5001,$B13),SUMIFS(Base!$R$3:$R$5001,Base!$A$3:$A$5001,$B13,Base!$B$3:$B$5001,$B$2))</f>
        <v>4213</v>
      </c>
      <c r="S13">
        <f>IF($B$2="Todos",SUMIFS(Base!$S$3:$S$5001,Base!$A$3:$A$5001,$B13),SUMIFS(Base!$S$3:$S$5001,Base!$A$3:$A$5001,$B13,Base!$B$3:$B$5001,$B$2))</f>
        <v>531</v>
      </c>
      <c r="T13">
        <f>IF($B$2="Todos",SUMIFS(Base!$T$3:$T$5001,Base!$A$3:$A$5001,$B13),SUMIFS(Base!$T$3:$T$5001,Base!$A$3:$A$5001,$B13,Base!$B$3:$B$5001,$B$2))</f>
        <v>116</v>
      </c>
      <c r="U13">
        <f>IF($B$2="Todos",SUMIFS(Base!$U$3:$U$5001,Base!$A$3:$A$5001,$B13),SUMIFS(Base!$U$3:$U$5001,Base!$A$3:$A$5001,$B13,Base!$B$3:$B$5001,$B$2))</f>
        <v>0</v>
      </c>
      <c r="V13">
        <f>IF($B$2="Todos",SUMIFS(Base!$V$3:$V$5001,Base!$A$3:$A$5001,$B13),SUMIFS(Base!$V$3:$V$5001,Base!$A$3:$A$5001,$B13,Base!$B$3:$B$5001,$B$2))</f>
        <v>1</v>
      </c>
      <c r="W13">
        <f>IF($B$2="Todos",IF(COUNT($C$129:$K$129)=0,"",SUM($C$129:$K$129)),IFERROR(INDEX($C$129:$K$129,MATCH($B$2,$C$127:$K$127,0)),""))</f>
        <v>43</v>
      </c>
      <c r="X13">
        <f>IF(Y13="","",IF($B$2="Todos",IF(ISNUMBER($B$4),$B$4,IF(COUNT($C$164:$K$164)=0,"",SUM($C$164:$K$164))),IFERROR(INDEX($C$164:$K$164,MATCH($B$2,$C$162:$K$162,0)),"")))</f>
        <v>13700</v>
      </c>
      <c r="Y13">
        <f>IF($B$2="Todos",IF(COUNT($C$199:$K$199)=0,"",SUM($C$199:$K$199)),IFERROR(INDEX($C$199:$K$199,MATCH($B$2,$C$197:$K$197,0)),""))</f>
        <v>10928</v>
      </c>
      <c r="Z13">
        <f>IF(AND(ISNUMBER(Y13),ISNUMBER(X13)),IF(X13&gt;0,Y13/X13,""),"")</f>
        <v>0.797664233576642</v>
      </c>
      <c r="AA13">
        <f>IF($B$2="Todos",IF(COUNT($C$234:$K$234)=0,"",SUM($C$234:$K$234)),IFERROR(INDEX($C$234:$K$234,MATCH($B$2,$C$232:$K$232,0)),""))</f>
        <v>88</v>
      </c>
      <c r="AB13">
        <f>IF($B$2="Todos",SUMIFS(Base!$AA$3:$AA$5001,Base!$A$3:$A$5001,$B13),SUMIFS(Base!$AA$3:$AA$5001,Base!$A$3:$A$5001,$B13,Base!$B$3:$B$5001,$B$2))</f>
        <v>2</v>
      </c>
      <c r="AC13">
        <f>IF($B$2="Todos",SUMIFS(Base!$AB$3:$AB$5001,Base!$A$3:$A$5001,$B13),SUMIFS(Base!$AB$3:$AB$5001,Base!$A$3:$A$5001,$B13,Base!$B$3:$B$5001,$B$2))</f>
        <v>0</v>
      </c>
      <c r="AD13">
        <f>IF($B$2="Todos",SUMIFS(Base!$AC$3:$AC$5001,Base!$A$3:$A$5001,$B13),SUMIFS(Base!$AC$3:$AC$5001,Base!$A$3:$A$5001,$B13,Base!$B$3:$B$5001,$B$2))</f>
        <v>1</v>
      </c>
      <c r="AE13">
        <f>IF($B$2="Todos",SUMIFS(Base!$AD$3:$AD$5001,Base!$A$3:$A$5001,$B13),SUMIFS(Base!$AD$3:$AD$5001,Base!$A$3:$A$5001,$B13,Base!$B$3:$B$5001,$B$2))</f>
        <v>0</v>
      </c>
      <c r="AG13">
        <f>IFERROR(N(INDEX($C13:$AE13,MATCH($B$3,$C$11:$AE$11,0))),0)</f>
        <v>468</v>
      </c>
      <c r="AH13">
        <f>IFERROR(N(INDEX($C13:$AE13,MATCH($C$3,$C$11:$AE$11,0))),0)</f>
        <v>746</v>
      </c>
      <c r="AI13">
        <f>$B$5</f>
        <v>0.7</v>
      </c>
      <c r="AJ13">
        <f>$B$6</f>
        <v>0.9</v>
      </c>
      <c r="AL13" t="inlineStr">
        <is>
          <t xml:space="preserve">BASF</t>
        </is>
      </c>
      <c r="AN13" t="inlineStr">
        <is>
          <t xml:space="preserve">FEVEREIRO · 2026</t>
        </is>
      </c>
      <c r="AP13" t="str">
        <f>"Taxa de ocupação por dia — "&amp;IF($B$2="Todos","todos os clientes",$B$2)</f>
        <v>Taxa de ocupação por dia — todos os clientes</v>
      </c>
    </row>
    <row r="14">
      <c r="A14">
        <v>3</v>
      </c>
      <c r="B14" s="152">
        <f>IF(ISNUMBER($A14),$C$7+$A14-1,"")</f>
        <v>46268</v>
      </c>
      <c r="C14">
        <f>IF($B$2="Todos",SUMIFS(Base!$C$3:$C$5001,Base!$A$3:$A$5001,$B14),SUMIFS(Base!$C$3:$C$5001,Base!$A$3:$A$5001,$B14,Base!$B$3:$B$5001,$B$2))</f>
        <v>38</v>
      </c>
      <c r="D14">
        <f>IF($B$2="Todos",SUMIFS(Base!$D$3:$D$5001,Base!$A$3:$A$5001,$B14),SUMIFS(Base!$D$3:$D$5001,Base!$A$3:$A$5001,$B14,Base!$B$3:$B$5001,$B$2))</f>
        <v>647</v>
      </c>
      <c r="E14">
        <f>IF($B$2="Todos",SUMIFS(Base!$E$3:$E$5001,Base!$A$3:$A$5001,$B14),SUMIFS(Base!$E$3:$E$5001,Base!$A$3:$A$5001,$B14,Base!$B$3:$B$5001,$B$2))</f>
        <v>95.85</v>
      </c>
      <c r="F14">
        <f>IF($B$2="Todos",SUMIFS(Base!$F$3:$F$5001,Base!$A$3:$A$5001,$B14),SUMIFS(Base!$F$3:$F$5001,Base!$A$3:$A$5001,$B14,Base!$B$3:$B$5001,$B$2))</f>
        <v>2004</v>
      </c>
      <c r="G14">
        <f>IF($B$2="Todos",SUMIFS(Base!$G$3:$G$5001,Base!$A$3:$A$5001,$B14),SUMIFS(Base!$G$3:$G$5001,Base!$A$3:$A$5001,$B14,Base!$B$3:$B$5001,$B$2))</f>
        <v>4567</v>
      </c>
      <c r="H14">
        <f>IF($B$2="Todos",SUMIFS(Base!$H$3:$H$5001,Base!$A$3:$A$5001,$B14),SUMIFS(Base!$H$3:$H$5001,Base!$A$3:$A$5001,$B14,Base!$B$3:$B$5001,$B$2))</f>
        <v>258</v>
      </c>
      <c r="I14">
        <f>IF($B$2="Todos",SUMIFS(Base!$I$3:$I$5001,Base!$A$3:$A$5001,$B14),SUMIFS(Base!$I$3:$I$5001,Base!$A$3:$A$5001,$B14,Base!$B$3:$B$5001,$B$2))</f>
        <v>420</v>
      </c>
      <c r="J14">
        <f>IF($B$2="Todos",SUMIFS(Base!$J$3:$J$5001,Base!$A$3:$A$5001,$B14),SUMIFS(Base!$J$3:$J$5001,Base!$A$3:$A$5001,$B14,Base!$B$3:$B$5001,$B$2))</f>
        <v>510</v>
      </c>
      <c r="K14">
        <f>IF($B$2="Todos",SUMIFS(Base!$K$3:$K$5001,Base!$A$3:$A$5001,$B14),SUMIFS(Base!$K$3:$K$5001,Base!$A$3:$A$5001,$B14,Base!$B$3:$B$5001,$B$2))</f>
        <v>121</v>
      </c>
      <c r="L14">
        <f>IF($B$2="Todos",SUMIFS(Base!$L$3:$L$5001,Base!$A$3:$A$5001,$B14),SUMIFS(Base!$L$3:$L$5001,Base!$A$3:$A$5001,$B14,Base!$B$3:$B$5001,$B$2))</f>
        <v>68</v>
      </c>
      <c r="M14">
        <f>IF($B$2="Todos",SUMIFS(Base!$M$3:$M$5001,Base!$A$3:$A$5001,$B14),SUMIFS(Base!$M$3:$M$5001,Base!$A$3:$A$5001,$B14,Base!$B$3:$B$5001,$B$2))</f>
        <v>560</v>
      </c>
      <c r="N14">
        <f>IF($B$2="Todos",SUMIFS(Base!$N$3:$N$5001,Base!$A$3:$A$5001,$B14),SUMIFS(Base!$N$3:$N$5001,Base!$A$3:$A$5001,$B14,Base!$B$3:$B$5001,$B$2))</f>
        <v>80.79</v>
      </c>
      <c r="O14">
        <f>IF($B$2="Todos",SUMIFS(Base!$O$3:$O$5001,Base!$A$3:$A$5001,$B14),SUMIFS(Base!$O$3:$O$5001,Base!$A$3:$A$5001,$B14,Base!$B$3:$B$5001,$B$2))</f>
        <v>2107</v>
      </c>
      <c r="P14">
        <f>IF($B$2="Todos",SUMIFS(Base!$P$3:$P$5001,Base!$A$3:$A$5001,$B14),SUMIFS(Base!$P$3:$P$5001,Base!$A$3:$A$5001,$B14,Base!$B$3:$B$5001,$B$2))</f>
        <v>432</v>
      </c>
      <c r="Q14">
        <f>IF($B$2="Todos",SUMIFS(Base!$Q$3:$Q$5001,Base!$A$3:$A$5001,$B14),SUMIFS(Base!$Q$3:$Q$5001,Base!$A$3:$A$5001,$B14,Base!$B$3:$B$5001,$B$2))</f>
        <v>768</v>
      </c>
      <c r="R14">
        <f>IF($B$2="Todos",SUMIFS(Base!$R$3:$R$5001,Base!$A$3:$A$5001,$B14),SUMIFS(Base!$R$3:$R$5001,Base!$A$3:$A$5001,$B14,Base!$B$3:$B$5001,$B$2))</f>
        <v>3197</v>
      </c>
      <c r="S14">
        <f>IF($B$2="Todos",SUMIFS(Base!$S$3:$S$5001,Base!$A$3:$A$5001,$B14),SUMIFS(Base!$S$3:$S$5001,Base!$A$3:$A$5001,$B14,Base!$B$3:$B$5001,$B$2))</f>
        <v>456</v>
      </c>
      <c r="T14">
        <f>IF($B$2="Todos",SUMIFS(Base!$T$3:$T$5001,Base!$A$3:$A$5001,$B14),SUMIFS(Base!$T$3:$T$5001,Base!$A$3:$A$5001,$B14,Base!$B$3:$B$5001,$B$2))</f>
        <v>120</v>
      </c>
      <c r="U14">
        <f>IF($B$2="Todos",SUMIFS(Base!$U$3:$U$5001,Base!$A$3:$A$5001,$B14),SUMIFS(Base!$U$3:$U$5001,Base!$A$3:$A$5001,$B14,Base!$B$3:$B$5001,$B$2))</f>
        <v>2</v>
      </c>
      <c r="V14">
        <f>IF($B$2="Todos",SUMIFS(Base!$V$3:$V$5001,Base!$A$3:$A$5001,$B14),SUMIFS(Base!$V$3:$V$5001,Base!$A$3:$A$5001,$B14,Base!$B$3:$B$5001,$B$2))</f>
        <v>1</v>
      </c>
      <c r="W14">
        <f>IF($B$2="Todos",IF(COUNT($C$130:$K$130)=0,"",SUM($C$130:$K$130)),IFERROR(INDEX($C$130:$K$130,MATCH($B$2,$C$127:$K$127,0)),""))</f>
        <v>41</v>
      </c>
      <c r="X14">
        <f>IF(Y14="","",IF($B$2="Todos",IF(ISNUMBER($B$4),$B$4,IF(COUNT($C$165:$K$165)=0,"",SUM($C$165:$K$165))),IFERROR(INDEX($C$165:$K$165,MATCH($B$2,$C$162:$K$162,0)),"")))</f>
        <v>13700</v>
      </c>
      <c r="Y14">
        <f>IF($B$2="Todos",IF(COUNT($C$200:$K$200)=0,"",SUM($C$200:$K$200)),IFERROR(INDEX($C$200:$K$200,MATCH($B$2,$C$197:$K$197,0)),""))</f>
        <v>10902</v>
      </c>
      <c r="Z14">
        <f>IF(AND(ISNUMBER(Y14),ISNUMBER(X14)),IF(X14&gt;0,Y14/X14,""),"")</f>
        <v>0.795766423357664</v>
      </c>
      <c r="AA14">
        <f>IF($B$2="Todos",IF(COUNT($C$235:$K$235)=0,"",SUM($C$235:$K$235)),IFERROR(INDEX($C$235:$K$235,MATCH($B$2,$C$232:$K$232,0)),""))</f>
        <v>90</v>
      </c>
      <c r="AB14">
        <f>IF($B$2="Todos",SUMIFS(Base!$AA$3:$AA$5001,Base!$A$3:$A$5001,$B14),SUMIFS(Base!$AA$3:$AA$5001,Base!$A$3:$A$5001,$B14,Base!$B$3:$B$5001,$B$2))</f>
        <v>3</v>
      </c>
      <c r="AC14">
        <f>IF($B$2="Todos",SUMIFS(Base!$AB$3:$AB$5001,Base!$A$3:$A$5001,$B14),SUMIFS(Base!$AB$3:$AB$5001,Base!$A$3:$A$5001,$B14,Base!$B$3:$B$5001,$B$2))</f>
        <v>1</v>
      </c>
      <c r="AD14">
        <f>IF($B$2="Todos",SUMIFS(Base!$AC$3:$AC$5001,Base!$A$3:$A$5001,$B14),SUMIFS(Base!$AC$3:$AC$5001,Base!$A$3:$A$5001,$B14,Base!$B$3:$B$5001,$B$2))</f>
        <v>1</v>
      </c>
      <c r="AE14">
        <f>IF($B$2="Todos",SUMIFS(Base!$AD$3:$AD$5001,Base!$A$3:$A$5001,$B14),SUMIFS(Base!$AD$3:$AD$5001,Base!$A$3:$A$5001,$B14,Base!$B$3:$B$5001,$B$2))</f>
        <v>0</v>
      </c>
      <c r="AG14">
        <f>IFERROR(N(INDEX($C14:$AE14,MATCH($B$3,$C$11:$AE$11,0))),0)</f>
        <v>647</v>
      </c>
      <c r="AH14">
        <f>IFERROR(N(INDEX($C14:$AE14,MATCH($C$3,$C$11:$AE$11,0))),0)</f>
        <v>560</v>
      </c>
      <c r="AI14">
        <f>$B$5</f>
        <v>0.7</v>
      </c>
      <c r="AJ14">
        <f>$B$6</f>
        <v>0.9</v>
      </c>
      <c r="AL14" t="inlineStr">
        <is>
          <t xml:space="preserve">BEAUTYBIZ</t>
        </is>
      </c>
      <c r="AN14" t="inlineStr">
        <is>
          <t xml:space="preserve">MARÇO · 2026</t>
        </is>
      </c>
      <c r="AP14" t="str">
        <f>"Por semana · "&amp;MID($B$3,FIND(" ",$B$3)+1,99)&amp;" (IN) x "&amp;MID($C$3,FIND(" ",$C$3)+1,99)&amp;" (OUT) — "&amp;IF($B$2="Todos","todos os clientes",$B$2)</f>
        <v>Por semana · Pallets Movimentados (IN) x Pallets Movimentados (OUT) — todos os clientes</v>
      </c>
    </row>
    <row r="15">
      <c r="A15">
        <v>4</v>
      </c>
      <c r="B15" s="152">
        <f>IF(ISNUMBER($A15),$C$7+$A15-1,"")</f>
        <v>46269</v>
      </c>
      <c r="C15">
        <f>IF($B$2="Todos",SUMIFS(Base!$C$3:$C$5001,Base!$A$3:$A$5001,$B15),SUMIFS(Base!$C$3:$C$5001,Base!$A$3:$A$5001,$B15,Base!$B$3:$B$5001,$B$2))</f>
        <v>32</v>
      </c>
      <c r="D15">
        <f>IF($B$2="Todos",SUMIFS(Base!$D$3:$D$5001,Base!$A$3:$A$5001,$B15),SUMIFS(Base!$D$3:$D$5001,Base!$A$3:$A$5001,$B15,Base!$B$3:$B$5001,$B$2))</f>
        <v>599</v>
      </c>
      <c r="E15">
        <f>IF($B$2="Todos",SUMIFS(Base!$E$3:$E$5001,Base!$A$3:$A$5001,$B15),SUMIFS(Base!$E$3:$E$5001,Base!$A$3:$A$5001,$B15,Base!$B$3:$B$5001,$B$2))</f>
        <v>147.21</v>
      </c>
      <c r="F15">
        <f>IF($B$2="Todos",SUMIFS(Base!$F$3:$F$5001,Base!$A$3:$A$5001,$B15),SUMIFS(Base!$F$3:$F$5001,Base!$A$3:$A$5001,$B15,Base!$B$3:$B$5001,$B$2))</f>
        <v>847</v>
      </c>
      <c r="G15">
        <f>IF($B$2="Todos",SUMIFS(Base!$G$3:$G$5001,Base!$A$3:$A$5001,$B15),SUMIFS(Base!$G$3:$G$5001,Base!$A$3:$A$5001,$B15,Base!$B$3:$B$5001,$B$2))</f>
        <v>4959</v>
      </c>
      <c r="H15">
        <f>IF($B$2="Todos",SUMIFS(Base!$H$3:$H$5001,Base!$A$3:$A$5001,$B15),SUMIFS(Base!$H$3:$H$5001,Base!$A$3:$A$5001,$B15,Base!$B$3:$B$5001,$B$2))</f>
        <v>362</v>
      </c>
      <c r="I15">
        <f>IF($B$2="Todos",SUMIFS(Base!$I$3:$I$5001,Base!$A$3:$A$5001,$B15),SUMIFS(Base!$I$3:$I$5001,Base!$A$3:$A$5001,$B15,Base!$B$3:$B$5001,$B$2))</f>
        <v>103</v>
      </c>
      <c r="J15">
        <f>IF($B$2="Todos",SUMIFS(Base!$J$3:$J$5001,Base!$A$3:$A$5001,$B15),SUMIFS(Base!$J$3:$J$5001,Base!$A$3:$A$5001,$B15,Base!$B$3:$B$5001,$B$2))</f>
        <v>539</v>
      </c>
      <c r="K15">
        <f>IF($B$2="Todos",SUMIFS(Base!$K$3:$K$5001,Base!$A$3:$A$5001,$B15),SUMIFS(Base!$K$3:$K$5001,Base!$A$3:$A$5001,$B15,Base!$B$3:$B$5001,$B$2))</f>
        <v>181</v>
      </c>
      <c r="L15">
        <f>IF($B$2="Todos",SUMIFS(Base!$L$3:$L$5001,Base!$A$3:$A$5001,$B15),SUMIFS(Base!$L$3:$L$5001,Base!$A$3:$A$5001,$B15,Base!$B$3:$B$5001,$B$2))</f>
        <v>58</v>
      </c>
      <c r="M15">
        <f>IF($B$2="Todos",SUMIFS(Base!$M$3:$M$5001,Base!$A$3:$A$5001,$B15),SUMIFS(Base!$M$3:$M$5001,Base!$A$3:$A$5001,$B15,Base!$B$3:$B$5001,$B$2))</f>
        <v>815</v>
      </c>
      <c r="N15">
        <f>IF($B$2="Todos",SUMIFS(Base!$N$3:$N$5001,Base!$A$3:$A$5001,$B15),SUMIFS(Base!$N$3:$N$5001,Base!$A$3:$A$5001,$B15,Base!$B$3:$B$5001,$B$2))</f>
        <v>172.94</v>
      </c>
      <c r="O15">
        <f>IF($B$2="Todos",SUMIFS(Base!$O$3:$O$5001,Base!$A$3:$A$5001,$B15),SUMIFS(Base!$O$3:$O$5001,Base!$A$3:$A$5001,$B15,Base!$B$3:$B$5001,$B$2))</f>
        <v>1841</v>
      </c>
      <c r="P15">
        <f>IF($B$2="Todos",SUMIFS(Base!$P$3:$P$5001,Base!$A$3:$A$5001,$B15),SUMIFS(Base!$P$3:$P$5001,Base!$A$3:$A$5001,$B15,Base!$B$3:$B$5001,$B$2))</f>
        <v>497</v>
      </c>
      <c r="Q15">
        <f>IF($B$2="Todos",SUMIFS(Base!$Q$3:$Q$5001,Base!$A$3:$A$5001,$B15),SUMIFS(Base!$Q$3:$Q$5001,Base!$A$3:$A$5001,$B15,Base!$B$3:$B$5001,$B$2))</f>
        <v>932</v>
      </c>
      <c r="R15">
        <f>IF($B$2="Todos",SUMIFS(Base!$R$3:$R$5001,Base!$A$3:$A$5001,$B15),SUMIFS(Base!$R$3:$R$5001,Base!$A$3:$A$5001,$B15,Base!$B$3:$B$5001,$B$2))</f>
        <v>3181</v>
      </c>
      <c r="S15">
        <f>IF($B$2="Todos",SUMIFS(Base!$S$3:$S$5001,Base!$A$3:$A$5001,$B15),SUMIFS(Base!$S$3:$S$5001,Base!$A$3:$A$5001,$B15,Base!$B$3:$B$5001,$B$2))</f>
        <v>355</v>
      </c>
      <c r="T15">
        <f>IF($B$2="Todos",SUMIFS(Base!$T$3:$T$5001,Base!$A$3:$A$5001,$B15),SUMIFS(Base!$T$3:$T$5001,Base!$A$3:$A$5001,$B15,Base!$B$3:$B$5001,$B$2))</f>
        <v>130</v>
      </c>
      <c r="U15">
        <f>IF($B$2="Todos",SUMIFS(Base!$U$3:$U$5001,Base!$A$3:$A$5001,$B15),SUMIFS(Base!$U$3:$U$5001,Base!$A$3:$A$5001,$B15,Base!$B$3:$B$5001,$B$2))</f>
        <v>0</v>
      </c>
      <c r="V15">
        <f>IF($B$2="Todos",SUMIFS(Base!$V$3:$V$5001,Base!$A$3:$A$5001,$B15),SUMIFS(Base!$V$3:$V$5001,Base!$A$3:$A$5001,$B15,Base!$B$3:$B$5001,$B$2))</f>
        <v>1</v>
      </c>
      <c r="W15">
        <f>IF($B$2="Todos",IF(COUNT($C$131:$K$131)=0,"",SUM($C$131:$K$131)),IFERROR(INDEX($C$131:$K$131,MATCH($B$2,$C$127:$K$127,0)),""))</f>
        <v>47</v>
      </c>
      <c r="X15">
        <f>IF(Y15="","",IF($B$2="Todos",IF(ISNUMBER($B$4),$B$4,IF(COUNT($C$166:$K$166)=0,"",SUM($C$166:$K$166))),IFERROR(INDEX($C$166:$K$166,MATCH($B$2,$C$162:$K$162,0)),"")))</f>
        <v>13700</v>
      </c>
      <c r="Y15">
        <f>IF($B$2="Todos",IF(COUNT($C$201:$K$201)=0,"",SUM($C$201:$K$201)),IFERROR(INDEX($C$201:$K$201,MATCH($B$2,$C$197:$K$197,0)),""))</f>
        <v>9465</v>
      </c>
      <c r="Z15">
        <f>IF(AND(ISNUMBER(Y15),ISNUMBER(X15)),IF(X15&gt;0,Y15/X15,""),"")</f>
        <v>0.690875912408759</v>
      </c>
      <c r="AA15">
        <f>IF($B$2="Todos",IF(COUNT($C$236:$K$236)=0,"",SUM($C$236:$K$236)),IFERROR(INDEX($C$236:$K$236,MATCH($B$2,$C$232:$K$232,0)),""))</f>
        <v>81</v>
      </c>
      <c r="AB15">
        <f>IF($B$2="Todos",SUMIFS(Base!$AA$3:$AA$5001,Base!$A$3:$A$5001,$B15),SUMIFS(Base!$AA$3:$AA$5001,Base!$A$3:$A$5001,$B15,Base!$B$3:$B$5001,$B$2))</f>
        <v>1</v>
      </c>
      <c r="AC15">
        <f>IF($B$2="Todos",SUMIFS(Base!$AB$3:$AB$5001,Base!$A$3:$A$5001,$B15),SUMIFS(Base!$AB$3:$AB$5001,Base!$A$3:$A$5001,$B15,Base!$B$3:$B$5001,$B$2))</f>
        <v>2</v>
      </c>
      <c r="AD15">
        <f>IF($B$2="Todos",SUMIFS(Base!$AC$3:$AC$5001,Base!$A$3:$A$5001,$B15),SUMIFS(Base!$AC$3:$AC$5001,Base!$A$3:$A$5001,$B15,Base!$B$3:$B$5001,$B$2))</f>
        <v>0</v>
      </c>
      <c r="AE15">
        <f>IF($B$2="Todos",SUMIFS(Base!$AD$3:$AD$5001,Base!$A$3:$A$5001,$B15),SUMIFS(Base!$AD$3:$AD$5001,Base!$A$3:$A$5001,$B15,Base!$B$3:$B$5001,$B$2))</f>
        <v>1</v>
      </c>
      <c r="AG15">
        <f>IFERROR(N(INDEX($C15:$AE15,MATCH($B$3,$C$11:$AE$11,0))),0)</f>
        <v>599</v>
      </c>
      <c r="AH15">
        <f>IFERROR(N(INDEX($C15:$AE15,MATCH($C$3,$C$11:$AE$11,0))),0)</f>
        <v>815</v>
      </c>
      <c r="AI15">
        <f>$B$5</f>
        <v>0.7</v>
      </c>
      <c r="AJ15">
        <f>$B$6</f>
        <v>0.9</v>
      </c>
      <c r="AL15" t="inlineStr">
        <is>
          <t xml:space="preserve">BOTICÁRIO</t>
        </is>
      </c>
      <c r="AN15" t="inlineStr">
        <is>
          <t xml:space="preserve">ABRIL · 2026</t>
        </is>
      </c>
    </row>
    <row r="16">
      <c r="A16">
        <v>5</v>
      </c>
      <c r="B16" s="152">
        <f>IF(ISNUMBER($A16),$C$7+$A16-1,"")</f>
        <v>46270</v>
      </c>
      <c r="C16">
        <f>IF($B$2="Todos",SUMIFS(Base!$C$3:$C$5001,Base!$A$3:$A$5001,$B16),SUMIFS(Base!$C$3:$C$5001,Base!$A$3:$A$5001,$B16,Base!$B$3:$B$5001,$B$2))</f>
        <v>41</v>
      </c>
      <c r="D16">
        <f>IF($B$2="Todos",SUMIFS(Base!$D$3:$D$5001,Base!$A$3:$A$5001,$B16),SUMIFS(Base!$D$3:$D$5001,Base!$A$3:$A$5001,$B16,Base!$B$3:$B$5001,$B$2))</f>
        <v>579</v>
      </c>
      <c r="E16">
        <f>IF($B$2="Todos",SUMIFS(Base!$E$3:$E$5001,Base!$A$3:$A$5001,$B16),SUMIFS(Base!$E$3:$E$5001,Base!$A$3:$A$5001,$B16,Base!$B$3:$B$5001,$B$2))</f>
        <v>91.35</v>
      </c>
      <c r="F16">
        <f>IF($B$2="Todos",SUMIFS(Base!$F$3:$F$5001,Base!$A$3:$A$5001,$B16),SUMIFS(Base!$F$3:$F$5001,Base!$A$3:$A$5001,$B16,Base!$B$3:$B$5001,$B$2))</f>
        <v>3430</v>
      </c>
      <c r="G16">
        <f>IF($B$2="Todos",SUMIFS(Base!$G$3:$G$5001,Base!$A$3:$A$5001,$B16),SUMIFS(Base!$G$3:$G$5001,Base!$A$3:$A$5001,$B16,Base!$B$3:$B$5001,$B$2))</f>
        <v>1899</v>
      </c>
      <c r="H16">
        <f>IF($B$2="Todos",SUMIFS(Base!$H$3:$H$5001,Base!$A$3:$A$5001,$B16),SUMIFS(Base!$H$3:$H$5001,Base!$A$3:$A$5001,$B16,Base!$B$3:$B$5001,$B$2))</f>
        <v>78</v>
      </c>
      <c r="I16">
        <f>IF($B$2="Todos",SUMIFS(Base!$I$3:$I$5001,Base!$A$3:$A$5001,$B16),SUMIFS(Base!$I$3:$I$5001,Base!$A$3:$A$5001,$B16,Base!$B$3:$B$5001,$B$2))</f>
        <v>630</v>
      </c>
      <c r="J16">
        <f>IF($B$2="Todos",SUMIFS(Base!$J$3:$J$5001,Base!$A$3:$A$5001,$B16),SUMIFS(Base!$J$3:$J$5001,Base!$A$3:$A$5001,$B16,Base!$B$3:$B$5001,$B$2))</f>
        <v>217</v>
      </c>
      <c r="K16">
        <f>IF($B$2="Todos",SUMIFS(Base!$K$3:$K$5001,Base!$A$3:$A$5001,$B16),SUMIFS(Base!$K$3:$K$5001,Base!$A$3:$A$5001,$B16,Base!$B$3:$B$5001,$B$2))</f>
        <v>103</v>
      </c>
      <c r="L16">
        <f>IF($B$2="Todos",SUMIFS(Base!$L$3:$L$5001,Base!$A$3:$A$5001,$B16),SUMIFS(Base!$L$3:$L$5001,Base!$A$3:$A$5001,$B16,Base!$B$3:$B$5001,$B$2))</f>
        <v>45</v>
      </c>
      <c r="M16">
        <f>IF($B$2="Todos",SUMIFS(Base!$M$3:$M$5001,Base!$A$3:$A$5001,$B16),SUMIFS(Base!$M$3:$M$5001,Base!$A$3:$A$5001,$B16,Base!$B$3:$B$5001,$B$2))</f>
        <v>431</v>
      </c>
      <c r="N16">
        <f>IF($B$2="Todos",SUMIFS(Base!$N$3:$N$5001,Base!$A$3:$A$5001,$B16),SUMIFS(Base!$N$3:$N$5001,Base!$A$3:$A$5001,$B16,Base!$B$3:$B$5001,$B$2))</f>
        <v>201.47</v>
      </c>
      <c r="O16">
        <f>IF($B$2="Todos",SUMIFS(Base!$O$3:$O$5001,Base!$A$3:$A$5001,$B16),SUMIFS(Base!$O$3:$O$5001,Base!$A$3:$A$5001,$B16,Base!$B$3:$B$5001,$B$2))</f>
        <v>556</v>
      </c>
      <c r="P16">
        <f>IF($B$2="Todos",SUMIFS(Base!$P$3:$P$5001,Base!$A$3:$A$5001,$B16),SUMIFS(Base!$P$3:$P$5001,Base!$A$3:$A$5001,$B16,Base!$B$3:$B$5001,$B$2))</f>
        <v>560</v>
      </c>
      <c r="Q16">
        <f>IF($B$2="Todos",SUMIFS(Base!$Q$3:$Q$5001,Base!$A$3:$A$5001,$B16),SUMIFS(Base!$Q$3:$Q$5001,Base!$A$3:$A$5001,$B16,Base!$B$3:$B$5001,$B$2))</f>
        <v>1113</v>
      </c>
      <c r="R16">
        <f>IF($B$2="Todos",SUMIFS(Base!$R$3:$R$5001,Base!$A$3:$A$5001,$B16),SUMIFS(Base!$R$3:$R$5001,Base!$A$3:$A$5001,$B16,Base!$B$3:$B$5001,$B$2))</f>
        <v>8485</v>
      </c>
      <c r="S16">
        <f>IF($B$2="Todos",SUMIFS(Base!$S$3:$S$5001,Base!$A$3:$A$5001,$B16),SUMIFS(Base!$S$3:$S$5001,Base!$A$3:$A$5001,$B16,Base!$B$3:$B$5001,$B$2))</f>
        <v>248</v>
      </c>
      <c r="T16">
        <f>IF($B$2="Todos",SUMIFS(Base!$T$3:$T$5001,Base!$A$3:$A$5001,$B16),SUMIFS(Base!$T$3:$T$5001,Base!$A$3:$A$5001,$B16,Base!$B$3:$B$5001,$B$2))</f>
        <v>143</v>
      </c>
      <c r="U16">
        <f>IF($B$2="Todos",SUMIFS(Base!$U$3:$U$5001,Base!$A$3:$A$5001,$B16),SUMIFS(Base!$U$3:$U$5001,Base!$A$3:$A$5001,$B16,Base!$B$3:$B$5001,$B$2))</f>
        <v>0</v>
      </c>
      <c r="V16">
        <f>IF($B$2="Todos",SUMIFS(Base!$V$3:$V$5001,Base!$A$3:$A$5001,$B16),SUMIFS(Base!$V$3:$V$5001,Base!$A$3:$A$5001,$B16,Base!$B$3:$B$5001,$B$2))</f>
        <v>0</v>
      </c>
      <c r="W16">
        <f>IF($B$2="Todos",IF(COUNT($C$132:$K$132)=0,"",SUM($C$132:$K$132)),IFERROR(INDEX($C$132:$K$132,MATCH($B$2,$C$127:$K$127,0)),""))</f>
        <v>49</v>
      </c>
      <c r="X16">
        <f>IF(Y16="","",IF($B$2="Todos",IF(ISNUMBER($B$4),$B$4,IF(COUNT($C$167:$K$167)=0,"",SUM($C$167:$K$167))),IFERROR(INDEX($C$167:$K$167,MATCH($B$2,$C$162:$K$162,0)),"")))</f>
        <v>13700</v>
      </c>
      <c r="Y16">
        <f>IF($B$2="Todos",IF(COUNT($C$202:$K$202)=0,"",SUM($C$202:$K$202)),IFERROR(INDEX($C$202:$K$202,MATCH($B$2,$C$197:$K$197,0)),""))</f>
        <v>10738</v>
      </c>
      <c r="Z16">
        <f>IF(AND(ISNUMBER(Y16),ISNUMBER(X16)),IF(X16&gt;0,Y16/X16,""),"")</f>
        <v>0.783795620437956</v>
      </c>
      <c r="AA16">
        <f>IF($B$2="Todos",IF(COUNT($C$237:$K$237)=0,"",SUM($C$237:$K$237)),IFERROR(INDEX($C$237:$K$237,MATCH($B$2,$C$232:$K$232,0)),""))</f>
        <v>69</v>
      </c>
      <c r="AB16">
        <f>IF($B$2="Todos",SUMIFS(Base!$AA$3:$AA$5001,Base!$A$3:$A$5001,$B16),SUMIFS(Base!$AA$3:$AA$5001,Base!$A$3:$A$5001,$B16,Base!$B$3:$B$5001,$B$2))</f>
        <v>2</v>
      </c>
      <c r="AC16">
        <f>IF($B$2="Todos",SUMIFS(Base!$AB$3:$AB$5001,Base!$A$3:$A$5001,$B16),SUMIFS(Base!$AB$3:$AB$5001,Base!$A$3:$A$5001,$B16,Base!$B$3:$B$5001,$B$2))</f>
        <v>0</v>
      </c>
      <c r="AD16">
        <f>IF($B$2="Todos",SUMIFS(Base!$AC$3:$AC$5001,Base!$A$3:$A$5001,$B16),SUMIFS(Base!$AC$3:$AC$5001,Base!$A$3:$A$5001,$B16,Base!$B$3:$B$5001,$B$2))</f>
        <v>0</v>
      </c>
      <c r="AE16">
        <f>IF($B$2="Todos",SUMIFS(Base!$AD$3:$AD$5001,Base!$A$3:$A$5001,$B16),SUMIFS(Base!$AD$3:$AD$5001,Base!$A$3:$A$5001,$B16,Base!$B$3:$B$5001,$B$2))</f>
        <v>0</v>
      </c>
      <c r="AG16">
        <f>IFERROR(N(INDEX($C16:$AE16,MATCH($B$3,$C$11:$AE$11,0))),0)</f>
        <v>579</v>
      </c>
      <c r="AH16">
        <f>IFERROR(N(INDEX($C16:$AE16,MATCH($C$3,$C$11:$AE$11,0))),0)</f>
        <v>431</v>
      </c>
      <c r="AI16">
        <f>$B$5</f>
        <v>0.7</v>
      </c>
      <c r="AJ16">
        <f>$B$6</f>
        <v>0.9</v>
      </c>
      <c r="AL16" t="inlineStr">
        <is>
          <t xml:space="preserve">SUPPLY</t>
        </is>
      </c>
      <c r="AN16" t="inlineStr">
        <is>
          <t xml:space="preserve">MAIO · 2026</t>
        </is>
      </c>
    </row>
    <row r="17">
      <c r="A17">
        <v>6</v>
      </c>
      <c r="B17" s="152">
        <f>IF(ISNUMBER($A17),$C$7+$A17-1,"")</f>
        <v>46271</v>
      </c>
      <c r="C17">
        <f>IF($B$2="Todos",SUMIFS(Base!$C$3:$C$5001,Base!$A$3:$A$5001,$B17),SUMIFS(Base!$C$3:$C$5001,Base!$A$3:$A$5001,$B17,Base!$B$3:$B$5001,$B$2))</f>
        <v>0</v>
      </c>
      <c r="D17">
        <f>IF($B$2="Todos",SUMIFS(Base!$D$3:$D$5001,Base!$A$3:$A$5001,$B17),SUMIFS(Base!$D$3:$D$5001,Base!$A$3:$A$5001,$B17,Base!$B$3:$B$5001,$B$2))</f>
        <v>0</v>
      </c>
      <c r="E17">
        <f>IF($B$2="Todos",SUMIFS(Base!$E$3:$E$5001,Base!$A$3:$A$5001,$B17),SUMIFS(Base!$E$3:$E$5001,Base!$A$3:$A$5001,$B17,Base!$B$3:$B$5001,$B$2))</f>
        <v>0</v>
      </c>
      <c r="F17">
        <f>IF($B$2="Todos",SUMIFS(Base!$F$3:$F$5001,Base!$A$3:$A$5001,$B17),SUMIFS(Base!$F$3:$F$5001,Base!$A$3:$A$5001,$B17,Base!$B$3:$B$5001,$B$2))</f>
        <v>0</v>
      </c>
      <c r="G17">
        <f>IF($B$2="Todos",SUMIFS(Base!$G$3:$G$5001,Base!$A$3:$A$5001,$B17),SUMIFS(Base!$G$3:$G$5001,Base!$A$3:$A$5001,$B17,Base!$B$3:$B$5001,$B$2))</f>
        <v>0</v>
      </c>
      <c r="H17">
        <f>IF($B$2="Todos",SUMIFS(Base!$H$3:$H$5001,Base!$A$3:$A$5001,$B17),SUMIFS(Base!$H$3:$H$5001,Base!$A$3:$A$5001,$B17,Base!$B$3:$B$5001,$B$2))</f>
        <v>0</v>
      </c>
      <c r="I17">
        <f>IF($B$2="Todos",SUMIFS(Base!$I$3:$I$5001,Base!$A$3:$A$5001,$B17),SUMIFS(Base!$I$3:$I$5001,Base!$A$3:$A$5001,$B17,Base!$B$3:$B$5001,$B$2))</f>
        <v>0</v>
      </c>
      <c r="J17">
        <f>IF($B$2="Todos",SUMIFS(Base!$J$3:$J$5001,Base!$A$3:$A$5001,$B17),SUMIFS(Base!$J$3:$J$5001,Base!$A$3:$A$5001,$B17,Base!$B$3:$B$5001,$B$2))</f>
        <v>0</v>
      </c>
      <c r="K17">
        <f>IF($B$2="Todos",SUMIFS(Base!$K$3:$K$5001,Base!$A$3:$A$5001,$B17),SUMIFS(Base!$K$3:$K$5001,Base!$A$3:$A$5001,$B17,Base!$B$3:$B$5001,$B$2))</f>
        <v>0</v>
      </c>
      <c r="L17">
        <f>IF($B$2="Todos",SUMIFS(Base!$L$3:$L$5001,Base!$A$3:$A$5001,$B17),SUMIFS(Base!$L$3:$L$5001,Base!$A$3:$A$5001,$B17,Base!$B$3:$B$5001,$B$2))</f>
        <v>0</v>
      </c>
      <c r="M17">
        <f>IF($B$2="Todos",SUMIFS(Base!$M$3:$M$5001,Base!$A$3:$A$5001,$B17),SUMIFS(Base!$M$3:$M$5001,Base!$A$3:$A$5001,$B17,Base!$B$3:$B$5001,$B$2))</f>
        <v>0</v>
      </c>
      <c r="N17">
        <f>IF($B$2="Todos",SUMIFS(Base!$N$3:$N$5001,Base!$A$3:$A$5001,$B17),SUMIFS(Base!$N$3:$N$5001,Base!$A$3:$A$5001,$B17,Base!$B$3:$B$5001,$B$2))</f>
        <v>0</v>
      </c>
      <c r="O17">
        <f>IF($B$2="Todos",SUMIFS(Base!$O$3:$O$5001,Base!$A$3:$A$5001,$B17),SUMIFS(Base!$O$3:$O$5001,Base!$A$3:$A$5001,$B17,Base!$B$3:$B$5001,$B$2))</f>
        <v>0</v>
      </c>
      <c r="P17">
        <f>IF($B$2="Todos",SUMIFS(Base!$P$3:$P$5001,Base!$A$3:$A$5001,$B17),SUMIFS(Base!$P$3:$P$5001,Base!$A$3:$A$5001,$B17,Base!$B$3:$B$5001,$B$2))</f>
        <v>0</v>
      </c>
      <c r="Q17">
        <f>IF($B$2="Todos",SUMIFS(Base!$Q$3:$Q$5001,Base!$A$3:$A$5001,$B17),SUMIFS(Base!$Q$3:$Q$5001,Base!$A$3:$A$5001,$B17,Base!$B$3:$B$5001,$B$2))</f>
        <v>0</v>
      </c>
      <c r="R17">
        <f>IF($B$2="Todos",SUMIFS(Base!$R$3:$R$5001,Base!$A$3:$A$5001,$B17),SUMIFS(Base!$R$3:$R$5001,Base!$A$3:$A$5001,$B17,Base!$B$3:$B$5001,$B$2))</f>
        <v>0</v>
      </c>
      <c r="S17">
        <f>IF($B$2="Todos",SUMIFS(Base!$S$3:$S$5001,Base!$A$3:$A$5001,$B17),SUMIFS(Base!$S$3:$S$5001,Base!$A$3:$A$5001,$B17,Base!$B$3:$B$5001,$B$2))</f>
        <v>0</v>
      </c>
      <c r="T17">
        <f>IF($B$2="Todos",SUMIFS(Base!$T$3:$T$5001,Base!$A$3:$A$5001,$B17),SUMIFS(Base!$T$3:$T$5001,Base!$A$3:$A$5001,$B17,Base!$B$3:$B$5001,$B$2))</f>
        <v>0</v>
      </c>
      <c r="U17">
        <f>IF($B$2="Todos",SUMIFS(Base!$U$3:$U$5001,Base!$A$3:$A$5001,$B17),SUMIFS(Base!$U$3:$U$5001,Base!$A$3:$A$5001,$B17,Base!$B$3:$B$5001,$B$2))</f>
        <v>0</v>
      </c>
      <c r="V17">
        <f>IF($B$2="Todos",SUMIFS(Base!$V$3:$V$5001,Base!$A$3:$A$5001,$B17),SUMIFS(Base!$V$3:$V$5001,Base!$A$3:$A$5001,$B17,Base!$B$3:$B$5001,$B$2))</f>
        <v>0</v>
      </c>
      <c r="W17">
        <f>IF($B$2="Todos",IF(COUNT($C$133:$K$133)=0,"",SUM($C$133:$K$133)),IFERROR(INDEX($C$133:$K$133,MATCH($B$2,$C$127:$K$127,0)),""))</f>
        <v>49</v>
      </c>
      <c r="X17">
        <f>IF(Y17="","",IF($B$2="Todos",IF(ISNUMBER($B$4),$B$4,IF(COUNT($C$168:$K$168)=0,"",SUM($C$168:$K$168))),IFERROR(INDEX($C$168:$K$168,MATCH($B$2,$C$162:$K$162,0)),"")))</f>
        <v>13700</v>
      </c>
      <c r="Y17">
        <f>IF($B$2="Todos",IF(COUNT($C$203:$K$203)=0,"",SUM($C$203:$K$203)),IFERROR(INDEX($C$203:$K$203,MATCH($B$2,$C$197:$K$197,0)),""))</f>
        <v>10738</v>
      </c>
      <c r="Z17">
        <f>IF(AND(ISNUMBER(Y17),ISNUMBER(X17)),IF(X17&gt;0,Y17/X17,""),"")</f>
        <v>0.783795620437956</v>
      </c>
      <c r="AA17">
        <f>IF($B$2="Todos",IF(COUNT($C$238:$K$238)=0,"",SUM($C$238:$K$238)),IFERROR(INDEX($C$238:$K$238,MATCH($B$2,$C$232:$K$232,0)),""))</f>
        <v>69</v>
      </c>
      <c r="AB17">
        <f>IF($B$2="Todos",SUMIFS(Base!$AA$3:$AA$5001,Base!$A$3:$A$5001,$B17),SUMIFS(Base!$AA$3:$AA$5001,Base!$A$3:$A$5001,$B17,Base!$B$3:$B$5001,$B$2))</f>
        <v>0</v>
      </c>
      <c r="AC17">
        <f>IF($B$2="Todos",SUMIFS(Base!$AB$3:$AB$5001,Base!$A$3:$A$5001,$B17),SUMIFS(Base!$AB$3:$AB$5001,Base!$A$3:$A$5001,$B17,Base!$B$3:$B$5001,$B$2))</f>
        <v>0</v>
      </c>
      <c r="AD17">
        <f>IF($B$2="Todos",SUMIFS(Base!$AC$3:$AC$5001,Base!$A$3:$A$5001,$B17),SUMIFS(Base!$AC$3:$AC$5001,Base!$A$3:$A$5001,$B17,Base!$B$3:$B$5001,$B$2))</f>
        <v>0</v>
      </c>
      <c r="AE17">
        <f>IF($B$2="Todos",SUMIFS(Base!$AD$3:$AD$5001,Base!$A$3:$A$5001,$B17),SUMIFS(Base!$AD$3:$AD$5001,Base!$A$3:$A$5001,$B17,Base!$B$3:$B$5001,$B$2))</f>
        <v>0</v>
      </c>
      <c r="AG17">
        <f>IFERROR(N(INDEX($C17:$AE17,MATCH($B$3,$C$11:$AE$11,0))),0)</f>
        <v>0</v>
      </c>
      <c r="AH17">
        <f>IFERROR(N(INDEX($C17:$AE17,MATCH($C$3,$C$11:$AE$11,0))),0)</f>
        <v>0</v>
      </c>
      <c r="AI17">
        <f>$B$5</f>
        <v>0.7</v>
      </c>
      <c r="AJ17">
        <f>$B$6</f>
        <v>0.9</v>
      </c>
      <c r="AL17" t="inlineStr">
        <is>
          <t xml:space="preserve">GE VERNOVA</t>
        </is>
      </c>
      <c r="AN17" t="inlineStr">
        <is>
          <t xml:space="preserve">JUNHO · 2026</t>
        </is>
      </c>
    </row>
    <row r="18">
      <c r="A18">
        <v>7</v>
      </c>
      <c r="B18" s="152">
        <f>IF(ISNUMBER($A18),$C$7+$A18-1,"")</f>
        <v>46272</v>
      </c>
      <c r="C18">
        <f>IF($B$2="Todos",SUMIFS(Base!$C$3:$C$5001,Base!$A$3:$A$5001,$B18),SUMIFS(Base!$C$3:$C$5001,Base!$A$3:$A$5001,$B18,Base!$B$3:$B$5001,$B$2))</f>
        <v>38</v>
      </c>
      <c r="D18">
        <f>IF($B$2="Todos",SUMIFS(Base!$D$3:$D$5001,Base!$A$3:$A$5001,$B18),SUMIFS(Base!$D$3:$D$5001,Base!$A$3:$A$5001,$B18,Base!$B$3:$B$5001,$B$2))</f>
        <v>541</v>
      </c>
      <c r="E18">
        <f>IF($B$2="Todos",SUMIFS(Base!$E$3:$E$5001,Base!$A$3:$A$5001,$B18),SUMIFS(Base!$E$3:$E$5001,Base!$A$3:$A$5001,$B18,Base!$B$3:$B$5001,$B$2))</f>
        <v>187.6</v>
      </c>
      <c r="F18">
        <f>IF($B$2="Todos",SUMIFS(Base!$F$3:$F$5001,Base!$A$3:$A$5001,$B18),SUMIFS(Base!$F$3:$F$5001,Base!$A$3:$A$5001,$B18,Base!$B$3:$B$5001,$B$2))</f>
        <v>2343</v>
      </c>
      <c r="G18">
        <f>IF($B$2="Todos",SUMIFS(Base!$G$3:$G$5001,Base!$A$3:$A$5001,$B18),SUMIFS(Base!$G$3:$G$5001,Base!$A$3:$A$5001,$B18,Base!$B$3:$B$5001,$B$2))</f>
        <v>5627</v>
      </c>
      <c r="H18">
        <f>IF($B$2="Todos",SUMIFS(Base!$H$3:$H$5001,Base!$A$3:$A$5001,$B18),SUMIFS(Base!$H$3:$H$5001,Base!$A$3:$A$5001,$B18,Base!$B$3:$B$5001,$B$2))</f>
        <v>187</v>
      </c>
      <c r="I18">
        <f>IF($B$2="Todos",SUMIFS(Base!$I$3:$I$5001,Base!$A$3:$A$5001,$B18),SUMIFS(Base!$I$3:$I$5001,Base!$A$3:$A$5001,$B18,Base!$B$3:$B$5001,$B$2))</f>
        <v>147</v>
      </c>
      <c r="J18">
        <f>IF($B$2="Todos",SUMIFS(Base!$J$3:$J$5001,Base!$A$3:$A$5001,$B18),SUMIFS(Base!$J$3:$J$5001,Base!$A$3:$A$5001,$B18,Base!$B$3:$B$5001,$B$2))</f>
        <v>126</v>
      </c>
      <c r="K18">
        <f>IF($B$2="Todos",SUMIFS(Base!$K$3:$K$5001,Base!$A$3:$A$5001,$B18),SUMIFS(Base!$K$3:$K$5001,Base!$A$3:$A$5001,$B18,Base!$B$3:$B$5001,$B$2))</f>
        <v>108</v>
      </c>
      <c r="L18">
        <f>IF($B$2="Todos",SUMIFS(Base!$L$3:$L$5001,Base!$A$3:$A$5001,$B18),SUMIFS(Base!$L$3:$L$5001,Base!$A$3:$A$5001,$B18,Base!$B$3:$B$5001,$B$2))</f>
        <v>54</v>
      </c>
      <c r="M18">
        <f>IF($B$2="Todos",SUMIFS(Base!$M$3:$M$5001,Base!$A$3:$A$5001,$B18),SUMIFS(Base!$M$3:$M$5001,Base!$A$3:$A$5001,$B18,Base!$B$3:$B$5001,$B$2))</f>
        <v>629</v>
      </c>
      <c r="N18">
        <f>IF($B$2="Todos",SUMIFS(Base!$N$3:$N$5001,Base!$A$3:$A$5001,$B18),SUMIFS(Base!$N$3:$N$5001,Base!$A$3:$A$5001,$B18,Base!$B$3:$B$5001,$B$2))</f>
        <v>172.32</v>
      </c>
      <c r="O18">
        <f>IF($B$2="Todos",SUMIFS(Base!$O$3:$O$5001,Base!$A$3:$A$5001,$B18),SUMIFS(Base!$O$3:$O$5001,Base!$A$3:$A$5001,$B18,Base!$B$3:$B$5001,$B$2))</f>
        <v>1256</v>
      </c>
      <c r="P18">
        <f>IF($B$2="Todos",SUMIFS(Base!$P$3:$P$5001,Base!$A$3:$A$5001,$B18),SUMIFS(Base!$P$3:$P$5001,Base!$A$3:$A$5001,$B18,Base!$B$3:$B$5001,$B$2))</f>
        <v>122</v>
      </c>
      <c r="Q18">
        <f>IF($B$2="Todos",SUMIFS(Base!$Q$3:$Q$5001,Base!$A$3:$A$5001,$B18),SUMIFS(Base!$Q$3:$Q$5001,Base!$A$3:$A$5001,$B18,Base!$B$3:$B$5001,$B$2))</f>
        <v>208</v>
      </c>
      <c r="R18">
        <f>IF($B$2="Todos",SUMIFS(Base!$R$3:$R$5001,Base!$A$3:$A$5001,$B18),SUMIFS(Base!$R$3:$R$5001,Base!$A$3:$A$5001,$B18,Base!$B$3:$B$5001,$B$2))</f>
        <v>5411</v>
      </c>
      <c r="S18">
        <f>IF($B$2="Todos",SUMIFS(Base!$S$3:$S$5001,Base!$A$3:$A$5001,$B18),SUMIFS(Base!$S$3:$S$5001,Base!$A$3:$A$5001,$B18,Base!$B$3:$B$5001,$B$2))</f>
        <v>227</v>
      </c>
      <c r="T18">
        <f>IF($B$2="Todos",SUMIFS(Base!$T$3:$T$5001,Base!$A$3:$A$5001,$B18),SUMIFS(Base!$T$3:$T$5001,Base!$A$3:$A$5001,$B18,Base!$B$3:$B$5001,$B$2))</f>
        <v>45</v>
      </c>
      <c r="U18">
        <f>IF($B$2="Todos",SUMIFS(Base!$U$3:$U$5001,Base!$A$3:$A$5001,$B18),SUMIFS(Base!$U$3:$U$5001,Base!$A$3:$A$5001,$B18,Base!$B$3:$B$5001,$B$2))</f>
        <v>0</v>
      </c>
      <c r="V18">
        <f>IF($B$2="Todos",SUMIFS(Base!$V$3:$V$5001,Base!$A$3:$A$5001,$B18),SUMIFS(Base!$V$3:$V$5001,Base!$A$3:$A$5001,$B18,Base!$B$3:$B$5001,$B$2))</f>
        <v>0</v>
      </c>
      <c r="W18">
        <f>IF($B$2="Todos",IF(COUNT($C$134:$K$134)=0,"",SUM($C$134:$K$134)),IFERROR(INDEX($C$134:$K$134,MATCH($B$2,$C$127:$K$127,0)),""))</f>
        <v>66</v>
      </c>
      <c r="X18">
        <f>IF(Y18="","",IF($B$2="Todos",IF(ISNUMBER($B$4),$B$4,IF(COUNT($C$169:$K$169)=0,"",SUM($C$169:$K$169))),IFERROR(INDEX($C$169:$K$169,MATCH($B$2,$C$162:$K$162,0)),"")))</f>
        <v>13700</v>
      </c>
      <c r="Y18">
        <f>IF($B$2="Todos",IF(COUNT($C$204:$K$204)=0,"",SUM($C$204:$K$204)),IFERROR(INDEX($C$204:$K$204,MATCH($B$2,$C$197:$K$197,0)),""))</f>
        <v>10682</v>
      </c>
      <c r="Z18">
        <f>IF(AND(ISNUMBER(Y18),ISNUMBER(X18)),IF(X18&gt;0,Y18/X18,""),"")</f>
        <v>0.77970802919708</v>
      </c>
      <c r="AA18">
        <f>IF($B$2="Todos",IF(COUNT($C$239:$K$239)=0,"",SUM($C$239:$K$239)),IFERROR(INDEX($C$239:$K$239,MATCH($B$2,$C$232:$K$232,0)),""))</f>
        <v>66</v>
      </c>
      <c r="AB18">
        <f>IF($B$2="Todos",SUMIFS(Base!$AA$3:$AA$5001,Base!$A$3:$A$5001,$B18),SUMIFS(Base!$AA$3:$AA$5001,Base!$A$3:$A$5001,$B18,Base!$B$3:$B$5001,$B$2))</f>
        <v>0</v>
      </c>
      <c r="AC18">
        <f>IF($B$2="Todos",SUMIFS(Base!$AB$3:$AB$5001,Base!$A$3:$A$5001,$B18),SUMIFS(Base!$AB$3:$AB$5001,Base!$A$3:$A$5001,$B18,Base!$B$3:$B$5001,$B$2))</f>
        <v>0</v>
      </c>
      <c r="AD18">
        <f>IF($B$2="Todos",SUMIFS(Base!$AC$3:$AC$5001,Base!$A$3:$A$5001,$B18),SUMIFS(Base!$AC$3:$AC$5001,Base!$A$3:$A$5001,$B18,Base!$B$3:$B$5001,$B$2))</f>
        <v>1</v>
      </c>
      <c r="AE18">
        <f>IF($B$2="Todos",SUMIFS(Base!$AD$3:$AD$5001,Base!$A$3:$A$5001,$B18),SUMIFS(Base!$AD$3:$AD$5001,Base!$A$3:$A$5001,$B18,Base!$B$3:$B$5001,$B$2))</f>
        <v>0</v>
      </c>
      <c r="AG18">
        <f>IFERROR(N(INDEX($C18:$AE18,MATCH($B$3,$C$11:$AE$11,0))),0)</f>
        <v>541</v>
      </c>
      <c r="AH18">
        <f>IFERROR(N(INDEX($C18:$AE18,MATCH($C$3,$C$11:$AE$11,0))),0)</f>
        <v>629</v>
      </c>
      <c r="AI18">
        <f>$B$5</f>
        <v>0.7</v>
      </c>
      <c r="AJ18">
        <f>$B$6</f>
        <v>0.9</v>
      </c>
      <c r="AL18" t="inlineStr">
        <is>
          <t xml:space="preserve">VESTAS</t>
        </is>
      </c>
      <c r="AN18" t="inlineStr">
        <is>
          <t xml:space="preserve">JULHO · 2026</t>
        </is>
      </c>
    </row>
    <row r="19">
      <c r="A19">
        <v>8</v>
      </c>
      <c r="B19" s="152">
        <f>IF(ISNUMBER($A19),$C$7+$A19-1,"")</f>
        <v>46273</v>
      </c>
      <c r="C19">
        <f>IF($B$2="Todos",SUMIFS(Base!$C$3:$C$5001,Base!$A$3:$A$5001,$B19),SUMIFS(Base!$C$3:$C$5001,Base!$A$3:$A$5001,$B19,Base!$B$3:$B$5001,$B$2))</f>
        <v>37</v>
      </c>
      <c r="D19">
        <f>IF($B$2="Todos",SUMIFS(Base!$D$3:$D$5001,Base!$A$3:$A$5001,$B19),SUMIFS(Base!$D$3:$D$5001,Base!$A$3:$A$5001,$B19,Base!$B$3:$B$5001,$B$2))</f>
        <v>375</v>
      </c>
      <c r="E19">
        <f>IF($B$2="Todos",SUMIFS(Base!$E$3:$E$5001,Base!$A$3:$A$5001,$B19),SUMIFS(Base!$E$3:$E$5001,Base!$A$3:$A$5001,$B19,Base!$B$3:$B$5001,$B$2))</f>
        <v>186.01</v>
      </c>
      <c r="F19">
        <f>IF($B$2="Todos",SUMIFS(Base!$F$3:$F$5001,Base!$A$3:$A$5001,$B19),SUMIFS(Base!$F$3:$F$5001,Base!$A$3:$A$5001,$B19,Base!$B$3:$B$5001,$B$2))</f>
        <v>803</v>
      </c>
      <c r="G19">
        <f>IF($B$2="Todos",SUMIFS(Base!$G$3:$G$5001,Base!$A$3:$A$5001,$B19),SUMIFS(Base!$G$3:$G$5001,Base!$A$3:$A$5001,$B19,Base!$B$3:$B$5001,$B$2))</f>
        <v>1195</v>
      </c>
      <c r="H19">
        <f>IF($B$2="Todos",SUMIFS(Base!$H$3:$H$5001,Base!$A$3:$A$5001,$B19),SUMIFS(Base!$H$3:$H$5001,Base!$A$3:$A$5001,$B19,Base!$B$3:$B$5001,$B$2))</f>
        <v>365</v>
      </c>
      <c r="I19">
        <f>IF($B$2="Todos",SUMIFS(Base!$I$3:$I$5001,Base!$A$3:$A$5001,$B19),SUMIFS(Base!$I$3:$I$5001,Base!$A$3:$A$5001,$B19,Base!$B$3:$B$5001,$B$2))</f>
        <v>556</v>
      </c>
      <c r="J19">
        <f>IF($B$2="Todos",SUMIFS(Base!$J$3:$J$5001,Base!$A$3:$A$5001,$B19),SUMIFS(Base!$J$3:$J$5001,Base!$A$3:$A$5001,$B19,Base!$B$3:$B$5001,$B$2))</f>
        <v>259</v>
      </c>
      <c r="K19">
        <f>IF($B$2="Todos",SUMIFS(Base!$K$3:$K$5001,Base!$A$3:$A$5001,$B19),SUMIFS(Base!$K$3:$K$5001,Base!$A$3:$A$5001,$B19,Base!$B$3:$B$5001,$B$2))</f>
        <v>151</v>
      </c>
      <c r="L19">
        <f>IF($B$2="Todos",SUMIFS(Base!$L$3:$L$5001,Base!$A$3:$A$5001,$B19),SUMIFS(Base!$L$3:$L$5001,Base!$A$3:$A$5001,$B19,Base!$B$3:$B$5001,$B$2))</f>
        <v>49</v>
      </c>
      <c r="M19">
        <f>IF($B$2="Todos",SUMIFS(Base!$M$3:$M$5001,Base!$A$3:$A$5001,$B19),SUMIFS(Base!$M$3:$M$5001,Base!$A$3:$A$5001,$B19,Base!$B$3:$B$5001,$B$2))</f>
        <v>673</v>
      </c>
      <c r="N19">
        <f>IF($B$2="Todos",SUMIFS(Base!$N$3:$N$5001,Base!$A$3:$A$5001,$B19),SUMIFS(Base!$N$3:$N$5001,Base!$A$3:$A$5001,$B19,Base!$B$3:$B$5001,$B$2))</f>
        <v>145.59</v>
      </c>
      <c r="O19">
        <f>IF($B$2="Todos",SUMIFS(Base!$O$3:$O$5001,Base!$A$3:$A$5001,$B19),SUMIFS(Base!$O$3:$O$5001,Base!$A$3:$A$5001,$B19,Base!$B$3:$B$5001,$B$2))</f>
        <v>2449</v>
      </c>
      <c r="P19">
        <f>IF($B$2="Todos",SUMIFS(Base!$P$3:$P$5001,Base!$A$3:$A$5001,$B19),SUMIFS(Base!$P$3:$P$5001,Base!$A$3:$A$5001,$B19,Base!$B$3:$B$5001,$B$2))</f>
        <v>491</v>
      </c>
      <c r="Q19">
        <f>IF($B$2="Todos",SUMIFS(Base!$Q$3:$Q$5001,Base!$A$3:$A$5001,$B19),SUMIFS(Base!$Q$3:$Q$5001,Base!$A$3:$A$5001,$B19,Base!$B$3:$B$5001,$B$2))</f>
        <v>876</v>
      </c>
      <c r="R19">
        <f>IF($B$2="Todos",SUMIFS(Base!$R$3:$R$5001,Base!$A$3:$A$5001,$B19),SUMIFS(Base!$R$3:$R$5001,Base!$A$3:$A$5001,$B19,Base!$B$3:$B$5001,$B$2))</f>
        <v>3417</v>
      </c>
      <c r="S19">
        <f>IF($B$2="Todos",SUMIFS(Base!$S$3:$S$5001,Base!$A$3:$A$5001,$B19),SUMIFS(Base!$S$3:$S$5001,Base!$A$3:$A$5001,$B19,Base!$B$3:$B$5001,$B$2))</f>
        <v>401</v>
      </c>
      <c r="T19">
        <f>IF($B$2="Todos",SUMIFS(Base!$T$3:$T$5001,Base!$A$3:$A$5001,$B19),SUMIFS(Base!$T$3:$T$5001,Base!$A$3:$A$5001,$B19,Base!$B$3:$B$5001,$B$2))</f>
        <v>135</v>
      </c>
      <c r="U19">
        <f>IF($B$2="Todos",SUMIFS(Base!$U$3:$U$5001,Base!$A$3:$A$5001,$B19),SUMIFS(Base!$U$3:$U$5001,Base!$A$3:$A$5001,$B19,Base!$B$3:$B$5001,$B$2))</f>
        <v>0</v>
      </c>
      <c r="V19">
        <f>IF($B$2="Todos",SUMIFS(Base!$V$3:$V$5001,Base!$A$3:$A$5001,$B19),SUMIFS(Base!$V$3:$V$5001,Base!$A$3:$A$5001,$B19,Base!$B$3:$B$5001,$B$2))</f>
        <v>2</v>
      </c>
      <c r="W19">
        <f>IF($B$2="Todos",IF(COUNT($C$135:$K$135)=0,"",SUM($C$135:$K$135)),IFERROR(INDEX($C$135:$K$135,MATCH($B$2,$C$127:$K$127,0)),""))</f>
        <v>76</v>
      </c>
      <c r="X19">
        <f>IF(Y19="","",IF($B$2="Todos",IF(ISNUMBER($B$4),$B$4,IF(COUNT($C$170:$K$170)=0,"",SUM($C$170:$K$170))),IFERROR(INDEX($C$170:$K$170,MATCH($B$2,$C$162:$K$162,0)),"")))</f>
        <v>13700</v>
      </c>
      <c r="Y19">
        <f>IF($B$2="Todos",IF(COUNT($C$205:$K$205)=0,"",SUM($C$205:$K$205)),IFERROR(INDEX($C$205:$K$205,MATCH($B$2,$C$197:$K$197,0)),""))</f>
        <v>9577</v>
      </c>
      <c r="Z19">
        <f>IF(AND(ISNUMBER(Y19),ISNUMBER(X19)),IF(X19&gt;0,Y19/X19,""),"")</f>
        <v>0.699051094890511</v>
      </c>
      <c r="AA19">
        <f>IF($B$2="Todos",IF(COUNT($C$240:$K$240)=0,"",SUM($C$240:$K$240)),IFERROR(INDEX($C$240:$K$240,MATCH($B$2,$C$232:$K$232,0)),""))</f>
        <v>72</v>
      </c>
      <c r="AB19">
        <f>IF($B$2="Todos",SUMIFS(Base!$AA$3:$AA$5001,Base!$A$3:$A$5001,$B19),SUMIFS(Base!$AA$3:$AA$5001,Base!$A$3:$A$5001,$B19,Base!$B$3:$B$5001,$B$2))</f>
        <v>3</v>
      </c>
      <c r="AC19">
        <f>IF($B$2="Todos",SUMIFS(Base!$AB$3:$AB$5001,Base!$A$3:$A$5001,$B19),SUMIFS(Base!$AB$3:$AB$5001,Base!$A$3:$A$5001,$B19,Base!$B$3:$B$5001,$B$2))</f>
        <v>0</v>
      </c>
      <c r="AD19">
        <f>IF($B$2="Todos",SUMIFS(Base!$AC$3:$AC$5001,Base!$A$3:$A$5001,$B19),SUMIFS(Base!$AC$3:$AC$5001,Base!$A$3:$A$5001,$B19,Base!$B$3:$B$5001,$B$2))</f>
        <v>0</v>
      </c>
      <c r="AE19">
        <f>IF($B$2="Todos",SUMIFS(Base!$AD$3:$AD$5001,Base!$A$3:$A$5001,$B19),SUMIFS(Base!$AD$3:$AD$5001,Base!$A$3:$A$5001,$B19,Base!$B$3:$B$5001,$B$2))</f>
        <v>0</v>
      </c>
      <c r="AG19">
        <f>IFERROR(N(INDEX($C19:$AE19,MATCH($B$3,$C$11:$AE$11,0))),0)</f>
        <v>375</v>
      </c>
      <c r="AH19">
        <f>IFERROR(N(INDEX($C19:$AE19,MATCH($C$3,$C$11:$AE$11,0))),0)</f>
        <v>673</v>
      </c>
      <c r="AI19">
        <f>$B$5</f>
        <v>0.7</v>
      </c>
      <c r="AJ19">
        <f>$B$6</f>
        <v>0.9</v>
      </c>
      <c r="AL19" t="inlineStr">
        <is>
          <t xml:space="preserve">VEDACIT</t>
        </is>
      </c>
      <c r="AN19" t="inlineStr">
        <is>
          <t xml:space="preserve">AGOSTO · 2026</t>
        </is>
      </c>
    </row>
    <row r="20">
      <c r="A20">
        <v>9</v>
      </c>
      <c r="B20" s="152">
        <f>IF(ISNUMBER($A20),$C$7+$A20-1,"")</f>
        <v>46274</v>
      </c>
      <c r="C20">
        <f>IF($B$2="Todos",SUMIFS(Base!$C$3:$C$5001,Base!$A$3:$A$5001,$B20),SUMIFS(Base!$C$3:$C$5001,Base!$A$3:$A$5001,$B20,Base!$B$3:$B$5001,$B$2))</f>
        <v>47</v>
      </c>
      <c r="D20">
        <f>IF($B$2="Todos",SUMIFS(Base!$D$3:$D$5001,Base!$A$3:$A$5001,$B20),SUMIFS(Base!$D$3:$D$5001,Base!$A$3:$A$5001,$B20,Base!$B$3:$B$5001,$B$2))</f>
        <v>528</v>
      </c>
      <c r="E20">
        <f>IF($B$2="Todos",SUMIFS(Base!$E$3:$E$5001,Base!$A$3:$A$5001,$B20),SUMIFS(Base!$E$3:$E$5001,Base!$A$3:$A$5001,$B20,Base!$B$3:$B$5001,$B$2))</f>
        <v>87.23</v>
      </c>
      <c r="F20">
        <f>IF($B$2="Todos",SUMIFS(Base!$F$3:$F$5001,Base!$A$3:$A$5001,$B20),SUMIFS(Base!$F$3:$F$5001,Base!$A$3:$A$5001,$B20,Base!$B$3:$B$5001,$B$2))</f>
        <v>3279</v>
      </c>
      <c r="G20">
        <f>IF($B$2="Todos",SUMIFS(Base!$G$3:$G$5001,Base!$A$3:$A$5001,$B20),SUMIFS(Base!$G$3:$G$5001,Base!$A$3:$A$5001,$B20,Base!$B$3:$B$5001,$B$2))</f>
        <v>3738</v>
      </c>
      <c r="H20">
        <f>IF($B$2="Todos",SUMIFS(Base!$H$3:$H$5001,Base!$A$3:$A$5001,$B20),SUMIFS(Base!$H$3:$H$5001,Base!$A$3:$A$5001,$B20,Base!$B$3:$B$5001,$B$2))</f>
        <v>106</v>
      </c>
      <c r="I20">
        <f>IF($B$2="Todos",SUMIFS(Base!$I$3:$I$5001,Base!$A$3:$A$5001,$B20),SUMIFS(Base!$I$3:$I$5001,Base!$A$3:$A$5001,$B20,Base!$B$3:$B$5001,$B$2))</f>
        <v>254</v>
      </c>
      <c r="J20">
        <f>IF($B$2="Todos",SUMIFS(Base!$J$3:$J$5001,Base!$A$3:$A$5001,$B20),SUMIFS(Base!$J$3:$J$5001,Base!$A$3:$A$5001,$B20,Base!$B$3:$B$5001,$B$2))</f>
        <v>385</v>
      </c>
      <c r="K20">
        <f>IF($B$2="Todos",SUMIFS(Base!$K$3:$K$5001,Base!$A$3:$A$5001,$B20),SUMIFS(Base!$K$3:$K$5001,Base!$A$3:$A$5001,$B20,Base!$B$3:$B$5001,$B$2))</f>
        <v>101</v>
      </c>
      <c r="L20">
        <f>IF($B$2="Todos",SUMIFS(Base!$L$3:$L$5001,Base!$A$3:$A$5001,$B20),SUMIFS(Base!$L$3:$L$5001,Base!$A$3:$A$5001,$B20,Base!$B$3:$B$5001,$B$2))</f>
        <v>48</v>
      </c>
      <c r="M20">
        <f>IF($B$2="Todos",SUMIFS(Base!$M$3:$M$5001,Base!$A$3:$A$5001,$B20),SUMIFS(Base!$M$3:$M$5001,Base!$A$3:$A$5001,$B20,Base!$B$3:$B$5001,$B$2))</f>
        <v>489</v>
      </c>
      <c r="N20">
        <f>IF($B$2="Todos",SUMIFS(Base!$N$3:$N$5001,Base!$A$3:$A$5001,$B20),SUMIFS(Base!$N$3:$N$5001,Base!$A$3:$A$5001,$B20,Base!$B$3:$B$5001,$B$2))</f>
        <v>276.12</v>
      </c>
      <c r="O20">
        <f>IF($B$2="Todos",SUMIFS(Base!$O$3:$O$5001,Base!$A$3:$A$5001,$B20),SUMIFS(Base!$O$3:$O$5001,Base!$A$3:$A$5001,$B20,Base!$B$3:$B$5001,$B$2))</f>
        <v>699</v>
      </c>
      <c r="P20">
        <f>IF($B$2="Todos",SUMIFS(Base!$P$3:$P$5001,Base!$A$3:$A$5001,$B20),SUMIFS(Base!$P$3:$P$5001,Base!$A$3:$A$5001,$B20,Base!$B$3:$B$5001,$B$2))</f>
        <v>574</v>
      </c>
      <c r="Q20">
        <f>IF($B$2="Todos",SUMIFS(Base!$Q$3:$Q$5001,Base!$A$3:$A$5001,$B20),SUMIFS(Base!$Q$3:$Q$5001,Base!$A$3:$A$5001,$B20,Base!$B$3:$B$5001,$B$2))</f>
        <v>263</v>
      </c>
      <c r="R20">
        <f>IF($B$2="Todos",SUMIFS(Base!$R$3:$R$5001,Base!$A$3:$A$5001,$B20),SUMIFS(Base!$R$3:$R$5001,Base!$A$3:$A$5001,$B20,Base!$B$3:$B$5001,$B$2))</f>
        <v>6254</v>
      </c>
      <c r="S20">
        <f>IF($B$2="Todos",SUMIFS(Base!$S$3:$S$5001,Base!$A$3:$A$5001,$B20),SUMIFS(Base!$S$3:$S$5001,Base!$A$3:$A$5001,$B20,Base!$B$3:$B$5001,$B$2))</f>
        <v>133</v>
      </c>
      <c r="T20">
        <f>IF($B$2="Todos",SUMIFS(Base!$T$3:$T$5001,Base!$A$3:$A$5001,$B20),SUMIFS(Base!$T$3:$T$5001,Base!$A$3:$A$5001,$B20,Base!$B$3:$B$5001,$B$2))</f>
        <v>170</v>
      </c>
      <c r="U20">
        <f>IF($B$2="Todos",SUMIFS(Base!$U$3:$U$5001,Base!$A$3:$A$5001,$B20),SUMIFS(Base!$U$3:$U$5001,Base!$A$3:$A$5001,$B20,Base!$B$3:$B$5001,$B$2))</f>
        <v>0</v>
      </c>
      <c r="V20">
        <f>IF($B$2="Todos",SUMIFS(Base!$V$3:$V$5001,Base!$A$3:$A$5001,$B20),SUMIFS(Base!$V$3:$V$5001,Base!$A$3:$A$5001,$B20,Base!$B$3:$B$5001,$B$2))</f>
        <v>0</v>
      </c>
      <c r="W20">
        <f>IF($B$2="Todos",IF(COUNT($C$136:$K$136)=0,"",SUM($C$136:$K$136)),IFERROR(INDEX($C$136:$K$136,MATCH($B$2,$C$127:$K$127,0)),""))</f>
        <v>76</v>
      </c>
      <c r="X20">
        <f>IF(Y20="","",IF($B$2="Todos",IF(ISNUMBER($B$4),$B$4,IF(COUNT($C$171:$K$171)=0,"",SUM($C$171:$K$171))),IFERROR(INDEX($C$171:$K$171,MATCH($B$2,$C$162:$K$162,0)),"")))</f>
        <v>13700</v>
      </c>
      <c r="Y20">
        <f>IF($B$2="Todos",IF(COUNT($C$206:$K$206)=0,"",SUM($C$206:$K$206)),IFERROR(INDEX($C$206:$K$206,MATCH($B$2,$C$197:$K$197,0)),""))</f>
        <v>10262</v>
      </c>
      <c r="Z20">
        <f>IF(AND(ISNUMBER(Y20),ISNUMBER(X20)),IF(X20&gt;0,Y20/X20,""),"")</f>
        <v>0.749051094890511</v>
      </c>
      <c r="AA20">
        <f>IF($B$2="Todos",IF(COUNT($C$241:$K$241)=0,"",SUM($C$241:$K$241)),IFERROR(INDEX($C$241:$K$241,MATCH($B$2,$C$232:$K$232,0)),""))</f>
        <v>91</v>
      </c>
      <c r="AB20">
        <f>IF($B$2="Todos",SUMIFS(Base!$AA$3:$AA$5001,Base!$A$3:$A$5001,$B20),SUMIFS(Base!$AA$3:$AA$5001,Base!$A$3:$A$5001,$B20,Base!$B$3:$B$5001,$B$2))</f>
        <v>2</v>
      </c>
      <c r="AC20">
        <f>IF($B$2="Todos",SUMIFS(Base!$AB$3:$AB$5001,Base!$A$3:$A$5001,$B20),SUMIFS(Base!$AB$3:$AB$5001,Base!$A$3:$A$5001,$B20,Base!$B$3:$B$5001,$B$2))</f>
        <v>1</v>
      </c>
      <c r="AD20">
        <f>IF($B$2="Todos",SUMIFS(Base!$AC$3:$AC$5001,Base!$A$3:$A$5001,$B20),SUMIFS(Base!$AC$3:$AC$5001,Base!$A$3:$A$5001,$B20,Base!$B$3:$B$5001,$B$2))</f>
        <v>0</v>
      </c>
      <c r="AE20">
        <f>IF($B$2="Todos",SUMIFS(Base!$AD$3:$AD$5001,Base!$A$3:$A$5001,$B20),SUMIFS(Base!$AD$3:$AD$5001,Base!$A$3:$A$5001,$B20,Base!$B$3:$B$5001,$B$2))</f>
        <v>0</v>
      </c>
      <c r="AG20">
        <f>IFERROR(N(INDEX($C20:$AE20,MATCH($B$3,$C$11:$AE$11,0))),0)</f>
        <v>528</v>
      </c>
      <c r="AH20">
        <f>IFERROR(N(INDEX($C20:$AE20,MATCH($C$3,$C$11:$AE$11,0))),0)</f>
        <v>489</v>
      </c>
      <c r="AI20">
        <f>$B$5</f>
        <v>0.7</v>
      </c>
      <c r="AJ20">
        <f>$B$6</f>
        <v>0.9</v>
      </c>
      <c r="AL20" t="inlineStr">
        <is>
          <t xml:space="preserve">OMNLIFE</t>
        </is>
      </c>
      <c r="AN20" t="inlineStr">
        <is>
          <t xml:space="preserve">SETEMBRO · 2026</t>
        </is>
      </c>
    </row>
    <row r="21">
      <c r="A21">
        <v>10</v>
      </c>
      <c r="B21" s="152">
        <f>IF(ISNUMBER($A21),$C$7+$A21-1,"")</f>
        <v>46275</v>
      </c>
      <c r="C21">
        <f>IF($B$2="Todos",SUMIFS(Base!$C$3:$C$5001,Base!$A$3:$A$5001,$B21),SUMIFS(Base!$C$3:$C$5001,Base!$A$3:$A$5001,$B21,Base!$B$3:$B$5001,$B$2))</f>
        <v>51</v>
      </c>
      <c r="D21">
        <f>IF($B$2="Todos",SUMIFS(Base!$D$3:$D$5001,Base!$A$3:$A$5001,$B21),SUMIFS(Base!$D$3:$D$5001,Base!$A$3:$A$5001,$B21,Base!$B$3:$B$5001,$B$2))</f>
        <v>595</v>
      </c>
      <c r="E21">
        <f>IF($B$2="Todos",SUMIFS(Base!$E$3:$E$5001,Base!$A$3:$A$5001,$B21),SUMIFS(Base!$E$3:$E$5001,Base!$A$3:$A$5001,$B21,Base!$B$3:$B$5001,$B$2))</f>
        <v>172.79</v>
      </c>
      <c r="F21">
        <f>IF($B$2="Todos",SUMIFS(Base!$F$3:$F$5001,Base!$A$3:$A$5001,$B21),SUMIFS(Base!$F$3:$F$5001,Base!$A$3:$A$5001,$B21,Base!$B$3:$B$5001,$B$2))</f>
        <v>4678</v>
      </c>
      <c r="G21">
        <f>IF($B$2="Todos",SUMIFS(Base!$G$3:$G$5001,Base!$A$3:$A$5001,$B21),SUMIFS(Base!$G$3:$G$5001,Base!$A$3:$A$5001,$B21,Base!$B$3:$B$5001,$B$2))</f>
        <v>2122</v>
      </c>
      <c r="H21">
        <f>IF($B$2="Todos",SUMIFS(Base!$H$3:$H$5001,Base!$A$3:$A$5001,$B21),SUMIFS(Base!$H$3:$H$5001,Base!$A$3:$A$5001,$B21,Base!$B$3:$B$5001,$B$2))</f>
        <v>73</v>
      </c>
      <c r="I21">
        <f>IF($B$2="Todos",SUMIFS(Base!$I$3:$I$5001,Base!$A$3:$A$5001,$B21),SUMIFS(Base!$I$3:$I$5001,Base!$A$3:$A$5001,$B21,Base!$B$3:$B$5001,$B$2))</f>
        <v>130</v>
      </c>
      <c r="J21">
        <f>IF($B$2="Todos",SUMIFS(Base!$J$3:$J$5001,Base!$A$3:$A$5001,$B21),SUMIFS(Base!$J$3:$J$5001,Base!$A$3:$A$5001,$B21,Base!$B$3:$B$5001,$B$2))</f>
        <v>418</v>
      </c>
      <c r="K21">
        <f>IF($B$2="Todos",SUMIFS(Base!$K$3:$K$5001,Base!$A$3:$A$5001,$B21),SUMIFS(Base!$K$3:$K$5001,Base!$A$3:$A$5001,$B21,Base!$B$3:$B$5001,$B$2))</f>
        <v>76</v>
      </c>
      <c r="L21">
        <f>IF($B$2="Todos",SUMIFS(Base!$L$3:$L$5001,Base!$A$3:$A$5001,$B21),SUMIFS(Base!$L$3:$L$5001,Base!$A$3:$A$5001,$B21,Base!$B$3:$B$5001,$B$2))</f>
        <v>62</v>
      </c>
      <c r="M21">
        <f>IF($B$2="Todos",SUMIFS(Base!$M$3:$M$5001,Base!$A$3:$A$5001,$B21),SUMIFS(Base!$M$3:$M$5001,Base!$A$3:$A$5001,$B21,Base!$B$3:$B$5001,$B$2))</f>
        <v>730</v>
      </c>
      <c r="N21">
        <f>IF($B$2="Todos",SUMIFS(Base!$N$3:$N$5001,Base!$A$3:$A$5001,$B21),SUMIFS(Base!$N$3:$N$5001,Base!$A$3:$A$5001,$B21,Base!$B$3:$B$5001,$B$2))</f>
        <v>231.88</v>
      </c>
      <c r="O21">
        <f>IF($B$2="Todos",SUMIFS(Base!$O$3:$O$5001,Base!$A$3:$A$5001,$B21),SUMIFS(Base!$O$3:$O$5001,Base!$A$3:$A$5001,$B21,Base!$B$3:$B$5001,$B$2))</f>
        <v>1607</v>
      </c>
      <c r="P21">
        <f>IF($B$2="Todos",SUMIFS(Base!$P$3:$P$5001,Base!$A$3:$A$5001,$B21),SUMIFS(Base!$P$3:$P$5001,Base!$A$3:$A$5001,$B21,Base!$B$3:$B$5001,$B$2))</f>
        <v>279</v>
      </c>
      <c r="Q21">
        <f>IF($B$2="Todos",SUMIFS(Base!$Q$3:$Q$5001,Base!$A$3:$A$5001,$B21),SUMIFS(Base!$Q$3:$Q$5001,Base!$A$3:$A$5001,$B21,Base!$B$3:$B$5001,$B$2))</f>
        <v>389</v>
      </c>
      <c r="R21">
        <f>IF($B$2="Todos",SUMIFS(Base!$R$3:$R$5001,Base!$A$3:$A$5001,$B21),SUMIFS(Base!$R$3:$R$5001,Base!$A$3:$A$5001,$B21,Base!$B$3:$B$5001,$B$2))</f>
        <v>3883</v>
      </c>
      <c r="S21">
        <f>IF($B$2="Todos",SUMIFS(Base!$S$3:$S$5001,Base!$A$3:$A$5001,$B21),SUMIFS(Base!$S$3:$S$5001,Base!$A$3:$A$5001,$B21,Base!$B$3:$B$5001,$B$2))</f>
        <v>225</v>
      </c>
      <c r="T21">
        <f>IF($B$2="Todos",SUMIFS(Base!$T$3:$T$5001,Base!$A$3:$A$5001,$B21),SUMIFS(Base!$T$3:$T$5001,Base!$A$3:$A$5001,$B21,Base!$B$3:$B$5001,$B$2))</f>
        <v>197</v>
      </c>
      <c r="U21">
        <f>IF($B$2="Todos",SUMIFS(Base!$U$3:$U$5001,Base!$A$3:$A$5001,$B21),SUMIFS(Base!$U$3:$U$5001,Base!$A$3:$A$5001,$B21,Base!$B$3:$B$5001,$B$2))</f>
        <v>0</v>
      </c>
      <c r="V21">
        <f>IF($B$2="Todos",SUMIFS(Base!$V$3:$V$5001,Base!$A$3:$A$5001,$B21),SUMIFS(Base!$V$3:$V$5001,Base!$A$3:$A$5001,$B21,Base!$B$3:$B$5001,$B$2))</f>
        <v>0</v>
      </c>
      <c r="W21">
        <f>IF($B$2="Todos",IF(COUNT($C$137:$K$137)=0,"",SUM($C$137:$K$137)),IFERROR(INDEX($C$137:$K$137,MATCH($B$2,$C$127:$K$127,0)),""))</f>
        <v>58</v>
      </c>
      <c r="X21">
        <f>IF(Y21="","",IF($B$2="Todos",IF(ISNUMBER($B$4),$B$4,IF(COUNT($C$172:$K$172)=0,"",SUM($C$172:$K$172))),IFERROR(INDEX($C$172:$K$172,MATCH($B$2,$C$162:$K$162,0)),"")))</f>
        <v>13700</v>
      </c>
      <c r="Y21">
        <f>IF($B$2="Todos",IF(COUNT($C$207:$K$207)=0,"",SUM($C$207:$K$207)),IFERROR(INDEX($C$207:$K$207,MATCH($B$2,$C$197:$K$197,0)),""))</f>
        <v>10519</v>
      </c>
      <c r="Z21">
        <f>IF(AND(ISNUMBER(Y21),ISNUMBER(X21)),IF(X21&gt;0,Y21/X21,""),"")</f>
        <v>0.767810218978102</v>
      </c>
      <c r="AA21">
        <f>IF($B$2="Todos",IF(COUNT($C$242:$K$242)=0,"",SUM($C$242:$K$242)),IFERROR(INDEX($C$242:$K$242,MATCH($B$2,$C$232:$K$232,0)),""))</f>
        <v>77</v>
      </c>
      <c r="AB21">
        <f>IF($B$2="Todos",SUMIFS(Base!$AA$3:$AA$5001,Base!$A$3:$A$5001,$B21),SUMIFS(Base!$AA$3:$AA$5001,Base!$A$3:$A$5001,$B21,Base!$B$3:$B$5001,$B$2))</f>
        <v>3</v>
      </c>
      <c r="AC21">
        <f>IF($B$2="Todos",SUMIFS(Base!$AB$3:$AB$5001,Base!$A$3:$A$5001,$B21),SUMIFS(Base!$AB$3:$AB$5001,Base!$A$3:$A$5001,$B21,Base!$B$3:$B$5001,$B$2))</f>
        <v>2</v>
      </c>
      <c r="AD21">
        <f>IF($B$2="Todos",SUMIFS(Base!$AC$3:$AC$5001,Base!$A$3:$A$5001,$B21),SUMIFS(Base!$AC$3:$AC$5001,Base!$A$3:$A$5001,$B21,Base!$B$3:$B$5001,$B$2))</f>
        <v>0</v>
      </c>
      <c r="AE21">
        <f>IF($B$2="Todos",SUMIFS(Base!$AD$3:$AD$5001,Base!$A$3:$A$5001,$B21),SUMIFS(Base!$AD$3:$AD$5001,Base!$A$3:$A$5001,$B21,Base!$B$3:$B$5001,$B$2))</f>
        <v>0</v>
      </c>
      <c r="AG21">
        <f>IFERROR(N(INDEX($C21:$AE21,MATCH($B$3,$C$11:$AE$11,0))),0)</f>
        <v>595</v>
      </c>
      <c r="AH21">
        <f>IFERROR(N(INDEX($C21:$AE21,MATCH($C$3,$C$11:$AE$11,0))),0)</f>
        <v>730</v>
      </c>
      <c r="AI21">
        <f>$B$5</f>
        <v>0.7</v>
      </c>
      <c r="AJ21">
        <f>$B$6</f>
        <v>0.9</v>
      </c>
      <c r="AL21" t="inlineStr">
        <is>
          <t xml:space="preserve">ALPARGATAS</t>
        </is>
      </c>
      <c r="AN21" t="inlineStr">
        <is>
          <t xml:space="preserve">OUTUBRO · 2026</t>
        </is>
      </c>
    </row>
    <row r="22">
      <c r="A22">
        <v>11</v>
      </c>
      <c r="B22" s="152">
        <f>IF(ISNUMBER($A22),$C$7+$A22-1,"")</f>
        <v>46276</v>
      </c>
      <c r="C22">
        <f>IF($B$2="Todos",SUMIFS(Base!$C$3:$C$5001,Base!$A$3:$A$5001,$B22),SUMIFS(Base!$C$3:$C$5001,Base!$A$3:$A$5001,$B22,Base!$B$3:$B$5001,$B$2))</f>
        <v>42</v>
      </c>
      <c r="D22">
        <f>IF($B$2="Todos",SUMIFS(Base!$D$3:$D$5001,Base!$A$3:$A$5001,$B22),SUMIFS(Base!$D$3:$D$5001,Base!$A$3:$A$5001,$B22,Base!$B$3:$B$5001,$B$2))</f>
        <v>436</v>
      </c>
      <c r="E22">
        <f>IF($B$2="Todos",SUMIFS(Base!$E$3:$E$5001,Base!$A$3:$A$5001,$B22),SUMIFS(Base!$E$3:$E$5001,Base!$A$3:$A$5001,$B22,Base!$B$3:$B$5001,$B$2))</f>
        <v>112.24</v>
      </c>
      <c r="F22">
        <f>IF($B$2="Todos",SUMIFS(Base!$F$3:$F$5001,Base!$A$3:$A$5001,$B22),SUMIFS(Base!$F$3:$F$5001,Base!$A$3:$A$5001,$B22,Base!$B$3:$B$5001,$B$2))</f>
        <v>3425</v>
      </c>
      <c r="G22">
        <f>IF($B$2="Todos",SUMIFS(Base!$G$3:$G$5001,Base!$A$3:$A$5001,$B22),SUMIFS(Base!$G$3:$G$5001,Base!$A$3:$A$5001,$B22,Base!$B$3:$B$5001,$B$2))</f>
        <v>1878</v>
      </c>
      <c r="H22">
        <f>IF($B$2="Todos",SUMIFS(Base!$H$3:$H$5001,Base!$A$3:$A$5001,$B22),SUMIFS(Base!$H$3:$H$5001,Base!$A$3:$A$5001,$B22,Base!$B$3:$B$5001,$B$2))</f>
        <v>67</v>
      </c>
      <c r="I22">
        <f>IF($B$2="Todos",SUMIFS(Base!$I$3:$I$5001,Base!$A$3:$A$5001,$B22),SUMIFS(Base!$I$3:$I$5001,Base!$A$3:$A$5001,$B22,Base!$B$3:$B$5001,$B$2))</f>
        <v>501</v>
      </c>
      <c r="J22">
        <f>IF($B$2="Todos",SUMIFS(Base!$J$3:$J$5001,Base!$A$3:$A$5001,$B22),SUMIFS(Base!$J$3:$J$5001,Base!$A$3:$A$5001,$B22,Base!$B$3:$B$5001,$B$2))</f>
        <v>304</v>
      </c>
      <c r="K22">
        <f>IF($B$2="Todos",SUMIFS(Base!$K$3:$K$5001,Base!$A$3:$A$5001,$B22),SUMIFS(Base!$K$3:$K$5001,Base!$A$3:$A$5001,$B22,Base!$B$3:$B$5001,$B$2))</f>
        <v>121</v>
      </c>
      <c r="L22">
        <f>IF($B$2="Todos",SUMIFS(Base!$L$3:$L$5001,Base!$A$3:$A$5001,$B22),SUMIFS(Base!$L$3:$L$5001,Base!$A$3:$A$5001,$B22,Base!$B$3:$B$5001,$B$2))</f>
        <v>61</v>
      </c>
      <c r="M22">
        <f>IF($B$2="Todos",SUMIFS(Base!$M$3:$M$5001,Base!$A$3:$A$5001,$B22),SUMIFS(Base!$M$3:$M$5001,Base!$A$3:$A$5001,$B22,Base!$B$3:$B$5001,$B$2))</f>
        <v>704</v>
      </c>
      <c r="N22">
        <f>IF($B$2="Todos",SUMIFS(Base!$N$3:$N$5001,Base!$A$3:$A$5001,$B22),SUMIFS(Base!$N$3:$N$5001,Base!$A$3:$A$5001,$B22,Base!$B$3:$B$5001,$B$2))</f>
        <v>260.67</v>
      </c>
      <c r="O22">
        <f>IF($B$2="Todos",SUMIFS(Base!$O$3:$O$5001,Base!$A$3:$A$5001,$B22),SUMIFS(Base!$O$3:$O$5001,Base!$A$3:$A$5001,$B22,Base!$B$3:$B$5001,$B$2))</f>
        <v>1470</v>
      </c>
      <c r="P22">
        <f>IF($B$2="Todos",SUMIFS(Base!$P$3:$P$5001,Base!$A$3:$A$5001,$B22),SUMIFS(Base!$P$3:$P$5001,Base!$A$3:$A$5001,$B22,Base!$B$3:$B$5001,$B$2))</f>
        <v>673</v>
      </c>
      <c r="Q22">
        <f>IF($B$2="Todos",SUMIFS(Base!$Q$3:$Q$5001,Base!$A$3:$A$5001,$B22),SUMIFS(Base!$Q$3:$Q$5001,Base!$A$3:$A$5001,$B22,Base!$B$3:$B$5001,$B$2))</f>
        <v>1095</v>
      </c>
      <c r="R22">
        <f>IF($B$2="Todos",SUMIFS(Base!$R$3:$R$5001,Base!$A$3:$A$5001,$B22),SUMIFS(Base!$R$3:$R$5001,Base!$A$3:$A$5001,$B22,Base!$B$3:$B$5001,$B$2))</f>
        <v>8662</v>
      </c>
      <c r="S22">
        <f>IF($B$2="Todos",SUMIFS(Base!$S$3:$S$5001,Base!$A$3:$A$5001,$B22),SUMIFS(Base!$S$3:$S$5001,Base!$A$3:$A$5001,$B22,Base!$B$3:$B$5001,$B$2))</f>
        <v>283</v>
      </c>
      <c r="T22">
        <f>IF($B$2="Todos",SUMIFS(Base!$T$3:$T$5001,Base!$A$3:$A$5001,$B22),SUMIFS(Base!$T$3:$T$5001,Base!$A$3:$A$5001,$B22,Base!$B$3:$B$5001,$B$2))</f>
        <v>102</v>
      </c>
      <c r="U22">
        <f>IF($B$2="Todos",SUMIFS(Base!$U$3:$U$5001,Base!$A$3:$A$5001,$B22),SUMIFS(Base!$U$3:$U$5001,Base!$A$3:$A$5001,$B22,Base!$B$3:$B$5001,$B$2))</f>
        <v>0</v>
      </c>
      <c r="V22">
        <f>IF($B$2="Todos",SUMIFS(Base!$V$3:$V$5001,Base!$A$3:$A$5001,$B22),SUMIFS(Base!$V$3:$V$5001,Base!$A$3:$A$5001,$B22,Base!$B$3:$B$5001,$B$2))</f>
        <v>1</v>
      </c>
      <c r="W22">
        <f>IF($B$2="Todos",IF(COUNT($C$138:$K$138)=0,"",SUM($C$138:$K$138)),IFERROR(INDEX($C$138:$K$138,MATCH($B$2,$C$127:$K$127,0)),""))</f>
        <v>58</v>
      </c>
      <c r="X22">
        <f>IF(Y22="","",IF($B$2="Todos",IF(ISNUMBER($B$4),$B$4,IF(COUNT($C$173:$K$173)=0,"",SUM($C$173:$K$173))),IFERROR(INDEX($C$173:$K$173,MATCH($B$2,$C$162:$K$162,0)),"")))</f>
        <v>13700</v>
      </c>
      <c r="Y22">
        <f>IF($B$2="Todos",IF(COUNT($C$208:$K$208)=0,"",SUM($C$208:$K$208)),IFERROR(INDEX($C$208:$K$208,MATCH($B$2,$C$197:$K$197,0)),""))</f>
        <v>10336</v>
      </c>
      <c r="Z22">
        <f>IF(AND(ISNUMBER(Y22),ISNUMBER(X22)),IF(X22&gt;0,Y22/X22,""),"")</f>
        <v>0.754452554744526</v>
      </c>
      <c r="AA22">
        <f>IF($B$2="Todos",IF(COUNT($C$243:$K$243)=0,"",SUM($C$243:$K$243)),IFERROR(INDEX($C$243:$K$243,MATCH($B$2,$C$232:$K$232,0)),""))</f>
        <v>84</v>
      </c>
      <c r="AB22">
        <f>IF($B$2="Todos",SUMIFS(Base!$AA$3:$AA$5001,Base!$A$3:$A$5001,$B22),SUMIFS(Base!$AA$3:$AA$5001,Base!$A$3:$A$5001,$B22,Base!$B$3:$B$5001,$B$2))</f>
        <v>1</v>
      </c>
      <c r="AC22">
        <f>IF($B$2="Todos",SUMIFS(Base!$AB$3:$AB$5001,Base!$A$3:$A$5001,$B22),SUMIFS(Base!$AB$3:$AB$5001,Base!$A$3:$A$5001,$B22,Base!$B$3:$B$5001,$B$2))</f>
        <v>0</v>
      </c>
      <c r="AD22">
        <f>IF($B$2="Todos",SUMIFS(Base!$AC$3:$AC$5001,Base!$A$3:$A$5001,$B22),SUMIFS(Base!$AC$3:$AC$5001,Base!$A$3:$A$5001,$B22,Base!$B$3:$B$5001,$B$2))</f>
        <v>0</v>
      </c>
      <c r="AE22">
        <f>IF($B$2="Todos",SUMIFS(Base!$AD$3:$AD$5001,Base!$A$3:$A$5001,$B22),SUMIFS(Base!$AD$3:$AD$5001,Base!$A$3:$A$5001,$B22,Base!$B$3:$B$5001,$B$2))</f>
        <v>0</v>
      </c>
      <c r="AG22">
        <f>IFERROR(N(INDEX($C22:$AE22,MATCH($B$3,$C$11:$AE$11,0))),0)</f>
        <v>436</v>
      </c>
      <c r="AH22">
        <f>IFERROR(N(INDEX($C22:$AE22,MATCH($C$3,$C$11:$AE$11,0))),0)</f>
        <v>704</v>
      </c>
      <c r="AI22">
        <f>$B$5</f>
        <v>0.7</v>
      </c>
      <c r="AJ22">
        <f>$B$6</f>
        <v>0.9</v>
      </c>
      <c r="AN22" t="inlineStr">
        <is>
          <t xml:space="preserve">NOVEMBRO · 2026</t>
        </is>
      </c>
    </row>
    <row r="23">
      <c r="A23">
        <v>12</v>
      </c>
      <c r="B23" s="152">
        <f>IF(ISNUMBER($A23),$C$7+$A23-1,"")</f>
        <v>46277</v>
      </c>
      <c r="C23">
        <f>IF($B$2="Todos",SUMIFS(Base!$C$3:$C$5001,Base!$A$3:$A$5001,$B23),SUMIFS(Base!$C$3:$C$5001,Base!$A$3:$A$5001,$B23,Base!$B$3:$B$5001,$B$2))</f>
        <v>41</v>
      </c>
      <c r="D23">
        <f>IF($B$2="Todos",SUMIFS(Base!$D$3:$D$5001,Base!$A$3:$A$5001,$B23),SUMIFS(Base!$D$3:$D$5001,Base!$A$3:$A$5001,$B23,Base!$B$3:$B$5001,$B$2))</f>
        <v>477</v>
      </c>
      <c r="E23">
        <f>IF($B$2="Todos",SUMIFS(Base!$E$3:$E$5001,Base!$A$3:$A$5001,$B23),SUMIFS(Base!$E$3:$E$5001,Base!$A$3:$A$5001,$B23,Base!$B$3:$B$5001,$B$2))</f>
        <v>151.7</v>
      </c>
      <c r="F23">
        <f>IF($B$2="Todos",SUMIFS(Base!$F$3:$F$5001,Base!$A$3:$A$5001,$B23),SUMIFS(Base!$F$3:$F$5001,Base!$A$3:$A$5001,$B23,Base!$B$3:$B$5001,$B$2))</f>
        <v>1581</v>
      </c>
      <c r="G23">
        <f>IF($B$2="Todos",SUMIFS(Base!$G$3:$G$5001,Base!$A$3:$A$5001,$B23),SUMIFS(Base!$G$3:$G$5001,Base!$A$3:$A$5001,$B23,Base!$B$3:$B$5001,$B$2))</f>
        <v>2726</v>
      </c>
      <c r="H23">
        <f>IF($B$2="Todos",SUMIFS(Base!$H$3:$H$5001,Base!$A$3:$A$5001,$B23),SUMIFS(Base!$H$3:$H$5001,Base!$A$3:$A$5001,$B23,Base!$B$3:$B$5001,$B$2))</f>
        <v>191</v>
      </c>
      <c r="I23">
        <f>IF($B$2="Todos",SUMIFS(Base!$I$3:$I$5001,Base!$A$3:$A$5001,$B23),SUMIFS(Base!$I$3:$I$5001,Base!$A$3:$A$5001,$B23,Base!$B$3:$B$5001,$B$2))</f>
        <v>390</v>
      </c>
      <c r="J23">
        <f>IF($B$2="Todos",SUMIFS(Base!$J$3:$J$5001,Base!$A$3:$A$5001,$B23),SUMIFS(Base!$J$3:$J$5001,Base!$A$3:$A$5001,$B23,Base!$B$3:$B$5001,$B$2))</f>
        <v>530</v>
      </c>
      <c r="K23">
        <f>IF($B$2="Todos",SUMIFS(Base!$K$3:$K$5001,Base!$A$3:$A$5001,$B23),SUMIFS(Base!$K$3:$K$5001,Base!$A$3:$A$5001,$B23,Base!$B$3:$B$5001,$B$2))</f>
        <v>123</v>
      </c>
      <c r="L23">
        <f>IF($B$2="Todos",SUMIFS(Base!$L$3:$L$5001,Base!$A$3:$A$5001,$B23),SUMIFS(Base!$L$3:$L$5001,Base!$A$3:$A$5001,$B23,Base!$B$3:$B$5001,$B$2))</f>
        <v>66</v>
      </c>
      <c r="M23">
        <f>IF($B$2="Todos",SUMIFS(Base!$M$3:$M$5001,Base!$A$3:$A$5001,$B23),SUMIFS(Base!$M$3:$M$5001,Base!$A$3:$A$5001,$B23,Base!$B$3:$B$5001,$B$2))</f>
        <v>617</v>
      </c>
      <c r="N23">
        <f>IF($B$2="Todos",SUMIFS(Base!$N$3:$N$5001,Base!$A$3:$A$5001,$B23),SUMIFS(Base!$N$3:$N$5001,Base!$A$3:$A$5001,$B23,Base!$B$3:$B$5001,$B$2))</f>
        <v>128.05</v>
      </c>
      <c r="O23">
        <f>IF($B$2="Todos",SUMIFS(Base!$O$3:$O$5001,Base!$A$3:$A$5001,$B23),SUMIFS(Base!$O$3:$O$5001,Base!$A$3:$A$5001,$B23,Base!$B$3:$B$5001,$B$2))</f>
        <v>1252</v>
      </c>
      <c r="P23">
        <f>IF($B$2="Todos",SUMIFS(Base!$P$3:$P$5001,Base!$A$3:$A$5001,$B23),SUMIFS(Base!$P$3:$P$5001,Base!$A$3:$A$5001,$B23,Base!$B$3:$B$5001,$B$2))</f>
        <v>92</v>
      </c>
      <c r="Q23">
        <f>IF($B$2="Todos",SUMIFS(Base!$Q$3:$Q$5001,Base!$A$3:$A$5001,$B23),SUMIFS(Base!$Q$3:$Q$5001,Base!$A$3:$A$5001,$B23,Base!$B$3:$B$5001,$B$2))</f>
        <v>715</v>
      </c>
      <c r="R23">
        <f>IF($B$2="Todos",SUMIFS(Base!$R$3:$R$5001,Base!$A$3:$A$5001,$B23),SUMIFS(Base!$R$3:$R$5001,Base!$A$3:$A$5001,$B23,Base!$B$3:$B$5001,$B$2))</f>
        <v>3568</v>
      </c>
      <c r="S23">
        <f>IF($B$2="Todos",SUMIFS(Base!$S$3:$S$5001,Base!$A$3:$A$5001,$B23),SUMIFS(Base!$S$3:$S$5001,Base!$A$3:$A$5001,$B23,Base!$B$3:$B$5001,$B$2))</f>
        <v>70</v>
      </c>
      <c r="T23">
        <f>IF($B$2="Todos",SUMIFS(Base!$T$3:$T$5001,Base!$A$3:$A$5001,$B23),SUMIFS(Base!$T$3:$T$5001,Base!$A$3:$A$5001,$B23,Base!$B$3:$B$5001,$B$2))</f>
        <v>120</v>
      </c>
      <c r="U23">
        <f>IF($B$2="Todos",SUMIFS(Base!$U$3:$U$5001,Base!$A$3:$A$5001,$B23),SUMIFS(Base!$U$3:$U$5001,Base!$A$3:$A$5001,$B23,Base!$B$3:$B$5001,$B$2))</f>
        <v>0</v>
      </c>
      <c r="V23">
        <f>IF($B$2="Todos",SUMIFS(Base!$V$3:$V$5001,Base!$A$3:$A$5001,$B23),SUMIFS(Base!$V$3:$V$5001,Base!$A$3:$A$5001,$B23,Base!$B$3:$B$5001,$B$2))</f>
        <v>1</v>
      </c>
      <c r="W23">
        <f>IF($B$2="Todos",IF(COUNT($C$139:$K$139)=0,"",SUM($C$139:$K$139)),IFERROR(INDEX($C$139:$K$139,MATCH($B$2,$C$127:$K$127,0)),""))</f>
        <v>57</v>
      </c>
      <c r="X23">
        <f>IF(Y23="","",IF($B$2="Todos",IF(ISNUMBER($B$4),$B$4,IF(COUNT($C$174:$K$174)=0,"",SUM($C$174:$K$174))),IFERROR(INDEX($C$174:$K$174,MATCH($B$2,$C$162:$K$162,0)),"")))</f>
        <v>13700</v>
      </c>
      <c r="Y23">
        <f>IF($B$2="Todos",IF(COUNT($C$209:$K$209)=0,"",SUM($C$209:$K$209)),IFERROR(INDEX($C$209:$K$209,MATCH($B$2,$C$197:$K$197,0)),""))</f>
        <v>10061</v>
      </c>
      <c r="Z23">
        <f>IF(AND(ISNUMBER(Y23),ISNUMBER(X23)),IF(X23&gt;0,Y23/X23,""),"")</f>
        <v>0.734379562043796</v>
      </c>
      <c r="AA23">
        <f>IF($B$2="Todos",IF(COUNT($C$244:$K$244)=0,"",SUM($C$244:$K$244)),IFERROR(INDEX($C$244:$K$244,MATCH($B$2,$C$232:$K$232,0)),""))</f>
        <v>63</v>
      </c>
      <c r="AB23">
        <f>IF($B$2="Todos",SUMIFS(Base!$AA$3:$AA$5001,Base!$A$3:$A$5001,$B23),SUMIFS(Base!$AA$3:$AA$5001,Base!$A$3:$A$5001,$B23,Base!$B$3:$B$5001,$B$2))</f>
        <v>1</v>
      </c>
      <c r="AC23">
        <f>IF($B$2="Todos",SUMIFS(Base!$AB$3:$AB$5001,Base!$A$3:$A$5001,$B23),SUMIFS(Base!$AB$3:$AB$5001,Base!$A$3:$A$5001,$B23,Base!$B$3:$B$5001,$B$2))</f>
        <v>1</v>
      </c>
      <c r="AD23">
        <f>IF($B$2="Todos",SUMIFS(Base!$AC$3:$AC$5001,Base!$A$3:$A$5001,$B23),SUMIFS(Base!$AC$3:$AC$5001,Base!$A$3:$A$5001,$B23,Base!$B$3:$B$5001,$B$2))</f>
        <v>1</v>
      </c>
      <c r="AE23">
        <f>IF($B$2="Todos",SUMIFS(Base!$AD$3:$AD$5001,Base!$A$3:$A$5001,$B23),SUMIFS(Base!$AD$3:$AD$5001,Base!$A$3:$A$5001,$B23,Base!$B$3:$B$5001,$B$2))</f>
        <v>0</v>
      </c>
      <c r="AG23">
        <f>IFERROR(N(INDEX($C23:$AE23,MATCH($B$3,$C$11:$AE$11,0))),0)</f>
        <v>477</v>
      </c>
      <c r="AH23">
        <f>IFERROR(N(INDEX($C23:$AE23,MATCH($C$3,$C$11:$AE$11,0))),0)</f>
        <v>617</v>
      </c>
      <c r="AI23">
        <f>$B$5</f>
        <v>0.7</v>
      </c>
      <c r="AJ23">
        <f>$B$6</f>
        <v>0.9</v>
      </c>
      <c r="AN23" t="inlineStr">
        <is>
          <t xml:space="preserve">DEZEMBRO · 2026</t>
        </is>
      </c>
    </row>
    <row r="24">
      <c r="A24">
        <v>13</v>
      </c>
      <c r="B24" s="152">
        <f>IF(ISNUMBER($A24),$C$7+$A24-1,"")</f>
        <v>46278</v>
      </c>
      <c r="C24">
        <f>IF($B$2="Todos",SUMIFS(Base!$C$3:$C$5001,Base!$A$3:$A$5001,$B24),SUMIFS(Base!$C$3:$C$5001,Base!$A$3:$A$5001,$B24,Base!$B$3:$B$5001,$B$2))</f>
        <v>0</v>
      </c>
      <c r="D24">
        <f>IF($B$2="Todos",SUMIFS(Base!$D$3:$D$5001,Base!$A$3:$A$5001,$B24),SUMIFS(Base!$D$3:$D$5001,Base!$A$3:$A$5001,$B24,Base!$B$3:$B$5001,$B$2))</f>
        <v>0</v>
      </c>
      <c r="E24">
        <f>IF($B$2="Todos",SUMIFS(Base!$E$3:$E$5001,Base!$A$3:$A$5001,$B24),SUMIFS(Base!$E$3:$E$5001,Base!$A$3:$A$5001,$B24,Base!$B$3:$B$5001,$B$2))</f>
        <v>0</v>
      </c>
      <c r="F24">
        <f>IF($B$2="Todos",SUMIFS(Base!$F$3:$F$5001,Base!$A$3:$A$5001,$B24),SUMIFS(Base!$F$3:$F$5001,Base!$A$3:$A$5001,$B24,Base!$B$3:$B$5001,$B$2))</f>
        <v>0</v>
      </c>
      <c r="G24">
        <f>IF($B$2="Todos",SUMIFS(Base!$G$3:$G$5001,Base!$A$3:$A$5001,$B24),SUMIFS(Base!$G$3:$G$5001,Base!$A$3:$A$5001,$B24,Base!$B$3:$B$5001,$B$2))</f>
        <v>0</v>
      </c>
      <c r="H24">
        <f>IF($B$2="Todos",SUMIFS(Base!$H$3:$H$5001,Base!$A$3:$A$5001,$B24),SUMIFS(Base!$H$3:$H$5001,Base!$A$3:$A$5001,$B24,Base!$B$3:$B$5001,$B$2))</f>
        <v>0</v>
      </c>
      <c r="I24">
        <f>IF($B$2="Todos",SUMIFS(Base!$I$3:$I$5001,Base!$A$3:$A$5001,$B24),SUMIFS(Base!$I$3:$I$5001,Base!$A$3:$A$5001,$B24,Base!$B$3:$B$5001,$B$2))</f>
        <v>0</v>
      </c>
      <c r="J24">
        <f>IF($B$2="Todos",SUMIFS(Base!$J$3:$J$5001,Base!$A$3:$A$5001,$B24),SUMIFS(Base!$J$3:$J$5001,Base!$A$3:$A$5001,$B24,Base!$B$3:$B$5001,$B$2))</f>
        <v>0</v>
      </c>
      <c r="K24">
        <f>IF($B$2="Todos",SUMIFS(Base!$K$3:$K$5001,Base!$A$3:$A$5001,$B24),SUMIFS(Base!$K$3:$K$5001,Base!$A$3:$A$5001,$B24,Base!$B$3:$B$5001,$B$2))</f>
        <v>0</v>
      </c>
      <c r="L24">
        <f>IF($B$2="Todos",SUMIFS(Base!$L$3:$L$5001,Base!$A$3:$A$5001,$B24),SUMIFS(Base!$L$3:$L$5001,Base!$A$3:$A$5001,$B24,Base!$B$3:$B$5001,$B$2))</f>
        <v>0</v>
      </c>
      <c r="M24">
        <f>IF($B$2="Todos",SUMIFS(Base!$M$3:$M$5001,Base!$A$3:$A$5001,$B24),SUMIFS(Base!$M$3:$M$5001,Base!$A$3:$A$5001,$B24,Base!$B$3:$B$5001,$B$2))</f>
        <v>0</v>
      </c>
      <c r="N24">
        <f>IF($B$2="Todos",SUMIFS(Base!$N$3:$N$5001,Base!$A$3:$A$5001,$B24),SUMIFS(Base!$N$3:$N$5001,Base!$A$3:$A$5001,$B24,Base!$B$3:$B$5001,$B$2))</f>
        <v>0</v>
      </c>
      <c r="O24">
        <f>IF($B$2="Todos",SUMIFS(Base!$O$3:$O$5001,Base!$A$3:$A$5001,$B24),SUMIFS(Base!$O$3:$O$5001,Base!$A$3:$A$5001,$B24,Base!$B$3:$B$5001,$B$2))</f>
        <v>0</v>
      </c>
      <c r="P24">
        <f>IF($B$2="Todos",SUMIFS(Base!$P$3:$P$5001,Base!$A$3:$A$5001,$B24),SUMIFS(Base!$P$3:$P$5001,Base!$A$3:$A$5001,$B24,Base!$B$3:$B$5001,$B$2))</f>
        <v>0</v>
      </c>
      <c r="Q24">
        <f>IF($B$2="Todos",SUMIFS(Base!$Q$3:$Q$5001,Base!$A$3:$A$5001,$B24),SUMIFS(Base!$Q$3:$Q$5001,Base!$A$3:$A$5001,$B24,Base!$B$3:$B$5001,$B$2))</f>
        <v>0</v>
      </c>
      <c r="R24">
        <f>IF($B$2="Todos",SUMIFS(Base!$R$3:$R$5001,Base!$A$3:$A$5001,$B24),SUMIFS(Base!$R$3:$R$5001,Base!$A$3:$A$5001,$B24,Base!$B$3:$B$5001,$B$2))</f>
        <v>0</v>
      </c>
      <c r="S24">
        <f>IF($B$2="Todos",SUMIFS(Base!$S$3:$S$5001,Base!$A$3:$A$5001,$B24),SUMIFS(Base!$S$3:$S$5001,Base!$A$3:$A$5001,$B24,Base!$B$3:$B$5001,$B$2))</f>
        <v>0</v>
      </c>
      <c r="T24">
        <f>IF($B$2="Todos",SUMIFS(Base!$T$3:$T$5001,Base!$A$3:$A$5001,$B24),SUMIFS(Base!$T$3:$T$5001,Base!$A$3:$A$5001,$B24,Base!$B$3:$B$5001,$B$2))</f>
        <v>0</v>
      </c>
      <c r="U24">
        <f>IF($B$2="Todos",SUMIFS(Base!$U$3:$U$5001,Base!$A$3:$A$5001,$B24),SUMIFS(Base!$U$3:$U$5001,Base!$A$3:$A$5001,$B24,Base!$B$3:$B$5001,$B$2))</f>
        <v>0</v>
      </c>
      <c r="V24">
        <f>IF($B$2="Todos",SUMIFS(Base!$V$3:$V$5001,Base!$A$3:$A$5001,$B24),SUMIFS(Base!$V$3:$V$5001,Base!$A$3:$A$5001,$B24,Base!$B$3:$B$5001,$B$2))</f>
        <v>0</v>
      </c>
      <c r="W24">
        <f>IF($B$2="Todos",IF(COUNT($C$140:$K$140)=0,"",SUM($C$140:$K$140)),IFERROR(INDEX($C$140:$K$140,MATCH($B$2,$C$127:$K$127,0)),""))</f>
        <v>57</v>
      </c>
      <c r="X24">
        <f>IF(Y24="","",IF($B$2="Todos",IF(ISNUMBER($B$4),$B$4,IF(COUNT($C$175:$K$175)=0,"",SUM($C$175:$K$175))),IFERROR(INDEX($C$175:$K$175,MATCH($B$2,$C$162:$K$162,0)),"")))</f>
        <v>13700</v>
      </c>
      <c r="Y24">
        <f>IF($B$2="Todos",IF(COUNT($C$210:$K$210)=0,"",SUM($C$210:$K$210)),IFERROR(INDEX($C$210:$K$210,MATCH($B$2,$C$197:$K$197,0)),""))</f>
        <v>10061</v>
      </c>
      <c r="Z24">
        <f>IF(AND(ISNUMBER(Y24),ISNUMBER(X24)),IF(X24&gt;0,Y24/X24,""),"")</f>
        <v>0.734379562043796</v>
      </c>
      <c r="AA24">
        <f>IF($B$2="Todos",IF(COUNT($C$245:$K$245)=0,"",SUM($C$245:$K$245)),IFERROR(INDEX($C$245:$K$245,MATCH($B$2,$C$232:$K$232,0)),""))</f>
        <v>63</v>
      </c>
      <c r="AB24">
        <f>IF($B$2="Todos",SUMIFS(Base!$AA$3:$AA$5001,Base!$A$3:$A$5001,$B24),SUMIFS(Base!$AA$3:$AA$5001,Base!$A$3:$A$5001,$B24,Base!$B$3:$B$5001,$B$2))</f>
        <v>0</v>
      </c>
      <c r="AC24">
        <f>IF($B$2="Todos",SUMIFS(Base!$AB$3:$AB$5001,Base!$A$3:$A$5001,$B24),SUMIFS(Base!$AB$3:$AB$5001,Base!$A$3:$A$5001,$B24,Base!$B$3:$B$5001,$B$2))</f>
        <v>0</v>
      </c>
      <c r="AD24">
        <f>IF($B$2="Todos",SUMIFS(Base!$AC$3:$AC$5001,Base!$A$3:$A$5001,$B24),SUMIFS(Base!$AC$3:$AC$5001,Base!$A$3:$A$5001,$B24,Base!$B$3:$B$5001,$B$2))</f>
        <v>0</v>
      </c>
      <c r="AE24">
        <f>IF($B$2="Todos",SUMIFS(Base!$AD$3:$AD$5001,Base!$A$3:$A$5001,$B24),SUMIFS(Base!$AD$3:$AD$5001,Base!$A$3:$A$5001,$B24,Base!$B$3:$B$5001,$B$2))</f>
        <v>0</v>
      </c>
      <c r="AG24">
        <f>IFERROR(N(INDEX($C24:$AE24,MATCH($B$3,$C$11:$AE$11,0))),0)</f>
        <v>0</v>
      </c>
      <c r="AH24">
        <f>IFERROR(N(INDEX($C24:$AE24,MATCH($C$3,$C$11:$AE$11,0))),0)</f>
        <v>0</v>
      </c>
      <c r="AI24">
        <f>$B$5</f>
        <v>0.7</v>
      </c>
      <c r="AJ24">
        <f>$B$6</f>
        <v>0.9</v>
      </c>
      <c r="AN24" t="inlineStr">
        <is>
          <t xml:space="preserve">JANEIRO · 2027</t>
        </is>
      </c>
    </row>
    <row r="25">
      <c r="A25">
        <v>14</v>
      </c>
      <c r="B25" s="152">
        <f>IF(ISNUMBER($A25),$C$7+$A25-1,"")</f>
        <v>46279</v>
      </c>
      <c r="C25">
        <f>IF($B$2="Todos",SUMIFS(Base!$C$3:$C$5001,Base!$A$3:$A$5001,$B25),SUMIFS(Base!$C$3:$C$5001,Base!$A$3:$A$5001,$B25,Base!$B$3:$B$5001,$B$2))</f>
        <v>42</v>
      </c>
      <c r="D25">
        <f>IF($B$2="Todos",SUMIFS(Base!$D$3:$D$5001,Base!$A$3:$A$5001,$B25),SUMIFS(Base!$D$3:$D$5001,Base!$A$3:$A$5001,$B25,Base!$B$3:$B$5001,$B$2))</f>
        <v>589</v>
      </c>
      <c r="E25">
        <f>IF($B$2="Todos",SUMIFS(Base!$E$3:$E$5001,Base!$A$3:$A$5001,$B25),SUMIFS(Base!$E$3:$E$5001,Base!$A$3:$A$5001,$B25,Base!$B$3:$B$5001,$B$2))</f>
        <v>208.85</v>
      </c>
      <c r="F25">
        <f>IF($B$2="Todos",SUMIFS(Base!$F$3:$F$5001,Base!$A$3:$A$5001,$B25),SUMIFS(Base!$F$3:$F$5001,Base!$A$3:$A$5001,$B25,Base!$B$3:$B$5001,$B$2))</f>
        <v>3144</v>
      </c>
      <c r="G25">
        <f>IF($B$2="Todos",SUMIFS(Base!$G$3:$G$5001,Base!$A$3:$A$5001,$B25),SUMIFS(Base!$G$3:$G$5001,Base!$A$3:$A$5001,$B25,Base!$B$3:$B$5001,$B$2))</f>
        <v>2238</v>
      </c>
      <c r="H25">
        <f>IF($B$2="Todos",SUMIFS(Base!$H$3:$H$5001,Base!$A$3:$A$5001,$B25),SUMIFS(Base!$H$3:$H$5001,Base!$A$3:$A$5001,$B25,Base!$B$3:$B$5001,$B$2))</f>
        <v>98</v>
      </c>
      <c r="I25">
        <f>IF($B$2="Todos",SUMIFS(Base!$I$3:$I$5001,Base!$A$3:$A$5001,$B25),SUMIFS(Base!$I$3:$I$5001,Base!$A$3:$A$5001,$B25,Base!$B$3:$B$5001,$B$2))</f>
        <v>797</v>
      </c>
      <c r="J25">
        <f>IF($B$2="Todos",SUMIFS(Base!$J$3:$J$5001,Base!$A$3:$A$5001,$B25),SUMIFS(Base!$J$3:$J$5001,Base!$A$3:$A$5001,$B25,Base!$B$3:$B$5001,$B$2))</f>
        <v>525</v>
      </c>
      <c r="K25">
        <f>IF($B$2="Todos",SUMIFS(Base!$K$3:$K$5001,Base!$A$3:$A$5001,$B25),SUMIFS(Base!$K$3:$K$5001,Base!$A$3:$A$5001,$B25,Base!$B$3:$B$5001,$B$2))</f>
        <v>180</v>
      </c>
      <c r="L25">
        <f>IF($B$2="Todos",SUMIFS(Base!$L$3:$L$5001,Base!$A$3:$A$5001,$B25),SUMIFS(Base!$L$3:$L$5001,Base!$A$3:$A$5001,$B25,Base!$B$3:$B$5001,$B$2))</f>
        <v>67</v>
      </c>
      <c r="M25">
        <f>IF($B$2="Todos",SUMIFS(Base!$M$3:$M$5001,Base!$A$3:$A$5001,$B25),SUMIFS(Base!$M$3:$M$5001,Base!$A$3:$A$5001,$B25,Base!$B$3:$B$5001,$B$2))</f>
        <v>716</v>
      </c>
      <c r="N25">
        <f>IF($B$2="Todos",SUMIFS(Base!$N$3:$N$5001,Base!$A$3:$A$5001,$B25),SUMIFS(Base!$N$3:$N$5001,Base!$A$3:$A$5001,$B25,Base!$B$3:$B$5001,$B$2))</f>
        <v>213.59</v>
      </c>
      <c r="O25">
        <f>IF($B$2="Todos",SUMIFS(Base!$O$3:$O$5001,Base!$A$3:$A$5001,$B25),SUMIFS(Base!$O$3:$O$5001,Base!$A$3:$A$5001,$B25,Base!$B$3:$B$5001,$B$2))</f>
        <v>1381</v>
      </c>
      <c r="P25">
        <f>IF($B$2="Todos",SUMIFS(Base!$P$3:$P$5001,Base!$A$3:$A$5001,$B25),SUMIFS(Base!$P$3:$P$5001,Base!$A$3:$A$5001,$B25,Base!$B$3:$B$5001,$B$2))</f>
        <v>108</v>
      </c>
      <c r="Q25">
        <f>IF($B$2="Todos",SUMIFS(Base!$Q$3:$Q$5001,Base!$A$3:$A$5001,$B25),SUMIFS(Base!$Q$3:$Q$5001,Base!$A$3:$A$5001,$B25,Base!$B$3:$B$5001,$B$2))</f>
        <v>912</v>
      </c>
      <c r="R25">
        <f>IF($B$2="Todos",SUMIFS(Base!$R$3:$R$5001,Base!$A$3:$A$5001,$B25),SUMIFS(Base!$R$3:$R$5001,Base!$A$3:$A$5001,$B25,Base!$B$3:$B$5001,$B$2))</f>
        <v>3424</v>
      </c>
      <c r="S25">
        <f>IF($B$2="Todos",SUMIFS(Base!$S$3:$S$5001,Base!$A$3:$A$5001,$B25),SUMIFS(Base!$S$3:$S$5001,Base!$A$3:$A$5001,$B25,Base!$B$3:$B$5001,$B$2))</f>
        <v>518</v>
      </c>
      <c r="T25">
        <f>IF($B$2="Todos",SUMIFS(Base!$T$3:$T$5001,Base!$A$3:$A$5001,$B25),SUMIFS(Base!$T$3:$T$5001,Base!$A$3:$A$5001,$B25,Base!$B$3:$B$5001,$B$2))</f>
        <v>151</v>
      </c>
      <c r="U25">
        <f>IF($B$2="Todos",SUMIFS(Base!$U$3:$U$5001,Base!$A$3:$A$5001,$B25),SUMIFS(Base!$U$3:$U$5001,Base!$A$3:$A$5001,$B25,Base!$B$3:$B$5001,$B$2))</f>
        <v>0</v>
      </c>
      <c r="V25">
        <f>IF($B$2="Todos",SUMIFS(Base!$V$3:$V$5001,Base!$A$3:$A$5001,$B25),SUMIFS(Base!$V$3:$V$5001,Base!$A$3:$A$5001,$B25,Base!$B$3:$B$5001,$B$2))</f>
        <v>0</v>
      </c>
      <c r="W25">
        <f>IF($B$2="Todos",IF(COUNT($C$141:$K$141)=0,"",SUM($C$141:$K$141)),IFERROR(INDEX($C$141:$K$141,MATCH($B$2,$C$127:$K$127,0)),""))</f>
        <v>57</v>
      </c>
      <c r="X25">
        <f>IF(Y25="","",IF($B$2="Todos",IF(ISNUMBER($B$4),$B$4,IF(COUNT($C$176:$K$176)=0,"",SUM($C$176:$K$176))),IFERROR(INDEX($C$176:$K$176,MATCH($B$2,$C$162:$K$162,0)),"")))</f>
        <v>13700</v>
      </c>
      <c r="Y25">
        <f>IF($B$2="Todos",IF(COUNT($C$211:$K$211)=0,"",SUM($C$211:$K$211)),IFERROR(INDEX($C$211:$K$211,MATCH($B$2,$C$197:$K$197,0)),""))</f>
        <v>11247</v>
      </c>
      <c r="Z25">
        <f>IF(AND(ISNUMBER(Y25),ISNUMBER(X25)),IF(X25&gt;0,Y25/X25,""),"")</f>
        <v>0.820948905109489</v>
      </c>
      <c r="AA25">
        <f>IF($B$2="Todos",IF(COUNT($C$246:$K$246)=0,"",SUM($C$246:$K$246)),IFERROR(INDEX($C$246:$K$246,MATCH($B$2,$C$232:$K$232,0)),""))</f>
        <v>80</v>
      </c>
      <c r="AB25">
        <f>IF($B$2="Todos",SUMIFS(Base!$AA$3:$AA$5001,Base!$A$3:$A$5001,$B25),SUMIFS(Base!$AA$3:$AA$5001,Base!$A$3:$A$5001,$B25,Base!$B$3:$B$5001,$B$2))</f>
        <v>1</v>
      </c>
      <c r="AC25">
        <f>IF($B$2="Todos",SUMIFS(Base!$AB$3:$AB$5001,Base!$A$3:$A$5001,$B25),SUMIFS(Base!$AB$3:$AB$5001,Base!$A$3:$A$5001,$B25,Base!$B$3:$B$5001,$B$2))</f>
        <v>1</v>
      </c>
      <c r="AD25">
        <f>IF($B$2="Todos",SUMIFS(Base!$AC$3:$AC$5001,Base!$A$3:$A$5001,$B25),SUMIFS(Base!$AC$3:$AC$5001,Base!$A$3:$A$5001,$B25,Base!$B$3:$B$5001,$B$2))</f>
        <v>1</v>
      </c>
      <c r="AE25">
        <f>IF($B$2="Todos",SUMIFS(Base!$AD$3:$AD$5001,Base!$A$3:$A$5001,$B25),SUMIFS(Base!$AD$3:$AD$5001,Base!$A$3:$A$5001,$B25,Base!$B$3:$B$5001,$B$2))</f>
        <v>0</v>
      </c>
      <c r="AG25">
        <f>IFERROR(N(INDEX($C25:$AE25,MATCH($B$3,$C$11:$AE$11,0))),0)</f>
        <v>589</v>
      </c>
      <c r="AH25">
        <f>IFERROR(N(INDEX($C25:$AE25,MATCH($C$3,$C$11:$AE$11,0))),0)</f>
        <v>716</v>
      </c>
      <c r="AI25">
        <f>$B$5</f>
        <v>0.7</v>
      </c>
      <c r="AJ25">
        <f>$B$6</f>
        <v>0.9</v>
      </c>
      <c r="AN25" t="inlineStr">
        <is>
          <t xml:space="preserve">FEVEREIRO · 2027</t>
        </is>
      </c>
    </row>
    <row r="26">
      <c r="A26">
        <v>15</v>
      </c>
      <c r="B26" s="152">
        <f>IF(ISNUMBER($A26),$C$7+$A26-1,"")</f>
        <v>46280</v>
      </c>
      <c r="C26">
        <f>IF($B$2="Todos",SUMIFS(Base!$C$3:$C$5001,Base!$A$3:$A$5001,$B26),SUMIFS(Base!$C$3:$C$5001,Base!$A$3:$A$5001,$B26,Base!$B$3:$B$5001,$B$2))</f>
        <v>36</v>
      </c>
      <c r="D26">
        <f>IF($B$2="Todos",SUMIFS(Base!$D$3:$D$5001,Base!$A$3:$A$5001,$B26),SUMIFS(Base!$D$3:$D$5001,Base!$A$3:$A$5001,$B26,Base!$B$3:$B$5001,$B$2))</f>
        <v>641</v>
      </c>
      <c r="E26">
        <f>IF($B$2="Todos",SUMIFS(Base!$E$3:$E$5001,Base!$A$3:$A$5001,$B26),SUMIFS(Base!$E$3:$E$5001,Base!$A$3:$A$5001,$B26,Base!$B$3:$B$5001,$B$2))</f>
        <v>181.1</v>
      </c>
      <c r="F26">
        <f>IF($B$2="Todos",SUMIFS(Base!$F$3:$F$5001,Base!$A$3:$A$5001,$B26),SUMIFS(Base!$F$3:$F$5001,Base!$A$3:$A$5001,$B26,Base!$B$3:$B$5001,$B$2))</f>
        <v>4347</v>
      </c>
      <c r="G26">
        <f>IF($B$2="Todos",SUMIFS(Base!$G$3:$G$5001,Base!$A$3:$A$5001,$B26),SUMIFS(Base!$G$3:$G$5001,Base!$A$3:$A$5001,$B26,Base!$B$3:$B$5001,$B$2))</f>
        <v>3477</v>
      </c>
      <c r="H26">
        <f>IF($B$2="Todos",SUMIFS(Base!$H$3:$H$5001,Base!$A$3:$A$5001,$B26),SUMIFS(Base!$H$3:$H$5001,Base!$A$3:$A$5001,$B26,Base!$B$3:$B$5001,$B$2))</f>
        <v>285</v>
      </c>
      <c r="I26">
        <f>IF($B$2="Todos",SUMIFS(Base!$I$3:$I$5001,Base!$A$3:$A$5001,$B26),SUMIFS(Base!$I$3:$I$5001,Base!$A$3:$A$5001,$B26,Base!$B$3:$B$5001,$B$2))</f>
        <v>702</v>
      </c>
      <c r="J26">
        <f>IF($B$2="Todos",SUMIFS(Base!$J$3:$J$5001,Base!$A$3:$A$5001,$B26),SUMIFS(Base!$J$3:$J$5001,Base!$A$3:$A$5001,$B26,Base!$B$3:$B$5001,$B$2))</f>
        <v>64</v>
      </c>
      <c r="K26">
        <f>IF($B$2="Todos",SUMIFS(Base!$K$3:$K$5001,Base!$A$3:$A$5001,$B26),SUMIFS(Base!$K$3:$K$5001,Base!$A$3:$A$5001,$B26,Base!$B$3:$B$5001,$B$2))</f>
        <v>164</v>
      </c>
      <c r="L26">
        <f>IF($B$2="Todos",SUMIFS(Base!$L$3:$L$5001,Base!$A$3:$A$5001,$B26),SUMIFS(Base!$L$3:$L$5001,Base!$A$3:$A$5001,$B26,Base!$B$3:$B$5001,$B$2))</f>
        <v>53</v>
      </c>
      <c r="M26">
        <f>IF($B$2="Todos",SUMIFS(Base!$M$3:$M$5001,Base!$A$3:$A$5001,$B26),SUMIFS(Base!$M$3:$M$5001,Base!$A$3:$A$5001,$B26,Base!$B$3:$B$5001,$B$2))</f>
        <v>601</v>
      </c>
      <c r="N26">
        <f>IF($B$2="Todos",SUMIFS(Base!$N$3:$N$5001,Base!$A$3:$A$5001,$B26),SUMIFS(Base!$N$3:$N$5001,Base!$A$3:$A$5001,$B26,Base!$B$3:$B$5001,$B$2))</f>
        <v>173.86</v>
      </c>
      <c r="O26">
        <f>IF($B$2="Todos",SUMIFS(Base!$O$3:$O$5001,Base!$A$3:$A$5001,$B26),SUMIFS(Base!$O$3:$O$5001,Base!$A$3:$A$5001,$B26,Base!$B$3:$B$5001,$B$2))</f>
        <v>1079</v>
      </c>
      <c r="P26">
        <f>IF($B$2="Todos",SUMIFS(Base!$P$3:$P$5001,Base!$A$3:$A$5001,$B26),SUMIFS(Base!$P$3:$P$5001,Base!$A$3:$A$5001,$B26,Base!$B$3:$B$5001,$B$2))</f>
        <v>492</v>
      </c>
      <c r="Q26">
        <f>IF($B$2="Todos",SUMIFS(Base!$Q$3:$Q$5001,Base!$A$3:$A$5001,$B26),SUMIFS(Base!$Q$3:$Q$5001,Base!$A$3:$A$5001,$B26,Base!$B$3:$B$5001,$B$2))</f>
        <v>265</v>
      </c>
      <c r="R26">
        <f>IF($B$2="Todos",SUMIFS(Base!$R$3:$R$5001,Base!$A$3:$A$5001,$B26),SUMIFS(Base!$R$3:$R$5001,Base!$A$3:$A$5001,$B26,Base!$B$3:$B$5001,$B$2))</f>
        <v>3650</v>
      </c>
      <c r="S26">
        <f>IF($B$2="Todos",SUMIFS(Base!$S$3:$S$5001,Base!$A$3:$A$5001,$B26),SUMIFS(Base!$S$3:$S$5001,Base!$A$3:$A$5001,$B26,Base!$B$3:$B$5001,$B$2))</f>
        <v>506</v>
      </c>
      <c r="T26">
        <f>IF($B$2="Todos",SUMIFS(Base!$T$3:$T$5001,Base!$A$3:$A$5001,$B26),SUMIFS(Base!$T$3:$T$5001,Base!$A$3:$A$5001,$B26,Base!$B$3:$B$5001,$B$2))</f>
        <v>157</v>
      </c>
      <c r="U26">
        <f>IF($B$2="Todos",SUMIFS(Base!$U$3:$U$5001,Base!$A$3:$A$5001,$B26),SUMIFS(Base!$U$3:$U$5001,Base!$A$3:$A$5001,$B26,Base!$B$3:$B$5001,$B$2))</f>
        <v>1</v>
      </c>
      <c r="V26">
        <f>IF($B$2="Todos",SUMIFS(Base!$V$3:$V$5001,Base!$A$3:$A$5001,$B26),SUMIFS(Base!$V$3:$V$5001,Base!$A$3:$A$5001,$B26,Base!$B$3:$B$5001,$B$2))</f>
        <v>1</v>
      </c>
      <c r="W26">
        <f>IF($B$2="Todos",IF(COUNT($C$142:$K$142)=0,"",SUM($C$142:$K$142)),IFERROR(INDEX($C$142:$K$142,MATCH($B$2,$C$127:$K$127,0)),""))</f>
        <v>70</v>
      </c>
      <c r="X26">
        <f>IF(Y26="","",IF($B$2="Todos",IF(ISNUMBER($B$4),$B$4,IF(COUNT($C$177:$K$177)=0,"",SUM($C$177:$K$177))),IFERROR(INDEX($C$177:$K$177,MATCH($B$2,$C$162:$K$162,0)),"")))</f>
        <v>13700</v>
      </c>
      <c r="Y26">
        <f>IF($B$2="Todos",IF(COUNT($C$212:$K$212)=0,"",SUM($C$212:$K$212)),IFERROR(INDEX($C$212:$K$212,MATCH($B$2,$C$197:$K$197,0)),""))</f>
        <v>9927</v>
      </c>
      <c r="Z26">
        <f>IF(AND(ISNUMBER(Y26),ISNUMBER(X26)),IF(X26&gt;0,Y26/X26,""),"")</f>
        <v>0.724598540145985</v>
      </c>
      <c r="AA26">
        <f>IF($B$2="Todos",IF(COUNT($C$247:$K$247)=0,"",SUM($C$247:$K$247)),IFERROR(INDEX($C$247:$K$247,MATCH($B$2,$C$232:$K$232,0)),""))</f>
        <v>64</v>
      </c>
      <c r="AB26">
        <f>IF($B$2="Todos",SUMIFS(Base!$AA$3:$AA$5001,Base!$A$3:$A$5001,$B26),SUMIFS(Base!$AA$3:$AA$5001,Base!$A$3:$A$5001,$B26,Base!$B$3:$B$5001,$B$2))</f>
        <v>1</v>
      </c>
      <c r="AC26">
        <f>IF($B$2="Todos",SUMIFS(Base!$AB$3:$AB$5001,Base!$A$3:$A$5001,$B26),SUMIFS(Base!$AB$3:$AB$5001,Base!$A$3:$A$5001,$B26,Base!$B$3:$B$5001,$B$2))</f>
        <v>1</v>
      </c>
      <c r="AD26">
        <f>IF($B$2="Todos",SUMIFS(Base!$AC$3:$AC$5001,Base!$A$3:$A$5001,$B26),SUMIFS(Base!$AC$3:$AC$5001,Base!$A$3:$A$5001,$B26,Base!$B$3:$B$5001,$B$2))</f>
        <v>0</v>
      </c>
      <c r="AE26">
        <f>IF($B$2="Todos",SUMIFS(Base!$AD$3:$AD$5001,Base!$A$3:$A$5001,$B26),SUMIFS(Base!$AD$3:$AD$5001,Base!$A$3:$A$5001,$B26,Base!$B$3:$B$5001,$B$2))</f>
        <v>0</v>
      </c>
      <c r="AG26">
        <f>IFERROR(N(INDEX($C26:$AE26,MATCH($B$3,$C$11:$AE$11,0))),0)</f>
        <v>641</v>
      </c>
      <c r="AH26">
        <f>IFERROR(N(INDEX($C26:$AE26,MATCH($C$3,$C$11:$AE$11,0))),0)</f>
        <v>601</v>
      </c>
      <c r="AI26">
        <f>$B$5</f>
        <v>0.7</v>
      </c>
      <c r="AJ26">
        <f>$B$6</f>
        <v>0.9</v>
      </c>
      <c r="AN26" t="inlineStr">
        <is>
          <t xml:space="preserve">MARÇO · 2027</t>
        </is>
      </c>
    </row>
    <row r="27">
      <c r="A27">
        <v>16</v>
      </c>
      <c r="B27" s="152">
        <f>IF(ISNUMBER($A27),$C$7+$A27-1,"")</f>
        <v>46281</v>
      </c>
      <c r="C27">
        <f>IF($B$2="Todos",SUMIFS(Base!$C$3:$C$5001,Base!$A$3:$A$5001,$B27),SUMIFS(Base!$C$3:$C$5001,Base!$A$3:$A$5001,$B27,Base!$B$3:$B$5001,$B$2))</f>
        <v>50</v>
      </c>
      <c r="D27">
        <f>IF($B$2="Todos",SUMIFS(Base!$D$3:$D$5001,Base!$A$3:$A$5001,$B27),SUMIFS(Base!$D$3:$D$5001,Base!$A$3:$A$5001,$B27,Base!$B$3:$B$5001,$B$2))</f>
        <v>509</v>
      </c>
      <c r="E27">
        <f>IF($B$2="Todos",SUMIFS(Base!$E$3:$E$5001,Base!$A$3:$A$5001,$B27),SUMIFS(Base!$E$3:$E$5001,Base!$A$3:$A$5001,$B27,Base!$B$3:$B$5001,$B$2))</f>
        <v>111.31</v>
      </c>
      <c r="F27">
        <f>IF($B$2="Todos",SUMIFS(Base!$F$3:$F$5001,Base!$A$3:$A$5001,$B27),SUMIFS(Base!$F$3:$F$5001,Base!$A$3:$A$5001,$B27,Base!$B$3:$B$5001,$B$2))</f>
        <v>2897</v>
      </c>
      <c r="G27">
        <f>IF($B$2="Todos",SUMIFS(Base!$G$3:$G$5001,Base!$A$3:$A$5001,$B27),SUMIFS(Base!$G$3:$G$5001,Base!$A$3:$A$5001,$B27,Base!$B$3:$B$5001,$B$2))</f>
        <v>4287</v>
      </c>
      <c r="H27">
        <f>IF($B$2="Todos",SUMIFS(Base!$H$3:$H$5001,Base!$A$3:$A$5001,$B27),SUMIFS(Base!$H$3:$H$5001,Base!$A$3:$A$5001,$B27,Base!$B$3:$B$5001,$B$2))</f>
        <v>135</v>
      </c>
      <c r="I27">
        <f>IF($B$2="Todos",SUMIFS(Base!$I$3:$I$5001,Base!$A$3:$A$5001,$B27),SUMIFS(Base!$I$3:$I$5001,Base!$A$3:$A$5001,$B27,Base!$B$3:$B$5001,$B$2))</f>
        <v>420</v>
      </c>
      <c r="J27">
        <f>IF($B$2="Todos",SUMIFS(Base!$J$3:$J$5001,Base!$A$3:$A$5001,$B27),SUMIFS(Base!$J$3:$J$5001,Base!$A$3:$A$5001,$B27,Base!$B$3:$B$5001,$B$2))</f>
        <v>227</v>
      </c>
      <c r="K27">
        <f>IF($B$2="Todos",SUMIFS(Base!$K$3:$K$5001,Base!$A$3:$A$5001,$B27),SUMIFS(Base!$K$3:$K$5001,Base!$A$3:$A$5001,$B27,Base!$B$3:$B$5001,$B$2))</f>
        <v>97</v>
      </c>
      <c r="L27">
        <f>IF($B$2="Todos",SUMIFS(Base!$L$3:$L$5001,Base!$A$3:$A$5001,$B27),SUMIFS(Base!$L$3:$L$5001,Base!$A$3:$A$5001,$B27,Base!$B$3:$B$5001,$B$2))</f>
        <v>59</v>
      </c>
      <c r="M27">
        <f>IF($B$2="Todos",SUMIFS(Base!$M$3:$M$5001,Base!$A$3:$A$5001,$B27),SUMIFS(Base!$M$3:$M$5001,Base!$A$3:$A$5001,$B27,Base!$B$3:$B$5001,$B$2))</f>
        <v>703</v>
      </c>
      <c r="N27">
        <f>IF($B$2="Todos",SUMIFS(Base!$N$3:$N$5001,Base!$A$3:$A$5001,$B27),SUMIFS(Base!$N$3:$N$5001,Base!$A$3:$A$5001,$B27,Base!$B$3:$B$5001,$B$2))</f>
        <v>137.72</v>
      </c>
      <c r="O27">
        <f>IF($B$2="Todos",SUMIFS(Base!$O$3:$O$5001,Base!$A$3:$A$5001,$B27),SUMIFS(Base!$O$3:$O$5001,Base!$A$3:$A$5001,$B27,Base!$B$3:$B$5001,$B$2))</f>
        <v>1920</v>
      </c>
      <c r="P27">
        <f>IF($B$2="Todos",SUMIFS(Base!$P$3:$P$5001,Base!$A$3:$A$5001,$B27),SUMIFS(Base!$P$3:$P$5001,Base!$A$3:$A$5001,$B27,Base!$B$3:$B$5001,$B$2))</f>
        <v>136</v>
      </c>
      <c r="Q27">
        <f>IF($B$2="Todos",SUMIFS(Base!$Q$3:$Q$5001,Base!$A$3:$A$5001,$B27),SUMIFS(Base!$Q$3:$Q$5001,Base!$A$3:$A$5001,$B27,Base!$B$3:$B$5001,$B$2))</f>
        <v>602</v>
      </c>
      <c r="R27">
        <f>IF($B$2="Todos",SUMIFS(Base!$R$3:$R$5001,Base!$A$3:$A$5001,$B27),SUMIFS(Base!$R$3:$R$5001,Base!$A$3:$A$5001,$B27,Base!$B$3:$B$5001,$B$2))</f>
        <v>2667</v>
      </c>
      <c r="S27">
        <f>IF($B$2="Todos",SUMIFS(Base!$S$3:$S$5001,Base!$A$3:$A$5001,$B27),SUMIFS(Base!$S$3:$S$5001,Base!$A$3:$A$5001,$B27,Base!$B$3:$B$5001,$B$2))</f>
        <v>241</v>
      </c>
      <c r="T27">
        <f>IF($B$2="Todos",SUMIFS(Base!$T$3:$T$5001,Base!$A$3:$A$5001,$B27),SUMIFS(Base!$T$3:$T$5001,Base!$A$3:$A$5001,$B27,Base!$B$3:$B$5001,$B$2))</f>
        <v>108</v>
      </c>
      <c r="U27">
        <f>IF($B$2="Todos",SUMIFS(Base!$U$3:$U$5001,Base!$A$3:$A$5001,$B27),SUMIFS(Base!$U$3:$U$5001,Base!$A$3:$A$5001,$B27,Base!$B$3:$B$5001,$B$2))</f>
        <v>0</v>
      </c>
      <c r="V27">
        <f>IF($B$2="Todos",SUMIFS(Base!$V$3:$V$5001,Base!$A$3:$A$5001,$B27),SUMIFS(Base!$V$3:$V$5001,Base!$A$3:$A$5001,$B27,Base!$B$3:$B$5001,$B$2))</f>
        <v>1</v>
      </c>
      <c r="W27">
        <f>IF($B$2="Todos",IF(COUNT($C$143:$K$143)=0,"",SUM($C$143:$K$143)),IFERROR(INDEX($C$143:$K$143,MATCH($B$2,$C$127:$K$127,0)),""))</f>
        <v>83</v>
      </c>
      <c r="X27">
        <f>IF(Y27="","",IF($B$2="Todos",IF(ISNUMBER($B$4),$B$4,IF(COUNT($C$178:$K$178)=0,"",SUM($C$178:$K$178))),IFERROR(INDEX($C$178:$K$178,MATCH($B$2,$C$162:$K$162,0)),"")))</f>
        <v>13700</v>
      </c>
      <c r="Y27">
        <f>IF($B$2="Todos",IF(COUNT($C$213:$K$213)=0,"",SUM($C$213:$K$213)),IFERROR(INDEX($C$213:$K$213,MATCH($B$2,$C$197:$K$197,0)),""))</f>
        <v>8858</v>
      </c>
      <c r="Z27">
        <f>IF(AND(ISNUMBER(Y27),ISNUMBER(X27)),IF(X27&gt;0,Y27/X27,""),"")</f>
        <v>0.646569343065694</v>
      </c>
      <c r="AA27">
        <f>IF($B$2="Todos",IF(COUNT($C$248:$K$248)=0,"",SUM($C$248:$K$248)),IFERROR(INDEX($C$248:$K$248,MATCH($B$2,$C$232:$K$232,0)),""))</f>
        <v>63</v>
      </c>
      <c r="AB27">
        <f>IF($B$2="Todos",SUMIFS(Base!$AA$3:$AA$5001,Base!$A$3:$A$5001,$B27),SUMIFS(Base!$AA$3:$AA$5001,Base!$A$3:$A$5001,$B27,Base!$B$3:$B$5001,$B$2))</f>
        <v>4</v>
      </c>
      <c r="AC27">
        <f>IF($B$2="Todos",SUMIFS(Base!$AB$3:$AB$5001,Base!$A$3:$A$5001,$B27),SUMIFS(Base!$AB$3:$AB$5001,Base!$A$3:$A$5001,$B27,Base!$B$3:$B$5001,$B$2))</f>
        <v>0</v>
      </c>
      <c r="AD27">
        <f>IF($B$2="Todos",SUMIFS(Base!$AC$3:$AC$5001,Base!$A$3:$A$5001,$B27),SUMIFS(Base!$AC$3:$AC$5001,Base!$A$3:$A$5001,$B27,Base!$B$3:$B$5001,$B$2))</f>
        <v>1</v>
      </c>
      <c r="AE27">
        <f>IF($B$2="Todos",SUMIFS(Base!$AD$3:$AD$5001,Base!$A$3:$A$5001,$B27),SUMIFS(Base!$AD$3:$AD$5001,Base!$A$3:$A$5001,$B27,Base!$B$3:$B$5001,$B$2))</f>
        <v>0</v>
      </c>
      <c r="AG27">
        <f>IFERROR(N(INDEX($C27:$AE27,MATCH($B$3,$C$11:$AE$11,0))),0)</f>
        <v>509</v>
      </c>
      <c r="AH27">
        <f>IFERROR(N(INDEX($C27:$AE27,MATCH($C$3,$C$11:$AE$11,0))),0)</f>
        <v>703</v>
      </c>
      <c r="AI27">
        <f>$B$5</f>
        <v>0.7</v>
      </c>
      <c r="AJ27">
        <f>$B$6</f>
        <v>0.9</v>
      </c>
      <c r="AN27" t="inlineStr">
        <is>
          <t xml:space="preserve">ABRIL · 2027</t>
        </is>
      </c>
    </row>
    <row r="28">
      <c r="A28">
        <v>17</v>
      </c>
      <c r="B28" s="152">
        <f>IF(ISNUMBER($A28),$C$7+$A28-1,"")</f>
        <v>46282</v>
      </c>
      <c r="C28">
        <f>IF($B$2="Todos",SUMIFS(Base!$C$3:$C$5001,Base!$A$3:$A$5001,$B28),SUMIFS(Base!$C$3:$C$5001,Base!$A$3:$A$5001,$B28,Base!$B$3:$B$5001,$B$2))</f>
        <v>41</v>
      </c>
      <c r="D28">
        <f>IF($B$2="Todos",SUMIFS(Base!$D$3:$D$5001,Base!$A$3:$A$5001,$B28),SUMIFS(Base!$D$3:$D$5001,Base!$A$3:$A$5001,$B28,Base!$B$3:$B$5001,$B$2))</f>
        <v>413</v>
      </c>
      <c r="E28">
        <f>IF($B$2="Todos",SUMIFS(Base!$E$3:$E$5001,Base!$A$3:$A$5001,$B28),SUMIFS(Base!$E$3:$E$5001,Base!$A$3:$A$5001,$B28,Base!$B$3:$B$5001,$B$2))</f>
        <v>181.15</v>
      </c>
      <c r="F28">
        <f>IF($B$2="Todos",SUMIFS(Base!$F$3:$F$5001,Base!$A$3:$A$5001,$B28),SUMIFS(Base!$F$3:$F$5001,Base!$A$3:$A$5001,$B28,Base!$B$3:$B$5001,$B$2))</f>
        <v>1966</v>
      </c>
      <c r="G28">
        <f>IF($B$2="Todos",SUMIFS(Base!$G$3:$G$5001,Base!$A$3:$A$5001,$B28),SUMIFS(Base!$G$3:$G$5001,Base!$A$3:$A$5001,$B28,Base!$B$3:$B$5001,$B$2))</f>
        <v>5455</v>
      </c>
      <c r="H28">
        <f>IF($B$2="Todos",SUMIFS(Base!$H$3:$H$5001,Base!$A$3:$A$5001,$B28),SUMIFS(Base!$H$3:$H$5001,Base!$A$3:$A$5001,$B28,Base!$B$3:$B$5001,$B$2))</f>
        <v>348</v>
      </c>
      <c r="I28">
        <f>IF($B$2="Todos",SUMIFS(Base!$I$3:$I$5001,Base!$A$3:$A$5001,$B28),SUMIFS(Base!$I$3:$I$5001,Base!$A$3:$A$5001,$B28,Base!$B$3:$B$5001,$B$2))</f>
        <v>794</v>
      </c>
      <c r="J28">
        <f>IF($B$2="Todos",SUMIFS(Base!$J$3:$J$5001,Base!$A$3:$A$5001,$B28),SUMIFS(Base!$J$3:$J$5001,Base!$A$3:$A$5001,$B28,Base!$B$3:$B$5001,$B$2))</f>
        <v>163</v>
      </c>
      <c r="K28">
        <f>IF($B$2="Todos",SUMIFS(Base!$K$3:$K$5001,Base!$A$3:$A$5001,$B28),SUMIFS(Base!$K$3:$K$5001,Base!$A$3:$A$5001,$B28,Base!$B$3:$B$5001,$B$2))</f>
        <v>133</v>
      </c>
      <c r="L28">
        <f>IF($B$2="Todos",SUMIFS(Base!$L$3:$L$5001,Base!$A$3:$A$5001,$B28),SUMIFS(Base!$L$3:$L$5001,Base!$A$3:$A$5001,$B28,Base!$B$3:$B$5001,$B$2))</f>
        <v>58</v>
      </c>
      <c r="M28">
        <f>IF($B$2="Todos",SUMIFS(Base!$M$3:$M$5001,Base!$A$3:$A$5001,$B28),SUMIFS(Base!$M$3:$M$5001,Base!$A$3:$A$5001,$B28,Base!$B$3:$B$5001,$B$2))</f>
        <v>727</v>
      </c>
      <c r="N28">
        <f>IF($B$2="Todos",SUMIFS(Base!$N$3:$N$5001,Base!$A$3:$A$5001,$B28),SUMIFS(Base!$N$3:$N$5001,Base!$A$3:$A$5001,$B28,Base!$B$3:$B$5001,$B$2))</f>
        <v>196.08</v>
      </c>
      <c r="O28">
        <f>IF($B$2="Todos",SUMIFS(Base!$O$3:$O$5001,Base!$A$3:$A$5001,$B28),SUMIFS(Base!$O$3:$O$5001,Base!$A$3:$A$5001,$B28,Base!$B$3:$B$5001,$B$2))</f>
        <v>1243</v>
      </c>
      <c r="P28">
        <f>IF($B$2="Todos",SUMIFS(Base!$P$3:$P$5001,Base!$A$3:$A$5001,$B28),SUMIFS(Base!$P$3:$P$5001,Base!$A$3:$A$5001,$B28,Base!$B$3:$B$5001,$B$2))</f>
        <v>618</v>
      </c>
      <c r="Q28">
        <f>IF($B$2="Todos",SUMIFS(Base!$Q$3:$Q$5001,Base!$A$3:$A$5001,$B28),SUMIFS(Base!$Q$3:$Q$5001,Base!$A$3:$A$5001,$B28,Base!$B$3:$B$5001,$B$2))</f>
        <v>592</v>
      </c>
      <c r="R28">
        <f>IF($B$2="Todos",SUMIFS(Base!$R$3:$R$5001,Base!$A$3:$A$5001,$B28),SUMIFS(Base!$R$3:$R$5001,Base!$A$3:$A$5001,$B28,Base!$B$3:$B$5001,$B$2))</f>
        <v>3855</v>
      </c>
      <c r="S28">
        <f>IF($B$2="Todos",SUMIFS(Base!$S$3:$S$5001,Base!$A$3:$A$5001,$B28),SUMIFS(Base!$S$3:$S$5001,Base!$A$3:$A$5001,$B28,Base!$B$3:$B$5001,$B$2))</f>
        <v>104</v>
      </c>
      <c r="T28">
        <f>IF($B$2="Todos",SUMIFS(Base!$T$3:$T$5001,Base!$A$3:$A$5001,$B28),SUMIFS(Base!$T$3:$T$5001,Base!$A$3:$A$5001,$B28,Base!$B$3:$B$5001,$B$2))</f>
        <v>145</v>
      </c>
      <c r="U28">
        <f>IF($B$2="Todos",SUMIFS(Base!$U$3:$U$5001,Base!$A$3:$A$5001,$B28),SUMIFS(Base!$U$3:$U$5001,Base!$A$3:$A$5001,$B28,Base!$B$3:$B$5001,$B$2))</f>
        <v>0</v>
      </c>
      <c r="V28">
        <f>IF($B$2="Todos",SUMIFS(Base!$V$3:$V$5001,Base!$A$3:$A$5001,$B28),SUMIFS(Base!$V$3:$V$5001,Base!$A$3:$A$5001,$B28,Base!$B$3:$B$5001,$B$2))</f>
        <v>1</v>
      </c>
      <c r="W28">
        <f>IF($B$2="Todos",IF(COUNT($C$144:$K$144)=0,"",SUM($C$144:$K$144)),IFERROR(INDEX($C$144:$K$144,MATCH($B$2,$C$127:$K$127,0)),""))</f>
        <v>79</v>
      </c>
      <c r="X28">
        <f>IF(Y28="","",IF($B$2="Todos",IF(ISNUMBER($B$4),$B$4,IF(COUNT($C$179:$K$179)=0,"",SUM($C$179:$K$179))),IFERROR(INDEX($C$179:$K$179,MATCH($B$2,$C$162:$K$162,0)),"")))</f>
        <v>13700</v>
      </c>
      <c r="Y28">
        <f>IF($B$2="Todos",IF(COUNT($C$214:$K$214)=0,"",SUM($C$214:$K$214)),IFERROR(INDEX($C$214:$K$214,MATCH($B$2,$C$197:$K$197,0)),""))</f>
        <v>10453</v>
      </c>
      <c r="Z28">
        <f>IF(AND(ISNUMBER(Y28),ISNUMBER(X28)),IF(X28&gt;0,Y28/X28,""),"")</f>
        <v>0.762992700729927</v>
      </c>
      <c r="AA28">
        <f>IF($B$2="Todos",IF(COUNT($C$249:$K$249)=0,"",SUM($C$249:$K$249)),IFERROR(INDEX($C$249:$K$249,MATCH($B$2,$C$232:$K$232,0)),""))</f>
        <v>64</v>
      </c>
      <c r="AB28">
        <f>IF($B$2="Todos",SUMIFS(Base!$AA$3:$AA$5001,Base!$A$3:$A$5001,$B28),SUMIFS(Base!$AA$3:$AA$5001,Base!$A$3:$A$5001,$B28,Base!$B$3:$B$5001,$B$2))</f>
        <v>2</v>
      </c>
      <c r="AC28">
        <f>IF($B$2="Todos",SUMIFS(Base!$AB$3:$AB$5001,Base!$A$3:$A$5001,$B28),SUMIFS(Base!$AB$3:$AB$5001,Base!$A$3:$A$5001,$B28,Base!$B$3:$B$5001,$B$2))</f>
        <v>0</v>
      </c>
      <c r="AD28">
        <f>IF($B$2="Todos",SUMIFS(Base!$AC$3:$AC$5001,Base!$A$3:$A$5001,$B28),SUMIFS(Base!$AC$3:$AC$5001,Base!$A$3:$A$5001,$B28,Base!$B$3:$B$5001,$B$2))</f>
        <v>1</v>
      </c>
      <c r="AE28">
        <f>IF($B$2="Todos",SUMIFS(Base!$AD$3:$AD$5001,Base!$A$3:$A$5001,$B28),SUMIFS(Base!$AD$3:$AD$5001,Base!$A$3:$A$5001,$B28,Base!$B$3:$B$5001,$B$2))</f>
        <v>0</v>
      </c>
      <c r="AG28">
        <f>IFERROR(N(INDEX($C28:$AE28,MATCH($B$3,$C$11:$AE$11,0))),0)</f>
        <v>413</v>
      </c>
      <c r="AH28">
        <f>IFERROR(N(INDEX($C28:$AE28,MATCH($C$3,$C$11:$AE$11,0))),0)</f>
        <v>727</v>
      </c>
      <c r="AI28">
        <f>$B$5</f>
        <v>0.7</v>
      </c>
      <c r="AJ28">
        <f>$B$6</f>
        <v>0.9</v>
      </c>
      <c r="AN28" t="inlineStr">
        <is>
          <t xml:space="preserve">MAIO · 2027</t>
        </is>
      </c>
    </row>
    <row r="29">
      <c r="A29">
        <v>18</v>
      </c>
      <c r="B29" s="152">
        <f>IF(ISNUMBER($A29),$C$7+$A29-1,"")</f>
        <v>46283</v>
      </c>
      <c r="C29">
        <f>IF($B$2="Todos",SUMIFS(Base!$C$3:$C$5001,Base!$A$3:$A$5001,$B29),SUMIFS(Base!$C$3:$C$5001,Base!$A$3:$A$5001,$B29,Base!$B$3:$B$5001,$B$2))</f>
        <v>46</v>
      </c>
      <c r="D29">
        <f>IF($B$2="Todos",SUMIFS(Base!$D$3:$D$5001,Base!$A$3:$A$5001,$B29),SUMIFS(Base!$D$3:$D$5001,Base!$A$3:$A$5001,$B29,Base!$B$3:$B$5001,$B$2))</f>
        <v>468</v>
      </c>
      <c r="E29">
        <f>IF($B$2="Todos",SUMIFS(Base!$E$3:$E$5001,Base!$A$3:$A$5001,$B29),SUMIFS(Base!$E$3:$E$5001,Base!$A$3:$A$5001,$B29,Base!$B$3:$B$5001,$B$2))</f>
        <v>114.74</v>
      </c>
      <c r="F29">
        <f>IF($B$2="Todos",SUMIFS(Base!$F$3:$F$5001,Base!$A$3:$A$5001,$B29),SUMIFS(Base!$F$3:$F$5001,Base!$A$3:$A$5001,$B29,Base!$B$3:$B$5001,$B$2))</f>
        <v>2729</v>
      </c>
      <c r="G29">
        <f>IF($B$2="Todos",SUMIFS(Base!$G$3:$G$5001,Base!$A$3:$A$5001,$B29),SUMIFS(Base!$G$3:$G$5001,Base!$A$3:$A$5001,$B29,Base!$B$3:$B$5001,$B$2))</f>
        <v>4614</v>
      </c>
      <c r="H29">
        <f>IF($B$2="Todos",SUMIFS(Base!$H$3:$H$5001,Base!$A$3:$A$5001,$B29),SUMIFS(Base!$H$3:$H$5001,Base!$A$3:$A$5001,$B29,Base!$B$3:$B$5001,$B$2))</f>
        <v>69</v>
      </c>
      <c r="I29">
        <f>IF($B$2="Todos",SUMIFS(Base!$I$3:$I$5001,Base!$A$3:$A$5001,$B29),SUMIFS(Base!$I$3:$I$5001,Base!$A$3:$A$5001,$B29,Base!$B$3:$B$5001,$B$2))</f>
        <v>275</v>
      </c>
      <c r="J29">
        <f>IF($B$2="Todos",SUMIFS(Base!$J$3:$J$5001,Base!$A$3:$A$5001,$B29),SUMIFS(Base!$J$3:$J$5001,Base!$A$3:$A$5001,$B29,Base!$B$3:$B$5001,$B$2))</f>
        <v>119</v>
      </c>
      <c r="K29">
        <f>IF($B$2="Todos",SUMIFS(Base!$K$3:$K$5001,Base!$A$3:$A$5001,$B29),SUMIFS(Base!$K$3:$K$5001,Base!$A$3:$A$5001,$B29,Base!$B$3:$B$5001,$B$2))</f>
        <v>170</v>
      </c>
      <c r="L29">
        <f>IF($B$2="Todos",SUMIFS(Base!$L$3:$L$5001,Base!$A$3:$A$5001,$B29),SUMIFS(Base!$L$3:$L$5001,Base!$A$3:$A$5001,$B29,Base!$B$3:$B$5001,$B$2))</f>
        <v>60</v>
      </c>
      <c r="M29">
        <f>IF($B$2="Todos",SUMIFS(Base!$M$3:$M$5001,Base!$A$3:$A$5001,$B29),SUMIFS(Base!$M$3:$M$5001,Base!$A$3:$A$5001,$B29,Base!$B$3:$B$5001,$B$2))</f>
        <v>783</v>
      </c>
      <c r="N29">
        <f>IF($B$2="Todos",SUMIFS(Base!$N$3:$N$5001,Base!$A$3:$A$5001,$B29),SUMIFS(Base!$N$3:$N$5001,Base!$A$3:$A$5001,$B29,Base!$B$3:$B$5001,$B$2))</f>
        <v>191.5</v>
      </c>
      <c r="O29">
        <f>IF($B$2="Todos",SUMIFS(Base!$O$3:$O$5001,Base!$A$3:$A$5001,$B29),SUMIFS(Base!$O$3:$O$5001,Base!$A$3:$A$5001,$B29,Base!$B$3:$B$5001,$B$2))</f>
        <v>2460</v>
      </c>
      <c r="P29">
        <f>IF($B$2="Todos",SUMIFS(Base!$P$3:$P$5001,Base!$A$3:$A$5001,$B29),SUMIFS(Base!$P$3:$P$5001,Base!$A$3:$A$5001,$B29,Base!$B$3:$B$5001,$B$2))</f>
        <v>217</v>
      </c>
      <c r="Q29">
        <f>IF($B$2="Todos",SUMIFS(Base!$Q$3:$Q$5001,Base!$A$3:$A$5001,$B29),SUMIFS(Base!$Q$3:$Q$5001,Base!$A$3:$A$5001,$B29,Base!$B$3:$B$5001,$B$2))</f>
        <v>866</v>
      </c>
      <c r="R29">
        <f>IF($B$2="Todos",SUMIFS(Base!$R$3:$R$5001,Base!$A$3:$A$5001,$B29),SUMIFS(Base!$R$3:$R$5001,Base!$A$3:$A$5001,$B29,Base!$B$3:$B$5001,$B$2))</f>
        <v>6567</v>
      </c>
      <c r="S29">
        <f>IF($B$2="Todos",SUMIFS(Base!$S$3:$S$5001,Base!$A$3:$A$5001,$B29),SUMIFS(Base!$S$3:$S$5001,Base!$A$3:$A$5001,$B29,Base!$B$3:$B$5001,$B$2))</f>
        <v>140</v>
      </c>
      <c r="T29">
        <f>IF($B$2="Todos",SUMIFS(Base!$T$3:$T$5001,Base!$A$3:$A$5001,$B29),SUMIFS(Base!$T$3:$T$5001,Base!$A$3:$A$5001,$B29,Base!$B$3:$B$5001,$B$2))</f>
        <v>123</v>
      </c>
      <c r="U29">
        <f>IF($B$2="Todos",SUMIFS(Base!$U$3:$U$5001,Base!$A$3:$A$5001,$B29),SUMIFS(Base!$U$3:$U$5001,Base!$A$3:$A$5001,$B29,Base!$B$3:$B$5001,$B$2))</f>
        <v>1</v>
      </c>
      <c r="V29">
        <f>IF($B$2="Todos",SUMIFS(Base!$V$3:$V$5001,Base!$A$3:$A$5001,$B29),SUMIFS(Base!$V$3:$V$5001,Base!$A$3:$A$5001,$B29,Base!$B$3:$B$5001,$B$2))</f>
        <v>0</v>
      </c>
      <c r="W29">
        <f>IF($B$2="Todos",IF(COUNT($C$145:$K$145)=0,"",SUM($C$145:$K$145)),IFERROR(INDEX($C$145:$K$145,MATCH($B$2,$C$127:$K$127,0)),""))</f>
        <v>73</v>
      </c>
      <c r="X29">
        <f>IF(Y29="","",IF($B$2="Todos",IF(ISNUMBER($B$4),$B$4,IF(COUNT($C$180:$K$180)=0,"",SUM($C$180:$K$180))),IFERROR(INDEX($C$180:$K$180,MATCH($B$2,$C$162:$K$162,0)),"")))</f>
        <v>13700</v>
      </c>
      <c r="Y29">
        <f>IF($B$2="Todos",IF(COUNT($C$215:$K$215)=0,"",SUM($C$215:$K$215)),IFERROR(INDEX($C$215:$K$215,MATCH($B$2,$C$197:$K$197,0)),""))</f>
        <v>10565</v>
      </c>
      <c r="Z29">
        <f>IF(AND(ISNUMBER(Y29),ISNUMBER(X29)),IF(X29&gt;0,Y29/X29,""),"")</f>
        <v>0.771167883211679</v>
      </c>
      <c r="AA29">
        <f>IF($B$2="Todos",IF(COUNT($C$250:$K$250)=0,"",SUM($C$250:$K$250)),IFERROR(INDEX($C$250:$K$250,MATCH($B$2,$C$232:$K$232,0)),""))</f>
        <v>76</v>
      </c>
      <c r="AB29">
        <f>IF($B$2="Todos",SUMIFS(Base!$AA$3:$AA$5001,Base!$A$3:$A$5001,$B29),SUMIFS(Base!$AA$3:$AA$5001,Base!$A$3:$A$5001,$B29,Base!$B$3:$B$5001,$B$2))</f>
        <v>0</v>
      </c>
      <c r="AC29">
        <f>IF($B$2="Todos",SUMIFS(Base!$AB$3:$AB$5001,Base!$A$3:$A$5001,$B29),SUMIFS(Base!$AB$3:$AB$5001,Base!$A$3:$A$5001,$B29,Base!$B$3:$B$5001,$B$2))</f>
        <v>0</v>
      </c>
      <c r="AD29">
        <f>IF($B$2="Todos",SUMIFS(Base!$AC$3:$AC$5001,Base!$A$3:$A$5001,$B29),SUMIFS(Base!$AC$3:$AC$5001,Base!$A$3:$A$5001,$B29,Base!$B$3:$B$5001,$B$2))</f>
        <v>0</v>
      </c>
      <c r="AE29">
        <f>IF($B$2="Todos",SUMIFS(Base!$AD$3:$AD$5001,Base!$A$3:$A$5001,$B29),SUMIFS(Base!$AD$3:$AD$5001,Base!$A$3:$A$5001,$B29,Base!$B$3:$B$5001,$B$2))</f>
        <v>0</v>
      </c>
      <c r="AG29">
        <f>IFERROR(N(INDEX($C29:$AE29,MATCH($B$3,$C$11:$AE$11,0))),0)</f>
        <v>468</v>
      </c>
      <c r="AH29">
        <f>IFERROR(N(INDEX($C29:$AE29,MATCH($C$3,$C$11:$AE$11,0))),0)</f>
        <v>783</v>
      </c>
      <c r="AI29">
        <f>$B$5</f>
        <v>0.7</v>
      </c>
      <c r="AJ29">
        <f>$B$6</f>
        <v>0.9</v>
      </c>
      <c r="AN29" t="inlineStr">
        <is>
          <t xml:space="preserve">JUNHO · 2027</t>
        </is>
      </c>
    </row>
    <row r="30">
      <c r="A30">
        <v>19</v>
      </c>
      <c r="B30" s="152">
        <f>IF(ISNUMBER($A30),$C$7+$A30-1,"")</f>
        <v>46284</v>
      </c>
      <c r="C30">
        <f>IF($B$2="Todos",SUMIFS(Base!$C$3:$C$5001,Base!$A$3:$A$5001,$B30),SUMIFS(Base!$C$3:$C$5001,Base!$A$3:$A$5001,$B30,Base!$B$3:$B$5001,$B$2))</f>
        <v>47</v>
      </c>
      <c r="D30">
        <f>IF($B$2="Todos",SUMIFS(Base!$D$3:$D$5001,Base!$A$3:$A$5001,$B30),SUMIFS(Base!$D$3:$D$5001,Base!$A$3:$A$5001,$B30,Base!$B$3:$B$5001,$B$2))</f>
        <v>499</v>
      </c>
      <c r="E30">
        <f>IF($B$2="Todos",SUMIFS(Base!$E$3:$E$5001,Base!$A$3:$A$5001,$B30),SUMIFS(Base!$E$3:$E$5001,Base!$A$3:$A$5001,$B30,Base!$B$3:$B$5001,$B$2))</f>
        <v>117.37</v>
      </c>
      <c r="F30">
        <f>IF($B$2="Todos",SUMIFS(Base!$F$3:$F$5001,Base!$A$3:$A$5001,$B30),SUMIFS(Base!$F$3:$F$5001,Base!$A$3:$A$5001,$B30,Base!$B$3:$B$5001,$B$2))</f>
        <v>1975</v>
      </c>
      <c r="G30">
        <f>IF($B$2="Todos",SUMIFS(Base!$G$3:$G$5001,Base!$A$3:$A$5001,$B30),SUMIFS(Base!$G$3:$G$5001,Base!$A$3:$A$5001,$B30,Base!$B$3:$B$5001,$B$2))</f>
        <v>1932</v>
      </c>
      <c r="H30">
        <f>IF($B$2="Todos",SUMIFS(Base!$H$3:$H$5001,Base!$A$3:$A$5001,$B30),SUMIFS(Base!$H$3:$H$5001,Base!$A$3:$A$5001,$B30,Base!$B$3:$B$5001,$B$2))</f>
        <v>208</v>
      </c>
      <c r="I30">
        <f>IF($B$2="Todos",SUMIFS(Base!$I$3:$I$5001,Base!$A$3:$A$5001,$B30),SUMIFS(Base!$I$3:$I$5001,Base!$A$3:$A$5001,$B30,Base!$B$3:$B$5001,$B$2))</f>
        <v>101</v>
      </c>
      <c r="J30">
        <f>IF($B$2="Todos",SUMIFS(Base!$J$3:$J$5001,Base!$A$3:$A$5001,$B30),SUMIFS(Base!$J$3:$J$5001,Base!$A$3:$A$5001,$B30,Base!$B$3:$B$5001,$B$2))</f>
        <v>405</v>
      </c>
      <c r="K30">
        <f>IF($B$2="Todos",SUMIFS(Base!$K$3:$K$5001,Base!$A$3:$A$5001,$B30),SUMIFS(Base!$K$3:$K$5001,Base!$A$3:$A$5001,$B30,Base!$B$3:$B$5001,$B$2))</f>
        <v>84</v>
      </c>
      <c r="L30">
        <f>IF($B$2="Todos",SUMIFS(Base!$L$3:$L$5001,Base!$A$3:$A$5001,$B30),SUMIFS(Base!$L$3:$L$5001,Base!$A$3:$A$5001,$B30,Base!$B$3:$B$5001,$B$2))</f>
        <v>63</v>
      </c>
      <c r="M30">
        <f>IF($B$2="Todos",SUMIFS(Base!$M$3:$M$5001,Base!$A$3:$A$5001,$B30),SUMIFS(Base!$M$3:$M$5001,Base!$A$3:$A$5001,$B30,Base!$B$3:$B$5001,$B$2))</f>
        <v>617</v>
      </c>
      <c r="N30">
        <f>IF($B$2="Todos",SUMIFS(Base!$N$3:$N$5001,Base!$A$3:$A$5001,$B30),SUMIFS(Base!$N$3:$N$5001,Base!$A$3:$A$5001,$B30,Base!$B$3:$B$5001,$B$2))</f>
        <v>187.89</v>
      </c>
      <c r="O30">
        <f>IF($B$2="Todos",SUMIFS(Base!$O$3:$O$5001,Base!$A$3:$A$5001,$B30),SUMIFS(Base!$O$3:$O$5001,Base!$A$3:$A$5001,$B30,Base!$B$3:$B$5001,$B$2))</f>
        <v>2067</v>
      </c>
      <c r="P30">
        <f>IF($B$2="Todos",SUMIFS(Base!$P$3:$P$5001,Base!$A$3:$A$5001,$B30),SUMIFS(Base!$P$3:$P$5001,Base!$A$3:$A$5001,$B30,Base!$B$3:$B$5001,$B$2))</f>
        <v>667</v>
      </c>
      <c r="Q30">
        <f>IF($B$2="Todos",SUMIFS(Base!$Q$3:$Q$5001,Base!$A$3:$A$5001,$B30),SUMIFS(Base!$Q$3:$Q$5001,Base!$A$3:$A$5001,$B30,Base!$B$3:$B$5001,$B$2))</f>
        <v>416</v>
      </c>
      <c r="R30">
        <f>IF($B$2="Todos",SUMIFS(Base!$R$3:$R$5001,Base!$A$3:$A$5001,$B30),SUMIFS(Base!$R$3:$R$5001,Base!$A$3:$A$5001,$B30,Base!$B$3:$B$5001,$B$2))</f>
        <v>7730</v>
      </c>
      <c r="S30">
        <f>IF($B$2="Todos",SUMIFS(Base!$S$3:$S$5001,Base!$A$3:$A$5001,$B30),SUMIFS(Base!$S$3:$S$5001,Base!$A$3:$A$5001,$B30,Base!$B$3:$B$5001,$B$2))</f>
        <v>529</v>
      </c>
      <c r="T30">
        <f>IF($B$2="Todos",SUMIFS(Base!$T$3:$T$5001,Base!$A$3:$A$5001,$B30),SUMIFS(Base!$T$3:$T$5001,Base!$A$3:$A$5001,$B30,Base!$B$3:$B$5001,$B$2))</f>
        <v>175</v>
      </c>
      <c r="U30">
        <f>IF($B$2="Todos",SUMIFS(Base!$U$3:$U$5001,Base!$A$3:$A$5001,$B30),SUMIFS(Base!$U$3:$U$5001,Base!$A$3:$A$5001,$B30,Base!$B$3:$B$5001,$B$2))</f>
        <v>0</v>
      </c>
      <c r="V30">
        <f>IF($B$2="Todos",SUMIFS(Base!$V$3:$V$5001,Base!$A$3:$A$5001,$B30),SUMIFS(Base!$V$3:$V$5001,Base!$A$3:$A$5001,$B30,Base!$B$3:$B$5001,$B$2))</f>
        <v>1</v>
      </c>
      <c r="W30">
        <f>IF($B$2="Todos",IF(COUNT($C$146:$K$146)=0,"",SUM($C$146:$K$146)),IFERROR(INDEX($C$146:$K$146,MATCH($B$2,$C$127:$K$127,0)),""))</f>
        <v>67</v>
      </c>
      <c r="X30">
        <f>IF(Y30="","",IF($B$2="Todos",IF(ISNUMBER($B$4),$B$4,IF(COUNT($C$181:$K$181)=0,"",SUM($C$181:$K$181))),IFERROR(INDEX($C$181:$K$181,MATCH($B$2,$C$162:$K$162,0)),"")))</f>
        <v>13700</v>
      </c>
      <c r="Y30">
        <f>IF($B$2="Todos",IF(COUNT($C$216:$K$216)=0,"",SUM($C$216:$K$216)),IFERROR(INDEX($C$216:$K$216,MATCH($B$2,$C$197:$K$197,0)),""))</f>
        <v>10201</v>
      </c>
      <c r="Z30">
        <f>IF(AND(ISNUMBER(Y30),ISNUMBER(X30)),IF(X30&gt;0,Y30/X30,""),"")</f>
        <v>0.744598540145985</v>
      </c>
      <c r="AA30">
        <f>IF($B$2="Todos",IF(COUNT($C$251:$K$251)=0,"",SUM($C$251:$K$251)),IFERROR(INDEX($C$251:$K$251,MATCH($B$2,$C$232:$K$232,0)),""))</f>
        <v>81</v>
      </c>
      <c r="AB30">
        <f>IF($B$2="Todos",SUMIFS(Base!$AA$3:$AA$5001,Base!$A$3:$A$5001,$B30),SUMIFS(Base!$AA$3:$AA$5001,Base!$A$3:$A$5001,$B30,Base!$B$3:$B$5001,$B$2))</f>
        <v>2</v>
      </c>
      <c r="AC30">
        <f>IF($B$2="Todos",SUMIFS(Base!$AB$3:$AB$5001,Base!$A$3:$A$5001,$B30),SUMIFS(Base!$AB$3:$AB$5001,Base!$A$3:$A$5001,$B30,Base!$B$3:$B$5001,$B$2))</f>
        <v>2</v>
      </c>
      <c r="AD30">
        <f>IF($B$2="Todos",SUMIFS(Base!$AC$3:$AC$5001,Base!$A$3:$A$5001,$B30),SUMIFS(Base!$AC$3:$AC$5001,Base!$A$3:$A$5001,$B30,Base!$B$3:$B$5001,$B$2))</f>
        <v>1</v>
      </c>
      <c r="AE30">
        <f>IF($B$2="Todos",SUMIFS(Base!$AD$3:$AD$5001,Base!$A$3:$A$5001,$B30),SUMIFS(Base!$AD$3:$AD$5001,Base!$A$3:$A$5001,$B30,Base!$B$3:$B$5001,$B$2))</f>
        <v>0</v>
      </c>
      <c r="AG30">
        <f>IFERROR(N(INDEX($C30:$AE30,MATCH($B$3,$C$11:$AE$11,0))),0)</f>
        <v>499</v>
      </c>
      <c r="AH30">
        <f>IFERROR(N(INDEX($C30:$AE30,MATCH($C$3,$C$11:$AE$11,0))),0)</f>
        <v>617</v>
      </c>
      <c r="AI30">
        <f>$B$5</f>
        <v>0.7</v>
      </c>
      <c r="AJ30">
        <f>$B$6</f>
        <v>0.9</v>
      </c>
      <c r="AN30" t="inlineStr">
        <is>
          <t xml:space="preserve">JULHO · 2027</t>
        </is>
      </c>
    </row>
    <row r="31">
      <c r="A31">
        <v>20</v>
      </c>
      <c r="B31" s="152">
        <f>IF(ISNUMBER($A31),$C$7+$A31-1,"")</f>
        <v>46285</v>
      </c>
      <c r="C31">
        <f>IF($B$2="Todos",SUMIFS(Base!$C$3:$C$5001,Base!$A$3:$A$5001,$B31),SUMIFS(Base!$C$3:$C$5001,Base!$A$3:$A$5001,$B31,Base!$B$3:$B$5001,$B$2))</f>
        <v>0</v>
      </c>
      <c r="D31">
        <f>IF($B$2="Todos",SUMIFS(Base!$D$3:$D$5001,Base!$A$3:$A$5001,$B31),SUMIFS(Base!$D$3:$D$5001,Base!$A$3:$A$5001,$B31,Base!$B$3:$B$5001,$B$2))</f>
        <v>0</v>
      </c>
      <c r="E31">
        <f>IF($B$2="Todos",SUMIFS(Base!$E$3:$E$5001,Base!$A$3:$A$5001,$B31),SUMIFS(Base!$E$3:$E$5001,Base!$A$3:$A$5001,$B31,Base!$B$3:$B$5001,$B$2))</f>
        <v>0</v>
      </c>
      <c r="F31">
        <f>IF($B$2="Todos",SUMIFS(Base!$F$3:$F$5001,Base!$A$3:$A$5001,$B31),SUMIFS(Base!$F$3:$F$5001,Base!$A$3:$A$5001,$B31,Base!$B$3:$B$5001,$B$2))</f>
        <v>0</v>
      </c>
      <c r="G31">
        <f>IF($B$2="Todos",SUMIFS(Base!$G$3:$G$5001,Base!$A$3:$A$5001,$B31),SUMIFS(Base!$G$3:$G$5001,Base!$A$3:$A$5001,$B31,Base!$B$3:$B$5001,$B$2))</f>
        <v>0</v>
      </c>
      <c r="H31">
        <f>IF($B$2="Todos",SUMIFS(Base!$H$3:$H$5001,Base!$A$3:$A$5001,$B31),SUMIFS(Base!$H$3:$H$5001,Base!$A$3:$A$5001,$B31,Base!$B$3:$B$5001,$B$2))</f>
        <v>0</v>
      </c>
      <c r="I31">
        <f>IF($B$2="Todos",SUMIFS(Base!$I$3:$I$5001,Base!$A$3:$A$5001,$B31),SUMIFS(Base!$I$3:$I$5001,Base!$A$3:$A$5001,$B31,Base!$B$3:$B$5001,$B$2))</f>
        <v>0</v>
      </c>
      <c r="J31">
        <f>IF($B$2="Todos",SUMIFS(Base!$J$3:$J$5001,Base!$A$3:$A$5001,$B31),SUMIFS(Base!$J$3:$J$5001,Base!$A$3:$A$5001,$B31,Base!$B$3:$B$5001,$B$2))</f>
        <v>0</v>
      </c>
      <c r="K31">
        <f>IF($B$2="Todos",SUMIFS(Base!$K$3:$K$5001,Base!$A$3:$A$5001,$B31),SUMIFS(Base!$K$3:$K$5001,Base!$A$3:$A$5001,$B31,Base!$B$3:$B$5001,$B$2))</f>
        <v>0</v>
      </c>
      <c r="L31">
        <f>IF($B$2="Todos",SUMIFS(Base!$L$3:$L$5001,Base!$A$3:$A$5001,$B31),SUMIFS(Base!$L$3:$L$5001,Base!$A$3:$A$5001,$B31,Base!$B$3:$B$5001,$B$2))</f>
        <v>0</v>
      </c>
      <c r="M31">
        <f>IF($B$2="Todos",SUMIFS(Base!$M$3:$M$5001,Base!$A$3:$A$5001,$B31),SUMIFS(Base!$M$3:$M$5001,Base!$A$3:$A$5001,$B31,Base!$B$3:$B$5001,$B$2))</f>
        <v>0</v>
      </c>
      <c r="N31">
        <f>IF($B$2="Todos",SUMIFS(Base!$N$3:$N$5001,Base!$A$3:$A$5001,$B31),SUMIFS(Base!$N$3:$N$5001,Base!$A$3:$A$5001,$B31,Base!$B$3:$B$5001,$B$2))</f>
        <v>0</v>
      </c>
      <c r="O31">
        <f>IF($B$2="Todos",SUMIFS(Base!$O$3:$O$5001,Base!$A$3:$A$5001,$B31),SUMIFS(Base!$O$3:$O$5001,Base!$A$3:$A$5001,$B31,Base!$B$3:$B$5001,$B$2))</f>
        <v>0</v>
      </c>
      <c r="P31">
        <f>IF($B$2="Todos",SUMIFS(Base!$P$3:$P$5001,Base!$A$3:$A$5001,$B31),SUMIFS(Base!$P$3:$P$5001,Base!$A$3:$A$5001,$B31,Base!$B$3:$B$5001,$B$2))</f>
        <v>0</v>
      </c>
      <c r="Q31">
        <f>IF($B$2="Todos",SUMIFS(Base!$Q$3:$Q$5001,Base!$A$3:$A$5001,$B31),SUMIFS(Base!$Q$3:$Q$5001,Base!$A$3:$A$5001,$B31,Base!$B$3:$B$5001,$B$2))</f>
        <v>0</v>
      </c>
      <c r="R31">
        <f>IF($B$2="Todos",SUMIFS(Base!$R$3:$R$5001,Base!$A$3:$A$5001,$B31),SUMIFS(Base!$R$3:$R$5001,Base!$A$3:$A$5001,$B31,Base!$B$3:$B$5001,$B$2))</f>
        <v>0</v>
      </c>
      <c r="S31">
        <f>IF($B$2="Todos",SUMIFS(Base!$S$3:$S$5001,Base!$A$3:$A$5001,$B31),SUMIFS(Base!$S$3:$S$5001,Base!$A$3:$A$5001,$B31,Base!$B$3:$B$5001,$B$2))</f>
        <v>0</v>
      </c>
      <c r="T31">
        <f>IF($B$2="Todos",SUMIFS(Base!$T$3:$T$5001,Base!$A$3:$A$5001,$B31),SUMIFS(Base!$T$3:$T$5001,Base!$A$3:$A$5001,$B31,Base!$B$3:$B$5001,$B$2))</f>
        <v>0</v>
      </c>
      <c r="U31">
        <f>IF($B$2="Todos",SUMIFS(Base!$U$3:$U$5001,Base!$A$3:$A$5001,$B31),SUMIFS(Base!$U$3:$U$5001,Base!$A$3:$A$5001,$B31,Base!$B$3:$B$5001,$B$2))</f>
        <v>0</v>
      </c>
      <c r="V31">
        <f>IF($B$2="Todos",SUMIFS(Base!$V$3:$V$5001,Base!$A$3:$A$5001,$B31),SUMIFS(Base!$V$3:$V$5001,Base!$A$3:$A$5001,$B31,Base!$B$3:$B$5001,$B$2))</f>
        <v>0</v>
      </c>
      <c r="W31">
        <f>IF($B$2="Todos",IF(COUNT($C$147:$K$147)=0,"",SUM($C$147:$K$147)),IFERROR(INDEX($C$147:$K$147,MATCH($B$2,$C$127:$K$127,0)),""))</f>
        <v>67</v>
      </c>
      <c r="X31">
        <f>IF(Y31="","",IF($B$2="Todos",IF(ISNUMBER($B$4),$B$4,IF(COUNT($C$182:$K$182)=0,"",SUM($C$182:$K$182))),IFERROR(INDEX($C$182:$K$182,MATCH($B$2,$C$162:$K$162,0)),"")))</f>
        <v>13700</v>
      </c>
      <c r="Y31">
        <f>IF($B$2="Todos",IF(COUNT($C$217:$K$217)=0,"",SUM($C$217:$K$217)),IFERROR(INDEX($C$217:$K$217,MATCH($B$2,$C$197:$K$197,0)),""))</f>
        <v>10201</v>
      </c>
      <c r="Z31">
        <f>IF(AND(ISNUMBER(Y31),ISNUMBER(X31)),IF(X31&gt;0,Y31/X31,""),"")</f>
        <v>0.744598540145985</v>
      </c>
      <c r="AA31">
        <f>IF($B$2="Todos",IF(COUNT($C$252:$K$252)=0,"",SUM($C$252:$K$252)),IFERROR(INDEX($C$252:$K$252,MATCH($B$2,$C$232:$K$232,0)),""))</f>
        <v>81</v>
      </c>
      <c r="AB31">
        <f>IF($B$2="Todos",SUMIFS(Base!$AA$3:$AA$5001,Base!$A$3:$A$5001,$B31),SUMIFS(Base!$AA$3:$AA$5001,Base!$A$3:$A$5001,$B31,Base!$B$3:$B$5001,$B$2))</f>
        <v>0</v>
      </c>
      <c r="AC31">
        <f>IF($B$2="Todos",SUMIFS(Base!$AB$3:$AB$5001,Base!$A$3:$A$5001,$B31),SUMIFS(Base!$AB$3:$AB$5001,Base!$A$3:$A$5001,$B31,Base!$B$3:$B$5001,$B$2))</f>
        <v>0</v>
      </c>
      <c r="AD31">
        <f>IF($B$2="Todos",SUMIFS(Base!$AC$3:$AC$5001,Base!$A$3:$A$5001,$B31),SUMIFS(Base!$AC$3:$AC$5001,Base!$A$3:$A$5001,$B31,Base!$B$3:$B$5001,$B$2))</f>
        <v>0</v>
      </c>
      <c r="AE31">
        <f>IF($B$2="Todos",SUMIFS(Base!$AD$3:$AD$5001,Base!$A$3:$A$5001,$B31),SUMIFS(Base!$AD$3:$AD$5001,Base!$A$3:$A$5001,$B31,Base!$B$3:$B$5001,$B$2))</f>
        <v>0</v>
      </c>
      <c r="AG31">
        <f>IFERROR(N(INDEX($C31:$AE31,MATCH($B$3,$C$11:$AE$11,0))),0)</f>
        <v>0</v>
      </c>
      <c r="AH31">
        <f>IFERROR(N(INDEX($C31:$AE31,MATCH($C$3,$C$11:$AE$11,0))),0)</f>
        <v>0</v>
      </c>
      <c r="AI31">
        <f>$B$5</f>
        <v>0.7</v>
      </c>
      <c r="AJ31">
        <f>$B$6</f>
        <v>0.9</v>
      </c>
      <c r="AN31" t="inlineStr">
        <is>
          <t xml:space="preserve">AGOSTO · 2027</t>
        </is>
      </c>
    </row>
    <row r="32">
      <c r="A32">
        <v>21</v>
      </c>
      <c r="B32" s="152">
        <f>IF(ISNUMBER($A32),$C$7+$A32-1,"")</f>
        <v>46286</v>
      </c>
      <c r="C32">
        <f>IF($B$2="Todos",SUMIFS(Base!$C$3:$C$5001,Base!$A$3:$A$5001,$B32),SUMIFS(Base!$C$3:$C$5001,Base!$A$3:$A$5001,$B32,Base!$B$3:$B$5001,$B$2))</f>
        <v>57</v>
      </c>
      <c r="D32">
        <f>IF($B$2="Todos",SUMIFS(Base!$D$3:$D$5001,Base!$A$3:$A$5001,$B32),SUMIFS(Base!$D$3:$D$5001,Base!$A$3:$A$5001,$B32,Base!$B$3:$B$5001,$B$2))</f>
        <v>489</v>
      </c>
      <c r="E32">
        <f>IF($B$2="Todos",SUMIFS(Base!$E$3:$E$5001,Base!$A$3:$A$5001,$B32),SUMIFS(Base!$E$3:$E$5001,Base!$A$3:$A$5001,$B32,Base!$B$3:$B$5001,$B$2))</f>
        <v>209.27</v>
      </c>
      <c r="F32">
        <f>IF($B$2="Todos",SUMIFS(Base!$F$3:$F$5001,Base!$A$3:$A$5001,$B32),SUMIFS(Base!$F$3:$F$5001,Base!$A$3:$A$5001,$B32,Base!$B$3:$B$5001,$B$2))</f>
        <v>2728</v>
      </c>
      <c r="G32">
        <f>IF($B$2="Todos",SUMIFS(Base!$G$3:$G$5001,Base!$A$3:$A$5001,$B32),SUMIFS(Base!$G$3:$G$5001,Base!$A$3:$A$5001,$B32,Base!$B$3:$B$5001,$B$2))</f>
        <v>4379</v>
      </c>
      <c r="H32">
        <f>IF($B$2="Todos",SUMIFS(Base!$H$3:$H$5001,Base!$A$3:$A$5001,$B32),SUMIFS(Base!$H$3:$H$5001,Base!$A$3:$A$5001,$B32,Base!$B$3:$B$5001,$B$2))</f>
        <v>115</v>
      </c>
      <c r="I32">
        <f>IF($B$2="Todos",SUMIFS(Base!$I$3:$I$5001,Base!$A$3:$A$5001,$B32),SUMIFS(Base!$I$3:$I$5001,Base!$A$3:$A$5001,$B32,Base!$B$3:$B$5001,$B$2))</f>
        <v>173</v>
      </c>
      <c r="J32">
        <f>IF($B$2="Todos",SUMIFS(Base!$J$3:$J$5001,Base!$A$3:$A$5001,$B32),SUMIFS(Base!$J$3:$J$5001,Base!$A$3:$A$5001,$B32,Base!$B$3:$B$5001,$B$2))</f>
        <v>385</v>
      </c>
      <c r="K32">
        <f>IF($B$2="Todos",SUMIFS(Base!$K$3:$K$5001,Base!$A$3:$A$5001,$B32),SUMIFS(Base!$K$3:$K$5001,Base!$A$3:$A$5001,$B32,Base!$B$3:$B$5001,$B$2))</f>
        <v>70</v>
      </c>
      <c r="L32">
        <f>IF($B$2="Todos",SUMIFS(Base!$L$3:$L$5001,Base!$A$3:$A$5001,$B32),SUMIFS(Base!$L$3:$L$5001,Base!$A$3:$A$5001,$B32,Base!$B$3:$B$5001,$B$2))</f>
        <v>64</v>
      </c>
      <c r="M32">
        <f>IF($B$2="Todos",SUMIFS(Base!$M$3:$M$5001,Base!$A$3:$A$5001,$B32),SUMIFS(Base!$M$3:$M$5001,Base!$A$3:$A$5001,$B32,Base!$B$3:$B$5001,$B$2))</f>
        <v>615</v>
      </c>
      <c r="N32">
        <f>IF($B$2="Todos",SUMIFS(Base!$N$3:$N$5001,Base!$A$3:$A$5001,$B32),SUMIFS(Base!$N$3:$N$5001,Base!$A$3:$A$5001,$B32,Base!$B$3:$B$5001,$B$2))</f>
        <v>202.43</v>
      </c>
      <c r="O32">
        <f>IF($B$2="Todos",SUMIFS(Base!$O$3:$O$5001,Base!$A$3:$A$5001,$B32),SUMIFS(Base!$O$3:$O$5001,Base!$A$3:$A$5001,$B32,Base!$B$3:$B$5001,$B$2))</f>
        <v>1768</v>
      </c>
      <c r="P32">
        <f>IF($B$2="Todos",SUMIFS(Base!$P$3:$P$5001,Base!$A$3:$A$5001,$B32),SUMIFS(Base!$P$3:$P$5001,Base!$A$3:$A$5001,$B32,Base!$B$3:$B$5001,$B$2))</f>
        <v>93</v>
      </c>
      <c r="Q32">
        <f>IF($B$2="Todos",SUMIFS(Base!$Q$3:$Q$5001,Base!$A$3:$A$5001,$B32),SUMIFS(Base!$Q$3:$Q$5001,Base!$A$3:$A$5001,$B32,Base!$B$3:$B$5001,$B$2))</f>
        <v>1195</v>
      </c>
      <c r="R32">
        <f>IF($B$2="Todos",SUMIFS(Base!$R$3:$R$5001,Base!$A$3:$A$5001,$B32),SUMIFS(Base!$R$3:$R$5001,Base!$A$3:$A$5001,$B32,Base!$B$3:$B$5001,$B$2))</f>
        <v>3742</v>
      </c>
      <c r="S32">
        <f>IF($B$2="Todos",SUMIFS(Base!$S$3:$S$5001,Base!$A$3:$A$5001,$B32),SUMIFS(Base!$S$3:$S$5001,Base!$A$3:$A$5001,$B32,Base!$B$3:$B$5001,$B$2))</f>
        <v>131</v>
      </c>
      <c r="T32">
        <f>IF($B$2="Todos",SUMIFS(Base!$T$3:$T$5001,Base!$A$3:$A$5001,$B32),SUMIFS(Base!$T$3:$T$5001,Base!$A$3:$A$5001,$B32,Base!$B$3:$B$5001,$B$2))</f>
        <v>94</v>
      </c>
      <c r="U32">
        <f>IF($B$2="Todos",SUMIFS(Base!$U$3:$U$5001,Base!$A$3:$A$5001,$B32),SUMIFS(Base!$U$3:$U$5001,Base!$A$3:$A$5001,$B32,Base!$B$3:$B$5001,$B$2))</f>
        <v>0</v>
      </c>
      <c r="V32">
        <f>IF($B$2="Todos",SUMIFS(Base!$V$3:$V$5001,Base!$A$3:$A$5001,$B32),SUMIFS(Base!$V$3:$V$5001,Base!$A$3:$A$5001,$B32,Base!$B$3:$B$5001,$B$2))</f>
        <v>2</v>
      </c>
      <c r="W32">
        <f>IF($B$2="Todos",IF(COUNT($C$148:$K$148)=0,"",SUM($C$148:$K$148)),IFERROR(INDEX($C$148:$K$148,MATCH($B$2,$C$127:$K$127,0)),""))</f>
        <v>67</v>
      </c>
      <c r="X32">
        <f>IF(Y32="","",IF($B$2="Todos",IF(ISNUMBER($B$4),$B$4,IF(COUNT($C$183:$K$183)=0,"",SUM($C$183:$K$183))),IFERROR(INDEX($C$183:$K$183,MATCH($B$2,$C$162:$K$162,0)),"")))</f>
        <v>13700</v>
      </c>
      <c r="Y32">
        <f>IF($B$2="Todos",IF(COUNT($C$218:$K$218)=0,"",SUM($C$218:$K$218)),IFERROR(INDEX($C$218:$K$218,MATCH($B$2,$C$197:$K$197,0)),""))</f>
        <v>10423</v>
      </c>
      <c r="Z32">
        <f>IF(AND(ISNUMBER(Y32),ISNUMBER(X32)),IF(X32&gt;0,Y32/X32,""),"")</f>
        <v>0.760802919708029</v>
      </c>
      <c r="AA32">
        <f>IF($B$2="Todos",IF(COUNT($C$253:$K$253)=0,"",SUM($C$253:$K$253)),IFERROR(INDEX($C$253:$K$253,MATCH($B$2,$C$232:$K$232,0)),""))</f>
        <v>76</v>
      </c>
      <c r="AB32">
        <f>IF($B$2="Todos",SUMIFS(Base!$AA$3:$AA$5001,Base!$A$3:$A$5001,$B32),SUMIFS(Base!$AA$3:$AA$5001,Base!$A$3:$A$5001,$B32,Base!$B$3:$B$5001,$B$2))</f>
        <v>3</v>
      </c>
      <c r="AC32">
        <f>IF($B$2="Todos",SUMIFS(Base!$AB$3:$AB$5001,Base!$A$3:$A$5001,$B32),SUMIFS(Base!$AB$3:$AB$5001,Base!$A$3:$A$5001,$B32,Base!$B$3:$B$5001,$B$2))</f>
        <v>3</v>
      </c>
      <c r="AD32">
        <f>IF($B$2="Todos",SUMIFS(Base!$AC$3:$AC$5001,Base!$A$3:$A$5001,$B32),SUMIFS(Base!$AC$3:$AC$5001,Base!$A$3:$A$5001,$B32,Base!$B$3:$B$5001,$B$2))</f>
        <v>1</v>
      </c>
      <c r="AE32">
        <f>IF($B$2="Todos",SUMIFS(Base!$AD$3:$AD$5001,Base!$A$3:$A$5001,$B32),SUMIFS(Base!$AD$3:$AD$5001,Base!$A$3:$A$5001,$B32,Base!$B$3:$B$5001,$B$2))</f>
        <v>0</v>
      </c>
      <c r="AG32">
        <f>IFERROR(N(INDEX($C32:$AE32,MATCH($B$3,$C$11:$AE$11,0))),0)</f>
        <v>489</v>
      </c>
      <c r="AH32">
        <f>IFERROR(N(INDEX($C32:$AE32,MATCH($C$3,$C$11:$AE$11,0))),0)</f>
        <v>615</v>
      </c>
      <c r="AI32">
        <f>$B$5</f>
        <v>0.7</v>
      </c>
      <c r="AJ32">
        <f>$B$6</f>
        <v>0.9</v>
      </c>
      <c r="AN32" t="inlineStr">
        <is>
          <t xml:space="preserve">SETEMBRO · 2027</t>
        </is>
      </c>
    </row>
    <row r="33">
      <c r="A33">
        <v>22</v>
      </c>
      <c r="B33" s="152">
        <f>IF(ISNUMBER($A33),$C$7+$A33-1,"")</f>
        <v>46287</v>
      </c>
      <c r="C33">
        <f>IF($B$2="Todos",SUMIFS(Base!$C$3:$C$5001,Base!$A$3:$A$5001,$B33),SUMIFS(Base!$C$3:$C$5001,Base!$A$3:$A$5001,$B33,Base!$B$3:$B$5001,$B$2))</f>
        <v>52</v>
      </c>
      <c r="D33">
        <f>IF($B$2="Todos",SUMIFS(Base!$D$3:$D$5001,Base!$A$3:$A$5001,$B33),SUMIFS(Base!$D$3:$D$5001,Base!$A$3:$A$5001,$B33,Base!$B$3:$B$5001,$B$2))</f>
        <v>383</v>
      </c>
      <c r="E33">
        <f>IF($B$2="Todos",SUMIFS(Base!$E$3:$E$5001,Base!$A$3:$A$5001,$B33),SUMIFS(Base!$E$3:$E$5001,Base!$A$3:$A$5001,$B33,Base!$B$3:$B$5001,$B$2))</f>
        <v>234.41</v>
      </c>
      <c r="F33">
        <f>IF($B$2="Todos",SUMIFS(Base!$F$3:$F$5001,Base!$A$3:$A$5001,$B33),SUMIFS(Base!$F$3:$F$5001,Base!$A$3:$A$5001,$B33,Base!$B$3:$B$5001,$B$2))</f>
        <v>1394</v>
      </c>
      <c r="G33">
        <f>IF($B$2="Todos",SUMIFS(Base!$G$3:$G$5001,Base!$A$3:$A$5001,$B33),SUMIFS(Base!$G$3:$G$5001,Base!$A$3:$A$5001,$B33,Base!$B$3:$B$5001,$B$2))</f>
        <v>2838</v>
      </c>
      <c r="H33">
        <f>IF($B$2="Todos",SUMIFS(Base!$H$3:$H$5001,Base!$A$3:$A$5001,$B33),SUMIFS(Base!$H$3:$H$5001,Base!$A$3:$A$5001,$B33,Base!$B$3:$B$5001,$B$2))</f>
        <v>292</v>
      </c>
      <c r="I33">
        <f>IF($B$2="Todos",SUMIFS(Base!$I$3:$I$5001,Base!$A$3:$A$5001,$B33),SUMIFS(Base!$I$3:$I$5001,Base!$A$3:$A$5001,$B33,Base!$B$3:$B$5001,$B$2))</f>
        <v>256</v>
      </c>
      <c r="J33">
        <f>IF($B$2="Todos",SUMIFS(Base!$J$3:$J$5001,Base!$A$3:$A$5001,$B33),SUMIFS(Base!$J$3:$J$5001,Base!$A$3:$A$5001,$B33,Base!$B$3:$B$5001,$B$2))</f>
        <v>98</v>
      </c>
      <c r="K33">
        <f>IF($B$2="Todos",SUMIFS(Base!$K$3:$K$5001,Base!$A$3:$A$5001,$B33),SUMIFS(Base!$K$3:$K$5001,Base!$A$3:$A$5001,$B33,Base!$B$3:$B$5001,$B$2))</f>
        <v>159</v>
      </c>
      <c r="L33">
        <f>IF($B$2="Todos",SUMIFS(Base!$L$3:$L$5001,Base!$A$3:$A$5001,$B33),SUMIFS(Base!$L$3:$L$5001,Base!$A$3:$A$5001,$B33,Base!$B$3:$B$5001,$B$2))</f>
        <v>52</v>
      </c>
      <c r="M33">
        <f>IF($B$2="Todos",SUMIFS(Base!$M$3:$M$5001,Base!$A$3:$A$5001,$B33),SUMIFS(Base!$M$3:$M$5001,Base!$A$3:$A$5001,$B33,Base!$B$3:$B$5001,$B$2))</f>
        <v>645</v>
      </c>
      <c r="N33">
        <f>IF($B$2="Todos",SUMIFS(Base!$N$3:$N$5001,Base!$A$3:$A$5001,$B33),SUMIFS(Base!$N$3:$N$5001,Base!$A$3:$A$5001,$B33,Base!$B$3:$B$5001,$B$2))</f>
        <v>245.74</v>
      </c>
      <c r="O33">
        <f>IF($B$2="Todos",SUMIFS(Base!$O$3:$O$5001,Base!$A$3:$A$5001,$B33),SUMIFS(Base!$O$3:$O$5001,Base!$A$3:$A$5001,$B33,Base!$B$3:$B$5001,$B$2))</f>
        <v>1924</v>
      </c>
      <c r="P33">
        <f>IF($B$2="Todos",SUMIFS(Base!$P$3:$P$5001,Base!$A$3:$A$5001,$B33),SUMIFS(Base!$P$3:$P$5001,Base!$A$3:$A$5001,$B33,Base!$B$3:$B$5001,$B$2))</f>
        <v>366</v>
      </c>
      <c r="Q33">
        <f>IF($B$2="Todos",SUMIFS(Base!$Q$3:$Q$5001,Base!$A$3:$A$5001,$B33),SUMIFS(Base!$Q$3:$Q$5001,Base!$A$3:$A$5001,$B33,Base!$B$3:$B$5001,$B$2))</f>
        <v>739</v>
      </c>
      <c r="R33">
        <f>IF($B$2="Todos",SUMIFS(Base!$R$3:$R$5001,Base!$A$3:$A$5001,$B33),SUMIFS(Base!$R$3:$R$5001,Base!$A$3:$A$5001,$B33,Base!$B$3:$B$5001,$B$2))</f>
        <v>8821</v>
      </c>
      <c r="S33">
        <f>IF($B$2="Todos",SUMIFS(Base!$S$3:$S$5001,Base!$A$3:$A$5001,$B33),SUMIFS(Base!$S$3:$S$5001,Base!$A$3:$A$5001,$B33,Base!$B$3:$B$5001,$B$2))</f>
        <v>525</v>
      </c>
      <c r="T33">
        <f>IF($B$2="Todos",SUMIFS(Base!$T$3:$T$5001,Base!$A$3:$A$5001,$B33),SUMIFS(Base!$T$3:$T$5001,Base!$A$3:$A$5001,$B33,Base!$B$3:$B$5001,$B$2))</f>
        <v>171</v>
      </c>
      <c r="U33">
        <f>IF($B$2="Todos",SUMIFS(Base!$U$3:$U$5001,Base!$A$3:$A$5001,$B33),SUMIFS(Base!$U$3:$U$5001,Base!$A$3:$A$5001,$B33,Base!$B$3:$B$5001,$B$2))</f>
        <v>0</v>
      </c>
      <c r="V33">
        <f>IF($B$2="Todos",SUMIFS(Base!$V$3:$V$5001,Base!$A$3:$A$5001,$B33),SUMIFS(Base!$V$3:$V$5001,Base!$A$3:$A$5001,$B33,Base!$B$3:$B$5001,$B$2))</f>
        <v>1</v>
      </c>
      <c r="W33">
        <f>IF($B$2="Todos",IF(COUNT($C$149:$K$149)=0,"",SUM($C$149:$K$149)),IFERROR(INDEX($C$149:$K$149,MATCH($B$2,$C$127:$K$127,0)),""))</f>
        <v>62</v>
      </c>
      <c r="X33">
        <f>IF(Y33="","",IF($B$2="Todos",IF(ISNUMBER($B$4),$B$4,IF(COUNT($C$184:$K$184)=0,"",SUM($C$184:$K$184))),IFERROR(INDEX($C$184:$K$184,MATCH($B$2,$C$162:$K$162,0)),"")))</f>
        <v>13700</v>
      </c>
      <c r="Y33">
        <f>IF($B$2="Todos",IF(COUNT($C$219:$K$219)=0,"",SUM($C$219:$K$219)),IFERROR(INDEX($C$219:$K$219,MATCH($B$2,$C$197:$K$197,0)),""))</f>
        <v>10250</v>
      </c>
      <c r="Z33">
        <f>IF(AND(ISNUMBER(Y33),ISNUMBER(X33)),IF(X33&gt;0,Y33/X33,""),"")</f>
        <v>0.748175182481752</v>
      </c>
      <c r="AA33">
        <f>IF($B$2="Todos",IF(COUNT($C$254:$K$254)=0,"",SUM($C$254:$K$254)),IFERROR(INDEX($C$254:$K$254,MATCH($B$2,$C$232:$K$232,0)),""))</f>
        <v>85</v>
      </c>
      <c r="AB33">
        <f>IF($B$2="Todos",SUMIFS(Base!$AA$3:$AA$5001,Base!$A$3:$A$5001,$B33),SUMIFS(Base!$AA$3:$AA$5001,Base!$A$3:$A$5001,$B33,Base!$B$3:$B$5001,$B$2))</f>
        <v>1</v>
      </c>
      <c r="AC33">
        <f>IF($B$2="Todos",SUMIFS(Base!$AB$3:$AB$5001,Base!$A$3:$A$5001,$B33),SUMIFS(Base!$AB$3:$AB$5001,Base!$A$3:$A$5001,$B33,Base!$B$3:$B$5001,$B$2))</f>
        <v>0</v>
      </c>
      <c r="AD33">
        <f>IF($B$2="Todos",SUMIFS(Base!$AC$3:$AC$5001,Base!$A$3:$A$5001,$B33),SUMIFS(Base!$AC$3:$AC$5001,Base!$A$3:$A$5001,$B33,Base!$B$3:$B$5001,$B$2))</f>
        <v>0</v>
      </c>
      <c r="AE33">
        <f>IF($B$2="Todos",SUMIFS(Base!$AD$3:$AD$5001,Base!$A$3:$A$5001,$B33),SUMIFS(Base!$AD$3:$AD$5001,Base!$A$3:$A$5001,$B33,Base!$B$3:$B$5001,$B$2))</f>
        <v>1</v>
      </c>
      <c r="AG33">
        <f>IFERROR(N(INDEX($C33:$AE33,MATCH($B$3,$C$11:$AE$11,0))),0)</f>
        <v>383</v>
      </c>
      <c r="AH33">
        <f>IFERROR(N(INDEX($C33:$AE33,MATCH($C$3,$C$11:$AE$11,0))),0)</f>
        <v>645</v>
      </c>
      <c r="AI33">
        <f>$B$5</f>
        <v>0.7</v>
      </c>
      <c r="AJ33">
        <f>$B$6</f>
        <v>0.9</v>
      </c>
      <c r="AN33" t="inlineStr">
        <is>
          <t xml:space="preserve">OUTUBRO · 2027</t>
        </is>
      </c>
    </row>
    <row r="34">
      <c r="A34">
        <v>23</v>
      </c>
      <c r="B34" s="152">
        <f>IF(ISNUMBER($A34),$C$7+$A34-1,"")</f>
        <v>46288</v>
      </c>
      <c r="C34">
        <f>IF($B$2="Todos",SUMIFS(Base!$C$3:$C$5001,Base!$A$3:$A$5001,$B34),SUMIFS(Base!$C$3:$C$5001,Base!$A$3:$A$5001,$B34,Base!$B$3:$B$5001,$B$2))</f>
        <v>40</v>
      </c>
      <c r="D34">
        <f>IF($B$2="Todos",SUMIFS(Base!$D$3:$D$5001,Base!$A$3:$A$5001,$B34),SUMIFS(Base!$D$3:$D$5001,Base!$A$3:$A$5001,$B34,Base!$B$3:$B$5001,$B$2))</f>
        <v>612</v>
      </c>
      <c r="E34">
        <f>IF($B$2="Todos",SUMIFS(Base!$E$3:$E$5001,Base!$A$3:$A$5001,$B34),SUMIFS(Base!$E$3:$E$5001,Base!$A$3:$A$5001,$B34,Base!$B$3:$B$5001,$B$2))</f>
        <v>179.06</v>
      </c>
      <c r="F34">
        <f>IF($B$2="Todos",SUMIFS(Base!$F$3:$F$5001,Base!$A$3:$A$5001,$B34),SUMIFS(Base!$F$3:$F$5001,Base!$A$3:$A$5001,$B34,Base!$B$3:$B$5001,$B$2))</f>
        <v>1831</v>
      </c>
      <c r="G34">
        <f>IF($B$2="Todos",SUMIFS(Base!$G$3:$G$5001,Base!$A$3:$A$5001,$B34),SUMIFS(Base!$G$3:$G$5001,Base!$A$3:$A$5001,$B34,Base!$B$3:$B$5001,$B$2))</f>
        <v>2854</v>
      </c>
      <c r="H34">
        <f>IF($B$2="Todos",SUMIFS(Base!$H$3:$H$5001,Base!$A$3:$A$5001,$B34),SUMIFS(Base!$H$3:$H$5001,Base!$A$3:$A$5001,$B34,Base!$B$3:$B$5001,$B$2))</f>
        <v>279</v>
      </c>
      <c r="I34">
        <f>IF($B$2="Todos",SUMIFS(Base!$I$3:$I$5001,Base!$A$3:$A$5001,$B34),SUMIFS(Base!$I$3:$I$5001,Base!$A$3:$A$5001,$B34,Base!$B$3:$B$5001,$B$2))</f>
        <v>504</v>
      </c>
      <c r="J34">
        <f>IF($B$2="Todos",SUMIFS(Base!$J$3:$J$5001,Base!$A$3:$A$5001,$B34),SUMIFS(Base!$J$3:$J$5001,Base!$A$3:$A$5001,$B34,Base!$B$3:$B$5001,$B$2))</f>
        <v>471</v>
      </c>
      <c r="K34">
        <f>IF($B$2="Todos",SUMIFS(Base!$K$3:$K$5001,Base!$A$3:$A$5001,$B34),SUMIFS(Base!$K$3:$K$5001,Base!$A$3:$A$5001,$B34,Base!$B$3:$B$5001,$B$2))</f>
        <v>149</v>
      </c>
      <c r="L34">
        <f>IF($B$2="Todos",SUMIFS(Base!$L$3:$L$5001,Base!$A$3:$A$5001,$B34),SUMIFS(Base!$L$3:$L$5001,Base!$A$3:$A$5001,$B34,Base!$B$3:$B$5001,$B$2))</f>
        <v>47</v>
      </c>
      <c r="M34">
        <f>IF($B$2="Todos",SUMIFS(Base!$M$3:$M$5001,Base!$A$3:$A$5001,$B34),SUMIFS(Base!$M$3:$M$5001,Base!$A$3:$A$5001,$B34,Base!$B$3:$B$5001,$B$2))</f>
        <v>726</v>
      </c>
      <c r="N34">
        <f>IF($B$2="Todos",SUMIFS(Base!$N$3:$N$5001,Base!$A$3:$A$5001,$B34),SUMIFS(Base!$N$3:$N$5001,Base!$A$3:$A$5001,$B34,Base!$B$3:$B$5001,$B$2))</f>
        <v>149.75</v>
      </c>
      <c r="O34">
        <f>IF($B$2="Todos",SUMIFS(Base!$O$3:$O$5001,Base!$A$3:$A$5001,$B34),SUMIFS(Base!$O$3:$O$5001,Base!$A$3:$A$5001,$B34,Base!$B$3:$B$5001,$B$2))</f>
        <v>2147</v>
      </c>
      <c r="P34">
        <f>IF($B$2="Todos",SUMIFS(Base!$P$3:$P$5001,Base!$A$3:$A$5001,$B34),SUMIFS(Base!$P$3:$P$5001,Base!$A$3:$A$5001,$B34,Base!$B$3:$B$5001,$B$2))</f>
        <v>91</v>
      </c>
      <c r="Q34">
        <f>IF($B$2="Todos",SUMIFS(Base!$Q$3:$Q$5001,Base!$A$3:$A$5001,$B34),SUMIFS(Base!$Q$3:$Q$5001,Base!$A$3:$A$5001,$B34,Base!$B$3:$B$5001,$B$2))</f>
        <v>787</v>
      </c>
      <c r="R34">
        <f>IF($B$2="Todos",SUMIFS(Base!$R$3:$R$5001,Base!$A$3:$A$5001,$B34),SUMIFS(Base!$R$3:$R$5001,Base!$A$3:$A$5001,$B34,Base!$B$3:$B$5001,$B$2))</f>
        <v>8974</v>
      </c>
      <c r="S34">
        <f>IF($B$2="Todos",SUMIFS(Base!$S$3:$S$5001,Base!$A$3:$A$5001,$B34),SUMIFS(Base!$S$3:$S$5001,Base!$A$3:$A$5001,$B34,Base!$B$3:$B$5001,$B$2))</f>
        <v>281</v>
      </c>
      <c r="T34">
        <f>IF($B$2="Todos",SUMIFS(Base!$T$3:$T$5001,Base!$A$3:$A$5001,$B34),SUMIFS(Base!$T$3:$T$5001,Base!$A$3:$A$5001,$B34,Base!$B$3:$B$5001,$B$2))</f>
        <v>187</v>
      </c>
      <c r="U34">
        <f>IF($B$2="Todos",SUMIFS(Base!$U$3:$U$5001,Base!$A$3:$A$5001,$B34),SUMIFS(Base!$U$3:$U$5001,Base!$A$3:$A$5001,$B34,Base!$B$3:$B$5001,$B$2))</f>
        <v>1</v>
      </c>
      <c r="V34">
        <f>IF($B$2="Todos",SUMIFS(Base!$V$3:$V$5001,Base!$A$3:$A$5001,$B34),SUMIFS(Base!$V$3:$V$5001,Base!$A$3:$A$5001,$B34,Base!$B$3:$B$5001,$B$2))</f>
        <v>2</v>
      </c>
      <c r="W34">
        <f>IF($B$2="Todos",IF(COUNT($C$150:$K$150)=0,"",SUM($C$150:$K$150)),IFERROR(INDEX($C$150:$K$150,MATCH($B$2,$C$127:$K$127,0)),""))</f>
        <v>58</v>
      </c>
      <c r="X34">
        <f>IF(Y34="","",IF($B$2="Todos",IF(ISNUMBER($B$4),$B$4,IF(COUNT($C$185:$K$185)=0,"",SUM($C$185:$K$185))),IFERROR(INDEX($C$185:$K$185,MATCH($B$2,$C$162:$K$162,0)),"")))</f>
        <v>13700</v>
      </c>
      <c r="Y34">
        <f>IF($B$2="Todos",IF(COUNT($C$220:$K$220)=0,"",SUM($C$220:$K$220)),IFERROR(INDEX($C$220:$K$220,MATCH($B$2,$C$197:$K$197,0)),""))</f>
        <v>11087</v>
      </c>
      <c r="Z34">
        <f>IF(AND(ISNUMBER(Y34),ISNUMBER(X34)),IF(X34&gt;0,Y34/X34,""),"")</f>
        <v>0.809270072992701</v>
      </c>
      <c r="AA34">
        <f>IF($B$2="Todos",IF(COUNT($C$255:$K$255)=0,"",SUM($C$255:$K$255)),IFERROR(INDEX($C$255:$K$255,MATCH($B$2,$C$232:$K$232,0)),""))</f>
        <v>58</v>
      </c>
      <c r="AB34">
        <f>IF($B$2="Todos",SUMIFS(Base!$AA$3:$AA$5001,Base!$A$3:$A$5001,$B34),SUMIFS(Base!$AA$3:$AA$5001,Base!$A$3:$A$5001,$B34,Base!$B$3:$B$5001,$B$2))</f>
        <v>0</v>
      </c>
      <c r="AC34">
        <f>IF($B$2="Todos",SUMIFS(Base!$AB$3:$AB$5001,Base!$A$3:$A$5001,$B34),SUMIFS(Base!$AB$3:$AB$5001,Base!$A$3:$A$5001,$B34,Base!$B$3:$B$5001,$B$2))</f>
        <v>0</v>
      </c>
      <c r="AD34">
        <f>IF($B$2="Todos",SUMIFS(Base!$AC$3:$AC$5001,Base!$A$3:$A$5001,$B34),SUMIFS(Base!$AC$3:$AC$5001,Base!$A$3:$A$5001,$B34,Base!$B$3:$B$5001,$B$2))</f>
        <v>0</v>
      </c>
      <c r="AE34">
        <f>IF($B$2="Todos",SUMIFS(Base!$AD$3:$AD$5001,Base!$A$3:$A$5001,$B34),SUMIFS(Base!$AD$3:$AD$5001,Base!$A$3:$A$5001,$B34,Base!$B$3:$B$5001,$B$2))</f>
        <v>0</v>
      </c>
      <c r="AG34">
        <f>IFERROR(N(INDEX($C34:$AE34,MATCH($B$3,$C$11:$AE$11,0))),0)</f>
        <v>612</v>
      </c>
      <c r="AH34">
        <f>IFERROR(N(INDEX($C34:$AE34,MATCH($C$3,$C$11:$AE$11,0))),0)</f>
        <v>726</v>
      </c>
      <c r="AI34">
        <f>$B$5</f>
        <v>0.7</v>
      </c>
      <c r="AJ34">
        <f>$B$6</f>
        <v>0.9</v>
      </c>
      <c r="AN34" t="inlineStr">
        <is>
          <t xml:space="preserve">NOVEMBRO · 2027</t>
        </is>
      </c>
    </row>
    <row r="35">
      <c r="A35">
        <v>24</v>
      </c>
      <c r="B35" s="152">
        <f>IF(ISNUMBER($A35),$C$7+$A35-1,"")</f>
        <v>46289</v>
      </c>
      <c r="C35">
        <f>IF($B$2="Todos",SUMIFS(Base!$C$3:$C$5001,Base!$A$3:$A$5001,$B35),SUMIFS(Base!$C$3:$C$5001,Base!$A$3:$A$5001,$B35,Base!$B$3:$B$5001,$B$2))</f>
        <v>44</v>
      </c>
      <c r="D35">
        <f>IF($B$2="Todos",SUMIFS(Base!$D$3:$D$5001,Base!$A$3:$A$5001,$B35),SUMIFS(Base!$D$3:$D$5001,Base!$A$3:$A$5001,$B35,Base!$B$3:$B$5001,$B$2))</f>
        <v>563</v>
      </c>
      <c r="E35">
        <f>IF($B$2="Todos",SUMIFS(Base!$E$3:$E$5001,Base!$A$3:$A$5001,$B35),SUMIFS(Base!$E$3:$E$5001,Base!$A$3:$A$5001,$B35,Base!$B$3:$B$5001,$B$2))</f>
        <v>149.66</v>
      </c>
      <c r="F35">
        <f>IF($B$2="Todos",SUMIFS(Base!$F$3:$F$5001,Base!$A$3:$A$5001,$B35),SUMIFS(Base!$F$3:$F$5001,Base!$A$3:$A$5001,$B35,Base!$B$3:$B$5001,$B$2))</f>
        <v>2687</v>
      </c>
      <c r="G35">
        <f>IF($B$2="Todos",SUMIFS(Base!$G$3:$G$5001,Base!$A$3:$A$5001,$B35),SUMIFS(Base!$G$3:$G$5001,Base!$A$3:$A$5001,$B35,Base!$B$3:$B$5001,$B$2))</f>
        <v>5893</v>
      </c>
      <c r="H35">
        <f>IF($B$2="Todos",SUMIFS(Base!$H$3:$H$5001,Base!$A$3:$A$5001,$B35),SUMIFS(Base!$H$3:$H$5001,Base!$A$3:$A$5001,$B35,Base!$B$3:$B$5001,$B$2))</f>
        <v>392</v>
      </c>
      <c r="I35">
        <f>IF($B$2="Todos",SUMIFS(Base!$I$3:$I$5001,Base!$A$3:$A$5001,$B35),SUMIFS(Base!$I$3:$I$5001,Base!$A$3:$A$5001,$B35,Base!$B$3:$B$5001,$B$2))</f>
        <v>203</v>
      </c>
      <c r="J35">
        <f>IF($B$2="Todos",SUMIFS(Base!$J$3:$J$5001,Base!$A$3:$A$5001,$B35),SUMIFS(Base!$J$3:$J$5001,Base!$A$3:$A$5001,$B35,Base!$B$3:$B$5001,$B$2))</f>
        <v>464</v>
      </c>
      <c r="K35">
        <f>IF($B$2="Todos",SUMIFS(Base!$K$3:$K$5001,Base!$A$3:$A$5001,$B35),SUMIFS(Base!$K$3:$K$5001,Base!$A$3:$A$5001,$B35,Base!$B$3:$B$5001,$B$2))</f>
        <v>69</v>
      </c>
      <c r="L35">
        <f>IF($B$2="Todos",SUMIFS(Base!$L$3:$L$5001,Base!$A$3:$A$5001,$B35),SUMIFS(Base!$L$3:$L$5001,Base!$A$3:$A$5001,$B35,Base!$B$3:$B$5001,$B$2))</f>
        <v>55</v>
      </c>
      <c r="M35">
        <f>IF($B$2="Todos",SUMIFS(Base!$M$3:$M$5001,Base!$A$3:$A$5001,$B35),SUMIFS(Base!$M$3:$M$5001,Base!$A$3:$A$5001,$B35,Base!$B$3:$B$5001,$B$2))</f>
        <v>582</v>
      </c>
      <c r="N35">
        <f>IF($B$2="Todos",SUMIFS(Base!$N$3:$N$5001,Base!$A$3:$A$5001,$B35),SUMIFS(Base!$N$3:$N$5001,Base!$A$3:$A$5001,$B35,Base!$B$3:$B$5001,$B$2))</f>
        <v>109.09</v>
      </c>
      <c r="O35">
        <f>IF($B$2="Todos",SUMIFS(Base!$O$3:$O$5001,Base!$A$3:$A$5001,$B35),SUMIFS(Base!$O$3:$O$5001,Base!$A$3:$A$5001,$B35,Base!$B$3:$B$5001,$B$2))</f>
        <v>2210</v>
      </c>
      <c r="P35">
        <f>IF($B$2="Todos",SUMIFS(Base!$P$3:$P$5001,Base!$A$3:$A$5001,$B35),SUMIFS(Base!$P$3:$P$5001,Base!$A$3:$A$5001,$B35,Base!$B$3:$B$5001,$B$2))</f>
        <v>582</v>
      </c>
      <c r="Q35">
        <f>IF($B$2="Todos",SUMIFS(Base!$Q$3:$Q$5001,Base!$A$3:$A$5001,$B35),SUMIFS(Base!$Q$3:$Q$5001,Base!$A$3:$A$5001,$B35,Base!$B$3:$B$5001,$B$2))</f>
        <v>891</v>
      </c>
      <c r="R35">
        <f>IF($B$2="Todos",SUMIFS(Base!$R$3:$R$5001,Base!$A$3:$A$5001,$B35),SUMIFS(Base!$R$3:$R$5001,Base!$A$3:$A$5001,$B35,Base!$B$3:$B$5001,$B$2))</f>
        <v>4444</v>
      </c>
      <c r="S35">
        <f>IF($B$2="Todos",SUMIFS(Base!$S$3:$S$5001,Base!$A$3:$A$5001,$B35),SUMIFS(Base!$S$3:$S$5001,Base!$A$3:$A$5001,$B35,Base!$B$3:$B$5001,$B$2))</f>
        <v>185</v>
      </c>
      <c r="T35">
        <f>IF($B$2="Todos",SUMIFS(Base!$T$3:$T$5001,Base!$A$3:$A$5001,$B35),SUMIFS(Base!$T$3:$T$5001,Base!$A$3:$A$5001,$B35,Base!$B$3:$B$5001,$B$2))</f>
        <v>188</v>
      </c>
      <c r="U35">
        <f>IF($B$2="Todos",SUMIFS(Base!$U$3:$U$5001,Base!$A$3:$A$5001,$B35),SUMIFS(Base!$U$3:$U$5001,Base!$A$3:$A$5001,$B35,Base!$B$3:$B$5001,$B$2))</f>
        <v>0</v>
      </c>
      <c r="V35">
        <f>IF($B$2="Todos",SUMIFS(Base!$V$3:$V$5001,Base!$A$3:$A$5001,$B35),SUMIFS(Base!$V$3:$V$5001,Base!$A$3:$A$5001,$B35,Base!$B$3:$B$5001,$B$2))</f>
        <v>1</v>
      </c>
      <c r="W35">
        <f>IF($B$2="Todos",IF(COUNT($C$151:$K$151)=0,"",SUM($C$151:$K$151)),IFERROR(INDEX($C$151:$K$151,MATCH($B$2,$C$127:$K$127,0)),""))</f>
        <v>58</v>
      </c>
      <c r="X35">
        <f>IF(Y35="","",IF($B$2="Todos",IF(ISNUMBER($B$4),$B$4,IF(COUNT($C$186:$K$186)=0,"",SUM($C$186:$K$186))),IFERROR(INDEX($C$186:$K$186,MATCH($B$2,$C$162:$K$162,0)),"")))</f>
        <v>13700</v>
      </c>
      <c r="Y35">
        <f>IF($B$2="Todos",IF(COUNT($C$221:$K$221)=0,"",SUM($C$221:$K$221)),IFERROR(INDEX($C$221:$K$221,MATCH($B$2,$C$197:$K$197,0)),""))</f>
        <v>10477</v>
      </c>
      <c r="Z35">
        <f>IF(AND(ISNUMBER(Y35),ISNUMBER(X35)),IF(X35&gt;0,Y35/X35,""),"")</f>
        <v>0.764744525547445</v>
      </c>
      <c r="AA35">
        <f>IF($B$2="Todos",IF(COUNT($C$256:$K$256)=0,"",SUM($C$256:$K$256)),IFERROR(INDEX($C$256:$K$256,MATCH($B$2,$C$232:$K$232,0)),""))</f>
        <v>82</v>
      </c>
      <c r="AB35">
        <f>IF($B$2="Todos",SUMIFS(Base!$AA$3:$AA$5001,Base!$A$3:$A$5001,$B35),SUMIFS(Base!$AA$3:$AA$5001,Base!$A$3:$A$5001,$B35,Base!$B$3:$B$5001,$B$2))</f>
        <v>2</v>
      </c>
      <c r="AC35">
        <f>IF($B$2="Todos",SUMIFS(Base!$AB$3:$AB$5001,Base!$A$3:$A$5001,$B35),SUMIFS(Base!$AB$3:$AB$5001,Base!$A$3:$A$5001,$B35,Base!$B$3:$B$5001,$B$2))</f>
        <v>1</v>
      </c>
      <c r="AD35">
        <f>IF($B$2="Todos",SUMIFS(Base!$AC$3:$AC$5001,Base!$A$3:$A$5001,$B35),SUMIFS(Base!$AC$3:$AC$5001,Base!$A$3:$A$5001,$B35,Base!$B$3:$B$5001,$B$2))</f>
        <v>0</v>
      </c>
      <c r="AE35">
        <f>IF($B$2="Todos",SUMIFS(Base!$AD$3:$AD$5001,Base!$A$3:$A$5001,$B35),SUMIFS(Base!$AD$3:$AD$5001,Base!$A$3:$A$5001,$B35,Base!$B$3:$B$5001,$B$2))</f>
        <v>0</v>
      </c>
      <c r="AG35">
        <f>IFERROR(N(INDEX($C35:$AE35,MATCH($B$3,$C$11:$AE$11,0))),0)</f>
        <v>563</v>
      </c>
      <c r="AH35">
        <f>IFERROR(N(INDEX($C35:$AE35,MATCH($C$3,$C$11:$AE$11,0))),0)</f>
        <v>582</v>
      </c>
      <c r="AI35">
        <f>$B$5</f>
        <v>0.7</v>
      </c>
      <c r="AJ35">
        <f>$B$6</f>
        <v>0.9</v>
      </c>
      <c r="AN35" t="inlineStr">
        <is>
          <t xml:space="preserve">DEZEMBRO · 2027</t>
        </is>
      </c>
    </row>
    <row r="36">
      <c r="A36">
        <v>25</v>
      </c>
      <c r="B36" s="152">
        <f>IF(ISNUMBER($A36),$C$7+$A36-1,"")</f>
        <v>46290</v>
      </c>
      <c r="C36">
        <f>IF($B$2="Todos",SUMIFS(Base!$C$3:$C$5001,Base!$A$3:$A$5001,$B36),SUMIFS(Base!$C$3:$C$5001,Base!$A$3:$A$5001,$B36,Base!$B$3:$B$5001,$B$2))</f>
        <v>57</v>
      </c>
      <c r="D36">
        <f>IF($B$2="Todos",SUMIFS(Base!$D$3:$D$5001,Base!$A$3:$A$5001,$B36),SUMIFS(Base!$D$3:$D$5001,Base!$A$3:$A$5001,$B36,Base!$B$3:$B$5001,$B$2))</f>
        <v>587</v>
      </c>
      <c r="E36">
        <f>IF($B$2="Todos",SUMIFS(Base!$E$3:$E$5001,Base!$A$3:$A$5001,$B36),SUMIFS(Base!$E$3:$E$5001,Base!$A$3:$A$5001,$B36,Base!$B$3:$B$5001,$B$2))</f>
        <v>191.11</v>
      </c>
      <c r="F36">
        <f>IF($B$2="Todos",SUMIFS(Base!$F$3:$F$5001,Base!$A$3:$A$5001,$B36),SUMIFS(Base!$F$3:$F$5001,Base!$A$3:$A$5001,$B36,Base!$B$3:$B$5001,$B$2))</f>
        <v>2706</v>
      </c>
      <c r="G36">
        <f>IF($B$2="Todos",SUMIFS(Base!$G$3:$G$5001,Base!$A$3:$A$5001,$B36),SUMIFS(Base!$G$3:$G$5001,Base!$A$3:$A$5001,$B36,Base!$B$3:$B$5001,$B$2))</f>
        <v>2950</v>
      </c>
      <c r="H36">
        <f>IF($B$2="Todos",SUMIFS(Base!$H$3:$H$5001,Base!$A$3:$A$5001,$B36),SUMIFS(Base!$H$3:$H$5001,Base!$A$3:$A$5001,$B36,Base!$B$3:$B$5001,$B$2))</f>
        <v>179</v>
      </c>
      <c r="I36">
        <f>IF($B$2="Todos",SUMIFS(Base!$I$3:$I$5001,Base!$A$3:$A$5001,$B36),SUMIFS(Base!$I$3:$I$5001,Base!$A$3:$A$5001,$B36,Base!$B$3:$B$5001,$B$2))</f>
        <v>434</v>
      </c>
      <c r="J36">
        <f>IF($B$2="Todos",SUMIFS(Base!$J$3:$J$5001,Base!$A$3:$A$5001,$B36),SUMIFS(Base!$J$3:$J$5001,Base!$A$3:$A$5001,$B36,Base!$B$3:$B$5001,$B$2))</f>
        <v>248</v>
      </c>
      <c r="K36">
        <f>IF($B$2="Todos",SUMIFS(Base!$K$3:$K$5001,Base!$A$3:$A$5001,$B36),SUMIFS(Base!$K$3:$K$5001,Base!$A$3:$A$5001,$B36,Base!$B$3:$B$5001,$B$2))</f>
        <v>84</v>
      </c>
      <c r="L36">
        <f>IF($B$2="Todos",SUMIFS(Base!$L$3:$L$5001,Base!$A$3:$A$5001,$B36),SUMIFS(Base!$L$3:$L$5001,Base!$A$3:$A$5001,$B36,Base!$B$3:$B$5001,$B$2))</f>
        <v>47</v>
      </c>
      <c r="M36">
        <f>IF($B$2="Todos",SUMIFS(Base!$M$3:$M$5001,Base!$A$3:$A$5001,$B36),SUMIFS(Base!$M$3:$M$5001,Base!$A$3:$A$5001,$B36,Base!$B$3:$B$5001,$B$2))</f>
        <v>607</v>
      </c>
      <c r="N36">
        <f>IF($B$2="Todos",SUMIFS(Base!$N$3:$N$5001,Base!$A$3:$A$5001,$B36),SUMIFS(Base!$N$3:$N$5001,Base!$A$3:$A$5001,$B36,Base!$B$3:$B$5001,$B$2))</f>
        <v>194.74</v>
      </c>
      <c r="O36">
        <f>IF($B$2="Todos",SUMIFS(Base!$O$3:$O$5001,Base!$A$3:$A$5001,$B36),SUMIFS(Base!$O$3:$O$5001,Base!$A$3:$A$5001,$B36,Base!$B$3:$B$5001,$B$2))</f>
        <v>1301</v>
      </c>
      <c r="P36">
        <f>IF($B$2="Todos",SUMIFS(Base!$P$3:$P$5001,Base!$A$3:$A$5001,$B36),SUMIFS(Base!$P$3:$P$5001,Base!$A$3:$A$5001,$B36,Base!$B$3:$B$5001,$B$2))</f>
        <v>490</v>
      </c>
      <c r="Q36">
        <f>IF($B$2="Todos",SUMIFS(Base!$Q$3:$Q$5001,Base!$A$3:$A$5001,$B36),SUMIFS(Base!$Q$3:$Q$5001,Base!$A$3:$A$5001,$B36,Base!$B$3:$B$5001,$B$2))</f>
        <v>1136</v>
      </c>
      <c r="R36">
        <f>IF($B$2="Todos",SUMIFS(Base!$R$3:$R$5001,Base!$A$3:$A$5001,$B36),SUMIFS(Base!$R$3:$R$5001,Base!$A$3:$A$5001,$B36,Base!$B$3:$B$5001,$B$2))</f>
        <v>5932</v>
      </c>
      <c r="S36">
        <f>IF($B$2="Todos",SUMIFS(Base!$S$3:$S$5001,Base!$A$3:$A$5001,$B36),SUMIFS(Base!$S$3:$S$5001,Base!$A$3:$A$5001,$B36,Base!$B$3:$B$5001,$B$2))</f>
        <v>118</v>
      </c>
      <c r="T36">
        <f>IF($B$2="Todos",SUMIFS(Base!$T$3:$T$5001,Base!$A$3:$A$5001,$B36),SUMIFS(Base!$T$3:$T$5001,Base!$A$3:$A$5001,$B36,Base!$B$3:$B$5001,$B$2))</f>
        <v>66</v>
      </c>
      <c r="U36">
        <f>IF($B$2="Todos",SUMIFS(Base!$U$3:$U$5001,Base!$A$3:$A$5001,$B36),SUMIFS(Base!$U$3:$U$5001,Base!$A$3:$A$5001,$B36,Base!$B$3:$B$5001,$B$2))</f>
        <v>0</v>
      </c>
      <c r="V36">
        <f>IF($B$2="Todos",SUMIFS(Base!$V$3:$V$5001,Base!$A$3:$A$5001,$B36),SUMIFS(Base!$V$3:$V$5001,Base!$A$3:$A$5001,$B36,Base!$B$3:$B$5001,$B$2))</f>
        <v>0</v>
      </c>
      <c r="W36">
        <f>IF($B$2="Todos",IF(COUNT($C$152:$K$152)=0,"",SUM($C$152:$K$152)),IFERROR(INDEX($C$152:$K$152,MATCH($B$2,$C$127:$K$127,0)),""))</f>
        <v>50</v>
      </c>
      <c r="X36">
        <f>IF(Y36="","",IF($B$2="Todos",IF(ISNUMBER($B$4),$B$4,IF(COUNT($C$187:$K$187)=0,"",SUM($C$187:$K$187))),IFERROR(INDEX($C$187:$K$187,MATCH($B$2,$C$162:$K$162,0)),"")))</f>
        <v>13700</v>
      </c>
      <c r="Y36">
        <f>IF($B$2="Todos",IF(COUNT($C$222:$K$222)=0,"",SUM($C$222:$K$222)),IFERROR(INDEX($C$222:$K$222,MATCH($B$2,$C$197:$K$197,0)),""))</f>
        <v>10332</v>
      </c>
      <c r="Z36">
        <f>IF(AND(ISNUMBER(Y36),ISNUMBER(X36)),IF(X36&gt;0,Y36/X36,""),"")</f>
        <v>0.754160583941606</v>
      </c>
      <c r="AA36">
        <f>IF($B$2="Todos",IF(COUNT($C$257:$K$257)=0,"",SUM($C$257:$K$257)),IFERROR(INDEX($C$257:$K$257,MATCH($B$2,$C$232:$K$232,0)),""))</f>
        <v>74</v>
      </c>
      <c r="AB36">
        <f>IF($B$2="Todos",SUMIFS(Base!$AA$3:$AA$5001,Base!$A$3:$A$5001,$B36),SUMIFS(Base!$AA$3:$AA$5001,Base!$A$3:$A$5001,$B36,Base!$B$3:$B$5001,$B$2))</f>
        <v>3</v>
      </c>
      <c r="AC36">
        <f>IF($B$2="Todos",SUMIFS(Base!$AB$3:$AB$5001,Base!$A$3:$A$5001,$B36),SUMIFS(Base!$AB$3:$AB$5001,Base!$A$3:$A$5001,$B36,Base!$B$3:$B$5001,$B$2))</f>
        <v>0</v>
      </c>
      <c r="AD36">
        <f>IF($B$2="Todos",SUMIFS(Base!$AC$3:$AC$5001,Base!$A$3:$A$5001,$B36),SUMIFS(Base!$AC$3:$AC$5001,Base!$A$3:$A$5001,$B36,Base!$B$3:$B$5001,$B$2))</f>
        <v>0</v>
      </c>
      <c r="AE36">
        <f>IF($B$2="Todos",SUMIFS(Base!$AD$3:$AD$5001,Base!$A$3:$A$5001,$B36),SUMIFS(Base!$AD$3:$AD$5001,Base!$A$3:$A$5001,$B36,Base!$B$3:$B$5001,$B$2))</f>
        <v>0</v>
      </c>
      <c r="AG36">
        <f>IFERROR(N(INDEX($C36:$AE36,MATCH($B$3,$C$11:$AE$11,0))),0)</f>
        <v>587</v>
      </c>
      <c r="AH36">
        <f>IFERROR(N(INDEX($C36:$AE36,MATCH($C$3,$C$11:$AE$11,0))),0)</f>
        <v>607</v>
      </c>
      <c r="AI36">
        <f>$B$5</f>
        <v>0.7</v>
      </c>
      <c r="AJ36">
        <f>$B$6</f>
        <v>0.9</v>
      </c>
    </row>
    <row r="37">
      <c r="A37">
        <v>26</v>
      </c>
      <c r="B37" s="152">
        <f>IF(ISNUMBER($A37),$C$7+$A37-1,"")</f>
        <v>46291</v>
      </c>
      <c r="C37">
        <f>IF($B$2="Todos",SUMIFS(Base!$C$3:$C$5001,Base!$A$3:$A$5001,$B37),SUMIFS(Base!$C$3:$C$5001,Base!$A$3:$A$5001,$B37,Base!$B$3:$B$5001,$B$2))</f>
        <v>46</v>
      </c>
      <c r="D37">
        <f>IF($B$2="Todos",SUMIFS(Base!$D$3:$D$5001,Base!$A$3:$A$5001,$B37),SUMIFS(Base!$D$3:$D$5001,Base!$A$3:$A$5001,$B37,Base!$B$3:$B$5001,$B$2))</f>
        <v>483</v>
      </c>
      <c r="E37">
        <f>IF($B$2="Todos",SUMIFS(Base!$E$3:$E$5001,Base!$A$3:$A$5001,$B37),SUMIFS(Base!$E$3:$E$5001,Base!$A$3:$A$5001,$B37,Base!$B$3:$B$5001,$B$2))</f>
        <v>147.22</v>
      </c>
      <c r="F37">
        <f>IF($B$2="Todos",SUMIFS(Base!$F$3:$F$5001,Base!$A$3:$A$5001,$B37),SUMIFS(Base!$F$3:$F$5001,Base!$A$3:$A$5001,$B37,Base!$B$3:$B$5001,$B$2))</f>
        <v>3112</v>
      </c>
      <c r="G37">
        <f>IF($B$2="Todos",SUMIFS(Base!$G$3:$G$5001,Base!$A$3:$A$5001,$B37),SUMIFS(Base!$G$3:$G$5001,Base!$A$3:$A$5001,$B37,Base!$B$3:$B$5001,$B$2))</f>
        <v>2125</v>
      </c>
      <c r="H37">
        <f>IF($B$2="Todos",SUMIFS(Base!$H$3:$H$5001,Base!$A$3:$A$5001,$B37),SUMIFS(Base!$H$3:$H$5001,Base!$A$3:$A$5001,$B37,Base!$B$3:$B$5001,$B$2))</f>
        <v>382</v>
      </c>
      <c r="I37">
        <f>IF($B$2="Todos",SUMIFS(Base!$I$3:$I$5001,Base!$A$3:$A$5001,$B37),SUMIFS(Base!$I$3:$I$5001,Base!$A$3:$A$5001,$B37,Base!$B$3:$B$5001,$B$2))</f>
        <v>865</v>
      </c>
      <c r="J37">
        <f>IF($B$2="Todos",SUMIFS(Base!$J$3:$J$5001,Base!$A$3:$A$5001,$B37),SUMIFS(Base!$J$3:$J$5001,Base!$A$3:$A$5001,$B37,Base!$B$3:$B$5001,$B$2))</f>
        <v>184</v>
      </c>
      <c r="K37">
        <f>IF($B$2="Todos",SUMIFS(Base!$K$3:$K$5001,Base!$A$3:$A$5001,$B37),SUMIFS(Base!$K$3:$K$5001,Base!$A$3:$A$5001,$B37,Base!$B$3:$B$5001,$B$2))</f>
        <v>100</v>
      </c>
      <c r="L37">
        <f>IF($B$2="Todos",SUMIFS(Base!$L$3:$L$5001,Base!$A$3:$A$5001,$B37),SUMIFS(Base!$L$3:$L$5001,Base!$A$3:$A$5001,$B37,Base!$B$3:$B$5001,$B$2))</f>
        <v>53</v>
      </c>
      <c r="M37">
        <f>IF($B$2="Todos",SUMIFS(Base!$M$3:$M$5001,Base!$A$3:$A$5001,$B37),SUMIFS(Base!$M$3:$M$5001,Base!$A$3:$A$5001,$B37,Base!$B$3:$B$5001,$B$2))</f>
        <v>581</v>
      </c>
      <c r="N37">
        <f>IF($B$2="Todos",SUMIFS(Base!$N$3:$N$5001,Base!$A$3:$A$5001,$B37),SUMIFS(Base!$N$3:$N$5001,Base!$A$3:$A$5001,$B37,Base!$B$3:$B$5001,$B$2))</f>
        <v>191.53</v>
      </c>
      <c r="O37">
        <f>IF($B$2="Todos",SUMIFS(Base!$O$3:$O$5001,Base!$A$3:$A$5001,$B37),SUMIFS(Base!$O$3:$O$5001,Base!$A$3:$A$5001,$B37,Base!$B$3:$B$5001,$B$2))</f>
        <v>399</v>
      </c>
      <c r="P37">
        <f>IF($B$2="Todos",SUMIFS(Base!$P$3:$P$5001,Base!$A$3:$A$5001,$B37),SUMIFS(Base!$P$3:$P$5001,Base!$A$3:$A$5001,$B37,Base!$B$3:$B$5001,$B$2))</f>
        <v>171</v>
      </c>
      <c r="Q37">
        <f>IF($B$2="Todos",SUMIFS(Base!$Q$3:$Q$5001,Base!$A$3:$A$5001,$B37),SUMIFS(Base!$Q$3:$Q$5001,Base!$A$3:$A$5001,$B37,Base!$B$3:$B$5001,$B$2))</f>
        <v>496</v>
      </c>
      <c r="R37">
        <f>IF($B$2="Todos",SUMIFS(Base!$R$3:$R$5001,Base!$A$3:$A$5001,$B37),SUMIFS(Base!$R$3:$R$5001,Base!$A$3:$A$5001,$B37,Base!$B$3:$B$5001,$B$2))</f>
        <v>3907</v>
      </c>
      <c r="S37">
        <f>IF($B$2="Todos",SUMIFS(Base!$S$3:$S$5001,Base!$A$3:$A$5001,$B37),SUMIFS(Base!$S$3:$S$5001,Base!$A$3:$A$5001,$B37,Base!$B$3:$B$5001,$B$2))</f>
        <v>186</v>
      </c>
      <c r="T37">
        <f>IF($B$2="Todos",SUMIFS(Base!$T$3:$T$5001,Base!$A$3:$A$5001,$B37),SUMIFS(Base!$T$3:$T$5001,Base!$A$3:$A$5001,$B37,Base!$B$3:$B$5001,$B$2))</f>
        <v>84</v>
      </c>
      <c r="U37">
        <f>IF($B$2="Todos",SUMIFS(Base!$U$3:$U$5001,Base!$A$3:$A$5001,$B37),SUMIFS(Base!$U$3:$U$5001,Base!$A$3:$A$5001,$B37,Base!$B$3:$B$5001,$B$2))</f>
        <v>0</v>
      </c>
      <c r="V37">
        <f>IF($B$2="Todos",SUMIFS(Base!$V$3:$V$5001,Base!$A$3:$A$5001,$B37),SUMIFS(Base!$V$3:$V$5001,Base!$A$3:$A$5001,$B37,Base!$B$3:$B$5001,$B$2))</f>
        <v>0</v>
      </c>
      <c r="W37">
        <f>IF($B$2="Todos",IF(COUNT($C$153:$K$153)=0,"",SUM($C$153:$K$153)),IFERROR(INDEX($C$153:$K$153,MATCH($B$2,$C$127:$K$127,0)),""))</f>
        <v>77</v>
      </c>
      <c r="X37">
        <f>IF(Y37="","",IF($B$2="Todos",IF(ISNUMBER($B$4),$B$4,IF(COUNT($C$188:$K$188)=0,"",SUM($C$188:$K$188))),IFERROR(INDEX($C$188:$K$188,MATCH($B$2,$C$162:$K$162,0)),"")))</f>
        <v>13700</v>
      </c>
      <c r="Y37">
        <f>IF($B$2="Todos",IF(COUNT($C$223:$K$223)=0,"",SUM($C$223:$K$223)),IFERROR(INDEX($C$223:$K$223,MATCH($B$2,$C$197:$K$197,0)),""))</f>
        <v>10291</v>
      </c>
      <c r="Z37">
        <f>IF(AND(ISNUMBER(Y37),ISNUMBER(X37)),IF(X37&gt;0,Y37/X37,""),"")</f>
        <v>0.751167883211679</v>
      </c>
      <c r="AA37">
        <f>IF($B$2="Todos",IF(COUNT($C$258:$K$258)=0,"",SUM($C$258:$K$258)),IFERROR(INDEX($C$258:$K$258,MATCH($B$2,$C$232:$K$232,0)),""))</f>
        <v>83</v>
      </c>
      <c r="AB37">
        <f>IF($B$2="Todos",SUMIFS(Base!$AA$3:$AA$5001,Base!$A$3:$A$5001,$B37),SUMIFS(Base!$AA$3:$AA$5001,Base!$A$3:$A$5001,$B37,Base!$B$3:$B$5001,$B$2))</f>
        <v>2</v>
      </c>
      <c r="AC37">
        <f>IF($B$2="Todos",SUMIFS(Base!$AB$3:$AB$5001,Base!$A$3:$A$5001,$B37),SUMIFS(Base!$AB$3:$AB$5001,Base!$A$3:$A$5001,$B37,Base!$B$3:$B$5001,$B$2))</f>
        <v>2</v>
      </c>
      <c r="AD37">
        <f>IF($B$2="Todos",SUMIFS(Base!$AC$3:$AC$5001,Base!$A$3:$A$5001,$B37),SUMIFS(Base!$AC$3:$AC$5001,Base!$A$3:$A$5001,$B37,Base!$B$3:$B$5001,$B$2))</f>
        <v>1</v>
      </c>
      <c r="AE37">
        <f>IF($B$2="Todos",SUMIFS(Base!$AD$3:$AD$5001,Base!$A$3:$A$5001,$B37),SUMIFS(Base!$AD$3:$AD$5001,Base!$A$3:$A$5001,$B37,Base!$B$3:$B$5001,$B$2))</f>
        <v>0</v>
      </c>
      <c r="AG37">
        <f>IFERROR(N(INDEX($C37:$AE37,MATCH($B$3,$C$11:$AE$11,0))),0)</f>
        <v>483</v>
      </c>
      <c r="AH37">
        <f>IFERROR(N(INDEX($C37:$AE37,MATCH($C$3,$C$11:$AE$11,0))),0)</f>
        <v>581</v>
      </c>
      <c r="AI37">
        <f>$B$5</f>
        <v>0.7</v>
      </c>
      <c r="AJ37">
        <f>$B$6</f>
        <v>0.9</v>
      </c>
    </row>
    <row r="38">
      <c r="A38">
        <v>27</v>
      </c>
      <c r="B38" s="152">
        <f>IF(ISNUMBER($A38),$C$7+$A38-1,"")</f>
        <v>46292</v>
      </c>
      <c r="C38">
        <f>IF($B$2="Todos",SUMIFS(Base!$C$3:$C$5001,Base!$A$3:$A$5001,$B38),SUMIFS(Base!$C$3:$C$5001,Base!$A$3:$A$5001,$B38,Base!$B$3:$B$5001,$B$2))</f>
        <v>0</v>
      </c>
      <c r="D38">
        <f>IF($B$2="Todos",SUMIFS(Base!$D$3:$D$5001,Base!$A$3:$A$5001,$B38),SUMIFS(Base!$D$3:$D$5001,Base!$A$3:$A$5001,$B38,Base!$B$3:$B$5001,$B$2))</f>
        <v>0</v>
      </c>
      <c r="E38">
        <f>IF($B$2="Todos",SUMIFS(Base!$E$3:$E$5001,Base!$A$3:$A$5001,$B38),SUMIFS(Base!$E$3:$E$5001,Base!$A$3:$A$5001,$B38,Base!$B$3:$B$5001,$B$2))</f>
        <v>0</v>
      </c>
      <c r="F38">
        <f>IF($B$2="Todos",SUMIFS(Base!$F$3:$F$5001,Base!$A$3:$A$5001,$B38),SUMIFS(Base!$F$3:$F$5001,Base!$A$3:$A$5001,$B38,Base!$B$3:$B$5001,$B$2))</f>
        <v>0</v>
      </c>
      <c r="G38">
        <f>IF($B$2="Todos",SUMIFS(Base!$G$3:$G$5001,Base!$A$3:$A$5001,$B38),SUMIFS(Base!$G$3:$G$5001,Base!$A$3:$A$5001,$B38,Base!$B$3:$B$5001,$B$2))</f>
        <v>0</v>
      </c>
      <c r="H38">
        <f>IF($B$2="Todos",SUMIFS(Base!$H$3:$H$5001,Base!$A$3:$A$5001,$B38),SUMIFS(Base!$H$3:$H$5001,Base!$A$3:$A$5001,$B38,Base!$B$3:$B$5001,$B$2))</f>
        <v>0</v>
      </c>
      <c r="I38">
        <f>IF($B$2="Todos",SUMIFS(Base!$I$3:$I$5001,Base!$A$3:$A$5001,$B38),SUMIFS(Base!$I$3:$I$5001,Base!$A$3:$A$5001,$B38,Base!$B$3:$B$5001,$B$2))</f>
        <v>0</v>
      </c>
      <c r="J38">
        <f>IF($B$2="Todos",SUMIFS(Base!$J$3:$J$5001,Base!$A$3:$A$5001,$B38),SUMIFS(Base!$J$3:$J$5001,Base!$A$3:$A$5001,$B38,Base!$B$3:$B$5001,$B$2))</f>
        <v>0</v>
      </c>
      <c r="K38">
        <f>IF($B$2="Todos",SUMIFS(Base!$K$3:$K$5001,Base!$A$3:$A$5001,$B38),SUMIFS(Base!$K$3:$K$5001,Base!$A$3:$A$5001,$B38,Base!$B$3:$B$5001,$B$2))</f>
        <v>0</v>
      </c>
      <c r="L38">
        <f>IF($B$2="Todos",SUMIFS(Base!$L$3:$L$5001,Base!$A$3:$A$5001,$B38),SUMIFS(Base!$L$3:$L$5001,Base!$A$3:$A$5001,$B38,Base!$B$3:$B$5001,$B$2))</f>
        <v>0</v>
      </c>
      <c r="M38">
        <f>IF($B$2="Todos",SUMIFS(Base!$M$3:$M$5001,Base!$A$3:$A$5001,$B38),SUMIFS(Base!$M$3:$M$5001,Base!$A$3:$A$5001,$B38,Base!$B$3:$B$5001,$B$2))</f>
        <v>0</v>
      </c>
      <c r="N38">
        <f>IF($B$2="Todos",SUMIFS(Base!$N$3:$N$5001,Base!$A$3:$A$5001,$B38),SUMIFS(Base!$N$3:$N$5001,Base!$A$3:$A$5001,$B38,Base!$B$3:$B$5001,$B$2))</f>
        <v>0</v>
      </c>
      <c r="O38">
        <f>IF($B$2="Todos",SUMIFS(Base!$O$3:$O$5001,Base!$A$3:$A$5001,$B38),SUMIFS(Base!$O$3:$O$5001,Base!$A$3:$A$5001,$B38,Base!$B$3:$B$5001,$B$2))</f>
        <v>0</v>
      </c>
      <c r="P38">
        <f>IF($B$2="Todos",SUMIFS(Base!$P$3:$P$5001,Base!$A$3:$A$5001,$B38),SUMIFS(Base!$P$3:$P$5001,Base!$A$3:$A$5001,$B38,Base!$B$3:$B$5001,$B$2))</f>
        <v>0</v>
      </c>
      <c r="Q38">
        <f>IF($B$2="Todos",SUMIFS(Base!$Q$3:$Q$5001,Base!$A$3:$A$5001,$B38),SUMIFS(Base!$Q$3:$Q$5001,Base!$A$3:$A$5001,$B38,Base!$B$3:$B$5001,$B$2))</f>
        <v>0</v>
      </c>
      <c r="R38">
        <f>IF($B$2="Todos",SUMIFS(Base!$R$3:$R$5001,Base!$A$3:$A$5001,$B38),SUMIFS(Base!$R$3:$R$5001,Base!$A$3:$A$5001,$B38,Base!$B$3:$B$5001,$B$2))</f>
        <v>0</v>
      </c>
      <c r="S38">
        <f>IF($B$2="Todos",SUMIFS(Base!$S$3:$S$5001,Base!$A$3:$A$5001,$B38),SUMIFS(Base!$S$3:$S$5001,Base!$A$3:$A$5001,$B38,Base!$B$3:$B$5001,$B$2))</f>
        <v>0</v>
      </c>
      <c r="T38">
        <f>IF($B$2="Todos",SUMIFS(Base!$T$3:$T$5001,Base!$A$3:$A$5001,$B38),SUMIFS(Base!$T$3:$T$5001,Base!$A$3:$A$5001,$B38,Base!$B$3:$B$5001,$B$2))</f>
        <v>0</v>
      </c>
      <c r="U38">
        <f>IF($B$2="Todos",SUMIFS(Base!$U$3:$U$5001,Base!$A$3:$A$5001,$B38),SUMIFS(Base!$U$3:$U$5001,Base!$A$3:$A$5001,$B38,Base!$B$3:$B$5001,$B$2))</f>
        <v>0</v>
      </c>
      <c r="V38">
        <f>IF($B$2="Todos",SUMIFS(Base!$V$3:$V$5001,Base!$A$3:$A$5001,$B38),SUMIFS(Base!$V$3:$V$5001,Base!$A$3:$A$5001,$B38,Base!$B$3:$B$5001,$B$2))</f>
        <v>0</v>
      </c>
      <c r="W38">
        <f>IF($B$2="Todos",IF(COUNT($C$154:$K$154)=0,"",SUM($C$154:$K$154)),IFERROR(INDEX($C$154:$K$154,MATCH($B$2,$C$127:$K$127,0)),""))</f>
        <v>77</v>
      </c>
      <c r="X38">
        <f>IF(Y38="","",IF($B$2="Todos",IF(ISNUMBER($B$4),$B$4,IF(COUNT($C$189:$K$189)=0,"",SUM($C$189:$K$189))),IFERROR(INDEX($C$189:$K$189,MATCH($B$2,$C$162:$K$162,0)),"")))</f>
        <v>13700</v>
      </c>
      <c r="Y38">
        <f>IF($B$2="Todos",IF(COUNT($C$224:$K$224)=0,"",SUM($C$224:$K$224)),IFERROR(INDEX($C$224:$K$224,MATCH($B$2,$C$197:$K$197,0)),""))</f>
        <v>10291</v>
      </c>
      <c r="Z38">
        <f>IF(AND(ISNUMBER(Y38),ISNUMBER(X38)),IF(X38&gt;0,Y38/X38,""),"")</f>
        <v>0.751167883211679</v>
      </c>
      <c r="AA38">
        <f>IF($B$2="Todos",IF(COUNT($C$259:$K$259)=0,"",SUM($C$259:$K$259)),IFERROR(INDEX($C$259:$K$259,MATCH($B$2,$C$232:$K$232,0)),""))</f>
        <v>83</v>
      </c>
      <c r="AB38">
        <f>IF($B$2="Todos",SUMIFS(Base!$AA$3:$AA$5001,Base!$A$3:$A$5001,$B38),SUMIFS(Base!$AA$3:$AA$5001,Base!$A$3:$A$5001,$B38,Base!$B$3:$B$5001,$B$2))</f>
        <v>0</v>
      </c>
      <c r="AC38">
        <f>IF($B$2="Todos",SUMIFS(Base!$AB$3:$AB$5001,Base!$A$3:$A$5001,$B38),SUMIFS(Base!$AB$3:$AB$5001,Base!$A$3:$A$5001,$B38,Base!$B$3:$B$5001,$B$2))</f>
        <v>0</v>
      </c>
      <c r="AD38">
        <f>IF($B$2="Todos",SUMIFS(Base!$AC$3:$AC$5001,Base!$A$3:$A$5001,$B38),SUMIFS(Base!$AC$3:$AC$5001,Base!$A$3:$A$5001,$B38,Base!$B$3:$B$5001,$B$2))</f>
        <v>0</v>
      </c>
      <c r="AE38">
        <f>IF($B$2="Todos",SUMIFS(Base!$AD$3:$AD$5001,Base!$A$3:$A$5001,$B38),SUMIFS(Base!$AD$3:$AD$5001,Base!$A$3:$A$5001,$B38,Base!$B$3:$B$5001,$B$2))</f>
        <v>0</v>
      </c>
      <c r="AG38">
        <f>IFERROR(N(INDEX($C38:$AE38,MATCH($B$3,$C$11:$AE$11,0))),0)</f>
        <v>0</v>
      </c>
      <c r="AH38">
        <f>IFERROR(N(INDEX($C38:$AE38,MATCH($C$3,$C$11:$AE$11,0))),0)</f>
        <v>0</v>
      </c>
      <c r="AI38">
        <f>$B$5</f>
        <v>0.7</v>
      </c>
      <c r="AJ38">
        <f>$B$6</f>
        <v>0.9</v>
      </c>
    </row>
    <row r="39">
      <c r="A39">
        <v>28</v>
      </c>
      <c r="B39" s="152">
        <f>IF(ISNUMBER($A39),$C$7+$A39-1,"")</f>
        <v>46293</v>
      </c>
      <c r="C39">
        <f>IF($B$2="Todos",SUMIFS(Base!$C$3:$C$5001,Base!$A$3:$A$5001,$B39),SUMIFS(Base!$C$3:$C$5001,Base!$A$3:$A$5001,$B39,Base!$B$3:$B$5001,$B$2))</f>
        <v>38</v>
      </c>
      <c r="D39">
        <f>IF($B$2="Todos",SUMIFS(Base!$D$3:$D$5001,Base!$A$3:$A$5001,$B39),SUMIFS(Base!$D$3:$D$5001,Base!$A$3:$A$5001,$B39,Base!$B$3:$B$5001,$B$2))</f>
        <v>532</v>
      </c>
      <c r="E39">
        <f>IF($B$2="Todos",SUMIFS(Base!$E$3:$E$5001,Base!$A$3:$A$5001,$B39),SUMIFS(Base!$E$3:$E$5001,Base!$A$3:$A$5001,$B39,Base!$B$3:$B$5001,$B$2))</f>
        <v>149.41</v>
      </c>
      <c r="F39">
        <f>IF($B$2="Todos",SUMIFS(Base!$F$3:$F$5001,Base!$A$3:$A$5001,$B39),SUMIFS(Base!$F$3:$F$5001,Base!$A$3:$A$5001,$B39,Base!$B$3:$B$5001,$B$2))</f>
        <v>4537</v>
      </c>
      <c r="G39">
        <f>IF($B$2="Todos",SUMIFS(Base!$G$3:$G$5001,Base!$A$3:$A$5001,$B39),SUMIFS(Base!$G$3:$G$5001,Base!$A$3:$A$5001,$B39,Base!$B$3:$B$5001,$B$2))</f>
        <v>5721</v>
      </c>
      <c r="H39">
        <f>IF($B$2="Todos",SUMIFS(Base!$H$3:$H$5001,Base!$A$3:$A$5001,$B39),SUMIFS(Base!$H$3:$H$5001,Base!$A$3:$A$5001,$B39,Base!$B$3:$B$5001,$B$2))</f>
        <v>61</v>
      </c>
      <c r="I39">
        <f>IF($B$2="Todos",SUMIFS(Base!$I$3:$I$5001,Base!$A$3:$A$5001,$B39),SUMIFS(Base!$I$3:$I$5001,Base!$A$3:$A$5001,$B39,Base!$B$3:$B$5001,$B$2))</f>
        <v>435</v>
      </c>
      <c r="J39">
        <f>IF($B$2="Todos",SUMIFS(Base!$J$3:$J$5001,Base!$A$3:$A$5001,$B39),SUMIFS(Base!$J$3:$J$5001,Base!$A$3:$A$5001,$B39,Base!$B$3:$B$5001,$B$2))</f>
        <v>279</v>
      </c>
      <c r="K39">
        <f>IF($B$2="Todos",SUMIFS(Base!$K$3:$K$5001,Base!$A$3:$A$5001,$B39),SUMIFS(Base!$K$3:$K$5001,Base!$A$3:$A$5001,$B39,Base!$B$3:$B$5001,$B$2))</f>
        <v>84</v>
      </c>
      <c r="L39">
        <f>IF($B$2="Todos",SUMIFS(Base!$L$3:$L$5001,Base!$A$3:$A$5001,$B39),SUMIFS(Base!$L$3:$L$5001,Base!$A$3:$A$5001,$B39,Base!$B$3:$B$5001,$B$2))</f>
        <v>54</v>
      </c>
      <c r="M39">
        <f>IF($B$2="Todos",SUMIFS(Base!$M$3:$M$5001,Base!$A$3:$A$5001,$B39),SUMIFS(Base!$M$3:$M$5001,Base!$A$3:$A$5001,$B39,Base!$B$3:$B$5001,$B$2))</f>
        <v>694</v>
      </c>
      <c r="N39">
        <f>IF($B$2="Todos",SUMIFS(Base!$N$3:$N$5001,Base!$A$3:$A$5001,$B39),SUMIFS(Base!$N$3:$N$5001,Base!$A$3:$A$5001,$B39,Base!$B$3:$B$5001,$B$2))</f>
        <v>264.27</v>
      </c>
      <c r="O39">
        <f>IF($B$2="Todos",SUMIFS(Base!$O$3:$O$5001,Base!$A$3:$A$5001,$B39),SUMIFS(Base!$O$3:$O$5001,Base!$A$3:$A$5001,$B39,Base!$B$3:$B$5001,$B$2))</f>
        <v>957</v>
      </c>
      <c r="P39">
        <f>IF($B$2="Todos",SUMIFS(Base!$P$3:$P$5001,Base!$A$3:$A$5001,$B39),SUMIFS(Base!$P$3:$P$5001,Base!$A$3:$A$5001,$B39,Base!$B$3:$B$5001,$B$2))</f>
        <v>407</v>
      </c>
      <c r="Q39">
        <f>IF($B$2="Todos",SUMIFS(Base!$Q$3:$Q$5001,Base!$A$3:$A$5001,$B39),SUMIFS(Base!$Q$3:$Q$5001,Base!$A$3:$A$5001,$B39,Base!$B$3:$B$5001,$B$2))</f>
        <v>1197</v>
      </c>
      <c r="R39">
        <f>IF($B$2="Todos",SUMIFS(Base!$R$3:$R$5001,Base!$A$3:$A$5001,$B39),SUMIFS(Base!$R$3:$R$5001,Base!$A$3:$A$5001,$B39,Base!$B$3:$B$5001,$B$2))</f>
        <v>2282</v>
      </c>
      <c r="S39">
        <f>IF($B$2="Todos",SUMIFS(Base!$S$3:$S$5001,Base!$A$3:$A$5001,$B39),SUMIFS(Base!$S$3:$S$5001,Base!$A$3:$A$5001,$B39,Base!$B$3:$B$5001,$B$2))</f>
        <v>533</v>
      </c>
      <c r="T39">
        <f>IF($B$2="Todos",SUMIFS(Base!$T$3:$T$5001,Base!$A$3:$A$5001,$B39),SUMIFS(Base!$T$3:$T$5001,Base!$A$3:$A$5001,$B39,Base!$B$3:$B$5001,$B$2))</f>
        <v>132</v>
      </c>
      <c r="U39">
        <f>IF($B$2="Todos",SUMIFS(Base!$U$3:$U$5001,Base!$A$3:$A$5001,$B39),SUMIFS(Base!$U$3:$U$5001,Base!$A$3:$A$5001,$B39,Base!$B$3:$B$5001,$B$2))</f>
        <v>0</v>
      </c>
      <c r="V39">
        <f>IF($B$2="Todos",SUMIFS(Base!$V$3:$V$5001,Base!$A$3:$A$5001,$B39),SUMIFS(Base!$V$3:$V$5001,Base!$A$3:$A$5001,$B39,Base!$B$3:$B$5001,$B$2))</f>
        <v>0</v>
      </c>
      <c r="W39">
        <f>IF($B$2="Todos",IF(COUNT($C$155:$K$155)=0,"",SUM($C$155:$K$155)),IFERROR(INDEX($C$155:$K$155,MATCH($B$2,$C$127:$K$127,0)),""))</f>
        <v>70</v>
      </c>
      <c r="X39">
        <f>IF(Y39="","",IF($B$2="Todos",IF(ISNUMBER($B$4),$B$4,IF(COUNT($C$190:$K$190)=0,"",SUM($C$190:$K$190))),IFERROR(INDEX($C$190:$K$190,MATCH($B$2,$C$162:$K$162,0)),"")))</f>
        <v>13700</v>
      </c>
      <c r="Y39">
        <f>IF($B$2="Todos",IF(COUNT($C$225:$K$225)=0,"",SUM($C$225:$K$225)),IFERROR(INDEX($C$225:$K$225,MATCH($B$2,$C$197:$K$197,0)),""))</f>
        <v>10446</v>
      </c>
      <c r="Z39">
        <f>IF(AND(ISNUMBER(Y39),ISNUMBER(X39)),IF(X39&gt;0,Y39/X39,""),"")</f>
        <v>0.762481751824818</v>
      </c>
      <c r="AA39">
        <f>IF($B$2="Todos",IF(COUNT($C$260:$K$260)=0,"",SUM($C$260:$K$260)),IFERROR(INDEX($C$260:$K$260,MATCH($B$2,$C$232:$K$232,0)),""))</f>
        <v>78</v>
      </c>
      <c r="AB39">
        <f>IF($B$2="Todos",SUMIFS(Base!$AA$3:$AA$5001,Base!$A$3:$A$5001,$B39),SUMIFS(Base!$AA$3:$AA$5001,Base!$A$3:$A$5001,$B39,Base!$B$3:$B$5001,$B$2))</f>
        <v>2</v>
      </c>
      <c r="AC39">
        <f>IF($B$2="Todos",SUMIFS(Base!$AB$3:$AB$5001,Base!$A$3:$A$5001,$B39),SUMIFS(Base!$AB$3:$AB$5001,Base!$A$3:$A$5001,$B39,Base!$B$3:$B$5001,$B$2))</f>
        <v>1</v>
      </c>
      <c r="AD39">
        <f>IF($B$2="Todos",SUMIFS(Base!$AC$3:$AC$5001,Base!$A$3:$A$5001,$B39),SUMIFS(Base!$AC$3:$AC$5001,Base!$A$3:$A$5001,$B39,Base!$B$3:$B$5001,$B$2))</f>
        <v>1</v>
      </c>
      <c r="AE39">
        <f>IF($B$2="Todos",SUMIFS(Base!$AD$3:$AD$5001,Base!$A$3:$A$5001,$B39),SUMIFS(Base!$AD$3:$AD$5001,Base!$A$3:$A$5001,$B39,Base!$B$3:$B$5001,$B$2))</f>
        <v>0</v>
      </c>
      <c r="AG39">
        <f>IFERROR(N(INDEX($C39:$AE39,MATCH($B$3,$C$11:$AE$11,0))),0)</f>
        <v>532</v>
      </c>
      <c r="AH39">
        <f>IFERROR(N(INDEX($C39:$AE39,MATCH($C$3,$C$11:$AE$11,0))),0)</f>
        <v>694</v>
      </c>
      <c r="AI39">
        <f>$B$5</f>
        <v>0.7</v>
      </c>
      <c r="AJ39">
        <f>$B$6</f>
        <v>0.9</v>
      </c>
    </row>
    <row r="40">
      <c r="A40">
        <f>IF(DAY($D$7)&gt;=29,29,"")</f>
        <v>29</v>
      </c>
      <c r="B40" s="152">
        <f>IF(ISNUMBER($A40),$C$7+$A40-1,"")</f>
        <v>46294</v>
      </c>
      <c r="C40">
        <f>IF($B$2="Todos",SUMIFS(Base!$C$3:$C$5001,Base!$A$3:$A$5001,$B40),SUMIFS(Base!$C$3:$C$5001,Base!$A$3:$A$5001,$B40,Base!$B$3:$B$5001,$B$2))</f>
        <v>51</v>
      </c>
      <c r="D40">
        <f>IF($B$2="Todos",SUMIFS(Base!$D$3:$D$5001,Base!$A$3:$A$5001,$B40),SUMIFS(Base!$D$3:$D$5001,Base!$A$3:$A$5001,$B40,Base!$B$3:$B$5001,$B$2))</f>
        <v>504</v>
      </c>
      <c r="E40">
        <f>IF($B$2="Todos",SUMIFS(Base!$E$3:$E$5001,Base!$A$3:$A$5001,$B40),SUMIFS(Base!$E$3:$E$5001,Base!$A$3:$A$5001,$B40,Base!$B$3:$B$5001,$B$2))</f>
        <v>71.89</v>
      </c>
      <c r="F40">
        <f>IF($B$2="Todos",SUMIFS(Base!$F$3:$F$5001,Base!$A$3:$A$5001,$B40),SUMIFS(Base!$F$3:$F$5001,Base!$A$3:$A$5001,$B40,Base!$B$3:$B$5001,$B$2))</f>
        <v>3991</v>
      </c>
      <c r="G40">
        <f>IF($B$2="Todos",SUMIFS(Base!$G$3:$G$5001,Base!$A$3:$A$5001,$B40),SUMIFS(Base!$G$3:$G$5001,Base!$A$3:$A$5001,$B40,Base!$B$3:$B$5001,$B$2))</f>
        <v>3982</v>
      </c>
      <c r="H40">
        <f>IF($B$2="Todos",SUMIFS(Base!$H$3:$H$5001,Base!$A$3:$A$5001,$B40),SUMIFS(Base!$H$3:$H$5001,Base!$A$3:$A$5001,$B40,Base!$B$3:$B$5001,$B$2))</f>
        <v>347</v>
      </c>
      <c r="I40">
        <f>IF($B$2="Todos",SUMIFS(Base!$I$3:$I$5001,Base!$A$3:$A$5001,$B40),SUMIFS(Base!$I$3:$I$5001,Base!$A$3:$A$5001,$B40,Base!$B$3:$B$5001,$B$2))</f>
        <v>682</v>
      </c>
      <c r="J40">
        <f>IF($B$2="Todos",SUMIFS(Base!$J$3:$J$5001,Base!$A$3:$A$5001,$B40),SUMIFS(Base!$J$3:$J$5001,Base!$A$3:$A$5001,$B40,Base!$B$3:$B$5001,$B$2))</f>
        <v>145</v>
      </c>
      <c r="K40">
        <f>IF($B$2="Todos",SUMIFS(Base!$K$3:$K$5001,Base!$A$3:$A$5001,$B40),SUMIFS(Base!$K$3:$K$5001,Base!$A$3:$A$5001,$B40,Base!$B$3:$B$5001,$B$2))</f>
        <v>124</v>
      </c>
      <c r="L40">
        <f>IF($B$2="Todos",SUMIFS(Base!$L$3:$L$5001,Base!$A$3:$A$5001,$B40),SUMIFS(Base!$L$3:$L$5001,Base!$A$3:$A$5001,$B40,Base!$B$3:$B$5001,$B$2))</f>
        <v>71</v>
      </c>
      <c r="M40">
        <f>IF($B$2="Todos",SUMIFS(Base!$M$3:$M$5001,Base!$A$3:$A$5001,$B40),SUMIFS(Base!$M$3:$M$5001,Base!$A$3:$A$5001,$B40,Base!$B$3:$B$5001,$B$2))</f>
        <v>735</v>
      </c>
      <c r="N40">
        <f>IF($B$2="Todos",SUMIFS(Base!$N$3:$N$5001,Base!$A$3:$A$5001,$B40),SUMIFS(Base!$N$3:$N$5001,Base!$A$3:$A$5001,$B40,Base!$B$3:$B$5001,$B$2))</f>
        <v>189.7</v>
      </c>
      <c r="O40">
        <f>IF($B$2="Todos",SUMIFS(Base!$O$3:$O$5001,Base!$A$3:$A$5001,$B40),SUMIFS(Base!$O$3:$O$5001,Base!$A$3:$A$5001,$B40,Base!$B$3:$B$5001,$B$2))</f>
        <v>405</v>
      </c>
      <c r="P40">
        <f>IF($B$2="Todos",SUMIFS(Base!$P$3:$P$5001,Base!$A$3:$A$5001,$B40),SUMIFS(Base!$P$3:$P$5001,Base!$A$3:$A$5001,$B40,Base!$B$3:$B$5001,$B$2))</f>
        <v>160</v>
      </c>
      <c r="Q40">
        <f>IF($B$2="Todos",SUMIFS(Base!$Q$3:$Q$5001,Base!$A$3:$A$5001,$B40),SUMIFS(Base!$Q$3:$Q$5001,Base!$A$3:$A$5001,$B40,Base!$B$3:$B$5001,$B$2))</f>
        <v>1165</v>
      </c>
      <c r="R40">
        <f>IF($B$2="Todos",SUMIFS(Base!$R$3:$R$5001,Base!$A$3:$A$5001,$B40),SUMIFS(Base!$R$3:$R$5001,Base!$A$3:$A$5001,$B40,Base!$B$3:$B$5001,$B$2))</f>
        <v>6949</v>
      </c>
      <c r="S40">
        <f>IF($B$2="Todos",SUMIFS(Base!$S$3:$S$5001,Base!$A$3:$A$5001,$B40),SUMIFS(Base!$S$3:$S$5001,Base!$A$3:$A$5001,$B40,Base!$B$3:$B$5001,$B$2))</f>
        <v>589</v>
      </c>
      <c r="T40">
        <f>IF($B$2="Todos",SUMIFS(Base!$T$3:$T$5001,Base!$A$3:$A$5001,$B40),SUMIFS(Base!$T$3:$T$5001,Base!$A$3:$A$5001,$B40,Base!$B$3:$B$5001,$B$2))</f>
        <v>76</v>
      </c>
      <c r="U40">
        <f>IF($B$2="Todos",SUMIFS(Base!$U$3:$U$5001,Base!$A$3:$A$5001,$B40),SUMIFS(Base!$U$3:$U$5001,Base!$A$3:$A$5001,$B40,Base!$B$3:$B$5001,$B$2))</f>
        <v>0</v>
      </c>
      <c r="V40">
        <f>IF($B$2="Todos",SUMIFS(Base!$V$3:$V$5001,Base!$A$3:$A$5001,$B40),SUMIFS(Base!$V$3:$V$5001,Base!$A$3:$A$5001,$B40,Base!$B$3:$B$5001,$B$2))</f>
        <v>3</v>
      </c>
      <c r="W40">
        <f>IF($B$2="Todos",IF(COUNT($C$156:$K$156)=0,"",SUM($C$156:$K$156)),IFERROR(INDEX($C$156:$K$156,MATCH($B$2,$C$127:$K$127,0)),""))</f>
        <v>71</v>
      </c>
      <c r="X40">
        <f>IF(Y40="","",IF($B$2="Todos",IF(ISNUMBER($B$4),$B$4,IF(COUNT($C$191:$K$191)=0,"",SUM($C$191:$K$191))),IFERROR(INDEX($C$191:$K$191,MATCH($B$2,$C$162:$K$162,0)),"")))</f>
        <v>13700</v>
      </c>
      <c r="Y40">
        <f>IF($B$2="Todos",IF(COUNT($C$226:$K$226)=0,"",SUM($C$226:$K$226)),IFERROR(INDEX($C$226:$K$226,MATCH($B$2,$C$197:$K$197,0)),""))</f>
        <v>10404</v>
      </c>
      <c r="Z40">
        <f>IF(AND(ISNUMBER(Y40),ISNUMBER(X40)),IF(X40&gt;0,Y40/X40,""),"")</f>
        <v>0.759416058394161</v>
      </c>
      <c r="AA40">
        <f>IF($B$2="Todos",IF(COUNT($C$261:$K$261)=0,"",SUM($C$261:$K$261)),IFERROR(INDEX($C$261:$K$261,MATCH($B$2,$C$232:$K$232,0)),""))</f>
        <v>69</v>
      </c>
      <c r="AB40">
        <f>IF($B$2="Todos",SUMIFS(Base!$AA$3:$AA$5001,Base!$A$3:$A$5001,$B40),SUMIFS(Base!$AA$3:$AA$5001,Base!$A$3:$A$5001,$B40,Base!$B$3:$B$5001,$B$2))</f>
        <v>0</v>
      </c>
      <c r="AC40">
        <f>IF($B$2="Todos",SUMIFS(Base!$AB$3:$AB$5001,Base!$A$3:$A$5001,$B40),SUMIFS(Base!$AB$3:$AB$5001,Base!$A$3:$A$5001,$B40,Base!$B$3:$B$5001,$B$2))</f>
        <v>0</v>
      </c>
      <c r="AD40">
        <f>IF($B$2="Todos",SUMIFS(Base!$AC$3:$AC$5001,Base!$A$3:$A$5001,$B40),SUMIFS(Base!$AC$3:$AC$5001,Base!$A$3:$A$5001,$B40,Base!$B$3:$B$5001,$B$2))</f>
        <v>0</v>
      </c>
      <c r="AE40">
        <f>IF($B$2="Todos",SUMIFS(Base!$AD$3:$AD$5001,Base!$A$3:$A$5001,$B40),SUMIFS(Base!$AD$3:$AD$5001,Base!$A$3:$A$5001,$B40,Base!$B$3:$B$5001,$B$2))</f>
        <v>0</v>
      </c>
      <c r="AG40">
        <f>IFERROR(N(INDEX($C40:$AE40,MATCH($B$3,$C$11:$AE$11,0))),0)</f>
        <v>504</v>
      </c>
      <c r="AH40">
        <f>IFERROR(N(INDEX($C40:$AE40,MATCH($C$3,$C$11:$AE$11,0))),0)</f>
        <v>735</v>
      </c>
      <c r="AI40">
        <f>$B$5</f>
        <v>0.7</v>
      </c>
      <c r="AJ40">
        <f>$B$6</f>
        <v>0.9</v>
      </c>
    </row>
    <row r="41">
      <c r="A41">
        <f>IF(DAY($D$7)&gt;=30,30,"")</f>
        <v>30</v>
      </c>
      <c r="B41" s="152">
        <f>IF(ISNUMBER($A41),$C$7+$A41-1,"")</f>
        <v>46295</v>
      </c>
      <c r="C41">
        <f>IF($B$2="Todos",SUMIFS(Base!$C$3:$C$5001,Base!$A$3:$A$5001,$B41),SUMIFS(Base!$C$3:$C$5001,Base!$A$3:$A$5001,$B41,Base!$B$3:$B$5001,$B$2))</f>
        <v>0</v>
      </c>
      <c r="D41">
        <f>IF($B$2="Todos",SUMIFS(Base!$D$3:$D$5001,Base!$A$3:$A$5001,$B41),SUMIFS(Base!$D$3:$D$5001,Base!$A$3:$A$5001,$B41,Base!$B$3:$B$5001,$B$2))</f>
        <v>0</v>
      </c>
      <c r="E41">
        <f>IF($B$2="Todos",SUMIFS(Base!$E$3:$E$5001,Base!$A$3:$A$5001,$B41),SUMIFS(Base!$E$3:$E$5001,Base!$A$3:$A$5001,$B41,Base!$B$3:$B$5001,$B$2))</f>
        <v>0</v>
      </c>
      <c r="F41">
        <f>IF($B$2="Todos",SUMIFS(Base!$F$3:$F$5001,Base!$A$3:$A$5001,$B41),SUMIFS(Base!$F$3:$F$5001,Base!$A$3:$A$5001,$B41,Base!$B$3:$B$5001,$B$2))</f>
        <v>0</v>
      </c>
      <c r="G41">
        <f>IF($B$2="Todos",SUMIFS(Base!$G$3:$G$5001,Base!$A$3:$A$5001,$B41),SUMIFS(Base!$G$3:$G$5001,Base!$A$3:$A$5001,$B41,Base!$B$3:$B$5001,$B$2))</f>
        <v>0</v>
      </c>
      <c r="H41">
        <f>IF($B$2="Todos",SUMIFS(Base!$H$3:$H$5001,Base!$A$3:$A$5001,$B41),SUMIFS(Base!$H$3:$H$5001,Base!$A$3:$A$5001,$B41,Base!$B$3:$B$5001,$B$2))</f>
        <v>0</v>
      </c>
      <c r="I41">
        <f>IF($B$2="Todos",SUMIFS(Base!$I$3:$I$5001,Base!$A$3:$A$5001,$B41),SUMIFS(Base!$I$3:$I$5001,Base!$A$3:$A$5001,$B41,Base!$B$3:$B$5001,$B$2))</f>
        <v>0</v>
      </c>
      <c r="J41">
        <f>IF($B$2="Todos",SUMIFS(Base!$J$3:$J$5001,Base!$A$3:$A$5001,$B41),SUMIFS(Base!$J$3:$J$5001,Base!$A$3:$A$5001,$B41,Base!$B$3:$B$5001,$B$2))</f>
        <v>0</v>
      </c>
      <c r="K41">
        <f>IF($B$2="Todos",SUMIFS(Base!$K$3:$K$5001,Base!$A$3:$A$5001,$B41),SUMIFS(Base!$K$3:$K$5001,Base!$A$3:$A$5001,$B41,Base!$B$3:$B$5001,$B$2))</f>
        <v>0</v>
      </c>
      <c r="L41">
        <f>IF($B$2="Todos",SUMIFS(Base!$L$3:$L$5001,Base!$A$3:$A$5001,$B41),SUMIFS(Base!$L$3:$L$5001,Base!$A$3:$A$5001,$B41,Base!$B$3:$B$5001,$B$2))</f>
        <v>0</v>
      </c>
      <c r="M41">
        <f>IF($B$2="Todos",SUMIFS(Base!$M$3:$M$5001,Base!$A$3:$A$5001,$B41),SUMIFS(Base!$M$3:$M$5001,Base!$A$3:$A$5001,$B41,Base!$B$3:$B$5001,$B$2))</f>
        <v>0</v>
      </c>
      <c r="N41">
        <f>IF($B$2="Todos",SUMIFS(Base!$N$3:$N$5001,Base!$A$3:$A$5001,$B41),SUMIFS(Base!$N$3:$N$5001,Base!$A$3:$A$5001,$B41,Base!$B$3:$B$5001,$B$2))</f>
        <v>0</v>
      </c>
      <c r="O41">
        <f>IF($B$2="Todos",SUMIFS(Base!$O$3:$O$5001,Base!$A$3:$A$5001,$B41),SUMIFS(Base!$O$3:$O$5001,Base!$A$3:$A$5001,$B41,Base!$B$3:$B$5001,$B$2))</f>
        <v>0</v>
      </c>
      <c r="P41">
        <f>IF($B$2="Todos",SUMIFS(Base!$P$3:$P$5001,Base!$A$3:$A$5001,$B41),SUMIFS(Base!$P$3:$P$5001,Base!$A$3:$A$5001,$B41,Base!$B$3:$B$5001,$B$2))</f>
        <v>0</v>
      </c>
      <c r="Q41">
        <f>IF($B$2="Todos",SUMIFS(Base!$Q$3:$Q$5001,Base!$A$3:$A$5001,$B41),SUMIFS(Base!$Q$3:$Q$5001,Base!$A$3:$A$5001,$B41,Base!$B$3:$B$5001,$B$2))</f>
        <v>0</v>
      </c>
      <c r="R41">
        <f>IF($B$2="Todos",SUMIFS(Base!$R$3:$R$5001,Base!$A$3:$A$5001,$B41),SUMIFS(Base!$R$3:$R$5001,Base!$A$3:$A$5001,$B41,Base!$B$3:$B$5001,$B$2))</f>
        <v>0</v>
      </c>
      <c r="S41">
        <f>IF($B$2="Todos",SUMIFS(Base!$S$3:$S$5001,Base!$A$3:$A$5001,$B41),SUMIFS(Base!$S$3:$S$5001,Base!$A$3:$A$5001,$B41,Base!$B$3:$B$5001,$B$2))</f>
        <v>0</v>
      </c>
      <c r="T41">
        <f>IF($B$2="Todos",SUMIFS(Base!$T$3:$T$5001,Base!$A$3:$A$5001,$B41),SUMIFS(Base!$T$3:$T$5001,Base!$A$3:$A$5001,$B41,Base!$B$3:$B$5001,$B$2))</f>
        <v>0</v>
      </c>
      <c r="U41">
        <f>IF($B$2="Todos",SUMIFS(Base!$U$3:$U$5001,Base!$A$3:$A$5001,$B41),SUMIFS(Base!$U$3:$U$5001,Base!$A$3:$A$5001,$B41,Base!$B$3:$B$5001,$B$2))</f>
        <v>0</v>
      </c>
      <c r="V41">
        <f>IF($B$2="Todos",SUMIFS(Base!$V$3:$V$5001,Base!$A$3:$A$5001,$B41),SUMIFS(Base!$V$3:$V$5001,Base!$A$3:$A$5001,$B41,Base!$B$3:$B$5001,$B$2))</f>
        <v>0</v>
      </c>
      <c r="W41" t="str">
        <f>IF($B$2="Todos",IF(COUNT($C$157:$K$157)=0,"",SUM($C$157:$K$157)),IFERROR(INDEX($C$157:$K$157,MATCH($B$2,$C$127:$K$127,0)),""))</f>
        <v/>
      </c>
      <c r="X41" t="str">
        <f>IF(Y41="","",IF($B$2="Todos",IF(ISNUMBER($B$4),$B$4,IF(COUNT($C$192:$K$192)=0,"",SUM($C$192:$K$192))),IFERROR(INDEX($C$192:$K$192,MATCH($B$2,$C$162:$K$162,0)),"")))</f>
        <v/>
      </c>
      <c r="Y41" t="str">
        <f>IF($B$2="Todos",IF(COUNT($C$227:$K$227)=0,"",SUM($C$227:$K$227)),IFERROR(INDEX($C$227:$K$227,MATCH($B$2,$C$197:$K$197,0)),""))</f>
        <v/>
      </c>
      <c r="Z41" t="str">
        <f>IF(AND(ISNUMBER(Y41),ISNUMBER(X41)),IF(X41&gt;0,Y41/X41,""),"")</f>
        <v/>
      </c>
      <c r="AA41" t="str">
        <f>IF($B$2="Todos",IF(COUNT($C$262:$K$262)=0,"",SUM($C$262:$K$262)),IFERROR(INDEX($C$262:$K$262,MATCH($B$2,$C$232:$K$232,0)),""))</f>
        <v/>
      </c>
      <c r="AB41">
        <f>IF($B$2="Todos",SUMIFS(Base!$AA$3:$AA$5001,Base!$A$3:$A$5001,$B41),SUMIFS(Base!$AA$3:$AA$5001,Base!$A$3:$A$5001,$B41,Base!$B$3:$B$5001,$B$2))</f>
        <v>0</v>
      </c>
      <c r="AC41">
        <f>IF($B$2="Todos",SUMIFS(Base!$AB$3:$AB$5001,Base!$A$3:$A$5001,$B41),SUMIFS(Base!$AB$3:$AB$5001,Base!$A$3:$A$5001,$B41,Base!$B$3:$B$5001,$B$2))</f>
        <v>0</v>
      </c>
      <c r="AD41">
        <f>IF($B$2="Todos",SUMIFS(Base!$AC$3:$AC$5001,Base!$A$3:$A$5001,$B41),SUMIFS(Base!$AC$3:$AC$5001,Base!$A$3:$A$5001,$B41,Base!$B$3:$B$5001,$B$2))</f>
        <v>0</v>
      </c>
      <c r="AE41">
        <f>IF($B$2="Todos",SUMIFS(Base!$AD$3:$AD$5001,Base!$A$3:$A$5001,$B41),SUMIFS(Base!$AD$3:$AD$5001,Base!$A$3:$A$5001,$B41,Base!$B$3:$B$5001,$B$2))</f>
        <v>0</v>
      </c>
      <c r="AG41">
        <f>IFERROR(N(INDEX($C41:$AE41,MATCH($B$3,$C$11:$AE$11,0))),0)</f>
        <v>0</v>
      </c>
      <c r="AH41">
        <f>IFERROR(N(INDEX($C41:$AE41,MATCH($C$3,$C$11:$AE$11,0))),0)</f>
        <v>0</v>
      </c>
      <c r="AI41">
        <f>$B$5</f>
        <v>0.7</v>
      </c>
      <c r="AJ41">
        <f>$B$6</f>
        <v>0.9</v>
      </c>
    </row>
    <row r="42">
      <c r="A42" t="str">
        <f>IF(DAY($D$7)&gt;=31,31,"")</f>
        <v/>
      </c>
      <c r="B42" s="152" t="str">
        <f>IF(ISNUMBER($A42),$C$7+$A42-1,"")</f>
        <v/>
      </c>
      <c r="C42">
        <f>IF($B$2="Todos",SUMIFS(Base!$C$3:$C$5001,Base!$A$3:$A$5001,$B42),SUMIFS(Base!$C$3:$C$5001,Base!$A$3:$A$5001,$B42,Base!$B$3:$B$5001,$B$2))</f>
        <v>0</v>
      </c>
      <c r="D42">
        <f>IF($B$2="Todos",SUMIFS(Base!$D$3:$D$5001,Base!$A$3:$A$5001,$B42),SUMIFS(Base!$D$3:$D$5001,Base!$A$3:$A$5001,$B42,Base!$B$3:$B$5001,$B$2))</f>
        <v>0</v>
      </c>
      <c r="E42">
        <f>IF($B$2="Todos",SUMIFS(Base!$E$3:$E$5001,Base!$A$3:$A$5001,$B42),SUMIFS(Base!$E$3:$E$5001,Base!$A$3:$A$5001,$B42,Base!$B$3:$B$5001,$B$2))</f>
        <v>0</v>
      </c>
      <c r="F42">
        <f>IF($B$2="Todos",SUMIFS(Base!$F$3:$F$5001,Base!$A$3:$A$5001,$B42),SUMIFS(Base!$F$3:$F$5001,Base!$A$3:$A$5001,$B42,Base!$B$3:$B$5001,$B$2))</f>
        <v>0</v>
      </c>
      <c r="G42">
        <f>IF($B$2="Todos",SUMIFS(Base!$G$3:$G$5001,Base!$A$3:$A$5001,$B42),SUMIFS(Base!$G$3:$G$5001,Base!$A$3:$A$5001,$B42,Base!$B$3:$B$5001,$B$2))</f>
        <v>0</v>
      </c>
      <c r="H42">
        <f>IF($B$2="Todos",SUMIFS(Base!$H$3:$H$5001,Base!$A$3:$A$5001,$B42),SUMIFS(Base!$H$3:$H$5001,Base!$A$3:$A$5001,$B42,Base!$B$3:$B$5001,$B$2))</f>
        <v>0</v>
      </c>
      <c r="I42">
        <f>IF($B$2="Todos",SUMIFS(Base!$I$3:$I$5001,Base!$A$3:$A$5001,$B42),SUMIFS(Base!$I$3:$I$5001,Base!$A$3:$A$5001,$B42,Base!$B$3:$B$5001,$B$2))</f>
        <v>0</v>
      </c>
      <c r="J42">
        <f>IF($B$2="Todos",SUMIFS(Base!$J$3:$J$5001,Base!$A$3:$A$5001,$B42),SUMIFS(Base!$J$3:$J$5001,Base!$A$3:$A$5001,$B42,Base!$B$3:$B$5001,$B$2))</f>
        <v>0</v>
      </c>
      <c r="K42">
        <f>IF($B$2="Todos",SUMIFS(Base!$K$3:$K$5001,Base!$A$3:$A$5001,$B42),SUMIFS(Base!$K$3:$K$5001,Base!$A$3:$A$5001,$B42,Base!$B$3:$B$5001,$B$2))</f>
        <v>0</v>
      </c>
      <c r="L42">
        <f>IF($B$2="Todos",SUMIFS(Base!$L$3:$L$5001,Base!$A$3:$A$5001,$B42),SUMIFS(Base!$L$3:$L$5001,Base!$A$3:$A$5001,$B42,Base!$B$3:$B$5001,$B$2))</f>
        <v>0</v>
      </c>
      <c r="M42">
        <f>IF($B$2="Todos",SUMIFS(Base!$M$3:$M$5001,Base!$A$3:$A$5001,$B42),SUMIFS(Base!$M$3:$M$5001,Base!$A$3:$A$5001,$B42,Base!$B$3:$B$5001,$B$2))</f>
        <v>0</v>
      </c>
      <c r="N42">
        <f>IF($B$2="Todos",SUMIFS(Base!$N$3:$N$5001,Base!$A$3:$A$5001,$B42),SUMIFS(Base!$N$3:$N$5001,Base!$A$3:$A$5001,$B42,Base!$B$3:$B$5001,$B$2))</f>
        <v>0</v>
      </c>
      <c r="O42">
        <f>IF($B$2="Todos",SUMIFS(Base!$O$3:$O$5001,Base!$A$3:$A$5001,$B42),SUMIFS(Base!$O$3:$O$5001,Base!$A$3:$A$5001,$B42,Base!$B$3:$B$5001,$B$2))</f>
        <v>0</v>
      </c>
      <c r="P42">
        <f>IF($B$2="Todos",SUMIFS(Base!$P$3:$P$5001,Base!$A$3:$A$5001,$B42),SUMIFS(Base!$P$3:$P$5001,Base!$A$3:$A$5001,$B42,Base!$B$3:$B$5001,$B$2))</f>
        <v>0</v>
      </c>
      <c r="Q42">
        <f>IF($B$2="Todos",SUMIFS(Base!$Q$3:$Q$5001,Base!$A$3:$A$5001,$B42),SUMIFS(Base!$Q$3:$Q$5001,Base!$A$3:$A$5001,$B42,Base!$B$3:$B$5001,$B$2))</f>
        <v>0</v>
      </c>
      <c r="R42">
        <f>IF($B$2="Todos",SUMIFS(Base!$R$3:$R$5001,Base!$A$3:$A$5001,$B42),SUMIFS(Base!$R$3:$R$5001,Base!$A$3:$A$5001,$B42,Base!$B$3:$B$5001,$B$2))</f>
        <v>0</v>
      </c>
      <c r="S42">
        <f>IF($B$2="Todos",SUMIFS(Base!$S$3:$S$5001,Base!$A$3:$A$5001,$B42),SUMIFS(Base!$S$3:$S$5001,Base!$A$3:$A$5001,$B42,Base!$B$3:$B$5001,$B$2))</f>
        <v>0</v>
      </c>
      <c r="T42">
        <f>IF($B$2="Todos",SUMIFS(Base!$T$3:$T$5001,Base!$A$3:$A$5001,$B42),SUMIFS(Base!$T$3:$T$5001,Base!$A$3:$A$5001,$B42,Base!$B$3:$B$5001,$B$2))</f>
        <v>0</v>
      </c>
      <c r="U42">
        <f>IF($B$2="Todos",SUMIFS(Base!$U$3:$U$5001,Base!$A$3:$A$5001,$B42),SUMIFS(Base!$U$3:$U$5001,Base!$A$3:$A$5001,$B42,Base!$B$3:$B$5001,$B$2))</f>
        <v>0</v>
      </c>
      <c r="V42">
        <f>IF($B$2="Todos",SUMIFS(Base!$V$3:$V$5001,Base!$A$3:$A$5001,$B42),SUMIFS(Base!$V$3:$V$5001,Base!$A$3:$A$5001,$B42,Base!$B$3:$B$5001,$B$2))</f>
        <v>0</v>
      </c>
      <c r="W42" t="str">
        <f>IF($B$2="Todos",IF(COUNT($C$158:$K$158)=0,"",SUM($C$158:$K$158)),IFERROR(INDEX($C$158:$K$158,MATCH($B$2,$C$127:$K$127,0)),""))</f>
        <v/>
      </c>
      <c r="X42" t="str">
        <f>IF(Y42="","",IF($B$2="Todos",IF(ISNUMBER($B$4),$B$4,IF(COUNT($C$193:$K$193)=0,"",SUM($C$193:$K$193))),IFERROR(INDEX($C$193:$K$193,MATCH($B$2,$C$162:$K$162,0)),"")))</f>
        <v/>
      </c>
      <c r="Y42" t="str">
        <f>IF($B$2="Todos",IF(COUNT($C$228:$K$228)=0,"",SUM($C$228:$K$228)),IFERROR(INDEX($C$228:$K$228,MATCH($B$2,$C$197:$K$197,0)),""))</f>
        <v/>
      </c>
      <c r="Z42" t="str">
        <f>IF(AND(ISNUMBER(Y42),ISNUMBER(X42)),IF(X42&gt;0,Y42/X42,""),"")</f>
        <v/>
      </c>
      <c r="AA42" t="str">
        <f>IF($B$2="Todos",IF(COUNT($C$263:$K$263)=0,"",SUM($C$263:$K$263)),IFERROR(INDEX($C$263:$K$263,MATCH($B$2,$C$232:$K$232,0)),""))</f>
        <v/>
      </c>
      <c r="AB42">
        <f>IF($B$2="Todos",SUMIFS(Base!$AA$3:$AA$5001,Base!$A$3:$A$5001,$B42),SUMIFS(Base!$AA$3:$AA$5001,Base!$A$3:$A$5001,$B42,Base!$B$3:$B$5001,$B$2))</f>
        <v>0</v>
      </c>
      <c r="AC42">
        <f>IF($B$2="Todos",SUMIFS(Base!$AB$3:$AB$5001,Base!$A$3:$A$5001,$B42),SUMIFS(Base!$AB$3:$AB$5001,Base!$A$3:$A$5001,$B42,Base!$B$3:$B$5001,$B$2))</f>
        <v>0</v>
      </c>
      <c r="AD42">
        <f>IF($B$2="Todos",SUMIFS(Base!$AC$3:$AC$5001,Base!$A$3:$A$5001,$B42),SUMIFS(Base!$AC$3:$AC$5001,Base!$A$3:$A$5001,$B42,Base!$B$3:$B$5001,$B$2))</f>
        <v>0</v>
      </c>
      <c r="AE42">
        <f>IF($B$2="Todos",SUMIFS(Base!$AD$3:$AD$5001,Base!$A$3:$A$5001,$B42),SUMIFS(Base!$AD$3:$AD$5001,Base!$A$3:$A$5001,$B42,Base!$B$3:$B$5001,$B$2))</f>
        <v>0</v>
      </c>
      <c r="AG42">
        <f>IFERROR(N(INDEX($C42:$AE42,MATCH($B$3,$C$11:$AE$11,0))),0)</f>
        <v>0</v>
      </c>
      <c r="AH42">
        <f>IFERROR(N(INDEX($C42:$AE42,MATCH($C$3,$C$11:$AE$11,0))),0)</f>
        <v>0</v>
      </c>
      <c r="AI42">
        <f>$B$5</f>
        <v>0.7</v>
      </c>
      <c r="AJ42">
        <f>$B$6</f>
        <v>0.9</v>
      </c>
    </row>
    <row r="43">
      <c r="A43" t="inlineStr">
        <is>
          <t xml:space="preserve">Realizado no mês (soma · último dado em estoque)</t>
        </is>
      </c>
      <c r="C43">
        <f>SUM(C12:C42)</f>
        <v>1106</v>
      </c>
      <c r="D43">
        <f>SUM(D12:D42)</f>
        <v>12991</v>
      </c>
      <c r="E43">
        <f>SUM(E12:E42)</f>
        <v>3872.89</v>
      </c>
      <c r="F43">
        <f>SUM(F12:F42)</f>
        <v>69407</v>
      </c>
      <c r="G43">
        <f>SUM(G12:G42)</f>
        <v>87289</v>
      </c>
      <c r="H43">
        <f>SUM(H12:H42)</f>
        <v>5410</v>
      </c>
      <c r="I43">
        <f>SUM(I12:I42)</f>
        <v>11383</v>
      </c>
      <c r="J43">
        <f>SUM(J12:J42)</f>
        <v>7689</v>
      </c>
      <c r="K43">
        <f>SUM(K12:K42)</f>
        <v>3026</v>
      </c>
      <c r="L43">
        <f>SUM(L12:L42)</f>
        <v>1466</v>
      </c>
      <c r="M43">
        <f>SUM(M12:M42)</f>
        <v>16470</v>
      </c>
      <c r="N43">
        <f>SUM(N12:N42)</f>
        <v>4711.04</v>
      </c>
      <c r="O43">
        <f>SUM(O12:O42)</f>
        <v>37204</v>
      </c>
      <c r="P43">
        <f>SUM(P12:P42)</f>
        <v>8699</v>
      </c>
      <c r="Q43">
        <f>SUM(Q12:Q42)</f>
        <v>18637</v>
      </c>
      <c r="R43">
        <f>SUM(R12:R42)</f>
        <v>128382</v>
      </c>
      <c r="S43">
        <f>SUM(S12:S42)</f>
        <v>7734</v>
      </c>
      <c r="T43">
        <f>SUM(T12:T42)</f>
        <v>3271</v>
      </c>
      <c r="U43">
        <f>SUM(U12:U42)</f>
        <v>5</v>
      </c>
      <c r="V43">
        <f>SUM(V12:V42)</f>
        <v>20</v>
      </c>
      <c r="W43">
        <f>IFERROR(LOOKUP(9.99E+307,W12:W42),"")</f>
        <v>71</v>
      </c>
      <c r="X43">
        <f>IFERROR(LOOKUP(9.99E+307,X12:X42),"")</f>
        <v>13700</v>
      </c>
      <c r="Y43">
        <f>IFERROR(LOOKUP(9.99E+307,Y12:Y42),"")</f>
        <v>10404</v>
      </c>
      <c r="Z43">
        <f>IF(AND(ISNUMBER(Y43),ISNUMBER(X43)),IF(X43&gt;0,Y43/X43,""),"")</f>
        <v>0.759416058394161</v>
      </c>
      <c r="AA43">
        <f>IFERROR(LOOKUP(9.99E+307,AA12:AA42),"")</f>
        <v>69</v>
      </c>
      <c r="AB43">
        <f>SUM(AB12:AB42)</f>
        <v>42</v>
      </c>
      <c r="AC43">
        <f>SUM(AC12:AC42)</f>
        <v>20</v>
      </c>
      <c r="AD43">
        <f>SUM(AD12:AD42)</f>
        <v>12</v>
      </c>
      <c r="AE43">
        <f>SUM(AE12:AE42)</f>
        <v>2</v>
      </c>
    </row>
    <row r="44">
      <c r="A44" t="inlineStr">
        <is>
          <t xml:space="preserve">Média por dia</t>
        </is>
      </c>
      <c r="C44">
        <f>IFERROR(AVERAGEIF(C12:C42,"&gt;0"),"")</f>
        <v>44.24</v>
      </c>
      <c r="D44">
        <f>IFERROR(AVERAGEIF(D12:D42,"&gt;0"),"")</f>
        <v>519.64</v>
      </c>
      <c r="E44">
        <f>IFERROR(AVERAGEIF(E12:E42,"&gt;0"),"")</f>
        <v>154.9156</v>
      </c>
      <c r="F44">
        <f>IFERROR(AVERAGEIF(F12:F42,"&gt;0"),"")</f>
        <v>2776.28</v>
      </c>
      <c r="G44">
        <f>IFERROR(AVERAGEIF(G12:G42,"&gt;0"),"")</f>
        <v>3491.56</v>
      </c>
      <c r="H44">
        <f>IFERROR(AVERAGEIF(H12:H42,"&gt;0"),"")</f>
        <v>216.4</v>
      </c>
      <c r="I44">
        <f>IFERROR(AVERAGEIF(I12:I42,"&gt;0"),"")</f>
        <v>455.32</v>
      </c>
      <c r="J44">
        <f>IFERROR(AVERAGEIF(J12:J42,"&gt;0"),"")</f>
        <v>307.56</v>
      </c>
      <c r="K44">
        <f>IFERROR(AVERAGEIF(K12:K42,"&gt;0"),"")</f>
        <v>121.04</v>
      </c>
      <c r="L44">
        <f>IFERROR(AVERAGEIF(L12:L42,"&gt;0"),"")</f>
        <v>58.64</v>
      </c>
      <c r="M44">
        <f>IFERROR(AVERAGEIF(M12:M42,"&gt;0"),"")</f>
        <v>658.8</v>
      </c>
      <c r="N44">
        <f>IFERROR(AVERAGEIF(N12:N42,"&gt;0"),"")</f>
        <v>188.4416</v>
      </c>
      <c r="O44">
        <f>IFERROR(AVERAGEIF(O12:O42,"&gt;0"),"")</f>
        <v>1488.16</v>
      </c>
      <c r="P44">
        <f>IFERROR(AVERAGEIF(P12:P42,"&gt;0"),"")</f>
        <v>347.96</v>
      </c>
      <c r="Q44">
        <f>IFERROR(AVERAGEIF(Q12:Q42,"&gt;0"),"")</f>
        <v>745.48</v>
      </c>
      <c r="R44">
        <f>IFERROR(AVERAGEIF(R12:R42,"&gt;0"),"")</f>
        <v>5135.28</v>
      </c>
      <c r="S44">
        <f>IFERROR(AVERAGEIF(S12:S42,"&gt;0"),"")</f>
        <v>309.36</v>
      </c>
      <c r="T44">
        <f>IFERROR(AVERAGEIF(T12:T42,"&gt;0"),"")</f>
        <v>130.84</v>
      </c>
      <c r="U44">
        <f>IFERROR(AVERAGEIF(U12:U42,"&gt;0"),"")</f>
        <v>1.25</v>
      </c>
      <c r="V44">
        <f>IFERROR(AVERAGEIF(V12:V42,"&gt;0"),"")</f>
        <v>1.33333333333333</v>
      </c>
      <c r="W44">
        <f>IFERROR(AVERAGE(W12:W42),"")</f>
        <v>61.5172413793103</v>
      </c>
      <c r="X44">
        <f>IFERROR(AVERAGE(X12:X42),"")</f>
        <v>13700</v>
      </c>
      <c r="Y44">
        <f>IFERROR(AVERAGE(Y12:Y42),"")</f>
        <v>10345.724137931</v>
      </c>
      <c r="Z44">
        <f>IFERROR(AVERAGE(Z12:Z42),"")</f>
        <v>0.755162345834382</v>
      </c>
      <c r="AA44">
        <f>IFERROR(AVERAGE(AA12:AA42),"")</f>
        <v>75.6206896551724</v>
      </c>
      <c r="AB44">
        <f>IFERROR(AVERAGEIF(AB12:AB42,"&gt;0"),"")</f>
        <v>2</v>
      </c>
      <c r="AC44">
        <f>IFERROR(AVERAGEIF(AC12:AC42,"&gt;0"),"")</f>
        <v>1.53846153846154</v>
      </c>
      <c r="AD44">
        <f>IFERROR(AVERAGEIF(AD12:AD42,"&gt;0"),"")</f>
        <v>1</v>
      </c>
      <c r="AE44">
        <f>IFERROR(AVERAGEIF(AE12:AE42,"&gt;0"),"")</f>
        <v>1</v>
      </c>
    </row>
    <row r="45">
      <c r="A45" t="inlineStr">
        <is>
          <t xml:space="preserve">Máximo em um dia</t>
        </is>
      </c>
      <c r="C45">
        <f>IF(COUNT(C12:C42)=0,"",MAX(C12:C42))</f>
        <v>57</v>
      </c>
      <c r="D45">
        <f>IF(COUNT(D12:D42)=0,"",MAX(D12:D42))</f>
        <v>647</v>
      </c>
      <c r="E45">
        <f>IF(COUNT(E12:E42)=0,"",MAX(E12:E42))</f>
        <v>234.41</v>
      </c>
      <c r="F45">
        <f>IF(COUNT(F12:F42)=0,"",MAX(F12:F42))</f>
        <v>4678</v>
      </c>
      <c r="G45">
        <f>IF(COUNT(G12:G42)=0,"",MAX(G12:G42))</f>
        <v>5893</v>
      </c>
      <c r="H45">
        <f>IF(COUNT(H12:H42)=0,"",MAX(H12:H42))</f>
        <v>392</v>
      </c>
      <c r="I45">
        <f>IF(COUNT(I12:I42)=0,"",MAX(I12:I42))</f>
        <v>865</v>
      </c>
      <c r="J45">
        <f>IF(COUNT(J12:J42)=0,"",MAX(J12:J42))</f>
        <v>539</v>
      </c>
      <c r="K45">
        <f>IF(COUNT(K12:K42)=0,"",MAX(K12:K42))</f>
        <v>181</v>
      </c>
      <c r="L45">
        <f>IF(COUNT(L12:L42)=0,"",MAX(L12:L42))</f>
        <v>82</v>
      </c>
      <c r="M45">
        <f>IF(COUNT(M12:M42)=0,"",MAX(M12:M42))</f>
        <v>815</v>
      </c>
      <c r="N45">
        <f>IF(COUNT(N12:N42)=0,"",MAX(N12:N42))</f>
        <v>276.12</v>
      </c>
      <c r="O45">
        <f>IF(COUNT(O12:O42)=0,"",MAX(O12:O42))</f>
        <v>2460</v>
      </c>
      <c r="P45">
        <f>IF(COUNT(P12:P42)=0,"",MAX(P12:P42))</f>
        <v>673</v>
      </c>
      <c r="Q45">
        <f>IF(COUNT(Q12:Q42)=0,"",MAX(Q12:Q42))</f>
        <v>1197</v>
      </c>
      <c r="R45">
        <f>IF(COUNT(R12:R42)=0,"",MAX(R12:R42))</f>
        <v>8974</v>
      </c>
      <c r="S45">
        <f>IF(COUNT(S12:S42)=0,"",MAX(S12:S42))</f>
        <v>589</v>
      </c>
      <c r="T45">
        <f>IF(COUNT(T12:T42)=0,"",MAX(T12:T42))</f>
        <v>197</v>
      </c>
      <c r="U45">
        <f>IF(COUNT(U12:U42)=0,"",MAX(U12:U42))</f>
        <v>2</v>
      </c>
      <c r="V45">
        <f>IF(COUNT(V12:V42)=0,"",MAX(V12:V42))</f>
        <v>3</v>
      </c>
      <c r="W45">
        <f>IF(COUNT(W12:W42)=0,"",MAX(W12:W42))</f>
        <v>83</v>
      </c>
      <c r="X45">
        <f>IF(COUNT(X12:X42)=0,"",MAX(X12:X42))</f>
        <v>13700</v>
      </c>
      <c r="Y45">
        <f>IF(COUNT(Y12:Y42)=0,"",MAX(Y12:Y42))</f>
        <v>11247</v>
      </c>
      <c r="Z45">
        <f>IF(COUNT(Z12:Z42)=0,"",MAX(Z12:Z42))</f>
        <v>0.820948905109489</v>
      </c>
      <c r="AA45">
        <f>IF(COUNT(AA12:AA42)=0,"",MAX(AA12:AA42))</f>
        <v>91</v>
      </c>
      <c r="AB45">
        <f>IF(COUNT(AB12:AB42)=0,"",MAX(AB12:AB42))</f>
        <v>4</v>
      </c>
      <c r="AC45">
        <f>IF(COUNT(AC12:AC42)=0,"",MAX(AC12:AC42))</f>
        <v>3</v>
      </c>
      <c r="AD45">
        <f>IF(COUNT(AD12:AD42)=0,"",MAX(AD12:AD42))</f>
        <v>1</v>
      </c>
      <c r="AE45">
        <f>IF(COUNT(AE12:AE42)=0,"",MAX(AE12:AE42))</f>
        <v>1</v>
      </c>
    </row>
    <row r="46">
      <c r="A46" t="inlineStr">
        <is>
          <t xml:space="preserve">Mês anterior (mesmo intervalo)</t>
        </is>
      </c>
      <c r="C46">
        <f>IF($B$2="Todos",SUMIFS(Base!$C$3:$C$5001,Base!$A$3:$A$5001,"&gt;="&amp;$C$8,Base!$A$3:$A$5001,"&lt;="&amp;$D$8),SUMIFS(Base!$C$3:$C$5001,Base!$A$3:$A$5001,"&gt;="&amp;$C$8,Base!$A$3:$A$5001,"&lt;="&amp;$D$8,Base!$B$3:$B$5001,$B$2))</f>
        <v>1128</v>
      </c>
      <c r="D46">
        <f>IF($B$2="Todos",SUMIFS(Base!$D$3:$D$5001,Base!$A$3:$A$5001,"&gt;="&amp;$C$8,Base!$A$3:$A$5001,"&lt;="&amp;$D$8),SUMIFS(Base!$D$3:$D$5001,Base!$A$3:$A$5001,"&gt;="&amp;$C$8,Base!$A$3:$A$5001,"&lt;="&amp;$D$8,Base!$B$3:$B$5001,$B$2))</f>
        <v>12435</v>
      </c>
      <c r="E46">
        <f>IF($B$2="Todos",SUMIFS(Base!$E$3:$E$5001,Base!$A$3:$A$5001,"&gt;="&amp;$C$8,Base!$A$3:$A$5001,"&lt;="&amp;$D$8),SUMIFS(Base!$E$3:$E$5001,Base!$A$3:$A$5001,"&gt;="&amp;$C$8,Base!$A$3:$A$5001,"&lt;="&amp;$D$8,Base!$B$3:$B$5001,$B$2))</f>
        <v>3355.07</v>
      </c>
      <c r="F46">
        <f>IF($B$2="Todos",SUMIFS(Base!$F$3:$F$5001,Base!$A$3:$A$5001,"&gt;="&amp;$C$8,Base!$A$3:$A$5001,"&lt;="&amp;$D$8),SUMIFS(Base!$F$3:$F$5001,Base!$A$3:$A$5001,"&gt;="&amp;$C$8,Base!$A$3:$A$5001,"&lt;="&amp;$D$8,Base!$B$3:$B$5001,$B$2))</f>
        <v>70493</v>
      </c>
      <c r="G46">
        <f>IF($B$2="Todos",SUMIFS(Base!$G$3:$G$5001,Base!$A$3:$A$5001,"&gt;="&amp;$C$8,Base!$A$3:$A$5001,"&lt;="&amp;$D$8),SUMIFS(Base!$G$3:$G$5001,Base!$A$3:$A$5001,"&gt;="&amp;$C$8,Base!$A$3:$A$5001,"&lt;="&amp;$D$8,Base!$B$3:$B$5001,$B$2))</f>
        <v>74174</v>
      </c>
      <c r="H46">
        <f>IF($B$2="Todos",SUMIFS(Base!$H$3:$H$5001,Base!$A$3:$A$5001,"&gt;="&amp;$C$8,Base!$A$3:$A$5001,"&lt;="&amp;$D$8),SUMIFS(Base!$H$3:$H$5001,Base!$A$3:$A$5001,"&gt;="&amp;$C$8,Base!$A$3:$A$5001,"&lt;="&amp;$D$8,Base!$B$3:$B$5001,$B$2))</f>
        <v>5308</v>
      </c>
      <c r="I46">
        <f>IF($B$2="Todos",SUMIFS(Base!$I$3:$I$5001,Base!$A$3:$A$5001,"&gt;="&amp;$C$8,Base!$A$3:$A$5001,"&lt;="&amp;$D$8),SUMIFS(Base!$I$3:$I$5001,Base!$A$3:$A$5001,"&gt;="&amp;$C$8,Base!$A$3:$A$5001,"&lt;="&amp;$D$8,Base!$B$3:$B$5001,$B$2))</f>
        <v>11605</v>
      </c>
      <c r="J46">
        <f>IF($B$2="Todos",SUMIFS(Base!$J$3:$J$5001,Base!$A$3:$A$5001,"&gt;="&amp;$C$8,Base!$A$3:$A$5001,"&lt;="&amp;$D$8),SUMIFS(Base!$J$3:$J$5001,Base!$A$3:$A$5001,"&gt;="&amp;$C$8,Base!$A$3:$A$5001,"&lt;="&amp;$D$8,Base!$B$3:$B$5001,$B$2))</f>
        <v>7696</v>
      </c>
      <c r="K46">
        <f>IF($B$2="Todos",SUMIFS(Base!$K$3:$K$5001,Base!$A$3:$A$5001,"&gt;="&amp;$C$8,Base!$A$3:$A$5001,"&lt;="&amp;$D$8),SUMIFS(Base!$K$3:$K$5001,Base!$A$3:$A$5001,"&gt;="&amp;$C$8,Base!$A$3:$A$5001,"&lt;="&amp;$D$8,Base!$B$3:$B$5001,$B$2))</f>
        <v>3221</v>
      </c>
      <c r="L46">
        <f>IF($B$2="Todos",SUMIFS(Base!$L$3:$L$5001,Base!$A$3:$A$5001,"&gt;="&amp;$C$8,Base!$A$3:$A$5001,"&lt;="&amp;$D$8),SUMIFS(Base!$L$3:$L$5001,Base!$A$3:$A$5001,"&gt;="&amp;$C$8,Base!$A$3:$A$5001,"&lt;="&amp;$D$8,Base!$B$3:$B$5001,$B$2))</f>
        <v>1383</v>
      </c>
      <c r="M46">
        <f>IF($B$2="Todos",SUMIFS(Base!$M$3:$M$5001,Base!$A$3:$A$5001,"&gt;="&amp;$C$8,Base!$A$3:$A$5001,"&lt;="&amp;$D$8),SUMIFS(Base!$M$3:$M$5001,Base!$A$3:$A$5001,"&gt;="&amp;$C$8,Base!$A$3:$A$5001,"&lt;="&amp;$D$8,Base!$B$3:$B$5001,$B$2))</f>
        <v>15100</v>
      </c>
      <c r="N46">
        <f>IF($B$2="Todos",SUMIFS(Base!$N$3:$N$5001,Base!$A$3:$A$5001,"&gt;="&amp;$C$8,Base!$A$3:$A$5001,"&lt;="&amp;$D$8),SUMIFS(Base!$N$3:$N$5001,Base!$A$3:$A$5001,"&gt;="&amp;$C$8,Base!$A$3:$A$5001,"&lt;="&amp;$D$8,Base!$B$3:$B$5001,$B$2))</f>
        <v>3472.39</v>
      </c>
      <c r="O46">
        <f>IF($B$2="Todos",SUMIFS(Base!$O$3:$O$5001,Base!$A$3:$A$5001,"&gt;="&amp;$C$8,Base!$A$3:$A$5001,"&lt;="&amp;$D$8),SUMIFS(Base!$O$3:$O$5001,Base!$A$3:$A$5001,"&gt;="&amp;$C$8,Base!$A$3:$A$5001,"&lt;="&amp;$D$8,Base!$B$3:$B$5001,$B$2))</f>
        <v>36198</v>
      </c>
      <c r="P46">
        <f>IF($B$2="Todos",SUMIFS(Base!$P$3:$P$5001,Base!$A$3:$A$5001,"&gt;="&amp;$C$8,Base!$A$3:$A$5001,"&lt;="&amp;$D$8),SUMIFS(Base!$P$3:$P$5001,Base!$A$3:$A$5001,"&gt;="&amp;$C$8,Base!$A$3:$A$5001,"&lt;="&amp;$D$8,Base!$B$3:$B$5001,$B$2))</f>
        <v>11978</v>
      </c>
      <c r="Q46">
        <f>IF($B$2="Todos",SUMIFS(Base!$Q$3:$Q$5001,Base!$A$3:$A$5001,"&gt;="&amp;$C$8,Base!$A$3:$A$5001,"&lt;="&amp;$D$8),SUMIFS(Base!$Q$3:$Q$5001,Base!$A$3:$A$5001,"&gt;="&amp;$C$8,Base!$A$3:$A$5001,"&lt;="&amp;$D$8,Base!$B$3:$B$5001,$B$2))</f>
        <v>16950</v>
      </c>
      <c r="R46">
        <f>IF($B$2="Todos",SUMIFS(Base!$R$3:$R$5001,Base!$A$3:$A$5001,"&gt;="&amp;$C$8,Base!$A$3:$A$5001,"&lt;="&amp;$D$8),SUMIFS(Base!$R$3:$R$5001,Base!$A$3:$A$5001,"&gt;="&amp;$C$8,Base!$A$3:$A$5001,"&lt;="&amp;$D$8,Base!$B$3:$B$5001,$B$2))</f>
        <v>122261</v>
      </c>
      <c r="S46">
        <f>IF($B$2="Todos",SUMIFS(Base!$S$3:$S$5001,Base!$A$3:$A$5001,"&gt;="&amp;$C$8,Base!$A$3:$A$5001,"&lt;="&amp;$D$8),SUMIFS(Base!$S$3:$S$5001,Base!$A$3:$A$5001,"&gt;="&amp;$C$8,Base!$A$3:$A$5001,"&lt;="&amp;$D$8,Base!$B$3:$B$5001,$B$2))</f>
        <v>6375</v>
      </c>
      <c r="T46">
        <f>IF($B$2="Todos",SUMIFS(Base!$T$3:$T$5001,Base!$A$3:$A$5001,"&gt;="&amp;$C$8,Base!$A$3:$A$5001,"&lt;="&amp;$D$8),SUMIFS(Base!$T$3:$T$5001,Base!$A$3:$A$5001,"&gt;="&amp;$C$8,Base!$A$3:$A$5001,"&lt;="&amp;$D$8,Base!$B$3:$B$5001,$B$2))</f>
        <v>3306</v>
      </c>
      <c r="U46">
        <f>IF($B$2="Todos",SUMIFS(Base!$U$3:$U$5001,Base!$A$3:$A$5001,"&gt;="&amp;$C$8,Base!$A$3:$A$5001,"&lt;="&amp;$D$8),SUMIFS(Base!$U$3:$U$5001,Base!$A$3:$A$5001,"&gt;="&amp;$C$8,Base!$A$3:$A$5001,"&lt;="&amp;$D$8,Base!$B$3:$B$5001,$B$2))</f>
        <v>8</v>
      </c>
      <c r="V46">
        <f>IF($B$2="Todos",SUMIFS(Base!$V$3:$V$5001,Base!$A$3:$A$5001,"&gt;="&amp;$C$8,Base!$A$3:$A$5001,"&lt;="&amp;$D$8),SUMIFS(Base!$V$3:$V$5001,Base!$A$3:$A$5001,"&gt;="&amp;$C$8,Base!$A$3:$A$5001,"&lt;="&amp;$D$8,Base!$B$3:$B$5001,$B$2))</f>
        <v>17</v>
      </c>
      <c r="W46">
        <f>IF($B$2="Todos",IF(COUNT($C$159:$K$159)=0,"",SUM($C$159:$K$159)),IFERROR(INDEX($C$159:$K$159,MATCH($B$2,$C$127:$K$127,0)),""))</f>
        <v>64</v>
      </c>
      <c r="X46">
        <f>IF(Y46="","",IF($B$2="Todos",IF(ISNUMBER($B$4),$B$4,IF(COUNT($C$194:$K$194)=0,"",SUM($C$194:$K$194))),IFERROR(INDEX($C$194:$K$194,MATCH($B$2,$C$162:$K$162,0)),"")))</f>
        <v>13700</v>
      </c>
      <c r="Y46">
        <f>IF($B$2="Todos",IF(COUNT($C$229:$K$229)=0,"",SUM($C$229:$K$229)),IFERROR(INDEX($C$229:$K$229,MATCH($B$2,$C$197:$K$197,0)),""))</f>
        <v>9185</v>
      </c>
      <c r="Z46">
        <f>IF(AND(ISNUMBER(Y46),ISNUMBER(X46)),IF(X46&gt;0,Y46/X46,""),"")</f>
        <v>0.67043795620438</v>
      </c>
      <c r="AA46">
        <f>IF($B$2="Todos",IF(COUNT($C$264:$K$264)=0,"",SUM($C$264:$K$264)),IFERROR(INDEX($C$264:$K$264,MATCH($B$2,$C$232:$K$232,0)),""))</f>
        <v>79</v>
      </c>
      <c r="AB46">
        <f>IF($B$2="Todos",SUMIFS(Base!$AA$3:$AA$5001,Base!$A$3:$A$5001,"&gt;="&amp;$C$8,Base!$A$3:$A$5001,"&lt;="&amp;$D$8),SUMIFS(Base!$AA$3:$AA$5001,Base!$A$3:$A$5001,"&gt;="&amp;$C$8,Base!$A$3:$A$5001,"&lt;="&amp;$D$8,Base!$B$3:$B$5001,$B$2))</f>
        <v>36</v>
      </c>
      <c r="AC46">
        <f>IF($B$2="Todos",SUMIFS(Base!$AB$3:$AB$5001,Base!$A$3:$A$5001,"&gt;="&amp;$C$8,Base!$A$3:$A$5001,"&lt;="&amp;$D$8),SUMIFS(Base!$AB$3:$AB$5001,Base!$A$3:$A$5001,"&gt;="&amp;$C$8,Base!$A$3:$A$5001,"&lt;="&amp;$D$8,Base!$B$3:$B$5001,$B$2))</f>
        <v>25</v>
      </c>
      <c r="AD46">
        <f>IF($B$2="Todos",SUMIFS(Base!$AC$3:$AC$5001,Base!$A$3:$A$5001,"&gt;="&amp;$C$8,Base!$A$3:$A$5001,"&lt;="&amp;$D$8),SUMIFS(Base!$AC$3:$AC$5001,Base!$A$3:$A$5001,"&gt;="&amp;$C$8,Base!$A$3:$A$5001,"&lt;="&amp;$D$8,Base!$B$3:$B$5001,$B$2))</f>
        <v>11</v>
      </c>
      <c r="AE46">
        <f>IF($B$2="Todos",SUMIFS(Base!$AD$3:$AD$5001,Base!$A$3:$A$5001,"&gt;="&amp;$C$8,Base!$A$3:$A$5001,"&lt;="&amp;$D$8),SUMIFS(Base!$AD$3:$AD$5001,Base!$A$3:$A$5001,"&gt;="&amp;$C$8,Base!$A$3:$A$5001,"&lt;="&amp;$D$8,Base!$B$3:$B$5001,$B$2))</f>
        <v>5</v>
      </c>
    </row>
    <row r="47">
      <c r="A47" t="inlineStr">
        <is>
          <t xml:space="preserve">Variação vs mês anterior</t>
        </is>
      </c>
      <c r="C47">
        <f>IF(AND(ISNUMBER(C43),ISNUMBER(C46)),IF(C46&lt;&gt;0,C43/C46-1,""),"")</f>
        <v>-0.0195035460992907</v>
      </c>
      <c r="D47">
        <f>IF(AND(ISNUMBER(D43),ISNUMBER(D46)),IF(D46&lt;&gt;0,D43/D46-1,""),"")</f>
        <v>0.0447125050261359</v>
      </c>
      <c r="E47">
        <f>IF(AND(ISNUMBER(E43),ISNUMBER(E46)),IF(E46&lt;&gt;0,E43/E46-1,""),"")</f>
        <v>0.154339551782824</v>
      </c>
      <c r="F47">
        <f>IF(AND(ISNUMBER(F43),ISNUMBER(F46)),IF(F46&lt;&gt;0,F43/F46-1,""),"")</f>
        <v>-0.0154057849715574</v>
      </c>
      <c r="G47">
        <f>IF(AND(ISNUMBER(G43),ISNUMBER(G46)),IF(G46&lt;&gt;0,G43/G46-1,""),"")</f>
        <v>0.176813977943754</v>
      </c>
      <c r="H47">
        <f>IF(AND(ISNUMBER(H43),ISNUMBER(H46)),IF(H46&lt;&gt;0,H43/H46-1,""),"")</f>
        <v>0.0192162773172571</v>
      </c>
      <c r="I47">
        <f>IF(AND(ISNUMBER(I43),ISNUMBER(I46)),IF(I46&lt;&gt;0,I43/I46-1,""),"")</f>
        <v>-0.0191296854803964</v>
      </c>
      <c r="J47">
        <f>IF(AND(ISNUMBER(J43),ISNUMBER(J46)),IF(J46&lt;&gt;0,J43/J46-1,""),"")</f>
        <v>-0.000909563409563385</v>
      </c>
      <c r="K47">
        <f>IF(AND(ISNUMBER(K43),ISNUMBER(K46)),IF(K46&lt;&gt;0,K43/K46-1,""),"")</f>
        <v>-0.0605402049053089</v>
      </c>
      <c r="L47">
        <f>IF(AND(ISNUMBER(L43),ISNUMBER(L46)),IF(L46&lt;&gt;0,L43/L46-1,""),"")</f>
        <v>0.0600144613159797</v>
      </c>
      <c r="M47">
        <f>IF(AND(ISNUMBER(M43),ISNUMBER(M46)),IF(M46&lt;&gt;0,M43/M46-1,""),"")</f>
        <v>0.090728476821192</v>
      </c>
      <c r="N47">
        <f>IF(AND(ISNUMBER(N43),ISNUMBER(N46)),IF(N46&lt;&gt;0,N43/N46-1,""),"")</f>
        <v>0.35671396358128</v>
      </c>
      <c r="O47">
        <f>IF(AND(ISNUMBER(O43),ISNUMBER(O46)),IF(O46&lt;&gt;0,O43/O46-1,""),"")</f>
        <v>0.0277915906956185</v>
      </c>
      <c r="P47">
        <f>IF(AND(ISNUMBER(P43),ISNUMBER(P46)),IF(P46&lt;&gt;0,P43/P46-1,""),"")</f>
        <v>-0.273751878443814</v>
      </c>
      <c r="Q47">
        <f>IF(AND(ISNUMBER(Q43),ISNUMBER(Q46)),IF(Q46&lt;&gt;0,Q43/Q46-1,""),"")</f>
        <v>0.0995280235988201</v>
      </c>
      <c r="R47">
        <f>IF(AND(ISNUMBER(R43),ISNUMBER(R46)),IF(R46&lt;&gt;0,R43/R46-1,""),"")</f>
        <v>0.0500650248239423</v>
      </c>
      <c r="S47">
        <f>IF(AND(ISNUMBER(S43),ISNUMBER(S46)),IF(S46&lt;&gt;0,S43/S46-1,""),"")</f>
        <v>0.213176470588235</v>
      </c>
      <c r="T47">
        <f>IF(AND(ISNUMBER(T43),ISNUMBER(T46)),IF(T46&lt;&gt;0,T43/T46-1,""),"")</f>
        <v>-0.0105868118572293</v>
      </c>
      <c r="U47">
        <f>IF(AND(ISNUMBER(U43),ISNUMBER(U46)),IF(U46&lt;&gt;0,U43/U46-1,""),"")</f>
        <v>-0.375</v>
      </c>
      <c r="V47">
        <f>IF(AND(ISNUMBER(V43),ISNUMBER(V46)),IF(V46&lt;&gt;0,V43/V46-1,""),"")</f>
        <v>0.176470588235294</v>
      </c>
      <c r="W47">
        <f>IF(AND(ISNUMBER(W43),ISNUMBER(W46)),IF(W46&lt;&gt;0,W43/W46-1,""),"")</f>
        <v>0.109375</v>
      </c>
      <c r="X47">
        <f>IF(AND(ISNUMBER(X43),ISNUMBER(X46)),IF(X46&lt;&gt;0,X43/X46-1,""),"")</f>
        <v>0</v>
      </c>
      <c r="Y47">
        <f>IF(AND(ISNUMBER(Y43),ISNUMBER(Y46)),IF(Y46&lt;&gt;0,Y43/Y46-1,""),"")</f>
        <v>0.132716385410996</v>
      </c>
      <c r="Z47">
        <f>IF(AND(ISNUMBER(Z43),ISNUMBER(Z46)),IF(Z46&lt;&gt;0,Z43/Z46-1,""),"")</f>
        <v>0.132716385410996</v>
      </c>
      <c r="AA47">
        <f>IF(AND(ISNUMBER(AA43),ISNUMBER(AA46)),IF(AA46&lt;&gt;0,AA43/AA46-1,""),"")</f>
        <v>-0.126582278481013</v>
      </c>
      <c r="AB47">
        <f>IF(AND(ISNUMBER(AB43),ISNUMBER(AB46)),IF(AB46&lt;&gt;0,AB43/AB46-1,""),"")</f>
        <v>0.166666666666667</v>
      </c>
      <c r="AC47">
        <f>IF(AND(ISNUMBER(AC43),ISNUMBER(AC46)),IF(AC46&lt;&gt;0,AC43/AC46-1,""),"")</f>
        <v>-0.2</v>
      </c>
      <c r="AD47">
        <f>IF(AND(ISNUMBER(AD43),ISNUMBER(AD46)),IF(AD46&lt;&gt;0,AD43/AD46-1,""),"")</f>
        <v>0.0909090909090908</v>
      </c>
      <c r="AE47">
        <f>IF(AND(ISNUMBER(AE43),ISNUMBER(AE46)),IF(AE46&lt;&gt;0,AE43/AE46-1,""),"")</f>
        <v>-0.6</v>
      </c>
    </row>
    <row r="48">
      <c r="A48" t="inlineStr">
        <is>
          <t xml:space="preserve">Meta (cliente selecionado)</t>
        </is>
      </c>
      <c r="C48" t="str">
        <f>IFERROR(1/(1/INDEX($B$55:$K$55,MATCH($B$2,$B$54:$K$54,0))),"")</f>
        <v/>
      </c>
      <c r="D48" t="str">
        <f>IFERROR(1/(1/INDEX($B$56:$K$56,MATCH($B$2,$B$54:$K$54,0))),"")</f>
        <v/>
      </c>
      <c r="E48" t="str">
        <f>IFERROR(1/(1/INDEX($B$57:$K$57,MATCH($B$2,$B$54:$K$54,0))),"")</f>
        <v/>
      </c>
      <c r="F48" t="str">
        <f>IFERROR(1/(1/INDEX($B$58:$K$58,MATCH($B$2,$B$54:$K$54,0))),"")</f>
        <v/>
      </c>
      <c r="G48" t="str">
        <f>IFERROR(1/(1/INDEX($B$59:$K$59,MATCH($B$2,$B$54:$K$54,0))),"")</f>
        <v/>
      </c>
      <c r="H48" t="str">
        <f>IFERROR(1/(1/INDEX($B$60:$K$60,MATCH($B$2,$B$54:$K$54,0))),"")</f>
        <v/>
      </c>
      <c r="I48" t="str">
        <f>IFERROR(1/(1/INDEX($B$61:$K$61,MATCH($B$2,$B$54:$K$54,0))),"")</f>
        <v/>
      </c>
      <c r="J48" t="str">
        <f>IFERROR(1/(1/INDEX($B$62:$K$62,MATCH($B$2,$B$54:$K$54,0))),"")</f>
        <v/>
      </c>
      <c r="K48" t="str">
        <f>IFERROR(1/(1/INDEX($B$63:$K$63,MATCH($B$2,$B$54:$K$54,0))),"")</f>
        <v/>
      </c>
      <c r="L48" t="str">
        <f>IFERROR(1/(1/INDEX($B$64:$K$64,MATCH($B$2,$B$54:$K$54,0))),"")</f>
        <v/>
      </c>
      <c r="M48" t="str">
        <f>IFERROR(1/(1/INDEX($B$65:$K$65,MATCH($B$2,$B$54:$K$54,0))),"")</f>
        <v/>
      </c>
      <c r="N48" t="str">
        <f>IFERROR(1/(1/INDEX($B$66:$K$66,MATCH($B$2,$B$54:$K$54,0))),"")</f>
        <v/>
      </c>
      <c r="O48" t="str">
        <f>IFERROR(1/(1/INDEX($B$67:$K$67,MATCH($B$2,$B$54:$K$54,0))),"")</f>
        <v/>
      </c>
      <c r="P48" t="str">
        <f>IFERROR(1/(1/INDEX($B$68:$K$68,MATCH($B$2,$B$54:$K$54,0))),"")</f>
        <v/>
      </c>
      <c r="Q48" t="str">
        <f>IFERROR(1/(1/INDEX($B$69:$K$69,MATCH($B$2,$B$54:$K$54,0))),"")</f>
        <v/>
      </c>
      <c r="R48" t="str">
        <f>IFERROR(1/(1/INDEX($B$70:$K$70,MATCH($B$2,$B$54:$K$54,0))),"")</f>
        <v/>
      </c>
      <c r="S48" t="str">
        <f>IFERROR(1/(1/INDEX($B$71:$K$71,MATCH($B$2,$B$54:$K$54,0))),"")</f>
        <v/>
      </c>
      <c r="T48" t="str">
        <f>IFERROR(1/(1/INDEX($B$72:$K$72,MATCH($B$2,$B$54:$K$54,0))),"")</f>
        <v/>
      </c>
      <c r="U48" t="str">
        <f>IFERROR(1/(1/INDEX($B$73:$K$73,MATCH($B$2,$B$54:$K$54,0))),"")</f>
        <v/>
      </c>
      <c r="V48" t="str">
        <f>IFERROR(1/(1/INDEX($B$74:$K$74,MATCH($B$2,$B$54:$K$54,0))),"")</f>
        <v/>
      </c>
      <c r="W48" t="str">
        <f>IFERROR(1/(1/INDEX($B$75:$K$75,MATCH($B$2,$B$54:$K$54,0))),"")</f>
        <v/>
      </c>
      <c r="X48" t="str">
        <f>IFERROR(1/(1/INDEX($B$76:$K$76,MATCH($B$2,$B$54:$K$54,0))),"")</f>
        <v/>
      </c>
      <c r="Y48" t="str">
        <f>IFERROR(1/(1/INDEX($B$77:$K$77,MATCH($B$2,$B$54:$K$54,0))),"")</f>
        <v/>
      </c>
      <c r="Z48" t="str">
        <f>IFERROR(1/(1/INDEX($B$78:$K$78,MATCH($B$2,$B$54:$K$54,0))),"")</f>
        <v/>
      </c>
      <c r="AA48" t="str">
        <f>IFERROR(1/(1/INDEX($B$79:$K$79,MATCH($B$2,$B$54:$K$54,0))),"")</f>
        <v/>
      </c>
      <c r="AB48" t="str">
        <f>IFERROR(1/(1/INDEX($B$80:$K$80,MATCH($B$2,$B$54:$K$54,0))),"")</f>
        <v/>
      </c>
      <c r="AC48" t="str">
        <f>IFERROR(1/(1/INDEX($B$81:$K$81,MATCH($B$2,$B$54:$K$54,0))),"")</f>
        <v/>
      </c>
      <c r="AD48" t="str">
        <f>IFERROR(1/(1/INDEX($B$82:$K$82,MATCH($B$2,$B$54:$K$54,0))),"")</f>
        <v/>
      </c>
      <c r="AE48" t="str">
        <f>IFERROR(1/(1/INDEX($B$83:$K$83,MATCH($B$2,$B$54:$K$54,0))),"")</f>
        <v/>
      </c>
    </row>
    <row r="49">
      <c r="A49" t="inlineStr">
        <is>
          <t xml:space="preserve">% da meta</t>
        </is>
      </c>
      <c r="C49" t="str">
        <f>IF(AND(ISNUMBER(C48),ISNUMBER(C43)),IF(C48&gt;0,C43/C48,""),"")</f>
        <v/>
      </c>
      <c r="D49" t="str">
        <f>IF(AND(ISNUMBER(D48),ISNUMBER(D43)),IF(D48&gt;0,D43/D48,""),"")</f>
        <v/>
      </c>
      <c r="E49" t="str">
        <f>IF(AND(ISNUMBER(E48),ISNUMBER(E43)),IF(E48&gt;0,E43/E48,""),"")</f>
        <v/>
      </c>
      <c r="F49" t="str">
        <f>IF(AND(ISNUMBER(F48),ISNUMBER(F43)),IF(F48&gt;0,F43/F48,""),"")</f>
        <v/>
      </c>
      <c r="G49" t="str">
        <f>IF(AND(ISNUMBER(G48),ISNUMBER(G43)),IF(G48&gt;0,G43/G48,""),"")</f>
        <v/>
      </c>
      <c r="H49" t="str">
        <f>IF(AND(ISNUMBER(H48),ISNUMBER(H43)),IF(H48&gt;0,H43/H48,""),"")</f>
        <v/>
      </c>
      <c r="I49" t="str">
        <f>IF(AND(ISNUMBER(I48),ISNUMBER(I43)),IF(I48&gt;0,I43/I48,""),"")</f>
        <v/>
      </c>
      <c r="J49" t="str">
        <f>IF(AND(ISNUMBER(J48),ISNUMBER(J43)),IF(J48&gt;0,J43/J48,""),"")</f>
        <v/>
      </c>
      <c r="K49" t="str">
        <f>IF(AND(ISNUMBER(K48),ISNUMBER(K43)),IF(K48&gt;0,K43/K48,""),"")</f>
        <v/>
      </c>
      <c r="L49" t="str">
        <f>IF(AND(ISNUMBER(L48),ISNUMBER(L43)),IF(L48&gt;0,L43/L48,""),"")</f>
        <v/>
      </c>
      <c r="M49" t="str">
        <f>IF(AND(ISNUMBER(M48),ISNUMBER(M43)),IF(M48&gt;0,M43/M48,""),"")</f>
        <v/>
      </c>
      <c r="N49" t="str">
        <f>IF(AND(ISNUMBER(N48),ISNUMBER(N43)),IF(N48&gt;0,N43/N48,""),"")</f>
        <v/>
      </c>
      <c r="O49" t="str">
        <f>IF(AND(ISNUMBER(O48),ISNUMBER(O43)),IF(O48&gt;0,O43/O48,""),"")</f>
        <v/>
      </c>
      <c r="P49" t="str">
        <f>IF(AND(ISNUMBER(P48),ISNUMBER(P43)),IF(P48&gt;0,P43/P48,""),"")</f>
        <v/>
      </c>
      <c r="Q49" t="str">
        <f>IF(AND(ISNUMBER(Q48),ISNUMBER(Q43)),IF(Q48&gt;0,Q43/Q48,""),"")</f>
        <v/>
      </c>
      <c r="R49" t="str">
        <f>IF(AND(ISNUMBER(R48),ISNUMBER(R43)),IF(R48&gt;0,R43/R48,""),"")</f>
        <v/>
      </c>
      <c r="S49" t="str">
        <f>IF(AND(ISNUMBER(S48),ISNUMBER(S43)),IF(S48&gt;0,S43/S48,""),"")</f>
        <v/>
      </c>
      <c r="T49" t="str">
        <f>IF(AND(ISNUMBER(T48),ISNUMBER(T43)),IF(T48&gt;0,T43/T48,""),"")</f>
        <v/>
      </c>
      <c r="U49" t="str">
        <f>IF(AND(ISNUMBER(U48),ISNUMBER(U43)),IF(U48&gt;0,U43/U48,""),"")</f>
        <v/>
      </c>
      <c r="V49" t="str">
        <f>IF(AND(ISNUMBER(V48),ISNUMBER(V43)),IF(V48&gt;0,V43/V48,""),"")</f>
        <v/>
      </c>
      <c r="W49" t="str">
        <f>IF(AND(ISNUMBER(W48),ISNUMBER(W43)),IF(W48&gt;0,W43/W48,""),"")</f>
        <v/>
      </c>
      <c r="X49" t="str">
        <f>IF(AND(ISNUMBER(X48),ISNUMBER(X43)),IF(X48&gt;0,X43/X48,""),"")</f>
        <v/>
      </c>
      <c r="Y49" t="str">
        <f>IF(AND(ISNUMBER(Y48),ISNUMBER(Y43)),IF(Y48&gt;0,Y43/Y48,""),"")</f>
        <v/>
      </c>
      <c r="Z49" t="str">
        <f>IF(AND(ISNUMBER(Z48),ISNUMBER(Z43)),IF(Z48&gt;0,Z43/Z48,""),"")</f>
        <v/>
      </c>
      <c r="AA49" t="str">
        <f>IF(AND(ISNUMBER(AA48),ISNUMBER(AA43)),IF(AA48&gt;0,AA43/AA48,""),"")</f>
        <v/>
      </c>
      <c r="AB49" t="str">
        <f>IF(AND(ISNUMBER(AB48),ISNUMBER(AB43)),IF(AB48&gt;0,AB43/AB48,""),"")</f>
        <v/>
      </c>
      <c r="AC49" t="str">
        <f>IF(AND(ISNUMBER(AC48),ISNUMBER(AC43)),IF(AC48&gt;0,AC43/AC48,""),"")</f>
        <v/>
      </c>
      <c r="AD49" t="str">
        <f>IF(AND(ISNUMBER(AD48),ISNUMBER(AD43)),IF(AD48&gt;0,AD43/AD48,""),"")</f>
        <v/>
      </c>
      <c r="AE49" t="str">
        <f>IF(AND(ISNUMBER(AE48),ISNUMBER(AE43)),IF(AE48&gt;0,AE43/AE48,""),"")</f>
        <v/>
      </c>
    </row>
    <row r="50">
      <c r="A50" t="inlineStr">
        <is>
          <t xml:space="preserve">Status</t>
        </is>
      </c>
      <c r="C50" t="str">
        <f>IF(ISNUMBER(C49),IF(C49&gt;=1,"meta atingida","abaixo da meta"),"")</f>
        <v/>
      </c>
      <c r="D50" t="str">
        <f>IF(ISNUMBER(D49),IF(D49&gt;=1,"meta atingida","abaixo da meta"),"")</f>
        <v/>
      </c>
      <c r="E50" t="str">
        <f>IF(ISNUMBER(E49),IF(E49&gt;=1,"meta atingida","abaixo da meta"),"")</f>
        <v/>
      </c>
      <c r="F50" t="str">
        <f>IF(ISNUMBER(F49),IF(F49&gt;=1,"meta atingida","abaixo da meta"),"")</f>
        <v/>
      </c>
      <c r="G50" t="str">
        <f>IF(ISNUMBER(G49),IF(G49&gt;=1,"meta atingida","abaixo da meta"),"")</f>
        <v/>
      </c>
      <c r="H50" t="str">
        <f>IF(ISNUMBER(H49),IF(H49&gt;=1,"meta atingida","abaixo da meta"),"")</f>
        <v/>
      </c>
      <c r="I50" t="str">
        <f>IF(ISNUMBER(I49),IF(I49&gt;=1,"meta atingida","abaixo da meta"),"")</f>
        <v/>
      </c>
      <c r="J50" t="str">
        <f>IF(ISNUMBER(J49),IF(J49&gt;=1,"meta atingida","abaixo da meta"),"")</f>
        <v/>
      </c>
      <c r="K50" t="str">
        <f>IF(ISNUMBER(K49),IF(K49&gt;=1,"meta atingida","abaixo da meta"),"")</f>
        <v/>
      </c>
      <c r="L50" t="str">
        <f>IF(ISNUMBER(L49),IF(L49&gt;=1,"meta atingida","abaixo da meta"),"")</f>
        <v/>
      </c>
      <c r="M50" t="str">
        <f>IF(ISNUMBER(M49),IF(M49&gt;=1,"meta atingida","abaixo da meta"),"")</f>
        <v/>
      </c>
      <c r="N50" t="str">
        <f>IF(ISNUMBER(N49),IF(N49&gt;=1,"meta atingida","abaixo da meta"),"")</f>
        <v/>
      </c>
      <c r="O50" t="str">
        <f>IF(ISNUMBER(O49),IF(O49&gt;=1,"meta atingida","abaixo da meta"),"")</f>
        <v/>
      </c>
      <c r="P50" t="str">
        <f>IF(ISNUMBER(P49),IF(P49&gt;=1,"meta atingida","abaixo da meta"),"")</f>
        <v/>
      </c>
      <c r="Q50" t="str">
        <f>IF(ISNUMBER(Q49),IF(Q49&gt;=1,"meta atingida","abaixo da meta"),"")</f>
        <v/>
      </c>
      <c r="R50" t="str">
        <f>IF(ISNUMBER(R49),IF(R49&gt;=1,"meta atingida","abaixo da meta"),"")</f>
        <v/>
      </c>
      <c r="S50" t="str">
        <f>IF(ISNUMBER(S49),IF(S49&gt;=1,"meta atingida","abaixo da meta"),"")</f>
        <v/>
      </c>
      <c r="T50" t="str">
        <f>IF(ISNUMBER(T49),IF(T49&gt;=1,"meta atingida","abaixo da meta"),"")</f>
        <v/>
      </c>
      <c r="U50" t="str">
        <f>IF(AND(ISNUMBER(U48),ISNUMBER(U43)),IF(U43&lt;=U48,"dentro do limite","acima do limite"),"")</f>
        <v/>
      </c>
      <c r="V50" t="str">
        <f>IF(AND(ISNUMBER(V48),ISNUMBER(V43)),IF(V43&lt;=V48,"dentro do limite","acima do limite"),"")</f>
        <v/>
      </c>
      <c r="W50" t="str">
        <f>IF(AND(ISNUMBER(W48),ISNUMBER(W43)),IF(W43&lt;=W48,"dentro do limite","acima do limite"),"")</f>
        <v/>
      </c>
      <c r="X50" t="str">
        <f>IF(ISNUMBER(X49),IF(X49&gt;=1,"meta atingida","abaixo da meta"),"")</f>
        <v/>
      </c>
      <c r="Y50" t="str">
        <f>IF(ISNUMBER(Y49),IF(Y49&gt;=1,"meta atingida","abaixo da meta"),"")</f>
        <v/>
      </c>
      <c r="Z50" t="str">
        <f>IF(ISNUMBER(Z43),IF(Z43&gt;=$B$6,"crítico",IF(Z43&gt;=$B$5,"atenção","dentro da faixa")),"")</f>
        <v>atenção</v>
      </c>
      <c r="AA50" t="str">
        <f>IF(ISNUMBER(AA49),IF(AA49&gt;=1,"meta atingida","abaixo da meta"),"")</f>
        <v/>
      </c>
      <c r="AB50" t="str">
        <f>IF(AND(ISNUMBER(AB48),ISNUMBER(AB43)),IF(AB43&lt;=AB48,"dentro do limite","acima do limite"),"")</f>
        <v/>
      </c>
      <c r="AC50" t="str">
        <f>IF(ISNUMBER(AC49),IF(AC49&gt;=1,"meta atingida","abaixo da meta"),"")</f>
        <v/>
      </c>
      <c r="AD50" t="str">
        <f>IF(ISNUMBER(AD49),IF(AD49&gt;=1,"meta atingida","abaixo da meta"),"")</f>
        <v/>
      </c>
      <c r="AE50" t="str">
        <f>IF(AND(ISNUMBER(AE48),ISNUMBER(AE43)),IF(AE43&lt;=AE48,"dentro do limite","acima do limite"),"")</f>
        <v/>
      </c>
    </row>
    <row r="53">
      <c r="A53" t="inlineStr">
        <is>
          <t xml:space="preserve">METAS DO MÊS por indicador (edite as células amarelas; vazio = sem meta). Taxa de ocupação: meta em %.</t>
        </is>
      </c>
    </row>
    <row r="54">
      <c r="A54" s="145" t="inlineStr">
        <is>
          <t xml:space="preserve">Indicador</t>
        </is>
      </c>
      <c r="B54" s="145" t="inlineStr">
        <is>
          <t xml:space="preserve">Todos</t>
        </is>
      </c>
      <c r="C54" s="145" t="inlineStr">
        <is>
          <t xml:space="preserve">BASF</t>
        </is>
      </c>
      <c r="D54" s="145" t="inlineStr">
        <is>
          <t xml:space="preserve">BEAUTYBIZ</t>
        </is>
      </c>
      <c r="E54" s="145" t="inlineStr">
        <is>
          <t xml:space="preserve">BOTICÁRIO</t>
        </is>
      </c>
      <c r="F54" s="145" t="inlineStr">
        <is>
          <t xml:space="preserve">SUPPLY</t>
        </is>
      </c>
      <c r="G54" s="145" t="inlineStr">
        <is>
          <t xml:space="preserve">GE VERNOVA</t>
        </is>
      </c>
      <c r="H54" s="145" t="inlineStr">
        <is>
          <t xml:space="preserve">VESTAS</t>
        </is>
      </c>
      <c r="I54" s="145" t="inlineStr">
        <is>
          <t xml:space="preserve">VEDACIT</t>
        </is>
      </c>
      <c r="J54" s="145" t="inlineStr">
        <is>
          <t xml:space="preserve">OMNLIFE</t>
        </is>
      </c>
      <c r="K54" s="145" t="inlineStr">
        <is>
          <t xml:space="preserve">ALPARGATAS</t>
        </is>
      </c>
    </row>
    <row r="55">
      <c r="A55" t="inlineStr">
        <is>
          <t xml:space="preserve">IN Veículos Recebidos</t>
        </is>
      </c>
      <c r="B55" s="160" t="str">
        <f>IF(calculos!B55="","",calculos!B55)</f>
        <v/>
      </c>
      <c r="C55" s="160" t="str">
        <f>IF(calculos!C55="","",calculos!C55)</f>
        <v/>
      </c>
      <c r="D55" s="160" t="str">
        <f>IF(calculos!D55="","",calculos!D55)</f>
        <v/>
      </c>
      <c r="E55" s="160" t="str">
        <f>IF(calculos!E55="","",calculos!E55)</f>
        <v/>
      </c>
      <c r="F55" s="160" t="str">
        <f>IF(calculos!F55="","",calculos!F55)</f>
        <v/>
      </c>
      <c r="G55" s="160" t="str">
        <f>IF(calculos!G55="","",calculos!G55)</f>
        <v/>
      </c>
      <c r="H55" s="160" t="str">
        <f>IF(calculos!H55="","",calculos!H55)</f>
        <v/>
      </c>
      <c r="I55" s="160" t="str">
        <f>IF(calculos!I55="","",calculos!I55)</f>
        <v/>
      </c>
      <c r="J55" s="160" t="str">
        <f>IF(calculos!J55="","",calculos!J55)</f>
        <v/>
      </c>
      <c r="K55" s="160" t="str">
        <f>IF(calculos!K55="","",calculos!K55)</f>
        <v/>
      </c>
    </row>
    <row r="56">
      <c r="A56" t="inlineStr">
        <is>
          <t xml:space="preserve">IN Pallets Movimentados</t>
        </is>
      </c>
      <c r="B56" s="160" t="str">
        <f>IF(calculos!B56="","",calculos!B56)</f>
        <v/>
      </c>
      <c r="C56" s="160" t="str">
        <f>IF(calculos!C56="","",calculos!C56)</f>
        <v/>
      </c>
      <c r="D56" s="160" t="str">
        <f>IF(calculos!D56="","",calculos!D56)</f>
        <v/>
      </c>
      <c r="E56" s="160" t="str">
        <f>IF(calculos!E56="","",calculos!E56)</f>
        <v/>
      </c>
      <c r="F56" s="160" t="str">
        <f>IF(calculos!F56="","",calculos!F56)</f>
        <v/>
      </c>
      <c r="G56" s="160" t="str">
        <f>IF(calculos!G56="","",calculos!G56)</f>
        <v/>
      </c>
      <c r="H56" s="160" t="str">
        <f>IF(calculos!H56="","",calculos!H56)</f>
        <v/>
      </c>
      <c r="I56" s="160" t="str">
        <f>IF(calculos!I56="","",calculos!I56)</f>
        <v/>
      </c>
      <c r="J56" s="160" t="str">
        <f>IF(calculos!J56="","",calculos!J56)</f>
        <v/>
      </c>
      <c r="K56" s="160" t="str">
        <f>IF(calculos!K56="","",calculos!K56)</f>
        <v/>
      </c>
    </row>
    <row r="57">
      <c r="A57" t="inlineStr">
        <is>
          <t xml:space="preserve">IN Toneladas Movimentadas</t>
        </is>
      </c>
      <c r="B57" s="160" t="str">
        <f>IF(calculos!B57="","",calculos!B57)</f>
        <v/>
      </c>
      <c r="C57" s="160" t="str">
        <f>IF(calculos!C57="","",calculos!C57)</f>
        <v/>
      </c>
      <c r="D57" s="160" t="str">
        <f>IF(calculos!D57="","",calculos!D57)</f>
        <v/>
      </c>
      <c r="E57" s="160" t="str">
        <f>IF(calculos!E57="","",calculos!E57)</f>
        <v/>
      </c>
      <c r="F57" s="160" t="str">
        <f>IF(calculos!F57="","",calculos!F57)</f>
        <v/>
      </c>
      <c r="G57" s="160" t="str">
        <f>IF(calculos!G57="","",calculos!G57)</f>
        <v/>
      </c>
      <c r="H57" s="160" t="str">
        <f>IF(calculos!H57="","",calculos!H57)</f>
        <v/>
      </c>
      <c r="I57" s="160" t="str">
        <f>IF(calculos!I57="","",calculos!I57)</f>
        <v/>
      </c>
      <c r="J57" s="160" t="str">
        <f>IF(calculos!J57="","",calculos!J57)</f>
        <v/>
      </c>
      <c r="K57" s="160" t="str">
        <f>IF(calculos!K57="","",calculos!K57)</f>
        <v/>
      </c>
    </row>
    <row r="58">
      <c r="A58" t="inlineStr">
        <is>
          <t xml:space="preserve">IN Caixas Movimentadas</t>
        </is>
      </c>
      <c r="B58" s="160" t="str">
        <f>IF(calculos!B58="","",calculos!B58)</f>
        <v/>
      </c>
      <c r="C58" s="160" t="str">
        <f>IF(calculos!C58="","",calculos!C58)</f>
        <v/>
      </c>
      <c r="D58" s="160" t="str">
        <f>IF(calculos!D58="","",calculos!D58)</f>
        <v/>
      </c>
      <c r="E58" s="160" t="str">
        <f>IF(calculos!E58="","",calculos!E58)</f>
        <v/>
      </c>
      <c r="F58" s="160" t="str">
        <f>IF(calculos!F58="","",calculos!F58)</f>
        <v/>
      </c>
      <c r="G58" s="160" t="str">
        <f>IF(calculos!G58="","",calculos!G58)</f>
        <v/>
      </c>
      <c r="H58" s="160" t="str">
        <f>IF(calculos!H58="","",calculos!H58)</f>
        <v/>
      </c>
      <c r="I58" s="160" t="str">
        <f>IF(calculos!I58="","",calculos!I58)</f>
        <v/>
      </c>
      <c r="J58" s="160" t="str">
        <f>IF(calculos!J58="","",calculos!J58)</f>
        <v/>
      </c>
      <c r="K58" s="160" t="str">
        <f>IF(calculos!K58="","",calculos!K58)</f>
        <v/>
      </c>
    </row>
    <row r="59">
      <c r="A59" t="inlineStr">
        <is>
          <t xml:space="preserve">IN Itens Recebidos CX Mista</t>
        </is>
      </c>
      <c r="B59" s="160" t="str">
        <f>IF(calculos!B59="","",calculos!B59)</f>
        <v/>
      </c>
      <c r="C59" s="160" t="str">
        <f>IF(calculos!C59="","",calculos!C59)</f>
        <v/>
      </c>
      <c r="D59" s="160" t="str">
        <f>IF(calculos!D59="","",calculos!D59)</f>
        <v/>
      </c>
      <c r="E59" s="160" t="str">
        <f>IF(calculos!E59="","",calculos!E59)</f>
        <v/>
      </c>
      <c r="F59" s="160" t="str">
        <f>IF(calculos!F59="","",calculos!F59)</f>
        <v/>
      </c>
      <c r="G59" s="160" t="str">
        <f>IF(calculos!G59="","",calculos!G59)</f>
        <v/>
      </c>
      <c r="H59" s="160" t="str">
        <f>IF(calculos!H59="","",calculos!H59)</f>
        <v/>
      </c>
      <c r="I59" s="160" t="str">
        <f>IF(calculos!I59="","",calculos!I59)</f>
        <v/>
      </c>
      <c r="J59" s="160" t="str">
        <f>IF(calculos!J59="","",calculos!J59)</f>
        <v/>
      </c>
      <c r="K59" s="160" t="str">
        <f>IF(calculos!K59="","",calculos!K59)</f>
        <v/>
      </c>
    </row>
    <row r="60">
      <c r="A60" t="inlineStr">
        <is>
          <t xml:space="preserve">IN Caixas Mistas Recebidas</t>
        </is>
      </c>
      <c r="B60" s="160" t="str">
        <f>IF(calculos!B60="","",calculos!B60)</f>
        <v/>
      </c>
      <c r="C60" s="160" t="str">
        <f>IF(calculos!C60="","",calculos!C60)</f>
        <v/>
      </c>
      <c r="D60" s="160" t="str">
        <f>IF(calculos!D60="","",calculos!D60)</f>
        <v/>
      </c>
      <c r="E60" s="160" t="str">
        <f>IF(calculos!E60="","",calculos!E60)</f>
        <v/>
      </c>
      <c r="F60" s="160" t="str">
        <f>IF(calculos!F60="","",calculos!F60)</f>
        <v/>
      </c>
      <c r="G60" s="160" t="str">
        <f>IF(calculos!G60="","",calculos!G60)</f>
        <v/>
      </c>
      <c r="H60" s="160" t="str">
        <f>IF(calculos!H60="","",calculos!H60)</f>
        <v/>
      </c>
      <c r="I60" s="160" t="str">
        <f>IF(calculos!I60="","",calculos!I60)</f>
        <v/>
      </c>
      <c r="J60" s="160" t="str">
        <f>IF(calculos!J60="","",calculos!J60)</f>
        <v/>
      </c>
      <c r="K60" s="160" t="str">
        <f>IF(calculos!K60="","",calculos!K60)</f>
        <v/>
      </c>
    </row>
    <row r="61">
      <c r="A61" t="inlineStr">
        <is>
          <t xml:space="preserve">IN Caixas Fechadas</t>
        </is>
      </c>
      <c r="B61" s="160" t="str">
        <f>IF(calculos!B61="","",calculos!B61)</f>
        <v/>
      </c>
      <c r="C61" s="160" t="str">
        <f>IF(calculos!C61="","",calculos!C61)</f>
        <v/>
      </c>
      <c r="D61" s="160" t="str">
        <f>IF(calculos!D61="","",calculos!D61)</f>
        <v/>
      </c>
      <c r="E61" s="160" t="str">
        <f>IF(calculos!E61="","",calculos!E61)</f>
        <v/>
      </c>
      <c r="F61" s="160" t="str">
        <f>IF(calculos!F61="","",calculos!F61)</f>
        <v/>
      </c>
      <c r="G61" s="160" t="str">
        <f>IF(calculos!G61="","",calculos!G61)</f>
        <v/>
      </c>
      <c r="H61" s="160" t="str">
        <f>IF(calculos!H61="","",calculos!H61)</f>
        <v/>
      </c>
      <c r="I61" s="160" t="str">
        <f>IF(calculos!I61="","",calculos!I61)</f>
        <v/>
      </c>
      <c r="J61" s="160" t="str">
        <f>IF(calculos!J61="","",calculos!J61)</f>
        <v/>
      </c>
      <c r="K61" s="160" t="str">
        <f>IF(calculos!K61="","",calculos!K61)</f>
        <v/>
      </c>
    </row>
    <row r="62">
      <c r="A62" t="inlineStr">
        <is>
          <t xml:space="preserve">IN Peças Movimentadas</t>
        </is>
      </c>
      <c r="B62" s="160" t="str">
        <f>IF(calculos!B62="","",calculos!B62)</f>
        <v/>
      </c>
      <c r="C62" s="160" t="str">
        <f>IF(calculos!C62="","",calculos!C62)</f>
        <v/>
      </c>
      <c r="D62" s="160" t="str">
        <f>IF(calculos!D62="","",calculos!D62)</f>
        <v/>
      </c>
      <c r="E62" s="160" t="str">
        <f>IF(calculos!E62="","",calculos!E62)</f>
        <v/>
      </c>
      <c r="F62" s="160" t="str">
        <f>IF(calculos!F62="","",calculos!F62)</f>
        <v/>
      </c>
      <c r="G62" s="160" t="str">
        <f>IF(calculos!G62="","",calculos!G62)</f>
        <v/>
      </c>
      <c r="H62" s="160" t="str">
        <f>IF(calculos!H62="","",calculos!H62)</f>
        <v/>
      </c>
      <c r="I62" s="160" t="str">
        <f>IF(calculos!I62="","",calculos!I62)</f>
        <v/>
      </c>
      <c r="J62" s="160" t="str">
        <f>IF(calculos!J62="","",calculos!J62)</f>
        <v/>
      </c>
      <c r="K62" s="160" t="str">
        <f>IF(calculos!K62="","",calculos!K62)</f>
        <v/>
      </c>
    </row>
    <row r="63">
      <c r="A63" t="inlineStr">
        <is>
          <t xml:space="preserve">IN Linhas NF</t>
        </is>
      </c>
      <c r="B63" s="160" t="str">
        <f>IF(calculos!B63="","",calculos!B63)</f>
        <v/>
      </c>
      <c r="C63" s="160" t="str">
        <f>IF(calculos!C63="","",calculos!C63)</f>
        <v/>
      </c>
      <c r="D63" s="160" t="str">
        <f>IF(calculos!D63="","",calculos!D63)</f>
        <v/>
      </c>
      <c r="E63" s="160" t="str">
        <f>IF(calculos!E63="","",calculos!E63)</f>
        <v/>
      </c>
      <c r="F63" s="160" t="str">
        <f>IF(calculos!F63="","",calculos!F63)</f>
        <v/>
      </c>
      <c r="G63" s="160" t="str">
        <f>IF(calculos!G63="","",calculos!G63)</f>
        <v/>
      </c>
      <c r="H63" s="160" t="str">
        <f>IF(calculos!H63="","",calculos!H63)</f>
        <v/>
      </c>
      <c r="I63" s="160" t="str">
        <f>IF(calculos!I63="","",calculos!I63)</f>
        <v/>
      </c>
      <c r="J63" s="160" t="str">
        <f>IF(calculos!J63="","",calculos!J63)</f>
        <v/>
      </c>
      <c r="K63" s="160" t="str">
        <f>IF(calculos!K63="","",calculos!K63)</f>
        <v/>
      </c>
    </row>
    <row r="64">
      <c r="A64" t="inlineStr">
        <is>
          <t xml:space="preserve">OUT Veículos Expedidos</t>
        </is>
      </c>
      <c r="B64" s="160" t="str">
        <f>IF(calculos!B64="","",calculos!B64)</f>
        <v/>
      </c>
      <c r="C64" s="160" t="str">
        <f>IF(calculos!C64="","",calculos!C64)</f>
        <v/>
      </c>
      <c r="D64" s="160" t="str">
        <f>IF(calculos!D64="","",calculos!D64)</f>
        <v/>
      </c>
      <c r="E64" s="160" t="str">
        <f>IF(calculos!E64="","",calculos!E64)</f>
        <v/>
      </c>
      <c r="F64" s="160" t="str">
        <f>IF(calculos!F64="","",calculos!F64)</f>
        <v/>
      </c>
      <c r="G64" s="160" t="str">
        <f>IF(calculos!G64="","",calculos!G64)</f>
        <v/>
      </c>
      <c r="H64" s="160" t="str">
        <f>IF(calculos!H64="","",calculos!H64)</f>
        <v/>
      </c>
      <c r="I64" s="160" t="str">
        <f>IF(calculos!I64="","",calculos!I64)</f>
        <v/>
      </c>
      <c r="J64" s="160" t="str">
        <f>IF(calculos!J64="","",calculos!J64)</f>
        <v/>
      </c>
      <c r="K64" s="160" t="str">
        <f>IF(calculos!K64="","",calculos!K64)</f>
        <v/>
      </c>
    </row>
    <row r="65">
      <c r="A65" t="inlineStr">
        <is>
          <t xml:space="preserve">OUT Pallets Movimentados</t>
        </is>
      </c>
      <c r="B65" s="160" t="str">
        <f>IF(calculos!B65="","",calculos!B65)</f>
        <v/>
      </c>
      <c r="C65" s="160" t="str">
        <f>IF(calculos!C65="","",calculos!C65)</f>
        <v/>
      </c>
      <c r="D65" s="160" t="str">
        <f>IF(calculos!D65="","",calculos!D65)</f>
        <v/>
      </c>
      <c r="E65" s="160" t="str">
        <f>IF(calculos!E65="","",calculos!E65)</f>
        <v/>
      </c>
      <c r="F65" s="160" t="str">
        <f>IF(calculos!F65="","",calculos!F65)</f>
        <v/>
      </c>
      <c r="G65" s="160" t="str">
        <f>IF(calculos!G65="","",calculos!G65)</f>
        <v/>
      </c>
      <c r="H65" s="160" t="str">
        <f>IF(calculos!H65="","",calculos!H65)</f>
        <v/>
      </c>
      <c r="I65" s="160" t="str">
        <f>IF(calculos!I65="","",calculos!I65)</f>
        <v/>
      </c>
      <c r="J65" s="160" t="str">
        <f>IF(calculos!J65="","",calculos!J65)</f>
        <v/>
      </c>
      <c r="K65" s="160" t="str">
        <f>IF(calculos!K65="","",calculos!K65)</f>
        <v/>
      </c>
    </row>
    <row r="66">
      <c r="A66" t="inlineStr">
        <is>
          <t xml:space="preserve">OUT Toneladas Movimentadas</t>
        </is>
      </c>
      <c r="B66" s="160" t="str">
        <f>IF(calculos!B66="","",calculos!B66)</f>
        <v/>
      </c>
      <c r="C66" s="160" t="str">
        <f>IF(calculos!C66="","",calculos!C66)</f>
        <v/>
      </c>
      <c r="D66" s="160" t="str">
        <f>IF(calculos!D66="","",calculos!D66)</f>
        <v/>
      </c>
      <c r="E66" s="160" t="str">
        <f>IF(calculos!E66="","",calculos!E66)</f>
        <v/>
      </c>
      <c r="F66" s="160" t="str">
        <f>IF(calculos!F66="","",calculos!F66)</f>
        <v/>
      </c>
      <c r="G66" s="160" t="str">
        <f>IF(calculos!G66="","",calculos!G66)</f>
        <v/>
      </c>
      <c r="H66" s="160" t="str">
        <f>IF(calculos!H66="","",calculos!H66)</f>
        <v/>
      </c>
      <c r="I66" s="160" t="str">
        <f>IF(calculos!I66="","",calculos!I66)</f>
        <v/>
      </c>
      <c r="J66" s="160" t="str">
        <f>IF(calculos!J66="","",calculos!J66)</f>
        <v/>
      </c>
      <c r="K66" s="160" t="str">
        <f>IF(calculos!K66="","",calculos!K66)</f>
        <v/>
      </c>
    </row>
    <row r="67">
      <c r="A67" t="inlineStr">
        <is>
          <t xml:space="preserve">OUT Caixas Expedidas</t>
        </is>
      </c>
      <c r="B67" s="160" t="str">
        <f>IF(calculos!B67="","",calculos!B67)</f>
        <v/>
      </c>
      <c r="C67" s="160" t="str">
        <f>IF(calculos!C67="","",calculos!C67)</f>
        <v/>
      </c>
      <c r="D67" s="160" t="str">
        <f>IF(calculos!D67="","",calculos!D67)</f>
        <v/>
      </c>
      <c r="E67" s="160" t="str">
        <f>IF(calculos!E67="","",calculos!E67)</f>
        <v/>
      </c>
      <c r="F67" s="160" t="str">
        <f>IF(calculos!F67="","",calculos!F67)</f>
        <v/>
      </c>
      <c r="G67" s="160" t="str">
        <f>IF(calculos!G67="","",calculos!G67)</f>
        <v/>
      </c>
      <c r="H67" s="160" t="str">
        <f>IF(calculos!H67="","",calculos!H67)</f>
        <v/>
      </c>
      <c r="I67" s="160" t="str">
        <f>IF(calculos!I67="","",calculos!I67)</f>
        <v/>
      </c>
      <c r="J67" s="160" t="str">
        <f>IF(calculos!J67="","",calculos!J67)</f>
        <v/>
      </c>
      <c r="K67" s="160" t="str">
        <f>IF(calculos!K67="","",calculos!K67)</f>
        <v/>
      </c>
    </row>
    <row r="68">
      <c r="A68" t="inlineStr">
        <is>
          <t xml:space="preserve">OUT Pedidos Expedidos</t>
        </is>
      </c>
      <c r="B68" s="160" t="str">
        <f>IF(calculos!B68="","",calculos!B68)</f>
        <v/>
      </c>
      <c r="C68" s="160" t="str">
        <f>IF(calculos!C68="","",calculos!C68)</f>
        <v/>
      </c>
      <c r="D68" s="160" t="str">
        <f>IF(calculos!D68="","",calculos!D68)</f>
        <v/>
      </c>
      <c r="E68" s="160" t="str">
        <f>IF(calculos!E68="","",calculos!E68)</f>
        <v/>
      </c>
      <c r="F68" s="160" t="str">
        <f>IF(calculos!F68="","",calculos!F68)</f>
        <v/>
      </c>
      <c r="G68" s="160" t="str">
        <f>IF(calculos!G68="","",calculos!G68)</f>
        <v/>
      </c>
      <c r="H68" s="160" t="str">
        <f>IF(calculos!H68="","",calculos!H68)</f>
        <v/>
      </c>
      <c r="I68" s="160" t="str">
        <f>IF(calculos!I68="","",calculos!I68)</f>
        <v/>
      </c>
      <c r="J68" s="160" t="str">
        <f>IF(calculos!J68="","",calculos!J68)</f>
        <v/>
      </c>
      <c r="K68" s="160" t="str">
        <f>IF(calculos!K68="","",calculos!K68)</f>
        <v/>
      </c>
    </row>
    <row r="69">
      <c r="A69" t="inlineStr">
        <is>
          <t xml:space="preserve">OUT Pedidos Faturados</t>
        </is>
      </c>
      <c r="B69" s="160" t="str">
        <f>IF(calculos!B69="","",calculos!B69)</f>
        <v/>
      </c>
      <c r="C69" s="160" t="str">
        <f>IF(calculos!C69="","",calculos!C69)</f>
        <v/>
      </c>
      <c r="D69" s="160" t="str">
        <f>IF(calculos!D69="","",calculos!D69)</f>
        <v/>
      </c>
      <c r="E69" s="160" t="str">
        <f>IF(calculos!E69="","",calculos!E69)</f>
        <v/>
      </c>
      <c r="F69" s="160" t="str">
        <f>IF(calculos!F69="","",calculos!F69)</f>
        <v/>
      </c>
      <c r="G69" s="160" t="str">
        <f>IF(calculos!G69="","",calculos!G69)</f>
        <v/>
      </c>
      <c r="H69" s="160" t="str">
        <f>IF(calculos!H69="","",calculos!H69)</f>
        <v/>
      </c>
      <c r="I69" s="160" t="str">
        <f>IF(calculos!I69="","",calculos!I69)</f>
        <v/>
      </c>
      <c r="J69" s="160" t="str">
        <f>IF(calculos!J69="","",calculos!J69)</f>
        <v/>
      </c>
      <c r="K69" s="160" t="str">
        <f>IF(calculos!K69="","",calculos!K69)</f>
        <v/>
      </c>
    </row>
    <row r="70">
      <c r="A70" t="inlineStr">
        <is>
          <t xml:space="preserve">OUT Itens Expedidos</t>
        </is>
      </c>
      <c r="B70" s="160" t="str">
        <f>IF(calculos!B70="","",calculos!B70)</f>
        <v/>
      </c>
      <c r="C70" s="160" t="str">
        <f>IF(calculos!C70="","",calculos!C70)</f>
        <v/>
      </c>
      <c r="D70" s="160" t="str">
        <f>IF(calculos!D70="","",calculos!D70)</f>
        <v/>
      </c>
      <c r="E70" s="160" t="str">
        <f>IF(calculos!E70="","",calculos!E70)</f>
        <v/>
      </c>
      <c r="F70" s="160" t="str">
        <f>IF(calculos!F70="","",calculos!F70)</f>
        <v/>
      </c>
      <c r="G70" s="160" t="str">
        <f>IF(calculos!G70="","",calculos!G70)</f>
        <v/>
      </c>
      <c r="H70" s="160" t="str">
        <f>IF(calculos!H70="","",calculos!H70)</f>
        <v/>
      </c>
      <c r="I70" s="160" t="str">
        <f>IF(calculos!I70="","",calculos!I70)</f>
        <v/>
      </c>
      <c r="J70" s="160" t="str">
        <f>IF(calculos!J70="","",calculos!J70)</f>
        <v/>
      </c>
      <c r="K70" s="160" t="str">
        <f>IF(calculos!K70="","",calculos!K70)</f>
        <v/>
      </c>
    </row>
    <row r="71">
      <c r="A71" t="inlineStr">
        <is>
          <t xml:space="preserve">OUT Peças Movimentadas</t>
        </is>
      </c>
      <c r="B71" s="160" t="str">
        <f>IF(calculos!B71="","",calculos!B71)</f>
        <v/>
      </c>
      <c r="C71" s="160" t="str">
        <f>IF(calculos!C71="","",calculos!C71)</f>
        <v/>
      </c>
      <c r="D71" s="160" t="str">
        <f>IF(calculos!D71="","",calculos!D71)</f>
        <v/>
      </c>
      <c r="E71" s="160" t="str">
        <f>IF(calculos!E71="","",calculos!E71)</f>
        <v/>
      </c>
      <c r="F71" s="160" t="str">
        <f>IF(calculos!F71="","",calculos!F71)</f>
        <v/>
      </c>
      <c r="G71" s="160" t="str">
        <f>IF(calculos!G71="","",calculos!G71)</f>
        <v/>
      </c>
      <c r="H71" s="160" t="str">
        <f>IF(calculos!H71="","",calculos!H71)</f>
        <v/>
      </c>
      <c r="I71" s="160" t="str">
        <f>IF(calculos!I71="","",calculos!I71)</f>
        <v/>
      </c>
      <c r="J71" s="160" t="str">
        <f>IF(calculos!J71="","",calculos!J71)</f>
        <v/>
      </c>
      <c r="K71" s="160" t="str">
        <f>IF(calculos!K71="","",calculos!K71)</f>
        <v/>
      </c>
    </row>
    <row r="72">
      <c r="A72" t="inlineStr">
        <is>
          <t xml:space="preserve">OUT Linhas NF</t>
        </is>
      </c>
      <c r="B72" s="160" t="str">
        <f>IF(calculos!B72="","",calculos!B72)</f>
        <v/>
      </c>
      <c r="C72" s="160" t="str">
        <f>IF(calculos!C72="","",calculos!C72)</f>
        <v/>
      </c>
      <c r="D72" s="160" t="str">
        <f>IF(calculos!D72="","",calculos!D72)</f>
        <v/>
      </c>
      <c r="E72" s="160" t="str">
        <f>IF(calculos!E72="","",calculos!E72)</f>
        <v/>
      </c>
      <c r="F72" s="160" t="str">
        <f>IF(calculos!F72="","",calculos!F72)</f>
        <v/>
      </c>
      <c r="G72" s="160" t="str">
        <f>IF(calculos!G72="","",calculos!G72)</f>
        <v/>
      </c>
      <c r="H72" s="160" t="str">
        <f>IF(calculos!H72="","",calculos!H72)</f>
        <v/>
      </c>
      <c r="I72" s="160" t="str">
        <f>IF(calculos!I72="","",calculos!I72)</f>
        <v/>
      </c>
      <c r="J72" s="160" t="str">
        <f>IF(calculos!J72="","",calculos!J72)</f>
        <v/>
      </c>
      <c r="K72" s="160" t="str">
        <f>IF(calculos!K72="","",calculos!K72)</f>
        <v/>
      </c>
    </row>
    <row r="73">
      <c r="A73" t="inlineStr">
        <is>
          <t xml:space="preserve">NC Incidentes</t>
        </is>
      </c>
      <c r="B73" s="160" t="str">
        <f>IF(calculos!B73="","",calculos!B73)</f>
        <v/>
      </c>
      <c r="C73" s="160" t="str">
        <f>IF(calculos!C73="","",calculos!C73)</f>
        <v/>
      </c>
      <c r="D73" s="160" t="str">
        <f>IF(calculos!D73="","",calculos!D73)</f>
        <v/>
      </c>
      <c r="E73" s="160" t="str">
        <f>IF(calculos!E73="","",calculos!E73)</f>
        <v/>
      </c>
      <c r="F73" s="160" t="str">
        <f>IF(calculos!F73="","",calculos!F73)</f>
        <v/>
      </c>
      <c r="G73" s="160" t="str">
        <f>IF(calculos!G73="","",calculos!G73)</f>
        <v/>
      </c>
      <c r="H73" s="160" t="str">
        <f>IF(calculos!H73="","",calculos!H73)</f>
        <v/>
      </c>
      <c r="I73" s="160" t="str">
        <f>IF(calculos!I73="","",calculos!I73)</f>
        <v/>
      </c>
      <c r="J73" s="160" t="str">
        <f>IF(calculos!J73="","",calculos!J73)</f>
        <v/>
      </c>
      <c r="K73" s="160" t="str">
        <f>IF(calculos!K73="","",calculos!K73)</f>
        <v/>
      </c>
    </row>
    <row r="74">
      <c r="A74" t="inlineStr">
        <is>
          <t xml:space="preserve">NC No show</t>
        </is>
      </c>
      <c r="B74" s="160" t="str">
        <f>IF(calculos!B74="","",calculos!B74)</f>
        <v/>
      </c>
      <c r="C74" s="160" t="str">
        <f>IF(calculos!C74="","",calculos!C74)</f>
        <v/>
      </c>
      <c r="D74" s="160" t="str">
        <f>IF(calculos!D74="","",calculos!D74)</f>
        <v/>
      </c>
      <c r="E74" s="160" t="str">
        <f>IF(calculos!E74="","",calculos!E74)</f>
        <v/>
      </c>
      <c r="F74" s="160" t="str">
        <f>IF(calculos!F74="","",calculos!F74)</f>
        <v/>
      </c>
      <c r="G74" s="160" t="str">
        <f>IF(calculos!G74="","",calculos!G74)</f>
        <v/>
      </c>
      <c r="H74" s="160" t="str">
        <f>IF(calculos!H74="","",calculos!H74)</f>
        <v/>
      </c>
      <c r="I74" s="160" t="str">
        <f>IF(calculos!I74="","",calculos!I74)</f>
        <v/>
      </c>
      <c r="J74" s="160" t="str">
        <f>IF(calculos!J74="","",calculos!J74)</f>
        <v/>
      </c>
      <c r="K74" s="160" t="str">
        <f>IF(calculos!K74="","",calculos!K74)</f>
        <v/>
      </c>
    </row>
    <row r="75">
      <c r="A75" t="inlineStr">
        <is>
          <t xml:space="preserve">NC Backlog</t>
        </is>
      </c>
      <c r="B75" s="160" t="str">
        <f>IF(calculos!B75="","",calculos!B75)</f>
        <v/>
      </c>
      <c r="C75" s="160" t="str">
        <f>IF(calculos!C75="","",calculos!C75)</f>
        <v/>
      </c>
      <c r="D75" s="160" t="str">
        <f>IF(calculos!D75="","",calculos!D75)</f>
        <v/>
      </c>
      <c r="E75" s="160" t="str">
        <f>IF(calculos!E75="","",calculos!E75)</f>
        <v/>
      </c>
      <c r="F75" s="160" t="str">
        <f>IF(calculos!F75="","",calculos!F75)</f>
        <v/>
      </c>
      <c r="G75" s="160" t="str">
        <f>IF(calculos!G75="","",calculos!G75)</f>
        <v/>
      </c>
      <c r="H75" s="160" t="str">
        <f>IF(calculos!H75="","",calculos!H75)</f>
        <v/>
      </c>
      <c r="I75" s="160" t="str">
        <f>IF(calculos!I75="","",calculos!I75)</f>
        <v/>
      </c>
      <c r="J75" s="160" t="str">
        <f>IF(calculos!J75="","",calculos!J75)</f>
        <v/>
      </c>
      <c r="K75" s="160" t="str">
        <f>IF(calculos!K75="","",calculos!K75)</f>
        <v/>
      </c>
    </row>
    <row r="76">
      <c r="A76" t="inlineStr">
        <is>
          <t xml:space="preserve">Posições Disponíveis</t>
        </is>
      </c>
      <c r="B76" s="160" t="str">
        <f>IF(calculos!B76="","",calculos!B76)</f>
        <v/>
      </c>
      <c r="C76" s="160" t="str">
        <f>IF(calculos!C76="","",calculos!C76)</f>
        <v/>
      </c>
      <c r="D76" s="160" t="str">
        <f>IF(calculos!D76="","",calculos!D76)</f>
        <v/>
      </c>
      <c r="E76" s="160" t="str">
        <f>IF(calculos!E76="","",calculos!E76)</f>
        <v/>
      </c>
      <c r="F76" s="160" t="str">
        <f>IF(calculos!F76="","",calculos!F76)</f>
        <v/>
      </c>
      <c r="G76" s="160" t="str">
        <f>IF(calculos!G76="","",calculos!G76)</f>
        <v/>
      </c>
      <c r="H76" s="160" t="str">
        <f>IF(calculos!H76="","",calculos!H76)</f>
        <v/>
      </c>
      <c r="I76" s="160" t="str">
        <f>IF(calculos!I76="","",calculos!I76)</f>
        <v/>
      </c>
      <c r="J76" s="160" t="str">
        <f>IF(calculos!J76="","",calculos!J76)</f>
        <v/>
      </c>
      <c r="K76" s="160" t="str">
        <f>IF(calculos!K76="","",calculos!K76)</f>
        <v/>
      </c>
    </row>
    <row r="77">
      <c r="A77" t="inlineStr">
        <is>
          <t xml:space="preserve">Posições Ocupadas</t>
        </is>
      </c>
      <c r="B77" s="160" t="str">
        <f>IF(calculos!B77="","",calculos!B77)</f>
        <v/>
      </c>
      <c r="C77" s="160" t="str">
        <f>IF(calculos!C77="","",calculos!C77)</f>
        <v/>
      </c>
      <c r="D77" s="160" t="str">
        <f>IF(calculos!D77="","",calculos!D77)</f>
        <v/>
      </c>
      <c r="E77" s="160" t="str">
        <f>IF(calculos!E77="","",calculos!E77)</f>
        <v/>
      </c>
      <c r="F77" s="160" t="str">
        <f>IF(calculos!F77="","",calculos!F77)</f>
        <v/>
      </c>
      <c r="G77" s="160" t="str">
        <f>IF(calculos!G77="","",calculos!G77)</f>
        <v/>
      </c>
      <c r="H77" s="160" t="str">
        <f>IF(calculos!H77="","",calculos!H77)</f>
        <v/>
      </c>
      <c r="I77" s="160" t="str">
        <f>IF(calculos!I77="","",calculos!I77)</f>
        <v/>
      </c>
      <c r="J77" s="160" t="str">
        <f>IF(calculos!J77="","",calculos!J77)</f>
        <v/>
      </c>
      <c r="K77" s="160" t="str">
        <f>IF(calculos!K77="","",calculos!K77)</f>
        <v/>
      </c>
    </row>
    <row r="78">
      <c r="A78" t="inlineStr">
        <is>
          <t xml:space="preserve">Taxa de Ocupação</t>
        </is>
      </c>
      <c r="B78" s="160" t="str">
        <f>IF(calculos!B78="","",calculos!B78)</f>
        <v/>
      </c>
      <c r="C78" s="160" t="str">
        <f>IF(calculos!C78="","",calculos!C78)</f>
        <v/>
      </c>
      <c r="D78" s="160" t="str">
        <f>IF(calculos!D78="","",calculos!D78)</f>
        <v/>
      </c>
      <c r="E78" s="160" t="str">
        <f>IF(calculos!E78="","",calculos!E78)</f>
        <v/>
      </c>
      <c r="F78" s="160" t="str">
        <f>IF(calculos!F78="","",calculos!F78)</f>
        <v/>
      </c>
      <c r="G78" s="160" t="str">
        <f>IF(calculos!G78="","",calculos!G78)</f>
        <v/>
      </c>
      <c r="H78" s="160" t="str">
        <f>IF(calculos!H78="","",calculos!H78)</f>
        <v/>
      </c>
      <c r="I78" s="160" t="str">
        <f>IF(calculos!I78="","",calculos!I78)</f>
        <v/>
      </c>
      <c r="J78" s="160" t="str">
        <f>IF(calculos!J78="","",calculos!J78)</f>
        <v/>
      </c>
      <c r="K78" s="160" t="str">
        <f>IF(calculos!K78="","",calculos!K78)</f>
        <v/>
      </c>
    </row>
    <row r="79">
      <c r="A79" t="inlineStr">
        <is>
          <t xml:space="preserve">Efetivo</t>
        </is>
      </c>
      <c r="B79" s="160" t="str">
        <f>IF(calculos!B79="","",calculos!B79)</f>
        <v/>
      </c>
      <c r="C79" s="160" t="str">
        <f>IF(calculos!C79="","",calculos!C79)</f>
        <v/>
      </c>
      <c r="D79" s="160" t="str">
        <f>IF(calculos!D79="","",calculos!D79)</f>
        <v/>
      </c>
      <c r="E79" s="160" t="str">
        <f>IF(calculos!E79="","",calculos!E79)</f>
        <v/>
      </c>
      <c r="F79" s="160" t="str">
        <f>IF(calculos!F79="","",calculos!F79)</f>
        <v/>
      </c>
      <c r="G79" s="160" t="str">
        <f>IF(calculos!G79="","",calculos!G79)</f>
        <v/>
      </c>
      <c r="H79" s="160" t="str">
        <f>IF(calculos!H79="","",calculos!H79)</f>
        <v/>
      </c>
      <c r="I79" s="160" t="str">
        <f>IF(calculos!I79="","",calculos!I79)</f>
        <v/>
      </c>
      <c r="J79" s="160" t="str">
        <f>IF(calculos!J79="","",calculos!J79)</f>
        <v/>
      </c>
      <c r="K79" s="160" t="str">
        <f>IF(calculos!K79="","",calculos!K79)</f>
        <v/>
      </c>
    </row>
    <row r="80">
      <c r="A80" t="inlineStr">
        <is>
          <t xml:space="preserve">Falta</t>
        </is>
      </c>
      <c r="B80" s="160" t="str">
        <f>IF(calculos!B80="","",calculos!B80)</f>
        <v/>
      </c>
      <c r="C80" s="160" t="str">
        <f>IF(calculos!C80="","",calculos!C80)</f>
        <v/>
      </c>
      <c r="D80" s="160" t="str">
        <f>IF(calculos!D80="","",calculos!D80)</f>
        <v/>
      </c>
      <c r="E80" s="160" t="str">
        <f>IF(calculos!E80="","",calculos!E80)</f>
        <v/>
      </c>
      <c r="F80" s="160" t="str">
        <f>IF(calculos!F80="","",calculos!F80)</f>
        <v/>
      </c>
      <c r="G80" s="160" t="str">
        <f>IF(calculos!G80="","",calculos!G80)</f>
        <v/>
      </c>
      <c r="H80" s="160" t="str">
        <f>IF(calculos!H80="","",calculos!H80)</f>
        <v/>
      </c>
      <c r="I80" s="160" t="str">
        <f>IF(calculos!I80="","",calculos!I80)</f>
        <v/>
      </c>
      <c r="J80" s="160" t="str">
        <f>IF(calculos!J80="","",calculos!J80)</f>
        <v/>
      </c>
      <c r="K80" s="160" t="str">
        <f>IF(calculos!K80="","",calculos!K80)</f>
        <v/>
      </c>
    </row>
    <row r="81">
      <c r="A81" t="inlineStr">
        <is>
          <t xml:space="preserve">Folga</t>
        </is>
      </c>
      <c r="B81" s="160" t="str">
        <f>IF(calculos!B81="","",calculos!B81)</f>
        <v/>
      </c>
      <c r="C81" s="160" t="str">
        <f>IF(calculos!C81="","",calculos!C81)</f>
        <v/>
      </c>
      <c r="D81" s="160" t="str">
        <f>IF(calculos!D81="","",calculos!D81)</f>
        <v/>
      </c>
      <c r="E81" s="160" t="str">
        <f>IF(calculos!E81="","",calculos!E81)</f>
        <v/>
      </c>
      <c r="F81" s="160" t="str">
        <f>IF(calculos!F81="","",calculos!F81)</f>
        <v/>
      </c>
      <c r="G81" s="160" t="str">
        <f>IF(calculos!G81="","",calculos!G81)</f>
        <v/>
      </c>
      <c r="H81" s="160" t="str">
        <f>IF(calculos!H81="","",calculos!H81)</f>
        <v/>
      </c>
      <c r="I81" s="160" t="str">
        <f>IF(calculos!I81="","",calculos!I81)</f>
        <v/>
      </c>
      <c r="J81" s="160" t="str">
        <f>IF(calculos!J81="","",calculos!J81)</f>
        <v/>
      </c>
      <c r="K81" s="160" t="str">
        <f>IF(calculos!K81="","",calculos!K81)</f>
        <v/>
      </c>
    </row>
    <row r="82">
      <c r="A82" t="inlineStr">
        <is>
          <t xml:space="preserve">Férias</t>
        </is>
      </c>
      <c r="B82" s="160" t="str">
        <f>IF(calculos!B82="","",calculos!B82)</f>
        <v/>
      </c>
      <c r="C82" s="160" t="str">
        <f>IF(calculos!C82="","",calculos!C82)</f>
        <v/>
      </c>
      <c r="D82" s="160" t="str">
        <f>IF(calculos!D82="","",calculos!D82)</f>
        <v/>
      </c>
      <c r="E82" s="160" t="str">
        <f>IF(calculos!E82="","",calculos!E82)</f>
        <v/>
      </c>
      <c r="F82" s="160" t="str">
        <f>IF(calculos!F82="","",calculos!F82)</f>
        <v/>
      </c>
      <c r="G82" s="160" t="str">
        <f>IF(calculos!G82="","",calculos!G82)</f>
        <v/>
      </c>
      <c r="H82" s="160" t="str">
        <f>IF(calculos!H82="","",calculos!H82)</f>
        <v/>
      </c>
      <c r="I82" s="160" t="str">
        <f>IF(calculos!I82="","",calculos!I82)</f>
        <v/>
      </c>
      <c r="J82" s="160" t="str">
        <f>IF(calculos!J82="","",calculos!J82)</f>
        <v/>
      </c>
      <c r="K82" s="160" t="str">
        <f>IF(calculos!K82="","",calculos!K82)</f>
        <v/>
      </c>
    </row>
    <row r="83">
      <c r="A83" t="inlineStr">
        <is>
          <t xml:space="preserve">Desligamentos</t>
        </is>
      </c>
      <c r="B83" s="160" t="str">
        <f>IF(calculos!B83="","",calculos!B83)</f>
        <v/>
      </c>
      <c r="C83" s="160" t="str">
        <f>IF(calculos!C83="","",calculos!C83)</f>
        <v/>
      </c>
      <c r="D83" s="160" t="str">
        <f>IF(calculos!D83="","",calculos!D83)</f>
        <v/>
      </c>
      <c r="E83" s="160" t="str">
        <f>IF(calculos!E83="","",calculos!E83)</f>
        <v/>
      </c>
      <c r="F83" s="160" t="str">
        <f>IF(calculos!F83="","",calculos!F83)</f>
        <v/>
      </c>
      <c r="G83" s="160" t="str">
        <f>IF(calculos!G83="","",calculos!G83)</f>
        <v/>
      </c>
      <c r="H83" s="160" t="str">
        <f>IF(calculos!H83="","",calculos!H83)</f>
        <v/>
      </c>
      <c r="I83" s="160" t="str">
        <f>IF(calculos!I83="","",calculos!I83)</f>
        <v/>
      </c>
      <c r="J83" s="160" t="str">
        <f>IF(calculos!J83="","",calculos!J83)</f>
        <v/>
      </c>
      <c r="K83" s="160" t="str">
        <f>IF(calculos!K83="","",calculos!K83)</f>
        <v/>
      </c>
    </row>
    <row r="86">
      <c r="F86" s="145" t="inlineStr">
        <is>
          <t xml:space="preserve">Semana</t>
        </is>
      </c>
      <c r="G86" s="145" t="inlineStr">
        <is>
          <t xml:space="preserve">Do dia</t>
        </is>
      </c>
      <c r="H86" s="145" t="inlineStr">
        <is>
          <t xml:space="preserve">Ao dia</t>
        </is>
      </c>
      <c r="I86" s="145" t="inlineStr">
        <is>
          <t xml:space="preserve">IN</t>
        </is>
      </c>
      <c r="J86" s="145" t="inlineStr">
        <is>
          <t xml:space="preserve">OUT</t>
        </is>
      </c>
    </row>
    <row r="87">
      <c r="F87" t="inlineStr">
        <is>
          <t xml:space="preserve">Sem 1 (01–07)</t>
        </is>
      </c>
      <c r="G87">
        <v>1</v>
      </c>
      <c r="H87">
        <v>7</v>
      </c>
      <c r="I87">
        <f>SUMIFS($AG$12:$AG$42,$A$12:$A$42,"&gt;="&amp;$G87,$A$12:$A$42,"&lt;="&amp;$H87)</f>
        <v>3308</v>
      </c>
      <c r="J87">
        <f>SUMIFS($AH$12:$AH$42,$A$12:$A$42,"&gt;="&amp;$G87,$A$12:$A$42,"&lt;="&amp;$H87)</f>
        <v>3925</v>
      </c>
    </row>
    <row r="88">
      <c r="F88" t="inlineStr">
        <is>
          <t xml:space="preserve">Sem 2 (08–14)</t>
        </is>
      </c>
      <c r="G88">
        <v>8</v>
      </c>
      <c r="H88">
        <v>14</v>
      </c>
      <c r="I88">
        <f>SUMIFS($AG$12:$AG$42,$A$12:$A$42,"&gt;="&amp;$G88,$A$12:$A$42,"&lt;="&amp;$H88)</f>
        <v>3000</v>
      </c>
      <c r="J88">
        <f>SUMIFS($AH$12:$AH$42,$A$12:$A$42,"&gt;="&amp;$G88,$A$12:$A$42,"&lt;="&amp;$H88)</f>
        <v>3929</v>
      </c>
    </row>
    <row r="89">
      <c r="F89" t="inlineStr">
        <is>
          <t xml:space="preserve">Sem 3 (15–21)</t>
        </is>
      </c>
      <c r="G89">
        <v>15</v>
      </c>
      <c r="H89">
        <v>21</v>
      </c>
      <c r="I89">
        <f>SUMIFS($AG$12:$AG$42,$A$12:$A$42,"&gt;="&amp;$G89,$A$12:$A$42,"&lt;="&amp;$H89)</f>
        <v>3019</v>
      </c>
      <c r="J89">
        <f>SUMIFS($AH$12:$AH$42,$A$12:$A$42,"&gt;="&amp;$G89,$A$12:$A$42,"&lt;="&amp;$H89)</f>
        <v>4046</v>
      </c>
    </row>
    <row r="90">
      <c r="F90" t="inlineStr">
        <is>
          <t xml:space="preserve">Sem 4 (22–28)</t>
        </is>
      </c>
      <c r="G90">
        <v>22</v>
      </c>
      <c r="H90">
        <v>28</v>
      </c>
      <c r="I90">
        <f>SUMIFS($AG$12:$AG$42,$A$12:$A$42,"&gt;="&amp;$G90,$A$12:$A$42,"&lt;="&amp;$H90)</f>
        <v>3160</v>
      </c>
      <c r="J90">
        <f>SUMIFS($AH$12:$AH$42,$A$12:$A$42,"&gt;="&amp;$G90,$A$12:$A$42,"&lt;="&amp;$H90)</f>
        <v>3835</v>
      </c>
    </row>
    <row r="91">
      <c r="F91" t="str">
        <f>IF(DAY($D$7)&lt;29,"Sem 5 (—)","Sem 5 (29–"&amp;DAY($D$7)&amp;")")</f>
        <v>Sem 5 (29–30)</v>
      </c>
      <c r="G91">
        <v>29</v>
      </c>
      <c r="H91">
        <f>DAY($D$7)</f>
        <v>30</v>
      </c>
      <c r="I91">
        <f>SUMIFS($AG$12:$AG$42,$A$12:$A$42,"&gt;="&amp;$G91,$A$12:$A$42,"&lt;="&amp;$H91)</f>
        <v>504</v>
      </c>
      <c r="J91">
        <f>SUMIFS($AH$12:$AH$42,$A$12:$A$42,"&gt;="&amp;$G91,$A$12:$A$42,"&lt;="&amp;$H91)</f>
        <v>735</v>
      </c>
    </row>
    <row r="94">
      <c r="A94" t="inlineStr">
        <is>
          <t xml:space="preserve">POR CLIENTE — mês inteiro (todos os clientes, independe do filtro). Estoque = último dado do mês. "—" = indicador não usado pelo cliente.</t>
        </is>
      </c>
    </row>
    <row r="95">
      <c r="A95" s="145" t="inlineStr">
        <is>
          <t xml:space="preserve">Indicador</t>
        </is>
      </c>
      <c r="B95" s="145" t="inlineStr">
        <is>
          <t xml:space="preserve">BASF</t>
        </is>
      </c>
      <c r="C95" s="145" t="inlineStr">
        <is>
          <t xml:space="preserve">BEAUTYBIZ</t>
        </is>
      </c>
      <c r="D95" s="145" t="inlineStr">
        <is>
          <t xml:space="preserve">BOTICÁRIO</t>
        </is>
      </c>
      <c r="E95" s="145" t="inlineStr">
        <is>
          <t xml:space="preserve">SUPPLY</t>
        </is>
      </c>
      <c r="F95" s="145" t="inlineStr">
        <is>
          <t xml:space="preserve">GE VERNOVA</t>
        </is>
      </c>
      <c r="G95" s="145" t="inlineStr">
        <is>
          <t xml:space="preserve">VESTAS</t>
        </is>
      </c>
      <c r="H95" s="145" t="inlineStr">
        <is>
          <t xml:space="preserve">VEDACIT</t>
        </is>
      </c>
      <c r="I95" s="145" t="inlineStr">
        <is>
          <t xml:space="preserve">OMNLIFE</t>
        </is>
      </c>
      <c r="J95" s="145" t="inlineStr">
        <is>
          <t xml:space="preserve">ALPARGATAS</t>
        </is>
      </c>
      <c r="K95" s="145" t="inlineStr">
        <is>
          <t xml:space="preserve">TOTAL CD</t>
        </is>
      </c>
    </row>
    <row r="96">
      <c r="A96" t="inlineStr">
        <is>
          <t xml:space="preserve">IN Veículos Recebidos</t>
        </is>
      </c>
      <c r="B96">
        <f>SUMIFS(Base!$C$3:$C$5001,Base!$B$3:$B$5001,B$95,Base!$A$3:$A$5001,"&gt;="&amp;$C$7,Base!$A$3:$A$5001,"&lt;="&amp;$D$7)</f>
        <v>130</v>
      </c>
      <c r="C96">
        <f>SUMIFS(Base!$C$3:$C$5001,Base!$B$3:$B$5001,C$95,Base!$A$3:$A$5001,"&gt;="&amp;$C$7,Base!$A$3:$A$5001,"&lt;="&amp;$D$7)</f>
        <v>120</v>
      </c>
      <c r="D96">
        <f>SUMIFS(Base!$C$3:$C$5001,Base!$B$3:$B$5001,D$95,Base!$A$3:$A$5001,"&gt;="&amp;$C$7,Base!$A$3:$A$5001,"&lt;="&amp;$D$7)</f>
        <v>136</v>
      </c>
      <c r="E96">
        <f>SUMIFS(Base!$C$3:$C$5001,Base!$B$3:$B$5001,E$95,Base!$A$3:$A$5001,"&gt;="&amp;$C$7,Base!$A$3:$A$5001,"&lt;="&amp;$D$7)</f>
        <v>129</v>
      </c>
      <c r="F96">
        <f>SUMIFS(Base!$C$3:$C$5001,Base!$B$3:$B$5001,F$95,Base!$A$3:$A$5001,"&gt;="&amp;$C$7,Base!$A$3:$A$5001,"&lt;="&amp;$D$7)</f>
        <v>122</v>
      </c>
      <c r="G96">
        <f>SUMIFS(Base!$C$3:$C$5001,Base!$B$3:$B$5001,G$95,Base!$A$3:$A$5001,"&gt;="&amp;$C$7,Base!$A$3:$A$5001,"&lt;="&amp;$D$7)</f>
        <v>116</v>
      </c>
      <c r="H96">
        <f>SUMIFS(Base!$C$3:$C$5001,Base!$B$3:$B$5001,H$95,Base!$A$3:$A$5001,"&gt;="&amp;$C$7,Base!$A$3:$A$5001,"&lt;="&amp;$D$7)</f>
        <v>128</v>
      </c>
      <c r="I96">
        <f>SUMIFS(Base!$C$3:$C$5001,Base!$B$3:$B$5001,I$95,Base!$A$3:$A$5001,"&gt;="&amp;$C$7,Base!$A$3:$A$5001,"&lt;="&amp;$D$7)</f>
        <v>112</v>
      </c>
      <c r="J96">
        <f>SUMIFS(Base!$C$3:$C$5001,Base!$B$3:$B$5001,J$95,Base!$A$3:$A$5001,"&gt;="&amp;$C$7,Base!$A$3:$A$5001,"&lt;="&amp;$D$7)</f>
        <v>113</v>
      </c>
      <c r="K96">
        <f>SUM(B96:J96)</f>
        <v>1106</v>
      </c>
    </row>
    <row r="97">
      <c r="A97" t="inlineStr">
        <is>
          <t xml:space="preserve">IN Pallets Movimentados</t>
        </is>
      </c>
      <c r="B97">
        <f>SUMIFS(Base!$D$3:$D$5001,Base!$B$3:$B$5001,B$95,Base!$A$3:$A$5001,"&gt;="&amp;$C$7,Base!$A$3:$A$5001,"&lt;="&amp;$D$7)</f>
        <v>2293</v>
      </c>
      <c r="C97">
        <f>SUMIFS(Base!$D$3:$D$5001,Base!$B$3:$B$5001,C$95,Base!$A$3:$A$5001,"&gt;="&amp;$C$7,Base!$A$3:$A$5001,"&lt;="&amp;$D$7)</f>
        <v>2316</v>
      </c>
      <c r="D97" t="inlineStr">
        <is>
          <t xml:space="preserve">—</t>
        </is>
      </c>
      <c r="E97">
        <f>SUMIFS(Base!$D$3:$D$5001,Base!$B$3:$B$5001,E$95,Base!$A$3:$A$5001,"&gt;="&amp;$C$7,Base!$A$3:$A$5001,"&lt;="&amp;$D$7)</f>
        <v>2108</v>
      </c>
      <c r="F97">
        <f>SUMIFS(Base!$D$3:$D$5001,Base!$B$3:$B$5001,F$95,Base!$A$3:$A$5001,"&gt;="&amp;$C$7,Base!$A$3:$A$5001,"&lt;="&amp;$D$7)</f>
        <v>2113</v>
      </c>
      <c r="G97" t="inlineStr">
        <is>
          <t xml:space="preserve">—</t>
        </is>
      </c>
      <c r="H97">
        <f>SUMIFS(Base!$D$3:$D$5001,Base!$B$3:$B$5001,H$95,Base!$A$3:$A$5001,"&gt;="&amp;$C$7,Base!$A$3:$A$5001,"&lt;="&amp;$D$7)</f>
        <v>1988</v>
      </c>
      <c r="I97">
        <f>SUMIFS(Base!$D$3:$D$5001,Base!$B$3:$B$5001,I$95,Base!$A$3:$A$5001,"&gt;="&amp;$C$7,Base!$A$3:$A$5001,"&lt;="&amp;$D$7)</f>
        <v>2173</v>
      </c>
      <c r="J97" t="inlineStr">
        <is>
          <t xml:space="preserve">—</t>
        </is>
      </c>
      <c r="K97">
        <f>SUM(B97:J97)</f>
        <v>12991</v>
      </c>
    </row>
    <row r="98">
      <c r="A98" t="inlineStr">
        <is>
          <t xml:space="preserve">IN Toneladas Movimentadas</t>
        </is>
      </c>
      <c r="B98">
        <f>SUMIFS(Base!$E$3:$E$5001,Base!$B$3:$B$5001,B$95,Base!$A$3:$A$5001,"&gt;="&amp;$C$7,Base!$A$3:$A$5001,"&lt;="&amp;$D$7)</f>
        <v>2148.13</v>
      </c>
      <c r="C98" t="inlineStr">
        <is>
          <t xml:space="preserve">—</t>
        </is>
      </c>
      <c r="D98" t="inlineStr">
        <is>
          <t xml:space="preserve">—</t>
        </is>
      </c>
      <c r="E98">
        <f>SUMIFS(Base!$E$3:$E$5001,Base!$B$3:$B$5001,E$95,Base!$A$3:$A$5001,"&gt;="&amp;$C$7,Base!$A$3:$A$5001,"&lt;="&amp;$D$7)</f>
        <v>1724.76</v>
      </c>
      <c r="F98" t="inlineStr">
        <is>
          <t xml:space="preserve">—</t>
        </is>
      </c>
      <c r="G98" t="inlineStr">
        <is>
          <t xml:space="preserve">—</t>
        </is>
      </c>
      <c r="H98" t="inlineStr">
        <is>
          <t xml:space="preserve">—</t>
        </is>
      </c>
      <c r="I98" t="inlineStr">
        <is>
          <t xml:space="preserve">—</t>
        </is>
      </c>
      <c r="J98" t="inlineStr">
        <is>
          <t xml:space="preserve">—</t>
        </is>
      </c>
      <c r="K98">
        <f>SUM(B98:J98)</f>
        <v>3872.89</v>
      </c>
    </row>
    <row r="99">
      <c r="A99" t="inlineStr">
        <is>
          <t xml:space="preserve">IN Caixas Movimentadas</t>
        </is>
      </c>
      <c r="B99" t="inlineStr">
        <is>
          <t xml:space="preserve">—</t>
        </is>
      </c>
      <c r="C99">
        <f>SUMIFS(Base!$F$3:$F$5001,Base!$B$3:$B$5001,C$95,Base!$A$3:$A$5001,"&gt;="&amp;$C$7,Base!$A$3:$A$5001,"&lt;="&amp;$D$7)</f>
        <v>36123</v>
      </c>
      <c r="D99" t="inlineStr">
        <is>
          <t xml:space="preserve">—</t>
        </is>
      </c>
      <c r="E99" t="inlineStr">
        <is>
          <t xml:space="preserve">—</t>
        </is>
      </c>
      <c r="F99" t="inlineStr">
        <is>
          <t xml:space="preserve">—</t>
        </is>
      </c>
      <c r="G99" t="inlineStr">
        <is>
          <t xml:space="preserve">—</t>
        </is>
      </c>
      <c r="H99" t="inlineStr">
        <is>
          <t xml:space="preserve">—</t>
        </is>
      </c>
      <c r="I99" t="inlineStr">
        <is>
          <t xml:space="preserve">—</t>
        </is>
      </c>
      <c r="J99">
        <f>SUMIFS(Base!$F$3:$F$5001,Base!$B$3:$B$5001,J$95,Base!$A$3:$A$5001,"&gt;="&amp;$C$7,Base!$A$3:$A$5001,"&lt;="&amp;$D$7)</f>
        <v>33284</v>
      </c>
      <c r="K99">
        <f>SUM(B99:J99)</f>
        <v>69407</v>
      </c>
    </row>
    <row r="100">
      <c r="A100" t="inlineStr">
        <is>
          <t xml:space="preserve">IN Itens Recebidos CX Mista</t>
        </is>
      </c>
      <c r="B100" t="inlineStr">
        <is>
          <t xml:space="preserve">—</t>
        </is>
      </c>
      <c r="C100" t="inlineStr">
        <is>
          <t xml:space="preserve">—</t>
        </is>
      </c>
      <c r="D100">
        <f>SUMIFS(Base!$G$3:$G$5001,Base!$B$3:$B$5001,D$95,Base!$A$3:$A$5001,"&gt;="&amp;$C$7,Base!$A$3:$A$5001,"&lt;="&amp;$D$7)</f>
        <v>87289</v>
      </c>
      <c r="E100" t="inlineStr">
        <is>
          <t xml:space="preserve">—</t>
        </is>
      </c>
      <c r="F100" t="inlineStr">
        <is>
          <t xml:space="preserve">—</t>
        </is>
      </c>
      <c r="G100" t="inlineStr">
        <is>
          <t xml:space="preserve">—</t>
        </is>
      </c>
      <c r="H100" t="inlineStr">
        <is>
          <t xml:space="preserve">—</t>
        </is>
      </c>
      <c r="I100" t="inlineStr">
        <is>
          <t xml:space="preserve">—</t>
        </is>
      </c>
      <c r="J100" t="inlineStr">
        <is>
          <t xml:space="preserve">—</t>
        </is>
      </c>
      <c r="K100">
        <f>SUM(B100:J100)</f>
        <v>87289</v>
      </c>
    </row>
    <row r="101">
      <c r="A101" t="inlineStr">
        <is>
          <t xml:space="preserve">IN Caixas Mistas Recebidas</t>
        </is>
      </c>
      <c r="B101" t="inlineStr">
        <is>
          <t xml:space="preserve">—</t>
        </is>
      </c>
      <c r="C101" t="inlineStr">
        <is>
          <t xml:space="preserve">—</t>
        </is>
      </c>
      <c r="D101">
        <f>SUMIFS(Base!$H$3:$H$5001,Base!$B$3:$B$5001,D$95,Base!$A$3:$A$5001,"&gt;="&amp;$C$7,Base!$A$3:$A$5001,"&lt;="&amp;$D$7)</f>
        <v>5410</v>
      </c>
      <c r="E101" t="inlineStr">
        <is>
          <t xml:space="preserve">—</t>
        </is>
      </c>
      <c r="F101" t="inlineStr">
        <is>
          <t xml:space="preserve">—</t>
        </is>
      </c>
      <c r="G101" t="inlineStr">
        <is>
          <t xml:space="preserve">—</t>
        </is>
      </c>
      <c r="H101" t="inlineStr">
        <is>
          <t xml:space="preserve">—</t>
        </is>
      </c>
      <c r="I101" t="inlineStr">
        <is>
          <t xml:space="preserve">—</t>
        </is>
      </c>
      <c r="J101" t="inlineStr">
        <is>
          <t xml:space="preserve">—</t>
        </is>
      </c>
      <c r="K101">
        <f>SUM(B101:J101)</f>
        <v>5410</v>
      </c>
    </row>
    <row r="102">
      <c r="A102" t="inlineStr">
        <is>
          <t xml:space="preserve">IN Caixas Fechadas</t>
        </is>
      </c>
      <c r="B102" t="inlineStr">
        <is>
          <t xml:space="preserve">—</t>
        </is>
      </c>
      <c r="C102" t="inlineStr">
        <is>
          <t xml:space="preserve">—</t>
        </is>
      </c>
      <c r="D102">
        <f>SUMIFS(Base!$I$3:$I$5001,Base!$B$3:$B$5001,D$95,Base!$A$3:$A$5001,"&gt;="&amp;$C$7,Base!$A$3:$A$5001,"&lt;="&amp;$D$7)</f>
        <v>11383</v>
      </c>
      <c r="E102" t="inlineStr">
        <is>
          <t xml:space="preserve">—</t>
        </is>
      </c>
      <c r="F102" t="inlineStr">
        <is>
          <t xml:space="preserve">—</t>
        </is>
      </c>
      <c r="G102" t="inlineStr">
        <is>
          <t xml:space="preserve">—</t>
        </is>
      </c>
      <c r="H102" t="inlineStr">
        <is>
          <t xml:space="preserve">—</t>
        </is>
      </c>
      <c r="I102" t="inlineStr">
        <is>
          <t xml:space="preserve">—</t>
        </is>
      </c>
      <c r="J102" t="inlineStr">
        <is>
          <t xml:space="preserve">—</t>
        </is>
      </c>
      <c r="K102">
        <f>SUM(B102:J102)</f>
        <v>11383</v>
      </c>
    </row>
    <row r="103">
      <c r="A103" t="inlineStr">
        <is>
          <t xml:space="preserve">IN Peças Movimentadas</t>
        </is>
      </c>
      <c r="B103" t="inlineStr">
        <is>
          <t xml:space="preserve">—</t>
        </is>
      </c>
      <c r="C103" t="inlineStr">
        <is>
          <t xml:space="preserve">—</t>
        </is>
      </c>
      <c r="D103" t="inlineStr">
        <is>
          <t xml:space="preserve">—</t>
        </is>
      </c>
      <c r="E103" t="inlineStr">
        <is>
          <t xml:space="preserve">—</t>
        </is>
      </c>
      <c r="F103">
        <f>SUMIFS(Base!$J$3:$J$5001,Base!$B$3:$B$5001,F$95,Base!$A$3:$A$5001,"&gt;="&amp;$C$7,Base!$A$3:$A$5001,"&lt;="&amp;$D$7)</f>
        <v>7689</v>
      </c>
      <c r="G103" t="inlineStr">
        <is>
          <t xml:space="preserve">—</t>
        </is>
      </c>
      <c r="H103" t="inlineStr">
        <is>
          <t xml:space="preserve">—</t>
        </is>
      </c>
      <c r="I103" t="inlineStr">
        <is>
          <t xml:space="preserve">—</t>
        </is>
      </c>
      <c r="J103" t="inlineStr">
        <is>
          <t xml:space="preserve">—</t>
        </is>
      </c>
      <c r="K103">
        <f>SUM(B103:J103)</f>
        <v>7689</v>
      </c>
    </row>
    <row r="104">
      <c r="A104" t="inlineStr">
        <is>
          <t xml:space="preserve">IN Linhas NF</t>
        </is>
      </c>
      <c r="B104" t="inlineStr">
        <is>
          <t xml:space="preserve">—</t>
        </is>
      </c>
      <c r="C104" t="inlineStr">
        <is>
          <t xml:space="preserve">—</t>
        </is>
      </c>
      <c r="D104" t="inlineStr">
        <is>
          <t xml:space="preserve">—</t>
        </is>
      </c>
      <c r="E104" t="inlineStr">
        <is>
          <t xml:space="preserve">—</t>
        </is>
      </c>
      <c r="F104">
        <f>SUMIFS(Base!$K$3:$K$5001,Base!$B$3:$B$5001,F$95,Base!$A$3:$A$5001,"&gt;="&amp;$C$7,Base!$A$3:$A$5001,"&lt;="&amp;$D$7)</f>
        <v>1509</v>
      </c>
      <c r="G104">
        <f>SUMIFS(Base!$K$3:$K$5001,Base!$B$3:$B$5001,G$95,Base!$A$3:$A$5001,"&gt;="&amp;$C$7,Base!$A$3:$A$5001,"&lt;="&amp;$D$7)</f>
        <v>1517</v>
      </c>
      <c r="H104" t="inlineStr">
        <is>
          <t xml:space="preserve">—</t>
        </is>
      </c>
      <c r="I104" t="inlineStr">
        <is>
          <t xml:space="preserve">—</t>
        </is>
      </c>
      <c r="J104" t="inlineStr">
        <is>
          <t xml:space="preserve">—</t>
        </is>
      </c>
      <c r="K104">
        <f>SUM(B104:J104)</f>
        <v>3026</v>
      </c>
    </row>
    <row r="105">
      <c r="A105" t="inlineStr">
        <is>
          <t xml:space="preserve">OUT Veículos Expedidos</t>
        </is>
      </c>
      <c r="B105">
        <f>SUMIFS(Base!$L$3:$L$5001,Base!$B$3:$B$5001,B$95,Base!$A$3:$A$5001,"&gt;="&amp;$C$7,Base!$A$3:$A$5001,"&lt;="&amp;$D$7)</f>
        <v>150</v>
      </c>
      <c r="C105">
        <f>SUMIFS(Base!$L$3:$L$5001,Base!$B$3:$B$5001,C$95,Base!$A$3:$A$5001,"&gt;="&amp;$C$7,Base!$A$3:$A$5001,"&lt;="&amp;$D$7)</f>
        <v>154</v>
      </c>
      <c r="D105">
        <f>SUMIFS(Base!$L$3:$L$5001,Base!$B$3:$B$5001,D$95,Base!$A$3:$A$5001,"&gt;="&amp;$C$7,Base!$A$3:$A$5001,"&lt;="&amp;$D$7)</f>
        <v>163</v>
      </c>
      <c r="E105">
        <f>SUMIFS(Base!$L$3:$L$5001,Base!$B$3:$B$5001,E$95,Base!$A$3:$A$5001,"&gt;="&amp;$C$7,Base!$A$3:$A$5001,"&lt;="&amp;$D$7)</f>
        <v>166</v>
      </c>
      <c r="F105">
        <f>SUMIFS(Base!$L$3:$L$5001,Base!$B$3:$B$5001,F$95,Base!$A$3:$A$5001,"&gt;="&amp;$C$7,Base!$A$3:$A$5001,"&lt;="&amp;$D$7)</f>
        <v>165</v>
      </c>
      <c r="G105">
        <f>SUMIFS(Base!$L$3:$L$5001,Base!$B$3:$B$5001,G$95,Base!$A$3:$A$5001,"&gt;="&amp;$C$7,Base!$A$3:$A$5001,"&lt;="&amp;$D$7)</f>
        <v>164</v>
      </c>
      <c r="H105">
        <f>SUMIFS(Base!$L$3:$L$5001,Base!$B$3:$B$5001,H$95,Base!$A$3:$A$5001,"&gt;="&amp;$C$7,Base!$A$3:$A$5001,"&lt;="&amp;$D$7)</f>
        <v>154</v>
      </c>
      <c r="I105">
        <f>SUMIFS(Base!$L$3:$L$5001,Base!$B$3:$B$5001,I$95,Base!$A$3:$A$5001,"&gt;="&amp;$C$7,Base!$A$3:$A$5001,"&lt;="&amp;$D$7)</f>
        <v>183</v>
      </c>
      <c r="J105">
        <f>SUMIFS(Base!$L$3:$L$5001,Base!$B$3:$B$5001,J$95,Base!$A$3:$A$5001,"&gt;="&amp;$C$7,Base!$A$3:$A$5001,"&lt;="&amp;$D$7)</f>
        <v>167</v>
      </c>
      <c r="K105">
        <f>SUM(B105:J105)</f>
        <v>1466</v>
      </c>
    </row>
    <row r="106">
      <c r="A106" t="inlineStr">
        <is>
          <t xml:space="preserve">OUT Pallets Movimentados</t>
        </is>
      </c>
      <c r="B106">
        <f>SUMIFS(Base!$M$3:$M$5001,Base!$B$3:$B$5001,B$95,Base!$A$3:$A$5001,"&gt;="&amp;$C$7,Base!$A$3:$A$5001,"&lt;="&amp;$D$7)</f>
        <v>2389</v>
      </c>
      <c r="C106">
        <f>SUMIFS(Base!$M$3:$M$5001,Base!$B$3:$B$5001,C$95,Base!$A$3:$A$5001,"&gt;="&amp;$C$7,Base!$A$3:$A$5001,"&lt;="&amp;$D$7)</f>
        <v>2419</v>
      </c>
      <c r="D106">
        <f>SUMIFS(Base!$M$3:$M$5001,Base!$B$3:$B$5001,D$95,Base!$A$3:$A$5001,"&gt;="&amp;$C$7,Base!$A$3:$A$5001,"&lt;="&amp;$D$7)</f>
        <v>2067</v>
      </c>
      <c r="E106">
        <f>SUMIFS(Base!$M$3:$M$5001,Base!$B$3:$B$5001,E$95,Base!$A$3:$A$5001,"&gt;="&amp;$C$7,Base!$A$3:$A$5001,"&lt;="&amp;$D$7)</f>
        <v>2487</v>
      </c>
      <c r="F106">
        <f>SUMIFS(Base!$M$3:$M$5001,Base!$B$3:$B$5001,F$95,Base!$A$3:$A$5001,"&gt;="&amp;$C$7,Base!$A$3:$A$5001,"&lt;="&amp;$D$7)</f>
        <v>2408</v>
      </c>
      <c r="G106" t="inlineStr">
        <is>
          <t xml:space="preserve">—</t>
        </is>
      </c>
      <c r="H106">
        <f>SUMIFS(Base!$M$3:$M$5001,Base!$B$3:$B$5001,H$95,Base!$A$3:$A$5001,"&gt;="&amp;$C$7,Base!$A$3:$A$5001,"&lt;="&amp;$D$7)</f>
        <v>2152</v>
      </c>
      <c r="I106">
        <f>SUMIFS(Base!$M$3:$M$5001,Base!$B$3:$B$5001,I$95,Base!$A$3:$A$5001,"&gt;="&amp;$C$7,Base!$A$3:$A$5001,"&lt;="&amp;$D$7)</f>
        <v>2548</v>
      </c>
      <c r="J106" t="inlineStr">
        <is>
          <t xml:space="preserve">—</t>
        </is>
      </c>
      <c r="K106">
        <f>SUM(B106:J106)</f>
        <v>16470</v>
      </c>
    </row>
    <row r="107">
      <c r="A107" t="inlineStr">
        <is>
          <t xml:space="preserve">OUT Toneladas Movimentadas</t>
        </is>
      </c>
      <c r="B107">
        <f>SUMIFS(Base!$N$3:$N$5001,Base!$B$3:$B$5001,B$95,Base!$A$3:$A$5001,"&gt;="&amp;$C$7,Base!$A$3:$A$5001,"&lt;="&amp;$D$7)</f>
        <v>2668.39</v>
      </c>
      <c r="C107" t="inlineStr">
        <is>
          <t xml:space="preserve">—</t>
        </is>
      </c>
      <c r="D107" t="inlineStr">
        <is>
          <t xml:space="preserve">—</t>
        </is>
      </c>
      <c r="E107">
        <f>SUMIFS(Base!$N$3:$N$5001,Base!$B$3:$B$5001,E$95,Base!$A$3:$A$5001,"&gt;="&amp;$C$7,Base!$A$3:$A$5001,"&lt;="&amp;$D$7)</f>
        <v>2042.65</v>
      </c>
      <c r="F107" t="inlineStr">
        <is>
          <t xml:space="preserve">—</t>
        </is>
      </c>
      <c r="G107" t="inlineStr">
        <is>
          <t xml:space="preserve">—</t>
        </is>
      </c>
      <c r="H107" t="inlineStr">
        <is>
          <t xml:space="preserve">—</t>
        </is>
      </c>
      <c r="I107" t="inlineStr">
        <is>
          <t xml:space="preserve">—</t>
        </is>
      </c>
      <c r="J107" t="inlineStr">
        <is>
          <t xml:space="preserve">—</t>
        </is>
      </c>
      <c r="K107">
        <f>SUM(B107:J107)</f>
        <v>4711.04</v>
      </c>
    </row>
    <row r="108">
      <c r="A108" t="inlineStr">
        <is>
          <t xml:space="preserve">OUT Caixas Expedidas</t>
        </is>
      </c>
      <c r="B108" t="inlineStr">
        <is>
          <t xml:space="preserve">—</t>
        </is>
      </c>
      <c r="C108" t="inlineStr">
        <is>
          <t xml:space="preserve">—</t>
        </is>
      </c>
      <c r="D108" t="inlineStr">
        <is>
          <t xml:space="preserve">—</t>
        </is>
      </c>
      <c r="E108" t="inlineStr">
        <is>
          <t xml:space="preserve">—</t>
        </is>
      </c>
      <c r="F108" t="inlineStr">
        <is>
          <t xml:space="preserve">—</t>
        </is>
      </c>
      <c r="G108" t="inlineStr">
        <is>
          <t xml:space="preserve">—</t>
        </is>
      </c>
      <c r="H108" t="inlineStr">
        <is>
          <t xml:space="preserve">—</t>
        </is>
      </c>
      <c r="I108" t="inlineStr">
        <is>
          <t xml:space="preserve">—</t>
        </is>
      </c>
      <c r="J108">
        <f>SUMIFS(Base!$O$3:$O$5001,Base!$B$3:$B$5001,J$95,Base!$A$3:$A$5001,"&gt;="&amp;$C$7,Base!$A$3:$A$5001,"&lt;="&amp;$D$7)</f>
        <v>37204</v>
      </c>
      <c r="K108">
        <f>SUM(B108:J108)</f>
        <v>37204</v>
      </c>
    </row>
    <row r="109">
      <c r="A109" t="inlineStr">
        <is>
          <t xml:space="preserve">OUT Pedidos Expedidos</t>
        </is>
      </c>
      <c r="B109" t="inlineStr">
        <is>
          <t xml:space="preserve">—</t>
        </is>
      </c>
      <c r="C109">
        <f>SUMIFS(Base!$P$3:$P$5001,Base!$B$3:$B$5001,C$95,Base!$A$3:$A$5001,"&gt;="&amp;$C$7,Base!$A$3:$A$5001,"&lt;="&amp;$D$7)</f>
        <v>8699</v>
      </c>
      <c r="D109" t="inlineStr">
        <is>
          <t xml:space="preserve">—</t>
        </is>
      </c>
      <c r="E109" t="inlineStr">
        <is>
          <t xml:space="preserve">—</t>
        </is>
      </c>
      <c r="F109" t="inlineStr">
        <is>
          <t xml:space="preserve">—</t>
        </is>
      </c>
      <c r="G109" t="inlineStr">
        <is>
          <t xml:space="preserve">—</t>
        </is>
      </c>
      <c r="H109" t="inlineStr">
        <is>
          <t xml:space="preserve">—</t>
        </is>
      </c>
      <c r="I109" t="inlineStr">
        <is>
          <t xml:space="preserve">—</t>
        </is>
      </c>
      <c r="J109" t="inlineStr">
        <is>
          <t xml:space="preserve">—</t>
        </is>
      </c>
      <c r="K109">
        <f>SUM(B109:J109)</f>
        <v>8699</v>
      </c>
    </row>
    <row r="110">
      <c r="A110" t="inlineStr">
        <is>
          <t xml:space="preserve">OUT Pedidos Faturados</t>
        </is>
      </c>
      <c r="B110" t="inlineStr">
        <is>
          <t xml:space="preserve">—</t>
        </is>
      </c>
      <c r="C110" t="inlineStr">
        <is>
          <t xml:space="preserve">—</t>
        </is>
      </c>
      <c r="D110">
        <f>SUMIFS(Base!$Q$3:$Q$5001,Base!$B$3:$B$5001,D$95,Base!$A$3:$A$5001,"&gt;="&amp;$C$7,Base!$A$3:$A$5001,"&lt;="&amp;$D$7)</f>
        <v>18637</v>
      </c>
      <c r="E110" t="inlineStr">
        <is>
          <t xml:space="preserve">—</t>
        </is>
      </c>
      <c r="F110" t="inlineStr">
        <is>
          <t xml:space="preserve">—</t>
        </is>
      </c>
      <c r="G110" t="inlineStr">
        <is>
          <t xml:space="preserve">—</t>
        </is>
      </c>
      <c r="H110" t="inlineStr">
        <is>
          <t xml:space="preserve">—</t>
        </is>
      </c>
      <c r="I110" t="inlineStr">
        <is>
          <t xml:space="preserve">—</t>
        </is>
      </c>
      <c r="J110" t="inlineStr">
        <is>
          <t xml:space="preserve">—</t>
        </is>
      </c>
      <c r="K110">
        <f>SUM(B110:J110)</f>
        <v>18637</v>
      </c>
    </row>
    <row r="111">
      <c r="A111" t="inlineStr">
        <is>
          <t xml:space="preserve">OUT Itens Expedidos</t>
        </is>
      </c>
      <c r="B111" t="inlineStr">
        <is>
          <t xml:space="preserve">—</t>
        </is>
      </c>
      <c r="C111" t="inlineStr">
        <is>
          <t xml:space="preserve">—</t>
        </is>
      </c>
      <c r="D111">
        <f>SUMIFS(Base!$R$3:$R$5001,Base!$B$3:$B$5001,D$95,Base!$A$3:$A$5001,"&gt;="&amp;$C$7,Base!$A$3:$A$5001,"&lt;="&amp;$D$7)</f>
        <v>128382</v>
      </c>
      <c r="E111" t="inlineStr">
        <is>
          <t xml:space="preserve">—</t>
        </is>
      </c>
      <c r="F111" t="inlineStr">
        <is>
          <t xml:space="preserve">—</t>
        </is>
      </c>
      <c r="G111" t="inlineStr">
        <is>
          <t xml:space="preserve">—</t>
        </is>
      </c>
      <c r="H111" t="inlineStr">
        <is>
          <t xml:space="preserve">—</t>
        </is>
      </c>
      <c r="I111" t="inlineStr">
        <is>
          <t xml:space="preserve">—</t>
        </is>
      </c>
      <c r="J111" t="inlineStr">
        <is>
          <t xml:space="preserve">—</t>
        </is>
      </c>
      <c r="K111">
        <f>SUM(B111:J111)</f>
        <v>128382</v>
      </c>
    </row>
    <row r="112">
      <c r="A112" t="inlineStr">
        <is>
          <t xml:space="preserve">OUT Peças Movimentadas</t>
        </is>
      </c>
      <c r="B112" t="inlineStr">
        <is>
          <t xml:space="preserve">—</t>
        </is>
      </c>
      <c r="C112" t="inlineStr">
        <is>
          <t xml:space="preserve">—</t>
        </is>
      </c>
      <c r="D112" t="inlineStr">
        <is>
          <t xml:space="preserve">—</t>
        </is>
      </c>
      <c r="E112" t="inlineStr">
        <is>
          <t xml:space="preserve">—</t>
        </is>
      </c>
      <c r="F112">
        <f>SUMIFS(Base!$S$3:$S$5001,Base!$B$3:$B$5001,F$95,Base!$A$3:$A$5001,"&gt;="&amp;$C$7,Base!$A$3:$A$5001,"&lt;="&amp;$D$7)</f>
        <v>7734</v>
      </c>
      <c r="G112" t="inlineStr">
        <is>
          <t xml:space="preserve">—</t>
        </is>
      </c>
      <c r="H112" t="inlineStr">
        <is>
          <t xml:space="preserve">—</t>
        </is>
      </c>
      <c r="I112" t="inlineStr">
        <is>
          <t xml:space="preserve">—</t>
        </is>
      </c>
      <c r="J112" t="inlineStr">
        <is>
          <t xml:space="preserve">—</t>
        </is>
      </c>
      <c r="K112">
        <f>SUM(B112:J112)</f>
        <v>7734</v>
      </c>
    </row>
    <row r="113">
      <c r="A113" t="inlineStr">
        <is>
          <t xml:space="preserve">OUT Linhas NF</t>
        </is>
      </c>
      <c r="B113" t="inlineStr">
        <is>
          <t xml:space="preserve">—</t>
        </is>
      </c>
      <c r="C113" t="inlineStr">
        <is>
          <t xml:space="preserve">—</t>
        </is>
      </c>
      <c r="D113" t="inlineStr">
        <is>
          <t xml:space="preserve">—</t>
        </is>
      </c>
      <c r="E113" t="inlineStr">
        <is>
          <t xml:space="preserve">—</t>
        </is>
      </c>
      <c r="F113">
        <f>SUMIFS(Base!$T$3:$T$5001,Base!$B$3:$B$5001,F$95,Base!$A$3:$A$5001,"&gt;="&amp;$C$7,Base!$A$3:$A$5001,"&lt;="&amp;$D$7)</f>
        <v>1567</v>
      </c>
      <c r="G113">
        <f>SUMIFS(Base!$T$3:$T$5001,Base!$B$3:$B$5001,G$95,Base!$A$3:$A$5001,"&gt;="&amp;$C$7,Base!$A$3:$A$5001,"&lt;="&amp;$D$7)</f>
        <v>1704</v>
      </c>
      <c r="H113" t="inlineStr">
        <is>
          <t xml:space="preserve">—</t>
        </is>
      </c>
      <c r="I113" t="inlineStr">
        <is>
          <t xml:space="preserve">—</t>
        </is>
      </c>
      <c r="J113" t="inlineStr">
        <is>
          <t xml:space="preserve">—</t>
        </is>
      </c>
      <c r="K113">
        <f>SUM(B113:J113)</f>
        <v>3271</v>
      </c>
    </row>
    <row r="114">
      <c r="A114" t="inlineStr">
        <is>
          <t xml:space="preserve">NC Incidentes</t>
        </is>
      </c>
      <c r="B114">
        <f>SUMIFS(Base!$U$3:$U$5001,Base!$B$3:$B$5001,B$95,Base!$A$3:$A$5001,"&gt;="&amp;$C$7,Base!$A$3:$A$5001,"&lt;="&amp;$D$7)</f>
        <v>0</v>
      </c>
      <c r="C114">
        <f>SUMIFS(Base!$U$3:$U$5001,Base!$B$3:$B$5001,C$95,Base!$A$3:$A$5001,"&gt;="&amp;$C$7,Base!$A$3:$A$5001,"&lt;="&amp;$D$7)</f>
        <v>1</v>
      </c>
      <c r="D114">
        <f>SUMIFS(Base!$U$3:$U$5001,Base!$B$3:$B$5001,D$95,Base!$A$3:$A$5001,"&gt;="&amp;$C$7,Base!$A$3:$A$5001,"&lt;="&amp;$D$7)</f>
        <v>0</v>
      </c>
      <c r="E114">
        <f>SUMIFS(Base!$U$3:$U$5001,Base!$B$3:$B$5001,E$95,Base!$A$3:$A$5001,"&gt;="&amp;$C$7,Base!$A$3:$A$5001,"&lt;="&amp;$D$7)</f>
        <v>0</v>
      </c>
      <c r="F114">
        <f>SUMIFS(Base!$U$3:$U$5001,Base!$B$3:$B$5001,F$95,Base!$A$3:$A$5001,"&gt;="&amp;$C$7,Base!$A$3:$A$5001,"&lt;="&amp;$D$7)</f>
        <v>1</v>
      </c>
      <c r="G114">
        <f>SUMIFS(Base!$U$3:$U$5001,Base!$B$3:$B$5001,G$95,Base!$A$3:$A$5001,"&gt;="&amp;$C$7,Base!$A$3:$A$5001,"&lt;="&amp;$D$7)</f>
        <v>1</v>
      </c>
      <c r="H114">
        <f>SUMIFS(Base!$U$3:$U$5001,Base!$B$3:$B$5001,H$95,Base!$A$3:$A$5001,"&gt;="&amp;$C$7,Base!$A$3:$A$5001,"&lt;="&amp;$D$7)</f>
        <v>2</v>
      </c>
      <c r="I114">
        <f>SUMIFS(Base!$U$3:$U$5001,Base!$B$3:$B$5001,I$95,Base!$A$3:$A$5001,"&gt;="&amp;$C$7,Base!$A$3:$A$5001,"&lt;="&amp;$D$7)</f>
        <v>0</v>
      </c>
      <c r="J114">
        <f>SUMIFS(Base!$U$3:$U$5001,Base!$B$3:$B$5001,J$95,Base!$A$3:$A$5001,"&gt;="&amp;$C$7,Base!$A$3:$A$5001,"&lt;="&amp;$D$7)</f>
        <v>0</v>
      </c>
      <c r="K114">
        <f>SUM(B114:J114)</f>
        <v>5</v>
      </c>
    </row>
    <row r="115">
      <c r="A115" t="inlineStr">
        <is>
          <t xml:space="preserve">NC No show</t>
        </is>
      </c>
      <c r="B115">
        <f>SUMIFS(Base!$V$3:$V$5001,Base!$B$3:$B$5001,B$95,Base!$A$3:$A$5001,"&gt;="&amp;$C$7,Base!$A$3:$A$5001,"&lt;="&amp;$D$7)</f>
        <v>1</v>
      </c>
      <c r="C115">
        <f>SUMIFS(Base!$V$3:$V$5001,Base!$B$3:$B$5001,C$95,Base!$A$3:$A$5001,"&gt;="&amp;$C$7,Base!$A$3:$A$5001,"&lt;="&amp;$D$7)</f>
        <v>3</v>
      </c>
      <c r="D115">
        <f>SUMIFS(Base!$V$3:$V$5001,Base!$B$3:$B$5001,D$95,Base!$A$3:$A$5001,"&gt;="&amp;$C$7,Base!$A$3:$A$5001,"&lt;="&amp;$D$7)</f>
        <v>2</v>
      </c>
      <c r="E115">
        <f>SUMIFS(Base!$V$3:$V$5001,Base!$B$3:$B$5001,E$95,Base!$A$3:$A$5001,"&gt;="&amp;$C$7,Base!$A$3:$A$5001,"&lt;="&amp;$D$7)</f>
        <v>2</v>
      </c>
      <c r="F115">
        <f>SUMIFS(Base!$V$3:$V$5001,Base!$B$3:$B$5001,F$95,Base!$A$3:$A$5001,"&gt;="&amp;$C$7,Base!$A$3:$A$5001,"&lt;="&amp;$D$7)</f>
        <v>4</v>
      </c>
      <c r="G115">
        <f>SUMIFS(Base!$V$3:$V$5001,Base!$B$3:$B$5001,G$95,Base!$A$3:$A$5001,"&gt;="&amp;$C$7,Base!$A$3:$A$5001,"&lt;="&amp;$D$7)</f>
        <v>2</v>
      </c>
      <c r="H115">
        <f>SUMIFS(Base!$V$3:$V$5001,Base!$B$3:$B$5001,H$95,Base!$A$3:$A$5001,"&gt;="&amp;$C$7,Base!$A$3:$A$5001,"&lt;="&amp;$D$7)</f>
        <v>2</v>
      </c>
      <c r="I115">
        <f>SUMIFS(Base!$V$3:$V$5001,Base!$B$3:$B$5001,I$95,Base!$A$3:$A$5001,"&gt;="&amp;$C$7,Base!$A$3:$A$5001,"&lt;="&amp;$D$7)</f>
        <v>3</v>
      </c>
      <c r="J115">
        <f>SUMIFS(Base!$V$3:$V$5001,Base!$B$3:$B$5001,J$95,Base!$A$3:$A$5001,"&gt;="&amp;$C$7,Base!$A$3:$A$5001,"&lt;="&amp;$D$7)</f>
        <v>1</v>
      </c>
      <c r="K115">
        <f>SUM(B115:J115)</f>
        <v>20</v>
      </c>
    </row>
    <row r="116">
      <c r="A116" t="inlineStr">
        <is>
          <t xml:space="preserve">NC Backlog</t>
        </is>
      </c>
      <c r="B116">
        <f>IF(COUNTIFS(Base!$B$3:$B$5001,B$95,Base!$A$3:$A$5001,"&gt;="&amp;$C$7,Base!$A$3:$A$5001,"&lt;="&amp;$D$7,Base!$W$3:$W$5001,"&lt;&gt;")=0,"",SUMIFS(Base!$W$3:$W$5001,Base!$B$3:$B$5001,B$95,Base!$A$3:$A$5001,_xlfn.MAXIFS(Base!$A$3:$A$5001,Base!$B$3:$B$5001,B$95,Base!$A$3:$A$5001,"&gt;="&amp;$C$7,Base!$A$3:$A$5001,"&lt;="&amp;$D$7,Base!$W$3:$W$5001,"&lt;&gt;")))</f>
        <v>6</v>
      </c>
      <c r="C116">
        <f>IF(COUNTIFS(Base!$B$3:$B$5001,C$95,Base!$A$3:$A$5001,"&gt;="&amp;$C$7,Base!$A$3:$A$5001,"&lt;="&amp;$D$7,Base!$W$3:$W$5001,"&lt;&gt;")=0,"",SUMIFS(Base!$W$3:$W$5001,Base!$B$3:$B$5001,C$95,Base!$A$3:$A$5001,_xlfn.MAXIFS(Base!$A$3:$A$5001,Base!$B$3:$B$5001,C$95,Base!$A$3:$A$5001,"&gt;="&amp;$C$7,Base!$A$3:$A$5001,"&lt;="&amp;$D$7,Base!$W$3:$W$5001,"&lt;&gt;")))</f>
        <v>6</v>
      </c>
      <c r="D116">
        <f>IF(COUNTIFS(Base!$B$3:$B$5001,D$95,Base!$A$3:$A$5001,"&gt;="&amp;$C$7,Base!$A$3:$A$5001,"&lt;="&amp;$D$7,Base!$W$3:$W$5001,"&lt;&gt;")=0,"",SUMIFS(Base!$W$3:$W$5001,Base!$B$3:$B$5001,D$95,Base!$A$3:$A$5001,_xlfn.MAXIFS(Base!$A$3:$A$5001,Base!$B$3:$B$5001,D$95,Base!$A$3:$A$5001,"&gt;="&amp;$C$7,Base!$A$3:$A$5001,"&lt;="&amp;$D$7,Base!$W$3:$W$5001,"&lt;&gt;")))</f>
        <v>5</v>
      </c>
      <c r="E116">
        <f>IF(COUNTIFS(Base!$B$3:$B$5001,E$95,Base!$A$3:$A$5001,"&gt;="&amp;$C$7,Base!$A$3:$A$5001,"&lt;="&amp;$D$7,Base!$W$3:$W$5001,"&lt;&gt;")=0,"",SUMIFS(Base!$W$3:$W$5001,Base!$B$3:$B$5001,E$95,Base!$A$3:$A$5001,_xlfn.MAXIFS(Base!$A$3:$A$5001,Base!$B$3:$B$5001,E$95,Base!$A$3:$A$5001,"&gt;="&amp;$C$7,Base!$A$3:$A$5001,"&lt;="&amp;$D$7,Base!$W$3:$W$5001,"&lt;&gt;")))</f>
        <v>6</v>
      </c>
      <c r="F116">
        <f>IF(COUNTIFS(Base!$B$3:$B$5001,F$95,Base!$A$3:$A$5001,"&gt;="&amp;$C$7,Base!$A$3:$A$5001,"&lt;="&amp;$D$7,Base!$W$3:$W$5001,"&lt;&gt;")=0,"",SUMIFS(Base!$W$3:$W$5001,Base!$B$3:$B$5001,F$95,Base!$A$3:$A$5001,_xlfn.MAXIFS(Base!$A$3:$A$5001,Base!$B$3:$B$5001,F$95,Base!$A$3:$A$5001,"&gt;="&amp;$C$7,Base!$A$3:$A$5001,"&lt;="&amp;$D$7,Base!$W$3:$W$5001,"&lt;&gt;")))</f>
        <v>15</v>
      </c>
      <c r="G116">
        <f>IF(COUNTIFS(Base!$B$3:$B$5001,G$95,Base!$A$3:$A$5001,"&gt;="&amp;$C$7,Base!$A$3:$A$5001,"&lt;="&amp;$D$7,Base!$W$3:$W$5001,"&lt;&gt;")=0,"",SUMIFS(Base!$W$3:$W$5001,Base!$B$3:$B$5001,G$95,Base!$A$3:$A$5001,_xlfn.MAXIFS(Base!$A$3:$A$5001,Base!$B$3:$B$5001,G$95,Base!$A$3:$A$5001,"&gt;="&amp;$C$7,Base!$A$3:$A$5001,"&lt;="&amp;$D$7,Base!$W$3:$W$5001,"&lt;&gt;")))</f>
        <v>3</v>
      </c>
      <c r="H116">
        <f>IF(COUNTIFS(Base!$B$3:$B$5001,H$95,Base!$A$3:$A$5001,"&gt;="&amp;$C$7,Base!$A$3:$A$5001,"&lt;="&amp;$D$7,Base!$W$3:$W$5001,"&lt;&gt;")=0,"",SUMIFS(Base!$W$3:$W$5001,Base!$B$3:$B$5001,H$95,Base!$A$3:$A$5001,_xlfn.MAXIFS(Base!$A$3:$A$5001,Base!$B$3:$B$5001,H$95,Base!$A$3:$A$5001,"&gt;="&amp;$C$7,Base!$A$3:$A$5001,"&lt;="&amp;$D$7,Base!$W$3:$W$5001,"&lt;&gt;")))</f>
        <v>15</v>
      </c>
      <c r="I116">
        <f>IF(COUNTIFS(Base!$B$3:$B$5001,I$95,Base!$A$3:$A$5001,"&gt;="&amp;$C$7,Base!$A$3:$A$5001,"&lt;="&amp;$D$7,Base!$W$3:$W$5001,"&lt;&gt;")=0,"",SUMIFS(Base!$W$3:$W$5001,Base!$B$3:$B$5001,I$95,Base!$A$3:$A$5001,_xlfn.MAXIFS(Base!$A$3:$A$5001,Base!$B$3:$B$5001,I$95,Base!$A$3:$A$5001,"&gt;="&amp;$C$7,Base!$A$3:$A$5001,"&lt;="&amp;$D$7,Base!$W$3:$W$5001,"&lt;&gt;")))</f>
        <v>8</v>
      </c>
      <c r="J116">
        <f>IF(COUNTIFS(Base!$B$3:$B$5001,J$95,Base!$A$3:$A$5001,"&gt;="&amp;$C$7,Base!$A$3:$A$5001,"&lt;="&amp;$D$7,Base!$W$3:$W$5001,"&lt;&gt;")=0,"",SUMIFS(Base!$W$3:$W$5001,Base!$B$3:$B$5001,J$95,Base!$A$3:$A$5001,_xlfn.MAXIFS(Base!$A$3:$A$5001,Base!$B$3:$B$5001,J$95,Base!$A$3:$A$5001,"&gt;="&amp;$C$7,Base!$A$3:$A$5001,"&lt;="&amp;$D$7,Base!$W$3:$W$5001,"&lt;&gt;")))</f>
        <v>7</v>
      </c>
      <c r="K116">
        <f>IF(COUNT(B116:J116)=0,"",SUM(B116:J116))</f>
        <v>71</v>
      </c>
    </row>
    <row r="117">
      <c r="A117" t="inlineStr">
        <is>
          <t xml:space="preserve">Posições Disponíveis</t>
        </is>
      </c>
      <c r="B117">
        <f>IF(COUNTIFS(Base!$B$3:$B$5001,B$95,Base!$A$3:$A$5001,"&gt;="&amp;$C$7,Base!$A$3:$A$5001,"&lt;="&amp;$D$7,Base!$X$3:$X$5001,"&lt;&gt;")=0,"",SUMIFS(Base!$X$3:$X$5001,Base!$B$3:$B$5001,B$95,Base!$A$3:$A$5001,_xlfn.MAXIFS(Base!$A$3:$A$5001,Base!$B$3:$B$5001,B$95,Base!$A$3:$A$5001,"&gt;="&amp;$C$7,Base!$A$3:$A$5001,"&lt;="&amp;$D$7,Base!$X$3:$X$5001,"&lt;&gt;")))</f>
        <v>2200</v>
      </c>
      <c r="C117">
        <f>IF(COUNTIFS(Base!$B$3:$B$5001,C$95,Base!$A$3:$A$5001,"&gt;="&amp;$C$7,Base!$A$3:$A$5001,"&lt;="&amp;$D$7,Base!$X$3:$X$5001,"&lt;&gt;")=0,"",SUMIFS(Base!$X$3:$X$5001,Base!$B$3:$B$5001,C$95,Base!$A$3:$A$5001,_xlfn.MAXIFS(Base!$A$3:$A$5001,Base!$B$3:$B$5001,C$95,Base!$A$3:$A$5001,"&gt;="&amp;$C$7,Base!$A$3:$A$5001,"&lt;="&amp;$D$7,Base!$X$3:$X$5001,"&lt;&gt;")))</f>
        <v>1200</v>
      </c>
      <c r="D117">
        <f>IF(COUNTIFS(Base!$B$3:$B$5001,D$95,Base!$A$3:$A$5001,"&gt;="&amp;$C$7,Base!$A$3:$A$5001,"&lt;="&amp;$D$7,Base!$X$3:$X$5001,"&lt;&gt;")=0,"",SUMIFS(Base!$X$3:$X$5001,Base!$B$3:$B$5001,D$95,Base!$A$3:$A$5001,_xlfn.MAXIFS(Base!$A$3:$A$5001,Base!$B$3:$B$5001,D$95,Base!$A$3:$A$5001,"&gt;="&amp;$C$7,Base!$A$3:$A$5001,"&lt;="&amp;$D$7,Base!$X$3:$X$5001,"&lt;&gt;")))</f>
        <v>3500</v>
      </c>
      <c r="E117">
        <f>IF(COUNTIFS(Base!$B$3:$B$5001,E$95,Base!$A$3:$A$5001,"&gt;="&amp;$C$7,Base!$A$3:$A$5001,"&lt;="&amp;$D$7,Base!$X$3:$X$5001,"&lt;&gt;")=0,"",SUMIFS(Base!$X$3:$X$5001,Base!$B$3:$B$5001,E$95,Base!$A$3:$A$5001,_xlfn.MAXIFS(Base!$A$3:$A$5001,Base!$B$3:$B$5001,E$95,Base!$A$3:$A$5001,"&gt;="&amp;$C$7,Base!$A$3:$A$5001,"&lt;="&amp;$D$7,Base!$X$3:$X$5001,"&lt;&gt;")))</f>
        <v>1600</v>
      </c>
      <c r="F117">
        <f>IF(COUNTIFS(Base!$B$3:$B$5001,F$95,Base!$A$3:$A$5001,"&gt;="&amp;$C$7,Base!$A$3:$A$5001,"&lt;="&amp;$D$7,Base!$X$3:$X$5001,"&lt;&gt;")=0,"",SUMIFS(Base!$X$3:$X$5001,Base!$B$3:$B$5001,F$95,Base!$A$3:$A$5001,_xlfn.MAXIFS(Base!$A$3:$A$5001,Base!$B$3:$B$5001,F$95,Base!$A$3:$A$5001,"&gt;="&amp;$C$7,Base!$A$3:$A$5001,"&lt;="&amp;$D$7,Base!$X$3:$X$5001,"&lt;&gt;")))</f>
        <v>900</v>
      </c>
      <c r="G117">
        <f>IF(COUNTIFS(Base!$B$3:$B$5001,G$95,Base!$A$3:$A$5001,"&gt;="&amp;$C$7,Base!$A$3:$A$5001,"&lt;="&amp;$D$7,Base!$X$3:$X$5001,"&lt;&gt;")=0,"",SUMIFS(Base!$X$3:$X$5001,Base!$B$3:$B$5001,G$95,Base!$A$3:$A$5001,_xlfn.MAXIFS(Base!$A$3:$A$5001,Base!$B$3:$B$5001,G$95,Base!$A$3:$A$5001,"&gt;="&amp;$C$7,Base!$A$3:$A$5001,"&lt;="&amp;$D$7,Base!$X$3:$X$5001,"&lt;&gt;")))</f>
        <v>600</v>
      </c>
      <c r="H117">
        <f>IF(COUNTIFS(Base!$B$3:$B$5001,H$95,Base!$A$3:$A$5001,"&gt;="&amp;$C$7,Base!$A$3:$A$5001,"&lt;="&amp;$D$7,Base!$X$3:$X$5001,"&lt;&gt;")=0,"",SUMIFS(Base!$X$3:$X$5001,Base!$B$3:$B$5001,H$95,Base!$A$3:$A$5001,_xlfn.MAXIFS(Base!$A$3:$A$5001,Base!$B$3:$B$5001,H$95,Base!$A$3:$A$5001,"&gt;="&amp;$C$7,Base!$A$3:$A$5001,"&lt;="&amp;$D$7,Base!$X$3:$X$5001,"&lt;&gt;")))</f>
        <v>1400</v>
      </c>
      <c r="I117">
        <f>IF(COUNTIFS(Base!$B$3:$B$5001,I$95,Base!$A$3:$A$5001,"&gt;="&amp;$C$7,Base!$A$3:$A$5001,"&lt;="&amp;$D$7,Base!$X$3:$X$5001,"&lt;&gt;")=0,"",SUMIFS(Base!$X$3:$X$5001,Base!$B$3:$B$5001,I$95,Base!$A$3:$A$5001,_xlfn.MAXIFS(Base!$A$3:$A$5001,Base!$B$3:$B$5001,I$95,Base!$A$3:$A$5001,"&gt;="&amp;$C$7,Base!$A$3:$A$5001,"&lt;="&amp;$D$7,Base!$X$3:$X$5001,"&lt;&gt;")))</f>
        <v>500</v>
      </c>
      <c r="J117">
        <f>IF(COUNTIFS(Base!$B$3:$B$5001,J$95,Base!$A$3:$A$5001,"&gt;="&amp;$C$7,Base!$A$3:$A$5001,"&lt;="&amp;$D$7,Base!$X$3:$X$5001,"&lt;&gt;")=0,"",SUMIFS(Base!$X$3:$X$5001,Base!$B$3:$B$5001,J$95,Base!$A$3:$A$5001,_xlfn.MAXIFS(Base!$A$3:$A$5001,Base!$B$3:$B$5001,J$95,Base!$A$3:$A$5001,"&gt;="&amp;$C$7,Base!$A$3:$A$5001,"&lt;="&amp;$D$7,Base!$X$3:$X$5001,"&lt;&gt;")))</f>
        <v>1800</v>
      </c>
      <c r="K117">
        <f>IF(ISNUMBER($B$4),$B$4,IF(COUNT(B117:J117)=0,"",SUM(B117:J117)))</f>
        <v>13700</v>
      </c>
    </row>
    <row r="118">
      <c r="A118" t="inlineStr">
        <is>
          <t xml:space="preserve">Posições Ocupadas</t>
        </is>
      </c>
      <c r="B118">
        <f>IF(COUNTIFS(Base!$B$3:$B$5001,B$95,Base!$A$3:$A$5001,"&gt;="&amp;$C$7,Base!$A$3:$A$5001,"&lt;="&amp;$D$7,Base!$Y$3:$Y$5001,"&lt;&gt;")=0,"",SUMIFS(Base!$Y$3:$Y$5001,Base!$B$3:$B$5001,B$95,Base!$A$3:$A$5001,_xlfn.MAXIFS(Base!$A$3:$A$5001,Base!$B$3:$B$5001,B$95,Base!$A$3:$A$5001,"&gt;="&amp;$C$7,Base!$A$3:$A$5001,"&lt;="&amp;$D$7,Base!$Y$3:$Y$5001,"&lt;&gt;")))</f>
        <v>1935</v>
      </c>
      <c r="C118">
        <f>IF(COUNTIFS(Base!$B$3:$B$5001,C$95,Base!$A$3:$A$5001,"&gt;="&amp;$C$7,Base!$A$3:$A$5001,"&lt;="&amp;$D$7,Base!$Y$3:$Y$5001,"&lt;&gt;")=0,"",SUMIFS(Base!$Y$3:$Y$5001,Base!$B$3:$B$5001,C$95,Base!$A$3:$A$5001,_xlfn.MAXIFS(Base!$A$3:$A$5001,Base!$B$3:$B$5001,C$95,Base!$A$3:$A$5001,"&gt;="&amp;$C$7,Base!$A$3:$A$5001,"&lt;="&amp;$D$7,Base!$Y$3:$Y$5001,"&lt;&gt;")))</f>
        <v>913</v>
      </c>
      <c r="D118">
        <f>IF(COUNTIFS(Base!$B$3:$B$5001,D$95,Base!$A$3:$A$5001,"&gt;="&amp;$C$7,Base!$A$3:$A$5001,"&lt;="&amp;$D$7,Base!$Y$3:$Y$5001,"&lt;&gt;")=0,"",SUMIFS(Base!$Y$3:$Y$5001,Base!$B$3:$B$5001,D$95,Base!$A$3:$A$5001,_xlfn.MAXIFS(Base!$A$3:$A$5001,Base!$B$3:$B$5001,D$95,Base!$A$3:$A$5001,"&gt;="&amp;$C$7,Base!$A$3:$A$5001,"&lt;="&amp;$D$7,Base!$Y$3:$Y$5001,"&lt;&gt;")))</f>
        <v>2863</v>
      </c>
      <c r="E118">
        <f>IF(COUNTIFS(Base!$B$3:$B$5001,E$95,Base!$A$3:$A$5001,"&gt;="&amp;$C$7,Base!$A$3:$A$5001,"&lt;="&amp;$D$7,Base!$Y$3:$Y$5001,"&lt;&gt;")=0,"",SUMIFS(Base!$Y$3:$Y$5001,Base!$B$3:$B$5001,E$95,Base!$A$3:$A$5001,_xlfn.MAXIFS(Base!$A$3:$A$5001,Base!$B$3:$B$5001,E$95,Base!$A$3:$A$5001,"&gt;="&amp;$C$7,Base!$A$3:$A$5001,"&lt;="&amp;$D$7,Base!$Y$3:$Y$5001,"&lt;&gt;")))</f>
        <v>1077</v>
      </c>
      <c r="F118">
        <f>IF(COUNTIFS(Base!$B$3:$B$5001,F$95,Base!$A$3:$A$5001,"&gt;="&amp;$C$7,Base!$A$3:$A$5001,"&lt;="&amp;$D$7,Base!$Y$3:$Y$5001,"&lt;&gt;")=0,"",SUMIFS(Base!$Y$3:$Y$5001,Base!$B$3:$B$5001,F$95,Base!$A$3:$A$5001,_xlfn.MAXIFS(Base!$A$3:$A$5001,Base!$B$3:$B$5001,F$95,Base!$A$3:$A$5001,"&gt;="&amp;$C$7,Base!$A$3:$A$5001,"&lt;="&amp;$D$7,Base!$Y$3:$Y$5001,"&lt;&gt;")))</f>
        <v>738</v>
      </c>
      <c r="G118">
        <f>IF(COUNTIFS(Base!$B$3:$B$5001,G$95,Base!$A$3:$A$5001,"&gt;="&amp;$C$7,Base!$A$3:$A$5001,"&lt;="&amp;$D$7,Base!$Y$3:$Y$5001,"&lt;&gt;")=0,"",SUMIFS(Base!$Y$3:$Y$5001,Base!$B$3:$B$5001,G$95,Base!$A$3:$A$5001,_xlfn.MAXIFS(Base!$A$3:$A$5001,Base!$B$3:$B$5001,G$95,Base!$A$3:$A$5001,"&gt;="&amp;$C$7,Base!$A$3:$A$5001,"&lt;="&amp;$D$7,Base!$Y$3:$Y$5001,"&lt;&gt;")))</f>
        <v>382</v>
      </c>
      <c r="H118">
        <f>IF(COUNTIFS(Base!$B$3:$B$5001,H$95,Base!$A$3:$A$5001,"&gt;="&amp;$C$7,Base!$A$3:$A$5001,"&lt;="&amp;$D$7,Base!$Y$3:$Y$5001,"&lt;&gt;")=0,"",SUMIFS(Base!$Y$3:$Y$5001,Base!$B$3:$B$5001,H$95,Base!$A$3:$A$5001,_xlfn.MAXIFS(Base!$A$3:$A$5001,Base!$B$3:$B$5001,H$95,Base!$A$3:$A$5001,"&gt;="&amp;$C$7,Base!$A$3:$A$5001,"&lt;="&amp;$D$7,Base!$Y$3:$Y$5001,"&lt;&gt;")))</f>
        <v>962</v>
      </c>
      <c r="I118">
        <f>IF(COUNTIFS(Base!$B$3:$B$5001,I$95,Base!$A$3:$A$5001,"&gt;="&amp;$C$7,Base!$A$3:$A$5001,"&lt;="&amp;$D$7,Base!$Y$3:$Y$5001,"&lt;&gt;")=0,"",SUMIFS(Base!$Y$3:$Y$5001,Base!$B$3:$B$5001,I$95,Base!$A$3:$A$5001,_xlfn.MAXIFS(Base!$A$3:$A$5001,Base!$B$3:$B$5001,I$95,Base!$A$3:$A$5001,"&gt;="&amp;$C$7,Base!$A$3:$A$5001,"&lt;="&amp;$D$7,Base!$Y$3:$Y$5001,"&lt;&gt;")))</f>
        <v>456</v>
      </c>
      <c r="J118">
        <f>IF(COUNTIFS(Base!$B$3:$B$5001,J$95,Base!$A$3:$A$5001,"&gt;="&amp;$C$7,Base!$A$3:$A$5001,"&lt;="&amp;$D$7,Base!$Y$3:$Y$5001,"&lt;&gt;")=0,"",SUMIFS(Base!$Y$3:$Y$5001,Base!$B$3:$B$5001,J$95,Base!$A$3:$A$5001,_xlfn.MAXIFS(Base!$A$3:$A$5001,Base!$B$3:$B$5001,J$95,Base!$A$3:$A$5001,"&gt;="&amp;$C$7,Base!$A$3:$A$5001,"&lt;="&amp;$D$7,Base!$Y$3:$Y$5001,"&lt;&gt;")))</f>
        <v>1078</v>
      </c>
      <c r="K118">
        <f>IF(COUNT(B118:J118)=0,"",SUM(B118:J118))</f>
        <v>10404</v>
      </c>
    </row>
    <row r="119">
      <c r="A119" t="inlineStr">
        <is>
          <t xml:space="preserve">Taxa de Ocupação</t>
        </is>
      </c>
      <c r="B119">
        <f>IF(AND(ISNUMBER(B118),ISNUMBER(B117)),IF(B117&gt;0,B118/B117,""),"")</f>
        <v>0.879545454545455</v>
      </c>
      <c r="C119">
        <f>IF(AND(ISNUMBER(C118),ISNUMBER(C117)),IF(C117&gt;0,C118/C117,""),"")</f>
        <v>0.760833333333333</v>
      </c>
      <c r="D119">
        <f>IF(AND(ISNUMBER(D118),ISNUMBER(D117)),IF(D117&gt;0,D118/D117,""),"")</f>
        <v>0.818</v>
      </c>
      <c r="E119">
        <f>IF(AND(ISNUMBER(E118),ISNUMBER(E117)),IF(E117&gt;0,E118/E117,""),"")</f>
        <v>0.673125</v>
      </c>
      <c r="F119">
        <f>IF(AND(ISNUMBER(F118),ISNUMBER(F117)),IF(F117&gt;0,F118/F117,""),"")</f>
        <v>0.82</v>
      </c>
      <c r="G119">
        <f>IF(AND(ISNUMBER(G118),ISNUMBER(G117)),IF(G117&gt;0,G118/G117,""),"")</f>
        <v>0.636666666666667</v>
      </c>
      <c r="H119">
        <f>IF(AND(ISNUMBER(H118),ISNUMBER(H117)),IF(H117&gt;0,H118/H117,""),"")</f>
        <v>0.687142857142857</v>
      </c>
      <c r="I119">
        <f>IF(AND(ISNUMBER(I118),ISNUMBER(I117)),IF(I117&gt;0,I118/I117,""),"")</f>
        <v>0.912</v>
      </c>
      <c r="J119">
        <f>IF(AND(ISNUMBER(J118),ISNUMBER(J117)),IF(J117&gt;0,J118/J117,""),"")</f>
        <v>0.598888888888889</v>
      </c>
      <c r="K119">
        <f>IFERROR(K118/K117,"")</f>
        <v>0.759416058394161</v>
      </c>
    </row>
    <row r="120">
      <c r="A120" t="inlineStr">
        <is>
          <t xml:space="preserve">Efetivo</t>
        </is>
      </c>
      <c r="B120">
        <f>IF(COUNTIFS(Base!$B$3:$B$5001,B$95,Base!$A$3:$A$5001,"&gt;="&amp;$C$7,Base!$A$3:$A$5001,"&lt;="&amp;$D$7,Base!$Z$3:$Z$5001,"&lt;&gt;")=0,"",SUMIFS(Base!$Z$3:$Z$5001,Base!$B$3:$B$5001,B$95,Base!$A$3:$A$5001,_xlfn.MAXIFS(Base!$A$3:$A$5001,Base!$B$3:$B$5001,B$95,Base!$A$3:$A$5001,"&gt;="&amp;$C$7,Base!$A$3:$A$5001,"&lt;="&amp;$D$7,Base!$Z$3:$Z$5001,"&lt;&gt;")))</f>
        <v>6</v>
      </c>
      <c r="C120">
        <f>IF(COUNTIFS(Base!$B$3:$B$5001,C$95,Base!$A$3:$A$5001,"&gt;="&amp;$C$7,Base!$A$3:$A$5001,"&lt;="&amp;$D$7,Base!$Z$3:$Z$5001,"&lt;&gt;")=0,"",SUMIFS(Base!$Z$3:$Z$5001,Base!$B$3:$B$5001,C$95,Base!$A$3:$A$5001,_xlfn.MAXIFS(Base!$A$3:$A$5001,Base!$B$3:$B$5001,C$95,Base!$A$3:$A$5001,"&gt;="&amp;$C$7,Base!$A$3:$A$5001,"&lt;="&amp;$D$7,Base!$Z$3:$Z$5001,"&lt;&gt;")))</f>
        <v>5</v>
      </c>
      <c r="D120">
        <f>IF(COUNTIFS(Base!$B$3:$B$5001,D$95,Base!$A$3:$A$5001,"&gt;="&amp;$C$7,Base!$A$3:$A$5001,"&lt;="&amp;$D$7,Base!$Z$3:$Z$5001,"&lt;&gt;")=0,"",SUMIFS(Base!$Z$3:$Z$5001,Base!$B$3:$B$5001,D$95,Base!$A$3:$A$5001,_xlfn.MAXIFS(Base!$A$3:$A$5001,Base!$B$3:$B$5001,D$95,Base!$A$3:$A$5001,"&gt;="&amp;$C$7,Base!$A$3:$A$5001,"&lt;="&amp;$D$7,Base!$Z$3:$Z$5001,"&lt;&gt;")))</f>
        <v>9</v>
      </c>
      <c r="E120">
        <f>IF(COUNTIFS(Base!$B$3:$B$5001,E$95,Base!$A$3:$A$5001,"&gt;="&amp;$C$7,Base!$A$3:$A$5001,"&lt;="&amp;$D$7,Base!$Z$3:$Z$5001,"&lt;&gt;")=0,"",SUMIFS(Base!$Z$3:$Z$5001,Base!$B$3:$B$5001,E$95,Base!$A$3:$A$5001,_xlfn.MAXIFS(Base!$A$3:$A$5001,Base!$B$3:$B$5001,E$95,Base!$A$3:$A$5001,"&gt;="&amp;$C$7,Base!$A$3:$A$5001,"&lt;="&amp;$D$7,Base!$Z$3:$Z$5001,"&lt;&gt;")))</f>
        <v>11</v>
      </c>
      <c r="F120">
        <f>IF(COUNTIFS(Base!$B$3:$B$5001,F$95,Base!$A$3:$A$5001,"&gt;="&amp;$C$7,Base!$A$3:$A$5001,"&lt;="&amp;$D$7,Base!$Z$3:$Z$5001,"&lt;&gt;")=0,"",SUMIFS(Base!$Z$3:$Z$5001,Base!$B$3:$B$5001,F$95,Base!$A$3:$A$5001,_xlfn.MAXIFS(Base!$A$3:$A$5001,Base!$B$3:$B$5001,F$95,Base!$A$3:$A$5001,"&gt;="&amp;$C$7,Base!$A$3:$A$5001,"&lt;="&amp;$D$7,Base!$Z$3:$Z$5001,"&lt;&gt;")))</f>
        <v>6</v>
      </c>
      <c r="G120">
        <f>IF(COUNTIFS(Base!$B$3:$B$5001,G$95,Base!$A$3:$A$5001,"&gt;="&amp;$C$7,Base!$A$3:$A$5001,"&lt;="&amp;$D$7,Base!$Z$3:$Z$5001,"&lt;&gt;")=0,"",SUMIFS(Base!$Z$3:$Z$5001,Base!$B$3:$B$5001,G$95,Base!$A$3:$A$5001,_xlfn.MAXIFS(Base!$A$3:$A$5001,Base!$B$3:$B$5001,G$95,Base!$A$3:$A$5001,"&gt;="&amp;$C$7,Base!$A$3:$A$5001,"&lt;="&amp;$D$7,Base!$Z$3:$Z$5001,"&lt;&gt;")))</f>
        <v>6</v>
      </c>
      <c r="H120">
        <f>IF(COUNTIFS(Base!$B$3:$B$5001,H$95,Base!$A$3:$A$5001,"&gt;="&amp;$C$7,Base!$A$3:$A$5001,"&lt;="&amp;$D$7,Base!$Z$3:$Z$5001,"&lt;&gt;")=0,"",SUMIFS(Base!$Z$3:$Z$5001,Base!$B$3:$B$5001,H$95,Base!$A$3:$A$5001,_xlfn.MAXIFS(Base!$A$3:$A$5001,Base!$B$3:$B$5001,H$95,Base!$A$3:$A$5001,"&gt;="&amp;$C$7,Base!$A$3:$A$5001,"&lt;="&amp;$D$7,Base!$Z$3:$Z$5001,"&lt;&gt;")))</f>
        <v>7</v>
      </c>
      <c r="I120">
        <f>IF(COUNTIFS(Base!$B$3:$B$5001,I$95,Base!$A$3:$A$5001,"&gt;="&amp;$C$7,Base!$A$3:$A$5001,"&lt;="&amp;$D$7,Base!$Z$3:$Z$5001,"&lt;&gt;")=0,"",SUMIFS(Base!$Z$3:$Z$5001,Base!$B$3:$B$5001,I$95,Base!$A$3:$A$5001,_xlfn.MAXIFS(Base!$A$3:$A$5001,Base!$B$3:$B$5001,I$95,Base!$A$3:$A$5001,"&gt;="&amp;$C$7,Base!$A$3:$A$5001,"&lt;="&amp;$D$7,Base!$Z$3:$Z$5001,"&lt;&gt;")))</f>
        <v>5</v>
      </c>
      <c r="J120">
        <f>IF(COUNTIFS(Base!$B$3:$B$5001,J$95,Base!$A$3:$A$5001,"&gt;="&amp;$C$7,Base!$A$3:$A$5001,"&lt;="&amp;$D$7,Base!$Z$3:$Z$5001,"&lt;&gt;")=0,"",SUMIFS(Base!$Z$3:$Z$5001,Base!$B$3:$B$5001,J$95,Base!$A$3:$A$5001,_xlfn.MAXIFS(Base!$A$3:$A$5001,Base!$B$3:$B$5001,J$95,Base!$A$3:$A$5001,"&gt;="&amp;$C$7,Base!$A$3:$A$5001,"&lt;="&amp;$D$7,Base!$Z$3:$Z$5001,"&lt;&gt;")))</f>
        <v>14</v>
      </c>
      <c r="K120">
        <f>IF(COUNT(B120:J120)=0,"",SUM(B120:J120))</f>
        <v>69</v>
      </c>
    </row>
    <row r="121">
      <c r="A121" t="inlineStr">
        <is>
          <t xml:space="preserve">Falta</t>
        </is>
      </c>
      <c r="B121">
        <f>SUMIFS(Base!$AA$3:$AA$5001,Base!$B$3:$B$5001,B$95,Base!$A$3:$A$5001,"&gt;="&amp;$C$7,Base!$A$3:$A$5001,"&lt;="&amp;$D$7)</f>
        <v>2</v>
      </c>
      <c r="C121">
        <f>SUMIFS(Base!$AA$3:$AA$5001,Base!$B$3:$B$5001,C$95,Base!$A$3:$A$5001,"&gt;="&amp;$C$7,Base!$A$3:$A$5001,"&lt;="&amp;$D$7)</f>
        <v>5</v>
      </c>
      <c r="D121">
        <f>SUMIFS(Base!$AA$3:$AA$5001,Base!$B$3:$B$5001,D$95,Base!$A$3:$A$5001,"&gt;="&amp;$C$7,Base!$A$3:$A$5001,"&lt;="&amp;$D$7)</f>
        <v>9</v>
      </c>
      <c r="E121">
        <f>SUMIFS(Base!$AA$3:$AA$5001,Base!$B$3:$B$5001,E$95,Base!$A$3:$A$5001,"&gt;="&amp;$C$7,Base!$A$3:$A$5001,"&lt;="&amp;$D$7)</f>
        <v>2</v>
      </c>
      <c r="F121">
        <f>SUMIFS(Base!$AA$3:$AA$5001,Base!$B$3:$B$5001,F$95,Base!$A$3:$A$5001,"&gt;="&amp;$C$7,Base!$A$3:$A$5001,"&lt;="&amp;$D$7)</f>
        <v>4</v>
      </c>
      <c r="G121">
        <f>SUMIFS(Base!$AA$3:$AA$5001,Base!$B$3:$B$5001,G$95,Base!$A$3:$A$5001,"&gt;="&amp;$C$7,Base!$A$3:$A$5001,"&lt;="&amp;$D$7)</f>
        <v>5</v>
      </c>
      <c r="H121">
        <f>SUMIFS(Base!$AA$3:$AA$5001,Base!$B$3:$B$5001,H$95,Base!$A$3:$A$5001,"&gt;="&amp;$C$7,Base!$A$3:$A$5001,"&lt;="&amp;$D$7)</f>
        <v>7</v>
      </c>
      <c r="I121">
        <f>SUMIFS(Base!$AA$3:$AA$5001,Base!$B$3:$B$5001,I$95,Base!$A$3:$A$5001,"&gt;="&amp;$C$7,Base!$A$3:$A$5001,"&lt;="&amp;$D$7)</f>
        <v>5</v>
      </c>
      <c r="J121">
        <f>SUMIFS(Base!$AA$3:$AA$5001,Base!$B$3:$B$5001,J$95,Base!$A$3:$A$5001,"&gt;="&amp;$C$7,Base!$A$3:$A$5001,"&lt;="&amp;$D$7)</f>
        <v>3</v>
      </c>
      <c r="K121">
        <f>SUM(B121:J121)</f>
        <v>42</v>
      </c>
    </row>
    <row r="122">
      <c r="A122" t="inlineStr">
        <is>
          <t xml:space="preserve">Folga</t>
        </is>
      </c>
      <c r="B122">
        <f>SUMIFS(Base!$AB$3:$AB$5001,Base!$B$3:$B$5001,B$95,Base!$A$3:$A$5001,"&gt;="&amp;$C$7,Base!$A$3:$A$5001,"&lt;="&amp;$D$7)</f>
        <v>1</v>
      </c>
      <c r="C122">
        <f>SUMIFS(Base!$AB$3:$AB$5001,Base!$B$3:$B$5001,C$95,Base!$A$3:$A$5001,"&gt;="&amp;$C$7,Base!$A$3:$A$5001,"&lt;="&amp;$D$7)</f>
        <v>2</v>
      </c>
      <c r="D122">
        <f>SUMIFS(Base!$AB$3:$AB$5001,Base!$B$3:$B$5001,D$95,Base!$A$3:$A$5001,"&gt;="&amp;$C$7,Base!$A$3:$A$5001,"&lt;="&amp;$D$7)</f>
        <v>2</v>
      </c>
      <c r="E122">
        <f>SUMIFS(Base!$AB$3:$AB$5001,Base!$B$3:$B$5001,E$95,Base!$A$3:$A$5001,"&gt;="&amp;$C$7,Base!$A$3:$A$5001,"&lt;="&amp;$D$7)</f>
        <v>1</v>
      </c>
      <c r="F122">
        <f>SUMIFS(Base!$AB$3:$AB$5001,Base!$B$3:$B$5001,F$95,Base!$A$3:$A$5001,"&gt;="&amp;$C$7,Base!$A$3:$A$5001,"&lt;="&amp;$D$7)</f>
        <v>2</v>
      </c>
      <c r="G122">
        <f>SUMIFS(Base!$AB$3:$AB$5001,Base!$B$3:$B$5001,G$95,Base!$A$3:$A$5001,"&gt;="&amp;$C$7,Base!$A$3:$A$5001,"&lt;="&amp;$D$7)</f>
        <v>4</v>
      </c>
      <c r="H122">
        <f>SUMIFS(Base!$AB$3:$AB$5001,Base!$B$3:$B$5001,H$95,Base!$A$3:$A$5001,"&gt;="&amp;$C$7,Base!$A$3:$A$5001,"&lt;="&amp;$D$7)</f>
        <v>3</v>
      </c>
      <c r="I122">
        <f>SUMIFS(Base!$AB$3:$AB$5001,Base!$B$3:$B$5001,I$95,Base!$A$3:$A$5001,"&gt;="&amp;$C$7,Base!$A$3:$A$5001,"&lt;="&amp;$D$7)</f>
        <v>4</v>
      </c>
      <c r="J122">
        <f>SUMIFS(Base!$AB$3:$AB$5001,Base!$B$3:$B$5001,J$95,Base!$A$3:$A$5001,"&gt;="&amp;$C$7,Base!$A$3:$A$5001,"&lt;="&amp;$D$7)</f>
        <v>1</v>
      </c>
      <c r="K122">
        <f>SUM(B122:J122)</f>
        <v>20</v>
      </c>
    </row>
    <row r="123">
      <c r="A123" t="inlineStr">
        <is>
          <t xml:space="preserve">Férias</t>
        </is>
      </c>
      <c r="B123">
        <f>SUMIFS(Base!$AC$3:$AC$5001,Base!$B$3:$B$5001,B$95,Base!$A$3:$A$5001,"&gt;="&amp;$C$7,Base!$A$3:$A$5001,"&lt;="&amp;$D$7)</f>
        <v>2</v>
      </c>
      <c r="C123">
        <f>SUMIFS(Base!$AC$3:$AC$5001,Base!$B$3:$B$5001,C$95,Base!$A$3:$A$5001,"&gt;="&amp;$C$7,Base!$A$3:$A$5001,"&lt;="&amp;$D$7)</f>
        <v>1</v>
      </c>
      <c r="D123">
        <f>SUMIFS(Base!$AC$3:$AC$5001,Base!$B$3:$B$5001,D$95,Base!$A$3:$A$5001,"&gt;="&amp;$C$7,Base!$A$3:$A$5001,"&lt;="&amp;$D$7)</f>
        <v>0</v>
      </c>
      <c r="E123">
        <f>SUMIFS(Base!$AC$3:$AC$5001,Base!$B$3:$B$5001,E$95,Base!$A$3:$A$5001,"&gt;="&amp;$C$7,Base!$A$3:$A$5001,"&lt;="&amp;$D$7)</f>
        <v>4</v>
      </c>
      <c r="F123">
        <f>SUMIFS(Base!$AC$3:$AC$5001,Base!$B$3:$B$5001,F$95,Base!$A$3:$A$5001,"&gt;="&amp;$C$7,Base!$A$3:$A$5001,"&lt;="&amp;$D$7)</f>
        <v>1</v>
      </c>
      <c r="G123">
        <f>SUMIFS(Base!$AC$3:$AC$5001,Base!$B$3:$B$5001,G$95,Base!$A$3:$A$5001,"&gt;="&amp;$C$7,Base!$A$3:$A$5001,"&lt;="&amp;$D$7)</f>
        <v>0</v>
      </c>
      <c r="H123">
        <f>SUMIFS(Base!$AC$3:$AC$5001,Base!$B$3:$B$5001,H$95,Base!$A$3:$A$5001,"&gt;="&amp;$C$7,Base!$A$3:$A$5001,"&lt;="&amp;$D$7)</f>
        <v>2</v>
      </c>
      <c r="I123">
        <f>SUMIFS(Base!$AC$3:$AC$5001,Base!$B$3:$B$5001,I$95,Base!$A$3:$A$5001,"&gt;="&amp;$C$7,Base!$A$3:$A$5001,"&lt;="&amp;$D$7)</f>
        <v>1</v>
      </c>
      <c r="J123">
        <f>SUMIFS(Base!$AC$3:$AC$5001,Base!$B$3:$B$5001,J$95,Base!$A$3:$A$5001,"&gt;="&amp;$C$7,Base!$A$3:$A$5001,"&lt;="&amp;$D$7)</f>
        <v>1</v>
      </c>
      <c r="K123">
        <f>SUM(B123:J123)</f>
        <v>12</v>
      </c>
    </row>
    <row r="124">
      <c r="A124" t="inlineStr">
        <is>
          <t xml:space="preserve">Desligamentos</t>
        </is>
      </c>
      <c r="B124">
        <f>SUMIFS(Base!$AD$3:$AD$5001,Base!$B$3:$B$5001,B$95,Base!$A$3:$A$5001,"&gt;="&amp;$C$7,Base!$A$3:$A$5001,"&lt;="&amp;$D$7)</f>
        <v>0</v>
      </c>
      <c r="C124">
        <f>SUMIFS(Base!$AD$3:$AD$5001,Base!$B$3:$B$5001,C$95,Base!$A$3:$A$5001,"&gt;="&amp;$C$7,Base!$A$3:$A$5001,"&lt;="&amp;$D$7)</f>
        <v>0</v>
      </c>
      <c r="D124">
        <f>SUMIFS(Base!$AD$3:$AD$5001,Base!$B$3:$B$5001,D$95,Base!$A$3:$A$5001,"&gt;="&amp;$C$7,Base!$A$3:$A$5001,"&lt;="&amp;$D$7)</f>
        <v>0</v>
      </c>
      <c r="E124">
        <f>SUMIFS(Base!$AD$3:$AD$5001,Base!$B$3:$B$5001,E$95,Base!$A$3:$A$5001,"&gt;="&amp;$C$7,Base!$A$3:$A$5001,"&lt;="&amp;$D$7)</f>
        <v>0</v>
      </c>
      <c r="F124">
        <f>SUMIFS(Base!$AD$3:$AD$5001,Base!$B$3:$B$5001,F$95,Base!$A$3:$A$5001,"&gt;="&amp;$C$7,Base!$A$3:$A$5001,"&lt;="&amp;$D$7)</f>
        <v>1</v>
      </c>
      <c r="G124">
        <f>SUMIFS(Base!$AD$3:$AD$5001,Base!$B$3:$B$5001,G$95,Base!$A$3:$A$5001,"&gt;="&amp;$C$7,Base!$A$3:$A$5001,"&lt;="&amp;$D$7)</f>
        <v>0</v>
      </c>
      <c r="H124">
        <f>SUMIFS(Base!$AD$3:$AD$5001,Base!$B$3:$B$5001,H$95,Base!$A$3:$A$5001,"&gt;="&amp;$C$7,Base!$A$3:$A$5001,"&lt;="&amp;$D$7)</f>
        <v>1</v>
      </c>
      <c r="I124">
        <f>SUMIFS(Base!$AD$3:$AD$5001,Base!$B$3:$B$5001,I$95,Base!$A$3:$A$5001,"&gt;="&amp;$C$7,Base!$A$3:$A$5001,"&lt;="&amp;$D$7)</f>
        <v>0</v>
      </c>
      <c r="J124">
        <f>SUMIFS(Base!$AD$3:$AD$5001,Base!$B$3:$B$5001,J$95,Base!$A$3:$A$5001,"&gt;="&amp;$C$7,Base!$A$3:$A$5001,"&lt;="&amp;$D$7)</f>
        <v>0</v>
      </c>
      <c r="K124">
        <f>SUM(B124:J124)</f>
        <v>2</v>
      </c>
    </row>
    <row r="126">
      <c r="A126" t="inlineStr">
        <is>
          <t xml:space="preserve">ESTOQUES POR CLIENTE — último valor informado até cada dia (base de Backlog, Posições e Efetivo)</t>
        </is>
      </c>
    </row>
    <row r="127">
      <c r="A127" s="145" t="inlineStr">
        <is>
          <t xml:space="preserve">Backlog</t>
        </is>
      </c>
      <c r="B127" s="145" t="inlineStr">
        <is>
          <t xml:space="preserve">Data</t>
        </is>
      </c>
      <c r="C127" s="145" t="inlineStr">
        <is>
          <t xml:space="preserve">BASF</t>
        </is>
      </c>
      <c r="D127" s="145" t="inlineStr">
        <is>
          <t xml:space="preserve">BEAUTYBIZ</t>
        </is>
      </c>
      <c r="E127" s="145" t="inlineStr">
        <is>
          <t xml:space="preserve">BOTICÁRIO</t>
        </is>
      </c>
      <c r="F127" s="145" t="inlineStr">
        <is>
          <t xml:space="preserve">SUPPLY</t>
        </is>
      </c>
      <c r="G127" s="145" t="inlineStr">
        <is>
          <t xml:space="preserve">GE VERNOVA</t>
        </is>
      </c>
      <c r="H127" s="145" t="inlineStr">
        <is>
          <t xml:space="preserve">VESTAS</t>
        </is>
      </c>
      <c r="I127" s="145" t="inlineStr">
        <is>
          <t xml:space="preserve">VEDACIT</t>
        </is>
      </c>
      <c r="J127" s="145" t="inlineStr">
        <is>
          <t xml:space="preserve">OMNLIFE</t>
        </is>
      </c>
      <c r="K127" s="145" t="inlineStr">
        <is>
          <t xml:space="preserve">ALPARGATAS</t>
        </is>
      </c>
    </row>
    <row r="128">
      <c r="A128">
        <v>1</v>
      </c>
      <c r="B128" s="152">
        <f>$B$12</f>
        <v>46266</v>
      </c>
      <c r="C128">
        <f>IF($A128&gt;$B$9,"",IF(COUNTIFS(Base!$B$3:$B$5001,C$127,Base!$A$3:$A$5001,"&gt;="&amp;$C$7,Base!$A$3:$A$5001,"&lt;="&amp;$B128,Base!$W$3:$W$5001,"&lt;&gt;")=0,"",SUMIFS(Base!$W$3:$W$5001,Base!$B$3:$B$5001,C$127,Base!$A$3:$A$5001,_xlfn.MAXIFS(Base!$A$3:$A$5001,Base!$B$3:$B$5001,C$127,Base!$A$3:$A$5001,"&gt;="&amp;$C$7,Base!$A$3:$A$5001,"&lt;="&amp;$B128,Base!$W$3:$W$5001,"&lt;&gt;"))))</f>
        <v>3</v>
      </c>
      <c r="D128" t="str">
        <f>IF($A128&gt;$B$9,"",IF(COUNTIFS(Base!$B$3:$B$5001,D$127,Base!$A$3:$A$5001,"&gt;="&amp;$C$7,Base!$A$3:$A$5001,"&lt;="&amp;$B128,Base!$W$3:$W$5001,"&lt;&gt;")=0,"",SUMIFS(Base!$W$3:$W$5001,Base!$B$3:$B$5001,D$127,Base!$A$3:$A$5001,_xlfn.MAXIFS(Base!$A$3:$A$5001,Base!$B$3:$B$5001,D$127,Base!$A$3:$A$5001,"&gt;="&amp;$C$7,Base!$A$3:$A$5001,"&lt;="&amp;$B128,Base!$W$3:$W$5001,"&lt;&gt;"))))</f>
        <v/>
      </c>
      <c r="E128" t="str">
        <f>IF($A128&gt;$B$9,"",IF(COUNTIFS(Base!$B$3:$B$5001,E$127,Base!$A$3:$A$5001,"&gt;="&amp;$C$7,Base!$A$3:$A$5001,"&lt;="&amp;$B128,Base!$W$3:$W$5001,"&lt;&gt;")=0,"",SUMIFS(Base!$W$3:$W$5001,Base!$B$3:$B$5001,E$127,Base!$A$3:$A$5001,_xlfn.MAXIFS(Base!$A$3:$A$5001,Base!$B$3:$B$5001,E$127,Base!$A$3:$A$5001,"&gt;="&amp;$C$7,Base!$A$3:$A$5001,"&lt;="&amp;$B128,Base!$W$3:$W$5001,"&lt;&gt;"))))</f>
        <v/>
      </c>
      <c r="F128">
        <f>IF($A128&gt;$B$9,"",IF(COUNTIFS(Base!$B$3:$B$5001,F$127,Base!$A$3:$A$5001,"&gt;="&amp;$C$7,Base!$A$3:$A$5001,"&lt;="&amp;$B128,Base!$W$3:$W$5001,"&lt;&gt;")=0,"",SUMIFS(Base!$W$3:$W$5001,Base!$B$3:$B$5001,F$127,Base!$A$3:$A$5001,_xlfn.MAXIFS(Base!$A$3:$A$5001,Base!$B$3:$B$5001,F$127,Base!$A$3:$A$5001,"&gt;="&amp;$C$7,Base!$A$3:$A$5001,"&lt;="&amp;$B128,Base!$W$3:$W$5001,"&lt;&gt;"))))</f>
        <v>6</v>
      </c>
      <c r="G128" t="str">
        <f>IF($A128&gt;$B$9,"",IF(COUNTIFS(Base!$B$3:$B$5001,G$127,Base!$A$3:$A$5001,"&gt;="&amp;$C$7,Base!$A$3:$A$5001,"&lt;="&amp;$B128,Base!$W$3:$W$5001,"&lt;&gt;")=0,"",SUMIFS(Base!$W$3:$W$5001,Base!$B$3:$B$5001,G$127,Base!$A$3:$A$5001,_xlfn.MAXIFS(Base!$A$3:$A$5001,Base!$B$3:$B$5001,G$127,Base!$A$3:$A$5001,"&gt;="&amp;$C$7,Base!$A$3:$A$5001,"&lt;="&amp;$B128,Base!$W$3:$W$5001,"&lt;&gt;"))))</f>
        <v/>
      </c>
      <c r="H128" t="str">
        <f>IF($A128&gt;$B$9,"",IF(COUNTIFS(Base!$B$3:$B$5001,H$127,Base!$A$3:$A$5001,"&gt;="&amp;$C$7,Base!$A$3:$A$5001,"&lt;="&amp;$B128,Base!$W$3:$W$5001,"&lt;&gt;")=0,"",SUMIFS(Base!$W$3:$W$5001,Base!$B$3:$B$5001,H$127,Base!$A$3:$A$5001,_xlfn.MAXIFS(Base!$A$3:$A$5001,Base!$B$3:$B$5001,H$127,Base!$A$3:$A$5001,"&gt;="&amp;$C$7,Base!$A$3:$A$5001,"&lt;="&amp;$B128,Base!$W$3:$W$5001,"&lt;&gt;"))))</f>
        <v/>
      </c>
      <c r="I128" t="str">
        <f>IF($A128&gt;$B$9,"",IF(COUNTIFS(Base!$B$3:$B$5001,I$127,Base!$A$3:$A$5001,"&gt;="&amp;$C$7,Base!$A$3:$A$5001,"&lt;="&amp;$B128,Base!$W$3:$W$5001,"&lt;&gt;")=0,"",SUMIFS(Base!$W$3:$W$5001,Base!$B$3:$B$5001,I$127,Base!$A$3:$A$5001,_xlfn.MAXIFS(Base!$A$3:$A$5001,Base!$B$3:$B$5001,I$127,Base!$A$3:$A$5001,"&gt;="&amp;$C$7,Base!$A$3:$A$5001,"&lt;="&amp;$B128,Base!$W$3:$W$5001,"&lt;&gt;"))))</f>
        <v/>
      </c>
      <c r="J128" t="str">
        <f>IF($A128&gt;$B$9,"",IF(COUNTIFS(Base!$B$3:$B$5001,J$127,Base!$A$3:$A$5001,"&gt;="&amp;$C$7,Base!$A$3:$A$5001,"&lt;="&amp;$B128,Base!$W$3:$W$5001,"&lt;&gt;")=0,"",SUMIFS(Base!$W$3:$W$5001,Base!$B$3:$B$5001,J$127,Base!$A$3:$A$5001,_xlfn.MAXIFS(Base!$A$3:$A$5001,Base!$B$3:$B$5001,J$127,Base!$A$3:$A$5001,"&gt;="&amp;$C$7,Base!$A$3:$A$5001,"&lt;="&amp;$B128,Base!$W$3:$W$5001,"&lt;&gt;"))))</f>
        <v/>
      </c>
      <c r="K128">
        <f>IF($A128&gt;$B$9,"",IF(COUNTIFS(Base!$B$3:$B$5001,K$127,Base!$A$3:$A$5001,"&gt;="&amp;$C$7,Base!$A$3:$A$5001,"&lt;="&amp;$B128,Base!$W$3:$W$5001,"&lt;&gt;")=0,"",SUMIFS(Base!$W$3:$W$5001,Base!$B$3:$B$5001,K$127,Base!$A$3:$A$5001,_xlfn.MAXIFS(Base!$A$3:$A$5001,Base!$B$3:$B$5001,K$127,Base!$A$3:$A$5001,"&gt;="&amp;$C$7,Base!$A$3:$A$5001,"&lt;="&amp;$B128,Base!$W$3:$W$5001,"&lt;&gt;"))))</f>
        <v>12</v>
      </c>
    </row>
    <row r="129">
      <c r="A129">
        <v>2</v>
      </c>
      <c r="B129" s="152">
        <f>$B$13</f>
        <v>46267</v>
      </c>
      <c r="C129">
        <f>IF($A129&gt;$B$9,"",IF(COUNTIFS(Base!$B$3:$B$5001,C$127,Base!$A$3:$A$5001,"&gt;="&amp;$C$7,Base!$A$3:$A$5001,"&lt;="&amp;$B129,Base!$W$3:$W$5001,"&lt;&gt;")=0,"",SUMIFS(Base!$W$3:$W$5001,Base!$B$3:$B$5001,C$127,Base!$A$3:$A$5001,_xlfn.MAXIFS(Base!$A$3:$A$5001,Base!$B$3:$B$5001,C$127,Base!$A$3:$A$5001,"&gt;="&amp;$C$7,Base!$A$3:$A$5001,"&lt;="&amp;$B129,Base!$W$3:$W$5001,"&lt;&gt;"))))</f>
        <v>3</v>
      </c>
      <c r="D129" t="str">
        <f>IF($A129&gt;$B$9,"",IF(COUNTIFS(Base!$B$3:$B$5001,D$127,Base!$A$3:$A$5001,"&gt;="&amp;$C$7,Base!$A$3:$A$5001,"&lt;="&amp;$B129,Base!$W$3:$W$5001,"&lt;&gt;")=0,"",SUMIFS(Base!$W$3:$W$5001,Base!$B$3:$B$5001,D$127,Base!$A$3:$A$5001,_xlfn.MAXIFS(Base!$A$3:$A$5001,Base!$B$3:$B$5001,D$127,Base!$A$3:$A$5001,"&gt;="&amp;$C$7,Base!$A$3:$A$5001,"&lt;="&amp;$B129,Base!$W$3:$W$5001,"&lt;&gt;"))))</f>
        <v/>
      </c>
      <c r="E129">
        <f>IF($A129&gt;$B$9,"",IF(COUNTIFS(Base!$B$3:$B$5001,E$127,Base!$A$3:$A$5001,"&gt;="&amp;$C$7,Base!$A$3:$A$5001,"&lt;="&amp;$B129,Base!$W$3:$W$5001,"&lt;&gt;")=0,"",SUMIFS(Base!$W$3:$W$5001,Base!$B$3:$B$5001,E$127,Base!$A$3:$A$5001,_xlfn.MAXIFS(Base!$A$3:$A$5001,Base!$B$3:$B$5001,E$127,Base!$A$3:$A$5001,"&gt;="&amp;$C$7,Base!$A$3:$A$5001,"&lt;="&amp;$B129,Base!$W$3:$W$5001,"&lt;&gt;"))))</f>
        <v>14</v>
      </c>
      <c r="F129">
        <f>IF($A129&gt;$B$9,"",IF(COUNTIFS(Base!$B$3:$B$5001,F$127,Base!$A$3:$A$5001,"&gt;="&amp;$C$7,Base!$A$3:$A$5001,"&lt;="&amp;$B129,Base!$W$3:$W$5001,"&lt;&gt;")=0,"",SUMIFS(Base!$W$3:$W$5001,Base!$B$3:$B$5001,F$127,Base!$A$3:$A$5001,_xlfn.MAXIFS(Base!$A$3:$A$5001,Base!$B$3:$B$5001,F$127,Base!$A$3:$A$5001,"&gt;="&amp;$C$7,Base!$A$3:$A$5001,"&lt;="&amp;$B129,Base!$W$3:$W$5001,"&lt;&gt;"))))</f>
        <v>6</v>
      </c>
      <c r="G129" t="str">
        <f>IF($A129&gt;$B$9,"",IF(COUNTIFS(Base!$B$3:$B$5001,G$127,Base!$A$3:$A$5001,"&gt;="&amp;$C$7,Base!$A$3:$A$5001,"&lt;="&amp;$B129,Base!$W$3:$W$5001,"&lt;&gt;")=0,"",SUMIFS(Base!$W$3:$W$5001,Base!$B$3:$B$5001,G$127,Base!$A$3:$A$5001,_xlfn.MAXIFS(Base!$A$3:$A$5001,Base!$B$3:$B$5001,G$127,Base!$A$3:$A$5001,"&gt;="&amp;$C$7,Base!$A$3:$A$5001,"&lt;="&amp;$B129,Base!$W$3:$W$5001,"&lt;&gt;"))))</f>
        <v/>
      </c>
      <c r="H129" t="str">
        <f>IF($A129&gt;$B$9,"",IF(COUNTIFS(Base!$B$3:$B$5001,H$127,Base!$A$3:$A$5001,"&gt;="&amp;$C$7,Base!$A$3:$A$5001,"&lt;="&amp;$B129,Base!$W$3:$W$5001,"&lt;&gt;")=0,"",SUMIFS(Base!$W$3:$W$5001,Base!$B$3:$B$5001,H$127,Base!$A$3:$A$5001,_xlfn.MAXIFS(Base!$A$3:$A$5001,Base!$B$3:$B$5001,H$127,Base!$A$3:$A$5001,"&gt;="&amp;$C$7,Base!$A$3:$A$5001,"&lt;="&amp;$B129,Base!$W$3:$W$5001,"&lt;&gt;"))))</f>
        <v/>
      </c>
      <c r="I129">
        <f>IF($A129&gt;$B$9,"",IF(COUNTIFS(Base!$B$3:$B$5001,I$127,Base!$A$3:$A$5001,"&gt;="&amp;$C$7,Base!$A$3:$A$5001,"&lt;="&amp;$B129,Base!$W$3:$W$5001,"&lt;&gt;")=0,"",SUMIFS(Base!$W$3:$W$5001,Base!$B$3:$B$5001,I$127,Base!$A$3:$A$5001,_xlfn.MAXIFS(Base!$A$3:$A$5001,Base!$B$3:$B$5001,I$127,Base!$A$3:$A$5001,"&gt;="&amp;$C$7,Base!$A$3:$A$5001,"&lt;="&amp;$B129,Base!$W$3:$W$5001,"&lt;&gt;"))))</f>
        <v>7</v>
      </c>
      <c r="J129">
        <f>IF($A129&gt;$B$9,"",IF(COUNTIFS(Base!$B$3:$B$5001,J$127,Base!$A$3:$A$5001,"&gt;="&amp;$C$7,Base!$A$3:$A$5001,"&lt;="&amp;$B129,Base!$W$3:$W$5001,"&lt;&gt;")=0,"",SUMIFS(Base!$W$3:$W$5001,Base!$B$3:$B$5001,J$127,Base!$A$3:$A$5001,_xlfn.MAXIFS(Base!$A$3:$A$5001,Base!$B$3:$B$5001,J$127,Base!$A$3:$A$5001,"&gt;="&amp;$C$7,Base!$A$3:$A$5001,"&lt;="&amp;$B129,Base!$W$3:$W$5001,"&lt;&gt;"))))</f>
        <v>1</v>
      </c>
      <c r="K129">
        <f>IF($A129&gt;$B$9,"",IF(COUNTIFS(Base!$B$3:$B$5001,K$127,Base!$A$3:$A$5001,"&gt;="&amp;$C$7,Base!$A$3:$A$5001,"&lt;="&amp;$B129,Base!$W$3:$W$5001,"&lt;&gt;")=0,"",SUMIFS(Base!$W$3:$W$5001,Base!$B$3:$B$5001,K$127,Base!$A$3:$A$5001,_xlfn.MAXIFS(Base!$A$3:$A$5001,Base!$B$3:$B$5001,K$127,Base!$A$3:$A$5001,"&gt;="&amp;$C$7,Base!$A$3:$A$5001,"&lt;="&amp;$B129,Base!$W$3:$W$5001,"&lt;&gt;"))))</f>
        <v>12</v>
      </c>
    </row>
    <row r="130">
      <c r="A130">
        <v>3</v>
      </c>
      <c r="B130" s="152">
        <f>$B$14</f>
        <v>46268</v>
      </c>
      <c r="C130">
        <f>IF($A130&gt;$B$9,"",IF(COUNTIFS(Base!$B$3:$B$5001,C$127,Base!$A$3:$A$5001,"&gt;="&amp;$C$7,Base!$A$3:$A$5001,"&lt;="&amp;$B130,Base!$W$3:$W$5001,"&lt;&gt;")=0,"",SUMIFS(Base!$W$3:$W$5001,Base!$B$3:$B$5001,C$127,Base!$A$3:$A$5001,_xlfn.MAXIFS(Base!$A$3:$A$5001,Base!$B$3:$B$5001,C$127,Base!$A$3:$A$5001,"&gt;="&amp;$C$7,Base!$A$3:$A$5001,"&lt;="&amp;$B130,Base!$W$3:$W$5001,"&lt;&gt;"))))</f>
        <v>1</v>
      </c>
      <c r="D130">
        <f>IF($A130&gt;$B$9,"",IF(COUNTIFS(Base!$B$3:$B$5001,D$127,Base!$A$3:$A$5001,"&gt;="&amp;$C$7,Base!$A$3:$A$5001,"&lt;="&amp;$B130,Base!$W$3:$W$5001,"&lt;&gt;")=0,"",SUMIFS(Base!$W$3:$W$5001,Base!$B$3:$B$5001,D$127,Base!$A$3:$A$5001,_xlfn.MAXIFS(Base!$A$3:$A$5001,Base!$B$3:$B$5001,D$127,Base!$A$3:$A$5001,"&gt;="&amp;$C$7,Base!$A$3:$A$5001,"&lt;="&amp;$B130,Base!$W$3:$W$5001,"&lt;&gt;"))))</f>
        <v>0</v>
      </c>
      <c r="E130">
        <f>IF($A130&gt;$B$9,"",IF(COUNTIFS(Base!$B$3:$B$5001,E$127,Base!$A$3:$A$5001,"&gt;="&amp;$C$7,Base!$A$3:$A$5001,"&lt;="&amp;$B130,Base!$W$3:$W$5001,"&lt;&gt;")=0,"",SUMIFS(Base!$W$3:$W$5001,Base!$B$3:$B$5001,E$127,Base!$A$3:$A$5001,_xlfn.MAXIFS(Base!$A$3:$A$5001,Base!$B$3:$B$5001,E$127,Base!$A$3:$A$5001,"&gt;="&amp;$C$7,Base!$A$3:$A$5001,"&lt;="&amp;$B130,Base!$W$3:$W$5001,"&lt;&gt;"))))</f>
        <v>14</v>
      </c>
      <c r="F130">
        <f>IF($A130&gt;$B$9,"",IF(COUNTIFS(Base!$B$3:$B$5001,F$127,Base!$A$3:$A$5001,"&gt;="&amp;$C$7,Base!$A$3:$A$5001,"&lt;="&amp;$B130,Base!$W$3:$W$5001,"&lt;&gt;")=0,"",SUMIFS(Base!$W$3:$W$5001,Base!$B$3:$B$5001,F$127,Base!$A$3:$A$5001,_xlfn.MAXIFS(Base!$A$3:$A$5001,Base!$B$3:$B$5001,F$127,Base!$A$3:$A$5001,"&gt;="&amp;$C$7,Base!$A$3:$A$5001,"&lt;="&amp;$B130,Base!$W$3:$W$5001,"&lt;&gt;"))))</f>
        <v>6</v>
      </c>
      <c r="G130" t="str">
        <f>IF($A130&gt;$B$9,"",IF(COUNTIFS(Base!$B$3:$B$5001,G$127,Base!$A$3:$A$5001,"&gt;="&amp;$C$7,Base!$A$3:$A$5001,"&lt;="&amp;$B130,Base!$W$3:$W$5001,"&lt;&gt;")=0,"",SUMIFS(Base!$W$3:$W$5001,Base!$B$3:$B$5001,G$127,Base!$A$3:$A$5001,_xlfn.MAXIFS(Base!$A$3:$A$5001,Base!$B$3:$B$5001,G$127,Base!$A$3:$A$5001,"&gt;="&amp;$C$7,Base!$A$3:$A$5001,"&lt;="&amp;$B130,Base!$W$3:$W$5001,"&lt;&gt;"))))</f>
        <v/>
      </c>
      <c r="H130" t="str">
        <f>IF($A130&gt;$B$9,"",IF(COUNTIFS(Base!$B$3:$B$5001,H$127,Base!$A$3:$A$5001,"&gt;="&amp;$C$7,Base!$A$3:$A$5001,"&lt;="&amp;$B130,Base!$W$3:$W$5001,"&lt;&gt;")=0,"",SUMIFS(Base!$W$3:$W$5001,Base!$B$3:$B$5001,H$127,Base!$A$3:$A$5001,_xlfn.MAXIFS(Base!$A$3:$A$5001,Base!$B$3:$B$5001,H$127,Base!$A$3:$A$5001,"&gt;="&amp;$C$7,Base!$A$3:$A$5001,"&lt;="&amp;$B130,Base!$W$3:$W$5001,"&lt;&gt;"))))</f>
        <v/>
      </c>
      <c r="I130">
        <f>IF($A130&gt;$B$9,"",IF(COUNTIFS(Base!$B$3:$B$5001,I$127,Base!$A$3:$A$5001,"&gt;="&amp;$C$7,Base!$A$3:$A$5001,"&lt;="&amp;$B130,Base!$W$3:$W$5001,"&lt;&gt;")=0,"",SUMIFS(Base!$W$3:$W$5001,Base!$B$3:$B$5001,I$127,Base!$A$3:$A$5001,_xlfn.MAXIFS(Base!$A$3:$A$5001,Base!$B$3:$B$5001,I$127,Base!$A$3:$A$5001,"&gt;="&amp;$C$7,Base!$A$3:$A$5001,"&lt;="&amp;$B130,Base!$W$3:$W$5001,"&lt;&gt;"))))</f>
        <v>7</v>
      </c>
      <c r="J130">
        <f>IF($A130&gt;$B$9,"",IF(COUNTIFS(Base!$B$3:$B$5001,J$127,Base!$A$3:$A$5001,"&gt;="&amp;$C$7,Base!$A$3:$A$5001,"&lt;="&amp;$B130,Base!$W$3:$W$5001,"&lt;&gt;")=0,"",SUMIFS(Base!$W$3:$W$5001,Base!$B$3:$B$5001,J$127,Base!$A$3:$A$5001,_xlfn.MAXIFS(Base!$A$3:$A$5001,Base!$B$3:$B$5001,J$127,Base!$A$3:$A$5001,"&gt;="&amp;$C$7,Base!$A$3:$A$5001,"&lt;="&amp;$B130,Base!$W$3:$W$5001,"&lt;&gt;"))))</f>
        <v>1</v>
      </c>
      <c r="K130">
        <f>IF($A130&gt;$B$9,"",IF(COUNTIFS(Base!$B$3:$B$5001,K$127,Base!$A$3:$A$5001,"&gt;="&amp;$C$7,Base!$A$3:$A$5001,"&lt;="&amp;$B130,Base!$W$3:$W$5001,"&lt;&gt;")=0,"",SUMIFS(Base!$W$3:$W$5001,Base!$B$3:$B$5001,K$127,Base!$A$3:$A$5001,_xlfn.MAXIFS(Base!$A$3:$A$5001,Base!$B$3:$B$5001,K$127,Base!$A$3:$A$5001,"&gt;="&amp;$C$7,Base!$A$3:$A$5001,"&lt;="&amp;$B130,Base!$W$3:$W$5001,"&lt;&gt;"))))</f>
        <v>12</v>
      </c>
    </row>
    <row r="131">
      <c r="A131">
        <v>4</v>
      </c>
      <c r="B131" s="152">
        <f>$B$15</f>
        <v>46269</v>
      </c>
      <c r="C131">
        <f>IF($A131&gt;$B$9,"",IF(COUNTIFS(Base!$B$3:$B$5001,C$127,Base!$A$3:$A$5001,"&gt;="&amp;$C$7,Base!$A$3:$A$5001,"&lt;="&amp;$B131,Base!$W$3:$W$5001,"&lt;&gt;")=0,"",SUMIFS(Base!$W$3:$W$5001,Base!$B$3:$B$5001,C$127,Base!$A$3:$A$5001,_xlfn.MAXIFS(Base!$A$3:$A$5001,Base!$B$3:$B$5001,C$127,Base!$A$3:$A$5001,"&gt;="&amp;$C$7,Base!$A$3:$A$5001,"&lt;="&amp;$B131,Base!$W$3:$W$5001,"&lt;&gt;"))))</f>
        <v>1</v>
      </c>
      <c r="D131">
        <f>IF($A131&gt;$B$9,"",IF(COUNTIFS(Base!$B$3:$B$5001,D$127,Base!$A$3:$A$5001,"&gt;="&amp;$C$7,Base!$A$3:$A$5001,"&lt;="&amp;$B131,Base!$W$3:$W$5001,"&lt;&gt;")=0,"",SUMIFS(Base!$W$3:$W$5001,Base!$B$3:$B$5001,D$127,Base!$A$3:$A$5001,_xlfn.MAXIFS(Base!$A$3:$A$5001,Base!$B$3:$B$5001,D$127,Base!$A$3:$A$5001,"&gt;="&amp;$C$7,Base!$A$3:$A$5001,"&lt;="&amp;$B131,Base!$W$3:$W$5001,"&lt;&gt;"))))</f>
        <v>0</v>
      </c>
      <c r="E131">
        <f>IF($A131&gt;$B$9,"",IF(COUNTIFS(Base!$B$3:$B$5001,E$127,Base!$A$3:$A$5001,"&gt;="&amp;$C$7,Base!$A$3:$A$5001,"&lt;="&amp;$B131,Base!$W$3:$W$5001,"&lt;&gt;")=0,"",SUMIFS(Base!$W$3:$W$5001,Base!$B$3:$B$5001,E$127,Base!$A$3:$A$5001,_xlfn.MAXIFS(Base!$A$3:$A$5001,Base!$B$3:$B$5001,E$127,Base!$A$3:$A$5001,"&gt;="&amp;$C$7,Base!$A$3:$A$5001,"&lt;="&amp;$B131,Base!$W$3:$W$5001,"&lt;&gt;"))))</f>
        <v>14</v>
      </c>
      <c r="F131">
        <f>IF($A131&gt;$B$9,"",IF(COUNTIFS(Base!$B$3:$B$5001,F$127,Base!$A$3:$A$5001,"&gt;="&amp;$C$7,Base!$A$3:$A$5001,"&lt;="&amp;$B131,Base!$W$3:$W$5001,"&lt;&gt;")=0,"",SUMIFS(Base!$W$3:$W$5001,Base!$B$3:$B$5001,F$127,Base!$A$3:$A$5001,_xlfn.MAXIFS(Base!$A$3:$A$5001,Base!$B$3:$B$5001,F$127,Base!$A$3:$A$5001,"&gt;="&amp;$C$7,Base!$A$3:$A$5001,"&lt;="&amp;$B131,Base!$W$3:$W$5001,"&lt;&gt;"))))</f>
        <v>6</v>
      </c>
      <c r="G131" t="str">
        <f>IF($A131&gt;$B$9,"",IF(COUNTIFS(Base!$B$3:$B$5001,G$127,Base!$A$3:$A$5001,"&gt;="&amp;$C$7,Base!$A$3:$A$5001,"&lt;="&amp;$B131,Base!$W$3:$W$5001,"&lt;&gt;")=0,"",SUMIFS(Base!$W$3:$W$5001,Base!$B$3:$B$5001,G$127,Base!$A$3:$A$5001,_xlfn.MAXIFS(Base!$A$3:$A$5001,Base!$B$3:$B$5001,G$127,Base!$A$3:$A$5001,"&gt;="&amp;$C$7,Base!$A$3:$A$5001,"&lt;="&amp;$B131,Base!$W$3:$W$5001,"&lt;&gt;"))))</f>
        <v/>
      </c>
      <c r="H131">
        <f>IF($A131&gt;$B$9,"",IF(COUNTIFS(Base!$B$3:$B$5001,H$127,Base!$A$3:$A$5001,"&gt;="&amp;$C$7,Base!$A$3:$A$5001,"&lt;="&amp;$B131,Base!$W$3:$W$5001,"&lt;&gt;")=0,"",SUMIFS(Base!$W$3:$W$5001,Base!$B$3:$B$5001,H$127,Base!$A$3:$A$5001,_xlfn.MAXIFS(Base!$A$3:$A$5001,Base!$B$3:$B$5001,H$127,Base!$A$3:$A$5001,"&gt;="&amp;$C$7,Base!$A$3:$A$5001,"&lt;="&amp;$B131,Base!$W$3:$W$5001,"&lt;&gt;"))))</f>
        <v>6</v>
      </c>
      <c r="I131">
        <f>IF($A131&gt;$B$9,"",IF(COUNTIFS(Base!$B$3:$B$5001,I$127,Base!$A$3:$A$5001,"&gt;="&amp;$C$7,Base!$A$3:$A$5001,"&lt;="&amp;$B131,Base!$W$3:$W$5001,"&lt;&gt;")=0,"",SUMIFS(Base!$W$3:$W$5001,Base!$B$3:$B$5001,I$127,Base!$A$3:$A$5001,_xlfn.MAXIFS(Base!$A$3:$A$5001,Base!$B$3:$B$5001,I$127,Base!$A$3:$A$5001,"&gt;="&amp;$C$7,Base!$A$3:$A$5001,"&lt;="&amp;$B131,Base!$W$3:$W$5001,"&lt;&gt;"))))</f>
        <v>7</v>
      </c>
      <c r="J131">
        <f>IF($A131&gt;$B$9,"",IF(COUNTIFS(Base!$B$3:$B$5001,J$127,Base!$A$3:$A$5001,"&gt;="&amp;$C$7,Base!$A$3:$A$5001,"&lt;="&amp;$B131,Base!$W$3:$W$5001,"&lt;&gt;")=0,"",SUMIFS(Base!$W$3:$W$5001,Base!$B$3:$B$5001,J$127,Base!$A$3:$A$5001,_xlfn.MAXIFS(Base!$A$3:$A$5001,Base!$B$3:$B$5001,J$127,Base!$A$3:$A$5001,"&gt;="&amp;$C$7,Base!$A$3:$A$5001,"&lt;="&amp;$B131,Base!$W$3:$W$5001,"&lt;&gt;"))))</f>
        <v>1</v>
      </c>
      <c r="K131">
        <f>IF($A131&gt;$B$9,"",IF(COUNTIFS(Base!$B$3:$B$5001,K$127,Base!$A$3:$A$5001,"&gt;="&amp;$C$7,Base!$A$3:$A$5001,"&lt;="&amp;$B131,Base!$W$3:$W$5001,"&lt;&gt;")=0,"",SUMIFS(Base!$W$3:$W$5001,Base!$B$3:$B$5001,K$127,Base!$A$3:$A$5001,_xlfn.MAXIFS(Base!$A$3:$A$5001,Base!$B$3:$B$5001,K$127,Base!$A$3:$A$5001,"&gt;="&amp;$C$7,Base!$A$3:$A$5001,"&lt;="&amp;$B131,Base!$W$3:$W$5001,"&lt;&gt;"))))</f>
        <v>12</v>
      </c>
    </row>
    <row r="132">
      <c r="A132">
        <v>5</v>
      </c>
      <c r="B132" s="152">
        <f>$B$16</f>
        <v>46270</v>
      </c>
      <c r="C132">
        <f>IF($A132&gt;$B$9,"",IF(COUNTIFS(Base!$B$3:$B$5001,C$127,Base!$A$3:$A$5001,"&gt;="&amp;$C$7,Base!$A$3:$A$5001,"&lt;="&amp;$B132,Base!$W$3:$W$5001,"&lt;&gt;")=0,"",SUMIFS(Base!$W$3:$W$5001,Base!$B$3:$B$5001,C$127,Base!$A$3:$A$5001,_xlfn.MAXIFS(Base!$A$3:$A$5001,Base!$B$3:$B$5001,C$127,Base!$A$3:$A$5001,"&gt;="&amp;$C$7,Base!$A$3:$A$5001,"&lt;="&amp;$B132,Base!$W$3:$W$5001,"&lt;&gt;"))))</f>
        <v>1</v>
      </c>
      <c r="D132">
        <f>IF($A132&gt;$B$9,"",IF(COUNTIFS(Base!$B$3:$B$5001,D$127,Base!$A$3:$A$5001,"&gt;="&amp;$C$7,Base!$A$3:$A$5001,"&lt;="&amp;$B132,Base!$W$3:$W$5001,"&lt;&gt;")=0,"",SUMIFS(Base!$W$3:$W$5001,Base!$B$3:$B$5001,D$127,Base!$A$3:$A$5001,_xlfn.MAXIFS(Base!$A$3:$A$5001,Base!$B$3:$B$5001,D$127,Base!$A$3:$A$5001,"&gt;="&amp;$C$7,Base!$A$3:$A$5001,"&lt;="&amp;$B132,Base!$W$3:$W$5001,"&lt;&gt;"))))</f>
        <v>0</v>
      </c>
      <c r="E132">
        <f>IF($A132&gt;$B$9,"",IF(COUNTIFS(Base!$B$3:$B$5001,E$127,Base!$A$3:$A$5001,"&gt;="&amp;$C$7,Base!$A$3:$A$5001,"&lt;="&amp;$B132,Base!$W$3:$W$5001,"&lt;&gt;")=0,"",SUMIFS(Base!$W$3:$W$5001,Base!$B$3:$B$5001,E$127,Base!$A$3:$A$5001,_xlfn.MAXIFS(Base!$A$3:$A$5001,Base!$B$3:$B$5001,E$127,Base!$A$3:$A$5001,"&gt;="&amp;$C$7,Base!$A$3:$A$5001,"&lt;="&amp;$B132,Base!$W$3:$W$5001,"&lt;&gt;"))))</f>
        <v>14</v>
      </c>
      <c r="F132">
        <f>IF($A132&gt;$B$9,"",IF(COUNTIFS(Base!$B$3:$B$5001,F$127,Base!$A$3:$A$5001,"&gt;="&amp;$C$7,Base!$A$3:$A$5001,"&lt;="&amp;$B132,Base!$W$3:$W$5001,"&lt;&gt;")=0,"",SUMIFS(Base!$W$3:$W$5001,Base!$B$3:$B$5001,F$127,Base!$A$3:$A$5001,_xlfn.MAXIFS(Base!$A$3:$A$5001,Base!$B$3:$B$5001,F$127,Base!$A$3:$A$5001,"&gt;="&amp;$C$7,Base!$A$3:$A$5001,"&lt;="&amp;$B132,Base!$W$3:$W$5001,"&lt;&gt;"))))</f>
        <v>6</v>
      </c>
      <c r="G132" t="str">
        <f>IF($A132&gt;$B$9,"",IF(COUNTIFS(Base!$B$3:$B$5001,G$127,Base!$A$3:$A$5001,"&gt;="&amp;$C$7,Base!$A$3:$A$5001,"&lt;="&amp;$B132,Base!$W$3:$W$5001,"&lt;&gt;")=0,"",SUMIFS(Base!$W$3:$W$5001,Base!$B$3:$B$5001,G$127,Base!$A$3:$A$5001,_xlfn.MAXIFS(Base!$A$3:$A$5001,Base!$B$3:$B$5001,G$127,Base!$A$3:$A$5001,"&gt;="&amp;$C$7,Base!$A$3:$A$5001,"&lt;="&amp;$B132,Base!$W$3:$W$5001,"&lt;&gt;"))))</f>
        <v/>
      </c>
      <c r="H132">
        <f>IF($A132&gt;$B$9,"",IF(COUNTIFS(Base!$B$3:$B$5001,H$127,Base!$A$3:$A$5001,"&gt;="&amp;$C$7,Base!$A$3:$A$5001,"&lt;="&amp;$B132,Base!$W$3:$W$5001,"&lt;&gt;")=0,"",SUMIFS(Base!$W$3:$W$5001,Base!$B$3:$B$5001,H$127,Base!$A$3:$A$5001,_xlfn.MAXIFS(Base!$A$3:$A$5001,Base!$B$3:$B$5001,H$127,Base!$A$3:$A$5001,"&gt;="&amp;$C$7,Base!$A$3:$A$5001,"&lt;="&amp;$B132,Base!$W$3:$W$5001,"&lt;&gt;"))))</f>
        <v>6</v>
      </c>
      <c r="I132">
        <f>IF($A132&gt;$B$9,"",IF(COUNTIFS(Base!$B$3:$B$5001,I$127,Base!$A$3:$A$5001,"&gt;="&amp;$C$7,Base!$A$3:$A$5001,"&lt;="&amp;$B132,Base!$W$3:$W$5001,"&lt;&gt;")=0,"",SUMIFS(Base!$W$3:$W$5001,Base!$B$3:$B$5001,I$127,Base!$A$3:$A$5001,_xlfn.MAXIFS(Base!$A$3:$A$5001,Base!$B$3:$B$5001,I$127,Base!$A$3:$A$5001,"&gt;="&amp;$C$7,Base!$A$3:$A$5001,"&lt;="&amp;$B132,Base!$W$3:$W$5001,"&lt;&gt;"))))</f>
        <v>9</v>
      </c>
      <c r="J132">
        <f>IF($A132&gt;$B$9,"",IF(COUNTIFS(Base!$B$3:$B$5001,J$127,Base!$A$3:$A$5001,"&gt;="&amp;$C$7,Base!$A$3:$A$5001,"&lt;="&amp;$B132,Base!$W$3:$W$5001,"&lt;&gt;")=0,"",SUMIFS(Base!$W$3:$W$5001,Base!$B$3:$B$5001,J$127,Base!$A$3:$A$5001,_xlfn.MAXIFS(Base!$A$3:$A$5001,Base!$B$3:$B$5001,J$127,Base!$A$3:$A$5001,"&gt;="&amp;$C$7,Base!$A$3:$A$5001,"&lt;="&amp;$B132,Base!$W$3:$W$5001,"&lt;&gt;"))))</f>
        <v>1</v>
      </c>
      <c r="K132">
        <f>IF($A132&gt;$B$9,"",IF(COUNTIFS(Base!$B$3:$B$5001,K$127,Base!$A$3:$A$5001,"&gt;="&amp;$C$7,Base!$A$3:$A$5001,"&lt;="&amp;$B132,Base!$W$3:$W$5001,"&lt;&gt;")=0,"",SUMIFS(Base!$W$3:$W$5001,Base!$B$3:$B$5001,K$127,Base!$A$3:$A$5001,_xlfn.MAXIFS(Base!$A$3:$A$5001,Base!$B$3:$B$5001,K$127,Base!$A$3:$A$5001,"&gt;="&amp;$C$7,Base!$A$3:$A$5001,"&lt;="&amp;$B132,Base!$W$3:$W$5001,"&lt;&gt;"))))</f>
        <v>12</v>
      </c>
    </row>
    <row r="133">
      <c r="A133">
        <v>6</v>
      </c>
      <c r="B133" s="152">
        <f>$B$17</f>
        <v>46271</v>
      </c>
      <c r="C133">
        <f>IF($A133&gt;$B$9,"",IF(COUNTIFS(Base!$B$3:$B$5001,C$127,Base!$A$3:$A$5001,"&gt;="&amp;$C$7,Base!$A$3:$A$5001,"&lt;="&amp;$B133,Base!$W$3:$W$5001,"&lt;&gt;")=0,"",SUMIFS(Base!$W$3:$W$5001,Base!$B$3:$B$5001,C$127,Base!$A$3:$A$5001,_xlfn.MAXIFS(Base!$A$3:$A$5001,Base!$B$3:$B$5001,C$127,Base!$A$3:$A$5001,"&gt;="&amp;$C$7,Base!$A$3:$A$5001,"&lt;="&amp;$B133,Base!$W$3:$W$5001,"&lt;&gt;"))))</f>
        <v>1</v>
      </c>
      <c r="D133">
        <f>IF($A133&gt;$B$9,"",IF(COUNTIFS(Base!$B$3:$B$5001,D$127,Base!$A$3:$A$5001,"&gt;="&amp;$C$7,Base!$A$3:$A$5001,"&lt;="&amp;$B133,Base!$W$3:$W$5001,"&lt;&gt;")=0,"",SUMIFS(Base!$W$3:$W$5001,Base!$B$3:$B$5001,D$127,Base!$A$3:$A$5001,_xlfn.MAXIFS(Base!$A$3:$A$5001,Base!$B$3:$B$5001,D$127,Base!$A$3:$A$5001,"&gt;="&amp;$C$7,Base!$A$3:$A$5001,"&lt;="&amp;$B133,Base!$W$3:$W$5001,"&lt;&gt;"))))</f>
        <v>0</v>
      </c>
      <c r="E133">
        <f>IF($A133&gt;$B$9,"",IF(COUNTIFS(Base!$B$3:$B$5001,E$127,Base!$A$3:$A$5001,"&gt;="&amp;$C$7,Base!$A$3:$A$5001,"&lt;="&amp;$B133,Base!$W$3:$W$5001,"&lt;&gt;")=0,"",SUMIFS(Base!$W$3:$W$5001,Base!$B$3:$B$5001,E$127,Base!$A$3:$A$5001,_xlfn.MAXIFS(Base!$A$3:$A$5001,Base!$B$3:$B$5001,E$127,Base!$A$3:$A$5001,"&gt;="&amp;$C$7,Base!$A$3:$A$5001,"&lt;="&amp;$B133,Base!$W$3:$W$5001,"&lt;&gt;"))))</f>
        <v>14</v>
      </c>
      <c r="F133">
        <f>IF($A133&gt;$B$9,"",IF(COUNTIFS(Base!$B$3:$B$5001,F$127,Base!$A$3:$A$5001,"&gt;="&amp;$C$7,Base!$A$3:$A$5001,"&lt;="&amp;$B133,Base!$W$3:$W$5001,"&lt;&gt;")=0,"",SUMIFS(Base!$W$3:$W$5001,Base!$B$3:$B$5001,F$127,Base!$A$3:$A$5001,_xlfn.MAXIFS(Base!$A$3:$A$5001,Base!$B$3:$B$5001,F$127,Base!$A$3:$A$5001,"&gt;="&amp;$C$7,Base!$A$3:$A$5001,"&lt;="&amp;$B133,Base!$W$3:$W$5001,"&lt;&gt;"))))</f>
        <v>6</v>
      </c>
      <c r="G133" t="str">
        <f>IF($A133&gt;$B$9,"",IF(COUNTIFS(Base!$B$3:$B$5001,G$127,Base!$A$3:$A$5001,"&gt;="&amp;$C$7,Base!$A$3:$A$5001,"&lt;="&amp;$B133,Base!$W$3:$W$5001,"&lt;&gt;")=0,"",SUMIFS(Base!$W$3:$W$5001,Base!$B$3:$B$5001,G$127,Base!$A$3:$A$5001,_xlfn.MAXIFS(Base!$A$3:$A$5001,Base!$B$3:$B$5001,G$127,Base!$A$3:$A$5001,"&gt;="&amp;$C$7,Base!$A$3:$A$5001,"&lt;="&amp;$B133,Base!$W$3:$W$5001,"&lt;&gt;"))))</f>
        <v/>
      </c>
      <c r="H133">
        <f>IF($A133&gt;$B$9,"",IF(COUNTIFS(Base!$B$3:$B$5001,H$127,Base!$A$3:$A$5001,"&gt;="&amp;$C$7,Base!$A$3:$A$5001,"&lt;="&amp;$B133,Base!$W$3:$W$5001,"&lt;&gt;")=0,"",SUMIFS(Base!$W$3:$W$5001,Base!$B$3:$B$5001,H$127,Base!$A$3:$A$5001,_xlfn.MAXIFS(Base!$A$3:$A$5001,Base!$B$3:$B$5001,H$127,Base!$A$3:$A$5001,"&gt;="&amp;$C$7,Base!$A$3:$A$5001,"&lt;="&amp;$B133,Base!$W$3:$W$5001,"&lt;&gt;"))))</f>
        <v>6</v>
      </c>
      <c r="I133">
        <f>IF($A133&gt;$B$9,"",IF(COUNTIFS(Base!$B$3:$B$5001,I$127,Base!$A$3:$A$5001,"&gt;="&amp;$C$7,Base!$A$3:$A$5001,"&lt;="&amp;$B133,Base!$W$3:$W$5001,"&lt;&gt;")=0,"",SUMIFS(Base!$W$3:$W$5001,Base!$B$3:$B$5001,I$127,Base!$A$3:$A$5001,_xlfn.MAXIFS(Base!$A$3:$A$5001,Base!$B$3:$B$5001,I$127,Base!$A$3:$A$5001,"&gt;="&amp;$C$7,Base!$A$3:$A$5001,"&lt;="&amp;$B133,Base!$W$3:$W$5001,"&lt;&gt;"))))</f>
        <v>9</v>
      </c>
      <c r="J133">
        <f>IF($A133&gt;$B$9,"",IF(COUNTIFS(Base!$B$3:$B$5001,J$127,Base!$A$3:$A$5001,"&gt;="&amp;$C$7,Base!$A$3:$A$5001,"&lt;="&amp;$B133,Base!$W$3:$W$5001,"&lt;&gt;")=0,"",SUMIFS(Base!$W$3:$W$5001,Base!$B$3:$B$5001,J$127,Base!$A$3:$A$5001,_xlfn.MAXIFS(Base!$A$3:$A$5001,Base!$B$3:$B$5001,J$127,Base!$A$3:$A$5001,"&gt;="&amp;$C$7,Base!$A$3:$A$5001,"&lt;="&amp;$B133,Base!$W$3:$W$5001,"&lt;&gt;"))))</f>
        <v>1</v>
      </c>
      <c r="K133">
        <f>IF($A133&gt;$B$9,"",IF(COUNTIFS(Base!$B$3:$B$5001,K$127,Base!$A$3:$A$5001,"&gt;="&amp;$C$7,Base!$A$3:$A$5001,"&lt;="&amp;$B133,Base!$W$3:$W$5001,"&lt;&gt;")=0,"",SUMIFS(Base!$W$3:$W$5001,Base!$B$3:$B$5001,K$127,Base!$A$3:$A$5001,_xlfn.MAXIFS(Base!$A$3:$A$5001,Base!$B$3:$B$5001,K$127,Base!$A$3:$A$5001,"&gt;="&amp;$C$7,Base!$A$3:$A$5001,"&lt;="&amp;$B133,Base!$W$3:$W$5001,"&lt;&gt;"))))</f>
        <v>12</v>
      </c>
    </row>
    <row r="134">
      <c r="A134">
        <v>7</v>
      </c>
      <c r="B134" s="152">
        <f>$B$18</f>
        <v>46272</v>
      </c>
      <c r="C134">
        <f>IF($A134&gt;$B$9,"",IF(COUNTIFS(Base!$B$3:$B$5001,C$127,Base!$A$3:$A$5001,"&gt;="&amp;$C$7,Base!$A$3:$A$5001,"&lt;="&amp;$B134,Base!$W$3:$W$5001,"&lt;&gt;")=0,"",SUMIFS(Base!$W$3:$W$5001,Base!$B$3:$B$5001,C$127,Base!$A$3:$A$5001,_xlfn.MAXIFS(Base!$A$3:$A$5001,Base!$B$3:$B$5001,C$127,Base!$A$3:$A$5001,"&gt;="&amp;$C$7,Base!$A$3:$A$5001,"&lt;="&amp;$B134,Base!$W$3:$W$5001,"&lt;&gt;"))))</f>
        <v>14</v>
      </c>
      <c r="D134">
        <f>IF($A134&gt;$B$9,"",IF(COUNTIFS(Base!$B$3:$B$5001,D$127,Base!$A$3:$A$5001,"&gt;="&amp;$C$7,Base!$A$3:$A$5001,"&lt;="&amp;$B134,Base!$W$3:$W$5001,"&lt;&gt;")=0,"",SUMIFS(Base!$W$3:$W$5001,Base!$B$3:$B$5001,D$127,Base!$A$3:$A$5001,_xlfn.MAXIFS(Base!$A$3:$A$5001,Base!$B$3:$B$5001,D$127,Base!$A$3:$A$5001,"&gt;="&amp;$C$7,Base!$A$3:$A$5001,"&lt;="&amp;$B134,Base!$W$3:$W$5001,"&lt;&gt;"))))</f>
        <v>0</v>
      </c>
      <c r="E134">
        <f>IF($A134&gt;$B$9,"",IF(COUNTIFS(Base!$B$3:$B$5001,E$127,Base!$A$3:$A$5001,"&gt;="&amp;$C$7,Base!$A$3:$A$5001,"&lt;="&amp;$B134,Base!$W$3:$W$5001,"&lt;&gt;")=0,"",SUMIFS(Base!$W$3:$W$5001,Base!$B$3:$B$5001,E$127,Base!$A$3:$A$5001,_xlfn.MAXIFS(Base!$A$3:$A$5001,Base!$B$3:$B$5001,E$127,Base!$A$3:$A$5001,"&gt;="&amp;$C$7,Base!$A$3:$A$5001,"&lt;="&amp;$B134,Base!$W$3:$W$5001,"&lt;&gt;"))))</f>
        <v>14</v>
      </c>
      <c r="F134">
        <f>IF($A134&gt;$B$9,"",IF(COUNTIFS(Base!$B$3:$B$5001,F$127,Base!$A$3:$A$5001,"&gt;="&amp;$C$7,Base!$A$3:$A$5001,"&lt;="&amp;$B134,Base!$W$3:$W$5001,"&lt;&gt;")=0,"",SUMIFS(Base!$W$3:$W$5001,Base!$B$3:$B$5001,F$127,Base!$A$3:$A$5001,_xlfn.MAXIFS(Base!$A$3:$A$5001,Base!$B$3:$B$5001,F$127,Base!$A$3:$A$5001,"&gt;="&amp;$C$7,Base!$A$3:$A$5001,"&lt;="&amp;$B134,Base!$W$3:$W$5001,"&lt;&gt;"))))</f>
        <v>6</v>
      </c>
      <c r="G134" t="str">
        <f>IF($A134&gt;$B$9,"",IF(COUNTIFS(Base!$B$3:$B$5001,G$127,Base!$A$3:$A$5001,"&gt;="&amp;$C$7,Base!$A$3:$A$5001,"&lt;="&amp;$B134,Base!$W$3:$W$5001,"&lt;&gt;")=0,"",SUMIFS(Base!$W$3:$W$5001,Base!$B$3:$B$5001,G$127,Base!$A$3:$A$5001,_xlfn.MAXIFS(Base!$A$3:$A$5001,Base!$B$3:$B$5001,G$127,Base!$A$3:$A$5001,"&gt;="&amp;$C$7,Base!$A$3:$A$5001,"&lt;="&amp;$B134,Base!$W$3:$W$5001,"&lt;&gt;"))))</f>
        <v/>
      </c>
      <c r="H134">
        <f>IF($A134&gt;$B$9,"",IF(COUNTIFS(Base!$B$3:$B$5001,H$127,Base!$A$3:$A$5001,"&gt;="&amp;$C$7,Base!$A$3:$A$5001,"&lt;="&amp;$B134,Base!$W$3:$W$5001,"&lt;&gt;")=0,"",SUMIFS(Base!$W$3:$W$5001,Base!$B$3:$B$5001,H$127,Base!$A$3:$A$5001,_xlfn.MAXIFS(Base!$A$3:$A$5001,Base!$B$3:$B$5001,H$127,Base!$A$3:$A$5001,"&gt;="&amp;$C$7,Base!$A$3:$A$5001,"&lt;="&amp;$B134,Base!$W$3:$W$5001,"&lt;&gt;"))))</f>
        <v>6</v>
      </c>
      <c r="I134">
        <f>IF($A134&gt;$B$9,"",IF(COUNTIFS(Base!$B$3:$B$5001,I$127,Base!$A$3:$A$5001,"&gt;="&amp;$C$7,Base!$A$3:$A$5001,"&lt;="&amp;$B134,Base!$W$3:$W$5001,"&lt;&gt;")=0,"",SUMIFS(Base!$W$3:$W$5001,Base!$B$3:$B$5001,I$127,Base!$A$3:$A$5001,_xlfn.MAXIFS(Base!$A$3:$A$5001,Base!$B$3:$B$5001,I$127,Base!$A$3:$A$5001,"&gt;="&amp;$C$7,Base!$A$3:$A$5001,"&lt;="&amp;$B134,Base!$W$3:$W$5001,"&lt;&gt;"))))</f>
        <v>15</v>
      </c>
      <c r="J134">
        <f>IF($A134&gt;$B$9,"",IF(COUNTIFS(Base!$B$3:$B$5001,J$127,Base!$A$3:$A$5001,"&gt;="&amp;$C$7,Base!$A$3:$A$5001,"&lt;="&amp;$B134,Base!$W$3:$W$5001,"&lt;&gt;")=0,"",SUMIFS(Base!$W$3:$W$5001,Base!$B$3:$B$5001,J$127,Base!$A$3:$A$5001,_xlfn.MAXIFS(Base!$A$3:$A$5001,Base!$B$3:$B$5001,J$127,Base!$A$3:$A$5001,"&gt;="&amp;$C$7,Base!$A$3:$A$5001,"&lt;="&amp;$B134,Base!$W$3:$W$5001,"&lt;&gt;"))))</f>
        <v>1</v>
      </c>
      <c r="K134">
        <f>IF($A134&gt;$B$9,"",IF(COUNTIFS(Base!$B$3:$B$5001,K$127,Base!$A$3:$A$5001,"&gt;="&amp;$C$7,Base!$A$3:$A$5001,"&lt;="&amp;$B134,Base!$W$3:$W$5001,"&lt;&gt;")=0,"",SUMIFS(Base!$W$3:$W$5001,Base!$B$3:$B$5001,K$127,Base!$A$3:$A$5001,_xlfn.MAXIFS(Base!$A$3:$A$5001,Base!$B$3:$B$5001,K$127,Base!$A$3:$A$5001,"&gt;="&amp;$C$7,Base!$A$3:$A$5001,"&lt;="&amp;$B134,Base!$W$3:$W$5001,"&lt;&gt;"))))</f>
        <v>10</v>
      </c>
    </row>
    <row r="135">
      <c r="A135">
        <v>8</v>
      </c>
      <c r="B135" s="152">
        <f>$B$19</f>
        <v>46273</v>
      </c>
      <c r="C135">
        <f>IF($A135&gt;$B$9,"",IF(COUNTIFS(Base!$B$3:$B$5001,C$127,Base!$A$3:$A$5001,"&gt;="&amp;$C$7,Base!$A$3:$A$5001,"&lt;="&amp;$B135,Base!$W$3:$W$5001,"&lt;&gt;")=0,"",SUMIFS(Base!$W$3:$W$5001,Base!$B$3:$B$5001,C$127,Base!$A$3:$A$5001,_xlfn.MAXIFS(Base!$A$3:$A$5001,Base!$B$3:$B$5001,C$127,Base!$A$3:$A$5001,"&gt;="&amp;$C$7,Base!$A$3:$A$5001,"&lt;="&amp;$B135,Base!$W$3:$W$5001,"&lt;&gt;"))))</f>
        <v>13</v>
      </c>
      <c r="D135">
        <f>IF($A135&gt;$B$9,"",IF(COUNTIFS(Base!$B$3:$B$5001,D$127,Base!$A$3:$A$5001,"&gt;="&amp;$C$7,Base!$A$3:$A$5001,"&lt;="&amp;$B135,Base!$W$3:$W$5001,"&lt;&gt;")=0,"",SUMIFS(Base!$W$3:$W$5001,Base!$B$3:$B$5001,D$127,Base!$A$3:$A$5001,_xlfn.MAXIFS(Base!$A$3:$A$5001,Base!$B$3:$B$5001,D$127,Base!$A$3:$A$5001,"&gt;="&amp;$C$7,Base!$A$3:$A$5001,"&lt;="&amp;$B135,Base!$W$3:$W$5001,"&lt;&gt;"))))</f>
        <v>0</v>
      </c>
      <c r="E135">
        <f>IF($A135&gt;$B$9,"",IF(COUNTIFS(Base!$B$3:$B$5001,E$127,Base!$A$3:$A$5001,"&gt;="&amp;$C$7,Base!$A$3:$A$5001,"&lt;="&amp;$B135,Base!$W$3:$W$5001,"&lt;&gt;")=0,"",SUMIFS(Base!$W$3:$W$5001,Base!$B$3:$B$5001,E$127,Base!$A$3:$A$5001,_xlfn.MAXIFS(Base!$A$3:$A$5001,Base!$B$3:$B$5001,E$127,Base!$A$3:$A$5001,"&gt;="&amp;$C$7,Base!$A$3:$A$5001,"&lt;="&amp;$B135,Base!$W$3:$W$5001,"&lt;&gt;"))))</f>
        <v>14</v>
      </c>
      <c r="F135">
        <f>IF($A135&gt;$B$9,"",IF(COUNTIFS(Base!$B$3:$B$5001,F$127,Base!$A$3:$A$5001,"&gt;="&amp;$C$7,Base!$A$3:$A$5001,"&lt;="&amp;$B135,Base!$W$3:$W$5001,"&lt;&gt;")=0,"",SUMIFS(Base!$W$3:$W$5001,Base!$B$3:$B$5001,F$127,Base!$A$3:$A$5001,_xlfn.MAXIFS(Base!$A$3:$A$5001,Base!$B$3:$B$5001,F$127,Base!$A$3:$A$5001,"&gt;="&amp;$C$7,Base!$A$3:$A$5001,"&lt;="&amp;$B135,Base!$W$3:$W$5001,"&lt;&gt;"))))</f>
        <v>13</v>
      </c>
      <c r="G135" t="str">
        <f>IF($A135&gt;$B$9,"",IF(COUNTIFS(Base!$B$3:$B$5001,G$127,Base!$A$3:$A$5001,"&gt;="&amp;$C$7,Base!$A$3:$A$5001,"&lt;="&amp;$B135,Base!$W$3:$W$5001,"&lt;&gt;")=0,"",SUMIFS(Base!$W$3:$W$5001,Base!$B$3:$B$5001,G$127,Base!$A$3:$A$5001,_xlfn.MAXIFS(Base!$A$3:$A$5001,Base!$B$3:$B$5001,G$127,Base!$A$3:$A$5001,"&gt;="&amp;$C$7,Base!$A$3:$A$5001,"&lt;="&amp;$B135,Base!$W$3:$W$5001,"&lt;&gt;"))))</f>
        <v/>
      </c>
      <c r="H135">
        <f>IF($A135&gt;$B$9,"",IF(COUNTIFS(Base!$B$3:$B$5001,H$127,Base!$A$3:$A$5001,"&gt;="&amp;$C$7,Base!$A$3:$A$5001,"&lt;="&amp;$B135,Base!$W$3:$W$5001,"&lt;&gt;")=0,"",SUMIFS(Base!$W$3:$W$5001,Base!$B$3:$B$5001,H$127,Base!$A$3:$A$5001,_xlfn.MAXIFS(Base!$A$3:$A$5001,Base!$B$3:$B$5001,H$127,Base!$A$3:$A$5001,"&gt;="&amp;$C$7,Base!$A$3:$A$5001,"&lt;="&amp;$B135,Base!$W$3:$W$5001,"&lt;&gt;"))))</f>
        <v>6</v>
      </c>
      <c r="I135">
        <f>IF($A135&gt;$B$9,"",IF(COUNTIFS(Base!$B$3:$B$5001,I$127,Base!$A$3:$A$5001,"&gt;="&amp;$C$7,Base!$A$3:$A$5001,"&lt;="&amp;$B135,Base!$W$3:$W$5001,"&lt;&gt;")=0,"",SUMIFS(Base!$W$3:$W$5001,Base!$B$3:$B$5001,I$127,Base!$A$3:$A$5001,_xlfn.MAXIFS(Base!$A$3:$A$5001,Base!$B$3:$B$5001,I$127,Base!$A$3:$A$5001,"&gt;="&amp;$C$7,Base!$A$3:$A$5001,"&lt;="&amp;$B135,Base!$W$3:$W$5001,"&lt;&gt;"))))</f>
        <v>15</v>
      </c>
      <c r="J135">
        <f>IF($A135&gt;$B$9,"",IF(COUNTIFS(Base!$B$3:$B$5001,J$127,Base!$A$3:$A$5001,"&gt;="&amp;$C$7,Base!$A$3:$A$5001,"&lt;="&amp;$B135,Base!$W$3:$W$5001,"&lt;&gt;")=0,"",SUMIFS(Base!$W$3:$W$5001,Base!$B$3:$B$5001,J$127,Base!$A$3:$A$5001,_xlfn.MAXIFS(Base!$A$3:$A$5001,Base!$B$3:$B$5001,J$127,Base!$A$3:$A$5001,"&gt;="&amp;$C$7,Base!$A$3:$A$5001,"&lt;="&amp;$B135,Base!$W$3:$W$5001,"&lt;&gt;"))))</f>
        <v>5</v>
      </c>
      <c r="K135">
        <f>IF($A135&gt;$B$9,"",IF(COUNTIFS(Base!$B$3:$B$5001,K$127,Base!$A$3:$A$5001,"&gt;="&amp;$C$7,Base!$A$3:$A$5001,"&lt;="&amp;$B135,Base!$W$3:$W$5001,"&lt;&gt;")=0,"",SUMIFS(Base!$W$3:$W$5001,Base!$B$3:$B$5001,K$127,Base!$A$3:$A$5001,_xlfn.MAXIFS(Base!$A$3:$A$5001,Base!$B$3:$B$5001,K$127,Base!$A$3:$A$5001,"&gt;="&amp;$C$7,Base!$A$3:$A$5001,"&lt;="&amp;$B135,Base!$W$3:$W$5001,"&lt;&gt;"))))</f>
        <v>10</v>
      </c>
    </row>
    <row r="136">
      <c r="A136">
        <v>9</v>
      </c>
      <c r="B136" s="152">
        <f>$B$20</f>
        <v>46274</v>
      </c>
      <c r="C136">
        <f>IF($A136&gt;$B$9,"",IF(COUNTIFS(Base!$B$3:$B$5001,C$127,Base!$A$3:$A$5001,"&gt;="&amp;$C$7,Base!$A$3:$A$5001,"&lt;="&amp;$B136,Base!$W$3:$W$5001,"&lt;&gt;")=0,"",SUMIFS(Base!$W$3:$W$5001,Base!$B$3:$B$5001,C$127,Base!$A$3:$A$5001,_xlfn.MAXIFS(Base!$A$3:$A$5001,Base!$B$3:$B$5001,C$127,Base!$A$3:$A$5001,"&gt;="&amp;$C$7,Base!$A$3:$A$5001,"&lt;="&amp;$B136,Base!$W$3:$W$5001,"&lt;&gt;"))))</f>
        <v>13</v>
      </c>
      <c r="D136">
        <f>IF($A136&gt;$B$9,"",IF(COUNTIFS(Base!$B$3:$B$5001,D$127,Base!$A$3:$A$5001,"&gt;="&amp;$C$7,Base!$A$3:$A$5001,"&lt;="&amp;$B136,Base!$W$3:$W$5001,"&lt;&gt;")=0,"",SUMIFS(Base!$W$3:$W$5001,Base!$B$3:$B$5001,D$127,Base!$A$3:$A$5001,_xlfn.MAXIFS(Base!$A$3:$A$5001,Base!$B$3:$B$5001,D$127,Base!$A$3:$A$5001,"&gt;="&amp;$C$7,Base!$A$3:$A$5001,"&lt;="&amp;$B136,Base!$W$3:$W$5001,"&lt;&gt;"))))</f>
        <v>0</v>
      </c>
      <c r="E136">
        <f>IF($A136&gt;$B$9,"",IF(COUNTIFS(Base!$B$3:$B$5001,E$127,Base!$A$3:$A$5001,"&gt;="&amp;$C$7,Base!$A$3:$A$5001,"&lt;="&amp;$B136,Base!$W$3:$W$5001,"&lt;&gt;")=0,"",SUMIFS(Base!$W$3:$W$5001,Base!$B$3:$B$5001,E$127,Base!$A$3:$A$5001,_xlfn.MAXIFS(Base!$A$3:$A$5001,Base!$B$3:$B$5001,E$127,Base!$A$3:$A$5001,"&gt;="&amp;$C$7,Base!$A$3:$A$5001,"&lt;="&amp;$B136,Base!$W$3:$W$5001,"&lt;&gt;"))))</f>
        <v>14</v>
      </c>
      <c r="F136">
        <f>IF($A136&gt;$B$9,"",IF(COUNTIFS(Base!$B$3:$B$5001,F$127,Base!$A$3:$A$5001,"&gt;="&amp;$C$7,Base!$A$3:$A$5001,"&lt;="&amp;$B136,Base!$W$3:$W$5001,"&lt;&gt;")=0,"",SUMIFS(Base!$W$3:$W$5001,Base!$B$3:$B$5001,F$127,Base!$A$3:$A$5001,_xlfn.MAXIFS(Base!$A$3:$A$5001,Base!$B$3:$B$5001,F$127,Base!$A$3:$A$5001,"&gt;="&amp;$C$7,Base!$A$3:$A$5001,"&lt;="&amp;$B136,Base!$W$3:$W$5001,"&lt;&gt;"))))</f>
        <v>14</v>
      </c>
      <c r="G136">
        <f>IF($A136&gt;$B$9,"",IF(COUNTIFS(Base!$B$3:$B$5001,G$127,Base!$A$3:$A$5001,"&gt;="&amp;$C$7,Base!$A$3:$A$5001,"&lt;="&amp;$B136,Base!$W$3:$W$5001,"&lt;&gt;")=0,"",SUMIFS(Base!$W$3:$W$5001,Base!$B$3:$B$5001,G$127,Base!$A$3:$A$5001,_xlfn.MAXIFS(Base!$A$3:$A$5001,Base!$B$3:$B$5001,G$127,Base!$A$3:$A$5001,"&gt;="&amp;$C$7,Base!$A$3:$A$5001,"&lt;="&amp;$B136,Base!$W$3:$W$5001,"&lt;&gt;"))))</f>
        <v>3</v>
      </c>
      <c r="H136">
        <f>IF($A136&gt;$B$9,"",IF(COUNTIFS(Base!$B$3:$B$5001,H$127,Base!$A$3:$A$5001,"&gt;="&amp;$C$7,Base!$A$3:$A$5001,"&lt;="&amp;$B136,Base!$W$3:$W$5001,"&lt;&gt;")=0,"",SUMIFS(Base!$W$3:$W$5001,Base!$B$3:$B$5001,H$127,Base!$A$3:$A$5001,_xlfn.MAXIFS(Base!$A$3:$A$5001,Base!$B$3:$B$5001,H$127,Base!$A$3:$A$5001,"&gt;="&amp;$C$7,Base!$A$3:$A$5001,"&lt;="&amp;$B136,Base!$W$3:$W$5001,"&lt;&gt;"))))</f>
        <v>6</v>
      </c>
      <c r="I136">
        <f>IF($A136&gt;$B$9,"",IF(COUNTIFS(Base!$B$3:$B$5001,I$127,Base!$A$3:$A$5001,"&gt;="&amp;$C$7,Base!$A$3:$A$5001,"&lt;="&amp;$B136,Base!$W$3:$W$5001,"&lt;&gt;")=0,"",SUMIFS(Base!$W$3:$W$5001,Base!$B$3:$B$5001,I$127,Base!$A$3:$A$5001,_xlfn.MAXIFS(Base!$A$3:$A$5001,Base!$B$3:$B$5001,I$127,Base!$A$3:$A$5001,"&gt;="&amp;$C$7,Base!$A$3:$A$5001,"&lt;="&amp;$B136,Base!$W$3:$W$5001,"&lt;&gt;"))))</f>
        <v>15</v>
      </c>
      <c r="J136">
        <f>IF($A136&gt;$B$9,"",IF(COUNTIFS(Base!$B$3:$B$5001,J$127,Base!$A$3:$A$5001,"&gt;="&amp;$C$7,Base!$A$3:$A$5001,"&lt;="&amp;$B136,Base!$W$3:$W$5001,"&lt;&gt;")=0,"",SUMIFS(Base!$W$3:$W$5001,Base!$B$3:$B$5001,J$127,Base!$A$3:$A$5001,_xlfn.MAXIFS(Base!$A$3:$A$5001,Base!$B$3:$B$5001,J$127,Base!$A$3:$A$5001,"&gt;="&amp;$C$7,Base!$A$3:$A$5001,"&lt;="&amp;$B136,Base!$W$3:$W$5001,"&lt;&gt;"))))</f>
        <v>1</v>
      </c>
      <c r="K136">
        <f>IF($A136&gt;$B$9,"",IF(COUNTIFS(Base!$B$3:$B$5001,K$127,Base!$A$3:$A$5001,"&gt;="&amp;$C$7,Base!$A$3:$A$5001,"&lt;="&amp;$B136,Base!$W$3:$W$5001,"&lt;&gt;")=0,"",SUMIFS(Base!$W$3:$W$5001,Base!$B$3:$B$5001,K$127,Base!$A$3:$A$5001,_xlfn.MAXIFS(Base!$A$3:$A$5001,Base!$B$3:$B$5001,K$127,Base!$A$3:$A$5001,"&gt;="&amp;$C$7,Base!$A$3:$A$5001,"&lt;="&amp;$B136,Base!$W$3:$W$5001,"&lt;&gt;"))))</f>
        <v>10</v>
      </c>
    </row>
    <row r="137">
      <c r="A137">
        <v>10</v>
      </c>
      <c r="B137" s="152">
        <f>$B$21</f>
        <v>46275</v>
      </c>
      <c r="C137">
        <f>IF($A137&gt;$B$9,"",IF(COUNTIFS(Base!$B$3:$B$5001,C$127,Base!$A$3:$A$5001,"&gt;="&amp;$C$7,Base!$A$3:$A$5001,"&lt;="&amp;$B137,Base!$W$3:$W$5001,"&lt;&gt;")=0,"",SUMIFS(Base!$W$3:$W$5001,Base!$B$3:$B$5001,C$127,Base!$A$3:$A$5001,_xlfn.MAXIFS(Base!$A$3:$A$5001,Base!$B$3:$B$5001,C$127,Base!$A$3:$A$5001,"&gt;="&amp;$C$7,Base!$A$3:$A$5001,"&lt;="&amp;$B137,Base!$W$3:$W$5001,"&lt;&gt;"))))</f>
        <v>4</v>
      </c>
      <c r="D137">
        <f>IF($A137&gt;$B$9,"",IF(COUNTIFS(Base!$B$3:$B$5001,D$127,Base!$A$3:$A$5001,"&gt;="&amp;$C$7,Base!$A$3:$A$5001,"&lt;="&amp;$B137,Base!$W$3:$W$5001,"&lt;&gt;")=0,"",SUMIFS(Base!$W$3:$W$5001,Base!$B$3:$B$5001,D$127,Base!$A$3:$A$5001,_xlfn.MAXIFS(Base!$A$3:$A$5001,Base!$B$3:$B$5001,D$127,Base!$A$3:$A$5001,"&gt;="&amp;$C$7,Base!$A$3:$A$5001,"&lt;="&amp;$B137,Base!$W$3:$W$5001,"&lt;&gt;"))))</f>
        <v>0</v>
      </c>
      <c r="E137">
        <f>IF($A137&gt;$B$9,"",IF(COUNTIFS(Base!$B$3:$B$5001,E$127,Base!$A$3:$A$5001,"&gt;="&amp;$C$7,Base!$A$3:$A$5001,"&lt;="&amp;$B137,Base!$W$3:$W$5001,"&lt;&gt;")=0,"",SUMIFS(Base!$W$3:$W$5001,Base!$B$3:$B$5001,E$127,Base!$A$3:$A$5001,_xlfn.MAXIFS(Base!$A$3:$A$5001,Base!$B$3:$B$5001,E$127,Base!$A$3:$A$5001,"&gt;="&amp;$C$7,Base!$A$3:$A$5001,"&lt;="&amp;$B137,Base!$W$3:$W$5001,"&lt;&gt;"))))</f>
        <v>14</v>
      </c>
      <c r="F137">
        <f>IF($A137&gt;$B$9,"",IF(COUNTIFS(Base!$B$3:$B$5001,F$127,Base!$A$3:$A$5001,"&gt;="&amp;$C$7,Base!$A$3:$A$5001,"&lt;="&amp;$B137,Base!$W$3:$W$5001,"&lt;&gt;")=0,"",SUMIFS(Base!$W$3:$W$5001,Base!$B$3:$B$5001,F$127,Base!$A$3:$A$5001,_xlfn.MAXIFS(Base!$A$3:$A$5001,Base!$B$3:$B$5001,F$127,Base!$A$3:$A$5001,"&gt;="&amp;$C$7,Base!$A$3:$A$5001,"&lt;="&amp;$B137,Base!$W$3:$W$5001,"&lt;&gt;"))))</f>
        <v>14</v>
      </c>
      <c r="G137">
        <f>IF($A137&gt;$B$9,"",IF(COUNTIFS(Base!$B$3:$B$5001,G$127,Base!$A$3:$A$5001,"&gt;="&amp;$C$7,Base!$A$3:$A$5001,"&lt;="&amp;$B137,Base!$W$3:$W$5001,"&lt;&gt;")=0,"",SUMIFS(Base!$W$3:$W$5001,Base!$B$3:$B$5001,G$127,Base!$A$3:$A$5001,_xlfn.MAXIFS(Base!$A$3:$A$5001,Base!$B$3:$B$5001,G$127,Base!$A$3:$A$5001,"&gt;="&amp;$C$7,Base!$A$3:$A$5001,"&lt;="&amp;$B137,Base!$W$3:$W$5001,"&lt;&gt;"))))</f>
        <v>3</v>
      </c>
      <c r="H137">
        <f>IF($A137&gt;$B$9,"",IF(COUNTIFS(Base!$B$3:$B$5001,H$127,Base!$A$3:$A$5001,"&gt;="&amp;$C$7,Base!$A$3:$A$5001,"&lt;="&amp;$B137,Base!$W$3:$W$5001,"&lt;&gt;")=0,"",SUMIFS(Base!$W$3:$W$5001,Base!$B$3:$B$5001,H$127,Base!$A$3:$A$5001,_xlfn.MAXIFS(Base!$A$3:$A$5001,Base!$B$3:$B$5001,H$127,Base!$A$3:$A$5001,"&gt;="&amp;$C$7,Base!$A$3:$A$5001,"&lt;="&amp;$B137,Base!$W$3:$W$5001,"&lt;&gt;"))))</f>
        <v>3</v>
      </c>
      <c r="I137">
        <f>IF($A137&gt;$B$9,"",IF(COUNTIFS(Base!$B$3:$B$5001,I$127,Base!$A$3:$A$5001,"&gt;="&amp;$C$7,Base!$A$3:$A$5001,"&lt;="&amp;$B137,Base!$W$3:$W$5001,"&lt;&gt;")=0,"",SUMIFS(Base!$W$3:$W$5001,Base!$B$3:$B$5001,I$127,Base!$A$3:$A$5001,_xlfn.MAXIFS(Base!$A$3:$A$5001,Base!$B$3:$B$5001,I$127,Base!$A$3:$A$5001,"&gt;="&amp;$C$7,Base!$A$3:$A$5001,"&lt;="&amp;$B137,Base!$W$3:$W$5001,"&lt;&gt;"))))</f>
        <v>15</v>
      </c>
      <c r="J137">
        <f>IF($A137&gt;$B$9,"",IF(COUNTIFS(Base!$B$3:$B$5001,J$127,Base!$A$3:$A$5001,"&gt;="&amp;$C$7,Base!$A$3:$A$5001,"&lt;="&amp;$B137,Base!$W$3:$W$5001,"&lt;&gt;")=0,"",SUMIFS(Base!$W$3:$W$5001,Base!$B$3:$B$5001,J$127,Base!$A$3:$A$5001,_xlfn.MAXIFS(Base!$A$3:$A$5001,Base!$B$3:$B$5001,J$127,Base!$A$3:$A$5001,"&gt;="&amp;$C$7,Base!$A$3:$A$5001,"&lt;="&amp;$B137,Base!$W$3:$W$5001,"&lt;&gt;"))))</f>
        <v>1</v>
      </c>
      <c r="K137">
        <f>IF($A137&gt;$B$9,"",IF(COUNTIFS(Base!$B$3:$B$5001,K$127,Base!$A$3:$A$5001,"&gt;="&amp;$C$7,Base!$A$3:$A$5001,"&lt;="&amp;$B137,Base!$W$3:$W$5001,"&lt;&gt;")=0,"",SUMIFS(Base!$W$3:$W$5001,Base!$B$3:$B$5001,K$127,Base!$A$3:$A$5001,_xlfn.MAXIFS(Base!$A$3:$A$5001,Base!$B$3:$B$5001,K$127,Base!$A$3:$A$5001,"&gt;="&amp;$C$7,Base!$A$3:$A$5001,"&lt;="&amp;$B137,Base!$W$3:$W$5001,"&lt;&gt;"))))</f>
        <v>4</v>
      </c>
    </row>
    <row r="138">
      <c r="A138">
        <v>11</v>
      </c>
      <c r="B138" s="152">
        <f>$B$22</f>
        <v>46276</v>
      </c>
      <c r="C138">
        <f>IF($A138&gt;$B$9,"",IF(COUNTIFS(Base!$B$3:$B$5001,C$127,Base!$A$3:$A$5001,"&gt;="&amp;$C$7,Base!$A$3:$A$5001,"&lt;="&amp;$B138,Base!$W$3:$W$5001,"&lt;&gt;")=0,"",SUMIFS(Base!$W$3:$W$5001,Base!$B$3:$B$5001,C$127,Base!$A$3:$A$5001,_xlfn.MAXIFS(Base!$A$3:$A$5001,Base!$B$3:$B$5001,C$127,Base!$A$3:$A$5001,"&gt;="&amp;$C$7,Base!$A$3:$A$5001,"&lt;="&amp;$B138,Base!$W$3:$W$5001,"&lt;&gt;"))))</f>
        <v>4</v>
      </c>
      <c r="D138">
        <f>IF($A138&gt;$B$9,"",IF(COUNTIFS(Base!$B$3:$B$5001,D$127,Base!$A$3:$A$5001,"&gt;="&amp;$C$7,Base!$A$3:$A$5001,"&lt;="&amp;$B138,Base!$W$3:$W$5001,"&lt;&gt;")=0,"",SUMIFS(Base!$W$3:$W$5001,Base!$B$3:$B$5001,D$127,Base!$A$3:$A$5001,_xlfn.MAXIFS(Base!$A$3:$A$5001,Base!$B$3:$B$5001,D$127,Base!$A$3:$A$5001,"&gt;="&amp;$C$7,Base!$A$3:$A$5001,"&lt;="&amp;$B138,Base!$W$3:$W$5001,"&lt;&gt;"))))</f>
        <v>0</v>
      </c>
      <c r="E138">
        <f>IF($A138&gt;$B$9,"",IF(COUNTIFS(Base!$B$3:$B$5001,E$127,Base!$A$3:$A$5001,"&gt;="&amp;$C$7,Base!$A$3:$A$5001,"&lt;="&amp;$B138,Base!$W$3:$W$5001,"&lt;&gt;")=0,"",SUMIFS(Base!$W$3:$W$5001,Base!$B$3:$B$5001,E$127,Base!$A$3:$A$5001,_xlfn.MAXIFS(Base!$A$3:$A$5001,Base!$B$3:$B$5001,E$127,Base!$A$3:$A$5001,"&gt;="&amp;$C$7,Base!$A$3:$A$5001,"&lt;="&amp;$B138,Base!$W$3:$W$5001,"&lt;&gt;"))))</f>
        <v>14</v>
      </c>
      <c r="F138">
        <f>IF($A138&gt;$B$9,"",IF(COUNTIFS(Base!$B$3:$B$5001,F$127,Base!$A$3:$A$5001,"&gt;="&amp;$C$7,Base!$A$3:$A$5001,"&lt;="&amp;$B138,Base!$W$3:$W$5001,"&lt;&gt;")=0,"",SUMIFS(Base!$W$3:$W$5001,Base!$B$3:$B$5001,F$127,Base!$A$3:$A$5001,_xlfn.MAXIFS(Base!$A$3:$A$5001,Base!$B$3:$B$5001,F$127,Base!$A$3:$A$5001,"&gt;="&amp;$C$7,Base!$A$3:$A$5001,"&lt;="&amp;$B138,Base!$W$3:$W$5001,"&lt;&gt;"))))</f>
        <v>14</v>
      </c>
      <c r="G138">
        <f>IF($A138&gt;$B$9,"",IF(COUNTIFS(Base!$B$3:$B$5001,G$127,Base!$A$3:$A$5001,"&gt;="&amp;$C$7,Base!$A$3:$A$5001,"&lt;="&amp;$B138,Base!$W$3:$W$5001,"&lt;&gt;")=0,"",SUMIFS(Base!$W$3:$W$5001,Base!$B$3:$B$5001,G$127,Base!$A$3:$A$5001,_xlfn.MAXIFS(Base!$A$3:$A$5001,Base!$B$3:$B$5001,G$127,Base!$A$3:$A$5001,"&gt;="&amp;$C$7,Base!$A$3:$A$5001,"&lt;="&amp;$B138,Base!$W$3:$W$5001,"&lt;&gt;"))))</f>
        <v>3</v>
      </c>
      <c r="H138">
        <f>IF($A138&gt;$B$9,"",IF(COUNTIFS(Base!$B$3:$B$5001,H$127,Base!$A$3:$A$5001,"&gt;="&amp;$C$7,Base!$A$3:$A$5001,"&lt;="&amp;$B138,Base!$W$3:$W$5001,"&lt;&gt;")=0,"",SUMIFS(Base!$W$3:$W$5001,Base!$B$3:$B$5001,H$127,Base!$A$3:$A$5001,_xlfn.MAXIFS(Base!$A$3:$A$5001,Base!$B$3:$B$5001,H$127,Base!$A$3:$A$5001,"&gt;="&amp;$C$7,Base!$A$3:$A$5001,"&lt;="&amp;$B138,Base!$W$3:$W$5001,"&lt;&gt;"))))</f>
        <v>3</v>
      </c>
      <c r="I138">
        <f>IF($A138&gt;$B$9,"",IF(COUNTIFS(Base!$B$3:$B$5001,I$127,Base!$A$3:$A$5001,"&gt;="&amp;$C$7,Base!$A$3:$A$5001,"&lt;="&amp;$B138,Base!$W$3:$W$5001,"&lt;&gt;")=0,"",SUMIFS(Base!$W$3:$W$5001,Base!$B$3:$B$5001,I$127,Base!$A$3:$A$5001,_xlfn.MAXIFS(Base!$A$3:$A$5001,Base!$B$3:$B$5001,I$127,Base!$A$3:$A$5001,"&gt;="&amp;$C$7,Base!$A$3:$A$5001,"&lt;="&amp;$B138,Base!$W$3:$W$5001,"&lt;&gt;"))))</f>
        <v>15</v>
      </c>
      <c r="J138">
        <f>IF($A138&gt;$B$9,"",IF(COUNTIFS(Base!$B$3:$B$5001,J$127,Base!$A$3:$A$5001,"&gt;="&amp;$C$7,Base!$A$3:$A$5001,"&lt;="&amp;$B138,Base!$W$3:$W$5001,"&lt;&gt;")=0,"",SUMIFS(Base!$W$3:$W$5001,Base!$B$3:$B$5001,J$127,Base!$A$3:$A$5001,_xlfn.MAXIFS(Base!$A$3:$A$5001,Base!$B$3:$B$5001,J$127,Base!$A$3:$A$5001,"&gt;="&amp;$C$7,Base!$A$3:$A$5001,"&lt;="&amp;$B138,Base!$W$3:$W$5001,"&lt;&gt;"))))</f>
        <v>1</v>
      </c>
      <c r="K138">
        <f>IF($A138&gt;$B$9,"",IF(COUNTIFS(Base!$B$3:$B$5001,K$127,Base!$A$3:$A$5001,"&gt;="&amp;$C$7,Base!$A$3:$A$5001,"&lt;="&amp;$B138,Base!$W$3:$W$5001,"&lt;&gt;")=0,"",SUMIFS(Base!$W$3:$W$5001,Base!$B$3:$B$5001,K$127,Base!$A$3:$A$5001,_xlfn.MAXIFS(Base!$A$3:$A$5001,Base!$B$3:$B$5001,K$127,Base!$A$3:$A$5001,"&gt;="&amp;$C$7,Base!$A$3:$A$5001,"&lt;="&amp;$B138,Base!$W$3:$W$5001,"&lt;&gt;"))))</f>
        <v>4</v>
      </c>
    </row>
    <row r="139">
      <c r="A139">
        <v>12</v>
      </c>
      <c r="B139" s="152">
        <f>$B$23</f>
        <v>46277</v>
      </c>
      <c r="C139">
        <f>IF($A139&gt;$B$9,"",IF(COUNTIFS(Base!$B$3:$B$5001,C$127,Base!$A$3:$A$5001,"&gt;="&amp;$C$7,Base!$A$3:$A$5001,"&lt;="&amp;$B139,Base!$W$3:$W$5001,"&lt;&gt;")=0,"",SUMIFS(Base!$W$3:$W$5001,Base!$B$3:$B$5001,C$127,Base!$A$3:$A$5001,_xlfn.MAXIFS(Base!$A$3:$A$5001,Base!$B$3:$B$5001,C$127,Base!$A$3:$A$5001,"&gt;="&amp;$C$7,Base!$A$3:$A$5001,"&lt;="&amp;$B139,Base!$W$3:$W$5001,"&lt;&gt;"))))</f>
        <v>4</v>
      </c>
      <c r="D139">
        <f>IF($A139&gt;$B$9,"",IF(COUNTIFS(Base!$B$3:$B$5001,D$127,Base!$A$3:$A$5001,"&gt;="&amp;$C$7,Base!$A$3:$A$5001,"&lt;="&amp;$B139,Base!$W$3:$W$5001,"&lt;&gt;")=0,"",SUMIFS(Base!$W$3:$W$5001,Base!$B$3:$B$5001,D$127,Base!$A$3:$A$5001,_xlfn.MAXIFS(Base!$A$3:$A$5001,Base!$B$3:$B$5001,D$127,Base!$A$3:$A$5001,"&gt;="&amp;$C$7,Base!$A$3:$A$5001,"&lt;="&amp;$B139,Base!$W$3:$W$5001,"&lt;&gt;"))))</f>
        <v>0</v>
      </c>
      <c r="E139">
        <f>IF($A139&gt;$B$9,"",IF(COUNTIFS(Base!$B$3:$B$5001,E$127,Base!$A$3:$A$5001,"&gt;="&amp;$C$7,Base!$A$3:$A$5001,"&lt;="&amp;$B139,Base!$W$3:$W$5001,"&lt;&gt;")=0,"",SUMIFS(Base!$W$3:$W$5001,Base!$B$3:$B$5001,E$127,Base!$A$3:$A$5001,_xlfn.MAXIFS(Base!$A$3:$A$5001,Base!$B$3:$B$5001,E$127,Base!$A$3:$A$5001,"&gt;="&amp;$C$7,Base!$A$3:$A$5001,"&lt;="&amp;$B139,Base!$W$3:$W$5001,"&lt;&gt;"))))</f>
        <v>14</v>
      </c>
      <c r="F139">
        <f>IF($A139&gt;$B$9,"",IF(COUNTIFS(Base!$B$3:$B$5001,F$127,Base!$A$3:$A$5001,"&gt;="&amp;$C$7,Base!$A$3:$A$5001,"&lt;="&amp;$B139,Base!$W$3:$W$5001,"&lt;&gt;")=0,"",SUMIFS(Base!$W$3:$W$5001,Base!$B$3:$B$5001,F$127,Base!$A$3:$A$5001,_xlfn.MAXIFS(Base!$A$3:$A$5001,Base!$B$3:$B$5001,F$127,Base!$A$3:$A$5001,"&gt;="&amp;$C$7,Base!$A$3:$A$5001,"&lt;="&amp;$B139,Base!$W$3:$W$5001,"&lt;&gt;"))))</f>
        <v>14</v>
      </c>
      <c r="G139">
        <f>IF($A139&gt;$B$9,"",IF(COUNTIFS(Base!$B$3:$B$5001,G$127,Base!$A$3:$A$5001,"&gt;="&amp;$C$7,Base!$A$3:$A$5001,"&lt;="&amp;$B139,Base!$W$3:$W$5001,"&lt;&gt;")=0,"",SUMIFS(Base!$W$3:$W$5001,Base!$B$3:$B$5001,G$127,Base!$A$3:$A$5001,_xlfn.MAXIFS(Base!$A$3:$A$5001,Base!$B$3:$B$5001,G$127,Base!$A$3:$A$5001,"&gt;="&amp;$C$7,Base!$A$3:$A$5001,"&lt;="&amp;$B139,Base!$W$3:$W$5001,"&lt;&gt;"))))</f>
        <v>3</v>
      </c>
      <c r="H139">
        <f>IF($A139&gt;$B$9,"",IF(COUNTIFS(Base!$B$3:$B$5001,H$127,Base!$A$3:$A$5001,"&gt;="&amp;$C$7,Base!$A$3:$A$5001,"&lt;="&amp;$B139,Base!$W$3:$W$5001,"&lt;&gt;")=0,"",SUMIFS(Base!$W$3:$W$5001,Base!$B$3:$B$5001,H$127,Base!$A$3:$A$5001,_xlfn.MAXIFS(Base!$A$3:$A$5001,Base!$B$3:$B$5001,H$127,Base!$A$3:$A$5001,"&gt;="&amp;$C$7,Base!$A$3:$A$5001,"&lt;="&amp;$B139,Base!$W$3:$W$5001,"&lt;&gt;"))))</f>
        <v>3</v>
      </c>
      <c r="I139">
        <f>IF($A139&gt;$B$9,"",IF(COUNTIFS(Base!$B$3:$B$5001,I$127,Base!$A$3:$A$5001,"&gt;="&amp;$C$7,Base!$A$3:$A$5001,"&lt;="&amp;$B139,Base!$W$3:$W$5001,"&lt;&gt;")=0,"",SUMIFS(Base!$W$3:$W$5001,Base!$B$3:$B$5001,I$127,Base!$A$3:$A$5001,_xlfn.MAXIFS(Base!$A$3:$A$5001,Base!$B$3:$B$5001,I$127,Base!$A$3:$A$5001,"&gt;="&amp;$C$7,Base!$A$3:$A$5001,"&lt;="&amp;$B139,Base!$W$3:$W$5001,"&lt;&gt;"))))</f>
        <v>14</v>
      </c>
      <c r="J139">
        <f>IF($A139&gt;$B$9,"",IF(COUNTIFS(Base!$B$3:$B$5001,J$127,Base!$A$3:$A$5001,"&gt;="&amp;$C$7,Base!$A$3:$A$5001,"&lt;="&amp;$B139,Base!$W$3:$W$5001,"&lt;&gt;")=0,"",SUMIFS(Base!$W$3:$W$5001,Base!$B$3:$B$5001,J$127,Base!$A$3:$A$5001,_xlfn.MAXIFS(Base!$A$3:$A$5001,Base!$B$3:$B$5001,J$127,Base!$A$3:$A$5001,"&gt;="&amp;$C$7,Base!$A$3:$A$5001,"&lt;="&amp;$B139,Base!$W$3:$W$5001,"&lt;&gt;"))))</f>
        <v>1</v>
      </c>
      <c r="K139">
        <f>IF($A139&gt;$B$9,"",IF(COUNTIFS(Base!$B$3:$B$5001,K$127,Base!$A$3:$A$5001,"&gt;="&amp;$C$7,Base!$A$3:$A$5001,"&lt;="&amp;$B139,Base!$W$3:$W$5001,"&lt;&gt;")=0,"",SUMIFS(Base!$W$3:$W$5001,Base!$B$3:$B$5001,K$127,Base!$A$3:$A$5001,_xlfn.MAXIFS(Base!$A$3:$A$5001,Base!$B$3:$B$5001,K$127,Base!$A$3:$A$5001,"&gt;="&amp;$C$7,Base!$A$3:$A$5001,"&lt;="&amp;$B139,Base!$W$3:$W$5001,"&lt;&gt;"))))</f>
        <v>4</v>
      </c>
    </row>
    <row r="140">
      <c r="A140">
        <v>13</v>
      </c>
      <c r="B140" s="152">
        <f>$B$24</f>
        <v>46278</v>
      </c>
      <c r="C140">
        <f>IF($A140&gt;$B$9,"",IF(COUNTIFS(Base!$B$3:$B$5001,C$127,Base!$A$3:$A$5001,"&gt;="&amp;$C$7,Base!$A$3:$A$5001,"&lt;="&amp;$B140,Base!$W$3:$W$5001,"&lt;&gt;")=0,"",SUMIFS(Base!$W$3:$W$5001,Base!$B$3:$B$5001,C$127,Base!$A$3:$A$5001,_xlfn.MAXIFS(Base!$A$3:$A$5001,Base!$B$3:$B$5001,C$127,Base!$A$3:$A$5001,"&gt;="&amp;$C$7,Base!$A$3:$A$5001,"&lt;="&amp;$B140,Base!$W$3:$W$5001,"&lt;&gt;"))))</f>
        <v>4</v>
      </c>
      <c r="D140">
        <f>IF($A140&gt;$B$9,"",IF(COUNTIFS(Base!$B$3:$B$5001,D$127,Base!$A$3:$A$5001,"&gt;="&amp;$C$7,Base!$A$3:$A$5001,"&lt;="&amp;$B140,Base!$W$3:$W$5001,"&lt;&gt;")=0,"",SUMIFS(Base!$W$3:$W$5001,Base!$B$3:$B$5001,D$127,Base!$A$3:$A$5001,_xlfn.MAXIFS(Base!$A$3:$A$5001,Base!$B$3:$B$5001,D$127,Base!$A$3:$A$5001,"&gt;="&amp;$C$7,Base!$A$3:$A$5001,"&lt;="&amp;$B140,Base!$W$3:$W$5001,"&lt;&gt;"))))</f>
        <v>0</v>
      </c>
      <c r="E140">
        <f>IF($A140&gt;$B$9,"",IF(COUNTIFS(Base!$B$3:$B$5001,E$127,Base!$A$3:$A$5001,"&gt;="&amp;$C$7,Base!$A$3:$A$5001,"&lt;="&amp;$B140,Base!$W$3:$W$5001,"&lt;&gt;")=0,"",SUMIFS(Base!$W$3:$W$5001,Base!$B$3:$B$5001,E$127,Base!$A$3:$A$5001,_xlfn.MAXIFS(Base!$A$3:$A$5001,Base!$B$3:$B$5001,E$127,Base!$A$3:$A$5001,"&gt;="&amp;$C$7,Base!$A$3:$A$5001,"&lt;="&amp;$B140,Base!$W$3:$W$5001,"&lt;&gt;"))))</f>
        <v>14</v>
      </c>
      <c r="F140">
        <f>IF($A140&gt;$B$9,"",IF(COUNTIFS(Base!$B$3:$B$5001,F$127,Base!$A$3:$A$5001,"&gt;="&amp;$C$7,Base!$A$3:$A$5001,"&lt;="&amp;$B140,Base!$W$3:$W$5001,"&lt;&gt;")=0,"",SUMIFS(Base!$W$3:$W$5001,Base!$B$3:$B$5001,F$127,Base!$A$3:$A$5001,_xlfn.MAXIFS(Base!$A$3:$A$5001,Base!$B$3:$B$5001,F$127,Base!$A$3:$A$5001,"&gt;="&amp;$C$7,Base!$A$3:$A$5001,"&lt;="&amp;$B140,Base!$W$3:$W$5001,"&lt;&gt;"))))</f>
        <v>14</v>
      </c>
      <c r="G140">
        <f>IF($A140&gt;$B$9,"",IF(COUNTIFS(Base!$B$3:$B$5001,G$127,Base!$A$3:$A$5001,"&gt;="&amp;$C$7,Base!$A$3:$A$5001,"&lt;="&amp;$B140,Base!$W$3:$W$5001,"&lt;&gt;")=0,"",SUMIFS(Base!$W$3:$W$5001,Base!$B$3:$B$5001,G$127,Base!$A$3:$A$5001,_xlfn.MAXIFS(Base!$A$3:$A$5001,Base!$B$3:$B$5001,G$127,Base!$A$3:$A$5001,"&gt;="&amp;$C$7,Base!$A$3:$A$5001,"&lt;="&amp;$B140,Base!$W$3:$W$5001,"&lt;&gt;"))))</f>
        <v>3</v>
      </c>
      <c r="H140">
        <f>IF($A140&gt;$B$9,"",IF(COUNTIFS(Base!$B$3:$B$5001,H$127,Base!$A$3:$A$5001,"&gt;="&amp;$C$7,Base!$A$3:$A$5001,"&lt;="&amp;$B140,Base!$W$3:$W$5001,"&lt;&gt;")=0,"",SUMIFS(Base!$W$3:$W$5001,Base!$B$3:$B$5001,H$127,Base!$A$3:$A$5001,_xlfn.MAXIFS(Base!$A$3:$A$5001,Base!$B$3:$B$5001,H$127,Base!$A$3:$A$5001,"&gt;="&amp;$C$7,Base!$A$3:$A$5001,"&lt;="&amp;$B140,Base!$W$3:$W$5001,"&lt;&gt;"))))</f>
        <v>3</v>
      </c>
      <c r="I140">
        <f>IF($A140&gt;$B$9,"",IF(COUNTIFS(Base!$B$3:$B$5001,I$127,Base!$A$3:$A$5001,"&gt;="&amp;$C$7,Base!$A$3:$A$5001,"&lt;="&amp;$B140,Base!$W$3:$W$5001,"&lt;&gt;")=0,"",SUMIFS(Base!$W$3:$W$5001,Base!$B$3:$B$5001,I$127,Base!$A$3:$A$5001,_xlfn.MAXIFS(Base!$A$3:$A$5001,Base!$B$3:$B$5001,I$127,Base!$A$3:$A$5001,"&gt;="&amp;$C$7,Base!$A$3:$A$5001,"&lt;="&amp;$B140,Base!$W$3:$W$5001,"&lt;&gt;"))))</f>
        <v>14</v>
      </c>
      <c r="J140">
        <f>IF($A140&gt;$B$9,"",IF(COUNTIFS(Base!$B$3:$B$5001,J$127,Base!$A$3:$A$5001,"&gt;="&amp;$C$7,Base!$A$3:$A$5001,"&lt;="&amp;$B140,Base!$W$3:$W$5001,"&lt;&gt;")=0,"",SUMIFS(Base!$W$3:$W$5001,Base!$B$3:$B$5001,J$127,Base!$A$3:$A$5001,_xlfn.MAXIFS(Base!$A$3:$A$5001,Base!$B$3:$B$5001,J$127,Base!$A$3:$A$5001,"&gt;="&amp;$C$7,Base!$A$3:$A$5001,"&lt;="&amp;$B140,Base!$W$3:$W$5001,"&lt;&gt;"))))</f>
        <v>1</v>
      </c>
      <c r="K140">
        <f>IF($A140&gt;$B$9,"",IF(COUNTIFS(Base!$B$3:$B$5001,K$127,Base!$A$3:$A$5001,"&gt;="&amp;$C$7,Base!$A$3:$A$5001,"&lt;="&amp;$B140,Base!$W$3:$W$5001,"&lt;&gt;")=0,"",SUMIFS(Base!$W$3:$W$5001,Base!$B$3:$B$5001,K$127,Base!$A$3:$A$5001,_xlfn.MAXIFS(Base!$A$3:$A$5001,Base!$B$3:$B$5001,K$127,Base!$A$3:$A$5001,"&gt;="&amp;$C$7,Base!$A$3:$A$5001,"&lt;="&amp;$B140,Base!$W$3:$W$5001,"&lt;&gt;"))))</f>
        <v>4</v>
      </c>
    </row>
    <row r="141">
      <c r="A141">
        <v>14</v>
      </c>
      <c r="B141" s="152">
        <f>$B$25</f>
        <v>46279</v>
      </c>
      <c r="C141">
        <f>IF($A141&gt;$B$9,"",IF(COUNTIFS(Base!$B$3:$B$5001,C$127,Base!$A$3:$A$5001,"&gt;="&amp;$C$7,Base!$A$3:$A$5001,"&lt;="&amp;$B141,Base!$W$3:$W$5001,"&lt;&gt;")=0,"",SUMIFS(Base!$W$3:$W$5001,Base!$B$3:$B$5001,C$127,Base!$A$3:$A$5001,_xlfn.MAXIFS(Base!$A$3:$A$5001,Base!$B$3:$B$5001,C$127,Base!$A$3:$A$5001,"&gt;="&amp;$C$7,Base!$A$3:$A$5001,"&lt;="&amp;$B141,Base!$W$3:$W$5001,"&lt;&gt;"))))</f>
        <v>4</v>
      </c>
      <c r="D141">
        <f>IF($A141&gt;$B$9,"",IF(COUNTIFS(Base!$B$3:$B$5001,D$127,Base!$A$3:$A$5001,"&gt;="&amp;$C$7,Base!$A$3:$A$5001,"&lt;="&amp;$B141,Base!$W$3:$W$5001,"&lt;&gt;")=0,"",SUMIFS(Base!$W$3:$W$5001,Base!$B$3:$B$5001,D$127,Base!$A$3:$A$5001,_xlfn.MAXIFS(Base!$A$3:$A$5001,Base!$B$3:$B$5001,D$127,Base!$A$3:$A$5001,"&gt;="&amp;$C$7,Base!$A$3:$A$5001,"&lt;="&amp;$B141,Base!$W$3:$W$5001,"&lt;&gt;"))))</f>
        <v>0</v>
      </c>
      <c r="E141">
        <f>IF($A141&gt;$B$9,"",IF(COUNTIFS(Base!$B$3:$B$5001,E$127,Base!$A$3:$A$5001,"&gt;="&amp;$C$7,Base!$A$3:$A$5001,"&lt;="&amp;$B141,Base!$W$3:$W$5001,"&lt;&gt;")=0,"",SUMIFS(Base!$W$3:$W$5001,Base!$B$3:$B$5001,E$127,Base!$A$3:$A$5001,_xlfn.MAXIFS(Base!$A$3:$A$5001,Base!$B$3:$B$5001,E$127,Base!$A$3:$A$5001,"&gt;="&amp;$C$7,Base!$A$3:$A$5001,"&lt;="&amp;$B141,Base!$W$3:$W$5001,"&lt;&gt;"))))</f>
        <v>14</v>
      </c>
      <c r="F141">
        <f>IF($A141&gt;$B$9,"",IF(COUNTIFS(Base!$B$3:$B$5001,F$127,Base!$A$3:$A$5001,"&gt;="&amp;$C$7,Base!$A$3:$A$5001,"&lt;="&amp;$B141,Base!$W$3:$W$5001,"&lt;&gt;")=0,"",SUMIFS(Base!$W$3:$W$5001,Base!$B$3:$B$5001,F$127,Base!$A$3:$A$5001,_xlfn.MAXIFS(Base!$A$3:$A$5001,Base!$B$3:$B$5001,F$127,Base!$A$3:$A$5001,"&gt;="&amp;$C$7,Base!$A$3:$A$5001,"&lt;="&amp;$B141,Base!$W$3:$W$5001,"&lt;&gt;"))))</f>
        <v>14</v>
      </c>
      <c r="G141">
        <f>IF($A141&gt;$B$9,"",IF(COUNTIFS(Base!$B$3:$B$5001,G$127,Base!$A$3:$A$5001,"&gt;="&amp;$C$7,Base!$A$3:$A$5001,"&lt;="&amp;$B141,Base!$W$3:$W$5001,"&lt;&gt;")=0,"",SUMIFS(Base!$W$3:$W$5001,Base!$B$3:$B$5001,G$127,Base!$A$3:$A$5001,_xlfn.MAXIFS(Base!$A$3:$A$5001,Base!$B$3:$B$5001,G$127,Base!$A$3:$A$5001,"&gt;="&amp;$C$7,Base!$A$3:$A$5001,"&lt;="&amp;$B141,Base!$W$3:$W$5001,"&lt;&gt;"))))</f>
        <v>3</v>
      </c>
      <c r="H141">
        <f>IF($A141&gt;$B$9,"",IF(COUNTIFS(Base!$B$3:$B$5001,H$127,Base!$A$3:$A$5001,"&gt;="&amp;$C$7,Base!$A$3:$A$5001,"&lt;="&amp;$B141,Base!$W$3:$W$5001,"&lt;&gt;")=0,"",SUMIFS(Base!$W$3:$W$5001,Base!$B$3:$B$5001,H$127,Base!$A$3:$A$5001,_xlfn.MAXIFS(Base!$A$3:$A$5001,Base!$B$3:$B$5001,H$127,Base!$A$3:$A$5001,"&gt;="&amp;$C$7,Base!$A$3:$A$5001,"&lt;="&amp;$B141,Base!$W$3:$W$5001,"&lt;&gt;"))))</f>
        <v>3</v>
      </c>
      <c r="I141">
        <f>IF($A141&gt;$B$9,"",IF(COUNTIFS(Base!$B$3:$B$5001,I$127,Base!$A$3:$A$5001,"&gt;="&amp;$C$7,Base!$A$3:$A$5001,"&lt;="&amp;$B141,Base!$W$3:$W$5001,"&lt;&gt;")=0,"",SUMIFS(Base!$W$3:$W$5001,Base!$B$3:$B$5001,I$127,Base!$A$3:$A$5001,_xlfn.MAXIFS(Base!$A$3:$A$5001,Base!$B$3:$B$5001,I$127,Base!$A$3:$A$5001,"&gt;="&amp;$C$7,Base!$A$3:$A$5001,"&lt;="&amp;$B141,Base!$W$3:$W$5001,"&lt;&gt;"))))</f>
        <v>14</v>
      </c>
      <c r="J141">
        <f>IF($A141&gt;$B$9,"",IF(COUNTIFS(Base!$B$3:$B$5001,J$127,Base!$A$3:$A$5001,"&gt;="&amp;$C$7,Base!$A$3:$A$5001,"&lt;="&amp;$B141,Base!$W$3:$W$5001,"&lt;&gt;")=0,"",SUMIFS(Base!$W$3:$W$5001,Base!$B$3:$B$5001,J$127,Base!$A$3:$A$5001,_xlfn.MAXIFS(Base!$A$3:$A$5001,Base!$B$3:$B$5001,J$127,Base!$A$3:$A$5001,"&gt;="&amp;$C$7,Base!$A$3:$A$5001,"&lt;="&amp;$B141,Base!$W$3:$W$5001,"&lt;&gt;"))))</f>
        <v>1</v>
      </c>
      <c r="K141">
        <f>IF($A141&gt;$B$9,"",IF(COUNTIFS(Base!$B$3:$B$5001,K$127,Base!$A$3:$A$5001,"&gt;="&amp;$C$7,Base!$A$3:$A$5001,"&lt;="&amp;$B141,Base!$W$3:$W$5001,"&lt;&gt;")=0,"",SUMIFS(Base!$W$3:$W$5001,Base!$B$3:$B$5001,K$127,Base!$A$3:$A$5001,_xlfn.MAXIFS(Base!$A$3:$A$5001,Base!$B$3:$B$5001,K$127,Base!$A$3:$A$5001,"&gt;="&amp;$C$7,Base!$A$3:$A$5001,"&lt;="&amp;$B141,Base!$W$3:$W$5001,"&lt;&gt;"))))</f>
        <v>4</v>
      </c>
    </row>
    <row r="142">
      <c r="A142">
        <v>15</v>
      </c>
      <c r="B142" s="152">
        <f>$B$26</f>
        <v>46280</v>
      </c>
      <c r="C142">
        <f>IF($A142&gt;$B$9,"",IF(COUNTIFS(Base!$B$3:$B$5001,C$127,Base!$A$3:$A$5001,"&gt;="&amp;$C$7,Base!$A$3:$A$5001,"&lt;="&amp;$B142,Base!$W$3:$W$5001,"&lt;&gt;")=0,"",SUMIFS(Base!$W$3:$W$5001,Base!$B$3:$B$5001,C$127,Base!$A$3:$A$5001,_xlfn.MAXIFS(Base!$A$3:$A$5001,Base!$B$3:$B$5001,C$127,Base!$A$3:$A$5001,"&gt;="&amp;$C$7,Base!$A$3:$A$5001,"&lt;="&amp;$B142,Base!$W$3:$W$5001,"&lt;&gt;"))))</f>
        <v>4</v>
      </c>
      <c r="D142">
        <f>IF($A142&gt;$B$9,"",IF(COUNTIFS(Base!$B$3:$B$5001,D$127,Base!$A$3:$A$5001,"&gt;="&amp;$C$7,Base!$A$3:$A$5001,"&lt;="&amp;$B142,Base!$W$3:$W$5001,"&lt;&gt;")=0,"",SUMIFS(Base!$W$3:$W$5001,Base!$B$3:$B$5001,D$127,Base!$A$3:$A$5001,_xlfn.MAXIFS(Base!$A$3:$A$5001,Base!$B$3:$B$5001,D$127,Base!$A$3:$A$5001,"&gt;="&amp;$C$7,Base!$A$3:$A$5001,"&lt;="&amp;$B142,Base!$W$3:$W$5001,"&lt;&gt;"))))</f>
        <v>9</v>
      </c>
      <c r="E142">
        <f>IF($A142&gt;$B$9,"",IF(COUNTIFS(Base!$B$3:$B$5001,E$127,Base!$A$3:$A$5001,"&gt;="&amp;$C$7,Base!$A$3:$A$5001,"&lt;="&amp;$B142,Base!$W$3:$W$5001,"&lt;&gt;")=0,"",SUMIFS(Base!$W$3:$W$5001,Base!$B$3:$B$5001,E$127,Base!$A$3:$A$5001,_xlfn.MAXIFS(Base!$A$3:$A$5001,Base!$B$3:$B$5001,E$127,Base!$A$3:$A$5001,"&gt;="&amp;$C$7,Base!$A$3:$A$5001,"&lt;="&amp;$B142,Base!$W$3:$W$5001,"&lt;&gt;"))))</f>
        <v>14</v>
      </c>
      <c r="F142">
        <f>IF($A142&gt;$B$9,"",IF(COUNTIFS(Base!$B$3:$B$5001,F$127,Base!$A$3:$A$5001,"&gt;="&amp;$C$7,Base!$A$3:$A$5001,"&lt;="&amp;$B142,Base!$W$3:$W$5001,"&lt;&gt;")=0,"",SUMIFS(Base!$W$3:$W$5001,Base!$B$3:$B$5001,F$127,Base!$A$3:$A$5001,_xlfn.MAXIFS(Base!$A$3:$A$5001,Base!$B$3:$B$5001,F$127,Base!$A$3:$A$5001,"&gt;="&amp;$C$7,Base!$A$3:$A$5001,"&lt;="&amp;$B142,Base!$W$3:$W$5001,"&lt;&gt;"))))</f>
        <v>6</v>
      </c>
      <c r="G142">
        <f>IF($A142&gt;$B$9,"",IF(COUNTIFS(Base!$B$3:$B$5001,G$127,Base!$A$3:$A$5001,"&gt;="&amp;$C$7,Base!$A$3:$A$5001,"&lt;="&amp;$B142,Base!$W$3:$W$5001,"&lt;&gt;")=0,"",SUMIFS(Base!$W$3:$W$5001,Base!$B$3:$B$5001,G$127,Base!$A$3:$A$5001,_xlfn.MAXIFS(Base!$A$3:$A$5001,Base!$B$3:$B$5001,G$127,Base!$A$3:$A$5001,"&gt;="&amp;$C$7,Base!$A$3:$A$5001,"&lt;="&amp;$B142,Base!$W$3:$W$5001,"&lt;&gt;"))))</f>
        <v>3</v>
      </c>
      <c r="H142">
        <f>IF($A142&gt;$B$9,"",IF(COUNTIFS(Base!$B$3:$B$5001,H$127,Base!$A$3:$A$5001,"&gt;="&amp;$C$7,Base!$A$3:$A$5001,"&lt;="&amp;$B142,Base!$W$3:$W$5001,"&lt;&gt;")=0,"",SUMIFS(Base!$W$3:$W$5001,Base!$B$3:$B$5001,H$127,Base!$A$3:$A$5001,_xlfn.MAXIFS(Base!$A$3:$A$5001,Base!$B$3:$B$5001,H$127,Base!$A$3:$A$5001,"&gt;="&amp;$C$7,Base!$A$3:$A$5001,"&lt;="&amp;$B142,Base!$W$3:$W$5001,"&lt;&gt;"))))</f>
        <v>5</v>
      </c>
      <c r="I142">
        <f>IF($A142&gt;$B$9,"",IF(COUNTIFS(Base!$B$3:$B$5001,I$127,Base!$A$3:$A$5001,"&gt;="&amp;$C$7,Base!$A$3:$A$5001,"&lt;="&amp;$B142,Base!$W$3:$W$5001,"&lt;&gt;")=0,"",SUMIFS(Base!$W$3:$W$5001,Base!$B$3:$B$5001,I$127,Base!$A$3:$A$5001,_xlfn.MAXIFS(Base!$A$3:$A$5001,Base!$B$3:$B$5001,I$127,Base!$A$3:$A$5001,"&gt;="&amp;$C$7,Base!$A$3:$A$5001,"&lt;="&amp;$B142,Base!$W$3:$W$5001,"&lt;&gt;"))))</f>
        <v>14</v>
      </c>
      <c r="J142">
        <f>IF($A142&gt;$B$9,"",IF(COUNTIFS(Base!$B$3:$B$5001,J$127,Base!$A$3:$A$5001,"&gt;="&amp;$C$7,Base!$A$3:$A$5001,"&lt;="&amp;$B142,Base!$W$3:$W$5001,"&lt;&gt;")=0,"",SUMIFS(Base!$W$3:$W$5001,Base!$B$3:$B$5001,J$127,Base!$A$3:$A$5001,_xlfn.MAXIFS(Base!$A$3:$A$5001,Base!$B$3:$B$5001,J$127,Base!$A$3:$A$5001,"&gt;="&amp;$C$7,Base!$A$3:$A$5001,"&lt;="&amp;$B142,Base!$W$3:$W$5001,"&lt;&gt;"))))</f>
        <v>1</v>
      </c>
      <c r="K142">
        <f>IF($A142&gt;$B$9,"",IF(COUNTIFS(Base!$B$3:$B$5001,K$127,Base!$A$3:$A$5001,"&gt;="&amp;$C$7,Base!$A$3:$A$5001,"&lt;="&amp;$B142,Base!$W$3:$W$5001,"&lt;&gt;")=0,"",SUMIFS(Base!$W$3:$W$5001,Base!$B$3:$B$5001,K$127,Base!$A$3:$A$5001,_xlfn.MAXIFS(Base!$A$3:$A$5001,Base!$B$3:$B$5001,K$127,Base!$A$3:$A$5001,"&gt;="&amp;$C$7,Base!$A$3:$A$5001,"&lt;="&amp;$B142,Base!$W$3:$W$5001,"&lt;&gt;"))))</f>
        <v>14</v>
      </c>
    </row>
    <row r="143">
      <c r="A143">
        <v>16</v>
      </c>
      <c r="B143" s="152">
        <f>$B$27</f>
        <v>46281</v>
      </c>
      <c r="C143">
        <f>IF($A143&gt;$B$9,"",IF(COUNTIFS(Base!$B$3:$B$5001,C$127,Base!$A$3:$A$5001,"&gt;="&amp;$C$7,Base!$A$3:$A$5001,"&lt;="&amp;$B143,Base!$W$3:$W$5001,"&lt;&gt;")=0,"",SUMIFS(Base!$W$3:$W$5001,Base!$B$3:$B$5001,C$127,Base!$A$3:$A$5001,_xlfn.MAXIFS(Base!$A$3:$A$5001,Base!$B$3:$B$5001,C$127,Base!$A$3:$A$5001,"&gt;="&amp;$C$7,Base!$A$3:$A$5001,"&lt;="&amp;$B143,Base!$W$3:$W$5001,"&lt;&gt;"))))</f>
        <v>4</v>
      </c>
      <c r="D143">
        <f>IF($A143&gt;$B$9,"",IF(COUNTIFS(Base!$B$3:$B$5001,D$127,Base!$A$3:$A$5001,"&gt;="&amp;$C$7,Base!$A$3:$A$5001,"&lt;="&amp;$B143,Base!$W$3:$W$5001,"&lt;&gt;")=0,"",SUMIFS(Base!$W$3:$W$5001,Base!$B$3:$B$5001,D$127,Base!$A$3:$A$5001,_xlfn.MAXIFS(Base!$A$3:$A$5001,Base!$B$3:$B$5001,D$127,Base!$A$3:$A$5001,"&gt;="&amp;$C$7,Base!$A$3:$A$5001,"&lt;="&amp;$B143,Base!$W$3:$W$5001,"&lt;&gt;"))))</f>
        <v>12</v>
      </c>
      <c r="E143">
        <f>IF($A143&gt;$B$9,"",IF(COUNTIFS(Base!$B$3:$B$5001,E$127,Base!$A$3:$A$5001,"&gt;="&amp;$C$7,Base!$A$3:$A$5001,"&lt;="&amp;$B143,Base!$W$3:$W$5001,"&lt;&gt;")=0,"",SUMIFS(Base!$W$3:$W$5001,Base!$B$3:$B$5001,E$127,Base!$A$3:$A$5001,_xlfn.MAXIFS(Base!$A$3:$A$5001,Base!$B$3:$B$5001,E$127,Base!$A$3:$A$5001,"&gt;="&amp;$C$7,Base!$A$3:$A$5001,"&lt;="&amp;$B143,Base!$W$3:$W$5001,"&lt;&gt;"))))</f>
        <v>14</v>
      </c>
      <c r="F143">
        <f>IF($A143&gt;$B$9,"",IF(COUNTIFS(Base!$B$3:$B$5001,F$127,Base!$A$3:$A$5001,"&gt;="&amp;$C$7,Base!$A$3:$A$5001,"&lt;="&amp;$B143,Base!$W$3:$W$5001,"&lt;&gt;")=0,"",SUMIFS(Base!$W$3:$W$5001,Base!$B$3:$B$5001,F$127,Base!$A$3:$A$5001,_xlfn.MAXIFS(Base!$A$3:$A$5001,Base!$B$3:$B$5001,F$127,Base!$A$3:$A$5001,"&gt;="&amp;$C$7,Base!$A$3:$A$5001,"&lt;="&amp;$B143,Base!$W$3:$W$5001,"&lt;&gt;"))))</f>
        <v>6</v>
      </c>
      <c r="G143">
        <f>IF($A143&gt;$B$9,"",IF(COUNTIFS(Base!$B$3:$B$5001,G$127,Base!$A$3:$A$5001,"&gt;="&amp;$C$7,Base!$A$3:$A$5001,"&lt;="&amp;$B143,Base!$W$3:$W$5001,"&lt;&gt;")=0,"",SUMIFS(Base!$W$3:$W$5001,Base!$B$3:$B$5001,G$127,Base!$A$3:$A$5001,_xlfn.MAXIFS(Base!$A$3:$A$5001,Base!$B$3:$B$5001,G$127,Base!$A$3:$A$5001,"&gt;="&amp;$C$7,Base!$A$3:$A$5001,"&lt;="&amp;$B143,Base!$W$3:$W$5001,"&lt;&gt;"))))</f>
        <v>14</v>
      </c>
      <c r="H143">
        <f>IF($A143&gt;$B$9,"",IF(COUNTIFS(Base!$B$3:$B$5001,H$127,Base!$A$3:$A$5001,"&gt;="&amp;$C$7,Base!$A$3:$A$5001,"&lt;="&amp;$B143,Base!$W$3:$W$5001,"&lt;&gt;")=0,"",SUMIFS(Base!$W$3:$W$5001,Base!$B$3:$B$5001,H$127,Base!$A$3:$A$5001,_xlfn.MAXIFS(Base!$A$3:$A$5001,Base!$B$3:$B$5001,H$127,Base!$A$3:$A$5001,"&gt;="&amp;$C$7,Base!$A$3:$A$5001,"&lt;="&amp;$B143,Base!$W$3:$W$5001,"&lt;&gt;"))))</f>
        <v>4</v>
      </c>
      <c r="I143">
        <f>IF($A143&gt;$B$9,"",IF(COUNTIFS(Base!$B$3:$B$5001,I$127,Base!$A$3:$A$5001,"&gt;="&amp;$C$7,Base!$A$3:$A$5001,"&lt;="&amp;$B143,Base!$W$3:$W$5001,"&lt;&gt;")=0,"",SUMIFS(Base!$W$3:$W$5001,Base!$B$3:$B$5001,I$127,Base!$A$3:$A$5001,_xlfn.MAXIFS(Base!$A$3:$A$5001,Base!$B$3:$B$5001,I$127,Base!$A$3:$A$5001,"&gt;="&amp;$C$7,Base!$A$3:$A$5001,"&lt;="&amp;$B143,Base!$W$3:$W$5001,"&lt;&gt;"))))</f>
        <v>14</v>
      </c>
      <c r="J143">
        <f>IF($A143&gt;$B$9,"",IF(COUNTIFS(Base!$B$3:$B$5001,J$127,Base!$A$3:$A$5001,"&gt;="&amp;$C$7,Base!$A$3:$A$5001,"&lt;="&amp;$B143,Base!$W$3:$W$5001,"&lt;&gt;")=0,"",SUMIFS(Base!$W$3:$W$5001,Base!$B$3:$B$5001,J$127,Base!$A$3:$A$5001,_xlfn.MAXIFS(Base!$A$3:$A$5001,Base!$B$3:$B$5001,J$127,Base!$A$3:$A$5001,"&gt;="&amp;$C$7,Base!$A$3:$A$5001,"&lt;="&amp;$B143,Base!$W$3:$W$5001,"&lt;&gt;"))))</f>
        <v>1</v>
      </c>
      <c r="K143">
        <f>IF($A143&gt;$B$9,"",IF(COUNTIFS(Base!$B$3:$B$5001,K$127,Base!$A$3:$A$5001,"&gt;="&amp;$C$7,Base!$A$3:$A$5001,"&lt;="&amp;$B143,Base!$W$3:$W$5001,"&lt;&gt;")=0,"",SUMIFS(Base!$W$3:$W$5001,Base!$B$3:$B$5001,K$127,Base!$A$3:$A$5001,_xlfn.MAXIFS(Base!$A$3:$A$5001,Base!$B$3:$B$5001,K$127,Base!$A$3:$A$5001,"&gt;="&amp;$C$7,Base!$A$3:$A$5001,"&lt;="&amp;$B143,Base!$W$3:$W$5001,"&lt;&gt;"))))</f>
        <v>14</v>
      </c>
    </row>
    <row r="144">
      <c r="A144">
        <v>17</v>
      </c>
      <c r="B144" s="152">
        <f>$B$28</f>
        <v>46282</v>
      </c>
      <c r="C144">
        <f>IF($A144&gt;$B$9,"",IF(COUNTIFS(Base!$B$3:$B$5001,C$127,Base!$A$3:$A$5001,"&gt;="&amp;$C$7,Base!$A$3:$A$5001,"&lt;="&amp;$B144,Base!$W$3:$W$5001,"&lt;&gt;")=0,"",SUMIFS(Base!$W$3:$W$5001,Base!$B$3:$B$5001,C$127,Base!$A$3:$A$5001,_xlfn.MAXIFS(Base!$A$3:$A$5001,Base!$B$3:$B$5001,C$127,Base!$A$3:$A$5001,"&gt;="&amp;$C$7,Base!$A$3:$A$5001,"&lt;="&amp;$B144,Base!$W$3:$W$5001,"&lt;&gt;"))))</f>
        <v>4</v>
      </c>
      <c r="D144">
        <f>IF($A144&gt;$B$9,"",IF(COUNTIFS(Base!$B$3:$B$5001,D$127,Base!$A$3:$A$5001,"&gt;="&amp;$C$7,Base!$A$3:$A$5001,"&lt;="&amp;$B144,Base!$W$3:$W$5001,"&lt;&gt;")=0,"",SUMIFS(Base!$W$3:$W$5001,Base!$B$3:$B$5001,D$127,Base!$A$3:$A$5001,_xlfn.MAXIFS(Base!$A$3:$A$5001,Base!$B$3:$B$5001,D$127,Base!$A$3:$A$5001,"&gt;="&amp;$C$7,Base!$A$3:$A$5001,"&lt;="&amp;$B144,Base!$W$3:$W$5001,"&lt;&gt;"))))</f>
        <v>12</v>
      </c>
      <c r="E144">
        <f>IF($A144&gt;$B$9,"",IF(COUNTIFS(Base!$B$3:$B$5001,E$127,Base!$A$3:$A$5001,"&gt;="&amp;$C$7,Base!$A$3:$A$5001,"&lt;="&amp;$B144,Base!$W$3:$W$5001,"&lt;&gt;")=0,"",SUMIFS(Base!$W$3:$W$5001,Base!$B$3:$B$5001,E$127,Base!$A$3:$A$5001,_xlfn.MAXIFS(Base!$A$3:$A$5001,Base!$B$3:$B$5001,E$127,Base!$A$3:$A$5001,"&gt;="&amp;$C$7,Base!$A$3:$A$5001,"&lt;="&amp;$B144,Base!$W$3:$W$5001,"&lt;&gt;"))))</f>
        <v>7</v>
      </c>
      <c r="F144">
        <f>IF($A144&gt;$B$9,"",IF(COUNTIFS(Base!$B$3:$B$5001,F$127,Base!$A$3:$A$5001,"&gt;="&amp;$C$7,Base!$A$3:$A$5001,"&lt;="&amp;$B144,Base!$W$3:$W$5001,"&lt;&gt;")=0,"",SUMIFS(Base!$W$3:$W$5001,Base!$B$3:$B$5001,F$127,Base!$A$3:$A$5001,_xlfn.MAXIFS(Base!$A$3:$A$5001,Base!$B$3:$B$5001,F$127,Base!$A$3:$A$5001,"&gt;="&amp;$C$7,Base!$A$3:$A$5001,"&lt;="&amp;$B144,Base!$W$3:$W$5001,"&lt;&gt;"))))</f>
        <v>6</v>
      </c>
      <c r="G144">
        <f>IF($A144&gt;$B$9,"",IF(COUNTIFS(Base!$B$3:$B$5001,G$127,Base!$A$3:$A$5001,"&gt;="&amp;$C$7,Base!$A$3:$A$5001,"&lt;="&amp;$B144,Base!$W$3:$W$5001,"&lt;&gt;")=0,"",SUMIFS(Base!$W$3:$W$5001,Base!$B$3:$B$5001,G$127,Base!$A$3:$A$5001,_xlfn.MAXIFS(Base!$A$3:$A$5001,Base!$B$3:$B$5001,G$127,Base!$A$3:$A$5001,"&gt;="&amp;$C$7,Base!$A$3:$A$5001,"&lt;="&amp;$B144,Base!$W$3:$W$5001,"&lt;&gt;"))))</f>
        <v>14</v>
      </c>
      <c r="H144">
        <f>IF($A144&gt;$B$9,"",IF(COUNTIFS(Base!$B$3:$B$5001,H$127,Base!$A$3:$A$5001,"&gt;="&amp;$C$7,Base!$A$3:$A$5001,"&lt;="&amp;$B144,Base!$W$3:$W$5001,"&lt;&gt;")=0,"",SUMIFS(Base!$W$3:$W$5001,Base!$B$3:$B$5001,H$127,Base!$A$3:$A$5001,_xlfn.MAXIFS(Base!$A$3:$A$5001,Base!$B$3:$B$5001,H$127,Base!$A$3:$A$5001,"&gt;="&amp;$C$7,Base!$A$3:$A$5001,"&lt;="&amp;$B144,Base!$W$3:$W$5001,"&lt;&gt;"))))</f>
        <v>7</v>
      </c>
      <c r="I144">
        <f>IF($A144&gt;$B$9,"",IF(COUNTIFS(Base!$B$3:$B$5001,I$127,Base!$A$3:$A$5001,"&gt;="&amp;$C$7,Base!$A$3:$A$5001,"&lt;="&amp;$B144,Base!$W$3:$W$5001,"&lt;&gt;")=0,"",SUMIFS(Base!$W$3:$W$5001,Base!$B$3:$B$5001,I$127,Base!$A$3:$A$5001,_xlfn.MAXIFS(Base!$A$3:$A$5001,Base!$B$3:$B$5001,I$127,Base!$A$3:$A$5001,"&gt;="&amp;$C$7,Base!$A$3:$A$5001,"&lt;="&amp;$B144,Base!$W$3:$W$5001,"&lt;&gt;"))))</f>
        <v>14</v>
      </c>
      <c r="J144">
        <f>IF($A144&gt;$B$9,"",IF(COUNTIFS(Base!$B$3:$B$5001,J$127,Base!$A$3:$A$5001,"&gt;="&amp;$C$7,Base!$A$3:$A$5001,"&lt;="&amp;$B144,Base!$W$3:$W$5001,"&lt;&gt;")=0,"",SUMIFS(Base!$W$3:$W$5001,Base!$B$3:$B$5001,J$127,Base!$A$3:$A$5001,_xlfn.MAXIFS(Base!$A$3:$A$5001,Base!$B$3:$B$5001,J$127,Base!$A$3:$A$5001,"&gt;="&amp;$C$7,Base!$A$3:$A$5001,"&lt;="&amp;$B144,Base!$W$3:$W$5001,"&lt;&gt;"))))</f>
        <v>1</v>
      </c>
      <c r="K144">
        <f>IF($A144&gt;$B$9,"",IF(COUNTIFS(Base!$B$3:$B$5001,K$127,Base!$A$3:$A$5001,"&gt;="&amp;$C$7,Base!$A$3:$A$5001,"&lt;="&amp;$B144,Base!$W$3:$W$5001,"&lt;&gt;")=0,"",SUMIFS(Base!$W$3:$W$5001,Base!$B$3:$B$5001,K$127,Base!$A$3:$A$5001,_xlfn.MAXIFS(Base!$A$3:$A$5001,Base!$B$3:$B$5001,K$127,Base!$A$3:$A$5001,"&gt;="&amp;$C$7,Base!$A$3:$A$5001,"&lt;="&amp;$B144,Base!$W$3:$W$5001,"&lt;&gt;"))))</f>
        <v>14</v>
      </c>
    </row>
    <row r="145">
      <c r="A145">
        <v>18</v>
      </c>
      <c r="B145" s="152">
        <f>$B$29</f>
        <v>46283</v>
      </c>
      <c r="C145">
        <f>IF($A145&gt;$B$9,"",IF(COUNTIFS(Base!$B$3:$B$5001,C$127,Base!$A$3:$A$5001,"&gt;="&amp;$C$7,Base!$A$3:$A$5001,"&lt;="&amp;$B145,Base!$W$3:$W$5001,"&lt;&gt;")=0,"",SUMIFS(Base!$W$3:$W$5001,Base!$B$3:$B$5001,C$127,Base!$A$3:$A$5001,_xlfn.MAXIFS(Base!$A$3:$A$5001,Base!$B$3:$B$5001,C$127,Base!$A$3:$A$5001,"&gt;="&amp;$C$7,Base!$A$3:$A$5001,"&lt;="&amp;$B145,Base!$W$3:$W$5001,"&lt;&gt;"))))</f>
        <v>4</v>
      </c>
      <c r="D145">
        <f>IF($A145&gt;$B$9,"",IF(COUNTIFS(Base!$B$3:$B$5001,D$127,Base!$A$3:$A$5001,"&gt;="&amp;$C$7,Base!$A$3:$A$5001,"&lt;="&amp;$B145,Base!$W$3:$W$5001,"&lt;&gt;")=0,"",SUMIFS(Base!$W$3:$W$5001,Base!$B$3:$B$5001,D$127,Base!$A$3:$A$5001,_xlfn.MAXIFS(Base!$A$3:$A$5001,Base!$B$3:$B$5001,D$127,Base!$A$3:$A$5001,"&gt;="&amp;$C$7,Base!$A$3:$A$5001,"&lt;="&amp;$B145,Base!$W$3:$W$5001,"&lt;&gt;"))))</f>
        <v>14</v>
      </c>
      <c r="E145">
        <f>IF($A145&gt;$B$9,"",IF(COUNTIFS(Base!$B$3:$B$5001,E$127,Base!$A$3:$A$5001,"&gt;="&amp;$C$7,Base!$A$3:$A$5001,"&lt;="&amp;$B145,Base!$W$3:$W$5001,"&lt;&gt;")=0,"",SUMIFS(Base!$W$3:$W$5001,Base!$B$3:$B$5001,E$127,Base!$A$3:$A$5001,_xlfn.MAXIFS(Base!$A$3:$A$5001,Base!$B$3:$B$5001,E$127,Base!$A$3:$A$5001,"&gt;="&amp;$C$7,Base!$A$3:$A$5001,"&lt;="&amp;$B145,Base!$W$3:$W$5001,"&lt;&gt;"))))</f>
        <v>5</v>
      </c>
      <c r="F145">
        <f>IF($A145&gt;$B$9,"",IF(COUNTIFS(Base!$B$3:$B$5001,F$127,Base!$A$3:$A$5001,"&gt;="&amp;$C$7,Base!$A$3:$A$5001,"&lt;="&amp;$B145,Base!$W$3:$W$5001,"&lt;&gt;")=0,"",SUMIFS(Base!$W$3:$W$5001,Base!$B$3:$B$5001,F$127,Base!$A$3:$A$5001,_xlfn.MAXIFS(Base!$A$3:$A$5001,Base!$B$3:$B$5001,F$127,Base!$A$3:$A$5001,"&gt;="&amp;$C$7,Base!$A$3:$A$5001,"&lt;="&amp;$B145,Base!$W$3:$W$5001,"&lt;&gt;"))))</f>
        <v>6</v>
      </c>
      <c r="G145">
        <f>IF($A145&gt;$B$9,"",IF(COUNTIFS(Base!$B$3:$B$5001,G$127,Base!$A$3:$A$5001,"&gt;="&amp;$C$7,Base!$A$3:$A$5001,"&lt;="&amp;$B145,Base!$W$3:$W$5001,"&lt;&gt;")=0,"",SUMIFS(Base!$W$3:$W$5001,Base!$B$3:$B$5001,G$127,Base!$A$3:$A$5001,_xlfn.MAXIFS(Base!$A$3:$A$5001,Base!$B$3:$B$5001,G$127,Base!$A$3:$A$5001,"&gt;="&amp;$C$7,Base!$A$3:$A$5001,"&lt;="&amp;$B145,Base!$W$3:$W$5001,"&lt;&gt;"))))</f>
        <v>14</v>
      </c>
      <c r="H145">
        <f>IF($A145&gt;$B$9,"",IF(COUNTIFS(Base!$B$3:$B$5001,H$127,Base!$A$3:$A$5001,"&gt;="&amp;$C$7,Base!$A$3:$A$5001,"&lt;="&amp;$B145,Base!$W$3:$W$5001,"&lt;&gt;")=0,"",SUMIFS(Base!$W$3:$W$5001,Base!$B$3:$B$5001,H$127,Base!$A$3:$A$5001,_xlfn.MAXIFS(Base!$A$3:$A$5001,Base!$B$3:$B$5001,H$127,Base!$A$3:$A$5001,"&gt;="&amp;$C$7,Base!$A$3:$A$5001,"&lt;="&amp;$B145,Base!$W$3:$W$5001,"&lt;&gt;"))))</f>
        <v>7</v>
      </c>
      <c r="I145">
        <f>IF($A145&gt;$B$9,"",IF(COUNTIFS(Base!$B$3:$B$5001,I$127,Base!$A$3:$A$5001,"&gt;="&amp;$C$7,Base!$A$3:$A$5001,"&lt;="&amp;$B145,Base!$W$3:$W$5001,"&lt;&gt;")=0,"",SUMIFS(Base!$W$3:$W$5001,Base!$B$3:$B$5001,I$127,Base!$A$3:$A$5001,_xlfn.MAXIFS(Base!$A$3:$A$5001,Base!$B$3:$B$5001,I$127,Base!$A$3:$A$5001,"&gt;="&amp;$C$7,Base!$A$3:$A$5001,"&lt;="&amp;$B145,Base!$W$3:$W$5001,"&lt;&gt;"))))</f>
        <v>8</v>
      </c>
      <c r="J145">
        <f>IF($A145&gt;$B$9,"",IF(COUNTIFS(Base!$B$3:$B$5001,J$127,Base!$A$3:$A$5001,"&gt;="&amp;$C$7,Base!$A$3:$A$5001,"&lt;="&amp;$B145,Base!$W$3:$W$5001,"&lt;&gt;")=0,"",SUMIFS(Base!$W$3:$W$5001,Base!$B$3:$B$5001,J$127,Base!$A$3:$A$5001,_xlfn.MAXIFS(Base!$A$3:$A$5001,Base!$B$3:$B$5001,J$127,Base!$A$3:$A$5001,"&gt;="&amp;$C$7,Base!$A$3:$A$5001,"&lt;="&amp;$B145,Base!$W$3:$W$5001,"&lt;&gt;"))))</f>
        <v>1</v>
      </c>
      <c r="K145">
        <f>IF($A145&gt;$B$9,"",IF(COUNTIFS(Base!$B$3:$B$5001,K$127,Base!$A$3:$A$5001,"&gt;="&amp;$C$7,Base!$A$3:$A$5001,"&lt;="&amp;$B145,Base!$W$3:$W$5001,"&lt;&gt;")=0,"",SUMIFS(Base!$W$3:$W$5001,Base!$B$3:$B$5001,K$127,Base!$A$3:$A$5001,_xlfn.MAXIFS(Base!$A$3:$A$5001,Base!$B$3:$B$5001,K$127,Base!$A$3:$A$5001,"&gt;="&amp;$C$7,Base!$A$3:$A$5001,"&lt;="&amp;$B145,Base!$W$3:$W$5001,"&lt;&gt;"))))</f>
        <v>14</v>
      </c>
    </row>
    <row r="146">
      <c r="A146">
        <v>19</v>
      </c>
      <c r="B146" s="152">
        <f>$B$30</f>
        <v>46284</v>
      </c>
      <c r="C146">
        <f>IF($A146&gt;$B$9,"",IF(COUNTIFS(Base!$B$3:$B$5001,C$127,Base!$A$3:$A$5001,"&gt;="&amp;$C$7,Base!$A$3:$A$5001,"&lt;="&amp;$B146,Base!$W$3:$W$5001,"&lt;&gt;")=0,"",SUMIFS(Base!$W$3:$W$5001,Base!$B$3:$B$5001,C$127,Base!$A$3:$A$5001,_xlfn.MAXIFS(Base!$A$3:$A$5001,Base!$B$3:$B$5001,C$127,Base!$A$3:$A$5001,"&gt;="&amp;$C$7,Base!$A$3:$A$5001,"&lt;="&amp;$B146,Base!$W$3:$W$5001,"&lt;&gt;"))))</f>
        <v>4</v>
      </c>
      <c r="D146">
        <f>IF($A146&gt;$B$9,"",IF(COUNTIFS(Base!$B$3:$B$5001,D$127,Base!$A$3:$A$5001,"&gt;="&amp;$C$7,Base!$A$3:$A$5001,"&lt;="&amp;$B146,Base!$W$3:$W$5001,"&lt;&gt;")=0,"",SUMIFS(Base!$W$3:$W$5001,Base!$B$3:$B$5001,D$127,Base!$A$3:$A$5001,_xlfn.MAXIFS(Base!$A$3:$A$5001,Base!$B$3:$B$5001,D$127,Base!$A$3:$A$5001,"&gt;="&amp;$C$7,Base!$A$3:$A$5001,"&lt;="&amp;$B146,Base!$W$3:$W$5001,"&lt;&gt;"))))</f>
        <v>14</v>
      </c>
      <c r="E146">
        <f>IF($A146&gt;$B$9,"",IF(COUNTIFS(Base!$B$3:$B$5001,E$127,Base!$A$3:$A$5001,"&gt;="&amp;$C$7,Base!$A$3:$A$5001,"&lt;="&amp;$B146,Base!$W$3:$W$5001,"&lt;&gt;")=0,"",SUMIFS(Base!$W$3:$W$5001,Base!$B$3:$B$5001,E$127,Base!$A$3:$A$5001,_xlfn.MAXIFS(Base!$A$3:$A$5001,Base!$B$3:$B$5001,E$127,Base!$A$3:$A$5001,"&gt;="&amp;$C$7,Base!$A$3:$A$5001,"&lt;="&amp;$B146,Base!$W$3:$W$5001,"&lt;&gt;"))))</f>
        <v>5</v>
      </c>
      <c r="F146">
        <f>IF($A146&gt;$B$9,"",IF(COUNTIFS(Base!$B$3:$B$5001,F$127,Base!$A$3:$A$5001,"&gt;="&amp;$C$7,Base!$A$3:$A$5001,"&lt;="&amp;$B146,Base!$W$3:$W$5001,"&lt;&gt;")=0,"",SUMIFS(Base!$W$3:$W$5001,Base!$B$3:$B$5001,F$127,Base!$A$3:$A$5001,_xlfn.MAXIFS(Base!$A$3:$A$5001,Base!$B$3:$B$5001,F$127,Base!$A$3:$A$5001,"&gt;="&amp;$C$7,Base!$A$3:$A$5001,"&lt;="&amp;$B146,Base!$W$3:$W$5001,"&lt;&gt;"))))</f>
        <v>6</v>
      </c>
      <c r="G146">
        <f>IF($A146&gt;$B$9,"",IF(COUNTIFS(Base!$B$3:$B$5001,G$127,Base!$A$3:$A$5001,"&gt;="&amp;$C$7,Base!$A$3:$A$5001,"&lt;="&amp;$B146,Base!$W$3:$W$5001,"&lt;&gt;")=0,"",SUMIFS(Base!$W$3:$W$5001,Base!$B$3:$B$5001,G$127,Base!$A$3:$A$5001,_xlfn.MAXIFS(Base!$A$3:$A$5001,Base!$B$3:$B$5001,G$127,Base!$A$3:$A$5001,"&gt;="&amp;$C$7,Base!$A$3:$A$5001,"&lt;="&amp;$B146,Base!$W$3:$W$5001,"&lt;&gt;"))))</f>
        <v>13</v>
      </c>
      <c r="H146">
        <f>IF($A146&gt;$B$9,"",IF(COUNTIFS(Base!$B$3:$B$5001,H$127,Base!$A$3:$A$5001,"&gt;="&amp;$C$7,Base!$A$3:$A$5001,"&lt;="&amp;$B146,Base!$W$3:$W$5001,"&lt;&gt;")=0,"",SUMIFS(Base!$W$3:$W$5001,Base!$B$3:$B$5001,H$127,Base!$A$3:$A$5001,_xlfn.MAXIFS(Base!$A$3:$A$5001,Base!$B$3:$B$5001,H$127,Base!$A$3:$A$5001,"&gt;="&amp;$C$7,Base!$A$3:$A$5001,"&lt;="&amp;$B146,Base!$W$3:$W$5001,"&lt;&gt;"))))</f>
        <v>3</v>
      </c>
      <c r="I146">
        <f>IF($A146&gt;$B$9,"",IF(COUNTIFS(Base!$B$3:$B$5001,I$127,Base!$A$3:$A$5001,"&gt;="&amp;$C$7,Base!$A$3:$A$5001,"&lt;="&amp;$B146,Base!$W$3:$W$5001,"&lt;&gt;")=0,"",SUMIFS(Base!$W$3:$W$5001,Base!$B$3:$B$5001,I$127,Base!$A$3:$A$5001,_xlfn.MAXIFS(Base!$A$3:$A$5001,Base!$B$3:$B$5001,I$127,Base!$A$3:$A$5001,"&gt;="&amp;$C$7,Base!$A$3:$A$5001,"&lt;="&amp;$B146,Base!$W$3:$W$5001,"&lt;&gt;"))))</f>
        <v>8</v>
      </c>
      <c r="J146">
        <f>IF($A146&gt;$B$9,"",IF(COUNTIFS(Base!$B$3:$B$5001,J$127,Base!$A$3:$A$5001,"&gt;="&amp;$C$7,Base!$A$3:$A$5001,"&lt;="&amp;$B146,Base!$W$3:$W$5001,"&lt;&gt;")=0,"",SUMIFS(Base!$W$3:$W$5001,Base!$B$3:$B$5001,J$127,Base!$A$3:$A$5001,_xlfn.MAXIFS(Base!$A$3:$A$5001,Base!$B$3:$B$5001,J$127,Base!$A$3:$A$5001,"&gt;="&amp;$C$7,Base!$A$3:$A$5001,"&lt;="&amp;$B146,Base!$W$3:$W$5001,"&lt;&gt;"))))</f>
        <v>1</v>
      </c>
      <c r="K146">
        <f>IF($A146&gt;$B$9,"",IF(COUNTIFS(Base!$B$3:$B$5001,K$127,Base!$A$3:$A$5001,"&gt;="&amp;$C$7,Base!$A$3:$A$5001,"&lt;="&amp;$B146,Base!$W$3:$W$5001,"&lt;&gt;")=0,"",SUMIFS(Base!$W$3:$W$5001,Base!$B$3:$B$5001,K$127,Base!$A$3:$A$5001,_xlfn.MAXIFS(Base!$A$3:$A$5001,Base!$B$3:$B$5001,K$127,Base!$A$3:$A$5001,"&gt;="&amp;$C$7,Base!$A$3:$A$5001,"&lt;="&amp;$B146,Base!$W$3:$W$5001,"&lt;&gt;"))))</f>
        <v>13</v>
      </c>
    </row>
    <row r="147">
      <c r="A147">
        <v>20</v>
      </c>
      <c r="B147" s="152">
        <f>$B$31</f>
        <v>46285</v>
      </c>
      <c r="C147">
        <f>IF($A147&gt;$B$9,"",IF(COUNTIFS(Base!$B$3:$B$5001,C$127,Base!$A$3:$A$5001,"&gt;="&amp;$C$7,Base!$A$3:$A$5001,"&lt;="&amp;$B147,Base!$W$3:$W$5001,"&lt;&gt;")=0,"",SUMIFS(Base!$W$3:$W$5001,Base!$B$3:$B$5001,C$127,Base!$A$3:$A$5001,_xlfn.MAXIFS(Base!$A$3:$A$5001,Base!$B$3:$B$5001,C$127,Base!$A$3:$A$5001,"&gt;="&amp;$C$7,Base!$A$3:$A$5001,"&lt;="&amp;$B147,Base!$W$3:$W$5001,"&lt;&gt;"))))</f>
        <v>4</v>
      </c>
      <c r="D147">
        <f>IF($A147&gt;$B$9,"",IF(COUNTIFS(Base!$B$3:$B$5001,D$127,Base!$A$3:$A$5001,"&gt;="&amp;$C$7,Base!$A$3:$A$5001,"&lt;="&amp;$B147,Base!$W$3:$W$5001,"&lt;&gt;")=0,"",SUMIFS(Base!$W$3:$W$5001,Base!$B$3:$B$5001,D$127,Base!$A$3:$A$5001,_xlfn.MAXIFS(Base!$A$3:$A$5001,Base!$B$3:$B$5001,D$127,Base!$A$3:$A$5001,"&gt;="&amp;$C$7,Base!$A$3:$A$5001,"&lt;="&amp;$B147,Base!$W$3:$W$5001,"&lt;&gt;"))))</f>
        <v>14</v>
      </c>
      <c r="E147">
        <f>IF($A147&gt;$B$9,"",IF(COUNTIFS(Base!$B$3:$B$5001,E$127,Base!$A$3:$A$5001,"&gt;="&amp;$C$7,Base!$A$3:$A$5001,"&lt;="&amp;$B147,Base!$W$3:$W$5001,"&lt;&gt;")=0,"",SUMIFS(Base!$W$3:$W$5001,Base!$B$3:$B$5001,E$127,Base!$A$3:$A$5001,_xlfn.MAXIFS(Base!$A$3:$A$5001,Base!$B$3:$B$5001,E$127,Base!$A$3:$A$5001,"&gt;="&amp;$C$7,Base!$A$3:$A$5001,"&lt;="&amp;$B147,Base!$W$3:$W$5001,"&lt;&gt;"))))</f>
        <v>5</v>
      </c>
      <c r="F147">
        <f>IF($A147&gt;$B$9,"",IF(COUNTIFS(Base!$B$3:$B$5001,F$127,Base!$A$3:$A$5001,"&gt;="&amp;$C$7,Base!$A$3:$A$5001,"&lt;="&amp;$B147,Base!$W$3:$W$5001,"&lt;&gt;")=0,"",SUMIFS(Base!$W$3:$W$5001,Base!$B$3:$B$5001,F$127,Base!$A$3:$A$5001,_xlfn.MAXIFS(Base!$A$3:$A$5001,Base!$B$3:$B$5001,F$127,Base!$A$3:$A$5001,"&gt;="&amp;$C$7,Base!$A$3:$A$5001,"&lt;="&amp;$B147,Base!$W$3:$W$5001,"&lt;&gt;"))))</f>
        <v>6</v>
      </c>
      <c r="G147">
        <f>IF($A147&gt;$B$9,"",IF(COUNTIFS(Base!$B$3:$B$5001,G$127,Base!$A$3:$A$5001,"&gt;="&amp;$C$7,Base!$A$3:$A$5001,"&lt;="&amp;$B147,Base!$W$3:$W$5001,"&lt;&gt;")=0,"",SUMIFS(Base!$W$3:$W$5001,Base!$B$3:$B$5001,G$127,Base!$A$3:$A$5001,_xlfn.MAXIFS(Base!$A$3:$A$5001,Base!$B$3:$B$5001,G$127,Base!$A$3:$A$5001,"&gt;="&amp;$C$7,Base!$A$3:$A$5001,"&lt;="&amp;$B147,Base!$W$3:$W$5001,"&lt;&gt;"))))</f>
        <v>13</v>
      </c>
      <c r="H147">
        <f>IF($A147&gt;$B$9,"",IF(COUNTIFS(Base!$B$3:$B$5001,H$127,Base!$A$3:$A$5001,"&gt;="&amp;$C$7,Base!$A$3:$A$5001,"&lt;="&amp;$B147,Base!$W$3:$W$5001,"&lt;&gt;")=0,"",SUMIFS(Base!$W$3:$W$5001,Base!$B$3:$B$5001,H$127,Base!$A$3:$A$5001,_xlfn.MAXIFS(Base!$A$3:$A$5001,Base!$B$3:$B$5001,H$127,Base!$A$3:$A$5001,"&gt;="&amp;$C$7,Base!$A$3:$A$5001,"&lt;="&amp;$B147,Base!$W$3:$W$5001,"&lt;&gt;"))))</f>
        <v>3</v>
      </c>
      <c r="I147">
        <f>IF($A147&gt;$B$9,"",IF(COUNTIFS(Base!$B$3:$B$5001,I$127,Base!$A$3:$A$5001,"&gt;="&amp;$C$7,Base!$A$3:$A$5001,"&lt;="&amp;$B147,Base!$W$3:$W$5001,"&lt;&gt;")=0,"",SUMIFS(Base!$W$3:$W$5001,Base!$B$3:$B$5001,I$127,Base!$A$3:$A$5001,_xlfn.MAXIFS(Base!$A$3:$A$5001,Base!$B$3:$B$5001,I$127,Base!$A$3:$A$5001,"&gt;="&amp;$C$7,Base!$A$3:$A$5001,"&lt;="&amp;$B147,Base!$W$3:$W$5001,"&lt;&gt;"))))</f>
        <v>8</v>
      </c>
      <c r="J147">
        <f>IF($A147&gt;$B$9,"",IF(COUNTIFS(Base!$B$3:$B$5001,J$127,Base!$A$3:$A$5001,"&gt;="&amp;$C$7,Base!$A$3:$A$5001,"&lt;="&amp;$B147,Base!$W$3:$W$5001,"&lt;&gt;")=0,"",SUMIFS(Base!$W$3:$W$5001,Base!$B$3:$B$5001,J$127,Base!$A$3:$A$5001,_xlfn.MAXIFS(Base!$A$3:$A$5001,Base!$B$3:$B$5001,J$127,Base!$A$3:$A$5001,"&gt;="&amp;$C$7,Base!$A$3:$A$5001,"&lt;="&amp;$B147,Base!$W$3:$W$5001,"&lt;&gt;"))))</f>
        <v>1</v>
      </c>
      <c r="K147">
        <f>IF($A147&gt;$B$9,"",IF(COUNTIFS(Base!$B$3:$B$5001,K$127,Base!$A$3:$A$5001,"&gt;="&amp;$C$7,Base!$A$3:$A$5001,"&lt;="&amp;$B147,Base!$W$3:$W$5001,"&lt;&gt;")=0,"",SUMIFS(Base!$W$3:$W$5001,Base!$B$3:$B$5001,K$127,Base!$A$3:$A$5001,_xlfn.MAXIFS(Base!$A$3:$A$5001,Base!$B$3:$B$5001,K$127,Base!$A$3:$A$5001,"&gt;="&amp;$C$7,Base!$A$3:$A$5001,"&lt;="&amp;$B147,Base!$W$3:$W$5001,"&lt;&gt;"))))</f>
        <v>13</v>
      </c>
    </row>
    <row r="148">
      <c r="A148">
        <v>21</v>
      </c>
      <c r="B148" s="152">
        <f>$B$32</f>
        <v>46286</v>
      </c>
      <c r="C148">
        <f>IF($A148&gt;$B$9,"",IF(COUNTIFS(Base!$B$3:$B$5001,C$127,Base!$A$3:$A$5001,"&gt;="&amp;$C$7,Base!$A$3:$A$5001,"&lt;="&amp;$B148,Base!$W$3:$W$5001,"&lt;&gt;")=0,"",SUMIFS(Base!$W$3:$W$5001,Base!$B$3:$B$5001,C$127,Base!$A$3:$A$5001,_xlfn.MAXIFS(Base!$A$3:$A$5001,Base!$B$3:$B$5001,C$127,Base!$A$3:$A$5001,"&gt;="&amp;$C$7,Base!$A$3:$A$5001,"&lt;="&amp;$B148,Base!$W$3:$W$5001,"&lt;&gt;"))))</f>
        <v>15</v>
      </c>
      <c r="D148">
        <f>IF($A148&gt;$B$9,"",IF(COUNTIFS(Base!$B$3:$B$5001,D$127,Base!$A$3:$A$5001,"&gt;="&amp;$C$7,Base!$A$3:$A$5001,"&lt;="&amp;$B148,Base!$W$3:$W$5001,"&lt;&gt;")=0,"",SUMIFS(Base!$W$3:$W$5001,Base!$B$3:$B$5001,D$127,Base!$A$3:$A$5001,_xlfn.MAXIFS(Base!$A$3:$A$5001,Base!$B$3:$B$5001,D$127,Base!$A$3:$A$5001,"&gt;="&amp;$C$7,Base!$A$3:$A$5001,"&lt;="&amp;$B148,Base!$W$3:$W$5001,"&lt;&gt;"))))</f>
        <v>14</v>
      </c>
      <c r="E148">
        <f>IF($A148&gt;$B$9,"",IF(COUNTIFS(Base!$B$3:$B$5001,E$127,Base!$A$3:$A$5001,"&gt;="&amp;$C$7,Base!$A$3:$A$5001,"&lt;="&amp;$B148,Base!$W$3:$W$5001,"&lt;&gt;")=0,"",SUMIFS(Base!$W$3:$W$5001,Base!$B$3:$B$5001,E$127,Base!$A$3:$A$5001,_xlfn.MAXIFS(Base!$A$3:$A$5001,Base!$B$3:$B$5001,E$127,Base!$A$3:$A$5001,"&gt;="&amp;$C$7,Base!$A$3:$A$5001,"&lt;="&amp;$B148,Base!$W$3:$W$5001,"&lt;&gt;"))))</f>
        <v>5</v>
      </c>
      <c r="F148">
        <f>IF($A148&gt;$B$9,"",IF(COUNTIFS(Base!$B$3:$B$5001,F$127,Base!$A$3:$A$5001,"&gt;="&amp;$C$7,Base!$A$3:$A$5001,"&lt;="&amp;$B148,Base!$W$3:$W$5001,"&lt;&gt;")=0,"",SUMIFS(Base!$W$3:$W$5001,Base!$B$3:$B$5001,F$127,Base!$A$3:$A$5001,_xlfn.MAXIFS(Base!$A$3:$A$5001,Base!$B$3:$B$5001,F$127,Base!$A$3:$A$5001,"&gt;="&amp;$C$7,Base!$A$3:$A$5001,"&lt;="&amp;$B148,Base!$W$3:$W$5001,"&lt;&gt;"))))</f>
        <v>6</v>
      </c>
      <c r="G148">
        <f>IF($A148&gt;$B$9,"",IF(COUNTIFS(Base!$B$3:$B$5001,G$127,Base!$A$3:$A$5001,"&gt;="&amp;$C$7,Base!$A$3:$A$5001,"&lt;="&amp;$B148,Base!$W$3:$W$5001,"&lt;&gt;")=0,"",SUMIFS(Base!$W$3:$W$5001,Base!$B$3:$B$5001,G$127,Base!$A$3:$A$5001,_xlfn.MAXIFS(Base!$A$3:$A$5001,Base!$B$3:$B$5001,G$127,Base!$A$3:$A$5001,"&gt;="&amp;$C$7,Base!$A$3:$A$5001,"&lt;="&amp;$B148,Base!$W$3:$W$5001,"&lt;&gt;"))))</f>
        <v>2</v>
      </c>
      <c r="H148">
        <f>IF($A148&gt;$B$9,"",IF(COUNTIFS(Base!$B$3:$B$5001,H$127,Base!$A$3:$A$5001,"&gt;="&amp;$C$7,Base!$A$3:$A$5001,"&lt;="&amp;$B148,Base!$W$3:$W$5001,"&lt;&gt;")=0,"",SUMIFS(Base!$W$3:$W$5001,Base!$B$3:$B$5001,H$127,Base!$A$3:$A$5001,_xlfn.MAXIFS(Base!$A$3:$A$5001,Base!$B$3:$B$5001,H$127,Base!$A$3:$A$5001,"&gt;="&amp;$C$7,Base!$A$3:$A$5001,"&lt;="&amp;$B148,Base!$W$3:$W$5001,"&lt;&gt;"))))</f>
        <v>3</v>
      </c>
      <c r="I148">
        <f>IF($A148&gt;$B$9,"",IF(COUNTIFS(Base!$B$3:$B$5001,I$127,Base!$A$3:$A$5001,"&gt;="&amp;$C$7,Base!$A$3:$A$5001,"&lt;="&amp;$B148,Base!$W$3:$W$5001,"&lt;&gt;")=0,"",SUMIFS(Base!$W$3:$W$5001,Base!$B$3:$B$5001,I$127,Base!$A$3:$A$5001,_xlfn.MAXIFS(Base!$A$3:$A$5001,Base!$B$3:$B$5001,I$127,Base!$A$3:$A$5001,"&gt;="&amp;$C$7,Base!$A$3:$A$5001,"&lt;="&amp;$B148,Base!$W$3:$W$5001,"&lt;&gt;"))))</f>
        <v>8</v>
      </c>
      <c r="J148">
        <f>IF($A148&gt;$B$9,"",IF(COUNTIFS(Base!$B$3:$B$5001,J$127,Base!$A$3:$A$5001,"&gt;="&amp;$C$7,Base!$A$3:$A$5001,"&lt;="&amp;$B148,Base!$W$3:$W$5001,"&lt;&gt;")=0,"",SUMIFS(Base!$W$3:$W$5001,Base!$B$3:$B$5001,J$127,Base!$A$3:$A$5001,_xlfn.MAXIFS(Base!$A$3:$A$5001,Base!$B$3:$B$5001,J$127,Base!$A$3:$A$5001,"&gt;="&amp;$C$7,Base!$A$3:$A$5001,"&lt;="&amp;$B148,Base!$W$3:$W$5001,"&lt;&gt;"))))</f>
        <v>1</v>
      </c>
      <c r="K148">
        <f>IF($A148&gt;$B$9,"",IF(COUNTIFS(Base!$B$3:$B$5001,K$127,Base!$A$3:$A$5001,"&gt;="&amp;$C$7,Base!$A$3:$A$5001,"&lt;="&amp;$B148,Base!$W$3:$W$5001,"&lt;&gt;")=0,"",SUMIFS(Base!$W$3:$W$5001,Base!$B$3:$B$5001,K$127,Base!$A$3:$A$5001,_xlfn.MAXIFS(Base!$A$3:$A$5001,Base!$B$3:$B$5001,K$127,Base!$A$3:$A$5001,"&gt;="&amp;$C$7,Base!$A$3:$A$5001,"&lt;="&amp;$B148,Base!$W$3:$W$5001,"&lt;&gt;"))))</f>
        <v>13</v>
      </c>
    </row>
    <row r="149">
      <c r="A149">
        <v>22</v>
      </c>
      <c r="B149" s="152">
        <f>$B$33</f>
        <v>46287</v>
      </c>
      <c r="C149">
        <f>IF($A149&gt;$B$9,"",IF(COUNTIFS(Base!$B$3:$B$5001,C$127,Base!$A$3:$A$5001,"&gt;="&amp;$C$7,Base!$A$3:$A$5001,"&lt;="&amp;$B149,Base!$W$3:$W$5001,"&lt;&gt;")=0,"",SUMIFS(Base!$W$3:$W$5001,Base!$B$3:$B$5001,C$127,Base!$A$3:$A$5001,_xlfn.MAXIFS(Base!$A$3:$A$5001,Base!$B$3:$B$5001,C$127,Base!$A$3:$A$5001,"&gt;="&amp;$C$7,Base!$A$3:$A$5001,"&lt;="&amp;$B149,Base!$W$3:$W$5001,"&lt;&gt;"))))</f>
        <v>6</v>
      </c>
      <c r="D149">
        <f>IF($A149&gt;$B$9,"",IF(COUNTIFS(Base!$B$3:$B$5001,D$127,Base!$A$3:$A$5001,"&gt;="&amp;$C$7,Base!$A$3:$A$5001,"&lt;="&amp;$B149,Base!$W$3:$W$5001,"&lt;&gt;")=0,"",SUMIFS(Base!$W$3:$W$5001,Base!$B$3:$B$5001,D$127,Base!$A$3:$A$5001,_xlfn.MAXIFS(Base!$A$3:$A$5001,Base!$B$3:$B$5001,D$127,Base!$A$3:$A$5001,"&gt;="&amp;$C$7,Base!$A$3:$A$5001,"&lt;="&amp;$B149,Base!$W$3:$W$5001,"&lt;&gt;"))))</f>
        <v>14</v>
      </c>
      <c r="E149">
        <f>IF($A149&gt;$B$9,"",IF(COUNTIFS(Base!$B$3:$B$5001,E$127,Base!$A$3:$A$5001,"&gt;="&amp;$C$7,Base!$A$3:$A$5001,"&lt;="&amp;$B149,Base!$W$3:$W$5001,"&lt;&gt;")=0,"",SUMIFS(Base!$W$3:$W$5001,Base!$B$3:$B$5001,E$127,Base!$A$3:$A$5001,_xlfn.MAXIFS(Base!$A$3:$A$5001,Base!$B$3:$B$5001,E$127,Base!$A$3:$A$5001,"&gt;="&amp;$C$7,Base!$A$3:$A$5001,"&lt;="&amp;$B149,Base!$W$3:$W$5001,"&lt;&gt;"))))</f>
        <v>5</v>
      </c>
      <c r="F149">
        <f>IF($A149&gt;$B$9,"",IF(COUNTIFS(Base!$B$3:$B$5001,F$127,Base!$A$3:$A$5001,"&gt;="&amp;$C$7,Base!$A$3:$A$5001,"&lt;="&amp;$B149,Base!$W$3:$W$5001,"&lt;&gt;")=0,"",SUMIFS(Base!$W$3:$W$5001,Base!$B$3:$B$5001,F$127,Base!$A$3:$A$5001,_xlfn.MAXIFS(Base!$A$3:$A$5001,Base!$B$3:$B$5001,F$127,Base!$A$3:$A$5001,"&gt;="&amp;$C$7,Base!$A$3:$A$5001,"&lt;="&amp;$B149,Base!$W$3:$W$5001,"&lt;&gt;"))))</f>
        <v>6</v>
      </c>
      <c r="G149">
        <f>IF($A149&gt;$B$9,"",IF(COUNTIFS(Base!$B$3:$B$5001,G$127,Base!$A$3:$A$5001,"&gt;="&amp;$C$7,Base!$A$3:$A$5001,"&lt;="&amp;$B149,Base!$W$3:$W$5001,"&lt;&gt;")=0,"",SUMIFS(Base!$W$3:$W$5001,Base!$B$3:$B$5001,G$127,Base!$A$3:$A$5001,_xlfn.MAXIFS(Base!$A$3:$A$5001,Base!$B$3:$B$5001,G$127,Base!$A$3:$A$5001,"&gt;="&amp;$C$7,Base!$A$3:$A$5001,"&lt;="&amp;$B149,Base!$W$3:$W$5001,"&lt;&gt;"))))</f>
        <v>2</v>
      </c>
      <c r="H149">
        <f>IF($A149&gt;$B$9,"",IF(COUNTIFS(Base!$B$3:$B$5001,H$127,Base!$A$3:$A$5001,"&gt;="&amp;$C$7,Base!$A$3:$A$5001,"&lt;="&amp;$B149,Base!$W$3:$W$5001,"&lt;&gt;")=0,"",SUMIFS(Base!$W$3:$W$5001,Base!$B$3:$B$5001,H$127,Base!$A$3:$A$5001,_xlfn.MAXIFS(Base!$A$3:$A$5001,Base!$B$3:$B$5001,H$127,Base!$A$3:$A$5001,"&gt;="&amp;$C$7,Base!$A$3:$A$5001,"&lt;="&amp;$B149,Base!$W$3:$W$5001,"&lt;&gt;"))))</f>
        <v>3</v>
      </c>
      <c r="I149">
        <f>IF($A149&gt;$B$9,"",IF(COUNTIFS(Base!$B$3:$B$5001,I$127,Base!$A$3:$A$5001,"&gt;="&amp;$C$7,Base!$A$3:$A$5001,"&lt;="&amp;$B149,Base!$W$3:$W$5001,"&lt;&gt;")=0,"",SUMIFS(Base!$W$3:$W$5001,Base!$B$3:$B$5001,I$127,Base!$A$3:$A$5001,_xlfn.MAXIFS(Base!$A$3:$A$5001,Base!$B$3:$B$5001,I$127,Base!$A$3:$A$5001,"&gt;="&amp;$C$7,Base!$A$3:$A$5001,"&lt;="&amp;$B149,Base!$W$3:$W$5001,"&lt;&gt;"))))</f>
        <v>3</v>
      </c>
      <c r="J149">
        <f>IF($A149&gt;$B$9,"",IF(COUNTIFS(Base!$B$3:$B$5001,J$127,Base!$A$3:$A$5001,"&gt;="&amp;$C$7,Base!$A$3:$A$5001,"&lt;="&amp;$B149,Base!$W$3:$W$5001,"&lt;&gt;")=0,"",SUMIFS(Base!$W$3:$W$5001,Base!$B$3:$B$5001,J$127,Base!$A$3:$A$5001,_xlfn.MAXIFS(Base!$A$3:$A$5001,Base!$B$3:$B$5001,J$127,Base!$A$3:$A$5001,"&gt;="&amp;$C$7,Base!$A$3:$A$5001,"&lt;="&amp;$B149,Base!$W$3:$W$5001,"&lt;&gt;"))))</f>
        <v>10</v>
      </c>
      <c r="K149">
        <f>IF($A149&gt;$B$9,"",IF(COUNTIFS(Base!$B$3:$B$5001,K$127,Base!$A$3:$A$5001,"&gt;="&amp;$C$7,Base!$A$3:$A$5001,"&lt;="&amp;$B149,Base!$W$3:$W$5001,"&lt;&gt;")=0,"",SUMIFS(Base!$W$3:$W$5001,Base!$B$3:$B$5001,K$127,Base!$A$3:$A$5001,_xlfn.MAXIFS(Base!$A$3:$A$5001,Base!$B$3:$B$5001,K$127,Base!$A$3:$A$5001,"&gt;="&amp;$C$7,Base!$A$3:$A$5001,"&lt;="&amp;$B149,Base!$W$3:$W$5001,"&lt;&gt;"))))</f>
        <v>13</v>
      </c>
    </row>
    <row r="150">
      <c r="A150">
        <v>23</v>
      </c>
      <c r="B150" s="152">
        <f>$B$34</f>
        <v>46288</v>
      </c>
      <c r="C150">
        <f>IF($A150&gt;$B$9,"",IF(COUNTIFS(Base!$B$3:$B$5001,C$127,Base!$A$3:$A$5001,"&gt;="&amp;$C$7,Base!$A$3:$A$5001,"&lt;="&amp;$B150,Base!$W$3:$W$5001,"&lt;&gt;")=0,"",SUMIFS(Base!$W$3:$W$5001,Base!$B$3:$B$5001,C$127,Base!$A$3:$A$5001,_xlfn.MAXIFS(Base!$A$3:$A$5001,Base!$B$3:$B$5001,C$127,Base!$A$3:$A$5001,"&gt;="&amp;$C$7,Base!$A$3:$A$5001,"&lt;="&amp;$B150,Base!$W$3:$W$5001,"&lt;&gt;"))))</f>
        <v>6</v>
      </c>
      <c r="D150">
        <f>IF($A150&gt;$B$9,"",IF(COUNTIFS(Base!$B$3:$B$5001,D$127,Base!$A$3:$A$5001,"&gt;="&amp;$C$7,Base!$A$3:$A$5001,"&lt;="&amp;$B150,Base!$W$3:$W$5001,"&lt;&gt;")=0,"",SUMIFS(Base!$W$3:$W$5001,Base!$B$3:$B$5001,D$127,Base!$A$3:$A$5001,_xlfn.MAXIFS(Base!$A$3:$A$5001,Base!$B$3:$B$5001,D$127,Base!$A$3:$A$5001,"&gt;="&amp;$C$7,Base!$A$3:$A$5001,"&lt;="&amp;$B150,Base!$W$3:$W$5001,"&lt;&gt;"))))</f>
        <v>14</v>
      </c>
      <c r="E150">
        <f>IF($A150&gt;$B$9,"",IF(COUNTIFS(Base!$B$3:$B$5001,E$127,Base!$A$3:$A$5001,"&gt;="&amp;$C$7,Base!$A$3:$A$5001,"&lt;="&amp;$B150,Base!$W$3:$W$5001,"&lt;&gt;")=0,"",SUMIFS(Base!$W$3:$W$5001,Base!$B$3:$B$5001,E$127,Base!$A$3:$A$5001,_xlfn.MAXIFS(Base!$A$3:$A$5001,Base!$B$3:$B$5001,E$127,Base!$A$3:$A$5001,"&gt;="&amp;$C$7,Base!$A$3:$A$5001,"&lt;="&amp;$B150,Base!$W$3:$W$5001,"&lt;&gt;"))))</f>
        <v>1</v>
      </c>
      <c r="F150">
        <f>IF($A150&gt;$B$9,"",IF(COUNTIFS(Base!$B$3:$B$5001,F$127,Base!$A$3:$A$5001,"&gt;="&amp;$C$7,Base!$A$3:$A$5001,"&lt;="&amp;$B150,Base!$W$3:$W$5001,"&lt;&gt;")=0,"",SUMIFS(Base!$W$3:$W$5001,Base!$B$3:$B$5001,F$127,Base!$A$3:$A$5001,_xlfn.MAXIFS(Base!$A$3:$A$5001,Base!$B$3:$B$5001,F$127,Base!$A$3:$A$5001,"&gt;="&amp;$C$7,Base!$A$3:$A$5001,"&lt;="&amp;$B150,Base!$W$3:$W$5001,"&lt;&gt;"))))</f>
        <v>6</v>
      </c>
      <c r="G150">
        <f>IF($A150&gt;$B$9,"",IF(COUNTIFS(Base!$B$3:$B$5001,G$127,Base!$A$3:$A$5001,"&gt;="&amp;$C$7,Base!$A$3:$A$5001,"&lt;="&amp;$B150,Base!$W$3:$W$5001,"&lt;&gt;")=0,"",SUMIFS(Base!$W$3:$W$5001,Base!$B$3:$B$5001,G$127,Base!$A$3:$A$5001,_xlfn.MAXIFS(Base!$A$3:$A$5001,Base!$B$3:$B$5001,G$127,Base!$A$3:$A$5001,"&gt;="&amp;$C$7,Base!$A$3:$A$5001,"&lt;="&amp;$B150,Base!$W$3:$W$5001,"&lt;&gt;"))))</f>
        <v>2</v>
      </c>
      <c r="H150">
        <f>IF($A150&gt;$B$9,"",IF(COUNTIFS(Base!$B$3:$B$5001,H$127,Base!$A$3:$A$5001,"&gt;="&amp;$C$7,Base!$A$3:$A$5001,"&lt;="&amp;$B150,Base!$W$3:$W$5001,"&lt;&gt;")=0,"",SUMIFS(Base!$W$3:$W$5001,Base!$B$3:$B$5001,H$127,Base!$A$3:$A$5001,_xlfn.MAXIFS(Base!$A$3:$A$5001,Base!$B$3:$B$5001,H$127,Base!$A$3:$A$5001,"&gt;="&amp;$C$7,Base!$A$3:$A$5001,"&lt;="&amp;$B150,Base!$W$3:$W$5001,"&lt;&gt;"))))</f>
        <v>3</v>
      </c>
      <c r="I150">
        <f>IF($A150&gt;$B$9,"",IF(COUNTIFS(Base!$B$3:$B$5001,I$127,Base!$A$3:$A$5001,"&gt;="&amp;$C$7,Base!$A$3:$A$5001,"&lt;="&amp;$B150,Base!$W$3:$W$5001,"&lt;&gt;")=0,"",SUMIFS(Base!$W$3:$W$5001,Base!$B$3:$B$5001,I$127,Base!$A$3:$A$5001,_xlfn.MAXIFS(Base!$A$3:$A$5001,Base!$B$3:$B$5001,I$127,Base!$A$3:$A$5001,"&gt;="&amp;$C$7,Base!$A$3:$A$5001,"&lt;="&amp;$B150,Base!$W$3:$W$5001,"&lt;&gt;"))))</f>
        <v>3</v>
      </c>
      <c r="J150">
        <f>IF($A150&gt;$B$9,"",IF(COUNTIFS(Base!$B$3:$B$5001,J$127,Base!$A$3:$A$5001,"&gt;="&amp;$C$7,Base!$A$3:$A$5001,"&lt;="&amp;$B150,Base!$W$3:$W$5001,"&lt;&gt;")=0,"",SUMIFS(Base!$W$3:$W$5001,Base!$B$3:$B$5001,J$127,Base!$A$3:$A$5001,_xlfn.MAXIFS(Base!$A$3:$A$5001,Base!$B$3:$B$5001,J$127,Base!$A$3:$A$5001,"&gt;="&amp;$C$7,Base!$A$3:$A$5001,"&lt;="&amp;$B150,Base!$W$3:$W$5001,"&lt;&gt;"))))</f>
        <v>10</v>
      </c>
      <c r="K150">
        <f>IF($A150&gt;$B$9,"",IF(COUNTIFS(Base!$B$3:$B$5001,K$127,Base!$A$3:$A$5001,"&gt;="&amp;$C$7,Base!$A$3:$A$5001,"&lt;="&amp;$B150,Base!$W$3:$W$5001,"&lt;&gt;")=0,"",SUMIFS(Base!$W$3:$W$5001,Base!$B$3:$B$5001,K$127,Base!$A$3:$A$5001,_xlfn.MAXIFS(Base!$A$3:$A$5001,Base!$B$3:$B$5001,K$127,Base!$A$3:$A$5001,"&gt;="&amp;$C$7,Base!$A$3:$A$5001,"&lt;="&amp;$B150,Base!$W$3:$W$5001,"&lt;&gt;"))))</f>
        <v>13</v>
      </c>
    </row>
    <row r="151">
      <c r="A151">
        <v>24</v>
      </c>
      <c r="B151" s="152">
        <f>$B$35</f>
        <v>46289</v>
      </c>
      <c r="C151">
        <f>IF($A151&gt;$B$9,"",IF(COUNTIFS(Base!$B$3:$B$5001,C$127,Base!$A$3:$A$5001,"&gt;="&amp;$C$7,Base!$A$3:$A$5001,"&lt;="&amp;$B151,Base!$W$3:$W$5001,"&lt;&gt;")=0,"",SUMIFS(Base!$W$3:$W$5001,Base!$B$3:$B$5001,C$127,Base!$A$3:$A$5001,_xlfn.MAXIFS(Base!$A$3:$A$5001,Base!$B$3:$B$5001,C$127,Base!$A$3:$A$5001,"&gt;="&amp;$C$7,Base!$A$3:$A$5001,"&lt;="&amp;$B151,Base!$W$3:$W$5001,"&lt;&gt;"))))</f>
        <v>6</v>
      </c>
      <c r="D151">
        <f>IF($A151&gt;$B$9,"",IF(COUNTIFS(Base!$B$3:$B$5001,D$127,Base!$A$3:$A$5001,"&gt;="&amp;$C$7,Base!$A$3:$A$5001,"&lt;="&amp;$B151,Base!$W$3:$W$5001,"&lt;&gt;")=0,"",SUMIFS(Base!$W$3:$W$5001,Base!$B$3:$B$5001,D$127,Base!$A$3:$A$5001,_xlfn.MAXIFS(Base!$A$3:$A$5001,Base!$B$3:$B$5001,D$127,Base!$A$3:$A$5001,"&gt;="&amp;$C$7,Base!$A$3:$A$5001,"&lt;="&amp;$B151,Base!$W$3:$W$5001,"&lt;&gt;"))))</f>
        <v>14</v>
      </c>
      <c r="E151">
        <f>IF($A151&gt;$B$9,"",IF(COUNTIFS(Base!$B$3:$B$5001,E$127,Base!$A$3:$A$5001,"&gt;="&amp;$C$7,Base!$A$3:$A$5001,"&lt;="&amp;$B151,Base!$W$3:$W$5001,"&lt;&gt;")=0,"",SUMIFS(Base!$W$3:$W$5001,Base!$B$3:$B$5001,E$127,Base!$A$3:$A$5001,_xlfn.MAXIFS(Base!$A$3:$A$5001,Base!$B$3:$B$5001,E$127,Base!$A$3:$A$5001,"&gt;="&amp;$C$7,Base!$A$3:$A$5001,"&lt;="&amp;$B151,Base!$W$3:$W$5001,"&lt;&gt;"))))</f>
        <v>1</v>
      </c>
      <c r="F151">
        <f>IF($A151&gt;$B$9,"",IF(COUNTIFS(Base!$B$3:$B$5001,F$127,Base!$A$3:$A$5001,"&gt;="&amp;$C$7,Base!$A$3:$A$5001,"&lt;="&amp;$B151,Base!$W$3:$W$5001,"&lt;&gt;")=0,"",SUMIFS(Base!$W$3:$W$5001,Base!$B$3:$B$5001,F$127,Base!$A$3:$A$5001,_xlfn.MAXIFS(Base!$A$3:$A$5001,Base!$B$3:$B$5001,F$127,Base!$A$3:$A$5001,"&gt;="&amp;$C$7,Base!$A$3:$A$5001,"&lt;="&amp;$B151,Base!$W$3:$W$5001,"&lt;&gt;"))))</f>
        <v>6</v>
      </c>
      <c r="G151">
        <f>IF($A151&gt;$B$9,"",IF(COUNTIFS(Base!$B$3:$B$5001,G$127,Base!$A$3:$A$5001,"&gt;="&amp;$C$7,Base!$A$3:$A$5001,"&lt;="&amp;$B151,Base!$W$3:$W$5001,"&lt;&gt;")=0,"",SUMIFS(Base!$W$3:$W$5001,Base!$B$3:$B$5001,G$127,Base!$A$3:$A$5001,_xlfn.MAXIFS(Base!$A$3:$A$5001,Base!$B$3:$B$5001,G$127,Base!$A$3:$A$5001,"&gt;="&amp;$C$7,Base!$A$3:$A$5001,"&lt;="&amp;$B151,Base!$W$3:$W$5001,"&lt;&gt;"))))</f>
        <v>2</v>
      </c>
      <c r="H151">
        <f>IF($A151&gt;$B$9,"",IF(COUNTIFS(Base!$B$3:$B$5001,H$127,Base!$A$3:$A$5001,"&gt;="&amp;$C$7,Base!$A$3:$A$5001,"&lt;="&amp;$B151,Base!$W$3:$W$5001,"&lt;&gt;")=0,"",SUMIFS(Base!$W$3:$W$5001,Base!$B$3:$B$5001,H$127,Base!$A$3:$A$5001,_xlfn.MAXIFS(Base!$A$3:$A$5001,Base!$B$3:$B$5001,H$127,Base!$A$3:$A$5001,"&gt;="&amp;$C$7,Base!$A$3:$A$5001,"&lt;="&amp;$B151,Base!$W$3:$W$5001,"&lt;&gt;"))))</f>
        <v>3</v>
      </c>
      <c r="I151">
        <f>IF($A151&gt;$B$9,"",IF(COUNTIFS(Base!$B$3:$B$5001,I$127,Base!$A$3:$A$5001,"&gt;="&amp;$C$7,Base!$A$3:$A$5001,"&lt;="&amp;$B151,Base!$W$3:$W$5001,"&lt;&gt;")=0,"",SUMIFS(Base!$W$3:$W$5001,Base!$B$3:$B$5001,I$127,Base!$A$3:$A$5001,_xlfn.MAXIFS(Base!$A$3:$A$5001,Base!$B$3:$B$5001,I$127,Base!$A$3:$A$5001,"&gt;="&amp;$C$7,Base!$A$3:$A$5001,"&lt;="&amp;$B151,Base!$W$3:$W$5001,"&lt;&gt;"))))</f>
        <v>3</v>
      </c>
      <c r="J151">
        <f>IF($A151&gt;$B$9,"",IF(COUNTIFS(Base!$B$3:$B$5001,J$127,Base!$A$3:$A$5001,"&gt;="&amp;$C$7,Base!$A$3:$A$5001,"&lt;="&amp;$B151,Base!$W$3:$W$5001,"&lt;&gt;")=0,"",SUMIFS(Base!$W$3:$W$5001,Base!$B$3:$B$5001,J$127,Base!$A$3:$A$5001,_xlfn.MAXIFS(Base!$A$3:$A$5001,Base!$B$3:$B$5001,J$127,Base!$A$3:$A$5001,"&gt;="&amp;$C$7,Base!$A$3:$A$5001,"&lt;="&amp;$B151,Base!$W$3:$W$5001,"&lt;&gt;"))))</f>
        <v>10</v>
      </c>
      <c r="K151">
        <f>IF($A151&gt;$B$9,"",IF(COUNTIFS(Base!$B$3:$B$5001,K$127,Base!$A$3:$A$5001,"&gt;="&amp;$C$7,Base!$A$3:$A$5001,"&lt;="&amp;$B151,Base!$W$3:$W$5001,"&lt;&gt;")=0,"",SUMIFS(Base!$W$3:$W$5001,Base!$B$3:$B$5001,K$127,Base!$A$3:$A$5001,_xlfn.MAXIFS(Base!$A$3:$A$5001,Base!$B$3:$B$5001,K$127,Base!$A$3:$A$5001,"&gt;="&amp;$C$7,Base!$A$3:$A$5001,"&lt;="&amp;$B151,Base!$W$3:$W$5001,"&lt;&gt;"))))</f>
        <v>13</v>
      </c>
    </row>
    <row r="152">
      <c r="A152">
        <v>25</v>
      </c>
      <c r="B152" s="152">
        <f>$B$36</f>
        <v>46290</v>
      </c>
      <c r="C152">
        <f>IF($A152&gt;$B$9,"",IF(COUNTIFS(Base!$B$3:$B$5001,C$127,Base!$A$3:$A$5001,"&gt;="&amp;$C$7,Base!$A$3:$A$5001,"&lt;="&amp;$B152,Base!$W$3:$W$5001,"&lt;&gt;")=0,"",SUMIFS(Base!$W$3:$W$5001,Base!$B$3:$B$5001,C$127,Base!$A$3:$A$5001,_xlfn.MAXIFS(Base!$A$3:$A$5001,Base!$B$3:$B$5001,C$127,Base!$A$3:$A$5001,"&gt;="&amp;$C$7,Base!$A$3:$A$5001,"&lt;="&amp;$B152,Base!$W$3:$W$5001,"&lt;&gt;"))))</f>
        <v>0</v>
      </c>
      <c r="D152">
        <f>IF($A152&gt;$B$9,"",IF(COUNTIFS(Base!$B$3:$B$5001,D$127,Base!$A$3:$A$5001,"&gt;="&amp;$C$7,Base!$A$3:$A$5001,"&lt;="&amp;$B152,Base!$W$3:$W$5001,"&lt;&gt;")=0,"",SUMIFS(Base!$W$3:$W$5001,Base!$B$3:$B$5001,D$127,Base!$A$3:$A$5001,_xlfn.MAXIFS(Base!$A$3:$A$5001,Base!$B$3:$B$5001,D$127,Base!$A$3:$A$5001,"&gt;="&amp;$C$7,Base!$A$3:$A$5001,"&lt;="&amp;$B152,Base!$W$3:$W$5001,"&lt;&gt;"))))</f>
        <v>14</v>
      </c>
      <c r="E152">
        <f>IF($A152&gt;$B$9,"",IF(COUNTIFS(Base!$B$3:$B$5001,E$127,Base!$A$3:$A$5001,"&gt;="&amp;$C$7,Base!$A$3:$A$5001,"&lt;="&amp;$B152,Base!$W$3:$W$5001,"&lt;&gt;")=0,"",SUMIFS(Base!$W$3:$W$5001,Base!$B$3:$B$5001,E$127,Base!$A$3:$A$5001,_xlfn.MAXIFS(Base!$A$3:$A$5001,Base!$B$3:$B$5001,E$127,Base!$A$3:$A$5001,"&gt;="&amp;$C$7,Base!$A$3:$A$5001,"&lt;="&amp;$B152,Base!$W$3:$W$5001,"&lt;&gt;"))))</f>
        <v>1</v>
      </c>
      <c r="F152">
        <f>IF($A152&gt;$B$9,"",IF(COUNTIFS(Base!$B$3:$B$5001,F$127,Base!$A$3:$A$5001,"&gt;="&amp;$C$7,Base!$A$3:$A$5001,"&lt;="&amp;$B152,Base!$W$3:$W$5001,"&lt;&gt;")=0,"",SUMIFS(Base!$W$3:$W$5001,Base!$B$3:$B$5001,F$127,Base!$A$3:$A$5001,_xlfn.MAXIFS(Base!$A$3:$A$5001,Base!$B$3:$B$5001,F$127,Base!$A$3:$A$5001,"&gt;="&amp;$C$7,Base!$A$3:$A$5001,"&lt;="&amp;$B152,Base!$W$3:$W$5001,"&lt;&gt;"))))</f>
        <v>6</v>
      </c>
      <c r="G152">
        <f>IF($A152&gt;$B$9,"",IF(COUNTIFS(Base!$B$3:$B$5001,G$127,Base!$A$3:$A$5001,"&gt;="&amp;$C$7,Base!$A$3:$A$5001,"&lt;="&amp;$B152,Base!$W$3:$W$5001,"&lt;&gt;")=0,"",SUMIFS(Base!$W$3:$W$5001,Base!$B$3:$B$5001,G$127,Base!$A$3:$A$5001,_xlfn.MAXIFS(Base!$A$3:$A$5001,Base!$B$3:$B$5001,G$127,Base!$A$3:$A$5001,"&gt;="&amp;$C$7,Base!$A$3:$A$5001,"&lt;="&amp;$B152,Base!$W$3:$W$5001,"&lt;&gt;"))))</f>
        <v>2</v>
      </c>
      <c r="H152">
        <f>IF($A152&gt;$B$9,"",IF(COUNTIFS(Base!$B$3:$B$5001,H$127,Base!$A$3:$A$5001,"&gt;="&amp;$C$7,Base!$A$3:$A$5001,"&lt;="&amp;$B152,Base!$W$3:$W$5001,"&lt;&gt;")=0,"",SUMIFS(Base!$W$3:$W$5001,Base!$B$3:$B$5001,H$127,Base!$A$3:$A$5001,_xlfn.MAXIFS(Base!$A$3:$A$5001,Base!$B$3:$B$5001,H$127,Base!$A$3:$A$5001,"&gt;="&amp;$C$7,Base!$A$3:$A$5001,"&lt;="&amp;$B152,Base!$W$3:$W$5001,"&lt;&gt;"))))</f>
        <v>3</v>
      </c>
      <c r="I152">
        <f>IF($A152&gt;$B$9,"",IF(COUNTIFS(Base!$B$3:$B$5001,I$127,Base!$A$3:$A$5001,"&gt;="&amp;$C$7,Base!$A$3:$A$5001,"&lt;="&amp;$B152,Base!$W$3:$W$5001,"&lt;&gt;")=0,"",SUMIFS(Base!$W$3:$W$5001,Base!$B$3:$B$5001,I$127,Base!$A$3:$A$5001,_xlfn.MAXIFS(Base!$A$3:$A$5001,Base!$B$3:$B$5001,I$127,Base!$A$3:$A$5001,"&gt;="&amp;$C$7,Base!$A$3:$A$5001,"&lt;="&amp;$B152,Base!$W$3:$W$5001,"&lt;&gt;"))))</f>
        <v>13</v>
      </c>
      <c r="J152">
        <f>IF($A152&gt;$B$9,"",IF(COUNTIFS(Base!$B$3:$B$5001,J$127,Base!$A$3:$A$5001,"&gt;="&amp;$C$7,Base!$A$3:$A$5001,"&lt;="&amp;$B152,Base!$W$3:$W$5001,"&lt;&gt;")=0,"",SUMIFS(Base!$W$3:$W$5001,Base!$B$3:$B$5001,J$127,Base!$A$3:$A$5001,_xlfn.MAXIFS(Base!$A$3:$A$5001,Base!$B$3:$B$5001,J$127,Base!$A$3:$A$5001,"&gt;="&amp;$C$7,Base!$A$3:$A$5001,"&lt;="&amp;$B152,Base!$W$3:$W$5001,"&lt;&gt;"))))</f>
        <v>10</v>
      </c>
      <c r="K152">
        <f>IF($A152&gt;$B$9,"",IF(COUNTIFS(Base!$B$3:$B$5001,K$127,Base!$A$3:$A$5001,"&gt;="&amp;$C$7,Base!$A$3:$A$5001,"&lt;="&amp;$B152,Base!$W$3:$W$5001,"&lt;&gt;")=0,"",SUMIFS(Base!$W$3:$W$5001,Base!$B$3:$B$5001,K$127,Base!$A$3:$A$5001,_xlfn.MAXIFS(Base!$A$3:$A$5001,Base!$B$3:$B$5001,K$127,Base!$A$3:$A$5001,"&gt;="&amp;$C$7,Base!$A$3:$A$5001,"&lt;="&amp;$B152,Base!$W$3:$W$5001,"&lt;&gt;"))))</f>
        <v>1</v>
      </c>
    </row>
    <row r="153">
      <c r="A153">
        <v>26</v>
      </c>
      <c r="B153" s="152">
        <f>$B$37</f>
        <v>46291</v>
      </c>
      <c r="C153">
        <f>IF($A153&gt;$B$9,"",IF(COUNTIFS(Base!$B$3:$B$5001,C$127,Base!$A$3:$A$5001,"&gt;="&amp;$C$7,Base!$A$3:$A$5001,"&lt;="&amp;$B153,Base!$W$3:$W$5001,"&lt;&gt;")=0,"",SUMIFS(Base!$W$3:$W$5001,Base!$B$3:$B$5001,C$127,Base!$A$3:$A$5001,_xlfn.MAXIFS(Base!$A$3:$A$5001,Base!$B$3:$B$5001,C$127,Base!$A$3:$A$5001,"&gt;="&amp;$C$7,Base!$A$3:$A$5001,"&lt;="&amp;$B153,Base!$W$3:$W$5001,"&lt;&gt;"))))</f>
        <v>6</v>
      </c>
      <c r="D153">
        <f>IF($A153&gt;$B$9,"",IF(COUNTIFS(Base!$B$3:$B$5001,D$127,Base!$A$3:$A$5001,"&gt;="&amp;$C$7,Base!$A$3:$A$5001,"&lt;="&amp;$B153,Base!$W$3:$W$5001,"&lt;&gt;")=0,"",SUMIFS(Base!$W$3:$W$5001,Base!$B$3:$B$5001,D$127,Base!$A$3:$A$5001,_xlfn.MAXIFS(Base!$A$3:$A$5001,Base!$B$3:$B$5001,D$127,Base!$A$3:$A$5001,"&gt;="&amp;$C$7,Base!$A$3:$A$5001,"&lt;="&amp;$B153,Base!$W$3:$W$5001,"&lt;&gt;"))))</f>
        <v>14</v>
      </c>
      <c r="E153">
        <f>IF($A153&gt;$B$9,"",IF(COUNTIFS(Base!$B$3:$B$5001,E$127,Base!$A$3:$A$5001,"&gt;="&amp;$C$7,Base!$A$3:$A$5001,"&lt;="&amp;$B153,Base!$W$3:$W$5001,"&lt;&gt;")=0,"",SUMIFS(Base!$W$3:$W$5001,Base!$B$3:$B$5001,E$127,Base!$A$3:$A$5001,_xlfn.MAXIFS(Base!$A$3:$A$5001,Base!$B$3:$B$5001,E$127,Base!$A$3:$A$5001,"&gt;="&amp;$C$7,Base!$A$3:$A$5001,"&lt;="&amp;$B153,Base!$W$3:$W$5001,"&lt;&gt;"))))</f>
        <v>9</v>
      </c>
      <c r="F153">
        <f>IF($A153&gt;$B$9,"",IF(COUNTIFS(Base!$B$3:$B$5001,F$127,Base!$A$3:$A$5001,"&gt;="&amp;$C$7,Base!$A$3:$A$5001,"&lt;="&amp;$B153,Base!$W$3:$W$5001,"&lt;&gt;")=0,"",SUMIFS(Base!$W$3:$W$5001,Base!$B$3:$B$5001,F$127,Base!$A$3:$A$5001,_xlfn.MAXIFS(Base!$A$3:$A$5001,Base!$B$3:$B$5001,F$127,Base!$A$3:$A$5001,"&gt;="&amp;$C$7,Base!$A$3:$A$5001,"&lt;="&amp;$B153,Base!$W$3:$W$5001,"&lt;&gt;"))))</f>
        <v>6</v>
      </c>
      <c r="G153">
        <f>IF($A153&gt;$B$9,"",IF(COUNTIFS(Base!$B$3:$B$5001,G$127,Base!$A$3:$A$5001,"&gt;="&amp;$C$7,Base!$A$3:$A$5001,"&lt;="&amp;$B153,Base!$W$3:$W$5001,"&lt;&gt;")=0,"",SUMIFS(Base!$W$3:$W$5001,Base!$B$3:$B$5001,G$127,Base!$A$3:$A$5001,_xlfn.MAXIFS(Base!$A$3:$A$5001,Base!$B$3:$B$5001,G$127,Base!$A$3:$A$5001,"&gt;="&amp;$C$7,Base!$A$3:$A$5001,"&lt;="&amp;$B153,Base!$W$3:$W$5001,"&lt;&gt;"))))</f>
        <v>15</v>
      </c>
      <c r="H153">
        <f>IF($A153&gt;$B$9,"",IF(COUNTIFS(Base!$B$3:$B$5001,H$127,Base!$A$3:$A$5001,"&gt;="&amp;$C$7,Base!$A$3:$A$5001,"&lt;="&amp;$B153,Base!$W$3:$W$5001,"&lt;&gt;")=0,"",SUMIFS(Base!$W$3:$W$5001,Base!$B$3:$B$5001,H$127,Base!$A$3:$A$5001,_xlfn.MAXIFS(Base!$A$3:$A$5001,Base!$B$3:$B$5001,H$127,Base!$A$3:$A$5001,"&gt;="&amp;$C$7,Base!$A$3:$A$5001,"&lt;="&amp;$B153,Base!$W$3:$W$5001,"&lt;&gt;"))))</f>
        <v>3</v>
      </c>
      <c r="I153">
        <f>IF($A153&gt;$B$9,"",IF(COUNTIFS(Base!$B$3:$B$5001,I$127,Base!$A$3:$A$5001,"&gt;="&amp;$C$7,Base!$A$3:$A$5001,"&lt;="&amp;$B153,Base!$W$3:$W$5001,"&lt;&gt;")=0,"",SUMIFS(Base!$W$3:$W$5001,Base!$B$3:$B$5001,I$127,Base!$A$3:$A$5001,_xlfn.MAXIFS(Base!$A$3:$A$5001,Base!$B$3:$B$5001,I$127,Base!$A$3:$A$5001,"&gt;="&amp;$C$7,Base!$A$3:$A$5001,"&lt;="&amp;$B153,Base!$W$3:$W$5001,"&lt;&gt;"))))</f>
        <v>13</v>
      </c>
      <c r="J153">
        <f>IF($A153&gt;$B$9,"",IF(COUNTIFS(Base!$B$3:$B$5001,J$127,Base!$A$3:$A$5001,"&gt;="&amp;$C$7,Base!$A$3:$A$5001,"&lt;="&amp;$B153,Base!$W$3:$W$5001,"&lt;&gt;")=0,"",SUMIFS(Base!$W$3:$W$5001,Base!$B$3:$B$5001,J$127,Base!$A$3:$A$5001,_xlfn.MAXIFS(Base!$A$3:$A$5001,Base!$B$3:$B$5001,J$127,Base!$A$3:$A$5001,"&gt;="&amp;$C$7,Base!$A$3:$A$5001,"&lt;="&amp;$B153,Base!$W$3:$W$5001,"&lt;&gt;"))))</f>
        <v>10</v>
      </c>
      <c r="K153">
        <f>IF($A153&gt;$B$9,"",IF(COUNTIFS(Base!$B$3:$B$5001,K$127,Base!$A$3:$A$5001,"&gt;="&amp;$C$7,Base!$A$3:$A$5001,"&lt;="&amp;$B153,Base!$W$3:$W$5001,"&lt;&gt;")=0,"",SUMIFS(Base!$W$3:$W$5001,Base!$B$3:$B$5001,K$127,Base!$A$3:$A$5001,_xlfn.MAXIFS(Base!$A$3:$A$5001,Base!$B$3:$B$5001,K$127,Base!$A$3:$A$5001,"&gt;="&amp;$C$7,Base!$A$3:$A$5001,"&lt;="&amp;$B153,Base!$W$3:$W$5001,"&lt;&gt;"))))</f>
        <v>1</v>
      </c>
    </row>
    <row r="154">
      <c r="A154">
        <v>27</v>
      </c>
      <c r="B154" s="152">
        <f>$B$38</f>
        <v>46292</v>
      </c>
      <c r="C154">
        <f>IF($A154&gt;$B$9,"",IF(COUNTIFS(Base!$B$3:$B$5001,C$127,Base!$A$3:$A$5001,"&gt;="&amp;$C$7,Base!$A$3:$A$5001,"&lt;="&amp;$B154,Base!$W$3:$W$5001,"&lt;&gt;")=0,"",SUMIFS(Base!$W$3:$W$5001,Base!$B$3:$B$5001,C$127,Base!$A$3:$A$5001,_xlfn.MAXIFS(Base!$A$3:$A$5001,Base!$B$3:$B$5001,C$127,Base!$A$3:$A$5001,"&gt;="&amp;$C$7,Base!$A$3:$A$5001,"&lt;="&amp;$B154,Base!$W$3:$W$5001,"&lt;&gt;"))))</f>
        <v>6</v>
      </c>
      <c r="D154">
        <f>IF($A154&gt;$B$9,"",IF(COUNTIFS(Base!$B$3:$B$5001,D$127,Base!$A$3:$A$5001,"&gt;="&amp;$C$7,Base!$A$3:$A$5001,"&lt;="&amp;$B154,Base!$W$3:$W$5001,"&lt;&gt;")=0,"",SUMIFS(Base!$W$3:$W$5001,Base!$B$3:$B$5001,D$127,Base!$A$3:$A$5001,_xlfn.MAXIFS(Base!$A$3:$A$5001,Base!$B$3:$B$5001,D$127,Base!$A$3:$A$5001,"&gt;="&amp;$C$7,Base!$A$3:$A$5001,"&lt;="&amp;$B154,Base!$W$3:$W$5001,"&lt;&gt;"))))</f>
        <v>14</v>
      </c>
      <c r="E154">
        <f>IF($A154&gt;$B$9,"",IF(COUNTIFS(Base!$B$3:$B$5001,E$127,Base!$A$3:$A$5001,"&gt;="&amp;$C$7,Base!$A$3:$A$5001,"&lt;="&amp;$B154,Base!$W$3:$W$5001,"&lt;&gt;")=0,"",SUMIFS(Base!$W$3:$W$5001,Base!$B$3:$B$5001,E$127,Base!$A$3:$A$5001,_xlfn.MAXIFS(Base!$A$3:$A$5001,Base!$B$3:$B$5001,E$127,Base!$A$3:$A$5001,"&gt;="&amp;$C$7,Base!$A$3:$A$5001,"&lt;="&amp;$B154,Base!$W$3:$W$5001,"&lt;&gt;"))))</f>
        <v>9</v>
      </c>
      <c r="F154">
        <f>IF($A154&gt;$B$9,"",IF(COUNTIFS(Base!$B$3:$B$5001,F$127,Base!$A$3:$A$5001,"&gt;="&amp;$C$7,Base!$A$3:$A$5001,"&lt;="&amp;$B154,Base!$W$3:$W$5001,"&lt;&gt;")=0,"",SUMIFS(Base!$W$3:$W$5001,Base!$B$3:$B$5001,F$127,Base!$A$3:$A$5001,_xlfn.MAXIFS(Base!$A$3:$A$5001,Base!$B$3:$B$5001,F$127,Base!$A$3:$A$5001,"&gt;="&amp;$C$7,Base!$A$3:$A$5001,"&lt;="&amp;$B154,Base!$W$3:$W$5001,"&lt;&gt;"))))</f>
        <v>6</v>
      </c>
      <c r="G154">
        <f>IF($A154&gt;$B$9,"",IF(COUNTIFS(Base!$B$3:$B$5001,G$127,Base!$A$3:$A$5001,"&gt;="&amp;$C$7,Base!$A$3:$A$5001,"&lt;="&amp;$B154,Base!$W$3:$W$5001,"&lt;&gt;")=0,"",SUMIFS(Base!$W$3:$W$5001,Base!$B$3:$B$5001,G$127,Base!$A$3:$A$5001,_xlfn.MAXIFS(Base!$A$3:$A$5001,Base!$B$3:$B$5001,G$127,Base!$A$3:$A$5001,"&gt;="&amp;$C$7,Base!$A$3:$A$5001,"&lt;="&amp;$B154,Base!$W$3:$W$5001,"&lt;&gt;"))))</f>
        <v>15</v>
      </c>
      <c r="H154">
        <f>IF($A154&gt;$B$9,"",IF(COUNTIFS(Base!$B$3:$B$5001,H$127,Base!$A$3:$A$5001,"&gt;="&amp;$C$7,Base!$A$3:$A$5001,"&lt;="&amp;$B154,Base!$W$3:$W$5001,"&lt;&gt;")=0,"",SUMIFS(Base!$W$3:$W$5001,Base!$B$3:$B$5001,H$127,Base!$A$3:$A$5001,_xlfn.MAXIFS(Base!$A$3:$A$5001,Base!$B$3:$B$5001,H$127,Base!$A$3:$A$5001,"&gt;="&amp;$C$7,Base!$A$3:$A$5001,"&lt;="&amp;$B154,Base!$W$3:$W$5001,"&lt;&gt;"))))</f>
        <v>3</v>
      </c>
      <c r="I154">
        <f>IF($A154&gt;$B$9,"",IF(COUNTIFS(Base!$B$3:$B$5001,I$127,Base!$A$3:$A$5001,"&gt;="&amp;$C$7,Base!$A$3:$A$5001,"&lt;="&amp;$B154,Base!$W$3:$W$5001,"&lt;&gt;")=0,"",SUMIFS(Base!$W$3:$W$5001,Base!$B$3:$B$5001,I$127,Base!$A$3:$A$5001,_xlfn.MAXIFS(Base!$A$3:$A$5001,Base!$B$3:$B$5001,I$127,Base!$A$3:$A$5001,"&gt;="&amp;$C$7,Base!$A$3:$A$5001,"&lt;="&amp;$B154,Base!$W$3:$W$5001,"&lt;&gt;"))))</f>
        <v>13</v>
      </c>
      <c r="J154">
        <f>IF($A154&gt;$B$9,"",IF(COUNTIFS(Base!$B$3:$B$5001,J$127,Base!$A$3:$A$5001,"&gt;="&amp;$C$7,Base!$A$3:$A$5001,"&lt;="&amp;$B154,Base!$W$3:$W$5001,"&lt;&gt;")=0,"",SUMIFS(Base!$W$3:$W$5001,Base!$B$3:$B$5001,J$127,Base!$A$3:$A$5001,_xlfn.MAXIFS(Base!$A$3:$A$5001,Base!$B$3:$B$5001,J$127,Base!$A$3:$A$5001,"&gt;="&amp;$C$7,Base!$A$3:$A$5001,"&lt;="&amp;$B154,Base!$W$3:$W$5001,"&lt;&gt;"))))</f>
        <v>10</v>
      </c>
      <c r="K154">
        <f>IF($A154&gt;$B$9,"",IF(COUNTIFS(Base!$B$3:$B$5001,K$127,Base!$A$3:$A$5001,"&gt;="&amp;$C$7,Base!$A$3:$A$5001,"&lt;="&amp;$B154,Base!$W$3:$W$5001,"&lt;&gt;")=0,"",SUMIFS(Base!$W$3:$W$5001,Base!$B$3:$B$5001,K$127,Base!$A$3:$A$5001,_xlfn.MAXIFS(Base!$A$3:$A$5001,Base!$B$3:$B$5001,K$127,Base!$A$3:$A$5001,"&gt;="&amp;$C$7,Base!$A$3:$A$5001,"&lt;="&amp;$B154,Base!$W$3:$W$5001,"&lt;&gt;"))))</f>
        <v>1</v>
      </c>
    </row>
    <row r="155">
      <c r="A155">
        <v>28</v>
      </c>
      <c r="B155" s="152">
        <f>$B$39</f>
        <v>46293</v>
      </c>
      <c r="C155">
        <f>IF($A155&gt;$B$9,"",IF(COUNTIFS(Base!$B$3:$B$5001,C$127,Base!$A$3:$A$5001,"&gt;="&amp;$C$7,Base!$A$3:$A$5001,"&lt;="&amp;$B155,Base!$W$3:$W$5001,"&lt;&gt;")=0,"",SUMIFS(Base!$W$3:$W$5001,Base!$B$3:$B$5001,C$127,Base!$A$3:$A$5001,_xlfn.MAXIFS(Base!$A$3:$A$5001,Base!$B$3:$B$5001,C$127,Base!$A$3:$A$5001,"&gt;="&amp;$C$7,Base!$A$3:$A$5001,"&lt;="&amp;$B155,Base!$W$3:$W$5001,"&lt;&gt;"))))</f>
        <v>6</v>
      </c>
      <c r="D155">
        <f>IF($A155&gt;$B$9,"",IF(COUNTIFS(Base!$B$3:$B$5001,D$127,Base!$A$3:$A$5001,"&gt;="&amp;$C$7,Base!$A$3:$A$5001,"&lt;="&amp;$B155,Base!$W$3:$W$5001,"&lt;&gt;")=0,"",SUMIFS(Base!$W$3:$W$5001,Base!$B$3:$B$5001,D$127,Base!$A$3:$A$5001,_xlfn.MAXIFS(Base!$A$3:$A$5001,Base!$B$3:$B$5001,D$127,Base!$A$3:$A$5001,"&gt;="&amp;$C$7,Base!$A$3:$A$5001,"&lt;="&amp;$B155,Base!$W$3:$W$5001,"&lt;&gt;"))))</f>
        <v>6</v>
      </c>
      <c r="E155">
        <f>IF($A155&gt;$B$9,"",IF(COUNTIFS(Base!$B$3:$B$5001,E$127,Base!$A$3:$A$5001,"&gt;="&amp;$C$7,Base!$A$3:$A$5001,"&lt;="&amp;$B155,Base!$W$3:$W$5001,"&lt;&gt;")=0,"",SUMIFS(Base!$W$3:$W$5001,Base!$B$3:$B$5001,E$127,Base!$A$3:$A$5001,_xlfn.MAXIFS(Base!$A$3:$A$5001,Base!$B$3:$B$5001,E$127,Base!$A$3:$A$5001,"&gt;="&amp;$C$7,Base!$A$3:$A$5001,"&lt;="&amp;$B155,Base!$W$3:$W$5001,"&lt;&gt;"))))</f>
        <v>4</v>
      </c>
      <c r="F155">
        <f>IF($A155&gt;$B$9,"",IF(COUNTIFS(Base!$B$3:$B$5001,F$127,Base!$A$3:$A$5001,"&gt;="&amp;$C$7,Base!$A$3:$A$5001,"&lt;="&amp;$B155,Base!$W$3:$W$5001,"&lt;&gt;")=0,"",SUMIFS(Base!$W$3:$W$5001,Base!$B$3:$B$5001,F$127,Base!$A$3:$A$5001,_xlfn.MAXIFS(Base!$A$3:$A$5001,Base!$B$3:$B$5001,F$127,Base!$A$3:$A$5001,"&gt;="&amp;$C$7,Base!$A$3:$A$5001,"&lt;="&amp;$B155,Base!$W$3:$W$5001,"&lt;&gt;"))))</f>
        <v>6</v>
      </c>
      <c r="G155">
        <f>IF($A155&gt;$B$9,"",IF(COUNTIFS(Base!$B$3:$B$5001,G$127,Base!$A$3:$A$5001,"&gt;="&amp;$C$7,Base!$A$3:$A$5001,"&lt;="&amp;$B155,Base!$W$3:$W$5001,"&lt;&gt;")=0,"",SUMIFS(Base!$W$3:$W$5001,Base!$B$3:$B$5001,G$127,Base!$A$3:$A$5001,_xlfn.MAXIFS(Base!$A$3:$A$5001,Base!$B$3:$B$5001,G$127,Base!$A$3:$A$5001,"&gt;="&amp;$C$7,Base!$A$3:$A$5001,"&lt;="&amp;$B155,Base!$W$3:$W$5001,"&lt;&gt;"))))</f>
        <v>15</v>
      </c>
      <c r="H155">
        <f>IF($A155&gt;$B$9,"",IF(COUNTIFS(Base!$B$3:$B$5001,H$127,Base!$A$3:$A$5001,"&gt;="&amp;$C$7,Base!$A$3:$A$5001,"&lt;="&amp;$B155,Base!$W$3:$W$5001,"&lt;&gt;")=0,"",SUMIFS(Base!$W$3:$W$5001,Base!$B$3:$B$5001,H$127,Base!$A$3:$A$5001,_xlfn.MAXIFS(Base!$A$3:$A$5001,Base!$B$3:$B$5001,H$127,Base!$A$3:$A$5001,"&gt;="&amp;$C$7,Base!$A$3:$A$5001,"&lt;="&amp;$B155,Base!$W$3:$W$5001,"&lt;&gt;"))))</f>
        <v>3</v>
      </c>
      <c r="I155">
        <f>IF($A155&gt;$B$9,"",IF(COUNTIFS(Base!$B$3:$B$5001,I$127,Base!$A$3:$A$5001,"&gt;="&amp;$C$7,Base!$A$3:$A$5001,"&lt;="&amp;$B155,Base!$W$3:$W$5001,"&lt;&gt;")=0,"",SUMIFS(Base!$W$3:$W$5001,Base!$B$3:$B$5001,I$127,Base!$A$3:$A$5001,_xlfn.MAXIFS(Base!$A$3:$A$5001,Base!$B$3:$B$5001,I$127,Base!$A$3:$A$5001,"&gt;="&amp;$C$7,Base!$A$3:$A$5001,"&lt;="&amp;$B155,Base!$W$3:$W$5001,"&lt;&gt;"))))</f>
        <v>13</v>
      </c>
      <c r="J155">
        <f>IF($A155&gt;$B$9,"",IF(COUNTIFS(Base!$B$3:$B$5001,J$127,Base!$A$3:$A$5001,"&gt;="&amp;$C$7,Base!$A$3:$A$5001,"&lt;="&amp;$B155,Base!$W$3:$W$5001,"&lt;&gt;")=0,"",SUMIFS(Base!$W$3:$W$5001,Base!$B$3:$B$5001,J$127,Base!$A$3:$A$5001,_xlfn.MAXIFS(Base!$A$3:$A$5001,Base!$B$3:$B$5001,J$127,Base!$A$3:$A$5001,"&gt;="&amp;$C$7,Base!$A$3:$A$5001,"&lt;="&amp;$B155,Base!$W$3:$W$5001,"&lt;&gt;"))))</f>
        <v>10</v>
      </c>
      <c r="K155">
        <f>IF($A155&gt;$B$9,"",IF(COUNTIFS(Base!$B$3:$B$5001,K$127,Base!$A$3:$A$5001,"&gt;="&amp;$C$7,Base!$A$3:$A$5001,"&lt;="&amp;$B155,Base!$W$3:$W$5001,"&lt;&gt;")=0,"",SUMIFS(Base!$W$3:$W$5001,Base!$B$3:$B$5001,K$127,Base!$A$3:$A$5001,_xlfn.MAXIFS(Base!$A$3:$A$5001,Base!$B$3:$B$5001,K$127,Base!$A$3:$A$5001,"&gt;="&amp;$C$7,Base!$A$3:$A$5001,"&lt;="&amp;$B155,Base!$W$3:$W$5001,"&lt;&gt;"))))</f>
        <v>7</v>
      </c>
    </row>
    <row r="156">
      <c r="A156">
        <v>29</v>
      </c>
      <c r="B156" s="152">
        <f>$B$40</f>
        <v>46294</v>
      </c>
      <c r="C156">
        <f>IF($A156&gt;$B$9,"",IF(COUNTIFS(Base!$B$3:$B$5001,C$127,Base!$A$3:$A$5001,"&gt;="&amp;$C$7,Base!$A$3:$A$5001,"&lt;="&amp;$B156,Base!$W$3:$W$5001,"&lt;&gt;")=0,"",SUMIFS(Base!$W$3:$W$5001,Base!$B$3:$B$5001,C$127,Base!$A$3:$A$5001,_xlfn.MAXIFS(Base!$A$3:$A$5001,Base!$B$3:$B$5001,C$127,Base!$A$3:$A$5001,"&gt;="&amp;$C$7,Base!$A$3:$A$5001,"&lt;="&amp;$B156,Base!$W$3:$W$5001,"&lt;&gt;"))))</f>
        <v>6</v>
      </c>
      <c r="D156">
        <f>IF($A156&gt;$B$9,"",IF(COUNTIFS(Base!$B$3:$B$5001,D$127,Base!$A$3:$A$5001,"&gt;="&amp;$C$7,Base!$A$3:$A$5001,"&lt;="&amp;$B156,Base!$W$3:$W$5001,"&lt;&gt;")=0,"",SUMIFS(Base!$W$3:$W$5001,Base!$B$3:$B$5001,D$127,Base!$A$3:$A$5001,_xlfn.MAXIFS(Base!$A$3:$A$5001,Base!$B$3:$B$5001,D$127,Base!$A$3:$A$5001,"&gt;="&amp;$C$7,Base!$A$3:$A$5001,"&lt;="&amp;$B156,Base!$W$3:$W$5001,"&lt;&gt;"))))</f>
        <v>6</v>
      </c>
      <c r="E156">
        <f>IF($A156&gt;$B$9,"",IF(COUNTIFS(Base!$B$3:$B$5001,E$127,Base!$A$3:$A$5001,"&gt;="&amp;$C$7,Base!$A$3:$A$5001,"&lt;="&amp;$B156,Base!$W$3:$W$5001,"&lt;&gt;")=0,"",SUMIFS(Base!$W$3:$W$5001,Base!$B$3:$B$5001,E$127,Base!$A$3:$A$5001,_xlfn.MAXIFS(Base!$A$3:$A$5001,Base!$B$3:$B$5001,E$127,Base!$A$3:$A$5001,"&gt;="&amp;$C$7,Base!$A$3:$A$5001,"&lt;="&amp;$B156,Base!$W$3:$W$5001,"&lt;&gt;"))))</f>
        <v>5</v>
      </c>
      <c r="F156">
        <f>IF($A156&gt;$B$9,"",IF(COUNTIFS(Base!$B$3:$B$5001,F$127,Base!$A$3:$A$5001,"&gt;="&amp;$C$7,Base!$A$3:$A$5001,"&lt;="&amp;$B156,Base!$W$3:$W$5001,"&lt;&gt;")=0,"",SUMIFS(Base!$W$3:$W$5001,Base!$B$3:$B$5001,F$127,Base!$A$3:$A$5001,_xlfn.MAXIFS(Base!$A$3:$A$5001,Base!$B$3:$B$5001,F$127,Base!$A$3:$A$5001,"&gt;="&amp;$C$7,Base!$A$3:$A$5001,"&lt;="&amp;$B156,Base!$W$3:$W$5001,"&lt;&gt;"))))</f>
        <v>6</v>
      </c>
      <c r="G156">
        <f>IF($A156&gt;$B$9,"",IF(COUNTIFS(Base!$B$3:$B$5001,G$127,Base!$A$3:$A$5001,"&gt;="&amp;$C$7,Base!$A$3:$A$5001,"&lt;="&amp;$B156,Base!$W$3:$W$5001,"&lt;&gt;")=0,"",SUMIFS(Base!$W$3:$W$5001,Base!$B$3:$B$5001,G$127,Base!$A$3:$A$5001,_xlfn.MAXIFS(Base!$A$3:$A$5001,Base!$B$3:$B$5001,G$127,Base!$A$3:$A$5001,"&gt;="&amp;$C$7,Base!$A$3:$A$5001,"&lt;="&amp;$B156,Base!$W$3:$W$5001,"&lt;&gt;"))))</f>
        <v>15</v>
      </c>
      <c r="H156">
        <f>IF($A156&gt;$B$9,"",IF(COUNTIFS(Base!$B$3:$B$5001,H$127,Base!$A$3:$A$5001,"&gt;="&amp;$C$7,Base!$A$3:$A$5001,"&lt;="&amp;$B156,Base!$W$3:$W$5001,"&lt;&gt;")=0,"",SUMIFS(Base!$W$3:$W$5001,Base!$B$3:$B$5001,H$127,Base!$A$3:$A$5001,_xlfn.MAXIFS(Base!$A$3:$A$5001,Base!$B$3:$B$5001,H$127,Base!$A$3:$A$5001,"&gt;="&amp;$C$7,Base!$A$3:$A$5001,"&lt;="&amp;$B156,Base!$W$3:$W$5001,"&lt;&gt;"))))</f>
        <v>3</v>
      </c>
      <c r="I156">
        <f>IF($A156&gt;$B$9,"",IF(COUNTIFS(Base!$B$3:$B$5001,I$127,Base!$A$3:$A$5001,"&gt;="&amp;$C$7,Base!$A$3:$A$5001,"&lt;="&amp;$B156,Base!$W$3:$W$5001,"&lt;&gt;")=0,"",SUMIFS(Base!$W$3:$W$5001,Base!$B$3:$B$5001,I$127,Base!$A$3:$A$5001,_xlfn.MAXIFS(Base!$A$3:$A$5001,Base!$B$3:$B$5001,I$127,Base!$A$3:$A$5001,"&gt;="&amp;$C$7,Base!$A$3:$A$5001,"&lt;="&amp;$B156,Base!$W$3:$W$5001,"&lt;&gt;"))))</f>
        <v>15</v>
      </c>
      <c r="J156">
        <f>IF($A156&gt;$B$9,"",IF(COUNTIFS(Base!$B$3:$B$5001,J$127,Base!$A$3:$A$5001,"&gt;="&amp;$C$7,Base!$A$3:$A$5001,"&lt;="&amp;$B156,Base!$W$3:$W$5001,"&lt;&gt;")=0,"",SUMIFS(Base!$W$3:$W$5001,Base!$B$3:$B$5001,J$127,Base!$A$3:$A$5001,_xlfn.MAXIFS(Base!$A$3:$A$5001,Base!$B$3:$B$5001,J$127,Base!$A$3:$A$5001,"&gt;="&amp;$C$7,Base!$A$3:$A$5001,"&lt;="&amp;$B156,Base!$W$3:$W$5001,"&lt;&gt;"))))</f>
        <v>8</v>
      </c>
      <c r="K156">
        <f>IF($A156&gt;$B$9,"",IF(COUNTIFS(Base!$B$3:$B$5001,K$127,Base!$A$3:$A$5001,"&gt;="&amp;$C$7,Base!$A$3:$A$5001,"&lt;="&amp;$B156,Base!$W$3:$W$5001,"&lt;&gt;")=0,"",SUMIFS(Base!$W$3:$W$5001,Base!$B$3:$B$5001,K$127,Base!$A$3:$A$5001,_xlfn.MAXIFS(Base!$A$3:$A$5001,Base!$B$3:$B$5001,K$127,Base!$A$3:$A$5001,"&gt;="&amp;$C$7,Base!$A$3:$A$5001,"&lt;="&amp;$B156,Base!$W$3:$W$5001,"&lt;&gt;"))))</f>
        <v>7</v>
      </c>
    </row>
    <row r="157">
      <c r="A157">
        <v>30</v>
      </c>
      <c r="B157" s="152">
        <f>$B$41</f>
        <v>46295</v>
      </c>
      <c r="C157" t="str">
        <f>IF($A157&gt;$B$9,"",IF(COUNTIFS(Base!$B$3:$B$5001,C$127,Base!$A$3:$A$5001,"&gt;="&amp;$C$7,Base!$A$3:$A$5001,"&lt;="&amp;$B157,Base!$W$3:$W$5001,"&lt;&gt;")=0,"",SUMIFS(Base!$W$3:$W$5001,Base!$B$3:$B$5001,C$127,Base!$A$3:$A$5001,_xlfn.MAXIFS(Base!$A$3:$A$5001,Base!$B$3:$B$5001,C$127,Base!$A$3:$A$5001,"&gt;="&amp;$C$7,Base!$A$3:$A$5001,"&lt;="&amp;$B157,Base!$W$3:$W$5001,"&lt;&gt;"))))</f>
        <v/>
      </c>
      <c r="D157" t="str">
        <f>IF($A157&gt;$B$9,"",IF(COUNTIFS(Base!$B$3:$B$5001,D$127,Base!$A$3:$A$5001,"&gt;="&amp;$C$7,Base!$A$3:$A$5001,"&lt;="&amp;$B157,Base!$W$3:$W$5001,"&lt;&gt;")=0,"",SUMIFS(Base!$W$3:$W$5001,Base!$B$3:$B$5001,D$127,Base!$A$3:$A$5001,_xlfn.MAXIFS(Base!$A$3:$A$5001,Base!$B$3:$B$5001,D$127,Base!$A$3:$A$5001,"&gt;="&amp;$C$7,Base!$A$3:$A$5001,"&lt;="&amp;$B157,Base!$W$3:$W$5001,"&lt;&gt;"))))</f>
        <v/>
      </c>
      <c r="E157" t="str">
        <f>IF($A157&gt;$B$9,"",IF(COUNTIFS(Base!$B$3:$B$5001,E$127,Base!$A$3:$A$5001,"&gt;="&amp;$C$7,Base!$A$3:$A$5001,"&lt;="&amp;$B157,Base!$W$3:$W$5001,"&lt;&gt;")=0,"",SUMIFS(Base!$W$3:$W$5001,Base!$B$3:$B$5001,E$127,Base!$A$3:$A$5001,_xlfn.MAXIFS(Base!$A$3:$A$5001,Base!$B$3:$B$5001,E$127,Base!$A$3:$A$5001,"&gt;="&amp;$C$7,Base!$A$3:$A$5001,"&lt;="&amp;$B157,Base!$W$3:$W$5001,"&lt;&gt;"))))</f>
        <v/>
      </c>
      <c r="F157" t="str">
        <f>IF($A157&gt;$B$9,"",IF(COUNTIFS(Base!$B$3:$B$5001,F$127,Base!$A$3:$A$5001,"&gt;="&amp;$C$7,Base!$A$3:$A$5001,"&lt;="&amp;$B157,Base!$W$3:$W$5001,"&lt;&gt;")=0,"",SUMIFS(Base!$W$3:$W$5001,Base!$B$3:$B$5001,F$127,Base!$A$3:$A$5001,_xlfn.MAXIFS(Base!$A$3:$A$5001,Base!$B$3:$B$5001,F$127,Base!$A$3:$A$5001,"&gt;="&amp;$C$7,Base!$A$3:$A$5001,"&lt;="&amp;$B157,Base!$W$3:$W$5001,"&lt;&gt;"))))</f>
        <v/>
      </c>
      <c r="G157" t="str">
        <f>IF($A157&gt;$B$9,"",IF(COUNTIFS(Base!$B$3:$B$5001,G$127,Base!$A$3:$A$5001,"&gt;="&amp;$C$7,Base!$A$3:$A$5001,"&lt;="&amp;$B157,Base!$W$3:$W$5001,"&lt;&gt;")=0,"",SUMIFS(Base!$W$3:$W$5001,Base!$B$3:$B$5001,G$127,Base!$A$3:$A$5001,_xlfn.MAXIFS(Base!$A$3:$A$5001,Base!$B$3:$B$5001,G$127,Base!$A$3:$A$5001,"&gt;="&amp;$C$7,Base!$A$3:$A$5001,"&lt;="&amp;$B157,Base!$W$3:$W$5001,"&lt;&gt;"))))</f>
        <v/>
      </c>
      <c r="H157" t="str">
        <f>IF($A157&gt;$B$9,"",IF(COUNTIFS(Base!$B$3:$B$5001,H$127,Base!$A$3:$A$5001,"&gt;="&amp;$C$7,Base!$A$3:$A$5001,"&lt;="&amp;$B157,Base!$W$3:$W$5001,"&lt;&gt;")=0,"",SUMIFS(Base!$W$3:$W$5001,Base!$B$3:$B$5001,H$127,Base!$A$3:$A$5001,_xlfn.MAXIFS(Base!$A$3:$A$5001,Base!$B$3:$B$5001,H$127,Base!$A$3:$A$5001,"&gt;="&amp;$C$7,Base!$A$3:$A$5001,"&lt;="&amp;$B157,Base!$W$3:$W$5001,"&lt;&gt;"))))</f>
        <v/>
      </c>
      <c r="I157" t="str">
        <f>IF($A157&gt;$B$9,"",IF(COUNTIFS(Base!$B$3:$B$5001,I$127,Base!$A$3:$A$5001,"&gt;="&amp;$C$7,Base!$A$3:$A$5001,"&lt;="&amp;$B157,Base!$W$3:$W$5001,"&lt;&gt;")=0,"",SUMIFS(Base!$W$3:$W$5001,Base!$B$3:$B$5001,I$127,Base!$A$3:$A$5001,_xlfn.MAXIFS(Base!$A$3:$A$5001,Base!$B$3:$B$5001,I$127,Base!$A$3:$A$5001,"&gt;="&amp;$C$7,Base!$A$3:$A$5001,"&lt;="&amp;$B157,Base!$W$3:$W$5001,"&lt;&gt;"))))</f>
        <v/>
      </c>
      <c r="J157" t="str">
        <f>IF($A157&gt;$B$9,"",IF(COUNTIFS(Base!$B$3:$B$5001,J$127,Base!$A$3:$A$5001,"&gt;="&amp;$C$7,Base!$A$3:$A$5001,"&lt;="&amp;$B157,Base!$W$3:$W$5001,"&lt;&gt;")=0,"",SUMIFS(Base!$W$3:$W$5001,Base!$B$3:$B$5001,J$127,Base!$A$3:$A$5001,_xlfn.MAXIFS(Base!$A$3:$A$5001,Base!$B$3:$B$5001,J$127,Base!$A$3:$A$5001,"&gt;="&amp;$C$7,Base!$A$3:$A$5001,"&lt;="&amp;$B157,Base!$W$3:$W$5001,"&lt;&gt;"))))</f>
        <v/>
      </c>
      <c r="K157" t="str">
        <f>IF($A157&gt;$B$9,"",IF(COUNTIFS(Base!$B$3:$B$5001,K$127,Base!$A$3:$A$5001,"&gt;="&amp;$C$7,Base!$A$3:$A$5001,"&lt;="&amp;$B157,Base!$W$3:$W$5001,"&lt;&gt;")=0,"",SUMIFS(Base!$W$3:$W$5001,Base!$B$3:$B$5001,K$127,Base!$A$3:$A$5001,_xlfn.MAXIFS(Base!$A$3:$A$5001,Base!$B$3:$B$5001,K$127,Base!$A$3:$A$5001,"&gt;="&amp;$C$7,Base!$A$3:$A$5001,"&lt;="&amp;$B157,Base!$W$3:$W$5001,"&lt;&gt;"))))</f>
        <v/>
      </c>
    </row>
    <row r="158">
      <c r="A158">
        <v>31</v>
      </c>
      <c r="B158" s="152" t="str">
        <f>$B$42</f>
        <v/>
      </c>
      <c r="C158" t="str">
        <f>IF($A158&gt;$B$9,"",IF(COUNTIFS(Base!$B$3:$B$5001,C$127,Base!$A$3:$A$5001,"&gt;="&amp;$C$7,Base!$A$3:$A$5001,"&lt;="&amp;$B158,Base!$W$3:$W$5001,"&lt;&gt;")=0,"",SUMIFS(Base!$W$3:$W$5001,Base!$B$3:$B$5001,C$127,Base!$A$3:$A$5001,_xlfn.MAXIFS(Base!$A$3:$A$5001,Base!$B$3:$B$5001,C$127,Base!$A$3:$A$5001,"&gt;="&amp;$C$7,Base!$A$3:$A$5001,"&lt;="&amp;$B158,Base!$W$3:$W$5001,"&lt;&gt;"))))</f>
        <v/>
      </c>
      <c r="D158" t="str">
        <f>IF($A158&gt;$B$9,"",IF(COUNTIFS(Base!$B$3:$B$5001,D$127,Base!$A$3:$A$5001,"&gt;="&amp;$C$7,Base!$A$3:$A$5001,"&lt;="&amp;$B158,Base!$W$3:$W$5001,"&lt;&gt;")=0,"",SUMIFS(Base!$W$3:$W$5001,Base!$B$3:$B$5001,D$127,Base!$A$3:$A$5001,_xlfn.MAXIFS(Base!$A$3:$A$5001,Base!$B$3:$B$5001,D$127,Base!$A$3:$A$5001,"&gt;="&amp;$C$7,Base!$A$3:$A$5001,"&lt;="&amp;$B158,Base!$W$3:$W$5001,"&lt;&gt;"))))</f>
        <v/>
      </c>
      <c r="E158" t="str">
        <f>IF($A158&gt;$B$9,"",IF(COUNTIFS(Base!$B$3:$B$5001,E$127,Base!$A$3:$A$5001,"&gt;="&amp;$C$7,Base!$A$3:$A$5001,"&lt;="&amp;$B158,Base!$W$3:$W$5001,"&lt;&gt;")=0,"",SUMIFS(Base!$W$3:$W$5001,Base!$B$3:$B$5001,E$127,Base!$A$3:$A$5001,_xlfn.MAXIFS(Base!$A$3:$A$5001,Base!$B$3:$B$5001,E$127,Base!$A$3:$A$5001,"&gt;="&amp;$C$7,Base!$A$3:$A$5001,"&lt;="&amp;$B158,Base!$W$3:$W$5001,"&lt;&gt;"))))</f>
        <v/>
      </c>
      <c r="F158" t="str">
        <f>IF($A158&gt;$B$9,"",IF(COUNTIFS(Base!$B$3:$B$5001,F$127,Base!$A$3:$A$5001,"&gt;="&amp;$C$7,Base!$A$3:$A$5001,"&lt;="&amp;$B158,Base!$W$3:$W$5001,"&lt;&gt;")=0,"",SUMIFS(Base!$W$3:$W$5001,Base!$B$3:$B$5001,F$127,Base!$A$3:$A$5001,_xlfn.MAXIFS(Base!$A$3:$A$5001,Base!$B$3:$B$5001,F$127,Base!$A$3:$A$5001,"&gt;="&amp;$C$7,Base!$A$3:$A$5001,"&lt;="&amp;$B158,Base!$W$3:$W$5001,"&lt;&gt;"))))</f>
        <v/>
      </c>
      <c r="G158" t="str">
        <f>IF($A158&gt;$B$9,"",IF(COUNTIFS(Base!$B$3:$B$5001,G$127,Base!$A$3:$A$5001,"&gt;="&amp;$C$7,Base!$A$3:$A$5001,"&lt;="&amp;$B158,Base!$W$3:$W$5001,"&lt;&gt;")=0,"",SUMIFS(Base!$W$3:$W$5001,Base!$B$3:$B$5001,G$127,Base!$A$3:$A$5001,_xlfn.MAXIFS(Base!$A$3:$A$5001,Base!$B$3:$B$5001,G$127,Base!$A$3:$A$5001,"&gt;="&amp;$C$7,Base!$A$3:$A$5001,"&lt;="&amp;$B158,Base!$W$3:$W$5001,"&lt;&gt;"))))</f>
        <v/>
      </c>
      <c r="H158" t="str">
        <f>IF($A158&gt;$B$9,"",IF(COUNTIFS(Base!$B$3:$B$5001,H$127,Base!$A$3:$A$5001,"&gt;="&amp;$C$7,Base!$A$3:$A$5001,"&lt;="&amp;$B158,Base!$W$3:$W$5001,"&lt;&gt;")=0,"",SUMIFS(Base!$W$3:$W$5001,Base!$B$3:$B$5001,H$127,Base!$A$3:$A$5001,_xlfn.MAXIFS(Base!$A$3:$A$5001,Base!$B$3:$B$5001,H$127,Base!$A$3:$A$5001,"&gt;="&amp;$C$7,Base!$A$3:$A$5001,"&lt;="&amp;$B158,Base!$W$3:$W$5001,"&lt;&gt;"))))</f>
        <v/>
      </c>
      <c r="I158" t="str">
        <f>IF($A158&gt;$B$9,"",IF(COUNTIFS(Base!$B$3:$B$5001,I$127,Base!$A$3:$A$5001,"&gt;="&amp;$C$7,Base!$A$3:$A$5001,"&lt;="&amp;$B158,Base!$W$3:$W$5001,"&lt;&gt;")=0,"",SUMIFS(Base!$W$3:$W$5001,Base!$B$3:$B$5001,I$127,Base!$A$3:$A$5001,_xlfn.MAXIFS(Base!$A$3:$A$5001,Base!$B$3:$B$5001,I$127,Base!$A$3:$A$5001,"&gt;="&amp;$C$7,Base!$A$3:$A$5001,"&lt;="&amp;$B158,Base!$W$3:$W$5001,"&lt;&gt;"))))</f>
        <v/>
      </c>
      <c r="J158" t="str">
        <f>IF($A158&gt;$B$9,"",IF(COUNTIFS(Base!$B$3:$B$5001,J$127,Base!$A$3:$A$5001,"&gt;="&amp;$C$7,Base!$A$3:$A$5001,"&lt;="&amp;$B158,Base!$W$3:$W$5001,"&lt;&gt;")=0,"",SUMIFS(Base!$W$3:$W$5001,Base!$B$3:$B$5001,J$127,Base!$A$3:$A$5001,_xlfn.MAXIFS(Base!$A$3:$A$5001,Base!$B$3:$B$5001,J$127,Base!$A$3:$A$5001,"&gt;="&amp;$C$7,Base!$A$3:$A$5001,"&lt;="&amp;$B158,Base!$W$3:$W$5001,"&lt;&gt;"))))</f>
        <v/>
      </c>
      <c r="K158" t="str">
        <f>IF($A158&gt;$B$9,"",IF(COUNTIFS(Base!$B$3:$B$5001,K$127,Base!$A$3:$A$5001,"&gt;="&amp;$C$7,Base!$A$3:$A$5001,"&lt;="&amp;$B158,Base!$W$3:$W$5001,"&lt;&gt;")=0,"",SUMIFS(Base!$W$3:$W$5001,Base!$B$3:$B$5001,K$127,Base!$A$3:$A$5001,_xlfn.MAXIFS(Base!$A$3:$A$5001,Base!$B$3:$B$5001,K$127,Base!$A$3:$A$5001,"&gt;="&amp;$C$7,Base!$A$3:$A$5001,"&lt;="&amp;$B158,Base!$W$3:$W$5001,"&lt;&gt;"))))</f>
        <v/>
      </c>
    </row>
    <row r="159">
      <c r="A159" t="inlineStr">
        <is>
          <t xml:space="preserve">Mês anterior (último)</t>
        </is>
      </c>
      <c r="C159">
        <f>IF(COUNTIFS(Base!$B$3:$B$5001,C$127,Base!$A$3:$A$5001,"&gt;="&amp;$C$8,Base!$A$3:$A$5001,"&lt;="&amp;$D$8,Base!$W$3:$W$5001,"&lt;&gt;")=0,"",SUMIFS(Base!$W$3:$W$5001,Base!$B$3:$B$5001,C$127,Base!$A$3:$A$5001,_xlfn.MAXIFS(Base!$A$3:$A$5001,Base!$B$3:$B$5001,C$127,Base!$A$3:$A$5001,"&gt;="&amp;$C$8,Base!$A$3:$A$5001,"&lt;="&amp;$D$8,Base!$W$3:$W$5001,"&lt;&gt;")))</f>
        <v>8</v>
      </c>
      <c r="D159">
        <f>IF(COUNTIFS(Base!$B$3:$B$5001,D$127,Base!$A$3:$A$5001,"&gt;="&amp;$C$8,Base!$A$3:$A$5001,"&lt;="&amp;$D$8,Base!$W$3:$W$5001,"&lt;&gt;")=0,"",SUMIFS(Base!$W$3:$W$5001,Base!$B$3:$B$5001,D$127,Base!$A$3:$A$5001,_xlfn.MAXIFS(Base!$A$3:$A$5001,Base!$B$3:$B$5001,D$127,Base!$A$3:$A$5001,"&gt;="&amp;$C$8,Base!$A$3:$A$5001,"&lt;="&amp;$D$8,Base!$W$3:$W$5001,"&lt;&gt;")))</f>
        <v>1</v>
      </c>
      <c r="E159">
        <f>IF(COUNTIFS(Base!$B$3:$B$5001,E$127,Base!$A$3:$A$5001,"&gt;="&amp;$C$8,Base!$A$3:$A$5001,"&lt;="&amp;$D$8,Base!$W$3:$W$5001,"&lt;&gt;")=0,"",SUMIFS(Base!$W$3:$W$5001,Base!$B$3:$B$5001,E$127,Base!$A$3:$A$5001,_xlfn.MAXIFS(Base!$A$3:$A$5001,Base!$B$3:$B$5001,E$127,Base!$A$3:$A$5001,"&gt;="&amp;$C$8,Base!$A$3:$A$5001,"&lt;="&amp;$D$8,Base!$W$3:$W$5001,"&lt;&gt;")))</f>
        <v>10</v>
      </c>
      <c r="F159">
        <f>IF(COUNTIFS(Base!$B$3:$B$5001,F$127,Base!$A$3:$A$5001,"&gt;="&amp;$C$8,Base!$A$3:$A$5001,"&lt;="&amp;$D$8,Base!$W$3:$W$5001,"&lt;&gt;")=0,"",SUMIFS(Base!$W$3:$W$5001,Base!$B$3:$B$5001,F$127,Base!$A$3:$A$5001,_xlfn.MAXIFS(Base!$A$3:$A$5001,Base!$B$3:$B$5001,F$127,Base!$A$3:$A$5001,"&gt;="&amp;$C$8,Base!$A$3:$A$5001,"&lt;="&amp;$D$8,Base!$W$3:$W$5001,"&lt;&gt;")))</f>
        <v>6</v>
      </c>
      <c r="G159">
        <f>IF(COUNTIFS(Base!$B$3:$B$5001,G$127,Base!$A$3:$A$5001,"&gt;="&amp;$C$8,Base!$A$3:$A$5001,"&lt;="&amp;$D$8,Base!$W$3:$W$5001,"&lt;&gt;")=0,"",SUMIFS(Base!$W$3:$W$5001,Base!$B$3:$B$5001,G$127,Base!$A$3:$A$5001,_xlfn.MAXIFS(Base!$A$3:$A$5001,Base!$B$3:$B$5001,G$127,Base!$A$3:$A$5001,"&gt;="&amp;$C$8,Base!$A$3:$A$5001,"&lt;="&amp;$D$8,Base!$W$3:$W$5001,"&lt;&gt;")))</f>
        <v>7</v>
      </c>
      <c r="H159">
        <f>IF(COUNTIFS(Base!$B$3:$B$5001,H$127,Base!$A$3:$A$5001,"&gt;="&amp;$C$8,Base!$A$3:$A$5001,"&lt;="&amp;$D$8,Base!$W$3:$W$5001,"&lt;&gt;")=0,"",SUMIFS(Base!$W$3:$W$5001,Base!$B$3:$B$5001,H$127,Base!$A$3:$A$5001,_xlfn.MAXIFS(Base!$A$3:$A$5001,Base!$B$3:$B$5001,H$127,Base!$A$3:$A$5001,"&gt;="&amp;$C$8,Base!$A$3:$A$5001,"&lt;="&amp;$D$8,Base!$W$3:$W$5001,"&lt;&gt;")))</f>
        <v>14</v>
      </c>
      <c r="I159">
        <f>IF(COUNTIFS(Base!$B$3:$B$5001,I$127,Base!$A$3:$A$5001,"&gt;="&amp;$C$8,Base!$A$3:$A$5001,"&lt;="&amp;$D$8,Base!$W$3:$W$5001,"&lt;&gt;")=0,"",SUMIFS(Base!$W$3:$W$5001,Base!$B$3:$B$5001,I$127,Base!$A$3:$A$5001,_xlfn.MAXIFS(Base!$A$3:$A$5001,Base!$B$3:$B$5001,I$127,Base!$A$3:$A$5001,"&gt;="&amp;$C$8,Base!$A$3:$A$5001,"&lt;="&amp;$D$8,Base!$W$3:$W$5001,"&lt;&gt;")))</f>
        <v>1</v>
      </c>
      <c r="J159">
        <f>IF(COUNTIFS(Base!$B$3:$B$5001,J$127,Base!$A$3:$A$5001,"&gt;="&amp;$C$8,Base!$A$3:$A$5001,"&lt;="&amp;$D$8,Base!$W$3:$W$5001,"&lt;&gt;")=0,"",SUMIFS(Base!$W$3:$W$5001,Base!$B$3:$B$5001,J$127,Base!$A$3:$A$5001,_xlfn.MAXIFS(Base!$A$3:$A$5001,Base!$B$3:$B$5001,J$127,Base!$A$3:$A$5001,"&gt;="&amp;$C$8,Base!$A$3:$A$5001,"&lt;="&amp;$D$8,Base!$W$3:$W$5001,"&lt;&gt;")))</f>
        <v>6</v>
      </c>
      <c r="K159">
        <f>IF(COUNTIFS(Base!$B$3:$B$5001,K$127,Base!$A$3:$A$5001,"&gt;="&amp;$C$8,Base!$A$3:$A$5001,"&lt;="&amp;$D$8,Base!$W$3:$W$5001,"&lt;&gt;")=0,"",SUMIFS(Base!$W$3:$W$5001,Base!$B$3:$B$5001,K$127,Base!$A$3:$A$5001,_xlfn.MAXIFS(Base!$A$3:$A$5001,Base!$B$3:$B$5001,K$127,Base!$A$3:$A$5001,"&gt;="&amp;$C$8,Base!$A$3:$A$5001,"&lt;="&amp;$D$8,Base!$W$3:$W$5001,"&lt;&gt;")))</f>
        <v>11</v>
      </c>
    </row>
    <row r="162">
      <c r="A162" s="145" t="inlineStr">
        <is>
          <t xml:space="preserve">Posições Disponíveis</t>
        </is>
      </c>
      <c r="B162" s="145" t="inlineStr">
        <is>
          <t xml:space="preserve">Data</t>
        </is>
      </c>
      <c r="C162" s="145" t="inlineStr">
        <is>
          <t xml:space="preserve">BASF</t>
        </is>
      </c>
      <c r="D162" s="145" t="inlineStr">
        <is>
          <t xml:space="preserve">BEAUTYBIZ</t>
        </is>
      </c>
      <c r="E162" s="145" t="inlineStr">
        <is>
          <t xml:space="preserve">BOTICÁRIO</t>
        </is>
      </c>
      <c r="F162" s="145" t="inlineStr">
        <is>
          <t xml:space="preserve">SUPPLY</t>
        </is>
      </c>
      <c r="G162" s="145" t="inlineStr">
        <is>
          <t xml:space="preserve">GE VERNOVA</t>
        </is>
      </c>
      <c r="H162" s="145" t="inlineStr">
        <is>
          <t xml:space="preserve">VESTAS</t>
        </is>
      </c>
      <c r="I162" s="145" t="inlineStr">
        <is>
          <t xml:space="preserve">VEDACIT</t>
        </is>
      </c>
      <c r="J162" s="145" t="inlineStr">
        <is>
          <t xml:space="preserve">OMNLIFE</t>
        </is>
      </c>
      <c r="K162" s="145" t="inlineStr">
        <is>
          <t xml:space="preserve">ALPARGATAS</t>
        </is>
      </c>
    </row>
    <row r="163">
      <c r="A163">
        <v>1</v>
      </c>
      <c r="B163" s="152">
        <f>$B$12</f>
        <v>46266</v>
      </c>
      <c r="C163">
        <f>IF($A163&gt;$B$9,"",IF(COUNTIFS(Base!$B$3:$B$5001,C$162,Base!$A$3:$A$5001,"&gt;="&amp;$C$7,Base!$A$3:$A$5001,"&lt;="&amp;$B163,Base!$X$3:$X$5001,"&lt;&gt;")=0,"",SUMIFS(Base!$X$3:$X$5001,Base!$B$3:$B$5001,C$162,Base!$A$3:$A$5001,_xlfn.MAXIFS(Base!$A$3:$A$5001,Base!$B$3:$B$5001,C$162,Base!$A$3:$A$5001,"&gt;="&amp;$C$7,Base!$A$3:$A$5001,"&lt;="&amp;$B163,Base!$X$3:$X$5001,"&lt;&gt;"))))</f>
        <v>2200</v>
      </c>
      <c r="D163">
        <f>IF($A163&gt;$B$9,"",IF(COUNTIFS(Base!$B$3:$B$5001,D$162,Base!$A$3:$A$5001,"&gt;="&amp;$C$7,Base!$A$3:$A$5001,"&lt;="&amp;$B163,Base!$X$3:$X$5001,"&lt;&gt;")=0,"",SUMIFS(Base!$X$3:$X$5001,Base!$B$3:$B$5001,D$162,Base!$A$3:$A$5001,_xlfn.MAXIFS(Base!$A$3:$A$5001,Base!$B$3:$B$5001,D$162,Base!$A$3:$A$5001,"&gt;="&amp;$C$7,Base!$A$3:$A$5001,"&lt;="&amp;$B163,Base!$X$3:$X$5001,"&lt;&gt;"))))</f>
        <v>1200</v>
      </c>
      <c r="E163">
        <f>IF($A163&gt;$B$9,"",IF(COUNTIFS(Base!$B$3:$B$5001,E$162,Base!$A$3:$A$5001,"&gt;="&amp;$C$7,Base!$A$3:$A$5001,"&lt;="&amp;$B163,Base!$X$3:$X$5001,"&lt;&gt;")=0,"",SUMIFS(Base!$X$3:$X$5001,Base!$B$3:$B$5001,E$162,Base!$A$3:$A$5001,_xlfn.MAXIFS(Base!$A$3:$A$5001,Base!$B$3:$B$5001,E$162,Base!$A$3:$A$5001,"&gt;="&amp;$C$7,Base!$A$3:$A$5001,"&lt;="&amp;$B163,Base!$X$3:$X$5001,"&lt;&gt;"))))</f>
        <v>3500</v>
      </c>
      <c r="F163">
        <f>IF($A163&gt;$B$9,"",IF(COUNTIFS(Base!$B$3:$B$5001,F$162,Base!$A$3:$A$5001,"&gt;="&amp;$C$7,Base!$A$3:$A$5001,"&lt;="&amp;$B163,Base!$X$3:$X$5001,"&lt;&gt;")=0,"",SUMIFS(Base!$X$3:$X$5001,Base!$B$3:$B$5001,F$162,Base!$A$3:$A$5001,_xlfn.MAXIFS(Base!$A$3:$A$5001,Base!$B$3:$B$5001,F$162,Base!$A$3:$A$5001,"&gt;="&amp;$C$7,Base!$A$3:$A$5001,"&lt;="&amp;$B163,Base!$X$3:$X$5001,"&lt;&gt;"))))</f>
        <v>1600</v>
      </c>
      <c r="G163">
        <f>IF($A163&gt;$B$9,"",IF(COUNTIFS(Base!$B$3:$B$5001,G$162,Base!$A$3:$A$5001,"&gt;="&amp;$C$7,Base!$A$3:$A$5001,"&lt;="&amp;$B163,Base!$X$3:$X$5001,"&lt;&gt;")=0,"",SUMIFS(Base!$X$3:$X$5001,Base!$B$3:$B$5001,G$162,Base!$A$3:$A$5001,_xlfn.MAXIFS(Base!$A$3:$A$5001,Base!$B$3:$B$5001,G$162,Base!$A$3:$A$5001,"&gt;="&amp;$C$7,Base!$A$3:$A$5001,"&lt;="&amp;$B163,Base!$X$3:$X$5001,"&lt;&gt;"))))</f>
        <v>900</v>
      </c>
      <c r="H163">
        <f>IF($A163&gt;$B$9,"",IF(COUNTIFS(Base!$B$3:$B$5001,H$162,Base!$A$3:$A$5001,"&gt;="&amp;$C$7,Base!$A$3:$A$5001,"&lt;="&amp;$B163,Base!$X$3:$X$5001,"&lt;&gt;")=0,"",SUMIFS(Base!$X$3:$X$5001,Base!$B$3:$B$5001,H$162,Base!$A$3:$A$5001,_xlfn.MAXIFS(Base!$A$3:$A$5001,Base!$B$3:$B$5001,H$162,Base!$A$3:$A$5001,"&gt;="&amp;$C$7,Base!$A$3:$A$5001,"&lt;="&amp;$B163,Base!$X$3:$X$5001,"&lt;&gt;"))))</f>
        <v>600</v>
      </c>
      <c r="I163">
        <f>IF($A163&gt;$B$9,"",IF(COUNTIFS(Base!$B$3:$B$5001,I$162,Base!$A$3:$A$5001,"&gt;="&amp;$C$7,Base!$A$3:$A$5001,"&lt;="&amp;$B163,Base!$X$3:$X$5001,"&lt;&gt;")=0,"",SUMIFS(Base!$X$3:$X$5001,Base!$B$3:$B$5001,I$162,Base!$A$3:$A$5001,_xlfn.MAXIFS(Base!$A$3:$A$5001,Base!$B$3:$B$5001,I$162,Base!$A$3:$A$5001,"&gt;="&amp;$C$7,Base!$A$3:$A$5001,"&lt;="&amp;$B163,Base!$X$3:$X$5001,"&lt;&gt;"))))</f>
        <v>1400</v>
      </c>
      <c r="J163">
        <f>IF($A163&gt;$B$9,"",IF(COUNTIFS(Base!$B$3:$B$5001,J$162,Base!$A$3:$A$5001,"&gt;="&amp;$C$7,Base!$A$3:$A$5001,"&lt;="&amp;$B163,Base!$X$3:$X$5001,"&lt;&gt;")=0,"",SUMIFS(Base!$X$3:$X$5001,Base!$B$3:$B$5001,J$162,Base!$A$3:$A$5001,_xlfn.MAXIFS(Base!$A$3:$A$5001,Base!$B$3:$B$5001,J$162,Base!$A$3:$A$5001,"&gt;="&amp;$C$7,Base!$A$3:$A$5001,"&lt;="&amp;$B163,Base!$X$3:$X$5001,"&lt;&gt;"))))</f>
        <v>500</v>
      </c>
      <c r="K163">
        <f>IF($A163&gt;$B$9,"",IF(COUNTIFS(Base!$B$3:$B$5001,K$162,Base!$A$3:$A$5001,"&gt;="&amp;$C$7,Base!$A$3:$A$5001,"&lt;="&amp;$B163,Base!$X$3:$X$5001,"&lt;&gt;")=0,"",SUMIFS(Base!$X$3:$X$5001,Base!$B$3:$B$5001,K$162,Base!$A$3:$A$5001,_xlfn.MAXIFS(Base!$A$3:$A$5001,Base!$B$3:$B$5001,K$162,Base!$A$3:$A$5001,"&gt;="&amp;$C$7,Base!$A$3:$A$5001,"&lt;="&amp;$B163,Base!$X$3:$X$5001,"&lt;&gt;"))))</f>
        <v>1800</v>
      </c>
    </row>
    <row r="164">
      <c r="A164">
        <v>2</v>
      </c>
      <c r="B164" s="152">
        <f>$B$13</f>
        <v>46267</v>
      </c>
      <c r="C164">
        <f>IF($A164&gt;$B$9,"",IF(COUNTIFS(Base!$B$3:$B$5001,C$162,Base!$A$3:$A$5001,"&gt;="&amp;$C$7,Base!$A$3:$A$5001,"&lt;="&amp;$B164,Base!$X$3:$X$5001,"&lt;&gt;")=0,"",SUMIFS(Base!$X$3:$X$5001,Base!$B$3:$B$5001,C$162,Base!$A$3:$A$5001,_xlfn.MAXIFS(Base!$A$3:$A$5001,Base!$B$3:$B$5001,C$162,Base!$A$3:$A$5001,"&gt;="&amp;$C$7,Base!$A$3:$A$5001,"&lt;="&amp;$B164,Base!$X$3:$X$5001,"&lt;&gt;"))))</f>
        <v>2200</v>
      </c>
      <c r="D164">
        <f>IF($A164&gt;$B$9,"",IF(COUNTIFS(Base!$B$3:$B$5001,D$162,Base!$A$3:$A$5001,"&gt;="&amp;$C$7,Base!$A$3:$A$5001,"&lt;="&amp;$B164,Base!$X$3:$X$5001,"&lt;&gt;")=0,"",SUMIFS(Base!$X$3:$X$5001,Base!$B$3:$B$5001,D$162,Base!$A$3:$A$5001,_xlfn.MAXIFS(Base!$A$3:$A$5001,Base!$B$3:$B$5001,D$162,Base!$A$3:$A$5001,"&gt;="&amp;$C$7,Base!$A$3:$A$5001,"&lt;="&amp;$B164,Base!$X$3:$X$5001,"&lt;&gt;"))))</f>
        <v>1200</v>
      </c>
      <c r="E164">
        <f>IF($A164&gt;$B$9,"",IF(COUNTIFS(Base!$B$3:$B$5001,E$162,Base!$A$3:$A$5001,"&gt;="&amp;$C$7,Base!$A$3:$A$5001,"&lt;="&amp;$B164,Base!$X$3:$X$5001,"&lt;&gt;")=0,"",SUMIFS(Base!$X$3:$X$5001,Base!$B$3:$B$5001,E$162,Base!$A$3:$A$5001,_xlfn.MAXIFS(Base!$A$3:$A$5001,Base!$B$3:$B$5001,E$162,Base!$A$3:$A$5001,"&gt;="&amp;$C$7,Base!$A$3:$A$5001,"&lt;="&amp;$B164,Base!$X$3:$X$5001,"&lt;&gt;"))))</f>
        <v>3500</v>
      </c>
      <c r="F164">
        <f>IF($A164&gt;$B$9,"",IF(COUNTIFS(Base!$B$3:$B$5001,F$162,Base!$A$3:$A$5001,"&gt;="&amp;$C$7,Base!$A$3:$A$5001,"&lt;="&amp;$B164,Base!$X$3:$X$5001,"&lt;&gt;")=0,"",SUMIFS(Base!$X$3:$X$5001,Base!$B$3:$B$5001,F$162,Base!$A$3:$A$5001,_xlfn.MAXIFS(Base!$A$3:$A$5001,Base!$B$3:$B$5001,F$162,Base!$A$3:$A$5001,"&gt;="&amp;$C$7,Base!$A$3:$A$5001,"&lt;="&amp;$B164,Base!$X$3:$X$5001,"&lt;&gt;"))))</f>
        <v>1600</v>
      </c>
      <c r="G164">
        <f>IF($A164&gt;$B$9,"",IF(COUNTIFS(Base!$B$3:$B$5001,G$162,Base!$A$3:$A$5001,"&gt;="&amp;$C$7,Base!$A$3:$A$5001,"&lt;="&amp;$B164,Base!$X$3:$X$5001,"&lt;&gt;")=0,"",SUMIFS(Base!$X$3:$X$5001,Base!$B$3:$B$5001,G$162,Base!$A$3:$A$5001,_xlfn.MAXIFS(Base!$A$3:$A$5001,Base!$B$3:$B$5001,G$162,Base!$A$3:$A$5001,"&gt;="&amp;$C$7,Base!$A$3:$A$5001,"&lt;="&amp;$B164,Base!$X$3:$X$5001,"&lt;&gt;"))))</f>
        <v>900</v>
      </c>
      <c r="H164">
        <f>IF($A164&gt;$B$9,"",IF(COUNTIFS(Base!$B$3:$B$5001,H$162,Base!$A$3:$A$5001,"&gt;="&amp;$C$7,Base!$A$3:$A$5001,"&lt;="&amp;$B164,Base!$X$3:$X$5001,"&lt;&gt;")=0,"",SUMIFS(Base!$X$3:$X$5001,Base!$B$3:$B$5001,H$162,Base!$A$3:$A$5001,_xlfn.MAXIFS(Base!$A$3:$A$5001,Base!$B$3:$B$5001,H$162,Base!$A$3:$A$5001,"&gt;="&amp;$C$7,Base!$A$3:$A$5001,"&lt;="&amp;$B164,Base!$X$3:$X$5001,"&lt;&gt;"))))</f>
        <v>600</v>
      </c>
      <c r="I164">
        <f>IF($A164&gt;$B$9,"",IF(COUNTIFS(Base!$B$3:$B$5001,I$162,Base!$A$3:$A$5001,"&gt;="&amp;$C$7,Base!$A$3:$A$5001,"&lt;="&amp;$B164,Base!$X$3:$X$5001,"&lt;&gt;")=0,"",SUMIFS(Base!$X$3:$X$5001,Base!$B$3:$B$5001,I$162,Base!$A$3:$A$5001,_xlfn.MAXIFS(Base!$A$3:$A$5001,Base!$B$3:$B$5001,I$162,Base!$A$3:$A$5001,"&gt;="&amp;$C$7,Base!$A$3:$A$5001,"&lt;="&amp;$B164,Base!$X$3:$X$5001,"&lt;&gt;"))))</f>
        <v>1400</v>
      </c>
      <c r="J164">
        <f>IF($A164&gt;$B$9,"",IF(COUNTIFS(Base!$B$3:$B$5001,J$162,Base!$A$3:$A$5001,"&gt;="&amp;$C$7,Base!$A$3:$A$5001,"&lt;="&amp;$B164,Base!$X$3:$X$5001,"&lt;&gt;")=0,"",SUMIFS(Base!$X$3:$X$5001,Base!$B$3:$B$5001,J$162,Base!$A$3:$A$5001,_xlfn.MAXIFS(Base!$A$3:$A$5001,Base!$B$3:$B$5001,J$162,Base!$A$3:$A$5001,"&gt;="&amp;$C$7,Base!$A$3:$A$5001,"&lt;="&amp;$B164,Base!$X$3:$X$5001,"&lt;&gt;"))))</f>
        <v>500</v>
      </c>
      <c r="K164">
        <f>IF($A164&gt;$B$9,"",IF(COUNTIFS(Base!$B$3:$B$5001,K$162,Base!$A$3:$A$5001,"&gt;="&amp;$C$7,Base!$A$3:$A$5001,"&lt;="&amp;$B164,Base!$X$3:$X$5001,"&lt;&gt;")=0,"",SUMIFS(Base!$X$3:$X$5001,Base!$B$3:$B$5001,K$162,Base!$A$3:$A$5001,_xlfn.MAXIFS(Base!$A$3:$A$5001,Base!$B$3:$B$5001,K$162,Base!$A$3:$A$5001,"&gt;="&amp;$C$7,Base!$A$3:$A$5001,"&lt;="&amp;$B164,Base!$X$3:$X$5001,"&lt;&gt;"))))</f>
        <v>1800</v>
      </c>
    </row>
    <row r="165">
      <c r="A165">
        <v>3</v>
      </c>
      <c r="B165" s="152">
        <f>$B$14</f>
        <v>46268</v>
      </c>
      <c r="C165">
        <f>IF($A165&gt;$B$9,"",IF(COUNTIFS(Base!$B$3:$B$5001,C$162,Base!$A$3:$A$5001,"&gt;="&amp;$C$7,Base!$A$3:$A$5001,"&lt;="&amp;$B165,Base!$X$3:$X$5001,"&lt;&gt;")=0,"",SUMIFS(Base!$X$3:$X$5001,Base!$B$3:$B$5001,C$162,Base!$A$3:$A$5001,_xlfn.MAXIFS(Base!$A$3:$A$5001,Base!$B$3:$B$5001,C$162,Base!$A$3:$A$5001,"&gt;="&amp;$C$7,Base!$A$3:$A$5001,"&lt;="&amp;$B165,Base!$X$3:$X$5001,"&lt;&gt;"))))</f>
        <v>2200</v>
      </c>
      <c r="D165">
        <f>IF($A165&gt;$B$9,"",IF(COUNTIFS(Base!$B$3:$B$5001,D$162,Base!$A$3:$A$5001,"&gt;="&amp;$C$7,Base!$A$3:$A$5001,"&lt;="&amp;$B165,Base!$X$3:$X$5001,"&lt;&gt;")=0,"",SUMIFS(Base!$X$3:$X$5001,Base!$B$3:$B$5001,D$162,Base!$A$3:$A$5001,_xlfn.MAXIFS(Base!$A$3:$A$5001,Base!$B$3:$B$5001,D$162,Base!$A$3:$A$5001,"&gt;="&amp;$C$7,Base!$A$3:$A$5001,"&lt;="&amp;$B165,Base!$X$3:$X$5001,"&lt;&gt;"))))</f>
        <v>1200</v>
      </c>
      <c r="E165">
        <f>IF($A165&gt;$B$9,"",IF(COUNTIFS(Base!$B$3:$B$5001,E$162,Base!$A$3:$A$5001,"&gt;="&amp;$C$7,Base!$A$3:$A$5001,"&lt;="&amp;$B165,Base!$X$3:$X$5001,"&lt;&gt;")=0,"",SUMIFS(Base!$X$3:$X$5001,Base!$B$3:$B$5001,E$162,Base!$A$3:$A$5001,_xlfn.MAXIFS(Base!$A$3:$A$5001,Base!$B$3:$B$5001,E$162,Base!$A$3:$A$5001,"&gt;="&amp;$C$7,Base!$A$3:$A$5001,"&lt;="&amp;$B165,Base!$X$3:$X$5001,"&lt;&gt;"))))</f>
        <v>3500</v>
      </c>
      <c r="F165">
        <f>IF($A165&gt;$B$9,"",IF(COUNTIFS(Base!$B$3:$B$5001,F$162,Base!$A$3:$A$5001,"&gt;="&amp;$C$7,Base!$A$3:$A$5001,"&lt;="&amp;$B165,Base!$X$3:$X$5001,"&lt;&gt;")=0,"",SUMIFS(Base!$X$3:$X$5001,Base!$B$3:$B$5001,F$162,Base!$A$3:$A$5001,_xlfn.MAXIFS(Base!$A$3:$A$5001,Base!$B$3:$B$5001,F$162,Base!$A$3:$A$5001,"&gt;="&amp;$C$7,Base!$A$3:$A$5001,"&lt;="&amp;$B165,Base!$X$3:$X$5001,"&lt;&gt;"))))</f>
        <v>1600</v>
      </c>
      <c r="G165">
        <f>IF($A165&gt;$B$9,"",IF(COUNTIFS(Base!$B$3:$B$5001,G$162,Base!$A$3:$A$5001,"&gt;="&amp;$C$7,Base!$A$3:$A$5001,"&lt;="&amp;$B165,Base!$X$3:$X$5001,"&lt;&gt;")=0,"",SUMIFS(Base!$X$3:$X$5001,Base!$B$3:$B$5001,G$162,Base!$A$3:$A$5001,_xlfn.MAXIFS(Base!$A$3:$A$5001,Base!$B$3:$B$5001,G$162,Base!$A$3:$A$5001,"&gt;="&amp;$C$7,Base!$A$3:$A$5001,"&lt;="&amp;$B165,Base!$X$3:$X$5001,"&lt;&gt;"))))</f>
        <v>900</v>
      </c>
      <c r="H165">
        <f>IF($A165&gt;$B$9,"",IF(COUNTIFS(Base!$B$3:$B$5001,H$162,Base!$A$3:$A$5001,"&gt;="&amp;$C$7,Base!$A$3:$A$5001,"&lt;="&amp;$B165,Base!$X$3:$X$5001,"&lt;&gt;")=0,"",SUMIFS(Base!$X$3:$X$5001,Base!$B$3:$B$5001,H$162,Base!$A$3:$A$5001,_xlfn.MAXIFS(Base!$A$3:$A$5001,Base!$B$3:$B$5001,H$162,Base!$A$3:$A$5001,"&gt;="&amp;$C$7,Base!$A$3:$A$5001,"&lt;="&amp;$B165,Base!$X$3:$X$5001,"&lt;&gt;"))))</f>
        <v>600</v>
      </c>
      <c r="I165">
        <f>IF($A165&gt;$B$9,"",IF(COUNTIFS(Base!$B$3:$B$5001,I$162,Base!$A$3:$A$5001,"&gt;="&amp;$C$7,Base!$A$3:$A$5001,"&lt;="&amp;$B165,Base!$X$3:$X$5001,"&lt;&gt;")=0,"",SUMIFS(Base!$X$3:$X$5001,Base!$B$3:$B$5001,I$162,Base!$A$3:$A$5001,_xlfn.MAXIFS(Base!$A$3:$A$5001,Base!$B$3:$B$5001,I$162,Base!$A$3:$A$5001,"&gt;="&amp;$C$7,Base!$A$3:$A$5001,"&lt;="&amp;$B165,Base!$X$3:$X$5001,"&lt;&gt;"))))</f>
        <v>1400</v>
      </c>
      <c r="J165">
        <f>IF($A165&gt;$B$9,"",IF(COUNTIFS(Base!$B$3:$B$5001,J$162,Base!$A$3:$A$5001,"&gt;="&amp;$C$7,Base!$A$3:$A$5001,"&lt;="&amp;$B165,Base!$X$3:$X$5001,"&lt;&gt;")=0,"",SUMIFS(Base!$X$3:$X$5001,Base!$B$3:$B$5001,J$162,Base!$A$3:$A$5001,_xlfn.MAXIFS(Base!$A$3:$A$5001,Base!$B$3:$B$5001,J$162,Base!$A$3:$A$5001,"&gt;="&amp;$C$7,Base!$A$3:$A$5001,"&lt;="&amp;$B165,Base!$X$3:$X$5001,"&lt;&gt;"))))</f>
        <v>500</v>
      </c>
      <c r="K165">
        <f>IF($A165&gt;$B$9,"",IF(COUNTIFS(Base!$B$3:$B$5001,K$162,Base!$A$3:$A$5001,"&gt;="&amp;$C$7,Base!$A$3:$A$5001,"&lt;="&amp;$B165,Base!$X$3:$X$5001,"&lt;&gt;")=0,"",SUMIFS(Base!$X$3:$X$5001,Base!$B$3:$B$5001,K$162,Base!$A$3:$A$5001,_xlfn.MAXIFS(Base!$A$3:$A$5001,Base!$B$3:$B$5001,K$162,Base!$A$3:$A$5001,"&gt;="&amp;$C$7,Base!$A$3:$A$5001,"&lt;="&amp;$B165,Base!$X$3:$X$5001,"&lt;&gt;"))))</f>
        <v>1800</v>
      </c>
    </row>
    <row r="166">
      <c r="A166">
        <v>4</v>
      </c>
      <c r="B166" s="152">
        <f>$B$15</f>
        <v>46269</v>
      </c>
      <c r="C166">
        <f>IF($A166&gt;$B$9,"",IF(COUNTIFS(Base!$B$3:$B$5001,C$162,Base!$A$3:$A$5001,"&gt;="&amp;$C$7,Base!$A$3:$A$5001,"&lt;="&amp;$B166,Base!$X$3:$X$5001,"&lt;&gt;")=0,"",SUMIFS(Base!$X$3:$X$5001,Base!$B$3:$B$5001,C$162,Base!$A$3:$A$5001,_xlfn.MAXIFS(Base!$A$3:$A$5001,Base!$B$3:$B$5001,C$162,Base!$A$3:$A$5001,"&gt;="&amp;$C$7,Base!$A$3:$A$5001,"&lt;="&amp;$B166,Base!$X$3:$X$5001,"&lt;&gt;"))))</f>
        <v>2200</v>
      </c>
      <c r="D166">
        <f>IF($A166&gt;$B$9,"",IF(COUNTIFS(Base!$B$3:$B$5001,D$162,Base!$A$3:$A$5001,"&gt;="&amp;$C$7,Base!$A$3:$A$5001,"&lt;="&amp;$B166,Base!$X$3:$X$5001,"&lt;&gt;")=0,"",SUMIFS(Base!$X$3:$X$5001,Base!$B$3:$B$5001,D$162,Base!$A$3:$A$5001,_xlfn.MAXIFS(Base!$A$3:$A$5001,Base!$B$3:$B$5001,D$162,Base!$A$3:$A$5001,"&gt;="&amp;$C$7,Base!$A$3:$A$5001,"&lt;="&amp;$B166,Base!$X$3:$X$5001,"&lt;&gt;"))))</f>
        <v>1200</v>
      </c>
      <c r="E166">
        <f>IF($A166&gt;$B$9,"",IF(COUNTIFS(Base!$B$3:$B$5001,E$162,Base!$A$3:$A$5001,"&gt;="&amp;$C$7,Base!$A$3:$A$5001,"&lt;="&amp;$B166,Base!$X$3:$X$5001,"&lt;&gt;")=0,"",SUMIFS(Base!$X$3:$X$5001,Base!$B$3:$B$5001,E$162,Base!$A$3:$A$5001,_xlfn.MAXIFS(Base!$A$3:$A$5001,Base!$B$3:$B$5001,E$162,Base!$A$3:$A$5001,"&gt;="&amp;$C$7,Base!$A$3:$A$5001,"&lt;="&amp;$B166,Base!$X$3:$X$5001,"&lt;&gt;"))))</f>
        <v>3500</v>
      </c>
      <c r="F166">
        <f>IF($A166&gt;$B$9,"",IF(COUNTIFS(Base!$B$3:$B$5001,F$162,Base!$A$3:$A$5001,"&gt;="&amp;$C$7,Base!$A$3:$A$5001,"&lt;="&amp;$B166,Base!$X$3:$X$5001,"&lt;&gt;")=0,"",SUMIFS(Base!$X$3:$X$5001,Base!$B$3:$B$5001,F$162,Base!$A$3:$A$5001,_xlfn.MAXIFS(Base!$A$3:$A$5001,Base!$B$3:$B$5001,F$162,Base!$A$3:$A$5001,"&gt;="&amp;$C$7,Base!$A$3:$A$5001,"&lt;="&amp;$B166,Base!$X$3:$X$5001,"&lt;&gt;"))))</f>
        <v>1600</v>
      </c>
      <c r="G166">
        <f>IF($A166&gt;$B$9,"",IF(COUNTIFS(Base!$B$3:$B$5001,G$162,Base!$A$3:$A$5001,"&gt;="&amp;$C$7,Base!$A$3:$A$5001,"&lt;="&amp;$B166,Base!$X$3:$X$5001,"&lt;&gt;")=0,"",SUMIFS(Base!$X$3:$X$5001,Base!$B$3:$B$5001,G$162,Base!$A$3:$A$5001,_xlfn.MAXIFS(Base!$A$3:$A$5001,Base!$B$3:$B$5001,G$162,Base!$A$3:$A$5001,"&gt;="&amp;$C$7,Base!$A$3:$A$5001,"&lt;="&amp;$B166,Base!$X$3:$X$5001,"&lt;&gt;"))))</f>
        <v>900</v>
      </c>
      <c r="H166">
        <f>IF($A166&gt;$B$9,"",IF(COUNTIFS(Base!$B$3:$B$5001,H$162,Base!$A$3:$A$5001,"&gt;="&amp;$C$7,Base!$A$3:$A$5001,"&lt;="&amp;$B166,Base!$X$3:$X$5001,"&lt;&gt;")=0,"",SUMIFS(Base!$X$3:$X$5001,Base!$B$3:$B$5001,H$162,Base!$A$3:$A$5001,_xlfn.MAXIFS(Base!$A$3:$A$5001,Base!$B$3:$B$5001,H$162,Base!$A$3:$A$5001,"&gt;="&amp;$C$7,Base!$A$3:$A$5001,"&lt;="&amp;$B166,Base!$X$3:$X$5001,"&lt;&gt;"))))</f>
        <v>600</v>
      </c>
      <c r="I166">
        <f>IF($A166&gt;$B$9,"",IF(COUNTIFS(Base!$B$3:$B$5001,I$162,Base!$A$3:$A$5001,"&gt;="&amp;$C$7,Base!$A$3:$A$5001,"&lt;="&amp;$B166,Base!$X$3:$X$5001,"&lt;&gt;")=0,"",SUMIFS(Base!$X$3:$X$5001,Base!$B$3:$B$5001,I$162,Base!$A$3:$A$5001,_xlfn.MAXIFS(Base!$A$3:$A$5001,Base!$B$3:$B$5001,I$162,Base!$A$3:$A$5001,"&gt;="&amp;$C$7,Base!$A$3:$A$5001,"&lt;="&amp;$B166,Base!$X$3:$X$5001,"&lt;&gt;"))))</f>
        <v>1400</v>
      </c>
      <c r="J166">
        <f>IF($A166&gt;$B$9,"",IF(COUNTIFS(Base!$B$3:$B$5001,J$162,Base!$A$3:$A$5001,"&gt;="&amp;$C$7,Base!$A$3:$A$5001,"&lt;="&amp;$B166,Base!$X$3:$X$5001,"&lt;&gt;")=0,"",SUMIFS(Base!$X$3:$X$5001,Base!$B$3:$B$5001,J$162,Base!$A$3:$A$5001,_xlfn.MAXIFS(Base!$A$3:$A$5001,Base!$B$3:$B$5001,J$162,Base!$A$3:$A$5001,"&gt;="&amp;$C$7,Base!$A$3:$A$5001,"&lt;="&amp;$B166,Base!$X$3:$X$5001,"&lt;&gt;"))))</f>
        <v>500</v>
      </c>
      <c r="K166">
        <f>IF($A166&gt;$B$9,"",IF(COUNTIFS(Base!$B$3:$B$5001,K$162,Base!$A$3:$A$5001,"&gt;="&amp;$C$7,Base!$A$3:$A$5001,"&lt;="&amp;$B166,Base!$X$3:$X$5001,"&lt;&gt;")=0,"",SUMIFS(Base!$X$3:$X$5001,Base!$B$3:$B$5001,K$162,Base!$A$3:$A$5001,_xlfn.MAXIFS(Base!$A$3:$A$5001,Base!$B$3:$B$5001,K$162,Base!$A$3:$A$5001,"&gt;="&amp;$C$7,Base!$A$3:$A$5001,"&lt;="&amp;$B166,Base!$X$3:$X$5001,"&lt;&gt;"))))</f>
        <v>1800</v>
      </c>
    </row>
    <row r="167">
      <c r="A167">
        <v>5</v>
      </c>
      <c r="B167" s="152">
        <f>$B$16</f>
        <v>46270</v>
      </c>
      <c r="C167">
        <f>IF($A167&gt;$B$9,"",IF(COUNTIFS(Base!$B$3:$B$5001,C$162,Base!$A$3:$A$5001,"&gt;="&amp;$C$7,Base!$A$3:$A$5001,"&lt;="&amp;$B167,Base!$X$3:$X$5001,"&lt;&gt;")=0,"",SUMIFS(Base!$X$3:$X$5001,Base!$B$3:$B$5001,C$162,Base!$A$3:$A$5001,_xlfn.MAXIFS(Base!$A$3:$A$5001,Base!$B$3:$B$5001,C$162,Base!$A$3:$A$5001,"&gt;="&amp;$C$7,Base!$A$3:$A$5001,"&lt;="&amp;$B167,Base!$X$3:$X$5001,"&lt;&gt;"))))</f>
        <v>2200</v>
      </c>
      <c r="D167">
        <f>IF($A167&gt;$B$9,"",IF(COUNTIFS(Base!$B$3:$B$5001,D$162,Base!$A$3:$A$5001,"&gt;="&amp;$C$7,Base!$A$3:$A$5001,"&lt;="&amp;$B167,Base!$X$3:$X$5001,"&lt;&gt;")=0,"",SUMIFS(Base!$X$3:$X$5001,Base!$B$3:$B$5001,D$162,Base!$A$3:$A$5001,_xlfn.MAXIFS(Base!$A$3:$A$5001,Base!$B$3:$B$5001,D$162,Base!$A$3:$A$5001,"&gt;="&amp;$C$7,Base!$A$3:$A$5001,"&lt;="&amp;$B167,Base!$X$3:$X$5001,"&lt;&gt;"))))</f>
        <v>1200</v>
      </c>
      <c r="E167">
        <f>IF($A167&gt;$B$9,"",IF(COUNTIFS(Base!$B$3:$B$5001,E$162,Base!$A$3:$A$5001,"&gt;="&amp;$C$7,Base!$A$3:$A$5001,"&lt;="&amp;$B167,Base!$X$3:$X$5001,"&lt;&gt;")=0,"",SUMIFS(Base!$X$3:$X$5001,Base!$B$3:$B$5001,E$162,Base!$A$3:$A$5001,_xlfn.MAXIFS(Base!$A$3:$A$5001,Base!$B$3:$B$5001,E$162,Base!$A$3:$A$5001,"&gt;="&amp;$C$7,Base!$A$3:$A$5001,"&lt;="&amp;$B167,Base!$X$3:$X$5001,"&lt;&gt;"))))</f>
        <v>3500</v>
      </c>
      <c r="F167">
        <f>IF($A167&gt;$B$9,"",IF(COUNTIFS(Base!$B$3:$B$5001,F$162,Base!$A$3:$A$5001,"&gt;="&amp;$C$7,Base!$A$3:$A$5001,"&lt;="&amp;$B167,Base!$X$3:$X$5001,"&lt;&gt;")=0,"",SUMIFS(Base!$X$3:$X$5001,Base!$B$3:$B$5001,F$162,Base!$A$3:$A$5001,_xlfn.MAXIFS(Base!$A$3:$A$5001,Base!$B$3:$B$5001,F$162,Base!$A$3:$A$5001,"&gt;="&amp;$C$7,Base!$A$3:$A$5001,"&lt;="&amp;$B167,Base!$X$3:$X$5001,"&lt;&gt;"))))</f>
        <v>1600</v>
      </c>
      <c r="G167">
        <f>IF($A167&gt;$B$9,"",IF(COUNTIFS(Base!$B$3:$B$5001,G$162,Base!$A$3:$A$5001,"&gt;="&amp;$C$7,Base!$A$3:$A$5001,"&lt;="&amp;$B167,Base!$X$3:$X$5001,"&lt;&gt;")=0,"",SUMIFS(Base!$X$3:$X$5001,Base!$B$3:$B$5001,G$162,Base!$A$3:$A$5001,_xlfn.MAXIFS(Base!$A$3:$A$5001,Base!$B$3:$B$5001,G$162,Base!$A$3:$A$5001,"&gt;="&amp;$C$7,Base!$A$3:$A$5001,"&lt;="&amp;$B167,Base!$X$3:$X$5001,"&lt;&gt;"))))</f>
        <v>900</v>
      </c>
      <c r="H167">
        <f>IF($A167&gt;$B$9,"",IF(COUNTIFS(Base!$B$3:$B$5001,H$162,Base!$A$3:$A$5001,"&gt;="&amp;$C$7,Base!$A$3:$A$5001,"&lt;="&amp;$B167,Base!$X$3:$X$5001,"&lt;&gt;")=0,"",SUMIFS(Base!$X$3:$X$5001,Base!$B$3:$B$5001,H$162,Base!$A$3:$A$5001,_xlfn.MAXIFS(Base!$A$3:$A$5001,Base!$B$3:$B$5001,H$162,Base!$A$3:$A$5001,"&gt;="&amp;$C$7,Base!$A$3:$A$5001,"&lt;="&amp;$B167,Base!$X$3:$X$5001,"&lt;&gt;"))))</f>
        <v>600</v>
      </c>
      <c r="I167">
        <f>IF($A167&gt;$B$9,"",IF(COUNTIFS(Base!$B$3:$B$5001,I$162,Base!$A$3:$A$5001,"&gt;="&amp;$C$7,Base!$A$3:$A$5001,"&lt;="&amp;$B167,Base!$X$3:$X$5001,"&lt;&gt;")=0,"",SUMIFS(Base!$X$3:$X$5001,Base!$B$3:$B$5001,I$162,Base!$A$3:$A$5001,_xlfn.MAXIFS(Base!$A$3:$A$5001,Base!$B$3:$B$5001,I$162,Base!$A$3:$A$5001,"&gt;="&amp;$C$7,Base!$A$3:$A$5001,"&lt;="&amp;$B167,Base!$X$3:$X$5001,"&lt;&gt;"))))</f>
        <v>1400</v>
      </c>
      <c r="J167">
        <f>IF($A167&gt;$B$9,"",IF(COUNTIFS(Base!$B$3:$B$5001,J$162,Base!$A$3:$A$5001,"&gt;="&amp;$C$7,Base!$A$3:$A$5001,"&lt;="&amp;$B167,Base!$X$3:$X$5001,"&lt;&gt;")=0,"",SUMIFS(Base!$X$3:$X$5001,Base!$B$3:$B$5001,J$162,Base!$A$3:$A$5001,_xlfn.MAXIFS(Base!$A$3:$A$5001,Base!$B$3:$B$5001,J$162,Base!$A$3:$A$5001,"&gt;="&amp;$C$7,Base!$A$3:$A$5001,"&lt;="&amp;$B167,Base!$X$3:$X$5001,"&lt;&gt;"))))</f>
        <v>500</v>
      </c>
      <c r="K167">
        <f>IF($A167&gt;$B$9,"",IF(COUNTIFS(Base!$B$3:$B$5001,K$162,Base!$A$3:$A$5001,"&gt;="&amp;$C$7,Base!$A$3:$A$5001,"&lt;="&amp;$B167,Base!$X$3:$X$5001,"&lt;&gt;")=0,"",SUMIFS(Base!$X$3:$X$5001,Base!$B$3:$B$5001,K$162,Base!$A$3:$A$5001,_xlfn.MAXIFS(Base!$A$3:$A$5001,Base!$B$3:$B$5001,K$162,Base!$A$3:$A$5001,"&gt;="&amp;$C$7,Base!$A$3:$A$5001,"&lt;="&amp;$B167,Base!$X$3:$X$5001,"&lt;&gt;"))))</f>
        <v>1800</v>
      </c>
    </row>
    <row r="168">
      <c r="A168">
        <v>6</v>
      </c>
      <c r="B168" s="152">
        <f>$B$17</f>
        <v>46271</v>
      </c>
      <c r="C168">
        <f>IF($A168&gt;$B$9,"",IF(COUNTIFS(Base!$B$3:$B$5001,C$162,Base!$A$3:$A$5001,"&gt;="&amp;$C$7,Base!$A$3:$A$5001,"&lt;="&amp;$B168,Base!$X$3:$X$5001,"&lt;&gt;")=0,"",SUMIFS(Base!$X$3:$X$5001,Base!$B$3:$B$5001,C$162,Base!$A$3:$A$5001,_xlfn.MAXIFS(Base!$A$3:$A$5001,Base!$B$3:$B$5001,C$162,Base!$A$3:$A$5001,"&gt;="&amp;$C$7,Base!$A$3:$A$5001,"&lt;="&amp;$B168,Base!$X$3:$X$5001,"&lt;&gt;"))))</f>
        <v>2200</v>
      </c>
      <c r="D168">
        <f>IF($A168&gt;$B$9,"",IF(COUNTIFS(Base!$B$3:$B$5001,D$162,Base!$A$3:$A$5001,"&gt;="&amp;$C$7,Base!$A$3:$A$5001,"&lt;="&amp;$B168,Base!$X$3:$X$5001,"&lt;&gt;")=0,"",SUMIFS(Base!$X$3:$X$5001,Base!$B$3:$B$5001,D$162,Base!$A$3:$A$5001,_xlfn.MAXIFS(Base!$A$3:$A$5001,Base!$B$3:$B$5001,D$162,Base!$A$3:$A$5001,"&gt;="&amp;$C$7,Base!$A$3:$A$5001,"&lt;="&amp;$B168,Base!$X$3:$X$5001,"&lt;&gt;"))))</f>
        <v>1200</v>
      </c>
      <c r="E168">
        <f>IF($A168&gt;$B$9,"",IF(COUNTIFS(Base!$B$3:$B$5001,E$162,Base!$A$3:$A$5001,"&gt;="&amp;$C$7,Base!$A$3:$A$5001,"&lt;="&amp;$B168,Base!$X$3:$X$5001,"&lt;&gt;")=0,"",SUMIFS(Base!$X$3:$X$5001,Base!$B$3:$B$5001,E$162,Base!$A$3:$A$5001,_xlfn.MAXIFS(Base!$A$3:$A$5001,Base!$B$3:$B$5001,E$162,Base!$A$3:$A$5001,"&gt;="&amp;$C$7,Base!$A$3:$A$5001,"&lt;="&amp;$B168,Base!$X$3:$X$5001,"&lt;&gt;"))))</f>
        <v>3500</v>
      </c>
      <c r="F168">
        <f>IF($A168&gt;$B$9,"",IF(COUNTIFS(Base!$B$3:$B$5001,F$162,Base!$A$3:$A$5001,"&gt;="&amp;$C$7,Base!$A$3:$A$5001,"&lt;="&amp;$B168,Base!$X$3:$X$5001,"&lt;&gt;")=0,"",SUMIFS(Base!$X$3:$X$5001,Base!$B$3:$B$5001,F$162,Base!$A$3:$A$5001,_xlfn.MAXIFS(Base!$A$3:$A$5001,Base!$B$3:$B$5001,F$162,Base!$A$3:$A$5001,"&gt;="&amp;$C$7,Base!$A$3:$A$5001,"&lt;="&amp;$B168,Base!$X$3:$X$5001,"&lt;&gt;"))))</f>
        <v>1600</v>
      </c>
      <c r="G168">
        <f>IF($A168&gt;$B$9,"",IF(COUNTIFS(Base!$B$3:$B$5001,G$162,Base!$A$3:$A$5001,"&gt;="&amp;$C$7,Base!$A$3:$A$5001,"&lt;="&amp;$B168,Base!$X$3:$X$5001,"&lt;&gt;")=0,"",SUMIFS(Base!$X$3:$X$5001,Base!$B$3:$B$5001,G$162,Base!$A$3:$A$5001,_xlfn.MAXIFS(Base!$A$3:$A$5001,Base!$B$3:$B$5001,G$162,Base!$A$3:$A$5001,"&gt;="&amp;$C$7,Base!$A$3:$A$5001,"&lt;="&amp;$B168,Base!$X$3:$X$5001,"&lt;&gt;"))))</f>
        <v>900</v>
      </c>
      <c r="H168">
        <f>IF($A168&gt;$B$9,"",IF(COUNTIFS(Base!$B$3:$B$5001,H$162,Base!$A$3:$A$5001,"&gt;="&amp;$C$7,Base!$A$3:$A$5001,"&lt;="&amp;$B168,Base!$X$3:$X$5001,"&lt;&gt;")=0,"",SUMIFS(Base!$X$3:$X$5001,Base!$B$3:$B$5001,H$162,Base!$A$3:$A$5001,_xlfn.MAXIFS(Base!$A$3:$A$5001,Base!$B$3:$B$5001,H$162,Base!$A$3:$A$5001,"&gt;="&amp;$C$7,Base!$A$3:$A$5001,"&lt;="&amp;$B168,Base!$X$3:$X$5001,"&lt;&gt;"))))</f>
        <v>600</v>
      </c>
      <c r="I168">
        <f>IF($A168&gt;$B$9,"",IF(COUNTIFS(Base!$B$3:$B$5001,I$162,Base!$A$3:$A$5001,"&gt;="&amp;$C$7,Base!$A$3:$A$5001,"&lt;="&amp;$B168,Base!$X$3:$X$5001,"&lt;&gt;")=0,"",SUMIFS(Base!$X$3:$X$5001,Base!$B$3:$B$5001,I$162,Base!$A$3:$A$5001,_xlfn.MAXIFS(Base!$A$3:$A$5001,Base!$B$3:$B$5001,I$162,Base!$A$3:$A$5001,"&gt;="&amp;$C$7,Base!$A$3:$A$5001,"&lt;="&amp;$B168,Base!$X$3:$X$5001,"&lt;&gt;"))))</f>
        <v>1400</v>
      </c>
      <c r="J168">
        <f>IF($A168&gt;$B$9,"",IF(COUNTIFS(Base!$B$3:$B$5001,J$162,Base!$A$3:$A$5001,"&gt;="&amp;$C$7,Base!$A$3:$A$5001,"&lt;="&amp;$B168,Base!$X$3:$X$5001,"&lt;&gt;")=0,"",SUMIFS(Base!$X$3:$X$5001,Base!$B$3:$B$5001,J$162,Base!$A$3:$A$5001,_xlfn.MAXIFS(Base!$A$3:$A$5001,Base!$B$3:$B$5001,J$162,Base!$A$3:$A$5001,"&gt;="&amp;$C$7,Base!$A$3:$A$5001,"&lt;="&amp;$B168,Base!$X$3:$X$5001,"&lt;&gt;"))))</f>
        <v>500</v>
      </c>
      <c r="K168">
        <f>IF($A168&gt;$B$9,"",IF(COUNTIFS(Base!$B$3:$B$5001,K$162,Base!$A$3:$A$5001,"&gt;="&amp;$C$7,Base!$A$3:$A$5001,"&lt;="&amp;$B168,Base!$X$3:$X$5001,"&lt;&gt;")=0,"",SUMIFS(Base!$X$3:$X$5001,Base!$B$3:$B$5001,K$162,Base!$A$3:$A$5001,_xlfn.MAXIFS(Base!$A$3:$A$5001,Base!$B$3:$B$5001,K$162,Base!$A$3:$A$5001,"&gt;="&amp;$C$7,Base!$A$3:$A$5001,"&lt;="&amp;$B168,Base!$X$3:$X$5001,"&lt;&gt;"))))</f>
        <v>1800</v>
      </c>
    </row>
    <row r="169">
      <c r="A169">
        <v>7</v>
      </c>
      <c r="B169" s="152">
        <f>$B$18</f>
        <v>46272</v>
      </c>
      <c r="C169">
        <f>IF($A169&gt;$B$9,"",IF(COUNTIFS(Base!$B$3:$B$5001,C$162,Base!$A$3:$A$5001,"&gt;="&amp;$C$7,Base!$A$3:$A$5001,"&lt;="&amp;$B169,Base!$X$3:$X$5001,"&lt;&gt;")=0,"",SUMIFS(Base!$X$3:$X$5001,Base!$B$3:$B$5001,C$162,Base!$A$3:$A$5001,_xlfn.MAXIFS(Base!$A$3:$A$5001,Base!$B$3:$B$5001,C$162,Base!$A$3:$A$5001,"&gt;="&amp;$C$7,Base!$A$3:$A$5001,"&lt;="&amp;$B169,Base!$X$3:$X$5001,"&lt;&gt;"))))</f>
        <v>2200</v>
      </c>
      <c r="D169">
        <f>IF($A169&gt;$B$9,"",IF(COUNTIFS(Base!$B$3:$B$5001,D$162,Base!$A$3:$A$5001,"&gt;="&amp;$C$7,Base!$A$3:$A$5001,"&lt;="&amp;$B169,Base!$X$3:$X$5001,"&lt;&gt;")=0,"",SUMIFS(Base!$X$3:$X$5001,Base!$B$3:$B$5001,D$162,Base!$A$3:$A$5001,_xlfn.MAXIFS(Base!$A$3:$A$5001,Base!$B$3:$B$5001,D$162,Base!$A$3:$A$5001,"&gt;="&amp;$C$7,Base!$A$3:$A$5001,"&lt;="&amp;$B169,Base!$X$3:$X$5001,"&lt;&gt;"))))</f>
        <v>1200</v>
      </c>
      <c r="E169">
        <f>IF($A169&gt;$B$9,"",IF(COUNTIFS(Base!$B$3:$B$5001,E$162,Base!$A$3:$A$5001,"&gt;="&amp;$C$7,Base!$A$3:$A$5001,"&lt;="&amp;$B169,Base!$X$3:$X$5001,"&lt;&gt;")=0,"",SUMIFS(Base!$X$3:$X$5001,Base!$B$3:$B$5001,E$162,Base!$A$3:$A$5001,_xlfn.MAXIFS(Base!$A$3:$A$5001,Base!$B$3:$B$5001,E$162,Base!$A$3:$A$5001,"&gt;="&amp;$C$7,Base!$A$3:$A$5001,"&lt;="&amp;$B169,Base!$X$3:$X$5001,"&lt;&gt;"))))</f>
        <v>3500</v>
      </c>
      <c r="F169">
        <f>IF($A169&gt;$B$9,"",IF(COUNTIFS(Base!$B$3:$B$5001,F$162,Base!$A$3:$A$5001,"&gt;="&amp;$C$7,Base!$A$3:$A$5001,"&lt;="&amp;$B169,Base!$X$3:$X$5001,"&lt;&gt;")=0,"",SUMIFS(Base!$X$3:$X$5001,Base!$B$3:$B$5001,F$162,Base!$A$3:$A$5001,_xlfn.MAXIFS(Base!$A$3:$A$5001,Base!$B$3:$B$5001,F$162,Base!$A$3:$A$5001,"&gt;="&amp;$C$7,Base!$A$3:$A$5001,"&lt;="&amp;$B169,Base!$X$3:$X$5001,"&lt;&gt;"))))</f>
        <v>1600</v>
      </c>
      <c r="G169">
        <f>IF($A169&gt;$B$9,"",IF(COUNTIFS(Base!$B$3:$B$5001,G$162,Base!$A$3:$A$5001,"&gt;="&amp;$C$7,Base!$A$3:$A$5001,"&lt;="&amp;$B169,Base!$X$3:$X$5001,"&lt;&gt;")=0,"",SUMIFS(Base!$X$3:$X$5001,Base!$B$3:$B$5001,G$162,Base!$A$3:$A$5001,_xlfn.MAXIFS(Base!$A$3:$A$5001,Base!$B$3:$B$5001,G$162,Base!$A$3:$A$5001,"&gt;="&amp;$C$7,Base!$A$3:$A$5001,"&lt;="&amp;$B169,Base!$X$3:$X$5001,"&lt;&gt;"))))</f>
        <v>900</v>
      </c>
      <c r="H169">
        <f>IF($A169&gt;$B$9,"",IF(COUNTIFS(Base!$B$3:$B$5001,H$162,Base!$A$3:$A$5001,"&gt;="&amp;$C$7,Base!$A$3:$A$5001,"&lt;="&amp;$B169,Base!$X$3:$X$5001,"&lt;&gt;")=0,"",SUMIFS(Base!$X$3:$X$5001,Base!$B$3:$B$5001,H$162,Base!$A$3:$A$5001,_xlfn.MAXIFS(Base!$A$3:$A$5001,Base!$B$3:$B$5001,H$162,Base!$A$3:$A$5001,"&gt;="&amp;$C$7,Base!$A$3:$A$5001,"&lt;="&amp;$B169,Base!$X$3:$X$5001,"&lt;&gt;"))))</f>
        <v>600</v>
      </c>
      <c r="I169">
        <f>IF($A169&gt;$B$9,"",IF(COUNTIFS(Base!$B$3:$B$5001,I$162,Base!$A$3:$A$5001,"&gt;="&amp;$C$7,Base!$A$3:$A$5001,"&lt;="&amp;$B169,Base!$X$3:$X$5001,"&lt;&gt;")=0,"",SUMIFS(Base!$X$3:$X$5001,Base!$B$3:$B$5001,I$162,Base!$A$3:$A$5001,_xlfn.MAXIFS(Base!$A$3:$A$5001,Base!$B$3:$B$5001,I$162,Base!$A$3:$A$5001,"&gt;="&amp;$C$7,Base!$A$3:$A$5001,"&lt;="&amp;$B169,Base!$X$3:$X$5001,"&lt;&gt;"))))</f>
        <v>1400</v>
      </c>
      <c r="J169">
        <f>IF($A169&gt;$B$9,"",IF(COUNTIFS(Base!$B$3:$B$5001,J$162,Base!$A$3:$A$5001,"&gt;="&amp;$C$7,Base!$A$3:$A$5001,"&lt;="&amp;$B169,Base!$X$3:$X$5001,"&lt;&gt;")=0,"",SUMIFS(Base!$X$3:$X$5001,Base!$B$3:$B$5001,J$162,Base!$A$3:$A$5001,_xlfn.MAXIFS(Base!$A$3:$A$5001,Base!$B$3:$B$5001,J$162,Base!$A$3:$A$5001,"&gt;="&amp;$C$7,Base!$A$3:$A$5001,"&lt;="&amp;$B169,Base!$X$3:$X$5001,"&lt;&gt;"))))</f>
        <v>500</v>
      </c>
      <c r="K169">
        <f>IF($A169&gt;$B$9,"",IF(COUNTIFS(Base!$B$3:$B$5001,K$162,Base!$A$3:$A$5001,"&gt;="&amp;$C$7,Base!$A$3:$A$5001,"&lt;="&amp;$B169,Base!$X$3:$X$5001,"&lt;&gt;")=0,"",SUMIFS(Base!$X$3:$X$5001,Base!$B$3:$B$5001,K$162,Base!$A$3:$A$5001,_xlfn.MAXIFS(Base!$A$3:$A$5001,Base!$B$3:$B$5001,K$162,Base!$A$3:$A$5001,"&gt;="&amp;$C$7,Base!$A$3:$A$5001,"&lt;="&amp;$B169,Base!$X$3:$X$5001,"&lt;&gt;"))))</f>
        <v>1800</v>
      </c>
    </row>
    <row r="170">
      <c r="A170">
        <v>8</v>
      </c>
      <c r="B170" s="152">
        <f>$B$19</f>
        <v>46273</v>
      </c>
      <c r="C170">
        <f>IF($A170&gt;$B$9,"",IF(COUNTIFS(Base!$B$3:$B$5001,C$162,Base!$A$3:$A$5001,"&gt;="&amp;$C$7,Base!$A$3:$A$5001,"&lt;="&amp;$B170,Base!$X$3:$X$5001,"&lt;&gt;")=0,"",SUMIFS(Base!$X$3:$X$5001,Base!$B$3:$B$5001,C$162,Base!$A$3:$A$5001,_xlfn.MAXIFS(Base!$A$3:$A$5001,Base!$B$3:$B$5001,C$162,Base!$A$3:$A$5001,"&gt;="&amp;$C$7,Base!$A$3:$A$5001,"&lt;="&amp;$B170,Base!$X$3:$X$5001,"&lt;&gt;"))))</f>
        <v>2200</v>
      </c>
      <c r="D170">
        <f>IF($A170&gt;$B$9,"",IF(COUNTIFS(Base!$B$3:$B$5001,D$162,Base!$A$3:$A$5001,"&gt;="&amp;$C$7,Base!$A$3:$A$5001,"&lt;="&amp;$B170,Base!$X$3:$X$5001,"&lt;&gt;")=0,"",SUMIFS(Base!$X$3:$X$5001,Base!$B$3:$B$5001,D$162,Base!$A$3:$A$5001,_xlfn.MAXIFS(Base!$A$3:$A$5001,Base!$B$3:$B$5001,D$162,Base!$A$3:$A$5001,"&gt;="&amp;$C$7,Base!$A$3:$A$5001,"&lt;="&amp;$B170,Base!$X$3:$X$5001,"&lt;&gt;"))))</f>
        <v>1200</v>
      </c>
      <c r="E170">
        <f>IF($A170&gt;$B$9,"",IF(COUNTIFS(Base!$B$3:$B$5001,E$162,Base!$A$3:$A$5001,"&gt;="&amp;$C$7,Base!$A$3:$A$5001,"&lt;="&amp;$B170,Base!$X$3:$X$5001,"&lt;&gt;")=0,"",SUMIFS(Base!$X$3:$X$5001,Base!$B$3:$B$5001,E$162,Base!$A$3:$A$5001,_xlfn.MAXIFS(Base!$A$3:$A$5001,Base!$B$3:$B$5001,E$162,Base!$A$3:$A$5001,"&gt;="&amp;$C$7,Base!$A$3:$A$5001,"&lt;="&amp;$B170,Base!$X$3:$X$5001,"&lt;&gt;"))))</f>
        <v>3500</v>
      </c>
      <c r="F170">
        <f>IF($A170&gt;$B$9,"",IF(COUNTIFS(Base!$B$3:$B$5001,F$162,Base!$A$3:$A$5001,"&gt;="&amp;$C$7,Base!$A$3:$A$5001,"&lt;="&amp;$B170,Base!$X$3:$X$5001,"&lt;&gt;")=0,"",SUMIFS(Base!$X$3:$X$5001,Base!$B$3:$B$5001,F$162,Base!$A$3:$A$5001,_xlfn.MAXIFS(Base!$A$3:$A$5001,Base!$B$3:$B$5001,F$162,Base!$A$3:$A$5001,"&gt;="&amp;$C$7,Base!$A$3:$A$5001,"&lt;="&amp;$B170,Base!$X$3:$X$5001,"&lt;&gt;"))))</f>
        <v>1600</v>
      </c>
      <c r="G170">
        <f>IF($A170&gt;$B$9,"",IF(COUNTIFS(Base!$B$3:$B$5001,G$162,Base!$A$3:$A$5001,"&gt;="&amp;$C$7,Base!$A$3:$A$5001,"&lt;="&amp;$B170,Base!$X$3:$X$5001,"&lt;&gt;")=0,"",SUMIFS(Base!$X$3:$X$5001,Base!$B$3:$B$5001,G$162,Base!$A$3:$A$5001,_xlfn.MAXIFS(Base!$A$3:$A$5001,Base!$B$3:$B$5001,G$162,Base!$A$3:$A$5001,"&gt;="&amp;$C$7,Base!$A$3:$A$5001,"&lt;="&amp;$B170,Base!$X$3:$X$5001,"&lt;&gt;"))))</f>
        <v>900</v>
      </c>
      <c r="H170">
        <f>IF($A170&gt;$B$9,"",IF(COUNTIFS(Base!$B$3:$B$5001,H$162,Base!$A$3:$A$5001,"&gt;="&amp;$C$7,Base!$A$3:$A$5001,"&lt;="&amp;$B170,Base!$X$3:$X$5001,"&lt;&gt;")=0,"",SUMIFS(Base!$X$3:$X$5001,Base!$B$3:$B$5001,H$162,Base!$A$3:$A$5001,_xlfn.MAXIFS(Base!$A$3:$A$5001,Base!$B$3:$B$5001,H$162,Base!$A$3:$A$5001,"&gt;="&amp;$C$7,Base!$A$3:$A$5001,"&lt;="&amp;$B170,Base!$X$3:$X$5001,"&lt;&gt;"))))</f>
        <v>600</v>
      </c>
      <c r="I170">
        <f>IF($A170&gt;$B$9,"",IF(COUNTIFS(Base!$B$3:$B$5001,I$162,Base!$A$3:$A$5001,"&gt;="&amp;$C$7,Base!$A$3:$A$5001,"&lt;="&amp;$B170,Base!$X$3:$X$5001,"&lt;&gt;")=0,"",SUMIFS(Base!$X$3:$X$5001,Base!$B$3:$B$5001,I$162,Base!$A$3:$A$5001,_xlfn.MAXIFS(Base!$A$3:$A$5001,Base!$B$3:$B$5001,I$162,Base!$A$3:$A$5001,"&gt;="&amp;$C$7,Base!$A$3:$A$5001,"&lt;="&amp;$B170,Base!$X$3:$X$5001,"&lt;&gt;"))))</f>
        <v>1400</v>
      </c>
      <c r="J170">
        <f>IF($A170&gt;$B$9,"",IF(COUNTIFS(Base!$B$3:$B$5001,J$162,Base!$A$3:$A$5001,"&gt;="&amp;$C$7,Base!$A$3:$A$5001,"&lt;="&amp;$B170,Base!$X$3:$X$5001,"&lt;&gt;")=0,"",SUMIFS(Base!$X$3:$X$5001,Base!$B$3:$B$5001,J$162,Base!$A$3:$A$5001,_xlfn.MAXIFS(Base!$A$3:$A$5001,Base!$B$3:$B$5001,J$162,Base!$A$3:$A$5001,"&gt;="&amp;$C$7,Base!$A$3:$A$5001,"&lt;="&amp;$B170,Base!$X$3:$X$5001,"&lt;&gt;"))))</f>
        <v>500</v>
      </c>
      <c r="K170">
        <f>IF($A170&gt;$B$9,"",IF(COUNTIFS(Base!$B$3:$B$5001,K$162,Base!$A$3:$A$5001,"&gt;="&amp;$C$7,Base!$A$3:$A$5001,"&lt;="&amp;$B170,Base!$X$3:$X$5001,"&lt;&gt;")=0,"",SUMIFS(Base!$X$3:$X$5001,Base!$B$3:$B$5001,K$162,Base!$A$3:$A$5001,_xlfn.MAXIFS(Base!$A$3:$A$5001,Base!$B$3:$B$5001,K$162,Base!$A$3:$A$5001,"&gt;="&amp;$C$7,Base!$A$3:$A$5001,"&lt;="&amp;$B170,Base!$X$3:$X$5001,"&lt;&gt;"))))</f>
        <v>1800</v>
      </c>
    </row>
    <row r="171">
      <c r="A171">
        <v>9</v>
      </c>
      <c r="B171" s="152">
        <f>$B$20</f>
        <v>46274</v>
      </c>
      <c r="C171">
        <f>IF($A171&gt;$B$9,"",IF(COUNTIFS(Base!$B$3:$B$5001,C$162,Base!$A$3:$A$5001,"&gt;="&amp;$C$7,Base!$A$3:$A$5001,"&lt;="&amp;$B171,Base!$X$3:$X$5001,"&lt;&gt;")=0,"",SUMIFS(Base!$X$3:$X$5001,Base!$B$3:$B$5001,C$162,Base!$A$3:$A$5001,_xlfn.MAXIFS(Base!$A$3:$A$5001,Base!$B$3:$B$5001,C$162,Base!$A$3:$A$5001,"&gt;="&amp;$C$7,Base!$A$3:$A$5001,"&lt;="&amp;$B171,Base!$X$3:$X$5001,"&lt;&gt;"))))</f>
        <v>2200</v>
      </c>
      <c r="D171">
        <f>IF($A171&gt;$B$9,"",IF(COUNTIFS(Base!$B$3:$B$5001,D$162,Base!$A$3:$A$5001,"&gt;="&amp;$C$7,Base!$A$3:$A$5001,"&lt;="&amp;$B171,Base!$X$3:$X$5001,"&lt;&gt;")=0,"",SUMIFS(Base!$X$3:$X$5001,Base!$B$3:$B$5001,D$162,Base!$A$3:$A$5001,_xlfn.MAXIFS(Base!$A$3:$A$5001,Base!$B$3:$B$5001,D$162,Base!$A$3:$A$5001,"&gt;="&amp;$C$7,Base!$A$3:$A$5001,"&lt;="&amp;$B171,Base!$X$3:$X$5001,"&lt;&gt;"))))</f>
        <v>1200</v>
      </c>
      <c r="E171">
        <f>IF($A171&gt;$B$9,"",IF(COUNTIFS(Base!$B$3:$B$5001,E$162,Base!$A$3:$A$5001,"&gt;="&amp;$C$7,Base!$A$3:$A$5001,"&lt;="&amp;$B171,Base!$X$3:$X$5001,"&lt;&gt;")=0,"",SUMIFS(Base!$X$3:$X$5001,Base!$B$3:$B$5001,E$162,Base!$A$3:$A$5001,_xlfn.MAXIFS(Base!$A$3:$A$5001,Base!$B$3:$B$5001,E$162,Base!$A$3:$A$5001,"&gt;="&amp;$C$7,Base!$A$3:$A$5001,"&lt;="&amp;$B171,Base!$X$3:$X$5001,"&lt;&gt;"))))</f>
        <v>3500</v>
      </c>
      <c r="F171">
        <f>IF($A171&gt;$B$9,"",IF(COUNTIFS(Base!$B$3:$B$5001,F$162,Base!$A$3:$A$5001,"&gt;="&amp;$C$7,Base!$A$3:$A$5001,"&lt;="&amp;$B171,Base!$X$3:$X$5001,"&lt;&gt;")=0,"",SUMIFS(Base!$X$3:$X$5001,Base!$B$3:$B$5001,F$162,Base!$A$3:$A$5001,_xlfn.MAXIFS(Base!$A$3:$A$5001,Base!$B$3:$B$5001,F$162,Base!$A$3:$A$5001,"&gt;="&amp;$C$7,Base!$A$3:$A$5001,"&lt;="&amp;$B171,Base!$X$3:$X$5001,"&lt;&gt;"))))</f>
        <v>1600</v>
      </c>
      <c r="G171">
        <f>IF($A171&gt;$B$9,"",IF(COUNTIFS(Base!$B$3:$B$5001,G$162,Base!$A$3:$A$5001,"&gt;="&amp;$C$7,Base!$A$3:$A$5001,"&lt;="&amp;$B171,Base!$X$3:$X$5001,"&lt;&gt;")=0,"",SUMIFS(Base!$X$3:$X$5001,Base!$B$3:$B$5001,G$162,Base!$A$3:$A$5001,_xlfn.MAXIFS(Base!$A$3:$A$5001,Base!$B$3:$B$5001,G$162,Base!$A$3:$A$5001,"&gt;="&amp;$C$7,Base!$A$3:$A$5001,"&lt;="&amp;$B171,Base!$X$3:$X$5001,"&lt;&gt;"))))</f>
        <v>900</v>
      </c>
      <c r="H171">
        <f>IF($A171&gt;$B$9,"",IF(COUNTIFS(Base!$B$3:$B$5001,H$162,Base!$A$3:$A$5001,"&gt;="&amp;$C$7,Base!$A$3:$A$5001,"&lt;="&amp;$B171,Base!$X$3:$X$5001,"&lt;&gt;")=0,"",SUMIFS(Base!$X$3:$X$5001,Base!$B$3:$B$5001,H$162,Base!$A$3:$A$5001,_xlfn.MAXIFS(Base!$A$3:$A$5001,Base!$B$3:$B$5001,H$162,Base!$A$3:$A$5001,"&gt;="&amp;$C$7,Base!$A$3:$A$5001,"&lt;="&amp;$B171,Base!$X$3:$X$5001,"&lt;&gt;"))))</f>
        <v>600</v>
      </c>
      <c r="I171">
        <f>IF($A171&gt;$B$9,"",IF(COUNTIFS(Base!$B$3:$B$5001,I$162,Base!$A$3:$A$5001,"&gt;="&amp;$C$7,Base!$A$3:$A$5001,"&lt;="&amp;$B171,Base!$X$3:$X$5001,"&lt;&gt;")=0,"",SUMIFS(Base!$X$3:$X$5001,Base!$B$3:$B$5001,I$162,Base!$A$3:$A$5001,_xlfn.MAXIFS(Base!$A$3:$A$5001,Base!$B$3:$B$5001,I$162,Base!$A$3:$A$5001,"&gt;="&amp;$C$7,Base!$A$3:$A$5001,"&lt;="&amp;$B171,Base!$X$3:$X$5001,"&lt;&gt;"))))</f>
        <v>1400</v>
      </c>
      <c r="J171">
        <f>IF($A171&gt;$B$9,"",IF(COUNTIFS(Base!$B$3:$B$5001,J$162,Base!$A$3:$A$5001,"&gt;="&amp;$C$7,Base!$A$3:$A$5001,"&lt;="&amp;$B171,Base!$X$3:$X$5001,"&lt;&gt;")=0,"",SUMIFS(Base!$X$3:$X$5001,Base!$B$3:$B$5001,J$162,Base!$A$3:$A$5001,_xlfn.MAXIFS(Base!$A$3:$A$5001,Base!$B$3:$B$5001,J$162,Base!$A$3:$A$5001,"&gt;="&amp;$C$7,Base!$A$3:$A$5001,"&lt;="&amp;$B171,Base!$X$3:$X$5001,"&lt;&gt;"))))</f>
        <v>500</v>
      </c>
      <c r="K171">
        <f>IF($A171&gt;$B$9,"",IF(COUNTIFS(Base!$B$3:$B$5001,K$162,Base!$A$3:$A$5001,"&gt;="&amp;$C$7,Base!$A$3:$A$5001,"&lt;="&amp;$B171,Base!$X$3:$X$5001,"&lt;&gt;")=0,"",SUMIFS(Base!$X$3:$X$5001,Base!$B$3:$B$5001,K$162,Base!$A$3:$A$5001,_xlfn.MAXIFS(Base!$A$3:$A$5001,Base!$B$3:$B$5001,K$162,Base!$A$3:$A$5001,"&gt;="&amp;$C$7,Base!$A$3:$A$5001,"&lt;="&amp;$B171,Base!$X$3:$X$5001,"&lt;&gt;"))))</f>
        <v>1800</v>
      </c>
    </row>
    <row r="172">
      <c r="A172">
        <v>10</v>
      </c>
      <c r="B172" s="152">
        <f>$B$21</f>
        <v>46275</v>
      </c>
      <c r="C172">
        <f>IF($A172&gt;$B$9,"",IF(COUNTIFS(Base!$B$3:$B$5001,C$162,Base!$A$3:$A$5001,"&gt;="&amp;$C$7,Base!$A$3:$A$5001,"&lt;="&amp;$B172,Base!$X$3:$X$5001,"&lt;&gt;")=0,"",SUMIFS(Base!$X$3:$X$5001,Base!$B$3:$B$5001,C$162,Base!$A$3:$A$5001,_xlfn.MAXIFS(Base!$A$3:$A$5001,Base!$B$3:$B$5001,C$162,Base!$A$3:$A$5001,"&gt;="&amp;$C$7,Base!$A$3:$A$5001,"&lt;="&amp;$B172,Base!$X$3:$X$5001,"&lt;&gt;"))))</f>
        <v>2200</v>
      </c>
      <c r="D172">
        <f>IF($A172&gt;$B$9,"",IF(COUNTIFS(Base!$B$3:$B$5001,D$162,Base!$A$3:$A$5001,"&gt;="&amp;$C$7,Base!$A$3:$A$5001,"&lt;="&amp;$B172,Base!$X$3:$X$5001,"&lt;&gt;")=0,"",SUMIFS(Base!$X$3:$X$5001,Base!$B$3:$B$5001,D$162,Base!$A$3:$A$5001,_xlfn.MAXIFS(Base!$A$3:$A$5001,Base!$B$3:$B$5001,D$162,Base!$A$3:$A$5001,"&gt;="&amp;$C$7,Base!$A$3:$A$5001,"&lt;="&amp;$B172,Base!$X$3:$X$5001,"&lt;&gt;"))))</f>
        <v>1200</v>
      </c>
      <c r="E172">
        <f>IF($A172&gt;$B$9,"",IF(COUNTIFS(Base!$B$3:$B$5001,E$162,Base!$A$3:$A$5001,"&gt;="&amp;$C$7,Base!$A$3:$A$5001,"&lt;="&amp;$B172,Base!$X$3:$X$5001,"&lt;&gt;")=0,"",SUMIFS(Base!$X$3:$X$5001,Base!$B$3:$B$5001,E$162,Base!$A$3:$A$5001,_xlfn.MAXIFS(Base!$A$3:$A$5001,Base!$B$3:$B$5001,E$162,Base!$A$3:$A$5001,"&gt;="&amp;$C$7,Base!$A$3:$A$5001,"&lt;="&amp;$B172,Base!$X$3:$X$5001,"&lt;&gt;"))))</f>
        <v>3500</v>
      </c>
      <c r="F172">
        <f>IF($A172&gt;$B$9,"",IF(COUNTIFS(Base!$B$3:$B$5001,F$162,Base!$A$3:$A$5001,"&gt;="&amp;$C$7,Base!$A$3:$A$5001,"&lt;="&amp;$B172,Base!$X$3:$X$5001,"&lt;&gt;")=0,"",SUMIFS(Base!$X$3:$X$5001,Base!$B$3:$B$5001,F$162,Base!$A$3:$A$5001,_xlfn.MAXIFS(Base!$A$3:$A$5001,Base!$B$3:$B$5001,F$162,Base!$A$3:$A$5001,"&gt;="&amp;$C$7,Base!$A$3:$A$5001,"&lt;="&amp;$B172,Base!$X$3:$X$5001,"&lt;&gt;"))))</f>
        <v>1600</v>
      </c>
      <c r="G172">
        <f>IF($A172&gt;$B$9,"",IF(COUNTIFS(Base!$B$3:$B$5001,G$162,Base!$A$3:$A$5001,"&gt;="&amp;$C$7,Base!$A$3:$A$5001,"&lt;="&amp;$B172,Base!$X$3:$X$5001,"&lt;&gt;")=0,"",SUMIFS(Base!$X$3:$X$5001,Base!$B$3:$B$5001,G$162,Base!$A$3:$A$5001,_xlfn.MAXIFS(Base!$A$3:$A$5001,Base!$B$3:$B$5001,G$162,Base!$A$3:$A$5001,"&gt;="&amp;$C$7,Base!$A$3:$A$5001,"&lt;="&amp;$B172,Base!$X$3:$X$5001,"&lt;&gt;"))))</f>
        <v>900</v>
      </c>
      <c r="H172">
        <f>IF($A172&gt;$B$9,"",IF(COUNTIFS(Base!$B$3:$B$5001,H$162,Base!$A$3:$A$5001,"&gt;="&amp;$C$7,Base!$A$3:$A$5001,"&lt;="&amp;$B172,Base!$X$3:$X$5001,"&lt;&gt;")=0,"",SUMIFS(Base!$X$3:$X$5001,Base!$B$3:$B$5001,H$162,Base!$A$3:$A$5001,_xlfn.MAXIFS(Base!$A$3:$A$5001,Base!$B$3:$B$5001,H$162,Base!$A$3:$A$5001,"&gt;="&amp;$C$7,Base!$A$3:$A$5001,"&lt;="&amp;$B172,Base!$X$3:$X$5001,"&lt;&gt;"))))</f>
        <v>600</v>
      </c>
      <c r="I172">
        <f>IF($A172&gt;$B$9,"",IF(COUNTIFS(Base!$B$3:$B$5001,I$162,Base!$A$3:$A$5001,"&gt;="&amp;$C$7,Base!$A$3:$A$5001,"&lt;="&amp;$B172,Base!$X$3:$X$5001,"&lt;&gt;")=0,"",SUMIFS(Base!$X$3:$X$5001,Base!$B$3:$B$5001,I$162,Base!$A$3:$A$5001,_xlfn.MAXIFS(Base!$A$3:$A$5001,Base!$B$3:$B$5001,I$162,Base!$A$3:$A$5001,"&gt;="&amp;$C$7,Base!$A$3:$A$5001,"&lt;="&amp;$B172,Base!$X$3:$X$5001,"&lt;&gt;"))))</f>
        <v>1400</v>
      </c>
      <c r="J172">
        <f>IF($A172&gt;$B$9,"",IF(COUNTIFS(Base!$B$3:$B$5001,J$162,Base!$A$3:$A$5001,"&gt;="&amp;$C$7,Base!$A$3:$A$5001,"&lt;="&amp;$B172,Base!$X$3:$X$5001,"&lt;&gt;")=0,"",SUMIFS(Base!$X$3:$X$5001,Base!$B$3:$B$5001,J$162,Base!$A$3:$A$5001,_xlfn.MAXIFS(Base!$A$3:$A$5001,Base!$B$3:$B$5001,J$162,Base!$A$3:$A$5001,"&gt;="&amp;$C$7,Base!$A$3:$A$5001,"&lt;="&amp;$B172,Base!$X$3:$X$5001,"&lt;&gt;"))))</f>
        <v>500</v>
      </c>
      <c r="K172">
        <f>IF($A172&gt;$B$9,"",IF(COUNTIFS(Base!$B$3:$B$5001,K$162,Base!$A$3:$A$5001,"&gt;="&amp;$C$7,Base!$A$3:$A$5001,"&lt;="&amp;$B172,Base!$X$3:$X$5001,"&lt;&gt;")=0,"",SUMIFS(Base!$X$3:$X$5001,Base!$B$3:$B$5001,K$162,Base!$A$3:$A$5001,_xlfn.MAXIFS(Base!$A$3:$A$5001,Base!$B$3:$B$5001,K$162,Base!$A$3:$A$5001,"&gt;="&amp;$C$7,Base!$A$3:$A$5001,"&lt;="&amp;$B172,Base!$X$3:$X$5001,"&lt;&gt;"))))</f>
        <v>1800</v>
      </c>
    </row>
    <row r="173">
      <c r="A173">
        <v>11</v>
      </c>
      <c r="B173" s="152">
        <f>$B$22</f>
        <v>46276</v>
      </c>
      <c r="C173">
        <f>IF($A173&gt;$B$9,"",IF(COUNTIFS(Base!$B$3:$B$5001,C$162,Base!$A$3:$A$5001,"&gt;="&amp;$C$7,Base!$A$3:$A$5001,"&lt;="&amp;$B173,Base!$X$3:$X$5001,"&lt;&gt;")=0,"",SUMIFS(Base!$X$3:$X$5001,Base!$B$3:$B$5001,C$162,Base!$A$3:$A$5001,_xlfn.MAXIFS(Base!$A$3:$A$5001,Base!$B$3:$B$5001,C$162,Base!$A$3:$A$5001,"&gt;="&amp;$C$7,Base!$A$3:$A$5001,"&lt;="&amp;$B173,Base!$X$3:$X$5001,"&lt;&gt;"))))</f>
        <v>2200</v>
      </c>
      <c r="D173">
        <f>IF($A173&gt;$B$9,"",IF(COUNTIFS(Base!$B$3:$B$5001,D$162,Base!$A$3:$A$5001,"&gt;="&amp;$C$7,Base!$A$3:$A$5001,"&lt;="&amp;$B173,Base!$X$3:$X$5001,"&lt;&gt;")=0,"",SUMIFS(Base!$X$3:$X$5001,Base!$B$3:$B$5001,D$162,Base!$A$3:$A$5001,_xlfn.MAXIFS(Base!$A$3:$A$5001,Base!$B$3:$B$5001,D$162,Base!$A$3:$A$5001,"&gt;="&amp;$C$7,Base!$A$3:$A$5001,"&lt;="&amp;$B173,Base!$X$3:$X$5001,"&lt;&gt;"))))</f>
        <v>1200</v>
      </c>
      <c r="E173">
        <f>IF($A173&gt;$B$9,"",IF(COUNTIFS(Base!$B$3:$B$5001,E$162,Base!$A$3:$A$5001,"&gt;="&amp;$C$7,Base!$A$3:$A$5001,"&lt;="&amp;$B173,Base!$X$3:$X$5001,"&lt;&gt;")=0,"",SUMIFS(Base!$X$3:$X$5001,Base!$B$3:$B$5001,E$162,Base!$A$3:$A$5001,_xlfn.MAXIFS(Base!$A$3:$A$5001,Base!$B$3:$B$5001,E$162,Base!$A$3:$A$5001,"&gt;="&amp;$C$7,Base!$A$3:$A$5001,"&lt;="&amp;$B173,Base!$X$3:$X$5001,"&lt;&gt;"))))</f>
        <v>3500</v>
      </c>
      <c r="F173">
        <f>IF($A173&gt;$B$9,"",IF(COUNTIFS(Base!$B$3:$B$5001,F$162,Base!$A$3:$A$5001,"&gt;="&amp;$C$7,Base!$A$3:$A$5001,"&lt;="&amp;$B173,Base!$X$3:$X$5001,"&lt;&gt;")=0,"",SUMIFS(Base!$X$3:$X$5001,Base!$B$3:$B$5001,F$162,Base!$A$3:$A$5001,_xlfn.MAXIFS(Base!$A$3:$A$5001,Base!$B$3:$B$5001,F$162,Base!$A$3:$A$5001,"&gt;="&amp;$C$7,Base!$A$3:$A$5001,"&lt;="&amp;$B173,Base!$X$3:$X$5001,"&lt;&gt;"))))</f>
        <v>1600</v>
      </c>
      <c r="G173">
        <f>IF($A173&gt;$B$9,"",IF(COUNTIFS(Base!$B$3:$B$5001,G$162,Base!$A$3:$A$5001,"&gt;="&amp;$C$7,Base!$A$3:$A$5001,"&lt;="&amp;$B173,Base!$X$3:$X$5001,"&lt;&gt;")=0,"",SUMIFS(Base!$X$3:$X$5001,Base!$B$3:$B$5001,G$162,Base!$A$3:$A$5001,_xlfn.MAXIFS(Base!$A$3:$A$5001,Base!$B$3:$B$5001,G$162,Base!$A$3:$A$5001,"&gt;="&amp;$C$7,Base!$A$3:$A$5001,"&lt;="&amp;$B173,Base!$X$3:$X$5001,"&lt;&gt;"))))</f>
        <v>900</v>
      </c>
      <c r="H173">
        <f>IF($A173&gt;$B$9,"",IF(COUNTIFS(Base!$B$3:$B$5001,H$162,Base!$A$3:$A$5001,"&gt;="&amp;$C$7,Base!$A$3:$A$5001,"&lt;="&amp;$B173,Base!$X$3:$X$5001,"&lt;&gt;")=0,"",SUMIFS(Base!$X$3:$X$5001,Base!$B$3:$B$5001,H$162,Base!$A$3:$A$5001,_xlfn.MAXIFS(Base!$A$3:$A$5001,Base!$B$3:$B$5001,H$162,Base!$A$3:$A$5001,"&gt;="&amp;$C$7,Base!$A$3:$A$5001,"&lt;="&amp;$B173,Base!$X$3:$X$5001,"&lt;&gt;"))))</f>
        <v>600</v>
      </c>
      <c r="I173">
        <f>IF($A173&gt;$B$9,"",IF(COUNTIFS(Base!$B$3:$B$5001,I$162,Base!$A$3:$A$5001,"&gt;="&amp;$C$7,Base!$A$3:$A$5001,"&lt;="&amp;$B173,Base!$X$3:$X$5001,"&lt;&gt;")=0,"",SUMIFS(Base!$X$3:$X$5001,Base!$B$3:$B$5001,I$162,Base!$A$3:$A$5001,_xlfn.MAXIFS(Base!$A$3:$A$5001,Base!$B$3:$B$5001,I$162,Base!$A$3:$A$5001,"&gt;="&amp;$C$7,Base!$A$3:$A$5001,"&lt;="&amp;$B173,Base!$X$3:$X$5001,"&lt;&gt;"))))</f>
        <v>1400</v>
      </c>
      <c r="J173">
        <f>IF($A173&gt;$B$9,"",IF(COUNTIFS(Base!$B$3:$B$5001,J$162,Base!$A$3:$A$5001,"&gt;="&amp;$C$7,Base!$A$3:$A$5001,"&lt;="&amp;$B173,Base!$X$3:$X$5001,"&lt;&gt;")=0,"",SUMIFS(Base!$X$3:$X$5001,Base!$B$3:$B$5001,J$162,Base!$A$3:$A$5001,_xlfn.MAXIFS(Base!$A$3:$A$5001,Base!$B$3:$B$5001,J$162,Base!$A$3:$A$5001,"&gt;="&amp;$C$7,Base!$A$3:$A$5001,"&lt;="&amp;$B173,Base!$X$3:$X$5001,"&lt;&gt;"))))</f>
        <v>500</v>
      </c>
      <c r="K173">
        <f>IF($A173&gt;$B$9,"",IF(COUNTIFS(Base!$B$3:$B$5001,K$162,Base!$A$3:$A$5001,"&gt;="&amp;$C$7,Base!$A$3:$A$5001,"&lt;="&amp;$B173,Base!$X$3:$X$5001,"&lt;&gt;")=0,"",SUMIFS(Base!$X$3:$X$5001,Base!$B$3:$B$5001,K$162,Base!$A$3:$A$5001,_xlfn.MAXIFS(Base!$A$3:$A$5001,Base!$B$3:$B$5001,K$162,Base!$A$3:$A$5001,"&gt;="&amp;$C$7,Base!$A$3:$A$5001,"&lt;="&amp;$B173,Base!$X$3:$X$5001,"&lt;&gt;"))))</f>
        <v>1800</v>
      </c>
    </row>
    <row r="174">
      <c r="A174">
        <v>12</v>
      </c>
      <c r="B174" s="152">
        <f>$B$23</f>
        <v>46277</v>
      </c>
      <c r="C174">
        <f>IF($A174&gt;$B$9,"",IF(COUNTIFS(Base!$B$3:$B$5001,C$162,Base!$A$3:$A$5001,"&gt;="&amp;$C$7,Base!$A$3:$A$5001,"&lt;="&amp;$B174,Base!$X$3:$X$5001,"&lt;&gt;")=0,"",SUMIFS(Base!$X$3:$X$5001,Base!$B$3:$B$5001,C$162,Base!$A$3:$A$5001,_xlfn.MAXIFS(Base!$A$3:$A$5001,Base!$B$3:$B$5001,C$162,Base!$A$3:$A$5001,"&gt;="&amp;$C$7,Base!$A$3:$A$5001,"&lt;="&amp;$B174,Base!$X$3:$X$5001,"&lt;&gt;"))))</f>
        <v>2200</v>
      </c>
      <c r="D174">
        <f>IF($A174&gt;$B$9,"",IF(COUNTIFS(Base!$B$3:$B$5001,D$162,Base!$A$3:$A$5001,"&gt;="&amp;$C$7,Base!$A$3:$A$5001,"&lt;="&amp;$B174,Base!$X$3:$X$5001,"&lt;&gt;")=0,"",SUMIFS(Base!$X$3:$X$5001,Base!$B$3:$B$5001,D$162,Base!$A$3:$A$5001,_xlfn.MAXIFS(Base!$A$3:$A$5001,Base!$B$3:$B$5001,D$162,Base!$A$3:$A$5001,"&gt;="&amp;$C$7,Base!$A$3:$A$5001,"&lt;="&amp;$B174,Base!$X$3:$X$5001,"&lt;&gt;"))))</f>
        <v>1200</v>
      </c>
      <c r="E174">
        <f>IF($A174&gt;$B$9,"",IF(COUNTIFS(Base!$B$3:$B$5001,E$162,Base!$A$3:$A$5001,"&gt;="&amp;$C$7,Base!$A$3:$A$5001,"&lt;="&amp;$B174,Base!$X$3:$X$5001,"&lt;&gt;")=0,"",SUMIFS(Base!$X$3:$X$5001,Base!$B$3:$B$5001,E$162,Base!$A$3:$A$5001,_xlfn.MAXIFS(Base!$A$3:$A$5001,Base!$B$3:$B$5001,E$162,Base!$A$3:$A$5001,"&gt;="&amp;$C$7,Base!$A$3:$A$5001,"&lt;="&amp;$B174,Base!$X$3:$X$5001,"&lt;&gt;"))))</f>
        <v>3500</v>
      </c>
      <c r="F174">
        <f>IF($A174&gt;$B$9,"",IF(COUNTIFS(Base!$B$3:$B$5001,F$162,Base!$A$3:$A$5001,"&gt;="&amp;$C$7,Base!$A$3:$A$5001,"&lt;="&amp;$B174,Base!$X$3:$X$5001,"&lt;&gt;")=0,"",SUMIFS(Base!$X$3:$X$5001,Base!$B$3:$B$5001,F$162,Base!$A$3:$A$5001,_xlfn.MAXIFS(Base!$A$3:$A$5001,Base!$B$3:$B$5001,F$162,Base!$A$3:$A$5001,"&gt;="&amp;$C$7,Base!$A$3:$A$5001,"&lt;="&amp;$B174,Base!$X$3:$X$5001,"&lt;&gt;"))))</f>
        <v>1600</v>
      </c>
      <c r="G174">
        <f>IF($A174&gt;$B$9,"",IF(COUNTIFS(Base!$B$3:$B$5001,G$162,Base!$A$3:$A$5001,"&gt;="&amp;$C$7,Base!$A$3:$A$5001,"&lt;="&amp;$B174,Base!$X$3:$X$5001,"&lt;&gt;")=0,"",SUMIFS(Base!$X$3:$X$5001,Base!$B$3:$B$5001,G$162,Base!$A$3:$A$5001,_xlfn.MAXIFS(Base!$A$3:$A$5001,Base!$B$3:$B$5001,G$162,Base!$A$3:$A$5001,"&gt;="&amp;$C$7,Base!$A$3:$A$5001,"&lt;="&amp;$B174,Base!$X$3:$X$5001,"&lt;&gt;"))))</f>
        <v>900</v>
      </c>
      <c r="H174">
        <f>IF($A174&gt;$B$9,"",IF(COUNTIFS(Base!$B$3:$B$5001,H$162,Base!$A$3:$A$5001,"&gt;="&amp;$C$7,Base!$A$3:$A$5001,"&lt;="&amp;$B174,Base!$X$3:$X$5001,"&lt;&gt;")=0,"",SUMIFS(Base!$X$3:$X$5001,Base!$B$3:$B$5001,H$162,Base!$A$3:$A$5001,_xlfn.MAXIFS(Base!$A$3:$A$5001,Base!$B$3:$B$5001,H$162,Base!$A$3:$A$5001,"&gt;="&amp;$C$7,Base!$A$3:$A$5001,"&lt;="&amp;$B174,Base!$X$3:$X$5001,"&lt;&gt;"))))</f>
        <v>600</v>
      </c>
      <c r="I174">
        <f>IF($A174&gt;$B$9,"",IF(COUNTIFS(Base!$B$3:$B$5001,I$162,Base!$A$3:$A$5001,"&gt;="&amp;$C$7,Base!$A$3:$A$5001,"&lt;="&amp;$B174,Base!$X$3:$X$5001,"&lt;&gt;")=0,"",SUMIFS(Base!$X$3:$X$5001,Base!$B$3:$B$5001,I$162,Base!$A$3:$A$5001,_xlfn.MAXIFS(Base!$A$3:$A$5001,Base!$B$3:$B$5001,I$162,Base!$A$3:$A$5001,"&gt;="&amp;$C$7,Base!$A$3:$A$5001,"&lt;="&amp;$B174,Base!$X$3:$X$5001,"&lt;&gt;"))))</f>
        <v>1400</v>
      </c>
      <c r="J174">
        <f>IF($A174&gt;$B$9,"",IF(COUNTIFS(Base!$B$3:$B$5001,J$162,Base!$A$3:$A$5001,"&gt;="&amp;$C$7,Base!$A$3:$A$5001,"&lt;="&amp;$B174,Base!$X$3:$X$5001,"&lt;&gt;")=0,"",SUMIFS(Base!$X$3:$X$5001,Base!$B$3:$B$5001,J$162,Base!$A$3:$A$5001,_xlfn.MAXIFS(Base!$A$3:$A$5001,Base!$B$3:$B$5001,J$162,Base!$A$3:$A$5001,"&gt;="&amp;$C$7,Base!$A$3:$A$5001,"&lt;="&amp;$B174,Base!$X$3:$X$5001,"&lt;&gt;"))))</f>
        <v>500</v>
      </c>
      <c r="K174">
        <f>IF($A174&gt;$B$9,"",IF(COUNTIFS(Base!$B$3:$B$5001,K$162,Base!$A$3:$A$5001,"&gt;="&amp;$C$7,Base!$A$3:$A$5001,"&lt;="&amp;$B174,Base!$X$3:$X$5001,"&lt;&gt;")=0,"",SUMIFS(Base!$X$3:$X$5001,Base!$B$3:$B$5001,K$162,Base!$A$3:$A$5001,_xlfn.MAXIFS(Base!$A$3:$A$5001,Base!$B$3:$B$5001,K$162,Base!$A$3:$A$5001,"&gt;="&amp;$C$7,Base!$A$3:$A$5001,"&lt;="&amp;$B174,Base!$X$3:$X$5001,"&lt;&gt;"))))</f>
        <v>1800</v>
      </c>
    </row>
    <row r="175">
      <c r="A175">
        <v>13</v>
      </c>
      <c r="B175" s="152">
        <f>$B$24</f>
        <v>46278</v>
      </c>
      <c r="C175">
        <f>IF($A175&gt;$B$9,"",IF(COUNTIFS(Base!$B$3:$B$5001,C$162,Base!$A$3:$A$5001,"&gt;="&amp;$C$7,Base!$A$3:$A$5001,"&lt;="&amp;$B175,Base!$X$3:$X$5001,"&lt;&gt;")=0,"",SUMIFS(Base!$X$3:$X$5001,Base!$B$3:$B$5001,C$162,Base!$A$3:$A$5001,_xlfn.MAXIFS(Base!$A$3:$A$5001,Base!$B$3:$B$5001,C$162,Base!$A$3:$A$5001,"&gt;="&amp;$C$7,Base!$A$3:$A$5001,"&lt;="&amp;$B175,Base!$X$3:$X$5001,"&lt;&gt;"))))</f>
        <v>2200</v>
      </c>
      <c r="D175">
        <f>IF($A175&gt;$B$9,"",IF(COUNTIFS(Base!$B$3:$B$5001,D$162,Base!$A$3:$A$5001,"&gt;="&amp;$C$7,Base!$A$3:$A$5001,"&lt;="&amp;$B175,Base!$X$3:$X$5001,"&lt;&gt;")=0,"",SUMIFS(Base!$X$3:$X$5001,Base!$B$3:$B$5001,D$162,Base!$A$3:$A$5001,_xlfn.MAXIFS(Base!$A$3:$A$5001,Base!$B$3:$B$5001,D$162,Base!$A$3:$A$5001,"&gt;="&amp;$C$7,Base!$A$3:$A$5001,"&lt;="&amp;$B175,Base!$X$3:$X$5001,"&lt;&gt;"))))</f>
        <v>1200</v>
      </c>
      <c r="E175">
        <f>IF($A175&gt;$B$9,"",IF(COUNTIFS(Base!$B$3:$B$5001,E$162,Base!$A$3:$A$5001,"&gt;="&amp;$C$7,Base!$A$3:$A$5001,"&lt;="&amp;$B175,Base!$X$3:$X$5001,"&lt;&gt;")=0,"",SUMIFS(Base!$X$3:$X$5001,Base!$B$3:$B$5001,E$162,Base!$A$3:$A$5001,_xlfn.MAXIFS(Base!$A$3:$A$5001,Base!$B$3:$B$5001,E$162,Base!$A$3:$A$5001,"&gt;="&amp;$C$7,Base!$A$3:$A$5001,"&lt;="&amp;$B175,Base!$X$3:$X$5001,"&lt;&gt;"))))</f>
        <v>3500</v>
      </c>
      <c r="F175">
        <f>IF($A175&gt;$B$9,"",IF(COUNTIFS(Base!$B$3:$B$5001,F$162,Base!$A$3:$A$5001,"&gt;="&amp;$C$7,Base!$A$3:$A$5001,"&lt;="&amp;$B175,Base!$X$3:$X$5001,"&lt;&gt;")=0,"",SUMIFS(Base!$X$3:$X$5001,Base!$B$3:$B$5001,F$162,Base!$A$3:$A$5001,_xlfn.MAXIFS(Base!$A$3:$A$5001,Base!$B$3:$B$5001,F$162,Base!$A$3:$A$5001,"&gt;="&amp;$C$7,Base!$A$3:$A$5001,"&lt;="&amp;$B175,Base!$X$3:$X$5001,"&lt;&gt;"))))</f>
        <v>1600</v>
      </c>
      <c r="G175">
        <f>IF($A175&gt;$B$9,"",IF(COUNTIFS(Base!$B$3:$B$5001,G$162,Base!$A$3:$A$5001,"&gt;="&amp;$C$7,Base!$A$3:$A$5001,"&lt;="&amp;$B175,Base!$X$3:$X$5001,"&lt;&gt;")=0,"",SUMIFS(Base!$X$3:$X$5001,Base!$B$3:$B$5001,G$162,Base!$A$3:$A$5001,_xlfn.MAXIFS(Base!$A$3:$A$5001,Base!$B$3:$B$5001,G$162,Base!$A$3:$A$5001,"&gt;="&amp;$C$7,Base!$A$3:$A$5001,"&lt;="&amp;$B175,Base!$X$3:$X$5001,"&lt;&gt;"))))</f>
        <v>900</v>
      </c>
      <c r="H175">
        <f>IF($A175&gt;$B$9,"",IF(COUNTIFS(Base!$B$3:$B$5001,H$162,Base!$A$3:$A$5001,"&gt;="&amp;$C$7,Base!$A$3:$A$5001,"&lt;="&amp;$B175,Base!$X$3:$X$5001,"&lt;&gt;")=0,"",SUMIFS(Base!$X$3:$X$5001,Base!$B$3:$B$5001,H$162,Base!$A$3:$A$5001,_xlfn.MAXIFS(Base!$A$3:$A$5001,Base!$B$3:$B$5001,H$162,Base!$A$3:$A$5001,"&gt;="&amp;$C$7,Base!$A$3:$A$5001,"&lt;="&amp;$B175,Base!$X$3:$X$5001,"&lt;&gt;"))))</f>
        <v>600</v>
      </c>
      <c r="I175">
        <f>IF($A175&gt;$B$9,"",IF(COUNTIFS(Base!$B$3:$B$5001,I$162,Base!$A$3:$A$5001,"&gt;="&amp;$C$7,Base!$A$3:$A$5001,"&lt;="&amp;$B175,Base!$X$3:$X$5001,"&lt;&gt;")=0,"",SUMIFS(Base!$X$3:$X$5001,Base!$B$3:$B$5001,I$162,Base!$A$3:$A$5001,_xlfn.MAXIFS(Base!$A$3:$A$5001,Base!$B$3:$B$5001,I$162,Base!$A$3:$A$5001,"&gt;="&amp;$C$7,Base!$A$3:$A$5001,"&lt;="&amp;$B175,Base!$X$3:$X$5001,"&lt;&gt;"))))</f>
        <v>1400</v>
      </c>
      <c r="J175">
        <f>IF($A175&gt;$B$9,"",IF(COUNTIFS(Base!$B$3:$B$5001,J$162,Base!$A$3:$A$5001,"&gt;="&amp;$C$7,Base!$A$3:$A$5001,"&lt;="&amp;$B175,Base!$X$3:$X$5001,"&lt;&gt;")=0,"",SUMIFS(Base!$X$3:$X$5001,Base!$B$3:$B$5001,J$162,Base!$A$3:$A$5001,_xlfn.MAXIFS(Base!$A$3:$A$5001,Base!$B$3:$B$5001,J$162,Base!$A$3:$A$5001,"&gt;="&amp;$C$7,Base!$A$3:$A$5001,"&lt;="&amp;$B175,Base!$X$3:$X$5001,"&lt;&gt;"))))</f>
        <v>500</v>
      </c>
      <c r="K175">
        <f>IF($A175&gt;$B$9,"",IF(COUNTIFS(Base!$B$3:$B$5001,K$162,Base!$A$3:$A$5001,"&gt;="&amp;$C$7,Base!$A$3:$A$5001,"&lt;="&amp;$B175,Base!$X$3:$X$5001,"&lt;&gt;")=0,"",SUMIFS(Base!$X$3:$X$5001,Base!$B$3:$B$5001,K$162,Base!$A$3:$A$5001,_xlfn.MAXIFS(Base!$A$3:$A$5001,Base!$B$3:$B$5001,K$162,Base!$A$3:$A$5001,"&gt;="&amp;$C$7,Base!$A$3:$A$5001,"&lt;="&amp;$B175,Base!$X$3:$X$5001,"&lt;&gt;"))))</f>
        <v>1800</v>
      </c>
    </row>
    <row r="176">
      <c r="A176">
        <v>14</v>
      </c>
      <c r="B176" s="152">
        <f>$B$25</f>
        <v>46279</v>
      </c>
      <c r="C176">
        <f>IF($A176&gt;$B$9,"",IF(COUNTIFS(Base!$B$3:$B$5001,C$162,Base!$A$3:$A$5001,"&gt;="&amp;$C$7,Base!$A$3:$A$5001,"&lt;="&amp;$B176,Base!$X$3:$X$5001,"&lt;&gt;")=0,"",SUMIFS(Base!$X$3:$X$5001,Base!$B$3:$B$5001,C$162,Base!$A$3:$A$5001,_xlfn.MAXIFS(Base!$A$3:$A$5001,Base!$B$3:$B$5001,C$162,Base!$A$3:$A$5001,"&gt;="&amp;$C$7,Base!$A$3:$A$5001,"&lt;="&amp;$B176,Base!$X$3:$X$5001,"&lt;&gt;"))))</f>
        <v>2200</v>
      </c>
      <c r="D176">
        <f>IF($A176&gt;$B$9,"",IF(COUNTIFS(Base!$B$3:$B$5001,D$162,Base!$A$3:$A$5001,"&gt;="&amp;$C$7,Base!$A$3:$A$5001,"&lt;="&amp;$B176,Base!$X$3:$X$5001,"&lt;&gt;")=0,"",SUMIFS(Base!$X$3:$X$5001,Base!$B$3:$B$5001,D$162,Base!$A$3:$A$5001,_xlfn.MAXIFS(Base!$A$3:$A$5001,Base!$B$3:$B$5001,D$162,Base!$A$3:$A$5001,"&gt;="&amp;$C$7,Base!$A$3:$A$5001,"&lt;="&amp;$B176,Base!$X$3:$X$5001,"&lt;&gt;"))))</f>
        <v>1200</v>
      </c>
      <c r="E176">
        <f>IF($A176&gt;$B$9,"",IF(COUNTIFS(Base!$B$3:$B$5001,E$162,Base!$A$3:$A$5001,"&gt;="&amp;$C$7,Base!$A$3:$A$5001,"&lt;="&amp;$B176,Base!$X$3:$X$5001,"&lt;&gt;")=0,"",SUMIFS(Base!$X$3:$X$5001,Base!$B$3:$B$5001,E$162,Base!$A$3:$A$5001,_xlfn.MAXIFS(Base!$A$3:$A$5001,Base!$B$3:$B$5001,E$162,Base!$A$3:$A$5001,"&gt;="&amp;$C$7,Base!$A$3:$A$5001,"&lt;="&amp;$B176,Base!$X$3:$X$5001,"&lt;&gt;"))))</f>
        <v>3500</v>
      </c>
      <c r="F176">
        <f>IF($A176&gt;$B$9,"",IF(COUNTIFS(Base!$B$3:$B$5001,F$162,Base!$A$3:$A$5001,"&gt;="&amp;$C$7,Base!$A$3:$A$5001,"&lt;="&amp;$B176,Base!$X$3:$X$5001,"&lt;&gt;")=0,"",SUMIFS(Base!$X$3:$X$5001,Base!$B$3:$B$5001,F$162,Base!$A$3:$A$5001,_xlfn.MAXIFS(Base!$A$3:$A$5001,Base!$B$3:$B$5001,F$162,Base!$A$3:$A$5001,"&gt;="&amp;$C$7,Base!$A$3:$A$5001,"&lt;="&amp;$B176,Base!$X$3:$X$5001,"&lt;&gt;"))))</f>
        <v>1600</v>
      </c>
      <c r="G176">
        <f>IF($A176&gt;$B$9,"",IF(COUNTIFS(Base!$B$3:$B$5001,G$162,Base!$A$3:$A$5001,"&gt;="&amp;$C$7,Base!$A$3:$A$5001,"&lt;="&amp;$B176,Base!$X$3:$X$5001,"&lt;&gt;")=0,"",SUMIFS(Base!$X$3:$X$5001,Base!$B$3:$B$5001,G$162,Base!$A$3:$A$5001,_xlfn.MAXIFS(Base!$A$3:$A$5001,Base!$B$3:$B$5001,G$162,Base!$A$3:$A$5001,"&gt;="&amp;$C$7,Base!$A$3:$A$5001,"&lt;="&amp;$B176,Base!$X$3:$X$5001,"&lt;&gt;"))))</f>
        <v>900</v>
      </c>
      <c r="H176">
        <f>IF($A176&gt;$B$9,"",IF(COUNTIFS(Base!$B$3:$B$5001,H$162,Base!$A$3:$A$5001,"&gt;="&amp;$C$7,Base!$A$3:$A$5001,"&lt;="&amp;$B176,Base!$X$3:$X$5001,"&lt;&gt;")=0,"",SUMIFS(Base!$X$3:$X$5001,Base!$B$3:$B$5001,H$162,Base!$A$3:$A$5001,_xlfn.MAXIFS(Base!$A$3:$A$5001,Base!$B$3:$B$5001,H$162,Base!$A$3:$A$5001,"&gt;="&amp;$C$7,Base!$A$3:$A$5001,"&lt;="&amp;$B176,Base!$X$3:$X$5001,"&lt;&gt;"))))</f>
        <v>600</v>
      </c>
      <c r="I176">
        <f>IF($A176&gt;$B$9,"",IF(COUNTIFS(Base!$B$3:$B$5001,I$162,Base!$A$3:$A$5001,"&gt;="&amp;$C$7,Base!$A$3:$A$5001,"&lt;="&amp;$B176,Base!$X$3:$X$5001,"&lt;&gt;")=0,"",SUMIFS(Base!$X$3:$X$5001,Base!$B$3:$B$5001,I$162,Base!$A$3:$A$5001,_xlfn.MAXIFS(Base!$A$3:$A$5001,Base!$B$3:$B$5001,I$162,Base!$A$3:$A$5001,"&gt;="&amp;$C$7,Base!$A$3:$A$5001,"&lt;="&amp;$B176,Base!$X$3:$X$5001,"&lt;&gt;"))))</f>
        <v>1400</v>
      </c>
      <c r="J176">
        <f>IF($A176&gt;$B$9,"",IF(COUNTIFS(Base!$B$3:$B$5001,J$162,Base!$A$3:$A$5001,"&gt;="&amp;$C$7,Base!$A$3:$A$5001,"&lt;="&amp;$B176,Base!$X$3:$X$5001,"&lt;&gt;")=0,"",SUMIFS(Base!$X$3:$X$5001,Base!$B$3:$B$5001,J$162,Base!$A$3:$A$5001,_xlfn.MAXIFS(Base!$A$3:$A$5001,Base!$B$3:$B$5001,J$162,Base!$A$3:$A$5001,"&gt;="&amp;$C$7,Base!$A$3:$A$5001,"&lt;="&amp;$B176,Base!$X$3:$X$5001,"&lt;&gt;"))))</f>
        <v>500</v>
      </c>
      <c r="K176">
        <f>IF($A176&gt;$B$9,"",IF(COUNTIFS(Base!$B$3:$B$5001,K$162,Base!$A$3:$A$5001,"&gt;="&amp;$C$7,Base!$A$3:$A$5001,"&lt;="&amp;$B176,Base!$X$3:$X$5001,"&lt;&gt;")=0,"",SUMIFS(Base!$X$3:$X$5001,Base!$B$3:$B$5001,K$162,Base!$A$3:$A$5001,_xlfn.MAXIFS(Base!$A$3:$A$5001,Base!$B$3:$B$5001,K$162,Base!$A$3:$A$5001,"&gt;="&amp;$C$7,Base!$A$3:$A$5001,"&lt;="&amp;$B176,Base!$X$3:$X$5001,"&lt;&gt;"))))</f>
        <v>1800</v>
      </c>
    </row>
    <row r="177">
      <c r="A177">
        <v>15</v>
      </c>
      <c r="B177" s="152">
        <f>$B$26</f>
        <v>46280</v>
      </c>
      <c r="C177">
        <f>IF($A177&gt;$B$9,"",IF(COUNTIFS(Base!$B$3:$B$5001,C$162,Base!$A$3:$A$5001,"&gt;="&amp;$C$7,Base!$A$3:$A$5001,"&lt;="&amp;$B177,Base!$X$3:$X$5001,"&lt;&gt;")=0,"",SUMIFS(Base!$X$3:$X$5001,Base!$B$3:$B$5001,C$162,Base!$A$3:$A$5001,_xlfn.MAXIFS(Base!$A$3:$A$5001,Base!$B$3:$B$5001,C$162,Base!$A$3:$A$5001,"&gt;="&amp;$C$7,Base!$A$3:$A$5001,"&lt;="&amp;$B177,Base!$X$3:$X$5001,"&lt;&gt;"))))</f>
        <v>2200</v>
      </c>
      <c r="D177">
        <f>IF($A177&gt;$B$9,"",IF(COUNTIFS(Base!$B$3:$B$5001,D$162,Base!$A$3:$A$5001,"&gt;="&amp;$C$7,Base!$A$3:$A$5001,"&lt;="&amp;$B177,Base!$X$3:$X$5001,"&lt;&gt;")=0,"",SUMIFS(Base!$X$3:$X$5001,Base!$B$3:$B$5001,D$162,Base!$A$3:$A$5001,_xlfn.MAXIFS(Base!$A$3:$A$5001,Base!$B$3:$B$5001,D$162,Base!$A$3:$A$5001,"&gt;="&amp;$C$7,Base!$A$3:$A$5001,"&lt;="&amp;$B177,Base!$X$3:$X$5001,"&lt;&gt;"))))</f>
        <v>1200</v>
      </c>
      <c r="E177">
        <f>IF($A177&gt;$B$9,"",IF(COUNTIFS(Base!$B$3:$B$5001,E$162,Base!$A$3:$A$5001,"&gt;="&amp;$C$7,Base!$A$3:$A$5001,"&lt;="&amp;$B177,Base!$X$3:$X$5001,"&lt;&gt;")=0,"",SUMIFS(Base!$X$3:$X$5001,Base!$B$3:$B$5001,E$162,Base!$A$3:$A$5001,_xlfn.MAXIFS(Base!$A$3:$A$5001,Base!$B$3:$B$5001,E$162,Base!$A$3:$A$5001,"&gt;="&amp;$C$7,Base!$A$3:$A$5001,"&lt;="&amp;$B177,Base!$X$3:$X$5001,"&lt;&gt;"))))</f>
        <v>3500</v>
      </c>
      <c r="F177">
        <f>IF($A177&gt;$B$9,"",IF(COUNTIFS(Base!$B$3:$B$5001,F$162,Base!$A$3:$A$5001,"&gt;="&amp;$C$7,Base!$A$3:$A$5001,"&lt;="&amp;$B177,Base!$X$3:$X$5001,"&lt;&gt;")=0,"",SUMIFS(Base!$X$3:$X$5001,Base!$B$3:$B$5001,F$162,Base!$A$3:$A$5001,_xlfn.MAXIFS(Base!$A$3:$A$5001,Base!$B$3:$B$5001,F$162,Base!$A$3:$A$5001,"&gt;="&amp;$C$7,Base!$A$3:$A$5001,"&lt;="&amp;$B177,Base!$X$3:$X$5001,"&lt;&gt;"))))</f>
        <v>1600</v>
      </c>
      <c r="G177">
        <f>IF($A177&gt;$B$9,"",IF(COUNTIFS(Base!$B$3:$B$5001,G$162,Base!$A$3:$A$5001,"&gt;="&amp;$C$7,Base!$A$3:$A$5001,"&lt;="&amp;$B177,Base!$X$3:$X$5001,"&lt;&gt;")=0,"",SUMIFS(Base!$X$3:$X$5001,Base!$B$3:$B$5001,G$162,Base!$A$3:$A$5001,_xlfn.MAXIFS(Base!$A$3:$A$5001,Base!$B$3:$B$5001,G$162,Base!$A$3:$A$5001,"&gt;="&amp;$C$7,Base!$A$3:$A$5001,"&lt;="&amp;$B177,Base!$X$3:$X$5001,"&lt;&gt;"))))</f>
        <v>900</v>
      </c>
      <c r="H177">
        <f>IF($A177&gt;$B$9,"",IF(COUNTIFS(Base!$B$3:$B$5001,H$162,Base!$A$3:$A$5001,"&gt;="&amp;$C$7,Base!$A$3:$A$5001,"&lt;="&amp;$B177,Base!$X$3:$X$5001,"&lt;&gt;")=0,"",SUMIFS(Base!$X$3:$X$5001,Base!$B$3:$B$5001,H$162,Base!$A$3:$A$5001,_xlfn.MAXIFS(Base!$A$3:$A$5001,Base!$B$3:$B$5001,H$162,Base!$A$3:$A$5001,"&gt;="&amp;$C$7,Base!$A$3:$A$5001,"&lt;="&amp;$B177,Base!$X$3:$X$5001,"&lt;&gt;"))))</f>
        <v>600</v>
      </c>
      <c r="I177">
        <f>IF($A177&gt;$B$9,"",IF(COUNTIFS(Base!$B$3:$B$5001,I$162,Base!$A$3:$A$5001,"&gt;="&amp;$C$7,Base!$A$3:$A$5001,"&lt;="&amp;$B177,Base!$X$3:$X$5001,"&lt;&gt;")=0,"",SUMIFS(Base!$X$3:$X$5001,Base!$B$3:$B$5001,I$162,Base!$A$3:$A$5001,_xlfn.MAXIFS(Base!$A$3:$A$5001,Base!$B$3:$B$5001,I$162,Base!$A$3:$A$5001,"&gt;="&amp;$C$7,Base!$A$3:$A$5001,"&lt;="&amp;$B177,Base!$X$3:$X$5001,"&lt;&gt;"))))</f>
        <v>1400</v>
      </c>
      <c r="J177">
        <f>IF($A177&gt;$B$9,"",IF(COUNTIFS(Base!$B$3:$B$5001,J$162,Base!$A$3:$A$5001,"&gt;="&amp;$C$7,Base!$A$3:$A$5001,"&lt;="&amp;$B177,Base!$X$3:$X$5001,"&lt;&gt;")=0,"",SUMIFS(Base!$X$3:$X$5001,Base!$B$3:$B$5001,J$162,Base!$A$3:$A$5001,_xlfn.MAXIFS(Base!$A$3:$A$5001,Base!$B$3:$B$5001,J$162,Base!$A$3:$A$5001,"&gt;="&amp;$C$7,Base!$A$3:$A$5001,"&lt;="&amp;$B177,Base!$X$3:$X$5001,"&lt;&gt;"))))</f>
        <v>500</v>
      </c>
      <c r="K177">
        <f>IF($A177&gt;$B$9,"",IF(COUNTIFS(Base!$B$3:$B$5001,K$162,Base!$A$3:$A$5001,"&gt;="&amp;$C$7,Base!$A$3:$A$5001,"&lt;="&amp;$B177,Base!$X$3:$X$5001,"&lt;&gt;")=0,"",SUMIFS(Base!$X$3:$X$5001,Base!$B$3:$B$5001,K$162,Base!$A$3:$A$5001,_xlfn.MAXIFS(Base!$A$3:$A$5001,Base!$B$3:$B$5001,K$162,Base!$A$3:$A$5001,"&gt;="&amp;$C$7,Base!$A$3:$A$5001,"&lt;="&amp;$B177,Base!$X$3:$X$5001,"&lt;&gt;"))))</f>
        <v>1800</v>
      </c>
    </row>
    <row r="178">
      <c r="A178">
        <v>16</v>
      </c>
      <c r="B178" s="152">
        <f>$B$27</f>
        <v>46281</v>
      </c>
      <c r="C178">
        <f>IF($A178&gt;$B$9,"",IF(COUNTIFS(Base!$B$3:$B$5001,C$162,Base!$A$3:$A$5001,"&gt;="&amp;$C$7,Base!$A$3:$A$5001,"&lt;="&amp;$B178,Base!$X$3:$X$5001,"&lt;&gt;")=0,"",SUMIFS(Base!$X$3:$X$5001,Base!$B$3:$B$5001,C$162,Base!$A$3:$A$5001,_xlfn.MAXIFS(Base!$A$3:$A$5001,Base!$B$3:$B$5001,C$162,Base!$A$3:$A$5001,"&gt;="&amp;$C$7,Base!$A$3:$A$5001,"&lt;="&amp;$B178,Base!$X$3:$X$5001,"&lt;&gt;"))))</f>
        <v>2200</v>
      </c>
      <c r="D178">
        <f>IF($A178&gt;$B$9,"",IF(COUNTIFS(Base!$B$3:$B$5001,D$162,Base!$A$3:$A$5001,"&gt;="&amp;$C$7,Base!$A$3:$A$5001,"&lt;="&amp;$B178,Base!$X$3:$X$5001,"&lt;&gt;")=0,"",SUMIFS(Base!$X$3:$X$5001,Base!$B$3:$B$5001,D$162,Base!$A$3:$A$5001,_xlfn.MAXIFS(Base!$A$3:$A$5001,Base!$B$3:$B$5001,D$162,Base!$A$3:$A$5001,"&gt;="&amp;$C$7,Base!$A$3:$A$5001,"&lt;="&amp;$B178,Base!$X$3:$X$5001,"&lt;&gt;"))))</f>
        <v>1200</v>
      </c>
      <c r="E178">
        <f>IF($A178&gt;$B$9,"",IF(COUNTIFS(Base!$B$3:$B$5001,E$162,Base!$A$3:$A$5001,"&gt;="&amp;$C$7,Base!$A$3:$A$5001,"&lt;="&amp;$B178,Base!$X$3:$X$5001,"&lt;&gt;")=0,"",SUMIFS(Base!$X$3:$X$5001,Base!$B$3:$B$5001,E$162,Base!$A$3:$A$5001,_xlfn.MAXIFS(Base!$A$3:$A$5001,Base!$B$3:$B$5001,E$162,Base!$A$3:$A$5001,"&gt;="&amp;$C$7,Base!$A$3:$A$5001,"&lt;="&amp;$B178,Base!$X$3:$X$5001,"&lt;&gt;"))))</f>
        <v>3500</v>
      </c>
      <c r="F178">
        <f>IF($A178&gt;$B$9,"",IF(COUNTIFS(Base!$B$3:$B$5001,F$162,Base!$A$3:$A$5001,"&gt;="&amp;$C$7,Base!$A$3:$A$5001,"&lt;="&amp;$B178,Base!$X$3:$X$5001,"&lt;&gt;")=0,"",SUMIFS(Base!$X$3:$X$5001,Base!$B$3:$B$5001,F$162,Base!$A$3:$A$5001,_xlfn.MAXIFS(Base!$A$3:$A$5001,Base!$B$3:$B$5001,F$162,Base!$A$3:$A$5001,"&gt;="&amp;$C$7,Base!$A$3:$A$5001,"&lt;="&amp;$B178,Base!$X$3:$X$5001,"&lt;&gt;"))))</f>
        <v>1600</v>
      </c>
      <c r="G178">
        <f>IF($A178&gt;$B$9,"",IF(COUNTIFS(Base!$B$3:$B$5001,G$162,Base!$A$3:$A$5001,"&gt;="&amp;$C$7,Base!$A$3:$A$5001,"&lt;="&amp;$B178,Base!$X$3:$X$5001,"&lt;&gt;")=0,"",SUMIFS(Base!$X$3:$X$5001,Base!$B$3:$B$5001,G$162,Base!$A$3:$A$5001,_xlfn.MAXIFS(Base!$A$3:$A$5001,Base!$B$3:$B$5001,G$162,Base!$A$3:$A$5001,"&gt;="&amp;$C$7,Base!$A$3:$A$5001,"&lt;="&amp;$B178,Base!$X$3:$X$5001,"&lt;&gt;"))))</f>
        <v>900</v>
      </c>
      <c r="H178">
        <f>IF($A178&gt;$B$9,"",IF(COUNTIFS(Base!$B$3:$B$5001,H$162,Base!$A$3:$A$5001,"&gt;="&amp;$C$7,Base!$A$3:$A$5001,"&lt;="&amp;$B178,Base!$X$3:$X$5001,"&lt;&gt;")=0,"",SUMIFS(Base!$X$3:$X$5001,Base!$B$3:$B$5001,H$162,Base!$A$3:$A$5001,_xlfn.MAXIFS(Base!$A$3:$A$5001,Base!$B$3:$B$5001,H$162,Base!$A$3:$A$5001,"&gt;="&amp;$C$7,Base!$A$3:$A$5001,"&lt;="&amp;$B178,Base!$X$3:$X$5001,"&lt;&gt;"))))</f>
        <v>600</v>
      </c>
      <c r="I178">
        <f>IF($A178&gt;$B$9,"",IF(COUNTIFS(Base!$B$3:$B$5001,I$162,Base!$A$3:$A$5001,"&gt;="&amp;$C$7,Base!$A$3:$A$5001,"&lt;="&amp;$B178,Base!$X$3:$X$5001,"&lt;&gt;")=0,"",SUMIFS(Base!$X$3:$X$5001,Base!$B$3:$B$5001,I$162,Base!$A$3:$A$5001,_xlfn.MAXIFS(Base!$A$3:$A$5001,Base!$B$3:$B$5001,I$162,Base!$A$3:$A$5001,"&gt;="&amp;$C$7,Base!$A$3:$A$5001,"&lt;="&amp;$B178,Base!$X$3:$X$5001,"&lt;&gt;"))))</f>
        <v>1400</v>
      </c>
      <c r="J178">
        <f>IF($A178&gt;$B$9,"",IF(COUNTIFS(Base!$B$3:$B$5001,J$162,Base!$A$3:$A$5001,"&gt;="&amp;$C$7,Base!$A$3:$A$5001,"&lt;="&amp;$B178,Base!$X$3:$X$5001,"&lt;&gt;")=0,"",SUMIFS(Base!$X$3:$X$5001,Base!$B$3:$B$5001,J$162,Base!$A$3:$A$5001,_xlfn.MAXIFS(Base!$A$3:$A$5001,Base!$B$3:$B$5001,J$162,Base!$A$3:$A$5001,"&gt;="&amp;$C$7,Base!$A$3:$A$5001,"&lt;="&amp;$B178,Base!$X$3:$X$5001,"&lt;&gt;"))))</f>
        <v>500</v>
      </c>
      <c r="K178">
        <f>IF($A178&gt;$B$9,"",IF(COUNTIFS(Base!$B$3:$B$5001,K$162,Base!$A$3:$A$5001,"&gt;="&amp;$C$7,Base!$A$3:$A$5001,"&lt;="&amp;$B178,Base!$X$3:$X$5001,"&lt;&gt;")=0,"",SUMIFS(Base!$X$3:$X$5001,Base!$B$3:$B$5001,K$162,Base!$A$3:$A$5001,_xlfn.MAXIFS(Base!$A$3:$A$5001,Base!$B$3:$B$5001,K$162,Base!$A$3:$A$5001,"&gt;="&amp;$C$7,Base!$A$3:$A$5001,"&lt;="&amp;$B178,Base!$X$3:$X$5001,"&lt;&gt;"))))</f>
        <v>1800</v>
      </c>
    </row>
    <row r="179">
      <c r="A179">
        <v>17</v>
      </c>
      <c r="B179" s="152">
        <f>$B$28</f>
        <v>46282</v>
      </c>
      <c r="C179">
        <f>IF($A179&gt;$B$9,"",IF(COUNTIFS(Base!$B$3:$B$5001,C$162,Base!$A$3:$A$5001,"&gt;="&amp;$C$7,Base!$A$3:$A$5001,"&lt;="&amp;$B179,Base!$X$3:$X$5001,"&lt;&gt;")=0,"",SUMIFS(Base!$X$3:$X$5001,Base!$B$3:$B$5001,C$162,Base!$A$3:$A$5001,_xlfn.MAXIFS(Base!$A$3:$A$5001,Base!$B$3:$B$5001,C$162,Base!$A$3:$A$5001,"&gt;="&amp;$C$7,Base!$A$3:$A$5001,"&lt;="&amp;$B179,Base!$X$3:$X$5001,"&lt;&gt;"))))</f>
        <v>2200</v>
      </c>
      <c r="D179">
        <f>IF($A179&gt;$B$9,"",IF(COUNTIFS(Base!$B$3:$B$5001,D$162,Base!$A$3:$A$5001,"&gt;="&amp;$C$7,Base!$A$3:$A$5001,"&lt;="&amp;$B179,Base!$X$3:$X$5001,"&lt;&gt;")=0,"",SUMIFS(Base!$X$3:$X$5001,Base!$B$3:$B$5001,D$162,Base!$A$3:$A$5001,_xlfn.MAXIFS(Base!$A$3:$A$5001,Base!$B$3:$B$5001,D$162,Base!$A$3:$A$5001,"&gt;="&amp;$C$7,Base!$A$3:$A$5001,"&lt;="&amp;$B179,Base!$X$3:$X$5001,"&lt;&gt;"))))</f>
        <v>1200</v>
      </c>
      <c r="E179">
        <f>IF($A179&gt;$B$9,"",IF(COUNTIFS(Base!$B$3:$B$5001,E$162,Base!$A$3:$A$5001,"&gt;="&amp;$C$7,Base!$A$3:$A$5001,"&lt;="&amp;$B179,Base!$X$3:$X$5001,"&lt;&gt;")=0,"",SUMIFS(Base!$X$3:$X$5001,Base!$B$3:$B$5001,E$162,Base!$A$3:$A$5001,_xlfn.MAXIFS(Base!$A$3:$A$5001,Base!$B$3:$B$5001,E$162,Base!$A$3:$A$5001,"&gt;="&amp;$C$7,Base!$A$3:$A$5001,"&lt;="&amp;$B179,Base!$X$3:$X$5001,"&lt;&gt;"))))</f>
        <v>3500</v>
      </c>
      <c r="F179">
        <f>IF($A179&gt;$B$9,"",IF(COUNTIFS(Base!$B$3:$B$5001,F$162,Base!$A$3:$A$5001,"&gt;="&amp;$C$7,Base!$A$3:$A$5001,"&lt;="&amp;$B179,Base!$X$3:$X$5001,"&lt;&gt;")=0,"",SUMIFS(Base!$X$3:$X$5001,Base!$B$3:$B$5001,F$162,Base!$A$3:$A$5001,_xlfn.MAXIFS(Base!$A$3:$A$5001,Base!$B$3:$B$5001,F$162,Base!$A$3:$A$5001,"&gt;="&amp;$C$7,Base!$A$3:$A$5001,"&lt;="&amp;$B179,Base!$X$3:$X$5001,"&lt;&gt;"))))</f>
        <v>1600</v>
      </c>
      <c r="G179">
        <f>IF($A179&gt;$B$9,"",IF(COUNTIFS(Base!$B$3:$B$5001,G$162,Base!$A$3:$A$5001,"&gt;="&amp;$C$7,Base!$A$3:$A$5001,"&lt;="&amp;$B179,Base!$X$3:$X$5001,"&lt;&gt;")=0,"",SUMIFS(Base!$X$3:$X$5001,Base!$B$3:$B$5001,G$162,Base!$A$3:$A$5001,_xlfn.MAXIFS(Base!$A$3:$A$5001,Base!$B$3:$B$5001,G$162,Base!$A$3:$A$5001,"&gt;="&amp;$C$7,Base!$A$3:$A$5001,"&lt;="&amp;$B179,Base!$X$3:$X$5001,"&lt;&gt;"))))</f>
        <v>900</v>
      </c>
      <c r="H179">
        <f>IF($A179&gt;$B$9,"",IF(COUNTIFS(Base!$B$3:$B$5001,H$162,Base!$A$3:$A$5001,"&gt;="&amp;$C$7,Base!$A$3:$A$5001,"&lt;="&amp;$B179,Base!$X$3:$X$5001,"&lt;&gt;")=0,"",SUMIFS(Base!$X$3:$X$5001,Base!$B$3:$B$5001,H$162,Base!$A$3:$A$5001,_xlfn.MAXIFS(Base!$A$3:$A$5001,Base!$B$3:$B$5001,H$162,Base!$A$3:$A$5001,"&gt;="&amp;$C$7,Base!$A$3:$A$5001,"&lt;="&amp;$B179,Base!$X$3:$X$5001,"&lt;&gt;"))))</f>
        <v>600</v>
      </c>
      <c r="I179">
        <f>IF($A179&gt;$B$9,"",IF(COUNTIFS(Base!$B$3:$B$5001,I$162,Base!$A$3:$A$5001,"&gt;="&amp;$C$7,Base!$A$3:$A$5001,"&lt;="&amp;$B179,Base!$X$3:$X$5001,"&lt;&gt;")=0,"",SUMIFS(Base!$X$3:$X$5001,Base!$B$3:$B$5001,I$162,Base!$A$3:$A$5001,_xlfn.MAXIFS(Base!$A$3:$A$5001,Base!$B$3:$B$5001,I$162,Base!$A$3:$A$5001,"&gt;="&amp;$C$7,Base!$A$3:$A$5001,"&lt;="&amp;$B179,Base!$X$3:$X$5001,"&lt;&gt;"))))</f>
        <v>1400</v>
      </c>
      <c r="J179">
        <f>IF($A179&gt;$B$9,"",IF(COUNTIFS(Base!$B$3:$B$5001,J$162,Base!$A$3:$A$5001,"&gt;="&amp;$C$7,Base!$A$3:$A$5001,"&lt;="&amp;$B179,Base!$X$3:$X$5001,"&lt;&gt;")=0,"",SUMIFS(Base!$X$3:$X$5001,Base!$B$3:$B$5001,J$162,Base!$A$3:$A$5001,_xlfn.MAXIFS(Base!$A$3:$A$5001,Base!$B$3:$B$5001,J$162,Base!$A$3:$A$5001,"&gt;="&amp;$C$7,Base!$A$3:$A$5001,"&lt;="&amp;$B179,Base!$X$3:$X$5001,"&lt;&gt;"))))</f>
        <v>500</v>
      </c>
      <c r="K179">
        <f>IF($A179&gt;$B$9,"",IF(COUNTIFS(Base!$B$3:$B$5001,K$162,Base!$A$3:$A$5001,"&gt;="&amp;$C$7,Base!$A$3:$A$5001,"&lt;="&amp;$B179,Base!$X$3:$X$5001,"&lt;&gt;")=0,"",SUMIFS(Base!$X$3:$X$5001,Base!$B$3:$B$5001,K$162,Base!$A$3:$A$5001,_xlfn.MAXIFS(Base!$A$3:$A$5001,Base!$B$3:$B$5001,K$162,Base!$A$3:$A$5001,"&gt;="&amp;$C$7,Base!$A$3:$A$5001,"&lt;="&amp;$B179,Base!$X$3:$X$5001,"&lt;&gt;"))))</f>
        <v>1800</v>
      </c>
    </row>
    <row r="180">
      <c r="A180">
        <v>18</v>
      </c>
      <c r="B180" s="152">
        <f>$B$29</f>
        <v>46283</v>
      </c>
      <c r="C180">
        <f>IF($A180&gt;$B$9,"",IF(COUNTIFS(Base!$B$3:$B$5001,C$162,Base!$A$3:$A$5001,"&gt;="&amp;$C$7,Base!$A$3:$A$5001,"&lt;="&amp;$B180,Base!$X$3:$X$5001,"&lt;&gt;")=0,"",SUMIFS(Base!$X$3:$X$5001,Base!$B$3:$B$5001,C$162,Base!$A$3:$A$5001,_xlfn.MAXIFS(Base!$A$3:$A$5001,Base!$B$3:$B$5001,C$162,Base!$A$3:$A$5001,"&gt;="&amp;$C$7,Base!$A$3:$A$5001,"&lt;="&amp;$B180,Base!$X$3:$X$5001,"&lt;&gt;"))))</f>
        <v>2200</v>
      </c>
      <c r="D180">
        <f>IF($A180&gt;$B$9,"",IF(COUNTIFS(Base!$B$3:$B$5001,D$162,Base!$A$3:$A$5001,"&gt;="&amp;$C$7,Base!$A$3:$A$5001,"&lt;="&amp;$B180,Base!$X$3:$X$5001,"&lt;&gt;")=0,"",SUMIFS(Base!$X$3:$X$5001,Base!$B$3:$B$5001,D$162,Base!$A$3:$A$5001,_xlfn.MAXIFS(Base!$A$3:$A$5001,Base!$B$3:$B$5001,D$162,Base!$A$3:$A$5001,"&gt;="&amp;$C$7,Base!$A$3:$A$5001,"&lt;="&amp;$B180,Base!$X$3:$X$5001,"&lt;&gt;"))))</f>
        <v>1200</v>
      </c>
      <c r="E180">
        <f>IF($A180&gt;$B$9,"",IF(COUNTIFS(Base!$B$3:$B$5001,E$162,Base!$A$3:$A$5001,"&gt;="&amp;$C$7,Base!$A$3:$A$5001,"&lt;="&amp;$B180,Base!$X$3:$X$5001,"&lt;&gt;")=0,"",SUMIFS(Base!$X$3:$X$5001,Base!$B$3:$B$5001,E$162,Base!$A$3:$A$5001,_xlfn.MAXIFS(Base!$A$3:$A$5001,Base!$B$3:$B$5001,E$162,Base!$A$3:$A$5001,"&gt;="&amp;$C$7,Base!$A$3:$A$5001,"&lt;="&amp;$B180,Base!$X$3:$X$5001,"&lt;&gt;"))))</f>
        <v>3500</v>
      </c>
      <c r="F180">
        <f>IF($A180&gt;$B$9,"",IF(COUNTIFS(Base!$B$3:$B$5001,F$162,Base!$A$3:$A$5001,"&gt;="&amp;$C$7,Base!$A$3:$A$5001,"&lt;="&amp;$B180,Base!$X$3:$X$5001,"&lt;&gt;")=0,"",SUMIFS(Base!$X$3:$X$5001,Base!$B$3:$B$5001,F$162,Base!$A$3:$A$5001,_xlfn.MAXIFS(Base!$A$3:$A$5001,Base!$B$3:$B$5001,F$162,Base!$A$3:$A$5001,"&gt;="&amp;$C$7,Base!$A$3:$A$5001,"&lt;="&amp;$B180,Base!$X$3:$X$5001,"&lt;&gt;"))))</f>
        <v>1600</v>
      </c>
      <c r="G180">
        <f>IF($A180&gt;$B$9,"",IF(COUNTIFS(Base!$B$3:$B$5001,G$162,Base!$A$3:$A$5001,"&gt;="&amp;$C$7,Base!$A$3:$A$5001,"&lt;="&amp;$B180,Base!$X$3:$X$5001,"&lt;&gt;")=0,"",SUMIFS(Base!$X$3:$X$5001,Base!$B$3:$B$5001,G$162,Base!$A$3:$A$5001,_xlfn.MAXIFS(Base!$A$3:$A$5001,Base!$B$3:$B$5001,G$162,Base!$A$3:$A$5001,"&gt;="&amp;$C$7,Base!$A$3:$A$5001,"&lt;="&amp;$B180,Base!$X$3:$X$5001,"&lt;&gt;"))))</f>
        <v>900</v>
      </c>
      <c r="H180">
        <f>IF($A180&gt;$B$9,"",IF(COUNTIFS(Base!$B$3:$B$5001,H$162,Base!$A$3:$A$5001,"&gt;="&amp;$C$7,Base!$A$3:$A$5001,"&lt;="&amp;$B180,Base!$X$3:$X$5001,"&lt;&gt;")=0,"",SUMIFS(Base!$X$3:$X$5001,Base!$B$3:$B$5001,H$162,Base!$A$3:$A$5001,_xlfn.MAXIFS(Base!$A$3:$A$5001,Base!$B$3:$B$5001,H$162,Base!$A$3:$A$5001,"&gt;="&amp;$C$7,Base!$A$3:$A$5001,"&lt;="&amp;$B180,Base!$X$3:$X$5001,"&lt;&gt;"))))</f>
        <v>600</v>
      </c>
      <c r="I180">
        <f>IF($A180&gt;$B$9,"",IF(COUNTIFS(Base!$B$3:$B$5001,I$162,Base!$A$3:$A$5001,"&gt;="&amp;$C$7,Base!$A$3:$A$5001,"&lt;="&amp;$B180,Base!$X$3:$X$5001,"&lt;&gt;")=0,"",SUMIFS(Base!$X$3:$X$5001,Base!$B$3:$B$5001,I$162,Base!$A$3:$A$5001,_xlfn.MAXIFS(Base!$A$3:$A$5001,Base!$B$3:$B$5001,I$162,Base!$A$3:$A$5001,"&gt;="&amp;$C$7,Base!$A$3:$A$5001,"&lt;="&amp;$B180,Base!$X$3:$X$5001,"&lt;&gt;"))))</f>
        <v>1400</v>
      </c>
      <c r="J180">
        <f>IF($A180&gt;$B$9,"",IF(COUNTIFS(Base!$B$3:$B$5001,J$162,Base!$A$3:$A$5001,"&gt;="&amp;$C$7,Base!$A$3:$A$5001,"&lt;="&amp;$B180,Base!$X$3:$X$5001,"&lt;&gt;")=0,"",SUMIFS(Base!$X$3:$X$5001,Base!$B$3:$B$5001,J$162,Base!$A$3:$A$5001,_xlfn.MAXIFS(Base!$A$3:$A$5001,Base!$B$3:$B$5001,J$162,Base!$A$3:$A$5001,"&gt;="&amp;$C$7,Base!$A$3:$A$5001,"&lt;="&amp;$B180,Base!$X$3:$X$5001,"&lt;&gt;"))))</f>
        <v>500</v>
      </c>
      <c r="K180">
        <f>IF($A180&gt;$B$9,"",IF(COUNTIFS(Base!$B$3:$B$5001,K$162,Base!$A$3:$A$5001,"&gt;="&amp;$C$7,Base!$A$3:$A$5001,"&lt;="&amp;$B180,Base!$X$3:$X$5001,"&lt;&gt;")=0,"",SUMIFS(Base!$X$3:$X$5001,Base!$B$3:$B$5001,K$162,Base!$A$3:$A$5001,_xlfn.MAXIFS(Base!$A$3:$A$5001,Base!$B$3:$B$5001,K$162,Base!$A$3:$A$5001,"&gt;="&amp;$C$7,Base!$A$3:$A$5001,"&lt;="&amp;$B180,Base!$X$3:$X$5001,"&lt;&gt;"))))</f>
        <v>1800</v>
      </c>
    </row>
    <row r="181">
      <c r="A181">
        <v>19</v>
      </c>
      <c r="B181" s="152">
        <f>$B$30</f>
        <v>46284</v>
      </c>
      <c r="C181">
        <f>IF($A181&gt;$B$9,"",IF(COUNTIFS(Base!$B$3:$B$5001,C$162,Base!$A$3:$A$5001,"&gt;="&amp;$C$7,Base!$A$3:$A$5001,"&lt;="&amp;$B181,Base!$X$3:$X$5001,"&lt;&gt;")=0,"",SUMIFS(Base!$X$3:$X$5001,Base!$B$3:$B$5001,C$162,Base!$A$3:$A$5001,_xlfn.MAXIFS(Base!$A$3:$A$5001,Base!$B$3:$B$5001,C$162,Base!$A$3:$A$5001,"&gt;="&amp;$C$7,Base!$A$3:$A$5001,"&lt;="&amp;$B181,Base!$X$3:$X$5001,"&lt;&gt;"))))</f>
        <v>2200</v>
      </c>
      <c r="D181">
        <f>IF($A181&gt;$B$9,"",IF(COUNTIFS(Base!$B$3:$B$5001,D$162,Base!$A$3:$A$5001,"&gt;="&amp;$C$7,Base!$A$3:$A$5001,"&lt;="&amp;$B181,Base!$X$3:$X$5001,"&lt;&gt;")=0,"",SUMIFS(Base!$X$3:$X$5001,Base!$B$3:$B$5001,D$162,Base!$A$3:$A$5001,_xlfn.MAXIFS(Base!$A$3:$A$5001,Base!$B$3:$B$5001,D$162,Base!$A$3:$A$5001,"&gt;="&amp;$C$7,Base!$A$3:$A$5001,"&lt;="&amp;$B181,Base!$X$3:$X$5001,"&lt;&gt;"))))</f>
        <v>1200</v>
      </c>
      <c r="E181">
        <f>IF($A181&gt;$B$9,"",IF(COUNTIFS(Base!$B$3:$B$5001,E$162,Base!$A$3:$A$5001,"&gt;="&amp;$C$7,Base!$A$3:$A$5001,"&lt;="&amp;$B181,Base!$X$3:$X$5001,"&lt;&gt;")=0,"",SUMIFS(Base!$X$3:$X$5001,Base!$B$3:$B$5001,E$162,Base!$A$3:$A$5001,_xlfn.MAXIFS(Base!$A$3:$A$5001,Base!$B$3:$B$5001,E$162,Base!$A$3:$A$5001,"&gt;="&amp;$C$7,Base!$A$3:$A$5001,"&lt;="&amp;$B181,Base!$X$3:$X$5001,"&lt;&gt;"))))</f>
        <v>3500</v>
      </c>
      <c r="F181">
        <f>IF($A181&gt;$B$9,"",IF(COUNTIFS(Base!$B$3:$B$5001,F$162,Base!$A$3:$A$5001,"&gt;="&amp;$C$7,Base!$A$3:$A$5001,"&lt;="&amp;$B181,Base!$X$3:$X$5001,"&lt;&gt;")=0,"",SUMIFS(Base!$X$3:$X$5001,Base!$B$3:$B$5001,F$162,Base!$A$3:$A$5001,_xlfn.MAXIFS(Base!$A$3:$A$5001,Base!$B$3:$B$5001,F$162,Base!$A$3:$A$5001,"&gt;="&amp;$C$7,Base!$A$3:$A$5001,"&lt;="&amp;$B181,Base!$X$3:$X$5001,"&lt;&gt;"))))</f>
        <v>1600</v>
      </c>
      <c r="G181">
        <f>IF($A181&gt;$B$9,"",IF(COUNTIFS(Base!$B$3:$B$5001,G$162,Base!$A$3:$A$5001,"&gt;="&amp;$C$7,Base!$A$3:$A$5001,"&lt;="&amp;$B181,Base!$X$3:$X$5001,"&lt;&gt;")=0,"",SUMIFS(Base!$X$3:$X$5001,Base!$B$3:$B$5001,G$162,Base!$A$3:$A$5001,_xlfn.MAXIFS(Base!$A$3:$A$5001,Base!$B$3:$B$5001,G$162,Base!$A$3:$A$5001,"&gt;="&amp;$C$7,Base!$A$3:$A$5001,"&lt;="&amp;$B181,Base!$X$3:$X$5001,"&lt;&gt;"))))</f>
        <v>900</v>
      </c>
      <c r="H181">
        <f>IF($A181&gt;$B$9,"",IF(COUNTIFS(Base!$B$3:$B$5001,H$162,Base!$A$3:$A$5001,"&gt;="&amp;$C$7,Base!$A$3:$A$5001,"&lt;="&amp;$B181,Base!$X$3:$X$5001,"&lt;&gt;")=0,"",SUMIFS(Base!$X$3:$X$5001,Base!$B$3:$B$5001,H$162,Base!$A$3:$A$5001,_xlfn.MAXIFS(Base!$A$3:$A$5001,Base!$B$3:$B$5001,H$162,Base!$A$3:$A$5001,"&gt;="&amp;$C$7,Base!$A$3:$A$5001,"&lt;="&amp;$B181,Base!$X$3:$X$5001,"&lt;&gt;"))))</f>
        <v>600</v>
      </c>
      <c r="I181">
        <f>IF($A181&gt;$B$9,"",IF(COUNTIFS(Base!$B$3:$B$5001,I$162,Base!$A$3:$A$5001,"&gt;="&amp;$C$7,Base!$A$3:$A$5001,"&lt;="&amp;$B181,Base!$X$3:$X$5001,"&lt;&gt;")=0,"",SUMIFS(Base!$X$3:$X$5001,Base!$B$3:$B$5001,I$162,Base!$A$3:$A$5001,_xlfn.MAXIFS(Base!$A$3:$A$5001,Base!$B$3:$B$5001,I$162,Base!$A$3:$A$5001,"&gt;="&amp;$C$7,Base!$A$3:$A$5001,"&lt;="&amp;$B181,Base!$X$3:$X$5001,"&lt;&gt;"))))</f>
        <v>1400</v>
      </c>
      <c r="J181">
        <f>IF($A181&gt;$B$9,"",IF(COUNTIFS(Base!$B$3:$B$5001,J$162,Base!$A$3:$A$5001,"&gt;="&amp;$C$7,Base!$A$3:$A$5001,"&lt;="&amp;$B181,Base!$X$3:$X$5001,"&lt;&gt;")=0,"",SUMIFS(Base!$X$3:$X$5001,Base!$B$3:$B$5001,J$162,Base!$A$3:$A$5001,_xlfn.MAXIFS(Base!$A$3:$A$5001,Base!$B$3:$B$5001,J$162,Base!$A$3:$A$5001,"&gt;="&amp;$C$7,Base!$A$3:$A$5001,"&lt;="&amp;$B181,Base!$X$3:$X$5001,"&lt;&gt;"))))</f>
        <v>500</v>
      </c>
      <c r="K181">
        <f>IF($A181&gt;$B$9,"",IF(COUNTIFS(Base!$B$3:$B$5001,K$162,Base!$A$3:$A$5001,"&gt;="&amp;$C$7,Base!$A$3:$A$5001,"&lt;="&amp;$B181,Base!$X$3:$X$5001,"&lt;&gt;")=0,"",SUMIFS(Base!$X$3:$X$5001,Base!$B$3:$B$5001,K$162,Base!$A$3:$A$5001,_xlfn.MAXIFS(Base!$A$3:$A$5001,Base!$B$3:$B$5001,K$162,Base!$A$3:$A$5001,"&gt;="&amp;$C$7,Base!$A$3:$A$5001,"&lt;="&amp;$B181,Base!$X$3:$X$5001,"&lt;&gt;"))))</f>
        <v>1800</v>
      </c>
    </row>
    <row r="182">
      <c r="A182">
        <v>20</v>
      </c>
      <c r="B182" s="152">
        <f>$B$31</f>
        <v>46285</v>
      </c>
      <c r="C182">
        <f>IF($A182&gt;$B$9,"",IF(COUNTIFS(Base!$B$3:$B$5001,C$162,Base!$A$3:$A$5001,"&gt;="&amp;$C$7,Base!$A$3:$A$5001,"&lt;="&amp;$B182,Base!$X$3:$X$5001,"&lt;&gt;")=0,"",SUMIFS(Base!$X$3:$X$5001,Base!$B$3:$B$5001,C$162,Base!$A$3:$A$5001,_xlfn.MAXIFS(Base!$A$3:$A$5001,Base!$B$3:$B$5001,C$162,Base!$A$3:$A$5001,"&gt;="&amp;$C$7,Base!$A$3:$A$5001,"&lt;="&amp;$B182,Base!$X$3:$X$5001,"&lt;&gt;"))))</f>
        <v>2200</v>
      </c>
      <c r="D182">
        <f>IF($A182&gt;$B$9,"",IF(COUNTIFS(Base!$B$3:$B$5001,D$162,Base!$A$3:$A$5001,"&gt;="&amp;$C$7,Base!$A$3:$A$5001,"&lt;="&amp;$B182,Base!$X$3:$X$5001,"&lt;&gt;")=0,"",SUMIFS(Base!$X$3:$X$5001,Base!$B$3:$B$5001,D$162,Base!$A$3:$A$5001,_xlfn.MAXIFS(Base!$A$3:$A$5001,Base!$B$3:$B$5001,D$162,Base!$A$3:$A$5001,"&gt;="&amp;$C$7,Base!$A$3:$A$5001,"&lt;="&amp;$B182,Base!$X$3:$X$5001,"&lt;&gt;"))))</f>
        <v>1200</v>
      </c>
      <c r="E182">
        <f>IF($A182&gt;$B$9,"",IF(COUNTIFS(Base!$B$3:$B$5001,E$162,Base!$A$3:$A$5001,"&gt;="&amp;$C$7,Base!$A$3:$A$5001,"&lt;="&amp;$B182,Base!$X$3:$X$5001,"&lt;&gt;")=0,"",SUMIFS(Base!$X$3:$X$5001,Base!$B$3:$B$5001,E$162,Base!$A$3:$A$5001,_xlfn.MAXIFS(Base!$A$3:$A$5001,Base!$B$3:$B$5001,E$162,Base!$A$3:$A$5001,"&gt;="&amp;$C$7,Base!$A$3:$A$5001,"&lt;="&amp;$B182,Base!$X$3:$X$5001,"&lt;&gt;"))))</f>
        <v>3500</v>
      </c>
      <c r="F182">
        <f>IF($A182&gt;$B$9,"",IF(COUNTIFS(Base!$B$3:$B$5001,F$162,Base!$A$3:$A$5001,"&gt;="&amp;$C$7,Base!$A$3:$A$5001,"&lt;="&amp;$B182,Base!$X$3:$X$5001,"&lt;&gt;")=0,"",SUMIFS(Base!$X$3:$X$5001,Base!$B$3:$B$5001,F$162,Base!$A$3:$A$5001,_xlfn.MAXIFS(Base!$A$3:$A$5001,Base!$B$3:$B$5001,F$162,Base!$A$3:$A$5001,"&gt;="&amp;$C$7,Base!$A$3:$A$5001,"&lt;="&amp;$B182,Base!$X$3:$X$5001,"&lt;&gt;"))))</f>
        <v>1600</v>
      </c>
      <c r="G182">
        <f>IF($A182&gt;$B$9,"",IF(COUNTIFS(Base!$B$3:$B$5001,G$162,Base!$A$3:$A$5001,"&gt;="&amp;$C$7,Base!$A$3:$A$5001,"&lt;="&amp;$B182,Base!$X$3:$X$5001,"&lt;&gt;")=0,"",SUMIFS(Base!$X$3:$X$5001,Base!$B$3:$B$5001,G$162,Base!$A$3:$A$5001,_xlfn.MAXIFS(Base!$A$3:$A$5001,Base!$B$3:$B$5001,G$162,Base!$A$3:$A$5001,"&gt;="&amp;$C$7,Base!$A$3:$A$5001,"&lt;="&amp;$B182,Base!$X$3:$X$5001,"&lt;&gt;"))))</f>
        <v>900</v>
      </c>
      <c r="H182">
        <f>IF($A182&gt;$B$9,"",IF(COUNTIFS(Base!$B$3:$B$5001,H$162,Base!$A$3:$A$5001,"&gt;="&amp;$C$7,Base!$A$3:$A$5001,"&lt;="&amp;$B182,Base!$X$3:$X$5001,"&lt;&gt;")=0,"",SUMIFS(Base!$X$3:$X$5001,Base!$B$3:$B$5001,H$162,Base!$A$3:$A$5001,_xlfn.MAXIFS(Base!$A$3:$A$5001,Base!$B$3:$B$5001,H$162,Base!$A$3:$A$5001,"&gt;="&amp;$C$7,Base!$A$3:$A$5001,"&lt;="&amp;$B182,Base!$X$3:$X$5001,"&lt;&gt;"))))</f>
        <v>600</v>
      </c>
      <c r="I182">
        <f>IF($A182&gt;$B$9,"",IF(COUNTIFS(Base!$B$3:$B$5001,I$162,Base!$A$3:$A$5001,"&gt;="&amp;$C$7,Base!$A$3:$A$5001,"&lt;="&amp;$B182,Base!$X$3:$X$5001,"&lt;&gt;")=0,"",SUMIFS(Base!$X$3:$X$5001,Base!$B$3:$B$5001,I$162,Base!$A$3:$A$5001,_xlfn.MAXIFS(Base!$A$3:$A$5001,Base!$B$3:$B$5001,I$162,Base!$A$3:$A$5001,"&gt;="&amp;$C$7,Base!$A$3:$A$5001,"&lt;="&amp;$B182,Base!$X$3:$X$5001,"&lt;&gt;"))))</f>
        <v>1400</v>
      </c>
      <c r="J182">
        <f>IF($A182&gt;$B$9,"",IF(COUNTIFS(Base!$B$3:$B$5001,J$162,Base!$A$3:$A$5001,"&gt;="&amp;$C$7,Base!$A$3:$A$5001,"&lt;="&amp;$B182,Base!$X$3:$X$5001,"&lt;&gt;")=0,"",SUMIFS(Base!$X$3:$X$5001,Base!$B$3:$B$5001,J$162,Base!$A$3:$A$5001,_xlfn.MAXIFS(Base!$A$3:$A$5001,Base!$B$3:$B$5001,J$162,Base!$A$3:$A$5001,"&gt;="&amp;$C$7,Base!$A$3:$A$5001,"&lt;="&amp;$B182,Base!$X$3:$X$5001,"&lt;&gt;"))))</f>
        <v>500</v>
      </c>
      <c r="K182">
        <f>IF($A182&gt;$B$9,"",IF(COUNTIFS(Base!$B$3:$B$5001,K$162,Base!$A$3:$A$5001,"&gt;="&amp;$C$7,Base!$A$3:$A$5001,"&lt;="&amp;$B182,Base!$X$3:$X$5001,"&lt;&gt;")=0,"",SUMIFS(Base!$X$3:$X$5001,Base!$B$3:$B$5001,K$162,Base!$A$3:$A$5001,_xlfn.MAXIFS(Base!$A$3:$A$5001,Base!$B$3:$B$5001,K$162,Base!$A$3:$A$5001,"&gt;="&amp;$C$7,Base!$A$3:$A$5001,"&lt;="&amp;$B182,Base!$X$3:$X$5001,"&lt;&gt;"))))</f>
        <v>1800</v>
      </c>
    </row>
    <row r="183">
      <c r="A183">
        <v>21</v>
      </c>
      <c r="B183" s="152">
        <f>$B$32</f>
        <v>46286</v>
      </c>
      <c r="C183">
        <f>IF($A183&gt;$B$9,"",IF(COUNTIFS(Base!$B$3:$B$5001,C$162,Base!$A$3:$A$5001,"&gt;="&amp;$C$7,Base!$A$3:$A$5001,"&lt;="&amp;$B183,Base!$X$3:$X$5001,"&lt;&gt;")=0,"",SUMIFS(Base!$X$3:$X$5001,Base!$B$3:$B$5001,C$162,Base!$A$3:$A$5001,_xlfn.MAXIFS(Base!$A$3:$A$5001,Base!$B$3:$B$5001,C$162,Base!$A$3:$A$5001,"&gt;="&amp;$C$7,Base!$A$3:$A$5001,"&lt;="&amp;$B183,Base!$X$3:$X$5001,"&lt;&gt;"))))</f>
        <v>2200</v>
      </c>
      <c r="D183">
        <f>IF($A183&gt;$B$9,"",IF(COUNTIFS(Base!$B$3:$B$5001,D$162,Base!$A$3:$A$5001,"&gt;="&amp;$C$7,Base!$A$3:$A$5001,"&lt;="&amp;$B183,Base!$X$3:$X$5001,"&lt;&gt;")=0,"",SUMIFS(Base!$X$3:$X$5001,Base!$B$3:$B$5001,D$162,Base!$A$3:$A$5001,_xlfn.MAXIFS(Base!$A$3:$A$5001,Base!$B$3:$B$5001,D$162,Base!$A$3:$A$5001,"&gt;="&amp;$C$7,Base!$A$3:$A$5001,"&lt;="&amp;$B183,Base!$X$3:$X$5001,"&lt;&gt;"))))</f>
        <v>1200</v>
      </c>
      <c r="E183">
        <f>IF($A183&gt;$B$9,"",IF(COUNTIFS(Base!$B$3:$B$5001,E$162,Base!$A$3:$A$5001,"&gt;="&amp;$C$7,Base!$A$3:$A$5001,"&lt;="&amp;$B183,Base!$X$3:$X$5001,"&lt;&gt;")=0,"",SUMIFS(Base!$X$3:$X$5001,Base!$B$3:$B$5001,E$162,Base!$A$3:$A$5001,_xlfn.MAXIFS(Base!$A$3:$A$5001,Base!$B$3:$B$5001,E$162,Base!$A$3:$A$5001,"&gt;="&amp;$C$7,Base!$A$3:$A$5001,"&lt;="&amp;$B183,Base!$X$3:$X$5001,"&lt;&gt;"))))</f>
        <v>3500</v>
      </c>
      <c r="F183">
        <f>IF($A183&gt;$B$9,"",IF(COUNTIFS(Base!$B$3:$B$5001,F$162,Base!$A$3:$A$5001,"&gt;="&amp;$C$7,Base!$A$3:$A$5001,"&lt;="&amp;$B183,Base!$X$3:$X$5001,"&lt;&gt;")=0,"",SUMIFS(Base!$X$3:$X$5001,Base!$B$3:$B$5001,F$162,Base!$A$3:$A$5001,_xlfn.MAXIFS(Base!$A$3:$A$5001,Base!$B$3:$B$5001,F$162,Base!$A$3:$A$5001,"&gt;="&amp;$C$7,Base!$A$3:$A$5001,"&lt;="&amp;$B183,Base!$X$3:$X$5001,"&lt;&gt;"))))</f>
        <v>1600</v>
      </c>
      <c r="G183">
        <f>IF($A183&gt;$B$9,"",IF(COUNTIFS(Base!$B$3:$B$5001,G$162,Base!$A$3:$A$5001,"&gt;="&amp;$C$7,Base!$A$3:$A$5001,"&lt;="&amp;$B183,Base!$X$3:$X$5001,"&lt;&gt;")=0,"",SUMIFS(Base!$X$3:$X$5001,Base!$B$3:$B$5001,G$162,Base!$A$3:$A$5001,_xlfn.MAXIFS(Base!$A$3:$A$5001,Base!$B$3:$B$5001,G$162,Base!$A$3:$A$5001,"&gt;="&amp;$C$7,Base!$A$3:$A$5001,"&lt;="&amp;$B183,Base!$X$3:$X$5001,"&lt;&gt;"))))</f>
        <v>900</v>
      </c>
      <c r="H183">
        <f>IF($A183&gt;$B$9,"",IF(COUNTIFS(Base!$B$3:$B$5001,H$162,Base!$A$3:$A$5001,"&gt;="&amp;$C$7,Base!$A$3:$A$5001,"&lt;="&amp;$B183,Base!$X$3:$X$5001,"&lt;&gt;")=0,"",SUMIFS(Base!$X$3:$X$5001,Base!$B$3:$B$5001,H$162,Base!$A$3:$A$5001,_xlfn.MAXIFS(Base!$A$3:$A$5001,Base!$B$3:$B$5001,H$162,Base!$A$3:$A$5001,"&gt;="&amp;$C$7,Base!$A$3:$A$5001,"&lt;="&amp;$B183,Base!$X$3:$X$5001,"&lt;&gt;"))))</f>
        <v>600</v>
      </c>
      <c r="I183">
        <f>IF($A183&gt;$B$9,"",IF(COUNTIFS(Base!$B$3:$B$5001,I$162,Base!$A$3:$A$5001,"&gt;="&amp;$C$7,Base!$A$3:$A$5001,"&lt;="&amp;$B183,Base!$X$3:$X$5001,"&lt;&gt;")=0,"",SUMIFS(Base!$X$3:$X$5001,Base!$B$3:$B$5001,I$162,Base!$A$3:$A$5001,_xlfn.MAXIFS(Base!$A$3:$A$5001,Base!$B$3:$B$5001,I$162,Base!$A$3:$A$5001,"&gt;="&amp;$C$7,Base!$A$3:$A$5001,"&lt;="&amp;$B183,Base!$X$3:$X$5001,"&lt;&gt;"))))</f>
        <v>1400</v>
      </c>
      <c r="J183">
        <f>IF($A183&gt;$B$9,"",IF(COUNTIFS(Base!$B$3:$B$5001,J$162,Base!$A$3:$A$5001,"&gt;="&amp;$C$7,Base!$A$3:$A$5001,"&lt;="&amp;$B183,Base!$X$3:$X$5001,"&lt;&gt;")=0,"",SUMIFS(Base!$X$3:$X$5001,Base!$B$3:$B$5001,J$162,Base!$A$3:$A$5001,_xlfn.MAXIFS(Base!$A$3:$A$5001,Base!$B$3:$B$5001,J$162,Base!$A$3:$A$5001,"&gt;="&amp;$C$7,Base!$A$3:$A$5001,"&lt;="&amp;$B183,Base!$X$3:$X$5001,"&lt;&gt;"))))</f>
        <v>500</v>
      </c>
      <c r="K183">
        <f>IF($A183&gt;$B$9,"",IF(COUNTIFS(Base!$B$3:$B$5001,K$162,Base!$A$3:$A$5001,"&gt;="&amp;$C$7,Base!$A$3:$A$5001,"&lt;="&amp;$B183,Base!$X$3:$X$5001,"&lt;&gt;")=0,"",SUMIFS(Base!$X$3:$X$5001,Base!$B$3:$B$5001,K$162,Base!$A$3:$A$5001,_xlfn.MAXIFS(Base!$A$3:$A$5001,Base!$B$3:$B$5001,K$162,Base!$A$3:$A$5001,"&gt;="&amp;$C$7,Base!$A$3:$A$5001,"&lt;="&amp;$B183,Base!$X$3:$X$5001,"&lt;&gt;"))))</f>
        <v>1800</v>
      </c>
    </row>
    <row r="184">
      <c r="A184">
        <v>22</v>
      </c>
      <c r="B184" s="152">
        <f>$B$33</f>
        <v>46287</v>
      </c>
      <c r="C184">
        <f>IF($A184&gt;$B$9,"",IF(COUNTIFS(Base!$B$3:$B$5001,C$162,Base!$A$3:$A$5001,"&gt;="&amp;$C$7,Base!$A$3:$A$5001,"&lt;="&amp;$B184,Base!$X$3:$X$5001,"&lt;&gt;")=0,"",SUMIFS(Base!$X$3:$X$5001,Base!$B$3:$B$5001,C$162,Base!$A$3:$A$5001,_xlfn.MAXIFS(Base!$A$3:$A$5001,Base!$B$3:$B$5001,C$162,Base!$A$3:$A$5001,"&gt;="&amp;$C$7,Base!$A$3:$A$5001,"&lt;="&amp;$B184,Base!$X$3:$X$5001,"&lt;&gt;"))))</f>
        <v>2200</v>
      </c>
      <c r="D184">
        <f>IF($A184&gt;$B$9,"",IF(COUNTIFS(Base!$B$3:$B$5001,D$162,Base!$A$3:$A$5001,"&gt;="&amp;$C$7,Base!$A$3:$A$5001,"&lt;="&amp;$B184,Base!$X$3:$X$5001,"&lt;&gt;")=0,"",SUMIFS(Base!$X$3:$X$5001,Base!$B$3:$B$5001,D$162,Base!$A$3:$A$5001,_xlfn.MAXIFS(Base!$A$3:$A$5001,Base!$B$3:$B$5001,D$162,Base!$A$3:$A$5001,"&gt;="&amp;$C$7,Base!$A$3:$A$5001,"&lt;="&amp;$B184,Base!$X$3:$X$5001,"&lt;&gt;"))))</f>
        <v>1200</v>
      </c>
      <c r="E184">
        <f>IF($A184&gt;$B$9,"",IF(COUNTIFS(Base!$B$3:$B$5001,E$162,Base!$A$3:$A$5001,"&gt;="&amp;$C$7,Base!$A$3:$A$5001,"&lt;="&amp;$B184,Base!$X$3:$X$5001,"&lt;&gt;")=0,"",SUMIFS(Base!$X$3:$X$5001,Base!$B$3:$B$5001,E$162,Base!$A$3:$A$5001,_xlfn.MAXIFS(Base!$A$3:$A$5001,Base!$B$3:$B$5001,E$162,Base!$A$3:$A$5001,"&gt;="&amp;$C$7,Base!$A$3:$A$5001,"&lt;="&amp;$B184,Base!$X$3:$X$5001,"&lt;&gt;"))))</f>
        <v>3500</v>
      </c>
      <c r="F184">
        <f>IF($A184&gt;$B$9,"",IF(COUNTIFS(Base!$B$3:$B$5001,F$162,Base!$A$3:$A$5001,"&gt;="&amp;$C$7,Base!$A$3:$A$5001,"&lt;="&amp;$B184,Base!$X$3:$X$5001,"&lt;&gt;")=0,"",SUMIFS(Base!$X$3:$X$5001,Base!$B$3:$B$5001,F$162,Base!$A$3:$A$5001,_xlfn.MAXIFS(Base!$A$3:$A$5001,Base!$B$3:$B$5001,F$162,Base!$A$3:$A$5001,"&gt;="&amp;$C$7,Base!$A$3:$A$5001,"&lt;="&amp;$B184,Base!$X$3:$X$5001,"&lt;&gt;"))))</f>
        <v>1600</v>
      </c>
      <c r="G184">
        <f>IF($A184&gt;$B$9,"",IF(COUNTIFS(Base!$B$3:$B$5001,G$162,Base!$A$3:$A$5001,"&gt;="&amp;$C$7,Base!$A$3:$A$5001,"&lt;="&amp;$B184,Base!$X$3:$X$5001,"&lt;&gt;")=0,"",SUMIFS(Base!$X$3:$X$5001,Base!$B$3:$B$5001,G$162,Base!$A$3:$A$5001,_xlfn.MAXIFS(Base!$A$3:$A$5001,Base!$B$3:$B$5001,G$162,Base!$A$3:$A$5001,"&gt;="&amp;$C$7,Base!$A$3:$A$5001,"&lt;="&amp;$B184,Base!$X$3:$X$5001,"&lt;&gt;"))))</f>
        <v>900</v>
      </c>
      <c r="H184">
        <f>IF($A184&gt;$B$9,"",IF(COUNTIFS(Base!$B$3:$B$5001,H$162,Base!$A$3:$A$5001,"&gt;="&amp;$C$7,Base!$A$3:$A$5001,"&lt;="&amp;$B184,Base!$X$3:$X$5001,"&lt;&gt;")=0,"",SUMIFS(Base!$X$3:$X$5001,Base!$B$3:$B$5001,H$162,Base!$A$3:$A$5001,_xlfn.MAXIFS(Base!$A$3:$A$5001,Base!$B$3:$B$5001,H$162,Base!$A$3:$A$5001,"&gt;="&amp;$C$7,Base!$A$3:$A$5001,"&lt;="&amp;$B184,Base!$X$3:$X$5001,"&lt;&gt;"))))</f>
        <v>600</v>
      </c>
      <c r="I184">
        <f>IF($A184&gt;$B$9,"",IF(COUNTIFS(Base!$B$3:$B$5001,I$162,Base!$A$3:$A$5001,"&gt;="&amp;$C$7,Base!$A$3:$A$5001,"&lt;="&amp;$B184,Base!$X$3:$X$5001,"&lt;&gt;")=0,"",SUMIFS(Base!$X$3:$X$5001,Base!$B$3:$B$5001,I$162,Base!$A$3:$A$5001,_xlfn.MAXIFS(Base!$A$3:$A$5001,Base!$B$3:$B$5001,I$162,Base!$A$3:$A$5001,"&gt;="&amp;$C$7,Base!$A$3:$A$5001,"&lt;="&amp;$B184,Base!$X$3:$X$5001,"&lt;&gt;"))))</f>
        <v>1400</v>
      </c>
      <c r="J184">
        <f>IF($A184&gt;$B$9,"",IF(COUNTIFS(Base!$B$3:$B$5001,J$162,Base!$A$3:$A$5001,"&gt;="&amp;$C$7,Base!$A$3:$A$5001,"&lt;="&amp;$B184,Base!$X$3:$X$5001,"&lt;&gt;")=0,"",SUMIFS(Base!$X$3:$X$5001,Base!$B$3:$B$5001,J$162,Base!$A$3:$A$5001,_xlfn.MAXIFS(Base!$A$3:$A$5001,Base!$B$3:$B$5001,J$162,Base!$A$3:$A$5001,"&gt;="&amp;$C$7,Base!$A$3:$A$5001,"&lt;="&amp;$B184,Base!$X$3:$X$5001,"&lt;&gt;"))))</f>
        <v>500</v>
      </c>
      <c r="K184">
        <f>IF($A184&gt;$B$9,"",IF(COUNTIFS(Base!$B$3:$B$5001,K$162,Base!$A$3:$A$5001,"&gt;="&amp;$C$7,Base!$A$3:$A$5001,"&lt;="&amp;$B184,Base!$X$3:$X$5001,"&lt;&gt;")=0,"",SUMIFS(Base!$X$3:$X$5001,Base!$B$3:$B$5001,K$162,Base!$A$3:$A$5001,_xlfn.MAXIFS(Base!$A$3:$A$5001,Base!$B$3:$B$5001,K$162,Base!$A$3:$A$5001,"&gt;="&amp;$C$7,Base!$A$3:$A$5001,"&lt;="&amp;$B184,Base!$X$3:$X$5001,"&lt;&gt;"))))</f>
        <v>1800</v>
      </c>
    </row>
    <row r="185">
      <c r="A185">
        <v>23</v>
      </c>
      <c r="B185" s="152">
        <f>$B$34</f>
        <v>46288</v>
      </c>
      <c r="C185">
        <f>IF($A185&gt;$B$9,"",IF(COUNTIFS(Base!$B$3:$B$5001,C$162,Base!$A$3:$A$5001,"&gt;="&amp;$C$7,Base!$A$3:$A$5001,"&lt;="&amp;$B185,Base!$X$3:$X$5001,"&lt;&gt;")=0,"",SUMIFS(Base!$X$3:$X$5001,Base!$B$3:$B$5001,C$162,Base!$A$3:$A$5001,_xlfn.MAXIFS(Base!$A$3:$A$5001,Base!$B$3:$B$5001,C$162,Base!$A$3:$A$5001,"&gt;="&amp;$C$7,Base!$A$3:$A$5001,"&lt;="&amp;$B185,Base!$X$3:$X$5001,"&lt;&gt;"))))</f>
        <v>2200</v>
      </c>
      <c r="D185">
        <f>IF($A185&gt;$B$9,"",IF(COUNTIFS(Base!$B$3:$B$5001,D$162,Base!$A$3:$A$5001,"&gt;="&amp;$C$7,Base!$A$3:$A$5001,"&lt;="&amp;$B185,Base!$X$3:$X$5001,"&lt;&gt;")=0,"",SUMIFS(Base!$X$3:$X$5001,Base!$B$3:$B$5001,D$162,Base!$A$3:$A$5001,_xlfn.MAXIFS(Base!$A$3:$A$5001,Base!$B$3:$B$5001,D$162,Base!$A$3:$A$5001,"&gt;="&amp;$C$7,Base!$A$3:$A$5001,"&lt;="&amp;$B185,Base!$X$3:$X$5001,"&lt;&gt;"))))</f>
        <v>1200</v>
      </c>
      <c r="E185">
        <f>IF($A185&gt;$B$9,"",IF(COUNTIFS(Base!$B$3:$B$5001,E$162,Base!$A$3:$A$5001,"&gt;="&amp;$C$7,Base!$A$3:$A$5001,"&lt;="&amp;$B185,Base!$X$3:$X$5001,"&lt;&gt;")=0,"",SUMIFS(Base!$X$3:$X$5001,Base!$B$3:$B$5001,E$162,Base!$A$3:$A$5001,_xlfn.MAXIFS(Base!$A$3:$A$5001,Base!$B$3:$B$5001,E$162,Base!$A$3:$A$5001,"&gt;="&amp;$C$7,Base!$A$3:$A$5001,"&lt;="&amp;$B185,Base!$X$3:$X$5001,"&lt;&gt;"))))</f>
        <v>3500</v>
      </c>
      <c r="F185">
        <f>IF($A185&gt;$B$9,"",IF(COUNTIFS(Base!$B$3:$B$5001,F$162,Base!$A$3:$A$5001,"&gt;="&amp;$C$7,Base!$A$3:$A$5001,"&lt;="&amp;$B185,Base!$X$3:$X$5001,"&lt;&gt;")=0,"",SUMIFS(Base!$X$3:$X$5001,Base!$B$3:$B$5001,F$162,Base!$A$3:$A$5001,_xlfn.MAXIFS(Base!$A$3:$A$5001,Base!$B$3:$B$5001,F$162,Base!$A$3:$A$5001,"&gt;="&amp;$C$7,Base!$A$3:$A$5001,"&lt;="&amp;$B185,Base!$X$3:$X$5001,"&lt;&gt;"))))</f>
        <v>1600</v>
      </c>
      <c r="G185">
        <f>IF($A185&gt;$B$9,"",IF(COUNTIFS(Base!$B$3:$B$5001,G$162,Base!$A$3:$A$5001,"&gt;="&amp;$C$7,Base!$A$3:$A$5001,"&lt;="&amp;$B185,Base!$X$3:$X$5001,"&lt;&gt;")=0,"",SUMIFS(Base!$X$3:$X$5001,Base!$B$3:$B$5001,G$162,Base!$A$3:$A$5001,_xlfn.MAXIFS(Base!$A$3:$A$5001,Base!$B$3:$B$5001,G$162,Base!$A$3:$A$5001,"&gt;="&amp;$C$7,Base!$A$3:$A$5001,"&lt;="&amp;$B185,Base!$X$3:$X$5001,"&lt;&gt;"))))</f>
        <v>900</v>
      </c>
      <c r="H185">
        <f>IF($A185&gt;$B$9,"",IF(COUNTIFS(Base!$B$3:$B$5001,H$162,Base!$A$3:$A$5001,"&gt;="&amp;$C$7,Base!$A$3:$A$5001,"&lt;="&amp;$B185,Base!$X$3:$X$5001,"&lt;&gt;")=0,"",SUMIFS(Base!$X$3:$X$5001,Base!$B$3:$B$5001,H$162,Base!$A$3:$A$5001,_xlfn.MAXIFS(Base!$A$3:$A$5001,Base!$B$3:$B$5001,H$162,Base!$A$3:$A$5001,"&gt;="&amp;$C$7,Base!$A$3:$A$5001,"&lt;="&amp;$B185,Base!$X$3:$X$5001,"&lt;&gt;"))))</f>
        <v>600</v>
      </c>
      <c r="I185">
        <f>IF($A185&gt;$B$9,"",IF(COUNTIFS(Base!$B$3:$B$5001,I$162,Base!$A$3:$A$5001,"&gt;="&amp;$C$7,Base!$A$3:$A$5001,"&lt;="&amp;$B185,Base!$X$3:$X$5001,"&lt;&gt;")=0,"",SUMIFS(Base!$X$3:$X$5001,Base!$B$3:$B$5001,I$162,Base!$A$3:$A$5001,_xlfn.MAXIFS(Base!$A$3:$A$5001,Base!$B$3:$B$5001,I$162,Base!$A$3:$A$5001,"&gt;="&amp;$C$7,Base!$A$3:$A$5001,"&lt;="&amp;$B185,Base!$X$3:$X$5001,"&lt;&gt;"))))</f>
        <v>1400</v>
      </c>
      <c r="J185">
        <f>IF($A185&gt;$B$9,"",IF(COUNTIFS(Base!$B$3:$B$5001,J$162,Base!$A$3:$A$5001,"&gt;="&amp;$C$7,Base!$A$3:$A$5001,"&lt;="&amp;$B185,Base!$X$3:$X$5001,"&lt;&gt;")=0,"",SUMIFS(Base!$X$3:$X$5001,Base!$B$3:$B$5001,J$162,Base!$A$3:$A$5001,_xlfn.MAXIFS(Base!$A$3:$A$5001,Base!$B$3:$B$5001,J$162,Base!$A$3:$A$5001,"&gt;="&amp;$C$7,Base!$A$3:$A$5001,"&lt;="&amp;$B185,Base!$X$3:$X$5001,"&lt;&gt;"))))</f>
        <v>500</v>
      </c>
      <c r="K185">
        <f>IF($A185&gt;$B$9,"",IF(COUNTIFS(Base!$B$3:$B$5001,K$162,Base!$A$3:$A$5001,"&gt;="&amp;$C$7,Base!$A$3:$A$5001,"&lt;="&amp;$B185,Base!$X$3:$X$5001,"&lt;&gt;")=0,"",SUMIFS(Base!$X$3:$X$5001,Base!$B$3:$B$5001,K$162,Base!$A$3:$A$5001,_xlfn.MAXIFS(Base!$A$3:$A$5001,Base!$B$3:$B$5001,K$162,Base!$A$3:$A$5001,"&gt;="&amp;$C$7,Base!$A$3:$A$5001,"&lt;="&amp;$B185,Base!$X$3:$X$5001,"&lt;&gt;"))))</f>
        <v>1800</v>
      </c>
    </row>
    <row r="186">
      <c r="A186">
        <v>24</v>
      </c>
      <c r="B186" s="152">
        <f>$B$35</f>
        <v>46289</v>
      </c>
      <c r="C186">
        <f>IF($A186&gt;$B$9,"",IF(COUNTIFS(Base!$B$3:$B$5001,C$162,Base!$A$3:$A$5001,"&gt;="&amp;$C$7,Base!$A$3:$A$5001,"&lt;="&amp;$B186,Base!$X$3:$X$5001,"&lt;&gt;")=0,"",SUMIFS(Base!$X$3:$X$5001,Base!$B$3:$B$5001,C$162,Base!$A$3:$A$5001,_xlfn.MAXIFS(Base!$A$3:$A$5001,Base!$B$3:$B$5001,C$162,Base!$A$3:$A$5001,"&gt;="&amp;$C$7,Base!$A$3:$A$5001,"&lt;="&amp;$B186,Base!$X$3:$X$5001,"&lt;&gt;"))))</f>
        <v>2200</v>
      </c>
      <c r="D186">
        <f>IF($A186&gt;$B$9,"",IF(COUNTIFS(Base!$B$3:$B$5001,D$162,Base!$A$3:$A$5001,"&gt;="&amp;$C$7,Base!$A$3:$A$5001,"&lt;="&amp;$B186,Base!$X$3:$X$5001,"&lt;&gt;")=0,"",SUMIFS(Base!$X$3:$X$5001,Base!$B$3:$B$5001,D$162,Base!$A$3:$A$5001,_xlfn.MAXIFS(Base!$A$3:$A$5001,Base!$B$3:$B$5001,D$162,Base!$A$3:$A$5001,"&gt;="&amp;$C$7,Base!$A$3:$A$5001,"&lt;="&amp;$B186,Base!$X$3:$X$5001,"&lt;&gt;"))))</f>
        <v>1200</v>
      </c>
      <c r="E186">
        <f>IF($A186&gt;$B$9,"",IF(COUNTIFS(Base!$B$3:$B$5001,E$162,Base!$A$3:$A$5001,"&gt;="&amp;$C$7,Base!$A$3:$A$5001,"&lt;="&amp;$B186,Base!$X$3:$X$5001,"&lt;&gt;")=0,"",SUMIFS(Base!$X$3:$X$5001,Base!$B$3:$B$5001,E$162,Base!$A$3:$A$5001,_xlfn.MAXIFS(Base!$A$3:$A$5001,Base!$B$3:$B$5001,E$162,Base!$A$3:$A$5001,"&gt;="&amp;$C$7,Base!$A$3:$A$5001,"&lt;="&amp;$B186,Base!$X$3:$X$5001,"&lt;&gt;"))))</f>
        <v>3500</v>
      </c>
      <c r="F186">
        <f>IF($A186&gt;$B$9,"",IF(COUNTIFS(Base!$B$3:$B$5001,F$162,Base!$A$3:$A$5001,"&gt;="&amp;$C$7,Base!$A$3:$A$5001,"&lt;="&amp;$B186,Base!$X$3:$X$5001,"&lt;&gt;")=0,"",SUMIFS(Base!$X$3:$X$5001,Base!$B$3:$B$5001,F$162,Base!$A$3:$A$5001,_xlfn.MAXIFS(Base!$A$3:$A$5001,Base!$B$3:$B$5001,F$162,Base!$A$3:$A$5001,"&gt;="&amp;$C$7,Base!$A$3:$A$5001,"&lt;="&amp;$B186,Base!$X$3:$X$5001,"&lt;&gt;"))))</f>
        <v>1600</v>
      </c>
      <c r="G186">
        <f>IF($A186&gt;$B$9,"",IF(COUNTIFS(Base!$B$3:$B$5001,G$162,Base!$A$3:$A$5001,"&gt;="&amp;$C$7,Base!$A$3:$A$5001,"&lt;="&amp;$B186,Base!$X$3:$X$5001,"&lt;&gt;")=0,"",SUMIFS(Base!$X$3:$X$5001,Base!$B$3:$B$5001,G$162,Base!$A$3:$A$5001,_xlfn.MAXIFS(Base!$A$3:$A$5001,Base!$B$3:$B$5001,G$162,Base!$A$3:$A$5001,"&gt;="&amp;$C$7,Base!$A$3:$A$5001,"&lt;="&amp;$B186,Base!$X$3:$X$5001,"&lt;&gt;"))))</f>
        <v>900</v>
      </c>
      <c r="H186">
        <f>IF($A186&gt;$B$9,"",IF(COUNTIFS(Base!$B$3:$B$5001,H$162,Base!$A$3:$A$5001,"&gt;="&amp;$C$7,Base!$A$3:$A$5001,"&lt;="&amp;$B186,Base!$X$3:$X$5001,"&lt;&gt;")=0,"",SUMIFS(Base!$X$3:$X$5001,Base!$B$3:$B$5001,H$162,Base!$A$3:$A$5001,_xlfn.MAXIFS(Base!$A$3:$A$5001,Base!$B$3:$B$5001,H$162,Base!$A$3:$A$5001,"&gt;="&amp;$C$7,Base!$A$3:$A$5001,"&lt;="&amp;$B186,Base!$X$3:$X$5001,"&lt;&gt;"))))</f>
        <v>600</v>
      </c>
      <c r="I186">
        <f>IF($A186&gt;$B$9,"",IF(COUNTIFS(Base!$B$3:$B$5001,I$162,Base!$A$3:$A$5001,"&gt;="&amp;$C$7,Base!$A$3:$A$5001,"&lt;="&amp;$B186,Base!$X$3:$X$5001,"&lt;&gt;")=0,"",SUMIFS(Base!$X$3:$X$5001,Base!$B$3:$B$5001,I$162,Base!$A$3:$A$5001,_xlfn.MAXIFS(Base!$A$3:$A$5001,Base!$B$3:$B$5001,I$162,Base!$A$3:$A$5001,"&gt;="&amp;$C$7,Base!$A$3:$A$5001,"&lt;="&amp;$B186,Base!$X$3:$X$5001,"&lt;&gt;"))))</f>
        <v>1400</v>
      </c>
      <c r="J186">
        <f>IF($A186&gt;$B$9,"",IF(COUNTIFS(Base!$B$3:$B$5001,J$162,Base!$A$3:$A$5001,"&gt;="&amp;$C$7,Base!$A$3:$A$5001,"&lt;="&amp;$B186,Base!$X$3:$X$5001,"&lt;&gt;")=0,"",SUMIFS(Base!$X$3:$X$5001,Base!$B$3:$B$5001,J$162,Base!$A$3:$A$5001,_xlfn.MAXIFS(Base!$A$3:$A$5001,Base!$B$3:$B$5001,J$162,Base!$A$3:$A$5001,"&gt;="&amp;$C$7,Base!$A$3:$A$5001,"&lt;="&amp;$B186,Base!$X$3:$X$5001,"&lt;&gt;"))))</f>
        <v>500</v>
      </c>
      <c r="K186">
        <f>IF($A186&gt;$B$9,"",IF(COUNTIFS(Base!$B$3:$B$5001,K$162,Base!$A$3:$A$5001,"&gt;="&amp;$C$7,Base!$A$3:$A$5001,"&lt;="&amp;$B186,Base!$X$3:$X$5001,"&lt;&gt;")=0,"",SUMIFS(Base!$X$3:$X$5001,Base!$B$3:$B$5001,K$162,Base!$A$3:$A$5001,_xlfn.MAXIFS(Base!$A$3:$A$5001,Base!$B$3:$B$5001,K$162,Base!$A$3:$A$5001,"&gt;="&amp;$C$7,Base!$A$3:$A$5001,"&lt;="&amp;$B186,Base!$X$3:$X$5001,"&lt;&gt;"))))</f>
        <v>1800</v>
      </c>
    </row>
    <row r="187">
      <c r="A187">
        <v>25</v>
      </c>
      <c r="B187" s="152">
        <f>$B$36</f>
        <v>46290</v>
      </c>
      <c r="C187">
        <f>IF($A187&gt;$B$9,"",IF(COUNTIFS(Base!$B$3:$B$5001,C$162,Base!$A$3:$A$5001,"&gt;="&amp;$C$7,Base!$A$3:$A$5001,"&lt;="&amp;$B187,Base!$X$3:$X$5001,"&lt;&gt;")=0,"",SUMIFS(Base!$X$3:$X$5001,Base!$B$3:$B$5001,C$162,Base!$A$3:$A$5001,_xlfn.MAXIFS(Base!$A$3:$A$5001,Base!$B$3:$B$5001,C$162,Base!$A$3:$A$5001,"&gt;="&amp;$C$7,Base!$A$3:$A$5001,"&lt;="&amp;$B187,Base!$X$3:$X$5001,"&lt;&gt;"))))</f>
        <v>2200</v>
      </c>
      <c r="D187">
        <f>IF($A187&gt;$B$9,"",IF(COUNTIFS(Base!$B$3:$B$5001,D$162,Base!$A$3:$A$5001,"&gt;="&amp;$C$7,Base!$A$3:$A$5001,"&lt;="&amp;$B187,Base!$X$3:$X$5001,"&lt;&gt;")=0,"",SUMIFS(Base!$X$3:$X$5001,Base!$B$3:$B$5001,D$162,Base!$A$3:$A$5001,_xlfn.MAXIFS(Base!$A$3:$A$5001,Base!$B$3:$B$5001,D$162,Base!$A$3:$A$5001,"&gt;="&amp;$C$7,Base!$A$3:$A$5001,"&lt;="&amp;$B187,Base!$X$3:$X$5001,"&lt;&gt;"))))</f>
        <v>1200</v>
      </c>
      <c r="E187">
        <f>IF($A187&gt;$B$9,"",IF(COUNTIFS(Base!$B$3:$B$5001,E$162,Base!$A$3:$A$5001,"&gt;="&amp;$C$7,Base!$A$3:$A$5001,"&lt;="&amp;$B187,Base!$X$3:$X$5001,"&lt;&gt;")=0,"",SUMIFS(Base!$X$3:$X$5001,Base!$B$3:$B$5001,E$162,Base!$A$3:$A$5001,_xlfn.MAXIFS(Base!$A$3:$A$5001,Base!$B$3:$B$5001,E$162,Base!$A$3:$A$5001,"&gt;="&amp;$C$7,Base!$A$3:$A$5001,"&lt;="&amp;$B187,Base!$X$3:$X$5001,"&lt;&gt;"))))</f>
        <v>3500</v>
      </c>
      <c r="F187">
        <f>IF($A187&gt;$B$9,"",IF(COUNTIFS(Base!$B$3:$B$5001,F$162,Base!$A$3:$A$5001,"&gt;="&amp;$C$7,Base!$A$3:$A$5001,"&lt;="&amp;$B187,Base!$X$3:$X$5001,"&lt;&gt;")=0,"",SUMIFS(Base!$X$3:$X$5001,Base!$B$3:$B$5001,F$162,Base!$A$3:$A$5001,_xlfn.MAXIFS(Base!$A$3:$A$5001,Base!$B$3:$B$5001,F$162,Base!$A$3:$A$5001,"&gt;="&amp;$C$7,Base!$A$3:$A$5001,"&lt;="&amp;$B187,Base!$X$3:$X$5001,"&lt;&gt;"))))</f>
        <v>1600</v>
      </c>
      <c r="G187">
        <f>IF($A187&gt;$B$9,"",IF(COUNTIFS(Base!$B$3:$B$5001,G$162,Base!$A$3:$A$5001,"&gt;="&amp;$C$7,Base!$A$3:$A$5001,"&lt;="&amp;$B187,Base!$X$3:$X$5001,"&lt;&gt;")=0,"",SUMIFS(Base!$X$3:$X$5001,Base!$B$3:$B$5001,G$162,Base!$A$3:$A$5001,_xlfn.MAXIFS(Base!$A$3:$A$5001,Base!$B$3:$B$5001,G$162,Base!$A$3:$A$5001,"&gt;="&amp;$C$7,Base!$A$3:$A$5001,"&lt;="&amp;$B187,Base!$X$3:$X$5001,"&lt;&gt;"))))</f>
        <v>900</v>
      </c>
      <c r="H187">
        <f>IF($A187&gt;$B$9,"",IF(COUNTIFS(Base!$B$3:$B$5001,H$162,Base!$A$3:$A$5001,"&gt;="&amp;$C$7,Base!$A$3:$A$5001,"&lt;="&amp;$B187,Base!$X$3:$X$5001,"&lt;&gt;")=0,"",SUMIFS(Base!$X$3:$X$5001,Base!$B$3:$B$5001,H$162,Base!$A$3:$A$5001,_xlfn.MAXIFS(Base!$A$3:$A$5001,Base!$B$3:$B$5001,H$162,Base!$A$3:$A$5001,"&gt;="&amp;$C$7,Base!$A$3:$A$5001,"&lt;="&amp;$B187,Base!$X$3:$X$5001,"&lt;&gt;"))))</f>
        <v>600</v>
      </c>
      <c r="I187">
        <f>IF($A187&gt;$B$9,"",IF(COUNTIFS(Base!$B$3:$B$5001,I$162,Base!$A$3:$A$5001,"&gt;="&amp;$C$7,Base!$A$3:$A$5001,"&lt;="&amp;$B187,Base!$X$3:$X$5001,"&lt;&gt;")=0,"",SUMIFS(Base!$X$3:$X$5001,Base!$B$3:$B$5001,I$162,Base!$A$3:$A$5001,_xlfn.MAXIFS(Base!$A$3:$A$5001,Base!$B$3:$B$5001,I$162,Base!$A$3:$A$5001,"&gt;="&amp;$C$7,Base!$A$3:$A$5001,"&lt;="&amp;$B187,Base!$X$3:$X$5001,"&lt;&gt;"))))</f>
        <v>1400</v>
      </c>
      <c r="J187">
        <f>IF($A187&gt;$B$9,"",IF(COUNTIFS(Base!$B$3:$B$5001,J$162,Base!$A$3:$A$5001,"&gt;="&amp;$C$7,Base!$A$3:$A$5001,"&lt;="&amp;$B187,Base!$X$3:$X$5001,"&lt;&gt;")=0,"",SUMIFS(Base!$X$3:$X$5001,Base!$B$3:$B$5001,J$162,Base!$A$3:$A$5001,_xlfn.MAXIFS(Base!$A$3:$A$5001,Base!$B$3:$B$5001,J$162,Base!$A$3:$A$5001,"&gt;="&amp;$C$7,Base!$A$3:$A$5001,"&lt;="&amp;$B187,Base!$X$3:$X$5001,"&lt;&gt;"))))</f>
        <v>500</v>
      </c>
      <c r="K187">
        <f>IF($A187&gt;$B$9,"",IF(COUNTIFS(Base!$B$3:$B$5001,K$162,Base!$A$3:$A$5001,"&gt;="&amp;$C$7,Base!$A$3:$A$5001,"&lt;="&amp;$B187,Base!$X$3:$X$5001,"&lt;&gt;")=0,"",SUMIFS(Base!$X$3:$X$5001,Base!$B$3:$B$5001,K$162,Base!$A$3:$A$5001,_xlfn.MAXIFS(Base!$A$3:$A$5001,Base!$B$3:$B$5001,K$162,Base!$A$3:$A$5001,"&gt;="&amp;$C$7,Base!$A$3:$A$5001,"&lt;="&amp;$B187,Base!$X$3:$X$5001,"&lt;&gt;"))))</f>
        <v>1800</v>
      </c>
    </row>
    <row r="188">
      <c r="A188">
        <v>26</v>
      </c>
      <c r="B188" s="152">
        <f>$B$37</f>
        <v>46291</v>
      </c>
      <c r="C188">
        <f>IF($A188&gt;$B$9,"",IF(COUNTIFS(Base!$B$3:$B$5001,C$162,Base!$A$3:$A$5001,"&gt;="&amp;$C$7,Base!$A$3:$A$5001,"&lt;="&amp;$B188,Base!$X$3:$X$5001,"&lt;&gt;")=0,"",SUMIFS(Base!$X$3:$X$5001,Base!$B$3:$B$5001,C$162,Base!$A$3:$A$5001,_xlfn.MAXIFS(Base!$A$3:$A$5001,Base!$B$3:$B$5001,C$162,Base!$A$3:$A$5001,"&gt;="&amp;$C$7,Base!$A$3:$A$5001,"&lt;="&amp;$B188,Base!$X$3:$X$5001,"&lt;&gt;"))))</f>
        <v>2200</v>
      </c>
      <c r="D188">
        <f>IF($A188&gt;$B$9,"",IF(COUNTIFS(Base!$B$3:$B$5001,D$162,Base!$A$3:$A$5001,"&gt;="&amp;$C$7,Base!$A$3:$A$5001,"&lt;="&amp;$B188,Base!$X$3:$X$5001,"&lt;&gt;")=0,"",SUMIFS(Base!$X$3:$X$5001,Base!$B$3:$B$5001,D$162,Base!$A$3:$A$5001,_xlfn.MAXIFS(Base!$A$3:$A$5001,Base!$B$3:$B$5001,D$162,Base!$A$3:$A$5001,"&gt;="&amp;$C$7,Base!$A$3:$A$5001,"&lt;="&amp;$B188,Base!$X$3:$X$5001,"&lt;&gt;"))))</f>
        <v>1200</v>
      </c>
      <c r="E188">
        <f>IF($A188&gt;$B$9,"",IF(COUNTIFS(Base!$B$3:$B$5001,E$162,Base!$A$3:$A$5001,"&gt;="&amp;$C$7,Base!$A$3:$A$5001,"&lt;="&amp;$B188,Base!$X$3:$X$5001,"&lt;&gt;")=0,"",SUMIFS(Base!$X$3:$X$5001,Base!$B$3:$B$5001,E$162,Base!$A$3:$A$5001,_xlfn.MAXIFS(Base!$A$3:$A$5001,Base!$B$3:$B$5001,E$162,Base!$A$3:$A$5001,"&gt;="&amp;$C$7,Base!$A$3:$A$5001,"&lt;="&amp;$B188,Base!$X$3:$X$5001,"&lt;&gt;"))))</f>
        <v>3500</v>
      </c>
      <c r="F188">
        <f>IF($A188&gt;$B$9,"",IF(COUNTIFS(Base!$B$3:$B$5001,F$162,Base!$A$3:$A$5001,"&gt;="&amp;$C$7,Base!$A$3:$A$5001,"&lt;="&amp;$B188,Base!$X$3:$X$5001,"&lt;&gt;")=0,"",SUMIFS(Base!$X$3:$X$5001,Base!$B$3:$B$5001,F$162,Base!$A$3:$A$5001,_xlfn.MAXIFS(Base!$A$3:$A$5001,Base!$B$3:$B$5001,F$162,Base!$A$3:$A$5001,"&gt;="&amp;$C$7,Base!$A$3:$A$5001,"&lt;="&amp;$B188,Base!$X$3:$X$5001,"&lt;&gt;"))))</f>
        <v>1600</v>
      </c>
      <c r="G188">
        <f>IF($A188&gt;$B$9,"",IF(COUNTIFS(Base!$B$3:$B$5001,G$162,Base!$A$3:$A$5001,"&gt;="&amp;$C$7,Base!$A$3:$A$5001,"&lt;="&amp;$B188,Base!$X$3:$X$5001,"&lt;&gt;")=0,"",SUMIFS(Base!$X$3:$X$5001,Base!$B$3:$B$5001,G$162,Base!$A$3:$A$5001,_xlfn.MAXIFS(Base!$A$3:$A$5001,Base!$B$3:$B$5001,G$162,Base!$A$3:$A$5001,"&gt;="&amp;$C$7,Base!$A$3:$A$5001,"&lt;="&amp;$B188,Base!$X$3:$X$5001,"&lt;&gt;"))))</f>
        <v>900</v>
      </c>
      <c r="H188">
        <f>IF($A188&gt;$B$9,"",IF(COUNTIFS(Base!$B$3:$B$5001,H$162,Base!$A$3:$A$5001,"&gt;="&amp;$C$7,Base!$A$3:$A$5001,"&lt;="&amp;$B188,Base!$X$3:$X$5001,"&lt;&gt;")=0,"",SUMIFS(Base!$X$3:$X$5001,Base!$B$3:$B$5001,H$162,Base!$A$3:$A$5001,_xlfn.MAXIFS(Base!$A$3:$A$5001,Base!$B$3:$B$5001,H$162,Base!$A$3:$A$5001,"&gt;="&amp;$C$7,Base!$A$3:$A$5001,"&lt;="&amp;$B188,Base!$X$3:$X$5001,"&lt;&gt;"))))</f>
        <v>600</v>
      </c>
      <c r="I188">
        <f>IF($A188&gt;$B$9,"",IF(COUNTIFS(Base!$B$3:$B$5001,I$162,Base!$A$3:$A$5001,"&gt;="&amp;$C$7,Base!$A$3:$A$5001,"&lt;="&amp;$B188,Base!$X$3:$X$5001,"&lt;&gt;")=0,"",SUMIFS(Base!$X$3:$X$5001,Base!$B$3:$B$5001,I$162,Base!$A$3:$A$5001,_xlfn.MAXIFS(Base!$A$3:$A$5001,Base!$B$3:$B$5001,I$162,Base!$A$3:$A$5001,"&gt;="&amp;$C$7,Base!$A$3:$A$5001,"&lt;="&amp;$B188,Base!$X$3:$X$5001,"&lt;&gt;"))))</f>
        <v>1400</v>
      </c>
      <c r="J188">
        <f>IF($A188&gt;$B$9,"",IF(COUNTIFS(Base!$B$3:$B$5001,J$162,Base!$A$3:$A$5001,"&gt;="&amp;$C$7,Base!$A$3:$A$5001,"&lt;="&amp;$B188,Base!$X$3:$X$5001,"&lt;&gt;")=0,"",SUMIFS(Base!$X$3:$X$5001,Base!$B$3:$B$5001,J$162,Base!$A$3:$A$5001,_xlfn.MAXIFS(Base!$A$3:$A$5001,Base!$B$3:$B$5001,J$162,Base!$A$3:$A$5001,"&gt;="&amp;$C$7,Base!$A$3:$A$5001,"&lt;="&amp;$B188,Base!$X$3:$X$5001,"&lt;&gt;"))))</f>
        <v>500</v>
      </c>
      <c r="K188">
        <f>IF($A188&gt;$B$9,"",IF(COUNTIFS(Base!$B$3:$B$5001,K$162,Base!$A$3:$A$5001,"&gt;="&amp;$C$7,Base!$A$3:$A$5001,"&lt;="&amp;$B188,Base!$X$3:$X$5001,"&lt;&gt;")=0,"",SUMIFS(Base!$X$3:$X$5001,Base!$B$3:$B$5001,K$162,Base!$A$3:$A$5001,_xlfn.MAXIFS(Base!$A$3:$A$5001,Base!$B$3:$B$5001,K$162,Base!$A$3:$A$5001,"&gt;="&amp;$C$7,Base!$A$3:$A$5001,"&lt;="&amp;$B188,Base!$X$3:$X$5001,"&lt;&gt;"))))</f>
        <v>1800</v>
      </c>
    </row>
    <row r="189">
      <c r="A189">
        <v>27</v>
      </c>
      <c r="B189" s="152">
        <f>$B$38</f>
        <v>46292</v>
      </c>
      <c r="C189">
        <f>IF($A189&gt;$B$9,"",IF(COUNTIFS(Base!$B$3:$B$5001,C$162,Base!$A$3:$A$5001,"&gt;="&amp;$C$7,Base!$A$3:$A$5001,"&lt;="&amp;$B189,Base!$X$3:$X$5001,"&lt;&gt;")=0,"",SUMIFS(Base!$X$3:$X$5001,Base!$B$3:$B$5001,C$162,Base!$A$3:$A$5001,_xlfn.MAXIFS(Base!$A$3:$A$5001,Base!$B$3:$B$5001,C$162,Base!$A$3:$A$5001,"&gt;="&amp;$C$7,Base!$A$3:$A$5001,"&lt;="&amp;$B189,Base!$X$3:$X$5001,"&lt;&gt;"))))</f>
        <v>2200</v>
      </c>
      <c r="D189">
        <f>IF($A189&gt;$B$9,"",IF(COUNTIFS(Base!$B$3:$B$5001,D$162,Base!$A$3:$A$5001,"&gt;="&amp;$C$7,Base!$A$3:$A$5001,"&lt;="&amp;$B189,Base!$X$3:$X$5001,"&lt;&gt;")=0,"",SUMIFS(Base!$X$3:$X$5001,Base!$B$3:$B$5001,D$162,Base!$A$3:$A$5001,_xlfn.MAXIFS(Base!$A$3:$A$5001,Base!$B$3:$B$5001,D$162,Base!$A$3:$A$5001,"&gt;="&amp;$C$7,Base!$A$3:$A$5001,"&lt;="&amp;$B189,Base!$X$3:$X$5001,"&lt;&gt;"))))</f>
        <v>1200</v>
      </c>
      <c r="E189">
        <f>IF($A189&gt;$B$9,"",IF(COUNTIFS(Base!$B$3:$B$5001,E$162,Base!$A$3:$A$5001,"&gt;="&amp;$C$7,Base!$A$3:$A$5001,"&lt;="&amp;$B189,Base!$X$3:$X$5001,"&lt;&gt;")=0,"",SUMIFS(Base!$X$3:$X$5001,Base!$B$3:$B$5001,E$162,Base!$A$3:$A$5001,_xlfn.MAXIFS(Base!$A$3:$A$5001,Base!$B$3:$B$5001,E$162,Base!$A$3:$A$5001,"&gt;="&amp;$C$7,Base!$A$3:$A$5001,"&lt;="&amp;$B189,Base!$X$3:$X$5001,"&lt;&gt;"))))</f>
        <v>3500</v>
      </c>
      <c r="F189">
        <f>IF($A189&gt;$B$9,"",IF(COUNTIFS(Base!$B$3:$B$5001,F$162,Base!$A$3:$A$5001,"&gt;="&amp;$C$7,Base!$A$3:$A$5001,"&lt;="&amp;$B189,Base!$X$3:$X$5001,"&lt;&gt;")=0,"",SUMIFS(Base!$X$3:$X$5001,Base!$B$3:$B$5001,F$162,Base!$A$3:$A$5001,_xlfn.MAXIFS(Base!$A$3:$A$5001,Base!$B$3:$B$5001,F$162,Base!$A$3:$A$5001,"&gt;="&amp;$C$7,Base!$A$3:$A$5001,"&lt;="&amp;$B189,Base!$X$3:$X$5001,"&lt;&gt;"))))</f>
        <v>1600</v>
      </c>
      <c r="G189">
        <f>IF($A189&gt;$B$9,"",IF(COUNTIFS(Base!$B$3:$B$5001,G$162,Base!$A$3:$A$5001,"&gt;="&amp;$C$7,Base!$A$3:$A$5001,"&lt;="&amp;$B189,Base!$X$3:$X$5001,"&lt;&gt;")=0,"",SUMIFS(Base!$X$3:$X$5001,Base!$B$3:$B$5001,G$162,Base!$A$3:$A$5001,_xlfn.MAXIFS(Base!$A$3:$A$5001,Base!$B$3:$B$5001,G$162,Base!$A$3:$A$5001,"&gt;="&amp;$C$7,Base!$A$3:$A$5001,"&lt;="&amp;$B189,Base!$X$3:$X$5001,"&lt;&gt;"))))</f>
        <v>900</v>
      </c>
      <c r="H189">
        <f>IF($A189&gt;$B$9,"",IF(COUNTIFS(Base!$B$3:$B$5001,H$162,Base!$A$3:$A$5001,"&gt;="&amp;$C$7,Base!$A$3:$A$5001,"&lt;="&amp;$B189,Base!$X$3:$X$5001,"&lt;&gt;")=0,"",SUMIFS(Base!$X$3:$X$5001,Base!$B$3:$B$5001,H$162,Base!$A$3:$A$5001,_xlfn.MAXIFS(Base!$A$3:$A$5001,Base!$B$3:$B$5001,H$162,Base!$A$3:$A$5001,"&gt;="&amp;$C$7,Base!$A$3:$A$5001,"&lt;="&amp;$B189,Base!$X$3:$X$5001,"&lt;&gt;"))))</f>
        <v>600</v>
      </c>
      <c r="I189">
        <f>IF($A189&gt;$B$9,"",IF(COUNTIFS(Base!$B$3:$B$5001,I$162,Base!$A$3:$A$5001,"&gt;="&amp;$C$7,Base!$A$3:$A$5001,"&lt;="&amp;$B189,Base!$X$3:$X$5001,"&lt;&gt;")=0,"",SUMIFS(Base!$X$3:$X$5001,Base!$B$3:$B$5001,I$162,Base!$A$3:$A$5001,_xlfn.MAXIFS(Base!$A$3:$A$5001,Base!$B$3:$B$5001,I$162,Base!$A$3:$A$5001,"&gt;="&amp;$C$7,Base!$A$3:$A$5001,"&lt;="&amp;$B189,Base!$X$3:$X$5001,"&lt;&gt;"))))</f>
        <v>1400</v>
      </c>
      <c r="J189">
        <f>IF($A189&gt;$B$9,"",IF(COUNTIFS(Base!$B$3:$B$5001,J$162,Base!$A$3:$A$5001,"&gt;="&amp;$C$7,Base!$A$3:$A$5001,"&lt;="&amp;$B189,Base!$X$3:$X$5001,"&lt;&gt;")=0,"",SUMIFS(Base!$X$3:$X$5001,Base!$B$3:$B$5001,J$162,Base!$A$3:$A$5001,_xlfn.MAXIFS(Base!$A$3:$A$5001,Base!$B$3:$B$5001,J$162,Base!$A$3:$A$5001,"&gt;="&amp;$C$7,Base!$A$3:$A$5001,"&lt;="&amp;$B189,Base!$X$3:$X$5001,"&lt;&gt;"))))</f>
        <v>500</v>
      </c>
      <c r="K189">
        <f>IF($A189&gt;$B$9,"",IF(COUNTIFS(Base!$B$3:$B$5001,K$162,Base!$A$3:$A$5001,"&gt;="&amp;$C$7,Base!$A$3:$A$5001,"&lt;="&amp;$B189,Base!$X$3:$X$5001,"&lt;&gt;")=0,"",SUMIFS(Base!$X$3:$X$5001,Base!$B$3:$B$5001,K$162,Base!$A$3:$A$5001,_xlfn.MAXIFS(Base!$A$3:$A$5001,Base!$B$3:$B$5001,K$162,Base!$A$3:$A$5001,"&gt;="&amp;$C$7,Base!$A$3:$A$5001,"&lt;="&amp;$B189,Base!$X$3:$X$5001,"&lt;&gt;"))))</f>
        <v>1800</v>
      </c>
    </row>
    <row r="190">
      <c r="A190">
        <v>28</v>
      </c>
      <c r="B190" s="152">
        <f>$B$39</f>
        <v>46293</v>
      </c>
      <c r="C190">
        <f>IF($A190&gt;$B$9,"",IF(COUNTIFS(Base!$B$3:$B$5001,C$162,Base!$A$3:$A$5001,"&gt;="&amp;$C$7,Base!$A$3:$A$5001,"&lt;="&amp;$B190,Base!$X$3:$X$5001,"&lt;&gt;")=0,"",SUMIFS(Base!$X$3:$X$5001,Base!$B$3:$B$5001,C$162,Base!$A$3:$A$5001,_xlfn.MAXIFS(Base!$A$3:$A$5001,Base!$B$3:$B$5001,C$162,Base!$A$3:$A$5001,"&gt;="&amp;$C$7,Base!$A$3:$A$5001,"&lt;="&amp;$B190,Base!$X$3:$X$5001,"&lt;&gt;"))))</f>
        <v>2200</v>
      </c>
      <c r="D190">
        <f>IF($A190&gt;$B$9,"",IF(COUNTIFS(Base!$B$3:$B$5001,D$162,Base!$A$3:$A$5001,"&gt;="&amp;$C$7,Base!$A$3:$A$5001,"&lt;="&amp;$B190,Base!$X$3:$X$5001,"&lt;&gt;")=0,"",SUMIFS(Base!$X$3:$X$5001,Base!$B$3:$B$5001,D$162,Base!$A$3:$A$5001,_xlfn.MAXIFS(Base!$A$3:$A$5001,Base!$B$3:$B$5001,D$162,Base!$A$3:$A$5001,"&gt;="&amp;$C$7,Base!$A$3:$A$5001,"&lt;="&amp;$B190,Base!$X$3:$X$5001,"&lt;&gt;"))))</f>
        <v>1200</v>
      </c>
      <c r="E190">
        <f>IF($A190&gt;$B$9,"",IF(COUNTIFS(Base!$B$3:$B$5001,E$162,Base!$A$3:$A$5001,"&gt;="&amp;$C$7,Base!$A$3:$A$5001,"&lt;="&amp;$B190,Base!$X$3:$X$5001,"&lt;&gt;")=0,"",SUMIFS(Base!$X$3:$X$5001,Base!$B$3:$B$5001,E$162,Base!$A$3:$A$5001,_xlfn.MAXIFS(Base!$A$3:$A$5001,Base!$B$3:$B$5001,E$162,Base!$A$3:$A$5001,"&gt;="&amp;$C$7,Base!$A$3:$A$5001,"&lt;="&amp;$B190,Base!$X$3:$X$5001,"&lt;&gt;"))))</f>
        <v>3500</v>
      </c>
      <c r="F190">
        <f>IF($A190&gt;$B$9,"",IF(COUNTIFS(Base!$B$3:$B$5001,F$162,Base!$A$3:$A$5001,"&gt;="&amp;$C$7,Base!$A$3:$A$5001,"&lt;="&amp;$B190,Base!$X$3:$X$5001,"&lt;&gt;")=0,"",SUMIFS(Base!$X$3:$X$5001,Base!$B$3:$B$5001,F$162,Base!$A$3:$A$5001,_xlfn.MAXIFS(Base!$A$3:$A$5001,Base!$B$3:$B$5001,F$162,Base!$A$3:$A$5001,"&gt;="&amp;$C$7,Base!$A$3:$A$5001,"&lt;="&amp;$B190,Base!$X$3:$X$5001,"&lt;&gt;"))))</f>
        <v>1600</v>
      </c>
      <c r="G190">
        <f>IF($A190&gt;$B$9,"",IF(COUNTIFS(Base!$B$3:$B$5001,G$162,Base!$A$3:$A$5001,"&gt;="&amp;$C$7,Base!$A$3:$A$5001,"&lt;="&amp;$B190,Base!$X$3:$X$5001,"&lt;&gt;")=0,"",SUMIFS(Base!$X$3:$X$5001,Base!$B$3:$B$5001,G$162,Base!$A$3:$A$5001,_xlfn.MAXIFS(Base!$A$3:$A$5001,Base!$B$3:$B$5001,G$162,Base!$A$3:$A$5001,"&gt;="&amp;$C$7,Base!$A$3:$A$5001,"&lt;="&amp;$B190,Base!$X$3:$X$5001,"&lt;&gt;"))))</f>
        <v>900</v>
      </c>
      <c r="H190">
        <f>IF($A190&gt;$B$9,"",IF(COUNTIFS(Base!$B$3:$B$5001,H$162,Base!$A$3:$A$5001,"&gt;="&amp;$C$7,Base!$A$3:$A$5001,"&lt;="&amp;$B190,Base!$X$3:$X$5001,"&lt;&gt;")=0,"",SUMIFS(Base!$X$3:$X$5001,Base!$B$3:$B$5001,H$162,Base!$A$3:$A$5001,_xlfn.MAXIFS(Base!$A$3:$A$5001,Base!$B$3:$B$5001,H$162,Base!$A$3:$A$5001,"&gt;="&amp;$C$7,Base!$A$3:$A$5001,"&lt;="&amp;$B190,Base!$X$3:$X$5001,"&lt;&gt;"))))</f>
        <v>600</v>
      </c>
      <c r="I190">
        <f>IF($A190&gt;$B$9,"",IF(COUNTIFS(Base!$B$3:$B$5001,I$162,Base!$A$3:$A$5001,"&gt;="&amp;$C$7,Base!$A$3:$A$5001,"&lt;="&amp;$B190,Base!$X$3:$X$5001,"&lt;&gt;")=0,"",SUMIFS(Base!$X$3:$X$5001,Base!$B$3:$B$5001,I$162,Base!$A$3:$A$5001,_xlfn.MAXIFS(Base!$A$3:$A$5001,Base!$B$3:$B$5001,I$162,Base!$A$3:$A$5001,"&gt;="&amp;$C$7,Base!$A$3:$A$5001,"&lt;="&amp;$B190,Base!$X$3:$X$5001,"&lt;&gt;"))))</f>
        <v>1400</v>
      </c>
      <c r="J190">
        <f>IF($A190&gt;$B$9,"",IF(COUNTIFS(Base!$B$3:$B$5001,J$162,Base!$A$3:$A$5001,"&gt;="&amp;$C$7,Base!$A$3:$A$5001,"&lt;="&amp;$B190,Base!$X$3:$X$5001,"&lt;&gt;")=0,"",SUMIFS(Base!$X$3:$X$5001,Base!$B$3:$B$5001,J$162,Base!$A$3:$A$5001,_xlfn.MAXIFS(Base!$A$3:$A$5001,Base!$B$3:$B$5001,J$162,Base!$A$3:$A$5001,"&gt;="&amp;$C$7,Base!$A$3:$A$5001,"&lt;="&amp;$B190,Base!$X$3:$X$5001,"&lt;&gt;"))))</f>
        <v>500</v>
      </c>
      <c r="K190">
        <f>IF($A190&gt;$B$9,"",IF(COUNTIFS(Base!$B$3:$B$5001,K$162,Base!$A$3:$A$5001,"&gt;="&amp;$C$7,Base!$A$3:$A$5001,"&lt;="&amp;$B190,Base!$X$3:$X$5001,"&lt;&gt;")=0,"",SUMIFS(Base!$X$3:$X$5001,Base!$B$3:$B$5001,K$162,Base!$A$3:$A$5001,_xlfn.MAXIFS(Base!$A$3:$A$5001,Base!$B$3:$B$5001,K$162,Base!$A$3:$A$5001,"&gt;="&amp;$C$7,Base!$A$3:$A$5001,"&lt;="&amp;$B190,Base!$X$3:$X$5001,"&lt;&gt;"))))</f>
        <v>1800</v>
      </c>
    </row>
    <row r="191">
      <c r="A191">
        <v>29</v>
      </c>
      <c r="B191" s="152">
        <f>$B$40</f>
        <v>46294</v>
      </c>
      <c r="C191">
        <f>IF($A191&gt;$B$9,"",IF(COUNTIFS(Base!$B$3:$B$5001,C$162,Base!$A$3:$A$5001,"&gt;="&amp;$C$7,Base!$A$3:$A$5001,"&lt;="&amp;$B191,Base!$X$3:$X$5001,"&lt;&gt;")=0,"",SUMIFS(Base!$X$3:$X$5001,Base!$B$3:$B$5001,C$162,Base!$A$3:$A$5001,_xlfn.MAXIFS(Base!$A$3:$A$5001,Base!$B$3:$B$5001,C$162,Base!$A$3:$A$5001,"&gt;="&amp;$C$7,Base!$A$3:$A$5001,"&lt;="&amp;$B191,Base!$X$3:$X$5001,"&lt;&gt;"))))</f>
        <v>2200</v>
      </c>
      <c r="D191">
        <f>IF($A191&gt;$B$9,"",IF(COUNTIFS(Base!$B$3:$B$5001,D$162,Base!$A$3:$A$5001,"&gt;="&amp;$C$7,Base!$A$3:$A$5001,"&lt;="&amp;$B191,Base!$X$3:$X$5001,"&lt;&gt;")=0,"",SUMIFS(Base!$X$3:$X$5001,Base!$B$3:$B$5001,D$162,Base!$A$3:$A$5001,_xlfn.MAXIFS(Base!$A$3:$A$5001,Base!$B$3:$B$5001,D$162,Base!$A$3:$A$5001,"&gt;="&amp;$C$7,Base!$A$3:$A$5001,"&lt;="&amp;$B191,Base!$X$3:$X$5001,"&lt;&gt;"))))</f>
        <v>1200</v>
      </c>
      <c r="E191">
        <f>IF($A191&gt;$B$9,"",IF(COUNTIFS(Base!$B$3:$B$5001,E$162,Base!$A$3:$A$5001,"&gt;="&amp;$C$7,Base!$A$3:$A$5001,"&lt;="&amp;$B191,Base!$X$3:$X$5001,"&lt;&gt;")=0,"",SUMIFS(Base!$X$3:$X$5001,Base!$B$3:$B$5001,E$162,Base!$A$3:$A$5001,_xlfn.MAXIFS(Base!$A$3:$A$5001,Base!$B$3:$B$5001,E$162,Base!$A$3:$A$5001,"&gt;="&amp;$C$7,Base!$A$3:$A$5001,"&lt;="&amp;$B191,Base!$X$3:$X$5001,"&lt;&gt;"))))</f>
        <v>3500</v>
      </c>
      <c r="F191">
        <f>IF($A191&gt;$B$9,"",IF(COUNTIFS(Base!$B$3:$B$5001,F$162,Base!$A$3:$A$5001,"&gt;="&amp;$C$7,Base!$A$3:$A$5001,"&lt;="&amp;$B191,Base!$X$3:$X$5001,"&lt;&gt;")=0,"",SUMIFS(Base!$X$3:$X$5001,Base!$B$3:$B$5001,F$162,Base!$A$3:$A$5001,_xlfn.MAXIFS(Base!$A$3:$A$5001,Base!$B$3:$B$5001,F$162,Base!$A$3:$A$5001,"&gt;="&amp;$C$7,Base!$A$3:$A$5001,"&lt;="&amp;$B191,Base!$X$3:$X$5001,"&lt;&gt;"))))</f>
        <v>1600</v>
      </c>
      <c r="G191">
        <f>IF($A191&gt;$B$9,"",IF(COUNTIFS(Base!$B$3:$B$5001,G$162,Base!$A$3:$A$5001,"&gt;="&amp;$C$7,Base!$A$3:$A$5001,"&lt;="&amp;$B191,Base!$X$3:$X$5001,"&lt;&gt;")=0,"",SUMIFS(Base!$X$3:$X$5001,Base!$B$3:$B$5001,G$162,Base!$A$3:$A$5001,_xlfn.MAXIFS(Base!$A$3:$A$5001,Base!$B$3:$B$5001,G$162,Base!$A$3:$A$5001,"&gt;="&amp;$C$7,Base!$A$3:$A$5001,"&lt;="&amp;$B191,Base!$X$3:$X$5001,"&lt;&gt;"))))</f>
        <v>900</v>
      </c>
      <c r="H191">
        <f>IF($A191&gt;$B$9,"",IF(COUNTIFS(Base!$B$3:$B$5001,H$162,Base!$A$3:$A$5001,"&gt;="&amp;$C$7,Base!$A$3:$A$5001,"&lt;="&amp;$B191,Base!$X$3:$X$5001,"&lt;&gt;")=0,"",SUMIFS(Base!$X$3:$X$5001,Base!$B$3:$B$5001,H$162,Base!$A$3:$A$5001,_xlfn.MAXIFS(Base!$A$3:$A$5001,Base!$B$3:$B$5001,H$162,Base!$A$3:$A$5001,"&gt;="&amp;$C$7,Base!$A$3:$A$5001,"&lt;="&amp;$B191,Base!$X$3:$X$5001,"&lt;&gt;"))))</f>
        <v>600</v>
      </c>
      <c r="I191">
        <f>IF($A191&gt;$B$9,"",IF(COUNTIFS(Base!$B$3:$B$5001,I$162,Base!$A$3:$A$5001,"&gt;="&amp;$C$7,Base!$A$3:$A$5001,"&lt;="&amp;$B191,Base!$X$3:$X$5001,"&lt;&gt;")=0,"",SUMIFS(Base!$X$3:$X$5001,Base!$B$3:$B$5001,I$162,Base!$A$3:$A$5001,_xlfn.MAXIFS(Base!$A$3:$A$5001,Base!$B$3:$B$5001,I$162,Base!$A$3:$A$5001,"&gt;="&amp;$C$7,Base!$A$3:$A$5001,"&lt;="&amp;$B191,Base!$X$3:$X$5001,"&lt;&gt;"))))</f>
        <v>1400</v>
      </c>
      <c r="J191">
        <f>IF($A191&gt;$B$9,"",IF(COUNTIFS(Base!$B$3:$B$5001,J$162,Base!$A$3:$A$5001,"&gt;="&amp;$C$7,Base!$A$3:$A$5001,"&lt;="&amp;$B191,Base!$X$3:$X$5001,"&lt;&gt;")=0,"",SUMIFS(Base!$X$3:$X$5001,Base!$B$3:$B$5001,J$162,Base!$A$3:$A$5001,_xlfn.MAXIFS(Base!$A$3:$A$5001,Base!$B$3:$B$5001,J$162,Base!$A$3:$A$5001,"&gt;="&amp;$C$7,Base!$A$3:$A$5001,"&lt;="&amp;$B191,Base!$X$3:$X$5001,"&lt;&gt;"))))</f>
        <v>500</v>
      </c>
      <c r="K191">
        <f>IF($A191&gt;$B$9,"",IF(COUNTIFS(Base!$B$3:$B$5001,K$162,Base!$A$3:$A$5001,"&gt;="&amp;$C$7,Base!$A$3:$A$5001,"&lt;="&amp;$B191,Base!$X$3:$X$5001,"&lt;&gt;")=0,"",SUMIFS(Base!$X$3:$X$5001,Base!$B$3:$B$5001,K$162,Base!$A$3:$A$5001,_xlfn.MAXIFS(Base!$A$3:$A$5001,Base!$B$3:$B$5001,K$162,Base!$A$3:$A$5001,"&gt;="&amp;$C$7,Base!$A$3:$A$5001,"&lt;="&amp;$B191,Base!$X$3:$X$5001,"&lt;&gt;"))))</f>
        <v>1800</v>
      </c>
    </row>
    <row r="192">
      <c r="A192">
        <v>30</v>
      </c>
      <c r="B192" s="152">
        <f>$B$41</f>
        <v>46295</v>
      </c>
      <c r="C192" t="str">
        <f>IF($A192&gt;$B$9,"",IF(COUNTIFS(Base!$B$3:$B$5001,C$162,Base!$A$3:$A$5001,"&gt;="&amp;$C$7,Base!$A$3:$A$5001,"&lt;="&amp;$B192,Base!$X$3:$X$5001,"&lt;&gt;")=0,"",SUMIFS(Base!$X$3:$X$5001,Base!$B$3:$B$5001,C$162,Base!$A$3:$A$5001,_xlfn.MAXIFS(Base!$A$3:$A$5001,Base!$B$3:$B$5001,C$162,Base!$A$3:$A$5001,"&gt;="&amp;$C$7,Base!$A$3:$A$5001,"&lt;="&amp;$B192,Base!$X$3:$X$5001,"&lt;&gt;"))))</f>
        <v/>
      </c>
      <c r="D192" t="str">
        <f>IF($A192&gt;$B$9,"",IF(COUNTIFS(Base!$B$3:$B$5001,D$162,Base!$A$3:$A$5001,"&gt;="&amp;$C$7,Base!$A$3:$A$5001,"&lt;="&amp;$B192,Base!$X$3:$X$5001,"&lt;&gt;")=0,"",SUMIFS(Base!$X$3:$X$5001,Base!$B$3:$B$5001,D$162,Base!$A$3:$A$5001,_xlfn.MAXIFS(Base!$A$3:$A$5001,Base!$B$3:$B$5001,D$162,Base!$A$3:$A$5001,"&gt;="&amp;$C$7,Base!$A$3:$A$5001,"&lt;="&amp;$B192,Base!$X$3:$X$5001,"&lt;&gt;"))))</f>
        <v/>
      </c>
      <c r="E192" t="str">
        <f>IF($A192&gt;$B$9,"",IF(COUNTIFS(Base!$B$3:$B$5001,E$162,Base!$A$3:$A$5001,"&gt;="&amp;$C$7,Base!$A$3:$A$5001,"&lt;="&amp;$B192,Base!$X$3:$X$5001,"&lt;&gt;")=0,"",SUMIFS(Base!$X$3:$X$5001,Base!$B$3:$B$5001,E$162,Base!$A$3:$A$5001,_xlfn.MAXIFS(Base!$A$3:$A$5001,Base!$B$3:$B$5001,E$162,Base!$A$3:$A$5001,"&gt;="&amp;$C$7,Base!$A$3:$A$5001,"&lt;="&amp;$B192,Base!$X$3:$X$5001,"&lt;&gt;"))))</f>
        <v/>
      </c>
      <c r="F192" t="str">
        <f>IF($A192&gt;$B$9,"",IF(COUNTIFS(Base!$B$3:$B$5001,F$162,Base!$A$3:$A$5001,"&gt;="&amp;$C$7,Base!$A$3:$A$5001,"&lt;="&amp;$B192,Base!$X$3:$X$5001,"&lt;&gt;")=0,"",SUMIFS(Base!$X$3:$X$5001,Base!$B$3:$B$5001,F$162,Base!$A$3:$A$5001,_xlfn.MAXIFS(Base!$A$3:$A$5001,Base!$B$3:$B$5001,F$162,Base!$A$3:$A$5001,"&gt;="&amp;$C$7,Base!$A$3:$A$5001,"&lt;="&amp;$B192,Base!$X$3:$X$5001,"&lt;&gt;"))))</f>
        <v/>
      </c>
      <c r="G192" t="str">
        <f>IF($A192&gt;$B$9,"",IF(COUNTIFS(Base!$B$3:$B$5001,G$162,Base!$A$3:$A$5001,"&gt;="&amp;$C$7,Base!$A$3:$A$5001,"&lt;="&amp;$B192,Base!$X$3:$X$5001,"&lt;&gt;")=0,"",SUMIFS(Base!$X$3:$X$5001,Base!$B$3:$B$5001,G$162,Base!$A$3:$A$5001,_xlfn.MAXIFS(Base!$A$3:$A$5001,Base!$B$3:$B$5001,G$162,Base!$A$3:$A$5001,"&gt;="&amp;$C$7,Base!$A$3:$A$5001,"&lt;="&amp;$B192,Base!$X$3:$X$5001,"&lt;&gt;"))))</f>
        <v/>
      </c>
      <c r="H192" t="str">
        <f>IF($A192&gt;$B$9,"",IF(COUNTIFS(Base!$B$3:$B$5001,H$162,Base!$A$3:$A$5001,"&gt;="&amp;$C$7,Base!$A$3:$A$5001,"&lt;="&amp;$B192,Base!$X$3:$X$5001,"&lt;&gt;")=0,"",SUMIFS(Base!$X$3:$X$5001,Base!$B$3:$B$5001,H$162,Base!$A$3:$A$5001,_xlfn.MAXIFS(Base!$A$3:$A$5001,Base!$B$3:$B$5001,H$162,Base!$A$3:$A$5001,"&gt;="&amp;$C$7,Base!$A$3:$A$5001,"&lt;="&amp;$B192,Base!$X$3:$X$5001,"&lt;&gt;"))))</f>
        <v/>
      </c>
      <c r="I192" t="str">
        <f>IF($A192&gt;$B$9,"",IF(COUNTIFS(Base!$B$3:$B$5001,I$162,Base!$A$3:$A$5001,"&gt;="&amp;$C$7,Base!$A$3:$A$5001,"&lt;="&amp;$B192,Base!$X$3:$X$5001,"&lt;&gt;")=0,"",SUMIFS(Base!$X$3:$X$5001,Base!$B$3:$B$5001,I$162,Base!$A$3:$A$5001,_xlfn.MAXIFS(Base!$A$3:$A$5001,Base!$B$3:$B$5001,I$162,Base!$A$3:$A$5001,"&gt;="&amp;$C$7,Base!$A$3:$A$5001,"&lt;="&amp;$B192,Base!$X$3:$X$5001,"&lt;&gt;"))))</f>
        <v/>
      </c>
      <c r="J192" t="str">
        <f>IF($A192&gt;$B$9,"",IF(COUNTIFS(Base!$B$3:$B$5001,J$162,Base!$A$3:$A$5001,"&gt;="&amp;$C$7,Base!$A$3:$A$5001,"&lt;="&amp;$B192,Base!$X$3:$X$5001,"&lt;&gt;")=0,"",SUMIFS(Base!$X$3:$X$5001,Base!$B$3:$B$5001,J$162,Base!$A$3:$A$5001,_xlfn.MAXIFS(Base!$A$3:$A$5001,Base!$B$3:$B$5001,J$162,Base!$A$3:$A$5001,"&gt;="&amp;$C$7,Base!$A$3:$A$5001,"&lt;="&amp;$B192,Base!$X$3:$X$5001,"&lt;&gt;"))))</f>
        <v/>
      </c>
      <c r="K192" t="str">
        <f>IF($A192&gt;$B$9,"",IF(COUNTIFS(Base!$B$3:$B$5001,K$162,Base!$A$3:$A$5001,"&gt;="&amp;$C$7,Base!$A$3:$A$5001,"&lt;="&amp;$B192,Base!$X$3:$X$5001,"&lt;&gt;")=0,"",SUMIFS(Base!$X$3:$X$5001,Base!$B$3:$B$5001,K$162,Base!$A$3:$A$5001,_xlfn.MAXIFS(Base!$A$3:$A$5001,Base!$B$3:$B$5001,K$162,Base!$A$3:$A$5001,"&gt;="&amp;$C$7,Base!$A$3:$A$5001,"&lt;="&amp;$B192,Base!$X$3:$X$5001,"&lt;&gt;"))))</f>
        <v/>
      </c>
    </row>
    <row r="193">
      <c r="A193">
        <v>31</v>
      </c>
      <c r="B193" s="152" t="str">
        <f>$B$42</f>
        <v/>
      </c>
      <c r="C193" t="str">
        <f>IF($A193&gt;$B$9,"",IF(COUNTIFS(Base!$B$3:$B$5001,C$162,Base!$A$3:$A$5001,"&gt;="&amp;$C$7,Base!$A$3:$A$5001,"&lt;="&amp;$B193,Base!$X$3:$X$5001,"&lt;&gt;")=0,"",SUMIFS(Base!$X$3:$X$5001,Base!$B$3:$B$5001,C$162,Base!$A$3:$A$5001,_xlfn.MAXIFS(Base!$A$3:$A$5001,Base!$B$3:$B$5001,C$162,Base!$A$3:$A$5001,"&gt;="&amp;$C$7,Base!$A$3:$A$5001,"&lt;="&amp;$B193,Base!$X$3:$X$5001,"&lt;&gt;"))))</f>
        <v/>
      </c>
      <c r="D193" t="str">
        <f>IF($A193&gt;$B$9,"",IF(COUNTIFS(Base!$B$3:$B$5001,D$162,Base!$A$3:$A$5001,"&gt;="&amp;$C$7,Base!$A$3:$A$5001,"&lt;="&amp;$B193,Base!$X$3:$X$5001,"&lt;&gt;")=0,"",SUMIFS(Base!$X$3:$X$5001,Base!$B$3:$B$5001,D$162,Base!$A$3:$A$5001,_xlfn.MAXIFS(Base!$A$3:$A$5001,Base!$B$3:$B$5001,D$162,Base!$A$3:$A$5001,"&gt;="&amp;$C$7,Base!$A$3:$A$5001,"&lt;="&amp;$B193,Base!$X$3:$X$5001,"&lt;&gt;"))))</f>
        <v/>
      </c>
      <c r="E193" t="str">
        <f>IF($A193&gt;$B$9,"",IF(COUNTIFS(Base!$B$3:$B$5001,E$162,Base!$A$3:$A$5001,"&gt;="&amp;$C$7,Base!$A$3:$A$5001,"&lt;="&amp;$B193,Base!$X$3:$X$5001,"&lt;&gt;")=0,"",SUMIFS(Base!$X$3:$X$5001,Base!$B$3:$B$5001,E$162,Base!$A$3:$A$5001,_xlfn.MAXIFS(Base!$A$3:$A$5001,Base!$B$3:$B$5001,E$162,Base!$A$3:$A$5001,"&gt;="&amp;$C$7,Base!$A$3:$A$5001,"&lt;="&amp;$B193,Base!$X$3:$X$5001,"&lt;&gt;"))))</f>
        <v/>
      </c>
      <c r="F193" t="str">
        <f>IF($A193&gt;$B$9,"",IF(COUNTIFS(Base!$B$3:$B$5001,F$162,Base!$A$3:$A$5001,"&gt;="&amp;$C$7,Base!$A$3:$A$5001,"&lt;="&amp;$B193,Base!$X$3:$X$5001,"&lt;&gt;")=0,"",SUMIFS(Base!$X$3:$X$5001,Base!$B$3:$B$5001,F$162,Base!$A$3:$A$5001,_xlfn.MAXIFS(Base!$A$3:$A$5001,Base!$B$3:$B$5001,F$162,Base!$A$3:$A$5001,"&gt;="&amp;$C$7,Base!$A$3:$A$5001,"&lt;="&amp;$B193,Base!$X$3:$X$5001,"&lt;&gt;"))))</f>
        <v/>
      </c>
      <c r="G193" t="str">
        <f>IF($A193&gt;$B$9,"",IF(COUNTIFS(Base!$B$3:$B$5001,G$162,Base!$A$3:$A$5001,"&gt;="&amp;$C$7,Base!$A$3:$A$5001,"&lt;="&amp;$B193,Base!$X$3:$X$5001,"&lt;&gt;")=0,"",SUMIFS(Base!$X$3:$X$5001,Base!$B$3:$B$5001,G$162,Base!$A$3:$A$5001,_xlfn.MAXIFS(Base!$A$3:$A$5001,Base!$B$3:$B$5001,G$162,Base!$A$3:$A$5001,"&gt;="&amp;$C$7,Base!$A$3:$A$5001,"&lt;="&amp;$B193,Base!$X$3:$X$5001,"&lt;&gt;"))))</f>
        <v/>
      </c>
      <c r="H193" t="str">
        <f>IF($A193&gt;$B$9,"",IF(COUNTIFS(Base!$B$3:$B$5001,H$162,Base!$A$3:$A$5001,"&gt;="&amp;$C$7,Base!$A$3:$A$5001,"&lt;="&amp;$B193,Base!$X$3:$X$5001,"&lt;&gt;")=0,"",SUMIFS(Base!$X$3:$X$5001,Base!$B$3:$B$5001,H$162,Base!$A$3:$A$5001,_xlfn.MAXIFS(Base!$A$3:$A$5001,Base!$B$3:$B$5001,H$162,Base!$A$3:$A$5001,"&gt;="&amp;$C$7,Base!$A$3:$A$5001,"&lt;="&amp;$B193,Base!$X$3:$X$5001,"&lt;&gt;"))))</f>
        <v/>
      </c>
      <c r="I193" t="str">
        <f>IF($A193&gt;$B$9,"",IF(COUNTIFS(Base!$B$3:$B$5001,I$162,Base!$A$3:$A$5001,"&gt;="&amp;$C$7,Base!$A$3:$A$5001,"&lt;="&amp;$B193,Base!$X$3:$X$5001,"&lt;&gt;")=0,"",SUMIFS(Base!$X$3:$X$5001,Base!$B$3:$B$5001,I$162,Base!$A$3:$A$5001,_xlfn.MAXIFS(Base!$A$3:$A$5001,Base!$B$3:$B$5001,I$162,Base!$A$3:$A$5001,"&gt;="&amp;$C$7,Base!$A$3:$A$5001,"&lt;="&amp;$B193,Base!$X$3:$X$5001,"&lt;&gt;"))))</f>
        <v/>
      </c>
      <c r="J193" t="str">
        <f>IF($A193&gt;$B$9,"",IF(COUNTIFS(Base!$B$3:$B$5001,J$162,Base!$A$3:$A$5001,"&gt;="&amp;$C$7,Base!$A$3:$A$5001,"&lt;="&amp;$B193,Base!$X$3:$X$5001,"&lt;&gt;")=0,"",SUMIFS(Base!$X$3:$X$5001,Base!$B$3:$B$5001,J$162,Base!$A$3:$A$5001,_xlfn.MAXIFS(Base!$A$3:$A$5001,Base!$B$3:$B$5001,J$162,Base!$A$3:$A$5001,"&gt;="&amp;$C$7,Base!$A$3:$A$5001,"&lt;="&amp;$B193,Base!$X$3:$X$5001,"&lt;&gt;"))))</f>
        <v/>
      </c>
      <c r="K193" t="str">
        <f>IF($A193&gt;$B$9,"",IF(COUNTIFS(Base!$B$3:$B$5001,K$162,Base!$A$3:$A$5001,"&gt;="&amp;$C$7,Base!$A$3:$A$5001,"&lt;="&amp;$B193,Base!$X$3:$X$5001,"&lt;&gt;")=0,"",SUMIFS(Base!$X$3:$X$5001,Base!$B$3:$B$5001,K$162,Base!$A$3:$A$5001,_xlfn.MAXIFS(Base!$A$3:$A$5001,Base!$B$3:$B$5001,K$162,Base!$A$3:$A$5001,"&gt;="&amp;$C$7,Base!$A$3:$A$5001,"&lt;="&amp;$B193,Base!$X$3:$X$5001,"&lt;&gt;"))))</f>
        <v/>
      </c>
    </row>
    <row r="194">
      <c r="A194" t="inlineStr">
        <is>
          <t xml:space="preserve">Mês anterior (último)</t>
        </is>
      </c>
      <c r="C194">
        <f>IF(COUNTIFS(Base!$B$3:$B$5001,C$162,Base!$A$3:$A$5001,"&gt;="&amp;$C$8,Base!$A$3:$A$5001,"&lt;="&amp;$D$8,Base!$X$3:$X$5001,"&lt;&gt;")=0,"",SUMIFS(Base!$X$3:$X$5001,Base!$B$3:$B$5001,C$162,Base!$A$3:$A$5001,_xlfn.MAXIFS(Base!$A$3:$A$5001,Base!$B$3:$B$5001,C$162,Base!$A$3:$A$5001,"&gt;="&amp;$C$8,Base!$A$3:$A$5001,"&lt;="&amp;$D$8,Base!$X$3:$X$5001,"&lt;&gt;")))</f>
        <v>2200</v>
      </c>
      <c r="D194">
        <f>IF(COUNTIFS(Base!$B$3:$B$5001,D$162,Base!$A$3:$A$5001,"&gt;="&amp;$C$8,Base!$A$3:$A$5001,"&lt;="&amp;$D$8,Base!$X$3:$X$5001,"&lt;&gt;")=0,"",SUMIFS(Base!$X$3:$X$5001,Base!$B$3:$B$5001,D$162,Base!$A$3:$A$5001,_xlfn.MAXIFS(Base!$A$3:$A$5001,Base!$B$3:$B$5001,D$162,Base!$A$3:$A$5001,"&gt;="&amp;$C$8,Base!$A$3:$A$5001,"&lt;="&amp;$D$8,Base!$X$3:$X$5001,"&lt;&gt;")))</f>
        <v>1200</v>
      </c>
      <c r="E194">
        <f>IF(COUNTIFS(Base!$B$3:$B$5001,E$162,Base!$A$3:$A$5001,"&gt;="&amp;$C$8,Base!$A$3:$A$5001,"&lt;="&amp;$D$8,Base!$X$3:$X$5001,"&lt;&gt;")=0,"",SUMIFS(Base!$X$3:$X$5001,Base!$B$3:$B$5001,E$162,Base!$A$3:$A$5001,_xlfn.MAXIFS(Base!$A$3:$A$5001,Base!$B$3:$B$5001,E$162,Base!$A$3:$A$5001,"&gt;="&amp;$C$8,Base!$A$3:$A$5001,"&lt;="&amp;$D$8,Base!$X$3:$X$5001,"&lt;&gt;")))</f>
        <v>3500</v>
      </c>
      <c r="F194">
        <f>IF(COUNTIFS(Base!$B$3:$B$5001,F$162,Base!$A$3:$A$5001,"&gt;="&amp;$C$8,Base!$A$3:$A$5001,"&lt;="&amp;$D$8,Base!$X$3:$X$5001,"&lt;&gt;")=0,"",SUMIFS(Base!$X$3:$X$5001,Base!$B$3:$B$5001,F$162,Base!$A$3:$A$5001,_xlfn.MAXIFS(Base!$A$3:$A$5001,Base!$B$3:$B$5001,F$162,Base!$A$3:$A$5001,"&gt;="&amp;$C$8,Base!$A$3:$A$5001,"&lt;="&amp;$D$8,Base!$X$3:$X$5001,"&lt;&gt;")))</f>
        <v>1600</v>
      </c>
      <c r="G194">
        <f>IF(COUNTIFS(Base!$B$3:$B$5001,G$162,Base!$A$3:$A$5001,"&gt;="&amp;$C$8,Base!$A$3:$A$5001,"&lt;="&amp;$D$8,Base!$X$3:$X$5001,"&lt;&gt;")=0,"",SUMIFS(Base!$X$3:$X$5001,Base!$B$3:$B$5001,G$162,Base!$A$3:$A$5001,_xlfn.MAXIFS(Base!$A$3:$A$5001,Base!$B$3:$B$5001,G$162,Base!$A$3:$A$5001,"&gt;="&amp;$C$8,Base!$A$3:$A$5001,"&lt;="&amp;$D$8,Base!$X$3:$X$5001,"&lt;&gt;")))</f>
        <v>900</v>
      </c>
      <c r="H194">
        <f>IF(COUNTIFS(Base!$B$3:$B$5001,H$162,Base!$A$3:$A$5001,"&gt;="&amp;$C$8,Base!$A$3:$A$5001,"&lt;="&amp;$D$8,Base!$X$3:$X$5001,"&lt;&gt;")=0,"",SUMIFS(Base!$X$3:$X$5001,Base!$B$3:$B$5001,H$162,Base!$A$3:$A$5001,_xlfn.MAXIFS(Base!$A$3:$A$5001,Base!$B$3:$B$5001,H$162,Base!$A$3:$A$5001,"&gt;="&amp;$C$8,Base!$A$3:$A$5001,"&lt;="&amp;$D$8,Base!$X$3:$X$5001,"&lt;&gt;")))</f>
        <v>600</v>
      </c>
      <c r="I194">
        <f>IF(COUNTIFS(Base!$B$3:$B$5001,I$162,Base!$A$3:$A$5001,"&gt;="&amp;$C$8,Base!$A$3:$A$5001,"&lt;="&amp;$D$8,Base!$X$3:$X$5001,"&lt;&gt;")=0,"",SUMIFS(Base!$X$3:$X$5001,Base!$B$3:$B$5001,I$162,Base!$A$3:$A$5001,_xlfn.MAXIFS(Base!$A$3:$A$5001,Base!$B$3:$B$5001,I$162,Base!$A$3:$A$5001,"&gt;="&amp;$C$8,Base!$A$3:$A$5001,"&lt;="&amp;$D$8,Base!$X$3:$X$5001,"&lt;&gt;")))</f>
        <v>1400</v>
      </c>
      <c r="J194">
        <f>IF(COUNTIFS(Base!$B$3:$B$5001,J$162,Base!$A$3:$A$5001,"&gt;="&amp;$C$8,Base!$A$3:$A$5001,"&lt;="&amp;$D$8,Base!$X$3:$X$5001,"&lt;&gt;")=0,"",SUMIFS(Base!$X$3:$X$5001,Base!$B$3:$B$5001,J$162,Base!$A$3:$A$5001,_xlfn.MAXIFS(Base!$A$3:$A$5001,Base!$B$3:$B$5001,J$162,Base!$A$3:$A$5001,"&gt;="&amp;$C$8,Base!$A$3:$A$5001,"&lt;="&amp;$D$8,Base!$X$3:$X$5001,"&lt;&gt;")))</f>
        <v>500</v>
      </c>
      <c r="K194">
        <f>IF(COUNTIFS(Base!$B$3:$B$5001,K$162,Base!$A$3:$A$5001,"&gt;="&amp;$C$8,Base!$A$3:$A$5001,"&lt;="&amp;$D$8,Base!$X$3:$X$5001,"&lt;&gt;")=0,"",SUMIFS(Base!$X$3:$X$5001,Base!$B$3:$B$5001,K$162,Base!$A$3:$A$5001,_xlfn.MAXIFS(Base!$A$3:$A$5001,Base!$B$3:$B$5001,K$162,Base!$A$3:$A$5001,"&gt;="&amp;$C$8,Base!$A$3:$A$5001,"&lt;="&amp;$D$8,Base!$X$3:$X$5001,"&lt;&gt;")))</f>
        <v>1800</v>
      </c>
    </row>
    <row r="197">
      <c r="A197" s="145" t="inlineStr">
        <is>
          <t xml:space="preserve">Posições Ocupadas</t>
        </is>
      </c>
      <c r="B197" s="145" t="inlineStr">
        <is>
          <t xml:space="preserve">Data</t>
        </is>
      </c>
      <c r="C197" s="145" t="inlineStr">
        <is>
          <t xml:space="preserve">BASF</t>
        </is>
      </c>
      <c r="D197" s="145" t="inlineStr">
        <is>
          <t xml:space="preserve">BEAUTYBIZ</t>
        </is>
      </c>
      <c r="E197" s="145" t="inlineStr">
        <is>
          <t xml:space="preserve">BOTICÁRIO</t>
        </is>
      </c>
      <c r="F197" s="145" t="inlineStr">
        <is>
          <t xml:space="preserve">SUPPLY</t>
        </is>
      </c>
      <c r="G197" s="145" t="inlineStr">
        <is>
          <t xml:space="preserve">GE VERNOVA</t>
        </is>
      </c>
      <c r="H197" s="145" t="inlineStr">
        <is>
          <t xml:space="preserve">VESTAS</t>
        </is>
      </c>
      <c r="I197" s="145" t="inlineStr">
        <is>
          <t xml:space="preserve">VEDACIT</t>
        </is>
      </c>
      <c r="J197" s="145" t="inlineStr">
        <is>
          <t xml:space="preserve">OMNLIFE</t>
        </is>
      </c>
      <c r="K197" s="145" t="inlineStr">
        <is>
          <t xml:space="preserve">ALPARGATAS</t>
        </is>
      </c>
    </row>
    <row r="198">
      <c r="A198">
        <v>1</v>
      </c>
      <c r="B198" s="152">
        <f>$B$12</f>
        <v>46266</v>
      </c>
      <c r="C198">
        <f>IF($A198&gt;$B$9,"",IF(COUNTIFS(Base!$B$3:$B$5001,C$197,Base!$A$3:$A$5001,"&gt;="&amp;$C$7,Base!$A$3:$A$5001,"&lt;="&amp;$B198,Base!$Y$3:$Y$5001,"&lt;&gt;")=0,"",SUMIFS(Base!$Y$3:$Y$5001,Base!$B$3:$B$5001,C$197,Base!$A$3:$A$5001,_xlfn.MAXIFS(Base!$A$3:$A$5001,Base!$B$3:$B$5001,C$197,Base!$A$3:$A$5001,"&gt;="&amp;$C$7,Base!$A$3:$A$5001,"&lt;="&amp;$B198,Base!$Y$3:$Y$5001,"&lt;&gt;"))))</f>
        <v>1272</v>
      </c>
      <c r="D198">
        <f>IF($A198&gt;$B$9,"",IF(COUNTIFS(Base!$B$3:$B$5001,D$197,Base!$A$3:$A$5001,"&gt;="&amp;$C$7,Base!$A$3:$A$5001,"&lt;="&amp;$B198,Base!$Y$3:$Y$5001,"&lt;&gt;")=0,"",SUMIFS(Base!$Y$3:$Y$5001,Base!$B$3:$B$5001,D$197,Base!$A$3:$A$5001,_xlfn.MAXIFS(Base!$A$3:$A$5001,Base!$B$3:$B$5001,D$197,Base!$A$3:$A$5001,"&gt;="&amp;$C$7,Base!$A$3:$A$5001,"&lt;="&amp;$B198,Base!$Y$3:$Y$5001,"&lt;&gt;"))))</f>
        <v>1050</v>
      </c>
      <c r="E198">
        <f>IF($A198&gt;$B$9,"",IF(COUNTIFS(Base!$B$3:$B$5001,E$197,Base!$A$3:$A$5001,"&gt;="&amp;$C$7,Base!$A$3:$A$5001,"&lt;="&amp;$B198,Base!$Y$3:$Y$5001,"&lt;&gt;")=0,"",SUMIFS(Base!$Y$3:$Y$5001,Base!$B$3:$B$5001,E$197,Base!$A$3:$A$5001,_xlfn.MAXIFS(Base!$A$3:$A$5001,Base!$B$3:$B$5001,E$197,Base!$A$3:$A$5001,"&gt;="&amp;$C$7,Base!$A$3:$A$5001,"&lt;="&amp;$B198,Base!$Y$3:$Y$5001,"&lt;&gt;"))))</f>
        <v>2813</v>
      </c>
      <c r="F198">
        <f>IF($A198&gt;$B$9,"",IF(COUNTIFS(Base!$B$3:$B$5001,F$197,Base!$A$3:$A$5001,"&gt;="&amp;$C$7,Base!$A$3:$A$5001,"&lt;="&amp;$B198,Base!$Y$3:$Y$5001,"&lt;&gt;")=0,"",SUMIFS(Base!$Y$3:$Y$5001,Base!$B$3:$B$5001,F$197,Base!$A$3:$A$5001,_xlfn.MAXIFS(Base!$A$3:$A$5001,Base!$B$3:$B$5001,F$197,Base!$A$3:$A$5001,"&gt;="&amp;$C$7,Base!$A$3:$A$5001,"&lt;="&amp;$B198,Base!$Y$3:$Y$5001,"&lt;&gt;"))))</f>
        <v>1338</v>
      </c>
      <c r="G198">
        <f>IF($A198&gt;$B$9,"",IF(COUNTIFS(Base!$B$3:$B$5001,G$197,Base!$A$3:$A$5001,"&gt;="&amp;$C$7,Base!$A$3:$A$5001,"&lt;="&amp;$B198,Base!$Y$3:$Y$5001,"&lt;&gt;")=0,"",SUMIFS(Base!$Y$3:$Y$5001,Base!$B$3:$B$5001,G$197,Base!$A$3:$A$5001,_xlfn.MAXIFS(Base!$A$3:$A$5001,Base!$B$3:$B$5001,G$197,Base!$A$3:$A$5001,"&gt;="&amp;$C$7,Base!$A$3:$A$5001,"&lt;="&amp;$B198,Base!$Y$3:$Y$5001,"&lt;&gt;"))))</f>
        <v>818</v>
      </c>
      <c r="H198">
        <f>IF($A198&gt;$B$9,"",IF(COUNTIFS(Base!$B$3:$B$5001,H$197,Base!$A$3:$A$5001,"&gt;="&amp;$C$7,Base!$A$3:$A$5001,"&lt;="&amp;$B198,Base!$Y$3:$Y$5001,"&lt;&gt;")=0,"",SUMIFS(Base!$Y$3:$Y$5001,Base!$B$3:$B$5001,H$197,Base!$A$3:$A$5001,_xlfn.MAXIFS(Base!$A$3:$A$5001,Base!$B$3:$B$5001,H$197,Base!$A$3:$A$5001,"&gt;="&amp;$C$7,Base!$A$3:$A$5001,"&lt;="&amp;$B198,Base!$Y$3:$Y$5001,"&lt;&gt;"))))</f>
        <v>519</v>
      </c>
      <c r="I198">
        <f>IF($A198&gt;$B$9,"",IF(COUNTIFS(Base!$B$3:$B$5001,I$197,Base!$A$3:$A$5001,"&gt;="&amp;$C$7,Base!$A$3:$A$5001,"&lt;="&amp;$B198,Base!$Y$3:$Y$5001,"&lt;&gt;")=0,"",SUMIFS(Base!$Y$3:$Y$5001,Base!$B$3:$B$5001,I$197,Base!$A$3:$A$5001,_xlfn.MAXIFS(Base!$A$3:$A$5001,Base!$B$3:$B$5001,I$197,Base!$A$3:$A$5001,"&gt;="&amp;$C$7,Base!$A$3:$A$5001,"&lt;="&amp;$B198,Base!$Y$3:$Y$5001,"&lt;&gt;"))))</f>
        <v>991</v>
      </c>
      <c r="J198">
        <f>IF($A198&gt;$B$9,"",IF(COUNTIFS(Base!$B$3:$B$5001,J$197,Base!$A$3:$A$5001,"&gt;="&amp;$C$7,Base!$A$3:$A$5001,"&lt;="&amp;$B198,Base!$Y$3:$Y$5001,"&lt;&gt;")=0,"",SUMIFS(Base!$Y$3:$Y$5001,Base!$B$3:$B$5001,J$197,Base!$A$3:$A$5001,_xlfn.MAXIFS(Base!$A$3:$A$5001,Base!$B$3:$B$5001,J$197,Base!$A$3:$A$5001,"&gt;="&amp;$C$7,Base!$A$3:$A$5001,"&lt;="&amp;$B198,Base!$Y$3:$Y$5001,"&lt;&gt;"))))</f>
        <v>382</v>
      </c>
      <c r="K198">
        <f>IF($A198&gt;$B$9,"",IF(COUNTIFS(Base!$B$3:$B$5001,K$197,Base!$A$3:$A$5001,"&gt;="&amp;$C$7,Base!$A$3:$A$5001,"&lt;="&amp;$B198,Base!$Y$3:$Y$5001,"&lt;&gt;")=0,"",SUMIFS(Base!$Y$3:$Y$5001,Base!$B$3:$B$5001,K$197,Base!$A$3:$A$5001,_xlfn.MAXIFS(Base!$A$3:$A$5001,Base!$B$3:$B$5001,K$197,Base!$A$3:$A$5001,"&gt;="&amp;$C$7,Base!$A$3:$A$5001,"&lt;="&amp;$B198,Base!$Y$3:$Y$5001,"&lt;&gt;"))))</f>
        <v>1121</v>
      </c>
    </row>
    <row r="199">
      <c r="A199">
        <v>2</v>
      </c>
      <c r="B199" s="152">
        <f>$B$13</f>
        <v>46267</v>
      </c>
      <c r="C199">
        <f>IF($A199&gt;$B$9,"",IF(COUNTIFS(Base!$B$3:$B$5001,C$197,Base!$A$3:$A$5001,"&gt;="&amp;$C$7,Base!$A$3:$A$5001,"&lt;="&amp;$B199,Base!$Y$3:$Y$5001,"&lt;&gt;")=0,"",SUMIFS(Base!$Y$3:$Y$5001,Base!$B$3:$B$5001,C$197,Base!$A$3:$A$5001,_xlfn.MAXIFS(Base!$A$3:$A$5001,Base!$B$3:$B$5001,C$197,Base!$A$3:$A$5001,"&gt;="&amp;$C$7,Base!$A$3:$A$5001,"&lt;="&amp;$B199,Base!$Y$3:$Y$5001,"&lt;&gt;"))))</f>
        <v>1848</v>
      </c>
      <c r="D199">
        <f>IF($A199&gt;$B$9,"",IF(COUNTIFS(Base!$B$3:$B$5001,D$197,Base!$A$3:$A$5001,"&gt;="&amp;$C$7,Base!$A$3:$A$5001,"&lt;="&amp;$B199,Base!$Y$3:$Y$5001,"&lt;&gt;")=0,"",SUMIFS(Base!$Y$3:$Y$5001,Base!$B$3:$B$5001,D$197,Base!$A$3:$A$5001,_xlfn.MAXIFS(Base!$A$3:$A$5001,Base!$B$3:$B$5001,D$197,Base!$A$3:$A$5001,"&gt;="&amp;$C$7,Base!$A$3:$A$5001,"&lt;="&amp;$B199,Base!$Y$3:$Y$5001,"&lt;&gt;"))))</f>
        <v>955</v>
      </c>
      <c r="E199">
        <f>IF($A199&gt;$B$9,"",IF(COUNTIFS(Base!$B$3:$B$5001,E$197,Base!$A$3:$A$5001,"&gt;="&amp;$C$7,Base!$A$3:$A$5001,"&lt;="&amp;$B199,Base!$Y$3:$Y$5001,"&lt;&gt;")=0,"",SUMIFS(Base!$Y$3:$Y$5001,Base!$B$3:$B$5001,E$197,Base!$A$3:$A$5001,_xlfn.MAXIFS(Base!$A$3:$A$5001,Base!$B$3:$B$5001,E$197,Base!$A$3:$A$5001,"&gt;="&amp;$C$7,Base!$A$3:$A$5001,"&lt;="&amp;$B199,Base!$Y$3:$Y$5001,"&lt;&gt;"))))</f>
        <v>2661</v>
      </c>
      <c r="F199">
        <f>IF($A199&gt;$B$9,"",IF(COUNTIFS(Base!$B$3:$B$5001,F$197,Base!$A$3:$A$5001,"&gt;="&amp;$C$7,Base!$A$3:$A$5001,"&lt;="&amp;$B199,Base!$Y$3:$Y$5001,"&lt;&gt;")=0,"",SUMIFS(Base!$Y$3:$Y$5001,Base!$B$3:$B$5001,F$197,Base!$A$3:$A$5001,_xlfn.MAXIFS(Base!$A$3:$A$5001,Base!$B$3:$B$5001,F$197,Base!$A$3:$A$5001,"&gt;="&amp;$C$7,Base!$A$3:$A$5001,"&lt;="&amp;$B199,Base!$Y$3:$Y$5001,"&lt;&gt;"))))</f>
        <v>1073</v>
      </c>
      <c r="G199">
        <f>IF($A199&gt;$B$9,"",IF(COUNTIFS(Base!$B$3:$B$5001,G$197,Base!$A$3:$A$5001,"&gt;="&amp;$C$7,Base!$A$3:$A$5001,"&lt;="&amp;$B199,Base!$Y$3:$Y$5001,"&lt;&gt;")=0,"",SUMIFS(Base!$Y$3:$Y$5001,Base!$B$3:$B$5001,G$197,Base!$A$3:$A$5001,_xlfn.MAXIFS(Base!$A$3:$A$5001,Base!$B$3:$B$5001,G$197,Base!$A$3:$A$5001,"&gt;="&amp;$C$7,Base!$A$3:$A$5001,"&lt;="&amp;$B199,Base!$Y$3:$Y$5001,"&lt;&gt;"))))</f>
        <v>764</v>
      </c>
      <c r="H199">
        <f>IF($A199&gt;$B$9,"",IF(COUNTIFS(Base!$B$3:$B$5001,H$197,Base!$A$3:$A$5001,"&gt;="&amp;$C$7,Base!$A$3:$A$5001,"&lt;="&amp;$B199,Base!$Y$3:$Y$5001,"&lt;&gt;")=0,"",SUMIFS(Base!$Y$3:$Y$5001,Base!$B$3:$B$5001,H$197,Base!$A$3:$A$5001,_xlfn.MAXIFS(Base!$A$3:$A$5001,Base!$B$3:$B$5001,H$197,Base!$A$3:$A$5001,"&gt;="&amp;$C$7,Base!$A$3:$A$5001,"&lt;="&amp;$B199,Base!$Y$3:$Y$5001,"&lt;&gt;"))))</f>
        <v>414</v>
      </c>
      <c r="I199">
        <f>IF($A199&gt;$B$9,"",IF(COUNTIFS(Base!$B$3:$B$5001,I$197,Base!$A$3:$A$5001,"&gt;="&amp;$C$7,Base!$A$3:$A$5001,"&lt;="&amp;$B199,Base!$Y$3:$Y$5001,"&lt;&gt;")=0,"",SUMIFS(Base!$Y$3:$Y$5001,Base!$B$3:$B$5001,I$197,Base!$A$3:$A$5001,_xlfn.MAXIFS(Base!$A$3:$A$5001,Base!$B$3:$B$5001,I$197,Base!$A$3:$A$5001,"&gt;="&amp;$C$7,Base!$A$3:$A$5001,"&lt;="&amp;$B199,Base!$Y$3:$Y$5001,"&lt;&gt;"))))</f>
        <v>1109</v>
      </c>
      <c r="J199">
        <f>IF($A199&gt;$B$9,"",IF(COUNTIFS(Base!$B$3:$B$5001,J$197,Base!$A$3:$A$5001,"&gt;="&amp;$C$7,Base!$A$3:$A$5001,"&lt;="&amp;$B199,Base!$Y$3:$Y$5001,"&lt;&gt;")=0,"",SUMIFS(Base!$Y$3:$Y$5001,Base!$B$3:$B$5001,J$197,Base!$A$3:$A$5001,_xlfn.MAXIFS(Base!$A$3:$A$5001,Base!$B$3:$B$5001,J$197,Base!$A$3:$A$5001,"&gt;="&amp;$C$7,Base!$A$3:$A$5001,"&lt;="&amp;$B199,Base!$Y$3:$Y$5001,"&lt;&gt;"))))</f>
        <v>431</v>
      </c>
      <c r="K199">
        <f>IF($A199&gt;$B$9,"",IF(COUNTIFS(Base!$B$3:$B$5001,K$197,Base!$A$3:$A$5001,"&gt;="&amp;$C$7,Base!$A$3:$A$5001,"&lt;="&amp;$B199,Base!$Y$3:$Y$5001,"&lt;&gt;")=0,"",SUMIFS(Base!$Y$3:$Y$5001,Base!$B$3:$B$5001,K$197,Base!$A$3:$A$5001,_xlfn.MAXIFS(Base!$A$3:$A$5001,Base!$B$3:$B$5001,K$197,Base!$A$3:$A$5001,"&gt;="&amp;$C$7,Base!$A$3:$A$5001,"&lt;="&amp;$B199,Base!$Y$3:$Y$5001,"&lt;&gt;"))))</f>
        <v>1673</v>
      </c>
    </row>
    <row r="200">
      <c r="A200">
        <v>3</v>
      </c>
      <c r="B200" s="152">
        <f>$B$14</f>
        <v>46268</v>
      </c>
      <c r="C200">
        <f>IF($A200&gt;$B$9,"",IF(COUNTIFS(Base!$B$3:$B$5001,C$197,Base!$A$3:$A$5001,"&gt;="&amp;$C$7,Base!$A$3:$A$5001,"&lt;="&amp;$B200,Base!$Y$3:$Y$5001,"&lt;&gt;")=0,"",SUMIFS(Base!$Y$3:$Y$5001,Base!$B$3:$B$5001,C$197,Base!$A$3:$A$5001,_xlfn.MAXIFS(Base!$A$3:$A$5001,Base!$B$3:$B$5001,C$197,Base!$A$3:$A$5001,"&gt;="&amp;$C$7,Base!$A$3:$A$5001,"&lt;="&amp;$B200,Base!$Y$3:$Y$5001,"&lt;&gt;"))))</f>
        <v>2112</v>
      </c>
      <c r="D200">
        <f>IF($A200&gt;$B$9,"",IF(COUNTIFS(Base!$B$3:$B$5001,D$197,Base!$A$3:$A$5001,"&gt;="&amp;$C$7,Base!$A$3:$A$5001,"&lt;="&amp;$B200,Base!$Y$3:$Y$5001,"&lt;&gt;")=0,"",SUMIFS(Base!$Y$3:$Y$5001,Base!$B$3:$B$5001,D$197,Base!$A$3:$A$5001,_xlfn.MAXIFS(Base!$A$3:$A$5001,Base!$B$3:$B$5001,D$197,Base!$A$3:$A$5001,"&gt;="&amp;$C$7,Base!$A$3:$A$5001,"&lt;="&amp;$B200,Base!$Y$3:$Y$5001,"&lt;&gt;"))))</f>
        <v>772</v>
      </c>
      <c r="E200">
        <f>IF($A200&gt;$B$9,"",IF(COUNTIFS(Base!$B$3:$B$5001,E$197,Base!$A$3:$A$5001,"&gt;="&amp;$C$7,Base!$A$3:$A$5001,"&lt;="&amp;$B200,Base!$Y$3:$Y$5001,"&lt;&gt;")=0,"",SUMIFS(Base!$Y$3:$Y$5001,Base!$B$3:$B$5001,E$197,Base!$A$3:$A$5001,_xlfn.MAXIFS(Base!$A$3:$A$5001,Base!$B$3:$B$5001,E$197,Base!$A$3:$A$5001,"&gt;="&amp;$C$7,Base!$A$3:$A$5001,"&lt;="&amp;$B200,Base!$Y$3:$Y$5001,"&lt;&gt;"))))</f>
        <v>2409</v>
      </c>
      <c r="F200">
        <f>IF($A200&gt;$B$9,"",IF(COUNTIFS(Base!$B$3:$B$5001,F$197,Base!$A$3:$A$5001,"&gt;="&amp;$C$7,Base!$A$3:$A$5001,"&lt;="&amp;$B200,Base!$Y$3:$Y$5001,"&lt;&gt;")=0,"",SUMIFS(Base!$Y$3:$Y$5001,Base!$B$3:$B$5001,F$197,Base!$A$3:$A$5001,_xlfn.MAXIFS(Base!$A$3:$A$5001,Base!$B$3:$B$5001,F$197,Base!$A$3:$A$5001,"&gt;="&amp;$C$7,Base!$A$3:$A$5001,"&lt;="&amp;$B200,Base!$Y$3:$Y$5001,"&lt;&gt;"))))</f>
        <v>1226</v>
      </c>
      <c r="G200">
        <f>IF($A200&gt;$B$9,"",IF(COUNTIFS(Base!$B$3:$B$5001,G$197,Base!$A$3:$A$5001,"&gt;="&amp;$C$7,Base!$A$3:$A$5001,"&lt;="&amp;$B200,Base!$Y$3:$Y$5001,"&lt;&gt;")=0,"",SUMIFS(Base!$Y$3:$Y$5001,Base!$B$3:$B$5001,G$197,Base!$A$3:$A$5001,_xlfn.MAXIFS(Base!$A$3:$A$5001,Base!$B$3:$B$5001,G$197,Base!$A$3:$A$5001,"&gt;="&amp;$C$7,Base!$A$3:$A$5001,"&lt;="&amp;$B200,Base!$Y$3:$Y$5001,"&lt;&gt;"))))</f>
        <v>810</v>
      </c>
      <c r="H200">
        <f>IF($A200&gt;$B$9,"",IF(COUNTIFS(Base!$B$3:$B$5001,H$197,Base!$A$3:$A$5001,"&gt;="&amp;$C$7,Base!$A$3:$A$5001,"&lt;="&amp;$B200,Base!$Y$3:$Y$5001,"&lt;&gt;")=0,"",SUMIFS(Base!$Y$3:$Y$5001,Base!$B$3:$B$5001,H$197,Base!$A$3:$A$5001,_xlfn.MAXIFS(Base!$A$3:$A$5001,Base!$B$3:$B$5001,H$197,Base!$A$3:$A$5001,"&gt;="&amp;$C$7,Base!$A$3:$A$5001,"&lt;="&amp;$B200,Base!$Y$3:$Y$5001,"&lt;&gt;"))))</f>
        <v>556</v>
      </c>
      <c r="I200">
        <f>IF($A200&gt;$B$9,"",IF(COUNTIFS(Base!$B$3:$B$5001,I$197,Base!$A$3:$A$5001,"&gt;="&amp;$C$7,Base!$A$3:$A$5001,"&lt;="&amp;$B200,Base!$Y$3:$Y$5001,"&lt;&gt;")=0,"",SUMIFS(Base!$Y$3:$Y$5001,Base!$B$3:$B$5001,I$197,Base!$A$3:$A$5001,_xlfn.MAXIFS(Base!$A$3:$A$5001,Base!$B$3:$B$5001,I$197,Base!$A$3:$A$5001,"&gt;="&amp;$C$7,Base!$A$3:$A$5001,"&lt;="&amp;$B200,Base!$Y$3:$Y$5001,"&lt;&gt;"))))</f>
        <v>1269</v>
      </c>
      <c r="J200">
        <f>IF($A200&gt;$B$9,"",IF(COUNTIFS(Base!$B$3:$B$5001,J$197,Base!$A$3:$A$5001,"&gt;="&amp;$C$7,Base!$A$3:$A$5001,"&lt;="&amp;$B200,Base!$Y$3:$Y$5001,"&lt;&gt;")=0,"",SUMIFS(Base!$Y$3:$Y$5001,Base!$B$3:$B$5001,J$197,Base!$A$3:$A$5001,_xlfn.MAXIFS(Base!$A$3:$A$5001,Base!$B$3:$B$5001,J$197,Base!$A$3:$A$5001,"&gt;="&amp;$C$7,Base!$A$3:$A$5001,"&lt;="&amp;$B200,Base!$Y$3:$Y$5001,"&lt;&gt;"))))</f>
        <v>355</v>
      </c>
      <c r="K200">
        <f>IF($A200&gt;$B$9,"",IF(COUNTIFS(Base!$B$3:$B$5001,K$197,Base!$A$3:$A$5001,"&gt;="&amp;$C$7,Base!$A$3:$A$5001,"&lt;="&amp;$B200,Base!$Y$3:$Y$5001,"&lt;&gt;")=0,"",SUMIFS(Base!$Y$3:$Y$5001,Base!$B$3:$B$5001,K$197,Base!$A$3:$A$5001,_xlfn.MAXIFS(Base!$A$3:$A$5001,Base!$B$3:$B$5001,K$197,Base!$A$3:$A$5001,"&gt;="&amp;$C$7,Base!$A$3:$A$5001,"&lt;="&amp;$B200,Base!$Y$3:$Y$5001,"&lt;&gt;"))))</f>
        <v>1393</v>
      </c>
    </row>
    <row r="201">
      <c r="A201">
        <v>4</v>
      </c>
      <c r="B201" s="152">
        <f>$B$15</f>
        <v>46269</v>
      </c>
      <c r="C201">
        <f>IF($A201&gt;$B$9,"",IF(COUNTIFS(Base!$B$3:$B$5001,C$197,Base!$A$3:$A$5001,"&gt;="&amp;$C$7,Base!$A$3:$A$5001,"&lt;="&amp;$B201,Base!$Y$3:$Y$5001,"&lt;&gt;")=0,"",SUMIFS(Base!$Y$3:$Y$5001,Base!$B$3:$B$5001,C$197,Base!$A$3:$A$5001,_xlfn.MAXIFS(Base!$A$3:$A$5001,Base!$B$3:$B$5001,C$197,Base!$A$3:$A$5001,"&gt;="&amp;$C$7,Base!$A$3:$A$5001,"&lt;="&amp;$B201,Base!$Y$3:$Y$5001,"&lt;&gt;"))))</f>
        <v>1616</v>
      </c>
      <c r="D201">
        <f>IF($A201&gt;$B$9,"",IF(COUNTIFS(Base!$B$3:$B$5001,D$197,Base!$A$3:$A$5001,"&gt;="&amp;$C$7,Base!$A$3:$A$5001,"&lt;="&amp;$B201,Base!$Y$3:$Y$5001,"&lt;&gt;")=0,"",SUMIFS(Base!$Y$3:$Y$5001,Base!$B$3:$B$5001,D$197,Base!$A$3:$A$5001,_xlfn.MAXIFS(Base!$A$3:$A$5001,Base!$B$3:$B$5001,D$197,Base!$A$3:$A$5001,"&gt;="&amp;$C$7,Base!$A$3:$A$5001,"&lt;="&amp;$B201,Base!$Y$3:$Y$5001,"&lt;&gt;"))))</f>
        <v>1008</v>
      </c>
      <c r="E201">
        <f>IF($A201&gt;$B$9,"",IF(COUNTIFS(Base!$B$3:$B$5001,E$197,Base!$A$3:$A$5001,"&gt;="&amp;$C$7,Base!$A$3:$A$5001,"&lt;="&amp;$B201,Base!$Y$3:$Y$5001,"&lt;&gt;")=0,"",SUMIFS(Base!$Y$3:$Y$5001,Base!$B$3:$B$5001,E$197,Base!$A$3:$A$5001,_xlfn.MAXIFS(Base!$A$3:$A$5001,Base!$B$3:$B$5001,E$197,Base!$A$3:$A$5001,"&gt;="&amp;$C$7,Base!$A$3:$A$5001,"&lt;="&amp;$B201,Base!$Y$3:$Y$5001,"&lt;&gt;"))))</f>
        <v>2219</v>
      </c>
      <c r="F201">
        <f>IF($A201&gt;$B$9,"",IF(COUNTIFS(Base!$B$3:$B$5001,F$197,Base!$A$3:$A$5001,"&gt;="&amp;$C$7,Base!$A$3:$A$5001,"&lt;="&amp;$B201,Base!$Y$3:$Y$5001,"&lt;&gt;")=0,"",SUMIFS(Base!$Y$3:$Y$5001,Base!$B$3:$B$5001,F$197,Base!$A$3:$A$5001,_xlfn.MAXIFS(Base!$A$3:$A$5001,Base!$B$3:$B$5001,F$197,Base!$A$3:$A$5001,"&gt;="&amp;$C$7,Base!$A$3:$A$5001,"&lt;="&amp;$B201,Base!$Y$3:$Y$5001,"&lt;&gt;"))))</f>
        <v>949</v>
      </c>
      <c r="G201">
        <f>IF($A201&gt;$B$9,"",IF(COUNTIFS(Base!$B$3:$B$5001,G$197,Base!$A$3:$A$5001,"&gt;="&amp;$C$7,Base!$A$3:$A$5001,"&lt;="&amp;$B201,Base!$Y$3:$Y$5001,"&lt;&gt;")=0,"",SUMIFS(Base!$Y$3:$Y$5001,Base!$B$3:$B$5001,G$197,Base!$A$3:$A$5001,_xlfn.MAXIFS(Base!$A$3:$A$5001,Base!$B$3:$B$5001,G$197,Base!$A$3:$A$5001,"&gt;="&amp;$C$7,Base!$A$3:$A$5001,"&lt;="&amp;$B201,Base!$Y$3:$Y$5001,"&lt;&gt;"))))</f>
        <v>797</v>
      </c>
      <c r="H201">
        <f>IF($A201&gt;$B$9,"",IF(COUNTIFS(Base!$B$3:$B$5001,H$197,Base!$A$3:$A$5001,"&gt;="&amp;$C$7,Base!$A$3:$A$5001,"&lt;="&amp;$B201,Base!$Y$3:$Y$5001,"&lt;&gt;")=0,"",SUMIFS(Base!$Y$3:$Y$5001,Base!$B$3:$B$5001,H$197,Base!$A$3:$A$5001,_xlfn.MAXIFS(Base!$A$3:$A$5001,Base!$B$3:$B$5001,H$197,Base!$A$3:$A$5001,"&gt;="&amp;$C$7,Base!$A$3:$A$5001,"&lt;="&amp;$B201,Base!$Y$3:$Y$5001,"&lt;&gt;"))))</f>
        <v>499</v>
      </c>
      <c r="I201">
        <f>IF($A201&gt;$B$9,"",IF(COUNTIFS(Base!$B$3:$B$5001,I$197,Base!$A$3:$A$5001,"&gt;="&amp;$C$7,Base!$A$3:$A$5001,"&lt;="&amp;$B201,Base!$Y$3:$Y$5001,"&lt;&gt;")=0,"",SUMIFS(Base!$Y$3:$Y$5001,Base!$B$3:$B$5001,I$197,Base!$A$3:$A$5001,_xlfn.MAXIFS(Base!$A$3:$A$5001,Base!$B$3:$B$5001,I$197,Base!$A$3:$A$5001,"&gt;="&amp;$C$7,Base!$A$3:$A$5001,"&lt;="&amp;$B201,Base!$Y$3:$Y$5001,"&lt;&gt;"))))</f>
        <v>943</v>
      </c>
      <c r="J201">
        <f>IF($A201&gt;$B$9,"",IF(COUNTIFS(Base!$B$3:$B$5001,J$197,Base!$A$3:$A$5001,"&gt;="&amp;$C$7,Base!$A$3:$A$5001,"&lt;="&amp;$B201,Base!$Y$3:$Y$5001,"&lt;&gt;")=0,"",SUMIFS(Base!$Y$3:$Y$5001,Base!$B$3:$B$5001,J$197,Base!$A$3:$A$5001,_xlfn.MAXIFS(Base!$A$3:$A$5001,Base!$B$3:$B$5001,J$197,Base!$A$3:$A$5001,"&gt;="&amp;$C$7,Base!$A$3:$A$5001,"&lt;="&amp;$B201,Base!$Y$3:$Y$5001,"&lt;&gt;"))))</f>
        <v>403</v>
      </c>
      <c r="K201">
        <f>IF($A201&gt;$B$9,"",IF(COUNTIFS(Base!$B$3:$B$5001,K$197,Base!$A$3:$A$5001,"&gt;="&amp;$C$7,Base!$A$3:$A$5001,"&lt;="&amp;$B201,Base!$Y$3:$Y$5001,"&lt;&gt;")=0,"",SUMIFS(Base!$Y$3:$Y$5001,Base!$B$3:$B$5001,K$197,Base!$A$3:$A$5001,_xlfn.MAXIFS(Base!$A$3:$A$5001,Base!$B$3:$B$5001,K$197,Base!$A$3:$A$5001,"&gt;="&amp;$C$7,Base!$A$3:$A$5001,"&lt;="&amp;$B201,Base!$Y$3:$Y$5001,"&lt;&gt;"))))</f>
        <v>1031</v>
      </c>
    </row>
    <row r="202">
      <c r="A202">
        <v>5</v>
      </c>
      <c r="B202" s="152">
        <f>$B$16</f>
        <v>46270</v>
      </c>
      <c r="C202">
        <f>IF($A202&gt;$B$9,"",IF(COUNTIFS(Base!$B$3:$B$5001,C$197,Base!$A$3:$A$5001,"&gt;="&amp;$C$7,Base!$A$3:$A$5001,"&lt;="&amp;$B202,Base!$Y$3:$Y$5001,"&lt;&gt;")=0,"",SUMIFS(Base!$Y$3:$Y$5001,Base!$B$3:$B$5001,C$197,Base!$A$3:$A$5001,_xlfn.MAXIFS(Base!$A$3:$A$5001,Base!$B$3:$B$5001,C$197,Base!$A$3:$A$5001,"&gt;="&amp;$C$7,Base!$A$3:$A$5001,"&lt;="&amp;$B202,Base!$Y$3:$Y$5001,"&lt;&gt;"))))</f>
        <v>1983</v>
      </c>
      <c r="D202">
        <f>IF($A202&gt;$B$9,"",IF(COUNTIFS(Base!$B$3:$B$5001,D$197,Base!$A$3:$A$5001,"&gt;="&amp;$C$7,Base!$A$3:$A$5001,"&lt;="&amp;$B202,Base!$Y$3:$Y$5001,"&lt;&gt;")=0,"",SUMIFS(Base!$Y$3:$Y$5001,Base!$B$3:$B$5001,D$197,Base!$A$3:$A$5001,_xlfn.MAXIFS(Base!$A$3:$A$5001,Base!$B$3:$B$5001,D$197,Base!$A$3:$A$5001,"&gt;="&amp;$C$7,Base!$A$3:$A$5001,"&lt;="&amp;$B202,Base!$Y$3:$Y$5001,"&lt;&gt;"))))</f>
        <v>712</v>
      </c>
      <c r="E202">
        <f>IF($A202&gt;$B$9,"",IF(COUNTIFS(Base!$B$3:$B$5001,E$197,Base!$A$3:$A$5001,"&gt;="&amp;$C$7,Base!$A$3:$A$5001,"&lt;="&amp;$B202,Base!$Y$3:$Y$5001,"&lt;&gt;")=0,"",SUMIFS(Base!$Y$3:$Y$5001,Base!$B$3:$B$5001,E$197,Base!$A$3:$A$5001,_xlfn.MAXIFS(Base!$A$3:$A$5001,Base!$B$3:$B$5001,E$197,Base!$A$3:$A$5001,"&gt;="&amp;$C$7,Base!$A$3:$A$5001,"&lt;="&amp;$B202,Base!$Y$3:$Y$5001,"&lt;&gt;"))))</f>
        <v>2245</v>
      </c>
      <c r="F202">
        <f>IF($A202&gt;$B$9,"",IF(COUNTIFS(Base!$B$3:$B$5001,F$197,Base!$A$3:$A$5001,"&gt;="&amp;$C$7,Base!$A$3:$A$5001,"&lt;="&amp;$B202,Base!$Y$3:$Y$5001,"&lt;&gt;")=0,"",SUMIFS(Base!$Y$3:$Y$5001,Base!$B$3:$B$5001,F$197,Base!$A$3:$A$5001,_xlfn.MAXIFS(Base!$A$3:$A$5001,Base!$B$3:$B$5001,F$197,Base!$A$3:$A$5001,"&gt;="&amp;$C$7,Base!$A$3:$A$5001,"&lt;="&amp;$B202,Base!$Y$3:$Y$5001,"&lt;&gt;"))))</f>
        <v>1310</v>
      </c>
      <c r="G202">
        <f>IF($A202&gt;$B$9,"",IF(COUNTIFS(Base!$B$3:$B$5001,G$197,Base!$A$3:$A$5001,"&gt;="&amp;$C$7,Base!$A$3:$A$5001,"&lt;="&amp;$B202,Base!$Y$3:$Y$5001,"&lt;&gt;")=0,"",SUMIFS(Base!$Y$3:$Y$5001,Base!$B$3:$B$5001,G$197,Base!$A$3:$A$5001,_xlfn.MAXIFS(Base!$A$3:$A$5001,Base!$B$3:$B$5001,G$197,Base!$A$3:$A$5001,"&gt;="&amp;$C$7,Base!$A$3:$A$5001,"&lt;="&amp;$B202,Base!$Y$3:$Y$5001,"&lt;&gt;"))))</f>
        <v>754</v>
      </c>
      <c r="H202">
        <f>IF($A202&gt;$B$9,"",IF(COUNTIFS(Base!$B$3:$B$5001,H$197,Base!$A$3:$A$5001,"&gt;="&amp;$C$7,Base!$A$3:$A$5001,"&lt;="&amp;$B202,Base!$Y$3:$Y$5001,"&lt;&gt;")=0,"",SUMIFS(Base!$Y$3:$Y$5001,Base!$B$3:$B$5001,H$197,Base!$A$3:$A$5001,_xlfn.MAXIFS(Base!$A$3:$A$5001,Base!$B$3:$B$5001,H$197,Base!$A$3:$A$5001,"&gt;="&amp;$C$7,Base!$A$3:$A$5001,"&lt;="&amp;$B202,Base!$Y$3:$Y$5001,"&lt;&gt;"))))</f>
        <v>411</v>
      </c>
      <c r="I202">
        <f>IF($A202&gt;$B$9,"",IF(COUNTIFS(Base!$B$3:$B$5001,I$197,Base!$A$3:$A$5001,"&gt;="&amp;$C$7,Base!$A$3:$A$5001,"&lt;="&amp;$B202,Base!$Y$3:$Y$5001,"&lt;&gt;")=0,"",SUMIFS(Base!$Y$3:$Y$5001,Base!$B$3:$B$5001,I$197,Base!$A$3:$A$5001,_xlfn.MAXIFS(Base!$A$3:$A$5001,Base!$B$3:$B$5001,I$197,Base!$A$3:$A$5001,"&gt;="&amp;$C$7,Base!$A$3:$A$5001,"&lt;="&amp;$B202,Base!$Y$3:$Y$5001,"&lt;&gt;"))))</f>
        <v>1158</v>
      </c>
      <c r="J202">
        <f>IF($A202&gt;$B$9,"",IF(COUNTIFS(Base!$B$3:$B$5001,J$197,Base!$A$3:$A$5001,"&gt;="&amp;$C$7,Base!$A$3:$A$5001,"&lt;="&amp;$B202,Base!$Y$3:$Y$5001,"&lt;&gt;")=0,"",SUMIFS(Base!$Y$3:$Y$5001,Base!$B$3:$B$5001,J$197,Base!$A$3:$A$5001,_xlfn.MAXIFS(Base!$A$3:$A$5001,Base!$B$3:$B$5001,J$197,Base!$A$3:$A$5001,"&gt;="&amp;$C$7,Base!$A$3:$A$5001,"&lt;="&amp;$B202,Base!$Y$3:$Y$5001,"&lt;&gt;"))))</f>
        <v>471</v>
      </c>
      <c r="K202">
        <f>IF($A202&gt;$B$9,"",IF(COUNTIFS(Base!$B$3:$B$5001,K$197,Base!$A$3:$A$5001,"&gt;="&amp;$C$7,Base!$A$3:$A$5001,"&lt;="&amp;$B202,Base!$Y$3:$Y$5001,"&lt;&gt;")=0,"",SUMIFS(Base!$Y$3:$Y$5001,Base!$B$3:$B$5001,K$197,Base!$A$3:$A$5001,_xlfn.MAXIFS(Base!$A$3:$A$5001,Base!$B$3:$B$5001,K$197,Base!$A$3:$A$5001,"&gt;="&amp;$C$7,Base!$A$3:$A$5001,"&lt;="&amp;$B202,Base!$Y$3:$Y$5001,"&lt;&gt;"))))</f>
        <v>1694</v>
      </c>
    </row>
    <row r="203">
      <c r="A203">
        <v>6</v>
      </c>
      <c r="B203" s="152">
        <f>$B$17</f>
        <v>46271</v>
      </c>
      <c r="C203">
        <f>IF($A203&gt;$B$9,"",IF(COUNTIFS(Base!$B$3:$B$5001,C$197,Base!$A$3:$A$5001,"&gt;="&amp;$C$7,Base!$A$3:$A$5001,"&lt;="&amp;$B203,Base!$Y$3:$Y$5001,"&lt;&gt;")=0,"",SUMIFS(Base!$Y$3:$Y$5001,Base!$B$3:$B$5001,C$197,Base!$A$3:$A$5001,_xlfn.MAXIFS(Base!$A$3:$A$5001,Base!$B$3:$B$5001,C$197,Base!$A$3:$A$5001,"&gt;="&amp;$C$7,Base!$A$3:$A$5001,"&lt;="&amp;$B203,Base!$Y$3:$Y$5001,"&lt;&gt;"))))</f>
        <v>1983</v>
      </c>
      <c r="D203">
        <f>IF($A203&gt;$B$9,"",IF(COUNTIFS(Base!$B$3:$B$5001,D$197,Base!$A$3:$A$5001,"&gt;="&amp;$C$7,Base!$A$3:$A$5001,"&lt;="&amp;$B203,Base!$Y$3:$Y$5001,"&lt;&gt;")=0,"",SUMIFS(Base!$Y$3:$Y$5001,Base!$B$3:$B$5001,D$197,Base!$A$3:$A$5001,_xlfn.MAXIFS(Base!$A$3:$A$5001,Base!$B$3:$B$5001,D$197,Base!$A$3:$A$5001,"&gt;="&amp;$C$7,Base!$A$3:$A$5001,"&lt;="&amp;$B203,Base!$Y$3:$Y$5001,"&lt;&gt;"))))</f>
        <v>712</v>
      </c>
      <c r="E203">
        <f>IF($A203&gt;$B$9,"",IF(COUNTIFS(Base!$B$3:$B$5001,E$197,Base!$A$3:$A$5001,"&gt;="&amp;$C$7,Base!$A$3:$A$5001,"&lt;="&amp;$B203,Base!$Y$3:$Y$5001,"&lt;&gt;")=0,"",SUMIFS(Base!$Y$3:$Y$5001,Base!$B$3:$B$5001,E$197,Base!$A$3:$A$5001,_xlfn.MAXIFS(Base!$A$3:$A$5001,Base!$B$3:$B$5001,E$197,Base!$A$3:$A$5001,"&gt;="&amp;$C$7,Base!$A$3:$A$5001,"&lt;="&amp;$B203,Base!$Y$3:$Y$5001,"&lt;&gt;"))))</f>
        <v>2245</v>
      </c>
      <c r="F203">
        <f>IF($A203&gt;$B$9,"",IF(COUNTIFS(Base!$B$3:$B$5001,F$197,Base!$A$3:$A$5001,"&gt;="&amp;$C$7,Base!$A$3:$A$5001,"&lt;="&amp;$B203,Base!$Y$3:$Y$5001,"&lt;&gt;")=0,"",SUMIFS(Base!$Y$3:$Y$5001,Base!$B$3:$B$5001,F$197,Base!$A$3:$A$5001,_xlfn.MAXIFS(Base!$A$3:$A$5001,Base!$B$3:$B$5001,F$197,Base!$A$3:$A$5001,"&gt;="&amp;$C$7,Base!$A$3:$A$5001,"&lt;="&amp;$B203,Base!$Y$3:$Y$5001,"&lt;&gt;"))))</f>
        <v>1310</v>
      </c>
      <c r="G203">
        <f>IF($A203&gt;$B$9,"",IF(COUNTIFS(Base!$B$3:$B$5001,G$197,Base!$A$3:$A$5001,"&gt;="&amp;$C$7,Base!$A$3:$A$5001,"&lt;="&amp;$B203,Base!$Y$3:$Y$5001,"&lt;&gt;")=0,"",SUMIFS(Base!$Y$3:$Y$5001,Base!$B$3:$B$5001,G$197,Base!$A$3:$A$5001,_xlfn.MAXIFS(Base!$A$3:$A$5001,Base!$B$3:$B$5001,G$197,Base!$A$3:$A$5001,"&gt;="&amp;$C$7,Base!$A$3:$A$5001,"&lt;="&amp;$B203,Base!$Y$3:$Y$5001,"&lt;&gt;"))))</f>
        <v>754</v>
      </c>
      <c r="H203">
        <f>IF($A203&gt;$B$9,"",IF(COUNTIFS(Base!$B$3:$B$5001,H$197,Base!$A$3:$A$5001,"&gt;="&amp;$C$7,Base!$A$3:$A$5001,"&lt;="&amp;$B203,Base!$Y$3:$Y$5001,"&lt;&gt;")=0,"",SUMIFS(Base!$Y$3:$Y$5001,Base!$B$3:$B$5001,H$197,Base!$A$3:$A$5001,_xlfn.MAXIFS(Base!$A$3:$A$5001,Base!$B$3:$B$5001,H$197,Base!$A$3:$A$5001,"&gt;="&amp;$C$7,Base!$A$3:$A$5001,"&lt;="&amp;$B203,Base!$Y$3:$Y$5001,"&lt;&gt;"))))</f>
        <v>411</v>
      </c>
      <c r="I203">
        <f>IF($A203&gt;$B$9,"",IF(COUNTIFS(Base!$B$3:$B$5001,I$197,Base!$A$3:$A$5001,"&gt;="&amp;$C$7,Base!$A$3:$A$5001,"&lt;="&amp;$B203,Base!$Y$3:$Y$5001,"&lt;&gt;")=0,"",SUMIFS(Base!$Y$3:$Y$5001,Base!$B$3:$B$5001,I$197,Base!$A$3:$A$5001,_xlfn.MAXIFS(Base!$A$3:$A$5001,Base!$B$3:$B$5001,I$197,Base!$A$3:$A$5001,"&gt;="&amp;$C$7,Base!$A$3:$A$5001,"&lt;="&amp;$B203,Base!$Y$3:$Y$5001,"&lt;&gt;"))))</f>
        <v>1158</v>
      </c>
      <c r="J203">
        <f>IF($A203&gt;$B$9,"",IF(COUNTIFS(Base!$B$3:$B$5001,J$197,Base!$A$3:$A$5001,"&gt;="&amp;$C$7,Base!$A$3:$A$5001,"&lt;="&amp;$B203,Base!$Y$3:$Y$5001,"&lt;&gt;")=0,"",SUMIFS(Base!$Y$3:$Y$5001,Base!$B$3:$B$5001,J$197,Base!$A$3:$A$5001,_xlfn.MAXIFS(Base!$A$3:$A$5001,Base!$B$3:$B$5001,J$197,Base!$A$3:$A$5001,"&gt;="&amp;$C$7,Base!$A$3:$A$5001,"&lt;="&amp;$B203,Base!$Y$3:$Y$5001,"&lt;&gt;"))))</f>
        <v>471</v>
      </c>
      <c r="K203">
        <f>IF($A203&gt;$B$9,"",IF(COUNTIFS(Base!$B$3:$B$5001,K$197,Base!$A$3:$A$5001,"&gt;="&amp;$C$7,Base!$A$3:$A$5001,"&lt;="&amp;$B203,Base!$Y$3:$Y$5001,"&lt;&gt;")=0,"",SUMIFS(Base!$Y$3:$Y$5001,Base!$B$3:$B$5001,K$197,Base!$A$3:$A$5001,_xlfn.MAXIFS(Base!$A$3:$A$5001,Base!$B$3:$B$5001,K$197,Base!$A$3:$A$5001,"&gt;="&amp;$C$7,Base!$A$3:$A$5001,"&lt;="&amp;$B203,Base!$Y$3:$Y$5001,"&lt;&gt;"))))</f>
        <v>1694</v>
      </c>
    </row>
    <row r="204">
      <c r="A204">
        <v>7</v>
      </c>
      <c r="B204" s="152">
        <f>$B$18</f>
        <v>46272</v>
      </c>
      <c r="C204">
        <f>IF($A204&gt;$B$9,"",IF(COUNTIFS(Base!$B$3:$B$5001,C$197,Base!$A$3:$A$5001,"&gt;="&amp;$C$7,Base!$A$3:$A$5001,"&lt;="&amp;$B204,Base!$Y$3:$Y$5001,"&lt;&gt;")=0,"",SUMIFS(Base!$Y$3:$Y$5001,Base!$B$3:$B$5001,C$197,Base!$A$3:$A$5001,_xlfn.MAXIFS(Base!$A$3:$A$5001,Base!$B$3:$B$5001,C$197,Base!$A$3:$A$5001,"&gt;="&amp;$C$7,Base!$A$3:$A$5001,"&lt;="&amp;$B204,Base!$Y$3:$Y$5001,"&lt;&gt;"))))</f>
        <v>1660</v>
      </c>
      <c r="D204">
        <f>IF($A204&gt;$B$9,"",IF(COUNTIFS(Base!$B$3:$B$5001,D$197,Base!$A$3:$A$5001,"&gt;="&amp;$C$7,Base!$A$3:$A$5001,"&lt;="&amp;$B204,Base!$Y$3:$Y$5001,"&lt;&gt;")=0,"",SUMIFS(Base!$Y$3:$Y$5001,Base!$B$3:$B$5001,D$197,Base!$A$3:$A$5001,_xlfn.MAXIFS(Base!$A$3:$A$5001,Base!$B$3:$B$5001,D$197,Base!$A$3:$A$5001,"&gt;="&amp;$C$7,Base!$A$3:$A$5001,"&lt;="&amp;$B204,Base!$Y$3:$Y$5001,"&lt;&gt;"))))</f>
        <v>939</v>
      </c>
      <c r="E204">
        <f>IF($A204&gt;$B$9,"",IF(COUNTIFS(Base!$B$3:$B$5001,E$197,Base!$A$3:$A$5001,"&gt;="&amp;$C$7,Base!$A$3:$A$5001,"&lt;="&amp;$B204,Base!$Y$3:$Y$5001,"&lt;&gt;")=0,"",SUMIFS(Base!$Y$3:$Y$5001,Base!$B$3:$B$5001,E$197,Base!$A$3:$A$5001,_xlfn.MAXIFS(Base!$A$3:$A$5001,Base!$B$3:$B$5001,E$197,Base!$A$3:$A$5001,"&gt;="&amp;$C$7,Base!$A$3:$A$5001,"&lt;="&amp;$B204,Base!$Y$3:$Y$5001,"&lt;&gt;"))))</f>
        <v>2613</v>
      </c>
      <c r="F204">
        <f>IF($A204&gt;$B$9,"",IF(COUNTIFS(Base!$B$3:$B$5001,F$197,Base!$A$3:$A$5001,"&gt;="&amp;$C$7,Base!$A$3:$A$5001,"&lt;="&amp;$B204,Base!$Y$3:$Y$5001,"&lt;&gt;")=0,"",SUMIFS(Base!$Y$3:$Y$5001,Base!$B$3:$B$5001,F$197,Base!$A$3:$A$5001,_xlfn.MAXIFS(Base!$A$3:$A$5001,Base!$B$3:$B$5001,F$197,Base!$A$3:$A$5001,"&gt;="&amp;$C$7,Base!$A$3:$A$5001,"&lt;="&amp;$B204,Base!$Y$3:$Y$5001,"&lt;&gt;"))))</f>
        <v>1425</v>
      </c>
      <c r="G204">
        <f>IF($A204&gt;$B$9,"",IF(COUNTIFS(Base!$B$3:$B$5001,G$197,Base!$A$3:$A$5001,"&gt;="&amp;$C$7,Base!$A$3:$A$5001,"&lt;="&amp;$B204,Base!$Y$3:$Y$5001,"&lt;&gt;")=0,"",SUMIFS(Base!$Y$3:$Y$5001,Base!$B$3:$B$5001,G$197,Base!$A$3:$A$5001,_xlfn.MAXIFS(Base!$A$3:$A$5001,Base!$B$3:$B$5001,G$197,Base!$A$3:$A$5001,"&gt;="&amp;$C$7,Base!$A$3:$A$5001,"&lt;="&amp;$B204,Base!$Y$3:$Y$5001,"&lt;&gt;"))))</f>
        <v>759</v>
      </c>
      <c r="H204">
        <f>IF($A204&gt;$B$9,"",IF(COUNTIFS(Base!$B$3:$B$5001,H$197,Base!$A$3:$A$5001,"&gt;="&amp;$C$7,Base!$A$3:$A$5001,"&lt;="&amp;$B204,Base!$Y$3:$Y$5001,"&lt;&gt;")=0,"",SUMIFS(Base!$Y$3:$Y$5001,Base!$B$3:$B$5001,H$197,Base!$A$3:$A$5001,_xlfn.MAXIFS(Base!$A$3:$A$5001,Base!$B$3:$B$5001,H$197,Base!$A$3:$A$5001,"&gt;="&amp;$C$7,Base!$A$3:$A$5001,"&lt;="&amp;$B204,Base!$Y$3:$Y$5001,"&lt;&gt;"))))</f>
        <v>431</v>
      </c>
      <c r="I204">
        <f>IF($A204&gt;$B$9,"",IF(COUNTIFS(Base!$B$3:$B$5001,I$197,Base!$A$3:$A$5001,"&gt;="&amp;$C$7,Base!$A$3:$A$5001,"&lt;="&amp;$B204,Base!$Y$3:$Y$5001,"&lt;&gt;")=0,"",SUMIFS(Base!$Y$3:$Y$5001,Base!$B$3:$B$5001,I$197,Base!$A$3:$A$5001,_xlfn.MAXIFS(Base!$A$3:$A$5001,Base!$B$3:$B$5001,I$197,Base!$A$3:$A$5001,"&gt;="&amp;$C$7,Base!$A$3:$A$5001,"&lt;="&amp;$B204,Base!$Y$3:$Y$5001,"&lt;&gt;"))))</f>
        <v>888</v>
      </c>
      <c r="J204">
        <f>IF($A204&gt;$B$9,"",IF(COUNTIFS(Base!$B$3:$B$5001,J$197,Base!$A$3:$A$5001,"&gt;="&amp;$C$7,Base!$A$3:$A$5001,"&lt;="&amp;$B204,Base!$Y$3:$Y$5001,"&lt;&gt;")=0,"",SUMIFS(Base!$Y$3:$Y$5001,Base!$B$3:$B$5001,J$197,Base!$A$3:$A$5001,_xlfn.MAXIFS(Base!$A$3:$A$5001,Base!$B$3:$B$5001,J$197,Base!$A$3:$A$5001,"&gt;="&amp;$C$7,Base!$A$3:$A$5001,"&lt;="&amp;$B204,Base!$Y$3:$Y$5001,"&lt;&gt;"))))</f>
        <v>307</v>
      </c>
      <c r="K204">
        <f>IF($A204&gt;$B$9,"",IF(COUNTIFS(Base!$B$3:$B$5001,K$197,Base!$A$3:$A$5001,"&gt;="&amp;$C$7,Base!$A$3:$A$5001,"&lt;="&amp;$B204,Base!$Y$3:$Y$5001,"&lt;&gt;")=0,"",SUMIFS(Base!$Y$3:$Y$5001,Base!$B$3:$B$5001,K$197,Base!$A$3:$A$5001,_xlfn.MAXIFS(Base!$A$3:$A$5001,Base!$B$3:$B$5001,K$197,Base!$A$3:$A$5001,"&gt;="&amp;$C$7,Base!$A$3:$A$5001,"&lt;="&amp;$B204,Base!$Y$3:$Y$5001,"&lt;&gt;"))))</f>
        <v>1660</v>
      </c>
    </row>
    <row r="205">
      <c r="A205">
        <v>8</v>
      </c>
      <c r="B205" s="152">
        <f>$B$19</f>
        <v>46273</v>
      </c>
      <c r="C205">
        <f>IF($A205&gt;$B$9,"",IF(COUNTIFS(Base!$B$3:$B$5001,C$197,Base!$A$3:$A$5001,"&gt;="&amp;$C$7,Base!$A$3:$A$5001,"&lt;="&amp;$B205,Base!$Y$3:$Y$5001,"&lt;&gt;")=0,"",SUMIFS(Base!$Y$3:$Y$5001,Base!$B$3:$B$5001,C$197,Base!$A$3:$A$5001,_xlfn.MAXIFS(Base!$A$3:$A$5001,Base!$B$3:$B$5001,C$197,Base!$A$3:$A$5001,"&gt;="&amp;$C$7,Base!$A$3:$A$5001,"&lt;="&amp;$B205,Base!$Y$3:$Y$5001,"&lt;&gt;"))))</f>
        <v>2055</v>
      </c>
      <c r="D205">
        <f>IF($A205&gt;$B$9,"",IF(COUNTIFS(Base!$B$3:$B$5001,D$197,Base!$A$3:$A$5001,"&gt;="&amp;$C$7,Base!$A$3:$A$5001,"&lt;="&amp;$B205,Base!$Y$3:$Y$5001,"&lt;&gt;")=0,"",SUMIFS(Base!$Y$3:$Y$5001,Base!$B$3:$B$5001,D$197,Base!$A$3:$A$5001,_xlfn.MAXIFS(Base!$A$3:$A$5001,Base!$B$3:$B$5001,D$197,Base!$A$3:$A$5001,"&gt;="&amp;$C$7,Base!$A$3:$A$5001,"&lt;="&amp;$B205,Base!$Y$3:$Y$5001,"&lt;&gt;"))))</f>
        <v>911</v>
      </c>
      <c r="E205">
        <f>IF($A205&gt;$B$9,"",IF(COUNTIFS(Base!$B$3:$B$5001,E$197,Base!$A$3:$A$5001,"&gt;="&amp;$C$7,Base!$A$3:$A$5001,"&lt;="&amp;$B205,Base!$Y$3:$Y$5001,"&lt;&gt;")=0,"",SUMIFS(Base!$Y$3:$Y$5001,Base!$B$3:$B$5001,E$197,Base!$A$3:$A$5001,_xlfn.MAXIFS(Base!$A$3:$A$5001,Base!$B$3:$B$5001,E$197,Base!$A$3:$A$5001,"&gt;="&amp;$C$7,Base!$A$3:$A$5001,"&lt;="&amp;$B205,Base!$Y$3:$Y$5001,"&lt;&gt;"))))</f>
        <v>2032</v>
      </c>
      <c r="F205">
        <f>IF($A205&gt;$B$9,"",IF(COUNTIFS(Base!$B$3:$B$5001,F$197,Base!$A$3:$A$5001,"&gt;="&amp;$C$7,Base!$A$3:$A$5001,"&lt;="&amp;$B205,Base!$Y$3:$Y$5001,"&lt;&gt;")=0,"",SUMIFS(Base!$Y$3:$Y$5001,Base!$B$3:$B$5001,F$197,Base!$A$3:$A$5001,_xlfn.MAXIFS(Base!$A$3:$A$5001,Base!$B$3:$B$5001,F$197,Base!$A$3:$A$5001,"&gt;="&amp;$C$7,Base!$A$3:$A$5001,"&lt;="&amp;$B205,Base!$Y$3:$Y$5001,"&lt;&gt;"))))</f>
        <v>939</v>
      </c>
      <c r="G205">
        <f>IF($A205&gt;$B$9,"",IF(COUNTIFS(Base!$B$3:$B$5001,G$197,Base!$A$3:$A$5001,"&gt;="&amp;$C$7,Base!$A$3:$A$5001,"&lt;="&amp;$B205,Base!$Y$3:$Y$5001,"&lt;&gt;")=0,"",SUMIFS(Base!$Y$3:$Y$5001,Base!$B$3:$B$5001,G$197,Base!$A$3:$A$5001,_xlfn.MAXIFS(Base!$A$3:$A$5001,Base!$B$3:$B$5001,G$197,Base!$A$3:$A$5001,"&gt;="&amp;$C$7,Base!$A$3:$A$5001,"&lt;="&amp;$B205,Base!$Y$3:$Y$5001,"&lt;&gt;"))))</f>
        <v>727</v>
      </c>
      <c r="H205">
        <f>IF($A205&gt;$B$9,"",IF(COUNTIFS(Base!$B$3:$B$5001,H$197,Base!$A$3:$A$5001,"&gt;="&amp;$C$7,Base!$A$3:$A$5001,"&lt;="&amp;$B205,Base!$Y$3:$Y$5001,"&lt;&gt;")=0,"",SUMIFS(Base!$Y$3:$Y$5001,Base!$B$3:$B$5001,H$197,Base!$A$3:$A$5001,_xlfn.MAXIFS(Base!$A$3:$A$5001,Base!$B$3:$B$5001,H$197,Base!$A$3:$A$5001,"&gt;="&amp;$C$7,Base!$A$3:$A$5001,"&lt;="&amp;$B205,Base!$Y$3:$Y$5001,"&lt;&gt;"))))</f>
        <v>370</v>
      </c>
      <c r="I205">
        <f>IF($A205&gt;$B$9,"",IF(COUNTIFS(Base!$B$3:$B$5001,I$197,Base!$A$3:$A$5001,"&gt;="&amp;$C$7,Base!$A$3:$A$5001,"&lt;="&amp;$B205,Base!$Y$3:$Y$5001,"&lt;&gt;")=0,"",SUMIFS(Base!$Y$3:$Y$5001,Base!$B$3:$B$5001,I$197,Base!$A$3:$A$5001,_xlfn.MAXIFS(Base!$A$3:$A$5001,Base!$B$3:$B$5001,I$197,Base!$A$3:$A$5001,"&gt;="&amp;$C$7,Base!$A$3:$A$5001,"&lt;="&amp;$B205,Base!$Y$3:$Y$5001,"&lt;&gt;"))))</f>
        <v>866</v>
      </c>
      <c r="J205">
        <f>IF($A205&gt;$B$9,"",IF(COUNTIFS(Base!$B$3:$B$5001,J$197,Base!$A$3:$A$5001,"&gt;="&amp;$C$7,Base!$A$3:$A$5001,"&lt;="&amp;$B205,Base!$Y$3:$Y$5001,"&lt;&gt;")=0,"",SUMIFS(Base!$Y$3:$Y$5001,Base!$B$3:$B$5001,J$197,Base!$A$3:$A$5001,_xlfn.MAXIFS(Base!$A$3:$A$5001,Base!$B$3:$B$5001,J$197,Base!$A$3:$A$5001,"&gt;="&amp;$C$7,Base!$A$3:$A$5001,"&lt;="&amp;$B205,Base!$Y$3:$Y$5001,"&lt;&gt;"))))</f>
        <v>293</v>
      </c>
      <c r="K205">
        <f>IF($A205&gt;$B$9,"",IF(COUNTIFS(Base!$B$3:$B$5001,K$197,Base!$A$3:$A$5001,"&gt;="&amp;$C$7,Base!$A$3:$A$5001,"&lt;="&amp;$B205,Base!$Y$3:$Y$5001,"&lt;&gt;")=0,"",SUMIFS(Base!$Y$3:$Y$5001,Base!$B$3:$B$5001,K$197,Base!$A$3:$A$5001,_xlfn.MAXIFS(Base!$A$3:$A$5001,Base!$B$3:$B$5001,K$197,Base!$A$3:$A$5001,"&gt;="&amp;$C$7,Base!$A$3:$A$5001,"&lt;="&amp;$B205,Base!$Y$3:$Y$5001,"&lt;&gt;"))))</f>
        <v>1384</v>
      </c>
    </row>
    <row r="206">
      <c r="A206">
        <v>9</v>
      </c>
      <c r="B206" s="152">
        <f>$B$20</f>
        <v>46274</v>
      </c>
      <c r="C206">
        <f>IF($A206&gt;$B$9,"",IF(COUNTIFS(Base!$B$3:$B$5001,C$197,Base!$A$3:$A$5001,"&gt;="&amp;$C$7,Base!$A$3:$A$5001,"&lt;="&amp;$B206,Base!$Y$3:$Y$5001,"&lt;&gt;")=0,"",SUMIFS(Base!$Y$3:$Y$5001,Base!$B$3:$B$5001,C$197,Base!$A$3:$A$5001,_xlfn.MAXIFS(Base!$A$3:$A$5001,Base!$B$3:$B$5001,C$197,Base!$A$3:$A$5001,"&gt;="&amp;$C$7,Base!$A$3:$A$5001,"&lt;="&amp;$B206,Base!$Y$3:$Y$5001,"&lt;&gt;"))))</f>
        <v>1673</v>
      </c>
      <c r="D206">
        <f>IF($A206&gt;$B$9,"",IF(COUNTIFS(Base!$B$3:$B$5001,D$197,Base!$A$3:$A$5001,"&gt;="&amp;$C$7,Base!$A$3:$A$5001,"&lt;="&amp;$B206,Base!$Y$3:$Y$5001,"&lt;&gt;")=0,"",SUMIFS(Base!$Y$3:$Y$5001,Base!$B$3:$B$5001,D$197,Base!$A$3:$A$5001,_xlfn.MAXIFS(Base!$A$3:$A$5001,Base!$B$3:$B$5001,D$197,Base!$A$3:$A$5001,"&gt;="&amp;$C$7,Base!$A$3:$A$5001,"&lt;="&amp;$B206,Base!$Y$3:$Y$5001,"&lt;&gt;"))))</f>
        <v>756</v>
      </c>
      <c r="E206">
        <f>IF($A206&gt;$B$9,"",IF(COUNTIFS(Base!$B$3:$B$5001,E$197,Base!$A$3:$A$5001,"&gt;="&amp;$C$7,Base!$A$3:$A$5001,"&lt;="&amp;$B206,Base!$Y$3:$Y$5001,"&lt;&gt;")=0,"",SUMIFS(Base!$Y$3:$Y$5001,Base!$B$3:$B$5001,E$197,Base!$A$3:$A$5001,_xlfn.MAXIFS(Base!$A$3:$A$5001,Base!$B$3:$B$5001,E$197,Base!$A$3:$A$5001,"&gt;="&amp;$C$7,Base!$A$3:$A$5001,"&lt;="&amp;$B206,Base!$Y$3:$Y$5001,"&lt;&gt;"))))</f>
        <v>2989</v>
      </c>
      <c r="F206">
        <f>IF($A206&gt;$B$9,"",IF(COUNTIFS(Base!$B$3:$B$5001,F$197,Base!$A$3:$A$5001,"&gt;="&amp;$C$7,Base!$A$3:$A$5001,"&lt;="&amp;$B206,Base!$Y$3:$Y$5001,"&lt;&gt;")=0,"",SUMIFS(Base!$Y$3:$Y$5001,Base!$B$3:$B$5001,F$197,Base!$A$3:$A$5001,_xlfn.MAXIFS(Base!$A$3:$A$5001,Base!$B$3:$B$5001,F$197,Base!$A$3:$A$5001,"&gt;="&amp;$C$7,Base!$A$3:$A$5001,"&lt;="&amp;$B206,Base!$Y$3:$Y$5001,"&lt;&gt;"))))</f>
        <v>1398</v>
      </c>
      <c r="G206">
        <f>IF($A206&gt;$B$9,"",IF(COUNTIFS(Base!$B$3:$B$5001,G$197,Base!$A$3:$A$5001,"&gt;="&amp;$C$7,Base!$A$3:$A$5001,"&lt;="&amp;$B206,Base!$Y$3:$Y$5001,"&lt;&gt;")=0,"",SUMIFS(Base!$Y$3:$Y$5001,Base!$B$3:$B$5001,G$197,Base!$A$3:$A$5001,_xlfn.MAXIFS(Base!$A$3:$A$5001,Base!$B$3:$B$5001,G$197,Base!$A$3:$A$5001,"&gt;="&amp;$C$7,Base!$A$3:$A$5001,"&lt;="&amp;$B206,Base!$Y$3:$Y$5001,"&lt;&gt;"))))</f>
        <v>791</v>
      </c>
      <c r="H206">
        <f>IF($A206&gt;$B$9,"",IF(COUNTIFS(Base!$B$3:$B$5001,H$197,Base!$A$3:$A$5001,"&gt;="&amp;$C$7,Base!$A$3:$A$5001,"&lt;="&amp;$B206,Base!$Y$3:$Y$5001,"&lt;&gt;")=0,"",SUMIFS(Base!$Y$3:$Y$5001,Base!$B$3:$B$5001,H$197,Base!$A$3:$A$5001,_xlfn.MAXIFS(Base!$A$3:$A$5001,Base!$B$3:$B$5001,H$197,Base!$A$3:$A$5001,"&gt;="&amp;$C$7,Base!$A$3:$A$5001,"&lt;="&amp;$B206,Base!$Y$3:$Y$5001,"&lt;&gt;"))))</f>
        <v>443</v>
      </c>
      <c r="I206">
        <f>IF($A206&gt;$B$9,"",IF(COUNTIFS(Base!$B$3:$B$5001,I$197,Base!$A$3:$A$5001,"&gt;="&amp;$C$7,Base!$A$3:$A$5001,"&lt;="&amp;$B206,Base!$Y$3:$Y$5001,"&lt;&gt;")=0,"",SUMIFS(Base!$Y$3:$Y$5001,Base!$B$3:$B$5001,I$197,Base!$A$3:$A$5001,_xlfn.MAXIFS(Base!$A$3:$A$5001,Base!$B$3:$B$5001,I$197,Base!$A$3:$A$5001,"&gt;="&amp;$C$7,Base!$A$3:$A$5001,"&lt;="&amp;$B206,Base!$Y$3:$Y$5001,"&lt;&gt;"))))</f>
        <v>848</v>
      </c>
      <c r="J206">
        <f>IF($A206&gt;$B$9,"",IF(COUNTIFS(Base!$B$3:$B$5001,J$197,Base!$A$3:$A$5001,"&gt;="&amp;$C$7,Base!$A$3:$A$5001,"&lt;="&amp;$B206,Base!$Y$3:$Y$5001,"&lt;&gt;")=0,"",SUMIFS(Base!$Y$3:$Y$5001,Base!$B$3:$B$5001,J$197,Base!$A$3:$A$5001,_xlfn.MAXIFS(Base!$A$3:$A$5001,Base!$B$3:$B$5001,J$197,Base!$A$3:$A$5001,"&gt;="&amp;$C$7,Base!$A$3:$A$5001,"&lt;="&amp;$B206,Base!$Y$3:$Y$5001,"&lt;&gt;"))))</f>
        <v>281</v>
      </c>
      <c r="K206">
        <f>IF($A206&gt;$B$9,"",IF(COUNTIFS(Base!$B$3:$B$5001,K$197,Base!$A$3:$A$5001,"&gt;="&amp;$C$7,Base!$A$3:$A$5001,"&lt;="&amp;$B206,Base!$Y$3:$Y$5001,"&lt;&gt;")=0,"",SUMIFS(Base!$Y$3:$Y$5001,Base!$B$3:$B$5001,K$197,Base!$A$3:$A$5001,_xlfn.MAXIFS(Base!$A$3:$A$5001,Base!$B$3:$B$5001,K$197,Base!$A$3:$A$5001,"&gt;="&amp;$C$7,Base!$A$3:$A$5001,"&lt;="&amp;$B206,Base!$Y$3:$Y$5001,"&lt;&gt;"))))</f>
        <v>1083</v>
      </c>
    </row>
    <row r="207">
      <c r="A207">
        <v>10</v>
      </c>
      <c r="B207" s="152">
        <f>$B$21</f>
        <v>46275</v>
      </c>
      <c r="C207">
        <f>IF($A207&gt;$B$9,"",IF(COUNTIFS(Base!$B$3:$B$5001,C$197,Base!$A$3:$A$5001,"&gt;="&amp;$C$7,Base!$A$3:$A$5001,"&lt;="&amp;$B207,Base!$Y$3:$Y$5001,"&lt;&gt;")=0,"",SUMIFS(Base!$Y$3:$Y$5001,Base!$B$3:$B$5001,C$197,Base!$A$3:$A$5001,_xlfn.MAXIFS(Base!$A$3:$A$5001,Base!$B$3:$B$5001,C$197,Base!$A$3:$A$5001,"&gt;="&amp;$C$7,Base!$A$3:$A$5001,"&lt;="&amp;$B207,Base!$Y$3:$Y$5001,"&lt;&gt;"))))</f>
        <v>1902</v>
      </c>
      <c r="D207">
        <f>IF($A207&gt;$B$9,"",IF(COUNTIFS(Base!$B$3:$B$5001,D$197,Base!$A$3:$A$5001,"&gt;="&amp;$C$7,Base!$A$3:$A$5001,"&lt;="&amp;$B207,Base!$Y$3:$Y$5001,"&lt;&gt;")=0,"",SUMIFS(Base!$Y$3:$Y$5001,Base!$B$3:$B$5001,D$197,Base!$A$3:$A$5001,_xlfn.MAXIFS(Base!$A$3:$A$5001,Base!$B$3:$B$5001,D$197,Base!$A$3:$A$5001,"&gt;="&amp;$C$7,Base!$A$3:$A$5001,"&lt;="&amp;$B207,Base!$Y$3:$Y$5001,"&lt;&gt;"))))</f>
        <v>754</v>
      </c>
      <c r="E207">
        <f>IF($A207&gt;$B$9,"",IF(COUNTIFS(Base!$B$3:$B$5001,E$197,Base!$A$3:$A$5001,"&gt;="&amp;$C$7,Base!$A$3:$A$5001,"&lt;="&amp;$B207,Base!$Y$3:$Y$5001,"&lt;&gt;")=0,"",SUMIFS(Base!$Y$3:$Y$5001,Base!$B$3:$B$5001,E$197,Base!$A$3:$A$5001,_xlfn.MAXIFS(Base!$A$3:$A$5001,Base!$B$3:$B$5001,E$197,Base!$A$3:$A$5001,"&gt;="&amp;$C$7,Base!$A$3:$A$5001,"&lt;="&amp;$B207,Base!$Y$3:$Y$5001,"&lt;&gt;"))))</f>
        <v>2504</v>
      </c>
      <c r="F207">
        <f>IF($A207&gt;$B$9,"",IF(COUNTIFS(Base!$B$3:$B$5001,F$197,Base!$A$3:$A$5001,"&gt;="&amp;$C$7,Base!$A$3:$A$5001,"&lt;="&amp;$B207,Base!$Y$3:$Y$5001,"&lt;&gt;")=0,"",SUMIFS(Base!$Y$3:$Y$5001,Base!$B$3:$B$5001,F$197,Base!$A$3:$A$5001,_xlfn.MAXIFS(Base!$A$3:$A$5001,Base!$B$3:$B$5001,F$197,Base!$A$3:$A$5001,"&gt;="&amp;$C$7,Base!$A$3:$A$5001,"&lt;="&amp;$B207,Base!$Y$3:$Y$5001,"&lt;&gt;"))))</f>
        <v>1426</v>
      </c>
      <c r="G207">
        <f>IF($A207&gt;$B$9,"",IF(COUNTIFS(Base!$B$3:$B$5001,G$197,Base!$A$3:$A$5001,"&gt;="&amp;$C$7,Base!$A$3:$A$5001,"&lt;="&amp;$B207,Base!$Y$3:$Y$5001,"&lt;&gt;")=0,"",SUMIFS(Base!$Y$3:$Y$5001,Base!$B$3:$B$5001,G$197,Base!$A$3:$A$5001,_xlfn.MAXIFS(Base!$A$3:$A$5001,Base!$B$3:$B$5001,G$197,Base!$A$3:$A$5001,"&gt;="&amp;$C$7,Base!$A$3:$A$5001,"&lt;="&amp;$B207,Base!$Y$3:$Y$5001,"&lt;&gt;"))))</f>
        <v>700</v>
      </c>
      <c r="H207">
        <f>IF($A207&gt;$B$9,"",IF(COUNTIFS(Base!$B$3:$B$5001,H$197,Base!$A$3:$A$5001,"&gt;="&amp;$C$7,Base!$A$3:$A$5001,"&lt;="&amp;$B207,Base!$Y$3:$Y$5001,"&lt;&gt;")=0,"",SUMIFS(Base!$Y$3:$Y$5001,Base!$B$3:$B$5001,H$197,Base!$A$3:$A$5001,_xlfn.MAXIFS(Base!$A$3:$A$5001,Base!$B$3:$B$5001,H$197,Base!$A$3:$A$5001,"&gt;="&amp;$C$7,Base!$A$3:$A$5001,"&lt;="&amp;$B207,Base!$Y$3:$Y$5001,"&lt;&gt;"))))</f>
        <v>412</v>
      </c>
      <c r="I207">
        <f>IF($A207&gt;$B$9,"",IF(COUNTIFS(Base!$B$3:$B$5001,I$197,Base!$A$3:$A$5001,"&gt;="&amp;$C$7,Base!$A$3:$A$5001,"&lt;="&amp;$B207,Base!$Y$3:$Y$5001,"&lt;&gt;")=0,"",SUMIFS(Base!$Y$3:$Y$5001,Base!$B$3:$B$5001,I$197,Base!$A$3:$A$5001,_xlfn.MAXIFS(Base!$A$3:$A$5001,Base!$B$3:$B$5001,I$197,Base!$A$3:$A$5001,"&gt;="&amp;$C$7,Base!$A$3:$A$5001,"&lt;="&amp;$B207,Base!$Y$3:$Y$5001,"&lt;&gt;"))))</f>
        <v>1145</v>
      </c>
      <c r="J207">
        <f>IF($A207&gt;$B$9,"",IF(COUNTIFS(Base!$B$3:$B$5001,J$197,Base!$A$3:$A$5001,"&gt;="&amp;$C$7,Base!$A$3:$A$5001,"&lt;="&amp;$B207,Base!$Y$3:$Y$5001,"&lt;&gt;")=0,"",SUMIFS(Base!$Y$3:$Y$5001,Base!$B$3:$B$5001,J$197,Base!$A$3:$A$5001,_xlfn.MAXIFS(Base!$A$3:$A$5001,Base!$B$3:$B$5001,J$197,Base!$A$3:$A$5001,"&gt;="&amp;$C$7,Base!$A$3:$A$5001,"&lt;="&amp;$B207,Base!$Y$3:$Y$5001,"&lt;&gt;"))))</f>
        <v>362</v>
      </c>
      <c r="K207">
        <f>IF($A207&gt;$B$9,"",IF(COUNTIFS(Base!$B$3:$B$5001,K$197,Base!$A$3:$A$5001,"&gt;="&amp;$C$7,Base!$A$3:$A$5001,"&lt;="&amp;$B207,Base!$Y$3:$Y$5001,"&lt;&gt;")=0,"",SUMIFS(Base!$Y$3:$Y$5001,Base!$B$3:$B$5001,K$197,Base!$A$3:$A$5001,_xlfn.MAXIFS(Base!$A$3:$A$5001,Base!$B$3:$B$5001,K$197,Base!$A$3:$A$5001,"&gt;="&amp;$C$7,Base!$A$3:$A$5001,"&lt;="&amp;$B207,Base!$Y$3:$Y$5001,"&lt;&gt;"))))</f>
        <v>1314</v>
      </c>
    </row>
    <row r="208">
      <c r="A208">
        <v>11</v>
      </c>
      <c r="B208" s="152">
        <f>$B$22</f>
        <v>46276</v>
      </c>
      <c r="C208">
        <f>IF($A208&gt;$B$9,"",IF(COUNTIFS(Base!$B$3:$B$5001,C$197,Base!$A$3:$A$5001,"&gt;="&amp;$C$7,Base!$A$3:$A$5001,"&lt;="&amp;$B208,Base!$Y$3:$Y$5001,"&lt;&gt;")=0,"",SUMIFS(Base!$Y$3:$Y$5001,Base!$B$3:$B$5001,C$197,Base!$A$3:$A$5001,_xlfn.MAXIFS(Base!$A$3:$A$5001,Base!$B$3:$B$5001,C$197,Base!$A$3:$A$5001,"&gt;="&amp;$C$7,Base!$A$3:$A$5001,"&lt;="&amp;$B208,Base!$Y$3:$Y$5001,"&lt;&gt;"))))</f>
        <v>1281</v>
      </c>
      <c r="D208">
        <f>IF($A208&gt;$B$9,"",IF(COUNTIFS(Base!$B$3:$B$5001,D$197,Base!$A$3:$A$5001,"&gt;="&amp;$C$7,Base!$A$3:$A$5001,"&lt;="&amp;$B208,Base!$Y$3:$Y$5001,"&lt;&gt;")=0,"",SUMIFS(Base!$Y$3:$Y$5001,Base!$B$3:$B$5001,D$197,Base!$A$3:$A$5001,_xlfn.MAXIFS(Base!$A$3:$A$5001,Base!$B$3:$B$5001,D$197,Base!$A$3:$A$5001,"&gt;="&amp;$C$7,Base!$A$3:$A$5001,"&lt;="&amp;$B208,Base!$Y$3:$Y$5001,"&lt;&gt;"))))</f>
        <v>752</v>
      </c>
      <c r="E208">
        <f>IF($A208&gt;$B$9,"",IF(COUNTIFS(Base!$B$3:$B$5001,E$197,Base!$A$3:$A$5001,"&gt;="&amp;$C$7,Base!$A$3:$A$5001,"&lt;="&amp;$B208,Base!$Y$3:$Y$5001,"&lt;&gt;")=0,"",SUMIFS(Base!$Y$3:$Y$5001,Base!$B$3:$B$5001,E$197,Base!$A$3:$A$5001,_xlfn.MAXIFS(Base!$A$3:$A$5001,Base!$B$3:$B$5001,E$197,Base!$A$3:$A$5001,"&gt;="&amp;$C$7,Base!$A$3:$A$5001,"&lt;="&amp;$B208,Base!$Y$3:$Y$5001,"&lt;&gt;"))))</f>
        <v>3106</v>
      </c>
      <c r="F208">
        <f>IF($A208&gt;$B$9,"",IF(COUNTIFS(Base!$B$3:$B$5001,F$197,Base!$A$3:$A$5001,"&gt;="&amp;$C$7,Base!$A$3:$A$5001,"&lt;="&amp;$B208,Base!$Y$3:$Y$5001,"&lt;&gt;")=0,"",SUMIFS(Base!$Y$3:$Y$5001,Base!$B$3:$B$5001,F$197,Base!$A$3:$A$5001,_xlfn.MAXIFS(Base!$A$3:$A$5001,Base!$B$3:$B$5001,F$197,Base!$A$3:$A$5001,"&gt;="&amp;$C$7,Base!$A$3:$A$5001,"&lt;="&amp;$B208,Base!$Y$3:$Y$5001,"&lt;&gt;"))))</f>
        <v>1035</v>
      </c>
      <c r="G208">
        <f>IF($A208&gt;$B$9,"",IF(COUNTIFS(Base!$B$3:$B$5001,G$197,Base!$A$3:$A$5001,"&gt;="&amp;$C$7,Base!$A$3:$A$5001,"&lt;="&amp;$B208,Base!$Y$3:$Y$5001,"&lt;&gt;")=0,"",SUMIFS(Base!$Y$3:$Y$5001,Base!$B$3:$B$5001,G$197,Base!$A$3:$A$5001,_xlfn.MAXIFS(Base!$A$3:$A$5001,Base!$B$3:$B$5001,G$197,Base!$A$3:$A$5001,"&gt;="&amp;$C$7,Base!$A$3:$A$5001,"&lt;="&amp;$B208,Base!$Y$3:$Y$5001,"&lt;&gt;"))))</f>
        <v>823</v>
      </c>
      <c r="H208">
        <f>IF($A208&gt;$B$9,"",IF(COUNTIFS(Base!$B$3:$B$5001,H$197,Base!$A$3:$A$5001,"&gt;="&amp;$C$7,Base!$A$3:$A$5001,"&lt;="&amp;$B208,Base!$Y$3:$Y$5001,"&lt;&gt;")=0,"",SUMIFS(Base!$Y$3:$Y$5001,Base!$B$3:$B$5001,H$197,Base!$A$3:$A$5001,_xlfn.MAXIFS(Base!$A$3:$A$5001,Base!$B$3:$B$5001,H$197,Base!$A$3:$A$5001,"&gt;="&amp;$C$7,Base!$A$3:$A$5001,"&lt;="&amp;$B208,Base!$Y$3:$Y$5001,"&lt;&gt;"))))</f>
        <v>485</v>
      </c>
      <c r="I208">
        <f>IF($A208&gt;$B$9,"",IF(COUNTIFS(Base!$B$3:$B$5001,I$197,Base!$A$3:$A$5001,"&gt;="&amp;$C$7,Base!$A$3:$A$5001,"&lt;="&amp;$B208,Base!$Y$3:$Y$5001,"&lt;&gt;")=0,"",SUMIFS(Base!$Y$3:$Y$5001,Base!$B$3:$B$5001,I$197,Base!$A$3:$A$5001,_xlfn.MAXIFS(Base!$A$3:$A$5001,Base!$B$3:$B$5001,I$197,Base!$A$3:$A$5001,"&gt;="&amp;$C$7,Base!$A$3:$A$5001,"&lt;="&amp;$B208,Base!$Y$3:$Y$5001,"&lt;&gt;"))))</f>
        <v>1048</v>
      </c>
      <c r="J208">
        <f>IF($A208&gt;$B$9,"",IF(COUNTIFS(Base!$B$3:$B$5001,J$197,Base!$A$3:$A$5001,"&gt;="&amp;$C$7,Base!$A$3:$A$5001,"&lt;="&amp;$B208,Base!$Y$3:$Y$5001,"&lt;&gt;")=0,"",SUMIFS(Base!$Y$3:$Y$5001,Base!$B$3:$B$5001,J$197,Base!$A$3:$A$5001,_xlfn.MAXIFS(Base!$A$3:$A$5001,Base!$B$3:$B$5001,J$197,Base!$A$3:$A$5001,"&gt;="&amp;$C$7,Base!$A$3:$A$5001,"&lt;="&amp;$B208,Base!$Y$3:$Y$5001,"&lt;&gt;"))))</f>
        <v>348</v>
      </c>
      <c r="K208">
        <f>IF($A208&gt;$B$9,"",IF(COUNTIFS(Base!$B$3:$B$5001,K$197,Base!$A$3:$A$5001,"&gt;="&amp;$C$7,Base!$A$3:$A$5001,"&lt;="&amp;$B208,Base!$Y$3:$Y$5001,"&lt;&gt;")=0,"",SUMIFS(Base!$Y$3:$Y$5001,Base!$B$3:$B$5001,K$197,Base!$A$3:$A$5001,_xlfn.MAXIFS(Base!$A$3:$A$5001,Base!$B$3:$B$5001,K$197,Base!$A$3:$A$5001,"&gt;="&amp;$C$7,Base!$A$3:$A$5001,"&lt;="&amp;$B208,Base!$Y$3:$Y$5001,"&lt;&gt;"))))</f>
        <v>1458</v>
      </c>
    </row>
    <row r="209">
      <c r="A209">
        <v>12</v>
      </c>
      <c r="B209" s="152">
        <f>$B$23</f>
        <v>46277</v>
      </c>
      <c r="C209">
        <f>IF($A209&gt;$B$9,"",IF(COUNTIFS(Base!$B$3:$B$5001,C$197,Base!$A$3:$A$5001,"&gt;="&amp;$C$7,Base!$A$3:$A$5001,"&lt;="&amp;$B209,Base!$Y$3:$Y$5001,"&lt;&gt;")=0,"",SUMIFS(Base!$Y$3:$Y$5001,Base!$B$3:$B$5001,C$197,Base!$A$3:$A$5001,_xlfn.MAXIFS(Base!$A$3:$A$5001,Base!$B$3:$B$5001,C$197,Base!$A$3:$A$5001,"&gt;="&amp;$C$7,Base!$A$3:$A$5001,"&lt;="&amp;$B209,Base!$Y$3:$Y$5001,"&lt;&gt;"))))</f>
        <v>1581</v>
      </c>
      <c r="D209">
        <f>IF($A209&gt;$B$9,"",IF(COUNTIFS(Base!$B$3:$B$5001,D$197,Base!$A$3:$A$5001,"&gt;="&amp;$C$7,Base!$A$3:$A$5001,"&lt;="&amp;$B209,Base!$Y$3:$Y$5001,"&lt;&gt;")=0,"",SUMIFS(Base!$Y$3:$Y$5001,Base!$B$3:$B$5001,D$197,Base!$A$3:$A$5001,_xlfn.MAXIFS(Base!$A$3:$A$5001,Base!$B$3:$B$5001,D$197,Base!$A$3:$A$5001,"&gt;="&amp;$C$7,Base!$A$3:$A$5001,"&lt;="&amp;$B209,Base!$Y$3:$Y$5001,"&lt;&gt;"))))</f>
        <v>1132</v>
      </c>
      <c r="E209">
        <f>IF($A209&gt;$B$9,"",IF(COUNTIFS(Base!$B$3:$B$5001,E$197,Base!$A$3:$A$5001,"&gt;="&amp;$C$7,Base!$A$3:$A$5001,"&lt;="&amp;$B209,Base!$Y$3:$Y$5001,"&lt;&gt;")=0,"",SUMIFS(Base!$Y$3:$Y$5001,Base!$B$3:$B$5001,E$197,Base!$A$3:$A$5001,_xlfn.MAXIFS(Base!$A$3:$A$5001,Base!$B$3:$B$5001,E$197,Base!$A$3:$A$5001,"&gt;="&amp;$C$7,Base!$A$3:$A$5001,"&lt;="&amp;$B209,Base!$Y$3:$Y$5001,"&lt;&gt;"))))</f>
        <v>1956</v>
      </c>
      <c r="F209">
        <f>IF($A209&gt;$B$9,"",IF(COUNTIFS(Base!$B$3:$B$5001,F$197,Base!$A$3:$A$5001,"&gt;="&amp;$C$7,Base!$A$3:$A$5001,"&lt;="&amp;$B209,Base!$Y$3:$Y$5001,"&lt;&gt;")=0,"",SUMIFS(Base!$Y$3:$Y$5001,Base!$B$3:$B$5001,F$197,Base!$A$3:$A$5001,_xlfn.MAXIFS(Base!$A$3:$A$5001,Base!$B$3:$B$5001,F$197,Base!$A$3:$A$5001,"&gt;="&amp;$C$7,Base!$A$3:$A$5001,"&lt;="&amp;$B209,Base!$Y$3:$Y$5001,"&lt;&gt;"))))</f>
        <v>1399</v>
      </c>
      <c r="G209">
        <f>IF($A209&gt;$B$9,"",IF(COUNTIFS(Base!$B$3:$B$5001,G$197,Base!$A$3:$A$5001,"&gt;="&amp;$C$7,Base!$A$3:$A$5001,"&lt;="&amp;$B209,Base!$Y$3:$Y$5001,"&lt;&gt;")=0,"",SUMIFS(Base!$Y$3:$Y$5001,Base!$B$3:$B$5001,G$197,Base!$A$3:$A$5001,_xlfn.MAXIFS(Base!$A$3:$A$5001,Base!$B$3:$B$5001,G$197,Base!$A$3:$A$5001,"&gt;="&amp;$C$7,Base!$A$3:$A$5001,"&lt;="&amp;$B209,Base!$Y$3:$Y$5001,"&lt;&gt;"))))</f>
        <v>733</v>
      </c>
      <c r="H209">
        <f>IF($A209&gt;$B$9,"",IF(COUNTIFS(Base!$B$3:$B$5001,H$197,Base!$A$3:$A$5001,"&gt;="&amp;$C$7,Base!$A$3:$A$5001,"&lt;="&amp;$B209,Base!$Y$3:$Y$5001,"&lt;&gt;")=0,"",SUMIFS(Base!$Y$3:$Y$5001,Base!$B$3:$B$5001,H$197,Base!$A$3:$A$5001,_xlfn.MAXIFS(Base!$A$3:$A$5001,Base!$B$3:$B$5001,H$197,Base!$A$3:$A$5001,"&gt;="&amp;$C$7,Base!$A$3:$A$5001,"&lt;="&amp;$B209,Base!$Y$3:$Y$5001,"&lt;&gt;"))))</f>
        <v>451</v>
      </c>
      <c r="I209">
        <f>IF($A209&gt;$B$9,"",IF(COUNTIFS(Base!$B$3:$B$5001,I$197,Base!$A$3:$A$5001,"&gt;="&amp;$C$7,Base!$A$3:$A$5001,"&lt;="&amp;$B209,Base!$Y$3:$Y$5001,"&lt;&gt;")=0,"",SUMIFS(Base!$Y$3:$Y$5001,Base!$B$3:$B$5001,I$197,Base!$A$3:$A$5001,_xlfn.MAXIFS(Base!$A$3:$A$5001,Base!$B$3:$B$5001,I$197,Base!$A$3:$A$5001,"&gt;="&amp;$C$7,Base!$A$3:$A$5001,"&lt;="&amp;$B209,Base!$Y$3:$Y$5001,"&lt;&gt;"))))</f>
        <v>1091</v>
      </c>
      <c r="J209">
        <f>IF($A209&gt;$B$9,"",IF(COUNTIFS(Base!$B$3:$B$5001,J$197,Base!$A$3:$A$5001,"&gt;="&amp;$C$7,Base!$A$3:$A$5001,"&lt;="&amp;$B209,Base!$Y$3:$Y$5001,"&lt;&gt;")=0,"",SUMIFS(Base!$Y$3:$Y$5001,Base!$B$3:$B$5001,J$197,Base!$A$3:$A$5001,_xlfn.MAXIFS(Base!$A$3:$A$5001,Base!$B$3:$B$5001,J$197,Base!$A$3:$A$5001,"&gt;="&amp;$C$7,Base!$A$3:$A$5001,"&lt;="&amp;$B209,Base!$Y$3:$Y$5001,"&lt;&gt;"))))</f>
        <v>419</v>
      </c>
      <c r="K209">
        <f>IF($A209&gt;$B$9,"",IF(COUNTIFS(Base!$B$3:$B$5001,K$197,Base!$A$3:$A$5001,"&gt;="&amp;$C$7,Base!$A$3:$A$5001,"&lt;="&amp;$B209,Base!$Y$3:$Y$5001,"&lt;&gt;")=0,"",SUMIFS(Base!$Y$3:$Y$5001,Base!$B$3:$B$5001,K$197,Base!$A$3:$A$5001,_xlfn.MAXIFS(Base!$A$3:$A$5001,Base!$B$3:$B$5001,K$197,Base!$A$3:$A$5001,"&gt;="&amp;$C$7,Base!$A$3:$A$5001,"&lt;="&amp;$B209,Base!$Y$3:$Y$5001,"&lt;&gt;"))))</f>
        <v>1299</v>
      </c>
    </row>
    <row r="210">
      <c r="A210">
        <v>13</v>
      </c>
      <c r="B210" s="152">
        <f>$B$24</f>
        <v>46278</v>
      </c>
      <c r="C210">
        <f>IF($A210&gt;$B$9,"",IF(COUNTIFS(Base!$B$3:$B$5001,C$197,Base!$A$3:$A$5001,"&gt;="&amp;$C$7,Base!$A$3:$A$5001,"&lt;="&amp;$B210,Base!$Y$3:$Y$5001,"&lt;&gt;")=0,"",SUMIFS(Base!$Y$3:$Y$5001,Base!$B$3:$B$5001,C$197,Base!$A$3:$A$5001,_xlfn.MAXIFS(Base!$A$3:$A$5001,Base!$B$3:$B$5001,C$197,Base!$A$3:$A$5001,"&gt;="&amp;$C$7,Base!$A$3:$A$5001,"&lt;="&amp;$B210,Base!$Y$3:$Y$5001,"&lt;&gt;"))))</f>
        <v>1581</v>
      </c>
      <c r="D210">
        <f>IF($A210&gt;$B$9,"",IF(COUNTIFS(Base!$B$3:$B$5001,D$197,Base!$A$3:$A$5001,"&gt;="&amp;$C$7,Base!$A$3:$A$5001,"&lt;="&amp;$B210,Base!$Y$3:$Y$5001,"&lt;&gt;")=0,"",SUMIFS(Base!$Y$3:$Y$5001,Base!$B$3:$B$5001,D$197,Base!$A$3:$A$5001,_xlfn.MAXIFS(Base!$A$3:$A$5001,Base!$B$3:$B$5001,D$197,Base!$A$3:$A$5001,"&gt;="&amp;$C$7,Base!$A$3:$A$5001,"&lt;="&amp;$B210,Base!$Y$3:$Y$5001,"&lt;&gt;"))))</f>
        <v>1132</v>
      </c>
      <c r="E210">
        <f>IF($A210&gt;$B$9,"",IF(COUNTIFS(Base!$B$3:$B$5001,E$197,Base!$A$3:$A$5001,"&gt;="&amp;$C$7,Base!$A$3:$A$5001,"&lt;="&amp;$B210,Base!$Y$3:$Y$5001,"&lt;&gt;")=0,"",SUMIFS(Base!$Y$3:$Y$5001,Base!$B$3:$B$5001,E$197,Base!$A$3:$A$5001,_xlfn.MAXIFS(Base!$A$3:$A$5001,Base!$B$3:$B$5001,E$197,Base!$A$3:$A$5001,"&gt;="&amp;$C$7,Base!$A$3:$A$5001,"&lt;="&amp;$B210,Base!$Y$3:$Y$5001,"&lt;&gt;"))))</f>
        <v>1956</v>
      </c>
      <c r="F210">
        <f>IF($A210&gt;$B$9,"",IF(COUNTIFS(Base!$B$3:$B$5001,F$197,Base!$A$3:$A$5001,"&gt;="&amp;$C$7,Base!$A$3:$A$5001,"&lt;="&amp;$B210,Base!$Y$3:$Y$5001,"&lt;&gt;")=0,"",SUMIFS(Base!$Y$3:$Y$5001,Base!$B$3:$B$5001,F$197,Base!$A$3:$A$5001,_xlfn.MAXIFS(Base!$A$3:$A$5001,Base!$B$3:$B$5001,F$197,Base!$A$3:$A$5001,"&gt;="&amp;$C$7,Base!$A$3:$A$5001,"&lt;="&amp;$B210,Base!$Y$3:$Y$5001,"&lt;&gt;"))))</f>
        <v>1399</v>
      </c>
      <c r="G210">
        <f>IF($A210&gt;$B$9,"",IF(COUNTIFS(Base!$B$3:$B$5001,G$197,Base!$A$3:$A$5001,"&gt;="&amp;$C$7,Base!$A$3:$A$5001,"&lt;="&amp;$B210,Base!$Y$3:$Y$5001,"&lt;&gt;")=0,"",SUMIFS(Base!$Y$3:$Y$5001,Base!$B$3:$B$5001,G$197,Base!$A$3:$A$5001,_xlfn.MAXIFS(Base!$A$3:$A$5001,Base!$B$3:$B$5001,G$197,Base!$A$3:$A$5001,"&gt;="&amp;$C$7,Base!$A$3:$A$5001,"&lt;="&amp;$B210,Base!$Y$3:$Y$5001,"&lt;&gt;"))))</f>
        <v>733</v>
      </c>
      <c r="H210">
        <f>IF($A210&gt;$B$9,"",IF(COUNTIFS(Base!$B$3:$B$5001,H$197,Base!$A$3:$A$5001,"&gt;="&amp;$C$7,Base!$A$3:$A$5001,"&lt;="&amp;$B210,Base!$Y$3:$Y$5001,"&lt;&gt;")=0,"",SUMIFS(Base!$Y$3:$Y$5001,Base!$B$3:$B$5001,H$197,Base!$A$3:$A$5001,_xlfn.MAXIFS(Base!$A$3:$A$5001,Base!$B$3:$B$5001,H$197,Base!$A$3:$A$5001,"&gt;="&amp;$C$7,Base!$A$3:$A$5001,"&lt;="&amp;$B210,Base!$Y$3:$Y$5001,"&lt;&gt;"))))</f>
        <v>451</v>
      </c>
      <c r="I210">
        <f>IF($A210&gt;$B$9,"",IF(COUNTIFS(Base!$B$3:$B$5001,I$197,Base!$A$3:$A$5001,"&gt;="&amp;$C$7,Base!$A$3:$A$5001,"&lt;="&amp;$B210,Base!$Y$3:$Y$5001,"&lt;&gt;")=0,"",SUMIFS(Base!$Y$3:$Y$5001,Base!$B$3:$B$5001,I$197,Base!$A$3:$A$5001,_xlfn.MAXIFS(Base!$A$3:$A$5001,Base!$B$3:$B$5001,I$197,Base!$A$3:$A$5001,"&gt;="&amp;$C$7,Base!$A$3:$A$5001,"&lt;="&amp;$B210,Base!$Y$3:$Y$5001,"&lt;&gt;"))))</f>
        <v>1091</v>
      </c>
      <c r="J210">
        <f>IF($A210&gt;$B$9,"",IF(COUNTIFS(Base!$B$3:$B$5001,J$197,Base!$A$3:$A$5001,"&gt;="&amp;$C$7,Base!$A$3:$A$5001,"&lt;="&amp;$B210,Base!$Y$3:$Y$5001,"&lt;&gt;")=0,"",SUMIFS(Base!$Y$3:$Y$5001,Base!$B$3:$B$5001,J$197,Base!$A$3:$A$5001,_xlfn.MAXIFS(Base!$A$3:$A$5001,Base!$B$3:$B$5001,J$197,Base!$A$3:$A$5001,"&gt;="&amp;$C$7,Base!$A$3:$A$5001,"&lt;="&amp;$B210,Base!$Y$3:$Y$5001,"&lt;&gt;"))))</f>
        <v>419</v>
      </c>
      <c r="K210">
        <f>IF($A210&gt;$B$9,"",IF(COUNTIFS(Base!$B$3:$B$5001,K$197,Base!$A$3:$A$5001,"&gt;="&amp;$C$7,Base!$A$3:$A$5001,"&lt;="&amp;$B210,Base!$Y$3:$Y$5001,"&lt;&gt;")=0,"",SUMIFS(Base!$Y$3:$Y$5001,Base!$B$3:$B$5001,K$197,Base!$A$3:$A$5001,_xlfn.MAXIFS(Base!$A$3:$A$5001,Base!$B$3:$B$5001,K$197,Base!$A$3:$A$5001,"&gt;="&amp;$C$7,Base!$A$3:$A$5001,"&lt;="&amp;$B210,Base!$Y$3:$Y$5001,"&lt;&gt;"))))</f>
        <v>1299</v>
      </c>
    </row>
    <row r="211">
      <c r="A211">
        <v>14</v>
      </c>
      <c r="B211" s="152">
        <f>$B$25</f>
        <v>46279</v>
      </c>
      <c r="C211">
        <f>IF($A211&gt;$B$9,"",IF(COUNTIFS(Base!$B$3:$B$5001,C$197,Base!$A$3:$A$5001,"&gt;="&amp;$C$7,Base!$A$3:$A$5001,"&lt;="&amp;$B211,Base!$Y$3:$Y$5001,"&lt;&gt;")=0,"",SUMIFS(Base!$Y$3:$Y$5001,Base!$B$3:$B$5001,C$197,Base!$A$3:$A$5001,_xlfn.MAXIFS(Base!$A$3:$A$5001,Base!$B$3:$B$5001,C$197,Base!$A$3:$A$5001,"&gt;="&amp;$C$7,Base!$A$3:$A$5001,"&lt;="&amp;$B211,Base!$Y$3:$Y$5001,"&lt;&gt;"))))</f>
        <v>1909</v>
      </c>
      <c r="D211">
        <f>IF($A211&gt;$B$9,"",IF(COUNTIFS(Base!$B$3:$B$5001,D$197,Base!$A$3:$A$5001,"&gt;="&amp;$C$7,Base!$A$3:$A$5001,"&lt;="&amp;$B211,Base!$Y$3:$Y$5001,"&lt;&gt;")=0,"",SUMIFS(Base!$Y$3:$Y$5001,Base!$B$3:$B$5001,D$197,Base!$A$3:$A$5001,_xlfn.MAXIFS(Base!$A$3:$A$5001,Base!$B$3:$B$5001,D$197,Base!$A$3:$A$5001,"&gt;="&amp;$C$7,Base!$A$3:$A$5001,"&lt;="&amp;$B211,Base!$Y$3:$Y$5001,"&lt;&gt;"))))</f>
        <v>808</v>
      </c>
      <c r="E211">
        <f>IF($A211&gt;$B$9,"",IF(COUNTIFS(Base!$B$3:$B$5001,E$197,Base!$A$3:$A$5001,"&gt;="&amp;$C$7,Base!$A$3:$A$5001,"&lt;="&amp;$B211,Base!$Y$3:$Y$5001,"&lt;&gt;")=0,"",SUMIFS(Base!$Y$3:$Y$5001,Base!$B$3:$B$5001,E$197,Base!$A$3:$A$5001,_xlfn.MAXIFS(Base!$A$3:$A$5001,Base!$B$3:$B$5001,E$197,Base!$A$3:$A$5001,"&gt;="&amp;$C$7,Base!$A$3:$A$5001,"&lt;="&amp;$B211,Base!$Y$3:$Y$5001,"&lt;&gt;"))))</f>
        <v>2986</v>
      </c>
      <c r="F211">
        <f>IF($A211&gt;$B$9,"",IF(COUNTIFS(Base!$B$3:$B$5001,F$197,Base!$A$3:$A$5001,"&gt;="&amp;$C$7,Base!$A$3:$A$5001,"&lt;="&amp;$B211,Base!$Y$3:$Y$5001,"&lt;&gt;")=0,"",SUMIFS(Base!$Y$3:$Y$5001,Base!$B$3:$B$5001,F$197,Base!$A$3:$A$5001,_xlfn.MAXIFS(Base!$A$3:$A$5001,Base!$B$3:$B$5001,F$197,Base!$A$3:$A$5001,"&gt;="&amp;$C$7,Base!$A$3:$A$5001,"&lt;="&amp;$B211,Base!$Y$3:$Y$5001,"&lt;&gt;"))))</f>
        <v>1339</v>
      </c>
      <c r="G211">
        <f>IF($A211&gt;$B$9,"",IF(COUNTIFS(Base!$B$3:$B$5001,G$197,Base!$A$3:$A$5001,"&gt;="&amp;$C$7,Base!$A$3:$A$5001,"&lt;="&amp;$B211,Base!$Y$3:$Y$5001,"&lt;&gt;")=0,"",SUMIFS(Base!$Y$3:$Y$5001,Base!$B$3:$B$5001,G$197,Base!$A$3:$A$5001,_xlfn.MAXIFS(Base!$A$3:$A$5001,Base!$B$3:$B$5001,G$197,Base!$A$3:$A$5001,"&gt;="&amp;$C$7,Base!$A$3:$A$5001,"&lt;="&amp;$B211,Base!$Y$3:$Y$5001,"&lt;&gt;"))))</f>
        <v>504</v>
      </c>
      <c r="H211">
        <f>IF($A211&gt;$B$9,"",IF(COUNTIFS(Base!$B$3:$B$5001,H$197,Base!$A$3:$A$5001,"&gt;="&amp;$C$7,Base!$A$3:$A$5001,"&lt;="&amp;$B211,Base!$Y$3:$Y$5001,"&lt;&gt;")=0,"",SUMIFS(Base!$Y$3:$Y$5001,Base!$B$3:$B$5001,H$197,Base!$A$3:$A$5001,_xlfn.MAXIFS(Base!$A$3:$A$5001,Base!$B$3:$B$5001,H$197,Base!$A$3:$A$5001,"&gt;="&amp;$C$7,Base!$A$3:$A$5001,"&lt;="&amp;$B211,Base!$Y$3:$Y$5001,"&lt;&gt;"))))</f>
        <v>492</v>
      </c>
      <c r="I211">
        <f>IF($A211&gt;$B$9,"",IF(COUNTIFS(Base!$B$3:$B$5001,I$197,Base!$A$3:$A$5001,"&gt;="&amp;$C$7,Base!$A$3:$A$5001,"&lt;="&amp;$B211,Base!$Y$3:$Y$5001,"&lt;&gt;")=0,"",SUMIFS(Base!$Y$3:$Y$5001,Base!$B$3:$B$5001,I$197,Base!$A$3:$A$5001,_xlfn.MAXIFS(Base!$A$3:$A$5001,Base!$B$3:$B$5001,I$197,Base!$A$3:$A$5001,"&gt;="&amp;$C$7,Base!$A$3:$A$5001,"&lt;="&amp;$B211,Base!$Y$3:$Y$5001,"&lt;&gt;"))))</f>
        <v>1354</v>
      </c>
      <c r="J211">
        <f>IF($A211&gt;$B$9,"",IF(COUNTIFS(Base!$B$3:$B$5001,J$197,Base!$A$3:$A$5001,"&gt;="&amp;$C$7,Base!$A$3:$A$5001,"&lt;="&amp;$B211,Base!$Y$3:$Y$5001,"&lt;&gt;")=0,"",SUMIFS(Base!$Y$3:$Y$5001,Base!$B$3:$B$5001,J$197,Base!$A$3:$A$5001,_xlfn.MAXIFS(Base!$A$3:$A$5001,Base!$B$3:$B$5001,J$197,Base!$A$3:$A$5001,"&gt;="&amp;$C$7,Base!$A$3:$A$5001,"&lt;="&amp;$B211,Base!$Y$3:$Y$5001,"&lt;&gt;"))))</f>
        <v>447</v>
      </c>
      <c r="K211">
        <f>IF($A211&gt;$B$9,"",IF(COUNTIFS(Base!$B$3:$B$5001,K$197,Base!$A$3:$A$5001,"&gt;="&amp;$C$7,Base!$A$3:$A$5001,"&lt;="&amp;$B211,Base!$Y$3:$Y$5001,"&lt;&gt;")=0,"",SUMIFS(Base!$Y$3:$Y$5001,Base!$B$3:$B$5001,K$197,Base!$A$3:$A$5001,_xlfn.MAXIFS(Base!$A$3:$A$5001,Base!$B$3:$B$5001,K$197,Base!$A$3:$A$5001,"&gt;="&amp;$C$7,Base!$A$3:$A$5001,"&lt;="&amp;$B211,Base!$Y$3:$Y$5001,"&lt;&gt;"))))</f>
        <v>1408</v>
      </c>
    </row>
    <row r="212">
      <c r="A212">
        <v>15</v>
      </c>
      <c r="B212" s="152">
        <f>$B$26</f>
        <v>46280</v>
      </c>
      <c r="C212">
        <f>IF($A212&gt;$B$9,"",IF(COUNTIFS(Base!$B$3:$B$5001,C$197,Base!$A$3:$A$5001,"&gt;="&amp;$C$7,Base!$A$3:$A$5001,"&lt;="&amp;$B212,Base!$Y$3:$Y$5001,"&lt;&gt;")=0,"",SUMIFS(Base!$Y$3:$Y$5001,Base!$B$3:$B$5001,C$197,Base!$A$3:$A$5001,_xlfn.MAXIFS(Base!$A$3:$A$5001,Base!$B$3:$B$5001,C$197,Base!$A$3:$A$5001,"&gt;="&amp;$C$7,Base!$A$3:$A$5001,"&lt;="&amp;$B212,Base!$Y$3:$Y$5001,"&lt;&gt;"))))</f>
        <v>1633</v>
      </c>
      <c r="D212">
        <f>IF($A212&gt;$B$9,"",IF(COUNTIFS(Base!$B$3:$B$5001,D$197,Base!$A$3:$A$5001,"&gt;="&amp;$C$7,Base!$A$3:$A$5001,"&lt;="&amp;$B212,Base!$Y$3:$Y$5001,"&lt;&gt;")=0,"",SUMIFS(Base!$Y$3:$Y$5001,Base!$B$3:$B$5001,D$197,Base!$A$3:$A$5001,_xlfn.MAXIFS(Base!$A$3:$A$5001,Base!$B$3:$B$5001,D$197,Base!$A$3:$A$5001,"&gt;="&amp;$C$7,Base!$A$3:$A$5001,"&lt;="&amp;$B212,Base!$Y$3:$Y$5001,"&lt;&gt;"))))</f>
        <v>1148</v>
      </c>
      <c r="E212">
        <f>IF($A212&gt;$B$9,"",IF(COUNTIFS(Base!$B$3:$B$5001,E$197,Base!$A$3:$A$5001,"&gt;="&amp;$C$7,Base!$A$3:$A$5001,"&lt;="&amp;$B212,Base!$Y$3:$Y$5001,"&lt;&gt;")=0,"",SUMIFS(Base!$Y$3:$Y$5001,Base!$B$3:$B$5001,E$197,Base!$A$3:$A$5001,_xlfn.MAXIFS(Base!$A$3:$A$5001,Base!$B$3:$B$5001,E$197,Base!$A$3:$A$5001,"&gt;="&amp;$C$7,Base!$A$3:$A$5001,"&lt;="&amp;$B212,Base!$Y$3:$Y$5001,"&lt;&gt;"))))</f>
        <v>2316</v>
      </c>
      <c r="F212">
        <f>IF($A212&gt;$B$9,"",IF(COUNTIFS(Base!$B$3:$B$5001,F$197,Base!$A$3:$A$5001,"&gt;="&amp;$C$7,Base!$A$3:$A$5001,"&lt;="&amp;$B212,Base!$Y$3:$Y$5001,"&lt;&gt;")=0,"",SUMIFS(Base!$Y$3:$Y$5001,Base!$B$3:$B$5001,F$197,Base!$A$3:$A$5001,_xlfn.MAXIFS(Base!$A$3:$A$5001,Base!$B$3:$B$5001,F$197,Base!$A$3:$A$5001,"&gt;="&amp;$C$7,Base!$A$3:$A$5001,"&lt;="&amp;$B212,Base!$Y$3:$Y$5001,"&lt;&gt;"))))</f>
        <v>1506</v>
      </c>
      <c r="G212">
        <f>IF($A212&gt;$B$9,"",IF(COUNTIFS(Base!$B$3:$B$5001,G$197,Base!$A$3:$A$5001,"&gt;="&amp;$C$7,Base!$A$3:$A$5001,"&lt;="&amp;$B212,Base!$Y$3:$Y$5001,"&lt;&gt;")=0,"",SUMIFS(Base!$Y$3:$Y$5001,Base!$B$3:$B$5001,G$197,Base!$A$3:$A$5001,_xlfn.MAXIFS(Base!$A$3:$A$5001,Base!$B$3:$B$5001,G$197,Base!$A$3:$A$5001,"&gt;="&amp;$C$7,Base!$A$3:$A$5001,"&lt;="&amp;$B212,Base!$Y$3:$Y$5001,"&lt;&gt;"))))</f>
        <v>503</v>
      </c>
      <c r="H212">
        <f>IF($A212&gt;$B$9,"",IF(COUNTIFS(Base!$B$3:$B$5001,H$197,Base!$A$3:$A$5001,"&gt;="&amp;$C$7,Base!$A$3:$A$5001,"&lt;="&amp;$B212,Base!$Y$3:$Y$5001,"&lt;&gt;")=0,"",SUMIFS(Base!$Y$3:$Y$5001,Base!$B$3:$B$5001,H$197,Base!$A$3:$A$5001,_xlfn.MAXIFS(Base!$A$3:$A$5001,Base!$B$3:$B$5001,H$197,Base!$A$3:$A$5001,"&gt;="&amp;$C$7,Base!$A$3:$A$5001,"&lt;="&amp;$B212,Base!$Y$3:$Y$5001,"&lt;&gt;"))))</f>
        <v>368</v>
      </c>
      <c r="I212">
        <f>IF($A212&gt;$B$9,"",IF(COUNTIFS(Base!$B$3:$B$5001,I$197,Base!$A$3:$A$5001,"&gt;="&amp;$C$7,Base!$A$3:$A$5001,"&lt;="&amp;$B212,Base!$Y$3:$Y$5001,"&lt;&gt;")=0,"",SUMIFS(Base!$Y$3:$Y$5001,Base!$B$3:$B$5001,I$197,Base!$A$3:$A$5001,_xlfn.MAXIFS(Base!$A$3:$A$5001,Base!$B$3:$B$5001,I$197,Base!$A$3:$A$5001,"&gt;="&amp;$C$7,Base!$A$3:$A$5001,"&lt;="&amp;$B212,Base!$Y$3:$Y$5001,"&lt;&gt;"))))</f>
        <v>909</v>
      </c>
      <c r="J212">
        <f>IF($A212&gt;$B$9,"",IF(COUNTIFS(Base!$B$3:$B$5001,J$197,Base!$A$3:$A$5001,"&gt;="&amp;$C$7,Base!$A$3:$A$5001,"&lt;="&amp;$B212,Base!$Y$3:$Y$5001,"&lt;&gt;")=0,"",SUMIFS(Base!$Y$3:$Y$5001,Base!$B$3:$B$5001,J$197,Base!$A$3:$A$5001,_xlfn.MAXIFS(Base!$A$3:$A$5001,Base!$B$3:$B$5001,J$197,Base!$A$3:$A$5001,"&gt;="&amp;$C$7,Base!$A$3:$A$5001,"&lt;="&amp;$B212,Base!$Y$3:$Y$5001,"&lt;&gt;"))))</f>
        <v>370</v>
      </c>
      <c r="K212">
        <f>IF($A212&gt;$B$9,"",IF(COUNTIFS(Base!$B$3:$B$5001,K$197,Base!$A$3:$A$5001,"&gt;="&amp;$C$7,Base!$A$3:$A$5001,"&lt;="&amp;$B212,Base!$Y$3:$Y$5001,"&lt;&gt;")=0,"",SUMIFS(Base!$Y$3:$Y$5001,Base!$B$3:$B$5001,K$197,Base!$A$3:$A$5001,_xlfn.MAXIFS(Base!$A$3:$A$5001,Base!$B$3:$B$5001,K$197,Base!$A$3:$A$5001,"&gt;="&amp;$C$7,Base!$A$3:$A$5001,"&lt;="&amp;$B212,Base!$Y$3:$Y$5001,"&lt;&gt;"))))</f>
        <v>1174</v>
      </c>
    </row>
    <row r="213">
      <c r="A213">
        <v>16</v>
      </c>
      <c r="B213" s="152">
        <f>$B$27</f>
        <v>46281</v>
      </c>
      <c r="C213">
        <f>IF($A213&gt;$B$9,"",IF(COUNTIFS(Base!$B$3:$B$5001,C$197,Base!$A$3:$A$5001,"&gt;="&amp;$C$7,Base!$A$3:$A$5001,"&lt;="&amp;$B213,Base!$Y$3:$Y$5001,"&lt;&gt;")=0,"",SUMIFS(Base!$Y$3:$Y$5001,Base!$B$3:$B$5001,C$197,Base!$A$3:$A$5001,_xlfn.MAXIFS(Base!$A$3:$A$5001,Base!$B$3:$B$5001,C$197,Base!$A$3:$A$5001,"&gt;="&amp;$C$7,Base!$A$3:$A$5001,"&lt;="&amp;$B213,Base!$Y$3:$Y$5001,"&lt;&gt;"))))</f>
        <v>1473</v>
      </c>
      <c r="D213">
        <f>IF($A213&gt;$B$9,"",IF(COUNTIFS(Base!$B$3:$B$5001,D$197,Base!$A$3:$A$5001,"&gt;="&amp;$C$7,Base!$A$3:$A$5001,"&lt;="&amp;$B213,Base!$Y$3:$Y$5001,"&lt;&gt;")=0,"",SUMIFS(Base!$Y$3:$Y$5001,Base!$B$3:$B$5001,D$197,Base!$A$3:$A$5001,_xlfn.MAXIFS(Base!$A$3:$A$5001,Base!$B$3:$B$5001,D$197,Base!$A$3:$A$5001,"&gt;="&amp;$C$7,Base!$A$3:$A$5001,"&lt;="&amp;$B213,Base!$Y$3:$Y$5001,"&lt;&gt;"))))</f>
        <v>710</v>
      </c>
      <c r="E213">
        <f>IF($A213&gt;$B$9,"",IF(COUNTIFS(Base!$B$3:$B$5001,E$197,Base!$A$3:$A$5001,"&gt;="&amp;$C$7,Base!$A$3:$A$5001,"&lt;="&amp;$B213,Base!$Y$3:$Y$5001,"&lt;&gt;")=0,"",SUMIFS(Base!$Y$3:$Y$5001,Base!$B$3:$B$5001,E$197,Base!$A$3:$A$5001,_xlfn.MAXIFS(Base!$A$3:$A$5001,Base!$B$3:$B$5001,E$197,Base!$A$3:$A$5001,"&gt;="&amp;$C$7,Base!$A$3:$A$5001,"&lt;="&amp;$B213,Base!$Y$3:$Y$5001,"&lt;&gt;"))))</f>
        <v>2071</v>
      </c>
      <c r="F213">
        <f>IF($A213&gt;$B$9,"",IF(COUNTIFS(Base!$B$3:$B$5001,F$197,Base!$A$3:$A$5001,"&gt;="&amp;$C$7,Base!$A$3:$A$5001,"&lt;="&amp;$B213,Base!$Y$3:$Y$5001,"&lt;&gt;")=0,"",SUMIFS(Base!$Y$3:$Y$5001,Base!$B$3:$B$5001,F$197,Base!$A$3:$A$5001,_xlfn.MAXIFS(Base!$A$3:$A$5001,Base!$B$3:$B$5001,F$197,Base!$A$3:$A$5001,"&gt;="&amp;$C$7,Base!$A$3:$A$5001,"&lt;="&amp;$B213,Base!$Y$3:$Y$5001,"&lt;&gt;"))))</f>
        <v>896</v>
      </c>
      <c r="G213">
        <f>IF($A213&gt;$B$9,"",IF(COUNTIFS(Base!$B$3:$B$5001,G$197,Base!$A$3:$A$5001,"&gt;="&amp;$C$7,Base!$A$3:$A$5001,"&lt;="&amp;$B213,Base!$Y$3:$Y$5001,"&lt;&gt;")=0,"",SUMIFS(Base!$Y$3:$Y$5001,Base!$B$3:$B$5001,G$197,Base!$A$3:$A$5001,_xlfn.MAXIFS(Base!$A$3:$A$5001,Base!$B$3:$B$5001,G$197,Base!$A$3:$A$5001,"&gt;="&amp;$C$7,Base!$A$3:$A$5001,"&lt;="&amp;$B213,Base!$Y$3:$Y$5001,"&lt;&gt;"))))</f>
        <v>660</v>
      </c>
      <c r="H213">
        <f>IF($A213&gt;$B$9,"",IF(COUNTIFS(Base!$B$3:$B$5001,H$197,Base!$A$3:$A$5001,"&gt;="&amp;$C$7,Base!$A$3:$A$5001,"&lt;="&amp;$B213,Base!$Y$3:$Y$5001,"&lt;&gt;")=0,"",SUMIFS(Base!$Y$3:$Y$5001,Base!$B$3:$B$5001,H$197,Base!$A$3:$A$5001,_xlfn.MAXIFS(Base!$A$3:$A$5001,Base!$B$3:$B$5001,H$197,Base!$A$3:$A$5001,"&gt;="&amp;$C$7,Base!$A$3:$A$5001,"&lt;="&amp;$B213,Base!$Y$3:$Y$5001,"&lt;&gt;"))))</f>
        <v>340</v>
      </c>
      <c r="I213">
        <f>IF($A213&gt;$B$9,"",IF(COUNTIFS(Base!$B$3:$B$5001,I$197,Base!$A$3:$A$5001,"&gt;="&amp;$C$7,Base!$A$3:$A$5001,"&lt;="&amp;$B213,Base!$Y$3:$Y$5001,"&lt;&gt;")=0,"",SUMIFS(Base!$Y$3:$Y$5001,Base!$B$3:$B$5001,I$197,Base!$A$3:$A$5001,_xlfn.MAXIFS(Base!$A$3:$A$5001,Base!$B$3:$B$5001,I$197,Base!$A$3:$A$5001,"&gt;="&amp;$C$7,Base!$A$3:$A$5001,"&lt;="&amp;$B213,Base!$Y$3:$Y$5001,"&lt;&gt;"))))</f>
        <v>1083</v>
      </c>
      <c r="J213">
        <f>IF($A213&gt;$B$9,"",IF(COUNTIFS(Base!$B$3:$B$5001,J$197,Base!$A$3:$A$5001,"&gt;="&amp;$C$7,Base!$A$3:$A$5001,"&lt;="&amp;$B213,Base!$Y$3:$Y$5001,"&lt;&gt;")=0,"",SUMIFS(Base!$Y$3:$Y$5001,Base!$B$3:$B$5001,J$197,Base!$A$3:$A$5001,_xlfn.MAXIFS(Base!$A$3:$A$5001,Base!$B$3:$B$5001,J$197,Base!$A$3:$A$5001,"&gt;="&amp;$C$7,Base!$A$3:$A$5001,"&lt;="&amp;$B213,Base!$Y$3:$Y$5001,"&lt;&gt;"))))</f>
        <v>414</v>
      </c>
      <c r="K213">
        <f>IF($A213&gt;$B$9,"",IF(COUNTIFS(Base!$B$3:$B$5001,K$197,Base!$A$3:$A$5001,"&gt;="&amp;$C$7,Base!$A$3:$A$5001,"&lt;="&amp;$B213,Base!$Y$3:$Y$5001,"&lt;&gt;")=0,"",SUMIFS(Base!$Y$3:$Y$5001,Base!$B$3:$B$5001,K$197,Base!$A$3:$A$5001,_xlfn.MAXIFS(Base!$A$3:$A$5001,Base!$B$3:$B$5001,K$197,Base!$A$3:$A$5001,"&gt;="&amp;$C$7,Base!$A$3:$A$5001,"&lt;="&amp;$B213,Base!$Y$3:$Y$5001,"&lt;&gt;"))))</f>
        <v>1211</v>
      </c>
    </row>
    <row r="214">
      <c r="A214">
        <v>17</v>
      </c>
      <c r="B214" s="152">
        <f>$B$28</f>
        <v>46282</v>
      </c>
      <c r="C214">
        <f>IF($A214&gt;$B$9,"",IF(COUNTIFS(Base!$B$3:$B$5001,C$197,Base!$A$3:$A$5001,"&gt;="&amp;$C$7,Base!$A$3:$A$5001,"&lt;="&amp;$B214,Base!$Y$3:$Y$5001,"&lt;&gt;")=0,"",SUMIFS(Base!$Y$3:$Y$5001,Base!$B$3:$B$5001,C$197,Base!$A$3:$A$5001,_xlfn.MAXIFS(Base!$A$3:$A$5001,Base!$B$3:$B$5001,C$197,Base!$A$3:$A$5001,"&gt;="&amp;$C$7,Base!$A$3:$A$5001,"&lt;="&amp;$B214,Base!$Y$3:$Y$5001,"&lt;&gt;"))))</f>
        <v>1814</v>
      </c>
      <c r="D214">
        <f>IF($A214&gt;$B$9,"",IF(COUNTIFS(Base!$B$3:$B$5001,D$197,Base!$A$3:$A$5001,"&gt;="&amp;$C$7,Base!$A$3:$A$5001,"&lt;="&amp;$B214,Base!$Y$3:$Y$5001,"&lt;&gt;")=0,"",SUMIFS(Base!$Y$3:$Y$5001,Base!$B$3:$B$5001,D$197,Base!$A$3:$A$5001,_xlfn.MAXIFS(Base!$A$3:$A$5001,Base!$B$3:$B$5001,D$197,Base!$A$3:$A$5001,"&gt;="&amp;$C$7,Base!$A$3:$A$5001,"&lt;="&amp;$B214,Base!$Y$3:$Y$5001,"&lt;&gt;"))))</f>
        <v>898</v>
      </c>
      <c r="E214">
        <f>IF($A214&gt;$B$9,"",IF(COUNTIFS(Base!$B$3:$B$5001,E$197,Base!$A$3:$A$5001,"&gt;="&amp;$C$7,Base!$A$3:$A$5001,"&lt;="&amp;$B214,Base!$Y$3:$Y$5001,"&lt;&gt;")=0,"",SUMIFS(Base!$Y$3:$Y$5001,Base!$B$3:$B$5001,E$197,Base!$A$3:$A$5001,_xlfn.MAXIFS(Base!$A$3:$A$5001,Base!$B$3:$B$5001,E$197,Base!$A$3:$A$5001,"&gt;="&amp;$C$7,Base!$A$3:$A$5001,"&lt;="&amp;$B214,Base!$Y$3:$Y$5001,"&lt;&gt;"))))</f>
        <v>2412</v>
      </c>
      <c r="F214">
        <f>IF($A214&gt;$B$9,"",IF(COUNTIFS(Base!$B$3:$B$5001,F$197,Base!$A$3:$A$5001,"&gt;="&amp;$C$7,Base!$A$3:$A$5001,"&lt;="&amp;$B214,Base!$Y$3:$Y$5001,"&lt;&gt;")=0,"",SUMIFS(Base!$Y$3:$Y$5001,Base!$B$3:$B$5001,F$197,Base!$A$3:$A$5001,_xlfn.MAXIFS(Base!$A$3:$A$5001,Base!$B$3:$B$5001,F$197,Base!$A$3:$A$5001,"&gt;="&amp;$C$7,Base!$A$3:$A$5001,"&lt;="&amp;$B214,Base!$Y$3:$Y$5001,"&lt;&gt;"))))</f>
        <v>1134</v>
      </c>
      <c r="G214">
        <f>IF($A214&gt;$B$9,"",IF(COUNTIFS(Base!$B$3:$B$5001,G$197,Base!$A$3:$A$5001,"&gt;="&amp;$C$7,Base!$A$3:$A$5001,"&lt;="&amp;$B214,Base!$Y$3:$Y$5001,"&lt;&gt;")=0,"",SUMIFS(Base!$Y$3:$Y$5001,Base!$B$3:$B$5001,G$197,Base!$A$3:$A$5001,_xlfn.MAXIFS(Base!$A$3:$A$5001,Base!$B$3:$B$5001,G$197,Base!$A$3:$A$5001,"&gt;="&amp;$C$7,Base!$A$3:$A$5001,"&lt;="&amp;$B214,Base!$Y$3:$Y$5001,"&lt;&gt;"))))</f>
        <v>786</v>
      </c>
      <c r="H214">
        <f>IF($A214&gt;$B$9,"",IF(COUNTIFS(Base!$B$3:$B$5001,H$197,Base!$A$3:$A$5001,"&gt;="&amp;$C$7,Base!$A$3:$A$5001,"&lt;="&amp;$B214,Base!$Y$3:$Y$5001,"&lt;&gt;")=0,"",SUMIFS(Base!$Y$3:$Y$5001,Base!$B$3:$B$5001,H$197,Base!$A$3:$A$5001,_xlfn.MAXIFS(Base!$A$3:$A$5001,Base!$B$3:$B$5001,H$197,Base!$A$3:$A$5001,"&gt;="&amp;$C$7,Base!$A$3:$A$5001,"&lt;="&amp;$B214,Base!$Y$3:$Y$5001,"&lt;&gt;"))))</f>
        <v>359</v>
      </c>
      <c r="I214">
        <f>IF($A214&gt;$B$9,"",IF(COUNTIFS(Base!$B$3:$B$5001,I$197,Base!$A$3:$A$5001,"&gt;="&amp;$C$7,Base!$A$3:$A$5001,"&lt;="&amp;$B214,Base!$Y$3:$Y$5001,"&lt;&gt;")=0,"",SUMIFS(Base!$Y$3:$Y$5001,Base!$B$3:$B$5001,I$197,Base!$A$3:$A$5001,_xlfn.MAXIFS(Base!$A$3:$A$5001,Base!$B$3:$B$5001,I$197,Base!$A$3:$A$5001,"&gt;="&amp;$C$7,Base!$A$3:$A$5001,"&lt;="&amp;$B214,Base!$Y$3:$Y$5001,"&lt;&gt;"))))</f>
        <v>1350</v>
      </c>
      <c r="J214">
        <f>IF($A214&gt;$B$9,"",IF(COUNTIFS(Base!$B$3:$B$5001,J$197,Base!$A$3:$A$5001,"&gt;="&amp;$C$7,Base!$A$3:$A$5001,"&lt;="&amp;$B214,Base!$Y$3:$Y$5001,"&lt;&gt;")=0,"",SUMIFS(Base!$Y$3:$Y$5001,Base!$B$3:$B$5001,J$197,Base!$A$3:$A$5001,_xlfn.MAXIFS(Base!$A$3:$A$5001,Base!$B$3:$B$5001,J$197,Base!$A$3:$A$5001,"&gt;="&amp;$C$7,Base!$A$3:$A$5001,"&lt;="&amp;$B214,Base!$Y$3:$Y$5001,"&lt;&gt;"))))</f>
        <v>432</v>
      </c>
      <c r="K214">
        <f>IF($A214&gt;$B$9,"",IF(COUNTIFS(Base!$B$3:$B$5001,K$197,Base!$A$3:$A$5001,"&gt;="&amp;$C$7,Base!$A$3:$A$5001,"&lt;="&amp;$B214,Base!$Y$3:$Y$5001,"&lt;&gt;")=0,"",SUMIFS(Base!$Y$3:$Y$5001,Base!$B$3:$B$5001,K$197,Base!$A$3:$A$5001,_xlfn.MAXIFS(Base!$A$3:$A$5001,Base!$B$3:$B$5001,K$197,Base!$A$3:$A$5001,"&gt;="&amp;$C$7,Base!$A$3:$A$5001,"&lt;="&amp;$B214,Base!$Y$3:$Y$5001,"&lt;&gt;"))))</f>
        <v>1268</v>
      </c>
    </row>
    <row r="215">
      <c r="A215">
        <v>18</v>
      </c>
      <c r="B215" s="152">
        <f>$B$29</f>
        <v>46283</v>
      </c>
      <c r="C215">
        <f>IF($A215&gt;$B$9,"",IF(COUNTIFS(Base!$B$3:$B$5001,C$197,Base!$A$3:$A$5001,"&gt;="&amp;$C$7,Base!$A$3:$A$5001,"&lt;="&amp;$B215,Base!$Y$3:$Y$5001,"&lt;&gt;")=0,"",SUMIFS(Base!$Y$3:$Y$5001,Base!$B$3:$B$5001,C$197,Base!$A$3:$A$5001,_xlfn.MAXIFS(Base!$A$3:$A$5001,Base!$B$3:$B$5001,C$197,Base!$A$3:$A$5001,"&gt;="&amp;$C$7,Base!$A$3:$A$5001,"&lt;="&amp;$B215,Base!$Y$3:$Y$5001,"&lt;&gt;"))))</f>
        <v>1872</v>
      </c>
      <c r="D215">
        <f>IF($A215&gt;$B$9,"",IF(COUNTIFS(Base!$B$3:$B$5001,D$197,Base!$A$3:$A$5001,"&gt;="&amp;$C$7,Base!$A$3:$A$5001,"&lt;="&amp;$B215,Base!$Y$3:$Y$5001,"&lt;&gt;")=0,"",SUMIFS(Base!$Y$3:$Y$5001,Base!$B$3:$B$5001,D$197,Base!$A$3:$A$5001,_xlfn.MAXIFS(Base!$A$3:$A$5001,Base!$B$3:$B$5001,D$197,Base!$A$3:$A$5001,"&gt;="&amp;$C$7,Base!$A$3:$A$5001,"&lt;="&amp;$B215,Base!$Y$3:$Y$5001,"&lt;&gt;"))))</f>
        <v>841</v>
      </c>
      <c r="E215">
        <f>IF($A215&gt;$B$9,"",IF(COUNTIFS(Base!$B$3:$B$5001,E$197,Base!$A$3:$A$5001,"&gt;="&amp;$C$7,Base!$A$3:$A$5001,"&lt;="&amp;$B215,Base!$Y$3:$Y$5001,"&lt;&gt;")=0,"",SUMIFS(Base!$Y$3:$Y$5001,Base!$B$3:$B$5001,E$197,Base!$A$3:$A$5001,_xlfn.MAXIFS(Base!$A$3:$A$5001,Base!$B$3:$B$5001,E$197,Base!$A$3:$A$5001,"&gt;="&amp;$C$7,Base!$A$3:$A$5001,"&lt;="&amp;$B215,Base!$Y$3:$Y$5001,"&lt;&gt;"))))</f>
        <v>2944</v>
      </c>
      <c r="F215">
        <f>IF($A215&gt;$B$9,"",IF(COUNTIFS(Base!$B$3:$B$5001,F$197,Base!$A$3:$A$5001,"&gt;="&amp;$C$7,Base!$A$3:$A$5001,"&lt;="&amp;$B215,Base!$Y$3:$Y$5001,"&lt;&gt;")=0,"",SUMIFS(Base!$Y$3:$Y$5001,Base!$B$3:$B$5001,F$197,Base!$A$3:$A$5001,_xlfn.MAXIFS(Base!$A$3:$A$5001,Base!$B$3:$B$5001,F$197,Base!$A$3:$A$5001,"&gt;="&amp;$C$7,Base!$A$3:$A$5001,"&lt;="&amp;$B215,Base!$Y$3:$Y$5001,"&lt;&gt;"))))</f>
        <v>1015</v>
      </c>
      <c r="G215">
        <f>IF($A215&gt;$B$9,"",IF(COUNTIFS(Base!$B$3:$B$5001,G$197,Base!$A$3:$A$5001,"&gt;="&amp;$C$7,Base!$A$3:$A$5001,"&lt;="&amp;$B215,Base!$Y$3:$Y$5001,"&lt;&gt;")=0,"",SUMIFS(Base!$Y$3:$Y$5001,Base!$B$3:$B$5001,G$197,Base!$A$3:$A$5001,_xlfn.MAXIFS(Base!$A$3:$A$5001,Base!$B$3:$B$5001,G$197,Base!$A$3:$A$5001,"&gt;="&amp;$C$7,Base!$A$3:$A$5001,"&lt;="&amp;$B215,Base!$Y$3:$Y$5001,"&lt;&gt;"))))</f>
        <v>718</v>
      </c>
      <c r="H215">
        <f>IF($A215&gt;$B$9,"",IF(COUNTIFS(Base!$B$3:$B$5001,H$197,Base!$A$3:$A$5001,"&gt;="&amp;$C$7,Base!$A$3:$A$5001,"&lt;="&amp;$B215,Base!$Y$3:$Y$5001,"&lt;&gt;")=0,"",SUMIFS(Base!$Y$3:$Y$5001,Base!$B$3:$B$5001,H$197,Base!$A$3:$A$5001,_xlfn.MAXIFS(Base!$A$3:$A$5001,Base!$B$3:$B$5001,H$197,Base!$A$3:$A$5001,"&gt;="&amp;$C$7,Base!$A$3:$A$5001,"&lt;="&amp;$B215,Base!$Y$3:$Y$5001,"&lt;&gt;"))))</f>
        <v>464</v>
      </c>
      <c r="I215">
        <f>IF($A215&gt;$B$9,"",IF(COUNTIFS(Base!$B$3:$B$5001,I$197,Base!$A$3:$A$5001,"&gt;="&amp;$C$7,Base!$A$3:$A$5001,"&lt;="&amp;$B215,Base!$Y$3:$Y$5001,"&lt;&gt;")=0,"",SUMIFS(Base!$Y$3:$Y$5001,Base!$B$3:$B$5001,I$197,Base!$A$3:$A$5001,_xlfn.MAXIFS(Base!$A$3:$A$5001,Base!$B$3:$B$5001,I$197,Base!$A$3:$A$5001,"&gt;="&amp;$C$7,Base!$A$3:$A$5001,"&lt;="&amp;$B215,Base!$Y$3:$Y$5001,"&lt;&gt;"))))</f>
        <v>946</v>
      </c>
      <c r="J215">
        <f>IF($A215&gt;$B$9,"",IF(COUNTIFS(Base!$B$3:$B$5001,J$197,Base!$A$3:$A$5001,"&gt;="&amp;$C$7,Base!$A$3:$A$5001,"&lt;="&amp;$B215,Base!$Y$3:$Y$5001,"&lt;&gt;")=0,"",SUMIFS(Base!$Y$3:$Y$5001,Base!$B$3:$B$5001,J$197,Base!$A$3:$A$5001,_xlfn.MAXIFS(Base!$A$3:$A$5001,Base!$B$3:$B$5001,J$197,Base!$A$3:$A$5001,"&gt;="&amp;$C$7,Base!$A$3:$A$5001,"&lt;="&amp;$B215,Base!$Y$3:$Y$5001,"&lt;&gt;"))))</f>
        <v>390</v>
      </c>
      <c r="K215">
        <f>IF($A215&gt;$B$9,"",IF(COUNTIFS(Base!$B$3:$B$5001,K$197,Base!$A$3:$A$5001,"&gt;="&amp;$C$7,Base!$A$3:$A$5001,"&lt;="&amp;$B215,Base!$Y$3:$Y$5001,"&lt;&gt;")=0,"",SUMIFS(Base!$Y$3:$Y$5001,Base!$B$3:$B$5001,K$197,Base!$A$3:$A$5001,_xlfn.MAXIFS(Base!$A$3:$A$5001,Base!$B$3:$B$5001,K$197,Base!$A$3:$A$5001,"&gt;="&amp;$C$7,Base!$A$3:$A$5001,"&lt;="&amp;$B215,Base!$Y$3:$Y$5001,"&lt;&gt;"))))</f>
        <v>1375</v>
      </c>
    </row>
    <row r="216">
      <c r="A216">
        <v>19</v>
      </c>
      <c r="B216" s="152">
        <f>$B$30</f>
        <v>46284</v>
      </c>
      <c r="C216">
        <f>IF($A216&gt;$B$9,"",IF(COUNTIFS(Base!$B$3:$B$5001,C$197,Base!$A$3:$A$5001,"&gt;="&amp;$C$7,Base!$A$3:$A$5001,"&lt;="&amp;$B216,Base!$Y$3:$Y$5001,"&lt;&gt;")=0,"",SUMIFS(Base!$Y$3:$Y$5001,Base!$B$3:$B$5001,C$197,Base!$A$3:$A$5001,_xlfn.MAXIFS(Base!$A$3:$A$5001,Base!$B$3:$B$5001,C$197,Base!$A$3:$A$5001,"&gt;="&amp;$C$7,Base!$A$3:$A$5001,"&lt;="&amp;$B216,Base!$Y$3:$Y$5001,"&lt;&gt;"))))</f>
        <v>1403</v>
      </c>
      <c r="D216">
        <f>IF($A216&gt;$B$9,"",IF(COUNTIFS(Base!$B$3:$B$5001,D$197,Base!$A$3:$A$5001,"&gt;="&amp;$C$7,Base!$A$3:$A$5001,"&lt;="&amp;$B216,Base!$Y$3:$Y$5001,"&lt;&gt;")=0,"",SUMIFS(Base!$Y$3:$Y$5001,Base!$B$3:$B$5001,D$197,Base!$A$3:$A$5001,_xlfn.MAXIFS(Base!$A$3:$A$5001,Base!$B$3:$B$5001,D$197,Base!$A$3:$A$5001,"&gt;="&amp;$C$7,Base!$A$3:$A$5001,"&lt;="&amp;$B216,Base!$Y$3:$Y$5001,"&lt;&gt;"))))</f>
        <v>1114</v>
      </c>
      <c r="E216">
        <f>IF($A216&gt;$B$9,"",IF(COUNTIFS(Base!$B$3:$B$5001,E$197,Base!$A$3:$A$5001,"&gt;="&amp;$C$7,Base!$A$3:$A$5001,"&lt;="&amp;$B216,Base!$Y$3:$Y$5001,"&lt;&gt;")=0,"",SUMIFS(Base!$Y$3:$Y$5001,Base!$B$3:$B$5001,E$197,Base!$A$3:$A$5001,_xlfn.MAXIFS(Base!$A$3:$A$5001,Base!$B$3:$B$5001,E$197,Base!$A$3:$A$5001,"&gt;="&amp;$C$7,Base!$A$3:$A$5001,"&lt;="&amp;$B216,Base!$Y$3:$Y$5001,"&lt;&gt;"))))</f>
        <v>2354</v>
      </c>
      <c r="F216">
        <f>IF($A216&gt;$B$9,"",IF(COUNTIFS(Base!$B$3:$B$5001,F$197,Base!$A$3:$A$5001,"&gt;="&amp;$C$7,Base!$A$3:$A$5001,"&lt;="&amp;$B216,Base!$Y$3:$Y$5001,"&lt;&gt;")=0,"",SUMIFS(Base!$Y$3:$Y$5001,Base!$B$3:$B$5001,F$197,Base!$A$3:$A$5001,_xlfn.MAXIFS(Base!$A$3:$A$5001,Base!$B$3:$B$5001,F$197,Base!$A$3:$A$5001,"&gt;="&amp;$C$7,Base!$A$3:$A$5001,"&lt;="&amp;$B216,Base!$Y$3:$Y$5001,"&lt;&gt;"))))</f>
        <v>1140</v>
      </c>
      <c r="G216">
        <f>IF($A216&gt;$B$9,"",IF(COUNTIFS(Base!$B$3:$B$5001,G$197,Base!$A$3:$A$5001,"&gt;="&amp;$C$7,Base!$A$3:$A$5001,"&lt;="&amp;$B216,Base!$Y$3:$Y$5001,"&lt;&gt;")=0,"",SUMIFS(Base!$Y$3:$Y$5001,Base!$B$3:$B$5001,G$197,Base!$A$3:$A$5001,_xlfn.MAXIFS(Base!$A$3:$A$5001,Base!$B$3:$B$5001,G$197,Base!$A$3:$A$5001,"&gt;="&amp;$C$7,Base!$A$3:$A$5001,"&lt;="&amp;$B216,Base!$Y$3:$Y$5001,"&lt;&gt;"))))</f>
        <v>577</v>
      </c>
      <c r="H216">
        <f>IF($A216&gt;$B$9,"",IF(COUNTIFS(Base!$B$3:$B$5001,H$197,Base!$A$3:$A$5001,"&gt;="&amp;$C$7,Base!$A$3:$A$5001,"&lt;="&amp;$B216,Base!$Y$3:$Y$5001,"&lt;&gt;")=0,"",SUMIFS(Base!$Y$3:$Y$5001,Base!$B$3:$B$5001,H$197,Base!$A$3:$A$5001,_xlfn.MAXIFS(Base!$A$3:$A$5001,Base!$B$3:$B$5001,H$197,Base!$A$3:$A$5001,"&gt;="&amp;$C$7,Base!$A$3:$A$5001,"&lt;="&amp;$B216,Base!$Y$3:$Y$5001,"&lt;&gt;"))))</f>
        <v>345</v>
      </c>
      <c r="I216">
        <f>IF($A216&gt;$B$9,"",IF(COUNTIFS(Base!$B$3:$B$5001,I$197,Base!$A$3:$A$5001,"&gt;="&amp;$C$7,Base!$A$3:$A$5001,"&lt;="&amp;$B216,Base!$Y$3:$Y$5001,"&lt;&gt;")=0,"",SUMIFS(Base!$Y$3:$Y$5001,Base!$B$3:$B$5001,I$197,Base!$A$3:$A$5001,_xlfn.MAXIFS(Base!$A$3:$A$5001,Base!$B$3:$B$5001,I$197,Base!$A$3:$A$5001,"&gt;="&amp;$C$7,Base!$A$3:$A$5001,"&lt;="&amp;$B216,Base!$Y$3:$Y$5001,"&lt;&gt;"))))</f>
        <v>1233</v>
      </c>
      <c r="J216">
        <f>IF($A216&gt;$B$9,"",IF(COUNTIFS(Base!$B$3:$B$5001,J$197,Base!$A$3:$A$5001,"&gt;="&amp;$C$7,Base!$A$3:$A$5001,"&lt;="&amp;$B216,Base!$Y$3:$Y$5001,"&lt;&gt;")=0,"",SUMIFS(Base!$Y$3:$Y$5001,Base!$B$3:$B$5001,J$197,Base!$A$3:$A$5001,_xlfn.MAXIFS(Base!$A$3:$A$5001,Base!$B$3:$B$5001,J$197,Base!$A$3:$A$5001,"&gt;="&amp;$C$7,Base!$A$3:$A$5001,"&lt;="&amp;$B216,Base!$Y$3:$Y$5001,"&lt;&gt;"))))</f>
        <v>361</v>
      </c>
      <c r="K216">
        <f>IF($A216&gt;$B$9,"",IF(COUNTIFS(Base!$B$3:$B$5001,K$197,Base!$A$3:$A$5001,"&gt;="&amp;$C$7,Base!$A$3:$A$5001,"&lt;="&amp;$B216,Base!$Y$3:$Y$5001,"&lt;&gt;")=0,"",SUMIFS(Base!$Y$3:$Y$5001,Base!$B$3:$B$5001,K$197,Base!$A$3:$A$5001,_xlfn.MAXIFS(Base!$A$3:$A$5001,Base!$B$3:$B$5001,K$197,Base!$A$3:$A$5001,"&gt;="&amp;$C$7,Base!$A$3:$A$5001,"&lt;="&amp;$B216,Base!$Y$3:$Y$5001,"&lt;&gt;"))))</f>
        <v>1674</v>
      </c>
    </row>
    <row r="217">
      <c r="A217">
        <v>20</v>
      </c>
      <c r="B217" s="152">
        <f>$B$31</f>
        <v>46285</v>
      </c>
      <c r="C217">
        <f>IF($A217&gt;$B$9,"",IF(COUNTIFS(Base!$B$3:$B$5001,C$197,Base!$A$3:$A$5001,"&gt;="&amp;$C$7,Base!$A$3:$A$5001,"&lt;="&amp;$B217,Base!$Y$3:$Y$5001,"&lt;&gt;")=0,"",SUMIFS(Base!$Y$3:$Y$5001,Base!$B$3:$B$5001,C$197,Base!$A$3:$A$5001,_xlfn.MAXIFS(Base!$A$3:$A$5001,Base!$B$3:$B$5001,C$197,Base!$A$3:$A$5001,"&gt;="&amp;$C$7,Base!$A$3:$A$5001,"&lt;="&amp;$B217,Base!$Y$3:$Y$5001,"&lt;&gt;"))))</f>
        <v>1403</v>
      </c>
      <c r="D217">
        <f>IF($A217&gt;$B$9,"",IF(COUNTIFS(Base!$B$3:$B$5001,D$197,Base!$A$3:$A$5001,"&gt;="&amp;$C$7,Base!$A$3:$A$5001,"&lt;="&amp;$B217,Base!$Y$3:$Y$5001,"&lt;&gt;")=0,"",SUMIFS(Base!$Y$3:$Y$5001,Base!$B$3:$B$5001,D$197,Base!$A$3:$A$5001,_xlfn.MAXIFS(Base!$A$3:$A$5001,Base!$B$3:$B$5001,D$197,Base!$A$3:$A$5001,"&gt;="&amp;$C$7,Base!$A$3:$A$5001,"&lt;="&amp;$B217,Base!$Y$3:$Y$5001,"&lt;&gt;"))))</f>
        <v>1114</v>
      </c>
      <c r="E217">
        <f>IF($A217&gt;$B$9,"",IF(COUNTIFS(Base!$B$3:$B$5001,E$197,Base!$A$3:$A$5001,"&gt;="&amp;$C$7,Base!$A$3:$A$5001,"&lt;="&amp;$B217,Base!$Y$3:$Y$5001,"&lt;&gt;")=0,"",SUMIFS(Base!$Y$3:$Y$5001,Base!$B$3:$B$5001,E$197,Base!$A$3:$A$5001,_xlfn.MAXIFS(Base!$A$3:$A$5001,Base!$B$3:$B$5001,E$197,Base!$A$3:$A$5001,"&gt;="&amp;$C$7,Base!$A$3:$A$5001,"&lt;="&amp;$B217,Base!$Y$3:$Y$5001,"&lt;&gt;"))))</f>
        <v>2354</v>
      </c>
      <c r="F217">
        <f>IF($A217&gt;$B$9,"",IF(COUNTIFS(Base!$B$3:$B$5001,F$197,Base!$A$3:$A$5001,"&gt;="&amp;$C$7,Base!$A$3:$A$5001,"&lt;="&amp;$B217,Base!$Y$3:$Y$5001,"&lt;&gt;")=0,"",SUMIFS(Base!$Y$3:$Y$5001,Base!$B$3:$B$5001,F$197,Base!$A$3:$A$5001,_xlfn.MAXIFS(Base!$A$3:$A$5001,Base!$B$3:$B$5001,F$197,Base!$A$3:$A$5001,"&gt;="&amp;$C$7,Base!$A$3:$A$5001,"&lt;="&amp;$B217,Base!$Y$3:$Y$5001,"&lt;&gt;"))))</f>
        <v>1140</v>
      </c>
      <c r="G217">
        <f>IF($A217&gt;$B$9,"",IF(COUNTIFS(Base!$B$3:$B$5001,G$197,Base!$A$3:$A$5001,"&gt;="&amp;$C$7,Base!$A$3:$A$5001,"&lt;="&amp;$B217,Base!$Y$3:$Y$5001,"&lt;&gt;")=0,"",SUMIFS(Base!$Y$3:$Y$5001,Base!$B$3:$B$5001,G$197,Base!$A$3:$A$5001,_xlfn.MAXIFS(Base!$A$3:$A$5001,Base!$B$3:$B$5001,G$197,Base!$A$3:$A$5001,"&gt;="&amp;$C$7,Base!$A$3:$A$5001,"&lt;="&amp;$B217,Base!$Y$3:$Y$5001,"&lt;&gt;"))))</f>
        <v>577</v>
      </c>
      <c r="H217">
        <f>IF($A217&gt;$B$9,"",IF(COUNTIFS(Base!$B$3:$B$5001,H$197,Base!$A$3:$A$5001,"&gt;="&amp;$C$7,Base!$A$3:$A$5001,"&lt;="&amp;$B217,Base!$Y$3:$Y$5001,"&lt;&gt;")=0,"",SUMIFS(Base!$Y$3:$Y$5001,Base!$B$3:$B$5001,H$197,Base!$A$3:$A$5001,_xlfn.MAXIFS(Base!$A$3:$A$5001,Base!$B$3:$B$5001,H$197,Base!$A$3:$A$5001,"&gt;="&amp;$C$7,Base!$A$3:$A$5001,"&lt;="&amp;$B217,Base!$Y$3:$Y$5001,"&lt;&gt;"))))</f>
        <v>345</v>
      </c>
      <c r="I217">
        <f>IF($A217&gt;$B$9,"",IF(COUNTIFS(Base!$B$3:$B$5001,I$197,Base!$A$3:$A$5001,"&gt;="&amp;$C$7,Base!$A$3:$A$5001,"&lt;="&amp;$B217,Base!$Y$3:$Y$5001,"&lt;&gt;")=0,"",SUMIFS(Base!$Y$3:$Y$5001,Base!$B$3:$B$5001,I$197,Base!$A$3:$A$5001,_xlfn.MAXIFS(Base!$A$3:$A$5001,Base!$B$3:$B$5001,I$197,Base!$A$3:$A$5001,"&gt;="&amp;$C$7,Base!$A$3:$A$5001,"&lt;="&amp;$B217,Base!$Y$3:$Y$5001,"&lt;&gt;"))))</f>
        <v>1233</v>
      </c>
      <c r="J217">
        <f>IF($A217&gt;$B$9,"",IF(COUNTIFS(Base!$B$3:$B$5001,J$197,Base!$A$3:$A$5001,"&gt;="&amp;$C$7,Base!$A$3:$A$5001,"&lt;="&amp;$B217,Base!$Y$3:$Y$5001,"&lt;&gt;")=0,"",SUMIFS(Base!$Y$3:$Y$5001,Base!$B$3:$B$5001,J$197,Base!$A$3:$A$5001,_xlfn.MAXIFS(Base!$A$3:$A$5001,Base!$B$3:$B$5001,J$197,Base!$A$3:$A$5001,"&gt;="&amp;$C$7,Base!$A$3:$A$5001,"&lt;="&amp;$B217,Base!$Y$3:$Y$5001,"&lt;&gt;"))))</f>
        <v>361</v>
      </c>
      <c r="K217">
        <f>IF($A217&gt;$B$9,"",IF(COUNTIFS(Base!$B$3:$B$5001,K$197,Base!$A$3:$A$5001,"&gt;="&amp;$C$7,Base!$A$3:$A$5001,"&lt;="&amp;$B217,Base!$Y$3:$Y$5001,"&lt;&gt;")=0,"",SUMIFS(Base!$Y$3:$Y$5001,Base!$B$3:$B$5001,K$197,Base!$A$3:$A$5001,_xlfn.MAXIFS(Base!$A$3:$A$5001,Base!$B$3:$B$5001,K$197,Base!$A$3:$A$5001,"&gt;="&amp;$C$7,Base!$A$3:$A$5001,"&lt;="&amp;$B217,Base!$Y$3:$Y$5001,"&lt;&gt;"))))</f>
        <v>1674</v>
      </c>
    </row>
    <row r="218">
      <c r="A218">
        <v>21</v>
      </c>
      <c r="B218" s="152">
        <f>$B$32</f>
        <v>46286</v>
      </c>
      <c r="C218">
        <f>IF($A218&gt;$B$9,"",IF(COUNTIFS(Base!$B$3:$B$5001,C$197,Base!$A$3:$A$5001,"&gt;="&amp;$C$7,Base!$A$3:$A$5001,"&lt;="&amp;$B218,Base!$Y$3:$Y$5001,"&lt;&gt;")=0,"",SUMIFS(Base!$Y$3:$Y$5001,Base!$B$3:$B$5001,C$197,Base!$A$3:$A$5001,_xlfn.MAXIFS(Base!$A$3:$A$5001,Base!$B$3:$B$5001,C$197,Base!$A$3:$A$5001,"&gt;="&amp;$C$7,Base!$A$3:$A$5001,"&lt;="&amp;$B218,Base!$Y$3:$Y$5001,"&lt;&gt;"))))</f>
        <v>1794</v>
      </c>
      <c r="D218">
        <f>IF($A218&gt;$B$9,"",IF(COUNTIFS(Base!$B$3:$B$5001,D$197,Base!$A$3:$A$5001,"&gt;="&amp;$C$7,Base!$A$3:$A$5001,"&lt;="&amp;$B218,Base!$Y$3:$Y$5001,"&lt;&gt;")=0,"",SUMIFS(Base!$Y$3:$Y$5001,Base!$B$3:$B$5001,D$197,Base!$A$3:$A$5001,_xlfn.MAXIFS(Base!$A$3:$A$5001,Base!$B$3:$B$5001,D$197,Base!$A$3:$A$5001,"&gt;="&amp;$C$7,Base!$A$3:$A$5001,"&lt;="&amp;$B218,Base!$Y$3:$Y$5001,"&lt;&gt;"))))</f>
        <v>829</v>
      </c>
      <c r="E218">
        <f>IF($A218&gt;$B$9,"",IF(COUNTIFS(Base!$B$3:$B$5001,E$197,Base!$A$3:$A$5001,"&gt;="&amp;$C$7,Base!$A$3:$A$5001,"&lt;="&amp;$B218,Base!$Y$3:$Y$5001,"&lt;&gt;")=0,"",SUMIFS(Base!$Y$3:$Y$5001,Base!$B$3:$B$5001,E$197,Base!$A$3:$A$5001,_xlfn.MAXIFS(Base!$A$3:$A$5001,Base!$B$3:$B$5001,E$197,Base!$A$3:$A$5001,"&gt;="&amp;$C$7,Base!$A$3:$A$5001,"&lt;="&amp;$B218,Base!$Y$3:$Y$5001,"&lt;&gt;"))))</f>
        <v>2860</v>
      </c>
      <c r="F218">
        <f>IF($A218&gt;$B$9,"",IF(COUNTIFS(Base!$B$3:$B$5001,F$197,Base!$A$3:$A$5001,"&gt;="&amp;$C$7,Base!$A$3:$A$5001,"&lt;="&amp;$B218,Base!$Y$3:$Y$5001,"&lt;&gt;")=0,"",SUMIFS(Base!$Y$3:$Y$5001,Base!$B$3:$B$5001,F$197,Base!$A$3:$A$5001,_xlfn.MAXIFS(Base!$A$3:$A$5001,Base!$B$3:$B$5001,F$197,Base!$A$3:$A$5001,"&gt;="&amp;$C$7,Base!$A$3:$A$5001,"&lt;="&amp;$B218,Base!$Y$3:$Y$5001,"&lt;&gt;"))))</f>
        <v>1253</v>
      </c>
      <c r="G218">
        <f>IF($A218&gt;$B$9,"",IF(COUNTIFS(Base!$B$3:$B$5001,G$197,Base!$A$3:$A$5001,"&gt;="&amp;$C$7,Base!$A$3:$A$5001,"&lt;="&amp;$B218,Base!$Y$3:$Y$5001,"&lt;&gt;")=0,"",SUMIFS(Base!$Y$3:$Y$5001,Base!$B$3:$B$5001,G$197,Base!$A$3:$A$5001,_xlfn.MAXIFS(Base!$A$3:$A$5001,Base!$B$3:$B$5001,G$197,Base!$A$3:$A$5001,"&gt;="&amp;$C$7,Base!$A$3:$A$5001,"&lt;="&amp;$B218,Base!$Y$3:$Y$5001,"&lt;&gt;"))))</f>
        <v>507</v>
      </c>
      <c r="H218">
        <f>IF($A218&gt;$B$9,"",IF(COUNTIFS(Base!$B$3:$B$5001,H$197,Base!$A$3:$A$5001,"&gt;="&amp;$C$7,Base!$A$3:$A$5001,"&lt;="&amp;$B218,Base!$Y$3:$Y$5001,"&lt;&gt;")=0,"",SUMIFS(Base!$Y$3:$Y$5001,Base!$B$3:$B$5001,H$197,Base!$A$3:$A$5001,_xlfn.MAXIFS(Base!$A$3:$A$5001,Base!$B$3:$B$5001,H$197,Base!$A$3:$A$5001,"&gt;="&amp;$C$7,Base!$A$3:$A$5001,"&lt;="&amp;$B218,Base!$Y$3:$Y$5001,"&lt;&gt;"))))</f>
        <v>421</v>
      </c>
      <c r="I218">
        <f>IF($A218&gt;$B$9,"",IF(COUNTIFS(Base!$B$3:$B$5001,I$197,Base!$A$3:$A$5001,"&gt;="&amp;$C$7,Base!$A$3:$A$5001,"&lt;="&amp;$B218,Base!$Y$3:$Y$5001,"&lt;&gt;")=0,"",SUMIFS(Base!$Y$3:$Y$5001,Base!$B$3:$B$5001,I$197,Base!$A$3:$A$5001,_xlfn.MAXIFS(Base!$A$3:$A$5001,Base!$B$3:$B$5001,I$197,Base!$A$3:$A$5001,"&gt;="&amp;$C$7,Base!$A$3:$A$5001,"&lt;="&amp;$B218,Base!$Y$3:$Y$5001,"&lt;&gt;"))))</f>
        <v>1114</v>
      </c>
      <c r="J218">
        <f>IF($A218&gt;$B$9,"",IF(COUNTIFS(Base!$B$3:$B$5001,J$197,Base!$A$3:$A$5001,"&gt;="&amp;$C$7,Base!$A$3:$A$5001,"&lt;="&amp;$B218,Base!$Y$3:$Y$5001,"&lt;&gt;")=0,"",SUMIFS(Base!$Y$3:$Y$5001,Base!$B$3:$B$5001,J$197,Base!$A$3:$A$5001,_xlfn.MAXIFS(Base!$A$3:$A$5001,Base!$B$3:$B$5001,J$197,Base!$A$3:$A$5001,"&gt;="&amp;$C$7,Base!$A$3:$A$5001,"&lt;="&amp;$B218,Base!$Y$3:$Y$5001,"&lt;&gt;"))))</f>
        <v>398</v>
      </c>
      <c r="K218">
        <f>IF($A218&gt;$B$9,"",IF(COUNTIFS(Base!$B$3:$B$5001,K$197,Base!$A$3:$A$5001,"&gt;="&amp;$C$7,Base!$A$3:$A$5001,"&lt;="&amp;$B218,Base!$Y$3:$Y$5001,"&lt;&gt;")=0,"",SUMIFS(Base!$Y$3:$Y$5001,Base!$B$3:$B$5001,K$197,Base!$A$3:$A$5001,_xlfn.MAXIFS(Base!$A$3:$A$5001,Base!$B$3:$B$5001,K$197,Base!$A$3:$A$5001,"&gt;="&amp;$C$7,Base!$A$3:$A$5001,"&lt;="&amp;$B218,Base!$Y$3:$Y$5001,"&lt;&gt;"))))</f>
        <v>1247</v>
      </c>
    </row>
    <row r="219">
      <c r="A219">
        <v>22</v>
      </c>
      <c r="B219" s="152">
        <f>$B$33</f>
        <v>46287</v>
      </c>
      <c r="C219">
        <f>IF($A219&gt;$B$9,"",IF(COUNTIFS(Base!$B$3:$B$5001,C$197,Base!$A$3:$A$5001,"&gt;="&amp;$C$7,Base!$A$3:$A$5001,"&lt;="&amp;$B219,Base!$Y$3:$Y$5001,"&lt;&gt;")=0,"",SUMIFS(Base!$Y$3:$Y$5001,Base!$B$3:$B$5001,C$197,Base!$A$3:$A$5001,_xlfn.MAXIFS(Base!$A$3:$A$5001,Base!$B$3:$B$5001,C$197,Base!$A$3:$A$5001,"&gt;="&amp;$C$7,Base!$A$3:$A$5001,"&lt;="&amp;$B219,Base!$Y$3:$Y$5001,"&lt;&gt;"))))</f>
        <v>1334</v>
      </c>
      <c r="D219">
        <f>IF($A219&gt;$B$9,"",IF(COUNTIFS(Base!$B$3:$B$5001,D$197,Base!$A$3:$A$5001,"&gt;="&amp;$C$7,Base!$A$3:$A$5001,"&lt;="&amp;$B219,Base!$Y$3:$Y$5001,"&lt;&gt;")=0,"",SUMIFS(Base!$Y$3:$Y$5001,Base!$B$3:$B$5001,D$197,Base!$A$3:$A$5001,_xlfn.MAXIFS(Base!$A$3:$A$5001,Base!$B$3:$B$5001,D$197,Base!$A$3:$A$5001,"&gt;="&amp;$C$7,Base!$A$3:$A$5001,"&lt;="&amp;$B219,Base!$Y$3:$Y$5001,"&lt;&gt;"))))</f>
        <v>712</v>
      </c>
      <c r="E219">
        <f>IF($A219&gt;$B$9,"",IF(COUNTIFS(Base!$B$3:$B$5001,E$197,Base!$A$3:$A$5001,"&gt;="&amp;$C$7,Base!$A$3:$A$5001,"&lt;="&amp;$B219,Base!$Y$3:$Y$5001,"&lt;&gt;")=0,"",SUMIFS(Base!$Y$3:$Y$5001,Base!$B$3:$B$5001,E$197,Base!$A$3:$A$5001,_xlfn.MAXIFS(Base!$A$3:$A$5001,Base!$B$3:$B$5001,E$197,Base!$A$3:$A$5001,"&gt;="&amp;$C$7,Base!$A$3:$A$5001,"&lt;="&amp;$B219,Base!$Y$3:$Y$5001,"&lt;&gt;"))))</f>
        <v>2499</v>
      </c>
      <c r="F219">
        <f>IF($A219&gt;$B$9,"",IF(COUNTIFS(Base!$B$3:$B$5001,F$197,Base!$A$3:$A$5001,"&gt;="&amp;$C$7,Base!$A$3:$A$5001,"&lt;="&amp;$B219,Base!$Y$3:$Y$5001,"&lt;&gt;")=0,"",SUMIFS(Base!$Y$3:$Y$5001,Base!$B$3:$B$5001,F$197,Base!$A$3:$A$5001,_xlfn.MAXIFS(Base!$A$3:$A$5001,Base!$B$3:$B$5001,F$197,Base!$A$3:$A$5001,"&gt;="&amp;$C$7,Base!$A$3:$A$5001,"&lt;="&amp;$B219,Base!$Y$3:$Y$5001,"&lt;&gt;"))))</f>
        <v>1199</v>
      </c>
      <c r="G219">
        <f>IF($A219&gt;$B$9,"",IF(COUNTIFS(Base!$B$3:$B$5001,G$197,Base!$A$3:$A$5001,"&gt;="&amp;$C$7,Base!$A$3:$A$5001,"&lt;="&amp;$B219,Base!$Y$3:$Y$5001,"&lt;&gt;")=0,"",SUMIFS(Base!$Y$3:$Y$5001,Base!$B$3:$B$5001,G$197,Base!$A$3:$A$5001,_xlfn.MAXIFS(Base!$A$3:$A$5001,Base!$B$3:$B$5001,G$197,Base!$A$3:$A$5001,"&gt;="&amp;$C$7,Base!$A$3:$A$5001,"&lt;="&amp;$B219,Base!$Y$3:$Y$5001,"&lt;&gt;"))))</f>
        <v>802</v>
      </c>
      <c r="H219">
        <f>IF($A219&gt;$B$9,"",IF(COUNTIFS(Base!$B$3:$B$5001,H$197,Base!$A$3:$A$5001,"&gt;="&amp;$C$7,Base!$A$3:$A$5001,"&lt;="&amp;$B219,Base!$Y$3:$Y$5001,"&lt;&gt;")=0,"",SUMIFS(Base!$Y$3:$Y$5001,Base!$B$3:$B$5001,H$197,Base!$A$3:$A$5001,_xlfn.MAXIFS(Base!$A$3:$A$5001,Base!$B$3:$B$5001,H$197,Base!$A$3:$A$5001,"&gt;="&amp;$C$7,Base!$A$3:$A$5001,"&lt;="&amp;$B219,Base!$Y$3:$Y$5001,"&lt;&gt;"))))</f>
        <v>387</v>
      </c>
      <c r="I219">
        <f>IF($A219&gt;$B$9,"",IF(COUNTIFS(Base!$B$3:$B$5001,I$197,Base!$A$3:$A$5001,"&gt;="&amp;$C$7,Base!$A$3:$A$5001,"&lt;="&amp;$B219,Base!$Y$3:$Y$5001,"&lt;&gt;")=0,"",SUMIFS(Base!$Y$3:$Y$5001,Base!$B$3:$B$5001,I$197,Base!$A$3:$A$5001,_xlfn.MAXIFS(Base!$A$3:$A$5001,Base!$B$3:$B$5001,I$197,Base!$A$3:$A$5001,"&gt;="&amp;$C$7,Base!$A$3:$A$5001,"&lt;="&amp;$B219,Base!$Y$3:$Y$5001,"&lt;&gt;"))))</f>
        <v>1219</v>
      </c>
      <c r="J219">
        <f>IF($A219&gt;$B$9,"",IF(COUNTIFS(Base!$B$3:$B$5001,J$197,Base!$A$3:$A$5001,"&gt;="&amp;$C$7,Base!$A$3:$A$5001,"&lt;="&amp;$B219,Base!$Y$3:$Y$5001,"&lt;&gt;")=0,"",SUMIFS(Base!$Y$3:$Y$5001,Base!$B$3:$B$5001,J$197,Base!$A$3:$A$5001,_xlfn.MAXIFS(Base!$A$3:$A$5001,Base!$B$3:$B$5001,J$197,Base!$A$3:$A$5001,"&gt;="&amp;$C$7,Base!$A$3:$A$5001,"&lt;="&amp;$B219,Base!$Y$3:$Y$5001,"&lt;&gt;"))))</f>
        <v>400</v>
      </c>
      <c r="K219">
        <f>IF($A219&gt;$B$9,"",IF(COUNTIFS(Base!$B$3:$B$5001,K$197,Base!$A$3:$A$5001,"&gt;="&amp;$C$7,Base!$A$3:$A$5001,"&lt;="&amp;$B219,Base!$Y$3:$Y$5001,"&lt;&gt;")=0,"",SUMIFS(Base!$Y$3:$Y$5001,Base!$B$3:$B$5001,K$197,Base!$A$3:$A$5001,_xlfn.MAXIFS(Base!$A$3:$A$5001,Base!$B$3:$B$5001,K$197,Base!$A$3:$A$5001,"&gt;="&amp;$C$7,Base!$A$3:$A$5001,"&lt;="&amp;$B219,Base!$Y$3:$Y$5001,"&lt;&gt;"))))</f>
        <v>1698</v>
      </c>
    </row>
    <row r="220">
      <c r="A220">
        <v>23</v>
      </c>
      <c r="B220" s="152">
        <f>$B$34</f>
        <v>46288</v>
      </c>
      <c r="C220">
        <f>IF($A220&gt;$B$9,"",IF(COUNTIFS(Base!$B$3:$B$5001,C$197,Base!$A$3:$A$5001,"&gt;="&amp;$C$7,Base!$A$3:$A$5001,"&lt;="&amp;$B220,Base!$Y$3:$Y$5001,"&lt;&gt;")=0,"",SUMIFS(Base!$Y$3:$Y$5001,Base!$B$3:$B$5001,C$197,Base!$A$3:$A$5001,_xlfn.MAXIFS(Base!$A$3:$A$5001,Base!$B$3:$B$5001,C$197,Base!$A$3:$A$5001,"&gt;="&amp;$C$7,Base!$A$3:$A$5001,"&lt;="&amp;$B220,Base!$Y$3:$Y$5001,"&lt;&gt;"))))</f>
        <v>1518</v>
      </c>
      <c r="D220">
        <f>IF($A220&gt;$B$9,"",IF(COUNTIFS(Base!$B$3:$B$5001,D$197,Base!$A$3:$A$5001,"&gt;="&amp;$C$7,Base!$A$3:$A$5001,"&lt;="&amp;$B220,Base!$Y$3:$Y$5001,"&lt;&gt;")=0,"",SUMIFS(Base!$Y$3:$Y$5001,Base!$B$3:$B$5001,D$197,Base!$A$3:$A$5001,_xlfn.MAXIFS(Base!$A$3:$A$5001,Base!$B$3:$B$5001,D$197,Base!$A$3:$A$5001,"&gt;="&amp;$C$7,Base!$A$3:$A$5001,"&lt;="&amp;$B220,Base!$Y$3:$Y$5001,"&lt;&gt;"))))</f>
        <v>868</v>
      </c>
      <c r="E220">
        <f>IF($A220&gt;$B$9,"",IF(COUNTIFS(Base!$B$3:$B$5001,E$197,Base!$A$3:$A$5001,"&gt;="&amp;$C$7,Base!$A$3:$A$5001,"&lt;="&amp;$B220,Base!$Y$3:$Y$5001,"&lt;&gt;")=0,"",SUMIFS(Base!$Y$3:$Y$5001,Base!$B$3:$B$5001,E$197,Base!$A$3:$A$5001,_xlfn.MAXIFS(Base!$A$3:$A$5001,Base!$B$3:$B$5001,E$197,Base!$A$3:$A$5001,"&gt;="&amp;$C$7,Base!$A$3:$A$5001,"&lt;="&amp;$B220,Base!$Y$3:$Y$5001,"&lt;&gt;"))))</f>
        <v>3179</v>
      </c>
      <c r="F220">
        <f>IF($A220&gt;$B$9,"",IF(COUNTIFS(Base!$B$3:$B$5001,F$197,Base!$A$3:$A$5001,"&gt;="&amp;$C$7,Base!$A$3:$A$5001,"&lt;="&amp;$B220,Base!$Y$3:$Y$5001,"&lt;&gt;")=0,"",SUMIFS(Base!$Y$3:$Y$5001,Base!$B$3:$B$5001,F$197,Base!$A$3:$A$5001,_xlfn.MAXIFS(Base!$A$3:$A$5001,Base!$B$3:$B$5001,F$197,Base!$A$3:$A$5001,"&gt;="&amp;$C$7,Base!$A$3:$A$5001,"&lt;="&amp;$B220,Base!$Y$3:$Y$5001,"&lt;&gt;"))))</f>
        <v>1151</v>
      </c>
      <c r="G220">
        <f>IF($A220&gt;$B$9,"",IF(COUNTIFS(Base!$B$3:$B$5001,G$197,Base!$A$3:$A$5001,"&gt;="&amp;$C$7,Base!$A$3:$A$5001,"&lt;="&amp;$B220,Base!$Y$3:$Y$5001,"&lt;&gt;")=0,"",SUMIFS(Base!$Y$3:$Y$5001,Base!$B$3:$B$5001,G$197,Base!$A$3:$A$5001,_xlfn.MAXIFS(Base!$A$3:$A$5001,Base!$B$3:$B$5001,G$197,Base!$A$3:$A$5001,"&gt;="&amp;$C$7,Base!$A$3:$A$5001,"&lt;="&amp;$B220,Base!$Y$3:$Y$5001,"&lt;&gt;"))))</f>
        <v>834</v>
      </c>
      <c r="H220">
        <f>IF($A220&gt;$B$9,"",IF(COUNTIFS(Base!$B$3:$B$5001,H$197,Base!$A$3:$A$5001,"&gt;="&amp;$C$7,Base!$A$3:$A$5001,"&lt;="&amp;$B220,Base!$Y$3:$Y$5001,"&lt;&gt;")=0,"",SUMIFS(Base!$Y$3:$Y$5001,Base!$B$3:$B$5001,H$197,Base!$A$3:$A$5001,_xlfn.MAXIFS(Base!$A$3:$A$5001,Base!$B$3:$B$5001,H$197,Base!$A$3:$A$5001,"&gt;="&amp;$C$7,Base!$A$3:$A$5001,"&lt;="&amp;$B220,Base!$Y$3:$Y$5001,"&lt;&gt;"))))</f>
        <v>580</v>
      </c>
      <c r="I220">
        <f>IF($A220&gt;$B$9,"",IF(COUNTIFS(Base!$B$3:$B$5001,I$197,Base!$A$3:$A$5001,"&gt;="&amp;$C$7,Base!$A$3:$A$5001,"&lt;="&amp;$B220,Base!$Y$3:$Y$5001,"&lt;&gt;")=0,"",SUMIFS(Base!$Y$3:$Y$5001,Base!$B$3:$B$5001,I$197,Base!$A$3:$A$5001,_xlfn.MAXIFS(Base!$A$3:$A$5001,Base!$B$3:$B$5001,I$197,Base!$A$3:$A$5001,"&gt;="&amp;$C$7,Base!$A$3:$A$5001,"&lt;="&amp;$B220,Base!$Y$3:$Y$5001,"&lt;&gt;"))))</f>
        <v>856</v>
      </c>
      <c r="J220">
        <f>IF($A220&gt;$B$9,"",IF(COUNTIFS(Base!$B$3:$B$5001,J$197,Base!$A$3:$A$5001,"&gt;="&amp;$C$7,Base!$A$3:$A$5001,"&lt;="&amp;$B220,Base!$Y$3:$Y$5001,"&lt;&gt;")=0,"",SUMIFS(Base!$Y$3:$Y$5001,Base!$B$3:$B$5001,J$197,Base!$A$3:$A$5001,_xlfn.MAXIFS(Base!$A$3:$A$5001,Base!$B$3:$B$5001,J$197,Base!$A$3:$A$5001,"&gt;="&amp;$C$7,Base!$A$3:$A$5001,"&lt;="&amp;$B220,Base!$Y$3:$Y$5001,"&lt;&gt;"))))</f>
        <v>404</v>
      </c>
      <c r="K220">
        <f>IF($A220&gt;$B$9,"",IF(COUNTIFS(Base!$B$3:$B$5001,K$197,Base!$A$3:$A$5001,"&gt;="&amp;$C$7,Base!$A$3:$A$5001,"&lt;="&amp;$B220,Base!$Y$3:$Y$5001,"&lt;&gt;")=0,"",SUMIFS(Base!$Y$3:$Y$5001,Base!$B$3:$B$5001,K$197,Base!$A$3:$A$5001,_xlfn.MAXIFS(Base!$A$3:$A$5001,Base!$B$3:$B$5001,K$197,Base!$A$3:$A$5001,"&gt;="&amp;$C$7,Base!$A$3:$A$5001,"&lt;="&amp;$B220,Base!$Y$3:$Y$5001,"&lt;&gt;"))))</f>
        <v>1697</v>
      </c>
    </row>
    <row r="221">
      <c r="A221">
        <v>24</v>
      </c>
      <c r="B221" s="152">
        <f>$B$35</f>
        <v>46289</v>
      </c>
      <c r="C221">
        <f>IF($A221&gt;$B$9,"",IF(COUNTIFS(Base!$B$3:$B$5001,C$197,Base!$A$3:$A$5001,"&gt;="&amp;$C$7,Base!$A$3:$A$5001,"&lt;="&amp;$B221,Base!$Y$3:$Y$5001,"&lt;&gt;")=0,"",SUMIFS(Base!$Y$3:$Y$5001,Base!$B$3:$B$5001,C$197,Base!$A$3:$A$5001,_xlfn.MAXIFS(Base!$A$3:$A$5001,Base!$B$3:$B$5001,C$197,Base!$A$3:$A$5001,"&gt;="&amp;$C$7,Base!$A$3:$A$5001,"&lt;="&amp;$B221,Base!$Y$3:$Y$5001,"&lt;&gt;"))))</f>
        <v>1710</v>
      </c>
      <c r="D221">
        <f>IF($A221&gt;$B$9,"",IF(COUNTIFS(Base!$B$3:$B$5001,D$197,Base!$A$3:$A$5001,"&gt;="&amp;$C$7,Base!$A$3:$A$5001,"&lt;="&amp;$B221,Base!$Y$3:$Y$5001,"&lt;&gt;")=0,"",SUMIFS(Base!$Y$3:$Y$5001,Base!$B$3:$B$5001,D$197,Base!$A$3:$A$5001,_xlfn.MAXIFS(Base!$A$3:$A$5001,Base!$B$3:$B$5001,D$197,Base!$A$3:$A$5001,"&gt;="&amp;$C$7,Base!$A$3:$A$5001,"&lt;="&amp;$B221,Base!$Y$3:$Y$5001,"&lt;&gt;"))))</f>
        <v>1076</v>
      </c>
      <c r="E221">
        <f>IF($A221&gt;$B$9,"",IF(COUNTIFS(Base!$B$3:$B$5001,E$197,Base!$A$3:$A$5001,"&gt;="&amp;$C$7,Base!$A$3:$A$5001,"&lt;="&amp;$B221,Base!$Y$3:$Y$5001,"&lt;&gt;")=0,"",SUMIFS(Base!$Y$3:$Y$5001,Base!$B$3:$B$5001,E$197,Base!$A$3:$A$5001,_xlfn.MAXIFS(Base!$A$3:$A$5001,Base!$B$3:$B$5001,E$197,Base!$A$3:$A$5001,"&gt;="&amp;$C$7,Base!$A$3:$A$5001,"&lt;="&amp;$B221,Base!$Y$3:$Y$5001,"&lt;&gt;"))))</f>
        <v>2814</v>
      </c>
      <c r="F221">
        <f>IF($A221&gt;$B$9,"",IF(COUNTIFS(Base!$B$3:$B$5001,F$197,Base!$A$3:$A$5001,"&gt;="&amp;$C$7,Base!$A$3:$A$5001,"&lt;="&amp;$B221,Base!$Y$3:$Y$5001,"&lt;&gt;")=0,"",SUMIFS(Base!$Y$3:$Y$5001,Base!$B$3:$B$5001,F$197,Base!$A$3:$A$5001,_xlfn.MAXIFS(Base!$A$3:$A$5001,Base!$B$3:$B$5001,F$197,Base!$A$3:$A$5001,"&gt;="&amp;$C$7,Base!$A$3:$A$5001,"&lt;="&amp;$B221,Base!$Y$3:$Y$5001,"&lt;&gt;"))))</f>
        <v>1193</v>
      </c>
      <c r="G221">
        <f>IF($A221&gt;$B$9,"",IF(COUNTIFS(Base!$B$3:$B$5001,G$197,Base!$A$3:$A$5001,"&gt;="&amp;$C$7,Base!$A$3:$A$5001,"&lt;="&amp;$B221,Base!$Y$3:$Y$5001,"&lt;&gt;")=0,"",SUMIFS(Base!$Y$3:$Y$5001,Base!$B$3:$B$5001,G$197,Base!$A$3:$A$5001,_xlfn.MAXIFS(Base!$A$3:$A$5001,Base!$B$3:$B$5001,G$197,Base!$A$3:$A$5001,"&gt;="&amp;$C$7,Base!$A$3:$A$5001,"&lt;="&amp;$B221,Base!$Y$3:$Y$5001,"&lt;&gt;"))))</f>
        <v>506</v>
      </c>
      <c r="H221">
        <f>IF($A221&gt;$B$9,"",IF(COUNTIFS(Base!$B$3:$B$5001,H$197,Base!$A$3:$A$5001,"&gt;="&amp;$C$7,Base!$A$3:$A$5001,"&lt;="&amp;$B221,Base!$Y$3:$Y$5001,"&lt;&gt;")=0,"",SUMIFS(Base!$Y$3:$Y$5001,Base!$B$3:$B$5001,H$197,Base!$A$3:$A$5001,_xlfn.MAXIFS(Base!$A$3:$A$5001,Base!$B$3:$B$5001,H$197,Base!$A$3:$A$5001,"&gt;="&amp;$C$7,Base!$A$3:$A$5001,"&lt;="&amp;$B221,Base!$Y$3:$Y$5001,"&lt;&gt;"))))</f>
        <v>383</v>
      </c>
      <c r="I221">
        <f>IF($A221&gt;$B$9,"",IF(COUNTIFS(Base!$B$3:$B$5001,I$197,Base!$A$3:$A$5001,"&gt;="&amp;$C$7,Base!$A$3:$A$5001,"&lt;="&amp;$B221,Base!$Y$3:$Y$5001,"&lt;&gt;")=0,"",SUMIFS(Base!$Y$3:$Y$5001,Base!$B$3:$B$5001,I$197,Base!$A$3:$A$5001,_xlfn.MAXIFS(Base!$A$3:$A$5001,Base!$B$3:$B$5001,I$197,Base!$A$3:$A$5001,"&gt;="&amp;$C$7,Base!$A$3:$A$5001,"&lt;="&amp;$B221,Base!$Y$3:$Y$5001,"&lt;&gt;"))))</f>
        <v>1060</v>
      </c>
      <c r="J221">
        <f>IF($A221&gt;$B$9,"",IF(COUNTIFS(Base!$B$3:$B$5001,J$197,Base!$A$3:$A$5001,"&gt;="&amp;$C$7,Base!$A$3:$A$5001,"&lt;="&amp;$B221,Base!$Y$3:$Y$5001,"&lt;&gt;")=0,"",SUMIFS(Base!$Y$3:$Y$5001,Base!$B$3:$B$5001,J$197,Base!$A$3:$A$5001,_xlfn.MAXIFS(Base!$A$3:$A$5001,Base!$B$3:$B$5001,J$197,Base!$A$3:$A$5001,"&gt;="&amp;$C$7,Base!$A$3:$A$5001,"&lt;="&amp;$B221,Base!$Y$3:$Y$5001,"&lt;&gt;"))))</f>
        <v>300</v>
      </c>
      <c r="K221">
        <f>IF($A221&gt;$B$9,"",IF(COUNTIFS(Base!$B$3:$B$5001,K$197,Base!$A$3:$A$5001,"&gt;="&amp;$C$7,Base!$A$3:$A$5001,"&lt;="&amp;$B221,Base!$Y$3:$Y$5001,"&lt;&gt;")=0,"",SUMIFS(Base!$Y$3:$Y$5001,Base!$B$3:$B$5001,K$197,Base!$A$3:$A$5001,_xlfn.MAXIFS(Base!$A$3:$A$5001,Base!$B$3:$B$5001,K$197,Base!$A$3:$A$5001,"&gt;="&amp;$C$7,Base!$A$3:$A$5001,"&lt;="&amp;$B221,Base!$Y$3:$Y$5001,"&lt;&gt;"))))</f>
        <v>1435</v>
      </c>
    </row>
    <row r="222">
      <c r="A222">
        <v>25</v>
      </c>
      <c r="B222" s="152">
        <f>$B$36</f>
        <v>46290</v>
      </c>
      <c r="C222">
        <f>IF($A222&gt;$B$9,"",IF(COUNTIFS(Base!$B$3:$B$5001,C$197,Base!$A$3:$A$5001,"&gt;="&amp;$C$7,Base!$A$3:$A$5001,"&lt;="&amp;$B222,Base!$Y$3:$Y$5001,"&lt;&gt;")=0,"",SUMIFS(Base!$Y$3:$Y$5001,Base!$B$3:$B$5001,C$197,Base!$A$3:$A$5001,_xlfn.MAXIFS(Base!$A$3:$A$5001,Base!$B$3:$B$5001,C$197,Base!$A$3:$A$5001,"&gt;="&amp;$C$7,Base!$A$3:$A$5001,"&lt;="&amp;$B222,Base!$Y$3:$Y$5001,"&lt;&gt;"))))</f>
        <v>1642</v>
      </c>
      <c r="D222">
        <f>IF($A222&gt;$B$9,"",IF(COUNTIFS(Base!$B$3:$B$5001,D$197,Base!$A$3:$A$5001,"&gt;="&amp;$C$7,Base!$A$3:$A$5001,"&lt;="&amp;$B222,Base!$Y$3:$Y$5001,"&lt;&gt;")=0,"",SUMIFS(Base!$Y$3:$Y$5001,Base!$B$3:$B$5001,D$197,Base!$A$3:$A$5001,_xlfn.MAXIFS(Base!$A$3:$A$5001,Base!$B$3:$B$5001,D$197,Base!$A$3:$A$5001,"&gt;="&amp;$C$7,Base!$A$3:$A$5001,"&lt;="&amp;$B222,Base!$Y$3:$Y$5001,"&lt;&gt;"))))</f>
        <v>856</v>
      </c>
      <c r="E222">
        <f>IF($A222&gt;$B$9,"",IF(COUNTIFS(Base!$B$3:$B$5001,E$197,Base!$A$3:$A$5001,"&gt;="&amp;$C$7,Base!$A$3:$A$5001,"&lt;="&amp;$B222,Base!$Y$3:$Y$5001,"&lt;&gt;")=0,"",SUMIFS(Base!$Y$3:$Y$5001,Base!$B$3:$B$5001,E$197,Base!$A$3:$A$5001,_xlfn.MAXIFS(Base!$A$3:$A$5001,Base!$B$3:$B$5001,E$197,Base!$A$3:$A$5001,"&gt;="&amp;$C$7,Base!$A$3:$A$5001,"&lt;="&amp;$B222,Base!$Y$3:$Y$5001,"&lt;&gt;"))))</f>
        <v>2650</v>
      </c>
      <c r="F222">
        <f>IF($A222&gt;$B$9,"",IF(COUNTIFS(Base!$B$3:$B$5001,F$197,Base!$A$3:$A$5001,"&gt;="&amp;$C$7,Base!$A$3:$A$5001,"&lt;="&amp;$B222,Base!$Y$3:$Y$5001,"&lt;&gt;")=0,"",SUMIFS(Base!$Y$3:$Y$5001,Base!$B$3:$B$5001,F$197,Base!$A$3:$A$5001,_xlfn.MAXIFS(Base!$A$3:$A$5001,Base!$B$3:$B$5001,F$197,Base!$A$3:$A$5001,"&gt;="&amp;$C$7,Base!$A$3:$A$5001,"&lt;="&amp;$B222,Base!$Y$3:$Y$5001,"&lt;&gt;"))))</f>
        <v>931</v>
      </c>
      <c r="G222">
        <f>IF($A222&gt;$B$9,"",IF(COUNTIFS(Base!$B$3:$B$5001,G$197,Base!$A$3:$A$5001,"&gt;="&amp;$C$7,Base!$A$3:$A$5001,"&lt;="&amp;$B222,Base!$Y$3:$Y$5001,"&lt;&gt;")=0,"",SUMIFS(Base!$Y$3:$Y$5001,Base!$B$3:$B$5001,G$197,Base!$A$3:$A$5001,_xlfn.MAXIFS(Base!$A$3:$A$5001,Base!$B$3:$B$5001,G$197,Base!$A$3:$A$5001,"&gt;="&amp;$C$7,Base!$A$3:$A$5001,"&lt;="&amp;$B222,Base!$Y$3:$Y$5001,"&lt;&gt;"))))</f>
        <v>769</v>
      </c>
      <c r="H222">
        <f>IF($A222&gt;$B$9,"",IF(COUNTIFS(Base!$B$3:$B$5001,H$197,Base!$A$3:$A$5001,"&gt;="&amp;$C$7,Base!$A$3:$A$5001,"&lt;="&amp;$B222,Base!$Y$3:$Y$5001,"&lt;&gt;")=0,"",SUMIFS(Base!$Y$3:$Y$5001,Base!$B$3:$B$5001,H$197,Base!$A$3:$A$5001,_xlfn.MAXIFS(Base!$A$3:$A$5001,Base!$B$3:$B$5001,H$197,Base!$A$3:$A$5001,"&gt;="&amp;$C$7,Base!$A$3:$A$5001,"&lt;="&amp;$B222,Base!$Y$3:$Y$5001,"&lt;&gt;"))))</f>
        <v>428</v>
      </c>
      <c r="I222">
        <f>IF($A222&gt;$B$9,"",IF(COUNTIFS(Base!$B$3:$B$5001,I$197,Base!$A$3:$A$5001,"&gt;="&amp;$C$7,Base!$A$3:$A$5001,"&lt;="&amp;$B222,Base!$Y$3:$Y$5001,"&lt;&gt;")=0,"",SUMIFS(Base!$Y$3:$Y$5001,Base!$B$3:$B$5001,I$197,Base!$A$3:$A$5001,_xlfn.MAXIFS(Base!$A$3:$A$5001,Base!$B$3:$B$5001,I$197,Base!$A$3:$A$5001,"&gt;="&amp;$C$7,Base!$A$3:$A$5001,"&lt;="&amp;$B222,Base!$Y$3:$Y$5001,"&lt;&gt;"))))</f>
        <v>1230</v>
      </c>
      <c r="J222">
        <f>IF($A222&gt;$B$9,"",IF(COUNTIFS(Base!$B$3:$B$5001,J$197,Base!$A$3:$A$5001,"&gt;="&amp;$C$7,Base!$A$3:$A$5001,"&lt;="&amp;$B222,Base!$Y$3:$Y$5001,"&lt;&gt;")=0,"",SUMIFS(Base!$Y$3:$Y$5001,Base!$B$3:$B$5001,J$197,Base!$A$3:$A$5001,_xlfn.MAXIFS(Base!$A$3:$A$5001,Base!$B$3:$B$5001,J$197,Base!$A$3:$A$5001,"&gt;="&amp;$C$7,Base!$A$3:$A$5001,"&lt;="&amp;$B222,Base!$Y$3:$Y$5001,"&lt;&gt;"))))</f>
        <v>482</v>
      </c>
      <c r="K222">
        <f>IF($A222&gt;$B$9,"",IF(COUNTIFS(Base!$B$3:$B$5001,K$197,Base!$A$3:$A$5001,"&gt;="&amp;$C$7,Base!$A$3:$A$5001,"&lt;="&amp;$B222,Base!$Y$3:$Y$5001,"&lt;&gt;")=0,"",SUMIFS(Base!$Y$3:$Y$5001,Base!$B$3:$B$5001,K$197,Base!$A$3:$A$5001,_xlfn.MAXIFS(Base!$A$3:$A$5001,Base!$B$3:$B$5001,K$197,Base!$A$3:$A$5001,"&gt;="&amp;$C$7,Base!$A$3:$A$5001,"&lt;="&amp;$B222,Base!$Y$3:$Y$5001,"&lt;&gt;"))))</f>
        <v>1344</v>
      </c>
    </row>
    <row r="223">
      <c r="A223">
        <v>26</v>
      </c>
      <c r="B223" s="152">
        <f>$B$37</f>
        <v>46291</v>
      </c>
      <c r="C223">
        <f>IF($A223&gt;$B$9,"",IF(COUNTIFS(Base!$B$3:$B$5001,C$197,Base!$A$3:$A$5001,"&gt;="&amp;$C$7,Base!$A$3:$A$5001,"&lt;="&amp;$B223,Base!$Y$3:$Y$5001,"&lt;&gt;")=0,"",SUMIFS(Base!$Y$3:$Y$5001,Base!$B$3:$B$5001,C$197,Base!$A$3:$A$5001,_xlfn.MAXIFS(Base!$A$3:$A$5001,Base!$B$3:$B$5001,C$197,Base!$A$3:$A$5001,"&gt;="&amp;$C$7,Base!$A$3:$A$5001,"&lt;="&amp;$B223,Base!$Y$3:$Y$5001,"&lt;&gt;"))))</f>
        <v>2122</v>
      </c>
      <c r="D223">
        <f>IF($A223&gt;$B$9,"",IF(COUNTIFS(Base!$B$3:$B$5001,D$197,Base!$A$3:$A$5001,"&gt;="&amp;$C$7,Base!$A$3:$A$5001,"&lt;="&amp;$B223,Base!$Y$3:$Y$5001,"&lt;&gt;")=0,"",SUMIFS(Base!$Y$3:$Y$5001,Base!$B$3:$B$5001,D$197,Base!$A$3:$A$5001,_xlfn.MAXIFS(Base!$A$3:$A$5001,Base!$B$3:$B$5001,D$197,Base!$A$3:$A$5001,"&gt;="&amp;$C$7,Base!$A$3:$A$5001,"&lt;="&amp;$B223,Base!$Y$3:$Y$5001,"&lt;&gt;"))))</f>
        <v>796</v>
      </c>
      <c r="E223">
        <f>IF($A223&gt;$B$9,"",IF(COUNTIFS(Base!$B$3:$B$5001,E$197,Base!$A$3:$A$5001,"&gt;="&amp;$C$7,Base!$A$3:$A$5001,"&lt;="&amp;$B223,Base!$Y$3:$Y$5001,"&lt;&gt;")=0,"",SUMIFS(Base!$Y$3:$Y$5001,Base!$B$3:$B$5001,E$197,Base!$A$3:$A$5001,_xlfn.MAXIFS(Base!$A$3:$A$5001,Base!$B$3:$B$5001,E$197,Base!$A$3:$A$5001,"&gt;="&amp;$C$7,Base!$A$3:$A$5001,"&lt;="&amp;$B223,Base!$Y$3:$Y$5001,"&lt;&gt;"))))</f>
        <v>2339</v>
      </c>
      <c r="F223">
        <f>IF($A223&gt;$B$9,"",IF(COUNTIFS(Base!$B$3:$B$5001,F$197,Base!$A$3:$A$5001,"&gt;="&amp;$C$7,Base!$A$3:$A$5001,"&lt;="&amp;$B223,Base!$Y$3:$Y$5001,"&lt;&gt;")=0,"",SUMIFS(Base!$Y$3:$Y$5001,Base!$B$3:$B$5001,F$197,Base!$A$3:$A$5001,_xlfn.MAXIFS(Base!$A$3:$A$5001,Base!$B$3:$B$5001,F$197,Base!$A$3:$A$5001,"&gt;="&amp;$C$7,Base!$A$3:$A$5001,"&lt;="&amp;$B223,Base!$Y$3:$Y$5001,"&lt;&gt;"))))</f>
        <v>1366</v>
      </c>
      <c r="G223">
        <f>IF($A223&gt;$B$9,"",IF(COUNTIFS(Base!$B$3:$B$5001,G$197,Base!$A$3:$A$5001,"&gt;="&amp;$C$7,Base!$A$3:$A$5001,"&lt;="&amp;$B223,Base!$Y$3:$Y$5001,"&lt;&gt;")=0,"",SUMIFS(Base!$Y$3:$Y$5001,Base!$B$3:$B$5001,G$197,Base!$A$3:$A$5001,_xlfn.MAXIFS(Base!$A$3:$A$5001,Base!$B$3:$B$5001,G$197,Base!$A$3:$A$5001,"&gt;="&amp;$C$7,Base!$A$3:$A$5001,"&lt;="&amp;$B223,Base!$Y$3:$Y$5001,"&lt;&gt;"))))</f>
        <v>627</v>
      </c>
      <c r="H223">
        <f>IF($A223&gt;$B$9,"",IF(COUNTIFS(Base!$B$3:$B$5001,H$197,Base!$A$3:$A$5001,"&gt;="&amp;$C$7,Base!$A$3:$A$5001,"&lt;="&amp;$B223,Base!$Y$3:$Y$5001,"&lt;&gt;")=0,"",SUMIFS(Base!$Y$3:$Y$5001,Base!$B$3:$B$5001,H$197,Base!$A$3:$A$5001,_xlfn.MAXIFS(Base!$A$3:$A$5001,Base!$B$3:$B$5001,H$197,Base!$A$3:$A$5001,"&gt;="&amp;$C$7,Base!$A$3:$A$5001,"&lt;="&amp;$B223,Base!$Y$3:$Y$5001,"&lt;&gt;"))))</f>
        <v>459</v>
      </c>
      <c r="I223">
        <f>IF($A223&gt;$B$9,"",IF(COUNTIFS(Base!$B$3:$B$5001,I$197,Base!$A$3:$A$5001,"&gt;="&amp;$C$7,Base!$A$3:$A$5001,"&lt;="&amp;$B223,Base!$Y$3:$Y$5001,"&lt;&gt;")=0,"",SUMIFS(Base!$Y$3:$Y$5001,Base!$B$3:$B$5001,I$197,Base!$A$3:$A$5001,_xlfn.MAXIFS(Base!$A$3:$A$5001,Base!$B$3:$B$5001,I$197,Base!$A$3:$A$5001,"&gt;="&amp;$C$7,Base!$A$3:$A$5001,"&lt;="&amp;$B223,Base!$Y$3:$Y$5001,"&lt;&gt;"))))</f>
        <v>891</v>
      </c>
      <c r="J223">
        <f>IF($A223&gt;$B$9,"",IF(COUNTIFS(Base!$B$3:$B$5001,J$197,Base!$A$3:$A$5001,"&gt;="&amp;$C$7,Base!$A$3:$A$5001,"&lt;="&amp;$B223,Base!$Y$3:$Y$5001,"&lt;&gt;")=0,"",SUMIFS(Base!$Y$3:$Y$5001,Base!$B$3:$B$5001,J$197,Base!$A$3:$A$5001,_xlfn.MAXIFS(Base!$A$3:$A$5001,Base!$B$3:$B$5001,J$197,Base!$A$3:$A$5001,"&gt;="&amp;$C$7,Base!$A$3:$A$5001,"&lt;="&amp;$B223,Base!$Y$3:$Y$5001,"&lt;&gt;"))))</f>
        <v>345</v>
      </c>
      <c r="K223">
        <f>IF($A223&gt;$B$9,"",IF(COUNTIFS(Base!$B$3:$B$5001,K$197,Base!$A$3:$A$5001,"&gt;="&amp;$C$7,Base!$A$3:$A$5001,"&lt;="&amp;$B223,Base!$Y$3:$Y$5001,"&lt;&gt;")=0,"",SUMIFS(Base!$Y$3:$Y$5001,Base!$B$3:$B$5001,K$197,Base!$A$3:$A$5001,_xlfn.MAXIFS(Base!$A$3:$A$5001,Base!$B$3:$B$5001,K$197,Base!$A$3:$A$5001,"&gt;="&amp;$C$7,Base!$A$3:$A$5001,"&lt;="&amp;$B223,Base!$Y$3:$Y$5001,"&lt;&gt;"))))</f>
        <v>1346</v>
      </c>
    </row>
    <row r="224">
      <c r="A224">
        <v>27</v>
      </c>
      <c r="B224" s="152">
        <f>$B$38</f>
        <v>46292</v>
      </c>
      <c r="C224">
        <f>IF($A224&gt;$B$9,"",IF(COUNTIFS(Base!$B$3:$B$5001,C$197,Base!$A$3:$A$5001,"&gt;="&amp;$C$7,Base!$A$3:$A$5001,"&lt;="&amp;$B224,Base!$Y$3:$Y$5001,"&lt;&gt;")=0,"",SUMIFS(Base!$Y$3:$Y$5001,Base!$B$3:$B$5001,C$197,Base!$A$3:$A$5001,_xlfn.MAXIFS(Base!$A$3:$A$5001,Base!$B$3:$B$5001,C$197,Base!$A$3:$A$5001,"&gt;="&amp;$C$7,Base!$A$3:$A$5001,"&lt;="&amp;$B224,Base!$Y$3:$Y$5001,"&lt;&gt;"))))</f>
        <v>2122</v>
      </c>
      <c r="D224">
        <f>IF($A224&gt;$B$9,"",IF(COUNTIFS(Base!$B$3:$B$5001,D$197,Base!$A$3:$A$5001,"&gt;="&amp;$C$7,Base!$A$3:$A$5001,"&lt;="&amp;$B224,Base!$Y$3:$Y$5001,"&lt;&gt;")=0,"",SUMIFS(Base!$Y$3:$Y$5001,Base!$B$3:$B$5001,D$197,Base!$A$3:$A$5001,_xlfn.MAXIFS(Base!$A$3:$A$5001,Base!$B$3:$B$5001,D$197,Base!$A$3:$A$5001,"&gt;="&amp;$C$7,Base!$A$3:$A$5001,"&lt;="&amp;$B224,Base!$Y$3:$Y$5001,"&lt;&gt;"))))</f>
        <v>796</v>
      </c>
      <c r="E224">
        <f>IF($A224&gt;$B$9,"",IF(COUNTIFS(Base!$B$3:$B$5001,E$197,Base!$A$3:$A$5001,"&gt;="&amp;$C$7,Base!$A$3:$A$5001,"&lt;="&amp;$B224,Base!$Y$3:$Y$5001,"&lt;&gt;")=0,"",SUMIFS(Base!$Y$3:$Y$5001,Base!$B$3:$B$5001,E$197,Base!$A$3:$A$5001,_xlfn.MAXIFS(Base!$A$3:$A$5001,Base!$B$3:$B$5001,E$197,Base!$A$3:$A$5001,"&gt;="&amp;$C$7,Base!$A$3:$A$5001,"&lt;="&amp;$B224,Base!$Y$3:$Y$5001,"&lt;&gt;"))))</f>
        <v>2339</v>
      </c>
      <c r="F224">
        <f>IF($A224&gt;$B$9,"",IF(COUNTIFS(Base!$B$3:$B$5001,F$197,Base!$A$3:$A$5001,"&gt;="&amp;$C$7,Base!$A$3:$A$5001,"&lt;="&amp;$B224,Base!$Y$3:$Y$5001,"&lt;&gt;")=0,"",SUMIFS(Base!$Y$3:$Y$5001,Base!$B$3:$B$5001,F$197,Base!$A$3:$A$5001,_xlfn.MAXIFS(Base!$A$3:$A$5001,Base!$B$3:$B$5001,F$197,Base!$A$3:$A$5001,"&gt;="&amp;$C$7,Base!$A$3:$A$5001,"&lt;="&amp;$B224,Base!$Y$3:$Y$5001,"&lt;&gt;"))))</f>
        <v>1366</v>
      </c>
      <c r="G224">
        <f>IF($A224&gt;$B$9,"",IF(COUNTIFS(Base!$B$3:$B$5001,G$197,Base!$A$3:$A$5001,"&gt;="&amp;$C$7,Base!$A$3:$A$5001,"&lt;="&amp;$B224,Base!$Y$3:$Y$5001,"&lt;&gt;")=0,"",SUMIFS(Base!$Y$3:$Y$5001,Base!$B$3:$B$5001,G$197,Base!$A$3:$A$5001,_xlfn.MAXIFS(Base!$A$3:$A$5001,Base!$B$3:$B$5001,G$197,Base!$A$3:$A$5001,"&gt;="&amp;$C$7,Base!$A$3:$A$5001,"&lt;="&amp;$B224,Base!$Y$3:$Y$5001,"&lt;&gt;"))))</f>
        <v>627</v>
      </c>
      <c r="H224">
        <f>IF($A224&gt;$B$9,"",IF(COUNTIFS(Base!$B$3:$B$5001,H$197,Base!$A$3:$A$5001,"&gt;="&amp;$C$7,Base!$A$3:$A$5001,"&lt;="&amp;$B224,Base!$Y$3:$Y$5001,"&lt;&gt;")=0,"",SUMIFS(Base!$Y$3:$Y$5001,Base!$B$3:$B$5001,H$197,Base!$A$3:$A$5001,_xlfn.MAXIFS(Base!$A$3:$A$5001,Base!$B$3:$B$5001,H$197,Base!$A$3:$A$5001,"&gt;="&amp;$C$7,Base!$A$3:$A$5001,"&lt;="&amp;$B224,Base!$Y$3:$Y$5001,"&lt;&gt;"))))</f>
        <v>459</v>
      </c>
      <c r="I224">
        <f>IF($A224&gt;$B$9,"",IF(COUNTIFS(Base!$B$3:$B$5001,I$197,Base!$A$3:$A$5001,"&gt;="&amp;$C$7,Base!$A$3:$A$5001,"&lt;="&amp;$B224,Base!$Y$3:$Y$5001,"&lt;&gt;")=0,"",SUMIFS(Base!$Y$3:$Y$5001,Base!$B$3:$B$5001,I$197,Base!$A$3:$A$5001,_xlfn.MAXIFS(Base!$A$3:$A$5001,Base!$B$3:$B$5001,I$197,Base!$A$3:$A$5001,"&gt;="&amp;$C$7,Base!$A$3:$A$5001,"&lt;="&amp;$B224,Base!$Y$3:$Y$5001,"&lt;&gt;"))))</f>
        <v>891</v>
      </c>
      <c r="J224">
        <f>IF($A224&gt;$B$9,"",IF(COUNTIFS(Base!$B$3:$B$5001,J$197,Base!$A$3:$A$5001,"&gt;="&amp;$C$7,Base!$A$3:$A$5001,"&lt;="&amp;$B224,Base!$Y$3:$Y$5001,"&lt;&gt;")=0,"",SUMIFS(Base!$Y$3:$Y$5001,Base!$B$3:$B$5001,J$197,Base!$A$3:$A$5001,_xlfn.MAXIFS(Base!$A$3:$A$5001,Base!$B$3:$B$5001,J$197,Base!$A$3:$A$5001,"&gt;="&amp;$C$7,Base!$A$3:$A$5001,"&lt;="&amp;$B224,Base!$Y$3:$Y$5001,"&lt;&gt;"))))</f>
        <v>345</v>
      </c>
      <c r="K224">
        <f>IF($A224&gt;$B$9,"",IF(COUNTIFS(Base!$B$3:$B$5001,K$197,Base!$A$3:$A$5001,"&gt;="&amp;$C$7,Base!$A$3:$A$5001,"&lt;="&amp;$B224,Base!$Y$3:$Y$5001,"&lt;&gt;")=0,"",SUMIFS(Base!$Y$3:$Y$5001,Base!$B$3:$B$5001,K$197,Base!$A$3:$A$5001,_xlfn.MAXIFS(Base!$A$3:$A$5001,Base!$B$3:$B$5001,K$197,Base!$A$3:$A$5001,"&gt;="&amp;$C$7,Base!$A$3:$A$5001,"&lt;="&amp;$B224,Base!$Y$3:$Y$5001,"&lt;&gt;"))))</f>
        <v>1346</v>
      </c>
    </row>
    <row r="225">
      <c r="A225">
        <v>28</v>
      </c>
      <c r="B225" s="152">
        <f>$B$39</f>
        <v>46293</v>
      </c>
      <c r="C225">
        <f>IF($A225&gt;$B$9,"",IF(COUNTIFS(Base!$B$3:$B$5001,C$197,Base!$A$3:$A$5001,"&gt;="&amp;$C$7,Base!$A$3:$A$5001,"&lt;="&amp;$B225,Base!$Y$3:$Y$5001,"&lt;&gt;")=0,"",SUMIFS(Base!$Y$3:$Y$5001,Base!$B$3:$B$5001,C$197,Base!$A$3:$A$5001,_xlfn.MAXIFS(Base!$A$3:$A$5001,Base!$B$3:$B$5001,C$197,Base!$A$3:$A$5001,"&gt;="&amp;$C$7,Base!$A$3:$A$5001,"&lt;="&amp;$B225,Base!$Y$3:$Y$5001,"&lt;&gt;"))))</f>
        <v>1882</v>
      </c>
      <c r="D225">
        <f>IF($A225&gt;$B$9,"",IF(COUNTIFS(Base!$B$3:$B$5001,D$197,Base!$A$3:$A$5001,"&gt;="&amp;$C$7,Base!$A$3:$A$5001,"&lt;="&amp;$B225,Base!$Y$3:$Y$5001,"&lt;&gt;")=0,"",SUMIFS(Base!$Y$3:$Y$5001,Base!$B$3:$B$5001,D$197,Base!$A$3:$A$5001,_xlfn.MAXIFS(Base!$A$3:$A$5001,Base!$B$3:$B$5001,D$197,Base!$A$3:$A$5001,"&gt;="&amp;$C$7,Base!$A$3:$A$5001,"&lt;="&amp;$B225,Base!$Y$3:$Y$5001,"&lt;&gt;"))))</f>
        <v>782</v>
      </c>
      <c r="E225">
        <f>IF($A225&gt;$B$9,"",IF(COUNTIFS(Base!$B$3:$B$5001,E$197,Base!$A$3:$A$5001,"&gt;="&amp;$C$7,Base!$A$3:$A$5001,"&lt;="&amp;$B225,Base!$Y$3:$Y$5001,"&lt;&gt;")=0,"",SUMIFS(Base!$Y$3:$Y$5001,Base!$B$3:$B$5001,E$197,Base!$A$3:$A$5001,_xlfn.MAXIFS(Base!$A$3:$A$5001,Base!$B$3:$B$5001,E$197,Base!$A$3:$A$5001,"&gt;="&amp;$C$7,Base!$A$3:$A$5001,"&lt;="&amp;$B225,Base!$Y$3:$Y$5001,"&lt;&gt;"))))</f>
        <v>2649</v>
      </c>
      <c r="F225">
        <f>IF($A225&gt;$B$9,"",IF(COUNTIFS(Base!$B$3:$B$5001,F$197,Base!$A$3:$A$5001,"&gt;="&amp;$C$7,Base!$A$3:$A$5001,"&lt;="&amp;$B225,Base!$Y$3:$Y$5001,"&lt;&gt;")=0,"",SUMIFS(Base!$Y$3:$Y$5001,Base!$B$3:$B$5001,F$197,Base!$A$3:$A$5001,_xlfn.MAXIFS(Base!$A$3:$A$5001,Base!$B$3:$B$5001,F$197,Base!$A$3:$A$5001,"&gt;="&amp;$C$7,Base!$A$3:$A$5001,"&lt;="&amp;$B225,Base!$Y$3:$Y$5001,"&lt;&gt;"))))</f>
        <v>1239</v>
      </c>
      <c r="G225">
        <f>IF($A225&gt;$B$9,"",IF(COUNTIFS(Base!$B$3:$B$5001,G$197,Base!$A$3:$A$5001,"&gt;="&amp;$C$7,Base!$A$3:$A$5001,"&lt;="&amp;$B225,Base!$Y$3:$Y$5001,"&lt;&gt;")=0,"",SUMIFS(Base!$Y$3:$Y$5001,Base!$B$3:$B$5001,G$197,Base!$A$3:$A$5001,_xlfn.MAXIFS(Base!$A$3:$A$5001,Base!$B$3:$B$5001,G$197,Base!$A$3:$A$5001,"&gt;="&amp;$C$7,Base!$A$3:$A$5001,"&lt;="&amp;$B225,Base!$Y$3:$Y$5001,"&lt;&gt;"))))</f>
        <v>770</v>
      </c>
      <c r="H225">
        <f>IF($A225&gt;$B$9,"",IF(COUNTIFS(Base!$B$3:$B$5001,H$197,Base!$A$3:$A$5001,"&gt;="&amp;$C$7,Base!$A$3:$A$5001,"&lt;="&amp;$B225,Base!$Y$3:$Y$5001,"&lt;&gt;")=0,"",SUMIFS(Base!$Y$3:$Y$5001,Base!$B$3:$B$5001,H$197,Base!$A$3:$A$5001,_xlfn.MAXIFS(Base!$A$3:$A$5001,Base!$B$3:$B$5001,H$197,Base!$A$3:$A$5001,"&gt;="&amp;$C$7,Base!$A$3:$A$5001,"&lt;="&amp;$B225,Base!$Y$3:$Y$5001,"&lt;&gt;"))))</f>
        <v>359</v>
      </c>
      <c r="I225">
        <f>IF($A225&gt;$B$9,"",IF(COUNTIFS(Base!$B$3:$B$5001,I$197,Base!$A$3:$A$5001,"&gt;="&amp;$C$7,Base!$A$3:$A$5001,"&lt;="&amp;$B225,Base!$Y$3:$Y$5001,"&lt;&gt;")=0,"",SUMIFS(Base!$Y$3:$Y$5001,Base!$B$3:$B$5001,I$197,Base!$A$3:$A$5001,_xlfn.MAXIFS(Base!$A$3:$A$5001,Base!$B$3:$B$5001,I$197,Base!$A$3:$A$5001,"&gt;="&amp;$C$7,Base!$A$3:$A$5001,"&lt;="&amp;$B225,Base!$Y$3:$Y$5001,"&lt;&gt;"))))</f>
        <v>845</v>
      </c>
      <c r="J225">
        <f>IF($A225&gt;$B$9,"",IF(COUNTIFS(Base!$B$3:$B$5001,J$197,Base!$A$3:$A$5001,"&gt;="&amp;$C$7,Base!$A$3:$A$5001,"&lt;="&amp;$B225,Base!$Y$3:$Y$5001,"&lt;&gt;")=0,"",SUMIFS(Base!$Y$3:$Y$5001,Base!$B$3:$B$5001,J$197,Base!$A$3:$A$5001,_xlfn.MAXIFS(Base!$A$3:$A$5001,Base!$B$3:$B$5001,J$197,Base!$A$3:$A$5001,"&gt;="&amp;$C$7,Base!$A$3:$A$5001,"&lt;="&amp;$B225,Base!$Y$3:$Y$5001,"&lt;&gt;"))))</f>
        <v>298</v>
      </c>
      <c r="K225">
        <f>IF($A225&gt;$B$9,"",IF(COUNTIFS(Base!$B$3:$B$5001,K$197,Base!$A$3:$A$5001,"&gt;="&amp;$C$7,Base!$A$3:$A$5001,"&lt;="&amp;$B225,Base!$Y$3:$Y$5001,"&lt;&gt;")=0,"",SUMIFS(Base!$Y$3:$Y$5001,Base!$B$3:$B$5001,K$197,Base!$A$3:$A$5001,_xlfn.MAXIFS(Base!$A$3:$A$5001,Base!$B$3:$B$5001,K$197,Base!$A$3:$A$5001,"&gt;="&amp;$C$7,Base!$A$3:$A$5001,"&lt;="&amp;$B225,Base!$Y$3:$Y$5001,"&lt;&gt;"))))</f>
        <v>1622</v>
      </c>
    </row>
    <row r="226">
      <c r="A226">
        <v>29</v>
      </c>
      <c r="B226" s="152">
        <f>$B$40</f>
        <v>46294</v>
      </c>
      <c r="C226">
        <f>IF($A226&gt;$B$9,"",IF(COUNTIFS(Base!$B$3:$B$5001,C$197,Base!$A$3:$A$5001,"&gt;="&amp;$C$7,Base!$A$3:$A$5001,"&lt;="&amp;$B226,Base!$Y$3:$Y$5001,"&lt;&gt;")=0,"",SUMIFS(Base!$Y$3:$Y$5001,Base!$B$3:$B$5001,C$197,Base!$A$3:$A$5001,_xlfn.MAXIFS(Base!$A$3:$A$5001,Base!$B$3:$B$5001,C$197,Base!$A$3:$A$5001,"&gt;="&amp;$C$7,Base!$A$3:$A$5001,"&lt;="&amp;$B226,Base!$Y$3:$Y$5001,"&lt;&gt;"))))</f>
        <v>1935</v>
      </c>
      <c r="D226">
        <f>IF($A226&gt;$B$9,"",IF(COUNTIFS(Base!$B$3:$B$5001,D$197,Base!$A$3:$A$5001,"&gt;="&amp;$C$7,Base!$A$3:$A$5001,"&lt;="&amp;$B226,Base!$Y$3:$Y$5001,"&lt;&gt;")=0,"",SUMIFS(Base!$Y$3:$Y$5001,Base!$B$3:$B$5001,D$197,Base!$A$3:$A$5001,_xlfn.MAXIFS(Base!$A$3:$A$5001,Base!$B$3:$B$5001,D$197,Base!$A$3:$A$5001,"&gt;="&amp;$C$7,Base!$A$3:$A$5001,"&lt;="&amp;$B226,Base!$Y$3:$Y$5001,"&lt;&gt;"))))</f>
        <v>913</v>
      </c>
      <c r="E226">
        <f>IF($A226&gt;$B$9,"",IF(COUNTIFS(Base!$B$3:$B$5001,E$197,Base!$A$3:$A$5001,"&gt;="&amp;$C$7,Base!$A$3:$A$5001,"&lt;="&amp;$B226,Base!$Y$3:$Y$5001,"&lt;&gt;")=0,"",SUMIFS(Base!$Y$3:$Y$5001,Base!$B$3:$B$5001,E$197,Base!$A$3:$A$5001,_xlfn.MAXIFS(Base!$A$3:$A$5001,Base!$B$3:$B$5001,E$197,Base!$A$3:$A$5001,"&gt;="&amp;$C$7,Base!$A$3:$A$5001,"&lt;="&amp;$B226,Base!$Y$3:$Y$5001,"&lt;&gt;"))))</f>
        <v>2863</v>
      </c>
      <c r="F226">
        <f>IF($A226&gt;$B$9,"",IF(COUNTIFS(Base!$B$3:$B$5001,F$197,Base!$A$3:$A$5001,"&gt;="&amp;$C$7,Base!$A$3:$A$5001,"&lt;="&amp;$B226,Base!$Y$3:$Y$5001,"&lt;&gt;")=0,"",SUMIFS(Base!$Y$3:$Y$5001,Base!$B$3:$B$5001,F$197,Base!$A$3:$A$5001,_xlfn.MAXIFS(Base!$A$3:$A$5001,Base!$B$3:$B$5001,F$197,Base!$A$3:$A$5001,"&gt;="&amp;$C$7,Base!$A$3:$A$5001,"&lt;="&amp;$B226,Base!$Y$3:$Y$5001,"&lt;&gt;"))))</f>
        <v>1077</v>
      </c>
      <c r="G226">
        <f>IF($A226&gt;$B$9,"",IF(COUNTIFS(Base!$B$3:$B$5001,G$197,Base!$A$3:$A$5001,"&gt;="&amp;$C$7,Base!$A$3:$A$5001,"&lt;="&amp;$B226,Base!$Y$3:$Y$5001,"&lt;&gt;")=0,"",SUMIFS(Base!$Y$3:$Y$5001,Base!$B$3:$B$5001,G$197,Base!$A$3:$A$5001,_xlfn.MAXIFS(Base!$A$3:$A$5001,Base!$B$3:$B$5001,G$197,Base!$A$3:$A$5001,"&gt;="&amp;$C$7,Base!$A$3:$A$5001,"&lt;="&amp;$B226,Base!$Y$3:$Y$5001,"&lt;&gt;"))))</f>
        <v>738</v>
      </c>
      <c r="H226">
        <f>IF($A226&gt;$B$9,"",IF(COUNTIFS(Base!$B$3:$B$5001,H$197,Base!$A$3:$A$5001,"&gt;="&amp;$C$7,Base!$A$3:$A$5001,"&lt;="&amp;$B226,Base!$Y$3:$Y$5001,"&lt;&gt;")=0,"",SUMIFS(Base!$Y$3:$Y$5001,Base!$B$3:$B$5001,H$197,Base!$A$3:$A$5001,_xlfn.MAXIFS(Base!$A$3:$A$5001,Base!$B$3:$B$5001,H$197,Base!$A$3:$A$5001,"&gt;="&amp;$C$7,Base!$A$3:$A$5001,"&lt;="&amp;$B226,Base!$Y$3:$Y$5001,"&lt;&gt;"))))</f>
        <v>382</v>
      </c>
      <c r="I226">
        <f>IF($A226&gt;$B$9,"",IF(COUNTIFS(Base!$B$3:$B$5001,I$197,Base!$A$3:$A$5001,"&gt;="&amp;$C$7,Base!$A$3:$A$5001,"&lt;="&amp;$B226,Base!$Y$3:$Y$5001,"&lt;&gt;")=0,"",SUMIFS(Base!$Y$3:$Y$5001,Base!$B$3:$B$5001,I$197,Base!$A$3:$A$5001,_xlfn.MAXIFS(Base!$A$3:$A$5001,Base!$B$3:$B$5001,I$197,Base!$A$3:$A$5001,"&gt;="&amp;$C$7,Base!$A$3:$A$5001,"&lt;="&amp;$B226,Base!$Y$3:$Y$5001,"&lt;&gt;"))))</f>
        <v>962</v>
      </c>
      <c r="J226">
        <f>IF($A226&gt;$B$9,"",IF(COUNTIFS(Base!$B$3:$B$5001,J$197,Base!$A$3:$A$5001,"&gt;="&amp;$C$7,Base!$A$3:$A$5001,"&lt;="&amp;$B226,Base!$Y$3:$Y$5001,"&lt;&gt;")=0,"",SUMIFS(Base!$Y$3:$Y$5001,Base!$B$3:$B$5001,J$197,Base!$A$3:$A$5001,_xlfn.MAXIFS(Base!$A$3:$A$5001,Base!$B$3:$B$5001,J$197,Base!$A$3:$A$5001,"&gt;="&amp;$C$7,Base!$A$3:$A$5001,"&lt;="&amp;$B226,Base!$Y$3:$Y$5001,"&lt;&gt;"))))</f>
        <v>456</v>
      </c>
      <c r="K226">
        <f>IF($A226&gt;$B$9,"",IF(COUNTIFS(Base!$B$3:$B$5001,K$197,Base!$A$3:$A$5001,"&gt;="&amp;$C$7,Base!$A$3:$A$5001,"&lt;="&amp;$B226,Base!$Y$3:$Y$5001,"&lt;&gt;")=0,"",SUMIFS(Base!$Y$3:$Y$5001,Base!$B$3:$B$5001,K$197,Base!$A$3:$A$5001,_xlfn.MAXIFS(Base!$A$3:$A$5001,Base!$B$3:$B$5001,K$197,Base!$A$3:$A$5001,"&gt;="&amp;$C$7,Base!$A$3:$A$5001,"&lt;="&amp;$B226,Base!$Y$3:$Y$5001,"&lt;&gt;"))))</f>
        <v>1078</v>
      </c>
    </row>
    <row r="227">
      <c r="A227">
        <v>30</v>
      </c>
      <c r="B227" s="152">
        <f>$B$41</f>
        <v>46295</v>
      </c>
      <c r="C227" t="str">
        <f>IF($A227&gt;$B$9,"",IF(COUNTIFS(Base!$B$3:$B$5001,C$197,Base!$A$3:$A$5001,"&gt;="&amp;$C$7,Base!$A$3:$A$5001,"&lt;="&amp;$B227,Base!$Y$3:$Y$5001,"&lt;&gt;")=0,"",SUMIFS(Base!$Y$3:$Y$5001,Base!$B$3:$B$5001,C$197,Base!$A$3:$A$5001,_xlfn.MAXIFS(Base!$A$3:$A$5001,Base!$B$3:$B$5001,C$197,Base!$A$3:$A$5001,"&gt;="&amp;$C$7,Base!$A$3:$A$5001,"&lt;="&amp;$B227,Base!$Y$3:$Y$5001,"&lt;&gt;"))))</f>
        <v/>
      </c>
      <c r="D227" t="str">
        <f>IF($A227&gt;$B$9,"",IF(COUNTIFS(Base!$B$3:$B$5001,D$197,Base!$A$3:$A$5001,"&gt;="&amp;$C$7,Base!$A$3:$A$5001,"&lt;="&amp;$B227,Base!$Y$3:$Y$5001,"&lt;&gt;")=0,"",SUMIFS(Base!$Y$3:$Y$5001,Base!$B$3:$B$5001,D$197,Base!$A$3:$A$5001,_xlfn.MAXIFS(Base!$A$3:$A$5001,Base!$B$3:$B$5001,D$197,Base!$A$3:$A$5001,"&gt;="&amp;$C$7,Base!$A$3:$A$5001,"&lt;="&amp;$B227,Base!$Y$3:$Y$5001,"&lt;&gt;"))))</f>
        <v/>
      </c>
      <c r="E227" t="str">
        <f>IF($A227&gt;$B$9,"",IF(COUNTIFS(Base!$B$3:$B$5001,E$197,Base!$A$3:$A$5001,"&gt;="&amp;$C$7,Base!$A$3:$A$5001,"&lt;="&amp;$B227,Base!$Y$3:$Y$5001,"&lt;&gt;")=0,"",SUMIFS(Base!$Y$3:$Y$5001,Base!$B$3:$B$5001,E$197,Base!$A$3:$A$5001,_xlfn.MAXIFS(Base!$A$3:$A$5001,Base!$B$3:$B$5001,E$197,Base!$A$3:$A$5001,"&gt;="&amp;$C$7,Base!$A$3:$A$5001,"&lt;="&amp;$B227,Base!$Y$3:$Y$5001,"&lt;&gt;"))))</f>
        <v/>
      </c>
      <c r="F227" t="str">
        <f>IF($A227&gt;$B$9,"",IF(COUNTIFS(Base!$B$3:$B$5001,F$197,Base!$A$3:$A$5001,"&gt;="&amp;$C$7,Base!$A$3:$A$5001,"&lt;="&amp;$B227,Base!$Y$3:$Y$5001,"&lt;&gt;")=0,"",SUMIFS(Base!$Y$3:$Y$5001,Base!$B$3:$B$5001,F$197,Base!$A$3:$A$5001,_xlfn.MAXIFS(Base!$A$3:$A$5001,Base!$B$3:$B$5001,F$197,Base!$A$3:$A$5001,"&gt;="&amp;$C$7,Base!$A$3:$A$5001,"&lt;="&amp;$B227,Base!$Y$3:$Y$5001,"&lt;&gt;"))))</f>
        <v/>
      </c>
      <c r="G227" t="str">
        <f>IF($A227&gt;$B$9,"",IF(COUNTIFS(Base!$B$3:$B$5001,G$197,Base!$A$3:$A$5001,"&gt;="&amp;$C$7,Base!$A$3:$A$5001,"&lt;="&amp;$B227,Base!$Y$3:$Y$5001,"&lt;&gt;")=0,"",SUMIFS(Base!$Y$3:$Y$5001,Base!$B$3:$B$5001,G$197,Base!$A$3:$A$5001,_xlfn.MAXIFS(Base!$A$3:$A$5001,Base!$B$3:$B$5001,G$197,Base!$A$3:$A$5001,"&gt;="&amp;$C$7,Base!$A$3:$A$5001,"&lt;="&amp;$B227,Base!$Y$3:$Y$5001,"&lt;&gt;"))))</f>
        <v/>
      </c>
      <c r="H227" t="str">
        <f>IF($A227&gt;$B$9,"",IF(COUNTIFS(Base!$B$3:$B$5001,H$197,Base!$A$3:$A$5001,"&gt;="&amp;$C$7,Base!$A$3:$A$5001,"&lt;="&amp;$B227,Base!$Y$3:$Y$5001,"&lt;&gt;")=0,"",SUMIFS(Base!$Y$3:$Y$5001,Base!$B$3:$B$5001,H$197,Base!$A$3:$A$5001,_xlfn.MAXIFS(Base!$A$3:$A$5001,Base!$B$3:$B$5001,H$197,Base!$A$3:$A$5001,"&gt;="&amp;$C$7,Base!$A$3:$A$5001,"&lt;="&amp;$B227,Base!$Y$3:$Y$5001,"&lt;&gt;"))))</f>
        <v/>
      </c>
      <c r="I227" t="str">
        <f>IF($A227&gt;$B$9,"",IF(COUNTIFS(Base!$B$3:$B$5001,I$197,Base!$A$3:$A$5001,"&gt;="&amp;$C$7,Base!$A$3:$A$5001,"&lt;="&amp;$B227,Base!$Y$3:$Y$5001,"&lt;&gt;")=0,"",SUMIFS(Base!$Y$3:$Y$5001,Base!$B$3:$B$5001,I$197,Base!$A$3:$A$5001,_xlfn.MAXIFS(Base!$A$3:$A$5001,Base!$B$3:$B$5001,I$197,Base!$A$3:$A$5001,"&gt;="&amp;$C$7,Base!$A$3:$A$5001,"&lt;="&amp;$B227,Base!$Y$3:$Y$5001,"&lt;&gt;"))))</f>
        <v/>
      </c>
      <c r="J227" t="str">
        <f>IF($A227&gt;$B$9,"",IF(COUNTIFS(Base!$B$3:$B$5001,J$197,Base!$A$3:$A$5001,"&gt;="&amp;$C$7,Base!$A$3:$A$5001,"&lt;="&amp;$B227,Base!$Y$3:$Y$5001,"&lt;&gt;")=0,"",SUMIFS(Base!$Y$3:$Y$5001,Base!$B$3:$B$5001,J$197,Base!$A$3:$A$5001,_xlfn.MAXIFS(Base!$A$3:$A$5001,Base!$B$3:$B$5001,J$197,Base!$A$3:$A$5001,"&gt;="&amp;$C$7,Base!$A$3:$A$5001,"&lt;="&amp;$B227,Base!$Y$3:$Y$5001,"&lt;&gt;"))))</f>
        <v/>
      </c>
      <c r="K227" t="str">
        <f>IF($A227&gt;$B$9,"",IF(COUNTIFS(Base!$B$3:$B$5001,K$197,Base!$A$3:$A$5001,"&gt;="&amp;$C$7,Base!$A$3:$A$5001,"&lt;="&amp;$B227,Base!$Y$3:$Y$5001,"&lt;&gt;")=0,"",SUMIFS(Base!$Y$3:$Y$5001,Base!$B$3:$B$5001,K$197,Base!$A$3:$A$5001,_xlfn.MAXIFS(Base!$A$3:$A$5001,Base!$B$3:$B$5001,K$197,Base!$A$3:$A$5001,"&gt;="&amp;$C$7,Base!$A$3:$A$5001,"&lt;="&amp;$B227,Base!$Y$3:$Y$5001,"&lt;&gt;"))))</f>
        <v/>
      </c>
    </row>
    <row r="228">
      <c r="A228">
        <v>31</v>
      </c>
      <c r="B228" s="152" t="str">
        <f>$B$42</f>
        <v/>
      </c>
      <c r="C228" t="str">
        <f>IF($A228&gt;$B$9,"",IF(COUNTIFS(Base!$B$3:$B$5001,C$197,Base!$A$3:$A$5001,"&gt;="&amp;$C$7,Base!$A$3:$A$5001,"&lt;="&amp;$B228,Base!$Y$3:$Y$5001,"&lt;&gt;")=0,"",SUMIFS(Base!$Y$3:$Y$5001,Base!$B$3:$B$5001,C$197,Base!$A$3:$A$5001,_xlfn.MAXIFS(Base!$A$3:$A$5001,Base!$B$3:$B$5001,C$197,Base!$A$3:$A$5001,"&gt;="&amp;$C$7,Base!$A$3:$A$5001,"&lt;="&amp;$B228,Base!$Y$3:$Y$5001,"&lt;&gt;"))))</f>
        <v/>
      </c>
      <c r="D228" t="str">
        <f>IF($A228&gt;$B$9,"",IF(COUNTIFS(Base!$B$3:$B$5001,D$197,Base!$A$3:$A$5001,"&gt;="&amp;$C$7,Base!$A$3:$A$5001,"&lt;="&amp;$B228,Base!$Y$3:$Y$5001,"&lt;&gt;")=0,"",SUMIFS(Base!$Y$3:$Y$5001,Base!$B$3:$B$5001,D$197,Base!$A$3:$A$5001,_xlfn.MAXIFS(Base!$A$3:$A$5001,Base!$B$3:$B$5001,D$197,Base!$A$3:$A$5001,"&gt;="&amp;$C$7,Base!$A$3:$A$5001,"&lt;="&amp;$B228,Base!$Y$3:$Y$5001,"&lt;&gt;"))))</f>
        <v/>
      </c>
      <c r="E228" t="str">
        <f>IF($A228&gt;$B$9,"",IF(COUNTIFS(Base!$B$3:$B$5001,E$197,Base!$A$3:$A$5001,"&gt;="&amp;$C$7,Base!$A$3:$A$5001,"&lt;="&amp;$B228,Base!$Y$3:$Y$5001,"&lt;&gt;")=0,"",SUMIFS(Base!$Y$3:$Y$5001,Base!$B$3:$B$5001,E$197,Base!$A$3:$A$5001,_xlfn.MAXIFS(Base!$A$3:$A$5001,Base!$B$3:$B$5001,E$197,Base!$A$3:$A$5001,"&gt;="&amp;$C$7,Base!$A$3:$A$5001,"&lt;="&amp;$B228,Base!$Y$3:$Y$5001,"&lt;&gt;"))))</f>
        <v/>
      </c>
      <c r="F228" t="str">
        <f>IF($A228&gt;$B$9,"",IF(COUNTIFS(Base!$B$3:$B$5001,F$197,Base!$A$3:$A$5001,"&gt;="&amp;$C$7,Base!$A$3:$A$5001,"&lt;="&amp;$B228,Base!$Y$3:$Y$5001,"&lt;&gt;")=0,"",SUMIFS(Base!$Y$3:$Y$5001,Base!$B$3:$B$5001,F$197,Base!$A$3:$A$5001,_xlfn.MAXIFS(Base!$A$3:$A$5001,Base!$B$3:$B$5001,F$197,Base!$A$3:$A$5001,"&gt;="&amp;$C$7,Base!$A$3:$A$5001,"&lt;="&amp;$B228,Base!$Y$3:$Y$5001,"&lt;&gt;"))))</f>
        <v/>
      </c>
      <c r="G228" t="str">
        <f>IF($A228&gt;$B$9,"",IF(COUNTIFS(Base!$B$3:$B$5001,G$197,Base!$A$3:$A$5001,"&gt;="&amp;$C$7,Base!$A$3:$A$5001,"&lt;="&amp;$B228,Base!$Y$3:$Y$5001,"&lt;&gt;")=0,"",SUMIFS(Base!$Y$3:$Y$5001,Base!$B$3:$B$5001,G$197,Base!$A$3:$A$5001,_xlfn.MAXIFS(Base!$A$3:$A$5001,Base!$B$3:$B$5001,G$197,Base!$A$3:$A$5001,"&gt;="&amp;$C$7,Base!$A$3:$A$5001,"&lt;="&amp;$B228,Base!$Y$3:$Y$5001,"&lt;&gt;"))))</f>
        <v/>
      </c>
      <c r="H228" t="str">
        <f>IF($A228&gt;$B$9,"",IF(COUNTIFS(Base!$B$3:$B$5001,H$197,Base!$A$3:$A$5001,"&gt;="&amp;$C$7,Base!$A$3:$A$5001,"&lt;="&amp;$B228,Base!$Y$3:$Y$5001,"&lt;&gt;")=0,"",SUMIFS(Base!$Y$3:$Y$5001,Base!$B$3:$B$5001,H$197,Base!$A$3:$A$5001,_xlfn.MAXIFS(Base!$A$3:$A$5001,Base!$B$3:$B$5001,H$197,Base!$A$3:$A$5001,"&gt;="&amp;$C$7,Base!$A$3:$A$5001,"&lt;="&amp;$B228,Base!$Y$3:$Y$5001,"&lt;&gt;"))))</f>
        <v/>
      </c>
      <c r="I228" t="str">
        <f>IF($A228&gt;$B$9,"",IF(COUNTIFS(Base!$B$3:$B$5001,I$197,Base!$A$3:$A$5001,"&gt;="&amp;$C$7,Base!$A$3:$A$5001,"&lt;="&amp;$B228,Base!$Y$3:$Y$5001,"&lt;&gt;")=0,"",SUMIFS(Base!$Y$3:$Y$5001,Base!$B$3:$B$5001,I$197,Base!$A$3:$A$5001,_xlfn.MAXIFS(Base!$A$3:$A$5001,Base!$B$3:$B$5001,I$197,Base!$A$3:$A$5001,"&gt;="&amp;$C$7,Base!$A$3:$A$5001,"&lt;="&amp;$B228,Base!$Y$3:$Y$5001,"&lt;&gt;"))))</f>
        <v/>
      </c>
      <c r="J228" t="str">
        <f>IF($A228&gt;$B$9,"",IF(COUNTIFS(Base!$B$3:$B$5001,J$197,Base!$A$3:$A$5001,"&gt;="&amp;$C$7,Base!$A$3:$A$5001,"&lt;="&amp;$B228,Base!$Y$3:$Y$5001,"&lt;&gt;")=0,"",SUMIFS(Base!$Y$3:$Y$5001,Base!$B$3:$B$5001,J$197,Base!$A$3:$A$5001,_xlfn.MAXIFS(Base!$A$3:$A$5001,Base!$B$3:$B$5001,J$197,Base!$A$3:$A$5001,"&gt;="&amp;$C$7,Base!$A$3:$A$5001,"&lt;="&amp;$B228,Base!$Y$3:$Y$5001,"&lt;&gt;"))))</f>
        <v/>
      </c>
      <c r="K228" t="str">
        <f>IF($A228&gt;$B$9,"",IF(COUNTIFS(Base!$B$3:$B$5001,K$197,Base!$A$3:$A$5001,"&gt;="&amp;$C$7,Base!$A$3:$A$5001,"&lt;="&amp;$B228,Base!$Y$3:$Y$5001,"&lt;&gt;")=0,"",SUMIFS(Base!$Y$3:$Y$5001,Base!$B$3:$B$5001,K$197,Base!$A$3:$A$5001,_xlfn.MAXIFS(Base!$A$3:$A$5001,Base!$B$3:$B$5001,K$197,Base!$A$3:$A$5001,"&gt;="&amp;$C$7,Base!$A$3:$A$5001,"&lt;="&amp;$B228,Base!$Y$3:$Y$5001,"&lt;&gt;"))))</f>
        <v/>
      </c>
    </row>
    <row r="229">
      <c r="A229" t="inlineStr">
        <is>
          <t xml:space="preserve">Mês anterior (último)</t>
        </is>
      </c>
      <c r="C229">
        <f>IF(COUNTIFS(Base!$B$3:$B$5001,C$197,Base!$A$3:$A$5001,"&gt;="&amp;$C$8,Base!$A$3:$A$5001,"&lt;="&amp;$D$8,Base!$Y$3:$Y$5001,"&lt;&gt;")=0,"",SUMIFS(Base!$Y$3:$Y$5001,Base!$B$3:$B$5001,C$197,Base!$A$3:$A$5001,_xlfn.MAXIFS(Base!$A$3:$A$5001,Base!$B$3:$B$5001,C$197,Base!$A$3:$A$5001,"&gt;="&amp;$C$8,Base!$A$3:$A$5001,"&lt;="&amp;$D$8,Base!$Y$3:$Y$5001,"&lt;&gt;")))</f>
        <v>1690</v>
      </c>
      <c r="D229">
        <f>IF(COUNTIFS(Base!$B$3:$B$5001,D$197,Base!$A$3:$A$5001,"&gt;="&amp;$C$8,Base!$A$3:$A$5001,"&lt;="&amp;$D$8,Base!$Y$3:$Y$5001,"&lt;&gt;")=0,"",SUMIFS(Base!$Y$3:$Y$5001,Base!$B$3:$B$5001,D$197,Base!$A$3:$A$5001,_xlfn.MAXIFS(Base!$A$3:$A$5001,Base!$B$3:$B$5001,D$197,Base!$A$3:$A$5001,"&gt;="&amp;$C$8,Base!$A$3:$A$5001,"&lt;="&amp;$D$8,Base!$Y$3:$Y$5001,"&lt;&gt;")))</f>
        <v>764</v>
      </c>
      <c r="E229">
        <f>IF(COUNTIFS(Base!$B$3:$B$5001,E$197,Base!$A$3:$A$5001,"&gt;="&amp;$C$8,Base!$A$3:$A$5001,"&lt;="&amp;$D$8,Base!$Y$3:$Y$5001,"&lt;&gt;")=0,"",SUMIFS(Base!$Y$3:$Y$5001,Base!$B$3:$B$5001,E$197,Base!$A$3:$A$5001,_xlfn.MAXIFS(Base!$A$3:$A$5001,Base!$B$3:$B$5001,E$197,Base!$A$3:$A$5001,"&gt;="&amp;$C$8,Base!$A$3:$A$5001,"&lt;="&amp;$D$8,Base!$Y$3:$Y$5001,"&lt;&gt;")))</f>
        <v>2327</v>
      </c>
      <c r="F229">
        <f>IF(COUNTIFS(Base!$B$3:$B$5001,F$197,Base!$A$3:$A$5001,"&gt;="&amp;$C$8,Base!$A$3:$A$5001,"&lt;="&amp;$D$8,Base!$Y$3:$Y$5001,"&lt;&gt;")=0,"",SUMIFS(Base!$Y$3:$Y$5001,Base!$B$3:$B$5001,F$197,Base!$A$3:$A$5001,_xlfn.MAXIFS(Base!$A$3:$A$5001,Base!$B$3:$B$5001,F$197,Base!$A$3:$A$5001,"&gt;="&amp;$C$8,Base!$A$3:$A$5001,"&lt;="&amp;$D$8,Base!$Y$3:$Y$5001,"&lt;&gt;")))</f>
        <v>928</v>
      </c>
      <c r="G229">
        <f>IF(COUNTIFS(Base!$B$3:$B$5001,G$197,Base!$A$3:$A$5001,"&gt;="&amp;$C$8,Base!$A$3:$A$5001,"&lt;="&amp;$D$8,Base!$Y$3:$Y$5001,"&lt;&gt;")=0,"",SUMIFS(Base!$Y$3:$Y$5001,Base!$B$3:$B$5001,G$197,Base!$A$3:$A$5001,_xlfn.MAXIFS(Base!$A$3:$A$5001,Base!$B$3:$B$5001,G$197,Base!$A$3:$A$5001,"&gt;="&amp;$C$8,Base!$A$3:$A$5001,"&lt;="&amp;$D$8,Base!$Y$3:$Y$5001,"&lt;&gt;")))</f>
        <v>571</v>
      </c>
      <c r="H229">
        <f>IF(COUNTIFS(Base!$B$3:$B$5001,H$197,Base!$A$3:$A$5001,"&gt;="&amp;$C$8,Base!$A$3:$A$5001,"&lt;="&amp;$D$8,Base!$Y$3:$Y$5001,"&lt;&gt;")=0,"",SUMIFS(Base!$Y$3:$Y$5001,Base!$B$3:$B$5001,H$197,Base!$A$3:$A$5001,_xlfn.MAXIFS(Base!$A$3:$A$5001,Base!$B$3:$B$5001,H$197,Base!$A$3:$A$5001,"&gt;="&amp;$C$8,Base!$A$3:$A$5001,"&lt;="&amp;$D$8,Base!$Y$3:$Y$5001,"&lt;&gt;")))</f>
        <v>403</v>
      </c>
      <c r="I229">
        <f>IF(COUNTIFS(Base!$B$3:$B$5001,I$197,Base!$A$3:$A$5001,"&gt;="&amp;$C$8,Base!$A$3:$A$5001,"&lt;="&amp;$D$8,Base!$Y$3:$Y$5001,"&lt;&gt;")=0,"",SUMIFS(Base!$Y$3:$Y$5001,Base!$B$3:$B$5001,I$197,Base!$A$3:$A$5001,_xlfn.MAXIFS(Base!$A$3:$A$5001,Base!$B$3:$B$5001,I$197,Base!$A$3:$A$5001,"&gt;="&amp;$C$8,Base!$A$3:$A$5001,"&lt;="&amp;$D$8,Base!$Y$3:$Y$5001,"&lt;&gt;")))</f>
        <v>962</v>
      </c>
      <c r="J229">
        <f>IF(COUNTIFS(Base!$B$3:$B$5001,J$197,Base!$A$3:$A$5001,"&gt;="&amp;$C$8,Base!$A$3:$A$5001,"&lt;="&amp;$D$8,Base!$Y$3:$Y$5001,"&lt;&gt;")=0,"",SUMIFS(Base!$Y$3:$Y$5001,Base!$B$3:$B$5001,J$197,Base!$A$3:$A$5001,_xlfn.MAXIFS(Base!$A$3:$A$5001,Base!$B$3:$B$5001,J$197,Base!$A$3:$A$5001,"&gt;="&amp;$C$8,Base!$A$3:$A$5001,"&lt;="&amp;$D$8,Base!$Y$3:$Y$5001,"&lt;&gt;")))</f>
        <v>484</v>
      </c>
      <c r="K229">
        <f>IF(COUNTIFS(Base!$B$3:$B$5001,K$197,Base!$A$3:$A$5001,"&gt;="&amp;$C$8,Base!$A$3:$A$5001,"&lt;="&amp;$D$8,Base!$Y$3:$Y$5001,"&lt;&gt;")=0,"",SUMIFS(Base!$Y$3:$Y$5001,Base!$B$3:$B$5001,K$197,Base!$A$3:$A$5001,_xlfn.MAXIFS(Base!$A$3:$A$5001,Base!$B$3:$B$5001,K$197,Base!$A$3:$A$5001,"&gt;="&amp;$C$8,Base!$A$3:$A$5001,"&lt;="&amp;$D$8,Base!$Y$3:$Y$5001,"&lt;&gt;")))</f>
        <v>1056</v>
      </c>
    </row>
    <row r="232">
      <c r="A232" s="145" t="inlineStr">
        <is>
          <t xml:space="preserve">Efetivo</t>
        </is>
      </c>
      <c r="B232" s="145" t="inlineStr">
        <is>
          <t xml:space="preserve">Data</t>
        </is>
      </c>
      <c r="C232" s="145" t="inlineStr">
        <is>
          <t xml:space="preserve">BASF</t>
        </is>
      </c>
      <c r="D232" s="145" t="inlineStr">
        <is>
          <t xml:space="preserve">BEAUTYBIZ</t>
        </is>
      </c>
      <c r="E232" s="145" t="inlineStr">
        <is>
          <t xml:space="preserve">BOTICÁRIO</t>
        </is>
      </c>
      <c r="F232" s="145" t="inlineStr">
        <is>
          <t xml:space="preserve">SUPPLY</t>
        </is>
      </c>
      <c r="G232" s="145" t="inlineStr">
        <is>
          <t xml:space="preserve">GE VERNOVA</t>
        </is>
      </c>
      <c r="H232" s="145" t="inlineStr">
        <is>
          <t xml:space="preserve">VESTAS</t>
        </is>
      </c>
      <c r="I232" s="145" t="inlineStr">
        <is>
          <t xml:space="preserve">VEDACIT</t>
        </is>
      </c>
      <c r="J232" s="145" t="inlineStr">
        <is>
          <t xml:space="preserve">OMNLIFE</t>
        </is>
      </c>
      <c r="K232" s="145" t="inlineStr">
        <is>
          <t xml:space="preserve">ALPARGATAS</t>
        </is>
      </c>
    </row>
    <row r="233">
      <c r="A233">
        <v>1</v>
      </c>
      <c r="B233" s="152">
        <f>$B$12</f>
        <v>46266</v>
      </c>
      <c r="C233">
        <f>IF($A233&gt;$B$9,"",IF(COUNTIFS(Base!$B$3:$B$5001,C$232,Base!$A$3:$A$5001,"&gt;="&amp;$C$7,Base!$A$3:$A$5001,"&lt;="&amp;$B233,Base!$Z$3:$Z$5001,"&lt;&gt;")=0,"",SUMIFS(Base!$Z$3:$Z$5001,Base!$B$3:$B$5001,C$232,Base!$A$3:$A$5001,_xlfn.MAXIFS(Base!$A$3:$A$5001,Base!$B$3:$B$5001,C$232,Base!$A$3:$A$5001,"&gt;="&amp;$C$7,Base!$A$3:$A$5001,"&lt;="&amp;$B233,Base!$Z$3:$Z$5001,"&lt;&gt;"))))</f>
        <v>8</v>
      </c>
      <c r="D233">
        <f>IF($A233&gt;$B$9,"",IF(COUNTIFS(Base!$B$3:$B$5001,D$232,Base!$A$3:$A$5001,"&gt;="&amp;$C$7,Base!$A$3:$A$5001,"&lt;="&amp;$B233,Base!$Z$3:$Z$5001,"&lt;&gt;")=0,"",SUMIFS(Base!$Z$3:$Z$5001,Base!$B$3:$B$5001,D$232,Base!$A$3:$A$5001,_xlfn.MAXIFS(Base!$A$3:$A$5001,Base!$B$3:$B$5001,D$232,Base!$A$3:$A$5001,"&gt;="&amp;$C$7,Base!$A$3:$A$5001,"&lt;="&amp;$B233,Base!$Z$3:$Z$5001,"&lt;&gt;"))))</f>
        <v>9</v>
      </c>
      <c r="E233">
        <f>IF($A233&gt;$B$9,"",IF(COUNTIFS(Base!$B$3:$B$5001,E$232,Base!$A$3:$A$5001,"&gt;="&amp;$C$7,Base!$A$3:$A$5001,"&lt;="&amp;$B233,Base!$Z$3:$Z$5001,"&lt;&gt;")=0,"",SUMIFS(Base!$Z$3:$Z$5001,Base!$B$3:$B$5001,E$232,Base!$A$3:$A$5001,_xlfn.MAXIFS(Base!$A$3:$A$5001,Base!$B$3:$B$5001,E$232,Base!$A$3:$A$5001,"&gt;="&amp;$C$7,Base!$A$3:$A$5001,"&lt;="&amp;$B233,Base!$Z$3:$Z$5001,"&lt;&gt;"))))</f>
        <v>11</v>
      </c>
      <c r="F233">
        <f>IF($A233&gt;$B$9,"",IF(COUNTIFS(Base!$B$3:$B$5001,F$232,Base!$A$3:$A$5001,"&gt;="&amp;$C$7,Base!$A$3:$A$5001,"&lt;="&amp;$B233,Base!$Z$3:$Z$5001,"&lt;&gt;")=0,"",SUMIFS(Base!$Z$3:$Z$5001,Base!$B$3:$B$5001,F$232,Base!$A$3:$A$5001,_xlfn.MAXIFS(Base!$A$3:$A$5001,Base!$B$3:$B$5001,F$232,Base!$A$3:$A$5001,"&gt;="&amp;$C$7,Base!$A$3:$A$5001,"&lt;="&amp;$B233,Base!$Z$3:$Z$5001,"&lt;&gt;"))))</f>
        <v>4</v>
      </c>
      <c r="G233">
        <f>IF($A233&gt;$B$9,"",IF(COUNTIFS(Base!$B$3:$B$5001,G$232,Base!$A$3:$A$5001,"&gt;="&amp;$C$7,Base!$A$3:$A$5001,"&lt;="&amp;$B233,Base!$Z$3:$Z$5001,"&lt;&gt;")=0,"",SUMIFS(Base!$Z$3:$Z$5001,Base!$B$3:$B$5001,G$232,Base!$A$3:$A$5001,_xlfn.MAXIFS(Base!$A$3:$A$5001,Base!$B$3:$B$5001,G$232,Base!$A$3:$A$5001,"&gt;="&amp;$C$7,Base!$A$3:$A$5001,"&lt;="&amp;$B233,Base!$Z$3:$Z$5001,"&lt;&gt;"))))</f>
        <v>6</v>
      </c>
      <c r="H233">
        <f>IF($A233&gt;$B$9,"",IF(COUNTIFS(Base!$B$3:$B$5001,H$232,Base!$A$3:$A$5001,"&gt;="&amp;$C$7,Base!$A$3:$A$5001,"&lt;="&amp;$B233,Base!$Z$3:$Z$5001,"&lt;&gt;")=0,"",SUMIFS(Base!$Z$3:$Z$5001,Base!$B$3:$B$5001,H$232,Base!$A$3:$A$5001,_xlfn.MAXIFS(Base!$A$3:$A$5001,Base!$B$3:$B$5001,H$232,Base!$A$3:$A$5001,"&gt;="&amp;$C$7,Base!$A$3:$A$5001,"&lt;="&amp;$B233,Base!$Z$3:$Z$5001,"&lt;&gt;"))))</f>
        <v>14</v>
      </c>
      <c r="I233">
        <f>IF($A233&gt;$B$9,"",IF(COUNTIFS(Base!$B$3:$B$5001,I$232,Base!$A$3:$A$5001,"&gt;="&amp;$C$7,Base!$A$3:$A$5001,"&lt;="&amp;$B233,Base!$Z$3:$Z$5001,"&lt;&gt;")=0,"",SUMIFS(Base!$Z$3:$Z$5001,Base!$B$3:$B$5001,I$232,Base!$A$3:$A$5001,_xlfn.MAXIFS(Base!$A$3:$A$5001,Base!$B$3:$B$5001,I$232,Base!$A$3:$A$5001,"&gt;="&amp;$C$7,Base!$A$3:$A$5001,"&lt;="&amp;$B233,Base!$Z$3:$Z$5001,"&lt;&gt;"))))</f>
        <v>12</v>
      </c>
      <c r="J233">
        <f>IF($A233&gt;$B$9,"",IF(COUNTIFS(Base!$B$3:$B$5001,J$232,Base!$A$3:$A$5001,"&gt;="&amp;$C$7,Base!$A$3:$A$5001,"&lt;="&amp;$B233,Base!$Z$3:$Z$5001,"&lt;&gt;")=0,"",SUMIFS(Base!$Z$3:$Z$5001,Base!$B$3:$B$5001,J$232,Base!$A$3:$A$5001,_xlfn.MAXIFS(Base!$A$3:$A$5001,Base!$B$3:$B$5001,J$232,Base!$A$3:$A$5001,"&gt;="&amp;$C$7,Base!$A$3:$A$5001,"&lt;="&amp;$B233,Base!$Z$3:$Z$5001,"&lt;&gt;"))))</f>
        <v>6</v>
      </c>
      <c r="K233">
        <f>IF($A233&gt;$B$9,"",IF(COUNTIFS(Base!$B$3:$B$5001,K$232,Base!$A$3:$A$5001,"&gt;="&amp;$C$7,Base!$A$3:$A$5001,"&lt;="&amp;$B233,Base!$Z$3:$Z$5001,"&lt;&gt;")=0,"",SUMIFS(Base!$Z$3:$Z$5001,Base!$B$3:$B$5001,K$232,Base!$A$3:$A$5001,_xlfn.MAXIFS(Base!$A$3:$A$5001,Base!$B$3:$B$5001,K$232,Base!$A$3:$A$5001,"&gt;="&amp;$C$7,Base!$A$3:$A$5001,"&lt;="&amp;$B233,Base!$Z$3:$Z$5001,"&lt;&gt;"))))</f>
        <v>13</v>
      </c>
    </row>
    <row r="234">
      <c r="A234">
        <v>2</v>
      </c>
      <c r="B234" s="152">
        <f>$B$13</f>
        <v>46267</v>
      </c>
      <c r="C234">
        <f>IF($A234&gt;$B$9,"",IF(COUNTIFS(Base!$B$3:$B$5001,C$232,Base!$A$3:$A$5001,"&gt;="&amp;$C$7,Base!$A$3:$A$5001,"&lt;="&amp;$B234,Base!$Z$3:$Z$5001,"&lt;&gt;")=0,"",SUMIFS(Base!$Z$3:$Z$5001,Base!$B$3:$B$5001,C$232,Base!$A$3:$A$5001,_xlfn.MAXIFS(Base!$A$3:$A$5001,Base!$B$3:$B$5001,C$232,Base!$A$3:$A$5001,"&gt;="&amp;$C$7,Base!$A$3:$A$5001,"&lt;="&amp;$B234,Base!$Z$3:$Z$5001,"&lt;&gt;"))))</f>
        <v>8</v>
      </c>
      <c r="D234">
        <f>IF($A234&gt;$B$9,"",IF(COUNTIFS(Base!$B$3:$B$5001,D$232,Base!$A$3:$A$5001,"&gt;="&amp;$C$7,Base!$A$3:$A$5001,"&lt;="&amp;$B234,Base!$Z$3:$Z$5001,"&lt;&gt;")=0,"",SUMIFS(Base!$Z$3:$Z$5001,Base!$B$3:$B$5001,D$232,Base!$A$3:$A$5001,_xlfn.MAXIFS(Base!$A$3:$A$5001,Base!$B$3:$B$5001,D$232,Base!$A$3:$A$5001,"&gt;="&amp;$C$7,Base!$A$3:$A$5001,"&lt;="&amp;$B234,Base!$Z$3:$Z$5001,"&lt;&gt;"))))</f>
        <v>10</v>
      </c>
      <c r="E234">
        <f>IF($A234&gt;$B$9,"",IF(COUNTIFS(Base!$B$3:$B$5001,E$232,Base!$A$3:$A$5001,"&gt;="&amp;$C$7,Base!$A$3:$A$5001,"&lt;="&amp;$B234,Base!$Z$3:$Z$5001,"&lt;&gt;")=0,"",SUMIFS(Base!$Z$3:$Z$5001,Base!$B$3:$B$5001,E$232,Base!$A$3:$A$5001,_xlfn.MAXIFS(Base!$A$3:$A$5001,Base!$B$3:$B$5001,E$232,Base!$A$3:$A$5001,"&gt;="&amp;$C$7,Base!$A$3:$A$5001,"&lt;="&amp;$B234,Base!$Z$3:$Z$5001,"&lt;&gt;"))))</f>
        <v>10</v>
      </c>
      <c r="F234">
        <f>IF($A234&gt;$B$9,"",IF(COUNTIFS(Base!$B$3:$B$5001,F$232,Base!$A$3:$A$5001,"&gt;="&amp;$C$7,Base!$A$3:$A$5001,"&lt;="&amp;$B234,Base!$Z$3:$Z$5001,"&lt;&gt;")=0,"",SUMIFS(Base!$Z$3:$Z$5001,Base!$B$3:$B$5001,F$232,Base!$A$3:$A$5001,_xlfn.MAXIFS(Base!$A$3:$A$5001,Base!$B$3:$B$5001,F$232,Base!$A$3:$A$5001,"&gt;="&amp;$C$7,Base!$A$3:$A$5001,"&lt;="&amp;$B234,Base!$Z$3:$Z$5001,"&lt;&gt;"))))</f>
        <v>14</v>
      </c>
      <c r="G234">
        <f>IF($A234&gt;$B$9,"",IF(COUNTIFS(Base!$B$3:$B$5001,G$232,Base!$A$3:$A$5001,"&gt;="&amp;$C$7,Base!$A$3:$A$5001,"&lt;="&amp;$B234,Base!$Z$3:$Z$5001,"&lt;&gt;")=0,"",SUMIFS(Base!$Z$3:$Z$5001,Base!$B$3:$B$5001,G$232,Base!$A$3:$A$5001,_xlfn.MAXIFS(Base!$A$3:$A$5001,Base!$B$3:$B$5001,G$232,Base!$A$3:$A$5001,"&gt;="&amp;$C$7,Base!$A$3:$A$5001,"&lt;="&amp;$B234,Base!$Z$3:$Z$5001,"&lt;&gt;"))))</f>
        <v>8</v>
      </c>
      <c r="H234">
        <f>IF($A234&gt;$B$9,"",IF(COUNTIFS(Base!$B$3:$B$5001,H$232,Base!$A$3:$A$5001,"&gt;="&amp;$C$7,Base!$A$3:$A$5001,"&lt;="&amp;$B234,Base!$Z$3:$Z$5001,"&lt;&gt;")=0,"",SUMIFS(Base!$Z$3:$Z$5001,Base!$B$3:$B$5001,H$232,Base!$A$3:$A$5001,_xlfn.MAXIFS(Base!$A$3:$A$5001,Base!$B$3:$B$5001,H$232,Base!$A$3:$A$5001,"&gt;="&amp;$C$7,Base!$A$3:$A$5001,"&lt;="&amp;$B234,Base!$Z$3:$Z$5001,"&lt;&gt;"))))</f>
        <v>6</v>
      </c>
      <c r="I234">
        <f>IF($A234&gt;$B$9,"",IF(COUNTIFS(Base!$B$3:$B$5001,I$232,Base!$A$3:$A$5001,"&gt;="&amp;$C$7,Base!$A$3:$A$5001,"&lt;="&amp;$B234,Base!$Z$3:$Z$5001,"&lt;&gt;")=0,"",SUMIFS(Base!$Z$3:$Z$5001,Base!$B$3:$B$5001,I$232,Base!$A$3:$A$5001,_xlfn.MAXIFS(Base!$A$3:$A$5001,Base!$B$3:$B$5001,I$232,Base!$A$3:$A$5001,"&gt;="&amp;$C$7,Base!$A$3:$A$5001,"&lt;="&amp;$B234,Base!$Z$3:$Z$5001,"&lt;&gt;"))))</f>
        <v>10</v>
      </c>
      <c r="J234">
        <f>IF($A234&gt;$B$9,"",IF(COUNTIFS(Base!$B$3:$B$5001,J$232,Base!$A$3:$A$5001,"&gt;="&amp;$C$7,Base!$A$3:$A$5001,"&lt;="&amp;$B234,Base!$Z$3:$Z$5001,"&lt;&gt;")=0,"",SUMIFS(Base!$Z$3:$Z$5001,Base!$B$3:$B$5001,J$232,Base!$A$3:$A$5001,_xlfn.MAXIFS(Base!$A$3:$A$5001,Base!$B$3:$B$5001,J$232,Base!$A$3:$A$5001,"&gt;="&amp;$C$7,Base!$A$3:$A$5001,"&lt;="&amp;$B234,Base!$Z$3:$Z$5001,"&lt;&gt;"))))</f>
        <v>14</v>
      </c>
      <c r="K234">
        <f>IF($A234&gt;$B$9,"",IF(COUNTIFS(Base!$B$3:$B$5001,K$232,Base!$A$3:$A$5001,"&gt;="&amp;$C$7,Base!$A$3:$A$5001,"&lt;="&amp;$B234,Base!$Z$3:$Z$5001,"&lt;&gt;")=0,"",SUMIFS(Base!$Z$3:$Z$5001,Base!$B$3:$B$5001,K$232,Base!$A$3:$A$5001,_xlfn.MAXIFS(Base!$A$3:$A$5001,Base!$B$3:$B$5001,K$232,Base!$A$3:$A$5001,"&gt;="&amp;$C$7,Base!$A$3:$A$5001,"&lt;="&amp;$B234,Base!$Z$3:$Z$5001,"&lt;&gt;"))))</f>
        <v>8</v>
      </c>
    </row>
    <row r="235">
      <c r="A235">
        <v>3</v>
      </c>
      <c r="B235" s="152">
        <f>$B$14</f>
        <v>46268</v>
      </c>
      <c r="C235">
        <f>IF($A235&gt;$B$9,"",IF(COUNTIFS(Base!$B$3:$B$5001,C$232,Base!$A$3:$A$5001,"&gt;="&amp;$C$7,Base!$A$3:$A$5001,"&lt;="&amp;$B235,Base!$Z$3:$Z$5001,"&lt;&gt;")=0,"",SUMIFS(Base!$Z$3:$Z$5001,Base!$B$3:$B$5001,C$232,Base!$A$3:$A$5001,_xlfn.MAXIFS(Base!$A$3:$A$5001,Base!$B$3:$B$5001,C$232,Base!$A$3:$A$5001,"&gt;="&amp;$C$7,Base!$A$3:$A$5001,"&lt;="&amp;$B235,Base!$Z$3:$Z$5001,"&lt;&gt;"))))</f>
        <v>13</v>
      </c>
      <c r="D235">
        <f>IF($A235&gt;$B$9,"",IF(COUNTIFS(Base!$B$3:$B$5001,D$232,Base!$A$3:$A$5001,"&gt;="&amp;$C$7,Base!$A$3:$A$5001,"&lt;="&amp;$B235,Base!$Z$3:$Z$5001,"&lt;&gt;")=0,"",SUMIFS(Base!$Z$3:$Z$5001,Base!$B$3:$B$5001,D$232,Base!$A$3:$A$5001,_xlfn.MAXIFS(Base!$A$3:$A$5001,Base!$B$3:$B$5001,D$232,Base!$A$3:$A$5001,"&gt;="&amp;$C$7,Base!$A$3:$A$5001,"&lt;="&amp;$B235,Base!$Z$3:$Z$5001,"&lt;&gt;"))))</f>
        <v>6</v>
      </c>
      <c r="E235">
        <f>IF($A235&gt;$B$9,"",IF(COUNTIFS(Base!$B$3:$B$5001,E$232,Base!$A$3:$A$5001,"&gt;="&amp;$C$7,Base!$A$3:$A$5001,"&lt;="&amp;$B235,Base!$Z$3:$Z$5001,"&lt;&gt;")=0,"",SUMIFS(Base!$Z$3:$Z$5001,Base!$B$3:$B$5001,E$232,Base!$A$3:$A$5001,_xlfn.MAXIFS(Base!$A$3:$A$5001,Base!$B$3:$B$5001,E$232,Base!$A$3:$A$5001,"&gt;="&amp;$C$7,Base!$A$3:$A$5001,"&lt;="&amp;$B235,Base!$Z$3:$Z$5001,"&lt;&gt;"))))</f>
        <v>8</v>
      </c>
      <c r="F235">
        <f>IF($A235&gt;$B$9,"",IF(COUNTIFS(Base!$B$3:$B$5001,F$232,Base!$A$3:$A$5001,"&gt;="&amp;$C$7,Base!$A$3:$A$5001,"&lt;="&amp;$B235,Base!$Z$3:$Z$5001,"&lt;&gt;")=0,"",SUMIFS(Base!$Z$3:$Z$5001,Base!$B$3:$B$5001,F$232,Base!$A$3:$A$5001,_xlfn.MAXIFS(Base!$A$3:$A$5001,Base!$B$3:$B$5001,F$232,Base!$A$3:$A$5001,"&gt;="&amp;$C$7,Base!$A$3:$A$5001,"&lt;="&amp;$B235,Base!$Z$3:$Z$5001,"&lt;&gt;"))))</f>
        <v>11</v>
      </c>
      <c r="G235">
        <f>IF($A235&gt;$B$9,"",IF(COUNTIFS(Base!$B$3:$B$5001,G$232,Base!$A$3:$A$5001,"&gt;="&amp;$C$7,Base!$A$3:$A$5001,"&lt;="&amp;$B235,Base!$Z$3:$Z$5001,"&lt;&gt;")=0,"",SUMIFS(Base!$Z$3:$Z$5001,Base!$B$3:$B$5001,G$232,Base!$A$3:$A$5001,_xlfn.MAXIFS(Base!$A$3:$A$5001,Base!$B$3:$B$5001,G$232,Base!$A$3:$A$5001,"&gt;="&amp;$C$7,Base!$A$3:$A$5001,"&lt;="&amp;$B235,Base!$Z$3:$Z$5001,"&lt;&gt;"))))</f>
        <v>14</v>
      </c>
      <c r="H235">
        <f>IF($A235&gt;$B$9,"",IF(COUNTIFS(Base!$B$3:$B$5001,H$232,Base!$A$3:$A$5001,"&gt;="&amp;$C$7,Base!$A$3:$A$5001,"&lt;="&amp;$B235,Base!$Z$3:$Z$5001,"&lt;&gt;")=0,"",SUMIFS(Base!$Z$3:$Z$5001,Base!$B$3:$B$5001,H$232,Base!$A$3:$A$5001,_xlfn.MAXIFS(Base!$A$3:$A$5001,Base!$B$3:$B$5001,H$232,Base!$A$3:$A$5001,"&gt;="&amp;$C$7,Base!$A$3:$A$5001,"&lt;="&amp;$B235,Base!$Z$3:$Z$5001,"&lt;&gt;"))))</f>
        <v>11</v>
      </c>
      <c r="I235">
        <f>IF($A235&gt;$B$9,"",IF(COUNTIFS(Base!$B$3:$B$5001,I$232,Base!$A$3:$A$5001,"&gt;="&amp;$C$7,Base!$A$3:$A$5001,"&lt;="&amp;$B235,Base!$Z$3:$Z$5001,"&lt;&gt;")=0,"",SUMIFS(Base!$Z$3:$Z$5001,Base!$B$3:$B$5001,I$232,Base!$A$3:$A$5001,_xlfn.MAXIFS(Base!$A$3:$A$5001,Base!$B$3:$B$5001,I$232,Base!$A$3:$A$5001,"&gt;="&amp;$C$7,Base!$A$3:$A$5001,"&lt;="&amp;$B235,Base!$Z$3:$Z$5001,"&lt;&gt;"))))</f>
        <v>12</v>
      </c>
      <c r="J235">
        <f>IF($A235&gt;$B$9,"",IF(COUNTIFS(Base!$B$3:$B$5001,J$232,Base!$A$3:$A$5001,"&gt;="&amp;$C$7,Base!$A$3:$A$5001,"&lt;="&amp;$B235,Base!$Z$3:$Z$5001,"&lt;&gt;")=0,"",SUMIFS(Base!$Z$3:$Z$5001,Base!$B$3:$B$5001,J$232,Base!$A$3:$A$5001,_xlfn.MAXIFS(Base!$A$3:$A$5001,Base!$B$3:$B$5001,J$232,Base!$A$3:$A$5001,"&gt;="&amp;$C$7,Base!$A$3:$A$5001,"&lt;="&amp;$B235,Base!$Z$3:$Z$5001,"&lt;&gt;"))))</f>
        <v>10</v>
      </c>
      <c r="K235">
        <f>IF($A235&gt;$B$9,"",IF(COUNTIFS(Base!$B$3:$B$5001,K$232,Base!$A$3:$A$5001,"&gt;="&amp;$C$7,Base!$A$3:$A$5001,"&lt;="&amp;$B235,Base!$Z$3:$Z$5001,"&lt;&gt;")=0,"",SUMIFS(Base!$Z$3:$Z$5001,Base!$B$3:$B$5001,K$232,Base!$A$3:$A$5001,_xlfn.MAXIFS(Base!$A$3:$A$5001,Base!$B$3:$B$5001,K$232,Base!$A$3:$A$5001,"&gt;="&amp;$C$7,Base!$A$3:$A$5001,"&lt;="&amp;$B235,Base!$Z$3:$Z$5001,"&lt;&gt;"))))</f>
        <v>5</v>
      </c>
    </row>
    <row r="236">
      <c r="A236">
        <v>4</v>
      </c>
      <c r="B236" s="152">
        <f>$B$15</f>
        <v>46269</v>
      </c>
      <c r="C236">
        <f>IF($A236&gt;$B$9,"",IF(COUNTIFS(Base!$B$3:$B$5001,C$232,Base!$A$3:$A$5001,"&gt;="&amp;$C$7,Base!$A$3:$A$5001,"&lt;="&amp;$B236,Base!$Z$3:$Z$5001,"&lt;&gt;")=0,"",SUMIFS(Base!$Z$3:$Z$5001,Base!$B$3:$B$5001,C$232,Base!$A$3:$A$5001,_xlfn.MAXIFS(Base!$A$3:$A$5001,Base!$B$3:$B$5001,C$232,Base!$A$3:$A$5001,"&gt;="&amp;$C$7,Base!$A$3:$A$5001,"&lt;="&amp;$B236,Base!$Z$3:$Z$5001,"&lt;&gt;"))))</f>
        <v>13</v>
      </c>
      <c r="D236">
        <f>IF($A236&gt;$B$9,"",IF(COUNTIFS(Base!$B$3:$B$5001,D$232,Base!$A$3:$A$5001,"&gt;="&amp;$C$7,Base!$A$3:$A$5001,"&lt;="&amp;$B236,Base!$Z$3:$Z$5001,"&lt;&gt;")=0,"",SUMIFS(Base!$Z$3:$Z$5001,Base!$B$3:$B$5001,D$232,Base!$A$3:$A$5001,_xlfn.MAXIFS(Base!$A$3:$A$5001,Base!$B$3:$B$5001,D$232,Base!$A$3:$A$5001,"&gt;="&amp;$C$7,Base!$A$3:$A$5001,"&lt;="&amp;$B236,Base!$Z$3:$Z$5001,"&lt;&gt;"))))</f>
        <v>11</v>
      </c>
      <c r="E236">
        <f>IF($A236&gt;$B$9,"",IF(COUNTIFS(Base!$B$3:$B$5001,E$232,Base!$A$3:$A$5001,"&gt;="&amp;$C$7,Base!$A$3:$A$5001,"&lt;="&amp;$B236,Base!$Z$3:$Z$5001,"&lt;&gt;")=0,"",SUMIFS(Base!$Z$3:$Z$5001,Base!$B$3:$B$5001,E$232,Base!$A$3:$A$5001,_xlfn.MAXIFS(Base!$A$3:$A$5001,Base!$B$3:$B$5001,E$232,Base!$A$3:$A$5001,"&gt;="&amp;$C$7,Base!$A$3:$A$5001,"&lt;="&amp;$B236,Base!$Z$3:$Z$5001,"&lt;&gt;"))))</f>
        <v>4</v>
      </c>
      <c r="F236">
        <f>IF($A236&gt;$B$9,"",IF(COUNTIFS(Base!$B$3:$B$5001,F$232,Base!$A$3:$A$5001,"&gt;="&amp;$C$7,Base!$A$3:$A$5001,"&lt;="&amp;$B236,Base!$Z$3:$Z$5001,"&lt;&gt;")=0,"",SUMIFS(Base!$Z$3:$Z$5001,Base!$B$3:$B$5001,F$232,Base!$A$3:$A$5001,_xlfn.MAXIFS(Base!$A$3:$A$5001,Base!$B$3:$B$5001,F$232,Base!$A$3:$A$5001,"&gt;="&amp;$C$7,Base!$A$3:$A$5001,"&lt;="&amp;$B236,Base!$Z$3:$Z$5001,"&lt;&gt;"))))</f>
        <v>5</v>
      </c>
      <c r="G236">
        <f>IF($A236&gt;$B$9,"",IF(COUNTIFS(Base!$B$3:$B$5001,G$232,Base!$A$3:$A$5001,"&gt;="&amp;$C$7,Base!$A$3:$A$5001,"&lt;="&amp;$B236,Base!$Z$3:$Z$5001,"&lt;&gt;")=0,"",SUMIFS(Base!$Z$3:$Z$5001,Base!$B$3:$B$5001,G$232,Base!$A$3:$A$5001,_xlfn.MAXIFS(Base!$A$3:$A$5001,Base!$B$3:$B$5001,G$232,Base!$A$3:$A$5001,"&gt;="&amp;$C$7,Base!$A$3:$A$5001,"&lt;="&amp;$B236,Base!$Z$3:$Z$5001,"&lt;&gt;"))))</f>
        <v>5</v>
      </c>
      <c r="H236">
        <f>IF($A236&gt;$B$9,"",IF(COUNTIFS(Base!$B$3:$B$5001,H$232,Base!$A$3:$A$5001,"&gt;="&amp;$C$7,Base!$A$3:$A$5001,"&lt;="&amp;$B236,Base!$Z$3:$Z$5001,"&lt;&gt;")=0,"",SUMIFS(Base!$Z$3:$Z$5001,Base!$B$3:$B$5001,H$232,Base!$A$3:$A$5001,_xlfn.MAXIFS(Base!$A$3:$A$5001,Base!$B$3:$B$5001,H$232,Base!$A$3:$A$5001,"&gt;="&amp;$C$7,Base!$A$3:$A$5001,"&lt;="&amp;$B236,Base!$Z$3:$Z$5001,"&lt;&gt;"))))</f>
        <v>5</v>
      </c>
      <c r="I236">
        <f>IF($A236&gt;$B$9,"",IF(COUNTIFS(Base!$B$3:$B$5001,I$232,Base!$A$3:$A$5001,"&gt;="&amp;$C$7,Base!$A$3:$A$5001,"&lt;="&amp;$B236,Base!$Z$3:$Z$5001,"&lt;&gt;")=0,"",SUMIFS(Base!$Z$3:$Z$5001,Base!$B$3:$B$5001,I$232,Base!$A$3:$A$5001,_xlfn.MAXIFS(Base!$A$3:$A$5001,Base!$B$3:$B$5001,I$232,Base!$A$3:$A$5001,"&gt;="&amp;$C$7,Base!$A$3:$A$5001,"&lt;="&amp;$B236,Base!$Z$3:$Z$5001,"&lt;&gt;"))))</f>
        <v>11</v>
      </c>
      <c r="J236">
        <f>IF($A236&gt;$B$9,"",IF(COUNTIFS(Base!$B$3:$B$5001,J$232,Base!$A$3:$A$5001,"&gt;="&amp;$C$7,Base!$A$3:$A$5001,"&lt;="&amp;$B236,Base!$Z$3:$Z$5001,"&lt;&gt;")=0,"",SUMIFS(Base!$Z$3:$Z$5001,Base!$B$3:$B$5001,J$232,Base!$A$3:$A$5001,_xlfn.MAXIFS(Base!$A$3:$A$5001,Base!$B$3:$B$5001,J$232,Base!$A$3:$A$5001,"&gt;="&amp;$C$7,Base!$A$3:$A$5001,"&lt;="&amp;$B236,Base!$Z$3:$Z$5001,"&lt;&gt;"))))</f>
        <v>14</v>
      </c>
      <c r="K236">
        <f>IF($A236&gt;$B$9,"",IF(COUNTIFS(Base!$B$3:$B$5001,K$232,Base!$A$3:$A$5001,"&gt;="&amp;$C$7,Base!$A$3:$A$5001,"&lt;="&amp;$B236,Base!$Z$3:$Z$5001,"&lt;&gt;")=0,"",SUMIFS(Base!$Z$3:$Z$5001,Base!$B$3:$B$5001,K$232,Base!$A$3:$A$5001,_xlfn.MAXIFS(Base!$A$3:$A$5001,Base!$B$3:$B$5001,K$232,Base!$A$3:$A$5001,"&gt;="&amp;$C$7,Base!$A$3:$A$5001,"&lt;="&amp;$B236,Base!$Z$3:$Z$5001,"&lt;&gt;"))))</f>
        <v>13</v>
      </c>
    </row>
    <row r="237">
      <c r="A237">
        <v>5</v>
      </c>
      <c r="B237" s="152">
        <f>$B$16</f>
        <v>46270</v>
      </c>
      <c r="C237">
        <f>IF($A237&gt;$B$9,"",IF(COUNTIFS(Base!$B$3:$B$5001,C$232,Base!$A$3:$A$5001,"&gt;="&amp;$C$7,Base!$A$3:$A$5001,"&lt;="&amp;$B237,Base!$Z$3:$Z$5001,"&lt;&gt;")=0,"",SUMIFS(Base!$Z$3:$Z$5001,Base!$B$3:$B$5001,C$232,Base!$A$3:$A$5001,_xlfn.MAXIFS(Base!$A$3:$A$5001,Base!$B$3:$B$5001,C$232,Base!$A$3:$A$5001,"&gt;="&amp;$C$7,Base!$A$3:$A$5001,"&lt;="&amp;$B237,Base!$Z$3:$Z$5001,"&lt;&gt;"))))</f>
        <v>9</v>
      </c>
      <c r="D237">
        <f>IF($A237&gt;$B$9,"",IF(COUNTIFS(Base!$B$3:$B$5001,D$232,Base!$A$3:$A$5001,"&gt;="&amp;$C$7,Base!$A$3:$A$5001,"&lt;="&amp;$B237,Base!$Z$3:$Z$5001,"&lt;&gt;")=0,"",SUMIFS(Base!$Z$3:$Z$5001,Base!$B$3:$B$5001,D$232,Base!$A$3:$A$5001,_xlfn.MAXIFS(Base!$A$3:$A$5001,Base!$B$3:$B$5001,D$232,Base!$A$3:$A$5001,"&gt;="&amp;$C$7,Base!$A$3:$A$5001,"&lt;="&amp;$B237,Base!$Z$3:$Z$5001,"&lt;&gt;"))))</f>
        <v>9</v>
      </c>
      <c r="E237">
        <f>IF($A237&gt;$B$9,"",IF(COUNTIFS(Base!$B$3:$B$5001,E$232,Base!$A$3:$A$5001,"&gt;="&amp;$C$7,Base!$A$3:$A$5001,"&lt;="&amp;$B237,Base!$Z$3:$Z$5001,"&lt;&gt;")=0,"",SUMIFS(Base!$Z$3:$Z$5001,Base!$B$3:$B$5001,E$232,Base!$A$3:$A$5001,_xlfn.MAXIFS(Base!$A$3:$A$5001,Base!$B$3:$B$5001,E$232,Base!$A$3:$A$5001,"&gt;="&amp;$C$7,Base!$A$3:$A$5001,"&lt;="&amp;$B237,Base!$Z$3:$Z$5001,"&lt;&gt;"))))</f>
        <v>4</v>
      </c>
      <c r="F237">
        <f>IF($A237&gt;$B$9,"",IF(COUNTIFS(Base!$B$3:$B$5001,F$232,Base!$A$3:$A$5001,"&gt;="&amp;$C$7,Base!$A$3:$A$5001,"&lt;="&amp;$B237,Base!$Z$3:$Z$5001,"&lt;&gt;")=0,"",SUMIFS(Base!$Z$3:$Z$5001,Base!$B$3:$B$5001,F$232,Base!$A$3:$A$5001,_xlfn.MAXIFS(Base!$A$3:$A$5001,Base!$B$3:$B$5001,F$232,Base!$A$3:$A$5001,"&gt;="&amp;$C$7,Base!$A$3:$A$5001,"&lt;="&amp;$B237,Base!$Z$3:$Z$5001,"&lt;&gt;"))))</f>
        <v>13</v>
      </c>
      <c r="G237">
        <f>IF($A237&gt;$B$9,"",IF(COUNTIFS(Base!$B$3:$B$5001,G$232,Base!$A$3:$A$5001,"&gt;="&amp;$C$7,Base!$A$3:$A$5001,"&lt;="&amp;$B237,Base!$Z$3:$Z$5001,"&lt;&gt;")=0,"",SUMIFS(Base!$Z$3:$Z$5001,Base!$B$3:$B$5001,G$232,Base!$A$3:$A$5001,_xlfn.MAXIFS(Base!$A$3:$A$5001,Base!$B$3:$B$5001,G$232,Base!$A$3:$A$5001,"&gt;="&amp;$C$7,Base!$A$3:$A$5001,"&lt;="&amp;$B237,Base!$Z$3:$Z$5001,"&lt;&gt;"))))</f>
        <v>8</v>
      </c>
      <c r="H237">
        <f>IF($A237&gt;$B$9,"",IF(COUNTIFS(Base!$B$3:$B$5001,H$232,Base!$A$3:$A$5001,"&gt;="&amp;$C$7,Base!$A$3:$A$5001,"&lt;="&amp;$B237,Base!$Z$3:$Z$5001,"&lt;&gt;")=0,"",SUMIFS(Base!$Z$3:$Z$5001,Base!$B$3:$B$5001,H$232,Base!$A$3:$A$5001,_xlfn.MAXIFS(Base!$A$3:$A$5001,Base!$B$3:$B$5001,H$232,Base!$A$3:$A$5001,"&gt;="&amp;$C$7,Base!$A$3:$A$5001,"&lt;="&amp;$B237,Base!$Z$3:$Z$5001,"&lt;&gt;"))))</f>
        <v>7</v>
      </c>
      <c r="I237">
        <f>IF($A237&gt;$B$9,"",IF(COUNTIFS(Base!$B$3:$B$5001,I$232,Base!$A$3:$A$5001,"&gt;="&amp;$C$7,Base!$A$3:$A$5001,"&lt;="&amp;$B237,Base!$Z$3:$Z$5001,"&lt;&gt;")=0,"",SUMIFS(Base!$Z$3:$Z$5001,Base!$B$3:$B$5001,I$232,Base!$A$3:$A$5001,_xlfn.MAXIFS(Base!$A$3:$A$5001,Base!$B$3:$B$5001,I$232,Base!$A$3:$A$5001,"&gt;="&amp;$C$7,Base!$A$3:$A$5001,"&lt;="&amp;$B237,Base!$Z$3:$Z$5001,"&lt;&gt;"))))</f>
        <v>6</v>
      </c>
      <c r="J237">
        <f>IF($A237&gt;$B$9,"",IF(COUNTIFS(Base!$B$3:$B$5001,J$232,Base!$A$3:$A$5001,"&gt;="&amp;$C$7,Base!$A$3:$A$5001,"&lt;="&amp;$B237,Base!$Z$3:$Z$5001,"&lt;&gt;")=0,"",SUMIFS(Base!$Z$3:$Z$5001,Base!$B$3:$B$5001,J$232,Base!$A$3:$A$5001,_xlfn.MAXIFS(Base!$A$3:$A$5001,Base!$B$3:$B$5001,J$232,Base!$A$3:$A$5001,"&gt;="&amp;$C$7,Base!$A$3:$A$5001,"&lt;="&amp;$B237,Base!$Z$3:$Z$5001,"&lt;&gt;"))))</f>
        <v>9</v>
      </c>
      <c r="K237">
        <f>IF($A237&gt;$B$9,"",IF(COUNTIFS(Base!$B$3:$B$5001,K$232,Base!$A$3:$A$5001,"&gt;="&amp;$C$7,Base!$A$3:$A$5001,"&lt;="&amp;$B237,Base!$Z$3:$Z$5001,"&lt;&gt;")=0,"",SUMIFS(Base!$Z$3:$Z$5001,Base!$B$3:$B$5001,K$232,Base!$A$3:$A$5001,_xlfn.MAXIFS(Base!$A$3:$A$5001,Base!$B$3:$B$5001,K$232,Base!$A$3:$A$5001,"&gt;="&amp;$C$7,Base!$A$3:$A$5001,"&lt;="&amp;$B237,Base!$Z$3:$Z$5001,"&lt;&gt;"))))</f>
        <v>4</v>
      </c>
    </row>
    <row r="238">
      <c r="A238">
        <v>6</v>
      </c>
      <c r="B238" s="152">
        <f>$B$17</f>
        <v>46271</v>
      </c>
      <c r="C238">
        <f>IF($A238&gt;$B$9,"",IF(COUNTIFS(Base!$B$3:$B$5001,C$232,Base!$A$3:$A$5001,"&gt;="&amp;$C$7,Base!$A$3:$A$5001,"&lt;="&amp;$B238,Base!$Z$3:$Z$5001,"&lt;&gt;")=0,"",SUMIFS(Base!$Z$3:$Z$5001,Base!$B$3:$B$5001,C$232,Base!$A$3:$A$5001,_xlfn.MAXIFS(Base!$A$3:$A$5001,Base!$B$3:$B$5001,C$232,Base!$A$3:$A$5001,"&gt;="&amp;$C$7,Base!$A$3:$A$5001,"&lt;="&amp;$B238,Base!$Z$3:$Z$5001,"&lt;&gt;"))))</f>
        <v>9</v>
      </c>
      <c r="D238">
        <f>IF($A238&gt;$B$9,"",IF(COUNTIFS(Base!$B$3:$B$5001,D$232,Base!$A$3:$A$5001,"&gt;="&amp;$C$7,Base!$A$3:$A$5001,"&lt;="&amp;$B238,Base!$Z$3:$Z$5001,"&lt;&gt;")=0,"",SUMIFS(Base!$Z$3:$Z$5001,Base!$B$3:$B$5001,D$232,Base!$A$3:$A$5001,_xlfn.MAXIFS(Base!$A$3:$A$5001,Base!$B$3:$B$5001,D$232,Base!$A$3:$A$5001,"&gt;="&amp;$C$7,Base!$A$3:$A$5001,"&lt;="&amp;$B238,Base!$Z$3:$Z$5001,"&lt;&gt;"))))</f>
        <v>9</v>
      </c>
      <c r="E238">
        <f>IF($A238&gt;$B$9,"",IF(COUNTIFS(Base!$B$3:$B$5001,E$232,Base!$A$3:$A$5001,"&gt;="&amp;$C$7,Base!$A$3:$A$5001,"&lt;="&amp;$B238,Base!$Z$3:$Z$5001,"&lt;&gt;")=0,"",SUMIFS(Base!$Z$3:$Z$5001,Base!$B$3:$B$5001,E$232,Base!$A$3:$A$5001,_xlfn.MAXIFS(Base!$A$3:$A$5001,Base!$B$3:$B$5001,E$232,Base!$A$3:$A$5001,"&gt;="&amp;$C$7,Base!$A$3:$A$5001,"&lt;="&amp;$B238,Base!$Z$3:$Z$5001,"&lt;&gt;"))))</f>
        <v>4</v>
      </c>
      <c r="F238">
        <f>IF($A238&gt;$B$9,"",IF(COUNTIFS(Base!$B$3:$B$5001,F$232,Base!$A$3:$A$5001,"&gt;="&amp;$C$7,Base!$A$3:$A$5001,"&lt;="&amp;$B238,Base!$Z$3:$Z$5001,"&lt;&gt;")=0,"",SUMIFS(Base!$Z$3:$Z$5001,Base!$B$3:$B$5001,F$232,Base!$A$3:$A$5001,_xlfn.MAXIFS(Base!$A$3:$A$5001,Base!$B$3:$B$5001,F$232,Base!$A$3:$A$5001,"&gt;="&amp;$C$7,Base!$A$3:$A$5001,"&lt;="&amp;$B238,Base!$Z$3:$Z$5001,"&lt;&gt;"))))</f>
        <v>13</v>
      </c>
      <c r="G238">
        <f>IF($A238&gt;$B$9,"",IF(COUNTIFS(Base!$B$3:$B$5001,G$232,Base!$A$3:$A$5001,"&gt;="&amp;$C$7,Base!$A$3:$A$5001,"&lt;="&amp;$B238,Base!$Z$3:$Z$5001,"&lt;&gt;")=0,"",SUMIFS(Base!$Z$3:$Z$5001,Base!$B$3:$B$5001,G$232,Base!$A$3:$A$5001,_xlfn.MAXIFS(Base!$A$3:$A$5001,Base!$B$3:$B$5001,G$232,Base!$A$3:$A$5001,"&gt;="&amp;$C$7,Base!$A$3:$A$5001,"&lt;="&amp;$B238,Base!$Z$3:$Z$5001,"&lt;&gt;"))))</f>
        <v>8</v>
      </c>
      <c r="H238">
        <f>IF($A238&gt;$B$9,"",IF(COUNTIFS(Base!$B$3:$B$5001,H$232,Base!$A$3:$A$5001,"&gt;="&amp;$C$7,Base!$A$3:$A$5001,"&lt;="&amp;$B238,Base!$Z$3:$Z$5001,"&lt;&gt;")=0,"",SUMIFS(Base!$Z$3:$Z$5001,Base!$B$3:$B$5001,H$232,Base!$A$3:$A$5001,_xlfn.MAXIFS(Base!$A$3:$A$5001,Base!$B$3:$B$5001,H$232,Base!$A$3:$A$5001,"&gt;="&amp;$C$7,Base!$A$3:$A$5001,"&lt;="&amp;$B238,Base!$Z$3:$Z$5001,"&lt;&gt;"))))</f>
        <v>7</v>
      </c>
      <c r="I238">
        <f>IF($A238&gt;$B$9,"",IF(COUNTIFS(Base!$B$3:$B$5001,I$232,Base!$A$3:$A$5001,"&gt;="&amp;$C$7,Base!$A$3:$A$5001,"&lt;="&amp;$B238,Base!$Z$3:$Z$5001,"&lt;&gt;")=0,"",SUMIFS(Base!$Z$3:$Z$5001,Base!$B$3:$B$5001,I$232,Base!$A$3:$A$5001,_xlfn.MAXIFS(Base!$A$3:$A$5001,Base!$B$3:$B$5001,I$232,Base!$A$3:$A$5001,"&gt;="&amp;$C$7,Base!$A$3:$A$5001,"&lt;="&amp;$B238,Base!$Z$3:$Z$5001,"&lt;&gt;"))))</f>
        <v>6</v>
      </c>
      <c r="J238">
        <f>IF($A238&gt;$B$9,"",IF(COUNTIFS(Base!$B$3:$B$5001,J$232,Base!$A$3:$A$5001,"&gt;="&amp;$C$7,Base!$A$3:$A$5001,"&lt;="&amp;$B238,Base!$Z$3:$Z$5001,"&lt;&gt;")=0,"",SUMIFS(Base!$Z$3:$Z$5001,Base!$B$3:$B$5001,J$232,Base!$A$3:$A$5001,_xlfn.MAXIFS(Base!$A$3:$A$5001,Base!$B$3:$B$5001,J$232,Base!$A$3:$A$5001,"&gt;="&amp;$C$7,Base!$A$3:$A$5001,"&lt;="&amp;$B238,Base!$Z$3:$Z$5001,"&lt;&gt;"))))</f>
        <v>9</v>
      </c>
      <c r="K238">
        <f>IF($A238&gt;$B$9,"",IF(COUNTIFS(Base!$B$3:$B$5001,K$232,Base!$A$3:$A$5001,"&gt;="&amp;$C$7,Base!$A$3:$A$5001,"&lt;="&amp;$B238,Base!$Z$3:$Z$5001,"&lt;&gt;")=0,"",SUMIFS(Base!$Z$3:$Z$5001,Base!$B$3:$B$5001,K$232,Base!$A$3:$A$5001,_xlfn.MAXIFS(Base!$A$3:$A$5001,Base!$B$3:$B$5001,K$232,Base!$A$3:$A$5001,"&gt;="&amp;$C$7,Base!$A$3:$A$5001,"&lt;="&amp;$B238,Base!$Z$3:$Z$5001,"&lt;&gt;"))))</f>
        <v>4</v>
      </c>
    </row>
    <row r="239">
      <c r="A239">
        <v>7</v>
      </c>
      <c r="B239" s="152">
        <f>$B$18</f>
        <v>46272</v>
      </c>
      <c r="C239">
        <f>IF($A239&gt;$B$9,"",IF(COUNTIFS(Base!$B$3:$B$5001,C$232,Base!$A$3:$A$5001,"&gt;="&amp;$C$7,Base!$A$3:$A$5001,"&lt;="&amp;$B239,Base!$Z$3:$Z$5001,"&lt;&gt;")=0,"",SUMIFS(Base!$Z$3:$Z$5001,Base!$B$3:$B$5001,C$232,Base!$A$3:$A$5001,_xlfn.MAXIFS(Base!$A$3:$A$5001,Base!$B$3:$B$5001,C$232,Base!$A$3:$A$5001,"&gt;="&amp;$C$7,Base!$A$3:$A$5001,"&lt;="&amp;$B239,Base!$Z$3:$Z$5001,"&lt;&gt;"))))</f>
        <v>5</v>
      </c>
      <c r="D239">
        <f>IF($A239&gt;$B$9,"",IF(COUNTIFS(Base!$B$3:$B$5001,D$232,Base!$A$3:$A$5001,"&gt;="&amp;$C$7,Base!$A$3:$A$5001,"&lt;="&amp;$B239,Base!$Z$3:$Z$5001,"&lt;&gt;")=0,"",SUMIFS(Base!$Z$3:$Z$5001,Base!$B$3:$B$5001,D$232,Base!$A$3:$A$5001,_xlfn.MAXIFS(Base!$A$3:$A$5001,Base!$B$3:$B$5001,D$232,Base!$A$3:$A$5001,"&gt;="&amp;$C$7,Base!$A$3:$A$5001,"&lt;="&amp;$B239,Base!$Z$3:$Z$5001,"&lt;&gt;"))))</f>
        <v>5</v>
      </c>
      <c r="E239">
        <f>IF($A239&gt;$B$9,"",IF(COUNTIFS(Base!$B$3:$B$5001,E$232,Base!$A$3:$A$5001,"&gt;="&amp;$C$7,Base!$A$3:$A$5001,"&lt;="&amp;$B239,Base!$Z$3:$Z$5001,"&lt;&gt;")=0,"",SUMIFS(Base!$Z$3:$Z$5001,Base!$B$3:$B$5001,E$232,Base!$A$3:$A$5001,_xlfn.MAXIFS(Base!$A$3:$A$5001,Base!$B$3:$B$5001,E$232,Base!$A$3:$A$5001,"&gt;="&amp;$C$7,Base!$A$3:$A$5001,"&lt;="&amp;$B239,Base!$Z$3:$Z$5001,"&lt;&gt;"))))</f>
        <v>11</v>
      </c>
      <c r="F239">
        <f>IF($A239&gt;$B$9,"",IF(COUNTIFS(Base!$B$3:$B$5001,F$232,Base!$A$3:$A$5001,"&gt;="&amp;$C$7,Base!$A$3:$A$5001,"&lt;="&amp;$B239,Base!$Z$3:$Z$5001,"&lt;&gt;")=0,"",SUMIFS(Base!$Z$3:$Z$5001,Base!$B$3:$B$5001,F$232,Base!$A$3:$A$5001,_xlfn.MAXIFS(Base!$A$3:$A$5001,Base!$B$3:$B$5001,F$232,Base!$A$3:$A$5001,"&gt;="&amp;$C$7,Base!$A$3:$A$5001,"&lt;="&amp;$B239,Base!$Z$3:$Z$5001,"&lt;&gt;"))))</f>
        <v>4</v>
      </c>
      <c r="G239">
        <f>IF($A239&gt;$B$9,"",IF(COUNTIFS(Base!$B$3:$B$5001,G$232,Base!$A$3:$A$5001,"&gt;="&amp;$C$7,Base!$A$3:$A$5001,"&lt;="&amp;$B239,Base!$Z$3:$Z$5001,"&lt;&gt;")=0,"",SUMIFS(Base!$Z$3:$Z$5001,Base!$B$3:$B$5001,G$232,Base!$A$3:$A$5001,_xlfn.MAXIFS(Base!$A$3:$A$5001,Base!$B$3:$B$5001,G$232,Base!$A$3:$A$5001,"&gt;="&amp;$C$7,Base!$A$3:$A$5001,"&lt;="&amp;$B239,Base!$Z$3:$Z$5001,"&lt;&gt;"))))</f>
        <v>4</v>
      </c>
      <c r="H239">
        <f>IF($A239&gt;$B$9,"",IF(COUNTIFS(Base!$B$3:$B$5001,H$232,Base!$A$3:$A$5001,"&gt;="&amp;$C$7,Base!$A$3:$A$5001,"&lt;="&amp;$B239,Base!$Z$3:$Z$5001,"&lt;&gt;")=0,"",SUMIFS(Base!$Z$3:$Z$5001,Base!$B$3:$B$5001,H$232,Base!$A$3:$A$5001,_xlfn.MAXIFS(Base!$A$3:$A$5001,Base!$B$3:$B$5001,H$232,Base!$A$3:$A$5001,"&gt;="&amp;$C$7,Base!$A$3:$A$5001,"&lt;="&amp;$B239,Base!$Z$3:$Z$5001,"&lt;&gt;"))))</f>
        <v>14</v>
      </c>
      <c r="I239">
        <f>IF($A239&gt;$B$9,"",IF(COUNTIFS(Base!$B$3:$B$5001,I$232,Base!$A$3:$A$5001,"&gt;="&amp;$C$7,Base!$A$3:$A$5001,"&lt;="&amp;$B239,Base!$Z$3:$Z$5001,"&lt;&gt;")=0,"",SUMIFS(Base!$Z$3:$Z$5001,Base!$B$3:$B$5001,I$232,Base!$A$3:$A$5001,_xlfn.MAXIFS(Base!$A$3:$A$5001,Base!$B$3:$B$5001,I$232,Base!$A$3:$A$5001,"&gt;="&amp;$C$7,Base!$A$3:$A$5001,"&lt;="&amp;$B239,Base!$Z$3:$Z$5001,"&lt;&gt;"))))</f>
        <v>11</v>
      </c>
      <c r="J239">
        <f>IF($A239&gt;$B$9,"",IF(COUNTIFS(Base!$B$3:$B$5001,J$232,Base!$A$3:$A$5001,"&gt;="&amp;$C$7,Base!$A$3:$A$5001,"&lt;="&amp;$B239,Base!$Z$3:$Z$5001,"&lt;&gt;")=0,"",SUMIFS(Base!$Z$3:$Z$5001,Base!$B$3:$B$5001,J$232,Base!$A$3:$A$5001,_xlfn.MAXIFS(Base!$A$3:$A$5001,Base!$B$3:$B$5001,J$232,Base!$A$3:$A$5001,"&gt;="&amp;$C$7,Base!$A$3:$A$5001,"&lt;="&amp;$B239,Base!$Z$3:$Z$5001,"&lt;&gt;"))))</f>
        <v>8</v>
      </c>
      <c r="K239">
        <f>IF($A239&gt;$B$9,"",IF(COUNTIFS(Base!$B$3:$B$5001,K$232,Base!$A$3:$A$5001,"&gt;="&amp;$C$7,Base!$A$3:$A$5001,"&lt;="&amp;$B239,Base!$Z$3:$Z$5001,"&lt;&gt;")=0,"",SUMIFS(Base!$Z$3:$Z$5001,Base!$B$3:$B$5001,K$232,Base!$A$3:$A$5001,_xlfn.MAXIFS(Base!$A$3:$A$5001,Base!$B$3:$B$5001,K$232,Base!$A$3:$A$5001,"&gt;="&amp;$C$7,Base!$A$3:$A$5001,"&lt;="&amp;$B239,Base!$Z$3:$Z$5001,"&lt;&gt;"))))</f>
        <v>4</v>
      </c>
    </row>
    <row r="240">
      <c r="A240">
        <v>8</v>
      </c>
      <c r="B240" s="152">
        <f>$B$19</f>
        <v>46273</v>
      </c>
      <c r="C240">
        <f>IF($A240&gt;$B$9,"",IF(COUNTIFS(Base!$B$3:$B$5001,C$232,Base!$A$3:$A$5001,"&gt;="&amp;$C$7,Base!$A$3:$A$5001,"&lt;="&amp;$B240,Base!$Z$3:$Z$5001,"&lt;&gt;")=0,"",SUMIFS(Base!$Z$3:$Z$5001,Base!$B$3:$B$5001,C$232,Base!$A$3:$A$5001,_xlfn.MAXIFS(Base!$A$3:$A$5001,Base!$B$3:$B$5001,C$232,Base!$A$3:$A$5001,"&gt;="&amp;$C$7,Base!$A$3:$A$5001,"&lt;="&amp;$B240,Base!$Z$3:$Z$5001,"&lt;&gt;"))))</f>
        <v>5</v>
      </c>
      <c r="D240">
        <f>IF($A240&gt;$B$9,"",IF(COUNTIFS(Base!$B$3:$B$5001,D$232,Base!$A$3:$A$5001,"&gt;="&amp;$C$7,Base!$A$3:$A$5001,"&lt;="&amp;$B240,Base!$Z$3:$Z$5001,"&lt;&gt;")=0,"",SUMIFS(Base!$Z$3:$Z$5001,Base!$B$3:$B$5001,D$232,Base!$A$3:$A$5001,_xlfn.MAXIFS(Base!$A$3:$A$5001,Base!$B$3:$B$5001,D$232,Base!$A$3:$A$5001,"&gt;="&amp;$C$7,Base!$A$3:$A$5001,"&lt;="&amp;$B240,Base!$Z$3:$Z$5001,"&lt;&gt;"))))</f>
        <v>12</v>
      </c>
      <c r="E240">
        <f>IF($A240&gt;$B$9,"",IF(COUNTIFS(Base!$B$3:$B$5001,E$232,Base!$A$3:$A$5001,"&gt;="&amp;$C$7,Base!$A$3:$A$5001,"&lt;="&amp;$B240,Base!$Z$3:$Z$5001,"&lt;&gt;")=0,"",SUMIFS(Base!$Z$3:$Z$5001,Base!$B$3:$B$5001,E$232,Base!$A$3:$A$5001,_xlfn.MAXIFS(Base!$A$3:$A$5001,Base!$B$3:$B$5001,E$232,Base!$A$3:$A$5001,"&gt;="&amp;$C$7,Base!$A$3:$A$5001,"&lt;="&amp;$B240,Base!$Z$3:$Z$5001,"&lt;&gt;"))))</f>
        <v>4</v>
      </c>
      <c r="F240">
        <f>IF($A240&gt;$B$9,"",IF(COUNTIFS(Base!$B$3:$B$5001,F$232,Base!$A$3:$A$5001,"&gt;="&amp;$C$7,Base!$A$3:$A$5001,"&lt;="&amp;$B240,Base!$Z$3:$Z$5001,"&lt;&gt;")=0,"",SUMIFS(Base!$Z$3:$Z$5001,Base!$B$3:$B$5001,F$232,Base!$A$3:$A$5001,_xlfn.MAXIFS(Base!$A$3:$A$5001,Base!$B$3:$B$5001,F$232,Base!$A$3:$A$5001,"&gt;="&amp;$C$7,Base!$A$3:$A$5001,"&lt;="&amp;$B240,Base!$Z$3:$Z$5001,"&lt;&gt;"))))</f>
        <v>7</v>
      </c>
      <c r="G240">
        <f>IF($A240&gt;$B$9,"",IF(COUNTIFS(Base!$B$3:$B$5001,G$232,Base!$A$3:$A$5001,"&gt;="&amp;$C$7,Base!$A$3:$A$5001,"&lt;="&amp;$B240,Base!$Z$3:$Z$5001,"&lt;&gt;")=0,"",SUMIFS(Base!$Z$3:$Z$5001,Base!$B$3:$B$5001,G$232,Base!$A$3:$A$5001,_xlfn.MAXIFS(Base!$A$3:$A$5001,Base!$B$3:$B$5001,G$232,Base!$A$3:$A$5001,"&gt;="&amp;$C$7,Base!$A$3:$A$5001,"&lt;="&amp;$B240,Base!$Z$3:$Z$5001,"&lt;&gt;"))))</f>
        <v>14</v>
      </c>
      <c r="H240">
        <f>IF($A240&gt;$B$9,"",IF(COUNTIFS(Base!$B$3:$B$5001,H$232,Base!$A$3:$A$5001,"&gt;="&amp;$C$7,Base!$A$3:$A$5001,"&lt;="&amp;$B240,Base!$Z$3:$Z$5001,"&lt;&gt;")=0,"",SUMIFS(Base!$Z$3:$Z$5001,Base!$B$3:$B$5001,H$232,Base!$A$3:$A$5001,_xlfn.MAXIFS(Base!$A$3:$A$5001,Base!$B$3:$B$5001,H$232,Base!$A$3:$A$5001,"&gt;="&amp;$C$7,Base!$A$3:$A$5001,"&lt;="&amp;$B240,Base!$Z$3:$Z$5001,"&lt;&gt;"))))</f>
        <v>9</v>
      </c>
      <c r="I240">
        <f>IF($A240&gt;$B$9,"",IF(COUNTIFS(Base!$B$3:$B$5001,I$232,Base!$A$3:$A$5001,"&gt;="&amp;$C$7,Base!$A$3:$A$5001,"&lt;="&amp;$B240,Base!$Z$3:$Z$5001,"&lt;&gt;")=0,"",SUMIFS(Base!$Z$3:$Z$5001,Base!$B$3:$B$5001,I$232,Base!$A$3:$A$5001,_xlfn.MAXIFS(Base!$A$3:$A$5001,Base!$B$3:$B$5001,I$232,Base!$A$3:$A$5001,"&gt;="&amp;$C$7,Base!$A$3:$A$5001,"&lt;="&amp;$B240,Base!$Z$3:$Z$5001,"&lt;&gt;"))))</f>
        <v>5</v>
      </c>
      <c r="J240">
        <f>IF($A240&gt;$B$9,"",IF(COUNTIFS(Base!$B$3:$B$5001,J$232,Base!$A$3:$A$5001,"&gt;="&amp;$C$7,Base!$A$3:$A$5001,"&lt;="&amp;$B240,Base!$Z$3:$Z$5001,"&lt;&gt;")=0,"",SUMIFS(Base!$Z$3:$Z$5001,Base!$B$3:$B$5001,J$232,Base!$A$3:$A$5001,_xlfn.MAXIFS(Base!$A$3:$A$5001,Base!$B$3:$B$5001,J$232,Base!$A$3:$A$5001,"&gt;="&amp;$C$7,Base!$A$3:$A$5001,"&lt;="&amp;$B240,Base!$Z$3:$Z$5001,"&lt;&gt;"))))</f>
        <v>7</v>
      </c>
      <c r="K240">
        <f>IF($A240&gt;$B$9,"",IF(COUNTIFS(Base!$B$3:$B$5001,K$232,Base!$A$3:$A$5001,"&gt;="&amp;$C$7,Base!$A$3:$A$5001,"&lt;="&amp;$B240,Base!$Z$3:$Z$5001,"&lt;&gt;")=0,"",SUMIFS(Base!$Z$3:$Z$5001,Base!$B$3:$B$5001,K$232,Base!$A$3:$A$5001,_xlfn.MAXIFS(Base!$A$3:$A$5001,Base!$B$3:$B$5001,K$232,Base!$A$3:$A$5001,"&gt;="&amp;$C$7,Base!$A$3:$A$5001,"&lt;="&amp;$B240,Base!$Z$3:$Z$5001,"&lt;&gt;"))))</f>
        <v>9</v>
      </c>
    </row>
    <row r="241">
      <c r="A241">
        <v>9</v>
      </c>
      <c r="B241" s="152">
        <f>$B$20</f>
        <v>46274</v>
      </c>
      <c r="C241">
        <f>IF($A241&gt;$B$9,"",IF(COUNTIFS(Base!$B$3:$B$5001,C$232,Base!$A$3:$A$5001,"&gt;="&amp;$C$7,Base!$A$3:$A$5001,"&lt;="&amp;$B241,Base!$Z$3:$Z$5001,"&lt;&gt;")=0,"",SUMIFS(Base!$Z$3:$Z$5001,Base!$B$3:$B$5001,C$232,Base!$A$3:$A$5001,_xlfn.MAXIFS(Base!$A$3:$A$5001,Base!$B$3:$B$5001,C$232,Base!$A$3:$A$5001,"&gt;="&amp;$C$7,Base!$A$3:$A$5001,"&lt;="&amp;$B241,Base!$Z$3:$Z$5001,"&lt;&gt;"))))</f>
        <v>6</v>
      </c>
      <c r="D241">
        <f>IF($A241&gt;$B$9,"",IF(COUNTIFS(Base!$B$3:$B$5001,D$232,Base!$A$3:$A$5001,"&gt;="&amp;$C$7,Base!$A$3:$A$5001,"&lt;="&amp;$B241,Base!$Z$3:$Z$5001,"&lt;&gt;")=0,"",SUMIFS(Base!$Z$3:$Z$5001,Base!$B$3:$B$5001,D$232,Base!$A$3:$A$5001,_xlfn.MAXIFS(Base!$A$3:$A$5001,Base!$B$3:$B$5001,D$232,Base!$A$3:$A$5001,"&gt;="&amp;$C$7,Base!$A$3:$A$5001,"&lt;="&amp;$B241,Base!$Z$3:$Z$5001,"&lt;&gt;"))))</f>
        <v>11</v>
      </c>
      <c r="E241">
        <f>IF($A241&gt;$B$9,"",IF(COUNTIFS(Base!$B$3:$B$5001,E$232,Base!$A$3:$A$5001,"&gt;="&amp;$C$7,Base!$A$3:$A$5001,"&lt;="&amp;$B241,Base!$Z$3:$Z$5001,"&lt;&gt;")=0,"",SUMIFS(Base!$Z$3:$Z$5001,Base!$B$3:$B$5001,E$232,Base!$A$3:$A$5001,_xlfn.MAXIFS(Base!$A$3:$A$5001,Base!$B$3:$B$5001,E$232,Base!$A$3:$A$5001,"&gt;="&amp;$C$7,Base!$A$3:$A$5001,"&lt;="&amp;$B241,Base!$Z$3:$Z$5001,"&lt;&gt;"))))</f>
        <v>4</v>
      </c>
      <c r="F241">
        <f>IF($A241&gt;$B$9,"",IF(COUNTIFS(Base!$B$3:$B$5001,F$232,Base!$A$3:$A$5001,"&gt;="&amp;$C$7,Base!$A$3:$A$5001,"&lt;="&amp;$B241,Base!$Z$3:$Z$5001,"&lt;&gt;")=0,"",SUMIFS(Base!$Z$3:$Z$5001,Base!$B$3:$B$5001,F$232,Base!$A$3:$A$5001,_xlfn.MAXIFS(Base!$A$3:$A$5001,Base!$B$3:$B$5001,F$232,Base!$A$3:$A$5001,"&gt;="&amp;$C$7,Base!$A$3:$A$5001,"&lt;="&amp;$B241,Base!$Z$3:$Z$5001,"&lt;&gt;"))))</f>
        <v>14</v>
      </c>
      <c r="G241">
        <f>IF($A241&gt;$B$9,"",IF(COUNTIFS(Base!$B$3:$B$5001,G$232,Base!$A$3:$A$5001,"&gt;="&amp;$C$7,Base!$A$3:$A$5001,"&lt;="&amp;$B241,Base!$Z$3:$Z$5001,"&lt;&gt;")=0,"",SUMIFS(Base!$Z$3:$Z$5001,Base!$B$3:$B$5001,G$232,Base!$A$3:$A$5001,_xlfn.MAXIFS(Base!$A$3:$A$5001,Base!$B$3:$B$5001,G$232,Base!$A$3:$A$5001,"&gt;="&amp;$C$7,Base!$A$3:$A$5001,"&lt;="&amp;$B241,Base!$Z$3:$Z$5001,"&lt;&gt;"))))</f>
        <v>12</v>
      </c>
      <c r="H241">
        <f>IF($A241&gt;$B$9,"",IF(COUNTIFS(Base!$B$3:$B$5001,H$232,Base!$A$3:$A$5001,"&gt;="&amp;$C$7,Base!$A$3:$A$5001,"&lt;="&amp;$B241,Base!$Z$3:$Z$5001,"&lt;&gt;")=0,"",SUMIFS(Base!$Z$3:$Z$5001,Base!$B$3:$B$5001,H$232,Base!$A$3:$A$5001,_xlfn.MAXIFS(Base!$A$3:$A$5001,Base!$B$3:$B$5001,H$232,Base!$A$3:$A$5001,"&gt;="&amp;$C$7,Base!$A$3:$A$5001,"&lt;="&amp;$B241,Base!$Z$3:$Z$5001,"&lt;&gt;"))))</f>
        <v>11</v>
      </c>
      <c r="I241">
        <f>IF($A241&gt;$B$9,"",IF(COUNTIFS(Base!$B$3:$B$5001,I$232,Base!$A$3:$A$5001,"&gt;="&amp;$C$7,Base!$A$3:$A$5001,"&lt;="&amp;$B241,Base!$Z$3:$Z$5001,"&lt;&gt;")=0,"",SUMIFS(Base!$Z$3:$Z$5001,Base!$B$3:$B$5001,I$232,Base!$A$3:$A$5001,_xlfn.MAXIFS(Base!$A$3:$A$5001,Base!$B$3:$B$5001,I$232,Base!$A$3:$A$5001,"&gt;="&amp;$C$7,Base!$A$3:$A$5001,"&lt;="&amp;$B241,Base!$Z$3:$Z$5001,"&lt;&gt;"))))</f>
        <v>12</v>
      </c>
      <c r="J241">
        <f>IF($A241&gt;$B$9,"",IF(COUNTIFS(Base!$B$3:$B$5001,J$232,Base!$A$3:$A$5001,"&gt;="&amp;$C$7,Base!$A$3:$A$5001,"&lt;="&amp;$B241,Base!$Z$3:$Z$5001,"&lt;&gt;")=0,"",SUMIFS(Base!$Z$3:$Z$5001,Base!$B$3:$B$5001,J$232,Base!$A$3:$A$5001,_xlfn.MAXIFS(Base!$A$3:$A$5001,Base!$B$3:$B$5001,J$232,Base!$A$3:$A$5001,"&gt;="&amp;$C$7,Base!$A$3:$A$5001,"&lt;="&amp;$B241,Base!$Z$3:$Z$5001,"&lt;&gt;"))))</f>
        <v>14</v>
      </c>
      <c r="K241">
        <f>IF($A241&gt;$B$9,"",IF(COUNTIFS(Base!$B$3:$B$5001,K$232,Base!$A$3:$A$5001,"&gt;="&amp;$C$7,Base!$A$3:$A$5001,"&lt;="&amp;$B241,Base!$Z$3:$Z$5001,"&lt;&gt;")=0,"",SUMIFS(Base!$Z$3:$Z$5001,Base!$B$3:$B$5001,K$232,Base!$A$3:$A$5001,_xlfn.MAXIFS(Base!$A$3:$A$5001,Base!$B$3:$B$5001,K$232,Base!$A$3:$A$5001,"&gt;="&amp;$C$7,Base!$A$3:$A$5001,"&lt;="&amp;$B241,Base!$Z$3:$Z$5001,"&lt;&gt;"))))</f>
        <v>7</v>
      </c>
    </row>
    <row r="242">
      <c r="A242">
        <v>10</v>
      </c>
      <c r="B242" s="152">
        <f>$B$21</f>
        <v>46275</v>
      </c>
      <c r="C242">
        <f>IF($A242&gt;$B$9,"",IF(COUNTIFS(Base!$B$3:$B$5001,C$232,Base!$A$3:$A$5001,"&gt;="&amp;$C$7,Base!$A$3:$A$5001,"&lt;="&amp;$B242,Base!$Z$3:$Z$5001,"&lt;&gt;")=0,"",SUMIFS(Base!$Z$3:$Z$5001,Base!$B$3:$B$5001,C$232,Base!$A$3:$A$5001,_xlfn.MAXIFS(Base!$A$3:$A$5001,Base!$B$3:$B$5001,C$232,Base!$A$3:$A$5001,"&gt;="&amp;$C$7,Base!$A$3:$A$5001,"&lt;="&amp;$B242,Base!$Z$3:$Z$5001,"&lt;&gt;"))))</f>
        <v>11</v>
      </c>
      <c r="D242">
        <f>IF($A242&gt;$B$9,"",IF(COUNTIFS(Base!$B$3:$B$5001,D$232,Base!$A$3:$A$5001,"&gt;="&amp;$C$7,Base!$A$3:$A$5001,"&lt;="&amp;$B242,Base!$Z$3:$Z$5001,"&lt;&gt;")=0,"",SUMIFS(Base!$Z$3:$Z$5001,Base!$B$3:$B$5001,D$232,Base!$A$3:$A$5001,_xlfn.MAXIFS(Base!$A$3:$A$5001,Base!$B$3:$B$5001,D$232,Base!$A$3:$A$5001,"&gt;="&amp;$C$7,Base!$A$3:$A$5001,"&lt;="&amp;$B242,Base!$Z$3:$Z$5001,"&lt;&gt;"))))</f>
        <v>10</v>
      </c>
      <c r="E242">
        <f>IF($A242&gt;$B$9,"",IF(COUNTIFS(Base!$B$3:$B$5001,E$232,Base!$A$3:$A$5001,"&gt;="&amp;$C$7,Base!$A$3:$A$5001,"&lt;="&amp;$B242,Base!$Z$3:$Z$5001,"&lt;&gt;")=0,"",SUMIFS(Base!$Z$3:$Z$5001,Base!$B$3:$B$5001,E$232,Base!$A$3:$A$5001,_xlfn.MAXIFS(Base!$A$3:$A$5001,Base!$B$3:$B$5001,E$232,Base!$A$3:$A$5001,"&gt;="&amp;$C$7,Base!$A$3:$A$5001,"&lt;="&amp;$B242,Base!$Z$3:$Z$5001,"&lt;&gt;"))))</f>
        <v>8</v>
      </c>
      <c r="F242">
        <f>IF($A242&gt;$B$9,"",IF(COUNTIFS(Base!$B$3:$B$5001,F$232,Base!$A$3:$A$5001,"&gt;="&amp;$C$7,Base!$A$3:$A$5001,"&lt;="&amp;$B242,Base!$Z$3:$Z$5001,"&lt;&gt;")=0,"",SUMIFS(Base!$Z$3:$Z$5001,Base!$B$3:$B$5001,F$232,Base!$A$3:$A$5001,_xlfn.MAXIFS(Base!$A$3:$A$5001,Base!$B$3:$B$5001,F$232,Base!$A$3:$A$5001,"&gt;="&amp;$C$7,Base!$A$3:$A$5001,"&lt;="&amp;$B242,Base!$Z$3:$Z$5001,"&lt;&gt;"))))</f>
        <v>8</v>
      </c>
      <c r="G242">
        <f>IF($A242&gt;$B$9,"",IF(COUNTIFS(Base!$B$3:$B$5001,G$232,Base!$A$3:$A$5001,"&gt;="&amp;$C$7,Base!$A$3:$A$5001,"&lt;="&amp;$B242,Base!$Z$3:$Z$5001,"&lt;&gt;")=0,"",SUMIFS(Base!$Z$3:$Z$5001,Base!$B$3:$B$5001,G$232,Base!$A$3:$A$5001,_xlfn.MAXIFS(Base!$A$3:$A$5001,Base!$B$3:$B$5001,G$232,Base!$A$3:$A$5001,"&gt;="&amp;$C$7,Base!$A$3:$A$5001,"&lt;="&amp;$B242,Base!$Z$3:$Z$5001,"&lt;&gt;"))))</f>
        <v>4</v>
      </c>
      <c r="H242">
        <f>IF($A242&gt;$B$9,"",IF(COUNTIFS(Base!$B$3:$B$5001,H$232,Base!$A$3:$A$5001,"&gt;="&amp;$C$7,Base!$A$3:$A$5001,"&lt;="&amp;$B242,Base!$Z$3:$Z$5001,"&lt;&gt;")=0,"",SUMIFS(Base!$Z$3:$Z$5001,Base!$B$3:$B$5001,H$232,Base!$A$3:$A$5001,_xlfn.MAXIFS(Base!$A$3:$A$5001,Base!$B$3:$B$5001,H$232,Base!$A$3:$A$5001,"&gt;="&amp;$C$7,Base!$A$3:$A$5001,"&lt;="&amp;$B242,Base!$Z$3:$Z$5001,"&lt;&gt;"))))</f>
        <v>4</v>
      </c>
      <c r="I242">
        <f>IF($A242&gt;$B$9,"",IF(COUNTIFS(Base!$B$3:$B$5001,I$232,Base!$A$3:$A$5001,"&gt;="&amp;$C$7,Base!$A$3:$A$5001,"&lt;="&amp;$B242,Base!$Z$3:$Z$5001,"&lt;&gt;")=0,"",SUMIFS(Base!$Z$3:$Z$5001,Base!$B$3:$B$5001,I$232,Base!$A$3:$A$5001,_xlfn.MAXIFS(Base!$A$3:$A$5001,Base!$B$3:$B$5001,I$232,Base!$A$3:$A$5001,"&gt;="&amp;$C$7,Base!$A$3:$A$5001,"&lt;="&amp;$B242,Base!$Z$3:$Z$5001,"&lt;&gt;"))))</f>
        <v>13</v>
      </c>
      <c r="J242">
        <f>IF($A242&gt;$B$9,"",IF(COUNTIFS(Base!$B$3:$B$5001,J$232,Base!$A$3:$A$5001,"&gt;="&amp;$C$7,Base!$A$3:$A$5001,"&lt;="&amp;$B242,Base!$Z$3:$Z$5001,"&lt;&gt;")=0,"",SUMIFS(Base!$Z$3:$Z$5001,Base!$B$3:$B$5001,J$232,Base!$A$3:$A$5001,_xlfn.MAXIFS(Base!$A$3:$A$5001,Base!$B$3:$B$5001,J$232,Base!$A$3:$A$5001,"&gt;="&amp;$C$7,Base!$A$3:$A$5001,"&lt;="&amp;$B242,Base!$Z$3:$Z$5001,"&lt;&gt;"))))</f>
        <v>14</v>
      </c>
      <c r="K242">
        <f>IF($A242&gt;$B$9,"",IF(COUNTIFS(Base!$B$3:$B$5001,K$232,Base!$A$3:$A$5001,"&gt;="&amp;$C$7,Base!$A$3:$A$5001,"&lt;="&amp;$B242,Base!$Z$3:$Z$5001,"&lt;&gt;")=0,"",SUMIFS(Base!$Z$3:$Z$5001,Base!$B$3:$B$5001,K$232,Base!$A$3:$A$5001,_xlfn.MAXIFS(Base!$A$3:$A$5001,Base!$B$3:$B$5001,K$232,Base!$A$3:$A$5001,"&gt;="&amp;$C$7,Base!$A$3:$A$5001,"&lt;="&amp;$B242,Base!$Z$3:$Z$5001,"&lt;&gt;"))))</f>
        <v>5</v>
      </c>
    </row>
    <row r="243">
      <c r="A243">
        <v>11</v>
      </c>
      <c r="B243" s="152">
        <f>$B$22</f>
        <v>46276</v>
      </c>
      <c r="C243">
        <f>IF($A243&gt;$B$9,"",IF(COUNTIFS(Base!$B$3:$B$5001,C$232,Base!$A$3:$A$5001,"&gt;="&amp;$C$7,Base!$A$3:$A$5001,"&lt;="&amp;$B243,Base!$Z$3:$Z$5001,"&lt;&gt;")=0,"",SUMIFS(Base!$Z$3:$Z$5001,Base!$B$3:$B$5001,C$232,Base!$A$3:$A$5001,_xlfn.MAXIFS(Base!$A$3:$A$5001,Base!$B$3:$B$5001,C$232,Base!$A$3:$A$5001,"&gt;="&amp;$C$7,Base!$A$3:$A$5001,"&lt;="&amp;$B243,Base!$Z$3:$Z$5001,"&lt;&gt;"))))</f>
        <v>10</v>
      </c>
      <c r="D243">
        <f>IF($A243&gt;$B$9,"",IF(COUNTIFS(Base!$B$3:$B$5001,D$232,Base!$A$3:$A$5001,"&gt;="&amp;$C$7,Base!$A$3:$A$5001,"&lt;="&amp;$B243,Base!$Z$3:$Z$5001,"&lt;&gt;")=0,"",SUMIFS(Base!$Z$3:$Z$5001,Base!$B$3:$B$5001,D$232,Base!$A$3:$A$5001,_xlfn.MAXIFS(Base!$A$3:$A$5001,Base!$B$3:$B$5001,D$232,Base!$A$3:$A$5001,"&gt;="&amp;$C$7,Base!$A$3:$A$5001,"&lt;="&amp;$B243,Base!$Z$3:$Z$5001,"&lt;&gt;"))))</f>
        <v>14</v>
      </c>
      <c r="E243">
        <f>IF($A243&gt;$B$9,"",IF(COUNTIFS(Base!$B$3:$B$5001,E$232,Base!$A$3:$A$5001,"&gt;="&amp;$C$7,Base!$A$3:$A$5001,"&lt;="&amp;$B243,Base!$Z$3:$Z$5001,"&lt;&gt;")=0,"",SUMIFS(Base!$Z$3:$Z$5001,Base!$B$3:$B$5001,E$232,Base!$A$3:$A$5001,_xlfn.MAXIFS(Base!$A$3:$A$5001,Base!$B$3:$B$5001,E$232,Base!$A$3:$A$5001,"&gt;="&amp;$C$7,Base!$A$3:$A$5001,"&lt;="&amp;$B243,Base!$Z$3:$Z$5001,"&lt;&gt;"))))</f>
        <v>10</v>
      </c>
      <c r="F243">
        <f>IF($A243&gt;$B$9,"",IF(COUNTIFS(Base!$B$3:$B$5001,F$232,Base!$A$3:$A$5001,"&gt;="&amp;$C$7,Base!$A$3:$A$5001,"&lt;="&amp;$B243,Base!$Z$3:$Z$5001,"&lt;&gt;")=0,"",SUMIFS(Base!$Z$3:$Z$5001,Base!$B$3:$B$5001,F$232,Base!$A$3:$A$5001,_xlfn.MAXIFS(Base!$A$3:$A$5001,Base!$B$3:$B$5001,F$232,Base!$A$3:$A$5001,"&gt;="&amp;$C$7,Base!$A$3:$A$5001,"&lt;="&amp;$B243,Base!$Z$3:$Z$5001,"&lt;&gt;"))))</f>
        <v>6</v>
      </c>
      <c r="G243">
        <f>IF($A243&gt;$B$9,"",IF(COUNTIFS(Base!$B$3:$B$5001,G$232,Base!$A$3:$A$5001,"&gt;="&amp;$C$7,Base!$A$3:$A$5001,"&lt;="&amp;$B243,Base!$Z$3:$Z$5001,"&lt;&gt;")=0,"",SUMIFS(Base!$Z$3:$Z$5001,Base!$B$3:$B$5001,G$232,Base!$A$3:$A$5001,_xlfn.MAXIFS(Base!$A$3:$A$5001,Base!$B$3:$B$5001,G$232,Base!$A$3:$A$5001,"&gt;="&amp;$C$7,Base!$A$3:$A$5001,"&lt;="&amp;$B243,Base!$Z$3:$Z$5001,"&lt;&gt;"))))</f>
        <v>12</v>
      </c>
      <c r="H243">
        <f>IF($A243&gt;$B$9,"",IF(COUNTIFS(Base!$B$3:$B$5001,H$232,Base!$A$3:$A$5001,"&gt;="&amp;$C$7,Base!$A$3:$A$5001,"&lt;="&amp;$B243,Base!$Z$3:$Z$5001,"&lt;&gt;")=0,"",SUMIFS(Base!$Z$3:$Z$5001,Base!$B$3:$B$5001,H$232,Base!$A$3:$A$5001,_xlfn.MAXIFS(Base!$A$3:$A$5001,Base!$B$3:$B$5001,H$232,Base!$A$3:$A$5001,"&gt;="&amp;$C$7,Base!$A$3:$A$5001,"&lt;="&amp;$B243,Base!$Z$3:$Z$5001,"&lt;&gt;"))))</f>
        <v>8</v>
      </c>
      <c r="I243">
        <f>IF($A243&gt;$B$9,"",IF(COUNTIFS(Base!$B$3:$B$5001,I$232,Base!$A$3:$A$5001,"&gt;="&amp;$C$7,Base!$A$3:$A$5001,"&lt;="&amp;$B243,Base!$Z$3:$Z$5001,"&lt;&gt;")=0,"",SUMIFS(Base!$Z$3:$Z$5001,Base!$B$3:$B$5001,I$232,Base!$A$3:$A$5001,_xlfn.MAXIFS(Base!$A$3:$A$5001,Base!$B$3:$B$5001,I$232,Base!$A$3:$A$5001,"&gt;="&amp;$C$7,Base!$A$3:$A$5001,"&lt;="&amp;$B243,Base!$Z$3:$Z$5001,"&lt;&gt;"))))</f>
        <v>8</v>
      </c>
      <c r="J243">
        <f>IF($A243&gt;$B$9,"",IF(COUNTIFS(Base!$B$3:$B$5001,J$232,Base!$A$3:$A$5001,"&gt;="&amp;$C$7,Base!$A$3:$A$5001,"&lt;="&amp;$B243,Base!$Z$3:$Z$5001,"&lt;&gt;")=0,"",SUMIFS(Base!$Z$3:$Z$5001,Base!$B$3:$B$5001,J$232,Base!$A$3:$A$5001,_xlfn.MAXIFS(Base!$A$3:$A$5001,Base!$B$3:$B$5001,J$232,Base!$A$3:$A$5001,"&gt;="&amp;$C$7,Base!$A$3:$A$5001,"&lt;="&amp;$B243,Base!$Z$3:$Z$5001,"&lt;&gt;"))))</f>
        <v>10</v>
      </c>
      <c r="K243">
        <f>IF($A243&gt;$B$9,"",IF(COUNTIFS(Base!$B$3:$B$5001,K$232,Base!$A$3:$A$5001,"&gt;="&amp;$C$7,Base!$A$3:$A$5001,"&lt;="&amp;$B243,Base!$Z$3:$Z$5001,"&lt;&gt;")=0,"",SUMIFS(Base!$Z$3:$Z$5001,Base!$B$3:$B$5001,K$232,Base!$A$3:$A$5001,_xlfn.MAXIFS(Base!$A$3:$A$5001,Base!$B$3:$B$5001,K$232,Base!$A$3:$A$5001,"&gt;="&amp;$C$7,Base!$A$3:$A$5001,"&lt;="&amp;$B243,Base!$Z$3:$Z$5001,"&lt;&gt;"))))</f>
        <v>6</v>
      </c>
    </row>
    <row r="244">
      <c r="A244">
        <v>12</v>
      </c>
      <c r="B244" s="152">
        <f>$B$23</f>
        <v>46277</v>
      </c>
      <c r="C244">
        <f>IF($A244&gt;$B$9,"",IF(COUNTIFS(Base!$B$3:$B$5001,C$232,Base!$A$3:$A$5001,"&gt;="&amp;$C$7,Base!$A$3:$A$5001,"&lt;="&amp;$B244,Base!$Z$3:$Z$5001,"&lt;&gt;")=0,"",SUMIFS(Base!$Z$3:$Z$5001,Base!$B$3:$B$5001,C$232,Base!$A$3:$A$5001,_xlfn.MAXIFS(Base!$A$3:$A$5001,Base!$B$3:$B$5001,C$232,Base!$A$3:$A$5001,"&gt;="&amp;$C$7,Base!$A$3:$A$5001,"&lt;="&amp;$B244,Base!$Z$3:$Z$5001,"&lt;&gt;"))))</f>
        <v>6</v>
      </c>
      <c r="D244">
        <f>IF($A244&gt;$B$9,"",IF(COUNTIFS(Base!$B$3:$B$5001,D$232,Base!$A$3:$A$5001,"&gt;="&amp;$C$7,Base!$A$3:$A$5001,"&lt;="&amp;$B244,Base!$Z$3:$Z$5001,"&lt;&gt;")=0,"",SUMIFS(Base!$Z$3:$Z$5001,Base!$B$3:$B$5001,D$232,Base!$A$3:$A$5001,_xlfn.MAXIFS(Base!$A$3:$A$5001,Base!$B$3:$B$5001,D$232,Base!$A$3:$A$5001,"&gt;="&amp;$C$7,Base!$A$3:$A$5001,"&lt;="&amp;$B244,Base!$Z$3:$Z$5001,"&lt;&gt;"))))</f>
        <v>5</v>
      </c>
      <c r="E244">
        <f>IF($A244&gt;$B$9,"",IF(COUNTIFS(Base!$B$3:$B$5001,E$232,Base!$A$3:$A$5001,"&gt;="&amp;$C$7,Base!$A$3:$A$5001,"&lt;="&amp;$B244,Base!$Z$3:$Z$5001,"&lt;&gt;")=0,"",SUMIFS(Base!$Z$3:$Z$5001,Base!$B$3:$B$5001,E$232,Base!$A$3:$A$5001,_xlfn.MAXIFS(Base!$A$3:$A$5001,Base!$B$3:$B$5001,E$232,Base!$A$3:$A$5001,"&gt;="&amp;$C$7,Base!$A$3:$A$5001,"&lt;="&amp;$B244,Base!$Z$3:$Z$5001,"&lt;&gt;"))))</f>
        <v>7</v>
      </c>
      <c r="F244">
        <f>IF($A244&gt;$B$9,"",IF(COUNTIFS(Base!$B$3:$B$5001,F$232,Base!$A$3:$A$5001,"&gt;="&amp;$C$7,Base!$A$3:$A$5001,"&lt;="&amp;$B244,Base!$Z$3:$Z$5001,"&lt;&gt;")=0,"",SUMIFS(Base!$Z$3:$Z$5001,Base!$B$3:$B$5001,F$232,Base!$A$3:$A$5001,_xlfn.MAXIFS(Base!$A$3:$A$5001,Base!$B$3:$B$5001,F$232,Base!$A$3:$A$5001,"&gt;="&amp;$C$7,Base!$A$3:$A$5001,"&lt;="&amp;$B244,Base!$Z$3:$Z$5001,"&lt;&gt;"))))</f>
        <v>6</v>
      </c>
      <c r="G244">
        <f>IF($A244&gt;$B$9,"",IF(COUNTIFS(Base!$B$3:$B$5001,G$232,Base!$A$3:$A$5001,"&gt;="&amp;$C$7,Base!$A$3:$A$5001,"&lt;="&amp;$B244,Base!$Z$3:$Z$5001,"&lt;&gt;")=0,"",SUMIFS(Base!$Z$3:$Z$5001,Base!$B$3:$B$5001,G$232,Base!$A$3:$A$5001,_xlfn.MAXIFS(Base!$A$3:$A$5001,Base!$B$3:$B$5001,G$232,Base!$A$3:$A$5001,"&gt;="&amp;$C$7,Base!$A$3:$A$5001,"&lt;="&amp;$B244,Base!$Z$3:$Z$5001,"&lt;&gt;"))))</f>
        <v>5</v>
      </c>
      <c r="H244">
        <f>IF($A244&gt;$B$9,"",IF(COUNTIFS(Base!$B$3:$B$5001,H$232,Base!$A$3:$A$5001,"&gt;="&amp;$C$7,Base!$A$3:$A$5001,"&lt;="&amp;$B244,Base!$Z$3:$Z$5001,"&lt;&gt;")=0,"",SUMIFS(Base!$Z$3:$Z$5001,Base!$B$3:$B$5001,H$232,Base!$A$3:$A$5001,_xlfn.MAXIFS(Base!$A$3:$A$5001,Base!$B$3:$B$5001,H$232,Base!$A$3:$A$5001,"&gt;="&amp;$C$7,Base!$A$3:$A$5001,"&lt;="&amp;$B244,Base!$Z$3:$Z$5001,"&lt;&gt;"))))</f>
        <v>4</v>
      </c>
      <c r="I244">
        <f>IF($A244&gt;$B$9,"",IF(COUNTIFS(Base!$B$3:$B$5001,I$232,Base!$A$3:$A$5001,"&gt;="&amp;$C$7,Base!$A$3:$A$5001,"&lt;="&amp;$B244,Base!$Z$3:$Z$5001,"&lt;&gt;")=0,"",SUMIFS(Base!$Z$3:$Z$5001,Base!$B$3:$B$5001,I$232,Base!$A$3:$A$5001,_xlfn.MAXIFS(Base!$A$3:$A$5001,Base!$B$3:$B$5001,I$232,Base!$A$3:$A$5001,"&gt;="&amp;$C$7,Base!$A$3:$A$5001,"&lt;="&amp;$B244,Base!$Z$3:$Z$5001,"&lt;&gt;"))))</f>
        <v>13</v>
      </c>
      <c r="J244">
        <f>IF($A244&gt;$B$9,"",IF(COUNTIFS(Base!$B$3:$B$5001,J$232,Base!$A$3:$A$5001,"&gt;="&amp;$C$7,Base!$A$3:$A$5001,"&lt;="&amp;$B244,Base!$Z$3:$Z$5001,"&lt;&gt;")=0,"",SUMIFS(Base!$Z$3:$Z$5001,Base!$B$3:$B$5001,J$232,Base!$A$3:$A$5001,_xlfn.MAXIFS(Base!$A$3:$A$5001,Base!$B$3:$B$5001,J$232,Base!$A$3:$A$5001,"&gt;="&amp;$C$7,Base!$A$3:$A$5001,"&lt;="&amp;$B244,Base!$Z$3:$Z$5001,"&lt;&gt;"))))</f>
        <v>6</v>
      </c>
      <c r="K244">
        <f>IF($A244&gt;$B$9,"",IF(COUNTIFS(Base!$B$3:$B$5001,K$232,Base!$A$3:$A$5001,"&gt;="&amp;$C$7,Base!$A$3:$A$5001,"&lt;="&amp;$B244,Base!$Z$3:$Z$5001,"&lt;&gt;")=0,"",SUMIFS(Base!$Z$3:$Z$5001,Base!$B$3:$B$5001,K$232,Base!$A$3:$A$5001,_xlfn.MAXIFS(Base!$A$3:$A$5001,Base!$B$3:$B$5001,K$232,Base!$A$3:$A$5001,"&gt;="&amp;$C$7,Base!$A$3:$A$5001,"&lt;="&amp;$B244,Base!$Z$3:$Z$5001,"&lt;&gt;"))))</f>
        <v>11</v>
      </c>
    </row>
    <row r="245">
      <c r="A245">
        <v>13</v>
      </c>
      <c r="B245" s="152">
        <f>$B$24</f>
        <v>46278</v>
      </c>
      <c r="C245">
        <f>IF($A245&gt;$B$9,"",IF(COUNTIFS(Base!$B$3:$B$5001,C$232,Base!$A$3:$A$5001,"&gt;="&amp;$C$7,Base!$A$3:$A$5001,"&lt;="&amp;$B245,Base!$Z$3:$Z$5001,"&lt;&gt;")=0,"",SUMIFS(Base!$Z$3:$Z$5001,Base!$B$3:$B$5001,C$232,Base!$A$3:$A$5001,_xlfn.MAXIFS(Base!$A$3:$A$5001,Base!$B$3:$B$5001,C$232,Base!$A$3:$A$5001,"&gt;="&amp;$C$7,Base!$A$3:$A$5001,"&lt;="&amp;$B245,Base!$Z$3:$Z$5001,"&lt;&gt;"))))</f>
        <v>6</v>
      </c>
      <c r="D245">
        <f>IF($A245&gt;$B$9,"",IF(COUNTIFS(Base!$B$3:$B$5001,D$232,Base!$A$3:$A$5001,"&gt;="&amp;$C$7,Base!$A$3:$A$5001,"&lt;="&amp;$B245,Base!$Z$3:$Z$5001,"&lt;&gt;")=0,"",SUMIFS(Base!$Z$3:$Z$5001,Base!$B$3:$B$5001,D$232,Base!$A$3:$A$5001,_xlfn.MAXIFS(Base!$A$3:$A$5001,Base!$B$3:$B$5001,D$232,Base!$A$3:$A$5001,"&gt;="&amp;$C$7,Base!$A$3:$A$5001,"&lt;="&amp;$B245,Base!$Z$3:$Z$5001,"&lt;&gt;"))))</f>
        <v>5</v>
      </c>
      <c r="E245">
        <f>IF($A245&gt;$B$9,"",IF(COUNTIFS(Base!$B$3:$B$5001,E$232,Base!$A$3:$A$5001,"&gt;="&amp;$C$7,Base!$A$3:$A$5001,"&lt;="&amp;$B245,Base!$Z$3:$Z$5001,"&lt;&gt;")=0,"",SUMIFS(Base!$Z$3:$Z$5001,Base!$B$3:$B$5001,E$232,Base!$A$3:$A$5001,_xlfn.MAXIFS(Base!$A$3:$A$5001,Base!$B$3:$B$5001,E$232,Base!$A$3:$A$5001,"&gt;="&amp;$C$7,Base!$A$3:$A$5001,"&lt;="&amp;$B245,Base!$Z$3:$Z$5001,"&lt;&gt;"))))</f>
        <v>7</v>
      </c>
      <c r="F245">
        <f>IF($A245&gt;$B$9,"",IF(COUNTIFS(Base!$B$3:$B$5001,F$232,Base!$A$3:$A$5001,"&gt;="&amp;$C$7,Base!$A$3:$A$5001,"&lt;="&amp;$B245,Base!$Z$3:$Z$5001,"&lt;&gt;")=0,"",SUMIFS(Base!$Z$3:$Z$5001,Base!$B$3:$B$5001,F$232,Base!$A$3:$A$5001,_xlfn.MAXIFS(Base!$A$3:$A$5001,Base!$B$3:$B$5001,F$232,Base!$A$3:$A$5001,"&gt;="&amp;$C$7,Base!$A$3:$A$5001,"&lt;="&amp;$B245,Base!$Z$3:$Z$5001,"&lt;&gt;"))))</f>
        <v>6</v>
      </c>
      <c r="G245">
        <f>IF($A245&gt;$B$9,"",IF(COUNTIFS(Base!$B$3:$B$5001,G$232,Base!$A$3:$A$5001,"&gt;="&amp;$C$7,Base!$A$3:$A$5001,"&lt;="&amp;$B245,Base!$Z$3:$Z$5001,"&lt;&gt;")=0,"",SUMIFS(Base!$Z$3:$Z$5001,Base!$B$3:$B$5001,G$232,Base!$A$3:$A$5001,_xlfn.MAXIFS(Base!$A$3:$A$5001,Base!$B$3:$B$5001,G$232,Base!$A$3:$A$5001,"&gt;="&amp;$C$7,Base!$A$3:$A$5001,"&lt;="&amp;$B245,Base!$Z$3:$Z$5001,"&lt;&gt;"))))</f>
        <v>5</v>
      </c>
      <c r="H245">
        <f>IF($A245&gt;$B$9,"",IF(COUNTIFS(Base!$B$3:$B$5001,H$232,Base!$A$3:$A$5001,"&gt;="&amp;$C$7,Base!$A$3:$A$5001,"&lt;="&amp;$B245,Base!$Z$3:$Z$5001,"&lt;&gt;")=0,"",SUMIFS(Base!$Z$3:$Z$5001,Base!$B$3:$B$5001,H$232,Base!$A$3:$A$5001,_xlfn.MAXIFS(Base!$A$3:$A$5001,Base!$B$3:$B$5001,H$232,Base!$A$3:$A$5001,"&gt;="&amp;$C$7,Base!$A$3:$A$5001,"&lt;="&amp;$B245,Base!$Z$3:$Z$5001,"&lt;&gt;"))))</f>
        <v>4</v>
      </c>
      <c r="I245">
        <f>IF($A245&gt;$B$9,"",IF(COUNTIFS(Base!$B$3:$B$5001,I$232,Base!$A$3:$A$5001,"&gt;="&amp;$C$7,Base!$A$3:$A$5001,"&lt;="&amp;$B245,Base!$Z$3:$Z$5001,"&lt;&gt;")=0,"",SUMIFS(Base!$Z$3:$Z$5001,Base!$B$3:$B$5001,I$232,Base!$A$3:$A$5001,_xlfn.MAXIFS(Base!$A$3:$A$5001,Base!$B$3:$B$5001,I$232,Base!$A$3:$A$5001,"&gt;="&amp;$C$7,Base!$A$3:$A$5001,"&lt;="&amp;$B245,Base!$Z$3:$Z$5001,"&lt;&gt;"))))</f>
        <v>13</v>
      </c>
      <c r="J245">
        <f>IF($A245&gt;$B$9,"",IF(COUNTIFS(Base!$B$3:$B$5001,J$232,Base!$A$3:$A$5001,"&gt;="&amp;$C$7,Base!$A$3:$A$5001,"&lt;="&amp;$B245,Base!$Z$3:$Z$5001,"&lt;&gt;")=0,"",SUMIFS(Base!$Z$3:$Z$5001,Base!$B$3:$B$5001,J$232,Base!$A$3:$A$5001,_xlfn.MAXIFS(Base!$A$3:$A$5001,Base!$B$3:$B$5001,J$232,Base!$A$3:$A$5001,"&gt;="&amp;$C$7,Base!$A$3:$A$5001,"&lt;="&amp;$B245,Base!$Z$3:$Z$5001,"&lt;&gt;"))))</f>
        <v>6</v>
      </c>
      <c r="K245">
        <f>IF($A245&gt;$B$9,"",IF(COUNTIFS(Base!$B$3:$B$5001,K$232,Base!$A$3:$A$5001,"&gt;="&amp;$C$7,Base!$A$3:$A$5001,"&lt;="&amp;$B245,Base!$Z$3:$Z$5001,"&lt;&gt;")=0,"",SUMIFS(Base!$Z$3:$Z$5001,Base!$B$3:$B$5001,K$232,Base!$A$3:$A$5001,_xlfn.MAXIFS(Base!$A$3:$A$5001,Base!$B$3:$B$5001,K$232,Base!$A$3:$A$5001,"&gt;="&amp;$C$7,Base!$A$3:$A$5001,"&lt;="&amp;$B245,Base!$Z$3:$Z$5001,"&lt;&gt;"))))</f>
        <v>11</v>
      </c>
    </row>
    <row r="246">
      <c r="A246">
        <v>14</v>
      </c>
      <c r="B246" s="152">
        <f>$B$25</f>
        <v>46279</v>
      </c>
      <c r="C246">
        <f>IF($A246&gt;$B$9,"",IF(COUNTIFS(Base!$B$3:$B$5001,C$232,Base!$A$3:$A$5001,"&gt;="&amp;$C$7,Base!$A$3:$A$5001,"&lt;="&amp;$B246,Base!$Z$3:$Z$5001,"&lt;&gt;")=0,"",SUMIFS(Base!$Z$3:$Z$5001,Base!$B$3:$B$5001,C$232,Base!$A$3:$A$5001,_xlfn.MAXIFS(Base!$A$3:$A$5001,Base!$B$3:$B$5001,C$232,Base!$A$3:$A$5001,"&gt;="&amp;$C$7,Base!$A$3:$A$5001,"&lt;="&amp;$B246,Base!$Z$3:$Z$5001,"&lt;&gt;"))))</f>
        <v>8</v>
      </c>
      <c r="D246">
        <f>IF($A246&gt;$B$9,"",IF(COUNTIFS(Base!$B$3:$B$5001,D$232,Base!$A$3:$A$5001,"&gt;="&amp;$C$7,Base!$A$3:$A$5001,"&lt;="&amp;$B246,Base!$Z$3:$Z$5001,"&lt;&gt;")=0,"",SUMIFS(Base!$Z$3:$Z$5001,Base!$B$3:$B$5001,D$232,Base!$A$3:$A$5001,_xlfn.MAXIFS(Base!$A$3:$A$5001,Base!$B$3:$B$5001,D$232,Base!$A$3:$A$5001,"&gt;="&amp;$C$7,Base!$A$3:$A$5001,"&lt;="&amp;$B246,Base!$Z$3:$Z$5001,"&lt;&gt;"))))</f>
        <v>12</v>
      </c>
      <c r="E246">
        <f>IF($A246&gt;$B$9,"",IF(COUNTIFS(Base!$B$3:$B$5001,E$232,Base!$A$3:$A$5001,"&gt;="&amp;$C$7,Base!$A$3:$A$5001,"&lt;="&amp;$B246,Base!$Z$3:$Z$5001,"&lt;&gt;")=0,"",SUMIFS(Base!$Z$3:$Z$5001,Base!$B$3:$B$5001,E$232,Base!$A$3:$A$5001,_xlfn.MAXIFS(Base!$A$3:$A$5001,Base!$B$3:$B$5001,E$232,Base!$A$3:$A$5001,"&gt;="&amp;$C$7,Base!$A$3:$A$5001,"&lt;="&amp;$B246,Base!$Z$3:$Z$5001,"&lt;&gt;"))))</f>
        <v>7</v>
      </c>
      <c r="F246">
        <f>IF($A246&gt;$B$9,"",IF(COUNTIFS(Base!$B$3:$B$5001,F$232,Base!$A$3:$A$5001,"&gt;="&amp;$C$7,Base!$A$3:$A$5001,"&lt;="&amp;$B246,Base!$Z$3:$Z$5001,"&lt;&gt;")=0,"",SUMIFS(Base!$Z$3:$Z$5001,Base!$B$3:$B$5001,F$232,Base!$A$3:$A$5001,_xlfn.MAXIFS(Base!$A$3:$A$5001,Base!$B$3:$B$5001,F$232,Base!$A$3:$A$5001,"&gt;="&amp;$C$7,Base!$A$3:$A$5001,"&lt;="&amp;$B246,Base!$Z$3:$Z$5001,"&lt;&gt;"))))</f>
        <v>11</v>
      </c>
      <c r="G246">
        <f>IF($A246&gt;$B$9,"",IF(COUNTIFS(Base!$B$3:$B$5001,G$232,Base!$A$3:$A$5001,"&gt;="&amp;$C$7,Base!$A$3:$A$5001,"&lt;="&amp;$B246,Base!$Z$3:$Z$5001,"&lt;&gt;")=0,"",SUMIFS(Base!$Z$3:$Z$5001,Base!$B$3:$B$5001,G$232,Base!$A$3:$A$5001,_xlfn.MAXIFS(Base!$A$3:$A$5001,Base!$B$3:$B$5001,G$232,Base!$A$3:$A$5001,"&gt;="&amp;$C$7,Base!$A$3:$A$5001,"&lt;="&amp;$B246,Base!$Z$3:$Z$5001,"&lt;&gt;"))))</f>
        <v>5</v>
      </c>
      <c r="H246">
        <f>IF($A246&gt;$B$9,"",IF(COUNTIFS(Base!$B$3:$B$5001,H$232,Base!$A$3:$A$5001,"&gt;="&amp;$C$7,Base!$A$3:$A$5001,"&lt;="&amp;$B246,Base!$Z$3:$Z$5001,"&lt;&gt;")=0,"",SUMIFS(Base!$Z$3:$Z$5001,Base!$B$3:$B$5001,H$232,Base!$A$3:$A$5001,_xlfn.MAXIFS(Base!$A$3:$A$5001,Base!$B$3:$B$5001,H$232,Base!$A$3:$A$5001,"&gt;="&amp;$C$7,Base!$A$3:$A$5001,"&lt;="&amp;$B246,Base!$Z$3:$Z$5001,"&lt;&gt;"))))</f>
        <v>12</v>
      </c>
      <c r="I246">
        <f>IF($A246&gt;$B$9,"",IF(COUNTIFS(Base!$B$3:$B$5001,I$232,Base!$A$3:$A$5001,"&gt;="&amp;$C$7,Base!$A$3:$A$5001,"&lt;="&amp;$B246,Base!$Z$3:$Z$5001,"&lt;&gt;")=0,"",SUMIFS(Base!$Z$3:$Z$5001,Base!$B$3:$B$5001,I$232,Base!$A$3:$A$5001,_xlfn.MAXIFS(Base!$A$3:$A$5001,Base!$B$3:$B$5001,I$232,Base!$A$3:$A$5001,"&gt;="&amp;$C$7,Base!$A$3:$A$5001,"&lt;="&amp;$B246,Base!$Z$3:$Z$5001,"&lt;&gt;"))))</f>
        <v>5</v>
      </c>
      <c r="J246">
        <f>IF($A246&gt;$B$9,"",IF(COUNTIFS(Base!$B$3:$B$5001,J$232,Base!$A$3:$A$5001,"&gt;="&amp;$C$7,Base!$A$3:$A$5001,"&lt;="&amp;$B246,Base!$Z$3:$Z$5001,"&lt;&gt;")=0,"",SUMIFS(Base!$Z$3:$Z$5001,Base!$B$3:$B$5001,J$232,Base!$A$3:$A$5001,_xlfn.MAXIFS(Base!$A$3:$A$5001,Base!$B$3:$B$5001,J$232,Base!$A$3:$A$5001,"&gt;="&amp;$C$7,Base!$A$3:$A$5001,"&lt;="&amp;$B246,Base!$Z$3:$Z$5001,"&lt;&gt;"))))</f>
        <v>7</v>
      </c>
      <c r="K246">
        <f>IF($A246&gt;$B$9,"",IF(COUNTIFS(Base!$B$3:$B$5001,K$232,Base!$A$3:$A$5001,"&gt;="&amp;$C$7,Base!$A$3:$A$5001,"&lt;="&amp;$B246,Base!$Z$3:$Z$5001,"&lt;&gt;")=0,"",SUMIFS(Base!$Z$3:$Z$5001,Base!$B$3:$B$5001,K$232,Base!$A$3:$A$5001,_xlfn.MAXIFS(Base!$A$3:$A$5001,Base!$B$3:$B$5001,K$232,Base!$A$3:$A$5001,"&gt;="&amp;$C$7,Base!$A$3:$A$5001,"&lt;="&amp;$B246,Base!$Z$3:$Z$5001,"&lt;&gt;"))))</f>
        <v>13</v>
      </c>
    </row>
    <row r="247">
      <c r="A247">
        <v>15</v>
      </c>
      <c r="B247" s="152">
        <f>$B$26</f>
        <v>46280</v>
      </c>
      <c r="C247">
        <f>IF($A247&gt;$B$9,"",IF(COUNTIFS(Base!$B$3:$B$5001,C$232,Base!$A$3:$A$5001,"&gt;="&amp;$C$7,Base!$A$3:$A$5001,"&lt;="&amp;$B247,Base!$Z$3:$Z$5001,"&lt;&gt;")=0,"",SUMIFS(Base!$Z$3:$Z$5001,Base!$B$3:$B$5001,C$232,Base!$A$3:$A$5001,_xlfn.MAXIFS(Base!$A$3:$A$5001,Base!$B$3:$B$5001,C$232,Base!$A$3:$A$5001,"&gt;="&amp;$C$7,Base!$A$3:$A$5001,"&lt;="&amp;$B247,Base!$Z$3:$Z$5001,"&lt;&gt;"))))</f>
        <v>8</v>
      </c>
      <c r="D247">
        <f>IF($A247&gt;$B$9,"",IF(COUNTIFS(Base!$B$3:$B$5001,D$232,Base!$A$3:$A$5001,"&gt;="&amp;$C$7,Base!$A$3:$A$5001,"&lt;="&amp;$B247,Base!$Z$3:$Z$5001,"&lt;&gt;")=0,"",SUMIFS(Base!$Z$3:$Z$5001,Base!$B$3:$B$5001,D$232,Base!$A$3:$A$5001,_xlfn.MAXIFS(Base!$A$3:$A$5001,Base!$B$3:$B$5001,D$232,Base!$A$3:$A$5001,"&gt;="&amp;$C$7,Base!$A$3:$A$5001,"&lt;="&amp;$B247,Base!$Z$3:$Z$5001,"&lt;&gt;"))))</f>
        <v>7</v>
      </c>
      <c r="E247">
        <f>IF($A247&gt;$B$9,"",IF(COUNTIFS(Base!$B$3:$B$5001,E$232,Base!$A$3:$A$5001,"&gt;="&amp;$C$7,Base!$A$3:$A$5001,"&lt;="&amp;$B247,Base!$Z$3:$Z$5001,"&lt;&gt;")=0,"",SUMIFS(Base!$Z$3:$Z$5001,Base!$B$3:$B$5001,E$232,Base!$A$3:$A$5001,_xlfn.MAXIFS(Base!$A$3:$A$5001,Base!$B$3:$B$5001,E$232,Base!$A$3:$A$5001,"&gt;="&amp;$C$7,Base!$A$3:$A$5001,"&lt;="&amp;$B247,Base!$Z$3:$Z$5001,"&lt;&gt;"))))</f>
        <v>10</v>
      </c>
      <c r="F247">
        <f>IF($A247&gt;$B$9,"",IF(COUNTIFS(Base!$B$3:$B$5001,F$232,Base!$A$3:$A$5001,"&gt;="&amp;$C$7,Base!$A$3:$A$5001,"&lt;="&amp;$B247,Base!$Z$3:$Z$5001,"&lt;&gt;")=0,"",SUMIFS(Base!$Z$3:$Z$5001,Base!$B$3:$B$5001,F$232,Base!$A$3:$A$5001,_xlfn.MAXIFS(Base!$A$3:$A$5001,Base!$B$3:$B$5001,F$232,Base!$A$3:$A$5001,"&gt;="&amp;$C$7,Base!$A$3:$A$5001,"&lt;="&amp;$B247,Base!$Z$3:$Z$5001,"&lt;&gt;"))))</f>
        <v>8</v>
      </c>
      <c r="G247">
        <f>IF($A247&gt;$B$9,"",IF(COUNTIFS(Base!$B$3:$B$5001,G$232,Base!$A$3:$A$5001,"&gt;="&amp;$C$7,Base!$A$3:$A$5001,"&lt;="&amp;$B247,Base!$Z$3:$Z$5001,"&lt;&gt;")=0,"",SUMIFS(Base!$Z$3:$Z$5001,Base!$B$3:$B$5001,G$232,Base!$A$3:$A$5001,_xlfn.MAXIFS(Base!$A$3:$A$5001,Base!$B$3:$B$5001,G$232,Base!$A$3:$A$5001,"&gt;="&amp;$C$7,Base!$A$3:$A$5001,"&lt;="&amp;$B247,Base!$Z$3:$Z$5001,"&lt;&gt;"))))</f>
        <v>4</v>
      </c>
      <c r="H247">
        <f>IF($A247&gt;$B$9,"",IF(COUNTIFS(Base!$B$3:$B$5001,H$232,Base!$A$3:$A$5001,"&gt;="&amp;$C$7,Base!$A$3:$A$5001,"&lt;="&amp;$B247,Base!$Z$3:$Z$5001,"&lt;&gt;")=0,"",SUMIFS(Base!$Z$3:$Z$5001,Base!$B$3:$B$5001,H$232,Base!$A$3:$A$5001,_xlfn.MAXIFS(Base!$A$3:$A$5001,Base!$B$3:$B$5001,H$232,Base!$A$3:$A$5001,"&gt;="&amp;$C$7,Base!$A$3:$A$5001,"&lt;="&amp;$B247,Base!$Z$3:$Z$5001,"&lt;&gt;"))))</f>
        <v>5</v>
      </c>
      <c r="I247">
        <f>IF($A247&gt;$B$9,"",IF(COUNTIFS(Base!$B$3:$B$5001,I$232,Base!$A$3:$A$5001,"&gt;="&amp;$C$7,Base!$A$3:$A$5001,"&lt;="&amp;$B247,Base!$Z$3:$Z$5001,"&lt;&gt;")=0,"",SUMIFS(Base!$Z$3:$Z$5001,Base!$B$3:$B$5001,I$232,Base!$A$3:$A$5001,_xlfn.MAXIFS(Base!$A$3:$A$5001,Base!$B$3:$B$5001,I$232,Base!$A$3:$A$5001,"&gt;="&amp;$C$7,Base!$A$3:$A$5001,"&lt;="&amp;$B247,Base!$Z$3:$Z$5001,"&lt;&gt;"))))</f>
        <v>4</v>
      </c>
      <c r="J247">
        <f>IF($A247&gt;$B$9,"",IF(COUNTIFS(Base!$B$3:$B$5001,J$232,Base!$A$3:$A$5001,"&gt;="&amp;$C$7,Base!$A$3:$A$5001,"&lt;="&amp;$B247,Base!$Z$3:$Z$5001,"&lt;&gt;")=0,"",SUMIFS(Base!$Z$3:$Z$5001,Base!$B$3:$B$5001,J$232,Base!$A$3:$A$5001,_xlfn.MAXIFS(Base!$A$3:$A$5001,Base!$B$3:$B$5001,J$232,Base!$A$3:$A$5001,"&gt;="&amp;$C$7,Base!$A$3:$A$5001,"&lt;="&amp;$B247,Base!$Z$3:$Z$5001,"&lt;&gt;"))))</f>
        <v>12</v>
      </c>
      <c r="K247">
        <f>IF($A247&gt;$B$9,"",IF(COUNTIFS(Base!$B$3:$B$5001,K$232,Base!$A$3:$A$5001,"&gt;="&amp;$C$7,Base!$A$3:$A$5001,"&lt;="&amp;$B247,Base!$Z$3:$Z$5001,"&lt;&gt;")=0,"",SUMIFS(Base!$Z$3:$Z$5001,Base!$B$3:$B$5001,K$232,Base!$A$3:$A$5001,_xlfn.MAXIFS(Base!$A$3:$A$5001,Base!$B$3:$B$5001,K$232,Base!$A$3:$A$5001,"&gt;="&amp;$C$7,Base!$A$3:$A$5001,"&lt;="&amp;$B247,Base!$Z$3:$Z$5001,"&lt;&gt;"))))</f>
        <v>6</v>
      </c>
    </row>
    <row r="248">
      <c r="A248">
        <v>16</v>
      </c>
      <c r="B248" s="152">
        <f>$B$27</f>
        <v>46281</v>
      </c>
      <c r="C248">
        <f>IF($A248&gt;$B$9,"",IF(COUNTIFS(Base!$B$3:$B$5001,C$232,Base!$A$3:$A$5001,"&gt;="&amp;$C$7,Base!$A$3:$A$5001,"&lt;="&amp;$B248,Base!$Z$3:$Z$5001,"&lt;&gt;")=0,"",SUMIFS(Base!$Z$3:$Z$5001,Base!$B$3:$B$5001,C$232,Base!$A$3:$A$5001,_xlfn.MAXIFS(Base!$A$3:$A$5001,Base!$B$3:$B$5001,C$232,Base!$A$3:$A$5001,"&gt;="&amp;$C$7,Base!$A$3:$A$5001,"&lt;="&amp;$B248,Base!$Z$3:$Z$5001,"&lt;&gt;"))))</f>
        <v>4</v>
      </c>
      <c r="D248">
        <f>IF($A248&gt;$B$9,"",IF(COUNTIFS(Base!$B$3:$B$5001,D$232,Base!$A$3:$A$5001,"&gt;="&amp;$C$7,Base!$A$3:$A$5001,"&lt;="&amp;$B248,Base!$Z$3:$Z$5001,"&lt;&gt;")=0,"",SUMIFS(Base!$Z$3:$Z$5001,Base!$B$3:$B$5001,D$232,Base!$A$3:$A$5001,_xlfn.MAXIFS(Base!$A$3:$A$5001,Base!$B$3:$B$5001,D$232,Base!$A$3:$A$5001,"&gt;="&amp;$C$7,Base!$A$3:$A$5001,"&lt;="&amp;$B248,Base!$Z$3:$Z$5001,"&lt;&gt;"))))</f>
        <v>10</v>
      </c>
      <c r="E248">
        <f>IF($A248&gt;$B$9,"",IF(COUNTIFS(Base!$B$3:$B$5001,E$232,Base!$A$3:$A$5001,"&gt;="&amp;$C$7,Base!$A$3:$A$5001,"&lt;="&amp;$B248,Base!$Z$3:$Z$5001,"&lt;&gt;")=0,"",SUMIFS(Base!$Z$3:$Z$5001,Base!$B$3:$B$5001,E$232,Base!$A$3:$A$5001,_xlfn.MAXIFS(Base!$A$3:$A$5001,Base!$B$3:$B$5001,E$232,Base!$A$3:$A$5001,"&gt;="&amp;$C$7,Base!$A$3:$A$5001,"&lt;="&amp;$B248,Base!$Z$3:$Z$5001,"&lt;&gt;"))))</f>
        <v>12</v>
      </c>
      <c r="F248">
        <f>IF($A248&gt;$B$9,"",IF(COUNTIFS(Base!$B$3:$B$5001,F$232,Base!$A$3:$A$5001,"&gt;="&amp;$C$7,Base!$A$3:$A$5001,"&lt;="&amp;$B248,Base!$Z$3:$Z$5001,"&lt;&gt;")=0,"",SUMIFS(Base!$Z$3:$Z$5001,Base!$B$3:$B$5001,F$232,Base!$A$3:$A$5001,_xlfn.MAXIFS(Base!$A$3:$A$5001,Base!$B$3:$B$5001,F$232,Base!$A$3:$A$5001,"&gt;="&amp;$C$7,Base!$A$3:$A$5001,"&lt;="&amp;$B248,Base!$Z$3:$Z$5001,"&lt;&gt;"))))</f>
        <v>6</v>
      </c>
      <c r="G248">
        <f>IF($A248&gt;$B$9,"",IF(COUNTIFS(Base!$B$3:$B$5001,G$232,Base!$A$3:$A$5001,"&gt;="&amp;$C$7,Base!$A$3:$A$5001,"&lt;="&amp;$B248,Base!$Z$3:$Z$5001,"&lt;&gt;")=0,"",SUMIFS(Base!$Z$3:$Z$5001,Base!$B$3:$B$5001,G$232,Base!$A$3:$A$5001,_xlfn.MAXIFS(Base!$A$3:$A$5001,Base!$B$3:$B$5001,G$232,Base!$A$3:$A$5001,"&gt;="&amp;$C$7,Base!$A$3:$A$5001,"&lt;="&amp;$B248,Base!$Z$3:$Z$5001,"&lt;&gt;"))))</f>
        <v>4</v>
      </c>
      <c r="H248">
        <f>IF($A248&gt;$B$9,"",IF(COUNTIFS(Base!$B$3:$B$5001,H$232,Base!$A$3:$A$5001,"&gt;="&amp;$C$7,Base!$A$3:$A$5001,"&lt;="&amp;$B248,Base!$Z$3:$Z$5001,"&lt;&gt;")=0,"",SUMIFS(Base!$Z$3:$Z$5001,Base!$B$3:$B$5001,H$232,Base!$A$3:$A$5001,_xlfn.MAXIFS(Base!$A$3:$A$5001,Base!$B$3:$B$5001,H$232,Base!$A$3:$A$5001,"&gt;="&amp;$C$7,Base!$A$3:$A$5001,"&lt;="&amp;$B248,Base!$Z$3:$Z$5001,"&lt;&gt;"))))</f>
        <v>9</v>
      </c>
      <c r="I248">
        <f>IF($A248&gt;$B$9,"",IF(COUNTIFS(Base!$B$3:$B$5001,I$232,Base!$A$3:$A$5001,"&gt;="&amp;$C$7,Base!$A$3:$A$5001,"&lt;="&amp;$B248,Base!$Z$3:$Z$5001,"&lt;&gt;")=0,"",SUMIFS(Base!$Z$3:$Z$5001,Base!$B$3:$B$5001,I$232,Base!$A$3:$A$5001,_xlfn.MAXIFS(Base!$A$3:$A$5001,Base!$B$3:$B$5001,I$232,Base!$A$3:$A$5001,"&gt;="&amp;$C$7,Base!$A$3:$A$5001,"&lt;="&amp;$B248,Base!$Z$3:$Z$5001,"&lt;&gt;"))))</f>
        <v>8</v>
      </c>
      <c r="J248">
        <f>IF($A248&gt;$B$9,"",IF(COUNTIFS(Base!$B$3:$B$5001,J$232,Base!$A$3:$A$5001,"&gt;="&amp;$C$7,Base!$A$3:$A$5001,"&lt;="&amp;$B248,Base!$Z$3:$Z$5001,"&lt;&gt;")=0,"",SUMIFS(Base!$Z$3:$Z$5001,Base!$B$3:$B$5001,J$232,Base!$A$3:$A$5001,_xlfn.MAXIFS(Base!$A$3:$A$5001,Base!$B$3:$B$5001,J$232,Base!$A$3:$A$5001,"&gt;="&amp;$C$7,Base!$A$3:$A$5001,"&lt;="&amp;$B248,Base!$Z$3:$Z$5001,"&lt;&gt;"))))</f>
        <v>6</v>
      </c>
      <c r="K248">
        <f>IF($A248&gt;$B$9,"",IF(COUNTIFS(Base!$B$3:$B$5001,K$232,Base!$A$3:$A$5001,"&gt;="&amp;$C$7,Base!$A$3:$A$5001,"&lt;="&amp;$B248,Base!$Z$3:$Z$5001,"&lt;&gt;")=0,"",SUMIFS(Base!$Z$3:$Z$5001,Base!$B$3:$B$5001,K$232,Base!$A$3:$A$5001,_xlfn.MAXIFS(Base!$A$3:$A$5001,Base!$B$3:$B$5001,K$232,Base!$A$3:$A$5001,"&gt;="&amp;$C$7,Base!$A$3:$A$5001,"&lt;="&amp;$B248,Base!$Z$3:$Z$5001,"&lt;&gt;"))))</f>
        <v>4</v>
      </c>
    </row>
    <row r="249">
      <c r="A249">
        <v>17</v>
      </c>
      <c r="B249" s="152">
        <f>$B$28</f>
        <v>46282</v>
      </c>
      <c r="C249">
        <f>IF($A249&gt;$B$9,"",IF(COUNTIFS(Base!$B$3:$B$5001,C$232,Base!$A$3:$A$5001,"&gt;="&amp;$C$7,Base!$A$3:$A$5001,"&lt;="&amp;$B249,Base!$Z$3:$Z$5001,"&lt;&gt;")=0,"",SUMIFS(Base!$Z$3:$Z$5001,Base!$B$3:$B$5001,C$232,Base!$A$3:$A$5001,_xlfn.MAXIFS(Base!$A$3:$A$5001,Base!$B$3:$B$5001,C$232,Base!$A$3:$A$5001,"&gt;="&amp;$C$7,Base!$A$3:$A$5001,"&lt;="&amp;$B249,Base!$Z$3:$Z$5001,"&lt;&gt;"))))</f>
        <v>14</v>
      </c>
      <c r="D249">
        <f>IF($A249&gt;$B$9,"",IF(COUNTIFS(Base!$B$3:$B$5001,D$232,Base!$A$3:$A$5001,"&gt;="&amp;$C$7,Base!$A$3:$A$5001,"&lt;="&amp;$B249,Base!$Z$3:$Z$5001,"&lt;&gt;")=0,"",SUMIFS(Base!$Z$3:$Z$5001,Base!$B$3:$B$5001,D$232,Base!$A$3:$A$5001,_xlfn.MAXIFS(Base!$A$3:$A$5001,Base!$B$3:$B$5001,D$232,Base!$A$3:$A$5001,"&gt;="&amp;$C$7,Base!$A$3:$A$5001,"&lt;="&amp;$B249,Base!$Z$3:$Z$5001,"&lt;&gt;"))))</f>
        <v>6</v>
      </c>
      <c r="E249">
        <f>IF($A249&gt;$B$9,"",IF(COUNTIFS(Base!$B$3:$B$5001,E$232,Base!$A$3:$A$5001,"&gt;="&amp;$C$7,Base!$A$3:$A$5001,"&lt;="&amp;$B249,Base!$Z$3:$Z$5001,"&lt;&gt;")=0,"",SUMIFS(Base!$Z$3:$Z$5001,Base!$B$3:$B$5001,E$232,Base!$A$3:$A$5001,_xlfn.MAXIFS(Base!$A$3:$A$5001,Base!$B$3:$B$5001,E$232,Base!$A$3:$A$5001,"&gt;="&amp;$C$7,Base!$A$3:$A$5001,"&lt;="&amp;$B249,Base!$Z$3:$Z$5001,"&lt;&gt;"))))</f>
        <v>6</v>
      </c>
      <c r="F249">
        <f>IF($A249&gt;$B$9,"",IF(COUNTIFS(Base!$B$3:$B$5001,F$232,Base!$A$3:$A$5001,"&gt;="&amp;$C$7,Base!$A$3:$A$5001,"&lt;="&amp;$B249,Base!$Z$3:$Z$5001,"&lt;&gt;")=0,"",SUMIFS(Base!$Z$3:$Z$5001,Base!$B$3:$B$5001,F$232,Base!$A$3:$A$5001,_xlfn.MAXIFS(Base!$A$3:$A$5001,Base!$B$3:$B$5001,F$232,Base!$A$3:$A$5001,"&gt;="&amp;$C$7,Base!$A$3:$A$5001,"&lt;="&amp;$B249,Base!$Z$3:$Z$5001,"&lt;&gt;"))))</f>
        <v>4</v>
      </c>
      <c r="G249">
        <f>IF($A249&gt;$B$9,"",IF(COUNTIFS(Base!$B$3:$B$5001,G$232,Base!$A$3:$A$5001,"&gt;="&amp;$C$7,Base!$A$3:$A$5001,"&lt;="&amp;$B249,Base!$Z$3:$Z$5001,"&lt;&gt;")=0,"",SUMIFS(Base!$Z$3:$Z$5001,Base!$B$3:$B$5001,G$232,Base!$A$3:$A$5001,_xlfn.MAXIFS(Base!$A$3:$A$5001,Base!$B$3:$B$5001,G$232,Base!$A$3:$A$5001,"&gt;="&amp;$C$7,Base!$A$3:$A$5001,"&lt;="&amp;$B249,Base!$Z$3:$Z$5001,"&lt;&gt;"))))</f>
        <v>9</v>
      </c>
      <c r="H249">
        <f>IF($A249&gt;$B$9,"",IF(COUNTIFS(Base!$B$3:$B$5001,H$232,Base!$A$3:$A$5001,"&gt;="&amp;$C$7,Base!$A$3:$A$5001,"&lt;="&amp;$B249,Base!$Z$3:$Z$5001,"&lt;&gt;")=0,"",SUMIFS(Base!$Z$3:$Z$5001,Base!$B$3:$B$5001,H$232,Base!$A$3:$A$5001,_xlfn.MAXIFS(Base!$A$3:$A$5001,Base!$B$3:$B$5001,H$232,Base!$A$3:$A$5001,"&gt;="&amp;$C$7,Base!$A$3:$A$5001,"&lt;="&amp;$B249,Base!$Z$3:$Z$5001,"&lt;&gt;"))))</f>
        <v>10</v>
      </c>
      <c r="I249">
        <f>IF($A249&gt;$B$9,"",IF(COUNTIFS(Base!$B$3:$B$5001,I$232,Base!$A$3:$A$5001,"&gt;="&amp;$C$7,Base!$A$3:$A$5001,"&lt;="&amp;$B249,Base!$Z$3:$Z$5001,"&lt;&gt;")=0,"",SUMIFS(Base!$Z$3:$Z$5001,Base!$B$3:$B$5001,I$232,Base!$A$3:$A$5001,_xlfn.MAXIFS(Base!$A$3:$A$5001,Base!$B$3:$B$5001,I$232,Base!$A$3:$A$5001,"&gt;="&amp;$C$7,Base!$A$3:$A$5001,"&lt;="&amp;$B249,Base!$Z$3:$Z$5001,"&lt;&gt;"))))</f>
        <v>4</v>
      </c>
      <c r="J249">
        <f>IF($A249&gt;$B$9,"",IF(COUNTIFS(Base!$B$3:$B$5001,J$232,Base!$A$3:$A$5001,"&gt;="&amp;$C$7,Base!$A$3:$A$5001,"&lt;="&amp;$B249,Base!$Z$3:$Z$5001,"&lt;&gt;")=0,"",SUMIFS(Base!$Z$3:$Z$5001,Base!$B$3:$B$5001,J$232,Base!$A$3:$A$5001,_xlfn.MAXIFS(Base!$A$3:$A$5001,Base!$B$3:$B$5001,J$232,Base!$A$3:$A$5001,"&gt;="&amp;$C$7,Base!$A$3:$A$5001,"&lt;="&amp;$B249,Base!$Z$3:$Z$5001,"&lt;&gt;"))))</f>
        <v>5</v>
      </c>
      <c r="K249">
        <f>IF($A249&gt;$B$9,"",IF(COUNTIFS(Base!$B$3:$B$5001,K$232,Base!$A$3:$A$5001,"&gt;="&amp;$C$7,Base!$A$3:$A$5001,"&lt;="&amp;$B249,Base!$Z$3:$Z$5001,"&lt;&gt;")=0,"",SUMIFS(Base!$Z$3:$Z$5001,Base!$B$3:$B$5001,K$232,Base!$A$3:$A$5001,_xlfn.MAXIFS(Base!$A$3:$A$5001,Base!$B$3:$B$5001,K$232,Base!$A$3:$A$5001,"&gt;="&amp;$C$7,Base!$A$3:$A$5001,"&lt;="&amp;$B249,Base!$Z$3:$Z$5001,"&lt;&gt;"))))</f>
        <v>6</v>
      </c>
    </row>
    <row r="250">
      <c r="A250">
        <v>18</v>
      </c>
      <c r="B250" s="152">
        <f>$B$29</f>
        <v>46283</v>
      </c>
      <c r="C250">
        <f>IF($A250&gt;$B$9,"",IF(COUNTIFS(Base!$B$3:$B$5001,C$232,Base!$A$3:$A$5001,"&gt;="&amp;$C$7,Base!$A$3:$A$5001,"&lt;="&amp;$B250,Base!$Z$3:$Z$5001,"&lt;&gt;")=0,"",SUMIFS(Base!$Z$3:$Z$5001,Base!$B$3:$B$5001,C$232,Base!$A$3:$A$5001,_xlfn.MAXIFS(Base!$A$3:$A$5001,Base!$B$3:$B$5001,C$232,Base!$A$3:$A$5001,"&gt;="&amp;$C$7,Base!$A$3:$A$5001,"&lt;="&amp;$B250,Base!$Z$3:$Z$5001,"&lt;&gt;"))))</f>
        <v>5</v>
      </c>
      <c r="D250">
        <f>IF($A250&gt;$B$9,"",IF(COUNTIFS(Base!$B$3:$B$5001,D$232,Base!$A$3:$A$5001,"&gt;="&amp;$C$7,Base!$A$3:$A$5001,"&lt;="&amp;$B250,Base!$Z$3:$Z$5001,"&lt;&gt;")=0,"",SUMIFS(Base!$Z$3:$Z$5001,Base!$B$3:$B$5001,D$232,Base!$A$3:$A$5001,_xlfn.MAXIFS(Base!$A$3:$A$5001,Base!$B$3:$B$5001,D$232,Base!$A$3:$A$5001,"&gt;="&amp;$C$7,Base!$A$3:$A$5001,"&lt;="&amp;$B250,Base!$Z$3:$Z$5001,"&lt;&gt;"))))</f>
        <v>8</v>
      </c>
      <c r="E250">
        <f>IF($A250&gt;$B$9,"",IF(COUNTIFS(Base!$B$3:$B$5001,E$232,Base!$A$3:$A$5001,"&gt;="&amp;$C$7,Base!$A$3:$A$5001,"&lt;="&amp;$B250,Base!$Z$3:$Z$5001,"&lt;&gt;")=0,"",SUMIFS(Base!$Z$3:$Z$5001,Base!$B$3:$B$5001,E$232,Base!$A$3:$A$5001,_xlfn.MAXIFS(Base!$A$3:$A$5001,Base!$B$3:$B$5001,E$232,Base!$A$3:$A$5001,"&gt;="&amp;$C$7,Base!$A$3:$A$5001,"&lt;="&amp;$B250,Base!$Z$3:$Z$5001,"&lt;&gt;"))))</f>
        <v>8</v>
      </c>
      <c r="F250">
        <f>IF($A250&gt;$B$9,"",IF(COUNTIFS(Base!$B$3:$B$5001,F$232,Base!$A$3:$A$5001,"&gt;="&amp;$C$7,Base!$A$3:$A$5001,"&lt;="&amp;$B250,Base!$Z$3:$Z$5001,"&lt;&gt;")=0,"",SUMIFS(Base!$Z$3:$Z$5001,Base!$B$3:$B$5001,F$232,Base!$A$3:$A$5001,_xlfn.MAXIFS(Base!$A$3:$A$5001,Base!$B$3:$B$5001,F$232,Base!$A$3:$A$5001,"&gt;="&amp;$C$7,Base!$A$3:$A$5001,"&lt;="&amp;$B250,Base!$Z$3:$Z$5001,"&lt;&gt;"))))</f>
        <v>13</v>
      </c>
      <c r="G250">
        <f>IF($A250&gt;$B$9,"",IF(COUNTIFS(Base!$B$3:$B$5001,G$232,Base!$A$3:$A$5001,"&gt;="&amp;$C$7,Base!$A$3:$A$5001,"&lt;="&amp;$B250,Base!$Z$3:$Z$5001,"&lt;&gt;")=0,"",SUMIFS(Base!$Z$3:$Z$5001,Base!$B$3:$B$5001,G$232,Base!$A$3:$A$5001,_xlfn.MAXIFS(Base!$A$3:$A$5001,Base!$B$3:$B$5001,G$232,Base!$A$3:$A$5001,"&gt;="&amp;$C$7,Base!$A$3:$A$5001,"&lt;="&amp;$B250,Base!$Z$3:$Z$5001,"&lt;&gt;"))))</f>
        <v>12</v>
      </c>
      <c r="H250">
        <f>IF($A250&gt;$B$9,"",IF(COUNTIFS(Base!$B$3:$B$5001,H$232,Base!$A$3:$A$5001,"&gt;="&amp;$C$7,Base!$A$3:$A$5001,"&lt;="&amp;$B250,Base!$Z$3:$Z$5001,"&lt;&gt;")=0,"",SUMIFS(Base!$Z$3:$Z$5001,Base!$B$3:$B$5001,H$232,Base!$A$3:$A$5001,_xlfn.MAXIFS(Base!$A$3:$A$5001,Base!$B$3:$B$5001,H$232,Base!$A$3:$A$5001,"&gt;="&amp;$C$7,Base!$A$3:$A$5001,"&lt;="&amp;$B250,Base!$Z$3:$Z$5001,"&lt;&gt;"))))</f>
        <v>6</v>
      </c>
      <c r="I250">
        <f>IF($A250&gt;$B$9,"",IF(COUNTIFS(Base!$B$3:$B$5001,I$232,Base!$A$3:$A$5001,"&gt;="&amp;$C$7,Base!$A$3:$A$5001,"&lt;="&amp;$B250,Base!$Z$3:$Z$5001,"&lt;&gt;")=0,"",SUMIFS(Base!$Z$3:$Z$5001,Base!$B$3:$B$5001,I$232,Base!$A$3:$A$5001,_xlfn.MAXIFS(Base!$A$3:$A$5001,Base!$B$3:$B$5001,I$232,Base!$A$3:$A$5001,"&gt;="&amp;$C$7,Base!$A$3:$A$5001,"&lt;="&amp;$B250,Base!$Z$3:$Z$5001,"&lt;&gt;"))))</f>
        <v>5</v>
      </c>
      <c r="J250">
        <f>IF($A250&gt;$B$9,"",IF(COUNTIFS(Base!$B$3:$B$5001,J$232,Base!$A$3:$A$5001,"&gt;="&amp;$C$7,Base!$A$3:$A$5001,"&lt;="&amp;$B250,Base!$Z$3:$Z$5001,"&lt;&gt;")=0,"",SUMIFS(Base!$Z$3:$Z$5001,Base!$B$3:$B$5001,J$232,Base!$A$3:$A$5001,_xlfn.MAXIFS(Base!$A$3:$A$5001,Base!$B$3:$B$5001,J$232,Base!$A$3:$A$5001,"&gt;="&amp;$C$7,Base!$A$3:$A$5001,"&lt;="&amp;$B250,Base!$Z$3:$Z$5001,"&lt;&gt;"))))</f>
        <v>13</v>
      </c>
      <c r="K250">
        <f>IF($A250&gt;$B$9,"",IF(COUNTIFS(Base!$B$3:$B$5001,K$232,Base!$A$3:$A$5001,"&gt;="&amp;$C$7,Base!$A$3:$A$5001,"&lt;="&amp;$B250,Base!$Z$3:$Z$5001,"&lt;&gt;")=0,"",SUMIFS(Base!$Z$3:$Z$5001,Base!$B$3:$B$5001,K$232,Base!$A$3:$A$5001,_xlfn.MAXIFS(Base!$A$3:$A$5001,Base!$B$3:$B$5001,K$232,Base!$A$3:$A$5001,"&gt;="&amp;$C$7,Base!$A$3:$A$5001,"&lt;="&amp;$B250,Base!$Z$3:$Z$5001,"&lt;&gt;"))))</f>
        <v>6</v>
      </c>
    </row>
    <row r="251">
      <c r="A251">
        <v>19</v>
      </c>
      <c r="B251" s="152">
        <f>$B$30</f>
        <v>46284</v>
      </c>
      <c r="C251">
        <f>IF($A251&gt;$B$9,"",IF(COUNTIFS(Base!$B$3:$B$5001,C$232,Base!$A$3:$A$5001,"&gt;="&amp;$C$7,Base!$A$3:$A$5001,"&lt;="&amp;$B251,Base!$Z$3:$Z$5001,"&lt;&gt;")=0,"",SUMIFS(Base!$Z$3:$Z$5001,Base!$B$3:$B$5001,C$232,Base!$A$3:$A$5001,_xlfn.MAXIFS(Base!$A$3:$A$5001,Base!$B$3:$B$5001,C$232,Base!$A$3:$A$5001,"&gt;="&amp;$C$7,Base!$A$3:$A$5001,"&lt;="&amp;$B251,Base!$Z$3:$Z$5001,"&lt;&gt;"))))</f>
        <v>9</v>
      </c>
      <c r="D251">
        <f>IF($A251&gt;$B$9,"",IF(COUNTIFS(Base!$B$3:$B$5001,D$232,Base!$A$3:$A$5001,"&gt;="&amp;$C$7,Base!$A$3:$A$5001,"&lt;="&amp;$B251,Base!$Z$3:$Z$5001,"&lt;&gt;")=0,"",SUMIFS(Base!$Z$3:$Z$5001,Base!$B$3:$B$5001,D$232,Base!$A$3:$A$5001,_xlfn.MAXIFS(Base!$A$3:$A$5001,Base!$B$3:$B$5001,D$232,Base!$A$3:$A$5001,"&gt;="&amp;$C$7,Base!$A$3:$A$5001,"&lt;="&amp;$B251,Base!$Z$3:$Z$5001,"&lt;&gt;"))))</f>
        <v>8</v>
      </c>
      <c r="E251">
        <f>IF($A251&gt;$B$9,"",IF(COUNTIFS(Base!$B$3:$B$5001,E$232,Base!$A$3:$A$5001,"&gt;="&amp;$C$7,Base!$A$3:$A$5001,"&lt;="&amp;$B251,Base!$Z$3:$Z$5001,"&lt;&gt;")=0,"",SUMIFS(Base!$Z$3:$Z$5001,Base!$B$3:$B$5001,E$232,Base!$A$3:$A$5001,_xlfn.MAXIFS(Base!$A$3:$A$5001,Base!$B$3:$B$5001,E$232,Base!$A$3:$A$5001,"&gt;="&amp;$C$7,Base!$A$3:$A$5001,"&lt;="&amp;$B251,Base!$Z$3:$Z$5001,"&lt;&gt;"))))</f>
        <v>5</v>
      </c>
      <c r="F251">
        <f>IF($A251&gt;$B$9,"",IF(COUNTIFS(Base!$B$3:$B$5001,F$232,Base!$A$3:$A$5001,"&gt;="&amp;$C$7,Base!$A$3:$A$5001,"&lt;="&amp;$B251,Base!$Z$3:$Z$5001,"&lt;&gt;")=0,"",SUMIFS(Base!$Z$3:$Z$5001,Base!$B$3:$B$5001,F$232,Base!$A$3:$A$5001,_xlfn.MAXIFS(Base!$A$3:$A$5001,Base!$B$3:$B$5001,F$232,Base!$A$3:$A$5001,"&gt;="&amp;$C$7,Base!$A$3:$A$5001,"&lt;="&amp;$B251,Base!$Z$3:$Z$5001,"&lt;&gt;"))))</f>
        <v>6</v>
      </c>
      <c r="G251">
        <f>IF($A251&gt;$B$9,"",IF(COUNTIFS(Base!$B$3:$B$5001,G$232,Base!$A$3:$A$5001,"&gt;="&amp;$C$7,Base!$A$3:$A$5001,"&lt;="&amp;$B251,Base!$Z$3:$Z$5001,"&lt;&gt;")=0,"",SUMIFS(Base!$Z$3:$Z$5001,Base!$B$3:$B$5001,G$232,Base!$A$3:$A$5001,_xlfn.MAXIFS(Base!$A$3:$A$5001,Base!$B$3:$B$5001,G$232,Base!$A$3:$A$5001,"&gt;="&amp;$C$7,Base!$A$3:$A$5001,"&lt;="&amp;$B251,Base!$Z$3:$Z$5001,"&lt;&gt;"))))</f>
        <v>8</v>
      </c>
      <c r="H251">
        <f>IF($A251&gt;$B$9,"",IF(COUNTIFS(Base!$B$3:$B$5001,H$232,Base!$A$3:$A$5001,"&gt;="&amp;$C$7,Base!$A$3:$A$5001,"&lt;="&amp;$B251,Base!$Z$3:$Z$5001,"&lt;&gt;")=0,"",SUMIFS(Base!$Z$3:$Z$5001,Base!$B$3:$B$5001,H$232,Base!$A$3:$A$5001,_xlfn.MAXIFS(Base!$A$3:$A$5001,Base!$B$3:$B$5001,H$232,Base!$A$3:$A$5001,"&gt;="&amp;$C$7,Base!$A$3:$A$5001,"&lt;="&amp;$B251,Base!$Z$3:$Z$5001,"&lt;&gt;"))))</f>
        <v>13</v>
      </c>
      <c r="I251">
        <f>IF($A251&gt;$B$9,"",IF(COUNTIFS(Base!$B$3:$B$5001,I$232,Base!$A$3:$A$5001,"&gt;="&amp;$C$7,Base!$A$3:$A$5001,"&lt;="&amp;$B251,Base!$Z$3:$Z$5001,"&lt;&gt;")=0,"",SUMIFS(Base!$Z$3:$Z$5001,Base!$B$3:$B$5001,I$232,Base!$A$3:$A$5001,_xlfn.MAXIFS(Base!$A$3:$A$5001,Base!$B$3:$B$5001,I$232,Base!$A$3:$A$5001,"&gt;="&amp;$C$7,Base!$A$3:$A$5001,"&lt;="&amp;$B251,Base!$Z$3:$Z$5001,"&lt;&gt;"))))</f>
        <v>10</v>
      </c>
      <c r="J251">
        <f>IF($A251&gt;$B$9,"",IF(COUNTIFS(Base!$B$3:$B$5001,J$232,Base!$A$3:$A$5001,"&gt;="&amp;$C$7,Base!$A$3:$A$5001,"&lt;="&amp;$B251,Base!$Z$3:$Z$5001,"&lt;&gt;")=0,"",SUMIFS(Base!$Z$3:$Z$5001,Base!$B$3:$B$5001,J$232,Base!$A$3:$A$5001,_xlfn.MAXIFS(Base!$A$3:$A$5001,Base!$B$3:$B$5001,J$232,Base!$A$3:$A$5001,"&gt;="&amp;$C$7,Base!$A$3:$A$5001,"&lt;="&amp;$B251,Base!$Z$3:$Z$5001,"&lt;&gt;"))))</f>
        <v>12</v>
      </c>
      <c r="K251">
        <f>IF($A251&gt;$B$9,"",IF(COUNTIFS(Base!$B$3:$B$5001,K$232,Base!$A$3:$A$5001,"&gt;="&amp;$C$7,Base!$A$3:$A$5001,"&lt;="&amp;$B251,Base!$Z$3:$Z$5001,"&lt;&gt;")=0,"",SUMIFS(Base!$Z$3:$Z$5001,Base!$B$3:$B$5001,K$232,Base!$A$3:$A$5001,_xlfn.MAXIFS(Base!$A$3:$A$5001,Base!$B$3:$B$5001,K$232,Base!$A$3:$A$5001,"&gt;="&amp;$C$7,Base!$A$3:$A$5001,"&lt;="&amp;$B251,Base!$Z$3:$Z$5001,"&lt;&gt;"))))</f>
        <v>10</v>
      </c>
    </row>
    <row r="252">
      <c r="A252">
        <v>20</v>
      </c>
      <c r="B252" s="152">
        <f>$B$31</f>
        <v>46285</v>
      </c>
      <c r="C252">
        <f>IF($A252&gt;$B$9,"",IF(COUNTIFS(Base!$B$3:$B$5001,C$232,Base!$A$3:$A$5001,"&gt;="&amp;$C$7,Base!$A$3:$A$5001,"&lt;="&amp;$B252,Base!$Z$3:$Z$5001,"&lt;&gt;")=0,"",SUMIFS(Base!$Z$3:$Z$5001,Base!$B$3:$B$5001,C$232,Base!$A$3:$A$5001,_xlfn.MAXIFS(Base!$A$3:$A$5001,Base!$B$3:$B$5001,C$232,Base!$A$3:$A$5001,"&gt;="&amp;$C$7,Base!$A$3:$A$5001,"&lt;="&amp;$B252,Base!$Z$3:$Z$5001,"&lt;&gt;"))))</f>
        <v>9</v>
      </c>
      <c r="D252">
        <f>IF($A252&gt;$B$9,"",IF(COUNTIFS(Base!$B$3:$B$5001,D$232,Base!$A$3:$A$5001,"&gt;="&amp;$C$7,Base!$A$3:$A$5001,"&lt;="&amp;$B252,Base!$Z$3:$Z$5001,"&lt;&gt;")=0,"",SUMIFS(Base!$Z$3:$Z$5001,Base!$B$3:$B$5001,D$232,Base!$A$3:$A$5001,_xlfn.MAXIFS(Base!$A$3:$A$5001,Base!$B$3:$B$5001,D$232,Base!$A$3:$A$5001,"&gt;="&amp;$C$7,Base!$A$3:$A$5001,"&lt;="&amp;$B252,Base!$Z$3:$Z$5001,"&lt;&gt;"))))</f>
        <v>8</v>
      </c>
      <c r="E252">
        <f>IF($A252&gt;$B$9,"",IF(COUNTIFS(Base!$B$3:$B$5001,E$232,Base!$A$3:$A$5001,"&gt;="&amp;$C$7,Base!$A$3:$A$5001,"&lt;="&amp;$B252,Base!$Z$3:$Z$5001,"&lt;&gt;")=0,"",SUMIFS(Base!$Z$3:$Z$5001,Base!$B$3:$B$5001,E$232,Base!$A$3:$A$5001,_xlfn.MAXIFS(Base!$A$3:$A$5001,Base!$B$3:$B$5001,E$232,Base!$A$3:$A$5001,"&gt;="&amp;$C$7,Base!$A$3:$A$5001,"&lt;="&amp;$B252,Base!$Z$3:$Z$5001,"&lt;&gt;"))))</f>
        <v>5</v>
      </c>
      <c r="F252">
        <f>IF($A252&gt;$B$9,"",IF(COUNTIFS(Base!$B$3:$B$5001,F$232,Base!$A$3:$A$5001,"&gt;="&amp;$C$7,Base!$A$3:$A$5001,"&lt;="&amp;$B252,Base!$Z$3:$Z$5001,"&lt;&gt;")=0,"",SUMIFS(Base!$Z$3:$Z$5001,Base!$B$3:$B$5001,F$232,Base!$A$3:$A$5001,_xlfn.MAXIFS(Base!$A$3:$A$5001,Base!$B$3:$B$5001,F$232,Base!$A$3:$A$5001,"&gt;="&amp;$C$7,Base!$A$3:$A$5001,"&lt;="&amp;$B252,Base!$Z$3:$Z$5001,"&lt;&gt;"))))</f>
        <v>6</v>
      </c>
      <c r="G252">
        <f>IF($A252&gt;$B$9,"",IF(COUNTIFS(Base!$B$3:$B$5001,G$232,Base!$A$3:$A$5001,"&gt;="&amp;$C$7,Base!$A$3:$A$5001,"&lt;="&amp;$B252,Base!$Z$3:$Z$5001,"&lt;&gt;")=0,"",SUMIFS(Base!$Z$3:$Z$5001,Base!$B$3:$B$5001,G$232,Base!$A$3:$A$5001,_xlfn.MAXIFS(Base!$A$3:$A$5001,Base!$B$3:$B$5001,G$232,Base!$A$3:$A$5001,"&gt;="&amp;$C$7,Base!$A$3:$A$5001,"&lt;="&amp;$B252,Base!$Z$3:$Z$5001,"&lt;&gt;"))))</f>
        <v>8</v>
      </c>
      <c r="H252">
        <f>IF($A252&gt;$B$9,"",IF(COUNTIFS(Base!$B$3:$B$5001,H$232,Base!$A$3:$A$5001,"&gt;="&amp;$C$7,Base!$A$3:$A$5001,"&lt;="&amp;$B252,Base!$Z$3:$Z$5001,"&lt;&gt;")=0,"",SUMIFS(Base!$Z$3:$Z$5001,Base!$B$3:$B$5001,H$232,Base!$A$3:$A$5001,_xlfn.MAXIFS(Base!$A$3:$A$5001,Base!$B$3:$B$5001,H$232,Base!$A$3:$A$5001,"&gt;="&amp;$C$7,Base!$A$3:$A$5001,"&lt;="&amp;$B252,Base!$Z$3:$Z$5001,"&lt;&gt;"))))</f>
        <v>13</v>
      </c>
      <c r="I252">
        <f>IF($A252&gt;$B$9,"",IF(COUNTIFS(Base!$B$3:$B$5001,I$232,Base!$A$3:$A$5001,"&gt;="&amp;$C$7,Base!$A$3:$A$5001,"&lt;="&amp;$B252,Base!$Z$3:$Z$5001,"&lt;&gt;")=0,"",SUMIFS(Base!$Z$3:$Z$5001,Base!$B$3:$B$5001,I$232,Base!$A$3:$A$5001,_xlfn.MAXIFS(Base!$A$3:$A$5001,Base!$B$3:$B$5001,I$232,Base!$A$3:$A$5001,"&gt;="&amp;$C$7,Base!$A$3:$A$5001,"&lt;="&amp;$B252,Base!$Z$3:$Z$5001,"&lt;&gt;"))))</f>
        <v>10</v>
      </c>
      <c r="J252">
        <f>IF($A252&gt;$B$9,"",IF(COUNTIFS(Base!$B$3:$B$5001,J$232,Base!$A$3:$A$5001,"&gt;="&amp;$C$7,Base!$A$3:$A$5001,"&lt;="&amp;$B252,Base!$Z$3:$Z$5001,"&lt;&gt;")=0,"",SUMIFS(Base!$Z$3:$Z$5001,Base!$B$3:$B$5001,J$232,Base!$A$3:$A$5001,_xlfn.MAXIFS(Base!$A$3:$A$5001,Base!$B$3:$B$5001,J$232,Base!$A$3:$A$5001,"&gt;="&amp;$C$7,Base!$A$3:$A$5001,"&lt;="&amp;$B252,Base!$Z$3:$Z$5001,"&lt;&gt;"))))</f>
        <v>12</v>
      </c>
      <c r="K252">
        <f>IF($A252&gt;$B$9,"",IF(COUNTIFS(Base!$B$3:$B$5001,K$232,Base!$A$3:$A$5001,"&gt;="&amp;$C$7,Base!$A$3:$A$5001,"&lt;="&amp;$B252,Base!$Z$3:$Z$5001,"&lt;&gt;")=0,"",SUMIFS(Base!$Z$3:$Z$5001,Base!$B$3:$B$5001,K$232,Base!$A$3:$A$5001,_xlfn.MAXIFS(Base!$A$3:$A$5001,Base!$B$3:$B$5001,K$232,Base!$A$3:$A$5001,"&gt;="&amp;$C$7,Base!$A$3:$A$5001,"&lt;="&amp;$B252,Base!$Z$3:$Z$5001,"&lt;&gt;"))))</f>
        <v>10</v>
      </c>
    </row>
    <row r="253">
      <c r="A253">
        <v>21</v>
      </c>
      <c r="B253" s="152">
        <f>$B$32</f>
        <v>46286</v>
      </c>
      <c r="C253">
        <f>IF($A253&gt;$B$9,"",IF(COUNTIFS(Base!$B$3:$B$5001,C$232,Base!$A$3:$A$5001,"&gt;="&amp;$C$7,Base!$A$3:$A$5001,"&lt;="&amp;$B253,Base!$Z$3:$Z$5001,"&lt;&gt;")=0,"",SUMIFS(Base!$Z$3:$Z$5001,Base!$B$3:$B$5001,C$232,Base!$A$3:$A$5001,_xlfn.MAXIFS(Base!$A$3:$A$5001,Base!$B$3:$B$5001,C$232,Base!$A$3:$A$5001,"&gt;="&amp;$C$7,Base!$A$3:$A$5001,"&lt;="&amp;$B253,Base!$Z$3:$Z$5001,"&lt;&gt;"))))</f>
        <v>7</v>
      </c>
      <c r="D253">
        <f>IF($A253&gt;$B$9,"",IF(COUNTIFS(Base!$B$3:$B$5001,D$232,Base!$A$3:$A$5001,"&gt;="&amp;$C$7,Base!$A$3:$A$5001,"&lt;="&amp;$B253,Base!$Z$3:$Z$5001,"&lt;&gt;")=0,"",SUMIFS(Base!$Z$3:$Z$5001,Base!$B$3:$B$5001,D$232,Base!$A$3:$A$5001,_xlfn.MAXIFS(Base!$A$3:$A$5001,Base!$B$3:$B$5001,D$232,Base!$A$3:$A$5001,"&gt;="&amp;$C$7,Base!$A$3:$A$5001,"&lt;="&amp;$B253,Base!$Z$3:$Z$5001,"&lt;&gt;"))))</f>
        <v>6</v>
      </c>
      <c r="E253">
        <f>IF($A253&gt;$B$9,"",IF(COUNTIFS(Base!$B$3:$B$5001,E$232,Base!$A$3:$A$5001,"&gt;="&amp;$C$7,Base!$A$3:$A$5001,"&lt;="&amp;$B253,Base!$Z$3:$Z$5001,"&lt;&gt;")=0,"",SUMIFS(Base!$Z$3:$Z$5001,Base!$B$3:$B$5001,E$232,Base!$A$3:$A$5001,_xlfn.MAXIFS(Base!$A$3:$A$5001,Base!$B$3:$B$5001,E$232,Base!$A$3:$A$5001,"&gt;="&amp;$C$7,Base!$A$3:$A$5001,"&lt;="&amp;$B253,Base!$Z$3:$Z$5001,"&lt;&gt;"))))</f>
        <v>10</v>
      </c>
      <c r="F253">
        <f>IF($A253&gt;$B$9,"",IF(COUNTIFS(Base!$B$3:$B$5001,F$232,Base!$A$3:$A$5001,"&gt;="&amp;$C$7,Base!$A$3:$A$5001,"&lt;="&amp;$B253,Base!$Z$3:$Z$5001,"&lt;&gt;")=0,"",SUMIFS(Base!$Z$3:$Z$5001,Base!$B$3:$B$5001,F$232,Base!$A$3:$A$5001,_xlfn.MAXIFS(Base!$A$3:$A$5001,Base!$B$3:$B$5001,F$232,Base!$A$3:$A$5001,"&gt;="&amp;$C$7,Base!$A$3:$A$5001,"&lt;="&amp;$B253,Base!$Z$3:$Z$5001,"&lt;&gt;"))))</f>
        <v>5</v>
      </c>
      <c r="G253">
        <f>IF($A253&gt;$B$9,"",IF(COUNTIFS(Base!$B$3:$B$5001,G$232,Base!$A$3:$A$5001,"&gt;="&amp;$C$7,Base!$A$3:$A$5001,"&lt;="&amp;$B253,Base!$Z$3:$Z$5001,"&lt;&gt;")=0,"",SUMIFS(Base!$Z$3:$Z$5001,Base!$B$3:$B$5001,G$232,Base!$A$3:$A$5001,_xlfn.MAXIFS(Base!$A$3:$A$5001,Base!$B$3:$B$5001,G$232,Base!$A$3:$A$5001,"&gt;="&amp;$C$7,Base!$A$3:$A$5001,"&lt;="&amp;$B253,Base!$Z$3:$Z$5001,"&lt;&gt;"))))</f>
        <v>11</v>
      </c>
      <c r="H253">
        <f>IF($A253&gt;$B$9,"",IF(COUNTIFS(Base!$B$3:$B$5001,H$232,Base!$A$3:$A$5001,"&gt;="&amp;$C$7,Base!$A$3:$A$5001,"&lt;="&amp;$B253,Base!$Z$3:$Z$5001,"&lt;&gt;")=0,"",SUMIFS(Base!$Z$3:$Z$5001,Base!$B$3:$B$5001,H$232,Base!$A$3:$A$5001,_xlfn.MAXIFS(Base!$A$3:$A$5001,Base!$B$3:$B$5001,H$232,Base!$A$3:$A$5001,"&gt;="&amp;$C$7,Base!$A$3:$A$5001,"&lt;="&amp;$B253,Base!$Z$3:$Z$5001,"&lt;&gt;"))))</f>
        <v>11</v>
      </c>
      <c r="I253">
        <f>IF($A253&gt;$B$9,"",IF(COUNTIFS(Base!$B$3:$B$5001,I$232,Base!$A$3:$A$5001,"&gt;="&amp;$C$7,Base!$A$3:$A$5001,"&lt;="&amp;$B253,Base!$Z$3:$Z$5001,"&lt;&gt;")=0,"",SUMIFS(Base!$Z$3:$Z$5001,Base!$B$3:$B$5001,I$232,Base!$A$3:$A$5001,_xlfn.MAXIFS(Base!$A$3:$A$5001,Base!$B$3:$B$5001,I$232,Base!$A$3:$A$5001,"&gt;="&amp;$C$7,Base!$A$3:$A$5001,"&lt;="&amp;$B253,Base!$Z$3:$Z$5001,"&lt;&gt;"))))</f>
        <v>9</v>
      </c>
      <c r="J253">
        <f>IF($A253&gt;$B$9,"",IF(COUNTIFS(Base!$B$3:$B$5001,J$232,Base!$A$3:$A$5001,"&gt;="&amp;$C$7,Base!$A$3:$A$5001,"&lt;="&amp;$B253,Base!$Z$3:$Z$5001,"&lt;&gt;")=0,"",SUMIFS(Base!$Z$3:$Z$5001,Base!$B$3:$B$5001,J$232,Base!$A$3:$A$5001,_xlfn.MAXIFS(Base!$A$3:$A$5001,Base!$B$3:$B$5001,J$232,Base!$A$3:$A$5001,"&gt;="&amp;$C$7,Base!$A$3:$A$5001,"&lt;="&amp;$B253,Base!$Z$3:$Z$5001,"&lt;&gt;"))))</f>
        <v>8</v>
      </c>
      <c r="K253">
        <f>IF($A253&gt;$B$9,"",IF(COUNTIFS(Base!$B$3:$B$5001,K$232,Base!$A$3:$A$5001,"&gt;="&amp;$C$7,Base!$A$3:$A$5001,"&lt;="&amp;$B253,Base!$Z$3:$Z$5001,"&lt;&gt;")=0,"",SUMIFS(Base!$Z$3:$Z$5001,Base!$B$3:$B$5001,K$232,Base!$A$3:$A$5001,_xlfn.MAXIFS(Base!$A$3:$A$5001,Base!$B$3:$B$5001,K$232,Base!$A$3:$A$5001,"&gt;="&amp;$C$7,Base!$A$3:$A$5001,"&lt;="&amp;$B253,Base!$Z$3:$Z$5001,"&lt;&gt;"))))</f>
        <v>9</v>
      </c>
    </row>
    <row r="254">
      <c r="A254">
        <v>22</v>
      </c>
      <c r="B254" s="152">
        <f>$B$33</f>
        <v>46287</v>
      </c>
      <c r="C254">
        <f>IF($A254&gt;$B$9,"",IF(COUNTIFS(Base!$B$3:$B$5001,C$232,Base!$A$3:$A$5001,"&gt;="&amp;$C$7,Base!$A$3:$A$5001,"&lt;="&amp;$B254,Base!$Z$3:$Z$5001,"&lt;&gt;")=0,"",SUMIFS(Base!$Z$3:$Z$5001,Base!$B$3:$B$5001,C$232,Base!$A$3:$A$5001,_xlfn.MAXIFS(Base!$A$3:$A$5001,Base!$B$3:$B$5001,C$232,Base!$A$3:$A$5001,"&gt;="&amp;$C$7,Base!$A$3:$A$5001,"&lt;="&amp;$B254,Base!$Z$3:$Z$5001,"&lt;&gt;"))))</f>
        <v>12</v>
      </c>
      <c r="D254">
        <f>IF($A254&gt;$B$9,"",IF(COUNTIFS(Base!$B$3:$B$5001,D$232,Base!$A$3:$A$5001,"&gt;="&amp;$C$7,Base!$A$3:$A$5001,"&lt;="&amp;$B254,Base!$Z$3:$Z$5001,"&lt;&gt;")=0,"",SUMIFS(Base!$Z$3:$Z$5001,Base!$B$3:$B$5001,D$232,Base!$A$3:$A$5001,_xlfn.MAXIFS(Base!$A$3:$A$5001,Base!$B$3:$B$5001,D$232,Base!$A$3:$A$5001,"&gt;="&amp;$C$7,Base!$A$3:$A$5001,"&lt;="&amp;$B254,Base!$Z$3:$Z$5001,"&lt;&gt;"))))</f>
        <v>11</v>
      </c>
      <c r="E254">
        <f>IF($A254&gt;$B$9,"",IF(COUNTIFS(Base!$B$3:$B$5001,E$232,Base!$A$3:$A$5001,"&gt;="&amp;$C$7,Base!$A$3:$A$5001,"&lt;="&amp;$B254,Base!$Z$3:$Z$5001,"&lt;&gt;")=0,"",SUMIFS(Base!$Z$3:$Z$5001,Base!$B$3:$B$5001,E$232,Base!$A$3:$A$5001,_xlfn.MAXIFS(Base!$A$3:$A$5001,Base!$B$3:$B$5001,E$232,Base!$A$3:$A$5001,"&gt;="&amp;$C$7,Base!$A$3:$A$5001,"&lt;="&amp;$B254,Base!$Z$3:$Z$5001,"&lt;&gt;"))))</f>
        <v>6</v>
      </c>
      <c r="F254">
        <f>IF($A254&gt;$B$9,"",IF(COUNTIFS(Base!$B$3:$B$5001,F$232,Base!$A$3:$A$5001,"&gt;="&amp;$C$7,Base!$A$3:$A$5001,"&lt;="&amp;$B254,Base!$Z$3:$Z$5001,"&lt;&gt;")=0,"",SUMIFS(Base!$Z$3:$Z$5001,Base!$B$3:$B$5001,F$232,Base!$A$3:$A$5001,_xlfn.MAXIFS(Base!$A$3:$A$5001,Base!$B$3:$B$5001,F$232,Base!$A$3:$A$5001,"&gt;="&amp;$C$7,Base!$A$3:$A$5001,"&lt;="&amp;$B254,Base!$Z$3:$Z$5001,"&lt;&gt;"))))</f>
        <v>8</v>
      </c>
      <c r="G254">
        <f>IF($A254&gt;$B$9,"",IF(COUNTIFS(Base!$B$3:$B$5001,G$232,Base!$A$3:$A$5001,"&gt;="&amp;$C$7,Base!$A$3:$A$5001,"&lt;="&amp;$B254,Base!$Z$3:$Z$5001,"&lt;&gt;")=0,"",SUMIFS(Base!$Z$3:$Z$5001,Base!$B$3:$B$5001,G$232,Base!$A$3:$A$5001,_xlfn.MAXIFS(Base!$A$3:$A$5001,Base!$B$3:$B$5001,G$232,Base!$A$3:$A$5001,"&gt;="&amp;$C$7,Base!$A$3:$A$5001,"&lt;="&amp;$B254,Base!$Z$3:$Z$5001,"&lt;&gt;"))))</f>
        <v>8</v>
      </c>
      <c r="H254">
        <f>IF($A254&gt;$B$9,"",IF(COUNTIFS(Base!$B$3:$B$5001,H$232,Base!$A$3:$A$5001,"&gt;="&amp;$C$7,Base!$A$3:$A$5001,"&lt;="&amp;$B254,Base!$Z$3:$Z$5001,"&lt;&gt;")=0,"",SUMIFS(Base!$Z$3:$Z$5001,Base!$B$3:$B$5001,H$232,Base!$A$3:$A$5001,_xlfn.MAXIFS(Base!$A$3:$A$5001,Base!$B$3:$B$5001,H$232,Base!$A$3:$A$5001,"&gt;="&amp;$C$7,Base!$A$3:$A$5001,"&lt;="&amp;$B254,Base!$Z$3:$Z$5001,"&lt;&gt;"))))</f>
        <v>8</v>
      </c>
      <c r="I254">
        <f>IF($A254&gt;$B$9,"",IF(COUNTIFS(Base!$B$3:$B$5001,I$232,Base!$A$3:$A$5001,"&gt;="&amp;$C$7,Base!$A$3:$A$5001,"&lt;="&amp;$B254,Base!$Z$3:$Z$5001,"&lt;&gt;")=0,"",SUMIFS(Base!$Z$3:$Z$5001,Base!$B$3:$B$5001,I$232,Base!$A$3:$A$5001,_xlfn.MAXIFS(Base!$A$3:$A$5001,Base!$B$3:$B$5001,I$232,Base!$A$3:$A$5001,"&gt;="&amp;$C$7,Base!$A$3:$A$5001,"&lt;="&amp;$B254,Base!$Z$3:$Z$5001,"&lt;&gt;"))))</f>
        <v>13</v>
      </c>
      <c r="J254">
        <f>IF($A254&gt;$B$9,"",IF(COUNTIFS(Base!$B$3:$B$5001,J$232,Base!$A$3:$A$5001,"&gt;="&amp;$C$7,Base!$A$3:$A$5001,"&lt;="&amp;$B254,Base!$Z$3:$Z$5001,"&lt;&gt;")=0,"",SUMIFS(Base!$Z$3:$Z$5001,Base!$B$3:$B$5001,J$232,Base!$A$3:$A$5001,_xlfn.MAXIFS(Base!$A$3:$A$5001,Base!$B$3:$B$5001,J$232,Base!$A$3:$A$5001,"&gt;="&amp;$C$7,Base!$A$3:$A$5001,"&lt;="&amp;$B254,Base!$Z$3:$Z$5001,"&lt;&gt;"))))</f>
        <v>7</v>
      </c>
      <c r="K254">
        <f>IF($A254&gt;$B$9,"",IF(COUNTIFS(Base!$B$3:$B$5001,K$232,Base!$A$3:$A$5001,"&gt;="&amp;$C$7,Base!$A$3:$A$5001,"&lt;="&amp;$B254,Base!$Z$3:$Z$5001,"&lt;&gt;")=0,"",SUMIFS(Base!$Z$3:$Z$5001,Base!$B$3:$B$5001,K$232,Base!$A$3:$A$5001,_xlfn.MAXIFS(Base!$A$3:$A$5001,Base!$B$3:$B$5001,K$232,Base!$A$3:$A$5001,"&gt;="&amp;$C$7,Base!$A$3:$A$5001,"&lt;="&amp;$B254,Base!$Z$3:$Z$5001,"&lt;&gt;"))))</f>
        <v>12</v>
      </c>
    </row>
    <row r="255">
      <c r="A255">
        <v>23</v>
      </c>
      <c r="B255" s="152">
        <f>$B$34</f>
        <v>46288</v>
      </c>
      <c r="C255">
        <f>IF($A255&gt;$B$9,"",IF(COUNTIFS(Base!$B$3:$B$5001,C$232,Base!$A$3:$A$5001,"&gt;="&amp;$C$7,Base!$A$3:$A$5001,"&lt;="&amp;$B255,Base!$Z$3:$Z$5001,"&lt;&gt;")=0,"",SUMIFS(Base!$Z$3:$Z$5001,Base!$B$3:$B$5001,C$232,Base!$A$3:$A$5001,_xlfn.MAXIFS(Base!$A$3:$A$5001,Base!$B$3:$B$5001,C$232,Base!$A$3:$A$5001,"&gt;="&amp;$C$7,Base!$A$3:$A$5001,"&lt;="&amp;$B255,Base!$Z$3:$Z$5001,"&lt;&gt;"))))</f>
        <v>9</v>
      </c>
      <c r="D255">
        <f>IF($A255&gt;$B$9,"",IF(COUNTIFS(Base!$B$3:$B$5001,D$232,Base!$A$3:$A$5001,"&gt;="&amp;$C$7,Base!$A$3:$A$5001,"&lt;="&amp;$B255,Base!$Z$3:$Z$5001,"&lt;&gt;")=0,"",SUMIFS(Base!$Z$3:$Z$5001,Base!$B$3:$B$5001,D$232,Base!$A$3:$A$5001,_xlfn.MAXIFS(Base!$A$3:$A$5001,Base!$B$3:$B$5001,D$232,Base!$A$3:$A$5001,"&gt;="&amp;$C$7,Base!$A$3:$A$5001,"&lt;="&amp;$B255,Base!$Z$3:$Z$5001,"&lt;&gt;"))))</f>
        <v>6</v>
      </c>
      <c r="E255">
        <f>IF($A255&gt;$B$9,"",IF(COUNTIFS(Base!$B$3:$B$5001,E$232,Base!$A$3:$A$5001,"&gt;="&amp;$C$7,Base!$A$3:$A$5001,"&lt;="&amp;$B255,Base!$Z$3:$Z$5001,"&lt;&gt;")=0,"",SUMIFS(Base!$Z$3:$Z$5001,Base!$B$3:$B$5001,E$232,Base!$A$3:$A$5001,_xlfn.MAXIFS(Base!$A$3:$A$5001,Base!$B$3:$B$5001,E$232,Base!$A$3:$A$5001,"&gt;="&amp;$C$7,Base!$A$3:$A$5001,"&lt;="&amp;$B255,Base!$Z$3:$Z$5001,"&lt;&gt;"))))</f>
        <v>11</v>
      </c>
      <c r="F255">
        <f>IF($A255&gt;$B$9,"",IF(COUNTIFS(Base!$B$3:$B$5001,F$232,Base!$A$3:$A$5001,"&gt;="&amp;$C$7,Base!$A$3:$A$5001,"&lt;="&amp;$B255,Base!$Z$3:$Z$5001,"&lt;&gt;")=0,"",SUMIFS(Base!$Z$3:$Z$5001,Base!$B$3:$B$5001,F$232,Base!$A$3:$A$5001,_xlfn.MAXIFS(Base!$A$3:$A$5001,Base!$B$3:$B$5001,F$232,Base!$A$3:$A$5001,"&gt;="&amp;$C$7,Base!$A$3:$A$5001,"&lt;="&amp;$B255,Base!$Z$3:$Z$5001,"&lt;&gt;"))))</f>
        <v>5</v>
      </c>
      <c r="G255">
        <f>IF($A255&gt;$B$9,"",IF(COUNTIFS(Base!$B$3:$B$5001,G$232,Base!$A$3:$A$5001,"&gt;="&amp;$C$7,Base!$A$3:$A$5001,"&lt;="&amp;$B255,Base!$Z$3:$Z$5001,"&lt;&gt;")=0,"",SUMIFS(Base!$Z$3:$Z$5001,Base!$B$3:$B$5001,G$232,Base!$A$3:$A$5001,_xlfn.MAXIFS(Base!$A$3:$A$5001,Base!$B$3:$B$5001,G$232,Base!$A$3:$A$5001,"&gt;="&amp;$C$7,Base!$A$3:$A$5001,"&lt;="&amp;$B255,Base!$Z$3:$Z$5001,"&lt;&gt;"))))</f>
        <v>9</v>
      </c>
      <c r="H255">
        <f>IF($A255&gt;$B$9,"",IF(COUNTIFS(Base!$B$3:$B$5001,H$232,Base!$A$3:$A$5001,"&gt;="&amp;$C$7,Base!$A$3:$A$5001,"&lt;="&amp;$B255,Base!$Z$3:$Z$5001,"&lt;&gt;")=0,"",SUMIFS(Base!$Z$3:$Z$5001,Base!$B$3:$B$5001,H$232,Base!$A$3:$A$5001,_xlfn.MAXIFS(Base!$A$3:$A$5001,Base!$B$3:$B$5001,H$232,Base!$A$3:$A$5001,"&gt;="&amp;$C$7,Base!$A$3:$A$5001,"&lt;="&amp;$B255,Base!$Z$3:$Z$5001,"&lt;&gt;"))))</f>
        <v>4</v>
      </c>
      <c r="I255">
        <f>IF($A255&gt;$B$9,"",IF(COUNTIFS(Base!$B$3:$B$5001,I$232,Base!$A$3:$A$5001,"&gt;="&amp;$C$7,Base!$A$3:$A$5001,"&lt;="&amp;$B255,Base!$Z$3:$Z$5001,"&lt;&gt;")=0,"",SUMIFS(Base!$Z$3:$Z$5001,Base!$B$3:$B$5001,I$232,Base!$A$3:$A$5001,_xlfn.MAXIFS(Base!$A$3:$A$5001,Base!$B$3:$B$5001,I$232,Base!$A$3:$A$5001,"&gt;="&amp;$C$7,Base!$A$3:$A$5001,"&lt;="&amp;$B255,Base!$Z$3:$Z$5001,"&lt;&gt;"))))</f>
        <v>4</v>
      </c>
      <c r="J255">
        <f>IF($A255&gt;$B$9,"",IF(COUNTIFS(Base!$B$3:$B$5001,J$232,Base!$A$3:$A$5001,"&gt;="&amp;$C$7,Base!$A$3:$A$5001,"&lt;="&amp;$B255,Base!$Z$3:$Z$5001,"&lt;&gt;")=0,"",SUMIFS(Base!$Z$3:$Z$5001,Base!$B$3:$B$5001,J$232,Base!$A$3:$A$5001,_xlfn.MAXIFS(Base!$A$3:$A$5001,Base!$B$3:$B$5001,J$232,Base!$A$3:$A$5001,"&gt;="&amp;$C$7,Base!$A$3:$A$5001,"&lt;="&amp;$B255,Base!$Z$3:$Z$5001,"&lt;&gt;"))))</f>
        <v>6</v>
      </c>
      <c r="K255">
        <f>IF($A255&gt;$B$9,"",IF(COUNTIFS(Base!$B$3:$B$5001,K$232,Base!$A$3:$A$5001,"&gt;="&amp;$C$7,Base!$A$3:$A$5001,"&lt;="&amp;$B255,Base!$Z$3:$Z$5001,"&lt;&gt;")=0,"",SUMIFS(Base!$Z$3:$Z$5001,Base!$B$3:$B$5001,K$232,Base!$A$3:$A$5001,_xlfn.MAXIFS(Base!$A$3:$A$5001,Base!$B$3:$B$5001,K$232,Base!$A$3:$A$5001,"&gt;="&amp;$C$7,Base!$A$3:$A$5001,"&lt;="&amp;$B255,Base!$Z$3:$Z$5001,"&lt;&gt;"))))</f>
        <v>4</v>
      </c>
    </row>
    <row r="256">
      <c r="A256">
        <v>24</v>
      </c>
      <c r="B256" s="152">
        <f>$B$35</f>
        <v>46289</v>
      </c>
      <c r="C256">
        <f>IF($A256&gt;$B$9,"",IF(COUNTIFS(Base!$B$3:$B$5001,C$232,Base!$A$3:$A$5001,"&gt;="&amp;$C$7,Base!$A$3:$A$5001,"&lt;="&amp;$B256,Base!$Z$3:$Z$5001,"&lt;&gt;")=0,"",SUMIFS(Base!$Z$3:$Z$5001,Base!$B$3:$B$5001,C$232,Base!$A$3:$A$5001,_xlfn.MAXIFS(Base!$A$3:$A$5001,Base!$B$3:$B$5001,C$232,Base!$A$3:$A$5001,"&gt;="&amp;$C$7,Base!$A$3:$A$5001,"&lt;="&amp;$B256,Base!$Z$3:$Z$5001,"&lt;&gt;"))))</f>
        <v>4</v>
      </c>
      <c r="D256">
        <f>IF($A256&gt;$B$9,"",IF(COUNTIFS(Base!$B$3:$B$5001,D$232,Base!$A$3:$A$5001,"&gt;="&amp;$C$7,Base!$A$3:$A$5001,"&lt;="&amp;$B256,Base!$Z$3:$Z$5001,"&lt;&gt;")=0,"",SUMIFS(Base!$Z$3:$Z$5001,Base!$B$3:$B$5001,D$232,Base!$A$3:$A$5001,_xlfn.MAXIFS(Base!$A$3:$A$5001,Base!$B$3:$B$5001,D$232,Base!$A$3:$A$5001,"&gt;="&amp;$C$7,Base!$A$3:$A$5001,"&lt;="&amp;$B256,Base!$Z$3:$Z$5001,"&lt;&gt;"))))</f>
        <v>5</v>
      </c>
      <c r="E256">
        <f>IF($A256&gt;$B$9,"",IF(COUNTIFS(Base!$B$3:$B$5001,E$232,Base!$A$3:$A$5001,"&gt;="&amp;$C$7,Base!$A$3:$A$5001,"&lt;="&amp;$B256,Base!$Z$3:$Z$5001,"&lt;&gt;")=0,"",SUMIFS(Base!$Z$3:$Z$5001,Base!$B$3:$B$5001,E$232,Base!$A$3:$A$5001,_xlfn.MAXIFS(Base!$A$3:$A$5001,Base!$B$3:$B$5001,E$232,Base!$A$3:$A$5001,"&gt;="&amp;$C$7,Base!$A$3:$A$5001,"&lt;="&amp;$B256,Base!$Z$3:$Z$5001,"&lt;&gt;"))))</f>
        <v>6</v>
      </c>
      <c r="F256">
        <f>IF($A256&gt;$B$9,"",IF(COUNTIFS(Base!$B$3:$B$5001,F$232,Base!$A$3:$A$5001,"&gt;="&amp;$C$7,Base!$A$3:$A$5001,"&lt;="&amp;$B256,Base!$Z$3:$Z$5001,"&lt;&gt;")=0,"",SUMIFS(Base!$Z$3:$Z$5001,Base!$B$3:$B$5001,F$232,Base!$A$3:$A$5001,_xlfn.MAXIFS(Base!$A$3:$A$5001,Base!$B$3:$B$5001,F$232,Base!$A$3:$A$5001,"&gt;="&amp;$C$7,Base!$A$3:$A$5001,"&lt;="&amp;$B256,Base!$Z$3:$Z$5001,"&lt;&gt;"))))</f>
        <v>12</v>
      </c>
      <c r="G256">
        <f>IF($A256&gt;$B$9,"",IF(COUNTIFS(Base!$B$3:$B$5001,G$232,Base!$A$3:$A$5001,"&gt;="&amp;$C$7,Base!$A$3:$A$5001,"&lt;="&amp;$B256,Base!$Z$3:$Z$5001,"&lt;&gt;")=0,"",SUMIFS(Base!$Z$3:$Z$5001,Base!$B$3:$B$5001,G$232,Base!$A$3:$A$5001,_xlfn.MAXIFS(Base!$A$3:$A$5001,Base!$B$3:$B$5001,G$232,Base!$A$3:$A$5001,"&gt;="&amp;$C$7,Base!$A$3:$A$5001,"&lt;="&amp;$B256,Base!$Z$3:$Z$5001,"&lt;&gt;"))))</f>
        <v>9</v>
      </c>
      <c r="H256">
        <f>IF($A256&gt;$B$9,"",IF(COUNTIFS(Base!$B$3:$B$5001,H$232,Base!$A$3:$A$5001,"&gt;="&amp;$C$7,Base!$A$3:$A$5001,"&lt;="&amp;$B256,Base!$Z$3:$Z$5001,"&lt;&gt;")=0,"",SUMIFS(Base!$Z$3:$Z$5001,Base!$B$3:$B$5001,H$232,Base!$A$3:$A$5001,_xlfn.MAXIFS(Base!$A$3:$A$5001,Base!$B$3:$B$5001,H$232,Base!$A$3:$A$5001,"&gt;="&amp;$C$7,Base!$A$3:$A$5001,"&lt;="&amp;$B256,Base!$Z$3:$Z$5001,"&lt;&gt;"))))</f>
        <v>9</v>
      </c>
      <c r="I256">
        <f>IF($A256&gt;$B$9,"",IF(COUNTIFS(Base!$B$3:$B$5001,I$232,Base!$A$3:$A$5001,"&gt;="&amp;$C$7,Base!$A$3:$A$5001,"&lt;="&amp;$B256,Base!$Z$3:$Z$5001,"&lt;&gt;")=0,"",SUMIFS(Base!$Z$3:$Z$5001,Base!$B$3:$B$5001,I$232,Base!$A$3:$A$5001,_xlfn.MAXIFS(Base!$A$3:$A$5001,Base!$B$3:$B$5001,I$232,Base!$A$3:$A$5001,"&gt;="&amp;$C$7,Base!$A$3:$A$5001,"&lt;="&amp;$B256,Base!$Z$3:$Z$5001,"&lt;&gt;"))))</f>
        <v>10</v>
      </c>
      <c r="J256">
        <f>IF($A256&gt;$B$9,"",IF(COUNTIFS(Base!$B$3:$B$5001,J$232,Base!$A$3:$A$5001,"&gt;="&amp;$C$7,Base!$A$3:$A$5001,"&lt;="&amp;$B256,Base!$Z$3:$Z$5001,"&lt;&gt;")=0,"",SUMIFS(Base!$Z$3:$Z$5001,Base!$B$3:$B$5001,J$232,Base!$A$3:$A$5001,_xlfn.MAXIFS(Base!$A$3:$A$5001,Base!$B$3:$B$5001,J$232,Base!$A$3:$A$5001,"&gt;="&amp;$C$7,Base!$A$3:$A$5001,"&lt;="&amp;$B256,Base!$Z$3:$Z$5001,"&lt;&gt;"))))</f>
        <v>14</v>
      </c>
      <c r="K256">
        <f>IF($A256&gt;$B$9,"",IF(COUNTIFS(Base!$B$3:$B$5001,K$232,Base!$A$3:$A$5001,"&gt;="&amp;$C$7,Base!$A$3:$A$5001,"&lt;="&amp;$B256,Base!$Z$3:$Z$5001,"&lt;&gt;")=0,"",SUMIFS(Base!$Z$3:$Z$5001,Base!$B$3:$B$5001,K$232,Base!$A$3:$A$5001,_xlfn.MAXIFS(Base!$A$3:$A$5001,Base!$B$3:$B$5001,K$232,Base!$A$3:$A$5001,"&gt;="&amp;$C$7,Base!$A$3:$A$5001,"&lt;="&amp;$B256,Base!$Z$3:$Z$5001,"&lt;&gt;"))))</f>
        <v>13</v>
      </c>
    </row>
    <row r="257">
      <c r="A257">
        <v>25</v>
      </c>
      <c r="B257" s="152">
        <f>$B$36</f>
        <v>46290</v>
      </c>
      <c r="C257">
        <f>IF($A257&gt;$B$9,"",IF(COUNTIFS(Base!$B$3:$B$5001,C$232,Base!$A$3:$A$5001,"&gt;="&amp;$C$7,Base!$A$3:$A$5001,"&lt;="&amp;$B257,Base!$Z$3:$Z$5001,"&lt;&gt;")=0,"",SUMIFS(Base!$Z$3:$Z$5001,Base!$B$3:$B$5001,C$232,Base!$A$3:$A$5001,_xlfn.MAXIFS(Base!$A$3:$A$5001,Base!$B$3:$B$5001,C$232,Base!$A$3:$A$5001,"&gt;="&amp;$C$7,Base!$A$3:$A$5001,"&lt;="&amp;$B257,Base!$Z$3:$Z$5001,"&lt;&gt;"))))</f>
        <v>10</v>
      </c>
      <c r="D257">
        <f>IF($A257&gt;$B$9,"",IF(COUNTIFS(Base!$B$3:$B$5001,D$232,Base!$A$3:$A$5001,"&gt;="&amp;$C$7,Base!$A$3:$A$5001,"&lt;="&amp;$B257,Base!$Z$3:$Z$5001,"&lt;&gt;")=0,"",SUMIFS(Base!$Z$3:$Z$5001,Base!$B$3:$B$5001,D$232,Base!$A$3:$A$5001,_xlfn.MAXIFS(Base!$A$3:$A$5001,Base!$B$3:$B$5001,D$232,Base!$A$3:$A$5001,"&gt;="&amp;$C$7,Base!$A$3:$A$5001,"&lt;="&amp;$B257,Base!$Z$3:$Z$5001,"&lt;&gt;"))))</f>
        <v>7</v>
      </c>
      <c r="E257">
        <f>IF($A257&gt;$B$9,"",IF(COUNTIFS(Base!$B$3:$B$5001,E$232,Base!$A$3:$A$5001,"&gt;="&amp;$C$7,Base!$A$3:$A$5001,"&lt;="&amp;$B257,Base!$Z$3:$Z$5001,"&lt;&gt;")=0,"",SUMIFS(Base!$Z$3:$Z$5001,Base!$B$3:$B$5001,E$232,Base!$A$3:$A$5001,_xlfn.MAXIFS(Base!$A$3:$A$5001,Base!$B$3:$B$5001,E$232,Base!$A$3:$A$5001,"&gt;="&amp;$C$7,Base!$A$3:$A$5001,"&lt;="&amp;$B257,Base!$Z$3:$Z$5001,"&lt;&gt;"))))</f>
        <v>11</v>
      </c>
      <c r="F257">
        <f>IF($A257&gt;$B$9,"",IF(COUNTIFS(Base!$B$3:$B$5001,F$232,Base!$A$3:$A$5001,"&gt;="&amp;$C$7,Base!$A$3:$A$5001,"&lt;="&amp;$B257,Base!$Z$3:$Z$5001,"&lt;&gt;")=0,"",SUMIFS(Base!$Z$3:$Z$5001,Base!$B$3:$B$5001,F$232,Base!$A$3:$A$5001,_xlfn.MAXIFS(Base!$A$3:$A$5001,Base!$B$3:$B$5001,F$232,Base!$A$3:$A$5001,"&gt;="&amp;$C$7,Base!$A$3:$A$5001,"&lt;="&amp;$B257,Base!$Z$3:$Z$5001,"&lt;&gt;"))))</f>
        <v>5</v>
      </c>
      <c r="G257">
        <f>IF($A257&gt;$B$9,"",IF(COUNTIFS(Base!$B$3:$B$5001,G$232,Base!$A$3:$A$5001,"&gt;="&amp;$C$7,Base!$A$3:$A$5001,"&lt;="&amp;$B257,Base!$Z$3:$Z$5001,"&lt;&gt;")=0,"",SUMIFS(Base!$Z$3:$Z$5001,Base!$B$3:$B$5001,G$232,Base!$A$3:$A$5001,_xlfn.MAXIFS(Base!$A$3:$A$5001,Base!$B$3:$B$5001,G$232,Base!$A$3:$A$5001,"&gt;="&amp;$C$7,Base!$A$3:$A$5001,"&lt;="&amp;$B257,Base!$Z$3:$Z$5001,"&lt;&gt;"))))</f>
        <v>9</v>
      </c>
      <c r="H257">
        <f>IF($A257&gt;$B$9,"",IF(COUNTIFS(Base!$B$3:$B$5001,H$232,Base!$A$3:$A$5001,"&gt;="&amp;$C$7,Base!$A$3:$A$5001,"&lt;="&amp;$B257,Base!$Z$3:$Z$5001,"&lt;&gt;")=0,"",SUMIFS(Base!$Z$3:$Z$5001,Base!$B$3:$B$5001,H$232,Base!$A$3:$A$5001,_xlfn.MAXIFS(Base!$A$3:$A$5001,Base!$B$3:$B$5001,H$232,Base!$A$3:$A$5001,"&gt;="&amp;$C$7,Base!$A$3:$A$5001,"&lt;="&amp;$B257,Base!$Z$3:$Z$5001,"&lt;&gt;"))))</f>
        <v>12</v>
      </c>
      <c r="I257">
        <f>IF($A257&gt;$B$9,"",IF(COUNTIFS(Base!$B$3:$B$5001,I$232,Base!$A$3:$A$5001,"&gt;="&amp;$C$7,Base!$A$3:$A$5001,"&lt;="&amp;$B257,Base!$Z$3:$Z$5001,"&lt;&gt;")=0,"",SUMIFS(Base!$Z$3:$Z$5001,Base!$B$3:$B$5001,I$232,Base!$A$3:$A$5001,_xlfn.MAXIFS(Base!$A$3:$A$5001,Base!$B$3:$B$5001,I$232,Base!$A$3:$A$5001,"&gt;="&amp;$C$7,Base!$A$3:$A$5001,"&lt;="&amp;$B257,Base!$Z$3:$Z$5001,"&lt;&gt;"))))</f>
        <v>9</v>
      </c>
      <c r="J257">
        <f>IF($A257&gt;$B$9,"",IF(COUNTIFS(Base!$B$3:$B$5001,J$232,Base!$A$3:$A$5001,"&gt;="&amp;$C$7,Base!$A$3:$A$5001,"&lt;="&amp;$B257,Base!$Z$3:$Z$5001,"&lt;&gt;")=0,"",SUMIFS(Base!$Z$3:$Z$5001,Base!$B$3:$B$5001,J$232,Base!$A$3:$A$5001,_xlfn.MAXIFS(Base!$A$3:$A$5001,Base!$B$3:$B$5001,J$232,Base!$A$3:$A$5001,"&gt;="&amp;$C$7,Base!$A$3:$A$5001,"&lt;="&amp;$B257,Base!$Z$3:$Z$5001,"&lt;&gt;"))))</f>
        <v>4</v>
      </c>
      <c r="K257">
        <f>IF($A257&gt;$B$9,"",IF(COUNTIFS(Base!$B$3:$B$5001,K$232,Base!$A$3:$A$5001,"&gt;="&amp;$C$7,Base!$A$3:$A$5001,"&lt;="&amp;$B257,Base!$Z$3:$Z$5001,"&lt;&gt;")=0,"",SUMIFS(Base!$Z$3:$Z$5001,Base!$B$3:$B$5001,K$232,Base!$A$3:$A$5001,_xlfn.MAXIFS(Base!$A$3:$A$5001,Base!$B$3:$B$5001,K$232,Base!$A$3:$A$5001,"&gt;="&amp;$C$7,Base!$A$3:$A$5001,"&lt;="&amp;$B257,Base!$Z$3:$Z$5001,"&lt;&gt;"))))</f>
        <v>7</v>
      </c>
    </row>
    <row r="258">
      <c r="A258">
        <v>26</v>
      </c>
      <c r="B258" s="152">
        <f>$B$37</f>
        <v>46291</v>
      </c>
      <c r="C258">
        <f>IF($A258&gt;$B$9,"",IF(COUNTIFS(Base!$B$3:$B$5001,C$232,Base!$A$3:$A$5001,"&gt;="&amp;$C$7,Base!$A$3:$A$5001,"&lt;="&amp;$B258,Base!$Z$3:$Z$5001,"&lt;&gt;")=0,"",SUMIFS(Base!$Z$3:$Z$5001,Base!$B$3:$B$5001,C$232,Base!$A$3:$A$5001,_xlfn.MAXIFS(Base!$A$3:$A$5001,Base!$B$3:$B$5001,C$232,Base!$A$3:$A$5001,"&gt;="&amp;$C$7,Base!$A$3:$A$5001,"&lt;="&amp;$B258,Base!$Z$3:$Z$5001,"&lt;&gt;"))))</f>
        <v>10</v>
      </c>
      <c r="D258">
        <f>IF($A258&gt;$B$9,"",IF(COUNTIFS(Base!$B$3:$B$5001,D$232,Base!$A$3:$A$5001,"&gt;="&amp;$C$7,Base!$A$3:$A$5001,"&lt;="&amp;$B258,Base!$Z$3:$Z$5001,"&lt;&gt;")=0,"",SUMIFS(Base!$Z$3:$Z$5001,Base!$B$3:$B$5001,D$232,Base!$A$3:$A$5001,_xlfn.MAXIFS(Base!$A$3:$A$5001,Base!$B$3:$B$5001,D$232,Base!$A$3:$A$5001,"&gt;="&amp;$C$7,Base!$A$3:$A$5001,"&lt;="&amp;$B258,Base!$Z$3:$Z$5001,"&lt;&gt;"))))</f>
        <v>11</v>
      </c>
      <c r="E258">
        <f>IF($A258&gt;$B$9,"",IF(COUNTIFS(Base!$B$3:$B$5001,E$232,Base!$A$3:$A$5001,"&gt;="&amp;$C$7,Base!$A$3:$A$5001,"&lt;="&amp;$B258,Base!$Z$3:$Z$5001,"&lt;&gt;")=0,"",SUMIFS(Base!$Z$3:$Z$5001,Base!$B$3:$B$5001,E$232,Base!$A$3:$A$5001,_xlfn.MAXIFS(Base!$A$3:$A$5001,Base!$B$3:$B$5001,E$232,Base!$A$3:$A$5001,"&gt;="&amp;$C$7,Base!$A$3:$A$5001,"&lt;="&amp;$B258,Base!$Z$3:$Z$5001,"&lt;&gt;"))))</f>
        <v>12</v>
      </c>
      <c r="F258">
        <f>IF($A258&gt;$B$9,"",IF(COUNTIFS(Base!$B$3:$B$5001,F$232,Base!$A$3:$A$5001,"&gt;="&amp;$C$7,Base!$A$3:$A$5001,"&lt;="&amp;$B258,Base!$Z$3:$Z$5001,"&lt;&gt;")=0,"",SUMIFS(Base!$Z$3:$Z$5001,Base!$B$3:$B$5001,F$232,Base!$A$3:$A$5001,_xlfn.MAXIFS(Base!$A$3:$A$5001,Base!$B$3:$B$5001,F$232,Base!$A$3:$A$5001,"&gt;="&amp;$C$7,Base!$A$3:$A$5001,"&lt;="&amp;$B258,Base!$Z$3:$Z$5001,"&lt;&gt;"))))</f>
        <v>9</v>
      </c>
      <c r="G258">
        <f>IF($A258&gt;$B$9,"",IF(COUNTIFS(Base!$B$3:$B$5001,G$232,Base!$A$3:$A$5001,"&gt;="&amp;$C$7,Base!$A$3:$A$5001,"&lt;="&amp;$B258,Base!$Z$3:$Z$5001,"&lt;&gt;")=0,"",SUMIFS(Base!$Z$3:$Z$5001,Base!$B$3:$B$5001,G$232,Base!$A$3:$A$5001,_xlfn.MAXIFS(Base!$A$3:$A$5001,Base!$B$3:$B$5001,G$232,Base!$A$3:$A$5001,"&gt;="&amp;$C$7,Base!$A$3:$A$5001,"&lt;="&amp;$B258,Base!$Z$3:$Z$5001,"&lt;&gt;"))))</f>
        <v>11</v>
      </c>
      <c r="H258">
        <f>IF($A258&gt;$B$9,"",IF(COUNTIFS(Base!$B$3:$B$5001,H$232,Base!$A$3:$A$5001,"&gt;="&amp;$C$7,Base!$A$3:$A$5001,"&lt;="&amp;$B258,Base!$Z$3:$Z$5001,"&lt;&gt;")=0,"",SUMIFS(Base!$Z$3:$Z$5001,Base!$B$3:$B$5001,H$232,Base!$A$3:$A$5001,_xlfn.MAXIFS(Base!$A$3:$A$5001,Base!$B$3:$B$5001,H$232,Base!$A$3:$A$5001,"&gt;="&amp;$C$7,Base!$A$3:$A$5001,"&lt;="&amp;$B258,Base!$Z$3:$Z$5001,"&lt;&gt;"))))</f>
        <v>6</v>
      </c>
      <c r="I258">
        <f>IF($A258&gt;$B$9,"",IF(COUNTIFS(Base!$B$3:$B$5001,I$232,Base!$A$3:$A$5001,"&gt;="&amp;$C$7,Base!$A$3:$A$5001,"&lt;="&amp;$B258,Base!$Z$3:$Z$5001,"&lt;&gt;")=0,"",SUMIFS(Base!$Z$3:$Z$5001,Base!$B$3:$B$5001,I$232,Base!$A$3:$A$5001,_xlfn.MAXIFS(Base!$A$3:$A$5001,Base!$B$3:$B$5001,I$232,Base!$A$3:$A$5001,"&gt;="&amp;$C$7,Base!$A$3:$A$5001,"&lt;="&amp;$B258,Base!$Z$3:$Z$5001,"&lt;&gt;"))))</f>
        <v>9</v>
      </c>
      <c r="J258">
        <f>IF($A258&gt;$B$9,"",IF(COUNTIFS(Base!$B$3:$B$5001,J$232,Base!$A$3:$A$5001,"&gt;="&amp;$C$7,Base!$A$3:$A$5001,"&lt;="&amp;$B258,Base!$Z$3:$Z$5001,"&lt;&gt;")=0,"",SUMIFS(Base!$Z$3:$Z$5001,Base!$B$3:$B$5001,J$232,Base!$A$3:$A$5001,_xlfn.MAXIFS(Base!$A$3:$A$5001,Base!$B$3:$B$5001,J$232,Base!$A$3:$A$5001,"&gt;="&amp;$C$7,Base!$A$3:$A$5001,"&lt;="&amp;$B258,Base!$Z$3:$Z$5001,"&lt;&gt;"))))</f>
        <v>6</v>
      </c>
      <c r="K258">
        <f>IF($A258&gt;$B$9,"",IF(COUNTIFS(Base!$B$3:$B$5001,K$232,Base!$A$3:$A$5001,"&gt;="&amp;$C$7,Base!$A$3:$A$5001,"&lt;="&amp;$B258,Base!$Z$3:$Z$5001,"&lt;&gt;")=0,"",SUMIFS(Base!$Z$3:$Z$5001,Base!$B$3:$B$5001,K$232,Base!$A$3:$A$5001,_xlfn.MAXIFS(Base!$A$3:$A$5001,Base!$B$3:$B$5001,K$232,Base!$A$3:$A$5001,"&gt;="&amp;$C$7,Base!$A$3:$A$5001,"&lt;="&amp;$B258,Base!$Z$3:$Z$5001,"&lt;&gt;"))))</f>
        <v>9</v>
      </c>
    </row>
    <row r="259">
      <c r="A259">
        <v>27</v>
      </c>
      <c r="B259" s="152">
        <f>$B$38</f>
        <v>46292</v>
      </c>
      <c r="C259">
        <f>IF($A259&gt;$B$9,"",IF(COUNTIFS(Base!$B$3:$B$5001,C$232,Base!$A$3:$A$5001,"&gt;="&amp;$C$7,Base!$A$3:$A$5001,"&lt;="&amp;$B259,Base!$Z$3:$Z$5001,"&lt;&gt;")=0,"",SUMIFS(Base!$Z$3:$Z$5001,Base!$B$3:$B$5001,C$232,Base!$A$3:$A$5001,_xlfn.MAXIFS(Base!$A$3:$A$5001,Base!$B$3:$B$5001,C$232,Base!$A$3:$A$5001,"&gt;="&amp;$C$7,Base!$A$3:$A$5001,"&lt;="&amp;$B259,Base!$Z$3:$Z$5001,"&lt;&gt;"))))</f>
        <v>10</v>
      </c>
      <c r="D259">
        <f>IF($A259&gt;$B$9,"",IF(COUNTIFS(Base!$B$3:$B$5001,D$232,Base!$A$3:$A$5001,"&gt;="&amp;$C$7,Base!$A$3:$A$5001,"&lt;="&amp;$B259,Base!$Z$3:$Z$5001,"&lt;&gt;")=0,"",SUMIFS(Base!$Z$3:$Z$5001,Base!$B$3:$B$5001,D$232,Base!$A$3:$A$5001,_xlfn.MAXIFS(Base!$A$3:$A$5001,Base!$B$3:$B$5001,D$232,Base!$A$3:$A$5001,"&gt;="&amp;$C$7,Base!$A$3:$A$5001,"&lt;="&amp;$B259,Base!$Z$3:$Z$5001,"&lt;&gt;"))))</f>
        <v>11</v>
      </c>
      <c r="E259">
        <f>IF($A259&gt;$B$9,"",IF(COUNTIFS(Base!$B$3:$B$5001,E$232,Base!$A$3:$A$5001,"&gt;="&amp;$C$7,Base!$A$3:$A$5001,"&lt;="&amp;$B259,Base!$Z$3:$Z$5001,"&lt;&gt;")=0,"",SUMIFS(Base!$Z$3:$Z$5001,Base!$B$3:$B$5001,E$232,Base!$A$3:$A$5001,_xlfn.MAXIFS(Base!$A$3:$A$5001,Base!$B$3:$B$5001,E$232,Base!$A$3:$A$5001,"&gt;="&amp;$C$7,Base!$A$3:$A$5001,"&lt;="&amp;$B259,Base!$Z$3:$Z$5001,"&lt;&gt;"))))</f>
        <v>12</v>
      </c>
      <c r="F259">
        <f>IF($A259&gt;$B$9,"",IF(COUNTIFS(Base!$B$3:$B$5001,F$232,Base!$A$3:$A$5001,"&gt;="&amp;$C$7,Base!$A$3:$A$5001,"&lt;="&amp;$B259,Base!$Z$3:$Z$5001,"&lt;&gt;")=0,"",SUMIFS(Base!$Z$3:$Z$5001,Base!$B$3:$B$5001,F$232,Base!$A$3:$A$5001,_xlfn.MAXIFS(Base!$A$3:$A$5001,Base!$B$3:$B$5001,F$232,Base!$A$3:$A$5001,"&gt;="&amp;$C$7,Base!$A$3:$A$5001,"&lt;="&amp;$B259,Base!$Z$3:$Z$5001,"&lt;&gt;"))))</f>
        <v>9</v>
      </c>
      <c r="G259">
        <f>IF($A259&gt;$B$9,"",IF(COUNTIFS(Base!$B$3:$B$5001,G$232,Base!$A$3:$A$5001,"&gt;="&amp;$C$7,Base!$A$3:$A$5001,"&lt;="&amp;$B259,Base!$Z$3:$Z$5001,"&lt;&gt;")=0,"",SUMIFS(Base!$Z$3:$Z$5001,Base!$B$3:$B$5001,G$232,Base!$A$3:$A$5001,_xlfn.MAXIFS(Base!$A$3:$A$5001,Base!$B$3:$B$5001,G$232,Base!$A$3:$A$5001,"&gt;="&amp;$C$7,Base!$A$3:$A$5001,"&lt;="&amp;$B259,Base!$Z$3:$Z$5001,"&lt;&gt;"))))</f>
        <v>11</v>
      </c>
      <c r="H259">
        <f>IF($A259&gt;$B$9,"",IF(COUNTIFS(Base!$B$3:$B$5001,H$232,Base!$A$3:$A$5001,"&gt;="&amp;$C$7,Base!$A$3:$A$5001,"&lt;="&amp;$B259,Base!$Z$3:$Z$5001,"&lt;&gt;")=0,"",SUMIFS(Base!$Z$3:$Z$5001,Base!$B$3:$B$5001,H$232,Base!$A$3:$A$5001,_xlfn.MAXIFS(Base!$A$3:$A$5001,Base!$B$3:$B$5001,H$232,Base!$A$3:$A$5001,"&gt;="&amp;$C$7,Base!$A$3:$A$5001,"&lt;="&amp;$B259,Base!$Z$3:$Z$5001,"&lt;&gt;"))))</f>
        <v>6</v>
      </c>
      <c r="I259">
        <f>IF($A259&gt;$B$9,"",IF(COUNTIFS(Base!$B$3:$B$5001,I$232,Base!$A$3:$A$5001,"&gt;="&amp;$C$7,Base!$A$3:$A$5001,"&lt;="&amp;$B259,Base!$Z$3:$Z$5001,"&lt;&gt;")=0,"",SUMIFS(Base!$Z$3:$Z$5001,Base!$B$3:$B$5001,I$232,Base!$A$3:$A$5001,_xlfn.MAXIFS(Base!$A$3:$A$5001,Base!$B$3:$B$5001,I$232,Base!$A$3:$A$5001,"&gt;="&amp;$C$7,Base!$A$3:$A$5001,"&lt;="&amp;$B259,Base!$Z$3:$Z$5001,"&lt;&gt;"))))</f>
        <v>9</v>
      </c>
      <c r="J259">
        <f>IF($A259&gt;$B$9,"",IF(COUNTIFS(Base!$B$3:$B$5001,J$232,Base!$A$3:$A$5001,"&gt;="&amp;$C$7,Base!$A$3:$A$5001,"&lt;="&amp;$B259,Base!$Z$3:$Z$5001,"&lt;&gt;")=0,"",SUMIFS(Base!$Z$3:$Z$5001,Base!$B$3:$B$5001,J$232,Base!$A$3:$A$5001,_xlfn.MAXIFS(Base!$A$3:$A$5001,Base!$B$3:$B$5001,J$232,Base!$A$3:$A$5001,"&gt;="&amp;$C$7,Base!$A$3:$A$5001,"&lt;="&amp;$B259,Base!$Z$3:$Z$5001,"&lt;&gt;"))))</f>
        <v>6</v>
      </c>
      <c r="K259">
        <f>IF($A259&gt;$B$9,"",IF(COUNTIFS(Base!$B$3:$B$5001,K$232,Base!$A$3:$A$5001,"&gt;="&amp;$C$7,Base!$A$3:$A$5001,"&lt;="&amp;$B259,Base!$Z$3:$Z$5001,"&lt;&gt;")=0,"",SUMIFS(Base!$Z$3:$Z$5001,Base!$B$3:$B$5001,K$232,Base!$A$3:$A$5001,_xlfn.MAXIFS(Base!$A$3:$A$5001,Base!$B$3:$B$5001,K$232,Base!$A$3:$A$5001,"&gt;="&amp;$C$7,Base!$A$3:$A$5001,"&lt;="&amp;$B259,Base!$Z$3:$Z$5001,"&lt;&gt;"))))</f>
        <v>9</v>
      </c>
    </row>
    <row r="260">
      <c r="A260">
        <v>28</v>
      </c>
      <c r="B260" s="152">
        <f>$B$39</f>
        <v>46293</v>
      </c>
      <c r="C260">
        <f>IF($A260&gt;$B$9,"",IF(COUNTIFS(Base!$B$3:$B$5001,C$232,Base!$A$3:$A$5001,"&gt;="&amp;$C$7,Base!$A$3:$A$5001,"&lt;="&amp;$B260,Base!$Z$3:$Z$5001,"&lt;&gt;")=0,"",SUMIFS(Base!$Z$3:$Z$5001,Base!$B$3:$B$5001,C$232,Base!$A$3:$A$5001,_xlfn.MAXIFS(Base!$A$3:$A$5001,Base!$B$3:$B$5001,C$232,Base!$A$3:$A$5001,"&gt;="&amp;$C$7,Base!$A$3:$A$5001,"&lt;="&amp;$B260,Base!$Z$3:$Z$5001,"&lt;&gt;"))))</f>
        <v>13</v>
      </c>
      <c r="D260">
        <f>IF($A260&gt;$B$9,"",IF(COUNTIFS(Base!$B$3:$B$5001,D$232,Base!$A$3:$A$5001,"&gt;="&amp;$C$7,Base!$A$3:$A$5001,"&lt;="&amp;$B260,Base!$Z$3:$Z$5001,"&lt;&gt;")=0,"",SUMIFS(Base!$Z$3:$Z$5001,Base!$B$3:$B$5001,D$232,Base!$A$3:$A$5001,_xlfn.MAXIFS(Base!$A$3:$A$5001,Base!$B$3:$B$5001,D$232,Base!$A$3:$A$5001,"&gt;="&amp;$C$7,Base!$A$3:$A$5001,"&lt;="&amp;$B260,Base!$Z$3:$Z$5001,"&lt;&gt;"))))</f>
        <v>4</v>
      </c>
      <c r="E260">
        <f>IF($A260&gt;$B$9,"",IF(COUNTIFS(Base!$B$3:$B$5001,E$232,Base!$A$3:$A$5001,"&gt;="&amp;$C$7,Base!$A$3:$A$5001,"&lt;="&amp;$B260,Base!$Z$3:$Z$5001,"&lt;&gt;")=0,"",SUMIFS(Base!$Z$3:$Z$5001,Base!$B$3:$B$5001,E$232,Base!$A$3:$A$5001,_xlfn.MAXIFS(Base!$A$3:$A$5001,Base!$B$3:$B$5001,E$232,Base!$A$3:$A$5001,"&gt;="&amp;$C$7,Base!$A$3:$A$5001,"&lt;="&amp;$B260,Base!$Z$3:$Z$5001,"&lt;&gt;"))))</f>
        <v>11</v>
      </c>
      <c r="F260">
        <f>IF($A260&gt;$B$9,"",IF(COUNTIFS(Base!$B$3:$B$5001,F$232,Base!$A$3:$A$5001,"&gt;="&amp;$C$7,Base!$A$3:$A$5001,"&lt;="&amp;$B260,Base!$Z$3:$Z$5001,"&lt;&gt;")=0,"",SUMIFS(Base!$Z$3:$Z$5001,Base!$B$3:$B$5001,F$232,Base!$A$3:$A$5001,_xlfn.MAXIFS(Base!$A$3:$A$5001,Base!$B$3:$B$5001,F$232,Base!$A$3:$A$5001,"&gt;="&amp;$C$7,Base!$A$3:$A$5001,"&lt;="&amp;$B260,Base!$Z$3:$Z$5001,"&lt;&gt;"))))</f>
        <v>6</v>
      </c>
      <c r="G260">
        <f>IF($A260&gt;$B$9,"",IF(COUNTIFS(Base!$B$3:$B$5001,G$232,Base!$A$3:$A$5001,"&gt;="&amp;$C$7,Base!$A$3:$A$5001,"&lt;="&amp;$B260,Base!$Z$3:$Z$5001,"&lt;&gt;")=0,"",SUMIFS(Base!$Z$3:$Z$5001,Base!$B$3:$B$5001,G$232,Base!$A$3:$A$5001,_xlfn.MAXIFS(Base!$A$3:$A$5001,Base!$B$3:$B$5001,G$232,Base!$A$3:$A$5001,"&gt;="&amp;$C$7,Base!$A$3:$A$5001,"&lt;="&amp;$B260,Base!$Z$3:$Z$5001,"&lt;&gt;"))))</f>
        <v>7</v>
      </c>
      <c r="H260">
        <f>IF($A260&gt;$B$9,"",IF(COUNTIFS(Base!$B$3:$B$5001,H$232,Base!$A$3:$A$5001,"&gt;="&amp;$C$7,Base!$A$3:$A$5001,"&lt;="&amp;$B260,Base!$Z$3:$Z$5001,"&lt;&gt;")=0,"",SUMIFS(Base!$Z$3:$Z$5001,Base!$B$3:$B$5001,H$232,Base!$A$3:$A$5001,_xlfn.MAXIFS(Base!$A$3:$A$5001,Base!$B$3:$B$5001,H$232,Base!$A$3:$A$5001,"&gt;="&amp;$C$7,Base!$A$3:$A$5001,"&lt;="&amp;$B260,Base!$Z$3:$Z$5001,"&lt;&gt;"))))</f>
        <v>9</v>
      </c>
      <c r="I260">
        <f>IF($A260&gt;$B$9,"",IF(COUNTIFS(Base!$B$3:$B$5001,I$232,Base!$A$3:$A$5001,"&gt;="&amp;$C$7,Base!$A$3:$A$5001,"&lt;="&amp;$B260,Base!$Z$3:$Z$5001,"&lt;&gt;")=0,"",SUMIFS(Base!$Z$3:$Z$5001,Base!$B$3:$B$5001,I$232,Base!$A$3:$A$5001,_xlfn.MAXIFS(Base!$A$3:$A$5001,Base!$B$3:$B$5001,I$232,Base!$A$3:$A$5001,"&gt;="&amp;$C$7,Base!$A$3:$A$5001,"&lt;="&amp;$B260,Base!$Z$3:$Z$5001,"&lt;&gt;"))))</f>
        <v>10</v>
      </c>
      <c r="J260">
        <f>IF($A260&gt;$B$9,"",IF(COUNTIFS(Base!$B$3:$B$5001,J$232,Base!$A$3:$A$5001,"&gt;="&amp;$C$7,Base!$A$3:$A$5001,"&lt;="&amp;$B260,Base!$Z$3:$Z$5001,"&lt;&gt;")=0,"",SUMIFS(Base!$Z$3:$Z$5001,Base!$B$3:$B$5001,J$232,Base!$A$3:$A$5001,_xlfn.MAXIFS(Base!$A$3:$A$5001,Base!$B$3:$B$5001,J$232,Base!$A$3:$A$5001,"&gt;="&amp;$C$7,Base!$A$3:$A$5001,"&lt;="&amp;$B260,Base!$Z$3:$Z$5001,"&lt;&gt;"))))</f>
        <v>11</v>
      </c>
      <c r="K260">
        <f>IF($A260&gt;$B$9,"",IF(COUNTIFS(Base!$B$3:$B$5001,K$232,Base!$A$3:$A$5001,"&gt;="&amp;$C$7,Base!$A$3:$A$5001,"&lt;="&amp;$B260,Base!$Z$3:$Z$5001,"&lt;&gt;")=0,"",SUMIFS(Base!$Z$3:$Z$5001,Base!$B$3:$B$5001,K$232,Base!$A$3:$A$5001,_xlfn.MAXIFS(Base!$A$3:$A$5001,Base!$B$3:$B$5001,K$232,Base!$A$3:$A$5001,"&gt;="&amp;$C$7,Base!$A$3:$A$5001,"&lt;="&amp;$B260,Base!$Z$3:$Z$5001,"&lt;&gt;"))))</f>
        <v>7</v>
      </c>
    </row>
    <row r="261">
      <c r="A261">
        <v>29</v>
      </c>
      <c r="B261" s="152">
        <f>$B$40</f>
        <v>46294</v>
      </c>
      <c r="C261">
        <f>IF($A261&gt;$B$9,"",IF(COUNTIFS(Base!$B$3:$B$5001,C$232,Base!$A$3:$A$5001,"&gt;="&amp;$C$7,Base!$A$3:$A$5001,"&lt;="&amp;$B261,Base!$Z$3:$Z$5001,"&lt;&gt;")=0,"",SUMIFS(Base!$Z$3:$Z$5001,Base!$B$3:$B$5001,C$232,Base!$A$3:$A$5001,_xlfn.MAXIFS(Base!$A$3:$A$5001,Base!$B$3:$B$5001,C$232,Base!$A$3:$A$5001,"&gt;="&amp;$C$7,Base!$A$3:$A$5001,"&lt;="&amp;$B261,Base!$Z$3:$Z$5001,"&lt;&gt;"))))</f>
        <v>6</v>
      </c>
      <c r="D261">
        <f>IF($A261&gt;$B$9,"",IF(COUNTIFS(Base!$B$3:$B$5001,D$232,Base!$A$3:$A$5001,"&gt;="&amp;$C$7,Base!$A$3:$A$5001,"&lt;="&amp;$B261,Base!$Z$3:$Z$5001,"&lt;&gt;")=0,"",SUMIFS(Base!$Z$3:$Z$5001,Base!$B$3:$B$5001,D$232,Base!$A$3:$A$5001,_xlfn.MAXIFS(Base!$A$3:$A$5001,Base!$B$3:$B$5001,D$232,Base!$A$3:$A$5001,"&gt;="&amp;$C$7,Base!$A$3:$A$5001,"&lt;="&amp;$B261,Base!$Z$3:$Z$5001,"&lt;&gt;"))))</f>
        <v>5</v>
      </c>
      <c r="E261">
        <f>IF($A261&gt;$B$9,"",IF(COUNTIFS(Base!$B$3:$B$5001,E$232,Base!$A$3:$A$5001,"&gt;="&amp;$C$7,Base!$A$3:$A$5001,"&lt;="&amp;$B261,Base!$Z$3:$Z$5001,"&lt;&gt;")=0,"",SUMIFS(Base!$Z$3:$Z$5001,Base!$B$3:$B$5001,E$232,Base!$A$3:$A$5001,_xlfn.MAXIFS(Base!$A$3:$A$5001,Base!$B$3:$B$5001,E$232,Base!$A$3:$A$5001,"&gt;="&amp;$C$7,Base!$A$3:$A$5001,"&lt;="&amp;$B261,Base!$Z$3:$Z$5001,"&lt;&gt;"))))</f>
        <v>9</v>
      </c>
      <c r="F261">
        <f>IF($A261&gt;$B$9,"",IF(COUNTIFS(Base!$B$3:$B$5001,F$232,Base!$A$3:$A$5001,"&gt;="&amp;$C$7,Base!$A$3:$A$5001,"&lt;="&amp;$B261,Base!$Z$3:$Z$5001,"&lt;&gt;")=0,"",SUMIFS(Base!$Z$3:$Z$5001,Base!$B$3:$B$5001,F$232,Base!$A$3:$A$5001,_xlfn.MAXIFS(Base!$A$3:$A$5001,Base!$B$3:$B$5001,F$232,Base!$A$3:$A$5001,"&gt;="&amp;$C$7,Base!$A$3:$A$5001,"&lt;="&amp;$B261,Base!$Z$3:$Z$5001,"&lt;&gt;"))))</f>
        <v>11</v>
      </c>
      <c r="G261">
        <f>IF($A261&gt;$B$9,"",IF(COUNTIFS(Base!$B$3:$B$5001,G$232,Base!$A$3:$A$5001,"&gt;="&amp;$C$7,Base!$A$3:$A$5001,"&lt;="&amp;$B261,Base!$Z$3:$Z$5001,"&lt;&gt;")=0,"",SUMIFS(Base!$Z$3:$Z$5001,Base!$B$3:$B$5001,G$232,Base!$A$3:$A$5001,_xlfn.MAXIFS(Base!$A$3:$A$5001,Base!$B$3:$B$5001,G$232,Base!$A$3:$A$5001,"&gt;="&amp;$C$7,Base!$A$3:$A$5001,"&lt;="&amp;$B261,Base!$Z$3:$Z$5001,"&lt;&gt;"))))</f>
        <v>6</v>
      </c>
      <c r="H261">
        <f>IF($A261&gt;$B$9,"",IF(COUNTIFS(Base!$B$3:$B$5001,H$232,Base!$A$3:$A$5001,"&gt;="&amp;$C$7,Base!$A$3:$A$5001,"&lt;="&amp;$B261,Base!$Z$3:$Z$5001,"&lt;&gt;")=0,"",SUMIFS(Base!$Z$3:$Z$5001,Base!$B$3:$B$5001,H$232,Base!$A$3:$A$5001,_xlfn.MAXIFS(Base!$A$3:$A$5001,Base!$B$3:$B$5001,H$232,Base!$A$3:$A$5001,"&gt;="&amp;$C$7,Base!$A$3:$A$5001,"&lt;="&amp;$B261,Base!$Z$3:$Z$5001,"&lt;&gt;"))))</f>
        <v>6</v>
      </c>
      <c r="I261">
        <f>IF($A261&gt;$B$9,"",IF(COUNTIFS(Base!$B$3:$B$5001,I$232,Base!$A$3:$A$5001,"&gt;="&amp;$C$7,Base!$A$3:$A$5001,"&lt;="&amp;$B261,Base!$Z$3:$Z$5001,"&lt;&gt;")=0,"",SUMIFS(Base!$Z$3:$Z$5001,Base!$B$3:$B$5001,I$232,Base!$A$3:$A$5001,_xlfn.MAXIFS(Base!$A$3:$A$5001,Base!$B$3:$B$5001,I$232,Base!$A$3:$A$5001,"&gt;="&amp;$C$7,Base!$A$3:$A$5001,"&lt;="&amp;$B261,Base!$Z$3:$Z$5001,"&lt;&gt;"))))</f>
        <v>7</v>
      </c>
      <c r="J261">
        <f>IF($A261&gt;$B$9,"",IF(COUNTIFS(Base!$B$3:$B$5001,J$232,Base!$A$3:$A$5001,"&gt;="&amp;$C$7,Base!$A$3:$A$5001,"&lt;="&amp;$B261,Base!$Z$3:$Z$5001,"&lt;&gt;")=0,"",SUMIFS(Base!$Z$3:$Z$5001,Base!$B$3:$B$5001,J$232,Base!$A$3:$A$5001,_xlfn.MAXIFS(Base!$A$3:$A$5001,Base!$B$3:$B$5001,J$232,Base!$A$3:$A$5001,"&gt;="&amp;$C$7,Base!$A$3:$A$5001,"&lt;="&amp;$B261,Base!$Z$3:$Z$5001,"&lt;&gt;"))))</f>
        <v>5</v>
      </c>
      <c r="K261">
        <f>IF($A261&gt;$B$9,"",IF(COUNTIFS(Base!$B$3:$B$5001,K$232,Base!$A$3:$A$5001,"&gt;="&amp;$C$7,Base!$A$3:$A$5001,"&lt;="&amp;$B261,Base!$Z$3:$Z$5001,"&lt;&gt;")=0,"",SUMIFS(Base!$Z$3:$Z$5001,Base!$B$3:$B$5001,K$232,Base!$A$3:$A$5001,_xlfn.MAXIFS(Base!$A$3:$A$5001,Base!$B$3:$B$5001,K$232,Base!$A$3:$A$5001,"&gt;="&amp;$C$7,Base!$A$3:$A$5001,"&lt;="&amp;$B261,Base!$Z$3:$Z$5001,"&lt;&gt;"))))</f>
        <v>14</v>
      </c>
    </row>
    <row r="262">
      <c r="A262">
        <v>30</v>
      </c>
      <c r="B262" s="152">
        <f>$B$41</f>
        <v>46295</v>
      </c>
      <c r="C262" t="str">
        <f>IF($A262&gt;$B$9,"",IF(COUNTIFS(Base!$B$3:$B$5001,C$232,Base!$A$3:$A$5001,"&gt;="&amp;$C$7,Base!$A$3:$A$5001,"&lt;="&amp;$B262,Base!$Z$3:$Z$5001,"&lt;&gt;")=0,"",SUMIFS(Base!$Z$3:$Z$5001,Base!$B$3:$B$5001,C$232,Base!$A$3:$A$5001,_xlfn.MAXIFS(Base!$A$3:$A$5001,Base!$B$3:$B$5001,C$232,Base!$A$3:$A$5001,"&gt;="&amp;$C$7,Base!$A$3:$A$5001,"&lt;="&amp;$B262,Base!$Z$3:$Z$5001,"&lt;&gt;"))))</f>
        <v/>
      </c>
      <c r="D262" t="str">
        <f>IF($A262&gt;$B$9,"",IF(COUNTIFS(Base!$B$3:$B$5001,D$232,Base!$A$3:$A$5001,"&gt;="&amp;$C$7,Base!$A$3:$A$5001,"&lt;="&amp;$B262,Base!$Z$3:$Z$5001,"&lt;&gt;")=0,"",SUMIFS(Base!$Z$3:$Z$5001,Base!$B$3:$B$5001,D$232,Base!$A$3:$A$5001,_xlfn.MAXIFS(Base!$A$3:$A$5001,Base!$B$3:$B$5001,D$232,Base!$A$3:$A$5001,"&gt;="&amp;$C$7,Base!$A$3:$A$5001,"&lt;="&amp;$B262,Base!$Z$3:$Z$5001,"&lt;&gt;"))))</f>
        <v/>
      </c>
      <c r="E262" t="str">
        <f>IF($A262&gt;$B$9,"",IF(COUNTIFS(Base!$B$3:$B$5001,E$232,Base!$A$3:$A$5001,"&gt;="&amp;$C$7,Base!$A$3:$A$5001,"&lt;="&amp;$B262,Base!$Z$3:$Z$5001,"&lt;&gt;")=0,"",SUMIFS(Base!$Z$3:$Z$5001,Base!$B$3:$B$5001,E$232,Base!$A$3:$A$5001,_xlfn.MAXIFS(Base!$A$3:$A$5001,Base!$B$3:$B$5001,E$232,Base!$A$3:$A$5001,"&gt;="&amp;$C$7,Base!$A$3:$A$5001,"&lt;="&amp;$B262,Base!$Z$3:$Z$5001,"&lt;&gt;"))))</f>
        <v/>
      </c>
      <c r="F262" t="str">
        <f>IF($A262&gt;$B$9,"",IF(COUNTIFS(Base!$B$3:$B$5001,F$232,Base!$A$3:$A$5001,"&gt;="&amp;$C$7,Base!$A$3:$A$5001,"&lt;="&amp;$B262,Base!$Z$3:$Z$5001,"&lt;&gt;")=0,"",SUMIFS(Base!$Z$3:$Z$5001,Base!$B$3:$B$5001,F$232,Base!$A$3:$A$5001,_xlfn.MAXIFS(Base!$A$3:$A$5001,Base!$B$3:$B$5001,F$232,Base!$A$3:$A$5001,"&gt;="&amp;$C$7,Base!$A$3:$A$5001,"&lt;="&amp;$B262,Base!$Z$3:$Z$5001,"&lt;&gt;"))))</f>
        <v/>
      </c>
      <c r="G262" t="str">
        <f>IF($A262&gt;$B$9,"",IF(COUNTIFS(Base!$B$3:$B$5001,G$232,Base!$A$3:$A$5001,"&gt;="&amp;$C$7,Base!$A$3:$A$5001,"&lt;="&amp;$B262,Base!$Z$3:$Z$5001,"&lt;&gt;")=0,"",SUMIFS(Base!$Z$3:$Z$5001,Base!$B$3:$B$5001,G$232,Base!$A$3:$A$5001,_xlfn.MAXIFS(Base!$A$3:$A$5001,Base!$B$3:$B$5001,G$232,Base!$A$3:$A$5001,"&gt;="&amp;$C$7,Base!$A$3:$A$5001,"&lt;="&amp;$B262,Base!$Z$3:$Z$5001,"&lt;&gt;"))))</f>
        <v/>
      </c>
      <c r="H262" t="str">
        <f>IF($A262&gt;$B$9,"",IF(COUNTIFS(Base!$B$3:$B$5001,H$232,Base!$A$3:$A$5001,"&gt;="&amp;$C$7,Base!$A$3:$A$5001,"&lt;="&amp;$B262,Base!$Z$3:$Z$5001,"&lt;&gt;")=0,"",SUMIFS(Base!$Z$3:$Z$5001,Base!$B$3:$B$5001,H$232,Base!$A$3:$A$5001,_xlfn.MAXIFS(Base!$A$3:$A$5001,Base!$B$3:$B$5001,H$232,Base!$A$3:$A$5001,"&gt;="&amp;$C$7,Base!$A$3:$A$5001,"&lt;="&amp;$B262,Base!$Z$3:$Z$5001,"&lt;&gt;"))))</f>
        <v/>
      </c>
      <c r="I262" t="str">
        <f>IF($A262&gt;$B$9,"",IF(COUNTIFS(Base!$B$3:$B$5001,I$232,Base!$A$3:$A$5001,"&gt;="&amp;$C$7,Base!$A$3:$A$5001,"&lt;="&amp;$B262,Base!$Z$3:$Z$5001,"&lt;&gt;")=0,"",SUMIFS(Base!$Z$3:$Z$5001,Base!$B$3:$B$5001,I$232,Base!$A$3:$A$5001,_xlfn.MAXIFS(Base!$A$3:$A$5001,Base!$B$3:$B$5001,I$232,Base!$A$3:$A$5001,"&gt;="&amp;$C$7,Base!$A$3:$A$5001,"&lt;="&amp;$B262,Base!$Z$3:$Z$5001,"&lt;&gt;"))))</f>
        <v/>
      </c>
      <c r="J262" t="str">
        <f>IF($A262&gt;$B$9,"",IF(COUNTIFS(Base!$B$3:$B$5001,J$232,Base!$A$3:$A$5001,"&gt;="&amp;$C$7,Base!$A$3:$A$5001,"&lt;="&amp;$B262,Base!$Z$3:$Z$5001,"&lt;&gt;")=0,"",SUMIFS(Base!$Z$3:$Z$5001,Base!$B$3:$B$5001,J$232,Base!$A$3:$A$5001,_xlfn.MAXIFS(Base!$A$3:$A$5001,Base!$B$3:$B$5001,J$232,Base!$A$3:$A$5001,"&gt;="&amp;$C$7,Base!$A$3:$A$5001,"&lt;="&amp;$B262,Base!$Z$3:$Z$5001,"&lt;&gt;"))))</f>
        <v/>
      </c>
      <c r="K262" t="str">
        <f>IF($A262&gt;$B$9,"",IF(COUNTIFS(Base!$B$3:$B$5001,K$232,Base!$A$3:$A$5001,"&gt;="&amp;$C$7,Base!$A$3:$A$5001,"&lt;="&amp;$B262,Base!$Z$3:$Z$5001,"&lt;&gt;")=0,"",SUMIFS(Base!$Z$3:$Z$5001,Base!$B$3:$B$5001,K$232,Base!$A$3:$A$5001,_xlfn.MAXIFS(Base!$A$3:$A$5001,Base!$B$3:$B$5001,K$232,Base!$A$3:$A$5001,"&gt;="&amp;$C$7,Base!$A$3:$A$5001,"&lt;="&amp;$B262,Base!$Z$3:$Z$5001,"&lt;&gt;"))))</f>
        <v/>
      </c>
    </row>
    <row r="263">
      <c r="A263">
        <v>31</v>
      </c>
      <c r="B263" s="152" t="str">
        <f>$B$42</f>
        <v/>
      </c>
      <c r="C263" t="str">
        <f>IF($A263&gt;$B$9,"",IF(COUNTIFS(Base!$B$3:$B$5001,C$232,Base!$A$3:$A$5001,"&gt;="&amp;$C$7,Base!$A$3:$A$5001,"&lt;="&amp;$B263,Base!$Z$3:$Z$5001,"&lt;&gt;")=0,"",SUMIFS(Base!$Z$3:$Z$5001,Base!$B$3:$B$5001,C$232,Base!$A$3:$A$5001,_xlfn.MAXIFS(Base!$A$3:$A$5001,Base!$B$3:$B$5001,C$232,Base!$A$3:$A$5001,"&gt;="&amp;$C$7,Base!$A$3:$A$5001,"&lt;="&amp;$B263,Base!$Z$3:$Z$5001,"&lt;&gt;"))))</f>
        <v/>
      </c>
      <c r="D263" t="str">
        <f>IF($A263&gt;$B$9,"",IF(COUNTIFS(Base!$B$3:$B$5001,D$232,Base!$A$3:$A$5001,"&gt;="&amp;$C$7,Base!$A$3:$A$5001,"&lt;="&amp;$B263,Base!$Z$3:$Z$5001,"&lt;&gt;")=0,"",SUMIFS(Base!$Z$3:$Z$5001,Base!$B$3:$B$5001,D$232,Base!$A$3:$A$5001,_xlfn.MAXIFS(Base!$A$3:$A$5001,Base!$B$3:$B$5001,D$232,Base!$A$3:$A$5001,"&gt;="&amp;$C$7,Base!$A$3:$A$5001,"&lt;="&amp;$B263,Base!$Z$3:$Z$5001,"&lt;&gt;"))))</f>
        <v/>
      </c>
      <c r="E263" t="str">
        <f>IF($A263&gt;$B$9,"",IF(COUNTIFS(Base!$B$3:$B$5001,E$232,Base!$A$3:$A$5001,"&gt;="&amp;$C$7,Base!$A$3:$A$5001,"&lt;="&amp;$B263,Base!$Z$3:$Z$5001,"&lt;&gt;")=0,"",SUMIFS(Base!$Z$3:$Z$5001,Base!$B$3:$B$5001,E$232,Base!$A$3:$A$5001,_xlfn.MAXIFS(Base!$A$3:$A$5001,Base!$B$3:$B$5001,E$232,Base!$A$3:$A$5001,"&gt;="&amp;$C$7,Base!$A$3:$A$5001,"&lt;="&amp;$B263,Base!$Z$3:$Z$5001,"&lt;&gt;"))))</f>
        <v/>
      </c>
      <c r="F263" t="str">
        <f>IF($A263&gt;$B$9,"",IF(COUNTIFS(Base!$B$3:$B$5001,F$232,Base!$A$3:$A$5001,"&gt;="&amp;$C$7,Base!$A$3:$A$5001,"&lt;="&amp;$B263,Base!$Z$3:$Z$5001,"&lt;&gt;")=0,"",SUMIFS(Base!$Z$3:$Z$5001,Base!$B$3:$B$5001,F$232,Base!$A$3:$A$5001,_xlfn.MAXIFS(Base!$A$3:$A$5001,Base!$B$3:$B$5001,F$232,Base!$A$3:$A$5001,"&gt;="&amp;$C$7,Base!$A$3:$A$5001,"&lt;="&amp;$B263,Base!$Z$3:$Z$5001,"&lt;&gt;"))))</f>
        <v/>
      </c>
      <c r="G263" t="str">
        <f>IF($A263&gt;$B$9,"",IF(COUNTIFS(Base!$B$3:$B$5001,G$232,Base!$A$3:$A$5001,"&gt;="&amp;$C$7,Base!$A$3:$A$5001,"&lt;="&amp;$B263,Base!$Z$3:$Z$5001,"&lt;&gt;")=0,"",SUMIFS(Base!$Z$3:$Z$5001,Base!$B$3:$B$5001,G$232,Base!$A$3:$A$5001,_xlfn.MAXIFS(Base!$A$3:$A$5001,Base!$B$3:$B$5001,G$232,Base!$A$3:$A$5001,"&gt;="&amp;$C$7,Base!$A$3:$A$5001,"&lt;="&amp;$B263,Base!$Z$3:$Z$5001,"&lt;&gt;"))))</f>
        <v/>
      </c>
      <c r="H263" t="str">
        <f>IF($A263&gt;$B$9,"",IF(COUNTIFS(Base!$B$3:$B$5001,H$232,Base!$A$3:$A$5001,"&gt;="&amp;$C$7,Base!$A$3:$A$5001,"&lt;="&amp;$B263,Base!$Z$3:$Z$5001,"&lt;&gt;")=0,"",SUMIFS(Base!$Z$3:$Z$5001,Base!$B$3:$B$5001,H$232,Base!$A$3:$A$5001,_xlfn.MAXIFS(Base!$A$3:$A$5001,Base!$B$3:$B$5001,H$232,Base!$A$3:$A$5001,"&gt;="&amp;$C$7,Base!$A$3:$A$5001,"&lt;="&amp;$B263,Base!$Z$3:$Z$5001,"&lt;&gt;"))))</f>
        <v/>
      </c>
      <c r="I263" t="str">
        <f>IF($A263&gt;$B$9,"",IF(COUNTIFS(Base!$B$3:$B$5001,I$232,Base!$A$3:$A$5001,"&gt;="&amp;$C$7,Base!$A$3:$A$5001,"&lt;="&amp;$B263,Base!$Z$3:$Z$5001,"&lt;&gt;")=0,"",SUMIFS(Base!$Z$3:$Z$5001,Base!$B$3:$B$5001,I$232,Base!$A$3:$A$5001,_xlfn.MAXIFS(Base!$A$3:$A$5001,Base!$B$3:$B$5001,I$232,Base!$A$3:$A$5001,"&gt;="&amp;$C$7,Base!$A$3:$A$5001,"&lt;="&amp;$B263,Base!$Z$3:$Z$5001,"&lt;&gt;"))))</f>
        <v/>
      </c>
      <c r="J263" t="str">
        <f>IF($A263&gt;$B$9,"",IF(COUNTIFS(Base!$B$3:$B$5001,J$232,Base!$A$3:$A$5001,"&gt;="&amp;$C$7,Base!$A$3:$A$5001,"&lt;="&amp;$B263,Base!$Z$3:$Z$5001,"&lt;&gt;")=0,"",SUMIFS(Base!$Z$3:$Z$5001,Base!$B$3:$B$5001,J$232,Base!$A$3:$A$5001,_xlfn.MAXIFS(Base!$A$3:$A$5001,Base!$B$3:$B$5001,J$232,Base!$A$3:$A$5001,"&gt;="&amp;$C$7,Base!$A$3:$A$5001,"&lt;="&amp;$B263,Base!$Z$3:$Z$5001,"&lt;&gt;"))))</f>
        <v/>
      </c>
      <c r="K263" t="str">
        <f>IF($A263&gt;$B$9,"",IF(COUNTIFS(Base!$B$3:$B$5001,K$232,Base!$A$3:$A$5001,"&gt;="&amp;$C$7,Base!$A$3:$A$5001,"&lt;="&amp;$B263,Base!$Z$3:$Z$5001,"&lt;&gt;")=0,"",SUMIFS(Base!$Z$3:$Z$5001,Base!$B$3:$B$5001,K$232,Base!$A$3:$A$5001,_xlfn.MAXIFS(Base!$A$3:$A$5001,Base!$B$3:$B$5001,K$232,Base!$A$3:$A$5001,"&gt;="&amp;$C$7,Base!$A$3:$A$5001,"&lt;="&amp;$B263,Base!$Z$3:$Z$5001,"&lt;&gt;"))))</f>
        <v/>
      </c>
    </row>
    <row r="264">
      <c r="A264" t="inlineStr">
        <is>
          <t xml:space="preserve">Mês anterior (último)</t>
        </is>
      </c>
      <c r="C264">
        <f>IF(COUNTIFS(Base!$B$3:$B$5001,C$232,Base!$A$3:$A$5001,"&gt;="&amp;$C$8,Base!$A$3:$A$5001,"&lt;="&amp;$D$8,Base!$Z$3:$Z$5001,"&lt;&gt;")=0,"",SUMIFS(Base!$Z$3:$Z$5001,Base!$B$3:$B$5001,C$232,Base!$A$3:$A$5001,_xlfn.MAXIFS(Base!$A$3:$A$5001,Base!$B$3:$B$5001,C$232,Base!$A$3:$A$5001,"&gt;="&amp;$C$8,Base!$A$3:$A$5001,"&lt;="&amp;$D$8,Base!$Z$3:$Z$5001,"&lt;&gt;")))</f>
        <v>5</v>
      </c>
      <c r="D264">
        <f>IF(COUNTIFS(Base!$B$3:$B$5001,D$232,Base!$A$3:$A$5001,"&gt;="&amp;$C$8,Base!$A$3:$A$5001,"&lt;="&amp;$D$8,Base!$Z$3:$Z$5001,"&lt;&gt;")=0,"",SUMIFS(Base!$Z$3:$Z$5001,Base!$B$3:$B$5001,D$232,Base!$A$3:$A$5001,_xlfn.MAXIFS(Base!$A$3:$A$5001,Base!$B$3:$B$5001,D$232,Base!$A$3:$A$5001,"&gt;="&amp;$C$8,Base!$A$3:$A$5001,"&lt;="&amp;$D$8,Base!$Z$3:$Z$5001,"&lt;&gt;")))</f>
        <v>14</v>
      </c>
      <c r="E264">
        <f>IF(COUNTIFS(Base!$B$3:$B$5001,E$232,Base!$A$3:$A$5001,"&gt;="&amp;$C$8,Base!$A$3:$A$5001,"&lt;="&amp;$D$8,Base!$Z$3:$Z$5001,"&lt;&gt;")=0,"",SUMIFS(Base!$Z$3:$Z$5001,Base!$B$3:$B$5001,E$232,Base!$A$3:$A$5001,_xlfn.MAXIFS(Base!$A$3:$A$5001,Base!$B$3:$B$5001,E$232,Base!$A$3:$A$5001,"&gt;="&amp;$C$8,Base!$A$3:$A$5001,"&lt;="&amp;$D$8,Base!$Z$3:$Z$5001,"&lt;&gt;")))</f>
        <v>11</v>
      </c>
      <c r="F264">
        <f>IF(COUNTIFS(Base!$B$3:$B$5001,F$232,Base!$A$3:$A$5001,"&gt;="&amp;$C$8,Base!$A$3:$A$5001,"&lt;="&amp;$D$8,Base!$Z$3:$Z$5001,"&lt;&gt;")=0,"",SUMIFS(Base!$Z$3:$Z$5001,Base!$B$3:$B$5001,F$232,Base!$A$3:$A$5001,_xlfn.MAXIFS(Base!$A$3:$A$5001,Base!$B$3:$B$5001,F$232,Base!$A$3:$A$5001,"&gt;="&amp;$C$8,Base!$A$3:$A$5001,"&lt;="&amp;$D$8,Base!$Z$3:$Z$5001,"&lt;&gt;")))</f>
        <v>13</v>
      </c>
      <c r="G264">
        <f>IF(COUNTIFS(Base!$B$3:$B$5001,G$232,Base!$A$3:$A$5001,"&gt;="&amp;$C$8,Base!$A$3:$A$5001,"&lt;="&amp;$D$8,Base!$Z$3:$Z$5001,"&lt;&gt;")=0,"",SUMIFS(Base!$Z$3:$Z$5001,Base!$B$3:$B$5001,G$232,Base!$A$3:$A$5001,_xlfn.MAXIFS(Base!$A$3:$A$5001,Base!$B$3:$B$5001,G$232,Base!$A$3:$A$5001,"&gt;="&amp;$C$8,Base!$A$3:$A$5001,"&lt;="&amp;$D$8,Base!$Z$3:$Z$5001,"&lt;&gt;")))</f>
        <v>5</v>
      </c>
      <c r="H264">
        <f>IF(COUNTIFS(Base!$B$3:$B$5001,H$232,Base!$A$3:$A$5001,"&gt;="&amp;$C$8,Base!$A$3:$A$5001,"&lt;="&amp;$D$8,Base!$Z$3:$Z$5001,"&lt;&gt;")=0,"",SUMIFS(Base!$Z$3:$Z$5001,Base!$B$3:$B$5001,H$232,Base!$A$3:$A$5001,_xlfn.MAXIFS(Base!$A$3:$A$5001,Base!$B$3:$B$5001,H$232,Base!$A$3:$A$5001,"&gt;="&amp;$C$8,Base!$A$3:$A$5001,"&lt;="&amp;$D$8,Base!$Z$3:$Z$5001,"&lt;&gt;")))</f>
        <v>7</v>
      </c>
      <c r="I264">
        <f>IF(COUNTIFS(Base!$B$3:$B$5001,I$232,Base!$A$3:$A$5001,"&gt;="&amp;$C$8,Base!$A$3:$A$5001,"&lt;="&amp;$D$8,Base!$Z$3:$Z$5001,"&lt;&gt;")=0,"",SUMIFS(Base!$Z$3:$Z$5001,Base!$B$3:$B$5001,I$232,Base!$A$3:$A$5001,_xlfn.MAXIFS(Base!$A$3:$A$5001,Base!$B$3:$B$5001,I$232,Base!$A$3:$A$5001,"&gt;="&amp;$C$8,Base!$A$3:$A$5001,"&lt;="&amp;$D$8,Base!$Z$3:$Z$5001,"&lt;&gt;")))</f>
        <v>6</v>
      </c>
      <c r="J264">
        <f>IF(COUNTIFS(Base!$B$3:$B$5001,J$232,Base!$A$3:$A$5001,"&gt;="&amp;$C$8,Base!$A$3:$A$5001,"&lt;="&amp;$D$8,Base!$Z$3:$Z$5001,"&lt;&gt;")=0,"",SUMIFS(Base!$Z$3:$Z$5001,Base!$B$3:$B$5001,J$232,Base!$A$3:$A$5001,_xlfn.MAXIFS(Base!$A$3:$A$5001,Base!$B$3:$B$5001,J$232,Base!$A$3:$A$5001,"&gt;="&amp;$C$8,Base!$A$3:$A$5001,"&lt;="&amp;$D$8,Base!$Z$3:$Z$5001,"&lt;&gt;")))</f>
        <v>12</v>
      </c>
      <c r="K264">
        <f>IF(COUNTIFS(Base!$B$3:$B$5001,K$232,Base!$A$3:$A$5001,"&gt;="&amp;$C$8,Base!$A$3:$A$5001,"&lt;="&amp;$D$8,Base!$Z$3:$Z$5001,"&lt;&gt;")=0,"",SUMIFS(Base!$Z$3:$Z$5001,Base!$B$3:$B$5001,K$232,Base!$A$3:$A$5001,_xlfn.MAXIFS(Base!$A$3:$A$5001,Base!$B$3:$B$5001,K$232,Base!$A$3:$A$5001,"&gt;="&amp;$C$8,Base!$A$3:$A$5001,"&lt;="&amp;$D$8,Base!$Z$3:$Z$5001,"&lt;&gt;")))</f>
        <v>6</v>
      </c>
    </row>
    <row r="268">
      <c r="A268" t="inlineStr">
        <is>
          <t xml:space="preserve">INDICADORES POR CLIENTE (x = o cliente usa o indicador; a Base acinzenta e bloqueia os demais)</t>
        </is>
      </c>
    </row>
    <row r="269">
      <c r="A269" s="145" t="inlineStr">
        <is>
          <t xml:space="preserve">Cliente</t>
        </is>
      </c>
      <c r="B269" s="145" t="inlineStr">
        <is>
          <t xml:space="preserve">IN Veículos Recebidos</t>
        </is>
      </c>
      <c r="C269" s="145" t="inlineStr">
        <is>
          <t xml:space="preserve">IN Pallets Movimentados</t>
        </is>
      </c>
      <c r="D269" s="145" t="inlineStr">
        <is>
          <t xml:space="preserve">IN Toneladas Movimentadas</t>
        </is>
      </c>
      <c r="E269" s="145" t="inlineStr">
        <is>
          <t xml:space="preserve">IN Caixas Movimentadas</t>
        </is>
      </c>
      <c r="F269" s="145" t="inlineStr">
        <is>
          <t xml:space="preserve">IN Itens Recebidos CX Mista</t>
        </is>
      </c>
      <c r="G269" s="145" t="inlineStr">
        <is>
          <t xml:space="preserve">IN Caixas Mistas Recebidas</t>
        </is>
      </c>
      <c r="H269" s="145" t="inlineStr">
        <is>
          <t xml:space="preserve">IN Caixas Fechadas</t>
        </is>
      </c>
      <c r="I269" s="145" t="inlineStr">
        <is>
          <t xml:space="preserve">IN Peças Movimentadas</t>
        </is>
      </c>
      <c r="J269" s="145" t="inlineStr">
        <is>
          <t xml:space="preserve">IN Linhas NF</t>
        </is>
      </c>
      <c r="K269" s="145" t="inlineStr">
        <is>
          <t xml:space="preserve">OUT Veículos Expedidos</t>
        </is>
      </c>
      <c r="L269" s="145" t="inlineStr">
        <is>
          <t xml:space="preserve">OUT Pallets Movimentados</t>
        </is>
      </c>
      <c r="M269" s="145" t="inlineStr">
        <is>
          <t xml:space="preserve">OUT Toneladas Movimentadas</t>
        </is>
      </c>
      <c r="N269" s="145" t="inlineStr">
        <is>
          <t xml:space="preserve">OUT Caixas Expedidas</t>
        </is>
      </c>
      <c r="O269" s="145" t="inlineStr">
        <is>
          <t xml:space="preserve">OUT Pedidos Expedidos</t>
        </is>
      </c>
      <c r="P269" s="145" t="inlineStr">
        <is>
          <t xml:space="preserve">OUT Pedidos Faturados</t>
        </is>
      </c>
      <c r="Q269" s="145" t="inlineStr">
        <is>
          <t xml:space="preserve">OUT Itens Expedidos</t>
        </is>
      </c>
      <c r="R269" s="145" t="inlineStr">
        <is>
          <t xml:space="preserve">OUT Peças Movimentadas</t>
        </is>
      </c>
      <c r="S269" s="145" t="inlineStr">
        <is>
          <t xml:space="preserve">OUT Linhas NF</t>
        </is>
      </c>
      <c r="T269" s="145" t="inlineStr">
        <is>
          <t xml:space="preserve">NC Incidentes</t>
        </is>
      </c>
      <c r="U269" s="145" t="inlineStr">
        <is>
          <t xml:space="preserve">NC No show</t>
        </is>
      </c>
      <c r="V269" s="145" t="inlineStr">
        <is>
          <t xml:space="preserve">NC Backlog</t>
        </is>
      </c>
      <c r="W269" s="145" t="inlineStr">
        <is>
          <t xml:space="preserve">Posições Disponíveis</t>
        </is>
      </c>
      <c r="X269" s="145" t="inlineStr">
        <is>
          <t xml:space="preserve">Posições Ocupadas</t>
        </is>
      </c>
      <c r="Y269" s="145" t="inlineStr">
        <is>
          <t xml:space="preserve">Efetivo</t>
        </is>
      </c>
      <c r="Z269" s="145" t="inlineStr">
        <is>
          <t xml:space="preserve">Falta</t>
        </is>
      </c>
      <c r="AA269" s="145" t="inlineStr">
        <is>
          <t xml:space="preserve">Folga</t>
        </is>
      </c>
      <c r="AB269" s="145" t="inlineStr">
        <is>
          <t xml:space="preserve">Férias</t>
        </is>
      </c>
      <c r="AC269" s="145" t="inlineStr">
        <is>
          <t xml:space="preserve">Desligamentos</t>
        </is>
      </c>
    </row>
    <row r="270">
      <c r="A270" t="inlineStr">
        <is>
          <t xml:space="preserve">BASF</t>
        </is>
      </c>
      <c r="B270" s="160" t="inlineStr">
        <is>
          <t xml:space="preserve">x</t>
        </is>
      </c>
      <c r="C270" s="160" t="inlineStr">
        <is>
          <t xml:space="preserve">x</t>
        </is>
      </c>
      <c r="D270" s="160" t="inlineStr">
        <is>
          <t xml:space="preserve">x</t>
        </is>
      </c>
      <c r="E270" s="160"/>
      <c r="F270" s="160"/>
      <c r="G270" s="160"/>
      <c r="H270" s="160"/>
      <c r="I270" s="160"/>
      <c r="J270" s="160"/>
      <c r="K270" s="160" t="inlineStr">
        <is>
          <t xml:space="preserve">x</t>
        </is>
      </c>
      <c r="L270" s="160" t="inlineStr">
        <is>
          <t xml:space="preserve">x</t>
        </is>
      </c>
      <c r="M270" s="160" t="inlineStr">
        <is>
          <t xml:space="preserve">x</t>
        </is>
      </c>
      <c r="N270" s="160"/>
      <c r="O270" s="160"/>
      <c r="P270" s="160"/>
      <c r="Q270" s="160"/>
      <c r="R270" s="160"/>
      <c r="S270" s="160"/>
      <c r="T270" s="160" t="inlineStr">
        <is>
          <t xml:space="preserve">x</t>
        </is>
      </c>
      <c r="U270" s="160" t="inlineStr">
        <is>
          <t xml:space="preserve">x</t>
        </is>
      </c>
      <c r="V270" s="160" t="inlineStr">
        <is>
          <t xml:space="preserve">x</t>
        </is>
      </c>
      <c r="W270" s="160" t="inlineStr">
        <is>
          <t xml:space="preserve">x</t>
        </is>
      </c>
      <c r="X270" s="160" t="inlineStr">
        <is>
          <t xml:space="preserve">x</t>
        </is>
      </c>
      <c r="Y270" s="160" t="inlineStr">
        <is>
          <t xml:space="preserve">x</t>
        </is>
      </c>
      <c r="Z270" s="160" t="inlineStr">
        <is>
          <t xml:space="preserve">x</t>
        </is>
      </c>
      <c r="AA270" s="160" t="inlineStr">
        <is>
          <t xml:space="preserve">x</t>
        </is>
      </c>
      <c r="AB270" s="160" t="inlineStr">
        <is>
          <t xml:space="preserve">x</t>
        </is>
      </c>
      <c r="AC270" s="160" t="inlineStr">
        <is>
          <t xml:space="preserve">x</t>
        </is>
      </c>
    </row>
    <row r="271">
      <c r="A271" t="inlineStr">
        <is>
          <t xml:space="preserve">BEAUTYBIZ</t>
        </is>
      </c>
      <c r="B271" s="160" t="inlineStr">
        <is>
          <t xml:space="preserve">x</t>
        </is>
      </c>
      <c r="C271" s="160" t="inlineStr">
        <is>
          <t xml:space="preserve">x</t>
        </is>
      </c>
      <c r="D271" s="160"/>
      <c r="E271" s="160" t="inlineStr">
        <is>
          <t xml:space="preserve">x</t>
        </is>
      </c>
      <c r="F271" s="160"/>
      <c r="G271" s="160"/>
      <c r="H271" s="160"/>
      <c r="I271" s="160"/>
      <c r="J271" s="160"/>
      <c r="K271" s="160" t="inlineStr">
        <is>
          <t xml:space="preserve">x</t>
        </is>
      </c>
      <c r="L271" s="160" t="inlineStr">
        <is>
          <t xml:space="preserve">x</t>
        </is>
      </c>
      <c r="M271" s="160"/>
      <c r="N271" s="160"/>
      <c r="O271" s="160" t="inlineStr">
        <is>
          <t xml:space="preserve">x</t>
        </is>
      </c>
      <c r="P271" s="160"/>
      <c r="Q271" s="160"/>
      <c r="R271" s="160"/>
      <c r="S271" s="160"/>
      <c r="T271" s="160" t="inlineStr">
        <is>
          <t xml:space="preserve">x</t>
        </is>
      </c>
      <c r="U271" s="160" t="inlineStr">
        <is>
          <t xml:space="preserve">x</t>
        </is>
      </c>
      <c r="V271" s="160" t="inlineStr">
        <is>
          <t xml:space="preserve">x</t>
        </is>
      </c>
      <c r="W271" s="160" t="inlineStr">
        <is>
          <t xml:space="preserve">x</t>
        </is>
      </c>
      <c r="X271" s="160" t="inlineStr">
        <is>
          <t xml:space="preserve">x</t>
        </is>
      </c>
      <c r="Y271" s="160" t="inlineStr">
        <is>
          <t xml:space="preserve">x</t>
        </is>
      </c>
      <c r="Z271" s="160" t="inlineStr">
        <is>
          <t xml:space="preserve">x</t>
        </is>
      </c>
      <c r="AA271" s="160" t="inlineStr">
        <is>
          <t xml:space="preserve">x</t>
        </is>
      </c>
      <c r="AB271" s="160" t="inlineStr">
        <is>
          <t xml:space="preserve">x</t>
        </is>
      </c>
      <c r="AC271" s="160" t="inlineStr">
        <is>
          <t xml:space="preserve">x</t>
        </is>
      </c>
    </row>
    <row r="272">
      <c r="A272" t="inlineStr">
        <is>
          <t xml:space="preserve">BOTICÁRIO</t>
        </is>
      </c>
      <c r="B272" s="160" t="inlineStr">
        <is>
          <t xml:space="preserve">x</t>
        </is>
      </c>
      <c r="C272" s="160"/>
      <c r="D272" s="160"/>
      <c r="E272" s="160"/>
      <c r="F272" s="160" t="inlineStr">
        <is>
          <t xml:space="preserve">x</t>
        </is>
      </c>
      <c r="G272" s="160" t="inlineStr">
        <is>
          <t xml:space="preserve">x</t>
        </is>
      </c>
      <c r="H272" s="160" t="inlineStr">
        <is>
          <t xml:space="preserve">x</t>
        </is>
      </c>
      <c r="I272" s="160"/>
      <c r="J272" s="160"/>
      <c r="K272" s="160" t="inlineStr">
        <is>
          <t xml:space="preserve">x</t>
        </is>
      </c>
      <c r="L272" s="160" t="inlineStr">
        <is>
          <t xml:space="preserve">x</t>
        </is>
      </c>
      <c r="M272" s="160"/>
      <c r="N272" s="160"/>
      <c r="O272" s="160"/>
      <c r="P272" s="160" t="inlineStr">
        <is>
          <t xml:space="preserve">x</t>
        </is>
      </c>
      <c r="Q272" s="160" t="inlineStr">
        <is>
          <t xml:space="preserve">x</t>
        </is>
      </c>
      <c r="R272" s="160"/>
      <c r="S272" s="160"/>
      <c r="T272" s="160" t="inlineStr">
        <is>
          <t xml:space="preserve">x</t>
        </is>
      </c>
      <c r="U272" s="160" t="inlineStr">
        <is>
          <t xml:space="preserve">x</t>
        </is>
      </c>
      <c r="V272" s="160" t="inlineStr">
        <is>
          <t xml:space="preserve">x</t>
        </is>
      </c>
      <c r="W272" s="160" t="inlineStr">
        <is>
          <t xml:space="preserve">x</t>
        </is>
      </c>
      <c r="X272" s="160" t="inlineStr">
        <is>
          <t xml:space="preserve">x</t>
        </is>
      </c>
      <c r="Y272" s="160" t="inlineStr">
        <is>
          <t xml:space="preserve">x</t>
        </is>
      </c>
      <c r="Z272" s="160" t="inlineStr">
        <is>
          <t xml:space="preserve">x</t>
        </is>
      </c>
      <c r="AA272" s="160" t="inlineStr">
        <is>
          <t xml:space="preserve">x</t>
        </is>
      </c>
      <c r="AB272" s="160" t="inlineStr">
        <is>
          <t xml:space="preserve">x</t>
        </is>
      </c>
      <c r="AC272" s="160" t="inlineStr">
        <is>
          <t xml:space="preserve">x</t>
        </is>
      </c>
    </row>
    <row r="273">
      <c r="A273" t="inlineStr">
        <is>
          <t xml:space="preserve">SUPPLY</t>
        </is>
      </c>
      <c r="B273" s="160" t="inlineStr">
        <is>
          <t xml:space="preserve">x</t>
        </is>
      </c>
      <c r="C273" s="160" t="inlineStr">
        <is>
          <t xml:space="preserve">x</t>
        </is>
      </c>
      <c r="D273" s="160" t="inlineStr">
        <is>
          <t xml:space="preserve">x</t>
        </is>
      </c>
      <c r="E273" s="160"/>
      <c r="F273" s="160"/>
      <c r="G273" s="160"/>
      <c r="H273" s="160"/>
      <c r="I273" s="160"/>
      <c r="J273" s="160"/>
      <c r="K273" s="160" t="inlineStr">
        <is>
          <t xml:space="preserve">x</t>
        </is>
      </c>
      <c r="L273" s="160" t="inlineStr">
        <is>
          <t xml:space="preserve">x</t>
        </is>
      </c>
      <c r="M273" s="160" t="inlineStr">
        <is>
          <t xml:space="preserve">x</t>
        </is>
      </c>
      <c r="N273" s="160"/>
      <c r="O273" s="160"/>
      <c r="P273" s="160"/>
      <c r="Q273" s="160"/>
      <c r="R273" s="160"/>
      <c r="S273" s="160"/>
      <c r="T273" s="160" t="inlineStr">
        <is>
          <t xml:space="preserve">x</t>
        </is>
      </c>
      <c r="U273" s="160" t="inlineStr">
        <is>
          <t xml:space="preserve">x</t>
        </is>
      </c>
      <c r="V273" s="160" t="inlineStr">
        <is>
          <t xml:space="preserve">x</t>
        </is>
      </c>
      <c r="W273" s="160" t="inlineStr">
        <is>
          <t xml:space="preserve">x</t>
        </is>
      </c>
      <c r="X273" s="160" t="inlineStr">
        <is>
          <t xml:space="preserve">x</t>
        </is>
      </c>
      <c r="Y273" s="160" t="inlineStr">
        <is>
          <t xml:space="preserve">x</t>
        </is>
      </c>
      <c r="Z273" s="160" t="inlineStr">
        <is>
          <t xml:space="preserve">x</t>
        </is>
      </c>
      <c r="AA273" s="160" t="inlineStr">
        <is>
          <t xml:space="preserve">x</t>
        </is>
      </c>
      <c r="AB273" s="160" t="inlineStr">
        <is>
          <t xml:space="preserve">x</t>
        </is>
      </c>
      <c r="AC273" s="160" t="inlineStr">
        <is>
          <t xml:space="preserve">x</t>
        </is>
      </c>
    </row>
    <row r="274">
      <c r="A274" t="inlineStr">
        <is>
          <t xml:space="preserve">GE VERNOVA</t>
        </is>
      </c>
      <c r="B274" s="160" t="inlineStr">
        <is>
          <t xml:space="preserve">x</t>
        </is>
      </c>
      <c r="C274" s="160" t="inlineStr">
        <is>
          <t xml:space="preserve">x</t>
        </is>
      </c>
      <c r="D274" s="160"/>
      <c r="E274" s="160"/>
      <c r="F274" s="160"/>
      <c r="G274" s="160"/>
      <c r="H274" s="160"/>
      <c r="I274" s="160" t="inlineStr">
        <is>
          <t xml:space="preserve">x</t>
        </is>
      </c>
      <c r="J274" s="160" t="inlineStr">
        <is>
          <t xml:space="preserve">x</t>
        </is>
      </c>
      <c r="K274" s="160" t="inlineStr">
        <is>
          <t xml:space="preserve">x</t>
        </is>
      </c>
      <c r="L274" s="160" t="inlineStr">
        <is>
          <t xml:space="preserve">x</t>
        </is>
      </c>
      <c r="M274" s="160"/>
      <c r="N274" s="160"/>
      <c r="O274" s="160"/>
      <c r="P274" s="160"/>
      <c r="Q274" s="160"/>
      <c r="R274" s="160" t="inlineStr">
        <is>
          <t xml:space="preserve">x</t>
        </is>
      </c>
      <c r="S274" s="160" t="inlineStr">
        <is>
          <t xml:space="preserve">x</t>
        </is>
      </c>
      <c r="T274" s="160" t="inlineStr">
        <is>
          <t xml:space="preserve">x</t>
        </is>
      </c>
      <c r="U274" s="160" t="inlineStr">
        <is>
          <t xml:space="preserve">x</t>
        </is>
      </c>
      <c r="V274" s="160" t="inlineStr">
        <is>
          <t xml:space="preserve">x</t>
        </is>
      </c>
      <c r="W274" s="160" t="inlineStr">
        <is>
          <t xml:space="preserve">x</t>
        </is>
      </c>
      <c r="X274" s="160" t="inlineStr">
        <is>
          <t xml:space="preserve">x</t>
        </is>
      </c>
      <c r="Y274" s="160" t="inlineStr">
        <is>
          <t xml:space="preserve">x</t>
        </is>
      </c>
      <c r="Z274" s="160" t="inlineStr">
        <is>
          <t xml:space="preserve">x</t>
        </is>
      </c>
      <c r="AA274" s="160" t="inlineStr">
        <is>
          <t xml:space="preserve">x</t>
        </is>
      </c>
      <c r="AB274" s="160" t="inlineStr">
        <is>
          <t xml:space="preserve">x</t>
        </is>
      </c>
      <c r="AC274" s="160" t="inlineStr">
        <is>
          <t xml:space="preserve">x</t>
        </is>
      </c>
    </row>
    <row r="275">
      <c r="A275" t="inlineStr">
        <is>
          <t xml:space="preserve">VESTAS</t>
        </is>
      </c>
      <c r="B275" s="160" t="inlineStr">
        <is>
          <t xml:space="preserve">x</t>
        </is>
      </c>
      <c r="C275" s="160"/>
      <c r="D275" s="160"/>
      <c r="E275" s="160"/>
      <c r="F275" s="160"/>
      <c r="G275" s="160"/>
      <c r="H275" s="160"/>
      <c r="I275" s="160"/>
      <c r="J275" s="160" t="inlineStr">
        <is>
          <t xml:space="preserve">x</t>
        </is>
      </c>
      <c r="K275" s="160" t="inlineStr">
        <is>
          <t xml:space="preserve">x</t>
        </is>
      </c>
      <c r="L275" s="160"/>
      <c r="M275" s="160"/>
      <c r="N275" s="160"/>
      <c r="O275" s="160"/>
      <c r="P275" s="160"/>
      <c r="Q275" s="160"/>
      <c r="R275" s="160"/>
      <c r="S275" s="160" t="inlineStr">
        <is>
          <t xml:space="preserve">x</t>
        </is>
      </c>
      <c r="T275" s="160" t="inlineStr">
        <is>
          <t xml:space="preserve">x</t>
        </is>
      </c>
      <c r="U275" s="160" t="inlineStr">
        <is>
          <t xml:space="preserve">x</t>
        </is>
      </c>
      <c r="V275" s="160" t="inlineStr">
        <is>
          <t xml:space="preserve">x</t>
        </is>
      </c>
      <c r="W275" s="160" t="inlineStr">
        <is>
          <t xml:space="preserve">x</t>
        </is>
      </c>
      <c r="X275" s="160" t="inlineStr">
        <is>
          <t xml:space="preserve">x</t>
        </is>
      </c>
      <c r="Y275" s="160" t="inlineStr">
        <is>
          <t xml:space="preserve">x</t>
        </is>
      </c>
      <c r="Z275" s="160" t="inlineStr">
        <is>
          <t xml:space="preserve">x</t>
        </is>
      </c>
      <c r="AA275" s="160" t="inlineStr">
        <is>
          <t xml:space="preserve">x</t>
        </is>
      </c>
      <c r="AB275" s="160" t="inlineStr">
        <is>
          <t xml:space="preserve">x</t>
        </is>
      </c>
      <c r="AC275" s="160" t="inlineStr">
        <is>
          <t xml:space="preserve">x</t>
        </is>
      </c>
    </row>
    <row r="276">
      <c r="A276" t="inlineStr">
        <is>
          <t xml:space="preserve">VEDACIT</t>
        </is>
      </c>
      <c r="B276" s="160" t="inlineStr">
        <is>
          <t xml:space="preserve">x</t>
        </is>
      </c>
      <c r="C276" s="160" t="inlineStr">
        <is>
          <t xml:space="preserve">x</t>
        </is>
      </c>
      <c r="D276" s="160"/>
      <c r="E276" s="160"/>
      <c r="F276" s="160"/>
      <c r="G276" s="160"/>
      <c r="H276" s="160"/>
      <c r="I276" s="160"/>
      <c r="J276" s="160"/>
      <c r="K276" s="160" t="inlineStr">
        <is>
          <t xml:space="preserve">x</t>
        </is>
      </c>
      <c r="L276" s="160" t="inlineStr">
        <is>
          <t xml:space="preserve">x</t>
        </is>
      </c>
      <c r="M276" s="160"/>
      <c r="N276" s="160"/>
      <c r="O276" s="160"/>
      <c r="P276" s="160"/>
      <c r="Q276" s="160"/>
      <c r="R276" s="160"/>
      <c r="S276" s="160"/>
      <c r="T276" s="160" t="inlineStr">
        <is>
          <t xml:space="preserve">x</t>
        </is>
      </c>
      <c r="U276" s="160" t="inlineStr">
        <is>
          <t xml:space="preserve">x</t>
        </is>
      </c>
      <c r="V276" s="160" t="inlineStr">
        <is>
          <t xml:space="preserve">x</t>
        </is>
      </c>
      <c r="W276" s="160" t="inlineStr">
        <is>
          <t xml:space="preserve">x</t>
        </is>
      </c>
      <c r="X276" s="160" t="inlineStr">
        <is>
          <t xml:space="preserve">x</t>
        </is>
      </c>
      <c r="Y276" s="160" t="inlineStr">
        <is>
          <t xml:space="preserve">x</t>
        </is>
      </c>
      <c r="Z276" s="160" t="inlineStr">
        <is>
          <t xml:space="preserve">x</t>
        </is>
      </c>
      <c r="AA276" s="160" t="inlineStr">
        <is>
          <t xml:space="preserve">x</t>
        </is>
      </c>
      <c r="AB276" s="160" t="inlineStr">
        <is>
          <t xml:space="preserve">x</t>
        </is>
      </c>
      <c r="AC276" s="160" t="inlineStr">
        <is>
          <t xml:space="preserve">x</t>
        </is>
      </c>
    </row>
    <row r="277">
      <c r="A277" t="inlineStr">
        <is>
          <t xml:space="preserve">OMNLIFE</t>
        </is>
      </c>
      <c r="B277" s="160" t="inlineStr">
        <is>
          <t xml:space="preserve">x</t>
        </is>
      </c>
      <c r="C277" s="160" t="inlineStr">
        <is>
          <t xml:space="preserve">x</t>
        </is>
      </c>
      <c r="D277" s="160"/>
      <c r="E277" s="160"/>
      <c r="F277" s="160"/>
      <c r="G277" s="160"/>
      <c r="H277" s="160"/>
      <c r="I277" s="160"/>
      <c r="J277" s="160"/>
      <c r="K277" s="160" t="inlineStr">
        <is>
          <t xml:space="preserve">x</t>
        </is>
      </c>
      <c r="L277" s="160" t="inlineStr">
        <is>
          <t xml:space="preserve">x</t>
        </is>
      </c>
      <c r="M277" s="160"/>
      <c r="N277" s="160"/>
      <c r="O277" s="160"/>
      <c r="P277" s="160"/>
      <c r="Q277" s="160"/>
      <c r="R277" s="160"/>
      <c r="S277" s="160"/>
      <c r="T277" s="160" t="inlineStr">
        <is>
          <t xml:space="preserve">x</t>
        </is>
      </c>
      <c r="U277" s="160" t="inlineStr">
        <is>
          <t xml:space="preserve">x</t>
        </is>
      </c>
      <c r="V277" s="160" t="inlineStr">
        <is>
          <t xml:space="preserve">x</t>
        </is>
      </c>
      <c r="W277" s="160" t="inlineStr">
        <is>
          <t xml:space="preserve">x</t>
        </is>
      </c>
      <c r="X277" s="160" t="inlineStr">
        <is>
          <t xml:space="preserve">x</t>
        </is>
      </c>
      <c r="Y277" s="160" t="inlineStr">
        <is>
          <t xml:space="preserve">x</t>
        </is>
      </c>
      <c r="Z277" s="160" t="inlineStr">
        <is>
          <t xml:space="preserve">x</t>
        </is>
      </c>
      <c r="AA277" s="160" t="inlineStr">
        <is>
          <t xml:space="preserve">x</t>
        </is>
      </c>
      <c r="AB277" s="160" t="inlineStr">
        <is>
          <t xml:space="preserve">x</t>
        </is>
      </c>
      <c r="AC277" s="160" t="inlineStr">
        <is>
          <t xml:space="preserve">x</t>
        </is>
      </c>
    </row>
    <row r="278">
      <c r="A278" t="inlineStr">
        <is>
          <t xml:space="preserve">ALPARGATAS</t>
        </is>
      </c>
      <c r="B278" s="160" t="inlineStr">
        <is>
          <t xml:space="preserve">x</t>
        </is>
      </c>
      <c r="C278" s="160"/>
      <c r="D278" s="160"/>
      <c r="E278" s="160" t="inlineStr">
        <is>
          <t xml:space="preserve">x</t>
        </is>
      </c>
      <c r="F278" s="160"/>
      <c r="G278" s="160"/>
      <c r="H278" s="160"/>
      <c r="I278" s="160"/>
      <c r="J278" s="160"/>
      <c r="K278" s="160" t="inlineStr">
        <is>
          <t xml:space="preserve">x</t>
        </is>
      </c>
      <c r="L278" s="160"/>
      <c r="M278" s="160"/>
      <c r="N278" s="160" t="inlineStr">
        <is>
          <t xml:space="preserve">x</t>
        </is>
      </c>
      <c r="O278" s="160"/>
      <c r="P278" s="160"/>
      <c r="Q278" s="160"/>
      <c r="R278" s="160"/>
      <c r="S278" s="160"/>
      <c r="T278" s="160" t="inlineStr">
        <is>
          <t xml:space="preserve">x</t>
        </is>
      </c>
      <c r="U278" s="160" t="inlineStr">
        <is>
          <t xml:space="preserve">x</t>
        </is>
      </c>
      <c r="V278" s="160" t="inlineStr">
        <is>
          <t xml:space="preserve">x</t>
        </is>
      </c>
      <c r="W278" s="160" t="inlineStr">
        <is>
          <t xml:space="preserve">x</t>
        </is>
      </c>
      <c r="X278" s="160" t="inlineStr">
        <is>
          <t xml:space="preserve">x</t>
        </is>
      </c>
      <c r="Y278" s="160" t="inlineStr">
        <is>
          <t xml:space="preserve">x</t>
        </is>
      </c>
      <c r="Z278" s="160" t="inlineStr">
        <is>
          <t xml:space="preserve">x</t>
        </is>
      </c>
      <c r="AA278" s="160" t="inlineStr">
        <is>
          <t xml:space="preserve">x</t>
        </is>
      </c>
      <c r="AB278" s="160" t="inlineStr">
        <is>
          <t xml:space="preserve">x</t>
        </is>
      </c>
      <c r="AC278" s="160" t="inlineStr">
        <is>
          <t xml:space="preserve">x</t>
        </is>
      </c>
    </row>
    <row r="282">
      <c r="A282" t="inlineStr">
        <is>
          <t xml:space="preserve">INDICADORES EXIBIDOS NO QUADRO (IN 1-4, OUT 1-4) e DESTAQUE dos cartões/gráfico semanal</t>
        </is>
      </c>
    </row>
    <row r="283">
      <c r="A283" s="145" t="inlineStr">
        <is>
          <t xml:space="preserve">Cliente</t>
        </is>
      </c>
      <c r="B283" s="145" t="inlineStr">
        <is>
          <t xml:space="preserve">IN 1</t>
        </is>
      </c>
      <c r="C283" s="145" t="inlineStr">
        <is>
          <t xml:space="preserve">IN 2</t>
        </is>
      </c>
      <c r="D283" s="145" t="inlineStr">
        <is>
          <t xml:space="preserve">IN 3</t>
        </is>
      </c>
      <c r="E283" s="145" t="inlineStr">
        <is>
          <t xml:space="preserve">IN 4</t>
        </is>
      </c>
      <c r="F283" s="145" t="inlineStr">
        <is>
          <t xml:space="preserve">OUT 1</t>
        </is>
      </c>
      <c r="G283" s="145" t="inlineStr">
        <is>
          <t xml:space="preserve">OUT 2</t>
        </is>
      </c>
      <c r="H283" s="145" t="inlineStr">
        <is>
          <t xml:space="preserve">OUT 3</t>
        </is>
      </c>
      <c r="I283" s="145" t="inlineStr">
        <is>
          <t xml:space="preserve">OUT 4</t>
        </is>
      </c>
      <c r="J283" s="145" t="inlineStr">
        <is>
          <t xml:space="preserve">Destaque IN</t>
        </is>
      </c>
      <c r="K283" s="145" t="inlineStr">
        <is>
          <t xml:space="preserve">Destaque OUT</t>
        </is>
      </c>
    </row>
    <row r="284">
      <c r="A284" t="inlineStr">
        <is>
          <t xml:space="preserve">Todos</t>
        </is>
      </c>
      <c r="B284" s="160" t="inlineStr">
        <is>
          <t xml:space="preserve">IN Veículos Recebidos</t>
        </is>
      </c>
      <c r="C284" s="160" t="inlineStr">
        <is>
          <t xml:space="preserve">IN Pallets Movimentados</t>
        </is>
      </c>
      <c r="D284" s="160" t="inlineStr">
        <is>
          <t xml:space="preserve">IN Toneladas Movimentadas</t>
        </is>
      </c>
      <c r="E284" s="160" t="inlineStr">
        <is>
          <t xml:space="preserve">IN Linhas NF</t>
        </is>
      </c>
      <c r="F284" s="160" t="inlineStr">
        <is>
          <t xml:space="preserve">OUT Veículos Expedidos</t>
        </is>
      </c>
      <c r="G284" s="160" t="inlineStr">
        <is>
          <t xml:space="preserve">OUT Pallets Movimentados</t>
        </is>
      </c>
      <c r="H284" s="160" t="inlineStr">
        <is>
          <t xml:space="preserve">OUT Toneladas Movimentadas</t>
        </is>
      </c>
      <c r="I284" s="160" t="inlineStr">
        <is>
          <t xml:space="preserve">OUT Linhas NF</t>
        </is>
      </c>
      <c r="J284" s="160" t="inlineStr">
        <is>
          <t xml:space="preserve">IN Pallets Movimentados</t>
        </is>
      </c>
      <c r="K284" s="160" t="inlineStr">
        <is>
          <t xml:space="preserve">OUT Pallets Movimentados</t>
        </is>
      </c>
    </row>
    <row r="285">
      <c r="A285" t="inlineStr">
        <is>
          <t xml:space="preserve">BASF</t>
        </is>
      </c>
      <c r="B285" s="160" t="inlineStr">
        <is>
          <t xml:space="preserve">IN Veículos Recebidos</t>
        </is>
      </c>
      <c r="C285" s="160" t="inlineStr">
        <is>
          <t xml:space="preserve">IN Pallets Movimentados</t>
        </is>
      </c>
      <c r="D285" s="160" t="inlineStr">
        <is>
          <t xml:space="preserve">IN Toneladas Movimentadas</t>
        </is>
      </c>
      <c r="F285" s="160" t="inlineStr">
        <is>
          <t xml:space="preserve">OUT Veículos Expedidos</t>
        </is>
      </c>
      <c r="G285" s="160" t="inlineStr">
        <is>
          <t xml:space="preserve">OUT Pallets Movimentados</t>
        </is>
      </c>
      <c r="H285" s="160" t="inlineStr">
        <is>
          <t xml:space="preserve">OUT Toneladas Movimentadas</t>
        </is>
      </c>
      <c r="J285" s="160" t="inlineStr">
        <is>
          <t xml:space="preserve">IN Pallets Movimentados</t>
        </is>
      </c>
      <c r="K285" s="160" t="inlineStr">
        <is>
          <t xml:space="preserve">OUT Pallets Movimentados</t>
        </is>
      </c>
    </row>
    <row r="286">
      <c r="A286" t="inlineStr">
        <is>
          <t xml:space="preserve">BEAUTYBIZ</t>
        </is>
      </c>
      <c r="B286" s="160" t="inlineStr">
        <is>
          <t xml:space="preserve">IN Veículos Recebidos</t>
        </is>
      </c>
      <c r="C286" s="160" t="inlineStr">
        <is>
          <t xml:space="preserve">IN Pallets Movimentados</t>
        </is>
      </c>
      <c r="D286" s="160" t="inlineStr">
        <is>
          <t xml:space="preserve">IN Caixas Movimentadas</t>
        </is>
      </c>
      <c r="F286" s="160" t="inlineStr">
        <is>
          <t xml:space="preserve">OUT Veículos Expedidos</t>
        </is>
      </c>
      <c r="G286" s="160" t="inlineStr">
        <is>
          <t xml:space="preserve">OUT Pallets Movimentados</t>
        </is>
      </c>
      <c r="H286" s="160" t="inlineStr">
        <is>
          <t xml:space="preserve">OUT Pedidos Expedidos</t>
        </is>
      </c>
      <c r="J286" s="160" t="inlineStr">
        <is>
          <t xml:space="preserve">IN Pallets Movimentados</t>
        </is>
      </c>
      <c r="K286" s="160" t="inlineStr">
        <is>
          <t xml:space="preserve">OUT Pallets Movimentados</t>
        </is>
      </c>
    </row>
    <row r="287">
      <c r="A287" t="inlineStr">
        <is>
          <t xml:space="preserve">BOTICÁRIO</t>
        </is>
      </c>
      <c r="B287" s="160" t="inlineStr">
        <is>
          <t xml:space="preserve">IN Veículos Recebidos</t>
        </is>
      </c>
      <c r="C287" s="160" t="inlineStr">
        <is>
          <t xml:space="preserve">IN Itens Recebidos CX Mista</t>
        </is>
      </c>
      <c r="D287" s="160" t="inlineStr">
        <is>
          <t xml:space="preserve">IN Caixas Mistas Recebidas</t>
        </is>
      </c>
      <c r="E287" s="160" t="inlineStr">
        <is>
          <t xml:space="preserve">IN Caixas Fechadas</t>
        </is>
      </c>
      <c r="F287" s="160" t="inlineStr">
        <is>
          <t xml:space="preserve">OUT Veículos Expedidos</t>
        </is>
      </c>
      <c r="G287" s="160" t="inlineStr">
        <is>
          <t xml:space="preserve">OUT Pedidos Faturados</t>
        </is>
      </c>
      <c r="H287" s="160" t="inlineStr">
        <is>
          <t xml:space="preserve">OUT Itens Expedidos</t>
        </is>
      </c>
      <c r="I287" s="160" t="inlineStr">
        <is>
          <t xml:space="preserve">OUT Pallets Movimentados</t>
        </is>
      </c>
      <c r="J287" s="160" t="inlineStr">
        <is>
          <t xml:space="preserve">IN Itens Recebidos CX Mista</t>
        </is>
      </c>
      <c r="K287" s="160" t="inlineStr">
        <is>
          <t xml:space="preserve">OUT Pedidos Faturados</t>
        </is>
      </c>
    </row>
    <row r="288">
      <c r="A288" t="inlineStr">
        <is>
          <t xml:space="preserve">SUPPLY</t>
        </is>
      </c>
      <c r="B288" s="160" t="inlineStr">
        <is>
          <t xml:space="preserve">IN Veículos Recebidos</t>
        </is>
      </c>
      <c r="C288" s="160" t="inlineStr">
        <is>
          <t xml:space="preserve">IN Pallets Movimentados</t>
        </is>
      </c>
      <c r="D288" s="160" t="inlineStr">
        <is>
          <t xml:space="preserve">IN Toneladas Movimentadas</t>
        </is>
      </c>
      <c r="F288" s="160" t="inlineStr">
        <is>
          <t xml:space="preserve">OUT Veículos Expedidos</t>
        </is>
      </c>
      <c r="G288" s="160" t="inlineStr">
        <is>
          <t xml:space="preserve">OUT Pallets Movimentados</t>
        </is>
      </c>
      <c r="H288" s="160" t="inlineStr">
        <is>
          <t xml:space="preserve">OUT Toneladas Movimentadas</t>
        </is>
      </c>
      <c r="J288" s="160" t="inlineStr">
        <is>
          <t xml:space="preserve">IN Pallets Movimentados</t>
        </is>
      </c>
      <c r="K288" s="160" t="inlineStr">
        <is>
          <t xml:space="preserve">OUT Pallets Movimentados</t>
        </is>
      </c>
    </row>
    <row r="289">
      <c r="A289" t="inlineStr">
        <is>
          <t xml:space="preserve">GE VERNOVA</t>
        </is>
      </c>
      <c r="B289" s="160" t="inlineStr">
        <is>
          <t xml:space="preserve">IN Veículos Recebidos</t>
        </is>
      </c>
      <c r="C289" s="160" t="inlineStr">
        <is>
          <t xml:space="preserve">IN Pallets Movimentados</t>
        </is>
      </c>
      <c r="D289" s="160" t="inlineStr">
        <is>
          <t xml:space="preserve">IN Peças Movimentadas</t>
        </is>
      </c>
      <c r="E289" s="160" t="inlineStr">
        <is>
          <t xml:space="preserve">IN Linhas NF</t>
        </is>
      </c>
      <c r="F289" s="160" t="inlineStr">
        <is>
          <t xml:space="preserve">OUT Veículos Expedidos</t>
        </is>
      </c>
      <c r="G289" s="160" t="inlineStr">
        <is>
          <t xml:space="preserve">OUT Pallets Movimentados</t>
        </is>
      </c>
      <c r="H289" s="160" t="inlineStr">
        <is>
          <t xml:space="preserve">OUT Peças Movimentadas</t>
        </is>
      </c>
      <c r="I289" s="160" t="inlineStr">
        <is>
          <t xml:space="preserve">OUT Linhas NF</t>
        </is>
      </c>
      <c r="J289" s="160" t="inlineStr">
        <is>
          <t xml:space="preserve">IN Pallets Movimentados</t>
        </is>
      </c>
      <c r="K289" s="160" t="inlineStr">
        <is>
          <t xml:space="preserve">OUT Pallets Movimentados</t>
        </is>
      </c>
    </row>
    <row r="290">
      <c r="A290" t="inlineStr">
        <is>
          <t xml:space="preserve">VESTAS</t>
        </is>
      </c>
      <c r="B290" s="160" t="inlineStr">
        <is>
          <t xml:space="preserve">IN Veículos Recebidos</t>
        </is>
      </c>
      <c r="C290" s="160" t="inlineStr">
        <is>
          <t xml:space="preserve">IN Linhas NF</t>
        </is>
      </c>
      <c r="F290" s="160" t="inlineStr">
        <is>
          <t xml:space="preserve">OUT Veículos Expedidos</t>
        </is>
      </c>
      <c r="G290" s="160" t="inlineStr">
        <is>
          <t xml:space="preserve">OUT Linhas NF</t>
        </is>
      </c>
      <c r="J290" s="160" t="inlineStr">
        <is>
          <t xml:space="preserve">IN Linhas NF</t>
        </is>
      </c>
      <c r="K290" s="160" t="inlineStr">
        <is>
          <t xml:space="preserve">OUT Linhas NF</t>
        </is>
      </c>
    </row>
    <row r="291">
      <c r="A291" t="inlineStr">
        <is>
          <t xml:space="preserve">VEDACIT</t>
        </is>
      </c>
      <c r="B291" s="160" t="inlineStr">
        <is>
          <t xml:space="preserve">IN Veículos Recebidos</t>
        </is>
      </c>
      <c r="C291" s="160" t="inlineStr">
        <is>
          <t xml:space="preserve">IN Pallets Movimentados</t>
        </is>
      </c>
      <c r="F291" s="160" t="inlineStr">
        <is>
          <t xml:space="preserve">OUT Veículos Expedidos</t>
        </is>
      </c>
      <c r="G291" s="160" t="inlineStr">
        <is>
          <t xml:space="preserve">OUT Pallets Movimentados</t>
        </is>
      </c>
      <c r="J291" s="160" t="inlineStr">
        <is>
          <t xml:space="preserve">IN Pallets Movimentados</t>
        </is>
      </c>
      <c r="K291" s="160" t="inlineStr">
        <is>
          <t xml:space="preserve">OUT Pallets Movimentados</t>
        </is>
      </c>
    </row>
    <row r="292">
      <c r="A292" t="inlineStr">
        <is>
          <t xml:space="preserve">OMNLIFE</t>
        </is>
      </c>
      <c r="B292" s="160" t="inlineStr">
        <is>
          <t xml:space="preserve">IN Veículos Recebidos</t>
        </is>
      </c>
      <c r="C292" s="160" t="inlineStr">
        <is>
          <t xml:space="preserve">IN Pallets Movimentados</t>
        </is>
      </c>
      <c r="F292" s="160" t="inlineStr">
        <is>
          <t xml:space="preserve">OUT Veículos Expedidos</t>
        </is>
      </c>
      <c r="G292" s="160" t="inlineStr">
        <is>
          <t xml:space="preserve">OUT Pallets Movimentados</t>
        </is>
      </c>
      <c r="J292" s="160" t="inlineStr">
        <is>
          <t xml:space="preserve">IN Pallets Movimentados</t>
        </is>
      </c>
      <c r="K292" s="160" t="inlineStr">
        <is>
          <t xml:space="preserve">OUT Pallets Movimentados</t>
        </is>
      </c>
    </row>
    <row r="293">
      <c r="A293" t="inlineStr">
        <is>
          <t xml:space="preserve">ALPARGATAS</t>
        </is>
      </c>
      <c r="B293" s="160" t="inlineStr">
        <is>
          <t xml:space="preserve">IN Veículos Recebidos</t>
        </is>
      </c>
      <c r="C293" s="160" t="inlineStr">
        <is>
          <t xml:space="preserve">IN Caixas Movimentadas</t>
        </is>
      </c>
      <c r="F293" s="160" t="inlineStr">
        <is>
          <t xml:space="preserve">OUT Veículos Expedidos</t>
        </is>
      </c>
      <c r="G293" s="160" t="inlineStr">
        <is>
          <t xml:space="preserve">OUT Caixas Expedidas</t>
        </is>
      </c>
      <c r="J293" s="160" t="inlineStr">
        <is>
          <t xml:space="preserve">IN Caixas Movimentadas</t>
        </is>
      </c>
      <c r="K293" s="160" t="inlineStr">
        <is>
          <t xml:space="preserve">OUT Caixas Expedidas</t>
        </is>
      </c>
    </row>
  </sheetData>
  <pageMargins left="0.25" right="0.25" top="0.4" bottom="0.4" header="0.2" footer="0.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Monitoramento diário de performance</dc:title>
  <dc:creator>IntraLog · Resumo operacional</dc:creator>
  <dcterms:created xsi:type="dcterms:W3CDTF">2026-09-30T18:58:57Z</dcterms:created>
</cp:coreProperties>
</file>