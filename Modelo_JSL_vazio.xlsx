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otection workbookPassword="CC30" lockStructure="1"/>
  <bookViews>
    <workbookView activeTab="0"/>
  </bookViews>
  <sheets>
    <sheet name="Dashboard" sheetId="1" r:id="rId1"/>
    <sheet name="Monitoramento" sheetId="2" r:id="rId2"/>
    <sheet name="Consol Mensal" sheetId="3" r:id="rId3"/>
    <sheet name="calculos" sheetId="4" state="hidden" r:id="rId4"/>
    <sheet name="BD" sheetId="5" r:id="rId5"/>
    <sheet name="Config" sheetId="6" r:id="rId6"/>
    <sheet name="calculos_quadro" sheetId="7" state="hidden" r:id="rId7"/>
  </sheets>
  <definedNames>
    <definedName name="_xlnm.Print_Area" localSheetId="0">'Dashboard'!$A$1:$Z$65</definedName>
    <definedName name="_xlnm.Print_Area" localSheetId="1">'Monitoramento'!$A$1:$AK$28</definedName>
    <definedName name="_xlnm.Print_Area" localSheetId="2">'Consol Mensal'!$A$1:$AA$51</definedName>
    <definedName name="_xlnm.Print_Area" localSheetId="5">'Config'!$A$1:$T$97</definedName>
  </definedNames>
  <calcPr calcId="191029" fullCalcOnLoad="1"/>
</workbook>
</file>

<file path=xl/styles.xml><?xml version="1.0" encoding="utf-8"?>
<styleSheet xmlns="http://schemas.openxmlformats.org/spreadsheetml/2006/main">
  <numFmts count="11">
    <numFmt numFmtId="164" formatCode="dd/mm/yyyy"/>
    <numFmt numFmtId="165" formatCode="dd/mm"/>
    <numFmt numFmtId="166" formatCode="#,##0;;"/>
    <numFmt numFmtId="167" formatCode="0.0%"/>
    <numFmt numFmtId="168" formatCode="#,##0.0"/>
    <numFmt numFmtId="169" formatCode="&quot;▲ &quot;0%&quot; vs período ant.&quot;;&quot;▼ &quot;0%&quot; vs período ant.&quot;;&quot;= período ant.&quot;"/>
    <numFmt numFmtId="170" formatCode="#,##0&quot; p.p&quot;"/>
    <numFmt numFmtId="171" formatCode="0.0%;&quot;excede &quot;0.0%"/>
    <numFmt numFmtId="172" formatCode="[$-416]d;@"/>
    <numFmt numFmtId="173" formatCode="[&gt;=1000]#,##0;#,##0.0"/>
    <numFmt numFmtId="174" formatCode="&quot;▲ &quot;0%;&quot;▼ &quot;0%;&quot;= 0%&quot;"/>
  </numFmts>
  <fonts count="41">
    <font>
      <sz val="10"/>
      <color rgb="FF000000"/>
      <name val="Calibri"/>
      <family val="2"/>
    </font>
    <font>
      <b/>
      <sz val="9"/>
      <color rgb="FF1B1B1F"/>
      <name val="Calibri"/>
      <family val="2"/>
    </font>
    <font>
      <b/>
      <sz val="9"/>
      <color rgb="FFFFFFFF"/>
      <name val="Calibri"/>
      <family val="2"/>
    </font>
    <font>
      <b/>
      <sz val="10"/>
      <color rgb="FFC00000"/>
      <name val="Calibri"/>
      <family val="2"/>
    </font>
    <font>
      <sz val="9"/>
      <color rgb="FF404040"/>
      <name val="Calibri"/>
      <family val="2"/>
    </font>
    <font>
      <b/>
      <sz val="9"/>
      <color rgb="FF000000"/>
      <name val="Calibri"/>
      <family val="2"/>
    </font>
    <font>
      <sz val="10"/>
      <color rgb="FF0000FF"/>
      <name val="Calibri"/>
      <family val="2"/>
    </font>
    <font>
      <b/>
      <sz val="11"/>
      <color rgb="FFC00000"/>
      <name val="Calibri"/>
      <family val="2"/>
    </font>
    <font>
      <b/>
      <sz val="10"/>
      <color rgb="FF000000"/>
      <name val="Calibri"/>
      <family val="2"/>
    </font>
    <font>
      <sz val="9"/>
      <color rgb="FF000000"/>
      <name val="Calibri"/>
      <family val="2"/>
    </font>
    <font>
      <i/>
      <sz val="8"/>
      <color rgb="FF7F7F7F"/>
      <name val="Calibri"/>
      <family val="2"/>
    </font>
    <font>
      <b/>
      <sz val="8"/>
      <color rgb="FFFFFFFF"/>
      <name val="Calibri"/>
      <family val="2"/>
    </font>
    <font>
      <sz val="8"/>
      <color rgb="FF000000"/>
      <name val="Calibri"/>
      <family val="2"/>
    </font>
    <font>
      <b/>
      <sz val="8"/>
      <color rgb="FF000000"/>
      <name val="Calibri"/>
      <family val="2"/>
    </font>
    <font>
      <b/>
      <sz val="14"/>
      <color rgb="FFFFFFFF"/>
      <name val="Calibri"/>
      <family val="2"/>
    </font>
    <font>
      <b/>
      <sz val="9"/>
      <color rgb="FF262626"/>
      <name val="Calibri"/>
      <family val="2"/>
    </font>
    <font>
      <sz val="9"/>
      <color rgb="FF262626"/>
      <name val="Calibri"/>
      <family val="2"/>
    </font>
    <font>
      <b/>
      <sz val="9"/>
      <color rgb="FFC00000"/>
      <name val="Calibri"/>
      <family val="2"/>
    </font>
    <font>
      <sz val="9"/>
      <color rgb="FF0000FF"/>
      <name val="Calibri"/>
      <family val="2"/>
    </font>
    <font>
      <sz val="8"/>
      <color rgb="FF9A9A9A"/>
      <name val="Calibri"/>
      <family val="2"/>
    </font>
    <font>
      <b/>
      <sz val="11"/>
      <color rgb="FFFFFFFF"/>
      <name val="Calibri"/>
      <family val="2"/>
    </font>
    <font>
      <b/>
      <sz val="9"/>
      <color rgb="FF404040"/>
      <name val="Calibri"/>
      <family val="2"/>
    </font>
    <font>
      <b/>
      <sz val="10"/>
      <color rgb="FF0000FF"/>
      <name val="Calibri"/>
      <family val="2"/>
    </font>
    <font>
      <b/>
      <sz val="8"/>
      <color rgb="FF1B1B1F"/>
      <name val="Calibri"/>
      <family val="2"/>
    </font>
    <font>
      <b/>
      <sz val="16"/>
      <color rgb="FFFFFFFF"/>
      <name val="Calibri"/>
      <family val="2"/>
    </font>
    <font>
      <b/>
      <sz val="12"/>
      <color rgb="FF1B1B1F"/>
      <name val="Calibri"/>
      <family val="2"/>
    </font>
    <font>
      <b/>
      <sz val="13"/>
      <color rgb="FF000000"/>
      <name val="Calibri"/>
      <family val="2"/>
    </font>
    <font>
      <b/>
      <sz val="12"/>
      <color rgb="FF000000"/>
      <name val="Calibri"/>
      <family val="2"/>
    </font>
    <font>
      <b/>
      <sz val="11"/>
      <color rgb="FF595959"/>
      <name val="Calibri"/>
      <family val="2"/>
    </font>
    <font>
      <sz val="9"/>
      <color rgb="FF7F7F7F"/>
      <name val="Calibri"/>
      <family val="2"/>
    </font>
    <font>
      <b/>
      <sz val="11"/>
      <color rgb="FF1B1B1F"/>
      <name val="Calibri"/>
      <family val="2"/>
    </font>
    <font>
      <b/>
      <sz val="30"/>
      <color rgb="FF1B1B1F"/>
      <name val="Calibri"/>
      <family val="2"/>
    </font>
    <font>
      <b/>
      <sz val="10"/>
      <color rgb="FF595959"/>
      <name val="Calibri"/>
      <family val="2"/>
    </font>
    <font>
      <sz val="10"/>
      <color rgb="FF6E7078"/>
      <name val="Calibri"/>
      <family val="2"/>
    </font>
    <font>
      <b/>
      <sz val="10"/>
      <color rgb="FF7F7F7F"/>
      <name val="Calibri"/>
      <family val="2"/>
    </font>
    <font>
      <b/>
      <sz val="9"/>
      <color rgb="FF6E7078"/>
      <name val="Calibri"/>
      <family val="2"/>
    </font>
    <font>
      <i/>
      <sz val="8"/>
      <color rgb="FF9A9A9A"/>
      <name val="Calibri"/>
      <family val="2"/>
    </font>
    <font>
      <i/>
      <sz val="9"/>
      <color rgb="FF7F7F7F"/>
      <name val="Calibri"/>
      <family val="2"/>
    </font>
    <font>
      <b/>
      <sz val="11"/>
      <color rgb="FF000000"/>
      <name val="Calibri"/>
      <family val="2"/>
    </font>
    <font>
      <b/>
      <sz val="8"/>
      <color rgb="FF7F7F7F"/>
      <name val="Calibri"/>
      <family val="2"/>
    </font>
    <font>
      <sz val="8"/>
      <color rgb="FF7F7F7F"/>
      <name val="Calibri"/>
      <family val="2"/>
    </font>
  </fonts>
  <fills count="17">
    <fill>
      <patternFill patternType="none"/>
    </fill>
    <fill>
      <patternFill patternType="gray125"/>
    </fill>
    <fill>
      <patternFill patternType="solid">
        <fgColor rgb="FFE7E6E6"/>
        <bgColor indexed="64"/>
      </patternFill>
    </fill>
    <fill>
      <patternFill patternType="solid">
        <fgColor rgb="FFE2EFD9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FFF2CB"/>
        <bgColor indexed="64"/>
      </patternFill>
    </fill>
    <fill>
      <patternFill patternType="solid">
        <fgColor rgb="FFD0CECE"/>
        <bgColor indexed="64"/>
      </patternFill>
    </fill>
    <fill>
      <patternFill patternType="solid">
        <fgColor rgb="FF1B1B1F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7F7F7F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DADADA"/>
        <bgColor indexed="64"/>
      </patternFill>
    </fill>
    <fill>
      <patternFill patternType="solid">
        <fgColor rgb="FFF2F2F2"/>
        <bgColor indexed="64"/>
      </patternFill>
    </fill>
  </fills>
  <borders count="60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hair">
        <color rgb="FFBFBFBF"/>
      </bottom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hair">
        <color rgb="FFBFBFBF"/>
      </bottom>
      <diagonal/>
    </border>
    <border>
      <left/>
      <right/>
      <top style="medium">
        <color rgb="FF000000"/>
      </top>
      <bottom style="hair">
        <color rgb="FFBFBFBF"/>
      </bottom>
      <diagonal/>
    </border>
    <border>
      <left/>
      <right style="medium">
        <color rgb="FF000000"/>
      </right>
      <top style="medium">
        <color rgb="FF000000"/>
      </top>
      <bottom style="hair">
        <color rgb="FFBFBFBF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E01E1E"/>
      </left>
      <right/>
      <top style="medium">
        <color rgb="FFE01E1E"/>
      </top>
      <bottom style="medium">
        <color rgb="FFE01E1E"/>
      </bottom>
      <diagonal/>
    </border>
    <border>
      <left/>
      <right/>
      <top style="medium">
        <color rgb="FFE01E1E"/>
      </top>
      <bottom style="medium">
        <color rgb="FFE01E1E"/>
      </bottom>
      <diagonal/>
    </border>
    <border>
      <left/>
      <right style="medium">
        <color rgb="FFE01E1E"/>
      </right>
      <top style="medium">
        <color rgb="FFE01E1E"/>
      </top>
      <bottom style="medium">
        <color rgb="FFE01E1E"/>
      </bottom>
      <diagonal/>
    </border>
    <border>
      <left style="thin">
        <color rgb="FFD9D9D9"/>
      </left>
      <right/>
      <top/>
      <bottom/>
      <diagonal/>
    </border>
    <border>
      <left/>
      <right style="thin">
        <color rgb="FFD9D9D9"/>
      </right>
      <top/>
      <bottom/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/>
      <right/>
      <top style="thick">
        <color rgb="FFE01E1E"/>
      </top>
      <bottom/>
      <diagonal/>
    </border>
    <border>
      <left/>
      <right/>
      <top/>
      <bottom style="hair">
        <color rgb="FFC9CBD1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dotted">
        <color rgb="FF7F7F7F"/>
      </right>
      <top style="medium">
        <color rgb="FF000000"/>
      </top>
      <bottom style="medium">
        <color rgb="FF000000"/>
      </bottom>
      <diagonal/>
    </border>
    <border>
      <left style="dotted">
        <color rgb="FF7F7F7F"/>
      </left>
      <right style="dotted">
        <color rgb="FF7F7F7F"/>
      </right>
      <top style="medium">
        <color rgb="FF000000"/>
      </top>
      <bottom style="medium">
        <color rgb="FF000000"/>
      </bottom>
      <diagonal/>
    </border>
    <border>
      <left style="dotted">
        <color rgb="FF7F7F7F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dotted">
        <color rgb="FF7F7F7F"/>
      </bottom>
      <diagonal/>
    </border>
    <border>
      <left/>
      <right style="medium">
        <color rgb="FF000000"/>
      </right>
      <top style="medium">
        <color rgb="FF000000"/>
      </top>
      <bottom style="dotted">
        <color rgb="FF7F7F7F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dotted">
        <color rgb="FF7F7F7F"/>
      </bottom>
      <diagonal/>
    </border>
    <border>
      <left style="medium">
        <color rgb="FF000000"/>
      </left>
      <right style="dotted">
        <color rgb="FF7F7F7F"/>
      </right>
      <top style="medium">
        <color rgb="FF000000"/>
      </top>
      <bottom style="dotted">
        <color rgb="FF7F7F7F"/>
      </bottom>
      <diagonal/>
    </border>
    <border>
      <left style="dotted">
        <color rgb="FF7F7F7F"/>
      </left>
      <right style="dotted">
        <color rgb="FF7F7F7F"/>
      </right>
      <top style="medium">
        <color rgb="FF000000"/>
      </top>
      <bottom style="dotted">
        <color rgb="FF7F7F7F"/>
      </bottom>
      <diagonal/>
    </border>
    <border>
      <left style="dotted">
        <color rgb="FF7F7F7F"/>
      </left>
      <right style="medium">
        <color rgb="FF000000"/>
      </right>
      <top style="medium">
        <color rgb="FF000000"/>
      </top>
      <bottom style="dotted">
        <color rgb="FF7F7F7F"/>
      </bottom>
      <diagonal/>
    </border>
    <border>
      <left/>
      <right/>
      <top/>
      <bottom style="dotted">
        <color rgb="FF7F7F7F"/>
      </bottom>
      <diagonal/>
    </border>
    <border>
      <left/>
      <right style="medium">
        <color rgb="FF000000"/>
      </right>
      <top/>
      <bottom style="dotted">
        <color rgb="FF7F7F7F"/>
      </bottom>
      <diagonal/>
    </border>
    <border>
      <left style="medium">
        <color rgb="FF000000"/>
      </left>
      <right style="medium">
        <color rgb="FF000000"/>
      </right>
      <top/>
      <bottom style="dotted">
        <color rgb="FF7F7F7F"/>
      </bottom>
      <diagonal/>
    </border>
    <border>
      <left style="medium">
        <color rgb="FF000000"/>
      </left>
      <right style="dotted">
        <color rgb="FF7F7F7F"/>
      </right>
      <top/>
      <bottom style="dotted">
        <color rgb="FF7F7F7F"/>
      </bottom>
      <diagonal/>
    </border>
    <border>
      <left style="dotted">
        <color rgb="FF7F7F7F"/>
      </left>
      <right style="dotted">
        <color rgb="FF7F7F7F"/>
      </right>
      <top/>
      <bottom style="dotted">
        <color rgb="FF7F7F7F"/>
      </bottom>
      <diagonal/>
    </border>
    <border>
      <left style="dotted">
        <color rgb="FF7F7F7F"/>
      </left>
      <right style="medium">
        <color rgb="FF000000"/>
      </right>
      <top/>
      <bottom style="dotted">
        <color rgb="FF7F7F7F"/>
      </bottom>
      <diagonal/>
    </border>
    <border>
      <left style="medium">
        <color rgb="FF000000"/>
      </left>
      <right style="dotted">
        <color rgb="FF7F7F7F"/>
      </right>
      <top/>
      <bottom style="medium">
        <color rgb="FF000000"/>
      </bottom>
      <diagonal/>
    </border>
    <border>
      <left style="dotted">
        <color rgb="FF7F7F7F"/>
      </left>
      <right style="dotted">
        <color rgb="FF7F7F7F"/>
      </right>
      <top/>
      <bottom style="medium">
        <color rgb="FF000000"/>
      </bottom>
      <diagonal/>
    </border>
    <border>
      <left style="dotted">
        <color rgb="FF7F7F7F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595959"/>
      </bottom>
      <diagonal/>
    </border>
    <border>
      <left/>
      <right/>
      <top style="medium">
        <color rgb="FF000000"/>
      </top>
      <bottom/>
      <diagonal/>
    </border>
    <border>
      <left style="hair">
        <color rgb="FF7F7F7F"/>
      </left>
      <right/>
      <top style="medium">
        <color rgb="FF000000"/>
      </top>
      <bottom/>
      <diagonal/>
    </border>
    <border>
      <left/>
      <right/>
      <top style="hair">
        <color rgb="FF7F7F7F"/>
      </top>
      <bottom/>
      <diagonal/>
    </border>
    <border>
      <left style="hair">
        <color rgb="FF7F7F7F"/>
      </left>
      <right/>
      <top style="hair">
        <color rgb="FF7F7F7F"/>
      </top>
      <bottom/>
      <diagonal/>
    </border>
    <border>
      <left/>
      <right style="medium">
        <color rgb="FF000000"/>
      </right>
      <top style="hair">
        <color rgb="FF7F7F7F"/>
      </top>
      <bottom/>
      <diagonal/>
    </border>
    <border>
      <left/>
      <right/>
      <top style="hair">
        <color rgb="FF7F7F7F"/>
      </top>
      <bottom style="medium">
        <color rgb="FF000000"/>
      </bottom>
      <diagonal/>
    </border>
    <border>
      <left style="hair">
        <color rgb="FF7F7F7F"/>
      </left>
      <right/>
      <top style="hair">
        <color rgb="FF7F7F7F"/>
      </top>
      <bottom style="medium">
        <color rgb="FF000000"/>
      </bottom>
      <diagonal/>
    </border>
    <border>
      <left/>
      <right style="medium">
        <color rgb="FF000000"/>
      </right>
      <top style="hair">
        <color rgb="FF7F7F7F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</borders>
  <cellStyleXfs count="1">
    <xf numFmtId="0" fontId="0" fillId="0" borderId="0"/>
  </cellStyleXfs>
  <cellXfs count="430">
    <xf numFmtId="0" fontId="0" fillId="0" borderId="0" xfId="0"/>
    <xf numFmtId="0" fontId="1" fillId="2" borderId="1" xfId="0" applyNumberFormat="1" applyFont="1" applyFill="1" applyBorder="1" applyAlignment="1">
      <alignment horizontal="center" vertical="center"/>
    </xf>
    <xf numFmtId="0" fontId="1" fillId="2" borderId="2" xfId="0" applyNumberFormat="1" applyFont="1" applyFill="1" applyBorder="1" applyAlignment="1">
      <alignment horizontal="center" vertical="center"/>
    </xf>
    <xf numFmtId="0" fontId="1" fillId="3" borderId="1" xfId="0" applyNumberFormat="1" applyFont="1" applyFill="1" applyBorder="1" applyAlignment="1">
      <alignment horizontal="center" vertical="center"/>
    </xf>
    <xf numFmtId="0" fontId="1" fillId="3" borderId="3" xfId="0" applyNumberFormat="1" applyFont="1" applyFill="1" applyBorder="1" applyAlignment="1">
      <alignment horizontal="center" vertical="center"/>
    </xf>
    <xf numFmtId="0" fontId="1" fillId="3" borderId="2" xfId="0" applyNumberFormat="1" applyFont="1" applyFill="1" applyBorder="1" applyAlignment="1">
      <alignment horizontal="center" vertical="center"/>
    </xf>
    <xf numFmtId="0" fontId="1" fillId="4" borderId="1" xfId="0" applyNumberFormat="1" applyFont="1" applyFill="1" applyBorder="1" applyAlignment="1">
      <alignment horizontal="center" vertical="center"/>
    </xf>
    <xf numFmtId="0" fontId="1" fillId="4" borderId="3" xfId="0" applyNumberFormat="1" applyFont="1" applyFill="1" applyBorder="1" applyAlignment="1">
      <alignment horizontal="center" vertical="center"/>
    </xf>
    <xf numFmtId="0" fontId="1" fillId="4" borderId="2" xfId="0" applyNumberFormat="1" applyFont="1" applyFill="1" applyBorder="1" applyAlignment="1">
      <alignment horizontal="center" vertical="center"/>
    </xf>
    <xf numFmtId="0" fontId="1" fillId="5" borderId="1" xfId="0" applyNumberFormat="1" applyFont="1" applyFill="1" applyBorder="1" applyAlignment="1">
      <alignment horizontal="center" vertical="center"/>
    </xf>
    <xf numFmtId="0" fontId="1" fillId="5" borderId="3" xfId="0" applyNumberFormat="1" applyFont="1" applyFill="1" applyBorder="1" applyAlignment="1">
      <alignment horizontal="center" vertical="center"/>
    </xf>
    <xf numFmtId="0" fontId="1" fillId="5" borderId="2" xfId="0" applyNumberFormat="1" applyFont="1" applyFill="1" applyBorder="1" applyAlignment="1">
      <alignment horizontal="center" vertical="center"/>
    </xf>
    <xf numFmtId="0" fontId="1" fillId="6" borderId="1" xfId="0" applyNumberFormat="1" applyFont="1" applyFill="1" applyBorder="1" applyAlignment="1">
      <alignment horizontal="center" vertical="center"/>
    </xf>
    <xf numFmtId="0" fontId="1" fillId="6" borderId="3" xfId="0" applyNumberFormat="1" applyFont="1" applyFill="1" applyBorder="1" applyAlignment="1">
      <alignment horizontal="center" vertical="center"/>
    </xf>
    <xf numFmtId="0" fontId="1" fillId="6" borderId="2" xfId="0" applyNumberFormat="1" applyFont="1" applyFill="1" applyBorder="1" applyAlignment="1">
      <alignment horizontal="center" vertical="center"/>
    </xf>
    <xf numFmtId="0" fontId="1" fillId="2" borderId="4" xfId="0" applyNumberFormat="1" applyFont="1" applyFill="1" applyBorder="1" applyAlignment="1">
      <alignment horizontal="center" vertical="center"/>
    </xf>
    <xf numFmtId="0" fontId="2" fillId="7" borderId="0" xfId="0" applyNumberFormat="1" applyFont="1" applyFill="1" applyBorder="1" applyAlignment="1">
      <alignment horizontal="center" vertical="center" wrapText="1"/>
    </xf>
    <xf numFmtId="0" fontId="3" fillId="0" borderId="0" xfId="0" applyNumberFormat="1" applyFont="1" applyFill="1" applyBorder="1" applyAlignment="1">
      <alignment horizontal="left" vertical="center" wrapText="1"/>
    </xf>
    <xf numFmtId="0" fontId="4" fillId="0" borderId="0" xfId="0" applyNumberFormat="1" applyFont="1" applyFill="1" applyBorder="1" applyAlignment="1">
      <alignment horizontal="left" vertical="center" wrapText="1"/>
    </xf>
    <xf numFmtId="0" fontId="3" fillId="0" borderId="0" xfId="0" applyNumberFormat="1" applyFont="1" applyFill="1" applyBorder="1" applyAlignment="1">
      <alignment horizontal="left" vertical="center"/>
    </xf>
    <xf numFmtId="0" fontId="5" fillId="3" borderId="5" xfId="0" applyNumberFormat="1" applyFont="1" applyFill="1" applyBorder="1" applyAlignment="1">
      <alignment horizontal="left" vertical="center" indent="1"/>
    </xf>
    <xf numFmtId="3" fontId="6" fillId="8" borderId="5" xfId="0" applyNumberFormat="1" applyFont="1" applyFill="1" applyBorder="1" applyAlignment="1">
      <alignment horizontal="center" vertical="center"/>
    </xf>
    <xf numFmtId="0" fontId="5" fillId="4" borderId="5" xfId="0" applyNumberFormat="1" applyFont="1" applyFill="1" applyBorder="1" applyAlignment="1">
      <alignment horizontal="left" vertical="center" indent="1"/>
    </xf>
    <xf numFmtId="0" fontId="5" fillId="5" borderId="5" xfId="0" applyNumberFormat="1" applyFont="1" applyFill="1" applyBorder="1" applyAlignment="1">
      <alignment horizontal="left" vertical="center" indent="1"/>
    </xf>
    <xf numFmtId="9" fontId="6" fillId="8" borderId="5" xfId="0" applyNumberFormat="1" applyFont="1" applyFill="1" applyBorder="1" applyAlignment="1">
      <alignment horizontal="center" vertical="center"/>
    </xf>
    <xf numFmtId="0" fontId="5" fillId="6" borderId="5" xfId="0" applyNumberFormat="1" applyFont="1" applyFill="1" applyBorder="1" applyAlignment="1">
      <alignment horizontal="left" vertical="center" indent="1"/>
    </xf>
    <xf numFmtId="0" fontId="7" fillId="0" borderId="0" xfId="0" applyNumberFormat="1" applyFont="1" applyFill="1" applyBorder="1" applyAlignment="1">
      <alignment horizontal="left" vertical="center"/>
    </xf>
    <xf numFmtId="0" fontId="8" fillId="0" borderId="0" xfId="0" applyNumberFormat="1" applyFont="1" applyFill="1" applyBorder="1" applyAlignment="1">
      <alignment horizontal="left" vertical="center"/>
    </xf>
    <xf numFmtId="0" fontId="9" fillId="0" borderId="0" xfId="0" applyNumberFormat="1" applyFont="1" applyFill="1" applyBorder="1" applyAlignment="1">
      <alignment horizontal="center" vertical="center"/>
    </xf>
    <xf numFmtId="0" fontId="9" fillId="0" borderId="0" xfId="0" applyNumberFormat="1" applyFont="1" applyFill="1" applyBorder="1" applyAlignment="1">
      <alignment horizontal="left" vertical="center"/>
    </xf>
    <xf numFmtId="3" fontId="8" fillId="0" borderId="0" xfId="0" applyNumberFormat="1" applyFont="1" applyFill="1" applyBorder="1" applyAlignment="1">
      <alignment horizontal="left" vertical="center"/>
    </xf>
    <xf numFmtId="0" fontId="10" fillId="0" borderId="0" xfId="0" applyNumberFormat="1" applyFont="1" applyFill="1" applyBorder="1" applyAlignment="1">
      <alignment horizontal="left" vertical="center"/>
    </xf>
    <xf numFmtId="3" fontId="9" fillId="0" borderId="0" xfId="0" applyNumberFormat="1" applyFont="1" applyFill="1" applyBorder="1" applyAlignment="1">
      <alignment horizontal="center" vertical="center"/>
    </xf>
    <xf numFmtId="9" fontId="0" fillId="0" borderId="0" xfId="0" applyNumberFormat="1" applyFont="1" applyFill="1" applyBorder="1" applyAlignment="1">
      <alignment horizontal="left" vertical="center"/>
    </xf>
    <xf numFmtId="164" fontId="9" fillId="0" borderId="0" xfId="0" applyNumberFormat="1" applyFont="1" applyFill="1" applyBorder="1" applyAlignment="1">
      <alignment horizontal="center" vertical="center"/>
    </xf>
    <xf numFmtId="0" fontId="0" fillId="0" borderId="0" xfId="0" applyNumberFormat="1" applyFont="1" applyFill="1" applyBorder="1" applyAlignment="1">
      <alignment horizontal="left" vertical="center"/>
    </xf>
    <xf numFmtId="1" fontId="8" fillId="0" borderId="0" xfId="0" applyNumberFormat="1" applyFont="1" applyFill="1" applyBorder="1" applyAlignment="1">
      <alignment horizontal="left" vertical="center"/>
    </xf>
    <xf numFmtId="0" fontId="11" fillId="7" borderId="0" xfId="0" applyNumberFormat="1" applyFont="1" applyFill="1" applyBorder="1" applyAlignment="1">
      <alignment horizontal="center" vertical="center" wrapText="1"/>
    </xf>
    <xf numFmtId="0" fontId="12" fillId="0" borderId="0" xfId="0" applyNumberFormat="1" applyFont="1" applyFill="1" applyBorder="1" applyAlignment="1">
      <alignment horizontal="center" vertical="center"/>
    </xf>
    <xf numFmtId="0" fontId="13" fillId="0" borderId="0" xfId="0" applyNumberFormat="1" applyFont="1" applyFill="1" applyBorder="1" applyAlignment="1">
      <alignment horizontal="center" vertical="center"/>
    </xf>
    <xf numFmtId="0" fontId="5" fillId="0" borderId="0" xfId="0" applyNumberFormat="1" applyFont="1" applyFill="1" applyBorder="1" applyAlignment="1">
      <alignment horizontal="left" vertical="center"/>
    </xf>
    <xf numFmtId="3" fontId="0" fillId="0" borderId="0" xfId="0" applyNumberFormat="1" applyFont="1" applyFill="1" applyBorder="1" applyAlignment="1">
      <alignment horizontal="center" vertical="center"/>
    </xf>
    <xf numFmtId="165" fontId="12" fillId="0" borderId="0" xfId="0" applyNumberFormat="1" applyFont="1" applyFill="1" applyBorder="1" applyAlignment="1">
      <alignment horizontal="center" vertical="center"/>
    </xf>
    <xf numFmtId="3" fontId="12" fillId="0" borderId="0" xfId="0" applyNumberFormat="1" applyFont="1" applyFill="1" applyBorder="1" applyAlignment="1">
      <alignment horizontal="center" vertical="center"/>
    </xf>
    <xf numFmtId="0" fontId="13" fillId="0" borderId="0" xfId="0" applyNumberFormat="1" applyFont="1" applyFill="1" applyBorder="1" applyAlignment="1">
      <alignment horizontal="left" vertical="center"/>
    </xf>
    <xf numFmtId="3" fontId="13" fillId="0" borderId="0" xfId="0" applyNumberFormat="1" applyFont="1" applyFill="1" applyBorder="1" applyAlignment="1">
      <alignment horizontal="center" vertical="center"/>
    </xf>
    <xf numFmtId="165" fontId="9" fillId="0" borderId="0" xfId="0" applyNumberFormat="1" applyFont="1" applyFill="1" applyBorder="1" applyAlignment="1">
      <alignment horizontal="center" vertical="center"/>
    </xf>
    <xf numFmtId="4" fontId="9" fillId="0" borderId="0" xfId="0" applyNumberFormat="1" applyFont="1" applyFill="1" applyBorder="1" applyAlignment="1">
      <alignment horizontal="center" vertical="center"/>
    </xf>
    <xf numFmtId="166" fontId="9" fillId="0" borderId="0" xfId="0" applyNumberFormat="1" applyFont="1" applyFill="1" applyBorder="1" applyAlignment="1">
      <alignment horizontal="center" vertical="center"/>
    </xf>
    <xf numFmtId="167" fontId="9" fillId="0" borderId="0" xfId="0" applyNumberFormat="1" applyFont="1" applyFill="1" applyBorder="1" applyAlignment="1">
      <alignment horizontal="center" vertical="center"/>
    </xf>
    <xf numFmtId="9" fontId="9" fillId="0" borderId="0" xfId="0" applyNumberFormat="1" applyFont="1" applyFill="1" applyBorder="1" applyAlignment="1">
      <alignment horizontal="center" vertical="center"/>
    </xf>
    <xf numFmtId="0" fontId="5" fillId="9" borderId="6" xfId="0" applyNumberFormat="1" applyFont="1" applyFill="1" applyBorder="1" applyAlignment="1">
      <alignment horizontal="left" vertical="center"/>
    </xf>
    <xf numFmtId="0" fontId="5" fillId="9" borderId="0" xfId="0" applyNumberFormat="1" applyFont="1" applyFill="1" applyBorder="1" applyAlignment="1">
      <alignment horizontal="left" vertical="center"/>
    </xf>
    <xf numFmtId="3" fontId="5" fillId="9" borderId="6" xfId="0" applyNumberFormat="1" applyFont="1" applyFill="1" applyBorder="1" applyAlignment="1">
      <alignment horizontal="center" vertical="center"/>
    </xf>
    <xf numFmtId="168" fontId="9" fillId="9" borderId="0" xfId="0" applyNumberFormat="1" applyFont="1" applyFill="1" applyBorder="1" applyAlignment="1">
      <alignment horizontal="center" vertical="center"/>
    </xf>
    <xf numFmtId="3" fontId="9" fillId="9" borderId="0" xfId="0" applyNumberFormat="1" applyFont="1" applyFill="1" applyBorder="1" applyAlignment="1">
      <alignment horizontal="center" vertical="center"/>
    </xf>
    <xf numFmtId="167" fontId="9" fillId="9" borderId="0" xfId="0" applyNumberFormat="1" applyFont="1" applyFill="1" applyBorder="1" applyAlignment="1">
      <alignment horizontal="center" vertical="center"/>
    </xf>
    <xf numFmtId="9" fontId="9" fillId="9" borderId="0" xfId="0" applyNumberFormat="1" applyFont="1" applyFill="1" applyBorder="1" applyAlignment="1">
      <alignment horizontal="center" vertical="center"/>
    </xf>
    <xf numFmtId="0" fontId="9" fillId="9" borderId="0" xfId="0" applyNumberFormat="1" applyFont="1" applyFill="1" applyBorder="1" applyAlignment="1">
      <alignment horizontal="center" vertical="center"/>
    </xf>
    <xf numFmtId="168" fontId="5" fillId="9" borderId="6" xfId="0" applyNumberFormat="1" applyFont="1" applyFill="1" applyBorder="1" applyAlignment="1">
      <alignment horizontal="center" vertical="center"/>
    </xf>
    <xf numFmtId="167" fontId="5" fillId="9" borderId="6" xfId="0" applyNumberFormat="1" applyFont="1" applyFill="1" applyBorder="1" applyAlignment="1">
      <alignment horizontal="center" vertical="center"/>
    </xf>
    <xf numFmtId="168" fontId="9" fillId="0" borderId="0" xfId="0" applyNumberFormat="1" applyFont="1" applyFill="1" applyBorder="1" applyAlignment="1">
      <alignment horizontal="center" vertical="center"/>
    </xf>
    <xf numFmtId="3" fontId="5" fillId="0" borderId="0" xfId="0" applyNumberFormat="1" applyFont="1" applyFill="1" applyBorder="1" applyAlignment="1">
      <alignment horizontal="center" vertical="center"/>
    </xf>
    <xf numFmtId="168" fontId="5" fillId="0" borderId="0" xfId="0" applyNumberFormat="1" applyFont="1" applyFill="1" applyBorder="1" applyAlignment="1">
      <alignment horizontal="center" vertical="center"/>
    </xf>
    <xf numFmtId="9" fontId="5" fillId="0" borderId="0" xfId="0" applyNumberFormat="1" applyFont="1" applyFill="1" applyBorder="1" applyAlignment="1">
      <alignment horizontal="center" vertical="center"/>
    </xf>
    <xf numFmtId="0" fontId="12" fillId="0" borderId="0" xfId="0" applyNumberFormat="1" applyFont="1" applyFill="1" applyBorder="1" applyAlignment="1">
      <alignment horizontal="left" vertical="center"/>
    </xf>
    <xf numFmtId="0" fontId="14" fillId="7" borderId="7" xfId="0" applyNumberFormat="1" applyFont="1" applyFill="1" applyBorder="1" applyAlignment="1">
      <alignment horizontal="left" vertical="center" indent="1"/>
    </xf>
    <xf numFmtId="0" fontId="14" fillId="7" borderId="8" xfId="0" applyNumberFormat="1" applyFont="1" applyFill="1" applyBorder="1" applyAlignment="1">
      <alignment horizontal="left" vertical="center" indent="1"/>
    </xf>
    <xf numFmtId="0" fontId="14" fillId="7" borderId="9" xfId="0" applyNumberFormat="1" applyFont="1" applyFill="1" applyBorder="1" applyAlignment="1">
      <alignment horizontal="left" vertical="center" indent="1"/>
    </xf>
    <xf numFmtId="0" fontId="15" fillId="8" borderId="0" xfId="0" applyNumberFormat="1" applyFont="1" applyFill="1" applyBorder="1" applyAlignment="1">
      <alignment horizontal="left" vertical="center" wrapText="1" indent="1"/>
    </xf>
    <xf numFmtId="0" fontId="16" fillId="10" borderId="0" xfId="0" applyNumberFormat="1" applyFont="1" applyFill="1" applyBorder="1" applyAlignment="1">
      <alignment horizontal="left" vertical="center" wrapText="1" indent="1"/>
    </xf>
    <xf numFmtId="0" fontId="17" fillId="0" borderId="0" xfId="0" applyNumberFormat="1" applyFont="1" applyFill="1" applyBorder="1" applyAlignment="1">
      <alignment horizontal="left" vertical="center"/>
    </xf>
    <xf numFmtId="0" fontId="2" fillId="11" borderId="0" xfId="0" applyNumberFormat="1" applyFont="1" applyFill="1" applyBorder="1" applyAlignment="1">
      <alignment horizontal="center" vertical="center" wrapText="1"/>
    </xf>
    <xf numFmtId="0" fontId="18" fillId="8" borderId="5" xfId="0" applyNumberFormat="1" applyFont="1" applyFill="1" applyBorder="1" applyAlignment="1">
      <alignment horizontal="left" vertical="center"/>
    </xf>
    <xf numFmtId="0" fontId="18" fillId="8" borderId="5" xfId="0" applyNumberFormat="1" applyFont="1" applyFill="1" applyBorder="1" applyAlignment="1">
      <alignment horizontal="center" vertical="center"/>
    </xf>
    <xf numFmtId="0" fontId="19" fillId="0" borderId="0" xfId="0" applyNumberFormat="1" applyFont="1" applyFill="1" applyBorder="1" applyAlignment="1">
      <alignment horizontal="center" vertical="center"/>
    </xf>
    <xf numFmtId="0" fontId="20" fillId="12" borderId="0" xfId="0" applyNumberFormat="1" applyFont="1" applyFill="1" applyBorder="1" applyAlignment="1">
      <alignment horizontal="left" vertical="center" indent="1"/>
    </xf>
    <xf numFmtId="0" fontId="21" fillId="9" borderId="5" xfId="0" applyNumberFormat="1" applyFont="1" applyFill="1" applyBorder="1" applyAlignment="1">
      <alignment horizontal="center" vertical="center"/>
    </xf>
    <xf numFmtId="0" fontId="21" fillId="9" borderId="5" xfId="0" applyNumberFormat="1" applyFont="1" applyFill="1" applyBorder="1" applyAlignment="1">
      <alignment horizontal="left" vertical="center"/>
    </xf>
    <xf numFmtId="0" fontId="22" fillId="8" borderId="5" xfId="0" applyNumberFormat="1" applyFont="1" applyFill="1" applyBorder="1" applyAlignment="1">
      <alignment horizontal="left" vertical="center"/>
    </xf>
    <xf numFmtId="0" fontId="23" fillId="3" borderId="0" xfId="0" applyNumberFormat="1" applyFont="1" applyFill="1" applyBorder="1" applyAlignment="1">
      <alignment horizontal="center" vertical="center" wrapText="1"/>
    </xf>
    <xf numFmtId="0" fontId="23" fillId="4" borderId="0" xfId="0" applyNumberFormat="1" applyFont="1" applyFill="1" applyBorder="1" applyAlignment="1">
      <alignment horizontal="center" vertical="center" wrapText="1"/>
    </xf>
    <xf numFmtId="0" fontId="23" fillId="5" borderId="0" xfId="0" applyNumberFormat="1" applyFont="1" applyFill="1" applyBorder="1" applyAlignment="1">
      <alignment horizontal="center" vertical="center" wrapText="1"/>
    </xf>
    <xf numFmtId="0" fontId="23" fillId="6" borderId="0" xfId="0" applyNumberFormat="1" applyFont="1" applyFill="1" applyBorder="1" applyAlignment="1">
      <alignment horizontal="center" vertical="center" wrapText="1"/>
    </xf>
    <xf numFmtId="0" fontId="2" fillId="7" borderId="7" xfId="0" applyNumberFormat="1" applyFont="1" applyFill="1" applyBorder="1" applyAlignment="1">
      <alignment horizontal="center" vertical="center" wrapText="1"/>
    </xf>
    <xf numFmtId="0" fontId="2" fillId="7" borderId="8" xfId="0" applyNumberFormat="1" applyFont="1" applyFill="1" applyBorder="1" applyAlignment="1">
      <alignment horizontal="center" vertical="center" wrapText="1"/>
    </xf>
    <xf numFmtId="0" fontId="2" fillId="7" borderId="9" xfId="0" applyNumberFormat="1" applyFont="1" applyFill="1" applyBorder="1" applyAlignment="1">
      <alignment horizontal="center" vertical="center" wrapText="1"/>
    </xf>
    <xf numFmtId="0" fontId="21" fillId="9" borderId="10" xfId="0" applyNumberFormat="1" applyFont="1" applyFill="1" applyBorder="1" applyAlignment="1">
      <alignment horizontal="left" vertical="center"/>
    </xf>
    <xf numFmtId="0" fontId="21" fillId="9" borderId="11" xfId="0" applyNumberFormat="1" applyFont="1" applyFill="1" applyBorder="1" applyAlignment="1">
      <alignment horizontal="left" vertical="center"/>
    </xf>
    <xf numFmtId="0" fontId="21" fillId="9" borderId="12" xfId="0" applyNumberFormat="1" applyFont="1" applyFill="1" applyBorder="1" applyAlignment="1">
      <alignment horizontal="left" vertical="center"/>
    </xf>
    <xf numFmtId="0" fontId="18" fillId="8" borderId="10" xfId="0" applyNumberFormat="1" applyFont="1" applyFill="1" applyBorder="1" applyAlignment="1">
      <alignment horizontal="left" vertical="center"/>
    </xf>
    <xf numFmtId="0" fontId="18" fillId="8" borderId="11" xfId="0" applyNumberFormat="1" applyFont="1" applyFill="1" applyBorder="1" applyAlignment="1">
      <alignment horizontal="left" vertical="center"/>
    </xf>
    <xf numFmtId="0" fontId="18" fillId="8" borderId="12" xfId="0" applyNumberFormat="1" applyFont="1" applyFill="1" applyBorder="1" applyAlignment="1">
      <alignment horizontal="left" vertical="center"/>
    </xf>
    <xf numFmtId="3" fontId="18" fillId="8" borderId="5" xfId="0" applyNumberFormat="1" applyFont="1" applyFill="1" applyBorder="1" applyAlignment="1">
      <alignment horizontal="right" vertical="center"/>
    </xf>
    <xf numFmtId="9" fontId="18" fillId="8" borderId="5" xfId="0" applyNumberFormat="1" applyFont="1" applyFill="1" applyBorder="1" applyAlignment="1">
      <alignment horizontal="right" vertical="center"/>
    </xf>
    <xf numFmtId="1" fontId="13" fillId="0" borderId="0" xfId="0" applyNumberFormat="1" applyFont="1" applyFill="1" applyBorder="1" applyAlignment="1">
      <alignment horizontal="center" vertical="center"/>
    </xf>
    <xf numFmtId="0" fontId="13" fillId="8" borderId="0" xfId="0" applyNumberFormat="1" applyFont="1" applyFill="1" applyBorder="1" applyAlignment="1">
      <alignment horizontal="left" vertical="center"/>
    </xf>
    <xf numFmtId="0" fontId="0" fillId="13" borderId="13" xfId="0" applyNumberFormat="1" applyFont="1" applyFill="1" applyBorder="1" applyAlignment="1">
      <alignment horizontal="center" vertical="center"/>
    </xf>
    <xf numFmtId="0" fontId="0" fillId="12" borderId="13" xfId="0" applyNumberFormat="1" applyFont="1" applyFill="1" applyBorder="1" applyAlignment="1">
      <alignment horizontal="center" vertical="center"/>
    </xf>
    <xf numFmtId="0" fontId="24" fillId="12" borderId="13" xfId="0" applyNumberFormat="1" applyFont="1" applyFill="1" applyBorder="1" applyAlignment="1">
      <alignment horizontal="center" vertical="center"/>
    </xf>
    <xf numFmtId="0" fontId="25" fillId="0" borderId="0" xfId="0" applyNumberFormat="1" applyFont="1" applyFill="1" applyBorder="1" applyAlignment="1">
      <alignment horizontal="right" vertical="center" indent="1"/>
    </xf>
    <xf numFmtId="0" fontId="26" fillId="8" borderId="14" xfId="0" applyNumberFormat="1" applyFont="1" applyFill="1" applyBorder="1" applyAlignment="1" applyProtection="1">
      <alignment horizontal="center" vertical="center"/>
      <protection locked="0"/>
    </xf>
    <xf numFmtId="0" fontId="26" fillId="8" borderId="15" xfId="0" applyNumberFormat="1" applyFont="1" applyFill="1" applyBorder="1" applyAlignment="1" applyProtection="1">
      <alignment horizontal="center" vertical="center"/>
      <protection locked="0"/>
    </xf>
    <xf numFmtId="0" fontId="26" fillId="8" borderId="16" xfId="0" applyNumberFormat="1" applyFont="1" applyFill="1" applyBorder="1" applyAlignment="1" applyProtection="1">
      <alignment horizontal="center" vertical="center"/>
      <protection locked="0"/>
    </xf>
    <xf numFmtId="164" fontId="27" fillId="8" borderId="14" xfId="0" applyNumberFormat="1" applyFont="1" applyFill="1" applyBorder="1" applyAlignment="1" applyProtection="1">
      <alignment horizontal="center" vertical="center"/>
      <protection locked="0"/>
    </xf>
    <xf numFmtId="164" fontId="27" fillId="8" borderId="15" xfId="0" applyNumberFormat="1" applyFont="1" applyFill="1" applyBorder="1" applyAlignment="1" applyProtection="1">
      <alignment horizontal="center" vertical="center"/>
      <protection locked="0"/>
    </xf>
    <xf numFmtId="164" fontId="27" fillId="8" borderId="16" xfId="0" applyNumberFormat="1" applyFont="1" applyFill="1" applyBorder="1" applyAlignment="1" applyProtection="1">
      <alignment horizontal="center" vertical="center"/>
      <protection locked="0"/>
    </xf>
    <xf numFmtId="0" fontId="28" fillId="0" borderId="0" xfId="0" applyNumberFormat="1" applyFont="1" applyFill="1" applyBorder="1" applyAlignment="1">
      <alignment horizontal="center" vertical="center"/>
    </xf>
    <xf numFmtId="0" fontId="29" fillId="0" borderId="0" xfId="0" applyNumberFormat="1" applyFont="1" applyFill="1" applyBorder="1" applyAlignment="1">
      <alignment horizontal="right" vertical="center"/>
    </xf>
    <xf numFmtId="0" fontId="0" fillId="14" borderId="17" xfId="0" applyNumberFormat="1" applyFont="1" applyFill="1" applyBorder="1" applyAlignment="1">
      <alignment horizontal="center" vertical="center"/>
    </xf>
    <xf numFmtId="0" fontId="0" fillId="14" borderId="0" xfId="0" applyNumberFormat="1" applyFont="1" applyFill="1" applyBorder="1" applyAlignment="1">
      <alignment horizontal="center" vertical="center"/>
    </xf>
    <xf numFmtId="0" fontId="0" fillId="14" borderId="18" xfId="0" applyNumberFormat="1" applyFont="1" applyFill="1" applyBorder="1" applyAlignment="1">
      <alignment horizontal="center" vertical="center"/>
    </xf>
    <xf numFmtId="0" fontId="0" fillId="14" borderId="19" xfId="0" applyNumberFormat="1" applyFont="1" applyFill="1" applyBorder="1" applyAlignment="1">
      <alignment horizontal="center" vertical="center"/>
    </xf>
    <xf numFmtId="0" fontId="0" fillId="14" borderId="20" xfId="0" applyNumberFormat="1" applyFont="1" applyFill="1" applyBorder="1" applyAlignment="1">
      <alignment horizontal="center" vertical="center"/>
    </xf>
    <xf numFmtId="0" fontId="0" fillId="14" borderId="21" xfId="0" applyNumberFormat="1" applyFont="1" applyFill="1" applyBorder="1" applyAlignment="1">
      <alignment horizontal="center" vertical="center"/>
    </xf>
    <xf numFmtId="0" fontId="0" fillId="3" borderId="22" xfId="0" applyNumberFormat="1" applyFont="1" applyFill="1" applyBorder="1" applyAlignment="1">
      <alignment horizontal="center" vertical="center"/>
    </xf>
    <xf numFmtId="0" fontId="30" fillId="3" borderId="22" xfId="0" applyNumberFormat="1" applyFont="1" applyFill="1" applyBorder="1" applyAlignment="1">
      <alignment horizontal="center" vertical="center" wrapText="1"/>
    </xf>
    <xf numFmtId="3" fontId="31" fillId="14" borderId="0" xfId="0" applyNumberFormat="1" applyFont="1" applyFill="1" applyBorder="1" applyAlignment="1">
      <alignment horizontal="center" vertical="center"/>
    </xf>
    <xf numFmtId="0" fontId="32" fillId="14" borderId="0" xfId="0" applyNumberFormat="1" applyFont="1" applyFill="1" applyBorder="1" applyAlignment="1">
      <alignment horizontal="center" vertical="center"/>
    </xf>
    <xf numFmtId="0" fontId="33" fillId="14" borderId="0" xfId="0" applyNumberFormat="1" applyFont="1" applyFill="1" applyBorder="1" applyAlignment="1">
      <alignment horizontal="center" vertical="center" wrapText="1"/>
    </xf>
    <xf numFmtId="169" fontId="34" fillId="14" borderId="20" xfId="0" applyNumberFormat="1" applyFont="1" applyFill="1" applyBorder="1" applyAlignment="1">
      <alignment horizontal="center" vertical="center"/>
    </xf>
    <xf numFmtId="0" fontId="0" fillId="4" borderId="22" xfId="0" applyNumberFormat="1" applyFont="1" applyFill="1" applyBorder="1" applyAlignment="1">
      <alignment horizontal="center" vertical="center"/>
    </xf>
    <xf numFmtId="0" fontId="30" fillId="4" borderId="22" xfId="0" applyNumberFormat="1" applyFont="1" applyFill="1" applyBorder="1" applyAlignment="1">
      <alignment horizontal="center" vertical="center" wrapText="1"/>
    </xf>
    <xf numFmtId="0" fontId="0" fillId="5" borderId="22" xfId="0" applyNumberFormat="1" applyFont="1" applyFill="1" applyBorder="1" applyAlignment="1">
      <alignment horizontal="center" vertical="center"/>
    </xf>
    <xf numFmtId="0" fontId="30" fillId="5" borderId="22" xfId="0" applyNumberFormat="1" applyFont="1" applyFill="1" applyBorder="1" applyAlignment="1">
      <alignment horizontal="center" vertical="center" wrapText="1"/>
    </xf>
    <xf numFmtId="0" fontId="35" fillId="14" borderId="23" xfId="0" applyNumberFormat="1" applyFont="1" applyFill="1" applyBorder="1" applyAlignment="1">
      <alignment horizontal="left" vertical="center" indent="1"/>
    </xf>
    <xf numFmtId="3" fontId="30" fillId="14" borderId="23" xfId="0" applyNumberFormat="1" applyFont="1" applyFill="1" applyBorder="1" applyAlignment="1">
      <alignment horizontal="right" vertical="center" indent="1"/>
    </xf>
    <xf numFmtId="0" fontId="35" fillId="14" borderId="0" xfId="0" applyNumberFormat="1" applyFont="1" applyFill="1" applyBorder="1" applyAlignment="1">
      <alignment horizontal="left" vertical="center" indent="1"/>
    </xf>
    <xf numFmtId="3" fontId="30" fillId="14" borderId="0" xfId="0" applyNumberFormat="1" applyFont="1" applyFill="1" applyBorder="1" applyAlignment="1">
      <alignment horizontal="right" vertical="center" indent="1"/>
    </xf>
    <xf numFmtId="170" fontId="30" fillId="14" borderId="23" xfId="0" applyNumberFormat="1" applyFont="1" applyFill="1" applyBorder="1" applyAlignment="1">
      <alignment horizontal="right" vertical="center" indent="1"/>
    </xf>
    <xf numFmtId="167" fontId="30" fillId="14" borderId="23" xfId="0" applyNumberFormat="1" applyFont="1" applyFill="1" applyBorder="1" applyAlignment="1">
      <alignment horizontal="right" vertical="center" indent="1"/>
    </xf>
    <xf numFmtId="171" fontId="30" fillId="14" borderId="23" xfId="0" applyNumberFormat="1" applyFont="1" applyFill="1" applyBorder="1" applyAlignment="1">
      <alignment horizontal="right" vertical="center" indent="1"/>
    </xf>
    <xf numFmtId="0" fontId="32" fillId="14" borderId="0" xfId="0" applyNumberFormat="1" applyFont="1" applyFill="1" applyBorder="1" applyAlignment="1">
      <alignment horizontal="center" vertical="center" wrapText="1"/>
    </xf>
    <xf numFmtId="0" fontId="0" fillId="6" borderId="22" xfId="0" applyNumberFormat="1" applyFont="1" applyFill="1" applyBorder="1" applyAlignment="1">
      <alignment horizontal="center" vertical="center"/>
    </xf>
    <xf numFmtId="0" fontId="30" fillId="6" borderId="22" xfId="0" applyNumberFormat="1" applyFont="1" applyFill="1" applyBorder="1" applyAlignment="1">
      <alignment horizontal="center" vertical="center" wrapText="1"/>
    </xf>
    <xf numFmtId="0" fontId="30" fillId="14" borderId="0" xfId="0" applyNumberFormat="1" applyFont="1" applyFill="1" applyBorder="1" applyAlignment="1">
      <alignment horizontal="right" vertical="center" indent="1"/>
    </xf>
    <xf numFmtId="0" fontId="36" fillId="0" borderId="0" xfId="0" applyNumberFormat="1" applyFont="1" applyFill="1" applyBorder="1" applyAlignment="1">
      <alignment horizontal="left" vertical="center"/>
    </xf>
    <xf numFmtId="0" fontId="14" fillId="12" borderId="13" xfId="0" applyNumberFormat="1" applyFont="1" applyFill="1" applyBorder="1" applyAlignment="1">
      <alignment horizontal="center" vertical="center"/>
    </xf>
    <xf numFmtId="0" fontId="14" fillId="12" borderId="13" xfId="0" applyNumberFormat="1" applyFont="1" applyFill="1" applyBorder="1" applyAlignment="1" applyProtection="1">
      <alignment horizontal="right" vertical="center" indent="1"/>
      <protection locked="0"/>
    </xf>
    <xf numFmtId="0" fontId="27" fillId="8" borderId="14" xfId="0" applyNumberFormat="1" applyFont="1" applyFill="1" applyBorder="1" applyAlignment="1" applyProtection="1">
      <alignment horizontal="center" vertical="center"/>
      <protection locked="0"/>
    </xf>
    <xf numFmtId="0" fontId="27" fillId="8" borderId="16" xfId="0" applyNumberFormat="1" applyFont="1" applyFill="1" applyBorder="1" applyAlignment="1" applyProtection="1">
      <alignment horizontal="center" vertical="center"/>
      <protection locked="0"/>
    </xf>
    <xf numFmtId="0" fontId="37" fillId="0" borderId="0" xfId="0" applyNumberFormat="1" applyFont="1" applyFill="1" applyBorder="1" applyAlignment="1">
      <alignment horizontal="left" vertical="center" indent="1"/>
    </xf>
    <xf numFmtId="0" fontId="8" fillId="0" borderId="24" xfId="0" applyNumberFormat="1" applyFont="1" applyFill="1" applyBorder="1" applyAlignment="1">
      <alignment horizontal="center" vertical="center"/>
    </xf>
    <xf numFmtId="0" fontId="8" fillId="0" borderId="25" xfId="0" applyNumberFormat="1" applyFont="1" applyFill="1" applyBorder="1" applyAlignment="1">
      <alignment horizontal="center" vertical="center"/>
    </xf>
    <xf numFmtId="0" fontId="8" fillId="2" borderId="26" xfId="0" applyNumberFormat="1" applyFont="1" applyFill="1" applyBorder="1" applyAlignment="1">
      <alignment horizontal="center" vertical="center"/>
    </xf>
    <xf numFmtId="0" fontId="8" fillId="2" borderId="27" xfId="0" applyNumberFormat="1" applyFont="1" applyFill="1" applyBorder="1" applyAlignment="1">
      <alignment horizontal="center" vertical="center"/>
    </xf>
    <xf numFmtId="0" fontId="8" fillId="2" borderId="28" xfId="0" applyNumberFormat="1" applyFont="1" applyFill="1" applyBorder="1" applyAlignment="1">
      <alignment horizontal="center" vertical="center"/>
    </xf>
    <xf numFmtId="0" fontId="8" fillId="2" borderId="29" xfId="0" applyNumberFormat="1" applyFont="1" applyFill="1" applyBorder="1" applyAlignment="1">
      <alignment horizontal="center" vertical="center"/>
    </xf>
    <xf numFmtId="0" fontId="8" fillId="2" borderId="24" xfId="0" applyNumberFormat="1" applyFont="1" applyFill="1" applyBorder="1" applyAlignment="1">
      <alignment horizontal="center" vertical="center"/>
    </xf>
    <xf numFmtId="0" fontId="8" fillId="2" borderId="25" xfId="0" applyNumberFormat="1" applyFont="1" applyFill="1" applyBorder="1" applyAlignment="1">
      <alignment horizontal="center" vertical="center"/>
    </xf>
    <xf numFmtId="0" fontId="38" fillId="15" borderId="7" xfId="0" applyNumberFormat="1" applyFont="1" applyFill="1" applyBorder="1" applyAlignment="1">
      <alignment horizontal="center" vertical="center"/>
    </xf>
    <xf numFmtId="0" fontId="38" fillId="15" borderId="8" xfId="0" applyNumberFormat="1" applyFont="1" applyFill="1" applyBorder="1" applyAlignment="1">
      <alignment horizontal="center" vertical="center"/>
    </xf>
    <xf numFmtId="0" fontId="38" fillId="15" borderId="9" xfId="0" applyNumberFormat="1" applyFont="1" applyFill="1" applyBorder="1" applyAlignment="1">
      <alignment horizontal="center" vertical="center"/>
    </xf>
    <xf numFmtId="0" fontId="8" fillId="15" borderId="24" xfId="0" applyNumberFormat="1" applyFont="1" applyFill="1" applyBorder="1" applyAlignment="1">
      <alignment horizontal="center" vertical="center"/>
    </xf>
    <xf numFmtId="0" fontId="8" fillId="15" borderId="25" xfId="0" applyNumberFormat="1" applyFont="1" applyFill="1" applyBorder="1" applyAlignment="1">
      <alignment horizontal="center" vertical="center"/>
    </xf>
    <xf numFmtId="172" fontId="0" fillId="16" borderId="30" xfId="0" applyNumberFormat="1" applyFont="1" applyFill="1" applyBorder="1" applyAlignment="1">
      <alignment horizontal="center" vertical="center"/>
    </xf>
    <xf numFmtId="172" fontId="0" fillId="16" borderId="31" xfId="0" applyNumberFormat="1" applyFont="1" applyFill="1" applyBorder="1" applyAlignment="1">
      <alignment horizontal="center" vertical="center"/>
    </xf>
    <xf numFmtId="172" fontId="0" fillId="16" borderId="32" xfId="0" applyNumberFormat="1" applyFont="1" applyFill="1" applyBorder="1" applyAlignment="1">
      <alignment horizontal="center" vertical="center"/>
    </xf>
    <xf numFmtId="0" fontId="39" fillId="0" borderId="0" xfId="0" applyNumberFormat="1" applyFont="1" applyFill="1" applyBorder="1" applyAlignment="1">
      <alignment horizontal="center" vertical="center"/>
    </xf>
    <xf numFmtId="0" fontId="40" fillId="0" borderId="0" xfId="0" applyNumberFormat="1" applyFont="1" applyFill="1" applyBorder="1" applyAlignment="1">
      <alignment horizontal="center" vertical="center"/>
    </xf>
    <xf numFmtId="0" fontId="5" fillId="0" borderId="33" xfId="0" applyNumberFormat="1" applyFont="1" applyFill="1" applyBorder="1" applyAlignment="1">
      <alignment horizontal="center" vertical="center"/>
    </xf>
    <xf numFmtId="0" fontId="8" fillId="0" borderId="34" xfId="0" applyNumberFormat="1" applyFont="1" applyFill="1" applyBorder="1" applyAlignment="1">
      <alignment horizontal="left" vertical="center"/>
    </xf>
    <xf numFmtId="3" fontId="8" fillId="0" borderId="35" xfId="0" applyNumberFormat="1" applyFont="1" applyFill="1" applyBorder="1" applyAlignment="1">
      <alignment horizontal="center" vertical="center"/>
    </xf>
    <xf numFmtId="0" fontId="0" fillId="0" borderId="33" xfId="0" applyNumberFormat="1" applyFont="1" applyFill="1" applyBorder="1" applyAlignment="1">
      <alignment horizontal="center" vertical="center"/>
    </xf>
    <xf numFmtId="3" fontId="0" fillId="0" borderId="36" xfId="0" applyNumberFormat="1" applyFont="1" applyFill="1" applyBorder="1" applyAlignment="1">
      <alignment horizontal="center" vertical="center"/>
    </xf>
    <xf numFmtId="3" fontId="0" fillId="0" borderId="37" xfId="0" applyNumberFormat="1" applyFont="1" applyFill="1" applyBorder="1" applyAlignment="1">
      <alignment horizontal="center" vertical="center"/>
    </xf>
    <xf numFmtId="3" fontId="0" fillId="0" borderId="38" xfId="0" applyNumberFormat="1" applyFont="1" applyFill="1" applyBorder="1" applyAlignment="1">
      <alignment horizontal="center" vertical="center"/>
    </xf>
    <xf numFmtId="0" fontId="5" fillId="0" borderId="39" xfId="0" applyNumberFormat="1" applyFont="1" applyFill="1" applyBorder="1" applyAlignment="1">
      <alignment horizontal="center" vertical="center"/>
    </xf>
    <xf numFmtId="0" fontId="8" fillId="0" borderId="40" xfId="0" applyNumberFormat="1" applyFont="1" applyFill="1" applyBorder="1" applyAlignment="1">
      <alignment horizontal="left" vertical="center"/>
    </xf>
    <xf numFmtId="3" fontId="8" fillId="0" borderId="41" xfId="0" applyNumberFormat="1" applyFont="1" applyFill="1" applyBorder="1" applyAlignment="1">
      <alignment horizontal="center" vertical="center"/>
    </xf>
    <xf numFmtId="0" fontId="0" fillId="0" borderId="39" xfId="0" applyNumberFormat="1" applyFont="1" applyFill="1" applyBorder="1" applyAlignment="1">
      <alignment horizontal="center" vertical="center"/>
    </xf>
    <xf numFmtId="3" fontId="0" fillId="0" borderId="42" xfId="0" applyNumberFormat="1" applyFont="1" applyFill="1" applyBorder="1" applyAlignment="1">
      <alignment horizontal="center" vertical="center"/>
    </xf>
    <xf numFmtId="3" fontId="0" fillId="0" borderId="43" xfId="0" applyNumberFormat="1" applyFont="1" applyFill="1" applyBorder="1" applyAlignment="1">
      <alignment horizontal="center" vertical="center"/>
    </xf>
    <xf numFmtId="3" fontId="0" fillId="0" borderId="44" xfId="0" applyNumberFormat="1" applyFont="1" applyFill="1" applyBorder="1" applyAlignment="1">
      <alignment horizontal="center" vertical="center"/>
    </xf>
    <xf numFmtId="0" fontId="5" fillId="0" borderId="13" xfId="0" applyNumberFormat="1" applyFont="1" applyFill="1" applyBorder="1" applyAlignment="1">
      <alignment horizontal="center" vertical="center"/>
    </xf>
    <xf numFmtId="0" fontId="8" fillId="0" borderId="29" xfId="0" applyNumberFormat="1" applyFont="1" applyFill="1" applyBorder="1" applyAlignment="1">
      <alignment horizontal="left" vertical="center"/>
    </xf>
    <xf numFmtId="3" fontId="8" fillId="0" borderId="25" xfId="0" applyNumberFormat="1" applyFont="1" applyFill="1" applyBorder="1" applyAlignment="1">
      <alignment horizontal="center" vertical="center"/>
    </xf>
    <xf numFmtId="0" fontId="0" fillId="0" borderId="13" xfId="0" applyNumberFormat="1" applyFont="1" applyFill="1" applyBorder="1" applyAlignment="1">
      <alignment horizontal="center" vertical="center"/>
    </xf>
    <xf numFmtId="3" fontId="0" fillId="0" borderId="45" xfId="0" applyNumberFormat="1" applyFont="1" applyFill="1" applyBorder="1" applyAlignment="1">
      <alignment horizontal="center" vertical="center"/>
    </xf>
    <xf numFmtId="3" fontId="0" fillId="0" borderId="46" xfId="0" applyNumberFormat="1" applyFont="1" applyFill="1" applyBorder="1" applyAlignment="1">
      <alignment horizontal="center" vertical="center"/>
    </xf>
    <xf numFmtId="3" fontId="0" fillId="0" borderId="47" xfId="0" applyNumberFormat="1" applyFont="1" applyFill="1" applyBorder="1" applyAlignment="1">
      <alignment horizontal="center" vertical="center"/>
    </xf>
    <xf numFmtId="0" fontId="8" fillId="0" borderId="48" xfId="0" applyNumberFormat="1" applyFont="1" applyFill="1" applyBorder="1" applyAlignment="1">
      <alignment horizontal="center" vertical="center" wrapText="1"/>
    </xf>
    <xf numFmtId="0" fontId="32" fillId="0" borderId="0" xfId="0" applyNumberFormat="1" applyFont="1" applyFill="1" applyBorder="1" applyAlignment="1">
      <alignment horizontal="right" vertical="center"/>
    </xf>
    <xf numFmtId="0" fontId="30" fillId="0" borderId="49" xfId="0" applyNumberFormat="1" applyFont="1" applyFill="1" applyBorder="1" applyAlignment="1">
      <alignment horizontal="left" vertical="center"/>
    </xf>
    <xf numFmtId="0" fontId="8" fillId="2" borderId="7" xfId="0" applyNumberFormat="1" applyFont="1" applyFill="1" applyBorder="1" applyAlignment="1">
      <alignment horizontal="center" vertical="center" wrapText="1"/>
    </xf>
    <xf numFmtId="0" fontId="8" fillId="2" borderId="9" xfId="0" applyNumberFormat="1" applyFont="1" applyFill="1" applyBorder="1" applyAlignment="1">
      <alignment horizontal="center" vertical="center" wrapText="1"/>
    </xf>
    <xf numFmtId="0" fontId="8" fillId="2" borderId="8" xfId="0" applyNumberFormat="1" applyFont="1" applyFill="1" applyBorder="1" applyAlignment="1">
      <alignment horizontal="center" vertical="center" wrapText="1"/>
    </xf>
    <xf numFmtId="0" fontId="8" fillId="15" borderId="7" xfId="0" applyNumberFormat="1" applyFont="1" applyFill="1" applyBorder="1" applyAlignment="1">
      <alignment horizontal="center" vertical="center" wrapText="1"/>
    </xf>
    <xf numFmtId="0" fontId="8" fillId="15" borderId="9" xfId="0" applyNumberFormat="1" applyFont="1" applyFill="1" applyBorder="1" applyAlignment="1">
      <alignment horizontal="center" vertical="center" wrapText="1"/>
    </xf>
    <xf numFmtId="0" fontId="8" fillId="15" borderId="8" xfId="0" applyNumberFormat="1" applyFont="1" applyFill="1" applyBorder="1" applyAlignment="1">
      <alignment horizontal="center" vertical="center" wrapText="1"/>
    </xf>
    <xf numFmtId="0" fontId="8" fillId="3" borderId="50" xfId="0" applyNumberFormat="1" applyFont="1" applyFill="1" applyBorder="1" applyAlignment="1">
      <alignment horizontal="left" vertical="center" indent="1"/>
    </xf>
    <xf numFmtId="0" fontId="8" fillId="3" borderId="51" xfId="0" applyNumberFormat="1" applyFont="1" applyFill="1" applyBorder="1" applyAlignment="1">
      <alignment horizontal="left" vertical="center" indent="1"/>
    </xf>
    <xf numFmtId="3" fontId="8" fillId="3" borderId="50" xfId="0" applyNumberFormat="1" applyFont="1" applyFill="1" applyBorder="1" applyAlignment="1">
      <alignment horizontal="center" vertical="center"/>
    </xf>
    <xf numFmtId="3" fontId="8" fillId="3" borderId="51" xfId="0" applyNumberFormat="1" applyFont="1" applyFill="1" applyBorder="1" applyAlignment="1">
      <alignment horizontal="center" vertical="center"/>
    </xf>
    <xf numFmtId="3" fontId="38" fillId="3" borderId="50" xfId="0" applyNumberFormat="1" applyFont="1" applyFill="1" applyBorder="1" applyAlignment="1">
      <alignment horizontal="center" vertical="center"/>
    </xf>
    <xf numFmtId="3" fontId="38" fillId="3" borderId="51" xfId="0" applyNumberFormat="1" applyFont="1" applyFill="1" applyBorder="1" applyAlignment="1">
      <alignment horizontal="center" vertical="center"/>
    </xf>
    <xf numFmtId="168" fontId="0" fillId="3" borderId="50" xfId="0" applyNumberFormat="1" applyFont="1" applyFill="1" applyBorder="1" applyAlignment="1">
      <alignment horizontal="center" vertical="center"/>
    </xf>
    <xf numFmtId="168" fontId="0" fillId="3" borderId="51" xfId="0" applyNumberFormat="1" applyFont="1" applyFill="1" applyBorder="1" applyAlignment="1">
      <alignment horizontal="center" vertical="center"/>
    </xf>
    <xf numFmtId="3" fontId="0" fillId="3" borderId="50" xfId="0" applyNumberFormat="1" applyFont="1" applyFill="1" applyBorder="1" applyAlignment="1">
      <alignment horizontal="center" vertical="center"/>
    </xf>
    <xf numFmtId="3" fontId="0" fillId="3" borderId="51" xfId="0" applyNumberFormat="1" applyFont="1" applyFill="1" applyBorder="1" applyAlignment="1">
      <alignment horizontal="center" vertical="center"/>
    </xf>
    <xf numFmtId="174" fontId="8" fillId="3" borderId="50" xfId="0" applyNumberFormat="1" applyFont="1" applyFill="1" applyBorder="1" applyAlignment="1">
      <alignment horizontal="center" vertical="center"/>
    </xf>
    <xf numFmtId="174" fontId="8" fillId="3" borderId="51" xfId="0" applyNumberFormat="1" applyFont="1" applyFill="1" applyBorder="1" applyAlignment="1">
      <alignment horizontal="center" vertical="center"/>
    </xf>
    <xf numFmtId="9" fontId="0" fillId="3" borderId="50" xfId="0" applyNumberFormat="1" applyFont="1" applyFill="1" applyBorder="1" applyAlignment="1">
      <alignment horizontal="center" vertical="center"/>
    </xf>
    <xf numFmtId="9" fontId="0" fillId="3" borderId="51" xfId="0" applyNumberFormat="1" applyFont="1" applyFill="1" applyBorder="1" applyAlignment="1">
      <alignment horizontal="center" vertical="center"/>
    </xf>
    <xf numFmtId="0" fontId="5" fillId="3" borderId="50" xfId="0" applyNumberFormat="1" applyFont="1" applyFill="1" applyBorder="1" applyAlignment="1">
      <alignment horizontal="center" vertical="center"/>
    </xf>
    <xf numFmtId="0" fontId="5" fillId="3" borderId="51" xfId="0" applyNumberFormat="1" applyFont="1" applyFill="1" applyBorder="1" applyAlignment="1">
      <alignment horizontal="center" vertical="center"/>
    </xf>
    <xf numFmtId="0" fontId="5" fillId="3" borderId="27" xfId="0" applyNumberFormat="1" applyFont="1" applyFill="1" applyBorder="1" applyAlignment="1">
      <alignment horizontal="center" vertical="center"/>
    </xf>
    <xf numFmtId="0" fontId="8" fillId="3" borderId="52" xfId="0" applyNumberFormat="1" applyFont="1" applyFill="1" applyBorder="1" applyAlignment="1">
      <alignment horizontal="left" vertical="center" indent="1"/>
    </xf>
    <xf numFmtId="0" fontId="8" fillId="3" borderId="53" xfId="0" applyNumberFormat="1" applyFont="1" applyFill="1" applyBorder="1" applyAlignment="1">
      <alignment horizontal="left" vertical="center" indent="1"/>
    </xf>
    <xf numFmtId="3" fontId="8" fillId="3" borderId="52" xfId="0" applyNumberFormat="1" applyFont="1" applyFill="1" applyBorder="1" applyAlignment="1">
      <alignment horizontal="center" vertical="center"/>
    </xf>
    <xf numFmtId="3" fontId="8" fillId="3" borderId="53" xfId="0" applyNumberFormat="1" applyFont="1" applyFill="1" applyBorder="1" applyAlignment="1">
      <alignment horizontal="center" vertical="center"/>
    </xf>
    <xf numFmtId="3" fontId="38" fillId="3" borderId="52" xfId="0" applyNumberFormat="1" applyFont="1" applyFill="1" applyBorder="1" applyAlignment="1">
      <alignment horizontal="center" vertical="center"/>
    </xf>
    <xf numFmtId="3" fontId="38" fillId="3" borderId="53" xfId="0" applyNumberFormat="1" applyFont="1" applyFill="1" applyBorder="1" applyAlignment="1">
      <alignment horizontal="center" vertical="center"/>
    </xf>
    <xf numFmtId="168" fontId="0" fillId="3" borderId="52" xfId="0" applyNumberFormat="1" applyFont="1" applyFill="1" applyBorder="1" applyAlignment="1">
      <alignment horizontal="center" vertical="center"/>
    </xf>
    <xf numFmtId="168" fontId="0" fillId="3" borderId="53" xfId="0" applyNumberFormat="1" applyFont="1" applyFill="1" applyBorder="1" applyAlignment="1">
      <alignment horizontal="center" vertical="center"/>
    </xf>
    <xf numFmtId="3" fontId="0" fillId="3" borderId="52" xfId="0" applyNumberFormat="1" applyFont="1" applyFill="1" applyBorder="1" applyAlignment="1">
      <alignment horizontal="center" vertical="center"/>
    </xf>
    <xf numFmtId="3" fontId="0" fillId="3" borderId="53" xfId="0" applyNumberFormat="1" applyFont="1" applyFill="1" applyBorder="1" applyAlignment="1">
      <alignment horizontal="center" vertical="center"/>
    </xf>
    <xf numFmtId="174" fontId="8" fillId="3" borderId="52" xfId="0" applyNumberFormat="1" applyFont="1" applyFill="1" applyBorder="1" applyAlignment="1">
      <alignment horizontal="center" vertical="center"/>
    </xf>
    <xf numFmtId="174" fontId="8" fillId="3" borderId="53" xfId="0" applyNumberFormat="1" applyFont="1" applyFill="1" applyBorder="1" applyAlignment="1">
      <alignment horizontal="center" vertical="center"/>
    </xf>
    <xf numFmtId="9" fontId="0" fillId="3" borderId="52" xfId="0" applyNumberFormat="1" applyFont="1" applyFill="1" applyBorder="1" applyAlignment="1">
      <alignment horizontal="center" vertical="center"/>
    </xf>
    <xf numFmtId="9" fontId="0" fillId="3" borderId="53" xfId="0" applyNumberFormat="1" applyFont="1" applyFill="1" applyBorder="1" applyAlignment="1">
      <alignment horizontal="center" vertical="center"/>
    </xf>
    <xf numFmtId="0" fontId="5" fillId="3" borderId="52" xfId="0" applyNumberFormat="1" applyFont="1" applyFill="1" applyBorder="1" applyAlignment="1">
      <alignment horizontal="center" vertical="center"/>
    </xf>
    <xf numFmtId="0" fontId="5" fillId="3" borderId="53" xfId="0" applyNumberFormat="1" applyFont="1" applyFill="1" applyBorder="1" applyAlignment="1">
      <alignment horizontal="center" vertical="center"/>
    </xf>
    <xf numFmtId="0" fontId="5" fillId="3" borderId="54" xfId="0" applyNumberFormat="1" applyFont="1" applyFill="1" applyBorder="1" applyAlignment="1">
      <alignment horizontal="center" vertical="center"/>
    </xf>
    <xf numFmtId="0" fontId="8" fillId="3" borderId="55" xfId="0" applyNumberFormat="1" applyFont="1" applyFill="1" applyBorder="1" applyAlignment="1">
      <alignment horizontal="left" vertical="center" indent="1"/>
    </xf>
    <xf numFmtId="0" fontId="8" fillId="3" borderId="56" xfId="0" applyNumberFormat="1" applyFont="1" applyFill="1" applyBorder="1" applyAlignment="1">
      <alignment horizontal="left" vertical="center" indent="1"/>
    </xf>
    <xf numFmtId="3" fontId="8" fillId="3" borderId="55" xfId="0" applyNumberFormat="1" applyFont="1" applyFill="1" applyBorder="1" applyAlignment="1">
      <alignment horizontal="center" vertical="center"/>
    </xf>
    <xf numFmtId="3" fontId="8" fillId="3" borderId="56" xfId="0" applyNumberFormat="1" applyFont="1" applyFill="1" applyBorder="1" applyAlignment="1">
      <alignment horizontal="center" vertical="center"/>
    </xf>
    <xf numFmtId="168" fontId="38" fillId="3" borderId="55" xfId="0" applyNumberFormat="1" applyFont="1" applyFill="1" applyBorder="1" applyAlignment="1">
      <alignment horizontal="center" vertical="center"/>
    </xf>
    <xf numFmtId="168" fontId="38" fillId="3" borderId="56" xfId="0" applyNumberFormat="1" applyFont="1" applyFill="1" applyBorder="1" applyAlignment="1">
      <alignment horizontal="center" vertical="center"/>
    </xf>
    <xf numFmtId="168" fontId="0" fillId="3" borderId="55" xfId="0" applyNumberFormat="1" applyFont="1" applyFill="1" applyBorder="1" applyAlignment="1">
      <alignment horizontal="center" vertical="center"/>
    </xf>
    <xf numFmtId="168" fontId="0" fillId="3" borderId="56" xfId="0" applyNumberFormat="1" applyFont="1" applyFill="1" applyBorder="1" applyAlignment="1">
      <alignment horizontal="center" vertical="center"/>
    </xf>
    <xf numFmtId="174" fontId="8" fillId="3" borderId="55" xfId="0" applyNumberFormat="1" applyFont="1" applyFill="1" applyBorder="1" applyAlignment="1">
      <alignment horizontal="center" vertical="center"/>
    </xf>
    <xf numFmtId="174" fontId="8" fillId="3" borderId="56" xfId="0" applyNumberFormat="1" applyFont="1" applyFill="1" applyBorder="1" applyAlignment="1">
      <alignment horizontal="center" vertical="center"/>
    </xf>
    <xf numFmtId="9" fontId="0" fillId="3" borderId="55" xfId="0" applyNumberFormat="1" applyFont="1" applyFill="1" applyBorder="1" applyAlignment="1">
      <alignment horizontal="center" vertical="center"/>
    </xf>
    <xf numFmtId="9" fontId="0" fillId="3" borderId="56" xfId="0" applyNumberFormat="1" applyFont="1" applyFill="1" applyBorder="1" applyAlignment="1">
      <alignment horizontal="center" vertical="center"/>
    </xf>
    <xf numFmtId="0" fontId="5" fillId="3" borderId="55" xfId="0" applyNumberFormat="1" applyFont="1" applyFill="1" applyBorder="1" applyAlignment="1">
      <alignment horizontal="center" vertical="center"/>
    </xf>
    <xf numFmtId="0" fontId="5" fillId="3" borderId="56" xfId="0" applyNumberFormat="1" applyFont="1" applyFill="1" applyBorder="1" applyAlignment="1">
      <alignment horizontal="center" vertical="center"/>
    </xf>
    <xf numFmtId="0" fontId="5" fillId="3" borderId="57" xfId="0" applyNumberFormat="1" applyFont="1" applyFill="1" applyBorder="1" applyAlignment="1">
      <alignment horizontal="center" vertical="center"/>
    </xf>
    <xf numFmtId="0" fontId="8" fillId="4" borderId="50" xfId="0" applyNumberFormat="1" applyFont="1" applyFill="1" applyBorder="1" applyAlignment="1">
      <alignment horizontal="left" vertical="center" indent="1"/>
    </xf>
    <xf numFmtId="0" fontId="8" fillId="4" borderId="51" xfId="0" applyNumberFormat="1" applyFont="1" applyFill="1" applyBorder="1" applyAlignment="1">
      <alignment horizontal="left" vertical="center" indent="1"/>
    </xf>
    <xf numFmtId="3" fontId="8" fillId="4" borderId="50" xfId="0" applyNumberFormat="1" applyFont="1" applyFill="1" applyBorder="1" applyAlignment="1">
      <alignment horizontal="center" vertical="center"/>
    </xf>
    <xf numFmtId="3" fontId="8" fillId="4" borderId="51" xfId="0" applyNumberFormat="1" applyFont="1" applyFill="1" applyBorder="1" applyAlignment="1">
      <alignment horizontal="center" vertical="center"/>
    </xf>
    <xf numFmtId="3" fontId="38" fillId="4" borderId="50" xfId="0" applyNumberFormat="1" applyFont="1" applyFill="1" applyBorder="1" applyAlignment="1">
      <alignment horizontal="center" vertical="center"/>
    </xf>
    <xf numFmtId="3" fontId="38" fillId="4" borderId="51" xfId="0" applyNumberFormat="1" applyFont="1" applyFill="1" applyBorder="1" applyAlignment="1">
      <alignment horizontal="center" vertical="center"/>
    </xf>
    <xf numFmtId="168" fontId="0" fillId="4" borderId="50" xfId="0" applyNumberFormat="1" applyFont="1" applyFill="1" applyBorder="1" applyAlignment="1">
      <alignment horizontal="center" vertical="center"/>
    </xf>
    <xf numFmtId="168" fontId="0" fillId="4" borderId="51" xfId="0" applyNumberFormat="1" applyFont="1" applyFill="1" applyBorder="1" applyAlignment="1">
      <alignment horizontal="center" vertical="center"/>
    </xf>
    <xf numFmtId="3" fontId="0" fillId="4" borderId="50" xfId="0" applyNumberFormat="1" applyFont="1" applyFill="1" applyBorder="1" applyAlignment="1">
      <alignment horizontal="center" vertical="center"/>
    </xf>
    <xf numFmtId="3" fontId="0" fillId="4" borderId="51" xfId="0" applyNumberFormat="1" applyFont="1" applyFill="1" applyBorder="1" applyAlignment="1">
      <alignment horizontal="center" vertical="center"/>
    </xf>
    <xf numFmtId="174" fontId="8" fillId="4" borderId="50" xfId="0" applyNumberFormat="1" applyFont="1" applyFill="1" applyBorder="1" applyAlignment="1">
      <alignment horizontal="center" vertical="center"/>
    </xf>
    <xf numFmtId="174" fontId="8" fillId="4" borderId="51" xfId="0" applyNumberFormat="1" applyFont="1" applyFill="1" applyBorder="1" applyAlignment="1">
      <alignment horizontal="center" vertical="center"/>
    </xf>
    <xf numFmtId="9" fontId="0" fillId="4" borderId="50" xfId="0" applyNumberFormat="1" applyFont="1" applyFill="1" applyBorder="1" applyAlignment="1">
      <alignment horizontal="center" vertical="center"/>
    </xf>
    <xf numFmtId="9" fontId="0" fillId="4" borderId="51" xfId="0" applyNumberFormat="1" applyFont="1" applyFill="1" applyBorder="1" applyAlignment="1">
      <alignment horizontal="center" vertical="center"/>
    </xf>
    <xf numFmtId="0" fontId="5" fillId="4" borderId="50" xfId="0" applyNumberFormat="1" applyFont="1" applyFill="1" applyBorder="1" applyAlignment="1">
      <alignment horizontal="center" vertical="center"/>
    </xf>
    <xf numFmtId="0" fontId="5" fillId="4" borderId="51" xfId="0" applyNumberFormat="1" applyFont="1" applyFill="1" applyBorder="1" applyAlignment="1">
      <alignment horizontal="center" vertical="center"/>
    </xf>
    <xf numFmtId="0" fontId="5" fillId="4" borderId="27" xfId="0" applyNumberFormat="1" applyFont="1" applyFill="1" applyBorder="1" applyAlignment="1">
      <alignment horizontal="center" vertical="center"/>
    </xf>
    <xf numFmtId="0" fontId="8" fillId="4" borderId="52" xfId="0" applyNumberFormat="1" applyFont="1" applyFill="1" applyBorder="1" applyAlignment="1">
      <alignment horizontal="left" vertical="center" indent="1"/>
    </xf>
    <xf numFmtId="0" fontId="8" fillId="4" borderId="53" xfId="0" applyNumberFormat="1" applyFont="1" applyFill="1" applyBorder="1" applyAlignment="1">
      <alignment horizontal="left" vertical="center" indent="1"/>
    </xf>
    <xf numFmtId="3" fontId="8" fillId="4" borderId="52" xfId="0" applyNumberFormat="1" applyFont="1" applyFill="1" applyBorder="1" applyAlignment="1">
      <alignment horizontal="center" vertical="center"/>
    </xf>
    <xf numFmtId="3" fontId="8" fillId="4" borderId="53" xfId="0" applyNumberFormat="1" applyFont="1" applyFill="1" applyBorder="1" applyAlignment="1">
      <alignment horizontal="center" vertical="center"/>
    </xf>
    <xf numFmtId="3" fontId="38" fillId="4" borderId="52" xfId="0" applyNumberFormat="1" applyFont="1" applyFill="1" applyBorder="1" applyAlignment="1">
      <alignment horizontal="center" vertical="center"/>
    </xf>
    <xf numFmtId="3" fontId="38" fillId="4" borderId="53" xfId="0" applyNumberFormat="1" applyFont="1" applyFill="1" applyBorder="1" applyAlignment="1">
      <alignment horizontal="center" vertical="center"/>
    </xf>
    <xf numFmtId="168" fontId="0" fillId="4" borderId="52" xfId="0" applyNumberFormat="1" applyFont="1" applyFill="1" applyBorder="1" applyAlignment="1">
      <alignment horizontal="center" vertical="center"/>
    </xf>
    <xf numFmtId="168" fontId="0" fillId="4" borderId="53" xfId="0" applyNumberFormat="1" applyFont="1" applyFill="1" applyBorder="1" applyAlignment="1">
      <alignment horizontal="center" vertical="center"/>
    </xf>
    <xf numFmtId="3" fontId="0" fillId="4" borderId="52" xfId="0" applyNumberFormat="1" applyFont="1" applyFill="1" applyBorder="1" applyAlignment="1">
      <alignment horizontal="center" vertical="center"/>
    </xf>
    <xf numFmtId="3" fontId="0" fillId="4" borderId="53" xfId="0" applyNumberFormat="1" applyFont="1" applyFill="1" applyBorder="1" applyAlignment="1">
      <alignment horizontal="center" vertical="center"/>
    </xf>
    <xf numFmtId="174" fontId="8" fillId="4" borderId="52" xfId="0" applyNumberFormat="1" applyFont="1" applyFill="1" applyBorder="1" applyAlignment="1">
      <alignment horizontal="center" vertical="center"/>
    </xf>
    <xf numFmtId="174" fontId="8" fillId="4" borderId="53" xfId="0" applyNumberFormat="1" applyFont="1" applyFill="1" applyBorder="1" applyAlignment="1">
      <alignment horizontal="center" vertical="center"/>
    </xf>
    <xf numFmtId="9" fontId="0" fillId="4" borderId="52" xfId="0" applyNumberFormat="1" applyFont="1" applyFill="1" applyBorder="1" applyAlignment="1">
      <alignment horizontal="center" vertical="center"/>
    </xf>
    <xf numFmtId="9" fontId="0" fillId="4" borderId="53" xfId="0" applyNumberFormat="1" applyFont="1" applyFill="1" applyBorder="1" applyAlignment="1">
      <alignment horizontal="center" vertical="center"/>
    </xf>
    <xf numFmtId="0" fontId="5" fillId="4" borderId="52" xfId="0" applyNumberFormat="1" applyFont="1" applyFill="1" applyBorder="1" applyAlignment="1">
      <alignment horizontal="center" vertical="center"/>
    </xf>
    <xf numFmtId="0" fontId="5" fillId="4" borderId="53" xfId="0" applyNumberFormat="1" applyFont="1" applyFill="1" applyBorder="1" applyAlignment="1">
      <alignment horizontal="center" vertical="center"/>
    </xf>
    <xf numFmtId="0" fontId="5" fillId="4" borderId="54" xfId="0" applyNumberFormat="1" applyFont="1" applyFill="1" applyBorder="1" applyAlignment="1">
      <alignment horizontal="center" vertical="center"/>
    </xf>
    <xf numFmtId="0" fontId="8" fillId="4" borderId="55" xfId="0" applyNumberFormat="1" applyFont="1" applyFill="1" applyBorder="1" applyAlignment="1">
      <alignment horizontal="left" vertical="center" indent="1"/>
    </xf>
    <xf numFmtId="0" fontId="8" fillId="4" borderId="56" xfId="0" applyNumberFormat="1" applyFont="1" applyFill="1" applyBorder="1" applyAlignment="1">
      <alignment horizontal="left" vertical="center" indent="1"/>
    </xf>
    <xf numFmtId="3" fontId="8" fillId="4" borderId="55" xfId="0" applyNumberFormat="1" applyFont="1" applyFill="1" applyBorder="1" applyAlignment="1">
      <alignment horizontal="center" vertical="center"/>
    </xf>
    <xf numFmtId="3" fontId="8" fillId="4" borderId="56" xfId="0" applyNumberFormat="1" applyFont="1" applyFill="1" applyBorder="1" applyAlignment="1">
      <alignment horizontal="center" vertical="center"/>
    </xf>
    <xf numFmtId="168" fontId="38" fillId="4" borderId="55" xfId="0" applyNumberFormat="1" applyFont="1" applyFill="1" applyBorder="1" applyAlignment="1">
      <alignment horizontal="center" vertical="center"/>
    </xf>
    <xf numFmtId="168" fontId="38" fillId="4" borderId="56" xfId="0" applyNumberFormat="1" applyFont="1" applyFill="1" applyBorder="1" applyAlignment="1">
      <alignment horizontal="center" vertical="center"/>
    </xf>
    <xf numFmtId="168" fontId="0" fillId="4" borderId="55" xfId="0" applyNumberFormat="1" applyFont="1" applyFill="1" applyBorder="1" applyAlignment="1">
      <alignment horizontal="center" vertical="center"/>
    </xf>
    <xf numFmtId="168" fontId="0" fillId="4" borderId="56" xfId="0" applyNumberFormat="1" applyFont="1" applyFill="1" applyBorder="1" applyAlignment="1">
      <alignment horizontal="center" vertical="center"/>
    </xf>
    <xf numFmtId="174" fontId="8" fillId="4" borderId="55" xfId="0" applyNumberFormat="1" applyFont="1" applyFill="1" applyBorder="1" applyAlignment="1">
      <alignment horizontal="center" vertical="center"/>
    </xf>
    <xf numFmtId="174" fontId="8" fillId="4" borderId="56" xfId="0" applyNumberFormat="1" applyFont="1" applyFill="1" applyBorder="1" applyAlignment="1">
      <alignment horizontal="center" vertical="center"/>
    </xf>
    <xf numFmtId="9" fontId="0" fillId="4" borderId="55" xfId="0" applyNumberFormat="1" applyFont="1" applyFill="1" applyBorder="1" applyAlignment="1">
      <alignment horizontal="center" vertical="center"/>
    </xf>
    <xf numFmtId="9" fontId="0" fillId="4" borderId="56" xfId="0" applyNumberFormat="1" applyFont="1" applyFill="1" applyBorder="1" applyAlignment="1">
      <alignment horizontal="center" vertical="center"/>
    </xf>
    <xf numFmtId="0" fontId="5" fillId="4" borderId="55" xfId="0" applyNumberFormat="1" applyFont="1" applyFill="1" applyBorder="1" applyAlignment="1">
      <alignment horizontal="center" vertical="center"/>
    </xf>
    <xf numFmtId="0" fontId="5" fillId="4" borderId="56" xfId="0" applyNumberFormat="1" applyFont="1" applyFill="1" applyBorder="1" applyAlignment="1">
      <alignment horizontal="center" vertical="center"/>
    </xf>
    <xf numFmtId="0" fontId="5" fillId="4" borderId="57" xfId="0" applyNumberFormat="1" applyFont="1" applyFill="1" applyBorder="1" applyAlignment="1">
      <alignment horizontal="center" vertical="center"/>
    </xf>
    <xf numFmtId="0" fontId="8" fillId="5" borderId="50" xfId="0" applyNumberFormat="1" applyFont="1" applyFill="1" applyBorder="1" applyAlignment="1">
      <alignment horizontal="left" vertical="center" indent="1"/>
    </xf>
    <xf numFmtId="0" fontId="8" fillId="5" borderId="51" xfId="0" applyNumberFormat="1" applyFont="1" applyFill="1" applyBorder="1" applyAlignment="1">
      <alignment horizontal="left" vertical="center" indent="1"/>
    </xf>
    <xf numFmtId="3" fontId="8" fillId="5" borderId="50" xfId="0" applyNumberFormat="1" applyFont="1" applyFill="1" applyBorder="1" applyAlignment="1">
      <alignment horizontal="center" vertical="center"/>
    </xf>
    <xf numFmtId="3" fontId="8" fillId="5" borderId="51" xfId="0" applyNumberFormat="1" applyFont="1" applyFill="1" applyBorder="1" applyAlignment="1">
      <alignment horizontal="center" vertical="center"/>
    </xf>
    <xf numFmtId="3" fontId="38" fillId="5" borderId="50" xfId="0" applyNumberFormat="1" applyFont="1" applyFill="1" applyBorder="1" applyAlignment="1">
      <alignment horizontal="center" vertical="center"/>
    </xf>
    <xf numFmtId="3" fontId="38" fillId="5" borderId="51" xfId="0" applyNumberFormat="1" applyFont="1" applyFill="1" applyBorder="1" applyAlignment="1">
      <alignment horizontal="center" vertical="center"/>
    </xf>
    <xf numFmtId="168" fontId="0" fillId="5" borderId="50" xfId="0" applyNumberFormat="1" applyFont="1" applyFill="1" applyBorder="1" applyAlignment="1">
      <alignment horizontal="center" vertical="center"/>
    </xf>
    <xf numFmtId="168" fontId="0" fillId="5" borderId="51" xfId="0" applyNumberFormat="1" applyFont="1" applyFill="1" applyBorder="1" applyAlignment="1">
      <alignment horizontal="center" vertical="center"/>
    </xf>
    <xf numFmtId="3" fontId="0" fillId="5" borderId="50" xfId="0" applyNumberFormat="1" applyFont="1" applyFill="1" applyBorder="1" applyAlignment="1">
      <alignment horizontal="center" vertical="center"/>
    </xf>
    <xf numFmtId="3" fontId="0" fillId="5" borderId="51" xfId="0" applyNumberFormat="1" applyFont="1" applyFill="1" applyBorder="1" applyAlignment="1">
      <alignment horizontal="center" vertical="center"/>
    </xf>
    <xf numFmtId="174" fontId="8" fillId="5" borderId="50" xfId="0" applyNumberFormat="1" applyFont="1" applyFill="1" applyBorder="1" applyAlignment="1">
      <alignment horizontal="center" vertical="center"/>
    </xf>
    <xf numFmtId="174" fontId="8" fillId="5" borderId="51" xfId="0" applyNumberFormat="1" applyFont="1" applyFill="1" applyBorder="1" applyAlignment="1">
      <alignment horizontal="center" vertical="center"/>
    </xf>
    <xf numFmtId="9" fontId="0" fillId="5" borderId="50" xfId="0" applyNumberFormat="1" applyFont="1" applyFill="1" applyBorder="1" applyAlignment="1">
      <alignment horizontal="center" vertical="center"/>
    </xf>
    <xf numFmtId="9" fontId="0" fillId="5" borderId="51" xfId="0" applyNumberFormat="1" applyFont="1" applyFill="1" applyBorder="1" applyAlignment="1">
      <alignment horizontal="center" vertical="center"/>
    </xf>
    <xf numFmtId="0" fontId="5" fillId="5" borderId="50" xfId="0" applyNumberFormat="1" applyFont="1" applyFill="1" applyBorder="1" applyAlignment="1">
      <alignment horizontal="center" vertical="center"/>
    </xf>
    <xf numFmtId="0" fontId="5" fillId="5" borderId="51" xfId="0" applyNumberFormat="1" applyFont="1" applyFill="1" applyBorder="1" applyAlignment="1">
      <alignment horizontal="center" vertical="center"/>
    </xf>
    <xf numFmtId="0" fontId="5" fillId="5" borderId="27" xfId="0" applyNumberFormat="1" applyFont="1" applyFill="1" applyBorder="1" applyAlignment="1">
      <alignment horizontal="center" vertical="center"/>
    </xf>
    <xf numFmtId="0" fontId="8" fillId="5" borderId="52" xfId="0" applyNumberFormat="1" applyFont="1" applyFill="1" applyBorder="1" applyAlignment="1">
      <alignment horizontal="left" vertical="center" indent="1"/>
    </xf>
    <xf numFmtId="0" fontId="8" fillId="5" borderId="53" xfId="0" applyNumberFormat="1" applyFont="1" applyFill="1" applyBorder="1" applyAlignment="1">
      <alignment horizontal="left" vertical="center" indent="1"/>
    </xf>
    <xf numFmtId="3" fontId="8" fillId="5" borderId="52" xfId="0" applyNumberFormat="1" applyFont="1" applyFill="1" applyBorder="1" applyAlignment="1">
      <alignment horizontal="center" vertical="center"/>
    </xf>
    <xf numFmtId="3" fontId="8" fillId="5" borderId="53" xfId="0" applyNumberFormat="1" applyFont="1" applyFill="1" applyBorder="1" applyAlignment="1">
      <alignment horizontal="center" vertical="center"/>
    </xf>
    <xf numFmtId="3" fontId="38" fillId="5" borderId="52" xfId="0" applyNumberFormat="1" applyFont="1" applyFill="1" applyBorder="1" applyAlignment="1">
      <alignment horizontal="center" vertical="center"/>
    </xf>
    <xf numFmtId="3" fontId="38" fillId="5" borderId="53" xfId="0" applyNumberFormat="1" applyFont="1" applyFill="1" applyBorder="1" applyAlignment="1">
      <alignment horizontal="center" vertical="center"/>
    </xf>
    <xf numFmtId="168" fontId="0" fillId="5" borderId="52" xfId="0" applyNumberFormat="1" applyFont="1" applyFill="1" applyBorder="1" applyAlignment="1">
      <alignment horizontal="center" vertical="center"/>
    </xf>
    <xf numFmtId="168" fontId="0" fillId="5" borderId="53" xfId="0" applyNumberFormat="1" applyFont="1" applyFill="1" applyBorder="1" applyAlignment="1">
      <alignment horizontal="center" vertical="center"/>
    </xf>
    <xf numFmtId="3" fontId="0" fillId="5" borderId="52" xfId="0" applyNumberFormat="1" applyFont="1" applyFill="1" applyBorder="1" applyAlignment="1">
      <alignment horizontal="center" vertical="center"/>
    </xf>
    <xf numFmtId="3" fontId="0" fillId="5" borderId="53" xfId="0" applyNumberFormat="1" applyFont="1" applyFill="1" applyBorder="1" applyAlignment="1">
      <alignment horizontal="center" vertical="center"/>
    </xf>
    <xf numFmtId="174" fontId="8" fillId="5" borderId="52" xfId="0" applyNumberFormat="1" applyFont="1" applyFill="1" applyBorder="1" applyAlignment="1">
      <alignment horizontal="center" vertical="center"/>
    </xf>
    <xf numFmtId="174" fontId="8" fillId="5" borderId="53" xfId="0" applyNumberFormat="1" applyFont="1" applyFill="1" applyBorder="1" applyAlignment="1">
      <alignment horizontal="center" vertical="center"/>
    </xf>
    <xf numFmtId="9" fontId="0" fillId="5" borderId="52" xfId="0" applyNumberFormat="1" applyFont="1" applyFill="1" applyBorder="1" applyAlignment="1">
      <alignment horizontal="center" vertical="center"/>
    </xf>
    <xf numFmtId="9" fontId="0" fillId="5" borderId="53" xfId="0" applyNumberFormat="1" applyFont="1" applyFill="1" applyBorder="1" applyAlignment="1">
      <alignment horizontal="center" vertical="center"/>
    </xf>
    <xf numFmtId="0" fontId="5" fillId="5" borderId="52" xfId="0" applyNumberFormat="1" applyFont="1" applyFill="1" applyBorder="1" applyAlignment="1">
      <alignment horizontal="center" vertical="center"/>
    </xf>
    <xf numFmtId="0" fontId="5" fillId="5" borderId="53" xfId="0" applyNumberFormat="1" applyFont="1" applyFill="1" applyBorder="1" applyAlignment="1">
      <alignment horizontal="center" vertical="center"/>
    </xf>
    <xf numFmtId="0" fontId="5" fillId="5" borderId="54" xfId="0" applyNumberFormat="1" applyFont="1" applyFill="1" applyBorder="1" applyAlignment="1">
      <alignment horizontal="center" vertical="center"/>
    </xf>
    <xf numFmtId="0" fontId="8" fillId="5" borderId="55" xfId="0" applyNumberFormat="1" applyFont="1" applyFill="1" applyBorder="1" applyAlignment="1">
      <alignment horizontal="left" vertical="center" indent="1"/>
    </xf>
    <xf numFmtId="0" fontId="8" fillId="5" borderId="56" xfId="0" applyNumberFormat="1" applyFont="1" applyFill="1" applyBorder="1" applyAlignment="1">
      <alignment horizontal="left" vertical="center" indent="1"/>
    </xf>
    <xf numFmtId="3" fontId="8" fillId="5" borderId="55" xfId="0" applyNumberFormat="1" applyFont="1" applyFill="1" applyBorder="1" applyAlignment="1">
      <alignment horizontal="center" vertical="center"/>
    </xf>
    <xf numFmtId="3" fontId="8" fillId="5" borderId="56" xfId="0" applyNumberFormat="1" applyFont="1" applyFill="1" applyBorder="1" applyAlignment="1">
      <alignment horizontal="center" vertical="center"/>
    </xf>
    <xf numFmtId="3" fontId="38" fillId="5" borderId="55" xfId="0" applyNumberFormat="1" applyFont="1" applyFill="1" applyBorder="1" applyAlignment="1">
      <alignment horizontal="center" vertical="center"/>
    </xf>
    <xf numFmtId="3" fontId="38" fillId="5" borderId="56" xfId="0" applyNumberFormat="1" applyFont="1" applyFill="1" applyBorder="1" applyAlignment="1">
      <alignment horizontal="center" vertical="center"/>
    </xf>
    <xf numFmtId="168" fontId="0" fillId="5" borderId="55" xfId="0" applyNumberFormat="1" applyFont="1" applyFill="1" applyBorder="1" applyAlignment="1">
      <alignment horizontal="center" vertical="center"/>
    </xf>
    <xf numFmtId="168" fontId="0" fillId="5" borderId="56" xfId="0" applyNumberFormat="1" applyFont="1" applyFill="1" applyBorder="1" applyAlignment="1">
      <alignment horizontal="center" vertical="center"/>
    </xf>
    <xf numFmtId="3" fontId="0" fillId="5" borderId="55" xfId="0" applyNumberFormat="1" applyFont="1" applyFill="1" applyBorder="1" applyAlignment="1">
      <alignment horizontal="center" vertical="center"/>
    </xf>
    <xf numFmtId="3" fontId="0" fillId="5" borderId="56" xfId="0" applyNumberFormat="1" applyFont="1" applyFill="1" applyBorder="1" applyAlignment="1">
      <alignment horizontal="center" vertical="center"/>
    </xf>
    <xf numFmtId="174" fontId="8" fillId="5" borderId="55" xfId="0" applyNumberFormat="1" applyFont="1" applyFill="1" applyBorder="1" applyAlignment="1">
      <alignment horizontal="center" vertical="center"/>
    </xf>
    <xf numFmtId="174" fontId="8" fillId="5" borderId="56" xfId="0" applyNumberFormat="1" applyFont="1" applyFill="1" applyBorder="1" applyAlignment="1">
      <alignment horizontal="center" vertical="center"/>
    </xf>
    <xf numFmtId="9" fontId="0" fillId="5" borderId="55" xfId="0" applyNumberFormat="1" applyFont="1" applyFill="1" applyBorder="1" applyAlignment="1">
      <alignment horizontal="center" vertical="center"/>
    </xf>
    <xf numFmtId="9" fontId="0" fillId="5" borderId="56" xfId="0" applyNumberFormat="1" applyFont="1" applyFill="1" applyBorder="1" applyAlignment="1">
      <alignment horizontal="center" vertical="center"/>
    </xf>
    <xf numFmtId="0" fontId="5" fillId="5" borderId="55" xfId="0" applyNumberFormat="1" applyFont="1" applyFill="1" applyBorder="1" applyAlignment="1">
      <alignment horizontal="center" vertical="center"/>
    </xf>
    <xf numFmtId="0" fontId="5" fillId="5" borderId="56" xfId="0" applyNumberFormat="1" applyFont="1" applyFill="1" applyBorder="1" applyAlignment="1">
      <alignment horizontal="center" vertical="center"/>
    </xf>
    <xf numFmtId="0" fontId="5" fillId="5" borderId="57" xfId="0" applyNumberFormat="1" applyFont="1" applyFill="1" applyBorder="1" applyAlignment="1">
      <alignment horizontal="center" vertical="center"/>
    </xf>
    <xf numFmtId="166" fontId="38" fillId="3" borderId="50" xfId="0" applyNumberFormat="1" applyFont="1" applyFill="1" applyBorder="1" applyAlignment="1">
      <alignment horizontal="center" vertical="center"/>
    </xf>
    <xf numFmtId="166" fontId="38" fillId="3" borderId="51" xfId="0" applyNumberFormat="1" applyFont="1" applyFill="1" applyBorder="1" applyAlignment="1">
      <alignment horizontal="center" vertical="center"/>
    </xf>
    <xf numFmtId="166" fontId="0" fillId="3" borderId="50" xfId="0" applyNumberFormat="1" applyFont="1" applyFill="1" applyBorder="1" applyAlignment="1">
      <alignment horizontal="center" vertical="center"/>
    </xf>
    <xf numFmtId="166" fontId="0" fillId="3" borderId="51" xfId="0" applyNumberFormat="1" applyFont="1" applyFill="1" applyBorder="1" applyAlignment="1">
      <alignment horizontal="center" vertical="center"/>
    </xf>
    <xf numFmtId="9" fontId="8" fillId="3" borderId="55" xfId="0" applyNumberFormat="1" applyFont="1" applyFill="1" applyBorder="1" applyAlignment="1">
      <alignment horizontal="center" vertical="center"/>
    </xf>
    <xf numFmtId="9" fontId="8" fillId="3" borderId="56" xfId="0" applyNumberFormat="1" applyFont="1" applyFill="1" applyBorder="1" applyAlignment="1">
      <alignment horizontal="center" vertical="center"/>
    </xf>
    <xf numFmtId="167" fontId="38" fillId="3" borderId="55" xfId="0" applyNumberFormat="1" applyFont="1" applyFill="1" applyBorder="1" applyAlignment="1">
      <alignment horizontal="center" vertical="center"/>
    </xf>
    <xf numFmtId="167" fontId="38" fillId="3" borderId="56" xfId="0" applyNumberFormat="1" applyFont="1" applyFill="1" applyBorder="1" applyAlignment="1">
      <alignment horizontal="center" vertical="center"/>
    </xf>
    <xf numFmtId="167" fontId="0" fillId="3" borderId="55" xfId="0" applyNumberFormat="1" applyFont="1" applyFill="1" applyBorder="1" applyAlignment="1">
      <alignment horizontal="center" vertical="center"/>
    </xf>
    <xf numFmtId="167" fontId="0" fillId="3" borderId="56" xfId="0" applyNumberFormat="1" applyFont="1" applyFill="1" applyBorder="1" applyAlignment="1">
      <alignment horizontal="center" vertical="center"/>
    </xf>
    <xf numFmtId="0" fontId="8" fillId="6" borderId="50" xfId="0" applyNumberFormat="1" applyFont="1" applyFill="1" applyBorder="1" applyAlignment="1">
      <alignment horizontal="left" vertical="center" indent="1"/>
    </xf>
    <xf numFmtId="0" fontId="8" fillId="6" borderId="51" xfId="0" applyNumberFormat="1" applyFont="1" applyFill="1" applyBorder="1" applyAlignment="1">
      <alignment horizontal="left" vertical="center" indent="1"/>
    </xf>
    <xf numFmtId="3" fontId="8" fillId="6" borderId="50" xfId="0" applyNumberFormat="1" applyFont="1" applyFill="1" applyBorder="1" applyAlignment="1">
      <alignment horizontal="center" vertical="center"/>
    </xf>
    <xf numFmtId="3" fontId="8" fillId="6" borderId="51" xfId="0" applyNumberFormat="1" applyFont="1" applyFill="1" applyBorder="1" applyAlignment="1">
      <alignment horizontal="center" vertical="center"/>
    </xf>
    <xf numFmtId="3" fontId="38" fillId="6" borderId="50" xfId="0" applyNumberFormat="1" applyFont="1" applyFill="1" applyBorder="1" applyAlignment="1">
      <alignment horizontal="center" vertical="center"/>
    </xf>
    <xf numFmtId="3" fontId="38" fillId="6" borderId="51" xfId="0" applyNumberFormat="1" applyFont="1" applyFill="1" applyBorder="1" applyAlignment="1">
      <alignment horizontal="center" vertical="center"/>
    </xf>
    <xf numFmtId="168" fontId="0" fillId="6" borderId="50" xfId="0" applyNumberFormat="1" applyFont="1" applyFill="1" applyBorder="1" applyAlignment="1">
      <alignment horizontal="center" vertical="center"/>
    </xf>
    <xf numFmtId="168" fontId="0" fillId="6" borderId="51" xfId="0" applyNumberFormat="1" applyFont="1" applyFill="1" applyBorder="1" applyAlignment="1">
      <alignment horizontal="center" vertical="center"/>
    </xf>
    <xf numFmtId="3" fontId="0" fillId="6" borderId="50" xfId="0" applyNumberFormat="1" applyFont="1" applyFill="1" applyBorder="1" applyAlignment="1">
      <alignment horizontal="center" vertical="center"/>
    </xf>
    <xf numFmtId="3" fontId="0" fillId="6" borderId="51" xfId="0" applyNumberFormat="1" applyFont="1" applyFill="1" applyBorder="1" applyAlignment="1">
      <alignment horizontal="center" vertical="center"/>
    </xf>
    <xf numFmtId="174" fontId="8" fillId="6" borderId="50" xfId="0" applyNumberFormat="1" applyFont="1" applyFill="1" applyBorder="1" applyAlignment="1">
      <alignment horizontal="center" vertical="center"/>
    </xf>
    <xf numFmtId="174" fontId="8" fillId="6" borderId="51" xfId="0" applyNumberFormat="1" applyFont="1" applyFill="1" applyBorder="1" applyAlignment="1">
      <alignment horizontal="center" vertical="center"/>
    </xf>
    <xf numFmtId="9" fontId="0" fillId="6" borderId="50" xfId="0" applyNumberFormat="1" applyFont="1" applyFill="1" applyBorder="1" applyAlignment="1">
      <alignment horizontal="center" vertical="center"/>
    </xf>
    <xf numFmtId="9" fontId="0" fillId="6" borderId="51" xfId="0" applyNumberFormat="1" applyFont="1" applyFill="1" applyBorder="1" applyAlignment="1">
      <alignment horizontal="center" vertical="center"/>
    </xf>
    <xf numFmtId="0" fontId="5" fillId="6" borderId="50" xfId="0" applyNumberFormat="1" applyFont="1" applyFill="1" applyBorder="1" applyAlignment="1">
      <alignment horizontal="center" vertical="center"/>
    </xf>
    <xf numFmtId="0" fontId="5" fillId="6" borderId="51" xfId="0" applyNumberFormat="1" applyFont="1" applyFill="1" applyBorder="1" applyAlignment="1">
      <alignment horizontal="center" vertical="center"/>
    </xf>
    <xf numFmtId="0" fontId="5" fillId="6" borderId="27" xfId="0" applyNumberFormat="1" applyFont="1" applyFill="1" applyBorder="1" applyAlignment="1">
      <alignment horizontal="center" vertical="center"/>
    </xf>
    <xf numFmtId="0" fontId="8" fillId="6" borderId="52" xfId="0" applyNumberFormat="1" applyFont="1" applyFill="1" applyBorder="1" applyAlignment="1">
      <alignment horizontal="left" vertical="center" indent="1"/>
    </xf>
    <xf numFmtId="0" fontId="8" fillId="6" borderId="53" xfId="0" applyNumberFormat="1" applyFont="1" applyFill="1" applyBorder="1" applyAlignment="1">
      <alignment horizontal="left" vertical="center" indent="1"/>
    </xf>
    <xf numFmtId="3" fontId="8" fillId="6" borderId="52" xfId="0" applyNumberFormat="1" applyFont="1" applyFill="1" applyBorder="1" applyAlignment="1">
      <alignment horizontal="center" vertical="center"/>
    </xf>
    <xf numFmtId="3" fontId="8" fillId="6" borderId="53" xfId="0" applyNumberFormat="1" applyFont="1" applyFill="1" applyBorder="1" applyAlignment="1">
      <alignment horizontal="center" vertical="center"/>
    </xf>
    <xf numFmtId="3" fontId="38" fillId="6" borderId="52" xfId="0" applyNumberFormat="1" applyFont="1" applyFill="1" applyBorder="1" applyAlignment="1">
      <alignment horizontal="center" vertical="center"/>
    </xf>
    <xf numFmtId="3" fontId="38" fillId="6" borderId="53" xfId="0" applyNumberFormat="1" applyFont="1" applyFill="1" applyBorder="1" applyAlignment="1">
      <alignment horizontal="center" vertical="center"/>
    </xf>
    <xf numFmtId="168" fontId="0" fillId="6" borderId="52" xfId="0" applyNumberFormat="1" applyFont="1" applyFill="1" applyBorder="1" applyAlignment="1">
      <alignment horizontal="center" vertical="center"/>
    </xf>
    <xf numFmtId="168" fontId="0" fillId="6" borderId="53" xfId="0" applyNumberFormat="1" applyFont="1" applyFill="1" applyBorder="1" applyAlignment="1">
      <alignment horizontal="center" vertical="center"/>
    </xf>
    <xf numFmtId="3" fontId="0" fillId="6" borderId="52" xfId="0" applyNumberFormat="1" applyFont="1" applyFill="1" applyBorder="1" applyAlignment="1">
      <alignment horizontal="center" vertical="center"/>
    </xf>
    <xf numFmtId="3" fontId="0" fillId="6" borderId="53" xfId="0" applyNumberFormat="1" applyFont="1" applyFill="1" applyBorder="1" applyAlignment="1">
      <alignment horizontal="center" vertical="center"/>
    </xf>
    <xf numFmtId="174" fontId="8" fillId="6" borderId="52" xfId="0" applyNumberFormat="1" applyFont="1" applyFill="1" applyBorder="1" applyAlignment="1">
      <alignment horizontal="center" vertical="center"/>
    </xf>
    <xf numFmtId="174" fontId="8" fillId="6" borderId="53" xfId="0" applyNumberFormat="1" applyFont="1" applyFill="1" applyBorder="1" applyAlignment="1">
      <alignment horizontal="center" vertical="center"/>
    </xf>
    <xf numFmtId="9" fontId="0" fillId="6" borderId="52" xfId="0" applyNumberFormat="1" applyFont="1" applyFill="1" applyBorder="1" applyAlignment="1">
      <alignment horizontal="center" vertical="center"/>
    </xf>
    <xf numFmtId="9" fontId="0" fillId="6" borderId="53" xfId="0" applyNumberFormat="1" applyFont="1" applyFill="1" applyBorder="1" applyAlignment="1">
      <alignment horizontal="center" vertical="center"/>
    </xf>
    <xf numFmtId="0" fontId="5" fillId="6" borderId="52" xfId="0" applyNumberFormat="1" applyFont="1" applyFill="1" applyBorder="1" applyAlignment="1">
      <alignment horizontal="center" vertical="center"/>
    </xf>
    <xf numFmtId="0" fontId="5" fillId="6" borderId="53" xfId="0" applyNumberFormat="1" applyFont="1" applyFill="1" applyBorder="1" applyAlignment="1">
      <alignment horizontal="center" vertical="center"/>
    </xf>
    <xf numFmtId="0" fontId="5" fillId="6" borderId="54" xfId="0" applyNumberFormat="1" applyFont="1" applyFill="1" applyBorder="1" applyAlignment="1">
      <alignment horizontal="center" vertical="center"/>
    </xf>
    <xf numFmtId="0" fontId="8" fillId="6" borderId="55" xfId="0" applyNumberFormat="1" applyFont="1" applyFill="1" applyBorder="1" applyAlignment="1">
      <alignment horizontal="left" vertical="center" indent="1"/>
    </xf>
    <xf numFmtId="0" fontId="8" fillId="6" borderId="56" xfId="0" applyNumberFormat="1" applyFont="1" applyFill="1" applyBorder="1" applyAlignment="1">
      <alignment horizontal="left" vertical="center" indent="1"/>
    </xf>
    <xf numFmtId="3" fontId="8" fillId="6" borderId="55" xfId="0" applyNumberFormat="1" applyFont="1" applyFill="1" applyBorder="1" applyAlignment="1">
      <alignment horizontal="center" vertical="center"/>
    </xf>
    <xf numFmtId="3" fontId="8" fillId="6" borderId="56" xfId="0" applyNumberFormat="1" applyFont="1" applyFill="1" applyBorder="1" applyAlignment="1">
      <alignment horizontal="center" vertical="center"/>
    </xf>
    <xf numFmtId="3" fontId="38" fillId="6" borderId="55" xfId="0" applyNumberFormat="1" applyFont="1" applyFill="1" applyBorder="1" applyAlignment="1">
      <alignment horizontal="center" vertical="center"/>
    </xf>
    <xf numFmtId="3" fontId="38" fillId="6" borderId="56" xfId="0" applyNumberFormat="1" applyFont="1" applyFill="1" applyBorder="1" applyAlignment="1">
      <alignment horizontal="center" vertical="center"/>
    </xf>
    <xf numFmtId="168" fontId="0" fillId="6" borderId="55" xfId="0" applyNumberFormat="1" applyFont="1" applyFill="1" applyBorder="1" applyAlignment="1">
      <alignment horizontal="center" vertical="center"/>
    </xf>
    <xf numFmtId="168" fontId="0" fillId="6" borderId="56" xfId="0" applyNumberFormat="1" applyFont="1" applyFill="1" applyBorder="1" applyAlignment="1">
      <alignment horizontal="center" vertical="center"/>
    </xf>
    <xf numFmtId="3" fontId="0" fillId="6" borderId="55" xfId="0" applyNumberFormat="1" applyFont="1" applyFill="1" applyBorder="1" applyAlignment="1">
      <alignment horizontal="center" vertical="center"/>
    </xf>
    <xf numFmtId="3" fontId="0" fillId="6" borderId="56" xfId="0" applyNumberFormat="1" applyFont="1" applyFill="1" applyBorder="1" applyAlignment="1">
      <alignment horizontal="center" vertical="center"/>
    </xf>
    <xf numFmtId="174" fontId="8" fillId="6" borderId="55" xfId="0" applyNumberFormat="1" applyFont="1" applyFill="1" applyBorder="1" applyAlignment="1">
      <alignment horizontal="center" vertical="center"/>
    </xf>
    <xf numFmtId="174" fontId="8" fillId="6" borderId="56" xfId="0" applyNumberFormat="1" applyFont="1" applyFill="1" applyBorder="1" applyAlignment="1">
      <alignment horizontal="center" vertical="center"/>
    </xf>
    <xf numFmtId="9" fontId="0" fillId="6" borderId="55" xfId="0" applyNumberFormat="1" applyFont="1" applyFill="1" applyBorder="1" applyAlignment="1">
      <alignment horizontal="center" vertical="center"/>
    </xf>
    <xf numFmtId="9" fontId="0" fillId="6" borderId="56" xfId="0" applyNumberFormat="1" applyFont="1" applyFill="1" applyBorder="1" applyAlignment="1">
      <alignment horizontal="center" vertical="center"/>
    </xf>
    <xf numFmtId="0" fontId="5" fillId="6" borderId="55" xfId="0" applyNumberFormat="1" applyFont="1" applyFill="1" applyBorder="1" applyAlignment="1">
      <alignment horizontal="center" vertical="center"/>
    </xf>
    <xf numFmtId="0" fontId="5" fillId="6" borderId="56" xfId="0" applyNumberFormat="1" applyFont="1" applyFill="1" applyBorder="1" applyAlignment="1">
      <alignment horizontal="center" vertical="center"/>
    </xf>
    <xf numFmtId="0" fontId="5" fillId="6" borderId="57" xfId="0" applyNumberFormat="1" applyFont="1" applyFill="1" applyBorder="1" applyAlignment="1">
      <alignment horizontal="center" vertical="center"/>
    </xf>
    <xf numFmtId="0" fontId="8" fillId="3" borderId="26" xfId="0" applyNumberFormat="1" applyFont="1" applyFill="1" applyBorder="1" applyAlignment="1">
      <alignment horizontal="center" vertical="center"/>
    </xf>
    <xf numFmtId="0" fontId="8" fillId="3" borderId="27" xfId="0" applyNumberFormat="1" applyFont="1" applyFill="1" applyBorder="1" applyAlignment="1">
      <alignment horizontal="center" vertical="center"/>
    </xf>
    <xf numFmtId="0" fontId="8" fillId="3" borderId="58" xfId="0" applyNumberFormat="1" applyFont="1" applyFill="1" applyBorder="1" applyAlignment="1">
      <alignment horizontal="center" vertical="center"/>
    </xf>
    <xf numFmtId="0" fontId="8" fillId="3" borderId="59" xfId="0" applyNumberFormat="1" applyFont="1" applyFill="1" applyBorder="1" applyAlignment="1">
      <alignment horizontal="center" vertical="center"/>
    </xf>
    <xf numFmtId="0" fontId="8" fillId="3" borderId="28" xfId="0" applyNumberFormat="1" applyFont="1" applyFill="1" applyBorder="1" applyAlignment="1">
      <alignment horizontal="center" vertical="center"/>
    </xf>
    <xf numFmtId="0" fontId="8" fillId="3" borderId="29" xfId="0" applyNumberFormat="1" applyFont="1" applyFill="1" applyBorder="1" applyAlignment="1">
      <alignment horizontal="center" vertical="center"/>
    </xf>
    <xf numFmtId="0" fontId="8" fillId="4" borderId="26" xfId="0" applyNumberFormat="1" applyFont="1" applyFill="1" applyBorder="1" applyAlignment="1">
      <alignment horizontal="center" vertical="center"/>
    </xf>
    <xf numFmtId="0" fontId="8" fillId="4" borderId="27" xfId="0" applyNumberFormat="1" applyFont="1" applyFill="1" applyBorder="1" applyAlignment="1">
      <alignment horizontal="center" vertical="center"/>
    </xf>
    <xf numFmtId="0" fontId="8" fillId="4" borderId="58" xfId="0" applyNumberFormat="1" applyFont="1" applyFill="1" applyBorder="1" applyAlignment="1">
      <alignment horizontal="center" vertical="center"/>
    </xf>
    <xf numFmtId="0" fontId="8" fillId="4" borderId="59" xfId="0" applyNumberFormat="1" applyFont="1" applyFill="1" applyBorder="1" applyAlignment="1">
      <alignment horizontal="center" vertical="center"/>
    </xf>
    <xf numFmtId="0" fontId="8" fillId="4" borderId="28" xfId="0" applyNumberFormat="1" applyFont="1" applyFill="1" applyBorder="1" applyAlignment="1">
      <alignment horizontal="center" vertical="center"/>
    </xf>
    <xf numFmtId="0" fontId="8" fillId="4" borderId="29" xfId="0" applyNumberFormat="1" applyFont="1" applyFill="1" applyBorder="1" applyAlignment="1">
      <alignment horizontal="center" vertical="center"/>
    </xf>
    <xf numFmtId="0" fontId="8" fillId="5" borderId="26" xfId="0" applyNumberFormat="1" applyFont="1" applyFill="1" applyBorder="1" applyAlignment="1">
      <alignment horizontal="center" vertical="center"/>
    </xf>
    <xf numFmtId="0" fontId="8" fillId="5" borderId="27" xfId="0" applyNumberFormat="1" applyFont="1" applyFill="1" applyBorder="1" applyAlignment="1">
      <alignment horizontal="center" vertical="center"/>
    </xf>
    <xf numFmtId="0" fontId="8" fillId="5" borderId="58" xfId="0" applyNumberFormat="1" applyFont="1" applyFill="1" applyBorder="1" applyAlignment="1">
      <alignment horizontal="center" vertical="center"/>
    </xf>
    <xf numFmtId="0" fontId="8" fillId="5" borderId="59" xfId="0" applyNumberFormat="1" applyFont="1" applyFill="1" applyBorder="1" applyAlignment="1">
      <alignment horizontal="center" vertical="center"/>
    </xf>
    <xf numFmtId="0" fontId="8" fillId="5" borderId="28" xfId="0" applyNumberFormat="1" applyFont="1" applyFill="1" applyBorder="1" applyAlignment="1">
      <alignment horizontal="center" vertical="center"/>
    </xf>
    <xf numFmtId="0" fontId="8" fillId="5" borderId="29" xfId="0" applyNumberFormat="1" applyFont="1" applyFill="1" applyBorder="1" applyAlignment="1">
      <alignment horizontal="center" vertical="center"/>
    </xf>
    <xf numFmtId="0" fontId="8" fillId="6" borderId="26" xfId="0" applyNumberFormat="1" applyFont="1" applyFill="1" applyBorder="1" applyAlignment="1">
      <alignment horizontal="center" vertical="center"/>
    </xf>
    <xf numFmtId="0" fontId="8" fillId="6" borderId="27" xfId="0" applyNumberFormat="1" applyFont="1" applyFill="1" applyBorder="1" applyAlignment="1">
      <alignment horizontal="center" vertical="center"/>
    </xf>
    <xf numFmtId="0" fontId="8" fillId="6" borderId="58" xfId="0" applyNumberFormat="1" applyFont="1" applyFill="1" applyBorder="1" applyAlignment="1">
      <alignment horizontal="center" vertical="center"/>
    </xf>
    <xf numFmtId="0" fontId="8" fillId="6" borderId="59" xfId="0" applyNumberFormat="1" applyFont="1" applyFill="1" applyBorder="1" applyAlignment="1">
      <alignment horizontal="center" vertical="center"/>
    </xf>
    <xf numFmtId="0" fontId="8" fillId="6" borderId="28" xfId="0" applyNumberFormat="1" applyFont="1" applyFill="1" applyBorder="1" applyAlignment="1">
      <alignment horizontal="center" vertical="center"/>
    </xf>
    <xf numFmtId="0" fontId="8" fillId="6" borderId="29" xfId="0" applyNumberFormat="1" applyFont="1" applyFill="1" applyBorder="1" applyAlignment="1">
      <alignment horizontal="center" vertical="center"/>
    </xf>
    <xf numFmtId="0" fontId="5" fillId="2" borderId="7" xfId="0" applyNumberFormat="1" applyFont="1" applyFill="1" applyBorder="1" applyAlignment="1">
      <alignment horizontal="center" vertical="center" wrapText="1"/>
    </xf>
    <xf numFmtId="0" fontId="5" fillId="2" borderId="9" xfId="0" applyNumberFormat="1" applyFont="1" applyFill="1" applyBorder="1" applyAlignment="1">
      <alignment horizontal="center" vertical="center" wrapText="1"/>
    </xf>
    <xf numFmtId="0" fontId="5" fillId="2" borderId="8" xfId="0" applyNumberFormat="1" applyFont="1" applyFill="1" applyBorder="1" applyAlignment="1">
      <alignment horizontal="center" vertical="center" wrapText="1"/>
    </xf>
    <xf numFmtId="0" fontId="5" fillId="16" borderId="48" xfId="0" applyNumberFormat="1" applyFont="1" applyFill="1" applyBorder="1" applyAlignment="1">
      <alignment horizontal="center" vertical="center" wrapText="1"/>
    </xf>
    <xf numFmtId="0" fontId="5" fillId="16" borderId="7" xfId="0" applyNumberFormat="1" applyFont="1" applyFill="1" applyBorder="1" applyAlignment="1">
      <alignment horizontal="center" vertical="center" wrapText="1"/>
    </xf>
    <xf numFmtId="0" fontId="5" fillId="16" borderId="9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26">
    <dxf>
      <font>
        <b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color rgb="FF1F5F3A"/>
      </font>
      <fill>
        <patternFill>
          <bgColor rgb="FFC6EF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color rgb="FFBFBFBF"/>
      </font>
      <fill>
        <patternFill>
          <bgColor rgb="FFFAFAFA"/>
        </patternFill>
      </fill>
    </dxf>
    <dxf>
      <font>
        <color rgb="FFA6A6A6"/>
      </font>
      <fill>
        <patternFill>
          <bgColor rgb="FFD9D9D9"/>
        </patternFill>
      </fill>
    </dxf>
    <dxf>
      <font>
        <b/>
        <color rgb="FF2F7D4E"/>
      </font>
    </dxf>
    <dxf>
      <font>
        <b/>
        <color rgb="FFC00000"/>
      </font>
    </dxf>
    <dxf>
      <font>
        <b/>
        <color rgb="FFC98A00"/>
      </font>
    </dxf>
    <dxf>
      <font>
        <b/>
        <color rgb="FF2F7D4E"/>
      </font>
      <fill>
        <patternFill>
          <bgColor rgb="FFE2EFD9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1B1B1F"/>
      </font>
      <fill>
        <patternFill>
          <bgColor rgb="FFD9D9D9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FFFFFF"/>
      </font>
      <fill>
        <patternFill>
          <bgColor rgb="FF1F6F43"/>
        </patternFill>
      </fill>
    </dxf>
    <dxf>
      <font>
        <b/>
        <color rgb="FF1F5F3A"/>
      </font>
      <fill>
        <patternFill>
          <bgColor rgb="FFC6EF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numFmt numFmtId="9" formatCode="0%"/>
    </dxf>
    <dxf>
      <numFmt numFmtId="173" formatCode="[&gt;=1000]#,##0;#,##0.0"/>
    </dxf>
    <dxf>
      <fill>
        <patternFill>
          <bgColor rgb="FFE2EFD9"/>
        </patternFill>
      </fill>
    </dxf>
    <dxf>
      <fill>
        <patternFill>
          <bgColor rgb="FFD9E2F3"/>
        </patternFill>
      </fill>
    </dxf>
    <dxf>
      <fill>
        <patternFill>
          <bgColor rgb="FFFFF2CB"/>
        </patternFill>
      </fill>
    </dxf>
    <dxf>
      <fill>
        <patternFill>
          <bgColor rgb="FFE2EFD9"/>
        </patternFill>
      </fill>
    </dxf>
    <dxf>
      <fill>
        <patternFill>
          <bgColor rgb="FFD0CECE"/>
        </patternFill>
      </fill>
    </dxf>
  </dxfs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c:chart>
    <c:title>
      <c:tx>
        <c:strRef>
          <c:f>calculos!$AQ$12</c:f>
          <c:strCache>
            <c:ptCount val="1"/>
            <c:pt idx="0">
              <c:v>MOVIMENTAÇÃO VEÍCULO/DIA — TODOS OS CLIENTES</c:v>
            </c:pt>
          </c:strCache>
        </c:strRef>
      </c:tx>
      <c:overlay val="0"/>
      <c:txPr>
        <a:bodyPr/>
        <a:lstStyle/>
        <a:p>
          <a:pPr>
            <a:defRPr sz="1100" b="1">
              <a:solidFill>
                <a:srgbClr val="404040"/>
              </a:solidFill>
              <a:latin typeface="Calibri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Config!$D$82</c:f>
              <c:strCache>
                <c:ptCount val="1"/>
                <c:pt idx="0">
                  <c:v>Recebidos (IN)</c:v>
                </c:pt>
              </c:strCache>
            </c:strRef>
          </c:tx>
          <c:spPr>
            <a:solidFill>
              <a:srgbClr val="E01E1E"/>
            </a:solidFill>
            <a:ln>
              <a:noFill/>
            </a:ln>
          </c:spPr>
          <c:invertIfNegative val="0"/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calculos!$C$12:$C$42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</c:ser>
        <c:ser>
          <c:idx val="1"/>
          <c:order val="1"/>
          <c:tx>
            <c:strRef>
              <c:f>Config!$D$83</c:f>
              <c:strCache>
                <c:ptCount val="1"/>
                <c:pt idx="0">
                  <c:v>Expedidos (OUT)</c:v>
                </c:pt>
              </c:strCache>
            </c:strRef>
          </c:tx>
          <c:spPr>
            <a:solidFill>
              <a:srgbClr val="A6A6A6"/>
            </a:solidFill>
            <a:ln>
              <a:noFill/>
            </a:ln>
          </c:spPr>
          <c:invertIfNegative val="0"/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calculos!$F$12:$F$42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</c:ser>
        <c:gapWidth val="60"/>
        <c:overlap val="-10"/>
        <c:axId val="101"/>
        <c:axId val="102"/>
      </c:barChart>
      <c:catAx>
        <c:axId val="1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BFBFBF"/>
            </a:solidFill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2"/>
        <c:crosses val="autoZero"/>
        <c:auto val="1"/>
        <c:lblAlgn val="ctr"/>
        <c:lblOffset val="100"/>
        <c:tickLblSkip val="1"/>
        <c:noMultiLvlLbl val="0"/>
      </c:catAx>
      <c:valAx>
        <c:axId val="102"/>
        <c:scaling>
          <c:orientation val="minMax"/>
          <c:min val="0"/>
        </c:scaling>
        <c:delete val="0"/>
        <c:axPos val="l"/>
        <c:majorGridlines>
          <c:spPr>
            <a:ln w="6350">
              <a:solidFill>
                <a:srgbClr val="E0E0E0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1"/>
        <c:crosses val="autoZero"/>
        <c:crossBetween val="between"/>
      </c:valAx>
      <c:spPr>
        <a:noFill/>
        <a:ln>
          <a:noFill/>
        </a:ln>
      </c:spPr>
    </c:plotArea>
    <c:legend>
      <c:legendPos val="t"/>
      <c:overlay val="0"/>
      <c:txPr>
        <a:bodyPr/>
        <a:lstStyle/>
        <a:p>
          <a:pPr>
            <a:defRPr sz="900" b="0">
              <a:solidFill>
                <a:srgbClr val="404040"/>
              </a:solidFill>
              <a:latin typeface="Calibri"/>
            </a:defRPr>
          </a:pPr>
          <a:endParaRPr lang="pt-BR"/>
        </a:p>
      </c:txPr>
    </c:legend>
    <c:plotVisOnly val="1"/>
    <c:dispBlanksAs val="gap"/>
  </c:chart>
  <c:spPr>
    <a:solidFill>
      <a:srgbClr val="F2F2F2"/>
    </a:solidFill>
    <a:ln>
      <a:noFill/>
    </a:ln>
  </c:spPr>
  <c:txPr>
    <a:bodyPr/>
    <a:lstStyle/>
    <a:p>
      <a:pPr>
        <a:defRPr sz="900" b="0">
          <a:solidFill>
            <a:srgbClr val="595959"/>
          </a:solidFill>
          <a:latin typeface="Calibri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c:chart>
    <c:title>
      <c:tx>
        <c:strRef>
          <c:f>calculos!$AQ$13</c:f>
          <c:strCache>
            <c:ptCount val="1"/>
            <c:pt idx="0">
              <c:v>OCUPAÇÃO DIÁRIA — TODOS OS CLIENTES</c:v>
            </c:pt>
          </c:strCache>
        </c:strRef>
      </c:tx>
      <c:overlay val="0"/>
      <c:txPr>
        <a:bodyPr/>
        <a:lstStyle/>
        <a:p>
          <a:pPr>
            <a:defRPr sz="1100" b="1">
              <a:solidFill>
                <a:srgbClr val="404040"/>
              </a:solidFill>
              <a:latin typeface="Calibri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Config!$D$87</c:f>
              <c:strCache>
                <c:ptCount val="1"/>
                <c:pt idx="0">
                  <c:v>Ocupada (p.p)</c:v>
                </c:pt>
              </c:strCache>
            </c:strRef>
          </c:tx>
          <c:spPr>
            <a:solidFill>
              <a:srgbClr val="E01E1E"/>
            </a:solidFill>
            <a:ln>
              <a:noFill/>
            </a:ln>
          </c:spPr>
          <c:invertIfNegative val="0"/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calculos!$M$12:$M$42</c:f>
              <c:numCache>
                <c:formatCode>General</c:formatCode>
                <c:ptCount val="31"/>
              </c:numCache>
            </c:numRef>
          </c:val>
        </c:ser>
        <c:gapWidth val="40"/>
        <c:axId val="101"/>
        <c:axId val="102"/>
      </c:barChart>
      <c:lineChart>
        <c:grouping val="standard"/>
        <c:varyColors val="0"/>
        <c:ser>
          <c:idx val="1"/>
          <c:order val="1"/>
          <c:tx>
            <c:strRef>
              <c:f>calculos!$BB$310</c:f>
              <c:strCache>
                <c:ptCount val="1"/>
                <c:pt idx="0">
                  <c:v>Capacidade do armazém (p.p)</c:v>
                </c:pt>
              </c:strCache>
            </c:strRef>
          </c:tx>
          <c:spPr>
            <a:ln w="22225" cap="rnd">
              <a:solidFill>
                <a:srgbClr val="404040"/>
              </a:solidFill>
              <a:prstDash val="sysDot"/>
              <a:round/>
            </a:ln>
          </c:spPr>
          <c:marker>
            <c:symbol val="none"/>
          </c:marker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calculos!$L$12:$L$42</c:f>
              <c:numCache>
                <c:formatCode>General</c:formatCode>
                <c:ptCount val="31"/>
              </c:numCache>
            </c:numRef>
          </c:val>
          <c:smooth val="0"/>
        </c:ser>
        <c:ser>
          <c:idx val="2"/>
          <c:order val="2"/>
          <c:tx>
            <c:v>rótulo</c:v>
          </c:tx>
          <c:spPr>
            <a:ln>
              <a:noFill/>
            </a:ln>
          </c:spPr>
          <c:marker>
            <c:symbol val="none"/>
          </c:marker>
          <c:dLbls>
            <c:numFmt formatCode="#,##0&quot; p.p&quot;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900" b="1">
                    <a:solidFill>
                      <a:srgbClr val="262626"/>
                    </a:solidFill>
                    <a:latin typeface="Calibri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calculos!$BC$12:$BC$42</c:f>
              <c:numCache>
                <c:formatCode>General</c:formatCode>
                <c:ptCount val="31"/>
              </c:numCache>
            </c:numRef>
          </c:val>
          <c:smooth val="0"/>
        </c:ser>
        <c:marker val="1"/>
        <c:axId val="101"/>
        <c:axId val="102"/>
      </c:lineChart>
      <c:catAx>
        <c:axId val="1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BFBFBF"/>
            </a:solidFill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2"/>
        <c:crosses val="autoZero"/>
        <c:auto val="1"/>
        <c:lblAlgn val="ctr"/>
        <c:lblOffset val="100"/>
        <c:tickLblSkip val="1"/>
        <c:noMultiLvlLbl val="0"/>
      </c:catAx>
      <c:valAx>
        <c:axId val="102"/>
        <c:scaling>
          <c:orientation val="minMax"/>
          <c:min val="0"/>
        </c:scaling>
        <c:delete val="0"/>
        <c:axPos val="l"/>
        <c:majorGridlines>
          <c:spPr>
            <a:ln w="6350">
              <a:solidFill>
                <a:srgbClr val="E0E0E0"/>
              </a:solidFill>
            </a:ln>
          </c:spPr>
        </c:majorGridlines>
        <c:numFmt formatCode="#,##0&quot; p.p&quot;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1"/>
        <c:crosses val="autoZero"/>
        <c:crossBetween val="between"/>
      </c:valAx>
      <c:spPr>
        <a:noFill/>
        <a:ln>
          <a:noFill/>
        </a:ln>
      </c:spPr>
    </c:plotArea>
    <c:legend>
      <c:legendPos val="t"/>
      <c:legendEntry>
        <c:idx val="2"/>
        <c:delete val="1"/>
      </c:legendEntry>
      <c:overlay val="0"/>
      <c:txPr>
        <a:bodyPr/>
        <a:lstStyle/>
        <a:p>
          <a:pPr>
            <a:defRPr sz="900" b="0">
              <a:solidFill>
                <a:srgbClr val="404040"/>
              </a:solidFill>
              <a:latin typeface="Calibri"/>
            </a:defRPr>
          </a:pPr>
          <a:endParaRPr lang="pt-BR"/>
        </a:p>
      </c:txPr>
    </c:legend>
    <c:plotVisOnly val="1"/>
    <c:dispBlanksAs val="gap"/>
  </c:chart>
  <c:spPr>
    <a:solidFill>
      <a:srgbClr val="F2F2F2"/>
    </a:solidFill>
    <a:ln>
      <a:noFill/>
    </a:ln>
  </c:spPr>
  <c:txPr>
    <a:bodyPr/>
    <a:lstStyle/>
    <a:p>
      <a:pPr>
        <a:defRPr sz="900" b="0">
          <a:solidFill>
            <a:srgbClr val="595959"/>
          </a:solidFill>
          <a:latin typeface="Calibri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c:chart>
    <c:title>
      <c:tx>
        <c:strRef>
          <c:f>calculos!$AQ$14</c:f>
          <c:strCache>
            <c:ptCount val="1"/>
            <c:pt idx="0">
              <c:v>MOVIMENTAÇÃO PALETES/DIA — TODOS OS CLIENTES</c:v>
            </c:pt>
          </c:strCache>
        </c:strRef>
      </c:tx>
      <c:overlay val="0"/>
      <c:txPr>
        <a:bodyPr/>
        <a:lstStyle/>
        <a:p>
          <a:pPr>
            <a:defRPr sz="1100" b="1">
              <a:solidFill>
                <a:srgbClr val="404040"/>
              </a:solidFill>
              <a:latin typeface="Calibri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calculos!$AN$310</c:f>
              <c:strCache>
                <c:ptCount val="1"/>
                <c:pt idx="0">
                  <c:v>Pallets Movimentados IN</c:v>
                </c:pt>
              </c:strCache>
            </c:strRef>
          </c:tx>
          <c:spPr>
            <a:solidFill>
              <a:srgbClr val="E01E1E"/>
            </a:solidFill>
            <a:ln>
              <a:noFill/>
            </a:ln>
          </c:spPr>
          <c:invertIfNegative val="0"/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calculos!$AX$12:$AX$42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</c:ser>
        <c:ser>
          <c:idx val="1"/>
          <c:order val="1"/>
          <c:tx>
            <c:strRef>
              <c:f>calculos!$AO$310</c:f>
              <c:strCache>
                <c:ptCount val="1"/>
                <c:pt idx="0">
                  <c:v>Pallets Movimentados OUT</c:v>
                </c:pt>
              </c:strCache>
            </c:strRef>
          </c:tx>
          <c:spPr>
            <a:solidFill>
              <a:srgbClr val="A6A6A6"/>
            </a:solidFill>
            <a:ln>
              <a:noFill/>
            </a:ln>
          </c:spPr>
          <c:invertIfNegative val="0"/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calculos!$AY$12:$AY$42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</c:ser>
        <c:gapWidth val="60"/>
        <c:overlap val="-10"/>
        <c:axId val="101"/>
        <c:axId val="102"/>
      </c:barChart>
      <c:catAx>
        <c:axId val="1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BFBFBF"/>
            </a:solidFill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2"/>
        <c:crosses val="autoZero"/>
        <c:auto val="1"/>
        <c:lblAlgn val="ctr"/>
        <c:lblOffset val="100"/>
        <c:tickLblSkip val="1"/>
        <c:noMultiLvlLbl val="0"/>
      </c:catAx>
      <c:valAx>
        <c:axId val="102"/>
        <c:scaling>
          <c:orientation val="minMax"/>
          <c:min val="0"/>
        </c:scaling>
        <c:delete val="0"/>
        <c:axPos val="l"/>
        <c:majorGridlines>
          <c:spPr>
            <a:ln w="6350">
              <a:solidFill>
                <a:srgbClr val="E0E0E0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1"/>
        <c:crosses val="autoZero"/>
        <c:crossBetween val="between"/>
      </c:valAx>
      <c:spPr>
        <a:noFill/>
        <a:ln>
          <a:noFill/>
        </a:ln>
      </c:spPr>
    </c:plotArea>
    <c:legend>
      <c:legendPos val="t"/>
      <c:overlay val="0"/>
      <c:txPr>
        <a:bodyPr/>
        <a:lstStyle/>
        <a:p>
          <a:pPr>
            <a:defRPr sz="900" b="0">
              <a:solidFill>
                <a:srgbClr val="404040"/>
              </a:solidFill>
              <a:latin typeface="Calibri"/>
            </a:defRPr>
          </a:pPr>
          <a:endParaRPr lang="pt-BR"/>
        </a:p>
      </c:txPr>
    </c:legend>
    <c:plotVisOnly val="1"/>
    <c:dispBlanksAs val="gap"/>
  </c:chart>
  <c:spPr>
    <a:solidFill>
      <a:srgbClr val="F2F2F2"/>
    </a:solidFill>
    <a:ln>
      <a:noFill/>
    </a:ln>
  </c:spPr>
  <c:txPr>
    <a:bodyPr/>
    <a:lstStyle/>
    <a:p>
      <a:pPr>
        <a:defRPr sz="900" b="0">
          <a:solidFill>
            <a:srgbClr val="595959"/>
          </a:solidFill>
          <a:latin typeface="Calibri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c:chart>
    <c:title>
      <c:tx>
        <c:strRef>
          <c:f>calculos!$AQ$15</c:f>
          <c:strCache>
            <c:ptCount val="1"/>
            <c:pt idx="0">
              <c:v>MOVIMENTAÇÃO TONS/DIA — TODOS OS CLIENTES</c:v>
            </c:pt>
          </c:strCache>
        </c:strRef>
      </c:tx>
      <c:overlay val="0"/>
      <c:txPr>
        <a:bodyPr/>
        <a:lstStyle/>
        <a:p>
          <a:pPr>
            <a:defRPr sz="1100" b="1">
              <a:solidFill>
                <a:srgbClr val="404040"/>
              </a:solidFill>
              <a:latin typeface="Calibri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calculos!$AV$310</c:f>
              <c:strCache>
                <c:ptCount val="1"/>
                <c:pt idx="0">
                  <c:v>Toneladas Movimentadas IN</c:v>
                </c:pt>
              </c:strCache>
            </c:strRef>
          </c:tx>
          <c:spPr>
            <a:solidFill>
              <a:srgbClr val="E01E1E"/>
            </a:solidFill>
            <a:ln>
              <a:noFill/>
            </a:ln>
          </c:spPr>
          <c:invertIfNegative val="0"/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calculos!$AZ$12:$AZ$42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</c:ser>
        <c:ser>
          <c:idx val="1"/>
          <c:order val="1"/>
          <c:tx>
            <c:strRef>
              <c:f>calculos!$AW$310</c:f>
              <c:strCache>
                <c:ptCount val="1"/>
                <c:pt idx="0">
                  <c:v>Toneladas Movimentadas OUT</c:v>
                </c:pt>
              </c:strCache>
            </c:strRef>
          </c:tx>
          <c:spPr>
            <a:solidFill>
              <a:srgbClr val="A6A6A6"/>
            </a:solidFill>
            <a:ln>
              <a:noFill/>
            </a:ln>
          </c:spPr>
          <c:invertIfNegative val="0"/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calculos!$BA$12:$BA$42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</c:ser>
        <c:gapWidth val="60"/>
        <c:overlap val="-10"/>
        <c:axId val="101"/>
        <c:axId val="102"/>
      </c:barChart>
      <c:catAx>
        <c:axId val="1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BFBFBF"/>
            </a:solidFill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2"/>
        <c:crosses val="autoZero"/>
        <c:auto val="1"/>
        <c:lblAlgn val="ctr"/>
        <c:lblOffset val="100"/>
        <c:tickLblSkip val="1"/>
        <c:noMultiLvlLbl val="0"/>
      </c:catAx>
      <c:valAx>
        <c:axId val="102"/>
        <c:scaling>
          <c:orientation val="minMax"/>
          <c:min val="0"/>
        </c:scaling>
        <c:delete val="0"/>
        <c:axPos val="l"/>
        <c:majorGridlines>
          <c:spPr>
            <a:ln w="6350">
              <a:solidFill>
                <a:srgbClr val="E0E0E0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1"/>
        <c:crosses val="autoZero"/>
        <c:crossBetween val="between"/>
      </c:valAx>
      <c:spPr>
        <a:noFill/>
        <a:ln>
          <a:noFill/>
        </a:ln>
      </c:spPr>
    </c:plotArea>
    <c:legend>
      <c:legendPos val="t"/>
      <c:overlay val="0"/>
      <c:txPr>
        <a:bodyPr/>
        <a:lstStyle/>
        <a:p>
          <a:pPr>
            <a:defRPr sz="900" b="0">
              <a:solidFill>
                <a:srgbClr val="404040"/>
              </a:solidFill>
              <a:latin typeface="Calibri"/>
            </a:defRPr>
          </a:pPr>
          <a:endParaRPr lang="pt-BR"/>
        </a:p>
      </c:txPr>
    </c:legend>
    <c:plotVisOnly val="1"/>
    <c:dispBlanksAs val="gap"/>
  </c:chart>
  <c:spPr>
    <a:solidFill>
      <a:srgbClr val="F2F2F2"/>
    </a:solidFill>
    <a:ln>
      <a:noFill/>
    </a:ln>
  </c:spPr>
  <c:txPr>
    <a:bodyPr/>
    <a:lstStyle/>
    <a:p>
      <a:pPr>
        <a:defRPr sz="900" b="0">
          <a:solidFill>
            <a:srgbClr val="595959"/>
          </a:solidFill>
          <a:latin typeface="Calibri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c:chart>
    <c:title>
      <c:tx>
        <c:strRef>
          <c:f>calculos!$AQ$16</c:f>
          <c:strCache>
            <c:ptCount val="1"/>
            <c:pt idx="0">
              <c:v>ACUMULADO SEMANAL PALETES — TODOS OS CLIENTES</c:v>
            </c:pt>
          </c:strCache>
        </c:strRef>
      </c:tx>
      <c:overlay val="0"/>
      <c:txPr>
        <a:bodyPr/>
        <a:lstStyle/>
        <a:p>
          <a:pPr>
            <a:defRPr sz="1100" b="1">
              <a:solidFill>
                <a:srgbClr val="404040"/>
              </a:solidFill>
              <a:latin typeface="Calibri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calculos!$AN$310</c:f>
              <c:strCache>
                <c:ptCount val="1"/>
                <c:pt idx="0">
                  <c:v>Pallets Movimentados IN</c:v>
                </c:pt>
              </c:strCache>
            </c:strRef>
          </c:tx>
          <c:spPr>
            <a:solidFill>
              <a:srgbClr val="E01E1E"/>
            </a:solidFill>
            <a:ln>
              <a:noFill/>
            </a:ln>
          </c:spPr>
          <c:invertIfNegative val="0"/>
          <c:dLbls>
            <c:numFmt formatCode="[&gt;=100]#,##0;[&gt;0]#,##0.0;;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1000" b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calculos!$A$80:$A$84</c:f>
              <c:strCache>
                <c:ptCount val="5"/>
                <c:pt idx="0">
                  <c:v>Sem 1 (01–07)</c:v>
                </c:pt>
                <c:pt idx="1">
                  <c:v>Sem 2 (08–14)</c:v>
                </c:pt>
                <c:pt idx="2">
                  <c:v>Sem 3 (15–21)</c:v>
                </c:pt>
                <c:pt idx="3">
                  <c:v>Sem 4 (22–28)</c:v>
                </c:pt>
                <c:pt idx="4">
                  <c:v>Sem 5 (29–fim)</c:v>
                </c:pt>
              </c:strCache>
            </c:strRef>
          </c:cat>
          <c:val>
            <c:numRef>
              <c:f>calculos!$AX$80:$AX$84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ser>
          <c:idx val="1"/>
          <c:order val="1"/>
          <c:tx>
            <c:strRef>
              <c:f>calculos!$AO$310</c:f>
              <c:strCache>
                <c:ptCount val="1"/>
                <c:pt idx="0">
                  <c:v>Pallets Movimentados OUT</c:v>
                </c:pt>
              </c:strCache>
            </c:strRef>
          </c:tx>
          <c:spPr>
            <a:solidFill>
              <a:srgbClr val="A6A6A6"/>
            </a:solidFill>
            <a:ln>
              <a:noFill/>
            </a:ln>
          </c:spPr>
          <c:invertIfNegative val="0"/>
          <c:dLbls>
            <c:numFmt formatCode="[&gt;=100]#,##0;[&gt;0]#,##0.0;;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1000" b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calculos!$A$80:$A$84</c:f>
              <c:strCache>
                <c:ptCount val="5"/>
                <c:pt idx="0">
                  <c:v>Sem 1 (01–07)</c:v>
                </c:pt>
                <c:pt idx="1">
                  <c:v>Sem 2 (08–14)</c:v>
                </c:pt>
                <c:pt idx="2">
                  <c:v>Sem 3 (15–21)</c:v>
                </c:pt>
                <c:pt idx="3">
                  <c:v>Sem 4 (22–28)</c:v>
                </c:pt>
                <c:pt idx="4">
                  <c:v>Sem 5 (29–fim)</c:v>
                </c:pt>
              </c:strCache>
            </c:strRef>
          </c:cat>
          <c:val>
            <c:numRef>
              <c:f>calculos!$AY$80:$AY$84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gapWidth val="70"/>
        <c:overlap val="-10"/>
        <c:axId val="101"/>
        <c:axId val="102"/>
      </c:barChart>
      <c:catAx>
        <c:axId val="1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BFBFBF"/>
            </a:solidFill>
          </a:ln>
        </c:spPr>
        <c:txPr>
          <a:bodyPr/>
          <a:lstStyle/>
          <a:p>
            <a:pPr>
              <a:defRPr sz="9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2"/>
        <c:crosses val="autoZero"/>
        <c:auto val="1"/>
        <c:lblAlgn val="ctr"/>
        <c:lblOffset val="100"/>
        <c:tickLblSkip val="1"/>
        <c:noMultiLvlLbl val="0"/>
      </c:catAx>
      <c:valAx>
        <c:axId val="102"/>
        <c:scaling>
          <c:orientation val="minMax"/>
          <c:min val="0"/>
        </c:scaling>
        <c:delete val="1"/>
        <c:axPos val="l"/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1"/>
        <c:crosses val="autoZero"/>
        <c:crossBetween val="between"/>
      </c:valAx>
      <c:spPr>
        <a:noFill/>
        <a:ln>
          <a:noFill/>
        </a:ln>
      </c:spPr>
    </c:plotArea>
    <c:legend>
      <c:legendPos val="t"/>
      <c:overlay val="0"/>
      <c:txPr>
        <a:bodyPr/>
        <a:lstStyle/>
        <a:p>
          <a:pPr>
            <a:defRPr sz="900" b="0">
              <a:solidFill>
                <a:srgbClr val="404040"/>
              </a:solidFill>
              <a:latin typeface="Calibri"/>
            </a:defRPr>
          </a:pPr>
          <a:endParaRPr lang="pt-BR"/>
        </a:p>
      </c:txPr>
    </c:legend>
    <c:plotVisOnly val="1"/>
    <c:dispBlanksAs val="gap"/>
  </c:chart>
  <c:spPr>
    <a:solidFill>
      <a:srgbClr val="F2F2F2"/>
    </a:solidFill>
    <a:ln>
      <a:noFill/>
    </a:ln>
  </c:spPr>
  <c:txPr>
    <a:bodyPr/>
    <a:lstStyle/>
    <a:p>
      <a:pPr>
        <a:defRPr sz="900" b="0">
          <a:solidFill>
            <a:srgbClr val="595959"/>
          </a:solidFill>
          <a:latin typeface="Calibri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c:chart>
    <c:title>
      <c:tx>
        <c:strRef>
          <c:f>calculos!$AQ$17</c:f>
          <c:strCache>
            <c:ptCount val="1"/>
            <c:pt idx="0">
              <c:v>ACUMULADO SEMANAL TONS — TODOS OS CLIENTES</c:v>
            </c:pt>
          </c:strCache>
        </c:strRef>
      </c:tx>
      <c:overlay val="0"/>
      <c:txPr>
        <a:bodyPr/>
        <a:lstStyle/>
        <a:p>
          <a:pPr>
            <a:defRPr sz="1100" b="1">
              <a:solidFill>
                <a:srgbClr val="404040"/>
              </a:solidFill>
              <a:latin typeface="Calibri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calculos!$AV$310</c:f>
              <c:strCache>
                <c:ptCount val="1"/>
                <c:pt idx="0">
                  <c:v>Toneladas Movimentadas IN</c:v>
                </c:pt>
              </c:strCache>
            </c:strRef>
          </c:tx>
          <c:spPr>
            <a:solidFill>
              <a:srgbClr val="E01E1E"/>
            </a:solidFill>
            <a:ln>
              <a:noFill/>
            </a:ln>
          </c:spPr>
          <c:invertIfNegative val="0"/>
          <c:dLbls>
            <c:numFmt formatCode="[&gt;=100]#,##0;[&gt;0]#,##0.0;;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1000" b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calculos!$A$80:$A$84</c:f>
              <c:strCache>
                <c:ptCount val="5"/>
                <c:pt idx="0">
                  <c:v>Sem 1 (01–07)</c:v>
                </c:pt>
                <c:pt idx="1">
                  <c:v>Sem 2 (08–14)</c:v>
                </c:pt>
                <c:pt idx="2">
                  <c:v>Sem 3 (15–21)</c:v>
                </c:pt>
                <c:pt idx="3">
                  <c:v>Sem 4 (22–28)</c:v>
                </c:pt>
                <c:pt idx="4">
                  <c:v>Sem 5 (29–fim)</c:v>
                </c:pt>
              </c:strCache>
            </c:strRef>
          </c:cat>
          <c:val>
            <c:numRef>
              <c:f>calculos!$AZ$80:$AZ$84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ser>
          <c:idx val="1"/>
          <c:order val="1"/>
          <c:tx>
            <c:strRef>
              <c:f>calculos!$AW$310</c:f>
              <c:strCache>
                <c:ptCount val="1"/>
                <c:pt idx="0">
                  <c:v>Toneladas Movimentadas OUT</c:v>
                </c:pt>
              </c:strCache>
            </c:strRef>
          </c:tx>
          <c:spPr>
            <a:solidFill>
              <a:srgbClr val="A6A6A6"/>
            </a:solidFill>
            <a:ln>
              <a:noFill/>
            </a:ln>
          </c:spPr>
          <c:invertIfNegative val="0"/>
          <c:dLbls>
            <c:numFmt formatCode="[&gt;=100]#,##0;[&gt;0]#,##0.0;;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1000" b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calculos!$A$80:$A$84</c:f>
              <c:strCache>
                <c:ptCount val="5"/>
                <c:pt idx="0">
                  <c:v>Sem 1 (01–07)</c:v>
                </c:pt>
                <c:pt idx="1">
                  <c:v>Sem 2 (08–14)</c:v>
                </c:pt>
                <c:pt idx="2">
                  <c:v>Sem 3 (15–21)</c:v>
                </c:pt>
                <c:pt idx="3">
                  <c:v>Sem 4 (22–28)</c:v>
                </c:pt>
                <c:pt idx="4">
                  <c:v>Sem 5 (29–fim)</c:v>
                </c:pt>
              </c:strCache>
            </c:strRef>
          </c:cat>
          <c:val>
            <c:numRef>
              <c:f>calculos!$BA$80:$BA$84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gapWidth val="70"/>
        <c:overlap val="-10"/>
        <c:axId val="101"/>
        <c:axId val="102"/>
      </c:barChart>
      <c:catAx>
        <c:axId val="1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BFBFBF"/>
            </a:solidFill>
          </a:ln>
        </c:spPr>
        <c:txPr>
          <a:bodyPr/>
          <a:lstStyle/>
          <a:p>
            <a:pPr>
              <a:defRPr sz="9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2"/>
        <c:crosses val="autoZero"/>
        <c:auto val="1"/>
        <c:lblAlgn val="ctr"/>
        <c:lblOffset val="100"/>
        <c:tickLblSkip val="1"/>
        <c:noMultiLvlLbl val="0"/>
      </c:catAx>
      <c:valAx>
        <c:axId val="102"/>
        <c:scaling>
          <c:orientation val="minMax"/>
          <c:min val="0"/>
        </c:scaling>
        <c:delete val="1"/>
        <c:axPos val="l"/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1"/>
        <c:crosses val="autoZero"/>
        <c:crossBetween val="between"/>
      </c:valAx>
      <c:spPr>
        <a:noFill/>
        <a:ln>
          <a:noFill/>
        </a:ln>
      </c:spPr>
    </c:plotArea>
    <c:legend>
      <c:legendPos val="t"/>
      <c:overlay val="0"/>
      <c:txPr>
        <a:bodyPr/>
        <a:lstStyle/>
        <a:p>
          <a:pPr>
            <a:defRPr sz="900" b="0">
              <a:solidFill>
                <a:srgbClr val="404040"/>
              </a:solidFill>
              <a:latin typeface="Calibri"/>
            </a:defRPr>
          </a:pPr>
          <a:endParaRPr lang="pt-BR"/>
        </a:p>
      </c:txPr>
    </c:legend>
    <c:plotVisOnly val="1"/>
    <c:dispBlanksAs val="gap"/>
  </c:chart>
  <c:spPr>
    <a:solidFill>
      <a:srgbClr val="F2F2F2"/>
    </a:solidFill>
    <a:ln>
      <a:noFill/>
    </a:ln>
  </c:spPr>
  <c:txPr>
    <a:bodyPr/>
    <a:lstStyle/>
    <a:p>
      <a:pPr>
        <a:defRPr sz="900" b="0">
          <a:solidFill>
            <a:srgbClr val="595959"/>
          </a:solidFill>
          <a:latin typeface="Calibri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chart" Target="../charts/chart1.xml"/><Relationship Id="rId8" Type="http://schemas.openxmlformats.org/officeDocument/2006/relationships/chart" Target="../charts/chart2.xml"/><Relationship Id="rId9" Type="http://schemas.openxmlformats.org/officeDocument/2006/relationships/chart" Target="../charts/chart3.xml"/><Relationship Id="rId10" Type="http://schemas.openxmlformats.org/officeDocument/2006/relationships/chart" Target="../charts/chart4.xml"/><Relationship Id="rId11" Type="http://schemas.openxmlformats.org/officeDocument/2006/relationships/chart" Target="../charts/chart5.xml"/><Relationship Id="rId12" Type="http://schemas.openxmlformats.org/officeDocument/2006/relationships/chart" Target="../charts/chart6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1</xdr:col>
      <xdr:colOff>19050</xdr:colOff>
      <xdr:row>0</xdr:row>
      <xdr:rowOff>47625</xdr:rowOff>
    </xdr:from>
    <xdr:ext cx="1152525" cy="323850"/>
    <xdr:pic>
      <xdr:nvPicPr>
        <xdr:cNvPr id="2" name="Imagem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1152525" cy="323850"/>
        </a:xfrm>
        <a:prstGeom prst="rect">
          <a:avLst/>
        </a:prstGeom>
      </xdr:spPr>
    </xdr:pic>
    <xdr:clientData/>
  </xdr:oneCellAnchor>
  <xdr:oneCellAnchor>
    <xdr:from>
      <xdr:col>1</xdr:col>
      <xdr:colOff>104775</xdr:colOff>
      <xdr:row>5</xdr:row>
      <xdr:rowOff>104775</xdr:rowOff>
    </xdr:from>
    <xdr:ext cx="514350" cy="381000"/>
    <xdr:pic>
      <xdr:nvPicPr>
        <xdr:cNvPr id="3" name="Imagem 3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0" y="0"/>
          <a:ext cx="514350" cy="381000"/>
        </a:xfrm>
        <a:prstGeom prst="rect">
          <a:avLst/>
        </a:prstGeom>
      </xdr:spPr>
    </xdr:pic>
    <xdr:clientData/>
  </xdr:oneCellAnchor>
  <xdr:oneCellAnchor>
    <xdr:from>
      <xdr:col>6</xdr:col>
      <xdr:colOff>142875</xdr:colOff>
      <xdr:row>5</xdr:row>
      <xdr:rowOff>104775</xdr:rowOff>
    </xdr:from>
    <xdr:ext cx="438150" cy="381000"/>
    <xdr:pic>
      <xdr:nvPicPr>
        <xdr:cNvPr id="4" name="Imagem 4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0" y="0"/>
          <a:ext cx="438150" cy="381000"/>
        </a:xfrm>
        <a:prstGeom prst="rect">
          <a:avLst/>
        </a:prstGeom>
      </xdr:spPr>
    </xdr:pic>
    <xdr:clientData/>
  </xdr:oneCellAnchor>
  <xdr:oneCellAnchor>
    <xdr:from>
      <xdr:col>11</xdr:col>
      <xdr:colOff>142875</xdr:colOff>
      <xdr:row>5</xdr:row>
      <xdr:rowOff>104775</xdr:rowOff>
    </xdr:from>
    <xdr:ext cx="438150" cy="381000"/>
    <xdr:pic>
      <xdr:nvPicPr>
        <xdr:cNvPr id="5" name="Imagem 5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0" y="0"/>
          <a:ext cx="438150" cy="381000"/>
        </a:xfrm>
        <a:prstGeom prst="rect">
          <a:avLst/>
        </a:prstGeom>
      </xdr:spPr>
    </xdr:pic>
    <xdr:clientData/>
  </xdr:oneCellAnchor>
  <xdr:oneCellAnchor>
    <xdr:from>
      <xdr:col>16</xdr:col>
      <xdr:colOff>104775</xdr:colOff>
      <xdr:row>5</xdr:row>
      <xdr:rowOff>104775</xdr:rowOff>
    </xdr:from>
    <xdr:ext cx="504825" cy="381000"/>
    <xdr:pic>
      <xdr:nvPicPr>
        <xdr:cNvPr id="6" name="Imagem 6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0" y="0"/>
          <a:ext cx="504825" cy="381000"/>
        </a:xfrm>
        <a:prstGeom prst="rect">
          <a:avLst/>
        </a:prstGeom>
      </xdr:spPr>
    </xdr:pic>
    <xdr:clientData/>
  </xdr:oneCellAnchor>
  <xdr:oneCellAnchor>
    <xdr:from>
      <xdr:col>21</xdr:col>
      <xdr:colOff>171450</xdr:colOff>
      <xdr:row>5</xdr:row>
      <xdr:rowOff>104775</xdr:rowOff>
    </xdr:from>
    <xdr:ext cx="381000" cy="381000"/>
    <xdr:pic>
      <xdr:nvPicPr>
        <xdr:cNvPr id="7" name="Imagem 7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0" y="0"/>
          <a:ext cx="381000" cy="381000"/>
        </a:xfrm>
        <a:prstGeom prst="rect">
          <a:avLst/>
        </a:prstGeom>
      </xdr:spPr>
    </xdr:pic>
    <xdr:clientData/>
  </xdr:oneCellAnchor>
  <xdr:twoCellAnchor editAs="oneCell">
    <xdr:from>
      <xdr:col>1</xdr:col>
      <xdr:colOff>0</xdr:colOff>
      <xdr:row>14</xdr:row>
      <xdr:rowOff>0</xdr:rowOff>
    </xdr:from>
    <xdr:to>
      <xdr:col>13</xdr:col>
      <xdr:colOff>0</xdr:colOff>
      <xdr:row>30</xdr:row>
      <xdr:rowOff>0</xdr:rowOff>
    </xdr:to>
    <xdr:graphicFrame macro="">
      <xdr:nvGraphicFramePr>
        <xdr:cNvPr id="8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7"/>
        </a:graphicData>
      </a:graphic>
    </xdr:graphicFrame>
    <xdr:clientData/>
  </xdr:twoCellAnchor>
  <xdr:twoCellAnchor editAs="oneCell">
    <xdr:from>
      <xdr:col>14</xdr:col>
      <xdr:colOff>0</xdr:colOff>
      <xdr:row>14</xdr:row>
      <xdr:rowOff>0</xdr:rowOff>
    </xdr:from>
    <xdr:to>
      <xdr:col>25</xdr:col>
      <xdr:colOff>0</xdr:colOff>
      <xdr:row>30</xdr:row>
      <xdr:rowOff>0</xdr:rowOff>
    </xdr:to>
    <xdr:graphicFrame macro="">
      <xdr:nvGraphicFramePr>
        <xdr:cNvPr id="9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8"/>
        </a:graphicData>
      </a:graphic>
    </xdr:graphicFrame>
    <xdr:clientData/>
  </xdr:twoCellAnchor>
  <xdr:twoCellAnchor editAs="oneCell">
    <xdr:from>
      <xdr:col>1</xdr:col>
      <xdr:colOff>0</xdr:colOff>
      <xdr:row>31</xdr:row>
      <xdr:rowOff>0</xdr:rowOff>
    </xdr:from>
    <xdr:to>
      <xdr:col>13</xdr:col>
      <xdr:colOff>0</xdr:colOff>
      <xdr:row>47</xdr:row>
      <xdr:rowOff>0</xdr:rowOff>
    </xdr:to>
    <xdr:graphicFrame macro="">
      <xdr:nvGraphicFramePr>
        <xdr:cNvPr id="10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9"/>
        </a:graphicData>
      </a:graphic>
    </xdr:graphicFrame>
    <xdr:clientData/>
  </xdr:twoCellAnchor>
  <xdr:twoCellAnchor editAs="oneCell">
    <xdr:from>
      <xdr:col>14</xdr:col>
      <xdr:colOff>0</xdr:colOff>
      <xdr:row>31</xdr:row>
      <xdr:rowOff>0</xdr:rowOff>
    </xdr:from>
    <xdr:to>
      <xdr:col>25</xdr:col>
      <xdr:colOff>0</xdr:colOff>
      <xdr:row>47</xdr:row>
      <xdr:rowOff>0</xdr:rowOff>
    </xdr:to>
    <xdr:graphicFrame macro="">
      <xdr:nvGraphicFramePr>
        <xdr:cNvPr id="11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10"/>
        </a:graphicData>
      </a:graphic>
    </xdr:graphicFrame>
    <xdr:clientData/>
  </xdr:twoCellAnchor>
  <xdr:twoCellAnchor editAs="oneCell">
    <xdr:from>
      <xdr:col>1</xdr:col>
      <xdr:colOff>0</xdr:colOff>
      <xdr:row>48</xdr:row>
      <xdr:rowOff>0</xdr:rowOff>
    </xdr:from>
    <xdr:to>
      <xdr:col>13</xdr:col>
      <xdr:colOff>0</xdr:colOff>
      <xdr:row>64</xdr:row>
      <xdr:rowOff>0</xdr:rowOff>
    </xdr:to>
    <xdr:graphicFrame macro="">
      <xdr:nvGraphicFramePr>
        <xdr:cNvPr id="12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11"/>
        </a:graphicData>
      </a:graphic>
    </xdr:graphicFrame>
    <xdr:clientData/>
  </xdr:twoCellAnchor>
  <xdr:twoCellAnchor editAs="oneCell">
    <xdr:from>
      <xdr:col>14</xdr:col>
      <xdr:colOff>0</xdr:colOff>
      <xdr:row>48</xdr:row>
      <xdr:rowOff>0</xdr:rowOff>
    </xdr:from>
    <xdr:to>
      <xdr:col>25</xdr:col>
      <xdr:colOff>0</xdr:colOff>
      <xdr:row>64</xdr:row>
      <xdr:rowOff>0</xdr:rowOff>
    </xdr:to>
    <xdr:graphicFrame macro="">
      <xdr:nvGraphicFramePr>
        <xdr:cNvPr id="13" name="Gráfico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1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0</xdr:col>
      <xdr:colOff>76200</xdr:colOff>
      <xdr:row>0</xdr:row>
      <xdr:rowOff>47625</xdr:rowOff>
    </xdr:from>
    <xdr:ext cx="1152525" cy="323850"/>
    <xdr:pic>
      <xdr:nvPicPr>
        <xdr:cNvPr id="2" name="Imagem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1152525" cy="323850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1</xdr:col>
      <xdr:colOff>19050</xdr:colOff>
      <xdr:row>0</xdr:row>
      <xdr:rowOff>47625</xdr:rowOff>
    </xdr:from>
    <xdr:ext cx="1152525" cy="323850"/>
    <xdr:pic>
      <xdr:nvPicPr>
        <xdr:cNvPr id="2" name="Imagem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1152525" cy="323850"/>
        </a:xfrm>
        <a:prstGeom prst="rect">
          <a:avLst/>
        </a:prstGeom>
      </xdr:spPr>
    </xdr:pic>
    <xdr:clientData/>
  </xdr:oneCellAnchor>
</xdr:wsDr>
</file>

<file path=xl/tables/table1.xml><?xml version="1.0" encoding="utf-8"?>
<table xmlns="http://schemas.openxmlformats.org/spreadsheetml/2006/main" id="1" name="tbBase" displayName="tbBase" ref="A2:V3" totalsRowShown="0">
  <autoFilter ref="A2:V3"/>
  <tableColumns count="22">
    <tableColumn id="1" name="Data"/>
    <tableColumn id="2" name="Cliente"/>
    <tableColumn id="3" name="IN Veículos Recebidos"/>
    <tableColumn id="4" name="IN Pallets Movimentados"/>
    <tableColumn id="5" name="IN Toneladas Movimentadas"/>
    <tableColumn id="6" name="OUT Veículos Expedidos"/>
    <tableColumn id="7" name="OUT Pallets Movimentados"/>
    <tableColumn id="8" name="OUT Toneladas Movimentadas"/>
    <tableColumn id="9" name="NC Incidentes"/>
    <tableColumn id="10" name="NC No show"/>
    <tableColumn id="11" name="NC Backlog"/>
    <tableColumn id="12" name="Posições Disponíveis"/>
    <tableColumn id="13" name="Posições Ocupadas"/>
    <tableColumn id="14" name="Efetivo Op."/>
    <tableColumn id="15" name="Falta"/>
    <tableColumn id="16" name="Folga"/>
    <tableColumn id="17" name="Férias"/>
    <tableColumn id="18" name="Desligamento"/>
    <tableColumn id="19" name="Desvios Comportamentais"/>
    <tableColumn id="20" name="Acidentes CAF"/>
    <tableColumn id="21" name="Acidentes SAF"/>
    <tableColumn id="22" name="Modalidade"/>
  </tableColumns>
  <tableStyleInfo name="TableStyleLight1" showFirstColumn="0" showLastColumn="0" showRowStripes="1" showColumnStripes="0"/>
</tabl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
<Relationships xmlns="http://schemas.openxmlformats.org/package/2006/relationships"><Relationship Id="rIdT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E01E1E"/>
    <pageSetUpPr fitToPage="1"/>
  </sheetPr>
  <dimension ref="A1:Z65"/>
  <sheetViews>
    <sheetView showGridLines="0" tabSelected="1" zoomScale="90" zoomScaleNormal="90" workbookViewId="0"/>
  </sheetViews>
  <sheetFormatPr defaultRowHeight="15"/>
  <cols>
    <col min="1" max="1" width="1.5" customWidth="1"/>
    <col min="2" max="2" width="10" customWidth="1"/>
    <col min="3" max="3" width="10" customWidth="1"/>
    <col min="4" max="4" width="10" customWidth="1"/>
    <col min="5" max="5" width="10" customWidth="1"/>
    <col min="6" max="6" width="1.8" customWidth="1"/>
    <col min="7" max="7" width="10" customWidth="1"/>
    <col min="8" max="8" width="10" customWidth="1"/>
    <col min="9" max="9" width="10" customWidth="1"/>
    <col min="10" max="10" width="10" customWidth="1"/>
    <col min="11" max="11" width="1.8" customWidth="1"/>
    <col min="12" max="12" width="10" customWidth="1"/>
    <col min="13" max="13" width="10" customWidth="1"/>
    <col min="14" max="14" width="10" customWidth="1"/>
    <col min="15" max="15" width="10" customWidth="1"/>
    <col min="16" max="16" width="1.8" customWidth="1"/>
    <col min="17" max="17" width="10" customWidth="1"/>
    <col min="18" max="18" width="10" customWidth="1"/>
    <col min="19" max="19" width="10" customWidth="1"/>
    <col min="20" max="20" width="10" customWidth="1"/>
    <col min="21" max="21" width="1.8" customWidth="1"/>
    <col min="22" max="22" width="10" customWidth="1"/>
    <col min="23" max="23" width="10" customWidth="1"/>
    <col min="24" max="24" width="10" customWidth="1"/>
    <col min="25" max="25" width="10" customWidth="1"/>
    <col min="26" max="26" width="1.5" customWidth="1"/>
  </cols>
  <sheetData>
    <row r="1" ht="34.5" customHeight="1">
      <c r="A1" s="97"/>
      <c r="B1" s="97"/>
      <c r="C1" s="97"/>
      <c r="D1" s="97"/>
      <c r="E1" s="97"/>
      <c r="F1" s="97"/>
      <c r="G1" s="99" t="inlineStr">
        <is>
          <t xml:space="preserve">DASHBOARD · INDICADORES OPERACIONAIS</t>
        </is>
      </c>
      <c r="H1" s="99"/>
      <c r="I1" s="99"/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  <c r="U1" s="99"/>
      <c r="V1" s="99"/>
      <c r="W1" s="99"/>
      <c r="X1" s="99"/>
      <c r="Y1" s="99"/>
      <c r="Z1" s="99"/>
    </row>
    <row r="3" ht="26" customHeight="1">
      <c r="B3" s="100" t="inlineStr">
        <is>
          <t xml:space="preserve">CLIENTE  ▸</t>
        </is>
      </c>
      <c r="C3" s="100"/>
      <c r="D3" s="101" t="inlineStr">
        <is>
          <t xml:space="preserve">Todos</t>
        </is>
      </c>
      <c r="E3" s="102"/>
      <c r="F3" s="102"/>
      <c r="G3" s="102"/>
      <c r="H3" s="102"/>
      <c r="I3" s="103"/>
      <c r="L3" s="100" t="inlineStr">
        <is>
          <t xml:space="preserve">PERÍODO  ▸</t>
        </is>
      </c>
      <c r="M3" s="100"/>
      <c r="N3" s="100"/>
      <c r="O3" s="100"/>
      <c r="Q3" s="104">
        <v>46296</v>
      </c>
      <c r="R3" s="105"/>
      <c r="S3" s="106"/>
      <c r="T3" s="107" t="inlineStr">
        <is>
          <t xml:space="preserve">até</t>
        </is>
      </c>
      <c r="V3" s="104">
        <v>46326</v>
      </c>
      <c r="W3" s="105"/>
      <c r="X3" s="106"/>
    </row>
    <row r="4" ht="16" customHeight="1">
      <c r="B4" s="108" t="str">
        <f>"Período "&amp;TEXT(calculos!$F$7,"dd/mm")&amp;"/"&amp;YEAR(calculos!$F$7)&amp;" a "&amp;TEXT(calculos!$G$7,"dd/mm")&amp;"/"&amp;YEAR(calculos!$G$7)&amp;"   ·   ▲▼ comparado a "&amp;TEXT(calculos!$F$8,"dd/mm")&amp;"–"&amp;TEXT(calculos!$G$8,"dd/mm")&amp;" (mesmo número de dias)   ·   gráficos diários: "&amp;calculos!$B$7</f>
        <v>Período 01/10/2026 a 31/10/2026   ·   ▲▼ comparado a 31/08–30/09 (mesmo número de dias)   ·   gráficos diários: Outubro/2026</v>
      </c>
      <c r="C4" s="108"/>
      <c r="D4" s="108"/>
      <c r="E4" s="108"/>
      <c r="F4" s="108"/>
      <c r="G4" s="108"/>
      <c r="H4" s="108"/>
      <c r="I4" s="108"/>
      <c r="J4" s="108"/>
      <c r="K4" s="108"/>
      <c r="L4" s="108"/>
      <c r="M4" s="108"/>
      <c r="N4" s="108"/>
      <c r="O4" s="108"/>
      <c r="P4" s="108"/>
      <c r="Q4" s="108"/>
      <c r="R4" s="108"/>
      <c r="S4" s="108"/>
      <c r="T4" s="108"/>
      <c r="U4" s="108"/>
      <c r="V4" s="108"/>
      <c r="W4" s="108"/>
      <c r="X4" s="108"/>
      <c r="Y4" s="108"/>
    </row>
    <row r="6" ht="46" customHeight="1">
      <c r="B6" s="115"/>
      <c r="C6" s="116" t="str">
        <f>Config!$D$60&amp;""</f>
        <v>RECEBIMENTO (IN)</v>
      </c>
      <c r="D6" s="116"/>
      <c r="E6" s="116"/>
      <c r="G6" s="121"/>
      <c r="H6" s="122" t="str">
        <f>Config!$D$62&amp;""</f>
        <v>EXPEDIÇÃO (OUT)</v>
      </c>
      <c r="I6" s="122"/>
      <c r="J6" s="122"/>
      <c r="L6" s="123"/>
      <c r="M6" s="124" t="str">
        <f>Config!$D$64&amp;""</f>
        <v>NC OPERACIONAL</v>
      </c>
      <c r="N6" s="124"/>
      <c r="O6" s="124"/>
      <c r="Q6" s="115"/>
      <c r="R6" s="116" t="str">
        <f>Config!$D$68&amp;""</f>
        <v>ÍNDICE DE OCUPAÇÃO (P.P)</v>
      </c>
      <c r="S6" s="116"/>
      <c r="T6" s="116"/>
      <c r="V6" s="133"/>
      <c r="W6" s="134" t="str">
        <f>Config!$D$74&amp;""</f>
        <v>GENTE</v>
      </c>
      <c r="X6" s="134"/>
      <c r="Y6" s="134"/>
    </row>
    <row r="7" ht="20" customHeight="1">
      <c r="B7" s="117">
        <f>IF(calculos!$AX$310="Não se aplica","—",calculos!$B$281)</f>
        <v>0</v>
      </c>
      <c r="C7" s="117"/>
      <c r="D7" s="117"/>
      <c r="E7" s="117"/>
      <c r="G7" s="117">
        <f>IF(calculos!$AY$310="Não se aplica","—",calculos!$B$284)</f>
        <v>0</v>
      </c>
      <c r="H7" s="117"/>
      <c r="I7" s="117"/>
      <c r="J7" s="117"/>
      <c r="L7" s="117">
        <f>calculos!$B$287</f>
        <v>0</v>
      </c>
      <c r="M7" s="117"/>
      <c r="N7" s="117"/>
      <c r="O7" s="117"/>
      <c r="Q7" s="125" t="str">
        <f>IF(OR(calculos!$AZ$310="Completo",calculos!$AZ$310=""),calculos!$BA$310&amp;"","")</f>
        <v>ARMAZÉM</v>
      </c>
      <c r="R7" s="125"/>
      <c r="S7" s="129" t="str">
        <f>IF(OR(calculos!$AZ$310="Completo",calculos!$AZ$310=""),calculos!$B$291,"")</f>
        <v/>
      </c>
      <c r="T7" s="129"/>
      <c r="V7" s="125" t="str">
        <f>Config!$D$75&amp;""</f>
        <v>EFETIVO</v>
      </c>
      <c r="W7" s="125"/>
      <c r="X7" s="126" t="str">
        <f>calculos!$B$294</f>
        <v/>
      </c>
      <c r="Y7" s="126"/>
    </row>
    <row r="8" ht="20" customHeight="1">
      <c r="B8" s="117"/>
      <c r="C8" s="117"/>
      <c r="D8" s="117"/>
      <c r="E8" s="117"/>
      <c r="G8" s="117"/>
      <c r="H8" s="117"/>
      <c r="I8" s="117"/>
      <c r="J8" s="117"/>
      <c r="L8" s="117"/>
      <c r="M8" s="117"/>
      <c r="N8" s="117"/>
      <c r="O8" s="117"/>
      <c r="Q8" s="125" t="str">
        <f>IF(calculos!$AZ$310="Não se aplica","",Config!$D$71&amp;"")</f>
        <v>OCUPADA</v>
      </c>
      <c r="R8" s="125"/>
      <c r="S8" s="129" t="str">
        <f>IF(calculos!$AZ$310="Não se aplica","",calculos!$B$290)</f>
        <v/>
      </c>
      <c r="T8" s="129"/>
      <c r="V8" s="125" t="str">
        <f>Config!$D$76&amp;""</f>
        <v>ABSENTEÍSMO (H/H)</v>
      </c>
      <c r="W8" s="125"/>
      <c r="X8" s="130" t="str">
        <f>calculos!$B$297</f>
        <v/>
      </c>
      <c r="Y8" s="130"/>
    </row>
    <row r="9" ht="20" customHeight="1">
      <c r="B9" s="117"/>
      <c r="C9" s="117"/>
      <c r="D9" s="117"/>
      <c r="E9" s="117"/>
      <c r="G9" s="117"/>
      <c r="H9" s="117"/>
      <c r="I9" s="117"/>
      <c r="J9" s="117"/>
      <c r="L9" s="117"/>
      <c r="M9" s="117"/>
      <c r="N9" s="117"/>
      <c r="O9" s="117"/>
      <c r="Q9" s="125" t="str">
        <f>IF(OR(calculos!$AZ$310="Completo",calculos!$AZ$310=""),Config!$D$72&amp;"","")</f>
        <v>TX OCUPAÇÃO</v>
      </c>
      <c r="R9" s="125"/>
      <c r="S9" s="130" t="str">
        <f>IF(OR(calculos!$AZ$310="Completo",calculos!$AZ$310=""),calculos!$B$292,"")</f>
        <v/>
      </c>
      <c r="T9" s="130"/>
      <c r="V9" s="125" t="str">
        <f>Config!$D$77&amp;""</f>
        <v>FÉRIAS</v>
      </c>
      <c r="W9" s="125"/>
      <c r="X9" s="126">
        <f>calculos!$B$299</f>
        <v>0</v>
      </c>
      <c r="Y9" s="126"/>
    </row>
    <row r="10" ht="20" customHeight="1">
      <c r="B10" s="118" t="str">
        <f>IF(calculos!$AX$310="Não se aplica","não se aplica a este cliente",Config!$D$61&amp;"")</f>
        <v>veículos recebidos</v>
      </c>
      <c r="C10" s="118"/>
      <c r="D10" s="118"/>
      <c r="E10" s="118"/>
      <c r="G10" s="118" t="str">
        <f>IF(calculos!$AY$310="Não se aplica","não se aplica a este cliente",Config!$D$63&amp;"")</f>
        <v>veículos expedidos</v>
      </c>
      <c r="H10" s="118"/>
      <c r="I10" s="118"/>
      <c r="J10" s="118"/>
      <c r="L10" s="118" t="str">
        <f>Config!$D$65&amp;""</f>
        <v>incidentes no período</v>
      </c>
      <c r="M10" s="118"/>
      <c r="N10" s="118"/>
      <c r="O10" s="118"/>
      <c r="Q10" s="125" t="str">
        <f>IF(OR(calculos!$AZ$310="Completo",calculos!$AZ$310=""),Config!$D$73&amp;"","")</f>
        <v>OCIOSIDADE</v>
      </c>
      <c r="R10" s="125"/>
      <c r="S10" s="131" t="str">
        <f>IF(OR(calculos!$AZ$310="Completo",calculos!$AZ$310=""),calculos!$B$293,"")</f>
        <v/>
      </c>
      <c r="T10" s="131"/>
      <c r="V10" s="125" t="str">
        <f>Config!$D$78&amp;""</f>
        <v>TURNOVER</v>
      </c>
      <c r="W10" s="125"/>
      <c r="X10" s="130" t="str">
        <f>calculos!$B$301</f>
        <v/>
      </c>
      <c r="Y10" s="130"/>
    </row>
    <row r="11" ht="20" customHeight="1">
      <c r="B11" s="119" t="str">
        <f>IF(calculos!$AX$310="Não se aplica","",calculos!$B$308)</f>
        <v>0 pallets movimentados</v>
      </c>
      <c r="C11" s="119"/>
      <c r="D11" s="119"/>
      <c r="E11" s="119"/>
      <c r="G11" s="119" t="str">
        <f>IF(calculos!$AY$310="Não se aplica","",calculos!$F$308)</f>
        <v>0 pallets movimentados</v>
      </c>
      <c r="H11" s="119"/>
      <c r="I11" s="119"/>
      <c r="J11" s="119"/>
      <c r="L11" s="125" t="str">
        <f>Config!$D$66&amp;""</f>
        <v>NO SHOW</v>
      </c>
      <c r="M11" s="125"/>
      <c r="N11" s="126">
        <f>calculos!$B$288</f>
        <v>0</v>
      </c>
      <c r="O11" s="126"/>
      <c r="Q11" s="132" t="str">
        <f>IF(calculos!$AZ$310="Não se aplica","não se aplica a este cliente",IF(calculos!$AZ$310="Só ocupadas","só posições ocupadas · sem contrato (Spot / Cross)",IF(ISNUMBER(calculos!$B$292),"taxa de ocupação · "&amp;IF(calculos!$B$292&gt;1,"excede o contratado",IF(calculos!$B$292&gt;=calculos!$B$6,"ocupação alta",IF(calculos!$B$292&gt;=calculos!$B$5,"ocupação média","ociosidade alta"))),"")))</f>
        <v/>
      </c>
      <c r="R11" s="132"/>
      <c r="S11" s="132"/>
      <c r="T11" s="132"/>
      <c r="V11" s="125" t="str">
        <f>Config!$D$79&amp;""</f>
        <v>DESVIOS COMPORTAM.</v>
      </c>
      <c r="W11" s="125"/>
      <c r="X11" s="126">
        <f>calculos!$B$302</f>
        <v>0</v>
      </c>
      <c r="Y11" s="126"/>
    </row>
    <row r="12" ht="20" customHeight="1">
      <c r="B12" s="119" t="str">
        <f>IF(calculos!$AX$310="Não se aplica","",calculos!$D$308)</f>
        <v>0,0 t movimentadas</v>
      </c>
      <c r="C12" s="119"/>
      <c r="D12" s="119"/>
      <c r="E12" s="119"/>
      <c r="G12" s="119" t="str">
        <f>IF(calculos!$AY$310="Não se aplica","",calculos!$H$308)</f>
        <v>0,0 t movimentadas</v>
      </c>
      <c r="H12" s="119"/>
      <c r="I12" s="119"/>
      <c r="J12" s="119"/>
      <c r="L12" s="127" t="str">
        <f>Config!$D$67&amp;""</f>
        <v>BACKLOG</v>
      </c>
      <c r="M12" s="127"/>
      <c r="N12" s="128" t="str">
        <f>calculos!$B$289</f>
        <v/>
      </c>
      <c r="O12" s="128"/>
      <c r="Q12" s="132"/>
      <c r="R12" s="132"/>
      <c r="S12" s="132"/>
      <c r="T12" s="132"/>
      <c r="V12" s="127" t="str">
        <f>Config!$D$80&amp;""</f>
        <v>ACIDENTES (CAF/SAF)</v>
      </c>
      <c r="W12" s="127"/>
      <c r="X12" s="135" t="str">
        <f>N(calculos!$B$303)&amp;" / "&amp;N(calculos!$B$304)</f>
        <v>0 / 0</v>
      </c>
      <c r="Y12" s="135"/>
    </row>
    <row r="13" ht="18" customHeight="1">
      <c r="B13" s="120" t="str">
        <f>IF(calculos!$AX$310="Não se aplica","",calculos!$D$281)</f>
        <v/>
      </c>
      <c r="C13" s="120"/>
      <c r="D13" s="120"/>
      <c r="E13" s="120"/>
      <c r="G13" s="120" t="str">
        <f>IF(calculos!$AY$310="Não se aplica","",calculos!$D$284)</f>
        <v/>
      </c>
      <c r="H13" s="120"/>
      <c r="I13" s="120"/>
      <c r="J13" s="120"/>
      <c r="L13" s="120" t="str">
        <f>calculos!$D$287</f>
        <v/>
      </c>
      <c r="M13" s="120"/>
      <c r="N13" s="120"/>
      <c r="O13" s="120"/>
      <c r="Q13" s="120" t="str">
        <f>IF(AND(calculos!$AZ$310&lt;&gt;"Completo",calculos!$AZ$310&lt;&gt;""),"",calculos!$D$292)</f>
        <v/>
      </c>
      <c r="R13" s="120"/>
      <c r="S13" s="120"/>
      <c r="T13" s="120"/>
      <c r="V13" s="120" t="str">
        <f>calculos!$D$294</f>
        <v/>
      </c>
      <c r="W13" s="120"/>
      <c r="X13" s="120"/>
      <c r="Y13" s="120"/>
    </row>
    <row r="65">
      <c r="B65" s="136" t="inlineStr">
        <is>
          <t xml:space="preserve">Cards: período digitado (dia inicial e final). Gráficos: mês do dia inicial. Absenteísmo (H/H) = faltas ÷ homem-dia (soma do efetivo diário) · Turnover = desligamentos ÷ efetivo · CAF/SAF = acidentes com / sem afastamento. Metas: aba BD.</t>
        </is>
      </c>
      <c r="C65" s="136"/>
      <c r="D65" s="136"/>
      <c r="E65" s="136"/>
      <c r="F65" s="136"/>
      <c r="G65" s="136"/>
      <c r="H65" s="136"/>
      <c r="I65" s="136"/>
      <c r="J65" s="136"/>
      <c r="K65" s="136"/>
      <c r="L65" s="136"/>
      <c r="M65" s="136"/>
      <c r="N65" s="136"/>
      <c r="O65" s="136"/>
      <c r="P65" s="136"/>
      <c r="Q65" s="136"/>
      <c r="R65" s="136"/>
      <c r="S65" s="136"/>
      <c r="T65" s="136"/>
      <c r="U65" s="136"/>
      <c r="V65" s="136"/>
      <c r="W65" s="136"/>
      <c r="X65" s="136"/>
      <c r="Y65" s="136"/>
    </row>
  </sheetData>
  <sheetProtection password="CC30" sheet="1" objects="1" scenarios="1"/>
  <mergeCells count="53">
    <mergeCell ref="G1:Z1"/>
    <mergeCell ref="B3:C3"/>
    <mergeCell ref="D3:I3"/>
    <mergeCell ref="L3:O3"/>
    <mergeCell ref="Q3:S3"/>
    <mergeCell ref="V3:X3"/>
    <mergeCell ref="B4:Y4"/>
    <mergeCell ref="C6:E6"/>
    <mergeCell ref="B7:E9"/>
    <mergeCell ref="B10:E10"/>
    <mergeCell ref="B11:E11"/>
    <mergeCell ref="B12:E12"/>
    <mergeCell ref="B13:E13"/>
    <mergeCell ref="H6:J6"/>
    <mergeCell ref="G7:J9"/>
    <mergeCell ref="G10:J10"/>
    <mergeCell ref="G11:J11"/>
    <mergeCell ref="G12:J12"/>
    <mergeCell ref="G13:J13"/>
    <mergeCell ref="M6:O6"/>
    <mergeCell ref="L7:O9"/>
    <mergeCell ref="L10:O10"/>
    <mergeCell ref="L11:M11"/>
    <mergeCell ref="N11:O11"/>
    <mergeCell ref="L12:M12"/>
    <mergeCell ref="N12:O12"/>
    <mergeCell ref="L13:O13"/>
    <mergeCell ref="R6:T6"/>
    <mergeCell ref="Q7:R7"/>
    <mergeCell ref="S7:T7"/>
    <mergeCell ref="Q8:R8"/>
    <mergeCell ref="S8:T8"/>
    <mergeCell ref="Q9:R9"/>
    <mergeCell ref="S9:T9"/>
    <mergeCell ref="Q10:R10"/>
    <mergeCell ref="S10:T10"/>
    <mergeCell ref="Q11:T12"/>
    <mergeCell ref="Q13:T13"/>
    <mergeCell ref="W6:Y6"/>
    <mergeCell ref="V7:W7"/>
    <mergeCell ref="X7:Y7"/>
    <mergeCell ref="V8:W8"/>
    <mergeCell ref="X8:Y8"/>
    <mergeCell ref="V9:W9"/>
    <mergeCell ref="X9:Y9"/>
    <mergeCell ref="V10:W10"/>
    <mergeCell ref="X10:Y10"/>
    <mergeCell ref="V11:W11"/>
    <mergeCell ref="X11:Y11"/>
    <mergeCell ref="V12:W12"/>
    <mergeCell ref="X12:Y12"/>
    <mergeCell ref="V13:Y13"/>
    <mergeCell ref="B65:Y65"/>
  </mergeCells>
  <conditionalFormatting sqref="B13">
    <cfRule type="expression" dxfId="7" priority="1">
      <formula>AND(ISNUMBER(B13),B13&gt;0)</formula>
    </cfRule>
  </conditionalFormatting>
  <conditionalFormatting sqref="B13">
    <cfRule type="expression" dxfId="8" priority="2">
      <formula>AND(ISNUMBER(B13),B13&lt;0)</formula>
    </cfRule>
  </conditionalFormatting>
  <conditionalFormatting sqref="G13">
    <cfRule type="expression" dxfId="7" priority="3">
      <formula>AND(ISNUMBER(G13),G13&gt;0)</formula>
    </cfRule>
  </conditionalFormatting>
  <conditionalFormatting sqref="G13">
    <cfRule type="expression" dxfId="8" priority="4">
      <formula>AND(ISNUMBER(G13),G13&lt;0)</formula>
    </cfRule>
  </conditionalFormatting>
  <conditionalFormatting sqref="L13">
    <cfRule type="expression" dxfId="7" priority="5">
      <formula>AND(ISNUMBER(L13),L13&lt;0)</formula>
    </cfRule>
  </conditionalFormatting>
  <conditionalFormatting sqref="L13">
    <cfRule type="expression" dxfId="8" priority="6">
      <formula>AND(ISNUMBER(L13),L13&gt;0)</formula>
    </cfRule>
  </conditionalFormatting>
  <conditionalFormatting sqref="S9">
    <cfRule type="expression" dxfId="7" priority="7" stopIfTrue="1">
      <formula>AND(ISNUMBER(S9),S9&gt;=calculos!$B$6)</formula>
    </cfRule>
  </conditionalFormatting>
  <conditionalFormatting sqref="S9">
    <cfRule type="expression" dxfId="9" priority="8" stopIfTrue="1">
      <formula>AND(ISNUMBER(S9),S9&gt;=calculos!$B$5)</formula>
    </cfRule>
  </conditionalFormatting>
  <conditionalFormatting sqref="S9">
    <cfRule type="expression" dxfId="8" priority="9">
      <formula>ISNUMBER(S9)</formula>
    </cfRule>
  </conditionalFormatting>
  <conditionalFormatting sqref="X11">
    <cfRule type="expression" dxfId="8" priority="10" stopIfTrue="1">
      <formula>N(calculos!$B$302)&gt;0</formula>
    </cfRule>
  </conditionalFormatting>
  <conditionalFormatting sqref="X11">
    <cfRule type="expression" dxfId="7" priority="11">
      <formula>N(calculos!$B$302)=0</formula>
    </cfRule>
  </conditionalFormatting>
  <conditionalFormatting sqref="X12">
    <cfRule type="expression" dxfId="8" priority="12" stopIfTrue="1">
      <formula>N(calculos!$B$303)+N(calculos!$B$304)&gt;0</formula>
    </cfRule>
  </conditionalFormatting>
  <conditionalFormatting sqref="X12">
    <cfRule type="expression" dxfId="7" priority="13">
      <formula>N(calculos!$B$303)+N(calculos!$B$304)=0</formula>
    </cfRule>
  </conditionalFormatting>
  <dataValidations count="3">
    <dataValidation type="list" allowBlank="1" showInputMessage="1" showErrorMessage="1" promptTitle="Cliente" prompt="Escolha na lista. Cards e gráficos se atualizam." errorTitle="Valor inválido" error="Escolha um valor da lista." sqref="D3">
      <formula1>OFFSET(calculos!$AN$12,0,0,1+calculos!$AN$10,1)</formula1>
    </dataValidation>
    <dataValidation type="date" operator="greaterThanOrEqual" allowBlank="1" showInputMessage="1" showErrorMessage="1" promptTitle="Dia inicial" prompt="Digite a data inicial (dd/mm/aaaa)." errorTitle="Valor inválido" error="Digite uma data válida (dd/mm/aaaa)." sqref="Q3">
      <formula1>43831</formula1>
    </dataValidation>
    <dataValidation type="date" operator="greaterThanOrEqual" allowBlank="1" showInputMessage="1" showErrorMessage="1" promptTitle="Dia final" prompt="Digite a data final (dd/mm/aaaa)." errorTitle="Valor inválido" error="Digite uma data válida (dd/mm/aaaa)." sqref="V3">
      <formula1>43831</formula1>
    </dataValidation>
  </dataValidations>
  <pageMargins left="0.25" right="0.25" top="0.4" bottom="0.4" header="0.2" footer="0.2"/>
  <pageSetup paperSize="9" orientation="landscape" fitToWidth="1" fitToHeight="1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00000"/>
    <pageSetUpPr fitToPage="1"/>
  </sheetPr>
  <dimension ref="A1:BA28"/>
  <sheetViews>
    <sheetView showGridLines="0" zoomScale="100" zoomScaleNormal="100" workbookViewId="0">
      <pane xSplit="5" ySplit="6" topLeftCell="F7" activePane="bottomRight" state="frozen"/>
      <selection pane="bottomRight" activeCell="F7" sqref="F7"/>
    </sheetView>
  </sheetViews>
  <sheetFormatPr defaultRowHeight="15"/>
  <cols>
    <col min="1" max="1" width="13" customWidth="1"/>
    <col min="2" max="2" width="17.3" customWidth="1"/>
    <col min="3" max="3" width="24" customWidth="1"/>
    <col min="4" max="4" width="8" customWidth="1"/>
    <col min="5" max="5" width="1.6" customWidth="1"/>
    <col min="6" max="6" width="6.3" customWidth="1"/>
    <col min="7" max="7" width="6.3" customWidth="1"/>
    <col min="8" max="8" width="6.3" customWidth="1"/>
    <col min="9" max="9" width="6.3" customWidth="1"/>
    <col min="10" max="10" width="6.3" customWidth="1"/>
    <col min="11" max="11" width="6.3" customWidth="1"/>
    <col min="12" max="12" width="6.3" customWidth="1"/>
    <col min="13" max="13" width="6.3" customWidth="1"/>
    <col min="14" max="14" width="6.3" customWidth="1"/>
    <col min="15" max="15" width="6.3" customWidth="1"/>
    <col min="16" max="16" width="6.3" customWidth="1"/>
    <col min="17" max="17" width="6.3" customWidth="1"/>
    <col min="18" max="18" width="6.3" customWidth="1"/>
    <col min="19" max="19" width="6.3" customWidth="1"/>
    <col min="20" max="20" width="6.3" customWidth="1"/>
    <col min="21" max="21" width="6.3" customWidth="1"/>
    <col min="22" max="22" width="6.3" customWidth="1"/>
    <col min="23" max="23" width="6.3" customWidth="1"/>
    <col min="24" max="24" width="6.3" customWidth="1"/>
    <col min="25" max="25" width="6.3" customWidth="1"/>
    <col min="26" max="26" width="6.3" customWidth="1"/>
    <col min="27" max="27" width="6.3" customWidth="1"/>
    <col min="28" max="28" width="6.3" customWidth="1"/>
    <col min="29" max="29" width="6.3" customWidth="1"/>
    <col min="30" max="30" width="6.3" customWidth="1"/>
    <col min="31" max="31" width="6.3" customWidth="1"/>
    <col min="32" max="32" width="6.3" customWidth="1"/>
    <col min="33" max="33" width="6.3" customWidth="1"/>
    <col min="34" max="34" width="6.3" customWidth="1"/>
    <col min="35" max="35" width="6.3" customWidth="1"/>
    <col min="36" max="36" width="6.3" customWidth="1"/>
    <col min="37" max="37" width="9.5" customWidth="1"/>
    <col min="38" max="38" width="2" customWidth="1" hidden="1"/>
    <col min="39" max="39" width="2" customWidth="1" hidden="1"/>
    <col min="40" max="40" width="10" customWidth="1" hidden="1"/>
    <col min="41" max="41" width="10" customWidth="1" hidden="1"/>
    <col min="42" max="42" width="10" customWidth="1" hidden="1"/>
    <col min="43" max="43" width="10" customWidth="1" hidden="1"/>
    <col min="44" max="44" width="10" customWidth="1" hidden="1"/>
    <col min="45" max="45" width="10" customWidth="1" hidden="1"/>
    <col min="46" max="46" width="10" customWidth="1" hidden="1"/>
    <col min="47" max="47" width="10" customWidth="1" hidden="1"/>
    <col min="48" max="48" width="10" customWidth="1" hidden="1"/>
    <col min="49" max="49" width="10" customWidth="1" hidden="1"/>
    <col min="50" max="50" width="10" customWidth="1" hidden="1"/>
    <col min="51" max="51" width="10" customWidth="1" hidden="1"/>
    <col min="52" max="52" width="10" customWidth="1" hidden="1"/>
    <col min="53" max="53" width="10" customWidth="1" hidden="1"/>
  </cols>
  <sheetData>
    <row r="1" ht="34.5" customHeight="1">
      <c r="A1" s="97"/>
      <c r="B1" s="97"/>
      <c r="C1" s="97"/>
      <c r="D1" s="97"/>
      <c r="E1" s="97"/>
      <c r="F1" s="97"/>
      <c r="G1" s="137" t="inlineStr">
        <is>
          <t xml:space="preserve">MONITORAMENTO DIÁRIO DE PERFORMANCE</t>
        </is>
      </c>
      <c r="H1" s="137"/>
      <c r="I1" s="137"/>
      <c r="J1" s="137"/>
      <c r="K1" s="137"/>
      <c r="L1" s="137"/>
      <c r="M1" s="137"/>
      <c r="N1" s="137"/>
      <c r="O1" s="137"/>
      <c r="P1" s="137"/>
      <c r="Q1" s="137"/>
      <c r="R1" s="137"/>
      <c r="S1" s="137"/>
      <c r="T1" s="137"/>
      <c r="U1" s="137"/>
      <c r="V1" s="137"/>
      <c r="W1" s="137"/>
      <c r="X1" s="137"/>
      <c r="Y1" s="137"/>
      <c r="Z1" s="137"/>
      <c r="AA1" s="137"/>
      <c r="AB1" s="137"/>
      <c r="AC1" s="137"/>
      <c r="AD1" s="137"/>
      <c r="AE1" s="138" t="inlineStr">
        <is>
          <t xml:space="preserve">OUTUBRO · 2026</t>
        </is>
      </c>
      <c r="AF1" s="138"/>
      <c r="AG1" s="138"/>
      <c r="AH1" s="138"/>
      <c r="AI1" s="138"/>
      <c r="AJ1" s="138"/>
      <c r="AK1" s="138"/>
    </row>
    <row r="2" ht="24" customHeight="1">
      <c r="A2" s="100" t="inlineStr">
        <is>
          <t xml:space="preserve">CLIENTE  ▸</t>
        </is>
      </c>
      <c r="B2" s="100"/>
      <c r="C2" s="139" t="inlineStr">
        <is>
          <t xml:space="preserve">Barry Callebaut</t>
        </is>
      </c>
      <c r="D2" s="140"/>
      <c r="F2" s="141" t="inlineStr">
        <is>
          <t xml:space="preserve">Escolha o cliente (célula amarela) e o mês (célula vermelha). Linhas = indicadores que o cliente usa, conforme a aba Config.</t>
        </is>
      </c>
      <c r="G2" s="141"/>
      <c r="H2" s="141"/>
      <c r="I2" s="141"/>
      <c r="J2" s="141"/>
      <c r="K2" s="141"/>
      <c r="L2" s="141"/>
      <c r="M2" s="141"/>
      <c r="N2" s="141"/>
      <c r="O2" s="141"/>
      <c r="P2" s="141"/>
      <c r="Q2" s="141"/>
      <c r="R2" s="141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  <c r="AD2" s="141"/>
      <c r="AE2" s="141"/>
      <c r="AF2" s="141"/>
      <c r="AG2" s="141"/>
      <c r="AH2" s="141"/>
      <c r="AI2" s="141"/>
      <c r="AJ2" s="141"/>
      <c r="AK2" s="141"/>
    </row>
    <row r="4" ht="19.5" customHeight="1">
      <c r="A4" s="142" t="inlineStr">
        <is>
          <t xml:space="preserve">CLIENTE</t>
        </is>
      </c>
      <c r="B4" s="144" t="inlineStr">
        <is>
          <t xml:space="preserve">INDICADORES</t>
        </is>
      </c>
      <c r="C4" s="145"/>
      <c r="D4" s="148" t="inlineStr">
        <is>
          <t xml:space="preserve">META</t>
        </is>
      </c>
      <c r="F4" s="150" t="inlineStr">
        <is>
          <t xml:space="preserve">REALIZADO P/DIA</t>
        </is>
      </c>
      <c r="G4" s="151"/>
      <c r="H4" s="151"/>
      <c r="I4" s="151"/>
      <c r="J4" s="151"/>
      <c r="K4" s="151"/>
      <c r="L4" s="151"/>
      <c r="M4" s="151"/>
      <c r="N4" s="151"/>
      <c r="O4" s="151"/>
      <c r="P4" s="151"/>
      <c r="Q4" s="151"/>
      <c r="R4" s="151"/>
      <c r="S4" s="151"/>
      <c r="T4" s="151"/>
      <c r="U4" s="151"/>
      <c r="V4" s="151"/>
      <c r="W4" s="151"/>
      <c r="X4" s="151"/>
      <c r="Y4" s="151"/>
      <c r="Z4" s="151"/>
      <c r="AA4" s="151"/>
      <c r="AB4" s="151"/>
      <c r="AC4" s="151"/>
      <c r="AD4" s="151"/>
      <c r="AE4" s="151"/>
      <c r="AF4" s="151"/>
      <c r="AG4" s="151"/>
      <c r="AH4" s="151"/>
      <c r="AI4" s="151"/>
      <c r="AJ4" s="152"/>
      <c r="AK4" s="153" t="inlineStr">
        <is>
          <t xml:space="preserve">MÊS</t>
        </is>
      </c>
    </row>
    <row r="5" ht="13.5" customHeight="1">
      <c r="A5" s="143"/>
      <c r="B5" s="146"/>
      <c r="C5" s="147"/>
      <c r="D5" s="149"/>
      <c r="F5" s="155">
        <f>IF(ISNUMBER($AE$1),DATE(YEAR($AE$1),MONTH($AE$1),1),IFERROR(DATE(VALUE(RIGHT(TRIM($AE$1),4)),MATCH(TRIM(LEFT($AE$1,FIND("·",$AE$1)-1)),{"JANEIRO","FEVEREIRO","MARÇO","ABRIL","MAIO","JUNHO","JULHO","AGOSTO","SETEMBRO","OUTUBRO","NOVEMBRO","DEZEMBRO"},0),1),DATE(2026,10,1)))</f>
        <v>46296</v>
      </c>
      <c r="G5" s="156">
        <f>IF(F5="","",IF(MONTH(F5+1)=MONTH($F$5),F5+1,""))</f>
        <v>46297</v>
      </c>
      <c r="H5" s="156">
        <f>IF(G5="","",IF(MONTH(G5+1)=MONTH($F$5),G5+1,""))</f>
        <v>46298</v>
      </c>
      <c r="I5" s="156">
        <f>IF(H5="","",IF(MONTH(H5+1)=MONTH($F$5),H5+1,""))</f>
        <v>46299</v>
      </c>
      <c r="J5" s="156">
        <f>IF(I5="","",IF(MONTH(I5+1)=MONTH($F$5),I5+1,""))</f>
        <v>46300</v>
      </c>
      <c r="K5" s="156">
        <f>IF(J5="","",IF(MONTH(J5+1)=MONTH($F$5),J5+1,""))</f>
        <v>46301</v>
      </c>
      <c r="L5" s="156">
        <f>IF(K5="","",IF(MONTH(K5+1)=MONTH($F$5),K5+1,""))</f>
        <v>46302</v>
      </c>
      <c r="M5" s="156">
        <f>IF(L5="","",IF(MONTH(L5+1)=MONTH($F$5),L5+1,""))</f>
        <v>46303</v>
      </c>
      <c r="N5" s="156">
        <f>IF(M5="","",IF(MONTH(M5+1)=MONTH($F$5),M5+1,""))</f>
        <v>46304</v>
      </c>
      <c r="O5" s="156">
        <f>IF(N5="","",IF(MONTH(N5+1)=MONTH($F$5),N5+1,""))</f>
        <v>46305</v>
      </c>
      <c r="P5" s="156">
        <f>IF(O5="","",IF(MONTH(O5+1)=MONTH($F$5),O5+1,""))</f>
        <v>46306</v>
      </c>
      <c r="Q5" s="156">
        <f>IF(P5="","",IF(MONTH(P5+1)=MONTH($F$5),P5+1,""))</f>
        <v>46307</v>
      </c>
      <c r="R5" s="156">
        <f>IF(Q5="","",IF(MONTH(Q5+1)=MONTH($F$5),Q5+1,""))</f>
        <v>46308</v>
      </c>
      <c r="S5" s="156">
        <f>IF(R5="","",IF(MONTH(R5+1)=MONTH($F$5),R5+1,""))</f>
        <v>46309</v>
      </c>
      <c r="T5" s="156">
        <f>IF(S5="","",IF(MONTH(S5+1)=MONTH($F$5),S5+1,""))</f>
        <v>46310</v>
      </c>
      <c r="U5" s="156">
        <f>IF(T5="","",IF(MONTH(T5+1)=MONTH($F$5),T5+1,""))</f>
        <v>46311</v>
      </c>
      <c r="V5" s="156">
        <f>IF(U5="","",IF(MONTH(U5+1)=MONTH($F$5),U5+1,""))</f>
        <v>46312</v>
      </c>
      <c r="W5" s="156">
        <f>IF(V5="","",IF(MONTH(V5+1)=MONTH($F$5),V5+1,""))</f>
        <v>46313</v>
      </c>
      <c r="X5" s="156">
        <f>IF(W5="","",IF(MONTH(W5+1)=MONTH($F$5),W5+1,""))</f>
        <v>46314</v>
      </c>
      <c r="Y5" s="156">
        <f>IF(X5="","",IF(MONTH(X5+1)=MONTH($F$5),X5+1,""))</f>
        <v>46315</v>
      </c>
      <c r="Z5" s="156">
        <f>IF(Y5="","",IF(MONTH(Y5+1)=MONTH($F$5),Y5+1,""))</f>
        <v>46316</v>
      </c>
      <c r="AA5" s="156">
        <f>IF(Z5="","",IF(MONTH(Z5+1)=MONTH($F$5),Z5+1,""))</f>
        <v>46317</v>
      </c>
      <c r="AB5" s="156">
        <f>IF(AA5="","",IF(MONTH(AA5+1)=MONTH($F$5),AA5+1,""))</f>
        <v>46318</v>
      </c>
      <c r="AC5" s="156">
        <f>IF(AB5="","",IF(MONTH(AB5+1)=MONTH($F$5),AB5+1,""))</f>
        <v>46319</v>
      </c>
      <c r="AD5" s="156">
        <f>IF(AC5="","",IF(MONTH(AC5+1)=MONTH($F$5),AC5+1,""))</f>
        <v>46320</v>
      </c>
      <c r="AE5" s="156">
        <f>IF(AD5="","",IF(MONTH(AD5+1)=MONTH($F$5),AD5+1,""))</f>
        <v>46321</v>
      </c>
      <c r="AF5" s="156">
        <f>IF(AE5="","",IF(MONTH(AE5+1)=MONTH($F$5),AE5+1,""))</f>
        <v>46322</v>
      </c>
      <c r="AG5" s="156">
        <f>IF(AF5="","",IF(MONTH(AF5+1)=MONTH($F$5),AF5+1,""))</f>
        <v>46323</v>
      </c>
      <c r="AH5" s="156">
        <f>IF(AG5="","",IF(MONTH(AG5+1)=MONTH($F$5),AG5+1,""))</f>
        <v>46324</v>
      </c>
      <c r="AI5" s="156">
        <f>IF(AH5="","",IF(MONTH(AH5+1)=MONTH($F$5),AH5+1,""))</f>
        <v>46325</v>
      </c>
      <c r="AJ5" s="157">
        <f>IF(AI5="","",IF(MONTH(AI5+1)=MONTH($F$5),AI5+1,""))</f>
        <v>46326</v>
      </c>
      <c r="AK5" s="154"/>
      <c r="AN5" s="158" t="inlineStr">
        <is>
          <t xml:space="preserve">Indicador</t>
        </is>
      </c>
      <c r="AO5" s="158" t="inlineStr">
        <is>
          <t xml:space="preserve">Grupo</t>
        </is>
      </c>
      <c r="AP5" s="158" t="inlineStr">
        <is>
          <t xml:space="preserve">Coluna BD</t>
        </is>
      </c>
      <c r="AQ5" s="158" t="inlineStr">
        <is>
          <t xml:space="preserve">Tipo</t>
        </is>
      </c>
      <c r="AR5" s="158" t="inlineStr">
        <is>
          <t xml:space="preserve">Linha meta</t>
        </is>
      </c>
      <c r="AS5" s="158" t="inlineStr">
        <is>
          <t xml:space="preserve">Formato</t>
        </is>
      </c>
      <c r="AT5" s="158" t="inlineStr">
        <is>
          <t xml:space="preserve">Usa?</t>
        </is>
      </c>
      <c r="AU5" s="158" t="inlineStr">
        <is>
          <t xml:space="preserve">Nº</t>
        </is>
      </c>
      <c r="AW5" s="158" t="inlineStr">
        <is>
          <t xml:space="preserve">Linha →</t>
        </is>
      </c>
      <c r="AX5" s="158" t="inlineStr">
        <is>
          <t xml:space="preserve">Col BD</t>
        </is>
      </c>
      <c r="AY5" s="158" t="inlineStr">
        <is>
          <t xml:space="preserve">Tipo</t>
        </is>
      </c>
      <c r="AZ5" s="158" t="inlineStr">
        <is>
          <t xml:space="preserve">Formato</t>
        </is>
      </c>
      <c r="BA5" s="158" t="inlineStr">
        <is>
          <t xml:space="preserve">Meta</t>
        </is>
      </c>
    </row>
    <row r="7" ht="15.75" customHeight="1">
      <c r="A7" s="181" t="str">
        <f>$C$2&amp;""</f>
        <v>Barry Callebaut</v>
      </c>
      <c r="B7" s="160" t="str">
        <f>IF($AW7=0,"",INDEX($AO$7:$AO$26,$AW7))</f>
        <v>IN</v>
      </c>
      <c r="C7" s="161" t="str">
        <f>IF($AW7=0,"",INDEX($AN$7:$AN$26,$AW7))</f>
        <v>Veículos Recebidos</v>
      </c>
      <c r="D7" s="162" t="str">
        <f>IF(OR($AW7=0,N($BA7)=0),"",IFERROR(1/(1/INDEX(BD!$Y$23:$AS$42,$BA7,MATCH($C$2,BD!$Y$22:$AS$22,0))),""))</f>
        <v/>
      </c>
      <c r="E7" s="163"/>
      <c r="F7" s="164" t="str">
        <f>IF(OR($AW7=0,F$5=""),"",IF($AY7="taxa",IF(COUNTIFS(BD!$A$3:$A$5001,F$5,BD!$B$3:$B$5001,$C$2,BD!$M$3:$M$5001,"&lt;&gt;")=0,"",IFERROR(SUMIFS(BD!$M$3:$M$5001,BD!$A$3:$A$5001,F$5,BD!$B$3:$B$5001,$C$2)/SUMIFS(BD!$L$3:$L$5001,BD!$A$3:$A$5001,F$5,BD!$B$3:$B$5001,$C$2),"")),IF(COUNTIFS(BD!$A$3:$A$5001,F$5,BD!$B$3:$B$5001,$C$2,INDEX(BD!$A$3:$V$5001,0,$AX7),"&lt;&gt;")=0,"",SUMIFS(INDEX(BD!$A$3:$V$5001,0,$AX7),BD!$A$3:$A$5001,F$5,BD!$B$3:$B$5001,$C$2))))</f>
        <v/>
      </c>
      <c r="G7" s="165" t="str">
        <f>IF(OR($AW7=0,G$5=""),"",IF($AY7="taxa",IF(COUNTIFS(BD!$A$3:$A$5001,G$5,BD!$B$3:$B$5001,$C$2,BD!$M$3:$M$5001,"&lt;&gt;")=0,"",IFERROR(SUMIFS(BD!$M$3:$M$5001,BD!$A$3:$A$5001,G$5,BD!$B$3:$B$5001,$C$2)/SUMIFS(BD!$L$3:$L$5001,BD!$A$3:$A$5001,G$5,BD!$B$3:$B$5001,$C$2),"")),IF(COUNTIFS(BD!$A$3:$A$5001,G$5,BD!$B$3:$B$5001,$C$2,INDEX(BD!$A$3:$V$5001,0,$AX7),"&lt;&gt;")=0,"",SUMIFS(INDEX(BD!$A$3:$V$5001,0,$AX7),BD!$A$3:$A$5001,G$5,BD!$B$3:$B$5001,$C$2))))</f>
        <v/>
      </c>
      <c r="H7" s="165" t="str">
        <f>IF(OR($AW7=0,H$5=""),"",IF($AY7="taxa",IF(COUNTIFS(BD!$A$3:$A$5001,H$5,BD!$B$3:$B$5001,$C$2,BD!$M$3:$M$5001,"&lt;&gt;")=0,"",IFERROR(SUMIFS(BD!$M$3:$M$5001,BD!$A$3:$A$5001,H$5,BD!$B$3:$B$5001,$C$2)/SUMIFS(BD!$L$3:$L$5001,BD!$A$3:$A$5001,H$5,BD!$B$3:$B$5001,$C$2),"")),IF(COUNTIFS(BD!$A$3:$A$5001,H$5,BD!$B$3:$B$5001,$C$2,INDEX(BD!$A$3:$V$5001,0,$AX7),"&lt;&gt;")=0,"",SUMIFS(INDEX(BD!$A$3:$V$5001,0,$AX7),BD!$A$3:$A$5001,H$5,BD!$B$3:$B$5001,$C$2))))</f>
        <v/>
      </c>
      <c r="I7" s="165" t="str">
        <f>IF(OR($AW7=0,I$5=""),"",IF($AY7="taxa",IF(COUNTIFS(BD!$A$3:$A$5001,I$5,BD!$B$3:$B$5001,$C$2,BD!$M$3:$M$5001,"&lt;&gt;")=0,"",IFERROR(SUMIFS(BD!$M$3:$M$5001,BD!$A$3:$A$5001,I$5,BD!$B$3:$B$5001,$C$2)/SUMIFS(BD!$L$3:$L$5001,BD!$A$3:$A$5001,I$5,BD!$B$3:$B$5001,$C$2),"")),IF(COUNTIFS(BD!$A$3:$A$5001,I$5,BD!$B$3:$B$5001,$C$2,INDEX(BD!$A$3:$V$5001,0,$AX7),"&lt;&gt;")=0,"",SUMIFS(INDEX(BD!$A$3:$V$5001,0,$AX7),BD!$A$3:$A$5001,I$5,BD!$B$3:$B$5001,$C$2))))</f>
        <v/>
      </c>
      <c r="J7" s="165" t="str">
        <f>IF(OR($AW7=0,J$5=""),"",IF($AY7="taxa",IF(COUNTIFS(BD!$A$3:$A$5001,J$5,BD!$B$3:$B$5001,$C$2,BD!$M$3:$M$5001,"&lt;&gt;")=0,"",IFERROR(SUMIFS(BD!$M$3:$M$5001,BD!$A$3:$A$5001,J$5,BD!$B$3:$B$5001,$C$2)/SUMIFS(BD!$L$3:$L$5001,BD!$A$3:$A$5001,J$5,BD!$B$3:$B$5001,$C$2),"")),IF(COUNTIFS(BD!$A$3:$A$5001,J$5,BD!$B$3:$B$5001,$C$2,INDEX(BD!$A$3:$V$5001,0,$AX7),"&lt;&gt;")=0,"",SUMIFS(INDEX(BD!$A$3:$V$5001,0,$AX7),BD!$A$3:$A$5001,J$5,BD!$B$3:$B$5001,$C$2))))</f>
        <v/>
      </c>
      <c r="K7" s="165" t="str">
        <f>IF(OR($AW7=0,K$5=""),"",IF($AY7="taxa",IF(COUNTIFS(BD!$A$3:$A$5001,K$5,BD!$B$3:$B$5001,$C$2,BD!$M$3:$M$5001,"&lt;&gt;")=0,"",IFERROR(SUMIFS(BD!$M$3:$M$5001,BD!$A$3:$A$5001,K$5,BD!$B$3:$B$5001,$C$2)/SUMIFS(BD!$L$3:$L$5001,BD!$A$3:$A$5001,K$5,BD!$B$3:$B$5001,$C$2),"")),IF(COUNTIFS(BD!$A$3:$A$5001,K$5,BD!$B$3:$B$5001,$C$2,INDEX(BD!$A$3:$V$5001,0,$AX7),"&lt;&gt;")=0,"",SUMIFS(INDEX(BD!$A$3:$V$5001,0,$AX7),BD!$A$3:$A$5001,K$5,BD!$B$3:$B$5001,$C$2))))</f>
        <v/>
      </c>
      <c r="L7" s="165" t="str">
        <f>IF(OR($AW7=0,L$5=""),"",IF($AY7="taxa",IF(COUNTIFS(BD!$A$3:$A$5001,L$5,BD!$B$3:$B$5001,$C$2,BD!$M$3:$M$5001,"&lt;&gt;")=0,"",IFERROR(SUMIFS(BD!$M$3:$M$5001,BD!$A$3:$A$5001,L$5,BD!$B$3:$B$5001,$C$2)/SUMIFS(BD!$L$3:$L$5001,BD!$A$3:$A$5001,L$5,BD!$B$3:$B$5001,$C$2),"")),IF(COUNTIFS(BD!$A$3:$A$5001,L$5,BD!$B$3:$B$5001,$C$2,INDEX(BD!$A$3:$V$5001,0,$AX7),"&lt;&gt;")=0,"",SUMIFS(INDEX(BD!$A$3:$V$5001,0,$AX7),BD!$A$3:$A$5001,L$5,BD!$B$3:$B$5001,$C$2))))</f>
        <v/>
      </c>
      <c r="M7" s="165" t="str">
        <f>IF(OR($AW7=0,M$5=""),"",IF($AY7="taxa",IF(COUNTIFS(BD!$A$3:$A$5001,M$5,BD!$B$3:$B$5001,$C$2,BD!$M$3:$M$5001,"&lt;&gt;")=0,"",IFERROR(SUMIFS(BD!$M$3:$M$5001,BD!$A$3:$A$5001,M$5,BD!$B$3:$B$5001,$C$2)/SUMIFS(BD!$L$3:$L$5001,BD!$A$3:$A$5001,M$5,BD!$B$3:$B$5001,$C$2),"")),IF(COUNTIFS(BD!$A$3:$A$5001,M$5,BD!$B$3:$B$5001,$C$2,INDEX(BD!$A$3:$V$5001,0,$AX7),"&lt;&gt;")=0,"",SUMIFS(INDEX(BD!$A$3:$V$5001,0,$AX7),BD!$A$3:$A$5001,M$5,BD!$B$3:$B$5001,$C$2))))</f>
        <v/>
      </c>
      <c r="N7" s="165" t="str">
        <f>IF(OR($AW7=0,N$5=""),"",IF($AY7="taxa",IF(COUNTIFS(BD!$A$3:$A$5001,N$5,BD!$B$3:$B$5001,$C$2,BD!$M$3:$M$5001,"&lt;&gt;")=0,"",IFERROR(SUMIFS(BD!$M$3:$M$5001,BD!$A$3:$A$5001,N$5,BD!$B$3:$B$5001,$C$2)/SUMIFS(BD!$L$3:$L$5001,BD!$A$3:$A$5001,N$5,BD!$B$3:$B$5001,$C$2),"")),IF(COUNTIFS(BD!$A$3:$A$5001,N$5,BD!$B$3:$B$5001,$C$2,INDEX(BD!$A$3:$V$5001,0,$AX7),"&lt;&gt;")=0,"",SUMIFS(INDEX(BD!$A$3:$V$5001,0,$AX7),BD!$A$3:$A$5001,N$5,BD!$B$3:$B$5001,$C$2))))</f>
        <v/>
      </c>
      <c r="O7" s="165" t="str">
        <f>IF(OR($AW7=0,O$5=""),"",IF($AY7="taxa",IF(COUNTIFS(BD!$A$3:$A$5001,O$5,BD!$B$3:$B$5001,$C$2,BD!$M$3:$M$5001,"&lt;&gt;")=0,"",IFERROR(SUMIFS(BD!$M$3:$M$5001,BD!$A$3:$A$5001,O$5,BD!$B$3:$B$5001,$C$2)/SUMIFS(BD!$L$3:$L$5001,BD!$A$3:$A$5001,O$5,BD!$B$3:$B$5001,$C$2),"")),IF(COUNTIFS(BD!$A$3:$A$5001,O$5,BD!$B$3:$B$5001,$C$2,INDEX(BD!$A$3:$V$5001,0,$AX7),"&lt;&gt;")=0,"",SUMIFS(INDEX(BD!$A$3:$V$5001,0,$AX7),BD!$A$3:$A$5001,O$5,BD!$B$3:$B$5001,$C$2))))</f>
        <v/>
      </c>
      <c r="P7" s="165" t="str">
        <f>IF(OR($AW7=0,P$5=""),"",IF($AY7="taxa",IF(COUNTIFS(BD!$A$3:$A$5001,P$5,BD!$B$3:$B$5001,$C$2,BD!$M$3:$M$5001,"&lt;&gt;")=0,"",IFERROR(SUMIFS(BD!$M$3:$M$5001,BD!$A$3:$A$5001,P$5,BD!$B$3:$B$5001,$C$2)/SUMIFS(BD!$L$3:$L$5001,BD!$A$3:$A$5001,P$5,BD!$B$3:$B$5001,$C$2),"")),IF(COUNTIFS(BD!$A$3:$A$5001,P$5,BD!$B$3:$B$5001,$C$2,INDEX(BD!$A$3:$V$5001,0,$AX7),"&lt;&gt;")=0,"",SUMIFS(INDEX(BD!$A$3:$V$5001,0,$AX7),BD!$A$3:$A$5001,P$5,BD!$B$3:$B$5001,$C$2))))</f>
        <v/>
      </c>
      <c r="Q7" s="165" t="str">
        <f>IF(OR($AW7=0,Q$5=""),"",IF($AY7="taxa",IF(COUNTIFS(BD!$A$3:$A$5001,Q$5,BD!$B$3:$B$5001,$C$2,BD!$M$3:$M$5001,"&lt;&gt;")=0,"",IFERROR(SUMIFS(BD!$M$3:$M$5001,BD!$A$3:$A$5001,Q$5,BD!$B$3:$B$5001,$C$2)/SUMIFS(BD!$L$3:$L$5001,BD!$A$3:$A$5001,Q$5,BD!$B$3:$B$5001,$C$2),"")),IF(COUNTIFS(BD!$A$3:$A$5001,Q$5,BD!$B$3:$B$5001,$C$2,INDEX(BD!$A$3:$V$5001,0,$AX7),"&lt;&gt;")=0,"",SUMIFS(INDEX(BD!$A$3:$V$5001,0,$AX7),BD!$A$3:$A$5001,Q$5,BD!$B$3:$B$5001,$C$2))))</f>
        <v/>
      </c>
      <c r="R7" s="165" t="str">
        <f>IF(OR($AW7=0,R$5=""),"",IF($AY7="taxa",IF(COUNTIFS(BD!$A$3:$A$5001,R$5,BD!$B$3:$B$5001,$C$2,BD!$M$3:$M$5001,"&lt;&gt;")=0,"",IFERROR(SUMIFS(BD!$M$3:$M$5001,BD!$A$3:$A$5001,R$5,BD!$B$3:$B$5001,$C$2)/SUMIFS(BD!$L$3:$L$5001,BD!$A$3:$A$5001,R$5,BD!$B$3:$B$5001,$C$2),"")),IF(COUNTIFS(BD!$A$3:$A$5001,R$5,BD!$B$3:$B$5001,$C$2,INDEX(BD!$A$3:$V$5001,0,$AX7),"&lt;&gt;")=0,"",SUMIFS(INDEX(BD!$A$3:$V$5001,0,$AX7),BD!$A$3:$A$5001,R$5,BD!$B$3:$B$5001,$C$2))))</f>
        <v/>
      </c>
      <c r="S7" s="165" t="str">
        <f>IF(OR($AW7=0,S$5=""),"",IF($AY7="taxa",IF(COUNTIFS(BD!$A$3:$A$5001,S$5,BD!$B$3:$B$5001,$C$2,BD!$M$3:$M$5001,"&lt;&gt;")=0,"",IFERROR(SUMIFS(BD!$M$3:$M$5001,BD!$A$3:$A$5001,S$5,BD!$B$3:$B$5001,$C$2)/SUMIFS(BD!$L$3:$L$5001,BD!$A$3:$A$5001,S$5,BD!$B$3:$B$5001,$C$2),"")),IF(COUNTIFS(BD!$A$3:$A$5001,S$5,BD!$B$3:$B$5001,$C$2,INDEX(BD!$A$3:$V$5001,0,$AX7),"&lt;&gt;")=0,"",SUMIFS(INDEX(BD!$A$3:$V$5001,0,$AX7),BD!$A$3:$A$5001,S$5,BD!$B$3:$B$5001,$C$2))))</f>
        <v/>
      </c>
      <c r="T7" s="165" t="str">
        <f>IF(OR($AW7=0,T$5=""),"",IF($AY7="taxa",IF(COUNTIFS(BD!$A$3:$A$5001,T$5,BD!$B$3:$B$5001,$C$2,BD!$M$3:$M$5001,"&lt;&gt;")=0,"",IFERROR(SUMIFS(BD!$M$3:$M$5001,BD!$A$3:$A$5001,T$5,BD!$B$3:$B$5001,$C$2)/SUMIFS(BD!$L$3:$L$5001,BD!$A$3:$A$5001,T$5,BD!$B$3:$B$5001,$C$2),"")),IF(COUNTIFS(BD!$A$3:$A$5001,T$5,BD!$B$3:$B$5001,$C$2,INDEX(BD!$A$3:$V$5001,0,$AX7),"&lt;&gt;")=0,"",SUMIFS(INDEX(BD!$A$3:$V$5001,0,$AX7),BD!$A$3:$A$5001,T$5,BD!$B$3:$B$5001,$C$2))))</f>
        <v/>
      </c>
      <c r="U7" s="165" t="str">
        <f>IF(OR($AW7=0,U$5=""),"",IF($AY7="taxa",IF(COUNTIFS(BD!$A$3:$A$5001,U$5,BD!$B$3:$B$5001,$C$2,BD!$M$3:$M$5001,"&lt;&gt;")=0,"",IFERROR(SUMIFS(BD!$M$3:$M$5001,BD!$A$3:$A$5001,U$5,BD!$B$3:$B$5001,$C$2)/SUMIFS(BD!$L$3:$L$5001,BD!$A$3:$A$5001,U$5,BD!$B$3:$B$5001,$C$2),"")),IF(COUNTIFS(BD!$A$3:$A$5001,U$5,BD!$B$3:$B$5001,$C$2,INDEX(BD!$A$3:$V$5001,0,$AX7),"&lt;&gt;")=0,"",SUMIFS(INDEX(BD!$A$3:$V$5001,0,$AX7),BD!$A$3:$A$5001,U$5,BD!$B$3:$B$5001,$C$2))))</f>
        <v/>
      </c>
      <c r="V7" s="165" t="str">
        <f>IF(OR($AW7=0,V$5=""),"",IF($AY7="taxa",IF(COUNTIFS(BD!$A$3:$A$5001,V$5,BD!$B$3:$B$5001,$C$2,BD!$M$3:$M$5001,"&lt;&gt;")=0,"",IFERROR(SUMIFS(BD!$M$3:$M$5001,BD!$A$3:$A$5001,V$5,BD!$B$3:$B$5001,$C$2)/SUMIFS(BD!$L$3:$L$5001,BD!$A$3:$A$5001,V$5,BD!$B$3:$B$5001,$C$2),"")),IF(COUNTIFS(BD!$A$3:$A$5001,V$5,BD!$B$3:$B$5001,$C$2,INDEX(BD!$A$3:$V$5001,0,$AX7),"&lt;&gt;")=0,"",SUMIFS(INDEX(BD!$A$3:$V$5001,0,$AX7),BD!$A$3:$A$5001,V$5,BD!$B$3:$B$5001,$C$2))))</f>
        <v/>
      </c>
      <c r="W7" s="165" t="str">
        <f>IF(OR($AW7=0,W$5=""),"",IF($AY7="taxa",IF(COUNTIFS(BD!$A$3:$A$5001,W$5,BD!$B$3:$B$5001,$C$2,BD!$M$3:$M$5001,"&lt;&gt;")=0,"",IFERROR(SUMIFS(BD!$M$3:$M$5001,BD!$A$3:$A$5001,W$5,BD!$B$3:$B$5001,$C$2)/SUMIFS(BD!$L$3:$L$5001,BD!$A$3:$A$5001,W$5,BD!$B$3:$B$5001,$C$2),"")),IF(COUNTIFS(BD!$A$3:$A$5001,W$5,BD!$B$3:$B$5001,$C$2,INDEX(BD!$A$3:$V$5001,0,$AX7),"&lt;&gt;")=0,"",SUMIFS(INDEX(BD!$A$3:$V$5001,0,$AX7),BD!$A$3:$A$5001,W$5,BD!$B$3:$B$5001,$C$2))))</f>
        <v/>
      </c>
      <c r="X7" s="165" t="str">
        <f>IF(OR($AW7=0,X$5=""),"",IF($AY7="taxa",IF(COUNTIFS(BD!$A$3:$A$5001,X$5,BD!$B$3:$B$5001,$C$2,BD!$M$3:$M$5001,"&lt;&gt;")=0,"",IFERROR(SUMIFS(BD!$M$3:$M$5001,BD!$A$3:$A$5001,X$5,BD!$B$3:$B$5001,$C$2)/SUMIFS(BD!$L$3:$L$5001,BD!$A$3:$A$5001,X$5,BD!$B$3:$B$5001,$C$2),"")),IF(COUNTIFS(BD!$A$3:$A$5001,X$5,BD!$B$3:$B$5001,$C$2,INDEX(BD!$A$3:$V$5001,0,$AX7),"&lt;&gt;")=0,"",SUMIFS(INDEX(BD!$A$3:$V$5001,0,$AX7),BD!$A$3:$A$5001,X$5,BD!$B$3:$B$5001,$C$2))))</f>
        <v/>
      </c>
      <c r="Y7" s="165" t="str">
        <f>IF(OR($AW7=0,Y$5=""),"",IF($AY7="taxa",IF(COUNTIFS(BD!$A$3:$A$5001,Y$5,BD!$B$3:$B$5001,$C$2,BD!$M$3:$M$5001,"&lt;&gt;")=0,"",IFERROR(SUMIFS(BD!$M$3:$M$5001,BD!$A$3:$A$5001,Y$5,BD!$B$3:$B$5001,$C$2)/SUMIFS(BD!$L$3:$L$5001,BD!$A$3:$A$5001,Y$5,BD!$B$3:$B$5001,$C$2),"")),IF(COUNTIFS(BD!$A$3:$A$5001,Y$5,BD!$B$3:$B$5001,$C$2,INDEX(BD!$A$3:$V$5001,0,$AX7),"&lt;&gt;")=0,"",SUMIFS(INDEX(BD!$A$3:$V$5001,0,$AX7),BD!$A$3:$A$5001,Y$5,BD!$B$3:$B$5001,$C$2))))</f>
        <v/>
      </c>
      <c r="Z7" s="165" t="str">
        <f>IF(OR($AW7=0,Z$5=""),"",IF($AY7="taxa",IF(COUNTIFS(BD!$A$3:$A$5001,Z$5,BD!$B$3:$B$5001,$C$2,BD!$M$3:$M$5001,"&lt;&gt;")=0,"",IFERROR(SUMIFS(BD!$M$3:$M$5001,BD!$A$3:$A$5001,Z$5,BD!$B$3:$B$5001,$C$2)/SUMIFS(BD!$L$3:$L$5001,BD!$A$3:$A$5001,Z$5,BD!$B$3:$B$5001,$C$2),"")),IF(COUNTIFS(BD!$A$3:$A$5001,Z$5,BD!$B$3:$B$5001,$C$2,INDEX(BD!$A$3:$V$5001,0,$AX7),"&lt;&gt;")=0,"",SUMIFS(INDEX(BD!$A$3:$V$5001,0,$AX7),BD!$A$3:$A$5001,Z$5,BD!$B$3:$B$5001,$C$2))))</f>
        <v/>
      </c>
      <c r="AA7" s="165" t="str">
        <f>IF(OR($AW7=0,AA$5=""),"",IF($AY7="taxa",IF(COUNTIFS(BD!$A$3:$A$5001,AA$5,BD!$B$3:$B$5001,$C$2,BD!$M$3:$M$5001,"&lt;&gt;")=0,"",IFERROR(SUMIFS(BD!$M$3:$M$5001,BD!$A$3:$A$5001,AA$5,BD!$B$3:$B$5001,$C$2)/SUMIFS(BD!$L$3:$L$5001,BD!$A$3:$A$5001,AA$5,BD!$B$3:$B$5001,$C$2),"")),IF(COUNTIFS(BD!$A$3:$A$5001,AA$5,BD!$B$3:$B$5001,$C$2,INDEX(BD!$A$3:$V$5001,0,$AX7),"&lt;&gt;")=0,"",SUMIFS(INDEX(BD!$A$3:$V$5001,0,$AX7),BD!$A$3:$A$5001,AA$5,BD!$B$3:$B$5001,$C$2))))</f>
        <v/>
      </c>
      <c r="AB7" s="165" t="str">
        <f>IF(OR($AW7=0,AB$5=""),"",IF($AY7="taxa",IF(COUNTIFS(BD!$A$3:$A$5001,AB$5,BD!$B$3:$B$5001,$C$2,BD!$M$3:$M$5001,"&lt;&gt;")=0,"",IFERROR(SUMIFS(BD!$M$3:$M$5001,BD!$A$3:$A$5001,AB$5,BD!$B$3:$B$5001,$C$2)/SUMIFS(BD!$L$3:$L$5001,BD!$A$3:$A$5001,AB$5,BD!$B$3:$B$5001,$C$2),"")),IF(COUNTIFS(BD!$A$3:$A$5001,AB$5,BD!$B$3:$B$5001,$C$2,INDEX(BD!$A$3:$V$5001,0,$AX7),"&lt;&gt;")=0,"",SUMIFS(INDEX(BD!$A$3:$V$5001,0,$AX7),BD!$A$3:$A$5001,AB$5,BD!$B$3:$B$5001,$C$2))))</f>
        <v/>
      </c>
      <c r="AC7" s="165" t="str">
        <f>IF(OR($AW7=0,AC$5=""),"",IF($AY7="taxa",IF(COUNTIFS(BD!$A$3:$A$5001,AC$5,BD!$B$3:$B$5001,$C$2,BD!$M$3:$M$5001,"&lt;&gt;")=0,"",IFERROR(SUMIFS(BD!$M$3:$M$5001,BD!$A$3:$A$5001,AC$5,BD!$B$3:$B$5001,$C$2)/SUMIFS(BD!$L$3:$L$5001,BD!$A$3:$A$5001,AC$5,BD!$B$3:$B$5001,$C$2),"")),IF(COUNTIFS(BD!$A$3:$A$5001,AC$5,BD!$B$3:$B$5001,$C$2,INDEX(BD!$A$3:$V$5001,0,$AX7),"&lt;&gt;")=0,"",SUMIFS(INDEX(BD!$A$3:$V$5001,0,$AX7),BD!$A$3:$A$5001,AC$5,BD!$B$3:$B$5001,$C$2))))</f>
        <v/>
      </c>
      <c r="AD7" s="165" t="str">
        <f>IF(OR($AW7=0,AD$5=""),"",IF($AY7="taxa",IF(COUNTIFS(BD!$A$3:$A$5001,AD$5,BD!$B$3:$B$5001,$C$2,BD!$M$3:$M$5001,"&lt;&gt;")=0,"",IFERROR(SUMIFS(BD!$M$3:$M$5001,BD!$A$3:$A$5001,AD$5,BD!$B$3:$B$5001,$C$2)/SUMIFS(BD!$L$3:$L$5001,BD!$A$3:$A$5001,AD$5,BD!$B$3:$B$5001,$C$2),"")),IF(COUNTIFS(BD!$A$3:$A$5001,AD$5,BD!$B$3:$B$5001,$C$2,INDEX(BD!$A$3:$V$5001,0,$AX7),"&lt;&gt;")=0,"",SUMIFS(INDEX(BD!$A$3:$V$5001,0,$AX7),BD!$A$3:$A$5001,AD$5,BD!$B$3:$B$5001,$C$2))))</f>
        <v/>
      </c>
      <c r="AE7" s="165" t="str">
        <f>IF(OR($AW7=0,AE$5=""),"",IF($AY7="taxa",IF(COUNTIFS(BD!$A$3:$A$5001,AE$5,BD!$B$3:$B$5001,$C$2,BD!$M$3:$M$5001,"&lt;&gt;")=0,"",IFERROR(SUMIFS(BD!$M$3:$M$5001,BD!$A$3:$A$5001,AE$5,BD!$B$3:$B$5001,$C$2)/SUMIFS(BD!$L$3:$L$5001,BD!$A$3:$A$5001,AE$5,BD!$B$3:$B$5001,$C$2),"")),IF(COUNTIFS(BD!$A$3:$A$5001,AE$5,BD!$B$3:$B$5001,$C$2,INDEX(BD!$A$3:$V$5001,0,$AX7),"&lt;&gt;")=0,"",SUMIFS(INDEX(BD!$A$3:$V$5001,0,$AX7),BD!$A$3:$A$5001,AE$5,BD!$B$3:$B$5001,$C$2))))</f>
        <v/>
      </c>
      <c r="AF7" s="165" t="str">
        <f>IF(OR($AW7=0,AF$5=""),"",IF($AY7="taxa",IF(COUNTIFS(BD!$A$3:$A$5001,AF$5,BD!$B$3:$B$5001,$C$2,BD!$M$3:$M$5001,"&lt;&gt;")=0,"",IFERROR(SUMIFS(BD!$M$3:$M$5001,BD!$A$3:$A$5001,AF$5,BD!$B$3:$B$5001,$C$2)/SUMIFS(BD!$L$3:$L$5001,BD!$A$3:$A$5001,AF$5,BD!$B$3:$B$5001,$C$2),"")),IF(COUNTIFS(BD!$A$3:$A$5001,AF$5,BD!$B$3:$B$5001,$C$2,INDEX(BD!$A$3:$V$5001,0,$AX7),"&lt;&gt;")=0,"",SUMIFS(INDEX(BD!$A$3:$V$5001,0,$AX7),BD!$A$3:$A$5001,AF$5,BD!$B$3:$B$5001,$C$2))))</f>
        <v/>
      </c>
      <c r="AG7" s="165" t="str">
        <f>IF(OR($AW7=0,AG$5=""),"",IF($AY7="taxa",IF(COUNTIFS(BD!$A$3:$A$5001,AG$5,BD!$B$3:$B$5001,$C$2,BD!$M$3:$M$5001,"&lt;&gt;")=0,"",IFERROR(SUMIFS(BD!$M$3:$M$5001,BD!$A$3:$A$5001,AG$5,BD!$B$3:$B$5001,$C$2)/SUMIFS(BD!$L$3:$L$5001,BD!$A$3:$A$5001,AG$5,BD!$B$3:$B$5001,$C$2),"")),IF(COUNTIFS(BD!$A$3:$A$5001,AG$5,BD!$B$3:$B$5001,$C$2,INDEX(BD!$A$3:$V$5001,0,$AX7),"&lt;&gt;")=0,"",SUMIFS(INDEX(BD!$A$3:$V$5001,0,$AX7),BD!$A$3:$A$5001,AG$5,BD!$B$3:$B$5001,$C$2))))</f>
        <v/>
      </c>
      <c r="AH7" s="165" t="str">
        <f>IF(OR($AW7=0,AH$5=""),"",IF($AY7="taxa",IF(COUNTIFS(BD!$A$3:$A$5001,AH$5,BD!$B$3:$B$5001,$C$2,BD!$M$3:$M$5001,"&lt;&gt;")=0,"",IFERROR(SUMIFS(BD!$M$3:$M$5001,BD!$A$3:$A$5001,AH$5,BD!$B$3:$B$5001,$C$2)/SUMIFS(BD!$L$3:$L$5001,BD!$A$3:$A$5001,AH$5,BD!$B$3:$B$5001,$C$2),"")),IF(COUNTIFS(BD!$A$3:$A$5001,AH$5,BD!$B$3:$B$5001,$C$2,INDEX(BD!$A$3:$V$5001,0,$AX7),"&lt;&gt;")=0,"",SUMIFS(INDEX(BD!$A$3:$V$5001,0,$AX7),BD!$A$3:$A$5001,AH$5,BD!$B$3:$B$5001,$C$2))))</f>
        <v/>
      </c>
      <c r="AI7" s="165" t="str">
        <f>IF(OR($AW7=0,AI$5=""),"",IF($AY7="taxa",IF(COUNTIFS(BD!$A$3:$A$5001,AI$5,BD!$B$3:$B$5001,$C$2,BD!$M$3:$M$5001,"&lt;&gt;")=0,"",IFERROR(SUMIFS(BD!$M$3:$M$5001,BD!$A$3:$A$5001,AI$5,BD!$B$3:$B$5001,$C$2)/SUMIFS(BD!$L$3:$L$5001,BD!$A$3:$A$5001,AI$5,BD!$B$3:$B$5001,$C$2),"")),IF(COUNTIFS(BD!$A$3:$A$5001,AI$5,BD!$B$3:$B$5001,$C$2,INDEX(BD!$A$3:$V$5001,0,$AX7),"&lt;&gt;")=0,"",SUMIFS(INDEX(BD!$A$3:$V$5001,0,$AX7),BD!$A$3:$A$5001,AI$5,BD!$B$3:$B$5001,$C$2))))</f>
        <v/>
      </c>
      <c r="AJ7" s="166" t="str">
        <f>IF(OR($AW7=0,AJ$5=""),"",IF($AY7="taxa",IF(COUNTIFS(BD!$A$3:$A$5001,AJ$5,BD!$B$3:$B$5001,$C$2,BD!$M$3:$M$5001,"&lt;&gt;")=0,"",IFERROR(SUMIFS(BD!$M$3:$M$5001,BD!$A$3:$A$5001,AJ$5,BD!$B$3:$B$5001,$C$2)/SUMIFS(BD!$L$3:$L$5001,BD!$A$3:$A$5001,AJ$5,BD!$B$3:$B$5001,$C$2),"")),IF(COUNTIFS(BD!$A$3:$A$5001,AJ$5,BD!$B$3:$B$5001,$C$2,INDEX(BD!$A$3:$V$5001,0,$AX7),"&lt;&gt;")=0,"",SUMIFS(INDEX(BD!$A$3:$V$5001,0,$AX7),BD!$A$3:$A$5001,AJ$5,BD!$B$3:$B$5001,$C$2))))</f>
        <v/>
      </c>
      <c r="AK7" s="162" t="str">
        <f>IF($AW7=0,"",IF($AY7="fluxo",IF(COUNT(F7:AJ7)=0,"",SUM(F7:AJ7)),IFERROR(LOOKUP(9.99E+307,F7:AJ7),"")))</f>
        <v/>
      </c>
      <c r="AN7" s="159" t="inlineStr">
        <is>
          <t xml:space="preserve">Veículos Recebidos</t>
        </is>
      </c>
      <c r="AO7" s="159" t="inlineStr">
        <is>
          <t xml:space="preserve">IN</t>
        </is>
      </c>
      <c r="AP7" s="159">
        <v>3</v>
      </c>
      <c r="AQ7" s="159" t="inlineStr">
        <is>
          <t xml:space="preserve">fluxo</t>
        </is>
      </c>
      <c r="AR7" s="159">
        <v>1</v>
      </c>
      <c r="AS7" s="159" t="inlineStr">
        <is>
          <t xml:space="preserve">int</t>
        </is>
      </c>
      <c r="AT7" s="159">
        <f>IF($C$2="",0,IF(IFERROR(INDEX(Config!$D$35:$D$54,MATCH($C$2,Config!$B$35:$B$54,0)),"Sim")="Não",0,1))</f>
        <v>1</v>
      </c>
      <c r="AU7" s="159">
        <f>AT7</f>
        <v>1</v>
      </c>
      <c r="AW7" s="159">
        <f>IFERROR(MATCH(1,$AU$7:$AU$26,0),0)</f>
        <v>1</v>
      </c>
      <c r="AX7" s="159">
        <f>IF($AW7=0,"",INDEX($AP$7:$AP$26,$AW7))</f>
        <v>3</v>
      </c>
      <c r="AY7" s="159" t="str">
        <f>IF($AW7=0,"",INDEX($AQ$7:$AQ$26,$AW7))</f>
        <v>fluxo</v>
      </c>
      <c r="AZ7" s="159" t="str">
        <f>IF($AW7=0,"",INDEX($AS$7:$AS$26,$AW7))</f>
        <v>int</v>
      </c>
      <c r="BA7" s="159">
        <f>IF($AW7=0,"",INDEX($AR$7:$AR$26,$AW7))</f>
        <v>1</v>
      </c>
    </row>
    <row r="8" ht="15.75" customHeight="1">
      <c r="A8" s="181"/>
      <c r="B8" s="167" t="str">
        <f>IF($AW8=0,"",INDEX($AO$7:$AO$26,$AW8))</f>
        <v>IN</v>
      </c>
      <c r="C8" s="168" t="str">
        <f>IF($AW8=0,"",INDEX($AN$7:$AN$26,$AW8))</f>
        <v>Pallets Movimentados</v>
      </c>
      <c r="D8" s="169" t="str">
        <f>IF(OR($AW8=0,N($BA8)=0),"",IFERROR(1/(1/INDEX(BD!$Y$23:$AS$42,$BA8,MATCH($C$2,BD!$Y$22:$AS$22,0))),""))</f>
        <v/>
      </c>
      <c r="E8" s="170"/>
      <c r="F8" s="171" t="str">
        <f>IF(OR($AW8=0,F$5=""),"",IF($AY8="taxa",IF(COUNTIFS(BD!$A$3:$A$5001,F$5,BD!$B$3:$B$5001,$C$2,BD!$M$3:$M$5001,"&lt;&gt;")=0,"",IFERROR(SUMIFS(BD!$M$3:$M$5001,BD!$A$3:$A$5001,F$5,BD!$B$3:$B$5001,$C$2)/SUMIFS(BD!$L$3:$L$5001,BD!$A$3:$A$5001,F$5,BD!$B$3:$B$5001,$C$2),"")),IF(COUNTIFS(BD!$A$3:$A$5001,F$5,BD!$B$3:$B$5001,$C$2,INDEX(BD!$A$3:$V$5001,0,$AX8),"&lt;&gt;")=0,"",SUMIFS(INDEX(BD!$A$3:$V$5001,0,$AX8),BD!$A$3:$A$5001,F$5,BD!$B$3:$B$5001,$C$2))))</f>
        <v/>
      </c>
      <c r="G8" s="172" t="str">
        <f>IF(OR($AW8=0,G$5=""),"",IF($AY8="taxa",IF(COUNTIFS(BD!$A$3:$A$5001,G$5,BD!$B$3:$B$5001,$C$2,BD!$M$3:$M$5001,"&lt;&gt;")=0,"",IFERROR(SUMIFS(BD!$M$3:$M$5001,BD!$A$3:$A$5001,G$5,BD!$B$3:$B$5001,$C$2)/SUMIFS(BD!$L$3:$L$5001,BD!$A$3:$A$5001,G$5,BD!$B$3:$B$5001,$C$2),"")),IF(COUNTIFS(BD!$A$3:$A$5001,G$5,BD!$B$3:$B$5001,$C$2,INDEX(BD!$A$3:$V$5001,0,$AX8),"&lt;&gt;")=0,"",SUMIFS(INDEX(BD!$A$3:$V$5001,0,$AX8),BD!$A$3:$A$5001,G$5,BD!$B$3:$B$5001,$C$2))))</f>
        <v/>
      </c>
      <c r="H8" s="172" t="str">
        <f>IF(OR($AW8=0,H$5=""),"",IF($AY8="taxa",IF(COUNTIFS(BD!$A$3:$A$5001,H$5,BD!$B$3:$B$5001,$C$2,BD!$M$3:$M$5001,"&lt;&gt;")=0,"",IFERROR(SUMIFS(BD!$M$3:$M$5001,BD!$A$3:$A$5001,H$5,BD!$B$3:$B$5001,$C$2)/SUMIFS(BD!$L$3:$L$5001,BD!$A$3:$A$5001,H$5,BD!$B$3:$B$5001,$C$2),"")),IF(COUNTIFS(BD!$A$3:$A$5001,H$5,BD!$B$3:$B$5001,$C$2,INDEX(BD!$A$3:$V$5001,0,$AX8),"&lt;&gt;")=0,"",SUMIFS(INDEX(BD!$A$3:$V$5001,0,$AX8),BD!$A$3:$A$5001,H$5,BD!$B$3:$B$5001,$C$2))))</f>
        <v/>
      </c>
      <c r="I8" s="172" t="str">
        <f>IF(OR($AW8=0,I$5=""),"",IF($AY8="taxa",IF(COUNTIFS(BD!$A$3:$A$5001,I$5,BD!$B$3:$B$5001,$C$2,BD!$M$3:$M$5001,"&lt;&gt;")=0,"",IFERROR(SUMIFS(BD!$M$3:$M$5001,BD!$A$3:$A$5001,I$5,BD!$B$3:$B$5001,$C$2)/SUMIFS(BD!$L$3:$L$5001,BD!$A$3:$A$5001,I$5,BD!$B$3:$B$5001,$C$2),"")),IF(COUNTIFS(BD!$A$3:$A$5001,I$5,BD!$B$3:$B$5001,$C$2,INDEX(BD!$A$3:$V$5001,0,$AX8),"&lt;&gt;")=0,"",SUMIFS(INDEX(BD!$A$3:$V$5001,0,$AX8),BD!$A$3:$A$5001,I$5,BD!$B$3:$B$5001,$C$2))))</f>
        <v/>
      </c>
      <c r="J8" s="172" t="str">
        <f>IF(OR($AW8=0,J$5=""),"",IF($AY8="taxa",IF(COUNTIFS(BD!$A$3:$A$5001,J$5,BD!$B$3:$B$5001,$C$2,BD!$M$3:$M$5001,"&lt;&gt;")=0,"",IFERROR(SUMIFS(BD!$M$3:$M$5001,BD!$A$3:$A$5001,J$5,BD!$B$3:$B$5001,$C$2)/SUMIFS(BD!$L$3:$L$5001,BD!$A$3:$A$5001,J$5,BD!$B$3:$B$5001,$C$2),"")),IF(COUNTIFS(BD!$A$3:$A$5001,J$5,BD!$B$3:$B$5001,$C$2,INDEX(BD!$A$3:$V$5001,0,$AX8),"&lt;&gt;")=0,"",SUMIFS(INDEX(BD!$A$3:$V$5001,0,$AX8),BD!$A$3:$A$5001,J$5,BD!$B$3:$B$5001,$C$2))))</f>
        <v/>
      </c>
      <c r="K8" s="172" t="str">
        <f>IF(OR($AW8=0,K$5=""),"",IF($AY8="taxa",IF(COUNTIFS(BD!$A$3:$A$5001,K$5,BD!$B$3:$B$5001,$C$2,BD!$M$3:$M$5001,"&lt;&gt;")=0,"",IFERROR(SUMIFS(BD!$M$3:$M$5001,BD!$A$3:$A$5001,K$5,BD!$B$3:$B$5001,$C$2)/SUMIFS(BD!$L$3:$L$5001,BD!$A$3:$A$5001,K$5,BD!$B$3:$B$5001,$C$2),"")),IF(COUNTIFS(BD!$A$3:$A$5001,K$5,BD!$B$3:$B$5001,$C$2,INDEX(BD!$A$3:$V$5001,0,$AX8),"&lt;&gt;")=0,"",SUMIFS(INDEX(BD!$A$3:$V$5001,0,$AX8),BD!$A$3:$A$5001,K$5,BD!$B$3:$B$5001,$C$2))))</f>
        <v/>
      </c>
      <c r="L8" s="172" t="str">
        <f>IF(OR($AW8=0,L$5=""),"",IF($AY8="taxa",IF(COUNTIFS(BD!$A$3:$A$5001,L$5,BD!$B$3:$B$5001,$C$2,BD!$M$3:$M$5001,"&lt;&gt;")=0,"",IFERROR(SUMIFS(BD!$M$3:$M$5001,BD!$A$3:$A$5001,L$5,BD!$B$3:$B$5001,$C$2)/SUMIFS(BD!$L$3:$L$5001,BD!$A$3:$A$5001,L$5,BD!$B$3:$B$5001,$C$2),"")),IF(COUNTIFS(BD!$A$3:$A$5001,L$5,BD!$B$3:$B$5001,$C$2,INDEX(BD!$A$3:$V$5001,0,$AX8),"&lt;&gt;")=0,"",SUMIFS(INDEX(BD!$A$3:$V$5001,0,$AX8),BD!$A$3:$A$5001,L$5,BD!$B$3:$B$5001,$C$2))))</f>
        <v/>
      </c>
      <c r="M8" s="172" t="str">
        <f>IF(OR($AW8=0,M$5=""),"",IF($AY8="taxa",IF(COUNTIFS(BD!$A$3:$A$5001,M$5,BD!$B$3:$B$5001,$C$2,BD!$M$3:$M$5001,"&lt;&gt;")=0,"",IFERROR(SUMIFS(BD!$M$3:$M$5001,BD!$A$3:$A$5001,M$5,BD!$B$3:$B$5001,$C$2)/SUMIFS(BD!$L$3:$L$5001,BD!$A$3:$A$5001,M$5,BD!$B$3:$B$5001,$C$2),"")),IF(COUNTIFS(BD!$A$3:$A$5001,M$5,BD!$B$3:$B$5001,$C$2,INDEX(BD!$A$3:$V$5001,0,$AX8),"&lt;&gt;")=0,"",SUMIFS(INDEX(BD!$A$3:$V$5001,0,$AX8),BD!$A$3:$A$5001,M$5,BD!$B$3:$B$5001,$C$2))))</f>
        <v/>
      </c>
      <c r="N8" s="172" t="str">
        <f>IF(OR($AW8=0,N$5=""),"",IF($AY8="taxa",IF(COUNTIFS(BD!$A$3:$A$5001,N$5,BD!$B$3:$B$5001,$C$2,BD!$M$3:$M$5001,"&lt;&gt;")=0,"",IFERROR(SUMIFS(BD!$M$3:$M$5001,BD!$A$3:$A$5001,N$5,BD!$B$3:$B$5001,$C$2)/SUMIFS(BD!$L$3:$L$5001,BD!$A$3:$A$5001,N$5,BD!$B$3:$B$5001,$C$2),"")),IF(COUNTIFS(BD!$A$3:$A$5001,N$5,BD!$B$3:$B$5001,$C$2,INDEX(BD!$A$3:$V$5001,0,$AX8),"&lt;&gt;")=0,"",SUMIFS(INDEX(BD!$A$3:$V$5001,0,$AX8),BD!$A$3:$A$5001,N$5,BD!$B$3:$B$5001,$C$2))))</f>
        <v/>
      </c>
      <c r="O8" s="172" t="str">
        <f>IF(OR($AW8=0,O$5=""),"",IF($AY8="taxa",IF(COUNTIFS(BD!$A$3:$A$5001,O$5,BD!$B$3:$B$5001,$C$2,BD!$M$3:$M$5001,"&lt;&gt;")=0,"",IFERROR(SUMIFS(BD!$M$3:$M$5001,BD!$A$3:$A$5001,O$5,BD!$B$3:$B$5001,$C$2)/SUMIFS(BD!$L$3:$L$5001,BD!$A$3:$A$5001,O$5,BD!$B$3:$B$5001,$C$2),"")),IF(COUNTIFS(BD!$A$3:$A$5001,O$5,BD!$B$3:$B$5001,$C$2,INDEX(BD!$A$3:$V$5001,0,$AX8),"&lt;&gt;")=0,"",SUMIFS(INDEX(BD!$A$3:$V$5001,0,$AX8),BD!$A$3:$A$5001,O$5,BD!$B$3:$B$5001,$C$2))))</f>
        <v/>
      </c>
      <c r="P8" s="172" t="str">
        <f>IF(OR($AW8=0,P$5=""),"",IF($AY8="taxa",IF(COUNTIFS(BD!$A$3:$A$5001,P$5,BD!$B$3:$B$5001,$C$2,BD!$M$3:$M$5001,"&lt;&gt;")=0,"",IFERROR(SUMIFS(BD!$M$3:$M$5001,BD!$A$3:$A$5001,P$5,BD!$B$3:$B$5001,$C$2)/SUMIFS(BD!$L$3:$L$5001,BD!$A$3:$A$5001,P$5,BD!$B$3:$B$5001,$C$2),"")),IF(COUNTIFS(BD!$A$3:$A$5001,P$5,BD!$B$3:$B$5001,$C$2,INDEX(BD!$A$3:$V$5001,0,$AX8),"&lt;&gt;")=0,"",SUMIFS(INDEX(BD!$A$3:$V$5001,0,$AX8),BD!$A$3:$A$5001,P$5,BD!$B$3:$B$5001,$C$2))))</f>
        <v/>
      </c>
      <c r="Q8" s="172" t="str">
        <f>IF(OR($AW8=0,Q$5=""),"",IF($AY8="taxa",IF(COUNTIFS(BD!$A$3:$A$5001,Q$5,BD!$B$3:$B$5001,$C$2,BD!$M$3:$M$5001,"&lt;&gt;")=0,"",IFERROR(SUMIFS(BD!$M$3:$M$5001,BD!$A$3:$A$5001,Q$5,BD!$B$3:$B$5001,$C$2)/SUMIFS(BD!$L$3:$L$5001,BD!$A$3:$A$5001,Q$5,BD!$B$3:$B$5001,$C$2),"")),IF(COUNTIFS(BD!$A$3:$A$5001,Q$5,BD!$B$3:$B$5001,$C$2,INDEX(BD!$A$3:$V$5001,0,$AX8),"&lt;&gt;")=0,"",SUMIFS(INDEX(BD!$A$3:$V$5001,0,$AX8),BD!$A$3:$A$5001,Q$5,BD!$B$3:$B$5001,$C$2))))</f>
        <v/>
      </c>
      <c r="R8" s="172" t="str">
        <f>IF(OR($AW8=0,R$5=""),"",IF($AY8="taxa",IF(COUNTIFS(BD!$A$3:$A$5001,R$5,BD!$B$3:$B$5001,$C$2,BD!$M$3:$M$5001,"&lt;&gt;")=0,"",IFERROR(SUMIFS(BD!$M$3:$M$5001,BD!$A$3:$A$5001,R$5,BD!$B$3:$B$5001,$C$2)/SUMIFS(BD!$L$3:$L$5001,BD!$A$3:$A$5001,R$5,BD!$B$3:$B$5001,$C$2),"")),IF(COUNTIFS(BD!$A$3:$A$5001,R$5,BD!$B$3:$B$5001,$C$2,INDEX(BD!$A$3:$V$5001,0,$AX8),"&lt;&gt;")=0,"",SUMIFS(INDEX(BD!$A$3:$V$5001,0,$AX8),BD!$A$3:$A$5001,R$5,BD!$B$3:$B$5001,$C$2))))</f>
        <v/>
      </c>
      <c r="S8" s="172" t="str">
        <f>IF(OR($AW8=0,S$5=""),"",IF($AY8="taxa",IF(COUNTIFS(BD!$A$3:$A$5001,S$5,BD!$B$3:$B$5001,$C$2,BD!$M$3:$M$5001,"&lt;&gt;")=0,"",IFERROR(SUMIFS(BD!$M$3:$M$5001,BD!$A$3:$A$5001,S$5,BD!$B$3:$B$5001,$C$2)/SUMIFS(BD!$L$3:$L$5001,BD!$A$3:$A$5001,S$5,BD!$B$3:$B$5001,$C$2),"")),IF(COUNTIFS(BD!$A$3:$A$5001,S$5,BD!$B$3:$B$5001,$C$2,INDEX(BD!$A$3:$V$5001,0,$AX8),"&lt;&gt;")=0,"",SUMIFS(INDEX(BD!$A$3:$V$5001,0,$AX8),BD!$A$3:$A$5001,S$5,BD!$B$3:$B$5001,$C$2))))</f>
        <v/>
      </c>
      <c r="T8" s="172" t="str">
        <f>IF(OR($AW8=0,T$5=""),"",IF($AY8="taxa",IF(COUNTIFS(BD!$A$3:$A$5001,T$5,BD!$B$3:$B$5001,$C$2,BD!$M$3:$M$5001,"&lt;&gt;")=0,"",IFERROR(SUMIFS(BD!$M$3:$M$5001,BD!$A$3:$A$5001,T$5,BD!$B$3:$B$5001,$C$2)/SUMIFS(BD!$L$3:$L$5001,BD!$A$3:$A$5001,T$5,BD!$B$3:$B$5001,$C$2),"")),IF(COUNTIFS(BD!$A$3:$A$5001,T$5,BD!$B$3:$B$5001,$C$2,INDEX(BD!$A$3:$V$5001,0,$AX8),"&lt;&gt;")=0,"",SUMIFS(INDEX(BD!$A$3:$V$5001,0,$AX8),BD!$A$3:$A$5001,T$5,BD!$B$3:$B$5001,$C$2))))</f>
        <v/>
      </c>
      <c r="U8" s="172" t="str">
        <f>IF(OR($AW8=0,U$5=""),"",IF($AY8="taxa",IF(COUNTIFS(BD!$A$3:$A$5001,U$5,BD!$B$3:$B$5001,$C$2,BD!$M$3:$M$5001,"&lt;&gt;")=0,"",IFERROR(SUMIFS(BD!$M$3:$M$5001,BD!$A$3:$A$5001,U$5,BD!$B$3:$B$5001,$C$2)/SUMIFS(BD!$L$3:$L$5001,BD!$A$3:$A$5001,U$5,BD!$B$3:$B$5001,$C$2),"")),IF(COUNTIFS(BD!$A$3:$A$5001,U$5,BD!$B$3:$B$5001,$C$2,INDEX(BD!$A$3:$V$5001,0,$AX8),"&lt;&gt;")=0,"",SUMIFS(INDEX(BD!$A$3:$V$5001,0,$AX8),BD!$A$3:$A$5001,U$5,BD!$B$3:$B$5001,$C$2))))</f>
        <v/>
      </c>
      <c r="V8" s="172" t="str">
        <f>IF(OR($AW8=0,V$5=""),"",IF($AY8="taxa",IF(COUNTIFS(BD!$A$3:$A$5001,V$5,BD!$B$3:$B$5001,$C$2,BD!$M$3:$M$5001,"&lt;&gt;")=0,"",IFERROR(SUMIFS(BD!$M$3:$M$5001,BD!$A$3:$A$5001,V$5,BD!$B$3:$B$5001,$C$2)/SUMIFS(BD!$L$3:$L$5001,BD!$A$3:$A$5001,V$5,BD!$B$3:$B$5001,$C$2),"")),IF(COUNTIFS(BD!$A$3:$A$5001,V$5,BD!$B$3:$B$5001,$C$2,INDEX(BD!$A$3:$V$5001,0,$AX8),"&lt;&gt;")=0,"",SUMIFS(INDEX(BD!$A$3:$V$5001,0,$AX8),BD!$A$3:$A$5001,V$5,BD!$B$3:$B$5001,$C$2))))</f>
        <v/>
      </c>
      <c r="W8" s="172" t="str">
        <f>IF(OR($AW8=0,W$5=""),"",IF($AY8="taxa",IF(COUNTIFS(BD!$A$3:$A$5001,W$5,BD!$B$3:$B$5001,$C$2,BD!$M$3:$M$5001,"&lt;&gt;")=0,"",IFERROR(SUMIFS(BD!$M$3:$M$5001,BD!$A$3:$A$5001,W$5,BD!$B$3:$B$5001,$C$2)/SUMIFS(BD!$L$3:$L$5001,BD!$A$3:$A$5001,W$5,BD!$B$3:$B$5001,$C$2),"")),IF(COUNTIFS(BD!$A$3:$A$5001,W$5,BD!$B$3:$B$5001,$C$2,INDEX(BD!$A$3:$V$5001,0,$AX8),"&lt;&gt;")=0,"",SUMIFS(INDEX(BD!$A$3:$V$5001,0,$AX8),BD!$A$3:$A$5001,W$5,BD!$B$3:$B$5001,$C$2))))</f>
        <v/>
      </c>
      <c r="X8" s="172" t="str">
        <f>IF(OR($AW8=0,X$5=""),"",IF($AY8="taxa",IF(COUNTIFS(BD!$A$3:$A$5001,X$5,BD!$B$3:$B$5001,$C$2,BD!$M$3:$M$5001,"&lt;&gt;")=0,"",IFERROR(SUMIFS(BD!$M$3:$M$5001,BD!$A$3:$A$5001,X$5,BD!$B$3:$B$5001,$C$2)/SUMIFS(BD!$L$3:$L$5001,BD!$A$3:$A$5001,X$5,BD!$B$3:$B$5001,$C$2),"")),IF(COUNTIFS(BD!$A$3:$A$5001,X$5,BD!$B$3:$B$5001,$C$2,INDEX(BD!$A$3:$V$5001,0,$AX8),"&lt;&gt;")=0,"",SUMIFS(INDEX(BD!$A$3:$V$5001,0,$AX8),BD!$A$3:$A$5001,X$5,BD!$B$3:$B$5001,$C$2))))</f>
        <v/>
      </c>
      <c r="Y8" s="172" t="str">
        <f>IF(OR($AW8=0,Y$5=""),"",IF($AY8="taxa",IF(COUNTIFS(BD!$A$3:$A$5001,Y$5,BD!$B$3:$B$5001,$C$2,BD!$M$3:$M$5001,"&lt;&gt;")=0,"",IFERROR(SUMIFS(BD!$M$3:$M$5001,BD!$A$3:$A$5001,Y$5,BD!$B$3:$B$5001,$C$2)/SUMIFS(BD!$L$3:$L$5001,BD!$A$3:$A$5001,Y$5,BD!$B$3:$B$5001,$C$2),"")),IF(COUNTIFS(BD!$A$3:$A$5001,Y$5,BD!$B$3:$B$5001,$C$2,INDEX(BD!$A$3:$V$5001,0,$AX8),"&lt;&gt;")=0,"",SUMIFS(INDEX(BD!$A$3:$V$5001,0,$AX8),BD!$A$3:$A$5001,Y$5,BD!$B$3:$B$5001,$C$2))))</f>
        <v/>
      </c>
      <c r="Z8" s="172" t="str">
        <f>IF(OR($AW8=0,Z$5=""),"",IF($AY8="taxa",IF(COUNTIFS(BD!$A$3:$A$5001,Z$5,BD!$B$3:$B$5001,$C$2,BD!$M$3:$M$5001,"&lt;&gt;")=0,"",IFERROR(SUMIFS(BD!$M$3:$M$5001,BD!$A$3:$A$5001,Z$5,BD!$B$3:$B$5001,$C$2)/SUMIFS(BD!$L$3:$L$5001,BD!$A$3:$A$5001,Z$5,BD!$B$3:$B$5001,$C$2),"")),IF(COUNTIFS(BD!$A$3:$A$5001,Z$5,BD!$B$3:$B$5001,$C$2,INDEX(BD!$A$3:$V$5001,0,$AX8),"&lt;&gt;")=0,"",SUMIFS(INDEX(BD!$A$3:$V$5001,0,$AX8),BD!$A$3:$A$5001,Z$5,BD!$B$3:$B$5001,$C$2))))</f>
        <v/>
      </c>
      <c r="AA8" s="172" t="str">
        <f>IF(OR($AW8=0,AA$5=""),"",IF($AY8="taxa",IF(COUNTIFS(BD!$A$3:$A$5001,AA$5,BD!$B$3:$B$5001,$C$2,BD!$M$3:$M$5001,"&lt;&gt;")=0,"",IFERROR(SUMIFS(BD!$M$3:$M$5001,BD!$A$3:$A$5001,AA$5,BD!$B$3:$B$5001,$C$2)/SUMIFS(BD!$L$3:$L$5001,BD!$A$3:$A$5001,AA$5,BD!$B$3:$B$5001,$C$2),"")),IF(COUNTIFS(BD!$A$3:$A$5001,AA$5,BD!$B$3:$B$5001,$C$2,INDEX(BD!$A$3:$V$5001,0,$AX8),"&lt;&gt;")=0,"",SUMIFS(INDEX(BD!$A$3:$V$5001,0,$AX8),BD!$A$3:$A$5001,AA$5,BD!$B$3:$B$5001,$C$2))))</f>
        <v/>
      </c>
      <c r="AB8" s="172" t="str">
        <f>IF(OR($AW8=0,AB$5=""),"",IF($AY8="taxa",IF(COUNTIFS(BD!$A$3:$A$5001,AB$5,BD!$B$3:$B$5001,$C$2,BD!$M$3:$M$5001,"&lt;&gt;")=0,"",IFERROR(SUMIFS(BD!$M$3:$M$5001,BD!$A$3:$A$5001,AB$5,BD!$B$3:$B$5001,$C$2)/SUMIFS(BD!$L$3:$L$5001,BD!$A$3:$A$5001,AB$5,BD!$B$3:$B$5001,$C$2),"")),IF(COUNTIFS(BD!$A$3:$A$5001,AB$5,BD!$B$3:$B$5001,$C$2,INDEX(BD!$A$3:$V$5001,0,$AX8),"&lt;&gt;")=0,"",SUMIFS(INDEX(BD!$A$3:$V$5001,0,$AX8),BD!$A$3:$A$5001,AB$5,BD!$B$3:$B$5001,$C$2))))</f>
        <v/>
      </c>
      <c r="AC8" s="172" t="str">
        <f>IF(OR($AW8=0,AC$5=""),"",IF($AY8="taxa",IF(COUNTIFS(BD!$A$3:$A$5001,AC$5,BD!$B$3:$B$5001,$C$2,BD!$M$3:$M$5001,"&lt;&gt;")=0,"",IFERROR(SUMIFS(BD!$M$3:$M$5001,BD!$A$3:$A$5001,AC$5,BD!$B$3:$B$5001,$C$2)/SUMIFS(BD!$L$3:$L$5001,BD!$A$3:$A$5001,AC$5,BD!$B$3:$B$5001,$C$2),"")),IF(COUNTIFS(BD!$A$3:$A$5001,AC$5,BD!$B$3:$B$5001,$C$2,INDEX(BD!$A$3:$V$5001,0,$AX8),"&lt;&gt;")=0,"",SUMIFS(INDEX(BD!$A$3:$V$5001,0,$AX8),BD!$A$3:$A$5001,AC$5,BD!$B$3:$B$5001,$C$2))))</f>
        <v/>
      </c>
      <c r="AD8" s="172" t="str">
        <f>IF(OR($AW8=0,AD$5=""),"",IF($AY8="taxa",IF(COUNTIFS(BD!$A$3:$A$5001,AD$5,BD!$B$3:$B$5001,$C$2,BD!$M$3:$M$5001,"&lt;&gt;")=0,"",IFERROR(SUMIFS(BD!$M$3:$M$5001,BD!$A$3:$A$5001,AD$5,BD!$B$3:$B$5001,$C$2)/SUMIFS(BD!$L$3:$L$5001,BD!$A$3:$A$5001,AD$5,BD!$B$3:$B$5001,$C$2),"")),IF(COUNTIFS(BD!$A$3:$A$5001,AD$5,BD!$B$3:$B$5001,$C$2,INDEX(BD!$A$3:$V$5001,0,$AX8),"&lt;&gt;")=0,"",SUMIFS(INDEX(BD!$A$3:$V$5001,0,$AX8),BD!$A$3:$A$5001,AD$5,BD!$B$3:$B$5001,$C$2))))</f>
        <v/>
      </c>
      <c r="AE8" s="172" t="str">
        <f>IF(OR($AW8=0,AE$5=""),"",IF($AY8="taxa",IF(COUNTIFS(BD!$A$3:$A$5001,AE$5,BD!$B$3:$B$5001,$C$2,BD!$M$3:$M$5001,"&lt;&gt;")=0,"",IFERROR(SUMIFS(BD!$M$3:$M$5001,BD!$A$3:$A$5001,AE$5,BD!$B$3:$B$5001,$C$2)/SUMIFS(BD!$L$3:$L$5001,BD!$A$3:$A$5001,AE$5,BD!$B$3:$B$5001,$C$2),"")),IF(COUNTIFS(BD!$A$3:$A$5001,AE$5,BD!$B$3:$B$5001,$C$2,INDEX(BD!$A$3:$V$5001,0,$AX8),"&lt;&gt;")=0,"",SUMIFS(INDEX(BD!$A$3:$V$5001,0,$AX8),BD!$A$3:$A$5001,AE$5,BD!$B$3:$B$5001,$C$2))))</f>
        <v/>
      </c>
      <c r="AF8" s="172" t="str">
        <f>IF(OR($AW8=0,AF$5=""),"",IF($AY8="taxa",IF(COUNTIFS(BD!$A$3:$A$5001,AF$5,BD!$B$3:$B$5001,$C$2,BD!$M$3:$M$5001,"&lt;&gt;")=0,"",IFERROR(SUMIFS(BD!$M$3:$M$5001,BD!$A$3:$A$5001,AF$5,BD!$B$3:$B$5001,$C$2)/SUMIFS(BD!$L$3:$L$5001,BD!$A$3:$A$5001,AF$5,BD!$B$3:$B$5001,$C$2),"")),IF(COUNTIFS(BD!$A$3:$A$5001,AF$5,BD!$B$3:$B$5001,$C$2,INDEX(BD!$A$3:$V$5001,0,$AX8),"&lt;&gt;")=0,"",SUMIFS(INDEX(BD!$A$3:$V$5001,0,$AX8),BD!$A$3:$A$5001,AF$5,BD!$B$3:$B$5001,$C$2))))</f>
        <v/>
      </c>
      <c r="AG8" s="172" t="str">
        <f>IF(OR($AW8=0,AG$5=""),"",IF($AY8="taxa",IF(COUNTIFS(BD!$A$3:$A$5001,AG$5,BD!$B$3:$B$5001,$C$2,BD!$M$3:$M$5001,"&lt;&gt;")=0,"",IFERROR(SUMIFS(BD!$M$3:$M$5001,BD!$A$3:$A$5001,AG$5,BD!$B$3:$B$5001,$C$2)/SUMIFS(BD!$L$3:$L$5001,BD!$A$3:$A$5001,AG$5,BD!$B$3:$B$5001,$C$2),"")),IF(COUNTIFS(BD!$A$3:$A$5001,AG$5,BD!$B$3:$B$5001,$C$2,INDEX(BD!$A$3:$V$5001,0,$AX8),"&lt;&gt;")=0,"",SUMIFS(INDEX(BD!$A$3:$V$5001,0,$AX8),BD!$A$3:$A$5001,AG$5,BD!$B$3:$B$5001,$C$2))))</f>
        <v/>
      </c>
      <c r="AH8" s="172" t="str">
        <f>IF(OR($AW8=0,AH$5=""),"",IF($AY8="taxa",IF(COUNTIFS(BD!$A$3:$A$5001,AH$5,BD!$B$3:$B$5001,$C$2,BD!$M$3:$M$5001,"&lt;&gt;")=0,"",IFERROR(SUMIFS(BD!$M$3:$M$5001,BD!$A$3:$A$5001,AH$5,BD!$B$3:$B$5001,$C$2)/SUMIFS(BD!$L$3:$L$5001,BD!$A$3:$A$5001,AH$5,BD!$B$3:$B$5001,$C$2),"")),IF(COUNTIFS(BD!$A$3:$A$5001,AH$5,BD!$B$3:$B$5001,$C$2,INDEX(BD!$A$3:$V$5001,0,$AX8),"&lt;&gt;")=0,"",SUMIFS(INDEX(BD!$A$3:$V$5001,0,$AX8),BD!$A$3:$A$5001,AH$5,BD!$B$3:$B$5001,$C$2))))</f>
        <v/>
      </c>
      <c r="AI8" s="172" t="str">
        <f>IF(OR($AW8=0,AI$5=""),"",IF($AY8="taxa",IF(COUNTIFS(BD!$A$3:$A$5001,AI$5,BD!$B$3:$B$5001,$C$2,BD!$M$3:$M$5001,"&lt;&gt;")=0,"",IFERROR(SUMIFS(BD!$M$3:$M$5001,BD!$A$3:$A$5001,AI$5,BD!$B$3:$B$5001,$C$2)/SUMIFS(BD!$L$3:$L$5001,BD!$A$3:$A$5001,AI$5,BD!$B$3:$B$5001,$C$2),"")),IF(COUNTIFS(BD!$A$3:$A$5001,AI$5,BD!$B$3:$B$5001,$C$2,INDEX(BD!$A$3:$V$5001,0,$AX8),"&lt;&gt;")=0,"",SUMIFS(INDEX(BD!$A$3:$V$5001,0,$AX8),BD!$A$3:$A$5001,AI$5,BD!$B$3:$B$5001,$C$2))))</f>
        <v/>
      </c>
      <c r="AJ8" s="173" t="str">
        <f>IF(OR($AW8=0,AJ$5=""),"",IF($AY8="taxa",IF(COUNTIFS(BD!$A$3:$A$5001,AJ$5,BD!$B$3:$B$5001,$C$2,BD!$M$3:$M$5001,"&lt;&gt;")=0,"",IFERROR(SUMIFS(BD!$M$3:$M$5001,BD!$A$3:$A$5001,AJ$5,BD!$B$3:$B$5001,$C$2)/SUMIFS(BD!$L$3:$L$5001,BD!$A$3:$A$5001,AJ$5,BD!$B$3:$B$5001,$C$2),"")),IF(COUNTIFS(BD!$A$3:$A$5001,AJ$5,BD!$B$3:$B$5001,$C$2,INDEX(BD!$A$3:$V$5001,0,$AX8),"&lt;&gt;")=0,"",SUMIFS(INDEX(BD!$A$3:$V$5001,0,$AX8),BD!$A$3:$A$5001,AJ$5,BD!$B$3:$B$5001,$C$2))))</f>
        <v/>
      </c>
      <c r="AK8" s="169" t="str">
        <f>IF($AW8=0,"",IF($AY8="fluxo",IF(COUNT(F8:AJ8)=0,"",SUM(F8:AJ8)),IFERROR(LOOKUP(9.99E+307,F8:AJ8),"")))</f>
        <v/>
      </c>
      <c r="AN8" s="159" t="inlineStr">
        <is>
          <t xml:space="preserve">Pallets Movimentados</t>
        </is>
      </c>
      <c r="AO8" s="159" t="inlineStr">
        <is>
          <t xml:space="preserve">IN</t>
        </is>
      </c>
      <c r="AP8" s="159">
        <v>4</v>
      </c>
      <c r="AQ8" s="159" t="inlineStr">
        <is>
          <t xml:space="preserve">fluxo</t>
        </is>
      </c>
      <c r="AR8" s="159">
        <v>2</v>
      </c>
      <c r="AS8" s="159" t="inlineStr">
        <is>
          <t xml:space="preserve">int</t>
        </is>
      </c>
      <c r="AT8" s="159">
        <f>IF($C$2="",0,IF(IFERROR(INDEX(Config!$E$35:$E$54,MATCH($C$2,Config!$B$35:$B$54,0)),"Sim")="Não",0,1))</f>
        <v>1</v>
      </c>
      <c r="AU8" s="159">
        <f>AU7+AT8</f>
        <v>2</v>
      </c>
      <c r="AW8" s="159">
        <f>IFERROR(MATCH(2,$AU$7:$AU$26,0),0)</f>
        <v>2</v>
      </c>
      <c r="AX8" s="159">
        <f>IF($AW8=0,"",INDEX($AP$7:$AP$26,$AW8))</f>
        <v>4</v>
      </c>
      <c r="AY8" s="159" t="str">
        <f>IF($AW8=0,"",INDEX($AQ$7:$AQ$26,$AW8))</f>
        <v>fluxo</v>
      </c>
      <c r="AZ8" s="159" t="str">
        <f>IF($AW8=0,"",INDEX($AS$7:$AS$26,$AW8))</f>
        <v>int</v>
      </c>
      <c r="BA8" s="159">
        <f>IF($AW8=0,"",INDEX($AR$7:$AR$26,$AW8))</f>
        <v>2</v>
      </c>
    </row>
    <row r="9" ht="15.75" customHeight="1">
      <c r="A9" s="181"/>
      <c r="B9" s="167" t="str">
        <f>IF($AW9=0,"",INDEX($AO$7:$AO$26,$AW9))</f>
        <v>IN</v>
      </c>
      <c r="C9" s="168" t="str">
        <f>IF($AW9=0,"",INDEX($AN$7:$AN$26,$AW9))</f>
        <v>Toneladas Movimentadas</v>
      </c>
      <c r="D9" s="169" t="str">
        <f>IF(OR($AW9=0,N($BA9)=0),"",IFERROR(1/(1/INDEX(BD!$Y$23:$AS$42,$BA9,MATCH($C$2,BD!$Y$22:$AS$22,0))),""))</f>
        <v/>
      </c>
      <c r="E9" s="170"/>
      <c r="F9" s="171" t="str">
        <f>IF(OR($AW9=0,F$5=""),"",IF($AY9="taxa",IF(COUNTIFS(BD!$A$3:$A$5001,F$5,BD!$B$3:$B$5001,$C$2,BD!$M$3:$M$5001,"&lt;&gt;")=0,"",IFERROR(SUMIFS(BD!$M$3:$M$5001,BD!$A$3:$A$5001,F$5,BD!$B$3:$B$5001,$C$2)/SUMIFS(BD!$L$3:$L$5001,BD!$A$3:$A$5001,F$5,BD!$B$3:$B$5001,$C$2),"")),IF(COUNTIFS(BD!$A$3:$A$5001,F$5,BD!$B$3:$B$5001,$C$2,INDEX(BD!$A$3:$V$5001,0,$AX9),"&lt;&gt;")=0,"",SUMIFS(INDEX(BD!$A$3:$V$5001,0,$AX9),BD!$A$3:$A$5001,F$5,BD!$B$3:$B$5001,$C$2))))</f>
        <v/>
      </c>
      <c r="G9" s="172" t="str">
        <f>IF(OR($AW9=0,G$5=""),"",IF($AY9="taxa",IF(COUNTIFS(BD!$A$3:$A$5001,G$5,BD!$B$3:$B$5001,$C$2,BD!$M$3:$M$5001,"&lt;&gt;")=0,"",IFERROR(SUMIFS(BD!$M$3:$M$5001,BD!$A$3:$A$5001,G$5,BD!$B$3:$B$5001,$C$2)/SUMIFS(BD!$L$3:$L$5001,BD!$A$3:$A$5001,G$5,BD!$B$3:$B$5001,$C$2),"")),IF(COUNTIFS(BD!$A$3:$A$5001,G$5,BD!$B$3:$B$5001,$C$2,INDEX(BD!$A$3:$V$5001,0,$AX9),"&lt;&gt;")=0,"",SUMIFS(INDEX(BD!$A$3:$V$5001,0,$AX9),BD!$A$3:$A$5001,G$5,BD!$B$3:$B$5001,$C$2))))</f>
        <v/>
      </c>
      <c r="H9" s="172" t="str">
        <f>IF(OR($AW9=0,H$5=""),"",IF($AY9="taxa",IF(COUNTIFS(BD!$A$3:$A$5001,H$5,BD!$B$3:$B$5001,$C$2,BD!$M$3:$M$5001,"&lt;&gt;")=0,"",IFERROR(SUMIFS(BD!$M$3:$M$5001,BD!$A$3:$A$5001,H$5,BD!$B$3:$B$5001,$C$2)/SUMIFS(BD!$L$3:$L$5001,BD!$A$3:$A$5001,H$5,BD!$B$3:$B$5001,$C$2),"")),IF(COUNTIFS(BD!$A$3:$A$5001,H$5,BD!$B$3:$B$5001,$C$2,INDEX(BD!$A$3:$V$5001,0,$AX9),"&lt;&gt;")=0,"",SUMIFS(INDEX(BD!$A$3:$V$5001,0,$AX9),BD!$A$3:$A$5001,H$5,BD!$B$3:$B$5001,$C$2))))</f>
        <v/>
      </c>
      <c r="I9" s="172" t="str">
        <f>IF(OR($AW9=0,I$5=""),"",IF($AY9="taxa",IF(COUNTIFS(BD!$A$3:$A$5001,I$5,BD!$B$3:$B$5001,$C$2,BD!$M$3:$M$5001,"&lt;&gt;")=0,"",IFERROR(SUMIFS(BD!$M$3:$M$5001,BD!$A$3:$A$5001,I$5,BD!$B$3:$B$5001,$C$2)/SUMIFS(BD!$L$3:$L$5001,BD!$A$3:$A$5001,I$5,BD!$B$3:$B$5001,$C$2),"")),IF(COUNTIFS(BD!$A$3:$A$5001,I$5,BD!$B$3:$B$5001,$C$2,INDEX(BD!$A$3:$V$5001,0,$AX9),"&lt;&gt;")=0,"",SUMIFS(INDEX(BD!$A$3:$V$5001,0,$AX9),BD!$A$3:$A$5001,I$5,BD!$B$3:$B$5001,$C$2))))</f>
        <v/>
      </c>
      <c r="J9" s="172" t="str">
        <f>IF(OR($AW9=0,J$5=""),"",IF($AY9="taxa",IF(COUNTIFS(BD!$A$3:$A$5001,J$5,BD!$B$3:$B$5001,$C$2,BD!$M$3:$M$5001,"&lt;&gt;")=0,"",IFERROR(SUMIFS(BD!$M$3:$M$5001,BD!$A$3:$A$5001,J$5,BD!$B$3:$B$5001,$C$2)/SUMIFS(BD!$L$3:$L$5001,BD!$A$3:$A$5001,J$5,BD!$B$3:$B$5001,$C$2),"")),IF(COUNTIFS(BD!$A$3:$A$5001,J$5,BD!$B$3:$B$5001,$C$2,INDEX(BD!$A$3:$V$5001,0,$AX9),"&lt;&gt;")=0,"",SUMIFS(INDEX(BD!$A$3:$V$5001,0,$AX9),BD!$A$3:$A$5001,J$5,BD!$B$3:$B$5001,$C$2))))</f>
        <v/>
      </c>
      <c r="K9" s="172" t="str">
        <f>IF(OR($AW9=0,K$5=""),"",IF($AY9="taxa",IF(COUNTIFS(BD!$A$3:$A$5001,K$5,BD!$B$3:$B$5001,$C$2,BD!$M$3:$M$5001,"&lt;&gt;")=0,"",IFERROR(SUMIFS(BD!$M$3:$M$5001,BD!$A$3:$A$5001,K$5,BD!$B$3:$B$5001,$C$2)/SUMIFS(BD!$L$3:$L$5001,BD!$A$3:$A$5001,K$5,BD!$B$3:$B$5001,$C$2),"")),IF(COUNTIFS(BD!$A$3:$A$5001,K$5,BD!$B$3:$B$5001,$C$2,INDEX(BD!$A$3:$V$5001,0,$AX9),"&lt;&gt;")=0,"",SUMIFS(INDEX(BD!$A$3:$V$5001,0,$AX9),BD!$A$3:$A$5001,K$5,BD!$B$3:$B$5001,$C$2))))</f>
        <v/>
      </c>
      <c r="L9" s="172" t="str">
        <f>IF(OR($AW9=0,L$5=""),"",IF($AY9="taxa",IF(COUNTIFS(BD!$A$3:$A$5001,L$5,BD!$B$3:$B$5001,$C$2,BD!$M$3:$M$5001,"&lt;&gt;")=0,"",IFERROR(SUMIFS(BD!$M$3:$M$5001,BD!$A$3:$A$5001,L$5,BD!$B$3:$B$5001,$C$2)/SUMIFS(BD!$L$3:$L$5001,BD!$A$3:$A$5001,L$5,BD!$B$3:$B$5001,$C$2),"")),IF(COUNTIFS(BD!$A$3:$A$5001,L$5,BD!$B$3:$B$5001,$C$2,INDEX(BD!$A$3:$V$5001,0,$AX9),"&lt;&gt;")=0,"",SUMIFS(INDEX(BD!$A$3:$V$5001,0,$AX9),BD!$A$3:$A$5001,L$5,BD!$B$3:$B$5001,$C$2))))</f>
        <v/>
      </c>
      <c r="M9" s="172" t="str">
        <f>IF(OR($AW9=0,M$5=""),"",IF($AY9="taxa",IF(COUNTIFS(BD!$A$3:$A$5001,M$5,BD!$B$3:$B$5001,$C$2,BD!$M$3:$M$5001,"&lt;&gt;")=0,"",IFERROR(SUMIFS(BD!$M$3:$M$5001,BD!$A$3:$A$5001,M$5,BD!$B$3:$B$5001,$C$2)/SUMIFS(BD!$L$3:$L$5001,BD!$A$3:$A$5001,M$5,BD!$B$3:$B$5001,$C$2),"")),IF(COUNTIFS(BD!$A$3:$A$5001,M$5,BD!$B$3:$B$5001,$C$2,INDEX(BD!$A$3:$V$5001,0,$AX9),"&lt;&gt;")=0,"",SUMIFS(INDEX(BD!$A$3:$V$5001,0,$AX9),BD!$A$3:$A$5001,M$5,BD!$B$3:$B$5001,$C$2))))</f>
        <v/>
      </c>
      <c r="N9" s="172" t="str">
        <f>IF(OR($AW9=0,N$5=""),"",IF($AY9="taxa",IF(COUNTIFS(BD!$A$3:$A$5001,N$5,BD!$B$3:$B$5001,$C$2,BD!$M$3:$M$5001,"&lt;&gt;")=0,"",IFERROR(SUMIFS(BD!$M$3:$M$5001,BD!$A$3:$A$5001,N$5,BD!$B$3:$B$5001,$C$2)/SUMIFS(BD!$L$3:$L$5001,BD!$A$3:$A$5001,N$5,BD!$B$3:$B$5001,$C$2),"")),IF(COUNTIFS(BD!$A$3:$A$5001,N$5,BD!$B$3:$B$5001,$C$2,INDEX(BD!$A$3:$V$5001,0,$AX9),"&lt;&gt;")=0,"",SUMIFS(INDEX(BD!$A$3:$V$5001,0,$AX9),BD!$A$3:$A$5001,N$5,BD!$B$3:$B$5001,$C$2))))</f>
        <v/>
      </c>
      <c r="O9" s="172" t="str">
        <f>IF(OR($AW9=0,O$5=""),"",IF($AY9="taxa",IF(COUNTIFS(BD!$A$3:$A$5001,O$5,BD!$B$3:$B$5001,$C$2,BD!$M$3:$M$5001,"&lt;&gt;")=0,"",IFERROR(SUMIFS(BD!$M$3:$M$5001,BD!$A$3:$A$5001,O$5,BD!$B$3:$B$5001,$C$2)/SUMIFS(BD!$L$3:$L$5001,BD!$A$3:$A$5001,O$5,BD!$B$3:$B$5001,$C$2),"")),IF(COUNTIFS(BD!$A$3:$A$5001,O$5,BD!$B$3:$B$5001,$C$2,INDEX(BD!$A$3:$V$5001,0,$AX9),"&lt;&gt;")=0,"",SUMIFS(INDEX(BD!$A$3:$V$5001,0,$AX9),BD!$A$3:$A$5001,O$5,BD!$B$3:$B$5001,$C$2))))</f>
        <v/>
      </c>
      <c r="P9" s="172" t="str">
        <f>IF(OR($AW9=0,P$5=""),"",IF($AY9="taxa",IF(COUNTIFS(BD!$A$3:$A$5001,P$5,BD!$B$3:$B$5001,$C$2,BD!$M$3:$M$5001,"&lt;&gt;")=0,"",IFERROR(SUMIFS(BD!$M$3:$M$5001,BD!$A$3:$A$5001,P$5,BD!$B$3:$B$5001,$C$2)/SUMIFS(BD!$L$3:$L$5001,BD!$A$3:$A$5001,P$5,BD!$B$3:$B$5001,$C$2),"")),IF(COUNTIFS(BD!$A$3:$A$5001,P$5,BD!$B$3:$B$5001,$C$2,INDEX(BD!$A$3:$V$5001,0,$AX9),"&lt;&gt;")=0,"",SUMIFS(INDEX(BD!$A$3:$V$5001,0,$AX9),BD!$A$3:$A$5001,P$5,BD!$B$3:$B$5001,$C$2))))</f>
        <v/>
      </c>
      <c r="Q9" s="172" t="str">
        <f>IF(OR($AW9=0,Q$5=""),"",IF($AY9="taxa",IF(COUNTIFS(BD!$A$3:$A$5001,Q$5,BD!$B$3:$B$5001,$C$2,BD!$M$3:$M$5001,"&lt;&gt;")=0,"",IFERROR(SUMIFS(BD!$M$3:$M$5001,BD!$A$3:$A$5001,Q$5,BD!$B$3:$B$5001,$C$2)/SUMIFS(BD!$L$3:$L$5001,BD!$A$3:$A$5001,Q$5,BD!$B$3:$B$5001,$C$2),"")),IF(COUNTIFS(BD!$A$3:$A$5001,Q$5,BD!$B$3:$B$5001,$C$2,INDEX(BD!$A$3:$V$5001,0,$AX9),"&lt;&gt;")=0,"",SUMIFS(INDEX(BD!$A$3:$V$5001,0,$AX9),BD!$A$3:$A$5001,Q$5,BD!$B$3:$B$5001,$C$2))))</f>
        <v/>
      </c>
      <c r="R9" s="172" t="str">
        <f>IF(OR($AW9=0,R$5=""),"",IF($AY9="taxa",IF(COUNTIFS(BD!$A$3:$A$5001,R$5,BD!$B$3:$B$5001,$C$2,BD!$M$3:$M$5001,"&lt;&gt;")=0,"",IFERROR(SUMIFS(BD!$M$3:$M$5001,BD!$A$3:$A$5001,R$5,BD!$B$3:$B$5001,$C$2)/SUMIFS(BD!$L$3:$L$5001,BD!$A$3:$A$5001,R$5,BD!$B$3:$B$5001,$C$2),"")),IF(COUNTIFS(BD!$A$3:$A$5001,R$5,BD!$B$3:$B$5001,$C$2,INDEX(BD!$A$3:$V$5001,0,$AX9),"&lt;&gt;")=0,"",SUMIFS(INDEX(BD!$A$3:$V$5001,0,$AX9),BD!$A$3:$A$5001,R$5,BD!$B$3:$B$5001,$C$2))))</f>
        <v/>
      </c>
      <c r="S9" s="172" t="str">
        <f>IF(OR($AW9=0,S$5=""),"",IF($AY9="taxa",IF(COUNTIFS(BD!$A$3:$A$5001,S$5,BD!$B$3:$B$5001,$C$2,BD!$M$3:$M$5001,"&lt;&gt;")=0,"",IFERROR(SUMIFS(BD!$M$3:$M$5001,BD!$A$3:$A$5001,S$5,BD!$B$3:$B$5001,$C$2)/SUMIFS(BD!$L$3:$L$5001,BD!$A$3:$A$5001,S$5,BD!$B$3:$B$5001,$C$2),"")),IF(COUNTIFS(BD!$A$3:$A$5001,S$5,BD!$B$3:$B$5001,$C$2,INDEX(BD!$A$3:$V$5001,0,$AX9),"&lt;&gt;")=0,"",SUMIFS(INDEX(BD!$A$3:$V$5001,0,$AX9),BD!$A$3:$A$5001,S$5,BD!$B$3:$B$5001,$C$2))))</f>
        <v/>
      </c>
      <c r="T9" s="172" t="str">
        <f>IF(OR($AW9=0,T$5=""),"",IF($AY9="taxa",IF(COUNTIFS(BD!$A$3:$A$5001,T$5,BD!$B$3:$B$5001,$C$2,BD!$M$3:$M$5001,"&lt;&gt;")=0,"",IFERROR(SUMIFS(BD!$M$3:$M$5001,BD!$A$3:$A$5001,T$5,BD!$B$3:$B$5001,$C$2)/SUMIFS(BD!$L$3:$L$5001,BD!$A$3:$A$5001,T$5,BD!$B$3:$B$5001,$C$2),"")),IF(COUNTIFS(BD!$A$3:$A$5001,T$5,BD!$B$3:$B$5001,$C$2,INDEX(BD!$A$3:$V$5001,0,$AX9),"&lt;&gt;")=0,"",SUMIFS(INDEX(BD!$A$3:$V$5001,0,$AX9),BD!$A$3:$A$5001,T$5,BD!$B$3:$B$5001,$C$2))))</f>
        <v/>
      </c>
      <c r="U9" s="172" t="str">
        <f>IF(OR($AW9=0,U$5=""),"",IF($AY9="taxa",IF(COUNTIFS(BD!$A$3:$A$5001,U$5,BD!$B$3:$B$5001,$C$2,BD!$M$3:$M$5001,"&lt;&gt;")=0,"",IFERROR(SUMIFS(BD!$M$3:$M$5001,BD!$A$3:$A$5001,U$5,BD!$B$3:$B$5001,$C$2)/SUMIFS(BD!$L$3:$L$5001,BD!$A$3:$A$5001,U$5,BD!$B$3:$B$5001,$C$2),"")),IF(COUNTIFS(BD!$A$3:$A$5001,U$5,BD!$B$3:$B$5001,$C$2,INDEX(BD!$A$3:$V$5001,0,$AX9),"&lt;&gt;")=0,"",SUMIFS(INDEX(BD!$A$3:$V$5001,0,$AX9),BD!$A$3:$A$5001,U$5,BD!$B$3:$B$5001,$C$2))))</f>
        <v/>
      </c>
      <c r="V9" s="172" t="str">
        <f>IF(OR($AW9=0,V$5=""),"",IF($AY9="taxa",IF(COUNTIFS(BD!$A$3:$A$5001,V$5,BD!$B$3:$B$5001,$C$2,BD!$M$3:$M$5001,"&lt;&gt;")=0,"",IFERROR(SUMIFS(BD!$M$3:$M$5001,BD!$A$3:$A$5001,V$5,BD!$B$3:$B$5001,$C$2)/SUMIFS(BD!$L$3:$L$5001,BD!$A$3:$A$5001,V$5,BD!$B$3:$B$5001,$C$2),"")),IF(COUNTIFS(BD!$A$3:$A$5001,V$5,BD!$B$3:$B$5001,$C$2,INDEX(BD!$A$3:$V$5001,0,$AX9),"&lt;&gt;")=0,"",SUMIFS(INDEX(BD!$A$3:$V$5001,0,$AX9),BD!$A$3:$A$5001,V$5,BD!$B$3:$B$5001,$C$2))))</f>
        <v/>
      </c>
      <c r="W9" s="172" t="str">
        <f>IF(OR($AW9=0,W$5=""),"",IF($AY9="taxa",IF(COUNTIFS(BD!$A$3:$A$5001,W$5,BD!$B$3:$B$5001,$C$2,BD!$M$3:$M$5001,"&lt;&gt;")=0,"",IFERROR(SUMIFS(BD!$M$3:$M$5001,BD!$A$3:$A$5001,W$5,BD!$B$3:$B$5001,$C$2)/SUMIFS(BD!$L$3:$L$5001,BD!$A$3:$A$5001,W$5,BD!$B$3:$B$5001,$C$2),"")),IF(COUNTIFS(BD!$A$3:$A$5001,W$5,BD!$B$3:$B$5001,$C$2,INDEX(BD!$A$3:$V$5001,0,$AX9),"&lt;&gt;")=0,"",SUMIFS(INDEX(BD!$A$3:$V$5001,0,$AX9),BD!$A$3:$A$5001,W$5,BD!$B$3:$B$5001,$C$2))))</f>
        <v/>
      </c>
      <c r="X9" s="172" t="str">
        <f>IF(OR($AW9=0,X$5=""),"",IF($AY9="taxa",IF(COUNTIFS(BD!$A$3:$A$5001,X$5,BD!$B$3:$B$5001,$C$2,BD!$M$3:$M$5001,"&lt;&gt;")=0,"",IFERROR(SUMIFS(BD!$M$3:$M$5001,BD!$A$3:$A$5001,X$5,BD!$B$3:$B$5001,$C$2)/SUMIFS(BD!$L$3:$L$5001,BD!$A$3:$A$5001,X$5,BD!$B$3:$B$5001,$C$2),"")),IF(COUNTIFS(BD!$A$3:$A$5001,X$5,BD!$B$3:$B$5001,$C$2,INDEX(BD!$A$3:$V$5001,0,$AX9),"&lt;&gt;")=0,"",SUMIFS(INDEX(BD!$A$3:$V$5001,0,$AX9),BD!$A$3:$A$5001,X$5,BD!$B$3:$B$5001,$C$2))))</f>
        <v/>
      </c>
      <c r="Y9" s="172" t="str">
        <f>IF(OR($AW9=0,Y$5=""),"",IF($AY9="taxa",IF(COUNTIFS(BD!$A$3:$A$5001,Y$5,BD!$B$3:$B$5001,$C$2,BD!$M$3:$M$5001,"&lt;&gt;")=0,"",IFERROR(SUMIFS(BD!$M$3:$M$5001,BD!$A$3:$A$5001,Y$5,BD!$B$3:$B$5001,$C$2)/SUMIFS(BD!$L$3:$L$5001,BD!$A$3:$A$5001,Y$5,BD!$B$3:$B$5001,$C$2),"")),IF(COUNTIFS(BD!$A$3:$A$5001,Y$5,BD!$B$3:$B$5001,$C$2,INDEX(BD!$A$3:$V$5001,0,$AX9),"&lt;&gt;")=0,"",SUMIFS(INDEX(BD!$A$3:$V$5001,0,$AX9),BD!$A$3:$A$5001,Y$5,BD!$B$3:$B$5001,$C$2))))</f>
        <v/>
      </c>
      <c r="Z9" s="172" t="str">
        <f>IF(OR($AW9=0,Z$5=""),"",IF($AY9="taxa",IF(COUNTIFS(BD!$A$3:$A$5001,Z$5,BD!$B$3:$B$5001,$C$2,BD!$M$3:$M$5001,"&lt;&gt;")=0,"",IFERROR(SUMIFS(BD!$M$3:$M$5001,BD!$A$3:$A$5001,Z$5,BD!$B$3:$B$5001,$C$2)/SUMIFS(BD!$L$3:$L$5001,BD!$A$3:$A$5001,Z$5,BD!$B$3:$B$5001,$C$2),"")),IF(COUNTIFS(BD!$A$3:$A$5001,Z$5,BD!$B$3:$B$5001,$C$2,INDEX(BD!$A$3:$V$5001,0,$AX9),"&lt;&gt;")=0,"",SUMIFS(INDEX(BD!$A$3:$V$5001,0,$AX9),BD!$A$3:$A$5001,Z$5,BD!$B$3:$B$5001,$C$2))))</f>
        <v/>
      </c>
      <c r="AA9" s="172" t="str">
        <f>IF(OR($AW9=0,AA$5=""),"",IF($AY9="taxa",IF(COUNTIFS(BD!$A$3:$A$5001,AA$5,BD!$B$3:$B$5001,$C$2,BD!$M$3:$M$5001,"&lt;&gt;")=0,"",IFERROR(SUMIFS(BD!$M$3:$M$5001,BD!$A$3:$A$5001,AA$5,BD!$B$3:$B$5001,$C$2)/SUMIFS(BD!$L$3:$L$5001,BD!$A$3:$A$5001,AA$5,BD!$B$3:$B$5001,$C$2),"")),IF(COUNTIFS(BD!$A$3:$A$5001,AA$5,BD!$B$3:$B$5001,$C$2,INDEX(BD!$A$3:$V$5001,0,$AX9),"&lt;&gt;")=0,"",SUMIFS(INDEX(BD!$A$3:$V$5001,0,$AX9),BD!$A$3:$A$5001,AA$5,BD!$B$3:$B$5001,$C$2))))</f>
        <v/>
      </c>
      <c r="AB9" s="172" t="str">
        <f>IF(OR($AW9=0,AB$5=""),"",IF($AY9="taxa",IF(COUNTIFS(BD!$A$3:$A$5001,AB$5,BD!$B$3:$B$5001,$C$2,BD!$M$3:$M$5001,"&lt;&gt;")=0,"",IFERROR(SUMIFS(BD!$M$3:$M$5001,BD!$A$3:$A$5001,AB$5,BD!$B$3:$B$5001,$C$2)/SUMIFS(BD!$L$3:$L$5001,BD!$A$3:$A$5001,AB$5,BD!$B$3:$B$5001,$C$2),"")),IF(COUNTIFS(BD!$A$3:$A$5001,AB$5,BD!$B$3:$B$5001,$C$2,INDEX(BD!$A$3:$V$5001,0,$AX9),"&lt;&gt;")=0,"",SUMIFS(INDEX(BD!$A$3:$V$5001,0,$AX9),BD!$A$3:$A$5001,AB$5,BD!$B$3:$B$5001,$C$2))))</f>
        <v/>
      </c>
      <c r="AC9" s="172" t="str">
        <f>IF(OR($AW9=0,AC$5=""),"",IF($AY9="taxa",IF(COUNTIFS(BD!$A$3:$A$5001,AC$5,BD!$B$3:$B$5001,$C$2,BD!$M$3:$M$5001,"&lt;&gt;")=0,"",IFERROR(SUMIFS(BD!$M$3:$M$5001,BD!$A$3:$A$5001,AC$5,BD!$B$3:$B$5001,$C$2)/SUMIFS(BD!$L$3:$L$5001,BD!$A$3:$A$5001,AC$5,BD!$B$3:$B$5001,$C$2),"")),IF(COUNTIFS(BD!$A$3:$A$5001,AC$5,BD!$B$3:$B$5001,$C$2,INDEX(BD!$A$3:$V$5001,0,$AX9),"&lt;&gt;")=0,"",SUMIFS(INDEX(BD!$A$3:$V$5001,0,$AX9),BD!$A$3:$A$5001,AC$5,BD!$B$3:$B$5001,$C$2))))</f>
        <v/>
      </c>
      <c r="AD9" s="172" t="str">
        <f>IF(OR($AW9=0,AD$5=""),"",IF($AY9="taxa",IF(COUNTIFS(BD!$A$3:$A$5001,AD$5,BD!$B$3:$B$5001,$C$2,BD!$M$3:$M$5001,"&lt;&gt;")=0,"",IFERROR(SUMIFS(BD!$M$3:$M$5001,BD!$A$3:$A$5001,AD$5,BD!$B$3:$B$5001,$C$2)/SUMIFS(BD!$L$3:$L$5001,BD!$A$3:$A$5001,AD$5,BD!$B$3:$B$5001,$C$2),"")),IF(COUNTIFS(BD!$A$3:$A$5001,AD$5,BD!$B$3:$B$5001,$C$2,INDEX(BD!$A$3:$V$5001,0,$AX9),"&lt;&gt;")=0,"",SUMIFS(INDEX(BD!$A$3:$V$5001,0,$AX9),BD!$A$3:$A$5001,AD$5,BD!$B$3:$B$5001,$C$2))))</f>
        <v/>
      </c>
      <c r="AE9" s="172" t="str">
        <f>IF(OR($AW9=0,AE$5=""),"",IF($AY9="taxa",IF(COUNTIFS(BD!$A$3:$A$5001,AE$5,BD!$B$3:$B$5001,$C$2,BD!$M$3:$M$5001,"&lt;&gt;")=0,"",IFERROR(SUMIFS(BD!$M$3:$M$5001,BD!$A$3:$A$5001,AE$5,BD!$B$3:$B$5001,$C$2)/SUMIFS(BD!$L$3:$L$5001,BD!$A$3:$A$5001,AE$5,BD!$B$3:$B$5001,$C$2),"")),IF(COUNTIFS(BD!$A$3:$A$5001,AE$5,BD!$B$3:$B$5001,$C$2,INDEX(BD!$A$3:$V$5001,0,$AX9),"&lt;&gt;")=0,"",SUMIFS(INDEX(BD!$A$3:$V$5001,0,$AX9),BD!$A$3:$A$5001,AE$5,BD!$B$3:$B$5001,$C$2))))</f>
        <v/>
      </c>
      <c r="AF9" s="172" t="str">
        <f>IF(OR($AW9=0,AF$5=""),"",IF($AY9="taxa",IF(COUNTIFS(BD!$A$3:$A$5001,AF$5,BD!$B$3:$B$5001,$C$2,BD!$M$3:$M$5001,"&lt;&gt;")=0,"",IFERROR(SUMIFS(BD!$M$3:$M$5001,BD!$A$3:$A$5001,AF$5,BD!$B$3:$B$5001,$C$2)/SUMIFS(BD!$L$3:$L$5001,BD!$A$3:$A$5001,AF$5,BD!$B$3:$B$5001,$C$2),"")),IF(COUNTIFS(BD!$A$3:$A$5001,AF$5,BD!$B$3:$B$5001,$C$2,INDEX(BD!$A$3:$V$5001,0,$AX9),"&lt;&gt;")=0,"",SUMIFS(INDEX(BD!$A$3:$V$5001,0,$AX9),BD!$A$3:$A$5001,AF$5,BD!$B$3:$B$5001,$C$2))))</f>
        <v/>
      </c>
      <c r="AG9" s="172" t="str">
        <f>IF(OR($AW9=0,AG$5=""),"",IF($AY9="taxa",IF(COUNTIFS(BD!$A$3:$A$5001,AG$5,BD!$B$3:$B$5001,$C$2,BD!$M$3:$M$5001,"&lt;&gt;")=0,"",IFERROR(SUMIFS(BD!$M$3:$M$5001,BD!$A$3:$A$5001,AG$5,BD!$B$3:$B$5001,$C$2)/SUMIFS(BD!$L$3:$L$5001,BD!$A$3:$A$5001,AG$5,BD!$B$3:$B$5001,$C$2),"")),IF(COUNTIFS(BD!$A$3:$A$5001,AG$5,BD!$B$3:$B$5001,$C$2,INDEX(BD!$A$3:$V$5001,0,$AX9),"&lt;&gt;")=0,"",SUMIFS(INDEX(BD!$A$3:$V$5001,0,$AX9),BD!$A$3:$A$5001,AG$5,BD!$B$3:$B$5001,$C$2))))</f>
        <v/>
      </c>
      <c r="AH9" s="172" t="str">
        <f>IF(OR($AW9=0,AH$5=""),"",IF($AY9="taxa",IF(COUNTIFS(BD!$A$3:$A$5001,AH$5,BD!$B$3:$B$5001,$C$2,BD!$M$3:$M$5001,"&lt;&gt;")=0,"",IFERROR(SUMIFS(BD!$M$3:$M$5001,BD!$A$3:$A$5001,AH$5,BD!$B$3:$B$5001,$C$2)/SUMIFS(BD!$L$3:$L$5001,BD!$A$3:$A$5001,AH$5,BD!$B$3:$B$5001,$C$2),"")),IF(COUNTIFS(BD!$A$3:$A$5001,AH$5,BD!$B$3:$B$5001,$C$2,INDEX(BD!$A$3:$V$5001,0,$AX9),"&lt;&gt;")=0,"",SUMIFS(INDEX(BD!$A$3:$V$5001,0,$AX9),BD!$A$3:$A$5001,AH$5,BD!$B$3:$B$5001,$C$2))))</f>
        <v/>
      </c>
      <c r="AI9" s="172" t="str">
        <f>IF(OR($AW9=0,AI$5=""),"",IF($AY9="taxa",IF(COUNTIFS(BD!$A$3:$A$5001,AI$5,BD!$B$3:$B$5001,$C$2,BD!$M$3:$M$5001,"&lt;&gt;")=0,"",IFERROR(SUMIFS(BD!$M$3:$M$5001,BD!$A$3:$A$5001,AI$5,BD!$B$3:$B$5001,$C$2)/SUMIFS(BD!$L$3:$L$5001,BD!$A$3:$A$5001,AI$5,BD!$B$3:$B$5001,$C$2),"")),IF(COUNTIFS(BD!$A$3:$A$5001,AI$5,BD!$B$3:$B$5001,$C$2,INDEX(BD!$A$3:$V$5001,0,$AX9),"&lt;&gt;")=0,"",SUMIFS(INDEX(BD!$A$3:$V$5001,0,$AX9),BD!$A$3:$A$5001,AI$5,BD!$B$3:$B$5001,$C$2))))</f>
        <v/>
      </c>
      <c r="AJ9" s="173" t="str">
        <f>IF(OR($AW9=0,AJ$5=""),"",IF($AY9="taxa",IF(COUNTIFS(BD!$A$3:$A$5001,AJ$5,BD!$B$3:$B$5001,$C$2,BD!$M$3:$M$5001,"&lt;&gt;")=0,"",IFERROR(SUMIFS(BD!$M$3:$M$5001,BD!$A$3:$A$5001,AJ$5,BD!$B$3:$B$5001,$C$2)/SUMIFS(BD!$L$3:$L$5001,BD!$A$3:$A$5001,AJ$5,BD!$B$3:$B$5001,$C$2),"")),IF(COUNTIFS(BD!$A$3:$A$5001,AJ$5,BD!$B$3:$B$5001,$C$2,INDEX(BD!$A$3:$V$5001,0,$AX9),"&lt;&gt;")=0,"",SUMIFS(INDEX(BD!$A$3:$V$5001,0,$AX9),BD!$A$3:$A$5001,AJ$5,BD!$B$3:$B$5001,$C$2))))</f>
        <v/>
      </c>
      <c r="AK9" s="169" t="str">
        <f>IF($AW9=0,"",IF($AY9="fluxo",IF(COUNT(F9:AJ9)=0,"",SUM(F9:AJ9)),IFERROR(LOOKUP(9.99E+307,F9:AJ9),"")))</f>
        <v/>
      </c>
      <c r="AN9" s="159" t="inlineStr">
        <is>
          <t xml:space="preserve">Toneladas Movimentadas</t>
        </is>
      </c>
      <c r="AO9" s="159" t="inlineStr">
        <is>
          <t xml:space="preserve">IN</t>
        </is>
      </c>
      <c r="AP9" s="159">
        <v>5</v>
      </c>
      <c r="AQ9" s="159" t="inlineStr">
        <is>
          <t xml:space="preserve">fluxo</t>
        </is>
      </c>
      <c r="AR9" s="159">
        <v>3</v>
      </c>
      <c r="AS9" s="159" t="inlineStr">
        <is>
          <t xml:space="preserve">dec</t>
        </is>
      </c>
      <c r="AT9" s="159">
        <f>IF($C$2="",0,IF(IFERROR(INDEX(Config!$F$35:$F$54,MATCH($C$2,Config!$B$35:$B$54,0)),"Sim")="Não",0,1))</f>
        <v>1</v>
      </c>
      <c r="AU9" s="159">
        <f>AU8+AT9</f>
        <v>3</v>
      </c>
      <c r="AW9" s="159">
        <f>IFERROR(MATCH(3,$AU$7:$AU$26,0),0)</f>
        <v>3</v>
      </c>
      <c r="AX9" s="159">
        <f>IF($AW9=0,"",INDEX($AP$7:$AP$26,$AW9))</f>
        <v>5</v>
      </c>
      <c r="AY9" s="159" t="str">
        <f>IF($AW9=0,"",INDEX($AQ$7:$AQ$26,$AW9))</f>
        <v>fluxo</v>
      </c>
      <c r="AZ9" s="159" t="str">
        <f>IF($AW9=0,"",INDEX($AS$7:$AS$26,$AW9))</f>
        <v>dec</v>
      </c>
      <c r="BA9" s="159">
        <f>IF($AW9=0,"",INDEX($AR$7:$AR$26,$AW9))</f>
        <v>3</v>
      </c>
    </row>
    <row r="10" ht="15.75" customHeight="1">
      <c r="A10" s="181"/>
      <c r="B10" s="167" t="str">
        <f>IF($AW10=0,"",INDEX($AO$7:$AO$26,$AW10))</f>
        <v>OUT</v>
      </c>
      <c r="C10" s="168" t="str">
        <f>IF($AW10=0,"",INDEX($AN$7:$AN$26,$AW10))</f>
        <v>Veículos Expedidos</v>
      </c>
      <c r="D10" s="169" t="str">
        <f>IF(OR($AW10=0,N($BA10)=0),"",IFERROR(1/(1/INDEX(BD!$Y$23:$AS$42,$BA10,MATCH($C$2,BD!$Y$22:$AS$22,0))),""))</f>
        <v/>
      </c>
      <c r="E10" s="170"/>
      <c r="F10" s="171" t="str">
        <f>IF(OR($AW10=0,F$5=""),"",IF($AY10="taxa",IF(COUNTIFS(BD!$A$3:$A$5001,F$5,BD!$B$3:$B$5001,$C$2,BD!$M$3:$M$5001,"&lt;&gt;")=0,"",IFERROR(SUMIFS(BD!$M$3:$M$5001,BD!$A$3:$A$5001,F$5,BD!$B$3:$B$5001,$C$2)/SUMIFS(BD!$L$3:$L$5001,BD!$A$3:$A$5001,F$5,BD!$B$3:$B$5001,$C$2),"")),IF(COUNTIFS(BD!$A$3:$A$5001,F$5,BD!$B$3:$B$5001,$C$2,INDEX(BD!$A$3:$V$5001,0,$AX10),"&lt;&gt;")=0,"",SUMIFS(INDEX(BD!$A$3:$V$5001,0,$AX10),BD!$A$3:$A$5001,F$5,BD!$B$3:$B$5001,$C$2))))</f>
        <v/>
      </c>
      <c r="G10" s="172" t="str">
        <f>IF(OR($AW10=0,G$5=""),"",IF($AY10="taxa",IF(COUNTIFS(BD!$A$3:$A$5001,G$5,BD!$B$3:$B$5001,$C$2,BD!$M$3:$M$5001,"&lt;&gt;")=0,"",IFERROR(SUMIFS(BD!$M$3:$M$5001,BD!$A$3:$A$5001,G$5,BD!$B$3:$B$5001,$C$2)/SUMIFS(BD!$L$3:$L$5001,BD!$A$3:$A$5001,G$5,BD!$B$3:$B$5001,$C$2),"")),IF(COUNTIFS(BD!$A$3:$A$5001,G$5,BD!$B$3:$B$5001,$C$2,INDEX(BD!$A$3:$V$5001,0,$AX10),"&lt;&gt;")=0,"",SUMIFS(INDEX(BD!$A$3:$V$5001,0,$AX10),BD!$A$3:$A$5001,G$5,BD!$B$3:$B$5001,$C$2))))</f>
        <v/>
      </c>
      <c r="H10" s="172" t="str">
        <f>IF(OR($AW10=0,H$5=""),"",IF($AY10="taxa",IF(COUNTIFS(BD!$A$3:$A$5001,H$5,BD!$B$3:$B$5001,$C$2,BD!$M$3:$M$5001,"&lt;&gt;")=0,"",IFERROR(SUMIFS(BD!$M$3:$M$5001,BD!$A$3:$A$5001,H$5,BD!$B$3:$B$5001,$C$2)/SUMIFS(BD!$L$3:$L$5001,BD!$A$3:$A$5001,H$5,BD!$B$3:$B$5001,$C$2),"")),IF(COUNTIFS(BD!$A$3:$A$5001,H$5,BD!$B$3:$B$5001,$C$2,INDEX(BD!$A$3:$V$5001,0,$AX10),"&lt;&gt;")=0,"",SUMIFS(INDEX(BD!$A$3:$V$5001,0,$AX10),BD!$A$3:$A$5001,H$5,BD!$B$3:$B$5001,$C$2))))</f>
        <v/>
      </c>
      <c r="I10" s="172" t="str">
        <f>IF(OR($AW10=0,I$5=""),"",IF($AY10="taxa",IF(COUNTIFS(BD!$A$3:$A$5001,I$5,BD!$B$3:$B$5001,$C$2,BD!$M$3:$M$5001,"&lt;&gt;")=0,"",IFERROR(SUMIFS(BD!$M$3:$M$5001,BD!$A$3:$A$5001,I$5,BD!$B$3:$B$5001,$C$2)/SUMIFS(BD!$L$3:$L$5001,BD!$A$3:$A$5001,I$5,BD!$B$3:$B$5001,$C$2),"")),IF(COUNTIFS(BD!$A$3:$A$5001,I$5,BD!$B$3:$B$5001,$C$2,INDEX(BD!$A$3:$V$5001,0,$AX10),"&lt;&gt;")=0,"",SUMIFS(INDEX(BD!$A$3:$V$5001,0,$AX10),BD!$A$3:$A$5001,I$5,BD!$B$3:$B$5001,$C$2))))</f>
        <v/>
      </c>
      <c r="J10" s="172" t="str">
        <f>IF(OR($AW10=0,J$5=""),"",IF($AY10="taxa",IF(COUNTIFS(BD!$A$3:$A$5001,J$5,BD!$B$3:$B$5001,$C$2,BD!$M$3:$M$5001,"&lt;&gt;")=0,"",IFERROR(SUMIFS(BD!$M$3:$M$5001,BD!$A$3:$A$5001,J$5,BD!$B$3:$B$5001,$C$2)/SUMIFS(BD!$L$3:$L$5001,BD!$A$3:$A$5001,J$5,BD!$B$3:$B$5001,$C$2),"")),IF(COUNTIFS(BD!$A$3:$A$5001,J$5,BD!$B$3:$B$5001,$C$2,INDEX(BD!$A$3:$V$5001,0,$AX10),"&lt;&gt;")=0,"",SUMIFS(INDEX(BD!$A$3:$V$5001,0,$AX10),BD!$A$3:$A$5001,J$5,BD!$B$3:$B$5001,$C$2))))</f>
        <v/>
      </c>
      <c r="K10" s="172" t="str">
        <f>IF(OR($AW10=0,K$5=""),"",IF($AY10="taxa",IF(COUNTIFS(BD!$A$3:$A$5001,K$5,BD!$B$3:$B$5001,$C$2,BD!$M$3:$M$5001,"&lt;&gt;")=0,"",IFERROR(SUMIFS(BD!$M$3:$M$5001,BD!$A$3:$A$5001,K$5,BD!$B$3:$B$5001,$C$2)/SUMIFS(BD!$L$3:$L$5001,BD!$A$3:$A$5001,K$5,BD!$B$3:$B$5001,$C$2),"")),IF(COUNTIFS(BD!$A$3:$A$5001,K$5,BD!$B$3:$B$5001,$C$2,INDEX(BD!$A$3:$V$5001,0,$AX10),"&lt;&gt;")=0,"",SUMIFS(INDEX(BD!$A$3:$V$5001,0,$AX10),BD!$A$3:$A$5001,K$5,BD!$B$3:$B$5001,$C$2))))</f>
        <v/>
      </c>
      <c r="L10" s="172" t="str">
        <f>IF(OR($AW10=0,L$5=""),"",IF($AY10="taxa",IF(COUNTIFS(BD!$A$3:$A$5001,L$5,BD!$B$3:$B$5001,$C$2,BD!$M$3:$M$5001,"&lt;&gt;")=0,"",IFERROR(SUMIFS(BD!$M$3:$M$5001,BD!$A$3:$A$5001,L$5,BD!$B$3:$B$5001,$C$2)/SUMIFS(BD!$L$3:$L$5001,BD!$A$3:$A$5001,L$5,BD!$B$3:$B$5001,$C$2),"")),IF(COUNTIFS(BD!$A$3:$A$5001,L$5,BD!$B$3:$B$5001,$C$2,INDEX(BD!$A$3:$V$5001,0,$AX10),"&lt;&gt;")=0,"",SUMIFS(INDEX(BD!$A$3:$V$5001,0,$AX10),BD!$A$3:$A$5001,L$5,BD!$B$3:$B$5001,$C$2))))</f>
        <v/>
      </c>
      <c r="M10" s="172" t="str">
        <f>IF(OR($AW10=0,M$5=""),"",IF($AY10="taxa",IF(COUNTIFS(BD!$A$3:$A$5001,M$5,BD!$B$3:$B$5001,$C$2,BD!$M$3:$M$5001,"&lt;&gt;")=0,"",IFERROR(SUMIFS(BD!$M$3:$M$5001,BD!$A$3:$A$5001,M$5,BD!$B$3:$B$5001,$C$2)/SUMIFS(BD!$L$3:$L$5001,BD!$A$3:$A$5001,M$5,BD!$B$3:$B$5001,$C$2),"")),IF(COUNTIFS(BD!$A$3:$A$5001,M$5,BD!$B$3:$B$5001,$C$2,INDEX(BD!$A$3:$V$5001,0,$AX10),"&lt;&gt;")=0,"",SUMIFS(INDEX(BD!$A$3:$V$5001,0,$AX10),BD!$A$3:$A$5001,M$5,BD!$B$3:$B$5001,$C$2))))</f>
        <v/>
      </c>
      <c r="N10" s="172" t="str">
        <f>IF(OR($AW10=0,N$5=""),"",IF($AY10="taxa",IF(COUNTIFS(BD!$A$3:$A$5001,N$5,BD!$B$3:$B$5001,$C$2,BD!$M$3:$M$5001,"&lt;&gt;")=0,"",IFERROR(SUMIFS(BD!$M$3:$M$5001,BD!$A$3:$A$5001,N$5,BD!$B$3:$B$5001,$C$2)/SUMIFS(BD!$L$3:$L$5001,BD!$A$3:$A$5001,N$5,BD!$B$3:$B$5001,$C$2),"")),IF(COUNTIFS(BD!$A$3:$A$5001,N$5,BD!$B$3:$B$5001,$C$2,INDEX(BD!$A$3:$V$5001,0,$AX10),"&lt;&gt;")=0,"",SUMIFS(INDEX(BD!$A$3:$V$5001,0,$AX10),BD!$A$3:$A$5001,N$5,BD!$B$3:$B$5001,$C$2))))</f>
        <v/>
      </c>
      <c r="O10" s="172" t="str">
        <f>IF(OR($AW10=0,O$5=""),"",IF($AY10="taxa",IF(COUNTIFS(BD!$A$3:$A$5001,O$5,BD!$B$3:$B$5001,$C$2,BD!$M$3:$M$5001,"&lt;&gt;")=0,"",IFERROR(SUMIFS(BD!$M$3:$M$5001,BD!$A$3:$A$5001,O$5,BD!$B$3:$B$5001,$C$2)/SUMIFS(BD!$L$3:$L$5001,BD!$A$3:$A$5001,O$5,BD!$B$3:$B$5001,$C$2),"")),IF(COUNTIFS(BD!$A$3:$A$5001,O$5,BD!$B$3:$B$5001,$C$2,INDEX(BD!$A$3:$V$5001,0,$AX10),"&lt;&gt;")=0,"",SUMIFS(INDEX(BD!$A$3:$V$5001,0,$AX10),BD!$A$3:$A$5001,O$5,BD!$B$3:$B$5001,$C$2))))</f>
        <v/>
      </c>
      <c r="P10" s="172" t="str">
        <f>IF(OR($AW10=0,P$5=""),"",IF($AY10="taxa",IF(COUNTIFS(BD!$A$3:$A$5001,P$5,BD!$B$3:$B$5001,$C$2,BD!$M$3:$M$5001,"&lt;&gt;")=0,"",IFERROR(SUMIFS(BD!$M$3:$M$5001,BD!$A$3:$A$5001,P$5,BD!$B$3:$B$5001,$C$2)/SUMIFS(BD!$L$3:$L$5001,BD!$A$3:$A$5001,P$5,BD!$B$3:$B$5001,$C$2),"")),IF(COUNTIFS(BD!$A$3:$A$5001,P$5,BD!$B$3:$B$5001,$C$2,INDEX(BD!$A$3:$V$5001,0,$AX10),"&lt;&gt;")=0,"",SUMIFS(INDEX(BD!$A$3:$V$5001,0,$AX10),BD!$A$3:$A$5001,P$5,BD!$B$3:$B$5001,$C$2))))</f>
        <v/>
      </c>
      <c r="Q10" s="172" t="str">
        <f>IF(OR($AW10=0,Q$5=""),"",IF($AY10="taxa",IF(COUNTIFS(BD!$A$3:$A$5001,Q$5,BD!$B$3:$B$5001,$C$2,BD!$M$3:$M$5001,"&lt;&gt;")=0,"",IFERROR(SUMIFS(BD!$M$3:$M$5001,BD!$A$3:$A$5001,Q$5,BD!$B$3:$B$5001,$C$2)/SUMIFS(BD!$L$3:$L$5001,BD!$A$3:$A$5001,Q$5,BD!$B$3:$B$5001,$C$2),"")),IF(COUNTIFS(BD!$A$3:$A$5001,Q$5,BD!$B$3:$B$5001,$C$2,INDEX(BD!$A$3:$V$5001,0,$AX10),"&lt;&gt;")=0,"",SUMIFS(INDEX(BD!$A$3:$V$5001,0,$AX10),BD!$A$3:$A$5001,Q$5,BD!$B$3:$B$5001,$C$2))))</f>
        <v/>
      </c>
      <c r="R10" s="172" t="str">
        <f>IF(OR($AW10=0,R$5=""),"",IF($AY10="taxa",IF(COUNTIFS(BD!$A$3:$A$5001,R$5,BD!$B$3:$B$5001,$C$2,BD!$M$3:$M$5001,"&lt;&gt;")=0,"",IFERROR(SUMIFS(BD!$M$3:$M$5001,BD!$A$3:$A$5001,R$5,BD!$B$3:$B$5001,$C$2)/SUMIFS(BD!$L$3:$L$5001,BD!$A$3:$A$5001,R$5,BD!$B$3:$B$5001,$C$2),"")),IF(COUNTIFS(BD!$A$3:$A$5001,R$5,BD!$B$3:$B$5001,$C$2,INDEX(BD!$A$3:$V$5001,0,$AX10),"&lt;&gt;")=0,"",SUMIFS(INDEX(BD!$A$3:$V$5001,0,$AX10),BD!$A$3:$A$5001,R$5,BD!$B$3:$B$5001,$C$2))))</f>
        <v/>
      </c>
      <c r="S10" s="172" t="str">
        <f>IF(OR($AW10=0,S$5=""),"",IF($AY10="taxa",IF(COUNTIFS(BD!$A$3:$A$5001,S$5,BD!$B$3:$B$5001,$C$2,BD!$M$3:$M$5001,"&lt;&gt;")=0,"",IFERROR(SUMIFS(BD!$M$3:$M$5001,BD!$A$3:$A$5001,S$5,BD!$B$3:$B$5001,$C$2)/SUMIFS(BD!$L$3:$L$5001,BD!$A$3:$A$5001,S$5,BD!$B$3:$B$5001,$C$2),"")),IF(COUNTIFS(BD!$A$3:$A$5001,S$5,BD!$B$3:$B$5001,$C$2,INDEX(BD!$A$3:$V$5001,0,$AX10),"&lt;&gt;")=0,"",SUMIFS(INDEX(BD!$A$3:$V$5001,0,$AX10),BD!$A$3:$A$5001,S$5,BD!$B$3:$B$5001,$C$2))))</f>
        <v/>
      </c>
      <c r="T10" s="172" t="str">
        <f>IF(OR($AW10=0,T$5=""),"",IF($AY10="taxa",IF(COUNTIFS(BD!$A$3:$A$5001,T$5,BD!$B$3:$B$5001,$C$2,BD!$M$3:$M$5001,"&lt;&gt;")=0,"",IFERROR(SUMIFS(BD!$M$3:$M$5001,BD!$A$3:$A$5001,T$5,BD!$B$3:$B$5001,$C$2)/SUMIFS(BD!$L$3:$L$5001,BD!$A$3:$A$5001,T$5,BD!$B$3:$B$5001,$C$2),"")),IF(COUNTIFS(BD!$A$3:$A$5001,T$5,BD!$B$3:$B$5001,$C$2,INDEX(BD!$A$3:$V$5001,0,$AX10),"&lt;&gt;")=0,"",SUMIFS(INDEX(BD!$A$3:$V$5001,0,$AX10),BD!$A$3:$A$5001,T$5,BD!$B$3:$B$5001,$C$2))))</f>
        <v/>
      </c>
      <c r="U10" s="172" t="str">
        <f>IF(OR($AW10=0,U$5=""),"",IF($AY10="taxa",IF(COUNTIFS(BD!$A$3:$A$5001,U$5,BD!$B$3:$B$5001,$C$2,BD!$M$3:$M$5001,"&lt;&gt;")=0,"",IFERROR(SUMIFS(BD!$M$3:$M$5001,BD!$A$3:$A$5001,U$5,BD!$B$3:$B$5001,$C$2)/SUMIFS(BD!$L$3:$L$5001,BD!$A$3:$A$5001,U$5,BD!$B$3:$B$5001,$C$2),"")),IF(COUNTIFS(BD!$A$3:$A$5001,U$5,BD!$B$3:$B$5001,$C$2,INDEX(BD!$A$3:$V$5001,0,$AX10),"&lt;&gt;")=0,"",SUMIFS(INDEX(BD!$A$3:$V$5001,0,$AX10),BD!$A$3:$A$5001,U$5,BD!$B$3:$B$5001,$C$2))))</f>
        <v/>
      </c>
      <c r="V10" s="172" t="str">
        <f>IF(OR($AW10=0,V$5=""),"",IF($AY10="taxa",IF(COUNTIFS(BD!$A$3:$A$5001,V$5,BD!$B$3:$B$5001,$C$2,BD!$M$3:$M$5001,"&lt;&gt;")=0,"",IFERROR(SUMIFS(BD!$M$3:$M$5001,BD!$A$3:$A$5001,V$5,BD!$B$3:$B$5001,$C$2)/SUMIFS(BD!$L$3:$L$5001,BD!$A$3:$A$5001,V$5,BD!$B$3:$B$5001,$C$2),"")),IF(COUNTIFS(BD!$A$3:$A$5001,V$5,BD!$B$3:$B$5001,$C$2,INDEX(BD!$A$3:$V$5001,0,$AX10),"&lt;&gt;")=0,"",SUMIFS(INDEX(BD!$A$3:$V$5001,0,$AX10),BD!$A$3:$A$5001,V$5,BD!$B$3:$B$5001,$C$2))))</f>
        <v/>
      </c>
      <c r="W10" s="172" t="str">
        <f>IF(OR($AW10=0,W$5=""),"",IF($AY10="taxa",IF(COUNTIFS(BD!$A$3:$A$5001,W$5,BD!$B$3:$B$5001,$C$2,BD!$M$3:$M$5001,"&lt;&gt;")=0,"",IFERROR(SUMIFS(BD!$M$3:$M$5001,BD!$A$3:$A$5001,W$5,BD!$B$3:$B$5001,$C$2)/SUMIFS(BD!$L$3:$L$5001,BD!$A$3:$A$5001,W$5,BD!$B$3:$B$5001,$C$2),"")),IF(COUNTIFS(BD!$A$3:$A$5001,W$5,BD!$B$3:$B$5001,$C$2,INDEX(BD!$A$3:$V$5001,0,$AX10),"&lt;&gt;")=0,"",SUMIFS(INDEX(BD!$A$3:$V$5001,0,$AX10),BD!$A$3:$A$5001,W$5,BD!$B$3:$B$5001,$C$2))))</f>
        <v/>
      </c>
      <c r="X10" s="172" t="str">
        <f>IF(OR($AW10=0,X$5=""),"",IF($AY10="taxa",IF(COUNTIFS(BD!$A$3:$A$5001,X$5,BD!$B$3:$B$5001,$C$2,BD!$M$3:$M$5001,"&lt;&gt;")=0,"",IFERROR(SUMIFS(BD!$M$3:$M$5001,BD!$A$3:$A$5001,X$5,BD!$B$3:$B$5001,$C$2)/SUMIFS(BD!$L$3:$L$5001,BD!$A$3:$A$5001,X$5,BD!$B$3:$B$5001,$C$2),"")),IF(COUNTIFS(BD!$A$3:$A$5001,X$5,BD!$B$3:$B$5001,$C$2,INDEX(BD!$A$3:$V$5001,0,$AX10),"&lt;&gt;")=0,"",SUMIFS(INDEX(BD!$A$3:$V$5001,0,$AX10),BD!$A$3:$A$5001,X$5,BD!$B$3:$B$5001,$C$2))))</f>
        <v/>
      </c>
      <c r="Y10" s="172" t="str">
        <f>IF(OR($AW10=0,Y$5=""),"",IF($AY10="taxa",IF(COUNTIFS(BD!$A$3:$A$5001,Y$5,BD!$B$3:$B$5001,$C$2,BD!$M$3:$M$5001,"&lt;&gt;")=0,"",IFERROR(SUMIFS(BD!$M$3:$M$5001,BD!$A$3:$A$5001,Y$5,BD!$B$3:$B$5001,$C$2)/SUMIFS(BD!$L$3:$L$5001,BD!$A$3:$A$5001,Y$5,BD!$B$3:$B$5001,$C$2),"")),IF(COUNTIFS(BD!$A$3:$A$5001,Y$5,BD!$B$3:$B$5001,$C$2,INDEX(BD!$A$3:$V$5001,0,$AX10),"&lt;&gt;")=0,"",SUMIFS(INDEX(BD!$A$3:$V$5001,0,$AX10),BD!$A$3:$A$5001,Y$5,BD!$B$3:$B$5001,$C$2))))</f>
        <v/>
      </c>
      <c r="Z10" s="172" t="str">
        <f>IF(OR($AW10=0,Z$5=""),"",IF($AY10="taxa",IF(COUNTIFS(BD!$A$3:$A$5001,Z$5,BD!$B$3:$B$5001,$C$2,BD!$M$3:$M$5001,"&lt;&gt;")=0,"",IFERROR(SUMIFS(BD!$M$3:$M$5001,BD!$A$3:$A$5001,Z$5,BD!$B$3:$B$5001,$C$2)/SUMIFS(BD!$L$3:$L$5001,BD!$A$3:$A$5001,Z$5,BD!$B$3:$B$5001,$C$2),"")),IF(COUNTIFS(BD!$A$3:$A$5001,Z$5,BD!$B$3:$B$5001,$C$2,INDEX(BD!$A$3:$V$5001,0,$AX10),"&lt;&gt;")=0,"",SUMIFS(INDEX(BD!$A$3:$V$5001,0,$AX10),BD!$A$3:$A$5001,Z$5,BD!$B$3:$B$5001,$C$2))))</f>
        <v/>
      </c>
      <c r="AA10" s="172" t="str">
        <f>IF(OR($AW10=0,AA$5=""),"",IF($AY10="taxa",IF(COUNTIFS(BD!$A$3:$A$5001,AA$5,BD!$B$3:$B$5001,$C$2,BD!$M$3:$M$5001,"&lt;&gt;")=0,"",IFERROR(SUMIFS(BD!$M$3:$M$5001,BD!$A$3:$A$5001,AA$5,BD!$B$3:$B$5001,$C$2)/SUMIFS(BD!$L$3:$L$5001,BD!$A$3:$A$5001,AA$5,BD!$B$3:$B$5001,$C$2),"")),IF(COUNTIFS(BD!$A$3:$A$5001,AA$5,BD!$B$3:$B$5001,$C$2,INDEX(BD!$A$3:$V$5001,0,$AX10),"&lt;&gt;")=0,"",SUMIFS(INDEX(BD!$A$3:$V$5001,0,$AX10),BD!$A$3:$A$5001,AA$5,BD!$B$3:$B$5001,$C$2))))</f>
        <v/>
      </c>
      <c r="AB10" s="172" t="str">
        <f>IF(OR($AW10=0,AB$5=""),"",IF($AY10="taxa",IF(COUNTIFS(BD!$A$3:$A$5001,AB$5,BD!$B$3:$B$5001,$C$2,BD!$M$3:$M$5001,"&lt;&gt;")=0,"",IFERROR(SUMIFS(BD!$M$3:$M$5001,BD!$A$3:$A$5001,AB$5,BD!$B$3:$B$5001,$C$2)/SUMIFS(BD!$L$3:$L$5001,BD!$A$3:$A$5001,AB$5,BD!$B$3:$B$5001,$C$2),"")),IF(COUNTIFS(BD!$A$3:$A$5001,AB$5,BD!$B$3:$B$5001,$C$2,INDEX(BD!$A$3:$V$5001,0,$AX10),"&lt;&gt;")=0,"",SUMIFS(INDEX(BD!$A$3:$V$5001,0,$AX10),BD!$A$3:$A$5001,AB$5,BD!$B$3:$B$5001,$C$2))))</f>
        <v/>
      </c>
      <c r="AC10" s="172" t="str">
        <f>IF(OR($AW10=0,AC$5=""),"",IF($AY10="taxa",IF(COUNTIFS(BD!$A$3:$A$5001,AC$5,BD!$B$3:$B$5001,$C$2,BD!$M$3:$M$5001,"&lt;&gt;")=0,"",IFERROR(SUMIFS(BD!$M$3:$M$5001,BD!$A$3:$A$5001,AC$5,BD!$B$3:$B$5001,$C$2)/SUMIFS(BD!$L$3:$L$5001,BD!$A$3:$A$5001,AC$5,BD!$B$3:$B$5001,$C$2),"")),IF(COUNTIFS(BD!$A$3:$A$5001,AC$5,BD!$B$3:$B$5001,$C$2,INDEX(BD!$A$3:$V$5001,0,$AX10),"&lt;&gt;")=0,"",SUMIFS(INDEX(BD!$A$3:$V$5001,0,$AX10),BD!$A$3:$A$5001,AC$5,BD!$B$3:$B$5001,$C$2))))</f>
        <v/>
      </c>
      <c r="AD10" s="172" t="str">
        <f>IF(OR($AW10=0,AD$5=""),"",IF($AY10="taxa",IF(COUNTIFS(BD!$A$3:$A$5001,AD$5,BD!$B$3:$B$5001,$C$2,BD!$M$3:$M$5001,"&lt;&gt;")=0,"",IFERROR(SUMIFS(BD!$M$3:$M$5001,BD!$A$3:$A$5001,AD$5,BD!$B$3:$B$5001,$C$2)/SUMIFS(BD!$L$3:$L$5001,BD!$A$3:$A$5001,AD$5,BD!$B$3:$B$5001,$C$2),"")),IF(COUNTIFS(BD!$A$3:$A$5001,AD$5,BD!$B$3:$B$5001,$C$2,INDEX(BD!$A$3:$V$5001,0,$AX10),"&lt;&gt;")=0,"",SUMIFS(INDEX(BD!$A$3:$V$5001,0,$AX10),BD!$A$3:$A$5001,AD$5,BD!$B$3:$B$5001,$C$2))))</f>
        <v/>
      </c>
      <c r="AE10" s="172" t="str">
        <f>IF(OR($AW10=0,AE$5=""),"",IF($AY10="taxa",IF(COUNTIFS(BD!$A$3:$A$5001,AE$5,BD!$B$3:$B$5001,$C$2,BD!$M$3:$M$5001,"&lt;&gt;")=0,"",IFERROR(SUMIFS(BD!$M$3:$M$5001,BD!$A$3:$A$5001,AE$5,BD!$B$3:$B$5001,$C$2)/SUMIFS(BD!$L$3:$L$5001,BD!$A$3:$A$5001,AE$5,BD!$B$3:$B$5001,$C$2),"")),IF(COUNTIFS(BD!$A$3:$A$5001,AE$5,BD!$B$3:$B$5001,$C$2,INDEX(BD!$A$3:$V$5001,0,$AX10),"&lt;&gt;")=0,"",SUMIFS(INDEX(BD!$A$3:$V$5001,0,$AX10),BD!$A$3:$A$5001,AE$5,BD!$B$3:$B$5001,$C$2))))</f>
        <v/>
      </c>
      <c r="AF10" s="172" t="str">
        <f>IF(OR($AW10=0,AF$5=""),"",IF($AY10="taxa",IF(COUNTIFS(BD!$A$3:$A$5001,AF$5,BD!$B$3:$B$5001,$C$2,BD!$M$3:$M$5001,"&lt;&gt;")=0,"",IFERROR(SUMIFS(BD!$M$3:$M$5001,BD!$A$3:$A$5001,AF$5,BD!$B$3:$B$5001,$C$2)/SUMIFS(BD!$L$3:$L$5001,BD!$A$3:$A$5001,AF$5,BD!$B$3:$B$5001,$C$2),"")),IF(COUNTIFS(BD!$A$3:$A$5001,AF$5,BD!$B$3:$B$5001,$C$2,INDEX(BD!$A$3:$V$5001,0,$AX10),"&lt;&gt;")=0,"",SUMIFS(INDEX(BD!$A$3:$V$5001,0,$AX10),BD!$A$3:$A$5001,AF$5,BD!$B$3:$B$5001,$C$2))))</f>
        <v/>
      </c>
      <c r="AG10" s="172" t="str">
        <f>IF(OR($AW10=0,AG$5=""),"",IF($AY10="taxa",IF(COUNTIFS(BD!$A$3:$A$5001,AG$5,BD!$B$3:$B$5001,$C$2,BD!$M$3:$M$5001,"&lt;&gt;")=0,"",IFERROR(SUMIFS(BD!$M$3:$M$5001,BD!$A$3:$A$5001,AG$5,BD!$B$3:$B$5001,$C$2)/SUMIFS(BD!$L$3:$L$5001,BD!$A$3:$A$5001,AG$5,BD!$B$3:$B$5001,$C$2),"")),IF(COUNTIFS(BD!$A$3:$A$5001,AG$5,BD!$B$3:$B$5001,$C$2,INDEX(BD!$A$3:$V$5001,0,$AX10),"&lt;&gt;")=0,"",SUMIFS(INDEX(BD!$A$3:$V$5001,0,$AX10),BD!$A$3:$A$5001,AG$5,BD!$B$3:$B$5001,$C$2))))</f>
        <v/>
      </c>
      <c r="AH10" s="172" t="str">
        <f>IF(OR($AW10=0,AH$5=""),"",IF($AY10="taxa",IF(COUNTIFS(BD!$A$3:$A$5001,AH$5,BD!$B$3:$B$5001,$C$2,BD!$M$3:$M$5001,"&lt;&gt;")=0,"",IFERROR(SUMIFS(BD!$M$3:$M$5001,BD!$A$3:$A$5001,AH$5,BD!$B$3:$B$5001,$C$2)/SUMIFS(BD!$L$3:$L$5001,BD!$A$3:$A$5001,AH$5,BD!$B$3:$B$5001,$C$2),"")),IF(COUNTIFS(BD!$A$3:$A$5001,AH$5,BD!$B$3:$B$5001,$C$2,INDEX(BD!$A$3:$V$5001,0,$AX10),"&lt;&gt;")=0,"",SUMIFS(INDEX(BD!$A$3:$V$5001,0,$AX10),BD!$A$3:$A$5001,AH$5,BD!$B$3:$B$5001,$C$2))))</f>
        <v/>
      </c>
      <c r="AI10" s="172" t="str">
        <f>IF(OR($AW10=0,AI$5=""),"",IF($AY10="taxa",IF(COUNTIFS(BD!$A$3:$A$5001,AI$5,BD!$B$3:$B$5001,$C$2,BD!$M$3:$M$5001,"&lt;&gt;")=0,"",IFERROR(SUMIFS(BD!$M$3:$M$5001,BD!$A$3:$A$5001,AI$5,BD!$B$3:$B$5001,$C$2)/SUMIFS(BD!$L$3:$L$5001,BD!$A$3:$A$5001,AI$5,BD!$B$3:$B$5001,$C$2),"")),IF(COUNTIFS(BD!$A$3:$A$5001,AI$5,BD!$B$3:$B$5001,$C$2,INDEX(BD!$A$3:$V$5001,0,$AX10),"&lt;&gt;")=0,"",SUMIFS(INDEX(BD!$A$3:$V$5001,0,$AX10),BD!$A$3:$A$5001,AI$5,BD!$B$3:$B$5001,$C$2))))</f>
        <v/>
      </c>
      <c r="AJ10" s="173" t="str">
        <f>IF(OR($AW10=0,AJ$5=""),"",IF($AY10="taxa",IF(COUNTIFS(BD!$A$3:$A$5001,AJ$5,BD!$B$3:$B$5001,$C$2,BD!$M$3:$M$5001,"&lt;&gt;")=0,"",IFERROR(SUMIFS(BD!$M$3:$M$5001,BD!$A$3:$A$5001,AJ$5,BD!$B$3:$B$5001,$C$2)/SUMIFS(BD!$L$3:$L$5001,BD!$A$3:$A$5001,AJ$5,BD!$B$3:$B$5001,$C$2),"")),IF(COUNTIFS(BD!$A$3:$A$5001,AJ$5,BD!$B$3:$B$5001,$C$2,INDEX(BD!$A$3:$V$5001,0,$AX10),"&lt;&gt;")=0,"",SUMIFS(INDEX(BD!$A$3:$V$5001,0,$AX10),BD!$A$3:$A$5001,AJ$5,BD!$B$3:$B$5001,$C$2))))</f>
        <v/>
      </c>
      <c r="AK10" s="169" t="str">
        <f>IF($AW10=0,"",IF($AY10="fluxo",IF(COUNT(F10:AJ10)=0,"",SUM(F10:AJ10)),IFERROR(LOOKUP(9.99E+307,F10:AJ10),"")))</f>
        <v/>
      </c>
      <c r="AN10" s="159" t="inlineStr">
        <is>
          <t xml:space="preserve">Veículos Expedidos</t>
        </is>
      </c>
      <c r="AO10" s="159" t="inlineStr">
        <is>
          <t xml:space="preserve">OUT</t>
        </is>
      </c>
      <c r="AP10" s="159">
        <v>6</v>
      </c>
      <c r="AQ10" s="159" t="inlineStr">
        <is>
          <t xml:space="preserve">fluxo</t>
        </is>
      </c>
      <c r="AR10" s="159">
        <v>4</v>
      </c>
      <c r="AS10" s="159" t="inlineStr">
        <is>
          <t xml:space="preserve">int</t>
        </is>
      </c>
      <c r="AT10" s="159">
        <f>IF($C$2="",0,IF(IFERROR(INDEX(Config!$G$35:$G$54,MATCH($C$2,Config!$B$35:$B$54,0)),"Sim")="Não",0,1))</f>
        <v>1</v>
      </c>
      <c r="AU10" s="159">
        <f>AU9+AT10</f>
        <v>4</v>
      </c>
      <c r="AW10" s="159">
        <f>IFERROR(MATCH(4,$AU$7:$AU$26,0),0)</f>
        <v>4</v>
      </c>
      <c r="AX10" s="159">
        <f>IF($AW10=0,"",INDEX($AP$7:$AP$26,$AW10))</f>
        <v>6</v>
      </c>
      <c r="AY10" s="159" t="str">
        <f>IF($AW10=0,"",INDEX($AQ$7:$AQ$26,$AW10))</f>
        <v>fluxo</v>
      </c>
      <c r="AZ10" s="159" t="str">
        <f>IF($AW10=0,"",INDEX($AS$7:$AS$26,$AW10))</f>
        <v>int</v>
      </c>
      <c r="BA10" s="159">
        <f>IF($AW10=0,"",INDEX($AR$7:$AR$26,$AW10))</f>
        <v>4</v>
      </c>
    </row>
    <row r="11" ht="15.75" customHeight="1">
      <c r="A11" s="181"/>
      <c r="B11" s="167" t="str">
        <f>IF($AW11=0,"",INDEX($AO$7:$AO$26,$AW11))</f>
        <v>OUT</v>
      </c>
      <c r="C11" s="168" t="str">
        <f>IF($AW11=0,"",INDEX($AN$7:$AN$26,$AW11))</f>
        <v>Pallets Movimentados</v>
      </c>
      <c r="D11" s="169" t="str">
        <f>IF(OR($AW11=0,N($BA11)=0),"",IFERROR(1/(1/INDEX(BD!$Y$23:$AS$42,$BA11,MATCH($C$2,BD!$Y$22:$AS$22,0))),""))</f>
        <v/>
      </c>
      <c r="E11" s="170"/>
      <c r="F11" s="171" t="str">
        <f>IF(OR($AW11=0,F$5=""),"",IF($AY11="taxa",IF(COUNTIFS(BD!$A$3:$A$5001,F$5,BD!$B$3:$B$5001,$C$2,BD!$M$3:$M$5001,"&lt;&gt;")=0,"",IFERROR(SUMIFS(BD!$M$3:$M$5001,BD!$A$3:$A$5001,F$5,BD!$B$3:$B$5001,$C$2)/SUMIFS(BD!$L$3:$L$5001,BD!$A$3:$A$5001,F$5,BD!$B$3:$B$5001,$C$2),"")),IF(COUNTIFS(BD!$A$3:$A$5001,F$5,BD!$B$3:$B$5001,$C$2,INDEX(BD!$A$3:$V$5001,0,$AX11),"&lt;&gt;")=0,"",SUMIFS(INDEX(BD!$A$3:$V$5001,0,$AX11),BD!$A$3:$A$5001,F$5,BD!$B$3:$B$5001,$C$2))))</f>
        <v/>
      </c>
      <c r="G11" s="172" t="str">
        <f>IF(OR($AW11=0,G$5=""),"",IF($AY11="taxa",IF(COUNTIFS(BD!$A$3:$A$5001,G$5,BD!$B$3:$B$5001,$C$2,BD!$M$3:$M$5001,"&lt;&gt;")=0,"",IFERROR(SUMIFS(BD!$M$3:$M$5001,BD!$A$3:$A$5001,G$5,BD!$B$3:$B$5001,$C$2)/SUMIFS(BD!$L$3:$L$5001,BD!$A$3:$A$5001,G$5,BD!$B$3:$B$5001,$C$2),"")),IF(COUNTIFS(BD!$A$3:$A$5001,G$5,BD!$B$3:$B$5001,$C$2,INDEX(BD!$A$3:$V$5001,0,$AX11),"&lt;&gt;")=0,"",SUMIFS(INDEX(BD!$A$3:$V$5001,0,$AX11),BD!$A$3:$A$5001,G$5,BD!$B$3:$B$5001,$C$2))))</f>
        <v/>
      </c>
      <c r="H11" s="172" t="str">
        <f>IF(OR($AW11=0,H$5=""),"",IF($AY11="taxa",IF(COUNTIFS(BD!$A$3:$A$5001,H$5,BD!$B$3:$B$5001,$C$2,BD!$M$3:$M$5001,"&lt;&gt;")=0,"",IFERROR(SUMIFS(BD!$M$3:$M$5001,BD!$A$3:$A$5001,H$5,BD!$B$3:$B$5001,$C$2)/SUMIFS(BD!$L$3:$L$5001,BD!$A$3:$A$5001,H$5,BD!$B$3:$B$5001,$C$2),"")),IF(COUNTIFS(BD!$A$3:$A$5001,H$5,BD!$B$3:$B$5001,$C$2,INDEX(BD!$A$3:$V$5001,0,$AX11),"&lt;&gt;")=0,"",SUMIFS(INDEX(BD!$A$3:$V$5001,0,$AX11),BD!$A$3:$A$5001,H$5,BD!$B$3:$B$5001,$C$2))))</f>
        <v/>
      </c>
      <c r="I11" s="172" t="str">
        <f>IF(OR($AW11=0,I$5=""),"",IF($AY11="taxa",IF(COUNTIFS(BD!$A$3:$A$5001,I$5,BD!$B$3:$B$5001,$C$2,BD!$M$3:$M$5001,"&lt;&gt;")=0,"",IFERROR(SUMIFS(BD!$M$3:$M$5001,BD!$A$3:$A$5001,I$5,BD!$B$3:$B$5001,$C$2)/SUMIFS(BD!$L$3:$L$5001,BD!$A$3:$A$5001,I$5,BD!$B$3:$B$5001,$C$2),"")),IF(COUNTIFS(BD!$A$3:$A$5001,I$5,BD!$B$3:$B$5001,$C$2,INDEX(BD!$A$3:$V$5001,0,$AX11),"&lt;&gt;")=0,"",SUMIFS(INDEX(BD!$A$3:$V$5001,0,$AX11),BD!$A$3:$A$5001,I$5,BD!$B$3:$B$5001,$C$2))))</f>
        <v/>
      </c>
      <c r="J11" s="172" t="str">
        <f>IF(OR($AW11=0,J$5=""),"",IF($AY11="taxa",IF(COUNTIFS(BD!$A$3:$A$5001,J$5,BD!$B$3:$B$5001,$C$2,BD!$M$3:$M$5001,"&lt;&gt;")=0,"",IFERROR(SUMIFS(BD!$M$3:$M$5001,BD!$A$3:$A$5001,J$5,BD!$B$3:$B$5001,$C$2)/SUMIFS(BD!$L$3:$L$5001,BD!$A$3:$A$5001,J$5,BD!$B$3:$B$5001,$C$2),"")),IF(COUNTIFS(BD!$A$3:$A$5001,J$5,BD!$B$3:$B$5001,$C$2,INDEX(BD!$A$3:$V$5001,0,$AX11),"&lt;&gt;")=0,"",SUMIFS(INDEX(BD!$A$3:$V$5001,0,$AX11),BD!$A$3:$A$5001,J$5,BD!$B$3:$B$5001,$C$2))))</f>
        <v/>
      </c>
      <c r="K11" s="172" t="str">
        <f>IF(OR($AW11=0,K$5=""),"",IF($AY11="taxa",IF(COUNTIFS(BD!$A$3:$A$5001,K$5,BD!$B$3:$B$5001,$C$2,BD!$M$3:$M$5001,"&lt;&gt;")=0,"",IFERROR(SUMIFS(BD!$M$3:$M$5001,BD!$A$3:$A$5001,K$5,BD!$B$3:$B$5001,$C$2)/SUMIFS(BD!$L$3:$L$5001,BD!$A$3:$A$5001,K$5,BD!$B$3:$B$5001,$C$2),"")),IF(COUNTIFS(BD!$A$3:$A$5001,K$5,BD!$B$3:$B$5001,$C$2,INDEX(BD!$A$3:$V$5001,0,$AX11),"&lt;&gt;")=0,"",SUMIFS(INDEX(BD!$A$3:$V$5001,0,$AX11),BD!$A$3:$A$5001,K$5,BD!$B$3:$B$5001,$C$2))))</f>
        <v/>
      </c>
      <c r="L11" s="172" t="str">
        <f>IF(OR($AW11=0,L$5=""),"",IF($AY11="taxa",IF(COUNTIFS(BD!$A$3:$A$5001,L$5,BD!$B$3:$B$5001,$C$2,BD!$M$3:$M$5001,"&lt;&gt;")=0,"",IFERROR(SUMIFS(BD!$M$3:$M$5001,BD!$A$3:$A$5001,L$5,BD!$B$3:$B$5001,$C$2)/SUMIFS(BD!$L$3:$L$5001,BD!$A$3:$A$5001,L$5,BD!$B$3:$B$5001,$C$2),"")),IF(COUNTIFS(BD!$A$3:$A$5001,L$5,BD!$B$3:$B$5001,$C$2,INDEX(BD!$A$3:$V$5001,0,$AX11),"&lt;&gt;")=0,"",SUMIFS(INDEX(BD!$A$3:$V$5001,0,$AX11),BD!$A$3:$A$5001,L$5,BD!$B$3:$B$5001,$C$2))))</f>
        <v/>
      </c>
      <c r="M11" s="172" t="str">
        <f>IF(OR($AW11=0,M$5=""),"",IF($AY11="taxa",IF(COUNTIFS(BD!$A$3:$A$5001,M$5,BD!$B$3:$B$5001,$C$2,BD!$M$3:$M$5001,"&lt;&gt;")=0,"",IFERROR(SUMIFS(BD!$M$3:$M$5001,BD!$A$3:$A$5001,M$5,BD!$B$3:$B$5001,$C$2)/SUMIFS(BD!$L$3:$L$5001,BD!$A$3:$A$5001,M$5,BD!$B$3:$B$5001,$C$2),"")),IF(COUNTIFS(BD!$A$3:$A$5001,M$5,BD!$B$3:$B$5001,$C$2,INDEX(BD!$A$3:$V$5001,0,$AX11),"&lt;&gt;")=0,"",SUMIFS(INDEX(BD!$A$3:$V$5001,0,$AX11),BD!$A$3:$A$5001,M$5,BD!$B$3:$B$5001,$C$2))))</f>
        <v/>
      </c>
      <c r="N11" s="172" t="str">
        <f>IF(OR($AW11=0,N$5=""),"",IF($AY11="taxa",IF(COUNTIFS(BD!$A$3:$A$5001,N$5,BD!$B$3:$B$5001,$C$2,BD!$M$3:$M$5001,"&lt;&gt;")=0,"",IFERROR(SUMIFS(BD!$M$3:$M$5001,BD!$A$3:$A$5001,N$5,BD!$B$3:$B$5001,$C$2)/SUMIFS(BD!$L$3:$L$5001,BD!$A$3:$A$5001,N$5,BD!$B$3:$B$5001,$C$2),"")),IF(COUNTIFS(BD!$A$3:$A$5001,N$5,BD!$B$3:$B$5001,$C$2,INDEX(BD!$A$3:$V$5001,0,$AX11),"&lt;&gt;")=0,"",SUMIFS(INDEX(BD!$A$3:$V$5001,0,$AX11),BD!$A$3:$A$5001,N$5,BD!$B$3:$B$5001,$C$2))))</f>
        <v/>
      </c>
      <c r="O11" s="172" t="str">
        <f>IF(OR($AW11=0,O$5=""),"",IF($AY11="taxa",IF(COUNTIFS(BD!$A$3:$A$5001,O$5,BD!$B$3:$B$5001,$C$2,BD!$M$3:$M$5001,"&lt;&gt;")=0,"",IFERROR(SUMIFS(BD!$M$3:$M$5001,BD!$A$3:$A$5001,O$5,BD!$B$3:$B$5001,$C$2)/SUMIFS(BD!$L$3:$L$5001,BD!$A$3:$A$5001,O$5,BD!$B$3:$B$5001,$C$2),"")),IF(COUNTIFS(BD!$A$3:$A$5001,O$5,BD!$B$3:$B$5001,$C$2,INDEX(BD!$A$3:$V$5001,0,$AX11),"&lt;&gt;")=0,"",SUMIFS(INDEX(BD!$A$3:$V$5001,0,$AX11),BD!$A$3:$A$5001,O$5,BD!$B$3:$B$5001,$C$2))))</f>
        <v/>
      </c>
      <c r="P11" s="172" t="str">
        <f>IF(OR($AW11=0,P$5=""),"",IF($AY11="taxa",IF(COUNTIFS(BD!$A$3:$A$5001,P$5,BD!$B$3:$B$5001,$C$2,BD!$M$3:$M$5001,"&lt;&gt;")=0,"",IFERROR(SUMIFS(BD!$M$3:$M$5001,BD!$A$3:$A$5001,P$5,BD!$B$3:$B$5001,$C$2)/SUMIFS(BD!$L$3:$L$5001,BD!$A$3:$A$5001,P$5,BD!$B$3:$B$5001,$C$2),"")),IF(COUNTIFS(BD!$A$3:$A$5001,P$5,BD!$B$3:$B$5001,$C$2,INDEX(BD!$A$3:$V$5001,0,$AX11),"&lt;&gt;")=0,"",SUMIFS(INDEX(BD!$A$3:$V$5001,0,$AX11),BD!$A$3:$A$5001,P$5,BD!$B$3:$B$5001,$C$2))))</f>
        <v/>
      </c>
      <c r="Q11" s="172" t="str">
        <f>IF(OR($AW11=0,Q$5=""),"",IF($AY11="taxa",IF(COUNTIFS(BD!$A$3:$A$5001,Q$5,BD!$B$3:$B$5001,$C$2,BD!$M$3:$M$5001,"&lt;&gt;")=0,"",IFERROR(SUMIFS(BD!$M$3:$M$5001,BD!$A$3:$A$5001,Q$5,BD!$B$3:$B$5001,$C$2)/SUMIFS(BD!$L$3:$L$5001,BD!$A$3:$A$5001,Q$5,BD!$B$3:$B$5001,$C$2),"")),IF(COUNTIFS(BD!$A$3:$A$5001,Q$5,BD!$B$3:$B$5001,$C$2,INDEX(BD!$A$3:$V$5001,0,$AX11),"&lt;&gt;")=0,"",SUMIFS(INDEX(BD!$A$3:$V$5001,0,$AX11),BD!$A$3:$A$5001,Q$5,BD!$B$3:$B$5001,$C$2))))</f>
        <v/>
      </c>
      <c r="R11" s="172" t="str">
        <f>IF(OR($AW11=0,R$5=""),"",IF($AY11="taxa",IF(COUNTIFS(BD!$A$3:$A$5001,R$5,BD!$B$3:$B$5001,$C$2,BD!$M$3:$M$5001,"&lt;&gt;")=0,"",IFERROR(SUMIFS(BD!$M$3:$M$5001,BD!$A$3:$A$5001,R$5,BD!$B$3:$B$5001,$C$2)/SUMIFS(BD!$L$3:$L$5001,BD!$A$3:$A$5001,R$5,BD!$B$3:$B$5001,$C$2),"")),IF(COUNTIFS(BD!$A$3:$A$5001,R$5,BD!$B$3:$B$5001,$C$2,INDEX(BD!$A$3:$V$5001,0,$AX11),"&lt;&gt;")=0,"",SUMIFS(INDEX(BD!$A$3:$V$5001,0,$AX11),BD!$A$3:$A$5001,R$5,BD!$B$3:$B$5001,$C$2))))</f>
        <v/>
      </c>
      <c r="S11" s="172" t="str">
        <f>IF(OR($AW11=0,S$5=""),"",IF($AY11="taxa",IF(COUNTIFS(BD!$A$3:$A$5001,S$5,BD!$B$3:$B$5001,$C$2,BD!$M$3:$M$5001,"&lt;&gt;")=0,"",IFERROR(SUMIFS(BD!$M$3:$M$5001,BD!$A$3:$A$5001,S$5,BD!$B$3:$B$5001,$C$2)/SUMIFS(BD!$L$3:$L$5001,BD!$A$3:$A$5001,S$5,BD!$B$3:$B$5001,$C$2),"")),IF(COUNTIFS(BD!$A$3:$A$5001,S$5,BD!$B$3:$B$5001,$C$2,INDEX(BD!$A$3:$V$5001,0,$AX11),"&lt;&gt;")=0,"",SUMIFS(INDEX(BD!$A$3:$V$5001,0,$AX11),BD!$A$3:$A$5001,S$5,BD!$B$3:$B$5001,$C$2))))</f>
        <v/>
      </c>
      <c r="T11" s="172" t="str">
        <f>IF(OR($AW11=0,T$5=""),"",IF($AY11="taxa",IF(COUNTIFS(BD!$A$3:$A$5001,T$5,BD!$B$3:$B$5001,$C$2,BD!$M$3:$M$5001,"&lt;&gt;")=0,"",IFERROR(SUMIFS(BD!$M$3:$M$5001,BD!$A$3:$A$5001,T$5,BD!$B$3:$B$5001,$C$2)/SUMIFS(BD!$L$3:$L$5001,BD!$A$3:$A$5001,T$5,BD!$B$3:$B$5001,$C$2),"")),IF(COUNTIFS(BD!$A$3:$A$5001,T$5,BD!$B$3:$B$5001,$C$2,INDEX(BD!$A$3:$V$5001,0,$AX11),"&lt;&gt;")=0,"",SUMIFS(INDEX(BD!$A$3:$V$5001,0,$AX11),BD!$A$3:$A$5001,T$5,BD!$B$3:$B$5001,$C$2))))</f>
        <v/>
      </c>
      <c r="U11" s="172" t="str">
        <f>IF(OR($AW11=0,U$5=""),"",IF($AY11="taxa",IF(COUNTIFS(BD!$A$3:$A$5001,U$5,BD!$B$3:$B$5001,$C$2,BD!$M$3:$M$5001,"&lt;&gt;")=0,"",IFERROR(SUMIFS(BD!$M$3:$M$5001,BD!$A$3:$A$5001,U$5,BD!$B$3:$B$5001,$C$2)/SUMIFS(BD!$L$3:$L$5001,BD!$A$3:$A$5001,U$5,BD!$B$3:$B$5001,$C$2),"")),IF(COUNTIFS(BD!$A$3:$A$5001,U$5,BD!$B$3:$B$5001,$C$2,INDEX(BD!$A$3:$V$5001,0,$AX11),"&lt;&gt;")=0,"",SUMIFS(INDEX(BD!$A$3:$V$5001,0,$AX11),BD!$A$3:$A$5001,U$5,BD!$B$3:$B$5001,$C$2))))</f>
        <v/>
      </c>
      <c r="V11" s="172" t="str">
        <f>IF(OR($AW11=0,V$5=""),"",IF($AY11="taxa",IF(COUNTIFS(BD!$A$3:$A$5001,V$5,BD!$B$3:$B$5001,$C$2,BD!$M$3:$M$5001,"&lt;&gt;")=0,"",IFERROR(SUMIFS(BD!$M$3:$M$5001,BD!$A$3:$A$5001,V$5,BD!$B$3:$B$5001,$C$2)/SUMIFS(BD!$L$3:$L$5001,BD!$A$3:$A$5001,V$5,BD!$B$3:$B$5001,$C$2),"")),IF(COUNTIFS(BD!$A$3:$A$5001,V$5,BD!$B$3:$B$5001,$C$2,INDEX(BD!$A$3:$V$5001,0,$AX11),"&lt;&gt;")=0,"",SUMIFS(INDEX(BD!$A$3:$V$5001,0,$AX11),BD!$A$3:$A$5001,V$5,BD!$B$3:$B$5001,$C$2))))</f>
        <v/>
      </c>
      <c r="W11" s="172" t="str">
        <f>IF(OR($AW11=0,W$5=""),"",IF($AY11="taxa",IF(COUNTIFS(BD!$A$3:$A$5001,W$5,BD!$B$3:$B$5001,$C$2,BD!$M$3:$M$5001,"&lt;&gt;")=0,"",IFERROR(SUMIFS(BD!$M$3:$M$5001,BD!$A$3:$A$5001,W$5,BD!$B$3:$B$5001,$C$2)/SUMIFS(BD!$L$3:$L$5001,BD!$A$3:$A$5001,W$5,BD!$B$3:$B$5001,$C$2),"")),IF(COUNTIFS(BD!$A$3:$A$5001,W$5,BD!$B$3:$B$5001,$C$2,INDEX(BD!$A$3:$V$5001,0,$AX11),"&lt;&gt;")=0,"",SUMIFS(INDEX(BD!$A$3:$V$5001,0,$AX11),BD!$A$3:$A$5001,W$5,BD!$B$3:$B$5001,$C$2))))</f>
        <v/>
      </c>
      <c r="X11" s="172" t="str">
        <f>IF(OR($AW11=0,X$5=""),"",IF($AY11="taxa",IF(COUNTIFS(BD!$A$3:$A$5001,X$5,BD!$B$3:$B$5001,$C$2,BD!$M$3:$M$5001,"&lt;&gt;")=0,"",IFERROR(SUMIFS(BD!$M$3:$M$5001,BD!$A$3:$A$5001,X$5,BD!$B$3:$B$5001,$C$2)/SUMIFS(BD!$L$3:$L$5001,BD!$A$3:$A$5001,X$5,BD!$B$3:$B$5001,$C$2),"")),IF(COUNTIFS(BD!$A$3:$A$5001,X$5,BD!$B$3:$B$5001,$C$2,INDEX(BD!$A$3:$V$5001,0,$AX11),"&lt;&gt;")=0,"",SUMIFS(INDEX(BD!$A$3:$V$5001,0,$AX11),BD!$A$3:$A$5001,X$5,BD!$B$3:$B$5001,$C$2))))</f>
        <v/>
      </c>
      <c r="Y11" s="172" t="str">
        <f>IF(OR($AW11=0,Y$5=""),"",IF($AY11="taxa",IF(COUNTIFS(BD!$A$3:$A$5001,Y$5,BD!$B$3:$B$5001,$C$2,BD!$M$3:$M$5001,"&lt;&gt;")=0,"",IFERROR(SUMIFS(BD!$M$3:$M$5001,BD!$A$3:$A$5001,Y$5,BD!$B$3:$B$5001,$C$2)/SUMIFS(BD!$L$3:$L$5001,BD!$A$3:$A$5001,Y$5,BD!$B$3:$B$5001,$C$2),"")),IF(COUNTIFS(BD!$A$3:$A$5001,Y$5,BD!$B$3:$B$5001,$C$2,INDEX(BD!$A$3:$V$5001,0,$AX11),"&lt;&gt;")=0,"",SUMIFS(INDEX(BD!$A$3:$V$5001,0,$AX11),BD!$A$3:$A$5001,Y$5,BD!$B$3:$B$5001,$C$2))))</f>
        <v/>
      </c>
      <c r="Z11" s="172" t="str">
        <f>IF(OR($AW11=0,Z$5=""),"",IF($AY11="taxa",IF(COUNTIFS(BD!$A$3:$A$5001,Z$5,BD!$B$3:$B$5001,$C$2,BD!$M$3:$M$5001,"&lt;&gt;")=0,"",IFERROR(SUMIFS(BD!$M$3:$M$5001,BD!$A$3:$A$5001,Z$5,BD!$B$3:$B$5001,$C$2)/SUMIFS(BD!$L$3:$L$5001,BD!$A$3:$A$5001,Z$5,BD!$B$3:$B$5001,$C$2),"")),IF(COUNTIFS(BD!$A$3:$A$5001,Z$5,BD!$B$3:$B$5001,$C$2,INDEX(BD!$A$3:$V$5001,0,$AX11),"&lt;&gt;")=0,"",SUMIFS(INDEX(BD!$A$3:$V$5001,0,$AX11),BD!$A$3:$A$5001,Z$5,BD!$B$3:$B$5001,$C$2))))</f>
        <v/>
      </c>
      <c r="AA11" s="172" t="str">
        <f>IF(OR($AW11=0,AA$5=""),"",IF($AY11="taxa",IF(COUNTIFS(BD!$A$3:$A$5001,AA$5,BD!$B$3:$B$5001,$C$2,BD!$M$3:$M$5001,"&lt;&gt;")=0,"",IFERROR(SUMIFS(BD!$M$3:$M$5001,BD!$A$3:$A$5001,AA$5,BD!$B$3:$B$5001,$C$2)/SUMIFS(BD!$L$3:$L$5001,BD!$A$3:$A$5001,AA$5,BD!$B$3:$B$5001,$C$2),"")),IF(COUNTIFS(BD!$A$3:$A$5001,AA$5,BD!$B$3:$B$5001,$C$2,INDEX(BD!$A$3:$V$5001,0,$AX11),"&lt;&gt;")=0,"",SUMIFS(INDEX(BD!$A$3:$V$5001,0,$AX11),BD!$A$3:$A$5001,AA$5,BD!$B$3:$B$5001,$C$2))))</f>
        <v/>
      </c>
      <c r="AB11" s="172" t="str">
        <f>IF(OR($AW11=0,AB$5=""),"",IF($AY11="taxa",IF(COUNTIFS(BD!$A$3:$A$5001,AB$5,BD!$B$3:$B$5001,$C$2,BD!$M$3:$M$5001,"&lt;&gt;")=0,"",IFERROR(SUMIFS(BD!$M$3:$M$5001,BD!$A$3:$A$5001,AB$5,BD!$B$3:$B$5001,$C$2)/SUMIFS(BD!$L$3:$L$5001,BD!$A$3:$A$5001,AB$5,BD!$B$3:$B$5001,$C$2),"")),IF(COUNTIFS(BD!$A$3:$A$5001,AB$5,BD!$B$3:$B$5001,$C$2,INDEX(BD!$A$3:$V$5001,0,$AX11),"&lt;&gt;")=0,"",SUMIFS(INDEX(BD!$A$3:$V$5001,0,$AX11),BD!$A$3:$A$5001,AB$5,BD!$B$3:$B$5001,$C$2))))</f>
        <v/>
      </c>
      <c r="AC11" s="172" t="str">
        <f>IF(OR($AW11=0,AC$5=""),"",IF($AY11="taxa",IF(COUNTIFS(BD!$A$3:$A$5001,AC$5,BD!$B$3:$B$5001,$C$2,BD!$M$3:$M$5001,"&lt;&gt;")=0,"",IFERROR(SUMIFS(BD!$M$3:$M$5001,BD!$A$3:$A$5001,AC$5,BD!$B$3:$B$5001,$C$2)/SUMIFS(BD!$L$3:$L$5001,BD!$A$3:$A$5001,AC$5,BD!$B$3:$B$5001,$C$2),"")),IF(COUNTIFS(BD!$A$3:$A$5001,AC$5,BD!$B$3:$B$5001,$C$2,INDEX(BD!$A$3:$V$5001,0,$AX11),"&lt;&gt;")=0,"",SUMIFS(INDEX(BD!$A$3:$V$5001,0,$AX11),BD!$A$3:$A$5001,AC$5,BD!$B$3:$B$5001,$C$2))))</f>
        <v/>
      </c>
      <c r="AD11" s="172" t="str">
        <f>IF(OR($AW11=0,AD$5=""),"",IF($AY11="taxa",IF(COUNTIFS(BD!$A$3:$A$5001,AD$5,BD!$B$3:$B$5001,$C$2,BD!$M$3:$M$5001,"&lt;&gt;")=0,"",IFERROR(SUMIFS(BD!$M$3:$M$5001,BD!$A$3:$A$5001,AD$5,BD!$B$3:$B$5001,$C$2)/SUMIFS(BD!$L$3:$L$5001,BD!$A$3:$A$5001,AD$5,BD!$B$3:$B$5001,$C$2),"")),IF(COUNTIFS(BD!$A$3:$A$5001,AD$5,BD!$B$3:$B$5001,$C$2,INDEX(BD!$A$3:$V$5001,0,$AX11),"&lt;&gt;")=0,"",SUMIFS(INDEX(BD!$A$3:$V$5001,0,$AX11),BD!$A$3:$A$5001,AD$5,BD!$B$3:$B$5001,$C$2))))</f>
        <v/>
      </c>
      <c r="AE11" s="172" t="str">
        <f>IF(OR($AW11=0,AE$5=""),"",IF($AY11="taxa",IF(COUNTIFS(BD!$A$3:$A$5001,AE$5,BD!$B$3:$B$5001,$C$2,BD!$M$3:$M$5001,"&lt;&gt;")=0,"",IFERROR(SUMIFS(BD!$M$3:$M$5001,BD!$A$3:$A$5001,AE$5,BD!$B$3:$B$5001,$C$2)/SUMIFS(BD!$L$3:$L$5001,BD!$A$3:$A$5001,AE$5,BD!$B$3:$B$5001,$C$2),"")),IF(COUNTIFS(BD!$A$3:$A$5001,AE$5,BD!$B$3:$B$5001,$C$2,INDEX(BD!$A$3:$V$5001,0,$AX11),"&lt;&gt;")=0,"",SUMIFS(INDEX(BD!$A$3:$V$5001,0,$AX11),BD!$A$3:$A$5001,AE$5,BD!$B$3:$B$5001,$C$2))))</f>
        <v/>
      </c>
      <c r="AF11" s="172" t="str">
        <f>IF(OR($AW11=0,AF$5=""),"",IF($AY11="taxa",IF(COUNTIFS(BD!$A$3:$A$5001,AF$5,BD!$B$3:$B$5001,$C$2,BD!$M$3:$M$5001,"&lt;&gt;")=0,"",IFERROR(SUMIFS(BD!$M$3:$M$5001,BD!$A$3:$A$5001,AF$5,BD!$B$3:$B$5001,$C$2)/SUMIFS(BD!$L$3:$L$5001,BD!$A$3:$A$5001,AF$5,BD!$B$3:$B$5001,$C$2),"")),IF(COUNTIFS(BD!$A$3:$A$5001,AF$5,BD!$B$3:$B$5001,$C$2,INDEX(BD!$A$3:$V$5001,0,$AX11),"&lt;&gt;")=0,"",SUMIFS(INDEX(BD!$A$3:$V$5001,0,$AX11),BD!$A$3:$A$5001,AF$5,BD!$B$3:$B$5001,$C$2))))</f>
        <v/>
      </c>
      <c r="AG11" s="172" t="str">
        <f>IF(OR($AW11=0,AG$5=""),"",IF($AY11="taxa",IF(COUNTIFS(BD!$A$3:$A$5001,AG$5,BD!$B$3:$B$5001,$C$2,BD!$M$3:$M$5001,"&lt;&gt;")=0,"",IFERROR(SUMIFS(BD!$M$3:$M$5001,BD!$A$3:$A$5001,AG$5,BD!$B$3:$B$5001,$C$2)/SUMIFS(BD!$L$3:$L$5001,BD!$A$3:$A$5001,AG$5,BD!$B$3:$B$5001,$C$2),"")),IF(COUNTIFS(BD!$A$3:$A$5001,AG$5,BD!$B$3:$B$5001,$C$2,INDEX(BD!$A$3:$V$5001,0,$AX11),"&lt;&gt;")=0,"",SUMIFS(INDEX(BD!$A$3:$V$5001,0,$AX11),BD!$A$3:$A$5001,AG$5,BD!$B$3:$B$5001,$C$2))))</f>
        <v/>
      </c>
      <c r="AH11" s="172" t="str">
        <f>IF(OR($AW11=0,AH$5=""),"",IF($AY11="taxa",IF(COUNTIFS(BD!$A$3:$A$5001,AH$5,BD!$B$3:$B$5001,$C$2,BD!$M$3:$M$5001,"&lt;&gt;")=0,"",IFERROR(SUMIFS(BD!$M$3:$M$5001,BD!$A$3:$A$5001,AH$5,BD!$B$3:$B$5001,$C$2)/SUMIFS(BD!$L$3:$L$5001,BD!$A$3:$A$5001,AH$5,BD!$B$3:$B$5001,$C$2),"")),IF(COUNTIFS(BD!$A$3:$A$5001,AH$5,BD!$B$3:$B$5001,$C$2,INDEX(BD!$A$3:$V$5001,0,$AX11),"&lt;&gt;")=0,"",SUMIFS(INDEX(BD!$A$3:$V$5001,0,$AX11),BD!$A$3:$A$5001,AH$5,BD!$B$3:$B$5001,$C$2))))</f>
        <v/>
      </c>
      <c r="AI11" s="172" t="str">
        <f>IF(OR($AW11=0,AI$5=""),"",IF($AY11="taxa",IF(COUNTIFS(BD!$A$3:$A$5001,AI$5,BD!$B$3:$B$5001,$C$2,BD!$M$3:$M$5001,"&lt;&gt;")=0,"",IFERROR(SUMIFS(BD!$M$3:$M$5001,BD!$A$3:$A$5001,AI$5,BD!$B$3:$B$5001,$C$2)/SUMIFS(BD!$L$3:$L$5001,BD!$A$3:$A$5001,AI$5,BD!$B$3:$B$5001,$C$2),"")),IF(COUNTIFS(BD!$A$3:$A$5001,AI$5,BD!$B$3:$B$5001,$C$2,INDEX(BD!$A$3:$V$5001,0,$AX11),"&lt;&gt;")=0,"",SUMIFS(INDEX(BD!$A$3:$V$5001,0,$AX11),BD!$A$3:$A$5001,AI$5,BD!$B$3:$B$5001,$C$2))))</f>
        <v/>
      </c>
      <c r="AJ11" s="173" t="str">
        <f>IF(OR($AW11=0,AJ$5=""),"",IF($AY11="taxa",IF(COUNTIFS(BD!$A$3:$A$5001,AJ$5,BD!$B$3:$B$5001,$C$2,BD!$M$3:$M$5001,"&lt;&gt;")=0,"",IFERROR(SUMIFS(BD!$M$3:$M$5001,BD!$A$3:$A$5001,AJ$5,BD!$B$3:$B$5001,$C$2)/SUMIFS(BD!$L$3:$L$5001,BD!$A$3:$A$5001,AJ$5,BD!$B$3:$B$5001,$C$2),"")),IF(COUNTIFS(BD!$A$3:$A$5001,AJ$5,BD!$B$3:$B$5001,$C$2,INDEX(BD!$A$3:$V$5001,0,$AX11),"&lt;&gt;")=0,"",SUMIFS(INDEX(BD!$A$3:$V$5001,0,$AX11),BD!$A$3:$A$5001,AJ$5,BD!$B$3:$B$5001,$C$2))))</f>
        <v/>
      </c>
      <c r="AK11" s="169" t="str">
        <f>IF($AW11=0,"",IF($AY11="fluxo",IF(COUNT(F11:AJ11)=0,"",SUM(F11:AJ11)),IFERROR(LOOKUP(9.99E+307,F11:AJ11),"")))</f>
        <v/>
      </c>
      <c r="AN11" s="159" t="inlineStr">
        <is>
          <t xml:space="preserve">Pallets Movimentados</t>
        </is>
      </c>
      <c r="AO11" s="159" t="inlineStr">
        <is>
          <t xml:space="preserve">OUT</t>
        </is>
      </c>
      <c r="AP11" s="159">
        <v>7</v>
      </c>
      <c r="AQ11" s="159" t="inlineStr">
        <is>
          <t xml:space="preserve">fluxo</t>
        </is>
      </c>
      <c r="AR11" s="159">
        <v>5</v>
      </c>
      <c r="AS11" s="159" t="inlineStr">
        <is>
          <t xml:space="preserve">int</t>
        </is>
      </c>
      <c r="AT11" s="159">
        <f>IF($C$2="",0,IF(IFERROR(INDEX(Config!$H$35:$H$54,MATCH($C$2,Config!$B$35:$B$54,0)),"Sim")="Não",0,1))</f>
        <v>1</v>
      </c>
      <c r="AU11" s="159">
        <f>AU10+AT11</f>
        <v>5</v>
      </c>
      <c r="AW11" s="159">
        <f>IFERROR(MATCH(5,$AU$7:$AU$26,0),0)</f>
        <v>5</v>
      </c>
      <c r="AX11" s="159">
        <f>IF($AW11=0,"",INDEX($AP$7:$AP$26,$AW11))</f>
        <v>7</v>
      </c>
      <c r="AY11" s="159" t="str">
        <f>IF($AW11=0,"",INDEX($AQ$7:$AQ$26,$AW11))</f>
        <v>fluxo</v>
      </c>
      <c r="AZ11" s="159" t="str">
        <f>IF($AW11=0,"",INDEX($AS$7:$AS$26,$AW11))</f>
        <v>int</v>
      </c>
      <c r="BA11" s="159">
        <f>IF($AW11=0,"",INDEX($AR$7:$AR$26,$AW11))</f>
        <v>5</v>
      </c>
    </row>
    <row r="12" ht="15.75" customHeight="1">
      <c r="A12" s="181"/>
      <c r="B12" s="167" t="str">
        <f>IF($AW12=0,"",INDEX($AO$7:$AO$26,$AW12))</f>
        <v>OUT</v>
      </c>
      <c r="C12" s="168" t="str">
        <f>IF($AW12=0,"",INDEX($AN$7:$AN$26,$AW12))</f>
        <v>Toneladas Movimentadas</v>
      </c>
      <c r="D12" s="169" t="str">
        <f>IF(OR($AW12=0,N($BA12)=0),"",IFERROR(1/(1/INDEX(BD!$Y$23:$AS$42,$BA12,MATCH($C$2,BD!$Y$22:$AS$22,0))),""))</f>
        <v/>
      </c>
      <c r="E12" s="170"/>
      <c r="F12" s="171" t="str">
        <f>IF(OR($AW12=0,F$5=""),"",IF($AY12="taxa",IF(COUNTIFS(BD!$A$3:$A$5001,F$5,BD!$B$3:$B$5001,$C$2,BD!$M$3:$M$5001,"&lt;&gt;")=0,"",IFERROR(SUMIFS(BD!$M$3:$M$5001,BD!$A$3:$A$5001,F$5,BD!$B$3:$B$5001,$C$2)/SUMIFS(BD!$L$3:$L$5001,BD!$A$3:$A$5001,F$5,BD!$B$3:$B$5001,$C$2),"")),IF(COUNTIFS(BD!$A$3:$A$5001,F$5,BD!$B$3:$B$5001,$C$2,INDEX(BD!$A$3:$V$5001,0,$AX12),"&lt;&gt;")=0,"",SUMIFS(INDEX(BD!$A$3:$V$5001,0,$AX12),BD!$A$3:$A$5001,F$5,BD!$B$3:$B$5001,$C$2))))</f>
        <v/>
      </c>
      <c r="G12" s="172" t="str">
        <f>IF(OR($AW12=0,G$5=""),"",IF($AY12="taxa",IF(COUNTIFS(BD!$A$3:$A$5001,G$5,BD!$B$3:$B$5001,$C$2,BD!$M$3:$M$5001,"&lt;&gt;")=0,"",IFERROR(SUMIFS(BD!$M$3:$M$5001,BD!$A$3:$A$5001,G$5,BD!$B$3:$B$5001,$C$2)/SUMIFS(BD!$L$3:$L$5001,BD!$A$3:$A$5001,G$5,BD!$B$3:$B$5001,$C$2),"")),IF(COUNTIFS(BD!$A$3:$A$5001,G$5,BD!$B$3:$B$5001,$C$2,INDEX(BD!$A$3:$V$5001,0,$AX12),"&lt;&gt;")=0,"",SUMIFS(INDEX(BD!$A$3:$V$5001,0,$AX12),BD!$A$3:$A$5001,G$5,BD!$B$3:$B$5001,$C$2))))</f>
        <v/>
      </c>
      <c r="H12" s="172" t="str">
        <f>IF(OR($AW12=0,H$5=""),"",IF($AY12="taxa",IF(COUNTIFS(BD!$A$3:$A$5001,H$5,BD!$B$3:$B$5001,$C$2,BD!$M$3:$M$5001,"&lt;&gt;")=0,"",IFERROR(SUMIFS(BD!$M$3:$M$5001,BD!$A$3:$A$5001,H$5,BD!$B$3:$B$5001,$C$2)/SUMIFS(BD!$L$3:$L$5001,BD!$A$3:$A$5001,H$5,BD!$B$3:$B$5001,$C$2),"")),IF(COUNTIFS(BD!$A$3:$A$5001,H$5,BD!$B$3:$B$5001,$C$2,INDEX(BD!$A$3:$V$5001,0,$AX12),"&lt;&gt;")=0,"",SUMIFS(INDEX(BD!$A$3:$V$5001,0,$AX12),BD!$A$3:$A$5001,H$5,BD!$B$3:$B$5001,$C$2))))</f>
        <v/>
      </c>
      <c r="I12" s="172" t="str">
        <f>IF(OR($AW12=0,I$5=""),"",IF($AY12="taxa",IF(COUNTIFS(BD!$A$3:$A$5001,I$5,BD!$B$3:$B$5001,$C$2,BD!$M$3:$M$5001,"&lt;&gt;")=0,"",IFERROR(SUMIFS(BD!$M$3:$M$5001,BD!$A$3:$A$5001,I$5,BD!$B$3:$B$5001,$C$2)/SUMIFS(BD!$L$3:$L$5001,BD!$A$3:$A$5001,I$5,BD!$B$3:$B$5001,$C$2),"")),IF(COUNTIFS(BD!$A$3:$A$5001,I$5,BD!$B$3:$B$5001,$C$2,INDEX(BD!$A$3:$V$5001,0,$AX12),"&lt;&gt;")=0,"",SUMIFS(INDEX(BD!$A$3:$V$5001,0,$AX12),BD!$A$3:$A$5001,I$5,BD!$B$3:$B$5001,$C$2))))</f>
        <v/>
      </c>
      <c r="J12" s="172" t="str">
        <f>IF(OR($AW12=0,J$5=""),"",IF($AY12="taxa",IF(COUNTIFS(BD!$A$3:$A$5001,J$5,BD!$B$3:$B$5001,$C$2,BD!$M$3:$M$5001,"&lt;&gt;")=0,"",IFERROR(SUMIFS(BD!$M$3:$M$5001,BD!$A$3:$A$5001,J$5,BD!$B$3:$B$5001,$C$2)/SUMIFS(BD!$L$3:$L$5001,BD!$A$3:$A$5001,J$5,BD!$B$3:$B$5001,$C$2),"")),IF(COUNTIFS(BD!$A$3:$A$5001,J$5,BD!$B$3:$B$5001,$C$2,INDEX(BD!$A$3:$V$5001,0,$AX12),"&lt;&gt;")=0,"",SUMIFS(INDEX(BD!$A$3:$V$5001,0,$AX12),BD!$A$3:$A$5001,J$5,BD!$B$3:$B$5001,$C$2))))</f>
        <v/>
      </c>
      <c r="K12" s="172" t="str">
        <f>IF(OR($AW12=0,K$5=""),"",IF($AY12="taxa",IF(COUNTIFS(BD!$A$3:$A$5001,K$5,BD!$B$3:$B$5001,$C$2,BD!$M$3:$M$5001,"&lt;&gt;")=0,"",IFERROR(SUMIFS(BD!$M$3:$M$5001,BD!$A$3:$A$5001,K$5,BD!$B$3:$B$5001,$C$2)/SUMIFS(BD!$L$3:$L$5001,BD!$A$3:$A$5001,K$5,BD!$B$3:$B$5001,$C$2),"")),IF(COUNTIFS(BD!$A$3:$A$5001,K$5,BD!$B$3:$B$5001,$C$2,INDEX(BD!$A$3:$V$5001,0,$AX12),"&lt;&gt;")=0,"",SUMIFS(INDEX(BD!$A$3:$V$5001,0,$AX12),BD!$A$3:$A$5001,K$5,BD!$B$3:$B$5001,$C$2))))</f>
        <v/>
      </c>
      <c r="L12" s="172" t="str">
        <f>IF(OR($AW12=0,L$5=""),"",IF($AY12="taxa",IF(COUNTIFS(BD!$A$3:$A$5001,L$5,BD!$B$3:$B$5001,$C$2,BD!$M$3:$M$5001,"&lt;&gt;")=0,"",IFERROR(SUMIFS(BD!$M$3:$M$5001,BD!$A$3:$A$5001,L$5,BD!$B$3:$B$5001,$C$2)/SUMIFS(BD!$L$3:$L$5001,BD!$A$3:$A$5001,L$5,BD!$B$3:$B$5001,$C$2),"")),IF(COUNTIFS(BD!$A$3:$A$5001,L$5,BD!$B$3:$B$5001,$C$2,INDEX(BD!$A$3:$V$5001,0,$AX12),"&lt;&gt;")=0,"",SUMIFS(INDEX(BD!$A$3:$V$5001,0,$AX12),BD!$A$3:$A$5001,L$5,BD!$B$3:$B$5001,$C$2))))</f>
        <v/>
      </c>
      <c r="M12" s="172" t="str">
        <f>IF(OR($AW12=0,M$5=""),"",IF($AY12="taxa",IF(COUNTIFS(BD!$A$3:$A$5001,M$5,BD!$B$3:$B$5001,$C$2,BD!$M$3:$M$5001,"&lt;&gt;")=0,"",IFERROR(SUMIFS(BD!$M$3:$M$5001,BD!$A$3:$A$5001,M$5,BD!$B$3:$B$5001,$C$2)/SUMIFS(BD!$L$3:$L$5001,BD!$A$3:$A$5001,M$5,BD!$B$3:$B$5001,$C$2),"")),IF(COUNTIFS(BD!$A$3:$A$5001,M$5,BD!$B$3:$B$5001,$C$2,INDEX(BD!$A$3:$V$5001,0,$AX12),"&lt;&gt;")=0,"",SUMIFS(INDEX(BD!$A$3:$V$5001,0,$AX12),BD!$A$3:$A$5001,M$5,BD!$B$3:$B$5001,$C$2))))</f>
        <v/>
      </c>
      <c r="N12" s="172" t="str">
        <f>IF(OR($AW12=0,N$5=""),"",IF($AY12="taxa",IF(COUNTIFS(BD!$A$3:$A$5001,N$5,BD!$B$3:$B$5001,$C$2,BD!$M$3:$M$5001,"&lt;&gt;")=0,"",IFERROR(SUMIFS(BD!$M$3:$M$5001,BD!$A$3:$A$5001,N$5,BD!$B$3:$B$5001,$C$2)/SUMIFS(BD!$L$3:$L$5001,BD!$A$3:$A$5001,N$5,BD!$B$3:$B$5001,$C$2),"")),IF(COUNTIFS(BD!$A$3:$A$5001,N$5,BD!$B$3:$B$5001,$C$2,INDEX(BD!$A$3:$V$5001,0,$AX12),"&lt;&gt;")=0,"",SUMIFS(INDEX(BD!$A$3:$V$5001,0,$AX12),BD!$A$3:$A$5001,N$5,BD!$B$3:$B$5001,$C$2))))</f>
        <v/>
      </c>
      <c r="O12" s="172" t="str">
        <f>IF(OR($AW12=0,O$5=""),"",IF($AY12="taxa",IF(COUNTIFS(BD!$A$3:$A$5001,O$5,BD!$B$3:$B$5001,$C$2,BD!$M$3:$M$5001,"&lt;&gt;")=0,"",IFERROR(SUMIFS(BD!$M$3:$M$5001,BD!$A$3:$A$5001,O$5,BD!$B$3:$B$5001,$C$2)/SUMIFS(BD!$L$3:$L$5001,BD!$A$3:$A$5001,O$5,BD!$B$3:$B$5001,$C$2),"")),IF(COUNTIFS(BD!$A$3:$A$5001,O$5,BD!$B$3:$B$5001,$C$2,INDEX(BD!$A$3:$V$5001,0,$AX12),"&lt;&gt;")=0,"",SUMIFS(INDEX(BD!$A$3:$V$5001,0,$AX12),BD!$A$3:$A$5001,O$5,BD!$B$3:$B$5001,$C$2))))</f>
        <v/>
      </c>
      <c r="P12" s="172" t="str">
        <f>IF(OR($AW12=0,P$5=""),"",IF($AY12="taxa",IF(COUNTIFS(BD!$A$3:$A$5001,P$5,BD!$B$3:$B$5001,$C$2,BD!$M$3:$M$5001,"&lt;&gt;")=0,"",IFERROR(SUMIFS(BD!$M$3:$M$5001,BD!$A$3:$A$5001,P$5,BD!$B$3:$B$5001,$C$2)/SUMIFS(BD!$L$3:$L$5001,BD!$A$3:$A$5001,P$5,BD!$B$3:$B$5001,$C$2),"")),IF(COUNTIFS(BD!$A$3:$A$5001,P$5,BD!$B$3:$B$5001,$C$2,INDEX(BD!$A$3:$V$5001,0,$AX12),"&lt;&gt;")=0,"",SUMIFS(INDEX(BD!$A$3:$V$5001,0,$AX12),BD!$A$3:$A$5001,P$5,BD!$B$3:$B$5001,$C$2))))</f>
        <v/>
      </c>
      <c r="Q12" s="172" t="str">
        <f>IF(OR($AW12=0,Q$5=""),"",IF($AY12="taxa",IF(COUNTIFS(BD!$A$3:$A$5001,Q$5,BD!$B$3:$B$5001,$C$2,BD!$M$3:$M$5001,"&lt;&gt;")=0,"",IFERROR(SUMIFS(BD!$M$3:$M$5001,BD!$A$3:$A$5001,Q$5,BD!$B$3:$B$5001,$C$2)/SUMIFS(BD!$L$3:$L$5001,BD!$A$3:$A$5001,Q$5,BD!$B$3:$B$5001,$C$2),"")),IF(COUNTIFS(BD!$A$3:$A$5001,Q$5,BD!$B$3:$B$5001,$C$2,INDEX(BD!$A$3:$V$5001,0,$AX12),"&lt;&gt;")=0,"",SUMIFS(INDEX(BD!$A$3:$V$5001,0,$AX12),BD!$A$3:$A$5001,Q$5,BD!$B$3:$B$5001,$C$2))))</f>
        <v/>
      </c>
      <c r="R12" s="172" t="str">
        <f>IF(OR($AW12=0,R$5=""),"",IF($AY12="taxa",IF(COUNTIFS(BD!$A$3:$A$5001,R$5,BD!$B$3:$B$5001,$C$2,BD!$M$3:$M$5001,"&lt;&gt;")=0,"",IFERROR(SUMIFS(BD!$M$3:$M$5001,BD!$A$3:$A$5001,R$5,BD!$B$3:$B$5001,$C$2)/SUMIFS(BD!$L$3:$L$5001,BD!$A$3:$A$5001,R$5,BD!$B$3:$B$5001,$C$2),"")),IF(COUNTIFS(BD!$A$3:$A$5001,R$5,BD!$B$3:$B$5001,$C$2,INDEX(BD!$A$3:$V$5001,0,$AX12),"&lt;&gt;")=0,"",SUMIFS(INDEX(BD!$A$3:$V$5001,0,$AX12),BD!$A$3:$A$5001,R$5,BD!$B$3:$B$5001,$C$2))))</f>
        <v/>
      </c>
      <c r="S12" s="172" t="str">
        <f>IF(OR($AW12=0,S$5=""),"",IF($AY12="taxa",IF(COUNTIFS(BD!$A$3:$A$5001,S$5,BD!$B$3:$B$5001,$C$2,BD!$M$3:$M$5001,"&lt;&gt;")=0,"",IFERROR(SUMIFS(BD!$M$3:$M$5001,BD!$A$3:$A$5001,S$5,BD!$B$3:$B$5001,$C$2)/SUMIFS(BD!$L$3:$L$5001,BD!$A$3:$A$5001,S$5,BD!$B$3:$B$5001,$C$2),"")),IF(COUNTIFS(BD!$A$3:$A$5001,S$5,BD!$B$3:$B$5001,$C$2,INDEX(BD!$A$3:$V$5001,0,$AX12),"&lt;&gt;")=0,"",SUMIFS(INDEX(BD!$A$3:$V$5001,0,$AX12),BD!$A$3:$A$5001,S$5,BD!$B$3:$B$5001,$C$2))))</f>
        <v/>
      </c>
      <c r="T12" s="172" t="str">
        <f>IF(OR($AW12=0,T$5=""),"",IF($AY12="taxa",IF(COUNTIFS(BD!$A$3:$A$5001,T$5,BD!$B$3:$B$5001,$C$2,BD!$M$3:$M$5001,"&lt;&gt;")=0,"",IFERROR(SUMIFS(BD!$M$3:$M$5001,BD!$A$3:$A$5001,T$5,BD!$B$3:$B$5001,$C$2)/SUMIFS(BD!$L$3:$L$5001,BD!$A$3:$A$5001,T$5,BD!$B$3:$B$5001,$C$2),"")),IF(COUNTIFS(BD!$A$3:$A$5001,T$5,BD!$B$3:$B$5001,$C$2,INDEX(BD!$A$3:$V$5001,0,$AX12),"&lt;&gt;")=0,"",SUMIFS(INDEX(BD!$A$3:$V$5001,0,$AX12),BD!$A$3:$A$5001,T$5,BD!$B$3:$B$5001,$C$2))))</f>
        <v/>
      </c>
      <c r="U12" s="172" t="str">
        <f>IF(OR($AW12=0,U$5=""),"",IF($AY12="taxa",IF(COUNTIFS(BD!$A$3:$A$5001,U$5,BD!$B$3:$B$5001,$C$2,BD!$M$3:$M$5001,"&lt;&gt;")=0,"",IFERROR(SUMIFS(BD!$M$3:$M$5001,BD!$A$3:$A$5001,U$5,BD!$B$3:$B$5001,$C$2)/SUMIFS(BD!$L$3:$L$5001,BD!$A$3:$A$5001,U$5,BD!$B$3:$B$5001,$C$2),"")),IF(COUNTIFS(BD!$A$3:$A$5001,U$5,BD!$B$3:$B$5001,$C$2,INDEX(BD!$A$3:$V$5001,0,$AX12),"&lt;&gt;")=0,"",SUMIFS(INDEX(BD!$A$3:$V$5001,0,$AX12),BD!$A$3:$A$5001,U$5,BD!$B$3:$B$5001,$C$2))))</f>
        <v/>
      </c>
      <c r="V12" s="172" t="str">
        <f>IF(OR($AW12=0,V$5=""),"",IF($AY12="taxa",IF(COUNTIFS(BD!$A$3:$A$5001,V$5,BD!$B$3:$B$5001,$C$2,BD!$M$3:$M$5001,"&lt;&gt;")=0,"",IFERROR(SUMIFS(BD!$M$3:$M$5001,BD!$A$3:$A$5001,V$5,BD!$B$3:$B$5001,$C$2)/SUMIFS(BD!$L$3:$L$5001,BD!$A$3:$A$5001,V$5,BD!$B$3:$B$5001,$C$2),"")),IF(COUNTIFS(BD!$A$3:$A$5001,V$5,BD!$B$3:$B$5001,$C$2,INDEX(BD!$A$3:$V$5001,0,$AX12),"&lt;&gt;")=0,"",SUMIFS(INDEX(BD!$A$3:$V$5001,0,$AX12),BD!$A$3:$A$5001,V$5,BD!$B$3:$B$5001,$C$2))))</f>
        <v/>
      </c>
      <c r="W12" s="172" t="str">
        <f>IF(OR($AW12=0,W$5=""),"",IF($AY12="taxa",IF(COUNTIFS(BD!$A$3:$A$5001,W$5,BD!$B$3:$B$5001,$C$2,BD!$M$3:$M$5001,"&lt;&gt;")=0,"",IFERROR(SUMIFS(BD!$M$3:$M$5001,BD!$A$3:$A$5001,W$5,BD!$B$3:$B$5001,$C$2)/SUMIFS(BD!$L$3:$L$5001,BD!$A$3:$A$5001,W$5,BD!$B$3:$B$5001,$C$2),"")),IF(COUNTIFS(BD!$A$3:$A$5001,W$5,BD!$B$3:$B$5001,$C$2,INDEX(BD!$A$3:$V$5001,0,$AX12),"&lt;&gt;")=0,"",SUMIFS(INDEX(BD!$A$3:$V$5001,0,$AX12),BD!$A$3:$A$5001,W$5,BD!$B$3:$B$5001,$C$2))))</f>
        <v/>
      </c>
      <c r="X12" s="172" t="str">
        <f>IF(OR($AW12=0,X$5=""),"",IF($AY12="taxa",IF(COUNTIFS(BD!$A$3:$A$5001,X$5,BD!$B$3:$B$5001,$C$2,BD!$M$3:$M$5001,"&lt;&gt;")=0,"",IFERROR(SUMIFS(BD!$M$3:$M$5001,BD!$A$3:$A$5001,X$5,BD!$B$3:$B$5001,$C$2)/SUMIFS(BD!$L$3:$L$5001,BD!$A$3:$A$5001,X$5,BD!$B$3:$B$5001,$C$2),"")),IF(COUNTIFS(BD!$A$3:$A$5001,X$5,BD!$B$3:$B$5001,$C$2,INDEX(BD!$A$3:$V$5001,0,$AX12),"&lt;&gt;")=0,"",SUMIFS(INDEX(BD!$A$3:$V$5001,0,$AX12),BD!$A$3:$A$5001,X$5,BD!$B$3:$B$5001,$C$2))))</f>
        <v/>
      </c>
      <c r="Y12" s="172" t="str">
        <f>IF(OR($AW12=0,Y$5=""),"",IF($AY12="taxa",IF(COUNTIFS(BD!$A$3:$A$5001,Y$5,BD!$B$3:$B$5001,$C$2,BD!$M$3:$M$5001,"&lt;&gt;")=0,"",IFERROR(SUMIFS(BD!$M$3:$M$5001,BD!$A$3:$A$5001,Y$5,BD!$B$3:$B$5001,$C$2)/SUMIFS(BD!$L$3:$L$5001,BD!$A$3:$A$5001,Y$5,BD!$B$3:$B$5001,$C$2),"")),IF(COUNTIFS(BD!$A$3:$A$5001,Y$5,BD!$B$3:$B$5001,$C$2,INDEX(BD!$A$3:$V$5001,0,$AX12),"&lt;&gt;")=0,"",SUMIFS(INDEX(BD!$A$3:$V$5001,0,$AX12),BD!$A$3:$A$5001,Y$5,BD!$B$3:$B$5001,$C$2))))</f>
        <v/>
      </c>
      <c r="Z12" s="172" t="str">
        <f>IF(OR($AW12=0,Z$5=""),"",IF($AY12="taxa",IF(COUNTIFS(BD!$A$3:$A$5001,Z$5,BD!$B$3:$B$5001,$C$2,BD!$M$3:$M$5001,"&lt;&gt;")=0,"",IFERROR(SUMIFS(BD!$M$3:$M$5001,BD!$A$3:$A$5001,Z$5,BD!$B$3:$B$5001,$C$2)/SUMIFS(BD!$L$3:$L$5001,BD!$A$3:$A$5001,Z$5,BD!$B$3:$B$5001,$C$2),"")),IF(COUNTIFS(BD!$A$3:$A$5001,Z$5,BD!$B$3:$B$5001,$C$2,INDEX(BD!$A$3:$V$5001,0,$AX12),"&lt;&gt;")=0,"",SUMIFS(INDEX(BD!$A$3:$V$5001,0,$AX12),BD!$A$3:$A$5001,Z$5,BD!$B$3:$B$5001,$C$2))))</f>
        <v/>
      </c>
      <c r="AA12" s="172" t="str">
        <f>IF(OR($AW12=0,AA$5=""),"",IF($AY12="taxa",IF(COUNTIFS(BD!$A$3:$A$5001,AA$5,BD!$B$3:$B$5001,$C$2,BD!$M$3:$M$5001,"&lt;&gt;")=0,"",IFERROR(SUMIFS(BD!$M$3:$M$5001,BD!$A$3:$A$5001,AA$5,BD!$B$3:$B$5001,$C$2)/SUMIFS(BD!$L$3:$L$5001,BD!$A$3:$A$5001,AA$5,BD!$B$3:$B$5001,$C$2),"")),IF(COUNTIFS(BD!$A$3:$A$5001,AA$5,BD!$B$3:$B$5001,$C$2,INDEX(BD!$A$3:$V$5001,0,$AX12),"&lt;&gt;")=0,"",SUMIFS(INDEX(BD!$A$3:$V$5001,0,$AX12),BD!$A$3:$A$5001,AA$5,BD!$B$3:$B$5001,$C$2))))</f>
        <v/>
      </c>
      <c r="AB12" s="172" t="str">
        <f>IF(OR($AW12=0,AB$5=""),"",IF($AY12="taxa",IF(COUNTIFS(BD!$A$3:$A$5001,AB$5,BD!$B$3:$B$5001,$C$2,BD!$M$3:$M$5001,"&lt;&gt;")=0,"",IFERROR(SUMIFS(BD!$M$3:$M$5001,BD!$A$3:$A$5001,AB$5,BD!$B$3:$B$5001,$C$2)/SUMIFS(BD!$L$3:$L$5001,BD!$A$3:$A$5001,AB$5,BD!$B$3:$B$5001,$C$2),"")),IF(COUNTIFS(BD!$A$3:$A$5001,AB$5,BD!$B$3:$B$5001,$C$2,INDEX(BD!$A$3:$V$5001,0,$AX12),"&lt;&gt;")=0,"",SUMIFS(INDEX(BD!$A$3:$V$5001,0,$AX12),BD!$A$3:$A$5001,AB$5,BD!$B$3:$B$5001,$C$2))))</f>
        <v/>
      </c>
      <c r="AC12" s="172" t="str">
        <f>IF(OR($AW12=0,AC$5=""),"",IF($AY12="taxa",IF(COUNTIFS(BD!$A$3:$A$5001,AC$5,BD!$B$3:$B$5001,$C$2,BD!$M$3:$M$5001,"&lt;&gt;")=0,"",IFERROR(SUMIFS(BD!$M$3:$M$5001,BD!$A$3:$A$5001,AC$5,BD!$B$3:$B$5001,$C$2)/SUMIFS(BD!$L$3:$L$5001,BD!$A$3:$A$5001,AC$5,BD!$B$3:$B$5001,$C$2),"")),IF(COUNTIFS(BD!$A$3:$A$5001,AC$5,BD!$B$3:$B$5001,$C$2,INDEX(BD!$A$3:$V$5001,0,$AX12),"&lt;&gt;")=0,"",SUMIFS(INDEX(BD!$A$3:$V$5001,0,$AX12),BD!$A$3:$A$5001,AC$5,BD!$B$3:$B$5001,$C$2))))</f>
        <v/>
      </c>
      <c r="AD12" s="172" t="str">
        <f>IF(OR($AW12=0,AD$5=""),"",IF($AY12="taxa",IF(COUNTIFS(BD!$A$3:$A$5001,AD$5,BD!$B$3:$B$5001,$C$2,BD!$M$3:$M$5001,"&lt;&gt;")=0,"",IFERROR(SUMIFS(BD!$M$3:$M$5001,BD!$A$3:$A$5001,AD$5,BD!$B$3:$B$5001,$C$2)/SUMIFS(BD!$L$3:$L$5001,BD!$A$3:$A$5001,AD$5,BD!$B$3:$B$5001,$C$2),"")),IF(COUNTIFS(BD!$A$3:$A$5001,AD$5,BD!$B$3:$B$5001,$C$2,INDEX(BD!$A$3:$V$5001,0,$AX12),"&lt;&gt;")=0,"",SUMIFS(INDEX(BD!$A$3:$V$5001,0,$AX12),BD!$A$3:$A$5001,AD$5,BD!$B$3:$B$5001,$C$2))))</f>
        <v/>
      </c>
      <c r="AE12" s="172" t="str">
        <f>IF(OR($AW12=0,AE$5=""),"",IF($AY12="taxa",IF(COUNTIFS(BD!$A$3:$A$5001,AE$5,BD!$B$3:$B$5001,$C$2,BD!$M$3:$M$5001,"&lt;&gt;")=0,"",IFERROR(SUMIFS(BD!$M$3:$M$5001,BD!$A$3:$A$5001,AE$5,BD!$B$3:$B$5001,$C$2)/SUMIFS(BD!$L$3:$L$5001,BD!$A$3:$A$5001,AE$5,BD!$B$3:$B$5001,$C$2),"")),IF(COUNTIFS(BD!$A$3:$A$5001,AE$5,BD!$B$3:$B$5001,$C$2,INDEX(BD!$A$3:$V$5001,0,$AX12),"&lt;&gt;")=0,"",SUMIFS(INDEX(BD!$A$3:$V$5001,0,$AX12),BD!$A$3:$A$5001,AE$5,BD!$B$3:$B$5001,$C$2))))</f>
        <v/>
      </c>
      <c r="AF12" s="172" t="str">
        <f>IF(OR($AW12=0,AF$5=""),"",IF($AY12="taxa",IF(COUNTIFS(BD!$A$3:$A$5001,AF$5,BD!$B$3:$B$5001,$C$2,BD!$M$3:$M$5001,"&lt;&gt;")=0,"",IFERROR(SUMIFS(BD!$M$3:$M$5001,BD!$A$3:$A$5001,AF$5,BD!$B$3:$B$5001,$C$2)/SUMIFS(BD!$L$3:$L$5001,BD!$A$3:$A$5001,AF$5,BD!$B$3:$B$5001,$C$2),"")),IF(COUNTIFS(BD!$A$3:$A$5001,AF$5,BD!$B$3:$B$5001,$C$2,INDEX(BD!$A$3:$V$5001,0,$AX12),"&lt;&gt;")=0,"",SUMIFS(INDEX(BD!$A$3:$V$5001,0,$AX12),BD!$A$3:$A$5001,AF$5,BD!$B$3:$B$5001,$C$2))))</f>
        <v/>
      </c>
      <c r="AG12" s="172" t="str">
        <f>IF(OR($AW12=0,AG$5=""),"",IF($AY12="taxa",IF(COUNTIFS(BD!$A$3:$A$5001,AG$5,BD!$B$3:$B$5001,$C$2,BD!$M$3:$M$5001,"&lt;&gt;")=0,"",IFERROR(SUMIFS(BD!$M$3:$M$5001,BD!$A$3:$A$5001,AG$5,BD!$B$3:$B$5001,$C$2)/SUMIFS(BD!$L$3:$L$5001,BD!$A$3:$A$5001,AG$5,BD!$B$3:$B$5001,$C$2),"")),IF(COUNTIFS(BD!$A$3:$A$5001,AG$5,BD!$B$3:$B$5001,$C$2,INDEX(BD!$A$3:$V$5001,0,$AX12),"&lt;&gt;")=0,"",SUMIFS(INDEX(BD!$A$3:$V$5001,0,$AX12),BD!$A$3:$A$5001,AG$5,BD!$B$3:$B$5001,$C$2))))</f>
        <v/>
      </c>
      <c r="AH12" s="172" t="str">
        <f>IF(OR($AW12=0,AH$5=""),"",IF($AY12="taxa",IF(COUNTIFS(BD!$A$3:$A$5001,AH$5,BD!$B$3:$B$5001,$C$2,BD!$M$3:$M$5001,"&lt;&gt;")=0,"",IFERROR(SUMIFS(BD!$M$3:$M$5001,BD!$A$3:$A$5001,AH$5,BD!$B$3:$B$5001,$C$2)/SUMIFS(BD!$L$3:$L$5001,BD!$A$3:$A$5001,AH$5,BD!$B$3:$B$5001,$C$2),"")),IF(COUNTIFS(BD!$A$3:$A$5001,AH$5,BD!$B$3:$B$5001,$C$2,INDEX(BD!$A$3:$V$5001,0,$AX12),"&lt;&gt;")=0,"",SUMIFS(INDEX(BD!$A$3:$V$5001,0,$AX12),BD!$A$3:$A$5001,AH$5,BD!$B$3:$B$5001,$C$2))))</f>
        <v/>
      </c>
      <c r="AI12" s="172" t="str">
        <f>IF(OR($AW12=0,AI$5=""),"",IF($AY12="taxa",IF(COUNTIFS(BD!$A$3:$A$5001,AI$5,BD!$B$3:$B$5001,$C$2,BD!$M$3:$M$5001,"&lt;&gt;")=0,"",IFERROR(SUMIFS(BD!$M$3:$M$5001,BD!$A$3:$A$5001,AI$5,BD!$B$3:$B$5001,$C$2)/SUMIFS(BD!$L$3:$L$5001,BD!$A$3:$A$5001,AI$5,BD!$B$3:$B$5001,$C$2),"")),IF(COUNTIFS(BD!$A$3:$A$5001,AI$5,BD!$B$3:$B$5001,$C$2,INDEX(BD!$A$3:$V$5001,0,$AX12),"&lt;&gt;")=0,"",SUMIFS(INDEX(BD!$A$3:$V$5001,0,$AX12),BD!$A$3:$A$5001,AI$5,BD!$B$3:$B$5001,$C$2))))</f>
        <v/>
      </c>
      <c r="AJ12" s="173" t="str">
        <f>IF(OR($AW12=0,AJ$5=""),"",IF($AY12="taxa",IF(COUNTIFS(BD!$A$3:$A$5001,AJ$5,BD!$B$3:$B$5001,$C$2,BD!$M$3:$M$5001,"&lt;&gt;")=0,"",IFERROR(SUMIFS(BD!$M$3:$M$5001,BD!$A$3:$A$5001,AJ$5,BD!$B$3:$B$5001,$C$2)/SUMIFS(BD!$L$3:$L$5001,BD!$A$3:$A$5001,AJ$5,BD!$B$3:$B$5001,$C$2),"")),IF(COUNTIFS(BD!$A$3:$A$5001,AJ$5,BD!$B$3:$B$5001,$C$2,INDEX(BD!$A$3:$V$5001,0,$AX12),"&lt;&gt;")=0,"",SUMIFS(INDEX(BD!$A$3:$V$5001,0,$AX12),BD!$A$3:$A$5001,AJ$5,BD!$B$3:$B$5001,$C$2))))</f>
        <v/>
      </c>
      <c r="AK12" s="169" t="str">
        <f>IF($AW12=0,"",IF($AY12="fluxo",IF(COUNT(F12:AJ12)=0,"",SUM(F12:AJ12)),IFERROR(LOOKUP(9.99E+307,F12:AJ12),"")))</f>
        <v/>
      </c>
      <c r="AN12" s="159" t="inlineStr">
        <is>
          <t xml:space="preserve">Toneladas Movimentadas</t>
        </is>
      </c>
      <c r="AO12" s="159" t="inlineStr">
        <is>
          <t xml:space="preserve">OUT</t>
        </is>
      </c>
      <c r="AP12" s="159">
        <v>8</v>
      </c>
      <c r="AQ12" s="159" t="inlineStr">
        <is>
          <t xml:space="preserve">fluxo</t>
        </is>
      </c>
      <c r="AR12" s="159">
        <v>6</v>
      </c>
      <c r="AS12" s="159" t="inlineStr">
        <is>
          <t xml:space="preserve">dec</t>
        </is>
      </c>
      <c r="AT12" s="159">
        <f>IF($C$2="",0,IF(IFERROR(INDEX(Config!$I$35:$I$54,MATCH($C$2,Config!$B$35:$B$54,0)),"Sim")="Não",0,1))</f>
        <v>1</v>
      </c>
      <c r="AU12" s="159">
        <f>AU11+AT12</f>
        <v>6</v>
      </c>
      <c r="AW12" s="159">
        <f>IFERROR(MATCH(6,$AU$7:$AU$26,0),0)</f>
        <v>6</v>
      </c>
      <c r="AX12" s="159">
        <f>IF($AW12=0,"",INDEX($AP$7:$AP$26,$AW12))</f>
        <v>8</v>
      </c>
      <c r="AY12" s="159" t="str">
        <f>IF($AW12=0,"",INDEX($AQ$7:$AQ$26,$AW12))</f>
        <v>fluxo</v>
      </c>
      <c r="AZ12" s="159" t="str">
        <f>IF($AW12=0,"",INDEX($AS$7:$AS$26,$AW12))</f>
        <v>dec</v>
      </c>
      <c r="BA12" s="159">
        <f>IF($AW12=0,"",INDEX($AR$7:$AR$26,$AW12))</f>
        <v>6</v>
      </c>
    </row>
    <row r="13" ht="15.75" customHeight="1">
      <c r="A13" s="181"/>
      <c r="B13" s="167" t="str">
        <f>IF($AW13=0,"",INDEX($AO$7:$AO$26,$AW13))</f>
        <v>NC</v>
      </c>
      <c r="C13" s="168" t="str">
        <f>IF($AW13=0,"",INDEX($AN$7:$AN$26,$AW13))</f>
        <v>Incidentes</v>
      </c>
      <c r="D13" s="169" t="str">
        <f>IF(OR($AW13=0,N($BA13)=0),"",IFERROR(1/(1/INDEX(BD!$Y$23:$AS$42,$BA13,MATCH($C$2,BD!$Y$22:$AS$22,0))),""))</f>
        <v/>
      </c>
      <c r="E13" s="170"/>
      <c r="F13" s="171" t="str">
        <f>IF(OR($AW13=0,F$5=""),"",IF($AY13="taxa",IF(COUNTIFS(BD!$A$3:$A$5001,F$5,BD!$B$3:$B$5001,$C$2,BD!$M$3:$M$5001,"&lt;&gt;")=0,"",IFERROR(SUMIFS(BD!$M$3:$M$5001,BD!$A$3:$A$5001,F$5,BD!$B$3:$B$5001,$C$2)/SUMIFS(BD!$L$3:$L$5001,BD!$A$3:$A$5001,F$5,BD!$B$3:$B$5001,$C$2),"")),IF(COUNTIFS(BD!$A$3:$A$5001,F$5,BD!$B$3:$B$5001,$C$2,INDEX(BD!$A$3:$V$5001,0,$AX13),"&lt;&gt;")=0,"",SUMIFS(INDEX(BD!$A$3:$V$5001,0,$AX13),BD!$A$3:$A$5001,F$5,BD!$B$3:$B$5001,$C$2))))</f>
        <v/>
      </c>
      <c r="G13" s="172" t="str">
        <f>IF(OR($AW13=0,G$5=""),"",IF($AY13="taxa",IF(COUNTIFS(BD!$A$3:$A$5001,G$5,BD!$B$3:$B$5001,$C$2,BD!$M$3:$M$5001,"&lt;&gt;")=0,"",IFERROR(SUMIFS(BD!$M$3:$M$5001,BD!$A$3:$A$5001,G$5,BD!$B$3:$B$5001,$C$2)/SUMIFS(BD!$L$3:$L$5001,BD!$A$3:$A$5001,G$5,BD!$B$3:$B$5001,$C$2),"")),IF(COUNTIFS(BD!$A$3:$A$5001,G$5,BD!$B$3:$B$5001,$C$2,INDEX(BD!$A$3:$V$5001,0,$AX13),"&lt;&gt;")=0,"",SUMIFS(INDEX(BD!$A$3:$V$5001,0,$AX13),BD!$A$3:$A$5001,G$5,BD!$B$3:$B$5001,$C$2))))</f>
        <v/>
      </c>
      <c r="H13" s="172" t="str">
        <f>IF(OR($AW13=0,H$5=""),"",IF($AY13="taxa",IF(COUNTIFS(BD!$A$3:$A$5001,H$5,BD!$B$3:$B$5001,$C$2,BD!$M$3:$M$5001,"&lt;&gt;")=0,"",IFERROR(SUMIFS(BD!$M$3:$M$5001,BD!$A$3:$A$5001,H$5,BD!$B$3:$B$5001,$C$2)/SUMIFS(BD!$L$3:$L$5001,BD!$A$3:$A$5001,H$5,BD!$B$3:$B$5001,$C$2),"")),IF(COUNTIFS(BD!$A$3:$A$5001,H$5,BD!$B$3:$B$5001,$C$2,INDEX(BD!$A$3:$V$5001,0,$AX13),"&lt;&gt;")=0,"",SUMIFS(INDEX(BD!$A$3:$V$5001,0,$AX13),BD!$A$3:$A$5001,H$5,BD!$B$3:$B$5001,$C$2))))</f>
        <v/>
      </c>
      <c r="I13" s="172" t="str">
        <f>IF(OR($AW13=0,I$5=""),"",IF($AY13="taxa",IF(COUNTIFS(BD!$A$3:$A$5001,I$5,BD!$B$3:$B$5001,$C$2,BD!$M$3:$M$5001,"&lt;&gt;")=0,"",IFERROR(SUMIFS(BD!$M$3:$M$5001,BD!$A$3:$A$5001,I$5,BD!$B$3:$B$5001,$C$2)/SUMIFS(BD!$L$3:$L$5001,BD!$A$3:$A$5001,I$5,BD!$B$3:$B$5001,$C$2),"")),IF(COUNTIFS(BD!$A$3:$A$5001,I$5,BD!$B$3:$B$5001,$C$2,INDEX(BD!$A$3:$V$5001,0,$AX13),"&lt;&gt;")=0,"",SUMIFS(INDEX(BD!$A$3:$V$5001,0,$AX13),BD!$A$3:$A$5001,I$5,BD!$B$3:$B$5001,$C$2))))</f>
        <v/>
      </c>
      <c r="J13" s="172" t="str">
        <f>IF(OR($AW13=0,J$5=""),"",IF($AY13="taxa",IF(COUNTIFS(BD!$A$3:$A$5001,J$5,BD!$B$3:$B$5001,$C$2,BD!$M$3:$M$5001,"&lt;&gt;")=0,"",IFERROR(SUMIFS(BD!$M$3:$M$5001,BD!$A$3:$A$5001,J$5,BD!$B$3:$B$5001,$C$2)/SUMIFS(BD!$L$3:$L$5001,BD!$A$3:$A$5001,J$5,BD!$B$3:$B$5001,$C$2),"")),IF(COUNTIFS(BD!$A$3:$A$5001,J$5,BD!$B$3:$B$5001,$C$2,INDEX(BD!$A$3:$V$5001,0,$AX13),"&lt;&gt;")=0,"",SUMIFS(INDEX(BD!$A$3:$V$5001,0,$AX13),BD!$A$3:$A$5001,J$5,BD!$B$3:$B$5001,$C$2))))</f>
        <v/>
      </c>
      <c r="K13" s="172" t="str">
        <f>IF(OR($AW13=0,K$5=""),"",IF($AY13="taxa",IF(COUNTIFS(BD!$A$3:$A$5001,K$5,BD!$B$3:$B$5001,$C$2,BD!$M$3:$M$5001,"&lt;&gt;")=0,"",IFERROR(SUMIFS(BD!$M$3:$M$5001,BD!$A$3:$A$5001,K$5,BD!$B$3:$B$5001,$C$2)/SUMIFS(BD!$L$3:$L$5001,BD!$A$3:$A$5001,K$5,BD!$B$3:$B$5001,$C$2),"")),IF(COUNTIFS(BD!$A$3:$A$5001,K$5,BD!$B$3:$B$5001,$C$2,INDEX(BD!$A$3:$V$5001,0,$AX13),"&lt;&gt;")=0,"",SUMIFS(INDEX(BD!$A$3:$V$5001,0,$AX13),BD!$A$3:$A$5001,K$5,BD!$B$3:$B$5001,$C$2))))</f>
        <v/>
      </c>
      <c r="L13" s="172" t="str">
        <f>IF(OR($AW13=0,L$5=""),"",IF($AY13="taxa",IF(COUNTIFS(BD!$A$3:$A$5001,L$5,BD!$B$3:$B$5001,$C$2,BD!$M$3:$M$5001,"&lt;&gt;")=0,"",IFERROR(SUMIFS(BD!$M$3:$M$5001,BD!$A$3:$A$5001,L$5,BD!$B$3:$B$5001,$C$2)/SUMIFS(BD!$L$3:$L$5001,BD!$A$3:$A$5001,L$5,BD!$B$3:$B$5001,$C$2),"")),IF(COUNTIFS(BD!$A$3:$A$5001,L$5,BD!$B$3:$B$5001,$C$2,INDEX(BD!$A$3:$V$5001,0,$AX13),"&lt;&gt;")=0,"",SUMIFS(INDEX(BD!$A$3:$V$5001,0,$AX13),BD!$A$3:$A$5001,L$5,BD!$B$3:$B$5001,$C$2))))</f>
        <v/>
      </c>
      <c r="M13" s="172" t="str">
        <f>IF(OR($AW13=0,M$5=""),"",IF($AY13="taxa",IF(COUNTIFS(BD!$A$3:$A$5001,M$5,BD!$B$3:$B$5001,$C$2,BD!$M$3:$M$5001,"&lt;&gt;")=0,"",IFERROR(SUMIFS(BD!$M$3:$M$5001,BD!$A$3:$A$5001,M$5,BD!$B$3:$B$5001,$C$2)/SUMIFS(BD!$L$3:$L$5001,BD!$A$3:$A$5001,M$5,BD!$B$3:$B$5001,$C$2),"")),IF(COUNTIFS(BD!$A$3:$A$5001,M$5,BD!$B$3:$B$5001,$C$2,INDEX(BD!$A$3:$V$5001,0,$AX13),"&lt;&gt;")=0,"",SUMIFS(INDEX(BD!$A$3:$V$5001,0,$AX13),BD!$A$3:$A$5001,M$5,BD!$B$3:$B$5001,$C$2))))</f>
        <v/>
      </c>
      <c r="N13" s="172" t="str">
        <f>IF(OR($AW13=0,N$5=""),"",IF($AY13="taxa",IF(COUNTIFS(BD!$A$3:$A$5001,N$5,BD!$B$3:$B$5001,$C$2,BD!$M$3:$M$5001,"&lt;&gt;")=0,"",IFERROR(SUMIFS(BD!$M$3:$M$5001,BD!$A$3:$A$5001,N$5,BD!$B$3:$B$5001,$C$2)/SUMIFS(BD!$L$3:$L$5001,BD!$A$3:$A$5001,N$5,BD!$B$3:$B$5001,$C$2),"")),IF(COUNTIFS(BD!$A$3:$A$5001,N$5,BD!$B$3:$B$5001,$C$2,INDEX(BD!$A$3:$V$5001,0,$AX13),"&lt;&gt;")=0,"",SUMIFS(INDEX(BD!$A$3:$V$5001,0,$AX13),BD!$A$3:$A$5001,N$5,BD!$B$3:$B$5001,$C$2))))</f>
        <v/>
      </c>
      <c r="O13" s="172" t="str">
        <f>IF(OR($AW13=0,O$5=""),"",IF($AY13="taxa",IF(COUNTIFS(BD!$A$3:$A$5001,O$5,BD!$B$3:$B$5001,$C$2,BD!$M$3:$M$5001,"&lt;&gt;")=0,"",IFERROR(SUMIFS(BD!$M$3:$M$5001,BD!$A$3:$A$5001,O$5,BD!$B$3:$B$5001,$C$2)/SUMIFS(BD!$L$3:$L$5001,BD!$A$3:$A$5001,O$5,BD!$B$3:$B$5001,$C$2),"")),IF(COUNTIFS(BD!$A$3:$A$5001,O$5,BD!$B$3:$B$5001,$C$2,INDEX(BD!$A$3:$V$5001,0,$AX13),"&lt;&gt;")=0,"",SUMIFS(INDEX(BD!$A$3:$V$5001,0,$AX13),BD!$A$3:$A$5001,O$5,BD!$B$3:$B$5001,$C$2))))</f>
        <v/>
      </c>
      <c r="P13" s="172" t="str">
        <f>IF(OR($AW13=0,P$5=""),"",IF($AY13="taxa",IF(COUNTIFS(BD!$A$3:$A$5001,P$5,BD!$B$3:$B$5001,$C$2,BD!$M$3:$M$5001,"&lt;&gt;")=0,"",IFERROR(SUMIFS(BD!$M$3:$M$5001,BD!$A$3:$A$5001,P$5,BD!$B$3:$B$5001,$C$2)/SUMIFS(BD!$L$3:$L$5001,BD!$A$3:$A$5001,P$5,BD!$B$3:$B$5001,$C$2),"")),IF(COUNTIFS(BD!$A$3:$A$5001,P$5,BD!$B$3:$B$5001,$C$2,INDEX(BD!$A$3:$V$5001,0,$AX13),"&lt;&gt;")=0,"",SUMIFS(INDEX(BD!$A$3:$V$5001,0,$AX13),BD!$A$3:$A$5001,P$5,BD!$B$3:$B$5001,$C$2))))</f>
        <v/>
      </c>
      <c r="Q13" s="172" t="str">
        <f>IF(OR($AW13=0,Q$5=""),"",IF($AY13="taxa",IF(COUNTIFS(BD!$A$3:$A$5001,Q$5,BD!$B$3:$B$5001,$C$2,BD!$M$3:$M$5001,"&lt;&gt;")=0,"",IFERROR(SUMIFS(BD!$M$3:$M$5001,BD!$A$3:$A$5001,Q$5,BD!$B$3:$B$5001,$C$2)/SUMIFS(BD!$L$3:$L$5001,BD!$A$3:$A$5001,Q$5,BD!$B$3:$B$5001,$C$2),"")),IF(COUNTIFS(BD!$A$3:$A$5001,Q$5,BD!$B$3:$B$5001,$C$2,INDEX(BD!$A$3:$V$5001,0,$AX13),"&lt;&gt;")=0,"",SUMIFS(INDEX(BD!$A$3:$V$5001,0,$AX13),BD!$A$3:$A$5001,Q$5,BD!$B$3:$B$5001,$C$2))))</f>
        <v/>
      </c>
      <c r="R13" s="172" t="str">
        <f>IF(OR($AW13=0,R$5=""),"",IF($AY13="taxa",IF(COUNTIFS(BD!$A$3:$A$5001,R$5,BD!$B$3:$B$5001,$C$2,BD!$M$3:$M$5001,"&lt;&gt;")=0,"",IFERROR(SUMIFS(BD!$M$3:$M$5001,BD!$A$3:$A$5001,R$5,BD!$B$3:$B$5001,$C$2)/SUMIFS(BD!$L$3:$L$5001,BD!$A$3:$A$5001,R$5,BD!$B$3:$B$5001,$C$2),"")),IF(COUNTIFS(BD!$A$3:$A$5001,R$5,BD!$B$3:$B$5001,$C$2,INDEX(BD!$A$3:$V$5001,0,$AX13),"&lt;&gt;")=0,"",SUMIFS(INDEX(BD!$A$3:$V$5001,0,$AX13),BD!$A$3:$A$5001,R$5,BD!$B$3:$B$5001,$C$2))))</f>
        <v/>
      </c>
      <c r="S13" s="172" t="str">
        <f>IF(OR($AW13=0,S$5=""),"",IF($AY13="taxa",IF(COUNTIFS(BD!$A$3:$A$5001,S$5,BD!$B$3:$B$5001,$C$2,BD!$M$3:$M$5001,"&lt;&gt;")=0,"",IFERROR(SUMIFS(BD!$M$3:$M$5001,BD!$A$3:$A$5001,S$5,BD!$B$3:$B$5001,$C$2)/SUMIFS(BD!$L$3:$L$5001,BD!$A$3:$A$5001,S$5,BD!$B$3:$B$5001,$C$2),"")),IF(COUNTIFS(BD!$A$3:$A$5001,S$5,BD!$B$3:$B$5001,$C$2,INDEX(BD!$A$3:$V$5001,0,$AX13),"&lt;&gt;")=0,"",SUMIFS(INDEX(BD!$A$3:$V$5001,0,$AX13),BD!$A$3:$A$5001,S$5,BD!$B$3:$B$5001,$C$2))))</f>
        <v/>
      </c>
      <c r="T13" s="172" t="str">
        <f>IF(OR($AW13=0,T$5=""),"",IF($AY13="taxa",IF(COUNTIFS(BD!$A$3:$A$5001,T$5,BD!$B$3:$B$5001,$C$2,BD!$M$3:$M$5001,"&lt;&gt;")=0,"",IFERROR(SUMIFS(BD!$M$3:$M$5001,BD!$A$3:$A$5001,T$5,BD!$B$3:$B$5001,$C$2)/SUMIFS(BD!$L$3:$L$5001,BD!$A$3:$A$5001,T$5,BD!$B$3:$B$5001,$C$2),"")),IF(COUNTIFS(BD!$A$3:$A$5001,T$5,BD!$B$3:$B$5001,$C$2,INDEX(BD!$A$3:$V$5001,0,$AX13),"&lt;&gt;")=0,"",SUMIFS(INDEX(BD!$A$3:$V$5001,0,$AX13),BD!$A$3:$A$5001,T$5,BD!$B$3:$B$5001,$C$2))))</f>
        <v/>
      </c>
      <c r="U13" s="172" t="str">
        <f>IF(OR($AW13=0,U$5=""),"",IF($AY13="taxa",IF(COUNTIFS(BD!$A$3:$A$5001,U$5,BD!$B$3:$B$5001,$C$2,BD!$M$3:$M$5001,"&lt;&gt;")=0,"",IFERROR(SUMIFS(BD!$M$3:$M$5001,BD!$A$3:$A$5001,U$5,BD!$B$3:$B$5001,$C$2)/SUMIFS(BD!$L$3:$L$5001,BD!$A$3:$A$5001,U$5,BD!$B$3:$B$5001,$C$2),"")),IF(COUNTIFS(BD!$A$3:$A$5001,U$5,BD!$B$3:$B$5001,$C$2,INDEX(BD!$A$3:$V$5001,0,$AX13),"&lt;&gt;")=0,"",SUMIFS(INDEX(BD!$A$3:$V$5001,0,$AX13),BD!$A$3:$A$5001,U$5,BD!$B$3:$B$5001,$C$2))))</f>
        <v/>
      </c>
      <c r="V13" s="172" t="str">
        <f>IF(OR($AW13=0,V$5=""),"",IF($AY13="taxa",IF(COUNTIFS(BD!$A$3:$A$5001,V$5,BD!$B$3:$B$5001,$C$2,BD!$M$3:$M$5001,"&lt;&gt;")=0,"",IFERROR(SUMIFS(BD!$M$3:$M$5001,BD!$A$3:$A$5001,V$5,BD!$B$3:$B$5001,$C$2)/SUMIFS(BD!$L$3:$L$5001,BD!$A$3:$A$5001,V$5,BD!$B$3:$B$5001,$C$2),"")),IF(COUNTIFS(BD!$A$3:$A$5001,V$5,BD!$B$3:$B$5001,$C$2,INDEX(BD!$A$3:$V$5001,0,$AX13),"&lt;&gt;")=0,"",SUMIFS(INDEX(BD!$A$3:$V$5001,0,$AX13),BD!$A$3:$A$5001,V$5,BD!$B$3:$B$5001,$C$2))))</f>
        <v/>
      </c>
      <c r="W13" s="172" t="str">
        <f>IF(OR($AW13=0,W$5=""),"",IF($AY13="taxa",IF(COUNTIFS(BD!$A$3:$A$5001,W$5,BD!$B$3:$B$5001,$C$2,BD!$M$3:$M$5001,"&lt;&gt;")=0,"",IFERROR(SUMIFS(BD!$M$3:$M$5001,BD!$A$3:$A$5001,W$5,BD!$B$3:$B$5001,$C$2)/SUMIFS(BD!$L$3:$L$5001,BD!$A$3:$A$5001,W$5,BD!$B$3:$B$5001,$C$2),"")),IF(COUNTIFS(BD!$A$3:$A$5001,W$5,BD!$B$3:$B$5001,$C$2,INDEX(BD!$A$3:$V$5001,0,$AX13),"&lt;&gt;")=0,"",SUMIFS(INDEX(BD!$A$3:$V$5001,0,$AX13),BD!$A$3:$A$5001,W$5,BD!$B$3:$B$5001,$C$2))))</f>
        <v/>
      </c>
      <c r="X13" s="172" t="str">
        <f>IF(OR($AW13=0,X$5=""),"",IF($AY13="taxa",IF(COUNTIFS(BD!$A$3:$A$5001,X$5,BD!$B$3:$B$5001,$C$2,BD!$M$3:$M$5001,"&lt;&gt;")=0,"",IFERROR(SUMIFS(BD!$M$3:$M$5001,BD!$A$3:$A$5001,X$5,BD!$B$3:$B$5001,$C$2)/SUMIFS(BD!$L$3:$L$5001,BD!$A$3:$A$5001,X$5,BD!$B$3:$B$5001,$C$2),"")),IF(COUNTIFS(BD!$A$3:$A$5001,X$5,BD!$B$3:$B$5001,$C$2,INDEX(BD!$A$3:$V$5001,0,$AX13),"&lt;&gt;")=0,"",SUMIFS(INDEX(BD!$A$3:$V$5001,0,$AX13),BD!$A$3:$A$5001,X$5,BD!$B$3:$B$5001,$C$2))))</f>
        <v/>
      </c>
      <c r="Y13" s="172" t="str">
        <f>IF(OR($AW13=0,Y$5=""),"",IF($AY13="taxa",IF(COUNTIFS(BD!$A$3:$A$5001,Y$5,BD!$B$3:$B$5001,$C$2,BD!$M$3:$M$5001,"&lt;&gt;")=0,"",IFERROR(SUMIFS(BD!$M$3:$M$5001,BD!$A$3:$A$5001,Y$5,BD!$B$3:$B$5001,$C$2)/SUMIFS(BD!$L$3:$L$5001,BD!$A$3:$A$5001,Y$5,BD!$B$3:$B$5001,$C$2),"")),IF(COUNTIFS(BD!$A$3:$A$5001,Y$5,BD!$B$3:$B$5001,$C$2,INDEX(BD!$A$3:$V$5001,0,$AX13),"&lt;&gt;")=0,"",SUMIFS(INDEX(BD!$A$3:$V$5001,0,$AX13),BD!$A$3:$A$5001,Y$5,BD!$B$3:$B$5001,$C$2))))</f>
        <v/>
      </c>
      <c r="Z13" s="172" t="str">
        <f>IF(OR($AW13=0,Z$5=""),"",IF($AY13="taxa",IF(COUNTIFS(BD!$A$3:$A$5001,Z$5,BD!$B$3:$B$5001,$C$2,BD!$M$3:$M$5001,"&lt;&gt;")=0,"",IFERROR(SUMIFS(BD!$M$3:$M$5001,BD!$A$3:$A$5001,Z$5,BD!$B$3:$B$5001,$C$2)/SUMIFS(BD!$L$3:$L$5001,BD!$A$3:$A$5001,Z$5,BD!$B$3:$B$5001,$C$2),"")),IF(COUNTIFS(BD!$A$3:$A$5001,Z$5,BD!$B$3:$B$5001,$C$2,INDEX(BD!$A$3:$V$5001,0,$AX13),"&lt;&gt;")=0,"",SUMIFS(INDEX(BD!$A$3:$V$5001,0,$AX13),BD!$A$3:$A$5001,Z$5,BD!$B$3:$B$5001,$C$2))))</f>
        <v/>
      </c>
      <c r="AA13" s="172" t="str">
        <f>IF(OR($AW13=0,AA$5=""),"",IF($AY13="taxa",IF(COUNTIFS(BD!$A$3:$A$5001,AA$5,BD!$B$3:$B$5001,$C$2,BD!$M$3:$M$5001,"&lt;&gt;")=0,"",IFERROR(SUMIFS(BD!$M$3:$M$5001,BD!$A$3:$A$5001,AA$5,BD!$B$3:$B$5001,$C$2)/SUMIFS(BD!$L$3:$L$5001,BD!$A$3:$A$5001,AA$5,BD!$B$3:$B$5001,$C$2),"")),IF(COUNTIFS(BD!$A$3:$A$5001,AA$5,BD!$B$3:$B$5001,$C$2,INDEX(BD!$A$3:$V$5001,0,$AX13),"&lt;&gt;")=0,"",SUMIFS(INDEX(BD!$A$3:$V$5001,0,$AX13),BD!$A$3:$A$5001,AA$5,BD!$B$3:$B$5001,$C$2))))</f>
        <v/>
      </c>
      <c r="AB13" s="172" t="str">
        <f>IF(OR($AW13=0,AB$5=""),"",IF($AY13="taxa",IF(COUNTIFS(BD!$A$3:$A$5001,AB$5,BD!$B$3:$B$5001,$C$2,BD!$M$3:$M$5001,"&lt;&gt;")=0,"",IFERROR(SUMIFS(BD!$M$3:$M$5001,BD!$A$3:$A$5001,AB$5,BD!$B$3:$B$5001,$C$2)/SUMIFS(BD!$L$3:$L$5001,BD!$A$3:$A$5001,AB$5,BD!$B$3:$B$5001,$C$2),"")),IF(COUNTIFS(BD!$A$3:$A$5001,AB$5,BD!$B$3:$B$5001,$C$2,INDEX(BD!$A$3:$V$5001,0,$AX13),"&lt;&gt;")=0,"",SUMIFS(INDEX(BD!$A$3:$V$5001,0,$AX13),BD!$A$3:$A$5001,AB$5,BD!$B$3:$B$5001,$C$2))))</f>
        <v/>
      </c>
      <c r="AC13" s="172" t="str">
        <f>IF(OR($AW13=0,AC$5=""),"",IF($AY13="taxa",IF(COUNTIFS(BD!$A$3:$A$5001,AC$5,BD!$B$3:$B$5001,$C$2,BD!$M$3:$M$5001,"&lt;&gt;")=0,"",IFERROR(SUMIFS(BD!$M$3:$M$5001,BD!$A$3:$A$5001,AC$5,BD!$B$3:$B$5001,$C$2)/SUMIFS(BD!$L$3:$L$5001,BD!$A$3:$A$5001,AC$5,BD!$B$3:$B$5001,$C$2),"")),IF(COUNTIFS(BD!$A$3:$A$5001,AC$5,BD!$B$3:$B$5001,$C$2,INDEX(BD!$A$3:$V$5001,0,$AX13),"&lt;&gt;")=0,"",SUMIFS(INDEX(BD!$A$3:$V$5001,0,$AX13),BD!$A$3:$A$5001,AC$5,BD!$B$3:$B$5001,$C$2))))</f>
        <v/>
      </c>
      <c r="AD13" s="172" t="str">
        <f>IF(OR($AW13=0,AD$5=""),"",IF($AY13="taxa",IF(COUNTIFS(BD!$A$3:$A$5001,AD$5,BD!$B$3:$B$5001,$C$2,BD!$M$3:$M$5001,"&lt;&gt;")=0,"",IFERROR(SUMIFS(BD!$M$3:$M$5001,BD!$A$3:$A$5001,AD$5,BD!$B$3:$B$5001,$C$2)/SUMIFS(BD!$L$3:$L$5001,BD!$A$3:$A$5001,AD$5,BD!$B$3:$B$5001,$C$2),"")),IF(COUNTIFS(BD!$A$3:$A$5001,AD$5,BD!$B$3:$B$5001,$C$2,INDEX(BD!$A$3:$V$5001,0,$AX13),"&lt;&gt;")=0,"",SUMIFS(INDEX(BD!$A$3:$V$5001,0,$AX13),BD!$A$3:$A$5001,AD$5,BD!$B$3:$B$5001,$C$2))))</f>
        <v/>
      </c>
      <c r="AE13" s="172" t="str">
        <f>IF(OR($AW13=0,AE$5=""),"",IF($AY13="taxa",IF(COUNTIFS(BD!$A$3:$A$5001,AE$5,BD!$B$3:$B$5001,$C$2,BD!$M$3:$M$5001,"&lt;&gt;")=0,"",IFERROR(SUMIFS(BD!$M$3:$M$5001,BD!$A$3:$A$5001,AE$5,BD!$B$3:$B$5001,$C$2)/SUMIFS(BD!$L$3:$L$5001,BD!$A$3:$A$5001,AE$5,BD!$B$3:$B$5001,$C$2),"")),IF(COUNTIFS(BD!$A$3:$A$5001,AE$5,BD!$B$3:$B$5001,$C$2,INDEX(BD!$A$3:$V$5001,0,$AX13),"&lt;&gt;")=0,"",SUMIFS(INDEX(BD!$A$3:$V$5001,0,$AX13),BD!$A$3:$A$5001,AE$5,BD!$B$3:$B$5001,$C$2))))</f>
        <v/>
      </c>
      <c r="AF13" s="172" t="str">
        <f>IF(OR($AW13=0,AF$5=""),"",IF($AY13="taxa",IF(COUNTIFS(BD!$A$3:$A$5001,AF$5,BD!$B$3:$B$5001,$C$2,BD!$M$3:$M$5001,"&lt;&gt;")=0,"",IFERROR(SUMIFS(BD!$M$3:$M$5001,BD!$A$3:$A$5001,AF$5,BD!$B$3:$B$5001,$C$2)/SUMIFS(BD!$L$3:$L$5001,BD!$A$3:$A$5001,AF$5,BD!$B$3:$B$5001,$C$2),"")),IF(COUNTIFS(BD!$A$3:$A$5001,AF$5,BD!$B$3:$B$5001,$C$2,INDEX(BD!$A$3:$V$5001,0,$AX13),"&lt;&gt;")=0,"",SUMIFS(INDEX(BD!$A$3:$V$5001,0,$AX13),BD!$A$3:$A$5001,AF$5,BD!$B$3:$B$5001,$C$2))))</f>
        <v/>
      </c>
      <c r="AG13" s="172" t="str">
        <f>IF(OR($AW13=0,AG$5=""),"",IF($AY13="taxa",IF(COUNTIFS(BD!$A$3:$A$5001,AG$5,BD!$B$3:$B$5001,$C$2,BD!$M$3:$M$5001,"&lt;&gt;")=0,"",IFERROR(SUMIFS(BD!$M$3:$M$5001,BD!$A$3:$A$5001,AG$5,BD!$B$3:$B$5001,$C$2)/SUMIFS(BD!$L$3:$L$5001,BD!$A$3:$A$5001,AG$5,BD!$B$3:$B$5001,$C$2),"")),IF(COUNTIFS(BD!$A$3:$A$5001,AG$5,BD!$B$3:$B$5001,$C$2,INDEX(BD!$A$3:$V$5001,0,$AX13),"&lt;&gt;")=0,"",SUMIFS(INDEX(BD!$A$3:$V$5001,0,$AX13),BD!$A$3:$A$5001,AG$5,BD!$B$3:$B$5001,$C$2))))</f>
        <v/>
      </c>
      <c r="AH13" s="172" t="str">
        <f>IF(OR($AW13=0,AH$5=""),"",IF($AY13="taxa",IF(COUNTIFS(BD!$A$3:$A$5001,AH$5,BD!$B$3:$B$5001,$C$2,BD!$M$3:$M$5001,"&lt;&gt;")=0,"",IFERROR(SUMIFS(BD!$M$3:$M$5001,BD!$A$3:$A$5001,AH$5,BD!$B$3:$B$5001,$C$2)/SUMIFS(BD!$L$3:$L$5001,BD!$A$3:$A$5001,AH$5,BD!$B$3:$B$5001,$C$2),"")),IF(COUNTIFS(BD!$A$3:$A$5001,AH$5,BD!$B$3:$B$5001,$C$2,INDEX(BD!$A$3:$V$5001,0,$AX13),"&lt;&gt;")=0,"",SUMIFS(INDEX(BD!$A$3:$V$5001,0,$AX13),BD!$A$3:$A$5001,AH$5,BD!$B$3:$B$5001,$C$2))))</f>
        <v/>
      </c>
      <c r="AI13" s="172" t="str">
        <f>IF(OR($AW13=0,AI$5=""),"",IF($AY13="taxa",IF(COUNTIFS(BD!$A$3:$A$5001,AI$5,BD!$B$3:$B$5001,$C$2,BD!$M$3:$M$5001,"&lt;&gt;")=0,"",IFERROR(SUMIFS(BD!$M$3:$M$5001,BD!$A$3:$A$5001,AI$5,BD!$B$3:$B$5001,$C$2)/SUMIFS(BD!$L$3:$L$5001,BD!$A$3:$A$5001,AI$5,BD!$B$3:$B$5001,$C$2),"")),IF(COUNTIFS(BD!$A$3:$A$5001,AI$5,BD!$B$3:$B$5001,$C$2,INDEX(BD!$A$3:$V$5001,0,$AX13),"&lt;&gt;")=0,"",SUMIFS(INDEX(BD!$A$3:$V$5001,0,$AX13),BD!$A$3:$A$5001,AI$5,BD!$B$3:$B$5001,$C$2))))</f>
        <v/>
      </c>
      <c r="AJ13" s="173" t="str">
        <f>IF(OR($AW13=0,AJ$5=""),"",IF($AY13="taxa",IF(COUNTIFS(BD!$A$3:$A$5001,AJ$5,BD!$B$3:$B$5001,$C$2,BD!$M$3:$M$5001,"&lt;&gt;")=0,"",IFERROR(SUMIFS(BD!$M$3:$M$5001,BD!$A$3:$A$5001,AJ$5,BD!$B$3:$B$5001,$C$2)/SUMIFS(BD!$L$3:$L$5001,BD!$A$3:$A$5001,AJ$5,BD!$B$3:$B$5001,$C$2),"")),IF(COUNTIFS(BD!$A$3:$A$5001,AJ$5,BD!$B$3:$B$5001,$C$2,INDEX(BD!$A$3:$V$5001,0,$AX13),"&lt;&gt;")=0,"",SUMIFS(INDEX(BD!$A$3:$V$5001,0,$AX13),BD!$A$3:$A$5001,AJ$5,BD!$B$3:$B$5001,$C$2))))</f>
        <v/>
      </c>
      <c r="AK13" s="169" t="str">
        <f>IF($AW13=0,"",IF($AY13="fluxo",IF(COUNT(F13:AJ13)=0,"",SUM(F13:AJ13)),IFERROR(LOOKUP(9.99E+307,F13:AJ13),"")))</f>
        <v/>
      </c>
      <c r="AN13" s="159" t="inlineStr">
        <is>
          <t xml:space="preserve">Incidentes</t>
        </is>
      </c>
      <c r="AO13" s="159" t="inlineStr">
        <is>
          <t xml:space="preserve">NC</t>
        </is>
      </c>
      <c r="AP13" s="159">
        <v>9</v>
      </c>
      <c r="AQ13" s="159" t="inlineStr">
        <is>
          <t xml:space="preserve">fluxo</t>
        </is>
      </c>
      <c r="AR13" s="159">
        <v>7</v>
      </c>
      <c r="AS13" s="159" t="inlineStr">
        <is>
          <t xml:space="preserve">int</t>
        </is>
      </c>
      <c r="AT13" s="159">
        <f>IF($C$2="",0,IF(IFERROR(INDEX(Config!$J$35:$J$54,MATCH($C$2,Config!$B$35:$B$54,0)),"Sim")="Não",0,1))</f>
        <v>1</v>
      </c>
      <c r="AU13" s="159">
        <f>AU12+AT13</f>
        <v>7</v>
      </c>
      <c r="AW13" s="159">
        <f>IFERROR(MATCH(7,$AU$7:$AU$26,0),0)</f>
        <v>7</v>
      </c>
      <c r="AX13" s="159">
        <f>IF($AW13=0,"",INDEX($AP$7:$AP$26,$AW13))</f>
        <v>9</v>
      </c>
      <c r="AY13" s="159" t="str">
        <f>IF($AW13=0,"",INDEX($AQ$7:$AQ$26,$AW13))</f>
        <v>fluxo</v>
      </c>
      <c r="AZ13" s="159" t="str">
        <f>IF($AW13=0,"",INDEX($AS$7:$AS$26,$AW13))</f>
        <v>int</v>
      </c>
      <c r="BA13" s="159">
        <f>IF($AW13=0,"",INDEX($AR$7:$AR$26,$AW13))</f>
        <v>7</v>
      </c>
    </row>
    <row r="14" ht="15.75" customHeight="1">
      <c r="A14" s="181"/>
      <c r="B14" s="167" t="str">
        <f>IF($AW14=0,"",INDEX($AO$7:$AO$26,$AW14))</f>
        <v>NC</v>
      </c>
      <c r="C14" s="168" t="str">
        <f>IF($AW14=0,"",INDEX($AN$7:$AN$26,$AW14))</f>
        <v>No show</v>
      </c>
      <c r="D14" s="169" t="str">
        <f>IF(OR($AW14=0,N($BA14)=0),"",IFERROR(1/(1/INDEX(BD!$Y$23:$AS$42,$BA14,MATCH($C$2,BD!$Y$22:$AS$22,0))),""))</f>
        <v/>
      </c>
      <c r="E14" s="170"/>
      <c r="F14" s="171" t="str">
        <f>IF(OR($AW14=0,F$5=""),"",IF($AY14="taxa",IF(COUNTIFS(BD!$A$3:$A$5001,F$5,BD!$B$3:$B$5001,$C$2,BD!$M$3:$M$5001,"&lt;&gt;")=0,"",IFERROR(SUMIFS(BD!$M$3:$M$5001,BD!$A$3:$A$5001,F$5,BD!$B$3:$B$5001,$C$2)/SUMIFS(BD!$L$3:$L$5001,BD!$A$3:$A$5001,F$5,BD!$B$3:$B$5001,$C$2),"")),IF(COUNTIFS(BD!$A$3:$A$5001,F$5,BD!$B$3:$B$5001,$C$2,INDEX(BD!$A$3:$V$5001,0,$AX14),"&lt;&gt;")=0,"",SUMIFS(INDEX(BD!$A$3:$V$5001,0,$AX14),BD!$A$3:$A$5001,F$5,BD!$B$3:$B$5001,$C$2))))</f>
        <v/>
      </c>
      <c r="G14" s="172" t="str">
        <f>IF(OR($AW14=0,G$5=""),"",IF($AY14="taxa",IF(COUNTIFS(BD!$A$3:$A$5001,G$5,BD!$B$3:$B$5001,$C$2,BD!$M$3:$M$5001,"&lt;&gt;")=0,"",IFERROR(SUMIFS(BD!$M$3:$M$5001,BD!$A$3:$A$5001,G$5,BD!$B$3:$B$5001,$C$2)/SUMIFS(BD!$L$3:$L$5001,BD!$A$3:$A$5001,G$5,BD!$B$3:$B$5001,$C$2),"")),IF(COUNTIFS(BD!$A$3:$A$5001,G$5,BD!$B$3:$B$5001,$C$2,INDEX(BD!$A$3:$V$5001,0,$AX14),"&lt;&gt;")=0,"",SUMIFS(INDEX(BD!$A$3:$V$5001,0,$AX14),BD!$A$3:$A$5001,G$5,BD!$B$3:$B$5001,$C$2))))</f>
        <v/>
      </c>
      <c r="H14" s="172" t="str">
        <f>IF(OR($AW14=0,H$5=""),"",IF($AY14="taxa",IF(COUNTIFS(BD!$A$3:$A$5001,H$5,BD!$B$3:$B$5001,$C$2,BD!$M$3:$M$5001,"&lt;&gt;")=0,"",IFERROR(SUMIFS(BD!$M$3:$M$5001,BD!$A$3:$A$5001,H$5,BD!$B$3:$B$5001,$C$2)/SUMIFS(BD!$L$3:$L$5001,BD!$A$3:$A$5001,H$5,BD!$B$3:$B$5001,$C$2),"")),IF(COUNTIFS(BD!$A$3:$A$5001,H$5,BD!$B$3:$B$5001,$C$2,INDEX(BD!$A$3:$V$5001,0,$AX14),"&lt;&gt;")=0,"",SUMIFS(INDEX(BD!$A$3:$V$5001,0,$AX14),BD!$A$3:$A$5001,H$5,BD!$B$3:$B$5001,$C$2))))</f>
        <v/>
      </c>
      <c r="I14" s="172" t="str">
        <f>IF(OR($AW14=0,I$5=""),"",IF($AY14="taxa",IF(COUNTIFS(BD!$A$3:$A$5001,I$5,BD!$B$3:$B$5001,$C$2,BD!$M$3:$M$5001,"&lt;&gt;")=0,"",IFERROR(SUMIFS(BD!$M$3:$M$5001,BD!$A$3:$A$5001,I$5,BD!$B$3:$B$5001,$C$2)/SUMIFS(BD!$L$3:$L$5001,BD!$A$3:$A$5001,I$5,BD!$B$3:$B$5001,$C$2),"")),IF(COUNTIFS(BD!$A$3:$A$5001,I$5,BD!$B$3:$B$5001,$C$2,INDEX(BD!$A$3:$V$5001,0,$AX14),"&lt;&gt;")=0,"",SUMIFS(INDEX(BD!$A$3:$V$5001,0,$AX14),BD!$A$3:$A$5001,I$5,BD!$B$3:$B$5001,$C$2))))</f>
        <v/>
      </c>
      <c r="J14" s="172" t="str">
        <f>IF(OR($AW14=0,J$5=""),"",IF($AY14="taxa",IF(COUNTIFS(BD!$A$3:$A$5001,J$5,BD!$B$3:$B$5001,$C$2,BD!$M$3:$M$5001,"&lt;&gt;")=0,"",IFERROR(SUMIFS(BD!$M$3:$M$5001,BD!$A$3:$A$5001,J$5,BD!$B$3:$B$5001,$C$2)/SUMIFS(BD!$L$3:$L$5001,BD!$A$3:$A$5001,J$5,BD!$B$3:$B$5001,$C$2),"")),IF(COUNTIFS(BD!$A$3:$A$5001,J$5,BD!$B$3:$B$5001,$C$2,INDEX(BD!$A$3:$V$5001,0,$AX14),"&lt;&gt;")=0,"",SUMIFS(INDEX(BD!$A$3:$V$5001,0,$AX14),BD!$A$3:$A$5001,J$5,BD!$B$3:$B$5001,$C$2))))</f>
        <v/>
      </c>
      <c r="K14" s="172" t="str">
        <f>IF(OR($AW14=0,K$5=""),"",IF($AY14="taxa",IF(COUNTIFS(BD!$A$3:$A$5001,K$5,BD!$B$3:$B$5001,$C$2,BD!$M$3:$M$5001,"&lt;&gt;")=0,"",IFERROR(SUMIFS(BD!$M$3:$M$5001,BD!$A$3:$A$5001,K$5,BD!$B$3:$B$5001,$C$2)/SUMIFS(BD!$L$3:$L$5001,BD!$A$3:$A$5001,K$5,BD!$B$3:$B$5001,$C$2),"")),IF(COUNTIFS(BD!$A$3:$A$5001,K$5,BD!$B$3:$B$5001,$C$2,INDEX(BD!$A$3:$V$5001,0,$AX14),"&lt;&gt;")=0,"",SUMIFS(INDEX(BD!$A$3:$V$5001,0,$AX14),BD!$A$3:$A$5001,K$5,BD!$B$3:$B$5001,$C$2))))</f>
        <v/>
      </c>
      <c r="L14" s="172" t="str">
        <f>IF(OR($AW14=0,L$5=""),"",IF($AY14="taxa",IF(COUNTIFS(BD!$A$3:$A$5001,L$5,BD!$B$3:$B$5001,$C$2,BD!$M$3:$M$5001,"&lt;&gt;")=0,"",IFERROR(SUMIFS(BD!$M$3:$M$5001,BD!$A$3:$A$5001,L$5,BD!$B$3:$B$5001,$C$2)/SUMIFS(BD!$L$3:$L$5001,BD!$A$3:$A$5001,L$5,BD!$B$3:$B$5001,$C$2),"")),IF(COUNTIFS(BD!$A$3:$A$5001,L$5,BD!$B$3:$B$5001,$C$2,INDEX(BD!$A$3:$V$5001,0,$AX14),"&lt;&gt;")=0,"",SUMIFS(INDEX(BD!$A$3:$V$5001,0,$AX14),BD!$A$3:$A$5001,L$5,BD!$B$3:$B$5001,$C$2))))</f>
        <v/>
      </c>
      <c r="M14" s="172" t="str">
        <f>IF(OR($AW14=0,M$5=""),"",IF($AY14="taxa",IF(COUNTIFS(BD!$A$3:$A$5001,M$5,BD!$B$3:$B$5001,$C$2,BD!$M$3:$M$5001,"&lt;&gt;")=0,"",IFERROR(SUMIFS(BD!$M$3:$M$5001,BD!$A$3:$A$5001,M$5,BD!$B$3:$B$5001,$C$2)/SUMIFS(BD!$L$3:$L$5001,BD!$A$3:$A$5001,M$5,BD!$B$3:$B$5001,$C$2),"")),IF(COUNTIFS(BD!$A$3:$A$5001,M$5,BD!$B$3:$B$5001,$C$2,INDEX(BD!$A$3:$V$5001,0,$AX14),"&lt;&gt;")=0,"",SUMIFS(INDEX(BD!$A$3:$V$5001,0,$AX14),BD!$A$3:$A$5001,M$5,BD!$B$3:$B$5001,$C$2))))</f>
        <v/>
      </c>
      <c r="N14" s="172" t="str">
        <f>IF(OR($AW14=0,N$5=""),"",IF($AY14="taxa",IF(COUNTIFS(BD!$A$3:$A$5001,N$5,BD!$B$3:$B$5001,$C$2,BD!$M$3:$M$5001,"&lt;&gt;")=0,"",IFERROR(SUMIFS(BD!$M$3:$M$5001,BD!$A$3:$A$5001,N$5,BD!$B$3:$B$5001,$C$2)/SUMIFS(BD!$L$3:$L$5001,BD!$A$3:$A$5001,N$5,BD!$B$3:$B$5001,$C$2),"")),IF(COUNTIFS(BD!$A$3:$A$5001,N$5,BD!$B$3:$B$5001,$C$2,INDEX(BD!$A$3:$V$5001,0,$AX14),"&lt;&gt;")=0,"",SUMIFS(INDEX(BD!$A$3:$V$5001,0,$AX14),BD!$A$3:$A$5001,N$5,BD!$B$3:$B$5001,$C$2))))</f>
        <v/>
      </c>
      <c r="O14" s="172" t="str">
        <f>IF(OR($AW14=0,O$5=""),"",IF($AY14="taxa",IF(COUNTIFS(BD!$A$3:$A$5001,O$5,BD!$B$3:$B$5001,$C$2,BD!$M$3:$M$5001,"&lt;&gt;")=0,"",IFERROR(SUMIFS(BD!$M$3:$M$5001,BD!$A$3:$A$5001,O$5,BD!$B$3:$B$5001,$C$2)/SUMIFS(BD!$L$3:$L$5001,BD!$A$3:$A$5001,O$5,BD!$B$3:$B$5001,$C$2),"")),IF(COUNTIFS(BD!$A$3:$A$5001,O$5,BD!$B$3:$B$5001,$C$2,INDEX(BD!$A$3:$V$5001,0,$AX14),"&lt;&gt;")=0,"",SUMIFS(INDEX(BD!$A$3:$V$5001,0,$AX14),BD!$A$3:$A$5001,O$5,BD!$B$3:$B$5001,$C$2))))</f>
        <v/>
      </c>
      <c r="P14" s="172" t="str">
        <f>IF(OR($AW14=0,P$5=""),"",IF($AY14="taxa",IF(COUNTIFS(BD!$A$3:$A$5001,P$5,BD!$B$3:$B$5001,$C$2,BD!$M$3:$M$5001,"&lt;&gt;")=0,"",IFERROR(SUMIFS(BD!$M$3:$M$5001,BD!$A$3:$A$5001,P$5,BD!$B$3:$B$5001,$C$2)/SUMIFS(BD!$L$3:$L$5001,BD!$A$3:$A$5001,P$5,BD!$B$3:$B$5001,$C$2),"")),IF(COUNTIFS(BD!$A$3:$A$5001,P$5,BD!$B$3:$B$5001,$C$2,INDEX(BD!$A$3:$V$5001,0,$AX14),"&lt;&gt;")=0,"",SUMIFS(INDEX(BD!$A$3:$V$5001,0,$AX14),BD!$A$3:$A$5001,P$5,BD!$B$3:$B$5001,$C$2))))</f>
        <v/>
      </c>
      <c r="Q14" s="172" t="str">
        <f>IF(OR($AW14=0,Q$5=""),"",IF($AY14="taxa",IF(COUNTIFS(BD!$A$3:$A$5001,Q$5,BD!$B$3:$B$5001,$C$2,BD!$M$3:$M$5001,"&lt;&gt;")=0,"",IFERROR(SUMIFS(BD!$M$3:$M$5001,BD!$A$3:$A$5001,Q$5,BD!$B$3:$B$5001,$C$2)/SUMIFS(BD!$L$3:$L$5001,BD!$A$3:$A$5001,Q$5,BD!$B$3:$B$5001,$C$2),"")),IF(COUNTIFS(BD!$A$3:$A$5001,Q$5,BD!$B$3:$B$5001,$C$2,INDEX(BD!$A$3:$V$5001,0,$AX14),"&lt;&gt;")=0,"",SUMIFS(INDEX(BD!$A$3:$V$5001,0,$AX14),BD!$A$3:$A$5001,Q$5,BD!$B$3:$B$5001,$C$2))))</f>
        <v/>
      </c>
      <c r="R14" s="172" t="str">
        <f>IF(OR($AW14=0,R$5=""),"",IF($AY14="taxa",IF(COUNTIFS(BD!$A$3:$A$5001,R$5,BD!$B$3:$B$5001,$C$2,BD!$M$3:$M$5001,"&lt;&gt;")=0,"",IFERROR(SUMIFS(BD!$M$3:$M$5001,BD!$A$3:$A$5001,R$5,BD!$B$3:$B$5001,$C$2)/SUMIFS(BD!$L$3:$L$5001,BD!$A$3:$A$5001,R$5,BD!$B$3:$B$5001,$C$2),"")),IF(COUNTIFS(BD!$A$3:$A$5001,R$5,BD!$B$3:$B$5001,$C$2,INDEX(BD!$A$3:$V$5001,0,$AX14),"&lt;&gt;")=0,"",SUMIFS(INDEX(BD!$A$3:$V$5001,0,$AX14),BD!$A$3:$A$5001,R$5,BD!$B$3:$B$5001,$C$2))))</f>
        <v/>
      </c>
      <c r="S14" s="172" t="str">
        <f>IF(OR($AW14=0,S$5=""),"",IF($AY14="taxa",IF(COUNTIFS(BD!$A$3:$A$5001,S$5,BD!$B$3:$B$5001,$C$2,BD!$M$3:$M$5001,"&lt;&gt;")=0,"",IFERROR(SUMIFS(BD!$M$3:$M$5001,BD!$A$3:$A$5001,S$5,BD!$B$3:$B$5001,$C$2)/SUMIFS(BD!$L$3:$L$5001,BD!$A$3:$A$5001,S$5,BD!$B$3:$B$5001,$C$2),"")),IF(COUNTIFS(BD!$A$3:$A$5001,S$5,BD!$B$3:$B$5001,$C$2,INDEX(BD!$A$3:$V$5001,0,$AX14),"&lt;&gt;")=0,"",SUMIFS(INDEX(BD!$A$3:$V$5001,0,$AX14),BD!$A$3:$A$5001,S$5,BD!$B$3:$B$5001,$C$2))))</f>
        <v/>
      </c>
      <c r="T14" s="172" t="str">
        <f>IF(OR($AW14=0,T$5=""),"",IF($AY14="taxa",IF(COUNTIFS(BD!$A$3:$A$5001,T$5,BD!$B$3:$B$5001,$C$2,BD!$M$3:$M$5001,"&lt;&gt;")=0,"",IFERROR(SUMIFS(BD!$M$3:$M$5001,BD!$A$3:$A$5001,T$5,BD!$B$3:$B$5001,$C$2)/SUMIFS(BD!$L$3:$L$5001,BD!$A$3:$A$5001,T$5,BD!$B$3:$B$5001,$C$2),"")),IF(COUNTIFS(BD!$A$3:$A$5001,T$5,BD!$B$3:$B$5001,$C$2,INDEX(BD!$A$3:$V$5001,0,$AX14),"&lt;&gt;")=0,"",SUMIFS(INDEX(BD!$A$3:$V$5001,0,$AX14),BD!$A$3:$A$5001,T$5,BD!$B$3:$B$5001,$C$2))))</f>
        <v/>
      </c>
      <c r="U14" s="172" t="str">
        <f>IF(OR($AW14=0,U$5=""),"",IF($AY14="taxa",IF(COUNTIFS(BD!$A$3:$A$5001,U$5,BD!$B$3:$B$5001,$C$2,BD!$M$3:$M$5001,"&lt;&gt;")=0,"",IFERROR(SUMIFS(BD!$M$3:$M$5001,BD!$A$3:$A$5001,U$5,BD!$B$3:$B$5001,$C$2)/SUMIFS(BD!$L$3:$L$5001,BD!$A$3:$A$5001,U$5,BD!$B$3:$B$5001,$C$2),"")),IF(COUNTIFS(BD!$A$3:$A$5001,U$5,BD!$B$3:$B$5001,$C$2,INDEX(BD!$A$3:$V$5001,0,$AX14),"&lt;&gt;")=0,"",SUMIFS(INDEX(BD!$A$3:$V$5001,0,$AX14),BD!$A$3:$A$5001,U$5,BD!$B$3:$B$5001,$C$2))))</f>
        <v/>
      </c>
      <c r="V14" s="172" t="str">
        <f>IF(OR($AW14=0,V$5=""),"",IF($AY14="taxa",IF(COUNTIFS(BD!$A$3:$A$5001,V$5,BD!$B$3:$B$5001,$C$2,BD!$M$3:$M$5001,"&lt;&gt;")=0,"",IFERROR(SUMIFS(BD!$M$3:$M$5001,BD!$A$3:$A$5001,V$5,BD!$B$3:$B$5001,$C$2)/SUMIFS(BD!$L$3:$L$5001,BD!$A$3:$A$5001,V$5,BD!$B$3:$B$5001,$C$2),"")),IF(COUNTIFS(BD!$A$3:$A$5001,V$5,BD!$B$3:$B$5001,$C$2,INDEX(BD!$A$3:$V$5001,0,$AX14),"&lt;&gt;")=0,"",SUMIFS(INDEX(BD!$A$3:$V$5001,0,$AX14),BD!$A$3:$A$5001,V$5,BD!$B$3:$B$5001,$C$2))))</f>
        <v/>
      </c>
      <c r="W14" s="172" t="str">
        <f>IF(OR($AW14=0,W$5=""),"",IF($AY14="taxa",IF(COUNTIFS(BD!$A$3:$A$5001,W$5,BD!$B$3:$B$5001,$C$2,BD!$M$3:$M$5001,"&lt;&gt;")=0,"",IFERROR(SUMIFS(BD!$M$3:$M$5001,BD!$A$3:$A$5001,W$5,BD!$B$3:$B$5001,$C$2)/SUMIFS(BD!$L$3:$L$5001,BD!$A$3:$A$5001,W$5,BD!$B$3:$B$5001,$C$2),"")),IF(COUNTIFS(BD!$A$3:$A$5001,W$5,BD!$B$3:$B$5001,$C$2,INDEX(BD!$A$3:$V$5001,0,$AX14),"&lt;&gt;")=0,"",SUMIFS(INDEX(BD!$A$3:$V$5001,0,$AX14),BD!$A$3:$A$5001,W$5,BD!$B$3:$B$5001,$C$2))))</f>
        <v/>
      </c>
      <c r="X14" s="172" t="str">
        <f>IF(OR($AW14=0,X$5=""),"",IF($AY14="taxa",IF(COUNTIFS(BD!$A$3:$A$5001,X$5,BD!$B$3:$B$5001,$C$2,BD!$M$3:$M$5001,"&lt;&gt;")=0,"",IFERROR(SUMIFS(BD!$M$3:$M$5001,BD!$A$3:$A$5001,X$5,BD!$B$3:$B$5001,$C$2)/SUMIFS(BD!$L$3:$L$5001,BD!$A$3:$A$5001,X$5,BD!$B$3:$B$5001,$C$2),"")),IF(COUNTIFS(BD!$A$3:$A$5001,X$5,BD!$B$3:$B$5001,$C$2,INDEX(BD!$A$3:$V$5001,0,$AX14),"&lt;&gt;")=0,"",SUMIFS(INDEX(BD!$A$3:$V$5001,0,$AX14),BD!$A$3:$A$5001,X$5,BD!$B$3:$B$5001,$C$2))))</f>
        <v/>
      </c>
      <c r="Y14" s="172" t="str">
        <f>IF(OR($AW14=0,Y$5=""),"",IF($AY14="taxa",IF(COUNTIFS(BD!$A$3:$A$5001,Y$5,BD!$B$3:$B$5001,$C$2,BD!$M$3:$M$5001,"&lt;&gt;")=0,"",IFERROR(SUMIFS(BD!$M$3:$M$5001,BD!$A$3:$A$5001,Y$5,BD!$B$3:$B$5001,$C$2)/SUMIFS(BD!$L$3:$L$5001,BD!$A$3:$A$5001,Y$5,BD!$B$3:$B$5001,$C$2),"")),IF(COUNTIFS(BD!$A$3:$A$5001,Y$5,BD!$B$3:$B$5001,$C$2,INDEX(BD!$A$3:$V$5001,0,$AX14),"&lt;&gt;")=0,"",SUMIFS(INDEX(BD!$A$3:$V$5001,0,$AX14),BD!$A$3:$A$5001,Y$5,BD!$B$3:$B$5001,$C$2))))</f>
        <v/>
      </c>
      <c r="Z14" s="172" t="str">
        <f>IF(OR($AW14=0,Z$5=""),"",IF($AY14="taxa",IF(COUNTIFS(BD!$A$3:$A$5001,Z$5,BD!$B$3:$B$5001,$C$2,BD!$M$3:$M$5001,"&lt;&gt;")=0,"",IFERROR(SUMIFS(BD!$M$3:$M$5001,BD!$A$3:$A$5001,Z$5,BD!$B$3:$B$5001,$C$2)/SUMIFS(BD!$L$3:$L$5001,BD!$A$3:$A$5001,Z$5,BD!$B$3:$B$5001,$C$2),"")),IF(COUNTIFS(BD!$A$3:$A$5001,Z$5,BD!$B$3:$B$5001,$C$2,INDEX(BD!$A$3:$V$5001,0,$AX14),"&lt;&gt;")=0,"",SUMIFS(INDEX(BD!$A$3:$V$5001,0,$AX14),BD!$A$3:$A$5001,Z$5,BD!$B$3:$B$5001,$C$2))))</f>
        <v/>
      </c>
      <c r="AA14" s="172" t="str">
        <f>IF(OR($AW14=0,AA$5=""),"",IF($AY14="taxa",IF(COUNTIFS(BD!$A$3:$A$5001,AA$5,BD!$B$3:$B$5001,$C$2,BD!$M$3:$M$5001,"&lt;&gt;")=0,"",IFERROR(SUMIFS(BD!$M$3:$M$5001,BD!$A$3:$A$5001,AA$5,BD!$B$3:$B$5001,$C$2)/SUMIFS(BD!$L$3:$L$5001,BD!$A$3:$A$5001,AA$5,BD!$B$3:$B$5001,$C$2),"")),IF(COUNTIFS(BD!$A$3:$A$5001,AA$5,BD!$B$3:$B$5001,$C$2,INDEX(BD!$A$3:$V$5001,0,$AX14),"&lt;&gt;")=0,"",SUMIFS(INDEX(BD!$A$3:$V$5001,0,$AX14),BD!$A$3:$A$5001,AA$5,BD!$B$3:$B$5001,$C$2))))</f>
        <v/>
      </c>
      <c r="AB14" s="172" t="str">
        <f>IF(OR($AW14=0,AB$5=""),"",IF($AY14="taxa",IF(COUNTIFS(BD!$A$3:$A$5001,AB$5,BD!$B$3:$B$5001,$C$2,BD!$M$3:$M$5001,"&lt;&gt;")=0,"",IFERROR(SUMIFS(BD!$M$3:$M$5001,BD!$A$3:$A$5001,AB$5,BD!$B$3:$B$5001,$C$2)/SUMIFS(BD!$L$3:$L$5001,BD!$A$3:$A$5001,AB$5,BD!$B$3:$B$5001,$C$2),"")),IF(COUNTIFS(BD!$A$3:$A$5001,AB$5,BD!$B$3:$B$5001,$C$2,INDEX(BD!$A$3:$V$5001,0,$AX14),"&lt;&gt;")=0,"",SUMIFS(INDEX(BD!$A$3:$V$5001,0,$AX14),BD!$A$3:$A$5001,AB$5,BD!$B$3:$B$5001,$C$2))))</f>
        <v/>
      </c>
      <c r="AC14" s="172" t="str">
        <f>IF(OR($AW14=0,AC$5=""),"",IF($AY14="taxa",IF(COUNTIFS(BD!$A$3:$A$5001,AC$5,BD!$B$3:$B$5001,$C$2,BD!$M$3:$M$5001,"&lt;&gt;")=0,"",IFERROR(SUMIFS(BD!$M$3:$M$5001,BD!$A$3:$A$5001,AC$5,BD!$B$3:$B$5001,$C$2)/SUMIFS(BD!$L$3:$L$5001,BD!$A$3:$A$5001,AC$5,BD!$B$3:$B$5001,$C$2),"")),IF(COUNTIFS(BD!$A$3:$A$5001,AC$5,BD!$B$3:$B$5001,$C$2,INDEX(BD!$A$3:$V$5001,0,$AX14),"&lt;&gt;")=0,"",SUMIFS(INDEX(BD!$A$3:$V$5001,0,$AX14),BD!$A$3:$A$5001,AC$5,BD!$B$3:$B$5001,$C$2))))</f>
        <v/>
      </c>
      <c r="AD14" s="172" t="str">
        <f>IF(OR($AW14=0,AD$5=""),"",IF($AY14="taxa",IF(COUNTIFS(BD!$A$3:$A$5001,AD$5,BD!$B$3:$B$5001,$C$2,BD!$M$3:$M$5001,"&lt;&gt;")=0,"",IFERROR(SUMIFS(BD!$M$3:$M$5001,BD!$A$3:$A$5001,AD$5,BD!$B$3:$B$5001,$C$2)/SUMIFS(BD!$L$3:$L$5001,BD!$A$3:$A$5001,AD$5,BD!$B$3:$B$5001,$C$2),"")),IF(COUNTIFS(BD!$A$3:$A$5001,AD$5,BD!$B$3:$B$5001,$C$2,INDEX(BD!$A$3:$V$5001,0,$AX14),"&lt;&gt;")=0,"",SUMIFS(INDEX(BD!$A$3:$V$5001,0,$AX14),BD!$A$3:$A$5001,AD$5,BD!$B$3:$B$5001,$C$2))))</f>
        <v/>
      </c>
      <c r="AE14" s="172" t="str">
        <f>IF(OR($AW14=0,AE$5=""),"",IF($AY14="taxa",IF(COUNTIFS(BD!$A$3:$A$5001,AE$5,BD!$B$3:$B$5001,$C$2,BD!$M$3:$M$5001,"&lt;&gt;")=0,"",IFERROR(SUMIFS(BD!$M$3:$M$5001,BD!$A$3:$A$5001,AE$5,BD!$B$3:$B$5001,$C$2)/SUMIFS(BD!$L$3:$L$5001,BD!$A$3:$A$5001,AE$5,BD!$B$3:$B$5001,$C$2),"")),IF(COUNTIFS(BD!$A$3:$A$5001,AE$5,BD!$B$3:$B$5001,$C$2,INDEX(BD!$A$3:$V$5001,0,$AX14),"&lt;&gt;")=0,"",SUMIFS(INDEX(BD!$A$3:$V$5001,0,$AX14),BD!$A$3:$A$5001,AE$5,BD!$B$3:$B$5001,$C$2))))</f>
        <v/>
      </c>
      <c r="AF14" s="172" t="str">
        <f>IF(OR($AW14=0,AF$5=""),"",IF($AY14="taxa",IF(COUNTIFS(BD!$A$3:$A$5001,AF$5,BD!$B$3:$B$5001,$C$2,BD!$M$3:$M$5001,"&lt;&gt;")=0,"",IFERROR(SUMIFS(BD!$M$3:$M$5001,BD!$A$3:$A$5001,AF$5,BD!$B$3:$B$5001,$C$2)/SUMIFS(BD!$L$3:$L$5001,BD!$A$3:$A$5001,AF$5,BD!$B$3:$B$5001,$C$2),"")),IF(COUNTIFS(BD!$A$3:$A$5001,AF$5,BD!$B$3:$B$5001,$C$2,INDEX(BD!$A$3:$V$5001,0,$AX14),"&lt;&gt;")=0,"",SUMIFS(INDEX(BD!$A$3:$V$5001,0,$AX14),BD!$A$3:$A$5001,AF$5,BD!$B$3:$B$5001,$C$2))))</f>
        <v/>
      </c>
      <c r="AG14" s="172" t="str">
        <f>IF(OR($AW14=0,AG$5=""),"",IF($AY14="taxa",IF(COUNTIFS(BD!$A$3:$A$5001,AG$5,BD!$B$3:$B$5001,$C$2,BD!$M$3:$M$5001,"&lt;&gt;")=0,"",IFERROR(SUMIFS(BD!$M$3:$M$5001,BD!$A$3:$A$5001,AG$5,BD!$B$3:$B$5001,$C$2)/SUMIFS(BD!$L$3:$L$5001,BD!$A$3:$A$5001,AG$5,BD!$B$3:$B$5001,$C$2),"")),IF(COUNTIFS(BD!$A$3:$A$5001,AG$5,BD!$B$3:$B$5001,$C$2,INDEX(BD!$A$3:$V$5001,0,$AX14),"&lt;&gt;")=0,"",SUMIFS(INDEX(BD!$A$3:$V$5001,0,$AX14),BD!$A$3:$A$5001,AG$5,BD!$B$3:$B$5001,$C$2))))</f>
        <v/>
      </c>
      <c r="AH14" s="172" t="str">
        <f>IF(OR($AW14=0,AH$5=""),"",IF($AY14="taxa",IF(COUNTIFS(BD!$A$3:$A$5001,AH$5,BD!$B$3:$B$5001,$C$2,BD!$M$3:$M$5001,"&lt;&gt;")=0,"",IFERROR(SUMIFS(BD!$M$3:$M$5001,BD!$A$3:$A$5001,AH$5,BD!$B$3:$B$5001,$C$2)/SUMIFS(BD!$L$3:$L$5001,BD!$A$3:$A$5001,AH$5,BD!$B$3:$B$5001,$C$2),"")),IF(COUNTIFS(BD!$A$3:$A$5001,AH$5,BD!$B$3:$B$5001,$C$2,INDEX(BD!$A$3:$V$5001,0,$AX14),"&lt;&gt;")=0,"",SUMIFS(INDEX(BD!$A$3:$V$5001,0,$AX14),BD!$A$3:$A$5001,AH$5,BD!$B$3:$B$5001,$C$2))))</f>
        <v/>
      </c>
      <c r="AI14" s="172" t="str">
        <f>IF(OR($AW14=0,AI$5=""),"",IF($AY14="taxa",IF(COUNTIFS(BD!$A$3:$A$5001,AI$5,BD!$B$3:$B$5001,$C$2,BD!$M$3:$M$5001,"&lt;&gt;")=0,"",IFERROR(SUMIFS(BD!$M$3:$M$5001,BD!$A$3:$A$5001,AI$5,BD!$B$3:$B$5001,$C$2)/SUMIFS(BD!$L$3:$L$5001,BD!$A$3:$A$5001,AI$5,BD!$B$3:$B$5001,$C$2),"")),IF(COUNTIFS(BD!$A$3:$A$5001,AI$5,BD!$B$3:$B$5001,$C$2,INDEX(BD!$A$3:$V$5001,0,$AX14),"&lt;&gt;")=0,"",SUMIFS(INDEX(BD!$A$3:$V$5001,0,$AX14),BD!$A$3:$A$5001,AI$5,BD!$B$3:$B$5001,$C$2))))</f>
        <v/>
      </c>
      <c r="AJ14" s="173" t="str">
        <f>IF(OR($AW14=0,AJ$5=""),"",IF($AY14="taxa",IF(COUNTIFS(BD!$A$3:$A$5001,AJ$5,BD!$B$3:$B$5001,$C$2,BD!$M$3:$M$5001,"&lt;&gt;")=0,"",IFERROR(SUMIFS(BD!$M$3:$M$5001,BD!$A$3:$A$5001,AJ$5,BD!$B$3:$B$5001,$C$2)/SUMIFS(BD!$L$3:$L$5001,BD!$A$3:$A$5001,AJ$5,BD!$B$3:$B$5001,$C$2),"")),IF(COUNTIFS(BD!$A$3:$A$5001,AJ$5,BD!$B$3:$B$5001,$C$2,INDEX(BD!$A$3:$V$5001,0,$AX14),"&lt;&gt;")=0,"",SUMIFS(INDEX(BD!$A$3:$V$5001,0,$AX14),BD!$A$3:$A$5001,AJ$5,BD!$B$3:$B$5001,$C$2))))</f>
        <v/>
      </c>
      <c r="AK14" s="169" t="str">
        <f>IF($AW14=0,"",IF($AY14="fluxo",IF(COUNT(F14:AJ14)=0,"",SUM(F14:AJ14)),IFERROR(LOOKUP(9.99E+307,F14:AJ14),"")))</f>
        <v/>
      </c>
      <c r="AN14" s="159" t="inlineStr">
        <is>
          <t xml:space="preserve">No show</t>
        </is>
      </c>
      <c r="AO14" s="159" t="inlineStr">
        <is>
          <t xml:space="preserve">NC</t>
        </is>
      </c>
      <c r="AP14" s="159">
        <v>10</v>
      </c>
      <c r="AQ14" s="159" t="inlineStr">
        <is>
          <t xml:space="preserve">fluxo</t>
        </is>
      </c>
      <c r="AR14" s="159">
        <v>8</v>
      </c>
      <c r="AS14" s="159" t="inlineStr">
        <is>
          <t xml:space="preserve">int</t>
        </is>
      </c>
      <c r="AT14" s="159">
        <f>IF($C$2="",0,IF(IFERROR(INDEX(Config!$K$35:$K$54,MATCH($C$2,Config!$B$35:$B$54,0)),"Sim")="Não",0,1))</f>
        <v>1</v>
      </c>
      <c r="AU14" s="159">
        <f>AU13+AT14</f>
        <v>8</v>
      </c>
      <c r="AW14" s="159">
        <f>IFERROR(MATCH(8,$AU$7:$AU$26,0),0)</f>
        <v>8</v>
      </c>
      <c r="AX14" s="159">
        <f>IF($AW14=0,"",INDEX($AP$7:$AP$26,$AW14))</f>
        <v>10</v>
      </c>
      <c r="AY14" s="159" t="str">
        <f>IF($AW14=0,"",INDEX($AQ$7:$AQ$26,$AW14))</f>
        <v>fluxo</v>
      </c>
      <c r="AZ14" s="159" t="str">
        <f>IF($AW14=0,"",INDEX($AS$7:$AS$26,$AW14))</f>
        <v>int</v>
      </c>
      <c r="BA14" s="159">
        <f>IF($AW14=0,"",INDEX($AR$7:$AR$26,$AW14))</f>
        <v>8</v>
      </c>
    </row>
    <row r="15" ht="15.75" customHeight="1">
      <c r="A15" s="181"/>
      <c r="B15" s="167" t="str">
        <f>IF($AW15=0,"",INDEX($AO$7:$AO$26,$AW15))</f>
        <v>NC</v>
      </c>
      <c r="C15" s="168" t="str">
        <f>IF($AW15=0,"",INDEX($AN$7:$AN$26,$AW15))</f>
        <v>Backlog</v>
      </c>
      <c r="D15" s="169" t="str">
        <f>IF(OR($AW15=0,N($BA15)=0),"",IFERROR(1/(1/INDEX(BD!$Y$23:$AS$42,$BA15,MATCH($C$2,BD!$Y$22:$AS$22,0))),""))</f>
        <v/>
      </c>
      <c r="E15" s="170"/>
      <c r="F15" s="171" t="str">
        <f>IF(OR($AW15=0,F$5=""),"",IF($AY15="taxa",IF(COUNTIFS(BD!$A$3:$A$5001,F$5,BD!$B$3:$B$5001,$C$2,BD!$M$3:$M$5001,"&lt;&gt;")=0,"",IFERROR(SUMIFS(BD!$M$3:$M$5001,BD!$A$3:$A$5001,F$5,BD!$B$3:$B$5001,$C$2)/SUMIFS(BD!$L$3:$L$5001,BD!$A$3:$A$5001,F$5,BD!$B$3:$B$5001,$C$2),"")),IF(COUNTIFS(BD!$A$3:$A$5001,F$5,BD!$B$3:$B$5001,$C$2,INDEX(BD!$A$3:$V$5001,0,$AX15),"&lt;&gt;")=0,"",SUMIFS(INDEX(BD!$A$3:$V$5001,0,$AX15),BD!$A$3:$A$5001,F$5,BD!$B$3:$B$5001,$C$2))))</f>
        <v/>
      </c>
      <c r="G15" s="172" t="str">
        <f>IF(OR($AW15=0,G$5=""),"",IF($AY15="taxa",IF(COUNTIFS(BD!$A$3:$A$5001,G$5,BD!$B$3:$B$5001,$C$2,BD!$M$3:$M$5001,"&lt;&gt;")=0,"",IFERROR(SUMIFS(BD!$M$3:$M$5001,BD!$A$3:$A$5001,G$5,BD!$B$3:$B$5001,$C$2)/SUMIFS(BD!$L$3:$L$5001,BD!$A$3:$A$5001,G$5,BD!$B$3:$B$5001,$C$2),"")),IF(COUNTIFS(BD!$A$3:$A$5001,G$5,BD!$B$3:$B$5001,$C$2,INDEX(BD!$A$3:$V$5001,0,$AX15),"&lt;&gt;")=0,"",SUMIFS(INDEX(BD!$A$3:$V$5001,0,$AX15),BD!$A$3:$A$5001,G$5,BD!$B$3:$B$5001,$C$2))))</f>
        <v/>
      </c>
      <c r="H15" s="172" t="str">
        <f>IF(OR($AW15=0,H$5=""),"",IF($AY15="taxa",IF(COUNTIFS(BD!$A$3:$A$5001,H$5,BD!$B$3:$B$5001,$C$2,BD!$M$3:$M$5001,"&lt;&gt;")=0,"",IFERROR(SUMIFS(BD!$M$3:$M$5001,BD!$A$3:$A$5001,H$5,BD!$B$3:$B$5001,$C$2)/SUMIFS(BD!$L$3:$L$5001,BD!$A$3:$A$5001,H$5,BD!$B$3:$B$5001,$C$2),"")),IF(COUNTIFS(BD!$A$3:$A$5001,H$5,BD!$B$3:$B$5001,$C$2,INDEX(BD!$A$3:$V$5001,0,$AX15),"&lt;&gt;")=0,"",SUMIFS(INDEX(BD!$A$3:$V$5001,0,$AX15),BD!$A$3:$A$5001,H$5,BD!$B$3:$B$5001,$C$2))))</f>
        <v/>
      </c>
      <c r="I15" s="172" t="str">
        <f>IF(OR($AW15=0,I$5=""),"",IF($AY15="taxa",IF(COUNTIFS(BD!$A$3:$A$5001,I$5,BD!$B$3:$B$5001,$C$2,BD!$M$3:$M$5001,"&lt;&gt;")=0,"",IFERROR(SUMIFS(BD!$M$3:$M$5001,BD!$A$3:$A$5001,I$5,BD!$B$3:$B$5001,$C$2)/SUMIFS(BD!$L$3:$L$5001,BD!$A$3:$A$5001,I$5,BD!$B$3:$B$5001,$C$2),"")),IF(COUNTIFS(BD!$A$3:$A$5001,I$5,BD!$B$3:$B$5001,$C$2,INDEX(BD!$A$3:$V$5001,0,$AX15),"&lt;&gt;")=0,"",SUMIFS(INDEX(BD!$A$3:$V$5001,0,$AX15),BD!$A$3:$A$5001,I$5,BD!$B$3:$B$5001,$C$2))))</f>
        <v/>
      </c>
      <c r="J15" s="172" t="str">
        <f>IF(OR($AW15=0,J$5=""),"",IF($AY15="taxa",IF(COUNTIFS(BD!$A$3:$A$5001,J$5,BD!$B$3:$B$5001,$C$2,BD!$M$3:$M$5001,"&lt;&gt;")=0,"",IFERROR(SUMIFS(BD!$M$3:$M$5001,BD!$A$3:$A$5001,J$5,BD!$B$3:$B$5001,$C$2)/SUMIFS(BD!$L$3:$L$5001,BD!$A$3:$A$5001,J$5,BD!$B$3:$B$5001,$C$2),"")),IF(COUNTIFS(BD!$A$3:$A$5001,J$5,BD!$B$3:$B$5001,$C$2,INDEX(BD!$A$3:$V$5001,0,$AX15),"&lt;&gt;")=0,"",SUMIFS(INDEX(BD!$A$3:$V$5001,0,$AX15),BD!$A$3:$A$5001,J$5,BD!$B$3:$B$5001,$C$2))))</f>
        <v/>
      </c>
      <c r="K15" s="172" t="str">
        <f>IF(OR($AW15=0,K$5=""),"",IF($AY15="taxa",IF(COUNTIFS(BD!$A$3:$A$5001,K$5,BD!$B$3:$B$5001,$C$2,BD!$M$3:$M$5001,"&lt;&gt;")=0,"",IFERROR(SUMIFS(BD!$M$3:$M$5001,BD!$A$3:$A$5001,K$5,BD!$B$3:$B$5001,$C$2)/SUMIFS(BD!$L$3:$L$5001,BD!$A$3:$A$5001,K$5,BD!$B$3:$B$5001,$C$2),"")),IF(COUNTIFS(BD!$A$3:$A$5001,K$5,BD!$B$3:$B$5001,$C$2,INDEX(BD!$A$3:$V$5001,0,$AX15),"&lt;&gt;")=0,"",SUMIFS(INDEX(BD!$A$3:$V$5001,0,$AX15),BD!$A$3:$A$5001,K$5,BD!$B$3:$B$5001,$C$2))))</f>
        <v/>
      </c>
      <c r="L15" s="172" t="str">
        <f>IF(OR($AW15=0,L$5=""),"",IF($AY15="taxa",IF(COUNTIFS(BD!$A$3:$A$5001,L$5,BD!$B$3:$B$5001,$C$2,BD!$M$3:$M$5001,"&lt;&gt;")=0,"",IFERROR(SUMIFS(BD!$M$3:$M$5001,BD!$A$3:$A$5001,L$5,BD!$B$3:$B$5001,$C$2)/SUMIFS(BD!$L$3:$L$5001,BD!$A$3:$A$5001,L$5,BD!$B$3:$B$5001,$C$2),"")),IF(COUNTIFS(BD!$A$3:$A$5001,L$5,BD!$B$3:$B$5001,$C$2,INDEX(BD!$A$3:$V$5001,0,$AX15),"&lt;&gt;")=0,"",SUMIFS(INDEX(BD!$A$3:$V$5001,0,$AX15),BD!$A$3:$A$5001,L$5,BD!$B$3:$B$5001,$C$2))))</f>
        <v/>
      </c>
      <c r="M15" s="172" t="str">
        <f>IF(OR($AW15=0,M$5=""),"",IF($AY15="taxa",IF(COUNTIFS(BD!$A$3:$A$5001,M$5,BD!$B$3:$B$5001,$C$2,BD!$M$3:$M$5001,"&lt;&gt;")=0,"",IFERROR(SUMIFS(BD!$M$3:$M$5001,BD!$A$3:$A$5001,M$5,BD!$B$3:$B$5001,$C$2)/SUMIFS(BD!$L$3:$L$5001,BD!$A$3:$A$5001,M$5,BD!$B$3:$B$5001,$C$2),"")),IF(COUNTIFS(BD!$A$3:$A$5001,M$5,BD!$B$3:$B$5001,$C$2,INDEX(BD!$A$3:$V$5001,0,$AX15),"&lt;&gt;")=0,"",SUMIFS(INDEX(BD!$A$3:$V$5001,0,$AX15),BD!$A$3:$A$5001,M$5,BD!$B$3:$B$5001,$C$2))))</f>
        <v/>
      </c>
      <c r="N15" s="172" t="str">
        <f>IF(OR($AW15=0,N$5=""),"",IF($AY15="taxa",IF(COUNTIFS(BD!$A$3:$A$5001,N$5,BD!$B$3:$B$5001,$C$2,BD!$M$3:$M$5001,"&lt;&gt;")=0,"",IFERROR(SUMIFS(BD!$M$3:$M$5001,BD!$A$3:$A$5001,N$5,BD!$B$3:$B$5001,$C$2)/SUMIFS(BD!$L$3:$L$5001,BD!$A$3:$A$5001,N$5,BD!$B$3:$B$5001,$C$2),"")),IF(COUNTIFS(BD!$A$3:$A$5001,N$5,BD!$B$3:$B$5001,$C$2,INDEX(BD!$A$3:$V$5001,0,$AX15),"&lt;&gt;")=0,"",SUMIFS(INDEX(BD!$A$3:$V$5001,0,$AX15),BD!$A$3:$A$5001,N$5,BD!$B$3:$B$5001,$C$2))))</f>
        <v/>
      </c>
      <c r="O15" s="172" t="str">
        <f>IF(OR($AW15=0,O$5=""),"",IF($AY15="taxa",IF(COUNTIFS(BD!$A$3:$A$5001,O$5,BD!$B$3:$B$5001,$C$2,BD!$M$3:$M$5001,"&lt;&gt;")=0,"",IFERROR(SUMIFS(BD!$M$3:$M$5001,BD!$A$3:$A$5001,O$5,BD!$B$3:$B$5001,$C$2)/SUMIFS(BD!$L$3:$L$5001,BD!$A$3:$A$5001,O$5,BD!$B$3:$B$5001,$C$2),"")),IF(COUNTIFS(BD!$A$3:$A$5001,O$5,BD!$B$3:$B$5001,$C$2,INDEX(BD!$A$3:$V$5001,0,$AX15),"&lt;&gt;")=0,"",SUMIFS(INDEX(BD!$A$3:$V$5001,0,$AX15),BD!$A$3:$A$5001,O$5,BD!$B$3:$B$5001,$C$2))))</f>
        <v/>
      </c>
      <c r="P15" s="172" t="str">
        <f>IF(OR($AW15=0,P$5=""),"",IF($AY15="taxa",IF(COUNTIFS(BD!$A$3:$A$5001,P$5,BD!$B$3:$B$5001,$C$2,BD!$M$3:$M$5001,"&lt;&gt;")=0,"",IFERROR(SUMIFS(BD!$M$3:$M$5001,BD!$A$3:$A$5001,P$5,BD!$B$3:$B$5001,$C$2)/SUMIFS(BD!$L$3:$L$5001,BD!$A$3:$A$5001,P$5,BD!$B$3:$B$5001,$C$2),"")),IF(COUNTIFS(BD!$A$3:$A$5001,P$5,BD!$B$3:$B$5001,$C$2,INDEX(BD!$A$3:$V$5001,0,$AX15),"&lt;&gt;")=0,"",SUMIFS(INDEX(BD!$A$3:$V$5001,0,$AX15),BD!$A$3:$A$5001,P$5,BD!$B$3:$B$5001,$C$2))))</f>
        <v/>
      </c>
      <c r="Q15" s="172" t="str">
        <f>IF(OR($AW15=0,Q$5=""),"",IF($AY15="taxa",IF(COUNTIFS(BD!$A$3:$A$5001,Q$5,BD!$B$3:$B$5001,$C$2,BD!$M$3:$M$5001,"&lt;&gt;")=0,"",IFERROR(SUMIFS(BD!$M$3:$M$5001,BD!$A$3:$A$5001,Q$5,BD!$B$3:$B$5001,$C$2)/SUMIFS(BD!$L$3:$L$5001,BD!$A$3:$A$5001,Q$5,BD!$B$3:$B$5001,$C$2),"")),IF(COUNTIFS(BD!$A$3:$A$5001,Q$5,BD!$B$3:$B$5001,$C$2,INDEX(BD!$A$3:$V$5001,0,$AX15),"&lt;&gt;")=0,"",SUMIFS(INDEX(BD!$A$3:$V$5001,0,$AX15),BD!$A$3:$A$5001,Q$5,BD!$B$3:$B$5001,$C$2))))</f>
        <v/>
      </c>
      <c r="R15" s="172" t="str">
        <f>IF(OR($AW15=0,R$5=""),"",IF($AY15="taxa",IF(COUNTIFS(BD!$A$3:$A$5001,R$5,BD!$B$3:$B$5001,$C$2,BD!$M$3:$M$5001,"&lt;&gt;")=0,"",IFERROR(SUMIFS(BD!$M$3:$M$5001,BD!$A$3:$A$5001,R$5,BD!$B$3:$B$5001,$C$2)/SUMIFS(BD!$L$3:$L$5001,BD!$A$3:$A$5001,R$5,BD!$B$3:$B$5001,$C$2),"")),IF(COUNTIFS(BD!$A$3:$A$5001,R$5,BD!$B$3:$B$5001,$C$2,INDEX(BD!$A$3:$V$5001,0,$AX15),"&lt;&gt;")=0,"",SUMIFS(INDEX(BD!$A$3:$V$5001,0,$AX15),BD!$A$3:$A$5001,R$5,BD!$B$3:$B$5001,$C$2))))</f>
        <v/>
      </c>
      <c r="S15" s="172" t="str">
        <f>IF(OR($AW15=0,S$5=""),"",IF($AY15="taxa",IF(COUNTIFS(BD!$A$3:$A$5001,S$5,BD!$B$3:$B$5001,$C$2,BD!$M$3:$M$5001,"&lt;&gt;")=0,"",IFERROR(SUMIFS(BD!$M$3:$M$5001,BD!$A$3:$A$5001,S$5,BD!$B$3:$B$5001,$C$2)/SUMIFS(BD!$L$3:$L$5001,BD!$A$3:$A$5001,S$5,BD!$B$3:$B$5001,$C$2),"")),IF(COUNTIFS(BD!$A$3:$A$5001,S$5,BD!$B$3:$B$5001,$C$2,INDEX(BD!$A$3:$V$5001,0,$AX15),"&lt;&gt;")=0,"",SUMIFS(INDEX(BD!$A$3:$V$5001,0,$AX15),BD!$A$3:$A$5001,S$5,BD!$B$3:$B$5001,$C$2))))</f>
        <v/>
      </c>
      <c r="T15" s="172" t="str">
        <f>IF(OR($AW15=0,T$5=""),"",IF($AY15="taxa",IF(COUNTIFS(BD!$A$3:$A$5001,T$5,BD!$B$3:$B$5001,$C$2,BD!$M$3:$M$5001,"&lt;&gt;")=0,"",IFERROR(SUMIFS(BD!$M$3:$M$5001,BD!$A$3:$A$5001,T$5,BD!$B$3:$B$5001,$C$2)/SUMIFS(BD!$L$3:$L$5001,BD!$A$3:$A$5001,T$5,BD!$B$3:$B$5001,$C$2),"")),IF(COUNTIFS(BD!$A$3:$A$5001,T$5,BD!$B$3:$B$5001,$C$2,INDEX(BD!$A$3:$V$5001,0,$AX15),"&lt;&gt;")=0,"",SUMIFS(INDEX(BD!$A$3:$V$5001,0,$AX15),BD!$A$3:$A$5001,T$5,BD!$B$3:$B$5001,$C$2))))</f>
        <v/>
      </c>
      <c r="U15" s="172" t="str">
        <f>IF(OR($AW15=0,U$5=""),"",IF($AY15="taxa",IF(COUNTIFS(BD!$A$3:$A$5001,U$5,BD!$B$3:$B$5001,$C$2,BD!$M$3:$M$5001,"&lt;&gt;")=0,"",IFERROR(SUMIFS(BD!$M$3:$M$5001,BD!$A$3:$A$5001,U$5,BD!$B$3:$B$5001,$C$2)/SUMIFS(BD!$L$3:$L$5001,BD!$A$3:$A$5001,U$5,BD!$B$3:$B$5001,$C$2),"")),IF(COUNTIFS(BD!$A$3:$A$5001,U$5,BD!$B$3:$B$5001,$C$2,INDEX(BD!$A$3:$V$5001,0,$AX15),"&lt;&gt;")=0,"",SUMIFS(INDEX(BD!$A$3:$V$5001,0,$AX15),BD!$A$3:$A$5001,U$5,BD!$B$3:$B$5001,$C$2))))</f>
        <v/>
      </c>
      <c r="V15" s="172" t="str">
        <f>IF(OR($AW15=0,V$5=""),"",IF($AY15="taxa",IF(COUNTIFS(BD!$A$3:$A$5001,V$5,BD!$B$3:$B$5001,$C$2,BD!$M$3:$M$5001,"&lt;&gt;")=0,"",IFERROR(SUMIFS(BD!$M$3:$M$5001,BD!$A$3:$A$5001,V$5,BD!$B$3:$B$5001,$C$2)/SUMIFS(BD!$L$3:$L$5001,BD!$A$3:$A$5001,V$5,BD!$B$3:$B$5001,$C$2),"")),IF(COUNTIFS(BD!$A$3:$A$5001,V$5,BD!$B$3:$B$5001,$C$2,INDEX(BD!$A$3:$V$5001,0,$AX15),"&lt;&gt;")=0,"",SUMIFS(INDEX(BD!$A$3:$V$5001,0,$AX15),BD!$A$3:$A$5001,V$5,BD!$B$3:$B$5001,$C$2))))</f>
        <v/>
      </c>
      <c r="W15" s="172" t="str">
        <f>IF(OR($AW15=0,W$5=""),"",IF($AY15="taxa",IF(COUNTIFS(BD!$A$3:$A$5001,W$5,BD!$B$3:$B$5001,$C$2,BD!$M$3:$M$5001,"&lt;&gt;")=0,"",IFERROR(SUMIFS(BD!$M$3:$M$5001,BD!$A$3:$A$5001,W$5,BD!$B$3:$B$5001,$C$2)/SUMIFS(BD!$L$3:$L$5001,BD!$A$3:$A$5001,W$5,BD!$B$3:$B$5001,$C$2),"")),IF(COUNTIFS(BD!$A$3:$A$5001,W$5,BD!$B$3:$B$5001,$C$2,INDEX(BD!$A$3:$V$5001,0,$AX15),"&lt;&gt;")=0,"",SUMIFS(INDEX(BD!$A$3:$V$5001,0,$AX15),BD!$A$3:$A$5001,W$5,BD!$B$3:$B$5001,$C$2))))</f>
        <v/>
      </c>
      <c r="X15" s="172" t="str">
        <f>IF(OR($AW15=0,X$5=""),"",IF($AY15="taxa",IF(COUNTIFS(BD!$A$3:$A$5001,X$5,BD!$B$3:$B$5001,$C$2,BD!$M$3:$M$5001,"&lt;&gt;")=0,"",IFERROR(SUMIFS(BD!$M$3:$M$5001,BD!$A$3:$A$5001,X$5,BD!$B$3:$B$5001,$C$2)/SUMIFS(BD!$L$3:$L$5001,BD!$A$3:$A$5001,X$5,BD!$B$3:$B$5001,$C$2),"")),IF(COUNTIFS(BD!$A$3:$A$5001,X$5,BD!$B$3:$B$5001,$C$2,INDEX(BD!$A$3:$V$5001,0,$AX15),"&lt;&gt;")=0,"",SUMIFS(INDEX(BD!$A$3:$V$5001,0,$AX15),BD!$A$3:$A$5001,X$5,BD!$B$3:$B$5001,$C$2))))</f>
        <v/>
      </c>
      <c r="Y15" s="172" t="str">
        <f>IF(OR($AW15=0,Y$5=""),"",IF($AY15="taxa",IF(COUNTIFS(BD!$A$3:$A$5001,Y$5,BD!$B$3:$B$5001,$C$2,BD!$M$3:$M$5001,"&lt;&gt;")=0,"",IFERROR(SUMIFS(BD!$M$3:$M$5001,BD!$A$3:$A$5001,Y$5,BD!$B$3:$B$5001,$C$2)/SUMIFS(BD!$L$3:$L$5001,BD!$A$3:$A$5001,Y$5,BD!$B$3:$B$5001,$C$2),"")),IF(COUNTIFS(BD!$A$3:$A$5001,Y$5,BD!$B$3:$B$5001,$C$2,INDEX(BD!$A$3:$V$5001,0,$AX15),"&lt;&gt;")=0,"",SUMIFS(INDEX(BD!$A$3:$V$5001,0,$AX15),BD!$A$3:$A$5001,Y$5,BD!$B$3:$B$5001,$C$2))))</f>
        <v/>
      </c>
      <c r="Z15" s="172" t="str">
        <f>IF(OR($AW15=0,Z$5=""),"",IF($AY15="taxa",IF(COUNTIFS(BD!$A$3:$A$5001,Z$5,BD!$B$3:$B$5001,$C$2,BD!$M$3:$M$5001,"&lt;&gt;")=0,"",IFERROR(SUMIFS(BD!$M$3:$M$5001,BD!$A$3:$A$5001,Z$5,BD!$B$3:$B$5001,$C$2)/SUMIFS(BD!$L$3:$L$5001,BD!$A$3:$A$5001,Z$5,BD!$B$3:$B$5001,$C$2),"")),IF(COUNTIFS(BD!$A$3:$A$5001,Z$5,BD!$B$3:$B$5001,$C$2,INDEX(BD!$A$3:$V$5001,0,$AX15),"&lt;&gt;")=0,"",SUMIFS(INDEX(BD!$A$3:$V$5001,0,$AX15),BD!$A$3:$A$5001,Z$5,BD!$B$3:$B$5001,$C$2))))</f>
        <v/>
      </c>
      <c r="AA15" s="172" t="str">
        <f>IF(OR($AW15=0,AA$5=""),"",IF($AY15="taxa",IF(COUNTIFS(BD!$A$3:$A$5001,AA$5,BD!$B$3:$B$5001,$C$2,BD!$M$3:$M$5001,"&lt;&gt;")=0,"",IFERROR(SUMIFS(BD!$M$3:$M$5001,BD!$A$3:$A$5001,AA$5,BD!$B$3:$B$5001,$C$2)/SUMIFS(BD!$L$3:$L$5001,BD!$A$3:$A$5001,AA$5,BD!$B$3:$B$5001,$C$2),"")),IF(COUNTIFS(BD!$A$3:$A$5001,AA$5,BD!$B$3:$B$5001,$C$2,INDEX(BD!$A$3:$V$5001,0,$AX15),"&lt;&gt;")=0,"",SUMIFS(INDEX(BD!$A$3:$V$5001,0,$AX15),BD!$A$3:$A$5001,AA$5,BD!$B$3:$B$5001,$C$2))))</f>
        <v/>
      </c>
      <c r="AB15" s="172" t="str">
        <f>IF(OR($AW15=0,AB$5=""),"",IF($AY15="taxa",IF(COUNTIFS(BD!$A$3:$A$5001,AB$5,BD!$B$3:$B$5001,$C$2,BD!$M$3:$M$5001,"&lt;&gt;")=0,"",IFERROR(SUMIFS(BD!$M$3:$M$5001,BD!$A$3:$A$5001,AB$5,BD!$B$3:$B$5001,$C$2)/SUMIFS(BD!$L$3:$L$5001,BD!$A$3:$A$5001,AB$5,BD!$B$3:$B$5001,$C$2),"")),IF(COUNTIFS(BD!$A$3:$A$5001,AB$5,BD!$B$3:$B$5001,$C$2,INDEX(BD!$A$3:$V$5001,0,$AX15),"&lt;&gt;")=0,"",SUMIFS(INDEX(BD!$A$3:$V$5001,0,$AX15),BD!$A$3:$A$5001,AB$5,BD!$B$3:$B$5001,$C$2))))</f>
        <v/>
      </c>
      <c r="AC15" s="172" t="str">
        <f>IF(OR($AW15=0,AC$5=""),"",IF($AY15="taxa",IF(COUNTIFS(BD!$A$3:$A$5001,AC$5,BD!$B$3:$B$5001,$C$2,BD!$M$3:$M$5001,"&lt;&gt;")=0,"",IFERROR(SUMIFS(BD!$M$3:$M$5001,BD!$A$3:$A$5001,AC$5,BD!$B$3:$B$5001,$C$2)/SUMIFS(BD!$L$3:$L$5001,BD!$A$3:$A$5001,AC$5,BD!$B$3:$B$5001,$C$2),"")),IF(COUNTIFS(BD!$A$3:$A$5001,AC$5,BD!$B$3:$B$5001,$C$2,INDEX(BD!$A$3:$V$5001,0,$AX15),"&lt;&gt;")=0,"",SUMIFS(INDEX(BD!$A$3:$V$5001,0,$AX15),BD!$A$3:$A$5001,AC$5,BD!$B$3:$B$5001,$C$2))))</f>
        <v/>
      </c>
      <c r="AD15" s="172" t="str">
        <f>IF(OR($AW15=0,AD$5=""),"",IF($AY15="taxa",IF(COUNTIFS(BD!$A$3:$A$5001,AD$5,BD!$B$3:$B$5001,$C$2,BD!$M$3:$M$5001,"&lt;&gt;")=0,"",IFERROR(SUMIFS(BD!$M$3:$M$5001,BD!$A$3:$A$5001,AD$5,BD!$B$3:$B$5001,$C$2)/SUMIFS(BD!$L$3:$L$5001,BD!$A$3:$A$5001,AD$5,BD!$B$3:$B$5001,$C$2),"")),IF(COUNTIFS(BD!$A$3:$A$5001,AD$5,BD!$B$3:$B$5001,$C$2,INDEX(BD!$A$3:$V$5001,0,$AX15),"&lt;&gt;")=0,"",SUMIFS(INDEX(BD!$A$3:$V$5001,0,$AX15),BD!$A$3:$A$5001,AD$5,BD!$B$3:$B$5001,$C$2))))</f>
        <v/>
      </c>
      <c r="AE15" s="172" t="str">
        <f>IF(OR($AW15=0,AE$5=""),"",IF($AY15="taxa",IF(COUNTIFS(BD!$A$3:$A$5001,AE$5,BD!$B$3:$B$5001,$C$2,BD!$M$3:$M$5001,"&lt;&gt;")=0,"",IFERROR(SUMIFS(BD!$M$3:$M$5001,BD!$A$3:$A$5001,AE$5,BD!$B$3:$B$5001,$C$2)/SUMIFS(BD!$L$3:$L$5001,BD!$A$3:$A$5001,AE$5,BD!$B$3:$B$5001,$C$2),"")),IF(COUNTIFS(BD!$A$3:$A$5001,AE$5,BD!$B$3:$B$5001,$C$2,INDEX(BD!$A$3:$V$5001,0,$AX15),"&lt;&gt;")=0,"",SUMIFS(INDEX(BD!$A$3:$V$5001,0,$AX15),BD!$A$3:$A$5001,AE$5,BD!$B$3:$B$5001,$C$2))))</f>
        <v/>
      </c>
      <c r="AF15" s="172" t="str">
        <f>IF(OR($AW15=0,AF$5=""),"",IF($AY15="taxa",IF(COUNTIFS(BD!$A$3:$A$5001,AF$5,BD!$B$3:$B$5001,$C$2,BD!$M$3:$M$5001,"&lt;&gt;")=0,"",IFERROR(SUMIFS(BD!$M$3:$M$5001,BD!$A$3:$A$5001,AF$5,BD!$B$3:$B$5001,$C$2)/SUMIFS(BD!$L$3:$L$5001,BD!$A$3:$A$5001,AF$5,BD!$B$3:$B$5001,$C$2),"")),IF(COUNTIFS(BD!$A$3:$A$5001,AF$5,BD!$B$3:$B$5001,$C$2,INDEX(BD!$A$3:$V$5001,0,$AX15),"&lt;&gt;")=0,"",SUMIFS(INDEX(BD!$A$3:$V$5001,0,$AX15),BD!$A$3:$A$5001,AF$5,BD!$B$3:$B$5001,$C$2))))</f>
        <v/>
      </c>
      <c r="AG15" s="172" t="str">
        <f>IF(OR($AW15=0,AG$5=""),"",IF($AY15="taxa",IF(COUNTIFS(BD!$A$3:$A$5001,AG$5,BD!$B$3:$B$5001,$C$2,BD!$M$3:$M$5001,"&lt;&gt;")=0,"",IFERROR(SUMIFS(BD!$M$3:$M$5001,BD!$A$3:$A$5001,AG$5,BD!$B$3:$B$5001,$C$2)/SUMIFS(BD!$L$3:$L$5001,BD!$A$3:$A$5001,AG$5,BD!$B$3:$B$5001,$C$2),"")),IF(COUNTIFS(BD!$A$3:$A$5001,AG$5,BD!$B$3:$B$5001,$C$2,INDEX(BD!$A$3:$V$5001,0,$AX15),"&lt;&gt;")=0,"",SUMIFS(INDEX(BD!$A$3:$V$5001,0,$AX15),BD!$A$3:$A$5001,AG$5,BD!$B$3:$B$5001,$C$2))))</f>
        <v/>
      </c>
      <c r="AH15" s="172" t="str">
        <f>IF(OR($AW15=0,AH$5=""),"",IF($AY15="taxa",IF(COUNTIFS(BD!$A$3:$A$5001,AH$5,BD!$B$3:$B$5001,$C$2,BD!$M$3:$M$5001,"&lt;&gt;")=0,"",IFERROR(SUMIFS(BD!$M$3:$M$5001,BD!$A$3:$A$5001,AH$5,BD!$B$3:$B$5001,$C$2)/SUMIFS(BD!$L$3:$L$5001,BD!$A$3:$A$5001,AH$5,BD!$B$3:$B$5001,$C$2),"")),IF(COUNTIFS(BD!$A$3:$A$5001,AH$5,BD!$B$3:$B$5001,$C$2,INDEX(BD!$A$3:$V$5001,0,$AX15),"&lt;&gt;")=0,"",SUMIFS(INDEX(BD!$A$3:$V$5001,0,$AX15),BD!$A$3:$A$5001,AH$5,BD!$B$3:$B$5001,$C$2))))</f>
        <v/>
      </c>
      <c r="AI15" s="172" t="str">
        <f>IF(OR($AW15=0,AI$5=""),"",IF($AY15="taxa",IF(COUNTIFS(BD!$A$3:$A$5001,AI$5,BD!$B$3:$B$5001,$C$2,BD!$M$3:$M$5001,"&lt;&gt;")=0,"",IFERROR(SUMIFS(BD!$M$3:$M$5001,BD!$A$3:$A$5001,AI$5,BD!$B$3:$B$5001,$C$2)/SUMIFS(BD!$L$3:$L$5001,BD!$A$3:$A$5001,AI$5,BD!$B$3:$B$5001,$C$2),"")),IF(COUNTIFS(BD!$A$3:$A$5001,AI$5,BD!$B$3:$B$5001,$C$2,INDEX(BD!$A$3:$V$5001,0,$AX15),"&lt;&gt;")=0,"",SUMIFS(INDEX(BD!$A$3:$V$5001,0,$AX15),BD!$A$3:$A$5001,AI$5,BD!$B$3:$B$5001,$C$2))))</f>
        <v/>
      </c>
      <c r="AJ15" s="173" t="str">
        <f>IF(OR($AW15=0,AJ$5=""),"",IF($AY15="taxa",IF(COUNTIFS(BD!$A$3:$A$5001,AJ$5,BD!$B$3:$B$5001,$C$2,BD!$M$3:$M$5001,"&lt;&gt;")=0,"",IFERROR(SUMIFS(BD!$M$3:$M$5001,BD!$A$3:$A$5001,AJ$5,BD!$B$3:$B$5001,$C$2)/SUMIFS(BD!$L$3:$L$5001,BD!$A$3:$A$5001,AJ$5,BD!$B$3:$B$5001,$C$2),"")),IF(COUNTIFS(BD!$A$3:$A$5001,AJ$5,BD!$B$3:$B$5001,$C$2,INDEX(BD!$A$3:$V$5001,0,$AX15),"&lt;&gt;")=0,"",SUMIFS(INDEX(BD!$A$3:$V$5001,0,$AX15),BD!$A$3:$A$5001,AJ$5,BD!$B$3:$B$5001,$C$2))))</f>
        <v/>
      </c>
      <c r="AK15" s="169" t="str">
        <f>IF($AW15=0,"",IF($AY15="fluxo",IF(COUNT(F15:AJ15)=0,"",SUM(F15:AJ15)),IFERROR(LOOKUP(9.99E+307,F15:AJ15),"")))</f>
        <v/>
      </c>
      <c r="AN15" s="159" t="inlineStr">
        <is>
          <t xml:space="preserve">Backlog</t>
        </is>
      </c>
      <c r="AO15" s="159" t="inlineStr">
        <is>
          <t xml:space="preserve">NC</t>
        </is>
      </c>
      <c r="AP15" s="159">
        <v>11</v>
      </c>
      <c r="AQ15" s="159" t="inlineStr">
        <is>
          <t xml:space="preserve">estoque</t>
        </is>
      </c>
      <c r="AR15" s="159">
        <v>9</v>
      </c>
      <c r="AS15" s="159" t="inlineStr">
        <is>
          <t xml:space="preserve">int</t>
        </is>
      </c>
      <c r="AT15" s="159">
        <f>IF($C$2="",0,IF(IFERROR(INDEX(Config!$L$35:$L$54,MATCH($C$2,Config!$B$35:$B$54,0)),"Sim")="Não",0,1))</f>
        <v>1</v>
      </c>
      <c r="AU15" s="159">
        <f>AU14+AT15</f>
        <v>9</v>
      </c>
      <c r="AW15" s="159">
        <f>IFERROR(MATCH(9,$AU$7:$AU$26,0),0)</f>
        <v>9</v>
      </c>
      <c r="AX15" s="159">
        <f>IF($AW15=0,"",INDEX($AP$7:$AP$26,$AW15))</f>
        <v>11</v>
      </c>
      <c r="AY15" s="159" t="str">
        <f>IF($AW15=0,"",INDEX($AQ$7:$AQ$26,$AW15))</f>
        <v>estoque</v>
      </c>
      <c r="AZ15" s="159" t="str">
        <f>IF($AW15=0,"",INDEX($AS$7:$AS$26,$AW15))</f>
        <v>int</v>
      </c>
      <c r="BA15" s="159">
        <f>IF($AW15=0,"",INDEX($AR$7:$AR$26,$AW15))</f>
        <v>9</v>
      </c>
    </row>
    <row r="16" ht="15.75" customHeight="1">
      <c r="A16" s="181"/>
      <c r="B16" s="167" t="str">
        <f>IF($AW16=0,"",INDEX($AO$7:$AO$26,$AW16))</f>
        <v>OCUPAÇÃO (P.P)</v>
      </c>
      <c r="C16" s="168" t="str">
        <f>IF($AW16=0,"",INDEX($AN$7:$AN$26,$AW16))</f>
        <v>Posições Disponíveis</v>
      </c>
      <c r="D16" s="169" t="str">
        <f>IF(OR($AW16=0,N($BA16)=0),"",IFERROR(1/(1/INDEX(BD!$Y$23:$AS$42,$BA16,MATCH($C$2,BD!$Y$22:$AS$22,0))),""))</f>
        <v/>
      </c>
      <c r="E16" s="170"/>
      <c r="F16" s="171" t="str">
        <f>IF(OR($AW16=0,F$5=""),"",IF($AY16="taxa",IF(COUNTIFS(BD!$A$3:$A$5001,F$5,BD!$B$3:$B$5001,$C$2,BD!$M$3:$M$5001,"&lt;&gt;")=0,"",IFERROR(SUMIFS(BD!$M$3:$M$5001,BD!$A$3:$A$5001,F$5,BD!$B$3:$B$5001,$C$2)/SUMIFS(BD!$L$3:$L$5001,BD!$A$3:$A$5001,F$5,BD!$B$3:$B$5001,$C$2),"")),IF(COUNTIFS(BD!$A$3:$A$5001,F$5,BD!$B$3:$B$5001,$C$2,INDEX(BD!$A$3:$V$5001,0,$AX16),"&lt;&gt;")=0,"",SUMIFS(INDEX(BD!$A$3:$V$5001,0,$AX16),BD!$A$3:$A$5001,F$5,BD!$B$3:$B$5001,$C$2))))</f>
        <v/>
      </c>
      <c r="G16" s="172" t="str">
        <f>IF(OR($AW16=0,G$5=""),"",IF($AY16="taxa",IF(COUNTIFS(BD!$A$3:$A$5001,G$5,BD!$B$3:$B$5001,$C$2,BD!$M$3:$M$5001,"&lt;&gt;")=0,"",IFERROR(SUMIFS(BD!$M$3:$M$5001,BD!$A$3:$A$5001,G$5,BD!$B$3:$B$5001,$C$2)/SUMIFS(BD!$L$3:$L$5001,BD!$A$3:$A$5001,G$5,BD!$B$3:$B$5001,$C$2),"")),IF(COUNTIFS(BD!$A$3:$A$5001,G$5,BD!$B$3:$B$5001,$C$2,INDEX(BD!$A$3:$V$5001,0,$AX16),"&lt;&gt;")=0,"",SUMIFS(INDEX(BD!$A$3:$V$5001,0,$AX16),BD!$A$3:$A$5001,G$5,BD!$B$3:$B$5001,$C$2))))</f>
        <v/>
      </c>
      <c r="H16" s="172" t="str">
        <f>IF(OR($AW16=0,H$5=""),"",IF($AY16="taxa",IF(COUNTIFS(BD!$A$3:$A$5001,H$5,BD!$B$3:$B$5001,$C$2,BD!$M$3:$M$5001,"&lt;&gt;")=0,"",IFERROR(SUMIFS(BD!$M$3:$M$5001,BD!$A$3:$A$5001,H$5,BD!$B$3:$B$5001,$C$2)/SUMIFS(BD!$L$3:$L$5001,BD!$A$3:$A$5001,H$5,BD!$B$3:$B$5001,$C$2),"")),IF(COUNTIFS(BD!$A$3:$A$5001,H$5,BD!$B$3:$B$5001,$C$2,INDEX(BD!$A$3:$V$5001,0,$AX16),"&lt;&gt;")=0,"",SUMIFS(INDEX(BD!$A$3:$V$5001,0,$AX16),BD!$A$3:$A$5001,H$5,BD!$B$3:$B$5001,$C$2))))</f>
        <v/>
      </c>
      <c r="I16" s="172" t="str">
        <f>IF(OR($AW16=0,I$5=""),"",IF($AY16="taxa",IF(COUNTIFS(BD!$A$3:$A$5001,I$5,BD!$B$3:$B$5001,$C$2,BD!$M$3:$M$5001,"&lt;&gt;")=0,"",IFERROR(SUMIFS(BD!$M$3:$M$5001,BD!$A$3:$A$5001,I$5,BD!$B$3:$B$5001,$C$2)/SUMIFS(BD!$L$3:$L$5001,BD!$A$3:$A$5001,I$5,BD!$B$3:$B$5001,$C$2),"")),IF(COUNTIFS(BD!$A$3:$A$5001,I$5,BD!$B$3:$B$5001,$C$2,INDEX(BD!$A$3:$V$5001,0,$AX16),"&lt;&gt;")=0,"",SUMIFS(INDEX(BD!$A$3:$V$5001,0,$AX16),BD!$A$3:$A$5001,I$5,BD!$B$3:$B$5001,$C$2))))</f>
        <v/>
      </c>
      <c r="J16" s="172" t="str">
        <f>IF(OR($AW16=0,J$5=""),"",IF($AY16="taxa",IF(COUNTIFS(BD!$A$3:$A$5001,J$5,BD!$B$3:$B$5001,$C$2,BD!$M$3:$M$5001,"&lt;&gt;")=0,"",IFERROR(SUMIFS(BD!$M$3:$M$5001,BD!$A$3:$A$5001,J$5,BD!$B$3:$B$5001,$C$2)/SUMIFS(BD!$L$3:$L$5001,BD!$A$3:$A$5001,J$5,BD!$B$3:$B$5001,$C$2),"")),IF(COUNTIFS(BD!$A$3:$A$5001,J$5,BD!$B$3:$B$5001,$C$2,INDEX(BD!$A$3:$V$5001,0,$AX16),"&lt;&gt;")=0,"",SUMIFS(INDEX(BD!$A$3:$V$5001,0,$AX16),BD!$A$3:$A$5001,J$5,BD!$B$3:$B$5001,$C$2))))</f>
        <v/>
      </c>
      <c r="K16" s="172" t="str">
        <f>IF(OR($AW16=0,K$5=""),"",IF($AY16="taxa",IF(COUNTIFS(BD!$A$3:$A$5001,K$5,BD!$B$3:$B$5001,$C$2,BD!$M$3:$M$5001,"&lt;&gt;")=0,"",IFERROR(SUMIFS(BD!$M$3:$M$5001,BD!$A$3:$A$5001,K$5,BD!$B$3:$B$5001,$C$2)/SUMIFS(BD!$L$3:$L$5001,BD!$A$3:$A$5001,K$5,BD!$B$3:$B$5001,$C$2),"")),IF(COUNTIFS(BD!$A$3:$A$5001,K$5,BD!$B$3:$B$5001,$C$2,INDEX(BD!$A$3:$V$5001,0,$AX16),"&lt;&gt;")=0,"",SUMIFS(INDEX(BD!$A$3:$V$5001,0,$AX16),BD!$A$3:$A$5001,K$5,BD!$B$3:$B$5001,$C$2))))</f>
        <v/>
      </c>
      <c r="L16" s="172" t="str">
        <f>IF(OR($AW16=0,L$5=""),"",IF($AY16="taxa",IF(COUNTIFS(BD!$A$3:$A$5001,L$5,BD!$B$3:$B$5001,$C$2,BD!$M$3:$M$5001,"&lt;&gt;")=0,"",IFERROR(SUMIFS(BD!$M$3:$M$5001,BD!$A$3:$A$5001,L$5,BD!$B$3:$B$5001,$C$2)/SUMIFS(BD!$L$3:$L$5001,BD!$A$3:$A$5001,L$5,BD!$B$3:$B$5001,$C$2),"")),IF(COUNTIFS(BD!$A$3:$A$5001,L$5,BD!$B$3:$B$5001,$C$2,INDEX(BD!$A$3:$V$5001,0,$AX16),"&lt;&gt;")=0,"",SUMIFS(INDEX(BD!$A$3:$V$5001,0,$AX16),BD!$A$3:$A$5001,L$5,BD!$B$3:$B$5001,$C$2))))</f>
        <v/>
      </c>
      <c r="M16" s="172" t="str">
        <f>IF(OR($AW16=0,M$5=""),"",IF($AY16="taxa",IF(COUNTIFS(BD!$A$3:$A$5001,M$5,BD!$B$3:$B$5001,$C$2,BD!$M$3:$M$5001,"&lt;&gt;")=0,"",IFERROR(SUMIFS(BD!$M$3:$M$5001,BD!$A$3:$A$5001,M$5,BD!$B$3:$B$5001,$C$2)/SUMIFS(BD!$L$3:$L$5001,BD!$A$3:$A$5001,M$5,BD!$B$3:$B$5001,$C$2),"")),IF(COUNTIFS(BD!$A$3:$A$5001,M$5,BD!$B$3:$B$5001,$C$2,INDEX(BD!$A$3:$V$5001,0,$AX16),"&lt;&gt;")=0,"",SUMIFS(INDEX(BD!$A$3:$V$5001,0,$AX16),BD!$A$3:$A$5001,M$5,BD!$B$3:$B$5001,$C$2))))</f>
        <v/>
      </c>
      <c r="N16" s="172" t="str">
        <f>IF(OR($AW16=0,N$5=""),"",IF($AY16="taxa",IF(COUNTIFS(BD!$A$3:$A$5001,N$5,BD!$B$3:$B$5001,$C$2,BD!$M$3:$M$5001,"&lt;&gt;")=0,"",IFERROR(SUMIFS(BD!$M$3:$M$5001,BD!$A$3:$A$5001,N$5,BD!$B$3:$B$5001,$C$2)/SUMIFS(BD!$L$3:$L$5001,BD!$A$3:$A$5001,N$5,BD!$B$3:$B$5001,$C$2),"")),IF(COUNTIFS(BD!$A$3:$A$5001,N$5,BD!$B$3:$B$5001,$C$2,INDEX(BD!$A$3:$V$5001,0,$AX16),"&lt;&gt;")=0,"",SUMIFS(INDEX(BD!$A$3:$V$5001,0,$AX16),BD!$A$3:$A$5001,N$5,BD!$B$3:$B$5001,$C$2))))</f>
        <v/>
      </c>
      <c r="O16" s="172" t="str">
        <f>IF(OR($AW16=0,O$5=""),"",IF($AY16="taxa",IF(COUNTIFS(BD!$A$3:$A$5001,O$5,BD!$B$3:$B$5001,$C$2,BD!$M$3:$M$5001,"&lt;&gt;")=0,"",IFERROR(SUMIFS(BD!$M$3:$M$5001,BD!$A$3:$A$5001,O$5,BD!$B$3:$B$5001,$C$2)/SUMIFS(BD!$L$3:$L$5001,BD!$A$3:$A$5001,O$5,BD!$B$3:$B$5001,$C$2),"")),IF(COUNTIFS(BD!$A$3:$A$5001,O$5,BD!$B$3:$B$5001,$C$2,INDEX(BD!$A$3:$V$5001,0,$AX16),"&lt;&gt;")=0,"",SUMIFS(INDEX(BD!$A$3:$V$5001,0,$AX16),BD!$A$3:$A$5001,O$5,BD!$B$3:$B$5001,$C$2))))</f>
        <v/>
      </c>
      <c r="P16" s="172" t="str">
        <f>IF(OR($AW16=0,P$5=""),"",IF($AY16="taxa",IF(COUNTIFS(BD!$A$3:$A$5001,P$5,BD!$B$3:$B$5001,$C$2,BD!$M$3:$M$5001,"&lt;&gt;")=0,"",IFERROR(SUMIFS(BD!$M$3:$M$5001,BD!$A$3:$A$5001,P$5,BD!$B$3:$B$5001,$C$2)/SUMIFS(BD!$L$3:$L$5001,BD!$A$3:$A$5001,P$5,BD!$B$3:$B$5001,$C$2),"")),IF(COUNTIFS(BD!$A$3:$A$5001,P$5,BD!$B$3:$B$5001,$C$2,INDEX(BD!$A$3:$V$5001,0,$AX16),"&lt;&gt;")=0,"",SUMIFS(INDEX(BD!$A$3:$V$5001,0,$AX16),BD!$A$3:$A$5001,P$5,BD!$B$3:$B$5001,$C$2))))</f>
        <v/>
      </c>
      <c r="Q16" s="172" t="str">
        <f>IF(OR($AW16=0,Q$5=""),"",IF($AY16="taxa",IF(COUNTIFS(BD!$A$3:$A$5001,Q$5,BD!$B$3:$B$5001,$C$2,BD!$M$3:$M$5001,"&lt;&gt;")=0,"",IFERROR(SUMIFS(BD!$M$3:$M$5001,BD!$A$3:$A$5001,Q$5,BD!$B$3:$B$5001,$C$2)/SUMIFS(BD!$L$3:$L$5001,BD!$A$3:$A$5001,Q$5,BD!$B$3:$B$5001,$C$2),"")),IF(COUNTIFS(BD!$A$3:$A$5001,Q$5,BD!$B$3:$B$5001,$C$2,INDEX(BD!$A$3:$V$5001,0,$AX16),"&lt;&gt;")=0,"",SUMIFS(INDEX(BD!$A$3:$V$5001,0,$AX16),BD!$A$3:$A$5001,Q$5,BD!$B$3:$B$5001,$C$2))))</f>
        <v/>
      </c>
      <c r="R16" s="172" t="str">
        <f>IF(OR($AW16=0,R$5=""),"",IF($AY16="taxa",IF(COUNTIFS(BD!$A$3:$A$5001,R$5,BD!$B$3:$B$5001,$C$2,BD!$M$3:$M$5001,"&lt;&gt;")=0,"",IFERROR(SUMIFS(BD!$M$3:$M$5001,BD!$A$3:$A$5001,R$5,BD!$B$3:$B$5001,$C$2)/SUMIFS(BD!$L$3:$L$5001,BD!$A$3:$A$5001,R$5,BD!$B$3:$B$5001,$C$2),"")),IF(COUNTIFS(BD!$A$3:$A$5001,R$5,BD!$B$3:$B$5001,$C$2,INDEX(BD!$A$3:$V$5001,0,$AX16),"&lt;&gt;")=0,"",SUMIFS(INDEX(BD!$A$3:$V$5001,0,$AX16),BD!$A$3:$A$5001,R$5,BD!$B$3:$B$5001,$C$2))))</f>
        <v/>
      </c>
      <c r="S16" s="172" t="str">
        <f>IF(OR($AW16=0,S$5=""),"",IF($AY16="taxa",IF(COUNTIFS(BD!$A$3:$A$5001,S$5,BD!$B$3:$B$5001,$C$2,BD!$M$3:$M$5001,"&lt;&gt;")=0,"",IFERROR(SUMIFS(BD!$M$3:$M$5001,BD!$A$3:$A$5001,S$5,BD!$B$3:$B$5001,$C$2)/SUMIFS(BD!$L$3:$L$5001,BD!$A$3:$A$5001,S$5,BD!$B$3:$B$5001,$C$2),"")),IF(COUNTIFS(BD!$A$3:$A$5001,S$5,BD!$B$3:$B$5001,$C$2,INDEX(BD!$A$3:$V$5001,0,$AX16),"&lt;&gt;")=0,"",SUMIFS(INDEX(BD!$A$3:$V$5001,0,$AX16),BD!$A$3:$A$5001,S$5,BD!$B$3:$B$5001,$C$2))))</f>
        <v/>
      </c>
      <c r="T16" s="172" t="str">
        <f>IF(OR($AW16=0,T$5=""),"",IF($AY16="taxa",IF(COUNTIFS(BD!$A$3:$A$5001,T$5,BD!$B$3:$B$5001,$C$2,BD!$M$3:$M$5001,"&lt;&gt;")=0,"",IFERROR(SUMIFS(BD!$M$3:$M$5001,BD!$A$3:$A$5001,T$5,BD!$B$3:$B$5001,$C$2)/SUMIFS(BD!$L$3:$L$5001,BD!$A$3:$A$5001,T$5,BD!$B$3:$B$5001,$C$2),"")),IF(COUNTIFS(BD!$A$3:$A$5001,T$5,BD!$B$3:$B$5001,$C$2,INDEX(BD!$A$3:$V$5001,0,$AX16),"&lt;&gt;")=0,"",SUMIFS(INDEX(BD!$A$3:$V$5001,0,$AX16),BD!$A$3:$A$5001,T$5,BD!$B$3:$B$5001,$C$2))))</f>
        <v/>
      </c>
      <c r="U16" s="172" t="str">
        <f>IF(OR($AW16=0,U$5=""),"",IF($AY16="taxa",IF(COUNTIFS(BD!$A$3:$A$5001,U$5,BD!$B$3:$B$5001,$C$2,BD!$M$3:$M$5001,"&lt;&gt;")=0,"",IFERROR(SUMIFS(BD!$M$3:$M$5001,BD!$A$3:$A$5001,U$5,BD!$B$3:$B$5001,$C$2)/SUMIFS(BD!$L$3:$L$5001,BD!$A$3:$A$5001,U$5,BD!$B$3:$B$5001,$C$2),"")),IF(COUNTIFS(BD!$A$3:$A$5001,U$5,BD!$B$3:$B$5001,$C$2,INDEX(BD!$A$3:$V$5001,0,$AX16),"&lt;&gt;")=0,"",SUMIFS(INDEX(BD!$A$3:$V$5001,0,$AX16),BD!$A$3:$A$5001,U$5,BD!$B$3:$B$5001,$C$2))))</f>
        <v/>
      </c>
      <c r="V16" s="172" t="str">
        <f>IF(OR($AW16=0,V$5=""),"",IF($AY16="taxa",IF(COUNTIFS(BD!$A$3:$A$5001,V$5,BD!$B$3:$B$5001,$C$2,BD!$M$3:$M$5001,"&lt;&gt;")=0,"",IFERROR(SUMIFS(BD!$M$3:$M$5001,BD!$A$3:$A$5001,V$5,BD!$B$3:$B$5001,$C$2)/SUMIFS(BD!$L$3:$L$5001,BD!$A$3:$A$5001,V$5,BD!$B$3:$B$5001,$C$2),"")),IF(COUNTIFS(BD!$A$3:$A$5001,V$5,BD!$B$3:$B$5001,$C$2,INDEX(BD!$A$3:$V$5001,0,$AX16),"&lt;&gt;")=0,"",SUMIFS(INDEX(BD!$A$3:$V$5001,0,$AX16),BD!$A$3:$A$5001,V$5,BD!$B$3:$B$5001,$C$2))))</f>
        <v/>
      </c>
      <c r="W16" s="172" t="str">
        <f>IF(OR($AW16=0,W$5=""),"",IF($AY16="taxa",IF(COUNTIFS(BD!$A$3:$A$5001,W$5,BD!$B$3:$B$5001,$C$2,BD!$M$3:$M$5001,"&lt;&gt;")=0,"",IFERROR(SUMIFS(BD!$M$3:$M$5001,BD!$A$3:$A$5001,W$5,BD!$B$3:$B$5001,$C$2)/SUMIFS(BD!$L$3:$L$5001,BD!$A$3:$A$5001,W$5,BD!$B$3:$B$5001,$C$2),"")),IF(COUNTIFS(BD!$A$3:$A$5001,W$5,BD!$B$3:$B$5001,$C$2,INDEX(BD!$A$3:$V$5001,0,$AX16),"&lt;&gt;")=0,"",SUMIFS(INDEX(BD!$A$3:$V$5001,0,$AX16),BD!$A$3:$A$5001,W$5,BD!$B$3:$B$5001,$C$2))))</f>
        <v/>
      </c>
      <c r="X16" s="172" t="str">
        <f>IF(OR($AW16=0,X$5=""),"",IF($AY16="taxa",IF(COUNTIFS(BD!$A$3:$A$5001,X$5,BD!$B$3:$B$5001,$C$2,BD!$M$3:$M$5001,"&lt;&gt;")=0,"",IFERROR(SUMIFS(BD!$M$3:$M$5001,BD!$A$3:$A$5001,X$5,BD!$B$3:$B$5001,$C$2)/SUMIFS(BD!$L$3:$L$5001,BD!$A$3:$A$5001,X$5,BD!$B$3:$B$5001,$C$2),"")),IF(COUNTIFS(BD!$A$3:$A$5001,X$5,BD!$B$3:$B$5001,$C$2,INDEX(BD!$A$3:$V$5001,0,$AX16),"&lt;&gt;")=0,"",SUMIFS(INDEX(BD!$A$3:$V$5001,0,$AX16),BD!$A$3:$A$5001,X$5,BD!$B$3:$B$5001,$C$2))))</f>
        <v/>
      </c>
      <c r="Y16" s="172" t="str">
        <f>IF(OR($AW16=0,Y$5=""),"",IF($AY16="taxa",IF(COUNTIFS(BD!$A$3:$A$5001,Y$5,BD!$B$3:$B$5001,$C$2,BD!$M$3:$M$5001,"&lt;&gt;")=0,"",IFERROR(SUMIFS(BD!$M$3:$M$5001,BD!$A$3:$A$5001,Y$5,BD!$B$3:$B$5001,$C$2)/SUMIFS(BD!$L$3:$L$5001,BD!$A$3:$A$5001,Y$5,BD!$B$3:$B$5001,$C$2),"")),IF(COUNTIFS(BD!$A$3:$A$5001,Y$5,BD!$B$3:$B$5001,$C$2,INDEX(BD!$A$3:$V$5001,0,$AX16),"&lt;&gt;")=0,"",SUMIFS(INDEX(BD!$A$3:$V$5001,0,$AX16),BD!$A$3:$A$5001,Y$5,BD!$B$3:$B$5001,$C$2))))</f>
        <v/>
      </c>
      <c r="Z16" s="172" t="str">
        <f>IF(OR($AW16=0,Z$5=""),"",IF($AY16="taxa",IF(COUNTIFS(BD!$A$3:$A$5001,Z$5,BD!$B$3:$B$5001,$C$2,BD!$M$3:$M$5001,"&lt;&gt;")=0,"",IFERROR(SUMIFS(BD!$M$3:$M$5001,BD!$A$3:$A$5001,Z$5,BD!$B$3:$B$5001,$C$2)/SUMIFS(BD!$L$3:$L$5001,BD!$A$3:$A$5001,Z$5,BD!$B$3:$B$5001,$C$2),"")),IF(COUNTIFS(BD!$A$3:$A$5001,Z$5,BD!$B$3:$B$5001,$C$2,INDEX(BD!$A$3:$V$5001,0,$AX16),"&lt;&gt;")=0,"",SUMIFS(INDEX(BD!$A$3:$V$5001,0,$AX16),BD!$A$3:$A$5001,Z$5,BD!$B$3:$B$5001,$C$2))))</f>
        <v/>
      </c>
      <c r="AA16" s="172" t="str">
        <f>IF(OR($AW16=0,AA$5=""),"",IF($AY16="taxa",IF(COUNTIFS(BD!$A$3:$A$5001,AA$5,BD!$B$3:$B$5001,$C$2,BD!$M$3:$M$5001,"&lt;&gt;")=0,"",IFERROR(SUMIFS(BD!$M$3:$M$5001,BD!$A$3:$A$5001,AA$5,BD!$B$3:$B$5001,$C$2)/SUMIFS(BD!$L$3:$L$5001,BD!$A$3:$A$5001,AA$5,BD!$B$3:$B$5001,$C$2),"")),IF(COUNTIFS(BD!$A$3:$A$5001,AA$5,BD!$B$3:$B$5001,$C$2,INDEX(BD!$A$3:$V$5001,0,$AX16),"&lt;&gt;")=0,"",SUMIFS(INDEX(BD!$A$3:$V$5001,0,$AX16),BD!$A$3:$A$5001,AA$5,BD!$B$3:$B$5001,$C$2))))</f>
        <v/>
      </c>
      <c r="AB16" s="172" t="str">
        <f>IF(OR($AW16=0,AB$5=""),"",IF($AY16="taxa",IF(COUNTIFS(BD!$A$3:$A$5001,AB$5,BD!$B$3:$B$5001,$C$2,BD!$M$3:$M$5001,"&lt;&gt;")=0,"",IFERROR(SUMIFS(BD!$M$3:$M$5001,BD!$A$3:$A$5001,AB$5,BD!$B$3:$B$5001,$C$2)/SUMIFS(BD!$L$3:$L$5001,BD!$A$3:$A$5001,AB$5,BD!$B$3:$B$5001,$C$2),"")),IF(COUNTIFS(BD!$A$3:$A$5001,AB$5,BD!$B$3:$B$5001,$C$2,INDEX(BD!$A$3:$V$5001,0,$AX16),"&lt;&gt;")=0,"",SUMIFS(INDEX(BD!$A$3:$V$5001,0,$AX16),BD!$A$3:$A$5001,AB$5,BD!$B$3:$B$5001,$C$2))))</f>
        <v/>
      </c>
      <c r="AC16" s="172" t="str">
        <f>IF(OR($AW16=0,AC$5=""),"",IF($AY16="taxa",IF(COUNTIFS(BD!$A$3:$A$5001,AC$5,BD!$B$3:$B$5001,$C$2,BD!$M$3:$M$5001,"&lt;&gt;")=0,"",IFERROR(SUMIFS(BD!$M$3:$M$5001,BD!$A$3:$A$5001,AC$5,BD!$B$3:$B$5001,$C$2)/SUMIFS(BD!$L$3:$L$5001,BD!$A$3:$A$5001,AC$5,BD!$B$3:$B$5001,$C$2),"")),IF(COUNTIFS(BD!$A$3:$A$5001,AC$5,BD!$B$3:$B$5001,$C$2,INDEX(BD!$A$3:$V$5001,0,$AX16),"&lt;&gt;")=0,"",SUMIFS(INDEX(BD!$A$3:$V$5001,0,$AX16),BD!$A$3:$A$5001,AC$5,BD!$B$3:$B$5001,$C$2))))</f>
        <v/>
      </c>
      <c r="AD16" s="172" t="str">
        <f>IF(OR($AW16=0,AD$5=""),"",IF($AY16="taxa",IF(COUNTIFS(BD!$A$3:$A$5001,AD$5,BD!$B$3:$B$5001,$C$2,BD!$M$3:$M$5001,"&lt;&gt;")=0,"",IFERROR(SUMIFS(BD!$M$3:$M$5001,BD!$A$3:$A$5001,AD$5,BD!$B$3:$B$5001,$C$2)/SUMIFS(BD!$L$3:$L$5001,BD!$A$3:$A$5001,AD$5,BD!$B$3:$B$5001,$C$2),"")),IF(COUNTIFS(BD!$A$3:$A$5001,AD$5,BD!$B$3:$B$5001,$C$2,INDEX(BD!$A$3:$V$5001,0,$AX16),"&lt;&gt;")=0,"",SUMIFS(INDEX(BD!$A$3:$V$5001,0,$AX16),BD!$A$3:$A$5001,AD$5,BD!$B$3:$B$5001,$C$2))))</f>
        <v/>
      </c>
      <c r="AE16" s="172" t="str">
        <f>IF(OR($AW16=0,AE$5=""),"",IF($AY16="taxa",IF(COUNTIFS(BD!$A$3:$A$5001,AE$5,BD!$B$3:$B$5001,$C$2,BD!$M$3:$M$5001,"&lt;&gt;")=0,"",IFERROR(SUMIFS(BD!$M$3:$M$5001,BD!$A$3:$A$5001,AE$5,BD!$B$3:$B$5001,$C$2)/SUMIFS(BD!$L$3:$L$5001,BD!$A$3:$A$5001,AE$5,BD!$B$3:$B$5001,$C$2),"")),IF(COUNTIFS(BD!$A$3:$A$5001,AE$5,BD!$B$3:$B$5001,$C$2,INDEX(BD!$A$3:$V$5001,0,$AX16),"&lt;&gt;")=0,"",SUMIFS(INDEX(BD!$A$3:$V$5001,0,$AX16),BD!$A$3:$A$5001,AE$5,BD!$B$3:$B$5001,$C$2))))</f>
        <v/>
      </c>
      <c r="AF16" s="172" t="str">
        <f>IF(OR($AW16=0,AF$5=""),"",IF($AY16="taxa",IF(COUNTIFS(BD!$A$3:$A$5001,AF$5,BD!$B$3:$B$5001,$C$2,BD!$M$3:$M$5001,"&lt;&gt;")=0,"",IFERROR(SUMIFS(BD!$M$3:$M$5001,BD!$A$3:$A$5001,AF$5,BD!$B$3:$B$5001,$C$2)/SUMIFS(BD!$L$3:$L$5001,BD!$A$3:$A$5001,AF$5,BD!$B$3:$B$5001,$C$2),"")),IF(COUNTIFS(BD!$A$3:$A$5001,AF$5,BD!$B$3:$B$5001,$C$2,INDEX(BD!$A$3:$V$5001,0,$AX16),"&lt;&gt;")=0,"",SUMIFS(INDEX(BD!$A$3:$V$5001,0,$AX16),BD!$A$3:$A$5001,AF$5,BD!$B$3:$B$5001,$C$2))))</f>
        <v/>
      </c>
      <c r="AG16" s="172" t="str">
        <f>IF(OR($AW16=0,AG$5=""),"",IF($AY16="taxa",IF(COUNTIFS(BD!$A$3:$A$5001,AG$5,BD!$B$3:$B$5001,$C$2,BD!$M$3:$M$5001,"&lt;&gt;")=0,"",IFERROR(SUMIFS(BD!$M$3:$M$5001,BD!$A$3:$A$5001,AG$5,BD!$B$3:$B$5001,$C$2)/SUMIFS(BD!$L$3:$L$5001,BD!$A$3:$A$5001,AG$5,BD!$B$3:$B$5001,$C$2),"")),IF(COUNTIFS(BD!$A$3:$A$5001,AG$5,BD!$B$3:$B$5001,$C$2,INDEX(BD!$A$3:$V$5001,0,$AX16),"&lt;&gt;")=0,"",SUMIFS(INDEX(BD!$A$3:$V$5001,0,$AX16),BD!$A$3:$A$5001,AG$5,BD!$B$3:$B$5001,$C$2))))</f>
        <v/>
      </c>
      <c r="AH16" s="172" t="str">
        <f>IF(OR($AW16=0,AH$5=""),"",IF($AY16="taxa",IF(COUNTIFS(BD!$A$3:$A$5001,AH$5,BD!$B$3:$B$5001,$C$2,BD!$M$3:$M$5001,"&lt;&gt;")=0,"",IFERROR(SUMIFS(BD!$M$3:$M$5001,BD!$A$3:$A$5001,AH$5,BD!$B$3:$B$5001,$C$2)/SUMIFS(BD!$L$3:$L$5001,BD!$A$3:$A$5001,AH$5,BD!$B$3:$B$5001,$C$2),"")),IF(COUNTIFS(BD!$A$3:$A$5001,AH$5,BD!$B$3:$B$5001,$C$2,INDEX(BD!$A$3:$V$5001,0,$AX16),"&lt;&gt;")=0,"",SUMIFS(INDEX(BD!$A$3:$V$5001,0,$AX16),BD!$A$3:$A$5001,AH$5,BD!$B$3:$B$5001,$C$2))))</f>
        <v/>
      </c>
      <c r="AI16" s="172" t="str">
        <f>IF(OR($AW16=0,AI$5=""),"",IF($AY16="taxa",IF(COUNTIFS(BD!$A$3:$A$5001,AI$5,BD!$B$3:$B$5001,$C$2,BD!$M$3:$M$5001,"&lt;&gt;")=0,"",IFERROR(SUMIFS(BD!$M$3:$M$5001,BD!$A$3:$A$5001,AI$5,BD!$B$3:$B$5001,$C$2)/SUMIFS(BD!$L$3:$L$5001,BD!$A$3:$A$5001,AI$5,BD!$B$3:$B$5001,$C$2),"")),IF(COUNTIFS(BD!$A$3:$A$5001,AI$5,BD!$B$3:$B$5001,$C$2,INDEX(BD!$A$3:$V$5001,0,$AX16),"&lt;&gt;")=0,"",SUMIFS(INDEX(BD!$A$3:$V$5001,0,$AX16),BD!$A$3:$A$5001,AI$5,BD!$B$3:$B$5001,$C$2))))</f>
        <v/>
      </c>
      <c r="AJ16" s="173" t="str">
        <f>IF(OR($AW16=0,AJ$5=""),"",IF($AY16="taxa",IF(COUNTIFS(BD!$A$3:$A$5001,AJ$5,BD!$B$3:$B$5001,$C$2,BD!$M$3:$M$5001,"&lt;&gt;")=0,"",IFERROR(SUMIFS(BD!$M$3:$M$5001,BD!$A$3:$A$5001,AJ$5,BD!$B$3:$B$5001,$C$2)/SUMIFS(BD!$L$3:$L$5001,BD!$A$3:$A$5001,AJ$5,BD!$B$3:$B$5001,$C$2),"")),IF(COUNTIFS(BD!$A$3:$A$5001,AJ$5,BD!$B$3:$B$5001,$C$2,INDEX(BD!$A$3:$V$5001,0,$AX16),"&lt;&gt;")=0,"",SUMIFS(INDEX(BD!$A$3:$V$5001,0,$AX16),BD!$A$3:$A$5001,AJ$5,BD!$B$3:$B$5001,$C$2))))</f>
        <v/>
      </c>
      <c r="AK16" s="169" t="str">
        <f>IF($AW16=0,"",IF($AY16="fluxo",IF(COUNT(F16:AJ16)=0,"",SUM(F16:AJ16)),IFERROR(LOOKUP(9.99E+307,F16:AJ16),"")))</f>
        <v/>
      </c>
      <c r="AN16" s="159" t="inlineStr">
        <is>
          <t xml:space="preserve">Posições Disponíveis</t>
        </is>
      </c>
      <c r="AO16" s="159" t="inlineStr">
        <is>
          <t xml:space="preserve">OCUPAÇÃO (P.P)</t>
        </is>
      </c>
      <c r="AP16" s="159">
        <v>12</v>
      </c>
      <c r="AQ16" s="159" t="inlineStr">
        <is>
          <t xml:space="preserve">disp</t>
        </is>
      </c>
      <c r="AR16" s="159">
        <v>10</v>
      </c>
      <c r="AS16" s="159" t="inlineStr">
        <is>
          <t xml:space="preserve">int</t>
        </is>
      </c>
      <c r="AT16" s="159">
        <f>IF($C$2="",0,IF(IFERROR(INDEX(Config!$M$35:$M$54,MATCH($C$2,Config!$B$35:$B$54,0)),"Sim")="Não",0,1))</f>
        <v>1</v>
      </c>
      <c r="AU16" s="159">
        <f>AU15+AT16</f>
        <v>10</v>
      </c>
      <c r="AW16" s="159">
        <f>IFERROR(MATCH(10,$AU$7:$AU$26,0),0)</f>
        <v>10</v>
      </c>
      <c r="AX16" s="159">
        <f>IF($AW16=0,"",INDEX($AP$7:$AP$26,$AW16))</f>
        <v>12</v>
      </c>
      <c r="AY16" s="159" t="str">
        <f>IF($AW16=0,"",INDEX($AQ$7:$AQ$26,$AW16))</f>
        <v>disp</v>
      </c>
      <c r="AZ16" s="159" t="str">
        <f>IF($AW16=0,"",INDEX($AS$7:$AS$26,$AW16))</f>
        <v>int</v>
      </c>
      <c r="BA16" s="159">
        <f>IF($AW16=0,"",INDEX($AR$7:$AR$26,$AW16))</f>
        <v>10</v>
      </c>
    </row>
    <row r="17" ht="15.75" customHeight="1">
      <c r="A17" s="181"/>
      <c r="B17" s="167" t="str">
        <f>IF($AW17=0,"",INDEX($AO$7:$AO$26,$AW17))</f>
        <v>OCUPAÇÃO (P.P)</v>
      </c>
      <c r="C17" s="168" t="str">
        <f>IF($AW17=0,"",INDEX($AN$7:$AN$26,$AW17))</f>
        <v>Posições Ocupadas</v>
      </c>
      <c r="D17" s="169" t="str">
        <f>IF(OR($AW17=0,N($BA17)=0),"",IFERROR(1/(1/INDEX(BD!$Y$23:$AS$42,$BA17,MATCH($C$2,BD!$Y$22:$AS$22,0))),""))</f>
        <v/>
      </c>
      <c r="E17" s="170"/>
      <c r="F17" s="171" t="str">
        <f>IF(OR($AW17=0,F$5=""),"",IF($AY17="taxa",IF(COUNTIFS(BD!$A$3:$A$5001,F$5,BD!$B$3:$B$5001,$C$2,BD!$M$3:$M$5001,"&lt;&gt;")=0,"",IFERROR(SUMIFS(BD!$M$3:$M$5001,BD!$A$3:$A$5001,F$5,BD!$B$3:$B$5001,$C$2)/SUMIFS(BD!$L$3:$L$5001,BD!$A$3:$A$5001,F$5,BD!$B$3:$B$5001,$C$2),"")),IF(COUNTIFS(BD!$A$3:$A$5001,F$5,BD!$B$3:$B$5001,$C$2,INDEX(BD!$A$3:$V$5001,0,$AX17),"&lt;&gt;")=0,"",SUMIFS(INDEX(BD!$A$3:$V$5001,0,$AX17),BD!$A$3:$A$5001,F$5,BD!$B$3:$B$5001,$C$2))))</f>
        <v/>
      </c>
      <c r="G17" s="172" t="str">
        <f>IF(OR($AW17=0,G$5=""),"",IF($AY17="taxa",IF(COUNTIFS(BD!$A$3:$A$5001,G$5,BD!$B$3:$B$5001,$C$2,BD!$M$3:$M$5001,"&lt;&gt;")=0,"",IFERROR(SUMIFS(BD!$M$3:$M$5001,BD!$A$3:$A$5001,G$5,BD!$B$3:$B$5001,$C$2)/SUMIFS(BD!$L$3:$L$5001,BD!$A$3:$A$5001,G$5,BD!$B$3:$B$5001,$C$2),"")),IF(COUNTIFS(BD!$A$3:$A$5001,G$5,BD!$B$3:$B$5001,$C$2,INDEX(BD!$A$3:$V$5001,0,$AX17),"&lt;&gt;")=0,"",SUMIFS(INDEX(BD!$A$3:$V$5001,0,$AX17),BD!$A$3:$A$5001,G$5,BD!$B$3:$B$5001,$C$2))))</f>
        <v/>
      </c>
      <c r="H17" s="172" t="str">
        <f>IF(OR($AW17=0,H$5=""),"",IF($AY17="taxa",IF(COUNTIFS(BD!$A$3:$A$5001,H$5,BD!$B$3:$B$5001,$C$2,BD!$M$3:$M$5001,"&lt;&gt;")=0,"",IFERROR(SUMIFS(BD!$M$3:$M$5001,BD!$A$3:$A$5001,H$5,BD!$B$3:$B$5001,$C$2)/SUMIFS(BD!$L$3:$L$5001,BD!$A$3:$A$5001,H$5,BD!$B$3:$B$5001,$C$2),"")),IF(COUNTIFS(BD!$A$3:$A$5001,H$5,BD!$B$3:$B$5001,$C$2,INDEX(BD!$A$3:$V$5001,0,$AX17),"&lt;&gt;")=0,"",SUMIFS(INDEX(BD!$A$3:$V$5001,0,$AX17),BD!$A$3:$A$5001,H$5,BD!$B$3:$B$5001,$C$2))))</f>
        <v/>
      </c>
      <c r="I17" s="172" t="str">
        <f>IF(OR($AW17=0,I$5=""),"",IF($AY17="taxa",IF(COUNTIFS(BD!$A$3:$A$5001,I$5,BD!$B$3:$B$5001,$C$2,BD!$M$3:$M$5001,"&lt;&gt;")=0,"",IFERROR(SUMIFS(BD!$M$3:$M$5001,BD!$A$3:$A$5001,I$5,BD!$B$3:$B$5001,$C$2)/SUMIFS(BD!$L$3:$L$5001,BD!$A$3:$A$5001,I$5,BD!$B$3:$B$5001,$C$2),"")),IF(COUNTIFS(BD!$A$3:$A$5001,I$5,BD!$B$3:$B$5001,$C$2,INDEX(BD!$A$3:$V$5001,0,$AX17),"&lt;&gt;")=0,"",SUMIFS(INDEX(BD!$A$3:$V$5001,0,$AX17),BD!$A$3:$A$5001,I$5,BD!$B$3:$B$5001,$C$2))))</f>
        <v/>
      </c>
      <c r="J17" s="172" t="str">
        <f>IF(OR($AW17=0,J$5=""),"",IF($AY17="taxa",IF(COUNTIFS(BD!$A$3:$A$5001,J$5,BD!$B$3:$B$5001,$C$2,BD!$M$3:$M$5001,"&lt;&gt;")=0,"",IFERROR(SUMIFS(BD!$M$3:$M$5001,BD!$A$3:$A$5001,J$5,BD!$B$3:$B$5001,$C$2)/SUMIFS(BD!$L$3:$L$5001,BD!$A$3:$A$5001,J$5,BD!$B$3:$B$5001,$C$2),"")),IF(COUNTIFS(BD!$A$3:$A$5001,J$5,BD!$B$3:$B$5001,$C$2,INDEX(BD!$A$3:$V$5001,0,$AX17),"&lt;&gt;")=0,"",SUMIFS(INDEX(BD!$A$3:$V$5001,0,$AX17),BD!$A$3:$A$5001,J$5,BD!$B$3:$B$5001,$C$2))))</f>
        <v/>
      </c>
      <c r="K17" s="172" t="str">
        <f>IF(OR($AW17=0,K$5=""),"",IF($AY17="taxa",IF(COUNTIFS(BD!$A$3:$A$5001,K$5,BD!$B$3:$B$5001,$C$2,BD!$M$3:$M$5001,"&lt;&gt;")=0,"",IFERROR(SUMIFS(BD!$M$3:$M$5001,BD!$A$3:$A$5001,K$5,BD!$B$3:$B$5001,$C$2)/SUMIFS(BD!$L$3:$L$5001,BD!$A$3:$A$5001,K$5,BD!$B$3:$B$5001,$C$2),"")),IF(COUNTIFS(BD!$A$3:$A$5001,K$5,BD!$B$3:$B$5001,$C$2,INDEX(BD!$A$3:$V$5001,0,$AX17),"&lt;&gt;")=0,"",SUMIFS(INDEX(BD!$A$3:$V$5001,0,$AX17),BD!$A$3:$A$5001,K$5,BD!$B$3:$B$5001,$C$2))))</f>
        <v/>
      </c>
      <c r="L17" s="172" t="str">
        <f>IF(OR($AW17=0,L$5=""),"",IF($AY17="taxa",IF(COUNTIFS(BD!$A$3:$A$5001,L$5,BD!$B$3:$B$5001,$C$2,BD!$M$3:$M$5001,"&lt;&gt;")=0,"",IFERROR(SUMIFS(BD!$M$3:$M$5001,BD!$A$3:$A$5001,L$5,BD!$B$3:$B$5001,$C$2)/SUMIFS(BD!$L$3:$L$5001,BD!$A$3:$A$5001,L$5,BD!$B$3:$B$5001,$C$2),"")),IF(COUNTIFS(BD!$A$3:$A$5001,L$5,BD!$B$3:$B$5001,$C$2,INDEX(BD!$A$3:$V$5001,0,$AX17),"&lt;&gt;")=0,"",SUMIFS(INDEX(BD!$A$3:$V$5001,0,$AX17),BD!$A$3:$A$5001,L$5,BD!$B$3:$B$5001,$C$2))))</f>
        <v/>
      </c>
      <c r="M17" s="172" t="str">
        <f>IF(OR($AW17=0,M$5=""),"",IF($AY17="taxa",IF(COUNTIFS(BD!$A$3:$A$5001,M$5,BD!$B$3:$B$5001,$C$2,BD!$M$3:$M$5001,"&lt;&gt;")=0,"",IFERROR(SUMIFS(BD!$M$3:$M$5001,BD!$A$3:$A$5001,M$5,BD!$B$3:$B$5001,$C$2)/SUMIFS(BD!$L$3:$L$5001,BD!$A$3:$A$5001,M$5,BD!$B$3:$B$5001,$C$2),"")),IF(COUNTIFS(BD!$A$3:$A$5001,M$5,BD!$B$3:$B$5001,$C$2,INDEX(BD!$A$3:$V$5001,0,$AX17),"&lt;&gt;")=0,"",SUMIFS(INDEX(BD!$A$3:$V$5001,0,$AX17),BD!$A$3:$A$5001,M$5,BD!$B$3:$B$5001,$C$2))))</f>
        <v/>
      </c>
      <c r="N17" s="172" t="str">
        <f>IF(OR($AW17=0,N$5=""),"",IF($AY17="taxa",IF(COUNTIFS(BD!$A$3:$A$5001,N$5,BD!$B$3:$B$5001,$C$2,BD!$M$3:$M$5001,"&lt;&gt;")=0,"",IFERROR(SUMIFS(BD!$M$3:$M$5001,BD!$A$3:$A$5001,N$5,BD!$B$3:$B$5001,$C$2)/SUMIFS(BD!$L$3:$L$5001,BD!$A$3:$A$5001,N$5,BD!$B$3:$B$5001,$C$2),"")),IF(COUNTIFS(BD!$A$3:$A$5001,N$5,BD!$B$3:$B$5001,$C$2,INDEX(BD!$A$3:$V$5001,0,$AX17),"&lt;&gt;")=0,"",SUMIFS(INDEX(BD!$A$3:$V$5001,0,$AX17),BD!$A$3:$A$5001,N$5,BD!$B$3:$B$5001,$C$2))))</f>
        <v/>
      </c>
      <c r="O17" s="172" t="str">
        <f>IF(OR($AW17=0,O$5=""),"",IF($AY17="taxa",IF(COUNTIFS(BD!$A$3:$A$5001,O$5,BD!$B$3:$B$5001,$C$2,BD!$M$3:$M$5001,"&lt;&gt;")=0,"",IFERROR(SUMIFS(BD!$M$3:$M$5001,BD!$A$3:$A$5001,O$5,BD!$B$3:$B$5001,$C$2)/SUMIFS(BD!$L$3:$L$5001,BD!$A$3:$A$5001,O$5,BD!$B$3:$B$5001,$C$2),"")),IF(COUNTIFS(BD!$A$3:$A$5001,O$5,BD!$B$3:$B$5001,$C$2,INDEX(BD!$A$3:$V$5001,0,$AX17),"&lt;&gt;")=0,"",SUMIFS(INDEX(BD!$A$3:$V$5001,0,$AX17),BD!$A$3:$A$5001,O$5,BD!$B$3:$B$5001,$C$2))))</f>
        <v/>
      </c>
      <c r="P17" s="172" t="str">
        <f>IF(OR($AW17=0,P$5=""),"",IF($AY17="taxa",IF(COUNTIFS(BD!$A$3:$A$5001,P$5,BD!$B$3:$B$5001,$C$2,BD!$M$3:$M$5001,"&lt;&gt;")=0,"",IFERROR(SUMIFS(BD!$M$3:$M$5001,BD!$A$3:$A$5001,P$5,BD!$B$3:$B$5001,$C$2)/SUMIFS(BD!$L$3:$L$5001,BD!$A$3:$A$5001,P$5,BD!$B$3:$B$5001,$C$2),"")),IF(COUNTIFS(BD!$A$3:$A$5001,P$5,BD!$B$3:$B$5001,$C$2,INDEX(BD!$A$3:$V$5001,0,$AX17),"&lt;&gt;")=0,"",SUMIFS(INDEX(BD!$A$3:$V$5001,0,$AX17),BD!$A$3:$A$5001,P$5,BD!$B$3:$B$5001,$C$2))))</f>
        <v/>
      </c>
      <c r="Q17" s="172" t="str">
        <f>IF(OR($AW17=0,Q$5=""),"",IF($AY17="taxa",IF(COUNTIFS(BD!$A$3:$A$5001,Q$5,BD!$B$3:$B$5001,$C$2,BD!$M$3:$M$5001,"&lt;&gt;")=0,"",IFERROR(SUMIFS(BD!$M$3:$M$5001,BD!$A$3:$A$5001,Q$5,BD!$B$3:$B$5001,$C$2)/SUMIFS(BD!$L$3:$L$5001,BD!$A$3:$A$5001,Q$5,BD!$B$3:$B$5001,$C$2),"")),IF(COUNTIFS(BD!$A$3:$A$5001,Q$5,BD!$B$3:$B$5001,$C$2,INDEX(BD!$A$3:$V$5001,0,$AX17),"&lt;&gt;")=0,"",SUMIFS(INDEX(BD!$A$3:$V$5001,0,$AX17),BD!$A$3:$A$5001,Q$5,BD!$B$3:$B$5001,$C$2))))</f>
        <v/>
      </c>
      <c r="R17" s="172" t="str">
        <f>IF(OR($AW17=0,R$5=""),"",IF($AY17="taxa",IF(COUNTIFS(BD!$A$3:$A$5001,R$5,BD!$B$3:$B$5001,$C$2,BD!$M$3:$M$5001,"&lt;&gt;")=0,"",IFERROR(SUMIFS(BD!$M$3:$M$5001,BD!$A$3:$A$5001,R$5,BD!$B$3:$B$5001,$C$2)/SUMIFS(BD!$L$3:$L$5001,BD!$A$3:$A$5001,R$5,BD!$B$3:$B$5001,$C$2),"")),IF(COUNTIFS(BD!$A$3:$A$5001,R$5,BD!$B$3:$B$5001,$C$2,INDEX(BD!$A$3:$V$5001,0,$AX17),"&lt;&gt;")=0,"",SUMIFS(INDEX(BD!$A$3:$V$5001,0,$AX17),BD!$A$3:$A$5001,R$5,BD!$B$3:$B$5001,$C$2))))</f>
        <v/>
      </c>
      <c r="S17" s="172" t="str">
        <f>IF(OR($AW17=0,S$5=""),"",IF($AY17="taxa",IF(COUNTIFS(BD!$A$3:$A$5001,S$5,BD!$B$3:$B$5001,$C$2,BD!$M$3:$M$5001,"&lt;&gt;")=0,"",IFERROR(SUMIFS(BD!$M$3:$M$5001,BD!$A$3:$A$5001,S$5,BD!$B$3:$B$5001,$C$2)/SUMIFS(BD!$L$3:$L$5001,BD!$A$3:$A$5001,S$5,BD!$B$3:$B$5001,$C$2),"")),IF(COUNTIFS(BD!$A$3:$A$5001,S$5,BD!$B$3:$B$5001,$C$2,INDEX(BD!$A$3:$V$5001,0,$AX17),"&lt;&gt;")=0,"",SUMIFS(INDEX(BD!$A$3:$V$5001,0,$AX17),BD!$A$3:$A$5001,S$5,BD!$B$3:$B$5001,$C$2))))</f>
        <v/>
      </c>
      <c r="T17" s="172" t="str">
        <f>IF(OR($AW17=0,T$5=""),"",IF($AY17="taxa",IF(COUNTIFS(BD!$A$3:$A$5001,T$5,BD!$B$3:$B$5001,$C$2,BD!$M$3:$M$5001,"&lt;&gt;")=0,"",IFERROR(SUMIFS(BD!$M$3:$M$5001,BD!$A$3:$A$5001,T$5,BD!$B$3:$B$5001,$C$2)/SUMIFS(BD!$L$3:$L$5001,BD!$A$3:$A$5001,T$5,BD!$B$3:$B$5001,$C$2),"")),IF(COUNTIFS(BD!$A$3:$A$5001,T$5,BD!$B$3:$B$5001,$C$2,INDEX(BD!$A$3:$V$5001,0,$AX17),"&lt;&gt;")=0,"",SUMIFS(INDEX(BD!$A$3:$V$5001,0,$AX17),BD!$A$3:$A$5001,T$5,BD!$B$3:$B$5001,$C$2))))</f>
        <v/>
      </c>
      <c r="U17" s="172" t="str">
        <f>IF(OR($AW17=0,U$5=""),"",IF($AY17="taxa",IF(COUNTIFS(BD!$A$3:$A$5001,U$5,BD!$B$3:$B$5001,$C$2,BD!$M$3:$M$5001,"&lt;&gt;")=0,"",IFERROR(SUMIFS(BD!$M$3:$M$5001,BD!$A$3:$A$5001,U$5,BD!$B$3:$B$5001,$C$2)/SUMIFS(BD!$L$3:$L$5001,BD!$A$3:$A$5001,U$5,BD!$B$3:$B$5001,$C$2),"")),IF(COUNTIFS(BD!$A$3:$A$5001,U$5,BD!$B$3:$B$5001,$C$2,INDEX(BD!$A$3:$V$5001,0,$AX17),"&lt;&gt;")=0,"",SUMIFS(INDEX(BD!$A$3:$V$5001,0,$AX17),BD!$A$3:$A$5001,U$5,BD!$B$3:$B$5001,$C$2))))</f>
        <v/>
      </c>
      <c r="V17" s="172" t="str">
        <f>IF(OR($AW17=0,V$5=""),"",IF($AY17="taxa",IF(COUNTIFS(BD!$A$3:$A$5001,V$5,BD!$B$3:$B$5001,$C$2,BD!$M$3:$M$5001,"&lt;&gt;")=0,"",IFERROR(SUMIFS(BD!$M$3:$M$5001,BD!$A$3:$A$5001,V$5,BD!$B$3:$B$5001,$C$2)/SUMIFS(BD!$L$3:$L$5001,BD!$A$3:$A$5001,V$5,BD!$B$3:$B$5001,$C$2),"")),IF(COUNTIFS(BD!$A$3:$A$5001,V$5,BD!$B$3:$B$5001,$C$2,INDEX(BD!$A$3:$V$5001,0,$AX17),"&lt;&gt;")=0,"",SUMIFS(INDEX(BD!$A$3:$V$5001,0,$AX17),BD!$A$3:$A$5001,V$5,BD!$B$3:$B$5001,$C$2))))</f>
        <v/>
      </c>
      <c r="W17" s="172" t="str">
        <f>IF(OR($AW17=0,W$5=""),"",IF($AY17="taxa",IF(COUNTIFS(BD!$A$3:$A$5001,W$5,BD!$B$3:$B$5001,$C$2,BD!$M$3:$M$5001,"&lt;&gt;")=0,"",IFERROR(SUMIFS(BD!$M$3:$M$5001,BD!$A$3:$A$5001,W$5,BD!$B$3:$B$5001,$C$2)/SUMIFS(BD!$L$3:$L$5001,BD!$A$3:$A$5001,W$5,BD!$B$3:$B$5001,$C$2),"")),IF(COUNTIFS(BD!$A$3:$A$5001,W$5,BD!$B$3:$B$5001,$C$2,INDEX(BD!$A$3:$V$5001,0,$AX17),"&lt;&gt;")=0,"",SUMIFS(INDEX(BD!$A$3:$V$5001,0,$AX17),BD!$A$3:$A$5001,W$5,BD!$B$3:$B$5001,$C$2))))</f>
        <v/>
      </c>
      <c r="X17" s="172" t="str">
        <f>IF(OR($AW17=0,X$5=""),"",IF($AY17="taxa",IF(COUNTIFS(BD!$A$3:$A$5001,X$5,BD!$B$3:$B$5001,$C$2,BD!$M$3:$M$5001,"&lt;&gt;")=0,"",IFERROR(SUMIFS(BD!$M$3:$M$5001,BD!$A$3:$A$5001,X$5,BD!$B$3:$B$5001,$C$2)/SUMIFS(BD!$L$3:$L$5001,BD!$A$3:$A$5001,X$5,BD!$B$3:$B$5001,$C$2),"")),IF(COUNTIFS(BD!$A$3:$A$5001,X$5,BD!$B$3:$B$5001,$C$2,INDEX(BD!$A$3:$V$5001,0,$AX17),"&lt;&gt;")=0,"",SUMIFS(INDEX(BD!$A$3:$V$5001,0,$AX17),BD!$A$3:$A$5001,X$5,BD!$B$3:$B$5001,$C$2))))</f>
        <v/>
      </c>
      <c r="Y17" s="172" t="str">
        <f>IF(OR($AW17=0,Y$5=""),"",IF($AY17="taxa",IF(COUNTIFS(BD!$A$3:$A$5001,Y$5,BD!$B$3:$B$5001,$C$2,BD!$M$3:$M$5001,"&lt;&gt;")=0,"",IFERROR(SUMIFS(BD!$M$3:$M$5001,BD!$A$3:$A$5001,Y$5,BD!$B$3:$B$5001,$C$2)/SUMIFS(BD!$L$3:$L$5001,BD!$A$3:$A$5001,Y$5,BD!$B$3:$B$5001,$C$2),"")),IF(COUNTIFS(BD!$A$3:$A$5001,Y$5,BD!$B$3:$B$5001,$C$2,INDEX(BD!$A$3:$V$5001,0,$AX17),"&lt;&gt;")=0,"",SUMIFS(INDEX(BD!$A$3:$V$5001,0,$AX17),BD!$A$3:$A$5001,Y$5,BD!$B$3:$B$5001,$C$2))))</f>
        <v/>
      </c>
      <c r="Z17" s="172" t="str">
        <f>IF(OR($AW17=0,Z$5=""),"",IF($AY17="taxa",IF(COUNTIFS(BD!$A$3:$A$5001,Z$5,BD!$B$3:$B$5001,$C$2,BD!$M$3:$M$5001,"&lt;&gt;")=0,"",IFERROR(SUMIFS(BD!$M$3:$M$5001,BD!$A$3:$A$5001,Z$5,BD!$B$3:$B$5001,$C$2)/SUMIFS(BD!$L$3:$L$5001,BD!$A$3:$A$5001,Z$5,BD!$B$3:$B$5001,$C$2),"")),IF(COUNTIFS(BD!$A$3:$A$5001,Z$5,BD!$B$3:$B$5001,$C$2,INDEX(BD!$A$3:$V$5001,0,$AX17),"&lt;&gt;")=0,"",SUMIFS(INDEX(BD!$A$3:$V$5001,0,$AX17),BD!$A$3:$A$5001,Z$5,BD!$B$3:$B$5001,$C$2))))</f>
        <v/>
      </c>
      <c r="AA17" s="172" t="str">
        <f>IF(OR($AW17=0,AA$5=""),"",IF($AY17="taxa",IF(COUNTIFS(BD!$A$3:$A$5001,AA$5,BD!$B$3:$B$5001,$C$2,BD!$M$3:$M$5001,"&lt;&gt;")=0,"",IFERROR(SUMIFS(BD!$M$3:$M$5001,BD!$A$3:$A$5001,AA$5,BD!$B$3:$B$5001,$C$2)/SUMIFS(BD!$L$3:$L$5001,BD!$A$3:$A$5001,AA$5,BD!$B$3:$B$5001,$C$2),"")),IF(COUNTIFS(BD!$A$3:$A$5001,AA$5,BD!$B$3:$B$5001,$C$2,INDEX(BD!$A$3:$V$5001,0,$AX17),"&lt;&gt;")=0,"",SUMIFS(INDEX(BD!$A$3:$V$5001,0,$AX17),BD!$A$3:$A$5001,AA$5,BD!$B$3:$B$5001,$C$2))))</f>
        <v/>
      </c>
      <c r="AB17" s="172" t="str">
        <f>IF(OR($AW17=0,AB$5=""),"",IF($AY17="taxa",IF(COUNTIFS(BD!$A$3:$A$5001,AB$5,BD!$B$3:$B$5001,$C$2,BD!$M$3:$M$5001,"&lt;&gt;")=0,"",IFERROR(SUMIFS(BD!$M$3:$M$5001,BD!$A$3:$A$5001,AB$5,BD!$B$3:$B$5001,$C$2)/SUMIFS(BD!$L$3:$L$5001,BD!$A$3:$A$5001,AB$5,BD!$B$3:$B$5001,$C$2),"")),IF(COUNTIFS(BD!$A$3:$A$5001,AB$5,BD!$B$3:$B$5001,$C$2,INDEX(BD!$A$3:$V$5001,0,$AX17),"&lt;&gt;")=0,"",SUMIFS(INDEX(BD!$A$3:$V$5001,0,$AX17),BD!$A$3:$A$5001,AB$5,BD!$B$3:$B$5001,$C$2))))</f>
        <v/>
      </c>
      <c r="AC17" s="172" t="str">
        <f>IF(OR($AW17=0,AC$5=""),"",IF($AY17="taxa",IF(COUNTIFS(BD!$A$3:$A$5001,AC$5,BD!$B$3:$B$5001,$C$2,BD!$M$3:$M$5001,"&lt;&gt;")=0,"",IFERROR(SUMIFS(BD!$M$3:$M$5001,BD!$A$3:$A$5001,AC$5,BD!$B$3:$B$5001,$C$2)/SUMIFS(BD!$L$3:$L$5001,BD!$A$3:$A$5001,AC$5,BD!$B$3:$B$5001,$C$2),"")),IF(COUNTIFS(BD!$A$3:$A$5001,AC$5,BD!$B$3:$B$5001,$C$2,INDEX(BD!$A$3:$V$5001,0,$AX17),"&lt;&gt;")=0,"",SUMIFS(INDEX(BD!$A$3:$V$5001,0,$AX17),BD!$A$3:$A$5001,AC$5,BD!$B$3:$B$5001,$C$2))))</f>
        <v/>
      </c>
      <c r="AD17" s="172" t="str">
        <f>IF(OR($AW17=0,AD$5=""),"",IF($AY17="taxa",IF(COUNTIFS(BD!$A$3:$A$5001,AD$5,BD!$B$3:$B$5001,$C$2,BD!$M$3:$M$5001,"&lt;&gt;")=0,"",IFERROR(SUMIFS(BD!$M$3:$M$5001,BD!$A$3:$A$5001,AD$5,BD!$B$3:$B$5001,$C$2)/SUMIFS(BD!$L$3:$L$5001,BD!$A$3:$A$5001,AD$5,BD!$B$3:$B$5001,$C$2),"")),IF(COUNTIFS(BD!$A$3:$A$5001,AD$5,BD!$B$3:$B$5001,$C$2,INDEX(BD!$A$3:$V$5001,0,$AX17),"&lt;&gt;")=0,"",SUMIFS(INDEX(BD!$A$3:$V$5001,0,$AX17),BD!$A$3:$A$5001,AD$5,BD!$B$3:$B$5001,$C$2))))</f>
        <v/>
      </c>
      <c r="AE17" s="172" t="str">
        <f>IF(OR($AW17=0,AE$5=""),"",IF($AY17="taxa",IF(COUNTIFS(BD!$A$3:$A$5001,AE$5,BD!$B$3:$B$5001,$C$2,BD!$M$3:$M$5001,"&lt;&gt;")=0,"",IFERROR(SUMIFS(BD!$M$3:$M$5001,BD!$A$3:$A$5001,AE$5,BD!$B$3:$B$5001,$C$2)/SUMIFS(BD!$L$3:$L$5001,BD!$A$3:$A$5001,AE$5,BD!$B$3:$B$5001,$C$2),"")),IF(COUNTIFS(BD!$A$3:$A$5001,AE$5,BD!$B$3:$B$5001,$C$2,INDEX(BD!$A$3:$V$5001,0,$AX17),"&lt;&gt;")=0,"",SUMIFS(INDEX(BD!$A$3:$V$5001,0,$AX17),BD!$A$3:$A$5001,AE$5,BD!$B$3:$B$5001,$C$2))))</f>
        <v/>
      </c>
      <c r="AF17" s="172" t="str">
        <f>IF(OR($AW17=0,AF$5=""),"",IF($AY17="taxa",IF(COUNTIFS(BD!$A$3:$A$5001,AF$5,BD!$B$3:$B$5001,$C$2,BD!$M$3:$M$5001,"&lt;&gt;")=0,"",IFERROR(SUMIFS(BD!$M$3:$M$5001,BD!$A$3:$A$5001,AF$5,BD!$B$3:$B$5001,$C$2)/SUMIFS(BD!$L$3:$L$5001,BD!$A$3:$A$5001,AF$5,BD!$B$3:$B$5001,$C$2),"")),IF(COUNTIFS(BD!$A$3:$A$5001,AF$5,BD!$B$3:$B$5001,$C$2,INDEX(BD!$A$3:$V$5001,0,$AX17),"&lt;&gt;")=0,"",SUMIFS(INDEX(BD!$A$3:$V$5001,0,$AX17),BD!$A$3:$A$5001,AF$5,BD!$B$3:$B$5001,$C$2))))</f>
        <v/>
      </c>
      <c r="AG17" s="172" t="str">
        <f>IF(OR($AW17=0,AG$5=""),"",IF($AY17="taxa",IF(COUNTIFS(BD!$A$3:$A$5001,AG$5,BD!$B$3:$B$5001,$C$2,BD!$M$3:$M$5001,"&lt;&gt;")=0,"",IFERROR(SUMIFS(BD!$M$3:$M$5001,BD!$A$3:$A$5001,AG$5,BD!$B$3:$B$5001,$C$2)/SUMIFS(BD!$L$3:$L$5001,BD!$A$3:$A$5001,AG$5,BD!$B$3:$B$5001,$C$2),"")),IF(COUNTIFS(BD!$A$3:$A$5001,AG$5,BD!$B$3:$B$5001,$C$2,INDEX(BD!$A$3:$V$5001,0,$AX17),"&lt;&gt;")=0,"",SUMIFS(INDEX(BD!$A$3:$V$5001,0,$AX17),BD!$A$3:$A$5001,AG$5,BD!$B$3:$B$5001,$C$2))))</f>
        <v/>
      </c>
      <c r="AH17" s="172" t="str">
        <f>IF(OR($AW17=0,AH$5=""),"",IF($AY17="taxa",IF(COUNTIFS(BD!$A$3:$A$5001,AH$5,BD!$B$3:$B$5001,$C$2,BD!$M$3:$M$5001,"&lt;&gt;")=0,"",IFERROR(SUMIFS(BD!$M$3:$M$5001,BD!$A$3:$A$5001,AH$5,BD!$B$3:$B$5001,$C$2)/SUMIFS(BD!$L$3:$L$5001,BD!$A$3:$A$5001,AH$5,BD!$B$3:$B$5001,$C$2),"")),IF(COUNTIFS(BD!$A$3:$A$5001,AH$5,BD!$B$3:$B$5001,$C$2,INDEX(BD!$A$3:$V$5001,0,$AX17),"&lt;&gt;")=0,"",SUMIFS(INDEX(BD!$A$3:$V$5001,0,$AX17),BD!$A$3:$A$5001,AH$5,BD!$B$3:$B$5001,$C$2))))</f>
        <v/>
      </c>
      <c r="AI17" s="172" t="str">
        <f>IF(OR($AW17=0,AI$5=""),"",IF($AY17="taxa",IF(COUNTIFS(BD!$A$3:$A$5001,AI$5,BD!$B$3:$B$5001,$C$2,BD!$M$3:$M$5001,"&lt;&gt;")=0,"",IFERROR(SUMIFS(BD!$M$3:$M$5001,BD!$A$3:$A$5001,AI$5,BD!$B$3:$B$5001,$C$2)/SUMIFS(BD!$L$3:$L$5001,BD!$A$3:$A$5001,AI$5,BD!$B$3:$B$5001,$C$2),"")),IF(COUNTIFS(BD!$A$3:$A$5001,AI$5,BD!$B$3:$B$5001,$C$2,INDEX(BD!$A$3:$V$5001,0,$AX17),"&lt;&gt;")=0,"",SUMIFS(INDEX(BD!$A$3:$V$5001,0,$AX17),BD!$A$3:$A$5001,AI$5,BD!$B$3:$B$5001,$C$2))))</f>
        <v/>
      </c>
      <c r="AJ17" s="173" t="str">
        <f>IF(OR($AW17=0,AJ$5=""),"",IF($AY17="taxa",IF(COUNTIFS(BD!$A$3:$A$5001,AJ$5,BD!$B$3:$B$5001,$C$2,BD!$M$3:$M$5001,"&lt;&gt;")=0,"",IFERROR(SUMIFS(BD!$M$3:$M$5001,BD!$A$3:$A$5001,AJ$5,BD!$B$3:$B$5001,$C$2)/SUMIFS(BD!$L$3:$L$5001,BD!$A$3:$A$5001,AJ$5,BD!$B$3:$B$5001,$C$2),"")),IF(COUNTIFS(BD!$A$3:$A$5001,AJ$5,BD!$B$3:$B$5001,$C$2,INDEX(BD!$A$3:$V$5001,0,$AX17),"&lt;&gt;")=0,"",SUMIFS(INDEX(BD!$A$3:$V$5001,0,$AX17),BD!$A$3:$A$5001,AJ$5,BD!$B$3:$B$5001,$C$2))))</f>
        <v/>
      </c>
      <c r="AK17" s="169" t="str">
        <f>IF($AW17=0,"",IF($AY17="fluxo",IF(COUNT(F17:AJ17)=0,"",SUM(F17:AJ17)),IFERROR(LOOKUP(9.99E+307,F17:AJ17),"")))</f>
        <v/>
      </c>
      <c r="AN17" s="159" t="inlineStr">
        <is>
          <t xml:space="preserve">Posições Ocupadas</t>
        </is>
      </c>
      <c r="AO17" s="159" t="inlineStr">
        <is>
          <t xml:space="preserve">OCUPAÇÃO (P.P)</t>
        </is>
      </c>
      <c r="AP17" s="159">
        <v>13</v>
      </c>
      <c r="AQ17" s="159" t="inlineStr">
        <is>
          <t xml:space="preserve">estoque</t>
        </is>
      </c>
      <c r="AR17" s="159">
        <v>11</v>
      </c>
      <c r="AS17" s="159" t="inlineStr">
        <is>
          <t xml:space="preserve">int</t>
        </is>
      </c>
      <c r="AT17" s="159">
        <f>IF($C$2="",0,IF(IFERROR(INDEX(Config!$N$35:$N$54,MATCH($C$2,Config!$B$35:$B$54,0)),"Sim")="Não",0,1))</f>
        <v>1</v>
      </c>
      <c r="AU17" s="159">
        <f>AU16+AT17</f>
        <v>11</v>
      </c>
      <c r="AW17" s="159">
        <f>IFERROR(MATCH(11,$AU$7:$AU$26,0),0)</f>
        <v>11</v>
      </c>
      <c r="AX17" s="159">
        <f>IF($AW17=0,"",INDEX($AP$7:$AP$26,$AW17))</f>
        <v>13</v>
      </c>
      <c r="AY17" s="159" t="str">
        <f>IF($AW17=0,"",INDEX($AQ$7:$AQ$26,$AW17))</f>
        <v>estoque</v>
      </c>
      <c r="AZ17" s="159" t="str">
        <f>IF($AW17=0,"",INDEX($AS$7:$AS$26,$AW17))</f>
        <v>int</v>
      </c>
      <c r="BA17" s="159">
        <f>IF($AW17=0,"",INDEX($AR$7:$AR$26,$AW17))</f>
        <v>11</v>
      </c>
    </row>
    <row r="18" ht="15.75" customHeight="1">
      <c r="A18" s="181"/>
      <c r="B18" s="167" t="str">
        <f>IF($AW18=0,"",INDEX($AO$7:$AO$26,$AW18))</f>
        <v>OCUPAÇÃO (P.P)</v>
      </c>
      <c r="C18" s="168" t="str">
        <f>IF($AW18=0,"",INDEX($AN$7:$AN$26,$AW18))</f>
        <v>Taxa de Ocupação</v>
      </c>
      <c r="D18" s="169" t="str">
        <f>IF(OR($AW18=0,N($BA18)=0),"",IFERROR(1/(1/INDEX(BD!$Y$23:$AS$42,$BA18,MATCH($C$2,BD!$Y$22:$AS$22,0))),""))</f>
        <v/>
      </c>
      <c r="E18" s="170"/>
      <c r="F18" s="171" t="str">
        <f>IF(OR($AW18=0,F$5=""),"",IF($AY18="taxa",IF(COUNTIFS(BD!$A$3:$A$5001,F$5,BD!$B$3:$B$5001,$C$2,BD!$M$3:$M$5001,"&lt;&gt;")=0,"",IFERROR(SUMIFS(BD!$M$3:$M$5001,BD!$A$3:$A$5001,F$5,BD!$B$3:$B$5001,$C$2)/SUMIFS(BD!$L$3:$L$5001,BD!$A$3:$A$5001,F$5,BD!$B$3:$B$5001,$C$2),"")),IF(COUNTIFS(BD!$A$3:$A$5001,F$5,BD!$B$3:$B$5001,$C$2,INDEX(BD!$A$3:$V$5001,0,$AX18),"&lt;&gt;")=0,"",SUMIFS(INDEX(BD!$A$3:$V$5001,0,$AX18),BD!$A$3:$A$5001,F$5,BD!$B$3:$B$5001,$C$2))))</f>
        <v/>
      </c>
      <c r="G18" s="172" t="str">
        <f>IF(OR($AW18=0,G$5=""),"",IF($AY18="taxa",IF(COUNTIFS(BD!$A$3:$A$5001,G$5,BD!$B$3:$B$5001,$C$2,BD!$M$3:$M$5001,"&lt;&gt;")=0,"",IFERROR(SUMIFS(BD!$M$3:$M$5001,BD!$A$3:$A$5001,G$5,BD!$B$3:$B$5001,$C$2)/SUMIFS(BD!$L$3:$L$5001,BD!$A$3:$A$5001,G$5,BD!$B$3:$B$5001,$C$2),"")),IF(COUNTIFS(BD!$A$3:$A$5001,G$5,BD!$B$3:$B$5001,$C$2,INDEX(BD!$A$3:$V$5001,0,$AX18),"&lt;&gt;")=0,"",SUMIFS(INDEX(BD!$A$3:$V$5001,0,$AX18),BD!$A$3:$A$5001,G$5,BD!$B$3:$B$5001,$C$2))))</f>
        <v/>
      </c>
      <c r="H18" s="172" t="str">
        <f>IF(OR($AW18=0,H$5=""),"",IF($AY18="taxa",IF(COUNTIFS(BD!$A$3:$A$5001,H$5,BD!$B$3:$B$5001,$C$2,BD!$M$3:$M$5001,"&lt;&gt;")=0,"",IFERROR(SUMIFS(BD!$M$3:$M$5001,BD!$A$3:$A$5001,H$5,BD!$B$3:$B$5001,$C$2)/SUMIFS(BD!$L$3:$L$5001,BD!$A$3:$A$5001,H$5,BD!$B$3:$B$5001,$C$2),"")),IF(COUNTIFS(BD!$A$3:$A$5001,H$5,BD!$B$3:$B$5001,$C$2,INDEX(BD!$A$3:$V$5001,0,$AX18),"&lt;&gt;")=0,"",SUMIFS(INDEX(BD!$A$3:$V$5001,0,$AX18),BD!$A$3:$A$5001,H$5,BD!$B$3:$B$5001,$C$2))))</f>
        <v/>
      </c>
      <c r="I18" s="172" t="str">
        <f>IF(OR($AW18=0,I$5=""),"",IF($AY18="taxa",IF(COUNTIFS(BD!$A$3:$A$5001,I$5,BD!$B$3:$B$5001,$C$2,BD!$M$3:$M$5001,"&lt;&gt;")=0,"",IFERROR(SUMIFS(BD!$M$3:$M$5001,BD!$A$3:$A$5001,I$5,BD!$B$3:$B$5001,$C$2)/SUMIFS(BD!$L$3:$L$5001,BD!$A$3:$A$5001,I$5,BD!$B$3:$B$5001,$C$2),"")),IF(COUNTIFS(BD!$A$3:$A$5001,I$5,BD!$B$3:$B$5001,$C$2,INDEX(BD!$A$3:$V$5001,0,$AX18),"&lt;&gt;")=0,"",SUMIFS(INDEX(BD!$A$3:$V$5001,0,$AX18),BD!$A$3:$A$5001,I$5,BD!$B$3:$B$5001,$C$2))))</f>
        <v/>
      </c>
      <c r="J18" s="172" t="str">
        <f>IF(OR($AW18=0,J$5=""),"",IF($AY18="taxa",IF(COUNTIFS(BD!$A$3:$A$5001,J$5,BD!$B$3:$B$5001,$C$2,BD!$M$3:$M$5001,"&lt;&gt;")=0,"",IFERROR(SUMIFS(BD!$M$3:$M$5001,BD!$A$3:$A$5001,J$5,BD!$B$3:$B$5001,$C$2)/SUMIFS(BD!$L$3:$L$5001,BD!$A$3:$A$5001,J$5,BD!$B$3:$B$5001,$C$2),"")),IF(COUNTIFS(BD!$A$3:$A$5001,J$5,BD!$B$3:$B$5001,$C$2,INDEX(BD!$A$3:$V$5001,0,$AX18),"&lt;&gt;")=0,"",SUMIFS(INDEX(BD!$A$3:$V$5001,0,$AX18),BD!$A$3:$A$5001,J$5,BD!$B$3:$B$5001,$C$2))))</f>
        <v/>
      </c>
      <c r="K18" s="172" t="str">
        <f>IF(OR($AW18=0,K$5=""),"",IF($AY18="taxa",IF(COUNTIFS(BD!$A$3:$A$5001,K$5,BD!$B$3:$B$5001,$C$2,BD!$M$3:$M$5001,"&lt;&gt;")=0,"",IFERROR(SUMIFS(BD!$M$3:$M$5001,BD!$A$3:$A$5001,K$5,BD!$B$3:$B$5001,$C$2)/SUMIFS(BD!$L$3:$L$5001,BD!$A$3:$A$5001,K$5,BD!$B$3:$B$5001,$C$2),"")),IF(COUNTIFS(BD!$A$3:$A$5001,K$5,BD!$B$3:$B$5001,$C$2,INDEX(BD!$A$3:$V$5001,0,$AX18),"&lt;&gt;")=0,"",SUMIFS(INDEX(BD!$A$3:$V$5001,0,$AX18),BD!$A$3:$A$5001,K$5,BD!$B$3:$B$5001,$C$2))))</f>
        <v/>
      </c>
      <c r="L18" s="172" t="str">
        <f>IF(OR($AW18=0,L$5=""),"",IF($AY18="taxa",IF(COUNTIFS(BD!$A$3:$A$5001,L$5,BD!$B$3:$B$5001,$C$2,BD!$M$3:$M$5001,"&lt;&gt;")=0,"",IFERROR(SUMIFS(BD!$M$3:$M$5001,BD!$A$3:$A$5001,L$5,BD!$B$3:$B$5001,$C$2)/SUMIFS(BD!$L$3:$L$5001,BD!$A$3:$A$5001,L$5,BD!$B$3:$B$5001,$C$2),"")),IF(COUNTIFS(BD!$A$3:$A$5001,L$5,BD!$B$3:$B$5001,$C$2,INDEX(BD!$A$3:$V$5001,0,$AX18),"&lt;&gt;")=0,"",SUMIFS(INDEX(BD!$A$3:$V$5001,0,$AX18),BD!$A$3:$A$5001,L$5,BD!$B$3:$B$5001,$C$2))))</f>
        <v/>
      </c>
      <c r="M18" s="172" t="str">
        <f>IF(OR($AW18=0,M$5=""),"",IF($AY18="taxa",IF(COUNTIFS(BD!$A$3:$A$5001,M$5,BD!$B$3:$B$5001,$C$2,BD!$M$3:$M$5001,"&lt;&gt;")=0,"",IFERROR(SUMIFS(BD!$M$3:$M$5001,BD!$A$3:$A$5001,M$5,BD!$B$3:$B$5001,$C$2)/SUMIFS(BD!$L$3:$L$5001,BD!$A$3:$A$5001,M$5,BD!$B$3:$B$5001,$C$2),"")),IF(COUNTIFS(BD!$A$3:$A$5001,M$5,BD!$B$3:$B$5001,$C$2,INDEX(BD!$A$3:$V$5001,0,$AX18),"&lt;&gt;")=0,"",SUMIFS(INDEX(BD!$A$3:$V$5001,0,$AX18),BD!$A$3:$A$5001,M$5,BD!$B$3:$B$5001,$C$2))))</f>
        <v/>
      </c>
      <c r="N18" s="172" t="str">
        <f>IF(OR($AW18=0,N$5=""),"",IF($AY18="taxa",IF(COUNTIFS(BD!$A$3:$A$5001,N$5,BD!$B$3:$B$5001,$C$2,BD!$M$3:$M$5001,"&lt;&gt;")=0,"",IFERROR(SUMIFS(BD!$M$3:$M$5001,BD!$A$3:$A$5001,N$5,BD!$B$3:$B$5001,$C$2)/SUMIFS(BD!$L$3:$L$5001,BD!$A$3:$A$5001,N$5,BD!$B$3:$B$5001,$C$2),"")),IF(COUNTIFS(BD!$A$3:$A$5001,N$5,BD!$B$3:$B$5001,$C$2,INDEX(BD!$A$3:$V$5001,0,$AX18),"&lt;&gt;")=0,"",SUMIFS(INDEX(BD!$A$3:$V$5001,0,$AX18),BD!$A$3:$A$5001,N$5,BD!$B$3:$B$5001,$C$2))))</f>
        <v/>
      </c>
      <c r="O18" s="172" t="str">
        <f>IF(OR($AW18=0,O$5=""),"",IF($AY18="taxa",IF(COUNTIFS(BD!$A$3:$A$5001,O$5,BD!$B$3:$B$5001,$C$2,BD!$M$3:$M$5001,"&lt;&gt;")=0,"",IFERROR(SUMIFS(BD!$M$3:$M$5001,BD!$A$3:$A$5001,O$5,BD!$B$3:$B$5001,$C$2)/SUMIFS(BD!$L$3:$L$5001,BD!$A$3:$A$5001,O$5,BD!$B$3:$B$5001,$C$2),"")),IF(COUNTIFS(BD!$A$3:$A$5001,O$5,BD!$B$3:$B$5001,$C$2,INDEX(BD!$A$3:$V$5001,0,$AX18),"&lt;&gt;")=0,"",SUMIFS(INDEX(BD!$A$3:$V$5001,0,$AX18),BD!$A$3:$A$5001,O$5,BD!$B$3:$B$5001,$C$2))))</f>
        <v/>
      </c>
      <c r="P18" s="172" t="str">
        <f>IF(OR($AW18=0,P$5=""),"",IF($AY18="taxa",IF(COUNTIFS(BD!$A$3:$A$5001,P$5,BD!$B$3:$B$5001,$C$2,BD!$M$3:$M$5001,"&lt;&gt;")=0,"",IFERROR(SUMIFS(BD!$M$3:$M$5001,BD!$A$3:$A$5001,P$5,BD!$B$3:$B$5001,$C$2)/SUMIFS(BD!$L$3:$L$5001,BD!$A$3:$A$5001,P$5,BD!$B$3:$B$5001,$C$2),"")),IF(COUNTIFS(BD!$A$3:$A$5001,P$5,BD!$B$3:$B$5001,$C$2,INDEX(BD!$A$3:$V$5001,0,$AX18),"&lt;&gt;")=0,"",SUMIFS(INDEX(BD!$A$3:$V$5001,0,$AX18),BD!$A$3:$A$5001,P$5,BD!$B$3:$B$5001,$C$2))))</f>
        <v/>
      </c>
      <c r="Q18" s="172" t="str">
        <f>IF(OR($AW18=0,Q$5=""),"",IF($AY18="taxa",IF(COUNTIFS(BD!$A$3:$A$5001,Q$5,BD!$B$3:$B$5001,$C$2,BD!$M$3:$M$5001,"&lt;&gt;")=0,"",IFERROR(SUMIFS(BD!$M$3:$M$5001,BD!$A$3:$A$5001,Q$5,BD!$B$3:$B$5001,$C$2)/SUMIFS(BD!$L$3:$L$5001,BD!$A$3:$A$5001,Q$5,BD!$B$3:$B$5001,$C$2),"")),IF(COUNTIFS(BD!$A$3:$A$5001,Q$5,BD!$B$3:$B$5001,$C$2,INDEX(BD!$A$3:$V$5001,0,$AX18),"&lt;&gt;")=0,"",SUMIFS(INDEX(BD!$A$3:$V$5001,0,$AX18),BD!$A$3:$A$5001,Q$5,BD!$B$3:$B$5001,$C$2))))</f>
        <v/>
      </c>
      <c r="R18" s="172" t="str">
        <f>IF(OR($AW18=0,R$5=""),"",IF($AY18="taxa",IF(COUNTIFS(BD!$A$3:$A$5001,R$5,BD!$B$3:$B$5001,$C$2,BD!$M$3:$M$5001,"&lt;&gt;")=0,"",IFERROR(SUMIFS(BD!$M$3:$M$5001,BD!$A$3:$A$5001,R$5,BD!$B$3:$B$5001,$C$2)/SUMIFS(BD!$L$3:$L$5001,BD!$A$3:$A$5001,R$5,BD!$B$3:$B$5001,$C$2),"")),IF(COUNTIFS(BD!$A$3:$A$5001,R$5,BD!$B$3:$B$5001,$C$2,INDEX(BD!$A$3:$V$5001,0,$AX18),"&lt;&gt;")=0,"",SUMIFS(INDEX(BD!$A$3:$V$5001,0,$AX18),BD!$A$3:$A$5001,R$5,BD!$B$3:$B$5001,$C$2))))</f>
        <v/>
      </c>
      <c r="S18" s="172" t="str">
        <f>IF(OR($AW18=0,S$5=""),"",IF($AY18="taxa",IF(COUNTIFS(BD!$A$3:$A$5001,S$5,BD!$B$3:$B$5001,$C$2,BD!$M$3:$M$5001,"&lt;&gt;")=0,"",IFERROR(SUMIFS(BD!$M$3:$M$5001,BD!$A$3:$A$5001,S$5,BD!$B$3:$B$5001,$C$2)/SUMIFS(BD!$L$3:$L$5001,BD!$A$3:$A$5001,S$5,BD!$B$3:$B$5001,$C$2),"")),IF(COUNTIFS(BD!$A$3:$A$5001,S$5,BD!$B$3:$B$5001,$C$2,INDEX(BD!$A$3:$V$5001,0,$AX18),"&lt;&gt;")=0,"",SUMIFS(INDEX(BD!$A$3:$V$5001,0,$AX18),BD!$A$3:$A$5001,S$5,BD!$B$3:$B$5001,$C$2))))</f>
        <v/>
      </c>
      <c r="T18" s="172" t="str">
        <f>IF(OR($AW18=0,T$5=""),"",IF($AY18="taxa",IF(COUNTIFS(BD!$A$3:$A$5001,T$5,BD!$B$3:$B$5001,$C$2,BD!$M$3:$M$5001,"&lt;&gt;")=0,"",IFERROR(SUMIFS(BD!$M$3:$M$5001,BD!$A$3:$A$5001,T$5,BD!$B$3:$B$5001,$C$2)/SUMIFS(BD!$L$3:$L$5001,BD!$A$3:$A$5001,T$5,BD!$B$3:$B$5001,$C$2),"")),IF(COUNTIFS(BD!$A$3:$A$5001,T$5,BD!$B$3:$B$5001,$C$2,INDEX(BD!$A$3:$V$5001,0,$AX18),"&lt;&gt;")=0,"",SUMIFS(INDEX(BD!$A$3:$V$5001,0,$AX18),BD!$A$3:$A$5001,T$5,BD!$B$3:$B$5001,$C$2))))</f>
        <v/>
      </c>
      <c r="U18" s="172" t="str">
        <f>IF(OR($AW18=0,U$5=""),"",IF($AY18="taxa",IF(COUNTIFS(BD!$A$3:$A$5001,U$5,BD!$B$3:$B$5001,$C$2,BD!$M$3:$M$5001,"&lt;&gt;")=0,"",IFERROR(SUMIFS(BD!$M$3:$M$5001,BD!$A$3:$A$5001,U$5,BD!$B$3:$B$5001,$C$2)/SUMIFS(BD!$L$3:$L$5001,BD!$A$3:$A$5001,U$5,BD!$B$3:$B$5001,$C$2),"")),IF(COUNTIFS(BD!$A$3:$A$5001,U$5,BD!$B$3:$B$5001,$C$2,INDEX(BD!$A$3:$V$5001,0,$AX18),"&lt;&gt;")=0,"",SUMIFS(INDEX(BD!$A$3:$V$5001,0,$AX18),BD!$A$3:$A$5001,U$5,BD!$B$3:$B$5001,$C$2))))</f>
        <v/>
      </c>
      <c r="V18" s="172" t="str">
        <f>IF(OR($AW18=0,V$5=""),"",IF($AY18="taxa",IF(COUNTIFS(BD!$A$3:$A$5001,V$5,BD!$B$3:$B$5001,$C$2,BD!$M$3:$M$5001,"&lt;&gt;")=0,"",IFERROR(SUMIFS(BD!$M$3:$M$5001,BD!$A$3:$A$5001,V$5,BD!$B$3:$B$5001,$C$2)/SUMIFS(BD!$L$3:$L$5001,BD!$A$3:$A$5001,V$5,BD!$B$3:$B$5001,$C$2),"")),IF(COUNTIFS(BD!$A$3:$A$5001,V$5,BD!$B$3:$B$5001,$C$2,INDEX(BD!$A$3:$V$5001,0,$AX18),"&lt;&gt;")=0,"",SUMIFS(INDEX(BD!$A$3:$V$5001,0,$AX18),BD!$A$3:$A$5001,V$5,BD!$B$3:$B$5001,$C$2))))</f>
        <v/>
      </c>
      <c r="W18" s="172" t="str">
        <f>IF(OR($AW18=0,W$5=""),"",IF($AY18="taxa",IF(COUNTIFS(BD!$A$3:$A$5001,W$5,BD!$B$3:$B$5001,$C$2,BD!$M$3:$M$5001,"&lt;&gt;")=0,"",IFERROR(SUMIFS(BD!$M$3:$M$5001,BD!$A$3:$A$5001,W$5,BD!$B$3:$B$5001,$C$2)/SUMIFS(BD!$L$3:$L$5001,BD!$A$3:$A$5001,W$5,BD!$B$3:$B$5001,$C$2),"")),IF(COUNTIFS(BD!$A$3:$A$5001,W$5,BD!$B$3:$B$5001,$C$2,INDEX(BD!$A$3:$V$5001,0,$AX18),"&lt;&gt;")=0,"",SUMIFS(INDEX(BD!$A$3:$V$5001,0,$AX18),BD!$A$3:$A$5001,W$5,BD!$B$3:$B$5001,$C$2))))</f>
        <v/>
      </c>
      <c r="X18" s="172" t="str">
        <f>IF(OR($AW18=0,X$5=""),"",IF($AY18="taxa",IF(COUNTIFS(BD!$A$3:$A$5001,X$5,BD!$B$3:$B$5001,$C$2,BD!$M$3:$M$5001,"&lt;&gt;")=0,"",IFERROR(SUMIFS(BD!$M$3:$M$5001,BD!$A$3:$A$5001,X$5,BD!$B$3:$B$5001,$C$2)/SUMIFS(BD!$L$3:$L$5001,BD!$A$3:$A$5001,X$5,BD!$B$3:$B$5001,$C$2),"")),IF(COUNTIFS(BD!$A$3:$A$5001,X$5,BD!$B$3:$B$5001,$C$2,INDEX(BD!$A$3:$V$5001,0,$AX18),"&lt;&gt;")=0,"",SUMIFS(INDEX(BD!$A$3:$V$5001,0,$AX18),BD!$A$3:$A$5001,X$5,BD!$B$3:$B$5001,$C$2))))</f>
        <v/>
      </c>
      <c r="Y18" s="172" t="str">
        <f>IF(OR($AW18=0,Y$5=""),"",IF($AY18="taxa",IF(COUNTIFS(BD!$A$3:$A$5001,Y$5,BD!$B$3:$B$5001,$C$2,BD!$M$3:$M$5001,"&lt;&gt;")=0,"",IFERROR(SUMIFS(BD!$M$3:$M$5001,BD!$A$3:$A$5001,Y$5,BD!$B$3:$B$5001,$C$2)/SUMIFS(BD!$L$3:$L$5001,BD!$A$3:$A$5001,Y$5,BD!$B$3:$B$5001,$C$2),"")),IF(COUNTIFS(BD!$A$3:$A$5001,Y$5,BD!$B$3:$B$5001,$C$2,INDEX(BD!$A$3:$V$5001,0,$AX18),"&lt;&gt;")=0,"",SUMIFS(INDEX(BD!$A$3:$V$5001,0,$AX18),BD!$A$3:$A$5001,Y$5,BD!$B$3:$B$5001,$C$2))))</f>
        <v/>
      </c>
      <c r="Z18" s="172" t="str">
        <f>IF(OR($AW18=0,Z$5=""),"",IF($AY18="taxa",IF(COUNTIFS(BD!$A$3:$A$5001,Z$5,BD!$B$3:$B$5001,$C$2,BD!$M$3:$M$5001,"&lt;&gt;")=0,"",IFERROR(SUMIFS(BD!$M$3:$M$5001,BD!$A$3:$A$5001,Z$5,BD!$B$3:$B$5001,$C$2)/SUMIFS(BD!$L$3:$L$5001,BD!$A$3:$A$5001,Z$5,BD!$B$3:$B$5001,$C$2),"")),IF(COUNTIFS(BD!$A$3:$A$5001,Z$5,BD!$B$3:$B$5001,$C$2,INDEX(BD!$A$3:$V$5001,0,$AX18),"&lt;&gt;")=0,"",SUMIFS(INDEX(BD!$A$3:$V$5001,0,$AX18),BD!$A$3:$A$5001,Z$5,BD!$B$3:$B$5001,$C$2))))</f>
        <v/>
      </c>
      <c r="AA18" s="172" t="str">
        <f>IF(OR($AW18=0,AA$5=""),"",IF($AY18="taxa",IF(COUNTIFS(BD!$A$3:$A$5001,AA$5,BD!$B$3:$B$5001,$C$2,BD!$M$3:$M$5001,"&lt;&gt;")=0,"",IFERROR(SUMIFS(BD!$M$3:$M$5001,BD!$A$3:$A$5001,AA$5,BD!$B$3:$B$5001,$C$2)/SUMIFS(BD!$L$3:$L$5001,BD!$A$3:$A$5001,AA$5,BD!$B$3:$B$5001,$C$2),"")),IF(COUNTIFS(BD!$A$3:$A$5001,AA$5,BD!$B$3:$B$5001,$C$2,INDEX(BD!$A$3:$V$5001,0,$AX18),"&lt;&gt;")=0,"",SUMIFS(INDEX(BD!$A$3:$V$5001,0,$AX18),BD!$A$3:$A$5001,AA$5,BD!$B$3:$B$5001,$C$2))))</f>
        <v/>
      </c>
      <c r="AB18" s="172" t="str">
        <f>IF(OR($AW18=0,AB$5=""),"",IF($AY18="taxa",IF(COUNTIFS(BD!$A$3:$A$5001,AB$5,BD!$B$3:$B$5001,$C$2,BD!$M$3:$M$5001,"&lt;&gt;")=0,"",IFERROR(SUMIFS(BD!$M$3:$M$5001,BD!$A$3:$A$5001,AB$5,BD!$B$3:$B$5001,$C$2)/SUMIFS(BD!$L$3:$L$5001,BD!$A$3:$A$5001,AB$5,BD!$B$3:$B$5001,$C$2),"")),IF(COUNTIFS(BD!$A$3:$A$5001,AB$5,BD!$B$3:$B$5001,$C$2,INDEX(BD!$A$3:$V$5001,0,$AX18),"&lt;&gt;")=0,"",SUMIFS(INDEX(BD!$A$3:$V$5001,0,$AX18),BD!$A$3:$A$5001,AB$5,BD!$B$3:$B$5001,$C$2))))</f>
        <v/>
      </c>
      <c r="AC18" s="172" t="str">
        <f>IF(OR($AW18=0,AC$5=""),"",IF($AY18="taxa",IF(COUNTIFS(BD!$A$3:$A$5001,AC$5,BD!$B$3:$B$5001,$C$2,BD!$M$3:$M$5001,"&lt;&gt;")=0,"",IFERROR(SUMIFS(BD!$M$3:$M$5001,BD!$A$3:$A$5001,AC$5,BD!$B$3:$B$5001,$C$2)/SUMIFS(BD!$L$3:$L$5001,BD!$A$3:$A$5001,AC$5,BD!$B$3:$B$5001,$C$2),"")),IF(COUNTIFS(BD!$A$3:$A$5001,AC$5,BD!$B$3:$B$5001,$C$2,INDEX(BD!$A$3:$V$5001,0,$AX18),"&lt;&gt;")=0,"",SUMIFS(INDEX(BD!$A$3:$V$5001,0,$AX18),BD!$A$3:$A$5001,AC$5,BD!$B$3:$B$5001,$C$2))))</f>
        <v/>
      </c>
      <c r="AD18" s="172" t="str">
        <f>IF(OR($AW18=0,AD$5=""),"",IF($AY18="taxa",IF(COUNTIFS(BD!$A$3:$A$5001,AD$5,BD!$B$3:$B$5001,$C$2,BD!$M$3:$M$5001,"&lt;&gt;")=0,"",IFERROR(SUMIFS(BD!$M$3:$M$5001,BD!$A$3:$A$5001,AD$5,BD!$B$3:$B$5001,$C$2)/SUMIFS(BD!$L$3:$L$5001,BD!$A$3:$A$5001,AD$5,BD!$B$3:$B$5001,$C$2),"")),IF(COUNTIFS(BD!$A$3:$A$5001,AD$5,BD!$B$3:$B$5001,$C$2,INDEX(BD!$A$3:$V$5001,0,$AX18),"&lt;&gt;")=0,"",SUMIFS(INDEX(BD!$A$3:$V$5001,0,$AX18),BD!$A$3:$A$5001,AD$5,BD!$B$3:$B$5001,$C$2))))</f>
        <v/>
      </c>
      <c r="AE18" s="172" t="str">
        <f>IF(OR($AW18=0,AE$5=""),"",IF($AY18="taxa",IF(COUNTIFS(BD!$A$3:$A$5001,AE$5,BD!$B$3:$B$5001,$C$2,BD!$M$3:$M$5001,"&lt;&gt;")=0,"",IFERROR(SUMIFS(BD!$M$3:$M$5001,BD!$A$3:$A$5001,AE$5,BD!$B$3:$B$5001,$C$2)/SUMIFS(BD!$L$3:$L$5001,BD!$A$3:$A$5001,AE$5,BD!$B$3:$B$5001,$C$2),"")),IF(COUNTIFS(BD!$A$3:$A$5001,AE$5,BD!$B$3:$B$5001,$C$2,INDEX(BD!$A$3:$V$5001,0,$AX18),"&lt;&gt;")=0,"",SUMIFS(INDEX(BD!$A$3:$V$5001,0,$AX18),BD!$A$3:$A$5001,AE$5,BD!$B$3:$B$5001,$C$2))))</f>
        <v/>
      </c>
      <c r="AF18" s="172" t="str">
        <f>IF(OR($AW18=0,AF$5=""),"",IF($AY18="taxa",IF(COUNTIFS(BD!$A$3:$A$5001,AF$5,BD!$B$3:$B$5001,$C$2,BD!$M$3:$M$5001,"&lt;&gt;")=0,"",IFERROR(SUMIFS(BD!$M$3:$M$5001,BD!$A$3:$A$5001,AF$5,BD!$B$3:$B$5001,$C$2)/SUMIFS(BD!$L$3:$L$5001,BD!$A$3:$A$5001,AF$5,BD!$B$3:$B$5001,$C$2),"")),IF(COUNTIFS(BD!$A$3:$A$5001,AF$5,BD!$B$3:$B$5001,$C$2,INDEX(BD!$A$3:$V$5001,0,$AX18),"&lt;&gt;")=0,"",SUMIFS(INDEX(BD!$A$3:$V$5001,0,$AX18),BD!$A$3:$A$5001,AF$5,BD!$B$3:$B$5001,$C$2))))</f>
        <v/>
      </c>
      <c r="AG18" s="172" t="str">
        <f>IF(OR($AW18=0,AG$5=""),"",IF($AY18="taxa",IF(COUNTIFS(BD!$A$3:$A$5001,AG$5,BD!$B$3:$B$5001,$C$2,BD!$M$3:$M$5001,"&lt;&gt;")=0,"",IFERROR(SUMIFS(BD!$M$3:$M$5001,BD!$A$3:$A$5001,AG$5,BD!$B$3:$B$5001,$C$2)/SUMIFS(BD!$L$3:$L$5001,BD!$A$3:$A$5001,AG$5,BD!$B$3:$B$5001,$C$2),"")),IF(COUNTIFS(BD!$A$3:$A$5001,AG$5,BD!$B$3:$B$5001,$C$2,INDEX(BD!$A$3:$V$5001,0,$AX18),"&lt;&gt;")=0,"",SUMIFS(INDEX(BD!$A$3:$V$5001,0,$AX18),BD!$A$3:$A$5001,AG$5,BD!$B$3:$B$5001,$C$2))))</f>
        <v/>
      </c>
      <c r="AH18" s="172" t="str">
        <f>IF(OR($AW18=0,AH$5=""),"",IF($AY18="taxa",IF(COUNTIFS(BD!$A$3:$A$5001,AH$5,BD!$B$3:$B$5001,$C$2,BD!$M$3:$M$5001,"&lt;&gt;")=0,"",IFERROR(SUMIFS(BD!$M$3:$M$5001,BD!$A$3:$A$5001,AH$5,BD!$B$3:$B$5001,$C$2)/SUMIFS(BD!$L$3:$L$5001,BD!$A$3:$A$5001,AH$5,BD!$B$3:$B$5001,$C$2),"")),IF(COUNTIFS(BD!$A$3:$A$5001,AH$5,BD!$B$3:$B$5001,$C$2,INDEX(BD!$A$3:$V$5001,0,$AX18),"&lt;&gt;")=0,"",SUMIFS(INDEX(BD!$A$3:$V$5001,0,$AX18),BD!$A$3:$A$5001,AH$5,BD!$B$3:$B$5001,$C$2))))</f>
        <v/>
      </c>
      <c r="AI18" s="172" t="str">
        <f>IF(OR($AW18=0,AI$5=""),"",IF($AY18="taxa",IF(COUNTIFS(BD!$A$3:$A$5001,AI$5,BD!$B$3:$B$5001,$C$2,BD!$M$3:$M$5001,"&lt;&gt;")=0,"",IFERROR(SUMIFS(BD!$M$3:$M$5001,BD!$A$3:$A$5001,AI$5,BD!$B$3:$B$5001,$C$2)/SUMIFS(BD!$L$3:$L$5001,BD!$A$3:$A$5001,AI$5,BD!$B$3:$B$5001,$C$2),"")),IF(COUNTIFS(BD!$A$3:$A$5001,AI$5,BD!$B$3:$B$5001,$C$2,INDEX(BD!$A$3:$V$5001,0,$AX18),"&lt;&gt;")=0,"",SUMIFS(INDEX(BD!$A$3:$V$5001,0,$AX18),BD!$A$3:$A$5001,AI$5,BD!$B$3:$B$5001,$C$2))))</f>
        <v/>
      </c>
      <c r="AJ18" s="173" t="str">
        <f>IF(OR($AW18=0,AJ$5=""),"",IF($AY18="taxa",IF(COUNTIFS(BD!$A$3:$A$5001,AJ$5,BD!$B$3:$B$5001,$C$2,BD!$M$3:$M$5001,"&lt;&gt;")=0,"",IFERROR(SUMIFS(BD!$M$3:$M$5001,BD!$A$3:$A$5001,AJ$5,BD!$B$3:$B$5001,$C$2)/SUMIFS(BD!$L$3:$L$5001,BD!$A$3:$A$5001,AJ$5,BD!$B$3:$B$5001,$C$2),"")),IF(COUNTIFS(BD!$A$3:$A$5001,AJ$5,BD!$B$3:$B$5001,$C$2,INDEX(BD!$A$3:$V$5001,0,$AX18),"&lt;&gt;")=0,"",SUMIFS(INDEX(BD!$A$3:$V$5001,0,$AX18),BD!$A$3:$A$5001,AJ$5,BD!$B$3:$B$5001,$C$2))))</f>
        <v/>
      </c>
      <c r="AK18" s="169" t="str">
        <f>IF($AW18=0,"",IF($AY18="fluxo",IF(COUNT(F18:AJ18)=0,"",SUM(F18:AJ18)),IFERROR(LOOKUP(9.99E+307,F18:AJ18),"")))</f>
        <v/>
      </c>
      <c r="AN18" s="159" t="inlineStr">
        <is>
          <t xml:space="preserve">Taxa de Ocupação</t>
        </is>
      </c>
      <c r="AO18" s="159" t="inlineStr">
        <is>
          <t xml:space="preserve">OCUPAÇÃO (P.P)</t>
        </is>
      </c>
      <c r="AP18" s="159">
        <v>0</v>
      </c>
      <c r="AQ18" s="159" t="inlineStr">
        <is>
          <t xml:space="preserve">taxa</t>
        </is>
      </c>
      <c r="AR18" s="159">
        <v>12</v>
      </c>
      <c r="AS18" s="159" t="inlineStr">
        <is>
          <t xml:space="preserve">pct</t>
        </is>
      </c>
      <c r="AT18" s="159">
        <f>MIN(AT16,AT17)</f>
        <v>1</v>
      </c>
      <c r="AU18" s="159">
        <f>AU17+AT18</f>
        <v>12</v>
      </c>
      <c r="AW18" s="159">
        <f>IFERROR(MATCH(12,$AU$7:$AU$26,0),0)</f>
        <v>12</v>
      </c>
      <c r="AX18" s="159">
        <f>IF($AW18=0,"",INDEX($AP$7:$AP$26,$AW18))</f>
        <v>0</v>
      </c>
      <c r="AY18" s="159" t="str">
        <f>IF($AW18=0,"",INDEX($AQ$7:$AQ$26,$AW18))</f>
        <v>taxa</v>
      </c>
      <c r="AZ18" s="159" t="str">
        <f>IF($AW18=0,"",INDEX($AS$7:$AS$26,$AW18))</f>
        <v>pct</v>
      </c>
      <c r="BA18" s="159">
        <f>IF($AW18=0,"",INDEX($AR$7:$AR$26,$AW18))</f>
        <v>12</v>
      </c>
    </row>
    <row r="19" ht="15.75" customHeight="1">
      <c r="A19" s="181"/>
      <c r="B19" s="167" t="str">
        <f>IF($AW19=0,"",INDEX($AO$7:$AO$26,$AW19))</f>
        <v>GENTE</v>
      </c>
      <c r="C19" s="168" t="str">
        <f>IF($AW19=0,"",INDEX($AN$7:$AN$26,$AW19))</f>
        <v>Efetivo Op.</v>
      </c>
      <c r="D19" s="169" t="str">
        <f>IF(OR($AW19=0,N($BA19)=0),"",IFERROR(1/(1/INDEX(BD!$Y$23:$AS$42,$BA19,MATCH($C$2,BD!$Y$22:$AS$22,0))),""))</f>
        <v/>
      </c>
      <c r="E19" s="170"/>
      <c r="F19" s="171" t="str">
        <f>IF(OR($AW19=0,F$5=""),"",IF($AY19="taxa",IF(COUNTIFS(BD!$A$3:$A$5001,F$5,BD!$B$3:$B$5001,$C$2,BD!$M$3:$M$5001,"&lt;&gt;")=0,"",IFERROR(SUMIFS(BD!$M$3:$M$5001,BD!$A$3:$A$5001,F$5,BD!$B$3:$B$5001,$C$2)/SUMIFS(BD!$L$3:$L$5001,BD!$A$3:$A$5001,F$5,BD!$B$3:$B$5001,$C$2),"")),IF(COUNTIFS(BD!$A$3:$A$5001,F$5,BD!$B$3:$B$5001,$C$2,INDEX(BD!$A$3:$V$5001,0,$AX19),"&lt;&gt;")=0,"",SUMIFS(INDEX(BD!$A$3:$V$5001,0,$AX19),BD!$A$3:$A$5001,F$5,BD!$B$3:$B$5001,$C$2))))</f>
        <v/>
      </c>
      <c r="G19" s="172" t="str">
        <f>IF(OR($AW19=0,G$5=""),"",IF($AY19="taxa",IF(COUNTIFS(BD!$A$3:$A$5001,G$5,BD!$B$3:$B$5001,$C$2,BD!$M$3:$M$5001,"&lt;&gt;")=0,"",IFERROR(SUMIFS(BD!$M$3:$M$5001,BD!$A$3:$A$5001,G$5,BD!$B$3:$B$5001,$C$2)/SUMIFS(BD!$L$3:$L$5001,BD!$A$3:$A$5001,G$5,BD!$B$3:$B$5001,$C$2),"")),IF(COUNTIFS(BD!$A$3:$A$5001,G$5,BD!$B$3:$B$5001,$C$2,INDEX(BD!$A$3:$V$5001,0,$AX19),"&lt;&gt;")=0,"",SUMIFS(INDEX(BD!$A$3:$V$5001,0,$AX19),BD!$A$3:$A$5001,G$5,BD!$B$3:$B$5001,$C$2))))</f>
        <v/>
      </c>
      <c r="H19" s="172" t="str">
        <f>IF(OR($AW19=0,H$5=""),"",IF($AY19="taxa",IF(COUNTIFS(BD!$A$3:$A$5001,H$5,BD!$B$3:$B$5001,$C$2,BD!$M$3:$M$5001,"&lt;&gt;")=0,"",IFERROR(SUMIFS(BD!$M$3:$M$5001,BD!$A$3:$A$5001,H$5,BD!$B$3:$B$5001,$C$2)/SUMIFS(BD!$L$3:$L$5001,BD!$A$3:$A$5001,H$5,BD!$B$3:$B$5001,$C$2),"")),IF(COUNTIFS(BD!$A$3:$A$5001,H$5,BD!$B$3:$B$5001,$C$2,INDEX(BD!$A$3:$V$5001,0,$AX19),"&lt;&gt;")=0,"",SUMIFS(INDEX(BD!$A$3:$V$5001,0,$AX19),BD!$A$3:$A$5001,H$5,BD!$B$3:$B$5001,$C$2))))</f>
        <v/>
      </c>
      <c r="I19" s="172" t="str">
        <f>IF(OR($AW19=0,I$5=""),"",IF($AY19="taxa",IF(COUNTIFS(BD!$A$3:$A$5001,I$5,BD!$B$3:$B$5001,$C$2,BD!$M$3:$M$5001,"&lt;&gt;")=0,"",IFERROR(SUMIFS(BD!$M$3:$M$5001,BD!$A$3:$A$5001,I$5,BD!$B$3:$B$5001,$C$2)/SUMIFS(BD!$L$3:$L$5001,BD!$A$3:$A$5001,I$5,BD!$B$3:$B$5001,$C$2),"")),IF(COUNTIFS(BD!$A$3:$A$5001,I$5,BD!$B$3:$B$5001,$C$2,INDEX(BD!$A$3:$V$5001,0,$AX19),"&lt;&gt;")=0,"",SUMIFS(INDEX(BD!$A$3:$V$5001,0,$AX19),BD!$A$3:$A$5001,I$5,BD!$B$3:$B$5001,$C$2))))</f>
        <v/>
      </c>
      <c r="J19" s="172" t="str">
        <f>IF(OR($AW19=0,J$5=""),"",IF($AY19="taxa",IF(COUNTIFS(BD!$A$3:$A$5001,J$5,BD!$B$3:$B$5001,$C$2,BD!$M$3:$M$5001,"&lt;&gt;")=0,"",IFERROR(SUMIFS(BD!$M$3:$M$5001,BD!$A$3:$A$5001,J$5,BD!$B$3:$B$5001,$C$2)/SUMIFS(BD!$L$3:$L$5001,BD!$A$3:$A$5001,J$5,BD!$B$3:$B$5001,$C$2),"")),IF(COUNTIFS(BD!$A$3:$A$5001,J$5,BD!$B$3:$B$5001,$C$2,INDEX(BD!$A$3:$V$5001,0,$AX19),"&lt;&gt;")=0,"",SUMIFS(INDEX(BD!$A$3:$V$5001,0,$AX19),BD!$A$3:$A$5001,J$5,BD!$B$3:$B$5001,$C$2))))</f>
        <v/>
      </c>
      <c r="K19" s="172" t="str">
        <f>IF(OR($AW19=0,K$5=""),"",IF($AY19="taxa",IF(COUNTIFS(BD!$A$3:$A$5001,K$5,BD!$B$3:$B$5001,$C$2,BD!$M$3:$M$5001,"&lt;&gt;")=0,"",IFERROR(SUMIFS(BD!$M$3:$M$5001,BD!$A$3:$A$5001,K$5,BD!$B$3:$B$5001,$C$2)/SUMIFS(BD!$L$3:$L$5001,BD!$A$3:$A$5001,K$5,BD!$B$3:$B$5001,$C$2),"")),IF(COUNTIFS(BD!$A$3:$A$5001,K$5,BD!$B$3:$B$5001,$C$2,INDEX(BD!$A$3:$V$5001,0,$AX19),"&lt;&gt;")=0,"",SUMIFS(INDEX(BD!$A$3:$V$5001,0,$AX19),BD!$A$3:$A$5001,K$5,BD!$B$3:$B$5001,$C$2))))</f>
        <v/>
      </c>
      <c r="L19" s="172" t="str">
        <f>IF(OR($AW19=0,L$5=""),"",IF($AY19="taxa",IF(COUNTIFS(BD!$A$3:$A$5001,L$5,BD!$B$3:$B$5001,$C$2,BD!$M$3:$M$5001,"&lt;&gt;")=0,"",IFERROR(SUMIFS(BD!$M$3:$M$5001,BD!$A$3:$A$5001,L$5,BD!$B$3:$B$5001,$C$2)/SUMIFS(BD!$L$3:$L$5001,BD!$A$3:$A$5001,L$5,BD!$B$3:$B$5001,$C$2),"")),IF(COUNTIFS(BD!$A$3:$A$5001,L$5,BD!$B$3:$B$5001,$C$2,INDEX(BD!$A$3:$V$5001,0,$AX19),"&lt;&gt;")=0,"",SUMIFS(INDEX(BD!$A$3:$V$5001,0,$AX19),BD!$A$3:$A$5001,L$5,BD!$B$3:$B$5001,$C$2))))</f>
        <v/>
      </c>
      <c r="M19" s="172" t="str">
        <f>IF(OR($AW19=0,M$5=""),"",IF($AY19="taxa",IF(COUNTIFS(BD!$A$3:$A$5001,M$5,BD!$B$3:$B$5001,$C$2,BD!$M$3:$M$5001,"&lt;&gt;")=0,"",IFERROR(SUMIFS(BD!$M$3:$M$5001,BD!$A$3:$A$5001,M$5,BD!$B$3:$B$5001,$C$2)/SUMIFS(BD!$L$3:$L$5001,BD!$A$3:$A$5001,M$5,BD!$B$3:$B$5001,$C$2),"")),IF(COUNTIFS(BD!$A$3:$A$5001,M$5,BD!$B$3:$B$5001,$C$2,INDEX(BD!$A$3:$V$5001,0,$AX19),"&lt;&gt;")=0,"",SUMIFS(INDEX(BD!$A$3:$V$5001,0,$AX19),BD!$A$3:$A$5001,M$5,BD!$B$3:$B$5001,$C$2))))</f>
        <v/>
      </c>
      <c r="N19" s="172" t="str">
        <f>IF(OR($AW19=0,N$5=""),"",IF($AY19="taxa",IF(COUNTIFS(BD!$A$3:$A$5001,N$5,BD!$B$3:$B$5001,$C$2,BD!$M$3:$M$5001,"&lt;&gt;")=0,"",IFERROR(SUMIFS(BD!$M$3:$M$5001,BD!$A$3:$A$5001,N$5,BD!$B$3:$B$5001,$C$2)/SUMIFS(BD!$L$3:$L$5001,BD!$A$3:$A$5001,N$5,BD!$B$3:$B$5001,$C$2),"")),IF(COUNTIFS(BD!$A$3:$A$5001,N$5,BD!$B$3:$B$5001,$C$2,INDEX(BD!$A$3:$V$5001,0,$AX19),"&lt;&gt;")=0,"",SUMIFS(INDEX(BD!$A$3:$V$5001,0,$AX19),BD!$A$3:$A$5001,N$5,BD!$B$3:$B$5001,$C$2))))</f>
        <v/>
      </c>
      <c r="O19" s="172" t="str">
        <f>IF(OR($AW19=0,O$5=""),"",IF($AY19="taxa",IF(COUNTIFS(BD!$A$3:$A$5001,O$5,BD!$B$3:$B$5001,$C$2,BD!$M$3:$M$5001,"&lt;&gt;")=0,"",IFERROR(SUMIFS(BD!$M$3:$M$5001,BD!$A$3:$A$5001,O$5,BD!$B$3:$B$5001,$C$2)/SUMIFS(BD!$L$3:$L$5001,BD!$A$3:$A$5001,O$5,BD!$B$3:$B$5001,$C$2),"")),IF(COUNTIFS(BD!$A$3:$A$5001,O$5,BD!$B$3:$B$5001,$C$2,INDEX(BD!$A$3:$V$5001,0,$AX19),"&lt;&gt;")=0,"",SUMIFS(INDEX(BD!$A$3:$V$5001,0,$AX19),BD!$A$3:$A$5001,O$5,BD!$B$3:$B$5001,$C$2))))</f>
        <v/>
      </c>
      <c r="P19" s="172" t="str">
        <f>IF(OR($AW19=0,P$5=""),"",IF($AY19="taxa",IF(COUNTIFS(BD!$A$3:$A$5001,P$5,BD!$B$3:$B$5001,$C$2,BD!$M$3:$M$5001,"&lt;&gt;")=0,"",IFERROR(SUMIFS(BD!$M$3:$M$5001,BD!$A$3:$A$5001,P$5,BD!$B$3:$B$5001,$C$2)/SUMIFS(BD!$L$3:$L$5001,BD!$A$3:$A$5001,P$5,BD!$B$3:$B$5001,$C$2),"")),IF(COUNTIFS(BD!$A$3:$A$5001,P$5,BD!$B$3:$B$5001,$C$2,INDEX(BD!$A$3:$V$5001,0,$AX19),"&lt;&gt;")=0,"",SUMIFS(INDEX(BD!$A$3:$V$5001,0,$AX19),BD!$A$3:$A$5001,P$5,BD!$B$3:$B$5001,$C$2))))</f>
        <v/>
      </c>
      <c r="Q19" s="172" t="str">
        <f>IF(OR($AW19=0,Q$5=""),"",IF($AY19="taxa",IF(COUNTIFS(BD!$A$3:$A$5001,Q$5,BD!$B$3:$B$5001,$C$2,BD!$M$3:$M$5001,"&lt;&gt;")=0,"",IFERROR(SUMIFS(BD!$M$3:$M$5001,BD!$A$3:$A$5001,Q$5,BD!$B$3:$B$5001,$C$2)/SUMIFS(BD!$L$3:$L$5001,BD!$A$3:$A$5001,Q$5,BD!$B$3:$B$5001,$C$2),"")),IF(COUNTIFS(BD!$A$3:$A$5001,Q$5,BD!$B$3:$B$5001,$C$2,INDEX(BD!$A$3:$V$5001,0,$AX19),"&lt;&gt;")=0,"",SUMIFS(INDEX(BD!$A$3:$V$5001,0,$AX19),BD!$A$3:$A$5001,Q$5,BD!$B$3:$B$5001,$C$2))))</f>
        <v/>
      </c>
      <c r="R19" s="172" t="str">
        <f>IF(OR($AW19=0,R$5=""),"",IF($AY19="taxa",IF(COUNTIFS(BD!$A$3:$A$5001,R$5,BD!$B$3:$B$5001,$C$2,BD!$M$3:$M$5001,"&lt;&gt;")=0,"",IFERROR(SUMIFS(BD!$M$3:$M$5001,BD!$A$3:$A$5001,R$5,BD!$B$3:$B$5001,$C$2)/SUMIFS(BD!$L$3:$L$5001,BD!$A$3:$A$5001,R$5,BD!$B$3:$B$5001,$C$2),"")),IF(COUNTIFS(BD!$A$3:$A$5001,R$5,BD!$B$3:$B$5001,$C$2,INDEX(BD!$A$3:$V$5001,0,$AX19),"&lt;&gt;")=0,"",SUMIFS(INDEX(BD!$A$3:$V$5001,0,$AX19),BD!$A$3:$A$5001,R$5,BD!$B$3:$B$5001,$C$2))))</f>
        <v/>
      </c>
      <c r="S19" s="172" t="str">
        <f>IF(OR($AW19=0,S$5=""),"",IF($AY19="taxa",IF(COUNTIFS(BD!$A$3:$A$5001,S$5,BD!$B$3:$B$5001,$C$2,BD!$M$3:$M$5001,"&lt;&gt;")=0,"",IFERROR(SUMIFS(BD!$M$3:$M$5001,BD!$A$3:$A$5001,S$5,BD!$B$3:$B$5001,$C$2)/SUMIFS(BD!$L$3:$L$5001,BD!$A$3:$A$5001,S$5,BD!$B$3:$B$5001,$C$2),"")),IF(COUNTIFS(BD!$A$3:$A$5001,S$5,BD!$B$3:$B$5001,$C$2,INDEX(BD!$A$3:$V$5001,0,$AX19),"&lt;&gt;")=0,"",SUMIFS(INDEX(BD!$A$3:$V$5001,0,$AX19),BD!$A$3:$A$5001,S$5,BD!$B$3:$B$5001,$C$2))))</f>
        <v/>
      </c>
      <c r="T19" s="172" t="str">
        <f>IF(OR($AW19=0,T$5=""),"",IF($AY19="taxa",IF(COUNTIFS(BD!$A$3:$A$5001,T$5,BD!$B$3:$B$5001,$C$2,BD!$M$3:$M$5001,"&lt;&gt;")=0,"",IFERROR(SUMIFS(BD!$M$3:$M$5001,BD!$A$3:$A$5001,T$5,BD!$B$3:$B$5001,$C$2)/SUMIFS(BD!$L$3:$L$5001,BD!$A$3:$A$5001,T$5,BD!$B$3:$B$5001,$C$2),"")),IF(COUNTIFS(BD!$A$3:$A$5001,T$5,BD!$B$3:$B$5001,$C$2,INDEX(BD!$A$3:$V$5001,0,$AX19),"&lt;&gt;")=0,"",SUMIFS(INDEX(BD!$A$3:$V$5001,0,$AX19),BD!$A$3:$A$5001,T$5,BD!$B$3:$B$5001,$C$2))))</f>
        <v/>
      </c>
      <c r="U19" s="172" t="str">
        <f>IF(OR($AW19=0,U$5=""),"",IF($AY19="taxa",IF(COUNTIFS(BD!$A$3:$A$5001,U$5,BD!$B$3:$B$5001,$C$2,BD!$M$3:$M$5001,"&lt;&gt;")=0,"",IFERROR(SUMIFS(BD!$M$3:$M$5001,BD!$A$3:$A$5001,U$5,BD!$B$3:$B$5001,$C$2)/SUMIFS(BD!$L$3:$L$5001,BD!$A$3:$A$5001,U$5,BD!$B$3:$B$5001,$C$2),"")),IF(COUNTIFS(BD!$A$3:$A$5001,U$5,BD!$B$3:$B$5001,$C$2,INDEX(BD!$A$3:$V$5001,0,$AX19),"&lt;&gt;")=0,"",SUMIFS(INDEX(BD!$A$3:$V$5001,0,$AX19),BD!$A$3:$A$5001,U$5,BD!$B$3:$B$5001,$C$2))))</f>
        <v/>
      </c>
      <c r="V19" s="172" t="str">
        <f>IF(OR($AW19=0,V$5=""),"",IF($AY19="taxa",IF(COUNTIFS(BD!$A$3:$A$5001,V$5,BD!$B$3:$B$5001,$C$2,BD!$M$3:$M$5001,"&lt;&gt;")=0,"",IFERROR(SUMIFS(BD!$M$3:$M$5001,BD!$A$3:$A$5001,V$5,BD!$B$3:$B$5001,$C$2)/SUMIFS(BD!$L$3:$L$5001,BD!$A$3:$A$5001,V$5,BD!$B$3:$B$5001,$C$2),"")),IF(COUNTIFS(BD!$A$3:$A$5001,V$5,BD!$B$3:$B$5001,$C$2,INDEX(BD!$A$3:$V$5001,0,$AX19),"&lt;&gt;")=0,"",SUMIFS(INDEX(BD!$A$3:$V$5001,0,$AX19),BD!$A$3:$A$5001,V$5,BD!$B$3:$B$5001,$C$2))))</f>
        <v/>
      </c>
      <c r="W19" s="172" t="str">
        <f>IF(OR($AW19=0,W$5=""),"",IF($AY19="taxa",IF(COUNTIFS(BD!$A$3:$A$5001,W$5,BD!$B$3:$B$5001,$C$2,BD!$M$3:$M$5001,"&lt;&gt;")=0,"",IFERROR(SUMIFS(BD!$M$3:$M$5001,BD!$A$3:$A$5001,W$5,BD!$B$3:$B$5001,$C$2)/SUMIFS(BD!$L$3:$L$5001,BD!$A$3:$A$5001,W$5,BD!$B$3:$B$5001,$C$2),"")),IF(COUNTIFS(BD!$A$3:$A$5001,W$5,BD!$B$3:$B$5001,$C$2,INDEX(BD!$A$3:$V$5001,0,$AX19),"&lt;&gt;")=0,"",SUMIFS(INDEX(BD!$A$3:$V$5001,0,$AX19),BD!$A$3:$A$5001,W$5,BD!$B$3:$B$5001,$C$2))))</f>
        <v/>
      </c>
      <c r="X19" s="172" t="str">
        <f>IF(OR($AW19=0,X$5=""),"",IF($AY19="taxa",IF(COUNTIFS(BD!$A$3:$A$5001,X$5,BD!$B$3:$B$5001,$C$2,BD!$M$3:$M$5001,"&lt;&gt;")=0,"",IFERROR(SUMIFS(BD!$M$3:$M$5001,BD!$A$3:$A$5001,X$5,BD!$B$3:$B$5001,$C$2)/SUMIFS(BD!$L$3:$L$5001,BD!$A$3:$A$5001,X$5,BD!$B$3:$B$5001,$C$2),"")),IF(COUNTIFS(BD!$A$3:$A$5001,X$5,BD!$B$3:$B$5001,$C$2,INDEX(BD!$A$3:$V$5001,0,$AX19),"&lt;&gt;")=0,"",SUMIFS(INDEX(BD!$A$3:$V$5001,0,$AX19),BD!$A$3:$A$5001,X$5,BD!$B$3:$B$5001,$C$2))))</f>
        <v/>
      </c>
      <c r="Y19" s="172" t="str">
        <f>IF(OR($AW19=0,Y$5=""),"",IF($AY19="taxa",IF(COUNTIFS(BD!$A$3:$A$5001,Y$5,BD!$B$3:$B$5001,$C$2,BD!$M$3:$M$5001,"&lt;&gt;")=0,"",IFERROR(SUMIFS(BD!$M$3:$M$5001,BD!$A$3:$A$5001,Y$5,BD!$B$3:$B$5001,$C$2)/SUMIFS(BD!$L$3:$L$5001,BD!$A$3:$A$5001,Y$5,BD!$B$3:$B$5001,$C$2),"")),IF(COUNTIFS(BD!$A$3:$A$5001,Y$5,BD!$B$3:$B$5001,$C$2,INDEX(BD!$A$3:$V$5001,0,$AX19),"&lt;&gt;")=0,"",SUMIFS(INDEX(BD!$A$3:$V$5001,0,$AX19),BD!$A$3:$A$5001,Y$5,BD!$B$3:$B$5001,$C$2))))</f>
        <v/>
      </c>
      <c r="Z19" s="172" t="str">
        <f>IF(OR($AW19=0,Z$5=""),"",IF($AY19="taxa",IF(COUNTIFS(BD!$A$3:$A$5001,Z$5,BD!$B$3:$B$5001,$C$2,BD!$M$3:$M$5001,"&lt;&gt;")=0,"",IFERROR(SUMIFS(BD!$M$3:$M$5001,BD!$A$3:$A$5001,Z$5,BD!$B$3:$B$5001,$C$2)/SUMIFS(BD!$L$3:$L$5001,BD!$A$3:$A$5001,Z$5,BD!$B$3:$B$5001,$C$2),"")),IF(COUNTIFS(BD!$A$3:$A$5001,Z$5,BD!$B$3:$B$5001,$C$2,INDEX(BD!$A$3:$V$5001,0,$AX19),"&lt;&gt;")=0,"",SUMIFS(INDEX(BD!$A$3:$V$5001,0,$AX19),BD!$A$3:$A$5001,Z$5,BD!$B$3:$B$5001,$C$2))))</f>
        <v/>
      </c>
      <c r="AA19" s="172" t="str">
        <f>IF(OR($AW19=0,AA$5=""),"",IF($AY19="taxa",IF(COUNTIFS(BD!$A$3:$A$5001,AA$5,BD!$B$3:$B$5001,$C$2,BD!$M$3:$M$5001,"&lt;&gt;")=0,"",IFERROR(SUMIFS(BD!$M$3:$M$5001,BD!$A$3:$A$5001,AA$5,BD!$B$3:$B$5001,$C$2)/SUMIFS(BD!$L$3:$L$5001,BD!$A$3:$A$5001,AA$5,BD!$B$3:$B$5001,$C$2),"")),IF(COUNTIFS(BD!$A$3:$A$5001,AA$5,BD!$B$3:$B$5001,$C$2,INDEX(BD!$A$3:$V$5001,0,$AX19),"&lt;&gt;")=0,"",SUMIFS(INDEX(BD!$A$3:$V$5001,0,$AX19),BD!$A$3:$A$5001,AA$5,BD!$B$3:$B$5001,$C$2))))</f>
        <v/>
      </c>
      <c r="AB19" s="172" t="str">
        <f>IF(OR($AW19=0,AB$5=""),"",IF($AY19="taxa",IF(COUNTIFS(BD!$A$3:$A$5001,AB$5,BD!$B$3:$B$5001,$C$2,BD!$M$3:$M$5001,"&lt;&gt;")=0,"",IFERROR(SUMIFS(BD!$M$3:$M$5001,BD!$A$3:$A$5001,AB$5,BD!$B$3:$B$5001,$C$2)/SUMIFS(BD!$L$3:$L$5001,BD!$A$3:$A$5001,AB$5,BD!$B$3:$B$5001,$C$2),"")),IF(COUNTIFS(BD!$A$3:$A$5001,AB$5,BD!$B$3:$B$5001,$C$2,INDEX(BD!$A$3:$V$5001,0,$AX19),"&lt;&gt;")=0,"",SUMIFS(INDEX(BD!$A$3:$V$5001,0,$AX19),BD!$A$3:$A$5001,AB$5,BD!$B$3:$B$5001,$C$2))))</f>
        <v/>
      </c>
      <c r="AC19" s="172" t="str">
        <f>IF(OR($AW19=0,AC$5=""),"",IF($AY19="taxa",IF(COUNTIFS(BD!$A$3:$A$5001,AC$5,BD!$B$3:$B$5001,$C$2,BD!$M$3:$M$5001,"&lt;&gt;")=0,"",IFERROR(SUMIFS(BD!$M$3:$M$5001,BD!$A$3:$A$5001,AC$5,BD!$B$3:$B$5001,$C$2)/SUMIFS(BD!$L$3:$L$5001,BD!$A$3:$A$5001,AC$5,BD!$B$3:$B$5001,$C$2),"")),IF(COUNTIFS(BD!$A$3:$A$5001,AC$5,BD!$B$3:$B$5001,$C$2,INDEX(BD!$A$3:$V$5001,0,$AX19),"&lt;&gt;")=0,"",SUMIFS(INDEX(BD!$A$3:$V$5001,0,$AX19),BD!$A$3:$A$5001,AC$5,BD!$B$3:$B$5001,$C$2))))</f>
        <v/>
      </c>
      <c r="AD19" s="172" t="str">
        <f>IF(OR($AW19=0,AD$5=""),"",IF($AY19="taxa",IF(COUNTIFS(BD!$A$3:$A$5001,AD$5,BD!$B$3:$B$5001,$C$2,BD!$M$3:$M$5001,"&lt;&gt;")=0,"",IFERROR(SUMIFS(BD!$M$3:$M$5001,BD!$A$3:$A$5001,AD$5,BD!$B$3:$B$5001,$C$2)/SUMIFS(BD!$L$3:$L$5001,BD!$A$3:$A$5001,AD$5,BD!$B$3:$B$5001,$C$2),"")),IF(COUNTIFS(BD!$A$3:$A$5001,AD$5,BD!$B$3:$B$5001,$C$2,INDEX(BD!$A$3:$V$5001,0,$AX19),"&lt;&gt;")=0,"",SUMIFS(INDEX(BD!$A$3:$V$5001,0,$AX19),BD!$A$3:$A$5001,AD$5,BD!$B$3:$B$5001,$C$2))))</f>
        <v/>
      </c>
      <c r="AE19" s="172" t="str">
        <f>IF(OR($AW19=0,AE$5=""),"",IF($AY19="taxa",IF(COUNTIFS(BD!$A$3:$A$5001,AE$5,BD!$B$3:$B$5001,$C$2,BD!$M$3:$M$5001,"&lt;&gt;")=0,"",IFERROR(SUMIFS(BD!$M$3:$M$5001,BD!$A$3:$A$5001,AE$5,BD!$B$3:$B$5001,$C$2)/SUMIFS(BD!$L$3:$L$5001,BD!$A$3:$A$5001,AE$5,BD!$B$3:$B$5001,$C$2),"")),IF(COUNTIFS(BD!$A$3:$A$5001,AE$5,BD!$B$3:$B$5001,$C$2,INDEX(BD!$A$3:$V$5001,0,$AX19),"&lt;&gt;")=0,"",SUMIFS(INDEX(BD!$A$3:$V$5001,0,$AX19),BD!$A$3:$A$5001,AE$5,BD!$B$3:$B$5001,$C$2))))</f>
        <v/>
      </c>
      <c r="AF19" s="172" t="str">
        <f>IF(OR($AW19=0,AF$5=""),"",IF($AY19="taxa",IF(COUNTIFS(BD!$A$3:$A$5001,AF$5,BD!$B$3:$B$5001,$C$2,BD!$M$3:$M$5001,"&lt;&gt;")=0,"",IFERROR(SUMIFS(BD!$M$3:$M$5001,BD!$A$3:$A$5001,AF$5,BD!$B$3:$B$5001,$C$2)/SUMIFS(BD!$L$3:$L$5001,BD!$A$3:$A$5001,AF$5,BD!$B$3:$B$5001,$C$2),"")),IF(COUNTIFS(BD!$A$3:$A$5001,AF$5,BD!$B$3:$B$5001,$C$2,INDEX(BD!$A$3:$V$5001,0,$AX19),"&lt;&gt;")=0,"",SUMIFS(INDEX(BD!$A$3:$V$5001,0,$AX19),BD!$A$3:$A$5001,AF$5,BD!$B$3:$B$5001,$C$2))))</f>
        <v/>
      </c>
      <c r="AG19" s="172" t="str">
        <f>IF(OR($AW19=0,AG$5=""),"",IF($AY19="taxa",IF(COUNTIFS(BD!$A$3:$A$5001,AG$5,BD!$B$3:$B$5001,$C$2,BD!$M$3:$M$5001,"&lt;&gt;")=0,"",IFERROR(SUMIFS(BD!$M$3:$M$5001,BD!$A$3:$A$5001,AG$5,BD!$B$3:$B$5001,$C$2)/SUMIFS(BD!$L$3:$L$5001,BD!$A$3:$A$5001,AG$5,BD!$B$3:$B$5001,$C$2),"")),IF(COUNTIFS(BD!$A$3:$A$5001,AG$5,BD!$B$3:$B$5001,$C$2,INDEX(BD!$A$3:$V$5001,0,$AX19),"&lt;&gt;")=0,"",SUMIFS(INDEX(BD!$A$3:$V$5001,0,$AX19),BD!$A$3:$A$5001,AG$5,BD!$B$3:$B$5001,$C$2))))</f>
        <v/>
      </c>
      <c r="AH19" s="172" t="str">
        <f>IF(OR($AW19=0,AH$5=""),"",IF($AY19="taxa",IF(COUNTIFS(BD!$A$3:$A$5001,AH$5,BD!$B$3:$B$5001,$C$2,BD!$M$3:$M$5001,"&lt;&gt;")=0,"",IFERROR(SUMIFS(BD!$M$3:$M$5001,BD!$A$3:$A$5001,AH$5,BD!$B$3:$B$5001,$C$2)/SUMIFS(BD!$L$3:$L$5001,BD!$A$3:$A$5001,AH$5,BD!$B$3:$B$5001,$C$2),"")),IF(COUNTIFS(BD!$A$3:$A$5001,AH$5,BD!$B$3:$B$5001,$C$2,INDEX(BD!$A$3:$V$5001,0,$AX19),"&lt;&gt;")=0,"",SUMIFS(INDEX(BD!$A$3:$V$5001,0,$AX19),BD!$A$3:$A$5001,AH$5,BD!$B$3:$B$5001,$C$2))))</f>
        <v/>
      </c>
      <c r="AI19" s="172" t="str">
        <f>IF(OR($AW19=0,AI$5=""),"",IF($AY19="taxa",IF(COUNTIFS(BD!$A$3:$A$5001,AI$5,BD!$B$3:$B$5001,$C$2,BD!$M$3:$M$5001,"&lt;&gt;")=0,"",IFERROR(SUMIFS(BD!$M$3:$M$5001,BD!$A$3:$A$5001,AI$5,BD!$B$3:$B$5001,$C$2)/SUMIFS(BD!$L$3:$L$5001,BD!$A$3:$A$5001,AI$5,BD!$B$3:$B$5001,$C$2),"")),IF(COUNTIFS(BD!$A$3:$A$5001,AI$5,BD!$B$3:$B$5001,$C$2,INDEX(BD!$A$3:$V$5001,0,$AX19),"&lt;&gt;")=0,"",SUMIFS(INDEX(BD!$A$3:$V$5001,0,$AX19),BD!$A$3:$A$5001,AI$5,BD!$B$3:$B$5001,$C$2))))</f>
        <v/>
      </c>
      <c r="AJ19" s="173" t="str">
        <f>IF(OR($AW19=0,AJ$5=""),"",IF($AY19="taxa",IF(COUNTIFS(BD!$A$3:$A$5001,AJ$5,BD!$B$3:$B$5001,$C$2,BD!$M$3:$M$5001,"&lt;&gt;")=0,"",IFERROR(SUMIFS(BD!$M$3:$M$5001,BD!$A$3:$A$5001,AJ$5,BD!$B$3:$B$5001,$C$2)/SUMIFS(BD!$L$3:$L$5001,BD!$A$3:$A$5001,AJ$5,BD!$B$3:$B$5001,$C$2),"")),IF(COUNTIFS(BD!$A$3:$A$5001,AJ$5,BD!$B$3:$B$5001,$C$2,INDEX(BD!$A$3:$V$5001,0,$AX19),"&lt;&gt;")=0,"",SUMIFS(INDEX(BD!$A$3:$V$5001,0,$AX19),BD!$A$3:$A$5001,AJ$5,BD!$B$3:$B$5001,$C$2))))</f>
        <v/>
      </c>
      <c r="AK19" s="169" t="str">
        <f>IF($AW19=0,"",IF($AY19="fluxo",IF(COUNT(F19:AJ19)=0,"",SUM(F19:AJ19)),IFERROR(LOOKUP(9.99E+307,F19:AJ19),"")))</f>
        <v/>
      </c>
      <c r="AN19" s="159" t="inlineStr">
        <is>
          <t xml:space="preserve">Efetivo Op.</t>
        </is>
      </c>
      <c r="AO19" s="159" t="inlineStr">
        <is>
          <t xml:space="preserve">GENTE</t>
        </is>
      </c>
      <c r="AP19" s="159">
        <v>14</v>
      </c>
      <c r="AQ19" s="159" t="inlineStr">
        <is>
          <t xml:space="preserve">estoque</t>
        </is>
      </c>
      <c r="AR19" s="159">
        <v>13</v>
      </c>
      <c r="AS19" s="159" t="inlineStr">
        <is>
          <t xml:space="preserve">int</t>
        </is>
      </c>
      <c r="AT19" s="159">
        <f>IF($C$2="",0,IF(IFERROR(INDEX(Config!$O$35:$O$54,MATCH($C$2,Config!$B$35:$B$54,0)),"Sim")="Não",0,1))</f>
        <v>1</v>
      </c>
      <c r="AU19" s="159">
        <f>AU18+AT19</f>
        <v>13</v>
      </c>
      <c r="AW19" s="159">
        <f>IFERROR(MATCH(13,$AU$7:$AU$26,0),0)</f>
        <v>13</v>
      </c>
      <c r="AX19" s="159">
        <f>IF($AW19=0,"",INDEX($AP$7:$AP$26,$AW19))</f>
        <v>14</v>
      </c>
      <c r="AY19" s="159" t="str">
        <f>IF($AW19=0,"",INDEX($AQ$7:$AQ$26,$AW19))</f>
        <v>estoque</v>
      </c>
      <c r="AZ19" s="159" t="str">
        <f>IF($AW19=0,"",INDEX($AS$7:$AS$26,$AW19))</f>
        <v>int</v>
      </c>
      <c r="BA19" s="159">
        <f>IF($AW19=0,"",INDEX($AR$7:$AR$26,$AW19))</f>
        <v>13</v>
      </c>
    </row>
    <row r="20" ht="15.75" customHeight="1">
      <c r="A20" s="181"/>
      <c r="B20" s="167" t="str">
        <f>IF($AW20=0,"",INDEX($AO$7:$AO$26,$AW20))</f>
        <v>GENTE</v>
      </c>
      <c r="C20" s="168" t="str">
        <f>IF($AW20=0,"",INDEX($AN$7:$AN$26,$AW20))</f>
        <v>Falta</v>
      </c>
      <c r="D20" s="169" t="str">
        <f>IF(OR($AW20=0,N($BA20)=0),"",IFERROR(1/(1/INDEX(BD!$Y$23:$AS$42,$BA20,MATCH($C$2,BD!$Y$22:$AS$22,0))),""))</f>
        <v/>
      </c>
      <c r="E20" s="170"/>
      <c r="F20" s="171" t="str">
        <f>IF(OR($AW20=0,F$5=""),"",IF($AY20="taxa",IF(COUNTIFS(BD!$A$3:$A$5001,F$5,BD!$B$3:$B$5001,$C$2,BD!$M$3:$M$5001,"&lt;&gt;")=0,"",IFERROR(SUMIFS(BD!$M$3:$M$5001,BD!$A$3:$A$5001,F$5,BD!$B$3:$B$5001,$C$2)/SUMIFS(BD!$L$3:$L$5001,BD!$A$3:$A$5001,F$5,BD!$B$3:$B$5001,$C$2),"")),IF(COUNTIFS(BD!$A$3:$A$5001,F$5,BD!$B$3:$B$5001,$C$2,INDEX(BD!$A$3:$V$5001,0,$AX20),"&lt;&gt;")=0,"",SUMIFS(INDEX(BD!$A$3:$V$5001,0,$AX20),BD!$A$3:$A$5001,F$5,BD!$B$3:$B$5001,$C$2))))</f>
        <v/>
      </c>
      <c r="G20" s="172" t="str">
        <f>IF(OR($AW20=0,G$5=""),"",IF($AY20="taxa",IF(COUNTIFS(BD!$A$3:$A$5001,G$5,BD!$B$3:$B$5001,$C$2,BD!$M$3:$M$5001,"&lt;&gt;")=0,"",IFERROR(SUMIFS(BD!$M$3:$M$5001,BD!$A$3:$A$5001,G$5,BD!$B$3:$B$5001,$C$2)/SUMIFS(BD!$L$3:$L$5001,BD!$A$3:$A$5001,G$5,BD!$B$3:$B$5001,$C$2),"")),IF(COUNTIFS(BD!$A$3:$A$5001,G$5,BD!$B$3:$B$5001,$C$2,INDEX(BD!$A$3:$V$5001,0,$AX20),"&lt;&gt;")=0,"",SUMIFS(INDEX(BD!$A$3:$V$5001,0,$AX20),BD!$A$3:$A$5001,G$5,BD!$B$3:$B$5001,$C$2))))</f>
        <v/>
      </c>
      <c r="H20" s="172" t="str">
        <f>IF(OR($AW20=0,H$5=""),"",IF($AY20="taxa",IF(COUNTIFS(BD!$A$3:$A$5001,H$5,BD!$B$3:$B$5001,$C$2,BD!$M$3:$M$5001,"&lt;&gt;")=0,"",IFERROR(SUMIFS(BD!$M$3:$M$5001,BD!$A$3:$A$5001,H$5,BD!$B$3:$B$5001,$C$2)/SUMIFS(BD!$L$3:$L$5001,BD!$A$3:$A$5001,H$5,BD!$B$3:$B$5001,$C$2),"")),IF(COUNTIFS(BD!$A$3:$A$5001,H$5,BD!$B$3:$B$5001,$C$2,INDEX(BD!$A$3:$V$5001,0,$AX20),"&lt;&gt;")=0,"",SUMIFS(INDEX(BD!$A$3:$V$5001,0,$AX20),BD!$A$3:$A$5001,H$5,BD!$B$3:$B$5001,$C$2))))</f>
        <v/>
      </c>
      <c r="I20" s="172" t="str">
        <f>IF(OR($AW20=0,I$5=""),"",IF($AY20="taxa",IF(COUNTIFS(BD!$A$3:$A$5001,I$5,BD!$B$3:$B$5001,$C$2,BD!$M$3:$M$5001,"&lt;&gt;")=0,"",IFERROR(SUMIFS(BD!$M$3:$M$5001,BD!$A$3:$A$5001,I$5,BD!$B$3:$B$5001,$C$2)/SUMIFS(BD!$L$3:$L$5001,BD!$A$3:$A$5001,I$5,BD!$B$3:$B$5001,$C$2),"")),IF(COUNTIFS(BD!$A$3:$A$5001,I$5,BD!$B$3:$B$5001,$C$2,INDEX(BD!$A$3:$V$5001,0,$AX20),"&lt;&gt;")=0,"",SUMIFS(INDEX(BD!$A$3:$V$5001,0,$AX20),BD!$A$3:$A$5001,I$5,BD!$B$3:$B$5001,$C$2))))</f>
        <v/>
      </c>
      <c r="J20" s="172" t="str">
        <f>IF(OR($AW20=0,J$5=""),"",IF($AY20="taxa",IF(COUNTIFS(BD!$A$3:$A$5001,J$5,BD!$B$3:$B$5001,$C$2,BD!$M$3:$M$5001,"&lt;&gt;")=0,"",IFERROR(SUMIFS(BD!$M$3:$M$5001,BD!$A$3:$A$5001,J$5,BD!$B$3:$B$5001,$C$2)/SUMIFS(BD!$L$3:$L$5001,BD!$A$3:$A$5001,J$5,BD!$B$3:$B$5001,$C$2),"")),IF(COUNTIFS(BD!$A$3:$A$5001,J$5,BD!$B$3:$B$5001,$C$2,INDEX(BD!$A$3:$V$5001,0,$AX20),"&lt;&gt;")=0,"",SUMIFS(INDEX(BD!$A$3:$V$5001,0,$AX20),BD!$A$3:$A$5001,J$5,BD!$B$3:$B$5001,$C$2))))</f>
        <v/>
      </c>
      <c r="K20" s="172" t="str">
        <f>IF(OR($AW20=0,K$5=""),"",IF($AY20="taxa",IF(COUNTIFS(BD!$A$3:$A$5001,K$5,BD!$B$3:$B$5001,$C$2,BD!$M$3:$M$5001,"&lt;&gt;")=0,"",IFERROR(SUMIFS(BD!$M$3:$M$5001,BD!$A$3:$A$5001,K$5,BD!$B$3:$B$5001,$C$2)/SUMIFS(BD!$L$3:$L$5001,BD!$A$3:$A$5001,K$5,BD!$B$3:$B$5001,$C$2),"")),IF(COUNTIFS(BD!$A$3:$A$5001,K$5,BD!$B$3:$B$5001,$C$2,INDEX(BD!$A$3:$V$5001,0,$AX20),"&lt;&gt;")=0,"",SUMIFS(INDEX(BD!$A$3:$V$5001,0,$AX20),BD!$A$3:$A$5001,K$5,BD!$B$3:$B$5001,$C$2))))</f>
        <v/>
      </c>
      <c r="L20" s="172" t="str">
        <f>IF(OR($AW20=0,L$5=""),"",IF($AY20="taxa",IF(COUNTIFS(BD!$A$3:$A$5001,L$5,BD!$B$3:$B$5001,$C$2,BD!$M$3:$M$5001,"&lt;&gt;")=0,"",IFERROR(SUMIFS(BD!$M$3:$M$5001,BD!$A$3:$A$5001,L$5,BD!$B$3:$B$5001,$C$2)/SUMIFS(BD!$L$3:$L$5001,BD!$A$3:$A$5001,L$5,BD!$B$3:$B$5001,$C$2),"")),IF(COUNTIFS(BD!$A$3:$A$5001,L$5,BD!$B$3:$B$5001,$C$2,INDEX(BD!$A$3:$V$5001,0,$AX20),"&lt;&gt;")=0,"",SUMIFS(INDEX(BD!$A$3:$V$5001,0,$AX20),BD!$A$3:$A$5001,L$5,BD!$B$3:$B$5001,$C$2))))</f>
        <v/>
      </c>
      <c r="M20" s="172" t="str">
        <f>IF(OR($AW20=0,M$5=""),"",IF($AY20="taxa",IF(COUNTIFS(BD!$A$3:$A$5001,M$5,BD!$B$3:$B$5001,$C$2,BD!$M$3:$M$5001,"&lt;&gt;")=0,"",IFERROR(SUMIFS(BD!$M$3:$M$5001,BD!$A$3:$A$5001,M$5,BD!$B$3:$B$5001,$C$2)/SUMIFS(BD!$L$3:$L$5001,BD!$A$3:$A$5001,M$5,BD!$B$3:$B$5001,$C$2),"")),IF(COUNTIFS(BD!$A$3:$A$5001,M$5,BD!$B$3:$B$5001,$C$2,INDEX(BD!$A$3:$V$5001,0,$AX20),"&lt;&gt;")=0,"",SUMIFS(INDEX(BD!$A$3:$V$5001,0,$AX20),BD!$A$3:$A$5001,M$5,BD!$B$3:$B$5001,$C$2))))</f>
        <v/>
      </c>
      <c r="N20" s="172" t="str">
        <f>IF(OR($AW20=0,N$5=""),"",IF($AY20="taxa",IF(COUNTIFS(BD!$A$3:$A$5001,N$5,BD!$B$3:$B$5001,$C$2,BD!$M$3:$M$5001,"&lt;&gt;")=0,"",IFERROR(SUMIFS(BD!$M$3:$M$5001,BD!$A$3:$A$5001,N$5,BD!$B$3:$B$5001,$C$2)/SUMIFS(BD!$L$3:$L$5001,BD!$A$3:$A$5001,N$5,BD!$B$3:$B$5001,$C$2),"")),IF(COUNTIFS(BD!$A$3:$A$5001,N$5,BD!$B$3:$B$5001,$C$2,INDEX(BD!$A$3:$V$5001,0,$AX20),"&lt;&gt;")=0,"",SUMIFS(INDEX(BD!$A$3:$V$5001,0,$AX20),BD!$A$3:$A$5001,N$5,BD!$B$3:$B$5001,$C$2))))</f>
        <v/>
      </c>
      <c r="O20" s="172" t="str">
        <f>IF(OR($AW20=0,O$5=""),"",IF($AY20="taxa",IF(COUNTIFS(BD!$A$3:$A$5001,O$5,BD!$B$3:$B$5001,$C$2,BD!$M$3:$M$5001,"&lt;&gt;")=0,"",IFERROR(SUMIFS(BD!$M$3:$M$5001,BD!$A$3:$A$5001,O$5,BD!$B$3:$B$5001,$C$2)/SUMIFS(BD!$L$3:$L$5001,BD!$A$3:$A$5001,O$5,BD!$B$3:$B$5001,$C$2),"")),IF(COUNTIFS(BD!$A$3:$A$5001,O$5,BD!$B$3:$B$5001,$C$2,INDEX(BD!$A$3:$V$5001,0,$AX20),"&lt;&gt;")=0,"",SUMIFS(INDEX(BD!$A$3:$V$5001,0,$AX20),BD!$A$3:$A$5001,O$5,BD!$B$3:$B$5001,$C$2))))</f>
        <v/>
      </c>
      <c r="P20" s="172" t="str">
        <f>IF(OR($AW20=0,P$5=""),"",IF($AY20="taxa",IF(COUNTIFS(BD!$A$3:$A$5001,P$5,BD!$B$3:$B$5001,$C$2,BD!$M$3:$M$5001,"&lt;&gt;")=0,"",IFERROR(SUMIFS(BD!$M$3:$M$5001,BD!$A$3:$A$5001,P$5,BD!$B$3:$B$5001,$C$2)/SUMIFS(BD!$L$3:$L$5001,BD!$A$3:$A$5001,P$5,BD!$B$3:$B$5001,$C$2),"")),IF(COUNTIFS(BD!$A$3:$A$5001,P$5,BD!$B$3:$B$5001,$C$2,INDEX(BD!$A$3:$V$5001,0,$AX20),"&lt;&gt;")=0,"",SUMIFS(INDEX(BD!$A$3:$V$5001,0,$AX20),BD!$A$3:$A$5001,P$5,BD!$B$3:$B$5001,$C$2))))</f>
        <v/>
      </c>
      <c r="Q20" s="172" t="str">
        <f>IF(OR($AW20=0,Q$5=""),"",IF($AY20="taxa",IF(COUNTIFS(BD!$A$3:$A$5001,Q$5,BD!$B$3:$B$5001,$C$2,BD!$M$3:$M$5001,"&lt;&gt;")=0,"",IFERROR(SUMIFS(BD!$M$3:$M$5001,BD!$A$3:$A$5001,Q$5,BD!$B$3:$B$5001,$C$2)/SUMIFS(BD!$L$3:$L$5001,BD!$A$3:$A$5001,Q$5,BD!$B$3:$B$5001,$C$2),"")),IF(COUNTIFS(BD!$A$3:$A$5001,Q$5,BD!$B$3:$B$5001,$C$2,INDEX(BD!$A$3:$V$5001,0,$AX20),"&lt;&gt;")=0,"",SUMIFS(INDEX(BD!$A$3:$V$5001,0,$AX20),BD!$A$3:$A$5001,Q$5,BD!$B$3:$B$5001,$C$2))))</f>
        <v/>
      </c>
      <c r="R20" s="172" t="str">
        <f>IF(OR($AW20=0,R$5=""),"",IF($AY20="taxa",IF(COUNTIFS(BD!$A$3:$A$5001,R$5,BD!$B$3:$B$5001,$C$2,BD!$M$3:$M$5001,"&lt;&gt;")=0,"",IFERROR(SUMIFS(BD!$M$3:$M$5001,BD!$A$3:$A$5001,R$5,BD!$B$3:$B$5001,$C$2)/SUMIFS(BD!$L$3:$L$5001,BD!$A$3:$A$5001,R$5,BD!$B$3:$B$5001,$C$2),"")),IF(COUNTIFS(BD!$A$3:$A$5001,R$5,BD!$B$3:$B$5001,$C$2,INDEX(BD!$A$3:$V$5001,0,$AX20),"&lt;&gt;")=0,"",SUMIFS(INDEX(BD!$A$3:$V$5001,0,$AX20),BD!$A$3:$A$5001,R$5,BD!$B$3:$B$5001,$C$2))))</f>
        <v/>
      </c>
      <c r="S20" s="172" t="str">
        <f>IF(OR($AW20=0,S$5=""),"",IF($AY20="taxa",IF(COUNTIFS(BD!$A$3:$A$5001,S$5,BD!$B$3:$B$5001,$C$2,BD!$M$3:$M$5001,"&lt;&gt;")=0,"",IFERROR(SUMIFS(BD!$M$3:$M$5001,BD!$A$3:$A$5001,S$5,BD!$B$3:$B$5001,$C$2)/SUMIFS(BD!$L$3:$L$5001,BD!$A$3:$A$5001,S$5,BD!$B$3:$B$5001,$C$2),"")),IF(COUNTIFS(BD!$A$3:$A$5001,S$5,BD!$B$3:$B$5001,$C$2,INDEX(BD!$A$3:$V$5001,0,$AX20),"&lt;&gt;")=0,"",SUMIFS(INDEX(BD!$A$3:$V$5001,0,$AX20),BD!$A$3:$A$5001,S$5,BD!$B$3:$B$5001,$C$2))))</f>
        <v/>
      </c>
      <c r="T20" s="172" t="str">
        <f>IF(OR($AW20=0,T$5=""),"",IF($AY20="taxa",IF(COUNTIFS(BD!$A$3:$A$5001,T$5,BD!$B$3:$B$5001,$C$2,BD!$M$3:$M$5001,"&lt;&gt;")=0,"",IFERROR(SUMIFS(BD!$M$3:$M$5001,BD!$A$3:$A$5001,T$5,BD!$B$3:$B$5001,$C$2)/SUMIFS(BD!$L$3:$L$5001,BD!$A$3:$A$5001,T$5,BD!$B$3:$B$5001,$C$2),"")),IF(COUNTIFS(BD!$A$3:$A$5001,T$5,BD!$B$3:$B$5001,$C$2,INDEX(BD!$A$3:$V$5001,0,$AX20),"&lt;&gt;")=0,"",SUMIFS(INDEX(BD!$A$3:$V$5001,0,$AX20),BD!$A$3:$A$5001,T$5,BD!$B$3:$B$5001,$C$2))))</f>
        <v/>
      </c>
      <c r="U20" s="172" t="str">
        <f>IF(OR($AW20=0,U$5=""),"",IF($AY20="taxa",IF(COUNTIFS(BD!$A$3:$A$5001,U$5,BD!$B$3:$B$5001,$C$2,BD!$M$3:$M$5001,"&lt;&gt;")=0,"",IFERROR(SUMIFS(BD!$M$3:$M$5001,BD!$A$3:$A$5001,U$5,BD!$B$3:$B$5001,$C$2)/SUMIFS(BD!$L$3:$L$5001,BD!$A$3:$A$5001,U$5,BD!$B$3:$B$5001,$C$2),"")),IF(COUNTIFS(BD!$A$3:$A$5001,U$5,BD!$B$3:$B$5001,$C$2,INDEX(BD!$A$3:$V$5001,0,$AX20),"&lt;&gt;")=0,"",SUMIFS(INDEX(BD!$A$3:$V$5001,0,$AX20),BD!$A$3:$A$5001,U$5,BD!$B$3:$B$5001,$C$2))))</f>
        <v/>
      </c>
      <c r="V20" s="172" t="str">
        <f>IF(OR($AW20=0,V$5=""),"",IF($AY20="taxa",IF(COUNTIFS(BD!$A$3:$A$5001,V$5,BD!$B$3:$B$5001,$C$2,BD!$M$3:$M$5001,"&lt;&gt;")=0,"",IFERROR(SUMIFS(BD!$M$3:$M$5001,BD!$A$3:$A$5001,V$5,BD!$B$3:$B$5001,$C$2)/SUMIFS(BD!$L$3:$L$5001,BD!$A$3:$A$5001,V$5,BD!$B$3:$B$5001,$C$2),"")),IF(COUNTIFS(BD!$A$3:$A$5001,V$5,BD!$B$3:$B$5001,$C$2,INDEX(BD!$A$3:$V$5001,0,$AX20),"&lt;&gt;")=0,"",SUMIFS(INDEX(BD!$A$3:$V$5001,0,$AX20),BD!$A$3:$A$5001,V$5,BD!$B$3:$B$5001,$C$2))))</f>
        <v/>
      </c>
      <c r="W20" s="172" t="str">
        <f>IF(OR($AW20=0,W$5=""),"",IF($AY20="taxa",IF(COUNTIFS(BD!$A$3:$A$5001,W$5,BD!$B$3:$B$5001,$C$2,BD!$M$3:$M$5001,"&lt;&gt;")=0,"",IFERROR(SUMIFS(BD!$M$3:$M$5001,BD!$A$3:$A$5001,W$5,BD!$B$3:$B$5001,$C$2)/SUMIFS(BD!$L$3:$L$5001,BD!$A$3:$A$5001,W$5,BD!$B$3:$B$5001,$C$2),"")),IF(COUNTIFS(BD!$A$3:$A$5001,W$5,BD!$B$3:$B$5001,$C$2,INDEX(BD!$A$3:$V$5001,0,$AX20),"&lt;&gt;")=0,"",SUMIFS(INDEX(BD!$A$3:$V$5001,0,$AX20),BD!$A$3:$A$5001,W$5,BD!$B$3:$B$5001,$C$2))))</f>
        <v/>
      </c>
      <c r="X20" s="172" t="str">
        <f>IF(OR($AW20=0,X$5=""),"",IF($AY20="taxa",IF(COUNTIFS(BD!$A$3:$A$5001,X$5,BD!$B$3:$B$5001,$C$2,BD!$M$3:$M$5001,"&lt;&gt;")=0,"",IFERROR(SUMIFS(BD!$M$3:$M$5001,BD!$A$3:$A$5001,X$5,BD!$B$3:$B$5001,$C$2)/SUMIFS(BD!$L$3:$L$5001,BD!$A$3:$A$5001,X$5,BD!$B$3:$B$5001,$C$2),"")),IF(COUNTIFS(BD!$A$3:$A$5001,X$5,BD!$B$3:$B$5001,$C$2,INDEX(BD!$A$3:$V$5001,0,$AX20),"&lt;&gt;")=0,"",SUMIFS(INDEX(BD!$A$3:$V$5001,0,$AX20),BD!$A$3:$A$5001,X$5,BD!$B$3:$B$5001,$C$2))))</f>
        <v/>
      </c>
      <c r="Y20" s="172" t="str">
        <f>IF(OR($AW20=0,Y$5=""),"",IF($AY20="taxa",IF(COUNTIFS(BD!$A$3:$A$5001,Y$5,BD!$B$3:$B$5001,$C$2,BD!$M$3:$M$5001,"&lt;&gt;")=0,"",IFERROR(SUMIFS(BD!$M$3:$M$5001,BD!$A$3:$A$5001,Y$5,BD!$B$3:$B$5001,$C$2)/SUMIFS(BD!$L$3:$L$5001,BD!$A$3:$A$5001,Y$5,BD!$B$3:$B$5001,$C$2),"")),IF(COUNTIFS(BD!$A$3:$A$5001,Y$5,BD!$B$3:$B$5001,$C$2,INDEX(BD!$A$3:$V$5001,0,$AX20),"&lt;&gt;")=0,"",SUMIFS(INDEX(BD!$A$3:$V$5001,0,$AX20),BD!$A$3:$A$5001,Y$5,BD!$B$3:$B$5001,$C$2))))</f>
        <v/>
      </c>
      <c r="Z20" s="172" t="str">
        <f>IF(OR($AW20=0,Z$5=""),"",IF($AY20="taxa",IF(COUNTIFS(BD!$A$3:$A$5001,Z$5,BD!$B$3:$B$5001,$C$2,BD!$M$3:$M$5001,"&lt;&gt;")=0,"",IFERROR(SUMIFS(BD!$M$3:$M$5001,BD!$A$3:$A$5001,Z$5,BD!$B$3:$B$5001,$C$2)/SUMIFS(BD!$L$3:$L$5001,BD!$A$3:$A$5001,Z$5,BD!$B$3:$B$5001,$C$2),"")),IF(COUNTIFS(BD!$A$3:$A$5001,Z$5,BD!$B$3:$B$5001,$C$2,INDEX(BD!$A$3:$V$5001,0,$AX20),"&lt;&gt;")=0,"",SUMIFS(INDEX(BD!$A$3:$V$5001,0,$AX20),BD!$A$3:$A$5001,Z$5,BD!$B$3:$B$5001,$C$2))))</f>
        <v/>
      </c>
      <c r="AA20" s="172" t="str">
        <f>IF(OR($AW20=0,AA$5=""),"",IF($AY20="taxa",IF(COUNTIFS(BD!$A$3:$A$5001,AA$5,BD!$B$3:$B$5001,$C$2,BD!$M$3:$M$5001,"&lt;&gt;")=0,"",IFERROR(SUMIFS(BD!$M$3:$M$5001,BD!$A$3:$A$5001,AA$5,BD!$B$3:$B$5001,$C$2)/SUMIFS(BD!$L$3:$L$5001,BD!$A$3:$A$5001,AA$5,BD!$B$3:$B$5001,$C$2),"")),IF(COUNTIFS(BD!$A$3:$A$5001,AA$5,BD!$B$3:$B$5001,$C$2,INDEX(BD!$A$3:$V$5001,0,$AX20),"&lt;&gt;")=0,"",SUMIFS(INDEX(BD!$A$3:$V$5001,0,$AX20),BD!$A$3:$A$5001,AA$5,BD!$B$3:$B$5001,$C$2))))</f>
        <v/>
      </c>
      <c r="AB20" s="172" t="str">
        <f>IF(OR($AW20=0,AB$5=""),"",IF($AY20="taxa",IF(COUNTIFS(BD!$A$3:$A$5001,AB$5,BD!$B$3:$B$5001,$C$2,BD!$M$3:$M$5001,"&lt;&gt;")=0,"",IFERROR(SUMIFS(BD!$M$3:$M$5001,BD!$A$3:$A$5001,AB$5,BD!$B$3:$B$5001,$C$2)/SUMIFS(BD!$L$3:$L$5001,BD!$A$3:$A$5001,AB$5,BD!$B$3:$B$5001,$C$2),"")),IF(COUNTIFS(BD!$A$3:$A$5001,AB$5,BD!$B$3:$B$5001,$C$2,INDEX(BD!$A$3:$V$5001,0,$AX20),"&lt;&gt;")=0,"",SUMIFS(INDEX(BD!$A$3:$V$5001,0,$AX20),BD!$A$3:$A$5001,AB$5,BD!$B$3:$B$5001,$C$2))))</f>
        <v/>
      </c>
      <c r="AC20" s="172" t="str">
        <f>IF(OR($AW20=0,AC$5=""),"",IF($AY20="taxa",IF(COUNTIFS(BD!$A$3:$A$5001,AC$5,BD!$B$3:$B$5001,$C$2,BD!$M$3:$M$5001,"&lt;&gt;")=0,"",IFERROR(SUMIFS(BD!$M$3:$M$5001,BD!$A$3:$A$5001,AC$5,BD!$B$3:$B$5001,$C$2)/SUMIFS(BD!$L$3:$L$5001,BD!$A$3:$A$5001,AC$5,BD!$B$3:$B$5001,$C$2),"")),IF(COUNTIFS(BD!$A$3:$A$5001,AC$5,BD!$B$3:$B$5001,$C$2,INDEX(BD!$A$3:$V$5001,0,$AX20),"&lt;&gt;")=0,"",SUMIFS(INDEX(BD!$A$3:$V$5001,0,$AX20),BD!$A$3:$A$5001,AC$5,BD!$B$3:$B$5001,$C$2))))</f>
        <v/>
      </c>
      <c r="AD20" s="172" t="str">
        <f>IF(OR($AW20=0,AD$5=""),"",IF($AY20="taxa",IF(COUNTIFS(BD!$A$3:$A$5001,AD$5,BD!$B$3:$B$5001,$C$2,BD!$M$3:$M$5001,"&lt;&gt;")=0,"",IFERROR(SUMIFS(BD!$M$3:$M$5001,BD!$A$3:$A$5001,AD$5,BD!$B$3:$B$5001,$C$2)/SUMIFS(BD!$L$3:$L$5001,BD!$A$3:$A$5001,AD$5,BD!$B$3:$B$5001,$C$2),"")),IF(COUNTIFS(BD!$A$3:$A$5001,AD$5,BD!$B$3:$B$5001,$C$2,INDEX(BD!$A$3:$V$5001,0,$AX20),"&lt;&gt;")=0,"",SUMIFS(INDEX(BD!$A$3:$V$5001,0,$AX20),BD!$A$3:$A$5001,AD$5,BD!$B$3:$B$5001,$C$2))))</f>
        <v/>
      </c>
      <c r="AE20" s="172" t="str">
        <f>IF(OR($AW20=0,AE$5=""),"",IF($AY20="taxa",IF(COUNTIFS(BD!$A$3:$A$5001,AE$5,BD!$B$3:$B$5001,$C$2,BD!$M$3:$M$5001,"&lt;&gt;")=0,"",IFERROR(SUMIFS(BD!$M$3:$M$5001,BD!$A$3:$A$5001,AE$5,BD!$B$3:$B$5001,$C$2)/SUMIFS(BD!$L$3:$L$5001,BD!$A$3:$A$5001,AE$5,BD!$B$3:$B$5001,$C$2),"")),IF(COUNTIFS(BD!$A$3:$A$5001,AE$5,BD!$B$3:$B$5001,$C$2,INDEX(BD!$A$3:$V$5001,0,$AX20),"&lt;&gt;")=0,"",SUMIFS(INDEX(BD!$A$3:$V$5001,0,$AX20),BD!$A$3:$A$5001,AE$5,BD!$B$3:$B$5001,$C$2))))</f>
        <v/>
      </c>
      <c r="AF20" s="172" t="str">
        <f>IF(OR($AW20=0,AF$5=""),"",IF($AY20="taxa",IF(COUNTIFS(BD!$A$3:$A$5001,AF$5,BD!$B$3:$B$5001,$C$2,BD!$M$3:$M$5001,"&lt;&gt;")=0,"",IFERROR(SUMIFS(BD!$M$3:$M$5001,BD!$A$3:$A$5001,AF$5,BD!$B$3:$B$5001,$C$2)/SUMIFS(BD!$L$3:$L$5001,BD!$A$3:$A$5001,AF$5,BD!$B$3:$B$5001,$C$2),"")),IF(COUNTIFS(BD!$A$3:$A$5001,AF$5,BD!$B$3:$B$5001,$C$2,INDEX(BD!$A$3:$V$5001,0,$AX20),"&lt;&gt;")=0,"",SUMIFS(INDEX(BD!$A$3:$V$5001,0,$AX20),BD!$A$3:$A$5001,AF$5,BD!$B$3:$B$5001,$C$2))))</f>
        <v/>
      </c>
      <c r="AG20" s="172" t="str">
        <f>IF(OR($AW20=0,AG$5=""),"",IF($AY20="taxa",IF(COUNTIFS(BD!$A$3:$A$5001,AG$5,BD!$B$3:$B$5001,$C$2,BD!$M$3:$M$5001,"&lt;&gt;")=0,"",IFERROR(SUMIFS(BD!$M$3:$M$5001,BD!$A$3:$A$5001,AG$5,BD!$B$3:$B$5001,$C$2)/SUMIFS(BD!$L$3:$L$5001,BD!$A$3:$A$5001,AG$5,BD!$B$3:$B$5001,$C$2),"")),IF(COUNTIFS(BD!$A$3:$A$5001,AG$5,BD!$B$3:$B$5001,$C$2,INDEX(BD!$A$3:$V$5001,0,$AX20),"&lt;&gt;")=0,"",SUMIFS(INDEX(BD!$A$3:$V$5001,0,$AX20),BD!$A$3:$A$5001,AG$5,BD!$B$3:$B$5001,$C$2))))</f>
        <v/>
      </c>
      <c r="AH20" s="172" t="str">
        <f>IF(OR($AW20=0,AH$5=""),"",IF($AY20="taxa",IF(COUNTIFS(BD!$A$3:$A$5001,AH$5,BD!$B$3:$B$5001,$C$2,BD!$M$3:$M$5001,"&lt;&gt;")=0,"",IFERROR(SUMIFS(BD!$M$3:$M$5001,BD!$A$3:$A$5001,AH$5,BD!$B$3:$B$5001,$C$2)/SUMIFS(BD!$L$3:$L$5001,BD!$A$3:$A$5001,AH$5,BD!$B$3:$B$5001,$C$2),"")),IF(COUNTIFS(BD!$A$3:$A$5001,AH$5,BD!$B$3:$B$5001,$C$2,INDEX(BD!$A$3:$V$5001,0,$AX20),"&lt;&gt;")=0,"",SUMIFS(INDEX(BD!$A$3:$V$5001,0,$AX20),BD!$A$3:$A$5001,AH$5,BD!$B$3:$B$5001,$C$2))))</f>
        <v/>
      </c>
      <c r="AI20" s="172" t="str">
        <f>IF(OR($AW20=0,AI$5=""),"",IF($AY20="taxa",IF(COUNTIFS(BD!$A$3:$A$5001,AI$5,BD!$B$3:$B$5001,$C$2,BD!$M$3:$M$5001,"&lt;&gt;")=0,"",IFERROR(SUMIFS(BD!$M$3:$M$5001,BD!$A$3:$A$5001,AI$5,BD!$B$3:$B$5001,$C$2)/SUMIFS(BD!$L$3:$L$5001,BD!$A$3:$A$5001,AI$5,BD!$B$3:$B$5001,$C$2),"")),IF(COUNTIFS(BD!$A$3:$A$5001,AI$5,BD!$B$3:$B$5001,$C$2,INDEX(BD!$A$3:$V$5001,0,$AX20),"&lt;&gt;")=0,"",SUMIFS(INDEX(BD!$A$3:$V$5001,0,$AX20),BD!$A$3:$A$5001,AI$5,BD!$B$3:$B$5001,$C$2))))</f>
        <v/>
      </c>
      <c r="AJ20" s="173" t="str">
        <f>IF(OR($AW20=0,AJ$5=""),"",IF($AY20="taxa",IF(COUNTIFS(BD!$A$3:$A$5001,AJ$5,BD!$B$3:$B$5001,$C$2,BD!$M$3:$M$5001,"&lt;&gt;")=0,"",IFERROR(SUMIFS(BD!$M$3:$M$5001,BD!$A$3:$A$5001,AJ$5,BD!$B$3:$B$5001,$C$2)/SUMIFS(BD!$L$3:$L$5001,BD!$A$3:$A$5001,AJ$5,BD!$B$3:$B$5001,$C$2),"")),IF(COUNTIFS(BD!$A$3:$A$5001,AJ$5,BD!$B$3:$B$5001,$C$2,INDEX(BD!$A$3:$V$5001,0,$AX20),"&lt;&gt;")=0,"",SUMIFS(INDEX(BD!$A$3:$V$5001,0,$AX20),BD!$A$3:$A$5001,AJ$5,BD!$B$3:$B$5001,$C$2))))</f>
        <v/>
      </c>
      <c r="AK20" s="169" t="str">
        <f>IF($AW20=0,"",IF($AY20="fluxo",IF(COUNT(F20:AJ20)=0,"",SUM(F20:AJ20)),IFERROR(LOOKUP(9.99E+307,F20:AJ20),"")))</f>
        <v/>
      </c>
      <c r="AN20" s="159" t="inlineStr">
        <is>
          <t xml:space="preserve">Falta</t>
        </is>
      </c>
      <c r="AO20" s="159" t="inlineStr">
        <is>
          <t xml:space="preserve">GENTE</t>
        </is>
      </c>
      <c r="AP20" s="159">
        <v>15</v>
      </c>
      <c r="AQ20" s="159" t="inlineStr">
        <is>
          <t xml:space="preserve">fluxo</t>
        </is>
      </c>
      <c r="AR20" s="159">
        <v>14</v>
      </c>
      <c r="AS20" s="159" t="inlineStr">
        <is>
          <t xml:space="preserve">int</t>
        </is>
      </c>
      <c r="AT20" s="159">
        <f>IF($C$2="",0,IF(IFERROR(INDEX(Config!$P$35:$P$54,MATCH($C$2,Config!$B$35:$B$54,0)),"Sim")="Não",0,1))</f>
        <v>1</v>
      </c>
      <c r="AU20" s="159">
        <f>AU19+AT20</f>
        <v>14</v>
      </c>
      <c r="AW20" s="159">
        <f>IFERROR(MATCH(14,$AU$7:$AU$26,0),0)</f>
        <v>14</v>
      </c>
      <c r="AX20" s="159">
        <f>IF($AW20=0,"",INDEX($AP$7:$AP$26,$AW20))</f>
        <v>15</v>
      </c>
      <c r="AY20" s="159" t="str">
        <f>IF($AW20=0,"",INDEX($AQ$7:$AQ$26,$AW20))</f>
        <v>fluxo</v>
      </c>
      <c r="AZ20" s="159" t="str">
        <f>IF($AW20=0,"",INDEX($AS$7:$AS$26,$AW20))</f>
        <v>int</v>
      </c>
      <c r="BA20" s="159">
        <f>IF($AW20=0,"",INDEX($AR$7:$AR$26,$AW20))</f>
        <v>14</v>
      </c>
    </row>
    <row r="21" ht="15.75" customHeight="1">
      <c r="A21" s="181"/>
      <c r="B21" s="167" t="str">
        <f>IF($AW21=0,"",INDEX($AO$7:$AO$26,$AW21))</f>
        <v>GENTE</v>
      </c>
      <c r="C21" s="168" t="str">
        <f>IF($AW21=0,"",INDEX($AN$7:$AN$26,$AW21))</f>
        <v>Folga</v>
      </c>
      <c r="D21" s="169" t="str">
        <f>IF(OR($AW21=0,N($BA21)=0),"",IFERROR(1/(1/INDEX(BD!$Y$23:$AS$42,$BA21,MATCH($C$2,BD!$Y$22:$AS$22,0))),""))</f>
        <v/>
      </c>
      <c r="E21" s="170"/>
      <c r="F21" s="171" t="str">
        <f>IF(OR($AW21=0,F$5=""),"",IF($AY21="taxa",IF(COUNTIFS(BD!$A$3:$A$5001,F$5,BD!$B$3:$B$5001,$C$2,BD!$M$3:$M$5001,"&lt;&gt;")=0,"",IFERROR(SUMIFS(BD!$M$3:$M$5001,BD!$A$3:$A$5001,F$5,BD!$B$3:$B$5001,$C$2)/SUMIFS(BD!$L$3:$L$5001,BD!$A$3:$A$5001,F$5,BD!$B$3:$B$5001,$C$2),"")),IF(COUNTIFS(BD!$A$3:$A$5001,F$5,BD!$B$3:$B$5001,$C$2,INDEX(BD!$A$3:$V$5001,0,$AX21),"&lt;&gt;")=0,"",SUMIFS(INDEX(BD!$A$3:$V$5001,0,$AX21),BD!$A$3:$A$5001,F$5,BD!$B$3:$B$5001,$C$2))))</f>
        <v/>
      </c>
      <c r="G21" s="172" t="str">
        <f>IF(OR($AW21=0,G$5=""),"",IF($AY21="taxa",IF(COUNTIFS(BD!$A$3:$A$5001,G$5,BD!$B$3:$B$5001,$C$2,BD!$M$3:$M$5001,"&lt;&gt;")=0,"",IFERROR(SUMIFS(BD!$M$3:$M$5001,BD!$A$3:$A$5001,G$5,BD!$B$3:$B$5001,$C$2)/SUMIFS(BD!$L$3:$L$5001,BD!$A$3:$A$5001,G$5,BD!$B$3:$B$5001,$C$2),"")),IF(COUNTIFS(BD!$A$3:$A$5001,G$5,BD!$B$3:$B$5001,$C$2,INDEX(BD!$A$3:$V$5001,0,$AX21),"&lt;&gt;")=0,"",SUMIFS(INDEX(BD!$A$3:$V$5001,0,$AX21),BD!$A$3:$A$5001,G$5,BD!$B$3:$B$5001,$C$2))))</f>
        <v/>
      </c>
      <c r="H21" s="172" t="str">
        <f>IF(OR($AW21=0,H$5=""),"",IF($AY21="taxa",IF(COUNTIFS(BD!$A$3:$A$5001,H$5,BD!$B$3:$B$5001,$C$2,BD!$M$3:$M$5001,"&lt;&gt;")=0,"",IFERROR(SUMIFS(BD!$M$3:$M$5001,BD!$A$3:$A$5001,H$5,BD!$B$3:$B$5001,$C$2)/SUMIFS(BD!$L$3:$L$5001,BD!$A$3:$A$5001,H$5,BD!$B$3:$B$5001,$C$2),"")),IF(COUNTIFS(BD!$A$3:$A$5001,H$5,BD!$B$3:$B$5001,$C$2,INDEX(BD!$A$3:$V$5001,0,$AX21),"&lt;&gt;")=0,"",SUMIFS(INDEX(BD!$A$3:$V$5001,0,$AX21),BD!$A$3:$A$5001,H$5,BD!$B$3:$B$5001,$C$2))))</f>
        <v/>
      </c>
      <c r="I21" s="172" t="str">
        <f>IF(OR($AW21=0,I$5=""),"",IF($AY21="taxa",IF(COUNTIFS(BD!$A$3:$A$5001,I$5,BD!$B$3:$B$5001,$C$2,BD!$M$3:$M$5001,"&lt;&gt;")=0,"",IFERROR(SUMIFS(BD!$M$3:$M$5001,BD!$A$3:$A$5001,I$5,BD!$B$3:$B$5001,$C$2)/SUMIFS(BD!$L$3:$L$5001,BD!$A$3:$A$5001,I$5,BD!$B$3:$B$5001,$C$2),"")),IF(COUNTIFS(BD!$A$3:$A$5001,I$5,BD!$B$3:$B$5001,$C$2,INDEX(BD!$A$3:$V$5001,0,$AX21),"&lt;&gt;")=0,"",SUMIFS(INDEX(BD!$A$3:$V$5001,0,$AX21),BD!$A$3:$A$5001,I$5,BD!$B$3:$B$5001,$C$2))))</f>
        <v/>
      </c>
      <c r="J21" s="172" t="str">
        <f>IF(OR($AW21=0,J$5=""),"",IF($AY21="taxa",IF(COUNTIFS(BD!$A$3:$A$5001,J$5,BD!$B$3:$B$5001,$C$2,BD!$M$3:$M$5001,"&lt;&gt;")=0,"",IFERROR(SUMIFS(BD!$M$3:$M$5001,BD!$A$3:$A$5001,J$5,BD!$B$3:$B$5001,$C$2)/SUMIFS(BD!$L$3:$L$5001,BD!$A$3:$A$5001,J$5,BD!$B$3:$B$5001,$C$2),"")),IF(COUNTIFS(BD!$A$3:$A$5001,J$5,BD!$B$3:$B$5001,$C$2,INDEX(BD!$A$3:$V$5001,0,$AX21),"&lt;&gt;")=0,"",SUMIFS(INDEX(BD!$A$3:$V$5001,0,$AX21),BD!$A$3:$A$5001,J$5,BD!$B$3:$B$5001,$C$2))))</f>
        <v/>
      </c>
      <c r="K21" s="172" t="str">
        <f>IF(OR($AW21=0,K$5=""),"",IF($AY21="taxa",IF(COUNTIFS(BD!$A$3:$A$5001,K$5,BD!$B$3:$B$5001,$C$2,BD!$M$3:$M$5001,"&lt;&gt;")=0,"",IFERROR(SUMIFS(BD!$M$3:$M$5001,BD!$A$3:$A$5001,K$5,BD!$B$3:$B$5001,$C$2)/SUMIFS(BD!$L$3:$L$5001,BD!$A$3:$A$5001,K$5,BD!$B$3:$B$5001,$C$2),"")),IF(COUNTIFS(BD!$A$3:$A$5001,K$5,BD!$B$3:$B$5001,$C$2,INDEX(BD!$A$3:$V$5001,0,$AX21),"&lt;&gt;")=0,"",SUMIFS(INDEX(BD!$A$3:$V$5001,0,$AX21),BD!$A$3:$A$5001,K$5,BD!$B$3:$B$5001,$C$2))))</f>
        <v/>
      </c>
      <c r="L21" s="172" t="str">
        <f>IF(OR($AW21=0,L$5=""),"",IF($AY21="taxa",IF(COUNTIFS(BD!$A$3:$A$5001,L$5,BD!$B$3:$B$5001,$C$2,BD!$M$3:$M$5001,"&lt;&gt;")=0,"",IFERROR(SUMIFS(BD!$M$3:$M$5001,BD!$A$3:$A$5001,L$5,BD!$B$3:$B$5001,$C$2)/SUMIFS(BD!$L$3:$L$5001,BD!$A$3:$A$5001,L$5,BD!$B$3:$B$5001,$C$2),"")),IF(COUNTIFS(BD!$A$3:$A$5001,L$5,BD!$B$3:$B$5001,$C$2,INDEX(BD!$A$3:$V$5001,0,$AX21),"&lt;&gt;")=0,"",SUMIFS(INDEX(BD!$A$3:$V$5001,0,$AX21),BD!$A$3:$A$5001,L$5,BD!$B$3:$B$5001,$C$2))))</f>
        <v/>
      </c>
      <c r="M21" s="172" t="str">
        <f>IF(OR($AW21=0,M$5=""),"",IF($AY21="taxa",IF(COUNTIFS(BD!$A$3:$A$5001,M$5,BD!$B$3:$B$5001,$C$2,BD!$M$3:$M$5001,"&lt;&gt;")=0,"",IFERROR(SUMIFS(BD!$M$3:$M$5001,BD!$A$3:$A$5001,M$5,BD!$B$3:$B$5001,$C$2)/SUMIFS(BD!$L$3:$L$5001,BD!$A$3:$A$5001,M$5,BD!$B$3:$B$5001,$C$2),"")),IF(COUNTIFS(BD!$A$3:$A$5001,M$5,BD!$B$3:$B$5001,$C$2,INDEX(BD!$A$3:$V$5001,0,$AX21),"&lt;&gt;")=0,"",SUMIFS(INDEX(BD!$A$3:$V$5001,0,$AX21),BD!$A$3:$A$5001,M$5,BD!$B$3:$B$5001,$C$2))))</f>
        <v/>
      </c>
      <c r="N21" s="172" t="str">
        <f>IF(OR($AW21=0,N$5=""),"",IF($AY21="taxa",IF(COUNTIFS(BD!$A$3:$A$5001,N$5,BD!$B$3:$B$5001,$C$2,BD!$M$3:$M$5001,"&lt;&gt;")=0,"",IFERROR(SUMIFS(BD!$M$3:$M$5001,BD!$A$3:$A$5001,N$5,BD!$B$3:$B$5001,$C$2)/SUMIFS(BD!$L$3:$L$5001,BD!$A$3:$A$5001,N$5,BD!$B$3:$B$5001,$C$2),"")),IF(COUNTIFS(BD!$A$3:$A$5001,N$5,BD!$B$3:$B$5001,$C$2,INDEX(BD!$A$3:$V$5001,0,$AX21),"&lt;&gt;")=0,"",SUMIFS(INDEX(BD!$A$3:$V$5001,0,$AX21),BD!$A$3:$A$5001,N$5,BD!$B$3:$B$5001,$C$2))))</f>
        <v/>
      </c>
      <c r="O21" s="172" t="str">
        <f>IF(OR($AW21=0,O$5=""),"",IF($AY21="taxa",IF(COUNTIFS(BD!$A$3:$A$5001,O$5,BD!$B$3:$B$5001,$C$2,BD!$M$3:$M$5001,"&lt;&gt;")=0,"",IFERROR(SUMIFS(BD!$M$3:$M$5001,BD!$A$3:$A$5001,O$5,BD!$B$3:$B$5001,$C$2)/SUMIFS(BD!$L$3:$L$5001,BD!$A$3:$A$5001,O$5,BD!$B$3:$B$5001,$C$2),"")),IF(COUNTIFS(BD!$A$3:$A$5001,O$5,BD!$B$3:$B$5001,$C$2,INDEX(BD!$A$3:$V$5001,0,$AX21),"&lt;&gt;")=0,"",SUMIFS(INDEX(BD!$A$3:$V$5001,0,$AX21),BD!$A$3:$A$5001,O$5,BD!$B$3:$B$5001,$C$2))))</f>
        <v/>
      </c>
      <c r="P21" s="172" t="str">
        <f>IF(OR($AW21=0,P$5=""),"",IF($AY21="taxa",IF(COUNTIFS(BD!$A$3:$A$5001,P$5,BD!$B$3:$B$5001,$C$2,BD!$M$3:$M$5001,"&lt;&gt;")=0,"",IFERROR(SUMIFS(BD!$M$3:$M$5001,BD!$A$3:$A$5001,P$5,BD!$B$3:$B$5001,$C$2)/SUMIFS(BD!$L$3:$L$5001,BD!$A$3:$A$5001,P$5,BD!$B$3:$B$5001,$C$2),"")),IF(COUNTIFS(BD!$A$3:$A$5001,P$5,BD!$B$3:$B$5001,$C$2,INDEX(BD!$A$3:$V$5001,0,$AX21),"&lt;&gt;")=0,"",SUMIFS(INDEX(BD!$A$3:$V$5001,0,$AX21),BD!$A$3:$A$5001,P$5,BD!$B$3:$B$5001,$C$2))))</f>
        <v/>
      </c>
      <c r="Q21" s="172" t="str">
        <f>IF(OR($AW21=0,Q$5=""),"",IF($AY21="taxa",IF(COUNTIFS(BD!$A$3:$A$5001,Q$5,BD!$B$3:$B$5001,$C$2,BD!$M$3:$M$5001,"&lt;&gt;")=0,"",IFERROR(SUMIFS(BD!$M$3:$M$5001,BD!$A$3:$A$5001,Q$5,BD!$B$3:$B$5001,$C$2)/SUMIFS(BD!$L$3:$L$5001,BD!$A$3:$A$5001,Q$5,BD!$B$3:$B$5001,$C$2),"")),IF(COUNTIFS(BD!$A$3:$A$5001,Q$5,BD!$B$3:$B$5001,$C$2,INDEX(BD!$A$3:$V$5001,0,$AX21),"&lt;&gt;")=0,"",SUMIFS(INDEX(BD!$A$3:$V$5001,0,$AX21),BD!$A$3:$A$5001,Q$5,BD!$B$3:$B$5001,$C$2))))</f>
        <v/>
      </c>
      <c r="R21" s="172" t="str">
        <f>IF(OR($AW21=0,R$5=""),"",IF($AY21="taxa",IF(COUNTIFS(BD!$A$3:$A$5001,R$5,BD!$B$3:$B$5001,$C$2,BD!$M$3:$M$5001,"&lt;&gt;")=0,"",IFERROR(SUMIFS(BD!$M$3:$M$5001,BD!$A$3:$A$5001,R$5,BD!$B$3:$B$5001,$C$2)/SUMIFS(BD!$L$3:$L$5001,BD!$A$3:$A$5001,R$5,BD!$B$3:$B$5001,$C$2),"")),IF(COUNTIFS(BD!$A$3:$A$5001,R$5,BD!$B$3:$B$5001,$C$2,INDEX(BD!$A$3:$V$5001,0,$AX21),"&lt;&gt;")=0,"",SUMIFS(INDEX(BD!$A$3:$V$5001,0,$AX21),BD!$A$3:$A$5001,R$5,BD!$B$3:$B$5001,$C$2))))</f>
        <v/>
      </c>
      <c r="S21" s="172" t="str">
        <f>IF(OR($AW21=0,S$5=""),"",IF($AY21="taxa",IF(COUNTIFS(BD!$A$3:$A$5001,S$5,BD!$B$3:$B$5001,$C$2,BD!$M$3:$M$5001,"&lt;&gt;")=0,"",IFERROR(SUMIFS(BD!$M$3:$M$5001,BD!$A$3:$A$5001,S$5,BD!$B$3:$B$5001,$C$2)/SUMIFS(BD!$L$3:$L$5001,BD!$A$3:$A$5001,S$5,BD!$B$3:$B$5001,$C$2),"")),IF(COUNTIFS(BD!$A$3:$A$5001,S$5,BD!$B$3:$B$5001,$C$2,INDEX(BD!$A$3:$V$5001,0,$AX21),"&lt;&gt;")=0,"",SUMIFS(INDEX(BD!$A$3:$V$5001,0,$AX21),BD!$A$3:$A$5001,S$5,BD!$B$3:$B$5001,$C$2))))</f>
        <v/>
      </c>
      <c r="T21" s="172" t="str">
        <f>IF(OR($AW21=0,T$5=""),"",IF($AY21="taxa",IF(COUNTIFS(BD!$A$3:$A$5001,T$5,BD!$B$3:$B$5001,$C$2,BD!$M$3:$M$5001,"&lt;&gt;")=0,"",IFERROR(SUMIFS(BD!$M$3:$M$5001,BD!$A$3:$A$5001,T$5,BD!$B$3:$B$5001,$C$2)/SUMIFS(BD!$L$3:$L$5001,BD!$A$3:$A$5001,T$5,BD!$B$3:$B$5001,$C$2),"")),IF(COUNTIFS(BD!$A$3:$A$5001,T$5,BD!$B$3:$B$5001,$C$2,INDEX(BD!$A$3:$V$5001,0,$AX21),"&lt;&gt;")=0,"",SUMIFS(INDEX(BD!$A$3:$V$5001,0,$AX21),BD!$A$3:$A$5001,T$5,BD!$B$3:$B$5001,$C$2))))</f>
        <v/>
      </c>
      <c r="U21" s="172" t="str">
        <f>IF(OR($AW21=0,U$5=""),"",IF($AY21="taxa",IF(COUNTIFS(BD!$A$3:$A$5001,U$5,BD!$B$3:$B$5001,$C$2,BD!$M$3:$M$5001,"&lt;&gt;")=0,"",IFERROR(SUMIFS(BD!$M$3:$M$5001,BD!$A$3:$A$5001,U$5,BD!$B$3:$B$5001,$C$2)/SUMIFS(BD!$L$3:$L$5001,BD!$A$3:$A$5001,U$5,BD!$B$3:$B$5001,$C$2),"")),IF(COUNTIFS(BD!$A$3:$A$5001,U$5,BD!$B$3:$B$5001,$C$2,INDEX(BD!$A$3:$V$5001,0,$AX21),"&lt;&gt;")=0,"",SUMIFS(INDEX(BD!$A$3:$V$5001,0,$AX21),BD!$A$3:$A$5001,U$5,BD!$B$3:$B$5001,$C$2))))</f>
        <v/>
      </c>
      <c r="V21" s="172" t="str">
        <f>IF(OR($AW21=0,V$5=""),"",IF($AY21="taxa",IF(COUNTIFS(BD!$A$3:$A$5001,V$5,BD!$B$3:$B$5001,$C$2,BD!$M$3:$M$5001,"&lt;&gt;")=0,"",IFERROR(SUMIFS(BD!$M$3:$M$5001,BD!$A$3:$A$5001,V$5,BD!$B$3:$B$5001,$C$2)/SUMIFS(BD!$L$3:$L$5001,BD!$A$3:$A$5001,V$5,BD!$B$3:$B$5001,$C$2),"")),IF(COUNTIFS(BD!$A$3:$A$5001,V$5,BD!$B$3:$B$5001,$C$2,INDEX(BD!$A$3:$V$5001,0,$AX21),"&lt;&gt;")=0,"",SUMIFS(INDEX(BD!$A$3:$V$5001,0,$AX21),BD!$A$3:$A$5001,V$5,BD!$B$3:$B$5001,$C$2))))</f>
        <v/>
      </c>
      <c r="W21" s="172" t="str">
        <f>IF(OR($AW21=0,W$5=""),"",IF($AY21="taxa",IF(COUNTIFS(BD!$A$3:$A$5001,W$5,BD!$B$3:$B$5001,$C$2,BD!$M$3:$M$5001,"&lt;&gt;")=0,"",IFERROR(SUMIFS(BD!$M$3:$M$5001,BD!$A$3:$A$5001,W$5,BD!$B$3:$B$5001,$C$2)/SUMIFS(BD!$L$3:$L$5001,BD!$A$3:$A$5001,W$5,BD!$B$3:$B$5001,$C$2),"")),IF(COUNTIFS(BD!$A$3:$A$5001,W$5,BD!$B$3:$B$5001,$C$2,INDEX(BD!$A$3:$V$5001,0,$AX21),"&lt;&gt;")=0,"",SUMIFS(INDEX(BD!$A$3:$V$5001,0,$AX21),BD!$A$3:$A$5001,W$5,BD!$B$3:$B$5001,$C$2))))</f>
        <v/>
      </c>
      <c r="X21" s="172" t="str">
        <f>IF(OR($AW21=0,X$5=""),"",IF($AY21="taxa",IF(COUNTIFS(BD!$A$3:$A$5001,X$5,BD!$B$3:$B$5001,$C$2,BD!$M$3:$M$5001,"&lt;&gt;")=0,"",IFERROR(SUMIFS(BD!$M$3:$M$5001,BD!$A$3:$A$5001,X$5,BD!$B$3:$B$5001,$C$2)/SUMIFS(BD!$L$3:$L$5001,BD!$A$3:$A$5001,X$5,BD!$B$3:$B$5001,$C$2),"")),IF(COUNTIFS(BD!$A$3:$A$5001,X$5,BD!$B$3:$B$5001,$C$2,INDEX(BD!$A$3:$V$5001,0,$AX21),"&lt;&gt;")=0,"",SUMIFS(INDEX(BD!$A$3:$V$5001,0,$AX21),BD!$A$3:$A$5001,X$5,BD!$B$3:$B$5001,$C$2))))</f>
        <v/>
      </c>
      <c r="Y21" s="172" t="str">
        <f>IF(OR($AW21=0,Y$5=""),"",IF($AY21="taxa",IF(COUNTIFS(BD!$A$3:$A$5001,Y$5,BD!$B$3:$B$5001,$C$2,BD!$M$3:$M$5001,"&lt;&gt;")=0,"",IFERROR(SUMIFS(BD!$M$3:$M$5001,BD!$A$3:$A$5001,Y$5,BD!$B$3:$B$5001,$C$2)/SUMIFS(BD!$L$3:$L$5001,BD!$A$3:$A$5001,Y$5,BD!$B$3:$B$5001,$C$2),"")),IF(COUNTIFS(BD!$A$3:$A$5001,Y$5,BD!$B$3:$B$5001,$C$2,INDEX(BD!$A$3:$V$5001,0,$AX21),"&lt;&gt;")=0,"",SUMIFS(INDEX(BD!$A$3:$V$5001,0,$AX21),BD!$A$3:$A$5001,Y$5,BD!$B$3:$B$5001,$C$2))))</f>
        <v/>
      </c>
      <c r="Z21" s="172" t="str">
        <f>IF(OR($AW21=0,Z$5=""),"",IF($AY21="taxa",IF(COUNTIFS(BD!$A$3:$A$5001,Z$5,BD!$B$3:$B$5001,$C$2,BD!$M$3:$M$5001,"&lt;&gt;")=0,"",IFERROR(SUMIFS(BD!$M$3:$M$5001,BD!$A$3:$A$5001,Z$5,BD!$B$3:$B$5001,$C$2)/SUMIFS(BD!$L$3:$L$5001,BD!$A$3:$A$5001,Z$5,BD!$B$3:$B$5001,$C$2),"")),IF(COUNTIFS(BD!$A$3:$A$5001,Z$5,BD!$B$3:$B$5001,$C$2,INDEX(BD!$A$3:$V$5001,0,$AX21),"&lt;&gt;")=0,"",SUMIFS(INDEX(BD!$A$3:$V$5001,0,$AX21),BD!$A$3:$A$5001,Z$5,BD!$B$3:$B$5001,$C$2))))</f>
        <v/>
      </c>
      <c r="AA21" s="172" t="str">
        <f>IF(OR($AW21=0,AA$5=""),"",IF($AY21="taxa",IF(COUNTIFS(BD!$A$3:$A$5001,AA$5,BD!$B$3:$B$5001,$C$2,BD!$M$3:$M$5001,"&lt;&gt;")=0,"",IFERROR(SUMIFS(BD!$M$3:$M$5001,BD!$A$3:$A$5001,AA$5,BD!$B$3:$B$5001,$C$2)/SUMIFS(BD!$L$3:$L$5001,BD!$A$3:$A$5001,AA$5,BD!$B$3:$B$5001,$C$2),"")),IF(COUNTIFS(BD!$A$3:$A$5001,AA$5,BD!$B$3:$B$5001,$C$2,INDEX(BD!$A$3:$V$5001,0,$AX21),"&lt;&gt;")=0,"",SUMIFS(INDEX(BD!$A$3:$V$5001,0,$AX21),BD!$A$3:$A$5001,AA$5,BD!$B$3:$B$5001,$C$2))))</f>
        <v/>
      </c>
      <c r="AB21" s="172" t="str">
        <f>IF(OR($AW21=0,AB$5=""),"",IF($AY21="taxa",IF(COUNTIFS(BD!$A$3:$A$5001,AB$5,BD!$B$3:$B$5001,$C$2,BD!$M$3:$M$5001,"&lt;&gt;")=0,"",IFERROR(SUMIFS(BD!$M$3:$M$5001,BD!$A$3:$A$5001,AB$5,BD!$B$3:$B$5001,$C$2)/SUMIFS(BD!$L$3:$L$5001,BD!$A$3:$A$5001,AB$5,BD!$B$3:$B$5001,$C$2),"")),IF(COUNTIFS(BD!$A$3:$A$5001,AB$5,BD!$B$3:$B$5001,$C$2,INDEX(BD!$A$3:$V$5001,0,$AX21),"&lt;&gt;")=0,"",SUMIFS(INDEX(BD!$A$3:$V$5001,0,$AX21),BD!$A$3:$A$5001,AB$5,BD!$B$3:$B$5001,$C$2))))</f>
        <v/>
      </c>
      <c r="AC21" s="172" t="str">
        <f>IF(OR($AW21=0,AC$5=""),"",IF($AY21="taxa",IF(COUNTIFS(BD!$A$3:$A$5001,AC$5,BD!$B$3:$B$5001,$C$2,BD!$M$3:$M$5001,"&lt;&gt;")=0,"",IFERROR(SUMIFS(BD!$M$3:$M$5001,BD!$A$3:$A$5001,AC$5,BD!$B$3:$B$5001,$C$2)/SUMIFS(BD!$L$3:$L$5001,BD!$A$3:$A$5001,AC$5,BD!$B$3:$B$5001,$C$2),"")),IF(COUNTIFS(BD!$A$3:$A$5001,AC$5,BD!$B$3:$B$5001,$C$2,INDEX(BD!$A$3:$V$5001,0,$AX21),"&lt;&gt;")=0,"",SUMIFS(INDEX(BD!$A$3:$V$5001,0,$AX21),BD!$A$3:$A$5001,AC$5,BD!$B$3:$B$5001,$C$2))))</f>
        <v/>
      </c>
      <c r="AD21" s="172" t="str">
        <f>IF(OR($AW21=0,AD$5=""),"",IF($AY21="taxa",IF(COUNTIFS(BD!$A$3:$A$5001,AD$5,BD!$B$3:$B$5001,$C$2,BD!$M$3:$M$5001,"&lt;&gt;")=0,"",IFERROR(SUMIFS(BD!$M$3:$M$5001,BD!$A$3:$A$5001,AD$5,BD!$B$3:$B$5001,$C$2)/SUMIFS(BD!$L$3:$L$5001,BD!$A$3:$A$5001,AD$5,BD!$B$3:$B$5001,$C$2),"")),IF(COUNTIFS(BD!$A$3:$A$5001,AD$5,BD!$B$3:$B$5001,$C$2,INDEX(BD!$A$3:$V$5001,0,$AX21),"&lt;&gt;")=0,"",SUMIFS(INDEX(BD!$A$3:$V$5001,0,$AX21),BD!$A$3:$A$5001,AD$5,BD!$B$3:$B$5001,$C$2))))</f>
        <v/>
      </c>
      <c r="AE21" s="172" t="str">
        <f>IF(OR($AW21=0,AE$5=""),"",IF($AY21="taxa",IF(COUNTIFS(BD!$A$3:$A$5001,AE$5,BD!$B$3:$B$5001,$C$2,BD!$M$3:$M$5001,"&lt;&gt;")=0,"",IFERROR(SUMIFS(BD!$M$3:$M$5001,BD!$A$3:$A$5001,AE$5,BD!$B$3:$B$5001,$C$2)/SUMIFS(BD!$L$3:$L$5001,BD!$A$3:$A$5001,AE$5,BD!$B$3:$B$5001,$C$2),"")),IF(COUNTIFS(BD!$A$3:$A$5001,AE$5,BD!$B$3:$B$5001,$C$2,INDEX(BD!$A$3:$V$5001,0,$AX21),"&lt;&gt;")=0,"",SUMIFS(INDEX(BD!$A$3:$V$5001,0,$AX21),BD!$A$3:$A$5001,AE$5,BD!$B$3:$B$5001,$C$2))))</f>
        <v/>
      </c>
      <c r="AF21" s="172" t="str">
        <f>IF(OR($AW21=0,AF$5=""),"",IF($AY21="taxa",IF(COUNTIFS(BD!$A$3:$A$5001,AF$5,BD!$B$3:$B$5001,$C$2,BD!$M$3:$M$5001,"&lt;&gt;")=0,"",IFERROR(SUMIFS(BD!$M$3:$M$5001,BD!$A$3:$A$5001,AF$5,BD!$B$3:$B$5001,$C$2)/SUMIFS(BD!$L$3:$L$5001,BD!$A$3:$A$5001,AF$5,BD!$B$3:$B$5001,$C$2),"")),IF(COUNTIFS(BD!$A$3:$A$5001,AF$5,BD!$B$3:$B$5001,$C$2,INDEX(BD!$A$3:$V$5001,0,$AX21),"&lt;&gt;")=0,"",SUMIFS(INDEX(BD!$A$3:$V$5001,0,$AX21),BD!$A$3:$A$5001,AF$5,BD!$B$3:$B$5001,$C$2))))</f>
        <v/>
      </c>
      <c r="AG21" s="172" t="str">
        <f>IF(OR($AW21=0,AG$5=""),"",IF($AY21="taxa",IF(COUNTIFS(BD!$A$3:$A$5001,AG$5,BD!$B$3:$B$5001,$C$2,BD!$M$3:$M$5001,"&lt;&gt;")=0,"",IFERROR(SUMIFS(BD!$M$3:$M$5001,BD!$A$3:$A$5001,AG$5,BD!$B$3:$B$5001,$C$2)/SUMIFS(BD!$L$3:$L$5001,BD!$A$3:$A$5001,AG$5,BD!$B$3:$B$5001,$C$2),"")),IF(COUNTIFS(BD!$A$3:$A$5001,AG$5,BD!$B$3:$B$5001,$C$2,INDEX(BD!$A$3:$V$5001,0,$AX21),"&lt;&gt;")=0,"",SUMIFS(INDEX(BD!$A$3:$V$5001,0,$AX21),BD!$A$3:$A$5001,AG$5,BD!$B$3:$B$5001,$C$2))))</f>
        <v/>
      </c>
      <c r="AH21" s="172" t="str">
        <f>IF(OR($AW21=0,AH$5=""),"",IF($AY21="taxa",IF(COUNTIFS(BD!$A$3:$A$5001,AH$5,BD!$B$3:$B$5001,$C$2,BD!$M$3:$M$5001,"&lt;&gt;")=0,"",IFERROR(SUMIFS(BD!$M$3:$M$5001,BD!$A$3:$A$5001,AH$5,BD!$B$3:$B$5001,$C$2)/SUMIFS(BD!$L$3:$L$5001,BD!$A$3:$A$5001,AH$5,BD!$B$3:$B$5001,$C$2),"")),IF(COUNTIFS(BD!$A$3:$A$5001,AH$5,BD!$B$3:$B$5001,$C$2,INDEX(BD!$A$3:$V$5001,0,$AX21),"&lt;&gt;")=0,"",SUMIFS(INDEX(BD!$A$3:$V$5001,0,$AX21),BD!$A$3:$A$5001,AH$5,BD!$B$3:$B$5001,$C$2))))</f>
        <v/>
      </c>
      <c r="AI21" s="172" t="str">
        <f>IF(OR($AW21=0,AI$5=""),"",IF($AY21="taxa",IF(COUNTIFS(BD!$A$3:$A$5001,AI$5,BD!$B$3:$B$5001,$C$2,BD!$M$3:$M$5001,"&lt;&gt;")=0,"",IFERROR(SUMIFS(BD!$M$3:$M$5001,BD!$A$3:$A$5001,AI$5,BD!$B$3:$B$5001,$C$2)/SUMIFS(BD!$L$3:$L$5001,BD!$A$3:$A$5001,AI$5,BD!$B$3:$B$5001,$C$2),"")),IF(COUNTIFS(BD!$A$3:$A$5001,AI$5,BD!$B$3:$B$5001,$C$2,INDEX(BD!$A$3:$V$5001,0,$AX21),"&lt;&gt;")=0,"",SUMIFS(INDEX(BD!$A$3:$V$5001,0,$AX21),BD!$A$3:$A$5001,AI$5,BD!$B$3:$B$5001,$C$2))))</f>
        <v/>
      </c>
      <c r="AJ21" s="173" t="str">
        <f>IF(OR($AW21=0,AJ$5=""),"",IF($AY21="taxa",IF(COUNTIFS(BD!$A$3:$A$5001,AJ$5,BD!$B$3:$B$5001,$C$2,BD!$M$3:$M$5001,"&lt;&gt;")=0,"",IFERROR(SUMIFS(BD!$M$3:$M$5001,BD!$A$3:$A$5001,AJ$5,BD!$B$3:$B$5001,$C$2)/SUMIFS(BD!$L$3:$L$5001,BD!$A$3:$A$5001,AJ$5,BD!$B$3:$B$5001,$C$2),"")),IF(COUNTIFS(BD!$A$3:$A$5001,AJ$5,BD!$B$3:$B$5001,$C$2,INDEX(BD!$A$3:$V$5001,0,$AX21),"&lt;&gt;")=0,"",SUMIFS(INDEX(BD!$A$3:$V$5001,0,$AX21),BD!$A$3:$A$5001,AJ$5,BD!$B$3:$B$5001,$C$2))))</f>
        <v/>
      </c>
      <c r="AK21" s="169" t="str">
        <f>IF($AW21=0,"",IF($AY21="fluxo",IF(COUNT(F21:AJ21)=0,"",SUM(F21:AJ21)),IFERROR(LOOKUP(9.99E+307,F21:AJ21),"")))</f>
        <v/>
      </c>
      <c r="AN21" s="159" t="inlineStr">
        <is>
          <t xml:space="preserve">Folga</t>
        </is>
      </c>
      <c r="AO21" s="159" t="inlineStr">
        <is>
          <t xml:space="preserve">GENTE</t>
        </is>
      </c>
      <c r="AP21" s="159">
        <v>16</v>
      </c>
      <c r="AQ21" s="159" t="inlineStr">
        <is>
          <t xml:space="preserve">fluxo</t>
        </is>
      </c>
      <c r="AR21" s="159">
        <v>15</v>
      </c>
      <c r="AS21" s="159" t="inlineStr">
        <is>
          <t xml:space="preserve">int</t>
        </is>
      </c>
      <c r="AT21" s="159">
        <f>IF($C$2="",0,IF(IFERROR(INDEX(Config!$Q$35:$Q$54,MATCH($C$2,Config!$B$35:$B$54,0)),"Sim")="Não",0,1))</f>
        <v>1</v>
      </c>
      <c r="AU21" s="159">
        <f>AU20+AT21</f>
        <v>15</v>
      </c>
      <c r="AW21" s="159">
        <f>IFERROR(MATCH(15,$AU$7:$AU$26,0),0)</f>
        <v>15</v>
      </c>
      <c r="AX21" s="159">
        <f>IF($AW21=0,"",INDEX($AP$7:$AP$26,$AW21))</f>
        <v>16</v>
      </c>
      <c r="AY21" s="159" t="str">
        <f>IF($AW21=0,"",INDEX($AQ$7:$AQ$26,$AW21))</f>
        <v>fluxo</v>
      </c>
      <c r="AZ21" s="159" t="str">
        <f>IF($AW21=0,"",INDEX($AS$7:$AS$26,$AW21))</f>
        <v>int</v>
      </c>
      <c r="BA21" s="159">
        <f>IF($AW21=0,"",INDEX($AR$7:$AR$26,$AW21))</f>
        <v>15</v>
      </c>
    </row>
    <row r="22" ht="15.75" customHeight="1">
      <c r="A22" s="181"/>
      <c r="B22" s="167" t="str">
        <f>IF($AW22=0,"",INDEX($AO$7:$AO$26,$AW22))</f>
        <v>GENTE</v>
      </c>
      <c r="C22" s="168" t="str">
        <f>IF($AW22=0,"",INDEX($AN$7:$AN$26,$AW22))</f>
        <v>Férias</v>
      </c>
      <c r="D22" s="169" t="str">
        <f>IF(OR($AW22=0,N($BA22)=0),"",IFERROR(1/(1/INDEX(BD!$Y$23:$AS$42,$BA22,MATCH($C$2,BD!$Y$22:$AS$22,0))),""))</f>
        <v/>
      </c>
      <c r="E22" s="170"/>
      <c r="F22" s="171" t="str">
        <f>IF(OR($AW22=0,F$5=""),"",IF($AY22="taxa",IF(COUNTIFS(BD!$A$3:$A$5001,F$5,BD!$B$3:$B$5001,$C$2,BD!$M$3:$M$5001,"&lt;&gt;")=0,"",IFERROR(SUMIFS(BD!$M$3:$M$5001,BD!$A$3:$A$5001,F$5,BD!$B$3:$B$5001,$C$2)/SUMIFS(BD!$L$3:$L$5001,BD!$A$3:$A$5001,F$5,BD!$B$3:$B$5001,$C$2),"")),IF(COUNTIFS(BD!$A$3:$A$5001,F$5,BD!$B$3:$B$5001,$C$2,INDEX(BD!$A$3:$V$5001,0,$AX22),"&lt;&gt;")=0,"",SUMIFS(INDEX(BD!$A$3:$V$5001,0,$AX22),BD!$A$3:$A$5001,F$5,BD!$B$3:$B$5001,$C$2))))</f>
        <v/>
      </c>
      <c r="G22" s="172" t="str">
        <f>IF(OR($AW22=0,G$5=""),"",IF($AY22="taxa",IF(COUNTIFS(BD!$A$3:$A$5001,G$5,BD!$B$3:$B$5001,$C$2,BD!$M$3:$M$5001,"&lt;&gt;")=0,"",IFERROR(SUMIFS(BD!$M$3:$M$5001,BD!$A$3:$A$5001,G$5,BD!$B$3:$B$5001,$C$2)/SUMIFS(BD!$L$3:$L$5001,BD!$A$3:$A$5001,G$5,BD!$B$3:$B$5001,$C$2),"")),IF(COUNTIFS(BD!$A$3:$A$5001,G$5,BD!$B$3:$B$5001,$C$2,INDEX(BD!$A$3:$V$5001,0,$AX22),"&lt;&gt;")=0,"",SUMIFS(INDEX(BD!$A$3:$V$5001,0,$AX22),BD!$A$3:$A$5001,G$5,BD!$B$3:$B$5001,$C$2))))</f>
        <v/>
      </c>
      <c r="H22" s="172" t="str">
        <f>IF(OR($AW22=0,H$5=""),"",IF($AY22="taxa",IF(COUNTIFS(BD!$A$3:$A$5001,H$5,BD!$B$3:$B$5001,$C$2,BD!$M$3:$M$5001,"&lt;&gt;")=0,"",IFERROR(SUMIFS(BD!$M$3:$M$5001,BD!$A$3:$A$5001,H$5,BD!$B$3:$B$5001,$C$2)/SUMIFS(BD!$L$3:$L$5001,BD!$A$3:$A$5001,H$5,BD!$B$3:$B$5001,$C$2),"")),IF(COUNTIFS(BD!$A$3:$A$5001,H$5,BD!$B$3:$B$5001,$C$2,INDEX(BD!$A$3:$V$5001,0,$AX22),"&lt;&gt;")=0,"",SUMIFS(INDEX(BD!$A$3:$V$5001,0,$AX22),BD!$A$3:$A$5001,H$5,BD!$B$3:$B$5001,$C$2))))</f>
        <v/>
      </c>
      <c r="I22" s="172" t="str">
        <f>IF(OR($AW22=0,I$5=""),"",IF($AY22="taxa",IF(COUNTIFS(BD!$A$3:$A$5001,I$5,BD!$B$3:$B$5001,$C$2,BD!$M$3:$M$5001,"&lt;&gt;")=0,"",IFERROR(SUMIFS(BD!$M$3:$M$5001,BD!$A$3:$A$5001,I$5,BD!$B$3:$B$5001,$C$2)/SUMIFS(BD!$L$3:$L$5001,BD!$A$3:$A$5001,I$5,BD!$B$3:$B$5001,$C$2),"")),IF(COUNTIFS(BD!$A$3:$A$5001,I$5,BD!$B$3:$B$5001,$C$2,INDEX(BD!$A$3:$V$5001,0,$AX22),"&lt;&gt;")=0,"",SUMIFS(INDEX(BD!$A$3:$V$5001,0,$AX22),BD!$A$3:$A$5001,I$5,BD!$B$3:$B$5001,$C$2))))</f>
        <v/>
      </c>
      <c r="J22" s="172" t="str">
        <f>IF(OR($AW22=0,J$5=""),"",IF($AY22="taxa",IF(COUNTIFS(BD!$A$3:$A$5001,J$5,BD!$B$3:$B$5001,$C$2,BD!$M$3:$M$5001,"&lt;&gt;")=0,"",IFERROR(SUMIFS(BD!$M$3:$M$5001,BD!$A$3:$A$5001,J$5,BD!$B$3:$B$5001,$C$2)/SUMIFS(BD!$L$3:$L$5001,BD!$A$3:$A$5001,J$5,BD!$B$3:$B$5001,$C$2),"")),IF(COUNTIFS(BD!$A$3:$A$5001,J$5,BD!$B$3:$B$5001,$C$2,INDEX(BD!$A$3:$V$5001,0,$AX22),"&lt;&gt;")=0,"",SUMIFS(INDEX(BD!$A$3:$V$5001,0,$AX22),BD!$A$3:$A$5001,J$5,BD!$B$3:$B$5001,$C$2))))</f>
        <v/>
      </c>
      <c r="K22" s="172" t="str">
        <f>IF(OR($AW22=0,K$5=""),"",IF($AY22="taxa",IF(COUNTIFS(BD!$A$3:$A$5001,K$5,BD!$B$3:$B$5001,$C$2,BD!$M$3:$M$5001,"&lt;&gt;")=0,"",IFERROR(SUMIFS(BD!$M$3:$M$5001,BD!$A$3:$A$5001,K$5,BD!$B$3:$B$5001,$C$2)/SUMIFS(BD!$L$3:$L$5001,BD!$A$3:$A$5001,K$5,BD!$B$3:$B$5001,$C$2),"")),IF(COUNTIFS(BD!$A$3:$A$5001,K$5,BD!$B$3:$B$5001,$C$2,INDEX(BD!$A$3:$V$5001,0,$AX22),"&lt;&gt;")=0,"",SUMIFS(INDEX(BD!$A$3:$V$5001,0,$AX22),BD!$A$3:$A$5001,K$5,BD!$B$3:$B$5001,$C$2))))</f>
        <v/>
      </c>
      <c r="L22" s="172" t="str">
        <f>IF(OR($AW22=0,L$5=""),"",IF($AY22="taxa",IF(COUNTIFS(BD!$A$3:$A$5001,L$5,BD!$B$3:$B$5001,$C$2,BD!$M$3:$M$5001,"&lt;&gt;")=0,"",IFERROR(SUMIFS(BD!$M$3:$M$5001,BD!$A$3:$A$5001,L$5,BD!$B$3:$B$5001,$C$2)/SUMIFS(BD!$L$3:$L$5001,BD!$A$3:$A$5001,L$5,BD!$B$3:$B$5001,$C$2),"")),IF(COUNTIFS(BD!$A$3:$A$5001,L$5,BD!$B$3:$B$5001,$C$2,INDEX(BD!$A$3:$V$5001,0,$AX22),"&lt;&gt;")=0,"",SUMIFS(INDEX(BD!$A$3:$V$5001,0,$AX22),BD!$A$3:$A$5001,L$5,BD!$B$3:$B$5001,$C$2))))</f>
        <v/>
      </c>
      <c r="M22" s="172" t="str">
        <f>IF(OR($AW22=0,M$5=""),"",IF($AY22="taxa",IF(COUNTIFS(BD!$A$3:$A$5001,M$5,BD!$B$3:$B$5001,$C$2,BD!$M$3:$M$5001,"&lt;&gt;")=0,"",IFERROR(SUMIFS(BD!$M$3:$M$5001,BD!$A$3:$A$5001,M$5,BD!$B$3:$B$5001,$C$2)/SUMIFS(BD!$L$3:$L$5001,BD!$A$3:$A$5001,M$5,BD!$B$3:$B$5001,$C$2),"")),IF(COUNTIFS(BD!$A$3:$A$5001,M$5,BD!$B$3:$B$5001,$C$2,INDEX(BD!$A$3:$V$5001,0,$AX22),"&lt;&gt;")=0,"",SUMIFS(INDEX(BD!$A$3:$V$5001,0,$AX22),BD!$A$3:$A$5001,M$5,BD!$B$3:$B$5001,$C$2))))</f>
        <v/>
      </c>
      <c r="N22" s="172" t="str">
        <f>IF(OR($AW22=0,N$5=""),"",IF($AY22="taxa",IF(COUNTIFS(BD!$A$3:$A$5001,N$5,BD!$B$3:$B$5001,$C$2,BD!$M$3:$M$5001,"&lt;&gt;")=0,"",IFERROR(SUMIFS(BD!$M$3:$M$5001,BD!$A$3:$A$5001,N$5,BD!$B$3:$B$5001,$C$2)/SUMIFS(BD!$L$3:$L$5001,BD!$A$3:$A$5001,N$5,BD!$B$3:$B$5001,$C$2),"")),IF(COUNTIFS(BD!$A$3:$A$5001,N$5,BD!$B$3:$B$5001,$C$2,INDEX(BD!$A$3:$V$5001,0,$AX22),"&lt;&gt;")=0,"",SUMIFS(INDEX(BD!$A$3:$V$5001,0,$AX22),BD!$A$3:$A$5001,N$5,BD!$B$3:$B$5001,$C$2))))</f>
        <v/>
      </c>
      <c r="O22" s="172" t="str">
        <f>IF(OR($AW22=0,O$5=""),"",IF($AY22="taxa",IF(COUNTIFS(BD!$A$3:$A$5001,O$5,BD!$B$3:$B$5001,$C$2,BD!$M$3:$M$5001,"&lt;&gt;")=0,"",IFERROR(SUMIFS(BD!$M$3:$M$5001,BD!$A$3:$A$5001,O$5,BD!$B$3:$B$5001,$C$2)/SUMIFS(BD!$L$3:$L$5001,BD!$A$3:$A$5001,O$5,BD!$B$3:$B$5001,$C$2),"")),IF(COUNTIFS(BD!$A$3:$A$5001,O$5,BD!$B$3:$B$5001,$C$2,INDEX(BD!$A$3:$V$5001,0,$AX22),"&lt;&gt;")=0,"",SUMIFS(INDEX(BD!$A$3:$V$5001,0,$AX22),BD!$A$3:$A$5001,O$5,BD!$B$3:$B$5001,$C$2))))</f>
        <v/>
      </c>
      <c r="P22" s="172" t="str">
        <f>IF(OR($AW22=0,P$5=""),"",IF($AY22="taxa",IF(COUNTIFS(BD!$A$3:$A$5001,P$5,BD!$B$3:$B$5001,$C$2,BD!$M$3:$M$5001,"&lt;&gt;")=0,"",IFERROR(SUMIFS(BD!$M$3:$M$5001,BD!$A$3:$A$5001,P$5,BD!$B$3:$B$5001,$C$2)/SUMIFS(BD!$L$3:$L$5001,BD!$A$3:$A$5001,P$5,BD!$B$3:$B$5001,$C$2),"")),IF(COUNTIFS(BD!$A$3:$A$5001,P$5,BD!$B$3:$B$5001,$C$2,INDEX(BD!$A$3:$V$5001,0,$AX22),"&lt;&gt;")=0,"",SUMIFS(INDEX(BD!$A$3:$V$5001,0,$AX22),BD!$A$3:$A$5001,P$5,BD!$B$3:$B$5001,$C$2))))</f>
        <v/>
      </c>
      <c r="Q22" s="172" t="str">
        <f>IF(OR($AW22=0,Q$5=""),"",IF($AY22="taxa",IF(COUNTIFS(BD!$A$3:$A$5001,Q$5,BD!$B$3:$B$5001,$C$2,BD!$M$3:$M$5001,"&lt;&gt;")=0,"",IFERROR(SUMIFS(BD!$M$3:$M$5001,BD!$A$3:$A$5001,Q$5,BD!$B$3:$B$5001,$C$2)/SUMIFS(BD!$L$3:$L$5001,BD!$A$3:$A$5001,Q$5,BD!$B$3:$B$5001,$C$2),"")),IF(COUNTIFS(BD!$A$3:$A$5001,Q$5,BD!$B$3:$B$5001,$C$2,INDEX(BD!$A$3:$V$5001,0,$AX22),"&lt;&gt;")=0,"",SUMIFS(INDEX(BD!$A$3:$V$5001,0,$AX22),BD!$A$3:$A$5001,Q$5,BD!$B$3:$B$5001,$C$2))))</f>
        <v/>
      </c>
      <c r="R22" s="172" t="str">
        <f>IF(OR($AW22=0,R$5=""),"",IF($AY22="taxa",IF(COUNTIFS(BD!$A$3:$A$5001,R$5,BD!$B$3:$B$5001,$C$2,BD!$M$3:$M$5001,"&lt;&gt;")=0,"",IFERROR(SUMIFS(BD!$M$3:$M$5001,BD!$A$3:$A$5001,R$5,BD!$B$3:$B$5001,$C$2)/SUMIFS(BD!$L$3:$L$5001,BD!$A$3:$A$5001,R$5,BD!$B$3:$B$5001,$C$2),"")),IF(COUNTIFS(BD!$A$3:$A$5001,R$5,BD!$B$3:$B$5001,$C$2,INDEX(BD!$A$3:$V$5001,0,$AX22),"&lt;&gt;")=0,"",SUMIFS(INDEX(BD!$A$3:$V$5001,0,$AX22),BD!$A$3:$A$5001,R$5,BD!$B$3:$B$5001,$C$2))))</f>
        <v/>
      </c>
      <c r="S22" s="172" t="str">
        <f>IF(OR($AW22=0,S$5=""),"",IF($AY22="taxa",IF(COUNTIFS(BD!$A$3:$A$5001,S$5,BD!$B$3:$B$5001,$C$2,BD!$M$3:$M$5001,"&lt;&gt;")=0,"",IFERROR(SUMIFS(BD!$M$3:$M$5001,BD!$A$3:$A$5001,S$5,BD!$B$3:$B$5001,$C$2)/SUMIFS(BD!$L$3:$L$5001,BD!$A$3:$A$5001,S$5,BD!$B$3:$B$5001,$C$2),"")),IF(COUNTIFS(BD!$A$3:$A$5001,S$5,BD!$B$3:$B$5001,$C$2,INDEX(BD!$A$3:$V$5001,0,$AX22),"&lt;&gt;")=0,"",SUMIFS(INDEX(BD!$A$3:$V$5001,0,$AX22),BD!$A$3:$A$5001,S$5,BD!$B$3:$B$5001,$C$2))))</f>
        <v/>
      </c>
      <c r="T22" s="172" t="str">
        <f>IF(OR($AW22=0,T$5=""),"",IF($AY22="taxa",IF(COUNTIFS(BD!$A$3:$A$5001,T$5,BD!$B$3:$B$5001,$C$2,BD!$M$3:$M$5001,"&lt;&gt;")=0,"",IFERROR(SUMIFS(BD!$M$3:$M$5001,BD!$A$3:$A$5001,T$5,BD!$B$3:$B$5001,$C$2)/SUMIFS(BD!$L$3:$L$5001,BD!$A$3:$A$5001,T$5,BD!$B$3:$B$5001,$C$2),"")),IF(COUNTIFS(BD!$A$3:$A$5001,T$5,BD!$B$3:$B$5001,$C$2,INDEX(BD!$A$3:$V$5001,0,$AX22),"&lt;&gt;")=0,"",SUMIFS(INDEX(BD!$A$3:$V$5001,0,$AX22),BD!$A$3:$A$5001,T$5,BD!$B$3:$B$5001,$C$2))))</f>
        <v/>
      </c>
      <c r="U22" s="172" t="str">
        <f>IF(OR($AW22=0,U$5=""),"",IF($AY22="taxa",IF(COUNTIFS(BD!$A$3:$A$5001,U$5,BD!$B$3:$B$5001,$C$2,BD!$M$3:$M$5001,"&lt;&gt;")=0,"",IFERROR(SUMIFS(BD!$M$3:$M$5001,BD!$A$3:$A$5001,U$5,BD!$B$3:$B$5001,$C$2)/SUMIFS(BD!$L$3:$L$5001,BD!$A$3:$A$5001,U$5,BD!$B$3:$B$5001,$C$2),"")),IF(COUNTIFS(BD!$A$3:$A$5001,U$5,BD!$B$3:$B$5001,$C$2,INDEX(BD!$A$3:$V$5001,0,$AX22),"&lt;&gt;")=0,"",SUMIFS(INDEX(BD!$A$3:$V$5001,0,$AX22),BD!$A$3:$A$5001,U$5,BD!$B$3:$B$5001,$C$2))))</f>
        <v/>
      </c>
      <c r="V22" s="172" t="str">
        <f>IF(OR($AW22=0,V$5=""),"",IF($AY22="taxa",IF(COUNTIFS(BD!$A$3:$A$5001,V$5,BD!$B$3:$B$5001,$C$2,BD!$M$3:$M$5001,"&lt;&gt;")=0,"",IFERROR(SUMIFS(BD!$M$3:$M$5001,BD!$A$3:$A$5001,V$5,BD!$B$3:$B$5001,$C$2)/SUMIFS(BD!$L$3:$L$5001,BD!$A$3:$A$5001,V$5,BD!$B$3:$B$5001,$C$2),"")),IF(COUNTIFS(BD!$A$3:$A$5001,V$5,BD!$B$3:$B$5001,$C$2,INDEX(BD!$A$3:$V$5001,0,$AX22),"&lt;&gt;")=0,"",SUMIFS(INDEX(BD!$A$3:$V$5001,0,$AX22),BD!$A$3:$A$5001,V$5,BD!$B$3:$B$5001,$C$2))))</f>
        <v/>
      </c>
      <c r="W22" s="172" t="str">
        <f>IF(OR($AW22=0,W$5=""),"",IF($AY22="taxa",IF(COUNTIFS(BD!$A$3:$A$5001,W$5,BD!$B$3:$B$5001,$C$2,BD!$M$3:$M$5001,"&lt;&gt;")=0,"",IFERROR(SUMIFS(BD!$M$3:$M$5001,BD!$A$3:$A$5001,W$5,BD!$B$3:$B$5001,$C$2)/SUMIFS(BD!$L$3:$L$5001,BD!$A$3:$A$5001,W$5,BD!$B$3:$B$5001,$C$2),"")),IF(COUNTIFS(BD!$A$3:$A$5001,W$5,BD!$B$3:$B$5001,$C$2,INDEX(BD!$A$3:$V$5001,0,$AX22),"&lt;&gt;")=0,"",SUMIFS(INDEX(BD!$A$3:$V$5001,0,$AX22),BD!$A$3:$A$5001,W$5,BD!$B$3:$B$5001,$C$2))))</f>
        <v/>
      </c>
      <c r="X22" s="172" t="str">
        <f>IF(OR($AW22=0,X$5=""),"",IF($AY22="taxa",IF(COUNTIFS(BD!$A$3:$A$5001,X$5,BD!$B$3:$B$5001,$C$2,BD!$M$3:$M$5001,"&lt;&gt;")=0,"",IFERROR(SUMIFS(BD!$M$3:$M$5001,BD!$A$3:$A$5001,X$5,BD!$B$3:$B$5001,$C$2)/SUMIFS(BD!$L$3:$L$5001,BD!$A$3:$A$5001,X$5,BD!$B$3:$B$5001,$C$2),"")),IF(COUNTIFS(BD!$A$3:$A$5001,X$5,BD!$B$3:$B$5001,$C$2,INDEX(BD!$A$3:$V$5001,0,$AX22),"&lt;&gt;")=0,"",SUMIFS(INDEX(BD!$A$3:$V$5001,0,$AX22),BD!$A$3:$A$5001,X$5,BD!$B$3:$B$5001,$C$2))))</f>
        <v/>
      </c>
      <c r="Y22" s="172" t="str">
        <f>IF(OR($AW22=0,Y$5=""),"",IF($AY22="taxa",IF(COUNTIFS(BD!$A$3:$A$5001,Y$5,BD!$B$3:$B$5001,$C$2,BD!$M$3:$M$5001,"&lt;&gt;")=0,"",IFERROR(SUMIFS(BD!$M$3:$M$5001,BD!$A$3:$A$5001,Y$5,BD!$B$3:$B$5001,$C$2)/SUMIFS(BD!$L$3:$L$5001,BD!$A$3:$A$5001,Y$5,BD!$B$3:$B$5001,$C$2),"")),IF(COUNTIFS(BD!$A$3:$A$5001,Y$5,BD!$B$3:$B$5001,$C$2,INDEX(BD!$A$3:$V$5001,0,$AX22),"&lt;&gt;")=0,"",SUMIFS(INDEX(BD!$A$3:$V$5001,0,$AX22),BD!$A$3:$A$5001,Y$5,BD!$B$3:$B$5001,$C$2))))</f>
        <v/>
      </c>
      <c r="Z22" s="172" t="str">
        <f>IF(OR($AW22=0,Z$5=""),"",IF($AY22="taxa",IF(COUNTIFS(BD!$A$3:$A$5001,Z$5,BD!$B$3:$B$5001,$C$2,BD!$M$3:$M$5001,"&lt;&gt;")=0,"",IFERROR(SUMIFS(BD!$M$3:$M$5001,BD!$A$3:$A$5001,Z$5,BD!$B$3:$B$5001,$C$2)/SUMIFS(BD!$L$3:$L$5001,BD!$A$3:$A$5001,Z$5,BD!$B$3:$B$5001,$C$2),"")),IF(COUNTIFS(BD!$A$3:$A$5001,Z$5,BD!$B$3:$B$5001,$C$2,INDEX(BD!$A$3:$V$5001,0,$AX22),"&lt;&gt;")=0,"",SUMIFS(INDEX(BD!$A$3:$V$5001,0,$AX22),BD!$A$3:$A$5001,Z$5,BD!$B$3:$B$5001,$C$2))))</f>
        <v/>
      </c>
      <c r="AA22" s="172" t="str">
        <f>IF(OR($AW22=0,AA$5=""),"",IF($AY22="taxa",IF(COUNTIFS(BD!$A$3:$A$5001,AA$5,BD!$B$3:$B$5001,$C$2,BD!$M$3:$M$5001,"&lt;&gt;")=0,"",IFERROR(SUMIFS(BD!$M$3:$M$5001,BD!$A$3:$A$5001,AA$5,BD!$B$3:$B$5001,$C$2)/SUMIFS(BD!$L$3:$L$5001,BD!$A$3:$A$5001,AA$5,BD!$B$3:$B$5001,$C$2),"")),IF(COUNTIFS(BD!$A$3:$A$5001,AA$5,BD!$B$3:$B$5001,$C$2,INDEX(BD!$A$3:$V$5001,0,$AX22),"&lt;&gt;")=0,"",SUMIFS(INDEX(BD!$A$3:$V$5001,0,$AX22),BD!$A$3:$A$5001,AA$5,BD!$B$3:$B$5001,$C$2))))</f>
        <v/>
      </c>
      <c r="AB22" s="172" t="str">
        <f>IF(OR($AW22=0,AB$5=""),"",IF($AY22="taxa",IF(COUNTIFS(BD!$A$3:$A$5001,AB$5,BD!$B$3:$B$5001,$C$2,BD!$M$3:$M$5001,"&lt;&gt;")=0,"",IFERROR(SUMIFS(BD!$M$3:$M$5001,BD!$A$3:$A$5001,AB$5,BD!$B$3:$B$5001,$C$2)/SUMIFS(BD!$L$3:$L$5001,BD!$A$3:$A$5001,AB$5,BD!$B$3:$B$5001,$C$2),"")),IF(COUNTIFS(BD!$A$3:$A$5001,AB$5,BD!$B$3:$B$5001,$C$2,INDEX(BD!$A$3:$V$5001,0,$AX22),"&lt;&gt;")=0,"",SUMIFS(INDEX(BD!$A$3:$V$5001,0,$AX22),BD!$A$3:$A$5001,AB$5,BD!$B$3:$B$5001,$C$2))))</f>
        <v/>
      </c>
      <c r="AC22" s="172" t="str">
        <f>IF(OR($AW22=0,AC$5=""),"",IF($AY22="taxa",IF(COUNTIFS(BD!$A$3:$A$5001,AC$5,BD!$B$3:$B$5001,$C$2,BD!$M$3:$M$5001,"&lt;&gt;")=0,"",IFERROR(SUMIFS(BD!$M$3:$M$5001,BD!$A$3:$A$5001,AC$5,BD!$B$3:$B$5001,$C$2)/SUMIFS(BD!$L$3:$L$5001,BD!$A$3:$A$5001,AC$5,BD!$B$3:$B$5001,$C$2),"")),IF(COUNTIFS(BD!$A$3:$A$5001,AC$5,BD!$B$3:$B$5001,$C$2,INDEX(BD!$A$3:$V$5001,0,$AX22),"&lt;&gt;")=0,"",SUMIFS(INDEX(BD!$A$3:$V$5001,0,$AX22),BD!$A$3:$A$5001,AC$5,BD!$B$3:$B$5001,$C$2))))</f>
        <v/>
      </c>
      <c r="AD22" s="172" t="str">
        <f>IF(OR($AW22=0,AD$5=""),"",IF($AY22="taxa",IF(COUNTIFS(BD!$A$3:$A$5001,AD$5,BD!$B$3:$B$5001,$C$2,BD!$M$3:$M$5001,"&lt;&gt;")=0,"",IFERROR(SUMIFS(BD!$M$3:$M$5001,BD!$A$3:$A$5001,AD$5,BD!$B$3:$B$5001,$C$2)/SUMIFS(BD!$L$3:$L$5001,BD!$A$3:$A$5001,AD$5,BD!$B$3:$B$5001,$C$2),"")),IF(COUNTIFS(BD!$A$3:$A$5001,AD$5,BD!$B$3:$B$5001,$C$2,INDEX(BD!$A$3:$V$5001,0,$AX22),"&lt;&gt;")=0,"",SUMIFS(INDEX(BD!$A$3:$V$5001,0,$AX22),BD!$A$3:$A$5001,AD$5,BD!$B$3:$B$5001,$C$2))))</f>
        <v/>
      </c>
      <c r="AE22" s="172" t="str">
        <f>IF(OR($AW22=0,AE$5=""),"",IF($AY22="taxa",IF(COUNTIFS(BD!$A$3:$A$5001,AE$5,BD!$B$3:$B$5001,$C$2,BD!$M$3:$M$5001,"&lt;&gt;")=0,"",IFERROR(SUMIFS(BD!$M$3:$M$5001,BD!$A$3:$A$5001,AE$5,BD!$B$3:$B$5001,$C$2)/SUMIFS(BD!$L$3:$L$5001,BD!$A$3:$A$5001,AE$5,BD!$B$3:$B$5001,$C$2),"")),IF(COUNTIFS(BD!$A$3:$A$5001,AE$5,BD!$B$3:$B$5001,$C$2,INDEX(BD!$A$3:$V$5001,0,$AX22),"&lt;&gt;")=0,"",SUMIFS(INDEX(BD!$A$3:$V$5001,0,$AX22),BD!$A$3:$A$5001,AE$5,BD!$B$3:$B$5001,$C$2))))</f>
        <v/>
      </c>
      <c r="AF22" s="172" t="str">
        <f>IF(OR($AW22=0,AF$5=""),"",IF($AY22="taxa",IF(COUNTIFS(BD!$A$3:$A$5001,AF$5,BD!$B$3:$B$5001,$C$2,BD!$M$3:$M$5001,"&lt;&gt;")=0,"",IFERROR(SUMIFS(BD!$M$3:$M$5001,BD!$A$3:$A$5001,AF$5,BD!$B$3:$B$5001,$C$2)/SUMIFS(BD!$L$3:$L$5001,BD!$A$3:$A$5001,AF$5,BD!$B$3:$B$5001,$C$2),"")),IF(COUNTIFS(BD!$A$3:$A$5001,AF$5,BD!$B$3:$B$5001,$C$2,INDEX(BD!$A$3:$V$5001,0,$AX22),"&lt;&gt;")=0,"",SUMIFS(INDEX(BD!$A$3:$V$5001,0,$AX22),BD!$A$3:$A$5001,AF$5,BD!$B$3:$B$5001,$C$2))))</f>
        <v/>
      </c>
      <c r="AG22" s="172" t="str">
        <f>IF(OR($AW22=0,AG$5=""),"",IF($AY22="taxa",IF(COUNTIFS(BD!$A$3:$A$5001,AG$5,BD!$B$3:$B$5001,$C$2,BD!$M$3:$M$5001,"&lt;&gt;")=0,"",IFERROR(SUMIFS(BD!$M$3:$M$5001,BD!$A$3:$A$5001,AG$5,BD!$B$3:$B$5001,$C$2)/SUMIFS(BD!$L$3:$L$5001,BD!$A$3:$A$5001,AG$5,BD!$B$3:$B$5001,$C$2),"")),IF(COUNTIFS(BD!$A$3:$A$5001,AG$5,BD!$B$3:$B$5001,$C$2,INDEX(BD!$A$3:$V$5001,0,$AX22),"&lt;&gt;")=0,"",SUMIFS(INDEX(BD!$A$3:$V$5001,0,$AX22),BD!$A$3:$A$5001,AG$5,BD!$B$3:$B$5001,$C$2))))</f>
        <v/>
      </c>
      <c r="AH22" s="172" t="str">
        <f>IF(OR($AW22=0,AH$5=""),"",IF($AY22="taxa",IF(COUNTIFS(BD!$A$3:$A$5001,AH$5,BD!$B$3:$B$5001,$C$2,BD!$M$3:$M$5001,"&lt;&gt;")=0,"",IFERROR(SUMIFS(BD!$M$3:$M$5001,BD!$A$3:$A$5001,AH$5,BD!$B$3:$B$5001,$C$2)/SUMIFS(BD!$L$3:$L$5001,BD!$A$3:$A$5001,AH$5,BD!$B$3:$B$5001,$C$2),"")),IF(COUNTIFS(BD!$A$3:$A$5001,AH$5,BD!$B$3:$B$5001,$C$2,INDEX(BD!$A$3:$V$5001,0,$AX22),"&lt;&gt;")=0,"",SUMIFS(INDEX(BD!$A$3:$V$5001,0,$AX22),BD!$A$3:$A$5001,AH$5,BD!$B$3:$B$5001,$C$2))))</f>
        <v/>
      </c>
      <c r="AI22" s="172" t="str">
        <f>IF(OR($AW22=0,AI$5=""),"",IF($AY22="taxa",IF(COUNTIFS(BD!$A$3:$A$5001,AI$5,BD!$B$3:$B$5001,$C$2,BD!$M$3:$M$5001,"&lt;&gt;")=0,"",IFERROR(SUMIFS(BD!$M$3:$M$5001,BD!$A$3:$A$5001,AI$5,BD!$B$3:$B$5001,$C$2)/SUMIFS(BD!$L$3:$L$5001,BD!$A$3:$A$5001,AI$5,BD!$B$3:$B$5001,$C$2),"")),IF(COUNTIFS(BD!$A$3:$A$5001,AI$5,BD!$B$3:$B$5001,$C$2,INDEX(BD!$A$3:$V$5001,0,$AX22),"&lt;&gt;")=0,"",SUMIFS(INDEX(BD!$A$3:$V$5001,0,$AX22),BD!$A$3:$A$5001,AI$5,BD!$B$3:$B$5001,$C$2))))</f>
        <v/>
      </c>
      <c r="AJ22" s="173" t="str">
        <f>IF(OR($AW22=0,AJ$5=""),"",IF($AY22="taxa",IF(COUNTIFS(BD!$A$3:$A$5001,AJ$5,BD!$B$3:$B$5001,$C$2,BD!$M$3:$M$5001,"&lt;&gt;")=0,"",IFERROR(SUMIFS(BD!$M$3:$M$5001,BD!$A$3:$A$5001,AJ$5,BD!$B$3:$B$5001,$C$2)/SUMIFS(BD!$L$3:$L$5001,BD!$A$3:$A$5001,AJ$5,BD!$B$3:$B$5001,$C$2),"")),IF(COUNTIFS(BD!$A$3:$A$5001,AJ$5,BD!$B$3:$B$5001,$C$2,INDEX(BD!$A$3:$V$5001,0,$AX22),"&lt;&gt;")=0,"",SUMIFS(INDEX(BD!$A$3:$V$5001,0,$AX22),BD!$A$3:$A$5001,AJ$5,BD!$B$3:$B$5001,$C$2))))</f>
        <v/>
      </c>
      <c r="AK22" s="169" t="str">
        <f>IF($AW22=0,"",IF($AY22="fluxo",IF(COUNT(F22:AJ22)=0,"",SUM(F22:AJ22)),IFERROR(LOOKUP(9.99E+307,F22:AJ22),"")))</f>
        <v/>
      </c>
      <c r="AN22" s="159" t="inlineStr">
        <is>
          <t xml:space="preserve">Férias</t>
        </is>
      </c>
      <c r="AO22" s="159" t="inlineStr">
        <is>
          <t xml:space="preserve">GENTE</t>
        </is>
      </c>
      <c r="AP22" s="159">
        <v>17</v>
      </c>
      <c r="AQ22" s="159" t="inlineStr">
        <is>
          <t xml:space="preserve">fluxo</t>
        </is>
      </c>
      <c r="AR22" s="159">
        <v>16</v>
      </c>
      <c r="AS22" s="159" t="inlineStr">
        <is>
          <t xml:space="preserve">int</t>
        </is>
      </c>
      <c r="AT22" s="159">
        <f>IF($C$2="",0,IF(IFERROR(INDEX(Config!$R$35:$R$54,MATCH($C$2,Config!$B$35:$B$54,0)),"Sim")="Não",0,1))</f>
        <v>1</v>
      </c>
      <c r="AU22" s="159">
        <f>AU21+AT22</f>
        <v>16</v>
      </c>
      <c r="AW22" s="159">
        <f>IFERROR(MATCH(16,$AU$7:$AU$26,0),0)</f>
        <v>16</v>
      </c>
      <c r="AX22" s="159">
        <f>IF($AW22=0,"",INDEX($AP$7:$AP$26,$AW22))</f>
        <v>17</v>
      </c>
      <c r="AY22" s="159" t="str">
        <f>IF($AW22=0,"",INDEX($AQ$7:$AQ$26,$AW22))</f>
        <v>fluxo</v>
      </c>
      <c r="AZ22" s="159" t="str">
        <f>IF($AW22=0,"",INDEX($AS$7:$AS$26,$AW22))</f>
        <v>int</v>
      </c>
      <c r="BA22" s="159">
        <f>IF($AW22=0,"",INDEX($AR$7:$AR$26,$AW22))</f>
        <v>16</v>
      </c>
    </row>
    <row r="23" ht="15.75" customHeight="1">
      <c r="A23" s="181"/>
      <c r="B23" s="167" t="str">
        <f>IF($AW23=0,"",INDEX($AO$7:$AO$26,$AW23))</f>
        <v>GENTE</v>
      </c>
      <c r="C23" s="168" t="str">
        <f>IF($AW23=0,"",INDEX($AN$7:$AN$26,$AW23))</f>
        <v>Desligamento</v>
      </c>
      <c r="D23" s="169" t="str">
        <f>IF(OR($AW23=0,N($BA23)=0),"",IFERROR(1/(1/INDEX(BD!$Y$23:$AS$42,$BA23,MATCH($C$2,BD!$Y$22:$AS$22,0))),""))</f>
        <v/>
      </c>
      <c r="E23" s="170"/>
      <c r="F23" s="171" t="str">
        <f>IF(OR($AW23=0,F$5=""),"",IF($AY23="taxa",IF(COUNTIFS(BD!$A$3:$A$5001,F$5,BD!$B$3:$B$5001,$C$2,BD!$M$3:$M$5001,"&lt;&gt;")=0,"",IFERROR(SUMIFS(BD!$M$3:$M$5001,BD!$A$3:$A$5001,F$5,BD!$B$3:$B$5001,$C$2)/SUMIFS(BD!$L$3:$L$5001,BD!$A$3:$A$5001,F$5,BD!$B$3:$B$5001,$C$2),"")),IF(COUNTIFS(BD!$A$3:$A$5001,F$5,BD!$B$3:$B$5001,$C$2,INDEX(BD!$A$3:$V$5001,0,$AX23),"&lt;&gt;")=0,"",SUMIFS(INDEX(BD!$A$3:$V$5001,0,$AX23),BD!$A$3:$A$5001,F$5,BD!$B$3:$B$5001,$C$2))))</f>
        <v/>
      </c>
      <c r="G23" s="172" t="str">
        <f>IF(OR($AW23=0,G$5=""),"",IF($AY23="taxa",IF(COUNTIFS(BD!$A$3:$A$5001,G$5,BD!$B$3:$B$5001,$C$2,BD!$M$3:$M$5001,"&lt;&gt;")=0,"",IFERROR(SUMIFS(BD!$M$3:$M$5001,BD!$A$3:$A$5001,G$5,BD!$B$3:$B$5001,$C$2)/SUMIFS(BD!$L$3:$L$5001,BD!$A$3:$A$5001,G$5,BD!$B$3:$B$5001,$C$2),"")),IF(COUNTIFS(BD!$A$3:$A$5001,G$5,BD!$B$3:$B$5001,$C$2,INDEX(BD!$A$3:$V$5001,0,$AX23),"&lt;&gt;")=0,"",SUMIFS(INDEX(BD!$A$3:$V$5001,0,$AX23),BD!$A$3:$A$5001,G$5,BD!$B$3:$B$5001,$C$2))))</f>
        <v/>
      </c>
      <c r="H23" s="172" t="str">
        <f>IF(OR($AW23=0,H$5=""),"",IF($AY23="taxa",IF(COUNTIFS(BD!$A$3:$A$5001,H$5,BD!$B$3:$B$5001,$C$2,BD!$M$3:$M$5001,"&lt;&gt;")=0,"",IFERROR(SUMIFS(BD!$M$3:$M$5001,BD!$A$3:$A$5001,H$5,BD!$B$3:$B$5001,$C$2)/SUMIFS(BD!$L$3:$L$5001,BD!$A$3:$A$5001,H$5,BD!$B$3:$B$5001,$C$2),"")),IF(COUNTIFS(BD!$A$3:$A$5001,H$5,BD!$B$3:$B$5001,$C$2,INDEX(BD!$A$3:$V$5001,0,$AX23),"&lt;&gt;")=0,"",SUMIFS(INDEX(BD!$A$3:$V$5001,0,$AX23),BD!$A$3:$A$5001,H$5,BD!$B$3:$B$5001,$C$2))))</f>
        <v/>
      </c>
      <c r="I23" s="172" t="str">
        <f>IF(OR($AW23=0,I$5=""),"",IF($AY23="taxa",IF(COUNTIFS(BD!$A$3:$A$5001,I$5,BD!$B$3:$B$5001,$C$2,BD!$M$3:$M$5001,"&lt;&gt;")=0,"",IFERROR(SUMIFS(BD!$M$3:$M$5001,BD!$A$3:$A$5001,I$5,BD!$B$3:$B$5001,$C$2)/SUMIFS(BD!$L$3:$L$5001,BD!$A$3:$A$5001,I$5,BD!$B$3:$B$5001,$C$2),"")),IF(COUNTIFS(BD!$A$3:$A$5001,I$5,BD!$B$3:$B$5001,$C$2,INDEX(BD!$A$3:$V$5001,0,$AX23),"&lt;&gt;")=0,"",SUMIFS(INDEX(BD!$A$3:$V$5001,0,$AX23),BD!$A$3:$A$5001,I$5,BD!$B$3:$B$5001,$C$2))))</f>
        <v/>
      </c>
      <c r="J23" s="172" t="str">
        <f>IF(OR($AW23=0,J$5=""),"",IF($AY23="taxa",IF(COUNTIFS(BD!$A$3:$A$5001,J$5,BD!$B$3:$B$5001,$C$2,BD!$M$3:$M$5001,"&lt;&gt;")=0,"",IFERROR(SUMIFS(BD!$M$3:$M$5001,BD!$A$3:$A$5001,J$5,BD!$B$3:$B$5001,$C$2)/SUMIFS(BD!$L$3:$L$5001,BD!$A$3:$A$5001,J$5,BD!$B$3:$B$5001,$C$2),"")),IF(COUNTIFS(BD!$A$3:$A$5001,J$5,BD!$B$3:$B$5001,$C$2,INDEX(BD!$A$3:$V$5001,0,$AX23),"&lt;&gt;")=0,"",SUMIFS(INDEX(BD!$A$3:$V$5001,0,$AX23),BD!$A$3:$A$5001,J$5,BD!$B$3:$B$5001,$C$2))))</f>
        <v/>
      </c>
      <c r="K23" s="172" t="str">
        <f>IF(OR($AW23=0,K$5=""),"",IF($AY23="taxa",IF(COUNTIFS(BD!$A$3:$A$5001,K$5,BD!$B$3:$B$5001,$C$2,BD!$M$3:$M$5001,"&lt;&gt;")=0,"",IFERROR(SUMIFS(BD!$M$3:$M$5001,BD!$A$3:$A$5001,K$5,BD!$B$3:$B$5001,$C$2)/SUMIFS(BD!$L$3:$L$5001,BD!$A$3:$A$5001,K$5,BD!$B$3:$B$5001,$C$2),"")),IF(COUNTIFS(BD!$A$3:$A$5001,K$5,BD!$B$3:$B$5001,$C$2,INDEX(BD!$A$3:$V$5001,0,$AX23),"&lt;&gt;")=0,"",SUMIFS(INDEX(BD!$A$3:$V$5001,0,$AX23),BD!$A$3:$A$5001,K$5,BD!$B$3:$B$5001,$C$2))))</f>
        <v/>
      </c>
      <c r="L23" s="172" t="str">
        <f>IF(OR($AW23=0,L$5=""),"",IF($AY23="taxa",IF(COUNTIFS(BD!$A$3:$A$5001,L$5,BD!$B$3:$B$5001,$C$2,BD!$M$3:$M$5001,"&lt;&gt;")=0,"",IFERROR(SUMIFS(BD!$M$3:$M$5001,BD!$A$3:$A$5001,L$5,BD!$B$3:$B$5001,$C$2)/SUMIFS(BD!$L$3:$L$5001,BD!$A$3:$A$5001,L$5,BD!$B$3:$B$5001,$C$2),"")),IF(COUNTIFS(BD!$A$3:$A$5001,L$5,BD!$B$3:$B$5001,$C$2,INDEX(BD!$A$3:$V$5001,0,$AX23),"&lt;&gt;")=0,"",SUMIFS(INDEX(BD!$A$3:$V$5001,0,$AX23),BD!$A$3:$A$5001,L$5,BD!$B$3:$B$5001,$C$2))))</f>
        <v/>
      </c>
      <c r="M23" s="172" t="str">
        <f>IF(OR($AW23=0,M$5=""),"",IF($AY23="taxa",IF(COUNTIFS(BD!$A$3:$A$5001,M$5,BD!$B$3:$B$5001,$C$2,BD!$M$3:$M$5001,"&lt;&gt;")=0,"",IFERROR(SUMIFS(BD!$M$3:$M$5001,BD!$A$3:$A$5001,M$5,BD!$B$3:$B$5001,$C$2)/SUMIFS(BD!$L$3:$L$5001,BD!$A$3:$A$5001,M$5,BD!$B$3:$B$5001,$C$2),"")),IF(COUNTIFS(BD!$A$3:$A$5001,M$5,BD!$B$3:$B$5001,$C$2,INDEX(BD!$A$3:$V$5001,0,$AX23),"&lt;&gt;")=0,"",SUMIFS(INDEX(BD!$A$3:$V$5001,0,$AX23),BD!$A$3:$A$5001,M$5,BD!$B$3:$B$5001,$C$2))))</f>
        <v/>
      </c>
      <c r="N23" s="172" t="str">
        <f>IF(OR($AW23=0,N$5=""),"",IF($AY23="taxa",IF(COUNTIFS(BD!$A$3:$A$5001,N$5,BD!$B$3:$B$5001,$C$2,BD!$M$3:$M$5001,"&lt;&gt;")=0,"",IFERROR(SUMIFS(BD!$M$3:$M$5001,BD!$A$3:$A$5001,N$5,BD!$B$3:$B$5001,$C$2)/SUMIFS(BD!$L$3:$L$5001,BD!$A$3:$A$5001,N$5,BD!$B$3:$B$5001,$C$2),"")),IF(COUNTIFS(BD!$A$3:$A$5001,N$5,BD!$B$3:$B$5001,$C$2,INDEX(BD!$A$3:$V$5001,0,$AX23),"&lt;&gt;")=0,"",SUMIFS(INDEX(BD!$A$3:$V$5001,0,$AX23),BD!$A$3:$A$5001,N$5,BD!$B$3:$B$5001,$C$2))))</f>
        <v/>
      </c>
      <c r="O23" s="172" t="str">
        <f>IF(OR($AW23=0,O$5=""),"",IF($AY23="taxa",IF(COUNTIFS(BD!$A$3:$A$5001,O$5,BD!$B$3:$B$5001,$C$2,BD!$M$3:$M$5001,"&lt;&gt;")=0,"",IFERROR(SUMIFS(BD!$M$3:$M$5001,BD!$A$3:$A$5001,O$5,BD!$B$3:$B$5001,$C$2)/SUMIFS(BD!$L$3:$L$5001,BD!$A$3:$A$5001,O$5,BD!$B$3:$B$5001,$C$2),"")),IF(COUNTIFS(BD!$A$3:$A$5001,O$5,BD!$B$3:$B$5001,$C$2,INDEX(BD!$A$3:$V$5001,0,$AX23),"&lt;&gt;")=0,"",SUMIFS(INDEX(BD!$A$3:$V$5001,0,$AX23),BD!$A$3:$A$5001,O$5,BD!$B$3:$B$5001,$C$2))))</f>
        <v/>
      </c>
      <c r="P23" s="172" t="str">
        <f>IF(OR($AW23=0,P$5=""),"",IF($AY23="taxa",IF(COUNTIFS(BD!$A$3:$A$5001,P$5,BD!$B$3:$B$5001,$C$2,BD!$M$3:$M$5001,"&lt;&gt;")=0,"",IFERROR(SUMIFS(BD!$M$3:$M$5001,BD!$A$3:$A$5001,P$5,BD!$B$3:$B$5001,$C$2)/SUMIFS(BD!$L$3:$L$5001,BD!$A$3:$A$5001,P$5,BD!$B$3:$B$5001,$C$2),"")),IF(COUNTIFS(BD!$A$3:$A$5001,P$5,BD!$B$3:$B$5001,$C$2,INDEX(BD!$A$3:$V$5001,0,$AX23),"&lt;&gt;")=0,"",SUMIFS(INDEX(BD!$A$3:$V$5001,0,$AX23),BD!$A$3:$A$5001,P$5,BD!$B$3:$B$5001,$C$2))))</f>
        <v/>
      </c>
      <c r="Q23" s="172" t="str">
        <f>IF(OR($AW23=0,Q$5=""),"",IF($AY23="taxa",IF(COUNTIFS(BD!$A$3:$A$5001,Q$5,BD!$B$3:$B$5001,$C$2,BD!$M$3:$M$5001,"&lt;&gt;")=0,"",IFERROR(SUMIFS(BD!$M$3:$M$5001,BD!$A$3:$A$5001,Q$5,BD!$B$3:$B$5001,$C$2)/SUMIFS(BD!$L$3:$L$5001,BD!$A$3:$A$5001,Q$5,BD!$B$3:$B$5001,$C$2),"")),IF(COUNTIFS(BD!$A$3:$A$5001,Q$5,BD!$B$3:$B$5001,$C$2,INDEX(BD!$A$3:$V$5001,0,$AX23),"&lt;&gt;")=0,"",SUMIFS(INDEX(BD!$A$3:$V$5001,0,$AX23),BD!$A$3:$A$5001,Q$5,BD!$B$3:$B$5001,$C$2))))</f>
        <v/>
      </c>
      <c r="R23" s="172" t="str">
        <f>IF(OR($AW23=0,R$5=""),"",IF($AY23="taxa",IF(COUNTIFS(BD!$A$3:$A$5001,R$5,BD!$B$3:$B$5001,$C$2,BD!$M$3:$M$5001,"&lt;&gt;")=0,"",IFERROR(SUMIFS(BD!$M$3:$M$5001,BD!$A$3:$A$5001,R$5,BD!$B$3:$B$5001,$C$2)/SUMIFS(BD!$L$3:$L$5001,BD!$A$3:$A$5001,R$5,BD!$B$3:$B$5001,$C$2),"")),IF(COUNTIFS(BD!$A$3:$A$5001,R$5,BD!$B$3:$B$5001,$C$2,INDEX(BD!$A$3:$V$5001,0,$AX23),"&lt;&gt;")=0,"",SUMIFS(INDEX(BD!$A$3:$V$5001,0,$AX23),BD!$A$3:$A$5001,R$5,BD!$B$3:$B$5001,$C$2))))</f>
        <v/>
      </c>
      <c r="S23" s="172" t="str">
        <f>IF(OR($AW23=0,S$5=""),"",IF($AY23="taxa",IF(COUNTIFS(BD!$A$3:$A$5001,S$5,BD!$B$3:$B$5001,$C$2,BD!$M$3:$M$5001,"&lt;&gt;")=0,"",IFERROR(SUMIFS(BD!$M$3:$M$5001,BD!$A$3:$A$5001,S$5,BD!$B$3:$B$5001,$C$2)/SUMIFS(BD!$L$3:$L$5001,BD!$A$3:$A$5001,S$5,BD!$B$3:$B$5001,$C$2),"")),IF(COUNTIFS(BD!$A$3:$A$5001,S$5,BD!$B$3:$B$5001,$C$2,INDEX(BD!$A$3:$V$5001,0,$AX23),"&lt;&gt;")=0,"",SUMIFS(INDEX(BD!$A$3:$V$5001,0,$AX23),BD!$A$3:$A$5001,S$5,BD!$B$3:$B$5001,$C$2))))</f>
        <v/>
      </c>
      <c r="T23" s="172" t="str">
        <f>IF(OR($AW23=0,T$5=""),"",IF($AY23="taxa",IF(COUNTIFS(BD!$A$3:$A$5001,T$5,BD!$B$3:$B$5001,$C$2,BD!$M$3:$M$5001,"&lt;&gt;")=0,"",IFERROR(SUMIFS(BD!$M$3:$M$5001,BD!$A$3:$A$5001,T$5,BD!$B$3:$B$5001,$C$2)/SUMIFS(BD!$L$3:$L$5001,BD!$A$3:$A$5001,T$5,BD!$B$3:$B$5001,$C$2),"")),IF(COUNTIFS(BD!$A$3:$A$5001,T$5,BD!$B$3:$B$5001,$C$2,INDEX(BD!$A$3:$V$5001,0,$AX23),"&lt;&gt;")=0,"",SUMIFS(INDEX(BD!$A$3:$V$5001,0,$AX23),BD!$A$3:$A$5001,T$5,BD!$B$3:$B$5001,$C$2))))</f>
        <v/>
      </c>
      <c r="U23" s="172" t="str">
        <f>IF(OR($AW23=0,U$5=""),"",IF($AY23="taxa",IF(COUNTIFS(BD!$A$3:$A$5001,U$5,BD!$B$3:$B$5001,$C$2,BD!$M$3:$M$5001,"&lt;&gt;")=0,"",IFERROR(SUMIFS(BD!$M$3:$M$5001,BD!$A$3:$A$5001,U$5,BD!$B$3:$B$5001,$C$2)/SUMIFS(BD!$L$3:$L$5001,BD!$A$3:$A$5001,U$5,BD!$B$3:$B$5001,$C$2),"")),IF(COUNTIFS(BD!$A$3:$A$5001,U$5,BD!$B$3:$B$5001,$C$2,INDEX(BD!$A$3:$V$5001,0,$AX23),"&lt;&gt;")=0,"",SUMIFS(INDEX(BD!$A$3:$V$5001,0,$AX23),BD!$A$3:$A$5001,U$5,BD!$B$3:$B$5001,$C$2))))</f>
        <v/>
      </c>
      <c r="V23" s="172" t="str">
        <f>IF(OR($AW23=0,V$5=""),"",IF($AY23="taxa",IF(COUNTIFS(BD!$A$3:$A$5001,V$5,BD!$B$3:$B$5001,$C$2,BD!$M$3:$M$5001,"&lt;&gt;")=0,"",IFERROR(SUMIFS(BD!$M$3:$M$5001,BD!$A$3:$A$5001,V$5,BD!$B$3:$B$5001,$C$2)/SUMIFS(BD!$L$3:$L$5001,BD!$A$3:$A$5001,V$5,BD!$B$3:$B$5001,$C$2),"")),IF(COUNTIFS(BD!$A$3:$A$5001,V$5,BD!$B$3:$B$5001,$C$2,INDEX(BD!$A$3:$V$5001,0,$AX23),"&lt;&gt;")=0,"",SUMIFS(INDEX(BD!$A$3:$V$5001,0,$AX23),BD!$A$3:$A$5001,V$5,BD!$B$3:$B$5001,$C$2))))</f>
        <v/>
      </c>
      <c r="W23" s="172" t="str">
        <f>IF(OR($AW23=0,W$5=""),"",IF($AY23="taxa",IF(COUNTIFS(BD!$A$3:$A$5001,W$5,BD!$B$3:$B$5001,$C$2,BD!$M$3:$M$5001,"&lt;&gt;")=0,"",IFERROR(SUMIFS(BD!$M$3:$M$5001,BD!$A$3:$A$5001,W$5,BD!$B$3:$B$5001,$C$2)/SUMIFS(BD!$L$3:$L$5001,BD!$A$3:$A$5001,W$5,BD!$B$3:$B$5001,$C$2),"")),IF(COUNTIFS(BD!$A$3:$A$5001,W$5,BD!$B$3:$B$5001,$C$2,INDEX(BD!$A$3:$V$5001,0,$AX23),"&lt;&gt;")=0,"",SUMIFS(INDEX(BD!$A$3:$V$5001,0,$AX23),BD!$A$3:$A$5001,W$5,BD!$B$3:$B$5001,$C$2))))</f>
        <v/>
      </c>
      <c r="X23" s="172" t="str">
        <f>IF(OR($AW23=0,X$5=""),"",IF($AY23="taxa",IF(COUNTIFS(BD!$A$3:$A$5001,X$5,BD!$B$3:$B$5001,$C$2,BD!$M$3:$M$5001,"&lt;&gt;")=0,"",IFERROR(SUMIFS(BD!$M$3:$M$5001,BD!$A$3:$A$5001,X$5,BD!$B$3:$B$5001,$C$2)/SUMIFS(BD!$L$3:$L$5001,BD!$A$3:$A$5001,X$5,BD!$B$3:$B$5001,$C$2),"")),IF(COUNTIFS(BD!$A$3:$A$5001,X$5,BD!$B$3:$B$5001,$C$2,INDEX(BD!$A$3:$V$5001,0,$AX23),"&lt;&gt;")=0,"",SUMIFS(INDEX(BD!$A$3:$V$5001,0,$AX23),BD!$A$3:$A$5001,X$5,BD!$B$3:$B$5001,$C$2))))</f>
        <v/>
      </c>
      <c r="Y23" s="172" t="str">
        <f>IF(OR($AW23=0,Y$5=""),"",IF($AY23="taxa",IF(COUNTIFS(BD!$A$3:$A$5001,Y$5,BD!$B$3:$B$5001,$C$2,BD!$M$3:$M$5001,"&lt;&gt;")=0,"",IFERROR(SUMIFS(BD!$M$3:$M$5001,BD!$A$3:$A$5001,Y$5,BD!$B$3:$B$5001,$C$2)/SUMIFS(BD!$L$3:$L$5001,BD!$A$3:$A$5001,Y$5,BD!$B$3:$B$5001,$C$2),"")),IF(COUNTIFS(BD!$A$3:$A$5001,Y$5,BD!$B$3:$B$5001,$C$2,INDEX(BD!$A$3:$V$5001,0,$AX23),"&lt;&gt;")=0,"",SUMIFS(INDEX(BD!$A$3:$V$5001,0,$AX23),BD!$A$3:$A$5001,Y$5,BD!$B$3:$B$5001,$C$2))))</f>
        <v/>
      </c>
      <c r="Z23" s="172" t="str">
        <f>IF(OR($AW23=0,Z$5=""),"",IF($AY23="taxa",IF(COUNTIFS(BD!$A$3:$A$5001,Z$5,BD!$B$3:$B$5001,$C$2,BD!$M$3:$M$5001,"&lt;&gt;")=0,"",IFERROR(SUMIFS(BD!$M$3:$M$5001,BD!$A$3:$A$5001,Z$5,BD!$B$3:$B$5001,$C$2)/SUMIFS(BD!$L$3:$L$5001,BD!$A$3:$A$5001,Z$5,BD!$B$3:$B$5001,$C$2),"")),IF(COUNTIFS(BD!$A$3:$A$5001,Z$5,BD!$B$3:$B$5001,$C$2,INDEX(BD!$A$3:$V$5001,0,$AX23),"&lt;&gt;")=0,"",SUMIFS(INDEX(BD!$A$3:$V$5001,0,$AX23),BD!$A$3:$A$5001,Z$5,BD!$B$3:$B$5001,$C$2))))</f>
        <v/>
      </c>
      <c r="AA23" s="172" t="str">
        <f>IF(OR($AW23=0,AA$5=""),"",IF($AY23="taxa",IF(COUNTIFS(BD!$A$3:$A$5001,AA$5,BD!$B$3:$B$5001,$C$2,BD!$M$3:$M$5001,"&lt;&gt;")=0,"",IFERROR(SUMIFS(BD!$M$3:$M$5001,BD!$A$3:$A$5001,AA$5,BD!$B$3:$B$5001,$C$2)/SUMIFS(BD!$L$3:$L$5001,BD!$A$3:$A$5001,AA$5,BD!$B$3:$B$5001,$C$2),"")),IF(COUNTIFS(BD!$A$3:$A$5001,AA$5,BD!$B$3:$B$5001,$C$2,INDEX(BD!$A$3:$V$5001,0,$AX23),"&lt;&gt;")=0,"",SUMIFS(INDEX(BD!$A$3:$V$5001,0,$AX23),BD!$A$3:$A$5001,AA$5,BD!$B$3:$B$5001,$C$2))))</f>
        <v/>
      </c>
      <c r="AB23" s="172" t="str">
        <f>IF(OR($AW23=0,AB$5=""),"",IF($AY23="taxa",IF(COUNTIFS(BD!$A$3:$A$5001,AB$5,BD!$B$3:$B$5001,$C$2,BD!$M$3:$M$5001,"&lt;&gt;")=0,"",IFERROR(SUMIFS(BD!$M$3:$M$5001,BD!$A$3:$A$5001,AB$5,BD!$B$3:$B$5001,$C$2)/SUMIFS(BD!$L$3:$L$5001,BD!$A$3:$A$5001,AB$5,BD!$B$3:$B$5001,$C$2),"")),IF(COUNTIFS(BD!$A$3:$A$5001,AB$5,BD!$B$3:$B$5001,$C$2,INDEX(BD!$A$3:$V$5001,0,$AX23),"&lt;&gt;")=0,"",SUMIFS(INDEX(BD!$A$3:$V$5001,0,$AX23),BD!$A$3:$A$5001,AB$5,BD!$B$3:$B$5001,$C$2))))</f>
        <v/>
      </c>
      <c r="AC23" s="172" t="str">
        <f>IF(OR($AW23=0,AC$5=""),"",IF($AY23="taxa",IF(COUNTIFS(BD!$A$3:$A$5001,AC$5,BD!$B$3:$B$5001,$C$2,BD!$M$3:$M$5001,"&lt;&gt;")=0,"",IFERROR(SUMIFS(BD!$M$3:$M$5001,BD!$A$3:$A$5001,AC$5,BD!$B$3:$B$5001,$C$2)/SUMIFS(BD!$L$3:$L$5001,BD!$A$3:$A$5001,AC$5,BD!$B$3:$B$5001,$C$2),"")),IF(COUNTIFS(BD!$A$3:$A$5001,AC$5,BD!$B$3:$B$5001,$C$2,INDEX(BD!$A$3:$V$5001,0,$AX23),"&lt;&gt;")=0,"",SUMIFS(INDEX(BD!$A$3:$V$5001,0,$AX23),BD!$A$3:$A$5001,AC$5,BD!$B$3:$B$5001,$C$2))))</f>
        <v/>
      </c>
      <c r="AD23" s="172" t="str">
        <f>IF(OR($AW23=0,AD$5=""),"",IF($AY23="taxa",IF(COUNTIFS(BD!$A$3:$A$5001,AD$5,BD!$B$3:$B$5001,$C$2,BD!$M$3:$M$5001,"&lt;&gt;")=0,"",IFERROR(SUMIFS(BD!$M$3:$M$5001,BD!$A$3:$A$5001,AD$5,BD!$B$3:$B$5001,$C$2)/SUMIFS(BD!$L$3:$L$5001,BD!$A$3:$A$5001,AD$5,BD!$B$3:$B$5001,$C$2),"")),IF(COUNTIFS(BD!$A$3:$A$5001,AD$5,BD!$B$3:$B$5001,$C$2,INDEX(BD!$A$3:$V$5001,0,$AX23),"&lt;&gt;")=0,"",SUMIFS(INDEX(BD!$A$3:$V$5001,0,$AX23),BD!$A$3:$A$5001,AD$5,BD!$B$3:$B$5001,$C$2))))</f>
        <v/>
      </c>
      <c r="AE23" s="172" t="str">
        <f>IF(OR($AW23=0,AE$5=""),"",IF($AY23="taxa",IF(COUNTIFS(BD!$A$3:$A$5001,AE$5,BD!$B$3:$B$5001,$C$2,BD!$M$3:$M$5001,"&lt;&gt;")=0,"",IFERROR(SUMIFS(BD!$M$3:$M$5001,BD!$A$3:$A$5001,AE$5,BD!$B$3:$B$5001,$C$2)/SUMIFS(BD!$L$3:$L$5001,BD!$A$3:$A$5001,AE$5,BD!$B$3:$B$5001,$C$2),"")),IF(COUNTIFS(BD!$A$3:$A$5001,AE$5,BD!$B$3:$B$5001,$C$2,INDEX(BD!$A$3:$V$5001,0,$AX23),"&lt;&gt;")=0,"",SUMIFS(INDEX(BD!$A$3:$V$5001,0,$AX23),BD!$A$3:$A$5001,AE$5,BD!$B$3:$B$5001,$C$2))))</f>
        <v/>
      </c>
      <c r="AF23" s="172" t="str">
        <f>IF(OR($AW23=0,AF$5=""),"",IF($AY23="taxa",IF(COUNTIFS(BD!$A$3:$A$5001,AF$5,BD!$B$3:$B$5001,$C$2,BD!$M$3:$M$5001,"&lt;&gt;")=0,"",IFERROR(SUMIFS(BD!$M$3:$M$5001,BD!$A$3:$A$5001,AF$5,BD!$B$3:$B$5001,$C$2)/SUMIFS(BD!$L$3:$L$5001,BD!$A$3:$A$5001,AF$5,BD!$B$3:$B$5001,$C$2),"")),IF(COUNTIFS(BD!$A$3:$A$5001,AF$5,BD!$B$3:$B$5001,$C$2,INDEX(BD!$A$3:$V$5001,0,$AX23),"&lt;&gt;")=0,"",SUMIFS(INDEX(BD!$A$3:$V$5001,0,$AX23),BD!$A$3:$A$5001,AF$5,BD!$B$3:$B$5001,$C$2))))</f>
        <v/>
      </c>
      <c r="AG23" s="172" t="str">
        <f>IF(OR($AW23=0,AG$5=""),"",IF($AY23="taxa",IF(COUNTIFS(BD!$A$3:$A$5001,AG$5,BD!$B$3:$B$5001,$C$2,BD!$M$3:$M$5001,"&lt;&gt;")=0,"",IFERROR(SUMIFS(BD!$M$3:$M$5001,BD!$A$3:$A$5001,AG$5,BD!$B$3:$B$5001,$C$2)/SUMIFS(BD!$L$3:$L$5001,BD!$A$3:$A$5001,AG$5,BD!$B$3:$B$5001,$C$2),"")),IF(COUNTIFS(BD!$A$3:$A$5001,AG$5,BD!$B$3:$B$5001,$C$2,INDEX(BD!$A$3:$V$5001,0,$AX23),"&lt;&gt;")=0,"",SUMIFS(INDEX(BD!$A$3:$V$5001,0,$AX23),BD!$A$3:$A$5001,AG$5,BD!$B$3:$B$5001,$C$2))))</f>
        <v/>
      </c>
      <c r="AH23" s="172" t="str">
        <f>IF(OR($AW23=0,AH$5=""),"",IF($AY23="taxa",IF(COUNTIFS(BD!$A$3:$A$5001,AH$5,BD!$B$3:$B$5001,$C$2,BD!$M$3:$M$5001,"&lt;&gt;")=0,"",IFERROR(SUMIFS(BD!$M$3:$M$5001,BD!$A$3:$A$5001,AH$5,BD!$B$3:$B$5001,$C$2)/SUMIFS(BD!$L$3:$L$5001,BD!$A$3:$A$5001,AH$5,BD!$B$3:$B$5001,$C$2),"")),IF(COUNTIFS(BD!$A$3:$A$5001,AH$5,BD!$B$3:$B$5001,$C$2,INDEX(BD!$A$3:$V$5001,0,$AX23),"&lt;&gt;")=0,"",SUMIFS(INDEX(BD!$A$3:$V$5001,0,$AX23),BD!$A$3:$A$5001,AH$5,BD!$B$3:$B$5001,$C$2))))</f>
        <v/>
      </c>
      <c r="AI23" s="172" t="str">
        <f>IF(OR($AW23=0,AI$5=""),"",IF($AY23="taxa",IF(COUNTIFS(BD!$A$3:$A$5001,AI$5,BD!$B$3:$B$5001,$C$2,BD!$M$3:$M$5001,"&lt;&gt;")=0,"",IFERROR(SUMIFS(BD!$M$3:$M$5001,BD!$A$3:$A$5001,AI$5,BD!$B$3:$B$5001,$C$2)/SUMIFS(BD!$L$3:$L$5001,BD!$A$3:$A$5001,AI$5,BD!$B$3:$B$5001,$C$2),"")),IF(COUNTIFS(BD!$A$3:$A$5001,AI$5,BD!$B$3:$B$5001,$C$2,INDEX(BD!$A$3:$V$5001,0,$AX23),"&lt;&gt;")=0,"",SUMIFS(INDEX(BD!$A$3:$V$5001,0,$AX23),BD!$A$3:$A$5001,AI$5,BD!$B$3:$B$5001,$C$2))))</f>
        <v/>
      </c>
      <c r="AJ23" s="173" t="str">
        <f>IF(OR($AW23=0,AJ$5=""),"",IF($AY23="taxa",IF(COUNTIFS(BD!$A$3:$A$5001,AJ$5,BD!$B$3:$B$5001,$C$2,BD!$M$3:$M$5001,"&lt;&gt;")=0,"",IFERROR(SUMIFS(BD!$M$3:$M$5001,BD!$A$3:$A$5001,AJ$5,BD!$B$3:$B$5001,$C$2)/SUMIFS(BD!$L$3:$L$5001,BD!$A$3:$A$5001,AJ$5,BD!$B$3:$B$5001,$C$2),"")),IF(COUNTIFS(BD!$A$3:$A$5001,AJ$5,BD!$B$3:$B$5001,$C$2,INDEX(BD!$A$3:$V$5001,0,$AX23),"&lt;&gt;")=0,"",SUMIFS(INDEX(BD!$A$3:$V$5001,0,$AX23),BD!$A$3:$A$5001,AJ$5,BD!$B$3:$B$5001,$C$2))))</f>
        <v/>
      </c>
      <c r="AK23" s="169" t="str">
        <f>IF($AW23=0,"",IF($AY23="fluxo",IF(COUNT(F23:AJ23)=0,"",SUM(F23:AJ23)),IFERROR(LOOKUP(9.99E+307,F23:AJ23),"")))</f>
        <v/>
      </c>
      <c r="AN23" s="159" t="inlineStr">
        <is>
          <t xml:space="preserve">Desligamento</t>
        </is>
      </c>
      <c r="AO23" s="159" t="inlineStr">
        <is>
          <t xml:space="preserve">GENTE</t>
        </is>
      </c>
      <c r="AP23" s="159">
        <v>18</v>
      </c>
      <c r="AQ23" s="159" t="inlineStr">
        <is>
          <t xml:space="preserve">fluxo</t>
        </is>
      </c>
      <c r="AR23" s="159">
        <v>17</v>
      </c>
      <c r="AS23" s="159" t="inlineStr">
        <is>
          <t xml:space="preserve">int</t>
        </is>
      </c>
      <c r="AT23" s="159">
        <f>IF($C$2="",0,IF(IFERROR(INDEX(Config!$S$35:$S$54,MATCH($C$2,Config!$B$35:$B$54,0)),"Sim")="Não",0,1))</f>
        <v>1</v>
      </c>
      <c r="AU23" s="159">
        <f>AU22+AT23</f>
        <v>17</v>
      </c>
      <c r="AW23" s="159">
        <f>IFERROR(MATCH(17,$AU$7:$AU$26,0),0)</f>
        <v>17</v>
      </c>
      <c r="AX23" s="159">
        <f>IF($AW23=0,"",INDEX($AP$7:$AP$26,$AW23))</f>
        <v>18</v>
      </c>
      <c r="AY23" s="159" t="str">
        <f>IF($AW23=0,"",INDEX($AQ$7:$AQ$26,$AW23))</f>
        <v>fluxo</v>
      </c>
      <c r="AZ23" s="159" t="str">
        <f>IF($AW23=0,"",INDEX($AS$7:$AS$26,$AW23))</f>
        <v>int</v>
      </c>
      <c r="BA23" s="159">
        <f>IF($AW23=0,"",INDEX($AR$7:$AR$26,$AW23))</f>
        <v>17</v>
      </c>
    </row>
    <row r="24" ht="15.75" customHeight="1">
      <c r="A24" s="181"/>
      <c r="B24" s="167" t="str">
        <f>IF($AW24=0,"",INDEX($AO$7:$AO$26,$AW24))</f>
        <v>GENTE</v>
      </c>
      <c r="C24" s="168" t="str">
        <f>IF($AW24=0,"",INDEX($AN$7:$AN$26,$AW24))</f>
        <v>Desvios Comportamentais</v>
      </c>
      <c r="D24" s="169" t="str">
        <f>IF(OR($AW24=0,N($BA24)=0),"",IFERROR(1/(1/INDEX(BD!$Y$23:$AS$42,$BA24,MATCH($C$2,BD!$Y$22:$AS$22,0))),""))</f>
        <v/>
      </c>
      <c r="E24" s="170"/>
      <c r="F24" s="171" t="str">
        <f>IF(OR($AW24=0,F$5=""),"",IF($AY24="taxa",IF(COUNTIFS(BD!$A$3:$A$5001,F$5,BD!$B$3:$B$5001,$C$2,BD!$M$3:$M$5001,"&lt;&gt;")=0,"",IFERROR(SUMIFS(BD!$M$3:$M$5001,BD!$A$3:$A$5001,F$5,BD!$B$3:$B$5001,$C$2)/SUMIFS(BD!$L$3:$L$5001,BD!$A$3:$A$5001,F$5,BD!$B$3:$B$5001,$C$2),"")),IF(COUNTIFS(BD!$A$3:$A$5001,F$5,BD!$B$3:$B$5001,$C$2,INDEX(BD!$A$3:$V$5001,0,$AX24),"&lt;&gt;")=0,"",SUMIFS(INDEX(BD!$A$3:$V$5001,0,$AX24),BD!$A$3:$A$5001,F$5,BD!$B$3:$B$5001,$C$2))))</f>
        <v/>
      </c>
      <c r="G24" s="172" t="str">
        <f>IF(OR($AW24=0,G$5=""),"",IF($AY24="taxa",IF(COUNTIFS(BD!$A$3:$A$5001,G$5,BD!$B$3:$B$5001,$C$2,BD!$M$3:$M$5001,"&lt;&gt;")=0,"",IFERROR(SUMIFS(BD!$M$3:$M$5001,BD!$A$3:$A$5001,G$5,BD!$B$3:$B$5001,$C$2)/SUMIFS(BD!$L$3:$L$5001,BD!$A$3:$A$5001,G$5,BD!$B$3:$B$5001,$C$2),"")),IF(COUNTIFS(BD!$A$3:$A$5001,G$5,BD!$B$3:$B$5001,$C$2,INDEX(BD!$A$3:$V$5001,0,$AX24),"&lt;&gt;")=0,"",SUMIFS(INDEX(BD!$A$3:$V$5001,0,$AX24),BD!$A$3:$A$5001,G$5,BD!$B$3:$B$5001,$C$2))))</f>
        <v/>
      </c>
      <c r="H24" s="172" t="str">
        <f>IF(OR($AW24=0,H$5=""),"",IF($AY24="taxa",IF(COUNTIFS(BD!$A$3:$A$5001,H$5,BD!$B$3:$B$5001,$C$2,BD!$M$3:$M$5001,"&lt;&gt;")=0,"",IFERROR(SUMIFS(BD!$M$3:$M$5001,BD!$A$3:$A$5001,H$5,BD!$B$3:$B$5001,$C$2)/SUMIFS(BD!$L$3:$L$5001,BD!$A$3:$A$5001,H$5,BD!$B$3:$B$5001,$C$2),"")),IF(COUNTIFS(BD!$A$3:$A$5001,H$5,BD!$B$3:$B$5001,$C$2,INDEX(BD!$A$3:$V$5001,0,$AX24),"&lt;&gt;")=0,"",SUMIFS(INDEX(BD!$A$3:$V$5001,0,$AX24),BD!$A$3:$A$5001,H$5,BD!$B$3:$B$5001,$C$2))))</f>
        <v/>
      </c>
      <c r="I24" s="172" t="str">
        <f>IF(OR($AW24=0,I$5=""),"",IF($AY24="taxa",IF(COUNTIFS(BD!$A$3:$A$5001,I$5,BD!$B$3:$B$5001,$C$2,BD!$M$3:$M$5001,"&lt;&gt;")=0,"",IFERROR(SUMIFS(BD!$M$3:$M$5001,BD!$A$3:$A$5001,I$5,BD!$B$3:$B$5001,$C$2)/SUMIFS(BD!$L$3:$L$5001,BD!$A$3:$A$5001,I$5,BD!$B$3:$B$5001,$C$2),"")),IF(COUNTIFS(BD!$A$3:$A$5001,I$5,BD!$B$3:$B$5001,$C$2,INDEX(BD!$A$3:$V$5001,0,$AX24),"&lt;&gt;")=0,"",SUMIFS(INDEX(BD!$A$3:$V$5001,0,$AX24),BD!$A$3:$A$5001,I$5,BD!$B$3:$B$5001,$C$2))))</f>
        <v/>
      </c>
      <c r="J24" s="172" t="str">
        <f>IF(OR($AW24=0,J$5=""),"",IF($AY24="taxa",IF(COUNTIFS(BD!$A$3:$A$5001,J$5,BD!$B$3:$B$5001,$C$2,BD!$M$3:$M$5001,"&lt;&gt;")=0,"",IFERROR(SUMIFS(BD!$M$3:$M$5001,BD!$A$3:$A$5001,J$5,BD!$B$3:$B$5001,$C$2)/SUMIFS(BD!$L$3:$L$5001,BD!$A$3:$A$5001,J$5,BD!$B$3:$B$5001,$C$2),"")),IF(COUNTIFS(BD!$A$3:$A$5001,J$5,BD!$B$3:$B$5001,$C$2,INDEX(BD!$A$3:$V$5001,0,$AX24),"&lt;&gt;")=0,"",SUMIFS(INDEX(BD!$A$3:$V$5001,0,$AX24),BD!$A$3:$A$5001,J$5,BD!$B$3:$B$5001,$C$2))))</f>
        <v/>
      </c>
      <c r="K24" s="172" t="str">
        <f>IF(OR($AW24=0,K$5=""),"",IF($AY24="taxa",IF(COUNTIFS(BD!$A$3:$A$5001,K$5,BD!$B$3:$B$5001,$C$2,BD!$M$3:$M$5001,"&lt;&gt;")=0,"",IFERROR(SUMIFS(BD!$M$3:$M$5001,BD!$A$3:$A$5001,K$5,BD!$B$3:$B$5001,$C$2)/SUMIFS(BD!$L$3:$L$5001,BD!$A$3:$A$5001,K$5,BD!$B$3:$B$5001,$C$2),"")),IF(COUNTIFS(BD!$A$3:$A$5001,K$5,BD!$B$3:$B$5001,$C$2,INDEX(BD!$A$3:$V$5001,0,$AX24),"&lt;&gt;")=0,"",SUMIFS(INDEX(BD!$A$3:$V$5001,0,$AX24),BD!$A$3:$A$5001,K$5,BD!$B$3:$B$5001,$C$2))))</f>
        <v/>
      </c>
      <c r="L24" s="172" t="str">
        <f>IF(OR($AW24=0,L$5=""),"",IF($AY24="taxa",IF(COUNTIFS(BD!$A$3:$A$5001,L$5,BD!$B$3:$B$5001,$C$2,BD!$M$3:$M$5001,"&lt;&gt;")=0,"",IFERROR(SUMIFS(BD!$M$3:$M$5001,BD!$A$3:$A$5001,L$5,BD!$B$3:$B$5001,$C$2)/SUMIFS(BD!$L$3:$L$5001,BD!$A$3:$A$5001,L$5,BD!$B$3:$B$5001,$C$2),"")),IF(COUNTIFS(BD!$A$3:$A$5001,L$5,BD!$B$3:$B$5001,$C$2,INDEX(BD!$A$3:$V$5001,0,$AX24),"&lt;&gt;")=0,"",SUMIFS(INDEX(BD!$A$3:$V$5001,0,$AX24),BD!$A$3:$A$5001,L$5,BD!$B$3:$B$5001,$C$2))))</f>
        <v/>
      </c>
      <c r="M24" s="172" t="str">
        <f>IF(OR($AW24=0,M$5=""),"",IF($AY24="taxa",IF(COUNTIFS(BD!$A$3:$A$5001,M$5,BD!$B$3:$B$5001,$C$2,BD!$M$3:$M$5001,"&lt;&gt;")=0,"",IFERROR(SUMIFS(BD!$M$3:$M$5001,BD!$A$3:$A$5001,M$5,BD!$B$3:$B$5001,$C$2)/SUMIFS(BD!$L$3:$L$5001,BD!$A$3:$A$5001,M$5,BD!$B$3:$B$5001,$C$2),"")),IF(COUNTIFS(BD!$A$3:$A$5001,M$5,BD!$B$3:$B$5001,$C$2,INDEX(BD!$A$3:$V$5001,0,$AX24),"&lt;&gt;")=0,"",SUMIFS(INDEX(BD!$A$3:$V$5001,0,$AX24),BD!$A$3:$A$5001,M$5,BD!$B$3:$B$5001,$C$2))))</f>
        <v/>
      </c>
      <c r="N24" s="172" t="str">
        <f>IF(OR($AW24=0,N$5=""),"",IF($AY24="taxa",IF(COUNTIFS(BD!$A$3:$A$5001,N$5,BD!$B$3:$B$5001,$C$2,BD!$M$3:$M$5001,"&lt;&gt;")=0,"",IFERROR(SUMIFS(BD!$M$3:$M$5001,BD!$A$3:$A$5001,N$5,BD!$B$3:$B$5001,$C$2)/SUMIFS(BD!$L$3:$L$5001,BD!$A$3:$A$5001,N$5,BD!$B$3:$B$5001,$C$2),"")),IF(COUNTIFS(BD!$A$3:$A$5001,N$5,BD!$B$3:$B$5001,$C$2,INDEX(BD!$A$3:$V$5001,0,$AX24),"&lt;&gt;")=0,"",SUMIFS(INDEX(BD!$A$3:$V$5001,0,$AX24),BD!$A$3:$A$5001,N$5,BD!$B$3:$B$5001,$C$2))))</f>
        <v/>
      </c>
      <c r="O24" s="172" t="str">
        <f>IF(OR($AW24=0,O$5=""),"",IF($AY24="taxa",IF(COUNTIFS(BD!$A$3:$A$5001,O$5,BD!$B$3:$B$5001,$C$2,BD!$M$3:$M$5001,"&lt;&gt;")=0,"",IFERROR(SUMIFS(BD!$M$3:$M$5001,BD!$A$3:$A$5001,O$5,BD!$B$3:$B$5001,$C$2)/SUMIFS(BD!$L$3:$L$5001,BD!$A$3:$A$5001,O$5,BD!$B$3:$B$5001,$C$2),"")),IF(COUNTIFS(BD!$A$3:$A$5001,O$5,BD!$B$3:$B$5001,$C$2,INDEX(BD!$A$3:$V$5001,0,$AX24),"&lt;&gt;")=0,"",SUMIFS(INDEX(BD!$A$3:$V$5001,0,$AX24),BD!$A$3:$A$5001,O$5,BD!$B$3:$B$5001,$C$2))))</f>
        <v/>
      </c>
      <c r="P24" s="172" t="str">
        <f>IF(OR($AW24=0,P$5=""),"",IF($AY24="taxa",IF(COUNTIFS(BD!$A$3:$A$5001,P$5,BD!$B$3:$B$5001,$C$2,BD!$M$3:$M$5001,"&lt;&gt;")=0,"",IFERROR(SUMIFS(BD!$M$3:$M$5001,BD!$A$3:$A$5001,P$5,BD!$B$3:$B$5001,$C$2)/SUMIFS(BD!$L$3:$L$5001,BD!$A$3:$A$5001,P$5,BD!$B$3:$B$5001,$C$2),"")),IF(COUNTIFS(BD!$A$3:$A$5001,P$5,BD!$B$3:$B$5001,$C$2,INDEX(BD!$A$3:$V$5001,0,$AX24),"&lt;&gt;")=0,"",SUMIFS(INDEX(BD!$A$3:$V$5001,0,$AX24),BD!$A$3:$A$5001,P$5,BD!$B$3:$B$5001,$C$2))))</f>
        <v/>
      </c>
      <c r="Q24" s="172" t="str">
        <f>IF(OR($AW24=0,Q$5=""),"",IF($AY24="taxa",IF(COUNTIFS(BD!$A$3:$A$5001,Q$5,BD!$B$3:$B$5001,$C$2,BD!$M$3:$M$5001,"&lt;&gt;")=0,"",IFERROR(SUMIFS(BD!$M$3:$M$5001,BD!$A$3:$A$5001,Q$5,BD!$B$3:$B$5001,$C$2)/SUMIFS(BD!$L$3:$L$5001,BD!$A$3:$A$5001,Q$5,BD!$B$3:$B$5001,$C$2),"")),IF(COUNTIFS(BD!$A$3:$A$5001,Q$5,BD!$B$3:$B$5001,$C$2,INDEX(BD!$A$3:$V$5001,0,$AX24),"&lt;&gt;")=0,"",SUMIFS(INDEX(BD!$A$3:$V$5001,0,$AX24),BD!$A$3:$A$5001,Q$5,BD!$B$3:$B$5001,$C$2))))</f>
        <v/>
      </c>
      <c r="R24" s="172" t="str">
        <f>IF(OR($AW24=0,R$5=""),"",IF($AY24="taxa",IF(COUNTIFS(BD!$A$3:$A$5001,R$5,BD!$B$3:$B$5001,$C$2,BD!$M$3:$M$5001,"&lt;&gt;")=0,"",IFERROR(SUMIFS(BD!$M$3:$M$5001,BD!$A$3:$A$5001,R$5,BD!$B$3:$B$5001,$C$2)/SUMIFS(BD!$L$3:$L$5001,BD!$A$3:$A$5001,R$5,BD!$B$3:$B$5001,$C$2),"")),IF(COUNTIFS(BD!$A$3:$A$5001,R$5,BD!$B$3:$B$5001,$C$2,INDEX(BD!$A$3:$V$5001,0,$AX24),"&lt;&gt;")=0,"",SUMIFS(INDEX(BD!$A$3:$V$5001,0,$AX24),BD!$A$3:$A$5001,R$5,BD!$B$3:$B$5001,$C$2))))</f>
        <v/>
      </c>
      <c r="S24" s="172" t="str">
        <f>IF(OR($AW24=0,S$5=""),"",IF($AY24="taxa",IF(COUNTIFS(BD!$A$3:$A$5001,S$5,BD!$B$3:$B$5001,$C$2,BD!$M$3:$M$5001,"&lt;&gt;")=0,"",IFERROR(SUMIFS(BD!$M$3:$M$5001,BD!$A$3:$A$5001,S$5,BD!$B$3:$B$5001,$C$2)/SUMIFS(BD!$L$3:$L$5001,BD!$A$3:$A$5001,S$5,BD!$B$3:$B$5001,$C$2),"")),IF(COUNTIFS(BD!$A$3:$A$5001,S$5,BD!$B$3:$B$5001,$C$2,INDEX(BD!$A$3:$V$5001,0,$AX24),"&lt;&gt;")=0,"",SUMIFS(INDEX(BD!$A$3:$V$5001,0,$AX24),BD!$A$3:$A$5001,S$5,BD!$B$3:$B$5001,$C$2))))</f>
        <v/>
      </c>
      <c r="T24" s="172" t="str">
        <f>IF(OR($AW24=0,T$5=""),"",IF($AY24="taxa",IF(COUNTIFS(BD!$A$3:$A$5001,T$5,BD!$B$3:$B$5001,$C$2,BD!$M$3:$M$5001,"&lt;&gt;")=0,"",IFERROR(SUMIFS(BD!$M$3:$M$5001,BD!$A$3:$A$5001,T$5,BD!$B$3:$B$5001,$C$2)/SUMIFS(BD!$L$3:$L$5001,BD!$A$3:$A$5001,T$5,BD!$B$3:$B$5001,$C$2),"")),IF(COUNTIFS(BD!$A$3:$A$5001,T$5,BD!$B$3:$B$5001,$C$2,INDEX(BD!$A$3:$V$5001,0,$AX24),"&lt;&gt;")=0,"",SUMIFS(INDEX(BD!$A$3:$V$5001,0,$AX24),BD!$A$3:$A$5001,T$5,BD!$B$3:$B$5001,$C$2))))</f>
        <v/>
      </c>
      <c r="U24" s="172" t="str">
        <f>IF(OR($AW24=0,U$5=""),"",IF($AY24="taxa",IF(COUNTIFS(BD!$A$3:$A$5001,U$5,BD!$B$3:$B$5001,$C$2,BD!$M$3:$M$5001,"&lt;&gt;")=0,"",IFERROR(SUMIFS(BD!$M$3:$M$5001,BD!$A$3:$A$5001,U$5,BD!$B$3:$B$5001,$C$2)/SUMIFS(BD!$L$3:$L$5001,BD!$A$3:$A$5001,U$5,BD!$B$3:$B$5001,$C$2),"")),IF(COUNTIFS(BD!$A$3:$A$5001,U$5,BD!$B$3:$B$5001,$C$2,INDEX(BD!$A$3:$V$5001,0,$AX24),"&lt;&gt;")=0,"",SUMIFS(INDEX(BD!$A$3:$V$5001,0,$AX24),BD!$A$3:$A$5001,U$5,BD!$B$3:$B$5001,$C$2))))</f>
        <v/>
      </c>
      <c r="V24" s="172" t="str">
        <f>IF(OR($AW24=0,V$5=""),"",IF($AY24="taxa",IF(COUNTIFS(BD!$A$3:$A$5001,V$5,BD!$B$3:$B$5001,$C$2,BD!$M$3:$M$5001,"&lt;&gt;")=0,"",IFERROR(SUMIFS(BD!$M$3:$M$5001,BD!$A$3:$A$5001,V$5,BD!$B$3:$B$5001,$C$2)/SUMIFS(BD!$L$3:$L$5001,BD!$A$3:$A$5001,V$5,BD!$B$3:$B$5001,$C$2),"")),IF(COUNTIFS(BD!$A$3:$A$5001,V$5,BD!$B$3:$B$5001,$C$2,INDEX(BD!$A$3:$V$5001,0,$AX24),"&lt;&gt;")=0,"",SUMIFS(INDEX(BD!$A$3:$V$5001,0,$AX24),BD!$A$3:$A$5001,V$5,BD!$B$3:$B$5001,$C$2))))</f>
        <v/>
      </c>
      <c r="W24" s="172" t="str">
        <f>IF(OR($AW24=0,W$5=""),"",IF($AY24="taxa",IF(COUNTIFS(BD!$A$3:$A$5001,W$5,BD!$B$3:$B$5001,$C$2,BD!$M$3:$M$5001,"&lt;&gt;")=0,"",IFERROR(SUMIFS(BD!$M$3:$M$5001,BD!$A$3:$A$5001,W$5,BD!$B$3:$B$5001,$C$2)/SUMIFS(BD!$L$3:$L$5001,BD!$A$3:$A$5001,W$5,BD!$B$3:$B$5001,$C$2),"")),IF(COUNTIFS(BD!$A$3:$A$5001,W$5,BD!$B$3:$B$5001,$C$2,INDEX(BD!$A$3:$V$5001,0,$AX24),"&lt;&gt;")=0,"",SUMIFS(INDEX(BD!$A$3:$V$5001,0,$AX24),BD!$A$3:$A$5001,W$5,BD!$B$3:$B$5001,$C$2))))</f>
        <v/>
      </c>
      <c r="X24" s="172" t="str">
        <f>IF(OR($AW24=0,X$5=""),"",IF($AY24="taxa",IF(COUNTIFS(BD!$A$3:$A$5001,X$5,BD!$B$3:$B$5001,$C$2,BD!$M$3:$M$5001,"&lt;&gt;")=0,"",IFERROR(SUMIFS(BD!$M$3:$M$5001,BD!$A$3:$A$5001,X$5,BD!$B$3:$B$5001,$C$2)/SUMIFS(BD!$L$3:$L$5001,BD!$A$3:$A$5001,X$5,BD!$B$3:$B$5001,$C$2),"")),IF(COUNTIFS(BD!$A$3:$A$5001,X$5,BD!$B$3:$B$5001,$C$2,INDEX(BD!$A$3:$V$5001,0,$AX24),"&lt;&gt;")=0,"",SUMIFS(INDEX(BD!$A$3:$V$5001,0,$AX24),BD!$A$3:$A$5001,X$5,BD!$B$3:$B$5001,$C$2))))</f>
        <v/>
      </c>
      <c r="Y24" s="172" t="str">
        <f>IF(OR($AW24=0,Y$5=""),"",IF($AY24="taxa",IF(COUNTIFS(BD!$A$3:$A$5001,Y$5,BD!$B$3:$B$5001,$C$2,BD!$M$3:$M$5001,"&lt;&gt;")=0,"",IFERROR(SUMIFS(BD!$M$3:$M$5001,BD!$A$3:$A$5001,Y$5,BD!$B$3:$B$5001,$C$2)/SUMIFS(BD!$L$3:$L$5001,BD!$A$3:$A$5001,Y$5,BD!$B$3:$B$5001,$C$2),"")),IF(COUNTIFS(BD!$A$3:$A$5001,Y$5,BD!$B$3:$B$5001,$C$2,INDEX(BD!$A$3:$V$5001,0,$AX24),"&lt;&gt;")=0,"",SUMIFS(INDEX(BD!$A$3:$V$5001,0,$AX24),BD!$A$3:$A$5001,Y$5,BD!$B$3:$B$5001,$C$2))))</f>
        <v/>
      </c>
      <c r="Z24" s="172" t="str">
        <f>IF(OR($AW24=0,Z$5=""),"",IF($AY24="taxa",IF(COUNTIFS(BD!$A$3:$A$5001,Z$5,BD!$B$3:$B$5001,$C$2,BD!$M$3:$M$5001,"&lt;&gt;")=0,"",IFERROR(SUMIFS(BD!$M$3:$M$5001,BD!$A$3:$A$5001,Z$5,BD!$B$3:$B$5001,$C$2)/SUMIFS(BD!$L$3:$L$5001,BD!$A$3:$A$5001,Z$5,BD!$B$3:$B$5001,$C$2),"")),IF(COUNTIFS(BD!$A$3:$A$5001,Z$5,BD!$B$3:$B$5001,$C$2,INDEX(BD!$A$3:$V$5001,0,$AX24),"&lt;&gt;")=0,"",SUMIFS(INDEX(BD!$A$3:$V$5001,0,$AX24),BD!$A$3:$A$5001,Z$5,BD!$B$3:$B$5001,$C$2))))</f>
        <v/>
      </c>
      <c r="AA24" s="172" t="str">
        <f>IF(OR($AW24=0,AA$5=""),"",IF($AY24="taxa",IF(COUNTIFS(BD!$A$3:$A$5001,AA$5,BD!$B$3:$B$5001,$C$2,BD!$M$3:$M$5001,"&lt;&gt;")=0,"",IFERROR(SUMIFS(BD!$M$3:$M$5001,BD!$A$3:$A$5001,AA$5,BD!$B$3:$B$5001,$C$2)/SUMIFS(BD!$L$3:$L$5001,BD!$A$3:$A$5001,AA$5,BD!$B$3:$B$5001,$C$2),"")),IF(COUNTIFS(BD!$A$3:$A$5001,AA$5,BD!$B$3:$B$5001,$C$2,INDEX(BD!$A$3:$V$5001,0,$AX24),"&lt;&gt;")=0,"",SUMIFS(INDEX(BD!$A$3:$V$5001,0,$AX24),BD!$A$3:$A$5001,AA$5,BD!$B$3:$B$5001,$C$2))))</f>
        <v/>
      </c>
      <c r="AB24" s="172" t="str">
        <f>IF(OR($AW24=0,AB$5=""),"",IF($AY24="taxa",IF(COUNTIFS(BD!$A$3:$A$5001,AB$5,BD!$B$3:$B$5001,$C$2,BD!$M$3:$M$5001,"&lt;&gt;")=0,"",IFERROR(SUMIFS(BD!$M$3:$M$5001,BD!$A$3:$A$5001,AB$5,BD!$B$3:$B$5001,$C$2)/SUMIFS(BD!$L$3:$L$5001,BD!$A$3:$A$5001,AB$5,BD!$B$3:$B$5001,$C$2),"")),IF(COUNTIFS(BD!$A$3:$A$5001,AB$5,BD!$B$3:$B$5001,$C$2,INDEX(BD!$A$3:$V$5001,0,$AX24),"&lt;&gt;")=0,"",SUMIFS(INDEX(BD!$A$3:$V$5001,0,$AX24),BD!$A$3:$A$5001,AB$5,BD!$B$3:$B$5001,$C$2))))</f>
        <v/>
      </c>
      <c r="AC24" s="172" t="str">
        <f>IF(OR($AW24=0,AC$5=""),"",IF($AY24="taxa",IF(COUNTIFS(BD!$A$3:$A$5001,AC$5,BD!$B$3:$B$5001,$C$2,BD!$M$3:$M$5001,"&lt;&gt;")=0,"",IFERROR(SUMIFS(BD!$M$3:$M$5001,BD!$A$3:$A$5001,AC$5,BD!$B$3:$B$5001,$C$2)/SUMIFS(BD!$L$3:$L$5001,BD!$A$3:$A$5001,AC$5,BD!$B$3:$B$5001,$C$2),"")),IF(COUNTIFS(BD!$A$3:$A$5001,AC$5,BD!$B$3:$B$5001,$C$2,INDEX(BD!$A$3:$V$5001,0,$AX24),"&lt;&gt;")=0,"",SUMIFS(INDEX(BD!$A$3:$V$5001,0,$AX24),BD!$A$3:$A$5001,AC$5,BD!$B$3:$B$5001,$C$2))))</f>
        <v/>
      </c>
      <c r="AD24" s="172" t="str">
        <f>IF(OR($AW24=0,AD$5=""),"",IF($AY24="taxa",IF(COUNTIFS(BD!$A$3:$A$5001,AD$5,BD!$B$3:$B$5001,$C$2,BD!$M$3:$M$5001,"&lt;&gt;")=0,"",IFERROR(SUMIFS(BD!$M$3:$M$5001,BD!$A$3:$A$5001,AD$5,BD!$B$3:$B$5001,$C$2)/SUMIFS(BD!$L$3:$L$5001,BD!$A$3:$A$5001,AD$5,BD!$B$3:$B$5001,$C$2),"")),IF(COUNTIFS(BD!$A$3:$A$5001,AD$5,BD!$B$3:$B$5001,$C$2,INDEX(BD!$A$3:$V$5001,0,$AX24),"&lt;&gt;")=0,"",SUMIFS(INDEX(BD!$A$3:$V$5001,0,$AX24),BD!$A$3:$A$5001,AD$5,BD!$B$3:$B$5001,$C$2))))</f>
        <v/>
      </c>
      <c r="AE24" s="172" t="str">
        <f>IF(OR($AW24=0,AE$5=""),"",IF($AY24="taxa",IF(COUNTIFS(BD!$A$3:$A$5001,AE$5,BD!$B$3:$B$5001,$C$2,BD!$M$3:$M$5001,"&lt;&gt;")=0,"",IFERROR(SUMIFS(BD!$M$3:$M$5001,BD!$A$3:$A$5001,AE$5,BD!$B$3:$B$5001,$C$2)/SUMIFS(BD!$L$3:$L$5001,BD!$A$3:$A$5001,AE$5,BD!$B$3:$B$5001,$C$2),"")),IF(COUNTIFS(BD!$A$3:$A$5001,AE$5,BD!$B$3:$B$5001,$C$2,INDEX(BD!$A$3:$V$5001,0,$AX24),"&lt;&gt;")=0,"",SUMIFS(INDEX(BD!$A$3:$V$5001,0,$AX24),BD!$A$3:$A$5001,AE$5,BD!$B$3:$B$5001,$C$2))))</f>
        <v/>
      </c>
      <c r="AF24" s="172" t="str">
        <f>IF(OR($AW24=0,AF$5=""),"",IF($AY24="taxa",IF(COUNTIFS(BD!$A$3:$A$5001,AF$5,BD!$B$3:$B$5001,$C$2,BD!$M$3:$M$5001,"&lt;&gt;")=0,"",IFERROR(SUMIFS(BD!$M$3:$M$5001,BD!$A$3:$A$5001,AF$5,BD!$B$3:$B$5001,$C$2)/SUMIFS(BD!$L$3:$L$5001,BD!$A$3:$A$5001,AF$5,BD!$B$3:$B$5001,$C$2),"")),IF(COUNTIFS(BD!$A$3:$A$5001,AF$5,BD!$B$3:$B$5001,$C$2,INDEX(BD!$A$3:$V$5001,0,$AX24),"&lt;&gt;")=0,"",SUMIFS(INDEX(BD!$A$3:$V$5001,0,$AX24),BD!$A$3:$A$5001,AF$5,BD!$B$3:$B$5001,$C$2))))</f>
        <v/>
      </c>
      <c r="AG24" s="172" t="str">
        <f>IF(OR($AW24=0,AG$5=""),"",IF($AY24="taxa",IF(COUNTIFS(BD!$A$3:$A$5001,AG$5,BD!$B$3:$B$5001,$C$2,BD!$M$3:$M$5001,"&lt;&gt;")=0,"",IFERROR(SUMIFS(BD!$M$3:$M$5001,BD!$A$3:$A$5001,AG$5,BD!$B$3:$B$5001,$C$2)/SUMIFS(BD!$L$3:$L$5001,BD!$A$3:$A$5001,AG$5,BD!$B$3:$B$5001,$C$2),"")),IF(COUNTIFS(BD!$A$3:$A$5001,AG$5,BD!$B$3:$B$5001,$C$2,INDEX(BD!$A$3:$V$5001,0,$AX24),"&lt;&gt;")=0,"",SUMIFS(INDEX(BD!$A$3:$V$5001,0,$AX24),BD!$A$3:$A$5001,AG$5,BD!$B$3:$B$5001,$C$2))))</f>
        <v/>
      </c>
      <c r="AH24" s="172" t="str">
        <f>IF(OR($AW24=0,AH$5=""),"",IF($AY24="taxa",IF(COUNTIFS(BD!$A$3:$A$5001,AH$5,BD!$B$3:$B$5001,$C$2,BD!$M$3:$M$5001,"&lt;&gt;")=0,"",IFERROR(SUMIFS(BD!$M$3:$M$5001,BD!$A$3:$A$5001,AH$5,BD!$B$3:$B$5001,$C$2)/SUMIFS(BD!$L$3:$L$5001,BD!$A$3:$A$5001,AH$5,BD!$B$3:$B$5001,$C$2),"")),IF(COUNTIFS(BD!$A$3:$A$5001,AH$5,BD!$B$3:$B$5001,$C$2,INDEX(BD!$A$3:$V$5001,0,$AX24),"&lt;&gt;")=0,"",SUMIFS(INDEX(BD!$A$3:$V$5001,0,$AX24),BD!$A$3:$A$5001,AH$5,BD!$B$3:$B$5001,$C$2))))</f>
        <v/>
      </c>
      <c r="AI24" s="172" t="str">
        <f>IF(OR($AW24=0,AI$5=""),"",IF($AY24="taxa",IF(COUNTIFS(BD!$A$3:$A$5001,AI$5,BD!$B$3:$B$5001,$C$2,BD!$M$3:$M$5001,"&lt;&gt;")=0,"",IFERROR(SUMIFS(BD!$M$3:$M$5001,BD!$A$3:$A$5001,AI$5,BD!$B$3:$B$5001,$C$2)/SUMIFS(BD!$L$3:$L$5001,BD!$A$3:$A$5001,AI$5,BD!$B$3:$B$5001,$C$2),"")),IF(COUNTIFS(BD!$A$3:$A$5001,AI$5,BD!$B$3:$B$5001,$C$2,INDEX(BD!$A$3:$V$5001,0,$AX24),"&lt;&gt;")=0,"",SUMIFS(INDEX(BD!$A$3:$V$5001,0,$AX24),BD!$A$3:$A$5001,AI$5,BD!$B$3:$B$5001,$C$2))))</f>
        <v/>
      </c>
      <c r="AJ24" s="173" t="str">
        <f>IF(OR($AW24=0,AJ$5=""),"",IF($AY24="taxa",IF(COUNTIFS(BD!$A$3:$A$5001,AJ$5,BD!$B$3:$B$5001,$C$2,BD!$M$3:$M$5001,"&lt;&gt;")=0,"",IFERROR(SUMIFS(BD!$M$3:$M$5001,BD!$A$3:$A$5001,AJ$5,BD!$B$3:$B$5001,$C$2)/SUMIFS(BD!$L$3:$L$5001,BD!$A$3:$A$5001,AJ$5,BD!$B$3:$B$5001,$C$2),"")),IF(COUNTIFS(BD!$A$3:$A$5001,AJ$5,BD!$B$3:$B$5001,$C$2,INDEX(BD!$A$3:$V$5001,0,$AX24),"&lt;&gt;")=0,"",SUMIFS(INDEX(BD!$A$3:$V$5001,0,$AX24),BD!$A$3:$A$5001,AJ$5,BD!$B$3:$B$5001,$C$2))))</f>
        <v/>
      </c>
      <c r="AK24" s="169" t="str">
        <f>IF($AW24=0,"",IF($AY24="fluxo",IF(COUNT(F24:AJ24)=0,"",SUM(F24:AJ24)),IFERROR(LOOKUP(9.99E+307,F24:AJ24),"")))</f>
        <v/>
      </c>
      <c r="AN24" s="159" t="inlineStr">
        <is>
          <t xml:space="preserve">Desvios Comportamentais</t>
        </is>
      </c>
      <c r="AO24" s="159" t="inlineStr">
        <is>
          <t xml:space="preserve">GENTE</t>
        </is>
      </c>
      <c r="AP24" s="159">
        <v>19</v>
      </c>
      <c r="AQ24" s="159" t="inlineStr">
        <is>
          <t xml:space="preserve">fluxo</t>
        </is>
      </c>
      <c r="AR24" s="159">
        <v>18</v>
      </c>
      <c r="AS24" s="159" t="inlineStr">
        <is>
          <t xml:space="preserve">int</t>
        </is>
      </c>
      <c r="AT24" s="159">
        <f>IF($C$2="",0,IF(IFERROR(INDEX(Config!$T$35:$T$54,MATCH($C$2,Config!$B$35:$B$54,0)),"Sim")="Não",0,1))</f>
        <v>1</v>
      </c>
      <c r="AU24" s="159">
        <f>AU23+AT24</f>
        <v>18</v>
      </c>
      <c r="AW24" s="159">
        <f>IFERROR(MATCH(18,$AU$7:$AU$26,0),0)</f>
        <v>18</v>
      </c>
      <c r="AX24" s="159">
        <f>IF($AW24=0,"",INDEX($AP$7:$AP$26,$AW24))</f>
        <v>19</v>
      </c>
      <c r="AY24" s="159" t="str">
        <f>IF($AW24=0,"",INDEX($AQ$7:$AQ$26,$AW24))</f>
        <v>fluxo</v>
      </c>
      <c r="AZ24" s="159" t="str">
        <f>IF($AW24=0,"",INDEX($AS$7:$AS$26,$AW24))</f>
        <v>int</v>
      </c>
      <c r="BA24" s="159">
        <f>IF($AW24=0,"",INDEX($AR$7:$AR$26,$AW24))</f>
        <v>18</v>
      </c>
    </row>
    <row r="25" ht="15.75" customHeight="1">
      <c r="A25" s="181"/>
      <c r="B25" s="167" t="str">
        <f>IF($AW25=0,"",INDEX($AO$7:$AO$26,$AW25))</f>
        <v>GENTE</v>
      </c>
      <c r="C25" s="168" t="str">
        <f>IF($AW25=0,"",INDEX($AN$7:$AN$26,$AW25))</f>
        <v>Acidentes CAF</v>
      </c>
      <c r="D25" s="169" t="str">
        <f>IF(OR($AW25=0,N($BA25)=0),"",IFERROR(1/(1/INDEX(BD!$Y$23:$AS$42,$BA25,MATCH($C$2,BD!$Y$22:$AS$22,0))),""))</f>
        <v/>
      </c>
      <c r="E25" s="170"/>
      <c r="F25" s="171" t="str">
        <f>IF(OR($AW25=0,F$5=""),"",IF($AY25="taxa",IF(COUNTIFS(BD!$A$3:$A$5001,F$5,BD!$B$3:$B$5001,$C$2,BD!$M$3:$M$5001,"&lt;&gt;")=0,"",IFERROR(SUMIFS(BD!$M$3:$M$5001,BD!$A$3:$A$5001,F$5,BD!$B$3:$B$5001,$C$2)/SUMIFS(BD!$L$3:$L$5001,BD!$A$3:$A$5001,F$5,BD!$B$3:$B$5001,$C$2),"")),IF(COUNTIFS(BD!$A$3:$A$5001,F$5,BD!$B$3:$B$5001,$C$2,INDEX(BD!$A$3:$V$5001,0,$AX25),"&lt;&gt;")=0,"",SUMIFS(INDEX(BD!$A$3:$V$5001,0,$AX25),BD!$A$3:$A$5001,F$5,BD!$B$3:$B$5001,$C$2))))</f>
        <v/>
      </c>
      <c r="G25" s="172" t="str">
        <f>IF(OR($AW25=0,G$5=""),"",IF($AY25="taxa",IF(COUNTIFS(BD!$A$3:$A$5001,G$5,BD!$B$3:$B$5001,$C$2,BD!$M$3:$M$5001,"&lt;&gt;")=0,"",IFERROR(SUMIFS(BD!$M$3:$M$5001,BD!$A$3:$A$5001,G$5,BD!$B$3:$B$5001,$C$2)/SUMIFS(BD!$L$3:$L$5001,BD!$A$3:$A$5001,G$5,BD!$B$3:$B$5001,$C$2),"")),IF(COUNTIFS(BD!$A$3:$A$5001,G$5,BD!$B$3:$B$5001,$C$2,INDEX(BD!$A$3:$V$5001,0,$AX25),"&lt;&gt;")=0,"",SUMIFS(INDEX(BD!$A$3:$V$5001,0,$AX25),BD!$A$3:$A$5001,G$5,BD!$B$3:$B$5001,$C$2))))</f>
        <v/>
      </c>
      <c r="H25" s="172" t="str">
        <f>IF(OR($AW25=0,H$5=""),"",IF($AY25="taxa",IF(COUNTIFS(BD!$A$3:$A$5001,H$5,BD!$B$3:$B$5001,$C$2,BD!$M$3:$M$5001,"&lt;&gt;")=0,"",IFERROR(SUMIFS(BD!$M$3:$M$5001,BD!$A$3:$A$5001,H$5,BD!$B$3:$B$5001,$C$2)/SUMIFS(BD!$L$3:$L$5001,BD!$A$3:$A$5001,H$5,BD!$B$3:$B$5001,$C$2),"")),IF(COUNTIFS(BD!$A$3:$A$5001,H$5,BD!$B$3:$B$5001,$C$2,INDEX(BD!$A$3:$V$5001,0,$AX25),"&lt;&gt;")=0,"",SUMIFS(INDEX(BD!$A$3:$V$5001,0,$AX25),BD!$A$3:$A$5001,H$5,BD!$B$3:$B$5001,$C$2))))</f>
        <v/>
      </c>
      <c r="I25" s="172" t="str">
        <f>IF(OR($AW25=0,I$5=""),"",IF($AY25="taxa",IF(COUNTIFS(BD!$A$3:$A$5001,I$5,BD!$B$3:$B$5001,$C$2,BD!$M$3:$M$5001,"&lt;&gt;")=0,"",IFERROR(SUMIFS(BD!$M$3:$M$5001,BD!$A$3:$A$5001,I$5,BD!$B$3:$B$5001,$C$2)/SUMIFS(BD!$L$3:$L$5001,BD!$A$3:$A$5001,I$5,BD!$B$3:$B$5001,$C$2),"")),IF(COUNTIFS(BD!$A$3:$A$5001,I$5,BD!$B$3:$B$5001,$C$2,INDEX(BD!$A$3:$V$5001,0,$AX25),"&lt;&gt;")=0,"",SUMIFS(INDEX(BD!$A$3:$V$5001,0,$AX25),BD!$A$3:$A$5001,I$5,BD!$B$3:$B$5001,$C$2))))</f>
        <v/>
      </c>
      <c r="J25" s="172" t="str">
        <f>IF(OR($AW25=0,J$5=""),"",IF($AY25="taxa",IF(COUNTIFS(BD!$A$3:$A$5001,J$5,BD!$B$3:$B$5001,$C$2,BD!$M$3:$M$5001,"&lt;&gt;")=0,"",IFERROR(SUMIFS(BD!$M$3:$M$5001,BD!$A$3:$A$5001,J$5,BD!$B$3:$B$5001,$C$2)/SUMIFS(BD!$L$3:$L$5001,BD!$A$3:$A$5001,J$5,BD!$B$3:$B$5001,$C$2),"")),IF(COUNTIFS(BD!$A$3:$A$5001,J$5,BD!$B$3:$B$5001,$C$2,INDEX(BD!$A$3:$V$5001,0,$AX25),"&lt;&gt;")=0,"",SUMIFS(INDEX(BD!$A$3:$V$5001,0,$AX25),BD!$A$3:$A$5001,J$5,BD!$B$3:$B$5001,$C$2))))</f>
        <v/>
      </c>
      <c r="K25" s="172" t="str">
        <f>IF(OR($AW25=0,K$5=""),"",IF($AY25="taxa",IF(COUNTIFS(BD!$A$3:$A$5001,K$5,BD!$B$3:$B$5001,$C$2,BD!$M$3:$M$5001,"&lt;&gt;")=0,"",IFERROR(SUMIFS(BD!$M$3:$M$5001,BD!$A$3:$A$5001,K$5,BD!$B$3:$B$5001,$C$2)/SUMIFS(BD!$L$3:$L$5001,BD!$A$3:$A$5001,K$5,BD!$B$3:$B$5001,$C$2),"")),IF(COUNTIFS(BD!$A$3:$A$5001,K$5,BD!$B$3:$B$5001,$C$2,INDEX(BD!$A$3:$V$5001,0,$AX25),"&lt;&gt;")=0,"",SUMIFS(INDEX(BD!$A$3:$V$5001,0,$AX25),BD!$A$3:$A$5001,K$5,BD!$B$3:$B$5001,$C$2))))</f>
        <v/>
      </c>
      <c r="L25" s="172" t="str">
        <f>IF(OR($AW25=0,L$5=""),"",IF($AY25="taxa",IF(COUNTIFS(BD!$A$3:$A$5001,L$5,BD!$B$3:$B$5001,$C$2,BD!$M$3:$M$5001,"&lt;&gt;")=0,"",IFERROR(SUMIFS(BD!$M$3:$M$5001,BD!$A$3:$A$5001,L$5,BD!$B$3:$B$5001,$C$2)/SUMIFS(BD!$L$3:$L$5001,BD!$A$3:$A$5001,L$5,BD!$B$3:$B$5001,$C$2),"")),IF(COUNTIFS(BD!$A$3:$A$5001,L$5,BD!$B$3:$B$5001,$C$2,INDEX(BD!$A$3:$V$5001,0,$AX25),"&lt;&gt;")=0,"",SUMIFS(INDEX(BD!$A$3:$V$5001,0,$AX25),BD!$A$3:$A$5001,L$5,BD!$B$3:$B$5001,$C$2))))</f>
        <v/>
      </c>
      <c r="M25" s="172" t="str">
        <f>IF(OR($AW25=0,M$5=""),"",IF($AY25="taxa",IF(COUNTIFS(BD!$A$3:$A$5001,M$5,BD!$B$3:$B$5001,$C$2,BD!$M$3:$M$5001,"&lt;&gt;")=0,"",IFERROR(SUMIFS(BD!$M$3:$M$5001,BD!$A$3:$A$5001,M$5,BD!$B$3:$B$5001,$C$2)/SUMIFS(BD!$L$3:$L$5001,BD!$A$3:$A$5001,M$5,BD!$B$3:$B$5001,$C$2),"")),IF(COUNTIFS(BD!$A$3:$A$5001,M$5,BD!$B$3:$B$5001,$C$2,INDEX(BD!$A$3:$V$5001,0,$AX25),"&lt;&gt;")=0,"",SUMIFS(INDEX(BD!$A$3:$V$5001,0,$AX25),BD!$A$3:$A$5001,M$5,BD!$B$3:$B$5001,$C$2))))</f>
        <v/>
      </c>
      <c r="N25" s="172" t="str">
        <f>IF(OR($AW25=0,N$5=""),"",IF($AY25="taxa",IF(COUNTIFS(BD!$A$3:$A$5001,N$5,BD!$B$3:$B$5001,$C$2,BD!$M$3:$M$5001,"&lt;&gt;")=0,"",IFERROR(SUMIFS(BD!$M$3:$M$5001,BD!$A$3:$A$5001,N$5,BD!$B$3:$B$5001,$C$2)/SUMIFS(BD!$L$3:$L$5001,BD!$A$3:$A$5001,N$5,BD!$B$3:$B$5001,$C$2),"")),IF(COUNTIFS(BD!$A$3:$A$5001,N$5,BD!$B$3:$B$5001,$C$2,INDEX(BD!$A$3:$V$5001,0,$AX25),"&lt;&gt;")=0,"",SUMIFS(INDEX(BD!$A$3:$V$5001,0,$AX25),BD!$A$3:$A$5001,N$5,BD!$B$3:$B$5001,$C$2))))</f>
        <v/>
      </c>
      <c r="O25" s="172" t="str">
        <f>IF(OR($AW25=0,O$5=""),"",IF($AY25="taxa",IF(COUNTIFS(BD!$A$3:$A$5001,O$5,BD!$B$3:$B$5001,$C$2,BD!$M$3:$M$5001,"&lt;&gt;")=0,"",IFERROR(SUMIFS(BD!$M$3:$M$5001,BD!$A$3:$A$5001,O$5,BD!$B$3:$B$5001,$C$2)/SUMIFS(BD!$L$3:$L$5001,BD!$A$3:$A$5001,O$5,BD!$B$3:$B$5001,$C$2),"")),IF(COUNTIFS(BD!$A$3:$A$5001,O$5,BD!$B$3:$B$5001,$C$2,INDEX(BD!$A$3:$V$5001,0,$AX25),"&lt;&gt;")=0,"",SUMIFS(INDEX(BD!$A$3:$V$5001,0,$AX25),BD!$A$3:$A$5001,O$5,BD!$B$3:$B$5001,$C$2))))</f>
        <v/>
      </c>
      <c r="P25" s="172" t="str">
        <f>IF(OR($AW25=0,P$5=""),"",IF($AY25="taxa",IF(COUNTIFS(BD!$A$3:$A$5001,P$5,BD!$B$3:$B$5001,$C$2,BD!$M$3:$M$5001,"&lt;&gt;")=0,"",IFERROR(SUMIFS(BD!$M$3:$M$5001,BD!$A$3:$A$5001,P$5,BD!$B$3:$B$5001,$C$2)/SUMIFS(BD!$L$3:$L$5001,BD!$A$3:$A$5001,P$5,BD!$B$3:$B$5001,$C$2),"")),IF(COUNTIFS(BD!$A$3:$A$5001,P$5,BD!$B$3:$B$5001,$C$2,INDEX(BD!$A$3:$V$5001,0,$AX25),"&lt;&gt;")=0,"",SUMIFS(INDEX(BD!$A$3:$V$5001,0,$AX25),BD!$A$3:$A$5001,P$5,BD!$B$3:$B$5001,$C$2))))</f>
        <v/>
      </c>
      <c r="Q25" s="172" t="str">
        <f>IF(OR($AW25=0,Q$5=""),"",IF($AY25="taxa",IF(COUNTIFS(BD!$A$3:$A$5001,Q$5,BD!$B$3:$B$5001,$C$2,BD!$M$3:$M$5001,"&lt;&gt;")=0,"",IFERROR(SUMIFS(BD!$M$3:$M$5001,BD!$A$3:$A$5001,Q$5,BD!$B$3:$B$5001,$C$2)/SUMIFS(BD!$L$3:$L$5001,BD!$A$3:$A$5001,Q$5,BD!$B$3:$B$5001,$C$2),"")),IF(COUNTIFS(BD!$A$3:$A$5001,Q$5,BD!$B$3:$B$5001,$C$2,INDEX(BD!$A$3:$V$5001,0,$AX25),"&lt;&gt;")=0,"",SUMIFS(INDEX(BD!$A$3:$V$5001,0,$AX25),BD!$A$3:$A$5001,Q$5,BD!$B$3:$B$5001,$C$2))))</f>
        <v/>
      </c>
      <c r="R25" s="172" t="str">
        <f>IF(OR($AW25=0,R$5=""),"",IF($AY25="taxa",IF(COUNTIFS(BD!$A$3:$A$5001,R$5,BD!$B$3:$B$5001,$C$2,BD!$M$3:$M$5001,"&lt;&gt;")=0,"",IFERROR(SUMIFS(BD!$M$3:$M$5001,BD!$A$3:$A$5001,R$5,BD!$B$3:$B$5001,$C$2)/SUMIFS(BD!$L$3:$L$5001,BD!$A$3:$A$5001,R$5,BD!$B$3:$B$5001,$C$2),"")),IF(COUNTIFS(BD!$A$3:$A$5001,R$5,BD!$B$3:$B$5001,$C$2,INDEX(BD!$A$3:$V$5001,0,$AX25),"&lt;&gt;")=0,"",SUMIFS(INDEX(BD!$A$3:$V$5001,0,$AX25),BD!$A$3:$A$5001,R$5,BD!$B$3:$B$5001,$C$2))))</f>
        <v/>
      </c>
      <c r="S25" s="172" t="str">
        <f>IF(OR($AW25=0,S$5=""),"",IF($AY25="taxa",IF(COUNTIFS(BD!$A$3:$A$5001,S$5,BD!$B$3:$B$5001,$C$2,BD!$M$3:$M$5001,"&lt;&gt;")=0,"",IFERROR(SUMIFS(BD!$M$3:$M$5001,BD!$A$3:$A$5001,S$5,BD!$B$3:$B$5001,$C$2)/SUMIFS(BD!$L$3:$L$5001,BD!$A$3:$A$5001,S$5,BD!$B$3:$B$5001,$C$2),"")),IF(COUNTIFS(BD!$A$3:$A$5001,S$5,BD!$B$3:$B$5001,$C$2,INDEX(BD!$A$3:$V$5001,0,$AX25),"&lt;&gt;")=0,"",SUMIFS(INDEX(BD!$A$3:$V$5001,0,$AX25),BD!$A$3:$A$5001,S$5,BD!$B$3:$B$5001,$C$2))))</f>
        <v/>
      </c>
      <c r="T25" s="172" t="str">
        <f>IF(OR($AW25=0,T$5=""),"",IF($AY25="taxa",IF(COUNTIFS(BD!$A$3:$A$5001,T$5,BD!$B$3:$B$5001,$C$2,BD!$M$3:$M$5001,"&lt;&gt;")=0,"",IFERROR(SUMIFS(BD!$M$3:$M$5001,BD!$A$3:$A$5001,T$5,BD!$B$3:$B$5001,$C$2)/SUMIFS(BD!$L$3:$L$5001,BD!$A$3:$A$5001,T$5,BD!$B$3:$B$5001,$C$2),"")),IF(COUNTIFS(BD!$A$3:$A$5001,T$5,BD!$B$3:$B$5001,$C$2,INDEX(BD!$A$3:$V$5001,0,$AX25),"&lt;&gt;")=0,"",SUMIFS(INDEX(BD!$A$3:$V$5001,0,$AX25),BD!$A$3:$A$5001,T$5,BD!$B$3:$B$5001,$C$2))))</f>
        <v/>
      </c>
      <c r="U25" s="172" t="str">
        <f>IF(OR($AW25=0,U$5=""),"",IF($AY25="taxa",IF(COUNTIFS(BD!$A$3:$A$5001,U$5,BD!$B$3:$B$5001,$C$2,BD!$M$3:$M$5001,"&lt;&gt;")=0,"",IFERROR(SUMIFS(BD!$M$3:$M$5001,BD!$A$3:$A$5001,U$5,BD!$B$3:$B$5001,$C$2)/SUMIFS(BD!$L$3:$L$5001,BD!$A$3:$A$5001,U$5,BD!$B$3:$B$5001,$C$2),"")),IF(COUNTIFS(BD!$A$3:$A$5001,U$5,BD!$B$3:$B$5001,$C$2,INDEX(BD!$A$3:$V$5001,0,$AX25),"&lt;&gt;")=0,"",SUMIFS(INDEX(BD!$A$3:$V$5001,0,$AX25),BD!$A$3:$A$5001,U$5,BD!$B$3:$B$5001,$C$2))))</f>
        <v/>
      </c>
      <c r="V25" s="172" t="str">
        <f>IF(OR($AW25=0,V$5=""),"",IF($AY25="taxa",IF(COUNTIFS(BD!$A$3:$A$5001,V$5,BD!$B$3:$B$5001,$C$2,BD!$M$3:$M$5001,"&lt;&gt;")=0,"",IFERROR(SUMIFS(BD!$M$3:$M$5001,BD!$A$3:$A$5001,V$5,BD!$B$3:$B$5001,$C$2)/SUMIFS(BD!$L$3:$L$5001,BD!$A$3:$A$5001,V$5,BD!$B$3:$B$5001,$C$2),"")),IF(COUNTIFS(BD!$A$3:$A$5001,V$5,BD!$B$3:$B$5001,$C$2,INDEX(BD!$A$3:$V$5001,0,$AX25),"&lt;&gt;")=0,"",SUMIFS(INDEX(BD!$A$3:$V$5001,0,$AX25),BD!$A$3:$A$5001,V$5,BD!$B$3:$B$5001,$C$2))))</f>
        <v/>
      </c>
      <c r="W25" s="172" t="str">
        <f>IF(OR($AW25=0,W$5=""),"",IF($AY25="taxa",IF(COUNTIFS(BD!$A$3:$A$5001,W$5,BD!$B$3:$B$5001,$C$2,BD!$M$3:$M$5001,"&lt;&gt;")=0,"",IFERROR(SUMIFS(BD!$M$3:$M$5001,BD!$A$3:$A$5001,W$5,BD!$B$3:$B$5001,$C$2)/SUMIFS(BD!$L$3:$L$5001,BD!$A$3:$A$5001,W$5,BD!$B$3:$B$5001,$C$2),"")),IF(COUNTIFS(BD!$A$3:$A$5001,W$5,BD!$B$3:$B$5001,$C$2,INDEX(BD!$A$3:$V$5001,0,$AX25),"&lt;&gt;")=0,"",SUMIFS(INDEX(BD!$A$3:$V$5001,0,$AX25),BD!$A$3:$A$5001,W$5,BD!$B$3:$B$5001,$C$2))))</f>
        <v/>
      </c>
      <c r="X25" s="172" t="str">
        <f>IF(OR($AW25=0,X$5=""),"",IF($AY25="taxa",IF(COUNTIFS(BD!$A$3:$A$5001,X$5,BD!$B$3:$B$5001,$C$2,BD!$M$3:$M$5001,"&lt;&gt;")=0,"",IFERROR(SUMIFS(BD!$M$3:$M$5001,BD!$A$3:$A$5001,X$5,BD!$B$3:$B$5001,$C$2)/SUMIFS(BD!$L$3:$L$5001,BD!$A$3:$A$5001,X$5,BD!$B$3:$B$5001,$C$2),"")),IF(COUNTIFS(BD!$A$3:$A$5001,X$5,BD!$B$3:$B$5001,$C$2,INDEX(BD!$A$3:$V$5001,0,$AX25),"&lt;&gt;")=0,"",SUMIFS(INDEX(BD!$A$3:$V$5001,0,$AX25),BD!$A$3:$A$5001,X$5,BD!$B$3:$B$5001,$C$2))))</f>
        <v/>
      </c>
      <c r="Y25" s="172" t="str">
        <f>IF(OR($AW25=0,Y$5=""),"",IF($AY25="taxa",IF(COUNTIFS(BD!$A$3:$A$5001,Y$5,BD!$B$3:$B$5001,$C$2,BD!$M$3:$M$5001,"&lt;&gt;")=0,"",IFERROR(SUMIFS(BD!$M$3:$M$5001,BD!$A$3:$A$5001,Y$5,BD!$B$3:$B$5001,$C$2)/SUMIFS(BD!$L$3:$L$5001,BD!$A$3:$A$5001,Y$5,BD!$B$3:$B$5001,$C$2),"")),IF(COUNTIFS(BD!$A$3:$A$5001,Y$5,BD!$B$3:$B$5001,$C$2,INDEX(BD!$A$3:$V$5001,0,$AX25),"&lt;&gt;")=0,"",SUMIFS(INDEX(BD!$A$3:$V$5001,0,$AX25),BD!$A$3:$A$5001,Y$5,BD!$B$3:$B$5001,$C$2))))</f>
        <v/>
      </c>
      <c r="Z25" s="172" t="str">
        <f>IF(OR($AW25=0,Z$5=""),"",IF($AY25="taxa",IF(COUNTIFS(BD!$A$3:$A$5001,Z$5,BD!$B$3:$B$5001,$C$2,BD!$M$3:$M$5001,"&lt;&gt;")=0,"",IFERROR(SUMIFS(BD!$M$3:$M$5001,BD!$A$3:$A$5001,Z$5,BD!$B$3:$B$5001,$C$2)/SUMIFS(BD!$L$3:$L$5001,BD!$A$3:$A$5001,Z$5,BD!$B$3:$B$5001,$C$2),"")),IF(COUNTIFS(BD!$A$3:$A$5001,Z$5,BD!$B$3:$B$5001,$C$2,INDEX(BD!$A$3:$V$5001,0,$AX25),"&lt;&gt;")=0,"",SUMIFS(INDEX(BD!$A$3:$V$5001,0,$AX25),BD!$A$3:$A$5001,Z$5,BD!$B$3:$B$5001,$C$2))))</f>
        <v/>
      </c>
      <c r="AA25" s="172" t="str">
        <f>IF(OR($AW25=0,AA$5=""),"",IF($AY25="taxa",IF(COUNTIFS(BD!$A$3:$A$5001,AA$5,BD!$B$3:$B$5001,$C$2,BD!$M$3:$M$5001,"&lt;&gt;")=0,"",IFERROR(SUMIFS(BD!$M$3:$M$5001,BD!$A$3:$A$5001,AA$5,BD!$B$3:$B$5001,$C$2)/SUMIFS(BD!$L$3:$L$5001,BD!$A$3:$A$5001,AA$5,BD!$B$3:$B$5001,$C$2),"")),IF(COUNTIFS(BD!$A$3:$A$5001,AA$5,BD!$B$3:$B$5001,$C$2,INDEX(BD!$A$3:$V$5001,0,$AX25),"&lt;&gt;")=0,"",SUMIFS(INDEX(BD!$A$3:$V$5001,0,$AX25),BD!$A$3:$A$5001,AA$5,BD!$B$3:$B$5001,$C$2))))</f>
        <v/>
      </c>
      <c r="AB25" s="172" t="str">
        <f>IF(OR($AW25=0,AB$5=""),"",IF($AY25="taxa",IF(COUNTIFS(BD!$A$3:$A$5001,AB$5,BD!$B$3:$B$5001,$C$2,BD!$M$3:$M$5001,"&lt;&gt;")=0,"",IFERROR(SUMIFS(BD!$M$3:$M$5001,BD!$A$3:$A$5001,AB$5,BD!$B$3:$B$5001,$C$2)/SUMIFS(BD!$L$3:$L$5001,BD!$A$3:$A$5001,AB$5,BD!$B$3:$B$5001,$C$2),"")),IF(COUNTIFS(BD!$A$3:$A$5001,AB$5,BD!$B$3:$B$5001,$C$2,INDEX(BD!$A$3:$V$5001,0,$AX25),"&lt;&gt;")=0,"",SUMIFS(INDEX(BD!$A$3:$V$5001,0,$AX25),BD!$A$3:$A$5001,AB$5,BD!$B$3:$B$5001,$C$2))))</f>
        <v/>
      </c>
      <c r="AC25" s="172" t="str">
        <f>IF(OR($AW25=0,AC$5=""),"",IF($AY25="taxa",IF(COUNTIFS(BD!$A$3:$A$5001,AC$5,BD!$B$3:$B$5001,$C$2,BD!$M$3:$M$5001,"&lt;&gt;")=0,"",IFERROR(SUMIFS(BD!$M$3:$M$5001,BD!$A$3:$A$5001,AC$5,BD!$B$3:$B$5001,$C$2)/SUMIFS(BD!$L$3:$L$5001,BD!$A$3:$A$5001,AC$5,BD!$B$3:$B$5001,$C$2),"")),IF(COUNTIFS(BD!$A$3:$A$5001,AC$5,BD!$B$3:$B$5001,$C$2,INDEX(BD!$A$3:$V$5001,0,$AX25),"&lt;&gt;")=0,"",SUMIFS(INDEX(BD!$A$3:$V$5001,0,$AX25),BD!$A$3:$A$5001,AC$5,BD!$B$3:$B$5001,$C$2))))</f>
        <v/>
      </c>
      <c r="AD25" s="172" t="str">
        <f>IF(OR($AW25=0,AD$5=""),"",IF($AY25="taxa",IF(COUNTIFS(BD!$A$3:$A$5001,AD$5,BD!$B$3:$B$5001,$C$2,BD!$M$3:$M$5001,"&lt;&gt;")=0,"",IFERROR(SUMIFS(BD!$M$3:$M$5001,BD!$A$3:$A$5001,AD$5,BD!$B$3:$B$5001,$C$2)/SUMIFS(BD!$L$3:$L$5001,BD!$A$3:$A$5001,AD$5,BD!$B$3:$B$5001,$C$2),"")),IF(COUNTIFS(BD!$A$3:$A$5001,AD$5,BD!$B$3:$B$5001,$C$2,INDEX(BD!$A$3:$V$5001,0,$AX25),"&lt;&gt;")=0,"",SUMIFS(INDEX(BD!$A$3:$V$5001,0,$AX25),BD!$A$3:$A$5001,AD$5,BD!$B$3:$B$5001,$C$2))))</f>
        <v/>
      </c>
      <c r="AE25" s="172" t="str">
        <f>IF(OR($AW25=0,AE$5=""),"",IF($AY25="taxa",IF(COUNTIFS(BD!$A$3:$A$5001,AE$5,BD!$B$3:$B$5001,$C$2,BD!$M$3:$M$5001,"&lt;&gt;")=0,"",IFERROR(SUMIFS(BD!$M$3:$M$5001,BD!$A$3:$A$5001,AE$5,BD!$B$3:$B$5001,$C$2)/SUMIFS(BD!$L$3:$L$5001,BD!$A$3:$A$5001,AE$5,BD!$B$3:$B$5001,$C$2),"")),IF(COUNTIFS(BD!$A$3:$A$5001,AE$5,BD!$B$3:$B$5001,$C$2,INDEX(BD!$A$3:$V$5001,0,$AX25),"&lt;&gt;")=0,"",SUMIFS(INDEX(BD!$A$3:$V$5001,0,$AX25),BD!$A$3:$A$5001,AE$5,BD!$B$3:$B$5001,$C$2))))</f>
        <v/>
      </c>
      <c r="AF25" s="172" t="str">
        <f>IF(OR($AW25=0,AF$5=""),"",IF($AY25="taxa",IF(COUNTIFS(BD!$A$3:$A$5001,AF$5,BD!$B$3:$B$5001,$C$2,BD!$M$3:$M$5001,"&lt;&gt;")=0,"",IFERROR(SUMIFS(BD!$M$3:$M$5001,BD!$A$3:$A$5001,AF$5,BD!$B$3:$B$5001,$C$2)/SUMIFS(BD!$L$3:$L$5001,BD!$A$3:$A$5001,AF$5,BD!$B$3:$B$5001,$C$2),"")),IF(COUNTIFS(BD!$A$3:$A$5001,AF$5,BD!$B$3:$B$5001,$C$2,INDEX(BD!$A$3:$V$5001,0,$AX25),"&lt;&gt;")=0,"",SUMIFS(INDEX(BD!$A$3:$V$5001,0,$AX25),BD!$A$3:$A$5001,AF$5,BD!$B$3:$B$5001,$C$2))))</f>
        <v/>
      </c>
      <c r="AG25" s="172" t="str">
        <f>IF(OR($AW25=0,AG$5=""),"",IF($AY25="taxa",IF(COUNTIFS(BD!$A$3:$A$5001,AG$5,BD!$B$3:$B$5001,$C$2,BD!$M$3:$M$5001,"&lt;&gt;")=0,"",IFERROR(SUMIFS(BD!$M$3:$M$5001,BD!$A$3:$A$5001,AG$5,BD!$B$3:$B$5001,$C$2)/SUMIFS(BD!$L$3:$L$5001,BD!$A$3:$A$5001,AG$5,BD!$B$3:$B$5001,$C$2),"")),IF(COUNTIFS(BD!$A$3:$A$5001,AG$5,BD!$B$3:$B$5001,$C$2,INDEX(BD!$A$3:$V$5001,0,$AX25),"&lt;&gt;")=0,"",SUMIFS(INDEX(BD!$A$3:$V$5001,0,$AX25),BD!$A$3:$A$5001,AG$5,BD!$B$3:$B$5001,$C$2))))</f>
        <v/>
      </c>
      <c r="AH25" s="172" t="str">
        <f>IF(OR($AW25=0,AH$5=""),"",IF($AY25="taxa",IF(COUNTIFS(BD!$A$3:$A$5001,AH$5,BD!$B$3:$B$5001,$C$2,BD!$M$3:$M$5001,"&lt;&gt;")=0,"",IFERROR(SUMIFS(BD!$M$3:$M$5001,BD!$A$3:$A$5001,AH$5,BD!$B$3:$B$5001,$C$2)/SUMIFS(BD!$L$3:$L$5001,BD!$A$3:$A$5001,AH$5,BD!$B$3:$B$5001,$C$2),"")),IF(COUNTIFS(BD!$A$3:$A$5001,AH$5,BD!$B$3:$B$5001,$C$2,INDEX(BD!$A$3:$V$5001,0,$AX25),"&lt;&gt;")=0,"",SUMIFS(INDEX(BD!$A$3:$V$5001,0,$AX25),BD!$A$3:$A$5001,AH$5,BD!$B$3:$B$5001,$C$2))))</f>
        <v/>
      </c>
      <c r="AI25" s="172" t="str">
        <f>IF(OR($AW25=0,AI$5=""),"",IF($AY25="taxa",IF(COUNTIFS(BD!$A$3:$A$5001,AI$5,BD!$B$3:$B$5001,$C$2,BD!$M$3:$M$5001,"&lt;&gt;")=0,"",IFERROR(SUMIFS(BD!$M$3:$M$5001,BD!$A$3:$A$5001,AI$5,BD!$B$3:$B$5001,$C$2)/SUMIFS(BD!$L$3:$L$5001,BD!$A$3:$A$5001,AI$5,BD!$B$3:$B$5001,$C$2),"")),IF(COUNTIFS(BD!$A$3:$A$5001,AI$5,BD!$B$3:$B$5001,$C$2,INDEX(BD!$A$3:$V$5001,0,$AX25),"&lt;&gt;")=0,"",SUMIFS(INDEX(BD!$A$3:$V$5001,0,$AX25),BD!$A$3:$A$5001,AI$5,BD!$B$3:$B$5001,$C$2))))</f>
        <v/>
      </c>
      <c r="AJ25" s="173" t="str">
        <f>IF(OR($AW25=0,AJ$5=""),"",IF($AY25="taxa",IF(COUNTIFS(BD!$A$3:$A$5001,AJ$5,BD!$B$3:$B$5001,$C$2,BD!$M$3:$M$5001,"&lt;&gt;")=0,"",IFERROR(SUMIFS(BD!$M$3:$M$5001,BD!$A$3:$A$5001,AJ$5,BD!$B$3:$B$5001,$C$2)/SUMIFS(BD!$L$3:$L$5001,BD!$A$3:$A$5001,AJ$5,BD!$B$3:$B$5001,$C$2),"")),IF(COUNTIFS(BD!$A$3:$A$5001,AJ$5,BD!$B$3:$B$5001,$C$2,INDEX(BD!$A$3:$V$5001,0,$AX25),"&lt;&gt;")=0,"",SUMIFS(INDEX(BD!$A$3:$V$5001,0,$AX25),BD!$A$3:$A$5001,AJ$5,BD!$B$3:$B$5001,$C$2))))</f>
        <v/>
      </c>
      <c r="AK25" s="169" t="str">
        <f>IF($AW25=0,"",IF($AY25="fluxo",IF(COUNT(F25:AJ25)=0,"",SUM(F25:AJ25)),IFERROR(LOOKUP(9.99E+307,F25:AJ25),"")))</f>
        <v/>
      </c>
      <c r="AN25" s="159" t="inlineStr">
        <is>
          <t xml:space="preserve">Acidentes CAF</t>
        </is>
      </c>
      <c r="AO25" s="159" t="inlineStr">
        <is>
          <t xml:space="preserve">GENTE</t>
        </is>
      </c>
      <c r="AP25" s="159">
        <v>20</v>
      </c>
      <c r="AQ25" s="159" t="inlineStr">
        <is>
          <t xml:space="preserve">fluxo</t>
        </is>
      </c>
      <c r="AR25" s="159">
        <v>19</v>
      </c>
      <c r="AS25" s="159" t="inlineStr">
        <is>
          <t xml:space="preserve">int</t>
        </is>
      </c>
      <c r="AT25" s="159">
        <f>IF($C$2="",0,IF(IFERROR(INDEX(Config!$U$35:$U$54,MATCH($C$2,Config!$B$35:$B$54,0)),"Sim")="Não",0,1))</f>
        <v>1</v>
      </c>
      <c r="AU25" s="159">
        <f>AU24+AT25</f>
        <v>19</v>
      </c>
      <c r="AW25" s="159">
        <f>IFERROR(MATCH(19,$AU$7:$AU$26,0),0)</f>
        <v>19</v>
      </c>
      <c r="AX25" s="159">
        <f>IF($AW25=0,"",INDEX($AP$7:$AP$26,$AW25))</f>
        <v>20</v>
      </c>
      <c r="AY25" s="159" t="str">
        <f>IF($AW25=0,"",INDEX($AQ$7:$AQ$26,$AW25))</f>
        <v>fluxo</v>
      </c>
      <c r="AZ25" s="159" t="str">
        <f>IF($AW25=0,"",INDEX($AS$7:$AS$26,$AW25))</f>
        <v>int</v>
      </c>
      <c r="BA25" s="159">
        <f>IF($AW25=0,"",INDEX($AR$7:$AR$26,$AW25))</f>
        <v>19</v>
      </c>
    </row>
    <row r="26" ht="15.75" customHeight="1">
      <c r="A26" s="181"/>
      <c r="B26" s="174" t="str">
        <f>IF($AW26=0,"",INDEX($AO$7:$AO$26,$AW26))</f>
        <v>GENTE</v>
      </c>
      <c r="C26" s="175" t="str">
        <f>IF($AW26=0,"",INDEX($AN$7:$AN$26,$AW26))</f>
        <v>Acidentes SAF</v>
      </c>
      <c r="D26" s="176" t="str">
        <f>IF(OR($AW26=0,N($BA26)=0),"",IFERROR(1/(1/INDEX(BD!$Y$23:$AS$42,$BA26,MATCH($C$2,BD!$Y$22:$AS$22,0))),""))</f>
        <v/>
      </c>
      <c r="E26" s="177"/>
      <c r="F26" s="178" t="str">
        <f>IF(OR($AW26=0,F$5=""),"",IF($AY26="taxa",IF(COUNTIFS(BD!$A$3:$A$5001,F$5,BD!$B$3:$B$5001,$C$2,BD!$M$3:$M$5001,"&lt;&gt;")=0,"",IFERROR(SUMIFS(BD!$M$3:$M$5001,BD!$A$3:$A$5001,F$5,BD!$B$3:$B$5001,$C$2)/SUMIFS(BD!$L$3:$L$5001,BD!$A$3:$A$5001,F$5,BD!$B$3:$B$5001,$C$2),"")),IF(COUNTIFS(BD!$A$3:$A$5001,F$5,BD!$B$3:$B$5001,$C$2,INDEX(BD!$A$3:$V$5001,0,$AX26),"&lt;&gt;")=0,"",SUMIFS(INDEX(BD!$A$3:$V$5001,0,$AX26),BD!$A$3:$A$5001,F$5,BD!$B$3:$B$5001,$C$2))))</f>
        <v/>
      </c>
      <c r="G26" s="179" t="str">
        <f>IF(OR($AW26=0,G$5=""),"",IF($AY26="taxa",IF(COUNTIFS(BD!$A$3:$A$5001,G$5,BD!$B$3:$B$5001,$C$2,BD!$M$3:$M$5001,"&lt;&gt;")=0,"",IFERROR(SUMIFS(BD!$M$3:$M$5001,BD!$A$3:$A$5001,G$5,BD!$B$3:$B$5001,$C$2)/SUMIFS(BD!$L$3:$L$5001,BD!$A$3:$A$5001,G$5,BD!$B$3:$B$5001,$C$2),"")),IF(COUNTIFS(BD!$A$3:$A$5001,G$5,BD!$B$3:$B$5001,$C$2,INDEX(BD!$A$3:$V$5001,0,$AX26),"&lt;&gt;")=0,"",SUMIFS(INDEX(BD!$A$3:$V$5001,0,$AX26),BD!$A$3:$A$5001,G$5,BD!$B$3:$B$5001,$C$2))))</f>
        <v/>
      </c>
      <c r="H26" s="179" t="str">
        <f>IF(OR($AW26=0,H$5=""),"",IF($AY26="taxa",IF(COUNTIFS(BD!$A$3:$A$5001,H$5,BD!$B$3:$B$5001,$C$2,BD!$M$3:$M$5001,"&lt;&gt;")=0,"",IFERROR(SUMIFS(BD!$M$3:$M$5001,BD!$A$3:$A$5001,H$5,BD!$B$3:$B$5001,$C$2)/SUMIFS(BD!$L$3:$L$5001,BD!$A$3:$A$5001,H$5,BD!$B$3:$B$5001,$C$2),"")),IF(COUNTIFS(BD!$A$3:$A$5001,H$5,BD!$B$3:$B$5001,$C$2,INDEX(BD!$A$3:$V$5001,0,$AX26),"&lt;&gt;")=0,"",SUMIFS(INDEX(BD!$A$3:$V$5001,0,$AX26),BD!$A$3:$A$5001,H$5,BD!$B$3:$B$5001,$C$2))))</f>
        <v/>
      </c>
      <c r="I26" s="179" t="str">
        <f>IF(OR($AW26=0,I$5=""),"",IF($AY26="taxa",IF(COUNTIFS(BD!$A$3:$A$5001,I$5,BD!$B$3:$B$5001,$C$2,BD!$M$3:$M$5001,"&lt;&gt;")=0,"",IFERROR(SUMIFS(BD!$M$3:$M$5001,BD!$A$3:$A$5001,I$5,BD!$B$3:$B$5001,$C$2)/SUMIFS(BD!$L$3:$L$5001,BD!$A$3:$A$5001,I$5,BD!$B$3:$B$5001,$C$2),"")),IF(COUNTIFS(BD!$A$3:$A$5001,I$5,BD!$B$3:$B$5001,$C$2,INDEX(BD!$A$3:$V$5001,0,$AX26),"&lt;&gt;")=0,"",SUMIFS(INDEX(BD!$A$3:$V$5001,0,$AX26),BD!$A$3:$A$5001,I$5,BD!$B$3:$B$5001,$C$2))))</f>
        <v/>
      </c>
      <c r="J26" s="179" t="str">
        <f>IF(OR($AW26=0,J$5=""),"",IF($AY26="taxa",IF(COUNTIFS(BD!$A$3:$A$5001,J$5,BD!$B$3:$B$5001,$C$2,BD!$M$3:$M$5001,"&lt;&gt;")=0,"",IFERROR(SUMIFS(BD!$M$3:$M$5001,BD!$A$3:$A$5001,J$5,BD!$B$3:$B$5001,$C$2)/SUMIFS(BD!$L$3:$L$5001,BD!$A$3:$A$5001,J$5,BD!$B$3:$B$5001,$C$2),"")),IF(COUNTIFS(BD!$A$3:$A$5001,J$5,BD!$B$3:$B$5001,$C$2,INDEX(BD!$A$3:$V$5001,0,$AX26),"&lt;&gt;")=0,"",SUMIFS(INDEX(BD!$A$3:$V$5001,0,$AX26),BD!$A$3:$A$5001,J$5,BD!$B$3:$B$5001,$C$2))))</f>
        <v/>
      </c>
      <c r="K26" s="179" t="str">
        <f>IF(OR($AW26=0,K$5=""),"",IF($AY26="taxa",IF(COUNTIFS(BD!$A$3:$A$5001,K$5,BD!$B$3:$B$5001,$C$2,BD!$M$3:$M$5001,"&lt;&gt;")=0,"",IFERROR(SUMIFS(BD!$M$3:$M$5001,BD!$A$3:$A$5001,K$5,BD!$B$3:$B$5001,$C$2)/SUMIFS(BD!$L$3:$L$5001,BD!$A$3:$A$5001,K$5,BD!$B$3:$B$5001,$C$2),"")),IF(COUNTIFS(BD!$A$3:$A$5001,K$5,BD!$B$3:$B$5001,$C$2,INDEX(BD!$A$3:$V$5001,0,$AX26),"&lt;&gt;")=0,"",SUMIFS(INDEX(BD!$A$3:$V$5001,0,$AX26),BD!$A$3:$A$5001,K$5,BD!$B$3:$B$5001,$C$2))))</f>
        <v/>
      </c>
      <c r="L26" s="179" t="str">
        <f>IF(OR($AW26=0,L$5=""),"",IF($AY26="taxa",IF(COUNTIFS(BD!$A$3:$A$5001,L$5,BD!$B$3:$B$5001,$C$2,BD!$M$3:$M$5001,"&lt;&gt;")=0,"",IFERROR(SUMIFS(BD!$M$3:$M$5001,BD!$A$3:$A$5001,L$5,BD!$B$3:$B$5001,$C$2)/SUMIFS(BD!$L$3:$L$5001,BD!$A$3:$A$5001,L$5,BD!$B$3:$B$5001,$C$2),"")),IF(COUNTIFS(BD!$A$3:$A$5001,L$5,BD!$B$3:$B$5001,$C$2,INDEX(BD!$A$3:$V$5001,0,$AX26),"&lt;&gt;")=0,"",SUMIFS(INDEX(BD!$A$3:$V$5001,0,$AX26),BD!$A$3:$A$5001,L$5,BD!$B$3:$B$5001,$C$2))))</f>
        <v/>
      </c>
      <c r="M26" s="179" t="str">
        <f>IF(OR($AW26=0,M$5=""),"",IF($AY26="taxa",IF(COUNTIFS(BD!$A$3:$A$5001,M$5,BD!$B$3:$B$5001,$C$2,BD!$M$3:$M$5001,"&lt;&gt;")=0,"",IFERROR(SUMIFS(BD!$M$3:$M$5001,BD!$A$3:$A$5001,M$5,BD!$B$3:$B$5001,$C$2)/SUMIFS(BD!$L$3:$L$5001,BD!$A$3:$A$5001,M$5,BD!$B$3:$B$5001,$C$2),"")),IF(COUNTIFS(BD!$A$3:$A$5001,M$5,BD!$B$3:$B$5001,$C$2,INDEX(BD!$A$3:$V$5001,0,$AX26),"&lt;&gt;")=0,"",SUMIFS(INDEX(BD!$A$3:$V$5001,0,$AX26),BD!$A$3:$A$5001,M$5,BD!$B$3:$B$5001,$C$2))))</f>
        <v/>
      </c>
      <c r="N26" s="179" t="str">
        <f>IF(OR($AW26=0,N$5=""),"",IF($AY26="taxa",IF(COUNTIFS(BD!$A$3:$A$5001,N$5,BD!$B$3:$B$5001,$C$2,BD!$M$3:$M$5001,"&lt;&gt;")=0,"",IFERROR(SUMIFS(BD!$M$3:$M$5001,BD!$A$3:$A$5001,N$5,BD!$B$3:$B$5001,$C$2)/SUMIFS(BD!$L$3:$L$5001,BD!$A$3:$A$5001,N$5,BD!$B$3:$B$5001,$C$2),"")),IF(COUNTIFS(BD!$A$3:$A$5001,N$5,BD!$B$3:$B$5001,$C$2,INDEX(BD!$A$3:$V$5001,0,$AX26),"&lt;&gt;")=0,"",SUMIFS(INDEX(BD!$A$3:$V$5001,0,$AX26),BD!$A$3:$A$5001,N$5,BD!$B$3:$B$5001,$C$2))))</f>
        <v/>
      </c>
      <c r="O26" s="179" t="str">
        <f>IF(OR($AW26=0,O$5=""),"",IF($AY26="taxa",IF(COUNTIFS(BD!$A$3:$A$5001,O$5,BD!$B$3:$B$5001,$C$2,BD!$M$3:$M$5001,"&lt;&gt;")=0,"",IFERROR(SUMIFS(BD!$M$3:$M$5001,BD!$A$3:$A$5001,O$5,BD!$B$3:$B$5001,$C$2)/SUMIFS(BD!$L$3:$L$5001,BD!$A$3:$A$5001,O$5,BD!$B$3:$B$5001,$C$2),"")),IF(COUNTIFS(BD!$A$3:$A$5001,O$5,BD!$B$3:$B$5001,$C$2,INDEX(BD!$A$3:$V$5001,0,$AX26),"&lt;&gt;")=0,"",SUMIFS(INDEX(BD!$A$3:$V$5001,0,$AX26),BD!$A$3:$A$5001,O$5,BD!$B$3:$B$5001,$C$2))))</f>
        <v/>
      </c>
      <c r="P26" s="179" t="str">
        <f>IF(OR($AW26=0,P$5=""),"",IF($AY26="taxa",IF(COUNTIFS(BD!$A$3:$A$5001,P$5,BD!$B$3:$B$5001,$C$2,BD!$M$3:$M$5001,"&lt;&gt;")=0,"",IFERROR(SUMIFS(BD!$M$3:$M$5001,BD!$A$3:$A$5001,P$5,BD!$B$3:$B$5001,$C$2)/SUMIFS(BD!$L$3:$L$5001,BD!$A$3:$A$5001,P$5,BD!$B$3:$B$5001,$C$2),"")),IF(COUNTIFS(BD!$A$3:$A$5001,P$5,BD!$B$3:$B$5001,$C$2,INDEX(BD!$A$3:$V$5001,0,$AX26),"&lt;&gt;")=0,"",SUMIFS(INDEX(BD!$A$3:$V$5001,0,$AX26),BD!$A$3:$A$5001,P$5,BD!$B$3:$B$5001,$C$2))))</f>
        <v/>
      </c>
      <c r="Q26" s="179" t="str">
        <f>IF(OR($AW26=0,Q$5=""),"",IF($AY26="taxa",IF(COUNTIFS(BD!$A$3:$A$5001,Q$5,BD!$B$3:$B$5001,$C$2,BD!$M$3:$M$5001,"&lt;&gt;")=0,"",IFERROR(SUMIFS(BD!$M$3:$M$5001,BD!$A$3:$A$5001,Q$5,BD!$B$3:$B$5001,$C$2)/SUMIFS(BD!$L$3:$L$5001,BD!$A$3:$A$5001,Q$5,BD!$B$3:$B$5001,$C$2),"")),IF(COUNTIFS(BD!$A$3:$A$5001,Q$5,BD!$B$3:$B$5001,$C$2,INDEX(BD!$A$3:$V$5001,0,$AX26),"&lt;&gt;")=0,"",SUMIFS(INDEX(BD!$A$3:$V$5001,0,$AX26),BD!$A$3:$A$5001,Q$5,BD!$B$3:$B$5001,$C$2))))</f>
        <v/>
      </c>
      <c r="R26" s="179" t="str">
        <f>IF(OR($AW26=0,R$5=""),"",IF($AY26="taxa",IF(COUNTIFS(BD!$A$3:$A$5001,R$5,BD!$B$3:$B$5001,$C$2,BD!$M$3:$M$5001,"&lt;&gt;")=0,"",IFERROR(SUMIFS(BD!$M$3:$M$5001,BD!$A$3:$A$5001,R$5,BD!$B$3:$B$5001,$C$2)/SUMIFS(BD!$L$3:$L$5001,BD!$A$3:$A$5001,R$5,BD!$B$3:$B$5001,$C$2),"")),IF(COUNTIFS(BD!$A$3:$A$5001,R$5,BD!$B$3:$B$5001,$C$2,INDEX(BD!$A$3:$V$5001,0,$AX26),"&lt;&gt;")=0,"",SUMIFS(INDEX(BD!$A$3:$V$5001,0,$AX26),BD!$A$3:$A$5001,R$5,BD!$B$3:$B$5001,$C$2))))</f>
        <v/>
      </c>
      <c r="S26" s="179" t="str">
        <f>IF(OR($AW26=0,S$5=""),"",IF($AY26="taxa",IF(COUNTIFS(BD!$A$3:$A$5001,S$5,BD!$B$3:$B$5001,$C$2,BD!$M$3:$M$5001,"&lt;&gt;")=0,"",IFERROR(SUMIFS(BD!$M$3:$M$5001,BD!$A$3:$A$5001,S$5,BD!$B$3:$B$5001,$C$2)/SUMIFS(BD!$L$3:$L$5001,BD!$A$3:$A$5001,S$5,BD!$B$3:$B$5001,$C$2),"")),IF(COUNTIFS(BD!$A$3:$A$5001,S$5,BD!$B$3:$B$5001,$C$2,INDEX(BD!$A$3:$V$5001,0,$AX26),"&lt;&gt;")=0,"",SUMIFS(INDEX(BD!$A$3:$V$5001,0,$AX26),BD!$A$3:$A$5001,S$5,BD!$B$3:$B$5001,$C$2))))</f>
        <v/>
      </c>
      <c r="T26" s="179" t="str">
        <f>IF(OR($AW26=0,T$5=""),"",IF($AY26="taxa",IF(COUNTIFS(BD!$A$3:$A$5001,T$5,BD!$B$3:$B$5001,$C$2,BD!$M$3:$M$5001,"&lt;&gt;")=0,"",IFERROR(SUMIFS(BD!$M$3:$M$5001,BD!$A$3:$A$5001,T$5,BD!$B$3:$B$5001,$C$2)/SUMIFS(BD!$L$3:$L$5001,BD!$A$3:$A$5001,T$5,BD!$B$3:$B$5001,$C$2),"")),IF(COUNTIFS(BD!$A$3:$A$5001,T$5,BD!$B$3:$B$5001,$C$2,INDEX(BD!$A$3:$V$5001,0,$AX26),"&lt;&gt;")=0,"",SUMIFS(INDEX(BD!$A$3:$V$5001,0,$AX26),BD!$A$3:$A$5001,T$5,BD!$B$3:$B$5001,$C$2))))</f>
        <v/>
      </c>
      <c r="U26" s="179" t="str">
        <f>IF(OR($AW26=0,U$5=""),"",IF($AY26="taxa",IF(COUNTIFS(BD!$A$3:$A$5001,U$5,BD!$B$3:$B$5001,$C$2,BD!$M$3:$M$5001,"&lt;&gt;")=0,"",IFERROR(SUMIFS(BD!$M$3:$M$5001,BD!$A$3:$A$5001,U$5,BD!$B$3:$B$5001,$C$2)/SUMIFS(BD!$L$3:$L$5001,BD!$A$3:$A$5001,U$5,BD!$B$3:$B$5001,$C$2),"")),IF(COUNTIFS(BD!$A$3:$A$5001,U$5,BD!$B$3:$B$5001,$C$2,INDEX(BD!$A$3:$V$5001,0,$AX26),"&lt;&gt;")=0,"",SUMIFS(INDEX(BD!$A$3:$V$5001,0,$AX26),BD!$A$3:$A$5001,U$5,BD!$B$3:$B$5001,$C$2))))</f>
        <v/>
      </c>
      <c r="V26" s="179" t="str">
        <f>IF(OR($AW26=0,V$5=""),"",IF($AY26="taxa",IF(COUNTIFS(BD!$A$3:$A$5001,V$5,BD!$B$3:$B$5001,$C$2,BD!$M$3:$M$5001,"&lt;&gt;")=0,"",IFERROR(SUMIFS(BD!$M$3:$M$5001,BD!$A$3:$A$5001,V$5,BD!$B$3:$B$5001,$C$2)/SUMIFS(BD!$L$3:$L$5001,BD!$A$3:$A$5001,V$5,BD!$B$3:$B$5001,$C$2),"")),IF(COUNTIFS(BD!$A$3:$A$5001,V$5,BD!$B$3:$B$5001,$C$2,INDEX(BD!$A$3:$V$5001,0,$AX26),"&lt;&gt;")=0,"",SUMIFS(INDEX(BD!$A$3:$V$5001,0,$AX26),BD!$A$3:$A$5001,V$5,BD!$B$3:$B$5001,$C$2))))</f>
        <v/>
      </c>
      <c r="W26" s="179" t="str">
        <f>IF(OR($AW26=0,W$5=""),"",IF($AY26="taxa",IF(COUNTIFS(BD!$A$3:$A$5001,W$5,BD!$B$3:$B$5001,$C$2,BD!$M$3:$M$5001,"&lt;&gt;")=0,"",IFERROR(SUMIFS(BD!$M$3:$M$5001,BD!$A$3:$A$5001,W$5,BD!$B$3:$B$5001,$C$2)/SUMIFS(BD!$L$3:$L$5001,BD!$A$3:$A$5001,W$5,BD!$B$3:$B$5001,$C$2),"")),IF(COUNTIFS(BD!$A$3:$A$5001,W$5,BD!$B$3:$B$5001,$C$2,INDEX(BD!$A$3:$V$5001,0,$AX26),"&lt;&gt;")=0,"",SUMIFS(INDEX(BD!$A$3:$V$5001,0,$AX26),BD!$A$3:$A$5001,W$5,BD!$B$3:$B$5001,$C$2))))</f>
        <v/>
      </c>
      <c r="X26" s="179" t="str">
        <f>IF(OR($AW26=0,X$5=""),"",IF($AY26="taxa",IF(COUNTIFS(BD!$A$3:$A$5001,X$5,BD!$B$3:$B$5001,$C$2,BD!$M$3:$M$5001,"&lt;&gt;")=0,"",IFERROR(SUMIFS(BD!$M$3:$M$5001,BD!$A$3:$A$5001,X$5,BD!$B$3:$B$5001,$C$2)/SUMIFS(BD!$L$3:$L$5001,BD!$A$3:$A$5001,X$5,BD!$B$3:$B$5001,$C$2),"")),IF(COUNTIFS(BD!$A$3:$A$5001,X$5,BD!$B$3:$B$5001,$C$2,INDEX(BD!$A$3:$V$5001,0,$AX26),"&lt;&gt;")=0,"",SUMIFS(INDEX(BD!$A$3:$V$5001,0,$AX26),BD!$A$3:$A$5001,X$5,BD!$B$3:$B$5001,$C$2))))</f>
        <v/>
      </c>
      <c r="Y26" s="179" t="str">
        <f>IF(OR($AW26=0,Y$5=""),"",IF($AY26="taxa",IF(COUNTIFS(BD!$A$3:$A$5001,Y$5,BD!$B$3:$B$5001,$C$2,BD!$M$3:$M$5001,"&lt;&gt;")=0,"",IFERROR(SUMIFS(BD!$M$3:$M$5001,BD!$A$3:$A$5001,Y$5,BD!$B$3:$B$5001,$C$2)/SUMIFS(BD!$L$3:$L$5001,BD!$A$3:$A$5001,Y$5,BD!$B$3:$B$5001,$C$2),"")),IF(COUNTIFS(BD!$A$3:$A$5001,Y$5,BD!$B$3:$B$5001,$C$2,INDEX(BD!$A$3:$V$5001,0,$AX26),"&lt;&gt;")=0,"",SUMIFS(INDEX(BD!$A$3:$V$5001,0,$AX26),BD!$A$3:$A$5001,Y$5,BD!$B$3:$B$5001,$C$2))))</f>
        <v/>
      </c>
      <c r="Z26" s="179" t="str">
        <f>IF(OR($AW26=0,Z$5=""),"",IF($AY26="taxa",IF(COUNTIFS(BD!$A$3:$A$5001,Z$5,BD!$B$3:$B$5001,$C$2,BD!$M$3:$M$5001,"&lt;&gt;")=0,"",IFERROR(SUMIFS(BD!$M$3:$M$5001,BD!$A$3:$A$5001,Z$5,BD!$B$3:$B$5001,$C$2)/SUMIFS(BD!$L$3:$L$5001,BD!$A$3:$A$5001,Z$5,BD!$B$3:$B$5001,$C$2),"")),IF(COUNTIFS(BD!$A$3:$A$5001,Z$5,BD!$B$3:$B$5001,$C$2,INDEX(BD!$A$3:$V$5001,0,$AX26),"&lt;&gt;")=0,"",SUMIFS(INDEX(BD!$A$3:$V$5001,0,$AX26),BD!$A$3:$A$5001,Z$5,BD!$B$3:$B$5001,$C$2))))</f>
        <v/>
      </c>
      <c r="AA26" s="179" t="str">
        <f>IF(OR($AW26=0,AA$5=""),"",IF($AY26="taxa",IF(COUNTIFS(BD!$A$3:$A$5001,AA$5,BD!$B$3:$B$5001,$C$2,BD!$M$3:$M$5001,"&lt;&gt;")=0,"",IFERROR(SUMIFS(BD!$M$3:$M$5001,BD!$A$3:$A$5001,AA$5,BD!$B$3:$B$5001,$C$2)/SUMIFS(BD!$L$3:$L$5001,BD!$A$3:$A$5001,AA$5,BD!$B$3:$B$5001,$C$2),"")),IF(COUNTIFS(BD!$A$3:$A$5001,AA$5,BD!$B$3:$B$5001,$C$2,INDEX(BD!$A$3:$V$5001,0,$AX26),"&lt;&gt;")=0,"",SUMIFS(INDEX(BD!$A$3:$V$5001,0,$AX26),BD!$A$3:$A$5001,AA$5,BD!$B$3:$B$5001,$C$2))))</f>
        <v/>
      </c>
      <c r="AB26" s="179" t="str">
        <f>IF(OR($AW26=0,AB$5=""),"",IF($AY26="taxa",IF(COUNTIFS(BD!$A$3:$A$5001,AB$5,BD!$B$3:$B$5001,$C$2,BD!$M$3:$M$5001,"&lt;&gt;")=0,"",IFERROR(SUMIFS(BD!$M$3:$M$5001,BD!$A$3:$A$5001,AB$5,BD!$B$3:$B$5001,$C$2)/SUMIFS(BD!$L$3:$L$5001,BD!$A$3:$A$5001,AB$5,BD!$B$3:$B$5001,$C$2),"")),IF(COUNTIFS(BD!$A$3:$A$5001,AB$5,BD!$B$3:$B$5001,$C$2,INDEX(BD!$A$3:$V$5001,0,$AX26),"&lt;&gt;")=0,"",SUMIFS(INDEX(BD!$A$3:$V$5001,0,$AX26),BD!$A$3:$A$5001,AB$5,BD!$B$3:$B$5001,$C$2))))</f>
        <v/>
      </c>
      <c r="AC26" s="179" t="str">
        <f>IF(OR($AW26=0,AC$5=""),"",IF($AY26="taxa",IF(COUNTIFS(BD!$A$3:$A$5001,AC$5,BD!$B$3:$B$5001,$C$2,BD!$M$3:$M$5001,"&lt;&gt;")=0,"",IFERROR(SUMIFS(BD!$M$3:$M$5001,BD!$A$3:$A$5001,AC$5,BD!$B$3:$B$5001,$C$2)/SUMIFS(BD!$L$3:$L$5001,BD!$A$3:$A$5001,AC$5,BD!$B$3:$B$5001,$C$2),"")),IF(COUNTIFS(BD!$A$3:$A$5001,AC$5,BD!$B$3:$B$5001,$C$2,INDEX(BD!$A$3:$V$5001,0,$AX26),"&lt;&gt;")=0,"",SUMIFS(INDEX(BD!$A$3:$V$5001,0,$AX26),BD!$A$3:$A$5001,AC$5,BD!$B$3:$B$5001,$C$2))))</f>
        <v/>
      </c>
      <c r="AD26" s="179" t="str">
        <f>IF(OR($AW26=0,AD$5=""),"",IF($AY26="taxa",IF(COUNTIFS(BD!$A$3:$A$5001,AD$5,BD!$B$3:$B$5001,$C$2,BD!$M$3:$M$5001,"&lt;&gt;")=0,"",IFERROR(SUMIFS(BD!$M$3:$M$5001,BD!$A$3:$A$5001,AD$5,BD!$B$3:$B$5001,$C$2)/SUMIFS(BD!$L$3:$L$5001,BD!$A$3:$A$5001,AD$5,BD!$B$3:$B$5001,$C$2),"")),IF(COUNTIFS(BD!$A$3:$A$5001,AD$5,BD!$B$3:$B$5001,$C$2,INDEX(BD!$A$3:$V$5001,0,$AX26),"&lt;&gt;")=0,"",SUMIFS(INDEX(BD!$A$3:$V$5001,0,$AX26),BD!$A$3:$A$5001,AD$5,BD!$B$3:$B$5001,$C$2))))</f>
        <v/>
      </c>
      <c r="AE26" s="179" t="str">
        <f>IF(OR($AW26=0,AE$5=""),"",IF($AY26="taxa",IF(COUNTIFS(BD!$A$3:$A$5001,AE$5,BD!$B$3:$B$5001,$C$2,BD!$M$3:$M$5001,"&lt;&gt;")=0,"",IFERROR(SUMIFS(BD!$M$3:$M$5001,BD!$A$3:$A$5001,AE$5,BD!$B$3:$B$5001,$C$2)/SUMIFS(BD!$L$3:$L$5001,BD!$A$3:$A$5001,AE$5,BD!$B$3:$B$5001,$C$2),"")),IF(COUNTIFS(BD!$A$3:$A$5001,AE$5,BD!$B$3:$B$5001,$C$2,INDEX(BD!$A$3:$V$5001,0,$AX26),"&lt;&gt;")=0,"",SUMIFS(INDEX(BD!$A$3:$V$5001,0,$AX26),BD!$A$3:$A$5001,AE$5,BD!$B$3:$B$5001,$C$2))))</f>
        <v/>
      </c>
      <c r="AF26" s="179" t="str">
        <f>IF(OR($AW26=0,AF$5=""),"",IF($AY26="taxa",IF(COUNTIFS(BD!$A$3:$A$5001,AF$5,BD!$B$3:$B$5001,$C$2,BD!$M$3:$M$5001,"&lt;&gt;")=0,"",IFERROR(SUMIFS(BD!$M$3:$M$5001,BD!$A$3:$A$5001,AF$5,BD!$B$3:$B$5001,$C$2)/SUMIFS(BD!$L$3:$L$5001,BD!$A$3:$A$5001,AF$5,BD!$B$3:$B$5001,$C$2),"")),IF(COUNTIFS(BD!$A$3:$A$5001,AF$5,BD!$B$3:$B$5001,$C$2,INDEX(BD!$A$3:$V$5001,0,$AX26),"&lt;&gt;")=0,"",SUMIFS(INDEX(BD!$A$3:$V$5001,0,$AX26),BD!$A$3:$A$5001,AF$5,BD!$B$3:$B$5001,$C$2))))</f>
        <v/>
      </c>
      <c r="AG26" s="179" t="str">
        <f>IF(OR($AW26=0,AG$5=""),"",IF($AY26="taxa",IF(COUNTIFS(BD!$A$3:$A$5001,AG$5,BD!$B$3:$B$5001,$C$2,BD!$M$3:$M$5001,"&lt;&gt;")=0,"",IFERROR(SUMIFS(BD!$M$3:$M$5001,BD!$A$3:$A$5001,AG$5,BD!$B$3:$B$5001,$C$2)/SUMIFS(BD!$L$3:$L$5001,BD!$A$3:$A$5001,AG$5,BD!$B$3:$B$5001,$C$2),"")),IF(COUNTIFS(BD!$A$3:$A$5001,AG$5,BD!$B$3:$B$5001,$C$2,INDEX(BD!$A$3:$V$5001,0,$AX26),"&lt;&gt;")=0,"",SUMIFS(INDEX(BD!$A$3:$V$5001,0,$AX26),BD!$A$3:$A$5001,AG$5,BD!$B$3:$B$5001,$C$2))))</f>
        <v/>
      </c>
      <c r="AH26" s="179" t="str">
        <f>IF(OR($AW26=0,AH$5=""),"",IF($AY26="taxa",IF(COUNTIFS(BD!$A$3:$A$5001,AH$5,BD!$B$3:$B$5001,$C$2,BD!$M$3:$M$5001,"&lt;&gt;")=0,"",IFERROR(SUMIFS(BD!$M$3:$M$5001,BD!$A$3:$A$5001,AH$5,BD!$B$3:$B$5001,$C$2)/SUMIFS(BD!$L$3:$L$5001,BD!$A$3:$A$5001,AH$5,BD!$B$3:$B$5001,$C$2),"")),IF(COUNTIFS(BD!$A$3:$A$5001,AH$5,BD!$B$3:$B$5001,$C$2,INDEX(BD!$A$3:$V$5001,0,$AX26),"&lt;&gt;")=0,"",SUMIFS(INDEX(BD!$A$3:$V$5001,0,$AX26),BD!$A$3:$A$5001,AH$5,BD!$B$3:$B$5001,$C$2))))</f>
        <v/>
      </c>
      <c r="AI26" s="179" t="str">
        <f>IF(OR($AW26=0,AI$5=""),"",IF($AY26="taxa",IF(COUNTIFS(BD!$A$3:$A$5001,AI$5,BD!$B$3:$B$5001,$C$2,BD!$M$3:$M$5001,"&lt;&gt;")=0,"",IFERROR(SUMIFS(BD!$M$3:$M$5001,BD!$A$3:$A$5001,AI$5,BD!$B$3:$B$5001,$C$2)/SUMIFS(BD!$L$3:$L$5001,BD!$A$3:$A$5001,AI$5,BD!$B$3:$B$5001,$C$2),"")),IF(COUNTIFS(BD!$A$3:$A$5001,AI$5,BD!$B$3:$B$5001,$C$2,INDEX(BD!$A$3:$V$5001,0,$AX26),"&lt;&gt;")=0,"",SUMIFS(INDEX(BD!$A$3:$V$5001,0,$AX26),BD!$A$3:$A$5001,AI$5,BD!$B$3:$B$5001,$C$2))))</f>
        <v/>
      </c>
      <c r="AJ26" s="180" t="str">
        <f>IF(OR($AW26=0,AJ$5=""),"",IF($AY26="taxa",IF(COUNTIFS(BD!$A$3:$A$5001,AJ$5,BD!$B$3:$B$5001,$C$2,BD!$M$3:$M$5001,"&lt;&gt;")=0,"",IFERROR(SUMIFS(BD!$M$3:$M$5001,BD!$A$3:$A$5001,AJ$5,BD!$B$3:$B$5001,$C$2)/SUMIFS(BD!$L$3:$L$5001,BD!$A$3:$A$5001,AJ$5,BD!$B$3:$B$5001,$C$2),"")),IF(COUNTIFS(BD!$A$3:$A$5001,AJ$5,BD!$B$3:$B$5001,$C$2,INDEX(BD!$A$3:$V$5001,0,$AX26),"&lt;&gt;")=0,"",SUMIFS(INDEX(BD!$A$3:$V$5001,0,$AX26),BD!$A$3:$A$5001,AJ$5,BD!$B$3:$B$5001,$C$2))))</f>
        <v/>
      </c>
      <c r="AK26" s="176" t="str">
        <f>IF($AW26=0,"",IF($AY26="fluxo",IF(COUNT(F26:AJ26)=0,"",SUM(F26:AJ26)),IFERROR(LOOKUP(9.99E+307,F26:AJ26),"")))</f>
        <v/>
      </c>
      <c r="AN26" s="159" t="inlineStr">
        <is>
          <t xml:space="preserve">Acidentes SAF</t>
        </is>
      </c>
      <c r="AO26" s="159" t="inlineStr">
        <is>
          <t xml:space="preserve">GENTE</t>
        </is>
      </c>
      <c r="AP26" s="159">
        <v>21</v>
      </c>
      <c r="AQ26" s="159" t="inlineStr">
        <is>
          <t xml:space="preserve">fluxo</t>
        </is>
      </c>
      <c r="AR26" s="159">
        <v>20</v>
      </c>
      <c r="AS26" s="159" t="inlineStr">
        <is>
          <t xml:space="preserve">int</t>
        </is>
      </c>
      <c r="AT26" s="159">
        <f>IF($C$2="",0,IF(IFERROR(INDEX(Config!$V$35:$V$54,MATCH($C$2,Config!$B$35:$B$54,0)),"Sim")="Não",0,1))</f>
        <v>1</v>
      </c>
      <c r="AU26" s="159">
        <f>AU25+AT26</f>
        <v>20</v>
      </c>
      <c r="AW26" s="159">
        <f>IFERROR(MATCH(20,$AU$7:$AU$26,0),0)</f>
        <v>20</v>
      </c>
      <c r="AX26" s="159">
        <f>IF($AW26=0,"",INDEX($AP$7:$AP$26,$AW26))</f>
        <v>21</v>
      </c>
      <c r="AY26" s="159" t="str">
        <f>IF($AW26=0,"",INDEX($AQ$7:$AQ$26,$AW26))</f>
        <v>fluxo</v>
      </c>
      <c r="AZ26" s="159" t="str">
        <f>IF($AW26=0,"",INDEX($AS$7:$AS$26,$AW26))</f>
        <v>int</v>
      </c>
      <c r="BA26" s="159">
        <f>IF($AW26=0,"",INDEX($AR$7:$AR$26,$AW26))</f>
        <v>20</v>
      </c>
    </row>
    <row r="28">
      <c r="A28" s="31" t="inlineStr">
        <is>
          <t xml:space="preserve">Cliente e mês: células do topo. Linhas = indicadores marcados "Sim" para o cliente na aba Config (tabela 2). Célula vazia = sem registro. MÊS: soma nos fluxos e NC; último dado em ocupação e efetivo. Taxa = ocupadas ÷ disponíveis (contrato). Ocupação: verde ≥ faixa alta, verde escuro &gt; 100% (excede o contratado), amarelo ≥ faixa de atenção, vermelho abaixo (ociosidade). META: aba BD (tabela de metas).</t>
        </is>
      </c>
    </row>
  </sheetData>
  <sheetProtection password="CC30" sheet="1" objects="1" scenarios="1"/>
  <mergeCells count="11">
    <mergeCell ref="G1:AD1"/>
    <mergeCell ref="AE1:AK1"/>
    <mergeCell ref="A2:B2"/>
    <mergeCell ref="C2:D2"/>
    <mergeCell ref="F2:AK2"/>
    <mergeCell ref="A4:A5"/>
    <mergeCell ref="B4:C5"/>
    <mergeCell ref="D4:D5"/>
    <mergeCell ref="F4:AJ4"/>
    <mergeCell ref="AK4:AK5"/>
    <mergeCell ref="A7:A26"/>
  </mergeCells>
  <conditionalFormatting sqref="F5:AJ5">
    <cfRule type="expression" dxfId="13" priority="1">
      <formula>AND(ISNUMBER(F5),WEEKDAY(F5,2)&gt;5)</formula>
    </cfRule>
  </conditionalFormatting>
  <conditionalFormatting sqref="F7:AK26">
    <cfRule type="expression" dxfId="14" priority="2" stopIfTrue="1">
      <formula>AND($C7="Incidentes",ISNUMBER(F7),F7&gt;0)</formula>
    </cfRule>
  </conditionalFormatting>
  <conditionalFormatting sqref="F7:AK26">
    <cfRule type="expression" dxfId="15" priority="3" stopIfTrue="1">
      <formula>AND($AY7="taxa",ISNUMBER(F7),F7&gt;1)</formula>
    </cfRule>
  </conditionalFormatting>
  <conditionalFormatting sqref="F7:AK26">
    <cfRule type="expression" dxfId="16" priority="4" stopIfTrue="1">
      <formula>AND($AY7="taxa",ISNUMBER(F7),F7&gt;=calculos!$B$6)</formula>
    </cfRule>
  </conditionalFormatting>
  <conditionalFormatting sqref="F7:AK26">
    <cfRule type="expression" dxfId="17" priority="5" stopIfTrue="1">
      <formula>AND($AY7="taxa",ISNUMBER(F7),F7&gt;=calculos!$B$5)</formula>
    </cfRule>
  </conditionalFormatting>
  <conditionalFormatting sqref="F7:AK26">
    <cfRule type="expression" dxfId="18" priority="6">
      <formula>AND($AY7="taxa",ISNUMBER(F7))</formula>
    </cfRule>
  </conditionalFormatting>
  <conditionalFormatting sqref="D7:AK26">
    <cfRule type="expression" dxfId="19" priority="7">
      <formula>$AZ7="pct"</formula>
    </cfRule>
  </conditionalFormatting>
  <conditionalFormatting sqref="D7:AK26">
    <cfRule type="expression" dxfId="20" priority="8">
      <formula>$AZ7="dec"</formula>
    </cfRule>
  </conditionalFormatting>
  <conditionalFormatting sqref="B7:AK26">
    <cfRule type="expression" dxfId="21" priority="9">
      <formula>$B7="IN"</formula>
    </cfRule>
  </conditionalFormatting>
  <conditionalFormatting sqref="B7:AK26">
    <cfRule type="expression" dxfId="22" priority="10">
      <formula>$B7="OUT"</formula>
    </cfRule>
  </conditionalFormatting>
  <conditionalFormatting sqref="B7:AK26">
    <cfRule type="expression" dxfId="23" priority="11">
      <formula>$B7="NC"</formula>
    </cfRule>
  </conditionalFormatting>
  <conditionalFormatting sqref="B7:AK26">
    <cfRule type="expression" dxfId="24" priority="12">
      <formula>$B7="OCUPAÇÃO (P.P)"</formula>
    </cfRule>
  </conditionalFormatting>
  <conditionalFormatting sqref="B7:AK26">
    <cfRule type="expression" dxfId="25" priority="13">
      <formula>$B7="GENTE"</formula>
    </cfRule>
  </conditionalFormatting>
  <dataValidations count="2">
    <dataValidation type="list" allowBlank="1" showInputMessage="1" showErrorMessage="1" promptTitle="Mês" prompt="Escolha o mês do ano. Toda a aba se atualiza." errorTitle="Valor inválido" error="Escolha um mês da lista." sqref="AE1">
      <formula1>calculos!$AL$12:$AL$23</formula1>
    </dataValidation>
    <dataValidation type="list" allowBlank="1" showInputMessage="1" showErrorMessage="1" promptTitle="Cliente" prompt="Escolha o cliente. As linhas mostram só os indicadores que ele usa (Config, tabela 2)." errorTitle="Valor inválido" error="Escolha um valor da lista." sqref="C2">
      <formula1>OFFSET(calculos!$AN$13,0,0,calculos!$AN$10,1)</formula1>
    </dataValidation>
  </dataValidations>
  <pageMargins left="0.25" right="0.25" top="0.4" bottom="0.4" header="0.2" footer="0.2"/>
  <pageSetup paperSize="9" orientation="landscape" fitToWidth="1" fitToHeight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595959"/>
    <pageSetUpPr fitToPage="1"/>
  </sheetPr>
  <dimension ref="A1:AA51"/>
  <sheetViews>
    <sheetView showGridLines="0" zoomScale="85" zoomScaleNormal="85" workbookViewId="0">
      <pane ySplit="3" topLeftCell="A4" activePane="bottomLeft" state="frozen"/>
      <selection pane="bottomLeft" activeCell="A4" sqref="A4"/>
    </sheetView>
  </sheetViews>
  <sheetFormatPr defaultRowHeight="15"/>
  <cols>
    <col min="1" max="1" width="2" customWidth="1"/>
    <col min="2" max="2" width="10" customWidth="1"/>
    <col min="3" max="3" width="10" customWidth="1"/>
    <col min="4" max="4" width="10" customWidth="1"/>
    <col min="5" max="5" width="10" customWidth="1"/>
    <col min="6" max="6" width="2.5" customWidth="1"/>
    <col min="7" max="7" width="10" customWidth="1"/>
    <col min="8" max="8" width="10" customWidth="1"/>
    <col min="9" max="9" width="10" customWidth="1"/>
    <col min="10" max="10" width="10" customWidth="1"/>
    <col min="11" max="11" width="2.5" customWidth="1"/>
    <col min="12" max="12" width="10" customWidth="1"/>
    <col min="13" max="13" width="10" customWidth="1"/>
    <col min="14" max="14" width="10" customWidth="1"/>
    <col min="15" max="15" width="10" customWidth="1"/>
    <col min="16" max="16" width="2.5" customWidth="1"/>
    <col min="17" max="17" width="10" customWidth="1"/>
    <col min="18" max="18" width="10" customWidth="1"/>
    <col min="19" max="19" width="10" customWidth="1"/>
    <col min="20" max="20" width="10" customWidth="1"/>
    <col min="21" max="21" width="2.5" customWidth="1"/>
    <col min="22" max="22" width="10" customWidth="1"/>
    <col min="23" max="23" width="10" customWidth="1"/>
    <col min="24" max="24" width="10" customWidth="1"/>
    <col min="25" max="25" width="10" customWidth="1"/>
    <col min="26" max="26" width="10" customWidth="1"/>
    <col min="27" max="27" width="2" customWidth="1"/>
  </cols>
  <sheetData>
    <row r="1" ht="34.5" customHeight="1">
      <c r="A1" s="97"/>
      <c r="B1" s="97"/>
      <c r="C1" s="97"/>
      <c r="D1" s="97"/>
      <c r="E1" s="97"/>
      <c r="F1" s="97"/>
      <c r="G1" s="137" t="inlineStr">
        <is>
          <t xml:space="preserve">CONSOL MENSAL · QUADRO DE INDICADORES</t>
        </is>
      </c>
      <c r="H1" s="137"/>
      <c r="I1" s="137"/>
      <c r="J1" s="137"/>
      <c r="K1" s="137"/>
      <c r="L1" s="137"/>
      <c r="M1" s="137"/>
      <c r="N1" s="137"/>
      <c r="O1" s="137"/>
      <c r="P1" s="137"/>
      <c r="Q1" s="137"/>
      <c r="R1" s="137"/>
      <c r="S1" s="137"/>
      <c r="T1" s="137"/>
      <c r="U1" s="137"/>
      <c r="V1" s="138" t="inlineStr">
        <is>
          <t xml:space="preserve">OUTUBRO · 2026</t>
        </is>
      </c>
      <c r="W1" s="138"/>
      <c r="X1" s="138"/>
      <c r="Y1" s="138"/>
      <c r="Z1" s="138"/>
      <c r="AA1" s="138"/>
    </row>
    <row r="3" ht="24" customHeight="1">
      <c r="B3" s="100" t="inlineStr">
        <is>
          <t xml:space="preserve">CLIENTE  ▸</t>
        </is>
      </c>
      <c r="C3" s="100"/>
      <c r="D3" s="101" t="inlineStr">
        <is>
          <t xml:space="preserve">Todos</t>
        </is>
      </c>
      <c r="E3" s="102"/>
      <c r="F3" s="102"/>
      <c r="G3" s="102"/>
      <c r="H3" s="102"/>
      <c r="I3" s="103"/>
      <c r="Q3" s="182" t="str">
        <f>IF(calculos_quadro!$B$9=0,"Sem dados na Base para o mês escolhido","Dados até "&amp;TEXT(calculos_quadro!$C$7+calculos_quadro!$B$9-1,"dd/mm")&amp;"/"&amp;YEAR(calculos_quadro!$C$7)&amp;" · comparação: "&amp;calculos_quadro!$B$8&amp;", dias 1 a "&amp;calculos_quadro!$B$9)</f>
        <v>Sem dados na Base para o mês escolhido</v>
      </c>
      <c r="R3" s="182"/>
      <c r="S3" s="182"/>
      <c r="T3" s="182"/>
      <c r="U3" s="182"/>
      <c r="V3" s="182"/>
      <c r="W3" s="182"/>
      <c r="X3" s="182"/>
      <c r="Y3" s="182"/>
      <c r="Z3" s="182"/>
    </row>
    <row r="5" ht="20" customHeight="1">
      <c r="B5" s="183" t="inlineStr">
        <is>
          <t xml:space="preserve">QUADRO DE INDICADORES · cliente e mês selecionados</t>
        </is>
      </c>
      <c r="C5" s="183"/>
      <c r="D5" s="183"/>
      <c r="E5" s="183"/>
      <c r="F5" s="183"/>
      <c r="G5" s="183"/>
      <c r="H5" s="183"/>
      <c r="I5" s="183"/>
      <c r="J5" s="183"/>
      <c r="K5" s="183"/>
      <c r="L5" s="183"/>
      <c r="M5" s="183"/>
      <c r="N5" s="183"/>
      <c r="O5" s="183"/>
      <c r="P5" s="183"/>
      <c r="Q5" s="183"/>
      <c r="R5" s="183"/>
      <c r="S5" s="183"/>
      <c r="T5" s="183"/>
      <c r="U5" s="183"/>
      <c r="V5" s="183"/>
      <c r="W5" s="183"/>
      <c r="X5" s="183"/>
      <c r="Y5" s="183"/>
      <c r="Z5" s="183"/>
    </row>
    <row r="6" ht="28" customHeight="1">
      <c r="B6" s="184" t="inlineStr">
        <is>
          <t xml:space="preserve">GRUPO</t>
        </is>
      </c>
      <c r="C6" s="185"/>
      <c r="D6" s="184" t="inlineStr">
        <is>
          <t xml:space="preserve">INDICADOR</t>
        </is>
      </c>
      <c r="E6" s="186"/>
      <c r="F6" s="186"/>
      <c r="G6" s="185"/>
      <c r="H6" s="187" t="inlineStr">
        <is>
          <t xml:space="preserve">META</t>
        </is>
      </c>
      <c r="I6" s="188"/>
      <c r="J6" s="187" t="inlineStr">
        <is>
          <t xml:space="preserve">REALIZADO</t>
        </is>
      </c>
      <c r="K6" s="189"/>
      <c r="L6" s="188"/>
      <c r="M6" s="187" t="inlineStr">
        <is>
          <t xml:space="preserve">MÉDIA / DIA</t>
        </is>
      </c>
      <c r="N6" s="188"/>
      <c r="O6" s="187" t="inlineStr">
        <is>
          <t xml:space="preserve">MÁXIMO NO DIA</t>
        </is>
      </c>
      <c r="P6" s="189"/>
      <c r="Q6" s="188"/>
      <c r="R6" s="187" t="inlineStr">
        <is>
          <t xml:space="preserve">MÊS ANTERIOR</t>
        </is>
      </c>
      <c r="S6" s="188"/>
      <c r="T6" s="187" t="inlineStr">
        <is>
          <t xml:space="preserve">VARIAÇÃO</t>
        </is>
      </c>
      <c r="U6" s="189"/>
      <c r="V6" s="188"/>
      <c r="W6" s="187" t="inlineStr">
        <is>
          <t xml:space="preserve">% DA META</t>
        </is>
      </c>
      <c r="X6" s="188"/>
      <c r="Y6" s="187" t="inlineStr">
        <is>
          <t xml:space="preserve">STATUS</t>
        </is>
      </c>
      <c r="Z6" s="188"/>
    </row>
    <row r="7" ht="16" customHeight="1">
      <c r="B7" s="400" t="inlineStr">
        <is>
          <t xml:space="preserve">IN</t>
        </is>
      </c>
      <c r="C7" s="401"/>
      <c r="D7" s="191" t="inlineStr">
        <is>
          <t xml:space="preserve">Veículos Recebidos</t>
        </is>
      </c>
      <c r="E7" s="190"/>
      <c r="F7" s="190"/>
      <c r="G7" s="190"/>
      <c r="H7" s="193" t="str">
        <f>IF(calculos_quadro!$B$281=0,"—",calculos_quadro!$C$48)</f>
        <v/>
      </c>
      <c r="I7" s="192"/>
      <c r="J7" s="195">
        <f>IF(calculos_quadro!$B$281=0,"—",calculos_quadro!$C$43)</f>
        <v>0</v>
      </c>
      <c r="K7" s="194"/>
      <c r="L7" s="194"/>
      <c r="M7" s="197" t="str">
        <f>IF(calculos_quadro!$B$281=0,"—",calculos_quadro!$C$44)</f>
        <v/>
      </c>
      <c r="N7" s="196"/>
      <c r="O7" s="199">
        <f>IF(calculos_quadro!$B$281=0,"—",calculos_quadro!$C$45)</f>
        <v>0</v>
      </c>
      <c r="P7" s="198"/>
      <c r="Q7" s="198"/>
      <c r="R7" s="199" t="str">
        <f>IF(calculos_quadro!$B$281=0,"—",calculos_quadro!$C$46)</f>
        <v/>
      </c>
      <c r="S7" s="198"/>
      <c r="T7" s="201" t="str">
        <f>IF(calculos_quadro!$B$281=0,"—",calculos_quadro!$C$47)</f>
        <v/>
      </c>
      <c r="U7" s="200"/>
      <c r="V7" s="200"/>
      <c r="W7" s="203" t="str">
        <f>IF(calculos_quadro!$B$281=0,"—",calculos_quadro!$C$49)</f>
        <v/>
      </c>
      <c r="X7" s="202"/>
      <c r="Y7" s="205" t="str">
        <f>IF(calculos_quadro!$B$281=0,"—",calculos_quadro!$C$50)</f>
        <v/>
      </c>
      <c r="Z7" s="206"/>
    </row>
    <row r="8" ht="16" customHeight="1">
      <c r="B8" s="402"/>
      <c r="C8" s="403"/>
      <c r="D8" s="208" t="inlineStr">
        <is>
          <t xml:space="preserve">Pallets Movimentados</t>
        </is>
      </c>
      <c r="E8" s="207"/>
      <c r="F8" s="207"/>
      <c r="G8" s="207"/>
      <c r="H8" s="210" t="str">
        <f>IF(calculos_quadro!$B$282=0,"—",calculos_quadro!$D$48)</f>
        <v/>
      </c>
      <c r="I8" s="209"/>
      <c r="J8" s="212">
        <f>IF(calculos_quadro!$B$282=0,"—",calculos_quadro!$D$43)</f>
        <v>0</v>
      </c>
      <c r="K8" s="211"/>
      <c r="L8" s="211"/>
      <c r="M8" s="214" t="str">
        <f>IF(calculos_quadro!$B$282=0,"—",calculos_quadro!$D$44)</f>
        <v/>
      </c>
      <c r="N8" s="213"/>
      <c r="O8" s="216">
        <f>IF(calculos_quadro!$B$282=0,"—",calculos_quadro!$D$45)</f>
        <v>0</v>
      </c>
      <c r="P8" s="215"/>
      <c r="Q8" s="215"/>
      <c r="R8" s="216" t="str">
        <f>IF(calculos_quadro!$B$282=0,"—",calculos_quadro!$D$46)</f>
        <v/>
      </c>
      <c r="S8" s="215"/>
      <c r="T8" s="218" t="str">
        <f>IF(calculos_quadro!$B$282=0,"—",calculos_quadro!$D$47)</f>
        <v/>
      </c>
      <c r="U8" s="217"/>
      <c r="V8" s="217"/>
      <c r="W8" s="220" t="str">
        <f>IF(calculos_quadro!$B$282=0,"—",calculos_quadro!$D$49)</f>
        <v/>
      </c>
      <c r="X8" s="219"/>
      <c r="Y8" s="222" t="str">
        <f>IF(calculos_quadro!$B$282=0,"—",calculos_quadro!$D$50)</f>
        <v/>
      </c>
      <c r="Z8" s="223"/>
    </row>
    <row r="9" ht="16" customHeight="1">
      <c r="B9" s="404"/>
      <c r="C9" s="405"/>
      <c r="D9" s="225" t="inlineStr">
        <is>
          <t xml:space="preserve">Toneladas Movimentadas</t>
        </is>
      </c>
      <c r="E9" s="224"/>
      <c r="F9" s="224"/>
      <c r="G9" s="224"/>
      <c r="H9" s="227" t="str">
        <f>IF(calculos_quadro!$B$283=0,"—",calculos_quadro!$E$48)</f>
        <v/>
      </c>
      <c r="I9" s="226"/>
      <c r="J9" s="229">
        <f>IF(calculos_quadro!$B$283=0,"—",calculos_quadro!$E$43)</f>
        <v>0</v>
      </c>
      <c r="K9" s="228"/>
      <c r="L9" s="228"/>
      <c r="M9" s="231" t="str">
        <f>IF(calculos_quadro!$B$283=0,"—",calculos_quadro!$E$44)</f>
        <v/>
      </c>
      <c r="N9" s="230"/>
      <c r="O9" s="231">
        <f>IF(calculos_quadro!$B$283=0,"—",calculos_quadro!$E$45)</f>
        <v>0</v>
      </c>
      <c r="P9" s="230"/>
      <c r="Q9" s="230"/>
      <c r="R9" s="231" t="str">
        <f>IF(calculos_quadro!$B$283=0,"—",calculos_quadro!$E$46)</f>
        <v/>
      </c>
      <c r="S9" s="230"/>
      <c r="T9" s="233" t="str">
        <f>IF(calculos_quadro!$B$283=0,"—",calculos_quadro!$E$47)</f>
        <v/>
      </c>
      <c r="U9" s="232"/>
      <c r="V9" s="232"/>
      <c r="W9" s="235" t="str">
        <f>IF(calculos_quadro!$B$283=0,"—",calculos_quadro!$E$49)</f>
        <v/>
      </c>
      <c r="X9" s="234"/>
      <c r="Y9" s="237" t="str">
        <f>IF(calculos_quadro!$B$283=0,"—",calculos_quadro!$E$50)</f>
        <v/>
      </c>
      <c r="Z9" s="238"/>
    </row>
    <row r="10" ht="16" customHeight="1">
      <c r="B10" s="406" t="inlineStr">
        <is>
          <t xml:space="preserve">OUT</t>
        </is>
      </c>
      <c r="C10" s="407"/>
      <c r="D10" s="240" t="inlineStr">
        <is>
          <t xml:space="preserve">Veículos Expedidos</t>
        </is>
      </c>
      <c r="E10" s="239"/>
      <c r="F10" s="239"/>
      <c r="G10" s="239"/>
      <c r="H10" s="242" t="str">
        <f>IF(calculos_quadro!$B$284=0,"—",calculos_quadro!$F$48)</f>
        <v/>
      </c>
      <c r="I10" s="241"/>
      <c r="J10" s="244">
        <f>IF(calculos_quadro!$B$284=0,"—",calculos_quadro!$F$43)</f>
        <v>0</v>
      </c>
      <c r="K10" s="243"/>
      <c r="L10" s="243"/>
      <c r="M10" s="246" t="str">
        <f>IF(calculos_quadro!$B$284=0,"—",calculos_quadro!$F$44)</f>
        <v/>
      </c>
      <c r="N10" s="245"/>
      <c r="O10" s="248">
        <f>IF(calculos_quadro!$B$284=0,"—",calculos_quadro!$F$45)</f>
        <v>0</v>
      </c>
      <c r="P10" s="247"/>
      <c r="Q10" s="247"/>
      <c r="R10" s="248" t="str">
        <f>IF(calculos_quadro!$B$284=0,"—",calculos_quadro!$F$46)</f>
        <v/>
      </c>
      <c r="S10" s="247"/>
      <c r="T10" s="250" t="str">
        <f>IF(calculos_quadro!$B$284=0,"—",calculos_quadro!$F$47)</f>
        <v/>
      </c>
      <c r="U10" s="249"/>
      <c r="V10" s="249"/>
      <c r="W10" s="252" t="str">
        <f>IF(calculos_quadro!$B$284=0,"—",calculos_quadro!$F$49)</f>
        <v/>
      </c>
      <c r="X10" s="251"/>
      <c r="Y10" s="254" t="str">
        <f>IF(calculos_quadro!$B$284=0,"—",calculos_quadro!$F$50)</f>
        <v/>
      </c>
      <c r="Z10" s="255"/>
    </row>
    <row r="11" ht="16" customHeight="1">
      <c r="B11" s="408"/>
      <c r="C11" s="409"/>
      <c r="D11" s="257" t="inlineStr">
        <is>
          <t xml:space="preserve">Pallets Movimentados</t>
        </is>
      </c>
      <c r="E11" s="256"/>
      <c r="F11" s="256"/>
      <c r="G11" s="256"/>
      <c r="H11" s="259" t="str">
        <f>IF(calculos_quadro!$B$285=0,"—",calculos_quadro!$G$48)</f>
        <v/>
      </c>
      <c r="I11" s="258"/>
      <c r="J11" s="261">
        <f>IF(calculos_quadro!$B$285=0,"—",calculos_quadro!$G$43)</f>
        <v>0</v>
      </c>
      <c r="K11" s="260"/>
      <c r="L11" s="260"/>
      <c r="M11" s="263" t="str">
        <f>IF(calculos_quadro!$B$285=0,"—",calculos_quadro!$G$44)</f>
        <v/>
      </c>
      <c r="N11" s="262"/>
      <c r="O11" s="265">
        <f>IF(calculos_quadro!$B$285=0,"—",calculos_quadro!$G$45)</f>
        <v>0</v>
      </c>
      <c r="P11" s="264"/>
      <c r="Q11" s="264"/>
      <c r="R11" s="265" t="str">
        <f>IF(calculos_quadro!$B$285=0,"—",calculos_quadro!$G$46)</f>
        <v/>
      </c>
      <c r="S11" s="264"/>
      <c r="T11" s="267" t="str">
        <f>IF(calculos_quadro!$B$285=0,"—",calculos_quadro!$G$47)</f>
        <v/>
      </c>
      <c r="U11" s="266"/>
      <c r="V11" s="266"/>
      <c r="W11" s="269" t="str">
        <f>IF(calculos_quadro!$B$285=0,"—",calculos_quadro!$G$49)</f>
        <v/>
      </c>
      <c r="X11" s="268"/>
      <c r="Y11" s="271" t="str">
        <f>IF(calculos_quadro!$B$285=0,"—",calculos_quadro!$G$50)</f>
        <v/>
      </c>
      <c r="Z11" s="272"/>
    </row>
    <row r="12" ht="16" customHeight="1">
      <c r="B12" s="410"/>
      <c r="C12" s="411"/>
      <c r="D12" s="274" t="inlineStr">
        <is>
          <t xml:space="preserve">Toneladas Movimentadas</t>
        </is>
      </c>
      <c r="E12" s="273"/>
      <c r="F12" s="273"/>
      <c r="G12" s="273"/>
      <c r="H12" s="276" t="str">
        <f>IF(calculos_quadro!$B$286=0,"—",calculos_quadro!$H$48)</f>
        <v/>
      </c>
      <c r="I12" s="275"/>
      <c r="J12" s="278">
        <f>IF(calculos_quadro!$B$286=0,"—",calculos_quadro!$H$43)</f>
        <v>0</v>
      </c>
      <c r="K12" s="277"/>
      <c r="L12" s="277"/>
      <c r="M12" s="280" t="str">
        <f>IF(calculos_quadro!$B$286=0,"—",calculos_quadro!$H$44)</f>
        <v/>
      </c>
      <c r="N12" s="279"/>
      <c r="O12" s="280">
        <f>IF(calculos_quadro!$B$286=0,"—",calculos_quadro!$H$45)</f>
        <v>0</v>
      </c>
      <c r="P12" s="279"/>
      <c r="Q12" s="279"/>
      <c r="R12" s="280" t="str">
        <f>IF(calculos_quadro!$B$286=0,"—",calculos_quadro!$H$46)</f>
        <v/>
      </c>
      <c r="S12" s="279"/>
      <c r="T12" s="282" t="str">
        <f>IF(calculos_quadro!$B$286=0,"—",calculos_quadro!$H$47)</f>
        <v/>
      </c>
      <c r="U12" s="281"/>
      <c r="V12" s="281"/>
      <c r="W12" s="284" t="str">
        <f>IF(calculos_quadro!$B$286=0,"—",calculos_quadro!$H$49)</f>
        <v/>
      </c>
      <c r="X12" s="283"/>
      <c r="Y12" s="286" t="str">
        <f>IF(calculos_quadro!$B$286=0,"—",calculos_quadro!$H$50)</f>
        <v/>
      </c>
      <c r="Z12" s="287"/>
    </row>
    <row r="13" ht="16" customHeight="1">
      <c r="B13" s="412" t="inlineStr">
        <is>
          <t xml:space="preserve">NC</t>
        </is>
      </c>
      <c r="C13" s="413"/>
      <c r="D13" s="289" t="inlineStr">
        <is>
          <t xml:space="preserve">Incidentes</t>
        </is>
      </c>
      <c r="E13" s="288"/>
      <c r="F13" s="288"/>
      <c r="G13" s="288"/>
      <c r="H13" s="291" t="str">
        <f>IF(calculos_quadro!$B$287=0,"—",calculos_quadro!$I$48)</f>
        <v/>
      </c>
      <c r="I13" s="290"/>
      <c r="J13" s="293">
        <f>IF(calculos_quadro!$B$287=0,"—",calculos_quadro!$I$43)</f>
        <v>0</v>
      </c>
      <c r="K13" s="292"/>
      <c r="L13" s="292"/>
      <c r="M13" s="295" t="str">
        <f>IF(calculos_quadro!$B$287=0,"—",calculos_quadro!$I$44)</f>
        <v/>
      </c>
      <c r="N13" s="294"/>
      <c r="O13" s="297">
        <f>IF(calculos_quadro!$B$287=0,"—",calculos_quadro!$I$45)</f>
        <v>0</v>
      </c>
      <c r="P13" s="296"/>
      <c r="Q13" s="296"/>
      <c r="R13" s="297" t="str">
        <f>IF(calculos_quadro!$B$287=0,"—",calculos_quadro!$I$46)</f>
        <v/>
      </c>
      <c r="S13" s="296"/>
      <c r="T13" s="299" t="str">
        <f>IF(calculos_quadro!$B$287=0,"—",calculos_quadro!$I$47)</f>
        <v/>
      </c>
      <c r="U13" s="298"/>
      <c r="V13" s="298"/>
      <c r="W13" s="301" t="str">
        <f>IF(calculos_quadro!$B$287=0,"—",calculos_quadro!$I$49)</f>
        <v/>
      </c>
      <c r="X13" s="300"/>
      <c r="Y13" s="303" t="str">
        <f>IF(calculos_quadro!$B$287=0,"—",calculos_quadro!$I$50)</f>
        <v/>
      </c>
      <c r="Z13" s="304"/>
    </row>
    <row r="14" ht="16" customHeight="1">
      <c r="B14" s="414"/>
      <c r="C14" s="415"/>
      <c r="D14" s="306" t="inlineStr">
        <is>
          <t xml:space="preserve">No show</t>
        </is>
      </c>
      <c r="E14" s="305"/>
      <c r="F14" s="305"/>
      <c r="G14" s="305"/>
      <c r="H14" s="308" t="str">
        <f>IF(calculos_quadro!$B$288=0,"—",calculos_quadro!$J$48)</f>
        <v/>
      </c>
      <c r="I14" s="307"/>
      <c r="J14" s="310">
        <f>IF(calculos_quadro!$B$288=0,"—",calculos_quadro!$J$43)</f>
        <v>0</v>
      </c>
      <c r="K14" s="309"/>
      <c r="L14" s="309"/>
      <c r="M14" s="312" t="str">
        <f>IF(calculos_quadro!$B$288=0,"—",calculos_quadro!$J$44)</f>
        <v/>
      </c>
      <c r="N14" s="311"/>
      <c r="O14" s="314">
        <f>IF(calculos_quadro!$B$288=0,"—",calculos_quadro!$J$45)</f>
        <v>0</v>
      </c>
      <c r="P14" s="313"/>
      <c r="Q14" s="313"/>
      <c r="R14" s="314" t="str">
        <f>IF(calculos_quadro!$B$288=0,"—",calculos_quadro!$J$46)</f>
        <v/>
      </c>
      <c r="S14" s="313"/>
      <c r="T14" s="316" t="str">
        <f>IF(calculos_quadro!$B$288=0,"—",calculos_quadro!$J$47)</f>
        <v/>
      </c>
      <c r="U14" s="315"/>
      <c r="V14" s="315"/>
      <c r="W14" s="318" t="str">
        <f>IF(calculos_quadro!$B$288=0,"—",calculos_quadro!$J$49)</f>
        <v/>
      </c>
      <c r="X14" s="317"/>
      <c r="Y14" s="320" t="str">
        <f>IF(calculos_quadro!$B$288=0,"—",calculos_quadro!$J$50)</f>
        <v/>
      </c>
      <c r="Z14" s="321"/>
    </row>
    <row r="15" ht="16" customHeight="1">
      <c r="B15" s="416"/>
      <c r="C15" s="417"/>
      <c r="D15" s="323" t="inlineStr">
        <is>
          <t xml:space="preserve">Backlog</t>
        </is>
      </c>
      <c r="E15" s="322"/>
      <c r="F15" s="322"/>
      <c r="G15" s="322"/>
      <c r="H15" s="325" t="str">
        <f>IF(calculos_quadro!$B$289=0,"—",calculos_quadro!$K$48)</f>
        <v/>
      </c>
      <c r="I15" s="324"/>
      <c r="J15" s="327" t="str">
        <f>IF(calculos_quadro!$B$289=0,"—",calculos_quadro!$K$43)</f>
        <v/>
      </c>
      <c r="K15" s="326"/>
      <c r="L15" s="326"/>
      <c r="M15" s="329" t="str">
        <f>IF(calculos_quadro!$B$289=0,"—",calculos_quadro!$K$44)</f>
        <v/>
      </c>
      <c r="N15" s="328"/>
      <c r="O15" s="331" t="str">
        <f>IF(calculos_quadro!$B$289=0,"—",calculos_quadro!$K$45)</f>
        <v/>
      </c>
      <c r="P15" s="330"/>
      <c r="Q15" s="330"/>
      <c r="R15" s="331" t="str">
        <f>IF(calculos_quadro!$B$289=0,"—",calculos_quadro!$K$46)</f>
        <v/>
      </c>
      <c r="S15" s="330"/>
      <c r="T15" s="333" t="str">
        <f>IF(calculos_quadro!$B$289=0,"—",calculos_quadro!$K$47)</f>
        <v/>
      </c>
      <c r="U15" s="332"/>
      <c r="V15" s="332"/>
      <c r="W15" s="335" t="str">
        <f>IF(calculos_quadro!$B$289=0,"—",calculos_quadro!$K$49)</f>
        <v/>
      </c>
      <c r="X15" s="334"/>
      <c r="Y15" s="337" t="str">
        <f>IF(calculos_quadro!$B$289=0,"—",calculos_quadro!$K$50)</f>
        <v/>
      </c>
      <c r="Z15" s="338"/>
    </row>
    <row r="16" ht="16" customHeight="1">
      <c r="B16" s="400" t="inlineStr">
        <is>
          <t xml:space="preserve">OCUPAÇÃO (P.P)</t>
        </is>
      </c>
      <c r="C16" s="401"/>
      <c r="D16" s="191" t="inlineStr">
        <is>
          <t xml:space="preserve">Posições Disponíveis</t>
        </is>
      </c>
      <c r="E16" s="190"/>
      <c r="F16" s="190"/>
      <c r="G16" s="190"/>
      <c r="H16" s="193" t="str">
        <f>IF(calculos_quadro!$B$290=0,"—",calculos_quadro!$L$48)</f>
        <v/>
      </c>
      <c r="I16" s="192"/>
      <c r="J16" s="340" t="str">
        <f>IF(calculos_quadro!$B$290=0,"—",calculos_quadro!$L$43)</f>
        <v/>
      </c>
      <c r="K16" s="339"/>
      <c r="L16" s="339"/>
      <c r="M16" s="197"/>
      <c r="N16" s="196"/>
      <c r="O16" s="342" t="str">
        <f>IF(calculos_quadro!$B$290=0,"—",calculos_quadro!$L$45)</f>
        <v/>
      </c>
      <c r="P16" s="341"/>
      <c r="Q16" s="341"/>
      <c r="R16" s="342" t="str">
        <f>IF(calculos_quadro!$B$290=0,"—",calculos_quadro!$L$46)</f>
        <v/>
      </c>
      <c r="S16" s="341"/>
      <c r="T16" s="201" t="str">
        <f>IF(calculos_quadro!$B$290=0,"—",calculos_quadro!$L$47)</f>
        <v/>
      </c>
      <c r="U16" s="200"/>
      <c r="V16" s="200"/>
      <c r="W16" s="203" t="str">
        <f>IF(calculos_quadro!$B$290=0,"—",calculos_quadro!$L$49)</f>
        <v/>
      </c>
      <c r="X16" s="202"/>
      <c r="Y16" s="205" t="str">
        <f>IF(calculos_quadro!$B$290=0,"—",calculos_quadro!$L$50)</f>
        <v/>
      </c>
      <c r="Z16" s="206"/>
    </row>
    <row r="17" ht="16" customHeight="1">
      <c r="B17" s="402"/>
      <c r="C17" s="403"/>
      <c r="D17" s="208" t="inlineStr">
        <is>
          <t xml:space="preserve">Posições Ocupadas</t>
        </is>
      </c>
      <c r="E17" s="207"/>
      <c r="F17" s="207"/>
      <c r="G17" s="207"/>
      <c r="H17" s="210" t="str">
        <f>IF(calculos_quadro!$B$291=0,"—",calculos_quadro!$M$48)</f>
        <v/>
      </c>
      <c r="I17" s="209"/>
      <c r="J17" s="212" t="str">
        <f>IF(calculos_quadro!$B$291=0,"—",calculos_quadro!$M$43)</f>
        <v/>
      </c>
      <c r="K17" s="211"/>
      <c r="L17" s="211"/>
      <c r="M17" s="214" t="str">
        <f>IF(calculos_quadro!$B$291=0,"—",calculos_quadro!$M$44)</f>
        <v/>
      </c>
      <c r="N17" s="213"/>
      <c r="O17" s="216" t="str">
        <f>IF(calculos_quadro!$B$291=0,"—",calculos_quadro!$M$45)</f>
        <v/>
      </c>
      <c r="P17" s="215"/>
      <c r="Q17" s="215"/>
      <c r="R17" s="216" t="str">
        <f>IF(calculos_quadro!$B$291=0,"—",calculos_quadro!$M$46)</f>
        <v/>
      </c>
      <c r="S17" s="215"/>
      <c r="T17" s="218" t="str">
        <f>IF(calculos_quadro!$B$291=0,"—",calculos_quadro!$M$47)</f>
        <v/>
      </c>
      <c r="U17" s="217"/>
      <c r="V17" s="217"/>
      <c r="W17" s="220" t="str">
        <f>IF(calculos_quadro!$B$291=0,"—",calculos_quadro!$M$49)</f>
        <v/>
      </c>
      <c r="X17" s="219"/>
      <c r="Y17" s="222" t="str">
        <f>IF(calculos_quadro!$B$291=0,"—",calculos_quadro!$M$50)</f>
        <v/>
      </c>
      <c r="Z17" s="223"/>
    </row>
    <row r="18" ht="16" customHeight="1">
      <c r="B18" s="404"/>
      <c r="C18" s="405"/>
      <c r="D18" s="225" t="inlineStr">
        <is>
          <t xml:space="preserve">Taxa de Ocupação</t>
        </is>
      </c>
      <c r="E18" s="224"/>
      <c r="F18" s="224"/>
      <c r="G18" s="224"/>
      <c r="H18" s="344" t="str">
        <f>IF(calculos_quadro!$B$292=0,"—",calculos_quadro!$N$48)</f>
        <v/>
      </c>
      <c r="I18" s="343"/>
      <c r="J18" s="346" t="str">
        <f>IF(calculos_quadro!$B$292=0,"—",calculos_quadro!$N$43)</f>
        <v/>
      </c>
      <c r="K18" s="345"/>
      <c r="L18" s="345"/>
      <c r="M18" s="348" t="str">
        <f>IF(calculos_quadro!$B$292=0,"—",calculos_quadro!$N$44)</f>
        <v/>
      </c>
      <c r="N18" s="347"/>
      <c r="O18" s="348" t="str">
        <f>IF(calculos_quadro!$B$292=0,"—",calculos_quadro!$N$45)</f>
        <v/>
      </c>
      <c r="P18" s="347"/>
      <c r="Q18" s="347"/>
      <c r="R18" s="348" t="str">
        <f>IF(calculos_quadro!$B$292=0,"—",calculos_quadro!$N$46)</f>
        <v/>
      </c>
      <c r="S18" s="347"/>
      <c r="T18" s="233" t="str">
        <f>IF(calculos_quadro!$B$292=0,"—",calculos_quadro!$N$47)</f>
        <v/>
      </c>
      <c r="U18" s="232"/>
      <c r="V18" s="232"/>
      <c r="W18" s="235" t="str">
        <f>IF(calculos_quadro!$B$292=0,"—",calculos_quadro!$N$49)</f>
        <v/>
      </c>
      <c r="X18" s="234"/>
      <c r="Y18" s="237" t="str">
        <f>IF(calculos_quadro!$B$292=0,"—",calculos_quadro!$N$50)</f>
        <v/>
      </c>
      <c r="Z18" s="238"/>
    </row>
    <row r="19" ht="16" customHeight="1">
      <c r="B19" s="418" t="inlineStr">
        <is>
          <t xml:space="preserve">GENTE</t>
        </is>
      </c>
      <c r="C19" s="419"/>
      <c r="D19" s="350" t="inlineStr">
        <is>
          <t xml:space="preserve">Efetivo Op.</t>
        </is>
      </c>
      <c r="E19" s="349"/>
      <c r="F19" s="349"/>
      <c r="G19" s="349"/>
      <c r="H19" s="352" t="str">
        <f>IF(calculos_quadro!$B$293=0,"—",calculos_quadro!$O$48)</f>
        <v/>
      </c>
      <c r="I19" s="351"/>
      <c r="J19" s="354" t="str">
        <f>IF(calculos_quadro!$B$293=0,"—",calculos_quadro!$O$43)</f>
        <v/>
      </c>
      <c r="K19" s="353"/>
      <c r="L19" s="353"/>
      <c r="M19" s="356" t="str">
        <f>IF(calculos_quadro!$B$293=0,"—",calculos_quadro!$O$44)</f>
        <v/>
      </c>
      <c r="N19" s="355"/>
      <c r="O19" s="358" t="str">
        <f>IF(calculos_quadro!$B$293=0,"—",calculos_quadro!$O$45)</f>
        <v/>
      </c>
      <c r="P19" s="357"/>
      <c r="Q19" s="357"/>
      <c r="R19" s="358" t="str">
        <f>IF(calculos_quadro!$B$293=0,"—",calculos_quadro!$O$46)</f>
        <v/>
      </c>
      <c r="S19" s="357"/>
      <c r="T19" s="360" t="str">
        <f>IF(calculos_quadro!$B$293=0,"—",calculos_quadro!$O$47)</f>
        <v/>
      </c>
      <c r="U19" s="359"/>
      <c r="V19" s="359"/>
      <c r="W19" s="362" t="str">
        <f>IF(calculos_quadro!$B$293=0,"—",calculos_quadro!$O$49)</f>
        <v/>
      </c>
      <c r="X19" s="361"/>
      <c r="Y19" s="364" t="str">
        <f>IF(calculos_quadro!$B$293=0,"—",calculos_quadro!$O$50)</f>
        <v/>
      </c>
      <c r="Z19" s="365"/>
    </row>
    <row r="20" ht="16" customHeight="1">
      <c r="B20" s="420"/>
      <c r="C20" s="421"/>
      <c r="D20" s="367" t="inlineStr">
        <is>
          <t xml:space="preserve">Falta</t>
        </is>
      </c>
      <c r="E20" s="366"/>
      <c r="F20" s="366"/>
      <c r="G20" s="366"/>
      <c r="H20" s="369" t="str">
        <f>IF(calculos_quadro!$B$294=0,"—",calculos_quadro!$P$48)</f>
        <v/>
      </c>
      <c r="I20" s="368"/>
      <c r="J20" s="371">
        <f>IF(calculos_quadro!$B$294=0,"—",calculos_quadro!$P$43)</f>
        <v>0</v>
      </c>
      <c r="K20" s="370"/>
      <c r="L20" s="370"/>
      <c r="M20" s="373" t="str">
        <f>IF(calculos_quadro!$B$294=0,"—",calculos_quadro!$P$44)</f>
        <v/>
      </c>
      <c r="N20" s="372"/>
      <c r="O20" s="375">
        <f>IF(calculos_quadro!$B$294=0,"—",calculos_quadro!$P$45)</f>
        <v>0</v>
      </c>
      <c r="P20" s="374"/>
      <c r="Q20" s="374"/>
      <c r="R20" s="375" t="str">
        <f>IF(calculos_quadro!$B$294=0,"—",calculos_quadro!$P$46)</f>
        <v/>
      </c>
      <c r="S20" s="374"/>
      <c r="T20" s="377" t="str">
        <f>IF(calculos_quadro!$B$294=0,"—",calculos_quadro!$P$47)</f>
        <v/>
      </c>
      <c r="U20" s="376"/>
      <c r="V20" s="376"/>
      <c r="W20" s="379" t="str">
        <f>IF(calculos_quadro!$B$294=0,"—",calculos_quadro!$P$49)</f>
        <v/>
      </c>
      <c r="X20" s="378"/>
      <c r="Y20" s="381" t="str">
        <f>IF(calculos_quadro!$B$294=0,"—",calculos_quadro!$P$50)</f>
        <v/>
      </c>
      <c r="Z20" s="382"/>
    </row>
    <row r="21" ht="16" customHeight="1">
      <c r="B21" s="420"/>
      <c r="C21" s="421"/>
      <c r="D21" s="367" t="inlineStr">
        <is>
          <t xml:space="preserve">Folga</t>
        </is>
      </c>
      <c r="E21" s="366"/>
      <c r="F21" s="366"/>
      <c r="G21" s="366"/>
      <c r="H21" s="369" t="str">
        <f>IF(calculos_quadro!$B$295=0,"—",calculos_quadro!$Q$48)</f>
        <v/>
      </c>
      <c r="I21" s="368"/>
      <c r="J21" s="371">
        <f>IF(calculos_quadro!$B$295=0,"—",calculos_quadro!$Q$43)</f>
        <v>0</v>
      </c>
      <c r="K21" s="370"/>
      <c r="L21" s="370"/>
      <c r="M21" s="373" t="str">
        <f>IF(calculos_quadro!$B$295=0,"—",calculos_quadro!$Q$44)</f>
        <v/>
      </c>
      <c r="N21" s="372"/>
      <c r="O21" s="375">
        <f>IF(calculos_quadro!$B$295=0,"—",calculos_quadro!$Q$45)</f>
        <v>0</v>
      </c>
      <c r="P21" s="374"/>
      <c r="Q21" s="374"/>
      <c r="R21" s="375" t="str">
        <f>IF(calculos_quadro!$B$295=0,"—",calculos_quadro!$Q$46)</f>
        <v/>
      </c>
      <c r="S21" s="374"/>
      <c r="T21" s="377" t="str">
        <f>IF(calculos_quadro!$B$295=0,"—",calculos_quadro!$Q$47)</f>
        <v/>
      </c>
      <c r="U21" s="376"/>
      <c r="V21" s="376"/>
      <c r="W21" s="379" t="str">
        <f>IF(calculos_quadro!$B$295=0,"—",calculos_quadro!$Q$49)</f>
        <v/>
      </c>
      <c r="X21" s="378"/>
      <c r="Y21" s="381" t="str">
        <f>IF(calculos_quadro!$B$295=0,"—",calculos_quadro!$Q$50)</f>
        <v/>
      </c>
      <c r="Z21" s="382"/>
    </row>
    <row r="22" ht="16" customHeight="1">
      <c r="B22" s="420"/>
      <c r="C22" s="421"/>
      <c r="D22" s="367" t="inlineStr">
        <is>
          <t xml:space="preserve">Férias</t>
        </is>
      </c>
      <c r="E22" s="366"/>
      <c r="F22" s="366"/>
      <c r="G22" s="366"/>
      <c r="H22" s="369" t="str">
        <f>IF(calculos_quadro!$B$296=0,"—",calculos_quadro!$R$48)</f>
        <v/>
      </c>
      <c r="I22" s="368"/>
      <c r="J22" s="371">
        <f>IF(calculos_quadro!$B$296=0,"—",calculos_quadro!$R$43)</f>
        <v>0</v>
      </c>
      <c r="K22" s="370"/>
      <c r="L22" s="370"/>
      <c r="M22" s="373" t="str">
        <f>IF(calculos_quadro!$B$296=0,"—",calculos_quadro!$R$44)</f>
        <v/>
      </c>
      <c r="N22" s="372"/>
      <c r="O22" s="375">
        <f>IF(calculos_quadro!$B$296=0,"—",calculos_quadro!$R$45)</f>
        <v>0</v>
      </c>
      <c r="P22" s="374"/>
      <c r="Q22" s="374"/>
      <c r="R22" s="375" t="str">
        <f>IF(calculos_quadro!$B$296=0,"—",calculos_quadro!$R$46)</f>
        <v/>
      </c>
      <c r="S22" s="374"/>
      <c r="T22" s="377" t="str">
        <f>IF(calculos_quadro!$B$296=0,"—",calculos_quadro!$R$47)</f>
        <v/>
      </c>
      <c r="U22" s="376"/>
      <c r="V22" s="376"/>
      <c r="W22" s="379" t="str">
        <f>IF(calculos_quadro!$B$296=0,"—",calculos_quadro!$R$49)</f>
        <v/>
      </c>
      <c r="X22" s="378"/>
      <c r="Y22" s="381" t="str">
        <f>IF(calculos_quadro!$B$296=0,"—",calculos_quadro!$R$50)</f>
        <v/>
      </c>
      <c r="Z22" s="382"/>
    </row>
    <row r="23" ht="16" customHeight="1">
      <c r="B23" s="420"/>
      <c r="C23" s="421"/>
      <c r="D23" s="367" t="inlineStr">
        <is>
          <t xml:space="preserve">Desligamento</t>
        </is>
      </c>
      <c r="E23" s="366"/>
      <c r="F23" s="366"/>
      <c r="G23" s="366"/>
      <c r="H23" s="369" t="str">
        <f>IF(calculos_quadro!$B$297=0,"—",calculos_quadro!$S$48)</f>
        <v/>
      </c>
      <c r="I23" s="368"/>
      <c r="J23" s="371">
        <f>IF(calculos_quadro!$B$297=0,"—",calculos_quadro!$S$43)</f>
        <v>0</v>
      </c>
      <c r="K23" s="370"/>
      <c r="L23" s="370"/>
      <c r="M23" s="373" t="str">
        <f>IF(calculos_quadro!$B$297=0,"—",calculos_quadro!$S$44)</f>
        <v/>
      </c>
      <c r="N23" s="372"/>
      <c r="O23" s="375">
        <f>IF(calculos_quadro!$B$297=0,"—",calculos_quadro!$S$45)</f>
        <v>0</v>
      </c>
      <c r="P23" s="374"/>
      <c r="Q23" s="374"/>
      <c r="R23" s="375" t="str">
        <f>IF(calculos_quadro!$B$297=0,"—",calculos_quadro!$S$46)</f>
        <v/>
      </c>
      <c r="S23" s="374"/>
      <c r="T23" s="377" t="str">
        <f>IF(calculos_quadro!$B$297=0,"—",calculos_quadro!$S$47)</f>
        <v/>
      </c>
      <c r="U23" s="376"/>
      <c r="V23" s="376"/>
      <c r="W23" s="379" t="str">
        <f>IF(calculos_quadro!$B$297=0,"—",calculos_quadro!$S$49)</f>
        <v/>
      </c>
      <c r="X23" s="378"/>
      <c r="Y23" s="381" t="str">
        <f>IF(calculos_quadro!$B$297=0,"—",calculos_quadro!$S$50)</f>
        <v/>
      </c>
      <c r="Z23" s="382"/>
    </row>
    <row r="24" ht="16" customHeight="1">
      <c r="B24" s="420"/>
      <c r="C24" s="421"/>
      <c r="D24" s="367" t="inlineStr">
        <is>
          <t xml:space="preserve">Desvios Comportamentais</t>
        </is>
      </c>
      <c r="E24" s="366"/>
      <c r="F24" s="366"/>
      <c r="G24" s="366"/>
      <c r="H24" s="369" t="str">
        <f>IF(calculos_quadro!$B$298=0,"—",calculos_quadro!$T$48)</f>
        <v/>
      </c>
      <c r="I24" s="368"/>
      <c r="J24" s="371">
        <f>IF(calculos_quadro!$B$298=0,"—",calculos_quadro!$T$43)</f>
        <v>0</v>
      </c>
      <c r="K24" s="370"/>
      <c r="L24" s="370"/>
      <c r="M24" s="373" t="str">
        <f>IF(calculos_quadro!$B$298=0,"—",calculos_quadro!$T$44)</f>
        <v/>
      </c>
      <c r="N24" s="372"/>
      <c r="O24" s="375">
        <f>IF(calculos_quadro!$B$298=0,"—",calculos_quadro!$T$45)</f>
        <v>0</v>
      </c>
      <c r="P24" s="374"/>
      <c r="Q24" s="374"/>
      <c r="R24" s="375" t="str">
        <f>IF(calculos_quadro!$B$298=0,"—",calculos_quadro!$T$46)</f>
        <v/>
      </c>
      <c r="S24" s="374"/>
      <c r="T24" s="377" t="str">
        <f>IF(calculos_quadro!$B$298=0,"—",calculos_quadro!$T$47)</f>
        <v/>
      </c>
      <c r="U24" s="376"/>
      <c r="V24" s="376"/>
      <c r="W24" s="379" t="str">
        <f>IF(calculos_quadro!$B$298=0,"—",calculos_quadro!$T$49)</f>
        <v/>
      </c>
      <c r="X24" s="378"/>
      <c r="Y24" s="381" t="str">
        <f>IF(calculos_quadro!$B$298=0,"—",calculos_quadro!$T$50)</f>
        <v/>
      </c>
      <c r="Z24" s="382"/>
    </row>
    <row r="25" ht="16" customHeight="1">
      <c r="B25" s="420"/>
      <c r="C25" s="421"/>
      <c r="D25" s="367" t="inlineStr">
        <is>
          <t xml:space="preserve">Acidentes CAF</t>
        </is>
      </c>
      <c r="E25" s="366"/>
      <c r="F25" s="366"/>
      <c r="G25" s="366"/>
      <c r="H25" s="369" t="str">
        <f>IF(calculos_quadro!$B$299=0,"—",calculos_quadro!$U$48)</f>
        <v/>
      </c>
      <c r="I25" s="368"/>
      <c r="J25" s="371">
        <f>IF(calculos_quadro!$B$299=0,"—",calculos_quadro!$U$43)</f>
        <v>0</v>
      </c>
      <c r="K25" s="370"/>
      <c r="L25" s="370"/>
      <c r="M25" s="373" t="str">
        <f>IF(calculos_quadro!$B$299=0,"—",calculos_quadro!$U$44)</f>
        <v/>
      </c>
      <c r="N25" s="372"/>
      <c r="O25" s="375">
        <f>IF(calculos_quadro!$B$299=0,"—",calculos_quadro!$U$45)</f>
        <v>0</v>
      </c>
      <c r="P25" s="374"/>
      <c r="Q25" s="374"/>
      <c r="R25" s="375" t="str">
        <f>IF(calculos_quadro!$B$299=0,"—",calculos_quadro!$U$46)</f>
        <v/>
      </c>
      <c r="S25" s="374"/>
      <c r="T25" s="377" t="str">
        <f>IF(calculos_quadro!$B$299=0,"—",calculos_quadro!$U$47)</f>
        <v/>
      </c>
      <c r="U25" s="376"/>
      <c r="V25" s="376"/>
      <c r="W25" s="379" t="str">
        <f>IF(calculos_quadro!$B$299=0,"—",calculos_quadro!$U$49)</f>
        <v/>
      </c>
      <c r="X25" s="378"/>
      <c r="Y25" s="381" t="str">
        <f>IF(calculos_quadro!$B$299=0,"—",calculos_quadro!$U$50)</f>
        <v/>
      </c>
      <c r="Z25" s="382"/>
    </row>
    <row r="26" ht="16" customHeight="1">
      <c r="B26" s="422"/>
      <c r="C26" s="423"/>
      <c r="D26" s="384" t="inlineStr">
        <is>
          <t xml:space="preserve">Acidentes SAF</t>
        </is>
      </c>
      <c r="E26" s="383"/>
      <c r="F26" s="383"/>
      <c r="G26" s="383"/>
      <c r="H26" s="386" t="str">
        <f>IF(calculos_quadro!$B$300=0,"—",calculos_quadro!$V$48)</f>
        <v/>
      </c>
      <c r="I26" s="385"/>
      <c r="J26" s="388">
        <f>IF(calculos_quadro!$B$300=0,"—",calculos_quadro!$V$43)</f>
        <v>0</v>
      </c>
      <c r="K26" s="387"/>
      <c r="L26" s="387"/>
      <c r="M26" s="390" t="str">
        <f>IF(calculos_quadro!$B$300=0,"—",calculos_quadro!$V$44)</f>
        <v/>
      </c>
      <c r="N26" s="389"/>
      <c r="O26" s="392">
        <f>IF(calculos_quadro!$B$300=0,"—",calculos_quadro!$V$45)</f>
        <v>0</v>
      </c>
      <c r="P26" s="391"/>
      <c r="Q26" s="391"/>
      <c r="R26" s="392" t="str">
        <f>IF(calculos_quadro!$B$300=0,"—",calculos_quadro!$V$46)</f>
        <v/>
      </c>
      <c r="S26" s="391"/>
      <c r="T26" s="394" t="str">
        <f>IF(calculos_quadro!$B$300=0,"—",calculos_quadro!$V$47)</f>
        <v/>
      </c>
      <c r="U26" s="393"/>
      <c r="V26" s="393"/>
      <c r="W26" s="396" t="str">
        <f>IF(calculos_quadro!$B$300=0,"—",calculos_quadro!$V$49)</f>
        <v/>
      </c>
      <c r="X26" s="395"/>
      <c r="Y26" s="398" t="str">
        <f>IF(calculos_quadro!$B$300=0,"—",calculos_quadro!$V$50)</f>
        <v/>
      </c>
      <c r="Z26" s="399"/>
    </row>
    <row r="27">
      <c r="B27" s="31" t="inlineStr">
        <is>
          <t xml:space="preserve">Realizado: soma do mês nos fluxos (IN, OUT, incidentes, no show, falta, folga, férias, desligamento); último valor informado por cliente em backlog, posições, taxa e efetivo (dia sem lançamento mantém o valor anterior). Média/dia: dias com movimento. Metas e faixas: aba calculos (células amarelas). Vazio = sem registro.</t>
        </is>
      </c>
    </row>
    <row r="29" ht="20" customHeight="1">
      <c r="B29" s="183" t="inlineStr">
        <is>
          <t xml:space="preserve">RESUMO POR CLIENTE · mês inteiro · segue o filtro desta aba</t>
        </is>
      </c>
      <c r="C29" s="183"/>
      <c r="D29" s="183"/>
      <c r="E29" s="183"/>
      <c r="F29" s="183"/>
      <c r="G29" s="183"/>
      <c r="H29" s="183"/>
      <c r="I29" s="183"/>
      <c r="J29" s="183"/>
      <c r="K29" s="183"/>
      <c r="L29" s="183"/>
      <c r="M29" s="183"/>
      <c r="N29" s="183"/>
      <c r="O29" s="183"/>
      <c r="P29" s="183"/>
      <c r="Q29" s="183"/>
      <c r="R29" s="183"/>
      <c r="S29" s="183"/>
      <c r="T29" s="183"/>
      <c r="U29" s="183"/>
      <c r="V29" s="183"/>
      <c r="W29" s="183"/>
      <c r="X29" s="183"/>
      <c r="Y29" s="183"/>
      <c r="Z29" s="183"/>
    </row>
    <row r="30" ht="30" customHeight="1">
      <c r="B30" s="424" t="inlineStr">
        <is>
          <t xml:space="preserve">GRUPO</t>
        </is>
      </c>
      <c r="C30" s="425"/>
      <c r="D30" s="424" t="inlineStr">
        <is>
          <t xml:space="preserve">INDICADOR</t>
        </is>
      </c>
      <c r="E30" s="426"/>
      <c r="F30" s="426"/>
      <c r="G30" s="425"/>
      <c r="H30" s="427" t="str">
        <f>calculos_quadro!$G$258&amp;""</f>
        <v>Barry Callebaut</v>
      </c>
      <c r="I30" s="427" t="str">
        <f>calculos_quadro!$G$259&amp;""</f>
        <v>GM</v>
      </c>
      <c r="J30" s="428" t="str">
        <f>calculos_quadro!$G$260&amp;""</f>
        <v>Mondelez</v>
      </c>
      <c r="K30" s="429"/>
      <c r="L30" s="427" t="str">
        <f>calculos_quadro!$G$261&amp;""</f>
        <v>Nestlé</v>
      </c>
      <c r="M30" s="427" t="str">
        <f>calculos_quadro!$G$262&amp;""</f>
        <v>PMB</v>
      </c>
      <c r="N30" s="427" t="str">
        <f>calculos_quadro!$G$263&amp;""</f>
        <v/>
      </c>
      <c r="O30" s="428" t="str">
        <f>calculos_quadro!$G$264&amp;""</f>
        <v/>
      </c>
      <c r="P30" s="429"/>
      <c r="Q30" s="427" t="str">
        <f>calculos_quadro!$G$265&amp;""</f>
        <v/>
      </c>
      <c r="R30" s="427" t="str">
        <f>calculos_quadro!$G$266&amp;""</f>
        <v/>
      </c>
      <c r="S30" s="427" t="str">
        <f>calculos_quadro!$G$267&amp;""</f>
        <v/>
      </c>
      <c r="T30" s="428" t="str">
        <f>calculos_quadro!$G$268&amp;""</f>
        <v/>
      </c>
      <c r="U30" s="429"/>
      <c r="V30" s="427" t="str">
        <f>calculos_quadro!$G$269&amp;""</f>
        <v/>
      </c>
      <c r="W30" s="427" t="str">
        <f>calculos_quadro!$G$270&amp;""</f>
        <v/>
      </c>
      <c r="X30" s="427" t="str">
        <f>calculos_quadro!$G$271&amp;""</f>
        <v/>
      </c>
      <c r="Y30" s="427" t="str">
        <f>calculos_quadro!$G$272&amp;""</f>
        <v/>
      </c>
      <c r="Z30" s="427" t="str">
        <f>calculos_quadro!$G$273&amp;""</f>
        <v/>
      </c>
    </row>
    <row r="31" ht="15.75" customHeight="1">
      <c r="B31" s="400" t="inlineStr">
        <is>
          <t xml:space="preserve">IN</t>
        </is>
      </c>
      <c r="C31" s="401"/>
      <c r="D31" s="191" t="inlineStr">
        <is>
          <t xml:space="preserve">Veículos Recebidos</t>
        </is>
      </c>
      <c r="E31" s="190"/>
      <c r="F31" s="190"/>
      <c r="G31" s="190"/>
      <c r="H31" s="199">
        <f>IF(calculos_quadro!$G$258="","",IFERROR(INDEX(calculos_quadro!$B$90:$U$90,MATCH(calculos_quadro!$G$258,calculos_quadro!$B$89:$U$89,0)),""))</f>
        <v>0</v>
      </c>
      <c r="I31" s="199" t="str">
        <f>IF(calculos_quadro!$G$259="","",IFERROR(INDEX(calculos_quadro!$B$90:$U$90,MATCH(calculos_quadro!$G$259,calculos_quadro!$B$89:$U$89,0)),""))</f>
        <v>—</v>
      </c>
      <c r="J31" s="199">
        <f>IF(calculos_quadro!$G$260="","",IFERROR(INDEX(calculos_quadro!$B$90:$U$90,MATCH(calculos_quadro!$G$260,calculos_quadro!$B$89:$U$89,0)),""))</f>
        <v>0</v>
      </c>
      <c r="K31" s="198"/>
      <c r="L31" s="199">
        <f>IF(calculos_quadro!$G$261="","",IFERROR(INDEX(calculos_quadro!$B$90:$U$90,MATCH(calculos_quadro!$G$261,calculos_quadro!$B$89:$U$89,0)),""))</f>
        <v>0</v>
      </c>
      <c r="M31" s="199">
        <f>IF(calculos_quadro!$G$262="","",IFERROR(INDEX(calculos_quadro!$B$90:$U$90,MATCH(calculos_quadro!$G$262,calculos_quadro!$B$89:$U$89,0)),""))</f>
        <v>0</v>
      </c>
      <c r="N31" s="199" t="str">
        <f>IF(calculos_quadro!$G$263="","",IFERROR(INDEX(calculos_quadro!$B$90:$U$90,MATCH(calculos_quadro!$G$263,calculos_quadro!$B$89:$U$89,0)),""))</f>
        <v/>
      </c>
      <c r="O31" s="199" t="str">
        <f>IF(calculos_quadro!$G$264="","",IFERROR(INDEX(calculos_quadro!$B$90:$U$90,MATCH(calculos_quadro!$G$264,calculos_quadro!$B$89:$U$89,0)),""))</f>
        <v/>
      </c>
      <c r="P31" s="198"/>
      <c r="Q31" s="199" t="str">
        <f>IF(calculos_quadro!$G$265="","",IFERROR(INDEX(calculos_quadro!$B$90:$U$90,MATCH(calculos_quadro!$G$265,calculos_quadro!$B$89:$U$89,0)),""))</f>
        <v/>
      </c>
      <c r="R31" s="199" t="str">
        <f>IF(calculos_quadro!$G$266="","",IFERROR(INDEX(calculos_quadro!$B$90:$U$90,MATCH(calculos_quadro!$G$266,calculos_quadro!$B$89:$U$89,0)),""))</f>
        <v/>
      </c>
      <c r="S31" s="199" t="str">
        <f>IF(calculos_quadro!$G$267="","",IFERROR(INDEX(calculos_quadro!$B$90:$U$90,MATCH(calculos_quadro!$G$267,calculos_quadro!$B$89:$U$89,0)),""))</f>
        <v/>
      </c>
      <c r="T31" s="199" t="str">
        <f>IF(calculos_quadro!$G$268="","",IFERROR(INDEX(calculos_quadro!$B$90:$U$90,MATCH(calculos_quadro!$G$268,calculos_quadro!$B$89:$U$89,0)),""))</f>
        <v/>
      </c>
      <c r="U31" s="198"/>
      <c r="V31" s="199" t="str">
        <f>IF(calculos_quadro!$G$269="","",IFERROR(INDEX(calculos_quadro!$B$90:$U$90,MATCH(calculos_quadro!$G$269,calculos_quadro!$B$89:$U$89,0)),""))</f>
        <v/>
      </c>
      <c r="W31" s="199" t="str">
        <f>IF(calculos_quadro!$G$270="","",IFERROR(INDEX(calculos_quadro!$B$90:$U$90,MATCH(calculos_quadro!$G$270,calculos_quadro!$B$89:$U$89,0)),""))</f>
        <v/>
      </c>
      <c r="X31" s="199" t="str">
        <f>IF(calculos_quadro!$G$271="","",IFERROR(INDEX(calculos_quadro!$B$90:$U$90,MATCH(calculos_quadro!$G$271,calculos_quadro!$B$89:$U$89,0)),""))</f>
        <v/>
      </c>
      <c r="Y31" s="199" t="str">
        <f>IF(calculos_quadro!$G$272="","",IFERROR(INDEX(calculos_quadro!$B$90:$U$90,MATCH(calculos_quadro!$G$272,calculos_quadro!$B$89:$U$89,0)),""))</f>
        <v/>
      </c>
      <c r="Z31" s="199" t="str">
        <f>IF(calculos_quadro!$G$273="","",IFERROR(INDEX(calculos_quadro!$B$90:$U$90,MATCH(calculos_quadro!$G$273,calculos_quadro!$B$89:$U$89,0)),""))</f>
        <v/>
      </c>
    </row>
    <row r="32" ht="15.75" customHeight="1">
      <c r="B32" s="402"/>
      <c r="C32" s="403"/>
      <c r="D32" s="208" t="inlineStr">
        <is>
          <t xml:space="preserve">Pallets Movimentados</t>
        </is>
      </c>
      <c r="E32" s="207"/>
      <c r="F32" s="207"/>
      <c r="G32" s="207"/>
      <c r="H32" s="216">
        <f>IF(calculos_quadro!$G$258="","",IFERROR(INDEX(calculos_quadro!$B$91:$U$91,MATCH(calculos_quadro!$G$258,calculos_quadro!$B$89:$U$89,0)),""))</f>
        <v>0</v>
      </c>
      <c r="I32" s="216" t="str">
        <f>IF(calculos_quadro!$G$259="","",IFERROR(INDEX(calculos_quadro!$B$91:$U$91,MATCH(calculos_quadro!$G$259,calculos_quadro!$B$89:$U$89,0)),""))</f>
        <v>—</v>
      </c>
      <c r="J32" s="216">
        <f>IF(calculos_quadro!$G$260="","",IFERROR(INDEX(calculos_quadro!$B$91:$U$91,MATCH(calculos_quadro!$G$260,calculos_quadro!$B$89:$U$89,0)),""))</f>
        <v>0</v>
      </c>
      <c r="K32" s="215"/>
      <c r="L32" s="216">
        <f>IF(calculos_quadro!$G$261="","",IFERROR(INDEX(calculos_quadro!$B$91:$U$91,MATCH(calculos_quadro!$G$261,calculos_quadro!$B$89:$U$89,0)),""))</f>
        <v>0</v>
      </c>
      <c r="M32" s="216">
        <f>IF(calculos_quadro!$G$262="","",IFERROR(INDEX(calculos_quadro!$B$91:$U$91,MATCH(calculos_quadro!$G$262,calculos_quadro!$B$89:$U$89,0)),""))</f>
        <v>0</v>
      </c>
      <c r="N32" s="216" t="str">
        <f>IF(calculos_quadro!$G$263="","",IFERROR(INDEX(calculos_quadro!$B$91:$U$91,MATCH(calculos_quadro!$G$263,calculos_quadro!$B$89:$U$89,0)),""))</f>
        <v/>
      </c>
      <c r="O32" s="216" t="str">
        <f>IF(calculos_quadro!$G$264="","",IFERROR(INDEX(calculos_quadro!$B$91:$U$91,MATCH(calculos_quadro!$G$264,calculos_quadro!$B$89:$U$89,0)),""))</f>
        <v/>
      </c>
      <c r="P32" s="215"/>
      <c r="Q32" s="216" t="str">
        <f>IF(calculos_quadro!$G$265="","",IFERROR(INDEX(calculos_quadro!$B$91:$U$91,MATCH(calculos_quadro!$G$265,calculos_quadro!$B$89:$U$89,0)),""))</f>
        <v/>
      </c>
      <c r="R32" s="216" t="str">
        <f>IF(calculos_quadro!$G$266="","",IFERROR(INDEX(calculos_quadro!$B$91:$U$91,MATCH(calculos_quadro!$G$266,calculos_quadro!$B$89:$U$89,0)),""))</f>
        <v/>
      </c>
      <c r="S32" s="216" t="str">
        <f>IF(calculos_quadro!$G$267="","",IFERROR(INDEX(calculos_quadro!$B$91:$U$91,MATCH(calculos_quadro!$G$267,calculos_quadro!$B$89:$U$89,0)),""))</f>
        <v/>
      </c>
      <c r="T32" s="216" t="str">
        <f>IF(calculos_quadro!$G$268="","",IFERROR(INDEX(calculos_quadro!$B$91:$U$91,MATCH(calculos_quadro!$G$268,calculos_quadro!$B$89:$U$89,0)),""))</f>
        <v/>
      </c>
      <c r="U32" s="215"/>
      <c r="V32" s="216" t="str">
        <f>IF(calculos_quadro!$G$269="","",IFERROR(INDEX(calculos_quadro!$B$91:$U$91,MATCH(calculos_quadro!$G$269,calculos_quadro!$B$89:$U$89,0)),""))</f>
        <v/>
      </c>
      <c r="W32" s="216" t="str">
        <f>IF(calculos_quadro!$G$270="","",IFERROR(INDEX(calculos_quadro!$B$91:$U$91,MATCH(calculos_quadro!$G$270,calculos_quadro!$B$89:$U$89,0)),""))</f>
        <v/>
      </c>
      <c r="X32" s="216" t="str">
        <f>IF(calculos_quadro!$G$271="","",IFERROR(INDEX(calculos_quadro!$B$91:$U$91,MATCH(calculos_quadro!$G$271,calculos_quadro!$B$89:$U$89,0)),""))</f>
        <v/>
      </c>
      <c r="Y32" s="216" t="str">
        <f>IF(calculos_quadro!$G$272="","",IFERROR(INDEX(calculos_quadro!$B$91:$U$91,MATCH(calculos_quadro!$G$272,calculos_quadro!$B$89:$U$89,0)),""))</f>
        <v/>
      </c>
      <c r="Z32" s="216" t="str">
        <f>IF(calculos_quadro!$G$273="","",IFERROR(INDEX(calculos_quadro!$B$91:$U$91,MATCH(calculos_quadro!$G$273,calculos_quadro!$B$89:$U$89,0)),""))</f>
        <v/>
      </c>
    </row>
    <row r="33" ht="15.75" customHeight="1">
      <c r="B33" s="404"/>
      <c r="C33" s="405"/>
      <c r="D33" s="225" t="inlineStr">
        <is>
          <t xml:space="preserve">Toneladas Movimentadas</t>
        </is>
      </c>
      <c r="E33" s="224"/>
      <c r="F33" s="224"/>
      <c r="G33" s="224"/>
      <c r="H33" s="231">
        <f>IF(calculos_quadro!$G$258="","",IFERROR(INDEX(calculos_quadro!$B$92:$U$92,MATCH(calculos_quadro!$G$258,calculos_quadro!$B$89:$U$89,0)),""))</f>
        <v>0</v>
      </c>
      <c r="I33" s="231" t="str">
        <f>IF(calculos_quadro!$G$259="","",IFERROR(INDEX(calculos_quadro!$B$92:$U$92,MATCH(calculos_quadro!$G$259,calculos_quadro!$B$89:$U$89,0)),""))</f>
        <v>—</v>
      </c>
      <c r="J33" s="231">
        <f>IF(calculos_quadro!$G$260="","",IFERROR(INDEX(calculos_quadro!$B$92:$U$92,MATCH(calculos_quadro!$G$260,calculos_quadro!$B$89:$U$89,0)),""))</f>
        <v>0</v>
      </c>
      <c r="K33" s="230"/>
      <c r="L33" s="231">
        <f>IF(calculos_quadro!$G$261="","",IFERROR(INDEX(calculos_quadro!$B$92:$U$92,MATCH(calculos_quadro!$G$261,calculos_quadro!$B$89:$U$89,0)),""))</f>
        <v>0</v>
      </c>
      <c r="M33" s="231">
        <f>IF(calculos_quadro!$G$262="","",IFERROR(INDEX(calculos_quadro!$B$92:$U$92,MATCH(calculos_quadro!$G$262,calculos_quadro!$B$89:$U$89,0)),""))</f>
        <v>0</v>
      </c>
      <c r="N33" s="231" t="str">
        <f>IF(calculos_quadro!$G$263="","",IFERROR(INDEX(calculos_quadro!$B$92:$U$92,MATCH(calculos_quadro!$G$263,calculos_quadro!$B$89:$U$89,0)),""))</f>
        <v/>
      </c>
      <c r="O33" s="231" t="str">
        <f>IF(calculos_quadro!$G$264="","",IFERROR(INDEX(calculos_quadro!$B$92:$U$92,MATCH(calculos_quadro!$G$264,calculos_quadro!$B$89:$U$89,0)),""))</f>
        <v/>
      </c>
      <c r="P33" s="230"/>
      <c r="Q33" s="231" t="str">
        <f>IF(calculos_quadro!$G$265="","",IFERROR(INDEX(calculos_quadro!$B$92:$U$92,MATCH(calculos_quadro!$G$265,calculos_quadro!$B$89:$U$89,0)),""))</f>
        <v/>
      </c>
      <c r="R33" s="231" t="str">
        <f>IF(calculos_quadro!$G$266="","",IFERROR(INDEX(calculos_quadro!$B$92:$U$92,MATCH(calculos_quadro!$G$266,calculos_quadro!$B$89:$U$89,0)),""))</f>
        <v/>
      </c>
      <c r="S33" s="231" t="str">
        <f>IF(calculos_quadro!$G$267="","",IFERROR(INDEX(calculos_quadro!$B$92:$U$92,MATCH(calculos_quadro!$G$267,calculos_quadro!$B$89:$U$89,0)),""))</f>
        <v/>
      </c>
      <c r="T33" s="231" t="str">
        <f>IF(calculos_quadro!$G$268="","",IFERROR(INDEX(calculos_quadro!$B$92:$U$92,MATCH(calculos_quadro!$G$268,calculos_quadro!$B$89:$U$89,0)),""))</f>
        <v/>
      </c>
      <c r="U33" s="230"/>
      <c r="V33" s="231" t="str">
        <f>IF(calculos_quadro!$G$269="","",IFERROR(INDEX(calculos_quadro!$B$92:$U$92,MATCH(calculos_quadro!$G$269,calculos_quadro!$B$89:$U$89,0)),""))</f>
        <v/>
      </c>
      <c r="W33" s="231" t="str">
        <f>IF(calculos_quadro!$G$270="","",IFERROR(INDEX(calculos_quadro!$B$92:$U$92,MATCH(calculos_quadro!$G$270,calculos_quadro!$B$89:$U$89,0)),""))</f>
        <v/>
      </c>
      <c r="X33" s="231" t="str">
        <f>IF(calculos_quadro!$G$271="","",IFERROR(INDEX(calculos_quadro!$B$92:$U$92,MATCH(calculos_quadro!$G$271,calculos_quadro!$B$89:$U$89,0)),""))</f>
        <v/>
      </c>
      <c r="Y33" s="231" t="str">
        <f>IF(calculos_quadro!$G$272="","",IFERROR(INDEX(calculos_quadro!$B$92:$U$92,MATCH(calculos_quadro!$G$272,calculos_quadro!$B$89:$U$89,0)),""))</f>
        <v/>
      </c>
      <c r="Z33" s="231" t="str">
        <f>IF(calculos_quadro!$G$273="","",IFERROR(INDEX(calculos_quadro!$B$92:$U$92,MATCH(calculos_quadro!$G$273,calculos_quadro!$B$89:$U$89,0)),""))</f>
        <v/>
      </c>
    </row>
    <row r="34" ht="15.75" customHeight="1">
      <c r="B34" s="406" t="inlineStr">
        <is>
          <t xml:space="preserve">OUT</t>
        </is>
      </c>
      <c r="C34" s="407"/>
      <c r="D34" s="240" t="inlineStr">
        <is>
          <t xml:space="preserve">Veículos Expedidos</t>
        </is>
      </c>
      <c r="E34" s="239"/>
      <c r="F34" s="239"/>
      <c r="G34" s="239"/>
      <c r="H34" s="248">
        <f>IF(calculos_quadro!$G$258="","",IFERROR(INDEX(calculos_quadro!$B$93:$U$93,MATCH(calculos_quadro!$G$258,calculos_quadro!$B$89:$U$89,0)),""))</f>
        <v>0</v>
      </c>
      <c r="I34" s="248">
        <f>IF(calculos_quadro!$G$259="","",IFERROR(INDEX(calculos_quadro!$B$93:$U$93,MATCH(calculos_quadro!$G$259,calculos_quadro!$B$89:$U$89,0)),""))</f>
        <v>0</v>
      </c>
      <c r="J34" s="248">
        <f>IF(calculos_quadro!$G$260="","",IFERROR(INDEX(calculos_quadro!$B$93:$U$93,MATCH(calculos_quadro!$G$260,calculos_quadro!$B$89:$U$89,0)),""))</f>
        <v>0</v>
      </c>
      <c r="K34" s="247"/>
      <c r="L34" s="248">
        <f>IF(calculos_quadro!$G$261="","",IFERROR(INDEX(calculos_quadro!$B$93:$U$93,MATCH(calculos_quadro!$G$261,calculos_quadro!$B$89:$U$89,0)),""))</f>
        <v>0</v>
      </c>
      <c r="M34" s="248">
        <f>IF(calculos_quadro!$G$262="","",IFERROR(INDEX(calculos_quadro!$B$93:$U$93,MATCH(calculos_quadro!$G$262,calculos_quadro!$B$89:$U$89,0)),""))</f>
        <v>0</v>
      </c>
      <c r="N34" s="248" t="str">
        <f>IF(calculos_quadro!$G$263="","",IFERROR(INDEX(calculos_quadro!$B$93:$U$93,MATCH(calculos_quadro!$G$263,calculos_quadro!$B$89:$U$89,0)),""))</f>
        <v/>
      </c>
      <c r="O34" s="248" t="str">
        <f>IF(calculos_quadro!$G$264="","",IFERROR(INDEX(calculos_quadro!$B$93:$U$93,MATCH(calculos_quadro!$G$264,calculos_quadro!$B$89:$U$89,0)),""))</f>
        <v/>
      </c>
      <c r="P34" s="247"/>
      <c r="Q34" s="248" t="str">
        <f>IF(calculos_quadro!$G$265="","",IFERROR(INDEX(calculos_quadro!$B$93:$U$93,MATCH(calculos_quadro!$G$265,calculos_quadro!$B$89:$U$89,0)),""))</f>
        <v/>
      </c>
      <c r="R34" s="248" t="str">
        <f>IF(calculos_quadro!$G$266="","",IFERROR(INDEX(calculos_quadro!$B$93:$U$93,MATCH(calculos_quadro!$G$266,calculos_quadro!$B$89:$U$89,0)),""))</f>
        <v/>
      </c>
      <c r="S34" s="248" t="str">
        <f>IF(calculos_quadro!$G$267="","",IFERROR(INDEX(calculos_quadro!$B$93:$U$93,MATCH(calculos_quadro!$G$267,calculos_quadro!$B$89:$U$89,0)),""))</f>
        <v/>
      </c>
      <c r="T34" s="248" t="str">
        <f>IF(calculos_quadro!$G$268="","",IFERROR(INDEX(calculos_quadro!$B$93:$U$93,MATCH(calculos_quadro!$G$268,calculos_quadro!$B$89:$U$89,0)),""))</f>
        <v/>
      </c>
      <c r="U34" s="247"/>
      <c r="V34" s="248" t="str">
        <f>IF(calculos_quadro!$G$269="","",IFERROR(INDEX(calculos_quadro!$B$93:$U$93,MATCH(calculos_quadro!$G$269,calculos_quadro!$B$89:$U$89,0)),""))</f>
        <v/>
      </c>
      <c r="W34" s="248" t="str">
        <f>IF(calculos_quadro!$G$270="","",IFERROR(INDEX(calculos_quadro!$B$93:$U$93,MATCH(calculos_quadro!$G$270,calculos_quadro!$B$89:$U$89,0)),""))</f>
        <v/>
      </c>
      <c r="X34" s="248" t="str">
        <f>IF(calculos_quadro!$G$271="","",IFERROR(INDEX(calculos_quadro!$B$93:$U$93,MATCH(calculos_quadro!$G$271,calculos_quadro!$B$89:$U$89,0)),""))</f>
        <v/>
      </c>
      <c r="Y34" s="248" t="str">
        <f>IF(calculos_quadro!$G$272="","",IFERROR(INDEX(calculos_quadro!$B$93:$U$93,MATCH(calculos_quadro!$G$272,calculos_quadro!$B$89:$U$89,0)),""))</f>
        <v/>
      </c>
      <c r="Z34" s="248" t="str">
        <f>IF(calculos_quadro!$G$273="","",IFERROR(INDEX(calculos_quadro!$B$93:$U$93,MATCH(calculos_quadro!$G$273,calculos_quadro!$B$89:$U$89,0)),""))</f>
        <v/>
      </c>
    </row>
    <row r="35" ht="15.75" customHeight="1">
      <c r="B35" s="408"/>
      <c r="C35" s="409"/>
      <c r="D35" s="257" t="inlineStr">
        <is>
          <t xml:space="preserve">Pallets Movimentados</t>
        </is>
      </c>
      <c r="E35" s="256"/>
      <c r="F35" s="256"/>
      <c r="G35" s="256"/>
      <c r="H35" s="265">
        <f>IF(calculos_quadro!$G$258="","",IFERROR(INDEX(calculos_quadro!$B$94:$U$94,MATCH(calculos_quadro!$G$258,calculos_quadro!$B$89:$U$89,0)),""))</f>
        <v>0</v>
      </c>
      <c r="I35" s="265">
        <f>IF(calculos_quadro!$G$259="","",IFERROR(INDEX(calculos_quadro!$B$94:$U$94,MATCH(calculos_quadro!$G$259,calculos_quadro!$B$89:$U$89,0)),""))</f>
        <v>0</v>
      </c>
      <c r="J35" s="265">
        <f>IF(calculos_quadro!$G$260="","",IFERROR(INDEX(calculos_quadro!$B$94:$U$94,MATCH(calculos_quadro!$G$260,calculos_quadro!$B$89:$U$89,0)),""))</f>
        <v>0</v>
      </c>
      <c r="K35" s="264"/>
      <c r="L35" s="265">
        <f>IF(calculos_quadro!$G$261="","",IFERROR(INDEX(calculos_quadro!$B$94:$U$94,MATCH(calculos_quadro!$G$261,calculos_quadro!$B$89:$U$89,0)),""))</f>
        <v>0</v>
      </c>
      <c r="M35" s="265">
        <f>IF(calculos_quadro!$G$262="","",IFERROR(INDEX(calculos_quadro!$B$94:$U$94,MATCH(calculos_quadro!$G$262,calculos_quadro!$B$89:$U$89,0)),""))</f>
        <v>0</v>
      </c>
      <c r="N35" s="265" t="str">
        <f>IF(calculos_quadro!$G$263="","",IFERROR(INDEX(calculos_quadro!$B$94:$U$94,MATCH(calculos_quadro!$G$263,calculos_quadro!$B$89:$U$89,0)),""))</f>
        <v/>
      </c>
      <c r="O35" s="265" t="str">
        <f>IF(calculos_quadro!$G$264="","",IFERROR(INDEX(calculos_quadro!$B$94:$U$94,MATCH(calculos_quadro!$G$264,calculos_quadro!$B$89:$U$89,0)),""))</f>
        <v/>
      </c>
      <c r="P35" s="264"/>
      <c r="Q35" s="265" t="str">
        <f>IF(calculos_quadro!$G$265="","",IFERROR(INDEX(calculos_quadro!$B$94:$U$94,MATCH(calculos_quadro!$G$265,calculos_quadro!$B$89:$U$89,0)),""))</f>
        <v/>
      </c>
      <c r="R35" s="265" t="str">
        <f>IF(calculos_quadro!$G$266="","",IFERROR(INDEX(calculos_quadro!$B$94:$U$94,MATCH(calculos_quadro!$G$266,calculos_quadro!$B$89:$U$89,0)),""))</f>
        <v/>
      </c>
      <c r="S35" s="265" t="str">
        <f>IF(calculos_quadro!$G$267="","",IFERROR(INDEX(calculos_quadro!$B$94:$U$94,MATCH(calculos_quadro!$G$267,calculos_quadro!$B$89:$U$89,0)),""))</f>
        <v/>
      </c>
      <c r="T35" s="265" t="str">
        <f>IF(calculos_quadro!$G$268="","",IFERROR(INDEX(calculos_quadro!$B$94:$U$94,MATCH(calculos_quadro!$G$268,calculos_quadro!$B$89:$U$89,0)),""))</f>
        <v/>
      </c>
      <c r="U35" s="264"/>
      <c r="V35" s="265" t="str">
        <f>IF(calculos_quadro!$G$269="","",IFERROR(INDEX(calculos_quadro!$B$94:$U$94,MATCH(calculos_quadro!$G$269,calculos_quadro!$B$89:$U$89,0)),""))</f>
        <v/>
      </c>
      <c r="W35" s="265" t="str">
        <f>IF(calculos_quadro!$G$270="","",IFERROR(INDEX(calculos_quadro!$B$94:$U$94,MATCH(calculos_quadro!$G$270,calculos_quadro!$B$89:$U$89,0)),""))</f>
        <v/>
      </c>
      <c r="X35" s="265" t="str">
        <f>IF(calculos_quadro!$G$271="","",IFERROR(INDEX(calculos_quadro!$B$94:$U$94,MATCH(calculos_quadro!$G$271,calculos_quadro!$B$89:$U$89,0)),""))</f>
        <v/>
      </c>
      <c r="Y35" s="265" t="str">
        <f>IF(calculos_quadro!$G$272="","",IFERROR(INDEX(calculos_quadro!$B$94:$U$94,MATCH(calculos_quadro!$G$272,calculos_quadro!$B$89:$U$89,0)),""))</f>
        <v/>
      </c>
      <c r="Z35" s="265" t="str">
        <f>IF(calculos_quadro!$G$273="","",IFERROR(INDEX(calculos_quadro!$B$94:$U$94,MATCH(calculos_quadro!$G$273,calculos_quadro!$B$89:$U$89,0)),""))</f>
        <v/>
      </c>
    </row>
    <row r="36" ht="15.75" customHeight="1">
      <c r="B36" s="410"/>
      <c r="C36" s="411"/>
      <c r="D36" s="274" t="inlineStr">
        <is>
          <t xml:space="preserve">Toneladas Movimentadas</t>
        </is>
      </c>
      <c r="E36" s="273"/>
      <c r="F36" s="273"/>
      <c r="G36" s="273"/>
      <c r="H36" s="280">
        <f>IF(calculos_quadro!$G$258="","",IFERROR(INDEX(calculos_quadro!$B$95:$U$95,MATCH(calculos_quadro!$G$258,calculos_quadro!$B$89:$U$89,0)),""))</f>
        <v>0</v>
      </c>
      <c r="I36" s="280">
        <f>IF(calculos_quadro!$G$259="","",IFERROR(INDEX(calculos_quadro!$B$95:$U$95,MATCH(calculos_quadro!$G$259,calculos_quadro!$B$89:$U$89,0)),""))</f>
        <v>0</v>
      </c>
      <c r="J36" s="280">
        <f>IF(calculos_quadro!$G$260="","",IFERROR(INDEX(calculos_quadro!$B$95:$U$95,MATCH(calculos_quadro!$G$260,calculos_quadro!$B$89:$U$89,0)),""))</f>
        <v>0</v>
      </c>
      <c r="K36" s="279"/>
      <c r="L36" s="280">
        <f>IF(calculos_quadro!$G$261="","",IFERROR(INDEX(calculos_quadro!$B$95:$U$95,MATCH(calculos_quadro!$G$261,calculos_quadro!$B$89:$U$89,0)),""))</f>
        <v>0</v>
      </c>
      <c r="M36" s="280">
        <f>IF(calculos_quadro!$G$262="","",IFERROR(INDEX(calculos_quadro!$B$95:$U$95,MATCH(calculos_quadro!$G$262,calculos_quadro!$B$89:$U$89,0)),""))</f>
        <v>0</v>
      </c>
      <c r="N36" s="280" t="str">
        <f>IF(calculos_quadro!$G$263="","",IFERROR(INDEX(calculos_quadro!$B$95:$U$95,MATCH(calculos_quadro!$G$263,calculos_quadro!$B$89:$U$89,0)),""))</f>
        <v/>
      </c>
      <c r="O36" s="280" t="str">
        <f>IF(calculos_quadro!$G$264="","",IFERROR(INDEX(calculos_quadro!$B$95:$U$95,MATCH(calculos_quadro!$G$264,calculos_quadro!$B$89:$U$89,0)),""))</f>
        <v/>
      </c>
      <c r="P36" s="279"/>
      <c r="Q36" s="280" t="str">
        <f>IF(calculos_quadro!$G$265="","",IFERROR(INDEX(calculos_quadro!$B$95:$U$95,MATCH(calculos_quadro!$G$265,calculos_quadro!$B$89:$U$89,0)),""))</f>
        <v/>
      </c>
      <c r="R36" s="280" t="str">
        <f>IF(calculos_quadro!$G$266="","",IFERROR(INDEX(calculos_quadro!$B$95:$U$95,MATCH(calculos_quadro!$G$266,calculos_quadro!$B$89:$U$89,0)),""))</f>
        <v/>
      </c>
      <c r="S36" s="280" t="str">
        <f>IF(calculos_quadro!$G$267="","",IFERROR(INDEX(calculos_quadro!$B$95:$U$95,MATCH(calculos_quadro!$G$267,calculos_quadro!$B$89:$U$89,0)),""))</f>
        <v/>
      </c>
      <c r="T36" s="280" t="str">
        <f>IF(calculos_quadro!$G$268="","",IFERROR(INDEX(calculos_quadro!$B$95:$U$95,MATCH(calculos_quadro!$G$268,calculos_quadro!$B$89:$U$89,0)),""))</f>
        <v/>
      </c>
      <c r="U36" s="279"/>
      <c r="V36" s="280" t="str">
        <f>IF(calculos_quadro!$G$269="","",IFERROR(INDEX(calculos_quadro!$B$95:$U$95,MATCH(calculos_quadro!$G$269,calculos_quadro!$B$89:$U$89,0)),""))</f>
        <v/>
      </c>
      <c r="W36" s="280" t="str">
        <f>IF(calculos_quadro!$G$270="","",IFERROR(INDEX(calculos_quadro!$B$95:$U$95,MATCH(calculos_quadro!$G$270,calculos_quadro!$B$89:$U$89,0)),""))</f>
        <v/>
      </c>
      <c r="X36" s="280" t="str">
        <f>IF(calculos_quadro!$G$271="","",IFERROR(INDEX(calculos_quadro!$B$95:$U$95,MATCH(calculos_quadro!$G$271,calculos_quadro!$B$89:$U$89,0)),""))</f>
        <v/>
      </c>
      <c r="Y36" s="280" t="str">
        <f>IF(calculos_quadro!$G$272="","",IFERROR(INDEX(calculos_quadro!$B$95:$U$95,MATCH(calculos_quadro!$G$272,calculos_quadro!$B$89:$U$89,0)),""))</f>
        <v/>
      </c>
      <c r="Z36" s="280" t="str">
        <f>IF(calculos_quadro!$G$273="","",IFERROR(INDEX(calculos_quadro!$B$95:$U$95,MATCH(calculos_quadro!$G$273,calculos_quadro!$B$89:$U$89,0)),""))</f>
        <v/>
      </c>
    </row>
    <row r="37" ht="15.75" customHeight="1">
      <c r="B37" s="412" t="inlineStr">
        <is>
          <t xml:space="preserve">NC</t>
        </is>
      </c>
      <c r="C37" s="413"/>
      <c r="D37" s="289" t="inlineStr">
        <is>
          <t xml:space="preserve">Incidentes</t>
        </is>
      </c>
      <c r="E37" s="288"/>
      <c r="F37" s="288"/>
      <c r="G37" s="288"/>
      <c r="H37" s="297">
        <f>IF(calculos_quadro!$G$258="","",IFERROR(INDEX(calculos_quadro!$B$96:$U$96,MATCH(calculos_quadro!$G$258,calculos_quadro!$B$89:$U$89,0)),""))</f>
        <v>0</v>
      </c>
      <c r="I37" s="297">
        <f>IF(calculos_quadro!$G$259="","",IFERROR(INDEX(calculos_quadro!$B$96:$U$96,MATCH(calculos_quadro!$G$259,calculos_quadro!$B$89:$U$89,0)),""))</f>
        <v>0</v>
      </c>
      <c r="J37" s="297">
        <f>IF(calculos_quadro!$G$260="","",IFERROR(INDEX(calculos_quadro!$B$96:$U$96,MATCH(calculos_quadro!$G$260,calculos_quadro!$B$89:$U$89,0)),""))</f>
        <v>0</v>
      </c>
      <c r="K37" s="296"/>
      <c r="L37" s="297">
        <f>IF(calculos_quadro!$G$261="","",IFERROR(INDEX(calculos_quadro!$B$96:$U$96,MATCH(calculos_quadro!$G$261,calculos_quadro!$B$89:$U$89,0)),""))</f>
        <v>0</v>
      </c>
      <c r="M37" s="297">
        <f>IF(calculos_quadro!$G$262="","",IFERROR(INDEX(calculos_quadro!$B$96:$U$96,MATCH(calculos_quadro!$G$262,calculos_quadro!$B$89:$U$89,0)),""))</f>
        <v>0</v>
      </c>
      <c r="N37" s="297" t="str">
        <f>IF(calculos_quadro!$G$263="","",IFERROR(INDEX(calculos_quadro!$B$96:$U$96,MATCH(calculos_quadro!$G$263,calculos_quadro!$B$89:$U$89,0)),""))</f>
        <v/>
      </c>
      <c r="O37" s="297" t="str">
        <f>IF(calculos_quadro!$G$264="","",IFERROR(INDEX(calculos_quadro!$B$96:$U$96,MATCH(calculos_quadro!$G$264,calculos_quadro!$B$89:$U$89,0)),""))</f>
        <v/>
      </c>
      <c r="P37" s="296"/>
      <c r="Q37" s="297" t="str">
        <f>IF(calculos_quadro!$G$265="","",IFERROR(INDEX(calculos_quadro!$B$96:$U$96,MATCH(calculos_quadro!$G$265,calculos_quadro!$B$89:$U$89,0)),""))</f>
        <v/>
      </c>
      <c r="R37" s="297" t="str">
        <f>IF(calculos_quadro!$G$266="","",IFERROR(INDEX(calculos_quadro!$B$96:$U$96,MATCH(calculos_quadro!$G$266,calculos_quadro!$B$89:$U$89,0)),""))</f>
        <v/>
      </c>
      <c r="S37" s="297" t="str">
        <f>IF(calculos_quadro!$G$267="","",IFERROR(INDEX(calculos_quadro!$B$96:$U$96,MATCH(calculos_quadro!$G$267,calculos_quadro!$B$89:$U$89,0)),""))</f>
        <v/>
      </c>
      <c r="T37" s="297" t="str">
        <f>IF(calculos_quadro!$G$268="","",IFERROR(INDEX(calculos_quadro!$B$96:$U$96,MATCH(calculos_quadro!$G$268,calculos_quadro!$B$89:$U$89,0)),""))</f>
        <v/>
      </c>
      <c r="U37" s="296"/>
      <c r="V37" s="297" t="str">
        <f>IF(calculos_quadro!$G$269="","",IFERROR(INDEX(calculos_quadro!$B$96:$U$96,MATCH(calculos_quadro!$G$269,calculos_quadro!$B$89:$U$89,0)),""))</f>
        <v/>
      </c>
      <c r="W37" s="297" t="str">
        <f>IF(calculos_quadro!$G$270="","",IFERROR(INDEX(calculos_quadro!$B$96:$U$96,MATCH(calculos_quadro!$G$270,calculos_quadro!$B$89:$U$89,0)),""))</f>
        <v/>
      </c>
      <c r="X37" s="297" t="str">
        <f>IF(calculos_quadro!$G$271="","",IFERROR(INDEX(calculos_quadro!$B$96:$U$96,MATCH(calculos_quadro!$G$271,calculos_quadro!$B$89:$U$89,0)),""))</f>
        <v/>
      </c>
      <c r="Y37" s="297" t="str">
        <f>IF(calculos_quadro!$G$272="","",IFERROR(INDEX(calculos_quadro!$B$96:$U$96,MATCH(calculos_quadro!$G$272,calculos_quadro!$B$89:$U$89,0)),""))</f>
        <v/>
      </c>
      <c r="Z37" s="297" t="str">
        <f>IF(calculos_quadro!$G$273="","",IFERROR(INDEX(calculos_quadro!$B$96:$U$96,MATCH(calculos_quadro!$G$273,calculos_quadro!$B$89:$U$89,0)),""))</f>
        <v/>
      </c>
    </row>
    <row r="38" ht="15.75" customHeight="1">
      <c r="B38" s="414"/>
      <c r="C38" s="415"/>
      <c r="D38" s="306" t="inlineStr">
        <is>
          <t xml:space="preserve">No show</t>
        </is>
      </c>
      <c r="E38" s="305"/>
      <c r="F38" s="305"/>
      <c r="G38" s="305"/>
      <c r="H38" s="314">
        <f>IF(calculos_quadro!$G$258="","",IFERROR(INDEX(calculos_quadro!$B$97:$U$97,MATCH(calculos_quadro!$G$258,calculos_quadro!$B$89:$U$89,0)),""))</f>
        <v>0</v>
      </c>
      <c r="I38" s="314">
        <f>IF(calculos_quadro!$G$259="","",IFERROR(INDEX(calculos_quadro!$B$97:$U$97,MATCH(calculos_quadro!$G$259,calculos_quadro!$B$89:$U$89,0)),""))</f>
        <v>0</v>
      </c>
      <c r="J38" s="314">
        <f>IF(calculos_quadro!$G$260="","",IFERROR(INDEX(calculos_quadro!$B$97:$U$97,MATCH(calculos_quadro!$G$260,calculos_quadro!$B$89:$U$89,0)),""))</f>
        <v>0</v>
      </c>
      <c r="K38" s="313"/>
      <c r="L38" s="314">
        <f>IF(calculos_quadro!$G$261="","",IFERROR(INDEX(calculos_quadro!$B$97:$U$97,MATCH(calculos_quadro!$G$261,calculos_quadro!$B$89:$U$89,0)),""))</f>
        <v>0</v>
      </c>
      <c r="M38" s="314">
        <f>IF(calculos_quadro!$G$262="","",IFERROR(INDEX(calculos_quadro!$B$97:$U$97,MATCH(calculos_quadro!$G$262,calculos_quadro!$B$89:$U$89,0)),""))</f>
        <v>0</v>
      </c>
      <c r="N38" s="314" t="str">
        <f>IF(calculos_quadro!$G$263="","",IFERROR(INDEX(calculos_quadro!$B$97:$U$97,MATCH(calculos_quadro!$G$263,calculos_quadro!$B$89:$U$89,0)),""))</f>
        <v/>
      </c>
      <c r="O38" s="314" t="str">
        <f>IF(calculos_quadro!$G$264="","",IFERROR(INDEX(calculos_quadro!$B$97:$U$97,MATCH(calculos_quadro!$G$264,calculos_quadro!$B$89:$U$89,0)),""))</f>
        <v/>
      </c>
      <c r="P38" s="313"/>
      <c r="Q38" s="314" t="str">
        <f>IF(calculos_quadro!$G$265="","",IFERROR(INDEX(calculos_quadro!$B$97:$U$97,MATCH(calculos_quadro!$G$265,calculos_quadro!$B$89:$U$89,0)),""))</f>
        <v/>
      </c>
      <c r="R38" s="314" t="str">
        <f>IF(calculos_quadro!$G$266="","",IFERROR(INDEX(calculos_quadro!$B$97:$U$97,MATCH(calculos_quadro!$G$266,calculos_quadro!$B$89:$U$89,0)),""))</f>
        <v/>
      </c>
      <c r="S38" s="314" t="str">
        <f>IF(calculos_quadro!$G$267="","",IFERROR(INDEX(calculos_quadro!$B$97:$U$97,MATCH(calculos_quadro!$G$267,calculos_quadro!$B$89:$U$89,0)),""))</f>
        <v/>
      </c>
      <c r="T38" s="314" t="str">
        <f>IF(calculos_quadro!$G$268="","",IFERROR(INDEX(calculos_quadro!$B$97:$U$97,MATCH(calculos_quadro!$G$268,calculos_quadro!$B$89:$U$89,0)),""))</f>
        <v/>
      </c>
      <c r="U38" s="313"/>
      <c r="V38" s="314" t="str">
        <f>IF(calculos_quadro!$G$269="","",IFERROR(INDEX(calculos_quadro!$B$97:$U$97,MATCH(calculos_quadro!$G$269,calculos_quadro!$B$89:$U$89,0)),""))</f>
        <v/>
      </c>
      <c r="W38" s="314" t="str">
        <f>IF(calculos_quadro!$G$270="","",IFERROR(INDEX(calculos_quadro!$B$97:$U$97,MATCH(calculos_quadro!$G$270,calculos_quadro!$B$89:$U$89,0)),""))</f>
        <v/>
      </c>
      <c r="X38" s="314" t="str">
        <f>IF(calculos_quadro!$G$271="","",IFERROR(INDEX(calculos_quadro!$B$97:$U$97,MATCH(calculos_quadro!$G$271,calculos_quadro!$B$89:$U$89,0)),""))</f>
        <v/>
      </c>
      <c r="Y38" s="314" t="str">
        <f>IF(calculos_quadro!$G$272="","",IFERROR(INDEX(calculos_quadro!$B$97:$U$97,MATCH(calculos_quadro!$G$272,calculos_quadro!$B$89:$U$89,0)),""))</f>
        <v/>
      </c>
      <c r="Z38" s="314" t="str">
        <f>IF(calculos_quadro!$G$273="","",IFERROR(INDEX(calculos_quadro!$B$97:$U$97,MATCH(calculos_quadro!$G$273,calculos_quadro!$B$89:$U$89,0)),""))</f>
        <v/>
      </c>
    </row>
    <row r="39" ht="15.75" customHeight="1">
      <c r="B39" s="416"/>
      <c r="C39" s="417"/>
      <c r="D39" s="323" t="inlineStr">
        <is>
          <t xml:space="preserve">Backlog</t>
        </is>
      </c>
      <c r="E39" s="322"/>
      <c r="F39" s="322"/>
      <c r="G39" s="322"/>
      <c r="H39" s="331" t="str">
        <f>IF(calculos_quadro!$G$258="","",IFERROR(INDEX(calculos_quadro!$B$98:$U$98,MATCH(calculos_quadro!$G$258,calculos_quadro!$B$89:$U$89,0)),""))</f>
        <v/>
      </c>
      <c r="I39" s="331" t="str">
        <f>IF(calculos_quadro!$G$259="","",IFERROR(INDEX(calculos_quadro!$B$98:$U$98,MATCH(calculos_quadro!$G$259,calculos_quadro!$B$89:$U$89,0)),""))</f>
        <v/>
      </c>
      <c r="J39" s="331" t="str">
        <f>IF(calculos_quadro!$G$260="","",IFERROR(INDEX(calculos_quadro!$B$98:$U$98,MATCH(calculos_quadro!$G$260,calculos_quadro!$B$89:$U$89,0)),""))</f>
        <v/>
      </c>
      <c r="K39" s="330"/>
      <c r="L39" s="331" t="str">
        <f>IF(calculos_quadro!$G$261="","",IFERROR(INDEX(calculos_quadro!$B$98:$U$98,MATCH(calculos_quadro!$G$261,calculos_quadro!$B$89:$U$89,0)),""))</f>
        <v/>
      </c>
      <c r="M39" s="331" t="str">
        <f>IF(calculos_quadro!$G$262="","",IFERROR(INDEX(calculos_quadro!$B$98:$U$98,MATCH(calculos_quadro!$G$262,calculos_quadro!$B$89:$U$89,0)),""))</f>
        <v/>
      </c>
      <c r="N39" s="331" t="str">
        <f>IF(calculos_quadro!$G$263="","",IFERROR(INDEX(calculos_quadro!$B$98:$U$98,MATCH(calculos_quadro!$G$263,calculos_quadro!$B$89:$U$89,0)),""))</f>
        <v/>
      </c>
      <c r="O39" s="331" t="str">
        <f>IF(calculos_quadro!$G$264="","",IFERROR(INDEX(calculos_quadro!$B$98:$U$98,MATCH(calculos_quadro!$G$264,calculos_quadro!$B$89:$U$89,0)),""))</f>
        <v/>
      </c>
      <c r="P39" s="330"/>
      <c r="Q39" s="331" t="str">
        <f>IF(calculos_quadro!$G$265="","",IFERROR(INDEX(calculos_quadro!$B$98:$U$98,MATCH(calculos_quadro!$G$265,calculos_quadro!$B$89:$U$89,0)),""))</f>
        <v/>
      </c>
      <c r="R39" s="331" t="str">
        <f>IF(calculos_quadro!$G$266="","",IFERROR(INDEX(calculos_quadro!$B$98:$U$98,MATCH(calculos_quadro!$G$266,calculos_quadro!$B$89:$U$89,0)),""))</f>
        <v/>
      </c>
      <c r="S39" s="331" t="str">
        <f>IF(calculos_quadro!$G$267="","",IFERROR(INDEX(calculos_quadro!$B$98:$U$98,MATCH(calculos_quadro!$G$267,calculos_quadro!$B$89:$U$89,0)),""))</f>
        <v/>
      </c>
      <c r="T39" s="331" t="str">
        <f>IF(calculos_quadro!$G$268="","",IFERROR(INDEX(calculos_quadro!$B$98:$U$98,MATCH(calculos_quadro!$G$268,calculos_quadro!$B$89:$U$89,0)),""))</f>
        <v/>
      </c>
      <c r="U39" s="330"/>
      <c r="V39" s="331" t="str">
        <f>IF(calculos_quadro!$G$269="","",IFERROR(INDEX(calculos_quadro!$B$98:$U$98,MATCH(calculos_quadro!$G$269,calculos_quadro!$B$89:$U$89,0)),""))</f>
        <v/>
      </c>
      <c r="W39" s="331" t="str">
        <f>IF(calculos_quadro!$G$270="","",IFERROR(INDEX(calculos_quadro!$B$98:$U$98,MATCH(calculos_quadro!$G$270,calculos_quadro!$B$89:$U$89,0)),""))</f>
        <v/>
      </c>
      <c r="X39" s="331" t="str">
        <f>IF(calculos_quadro!$G$271="","",IFERROR(INDEX(calculos_quadro!$B$98:$U$98,MATCH(calculos_quadro!$G$271,calculos_quadro!$B$89:$U$89,0)),""))</f>
        <v/>
      </c>
      <c r="Y39" s="331" t="str">
        <f>IF(calculos_quadro!$G$272="","",IFERROR(INDEX(calculos_quadro!$B$98:$U$98,MATCH(calculos_quadro!$G$272,calculos_quadro!$B$89:$U$89,0)),""))</f>
        <v/>
      </c>
      <c r="Z39" s="331" t="str">
        <f>IF(calculos_quadro!$G$273="","",IFERROR(INDEX(calculos_quadro!$B$98:$U$98,MATCH(calculos_quadro!$G$273,calculos_quadro!$B$89:$U$89,0)),""))</f>
        <v/>
      </c>
    </row>
    <row r="40" ht="15.75" customHeight="1">
      <c r="B40" s="400" t="inlineStr">
        <is>
          <t xml:space="preserve">OCUPAÇÃO (P.P)</t>
        </is>
      </c>
      <c r="C40" s="401"/>
      <c r="D40" s="191" t="inlineStr">
        <is>
          <t xml:space="preserve">Posições Disponíveis</t>
        </is>
      </c>
      <c r="E40" s="190"/>
      <c r="F40" s="190"/>
      <c r="G40" s="190"/>
      <c r="H40" s="199" t="str">
        <f>IF(calculos_quadro!$G$258="","",IFERROR(INDEX(calculos_quadro!$B$99:$U$99,MATCH(calculos_quadro!$G$258,calculos_quadro!$B$89:$U$89,0)),""))</f>
        <v/>
      </c>
      <c r="I40" s="199" t="str">
        <f>IF(calculos_quadro!$G$259="","",IFERROR(INDEX(calculos_quadro!$B$99:$U$99,MATCH(calculos_quadro!$G$259,calculos_quadro!$B$89:$U$89,0)),""))</f>
        <v>—</v>
      </c>
      <c r="J40" s="199" t="str">
        <f>IF(calculos_quadro!$G$260="","",IFERROR(INDEX(calculos_quadro!$B$99:$U$99,MATCH(calculos_quadro!$G$260,calculos_quadro!$B$89:$U$89,0)),""))</f>
        <v>—</v>
      </c>
      <c r="K40" s="198"/>
      <c r="L40" s="199" t="str">
        <f>IF(calculos_quadro!$G$261="","",IFERROR(INDEX(calculos_quadro!$B$99:$U$99,MATCH(calculos_quadro!$G$261,calculos_quadro!$B$89:$U$89,0)),""))</f>
        <v>—</v>
      </c>
      <c r="M40" s="199" t="str">
        <f>IF(calculos_quadro!$G$262="","",IFERROR(INDEX(calculos_quadro!$B$99:$U$99,MATCH(calculos_quadro!$G$262,calculos_quadro!$B$89:$U$89,0)),""))</f>
        <v/>
      </c>
      <c r="N40" s="199" t="str">
        <f>IF(calculos_quadro!$G$263="","",IFERROR(INDEX(calculos_quadro!$B$99:$U$99,MATCH(calculos_quadro!$G$263,calculos_quadro!$B$89:$U$89,0)),""))</f>
        <v/>
      </c>
      <c r="O40" s="199" t="str">
        <f>IF(calculos_quadro!$G$264="","",IFERROR(INDEX(calculos_quadro!$B$99:$U$99,MATCH(calculos_quadro!$G$264,calculos_quadro!$B$89:$U$89,0)),""))</f>
        <v/>
      </c>
      <c r="P40" s="198"/>
      <c r="Q40" s="199" t="str">
        <f>IF(calculos_quadro!$G$265="","",IFERROR(INDEX(calculos_quadro!$B$99:$U$99,MATCH(calculos_quadro!$G$265,calculos_quadro!$B$89:$U$89,0)),""))</f>
        <v/>
      </c>
      <c r="R40" s="199" t="str">
        <f>IF(calculos_quadro!$G$266="","",IFERROR(INDEX(calculos_quadro!$B$99:$U$99,MATCH(calculos_quadro!$G$266,calculos_quadro!$B$89:$U$89,0)),""))</f>
        <v/>
      </c>
      <c r="S40" s="199" t="str">
        <f>IF(calculos_quadro!$G$267="","",IFERROR(INDEX(calculos_quadro!$B$99:$U$99,MATCH(calculos_quadro!$G$267,calculos_quadro!$B$89:$U$89,0)),""))</f>
        <v/>
      </c>
      <c r="T40" s="199" t="str">
        <f>IF(calculos_quadro!$G$268="","",IFERROR(INDEX(calculos_quadro!$B$99:$U$99,MATCH(calculos_quadro!$G$268,calculos_quadro!$B$89:$U$89,0)),""))</f>
        <v/>
      </c>
      <c r="U40" s="198"/>
      <c r="V40" s="199" t="str">
        <f>IF(calculos_quadro!$G$269="","",IFERROR(INDEX(calculos_quadro!$B$99:$U$99,MATCH(calculos_quadro!$G$269,calculos_quadro!$B$89:$U$89,0)),""))</f>
        <v/>
      </c>
      <c r="W40" s="199" t="str">
        <f>IF(calculos_quadro!$G$270="","",IFERROR(INDEX(calculos_quadro!$B$99:$U$99,MATCH(calculos_quadro!$G$270,calculos_quadro!$B$89:$U$89,0)),""))</f>
        <v/>
      </c>
      <c r="X40" s="199" t="str">
        <f>IF(calculos_quadro!$G$271="","",IFERROR(INDEX(calculos_quadro!$B$99:$U$99,MATCH(calculos_quadro!$G$271,calculos_quadro!$B$89:$U$89,0)),""))</f>
        <v/>
      </c>
      <c r="Y40" s="199" t="str">
        <f>IF(calculos_quadro!$G$272="","",IFERROR(INDEX(calculos_quadro!$B$99:$U$99,MATCH(calculos_quadro!$G$272,calculos_quadro!$B$89:$U$89,0)),""))</f>
        <v/>
      </c>
      <c r="Z40" s="199" t="str">
        <f>IF(calculos_quadro!$G$273="","",IFERROR(INDEX(calculos_quadro!$B$99:$U$99,MATCH(calculos_quadro!$G$273,calculos_quadro!$B$89:$U$89,0)),""))</f>
        <v/>
      </c>
    </row>
    <row r="41" ht="15.75" customHeight="1">
      <c r="B41" s="402"/>
      <c r="C41" s="403"/>
      <c r="D41" s="208" t="inlineStr">
        <is>
          <t xml:space="preserve">Posições Ocupadas</t>
        </is>
      </c>
      <c r="E41" s="207"/>
      <c r="F41" s="207"/>
      <c r="G41" s="207"/>
      <c r="H41" s="216" t="str">
        <f>IF(calculos_quadro!$G$258="","",IFERROR(INDEX(calculos_quadro!$B$100:$U$100,MATCH(calculos_quadro!$G$258,calculos_quadro!$B$89:$U$89,0)),""))</f>
        <v/>
      </c>
      <c r="I41" s="216" t="str">
        <f>IF(calculos_quadro!$G$259="","",IFERROR(INDEX(calculos_quadro!$B$100:$U$100,MATCH(calculos_quadro!$G$259,calculos_quadro!$B$89:$U$89,0)),""))</f>
        <v>—</v>
      </c>
      <c r="J41" s="216" t="str">
        <f>IF(calculos_quadro!$G$260="","",IFERROR(INDEX(calculos_quadro!$B$100:$U$100,MATCH(calculos_quadro!$G$260,calculos_quadro!$B$89:$U$89,0)),""))</f>
        <v/>
      </c>
      <c r="K41" s="215"/>
      <c r="L41" s="216" t="str">
        <f>IF(calculos_quadro!$G$261="","",IFERROR(INDEX(calculos_quadro!$B$100:$U$100,MATCH(calculos_quadro!$G$261,calculos_quadro!$B$89:$U$89,0)),""))</f>
        <v/>
      </c>
      <c r="M41" s="216" t="str">
        <f>IF(calculos_quadro!$G$262="","",IFERROR(INDEX(calculos_quadro!$B$100:$U$100,MATCH(calculos_quadro!$G$262,calculos_quadro!$B$89:$U$89,0)),""))</f>
        <v/>
      </c>
      <c r="N41" s="216" t="str">
        <f>IF(calculos_quadro!$G$263="","",IFERROR(INDEX(calculos_quadro!$B$100:$U$100,MATCH(calculos_quadro!$G$263,calculos_quadro!$B$89:$U$89,0)),""))</f>
        <v/>
      </c>
      <c r="O41" s="216" t="str">
        <f>IF(calculos_quadro!$G$264="","",IFERROR(INDEX(calculos_quadro!$B$100:$U$100,MATCH(calculos_quadro!$G$264,calculos_quadro!$B$89:$U$89,0)),""))</f>
        <v/>
      </c>
      <c r="P41" s="215"/>
      <c r="Q41" s="216" t="str">
        <f>IF(calculos_quadro!$G$265="","",IFERROR(INDEX(calculos_quadro!$B$100:$U$100,MATCH(calculos_quadro!$G$265,calculos_quadro!$B$89:$U$89,0)),""))</f>
        <v/>
      </c>
      <c r="R41" s="216" t="str">
        <f>IF(calculos_quadro!$G$266="","",IFERROR(INDEX(calculos_quadro!$B$100:$U$100,MATCH(calculos_quadro!$G$266,calculos_quadro!$B$89:$U$89,0)),""))</f>
        <v/>
      </c>
      <c r="S41" s="216" t="str">
        <f>IF(calculos_quadro!$G$267="","",IFERROR(INDEX(calculos_quadro!$B$100:$U$100,MATCH(calculos_quadro!$G$267,calculos_quadro!$B$89:$U$89,0)),""))</f>
        <v/>
      </c>
      <c r="T41" s="216" t="str">
        <f>IF(calculos_quadro!$G$268="","",IFERROR(INDEX(calculos_quadro!$B$100:$U$100,MATCH(calculos_quadro!$G$268,calculos_quadro!$B$89:$U$89,0)),""))</f>
        <v/>
      </c>
      <c r="U41" s="215"/>
      <c r="V41" s="216" t="str">
        <f>IF(calculos_quadro!$G$269="","",IFERROR(INDEX(calculos_quadro!$B$100:$U$100,MATCH(calculos_quadro!$G$269,calculos_quadro!$B$89:$U$89,0)),""))</f>
        <v/>
      </c>
      <c r="W41" s="216" t="str">
        <f>IF(calculos_quadro!$G$270="","",IFERROR(INDEX(calculos_quadro!$B$100:$U$100,MATCH(calculos_quadro!$G$270,calculos_quadro!$B$89:$U$89,0)),""))</f>
        <v/>
      </c>
      <c r="X41" s="216" t="str">
        <f>IF(calculos_quadro!$G$271="","",IFERROR(INDEX(calculos_quadro!$B$100:$U$100,MATCH(calculos_quadro!$G$271,calculos_quadro!$B$89:$U$89,0)),""))</f>
        <v/>
      </c>
      <c r="Y41" s="216" t="str">
        <f>IF(calculos_quadro!$G$272="","",IFERROR(INDEX(calculos_quadro!$B$100:$U$100,MATCH(calculos_quadro!$G$272,calculos_quadro!$B$89:$U$89,0)),""))</f>
        <v/>
      </c>
      <c r="Z41" s="216" t="str">
        <f>IF(calculos_quadro!$G$273="","",IFERROR(INDEX(calculos_quadro!$B$100:$U$100,MATCH(calculos_quadro!$G$273,calculos_quadro!$B$89:$U$89,0)),""))</f>
        <v/>
      </c>
    </row>
    <row r="42" ht="15.75" customHeight="1">
      <c r="B42" s="404"/>
      <c r="C42" s="405"/>
      <c r="D42" s="225" t="inlineStr">
        <is>
          <t xml:space="preserve">Taxa de Ocupação</t>
        </is>
      </c>
      <c r="E42" s="224"/>
      <c r="F42" s="224"/>
      <c r="G42" s="224"/>
      <c r="H42" s="235" t="str">
        <f>IF(calculos_quadro!$G$258="","",IFERROR(INDEX(calculos_quadro!$B$101:$U$101,MATCH(calculos_quadro!$G$258,calculos_quadro!$B$89:$U$89,0)),""))</f>
        <v/>
      </c>
      <c r="I42" s="235" t="str">
        <f>IF(calculos_quadro!$G$259="","",IFERROR(INDEX(calculos_quadro!$B$101:$U$101,MATCH(calculos_quadro!$G$259,calculos_quadro!$B$89:$U$89,0)),""))</f>
        <v>—</v>
      </c>
      <c r="J42" s="235" t="str">
        <f>IF(calculos_quadro!$G$260="","",IFERROR(INDEX(calculos_quadro!$B$101:$U$101,MATCH(calculos_quadro!$G$260,calculos_quadro!$B$89:$U$89,0)),""))</f>
        <v>—</v>
      </c>
      <c r="K42" s="234"/>
      <c r="L42" s="235" t="str">
        <f>IF(calculos_quadro!$G$261="","",IFERROR(INDEX(calculos_quadro!$B$101:$U$101,MATCH(calculos_quadro!$G$261,calculos_quadro!$B$89:$U$89,0)),""))</f>
        <v>—</v>
      </c>
      <c r="M42" s="235" t="str">
        <f>IF(calculos_quadro!$G$262="","",IFERROR(INDEX(calculos_quadro!$B$101:$U$101,MATCH(calculos_quadro!$G$262,calculos_quadro!$B$89:$U$89,0)),""))</f>
        <v/>
      </c>
      <c r="N42" s="235" t="str">
        <f>IF(calculos_quadro!$G$263="","",IFERROR(INDEX(calculos_quadro!$B$101:$U$101,MATCH(calculos_quadro!$G$263,calculos_quadro!$B$89:$U$89,0)),""))</f>
        <v/>
      </c>
      <c r="O42" s="235" t="str">
        <f>IF(calculos_quadro!$G$264="","",IFERROR(INDEX(calculos_quadro!$B$101:$U$101,MATCH(calculos_quadro!$G$264,calculos_quadro!$B$89:$U$89,0)),""))</f>
        <v/>
      </c>
      <c r="P42" s="234"/>
      <c r="Q42" s="235" t="str">
        <f>IF(calculos_quadro!$G$265="","",IFERROR(INDEX(calculos_quadro!$B$101:$U$101,MATCH(calculos_quadro!$G$265,calculos_quadro!$B$89:$U$89,0)),""))</f>
        <v/>
      </c>
      <c r="R42" s="235" t="str">
        <f>IF(calculos_quadro!$G$266="","",IFERROR(INDEX(calculos_quadro!$B$101:$U$101,MATCH(calculos_quadro!$G$266,calculos_quadro!$B$89:$U$89,0)),""))</f>
        <v/>
      </c>
      <c r="S42" s="235" t="str">
        <f>IF(calculos_quadro!$G$267="","",IFERROR(INDEX(calculos_quadro!$B$101:$U$101,MATCH(calculos_quadro!$G$267,calculos_quadro!$B$89:$U$89,0)),""))</f>
        <v/>
      </c>
      <c r="T42" s="235" t="str">
        <f>IF(calculos_quadro!$G$268="","",IFERROR(INDEX(calculos_quadro!$B$101:$U$101,MATCH(calculos_quadro!$G$268,calculos_quadro!$B$89:$U$89,0)),""))</f>
        <v/>
      </c>
      <c r="U42" s="234"/>
      <c r="V42" s="235" t="str">
        <f>IF(calculos_quadro!$G$269="","",IFERROR(INDEX(calculos_quadro!$B$101:$U$101,MATCH(calculos_quadro!$G$269,calculos_quadro!$B$89:$U$89,0)),""))</f>
        <v/>
      </c>
      <c r="W42" s="235" t="str">
        <f>IF(calculos_quadro!$G$270="","",IFERROR(INDEX(calculos_quadro!$B$101:$U$101,MATCH(calculos_quadro!$G$270,calculos_quadro!$B$89:$U$89,0)),""))</f>
        <v/>
      </c>
      <c r="X42" s="235" t="str">
        <f>IF(calculos_quadro!$G$271="","",IFERROR(INDEX(calculos_quadro!$B$101:$U$101,MATCH(calculos_quadro!$G$271,calculos_quadro!$B$89:$U$89,0)),""))</f>
        <v/>
      </c>
      <c r="Y42" s="235" t="str">
        <f>IF(calculos_quadro!$G$272="","",IFERROR(INDEX(calculos_quadro!$B$101:$U$101,MATCH(calculos_quadro!$G$272,calculos_quadro!$B$89:$U$89,0)),""))</f>
        <v/>
      </c>
      <c r="Z42" s="235" t="str">
        <f>IF(calculos_quadro!$G$273="","",IFERROR(INDEX(calculos_quadro!$B$101:$U$101,MATCH(calculos_quadro!$G$273,calculos_quadro!$B$89:$U$89,0)),""))</f>
        <v/>
      </c>
    </row>
    <row r="43" ht="15.75" customHeight="1">
      <c r="B43" s="418" t="inlineStr">
        <is>
          <t xml:space="preserve">GENTE</t>
        </is>
      </c>
      <c r="C43" s="419"/>
      <c r="D43" s="350" t="inlineStr">
        <is>
          <t xml:space="preserve">Efetivo Op.</t>
        </is>
      </c>
      <c r="E43" s="349"/>
      <c r="F43" s="349"/>
      <c r="G43" s="349"/>
      <c r="H43" s="358" t="str">
        <f>IF(calculos_quadro!$G$258="","",IFERROR(INDEX(calculos_quadro!$B$102:$U$102,MATCH(calculos_quadro!$G$258,calculos_quadro!$B$89:$U$89,0)),""))</f>
        <v/>
      </c>
      <c r="I43" s="358" t="str">
        <f>IF(calculos_quadro!$G$259="","",IFERROR(INDEX(calculos_quadro!$B$102:$U$102,MATCH(calculos_quadro!$G$259,calculos_quadro!$B$89:$U$89,0)),""))</f>
        <v/>
      </c>
      <c r="J43" s="358" t="str">
        <f>IF(calculos_quadro!$G$260="","",IFERROR(INDEX(calculos_quadro!$B$102:$U$102,MATCH(calculos_quadro!$G$260,calculos_quadro!$B$89:$U$89,0)),""))</f>
        <v/>
      </c>
      <c r="K43" s="357"/>
      <c r="L43" s="358" t="str">
        <f>IF(calculos_quadro!$G$261="","",IFERROR(INDEX(calculos_quadro!$B$102:$U$102,MATCH(calculos_quadro!$G$261,calculos_quadro!$B$89:$U$89,0)),""))</f>
        <v/>
      </c>
      <c r="M43" s="358" t="str">
        <f>IF(calculos_quadro!$G$262="","",IFERROR(INDEX(calculos_quadro!$B$102:$U$102,MATCH(calculos_quadro!$G$262,calculos_quadro!$B$89:$U$89,0)),""))</f>
        <v/>
      </c>
      <c r="N43" s="358" t="str">
        <f>IF(calculos_quadro!$G$263="","",IFERROR(INDEX(calculos_quadro!$B$102:$U$102,MATCH(calculos_quadro!$G$263,calculos_quadro!$B$89:$U$89,0)),""))</f>
        <v/>
      </c>
      <c r="O43" s="358" t="str">
        <f>IF(calculos_quadro!$G$264="","",IFERROR(INDEX(calculos_quadro!$B$102:$U$102,MATCH(calculos_quadro!$G$264,calculos_quadro!$B$89:$U$89,0)),""))</f>
        <v/>
      </c>
      <c r="P43" s="357"/>
      <c r="Q43" s="358" t="str">
        <f>IF(calculos_quadro!$G$265="","",IFERROR(INDEX(calculos_quadro!$B$102:$U$102,MATCH(calculos_quadro!$G$265,calculos_quadro!$B$89:$U$89,0)),""))</f>
        <v/>
      </c>
      <c r="R43" s="358" t="str">
        <f>IF(calculos_quadro!$G$266="","",IFERROR(INDEX(calculos_quadro!$B$102:$U$102,MATCH(calculos_quadro!$G$266,calculos_quadro!$B$89:$U$89,0)),""))</f>
        <v/>
      </c>
      <c r="S43" s="358" t="str">
        <f>IF(calculos_quadro!$G$267="","",IFERROR(INDEX(calculos_quadro!$B$102:$U$102,MATCH(calculos_quadro!$G$267,calculos_quadro!$B$89:$U$89,0)),""))</f>
        <v/>
      </c>
      <c r="T43" s="358" t="str">
        <f>IF(calculos_quadro!$G$268="","",IFERROR(INDEX(calculos_quadro!$B$102:$U$102,MATCH(calculos_quadro!$G$268,calculos_quadro!$B$89:$U$89,0)),""))</f>
        <v/>
      </c>
      <c r="U43" s="357"/>
      <c r="V43" s="358" t="str">
        <f>IF(calculos_quadro!$G$269="","",IFERROR(INDEX(calculos_quadro!$B$102:$U$102,MATCH(calculos_quadro!$G$269,calculos_quadro!$B$89:$U$89,0)),""))</f>
        <v/>
      </c>
      <c r="W43" s="358" t="str">
        <f>IF(calculos_quadro!$G$270="","",IFERROR(INDEX(calculos_quadro!$B$102:$U$102,MATCH(calculos_quadro!$G$270,calculos_quadro!$B$89:$U$89,0)),""))</f>
        <v/>
      </c>
      <c r="X43" s="358" t="str">
        <f>IF(calculos_quadro!$G$271="","",IFERROR(INDEX(calculos_quadro!$B$102:$U$102,MATCH(calculos_quadro!$G$271,calculos_quadro!$B$89:$U$89,0)),""))</f>
        <v/>
      </c>
      <c r="Y43" s="358" t="str">
        <f>IF(calculos_quadro!$G$272="","",IFERROR(INDEX(calculos_quadro!$B$102:$U$102,MATCH(calculos_quadro!$G$272,calculos_quadro!$B$89:$U$89,0)),""))</f>
        <v/>
      </c>
      <c r="Z43" s="358" t="str">
        <f>IF(calculos_quadro!$G$273="","",IFERROR(INDEX(calculos_quadro!$B$102:$U$102,MATCH(calculos_quadro!$G$273,calculos_quadro!$B$89:$U$89,0)),""))</f>
        <v/>
      </c>
    </row>
    <row r="44" ht="15.75" customHeight="1">
      <c r="B44" s="420"/>
      <c r="C44" s="421"/>
      <c r="D44" s="367" t="inlineStr">
        <is>
          <t xml:space="preserve">Falta</t>
        </is>
      </c>
      <c r="E44" s="366"/>
      <c r="F44" s="366"/>
      <c r="G44" s="366"/>
      <c r="H44" s="375">
        <f>IF(calculos_quadro!$G$258="","",IFERROR(INDEX(calculos_quadro!$B$103:$U$103,MATCH(calculos_quadro!$G$258,calculos_quadro!$B$89:$U$89,0)),""))</f>
        <v>0</v>
      </c>
      <c r="I44" s="375">
        <f>IF(calculos_quadro!$G$259="","",IFERROR(INDEX(calculos_quadro!$B$103:$U$103,MATCH(calculos_quadro!$G$259,calculos_quadro!$B$89:$U$89,0)),""))</f>
        <v>0</v>
      </c>
      <c r="J44" s="375">
        <f>IF(calculos_quadro!$G$260="","",IFERROR(INDEX(calculos_quadro!$B$103:$U$103,MATCH(calculos_quadro!$G$260,calculos_quadro!$B$89:$U$89,0)),""))</f>
        <v>0</v>
      </c>
      <c r="K44" s="374"/>
      <c r="L44" s="375">
        <f>IF(calculos_quadro!$G$261="","",IFERROR(INDEX(calculos_quadro!$B$103:$U$103,MATCH(calculos_quadro!$G$261,calculos_quadro!$B$89:$U$89,0)),""))</f>
        <v>0</v>
      </c>
      <c r="M44" s="375">
        <f>IF(calculos_quadro!$G$262="","",IFERROR(INDEX(calculos_quadro!$B$103:$U$103,MATCH(calculos_quadro!$G$262,calculos_quadro!$B$89:$U$89,0)),""))</f>
        <v>0</v>
      </c>
      <c r="N44" s="375" t="str">
        <f>IF(calculos_quadro!$G$263="","",IFERROR(INDEX(calculos_quadro!$B$103:$U$103,MATCH(calculos_quadro!$G$263,calculos_quadro!$B$89:$U$89,0)),""))</f>
        <v/>
      </c>
      <c r="O44" s="375" t="str">
        <f>IF(calculos_quadro!$G$264="","",IFERROR(INDEX(calculos_quadro!$B$103:$U$103,MATCH(calculos_quadro!$G$264,calculos_quadro!$B$89:$U$89,0)),""))</f>
        <v/>
      </c>
      <c r="P44" s="374"/>
      <c r="Q44" s="375" t="str">
        <f>IF(calculos_quadro!$G$265="","",IFERROR(INDEX(calculos_quadro!$B$103:$U$103,MATCH(calculos_quadro!$G$265,calculos_quadro!$B$89:$U$89,0)),""))</f>
        <v/>
      </c>
      <c r="R44" s="375" t="str">
        <f>IF(calculos_quadro!$G$266="","",IFERROR(INDEX(calculos_quadro!$B$103:$U$103,MATCH(calculos_quadro!$G$266,calculos_quadro!$B$89:$U$89,0)),""))</f>
        <v/>
      </c>
      <c r="S44" s="375" t="str">
        <f>IF(calculos_quadro!$G$267="","",IFERROR(INDEX(calculos_quadro!$B$103:$U$103,MATCH(calculos_quadro!$G$267,calculos_quadro!$B$89:$U$89,0)),""))</f>
        <v/>
      </c>
      <c r="T44" s="375" t="str">
        <f>IF(calculos_quadro!$G$268="","",IFERROR(INDEX(calculos_quadro!$B$103:$U$103,MATCH(calculos_quadro!$G$268,calculos_quadro!$B$89:$U$89,0)),""))</f>
        <v/>
      </c>
      <c r="U44" s="374"/>
      <c r="V44" s="375" t="str">
        <f>IF(calculos_quadro!$G$269="","",IFERROR(INDEX(calculos_quadro!$B$103:$U$103,MATCH(calculos_quadro!$G$269,calculos_quadro!$B$89:$U$89,0)),""))</f>
        <v/>
      </c>
      <c r="W44" s="375" t="str">
        <f>IF(calculos_quadro!$G$270="","",IFERROR(INDEX(calculos_quadro!$B$103:$U$103,MATCH(calculos_quadro!$G$270,calculos_quadro!$B$89:$U$89,0)),""))</f>
        <v/>
      </c>
      <c r="X44" s="375" t="str">
        <f>IF(calculos_quadro!$G$271="","",IFERROR(INDEX(calculos_quadro!$B$103:$U$103,MATCH(calculos_quadro!$G$271,calculos_quadro!$B$89:$U$89,0)),""))</f>
        <v/>
      </c>
      <c r="Y44" s="375" t="str">
        <f>IF(calculos_quadro!$G$272="","",IFERROR(INDEX(calculos_quadro!$B$103:$U$103,MATCH(calculos_quadro!$G$272,calculos_quadro!$B$89:$U$89,0)),""))</f>
        <v/>
      </c>
      <c r="Z44" s="375" t="str">
        <f>IF(calculos_quadro!$G$273="","",IFERROR(INDEX(calculos_quadro!$B$103:$U$103,MATCH(calculos_quadro!$G$273,calculos_quadro!$B$89:$U$89,0)),""))</f>
        <v/>
      </c>
    </row>
    <row r="45" ht="15.75" customHeight="1">
      <c r="B45" s="420"/>
      <c r="C45" s="421"/>
      <c r="D45" s="367" t="inlineStr">
        <is>
          <t xml:space="preserve">Folga</t>
        </is>
      </c>
      <c r="E45" s="366"/>
      <c r="F45" s="366"/>
      <c r="G45" s="366"/>
      <c r="H45" s="375">
        <f>IF(calculos_quadro!$G$258="","",IFERROR(INDEX(calculos_quadro!$B$104:$U$104,MATCH(calculos_quadro!$G$258,calculos_quadro!$B$89:$U$89,0)),""))</f>
        <v>0</v>
      </c>
      <c r="I45" s="375">
        <f>IF(calculos_quadro!$G$259="","",IFERROR(INDEX(calculos_quadro!$B$104:$U$104,MATCH(calculos_quadro!$G$259,calculos_quadro!$B$89:$U$89,0)),""))</f>
        <v>0</v>
      </c>
      <c r="J45" s="375">
        <f>IF(calculos_quadro!$G$260="","",IFERROR(INDEX(calculos_quadro!$B$104:$U$104,MATCH(calculos_quadro!$G$260,calculos_quadro!$B$89:$U$89,0)),""))</f>
        <v>0</v>
      </c>
      <c r="K45" s="374"/>
      <c r="L45" s="375">
        <f>IF(calculos_quadro!$G$261="","",IFERROR(INDEX(calculos_quadro!$B$104:$U$104,MATCH(calculos_quadro!$G$261,calculos_quadro!$B$89:$U$89,0)),""))</f>
        <v>0</v>
      </c>
      <c r="M45" s="375">
        <f>IF(calculos_quadro!$G$262="","",IFERROR(INDEX(calculos_quadro!$B$104:$U$104,MATCH(calculos_quadro!$G$262,calculos_quadro!$B$89:$U$89,0)),""))</f>
        <v>0</v>
      </c>
      <c r="N45" s="375" t="str">
        <f>IF(calculos_quadro!$G$263="","",IFERROR(INDEX(calculos_quadro!$B$104:$U$104,MATCH(calculos_quadro!$G$263,calculos_quadro!$B$89:$U$89,0)),""))</f>
        <v/>
      </c>
      <c r="O45" s="375" t="str">
        <f>IF(calculos_quadro!$G$264="","",IFERROR(INDEX(calculos_quadro!$B$104:$U$104,MATCH(calculos_quadro!$G$264,calculos_quadro!$B$89:$U$89,0)),""))</f>
        <v/>
      </c>
      <c r="P45" s="374"/>
      <c r="Q45" s="375" t="str">
        <f>IF(calculos_quadro!$G$265="","",IFERROR(INDEX(calculos_quadro!$B$104:$U$104,MATCH(calculos_quadro!$G$265,calculos_quadro!$B$89:$U$89,0)),""))</f>
        <v/>
      </c>
      <c r="R45" s="375" t="str">
        <f>IF(calculos_quadro!$G$266="","",IFERROR(INDEX(calculos_quadro!$B$104:$U$104,MATCH(calculos_quadro!$G$266,calculos_quadro!$B$89:$U$89,0)),""))</f>
        <v/>
      </c>
      <c r="S45" s="375" t="str">
        <f>IF(calculos_quadro!$G$267="","",IFERROR(INDEX(calculos_quadro!$B$104:$U$104,MATCH(calculos_quadro!$G$267,calculos_quadro!$B$89:$U$89,0)),""))</f>
        <v/>
      </c>
      <c r="T45" s="375" t="str">
        <f>IF(calculos_quadro!$G$268="","",IFERROR(INDEX(calculos_quadro!$B$104:$U$104,MATCH(calculos_quadro!$G$268,calculos_quadro!$B$89:$U$89,0)),""))</f>
        <v/>
      </c>
      <c r="U45" s="374"/>
      <c r="V45" s="375" t="str">
        <f>IF(calculos_quadro!$G$269="","",IFERROR(INDEX(calculos_quadro!$B$104:$U$104,MATCH(calculos_quadro!$G$269,calculos_quadro!$B$89:$U$89,0)),""))</f>
        <v/>
      </c>
      <c r="W45" s="375" t="str">
        <f>IF(calculos_quadro!$G$270="","",IFERROR(INDEX(calculos_quadro!$B$104:$U$104,MATCH(calculos_quadro!$G$270,calculos_quadro!$B$89:$U$89,0)),""))</f>
        <v/>
      </c>
      <c r="X45" s="375" t="str">
        <f>IF(calculos_quadro!$G$271="","",IFERROR(INDEX(calculos_quadro!$B$104:$U$104,MATCH(calculos_quadro!$G$271,calculos_quadro!$B$89:$U$89,0)),""))</f>
        <v/>
      </c>
      <c r="Y45" s="375" t="str">
        <f>IF(calculos_quadro!$G$272="","",IFERROR(INDEX(calculos_quadro!$B$104:$U$104,MATCH(calculos_quadro!$G$272,calculos_quadro!$B$89:$U$89,0)),""))</f>
        <v/>
      </c>
      <c r="Z45" s="375" t="str">
        <f>IF(calculos_quadro!$G$273="","",IFERROR(INDEX(calculos_quadro!$B$104:$U$104,MATCH(calculos_quadro!$G$273,calculos_quadro!$B$89:$U$89,0)),""))</f>
        <v/>
      </c>
    </row>
    <row r="46" ht="15.75" customHeight="1">
      <c r="B46" s="420"/>
      <c r="C46" s="421"/>
      <c r="D46" s="367" t="inlineStr">
        <is>
          <t xml:space="preserve">Férias</t>
        </is>
      </c>
      <c r="E46" s="366"/>
      <c r="F46" s="366"/>
      <c r="G46" s="366"/>
      <c r="H46" s="375">
        <f>IF(calculos_quadro!$G$258="","",IFERROR(INDEX(calculos_quadro!$B$105:$U$105,MATCH(calculos_quadro!$G$258,calculos_quadro!$B$89:$U$89,0)),""))</f>
        <v>0</v>
      </c>
      <c r="I46" s="375">
        <f>IF(calculos_quadro!$G$259="","",IFERROR(INDEX(calculos_quadro!$B$105:$U$105,MATCH(calculos_quadro!$G$259,calculos_quadro!$B$89:$U$89,0)),""))</f>
        <v>0</v>
      </c>
      <c r="J46" s="375">
        <f>IF(calculos_quadro!$G$260="","",IFERROR(INDEX(calculos_quadro!$B$105:$U$105,MATCH(calculos_quadro!$G$260,calculos_quadro!$B$89:$U$89,0)),""))</f>
        <v>0</v>
      </c>
      <c r="K46" s="374"/>
      <c r="L46" s="375">
        <f>IF(calculos_quadro!$G$261="","",IFERROR(INDEX(calculos_quadro!$B$105:$U$105,MATCH(calculos_quadro!$G$261,calculos_quadro!$B$89:$U$89,0)),""))</f>
        <v>0</v>
      </c>
      <c r="M46" s="375">
        <f>IF(calculos_quadro!$G$262="","",IFERROR(INDEX(calculos_quadro!$B$105:$U$105,MATCH(calculos_quadro!$G$262,calculos_quadro!$B$89:$U$89,0)),""))</f>
        <v>0</v>
      </c>
      <c r="N46" s="375" t="str">
        <f>IF(calculos_quadro!$G$263="","",IFERROR(INDEX(calculos_quadro!$B$105:$U$105,MATCH(calculos_quadro!$G$263,calculos_quadro!$B$89:$U$89,0)),""))</f>
        <v/>
      </c>
      <c r="O46" s="375" t="str">
        <f>IF(calculos_quadro!$G$264="","",IFERROR(INDEX(calculos_quadro!$B$105:$U$105,MATCH(calculos_quadro!$G$264,calculos_quadro!$B$89:$U$89,0)),""))</f>
        <v/>
      </c>
      <c r="P46" s="374"/>
      <c r="Q46" s="375" t="str">
        <f>IF(calculos_quadro!$G$265="","",IFERROR(INDEX(calculos_quadro!$B$105:$U$105,MATCH(calculos_quadro!$G$265,calculos_quadro!$B$89:$U$89,0)),""))</f>
        <v/>
      </c>
      <c r="R46" s="375" t="str">
        <f>IF(calculos_quadro!$G$266="","",IFERROR(INDEX(calculos_quadro!$B$105:$U$105,MATCH(calculos_quadro!$G$266,calculos_quadro!$B$89:$U$89,0)),""))</f>
        <v/>
      </c>
      <c r="S46" s="375" t="str">
        <f>IF(calculos_quadro!$G$267="","",IFERROR(INDEX(calculos_quadro!$B$105:$U$105,MATCH(calculos_quadro!$G$267,calculos_quadro!$B$89:$U$89,0)),""))</f>
        <v/>
      </c>
      <c r="T46" s="375" t="str">
        <f>IF(calculos_quadro!$G$268="","",IFERROR(INDEX(calculos_quadro!$B$105:$U$105,MATCH(calculos_quadro!$G$268,calculos_quadro!$B$89:$U$89,0)),""))</f>
        <v/>
      </c>
      <c r="U46" s="374"/>
      <c r="V46" s="375" t="str">
        <f>IF(calculos_quadro!$G$269="","",IFERROR(INDEX(calculos_quadro!$B$105:$U$105,MATCH(calculos_quadro!$G$269,calculos_quadro!$B$89:$U$89,0)),""))</f>
        <v/>
      </c>
      <c r="W46" s="375" t="str">
        <f>IF(calculos_quadro!$G$270="","",IFERROR(INDEX(calculos_quadro!$B$105:$U$105,MATCH(calculos_quadro!$G$270,calculos_quadro!$B$89:$U$89,0)),""))</f>
        <v/>
      </c>
      <c r="X46" s="375" t="str">
        <f>IF(calculos_quadro!$G$271="","",IFERROR(INDEX(calculos_quadro!$B$105:$U$105,MATCH(calculos_quadro!$G$271,calculos_quadro!$B$89:$U$89,0)),""))</f>
        <v/>
      </c>
      <c r="Y46" s="375" t="str">
        <f>IF(calculos_quadro!$G$272="","",IFERROR(INDEX(calculos_quadro!$B$105:$U$105,MATCH(calculos_quadro!$G$272,calculos_quadro!$B$89:$U$89,0)),""))</f>
        <v/>
      </c>
      <c r="Z46" s="375" t="str">
        <f>IF(calculos_quadro!$G$273="","",IFERROR(INDEX(calculos_quadro!$B$105:$U$105,MATCH(calculos_quadro!$G$273,calculos_quadro!$B$89:$U$89,0)),""))</f>
        <v/>
      </c>
    </row>
    <row r="47" ht="15.75" customHeight="1">
      <c r="B47" s="420"/>
      <c r="C47" s="421"/>
      <c r="D47" s="367" t="inlineStr">
        <is>
          <t xml:space="preserve">Desligamento</t>
        </is>
      </c>
      <c r="E47" s="366"/>
      <c r="F47" s="366"/>
      <c r="G47" s="366"/>
      <c r="H47" s="375">
        <f>IF(calculos_quadro!$G$258="","",IFERROR(INDEX(calculos_quadro!$B$106:$U$106,MATCH(calculos_quadro!$G$258,calculos_quadro!$B$89:$U$89,0)),""))</f>
        <v>0</v>
      </c>
      <c r="I47" s="375">
        <f>IF(calculos_quadro!$G$259="","",IFERROR(INDEX(calculos_quadro!$B$106:$U$106,MATCH(calculos_quadro!$G$259,calculos_quadro!$B$89:$U$89,0)),""))</f>
        <v>0</v>
      </c>
      <c r="J47" s="375">
        <f>IF(calculos_quadro!$G$260="","",IFERROR(INDEX(calculos_quadro!$B$106:$U$106,MATCH(calculos_quadro!$G$260,calculos_quadro!$B$89:$U$89,0)),""))</f>
        <v>0</v>
      </c>
      <c r="K47" s="374"/>
      <c r="L47" s="375">
        <f>IF(calculos_quadro!$G$261="","",IFERROR(INDEX(calculos_quadro!$B$106:$U$106,MATCH(calculos_quadro!$G$261,calculos_quadro!$B$89:$U$89,0)),""))</f>
        <v>0</v>
      </c>
      <c r="M47" s="375">
        <f>IF(calculos_quadro!$G$262="","",IFERROR(INDEX(calculos_quadro!$B$106:$U$106,MATCH(calculos_quadro!$G$262,calculos_quadro!$B$89:$U$89,0)),""))</f>
        <v>0</v>
      </c>
      <c r="N47" s="375" t="str">
        <f>IF(calculos_quadro!$G$263="","",IFERROR(INDEX(calculos_quadro!$B$106:$U$106,MATCH(calculos_quadro!$G$263,calculos_quadro!$B$89:$U$89,0)),""))</f>
        <v/>
      </c>
      <c r="O47" s="375" t="str">
        <f>IF(calculos_quadro!$G$264="","",IFERROR(INDEX(calculos_quadro!$B$106:$U$106,MATCH(calculos_quadro!$G$264,calculos_quadro!$B$89:$U$89,0)),""))</f>
        <v/>
      </c>
      <c r="P47" s="374"/>
      <c r="Q47" s="375" t="str">
        <f>IF(calculos_quadro!$G$265="","",IFERROR(INDEX(calculos_quadro!$B$106:$U$106,MATCH(calculos_quadro!$G$265,calculos_quadro!$B$89:$U$89,0)),""))</f>
        <v/>
      </c>
      <c r="R47" s="375" t="str">
        <f>IF(calculos_quadro!$G$266="","",IFERROR(INDEX(calculos_quadro!$B$106:$U$106,MATCH(calculos_quadro!$G$266,calculos_quadro!$B$89:$U$89,0)),""))</f>
        <v/>
      </c>
      <c r="S47" s="375" t="str">
        <f>IF(calculos_quadro!$G$267="","",IFERROR(INDEX(calculos_quadro!$B$106:$U$106,MATCH(calculos_quadro!$G$267,calculos_quadro!$B$89:$U$89,0)),""))</f>
        <v/>
      </c>
      <c r="T47" s="375" t="str">
        <f>IF(calculos_quadro!$G$268="","",IFERROR(INDEX(calculos_quadro!$B$106:$U$106,MATCH(calculos_quadro!$G$268,calculos_quadro!$B$89:$U$89,0)),""))</f>
        <v/>
      </c>
      <c r="U47" s="374"/>
      <c r="V47" s="375" t="str">
        <f>IF(calculos_quadro!$G$269="","",IFERROR(INDEX(calculos_quadro!$B$106:$U$106,MATCH(calculos_quadro!$G$269,calculos_quadro!$B$89:$U$89,0)),""))</f>
        <v/>
      </c>
      <c r="W47" s="375" t="str">
        <f>IF(calculos_quadro!$G$270="","",IFERROR(INDEX(calculos_quadro!$B$106:$U$106,MATCH(calculos_quadro!$G$270,calculos_quadro!$B$89:$U$89,0)),""))</f>
        <v/>
      </c>
      <c r="X47" s="375" t="str">
        <f>IF(calculos_quadro!$G$271="","",IFERROR(INDEX(calculos_quadro!$B$106:$U$106,MATCH(calculos_quadro!$G$271,calculos_quadro!$B$89:$U$89,0)),""))</f>
        <v/>
      </c>
      <c r="Y47" s="375" t="str">
        <f>IF(calculos_quadro!$G$272="","",IFERROR(INDEX(calculos_quadro!$B$106:$U$106,MATCH(calculos_quadro!$G$272,calculos_quadro!$B$89:$U$89,0)),""))</f>
        <v/>
      </c>
      <c r="Z47" s="375" t="str">
        <f>IF(calculos_quadro!$G$273="","",IFERROR(INDEX(calculos_quadro!$B$106:$U$106,MATCH(calculos_quadro!$G$273,calculos_quadro!$B$89:$U$89,0)),""))</f>
        <v/>
      </c>
    </row>
    <row r="48" ht="15.75" customHeight="1">
      <c r="B48" s="420"/>
      <c r="C48" s="421"/>
      <c r="D48" s="367" t="inlineStr">
        <is>
          <t xml:space="preserve">Desvios Comportamentais</t>
        </is>
      </c>
      <c r="E48" s="366"/>
      <c r="F48" s="366"/>
      <c r="G48" s="366"/>
      <c r="H48" s="375">
        <f>IF(calculos_quadro!$G$258="","",IFERROR(INDEX(calculos_quadro!$B$107:$U$107,MATCH(calculos_quadro!$G$258,calculos_quadro!$B$89:$U$89,0)),""))</f>
        <v>0</v>
      </c>
      <c r="I48" s="375">
        <f>IF(calculos_quadro!$G$259="","",IFERROR(INDEX(calculos_quadro!$B$107:$U$107,MATCH(calculos_quadro!$G$259,calculos_quadro!$B$89:$U$89,0)),""))</f>
        <v>0</v>
      </c>
      <c r="J48" s="375">
        <f>IF(calculos_quadro!$G$260="","",IFERROR(INDEX(calculos_quadro!$B$107:$U$107,MATCH(calculos_quadro!$G$260,calculos_quadro!$B$89:$U$89,0)),""))</f>
        <v>0</v>
      </c>
      <c r="K48" s="374"/>
      <c r="L48" s="375">
        <f>IF(calculos_quadro!$G$261="","",IFERROR(INDEX(calculos_quadro!$B$107:$U$107,MATCH(calculos_quadro!$G$261,calculos_quadro!$B$89:$U$89,0)),""))</f>
        <v>0</v>
      </c>
      <c r="M48" s="375">
        <f>IF(calculos_quadro!$G$262="","",IFERROR(INDEX(calculos_quadro!$B$107:$U$107,MATCH(calculos_quadro!$G$262,calculos_quadro!$B$89:$U$89,0)),""))</f>
        <v>0</v>
      </c>
      <c r="N48" s="375" t="str">
        <f>IF(calculos_quadro!$G$263="","",IFERROR(INDEX(calculos_quadro!$B$107:$U$107,MATCH(calculos_quadro!$G$263,calculos_quadro!$B$89:$U$89,0)),""))</f>
        <v/>
      </c>
      <c r="O48" s="375" t="str">
        <f>IF(calculos_quadro!$G$264="","",IFERROR(INDEX(calculos_quadro!$B$107:$U$107,MATCH(calculos_quadro!$G$264,calculos_quadro!$B$89:$U$89,0)),""))</f>
        <v/>
      </c>
      <c r="P48" s="374"/>
      <c r="Q48" s="375" t="str">
        <f>IF(calculos_quadro!$G$265="","",IFERROR(INDEX(calculos_quadro!$B$107:$U$107,MATCH(calculos_quadro!$G$265,calculos_quadro!$B$89:$U$89,0)),""))</f>
        <v/>
      </c>
      <c r="R48" s="375" t="str">
        <f>IF(calculos_quadro!$G$266="","",IFERROR(INDEX(calculos_quadro!$B$107:$U$107,MATCH(calculos_quadro!$G$266,calculos_quadro!$B$89:$U$89,0)),""))</f>
        <v/>
      </c>
      <c r="S48" s="375" t="str">
        <f>IF(calculos_quadro!$G$267="","",IFERROR(INDEX(calculos_quadro!$B$107:$U$107,MATCH(calculos_quadro!$G$267,calculos_quadro!$B$89:$U$89,0)),""))</f>
        <v/>
      </c>
      <c r="T48" s="375" t="str">
        <f>IF(calculos_quadro!$G$268="","",IFERROR(INDEX(calculos_quadro!$B$107:$U$107,MATCH(calculos_quadro!$G$268,calculos_quadro!$B$89:$U$89,0)),""))</f>
        <v/>
      </c>
      <c r="U48" s="374"/>
      <c r="V48" s="375" t="str">
        <f>IF(calculos_quadro!$G$269="","",IFERROR(INDEX(calculos_quadro!$B$107:$U$107,MATCH(calculos_quadro!$G$269,calculos_quadro!$B$89:$U$89,0)),""))</f>
        <v/>
      </c>
      <c r="W48" s="375" t="str">
        <f>IF(calculos_quadro!$G$270="","",IFERROR(INDEX(calculos_quadro!$B$107:$U$107,MATCH(calculos_quadro!$G$270,calculos_quadro!$B$89:$U$89,0)),""))</f>
        <v/>
      </c>
      <c r="X48" s="375" t="str">
        <f>IF(calculos_quadro!$G$271="","",IFERROR(INDEX(calculos_quadro!$B$107:$U$107,MATCH(calculos_quadro!$G$271,calculos_quadro!$B$89:$U$89,0)),""))</f>
        <v/>
      </c>
      <c r="Y48" s="375" t="str">
        <f>IF(calculos_quadro!$G$272="","",IFERROR(INDEX(calculos_quadro!$B$107:$U$107,MATCH(calculos_quadro!$G$272,calculos_quadro!$B$89:$U$89,0)),""))</f>
        <v/>
      </c>
      <c r="Z48" s="375" t="str">
        <f>IF(calculos_quadro!$G$273="","",IFERROR(INDEX(calculos_quadro!$B$107:$U$107,MATCH(calculos_quadro!$G$273,calculos_quadro!$B$89:$U$89,0)),""))</f>
        <v/>
      </c>
    </row>
    <row r="49" ht="15.75" customHeight="1">
      <c r="B49" s="420"/>
      <c r="C49" s="421"/>
      <c r="D49" s="367" t="inlineStr">
        <is>
          <t xml:space="preserve">Acidentes CAF</t>
        </is>
      </c>
      <c r="E49" s="366"/>
      <c r="F49" s="366"/>
      <c r="G49" s="366"/>
      <c r="H49" s="375">
        <f>IF(calculos_quadro!$G$258="","",IFERROR(INDEX(calculos_quadro!$B$108:$U$108,MATCH(calculos_quadro!$G$258,calculos_quadro!$B$89:$U$89,0)),""))</f>
        <v>0</v>
      </c>
      <c r="I49" s="375">
        <f>IF(calculos_quadro!$G$259="","",IFERROR(INDEX(calculos_quadro!$B$108:$U$108,MATCH(calculos_quadro!$G$259,calculos_quadro!$B$89:$U$89,0)),""))</f>
        <v>0</v>
      </c>
      <c r="J49" s="375">
        <f>IF(calculos_quadro!$G$260="","",IFERROR(INDEX(calculos_quadro!$B$108:$U$108,MATCH(calculos_quadro!$G$260,calculos_quadro!$B$89:$U$89,0)),""))</f>
        <v>0</v>
      </c>
      <c r="K49" s="374"/>
      <c r="L49" s="375">
        <f>IF(calculos_quadro!$G$261="","",IFERROR(INDEX(calculos_quadro!$B$108:$U$108,MATCH(calculos_quadro!$G$261,calculos_quadro!$B$89:$U$89,0)),""))</f>
        <v>0</v>
      </c>
      <c r="M49" s="375">
        <f>IF(calculos_quadro!$G$262="","",IFERROR(INDEX(calculos_quadro!$B$108:$U$108,MATCH(calculos_quadro!$G$262,calculos_quadro!$B$89:$U$89,0)),""))</f>
        <v>0</v>
      </c>
      <c r="N49" s="375" t="str">
        <f>IF(calculos_quadro!$G$263="","",IFERROR(INDEX(calculos_quadro!$B$108:$U$108,MATCH(calculos_quadro!$G$263,calculos_quadro!$B$89:$U$89,0)),""))</f>
        <v/>
      </c>
      <c r="O49" s="375" t="str">
        <f>IF(calculos_quadro!$G$264="","",IFERROR(INDEX(calculos_quadro!$B$108:$U$108,MATCH(calculos_quadro!$G$264,calculos_quadro!$B$89:$U$89,0)),""))</f>
        <v/>
      </c>
      <c r="P49" s="374"/>
      <c r="Q49" s="375" t="str">
        <f>IF(calculos_quadro!$G$265="","",IFERROR(INDEX(calculos_quadro!$B$108:$U$108,MATCH(calculos_quadro!$G$265,calculos_quadro!$B$89:$U$89,0)),""))</f>
        <v/>
      </c>
      <c r="R49" s="375" t="str">
        <f>IF(calculos_quadro!$G$266="","",IFERROR(INDEX(calculos_quadro!$B$108:$U$108,MATCH(calculos_quadro!$G$266,calculos_quadro!$B$89:$U$89,0)),""))</f>
        <v/>
      </c>
      <c r="S49" s="375" t="str">
        <f>IF(calculos_quadro!$G$267="","",IFERROR(INDEX(calculos_quadro!$B$108:$U$108,MATCH(calculos_quadro!$G$267,calculos_quadro!$B$89:$U$89,0)),""))</f>
        <v/>
      </c>
      <c r="T49" s="375" t="str">
        <f>IF(calculos_quadro!$G$268="","",IFERROR(INDEX(calculos_quadro!$B$108:$U$108,MATCH(calculos_quadro!$G$268,calculos_quadro!$B$89:$U$89,0)),""))</f>
        <v/>
      </c>
      <c r="U49" s="374"/>
      <c r="V49" s="375" t="str">
        <f>IF(calculos_quadro!$G$269="","",IFERROR(INDEX(calculos_quadro!$B$108:$U$108,MATCH(calculos_quadro!$G$269,calculos_quadro!$B$89:$U$89,0)),""))</f>
        <v/>
      </c>
      <c r="W49" s="375" t="str">
        <f>IF(calculos_quadro!$G$270="","",IFERROR(INDEX(calculos_quadro!$B$108:$U$108,MATCH(calculos_quadro!$G$270,calculos_quadro!$B$89:$U$89,0)),""))</f>
        <v/>
      </c>
      <c r="X49" s="375" t="str">
        <f>IF(calculos_quadro!$G$271="","",IFERROR(INDEX(calculos_quadro!$B$108:$U$108,MATCH(calculos_quadro!$G$271,calculos_quadro!$B$89:$U$89,0)),""))</f>
        <v/>
      </c>
      <c r="Y49" s="375" t="str">
        <f>IF(calculos_quadro!$G$272="","",IFERROR(INDEX(calculos_quadro!$B$108:$U$108,MATCH(calculos_quadro!$G$272,calculos_quadro!$B$89:$U$89,0)),""))</f>
        <v/>
      </c>
      <c r="Z49" s="375" t="str">
        <f>IF(calculos_quadro!$G$273="","",IFERROR(INDEX(calculos_quadro!$B$108:$U$108,MATCH(calculos_quadro!$G$273,calculos_quadro!$B$89:$U$89,0)),""))</f>
        <v/>
      </c>
    </row>
    <row r="50" ht="15.75" customHeight="1">
      <c r="B50" s="422"/>
      <c r="C50" s="423"/>
      <c r="D50" s="384" t="inlineStr">
        <is>
          <t xml:space="preserve">Acidentes SAF</t>
        </is>
      </c>
      <c r="E50" s="383"/>
      <c r="F50" s="383"/>
      <c r="G50" s="383"/>
      <c r="H50" s="392">
        <f>IF(calculos_quadro!$G$258="","",IFERROR(INDEX(calculos_quadro!$B$109:$U$109,MATCH(calculos_quadro!$G$258,calculos_quadro!$B$89:$U$89,0)),""))</f>
        <v>0</v>
      </c>
      <c r="I50" s="392">
        <f>IF(calculos_quadro!$G$259="","",IFERROR(INDEX(calculos_quadro!$B$109:$U$109,MATCH(calculos_quadro!$G$259,calculos_quadro!$B$89:$U$89,0)),""))</f>
        <v>0</v>
      </c>
      <c r="J50" s="392">
        <f>IF(calculos_quadro!$G$260="","",IFERROR(INDEX(calculos_quadro!$B$109:$U$109,MATCH(calculos_quadro!$G$260,calculos_quadro!$B$89:$U$89,0)),""))</f>
        <v>0</v>
      </c>
      <c r="K50" s="391"/>
      <c r="L50" s="392">
        <f>IF(calculos_quadro!$G$261="","",IFERROR(INDEX(calculos_quadro!$B$109:$U$109,MATCH(calculos_quadro!$G$261,calculos_quadro!$B$89:$U$89,0)),""))</f>
        <v>0</v>
      </c>
      <c r="M50" s="392">
        <f>IF(calculos_quadro!$G$262="","",IFERROR(INDEX(calculos_quadro!$B$109:$U$109,MATCH(calculos_quadro!$G$262,calculos_quadro!$B$89:$U$89,0)),""))</f>
        <v>0</v>
      </c>
      <c r="N50" s="392" t="str">
        <f>IF(calculos_quadro!$G$263="","",IFERROR(INDEX(calculos_quadro!$B$109:$U$109,MATCH(calculos_quadro!$G$263,calculos_quadro!$B$89:$U$89,0)),""))</f>
        <v/>
      </c>
      <c r="O50" s="392" t="str">
        <f>IF(calculos_quadro!$G$264="","",IFERROR(INDEX(calculos_quadro!$B$109:$U$109,MATCH(calculos_quadro!$G$264,calculos_quadro!$B$89:$U$89,0)),""))</f>
        <v/>
      </c>
      <c r="P50" s="391"/>
      <c r="Q50" s="392" t="str">
        <f>IF(calculos_quadro!$G$265="","",IFERROR(INDEX(calculos_quadro!$B$109:$U$109,MATCH(calculos_quadro!$G$265,calculos_quadro!$B$89:$U$89,0)),""))</f>
        <v/>
      </c>
      <c r="R50" s="392" t="str">
        <f>IF(calculos_quadro!$G$266="","",IFERROR(INDEX(calculos_quadro!$B$109:$U$109,MATCH(calculos_quadro!$G$266,calculos_quadro!$B$89:$U$89,0)),""))</f>
        <v/>
      </c>
      <c r="S50" s="392" t="str">
        <f>IF(calculos_quadro!$G$267="","",IFERROR(INDEX(calculos_quadro!$B$109:$U$109,MATCH(calculos_quadro!$G$267,calculos_quadro!$B$89:$U$89,0)),""))</f>
        <v/>
      </c>
      <c r="T50" s="392" t="str">
        <f>IF(calculos_quadro!$G$268="","",IFERROR(INDEX(calculos_quadro!$B$109:$U$109,MATCH(calculos_quadro!$G$268,calculos_quadro!$B$89:$U$89,0)),""))</f>
        <v/>
      </c>
      <c r="U50" s="391"/>
      <c r="V50" s="392" t="str">
        <f>IF(calculos_quadro!$G$269="","",IFERROR(INDEX(calculos_quadro!$B$109:$U$109,MATCH(calculos_quadro!$G$269,calculos_quadro!$B$89:$U$89,0)),""))</f>
        <v/>
      </c>
      <c r="W50" s="392" t="str">
        <f>IF(calculos_quadro!$G$270="","",IFERROR(INDEX(calculos_quadro!$B$109:$U$109,MATCH(calculos_quadro!$G$270,calculos_quadro!$B$89:$U$89,0)),""))</f>
        <v/>
      </c>
      <c r="X50" s="392" t="str">
        <f>IF(calculos_quadro!$G$271="","",IFERROR(INDEX(calculos_quadro!$B$109:$U$109,MATCH(calculos_quadro!$G$271,calculos_quadro!$B$89:$U$89,0)),""))</f>
        <v/>
      </c>
      <c r="Y50" s="392" t="str">
        <f>IF(calculos_quadro!$G$272="","",IFERROR(INDEX(calculos_quadro!$B$109:$U$109,MATCH(calculos_quadro!$G$272,calculos_quadro!$B$89:$U$89,0)),""))</f>
        <v/>
      </c>
      <c r="Z50" s="392" t="str">
        <f>IF(calculos_quadro!$G$273="","",IFERROR(INDEX(calculos_quadro!$B$109:$U$109,MATCH(calculos_quadro!$G$273,calculos_quadro!$B$89:$U$89,0)),""))</f>
        <v/>
      </c>
    </row>
    <row r="51">
      <c r="B51" s="31" t="inlineStr">
        <is>
          <t xml:space="preserve">Fluxos: soma do mês · Estoques (backlog, posições, efetivo): último dado do mês · TOTAL CD: posições disponíveis = capacidade física do CD; taxa = ocupadas ÷ capacidade.</t>
        </is>
      </c>
    </row>
  </sheetData>
  <sheetProtection password="CC30" sheet="1" objects="1" scenarios="1"/>
  <mergeCells count="292">
    <mergeCell ref="G1:U1"/>
    <mergeCell ref="V1:AA1"/>
    <mergeCell ref="B3:C3"/>
    <mergeCell ref="D3:I3"/>
    <mergeCell ref="Q3:Z3"/>
    <mergeCell ref="B5:Z5"/>
    <mergeCell ref="B6:C6"/>
    <mergeCell ref="D6:G6"/>
    <mergeCell ref="H6:I6"/>
    <mergeCell ref="J6:L6"/>
    <mergeCell ref="M6:N6"/>
    <mergeCell ref="O6:Q6"/>
    <mergeCell ref="R6:S6"/>
    <mergeCell ref="T6:V6"/>
    <mergeCell ref="W6:X6"/>
    <mergeCell ref="Y6:Z6"/>
    <mergeCell ref="D7:G7"/>
    <mergeCell ref="H7:I7"/>
    <mergeCell ref="J7:L7"/>
    <mergeCell ref="M7:N7"/>
    <mergeCell ref="O7:Q7"/>
    <mergeCell ref="R7:S7"/>
    <mergeCell ref="T7:V7"/>
    <mergeCell ref="W7:X7"/>
    <mergeCell ref="Y7:Z7"/>
    <mergeCell ref="D8:G8"/>
    <mergeCell ref="H8:I8"/>
    <mergeCell ref="J8:L8"/>
    <mergeCell ref="M8:N8"/>
    <mergeCell ref="O8:Q8"/>
    <mergeCell ref="R8:S8"/>
    <mergeCell ref="T8:V8"/>
    <mergeCell ref="W8:X8"/>
    <mergeCell ref="Y8:Z8"/>
    <mergeCell ref="D9:G9"/>
    <mergeCell ref="H9:I9"/>
    <mergeCell ref="J9:L9"/>
    <mergeCell ref="M9:N9"/>
    <mergeCell ref="O9:Q9"/>
    <mergeCell ref="R9:S9"/>
    <mergeCell ref="T9:V9"/>
    <mergeCell ref="W9:X9"/>
    <mergeCell ref="Y9:Z9"/>
    <mergeCell ref="D10:G10"/>
    <mergeCell ref="H10:I10"/>
    <mergeCell ref="J10:L10"/>
    <mergeCell ref="M10:N10"/>
    <mergeCell ref="O10:Q10"/>
    <mergeCell ref="R10:S10"/>
    <mergeCell ref="T10:V10"/>
    <mergeCell ref="W10:X10"/>
    <mergeCell ref="Y10:Z10"/>
    <mergeCell ref="D11:G11"/>
    <mergeCell ref="H11:I11"/>
    <mergeCell ref="J11:L11"/>
    <mergeCell ref="M11:N11"/>
    <mergeCell ref="O11:Q11"/>
    <mergeCell ref="R11:S11"/>
    <mergeCell ref="T11:V11"/>
    <mergeCell ref="W11:X11"/>
    <mergeCell ref="Y11:Z11"/>
    <mergeCell ref="D12:G12"/>
    <mergeCell ref="H12:I12"/>
    <mergeCell ref="J12:L12"/>
    <mergeCell ref="M12:N12"/>
    <mergeCell ref="O12:Q12"/>
    <mergeCell ref="R12:S12"/>
    <mergeCell ref="T12:V12"/>
    <mergeCell ref="W12:X12"/>
    <mergeCell ref="Y12:Z12"/>
    <mergeCell ref="D13:G13"/>
    <mergeCell ref="H13:I13"/>
    <mergeCell ref="J13:L13"/>
    <mergeCell ref="M13:N13"/>
    <mergeCell ref="O13:Q13"/>
    <mergeCell ref="R13:S13"/>
    <mergeCell ref="T13:V13"/>
    <mergeCell ref="W13:X13"/>
    <mergeCell ref="Y13:Z13"/>
    <mergeCell ref="D14:G14"/>
    <mergeCell ref="H14:I14"/>
    <mergeCell ref="J14:L14"/>
    <mergeCell ref="M14:N14"/>
    <mergeCell ref="O14:Q14"/>
    <mergeCell ref="R14:S14"/>
    <mergeCell ref="T14:V14"/>
    <mergeCell ref="W14:X14"/>
    <mergeCell ref="Y14:Z14"/>
    <mergeCell ref="D15:G15"/>
    <mergeCell ref="H15:I15"/>
    <mergeCell ref="J15:L15"/>
    <mergeCell ref="M15:N15"/>
    <mergeCell ref="O15:Q15"/>
    <mergeCell ref="R15:S15"/>
    <mergeCell ref="T15:V15"/>
    <mergeCell ref="W15:X15"/>
    <mergeCell ref="Y15:Z15"/>
    <mergeCell ref="D16:G16"/>
    <mergeCell ref="H16:I16"/>
    <mergeCell ref="J16:L16"/>
    <mergeCell ref="M16:N16"/>
    <mergeCell ref="O16:Q16"/>
    <mergeCell ref="R16:S16"/>
    <mergeCell ref="T16:V16"/>
    <mergeCell ref="W16:X16"/>
    <mergeCell ref="Y16:Z16"/>
    <mergeCell ref="D17:G17"/>
    <mergeCell ref="H17:I17"/>
    <mergeCell ref="J17:L17"/>
    <mergeCell ref="M17:N17"/>
    <mergeCell ref="O17:Q17"/>
    <mergeCell ref="R17:S17"/>
    <mergeCell ref="T17:V17"/>
    <mergeCell ref="W17:X17"/>
    <mergeCell ref="Y17:Z17"/>
    <mergeCell ref="D18:G18"/>
    <mergeCell ref="H18:I18"/>
    <mergeCell ref="J18:L18"/>
    <mergeCell ref="M18:N18"/>
    <mergeCell ref="O18:Q18"/>
    <mergeCell ref="R18:S18"/>
    <mergeCell ref="T18:V18"/>
    <mergeCell ref="W18:X18"/>
    <mergeCell ref="Y18:Z18"/>
    <mergeCell ref="D19:G19"/>
    <mergeCell ref="H19:I19"/>
    <mergeCell ref="J19:L19"/>
    <mergeCell ref="M19:N19"/>
    <mergeCell ref="O19:Q19"/>
    <mergeCell ref="R19:S19"/>
    <mergeCell ref="T19:V19"/>
    <mergeCell ref="W19:X19"/>
    <mergeCell ref="Y19:Z19"/>
    <mergeCell ref="D20:G20"/>
    <mergeCell ref="H20:I20"/>
    <mergeCell ref="J20:L20"/>
    <mergeCell ref="M20:N20"/>
    <mergeCell ref="O20:Q20"/>
    <mergeCell ref="R20:S20"/>
    <mergeCell ref="T20:V20"/>
    <mergeCell ref="W20:X20"/>
    <mergeCell ref="Y20:Z20"/>
    <mergeCell ref="D21:G21"/>
    <mergeCell ref="H21:I21"/>
    <mergeCell ref="J21:L21"/>
    <mergeCell ref="M21:N21"/>
    <mergeCell ref="O21:Q21"/>
    <mergeCell ref="R21:S21"/>
    <mergeCell ref="T21:V21"/>
    <mergeCell ref="W21:X21"/>
    <mergeCell ref="Y21:Z21"/>
    <mergeCell ref="D22:G22"/>
    <mergeCell ref="H22:I22"/>
    <mergeCell ref="J22:L22"/>
    <mergeCell ref="M22:N22"/>
    <mergeCell ref="O22:Q22"/>
    <mergeCell ref="R22:S22"/>
    <mergeCell ref="T22:V22"/>
    <mergeCell ref="W22:X22"/>
    <mergeCell ref="Y22:Z22"/>
    <mergeCell ref="D23:G23"/>
    <mergeCell ref="H23:I23"/>
    <mergeCell ref="J23:L23"/>
    <mergeCell ref="M23:N23"/>
    <mergeCell ref="O23:Q23"/>
    <mergeCell ref="R23:S23"/>
    <mergeCell ref="T23:V23"/>
    <mergeCell ref="W23:X23"/>
    <mergeCell ref="Y23:Z23"/>
    <mergeCell ref="D24:G24"/>
    <mergeCell ref="H24:I24"/>
    <mergeCell ref="J24:L24"/>
    <mergeCell ref="M24:N24"/>
    <mergeCell ref="O24:Q24"/>
    <mergeCell ref="R24:S24"/>
    <mergeCell ref="T24:V24"/>
    <mergeCell ref="W24:X24"/>
    <mergeCell ref="Y24:Z24"/>
    <mergeCell ref="D25:G25"/>
    <mergeCell ref="H25:I25"/>
    <mergeCell ref="J25:L25"/>
    <mergeCell ref="M25:N25"/>
    <mergeCell ref="O25:Q25"/>
    <mergeCell ref="R25:S25"/>
    <mergeCell ref="T25:V25"/>
    <mergeCell ref="W25:X25"/>
    <mergeCell ref="Y25:Z25"/>
    <mergeCell ref="D26:G26"/>
    <mergeCell ref="H26:I26"/>
    <mergeCell ref="J26:L26"/>
    <mergeCell ref="M26:N26"/>
    <mergeCell ref="O26:Q26"/>
    <mergeCell ref="R26:S26"/>
    <mergeCell ref="T26:V26"/>
    <mergeCell ref="W26:X26"/>
    <mergeCell ref="Y26:Z26"/>
    <mergeCell ref="B7:C9"/>
    <mergeCell ref="B10:C12"/>
    <mergeCell ref="B13:C15"/>
    <mergeCell ref="B16:C18"/>
    <mergeCell ref="B19:C26"/>
    <mergeCell ref="B29:Z29"/>
    <mergeCell ref="B30:C30"/>
    <mergeCell ref="D30:G30"/>
    <mergeCell ref="J30:K30"/>
    <mergeCell ref="O30:P30"/>
    <mergeCell ref="T30:U30"/>
    <mergeCell ref="D31:G31"/>
    <mergeCell ref="J31:K31"/>
    <mergeCell ref="O31:P31"/>
    <mergeCell ref="T31:U31"/>
    <mergeCell ref="D32:G32"/>
    <mergeCell ref="J32:K32"/>
    <mergeCell ref="O32:P32"/>
    <mergeCell ref="T32:U32"/>
    <mergeCell ref="D33:G33"/>
    <mergeCell ref="J33:K33"/>
    <mergeCell ref="O33:P33"/>
    <mergeCell ref="T33:U33"/>
    <mergeCell ref="D34:G34"/>
    <mergeCell ref="J34:K34"/>
    <mergeCell ref="O34:P34"/>
    <mergeCell ref="T34:U34"/>
    <mergeCell ref="D35:G35"/>
    <mergeCell ref="J35:K35"/>
    <mergeCell ref="O35:P35"/>
    <mergeCell ref="T35:U35"/>
    <mergeCell ref="D36:G36"/>
    <mergeCell ref="J36:K36"/>
    <mergeCell ref="O36:P36"/>
    <mergeCell ref="T36:U36"/>
    <mergeCell ref="D37:G37"/>
    <mergeCell ref="J37:K37"/>
    <mergeCell ref="O37:P37"/>
    <mergeCell ref="T37:U37"/>
    <mergeCell ref="D38:G38"/>
    <mergeCell ref="J38:K38"/>
    <mergeCell ref="O38:P38"/>
    <mergeCell ref="T38:U38"/>
    <mergeCell ref="D39:G39"/>
    <mergeCell ref="J39:K39"/>
    <mergeCell ref="O39:P39"/>
    <mergeCell ref="T39:U39"/>
    <mergeCell ref="D40:G40"/>
    <mergeCell ref="J40:K40"/>
    <mergeCell ref="O40:P40"/>
    <mergeCell ref="T40:U40"/>
    <mergeCell ref="D41:G41"/>
    <mergeCell ref="J41:K41"/>
    <mergeCell ref="O41:P41"/>
    <mergeCell ref="T41:U41"/>
    <mergeCell ref="D42:G42"/>
    <mergeCell ref="J42:K42"/>
    <mergeCell ref="O42:P42"/>
    <mergeCell ref="T42:U42"/>
    <mergeCell ref="D43:G43"/>
    <mergeCell ref="J43:K43"/>
    <mergeCell ref="O43:P43"/>
    <mergeCell ref="T43:U43"/>
    <mergeCell ref="D44:G44"/>
    <mergeCell ref="J44:K44"/>
    <mergeCell ref="O44:P44"/>
    <mergeCell ref="T44:U44"/>
    <mergeCell ref="D45:G45"/>
    <mergeCell ref="J45:K45"/>
    <mergeCell ref="O45:P45"/>
    <mergeCell ref="T45:U45"/>
    <mergeCell ref="D46:G46"/>
    <mergeCell ref="J46:K46"/>
    <mergeCell ref="O46:P46"/>
    <mergeCell ref="T46:U46"/>
    <mergeCell ref="D47:G47"/>
    <mergeCell ref="J47:K47"/>
    <mergeCell ref="O47:P47"/>
    <mergeCell ref="T47:U47"/>
    <mergeCell ref="D48:G48"/>
    <mergeCell ref="J48:K48"/>
    <mergeCell ref="O48:P48"/>
    <mergeCell ref="T48:U48"/>
    <mergeCell ref="D49:G49"/>
    <mergeCell ref="J49:K49"/>
    <mergeCell ref="O49:P49"/>
    <mergeCell ref="T49:U49"/>
    <mergeCell ref="D50:G50"/>
    <mergeCell ref="J50:K50"/>
    <mergeCell ref="O50:P50"/>
    <mergeCell ref="T50:U50"/>
    <mergeCell ref="B31:C33"/>
    <mergeCell ref="B34:C36"/>
    <mergeCell ref="B37:C39"/>
    <mergeCell ref="B40:C42"/>
    <mergeCell ref="B43:C50"/>
  </mergeCells>
  <conditionalFormatting sqref="T7">
    <cfRule type="expression" dxfId="10" priority="1">
      <formula>AND(ISNUMBER(T7),T7&gt;0)</formula>
    </cfRule>
  </conditionalFormatting>
  <conditionalFormatting sqref="T7">
    <cfRule type="expression" dxfId="11" priority="2">
      <formula>AND(ISNUMBER(T7),T7&lt;0)</formula>
    </cfRule>
  </conditionalFormatting>
  <conditionalFormatting sqref="Y7">
    <cfRule type="expression" dxfId="10" priority="3">
      <formula>OR(Y7="meta atingida",Y7="dentro do limite",Y7="ocupação alta",Y7="excede o contratado")</formula>
    </cfRule>
  </conditionalFormatting>
  <conditionalFormatting sqref="Y7">
    <cfRule type="expression" dxfId="12" priority="4">
      <formula>OR(Y7="ocupação média",Y7="abaixo da meta")</formula>
    </cfRule>
  </conditionalFormatting>
  <conditionalFormatting sqref="Y7">
    <cfRule type="expression" dxfId="11" priority="5">
      <formula>OR(Y7="ociosidade alta",Y7="acima do limite")</formula>
    </cfRule>
  </conditionalFormatting>
  <conditionalFormatting sqref="T8">
    <cfRule type="expression" dxfId="10" priority="6">
      <formula>AND(ISNUMBER(T8),T8&gt;0)</formula>
    </cfRule>
  </conditionalFormatting>
  <conditionalFormatting sqref="T8">
    <cfRule type="expression" dxfId="11" priority="7">
      <formula>AND(ISNUMBER(T8),T8&lt;0)</formula>
    </cfRule>
  </conditionalFormatting>
  <conditionalFormatting sqref="Y8">
    <cfRule type="expression" dxfId="10" priority="8">
      <formula>OR(Y8="meta atingida",Y8="dentro do limite",Y8="ocupação alta",Y8="excede o contratado")</formula>
    </cfRule>
  </conditionalFormatting>
  <conditionalFormatting sqref="Y8">
    <cfRule type="expression" dxfId="12" priority="9">
      <formula>OR(Y8="ocupação média",Y8="abaixo da meta")</formula>
    </cfRule>
  </conditionalFormatting>
  <conditionalFormatting sqref="Y8">
    <cfRule type="expression" dxfId="11" priority="10">
      <formula>OR(Y8="ociosidade alta",Y8="acima do limite")</formula>
    </cfRule>
  </conditionalFormatting>
  <conditionalFormatting sqref="T9">
    <cfRule type="expression" dxfId="10" priority="11">
      <formula>AND(ISNUMBER(T9),T9&gt;0)</formula>
    </cfRule>
  </conditionalFormatting>
  <conditionalFormatting sqref="T9">
    <cfRule type="expression" dxfId="11" priority="12">
      <formula>AND(ISNUMBER(T9),T9&lt;0)</formula>
    </cfRule>
  </conditionalFormatting>
  <conditionalFormatting sqref="Y9">
    <cfRule type="expression" dxfId="10" priority="13">
      <formula>OR(Y9="meta atingida",Y9="dentro do limite",Y9="ocupação alta",Y9="excede o contratado")</formula>
    </cfRule>
  </conditionalFormatting>
  <conditionalFormatting sqref="Y9">
    <cfRule type="expression" dxfId="12" priority="14">
      <formula>OR(Y9="ocupação média",Y9="abaixo da meta")</formula>
    </cfRule>
  </conditionalFormatting>
  <conditionalFormatting sqref="Y9">
    <cfRule type="expression" dxfId="11" priority="15">
      <formula>OR(Y9="ociosidade alta",Y9="acima do limite")</formula>
    </cfRule>
  </conditionalFormatting>
  <conditionalFormatting sqref="T10">
    <cfRule type="expression" dxfId="10" priority="16">
      <formula>AND(ISNUMBER(T10),T10&gt;0)</formula>
    </cfRule>
  </conditionalFormatting>
  <conditionalFormatting sqref="T10">
    <cfRule type="expression" dxfId="11" priority="17">
      <formula>AND(ISNUMBER(T10),T10&lt;0)</formula>
    </cfRule>
  </conditionalFormatting>
  <conditionalFormatting sqref="Y10">
    <cfRule type="expression" dxfId="10" priority="18">
      <formula>OR(Y10="meta atingida",Y10="dentro do limite",Y10="ocupação alta",Y10="excede o contratado")</formula>
    </cfRule>
  </conditionalFormatting>
  <conditionalFormatting sqref="Y10">
    <cfRule type="expression" dxfId="12" priority="19">
      <formula>OR(Y10="ocupação média",Y10="abaixo da meta")</formula>
    </cfRule>
  </conditionalFormatting>
  <conditionalFormatting sqref="Y10">
    <cfRule type="expression" dxfId="11" priority="20">
      <formula>OR(Y10="ociosidade alta",Y10="acima do limite")</formula>
    </cfRule>
  </conditionalFormatting>
  <conditionalFormatting sqref="T11">
    <cfRule type="expression" dxfId="10" priority="21">
      <formula>AND(ISNUMBER(T11),T11&gt;0)</formula>
    </cfRule>
  </conditionalFormatting>
  <conditionalFormatting sqref="T11">
    <cfRule type="expression" dxfId="11" priority="22">
      <formula>AND(ISNUMBER(T11),T11&lt;0)</formula>
    </cfRule>
  </conditionalFormatting>
  <conditionalFormatting sqref="Y11">
    <cfRule type="expression" dxfId="10" priority="23">
      <formula>OR(Y11="meta atingida",Y11="dentro do limite",Y11="ocupação alta",Y11="excede o contratado")</formula>
    </cfRule>
  </conditionalFormatting>
  <conditionalFormatting sqref="Y11">
    <cfRule type="expression" dxfId="12" priority="24">
      <formula>OR(Y11="ocupação média",Y11="abaixo da meta")</formula>
    </cfRule>
  </conditionalFormatting>
  <conditionalFormatting sqref="Y11">
    <cfRule type="expression" dxfId="11" priority="25">
      <formula>OR(Y11="ociosidade alta",Y11="acima do limite")</formula>
    </cfRule>
  </conditionalFormatting>
  <conditionalFormatting sqref="T12">
    <cfRule type="expression" dxfId="10" priority="26">
      <formula>AND(ISNUMBER(T12),T12&gt;0)</formula>
    </cfRule>
  </conditionalFormatting>
  <conditionalFormatting sqref="T12">
    <cfRule type="expression" dxfId="11" priority="27">
      <formula>AND(ISNUMBER(T12),T12&lt;0)</formula>
    </cfRule>
  </conditionalFormatting>
  <conditionalFormatting sqref="Y12">
    <cfRule type="expression" dxfId="10" priority="28">
      <formula>OR(Y12="meta atingida",Y12="dentro do limite",Y12="ocupação alta",Y12="excede o contratado")</formula>
    </cfRule>
  </conditionalFormatting>
  <conditionalFormatting sqref="Y12">
    <cfRule type="expression" dxfId="12" priority="29">
      <formula>OR(Y12="ocupação média",Y12="abaixo da meta")</formula>
    </cfRule>
  </conditionalFormatting>
  <conditionalFormatting sqref="Y12">
    <cfRule type="expression" dxfId="11" priority="30">
      <formula>OR(Y12="ociosidade alta",Y12="acima do limite")</formula>
    </cfRule>
  </conditionalFormatting>
  <conditionalFormatting sqref="T13">
    <cfRule type="expression" dxfId="10" priority="31">
      <formula>AND(ISNUMBER(T13),T13&lt;0)</formula>
    </cfRule>
  </conditionalFormatting>
  <conditionalFormatting sqref="T13">
    <cfRule type="expression" dxfId="11" priority="32">
      <formula>AND(ISNUMBER(T13),T13&gt;0)</formula>
    </cfRule>
  </conditionalFormatting>
  <conditionalFormatting sqref="Y13">
    <cfRule type="expression" dxfId="10" priority="33">
      <formula>OR(Y13="meta atingida",Y13="dentro do limite",Y13="ocupação alta",Y13="excede o contratado")</formula>
    </cfRule>
  </conditionalFormatting>
  <conditionalFormatting sqref="Y13">
    <cfRule type="expression" dxfId="12" priority="34">
      <formula>OR(Y13="ocupação média",Y13="abaixo da meta")</formula>
    </cfRule>
  </conditionalFormatting>
  <conditionalFormatting sqref="Y13">
    <cfRule type="expression" dxfId="11" priority="35">
      <formula>OR(Y13="ociosidade alta",Y13="acima do limite")</formula>
    </cfRule>
  </conditionalFormatting>
  <conditionalFormatting sqref="T14">
    <cfRule type="expression" dxfId="10" priority="36">
      <formula>AND(ISNUMBER(T14),T14&lt;0)</formula>
    </cfRule>
  </conditionalFormatting>
  <conditionalFormatting sqref="T14">
    <cfRule type="expression" dxfId="11" priority="37">
      <formula>AND(ISNUMBER(T14),T14&gt;0)</formula>
    </cfRule>
  </conditionalFormatting>
  <conditionalFormatting sqref="Y14">
    <cfRule type="expression" dxfId="10" priority="38">
      <formula>OR(Y14="meta atingida",Y14="dentro do limite",Y14="ocupação alta",Y14="excede o contratado")</formula>
    </cfRule>
  </conditionalFormatting>
  <conditionalFormatting sqref="Y14">
    <cfRule type="expression" dxfId="12" priority="39">
      <formula>OR(Y14="ocupação média",Y14="abaixo da meta")</formula>
    </cfRule>
  </conditionalFormatting>
  <conditionalFormatting sqref="Y14">
    <cfRule type="expression" dxfId="11" priority="40">
      <formula>OR(Y14="ociosidade alta",Y14="acima do limite")</formula>
    </cfRule>
  </conditionalFormatting>
  <conditionalFormatting sqref="T15">
    <cfRule type="expression" dxfId="10" priority="41">
      <formula>AND(ISNUMBER(T15),T15&lt;0)</formula>
    </cfRule>
  </conditionalFormatting>
  <conditionalFormatting sqref="T15">
    <cfRule type="expression" dxfId="11" priority="42">
      <formula>AND(ISNUMBER(T15),T15&gt;0)</formula>
    </cfRule>
  </conditionalFormatting>
  <conditionalFormatting sqref="Y15">
    <cfRule type="expression" dxfId="10" priority="43">
      <formula>OR(Y15="meta atingida",Y15="dentro do limite",Y15="ocupação alta",Y15="excede o contratado")</formula>
    </cfRule>
  </conditionalFormatting>
  <conditionalFormatting sqref="Y15">
    <cfRule type="expression" dxfId="12" priority="44">
      <formula>OR(Y15="ocupação média",Y15="abaixo da meta")</formula>
    </cfRule>
  </conditionalFormatting>
  <conditionalFormatting sqref="Y15">
    <cfRule type="expression" dxfId="11" priority="45">
      <formula>OR(Y15="ociosidade alta",Y15="acima do limite")</formula>
    </cfRule>
  </conditionalFormatting>
  <conditionalFormatting sqref="Y16">
    <cfRule type="expression" dxfId="10" priority="46">
      <formula>OR(Y16="meta atingida",Y16="dentro do limite",Y16="ocupação alta",Y16="excede o contratado")</formula>
    </cfRule>
  </conditionalFormatting>
  <conditionalFormatting sqref="Y16">
    <cfRule type="expression" dxfId="12" priority="47">
      <formula>OR(Y16="ocupação média",Y16="abaixo da meta")</formula>
    </cfRule>
  </conditionalFormatting>
  <conditionalFormatting sqref="Y16">
    <cfRule type="expression" dxfId="11" priority="48">
      <formula>OR(Y16="ociosidade alta",Y16="acima do limite")</formula>
    </cfRule>
  </conditionalFormatting>
  <conditionalFormatting sqref="Y17">
    <cfRule type="expression" dxfId="10" priority="49">
      <formula>OR(Y17="meta atingida",Y17="dentro do limite",Y17="ocupação alta",Y17="excede o contratado")</formula>
    </cfRule>
  </conditionalFormatting>
  <conditionalFormatting sqref="Y17">
    <cfRule type="expression" dxfId="12" priority="50">
      <formula>OR(Y17="ocupação média",Y17="abaixo da meta")</formula>
    </cfRule>
  </conditionalFormatting>
  <conditionalFormatting sqref="Y17">
    <cfRule type="expression" dxfId="11" priority="51">
      <formula>OR(Y17="ociosidade alta",Y17="acima do limite")</formula>
    </cfRule>
  </conditionalFormatting>
  <conditionalFormatting sqref="Y18">
    <cfRule type="expression" dxfId="10" priority="52">
      <formula>OR(Y18="meta atingida",Y18="dentro do limite",Y18="ocupação alta",Y18="excede o contratado")</formula>
    </cfRule>
  </conditionalFormatting>
  <conditionalFormatting sqref="Y18">
    <cfRule type="expression" dxfId="12" priority="53">
      <formula>OR(Y18="ocupação média",Y18="abaixo da meta")</formula>
    </cfRule>
  </conditionalFormatting>
  <conditionalFormatting sqref="Y18">
    <cfRule type="expression" dxfId="11" priority="54">
      <formula>OR(Y18="ociosidade alta",Y18="acima do limite")</formula>
    </cfRule>
  </conditionalFormatting>
  <conditionalFormatting sqref="T19">
    <cfRule type="expression" dxfId="10" priority="55">
      <formula>AND(ISNUMBER(T19),T19&gt;0)</formula>
    </cfRule>
  </conditionalFormatting>
  <conditionalFormatting sqref="T19">
    <cfRule type="expression" dxfId="11" priority="56">
      <formula>AND(ISNUMBER(T19),T19&lt;0)</formula>
    </cfRule>
  </conditionalFormatting>
  <conditionalFormatting sqref="Y19">
    <cfRule type="expression" dxfId="10" priority="57">
      <formula>OR(Y19="meta atingida",Y19="dentro do limite",Y19="ocupação alta",Y19="excede o contratado")</formula>
    </cfRule>
  </conditionalFormatting>
  <conditionalFormatting sqref="Y19">
    <cfRule type="expression" dxfId="12" priority="58">
      <formula>OR(Y19="ocupação média",Y19="abaixo da meta")</formula>
    </cfRule>
  </conditionalFormatting>
  <conditionalFormatting sqref="Y19">
    <cfRule type="expression" dxfId="11" priority="59">
      <formula>OR(Y19="ociosidade alta",Y19="acima do limite")</formula>
    </cfRule>
  </conditionalFormatting>
  <conditionalFormatting sqref="T20">
    <cfRule type="expression" dxfId="10" priority="60">
      <formula>AND(ISNUMBER(T20),T20&lt;0)</formula>
    </cfRule>
  </conditionalFormatting>
  <conditionalFormatting sqref="T20">
    <cfRule type="expression" dxfId="11" priority="61">
      <formula>AND(ISNUMBER(T20),T20&gt;0)</formula>
    </cfRule>
  </conditionalFormatting>
  <conditionalFormatting sqref="Y20">
    <cfRule type="expression" dxfId="10" priority="62">
      <formula>OR(Y20="meta atingida",Y20="dentro do limite",Y20="ocupação alta",Y20="excede o contratado")</formula>
    </cfRule>
  </conditionalFormatting>
  <conditionalFormatting sqref="Y20">
    <cfRule type="expression" dxfId="12" priority="63">
      <formula>OR(Y20="ocupação média",Y20="abaixo da meta")</formula>
    </cfRule>
  </conditionalFormatting>
  <conditionalFormatting sqref="Y20">
    <cfRule type="expression" dxfId="11" priority="64">
      <formula>OR(Y20="ociosidade alta",Y20="acima do limite")</formula>
    </cfRule>
  </conditionalFormatting>
  <conditionalFormatting sqref="Y21">
    <cfRule type="expression" dxfId="10" priority="65">
      <formula>OR(Y21="meta atingida",Y21="dentro do limite",Y21="ocupação alta",Y21="excede o contratado")</formula>
    </cfRule>
  </conditionalFormatting>
  <conditionalFormatting sqref="Y21">
    <cfRule type="expression" dxfId="12" priority="66">
      <formula>OR(Y21="ocupação média",Y21="abaixo da meta")</formula>
    </cfRule>
  </conditionalFormatting>
  <conditionalFormatting sqref="Y21">
    <cfRule type="expression" dxfId="11" priority="67">
      <formula>OR(Y21="ociosidade alta",Y21="acima do limite")</formula>
    </cfRule>
  </conditionalFormatting>
  <conditionalFormatting sqref="Y22">
    <cfRule type="expression" dxfId="10" priority="68">
      <formula>OR(Y22="meta atingida",Y22="dentro do limite",Y22="ocupação alta",Y22="excede o contratado")</formula>
    </cfRule>
  </conditionalFormatting>
  <conditionalFormatting sqref="Y22">
    <cfRule type="expression" dxfId="12" priority="69">
      <formula>OR(Y22="ocupação média",Y22="abaixo da meta")</formula>
    </cfRule>
  </conditionalFormatting>
  <conditionalFormatting sqref="Y22">
    <cfRule type="expression" dxfId="11" priority="70">
      <formula>OR(Y22="ociosidade alta",Y22="acima do limite")</formula>
    </cfRule>
  </conditionalFormatting>
  <conditionalFormatting sqref="T23">
    <cfRule type="expression" dxfId="10" priority="71">
      <formula>AND(ISNUMBER(T23),T23&lt;0)</formula>
    </cfRule>
  </conditionalFormatting>
  <conditionalFormatting sqref="T23">
    <cfRule type="expression" dxfId="11" priority="72">
      <formula>AND(ISNUMBER(T23),T23&gt;0)</formula>
    </cfRule>
  </conditionalFormatting>
  <conditionalFormatting sqref="Y23">
    <cfRule type="expression" dxfId="10" priority="73">
      <formula>OR(Y23="meta atingida",Y23="dentro do limite",Y23="ocupação alta",Y23="excede o contratado")</formula>
    </cfRule>
  </conditionalFormatting>
  <conditionalFormatting sqref="Y23">
    <cfRule type="expression" dxfId="12" priority="74">
      <formula>OR(Y23="ocupação média",Y23="abaixo da meta")</formula>
    </cfRule>
  </conditionalFormatting>
  <conditionalFormatting sqref="Y23">
    <cfRule type="expression" dxfId="11" priority="75">
      <formula>OR(Y23="ociosidade alta",Y23="acima do limite")</formula>
    </cfRule>
  </conditionalFormatting>
  <conditionalFormatting sqref="T24">
    <cfRule type="expression" dxfId="10" priority="76">
      <formula>AND(ISNUMBER(T24),T24&lt;0)</formula>
    </cfRule>
  </conditionalFormatting>
  <conditionalFormatting sqref="T24">
    <cfRule type="expression" dxfId="11" priority="77">
      <formula>AND(ISNUMBER(T24),T24&gt;0)</formula>
    </cfRule>
  </conditionalFormatting>
  <conditionalFormatting sqref="Y24">
    <cfRule type="expression" dxfId="10" priority="78">
      <formula>OR(Y24="meta atingida",Y24="dentro do limite",Y24="ocupação alta",Y24="excede o contratado")</formula>
    </cfRule>
  </conditionalFormatting>
  <conditionalFormatting sqref="Y24">
    <cfRule type="expression" dxfId="12" priority="79">
      <formula>OR(Y24="ocupação média",Y24="abaixo da meta")</formula>
    </cfRule>
  </conditionalFormatting>
  <conditionalFormatting sqref="Y24">
    <cfRule type="expression" dxfId="11" priority="80">
      <formula>OR(Y24="ociosidade alta",Y24="acima do limite")</formula>
    </cfRule>
  </conditionalFormatting>
  <conditionalFormatting sqref="T25">
    <cfRule type="expression" dxfId="10" priority="81">
      <formula>AND(ISNUMBER(T25),T25&lt;0)</formula>
    </cfRule>
  </conditionalFormatting>
  <conditionalFormatting sqref="T25">
    <cfRule type="expression" dxfId="11" priority="82">
      <formula>AND(ISNUMBER(T25),T25&gt;0)</formula>
    </cfRule>
  </conditionalFormatting>
  <conditionalFormatting sqref="Y25">
    <cfRule type="expression" dxfId="10" priority="83">
      <formula>OR(Y25="meta atingida",Y25="dentro do limite",Y25="ocupação alta",Y25="excede o contratado")</formula>
    </cfRule>
  </conditionalFormatting>
  <conditionalFormatting sqref="Y25">
    <cfRule type="expression" dxfId="12" priority="84">
      <formula>OR(Y25="ocupação média",Y25="abaixo da meta")</formula>
    </cfRule>
  </conditionalFormatting>
  <conditionalFormatting sqref="Y25">
    <cfRule type="expression" dxfId="11" priority="85">
      <formula>OR(Y25="ociosidade alta",Y25="acima do limite")</formula>
    </cfRule>
  </conditionalFormatting>
  <conditionalFormatting sqref="T26">
    <cfRule type="expression" dxfId="10" priority="86">
      <formula>AND(ISNUMBER(T26),T26&lt;0)</formula>
    </cfRule>
  </conditionalFormatting>
  <conditionalFormatting sqref="T26">
    <cfRule type="expression" dxfId="11" priority="87">
      <formula>AND(ISNUMBER(T26),T26&gt;0)</formula>
    </cfRule>
  </conditionalFormatting>
  <conditionalFormatting sqref="Y26">
    <cfRule type="expression" dxfId="10" priority="88">
      <formula>OR(Y26="meta atingida",Y26="dentro do limite",Y26="ocupação alta",Y26="excede o contratado")</formula>
    </cfRule>
  </conditionalFormatting>
  <conditionalFormatting sqref="Y26">
    <cfRule type="expression" dxfId="12" priority="89">
      <formula>OR(Y26="ocupação média",Y26="abaixo da meta")</formula>
    </cfRule>
  </conditionalFormatting>
  <conditionalFormatting sqref="Y26">
    <cfRule type="expression" dxfId="11" priority="90">
      <formula>OR(Y26="ociosidade alta",Y26="acima do limite")</formula>
    </cfRule>
  </conditionalFormatting>
  <dataValidations count="2">
    <dataValidation type="list" allowBlank="1" showInputMessage="1" showErrorMessage="1" promptTitle="Mês" prompt="Escolha o mês do ano. Toda a aba se atualiza." errorTitle="Valor inválido" error="Escolha um mês da lista." sqref="V1">
      <formula1>calculos!$AL$12:$AL$23</formula1>
    </dataValidation>
    <dataValidation type="list" allowBlank="1" showInputMessage="1" showErrorMessage="1" promptTitle="Cliente" prompt="Filtro próprio do Consol Mensal (quadro e resumo por cliente)." errorTitle="Valor inválido" error="Escolha um valor da lista." sqref="D3">
      <formula1>OFFSET(calculos!$AN$12,0,0,1+calculos!$AN$10,1)</formula1>
    </dataValidation>
  </dataValidations>
  <pageMargins left="0.25" right="0.25" top="0.4" bottom="0.4" header="0.2" footer="0.2"/>
  <pageSetup paperSize="9" orientation="landscape" fitToWidth="1" fitToHeight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7F7F7F"/>
    <pageSetUpPr fitToPage="1"/>
  </sheetPr>
  <dimension ref="A1:BC310"/>
  <sheetViews>
    <sheetView showGridLines="0" zoomScale="100" zoomScaleNormal="100" workbookViewId="0">
      <pane xSplit="2" ySplit="11" topLeftCell="C12" activePane="bottomRight" state="frozen"/>
      <selection pane="bottomRight" activeCell="C12" sqref="C12"/>
    </sheetView>
  </sheetViews>
  <sheetFormatPr defaultRowHeight="15"/>
  <cols>
    <col min="1" max="1" width="26" customWidth="1"/>
    <col min="2" max="2" width="12" customWidth="1"/>
    <col min="3" max="3" width="10" customWidth="1"/>
    <col min="4" max="4" width="10" customWidth="1"/>
    <col min="5" max="5" width="10" customWidth="1"/>
    <col min="6" max="6" width="10" customWidth="1"/>
    <col min="7" max="7" width="10" customWidth="1"/>
    <col min="8" max="8" width="10" customWidth="1"/>
    <col min="9" max="9" width="10" customWidth="1"/>
    <col min="10" max="10" width="10" customWidth="1"/>
    <col min="11" max="11" width="10" customWidth="1"/>
    <col min="12" max="12" width="10" customWidth="1"/>
    <col min="13" max="13" width="10" customWidth="1"/>
    <col min="14" max="14" width="10" customWidth="1"/>
    <col min="15" max="15" width="10" customWidth="1"/>
    <col min="16" max="16" width="10" customWidth="1"/>
    <col min="17" max="17" width="10" customWidth="1"/>
    <col min="18" max="18" width="10" customWidth="1"/>
    <col min="19" max="19" width="10" customWidth="1"/>
    <col min="20" max="20" width="10" customWidth="1"/>
    <col min="21" max="21" width="10" customWidth="1"/>
    <col min="22" max="22" width="10" customWidth="1"/>
    <col min="23" max="23" width="10" customWidth="1"/>
    <col min="24" max="24" width="10" customWidth="1"/>
    <col min="38" max="38" width="20" customWidth="1"/>
    <col min="40" max="40" width="22" customWidth="1"/>
    <col min="41" max="41" width="12" customWidth="1"/>
    <col min="43" max="43" width="52" customWidth="1"/>
    <col min="46" max="46" width="14" customWidth="1"/>
    <col min="48" max="48" width="20" customWidth="1"/>
    <col min="50" max="50" width="11" customWidth="1"/>
    <col min="51" max="51" width="11" customWidth="1"/>
    <col min="52" max="52" width="11" customWidth="1"/>
    <col min="53" max="53" width="11" customWidth="1"/>
    <col min="55" max="55" width="11" customWidth="1"/>
  </cols>
  <sheetData>
    <row r="1">
      <c r="A1" s="26" t="inlineStr">
        <is>
          <t xml:space="preserve">CÁLCULOS — base da aba Dashboard (período digitado; gráficos no mês do dia inicial) · gerado automaticamente</t>
        </is>
      </c>
    </row>
    <row r="2">
      <c r="A2" s="27" t="inlineStr">
        <is>
          <t xml:space="preserve">Cliente selecionado</t>
        </is>
      </c>
      <c r="B2" s="27" t="str">
        <f>IF(OR(Dashboard!$D$3="",Dashboard!$D$3="Todos"),"Todos",Dashboard!$D$3)</f>
        <v>Todos</v>
      </c>
      <c r="C2" s="28">
        <f>IF(LEFT($B$2,9)="Depósito ",2,1)</f>
        <v>1</v>
      </c>
      <c r="D2" s="29" t="str">
        <f>IF($C$2=2,MID($B$2,10,60),$B$2)</f>
        <v>Todos</v>
      </c>
      <c r="E2" s="29" t="str">
        <f>IFERROR(INDEX($AO$12:$AO$32,MATCH($B$2,$AN$12:$AN$32,0)),"")</f>
        <v>JSL</v>
      </c>
    </row>
    <row r="3">
      <c r="A3" s="27" t="inlineStr">
        <is>
          <t xml:space="preserve">Capacidade (posições)</t>
        </is>
      </c>
      <c r="B3" s="30">
        <f>SUM($AU$13:$AU$13)</f>
        <v>5872</v>
      </c>
      <c r="C3" s="31" t="inlineStr">
        <is>
          <t xml:space="preserve">soma dos depósitos (tabela de capacidade à direita, células amarelas)</t>
        </is>
      </c>
    </row>
    <row r="4">
      <c r="A4" s="31" t="inlineStr">
        <is>
          <t xml:space="preserve">Capacidade (repetida p/ fórmulas)</t>
        </is>
      </c>
      <c r="B4" s="32">
        <f>$B$3</f>
        <v>5872</v>
      </c>
    </row>
    <row r="5">
      <c r="A5" s="27" t="inlineStr">
        <is>
          <t xml:space="preserve">Faixa de atenção (ocupação)</t>
        </is>
      </c>
      <c r="B5" s="33">
        <f>N(Config!$C$96)</f>
        <v>0.7</v>
      </c>
      <c r="C5" s="31" t="inlineStr">
        <is>
          <t xml:space="preserve">parâmetros na aba Config</t>
        </is>
      </c>
    </row>
    <row r="6">
      <c r="A6" s="27" t="inlineStr">
        <is>
          <t xml:space="preserve">Faixa crítica (ocupação)</t>
        </is>
      </c>
      <c r="B6" s="33">
        <f>N(Config!$C$97)</f>
        <v>0.9</v>
      </c>
    </row>
    <row r="7">
      <c r="A7" s="27" t="inlineStr">
        <is>
          <t xml:space="preserve">Competência</t>
        </is>
      </c>
      <c r="B7" s="35" t="str">
        <f>INDEX({"Janeiro","Fevereiro","Março","Abril","Maio","Junho","Julho","Agosto","Setembro","Outubro","Novembro","Dezembro"},MONTH($C$7))&amp;"/"&amp;YEAR($C$7)</f>
        <v>Outubro/2026</v>
      </c>
      <c r="C7" s="34">
        <f>IF(ISNUMBER(Dashboard!$Q$3),DATE(YEAR(Dashboard!$Q$3),MONTH(Dashboard!$Q$3),1),IFERROR(DATE(VALUE(RIGHT(TRIM(Dashboard!$Q$3),4)),MATCH(TRIM(LEFT(Dashboard!$Q$3,FIND("·",Dashboard!$Q$3)-1)),{"JANEIRO","FEVEREIRO","MARÇO","ABRIL","MAIO","JUNHO","JULHO","AGOSTO","SETEMBRO","OUTUBRO","NOVEMBRO","DEZEMBRO"},0),1),DATE(2026,10,1)))</f>
        <v>46296</v>
      </c>
      <c r="D7" s="34">
        <f>DATE(YEAR($C$7),MONTH($C$7)+1,0)</f>
        <v>46326</v>
      </c>
      <c r="E7" s="27" t="inlineStr">
        <is>
          <t xml:space="preserve">Período (cards)</t>
        </is>
      </c>
      <c r="F7" s="34">
        <f>IF(ISNUMBER(Dashboard!$Q$3),Dashboard!$Q$3,$C$7)</f>
        <v>46296</v>
      </c>
      <c r="G7" s="34">
        <f>IF(ISNUMBER(Dashboard!$V$3),MAX(Dashboard!$V$3,$F$7),$D$7)</f>
        <v>46326</v>
      </c>
    </row>
    <row r="8">
      <c r="A8" s="27" t="inlineStr">
        <is>
          <t xml:space="preserve">Mês anterior (comparação)</t>
        </is>
      </c>
      <c r="B8" s="35" t="str">
        <f>INDEX({"Janeiro","Fevereiro","Março","Abril","Maio","Junho","Julho","Agosto","Setembro","Outubro","Novembro","Dezembro"},MONTH($C$8))&amp;"/"&amp;YEAR($C$8)</f>
        <v>Setembro/2026</v>
      </c>
      <c r="C8" s="34">
        <f>DATE(YEAR($C$7),MONTH($C$7)-1,1)</f>
        <v>46266</v>
      </c>
      <c r="D8" s="34">
        <f>IF($B$9=0,$C$8-1,$C$8+MIN($B$9,DAY($C$7-1))-1)</f>
        <v>46265</v>
      </c>
      <c r="E8" s="27" t="inlineStr">
        <is>
          <t xml:space="preserve">Período anterior</t>
        </is>
      </c>
      <c r="F8" s="34">
        <f>$F$7-($G$7-$F$7+1)</f>
        <v>46265</v>
      </c>
      <c r="G8" s="34">
        <f>$F$7-1</f>
        <v>46295</v>
      </c>
    </row>
    <row r="9">
      <c r="A9" s="27" t="inlineStr">
        <is>
          <t xml:space="preserve">Último dia com dado no mês</t>
        </is>
      </c>
      <c r="B9" s="36">
        <f>IF(COUNTIFS(BD!$A$3:$A$5001,"&gt;="&amp;$C$7,BD!$A$3:$A$5001,"&lt;="&amp;$D$7)=0,0,DAY(_xlfn.MAXIFS(BD!$A$3:$A$5001,BD!$A$3:$A$5001,"&gt;="&amp;$C$7,BD!$A$3:$A$5001,"&lt;="&amp;$D$7)))</f>
        <v>0</v>
      </c>
      <c r="C9" s="31" t="inlineStr">
        <is>
          <t xml:space="preserve">o mês anterior é comparado do dia 1 até este dia</t>
        </is>
      </c>
    </row>
    <row r="10">
      <c r="AM10" s="38" t="inlineStr">
        <is>
          <t xml:space="preserve">clientes</t>
        </is>
      </c>
      <c r="AN10" s="39">
        <f>MAX(1,$AP$32)</f>
        <v>5</v>
      </c>
    </row>
    <row r="11" ht="40" customHeight="1">
      <c r="A11" s="37" t="inlineStr">
        <is>
          <t xml:space="preserve">Dia</t>
        </is>
      </c>
      <c r="B11" s="37" t="inlineStr">
        <is>
          <t xml:space="preserve">Data</t>
        </is>
      </c>
      <c r="C11" s="37" t="inlineStr">
        <is>
          <t xml:space="preserve">IN Veículos Recebidos</t>
        </is>
      </c>
      <c r="D11" s="37" t="inlineStr">
        <is>
          <t xml:space="preserve">IN Pallets Movimentados</t>
        </is>
      </c>
      <c r="E11" s="37" t="inlineStr">
        <is>
          <t xml:space="preserve">IN Toneladas Movimentadas</t>
        </is>
      </c>
      <c r="F11" s="37" t="inlineStr">
        <is>
          <t xml:space="preserve">OUT Veículos Expedidos</t>
        </is>
      </c>
      <c r="G11" s="37" t="inlineStr">
        <is>
          <t xml:space="preserve">OUT Pallets Movimentados</t>
        </is>
      </c>
      <c r="H11" s="37" t="inlineStr">
        <is>
          <t xml:space="preserve">OUT Toneladas Movimentadas</t>
        </is>
      </c>
      <c r="I11" s="37" t="inlineStr">
        <is>
          <t xml:space="preserve">NC Incidentes</t>
        </is>
      </c>
      <c r="J11" s="37" t="inlineStr">
        <is>
          <t xml:space="preserve">NC No show</t>
        </is>
      </c>
      <c r="K11" s="37" t="inlineStr">
        <is>
          <t xml:space="preserve">NC Backlog</t>
        </is>
      </c>
      <c r="L11" s="37" t="inlineStr">
        <is>
          <t xml:space="preserve">OCUPAÇÃO (P.P) Posições Disponíveis</t>
        </is>
      </c>
      <c r="M11" s="37" t="inlineStr">
        <is>
          <t xml:space="preserve">OCUPAÇÃO (P.P) Posições Ocupadas</t>
        </is>
      </c>
      <c r="N11" s="37" t="inlineStr">
        <is>
          <t xml:space="preserve">OCUPAÇÃO (P.P) Taxa de Ocupação</t>
        </is>
      </c>
      <c r="O11" s="37" t="inlineStr">
        <is>
          <t xml:space="preserve">GENTE Efetivo Op.</t>
        </is>
      </c>
      <c r="P11" s="37" t="inlineStr">
        <is>
          <t xml:space="preserve">GENTE Falta</t>
        </is>
      </c>
      <c r="Q11" s="37" t="inlineStr">
        <is>
          <t xml:space="preserve">GENTE Folga</t>
        </is>
      </c>
      <c r="R11" s="37" t="inlineStr">
        <is>
          <t xml:space="preserve">GENTE Férias</t>
        </is>
      </c>
      <c r="S11" s="37" t="inlineStr">
        <is>
          <t xml:space="preserve">GENTE Desligamento</t>
        </is>
      </c>
      <c r="T11" s="37" t="inlineStr">
        <is>
          <t xml:space="preserve">GENTE Desvios Comportamentais</t>
        </is>
      </c>
      <c r="U11" s="37" t="inlineStr">
        <is>
          <t xml:space="preserve">GENTE Acidentes CAF</t>
        </is>
      </c>
      <c r="V11" s="37" t="inlineStr">
        <is>
          <t xml:space="preserve">GENTE Acidentes SAF</t>
        </is>
      </c>
      <c r="W11" s="37" t="inlineStr">
        <is>
          <t xml:space="preserve">Faixa atenção</t>
        </is>
      </c>
      <c r="X11" s="37" t="inlineStr">
        <is>
          <t xml:space="preserve">Faixa crítica</t>
        </is>
      </c>
      <c r="AL11" s="37" t="inlineStr">
        <is>
          <t xml:space="preserve">Meses (filtros das abas)</t>
        </is>
      </c>
      <c r="AN11" s="37" t="inlineStr">
        <is>
          <t xml:space="preserve">Filtro: depósito / cliente</t>
        </is>
      </c>
      <c r="AO11" s="37" t="inlineStr">
        <is>
          <t xml:space="preserve">Depósito</t>
        </is>
      </c>
      <c r="AP11" s="37" t="inlineStr">
        <is>
          <t xml:space="preserve">Nº (vagas)</t>
        </is>
      </c>
      <c r="AQ11" s="37" t="inlineStr">
        <is>
          <t xml:space="preserve">Títulos dos gráficos (seguem os filtros)</t>
        </is>
      </c>
      <c r="AX11" s="37" t="inlineStr">
        <is>
          <t xml:space="preserve">Gráf A IN (diário)</t>
        </is>
      </c>
      <c r="AY11" s="37" t="inlineStr">
        <is>
          <t xml:space="preserve">Gráf A OUT (diário)</t>
        </is>
      </c>
      <c r="AZ11" s="37" t="inlineStr">
        <is>
          <t xml:space="preserve">Gráf B IN (diário)</t>
        </is>
      </c>
      <c r="BA11" s="37" t="inlineStr">
        <is>
          <t xml:space="preserve">Gráf B OUT (diário)</t>
        </is>
      </c>
      <c r="BC11" s="37" t="inlineStr">
        <is>
          <t xml:space="preserve">Rótulo contrato (último dia)</t>
        </is>
      </c>
    </row>
    <row r="12">
      <c r="A12" s="28">
        <v>1</v>
      </c>
      <c r="B12" s="46">
        <f>IF($A12&lt;=DAY($D$7),$C$7+$A12-1,"")</f>
        <v>46296</v>
      </c>
      <c r="C12" s="32">
        <f>IF($B12="","",IF($B$2="Todos",SUMIFS(BD!$C$3:$C$5001,BD!$A$3:$A$5001,$B12),SUMIFS(BD!$C$3:$C$5001,BD!$A$3:$A$5001,$B12,BD!$B$3:$B$5001,$D$2)))</f>
        <v>0</v>
      </c>
      <c r="D12" s="32">
        <f>IF($B12="","",IF($B$2="Todos",SUMIFS(BD!$D$3:$D$5001,BD!$A$3:$A$5001,$B12),SUMIFS(BD!$D$3:$D$5001,BD!$A$3:$A$5001,$B12,BD!$B$3:$B$5001,$D$2)))</f>
        <v>0</v>
      </c>
      <c r="E12" s="47">
        <f>IF($B12="","",IF($B$2="Todos",SUMIFS(BD!$E$3:$E$5001,BD!$A$3:$A$5001,$B12),SUMIFS(BD!$E$3:$E$5001,BD!$A$3:$A$5001,$B12,BD!$B$3:$B$5001,$D$2)))</f>
        <v>0</v>
      </c>
      <c r="F12" s="32">
        <f>IF($B12="","",IF($B$2="Todos",SUMIFS(BD!$F$3:$F$5001,BD!$A$3:$A$5001,$B12),SUMIFS(BD!$F$3:$F$5001,BD!$A$3:$A$5001,$B12,BD!$B$3:$B$5001,$D$2)))</f>
        <v>0</v>
      </c>
      <c r="G12" s="32">
        <f>IF($B12="","",IF($B$2="Todos",SUMIFS(BD!$G$3:$G$5001,BD!$A$3:$A$5001,$B12),SUMIFS(BD!$G$3:$G$5001,BD!$A$3:$A$5001,$B12,BD!$B$3:$B$5001,$D$2)))</f>
        <v>0</v>
      </c>
      <c r="H12" s="47">
        <f>IF($B12="","",IF($B$2="Todos",SUMIFS(BD!$H$3:$H$5001,BD!$A$3:$A$5001,$B12),SUMIFS(BD!$H$3:$H$5001,BD!$A$3:$A$5001,$B12,BD!$B$3:$B$5001,$D$2)))</f>
        <v>0</v>
      </c>
      <c r="I12" s="32">
        <f>IF($B12="","",IF($B$2="Todos",SUMIFS(BD!$I$3:$I$5001,BD!$A$3:$A$5001,$B12),SUMIFS(BD!$I$3:$I$5001,BD!$A$3:$A$5001,$B12,BD!$B$3:$B$5001,$D$2)))</f>
        <v>0</v>
      </c>
      <c r="J12" s="32">
        <f>IF($B12="","",IF($B$2="Todos",SUMIFS(BD!$J$3:$J$5001,BD!$A$3:$A$5001,$B12),SUMIFS(BD!$J$3:$J$5001,BD!$A$3:$A$5001,$B12,BD!$B$3:$B$5001,$D$2)))</f>
        <v>0</v>
      </c>
      <c r="K12" s="32" t="str">
        <f>IF($B$2="Todos",IF(COUNT($C$115:$V$115)=0,"",SUM($C$115:$V$115)),IFERROR(INDEX($C$115:$V$115,MATCH($D$2,$C$114:$V$114,0)),""))</f>
        <v/>
      </c>
      <c r="L12" s="48" t="str">
        <f>IF(M12="","",IF($B$2="Todos",IF($B$4&gt;0,$B$4,IF($B$2="Todos",IF(COUNT($C$185:$V$185)=0,"",SUM($C$185:$V$185)),IFERROR(INDEX($C$185:$V$185,MATCH($D$2,$C$184:$V$184,0)),""))),IFERROR(INDEX($C$185:$V$185,MATCH($D$2,$C$184:$V$184,0)),"")))</f>
        <v/>
      </c>
      <c r="M12" s="32" t="str">
        <f>IF($B$2="Todos",IF(COUNT($C$150:$V$150)=0,"",SUM($C$150:$V$150)),IFERROR(INDEX($C$150:$V$150,MATCH($D$2,$C$149:$V$149,0)),""))</f>
        <v/>
      </c>
      <c r="N12" s="49" t="str">
        <f>IF(AND(ISNUMBER(M12),ISNUMBER(L12)),IF(L12&gt;0,M12/L12,""),"")</f>
        <v/>
      </c>
      <c r="O12" s="32" t="str">
        <f>IF($B$2="Todos",IF(COUNT($C$220:$V$220)=0,"",SUM($C$220:$V$220)),IFERROR(INDEX($C$220:$V$220,MATCH($D$2,$C$219:$V$219,0)),""))</f>
        <v/>
      </c>
      <c r="P12" s="32">
        <f>IF($B12="","",IF($B$2="Todos",SUMIFS(BD!$O$3:$O$5001,BD!$A$3:$A$5001,$B12),SUMIFS(BD!$O$3:$O$5001,BD!$A$3:$A$5001,$B12,BD!$B$3:$B$5001,$D$2)))</f>
        <v>0</v>
      </c>
      <c r="Q12" s="32">
        <f>IF($B12="","",IF($B$2="Todos",SUMIFS(BD!$P$3:$P$5001,BD!$A$3:$A$5001,$B12),SUMIFS(BD!$P$3:$P$5001,BD!$A$3:$A$5001,$B12,BD!$B$3:$B$5001,$D$2)))</f>
        <v>0</v>
      </c>
      <c r="R12" s="32">
        <f>IF($B12="","",IF($B$2="Todos",SUMIFS(BD!$Q$3:$Q$5001,BD!$A$3:$A$5001,$B12),SUMIFS(BD!$Q$3:$Q$5001,BD!$A$3:$A$5001,$B12,BD!$B$3:$B$5001,$D$2)))</f>
        <v>0</v>
      </c>
      <c r="S12" s="32">
        <f>IF($B12="","",IF($B$2="Todos",SUMIFS(BD!$R$3:$R$5001,BD!$A$3:$A$5001,$B12),SUMIFS(BD!$R$3:$R$5001,BD!$A$3:$A$5001,$B12,BD!$B$3:$B$5001,$D$2)))</f>
        <v>0</v>
      </c>
      <c r="T12" s="32">
        <f>IF($B12="","",IF($B$2="Todos",SUMIFS(BD!$S$3:$S$5001,BD!$A$3:$A$5001,$B12),SUMIFS(BD!$S$3:$S$5001,BD!$A$3:$A$5001,$B12,BD!$B$3:$B$5001,$D$2)))</f>
        <v>0</v>
      </c>
      <c r="U12" s="32">
        <f>IF($B12="","",IF($B$2="Todos",SUMIFS(BD!$T$3:$T$5001,BD!$A$3:$A$5001,$B12),SUMIFS(BD!$T$3:$T$5001,BD!$A$3:$A$5001,$B12,BD!$B$3:$B$5001,$D$2)))</f>
        <v>0</v>
      </c>
      <c r="V12" s="32">
        <f>IF($B12="","",IF($B$2="Todos",SUMIFS(BD!$U$3:$U$5001,BD!$A$3:$A$5001,$B12),SUMIFS(BD!$U$3:$U$5001,BD!$A$3:$A$5001,$B12,BD!$B$3:$B$5001,$D$2)))</f>
        <v>0</v>
      </c>
      <c r="W12" s="50">
        <f>$B$5</f>
        <v>0.7</v>
      </c>
      <c r="X12" s="50">
        <f>$B$6</f>
        <v>0.9</v>
      </c>
      <c r="AL12" s="29" t="inlineStr">
        <is>
          <t xml:space="preserve">JANEIRO · 2026</t>
        </is>
      </c>
      <c r="AN12" s="29" t="inlineStr">
        <is>
          <t xml:space="preserve">Todos</t>
        </is>
      </c>
      <c r="AO12" s="28" t="inlineStr">
        <is>
          <t xml:space="preserve">JSL</t>
        </is>
      </c>
      <c r="AQ12" s="29" t="str">
        <f>Config!$D$81&amp;" — "&amp;IF($B$2="Todos","TODOS OS CLIENTES",UPPER($B$2))</f>
        <v>MOVIMENTAÇÃO VEÍCULO/DIA — TODOS OS CLIENTES</v>
      </c>
      <c r="AT12" s="37" t="inlineStr">
        <is>
          <t xml:space="preserve">Capacidade por depósito</t>
        </is>
      </c>
      <c r="AU12" s="37" t="inlineStr">
        <is>
          <t xml:space="preserve">Posições</t>
        </is>
      </c>
      <c r="AX12" s="61">
        <f>IF(OR($B12="",N(VALUE($AH$310))=0),"",IF(INDEX($C12:$V12,VALUE($AH$310))="","",IF(N(VALUE($AJ$310))=0,INDEX($C12:$V12,VALUE($AH$310)),IF(N(INDEX($C12:$V12,N(VALUE($AJ$310))))&gt;0,INDEX($C12:$V12,VALUE($AH$310))/INDEX($C12:$V12,N(VALUE($AJ$310))),""))))</f>
        <v>0</v>
      </c>
      <c r="AY12" s="61">
        <f>IF(OR($B12="",N(VALUE($AI$310))=0),"",IF(INDEX($C12:$V12,VALUE($AI$310))="","",IF(N(VALUE($AK$310))=0,INDEX($C12:$V12,VALUE($AI$310)),IF(N(INDEX($C12:$V12,N(VALUE($AK$310))))&gt;0,INDEX($C12:$V12,VALUE($AI$310))/INDEX($C12:$V12,N(VALUE($AK$310))),""))))</f>
        <v>0</v>
      </c>
      <c r="AZ12" s="61">
        <f>IF(OR($B12="",N(VALUE($AP$310))=0),"",IF(INDEX($C12:$V12,VALUE($AP$310))="","",IF(N(VALUE($AR$310))=0,INDEX($C12:$V12,VALUE($AP$310)),IF(N(INDEX($C12:$V12,N(VALUE($AR$310))))&gt;0,INDEX($C12:$V12,VALUE($AP$310))/INDEX($C12:$V12,N(VALUE($AR$310))),""))))</f>
        <v>0</v>
      </c>
      <c r="BA12" s="61">
        <f>IF(OR($B12="",N(VALUE($AQ$310))=0),"",IF(INDEX($C12:$V12,VALUE($AQ$310))="","",IF(N(VALUE($AS$310))=0,INDEX($C12:$V12,VALUE($AQ$310)),IF(N(INDEX($C12:$V12,N(VALUE($AS$310))))&gt;0,INDEX($C12:$V12,VALUE($AQ$310))/INDEX($C12:$V12,N(VALUE($AS$310))),""))))</f>
        <v>0</v>
      </c>
      <c r="BC12" s="32" t="str">
        <f>IF(AND($A12=$B$9,ISNUMBER(L12)),L12,NA())</f>
        <v/>
      </c>
    </row>
    <row r="13">
      <c r="A13" s="28">
        <v>2</v>
      </c>
      <c r="B13" s="46">
        <f>IF($A13&lt;=DAY($D$7),$C$7+$A13-1,"")</f>
        <v>46297</v>
      </c>
      <c r="C13" s="32">
        <f>IF($B13="","",IF($B$2="Todos",SUMIFS(BD!$C$3:$C$5001,BD!$A$3:$A$5001,$B13),SUMIFS(BD!$C$3:$C$5001,BD!$A$3:$A$5001,$B13,BD!$B$3:$B$5001,$D$2)))</f>
        <v>0</v>
      </c>
      <c r="D13" s="32">
        <f>IF($B13="","",IF($B$2="Todos",SUMIFS(BD!$D$3:$D$5001,BD!$A$3:$A$5001,$B13),SUMIFS(BD!$D$3:$D$5001,BD!$A$3:$A$5001,$B13,BD!$B$3:$B$5001,$D$2)))</f>
        <v>0</v>
      </c>
      <c r="E13" s="47">
        <f>IF($B13="","",IF($B$2="Todos",SUMIFS(BD!$E$3:$E$5001,BD!$A$3:$A$5001,$B13),SUMIFS(BD!$E$3:$E$5001,BD!$A$3:$A$5001,$B13,BD!$B$3:$B$5001,$D$2)))</f>
        <v>0</v>
      </c>
      <c r="F13" s="32">
        <f>IF($B13="","",IF($B$2="Todos",SUMIFS(BD!$F$3:$F$5001,BD!$A$3:$A$5001,$B13),SUMIFS(BD!$F$3:$F$5001,BD!$A$3:$A$5001,$B13,BD!$B$3:$B$5001,$D$2)))</f>
        <v>0</v>
      </c>
      <c r="G13" s="32">
        <f>IF($B13="","",IF($B$2="Todos",SUMIFS(BD!$G$3:$G$5001,BD!$A$3:$A$5001,$B13),SUMIFS(BD!$G$3:$G$5001,BD!$A$3:$A$5001,$B13,BD!$B$3:$B$5001,$D$2)))</f>
        <v>0</v>
      </c>
      <c r="H13" s="47">
        <f>IF($B13="","",IF($B$2="Todos",SUMIFS(BD!$H$3:$H$5001,BD!$A$3:$A$5001,$B13),SUMIFS(BD!$H$3:$H$5001,BD!$A$3:$A$5001,$B13,BD!$B$3:$B$5001,$D$2)))</f>
        <v>0</v>
      </c>
      <c r="I13" s="32">
        <f>IF($B13="","",IF($B$2="Todos",SUMIFS(BD!$I$3:$I$5001,BD!$A$3:$A$5001,$B13),SUMIFS(BD!$I$3:$I$5001,BD!$A$3:$A$5001,$B13,BD!$B$3:$B$5001,$D$2)))</f>
        <v>0</v>
      </c>
      <c r="J13" s="32">
        <f>IF($B13="","",IF($B$2="Todos",SUMIFS(BD!$J$3:$J$5001,BD!$A$3:$A$5001,$B13),SUMIFS(BD!$J$3:$J$5001,BD!$A$3:$A$5001,$B13,BD!$B$3:$B$5001,$D$2)))</f>
        <v>0</v>
      </c>
      <c r="K13" s="32" t="str">
        <f>IF($B$2="Todos",IF(COUNT($C$116:$V$116)=0,"",SUM($C$116:$V$116)),IFERROR(INDEX($C$116:$V$116,MATCH($D$2,$C$114:$V$114,0)),""))</f>
        <v/>
      </c>
      <c r="L13" s="48" t="str">
        <f>IF(M13="","",IF($B$2="Todos",IF($B$4&gt;0,$B$4,IF($B$2="Todos",IF(COUNT($C$186:$V$186)=0,"",SUM($C$186:$V$186)),IFERROR(INDEX($C$186:$V$186,MATCH($D$2,$C$184:$V$184,0)),""))),IFERROR(INDEX($C$186:$V$186,MATCH($D$2,$C$184:$V$184,0)),"")))</f>
        <v/>
      </c>
      <c r="M13" s="32" t="str">
        <f>IF($B$2="Todos",IF(COUNT($C$151:$V$151)=0,"",SUM($C$151:$V$151)),IFERROR(INDEX($C$151:$V$151,MATCH($D$2,$C$149:$V$149,0)),""))</f>
        <v/>
      </c>
      <c r="N13" s="49" t="str">
        <f>IF(AND(ISNUMBER(M13),ISNUMBER(L13)),IF(L13&gt;0,M13/L13,""),"")</f>
        <v/>
      </c>
      <c r="O13" s="32" t="str">
        <f>IF($B$2="Todos",IF(COUNT($C$221:$V$221)=0,"",SUM($C$221:$V$221)),IFERROR(INDEX($C$221:$V$221,MATCH($D$2,$C$219:$V$219,0)),""))</f>
        <v/>
      </c>
      <c r="P13" s="32">
        <f>IF($B13="","",IF($B$2="Todos",SUMIFS(BD!$O$3:$O$5001,BD!$A$3:$A$5001,$B13),SUMIFS(BD!$O$3:$O$5001,BD!$A$3:$A$5001,$B13,BD!$B$3:$B$5001,$D$2)))</f>
        <v>0</v>
      </c>
      <c r="Q13" s="32">
        <f>IF($B13="","",IF($B$2="Todos",SUMIFS(BD!$P$3:$P$5001,BD!$A$3:$A$5001,$B13),SUMIFS(BD!$P$3:$P$5001,BD!$A$3:$A$5001,$B13,BD!$B$3:$B$5001,$D$2)))</f>
        <v>0</v>
      </c>
      <c r="R13" s="32">
        <f>IF($B13="","",IF($B$2="Todos",SUMIFS(BD!$Q$3:$Q$5001,BD!$A$3:$A$5001,$B13),SUMIFS(BD!$Q$3:$Q$5001,BD!$A$3:$A$5001,$B13,BD!$B$3:$B$5001,$D$2)))</f>
        <v>0</v>
      </c>
      <c r="S13" s="32">
        <f>IF($B13="","",IF($B$2="Todos",SUMIFS(BD!$R$3:$R$5001,BD!$A$3:$A$5001,$B13),SUMIFS(BD!$R$3:$R$5001,BD!$A$3:$A$5001,$B13,BD!$B$3:$B$5001,$D$2)))</f>
        <v>0</v>
      </c>
      <c r="T13" s="32">
        <f>IF($B13="","",IF($B$2="Todos",SUMIFS(BD!$S$3:$S$5001,BD!$A$3:$A$5001,$B13),SUMIFS(BD!$S$3:$S$5001,BD!$A$3:$A$5001,$B13,BD!$B$3:$B$5001,$D$2)))</f>
        <v>0</v>
      </c>
      <c r="U13" s="32">
        <f>IF($B13="","",IF($B$2="Todos",SUMIFS(BD!$T$3:$T$5001,BD!$A$3:$A$5001,$B13),SUMIFS(BD!$T$3:$T$5001,BD!$A$3:$A$5001,$B13,BD!$B$3:$B$5001,$D$2)))</f>
        <v>0</v>
      </c>
      <c r="V13" s="32">
        <f>IF($B13="","",IF($B$2="Todos",SUMIFS(BD!$U$3:$U$5001,BD!$A$3:$A$5001,$B13),SUMIFS(BD!$U$3:$U$5001,BD!$A$3:$A$5001,$B13,BD!$B$3:$B$5001,$D$2)))</f>
        <v>0</v>
      </c>
      <c r="W13" s="50">
        <f>$B$5</f>
        <v>0.7</v>
      </c>
      <c r="X13" s="50">
        <f>$B$6</f>
        <v>0.9</v>
      </c>
      <c r="AL13" s="29" t="inlineStr">
        <is>
          <t xml:space="preserve">FEVEREIRO · 2026</t>
        </is>
      </c>
      <c r="AN13" s="29" t="str">
        <f>IFERROR(INDEX(Config!$B$10:$B$29,MATCH(1,$AP$13:$AP$32,0))&amp;"","")</f>
        <v>Barry Callebaut</v>
      </c>
      <c r="AO13" s="28" t="str">
        <f>IF(AN13="","",IF(INDEX(Config!$C$10:$C$29,MATCH(1,$AP$13:$AP$32,0))&amp;""="","JSL",INDEX(Config!$C$10:$C$29,MATCH(1,$AP$13:$AP$32,0))&amp;""))</f>
        <v>JSL</v>
      </c>
      <c r="AP13" s="38">
        <f>IF(Config!$B$10&amp;""="",0,0+1)</f>
        <v>1</v>
      </c>
      <c r="AQ13" s="29" t="str">
        <f>IF($AZ$310="Não se aplica",Config!$D$86,IF($AZ$310="Só ocupadas",Config!$D$85,Config!$D$84))&amp;" — "&amp;IF($B$2="Todos","TODOS OS CLIENTES",UPPER($B$2))</f>
        <v>OCUPAÇÃO DIÁRIA — TODOS OS CLIENTES</v>
      </c>
      <c r="AT13" s="40" t="inlineStr">
        <is>
          <t xml:space="preserve">JSL</t>
        </is>
      </c>
      <c r="AU13" s="41">
        <f>N(Config!$C$95)</f>
        <v>5872</v>
      </c>
      <c r="AV13" s="31" t="inlineStr">
        <is>
          <t xml:space="preserve">aba Config</t>
        </is>
      </c>
      <c r="AX13" s="61">
        <f>IF(OR($B13="",N(VALUE($AH$310))=0),"",IF(INDEX($C13:$V13,VALUE($AH$310))="","",IF(N(VALUE($AJ$310))=0,INDEX($C13:$V13,VALUE($AH$310)),IF(N(INDEX($C13:$V13,N(VALUE($AJ$310))))&gt;0,INDEX($C13:$V13,VALUE($AH$310))/INDEX($C13:$V13,N(VALUE($AJ$310))),""))))</f>
        <v>0</v>
      </c>
      <c r="AY13" s="61">
        <f>IF(OR($B13="",N(VALUE($AI$310))=0),"",IF(INDEX($C13:$V13,VALUE($AI$310))="","",IF(N(VALUE($AK$310))=0,INDEX($C13:$V13,VALUE($AI$310)),IF(N(INDEX($C13:$V13,N(VALUE($AK$310))))&gt;0,INDEX($C13:$V13,VALUE($AI$310))/INDEX($C13:$V13,N(VALUE($AK$310))),""))))</f>
        <v>0</v>
      </c>
      <c r="AZ13" s="61">
        <f>IF(OR($B13="",N(VALUE($AP$310))=0),"",IF(INDEX($C13:$V13,VALUE($AP$310))="","",IF(N(VALUE($AR$310))=0,INDEX($C13:$V13,VALUE($AP$310)),IF(N(INDEX($C13:$V13,N(VALUE($AR$310))))&gt;0,INDEX($C13:$V13,VALUE($AP$310))/INDEX($C13:$V13,N(VALUE($AR$310))),""))))</f>
        <v>0</v>
      </c>
      <c r="BA13" s="61">
        <f>IF(OR($B13="",N(VALUE($AQ$310))=0),"",IF(INDEX($C13:$V13,VALUE($AQ$310))="","",IF(N(VALUE($AS$310))=0,INDEX($C13:$V13,VALUE($AQ$310)),IF(N(INDEX($C13:$V13,N(VALUE($AS$310))))&gt;0,INDEX($C13:$V13,VALUE($AQ$310))/INDEX($C13:$V13,N(VALUE($AS$310))),""))))</f>
        <v>0</v>
      </c>
      <c r="BC13" s="32" t="str">
        <f>IF(AND($A13=$B$9,ISNUMBER(L13)),L13,NA())</f>
        <v/>
      </c>
    </row>
    <row r="14">
      <c r="A14" s="28">
        <v>3</v>
      </c>
      <c r="B14" s="46">
        <f>IF($A14&lt;=DAY($D$7),$C$7+$A14-1,"")</f>
        <v>46298</v>
      </c>
      <c r="C14" s="32">
        <f>IF($B14="","",IF($B$2="Todos",SUMIFS(BD!$C$3:$C$5001,BD!$A$3:$A$5001,$B14),SUMIFS(BD!$C$3:$C$5001,BD!$A$3:$A$5001,$B14,BD!$B$3:$B$5001,$D$2)))</f>
        <v>0</v>
      </c>
      <c r="D14" s="32">
        <f>IF($B14="","",IF($B$2="Todos",SUMIFS(BD!$D$3:$D$5001,BD!$A$3:$A$5001,$B14),SUMIFS(BD!$D$3:$D$5001,BD!$A$3:$A$5001,$B14,BD!$B$3:$B$5001,$D$2)))</f>
        <v>0</v>
      </c>
      <c r="E14" s="47">
        <f>IF($B14="","",IF($B$2="Todos",SUMIFS(BD!$E$3:$E$5001,BD!$A$3:$A$5001,$B14),SUMIFS(BD!$E$3:$E$5001,BD!$A$3:$A$5001,$B14,BD!$B$3:$B$5001,$D$2)))</f>
        <v>0</v>
      </c>
      <c r="F14" s="32">
        <f>IF($B14="","",IF($B$2="Todos",SUMIFS(BD!$F$3:$F$5001,BD!$A$3:$A$5001,$B14),SUMIFS(BD!$F$3:$F$5001,BD!$A$3:$A$5001,$B14,BD!$B$3:$B$5001,$D$2)))</f>
        <v>0</v>
      </c>
      <c r="G14" s="32">
        <f>IF($B14="","",IF($B$2="Todos",SUMIFS(BD!$G$3:$G$5001,BD!$A$3:$A$5001,$B14),SUMIFS(BD!$G$3:$G$5001,BD!$A$3:$A$5001,$B14,BD!$B$3:$B$5001,$D$2)))</f>
        <v>0</v>
      </c>
      <c r="H14" s="47">
        <f>IF($B14="","",IF($B$2="Todos",SUMIFS(BD!$H$3:$H$5001,BD!$A$3:$A$5001,$B14),SUMIFS(BD!$H$3:$H$5001,BD!$A$3:$A$5001,$B14,BD!$B$3:$B$5001,$D$2)))</f>
        <v>0</v>
      </c>
      <c r="I14" s="32">
        <f>IF($B14="","",IF($B$2="Todos",SUMIFS(BD!$I$3:$I$5001,BD!$A$3:$A$5001,$B14),SUMIFS(BD!$I$3:$I$5001,BD!$A$3:$A$5001,$B14,BD!$B$3:$B$5001,$D$2)))</f>
        <v>0</v>
      </c>
      <c r="J14" s="32">
        <f>IF($B14="","",IF($B$2="Todos",SUMIFS(BD!$J$3:$J$5001,BD!$A$3:$A$5001,$B14),SUMIFS(BD!$J$3:$J$5001,BD!$A$3:$A$5001,$B14,BD!$B$3:$B$5001,$D$2)))</f>
        <v>0</v>
      </c>
      <c r="K14" s="32" t="str">
        <f>IF($B$2="Todos",IF(COUNT($C$117:$V$117)=0,"",SUM($C$117:$V$117)),IFERROR(INDEX($C$117:$V$117,MATCH($D$2,$C$114:$V$114,0)),""))</f>
        <v/>
      </c>
      <c r="L14" s="48" t="str">
        <f>IF(M14="","",IF($B$2="Todos",IF($B$4&gt;0,$B$4,IF($B$2="Todos",IF(COUNT($C$187:$V$187)=0,"",SUM($C$187:$V$187)),IFERROR(INDEX($C$187:$V$187,MATCH($D$2,$C$184:$V$184,0)),""))),IFERROR(INDEX($C$187:$V$187,MATCH($D$2,$C$184:$V$184,0)),"")))</f>
        <v/>
      </c>
      <c r="M14" s="32" t="str">
        <f>IF($B$2="Todos",IF(COUNT($C$152:$V$152)=0,"",SUM($C$152:$V$152)),IFERROR(INDEX($C$152:$V$152,MATCH($D$2,$C$149:$V$149,0)),""))</f>
        <v/>
      </c>
      <c r="N14" s="49" t="str">
        <f>IF(AND(ISNUMBER(M14),ISNUMBER(L14)),IF(L14&gt;0,M14/L14,""),"")</f>
        <v/>
      </c>
      <c r="O14" s="32" t="str">
        <f>IF($B$2="Todos",IF(COUNT($C$222:$V$222)=0,"",SUM($C$222:$V$222)),IFERROR(INDEX($C$222:$V$222,MATCH($D$2,$C$219:$V$219,0)),""))</f>
        <v/>
      </c>
      <c r="P14" s="32">
        <f>IF($B14="","",IF($B$2="Todos",SUMIFS(BD!$O$3:$O$5001,BD!$A$3:$A$5001,$B14),SUMIFS(BD!$O$3:$O$5001,BD!$A$3:$A$5001,$B14,BD!$B$3:$B$5001,$D$2)))</f>
        <v>0</v>
      </c>
      <c r="Q14" s="32">
        <f>IF($B14="","",IF($B$2="Todos",SUMIFS(BD!$P$3:$P$5001,BD!$A$3:$A$5001,$B14),SUMIFS(BD!$P$3:$P$5001,BD!$A$3:$A$5001,$B14,BD!$B$3:$B$5001,$D$2)))</f>
        <v>0</v>
      </c>
      <c r="R14" s="32">
        <f>IF($B14="","",IF($B$2="Todos",SUMIFS(BD!$Q$3:$Q$5001,BD!$A$3:$A$5001,$B14),SUMIFS(BD!$Q$3:$Q$5001,BD!$A$3:$A$5001,$B14,BD!$B$3:$B$5001,$D$2)))</f>
        <v>0</v>
      </c>
      <c r="S14" s="32">
        <f>IF($B14="","",IF($B$2="Todos",SUMIFS(BD!$R$3:$R$5001,BD!$A$3:$A$5001,$B14),SUMIFS(BD!$R$3:$R$5001,BD!$A$3:$A$5001,$B14,BD!$B$3:$B$5001,$D$2)))</f>
        <v>0</v>
      </c>
      <c r="T14" s="32">
        <f>IF($B14="","",IF($B$2="Todos",SUMIFS(BD!$S$3:$S$5001,BD!$A$3:$A$5001,$B14),SUMIFS(BD!$S$3:$S$5001,BD!$A$3:$A$5001,$B14,BD!$B$3:$B$5001,$D$2)))</f>
        <v>0</v>
      </c>
      <c r="U14" s="32">
        <f>IF($B14="","",IF($B$2="Todos",SUMIFS(BD!$T$3:$T$5001,BD!$A$3:$A$5001,$B14),SUMIFS(BD!$T$3:$T$5001,BD!$A$3:$A$5001,$B14,BD!$B$3:$B$5001,$D$2)))</f>
        <v>0</v>
      </c>
      <c r="V14" s="32">
        <f>IF($B14="","",IF($B$2="Todos",SUMIFS(BD!$U$3:$U$5001,BD!$A$3:$A$5001,$B14),SUMIFS(BD!$U$3:$U$5001,BD!$A$3:$A$5001,$B14,BD!$B$3:$B$5001,$D$2)))</f>
        <v>0</v>
      </c>
      <c r="W14" s="50">
        <f>$B$5</f>
        <v>0.7</v>
      </c>
      <c r="X14" s="50">
        <f>$B$6</f>
        <v>0.9</v>
      </c>
      <c r="AL14" s="29" t="inlineStr">
        <is>
          <t xml:space="preserve">MARÇO · 2026</t>
        </is>
      </c>
      <c r="AN14" s="29" t="str">
        <f>IFERROR(INDEX(Config!$B$10:$B$29,MATCH(2,$AP$13:$AP$32,0))&amp;"","")</f>
        <v>GM</v>
      </c>
      <c r="AO14" s="28" t="str">
        <f>IF(AN14="","",IF(INDEX(Config!$C$10:$C$29,MATCH(2,$AP$13:$AP$32,0))&amp;""="","JSL",INDEX(Config!$C$10:$C$29,MATCH(2,$AP$13:$AP$32,0))&amp;""))</f>
        <v>JSL</v>
      </c>
      <c r="AP14" s="38">
        <f>IF(Config!$B$11&amp;""="",AP13,AP13+1)</f>
        <v>2</v>
      </c>
      <c r="AQ14" s="29" t="str">
        <f>$AL$310&amp;" — "&amp;IF($B$2="Todos","TODOS OS CLIENTES",UPPER($B$2))</f>
        <v>MOVIMENTAÇÃO PALETES/DIA — TODOS OS CLIENTES</v>
      </c>
      <c r="AX14" s="61">
        <f>IF(OR($B14="",N(VALUE($AH$310))=0),"",IF(INDEX($C14:$V14,VALUE($AH$310))="","",IF(N(VALUE($AJ$310))=0,INDEX($C14:$V14,VALUE($AH$310)),IF(N(INDEX($C14:$V14,N(VALUE($AJ$310))))&gt;0,INDEX($C14:$V14,VALUE($AH$310))/INDEX($C14:$V14,N(VALUE($AJ$310))),""))))</f>
        <v>0</v>
      </c>
      <c r="AY14" s="61">
        <f>IF(OR($B14="",N(VALUE($AI$310))=0),"",IF(INDEX($C14:$V14,VALUE($AI$310))="","",IF(N(VALUE($AK$310))=0,INDEX($C14:$V14,VALUE($AI$310)),IF(N(INDEX($C14:$V14,N(VALUE($AK$310))))&gt;0,INDEX($C14:$V14,VALUE($AI$310))/INDEX($C14:$V14,N(VALUE($AK$310))),""))))</f>
        <v>0</v>
      </c>
      <c r="AZ14" s="61">
        <f>IF(OR($B14="",N(VALUE($AP$310))=0),"",IF(INDEX($C14:$V14,VALUE($AP$310))="","",IF(N(VALUE($AR$310))=0,INDEX($C14:$V14,VALUE($AP$310)),IF(N(INDEX($C14:$V14,N(VALUE($AR$310))))&gt;0,INDEX($C14:$V14,VALUE($AP$310))/INDEX($C14:$V14,N(VALUE($AR$310))),""))))</f>
        <v>0</v>
      </c>
      <c r="BA14" s="61">
        <f>IF(OR($B14="",N(VALUE($AQ$310))=0),"",IF(INDEX($C14:$V14,VALUE($AQ$310))="","",IF(N(VALUE($AS$310))=0,INDEX($C14:$V14,VALUE($AQ$310)),IF(N(INDEX($C14:$V14,N(VALUE($AS$310))))&gt;0,INDEX($C14:$V14,VALUE($AQ$310))/INDEX($C14:$V14,N(VALUE($AS$310))),""))))</f>
        <v>0</v>
      </c>
      <c r="BC14" s="32" t="str">
        <f>IF(AND($A14=$B$9,ISNUMBER(L14)),L14,NA())</f>
        <v/>
      </c>
    </row>
    <row r="15">
      <c r="A15" s="28">
        <v>4</v>
      </c>
      <c r="B15" s="46">
        <f>IF($A15&lt;=DAY($D$7),$C$7+$A15-1,"")</f>
        <v>46299</v>
      </c>
      <c r="C15" s="32">
        <f>IF($B15="","",IF($B$2="Todos",SUMIFS(BD!$C$3:$C$5001,BD!$A$3:$A$5001,$B15),SUMIFS(BD!$C$3:$C$5001,BD!$A$3:$A$5001,$B15,BD!$B$3:$B$5001,$D$2)))</f>
        <v>0</v>
      </c>
      <c r="D15" s="32">
        <f>IF($B15="","",IF($B$2="Todos",SUMIFS(BD!$D$3:$D$5001,BD!$A$3:$A$5001,$B15),SUMIFS(BD!$D$3:$D$5001,BD!$A$3:$A$5001,$B15,BD!$B$3:$B$5001,$D$2)))</f>
        <v>0</v>
      </c>
      <c r="E15" s="47">
        <f>IF($B15="","",IF($B$2="Todos",SUMIFS(BD!$E$3:$E$5001,BD!$A$3:$A$5001,$B15),SUMIFS(BD!$E$3:$E$5001,BD!$A$3:$A$5001,$B15,BD!$B$3:$B$5001,$D$2)))</f>
        <v>0</v>
      </c>
      <c r="F15" s="32">
        <f>IF($B15="","",IF($B$2="Todos",SUMIFS(BD!$F$3:$F$5001,BD!$A$3:$A$5001,$B15),SUMIFS(BD!$F$3:$F$5001,BD!$A$3:$A$5001,$B15,BD!$B$3:$B$5001,$D$2)))</f>
        <v>0</v>
      </c>
      <c r="G15" s="32">
        <f>IF($B15="","",IF($B$2="Todos",SUMIFS(BD!$G$3:$G$5001,BD!$A$3:$A$5001,$B15),SUMIFS(BD!$G$3:$G$5001,BD!$A$3:$A$5001,$B15,BD!$B$3:$B$5001,$D$2)))</f>
        <v>0</v>
      </c>
      <c r="H15" s="47">
        <f>IF($B15="","",IF($B$2="Todos",SUMIFS(BD!$H$3:$H$5001,BD!$A$3:$A$5001,$B15),SUMIFS(BD!$H$3:$H$5001,BD!$A$3:$A$5001,$B15,BD!$B$3:$B$5001,$D$2)))</f>
        <v>0</v>
      </c>
      <c r="I15" s="32">
        <f>IF($B15="","",IF($B$2="Todos",SUMIFS(BD!$I$3:$I$5001,BD!$A$3:$A$5001,$B15),SUMIFS(BD!$I$3:$I$5001,BD!$A$3:$A$5001,$B15,BD!$B$3:$B$5001,$D$2)))</f>
        <v>0</v>
      </c>
      <c r="J15" s="32">
        <f>IF($B15="","",IF($B$2="Todos",SUMIFS(BD!$J$3:$J$5001,BD!$A$3:$A$5001,$B15),SUMIFS(BD!$J$3:$J$5001,BD!$A$3:$A$5001,$B15,BD!$B$3:$B$5001,$D$2)))</f>
        <v>0</v>
      </c>
      <c r="K15" s="32" t="str">
        <f>IF($B$2="Todos",IF(COUNT($C$118:$V$118)=0,"",SUM($C$118:$V$118)),IFERROR(INDEX($C$118:$V$118,MATCH($D$2,$C$114:$V$114,0)),""))</f>
        <v/>
      </c>
      <c r="L15" s="48" t="str">
        <f>IF(M15="","",IF($B$2="Todos",IF($B$4&gt;0,$B$4,IF($B$2="Todos",IF(COUNT($C$188:$V$188)=0,"",SUM($C$188:$V$188)),IFERROR(INDEX($C$188:$V$188,MATCH($D$2,$C$184:$V$184,0)),""))),IFERROR(INDEX($C$188:$V$188,MATCH($D$2,$C$184:$V$184,0)),"")))</f>
        <v/>
      </c>
      <c r="M15" s="32" t="str">
        <f>IF($B$2="Todos",IF(COUNT($C$153:$V$153)=0,"",SUM($C$153:$V$153)),IFERROR(INDEX($C$153:$V$153,MATCH($D$2,$C$149:$V$149,0)),""))</f>
        <v/>
      </c>
      <c r="N15" s="49" t="str">
        <f>IF(AND(ISNUMBER(M15),ISNUMBER(L15)),IF(L15&gt;0,M15/L15,""),"")</f>
        <v/>
      </c>
      <c r="O15" s="32" t="str">
        <f>IF($B$2="Todos",IF(COUNT($C$223:$V$223)=0,"",SUM($C$223:$V$223)),IFERROR(INDEX($C$223:$V$223,MATCH($D$2,$C$219:$V$219,0)),""))</f>
        <v/>
      </c>
      <c r="P15" s="32">
        <f>IF($B15="","",IF($B$2="Todos",SUMIFS(BD!$O$3:$O$5001,BD!$A$3:$A$5001,$B15),SUMIFS(BD!$O$3:$O$5001,BD!$A$3:$A$5001,$B15,BD!$B$3:$B$5001,$D$2)))</f>
        <v>0</v>
      </c>
      <c r="Q15" s="32">
        <f>IF($B15="","",IF($B$2="Todos",SUMIFS(BD!$P$3:$P$5001,BD!$A$3:$A$5001,$B15),SUMIFS(BD!$P$3:$P$5001,BD!$A$3:$A$5001,$B15,BD!$B$3:$B$5001,$D$2)))</f>
        <v>0</v>
      </c>
      <c r="R15" s="32">
        <f>IF($B15="","",IF($B$2="Todos",SUMIFS(BD!$Q$3:$Q$5001,BD!$A$3:$A$5001,$B15),SUMIFS(BD!$Q$3:$Q$5001,BD!$A$3:$A$5001,$B15,BD!$B$3:$B$5001,$D$2)))</f>
        <v>0</v>
      </c>
      <c r="S15" s="32">
        <f>IF($B15="","",IF($B$2="Todos",SUMIFS(BD!$R$3:$R$5001,BD!$A$3:$A$5001,$B15),SUMIFS(BD!$R$3:$R$5001,BD!$A$3:$A$5001,$B15,BD!$B$3:$B$5001,$D$2)))</f>
        <v>0</v>
      </c>
      <c r="T15" s="32">
        <f>IF($B15="","",IF($B$2="Todos",SUMIFS(BD!$S$3:$S$5001,BD!$A$3:$A$5001,$B15),SUMIFS(BD!$S$3:$S$5001,BD!$A$3:$A$5001,$B15,BD!$B$3:$B$5001,$D$2)))</f>
        <v>0</v>
      </c>
      <c r="U15" s="32">
        <f>IF($B15="","",IF($B$2="Todos",SUMIFS(BD!$T$3:$T$5001,BD!$A$3:$A$5001,$B15),SUMIFS(BD!$T$3:$T$5001,BD!$A$3:$A$5001,$B15,BD!$B$3:$B$5001,$D$2)))</f>
        <v>0</v>
      </c>
      <c r="V15" s="32">
        <f>IF($B15="","",IF($B$2="Todos",SUMIFS(BD!$U$3:$U$5001,BD!$A$3:$A$5001,$B15),SUMIFS(BD!$U$3:$U$5001,BD!$A$3:$A$5001,$B15,BD!$B$3:$B$5001,$D$2)))</f>
        <v>0</v>
      </c>
      <c r="W15" s="50">
        <f>$B$5</f>
        <v>0.7</v>
      </c>
      <c r="X15" s="50">
        <f>$B$6</f>
        <v>0.9</v>
      </c>
      <c r="AL15" s="29" t="inlineStr">
        <is>
          <t xml:space="preserve">ABRIL · 2026</t>
        </is>
      </c>
      <c r="AN15" s="29" t="str">
        <f>IFERROR(INDEX(Config!$B$10:$B$29,MATCH(3,$AP$13:$AP$32,0))&amp;"","")</f>
        <v>Mondelez</v>
      </c>
      <c r="AO15" s="28" t="str">
        <f>IF(AN15="","",IF(INDEX(Config!$C$10:$C$29,MATCH(3,$AP$13:$AP$32,0))&amp;""="","JSL",INDEX(Config!$C$10:$C$29,MATCH(3,$AP$13:$AP$32,0))&amp;""))</f>
        <v>JSL</v>
      </c>
      <c r="AP15" s="38">
        <f>IF(Config!$B$12&amp;""="",AP14,AP14+1)</f>
        <v>3</v>
      </c>
      <c r="AQ15" s="29" t="str">
        <f>$AT$310&amp;" — "&amp;IF($B$2="Todos","TODOS OS CLIENTES",UPPER($B$2))</f>
        <v>MOVIMENTAÇÃO TONS/DIA — TODOS OS CLIENTES</v>
      </c>
      <c r="AX15" s="61">
        <f>IF(OR($B15="",N(VALUE($AH$310))=0),"",IF(INDEX($C15:$V15,VALUE($AH$310))="","",IF(N(VALUE($AJ$310))=0,INDEX($C15:$V15,VALUE($AH$310)),IF(N(INDEX($C15:$V15,N(VALUE($AJ$310))))&gt;0,INDEX($C15:$V15,VALUE($AH$310))/INDEX($C15:$V15,N(VALUE($AJ$310))),""))))</f>
        <v>0</v>
      </c>
      <c r="AY15" s="61">
        <f>IF(OR($B15="",N(VALUE($AI$310))=0),"",IF(INDEX($C15:$V15,VALUE($AI$310))="","",IF(N(VALUE($AK$310))=0,INDEX($C15:$V15,VALUE($AI$310)),IF(N(INDEX($C15:$V15,N(VALUE($AK$310))))&gt;0,INDEX($C15:$V15,VALUE($AI$310))/INDEX($C15:$V15,N(VALUE($AK$310))),""))))</f>
        <v>0</v>
      </c>
      <c r="AZ15" s="61">
        <f>IF(OR($B15="",N(VALUE($AP$310))=0),"",IF(INDEX($C15:$V15,VALUE($AP$310))="","",IF(N(VALUE($AR$310))=0,INDEX($C15:$V15,VALUE($AP$310)),IF(N(INDEX($C15:$V15,N(VALUE($AR$310))))&gt;0,INDEX($C15:$V15,VALUE($AP$310))/INDEX($C15:$V15,N(VALUE($AR$310))),""))))</f>
        <v>0</v>
      </c>
      <c r="BA15" s="61">
        <f>IF(OR($B15="",N(VALUE($AQ$310))=0),"",IF(INDEX($C15:$V15,VALUE($AQ$310))="","",IF(N(VALUE($AS$310))=0,INDEX($C15:$V15,VALUE($AQ$310)),IF(N(INDEX($C15:$V15,N(VALUE($AS$310))))&gt;0,INDEX($C15:$V15,VALUE($AQ$310))/INDEX($C15:$V15,N(VALUE($AS$310))),""))))</f>
        <v>0</v>
      </c>
      <c r="BC15" s="32" t="str">
        <f>IF(AND($A15=$B$9,ISNUMBER(L15)),L15,NA())</f>
        <v/>
      </c>
    </row>
    <row r="16">
      <c r="A16" s="28">
        <v>5</v>
      </c>
      <c r="B16" s="46">
        <f>IF($A16&lt;=DAY($D$7),$C$7+$A16-1,"")</f>
        <v>46300</v>
      </c>
      <c r="C16" s="32">
        <f>IF($B16="","",IF($B$2="Todos",SUMIFS(BD!$C$3:$C$5001,BD!$A$3:$A$5001,$B16),SUMIFS(BD!$C$3:$C$5001,BD!$A$3:$A$5001,$B16,BD!$B$3:$B$5001,$D$2)))</f>
        <v>0</v>
      </c>
      <c r="D16" s="32">
        <f>IF($B16="","",IF($B$2="Todos",SUMIFS(BD!$D$3:$D$5001,BD!$A$3:$A$5001,$B16),SUMIFS(BD!$D$3:$D$5001,BD!$A$3:$A$5001,$B16,BD!$B$3:$B$5001,$D$2)))</f>
        <v>0</v>
      </c>
      <c r="E16" s="47">
        <f>IF($B16="","",IF($B$2="Todos",SUMIFS(BD!$E$3:$E$5001,BD!$A$3:$A$5001,$B16),SUMIFS(BD!$E$3:$E$5001,BD!$A$3:$A$5001,$B16,BD!$B$3:$B$5001,$D$2)))</f>
        <v>0</v>
      </c>
      <c r="F16" s="32">
        <f>IF($B16="","",IF($B$2="Todos",SUMIFS(BD!$F$3:$F$5001,BD!$A$3:$A$5001,$B16),SUMIFS(BD!$F$3:$F$5001,BD!$A$3:$A$5001,$B16,BD!$B$3:$B$5001,$D$2)))</f>
        <v>0</v>
      </c>
      <c r="G16" s="32">
        <f>IF($B16="","",IF($B$2="Todos",SUMIFS(BD!$G$3:$G$5001,BD!$A$3:$A$5001,$B16),SUMIFS(BD!$G$3:$G$5001,BD!$A$3:$A$5001,$B16,BD!$B$3:$B$5001,$D$2)))</f>
        <v>0</v>
      </c>
      <c r="H16" s="47">
        <f>IF($B16="","",IF($B$2="Todos",SUMIFS(BD!$H$3:$H$5001,BD!$A$3:$A$5001,$B16),SUMIFS(BD!$H$3:$H$5001,BD!$A$3:$A$5001,$B16,BD!$B$3:$B$5001,$D$2)))</f>
        <v>0</v>
      </c>
      <c r="I16" s="32">
        <f>IF($B16="","",IF($B$2="Todos",SUMIFS(BD!$I$3:$I$5001,BD!$A$3:$A$5001,$B16),SUMIFS(BD!$I$3:$I$5001,BD!$A$3:$A$5001,$B16,BD!$B$3:$B$5001,$D$2)))</f>
        <v>0</v>
      </c>
      <c r="J16" s="32">
        <f>IF($B16="","",IF($B$2="Todos",SUMIFS(BD!$J$3:$J$5001,BD!$A$3:$A$5001,$B16),SUMIFS(BD!$J$3:$J$5001,BD!$A$3:$A$5001,$B16,BD!$B$3:$B$5001,$D$2)))</f>
        <v>0</v>
      </c>
      <c r="K16" s="32" t="str">
        <f>IF($B$2="Todos",IF(COUNT($C$119:$V$119)=0,"",SUM($C$119:$V$119)),IFERROR(INDEX($C$119:$V$119,MATCH($D$2,$C$114:$V$114,0)),""))</f>
        <v/>
      </c>
      <c r="L16" s="48" t="str">
        <f>IF(M16="","",IF($B$2="Todos",IF($B$4&gt;0,$B$4,IF($B$2="Todos",IF(COUNT($C$189:$V$189)=0,"",SUM($C$189:$V$189)),IFERROR(INDEX($C$189:$V$189,MATCH($D$2,$C$184:$V$184,0)),""))),IFERROR(INDEX($C$189:$V$189,MATCH($D$2,$C$184:$V$184,0)),"")))</f>
        <v/>
      </c>
      <c r="M16" s="32" t="str">
        <f>IF($B$2="Todos",IF(COUNT($C$154:$V$154)=0,"",SUM($C$154:$V$154)),IFERROR(INDEX($C$154:$V$154,MATCH($D$2,$C$149:$V$149,0)),""))</f>
        <v/>
      </c>
      <c r="N16" s="49" t="str">
        <f>IF(AND(ISNUMBER(M16),ISNUMBER(L16)),IF(L16&gt;0,M16/L16,""),"")</f>
        <v/>
      </c>
      <c r="O16" s="32" t="str">
        <f>IF($B$2="Todos",IF(COUNT($C$224:$V$224)=0,"",SUM($C$224:$V$224)),IFERROR(INDEX($C$224:$V$224,MATCH($D$2,$C$219:$V$219,0)),""))</f>
        <v/>
      </c>
      <c r="P16" s="32">
        <f>IF($B16="","",IF($B$2="Todos",SUMIFS(BD!$O$3:$O$5001,BD!$A$3:$A$5001,$B16),SUMIFS(BD!$O$3:$O$5001,BD!$A$3:$A$5001,$B16,BD!$B$3:$B$5001,$D$2)))</f>
        <v>0</v>
      </c>
      <c r="Q16" s="32">
        <f>IF($B16="","",IF($B$2="Todos",SUMIFS(BD!$P$3:$P$5001,BD!$A$3:$A$5001,$B16),SUMIFS(BD!$P$3:$P$5001,BD!$A$3:$A$5001,$B16,BD!$B$3:$B$5001,$D$2)))</f>
        <v>0</v>
      </c>
      <c r="R16" s="32">
        <f>IF($B16="","",IF($B$2="Todos",SUMIFS(BD!$Q$3:$Q$5001,BD!$A$3:$A$5001,$B16),SUMIFS(BD!$Q$3:$Q$5001,BD!$A$3:$A$5001,$B16,BD!$B$3:$B$5001,$D$2)))</f>
        <v>0</v>
      </c>
      <c r="S16" s="32">
        <f>IF($B16="","",IF($B$2="Todos",SUMIFS(BD!$R$3:$R$5001,BD!$A$3:$A$5001,$B16),SUMIFS(BD!$R$3:$R$5001,BD!$A$3:$A$5001,$B16,BD!$B$3:$B$5001,$D$2)))</f>
        <v>0</v>
      </c>
      <c r="T16" s="32">
        <f>IF($B16="","",IF($B$2="Todos",SUMIFS(BD!$S$3:$S$5001,BD!$A$3:$A$5001,$B16),SUMIFS(BD!$S$3:$S$5001,BD!$A$3:$A$5001,$B16,BD!$B$3:$B$5001,$D$2)))</f>
        <v>0</v>
      </c>
      <c r="U16" s="32">
        <f>IF($B16="","",IF($B$2="Todos",SUMIFS(BD!$T$3:$T$5001,BD!$A$3:$A$5001,$B16),SUMIFS(BD!$T$3:$T$5001,BD!$A$3:$A$5001,$B16,BD!$B$3:$B$5001,$D$2)))</f>
        <v>0</v>
      </c>
      <c r="V16" s="32">
        <f>IF($B16="","",IF($B$2="Todos",SUMIFS(BD!$U$3:$U$5001,BD!$A$3:$A$5001,$B16),SUMIFS(BD!$U$3:$U$5001,BD!$A$3:$A$5001,$B16,BD!$B$3:$B$5001,$D$2)))</f>
        <v>0</v>
      </c>
      <c r="W16" s="50">
        <f>$B$5</f>
        <v>0.7</v>
      </c>
      <c r="X16" s="50">
        <f>$B$6</f>
        <v>0.9</v>
      </c>
      <c r="AL16" s="29" t="inlineStr">
        <is>
          <t xml:space="preserve">MAIO · 2026</t>
        </is>
      </c>
      <c r="AN16" s="29" t="str">
        <f>IFERROR(INDEX(Config!$B$10:$B$29,MATCH(4,$AP$13:$AP$32,0))&amp;"","")</f>
        <v>Nestlé</v>
      </c>
      <c r="AO16" s="28" t="str">
        <f>IF(AN16="","",IF(INDEX(Config!$C$10:$C$29,MATCH(4,$AP$13:$AP$32,0))&amp;""="","JSL",INDEX(Config!$C$10:$C$29,MATCH(4,$AP$13:$AP$32,0))&amp;""))</f>
        <v>JSL</v>
      </c>
      <c r="AP16" s="38">
        <f>IF(Config!$B$13&amp;""="",AP15,AP15+1)</f>
        <v>4</v>
      </c>
      <c r="AQ16" s="29" t="str">
        <f>$AM$310&amp;" — "&amp;IF($B$2="Todos","TODOS OS CLIENTES",UPPER($B$2))</f>
        <v>ACUMULADO SEMANAL PALETES — TODOS OS CLIENTES</v>
      </c>
      <c r="AX16" s="61">
        <f>IF(OR($B16="",N(VALUE($AH$310))=0),"",IF(INDEX($C16:$V16,VALUE($AH$310))="","",IF(N(VALUE($AJ$310))=0,INDEX($C16:$V16,VALUE($AH$310)),IF(N(INDEX($C16:$V16,N(VALUE($AJ$310))))&gt;0,INDEX($C16:$V16,VALUE($AH$310))/INDEX($C16:$V16,N(VALUE($AJ$310))),""))))</f>
        <v>0</v>
      </c>
      <c r="AY16" s="61">
        <f>IF(OR($B16="",N(VALUE($AI$310))=0),"",IF(INDEX($C16:$V16,VALUE($AI$310))="","",IF(N(VALUE($AK$310))=0,INDEX($C16:$V16,VALUE($AI$310)),IF(N(INDEX($C16:$V16,N(VALUE($AK$310))))&gt;0,INDEX($C16:$V16,VALUE($AI$310))/INDEX($C16:$V16,N(VALUE($AK$310))),""))))</f>
        <v>0</v>
      </c>
      <c r="AZ16" s="61">
        <f>IF(OR($B16="",N(VALUE($AP$310))=0),"",IF(INDEX($C16:$V16,VALUE($AP$310))="","",IF(N(VALUE($AR$310))=0,INDEX($C16:$V16,VALUE($AP$310)),IF(N(INDEX($C16:$V16,N(VALUE($AR$310))))&gt;0,INDEX($C16:$V16,VALUE($AP$310))/INDEX($C16:$V16,N(VALUE($AR$310))),""))))</f>
        <v>0</v>
      </c>
      <c r="BA16" s="61">
        <f>IF(OR($B16="",N(VALUE($AQ$310))=0),"",IF(INDEX($C16:$V16,VALUE($AQ$310))="","",IF(N(VALUE($AS$310))=0,INDEX($C16:$V16,VALUE($AQ$310)),IF(N(INDEX($C16:$V16,N(VALUE($AS$310))))&gt;0,INDEX($C16:$V16,VALUE($AQ$310))/INDEX($C16:$V16,N(VALUE($AS$310))),""))))</f>
        <v>0</v>
      </c>
      <c r="BC16" s="32" t="str">
        <f>IF(AND($A16=$B$9,ISNUMBER(L16)),L16,NA())</f>
        <v/>
      </c>
    </row>
    <row r="17">
      <c r="A17" s="28">
        <v>6</v>
      </c>
      <c r="B17" s="46">
        <f>IF($A17&lt;=DAY($D$7),$C$7+$A17-1,"")</f>
        <v>46301</v>
      </c>
      <c r="C17" s="32">
        <f>IF($B17="","",IF($B$2="Todos",SUMIFS(BD!$C$3:$C$5001,BD!$A$3:$A$5001,$B17),SUMIFS(BD!$C$3:$C$5001,BD!$A$3:$A$5001,$B17,BD!$B$3:$B$5001,$D$2)))</f>
        <v>0</v>
      </c>
      <c r="D17" s="32">
        <f>IF($B17="","",IF($B$2="Todos",SUMIFS(BD!$D$3:$D$5001,BD!$A$3:$A$5001,$B17),SUMIFS(BD!$D$3:$D$5001,BD!$A$3:$A$5001,$B17,BD!$B$3:$B$5001,$D$2)))</f>
        <v>0</v>
      </c>
      <c r="E17" s="47">
        <f>IF($B17="","",IF($B$2="Todos",SUMIFS(BD!$E$3:$E$5001,BD!$A$3:$A$5001,$B17),SUMIFS(BD!$E$3:$E$5001,BD!$A$3:$A$5001,$B17,BD!$B$3:$B$5001,$D$2)))</f>
        <v>0</v>
      </c>
      <c r="F17" s="32">
        <f>IF($B17="","",IF($B$2="Todos",SUMIFS(BD!$F$3:$F$5001,BD!$A$3:$A$5001,$B17),SUMIFS(BD!$F$3:$F$5001,BD!$A$3:$A$5001,$B17,BD!$B$3:$B$5001,$D$2)))</f>
        <v>0</v>
      </c>
      <c r="G17" s="32">
        <f>IF($B17="","",IF($B$2="Todos",SUMIFS(BD!$G$3:$G$5001,BD!$A$3:$A$5001,$B17),SUMIFS(BD!$G$3:$G$5001,BD!$A$3:$A$5001,$B17,BD!$B$3:$B$5001,$D$2)))</f>
        <v>0</v>
      </c>
      <c r="H17" s="47">
        <f>IF($B17="","",IF($B$2="Todos",SUMIFS(BD!$H$3:$H$5001,BD!$A$3:$A$5001,$B17),SUMIFS(BD!$H$3:$H$5001,BD!$A$3:$A$5001,$B17,BD!$B$3:$B$5001,$D$2)))</f>
        <v>0</v>
      </c>
      <c r="I17" s="32">
        <f>IF($B17="","",IF($B$2="Todos",SUMIFS(BD!$I$3:$I$5001,BD!$A$3:$A$5001,$B17),SUMIFS(BD!$I$3:$I$5001,BD!$A$3:$A$5001,$B17,BD!$B$3:$B$5001,$D$2)))</f>
        <v>0</v>
      </c>
      <c r="J17" s="32">
        <f>IF($B17="","",IF($B$2="Todos",SUMIFS(BD!$J$3:$J$5001,BD!$A$3:$A$5001,$B17),SUMIFS(BD!$J$3:$J$5001,BD!$A$3:$A$5001,$B17,BD!$B$3:$B$5001,$D$2)))</f>
        <v>0</v>
      </c>
      <c r="K17" s="32" t="str">
        <f>IF($B$2="Todos",IF(COUNT($C$120:$V$120)=0,"",SUM($C$120:$V$120)),IFERROR(INDEX($C$120:$V$120,MATCH($D$2,$C$114:$V$114,0)),""))</f>
        <v/>
      </c>
      <c r="L17" s="48" t="str">
        <f>IF(M17="","",IF($B$2="Todos",IF($B$4&gt;0,$B$4,IF($B$2="Todos",IF(COUNT($C$190:$V$190)=0,"",SUM($C$190:$V$190)),IFERROR(INDEX($C$190:$V$190,MATCH($D$2,$C$184:$V$184,0)),""))),IFERROR(INDEX($C$190:$V$190,MATCH($D$2,$C$184:$V$184,0)),"")))</f>
        <v/>
      </c>
      <c r="M17" s="32" t="str">
        <f>IF($B$2="Todos",IF(COUNT($C$155:$V$155)=0,"",SUM($C$155:$V$155)),IFERROR(INDEX($C$155:$V$155,MATCH($D$2,$C$149:$V$149,0)),""))</f>
        <v/>
      </c>
      <c r="N17" s="49" t="str">
        <f>IF(AND(ISNUMBER(M17),ISNUMBER(L17)),IF(L17&gt;0,M17/L17,""),"")</f>
        <v/>
      </c>
      <c r="O17" s="32" t="str">
        <f>IF($B$2="Todos",IF(COUNT($C$225:$V$225)=0,"",SUM($C$225:$V$225)),IFERROR(INDEX($C$225:$V$225,MATCH($D$2,$C$219:$V$219,0)),""))</f>
        <v/>
      </c>
      <c r="P17" s="32">
        <f>IF($B17="","",IF($B$2="Todos",SUMIFS(BD!$O$3:$O$5001,BD!$A$3:$A$5001,$B17),SUMIFS(BD!$O$3:$O$5001,BD!$A$3:$A$5001,$B17,BD!$B$3:$B$5001,$D$2)))</f>
        <v>0</v>
      </c>
      <c r="Q17" s="32">
        <f>IF($B17="","",IF($B$2="Todos",SUMIFS(BD!$P$3:$P$5001,BD!$A$3:$A$5001,$B17),SUMIFS(BD!$P$3:$P$5001,BD!$A$3:$A$5001,$B17,BD!$B$3:$B$5001,$D$2)))</f>
        <v>0</v>
      </c>
      <c r="R17" s="32">
        <f>IF($B17="","",IF($B$2="Todos",SUMIFS(BD!$Q$3:$Q$5001,BD!$A$3:$A$5001,$B17),SUMIFS(BD!$Q$3:$Q$5001,BD!$A$3:$A$5001,$B17,BD!$B$3:$B$5001,$D$2)))</f>
        <v>0</v>
      </c>
      <c r="S17" s="32">
        <f>IF($B17="","",IF($B$2="Todos",SUMIFS(BD!$R$3:$R$5001,BD!$A$3:$A$5001,$B17),SUMIFS(BD!$R$3:$R$5001,BD!$A$3:$A$5001,$B17,BD!$B$3:$B$5001,$D$2)))</f>
        <v>0</v>
      </c>
      <c r="T17" s="32">
        <f>IF($B17="","",IF($B$2="Todos",SUMIFS(BD!$S$3:$S$5001,BD!$A$3:$A$5001,$B17),SUMIFS(BD!$S$3:$S$5001,BD!$A$3:$A$5001,$B17,BD!$B$3:$B$5001,$D$2)))</f>
        <v>0</v>
      </c>
      <c r="U17" s="32">
        <f>IF($B17="","",IF($B$2="Todos",SUMIFS(BD!$T$3:$T$5001,BD!$A$3:$A$5001,$B17),SUMIFS(BD!$T$3:$T$5001,BD!$A$3:$A$5001,$B17,BD!$B$3:$B$5001,$D$2)))</f>
        <v>0</v>
      </c>
      <c r="V17" s="32">
        <f>IF($B17="","",IF($B$2="Todos",SUMIFS(BD!$U$3:$U$5001,BD!$A$3:$A$5001,$B17),SUMIFS(BD!$U$3:$U$5001,BD!$A$3:$A$5001,$B17,BD!$B$3:$B$5001,$D$2)))</f>
        <v>0</v>
      </c>
      <c r="W17" s="50">
        <f>$B$5</f>
        <v>0.7</v>
      </c>
      <c r="X17" s="50">
        <f>$B$6</f>
        <v>0.9</v>
      </c>
      <c r="AL17" s="29" t="inlineStr">
        <is>
          <t xml:space="preserve">JUNHO · 2026</t>
        </is>
      </c>
      <c r="AN17" s="29" t="str">
        <f>IFERROR(INDEX(Config!$B$10:$B$29,MATCH(5,$AP$13:$AP$32,0))&amp;"","")</f>
        <v>PMB</v>
      </c>
      <c r="AO17" s="28" t="str">
        <f>IF(AN17="","",IF(INDEX(Config!$C$10:$C$29,MATCH(5,$AP$13:$AP$32,0))&amp;""="","JSL",INDEX(Config!$C$10:$C$29,MATCH(5,$AP$13:$AP$32,0))&amp;""))</f>
        <v>JSL</v>
      </c>
      <c r="AP17" s="38">
        <f>IF(Config!$B$14&amp;""="",AP16,AP16+1)</f>
        <v>5</v>
      </c>
      <c r="AQ17" s="29" t="str">
        <f>$AU$310&amp;" — "&amp;IF($B$2="Todos","TODOS OS CLIENTES",UPPER($B$2))</f>
        <v>ACUMULADO SEMANAL TONS — TODOS OS CLIENTES</v>
      </c>
      <c r="AX17" s="61">
        <f>IF(OR($B17="",N(VALUE($AH$310))=0),"",IF(INDEX($C17:$V17,VALUE($AH$310))="","",IF(N(VALUE($AJ$310))=0,INDEX($C17:$V17,VALUE($AH$310)),IF(N(INDEX($C17:$V17,N(VALUE($AJ$310))))&gt;0,INDEX($C17:$V17,VALUE($AH$310))/INDEX($C17:$V17,N(VALUE($AJ$310))),""))))</f>
        <v>0</v>
      </c>
      <c r="AY17" s="61">
        <f>IF(OR($B17="",N(VALUE($AI$310))=0),"",IF(INDEX($C17:$V17,VALUE($AI$310))="","",IF(N(VALUE($AK$310))=0,INDEX($C17:$V17,VALUE($AI$310)),IF(N(INDEX($C17:$V17,N(VALUE($AK$310))))&gt;0,INDEX($C17:$V17,VALUE($AI$310))/INDEX($C17:$V17,N(VALUE($AK$310))),""))))</f>
        <v>0</v>
      </c>
      <c r="AZ17" s="61">
        <f>IF(OR($B17="",N(VALUE($AP$310))=0),"",IF(INDEX($C17:$V17,VALUE($AP$310))="","",IF(N(VALUE($AR$310))=0,INDEX($C17:$V17,VALUE($AP$310)),IF(N(INDEX($C17:$V17,N(VALUE($AR$310))))&gt;0,INDEX($C17:$V17,VALUE($AP$310))/INDEX($C17:$V17,N(VALUE($AR$310))),""))))</f>
        <v>0</v>
      </c>
      <c r="BA17" s="61">
        <f>IF(OR($B17="",N(VALUE($AQ$310))=0),"",IF(INDEX($C17:$V17,VALUE($AQ$310))="","",IF(N(VALUE($AS$310))=0,INDEX($C17:$V17,VALUE($AQ$310)),IF(N(INDEX($C17:$V17,N(VALUE($AS$310))))&gt;0,INDEX($C17:$V17,VALUE($AQ$310))/INDEX($C17:$V17,N(VALUE($AS$310))),""))))</f>
        <v>0</v>
      </c>
      <c r="BC17" s="32" t="str">
        <f>IF(AND($A17=$B$9,ISNUMBER(L17)),L17,NA())</f>
        <v/>
      </c>
    </row>
    <row r="18">
      <c r="A18" s="28">
        <v>7</v>
      </c>
      <c r="B18" s="46">
        <f>IF($A18&lt;=DAY($D$7),$C$7+$A18-1,"")</f>
        <v>46302</v>
      </c>
      <c r="C18" s="32">
        <f>IF($B18="","",IF($B$2="Todos",SUMIFS(BD!$C$3:$C$5001,BD!$A$3:$A$5001,$B18),SUMIFS(BD!$C$3:$C$5001,BD!$A$3:$A$5001,$B18,BD!$B$3:$B$5001,$D$2)))</f>
        <v>0</v>
      </c>
      <c r="D18" s="32">
        <f>IF($B18="","",IF($B$2="Todos",SUMIFS(BD!$D$3:$D$5001,BD!$A$3:$A$5001,$B18),SUMIFS(BD!$D$3:$D$5001,BD!$A$3:$A$5001,$B18,BD!$B$3:$B$5001,$D$2)))</f>
        <v>0</v>
      </c>
      <c r="E18" s="47">
        <f>IF($B18="","",IF($B$2="Todos",SUMIFS(BD!$E$3:$E$5001,BD!$A$3:$A$5001,$B18),SUMIFS(BD!$E$3:$E$5001,BD!$A$3:$A$5001,$B18,BD!$B$3:$B$5001,$D$2)))</f>
        <v>0</v>
      </c>
      <c r="F18" s="32">
        <f>IF($B18="","",IF($B$2="Todos",SUMIFS(BD!$F$3:$F$5001,BD!$A$3:$A$5001,$B18),SUMIFS(BD!$F$3:$F$5001,BD!$A$3:$A$5001,$B18,BD!$B$3:$B$5001,$D$2)))</f>
        <v>0</v>
      </c>
      <c r="G18" s="32">
        <f>IF($B18="","",IF($B$2="Todos",SUMIFS(BD!$G$3:$G$5001,BD!$A$3:$A$5001,$B18),SUMIFS(BD!$G$3:$G$5001,BD!$A$3:$A$5001,$B18,BD!$B$3:$B$5001,$D$2)))</f>
        <v>0</v>
      </c>
      <c r="H18" s="47">
        <f>IF($B18="","",IF($B$2="Todos",SUMIFS(BD!$H$3:$H$5001,BD!$A$3:$A$5001,$B18),SUMIFS(BD!$H$3:$H$5001,BD!$A$3:$A$5001,$B18,BD!$B$3:$B$5001,$D$2)))</f>
        <v>0</v>
      </c>
      <c r="I18" s="32">
        <f>IF($B18="","",IF($B$2="Todos",SUMIFS(BD!$I$3:$I$5001,BD!$A$3:$A$5001,$B18),SUMIFS(BD!$I$3:$I$5001,BD!$A$3:$A$5001,$B18,BD!$B$3:$B$5001,$D$2)))</f>
        <v>0</v>
      </c>
      <c r="J18" s="32">
        <f>IF($B18="","",IF($B$2="Todos",SUMIFS(BD!$J$3:$J$5001,BD!$A$3:$A$5001,$B18),SUMIFS(BD!$J$3:$J$5001,BD!$A$3:$A$5001,$B18,BD!$B$3:$B$5001,$D$2)))</f>
        <v>0</v>
      </c>
      <c r="K18" s="32" t="str">
        <f>IF($B$2="Todos",IF(COUNT($C$121:$V$121)=0,"",SUM($C$121:$V$121)),IFERROR(INDEX($C$121:$V$121,MATCH($D$2,$C$114:$V$114,0)),""))</f>
        <v/>
      </c>
      <c r="L18" s="48" t="str">
        <f>IF(M18="","",IF($B$2="Todos",IF($B$4&gt;0,$B$4,IF($B$2="Todos",IF(COUNT($C$191:$V$191)=0,"",SUM($C$191:$V$191)),IFERROR(INDEX($C$191:$V$191,MATCH($D$2,$C$184:$V$184,0)),""))),IFERROR(INDEX($C$191:$V$191,MATCH($D$2,$C$184:$V$184,0)),"")))</f>
        <v/>
      </c>
      <c r="M18" s="32" t="str">
        <f>IF($B$2="Todos",IF(COUNT($C$156:$V$156)=0,"",SUM($C$156:$V$156)),IFERROR(INDEX($C$156:$V$156,MATCH($D$2,$C$149:$V$149,0)),""))</f>
        <v/>
      </c>
      <c r="N18" s="49" t="str">
        <f>IF(AND(ISNUMBER(M18),ISNUMBER(L18)),IF(L18&gt;0,M18/L18,""),"")</f>
        <v/>
      </c>
      <c r="O18" s="32" t="str">
        <f>IF($B$2="Todos",IF(COUNT($C$226:$V$226)=0,"",SUM($C$226:$V$226)),IFERROR(INDEX($C$226:$V$226,MATCH($D$2,$C$219:$V$219,0)),""))</f>
        <v/>
      </c>
      <c r="P18" s="32">
        <f>IF($B18="","",IF($B$2="Todos",SUMIFS(BD!$O$3:$O$5001,BD!$A$3:$A$5001,$B18),SUMIFS(BD!$O$3:$O$5001,BD!$A$3:$A$5001,$B18,BD!$B$3:$B$5001,$D$2)))</f>
        <v>0</v>
      </c>
      <c r="Q18" s="32">
        <f>IF($B18="","",IF($B$2="Todos",SUMIFS(BD!$P$3:$P$5001,BD!$A$3:$A$5001,$B18),SUMIFS(BD!$P$3:$P$5001,BD!$A$3:$A$5001,$B18,BD!$B$3:$B$5001,$D$2)))</f>
        <v>0</v>
      </c>
      <c r="R18" s="32">
        <f>IF($B18="","",IF($B$2="Todos",SUMIFS(BD!$Q$3:$Q$5001,BD!$A$3:$A$5001,$B18),SUMIFS(BD!$Q$3:$Q$5001,BD!$A$3:$A$5001,$B18,BD!$B$3:$B$5001,$D$2)))</f>
        <v>0</v>
      </c>
      <c r="S18" s="32">
        <f>IF($B18="","",IF($B$2="Todos",SUMIFS(BD!$R$3:$R$5001,BD!$A$3:$A$5001,$B18),SUMIFS(BD!$R$3:$R$5001,BD!$A$3:$A$5001,$B18,BD!$B$3:$B$5001,$D$2)))</f>
        <v>0</v>
      </c>
      <c r="T18" s="32">
        <f>IF($B18="","",IF($B$2="Todos",SUMIFS(BD!$S$3:$S$5001,BD!$A$3:$A$5001,$B18),SUMIFS(BD!$S$3:$S$5001,BD!$A$3:$A$5001,$B18,BD!$B$3:$B$5001,$D$2)))</f>
        <v>0</v>
      </c>
      <c r="U18" s="32">
        <f>IF($B18="","",IF($B$2="Todos",SUMIFS(BD!$T$3:$T$5001,BD!$A$3:$A$5001,$B18),SUMIFS(BD!$T$3:$T$5001,BD!$A$3:$A$5001,$B18,BD!$B$3:$B$5001,$D$2)))</f>
        <v>0</v>
      </c>
      <c r="V18" s="32">
        <f>IF($B18="","",IF($B$2="Todos",SUMIFS(BD!$U$3:$U$5001,BD!$A$3:$A$5001,$B18),SUMIFS(BD!$U$3:$U$5001,BD!$A$3:$A$5001,$B18,BD!$B$3:$B$5001,$D$2)))</f>
        <v>0</v>
      </c>
      <c r="W18" s="50">
        <f>$B$5</f>
        <v>0.7</v>
      </c>
      <c r="X18" s="50">
        <f>$B$6</f>
        <v>0.9</v>
      </c>
      <c r="AL18" s="29" t="inlineStr">
        <is>
          <t xml:space="preserve">JULHO · 2026</t>
        </is>
      </c>
      <c r="AN18" s="29" t="str">
        <f>IFERROR(INDEX(Config!$B$10:$B$29,MATCH(6,$AP$13:$AP$32,0))&amp;"","")</f>
        <v/>
      </c>
      <c r="AO18" s="28" t="str">
        <f>IF(AN18="","",IF(INDEX(Config!$C$10:$C$29,MATCH(6,$AP$13:$AP$32,0))&amp;""="","JSL",INDEX(Config!$C$10:$C$29,MATCH(6,$AP$13:$AP$32,0))&amp;""))</f>
        <v/>
      </c>
      <c r="AP18" s="38">
        <f>IF(Config!$B$15&amp;""="",AP17,AP17+1)</f>
        <v>5</v>
      </c>
      <c r="AX18" s="61">
        <f>IF(OR($B18="",N(VALUE($AH$310))=0),"",IF(INDEX($C18:$V18,VALUE($AH$310))="","",IF(N(VALUE($AJ$310))=0,INDEX($C18:$V18,VALUE($AH$310)),IF(N(INDEX($C18:$V18,N(VALUE($AJ$310))))&gt;0,INDEX($C18:$V18,VALUE($AH$310))/INDEX($C18:$V18,N(VALUE($AJ$310))),""))))</f>
        <v>0</v>
      </c>
      <c r="AY18" s="61">
        <f>IF(OR($B18="",N(VALUE($AI$310))=0),"",IF(INDEX($C18:$V18,VALUE($AI$310))="","",IF(N(VALUE($AK$310))=0,INDEX($C18:$V18,VALUE($AI$310)),IF(N(INDEX($C18:$V18,N(VALUE($AK$310))))&gt;0,INDEX($C18:$V18,VALUE($AI$310))/INDEX($C18:$V18,N(VALUE($AK$310))),""))))</f>
        <v>0</v>
      </c>
      <c r="AZ18" s="61">
        <f>IF(OR($B18="",N(VALUE($AP$310))=0),"",IF(INDEX($C18:$V18,VALUE($AP$310))="","",IF(N(VALUE($AR$310))=0,INDEX($C18:$V18,VALUE($AP$310)),IF(N(INDEX($C18:$V18,N(VALUE($AR$310))))&gt;0,INDEX($C18:$V18,VALUE($AP$310))/INDEX($C18:$V18,N(VALUE($AR$310))),""))))</f>
        <v>0</v>
      </c>
      <c r="BA18" s="61">
        <f>IF(OR($B18="",N(VALUE($AQ$310))=0),"",IF(INDEX($C18:$V18,VALUE($AQ$310))="","",IF(N(VALUE($AS$310))=0,INDEX($C18:$V18,VALUE($AQ$310)),IF(N(INDEX($C18:$V18,N(VALUE($AS$310))))&gt;0,INDEX($C18:$V18,VALUE($AQ$310))/INDEX($C18:$V18,N(VALUE($AS$310))),""))))</f>
        <v>0</v>
      </c>
      <c r="BC18" s="32" t="str">
        <f>IF(AND($A18=$B$9,ISNUMBER(L18)),L18,NA())</f>
        <v/>
      </c>
    </row>
    <row r="19">
      <c r="A19" s="28">
        <v>8</v>
      </c>
      <c r="B19" s="46">
        <f>IF($A19&lt;=DAY($D$7),$C$7+$A19-1,"")</f>
        <v>46303</v>
      </c>
      <c r="C19" s="32">
        <f>IF($B19="","",IF($B$2="Todos",SUMIFS(BD!$C$3:$C$5001,BD!$A$3:$A$5001,$B19),SUMIFS(BD!$C$3:$C$5001,BD!$A$3:$A$5001,$B19,BD!$B$3:$B$5001,$D$2)))</f>
        <v>0</v>
      </c>
      <c r="D19" s="32">
        <f>IF($B19="","",IF($B$2="Todos",SUMIFS(BD!$D$3:$D$5001,BD!$A$3:$A$5001,$B19),SUMIFS(BD!$D$3:$D$5001,BD!$A$3:$A$5001,$B19,BD!$B$3:$B$5001,$D$2)))</f>
        <v>0</v>
      </c>
      <c r="E19" s="47">
        <f>IF($B19="","",IF($B$2="Todos",SUMIFS(BD!$E$3:$E$5001,BD!$A$3:$A$5001,$B19),SUMIFS(BD!$E$3:$E$5001,BD!$A$3:$A$5001,$B19,BD!$B$3:$B$5001,$D$2)))</f>
        <v>0</v>
      </c>
      <c r="F19" s="32">
        <f>IF($B19="","",IF($B$2="Todos",SUMIFS(BD!$F$3:$F$5001,BD!$A$3:$A$5001,$B19),SUMIFS(BD!$F$3:$F$5001,BD!$A$3:$A$5001,$B19,BD!$B$3:$B$5001,$D$2)))</f>
        <v>0</v>
      </c>
      <c r="G19" s="32">
        <f>IF($B19="","",IF($B$2="Todos",SUMIFS(BD!$G$3:$G$5001,BD!$A$3:$A$5001,$B19),SUMIFS(BD!$G$3:$G$5001,BD!$A$3:$A$5001,$B19,BD!$B$3:$B$5001,$D$2)))</f>
        <v>0</v>
      </c>
      <c r="H19" s="47">
        <f>IF($B19="","",IF($B$2="Todos",SUMIFS(BD!$H$3:$H$5001,BD!$A$3:$A$5001,$B19),SUMIFS(BD!$H$3:$H$5001,BD!$A$3:$A$5001,$B19,BD!$B$3:$B$5001,$D$2)))</f>
        <v>0</v>
      </c>
      <c r="I19" s="32">
        <f>IF($B19="","",IF($B$2="Todos",SUMIFS(BD!$I$3:$I$5001,BD!$A$3:$A$5001,$B19),SUMIFS(BD!$I$3:$I$5001,BD!$A$3:$A$5001,$B19,BD!$B$3:$B$5001,$D$2)))</f>
        <v>0</v>
      </c>
      <c r="J19" s="32">
        <f>IF($B19="","",IF($B$2="Todos",SUMIFS(BD!$J$3:$J$5001,BD!$A$3:$A$5001,$B19),SUMIFS(BD!$J$3:$J$5001,BD!$A$3:$A$5001,$B19,BD!$B$3:$B$5001,$D$2)))</f>
        <v>0</v>
      </c>
      <c r="K19" s="32" t="str">
        <f>IF($B$2="Todos",IF(COUNT($C$122:$V$122)=0,"",SUM($C$122:$V$122)),IFERROR(INDEX($C$122:$V$122,MATCH($D$2,$C$114:$V$114,0)),""))</f>
        <v/>
      </c>
      <c r="L19" s="48" t="str">
        <f>IF(M19="","",IF($B$2="Todos",IF($B$4&gt;0,$B$4,IF($B$2="Todos",IF(COUNT($C$192:$V$192)=0,"",SUM($C$192:$V$192)),IFERROR(INDEX($C$192:$V$192,MATCH($D$2,$C$184:$V$184,0)),""))),IFERROR(INDEX($C$192:$V$192,MATCH($D$2,$C$184:$V$184,0)),"")))</f>
        <v/>
      </c>
      <c r="M19" s="32" t="str">
        <f>IF($B$2="Todos",IF(COUNT($C$157:$V$157)=0,"",SUM($C$157:$V$157)),IFERROR(INDEX($C$157:$V$157,MATCH($D$2,$C$149:$V$149,0)),""))</f>
        <v/>
      </c>
      <c r="N19" s="49" t="str">
        <f>IF(AND(ISNUMBER(M19),ISNUMBER(L19)),IF(L19&gt;0,M19/L19,""),"")</f>
        <v/>
      </c>
      <c r="O19" s="32" t="str">
        <f>IF($B$2="Todos",IF(COUNT($C$227:$V$227)=0,"",SUM($C$227:$V$227)),IFERROR(INDEX($C$227:$V$227,MATCH($D$2,$C$219:$V$219,0)),""))</f>
        <v/>
      </c>
      <c r="P19" s="32">
        <f>IF($B19="","",IF($B$2="Todos",SUMIFS(BD!$O$3:$O$5001,BD!$A$3:$A$5001,$B19),SUMIFS(BD!$O$3:$O$5001,BD!$A$3:$A$5001,$B19,BD!$B$3:$B$5001,$D$2)))</f>
        <v>0</v>
      </c>
      <c r="Q19" s="32">
        <f>IF($B19="","",IF($B$2="Todos",SUMIFS(BD!$P$3:$P$5001,BD!$A$3:$A$5001,$B19),SUMIFS(BD!$P$3:$P$5001,BD!$A$3:$A$5001,$B19,BD!$B$3:$B$5001,$D$2)))</f>
        <v>0</v>
      </c>
      <c r="R19" s="32">
        <f>IF($B19="","",IF($B$2="Todos",SUMIFS(BD!$Q$3:$Q$5001,BD!$A$3:$A$5001,$B19),SUMIFS(BD!$Q$3:$Q$5001,BD!$A$3:$A$5001,$B19,BD!$B$3:$B$5001,$D$2)))</f>
        <v>0</v>
      </c>
      <c r="S19" s="32">
        <f>IF($B19="","",IF($B$2="Todos",SUMIFS(BD!$R$3:$R$5001,BD!$A$3:$A$5001,$B19),SUMIFS(BD!$R$3:$R$5001,BD!$A$3:$A$5001,$B19,BD!$B$3:$B$5001,$D$2)))</f>
        <v>0</v>
      </c>
      <c r="T19" s="32">
        <f>IF($B19="","",IF($B$2="Todos",SUMIFS(BD!$S$3:$S$5001,BD!$A$3:$A$5001,$B19),SUMIFS(BD!$S$3:$S$5001,BD!$A$3:$A$5001,$B19,BD!$B$3:$B$5001,$D$2)))</f>
        <v>0</v>
      </c>
      <c r="U19" s="32">
        <f>IF($B19="","",IF($B$2="Todos",SUMIFS(BD!$T$3:$T$5001,BD!$A$3:$A$5001,$B19),SUMIFS(BD!$T$3:$T$5001,BD!$A$3:$A$5001,$B19,BD!$B$3:$B$5001,$D$2)))</f>
        <v>0</v>
      </c>
      <c r="V19" s="32">
        <f>IF($B19="","",IF($B$2="Todos",SUMIFS(BD!$U$3:$U$5001,BD!$A$3:$A$5001,$B19),SUMIFS(BD!$U$3:$U$5001,BD!$A$3:$A$5001,$B19,BD!$B$3:$B$5001,$D$2)))</f>
        <v>0</v>
      </c>
      <c r="W19" s="50">
        <f>$B$5</f>
        <v>0.7</v>
      </c>
      <c r="X19" s="50">
        <f>$B$6</f>
        <v>0.9</v>
      </c>
      <c r="AL19" s="29" t="inlineStr">
        <is>
          <t xml:space="preserve">AGOSTO · 2026</t>
        </is>
      </c>
      <c r="AN19" s="29" t="str">
        <f>IFERROR(INDEX(Config!$B$10:$B$29,MATCH(7,$AP$13:$AP$32,0))&amp;"","")</f>
        <v/>
      </c>
      <c r="AO19" s="28" t="str">
        <f>IF(AN19="","",IF(INDEX(Config!$C$10:$C$29,MATCH(7,$AP$13:$AP$32,0))&amp;""="","JSL",INDEX(Config!$C$10:$C$29,MATCH(7,$AP$13:$AP$32,0))&amp;""))</f>
        <v/>
      </c>
      <c r="AP19" s="38">
        <f>IF(Config!$B$16&amp;""="",AP18,AP18+1)</f>
        <v>5</v>
      </c>
      <c r="AX19" s="61">
        <f>IF(OR($B19="",N(VALUE($AH$310))=0),"",IF(INDEX($C19:$V19,VALUE($AH$310))="","",IF(N(VALUE($AJ$310))=0,INDEX($C19:$V19,VALUE($AH$310)),IF(N(INDEX($C19:$V19,N(VALUE($AJ$310))))&gt;0,INDEX($C19:$V19,VALUE($AH$310))/INDEX($C19:$V19,N(VALUE($AJ$310))),""))))</f>
        <v>0</v>
      </c>
      <c r="AY19" s="61">
        <f>IF(OR($B19="",N(VALUE($AI$310))=0),"",IF(INDEX($C19:$V19,VALUE($AI$310))="","",IF(N(VALUE($AK$310))=0,INDEX($C19:$V19,VALUE($AI$310)),IF(N(INDEX($C19:$V19,N(VALUE($AK$310))))&gt;0,INDEX($C19:$V19,VALUE($AI$310))/INDEX($C19:$V19,N(VALUE($AK$310))),""))))</f>
        <v>0</v>
      </c>
      <c r="AZ19" s="61">
        <f>IF(OR($B19="",N(VALUE($AP$310))=0),"",IF(INDEX($C19:$V19,VALUE($AP$310))="","",IF(N(VALUE($AR$310))=0,INDEX($C19:$V19,VALUE($AP$310)),IF(N(INDEX($C19:$V19,N(VALUE($AR$310))))&gt;0,INDEX($C19:$V19,VALUE($AP$310))/INDEX($C19:$V19,N(VALUE($AR$310))),""))))</f>
        <v>0</v>
      </c>
      <c r="BA19" s="61">
        <f>IF(OR($B19="",N(VALUE($AQ$310))=0),"",IF(INDEX($C19:$V19,VALUE($AQ$310))="","",IF(N(VALUE($AS$310))=0,INDEX($C19:$V19,VALUE($AQ$310)),IF(N(INDEX($C19:$V19,N(VALUE($AS$310))))&gt;0,INDEX($C19:$V19,VALUE($AQ$310))/INDEX($C19:$V19,N(VALUE($AS$310))),""))))</f>
        <v>0</v>
      </c>
      <c r="BC19" s="32" t="str">
        <f>IF(AND($A19=$B$9,ISNUMBER(L19)),L19,NA())</f>
        <v/>
      </c>
    </row>
    <row r="20">
      <c r="A20" s="28">
        <v>9</v>
      </c>
      <c r="B20" s="46">
        <f>IF($A20&lt;=DAY($D$7),$C$7+$A20-1,"")</f>
        <v>46304</v>
      </c>
      <c r="C20" s="32">
        <f>IF($B20="","",IF($B$2="Todos",SUMIFS(BD!$C$3:$C$5001,BD!$A$3:$A$5001,$B20),SUMIFS(BD!$C$3:$C$5001,BD!$A$3:$A$5001,$B20,BD!$B$3:$B$5001,$D$2)))</f>
        <v>0</v>
      </c>
      <c r="D20" s="32">
        <f>IF($B20="","",IF($B$2="Todos",SUMIFS(BD!$D$3:$D$5001,BD!$A$3:$A$5001,$B20),SUMIFS(BD!$D$3:$D$5001,BD!$A$3:$A$5001,$B20,BD!$B$3:$B$5001,$D$2)))</f>
        <v>0</v>
      </c>
      <c r="E20" s="47">
        <f>IF($B20="","",IF($B$2="Todos",SUMIFS(BD!$E$3:$E$5001,BD!$A$3:$A$5001,$B20),SUMIFS(BD!$E$3:$E$5001,BD!$A$3:$A$5001,$B20,BD!$B$3:$B$5001,$D$2)))</f>
        <v>0</v>
      </c>
      <c r="F20" s="32">
        <f>IF($B20="","",IF($B$2="Todos",SUMIFS(BD!$F$3:$F$5001,BD!$A$3:$A$5001,$B20),SUMIFS(BD!$F$3:$F$5001,BD!$A$3:$A$5001,$B20,BD!$B$3:$B$5001,$D$2)))</f>
        <v>0</v>
      </c>
      <c r="G20" s="32">
        <f>IF($B20="","",IF($B$2="Todos",SUMIFS(BD!$G$3:$G$5001,BD!$A$3:$A$5001,$B20),SUMIFS(BD!$G$3:$G$5001,BD!$A$3:$A$5001,$B20,BD!$B$3:$B$5001,$D$2)))</f>
        <v>0</v>
      </c>
      <c r="H20" s="47">
        <f>IF($B20="","",IF($B$2="Todos",SUMIFS(BD!$H$3:$H$5001,BD!$A$3:$A$5001,$B20),SUMIFS(BD!$H$3:$H$5001,BD!$A$3:$A$5001,$B20,BD!$B$3:$B$5001,$D$2)))</f>
        <v>0</v>
      </c>
      <c r="I20" s="32">
        <f>IF($B20="","",IF($B$2="Todos",SUMIFS(BD!$I$3:$I$5001,BD!$A$3:$A$5001,$B20),SUMIFS(BD!$I$3:$I$5001,BD!$A$3:$A$5001,$B20,BD!$B$3:$B$5001,$D$2)))</f>
        <v>0</v>
      </c>
      <c r="J20" s="32">
        <f>IF($B20="","",IF($B$2="Todos",SUMIFS(BD!$J$3:$J$5001,BD!$A$3:$A$5001,$B20),SUMIFS(BD!$J$3:$J$5001,BD!$A$3:$A$5001,$B20,BD!$B$3:$B$5001,$D$2)))</f>
        <v>0</v>
      </c>
      <c r="K20" s="32" t="str">
        <f>IF($B$2="Todos",IF(COUNT($C$123:$V$123)=0,"",SUM($C$123:$V$123)),IFERROR(INDEX($C$123:$V$123,MATCH($D$2,$C$114:$V$114,0)),""))</f>
        <v/>
      </c>
      <c r="L20" s="48" t="str">
        <f>IF(M20="","",IF($B$2="Todos",IF($B$4&gt;0,$B$4,IF($B$2="Todos",IF(COUNT($C$193:$V$193)=0,"",SUM($C$193:$V$193)),IFERROR(INDEX($C$193:$V$193,MATCH($D$2,$C$184:$V$184,0)),""))),IFERROR(INDEX($C$193:$V$193,MATCH($D$2,$C$184:$V$184,0)),"")))</f>
        <v/>
      </c>
      <c r="M20" s="32" t="str">
        <f>IF($B$2="Todos",IF(COUNT($C$158:$V$158)=0,"",SUM($C$158:$V$158)),IFERROR(INDEX($C$158:$V$158,MATCH($D$2,$C$149:$V$149,0)),""))</f>
        <v/>
      </c>
      <c r="N20" s="49" t="str">
        <f>IF(AND(ISNUMBER(M20),ISNUMBER(L20)),IF(L20&gt;0,M20/L20,""),"")</f>
        <v/>
      </c>
      <c r="O20" s="32" t="str">
        <f>IF($B$2="Todos",IF(COUNT($C$228:$V$228)=0,"",SUM($C$228:$V$228)),IFERROR(INDEX($C$228:$V$228,MATCH($D$2,$C$219:$V$219,0)),""))</f>
        <v/>
      </c>
      <c r="P20" s="32">
        <f>IF($B20="","",IF($B$2="Todos",SUMIFS(BD!$O$3:$O$5001,BD!$A$3:$A$5001,$B20),SUMIFS(BD!$O$3:$O$5001,BD!$A$3:$A$5001,$B20,BD!$B$3:$B$5001,$D$2)))</f>
        <v>0</v>
      </c>
      <c r="Q20" s="32">
        <f>IF($B20="","",IF($B$2="Todos",SUMIFS(BD!$P$3:$P$5001,BD!$A$3:$A$5001,$B20),SUMIFS(BD!$P$3:$P$5001,BD!$A$3:$A$5001,$B20,BD!$B$3:$B$5001,$D$2)))</f>
        <v>0</v>
      </c>
      <c r="R20" s="32">
        <f>IF($B20="","",IF($B$2="Todos",SUMIFS(BD!$Q$3:$Q$5001,BD!$A$3:$A$5001,$B20),SUMIFS(BD!$Q$3:$Q$5001,BD!$A$3:$A$5001,$B20,BD!$B$3:$B$5001,$D$2)))</f>
        <v>0</v>
      </c>
      <c r="S20" s="32">
        <f>IF($B20="","",IF($B$2="Todos",SUMIFS(BD!$R$3:$R$5001,BD!$A$3:$A$5001,$B20),SUMIFS(BD!$R$3:$R$5001,BD!$A$3:$A$5001,$B20,BD!$B$3:$B$5001,$D$2)))</f>
        <v>0</v>
      </c>
      <c r="T20" s="32">
        <f>IF($B20="","",IF($B$2="Todos",SUMIFS(BD!$S$3:$S$5001,BD!$A$3:$A$5001,$B20),SUMIFS(BD!$S$3:$S$5001,BD!$A$3:$A$5001,$B20,BD!$B$3:$B$5001,$D$2)))</f>
        <v>0</v>
      </c>
      <c r="U20" s="32">
        <f>IF($B20="","",IF($B$2="Todos",SUMIFS(BD!$T$3:$T$5001,BD!$A$3:$A$5001,$B20),SUMIFS(BD!$T$3:$T$5001,BD!$A$3:$A$5001,$B20,BD!$B$3:$B$5001,$D$2)))</f>
        <v>0</v>
      </c>
      <c r="V20" s="32">
        <f>IF($B20="","",IF($B$2="Todos",SUMIFS(BD!$U$3:$U$5001,BD!$A$3:$A$5001,$B20),SUMIFS(BD!$U$3:$U$5001,BD!$A$3:$A$5001,$B20,BD!$B$3:$B$5001,$D$2)))</f>
        <v>0</v>
      </c>
      <c r="W20" s="50">
        <f>$B$5</f>
        <v>0.7</v>
      </c>
      <c r="X20" s="50">
        <f>$B$6</f>
        <v>0.9</v>
      </c>
      <c r="AL20" s="29" t="inlineStr">
        <is>
          <t xml:space="preserve">SETEMBRO · 2026</t>
        </is>
      </c>
      <c r="AN20" s="29" t="str">
        <f>IFERROR(INDEX(Config!$B$10:$B$29,MATCH(8,$AP$13:$AP$32,0))&amp;"","")</f>
        <v/>
      </c>
      <c r="AO20" s="28" t="str">
        <f>IF(AN20="","",IF(INDEX(Config!$C$10:$C$29,MATCH(8,$AP$13:$AP$32,0))&amp;""="","JSL",INDEX(Config!$C$10:$C$29,MATCH(8,$AP$13:$AP$32,0))&amp;""))</f>
        <v/>
      </c>
      <c r="AP20" s="38">
        <f>IF(Config!$B$17&amp;""="",AP19,AP19+1)</f>
        <v>5</v>
      </c>
      <c r="AX20" s="61">
        <f>IF(OR($B20="",N(VALUE($AH$310))=0),"",IF(INDEX($C20:$V20,VALUE($AH$310))="","",IF(N(VALUE($AJ$310))=0,INDEX($C20:$V20,VALUE($AH$310)),IF(N(INDEX($C20:$V20,N(VALUE($AJ$310))))&gt;0,INDEX($C20:$V20,VALUE($AH$310))/INDEX($C20:$V20,N(VALUE($AJ$310))),""))))</f>
        <v>0</v>
      </c>
      <c r="AY20" s="61">
        <f>IF(OR($B20="",N(VALUE($AI$310))=0),"",IF(INDEX($C20:$V20,VALUE($AI$310))="","",IF(N(VALUE($AK$310))=0,INDEX($C20:$V20,VALUE($AI$310)),IF(N(INDEX($C20:$V20,N(VALUE($AK$310))))&gt;0,INDEX($C20:$V20,VALUE($AI$310))/INDEX($C20:$V20,N(VALUE($AK$310))),""))))</f>
        <v>0</v>
      </c>
      <c r="AZ20" s="61">
        <f>IF(OR($B20="",N(VALUE($AP$310))=0),"",IF(INDEX($C20:$V20,VALUE($AP$310))="","",IF(N(VALUE($AR$310))=0,INDEX($C20:$V20,VALUE($AP$310)),IF(N(INDEX($C20:$V20,N(VALUE($AR$310))))&gt;0,INDEX($C20:$V20,VALUE($AP$310))/INDEX($C20:$V20,N(VALUE($AR$310))),""))))</f>
        <v>0</v>
      </c>
      <c r="BA20" s="61">
        <f>IF(OR($B20="",N(VALUE($AQ$310))=0),"",IF(INDEX($C20:$V20,VALUE($AQ$310))="","",IF(N(VALUE($AS$310))=0,INDEX($C20:$V20,VALUE($AQ$310)),IF(N(INDEX($C20:$V20,N(VALUE($AS$310))))&gt;0,INDEX($C20:$V20,VALUE($AQ$310))/INDEX($C20:$V20,N(VALUE($AS$310))),""))))</f>
        <v>0</v>
      </c>
      <c r="BC20" s="32" t="str">
        <f>IF(AND($A20=$B$9,ISNUMBER(L20)),L20,NA())</f>
        <v/>
      </c>
    </row>
    <row r="21">
      <c r="A21" s="28">
        <v>10</v>
      </c>
      <c r="B21" s="46">
        <f>IF($A21&lt;=DAY($D$7),$C$7+$A21-1,"")</f>
        <v>46305</v>
      </c>
      <c r="C21" s="32">
        <f>IF($B21="","",IF($B$2="Todos",SUMIFS(BD!$C$3:$C$5001,BD!$A$3:$A$5001,$B21),SUMIFS(BD!$C$3:$C$5001,BD!$A$3:$A$5001,$B21,BD!$B$3:$B$5001,$D$2)))</f>
        <v>0</v>
      </c>
      <c r="D21" s="32">
        <f>IF($B21="","",IF($B$2="Todos",SUMIFS(BD!$D$3:$D$5001,BD!$A$3:$A$5001,$B21),SUMIFS(BD!$D$3:$D$5001,BD!$A$3:$A$5001,$B21,BD!$B$3:$B$5001,$D$2)))</f>
        <v>0</v>
      </c>
      <c r="E21" s="47">
        <f>IF($B21="","",IF($B$2="Todos",SUMIFS(BD!$E$3:$E$5001,BD!$A$3:$A$5001,$B21),SUMIFS(BD!$E$3:$E$5001,BD!$A$3:$A$5001,$B21,BD!$B$3:$B$5001,$D$2)))</f>
        <v>0</v>
      </c>
      <c r="F21" s="32">
        <f>IF($B21="","",IF($B$2="Todos",SUMIFS(BD!$F$3:$F$5001,BD!$A$3:$A$5001,$B21),SUMIFS(BD!$F$3:$F$5001,BD!$A$3:$A$5001,$B21,BD!$B$3:$B$5001,$D$2)))</f>
        <v>0</v>
      </c>
      <c r="G21" s="32">
        <f>IF($B21="","",IF($B$2="Todos",SUMIFS(BD!$G$3:$G$5001,BD!$A$3:$A$5001,$B21),SUMIFS(BD!$G$3:$G$5001,BD!$A$3:$A$5001,$B21,BD!$B$3:$B$5001,$D$2)))</f>
        <v>0</v>
      </c>
      <c r="H21" s="47">
        <f>IF($B21="","",IF($B$2="Todos",SUMIFS(BD!$H$3:$H$5001,BD!$A$3:$A$5001,$B21),SUMIFS(BD!$H$3:$H$5001,BD!$A$3:$A$5001,$B21,BD!$B$3:$B$5001,$D$2)))</f>
        <v>0</v>
      </c>
      <c r="I21" s="32">
        <f>IF($B21="","",IF($B$2="Todos",SUMIFS(BD!$I$3:$I$5001,BD!$A$3:$A$5001,$B21),SUMIFS(BD!$I$3:$I$5001,BD!$A$3:$A$5001,$B21,BD!$B$3:$B$5001,$D$2)))</f>
        <v>0</v>
      </c>
      <c r="J21" s="32">
        <f>IF($B21="","",IF($B$2="Todos",SUMIFS(BD!$J$3:$J$5001,BD!$A$3:$A$5001,$B21),SUMIFS(BD!$J$3:$J$5001,BD!$A$3:$A$5001,$B21,BD!$B$3:$B$5001,$D$2)))</f>
        <v>0</v>
      </c>
      <c r="K21" s="32" t="str">
        <f>IF($B$2="Todos",IF(COUNT($C$124:$V$124)=0,"",SUM($C$124:$V$124)),IFERROR(INDEX($C$124:$V$124,MATCH($D$2,$C$114:$V$114,0)),""))</f>
        <v/>
      </c>
      <c r="L21" s="48" t="str">
        <f>IF(M21="","",IF($B$2="Todos",IF($B$4&gt;0,$B$4,IF($B$2="Todos",IF(COUNT($C$194:$V$194)=0,"",SUM($C$194:$V$194)),IFERROR(INDEX($C$194:$V$194,MATCH($D$2,$C$184:$V$184,0)),""))),IFERROR(INDEX($C$194:$V$194,MATCH($D$2,$C$184:$V$184,0)),"")))</f>
        <v/>
      </c>
      <c r="M21" s="32" t="str">
        <f>IF($B$2="Todos",IF(COUNT($C$159:$V$159)=0,"",SUM($C$159:$V$159)),IFERROR(INDEX($C$159:$V$159,MATCH($D$2,$C$149:$V$149,0)),""))</f>
        <v/>
      </c>
      <c r="N21" s="49" t="str">
        <f>IF(AND(ISNUMBER(M21),ISNUMBER(L21)),IF(L21&gt;0,M21/L21,""),"")</f>
        <v/>
      </c>
      <c r="O21" s="32" t="str">
        <f>IF($B$2="Todos",IF(COUNT($C$229:$V$229)=0,"",SUM($C$229:$V$229)),IFERROR(INDEX($C$229:$V$229,MATCH($D$2,$C$219:$V$219,0)),""))</f>
        <v/>
      </c>
      <c r="P21" s="32">
        <f>IF($B21="","",IF($B$2="Todos",SUMIFS(BD!$O$3:$O$5001,BD!$A$3:$A$5001,$B21),SUMIFS(BD!$O$3:$O$5001,BD!$A$3:$A$5001,$B21,BD!$B$3:$B$5001,$D$2)))</f>
        <v>0</v>
      </c>
      <c r="Q21" s="32">
        <f>IF($B21="","",IF($B$2="Todos",SUMIFS(BD!$P$3:$P$5001,BD!$A$3:$A$5001,$B21),SUMIFS(BD!$P$3:$P$5001,BD!$A$3:$A$5001,$B21,BD!$B$3:$B$5001,$D$2)))</f>
        <v>0</v>
      </c>
      <c r="R21" s="32">
        <f>IF($B21="","",IF($B$2="Todos",SUMIFS(BD!$Q$3:$Q$5001,BD!$A$3:$A$5001,$B21),SUMIFS(BD!$Q$3:$Q$5001,BD!$A$3:$A$5001,$B21,BD!$B$3:$B$5001,$D$2)))</f>
        <v>0</v>
      </c>
      <c r="S21" s="32">
        <f>IF($B21="","",IF($B$2="Todos",SUMIFS(BD!$R$3:$R$5001,BD!$A$3:$A$5001,$B21),SUMIFS(BD!$R$3:$R$5001,BD!$A$3:$A$5001,$B21,BD!$B$3:$B$5001,$D$2)))</f>
        <v>0</v>
      </c>
      <c r="T21" s="32">
        <f>IF($B21="","",IF($B$2="Todos",SUMIFS(BD!$S$3:$S$5001,BD!$A$3:$A$5001,$B21),SUMIFS(BD!$S$3:$S$5001,BD!$A$3:$A$5001,$B21,BD!$B$3:$B$5001,$D$2)))</f>
        <v>0</v>
      </c>
      <c r="U21" s="32">
        <f>IF($B21="","",IF($B$2="Todos",SUMIFS(BD!$T$3:$T$5001,BD!$A$3:$A$5001,$B21),SUMIFS(BD!$T$3:$T$5001,BD!$A$3:$A$5001,$B21,BD!$B$3:$B$5001,$D$2)))</f>
        <v>0</v>
      </c>
      <c r="V21" s="32">
        <f>IF($B21="","",IF($B$2="Todos",SUMIFS(BD!$U$3:$U$5001,BD!$A$3:$A$5001,$B21),SUMIFS(BD!$U$3:$U$5001,BD!$A$3:$A$5001,$B21,BD!$B$3:$B$5001,$D$2)))</f>
        <v>0</v>
      </c>
      <c r="W21" s="50">
        <f>$B$5</f>
        <v>0.7</v>
      </c>
      <c r="X21" s="50">
        <f>$B$6</f>
        <v>0.9</v>
      </c>
      <c r="AL21" s="29" t="inlineStr">
        <is>
          <t xml:space="preserve">OUTUBRO · 2026</t>
        </is>
      </c>
      <c r="AN21" s="29" t="str">
        <f>IFERROR(INDEX(Config!$B$10:$B$29,MATCH(9,$AP$13:$AP$32,0))&amp;"","")</f>
        <v/>
      </c>
      <c r="AO21" s="28" t="str">
        <f>IF(AN21="","",IF(INDEX(Config!$C$10:$C$29,MATCH(9,$AP$13:$AP$32,0))&amp;""="","JSL",INDEX(Config!$C$10:$C$29,MATCH(9,$AP$13:$AP$32,0))&amp;""))</f>
        <v/>
      </c>
      <c r="AP21" s="38">
        <f>IF(Config!$B$18&amp;""="",AP20,AP20+1)</f>
        <v>5</v>
      </c>
      <c r="AX21" s="61">
        <f>IF(OR($B21="",N(VALUE($AH$310))=0),"",IF(INDEX($C21:$V21,VALUE($AH$310))="","",IF(N(VALUE($AJ$310))=0,INDEX($C21:$V21,VALUE($AH$310)),IF(N(INDEX($C21:$V21,N(VALUE($AJ$310))))&gt;0,INDEX($C21:$V21,VALUE($AH$310))/INDEX($C21:$V21,N(VALUE($AJ$310))),""))))</f>
        <v>0</v>
      </c>
      <c r="AY21" s="61">
        <f>IF(OR($B21="",N(VALUE($AI$310))=0),"",IF(INDEX($C21:$V21,VALUE($AI$310))="","",IF(N(VALUE($AK$310))=0,INDEX($C21:$V21,VALUE($AI$310)),IF(N(INDEX($C21:$V21,N(VALUE($AK$310))))&gt;0,INDEX($C21:$V21,VALUE($AI$310))/INDEX($C21:$V21,N(VALUE($AK$310))),""))))</f>
        <v>0</v>
      </c>
      <c r="AZ21" s="61">
        <f>IF(OR($B21="",N(VALUE($AP$310))=0),"",IF(INDEX($C21:$V21,VALUE($AP$310))="","",IF(N(VALUE($AR$310))=0,INDEX($C21:$V21,VALUE($AP$310)),IF(N(INDEX($C21:$V21,N(VALUE($AR$310))))&gt;0,INDEX($C21:$V21,VALUE($AP$310))/INDEX($C21:$V21,N(VALUE($AR$310))),""))))</f>
        <v>0</v>
      </c>
      <c r="BA21" s="61">
        <f>IF(OR($B21="",N(VALUE($AQ$310))=0),"",IF(INDEX($C21:$V21,VALUE($AQ$310))="","",IF(N(VALUE($AS$310))=0,INDEX($C21:$V21,VALUE($AQ$310)),IF(N(INDEX($C21:$V21,N(VALUE($AS$310))))&gt;0,INDEX($C21:$V21,VALUE($AQ$310))/INDEX($C21:$V21,N(VALUE($AS$310))),""))))</f>
        <v>0</v>
      </c>
      <c r="BC21" s="32" t="str">
        <f>IF(AND($A21=$B$9,ISNUMBER(L21)),L21,NA())</f>
        <v/>
      </c>
    </row>
    <row r="22">
      <c r="A22" s="28">
        <v>11</v>
      </c>
      <c r="B22" s="46">
        <f>IF($A22&lt;=DAY($D$7),$C$7+$A22-1,"")</f>
        <v>46306</v>
      </c>
      <c r="C22" s="32">
        <f>IF($B22="","",IF($B$2="Todos",SUMIFS(BD!$C$3:$C$5001,BD!$A$3:$A$5001,$B22),SUMIFS(BD!$C$3:$C$5001,BD!$A$3:$A$5001,$B22,BD!$B$3:$B$5001,$D$2)))</f>
        <v>0</v>
      </c>
      <c r="D22" s="32">
        <f>IF($B22="","",IF($B$2="Todos",SUMIFS(BD!$D$3:$D$5001,BD!$A$3:$A$5001,$B22),SUMIFS(BD!$D$3:$D$5001,BD!$A$3:$A$5001,$B22,BD!$B$3:$B$5001,$D$2)))</f>
        <v>0</v>
      </c>
      <c r="E22" s="47">
        <f>IF($B22="","",IF($B$2="Todos",SUMIFS(BD!$E$3:$E$5001,BD!$A$3:$A$5001,$B22),SUMIFS(BD!$E$3:$E$5001,BD!$A$3:$A$5001,$B22,BD!$B$3:$B$5001,$D$2)))</f>
        <v>0</v>
      </c>
      <c r="F22" s="32">
        <f>IF($B22="","",IF($B$2="Todos",SUMIFS(BD!$F$3:$F$5001,BD!$A$3:$A$5001,$B22),SUMIFS(BD!$F$3:$F$5001,BD!$A$3:$A$5001,$B22,BD!$B$3:$B$5001,$D$2)))</f>
        <v>0</v>
      </c>
      <c r="G22" s="32">
        <f>IF($B22="","",IF($B$2="Todos",SUMIFS(BD!$G$3:$G$5001,BD!$A$3:$A$5001,$B22),SUMIFS(BD!$G$3:$G$5001,BD!$A$3:$A$5001,$B22,BD!$B$3:$B$5001,$D$2)))</f>
        <v>0</v>
      </c>
      <c r="H22" s="47">
        <f>IF($B22="","",IF($B$2="Todos",SUMIFS(BD!$H$3:$H$5001,BD!$A$3:$A$5001,$B22),SUMIFS(BD!$H$3:$H$5001,BD!$A$3:$A$5001,$B22,BD!$B$3:$B$5001,$D$2)))</f>
        <v>0</v>
      </c>
      <c r="I22" s="32">
        <f>IF($B22="","",IF($B$2="Todos",SUMIFS(BD!$I$3:$I$5001,BD!$A$3:$A$5001,$B22),SUMIFS(BD!$I$3:$I$5001,BD!$A$3:$A$5001,$B22,BD!$B$3:$B$5001,$D$2)))</f>
        <v>0</v>
      </c>
      <c r="J22" s="32">
        <f>IF($B22="","",IF($B$2="Todos",SUMIFS(BD!$J$3:$J$5001,BD!$A$3:$A$5001,$B22),SUMIFS(BD!$J$3:$J$5001,BD!$A$3:$A$5001,$B22,BD!$B$3:$B$5001,$D$2)))</f>
        <v>0</v>
      </c>
      <c r="K22" s="32" t="str">
        <f>IF($B$2="Todos",IF(COUNT($C$125:$V$125)=0,"",SUM($C$125:$V$125)),IFERROR(INDEX($C$125:$V$125,MATCH($D$2,$C$114:$V$114,0)),""))</f>
        <v/>
      </c>
      <c r="L22" s="48" t="str">
        <f>IF(M22="","",IF($B$2="Todos",IF($B$4&gt;0,$B$4,IF($B$2="Todos",IF(COUNT($C$195:$V$195)=0,"",SUM($C$195:$V$195)),IFERROR(INDEX($C$195:$V$195,MATCH($D$2,$C$184:$V$184,0)),""))),IFERROR(INDEX($C$195:$V$195,MATCH($D$2,$C$184:$V$184,0)),"")))</f>
        <v/>
      </c>
      <c r="M22" s="32" t="str">
        <f>IF($B$2="Todos",IF(COUNT($C$160:$V$160)=0,"",SUM($C$160:$V$160)),IFERROR(INDEX($C$160:$V$160,MATCH($D$2,$C$149:$V$149,0)),""))</f>
        <v/>
      </c>
      <c r="N22" s="49" t="str">
        <f>IF(AND(ISNUMBER(M22),ISNUMBER(L22)),IF(L22&gt;0,M22/L22,""),"")</f>
        <v/>
      </c>
      <c r="O22" s="32" t="str">
        <f>IF($B$2="Todos",IF(COUNT($C$230:$V$230)=0,"",SUM($C$230:$V$230)),IFERROR(INDEX($C$230:$V$230,MATCH($D$2,$C$219:$V$219,0)),""))</f>
        <v/>
      </c>
      <c r="P22" s="32">
        <f>IF($B22="","",IF($B$2="Todos",SUMIFS(BD!$O$3:$O$5001,BD!$A$3:$A$5001,$B22),SUMIFS(BD!$O$3:$O$5001,BD!$A$3:$A$5001,$B22,BD!$B$3:$B$5001,$D$2)))</f>
        <v>0</v>
      </c>
      <c r="Q22" s="32">
        <f>IF($B22="","",IF($B$2="Todos",SUMIFS(BD!$P$3:$P$5001,BD!$A$3:$A$5001,$B22),SUMIFS(BD!$P$3:$P$5001,BD!$A$3:$A$5001,$B22,BD!$B$3:$B$5001,$D$2)))</f>
        <v>0</v>
      </c>
      <c r="R22" s="32">
        <f>IF($B22="","",IF($B$2="Todos",SUMIFS(BD!$Q$3:$Q$5001,BD!$A$3:$A$5001,$B22),SUMIFS(BD!$Q$3:$Q$5001,BD!$A$3:$A$5001,$B22,BD!$B$3:$B$5001,$D$2)))</f>
        <v>0</v>
      </c>
      <c r="S22" s="32">
        <f>IF($B22="","",IF($B$2="Todos",SUMIFS(BD!$R$3:$R$5001,BD!$A$3:$A$5001,$B22),SUMIFS(BD!$R$3:$R$5001,BD!$A$3:$A$5001,$B22,BD!$B$3:$B$5001,$D$2)))</f>
        <v>0</v>
      </c>
      <c r="T22" s="32">
        <f>IF($B22="","",IF($B$2="Todos",SUMIFS(BD!$S$3:$S$5001,BD!$A$3:$A$5001,$B22),SUMIFS(BD!$S$3:$S$5001,BD!$A$3:$A$5001,$B22,BD!$B$3:$B$5001,$D$2)))</f>
        <v>0</v>
      </c>
      <c r="U22" s="32">
        <f>IF($B22="","",IF($B$2="Todos",SUMIFS(BD!$T$3:$T$5001,BD!$A$3:$A$5001,$B22),SUMIFS(BD!$T$3:$T$5001,BD!$A$3:$A$5001,$B22,BD!$B$3:$B$5001,$D$2)))</f>
        <v>0</v>
      </c>
      <c r="V22" s="32">
        <f>IF($B22="","",IF($B$2="Todos",SUMIFS(BD!$U$3:$U$5001,BD!$A$3:$A$5001,$B22),SUMIFS(BD!$U$3:$U$5001,BD!$A$3:$A$5001,$B22,BD!$B$3:$B$5001,$D$2)))</f>
        <v>0</v>
      </c>
      <c r="W22" s="50">
        <f>$B$5</f>
        <v>0.7</v>
      </c>
      <c r="X22" s="50">
        <f>$B$6</f>
        <v>0.9</v>
      </c>
      <c r="AL22" s="29" t="inlineStr">
        <is>
          <t xml:space="preserve">NOVEMBRO · 2026</t>
        </is>
      </c>
      <c r="AN22" s="29" t="str">
        <f>IFERROR(INDEX(Config!$B$10:$B$29,MATCH(10,$AP$13:$AP$32,0))&amp;"","")</f>
        <v/>
      </c>
      <c r="AO22" s="28" t="str">
        <f>IF(AN22="","",IF(INDEX(Config!$C$10:$C$29,MATCH(10,$AP$13:$AP$32,0))&amp;""="","JSL",INDEX(Config!$C$10:$C$29,MATCH(10,$AP$13:$AP$32,0))&amp;""))</f>
        <v/>
      </c>
      <c r="AP22" s="38">
        <f>IF(Config!$B$19&amp;""="",AP21,AP21+1)</f>
        <v>5</v>
      </c>
      <c r="AX22" s="61">
        <f>IF(OR($B22="",N(VALUE($AH$310))=0),"",IF(INDEX($C22:$V22,VALUE($AH$310))="","",IF(N(VALUE($AJ$310))=0,INDEX($C22:$V22,VALUE($AH$310)),IF(N(INDEX($C22:$V22,N(VALUE($AJ$310))))&gt;0,INDEX($C22:$V22,VALUE($AH$310))/INDEX($C22:$V22,N(VALUE($AJ$310))),""))))</f>
        <v>0</v>
      </c>
      <c r="AY22" s="61">
        <f>IF(OR($B22="",N(VALUE($AI$310))=0),"",IF(INDEX($C22:$V22,VALUE($AI$310))="","",IF(N(VALUE($AK$310))=0,INDEX($C22:$V22,VALUE($AI$310)),IF(N(INDEX($C22:$V22,N(VALUE($AK$310))))&gt;0,INDEX($C22:$V22,VALUE($AI$310))/INDEX($C22:$V22,N(VALUE($AK$310))),""))))</f>
        <v>0</v>
      </c>
      <c r="AZ22" s="61">
        <f>IF(OR($B22="",N(VALUE($AP$310))=0),"",IF(INDEX($C22:$V22,VALUE($AP$310))="","",IF(N(VALUE($AR$310))=0,INDEX($C22:$V22,VALUE($AP$310)),IF(N(INDEX($C22:$V22,N(VALUE($AR$310))))&gt;0,INDEX($C22:$V22,VALUE($AP$310))/INDEX($C22:$V22,N(VALUE($AR$310))),""))))</f>
        <v>0</v>
      </c>
      <c r="BA22" s="61">
        <f>IF(OR($B22="",N(VALUE($AQ$310))=0),"",IF(INDEX($C22:$V22,VALUE($AQ$310))="","",IF(N(VALUE($AS$310))=0,INDEX($C22:$V22,VALUE($AQ$310)),IF(N(INDEX($C22:$V22,N(VALUE($AS$310))))&gt;0,INDEX($C22:$V22,VALUE($AQ$310))/INDEX($C22:$V22,N(VALUE($AS$310))),""))))</f>
        <v>0</v>
      </c>
      <c r="BC22" s="32" t="str">
        <f>IF(AND($A22=$B$9,ISNUMBER(L22)),L22,NA())</f>
        <v/>
      </c>
    </row>
    <row r="23">
      <c r="A23" s="28">
        <v>12</v>
      </c>
      <c r="B23" s="46">
        <f>IF($A23&lt;=DAY($D$7),$C$7+$A23-1,"")</f>
        <v>46307</v>
      </c>
      <c r="C23" s="32">
        <f>IF($B23="","",IF($B$2="Todos",SUMIFS(BD!$C$3:$C$5001,BD!$A$3:$A$5001,$B23),SUMIFS(BD!$C$3:$C$5001,BD!$A$3:$A$5001,$B23,BD!$B$3:$B$5001,$D$2)))</f>
        <v>0</v>
      </c>
      <c r="D23" s="32">
        <f>IF($B23="","",IF($B$2="Todos",SUMIFS(BD!$D$3:$D$5001,BD!$A$3:$A$5001,$B23),SUMIFS(BD!$D$3:$D$5001,BD!$A$3:$A$5001,$B23,BD!$B$3:$B$5001,$D$2)))</f>
        <v>0</v>
      </c>
      <c r="E23" s="47">
        <f>IF($B23="","",IF($B$2="Todos",SUMIFS(BD!$E$3:$E$5001,BD!$A$3:$A$5001,$B23),SUMIFS(BD!$E$3:$E$5001,BD!$A$3:$A$5001,$B23,BD!$B$3:$B$5001,$D$2)))</f>
        <v>0</v>
      </c>
      <c r="F23" s="32">
        <f>IF($B23="","",IF($B$2="Todos",SUMIFS(BD!$F$3:$F$5001,BD!$A$3:$A$5001,$B23),SUMIFS(BD!$F$3:$F$5001,BD!$A$3:$A$5001,$B23,BD!$B$3:$B$5001,$D$2)))</f>
        <v>0</v>
      </c>
      <c r="G23" s="32">
        <f>IF($B23="","",IF($B$2="Todos",SUMIFS(BD!$G$3:$G$5001,BD!$A$3:$A$5001,$B23),SUMIFS(BD!$G$3:$G$5001,BD!$A$3:$A$5001,$B23,BD!$B$3:$B$5001,$D$2)))</f>
        <v>0</v>
      </c>
      <c r="H23" s="47">
        <f>IF($B23="","",IF($B$2="Todos",SUMIFS(BD!$H$3:$H$5001,BD!$A$3:$A$5001,$B23),SUMIFS(BD!$H$3:$H$5001,BD!$A$3:$A$5001,$B23,BD!$B$3:$B$5001,$D$2)))</f>
        <v>0</v>
      </c>
      <c r="I23" s="32">
        <f>IF($B23="","",IF($B$2="Todos",SUMIFS(BD!$I$3:$I$5001,BD!$A$3:$A$5001,$B23),SUMIFS(BD!$I$3:$I$5001,BD!$A$3:$A$5001,$B23,BD!$B$3:$B$5001,$D$2)))</f>
        <v>0</v>
      </c>
      <c r="J23" s="32">
        <f>IF($B23="","",IF($B$2="Todos",SUMIFS(BD!$J$3:$J$5001,BD!$A$3:$A$5001,$B23),SUMIFS(BD!$J$3:$J$5001,BD!$A$3:$A$5001,$B23,BD!$B$3:$B$5001,$D$2)))</f>
        <v>0</v>
      </c>
      <c r="K23" s="32" t="str">
        <f>IF($B$2="Todos",IF(COUNT($C$126:$V$126)=0,"",SUM($C$126:$V$126)),IFERROR(INDEX($C$126:$V$126,MATCH($D$2,$C$114:$V$114,0)),""))</f>
        <v/>
      </c>
      <c r="L23" s="48" t="str">
        <f>IF(M23="","",IF($B$2="Todos",IF($B$4&gt;0,$B$4,IF($B$2="Todos",IF(COUNT($C$196:$V$196)=0,"",SUM($C$196:$V$196)),IFERROR(INDEX($C$196:$V$196,MATCH($D$2,$C$184:$V$184,0)),""))),IFERROR(INDEX($C$196:$V$196,MATCH($D$2,$C$184:$V$184,0)),"")))</f>
        <v/>
      </c>
      <c r="M23" s="32" t="str">
        <f>IF($B$2="Todos",IF(COUNT($C$161:$V$161)=0,"",SUM($C$161:$V$161)),IFERROR(INDEX($C$161:$V$161,MATCH($D$2,$C$149:$V$149,0)),""))</f>
        <v/>
      </c>
      <c r="N23" s="49" t="str">
        <f>IF(AND(ISNUMBER(M23),ISNUMBER(L23)),IF(L23&gt;0,M23/L23,""),"")</f>
        <v/>
      </c>
      <c r="O23" s="32" t="str">
        <f>IF($B$2="Todos",IF(COUNT($C$231:$V$231)=0,"",SUM($C$231:$V$231)),IFERROR(INDEX($C$231:$V$231,MATCH($D$2,$C$219:$V$219,0)),""))</f>
        <v/>
      </c>
      <c r="P23" s="32">
        <f>IF($B23="","",IF($B$2="Todos",SUMIFS(BD!$O$3:$O$5001,BD!$A$3:$A$5001,$B23),SUMIFS(BD!$O$3:$O$5001,BD!$A$3:$A$5001,$B23,BD!$B$3:$B$5001,$D$2)))</f>
        <v>0</v>
      </c>
      <c r="Q23" s="32">
        <f>IF($B23="","",IF($B$2="Todos",SUMIFS(BD!$P$3:$P$5001,BD!$A$3:$A$5001,$B23),SUMIFS(BD!$P$3:$P$5001,BD!$A$3:$A$5001,$B23,BD!$B$3:$B$5001,$D$2)))</f>
        <v>0</v>
      </c>
      <c r="R23" s="32">
        <f>IF($B23="","",IF($B$2="Todos",SUMIFS(BD!$Q$3:$Q$5001,BD!$A$3:$A$5001,$B23),SUMIFS(BD!$Q$3:$Q$5001,BD!$A$3:$A$5001,$B23,BD!$B$3:$B$5001,$D$2)))</f>
        <v>0</v>
      </c>
      <c r="S23" s="32">
        <f>IF($B23="","",IF($B$2="Todos",SUMIFS(BD!$R$3:$R$5001,BD!$A$3:$A$5001,$B23),SUMIFS(BD!$R$3:$R$5001,BD!$A$3:$A$5001,$B23,BD!$B$3:$B$5001,$D$2)))</f>
        <v>0</v>
      </c>
      <c r="T23" s="32">
        <f>IF($B23="","",IF($B$2="Todos",SUMIFS(BD!$S$3:$S$5001,BD!$A$3:$A$5001,$B23),SUMIFS(BD!$S$3:$S$5001,BD!$A$3:$A$5001,$B23,BD!$B$3:$B$5001,$D$2)))</f>
        <v>0</v>
      </c>
      <c r="U23" s="32">
        <f>IF($B23="","",IF($B$2="Todos",SUMIFS(BD!$T$3:$T$5001,BD!$A$3:$A$5001,$B23),SUMIFS(BD!$T$3:$T$5001,BD!$A$3:$A$5001,$B23,BD!$B$3:$B$5001,$D$2)))</f>
        <v>0</v>
      </c>
      <c r="V23" s="32">
        <f>IF($B23="","",IF($B$2="Todos",SUMIFS(BD!$U$3:$U$5001,BD!$A$3:$A$5001,$B23),SUMIFS(BD!$U$3:$U$5001,BD!$A$3:$A$5001,$B23,BD!$B$3:$B$5001,$D$2)))</f>
        <v>0</v>
      </c>
      <c r="W23" s="50">
        <f>$B$5</f>
        <v>0.7</v>
      </c>
      <c r="X23" s="50">
        <f>$B$6</f>
        <v>0.9</v>
      </c>
      <c r="AL23" s="29" t="inlineStr">
        <is>
          <t xml:space="preserve">DEZEMBRO · 2026</t>
        </is>
      </c>
      <c r="AN23" s="29" t="str">
        <f>IFERROR(INDEX(Config!$B$10:$B$29,MATCH(11,$AP$13:$AP$32,0))&amp;"","")</f>
        <v/>
      </c>
      <c r="AO23" s="28" t="str">
        <f>IF(AN23="","",IF(INDEX(Config!$C$10:$C$29,MATCH(11,$AP$13:$AP$32,0))&amp;""="","JSL",INDEX(Config!$C$10:$C$29,MATCH(11,$AP$13:$AP$32,0))&amp;""))</f>
        <v/>
      </c>
      <c r="AP23" s="38">
        <f>IF(Config!$B$20&amp;""="",AP22,AP22+1)</f>
        <v>5</v>
      </c>
      <c r="AX23" s="61">
        <f>IF(OR($B23="",N(VALUE($AH$310))=0),"",IF(INDEX($C23:$V23,VALUE($AH$310))="","",IF(N(VALUE($AJ$310))=0,INDEX($C23:$V23,VALUE($AH$310)),IF(N(INDEX($C23:$V23,N(VALUE($AJ$310))))&gt;0,INDEX($C23:$V23,VALUE($AH$310))/INDEX($C23:$V23,N(VALUE($AJ$310))),""))))</f>
        <v>0</v>
      </c>
      <c r="AY23" s="61">
        <f>IF(OR($B23="",N(VALUE($AI$310))=0),"",IF(INDEX($C23:$V23,VALUE($AI$310))="","",IF(N(VALUE($AK$310))=0,INDEX($C23:$V23,VALUE($AI$310)),IF(N(INDEX($C23:$V23,N(VALUE($AK$310))))&gt;0,INDEX($C23:$V23,VALUE($AI$310))/INDEX($C23:$V23,N(VALUE($AK$310))),""))))</f>
        <v>0</v>
      </c>
      <c r="AZ23" s="61">
        <f>IF(OR($B23="",N(VALUE($AP$310))=0),"",IF(INDEX($C23:$V23,VALUE($AP$310))="","",IF(N(VALUE($AR$310))=0,INDEX($C23:$V23,VALUE($AP$310)),IF(N(INDEX($C23:$V23,N(VALUE($AR$310))))&gt;0,INDEX($C23:$V23,VALUE($AP$310))/INDEX($C23:$V23,N(VALUE($AR$310))),""))))</f>
        <v>0</v>
      </c>
      <c r="BA23" s="61">
        <f>IF(OR($B23="",N(VALUE($AQ$310))=0),"",IF(INDEX($C23:$V23,VALUE($AQ$310))="","",IF(N(VALUE($AS$310))=0,INDEX($C23:$V23,VALUE($AQ$310)),IF(N(INDEX($C23:$V23,N(VALUE($AS$310))))&gt;0,INDEX($C23:$V23,VALUE($AQ$310))/INDEX($C23:$V23,N(VALUE($AS$310))),""))))</f>
        <v>0</v>
      </c>
      <c r="BC23" s="32" t="str">
        <f>IF(AND($A23=$B$9,ISNUMBER(L23)),L23,NA())</f>
        <v/>
      </c>
    </row>
    <row r="24">
      <c r="A24" s="28">
        <v>13</v>
      </c>
      <c r="B24" s="46">
        <f>IF($A24&lt;=DAY($D$7),$C$7+$A24-1,"")</f>
        <v>46308</v>
      </c>
      <c r="C24" s="32">
        <f>IF($B24="","",IF($B$2="Todos",SUMIFS(BD!$C$3:$C$5001,BD!$A$3:$A$5001,$B24),SUMIFS(BD!$C$3:$C$5001,BD!$A$3:$A$5001,$B24,BD!$B$3:$B$5001,$D$2)))</f>
        <v>0</v>
      </c>
      <c r="D24" s="32">
        <f>IF($B24="","",IF($B$2="Todos",SUMIFS(BD!$D$3:$D$5001,BD!$A$3:$A$5001,$B24),SUMIFS(BD!$D$3:$D$5001,BD!$A$3:$A$5001,$B24,BD!$B$3:$B$5001,$D$2)))</f>
        <v>0</v>
      </c>
      <c r="E24" s="47">
        <f>IF($B24="","",IF($B$2="Todos",SUMIFS(BD!$E$3:$E$5001,BD!$A$3:$A$5001,$B24),SUMIFS(BD!$E$3:$E$5001,BD!$A$3:$A$5001,$B24,BD!$B$3:$B$5001,$D$2)))</f>
        <v>0</v>
      </c>
      <c r="F24" s="32">
        <f>IF($B24="","",IF($B$2="Todos",SUMIFS(BD!$F$3:$F$5001,BD!$A$3:$A$5001,$B24),SUMIFS(BD!$F$3:$F$5001,BD!$A$3:$A$5001,$B24,BD!$B$3:$B$5001,$D$2)))</f>
        <v>0</v>
      </c>
      <c r="G24" s="32">
        <f>IF($B24="","",IF($B$2="Todos",SUMIFS(BD!$G$3:$G$5001,BD!$A$3:$A$5001,$B24),SUMIFS(BD!$G$3:$G$5001,BD!$A$3:$A$5001,$B24,BD!$B$3:$B$5001,$D$2)))</f>
        <v>0</v>
      </c>
      <c r="H24" s="47">
        <f>IF($B24="","",IF($B$2="Todos",SUMIFS(BD!$H$3:$H$5001,BD!$A$3:$A$5001,$B24),SUMIFS(BD!$H$3:$H$5001,BD!$A$3:$A$5001,$B24,BD!$B$3:$B$5001,$D$2)))</f>
        <v>0</v>
      </c>
      <c r="I24" s="32">
        <f>IF($B24="","",IF($B$2="Todos",SUMIFS(BD!$I$3:$I$5001,BD!$A$3:$A$5001,$B24),SUMIFS(BD!$I$3:$I$5001,BD!$A$3:$A$5001,$B24,BD!$B$3:$B$5001,$D$2)))</f>
        <v>0</v>
      </c>
      <c r="J24" s="32">
        <f>IF($B24="","",IF($B$2="Todos",SUMIFS(BD!$J$3:$J$5001,BD!$A$3:$A$5001,$B24),SUMIFS(BD!$J$3:$J$5001,BD!$A$3:$A$5001,$B24,BD!$B$3:$B$5001,$D$2)))</f>
        <v>0</v>
      </c>
      <c r="K24" s="32" t="str">
        <f>IF($B$2="Todos",IF(COUNT($C$127:$V$127)=0,"",SUM($C$127:$V$127)),IFERROR(INDEX($C$127:$V$127,MATCH($D$2,$C$114:$V$114,0)),""))</f>
        <v/>
      </c>
      <c r="L24" s="48" t="str">
        <f>IF(M24="","",IF($B$2="Todos",IF($B$4&gt;0,$B$4,IF($B$2="Todos",IF(COUNT($C$197:$V$197)=0,"",SUM($C$197:$V$197)),IFERROR(INDEX($C$197:$V$197,MATCH($D$2,$C$184:$V$184,0)),""))),IFERROR(INDEX($C$197:$V$197,MATCH($D$2,$C$184:$V$184,0)),"")))</f>
        <v/>
      </c>
      <c r="M24" s="32" t="str">
        <f>IF($B$2="Todos",IF(COUNT($C$162:$V$162)=0,"",SUM($C$162:$V$162)),IFERROR(INDEX($C$162:$V$162,MATCH($D$2,$C$149:$V$149,0)),""))</f>
        <v/>
      </c>
      <c r="N24" s="49" t="str">
        <f>IF(AND(ISNUMBER(M24),ISNUMBER(L24)),IF(L24&gt;0,M24/L24,""),"")</f>
        <v/>
      </c>
      <c r="O24" s="32" t="str">
        <f>IF($B$2="Todos",IF(COUNT($C$232:$V$232)=0,"",SUM($C$232:$V$232)),IFERROR(INDEX($C$232:$V$232,MATCH($D$2,$C$219:$V$219,0)),""))</f>
        <v/>
      </c>
      <c r="P24" s="32">
        <f>IF($B24="","",IF($B$2="Todos",SUMIFS(BD!$O$3:$O$5001,BD!$A$3:$A$5001,$B24),SUMIFS(BD!$O$3:$O$5001,BD!$A$3:$A$5001,$B24,BD!$B$3:$B$5001,$D$2)))</f>
        <v>0</v>
      </c>
      <c r="Q24" s="32">
        <f>IF($B24="","",IF($B$2="Todos",SUMIFS(BD!$P$3:$P$5001,BD!$A$3:$A$5001,$B24),SUMIFS(BD!$P$3:$P$5001,BD!$A$3:$A$5001,$B24,BD!$B$3:$B$5001,$D$2)))</f>
        <v>0</v>
      </c>
      <c r="R24" s="32">
        <f>IF($B24="","",IF($B$2="Todos",SUMIFS(BD!$Q$3:$Q$5001,BD!$A$3:$A$5001,$B24),SUMIFS(BD!$Q$3:$Q$5001,BD!$A$3:$A$5001,$B24,BD!$B$3:$B$5001,$D$2)))</f>
        <v>0</v>
      </c>
      <c r="S24" s="32">
        <f>IF($B24="","",IF($B$2="Todos",SUMIFS(BD!$R$3:$R$5001,BD!$A$3:$A$5001,$B24),SUMIFS(BD!$R$3:$R$5001,BD!$A$3:$A$5001,$B24,BD!$B$3:$B$5001,$D$2)))</f>
        <v>0</v>
      </c>
      <c r="T24" s="32">
        <f>IF($B24="","",IF($B$2="Todos",SUMIFS(BD!$S$3:$S$5001,BD!$A$3:$A$5001,$B24),SUMIFS(BD!$S$3:$S$5001,BD!$A$3:$A$5001,$B24,BD!$B$3:$B$5001,$D$2)))</f>
        <v>0</v>
      </c>
      <c r="U24" s="32">
        <f>IF($B24="","",IF($B$2="Todos",SUMIFS(BD!$T$3:$T$5001,BD!$A$3:$A$5001,$B24),SUMIFS(BD!$T$3:$T$5001,BD!$A$3:$A$5001,$B24,BD!$B$3:$B$5001,$D$2)))</f>
        <v>0</v>
      </c>
      <c r="V24" s="32">
        <f>IF($B24="","",IF($B$2="Todos",SUMIFS(BD!$U$3:$U$5001,BD!$A$3:$A$5001,$B24),SUMIFS(BD!$U$3:$U$5001,BD!$A$3:$A$5001,$B24,BD!$B$3:$B$5001,$D$2)))</f>
        <v>0</v>
      </c>
      <c r="W24" s="50">
        <f>$B$5</f>
        <v>0.7</v>
      </c>
      <c r="X24" s="50">
        <f>$B$6</f>
        <v>0.9</v>
      </c>
      <c r="AN24" s="29" t="str">
        <f>IFERROR(INDEX(Config!$B$10:$B$29,MATCH(12,$AP$13:$AP$32,0))&amp;"","")</f>
        <v/>
      </c>
      <c r="AO24" s="28" t="str">
        <f>IF(AN24="","",IF(INDEX(Config!$C$10:$C$29,MATCH(12,$AP$13:$AP$32,0))&amp;""="","JSL",INDEX(Config!$C$10:$C$29,MATCH(12,$AP$13:$AP$32,0))&amp;""))</f>
        <v/>
      </c>
      <c r="AP24" s="38">
        <f>IF(Config!$B$21&amp;""="",AP23,AP23+1)</f>
        <v>5</v>
      </c>
      <c r="AX24" s="61">
        <f>IF(OR($B24="",N(VALUE($AH$310))=0),"",IF(INDEX($C24:$V24,VALUE($AH$310))="","",IF(N(VALUE($AJ$310))=0,INDEX($C24:$V24,VALUE($AH$310)),IF(N(INDEX($C24:$V24,N(VALUE($AJ$310))))&gt;0,INDEX($C24:$V24,VALUE($AH$310))/INDEX($C24:$V24,N(VALUE($AJ$310))),""))))</f>
        <v>0</v>
      </c>
      <c r="AY24" s="61">
        <f>IF(OR($B24="",N(VALUE($AI$310))=0),"",IF(INDEX($C24:$V24,VALUE($AI$310))="","",IF(N(VALUE($AK$310))=0,INDEX($C24:$V24,VALUE($AI$310)),IF(N(INDEX($C24:$V24,N(VALUE($AK$310))))&gt;0,INDEX($C24:$V24,VALUE($AI$310))/INDEX($C24:$V24,N(VALUE($AK$310))),""))))</f>
        <v>0</v>
      </c>
      <c r="AZ24" s="61">
        <f>IF(OR($B24="",N(VALUE($AP$310))=0),"",IF(INDEX($C24:$V24,VALUE($AP$310))="","",IF(N(VALUE($AR$310))=0,INDEX($C24:$V24,VALUE($AP$310)),IF(N(INDEX($C24:$V24,N(VALUE($AR$310))))&gt;0,INDEX($C24:$V24,VALUE($AP$310))/INDEX($C24:$V24,N(VALUE($AR$310))),""))))</f>
        <v>0</v>
      </c>
      <c r="BA24" s="61">
        <f>IF(OR($B24="",N(VALUE($AQ$310))=0),"",IF(INDEX($C24:$V24,VALUE($AQ$310))="","",IF(N(VALUE($AS$310))=0,INDEX($C24:$V24,VALUE($AQ$310)),IF(N(INDEX($C24:$V24,N(VALUE($AS$310))))&gt;0,INDEX($C24:$V24,VALUE($AQ$310))/INDEX($C24:$V24,N(VALUE($AS$310))),""))))</f>
        <v>0</v>
      </c>
      <c r="BC24" s="32" t="str">
        <f>IF(AND($A24=$B$9,ISNUMBER(L24)),L24,NA())</f>
        <v/>
      </c>
    </row>
    <row r="25">
      <c r="A25" s="28">
        <v>14</v>
      </c>
      <c r="B25" s="46">
        <f>IF($A25&lt;=DAY($D$7),$C$7+$A25-1,"")</f>
        <v>46309</v>
      </c>
      <c r="C25" s="32">
        <f>IF($B25="","",IF($B$2="Todos",SUMIFS(BD!$C$3:$C$5001,BD!$A$3:$A$5001,$B25),SUMIFS(BD!$C$3:$C$5001,BD!$A$3:$A$5001,$B25,BD!$B$3:$B$5001,$D$2)))</f>
        <v>0</v>
      </c>
      <c r="D25" s="32">
        <f>IF($B25="","",IF($B$2="Todos",SUMIFS(BD!$D$3:$D$5001,BD!$A$3:$A$5001,$B25),SUMIFS(BD!$D$3:$D$5001,BD!$A$3:$A$5001,$B25,BD!$B$3:$B$5001,$D$2)))</f>
        <v>0</v>
      </c>
      <c r="E25" s="47">
        <f>IF($B25="","",IF($B$2="Todos",SUMIFS(BD!$E$3:$E$5001,BD!$A$3:$A$5001,$B25),SUMIFS(BD!$E$3:$E$5001,BD!$A$3:$A$5001,$B25,BD!$B$3:$B$5001,$D$2)))</f>
        <v>0</v>
      </c>
      <c r="F25" s="32">
        <f>IF($B25="","",IF($B$2="Todos",SUMIFS(BD!$F$3:$F$5001,BD!$A$3:$A$5001,$B25),SUMIFS(BD!$F$3:$F$5001,BD!$A$3:$A$5001,$B25,BD!$B$3:$B$5001,$D$2)))</f>
        <v>0</v>
      </c>
      <c r="G25" s="32">
        <f>IF($B25="","",IF($B$2="Todos",SUMIFS(BD!$G$3:$G$5001,BD!$A$3:$A$5001,$B25),SUMIFS(BD!$G$3:$G$5001,BD!$A$3:$A$5001,$B25,BD!$B$3:$B$5001,$D$2)))</f>
        <v>0</v>
      </c>
      <c r="H25" s="47">
        <f>IF($B25="","",IF($B$2="Todos",SUMIFS(BD!$H$3:$H$5001,BD!$A$3:$A$5001,$B25),SUMIFS(BD!$H$3:$H$5001,BD!$A$3:$A$5001,$B25,BD!$B$3:$B$5001,$D$2)))</f>
        <v>0</v>
      </c>
      <c r="I25" s="32">
        <f>IF($B25="","",IF($B$2="Todos",SUMIFS(BD!$I$3:$I$5001,BD!$A$3:$A$5001,$B25),SUMIFS(BD!$I$3:$I$5001,BD!$A$3:$A$5001,$B25,BD!$B$3:$B$5001,$D$2)))</f>
        <v>0</v>
      </c>
      <c r="J25" s="32">
        <f>IF($B25="","",IF($B$2="Todos",SUMIFS(BD!$J$3:$J$5001,BD!$A$3:$A$5001,$B25),SUMIFS(BD!$J$3:$J$5001,BD!$A$3:$A$5001,$B25,BD!$B$3:$B$5001,$D$2)))</f>
        <v>0</v>
      </c>
      <c r="K25" s="32" t="str">
        <f>IF($B$2="Todos",IF(COUNT($C$128:$V$128)=0,"",SUM($C$128:$V$128)),IFERROR(INDEX($C$128:$V$128,MATCH($D$2,$C$114:$V$114,0)),""))</f>
        <v/>
      </c>
      <c r="L25" s="48" t="str">
        <f>IF(M25="","",IF($B$2="Todos",IF($B$4&gt;0,$B$4,IF($B$2="Todos",IF(COUNT($C$198:$V$198)=0,"",SUM($C$198:$V$198)),IFERROR(INDEX($C$198:$V$198,MATCH($D$2,$C$184:$V$184,0)),""))),IFERROR(INDEX($C$198:$V$198,MATCH($D$2,$C$184:$V$184,0)),"")))</f>
        <v/>
      </c>
      <c r="M25" s="32" t="str">
        <f>IF($B$2="Todos",IF(COUNT($C$163:$V$163)=0,"",SUM($C$163:$V$163)),IFERROR(INDEX($C$163:$V$163,MATCH($D$2,$C$149:$V$149,0)),""))</f>
        <v/>
      </c>
      <c r="N25" s="49" t="str">
        <f>IF(AND(ISNUMBER(M25),ISNUMBER(L25)),IF(L25&gt;0,M25/L25,""),"")</f>
        <v/>
      </c>
      <c r="O25" s="32" t="str">
        <f>IF($B$2="Todos",IF(COUNT($C$233:$V$233)=0,"",SUM($C$233:$V$233)),IFERROR(INDEX($C$233:$V$233,MATCH($D$2,$C$219:$V$219,0)),""))</f>
        <v/>
      </c>
      <c r="P25" s="32">
        <f>IF($B25="","",IF($B$2="Todos",SUMIFS(BD!$O$3:$O$5001,BD!$A$3:$A$5001,$B25),SUMIFS(BD!$O$3:$O$5001,BD!$A$3:$A$5001,$B25,BD!$B$3:$B$5001,$D$2)))</f>
        <v>0</v>
      </c>
      <c r="Q25" s="32">
        <f>IF($B25="","",IF($B$2="Todos",SUMIFS(BD!$P$3:$P$5001,BD!$A$3:$A$5001,$B25),SUMIFS(BD!$P$3:$P$5001,BD!$A$3:$A$5001,$B25,BD!$B$3:$B$5001,$D$2)))</f>
        <v>0</v>
      </c>
      <c r="R25" s="32">
        <f>IF($B25="","",IF($B$2="Todos",SUMIFS(BD!$Q$3:$Q$5001,BD!$A$3:$A$5001,$B25),SUMIFS(BD!$Q$3:$Q$5001,BD!$A$3:$A$5001,$B25,BD!$B$3:$B$5001,$D$2)))</f>
        <v>0</v>
      </c>
      <c r="S25" s="32">
        <f>IF($B25="","",IF($B$2="Todos",SUMIFS(BD!$R$3:$R$5001,BD!$A$3:$A$5001,$B25),SUMIFS(BD!$R$3:$R$5001,BD!$A$3:$A$5001,$B25,BD!$B$3:$B$5001,$D$2)))</f>
        <v>0</v>
      </c>
      <c r="T25" s="32">
        <f>IF($B25="","",IF($B$2="Todos",SUMIFS(BD!$S$3:$S$5001,BD!$A$3:$A$5001,$B25),SUMIFS(BD!$S$3:$S$5001,BD!$A$3:$A$5001,$B25,BD!$B$3:$B$5001,$D$2)))</f>
        <v>0</v>
      </c>
      <c r="U25" s="32">
        <f>IF($B25="","",IF($B$2="Todos",SUMIFS(BD!$T$3:$T$5001,BD!$A$3:$A$5001,$B25),SUMIFS(BD!$T$3:$T$5001,BD!$A$3:$A$5001,$B25,BD!$B$3:$B$5001,$D$2)))</f>
        <v>0</v>
      </c>
      <c r="V25" s="32">
        <f>IF($B25="","",IF($B$2="Todos",SUMIFS(BD!$U$3:$U$5001,BD!$A$3:$A$5001,$B25),SUMIFS(BD!$U$3:$U$5001,BD!$A$3:$A$5001,$B25,BD!$B$3:$B$5001,$D$2)))</f>
        <v>0</v>
      </c>
      <c r="W25" s="50">
        <f>$B$5</f>
        <v>0.7</v>
      </c>
      <c r="X25" s="50">
        <f>$B$6</f>
        <v>0.9</v>
      </c>
      <c r="AN25" s="29" t="str">
        <f>IFERROR(INDEX(Config!$B$10:$B$29,MATCH(13,$AP$13:$AP$32,0))&amp;"","")</f>
        <v/>
      </c>
      <c r="AO25" s="28" t="str">
        <f>IF(AN25="","",IF(INDEX(Config!$C$10:$C$29,MATCH(13,$AP$13:$AP$32,0))&amp;""="","JSL",INDEX(Config!$C$10:$C$29,MATCH(13,$AP$13:$AP$32,0))&amp;""))</f>
        <v/>
      </c>
      <c r="AP25" s="38">
        <f>IF(Config!$B$22&amp;""="",AP24,AP24+1)</f>
        <v>5</v>
      </c>
      <c r="AX25" s="61">
        <f>IF(OR($B25="",N(VALUE($AH$310))=0),"",IF(INDEX($C25:$V25,VALUE($AH$310))="","",IF(N(VALUE($AJ$310))=0,INDEX($C25:$V25,VALUE($AH$310)),IF(N(INDEX($C25:$V25,N(VALUE($AJ$310))))&gt;0,INDEX($C25:$V25,VALUE($AH$310))/INDEX($C25:$V25,N(VALUE($AJ$310))),""))))</f>
        <v>0</v>
      </c>
      <c r="AY25" s="61">
        <f>IF(OR($B25="",N(VALUE($AI$310))=0),"",IF(INDEX($C25:$V25,VALUE($AI$310))="","",IF(N(VALUE($AK$310))=0,INDEX($C25:$V25,VALUE($AI$310)),IF(N(INDEX($C25:$V25,N(VALUE($AK$310))))&gt;0,INDEX($C25:$V25,VALUE($AI$310))/INDEX($C25:$V25,N(VALUE($AK$310))),""))))</f>
        <v>0</v>
      </c>
      <c r="AZ25" s="61">
        <f>IF(OR($B25="",N(VALUE($AP$310))=0),"",IF(INDEX($C25:$V25,VALUE($AP$310))="","",IF(N(VALUE($AR$310))=0,INDEX($C25:$V25,VALUE($AP$310)),IF(N(INDEX($C25:$V25,N(VALUE($AR$310))))&gt;0,INDEX($C25:$V25,VALUE($AP$310))/INDEX($C25:$V25,N(VALUE($AR$310))),""))))</f>
        <v>0</v>
      </c>
      <c r="BA25" s="61">
        <f>IF(OR($B25="",N(VALUE($AQ$310))=0),"",IF(INDEX($C25:$V25,VALUE($AQ$310))="","",IF(N(VALUE($AS$310))=0,INDEX($C25:$V25,VALUE($AQ$310)),IF(N(INDEX($C25:$V25,N(VALUE($AS$310))))&gt;0,INDEX($C25:$V25,VALUE($AQ$310))/INDEX($C25:$V25,N(VALUE($AS$310))),""))))</f>
        <v>0</v>
      </c>
      <c r="BC25" s="32" t="str">
        <f>IF(AND($A25=$B$9,ISNUMBER(L25)),L25,NA())</f>
        <v/>
      </c>
    </row>
    <row r="26">
      <c r="A26" s="28">
        <v>15</v>
      </c>
      <c r="B26" s="46">
        <f>IF($A26&lt;=DAY($D$7),$C$7+$A26-1,"")</f>
        <v>46310</v>
      </c>
      <c r="C26" s="32">
        <f>IF($B26="","",IF($B$2="Todos",SUMIFS(BD!$C$3:$C$5001,BD!$A$3:$A$5001,$B26),SUMIFS(BD!$C$3:$C$5001,BD!$A$3:$A$5001,$B26,BD!$B$3:$B$5001,$D$2)))</f>
        <v>0</v>
      </c>
      <c r="D26" s="32">
        <f>IF($B26="","",IF($B$2="Todos",SUMIFS(BD!$D$3:$D$5001,BD!$A$3:$A$5001,$B26),SUMIFS(BD!$D$3:$D$5001,BD!$A$3:$A$5001,$B26,BD!$B$3:$B$5001,$D$2)))</f>
        <v>0</v>
      </c>
      <c r="E26" s="47">
        <f>IF($B26="","",IF($B$2="Todos",SUMIFS(BD!$E$3:$E$5001,BD!$A$3:$A$5001,$B26),SUMIFS(BD!$E$3:$E$5001,BD!$A$3:$A$5001,$B26,BD!$B$3:$B$5001,$D$2)))</f>
        <v>0</v>
      </c>
      <c r="F26" s="32">
        <f>IF($B26="","",IF($B$2="Todos",SUMIFS(BD!$F$3:$F$5001,BD!$A$3:$A$5001,$B26),SUMIFS(BD!$F$3:$F$5001,BD!$A$3:$A$5001,$B26,BD!$B$3:$B$5001,$D$2)))</f>
        <v>0</v>
      </c>
      <c r="G26" s="32">
        <f>IF($B26="","",IF($B$2="Todos",SUMIFS(BD!$G$3:$G$5001,BD!$A$3:$A$5001,$B26),SUMIFS(BD!$G$3:$G$5001,BD!$A$3:$A$5001,$B26,BD!$B$3:$B$5001,$D$2)))</f>
        <v>0</v>
      </c>
      <c r="H26" s="47">
        <f>IF($B26="","",IF($B$2="Todos",SUMIFS(BD!$H$3:$H$5001,BD!$A$3:$A$5001,$B26),SUMIFS(BD!$H$3:$H$5001,BD!$A$3:$A$5001,$B26,BD!$B$3:$B$5001,$D$2)))</f>
        <v>0</v>
      </c>
      <c r="I26" s="32">
        <f>IF($B26="","",IF($B$2="Todos",SUMIFS(BD!$I$3:$I$5001,BD!$A$3:$A$5001,$B26),SUMIFS(BD!$I$3:$I$5001,BD!$A$3:$A$5001,$B26,BD!$B$3:$B$5001,$D$2)))</f>
        <v>0</v>
      </c>
      <c r="J26" s="32">
        <f>IF($B26="","",IF($B$2="Todos",SUMIFS(BD!$J$3:$J$5001,BD!$A$3:$A$5001,$B26),SUMIFS(BD!$J$3:$J$5001,BD!$A$3:$A$5001,$B26,BD!$B$3:$B$5001,$D$2)))</f>
        <v>0</v>
      </c>
      <c r="K26" s="32" t="str">
        <f>IF($B$2="Todos",IF(COUNT($C$129:$V$129)=0,"",SUM($C$129:$V$129)),IFERROR(INDEX($C$129:$V$129,MATCH($D$2,$C$114:$V$114,0)),""))</f>
        <v/>
      </c>
      <c r="L26" s="48" t="str">
        <f>IF(M26="","",IF($B$2="Todos",IF($B$4&gt;0,$B$4,IF($B$2="Todos",IF(COUNT($C$199:$V$199)=0,"",SUM($C$199:$V$199)),IFERROR(INDEX($C$199:$V$199,MATCH($D$2,$C$184:$V$184,0)),""))),IFERROR(INDEX($C$199:$V$199,MATCH($D$2,$C$184:$V$184,0)),"")))</f>
        <v/>
      </c>
      <c r="M26" s="32" t="str">
        <f>IF($B$2="Todos",IF(COUNT($C$164:$V$164)=0,"",SUM($C$164:$V$164)),IFERROR(INDEX($C$164:$V$164,MATCH($D$2,$C$149:$V$149,0)),""))</f>
        <v/>
      </c>
      <c r="N26" s="49" t="str">
        <f>IF(AND(ISNUMBER(M26),ISNUMBER(L26)),IF(L26&gt;0,M26/L26,""),"")</f>
        <v/>
      </c>
      <c r="O26" s="32" t="str">
        <f>IF($B$2="Todos",IF(COUNT($C$234:$V$234)=0,"",SUM($C$234:$V$234)),IFERROR(INDEX($C$234:$V$234,MATCH($D$2,$C$219:$V$219,0)),""))</f>
        <v/>
      </c>
      <c r="P26" s="32">
        <f>IF($B26="","",IF($B$2="Todos",SUMIFS(BD!$O$3:$O$5001,BD!$A$3:$A$5001,$B26),SUMIFS(BD!$O$3:$O$5001,BD!$A$3:$A$5001,$B26,BD!$B$3:$B$5001,$D$2)))</f>
        <v>0</v>
      </c>
      <c r="Q26" s="32">
        <f>IF($B26="","",IF($B$2="Todos",SUMIFS(BD!$P$3:$P$5001,BD!$A$3:$A$5001,$B26),SUMIFS(BD!$P$3:$P$5001,BD!$A$3:$A$5001,$B26,BD!$B$3:$B$5001,$D$2)))</f>
        <v>0</v>
      </c>
      <c r="R26" s="32">
        <f>IF($B26="","",IF($B$2="Todos",SUMIFS(BD!$Q$3:$Q$5001,BD!$A$3:$A$5001,$B26),SUMIFS(BD!$Q$3:$Q$5001,BD!$A$3:$A$5001,$B26,BD!$B$3:$B$5001,$D$2)))</f>
        <v>0</v>
      </c>
      <c r="S26" s="32">
        <f>IF($B26="","",IF($B$2="Todos",SUMIFS(BD!$R$3:$R$5001,BD!$A$3:$A$5001,$B26),SUMIFS(BD!$R$3:$R$5001,BD!$A$3:$A$5001,$B26,BD!$B$3:$B$5001,$D$2)))</f>
        <v>0</v>
      </c>
      <c r="T26" s="32">
        <f>IF($B26="","",IF($B$2="Todos",SUMIFS(BD!$S$3:$S$5001,BD!$A$3:$A$5001,$B26),SUMIFS(BD!$S$3:$S$5001,BD!$A$3:$A$5001,$B26,BD!$B$3:$B$5001,$D$2)))</f>
        <v>0</v>
      </c>
      <c r="U26" s="32">
        <f>IF($B26="","",IF($B$2="Todos",SUMIFS(BD!$T$3:$T$5001,BD!$A$3:$A$5001,$B26),SUMIFS(BD!$T$3:$T$5001,BD!$A$3:$A$5001,$B26,BD!$B$3:$B$5001,$D$2)))</f>
        <v>0</v>
      </c>
      <c r="V26" s="32">
        <f>IF($B26="","",IF($B$2="Todos",SUMIFS(BD!$U$3:$U$5001,BD!$A$3:$A$5001,$B26),SUMIFS(BD!$U$3:$U$5001,BD!$A$3:$A$5001,$B26,BD!$B$3:$B$5001,$D$2)))</f>
        <v>0</v>
      </c>
      <c r="W26" s="50">
        <f>$B$5</f>
        <v>0.7</v>
      </c>
      <c r="X26" s="50">
        <f>$B$6</f>
        <v>0.9</v>
      </c>
      <c r="AN26" s="29" t="str">
        <f>IFERROR(INDEX(Config!$B$10:$B$29,MATCH(14,$AP$13:$AP$32,0))&amp;"","")</f>
        <v/>
      </c>
      <c r="AO26" s="28" t="str">
        <f>IF(AN26="","",IF(INDEX(Config!$C$10:$C$29,MATCH(14,$AP$13:$AP$32,0))&amp;""="","JSL",INDEX(Config!$C$10:$C$29,MATCH(14,$AP$13:$AP$32,0))&amp;""))</f>
        <v/>
      </c>
      <c r="AP26" s="38">
        <f>IF(Config!$B$23&amp;""="",AP25,AP25+1)</f>
        <v>5</v>
      </c>
      <c r="AX26" s="61">
        <f>IF(OR($B26="",N(VALUE($AH$310))=0),"",IF(INDEX($C26:$V26,VALUE($AH$310))="","",IF(N(VALUE($AJ$310))=0,INDEX($C26:$V26,VALUE($AH$310)),IF(N(INDEX($C26:$V26,N(VALUE($AJ$310))))&gt;0,INDEX($C26:$V26,VALUE($AH$310))/INDEX($C26:$V26,N(VALUE($AJ$310))),""))))</f>
        <v>0</v>
      </c>
      <c r="AY26" s="61">
        <f>IF(OR($B26="",N(VALUE($AI$310))=0),"",IF(INDEX($C26:$V26,VALUE($AI$310))="","",IF(N(VALUE($AK$310))=0,INDEX($C26:$V26,VALUE($AI$310)),IF(N(INDEX($C26:$V26,N(VALUE($AK$310))))&gt;0,INDEX($C26:$V26,VALUE($AI$310))/INDEX($C26:$V26,N(VALUE($AK$310))),""))))</f>
        <v>0</v>
      </c>
      <c r="AZ26" s="61">
        <f>IF(OR($B26="",N(VALUE($AP$310))=0),"",IF(INDEX($C26:$V26,VALUE($AP$310))="","",IF(N(VALUE($AR$310))=0,INDEX($C26:$V26,VALUE($AP$310)),IF(N(INDEX($C26:$V26,N(VALUE($AR$310))))&gt;0,INDEX($C26:$V26,VALUE($AP$310))/INDEX($C26:$V26,N(VALUE($AR$310))),""))))</f>
        <v>0</v>
      </c>
      <c r="BA26" s="61">
        <f>IF(OR($B26="",N(VALUE($AQ$310))=0),"",IF(INDEX($C26:$V26,VALUE($AQ$310))="","",IF(N(VALUE($AS$310))=0,INDEX($C26:$V26,VALUE($AQ$310)),IF(N(INDEX($C26:$V26,N(VALUE($AS$310))))&gt;0,INDEX($C26:$V26,VALUE($AQ$310))/INDEX($C26:$V26,N(VALUE($AS$310))),""))))</f>
        <v>0</v>
      </c>
      <c r="BC26" s="32" t="str">
        <f>IF(AND($A26=$B$9,ISNUMBER(L26)),L26,NA())</f>
        <v/>
      </c>
    </row>
    <row r="27">
      <c r="A27" s="28">
        <v>16</v>
      </c>
      <c r="B27" s="46">
        <f>IF($A27&lt;=DAY($D$7),$C$7+$A27-1,"")</f>
        <v>46311</v>
      </c>
      <c r="C27" s="32">
        <f>IF($B27="","",IF($B$2="Todos",SUMIFS(BD!$C$3:$C$5001,BD!$A$3:$A$5001,$B27),SUMIFS(BD!$C$3:$C$5001,BD!$A$3:$A$5001,$B27,BD!$B$3:$B$5001,$D$2)))</f>
        <v>0</v>
      </c>
      <c r="D27" s="32">
        <f>IF($B27="","",IF($B$2="Todos",SUMIFS(BD!$D$3:$D$5001,BD!$A$3:$A$5001,$B27),SUMIFS(BD!$D$3:$D$5001,BD!$A$3:$A$5001,$B27,BD!$B$3:$B$5001,$D$2)))</f>
        <v>0</v>
      </c>
      <c r="E27" s="47">
        <f>IF($B27="","",IF($B$2="Todos",SUMIFS(BD!$E$3:$E$5001,BD!$A$3:$A$5001,$B27),SUMIFS(BD!$E$3:$E$5001,BD!$A$3:$A$5001,$B27,BD!$B$3:$B$5001,$D$2)))</f>
        <v>0</v>
      </c>
      <c r="F27" s="32">
        <f>IF($B27="","",IF($B$2="Todos",SUMIFS(BD!$F$3:$F$5001,BD!$A$3:$A$5001,$B27),SUMIFS(BD!$F$3:$F$5001,BD!$A$3:$A$5001,$B27,BD!$B$3:$B$5001,$D$2)))</f>
        <v>0</v>
      </c>
      <c r="G27" s="32">
        <f>IF($B27="","",IF($B$2="Todos",SUMIFS(BD!$G$3:$G$5001,BD!$A$3:$A$5001,$B27),SUMIFS(BD!$G$3:$G$5001,BD!$A$3:$A$5001,$B27,BD!$B$3:$B$5001,$D$2)))</f>
        <v>0</v>
      </c>
      <c r="H27" s="47">
        <f>IF($B27="","",IF($B$2="Todos",SUMIFS(BD!$H$3:$H$5001,BD!$A$3:$A$5001,$B27),SUMIFS(BD!$H$3:$H$5001,BD!$A$3:$A$5001,$B27,BD!$B$3:$B$5001,$D$2)))</f>
        <v>0</v>
      </c>
      <c r="I27" s="32">
        <f>IF($B27="","",IF($B$2="Todos",SUMIFS(BD!$I$3:$I$5001,BD!$A$3:$A$5001,$B27),SUMIFS(BD!$I$3:$I$5001,BD!$A$3:$A$5001,$B27,BD!$B$3:$B$5001,$D$2)))</f>
        <v>0</v>
      </c>
      <c r="J27" s="32">
        <f>IF($B27="","",IF($B$2="Todos",SUMIFS(BD!$J$3:$J$5001,BD!$A$3:$A$5001,$B27),SUMIFS(BD!$J$3:$J$5001,BD!$A$3:$A$5001,$B27,BD!$B$3:$B$5001,$D$2)))</f>
        <v>0</v>
      </c>
      <c r="K27" s="32" t="str">
        <f>IF($B$2="Todos",IF(COUNT($C$130:$V$130)=0,"",SUM($C$130:$V$130)),IFERROR(INDEX($C$130:$V$130,MATCH($D$2,$C$114:$V$114,0)),""))</f>
        <v/>
      </c>
      <c r="L27" s="48" t="str">
        <f>IF(M27="","",IF($B$2="Todos",IF($B$4&gt;0,$B$4,IF($B$2="Todos",IF(COUNT($C$200:$V$200)=0,"",SUM($C$200:$V$200)),IFERROR(INDEX($C$200:$V$200,MATCH($D$2,$C$184:$V$184,0)),""))),IFERROR(INDEX($C$200:$V$200,MATCH($D$2,$C$184:$V$184,0)),"")))</f>
        <v/>
      </c>
      <c r="M27" s="32" t="str">
        <f>IF($B$2="Todos",IF(COUNT($C$165:$V$165)=0,"",SUM($C$165:$V$165)),IFERROR(INDEX($C$165:$V$165,MATCH($D$2,$C$149:$V$149,0)),""))</f>
        <v/>
      </c>
      <c r="N27" s="49" t="str">
        <f>IF(AND(ISNUMBER(M27),ISNUMBER(L27)),IF(L27&gt;0,M27/L27,""),"")</f>
        <v/>
      </c>
      <c r="O27" s="32" t="str">
        <f>IF($B$2="Todos",IF(COUNT($C$235:$V$235)=0,"",SUM($C$235:$V$235)),IFERROR(INDEX($C$235:$V$235,MATCH($D$2,$C$219:$V$219,0)),""))</f>
        <v/>
      </c>
      <c r="P27" s="32">
        <f>IF($B27="","",IF($B$2="Todos",SUMIFS(BD!$O$3:$O$5001,BD!$A$3:$A$5001,$B27),SUMIFS(BD!$O$3:$O$5001,BD!$A$3:$A$5001,$B27,BD!$B$3:$B$5001,$D$2)))</f>
        <v>0</v>
      </c>
      <c r="Q27" s="32">
        <f>IF($B27="","",IF($B$2="Todos",SUMIFS(BD!$P$3:$P$5001,BD!$A$3:$A$5001,$B27),SUMIFS(BD!$P$3:$P$5001,BD!$A$3:$A$5001,$B27,BD!$B$3:$B$5001,$D$2)))</f>
        <v>0</v>
      </c>
      <c r="R27" s="32">
        <f>IF($B27="","",IF($B$2="Todos",SUMIFS(BD!$Q$3:$Q$5001,BD!$A$3:$A$5001,$B27),SUMIFS(BD!$Q$3:$Q$5001,BD!$A$3:$A$5001,$B27,BD!$B$3:$B$5001,$D$2)))</f>
        <v>0</v>
      </c>
      <c r="S27" s="32">
        <f>IF($B27="","",IF($B$2="Todos",SUMIFS(BD!$R$3:$R$5001,BD!$A$3:$A$5001,$B27),SUMIFS(BD!$R$3:$R$5001,BD!$A$3:$A$5001,$B27,BD!$B$3:$B$5001,$D$2)))</f>
        <v>0</v>
      </c>
      <c r="T27" s="32">
        <f>IF($B27="","",IF($B$2="Todos",SUMIFS(BD!$S$3:$S$5001,BD!$A$3:$A$5001,$B27),SUMIFS(BD!$S$3:$S$5001,BD!$A$3:$A$5001,$B27,BD!$B$3:$B$5001,$D$2)))</f>
        <v>0</v>
      </c>
      <c r="U27" s="32">
        <f>IF($B27="","",IF($B$2="Todos",SUMIFS(BD!$T$3:$T$5001,BD!$A$3:$A$5001,$B27),SUMIFS(BD!$T$3:$T$5001,BD!$A$3:$A$5001,$B27,BD!$B$3:$B$5001,$D$2)))</f>
        <v>0</v>
      </c>
      <c r="V27" s="32">
        <f>IF($B27="","",IF($B$2="Todos",SUMIFS(BD!$U$3:$U$5001,BD!$A$3:$A$5001,$B27),SUMIFS(BD!$U$3:$U$5001,BD!$A$3:$A$5001,$B27,BD!$B$3:$B$5001,$D$2)))</f>
        <v>0</v>
      </c>
      <c r="W27" s="50">
        <f>$B$5</f>
        <v>0.7</v>
      </c>
      <c r="X27" s="50">
        <f>$B$6</f>
        <v>0.9</v>
      </c>
      <c r="AN27" s="29" t="str">
        <f>IFERROR(INDEX(Config!$B$10:$B$29,MATCH(15,$AP$13:$AP$32,0))&amp;"","")</f>
        <v/>
      </c>
      <c r="AO27" s="28" t="str">
        <f>IF(AN27="","",IF(INDEX(Config!$C$10:$C$29,MATCH(15,$AP$13:$AP$32,0))&amp;""="","JSL",INDEX(Config!$C$10:$C$29,MATCH(15,$AP$13:$AP$32,0))&amp;""))</f>
        <v/>
      </c>
      <c r="AP27" s="38">
        <f>IF(Config!$B$24&amp;""="",AP26,AP26+1)</f>
        <v>5</v>
      </c>
      <c r="AX27" s="61">
        <f>IF(OR($B27="",N(VALUE($AH$310))=0),"",IF(INDEX($C27:$V27,VALUE($AH$310))="","",IF(N(VALUE($AJ$310))=0,INDEX($C27:$V27,VALUE($AH$310)),IF(N(INDEX($C27:$V27,N(VALUE($AJ$310))))&gt;0,INDEX($C27:$V27,VALUE($AH$310))/INDEX($C27:$V27,N(VALUE($AJ$310))),""))))</f>
        <v>0</v>
      </c>
      <c r="AY27" s="61">
        <f>IF(OR($B27="",N(VALUE($AI$310))=0),"",IF(INDEX($C27:$V27,VALUE($AI$310))="","",IF(N(VALUE($AK$310))=0,INDEX($C27:$V27,VALUE($AI$310)),IF(N(INDEX($C27:$V27,N(VALUE($AK$310))))&gt;0,INDEX($C27:$V27,VALUE($AI$310))/INDEX($C27:$V27,N(VALUE($AK$310))),""))))</f>
        <v>0</v>
      </c>
      <c r="AZ27" s="61">
        <f>IF(OR($B27="",N(VALUE($AP$310))=0),"",IF(INDEX($C27:$V27,VALUE($AP$310))="","",IF(N(VALUE($AR$310))=0,INDEX($C27:$V27,VALUE($AP$310)),IF(N(INDEX($C27:$V27,N(VALUE($AR$310))))&gt;0,INDEX($C27:$V27,VALUE($AP$310))/INDEX($C27:$V27,N(VALUE($AR$310))),""))))</f>
        <v>0</v>
      </c>
      <c r="BA27" s="61">
        <f>IF(OR($B27="",N(VALUE($AQ$310))=0),"",IF(INDEX($C27:$V27,VALUE($AQ$310))="","",IF(N(VALUE($AS$310))=0,INDEX($C27:$V27,VALUE($AQ$310)),IF(N(INDEX($C27:$V27,N(VALUE($AS$310))))&gt;0,INDEX($C27:$V27,VALUE($AQ$310))/INDEX($C27:$V27,N(VALUE($AS$310))),""))))</f>
        <v>0</v>
      </c>
      <c r="BC27" s="32" t="str">
        <f>IF(AND($A27=$B$9,ISNUMBER(L27)),L27,NA())</f>
        <v/>
      </c>
    </row>
    <row r="28">
      <c r="A28" s="28">
        <v>17</v>
      </c>
      <c r="B28" s="46">
        <f>IF($A28&lt;=DAY($D$7),$C$7+$A28-1,"")</f>
        <v>46312</v>
      </c>
      <c r="C28" s="32">
        <f>IF($B28="","",IF($B$2="Todos",SUMIFS(BD!$C$3:$C$5001,BD!$A$3:$A$5001,$B28),SUMIFS(BD!$C$3:$C$5001,BD!$A$3:$A$5001,$B28,BD!$B$3:$B$5001,$D$2)))</f>
        <v>0</v>
      </c>
      <c r="D28" s="32">
        <f>IF($B28="","",IF($B$2="Todos",SUMIFS(BD!$D$3:$D$5001,BD!$A$3:$A$5001,$B28),SUMIFS(BD!$D$3:$D$5001,BD!$A$3:$A$5001,$B28,BD!$B$3:$B$5001,$D$2)))</f>
        <v>0</v>
      </c>
      <c r="E28" s="47">
        <f>IF($B28="","",IF($B$2="Todos",SUMIFS(BD!$E$3:$E$5001,BD!$A$3:$A$5001,$B28),SUMIFS(BD!$E$3:$E$5001,BD!$A$3:$A$5001,$B28,BD!$B$3:$B$5001,$D$2)))</f>
        <v>0</v>
      </c>
      <c r="F28" s="32">
        <f>IF($B28="","",IF($B$2="Todos",SUMIFS(BD!$F$3:$F$5001,BD!$A$3:$A$5001,$B28),SUMIFS(BD!$F$3:$F$5001,BD!$A$3:$A$5001,$B28,BD!$B$3:$B$5001,$D$2)))</f>
        <v>0</v>
      </c>
      <c r="G28" s="32">
        <f>IF($B28="","",IF($B$2="Todos",SUMIFS(BD!$G$3:$G$5001,BD!$A$3:$A$5001,$B28),SUMIFS(BD!$G$3:$G$5001,BD!$A$3:$A$5001,$B28,BD!$B$3:$B$5001,$D$2)))</f>
        <v>0</v>
      </c>
      <c r="H28" s="47">
        <f>IF($B28="","",IF($B$2="Todos",SUMIFS(BD!$H$3:$H$5001,BD!$A$3:$A$5001,$B28),SUMIFS(BD!$H$3:$H$5001,BD!$A$3:$A$5001,$B28,BD!$B$3:$B$5001,$D$2)))</f>
        <v>0</v>
      </c>
      <c r="I28" s="32">
        <f>IF($B28="","",IF($B$2="Todos",SUMIFS(BD!$I$3:$I$5001,BD!$A$3:$A$5001,$B28),SUMIFS(BD!$I$3:$I$5001,BD!$A$3:$A$5001,$B28,BD!$B$3:$B$5001,$D$2)))</f>
        <v>0</v>
      </c>
      <c r="J28" s="32">
        <f>IF($B28="","",IF($B$2="Todos",SUMIFS(BD!$J$3:$J$5001,BD!$A$3:$A$5001,$B28),SUMIFS(BD!$J$3:$J$5001,BD!$A$3:$A$5001,$B28,BD!$B$3:$B$5001,$D$2)))</f>
        <v>0</v>
      </c>
      <c r="K28" s="32" t="str">
        <f>IF($B$2="Todos",IF(COUNT($C$131:$V$131)=0,"",SUM($C$131:$V$131)),IFERROR(INDEX($C$131:$V$131,MATCH($D$2,$C$114:$V$114,0)),""))</f>
        <v/>
      </c>
      <c r="L28" s="48" t="str">
        <f>IF(M28="","",IF($B$2="Todos",IF($B$4&gt;0,$B$4,IF($B$2="Todos",IF(COUNT($C$201:$V$201)=0,"",SUM($C$201:$V$201)),IFERROR(INDEX($C$201:$V$201,MATCH($D$2,$C$184:$V$184,0)),""))),IFERROR(INDEX($C$201:$V$201,MATCH($D$2,$C$184:$V$184,0)),"")))</f>
        <v/>
      </c>
      <c r="M28" s="32" t="str">
        <f>IF($B$2="Todos",IF(COUNT($C$166:$V$166)=0,"",SUM($C$166:$V$166)),IFERROR(INDEX($C$166:$V$166,MATCH($D$2,$C$149:$V$149,0)),""))</f>
        <v/>
      </c>
      <c r="N28" s="49" t="str">
        <f>IF(AND(ISNUMBER(M28),ISNUMBER(L28)),IF(L28&gt;0,M28/L28,""),"")</f>
        <v/>
      </c>
      <c r="O28" s="32" t="str">
        <f>IF($B$2="Todos",IF(COUNT($C$236:$V$236)=0,"",SUM($C$236:$V$236)),IFERROR(INDEX($C$236:$V$236,MATCH($D$2,$C$219:$V$219,0)),""))</f>
        <v/>
      </c>
      <c r="P28" s="32">
        <f>IF($B28="","",IF($B$2="Todos",SUMIFS(BD!$O$3:$O$5001,BD!$A$3:$A$5001,$B28),SUMIFS(BD!$O$3:$O$5001,BD!$A$3:$A$5001,$B28,BD!$B$3:$B$5001,$D$2)))</f>
        <v>0</v>
      </c>
      <c r="Q28" s="32">
        <f>IF($B28="","",IF($B$2="Todos",SUMIFS(BD!$P$3:$P$5001,BD!$A$3:$A$5001,$B28),SUMIFS(BD!$P$3:$P$5001,BD!$A$3:$A$5001,$B28,BD!$B$3:$B$5001,$D$2)))</f>
        <v>0</v>
      </c>
      <c r="R28" s="32">
        <f>IF($B28="","",IF($B$2="Todos",SUMIFS(BD!$Q$3:$Q$5001,BD!$A$3:$A$5001,$B28),SUMIFS(BD!$Q$3:$Q$5001,BD!$A$3:$A$5001,$B28,BD!$B$3:$B$5001,$D$2)))</f>
        <v>0</v>
      </c>
      <c r="S28" s="32">
        <f>IF($B28="","",IF($B$2="Todos",SUMIFS(BD!$R$3:$R$5001,BD!$A$3:$A$5001,$B28),SUMIFS(BD!$R$3:$R$5001,BD!$A$3:$A$5001,$B28,BD!$B$3:$B$5001,$D$2)))</f>
        <v>0</v>
      </c>
      <c r="T28" s="32">
        <f>IF($B28="","",IF($B$2="Todos",SUMIFS(BD!$S$3:$S$5001,BD!$A$3:$A$5001,$B28),SUMIFS(BD!$S$3:$S$5001,BD!$A$3:$A$5001,$B28,BD!$B$3:$B$5001,$D$2)))</f>
        <v>0</v>
      </c>
      <c r="U28" s="32">
        <f>IF($B28="","",IF($B$2="Todos",SUMIFS(BD!$T$3:$T$5001,BD!$A$3:$A$5001,$B28),SUMIFS(BD!$T$3:$T$5001,BD!$A$3:$A$5001,$B28,BD!$B$3:$B$5001,$D$2)))</f>
        <v>0</v>
      </c>
      <c r="V28" s="32">
        <f>IF($B28="","",IF($B$2="Todos",SUMIFS(BD!$U$3:$U$5001,BD!$A$3:$A$5001,$B28),SUMIFS(BD!$U$3:$U$5001,BD!$A$3:$A$5001,$B28,BD!$B$3:$B$5001,$D$2)))</f>
        <v>0</v>
      </c>
      <c r="W28" s="50">
        <f>$B$5</f>
        <v>0.7</v>
      </c>
      <c r="X28" s="50">
        <f>$B$6</f>
        <v>0.9</v>
      </c>
      <c r="AN28" s="29" t="str">
        <f>IFERROR(INDEX(Config!$B$10:$B$29,MATCH(16,$AP$13:$AP$32,0))&amp;"","")</f>
        <v/>
      </c>
      <c r="AO28" s="28" t="str">
        <f>IF(AN28="","",IF(INDEX(Config!$C$10:$C$29,MATCH(16,$AP$13:$AP$32,0))&amp;""="","JSL",INDEX(Config!$C$10:$C$29,MATCH(16,$AP$13:$AP$32,0))&amp;""))</f>
        <v/>
      </c>
      <c r="AP28" s="38">
        <f>IF(Config!$B$25&amp;""="",AP27,AP27+1)</f>
        <v>5</v>
      </c>
      <c r="AX28" s="61">
        <f>IF(OR($B28="",N(VALUE($AH$310))=0),"",IF(INDEX($C28:$V28,VALUE($AH$310))="","",IF(N(VALUE($AJ$310))=0,INDEX($C28:$V28,VALUE($AH$310)),IF(N(INDEX($C28:$V28,N(VALUE($AJ$310))))&gt;0,INDEX($C28:$V28,VALUE($AH$310))/INDEX($C28:$V28,N(VALUE($AJ$310))),""))))</f>
        <v>0</v>
      </c>
      <c r="AY28" s="61">
        <f>IF(OR($B28="",N(VALUE($AI$310))=0),"",IF(INDEX($C28:$V28,VALUE($AI$310))="","",IF(N(VALUE($AK$310))=0,INDEX($C28:$V28,VALUE($AI$310)),IF(N(INDEX($C28:$V28,N(VALUE($AK$310))))&gt;0,INDEX($C28:$V28,VALUE($AI$310))/INDEX($C28:$V28,N(VALUE($AK$310))),""))))</f>
        <v>0</v>
      </c>
      <c r="AZ28" s="61">
        <f>IF(OR($B28="",N(VALUE($AP$310))=0),"",IF(INDEX($C28:$V28,VALUE($AP$310))="","",IF(N(VALUE($AR$310))=0,INDEX($C28:$V28,VALUE($AP$310)),IF(N(INDEX($C28:$V28,N(VALUE($AR$310))))&gt;0,INDEX($C28:$V28,VALUE($AP$310))/INDEX($C28:$V28,N(VALUE($AR$310))),""))))</f>
        <v>0</v>
      </c>
      <c r="BA28" s="61">
        <f>IF(OR($B28="",N(VALUE($AQ$310))=0),"",IF(INDEX($C28:$V28,VALUE($AQ$310))="","",IF(N(VALUE($AS$310))=0,INDEX($C28:$V28,VALUE($AQ$310)),IF(N(INDEX($C28:$V28,N(VALUE($AS$310))))&gt;0,INDEX($C28:$V28,VALUE($AQ$310))/INDEX($C28:$V28,N(VALUE($AS$310))),""))))</f>
        <v>0</v>
      </c>
      <c r="BC28" s="32" t="str">
        <f>IF(AND($A28=$B$9,ISNUMBER(L28)),L28,NA())</f>
        <v/>
      </c>
    </row>
    <row r="29">
      <c r="A29" s="28">
        <v>18</v>
      </c>
      <c r="B29" s="46">
        <f>IF($A29&lt;=DAY($D$7),$C$7+$A29-1,"")</f>
        <v>46313</v>
      </c>
      <c r="C29" s="32">
        <f>IF($B29="","",IF($B$2="Todos",SUMIFS(BD!$C$3:$C$5001,BD!$A$3:$A$5001,$B29),SUMIFS(BD!$C$3:$C$5001,BD!$A$3:$A$5001,$B29,BD!$B$3:$B$5001,$D$2)))</f>
        <v>0</v>
      </c>
      <c r="D29" s="32">
        <f>IF($B29="","",IF($B$2="Todos",SUMIFS(BD!$D$3:$D$5001,BD!$A$3:$A$5001,$B29),SUMIFS(BD!$D$3:$D$5001,BD!$A$3:$A$5001,$B29,BD!$B$3:$B$5001,$D$2)))</f>
        <v>0</v>
      </c>
      <c r="E29" s="47">
        <f>IF($B29="","",IF($B$2="Todos",SUMIFS(BD!$E$3:$E$5001,BD!$A$3:$A$5001,$B29),SUMIFS(BD!$E$3:$E$5001,BD!$A$3:$A$5001,$B29,BD!$B$3:$B$5001,$D$2)))</f>
        <v>0</v>
      </c>
      <c r="F29" s="32">
        <f>IF($B29="","",IF($B$2="Todos",SUMIFS(BD!$F$3:$F$5001,BD!$A$3:$A$5001,$B29),SUMIFS(BD!$F$3:$F$5001,BD!$A$3:$A$5001,$B29,BD!$B$3:$B$5001,$D$2)))</f>
        <v>0</v>
      </c>
      <c r="G29" s="32">
        <f>IF($B29="","",IF($B$2="Todos",SUMIFS(BD!$G$3:$G$5001,BD!$A$3:$A$5001,$B29),SUMIFS(BD!$G$3:$G$5001,BD!$A$3:$A$5001,$B29,BD!$B$3:$B$5001,$D$2)))</f>
        <v>0</v>
      </c>
      <c r="H29" s="47">
        <f>IF($B29="","",IF($B$2="Todos",SUMIFS(BD!$H$3:$H$5001,BD!$A$3:$A$5001,$B29),SUMIFS(BD!$H$3:$H$5001,BD!$A$3:$A$5001,$B29,BD!$B$3:$B$5001,$D$2)))</f>
        <v>0</v>
      </c>
      <c r="I29" s="32">
        <f>IF($B29="","",IF($B$2="Todos",SUMIFS(BD!$I$3:$I$5001,BD!$A$3:$A$5001,$B29),SUMIFS(BD!$I$3:$I$5001,BD!$A$3:$A$5001,$B29,BD!$B$3:$B$5001,$D$2)))</f>
        <v>0</v>
      </c>
      <c r="J29" s="32">
        <f>IF($B29="","",IF($B$2="Todos",SUMIFS(BD!$J$3:$J$5001,BD!$A$3:$A$5001,$B29),SUMIFS(BD!$J$3:$J$5001,BD!$A$3:$A$5001,$B29,BD!$B$3:$B$5001,$D$2)))</f>
        <v>0</v>
      </c>
      <c r="K29" s="32" t="str">
        <f>IF($B$2="Todos",IF(COUNT($C$132:$V$132)=0,"",SUM($C$132:$V$132)),IFERROR(INDEX($C$132:$V$132,MATCH($D$2,$C$114:$V$114,0)),""))</f>
        <v/>
      </c>
      <c r="L29" s="48" t="str">
        <f>IF(M29="","",IF($B$2="Todos",IF($B$4&gt;0,$B$4,IF($B$2="Todos",IF(COUNT($C$202:$V$202)=0,"",SUM($C$202:$V$202)),IFERROR(INDEX($C$202:$V$202,MATCH($D$2,$C$184:$V$184,0)),""))),IFERROR(INDEX($C$202:$V$202,MATCH($D$2,$C$184:$V$184,0)),"")))</f>
        <v/>
      </c>
      <c r="M29" s="32" t="str">
        <f>IF($B$2="Todos",IF(COUNT($C$167:$V$167)=0,"",SUM($C$167:$V$167)),IFERROR(INDEX($C$167:$V$167,MATCH($D$2,$C$149:$V$149,0)),""))</f>
        <v/>
      </c>
      <c r="N29" s="49" t="str">
        <f>IF(AND(ISNUMBER(M29),ISNUMBER(L29)),IF(L29&gt;0,M29/L29,""),"")</f>
        <v/>
      </c>
      <c r="O29" s="32" t="str">
        <f>IF($B$2="Todos",IF(COUNT($C$237:$V$237)=0,"",SUM($C$237:$V$237)),IFERROR(INDEX($C$237:$V$237,MATCH($D$2,$C$219:$V$219,0)),""))</f>
        <v/>
      </c>
      <c r="P29" s="32">
        <f>IF($B29="","",IF($B$2="Todos",SUMIFS(BD!$O$3:$O$5001,BD!$A$3:$A$5001,$B29),SUMIFS(BD!$O$3:$O$5001,BD!$A$3:$A$5001,$B29,BD!$B$3:$B$5001,$D$2)))</f>
        <v>0</v>
      </c>
      <c r="Q29" s="32">
        <f>IF($B29="","",IF($B$2="Todos",SUMIFS(BD!$P$3:$P$5001,BD!$A$3:$A$5001,$B29),SUMIFS(BD!$P$3:$P$5001,BD!$A$3:$A$5001,$B29,BD!$B$3:$B$5001,$D$2)))</f>
        <v>0</v>
      </c>
      <c r="R29" s="32">
        <f>IF($B29="","",IF($B$2="Todos",SUMIFS(BD!$Q$3:$Q$5001,BD!$A$3:$A$5001,$B29),SUMIFS(BD!$Q$3:$Q$5001,BD!$A$3:$A$5001,$B29,BD!$B$3:$B$5001,$D$2)))</f>
        <v>0</v>
      </c>
      <c r="S29" s="32">
        <f>IF($B29="","",IF($B$2="Todos",SUMIFS(BD!$R$3:$R$5001,BD!$A$3:$A$5001,$B29),SUMIFS(BD!$R$3:$R$5001,BD!$A$3:$A$5001,$B29,BD!$B$3:$B$5001,$D$2)))</f>
        <v>0</v>
      </c>
      <c r="T29" s="32">
        <f>IF($B29="","",IF($B$2="Todos",SUMIFS(BD!$S$3:$S$5001,BD!$A$3:$A$5001,$B29),SUMIFS(BD!$S$3:$S$5001,BD!$A$3:$A$5001,$B29,BD!$B$3:$B$5001,$D$2)))</f>
        <v>0</v>
      </c>
      <c r="U29" s="32">
        <f>IF($B29="","",IF($B$2="Todos",SUMIFS(BD!$T$3:$T$5001,BD!$A$3:$A$5001,$B29),SUMIFS(BD!$T$3:$T$5001,BD!$A$3:$A$5001,$B29,BD!$B$3:$B$5001,$D$2)))</f>
        <v>0</v>
      </c>
      <c r="V29" s="32">
        <f>IF($B29="","",IF($B$2="Todos",SUMIFS(BD!$U$3:$U$5001,BD!$A$3:$A$5001,$B29),SUMIFS(BD!$U$3:$U$5001,BD!$A$3:$A$5001,$B29,BD!$B$3:$B$5001,$D$2)))</f>
        <v>0</v>
      </c>
      <c r="W29" s="50">
        <f>$B$5</f>
        <v>0.7</v>
      </c>
      <c r="X29" s="50">
        <f>$B$6</f>
        <v>0.9</v>
      </c>
      <c r="AN29" s="29" t="str">
        <f>IFERROR(INDEX(Config!$B$10:$B$29,MATCH(17,$AP$13:$AP$32,0))&amp;"","")</f>
        <v/>
      </c>
      <c r="AO29" s="28" t="str">
        <f>IF(AN29="","",IF(INDEX(Config!$C$10:$C$29,MATCH(17,$AP$13:$AP$32,0))&amp;""="","JSL",INDEX(Config!$C$10:$C$29,MATCH(17,$AP$13:$AP$32,0))&amp;""))</f>
        <v/>
      </c>
      <c r="AP29" s="38">
        <f>IF(Config!$B$26&amp;""="",AP28,AP28+1)</f>
        <v>5</v>
      </c>
      <c r="AX29" s="61">
        <f>IF(OR($B29="",N(VALUE($AH$310))=0),"",IF(INDEX($C29:$V29,VALUE($AH$310))="","",IF(N(VALUE($AJ$310))=0,INDEX($C29:$V29,VALUE($AH$310)),IF(N(INDEX($C29:$V29,N(VALUE($AJ$310))))&gt;0,INDEX($C29:$V29,VALUE($AH$310))/INDEX($C29:$V29,N(VALUE($AJ$310))),""))))</f>
        <v>0</v>
      </c>
      <c r="AY29" s="61">
        <f>IF(OR($B29="",N(VALUE($AI$310))=0),"",IF(INDEX($C29:$V29,VALUE($AI$310))="","",IF(N(VALUE($AK$310))=0,INDEX($C29:$V29,VALUE($AI$310)),IF(N(INDEX($C29:$V29,N(VALUE($AK$310))))&gt;0,INDEX($C29:$V29,VALUE($AI$310))/INDEX($C29:$V29,N(VALUE($AK$310))),""))))</f>
        <v>0</v>
      </c>
      <c r="AZ29" s="61">
        <f>IF(OR($B29="",N(VALUE($AP$310))=0),"",IF(INDEX($C29:$V29,VALUE($AP$310))="","",IF(N(VALUE($AR$310))=0,INDEX($C29:$V29,VALUE($AP$310)),IF(N(INDEX($C29:$V29,N(VALUE($AR$310))))&gt;0,INDEX($C29:$V29,VALUE($AP$310))/INDEX($C29:$V29,N(VALUE($AR$310))),""))))</f>
        <v>0</v>
      </c>
      <c r="BA29" s="61">
        <f>IF(OR($B29="",N(VALUE($AQ$310))=0),"",IF(INDEX($C29:$V29,VALUE($AQ$310))="","",IF(N(VALUE($AS$310))=0,INDEX($C29:$V29,VALUE($AQ$310)),IF(N(INDEX($C29:$V29,N(VALUE($AS$310))))&gt;0,INDEX($C29:$V29,VALUE($AQ$310))/INDEX($C29:$V29,N(VALUE($AS$310))),""))))</f>
        <v>0</v>
      </c>
      <c r="BC29" s="32" t="str">
        <f>IF(AND($A29=$B$9,ISNUMBER(L29)),L29,NA())</f>
        <v/>
      </c>
    </row>
    <row r="30">
      <c r="A30" s="28">
        <v>19</v>
      </c>
      <c r="B30" s="46">
        <f>IF($A30&lt;=DAY($D$7),$C$7+$A30-1,"")</f>
        <v>46314</v>
      </c>
      <c r="C30" s="32">
        <f>IF($B30="","",IF($B$2="Todos",SUMIFS(BD!$C$3:$C$5001,BD!$A$3:$A$5001,$B30),SUMIFS(BD!$C$3:$C$5001,BD!$A$3:$A$5001,$B30,BD!$B$3:$B$5001,$D$2)))</f>
        <v>0</v>
      </c>
      <c r="D30" s="32">
        <f>IF($B30="","",IF($B$2="Todos",SUMIFS(BD!$D$3:$D$5001,BD!$A$3:$A$5001,$B30),SUMIFS(BD!$D$3:$D$5001,BD!$A$3:$A$5001,$B30,BD!$B$3:$B$5001,$D$2)))</f>
        <v>0</v>
      </c>
      <c r="E30" s="47">
        <f>IF($B30="","",IF($B$2="Todos",SUMIFS(BD!$E$3:$E$5001,BD!$A$3:$A$5001,$B30),SUMIFS(BD!$E$3:$E$5001,BD!$A$3:$A$5001,$B30,BD!$B$3:$B$5001,$D$2)))</f>
        <v>0</v>
      </c>
      <c r="F30" s="32">
        <f>IF($B30="","",IF($B$2="Todos",SUMIFS(BD!$F$3:$F$5001,BD!$A$3:$A$5001,$B30),SUMIFS(BD!$F$3:$F$5001,BD!$A$3:$A$5001,$B30,BD!$B$3:$B$5001,$D$2)))</f>
        <v>0</v>
      </c>
      <c r="G30" s="32">
        <f>IF($B30="","",IF($B$2="Todos",SUMIFS(BD!$G$3:$G$5001,BD!$A$3:$A$5001,$B30),SUMIFS(BD!$G$3:$G$5001,BD!$A$3:$A$5001,$B30,BD!$B$3:$B$5001,$D$2)))</f>
        <v>0</v>
      </c>
      <c r="H30" s="47">
        <f>IF($B30="","",IF($B$2="Todos",SUMIFS(BD!$H$3:$H$5001,BD!$A$3:$A$5001,$B30),SUMIFS(BD!$H$3:$H$5001,BD!$A$3:$A$5001,$B30,BD!$B$3:$B$5001,$D$2)))</f>
        <v>0</v>
      </c>
      <c r="I30" s="32">
        <f>IF($B30="","",IF($B$2="Todos",SUMIFS(BD!$I$3:$I$5001,BD!$A$3:$A$5001,$B30),SUMIFS(BD!$I$3:$I$5001,BD!$A$3:$A$5001,$B30,BD!$B$3:$B$5001,$D$2)))</f>
        <v>0</v>
      </c>
      <c r="J30" s="32">
        <f>IF($B30="","",IF($B$2="Todos",SUMIFS(BD!$J$3:$J$5001,BD!$A$3:$A$5001,$B30),SUMIFS(BD!$J$3:$J$5001,BD!$A$3:$A$5001,$B30,BD!$B$3:$B$5001,$D$2)))</f>
        <v>0</v>
      </c>
      <c r="K30" s="32" t="str">
        <f>IF($B$2="Todos",IF(COUNT($C$133:$V$133)=0,"",SUM($C$133:$V$133)),IFERROR(INDEX($C$133:$V$133,MATCH($D$2,$C$114:$V$114,0)),""))</f>
        <v/>
      </c>
      <c r="L30" s="48" t="str">
        <f>IF(M30="","",IF($B$2="Todos",IF($B$4&gt;0,$B$4,IF($B$2="Todos",IF(COUNT($C$203:$V$203)=0,"",SUM($C$203:$V$203)),IFERROR(INDEX($C$203:$V$203,MATCH($D$2,$C$184:$V$184,0)),""))),IFERROR(INDEX($C$203:$V$203,MATCH($D$2,$C$184:$V$184,0)),"")))</f>
        <v/>
      </c>
      <c r="M30" s="32" t="str">
        <f>IF($B$2="Todos",IF(COUNT($C$168:$V$168)=0,"",SUM($C$168:$V$168)),IFERROR(INDEX($C$168:$V$168,MATCH($D$2,$C$149:$V$149,0)),""))</f>
        <v/>
      </c>
      <c r="N30" s="49" t="str">
        <f>IF(AND(ISNUMBER(M30),ISNUMBER(L30)),IF(L30&gt;0,M30/L30,""),"")</f>
        <v/>
      </c>
      <c r="O30" s="32" t="str">
        <f>IF($B$2="Todos",IF(COUNT($C$238:$V$238)=0,"",SUM($C$238:$V$238)),IFERROR(INDEX($C$238:$V$238,MATCH($D$2,$C$219:$V$219,0)),""))</f>
        <v/>
      </c>
      <c r="P30" s="32">
        <f>IF($B30="","",IF($B$2="Todos",SUMIFS(BD!$O$3:$O$5001,BD!$A$3:$A$5001,$B30),SUMIFS(BD!$O$3:$O$5001,BD!$A$3:$A$5001,$B30,BD!$B$3:$B$5001,$D$2)))</f>
        <v>0</v>
      </c>
      <c r="Q30" s="32">
        <f>IF($B30="","",IF($B$2="Todos",SUMIFS(BD!$P$3:$P$5001,BD!$A$3:$A$5001,$B30),SUMIFS(BD!$P$3:$P$5001,BD!$A$3:$A$5001,$B30,BD!$B$3:$B$5001,$D$2)))</f>
        <v>0</v>
      </c>
      <c r="R30" s="32">
        <f>IF($B30="","",IF($B$2="Todos",SUMIFS(BD!$Q$3:$Q$5001,BD!$A$3:$A$5001,$B30),SUMIFS(BD!$Q$3:$Q$5001,BD!$A$3:$A$5001,$B30,BD!$B$3:$B$5001,$D$2)))</f>
        <v>0</v>
      </c>
      <c r="S30" s="32">
        <f>IF($B30="","",IF($B$2="Todos",SUMIFS(BD!$R$3:$R$5001,BD!$A$3:$A$5001,$B30),SUMIFS(BD!$R$3:$R$5001,BD!$A$3:$A$5001,$B30,BD!$B$3:$B$5001,$D$2)))</f>
        <v>0</v>
      </c>
      <c r="T30" s="32">
        <f>IF($B30="","",IF($B$2="Todos",SUMIFS(BD!$S$3:$S$5001,BD!$A$3:$A$5001,$B30),SUMIFS(BD!$S$3:$S$5001,BD!$A$3:$A$5001,$B30,BD!$B$3:$B$5001,$D$2)))</f>
        <v>0</v>
      </c>
      <c r="U30" s="32">
        <f>IF($B30="","",IF($B$2="Todos",SUMIFS(BD!$T$3:$T$5001,BD!$A$3:$A$5001,$B30),SUMIFS(BD!$T$3:$T$5001,BD!$A$3:$A$5001,$B30,BD!$B$3:$B$5001,$D$2)))</f>
        <v>0</v>
      </c>
      <c r="V30" s="32">
        <f>IF($B30="","",IF($B$2="Todos",SUMIFS(BD!$U$3:$U$5001,BD!$A$3:$A$5001,$B30),SUMIFS(BD!$U$3:$U$5001,BD!$A$3:$A$5001,$B30,BD!$B$3:$B$5001,$D$2)))</f>
        <v>0</v>
      </c>
      <c r="W30" s="50">
        <f>$B$5</f>
        <v>0.7</v>
      </c>
      <c r="X30" s="50">
        <f>$B$6</f>
        <v>0.9</v>
      </c>
      <c r="AN30" s="29" t="str">
        <f>IFERROR(INDEX(Config!$B$10:$B$29,MATCH(18,$AP$13:$AP$32,0))&amp;"","")</f>
        <v/>
      </c>
      <c r="AO30" s="28" t="str">
        <f>IF(AN30="","",IF(INDEX(Config!$C$10:$C$29,MATCH(18,$AP$13:$AP$32,0))&amp;""="","JSL",INDEX(Config!$C$10:$C$29,MATCH(18,$AP$13:$AP$32,0))&amp;""))</f>
        <v/>
      </c>
      <c r="AP30" s="38">
        <f>IF(Config!$B$27&amp;""="",AP29,AP29+1)</f>
        <v>5</v>
      </c>
      <c r="AX30" s="61">
        <f>IF(OR($B30="",N(VALUE($AH$310))=0),"",IF(INDEX($C30:$V30,VALUE($AH$310))="","",IF(N(VALUE($AJ$310))=0,INDEX($C30:$V30,VALUE($AH$310)),IF(N(INDEX($C30:$V30,N(VALUE($AJ$310))))&gt;0,INDEX($C30:$V30,VALUE($AH$310))/INDEX($C30:$V30,N(VALUE($AJ$310))),""))))</f>
        <v>0</v>
      </c>
      <c r="AY30" s="61">
        <f>IF(OR($B30="",N(VALUE($AI$310))=0),"",IF(INDEX($C30:$V30,VALUE($AI$310))="","",IF(N(VALUE($AK$310))=0,INDEX($C30:$V30,VALUE($AI$310)),IF(N(INDEX($C30:$V30,N(VALUE($AK$310))))&gt;0,INDEX($C30:$V30,VALUE($AI$310))/INDEX($C30:$V30,N(VALUE($AK$310))),""))))</f>
        <v>0</v>
      </c>
      <c r="AZ30" s="61">
        <f>IF(OR($B30="",N(VALUE($AP$310))=0),"",IF(INDEX($C30:$V30,VALUE($AP$310))="","",IF(N(VALUE($AR$310))=0,INDEX($C30:$V30,VALUE($AP$310)),IF(N(INDEX($C30:$V30,N(VALUE($AR$310))))&gt;0,INDEX($C30:$V30,VALUE($AP$310))/INDEX($C30:$V30,N(VALUE($AR$310))),""))))</f>
        <v>0</v>
      </c>
      <c r="BA30" s="61">
        <f>IF(OR($B30="",N(VALUE($AQ$310))=0),"",IF(INDEX($C30:$V30,VALUE($AQ$310))="","",IF(N(VALUE($AS$310))=0,INDEX($C30:$V30,VALUE($AQ$310)),IF(N(INDEX($C30:$V30,N(VALUE($AS$310))))&gt;0,INDEX($C30:$V30,VALUE($AQ$310))/INDEX($C30:$V30,N(VALUE($AS$310))),""))))</f>
        <v>0</v>
      </c>
      <c r="BC30" s="32" t="str">
        <f>IF(AND($A30=$B$9,ISNUMBER(L30)),L30,NA())</f>
        <v/>
      </c>
    </row>
    <row r="31">
      <c r="A31" s="28">
        <v>20</v>
      </c>
      <c r="B31" s="46">
        <f>IF($A31&lt;=DAY($D$7),$C$7+$A31-1,"")</f>
        <v>46315</v>
      </c>
      <c r="C31" s="32">
        <f>IF($B31="","",IF($B$2="Todos",SUMIFS(BD!$C$3:$C$5001,BD!$A$3:$A$5001,$B31),SUMIFS(BD!$C$3:$C$5001,BD!$A$3:$A$5001,$B31,BD!$B$3:$B$5001,$D$2)))</f>
        <v>0</v>
      </c>
      <c r="D31" s="32">
        <f>IF($B31="","",IF($B$2="Todos",SUMIFS(BD!$D$3:$D$5001,BD!$A$3:$A$5001,$B31),SUMIFS(BD!$D$3:$D$5001,BD!$A$3:$A$5001,$B31,BD!$B$3:$B$5001,$D$2)))</f>
        <v>0</v>
      </c>
      <c r="E31" s="47">
        <f>IF($B31="","",IF($B$2="Todos",SUMIFS(BD!$E$3:$E$5001,BD!$A$3:$A$5001,$B31),SUMIFS(BD!$E$3:$E$5001,BD!$A$3:$A$5001,$B31,BD!$B$3:$B$5001,$D$2)))</f>
        <v>0</v>
      </c>
      <c r="F31" s="32">
        <f>IF($B31="","",IF($B$2="Todos",SUMIFS(BD!$F$3:$F$5001,BD!$A$3:$A$5001,$B31),SUMIFS(BD!$F$3:$F$5001,BD!$A$3:$A$5001,$B31,BD!$B$3:$B$5001,$D$2)))</f>
        <v>0</v>
      </c>
      <c r="G31" s="32">
        <f>IF($B31="","",IF($B$2="Todos",SUMIFS(BD!$G$3:$G$5001,BD!$A$3:$A$5001,$B31),SUMIFS(BD!$G$3:$G$5001,BD!$A$3:$A$5001,$B31,BD!$B$3:$B$5001,$D$2)))</f>
        <v>0</v>
      </c>
      <c r="H31" s="47">
        <f>IF($B31="","",IF($B$2="Todos",SUMIFS(BD!$H$3:$H$5001,BD!$A$3:$A$5001,$B31),SUMIFS(BD!$H$3:$H$5001,BD!$A$3:$A$5001,$B31,BD!$B$3:$B$5001,$D$2)))</f>
        <v>0</v>
      </c>
      <c r="I31" s="32">
        <f>IF($B31="","",IF($B$2="Todos",SUMIFS(BD!$I$3:$I$5001,BD!$A$3:$A$5001,$B31),SUMIFS(BD!$I$3:$I$5001,BD!$A$3:$A$5001,$B31,BD!$B$3:$B$5001,$D$2)))</f>
        <v>0</v>
      </c>
      <c r="J31" s="32">
        <f>IF($B31="","",IF($B$2="Todos",SUMIFS(BD!$J$3:$J$5001,BD!$A$3:$A$5001,$B31),SUMIFS(BD!$J$3:$J$5001,BD!$A$3:$A$5001,$B31,BD!$B$3:$B$5001,$D$2)))</f>
        <v>0</v>
      </c>
      <c r="K31" s="32" t="str">
        <f>IF($B$2="Todos",IF(COUNT($C$134:$V$134)=0,"",SUM($C$134:$V$134)),IFERROR(INDEX($C$134:$V$134,MATCH($D$2,$C$114:$V$114,0)),""))</f>
        <v/>
      </c>
      <c r="L31" s="48" t="str">
        <f>IF(M31="","",IF($B$2="Todos",IF($B$4&gt;0,$B$4,IF($B$2="Todos",IF(COUNT($C$204:$V$204)=0,"",SUM($C$204:$V$204)),IFERROR(INDEX($C$204:$V$204,MATCH($D$2,$C$184:$V$184,0)),""))),IFERROR(INDEX($C$204:$V$204,MATCH($D$2,$C$184:$V$184,0)),"")))</f>
        <v/>
      </c>
      <c r="M31" s="32" t="str">
        <f>IF($B$2="Todos",IF(COUNT($C$169:$V$169)=0,"",SUM($C$169:$V$169)),IFERROR(INDEX($C$169:$V$169,MATCH($D$2,$C$149:$V$149,0)),""))</f>
        <v/>
      </c>
      <c r="N31" s="49" t="str">
        <f>IF(AND(ISNUMBER(M31),ISNUMBER(L31)),IF(L31&gt;0,M31/L31,""),"")</f>
        <v/>
      </c>
      <c r="O31" s="32" t="str">
        <f>IF($B$2="Todos",IF(COUNT($C$239:$V$239)=0,"",SUM($C$239:$V$239)),IFERROR(INDEX($C$239:$V$239,MATCH($D$2,$C$219:$V$219,0)),""))</f>
        <v/>
      </c>
      <c r="P31" s="32">
        <f>IF($B31="","",IF($B$2="Todos",SUMIFS(BD!$O$3:$O$5001,BD!$A$3:$A$5001,$B31),SUMIFS(BD!$O$3:$O$5001,BD!$A$3:$A$5001,$B31,BD!$B$3:$B$5001,$D$2)))</f>
        <v>0</v>
      </c>
      <c r="Q31" s="32">
        <f>IF($B31="","",IF($B$2="Todos",SUMIFS(BD!$P$3:$P$5001,BD!$A$3:$A$5001,$B31),SUMIFS(BD!$P$3:$P$5001,BD!$A$3:$A$5001,$B31,BD!$B$3:$B$5001,$D$2)))</f>
        <v>0</v>
      </c>
      <c r="R31" s="32">
        <f>IF($B31="","",IF($B$2="Todos",SUMIFS(BD!$Q$3:$Q$5001,BD!$A$3:$A$5001,$B31),SUMIFS(BD!$Q$3:$Q$5001,BD!$A$3:$A$5001,$B31,BD!$B$3:$B$5001,$D$2)))</f>
        <v>0</v>
      </c>
      <c r="S31" s="32">
        <f>IF($B31="","",IF($B$2="Todos",SUMIFS(BD!$R$3:$R$5001,BD!$A$3:$A$5001,$B31),SUMIFS(BD!$R$3:$R$5001,BD!$A$3:$A$5001,$B31,BD!$B$3:$B$5001,$D$2)))</f>
        <v>0</v>
      </c>
      <c r="T31" s="32">
        <f>IF($B31="","",IF($B$2="Todos",SUMIFS(BD!$S$3:$S$5001,BD!$A$3:$A$5001,$B31),SUMIFS(BD!$S$3:$S$5001,BD!$A$3:$A$5001,$B31,BD!$B$3:$B$5001,$D$2)))</f>
        <v>0</v>
      </c>
      <c r="U31" s="32">
        <f>IF($B31="","",IF($B$2="Todos",SUMIFS(BD!$T$3:$T$5001,BD!$A$3:$A$5001,$B31),SUMIFS(BD!$T$3:$T$5001,BD!$A$3:$A$5001,$B31,BD!$B$3:$B$5001,$D$2)))</f>
        <v>0</v>
      </c>
      <c r="V31" s="32">
        <f>IF($B31="","",IF($B$2="Todos",SUMIFS(BD!$U$3:$U$5001,BD!$A$3:$A$5001,$B31),SUMIFS(BD!$U$3:$U$5001,BD!$A$3:$A$5001,$B31,BD!$B$3:$B$5001,$D$2)))</f>
        <v>0</v>
      </c>
      <c r="W31" s="50">
        <f>$B$5</f>
        <v>0.7</v>
      </c>
      <c r="X31" s="50">
        <f>$B$6</f>
        <v>0.9</v>
      </c>
      <c r="AN31" s="29" t="str">
        <f>IFERROR(INDEX(Config!$B$10:$B$29,MATCH(19,$AP$13:$AP$32,0))&amp;"","")</f>
        <v/>
      </c>
      <c r="AO31" s="28" t="str">
        <f>IF(AN31="","",IF(INDEX(Config!$C$10:$C$29,MATCH(19,$AP$13:$AP$32,0))&amp;""="","JSL",INDEX(Config!$C$10:$C$29,MATCH(19,$AP$13:$AP$32,0))&amp;""))</f>
        <v/>
      </c>
      <c r="AP31" s="38">
        <f>IF(Config!$B$28&amp;""="",AP30,AP30+1)</f>
        <v>5</v>
      </c>
      <c r="AX31" s="61">
        <f>IF(OR($B31="",N(VALUE($AH$310))=0),"",IF(INDEX($C31:$V31,VALUE($AH$310))="","",IF(N(VALUE($AJ$310))=0,INDEX($C31:$V31,VALUE($AH$310)),IF(N(INDEX($C31:$V31,N(VALUE($AJ$310))))&gt;0,INDEX($C31:$V31,VALUE($AH$310))/INDEX($C31:$V31,N(VALUE($AJ$310))),""))))</f>
        <v>0</v>
      </c>
      <c r="AY31" s="61">
        <f>IF(OR($B31="",N(VALUE($AI$310))=0),"",IF(INDEX($C31:$V31,VALUE($AI$310))="","",IF(N(VALUE($AK$310))=0,INDEX($C31:$V31,VALUE($AI$310)),IF(N(INDEX($C31:$V31,N(VALUE($AK$310))))&gt;0,INDEX($C31:$V31,VALUE($AI$310))/INDEX($C31:$V31,N(VALUE($AK$310))),""))))</f>
        <v>0</v>
      </c>
      <c r="AZ31" s="61">
        <f>IF(OR($B31="",N(VALUE($AP$310))=0),"",IF(INDEX($C31:$V31,VALUE($AP$310))="","",IF(N(VALUE($AR$310))=0,INDEX($C31:$V31,VALUE($AP$310)),IF(N(INDEX($C31:$V31,N(VALUE($AR$310))))&gt;0,INDEX($C31:$V31,VALUE($AP$310))/INDEX($C31:$V31,N(VALUE($AR$310))),""))))</f>
        <v>0</v>
      </c>
      <c r="BA31" s="61">
        <f>IF(OR($B31="",N(VALUE($AQ$310))=0),"",IF(INDEX($C31:$V31,VALUE($AQ$310))="","",IF(N(VALUE($AS$310))=0,INDEX($C31:$V31,VALUE($AQ$310)),IF(N(INDEX($C31:$V31,N(VALUE($AS$310))))&gt;0,INDEX($C31:$V31,VALUE($AQ$310))/INDEX($C31:$V31,N(VALUE($AS$310))),""))))</f>
        <v>0</v>
      </c>
      <c r="BC31" s="32" t="str">
        <f>IF(AND($A31=$B$9,ISNUMBER(L31)),L31,NA())</f>
        <v/>
      </c>
    </row>
    <row r="32">
      <c r="A32" s="28">
        <v>21</v>
      </c>
      <c r="B32" s="46">
        <f>IF($A32&lt;=DAY($D$7),$C$7+$A32-1,"")</f>
        <v>46316</v>
      </c>
      <c r="C32" s="32">
        <f>IF($B32="","",IF($B$2="Todos",SUMIFS(BD!$C$3:$C$5001,BD!$A$3:$A$5001,$B32),SUMIFS(BD!$C$3:$C$5001,BD!$A$3:$A$5001,$B32,BD!$B$3:$B$5001,$D$2)))</f>
        <v>0</v>
      </c>
      <c r="D32" s="32">
        <f>IF($B32="","",IF($B$2="Todos",SUMIFS(BD!$D$3:$D$5001,BD!$A$3:$A$5001,$B32),SUMIFS(BD!$D$3:$D$5001,BD!$A$3:$A$5001,$B32,BD!$B$3:$B$5001,$D$2)))</f>
        <v>0</v>
      </c>
      <c r="E32" s="47">
        <f>IF($B32="","",IF($B$2="Todos",SUMIFS(BD!$E$3:$E$5001,BD!$A$3:$A$5001,$B32),SUMIFS(BD!$E$3:$E$5001,BD!$A$3:$A$5001,$B32,BD!$B$3:$B$5001,$D$2)))</f>
        <v>0</v>
      </c>
      <c r="F32" s="32">
        <f>IF($B32="","",IF($B$2="Todos",SUMIFS(BD!$F$3:$F$5001,BD!$A$3:$A$5001,$B32),SUMIFS(BD!$F$3:$F$5001,BD!$A$3:$A$5001,$B32,BD!$B$3:$B$5001,$D$2)))</f>
        <v>0</v>
      </c>
      <c r="G32" s="32">
        <f>IF($B32="","",IF($B$2="Todos",SUMIFS(BD!$G$3:$G$5001,BD!$A$3:$A$5001,$B32),SUMIFS(BD!$G$3:$G$5001,BD!$A$3:$A$5001,$B32,BD!$B$3:$B$5001,$D$2)))</f>
        <v>0</v>
      </c>
      <c r="H32" s="47">
        <f>IF($B32="","",IF($B$2="Todos",SUMIFS(BD!$H$3:$H$5001,BD!$A$3:$A$5001,$B32),SUMIFS(BD!$H$3:$H$5001,BD!$A$3:$A$5001,$B32,BD!$B$3:$B$5001,$D$2)))</f>
        <v>0</v>
      </c>
      <c r="I32" s="32">
        <f>IF($B32="","",IF($B$2="Todos",SUMIFS(BD!$I$3:$I$5001,BD!$A$3:$A$5001,$B32),SUMIFS(BD!$I$3:$I$5001,BD!$A$3:$A$5001,$B32,BD!$B$3:$B$5001,$D$2)))</f>
        <v>0</v>
      </c>
      <c r="J32" s="32">
        <f>IF($B32="","",IF($B$2="Todos",SUMIFS(BD!$J$3:$J$5001,BD!$A$3:$A$5001,$B32),SUMIFS(BD!$J$3:$J$5001,BD!$A$3:$A$5001,$B32,BD!$B$3:$B$5001,$D$2)))</f>
        <v>0</v>
      </c>
      <c r="K32" s="32" t="str">
        <f>IF($B$2="Todos",IF(COUNT($C$135:$V$135)=0,"",SUM($C$135:$V$135)),IFERROR(INDEX($C$135:$V$135,MATCH($D$2,$C$114:$V$114,0)),""))</f>
        <v/>
      </c>
      <c r="L32" s="48" t="str">
        <f>IF(M32="","",IF($B$2="Todos",IF($B$4&gt;0,$B$4,IF($B$2="Todos",IF(COUNT($C$205:$V$205)=0,"",SUM($C$205:$V$205)),IFERROR(INDEX($C$205:$V$205,MATCH($D$2,$C$184:$V$184,0)),""))),IFERROR(INDEX($C$205:$V$205,MATCH($D$2,$C$184:$V$184,0)),"")))</f>
        <v/>
      </c>
      <c r="M32" s="32" t="str">
        <f>IF($B$2="Todos",IF(COUNT($C$170:$V$170)=0,"",SUM($C$170:$V$170)),IFERROR(INDEX($C$170:$V$170,MATCH($D$2,$C$149:$V$149,0)),""))</f>
        <v/>
      </c>
      <c r="N32" s="49" t="str">
        <f>IF(AND(ISNUMBER(M32),ISNUMBER(L32)),IF(L32&gt;0,M32/L32,""),"")</f>
        <v/>
      </c>
      <c r="O32" s="32" t="str">
        <f>IF($B$2="Todos",IF(COUNT($C$240:$V$240)=0,"",SUM($C$240:$V$240)),IFERROR(INDEX($C$240:$V$240,MATCH($D$2,$C$219:$V$219,0)),""))</f>
        <v/>
      </c>
      <c r="P32" s="32">
        <f>IF($B32="","",IF($B$2="Todos",SUMIFS(BD!$O$3:$O$5001,BD!$A$3:$A$5001,$B32),SUMIFS(BD!$O$3:$O$5001,BD!$A$3:$A$5001,$B32,BD!$B$3:$B$5001,$D$2)))</f>
        <v>0</v>
      </c>
      <c r="Q32" s="32">
        <f>IF($B32="","",IF($B$2="Todos",SUMIFS(BD!$P$3:$P$5001,BD!$A$3:$A$5001,$B32),SUMIFS(BD!$P$3:$P$5001,BD!$A$3:$A$5001,$B32,BD!$B$3:$B$5001,$D$2)))</f>
        <v>0</v>
      </c>
      <c r="R32" s="32">
        <f>IF($B32="","",IF($B$2="Todos",SUMIFS(BD!$Q$3:$Q$5001,BD!$A$3:$A$5001,$B32),SUMIFS(BD!$Q$3:$Q$5001,BD!$A$3:$A$5001,$B32,BD!$B$3:$B$5001,$D$2)))</f>
        <v>0</v>
      </c>
      <c r="S32" s="32">
        <f>IF($B32="","",IF($B$2="Todos",SUMIFS(BD!$R$3:$R$5001,BD!$A$3:$A$5001,$B32),SUMIFS(BD!$R$3:$R$5001,BD!$A$3:$A$5001,$B32,BD!$B$3:$B$5001,$D$2)))</f>
        <v>0</v>
      </c>
      <c r="T32" s="32">
        <f>IF($B32="","",IF($B$2="Todos",SUMIFS(BD!$S$3:$S$5001,BD!$A$3:$A$5001,$B32),SUMIFS(BD!$S$3:$S$5001,BD!$A$3:$A$5001,$B32,BD!$B$3:$B$5001,$D$2)))</f>
        <v>0</v>
      </c>
      <c r="U32" s="32">
        <f>IF($B32="","",IF($B$2="Todos",SUMIFS(BD!$T$3:$T$5001,BD!$A$3:$A$5001,$B32),SUMIFS(BD!$T$3:$T$5001,BD!$A$3:$A$5001,$B32,BD!$B$3:$B$5001,$D$2)))</f>
        <v>0</v>
      </c>
      <c r="V32" s="32">
        <f>IF($B32="","",IF($B$2="Todos",SUMIFS(BD!$U$3:$U$5001,BD!$A$3:$A$5001,$B32),SUMIFS(BD!$U$3:$U$5001,BD!$A$3:$A$5001,$B32,BD!$B$3:$B$5001,$D$2)))</f>
        <v>0</v>
      </c>
      <c r="W32" s="50">
        <f>$B$5</f>
        <v>0.7</v>
      </c>
      <c r="X32" s="50">
        <f>$B$6</f>
        <v>0.9</v>
      </c>
      <c r="AN32" s="29" t="str">
        <f>IFERROR(INDEX(Config!$B$10:$B$29,MATCH(20,$AP$13:$AP$32,0))&amp;"","")</f>
        <v/>
      </c>
      <c r="AO32" s="28" t="str">
        <f>IF(AN32="","",IF(INDEX(Config!$C$10:$C$29,MATCH(20,$AP$13:$AP$32,0))&amp;""="","JSL",INDEX(Config!$C$10:$C$29,MATCH(20,$AP$13:$AP$32,0))&amp;""))</f>
        <v/>
      </c>
      <c r="AP32" s="38">
        <f>IF(Config!$B$29&amp;""="",AP31,AP31+1)</f>
        <v>5</v>
      </c>
      <c r="AX32" s="61">
        <f>IF(OR($B32="",N(VALUE($AH$310))=0),"",IF(INDEX($C32:$V32,VALUE($AH$310))="","",IF(N(VALUE($AJ$310))=0,INDEX($C32:$V32,VALUE($AH$310)),IF(N(INDEX($C32:$V32,N(VALUE($AJ$310))))&gt;0,INDEX($C32:$V32,VALUE($AH$310))/INDEX($C32:$V32,N(VALUE($AJ$310))),""))))</f>
        <v>0</v>
      </c>
      <c r="AY32" s="61">
        <f>IF(OR($B32="",N(VALUE($AI$310))=0),"",IF(INDEX($C32:$V32,VALUE($AI$310))="","",IF(N(VALUE($AK$310))=0,INDEX($C32:$V32,VALUE($AI$310)),IF(N(INDEX($C32:$V32,N(VALUE($AK$310))))&gt;0,INDEX($C32:$V32,VALUE($AI$310))/INDEX($C32:$V32,N(VALUE($AK$310))),""))))</f>
        <v>0</v>
      </c>
      <c r="AZ32" s="61">
        <f>IF(OR($B32="",N(VALUE($AP$310))=0),"",IF(INDEX($C32:$V32,VALUE($AP$310))="","",IF(N(VALUE($AR$310))=0,INDEX($C32:$V32,VALUE($AP$310)),IF(N(INDEX($C32:$V32,N(VALUE($AR$310))))&gt;0,INDEX($C32:$V32,VALUE($AP$310))/INDEX($C32:$V32,N(VALUE($AR$310))),""))))</f>
        <v>0</v>
      </c>
      <c r="BA32" s="61">
        <f>IF(OR($B32="",N(VALUE($AQ$310))=0),"",IF(INDEX($C32:$V32,VALUE($AQ$310))="","",IF(N(VALUE($AS$310))=0,INDEX($C32:$V32,VALUE($AQ$310)),IF(N(INDEX($C32:$V32,N(VALUE($AS$310))))&gt;0,INDEX($C32:$V32,VALUE($AQ$310))/INDEX($C32:$V32,N(VALUE($AS$310))),""))))</f>
        <v>0</v>
      </c>
      <c r="BC32" s="32" t="str">
        <f>IF(AND($A32=$B$9,ISNUMBER(L32)),L32,NA())</f>
        <v/>
      </c>
    </row>
    <row r="33">
      <c r="A33" s="28">
        <v>22</v>
      </c>
      <c r="B33" s="46">
        <f>IF($A33&lt;=DAY($D$7),$C$7+$A33-1,"")</f>
        <v>46317</v>
      </c>
      <c r="C33" s="32">
        <f>IF($B33="","",IF($B$2="Todos",SUMIFS(BD!$C$3:$C$5001,BD!$A$3:$A$5001,$B33),SUMIFS(BD!$C$3:$C$5001,BD!$A$3:$A$5001,$B33,BD!$B$3:$B$5001,$D$2)))</f>
        <v>0</v>
      </c>
      <c r="D33" s="32">
        <f>IF($B33="","",IF($B$2="Todos",SUMIFS(BD!$D$3:$D$5001,BD!$A$3:$A$5001,$B33),SUMIFS(BD!$D$3:$D$5001,BD!$A$3:$A$5001,$B33,BD!$B$3:$B$5001,$D$2)))</f>
        <v>0</v>
      </c>
      <c r="E33" s="47">
        <f>IF($B33="","",IF($B$2="Todos",SUMIFS(BD!$E$3:$E$5001,BD!$A$3:$A$5001,$B33),SUMIFS(BD!$E$3:$E$5001,BD!$A$3:$A$5001,$B33,BD!$B$3:$B$5001,$D$2)))</f>
        <v>0</v>
      </c>
      <c r="F33" s="32">
        <f>IF($B33="","",IF($B$2="Todos",SUMIFS(BD!$F$3:$F$5001,BD!$A$3:$A$5001,$B33),SUMIFS(BD!$F$3:$F$5001,BD!$A$3:$A$5001,$B33,BD!$B$3:$B$5001,$D$2)))</f>
        <v>0</v>
      </c>
      <c r="G33" s="32">
        <f>IF($B33="","",IF($B$2="Todos",SUMIFS(BD!$G$3:$G$5001,BD!$A$3:$A$5001,$B33),SUMIFS(BD!$G$3:$G$5001,BD!$A$3:$A$5001,$B33,BD!$B$3:$B$5001,$D$2)))</f>
        <v>0</v>
      </c>
      <c r="H33" s="47">
        <f>IF($B33="","",IF($B$2="Todos",SUMIFS(BD!$H$3:$H$5001,BD!$A$3:$A$5001,$B33),SUMIFS(BD!$H$3:$H$5001,BD!$A$3:$A$5001,$B33,BD!$B$3:$B$5001,$D$2)))</f>
        <v>0</v>
      </c>
      <c r="I33" s="32">
        <f>IF($B33="","",IF($B$2="Todos",SUMIFS(BD!$I$3:$I$5001,BD!$A$3:$A$5001,$B33),SUMIFS(BD!$I$3:$I$5001,BD!$A$3:$A$5001,$B33,BD!$B$3:$B$5001,$D$2)))</f>
        <v>0</v>
      </c>
      <c r="J33" s="32">
        <f>IF($B33="","",IF($B$2="Todos",SUMIFS(BD!$J$3:$J$5001,BD!$A$3:$A$5001,$B33),SUMIFS(BD!$J$3:$J$5001,BD!$A$3:$A$5001,$B33,BD!$B$3:$B$5001,$D$2)))</f>
        <v>0</v>
      </c>
      <c r="K33" s="32" t="str">
        <f>IF($B$2="Todos",IF(COUNT($C$136:$V$136)=0,"",SUM($C$136:$V$136)),IFERROR(INDEX($C$136:$V$136,MATCH($D$2,$C$114:$V$114,0)),""))</f>
        <v/>
      </c>
      <c r="L33" s="48" t="str">
        <f>IF(M33="","",IF($B$2="Todos",IF($B$4&gt;0,$B$4,IF($B$2="Todos",IF(COUNT($C$206:$V$206)=0,"",SUM($C$206:$V$206)),IFERROR(INDEX($C$206:$V$206,MATCH($D$2,$C$184:$V$184,0)),""))),IFERROR(INDEX($C$206:$V$206,MATCH($D$2,$C$184:$V$184,0)),"")))</f>
        <v/>
      </c>
      <c r="M33" s="32" t="str">
        <f>IF($B$2="Todos",IF(COUNT($C$171:$V$171)=0,"",SUM($C$171:$V$171)),IFERROR(INDEX($C$171:$V$171,MATCH($D$2,$C$149:$V$149,0)),""))</f>
        <v/>
      </c>
      <c r="N33" s="49" t="str">
        <f>IF(AND(ISNUMBER(M33),ISNUMBER(L33)),IF(L33&gt;0,M33/L33,""),"")</f>
        <v/>
      </c>
      <c r="O33" s="32" t="str">
        <f>IF($B$2="Todos",IF(COUNT($C$241:$V$241)=0,"",SUM($C$241:$V$241)),IFERROR(INDEX($C$241:$V$241,MATCH($D$2,$C$219:$V$219,0)),""))</f>
        <v/>
      </c>
      <c r="P33" s="32">
        <f>IF($B33="","",IF($B$2="Todos",SUMIFS(BD!$O$3:$O$5001,BD!$A$3:$A$5001,$B33),SUMIFS(BD!$O$3:$O$5001,BD!$A$3:$A$5001,$B33,BD!$B$3:$B$5001,$D$2)))</f>
        <v>0</v>
      </c>
      <c r="Q33" s="32">
        <f>IF($B33="","",IF($B$2="Todos",SUMIFS(BD!$P$3:$P$5001,BD!$A$3:$A$5001,$B33),SUMIFS(BD!$P$3:$P$5001,BD!$A$3:$A$5001,$B33,BD!$B$3:$B$5001,$D$2)))</f>
        <v>0</v>
      </c>
      <c r="R33" s="32">
        <f>IF($B33="","",IF($B$2="Todos",SUMIFS(BD!$Q$3:$Q$5001,BD!$A$3:$A$5001,$B33),SUMIFS(BD!$Q$3:$Q$5001,BD!$A$3:$A$5001,$B33,BD!$B$3:$B$5001,$D$2)))</f>
        <v>0</v>
      </c>
      <c r="S33" s="32">
        <f>IF($B33="","",IF($B$2="Todos",SUMIFS(BD!$R$3:$R$5001,BD!$A$3:$A$5001,$B33),SUMIFS(BD!$R$3:$R$5001,BD!$A$3:$A$5001,$B33,BD!$B$3:$B$5001,$D$2)))</f>
        <v>0</v>
      </c>
      <c r="T33" s="32">
        <f>IF($B33="","",IF($B$2="Todos",SUMIFS(BD!$S$3:$S$5001,BD!$A$3:$A$5001,$B33),SUMIFS(BD!$S$3:$S$5001,BD!$A$3:$A$5001,$B33,BD!$B$3:$B$5001,$D$2)))</f>
        <v>0</v>
      </c>
      <c r="U33" s="32">
        <f>IF($B33="","",IF($B$2="Todos",SUMIFS(BD!$T$3:$T$5001,BD!$A$3:$A$5001,$B33),SUMIFS(BD!$T$3:$T$5001,BD!$A$3:$A$5001,$B33,BD!$B$3:$B$5001,$D$2)))</f>
        <v>0</v>
      </c>
      <c r="V33" s="32">
        <f>IF($B33="","",IF($B$2="Todos",SUMIFS(BD!$U$3:$U$5001,BD!$A$3:$A$5001,$B33),SUMIFS(BD!$U$3:$U$5001,BD!$A$3:$A$5001,$B33,BD!$B$3:$B$5001,$D$2)))</f>
        <v>0</v>
      </c>
      <c r="W33" s="50">
        <f>$B$5</f>
        <v>0.7</v>
      </c>
      <c r="X33" s="50">
        <f>$B$6</f>
        <v>0.9</v>
      </c>
      <c r="AX33" s="61">
        <f>IF(OR($B33="",N(VALUE($AH$310))=0),"",IF(INDEX($C33:$V33,VALUE($AH$310))="","",IF(N(VALUE($AJ$310))=0,INDEX($C33:$V33,VALUE($AH$310)),IF(N(INDEX($C33:$V33,N(VALUE($AJ$310))))&gt;0,INDEX($C33:$V33,VALUE($AH$310))/INDEX($C33:$V33,N(VALUE($AJ$310))),""))))</f>
        <v>0</v>
      </c>
      <c r="AY33" s="61">
        <f>IF(OR($B33="",N(VALUE($AI$310))=0),"",IF(INDEX($C33:$V33,VALUE($AI$310))="","",IF(N(VALUE($AK$310))=0,INDEX($C33:$V33,VALUE($AI$310)),IF(N(INDEX($C33:$V33,N(VALUE($AK$310))))&gt;0,INDEX($C33:$V33,VALUE($AI$310))/INDEX($C33:$V33,N(VALUE($AK$310))),""))))</f>
        <v>0</v>
      </c>
      <c r="AZ33" s="61">
        <f>IF(OR($B33="",N(VALUE($AP$310))=0),"",IF(INDEX($C33:$V33,VALUE($AP$310))="","",IF(N(VALUE($AR$310))=0,INDEX($C33:$V33,VALUE($AP$310)),IF(N(INDEX($C33:$V33,N(VALUE($AR$310))))&gt;0,INDEX($C33:$V33,VALUE($AP$310))/INDEX($C33:$V33,N(VALUE($AR$310))),""))))</f>
        <v>0</v>
      </c>
      <c r="BA33" s="61">
        <f>IF(OR($B33="",N(VALUE($AQ$310))=0),"",IF(INDEX($C33:$V33,VALUE($AQ$310))="","",IF(N(VALUE($AS$310))=0,INDEX($C33:$V33,VALUE($AQ$310)),IF(N(INDEX($C33:$V33,N(VALUE($AS$310))))&gt;0,INDEX($C33:$V33,VALUE($AQ$310))/INDEX($C33:$V33,N(VALUE($AS$310))),""))))</f>
        <v>0</v>
      </c>
      <c r="BC33" s="32" t="str">
        <f>IF(AND($A33=$B$9,ISNUMBER(L33)),L33,NA())</f>
        <v/>
      </c>
    </row>
    <row r="34">
      <c r="A34" s="28">
        <v>23</v>
      </c>
      <c r="B34" s="46">
        <f>IF($A34&lt;=DAY($D$7),$C$7+$A34-1,"")</f>
        <v>46318</v>
      </c>
      <c r="C34" s="32">
        <f>IF($B34="","",IF($B$2="Todos",SUMIFS(BD!$C$3:$C$5001,BD!$A$3:$A$5001,$B34),SUMIFS(BD!$C$3:$C$5001,BD!$A$3:$A$5001,$B34,BD!$B$3:$B$5001,$D$2)))</f>
        <v>0</v>
      </c>
      <c r="D34" s="32">
        <f>IF($B34="","",IF($B$2="Todos",SUMIFS(BD!$D$3:$D$5001,BD!$A$3:$A$5001,$B34),SUMIFS(BD!$D$3:$D$5001,BD!$A$3:$A$5001,$B34,BD!$B$3:$B$5001,$D$2)))</f>
        <v>0</v>
      </c>
      <c r="E34" s="47">
        <f>IF($B34="","",IF($B$2="Todos",SUMIFS(BD!$E$3:$E$5001,BD!$A$3:$A$5001,$B34),SUMIFS(BD!$E$3:$E$5001,BD!$A$3:$A$5001,$B34,BD!$B$3:$B$5001,$D$2)))</f>
        <v>0</v>
      </c>
      <c r="F34" s="32">
        <f>IF($B34="","",IF($B$2="Todos",SUMIFS(BD!$F$3:$F$5001,BD!$A$3:$A$5001,$B34),SUMIFS(BD!$F$3:$F$5001,BD!$A$3:$A$5001,$B34,BD!$B$3:$B$5001,$D$2)))</f>
        <v>0</v>
      </c>
      <c r="G34" s="32">
        <f>IF($B34="","",IF($B$2="Todos",SUMIFS(BD!$G$3:$G$5001,BD!$A$3:$A$5001,$B34),SUMIFS(BD!$G$3:$G$5001,BD!$A$3:$A$5001,$B34,BD!$B$3:$B$5001,$D$2)))</f>
        <v>0</v>
      </c>
      <c r="H34" s="47">
        <f>IF($B34="","",IF($B$2="Todos",SUMIFS(BD!$H$3:$H$5001,BD!$A$3:$A$5001,$B34),SUMIFS(BD!$H$3:$H$5001,BD!$A$3:$A$5001,$B34,BD!$B$3:$B$5001,$D$2)))</f>
        <v>0</v>
      </c>
      <c r="I34" s="32">
        <f>IF($B34="","",IF($B$2="Todos",SUMIFS(BD!$I$3:$I$5001,BD!$A$3:$A$5001,$B34),SUMIFS(BD!$I$3:$I$5001,BD!$A$3:$A$5001,$B34,BD!$B$3:$B$5001,$D$2)))</f>
        <v>0</v>
      </c>
      <c r="J34" s="32">
        <f>IF($B34="","",IF($B$2="Todos",SUMIFS(BD!$J$3:$J$5001,BD!$A$3:$A$5001,$B34),SUMIFS(BD!$J$3:$J$5001,BD!$A$3:$A$5001,$B34,BD!$B$3:$B$5001,$D$2)))</f>
        <v>0</v>
      </c>
      <c r="K34" s="32" t="str">
        <f>IF($B$2="Todos",IF(COUNT($C$137:$V$137)=0,"",SUM($C$137:$V$137)),IFERROR(INDEX($C$137:$V$137,MATCH($D$2,$C$114:$V$114,0)),""))</f>
        <v/>
      </c>
      <c r="L34" s="48" t="str">
        <f>IF(M34="","",IF($B$2="Todos",IF($B$4&gt;0,$B$4,IF($B$2="Todos",IF(COUNT($C$207:$V$207)=0,"",SUM($C$207:$V$207)),IFERROR(INDEX($C$207:$V$207,MATCH($D$2,$C$184:$V$184,0)),""))),IFERROR(INDEX($C$207:$V$207,MATCH($D$2,$C$184:$V$184,0)),"")))</f>
        <v/>
      </c>
      <c r="M34" s="32" t="str">
        <f>IF($B$2="Todos",IF(COUNT($C$172:$V$172)=0,"",SUM($C$172:$V$172)),IFERROR(INDEX($C$172:$V$172,MATCH($D$2,$C$149:$V$149,0)),""))</f>
        <v/>
      </c>
      <c r="N34" s="49" t="str">
        <f>IF(AND(ISNUMBER(M34),ISNUMBER(L34)),IF(L34&gt;0,M34/L34,""),"")</f>
        <v/>
      </c>
      <c r="O34" s="32" t="str">
        <f>IF($B$2="Todos",IF(COUNT($C$242:$V$242)=0,"",SUM($C$242:$V$242)),IFERROR(INDEX($C$242:$V$242,MATCH($D$2,$C$219:$V$219,0)),""))</f>
        <v/>
      </c>
      <c r="P34" s="32">
        <f>IF($B34="","",IF($B$2="Todos",SUMIFS(BD!$O$3:$O$5001,BD!$A$3:$A$5001,$B34),SUMIFS(BD!$O$3:$O$5001,BD!$A$3:$A$5001,$B34,BD!$B$3:$B$5001,$D$2)))</f>
        <v>0</v>
      </c>
      <c r="Q34" s="32">
        <f>IF($B34="","",IF($B$2="Todos",SUMIFS(BD!$P$3:$P$5001,BD!$A$3:$A$5001,$B34),SUMIFS(BD!$P$3:$P$5001,BD!$A$3:$A$5001,$B34,BD!$B$3:$B$5001,$D$2)))</f>
        <v>0</v>
      </c>
      <c r="R34" s="32">
        <f>IF($B34="","",IF($B$2="Todos",SUMIFS(BD!$Q$3:$Q$5001,BD!$A$3:$A$5001,$B34),SUMIFS(BD!$Q$3:$Q$5001,BD!$A$3:$A$5001,$B34,BD!$B$3:$B$5001,$D$2)))</f>
        <v>0</v>
      </c>
      <c r="S34" s="32">
        <f>IF($B34="","",IF($B$2="Todos",SUMIFS(BD!$R$3:$R$5001,BD!$A$3:$A$5001,$B34),SUMIFS(BD!$R$3:$R$5001,BD!$A$3:$A$5001,$B34,BD!$B$3:$B$5001,$D$2)))</f>
        <v>0</v>
      </c>
      <c r="T34" s="32">
        <f>IF($B34="","",IF($B$2="Todos",SUMIFS(BD!$S$3:$S$5001,BD!$A$3:$A$5001,$B34),SUMIFS(BD!$S$3:$S$5001,BD!$A$3:$A$5001,$B34,BD!$B$3:$B$5001,$D$2)))</f>
        <v>0</v>
      </c>
      <c r="U34" s="32">
        <f>IF($B34="","",IF($B$2="Todos",SUMIFS(BD!$T$3:$T$5001,BD!$A$3:$A$5001,$B34),SUMIFS(BD!$T$3:$T$5001,BD!$A$3:$A$5001,$B34,BD!$B$3:$B$5001,$D$2)))</f>
        <v>0</v>
      </c>
      <c r="V34" s="32">
        <f>IF($B34="","",IF($B$2="Todos",SUMIFS(BD!$U$3:$U$5001,BD!$A$3:$A$5001,$B34),SUMIFS(BD!$U$3:$U$5001,BD!$A$3:$A$5001,$B34,BD!$B$3:$B$5001,$D$2)))</f>
        <v>0</v>
      </c>
      <c r="W34" s="50">
        <f>$B$5</f>
        <v>0.7</v>
      </c>
      <c r="X34" s="50">
        <f>$B$6</f>
        <v>0.9</v>
      </c>
      <c r="AX34" s="61">
        <f>IF(OR($B34="",N(VALUE($AH$310))=0),"",IF(INDEX($C34:$V34,VALUE($AH$310))="","",IF(N(VALUE($AJ$310))=0,INDEX($C34:$V34,VALUE($AH$310)),IF(N(INDEX($C34:$V34,N(VALUE($AJ$310))))&gt;0,INDEX($C34:$V34,VALUE($AH$310))/INDEX($C34:$V34,N(VALUE($AJ$310))),""))))</f>
        <v>0</v>
      </c>
      <c r="AY34" s="61">
        <f>IF(OR($B34="",N(VALUE($AI$310))=0),"",IF(INDEX($C34:$V34,VALUE($AI$310))="","",IF(N(VALUE($AK$310))=0,INDEX($C34:$V34,VALUE($AI$310)),IF(N(INDEX($C34:$V34,N(VALUE($AK$310))))&gt;0,INDEX($C34:$V34,VALUE($AI$310))/INDEX($C34:$V34,N(VALUE($AK$310))),""))))</f>
        <v>0</v>
      </c>
      <c r="AZ34" s="61">
        <f>IF(OR($B34="",N(VALUE($AP$310))=0),"",IF(INDEX($C34:$V34,VALUE($AP$310))="","",IF(N(VALUE($AR$310))=0,INDEX($C34:$V34,VALUE($AP$310)),IF(N(INDEX($C34:$V34,N(VALUE($AR$310))))&gt;0,INDEX($C34:$V34,VALUE($AP$310))/INDEX($C34:$V34,N(VALUE($AR$310))),""))))</f>
        <v>0</v>
      </c>
      <c r="BA34" s="61">
        <f>IF(OR($B34="",N(VALUE($AQ$310))=0),"",IF(INDEX($C34:$V34,VALUE($AQ$310))="","",IF(N(VALUE($AS$310))=0,INDEX($C34:$V34,VALUE($AQ$310)),IF(N(INDEX($C34:$V34,N(VALUE($AS$310))))&gt;0,INDEX($C34:$V34,VALUE($AQ$310))/INDEX($C34:$V34,N(VALUE($AS$310))),""))))</f>
        <v>0</v>
      </c>
      <c r="BC34" s="32" t="str">
        <f>IF(AND($A34=$B$9,ISNUMBER(L34)),L34,NA())</f>
        <v/>
      </c>
    </row>
    <row r="35">
      <c r="A35" s="28">
        <v>24</v>
      </c>
      <c r="B35" s="46">
        <f>IF($A35&lt;=DAY($D$7),$C$7+$A35-1,"")</f>
        <v>46319</v>
      </c>
      <c r="C35" s="32">
        <f>IF($B35="","",IF($B$2="Todos",SUMIFS(BD!$C$3:$C$5001,BD!$A$3:$A$5001,$B35),SUMIFS(BD!$C$3:$C$5001,BD!$A$3:$A$5001,$B35,BD!$B$3:$B$5001,$D$2)))</f>
        <v>0</v>
      </c>
      <c r="D35" s="32">
        <f>IF($B35="","",IF($B$2="Todos",SUMIFS(BD!$D$3:$D$5001,BD!$A$3:$A$5001,$B35),SUMIFS(BD!$D$3:$D$5001,BD!$A$3:$A$5001,$B35,BD!$B$3:$B$5001,$D$2)))</f>
        <v>0</v>
      </c>
      <c r="E35" s="47">
        <f>IF($B35="","",IF($B$2="Todos",SUMIFS(BD!$E$3:$E$5001,BD!$A$3:$A$5001,$B35),SUMIFS(BD!$E$3:$E$5001,BD!$A$3:$A$5001,$B35,BD!$B$3:$B$5001,$D$2)))</f>
        <v>0</v>
      </c>
      <c r="F35" s="32">
        <f>IF($B35="","",IF($B$2="Todos",SUMIFS(BD!$F$3:$F$5001,BD!$A$3:$A$5001,$B35),SUMIFS(BD!$F$3:$F$5001,BD!$A$3:$A$5001,$B35,BD!$B$3:$B$5001,$D$2)))</f>
        <v>0</v>
      </c>
      <c r="G35" s="32">
        <f>IF($B35="","",IF($B$2="Todos",SUMIFS(BD!$G$3:$G$5001,BD!$A$3:$A$5001,$B35),SUMIFS(BD!$G$3:$G$5001,BD!$A$3:$A$5001,$B35,BD!$B$3:$B$5001,$D$2)))</f>
        <v>0</v>
      </c>
      <c r="H35" s="47">
        <f>IF($B35="","",IF($B$2="Todos",SUMIFS(BD!$H$3:$H$5001,BD!$A$3:$A$5001,$B35),SUMIFS(BD!$H$3:$H$5001,BD!$A$3:$A$5001,$B35,BD!$B$3:$B$5001,$D$2)))</f>
        <v>0</v>
      </c>
      <c r="I35" s="32">
        <f>IF($B35="","",IF($B$2="Todos",SUMIFS(BD!$I$3:$I$5001,BD!$A$3:$A$5001,$B35),SUMIFS(BD!$I$3:$I$5001,BD!$A$3:$A$5001,$B35,BD!$B$3:$B$5001,$D$2)))</f>
        <v>0</v>
      </c>
      <c r="J35" s="32">
        <f>IF($B35="","",IF($B$2="Todos",SUMIFS(BD!$J$3:$J$5001,BD!$A$3:$A$5001,$B35),SUMIFS(BD!$J$3:$J$5001,BD!$A$3:$A$5001,$B35,BD!$B$3:$B$5001,$D$2)))</f>
        <v>0</v>
      </c>
      <c r="K35" s="32" t="str">
        <f>IF($B$2="Todos",IF(COUNT($C$138:$V$138)=0,"",SUM($C$138:$V$138)),IFERROR(INDEX($C$138:$V$138,MATCH($D$2,$C$114:$V$114,0)),""))</f>
        <v/>
      </c>
      <c r="L35" s="48" t="str">
        <f>IF(M35="","",IF($B$2="Todos",IF($B$4&gt;0,$B$4,IF($B$2="Todos",IF(COUNT($C$208:$V$208)=0,"",SUM($C$208:$V$208)),IFERROR(INDEX($C$208:$V$208,MATCH($D$2,$C$184:$V$184,0)),""))),IFERROR(INDEX($C$208:$V$208,MATCH($D$2,$C$184:$V$184,0)),"")))</f>
        <v/>
      </c>
      <c r="M35" s="32" t="str">
        <f>IF($B$2="Todos",IF(COUNT($C$173:$V$173)=0,"",SUM($C$173:$V$173)),IFERROR(INDEX($C$173:$V$173,MATCH($D$2,$C$149:$V$149,0)),""))</f>
        <v/>
      </c>
      <c r="N35" s="49" t="str">
        <f>IF(AND(ISNUMBER(M35),ISNUMBER(L35)),IF(L35&gt;0,M35/L35,""),"")</f>
        <v/>
      </c>
      <c r="O35" s="32" t="str">
        <f>IF($B$2="Todos",IF(COUNT($C$243:$V$243)=0,"",SUM($C$243:$V$243)),IFERROR(INDEX($C$243:$V$243,MATCH($D$2,$C$219:$V$219,0)),""))</f>
        <v/>
      </c>
      <c r="P35" s="32">
        <f>IF($B35="","",IF($B$2="Todos",SUMIFS(BD!$O$3:$O$5001,BD!$A$3:$A$5001,$B35),SUMIFS(BD!$O$3:$O$5001,BD!$A$3:$A$5001,$B35,BD!$B$3:$B$5001,$D$2)))</f>
        <v>0</v>
      </c>
      <c r="Q35" s="32">
        <f>IF($B35="","",IF($B$2="Todos",SUMIFS(BD!$P$3:$P$5001,BD!$A$3:$A$5001,$B35),SUMIFS(BD!$P$3:$P$5001,BD!$A$3:$A$5001,$B35,BD!$B$3:$B$5001,$D$2)))</f>
        <v>0</v>
      </c>
      <c r="R35" s="32">
        <f>IF($B35="","",IF($B$2="Todos",SUMIFS(BD!$Q$3:$Q$5001,BD!$A$3:$A$5001,$B35),SUMIFS(BD!$Q$3:$Q$5001,BD!$A$3:$A$5001,$B35,BD!$B$3:$B$5001,$D$2)))</f>
        <v>0</v>
      </c>
      <c r="S35" s="32">
        <f>IF($B35="","",IF($B$2="Todos",SUMIFS(BD!$R$3:$R$5001,BD!$A$3:$A$5001,$B35),SUMIFS(BD!$R$3:$R$5001,BD!$A$3:$A$5001,$B35,BD!$B$3:$B$5001,$D$2)))</f>
        <v>0</v>
      </c>
      <c r="T35" s="32">
        <f>IF($B35="","",IF($B$2="Todos",SUMIFS(BD!$S$3:$S$5001,BD!$A$3:$A$5001,$B35),SUMIFS(BD!$S$3:$S$5001,BD!$A$3:$A$5001,$B35,BD!$B$3:$B$5001,$D$2)))</f>
        <v>0</v>
      </c>
      <c r="U35" s="32">
        <f>IF($B35="","",IF($B$2="Todos",SUMIFS(BD!$T$3:$T$5001,BD!$A$3:$A$5001,$B35),SUMIFS(BD!$T$3:$T$5001,BD!$A$3:$A$5001,$B35,BD!$B$3:$B$5001,$D$2)))</f>
        <v>0</v>
      </c>
      <c r="V35" s="32">
        <f>IF($B35="","",IF($B$2="Todos",SUMIFS(BD!$U$3:$U$5001,BD!$A$3:$A$5001,$B35),SUMIFS(BD!$U$3:$U$5001,BD!$A$3:$A$5001,$B35,BD!$B$3:$B$5001,$D$2)))</f>
        <v>0</v>
      </c>
      <c r="W35" s="50">
        <f>$B$5</f>
        <v>0.7</v>
      </c>
      <c r="X35" s="50">
        <f>$B$6</f>
        <v>0.9</v>
      </c>
      <c r="AX35" s="61">
        <f>IF(OR($B35="",N(VALUE($AH$310))=0),"",IF(INDEX($C35:$V35,VALUE($AH$310))="","",IF(N(VALUE($AJ$310))=0,INDEX($C35:$V35,VALUE($AH$310)),IF(N(INDEX($C35:$V35,N(VALUE($AJ$310))))&gt;0,INDEX($C35:$V35,VALUE($AH$310))/INDEX($C35:$V35,N(VALUE($AJ$310))),""))))</f>
        <v>0</v>
      </c>
      <c r="AY35" s="61">
        <f>IF(OR($B35="",N(VALUE($AI$310))=0),"",IF(INDEX($C35:$V35,VALUE($AI$310))="","",IF(N(VALUE($AK$310))=0,INDEX($C35:$V35,VALUE($AI$310)),IF(N(INDEX($C35:$V35,N(VALUE($AK$310))))&gt;0,INDEX($C35:$V35,VALUE($AI$310))/INDEX($C35:$V35,N(VALUE($AK$310))),""))))</f>
        <v>0</v>
      </c>
      <c r="AZ35" s="61">
        <f>IF(OR($B35="",N(VALUE($AP$310))=0),"",IF(INDEX($C35:$V35,VALUE($AP$310))="","",IF(N(VALUE($AR$310))=0,INDEX($C35:$V35,VALUE($AP$310)),IF(N(INDEX($C35:$V35,N(VALUE($AR$310))))&gt;0,INDEX($C35:$V35,VALUE($AP$310))/INDEX($C35:$V35,N(VALUE($AR$310))),""))))</f>
        <v>0</v>
      </c>
      <c r="BA35" s="61">
        <f>IF(OR($B35="",N(VALUE($AQ$310))=0),"",IF(INDEX($C35:$V35,VALUE($AQ$310))="","",IF(N(VALUE($AS$310))=0,INDEX($C35:$V35,VALUE($AQ$310)),IF(N(INDEX($C35:$V35,N(VALUE($AS$310))))&gt;0,INDEX($C35:$V35,VALUE($AQ$310))/INDEX($C35:$V35,N(VALUE($AS$310))),""))))</f>
        <v>0</v>
      </c>
      <c r="BC35" s="32" t="str">
        <f>IF(AND($A35=$B$9,ISNUMBER(L35)),L35,NA())</f>
        <v/>
      </c>
    </row>
    <row r="36">
      <c r="A36" s="28">
        <v>25</v>
      </c>
      <c r="B36" s="46">
        <f>IF($A36&lt;=DAY($D$7),$C$7+$A36-1,"")</f>
        <v>46320</v>
      </c>
      <c r="C36" s="32">
        <f>IF($B36="","",IF($B$2="Todos",SUMIFS(BD!$C$3:$C$5001,BD!$A$3:$A$5001,$B36),SUMIFS(BD!$C$3:$C$5001,BD!$A$3:$A$5001,$B36,BD!$B$3:$B$5001,$D$2)))</f>
        <v>0</v>
      </c>
      <c r="D36" s="32">
        <f>IF($B36="","",IF($B$2="Todos",SUMIFS(BD!$D$3:$D$5001,BD!$A$3:$A$5001,$B36),SUMIFS(BD!$D$3:$D$5001,BD!$A$3:$A$5001,$B36,BD!$B$3:$B$5001,$D$2)))</f>
        <v>0</v>
      </c>
      <c r="E36" s="47">
        <f>IF($B36="","",IF($B$2="Todos",SUMIFS(BD!$E$3:$E$5001,BD!$A$3:$A$5001,$B36),SUMIFS(BD!$E$3:$E$5001,BD!$A$3:$A$5001,$B36,BD!$B$3:$B$5001,$D$2)))</f>
        <v>0</v>
      </c>
      <c r="F36" s="32">
        <f>IF($B36="","",IF($B$2="Todos",SUMIFS(BD!$F$3:$F$5001,BD!$A$3:$A$5001,$B36),SUMIFS(BD!$F$3:$F$5001,BD!$A$3:$A$5001,$B36,BD!$B$3:$B$5001,$D$2)))</f>
        <v>0</v>
      </c>
      <c r="G36" s="32">
        <f>IF($B36="","",IF($B$2="Todos",SUMIFS(BD!$G$3:$G$5001,BD!$A$3:$A$5001,$B36),SUMIFS(BD!$G$3:$G$5001,BD!$A$3:$A$5001,$B36,BD!$B$3:$B$5001,$D$2)))</f>
        <v>0</v>
      </c>
      <c r="H36" s="47">
        <f>IF($B36="","",IF($B$2="Todos",SUMIFS(BD!$H$3:$H$5001,BD!$A$3:$A$5001,$B36),SUMIFS(BD!$H$3:$H$5001,BD!$A$3:$A$5001,$B36,BD!$B$3:$B$5001,$D$2)))</f>
        <v>0</v>
      </c>
      <c r="I36" s="32">
        <f>IF($B36="","",IF($B$2="Todos",SUMIFS(BD!$I$3:$I$5001,BD!$A$3:$A$5001,$B36),SUMIFS(BD!$I$3:$I$5001,BD!$A$3:$A$5001,$B36,BD!$B$3:$B$5001,$D$2)))</f>
        <v>0</v>
      </c>
      <c r="J36" s="32">
        <f>IF($B36="","",IF($B$2="Todos",SUMIFS(BD!$J$3:$J$5001,BD!$A$3:$A$5001,$B36),SUMIFS(BD!$J$3:$J$5001,BD!$A$3:$A$5001,$B36,BD!$B$3:$B$5001,$D$2)))</f>
        <v>0</v>
      </c>
      <c r="K36" s="32" t="str">
        <f>IF($B$2="Todos",IF(COUNT($C$139:$V$139)=0,"",SUM($C$139:$V$139)),IFERROR(INDEX($C$139:$V$139,MATCH($D$2,$C$114:$V$114,0)),""))</f>
        <v/>
      </c>
      <c r="L36" s="48" t="str">
        <f>IF(M36="","",IF($B$2="Todos",IF($B$4&gt;0,$B$4,IF($B$2="Todos",IF(COUNT($C$209:$V$209)=0,"",SUM($C$209:$V$209)),IFERROR(INDEX($C$209:$V$209,MATCH($D$2,$C$184:$V$184,0)),""))),IFERROR(INDEX($C$209:$V$209,MATCH($D$2,$C$184:$V$184,0)),"")))</f>
        <v/>
      </c>
      <c r="M36" s="32" t="str">
        <f>IF($B$2="Todos",IF(COUNT($C$174:$V$174)=0,"",SUM($C$174:$V$174)),IFERROR(INDEX($C$174:$V$174,MATCH($D$2,$C$149:$V$149,0)),""))</f>
        <v/>
      </c>
      <c r="N36" s="49" t="str">
        <f>IF(AND(ISNUMBER(M36),ISNUMBER(L36)),IF(L36&gt;0,M36/L36,""),"")</f>
        <v/>
      </c>
      <c r="O36" s="32" t="str">
        <f>IF($B$2="Todos",IF(COUNT($C$244:$V$244)=0,"",SUM($C$244:$V$244)),IFERROR(INDEX($C$244:$V$244,MATCH($D$2,$C$219:$V$219,0)),""))</f>
        <v/>
      </c>
      <c r="P36" s="32">
        <f>IF($B36="","",IF($B$2="Todos",SUMIFS(BD!$O$3:$O$5001,BD!$A$3:$A$5001,$B36),SUMIFS(BD!$O$3:$O$5001,BD!$A$3:$A$5001,$B36,BD!$B$3:$B$5001,$D$2)))</f>
        <v>0</v>
      </c>
      <c r="Q36" s="32">
        <f>IF($B36="","",IF($B$2="Todos",SUMIFS(BD!$P$3:$P$5001,BD!$A$3:$A$5001,$B36),SUMIFS(BD!$P$3:$P$5001,BD!$A$3:$A$5001,$B36,BD!$B$3:$B$5001,$D$2)))</f>
        <v>0</v>
      </c>
      <c r="R36" s="32">
        <f>IF($B36="","",IF($B$2="Todos",SUMIFS(BD!$Q$3:$Q$5001,BD!$A$3:$A$5001,$B36),SUMIFS(BD!$Q$3:$Q$5001,BD!$A$3:$A$5001,$B36,BD!$B$3:$B$5001,$D$2)))</f>
        <v>0</v>
      </c>
      <c r="S36" s="32">
        <f>IF($B36="","",IF($B$2="Todos",SUMIFS(BD!$R$3:$R$5001,BD!$A$3:$A$5001,$B36),SUMIFS(BD!$R$3:$R$5001,BD!$A$3:$A$5001,$B36,BD!$B$3:$B$5001,$D$2)))</f>
        <v>0</v>
      </c>
      <c r="T36" s="32">
        <f>IF($B36="","",IF($B$2="Todos",SUMIFS(BD!$S$3:$S$5001,BD!$A$3:$A$5001,$B36),SUMIFS(BD!$S$3:$S$5001,BD!$A$3:$A$5001,$B36,BD!$B$3:$B$5001,$D$2)))</f>
        <v>0</v>
      </c>
      <c r="U36" s="32">
        <f>IF($B36="","",IF($B$2="Todos",SUMIFS(BD!$T$3:$T$5001,BD!$A$3:$A$5001,$B36),SUMIFS(BD!$T$3:$T$5001,BD!$A$3:$A$5001,$B36,BD!$B$3:$B$5001,$D$2)))</f>
        <v>0</v>
      </c>
      <c r="V36" s="32">
        <f>IF($B36="","",IF($B$2="Todos",SUMIFS(BD!$U$3:$U$5001,BD!$A$3:$A$5001,$B36),SUMIFS(BD!$U$3:$U$5001,BD!$A$3:$A$5001,$B36,BD!$B$3:$B$5001,$D$2)))</f>
        <v>0</v>
      </c>
      <c r="W36" s="50">
        <f>$B$5</f>
        <v>0.7</v>
      </c>
      <c r="X36" s="50">
        <f>$B$6</f>
        <v>0.9</v>
      </c>
      <c r="AX36" s="61">
        <f>IF(OR($B36="",N(VALUE($AH$310))=0),"",IF(INDEX($C36:$V36,VALUE($AH$310))="","",IF(N(VALUE($AJ$310))=0,INDEX($C36:$V36,VALUE($AH$310)),IF(N(INDEX($C36:$V36,N(VALUE($AJ$310))))&gt;0,INDEX($C36:$V36,VALUE($AH$310))/INDEX($C36:$V36,N(VALUE($AJ$310))),""))))</f>
        <v>0</v>
      </c>
      <c r="AY36" s="61">
        <f>IF(OR($B36="",N(VALUE($AI$310))=0),"",IF(INDEX($C36:$V36,VALUE($AI$310))="","",IF(N(VALUE($AK$310))=0,INDEX($C36:$V36,VALUE($AI$310)),IF(N(INDEX($C36:$V36,N(VALUE($AK$310))))&gt;0,INDEX($C36:$V36,VALUE($AI$310))/INDEX($C36:$V36,N(VALUE($AK$310))),""))))</f>
        <v>0</v>
      </c>
      <c r="AZ36" s="61">
        <f>IF(OR($B36="",N(VALUE($AP$310))=0),"",IF(INDEX($C36:$V36,VALUE($AP$310))="","",IF(N(VALUE($AR$310))=0,INDEX($C36:$V36,VALUE($AP$310)),IF(N(INDEX($C36:$V36,N(VALUE($AR$310))))&gt;0,INDEX($C36:$V36,VALUE($AP$310))/INDEX($C36:$V36,N(VALUE($AR$310))),""))))</f>
        <v>0</v>
      </c>
      <c r="BA36" s="61">
        <f>IF(OR($B36="",N(VALUE($AQ$310))=0),"",IF(INDEX($C36:$V36,VALUE($AQ$310))="","",IF(N(VALUE($AS$310))=0,INDEX($C36:$V36,VALUE($AQ$310)),IF(N(INDEX($C36:$V36,N(VALUE($AS$310))))&gt;0,INDEX($C36:$V36,VALUE($AQ$310))/INDEX($C36:$V36,N(VALUE($AS$310))),""))))</f>
        <v>0</v>
      </c>
      <c r="BC36" s="32" t="str">
        <f>IF(AND($A36=$B$9,ISNUMBER(L36)),L36,NA())</f>
        <v/>
      </c>
    </row>
    <row r="37">
      <c r="A37" s="28">
        <v>26</v>
      </c>
      <c r="B37" s="46">
        <f>IF($A37&lt;=DAY($D$7),$C$7+$A37-1,"")</f>
        <v>46321</v>
      </c>
      <c r="C37" s="32">
        <f>IF($B37="","",IF($B$2="Todos",SUMIFS(BD!$C$3:$C$5001,BD!$A$3:$A$5001,$B37),SUMIFS(BD!$C$3:$C$5001,BD!$A$3:$A$5001,$B37,BD!$B$3:$B$5001,$D$2)))</f>
        <v>0</v>
      </c>
      <c r="D37" s="32">
        <f>IF($B37="","",IF($B$2="Todos",SUMIFS(BD!$D$3:$D$5001,BD!$A$3:$A$5001,$B37),SUMIFS(BD!$D$3:$D$5001,BD!$A$3:$A$5001,$B37,BD!$B$3:$B$5001,$D$2)))</f>
        <v>0</v>
      </c>
      <c r="E37" s="47">
        <f>IF($B37="","",IF($B$2="Todos",SUMIFS(BD!$E$3:$E$5001,BD!$A$3:$A$5001,$B37),SUMIFS(BD!$E$3:$E$5001,BD!$A$3:$A$5001,$B37,BD!$B$3:$B$5001,$D$2)))</f>
        <v>0</v>
      </c>
      <c r="F37" s="32">
        <f>IF($B37="","",IF($B$2="Todos",SUMIFS(BD!$F$3:$F$5001,BD!$A$3:$A$5001,$B37),SUMIFS(BD!$F$3:$F$5001,BD!$A$3:$A$5001,$B37,BD!$B$3:$B$5001,$D$2)))</f>
        <v>0</v>
      </c>
      <c r="G37" s="32">
        <f>IF($B37="","",IF($B$2="Todos",SUMIFS(BD!$G$3:$G$5001,BD!$A$3:$A$5001,$B37),SUMIFS(BD!$G$3:$G$5001,BD!$A$3:$A$5001,$B37,BD!$B$3:$B$5001,$D$2)))</f>
        <v>0</v>
      </c>
      <c r="H37" s="47">
        <f>IF($B37="","",IF($B$2="Todos",SUMIFS(BD!$H$3:$H$5001,BD!$A$3:$A$5001,$B37),SUMIFS(BD!$H$3:$H$5001,BD!$A$3:$A$5001,$B37,BD!$B$3:$B$5001,$D$2)))</f>
        <v>0</v>
      </c>
      <c r="I37" s="32">
        <f>IF($B37="","",IF($B$2="Todos",SUMIFS(BD!$I$3:$I$5001,BD!$A$3:$A$5001,$B37),SUMIFS(BD!$I$3:$I$5001,BD!$A$3:$A$5001,$B37,BD!$B$3:$B$5001,$D$2)))</f>
        <v>0</v>
      </c>
      <c r="J37" s="32">
        <f>IF($B37="","",IF($B$2="Todos",SUMIFS(BD!$J$3:$J$5001,BD!$A$3:$A$5001,$B37),SUMIFS(BD!$J$3:$J$5001,BD!$A$3:$A$5001,$B37,BD!$B$3:$B$5001,$D$2)))</f>
        <v>0</v>
      </c>
      <c r="K37" s="32" t="str">
        <f>IF($B$2="Todos",IF(COUNT($C$140:$V$140)=0,"",SUM($C$140:$V$140)),IFERROR(INDEX($C$140:$V$140,MATCH($D$2,$C$114:$V$114,0)),""))</f>
        <v/>
      </c>
      <c r="L37" s="48" t="str">
        <f>IF(M37="","",IF($B$2="Todos",IF($B$4&gt;0,$B$4,IF($B$2="Todos",IF(COUNT($C$210:$V$210)=0,"",SUM($C$210:$V$210)),IFERROR(INDEX($C$210:$V$210,MATCH($D$2,$C$184:$V$184,0)),""))),IFERROR(INDEX($C$210:$V$210,MATCH($D$2,$C$184:$V$184,0)),"")))</f>
        <v/>
      </c>
      <c r="M37" s="32" t="str">
        <f>IF($B$2="Todos",IF(COUNT($C$175:$V$175)=0,"",SUM($C$175:$V$175)),IFERROR(INDEX($C$175:$V$175,MATCH($D$2,$C$149:$V$149,0)),""))</f>
        <v/>
      </c>
      <c r="N37" s="49" t="str">
        <f>IF(AND(ISNUMBER(M37),ISNUMBER(L37)),IF(L37&gt;0,M37/L37,""),"")</f>
        <v/>
      </c>
      <c r="O37" s="32" t="str">
        <f>IF($B$2="Todos",IF(COUNT($C$245:$V$245)=0,"",SUM($C$245:$V$245)),IFERROR(INDEX($C$245:$V$245,MATCH($D$2,$C$219:$V$219,0)),""))</f>
        <v/>
      </c>
      <c r="P37" s="32">
        <f>IF($B37="","",IF($B$2="Todos",SUMIFS(BD!$O$3:$O$5001,BD!$A$3:$A$5001,$B37),SUMIFS(BD!$O$3:$O$5001,BD!$A$3:$A$5001,$B37,BD!$B$3:$B$5001,$D$2)))</f>
        <v>0</v>
      </c>
      <c r="Q37" s="32">
        <f>IF($B37="","",IF($B$2="Todos",SUMIFS(BD!$P$3:$P$5001,BD!$A$3:$A$5001,$B37),SUMIFS(BD!$P$3:$P$5001,BD!$A$3:$A$5001,$B37,BD!$B$3:$B$5001,$D$2)))</f>
        <v>0</v>
      </c>
      <c r="R37" s="32">
        <f>IF($B37="","",IF($B$2="Todos",SUMIFS(BD!$Q$3:$Q$5001,BD!$A$3:$A$5001,$B37),SUMIFS(BD!$Q$3:$Q$5001,BD!$A$3:$A$5001,$B37,BD!$B$3:$B$5001,$D$2)))</f>
        <v>0</v>
      </c>
      <c r="S37" s="32">
        <f>IF($B37="","",IF($B$2="Todos",SUMIFS(BD!$R$3:$R$5001,BD!$A$3:$A$5001,$B37),SUMIFS(BD!$R$3:$R$5001,BD!$A$3:$A$5001,$B37,BD!$B$3:$B$5001,$D$2)))</f>
        <v>0</v>
      </c>
      <c r="T37" s="32">
        <f>IF($B37="","",IF($B$2="Todos",SUMIFS(BD!$S$3:$S$5001,BD!$A$3:$A$5001,$B37),SUMIFS(BD!$S$3:$S$5001,BD!$A$3:$A$5001,$B37,BD!$B$3:$B$5001,$D$2)))</f>
        <v>0</v>
      </c>
      <c r="U37" s="32">
        <f>IF($B37="","",IF($B$2="Todos",SUMIFS(BD!$T$3:$T$5001,BD!$A$3:$A$5001,$B37),SUMIFS(BD!$T$3:$T$5001,BD!$A$3:$A$5001,$B37,BD!$B$3:$B$5001,$D$2)))</f>
        <v>0</v>
      </c>
      <c r="V37" s="32">
        <f>IF($B37="","",IF($B$2="Todos",SUMIFS(BD!$U$3:$U$5001,BD!$A$3:$A$5001,$B37),SUMIFS(BD!$U$3:$U$5001,BD!$A$3:$A$5001,$B37,BD!$B$3:$B$5001,$D$2)))</f>
        <v>0</v>
      </c>
      <c r="W37" s="50">
        <f>$B$5</f>
        <v>0.7</v>
      </c>
      <c r="X37" s="50">
        <f>$B$6</f>
        <v>0.9</v>
      </c>
      <c r="AX37" s="61">
        <f>IF(OR($B37="",N(VALUE($AH$310))=0),"",IF(INDEX($C37:$V37,VALUE($AH$310))="","",IF(N(VALUE($AJ$310))=0,INDEX($C37:$V37,VALUE($AH$310)),IF(N(INDEX($C37:$V37,N(VALUE($AJ$310))))&gt;0,INDEX($C37:$V37,VALUE($AH$310))/INDEX($C37:$V37,N(VALUE($AJ$310))),""))))</f>
        <v>0</v>
      </c>
      <c r="AY37" s="61">
        <f>IF(OR($B37="",N(VALUE($AI$310))=0),"",IF(INDEX($C37:$V37,VALUE($AI$310))="","",IF(N(VALUE($AK$310))=0,INDEX($C37:$V37,VALUE($AI$310)),IF(N(INDEX($C37:$V37,N(VALUE($AK$310))))&gt;0,INDEX($C37:$V37,VALUE($AI$310))/INDEX($C37:$V37,N(VALUE($AK$310))),""))))</f>
        <v>0</v>
      </c>
      <c r="AZ37" s="61">
        <f>IF(OR($B37="",N(VALUE($AP$310))=0),"",IF(INDEX($C37:$V37,VALUE($AP$310))="","",IF(N(VALUE($AR$310))=0,INDEX($C37:$V37,VALUE($AP$310)),IF(N(INDEX($C37:$V37,N(VALUE($AR$310))))&gt;0,INDEX($C37:$V37,VALUE($AP$310))/INDEX($C37:$V37,N(VALUE($AR$310))),""))))</f>
        <v>0</v>
      </c>
      <c r="BA37" s="61">
        <f>IF(OR($B37="",N(VALUE($AQ$310))=0),"",IF(INDEX($C37:$V37,VALUE($AQ$310))="","",IF(N(VALUE($AS$310))=0,INDEX($C37:$V37,VALUE($AQ$310)),IF(N(INDEX($C37:$V37,N(VALUE($AS$310))))&gt;0,INDEX($C37:$V37,VALUE($AQ$310))/INDEX($C37:$V37,N(VALUE($AS$310))),""))))</f>
        <v>0</v>
      </c>
      <c r="BC37" s="32" t="str">
        <f>IF(AND($A37=$B$9,ISNUMBER(L37)),L37,NA())</f>
        <v/>
      </c>
    </row>
    <row r="38">
      <c r="A38" s="28">
        <v>27</v>
      </c>
      <c r="B38" s="46">
        <f>IF($A38&lt;=DAY($D$7),$C$7+$A38-1,"")</f>
        <v>46322</v>
      </c>
      <c r="C38" s="32">
        <f>IF($B38="","",IF($B$2="Todos",SUMIFS(BD!$C$3:$C$5001,BD!$A$3:$A$5001,$B38),SUMIFS(BD!$C$3:$C$5001,BD!$A$3:$A$5001,$B38,BD!$B$3:$B$5001,$D$2)))</f>
        <v>0</v>
      </c>
      <c r="D38" s="32">
        <f>IF($B38="","",IF($B$2="Todos",SUMIFS(BD!$D$3:$D$5001,BD!$A$3:$A$5001,$B38),SUMIFS(BD!$D$3:$D$5001,BD!$A$3:$A$5001,$B38,BD!$B$3:$B$5001,$D$2)))</f>
        <v>0</v>
      </c>
      <c r="E38" s="47">
        <f>IF($B38="","",IF($B$2="Todos",SUMIFS(BD!$E$3:$E$5001,BD!$A$3:$A$5001,$B38),SUMIFS(BD!$E$3:$E$5001,BD!$A$3:$A$5001,$B38,BD!$B$3:$B$5001,$D$2)))</f>
        <v>0</v>
      </c>
      <c r="F38" s="32">
        <f>IF($B38="","",IF($B$2="Todos",SUMIFS(BD!$F$3:$F$5001,BD!$A$3:$A$5001,$B38),SUMIFS(BD!$F$3:$F$5001,BD!$A$3:$A$5001,$B38,BD!$B$3:$B$5001,$D$2)))</f>
        <v>0</v>
      </c>
      <c r="G38" s="32">
        <f>IF($B38="","",IF($B$2="Todos",SUMIFS(BD!$G$3:$G$5001,BD!$A$3:$A$5001,$B38),SUMIFS(BD!$G$3:$G$5001,BD!$A$3:$A$5001,$B38,BD!$B$3:$B$5001,$D$2)))</f>
        <v>0</v>
      </c>
      <c r="H38" s="47">
        <f>IF($B38="","",IF($B$2="Todos",SUMIFS(BD!$H$3:$H$5001,BD!$A$3:$A$5001,$B38),SUMIFS(BD!$H$3:$H$5001,BD!$A$3:$A$5001,$B38,BD!$B$3:$B$5001,$D$2)))</f>
        <v>0</v>
      </c>
      <c r="I38" s="32">
        <f>IF($B38="","",IF($B$2="Todos",SUMIFS(BD!$I$3:$I$5001,BD!$A$3:$A$5001,$B38),SUMIFS(BD!$I$3:$I$5001,BD!$A$3:$A$5001,$B38,BD!$B$3:$B$5001,$D$2)))</f>
        <v>0</v>
      </c>
      <c r="J38" s="32">
        <f>IF($B38="","",IF($B$2="Todos",SUMIFS(BD!$J$3:$J$5001,BD!$A$3:$A$5001,$B38),SUMIFS(BD!$J$3:$J$5001,BD!$A$3:$A$5001,$B38,BD!$B$3:$B$5001,$D$2)))</f>
        <v>0</v>
      </c>
      <c r="K38" s="32" t="str">
        <f>IF($B$2="Todos",IF(COUNT($C$141:$V$141)=0,"",SUM($C$141:$V$141)),IFERROR(INDEX($C$141:$V$141,MATCH($D$2,$C$114:$V$114,0)),""))</f>
        <v/>
      </c>
      <c r="L38" s="48" t="str">
        <f>IF(M38="","",IF($B$2="Todos",IF($B$4&gt;0,$B$4,IF($B$2="Todos",IF(COUNT($C$211:$V$211)=0,"",SUM($C$211:$V$211)),IFERROR(INDEX($C$211:$V$211,MATCH($D$2,$C$184:$V$184,0)),""))),IFERROR(INDEX($C$211:$V$211,MATCH($D$2,$C$184:$V$184,0)),"")))</f>
        <v/>
      </c>
      <c r="M38" s="32" t="str">
        <f>IF($B$2="Todos",IF(COUNT($C$176:$V$176)=0,"",SUM($C$176:$V$176)),IFERROR(INDEX($C$176:$V$176,MATCH($D$2,$C$149:$V$149,0)),""))</f>
        <v/>
      </c>
      <c r="N38" s="49" t="str">
        <f>IF(AND(ISNUMBER(M38),ISNUMBER(L38)),IF(L38&gt;0,M38/L38,""),"")</f>
        <v/>
      </c>
      <c r="O38" s="32" t="str">
        <f>IF($B$2="Todos",IF(COUNT($C$246:$V$246)=0,"",SUM($C$246:$V$246)),IFERROR(INDEX($C$246:$V$246,MATCH($D$2,$C$219:$V$219,0)),""))</f>
        <v/>
      </c>
      <c r="P38" s="32">
        <f>IF($B38="","",IF($B$2="Todos",SUMIFS(BD!$O$3:$O$5001,BD!$A$3:$A$5001,$B38),SUMIFS(BD!$O$3:$O$5001,BD!$A$3:$A$5001,$B38,BD!$B$3:$B$5001,$D$2)))</f>
        <v>0</v>
      </c>
      <c r="Q38" s="32">
        <f>IF($B38="","",IF($B$2="Todos",SUMIFS(BD!$P$3:$P$5001,BD!$A$3:$A$5001,$B38),SUMIFS(BD!$P$3:$P$5001,BD!$A$3:$A$5001,$B38,BD!$B$3:$B$5001,$D$2)))</f>
        <v>0</v>
      </c>
      <c r="R38" s="32">
        <f>IF($B38="","",IF($B$2="Todos",SUMIFS(BD!$Q$3:$Q$5001,BD!$A$3:$A$5001,$B38),SUMIFS(BD!$Q$3:$Q$5001,BD!$A$3:$A$5001,$B38,BD!$B$3:$B$5001,$D$2)))</f>
        <v>0</v>
      </c>
      <c r="S38" s="32">
        <f>IF($B38="","",IF($B$2="Todos",SUMIFS(BD!$R$3:$R$5001,BD!$A$3:$A$5001,$B38),SUMIFS(BD!$R$3:$R$5001,BD!$A$3:$A$5001,$B38,BD!$B$3:$B$5001,$D$2)))</f>
        <v>0</v>
      </c>
      <c r="T38" s="32">
        <f>IF($B38="","",IF($B$2="Todos",SUMIFS(BD!$S$3:$S$5001,BD!$A$3:$A$5001,$B38),SUMIFS(BD!$S$3:$S$5001,BD!$A$3:$A$5001,$B38,BD!$B$3:$B$5001,$D$2)))</f>
        <v>0</v>
      </c>
      <c r="U38" s="32">
        <f>IF($B38="","",IF($B$2="Todos",SUMIFS(BD!$T$3:$T$5001,BD!$A$3:$A$5001,$B38),SUMIFS(BD!$T$3:$T$5001,BD!$A$3:$A$5001,$B38,BD!$B$3:$B$5001,$D$2)))</f>
        <v>0</v>
      </c>
      <c r="V38" s="32">
        <f>IF($B38="","",IF($B$2="Todos",SUMIFS(BD!$U$3:$U$5001,BD!$A$3:$A$5001,$B38),SUMIFS(BD!$U$3:$U$5001,BD!$A$3:$A$5001,$B38,BD!$B$3:$B$5001,$D$2)))</f>
        <v>0</v>
      </c>
      <c r="W38" s="50">
        <f>$B$5</f>
        <v>0.7</v>
      </c>
      <c r="X38" s="50">
        <f>$B$6</f>
        <v>0.9</v>
      </c>
      <c r="AX38" s="61">
        <f>IF(OR($B38="",N(VALUE($AH$310))=0),"",IF(INDEX($C38:$V38,VALUE($AH$310))="","",IF(N(VALUE($AJ$310))=0,INDEX($C38:$V38,VALUE($AH$310)),IF(N(INDEX($C38:$V38,N(VALUE($AJ$310))))&gt;0,INDEX($C38:$V38,VALUE($AH$310))/INDEX($C38:$V38,N(VALUE($AJ$310))),""))))</f>
        <v>0</v>
      </c>
      <c r="AY38" s="61">
        <f>IF(OR($B38="",N(VALUE($AI$310))=0),"",IF(INDEX($C38:$V38,VALUE($AI$310))="","",IF(N(VALUE($AK$310))=0,INDEX($C38:$V38,VALUE($AI$310)),IF(N(INDEX($C38:$V38,N(VALUE($AK$310))))&gt;0,INDEX($C38:$V38,VALUE($AI$310))/INDEX($C38:$V38,N(VALUE($AK$310))),""))))</f>
        <v>0</v>
      </c>
      <c r="AZ38" s="61">
        <f>IF(OR($B38="",N(VALUE($AP$310))=0),"",IF(INDEX($C38:$V38,VALUE($AP$310))="","",IF(N(VALUE($AR$310))=0,INDEX($C38:$V38,VALUE($AP$310)),IF(N(INDEX($C38:$V38,N(VALUE($AR$310))))&gt;0,INDEX($C38:$V38,VALUE($AP$310))/INDEX($C38:$V38,N(VALUE($AR$310))),""))))</f>
        <v>0</v>
      </c>
      <c r="BA38" s="61">
        <f>IF(OR($B38="",N(VALUE($AQ$310))=0),"",IF(INDEX($C38:$V38,VALUE($AQ$310))="","",IF(N(VALUE($AS$310))=0,INDEX($C38:$V38,VALUE($AQ$310)),IF(N(INDEX($C38:$V38,N(VALUE($AS$310))))&gt;0,INDEX($C38:$V38,VALUE($AQ$310))/INDEX($C38:$V38,N(VALUE($AS$310))),""))))</f>
        <v>0</v>
      </c>
      <c r="BC38" s="32" t="str">
        <f>IF(AND($A38=$B$9,ISNUMBER(L38)),L38,NA())</f>
        <v/>
      </c>
    </row>
    <row r="39">
      <c r="A39" s="28">
        <v>28</v>
      </c>
      <c r="B39" s="46">
        <f>IF($A39&lt;=DAY($D$7),$C$7+$A39-1,"")</f>
        <v>46323</v>
      </c>
      <c r="C39" s="32">
        <f>IF($B39="","",IF($B$2="Todos",SUMIFS(BD!$C$3:$C$5001,BD!$A$3:$A$5001,$B39),SUMIFS(BD!$C$3:$C$5001,BD!$A$3:$A$5001,$B39,BD!$B$3:$B$5001,$D$2)))</f>
        <v>0</v>
      </c>
      <c r="D39" s="32">
        <f>IF($B39="","",IF($B$2="Todos",SUMIFS(BD!$D$3:$D$5001,BD!$A$3:$A$5001,$B39),SUMIFS(BD!$D$3:$D$5001,BD!$A$3:$A$5001,$B39,BD!$B$3:$B$5001,$D$2)))</f>
        <v>0</v>
      </c>
      <c r="E39" s="47">
        <f>IF($B39="","",IF($B$2="Todos",SUMIFS(BD!$E$3:$E$5001,BD!$A$3:$A$5001,$B39),SUMIFS(BD!$E$3:$E$5001,BD!$A$3:$A$5001,$B39,BD!$B$3:$B$5001,$D$2)))</f>
        <v>0</v>
      </c>
      <c r="F39" s="32">
        <f>IF($B39="","",IF($B$2="Todos",SUMIFS(BD!$F$3:$F$5001,BD!$A$3:$A$5001,$B39),SUMIFS(BD!$F$3:$F$5001,BD!$A$3:$A$5001,$B39,BD!$B$3:$B$5001,$D$2)))</f>
        <v>0</v>
      </c>
      <c r="G39" s="32">
        <f>IF($B39="","",IF($B$2="Todos",SUMIFS(BD!$G$3:$G$5001,BD!$A$3:$A$5001,$B39),SUMIFS(BD!$G$3:$G$5001,BD!$A$3:$A$5001,$B39,BD!$B$3:$B$5001,$D$2)))</f>
        <v>0</v>
      </c>
      <c r="H39" s="47">
        <f>IF($B39="","",IF($B$2="Todos",SUMIFS(BD!$H$3:$H$5001,BD!$A$3:$A$5001,$B39),SUMIFS(BD!$H$3:$H$5001,BD!$A$3:$A$5001,$B39,BD!$B$3:$B$5001,$D$2)))</f>
        <v>0</v>
      </c>
      <c r="I39" s="32">
        <f>IF($B39="","",IF($B$2="Todos",SUMIFS(BD!$I$3:$I$5001,BD!$A$3:$A$5001,$B39),SUMIFS(BD!$I$3:$I$5001,BD!$A$3:$A$5001,$B39,BD!$B$3:$B$5001,$D$2)))</f>
        <v>0</v>
      </c>
      <c r="J39" s="32">
        <f>IF($B39="","",IF($B$2="Todos",SUMIFS(BD!$J$3:$J$5001,BD!$A$3:$A$5001,$B39),SUMIFS(BD!$J$3:$J$5001,BD!$A$3:$A$5001,$B39,BD!$B$3:$B$5001,$D$2)))</f>
        <v>0</v>
      </c>
      <c r="K39" s="32" t="str">
        <f>IF($B$2="Todos",IF(COUNT($C$142:$V$142)=0,"",SUM($C$142:$V$142)),IFERROR(INDEX($C$142:$V$142,MATCH($D$2,$C$114:$V$114,0)),""))</f>
        <v/>
      </c>
      <c r="L39" s="48" t="str">
        <f>IF(M39="","",IF($B$2="Todos",IF($B$4&gt;0,$B$4,IF($B$2="Todos",IF(COUNT($C$212:$V$212)=0,"",SUM($C$212:$V$212)),IFERROR(INDEX($C$212:$V$212,MATCH($D$2,$C$184:$V$184,0)),""))),IFERROR(INDEX($C$212:$V$212,MATCH($D$2,$C$184:$V$184,0)),"")))</f>
        <v/>
      </c>
      <c r="M39" s="32" t="str">
        <f>IF($B$2="Todos",IF(COUNT($C$177:$V$177)=0,"",SUM($C$177:$V$177)),IFERROR(INDEX($C$177:$V$177,MATCH($D$2,$C$149:$V$149,0)),""))</f>
        <v/>
      </c>
      <c r="N39" s="49" t="str">
        <f>IF(AND(ISNUMBER(M39),ISNUMBER(L39)),IF(L39&gt;0,M39/L39,""),"")</f>
        <v/>
      </c>
      <c r="O39" s="32" t="str">
        <f>IF($B$2="Todos",IF(COUNT($C$247:$V$247)=0,"",SUM($C$247:$V$247)),IFERROR(INDEX($C$247:$V$247,MATCH($D$2,$C$219:$V$219,0)),""))</f>
        <v/>
      </c>
      <c r="P39" s="32">
        <f>IF($B39="","",IF($B$2="Todos",SUMIFS(BD!$O$3:$O$5001,BD!$A$3:$A$5001,$B39),SUMIFS(BD!$O$3:$O$5001,BD!$A$3:$A$5001,$B39,BD!$B$3:$B$5001,$D$2)))</f>
        <v>0</v>
      </c>
      <c r="Q39" s="32">
        <f>IF($B39="","",IF($B$2="Todos",SUMIFS(BD!$P$3:$P$5001,BD!$A$3:$A$5001,$B39),SUMIFS(BD!$P$3:$P$5001,BD!$A$3:$A$5001,$B39,BD!$B$3:$B$5001,$D$2)))</f>
        <v>0</v>
      </c>
      <c r="R39" s="32">
        <f>IF($B39="","",IF($B$2="Todos",SUMIFS(BD!$Q$3:$Q$5001,BD!$A$3:$A$5001,$B39),SUMIFS(BD!$Q$3:$Q$5001,BD!$A$3:$A$5001,$B39,BD!$B$3:$B$5001,$D$2)))</f>
        <v>0</v>
      </c>
      <c r="S39" s="32">
        <f>IF($B39="","",IF($B$2="Todos",SUMIFS(BD!$R$3:$R$5001,BD!$A$3:$A$5001,$B39),SUMIFS(BD!$R$3:$R$5001,BD!$A$3:$A$5001,$B39,BD!$B$3:$B$5001,$D$2)))</f>
        <v>0</v>
      </c>
      <c r="T39" s="32">
        <f>IF($B39="","",IF($B$2="Todos",SUMIFS(BD!$S$3:$S$5001,BD!$A$3:$A$5001,$B39),SUMIFS(BD!$S$3:$S$5001,BD!$A$3:$A$5001,$B39,BD!$B$3:$B$5001,$D$2)))</f>
        <v>0</v>
      </c>
      <c r="U39" s="32">
        <f>IF($B39="","",IF($B$2="Todos",SUMIFS(BD!$T$3:$T$5001,BD!$A$3:$A$5001,$B39),SUMIFS(BD!$T$3:$T$5001,BD!$A$3:$A$5001,$B39,BD!$B$3:$B$5001,$D$2)))</f>
        <v>0</v>
      </c>
      <c r="V39" s="32">
        <f>IF($B39="","",IF($B$2="Todos",SUMIFS(BD!$U$3:$U$5001,BD!$A$3:$A$5001,$B39),SUMIFS(BD!$U$3:$U$5001,BD!$A$3:$A$5001,$B39,BD!$B$3:$B$5001,$D$2)))</f>
        <v>0</v>
      </c>
      <c r="W39" s="50">
        <f>$B$5</f>
        <v>0.7</v>
      </c>
      <c r="X39" s="50">
        <f>$B$6</f>
        <v>0.9</v>
      </c>
      <c r="AX39" s="61">
        <f>IF(OR($B39="",N(VALUE($AH$310))=0),"",IF(INDEX($C39:$V39,VALUE($AH$310))="","",IF(N(VALUE($AJ$310))=0,INDEX($C39:$V39,VALUE($AH$310)),IF(N(INDEX($C39:$V39,N(VALUE($AJ$310))))&gt;0,INDEX($C39:$V39,VALUE($AH$310))/INDEX($C39:$V39,N(VALUE($AJ$310))),""))))</f>
        <v>0</v>
      </c>
      <c r="AY39" s="61">
        <f>IF(OR($B39="",N(VALUE($AI$310))=0),"",IF(INDEX($C39:$V39,VALUE($AI$310))="","",IF(N(VALUE($AK$310))=0,INDEX($C39:$V39,VALUE($AI$310)),IF(N(INDEX($C39:$V39,N(VALUE($AK$310))))&gt;0,INDEX($C39:$V39,VALUE($AI$310))/INDEX($C39:$V39,N(VALUE($AK$310))),""))))</f>
        <v>0</v>
      </c>
      <c r="AZ39" s="61">
        <f>IF(OR($B39="",N(VALUE($AP$310))=0),"",IF(INDEX($C39:$V39,VALUE($AP$310))="","",IF(N(VALUE($AR$310))=0,INDEX($C39:$V39,VALUE($AP$310)),IF(N(INDEX($C39:$V39,N(VALUE($AR$310))))&gt;0,INDEX($C39:$V39,VALUE($AP$310))/INDEX($C39:$V39,N(VALUE($AR$310))),""))))</f>
        <v>0</v>
      </c>
      <c r="BA39" s="61">
        <f>IF(OR($B39="",N(VALUE($AQ$310))=0),"",IF(INDEX($C39:$V39,VALUE($AQ$310))="","",IF(N(VALUE($AS$310))=0,INDEX($C39:$V39,VALUE($AQ$310)),IF(N(INDEX($C39:$V39,N(VALUE($AS$310))))&gt;0,INDEX($C39:$V39,VALUE($AQ$310))/INDEX($C39:$V39,N(VALUE($AS$310))),""))))</f>
        <v>0</v>
      </c>
      <c r="BC39" s="32" t="str">
        <f>IF(AND($A39=$B$9,ISNUMBER(L39)),L39,NA())</f>
        <v/>
      </c>
    </row>
    <row r="40">
      <c r="A40" s="28">
        <v>29</v>
      </c>
      <c r="B40" s="46">
        <f>IF($A40&lt;=DAY($D$7),$C$7+$A40-1,"")</f>
        <v>46324</v>
      </c>
      <c r="C40" s="32">
        <f>IF($B40="","",IF($B$2="Todos",SUMIFS(BD!$C$3:$C$5001,BD!$A$3:$A$5001,$B40),SUMIFS(BD!$C$3:$C$5001,BD!$A$3:$A$5001,$B40,BD!$B$3:$B$5001,$D$2)))</f>
        <v>0</v>
      </c>
      <c r="D40" s="32">
        <f>IF($B40="","",IF($B$2="Todos",SUMIFS(BD!$D$3:$D$5001,BD!$A$3:$A$5001,$B40),SUMIFS(BD!$D$3:$D$5001,BD!$A$3:$A$5001,$B40,BD!$B$3:$B$5001,$D$2)))</f>
        <v>0</v>
      </c>
      <c r="E40" s="47">
        <f>IF($B40="","",IF($B$2="Todos",SUMIFS(BD!$E$3:$E$5001,BD!$A$3:$A$5001,$B40),SUMIFS(BD!$E$3:$E$5001,BD!$A$3:$A$5001,$B40,BD!$B$3:$B$5001,$D$2)))</f>
        <v>0</v>
      </c>
      <c r="F40" s="32">
        <f>IF($B40="","",IF($B$2="Todos",SUMIFS(BD!$F$3:$F$5001,BD!$A$3:$A$5001,$B40),SUMIFS(BD!$F$3:$F$5001,BD!$A$3:$A$5001,$B40,BD!$B$3:$B$5001,$D$2)))</f>
        <v>0</v>
      </c>
      <c r="G40" s="32">
        <f>IF($B40="","",IF($B$2="Todos",SUMIFS(BD!$G$3:$G$5001,BD!$A$3:$A$5001,$B40),SUMIFS(BD!$G$3:$G$5001,BD!$A$3:$A$5001,$B40,BD!$B$3:$B$5001,$D$2)))</f>
        <v>0</v>
      </c>
      <c r="H40" s="47">
        <f>IF($B40="","",IF($B$2="Todos",SUMIFS(BD!$H$3:$H$5001,BD!$A$3:$A$5001,$B40),SUMIFS(BD!$H$3:$H$5001,BD!$A$3:$A$5001,$B40,BD!$B$3:$B$5001,$D$2)))</f>
        <v>0</v>
      </c>
      <c r="I40" s="32">
        <f>IF($B40="","",IF($B$2="Todos",SUMIFS(BD!$I$3:$I$5001,BD!$A$3:$A$5001,$B40),SUMIFS(BD!$I$3:$I$5001,BD!$A$3:$A$5001,$B40,BD!$B$3:$B$5001,$D$2)))</f>
        <v>0</v>
      </c>
      <c r="J40" s="32">
        <f>IF($B40="","",IF($B$2="Todos",SUMIFS(BD!$J$3:$J$5001,BD!$A$3:$A$5001,$B40),SUMIFS(BD!$J$3:$J$5001,BD!$A$3:$A$5001,$B40,BD!$B$3:$B$5001,$D$2)))</f>
        <v>0</v>
      </c>
      <c r="K40" s="32" t="str">
        <f>IF($B$2="Todos",IF(COUNT($C$143:$V$143)=0,"",SUM($C$143:$V$143)),IFERROR(INDEX($C$143:$V$143,MATCH($D$2,$C$114:$V$114,0)),""))</f>
        <v/>
      </c>
      <c r="L40" s="48" t="str">
        <f>IF(M40="","",IF($B$2="Todos",IF($B$4&gt;0,$B$4,IF($B$2="Todos",IF(COUNT($C$213:$V$213)=0,"",SUM($C$213:$V$213)),IFERROR(INDEX($C$213:$V$213,MATCH($D$2,$C$184:$V$184,0)),""))),IFERROR(INDEX($C$213:$V$213,MATCH($D$2,$C$184:$V$184,0)),"")))</f>
        <v/>
      </c>
      <c r="M40" s="32" t="str">
        <f>IF($B$2="Todos",IF(COUNT($C$178:$V$178)=0,"",SUM($C$178:$V$178)),IFERROR(INDEX($C$178:$V$178,MATCH($D$2,$C$149:$V$149,0)),""))</f>
        <v/>
      </c>
      <c r="N40" s="49" t="str">
        <f>IF(AND(ISNUMBER(M40),ISNUMBER(L40)),IF(L40&gt;0,M40/L40,""),"")</f>
        <v/>
      </c>
      <c r="O40" s="32" t="str">
        <f>IF($B$2="Todos",IF(COUNT($C$248:$V$248)=0,"",SUM($C$248:$V$248)),IFERROR(INDEX($C$248:$V$248,MATCH($D$2,$C$219:$V$219,0)),""))</f>
        <v/>
      </c>
      <c r="P40" s="32">
        <f>IF($B40="","",IF($B$2="Todos",SUMIFS(BD!$O$3:$O$5001,BD!$A$3:$A$5001,$B40),SUMIFS(BD!$O$3:$O$5001,BD!$A$3:$A$5001,$B40,BD!$B$3:$B$5001,$D$2)))</f>
        <v>0</v>
      </c>
      <c r="Q40" s="32">
        <f>IF($B40="","",IF($B$2="Todos",SUMIFS(BD!$P$3:$P$5001,BD!$A$3:$A$5001,$B40),SUMIFS(BD!$P$3:$P$5001,BD!$A$3:$A$5001,$B40,BD!$B$3:$B$5001,$D$2)))</f>
        <v>0</v>
      </c>
      <c r="R40" s="32">
        <f>IF($B40="","",IF($B$2="Todos",SUMIFS(BD!$Q$3:$Q$5001,BD!$A$3:$A$5001,$B40),SUMIFS(BD!$Q$3:$Q$5001,BD!$A$3:$A$5001,$B40,BD!$B$3:$B$5001,$D$2)))</f>
        <v>0</v>
      </c>
      <c r="S40" s="32">
        <f>IF($B40="","",IF($B$2="Todos",SUMIFS(BD!$R$3:$R$5001,BD!$A$3:$A$5001,$B40),SUMIFS(BD!$R$3:$R$5001,BD!$A$3:$A$5001,$B40,BD!$B$3:$B$5001,$D$2)))</f>
        <v>0</v>
      </c>
      <c r="T40" s="32">
        <f>IF($B40="","",IF($B$2="Todos",SUMIFS(BD!$S$3:$S$5001,BD!$A$3:$A$5001,$B40),SUMIFS(BD!$S$3:$S$5001,BD!$A$3:$A$5001,$B40,BD!$B$3:$B$5001,$D$2)))</f>
        <v>0</v>
      </c>
      <c r="U40" s="32">
        <f>IF($B40="","",IF($B$2="Todos",SUMIFS(BD!$T$3:$T$5001,BD!$A$3:$A$5001,$B40),SUMIFS(BD!$T$3:$T$5001,BD!$A$3:$A$5001,$B40,BD!$B$3:$B$5001,$D$2)))</f>
        <v>0</v>
      </c>
      <c r="V40" s="32">
        <f>IF($B40="","",IF($B$2="Todos",SUMIFS(BD!$U$3:$U$5001,BD!$A$3:$A$5001,$B40),SUMIFS(BD!$U$3:$U$5001,BD!$A$3:$A$5001,$B40,BD!$B$3:$B$5001,$D$2)))</f>
        <v>0</v>
      </c>
      <c r="W40" s="50">
        <f>$B$5</f>
        <v>0.7</v>
      </c>
      <c r="X40" s="50">
        <f>$B$6</f>
        <v>0.9</v>
      </c>
      <c r="AX40" s="61">
        <f>IF(OR($B40="",N(VALUE($AH$310))=0),"",IF(INDEX($C40:$V40,VALUE($AH$310))="","",IF(N(VALUE($AJ$310))=0,INDEX($C40:$V40,VALUE($AH$310)),IF(N(INDEX($C40:$V40,N(VALUE($AJ$310))))&gt;0,INDEX($C40:$V40,VALUE($AH$310))/INDEX($C40:$V40,N(VALUE($AJ$310))),""))))</f>
        <v>0</v>
      </c>
      <c r="AY40" s="61">
        <f>IF(OR($B40="",N(VALUE($AI$310))=0),"",IF(INDEX($C40:$V40,VALUE($AI$310))="","",IF(N(VALUE($AK$310))=0,INDEX($C40:$V40,VALUE($AI$310)),IF(N(INDEX($C40:$V40,N(VALUE($AK$310))))&gt;0,INDEX($C40:$V40,VALUE($AI$310))/INDEX($C40:$V40,N(VALUE($AK$310))),""))))</f>
        <v>0</v>
      </c>
      <c r="AZ40" s="61">
        <f>IF(OR($B40="",N(VALUE($AP$310))=0),"",IF(INDEX($C40:$V40,VALUE($AP$310))="","",IF(N(VALUE($AR$310))=0,INDEX($C40:$V40,VALUE($AP$310)),IF(N(INDEX($C40:$V40,N(VALUE($AR$310))))&gt;0,INDEX($C40:$V40,VALUE($AP$310))/INDEX($C40:$V40,N(VALUE($AR$310))),""))))</f>
        <v>0</v>
      </c>
      <c r="BA40" s="61">
        <f>IF(OR($B40="",N(VALUE($AQ$310))=0),"",IF(INDEX($C40:$V40,VALUE($AQ$310))="","",IF(N(VALUE($AS$310))=0,INDEX($C40:$V40,VALUE($AQ$310)),IF(N(INDEX($C40:$V40,N(VALUE($AS$310))))&gt;0,INDEX($C40:$V40,VALUE($AQ$310))/INDEX($C40:$V40,N(VALUE($AS$310))),""))))</f>
        <v>0</v>
      </c>
      <c r="BC40" s="32" t="str">
        <f>IF(AND($A40=$B$9,ISNUMBER(L40)),L40,NA())</f>
        <v/>
      </c>
    </row>
    <row r="41">
      <c r="A41" s="28">
        <v>30</v>
      </c>
      <c r="B41" s="46">
        <f>IF($A41&lt;=DAY($D$7),$C$7+$A41-1,"")</f>
        <v>46325</v>
      </c>
      <c r="C41" s="32">
        <f>IF($B41="","",IF($B$2="Todos",SUMIFS(BD!$C$3:$C$5001,BD!$A$3:$A$5001,$B41),SUMIFS(BD!$C$3:$C$5001,BD!$A$3:$A$5001,$B41,BD!$B$3:$B$5001,$D$2)))</f>
        <v>0</v>
      </c>
      <c r="D41" s="32">
        <f>IF($B41="","",IF($B$2="Todos",SUMIFS(BD!$D$3:$D$5001,BD!$A$3:$A$5001,$B41),SUMIFS(BD!$D$3:$D$5001,BD!$A$3:$A$5001,$B41,BD!$B$3:$B$5001,$D$2)))</f>
        <v>0</v>
      </c>
      <c r="E41" s="47">
        <f>IF($B41="","",IF($B$2="Todos",SUMIFS(BD!$E$3:$E$5001,BD!$A$3:$A$5001,$B41),SUMIFS(BD!$E$3:$E$5001,BD!$A$3:$A$5001,$B41,BD!$B$3:$B$5001,$D$2)))</f>
        <v>0</v>
      </c>
      <c r="F41" s="32">
        <f>IF($B41="","",IF($B$2="Todos",SUMIFS(BD!$F$3:$F$5001,BD!$A$3:$A$5001,$B41),SUMIFS(BD!$F$3:$F$5001,BD!$A$3:$A$5001,$B41,BD!$B$3:$B$5001,$D$2)))</f>
        <v>0</v>
      </c>
      <c r="G41" s="32">
        <f>IF($B41="","",IF($B$2="Todos",SUMIFS(BD!$G$3:$G$5001,BD!$A$3:$A$5001,$B41),SUMIFS(BD!$G$3:$G$5001,BD!$A$3:$A$5001,$B41,BD!$B$3:$B$5001,$D$2)))</f>
        <v>0</v>
      </c>
      <c r="H41" s="47">
        <f>IF($B41="","",IF($B$2="Todos",SUMIFS(BD!$H$3:$H$5001,BD!$A$3:$A$5001,$B41),SUMIFS(BD!$H$3:$H$5001,BD!$A$3:$A$5001,$B41,BD!$B$3:$B$5001,$D$2)))</f>
        <v>0</v>
      </c>
      <c r="I41" s="32">
        <f>IF($B41="","",IF($B$2="Todos",SUMIFS(BD!$I$3:$I$5001,BD!$A$3:$A$5001,$B41),SUMIFS(BD!$I$3:$I$5001,BD!$A$3:$A$5001,$B41,BD!$B$3:$B$5001,$D$2)))</f>
        <v>0</v>
      </c>
      <c r="J41" s="32">
        <f>IF($B41="","",IF($B$2="Todos",SUMIFS(BD!$J$3:$J$5001,BD!$A$3:$A$5001,$B41),SUMIFS(BD!$J$3:$J$5001,BD!$A$3:$A$5001,$B41,BD!$B$3:$B$5001,$D$2)))</f>
        <v>0</v>
      </c>
      <c r="K41" s="32" t="str">
        <f>IF($B$2="Todos",IF(COUNT($C$144:$V$144)=0,"",SUM($C$144:$V$144)),IFERROR(INDEX($C$144:$V$144,MATCH($D$2,$C$114:$V$114,0)),""))</f>
        <v/>
      </c>
      <c r="L41" s="48" t="str">
        <f>IF(M41="","",IF($B$2="Todos",IF($B$4&gt;0,$B$4,IF($B$2="Todos",IF(COUNT($C$214:$V$214)=0,"",SUM($C$214:$V$214)),IFERROR(INDEX($C$214:$V$214,MATCH($D$2,$C$184:$V$184,0)),""))),IFERROR(INDEX($C$214:$V$214,MATCH($D$2,$C$184:$V$184,0)),"")))</f>
        <v/>
      </c>
      <c r="M41" s="32" t="str">
        <f>IF($B$2="Todos",IF(COUNT($C$179:$V$179)=0,"",SUM($C$179:$V$179)),IFERROR(INDEX($C$179:$V$179,MATCH($D$2,$C$149:$V$149,0)),""))</f>
        <v/>
      </c>
      <c r="N41" s="49" t="str">
        <f>IF(AND(ISNUMBER(M41),ISNUMBER(L41)),IF(L41&gt;0,M41/L41,""),"")</f>
        <v/>
      </c>
      <c r="O41" s="32" t="str">
        <f>IF($B$2="Todos",IF(COUNT($C$249:$V$249)=0,"",SUM($C$249:$V$249)),IFERROR(INDEX($C$249:$V$249,MATCH($D$2,$C$219:$V$219,0)),""))</f>
        <v/>
      </c>
      <c r="P41" s="32">
        <f>IF($B41="","",IF($B$2="Todos",SUMIFS(BD!$O$3:$O$5001,BD!$A$3:$A$5001,$B41),SUMIFS(BD!$O$3:$O$5001,BD!$A$3:$A$5001,$B41,BD!$B$3:$B$5001,$D$2)))</f>
        <v>0</v>
      </c>
      <c r="Q41" s="32">
        <f>IF($B41="","",IF($B$2="Todos",SUMIFS(BD!$P$3:$P$5001,BD!$A$3:$A$5001,$B41),SUMIFS(BD!$P$3:$P$5001,BD!$A$3:$A$5001,$B41,BD!$B$3:$B$5001,$D$2)))</f>
        <v>0</v>
      </c>
      <c r="R41" s="32">
        <f>IF($B41="","",IF($B$2="Todos",SUMIFS(BD!$Q$3:$Q$5001,BD!$A$3:$A$5001,$B41),SUMIFS(BD!$Q$3:$Q$5001,BD!$A$3:$A$5001,$B41,BD!$B$3:$B$5001,$D$2)))</f>
        <v>0</v>
      </c>
      <c r="S41" s="32">
        <f>IF($B41="","",IF($B$2="Todos",SUMIFS(BD!$R$3:$R$5001,BD!$A$3:$A$5001,$B41),SUMIFS(BD!$R$3:$R$5001,BD!$A$3:$A$5001,$B41,BD!$B$3:$B$5001,$D$2)))</f>
        <v>0</v>
      </c>
      <c r="T41" s="32">
        <f>IF($B41="","",IF($B$2="Todos",SUMIFS(BD!$S$3:$S$5001,BD!$A$3:$A$5001,$B41),SUMIFS(BD!$S$3:$S$5001,BD!$A$3:$A$5001,$B41,BD!$B$3:$B$5001,$D$2)))</f>
        <v>0</v>
      </c>
      <c r="U41" s="32">
        <f>IF($B41="","",IF($B$2="Todos",SUMIFS(BD!$T$3:$T$5001,BD!$A$3:$A$5001,$B41),SUMIFS(BD!$T$3:$T$5001,BD!$A$3:$A$5001,$B41,BD!$B$3:$B$5001,$D$2)))</f>
        <v>0</v>
      </c>
      <c r="V41" s="32">
        <f>IF($B41="","",IF($B$2="Todos",SUMIFS(BD!$U$3:$U$5001,BD!$A$3:$A$5001,$B41),SUMIFS(BD!$U$3:$U$5001,BD!$A$3:$A$5001,$B41,BD!$B$3:$B$5001,$D$2)))</f>
        <v>0</v>
      </c>
      <c r="W41" s="50">
        <f>$B$5</f>
        <v>0.7</v>
      </c>
      <c r="X41" s="50">
        <f>$B$6</f>
        <v>0.9</v>
      </c>
      <c r="AX41" s="61">
        <f>IF(OR($B41="",N(VALUE($AH$310))=0),"",IF(INDEX($C41:$V41,VALUE($AH$310))="","",IF(N(VALUE($AJ$310))=0,INDEX($C41:$V41,VALUE($AH$310)),IF(N(INDEX($C41:$V41,N(VALUE($AJ$310))))&gt;0,INDEX($C41:$V41,VALUE($AH$310))/INDEX($C41:$V41,N(VALUE($AJ$310))),""))))</f>
        <v>0</v>
      </c>
      <c r="AY41" s="61">
        <f>IF(OR($B41="",N(VALUE($AI$310))=0),"",IF(INDEX($C41:$V41,VALUE($AI$310))="","",IF(N(VALUE($AK$310))=0,INDEX($C41:$V41,VALUE($AI$310)),IF(N(INDEX($C41:$V41,N(VALUE($AK$310))))&gt;0,INDEX($C41:$V41,VALUE($AI$310))/INDEX($C41:$V41,N(VALUE($AK$310))),""))))</f>
        <v>0</v>
      </c>
      <c r="AZ41" s="61">
        <f>IF(OR($B41="",N(VALUE($AP$310))=0),"",IF(INDEX($C41:$V41,VALUE($AP$310))="","",IF(N(VALUE($AR$310))=0,INDEX($C41:$V41,VALUE($AP$310)),IF(N(INDEX($C41:$V41,N(VALUE($AR$310))))&gt;0,INDEX($C41:$V41,VALUE($AP$310))/INDEX($C41:$V41,N(VALUE($AR$310))),""))))</f>
        <v>0</v>
      </c>
      <c r="BA41" s="61">
        <f>IF(OR($B41="",N(VALUE($AQ$310))=0),"",IF(INDEX($C41:$V41,VALUE($AQ$310))="","",IF(N(VALUE($AS$310))=0,INDEX($C41:$V41,VALUE($AQ$310)),IF(N(INDEX($C41:$V41,N(VALUE($AS$310))))&gt;0,INDEX($C41:$V41,VALUE($AQ$310))/INDEX($C41:$V41,N(VALUE($AS$310))),""))))</f>
        <v>0</v>
      </c>
      <c r="BC41" s="32" t="str">
        <f>IF(AND($A41=$B$9,ISNUMBER(L41)),L41,NA())</f>
        <v/>
      </c>
    </row>
    <row r="42">
      <c r="A42" s="28">
        <v>31</v>
      </c>
      <c r="B42" s="46">
        <f>IF($A42&lt;=DAY($D$7),$C$7+$A42-1,"")</f>
        <v>46326</v>
      </c>
      <c r="C42" s="32">
        <f>IF($B42="","",IF($B$2="Todos",SUMIFS(BD!$C$3:$C$5001,BD!$A$3:$A$5001,$B42),SUMIFS(BD!$C$3:$C$5001,BD!$A$3:$A$5001,$B42,BD!$B$3:$B$5001,$D$2)))</f>
        <v>0</v>
      </c>
      <c r="D42" s="32">
        <f>IF($B42="","",IF($B$2="Todos",SUMIFS(BD!$D$3:$D$5001,BD!$A$3:$A$5001,$B42),SUMIFS(BD!$D$3:$D$5001,BD!$A$3:$A$5001,$B42,BD!$B$3:$B$5001,$D$2)))</f>
        <v>0</v>
      </c>
      <c r="E42" s="47">
        <f>IF($B42="","",IF($B$2="Todos",SUMIFS(BD!$E$3:$E$5001,BD!$A$3:$A$5001,$B42),SUMIFS(BD!$E$3:$E$5001,BD!$A$3:$A$5001,$B42,BD!$B$3:$B$5001,$D$2)))</f>
        <v>0</v>
      </c>
      <c r="F42" s="32">
        <f>IF($B42="","",IF($B$2="Todos",SUMIFS(BD!$F$3:$F$5001,BD!$A$3:$A$5001,$B42),SUMIFS(BD!$F$3:$F$5001,BD!$A$3:$A$5001,$B42,BD!$B$3:$B$5001,$D$2)))</f>
        <v>0</v>
      </c>
      <c r="G42" s="32">
        <f>IF($B42="","",IF($B$2="Todos",SUMIFS(BD!$G$3:$G$5001,BD!$A$3:$A$5001,$B42),SUMIFS(BD!$G$3:$G$5001,BD!$A$3:$A$5001,$B42,BD!$B$3:$B$5001,$D$2)))</f>
        <v>0</v>
      </c>
      <c r="H42" s="47">
        <f>IF($B42="","",IF($B$2="Todos",SUMIFS(BD!$H$3:$H$5001,BD!$A$3:$A$5001,$B42),SUMIFS(BD!$H$3:$H$5001,BD!$A$3:$A$5001,$B42,BD!$B$3:$B$5001,$D$2)))</f>
        <v>0</v>
      </c>
      <c r="I42" s="32">
        <f>IF($B42="","",IF($B$2="Todos",SUMIFS(BD!$I$3:$I$5001,BD!$A$3:$A$5001,$B42),SUMIFS(BD!$I$3:$I$5001,BD!$A$3:$A$5001,$B42,BD!$B$3:$B$5001,$D$2)))</f>
        <v>0</v>
      </c>
      <c r="J42" s="32">
        <f>IF($B42="","",IF($B$2="Todos",SUMIFS(BD!$J$3:$J$5001,BD!$A$3:$A$5001,$B42),SUMIFS(BD!$J$3:$J$5001,BD!$A$3:$A$5001,$B42,BD!$B$3:$B$5001,$D$2)))</f>
        <v>0</v>
      </c>
      <c r="K42" s="32" t="str">
        <f>IF($B$2="Todos",IF(COUNT($C$145:$V$145)=0,"",SUM($C$145:$V$145)),IFERROR(INDEX($C$145:$V$145,MATCH($D$2,$C$114:$V$114,0)),""))</f>
        <v/>
      </c>
      <c r="L42" s="48" t="str">
        <f>IF(M42="","",IF($B$2="Todos",IF($B$4&gt;0,$B$4,IF($B$2="Todos",IF(COUNT($C$215:$V$215)=0,"",SUM($C$215:$V$215)),IFERROR(INDEX($C$215:$V$215,MATCH($D$2,$C$184:$V$184,0)),""))),IFERROR(INDEX($C$215:$V$215,MATCH($D$2,$C$184:$V$184,0)),"")))</f>
        <v/>
      </c>
      <c r="M42" s="32" t="str">
        <f>IF($B$2="Todos",IF(COUNT($C$180:$V$180)=0,"",SUM($C$180:$V$180)),IFERROR(INDEX($C$180:$V$180,MATCH($D$2,$C$149:$V$149,0)),""))</f>
        <v/>
      </c>
      <c r="N42" s="49" t="str">
        <f>IF(AND(ISNUMBER(M42),ISNUMBER(L42)),IF(L42&gt;0,M42/L42,""),"")</f>
        <v/>
      </c>
      <c r="O42" s="32" t="str">
        <f>IF($B$2="Todos",IF(COUNT($C$250:$V$250)=0,"",SUM($C$250:$V$250)),IFERROR(INDEX($C$250:$V$250,MATCH($D$2,$C$219:$V$219,0)),""))</f>
        <v/>
      </c>
      <c r="P42" s="32">
        <f>IF($B42="","",IF($B$2="Todos",SUMIFS(BD!$O$3:$O$5001,BD!$A$3:$A$5001,$B42),SUMIFS(BD!$O$3:$O$5001,BD!$A$3:$A$5001,$B42,BD!$B$3:$B$5001,$D$2)))</f>
        <v>0</v>
      </c>
      <c r="Q42" s="32">
        <f>IF($B42="","",IF($B$2="Todos",SUMIFS(BD!$P$3:$P$5001,BD!$A$3:$A$5001,$B42),SUMIFS(BD!$P$3:$P$5001,BD!$A$3:$A$5001,$B42,BD!$B$3:$B$5001,$D$2)))</f>
        <v>0</v>
      </c>
      <c r="R42" s="32">
        <f>IF($B42="","",IF($B$2="Todos",SUMIFS(BD!$Q$3:$Q$5001,BD!$A$3:$A$5001,$B42),SUMIFS(BD!$Q$3:$Q$5001,BD!$A$3:$A$5001,$B42,BD!$B$3:$B$5001,$D$2)))</f>
        <v>0</v>
      </c>
      <c r="S42" s="32">
        <f>IF($B42="","",IF($B$2="Todos",SUMIFS(BD!$R$3:$R$5001,BD!$A$3:$A$5001,$B42),SUMIFS(BD!$R$3:$R$5001,BD!$A$3:$A$5001,$B42,BD!$B$3:$B$5001,$D$2)))</f>
        <v>0</v>
      </c>
      <c r="T42" s="32">
        <f>IF($B42="","",IF($B$2="Todos",SUMIFS(BD!$S$3:$S$5001,BD!$A$3:$A$5001,$B42),SUMIFS(BD!$S$3:$S$5001,BD!$A$3:$A$5001,$B42,BD!$B$3:$B$5001,$D$2)))</f>
        <v>0</v>
      </c>
      <c r="U42" s="32">
        <f>IF($B42="","",IF($B$2="Todos",SUMIFS(BD!$T$3:$T$5001,BD!$A$3:$A$5001,$B42),SUMIFS(BD!$T$3:$T$5001,BD!$A$3:$A$5001,$B42,BD!$B$3:$B$5001,$D$2)))</f>
        <v>0</v>
      </c>
      <c r="V42" s="32">
        <f>IF($B42="","",IF($B$2="Todos",SUMIFS(BD!$U$3:$U$5001,BD!$A$3:$A$5001,$B42),SUMIFS(BD!$U$3:$U$5001,BD!$A$3:$A$5001,$B42,BD!$B$3:$B$5001,$D$2)))</f>
        <v>0</v>
      </c>
      <c r="W42" s="50">
        <f>$B$5</f>
        <v>0.7</v>
      </c>
      <c r="X42" s="50">
        <f>$B$6</f>
        <v>0.9</v>
      </c>
      <c r="AX42" s="61">
        <f>IF(OR($B42="",N(VALUE($AH$310))=0),"",IF(INDEX($C42:$V42,VALUE($AH$310))="","",IF(N(VALUE($AJ$310))=0,INDEX($C42:$V42,VALUE($AH$310)),IF(N(INDEX($C42:$V42,N(VALUE($AJ$310))))&gt;0,INDEX($C42:$V42,VALUE($AH$310))/INDEX($C42:$V42,N(VALUE($AJ$310))),""))))</f>
        <v>0</v>
      </c>
      <c r="AY42" s="61">
        <f>IF(OR($B42="",N(VALUE($AI$310))=0),"",IF(INDEX($C42:$V42,VALUE($AI$310))="","",IF(N(VALUE($AK$310))=0,INDEX($C42:$V42,VALUE($AI$310)),IF(N(INDEX($C42:$V42,N(VALUE($AK$310))))&gt;0,INDEX($C42:$V42,VALUE($AI$310))/INDEX($C42:$V42,N(VALUE($AK$310))),""))))</f>
        <v>0</v>
      </c>
      <c r="AZ42" s="61">
        <f>IF(OR($B42="",N(VALUE($AP$310))=0),"",IF(INDEX($C42:$V42,VALUE($AP$310))="","",IF(N(VALUE($AR$310))=0,INDEX($C42:$V42,VALUE($AP$310)),IF(N(INDEX($C42:$V42,N(VALUE($AR$310))))&gt;0,INDEX($C42:$V42,VALUE($AP$310))/INDEX($C42:$V42,N(VALUE($AR$310))),""))))</f>
        <v>0</v>
      </c>
      <c r="BA42" s="61">
        <f>IF(OR($B42="",N(VALUE($AQ$310))=0),"",IF(INDEX($C42:$V42,VALUE($AQ$310))="","",IF(N(VALUE($AS$310))=0,INDEX($C42:$V42,VALUE($AQ$310)),IF(N(INDEX($C42:$V42,N(VALUE($AS$310))))&gt;0,INDEX($C42:$V42,VALUE($AQ$310))/INDEX($C42:$V42,N(VALUE($AS$310))),""))))</f>
        <v>0</v>
      </c>
      <c r="BC42" s="32" t="str">
        <f>IF(AND($A42=$B$9,ISNUMBER(L42)),L42,NA())</f>
        <v/>
      </c>
    </row>
    <row r="43">
      <c r="A43" s="51" t="inlineStr">
        <is>
          <t xml:space="preserve">Realizado no mês (soma · último valor em estoque)</t>
        </is>
      </c>
      <c r="C43" s="53">
        <f>SUM(C12:C42)</f>
        <v>0</v>
      </c>
      <c r="D43" s="53">
        <f>SUM(D12:D42)</f>
        <v>0</v>
      </c>
      <c r="E43" s="59">
        <f>SUM(E12:E42)</f>
        <v>0</v>
      </c>
      <c r="F43" s="53">
        <f>SUM(F12:F42)</f>
        <v>0</v>
      </c>
      <c r="G43" s="53">
        <f>SUM(G12:G42)</f>
        <v>0</v>
      </c>
      <c r="H43" s="59">
        <f>SUM(H12:H42)</f>
        <v>0</v>
      </c>
      <c r="I43" s="53">
        <f>SUM(I12:I42)</f>
        <v>0</v>
      </c>
      <c r="J43" s="53">
        <f>SUM(J12:J42)</f>
        <v>0</v>
      </c>
      <c r="K43" s="53" t="str">
        <f>IFERROR(LOOKUP(9.99E+307,K12:K42),"")</f>
        <v/>
      </c>
      <c r="L43" s="53" t="str">
        <f>IFERROR(LOOKUP(9.99E+307,L12:L42),"")</f>
        <v/>
      </c>
      <c r="M43" s="53" t="str">
        <f>IFERROR(LOOKUP(9.99E+307,M12:M42),"")</f>
        <v/>
      </c>
      <c r="N43" s="60" t="str">
        <f>IFERROR(LOOKUP(9.99E+307,N12:N42),"")</f>
        <v/>
      </c>
      <c r="O43" s="53" t="str">
        <f>IFERROR(LOOKUP(9.99E+307,O12:O42),"")</f>
        <v/>
      </c>
      <c r="P43" s="53">
        <f>SUM(P12:P42)</f>
        <v>0</v>
      </c>
      <c r="Q43" s="53">
        <f>SUM(Q12:Q42)</f>
        <v>0</v>
      </c>
      <c r="R43" s="53">
        <f>SUM(R12:R42)</f>
        <v>0</v>
      </c>
      <c r="S43" s="53">
        <f>SUM(S12:S42)</f>
        <v>0</v>
      </c>
      <c r="T43" s="53">
        <f>SUM(T12:T42)</f>
        <v>0</v>
      </c>
      <c r="U43" s="53">
        <f>SUM(U12:U42)</f>
        <v>0</v>
      </c>
      <c r="V43" s="53">
        <f>SUM(V12:V42)</f>
        <v>0</v>
      </c>
    </row>
    <row r="44">
      <c r="A44" s="52" t="inlineStr">
        <is>
          <t xml:space="preserve">Média por dia</t>
        </is>
      </c>
      <c r="C44" s="54" t="str">
        <f>IFERROR(AVERAGEIF(C12:C42,"&gt;0"),"")</f>
        <v/>
      </c>
      <c r="D44" s="54" t="str">
        <f>IFERROR(AVERAGEIF(D12:D42,"&gt;0"),"")</f>
        <v/>
      </c>
      <c r="E44" s="54" t="str">
        <f>IFERROR(AVERAGEIF(E12:E42,"&gt;0"),"")</f>
        <v/>
      </c>
      <c r="F44" s="54" t="str">
        <f>IFERROR(AVERAGEIF(F12:F42,"&gt;0"),"")</f>
        <v/>
      </c>
      <c r="G44" s="54" t="str">
        <f>IFERROR(AVERAGEIF(G12:G42,"&gt;0"),"")</f>
        <v/>
      </c>
      <c r="H44" s="54" t="str">
        <f>IFERROR(AVERAGEIF(H12:H42,"&gt;0"),"")</f>
        <v/>
      </c>
      <c r="I44" s="54" t="str">
        <f>IFERROR(AVERAGEIF(I12:I42,"&gt;0"),"")</f>
        <v/>
      </c>
      <c r="J44" s="54" t="str">
        <f>IFERROR(AVERAGEIF(J12:J42,"&gt;0"),"")</f>
        <v/>
      </c>
      <c r="K44" s="54" t="str">
        <f>IFERROR(AVERAGE(K12:K42),"")</f>
        <v/>
      </c>
      <c r="L44" s="54" t="str">
        <f>IFERROR(AVERAGE(L12:L42),"")</f>
        <v/>
      </c>
      <c r="M44" s="54" t="str">
        <f>IFERROR(AVERAGE(M12:M42),"")</f>
        <v/>
      </c>
      <c r="N44" s="56" t="str">
        <f>IFERROR(AVERAGE(N12:N42),"")</f>
        <v/>
      </c>
      <c r="O44" s="54" t="str">
        <f>IFERROR(AVERAGE(O12:O42),"")</f>
        <v/>
      </c>
      <c r="P44" s="54" t="str">
        <f>IFERROR(AVERAGEIF(P12:P42,"&gt;0"),"")</f>
        <v/>
      </c>
      <c r="Q44" s="54" t="str">
        <f>IFERROR(AVERAGEIF(Q12:Q42,"&gt;0"),"")</f>
        <v/>
      </c>
      <c r="R44" s="54" t="str">
        <f>IFERROR(AVERAGEIF(R12:R42,"&gt;0"),"")</f>
        <v/>
      </c>
      <c r="S44" s="54" t="str">
        <f>IFERROR(AVERAGEIF(S12:S42,"&gt;0"),"")</f>
        <v/>
      </c>
      <c r="T44" s="54" t="str">
        <f>IFERROR(AVERAGEIF(T12:T42,"&gt;0"),"")</f>
        <v/>
      </c>
      <c r="U44" s="54" t="str">
        <f>IFERROR(AVERAGEIF(U12:U42,"&gt;0"),"")</f>
        <v/>
      </c>
      <c r="V44" s="54" t="str">
        <f>IFERROR(AVERAGEIF(V12:V42,"&gt;0"),"")</f>
        <v/>
      </c>
    </row>
    <row r="45">
      <c r="A45" s="52" t="inlineStr">
        <is>
          <t xml:space="preserve">Máximo em um dia</t>
        </is>
      </c>
      <c r="C45" s="55">
        <f>IF(COUNT(C12:C42)=0,"",MAX(C12:C42))</f>
        <v>0</v>
      </c>
      <c r="D45" s="55">
        <f>IF(COUNT(D12:D42)=0,"",MAX(D12:D42))</f>
        <v>0</v>
      </c>
      <c r="E45" s="54">
        <f>IF(COUNT(E12:E42)=0,"",MAX(E12:E42))</f>
        <v>0</v>
      </c>
      <c r="F45" s="55">
        <f>IF(COUNT(F12:F42)=0,"",MAX(F12:F42))</f>
        <v>0</v>
      </c>
      <c r="G45" s="55">
        <f>IF(COUNT(G12:G42)=0,"",MAX(G12:G42))</f>
        <v>0</v>
      </c>
      <c r="H45" s="54">
        <f>IF(COUNT(H12:H42)=0,"",MAX(H12:H42))</f>
        <v>0</v>
      </c>
      <c r="I45" s="55">
        <f>IF(COUNT(I12:I42)=0,"",MAX(I12:I42))</f>
        <v>0</v>
      </c>
      <c r="J45" s="55">
        <f>IF(COUNT(J12:J42)=0,"",MAX(J12:J42))</f>
        <v>0</v>
      </c>
      <c r="K45" s="55" t="str">
        <f>IF(COUNT(K12:K42)=0,"",MAX(K12:K42))</f>
        <v/>
      </c>
      <c r="L45" s="55" t="str">
        <f>IF(COUNT(L12:L42)=0,"",MAX(L12:L42))</f>
        <v/>
      </c>
      <c r="M45" s="55" t="str">
        <f>IF(COUNT(M12:M42)=0,"",MAX(M12:M42))</f>
        <v/>
      </c>
      <c r="N45" s="56" t="str">
        <f>IF(COUNT(N12:N42)=0,"",MAX(N12:N42))</f>
        <v/>
      </c>
      <c r="O45" s="55" t="str">
        <f>IF(COUNT(O12:O42)=0,"",MAX(O12:O42))</f>
        <v/>
      </c>
      <c r="P45" s="55">
        <f>IF(COUNT(P12:P42)=0,"",MAX(P12:P42))</f>
        <v>0</v>
      </c>
      <c r="Q45" s="55">
        <f>IF(COUNT(Q12:Q42)=0,"",MAX(Q12:Q42))</f>
        <v>0</v>
      </c>
      <c r="R45" s="55">
        <f>IF(COUNT(R12:R42)=0,"",MAX(R12:R42))</f>
        <v>0</v>
      </c>
      <c r="S45" s="55">
        <f>IF(COUNT(S12:S42)=0,"",MAX(S12:S42))</f>
        <v>0</v>
      </c>
      <c r="T45" s="55">
        <f>IF(COUNT(T12:T42)=0,"",MAX(T12:T42))</f>
        <v>0</v>
      </c>
      <c r="U45" s="55">
        <f>IF(COUNT(U12:U42)=0,"",MAX(U12:U42))</f>
        <v>0</v>
      </c>
      <c r="V45" s="55">
        <f>IF(COUNT(V12:V42)=0,"",MAX(V12:V42))</f>
        <v>0</v>
      </c>
    </row>
    <row r="46">
      <c r="A46" s="52" t="inlineStr">
        <is>
          <t xml:space="preserve">Mês anterior (mesmo intervalo)</t>
        </is>
      </c>
      <c r="C46" s="55" t="str">
        <f>IF($B$9=0,"",IF($B$2="Todos",SUMIFS(BD!$C$3:$C$5001,BD!$A$3:$A$5001,"&gt;="&amp;$C$8,BD!$A$3:$A$5001,"&lt;="&amp;$D$8),SUMIFS(BD!$C$3:$C$5001,BD!$A$3:$A$5001,"&gt;="&amp;$C$8,BD!$A$3:$A$5001,"&lt;="&amp;$D$8,BD!$B$3:$B$5001,$D$2)))</f>
        <v/>
      </c>
      <c r="D46" s="55" t="str">
        <f>IF($B$9=0,"",IF($B$2="Todos",SUMIFS(BD!$D$3:$D$5001,BD!$A$3:$A$5001,"&gt;="&amp;$C$8,BD!$A$3:$A$5001,"&lt;="&amp;$D$8),SUMIFS(BD!$D$3:$D$5001,BD!$A$3:$A$5001,"&gt;="&amp;$C$8,BD!$A$3:$A$5001,"&lt;="&amp;$D$8,BD!$B$3:$B$5001,$D$2)))</f>
        <v/>
      </c>
      <c r="E46" s="54" t="str">
        <f>IF($B$9=0,"",IF($B$2="Todos",SUMIFS(BD!$E$3:$E$5001,BD!$A$3:$A$5001,"&gt;="&amp;$C$8,BD!$A$3:$A$5001,"&lt;="&amp;$D$8),SUMIFS(BD!$E$3:$E$5001,BD!$A$3:$A$5001,"&gt;="&amp;$C$8,BD!$A$3:$A$5001,"&lt;="&amp;$D$8,BD!$B$3:$B$5001,$D$2)))</f>
        <v/>
      </c>
      <c r="F46" s="55" t="str">
        <f>IF($B$9=0,"",IF($B$2="Todos",SUMIFS(BD!$F$3:$F$5001,BD!$A$3:$A$5001,"&gt;="&amp;$C$8,BD!$A$3:$A$5001,"&lt;="&amp;$D$8),SUMIFS(BD!$F$3:$F$5001,BD!$A$3:$A$5001,"&gt;="&amp;$C$8,BD!$A$3:$A$5001,"&lt;="&amp;$D$8,BD!$B$3:$B$5001,$D$2)))</f>
        <v/>
      </c>
      <c r="G46" s="55" t="str">
        <f>IF($B$9=0,"",IF($B$2="Todos",SUMIFS(BD!$G$3:$G$5001,BD!$A$3:$A$5001,"&gt;="&amp;$C$8,BD!$A$3:$A$5001,"&lt;="&amp;$D$8),SUMIFS(BD!$G$3:$G$5001,BD!$A$3:$A$5001,"&gt;="&amp;$C$8,BD!$A$3:$A$5001,"&lt;="&amp;$D$8,BD!$B$3:$B$5001,$D$2)))</f>
        <v/>
      </c>
      <c r="H46" s="54" t="str">
        <f>IF($B$9=0,"",IF($B$2="Todos",SUMIFS(BD!$H$3:$H$5001,BD!$A$3:$A$5001,"&gt;="&amp;$C$8,BD!$A$3:$A$5001,"&lt;="&amp;$D$8),SUMIFS(BD!$H$3:$H$5001,BD!$A$3:$A$5001,"&gt;="&amp;$C$8,BD!$A$3:$A$5001,"&lt;="&amp;$D$8,BD!$B$3:$B$5001,$D$2)))</f>
        <v/>
      </c>
      <c r="I46" s="55" t="str">
        <f>IF($B$9=0,"",IF($B$2="Todos",SUMIFS(BD!$I$3:$I$5001,BD!$A$3:$A$5001,"&gt;="&amp;$C$8,BD!$A$3:$A$5001,"&lt;="&amp;$D$8),SUMIFS(BD!$I$3:$I$5001,BD!$A$3:$A$5001,"&gt;="&amp;$C$8,BD!$A$3:$A$5001,"&lt;="&amp;$D$8,BD!$B$3:$B$5001,$D$2)))</f>
        <v/>
      </c>
      <c r="J46" s="55" t="str">
        <f>IF($B$9=0,"",IF($B$2="Todos",SUMIFS(BD!$J$3:$J$5001,BD!$A$3:$A$5001,"&gt;="&amp;$C$8,BD!$A$3:$A$5001,"&lt;="&amp;$D$8),SUMIFS(BD!$J$3:$J$5001,BD!$A$3:$A$5001,"&gt;="&amp;$C$8,BD!$A$3:$A$5001,"&lt;="&amp;$D$8,BD!$B$3:$B$5001,$D$2)))</f>
        <v/>
      </c>
      <c r="K46" s="55" t="str">
        <f>IF($B$9=0,"",IF($B$2="Todos",IF(COUNT($C$146:$V$146)=0,"",SUM($C$146:$V$146)),IFERROR(INDEX($C$146:$V$146,MATCH($D$2,$C$114:$V$114,0)),"")))</f>
        <v/>
      </c>
      <c r="L46" s="55" t="str">
        <f>IF(M46="","",IF($B$2="Todos",IF($B$4&gt;0,$B$4,IF($B$2="Todos",IF(COUNT($C$216:$V$216)=0,"",SUM($C$216:$V$216)),IFERROR(INDEX($C$216:$V$216,MATCH($D$2,$C$184:$V$184,0)),""))),IFERROR(INDEX($C$216:$V$216,MATCH($D$2,$C$184:$V$184,0)),"")))</f>
        <v/>
      </c>
      <c r="M46" s="55" t="str">
        <f>IF($B$9=0,"",IF($B$2="Todos",IF(COUNT($C$181:$V$181)=0,"",SUM($C$181:$V$181)),IFERROR(INDEX($C$181:$V$181,MATCH($D$2,$C$149:$V$149,0)),"")))</f>
        <v/>
      </c>
      <c r="N46" s="56" t="str">
        <f>IF(AND(ISNUMBER(M46),ISNUMBER(L46)),IF(L46&gt;0,M46/L46,""),"")</f>
        <v/>
      </c>
      <c r="O46" s="55" t="str">
        <f>IF($B$9=0,"",IF($B$2="Todos",IF(COUNT($C$251:$V$251)=0,"",SUM($C$251:$V$251)),IFERROR(INDEX($C$251:$V$251,MATCH($D$2,$C$219:$V$219,0)),"")))</f>
        <v/>
      </c>
      <c r="P46" s="55" t="str">
        <f>IF($B$9=0,"",IF($B$2="Todos",SUMIFS(BD!$O$3:$O$5001,BD!$A$3:$A$5001,"&gt;="&amp;$C$8,BD!$A$3:$A$5001,"&lt;="&amp;$D$8),SUMIFS(BD!$O$3:$O$5001,BD!$A$3:$A$5001,"&gt;="&amp;$C$8,BD!$A$3:$A$5001,"&lt;="&amp;$D$8,BD!$B$3:$B$5001,$D$2)))</f>
        <v/>
      </c>
      <c r="Q46" s="55" t="str">
        <f>IF($B$9=0,"",IF($B$2="Todos",SUMIFS(BD!$P$3:$P$5001,BD!$A$3:$A$5001,"&gt;="&amp;$C$8,BD!$A$3:$A$5001,"&lt;="&amp;$D$8),SUMIFS(BD!$P$3:$P$5001,BD!$A$3:$A$5001,"&gt;="&amp;$C$8,BD!$A$3:$A$5001,"&lt;="&amp;$D$8,BD!$B$3:$B$5001,$D$2)))</f>
        <v/>
      </c>
      <c r="R46" s="55" t="str">
        <f>IF($B$9=0,"",IF($B$2="Todos",SUMIFS(BD!$Q$3:$Q$5001,BD!$A$3:$A$5001,"&gt;="&amp;$C$8,BD!$A$3:$A$5001,"&lt;="&amp;$D$8),SUMIFS(BD!$Q$3:$Q$5001,BD!$A$3:$A$5001,"&gt;="&amp;$C$8,BD!$A$3:$A$5001,"&lt;="&amp;$D$8,BD!$B$3:$B$5001,$D$2)))</f>
        <v/>
      </c>
      <c r="S46" s="55" t="str">
        <f>IF($B$9=0,"",IF($B$2="Todos",SUMIFS(BD!$R$3:$R$5001,BD!$A$3:$A$5001,"&gt;="&amp;$C$8,BD!$A$3:$A$5001,"&lt;="&amp;$D$8),SUMIFS(BD!$R$3:$R$5001,BD!$A$3:$A$5001,"&gt;="&amp;$C$8,BD!$A$3:$A$5001,"&lt;="&amp;$D$8,BD!$B$3:$B$5001,$D$2)))</f>
        <v/>
      </c>
      <c r="T46" s="55" t="str">
        <f>IF($B$9=0,"",IF($B$2="Todos",SUMIFS(BD!$S$3:$S$5001,BD!$A$3:$A$5001,"&gt;="&amp;$C$8,BD!$A$3:$A$5001,"&lt;="&amp;$D$8),SUMIFS(BD!$S$3:$S$5001,BD!$A$3:$A$5001,"&gt;="&amp;$C$8,BD!$A$3:$A$5001,"&lt;="&amp;$D$8,BD!$B$3:$B$5001,$D$2)))</f>
        <v/>
      </c>
      <c r="U46" s="55" t="str">
        <f>IF($B$9=0,"",IF($B$2="Todos",SUMIFS(BD!$T$3:$T$5001,BD!$A$3:$A$5001,"&gt;="&amp;$C$8,BD!$A$3:$A$5001,"&lt;="&amp;$D$8),SUMIFS(BD!$T$3:$T$5001,BD!$A$3:$A$5001,"&gt;="&amp;$C$8,BD!$A$3:$A$5001,"&lt;="&amp;$D$8,BD!$B$3:$B$5001,$D$2)))</f>
        <v/>
      </c>
      <c r="V46" s="55" t="str">
        <f>IF($B$9=0,"",IF($B$2="Todos",SUMIFS(BD!$U$3:$U$5001,BD!$A$3:$A$5001,"&gt;="&amp;$C$8,BD!$A$3:$A$5001,"&lt;="&amp;$D$8),SUMIFS(BD!$U$3:$U$5001,BD!$A$3:$A$5001,"&gt;="&amp;$C$8,BD!$A$3:$A$5001,"&lt;="&amp;$D$8,BD!$B$3:$B$5001,$D$2)))</f>
        <v/>
      </c>
    </row>
    <row r="47">
      <c r="A47" s="52" t="inlineStr">
        <is>
          <t xml:space="preserve">Variação vs mês anterior</t>
        </is>
      </c>
      <c r="C47" s="56" t="str">
        <f>IF(AND(ISNUMBER(C43),ISNUMBER(C46)),IF(C46&lt;&gt;0,C43/C46-1,""),"")</f>
        <v/>
      </c>
      <c r="D47" s="56" t="str">
        <f>IF(AND(ISNUMBER(D43),ISNUMBER(D46)),IF(D46&lt;&gt;0,D43/D46-1,""),"")</f>
        <v/>
      </c>
      <c r="E47" s="56" t="str">
        <f>IF(AND(ISNUMBER(E43),ISNUMBER(E46)),IF(E46&lt;&gt;0,E43/E46-1,""),"")</f>
        <v/>
      </c>
      <c r="F47" s="56" t="str">
        <f>IF(AND(ISNUMBER(F43),ISNUMBER(F46)),IF(F46&lt;&gt;0,F43/F46-1,""),"")</f>
        <v/>
      </c>
      <c r="G47" s="56" t="str">
        <f>IF(AND(ISNUMBER(G43),ISNUMBER(G46)),IF(G46&lt;&gt;0,G43/G46-1,""),"")</f>
        <v/>
      </c>
      <c r="H47" s="56" t="str">
        <f>IF(AND(ISNUMBER(H43),ISNUMBER(H46)),IF(H46&lt;&gt;0,H43/H46-1,""),"")</f>
        <v/>
      </c>
      <c r="I47" s="56" t="str">
        <f>IF(AND(ISNUMBER(I43),ISNUMBER(I46)),IF(I46&lt;&gt;0,I43/I46-1,""),"")</f>
        <v/>
      </c>
      <c r="J47" s="56" t="str">
        <f>IF(AND(ISNUMBER(J43),ISNUMBER(J46)),IF(J46&lt;&gt;0,J43/J46-1,""),"")</f>
        <v/>
      </c>
      <c r="K47" s="56" t="str">
        <f>IF(AND(ISNUMBER(K43),ISNUMBER(K46)),IF(K46&lt;&gt;0,K43/K46-1,""),"")</f>
        <v/>
      </c>
      <c r="L47" s="56" t="str">
        <f>IF(AND(ISNUMBER(L43),ISNUMBER(L46)),IF(L46&lt;&gt;0,L43/L46-1,""),"")</f>
        <v/>
      </c>
      <c r="M47" s="56" t="str">
        <f>IF(AND(ISNUMBER(M43),ISNUMBER(M46)),IF(M46&lt;&gt;0,M43/M46-1,""),"")</f>
        <v/>
      </c>
      <c r="N47" s="56" t="str">
        <f>IF(AND(ISNUMBER(N43),ISNUMBER(N46)),IF(N46&lt;&gt;0,N43/N46-1,""),"")</f>
        <v/>
      </c>
      <c r="O47" s="56" t="str">
        <f>IF(AND(ISNUMBER(O43),ISNUMBER(O46)),IF(O46&lt;&gt;0,O43/O46-1,""),"")</f>
        <v/>
      </c>
      <c r="P47" s="56" t="str">
        <f>IF(AND(ISNUMBER(P43),ISNUMBER(P46)),IF(P46&lt;&gt;0,P43/P46-1,""),"")</f>
        <v/>
      </c>
      <c r="Q47" s="56" t="str">
        <f>IF(AND(ISNUMBER(Q43),ISNUMBER(Q46)),IF(Q46&lt;&gt;0,Q43/Q46-1,""),"")</f>
        <v/>
      </c>
      <c r="R47" s="56" t="str">
        <f>IF(AND(ISNUMBER(R43),ISNUMBER(R46)),IF(R46&lt;&gt;0,R43/R46-1,""),"")</f>
        <v/>
      </c>
      <c r="S47" s="56" t="str">
        <f>IF(AND(ISNUMBER(S43),ISNUMBER(S46)),IF(S46&lt;&gt;0,S43/S46-1,""),"")</f>
        <v/>
      </c>
      <c r="T47" s="56" t="str">
        <f>IF(AND(ISNUMBER(T43),ISNUMBER(T46)),IF(T46&lt;&gt;0,T43/T46-1,""),"")</f>
        <v/>
      </c>
      <c r="U47" s="56" t="str">
        <f>IF(AND(ISNUMBER(U43),ISNUMBER(U46)),IF(U46&lt;&gt;0,U43/U46-1,""),"")</f>
        <v/>
      </c>
      <c r="V47" s="56" t="str">
        <f>IF(AND(ISNUMBER(V43),ISNUMBER(V46)),IF(V46&lt;&gt;0,V43/V46-1,""),"")</f>
        <v/>
      </c>
    </row>
    <row r="48">
      <c r="A48" s="52" t="inlineStr">
        <is>
          <t xml:space="preserve">Meta (seleção)</t>
        </is>
      </c>
      <c r="C48" s="55" t="str">
        <f>IFERROR(1/(1/INDEX(BD!$Y$23:$AS$23,MATCH($B$2,BD!$Y$22:$AS$22,0))),"")</f>
        <v/>
      </c>
      <c r="D48" s="55" t="str">
        <f>IFERROR(1/(1/INDEX(BD!$Y$24:$AS$24,MATCH($B$2,BD!$Y$22:$AS$22,0))),"")</f>
        <v/>
      </c>
      <c r="E48" s="55" t="str">
        <f>IFERROR(1/(1/INDEX(BD!$Y$25:$AS$25,MATCH($B$2,BD!$Y$22:$AS$22,0))),"")</f>
        <v/>
      </c>
      <c r="F48" s="55" t="str">
        <f>IFERROR(1/(1/INDEX(BD!$Y$26:$AS$26,MATCH($B$2,BD!$Y$22:$AS$22,0))),"")</f>
        <v/>
      </c>
      <c r="G48" s="55" t="str">
        <f>IFERROR(1/(1/INDEX(BD!$Y$27:$AS$27,MATCH($B$2,BD!$Y$22:$AS$22,0))),"")</f>
        <v/>
      </c>
      <c r="H48" s="55" t="str">
        <f>IFERROR(1/(1/INDEX(BD!$Y$28:$AS$28,MATCH($B$2,BD!$Y$22:$AS$22,0))),"")</f>
        <v/>
      </c>
      <c r="I48" s="55" t="str">
        <f>IFERROR(1/(1/INDEX(BD!$Y$29:$AS$29,MATCH($B$2,BD!$Y$22:$AS$22,0))),"")</f>
        <v/>
      </c>
      <c r="J48" s="55" t="str">
        <f>IFERROR(1/(1/INDEX(BD!$Y$30:$AS$30,MATCH($B$2,BD!$Y$22:$AS$22,0))),"")</f>
        <v/>
      </c>
      <c r="K48" s="55" t="str">
        <f>IFERROR(1/(1/INDEX(BD!$Y$31:$AS$31,MATCH($B$2,BD!$Y$22:$AS$22,0))),"")</f>
        <v/>
      </c>
      <c r="L48" s="55" t="str">
        <f>IFERROR(1/(1/INDEX(BD!$Y$32:$AS$32,MATCH($B$2,BD!$Y$22:$AS$22,0))),"")</f>
        <v/>
      </c>
      <c r="M48" s="55" t="str">
        <f>IFERROR(1/(1/INDEX(BD!$Y$33:$AS$33,MATCH($B$2,BD!$Y$22:$AS$22,0))),"")</f>
        <v/>
      </c>
      <c r="N48" s="57" t="str">
        <f>IFERROR(1/(1/INDEX(BD!$Y$34:$AS$34,MATCH($B$2,BD!$Y$22:$AS$22,0))),"")</f>
        <v/>
      </c>
      <c r="O48" s="55" t="str">
        <f>IFERROR(1/(1/INDEX(BD!$Y$35:$AS$35,MATCH($B$2,BD!$Y$22:$AS$22,0))),"")</f>
        <v/>
      </c>
      <c r="P48" s="55" t="str">
        <f>IFERROR(1/(1/INDEX(BD!$Y$36:$AS$36,MATCH($B$2,BD!$Y$22:$AS$22,0))),"")</f>
        <v/>
      </c>
      <c r="Q48" s="55" t="str">
        <f>IFERROR(1/(1/INDEX(BD!$Y$37:$AS$37,MATCH($B$2,BD!$Y$22:$AS$22,0))),"")</f>
        <v/>
      </c>
      <c r="R48" s="55" t="str">
        <f>IFERROR(1/(1/INDEX(BD!$Y$38:$AS$38,MATCH($B$2,BD!$Y$22:$AS$22,0))),"")</f>
        <v/>
      </c>
      <c r="S48" s="55" t="str">
        <f>IFERROR(1/(1/INDEX(BD!$Y$39:$AS$39,MATCH($B$2,BD!$Y$22:$AS$22,0))),"")</f>
        <v/>
      </c>
      <c r="T48" s="55" t="str">
        <f>IFERROR(1/(1/INDEX(BD!$Y$40:$AS$40,MATCH($B$2,BD!$Y$22:$AS$22,0))),"")</f>
        <v/>
      </c>
      <c r="U48" s="55" t="str">
        <f>IFERROR(1/(1/INDEX(BD!$Y$41:$AS$41,MATCH($B$2,BD!$Y$22:$AS$22,0))),"")</f>
        <v/>
      </c>
      <c r="V48" s="55" t="str">
        <f>IFERROR(1/(1/INDEX(BD!$Y$42:$AS$42,MATCH($B$2,BD!$Y$22:$AS$22,0))),"")</f>
        <v/>
      </c>
    </row>
    <row r="49">
      <c r="A49" s="52" t="inlineStr">
        <is>
          <t xml:space="preserve">% da meta</t>
        </is>
      </c>
      <c r="C49" s="57" t="str">
        <f>IF(AND(ISNUMBER(C48),ISNUMBER(C43)),IF(C48&gt;0,C43/C48,""),"")</f>
        <v/>
      </c>
      <c r="D49" s="57" t="str">
        <f>IF(AND(ISNUMBER(D48),ISNUMBER(D43)),IF(D48&gt;0,D43/D48,""),"")</f>
        <v/>
      </c>
      <c r="E49" s="57" t="str">
        <f>IF(AND(ISNUMBER(E48),ISNUMBER(E43)),IF(E48&gt;0,E43/E48,""),"")</f>
        <v/>
      </c>
      <c r="F49" s="57" t="str">
        <f>IF(AND(ISNUMBER(F48),ISNUMBER(F43)),IF(F48&gt;0,F43/F48,""),"")</f>
        <v/>
      </c>
      <c r="G49" s="57" t="str">
        <f>IF(AND(ISNUMBER(G48),ISNUMBER(G43)),IF(G48&gt;0,G43/G48,""),"")</f>
        <v/>
      </c>
      <c r="H49" s="57" t="str">
        <f>IF(AND(ISNUMBER(H48),ISNUMBER(H43)),IF(H48&gt;0,H43/H48,""),"")</f>
        <v/>
      </c>
      <c r="I49" s="57" t="str">
        <f>IF(AND(ISNUMBER(I48),ISNUMBER(I43)),IF(I48&gt;0,I43/I48,""),"")</f>
        <v/>
      </c>
      <c r="J49" s="57" t="str">
        <f>IF(AND(ISNUMBER(J48),ISNUMBER(J43)),IF(J48&gt;0,J43/J48,""),"")</f>
        <v/>
      </c>
      <c r="K49" s="57" t="str">
        <f>IF(AND(ISNUMBER(K48),ISNUMBER(K43)),IF(K48&gt;0,K43/K48,""),"")</f>
        <v/>
      </c>
      <c r="L49" s="57" t="str">
        <f>IF(AND(ISNUMBER(L48),ISNUMBER(L43)),IF(L48&gt;0,L43/L48,""),"")</f>
        <v/>
      </c>
      <c r="M49" s="57" t="str">
        <f>IF(AND(ISNUMBER(M48),ISNUMBER(M43)),IF(M48&gt;0,M43/M48,""),"")</f>
        <v/>
      </c>
      <c r="N49" s="57" t="str">
        <f>IF(AND(ISNUMBER(N48),ISNUMBER(N43)),IF(N48&gt;0,N43/N48,""),"")</f>
        <v/>
      </c>
      <c r="O49" s="57" t="str">
        <f>IF(AND(ISNUMBER(O48),ISNUMBER(O43)),IF(O48&gt;0,O43/O48,""),"")</f>
        <v/>
      </c>
      <c r="P49" s="57" t="str">
        <f>IF(AND(ISNUMBER(P48),ISNUMBER(P43)),IF(P48&gt;0,P43/P48,""),"")</f>
        <v/>
      </c>
      <c r="Q49" s="57" t="str">
        <f>IF(AND(ISNUMBER(Q48),ISNUMBER(Q43)),IF(Q48&gt;0,Q43/Q48,""),"")</f>
        <v/>
      </c>
      <c r="R49" s="57" t="str">
        <f>IF(AND(ISNUMBER(R48),ISNUMBER(R43)),IF(R48&gt;0,R43/R48,""),"")</f>
        <v/>
      </c>
      <c r="S49" s="57" t="str">
        <f>IF(AND(ISNUMBER(S48),ISNUMBER(S43)),IF(S48&gt;0,S43/S48,""),"")</f>
        <v/>
      </c>
      <c r="T49" s="57" t="str">
        <f>IF(AND(ISNUMBER(T48),ISNUMBER(T43)),IF(T48&gt;0,T43/T48,""),"")</f>
        <v/>
      </c>
      <c r="U49" s="57" t="str">
        <f>IF(AND(ISNUMBER(U48),ISNUMBER(U43)),IF(U48&gt;0,U43/U48,""),"")</f>
        <v/>
      </c>
      <c r="V49" s="57" t="str">
        <f>IF(AND(ISNUMBER(V48),ISNUMBER(V43)),IF(V48&gt;0,V43/V48,""),"")</f>
        <v/>
      </c>
    </row>
    <row r="50">
      <c r="A50" s="52" t="inlineStr">
        <is>
          <t xml:space="preserve">Status</t>
        </is>
      </c>
      <c r="C50" s="58" t="str">
        <f>IF(ISNUMBER(C49),IF(C49&gt;=1,"meta atingida","abaixo da meta"),"")</f>
        <v/>
      </c>
      <c r="D50" s="58" t="str">
        <f>IF(ISNUMBER(D49),IF(D49&gt;=1,"meta atingida","abaixo da meta"),"")</f>
        <v/>
      </c>
      <c r="E50" s="58" t="str">
        <f>IF(ISNUMBER(E49),IF(E49&gt;=1,"meta atingida","abaixo da meta"),"")</f>
        <v/>
      </c>
      <c r="F50" s="58" t="str">
        <f>IF(ISNUMBER(F49),IF(F49&gt;=1,"meta atingida","abaixo da meta"),"")</f>
        <v/>
      </c>
      <c r="G50" s="58" t="str">
        <f>IF(ISNUMBER(G49),IF(G49&gt;=1,"meta atingida","abaixo da meta"),"")</f>
        <v/>
      </c>
      <c r="H50" s="58" t="str">
        <f>IF(ISNUMBER(H49),IF(H49&gt;=1,"meta atingida","abaixo da meta"),"")</f>
        <v/>
      </c>
      <c r="I50" s="58" t="str">
        <f>IF(AND(ISNUMBER(I48),ISNUMBER(I43)),IF(I43&lt;=I48,"dentro do limite","acima do limite"),"")</f>
        <v/>
      </c>
      <c r="J50" s="58" t="str">
        <f>IF(AND(ISNUMBER(J48),ISNUMBER(J43)),IF(J43&lt;=J48,"dentro do limite","acima do limite"),"")</f>
        <v/>
      </c>
      <c r="K50" s="58" t="str">
        <f>IF(AND(ISNUMBER(K48),ISNUMBER(K43)),IF(K43&lt;=K48,"dentro do limite","acima do limite"),"")</f>
        <v/>
      </c>
      <c r="L50" s="58" t="str">
        <f>IF(ISNUMBER(L49),IF(L49&gt;=1,"meta atingida","abaixo da meta"),"")</f>
        <v/>
      </c>
      <c r="M50" s="58" t="str">
        <f>IF(ISNUMBER(M49),IF(M49&gt;=1,"meta atingida","abaixo da meta"),"")</f>
        <v/>
      </c>
      <c r="N50" s="58" t="str">
        <f>IF(ISNUMBER(N43),IF(N43&gt;1,"excede o contratado",IF(N43&gt;=$B$6,"ocupação alta",IF(N43&gt;=$B$5,"ocupação média","ociosidade alta"))),"")</f>
        <v/>
      </c>
      <c r="O50" s="58" t="str">
        <f>IF(ISNUMBER(O49),IF(O49&gt;=1,"meta atingida","abaixo da meta"),"")</f>
        <v/>
      </c>
      <c r="P50" s="58" t="str">
        <f>IF(AND(ISNUMBER(P48),ISNUMBER(P43)),IF(P43&lt;=P48,"dentro do limite","acima do limite"),"")</f>
        <v/>
      </c>
      <c r="Q50" s="58" t="str">
        <f>IF(ISNUMBER(Q49),IF(Q49&gt;=1,"meta atingida","abaixo da meta"),"")</f>
        <v/>
      </c>
      <c r="R50" s="58" t="str">
        <f>IF(ISNUMBER(R49),IF(R49&gt;=1,"meta atingida","abaixo da meta"),"")</f>
        <v/>
      </c>
      <c r="S50" s="58" t="str">
        <f>IF(AND(ISNUMBER(S48),ISNUMBER(S43)),IF(S43&lt;=S48,"dentro do limite","acima do limite"),"")</f>
        <v/>
      </c>
      <c r="T50" s="58" t="str">
        <f>IF(AND(ISNUMBER(T48),ISNUMBER(T43)),IF(T43&lt;=T48,"dentro do limite","acima do limite"),"")</f>
        <v/>
      </c>
      <c r="U50" s="58" t="str">
        <f>IF(AND(ISNUMBER(U48),ISNUMBER(U43)),IF(U43&lt;=U48,"dentro do limite","acima do limite"),"")</f>
        <v/>
      </c>
      <c r="V50" s="58" t="str">
        <f>IF(AND(ISNUMBER(V48),ISNUMBER(V43)),IF(V43&lt;=V48,"dentro do limite","acima do limite"),"")</f>
        <v/>
      </c>
    </row>
    <row r="78">
      <c r="A78" s="19" t="inlineStr">
        <is>
          <t xml:space="preserve">ACUMULADO SEMANAL — toneladas e pallets (seguem o filtro; mês do gráfico)</t>
        </is>
      </c>
    </row>
    <row r="79">
      <c r="A79" s="37" t="inlineStr">
        <is>
          <t xml:space="preserve">Semana</t>
        </is>
      </c>
      <c r="B79" s="37" t="inlineStr">
        <is>
          <t xml:space="preserve">Do dia</t>
        </is>
      </c>
      <c r="C79" s="37" t="inlineStr">
        <is>
          <t xml:space="preserve">Ao dia</t>
        </is>
      </c>
      <c r="D79" s="37" t="inlineStr">
        <is>
          <t xml:space="preserve">IN tons</t>
        </is>
      </c>
      <c r="E79" s="37" t="inlineStr">
        <is>
          <t xml:space="preserve">OUT tons</t>
        </is>
      </c>
      <c r="F79" s="37" t="inlineStr">
        <is>
          <t xml:space="preserve">IN pallets</t>
        </is>
      </c>
      <c r="G79" s="37" t="inlineStr">
        <is>
          <t xml:space="preserve">OUT pallets</t>
        </is>
      </c>
      <c r="AX79" s="37" t="inlineStr">
        <is>
          <t xml:space="preserve">Gráf A IN (semanal)</t>
        </is>
      </c>
      <c r="AY79" s="37" t="inlineStr">
        <is>
          <t xml:space="preserve">Gráf A OUT (semanal)</t>
        </is>
      </c>
      <c r="AZ79" s="37" t="inlineStr">
        <is>
          <t xml:space="preserve">Gráf B IN (semanal)</t>
        </is>
      </c>
      <c r="BA79" s="37" t="inlineStr">
        <is>
          <t xml:space="preserve">Gráf B OUT (semanal)</t>
        </is>
      </c>
    </row>
    <row r="80">
      <c r="A80" s="29" t="inlineStr">
        <is>
          <t xml:space="preserve">Sem 1 (01–07)</t>
        </is>
      </c>
      <c r="B80" s="28">
        <v>1</v>
      </c>
      <c r="C80" s="28">
        <v>7</v>
      </c>
      <c r="D80" s="61">
        <f>SUMIFS(E12:E42,A12:A42,"&gt;="&amp;$B80,A12:A42,"&lt;="&amp;$C80)</f>
        <v>0</v>
      </c>
      <c r="E80" s="61">
        <f>SUMIFS(H12:H42,A12:A42,"&gt;="&amp;$B80,A12:A42,"&lt;="&amp;$C80)</f>
        <v>0</v>
      </c>
      <c r="F80" s="32">
        <f>SUMIFS(D12:D42,A12:A42,"&gt;="&amp;$B80,A12:A42,"&lt;="&amp;$C80)</f>
        <v>0</v>
      </c>
      <c r="G80" s="32">
        <f>SUMIFS(G12:G42,A12:A42,"&gt;="&amp;$B80,A12:A42,"&lt;="&amp;$C80)</f>
        <v>0</v>
      </c>
      <c r="AX80" s="61">
        <f>IF(N(VALUE($AH$310))=0,"",IF(N(VALUE($AJ$310))=0,SUMIFS(AX$12:AX$42,$A$12:$A$42,"&gt;="&amp;$B80,$A$12:$A$42,"&lt;="&amp;$C80),IF(SUMIFS(INDEX($C$12:$V$42,0,N(VALUE($AJ$310))),$A$12:$A$42,"&gt;="&amp;$B80,$A$12:$A$42,"&lt;="&amp;$C80)&gt;0,SUMIFS(INDEX($C$12:$V$42,0,VALUE($AH$310)),$A$12:$A$42,"&gt;="&amp;$B80,$A$12:$A$42,"&lt;="&amp;$C80)/SUMIFS(INDEX($C$12:$V$42,0,N(VALUE($AJ$310))),$A$12:$A$42,"&gt;="&amp;$B80,$A$12:$A$42,"&lt;="&amp;$C80),"")))</f>
        <v>0</v>
      </c>
      <c r="AY80" s="61">
        <f>IF(N(VALUE($AI$310))=0,"",IF(N(VALUE($AK$310))=0,SUMIFS(AY$12:AY$42,$A$12:$A$42,"&gt;="&amp;$B80,$A$12:$A$42,"&lt;="&amp;$C80),IF(SUMIFS(INDEX($C$12:$V$42,0,N(VALUE($AK$310))),$A$12:$A$42,"&gt;="&amp;$B80,$A$12:$A$42,"&lt;="&amp;$C80)&gt;0,SUMIFS(INDEX($C$12:$V$42,0,VALUE($AI$310)),$A$12:$A$42,"&gt;="&amp;$B80,$A$12:$A$42,"&lt;="&amp;$C80)/SUMIFS(INDEX($C$12:$V$42,0,N(VALUE($AK$310))),$A$12:$A$42,"&gt;="&amp;$B80,$A$12:$A$42,"&lt;="&amp;$C80),"")))</f>
        <v>0</v>
      </c>
      <c r="AZ80" s="61">
        <f>IF(N(VALUE($AP$310))=0,"",IF(N(VALUE($AR$310))=0,SUMIFS(AZ$12:AZ$42,$A$12:$A$42,"&gt;="&amp;$B80,$A$12:$A$42,"&lt;="&amp;$C80),IF(SUMIFS(INDEX($C$12:$V$42,0,N(VALUE($AR$310))),$A$12:$A$42,"&gt;="&amp;$B80,$A$12:$A$42,"&lt;="&amp;$C80)&gt;0,SUMIFS(INDEX($C$12:$V$42,0,VALUE($AP$310)),$A$12:$A$42,"&gt;="&amp;$B80,$A$12:$A$42,"&lt;="&amp;$C80)/SUMIFS(INDEX($C$12:$V$42,0,N(VALUE($AR$310))),$A$12:$A$42,"&gt;="&amp;$B80,$A$12:$A$42,"&lt;="&amp;$C80),"")))</f>
        <v>0</v>
      </c>
      <c r="BA80" s="61">
        <f>IF(N(VALUE($AQ$310))=0,"",IF(N(VALUE($AS$310))=0,SUMIFS(BA$12:BA$42,$A$12:$A$42,"&gt;="&amp;$B80,$A$12:$A$42,"&lt;="&amp;$C80),IF(SUMIFS(INDEX($C$12:$V$42,0,N(VALUE($AS$310))),$A$12:$A$42,"&gt;="&amp;$B80,$A$12:$A$42,"&lt;="&amp;$C80)&gt;0,SUMIFS(INDEX($C$12:$V$42,0,VALUE($AQ$310)),$A$12:$A$42,"&gt;="&amp;$B80,$A$12:$A$42,"&lt;="&amp;$C80)/SUMIFS(INDEX($C$12:$V$42,0,N(VALUE($AS$310))),$A$12:$A$42,"&gt;="&amp;$B80,$A$12:$A$42,"&lt;="&amp;$C80),"")))</f>
        <v>0</v>
      </c>
    </row>
    <row r="81">
      <c r="A81" s="29" t="inlineStr">
        <is>
          <t xml:space="preserve">Sem 2 (08–14)</t>
        </is>
      </c>
      <c r="B81" s="28">
        <v>8</v>
      </c>
      <c r="C81" s="28">
        <v>14</v>
      </c>
      <c r="D81" s="61">
        <f>SUMIFS(E12:E42,A12:A42,"&gt;="&amp;$B81,A12:A42,"&lt;="&amp;$C81)</f>
        <v>0</v>
      </c>
      <c r="E81" s="61">
        <f>SUMIFS(H12:H42,A12:A42,"&gt;="&amp;$B81,A12:A42,"&lt;="&amp;$C81)</f>
        <v>0</v>
      </c>
      <c r="F81" s="32">
        <f>SUMIFS(D12:D42,A12:A42,"&gt;="&amp;$B81,A12:A42,"&lt;="&amp;$C81)</f>
        <v>0</v>
      </c>
      <c r="G81" s="32">
        <f>SUMIFS(G12:G42,A12:A42,"&gt;="&amp;$B81,A12:A42,"&lt;="&amp;$C81)</f>
        <v>0</v>
      </c>
      <c r="AX81" s="61">
        <f>IF(N(VALUE($AH$310))=0,"",IF(N(VALUE($AJ$310))=0,SUMIFS(AX$12:AX$42,$A$12:$A$42,"&gt;="&amp;$B81,$A$12:$A$42,"&lt;="&amp;$C81),IF(SUMIFS(INDEX($C$12:$V$42,0,N(VALUE($AJ$310))),$A$12:$A$42,"&gt;="&amp;$B81,$A$12:$A$42,"&lt;="&amp;$C81)&gt;0,SUMIFS(INDEX($C$12:$V$42,0,VALUE($AH$310)),$A$12:$A$42,"&gt;="&amp;$B81,$A$12:$A$42,"&lt;="&amp;$C81)/SUMIFS(INDEX($C$12:$V$42,0,N(VALUE($AJ$310))),$A$12:$A$42,"&gt;="&amp;$B81,$A$12:$A$42,"&lt;="&amp;$C81),"")))</f>
        <v>0</v>
      </c>
      <c r="AY81" s="61">
        <f>IF(N(VALUE($AI$310))=0,"",IF(N(VALUE($AK$310))=0,SUMIFS(AY$12:AY$42,$A$12:$A$42,"&gt;="&amp;$B81,$A$12:$A$42,"&lt;="&amp;$C81),IF(SUMIFS(INDEX($C$12:$V$42,0,N(VALUE($AK$310))),$A$12:$A$42,"&gt;="&amp;$B81,$A$12:$A$42,"&lt;="&amp;$C81)&gt;0,SUMIFS(INDEX($C$12:$V$42,0,VALUE($AI$310)),$A$12:$A$42,"&gt;="&amp;$B81,$A$12:$A$42,"&lt;="&amp;$C81)/SUMIFS(INDEX($C$12:$V$42,0,N(VALUE($AK$310))),$A$12:$A$42,"&gt;="&amp;$B81,$A$12:$A$42,"&lt;="&amp;$C81),"")))</f>
        <v>0</v>
      </c>
      <c r="AZ81" s="61">
        <f>IF(N(VALUE($AP$310))=0,"",IF(N(VALUE($AR$310))=0,SUMIFS(AZ$12:AZ$42,$A$12:$A$42,"&gt;="&amp;$B81,$A$12:$A$42,"&lt;="&amp;$C81),IF(SUMIFS(INDEX($C$12:$V$42,0,N(VALUE($AR$310))),$A$12:$A$42,"&gt;="&amp;$B81,$A$12:$A$42,"&lt;="&amp;$C81)&gt;0,SUMIFS(INDEX($C$12:$V$42,0,VALUE($AP$310)),$A$12:$A$42,"&gt;="&amp;$B81,$A$12:$A$42,"&lt;="&amp;$C81)/SUMIFS(INDEX($C$12:$V$42,0,N(VALUE($AR$310))),$A$12:$A$42,"&gt;="&amp;$B81,$A$12:$A$42,"&lt;="&amp;$C81),"")))</f>
        <v>0</v>
      </c>
      <c r="BA81" s="61">
        <f>IF(N(VALUE($AQ$310))=0,"",IF(N(VALUE($AS$310))=0,SUMIFS(BA$12:BA$42,$A$12:$A$42,"&gt;="&amp;$B81,$A$12:$A$42,"&lt;="&amp;$C81),IF(SUMIFS(INDEX($C$12:$V$42,0,N(VALUE($AS$310))),$A$12:$A$42,"&gt;="&amp;$B81,$A$12:$A$42,"&lt;="&amp;$C81)&gt;0,SUMIFS(INDEX($C$12:$V$42,0,VALUE($AQ$310)),$A$12:$A$42,"&gt;="&amp;$B81,$A$12:$A$42,"&lt;="&amp;$C81)/SUMIFS(INDEX($C$12:$V$42,0,N(VALUE($AS$310))),$A$12:$A$42,"&gt;="&amp;$B81,$A$12:$A$42,"&lt;="&amp;$C81),"")))</f>
        <v>0</v>
      </c>
    </row>
    <row r="82">
      <c r="A82" s="29" t="inlineStr">
        <is>
          <t xml:space="preserve">Sem 3 (15–21)</t>
        </is>
      </c>
      <c r="B82" s="28">
        <v>15</v>
      </c>
      <c r="C82" s="28">
        <v>21</v>
      </c>
      <c r="D82" s="61">
        <f>SUMIFS(E12:E42,A12:A42,"&gt;="&amp;$B82,A12:A42,"&lt;="&amp;$C82)</f>
        <v>0</v>
      </c>
      <c r="E82" s="61">
        <f>SUMIFS(H12:H42,A12:A42,"&gt;="&amp;$B82,A12:A42,"&lt;="&amp;$C82)</f>
        <v>0</v>
      </c>
      <c r="F82" s="32">
        <f>SUMIFS(D12:D42,A12:A42,"&gt;="&amp;$B82,A12:A42,"&lt;="&amp;$C82)</f>
        <v>0</v>
      </c>
      <c r="G82" s="32">
        <f>SUMIFS(G12:G42,A12:A42,"&gt;="&amp;$B82,A12:A42,"&lt;="&amp;$C82)</f>
        <v>0</v>
      </c>
      <c r="AX82" s="61">
        <f>IF(N(VALUE($AH$310))=0,"",IF(N(VALUE($AJ$310))=0,SUMIFS(AX$12:AX$42,$A$12:$A$42,"&gt;="&amp;$B82,$A$12:$A$42,"&lt;="&amp;$C82),IF(SUMIFS(INDEX($C$12:$V$42,0,N(VALUE($AJ$310))),$A$12:$A$42,"&gt;="&amp;$B82,$A$12:$A$42,"&lt;="&amp;$C82)&gt;0,SUMIFS(INDEX($C$12:$V$42,0,VALUE($AH$310)),$A$12:$A$42,"&gt;="&amp;$B82,$A$12:$A$42,"&lt;="&amp;$C82)/SUMIFS(INDEX($C$12:$V$42,0,N(VALUE($AJ$310))),$A$12:$A$42,"&gt;="&amp;$B82,$A$12:$A$42,"&lt;="&amp;$C82),"")))</f>
        <v>0</v>
      </c>
      <c r="AY82" s="61">
        <f>IF(N(VALUE($AI$310))=0,"",IF(N(VALUE($AK$310))=0,SUMIFS(AY$12:AY$42,$A$12:$A$42,"&gt;="&amp;$B82,$A$12:$A$42,"&lt;="&amp;$C82),IF(SUMIFS(INDEX($C$12:$V$42,0,N(VALUE($AK$310))),$A$12:$A$42,"&gt;="&amp;$B82,$A$12:$A$42,"&lt;="&amp;$C82)&gt;0,SUMIFS(INDEX($C$12:$V$42,0,VALUE($AI$310)),$A$12:$A$42,"&gt;="&amp;$B82,$A$12:$A$42,"&lt;="&amp;$C82)/SUMIFS(INDEX($C$12:$V$42,0,N(VALUE($AK$310))),$A$12:$A$42,"&gt;="&amp;$B82,$A$12:$A$42,"&lt;="&amp;$C82),"")))</f>
        <v>0</v>
      </c>
      <c r="AZ82" s="61">
        <f>IF(N(VALUE($AP$310))=0,"",IF(N(VALUE($AR$310))=0,SUMIFS(AZ$12:AZ$42,$A$12:$A$42,"&gt;="&amp;$B82,$A$12:$A$42,"&lt;="&amp;$C82),IF(SUMIFS(INDEX($C$12:$V$42,0,N(VALUE($AR$310))),$A$12:$A$42,"&gt;="&amp;$B82,$A$12:$A$42,"&lt;="&amp;$C82)&gt;0,SUMIFS(INDEX($C$12:$V$42,0,VALUE($AP$310)),$A$12:$A$42,"&gt;="&amp;$B82,$A$12:$A$42,"&lt;="&amp;$C82)/SUMIFS(INDEX($C$12:$V$42,0,N(VALUE($AR$310))),$A$12:$A$42,"&gt;="&amp;$B82,$A$12:$A$42,"&lt;="&amp;$C82),"")))</f>
        <v>0</v>
      </c>
      <c r="BA82" s="61">
        <f>IF(N(VALUE($AQ$310))=0,"",IF(N(VALUE($AS$310))=0,SUMIFS(BA$12:BA$42,$A$12:$A$42,"&gt;="&amp;$B82,$A$12:$A$42,"&lt;="&amp;$C82),IF(SUMIFS(INDEX($C$12:$V$42,0,N(VALUE($AS$310))),$A$12:$A$42,"&gt;="&amp;$B82,$A$12:$A$42,"&lt;="&amp;$C82)&gt;0,SUMIFS(INDEX($C$12:$V$42,0,VALUE($AQ$310)),$A$12:$A$42,"&gt;="&amp;$B82,$A$12:$A$42,"&lt;="&amp;$C82)/SUMIFS(INDEX($C$12:$V$42,0,N(VALUE($AS$310))),$A$12:$A$42,"&gt;="&amp;$B82,$A$12:$A$42,"&lt;="&amp;$C82),"")))</f>
        <v>0</v>
      </c>
    </row>
    <row r="83">
      <c r="A83" s="29" t="inlineStr">
        <is>
          <t xml:space="preserve">Sem 4 (22–28)</t>
        </is>
      </c>
      <c r="B83" s="28">
        <v>22</v>
      </c>
      <c r="C83" s="28">
        <v>28</v>
      </c>
      <c r="D83" s="61">
        <f>SUMIFS(E12:E42,A12:A42,"&gt;="&amp;$B83,A12:A42,"&lt;="&amp;$C83)</f>
        <v>0</v>
      </c>
      <c r="E83" s="61">
        <f>SUMIFS(H12:H42,A12:A42,"&gt;="&amp;$B83,A12:A42,"&lt;="&amp;$C83)</f>
        <v>0</v>
      </c>
      <c r="F83" s="32">
        <f>SUMIFS(D12:D42,A12:A42,"&gt;="&amp;$B83,A12:A42,"&lt;="&amp;$C83)</f>
        <v>0</v>
      </c>
      <c r="G83" s="32">
        <f>SUMIFS(G12:G42,A12:A42,"&gt;="&amp;$B83,A12:A42,"&lt;="&amp;$C83)</f>
        <v>0</v>
      </c>
      <c r="AX83" s="61">
        <f>IF(N(VALUE($AH$310))=0,"",IF(N(VALUE($AJ$310))=0,SUMIFS(AX$12:AX$42,$A$12:$A$42,"&gt;="&amp;$B83,$A$12:$A$42,"&lt;="&amp;$C83),IF(SUMIFS(INDEX($C$12:$V$42,0,N(VALUE($AJ$310))),$A$12:$A$42,"&gt;="&amp;$B83,$A$12:$A$42,"&lt;="&amp;$C83)&gt;0,SUMIFS(INDEX($C$12:$V$42,0,VALUE($AH$310)),$A$12:$A$42,"&gt;="&amp;$B83,$A$12:$A$42,"&lt;="&amp;$C83)/SUMIFS(INDEX($C$12:$V$42,0,N(VALUE($AJ$310))),$A$12:$A$42,"&gt;="&amp;$B83,$A$12:$A$42,"&lt;="&amp;$C83),"")))</f>
        <v>0</v>
      </c>
      <c r="AY83" s="61">
        <f>IF(N(VALUE($AI$310))=0,"",IF(N(VALUE($AK$310))=0,SUMIFS(AY$12:AY$42,$A$12:$A$42,"&gt;="&amp;$B83,$A$12:$A$42,"&lt;="&amp;$C83),IF(SUMIFS(INDEX($C$12:$V$42,0,N(VALUE($AK$310))),$A$12:$A$42,"&gt;="&amp;$B83,$A$12:$A$42,"&lt;="&amp;$C83)&gt;0,SUMIFS(INDEX($C$12:$V$42,0,VALUE($AI$310)),$A$12:$A$42,"&gt;="&amp;$B83,$A$12:$A$42,"&lt;="&amp;$C83)/SUMIFS(INDEX($C$12:$V$42,0,N(VALUE($AK$310))),$A$12:$A$42,"&gt;="&amp;$B83,$A$12:$A$42,"&lt;="&amp;$C83),"")))</f>
        <v>0</v>
      </c>
      <c r="AZ83" s="61">
        <f>IF(N(VALUE($AP$310))=0,"",IF(N(VALUE($AR$310))=0,SUMIFS(AZ$12:AZ$42,$A$12:$A$42,"&gt;="&amp;$B83,$A$12:$A$42,"&lt;="&amp;$C83),IF(SUMIFS(INDEX($C$12:$V$42,0,N(VALUE($AR$310))),$A$12:$A$42,"&gt;="&amp;$B83,$A$12:$A$42,"&lt;="&amp;$C83)&gt;0,SUMIFS(INDEX($C$12:$V$42,0,VALUE($AP$310)),$A$12:$A$42,"&gt;="&amp;$B83,$A$12:$A$42,"&lt;="&amp;$C83)/SUMIFS(INDEX($C$12:$V$42,0,N(VALUE($AR$310))),$A$12:$A$42,"&gt;="&amp;$B83,$A$12:$A$42,"&lt;="&amp;$C83),"")))</f>
        <v>0</v>
      </c>
      <c r="BA83" s="61">
        <f>IF(N(VALUE($AQ$310))=0,"",IF(N(VALUE($AS$310))=0,SUMIFS(BA$12:BA$42,$A$12:$A$42,"&gt;="&amp;$B83,$A$12:$A$42,"&lt;="&amp;$C83),IF(SUMIFS(INDEX($C$12:$V$42,0,N(VALUE($AS$310))),$A$12:$A$42,"&gt;="&amp;$B83,$A$12:$A$42,"&lt;="&amp;$C83)&gt;0,SUMIFS(INDEX($C$12:$V$42,0,VALUE($AQ$310)),$A$12:$A$42,"&gt;="&amp;$B83,$A$12:$A$42,"&lt;="&amp;$C83)/SUMIFS(INDEX($C$12:$V$42,0,N(VALUE($AS$310))),$A$12:$A$42,"&gt;="&amp;$B83,$A$12:$A$42,"&lt;="&amp;$C83),"")))</f>
        <v>0</v>
      </c>
    </row>
    <row r="84">
      <c r="A84" s="29" t="inlineStr">
        <is>
          <t xml:space="preserve">Sem 5 (29–fim)</t>
        </is>
      </c>
      <c r="B84" s="28">
        <v>29</v>
      </c>
      <c r="C84" s="28">
        <v>31</v>
      </c>
      <c r="D84" s="61">
        <f>SUMIFS(E12:E42,A12:A42,"&gt;="&amp;$B84,A12:A42,"&lt;="&amp;$C84)</f>
        <v>0</v>
      </c>
      <c r="E84" s="61">
        <f>SUMIFS(H12:H42,A12:A42,"&gt;="&amp;$B84,A12:A42,"&lt;="&amp;$C84)</f>
        <v>0</v>
      </c>
      <c r="F84" s="32">
        <f>SUMIFS(D12:D42,A12:A42,"&gt;="&amp;$B84,A12:A42,"&lt;="&amp;$C84)</f>
        <v>0</v>
      </c>
      <c r="G84" s="32">
        <f>SUMIFS(G12:G42,A12:A42,"&gt;="&amp;$B84,A12:A42,"&lt;="&amp;$C84)</f>
        <v>0</v>
      </c>
      <c r="AX84" s="61">
        <f>IF(N(VALUE($AH$310))=0,"",IF(N(VALUE($AJ$310))=0,SUMIFS(AX$12:AX$42,$A$12:$A$42,"&gt;="&amp;$B84,$A$12:$A$42,"&lt;="&amp;$C84),IF(SUMIFS(INDEX($C$12:$V$42,0,N(VALUE($AJ$310))),$A$12:$A$42,"&gt;="&amp;$B84,$A$12:$A$42,"&lt;="&amp;$C84)&gt;0,SUMIFS(INDEX($C$12:$V$42,0,VALUE($AH$310)),$A$12:$A$42,"&gt;="&amp;$B84,$A$12:$A$42,"&lt;="&amp;$C84)/SUMIFS(INDEX($C$12:$V$42,0,N(VALUE($AJ$310))),$A$12:$A$42,"&gt;="&amp;$B84,$A$12:$A$42,"&lt;="&amp;$C84),"")))</f>
        <v>0</v>
      </c>
      <c r="AY84" s="61">
        <f>IF(N(VALUE($AI$310))=0,"",IF(N(VALUE($AK$310))=0,SUMIFS(AY$12:AY$42,$A$12:$A$42,"&gt;="&amp;$B84,$A$12:$A$42,"&lt;="&amp;$C84),IF(SUMIFS(INDEX($C$12:$V$42,0,N(VALUE($AK$310))),$A$12:$A$42,"&gt;="&amp;$B84,$A$12:$A$42,"&lt;="&amp;$C84)&gt;0,SUMIFS(INDEX($C$12:$V$42,0,VALUE($AI$310)),$A$12:$A$42,"&gt;="&amp;$B84,$A$12:$A$42,"&lt;="&amp;$C84)/SUMIFS(INDEX($C$12:$V$42,0,N(VALUE($AK$310))),$A$12:$A$42,"&gt;="&amp;$B84,$A$12:$A$42,"&lt;="&amp;$C84),"")))</f>
        <v>0</v>
      </c>
      <c r="AZ84" s="61">
        <f>IF(N(VALUE($AP$310))=0,"",IF(N(VALUE($AR$310))=0,SUMIFS(AZ$12:AZ$42,$A$12:$A$42,"&gt;="&amp;$B84,$A$12:$A$42,"&lt;="&amp;$C84),IF(SUMIFS(INDEX($C$12:$V$42,0,N(VALUE($AR$310))),$A$12:$A$42,"&gt;="&amp;$B84,$A$12:$A$42,"&lt;="&amp;$C84)&gt;0,SUMIFS(INDEX($C$12:$V$42,0,VALUE($AP$310)),$A$12:$A$42,"&gt;="&amp;$B84,$A$12:$A$42,"&lt;="&amp;$C84)/SUMIFS(INDEX($C$12:$V$42,0,N(VALUE($AR$310))),$A$12:$A$42,"&gt;="&amp;$B84,$A$12:$A$42,"&lt;="&amp;$C84),"")))</f>
        <v>0</v>
      </c>
      <c r="BA84" s="61">
        <f>IF(N(VALUE($AQ$310))=0,"",IF(N(VALUE($AS$310))=0,SUMIFS(BA$12:BA$42,$A$12:$A$42,"&gt;="&amp;$B84,$A$12:$A$42,"&lt;="&amp;$C84),IF(SUMIFS(INDEX($C$12:$V$42,0,N(VALUE($AS$310))),$A$12:$A$42,"&gt;="&amp;$B84,$A$12:$A$42,"&lt;="&amp;$C84)&gt;0,SUMIFS(INDEX($C$12:$V$42,0,VALUE($AQ$310)),$A$12:$A$42,"&gt;="&amp;$B84,$A$12:$A$42,"&lt;="&amp;$C84)/SUMIFS(INDEX($C$12:$V$42,0,N(VALUE($AS$310))),$A$12:$A$42,"&gt;="&amp;$B84,$A$12:$A$42,"&lt;="&amp;$C84),"")))</f>
        <v>0</v>
      </c>
    </row>
    <row r="88">
      <c r="A88" s="19" t="inlineStr">
        <is>
          <t xml:space="preserve">POR CLIENTE — mês inteiro (todos os clientes). Estoque = último valor do mês.</t>
        </is>
      </c>
    </row>
    <row r="89" ht="30" customHeight="1">
      <c r="A89" s="37" t="inlineStr">
        <is>
          <t xml:space="preserve">Indicador</t>
        </is>
      </c>
      <c r="B89" s="37" t="str">
        <f>Config!$B$10&amp;""</f>
        <v>Barry Callebaut</v>
      </c>
      <c r="C89" s="37" t="str">
        <f>Config!$B$11&amp;""</f>
        <v>GM</v>
      </c>
      <c r="D89" s="37" t="str">
        <f>Config!$B$12&amp;""</f>
        <v>Mondelez</v>
      </c>
      <c r="E89" s="37" t="str">
        <f>Config!$B$13&amp;""</f>
        <v>Nestlé</v>
      </c>
      <c r="F89" s="37" t="str">
        <f>Config!$B$14&amp;""</f>
        <v>PMB</v>
      </c>
      <c r="G89" s="37" t="str">
        <f>Config!$B$15&amp;""</f>
        <v/>
      </c>
      <c r="H89" s="37" t="str">
        <f>Config!$B$16&amp;""</f>
        <v/>
      </c>
      <c r="I89" s="37" t="str">
        <f>Config!$B$17&amp;""</f>
        <v/>
      </c>
      <c r="J89" s="37" t="str">
        <f>Config!$B$18&amp;""</f>
        <v/>
      </c>
      <c r="K89" s="37" t="str">
        <f>Config!$B$19&amp;""</f>
        <v/>
      </c>
      <c r="L89" s="37" t="str">
        <f>Config!$B$20&amp;""</f>
        <v/>
      </c>
      <c r="M89" s="37" t="str">
        <f>Config!$B$21&amp;""</f>
        <v/>
      </c>
      <c r="N89" s="37" t="str">
        <f>Config!$B$22&amp;""</f>
        <v/>
      </c>
      <c r="O89" s="37" t="str">
        <f>Config!$B$23&amp;""</f>
        <v/>
      </c>
      <c r="P89" s="37" t="str">
        <f>Config!$B$24&amp;""</f>
        <v/>
      </c>
      <c r="Q89" s="37" t="str">
        <f>Config!$B$25&amp;""</f>
        <v/>
      </c>
      <c r="R89" s="37" t="str">
        <f>Config!$B$26&amp;""</f>
        <v/>
      </c>
      <c r="S89" s="37" t="str">
        <f>Config!$B$27&amp;""</f>
        <v/>
      </c>
      <c r="T89" s="37" t="str">
        <f>Config!$B$28&amp;""</f>
        <v/>
      </c>
      <c r="U89" s="37" t="str">
        <f>Config!$B$29&amp;""</f>
        <v/>
      </c>
      <c r="V89" s="37" t="inlineStr">
        <is>
          <t xml:space="preserve">TOTAL</t>
        </is>
      </c>
    </row>
    <row r="90">
      <c r="A90" s="29" t="inlineStr">
        <is>
          <t xml:space="preserve">IN · Veículos Recebidos</t>
        </is>
      </c>
      <c r="B90" s="32">
        <f>IF(B$89="","",IF(Config!$D$35&lt;&gt;"Não",SUMIFS(BD!$C$3:$C$5001,BD!$B$3:$B$5001,B$89,BD!$A$3:$A$5001,"&gt;="&amp;$C$7,BD!$A$3:$A$5001,"&lt;="&amp;$D$7),"—"))</f>
        <v>0</v>
      </c>
      <c r="C90" s="32" t="str">
        <f>IF(C$89="","",IF(Config!$D$36&lt;&gt;"Não",SUMIFS(BD!$C$3:$C$5001,BD!$B$3:$B$5001,C$89,BD!$A$3:$A$5001,"&gt;="&amp;$C$7,BD!$A$3:$A$5001,"&lt;="&amp;$D$7),"—"))</f>
        <v>—</v>
      </c>
      <c r="D90" s="32">
        <f>IF(D$89="","",IF(Config!$D$37&lt;&gt;"Não",SUMIFS(BD!$C$3:$C$5001,BD!$B$3:$B$5001,D$89,BD!$A$3:$A$5001,"&gt;="&amp;$C$7,BD!$A$3:$A$5001,"&lt;="&amp;$D$7),"—"))</f>
        <v>0</v>
      </c>
      <c r="E90" s="32">
        <f>IF(E$89="","",IF(Config!$D$38&lt;&gt;"Não",SUMIFS(BD!$C$3:$C$5001,BD!$B$3:$B$5001,E$89,BD!$A$3:$A$5001,"&gt;="&amp;$C$7,BD!$A$3:$A$5001,"&lt;="&amp;$D$7),"—"))</f>
        <v>0</v>
      </c>
      <c r="F90" s="32">
        <f>IF(F$89="","",IF(Config!$D$39&lt;&gt;"Não",SUMIFS(BD!$C$3:$C$5001,BD!$B$3:$B$5001,F$89,BD!$A$3:$A$5001,"&gt;="&amp;$C$7,BD!$A$3:$A$5001,"&lt;="&amp;$D$7),"—"))</f>
        <v>0</v>
      </c>
      <c r="G90" s="32" t="str">
        <f>IF(G$89="","",IF(Config!$D$40&lt;&gt;"Não",SUMIFS(BD!$C$3:$C$5001,BD!$B$3:$B$5001,G$89,BD!$A$3:$A$5001,"&gt;="&amp;$C$7,BD!$A$3:$A$5001,"&lt;="&amp;$D$7),"—"))</f>
        <v/>
      </c>
      <c r="H90" s="32" t="str">
        <f>IF(H$89="","",IF(Config!$D$41&lt;&gt;"Não",SUMIFS(BD!$C$3:$C$5001,BD!$B$3:$B$5001,H$89,BD!$A$3:$A$5001,"&gt;="&amp;$C$7,BD!$A$3:$A$5001,"&lt;="&amp;$D$7),"—"))</f>
        <v/>
      </c>
      <c r="I90" s="32" t="str">
        <f>IF(I$89="","",IF(Config!$D$42&lt;&gt;"Não",SUMIFS(BD!$C$3:$C$5001,BD!$B$3:$B$5001,I$89,BD!$A$3:$A$5001,"&gt;="&amp;$C$7,BD!$A$3:$A$5001,"&lt;="&amp;$D$7),"—"))</f>
        <v/>
      </c>
      <c r="J90" s="32" t="str">
        <f>IF(J$89="","",IF(Config!$D$43&lt;&gt;"Não",SUMIFS(BD!$C$3:$C$5001,BD!$B$3:$B$5001,J$89,BD!$A$3:$A$5001,"&gt;="&amp;$C$7,BD!$A$3:$A$5001,"&lt;="&amp;$D$7),"—"))</f>
        <v/>
      </c>
      <c r="K90" s="32" t="str">
        <f>IF(K$89="","",IF(Config!$D$44&lt;&gt;"Não",SUMIFS(BD!$C$3:$C$5001,BD!$B$3:$B$5001,K$89,BD!$A$3:$A$5001,"&gt;="&amp;$C$7,BD!$A$3:$A$5001,"&lt;="&amp;$D$7),"—"))</f>
        <v/>
      </c>
      <c r="L90" s="32" t="str">
        <f>IF(L$89="","",IF(Config!$D$45&lt;&gt;"Não",SUMIFS(BD!$C$3:$C$5001,BD!$B$3:$B$5001,L$89,BD!$A$3:$A$5001,"&gt;="&amp;$C$7,BD!$A$3:$A$5001,"&lt;="&amp;$D$7),"—"))</f>
        <v/>
      </c>
      <c r="M90" s="32" t="str">
        <f>IF(M$89="","",IF(Config!$D$46&lt;&gt;"Não",SUMIFS(BD!$C$3:$C$5001,BD!$B$3:$B$5001,M$89,BD!$A$3:$A$5001,"&gt;="&amp;$C$7,BD!$A$3:$A$5001,"&lt;="&amp;$D$7),"—"))</f>
        <v/>
      </c>
      <c r="N90" s="32" t="str">
        <f>IF(N$89="","",IF(Config!$D$47&lt;&gt;"Não",SUMIFS(BD!$C$3:$C$5001,BD!$B$3:$B$5001,N$89,BD!$A$3:$A$5001,"&gt;="&amp;$C$7,BD!$A$3:$A$5001,"&lt;="&amp;$D$7),"—"))</f>
        <v/>
      </c>
      <c r="O90" s="32" t="str">
        <f>IF(O$89="","",IF(Config!$D$48&lt;&gt;"Não",SUMIFS(BD!$C$3:$C$5001,BD!$B$3:$B$5001,O$89,BD!$A$3:$A$5001,"&gt;="&amp;$C$7,BD!$A$3:$A$5001,"&lt;="&amp;$D$7),"—"))</f>
        <v/>
      </c>
      <c r="P90" s="32" t="str">
        <f>IF(P$89="","",IF(Config!$D$49&lt;&gt;"Não",SUMIFS(BD!$C$3:$C$5001,BD!$B$3:$B$5001,P$89,BD!$A$3:$A$5001,"&gt;="&amp;$C$7,BD!$A$3:$A$5001,"&lt;="&amp;$D$7),"—"))</f>
        <v/>
      </c>
      <c r="Q90" s="32" t="str">
        <f>IF(Q$89="","",IF(Config!$D$50&lt;&gt;"Não",SUMIFS(BD!$C$3:$C$5001,BD!$B$3:$B$5001,Q$89,BD!$A$3:$A$5001,"&gt;="&amp;$C$7,BD!$A$3:$A$5001,"&lt;="&amp;$D$7),"—"))</f>
        <v/>
      </c>
      <c r="R90" s="32" t="str">
        <f>IF(R$89="","",IF(Config!$D$51&lt;&gt;"Não",SUMIFS(BD!$C$3:$C$5001,BD!$B$3:$B$5001,R$89,BD!$A$3:$A$5001,"&gt;="&amp;$C$7,BD!$A$3:$A$5001,"&lt;="&amp;$D$7),"—"))</f>
        <v/>
      </c>
      <c r="S90" s="32" t="str">
        <f>IF(S$89="","",IF(Config!$D$52&lt;&gt;"Não",SUMIFS(BD!$C$3:$C$5001,BD!$B$3:$B$5001,S$89,BD!$A$3:$A$5001,"&gt;="&amp;$C$7,BD!$A$3:$A$5001,"&lt;="&amp;$D$7),"—"))</f>
        <v/>
      </c>
      <c r="T90" s="32" t="str">
        <f>IF(T$89="","",IF(Config!$D$53&lt;&gt;"Não",SUMIFS(BD!$C$3:$C$5001,BD!$B$3:$B$5001,T$89,BD!$A$3:$A$5001,"&gt;="&amp;$C$7,BD!$A$3:$A$5001,"&lt;="&amp;$D$7),"—"))</f>
        <v/>
      </c>
      <c r="U90" s="32" t="str">
        <f>IF(U$89="","",IF(Config!$D$54&lt;&gt;"Não",SUMIFS(BD!$C$3:$C$5001,BD!$B$3:$B$5001,U$89,BD!$A$3:$A$5001,"&gt;="&amp;$C$7,BD!$A$3:$A$5001,"&lt;="&amp;$D$7),"—"))</f>
        <v/>
      </c>
      <c r="V90" s="62">
        <f>SUM(B90:U90)</f>
        <v>0</v>
      </c>
    </row>
    <row r="91">
      <c r="A91" s="29" t="inlineStr">
        <is>
          <t xml:space="preserve">IN · Pallets Movimentados</t>
        </is>
      </c>
      <c r="B91" s="32">
        <f>IF(B$89="","",IF(Config!$E$35&lt;&gt;"Não",SUMIFS(BD!$D$3:$D$5001,BD!$B$3:$B$5001,B$89,BD!$A$3:$A$5001,"&gt;="&amp;$C$7,BD!$A$3:$A$5001,"&lt;="&amp;$D$7),"—"))</f>
        <v>0</v>
      </c>
      <c r="C91" s="32" t="str">
        <f>IF(C$89="","",IF(Config!$E$36&lt;&gt;"Não",SUMIFS(BD!$D$3:$D$5001,BD!$B$3:$B$5001,C$89,BD!$A$3:$A$5001,"&gt;="&amp;$C$7,BD!$A$3:$A$5001,"&lt;="&amp;$D$7),"—"))</f>
        <v>—</v>
      </c>
      <c r="D91" s="32">
        <f>IF(D$89="","",IF(Config!$E$37&lt;&gt;"Não",SUMIFS(BD!$D$3:$D$5001,BD!$B$3:$B$5001,D$89,BD!$A$3:$A$5001,"&gt;="&amp;$C$7,BD!$A$3:$A$5001,"&lt;="&amp;$D$7),"—"))</f>
        <v>0</v>
      </c>
      <c r="E91" s="32">
        <f>IF(E$89="","",IF(Config!$E$38&lt;&gt;"Não",SUMIFS(BD!$D$3:$D$5001,BD!$B$3:$B$5001,E$89,BD!$A$3:$A$5001,"&gt;="&amp;$C$7,BD!$A$3:$A$5001,"&lt;="&amp;$D$7),"—"))</f>
        <v>0</v>
      </c>
      <c r="F91" s="32">
        <f>IF(F$89="","",IF(Config!$E$39&lt;&gt;"Não",SUMIFS(BD!$D$3:$D$5001,BD!$B$3:$B$5001,F$89,BD!$A$3:$A$5001,"&gt;="&amp;$C$7,BD!$A$3:$A$5001,"&lt;="&amp;$D$7),"—"))</f>
        <v>0</v>
      </c>
      <c r="G91" s="32" t="str">
        <f>IF(G$89="","",IF(Config!$E$40&lt;&gt;"Não",SUMIFS(BD!$D$3:$D$5001,BD!$B$3:$B$5001,G$89,BD!$A$3:$A$5001,"&gt;="&amp;$C$7,BD!$A$3:$A$5001,"&lt;="&amp;$D$7),"—"))</f>
        <v/>
      </c>
      <c r="H91" s="32" t="str">
        <f>IF(H$89="","",IF(Config!$E$41&lt;&gt;"Não",SUMIFS(BD!$D$3:$D$5001,BD!$B$3:$B$5001,H$89,BD!$A$3:$A$5001,"&gt;="&amp;$C$7,BD!$A$3:$A$5001,"&lt;="&amp;$D$7),"—"))</f>
        <v/>
      </c>
      <c r="I91" s="32" t="str">
        <f>IF(I$89="","",IF(Config!$E$42&lt;&gt;"Não",SUMIFS(BD!$D$3:$D$5001,BD!$B$3:$B$5001,I$89,BD!$A$3:$A$5001,"&gt;="&amp;$C$7,BD!$A$3:$A$5001,"&lt;="&amp;$D$7),"—"))</f>
        <v/>
      </c>
      <c r="J91" s="32" t="str">
        <f>IF(J$89="","",IF(Config!$E$43&lt;&gt;"Não",SUMIFS(BD!$D$3:$D$5001,BD!$B$3:$B$5001,J$89,BD!$A$3:$A$5001,"&gt;="&amp;$C$7,BD!$A$3:$A$5001,"&lt;="&amp;$D$7),"—"))</f>
        <v/>
      </c>
      <c r="K91" s="32" t="str">
        <f>IF(K$89="","",IF(Config!$E$44&lt;&gt;"Não",SUMIFS(BD!$D$3:$D$5001,BD!$B$3:$B$5001,K$89,BD!$A$3:$A$5001,"&gt;="&amp;$C$7,BD!$A$3:$A$5001,"&lt;="&amp;$D$7),"—"))</f>
        <v/>
      </c>
      <c r="L91" s="32" t="str">
        <f>IF(L$89="","",IF(Config!$E$45&lt;&gt;"Não",SUMIFS(BD!$D$3:$D$5001,BD!$B$3:$B$5001,L$89,BD!$A$3:$A$5001,"&gt;="&amp;$C$7,BD!$A$3:$A$5001,"&lt;="&amp;$D$7),"—"))</f>
        <v/>
      </c>
      <c r="M91" s="32" t="str">
        <f>IF(M$89="","",IF(Config!$E$46&lt;&gt;"Não",SUMIFS(BD!$D$3:$D$5001,BD!$B$3:$B$5001,M$89,BD!$A$3:$A$5001,"&gt;="&amp;$C$7,BD!$A$3:$A$5001,"&lt;="&amp;$D$7),"—"))</f>
        <v/>
      </c>
      <c r="N91" s="32" t="str">
        <f>IF(N$89="","",IF(Config!$E$47&lt;&gt;"Não",SUMIFS(BD!$D$3:$D$5001,BD!$B$3:$B$5001,N$89,BD!$A$3:$A$5001,"&gt;="&amp;$C$7,BD!$A$3:$A$5001,"&lt;="&amp;$D$7),"—"))</f>
        <v/>
      </c>
      <c r="O91" s="32" t="str">
        <f>IF(O$89="","",IF(Config!$E$48&lt;&gt;"Não",SUMIFS(BD!$D$3:$D$5001,BD!$B$3:$B$5001,O$89,BD!$A$3:$A$5001,"&gt;="&amp;$C$7,BD!$A$3:$A$5001,"&lt;="&amp;$D$7),"—"))</f>
        <v/>
      </c>
      <c r="P91" s="32" t="str">
        <f>IF(P$89="","",IF(Config!$E$49&lt;&gt;"Não",SUMIFS(BD!$D$3:$D$5001,BD!$B$3:$B$5001,P$89,BD!$A$3:$A$5001,"&gt;="&amp;$C$7,BD!$A$3:$A$5001,"&lt;="&amp;$D$7),"—"))</f>
        <v/>
      </c>
      <c r="Q91" s="32" t="str">
        <f>IF(Q$89="","",IF(Config!$E$50&lt;&gt;"Não",SUMIFS(BD!$D$3:$D$5001,BD!$B$3:$B$5001,Q$89,BD!$A$3:$A$5001,"&gt;="&amp;$C$7,BD!$A$3:$A$5001,"&lt;="&amp;$D$7),"—"))</f>
        <v/>
      </c>
      <c r="R91" s="32" t="str">
        <f>IF(R$89="","",IF(Config!$E$51&lt;&gt;"Não",SUMIFS(BD!$D$3:$D$5001,BD!$B$3:$B$5001,R$89,BD!$A$3:$A$5001,"&gt;="&amp;$C$7,BD!$A$3:$A$5001,"&lt;="&amp;$D$7),"—"))</f>
        <v/>
      </c>
      <c r="S91" s="32" t="str">
        <f>IF(S$89="","",IF(Config!$E$52&lt;&gt;"Não",SUMIFS(BD!$D$3:$D$5001,BD!$B$3:$B$5001,S$89,BD!$A$3:$A$5001,"&gt;="&amp;$C$7,BD!$A$3:$A$5001,"&lt;="&amp;$D$7),"—"))</f>
        <v/>
      </c>
      <c r="T91" s="32" t="str">
        <f>IF(T$89="","",IF(Config!$E$53&lt;&gt;"Não",SUMIFS(BD!$D$3:$D$5001,BD!$B$3:$B$5001,T$89,BD!$A$3:$A$5001,"&gt;="&amp;$C$7,BD!$A$3:$A$5001,"&lt;="&amp;$D$7),"—"))</f>
        <v/>
      </c>
      <c r="U91" s="32" t="str">
        <f>IF(U$89="","",IF(Config!$E$54&lt;&gt;"Não",SUMIFS(BD!$D$3:$D$5001,BD!$B$3:$B$5001,U$89,BD!$A$3:$A$5001,"&gt;="&amp;$C$7,BD!$A$3:$A$5001,"&lt;="&amp;$D$7),"—"))</f>
        <v/>
      </c>
      <c r="V91" s="62">
        <f>SUM(B91:U91)</f>
        <v>0</v>
      </c>
    </row>
    <row r="92">
      <c r="A92" s="29" t="inlineStr">
        <is>
          <t xml:space="preserve">IN · Toneladas Movimentadas</t>
        </is>
      </c>
      <c r="B92" s="61">
        <f>IF(B$89="","",IF(Config!$F$35&lt;&gt;"Não",SUMIFS(BD!$E$3:$E$5001,BD!$B$3:$B$5001,B$89,BD!$A$3:$A$5001,"&gt;="&amp;$C$7,BD!$A$3:$A$5001,"&lt;="&amp;$D$7),"—"))</f>
        <v>0</v>
      </c>
      <c r="C92" s="61" t="str">
        <f>IF(C$89="","",IF(Config!$F$36&lt;&gt;"Não",SUMIFS(BD!$E$3:$E$5001,BD!$B$3:$B$5001,C$89,BD!$A$3:$A$5001,"&gt;="&amp;$C$7,BD!$A$3:$A$5001,"&lt;="&amp;$D$7),"—"))</f>
        <v>—</v>
      </c>
      <c r="D92" s="61">
        <f>IF(D$89="","",IF(Config!$F$37&lt;&gt;"Não",SUMIFS(BD!$E$3:$E$5001,BD!$B$3:$B$5001,D$89,BD!$A$3:$A$5001,"&gt;="&amp;$C$7,BD!$A$3:$A$5001,"&lt;="&amp;$D$7),"—"))</f>
        <v>0</v>
      </c>
      <c r="E92" s="61">
        <f>IF(E$89="","",IF(Config!$F$38&lt;&gt;"Não",SUMIFS(BD!$E$3:$E$5001,BD!$B$3:$B$5001,E$89,BD!$A$3:$A$5001,"&gt;="&amp;$C$7,BD!$A$3:$A$5001,"&lt;="&amp;$D$7),"—"))</f>
        <v>0</v>
      </c>
      <c r="F92" s="61">
        <f>IF(F$89="","",IF(Config!$F$39&lt;&gt;"Não",SUMIFS(BD!$E$3:$E$5001,BD!$B$3:$B$5001,F$89,BD!$A$3:$A$5001,"&gt;="&amp;$C$7,BD!$A$3:$A$5001,"&lt;="&amp;$D$7),"—"))</f>
        <v>0</v>
      </c>
      <c r="G92" s="61" t="str">
        <f>IF(G$89="","",IF(Config!$F$40&lt;&gt;"Não",SUMIFS(BD!$E$3:$E$5001,BD!$B$3:$B$5001,G$89,BD!$A$3:$A$5001,"&gt;="&amp;$C$7,BD!$A$3:$A$5001,"&lt;="&amp;$D$7),"—"))</f>
        <v/>
      </c>
      <c r="H92" s="61" t="str">
        <f>IF(H$89="","",IF(Config!$F$41&lt;&gt;"Não",SUMIFS(BD!$E$3:$E$5001,BD!$B$3:$B$5001,H$89,BD!$A$3:$A$5001,"&gt;="&amp;$C$7,BD!$A$3:$A$5001,"&lt;="&amp;$D$7),"—"))</f>
        <v/>
      </c>
      <c r="I92" s="61" t="str">
        <f>IF(I$89="","",IF(Config!$F$42&lt;&gt;"Não",SUMIFS(BD!$E$3:$E$5001,BD!$B$3:$B$5001,I$89,BD!$A$3:$A$5001,"&gt;="&amp;$C$7,BD!$A$3:$A$5001,"&lt;="&amp;$D$7),"—"))</f>
        <v/>
      </c>
      <c r="J92" s="61" t="str">
        <f>IF(J$89="","",IF(Config!$F$43&lt;&gt;"Não",SUMIFS(BD!$E$3:$E$5001,BD!$B$3:$B$5001,J$89,BD!$A$3:$A$5001,"&gt;="&amp;$C$7,BD!$A$3:$A$5001,"&lt;="&amp;$D$7),"—"))</f>
        <v/>
      </c>
      <c r="K92" s="61" t="str">
        <f>IF(K$89="","",IF(Config!$F$44&lt;&gt;"Não",SUMIFS(BD!$E$3:$E$5001,BD!$B$3:$B$5001,K$89,BD!$A$3:$A$5001,"&gt;="&amp;$C$7,BD!$A$3:$A$5001,"&lt;="&amp;$D$7),"—"))</f>
        <v/>
      </c>
      <c r="L92" s="61" t="str">
        <f>IF(L$89="","",IF(Config!$F$45&lt;&gt;"Não",SUMIFS(BD!$E$3:$E$5001,BD!$B$3:$B$5001,L$89,BD!$A$3:$A$5001,"&gt;="&amp;$C$7,BD!$A$3:$A$5001,"&lt;="&amp;$D$7),"—"))</f>
        <v/>
      </c>
      <c r="M92" s="61" t="str">
        <f>IF(M$89="","",IF(Config!$F$46&lt;&gt;"Não",SUMIFS(BD!$E$3:$E$5001,BD!$B$3:$B$5001,M$89,BD!$A$3:$A$5001,"&gt;="&amp;$C$7,BD!$A$3:$A$5001,"&lt;="&amp;$D$7),"—"))</f>
        <v/>
      </c>
      <c r="N92" s="61" t="str">
        <f>IF(N$89="","",IF(Config!$F$47&lt;&gt;"Não",SUMIFS(BD!$E$3:$E$5001,BD!$B$3:$B$5001,N$89,BD!$A$3:$A$5001,"&gt;="&amp;$C$7,BD!$A$3:$A$5001,"&lt;="&amp;$D$7),"—"))</f>
        <v/>
      </c>
      <c r="O92" s="61" t="str">
        <f>IF(O$89="","",IF(Config!$F$48&lt;&gt;"Não",SUMIFS(BD!$E$3:$E$5001,BD!$B$3:$B$5001,O$89,BD!$A$3:$A$5001,"&gt;="&amp;$C$7,BD!$A$3:$A$5001,"&lt;="&amp;$D$7),"—"))</f>
        <v/>
      </c>
      <c r="P92" s="61" t="str">
        <f>IF(P$89="","",IF(Config!$F$49&lt;&gt;"Não",SUMIFS(BD!$E$3:$E$5001,BD!$B$3:$B$5001,P$89,BD!$A$3:$A$5001,"&gt;="&amp;$C$7,BD!$A$3:$A$5001,"&lt;="&amp;$D$7),"—"))</f>
        <v/>
      </c>
      <c r="Q92" s="61" t="str">
        <f>IF(Q$89="","",IF(Config!$F$50&lt;&gt;"Não",SUMIFS(BD!$E$3:$E$5001,BD!$B$3:$B$5001,Q$89,BD!$A$3:$A$5001,"&gt;="&amp;$C$7,BD!$A$3:$A$5001,"&lt;="&amp;$D$7),"—"))</f>
        <v/>
      </c>
      <c r="R92" s="61" t="str">
        <f>IF(R$89="","",IF(Config!$F$51&lt;&gt;"Não",SUMIFS(BD!$E$3:$E$5001,BD!$B$3:$B$5001,R$89,BD!$A$3:$A$5001,"&gt;="&amp;$C$7,BD!$A$3:$A$5001,"&lt;="&amp;$D$7),"—"))</f>
        <v/>
      </c>
      <c r="S92" s="61" t="str">
        <f>IF(S$89="","",IF(Config!$F$52&lt;&gt;"Não",SUMIFS(BD!$E$3:$E$5001,BD!$B$3:$B$5001,S$89,BD!$A$3:$A$5001,"&gt;="&amp;$C$7,BD!$A$3:$A$5001,"&lt;="&amp;$D$7),"—"))</f>
        <v/>
      </c>
      <c r="T92" s="61" t="str">
        <f>IF(T$89="","",IF(Config!$F$53&lt;&gt;"Não",SUMIFS(BD!$E$3:$E$5001,BD!$B$3:$B$5001,T$89,BD!$A$3:$A$5001,"&gt;="&amp;$C$7,BD!$A$3:$A$5001,"&lt;="&amp;$D$7),"—"))</f>
        <v/>
      </c>
      <c r="U92" s="61" t="str">
        <f>IF(U$89="","",IF(Config!$F$54&lt;&gt;"Não",SUMIFS(BD!$E$3:$E$5001,BD!$B$3:$B$5001,U$89,BD!$A$3:$A$5001,"&gt;="&amp;$C$7,BD!$A$3:$A$5001,"&lt;="&amp;$D$7),"—"))</f>
        <v/>
      </c>
      <c r="V92" s="63">
        <f>SUM(B92:U92)</f>
        <v>0</v>
      </c>
    </row>
    <row r="93">
      <c r="A93" s="29" t="inlineStr">
        <is>
          <t xml:space="preserve">OUT · Veículos Expedidos</t>
        </is>
      </c>
      <c r="B93" s="32">
        <f>IF(B$89="","",IF(Config!$G$35&lt;&gt;"Não",SUMIFS(BD!$F$3:$F$5001,BD!$B$3:$B$5001,B$89,BD!$A$3:$A$5001,"&gt;="&amp;$C$7,BD!$A$3:$A$5001,"&lt;="&amp;$D$7),"—"))</f>
        <v>0</v>
      </c>
      <c r="C93" s="32">
        <f>IF(C$89="","",IF(Config!$G$36&lt;&gt;"Não",SUMIFS(BD!$F$3:$F$5001,BD!$B$3:$B$5001,C$89,BD!$A$3:$A$5001,"&gt;="&amp;$C$7,BD!$A$3:$A$5001,"&lt;="&amp;$D$7),"—"))</f>
        <v>0</v>
      </c>
      <c r="D93" s="32">
        <f>IF(D$89="","",IF(Config!$G$37&lt;&gt;"Não",SUMIFS(BD!$F$3:$F$5001,BD!$B$3:$B$5001,D$89,BD!$A$3:$A$5001,"&gt;="&amp;$C$7,BD!$A$3:$A$5001,"&lt;="&amp;$D$7),"—"))</f>
        <v>0</v>
      </c>
      <c r="E93" s="32">
        <f>IF(E$89="","",IF(Config!$G$38&lt;&gt;"Não",SUMIFS(BD!$F$3:$F$5001,BD!$B$3:$B$5001,E$89,BD!$A$3:$A$5001,"&gt;="&amp;$C$7,BD!$A$3:$A$5001,"&lt;="&amp;$D$7),"—"))</f>
        <v>0</v>
      </c>
      <c r="F93" s="32">
        <f>IF(F$89="","",IF(Config!$G$39&lt;&gt;"Não",SUMIFS(BD!$F$3:$F$5001,BD!$B$3:$B$5001,F$89,BD!$A$3:$A$5001,"&gt;="&amp;$C$7,BD!$A$3:$A$5001,"&lt;="&amp;$D$7),"—"))</f>
        <v>0</v>
      </c>
      <c r="G93" s="32" t="str">
        <f>IF(G$89="","",IF(Config!$G$40&lt;&gt;"Não",SUMIFS(BD!$F$3:$F$5001,BD!$B$3:$B$5001,G$89,BD!$A$3:$A$5001,"&gt;="&amp;$C$7,BD!$A$3:$A$5001,"&lt;="&amp;$D$7),"—"))</f>
        <v/>
      </c>
      <c r="H93" s="32" t="str">
        <f>IF(H$89="","",IF(Config!$G$41&lt;&gt;"Não",SUMIFS(BD!$F$3:$F$5001,BD!$B$3:$B$5001,H$89,BD!$A$3:$A$5001,"&gt;="&amp;$C$7,BD!$A$3:$A$5001,"&lt;="&amp;$D$7),"—"))</f>
        <v/>
      </c>
      <c r="I93" s="32" t="str">
        <f>IF(I$89="","",IF(Config!$G$42&lt;&gt;"Não",SUMIFS(BD!$F$3:$F$5001,BD!$B$3:$B$5001,I$89,BD!$A$3:$A$5001,"&gt;="&amp;$C$7,BD!$A$3:$A$5001,"&lt;="&amp;$D$7),"—"))</f>
        <v/>
      </c>
      <c r="J93" s="32" t="str">
        <f>IF(J$89="","",IF(Config!$G$43&lt;&gt;"Não",SUMIFS(BD!$F$3:$F$5001,BD!$B$3:$B$5001,J$89,BD!$A$3:$A$5001,"&gt;="&amp;$C$7,BD!$A$3:$A$5001,"&lt;="&amp;$D$7),"—"))</f>
        <v/>
      </c>
      <c r="K93" s="32" t="str">
        <f>IF(K$89="","",IF(Config!$G$44&lt;&gt;"Não",SUMIFS(BD!$F$3:$F$5001,BD!$B$3:$B$5001,K$89,BD!$A$3:$A$5001,"&gt;="&amp;$C$7,BD!$A$3:$A$5001,"&lt;="&amp;$D$7),"—"))</f>
        <v/>
      </c>
      <c r="L93" s="32" t="str">
        <f>IF(L$89="","",IF(Config!$G$45&lt;&gt;"Não",SUMIFS(BD!$F$3:$F$5001,BD!$B$3:$B$5001,L$89,BD!$A$3:$A$5001,"&gt;="&amp;$C$7,BD!$A$3:$A$5001,"&lt;="&amp;$D$7),"—"))</f>
        <v/>
      </c>
      <c r="M93" s="32" t="str">
        <f>IF(M$89="","",IF(Config!$G$46&lt;&gt;"Não",SUMIFS(BD!$F$3:$F$5001,BD!$B$3:$B$5001,M$89,BD!$A$3:$A$5001,"&gt;="&amp;$C$7,BD!$A$3:$A$5001,"&lt;="&amp;$D$7),"—"))</f>
        <v/>
      </c>
      <c r="N93" s="32" t="str">
        <f>IF(N$89="","",IF(Config!$G$47&lt;&gt;"Não",SUMIFS(BD!$F$3:$F$5001,BD!$B$3:$B$5001,N$89,BD!$A$3:$A$5001,"&gt;="&amp;$C$7,BD!$A$3:$A$5001,"&lt;="&amp;$D$7),"—"))</f>
        <v/>
      </c>
      <c r="O93" s="32" t="str">
        <f>IF(O$89="","",IF(Config!$G$48&lt;&gt;"Não",SUMIFS(BD!$F$3:$F$5001,BD!$B$3:$B$5001,O$89,BD!$A$3:$A$5001,"&gt;="&amp;$C$7,BD!$A$3:$A$5001,"&lt;="&amp;$D$7),"—"))</f>
        <v/>
      </c>
      <c r="P93" s="32" t="str">
        <f>IF(P$89="","",IF(Config!$G$49&lt;&gt;"Não",SUMIFS(BD!$F$3:$F$5001,BD!$B$3:$B$5001,P$89,BD!$A$3:$A$5001,"&gt;="&amp;$C$7,BD!$A$3:$A$5001,"&lt;="&amp;$D$7),"—"))</f>
        <v/>
      </c>
      <c r="Q93" s="32" t="str">
        <f>IF(Q$89="","",IF(Config!$G$50&lt;&gt;"Não",SUMIFS(BD!$F$3:$F$5001,BD!$B$3:$B$5001,Q$89,BD!$A$3:$A$5001,"&gt;="&amp;$C$7,BD!$A$3:$A$5001,"&lt;="&amp;$D$7),"—"))</f>
        <v/>
      </c>
      <c r="R93" s="32" t="str">
        <f>IF(R$89="","",IF(Config!$G$51&lt;&gt;"Não",SUMIFS(BD!$F$3:$F$5001,BD!$B$3:$B$5001,R$89,BD!$A$3:$A$5001,"&gt;="&amp;$C$7,BD!$A$3:$A$5001,"&lt;="&amp;$D$7),"—"))</f>
        <v/>
      </c>
      <c r="S93" s="32" t="str">
        <f>IF(S$89="","",IF(Config!$G$52&lt;&gt;"Não",SUMIFS(BD!$F$3:$F$5001,BD!$B$3:$B$5001,S$89,BD!$A$3:$A$5001,"&gt;="&amp;$C$7,BD!$A$3:$A$5001,"&lt;="&amp;$D$7),"—"))</f>
        <v/>
      </c>
      <c r="T93" s="32" t="str">
        <f>IF(T$89="","",IF(Config!$G$53&lt;&gt;"Não",SUMIFS(BD!$F$3:$F$5001,BD!$B$3:$B$5001,T$89,BD!$A$3:$A$5001,"&gt;="&amp;$C$7,BD!$A$3:$A$5001,"&lt;="&amp;$D$7),"—"))</f>
        <v/>
      </c>
      <c r="U93" s="32" t="str">
        <f>IF(U$89="","",IF(Config!$G$54&lt;&gt;"Não",SUMIFS(BD!$F$3:$F$5001,BD!$B$3:$B$5001,U$89,BD!$A$3:$A$5001,"&gt;="&amp;$C$7,BD!$A$3:$A$5001,"&lt;="&amp;$D$7),"—"))</f>
        <v/>
      </c>
      <c r="V93" s="62">
        <f>SUM(B93:U93)</f>
        <v>0</v>
      </c>
    </row>
    <row r="94">
      <c r="A94" s="29" t="inlineStr">
        <is>
          <t xml:space="preserve">OUT · Pallets Movimentados</t>
        </is>
      </c>
      <c r="B94" s="32">
        <f>IF(B$89="","",IF(Config!$H$35&lt;&gt;"Não",SUMIFS(BD!$G$3:$G$5001,BD!$B$3:$B$5001,B$89,BD!$A$3:$A$5001,"&gt;="&amp;$C$7,BD!$A$3:$A$5001,"&lt;="&amp;$D$7),"—"))</f>
        <v>0</v>
      </c>
      <c r="C94" s="32">
        <f>IF(C$89="","",IF(Config!$H$36&lt;&gt;"Não",SUMIFS(BD!$G$3:$G$5001,BD!$B$3:$B$5001,C$89,BD!$A$3:$A$5001,"&gt;="&amp;$C$7,BD!$A$3:$A$5001,"&lt;="&amp;$D$7),"—"))</f>
        <v>0</v>
      </c>
      <c r="D94" s="32">
        <f>IF(D$89="","",IF(Config!$H$37&lt;&gt;"Não",SUMIFS(BD!$G$3:$G$5001,BD!$B$3:$B$5001,D$89,BD!$A$3:$A$5001,"&gt;="&amp;$C$7,BD!$A$3:$A$5001,"&lt;="&amp;$D$7),"—"))</f>
        <v>0</v>
      </c>
      <c r="E94" s="32">
        <f>IF(E$89="","",IF(Config!$H$38&lt;&gt;"Não",SUMIFS(BD!$G$3:$G$5001,BD!$B$3:$B$5001,E$89,BD!$A$3:$A$5001,"&gt;="&amp;$C$7,BD!$A$3:$A$5001,"&lt;="&amp;$D$7),"—"))</f>
        <v>0</v>
      </c>
      <c r="F94" s="32">
        <f>IF(F$89="","",IF(Config!$H$39&lt;&gt;"Não",SUMIFS(BD!$G$3:$G$5001,BD!$B$3:$B$5001,F$89,BD!$A$3:$A$5001,"&gt;="&amp;$C$7,BD!$A$3:$A$5001,"&lt;="&amp;$D$7),"—"))</f>
        <v>0</v>
      </c>
      <c r="G94" s="32" t="str">
        <f>IF(G$89="","",IF(Config!$H$40&lt;&gt;"Não",SUMIFS(BD!$G$3:$G$5001,BD!$B$3:$B$5001,G$89,BD!$A$3:$A$5001,"&gt;="&amp;$C$7,BD!$A$3:$A$5001,"&lt;="&amp;$D$7),"—"))</f>
        <v/>
      </c>
      <c r="H94" s="32" t="str">
        <f>IF(H$89="","",IF(Config!$H$41&lt;&gt;"Não",SUMIFS(BD!$G$3:$G$5001,BD!$B$3:$B$5001,H$89,BD!$A$3:$A$5001,"&gt;="&amp;$C$7,BD!$A$3:$A$5001,"&lt;="&amp;$D$7),"—"))</f>
        <v/>
      </c>
      <c r="I94" s="32" t="str">
        <f>IF(I$89="","",IF(Config!$H$42&lt;&gt;"Não",SUMIFS(BD!$G$3:$G$5001,BD!$B$3:$B$5001,I$89,BD!$A$3:$A$5001,"&gt;="&amp;$C$7,BD!$A$3:$A$5001,"&lt;="&amp;$D$7),"—"))</f>
        <v/>
      </c>
      <c r="J94" s="32" t="str">
        <f>IF(J$89="","",IF(Config!$H$43&lt;&gt;"Não",SUMIFS(BD!$G$3:$G$5001,BD!$B$3:$B$5001,J$89,BD!$A$3:$A$5001,"&gt;="&amp;$C$7,BD!$A$3:$A$5001,"&lt;="&amp;$D$7),"—"))</f>
        <v/>
      </c>
      <c r="K94" s="32" t="str">
        <f>IF(K$89="","",IF(Config!$H$44&lt;&gt;"Não",SUMIFS(BD!$G$3:$G$5001,BD!$B$3:$B$5001,K$89,BD!$A$3:$A$5001,"&gt;="&amp;$C$7,BD!$A$3:$A$5001,"&lt;="&amp;$D$7),"—"))</f>
        <v/>
      </c>
      <c r="L94" s="32" t="str">
        <f>IF(L$89="","",IF(Config!$H$45&lt;&gt;"Não",SUMIFS(BD!$G$3:$G$5001,BD!$B$3:$B$5001,L$89,BD!$A$3:$A$5001,"&gt;="&amp;$C$7,BD!$A$3:$A$5001,"&lt;="&amp;$D$7),"—"))</f>
        <v/>
      </c>
      <c r="M94" s="32" t="str">
        <f>IF(M$89="","",IF(Config!$H$46&lt;&gt;"Não",SUMIFS(BD!$G$3:$G$5001,BD!$B$3:$B$5001,M$89,BD!$A$3:$A$5001,"&gt;="&amp;$C$7,BD!$A$3:$A$5001,"&lt;="&amp;$D$7),"—"))</f>
        <v/>
      </c>
      <c r="N94" s="32" t="str">
        <f>IF(N$89="","",IF(Config!$H$47&lt;&gt;"Não",SUMIFS(BD!$G$3:$G$5001,BD!$B$3:$B$5001,N$89,BD!$A$3:$A$5001,"&gt;="&amp;$C$7,BD!$A$3:$A$5001,"&lt;="&amp;$D$7),"—"))</f>
        <v/>
      </c>
      <c r="O94" s="32" t="str">
        <f>IF(O$89="","",IF(Config!$H$48&lt;&gt;"Não",SUMIFS(BD!$G$3:$G$5001,BD!$B$3:$B$5001,O$89,BD!$A$3:$A$5001,"&gt;="&amp;$C$7,BD!$A$3:$A$5001,"&lt;="&amp;$D$7),"—"))</f>
        <v/>
      </c>
      <c r="P94" s="32" t="str">
        <f>IF(P$89="","",IF(Config!$H$49&lt;&gt;"Não",SUMIFS(BD!$G$3:$G$5001,BD!$B$3:$B$5001,P$89,BD!$A$3:$A$5001,"&gt;="&amp;$C$7,BD!$A$3:$A$5001,"&lt;="&amp;$D$7),"—"))</f>
        <v/>
      </c>
      <c r="Q94" s="32" t="str">
        <f>IF(Q$89="","",IF(Config!$H$50&lt;&gt;"Não",SUMIFS(BD!$G$3:$G$5001,BD!$B$3:$B$5001,Q$89,BD!$A$3:$A$5001,"&gt;="&amp;$C$7,BD!$A$3:$A$5001,"&lt;="&amp;$D$7),"—"))</f>
        <v/>
      </c>
      <c r="R94" s="32" t="str">
        <f>IF(R$89="","",IF(Config!$H$51&lt;&gt;"Não",SUMIFS(BD!$G$3:$G$5001,BD!$B$3:$B$5001,R$89,BD!$A$3:$A$5001,"&gt;="&amp;$C$7,BD!$A$3:$A$5001,"&lt;="&amp;$D$7),"—"))</f>
        <v/>
      </c>
      <c r="S94" s="32" t="str">
        <f>IF(S$89="","",IF(Config!$H$52&lt;&gt;"Não",SUMIFS(BD!$G$3:$G$5001,BD!$B$3:$B$5001,S$89,BD!$A$3:$A$5001,"&gt;="&amp;$C$7,BD!$A$3:$A$5001,"&lt;="&amp;$D$7),"—"))</f>
        <v/>
      </c>
      <c r="T94" s="32" t="str">
        <f>IF(T$89="","",IF(Config!$H$53&lt;&gt;"Não",SUMIFS(BD!$G$3:$G$5001,BD!$B$3:$B$5001,T$89,BD!$A$3:$A$5001,"&gt;="&amp;$C$7,BD!$A$3:$A$5001,"&lt;="&amp;$D$7),"—"))</f>
        <v/>
      </c>
      <c r="U94" s="32" t="str">
        <f>IF(U$89="","",IF(Config!$H$54&lt;&gt;"Não",SUMIFS(BD!$G$3:$G$5001,BD!$B$3:$B$5001,U$89,BD!$A$3:$A$5001,"&gt;="&amp;$C$7,BD!$A$3:$A$5001,"&lt;="&amp;$D$7),"—"))</f>
        <v/>
      </c>
      <c r="V94" s="62">
        <f>SUM(B94:U94)</f>
        <v>0</v>
      </c>
    </row>
    <row r="95">
      <c r="A95" s="29" t="inlineStr">
        <is>
          <t xml:space="preserve">OUT · Toneladas Movimentadas</t>
        </is>
      </c>
      <c r="B95" s="61">
        <f>IF(B$89="","",IF(Config!$I$35&lt;&gt;"Não",SUMIFS(BD!$H$3:$H$5001,BD!$B$3:$B$5001,B$89,BD!$A$3:$A$5001,"&gt;="&amp;$C$7,BD!$A$3:$A$5001,"&lt;="&amp;$D$7),"—"))</f>
        <v>0</v>
      </c>
      <c r="C95" s="61">
        <f>IF(C$89="","",IF(Config!$I$36&lt;&gt;"Não",SUMIFS(BD!$H$3:$H$5001,BD!$B$3:$B$5001,C$89,BD!$A$3:$A$5001,"&gt;="&amp;$C$7,BD!$A$3:$A$5001,"&lt;="&amp;$D$7),"—"))</f>
        <v>0</v>
      </c>
      <c r="D95" s="61">
        <f>IF(D$89="","",IF(Config!$I$37&lt;&gt;"Não",SUMIFS(BD!$H$3:$H$5001,BD!$B$3:$B$5001,D$89,BD!$A$3:$A$5001,"&gt;="&amp;$C$7,BD!$A$3:$A$5001,"&lt;="&amp;$D$7),"—"))</f>
        <v>0</v>
      </c>
      <c r="E95" s="61">
        <f>IF(E$89="","",IF(Config!$I$38&lt;&gt;"Não",SUMIFS(BD!$H$3:$H$5001,BD!$B$3:$B$5001,E$89,BD!$A$3:$A$5001,"&gt;="&amp;$C$7,BD!$A$3:$A$5001,"&lt;="&amp;$D$7),"—"))</f>
        <v>0</v>
      </c>
      <c r="F95" s="61">
        <f>IF(F$89="","",IF(Config!$I$39&lt;&gt;"Não",SUMIFS(BD!$H$3:$H$5001,BD!$B$3:$B$5001,F$89,BD!$A$3:$A$5001,"&gt;="&amp;$C$7,BD!$A$3:$A$5001,"&lt;="&amp;$D$7),"—"))</f>
        <v>0</v>
      </c>
      <c r="G95" s="61" t="str">
        <f>IF(G$89="","",IF(Config!$I$40&lt;&gt;"Não",SUMIFS(BD!$H$3:$H$5001,BD!$B$3:$B$5001,G$89,BD!$A$3:$A$5001,"&gt;="&amp;$C$7,BD!$A$3:$A$5001,"&lt;="&amp;$D$7),"—"))</f>
        <v/>
      </c>
      <c r="H95" s="61" t="str">
        <f>IF(H$89="","",IF(Config!$I$41&lt;&gt;"Não",SUMIFS(BD!$H$3:$H$5001,BD!$B$3:$B$5001,H$89,BD!$A$3:$A$5001,"&gt;="&amp;$C$7,BD!$A$3:$A$5001,"&lt;="&amp;$D$7),"—"))</f>
        <v/>
      </c>
      <c r="I95" s="61" t="str">
        <f>IF(I$89="","",IF(Config!$I$42&lt;&gt;"Não",SUMIFS(BD!$H$3:$H$5001,BD!$B$3:$B$5001,I$89,BD!$A$3:$A$5001,"&gt;="&amp;$C$7,BD!$A$3:$A$5001,"&lt;="&amp;$D$7),"—"))</f>
        <v/>
      </c>
      <c r="J95" s="61" t="str">
        <f>IF(J$89="","",IF(Config!$I$43&lt;&gt;"Não",SUMIFS(BD!$H$3:$H$5001,BD!$B$3:$B$5001,J$89,BD!$A$3:$A$5001,"&gt;="&amp;$C$7,BD!$A$3:$A$5001,"&lt;="&amp;$D$7),"—"))</f>
        <v/>
      </c>
      <c r="K95" s="61" t="str">
        <f>IF(K$89="","",IF(Config!$I$44&lt;&gt;"Não",SUMIFS(BD!$H$3:$H$5001,BD!$B$3:$B$5001,K$89,BD!$A$3:$A$5001,"&gt;="&amp;$C$7,BD!$A$3:$A$5001,"&lt;="&amp;$D$7),"—"))</f>
        <v/>
      </c>
      <c r="L95" s="61" t="str">
        <f>IF(L$89="","",IF(Config!$I$45&lt;&gt;"Não",SUMIFS(BD!$H$3:$H$5001,BD!$B$3:$B$5001,L$89,BD!$A$3:$A$5001,"&gt;="&amp;$C$7,BD!$A$3:$A$5001,"&lt;="&amp;$D$7),"—"))</f>
        <v/>
      </c>
      <c r="M95" s="61" t="str">
        <f>IF(M$89="","",IF(Config!$I$46&lt;&gt;"Não",SUMIFS(BD!$H$3:$H$5001,BD!$B$3:$B$5001,M$89,BD!$A$3:$A$5001,"&gt;="&amp;$C$7,BD!$A$3:$A$5001,"&lt;="&amp;$D$7),"—"))</f>
        <v/>
      </c>
      <c r="N95" s="61" t="str">
        <f>IF(N$89="","",IF(Config!$I$47&lt;&gt;"Não",SUMIFS(BD!$H$3:$H$5001,BD!$B$3:$B$5001,N$89,BD!$A$3:$A$5001,"&gt;="&amp;$C$7,BD!$A$3:$A$5001,"&lt;="&amp;$D$7),"—"))</f>
        <v/>
      </c>
      <c r="O95" s="61" t="str">
        <f>IF(O$89="","",IF(Config!$I$48&lt;&gt;"Não",SUMIFS(BD!$H$3:$H$5001,BD!$B$3:$B$5001,O$89,BD!$A$3:$A$5001,"&gt;="&amp;$C$7,BD!$A$3:$A$5001,"&lt;="&amp;$D$7),"—"))</f>
        <v/>
      </c>
      <c r="P95" s="61" t="str">
        <f>IF(P$89="","",IF(Config!$I$49&lt;&gt;"Não",SUMIFS(BD!$H$3:$H$5001,BD!$B$3:$B$5001,P$89,BD!$A$3:$A$5001,"&gt;="&amp;$C$7,BD!$A$3:$A$5001,"&lt;="&amp;$D$7),"—"))</f>
        <v/>
      </c>
      <c r="Q95" s="61" t="str">
        <f>IF(Q$89="","",IF(Config!$I$50&lt;&gt;"Não",SUMIFS(BD!$H$3:$H$5001,BD!$B$3:$B$5001,Q$89,BD!$A$3:$A$5001,"&gt;="&amp;$C$7,BD!$A$3:$A$5001,"&lt;="&amp;$D$7),"—"))</f>
        <v/>
      </c>
      <c r="R95" s="61" t="str">
        <f>IF(R$89="","",IF(Config!$I$51&lt;&gt;"Não",SUMIFS(BD!$H$3:$H$5001,BD!$B$3:$B$5001,R$89,BD!$A$3:$A$5001,"&gt;="&amp;$C$7,BD!$A$3:$A$5001,"&lt;="&amp;$D$7),"—"))</f>
        <v/>
      </c>
      <c r="S95" s="61" t="str">
        <f>IF(S$89="","",IF(Config!$I$52&lt;&gt;"Não",SUMIFS(BD!$H$3:$H$5001,BD!$B$3:$B$5001,S$89,BD!$A$3:$A$5001,"&gt;="&amp;$C$7,BD!$A$3:$A$5001,"&lt;="&amp;$D$7),"—"))</f>
        <v/>
      </c>
      <c r="T95" s="61" t="str">
        <f>IF(T$89="","",IF(Config!$I$53&lt;&gt;"Não",SUMIFS(BD!$H$3:$H$5001,BD!$B$3:$B$5001,T$89,BD!$A$3:$A$5001,"&gt;="&amp;$C$7,BD!$A$3:$A$5001,"&lt;="&amp;$D$7),"—"))</f>
        <v/>
      </c>
      <c r="U95" s="61" t="str">
        <f>IF(U$89="","",IF(Config!$I$54&lt;&gt;"Não",SUMIFS(BD!$H$3:$H$5001,BD!$B$3:$B$5001,U$89,BD!$A$3:$A$5001,"&gt;="&amp;$C$7,BD!$A$3:$A$5001,"&lt;="&amp;$D$7),"—"))</f>
        <v/>
      </c>
      <c r="V95" s="63">
        <f>SUM(B95:U95)</f>
        <v>0</v>
      </c>
    </row>
    <row r="96">
      <c r="A96" s="29" t="inlineStr">
        <is>
          <t xml:space="preserve">NC · Incidentes</t>
        </is>
      </c>
      <c r="B96" s="32">
        <f>IF(B$89="","",IF(Config!$J$35&lt;&gt;"Não",SUMIFS(BD!$I$3:$I$5001,BD!$B$3:$B$5001,B$89,BD!$A$3:$A$5001,"&gt;="&amp;$C$7,BD!$A$3:$A$5001,"&lt;="&amp;$D$7),"—"))</f>
        <v>0</v>
      </c>
      <c r="C96" s="32">
        <f>IF(C$89="","",IF(Config!$J$36&lt;&gt;"Não",SUMIFS(BD!$I$3:$I$5001,BD!$B$3:$B$5001,C$89,BD!$A$3:$A$5001,"&gt;="&amp;$C$7,BD!$A$3:$A$5001,"&lt;="&amp;$D$7),"—"))</f>
        <v>0</v>
      </c>
      <c r="D96" s="32">
        <f>IF(D$89="","",IF(Config!$J$37&lt;&gt;"Não",SUMIFS(BD!$I$3:$I$5001,BD!$B$3:$B$5001,D$89,BD!$A$3:$A$5001,"&gt;="&amp;$C$7,BD!$A$3:$A$5001,"&lt;="&amp;$D$7),"—"))</f>
        <v>0</v>
      </c>
      <c r="E96" s="32">
        <f>IF(E$89="","",IF(Config!$J$38&lt;&gt;"Não",SUMIFS(BD!$I$3:$I$5001,BD!$B$3:$B$5001,E$89,BD!$A$3:$A$5001,"&gt;="&amp;$C$7,BD!$A$3:$A$5001,"&lt;="&amp;$D$7),"—"))</f>
        <v>0</v>
      </c>
      <c r="F96" s="32">
        <f>IF(F$89="","",IF(Config!$J$39&lt;&gt;"Não",SUMIFS(BD!$I$3:$I$5001,BD!$B$3:$B$5001,F$89,BD!$A$3:$A$5001,"&gt;="&amp;$C$7,BD!$A$3:$A$5001,"&lt;="&amp;$D$7),"—"))</f>
        <v>0</v>
      </c>
      <c r="G96" s="32" t="str">
        <f>IF(G$89="","",IF(Config!$J$40&lt;&gt;"Não",SUMIFS(BD!$I$3:$I$5001,BD!$B$3:$B$5001,G$89,BD!$A$3:$A$5001,"&gt;="&amp;$C$7,BD!$A$3:$A$5001,"&lt;="&amp;$D$7),"—"))</f>
        <v/>
      </c>
      <c r="H96" s="32" t="str">
        <f>IF(H$89="","",IF(Config!$J$41&lt;&gt;"Não",SUMIFS(BD!$I$3:$I$5001,BD!$B$3:$B$5001,H$89,BD!$A$3:$A$5001,"&gt;="&amp;$C$7,BD!$A$3:$A$5001,"&lt;="&amp;$D$7),"—"))</f>
        <v/>
      </c>
      <c r="I96" s="32" t="str">
        <f>IF(I$89="","",IF(Config!$J$42&lt;&gt;"Não",SUMIFS(BD!$I$3:$I$5001,BD!$B$3:$B$5001,I$89,BD!$A$3:$A$5001,"&gt;="&amp;$C$7,BD!$A$3:$A$5001,"&lt;="&amp;$D$7),"—"))</f>
        <v/>
      </c>
      <c r="J96" s="32" t="str">
        <f>IF(J$89="","",IF(Config!$J$43&lt;&gt;"Não",SUMIFS(BD!$I$3:$I$5001,BD!$B$3:$B$5001,J$89,BD!$A$3:$A$5001,"&gt;="&amp;$C$7,BD!$A$3:$A$5001,"&lt;="&amp;$D$7),"—"))</f>
        <v/>
      </c>
      <c r="K96" s="32" t="str">
        <f>IF(K$89="","",IF(Config!$J$44&lt;&gt;"Não",SUMIFS(BD!$I$3:$I$5001,BD!$B$3:$B$5001,K$89,BD!$A$3:$A$5001,"&gt;="&amp;$C$7,BD!$A$3:$A$5001,"&lt;="&amp;$D$7),"—"))</f>
        <v/>
      </c>
      <c r="L96" s="32" t="str">
        <f>IF(L$89="","",IF(Config!$J$45&lt;&gt;"Não",SUMIFS(BD!$I$3:$I$5001,BD!$B$3:$B$5001,L$89,BD!$A$3:$A$5001,"&gt;="&amp;$C$7,BD!$A$3:$A$5001,"&lt;="&amp;$D$7),"—"))</f>
        <v/>
      </c>
      <c r="M96" s="32" t="str">
        <f>IF(M$89="","",IF(Config!$J$46&lt;&gt;"Não",SUMIFS(BD!$I$3:$I$5001,BD!$B$3:$B$5001,M$89,BD!$A$3:$A$5001,"&gt;="&amp;$C$7,BD!$A$3:$A$5001,"&lt;="&amp;$D$7),"—"))</f>
        <v/>
      </c>
      <c r="N96" s="32" t="str">
        <f>IF(N$89="","",IF(Config!$J$47&lt;&gt;"Não",SUMIFS(BD!$I$3:$I$5001,BD!$B$3:$B$5001,N$89,BD!$A$3:$A$5001,"&gt;="&amp;$C$7,BD!$A$3:$A$5001,"&lt;="&amp;$D$7),"—"))</f>
        <v/>
      </c>
      <c r="O96" s="32" t="str">
        <f>IF(O$89="","",IF(Config!$J$48&lt;&gt;"Não",SUMIFS(BD!$I$3:$I$5001,BD!$B$3:$B$5001,O$89,BD!$A$3:$A$5001,"&gt;="&amp;$C$7,BD!$A$3:$A$5001,"&lt;="&amp;$D$7),"—"))</f>
        <v/>
      </c>
      <c r="P96" s="32" t="str">
        <f>IF(P$89="","",IF(Config!$J$49&lt;&gt;"Não",SUMIFS(BD!$I$3:$I$5001,BD!$B$3:$B$5001,P$89,BD!$A$3:$A$5001,"&gt;="&amp;$C$7,BD!$A$3:$A$5001,"&lt;="&amp;$D$7),"—"))</f>
        <v/>
      </c>
      <c r="Q96" s="32" t="str">
        <f>IF(Q$89="","",IF(Config!$J$50&lt;&gt;"Não",SUMIFS(BD!$I$3:$I$5001,BD!$B$3:$B$5001,Q$89,BD!$A$3:$A$5001,"&gt;="&amp;$C$7,BD!$A$3:$A$5001,"&lt;="&amp;$D$7),"—"))</f>
        <v/>
      </c>
      <c r="R96" s="32" t="str">
        <f>IF(R$89="","",IF(Config!$J$51&lt;&gt;"Não",SUMIFS(BD!$I$3:$I$5001,BD!$B$3:$B$5001,R$89,BD!$A$3:$A$5001,"&gt;="&amp;$C$7,BD!$A$3:$A$5001,"&lt;="&amp;$D$7),"—"))</f>
        <v/>
      </c>
      <c r="S96" s="32" t="str">
        <f>IF(S$89="","",IF(Config!$J$52&lt;&gt;"Não",SUMIFS(BD!$I$3:$I$5001,BD!$B$3:$B$5001,S$89,BD!$A$3:$A$5001,"&gt;="&amp;$C$7,BD!$A$3:$A$5001,"&lt;="&amp;$D$7),"—"))</f>
        <v/>
      </c>
      <c r="T96" s="32" t="str">
        <f>IF(T$89="","",IF(Config!$J$53&lt;&gt;"Não",SUMIFS(BD!$I$3:$I$5001,BD!$B$3:$B$5001,T$89,BD!$A$3:$A$5001,"&gt;="&amp;$C$7,BD!$A$3:$A$5001,"&lt;="&amp;$D$7),"—"))</f>
        <v/>
      </c>
      <c r="U96" s="32" t="str">
        <f>IF(U$89="","",IF(Config!$J$54&lt;&gt;"Não",SUMIFS(BD!$I$3:$I$5001,BD!$B$3:$B$5001,U$89,BD!$A$3:$A$5001,"&gt;="&amp;$C$7,BD!$A$3:$A$5001,"&lt;="&amp;$D$7),"—"))</f>
        <v/>
      </c>
      <c r="V96" s="62">
        <f>SUM(B96:U96)</f>
        <v>0</v>
      </c>
    </row>
    <row r="97">
      <c r="A97" s="29" t="inlineStr">
        <is>
          <t xml:space="preserve">NC · No show</t>
        </is>
      </c>
      <c r="B97" s="32">
        <f>IF(B$89="","",IF(Config!$K$35&lt;&gt;"Não",SUMIFS(BD!$J$3:$J$5001,BD!$B$3:$B$5001,B$89,BD!$A$3:$A$5001,"&gt;="&amp;$C$7,BD!$A$3:$A$5001,"&lt;="&amp;$D$7),"—"))</f>
        <v>0</v>
      </c>
      <c r="C97" s="32">
        <f>IF(C$89="","",IF(Config!$K$36&lt;&gt;"Não",SUMIFS(BD!$J$3:$J$5001,BD!$B$3:$B$5001,C$89,BD!$A$3:$A$5001,"&gt;="&amp;$C$7,BD!$A$3:$A$5001,"&lt;="&amp;$D$7),"—"))</f>
        <v>0</v>
      </c>
      <c r="D97" s="32">
        <f>IF(D$89="","",IF(Config!$K$37&lt;&gt;"Não",SUMIFS(BD!$J$3:$J$5001,BD!$B$3:$B$5001,D$89,BD!$A$3:$A$5001,"&gt;="&amp;$C$7,BD!$A$3:$A$5001,"&lt;="&amp;$D$7),"—"))</f>
        <v>0</v>
      </c>
      <c r="E97" s="32">
        <f>IF(E$89="","",IF(Config!$K$38&lt;&gt;"Não",SUMIFS(BD!$J$3:$J$5001,BD!$B$3:$B$5001,E$89,BD!$A$3:$A$5001,"&gt;="&amp;$C$7,BD!$A$3:$A$5001,"&lt;="&amp;$D$7),"—"))</f>
        <v>0</v>
      </c>
      <c r="F97" s="32">
        <f>IF(F$89="","",IF(Config!$K$39&lt;&gt;"Não",SUMIFS(BD!$J$3:$J$5001,BD!$B$3:$B$5001,F$89,BD!$A$3:$A$5001,"&gt;="&amp;$C$7,BD!$A$3:$A$5001,"&lt;="&amp;$D$7),"—"))</f>
        <v>0</v>
      </c>
      <c r="G97" s="32" t="str">
        <f>IF(G$89="","",IF(Config!$K$40&lt;&gt;"Não",SUMIFS(BD!$J$3:$J$5001,BD!$B$3:$B$5001,G$89,BD!$A$3:$A$5001,"&gt;="&amp;$C$7,BD!$A$3:$A$5001,"&lt;="&amp;$D$7),"—"))</f>
        <v/>
      </c>
      <c r="H97" s="32" t="str">
        <f>IF(H$89="","",IF(Config!$K$41&lt;&gt;"Não",SUMIFS(BD!$J$3:$J$5001,BD!$B$3:$B$5001,H$89,BD!$A$3:$A$5001,"&gt;="&amp;$C$7,BD!$A$3:$A$5001,"&lt;="&amp;$D$7),"—"))</f>
        <v/>
      </c>
      <c r="I97" s="32" t="str">
        <f>IF(I$89="","",IF(Config!$K$42&lt;&gt;"Não",SUMIFS(BD!$J$3:$J$5001,BD!$B$3:$B$5001,I$89,BD!$A$3:$A$5001,"&gt;="&amp;$C$7,BD!$A$3:$A$5001,"&lt;="&amp;$D$7),"—"))</f>
        <v/>
      </c>
      <c r="J97" s="32" t="str">
        <f>IF(J$89="","",IF(Config!$K$43&lt;&gt;"Não",SUMIFS(BD!$J$3:$J$5001,BD!$B$3:$B$5001,J$89,BD!$A$3:$A$5001,"&gt;="&amp;$C$7,BD!$A$3:$A$5001,"&lt;="&amp;$D$7),"—"))</f>
        <v/>
      </c>
      <c r="K97" s="32" t="str">
        <f>IF(K$89="","",IF(Config!$K$44&lt;&gt;"Não",SUMIFS(BD!$J$3:$J$5001,BD!$B$3:$B$5001,K$89,BD!$A$3:$A$5001,"&gt;="&amp;$C$7,BD!$A$3:$A$5001,"&lt;="&amp;$D$7),"—"))</f>
        <v/>
      </c>
      <c r="L97" s="32" t="str">
        <f>IF(L$89="","",IF(Config!$K$45&lt;&gt;"Não",SUMIFS(BD!$J$3:$J$5001,BD!$B$3:$B$5001,L$89,BD!$A$3:$A$5001,"&gt;="&amp;$C$7,BD!$A$3:$A$5001,"&lt;="&amp;$D$7),"—"))</f>
        <v/>
      </c>
      <c r="M97" s="32" t="str">
        <f>IF(M$89="","",IF(Config!$K$46&lt;&gt;"Não",SUMIFS(BD!$J$3:$J$5001,BD!$B$3:$B$5001,M$89,BD!$A$3:$A$5001,"&gt;="&amp;$C$7,BD!$A$3:$A$5001,"&lt;="&amp;$D$7),"—"))</f>
        <v/>
      </c>
      <c r="N97" s="32" t="str">
        <f>IF(N$89="","",IF(Config!$K$47&lt;&gt;"Não",SUMIFS(BD!$J$3:$J$5001,BD!$B$3:$B$5001,N$89,BD!$A$3:$A$5001,"&gt;="&amp;$C$7,BD!$A$3:$A$5001,"&lt;="&amp;$D$7),"—"))</f>
        <v/>
      </c>
      <c r="O97" s="32" t="str">
        <f>IF(O$89="","",IF(Config!$K$48&lt;&gt;"Não",SUMIFS(BD!$J$3:$J$5001,BD!$B$3:$B$5001,O$89,BD!$A$3:$A$5001,"&gt;="&amp;$C$7,BD!$A$3:$A$5001,"&lt;="&amp;$D$7),"—"))</f>
        <v/>
      </c>
      <c r="P97" s="32" t="str">
        <f>IF(P$89="","",IF(Config!$K$49&lt;&gt;"Não",SUMIFS(BD!$J$3:$J$5001,BD!$B$3:$B$5001,P$89,BD!$A$3:$A$5001,"&gt;="&amp;$C$7,BD!$A$3:$A$5001,"&lt;="&amp;$D$7),"—"))</f>
        <v/>
      </c>
      <c r="Q97" s="32" t="str">
        <f>IF(Q$89="","",IF(Config!$K$50&lt;&gt;"Não",SUMIFS(BD!$J$3:$J$5001,BD!$B$3:$B$5001,Q$89,BD!$A$3:$A$5001,"&gt;="&amp;$C$7,BD!$A$3:$A$5001,"&lt;="&amp;$D$7),"—"))</f>
        <v/>
      </c>
      <c r="R97" s="32" t="str">
        <f>IF(R$89="","",IF(Config!$K$51&lt;&gt;"Não",SUMIFS(BD!$J$3:$J$5001,BD!$B$3:$B$5001,R$89,BD!$A$3:$A$5001,"&gt;="&amp;$C$7,BD!$A$3:$A$5001,"&lt;="&amp;$D$7),"—"))</f>
        <v/>
      </c>
      <c r="S97" s="32" t="str">
        <f>IF(S$89="","",IF(Config!$K$52&lt;&gt;"Não",SUMIFS(BD!$J$3:$J$5001,BD!$B$3:$B$5001,S$89,BD!$A$3:$A$5001,"&gt;="&amp;$C$7,BD!$A$3:$A$5001,"&lt;="&amp;$D$7),"—"))</f>
        <v/>
      </c>
      <c r="T97" s="32" t="str">
        <f>IF(T$89="","",IF(Config!$K$53&lt;&gt;"Não",SUMIFS(BD!$J$3:$J$5001,BD!$B$3:$B$5001,T$89,BD!$A$3:$A$5001,"&gt;="&amp;$C$7,BD!$A$3:$A$5001,"&lt;="&amp;$D$7),"—"))</f>
        <v/>
      </c>
      <c r="U97" s="32" t="str">
        <f>IF(U$89="","",IF(Config!$K$54&lt;&gt;"Não",SUMIFS(BD!$J$3:$J$5001,BD!$B$3:$B$5001,U$89,BD!$A$3:$A$5001,"&gt;="&amp;$C$7,BD!$A$3:$A$5001,"&lt;="&amp;$D$7),"—"))</f>
        <v/>
      </c>
      <c r="V97" s="62">
        <f>SUM(B97:U97)</f>
        <v>0</v>
      </c>
    </row>
    <row r="98">
      <c r="A98" s="29" t="inlineStr">
        <is>
          <t xml:space="preserve">NC · Backlog</t>
        </is>
      </c>
      <c r="B98" s="32" t="str">
        <f>IF(B$89="","",IF(Config!$L$35&lt;&gt;"Não",IF(COUNTIFS(BD!$B$3:$B$5001,B$89,BD!$A$3:$A$5001,"&gt;="&amp;$C$7,BD!$A$3:$A$5001,"&lt;="&amp;$D$7,BD!$K$3:$K$5001,"&lt;&gt;")=0,"",SUMIFS(BD!$K$3:$K$5001,BD!$B$3:$B$5001,B$89,BD!$A$3:$A$5001,_xlfn.MAXIFS(BD!$A$3:$A$5001,BD!$B$3:$B$5001,B$89,BD!$A$3:$A$5001,"&gt;="&amp;$C$7,BD!$A$3:$A$5001,"&lt;="&amp;$D$7,BD!$K$3:$K$5001,"&lt;&gt;"))),"—"))</f>
        <v/>
      </c>
      <c r="C98" s="32" t="str">
        <f>IF(C$89="","",IF(Config!$L$36&lt;&gt;"Não",IF(COUNTIFS(BD!$B$3:$B$5001,C$89,BD!$A$3:$A$5001,"&gt;="&amp;$C$7,BD!$A$3:$A$5001,"&lt;="&amp;$D$7,BD!$K$3:$K$5001,"&lt;&gt;")=0,"",SUMIFS(BD!$K$3:$K$5001,BD!$B$3:$B$5001,C$89,BD!$A$3:$A$5001,_xlfn.MAXIFS(BD!$A$3:$A$5001,BD!$B$3:$B$5001,C$89,BD!$A$3:$A$5001,"&gt;="&amp;$C$7,BD!$A$3:$A$5001,"&lt;="&amp;$D$7,BD!$K$3:$K$5001,"&lt;&gt;"))),"—"))</f>
        <v/>
      </c>
      <c r="D98" s="32" t="str">
        <f>IF(D$89="","",IF(Config!$L$37&lt;&gt;"Não",IF(COUNTIFS(BD!$B$3:$B$5001,D$89,BD!$A$3:$A$5001,"&gt;="&amp;$C$7,BD!$A$3:$A$5001,"&lt;="&amp;$D$7,BD!$K$3:$K$5001,"&lt;&gt;")=0,"",SUMIFS(BD!$K$3:$K$5001,BD!$B$3:$B$5001,D$89,BD!$A$3:$A$5001,_xlfn.MAXIFS(BD!$A$3:$A$5001,BD!$B$3:$B$5001,D$89,BD!$A$3:$A$5001,"&gt;="&amp;$C$7,BD!$A$3:$A$5001,"&lt;="&amp;$D$7,BD!$K$3:$K$5001,"&lt;&gt;"))),"—"))</f>
        <v/>
      </c>
      <c r="E98" s="32" t="str">
        <f>IF(E$89="","",IF(Config!$L$38&lt;&gt;"Não",IF(COUNTIFS(BD!$B$3:$B$5001,E$89,BD!$A$3:$A$5001,"&gt;="&amp;$C$7,BD!$A$3:$A$5001,"&lt;="&amp;$D$7,BD!$K$3:$K$5001,"&lt;&gt;")=0,"",SUMIFS(BD!$K$3:$K$5001,BD!$B$3:$B$5001,E$89,BD!$A$3:$A$5001,_xlfn.MAXIFS(BD!$A$3:$A$5001,BD!$B$3:$B$5001,E$89,BD!$A$3:$A$5001,"&gt;="&amp;$C$7,BD!$A$3:$A$5001,"&lt;="&amp;$D$7,BD!$K$3:$K$5001,"&lt;&gt;"))),"—"))</f>
        <v/>
      </c>
      <c r="F98" s="32" t="str">
        <f>IF(F$89="","",IF(Config!$L$39&lt;&gt;"Não",IF(COUNTIFS(BD!$B$3:$B$5001,F$89,BD!$A$3:$A$5001,"&gt;="&amp;$C$7,BD!$A$3:$A$5001,"&lt;="&amp;$D$7,BD!$K$3:$K$5001,"&lt;&gt;")=0,"",SUMIFS(BD!$K$3:$K$5001,BD!$B$3:$B$5001,F$89,BD!$A$3:$A$5001,_xlfn.MAXIFS(BD!$A$3:$A$5001,BD!$B$3:$B$5001,F$89,BD!$A$3:$A$5001,"&gt;="&amp;$C$7,BD!$A$3:$A$5001,"&lt;="&amp;$D$7,BD!$K$3:$K$5001,"&lt;&gt;"))),"—"))</f>
        <v/>
      </c>
      <c r="G98" s="32" t="str">
        <f>IF(G$89="","",IF(Config!$L$40&lt;&gt;"Não",IF(COUNTIFS(BD!$B$3:$B$5001,G$89,BD!$A$3:$A$5001,"&gt;="&amp;$C$7,BD!$A$3:$A$5001,"&lt;="&amp;$D$7,BD!$K$3:$K$5001,"&lt;&gt;")=0,"",SUMIFS(BD!$K$3:$K$5001,BD!$B$3:$B$5001,G$89,BD!$A$3:$A$5001,_xlfn.MAXIFS(BD!$A$3:$A$5001,BD!$B$3:$B$5001,G$89,BD!$A$3:$A$5001,"&gt;="&amp;$C$7,BD!$A$3:$A$5001,"&lt;="&amp;$D$7,BD!$K$3:$K$5001,"&lt;&gt;"))),"—"))</f>
        <v/>
      </c>
      <c r="H98" s="32" t="str">
        <f>IF(H$89="","",IF(Config!$L$41&lt;&gt;"Não",IF(COUNTIFS(BD!$B$3:$B$5001,H$89,BD!$A$3:$A$5001,"&gt;="&amp;$C$7,BD!$A$3:$A$5001,"&lt;="&amp;$D$7,BD!$K$3:$K$5001,"&lt;&gt;")=0,"",SUMIFS(BD!$K$3:$K$5001,BD!$B$3:$B$5001,H$89,BD!$A$3:$A$5001,_xlfn.MAXIFS(BD!$A$3:$A$5001,BD!$B$3:$B$5001,H$89,BD!$A$3:$A$5001,"&gt;="&amp;$C$7,BD!$A$3:$A$5001,"&lt;="&amp;$D$7,BD!$K$3:$K$5001,"&lt;&gt;"))),"—"))</f>
        <v/>
      </c>
      <c r="I98" s="32" t="str">
        <f>IF(I$89="","",IF(Config!$L$42&lt;&gt;"Não",IF(COUNTIFS(BD!$B$3:$B$5001,I$89,BD!$A$3:$A$5001,"&gt;="&amp;$C$7,BD!$A$3:$A$5001,"&lt;="&amp;$D$7,BD!$K$3:$K$5001,"&lt;&gt;")=0,"",SUMIFS(BD!$K$3:$K$5001,BD!$B$3:$B$5001,I$89,BD!$A$3:$A$5001,_xlfn.MAXIFS(BD!$A$3:$A$5001,BD!$B$3:$B$5001,I$89,BD!$A$3:$A$5001,"&gt;="&amp;$C$7,BD!$A$3:$A$5001,"&lt;="&amp;$D$7,BD!$K$3:$K$5001,"&lt;&gt;"))),"—"))</f>
        <v/>
      </c>
      <c r="J98" s="32" t="str">
        <f>IF(J$89="","",IF(Config!$L$43&lt;&gt;"Não",IF(COUNTIFS(BD!$B$3:$B$5001,J$89,BD!$A$3:$A$5001,"&gt;="&amp;$C$7,BD!$A$3:$A$5001,"&lt;="&amp;$D$7,BD!$K$3:$K$5001,"&lt;&gt;")=0,"",SUMIFS(BD!$K$3:$K$5001,BD!$B$3:$B$5001,J$89,BD!$A$3:$A$5001,_xlfn.MAXIFS(BD!$A$3:$A$5001,BD!$B$3:$B$5001,J$89,BD!$A$3:$A$5001,"&gt;="&amp;$C$7,BD!$A$3:$A$5001,"&lt;="&amp;$D$7,BD!$K$3:$K$5001,"&lt;&gt;"))),"—"))</f>
        <v/>
      </c>
      <c r="K98" s="32" t="str">
        <f>IF(K$89="","",IF(Config!$L$44&lt;&gt;"Não",IF(COUNTIFS(BD!$B$3:$B$5001,K$89,BD!$A$3:$A$5001,"&gt;="&amp;$C$7,BD!$A$3:$A$5001,"&lt;="&amp;$D$7,BD!$K$3:$K$5001,"&lt;&gt;")=0,"",SUMIFS(BD!$K$3:$K$5001,BD!$B$3:$B$5001,K$89,BD!$A$3:$A$5001,_xlfn.MAXIFS(BD!$A$3:$A$5001,BD!$B$3:$B$5001,K$89,BD!$A$3:$A$5001,"&gt;="&amp;$C$7,BD!$A$3:$A$5001,"&lt;="&amp;$D$7,BD!$K$3:$K$5001,"&lt;&gt;"))),"—"))</f>
        <v/>
      </c>
      <c r="L98" s="32" t="str">
        <f>IF(L$89="","",IF(Config!$L$45&lt;&gt;"Não",IF(COUNTIFS(BD!$B$3:$B$5001,L$89,BD!$A$3:$A$5001,"&gt;="&amp;$C$7,BD!$A$3:$A$5001,"&lt;="&amp;$D$7,BD!$K$3:$K$5001,"&lt;&gt;")=0,"",SUMIFS(BD!$K$3:$K$5001,BD!$B$3:$B$5001,L$89,BD!$A$3:$A$5001,_xlfn.MAXIFS(BD!$A$3:$A$5001,BD!$B$3:$B$5001,L$89,BD!$A$3:$A$5001,"&gt;="&amp;$C$7,BD!$A$3:$A$5001,"&lt;="&amp;$D$7,BD!$K$3:$K$5001,"&lt;&gt;"))),"—"))</f>
        <v/>
      </c>
      <c r="M98" s="32" t="str">
        <f>IF(M$89="","",IF(Config!$L$46&lt;&gt;"Não",IF(COUNTIFS(BD!$B$3:$B$5001,M$89,BD!$A$3:$A$5001,"&gt;="&amp;$C$7,BD!$A$3:$A$5001,"&lt;="&amp;$D$7,BD!$K$3:$K$5001,"&lt;&gt;")=0,"",SUMIFS(BD!$K$3:$K$5001,BD!$B$3:$B$5001,M$89,BD!$A$3:$A$5001,_xlfn.MAXIFS(BD!$A$3:$A$5001,BD!$B$3:$B$5001,M$89,BD!$A$3:$A$5001,"&gt;="&amp;$C$7,BD!$A$3:$A$5001,"&lt;="&amp;$D$7,BD!$K$3:$K$5001,"&lt;&gt;"))),"—"))</f>
        <v/>
      </c>
      <c r="N98" s="32" t="str">
        <f>IF(N$89="","",IF(Config!$L$47&lt;&gt;"Não",IF(COUNTIFS(BD!$B$3:$B$5001,N$89,BD!$A$3:$A$5001,"&gt;="&amp;$C$7,BD!$A$3:$A$5001,"&lt;="&amp;$D$7,BD!$K$3:$K$5001,"&lt;&gt;")=0,"",SUMIFS(BD!$K$3:$K$5001,BD!$B$3:$B$5001,N$89,BD!$A$3:$A$5001,_xlfn.MAXIFS(BD!$A$3:$A$5001,BD!$B$3:$B$5001,N$89,BD!$A$3:$A$5001,"&gt;="&amp;$C$7,BD!$A$3:$A$5001,"&lt;="&amp;$D$7,BD!$K$3:$K$5001,"&lt;&gt;"))),"—"))</f>
        <v/>
      </c>
      <c r="O98" s="32" t="str">
        <f>IF(O$89="","",IF(Config!$L$48&lt;&gt;"Não",IF(COUNTIFS(BD!$B$3:$B$5001,O$89,BD!$A$3:$A$5001,"&gt;="&amp;$C$7,BD!$A$3:$A$5001,"&lt;="&amp;$D$7,BD!$K$3:$K$5001,"&lt;&gt;")=0,"",SUMIFS(BD!$K$3:$K$5001,BD!$B$3:$B$5001,O$89,BD!$A$3:$A$5001,_xlfn.MAXIFS(BD!$A$3:$A$5001,BD!$B$3:$B$5001,O$89,BD!$A$3:$A$5001,"&gt;="&amp;$C$7,BD!$A$3:$A$5001,"&lt;="&amp;$D$7,BD!$K$3:$K$5001,"&lt;&gt;"))),"—"))</f>
        <v/>
      </c>
      <c r="P98" s="32" t="str">
        <f>IF(P$89="","",IF(Config!$L$49&lt;&gt;"Não",IF(COUNTIFS(BD!$B$3:$B$5001,P$89,BD!$A$3:$A$5001,"&gt;="&amp;$C$7,BD!$A$3:$A$5001,"&lt;="&amp;$D$7,BD!$K$3:$K$5001,"&lt;&gt;")=0,"",SUMIFS(BD!$K$3:$K$5001,BD!$B$3:$B$5001,P$89,BD!$A$3:$A$5001,_xlfn.MAXIFS(BD!$A$3:$A$5001,BD!$B$3:$B$5001,P$89,BD!$A$3:$A$5001,"&gt;="&amp;$C$7,BD!$A$3:$A$5001,"&lt;="&amp;$D$7,BD!$K$3:$K$5001,"&lt;&gt;"))),"—"))</f>
        <v/>
      </c>
      <c r="Q98" s="32" t="str">
        <f>IF(Q$89="","",IF(Config!$L$50&lt;&gt;"Não",IF(COUNTIFS(BD!$B$3:$B$5001,Q$89,BD!$A$3:$A$5001,"&gt;="&amp;$C$7,BD!$A$3:$A$5001,"&lt;="&amp;$D$7,BD!$K$3:$K$5001,"&lt;&gt;")=0,"",SUMIFS(BD!$K$3:$K$5001,BD!$B$3:$B$5001,Q$89,BD!$A$3:$A$5001,_xlfn.MAXIFS(BD!$A$3:$A$5001,BD!$B$3:$B$5001,Q$89,BD!$A$3:$A$5001,"&gt;="&amp;$C$7,BD!$A$3:$A$5001,"&lt;="&amp;$D$7,BD!$K$3:$K$5001,"&lt;&gt;"))),"—"))</f>
        <v/>
      </c>
      <c r="R98" s="32" t="str">
        <f>IF(R$89="","",IF(Config!$L$51&lt;&gt;"Não",IF(COUNTIFS(BD!$B$3:$B$5001,R$89,BD!$A$3:$A$5001,"&gt;="&amp;$C$7,BD!$A$3:$A$5001,"&lt;="&amp;$D$7,BD!$K$3:$K$5001,"&lt;&gt;")=0,"",SUMIFS(BD!$K$3:$K$5001,BD!$B$3:$B$5001,R$89,BD!$A$3:$A$5001,_xlfn.MAXIFS(BD!$A$3:$A$5001,BD!$B$3:$B$5001,R$89,BD!$A$3:$A$5001,"&gt;="&amp;$C$7,BD!$A$3:$A$5001,"&lt;="&amp;$D$7,BD!$K$3:$K$5001,"&lt;&gt;"))),"—"))</f>
        <v/>
      </c>
      <c r="S98" s="32" t="str">
        <f>IF(S$89="","",IF(Config!$L$52&lt;&gt;"Não",IF(COUNTIFS(BD!$B$3:$B$5001,S$89,BD!$A$3:$A$5001,"&gt;="&amp;$C$7,BD!$A$3:$A$5001,"&lt;="&amp;$D$7,BD!$K$3:$K$5001,"&lt;&gt;")=0,"",SUMIFS(BD!$K$3:$K$5001,BD!$B$3:$B$5001,S$89,BD!$A$3:$A$5001,_xlfn.MAXIFS(BD!$A$3:$A$5001,BD!$B$3:$B$5001,S$89,BD!$A$3:$A$5001,"&gt;="&amp;$C$7,BD!$A$3:$A$5001,"&lt;="&amp;$D$7,BD!$K$3:$K$5001,"&lt;&gt;"))),"—"))</f>
        <v/>
      </c>
      <c r="T98" s="32" t="str">
        <f>IF(T$89="","",IF(Config!$L$53&lt;&gt;"Não",IF(COUNTIFS(BD!$B$3:$B$5001,T$89,BD!$A$3:$A$5001,"&gt;="&amp;$C$7,BD!$A$3:$A$5001,"&lt;="&amp;$D$7,BD!$K$3:$K$5001,"&lt;&gt;")=0,"",SUMIFS(BD!$K$3:$K$5001,BD!$B$3:$B$5001,T$89,BD!$A$3:$A$5001,_xlfn.MAXIFS(BD!$A$3:$A$5001,BD!$B$3:$B$5001,T$89,BD!$A$3:$A$5001,"&gt;="&amp;$C$7,BD!$A$3:$A$5001,"&lt;="&amp;$D$7,BD!$K$3:$K$5001,"&lt;&gt;"))),"—"))</f>
        <v/>
      </c>
      <c r="U98" s="32" t="str">
        <f>IF(U$89="","",IF(Config!$L$54&lt;&gt;"Não",IF(COUNTIFS(BD!$B$3:$B$5001,U$89,BD!$A$3:$A$5001,"&gt;="&amp;$C$7,BD!$A$3:$A$5001,"&lt;="&amp;$D$7,BD!$K$3:$K$5001,"&lt;&gt;")=0,"",SUMIFS(BD!$K$3:$K$5001,BD!$B$3:$B$5001,U$89,BD!$A$3:$A$5001,_xlfn.MAXIFS(BD!$A$3:$A$5001,BD!$B$3:$B$5001,U$89,BD!$A$3:$A$5001,"&gt;="&amp;$C$7,BD!$A$3:$A$5001,"&lt;="&amp;$D$7,BD!$K$3:$K$5001,"&lt;&gt;"))),"—"))</f>
        <v/>
      </c>
      <c r="V98" s="62">
        <f>SUM(B98:U98)</f>
        <v>0</v>
      </c>
    </row>
    <row r="99">
      <c r="A99" s="29" t="inlineStr">
        <is>
          <t xml:space="preserve">OCUPAÇÃO (P.P) · Posições Disponíveis</t>
        </is>
      </c>
      <c r="B99" s="32" t="str">
        <f>IF(B$89="","",IF(Config!$M$35&lt;&gt;"Não",IF(N(IF(COUNTIFS(BD!$B$3:$B$5001,B$89,BD!$A$3:$A$5001,"&gt;="&amp;$C$7,BD!$A$3:$A$5001,"&lt;="&amp;$D$7,BD!$M$3:$M$5001,"&lt;&gt;")=0,"",SUMIFS(BD!$L$3:$L$5001,BD!$B$3:$B$5001,B$89,BD!$A$3:$A$5001,_xlfn.MAXIFS(BD!$A$3:$A$5001,BD!$B$3:$B$5001,B$89,BD!$A$3:$A$5001,"&gt;="&amp;$C$7,BD!$A$3:$A$5001,"&lt;="&amp;$D$7,BD!$M$3:$M$5001,"&lt;&gt;"))))=0,"",IF(COUNTIFS(BD!$B$3:$B$5001,B$89,BD!$A$3:$A$5001,"&gt;="&amp;$C$7,BD!$A$3:$A$5001,"&lt;="&amp;$D$7,BD!$M$3:$M$5001,"&lt;&gt;")=0,"",SUMIFS(BD!$L$3:$L$5001,BD!$B$3:$B$5001,B$89,BD!$A$3:$A$5001,_xlfn.MAXIFS(BD!$A$3:$A$5001,BD!$B$3:$B$5001,B$89,BD!$A$3:$A$5001,"&gt;="&amp;$C$7,BD!$A$3:$A$5001,"&lt;="&amp;$D$7,BD!$M$3:$M$5001,"&lt;&gt;")))),"—"))</f>
        <v/>
      </c>
      <c r="C99" s="32" t="str">
        <f>IF(C$89="","",IF(Config!$M$36&lt;&gt;"Não",IF(N(IF(COUNTIFS(BD!$B$3:$B$5001,C$89,BD!$A$3:$A$5001,"&gt;="&amp;$C$7,BD!$A$3:$A$5001,"&lt;="&amp;$D$7,BD!$M$3:$M$5001,"&lt;&gt;")=0,"",SUMIFS(BD!$L$3:$L$5001,BD!$B$3:$B$5001,C$89,BD!$A$3:$A$5001,_xlfn.MAXIFS(BD!$A$3:$A$5001,BD!$B$3:$B$5001,C$89,BD!$A$3:$A$5001,"&gt;="&amp;$C$7,BD!$A$3:$A$5001,"&lt;="&amp;$D$7,BD!$M$3:$M$5001,"&lt;&gt;"))))=0,"",IF(COUNTIFS(BD!$B$3:$B$5001,C$89,BD!$A$3:$A$5001,"&gt;="&amp;$C$7,BD!$A$3:$A$5001,"&lt;="&amp;$D$7,BD!$M$3:$M$5001,"&lt;&gt;")=0,"",SUMIFS(BD!$L$3:$L$5001,BD!$B$3:$B$5001,C$89,BD!$A$3:$A$5001,_xlfn.MAXIFS(BD!$A$3:$A$5001,BD!$B$3:$B$5001,C$89,BD!$A$3:$A$5001,"&gt;="&amp;$C$7,BD!$A$3:$A$5001,"&lt;="&amp;$D$7,BD!$M$3:$M$5001,"&lt;&gt;")))),"—"))</f>
        <v>—</v>
      </c>
      <c r="D99" s="32" t="str">
        <f>IF(D$89="","",IF(Config!$M$37&lt;&gt;"Não",IF(N(IF(COUNTIFS(BD!$B$3:$B$5001,D$89,BD!$A$3:$A$5001,"&gt;="&amp;$C$7,BD!$A$3:$A$5001,"&lt;="&amp;$D$7,BD!$M$3:$M$5001,"&lt;&gt;")=0,"",SUMIFS(BD!$L$3:$L$5001,BD!$B$3:$B$5001,D$89,BD!$A$3:$A$5001,_xlfn.MAXIFS(BD!$A$3:$A$5001,BD!$B$3:$B$5001,D$89,BD!$A$3:$A$5001,"&gt;="&amp;$C$7,BD!$A$3:$A$5001,"&lt;="&amp;$D$7,BD!$M$3:$M$5001,"&lt;&gt;"))))=0,"",IF(COUNTIFS(BD!$B$3:$B$5001,D$89,BD!$A$3:$A$5001,"&gt;="&amp;$C$7,BD!$A$3:$A$5001,"&lt;="&amp;$D$7,BD!$M$3:$M$5001,"&lt;&gt;")=0,"",SUMIFS(BD!$L$3:$L$5001,BD!$B$3:$B$5001,D$89,BD!$A$3:$A$5001,_xlfn.MAXIFS(BD!$A$3:$A$5001,BD!$B$3:$B$5001,D$89,BD!$A$3:$A$5001,"&gt;="&amp;$C$7,BD!$A$3:$A$5001,"&lt;="&amp;$D$7,BD!$M$3:$M$5001,"&lt;&gt;")))),"—"))</f>
        <v>—</v>
      </c>
      <c r="E99" s="32" t="str">
        <f>IF(E$89="","",IF(Config!$M$38&lt;&gt;"Não",IF(N(IF(COUNTIFS(BD!$B$3:$B$5001,E$89,BD!$A$3:$A$5001,"&gt;="&amp;$C$7,BD!$A$3:$A$5001,"&lt;="&amp;$D$7,BD!$M$3:$M$5001,"&lt;&gt;")=0,"",SUMIFS(BD!$L$3:$L$5001,BD!$B$3:$B$5001,E$89,BD!$A$3:$A$5001,_xlfn.MAXIFS(BD!$A$3:$A$5001,BD!$B$3:$B$5001,E$89,BD!$A$3:$A$5001,"&gt;="&amp;$C$7,BD!$A$3:$A$5001,"&lt;="&amp;$D$7,BD!$M$3:$M$5001,"&lt;&gt;"))))=0,"",IF(COUNTIFS(BD!$B$3:$B$5001,E$89,BD!$A$3:$A$5001,"&gt;="&amp;$C$7,BD!$A$3:$A$5001,"&lt;="&amp;$D$7,BD!$M$3:$M$5001,"&lt;&gt;")=0,"",SUMIFS(BD!$L$3:$L$5001,BD!$B$3:$B$5001,E$89,BD!$A$3:$A$5001,_xlfn.MAXIFS(BD!$A$3:$A$5001,BD!$B$3:$B$5001,E$89,BD!$A$3:$A$5001,"&gt;="&amp;$C$7,BD!$A$3:$A$5001,"&lt;="&amp;$D$7,BD!$M$3:$M$5001,"&lt;&gt;")))),"—"))</f>
        <v>—</v>
      </c>
      <c r="F99" s="32" t="str">
        <f>IF(F$89="","",IF(Config!$M$39&lt;&gt;"Não",IF(N(IF(COUNTIFS(BD!$B$3:$B$5001,F$89,BD!$A$3:$A$5001,"&gt;="&amp;$C$7,BD!$A$3:$A$5001,"&lt;="&amp;$D$7,BD!$M$3:$M$5001,"&lt;&gt;")=0,"",SUMIFS(BD!$L$3:$L$5001,BD!$B$3:$B$5001,F$89,BD!$A$3:$A$5001,_xlfn.MAXIFS(BD!$A$3:$A$5001,BD!$B$3:$B$5001,F$89,BD!$A$3:$A$5001,"&gt;="&amp;$C$7,BD!$A$3:$A$5001,"&lt;="&amp;$D$7,BD!$M$3:$M$5001,"&lt;&gt;"))))=0,"",IF(COUNTIFS(BD!$B$3:$B$5001,F$89,BD!$A$3:$A$5001,"&gt;="&amp;$C$7,BD!$A$3:$A$5001,"&lt;="&amp;$D$7,BD!$M$3:$M$5001,"&lt;&gt;")=0,"",SUMIFS(BD!$L$3:$L$5001,BD!$B$3:$B$5001,F$89,BD!$A$3:$A$5001,_xlfn.MAXIFS(BD!$A$3:$A$5001,BD!$B$3:$B$5001,F$89,BD!$A$3:$A$5001,"&gt;="&amp;$C$7,BD!$A$3:$A$5001,"&lt;="&amp;$D$7,BD!$M$3:$M$5001,"&lt;&gt;")))),"—"))</f>
        <v/>
      </c>
      <c r="G99" s="32" t="str">
        <f>IF(G$89="","",IF(Config!$M$40&lt;&gt;"Não",IF(N(IF(COUNTIFS(BD!$B$3:$B$5001,G$89,BD!$A$3:$A$5001,"&gt;="&amp;$C$7,BD!$A$3:$A$5001,"&lt;="&amp;$D$7,BD!$M$3:$M$5001,"&lt;&gt;")=0,"",SUMIFS(BD!$L$3:$L$5001,BD!$B$3:$B$5001,G$89,BD!$A$3:$A$5001,_xlfn.MAXIFS(BD!$A$3:$A$5001,BD!$B$3:$B$5001,G$89,BD!$A$3:$A$5001,"&gt;="&amp;$C$7,BD!$A$3:$A$5001,"&lt;="&amp;$D$7,BD!$M$3:$M$5001,"&lt;&gt;"))))=0,"",IF(COUNTIFS(BD!$B$3:$B$5001,G$89,BD!$A$3:$A$5001,"&gt;="&amp;$C$7,BD!$A$3:$A$5001,"&lt;="&amp;$D$7,BD!$M$3:$M$5001,"&lt;&gt;")=0,"",SUMIFS(BD!$L$3:$L$5001,BD!$B$3:$B$5001,G$89,BD!$A$3:$A$5001,_xlfn.MAXIFS(BD!$A$3:$A$5001,BD!$B$3:$B$5001,G$89,BD!$A$3:$A$5001,"&gt;="&amp;$C$7,BD!$A$3:$A$5001,"&lt;="&amp;$D$7,BD!$M$3:$M$5001,"&lt;&gt;")))),"—"))</f>
        <v/>
      </c>
      <c r="H99" s="32" t="str">
        <f>IF(H$89="","",IF(Config!$M$41&lt;&gt;"Não",IF(N(IF(COUNTIFS(BD!$B$3:$B$5001,H$89,BD!$A$3:$A$5001,"&gt;="&amp;$C$7,BD!$A$3:$A$5001,"&lt;="&amp;$D$7,BD!$M$3:$M$5001,"&lt;&gt;")=0,"",SUMIFS(BD!$L$3:$L$5001,BD!$B$3:$B$5001,H$89,BD!$A$3:$A$5001,_xlfn.MAXIFS(BD!$A$3:$A$5001,BD!$B$3:$B$5001,H$89,BD!$A$3:$A$5001,"&gt;="&amp;$C$7,BD!$A$3:$A$5001,"&lt;="&amp;$D$7,BD!$M$3:$M$5001,"&lt;&gt;"))))=0,"",IF(COUNTIFS(BD!$B$3:$B$5001,H$89,BD!$A$3:$A$5001,"&gt;="&amp;$C$7,BD!$A$3:$A$5001,"&lt;="&amp;$D$7,BD!$M$3:$M$5001,"&lt;&gt;")=0,"",SUMIFS(BD!$L$3:$L$5001,BD!$B$3:$B$5001,H$89,BD!$A$3:$A$5001,_xlfn.MAXIFS(BD!$A$3:$A$5001,BD!$B$3:$B$5001,H$89,BD!$A$3:$A$5001,"&gt;="&amp;$C$7,BD!$A$3:$A$5001,"&lt;="&amp;$D$7,BD!$M$3:$M$5001,"&lt;&gt;")))),"—"))</f>
        <v/>
      </c>
      <c r="I99" s="32" t="str">
        <f>IF(I$89="","",IF(Config!$M$42&lt;&gt;"Não",IF(N(IF(COUNTIFS(BD!$B$3:$B$5001,I$89,BD!$A$3:$A$5001,"&gt;="&amp;$C$7,BD!$A$3:$A$5001,"&lt;="&amp;$D$7,BD!$M$3:$M$5001,"&lt;&gt;")=0,"",SUMIFS(BD!$L$3:$L$5001,BD!$B$3:$B$5001,I$89,BD!$A$3:$A$5001,_xlfn.MAXIFS(BD!$A$3:$A$5001,BD!$B$3:$B$5001,I$89,BD!$A$3:$A$5001,"&gt;="&amp;$C$7,BD!$A$3:$A$5001,"&lt;="&amp;$D$7,BD!$M$3:$M$5001,"&lt;&gt;"))))=0,"",IF(COUNTIFS(BD!$B$3:$B$5001,I$89,BD!$A$3:$A$5001,"&gt;="&amp;$C$7,BD!$A$3:$A$5001,"&lt;="&amp;$D$7,BD!$M$3:$M$5001,"&lt;&gt;")=0,"",SUMIFS(BD!$L$3:$L$5001,BD!$B$3:$B$5001,I$89,BD!$A$3:$A$5001,_xlfn.MAXIFS(BD!$A$3:$A$5001,BD!$B$3:$B$5001,I$89,BD!$A$3:$A$5001,"&gt;="&amp;$C$7,BD!$A$3:$A$5001,"&lt;="&amp;$D$7,BD!$M$3:$M$5001,"&lt;&gt;")))),"—"))</f>
        <v/>
      </c>
      <c r="J99" s="32" t="str">
        <f>IF(J$89="","",IF(Config!$M$43&lt;&gt;"Não",IF(N(IF(COUNTIFS(BD!$B$3:$B$5001,J$89,BD!$A$3:$A$5001,"&gt;="&amp;$C$7,BD!$A$3:$A$5001,"&lt;="&amp;$D$7,BD!$M$3:$M$5001,"&lt;&gt;")=0,"",SUMIFS(BD!$L$3:$L$5001,BD!$B$3:$B$5001,J$89,BD!$A$3:$A$5001,_xlfn.MAXIFS(BD!$A$3:$A$5001,BD!$B$3:$B$5001,J$89,BD!$A$3:$A$5001,"&gt;="&amp;$C$7,BD!$A$3:$A$5001,"&lt;="&amp;$D$7,BD!$M$3:$M$5001,"&lt;&gt;"))))=0,"",IF(COUNTIFS(BD!$B$3:$B$5001,J$89,BD!$A$3:$A$5001,"&gt;="&amp;$C$7,BD!$A$3:$A$5001,"&lt;="&amp;$D$7,BD!$M$3:$M$5001,"&lt;&gt;")=0,"",SUMIFS(BD!$L$3:$L$5001,BD!$B$3:$B$5001,J$89,BD!$A$3:$A$5001,_xlfn.MAXIFS(BD!$A$3:$A$5001,BD!$B$3:$B$5001,J$89,BD!$A$3:$A$5001,"&gt;="&amp;$C$7,BD!$A$3:$A$5001,"&lt;="&amp;$D$7,BD!$M$3:$M$5001,"&lt;&gt;")))),"—"))</f>
        <v/>
      </c>
      <c r="K99" s="32" t="str">
        <f>IF(K$89="","",IF(Config!$M$44&lt;&gt;"Não",IF(N(IF(COUNTIFS(BD!$B$3:$B$5001,K$89,BD!$A$3:$A$5001,"&gt;="&amp;$C$7,BD!$A$3:$A$5001,"&lt;="&amp;$D$7,BD!$M$3:$M$5001,"&lt;&gt;")=0,"",SUMIFS(BD!$L$3:$L$5001,BD!$B$3:$B$5001,K$89,BD!$A$3:$A$5001,_xlfn.MAXIFS(BD!$A$3:$A$5001,BD!$B$3:$B$5001,K$89,BD!$A$3:$A$5001,"&gt;="&amp;$C$7,BD!$A$3:$A$5001,"&lt;="&amp;$D$7,BD!$M$3:$M$5001,"&lt;&gt;"))))=0,"",IF(COUNTIFS(BD!$B$3:$B$5001,K$89,BD!$A$3:$A$5001,"&gt;="&amp;$C$7,BD!$A$3:$A$5001,"&lt;="&amp;$D$7,BD!$M$3:$M$5001,"&lt;&gt;")=0,"",SUMIFS(BD!$L$3:$L$5001,BD!$B$3:$B$5001,K$89,BD!$A$3:$A$5001,_xlfn.MAXIFS(BD!$A$3:$A$5001,BD!$B$3:$B$5001,K$89,BD!$A$3:$A$5001,"&gt;="&amp;$C$7,BD!$A$3:$A$5001,"&lt;="&amp;$D$7,BD!$M$3:$M$5001,"&lt;&gt;")))),"—"))</f>
        <v/>
      </c>
      <c r="L99" s="32" t="str">
        <f>IF(L$89="","",IF(Config!$M$45&lt;&gt;"Não",IF(N(IF(COUNTIFS(BD!$B$3:$B$5001,L$89,BD!$A$3:$A$5001,"&gt;="&amp;$C$7,BD!$A$3:$A$5001,"&lt;="&amp;$D$7,BD!$M$3:$M$5001,"&lt;&gt;")=0,"",SUMIFS(BD!$L$3:$L$5001,BD!$B$3:$B$5001,L$89,BD!$A$3:$A$5001,_xlfn.MAXIFS(BD!$A$3:$A$5001,BD!$B$3:$B$5001,L$89,BD!$A$3:$A$5001,"&gt;="&amp;$C$7,BD!$A$3:$A$5001,"&lt;="&amp;$D$7,BD!$M$3:$M$5001,"&lt;&gt;"))))=0,"",IF(COUNTIFS(BD!$B$3:$B$5001,L$89,BD!$A$3:$A$5001,"&gt;="&amp;$C$7,BD!$A$3:$A$5001,"&lt;="&amp;$D$7,BD!$M$3:$M$5001,"&lt;&gt;")=0,"",SUMIFS(BD!$L$3:$L$5001,BD!$B$3:$B$5001,L$89,BD!$A$3:$A$5001,_xlfn.MAXIFS(BD!$A$3:$A$5001,BD!$B$3:$B$5001,L$89,BD!$A$3:$A$5001,"&gt;="&amp;$C$7,BD!$A$3:$A$5001,"&lt;="&amp;$D$7,BD!$M$3:$M$5001,"&lt;&gt;")))),"—"))</f>
        <v/>
      </c>
      <c r="M99" s="32" t="str">
        <f>IF(M$89="","",IF(Config!$M$46&lt;&gt;"Não",IF(N(IF(COUNTIFS(BD!$B$3:$B$5001,M$89,BD!$A$3:$A$5001,"&gt;="&amp;$C$7,BD!$A$3:$A$5001,"&lt;="&amp;$D$7,BD!$M$3:$M$5001,"&lt;&gt;")=0,"",SUMIFS(BD!$L$3:$L$5001,BD!$B$3:$B$5001,M$89,BD!$A$3:$A$5001,_xlfn.MAXIFS(BD!$A$3:$A$5001,BD!$B$3:$B$5001,M$89,BD!$A$3:$A$5001,"&gt;="&amp;$C$7,BD!$A$3:$A$5001,"&lt;="&amp;$D$7,BD!$M$3:$M$5001,"&lt;&gt;"))))=0,"",IF(COUNTIFS(BD!$B$3:$B$5001,M$89,BD!$A$3:$A$5001,"&gt;="&amp;$C$7,BD!$A$3:$A$5001,"&lt;="&amp;$D$7,BD!$M$3:$M$5001,"&lt;&gt;")=0,"",SUMIFS(BD!$L$3:$L$5001,BD!$B$3:$B$5001,M$89,BD!$A$3:$A$5001,_xlfn.MAXIFS(BD!$A$3:$A$5001,BD!$B$3:$B$5001,M$89,BD!$A$3:$A$5001,"&gt;="&amp;$C$7,BD!$A$3:$A$5001,"&lt;="&amp;$D$7,BD!$M$3:$M$5001,"&lt;&gt;")))),"—"))</f>
        <v/>
      </c>
      <c r="N99" s="32" t="str">
        <f>IF(N$89="","",IF(Config!$M$47&lt;&gt;"Não",IF(N(IF(COUNTIFS(BD!$B$3:$B$5001,N$89,BD!$A$3:$A$5001,"&gt;="&amp;$C$7,BD!$A$3:$A$5001,"&lt;="&amp;$D$7,BD!$M$3:$M$5001,"&lt;&gt;")=0,"",SUMIFS(BD!$L$3:$L$5001,BD!$B$3:$B$5001,N$89,BD!$A$3:$A$5001,_xlfn.MAXIFS(BD!$A$3:$A$5001,BD!$B$3:$B$5001,N$89,BD!$A$3:$A$5001,"&gt;="&amp;$C$7,BD!$A$3:$A$5001,"&lt;="&amp;$D$7,BD!$M$3:$M$5001,"&lt;&gt;"))))=0,"",IF(COUNTIFS(BD!$B$3:$B$5001,N$89,BD!$A$3:$A$5001,"&gt;="&amp;$C$7,BD!$A$3:$A$5001,"&lt;="&amp;$D$7,BD!$M$3:$M$5001,"&lt;&gt;")=0,"",SUMIFS(BD!$L$3:$L$5001,BD!$B$3:$B$5001,N$89,BD!$A$3:$A$5001,_xlfn.MAXIFS(BD!$A$3:$A$5001,BD!$B$3:$B$5001,N$89,BD!$A$3:$A$5001,"&gt;="&amp;$C$7,BD!$A$3:$A$5001,"&lt;="&amp;$D$7,BD!$M$3:$M$5001,"&lt;&gt;")))),"—"))</f>
        <v/>
      </c>
      <c r="O99" s="32" t="str">
        <f>IF(O$89="","",IF(Config!$M$48&lt;&gt;"Não",IF(N(IF(COUNTIFS(BD!$B$3:$B$5001,O$89,BD!$A$3:$A$5001,"&gt;="&amp;$C$7,BD!$A$3:$A$5001,"&lt;="&amp;$D$7,BD!$M$3:$M$5001,"&lt;&gt;")=0,"",SUMIFS(BD!$L$3:$L$5001,BD!$B$3:$B$5001,O$89,BD!$A$3:$A$5001,_xlfn.MAXIFS(BD!$A$3:$A$5001,BD!$B$3:$B$5001,O$89,BD!$A$3:$A$5001,"&gt;="&amp;$C$7,BD!$A$3:$A$5001,"&lt;="&amp;$D$7,BD!$M$3:$M$5001,"&lt;&gt;"))))=0,"",IF(COUNTIFS(BD!$B$3:$B$5001,O$89,BD!$A$3:$A$5001,"&gt;="&amp;$C$7,BD!$A$3:$A$5001,"&lt;="&amp;$D$7,BD!$M$3:$M$5001,"&lt;&gt;")=0,"",SUMIFS(BD!$L$3:$L$5001,BD!$B$3:$B$5001,O$89,BD!$A$3:$A$5001,_xlfn.MAXIFS(BD!$A$3:$A$5001,BD!$B$3:$B$5001,O$89,BD!$A$3:$A$5001,"&gt;="&amp;$C$7,BD!$A$3:$A$5001,"&lt;="&amp;$D$7,BD!$M$3:$M$5001,"&lt;&gt;")))),"—"))</f>
        <v/>
      </c>
      <c r="P99" s="32" t="str">
        <f>IF(P$89="","",IF(Config!$M$49&lt;&gt;"Não",IF(N(IF(COUNTIFS(BD!$B$3:$B$5001,P$89,BD!$A$3:$A$5001,"&gt;="&amp;$C$7,BD!$A$3:$A$5001,"&lt;="&amp;$D$7,BD!$M$3:$M$5001,"&lt;&gt;")=0,"",SUMIFS(BD!$L$3:$L$5001,BD!$B$3:$B$5001,P$89,BD!$A$3:$A$5001,_xlfn.MAXIFS(BD!$A$3:$A$5001,BD!$B$3:$B$5001,P$89,BD!$A$3:$A$5001,"&gt;="&amp;$C$7,BD!$A$3:$A$5001,"&lt;="&amp;$D$7,BD!$M$3:$M$5001,"&lt;&gt;"))))=0,"",IF(COUNTIFS(BD!$B$3:$B$5001,P$89,BD!$A$3:$A$5001,"&gt;="&amp;$C$7,BD!$A$3:$A$5001,"&lt;="&amp;$D$7,BD!$M$3:$M$5001,"&lt;&gt;")=0,"",SUMIFS(BD!$L$3:$L$5001,BD!$B$3:$B$5001,P$89,BD!$A$3:$A$5001,_xlfn.MAXIFS(BD!$A$3:$A$5001,BD!$B$3:$B$5001,P$89,BD!$A$3:$A$5001,"&gt;="&amp;$C$7,BD!$A$3:$A$5001,"&lt;="&amp;$D$7,BD!$M$3:$M$5001,"&lt;&gt;")))),"—"))</f>
        <v/>
      </c>
      <c r="Q99" s="32" t="str">
        <f>IF(Q$89="","",IF(Config!$M$50&lt;&gt;"Não",IF(N(IF(COUNTIFS(BD!$B$3:$B$5001,Q$89,BD!$A$3:$A$5001,"&gt;="&amp;$C$7,BD!$A$3:$A$5001,"&lt;="&amp;$D$7,BD!$M$3:$M$5001,"&lt;&gt;")=0,"",SUMIFS(BD!$L$3:$L$5001,BD!$B$3:$B$5001,Q$89,BD!$A$3:$A$5001,_xlfn.MAXIFS(BD!$A$3:$A$5001,BD!$B$3:$B$5001,Q$89,BD!$A$3:$A$5001,"&gt;="&amp;$C$7,BD!$A$3:$A$5001,"&lt;="&amp;$D$7,BD!$M$3:$M$5001,"&lt;&gt;"))))=0,"",IF(COUNTIFS(BD!$B$3:$B$5001,Q$89,BD!$A$3:$A$5001,"&gt;="&amp;$C$7,BD!$A$3:$A$5001,"&lt;="&amp;$D$7,BD!$M$3:$M$5001,"&lt;&gt;")=0,"",SUMIFS(BD!$L$3:$L$5001,BD!$B$3:$B$5001,Q$89,BD!$A$3:$A$5001,_xlfn.MAXIFS(BD!$A$3:$A$5001,BD!$B$3:$B$5001,Q$89,BD!$A$3:$A$5001,"&gt;="&amp;$C$7,BD!$A$3:$A$5001,"&lt;="&amp;$D$7,BD!$M$3:$M$5001,"&lt;&gt;")))),"—"))</f>
        <v/>
      </c>
      <c r="R99" s="32" t="str">
        <f>IF(R$89="","",IF(Config!$M$51&lt;&gt;"Não",IF(N(IF(COUNTIFS(BD!$B$3:$B$5001,R$89,BD!$A$3:$A$5001,"&gt;="&amp;$C$7,BD!$A$3:$A$5001,"&lt;="&amp;$D$7,BD!$M$3:$M$5001,"&lt;&gt;")=0,"",SUMIFS(BD!$L$3:$L$5001,BD!$B$3:$B$5001,R$89,BD!$A$3:$A$5001,_xlfn.MAXIFS(BD!$A$3:$A$5001,BD!$B$3:$B$5001,R$89,BD!$A$3:$A$5001,"&gt;="&amp;$C$7,BD!$A$3:$A$5001,"&lt;="&amp;$D$7,BD!$M$3:$M$5001,"&lt;&gt;"))))=0,"",IF(COUNTIFS(BD!$B$3:$B$5001,R$89,BD!$A$3:$A$5001,"&gt;="&amp;$C$7,BD!$A$3:$A$5001,"&lt;="&amp;$D$7,BD!$M$3:$M$5001,"&lt;&gt;")=0,"",SUMIFS(BD!$L$3:$L$5001,BD!$B$3:$B$5001,R$89,BD!$A$3:$A$5001,_xlfn.MAXIFS(BD!$A$3:$A$5001,BD!$B$3:$B$5001,R$89,BD!$A$3:$A$5001,"&gt;="&amp;$C$7,BD!$A$3:$A$5001,"&lt;="&amp;$D$7,BD!$M$3:$M$5001,"&lt;&gt;")))),"—"))</f>
        <v/>
      </c>
      <c r="S99" s="32" t="str">
        <f>IF(S$89="","",IF(Config!$M$52&lt;&gt;"Não",IF(N(IF(COUNTIFS(BD!$B$3:$B$5001,S$89,BD!$A$3:$A$5001,"&gt;="&amp;$C$7,BD!$A$3:$A$5001,"&lt;="&amp;$D$7,BD!$M$3:$M$5001,"&lt;&gt;")=0,"",SUMIFS(BD!$L$3:$L$5001,BD!$B$3:$B$5001,S$89,BD!$A$3:$A$5001,_xlfn.MAXIFS(BD!$A$3:$A$5001,BD!$B$3:$B$5001,S$89,BD!$A$3:$A$5001,"&gt;="&amp;$C$7,BD!$A$3:$A$5001,"&lt;="&amp;$D$7,BD!$M$3:$M$5001,"&lt;&gt;"))))=0,"",IF(COUNTIFS(BD!$B$3:$B$5001,S$89,BD!$A$3:$A$5001,"&gt;="&amp;$C$7,BD!$A$3:$A$5001,"&lt;="&amp;$D$7,BD!$M$3:$M$5001,"&lt;&gt;")=0,"",SUMIFS(BD!$L$3:$L$5001,BD!$B$3:$B$5001,S$89,BD!$A$3:$A$5001,_xlfn.MAXIFS(BD!$A$3:$A$5001,BD!$B$3:$B$5001,S$89,BD!$A$3:$A$5001,"&gt;="&amp;$C$7,BD!$A$3:$A$5001,"&lt;="&amp;$D$7,BD!$M$3:$M$5001,"&lt;&gt;")))),"—"))</f>
        <v/>
      </c>
      <c r="T99" s="32" t="str">
        <f>IF(T$89="","",IF(Config!$M$53&lt;&gt;"Não",IF(N(IF(COUNTIFS(BD!$B$3:$B$5001,T$89,BD!$A$3:$A$5001,"&gt;="&amp;$C$7,BD!$A$3:$A$5001,"&lt;="&amp;$D$7,BD!$M$3:$M$5001,"&lt;&gt;")=0,"",SUMIFS(BD!$L$3:$L$5001,BD!$B$3:$B$5001,T$89,BD!$A$3:$A$5001,_xlfn.MAXIFS(BD!$A$3:$A$5001,BD!$B$3:$B$5001,T$89,BD!$A$3:$A$5001,"&gt;="&amp;$C$7,BD!$A$3:$A$5001,"&lt;="&amp;$D$7,BD!$M$3:$M$5001,"&lt;&gt;"))))=0,"",IF(COUNTIFS(BD!$B$3:$B$5001,T$89,BD!$A$3:$A$5001,"&gt;="&amp;$C$7,BD!$A$3:$A$5001,"&lt;="&amp;$D$7,BD!$M$3:$M$5001,"&lt;&gt;")=0,"",SUMIFS(BD!$L$3:$L$5001,BD!$B$3:$B$5001,T$89,BD!$A$3:$A$5001,_xlfn.MAXIFS(BD!$A$3:$A$5001,BD!$B$3:$B$5001,T$89,BD!$A$3:$A$5001,"&gt;="&amp;$C$7,BD!$A$3:$A$5001,"&lt;="&amp;$D$7,BD!$M$3:$M$5001,"&lt;&gt;")))),"—"))</f>
        <v/>
      </c>
      <c r="U99" s="32" t="str">
        <f>IF(U$89="","",IF(Config!$M$54&lt;&gt;"Não",IF(N(IF(COUNTIFS(BD!$B$3:$B$5001,U$89,BD!$A$3:$A$5001,"&gt;="&amp;$C$7,BD!$A$3:$A$5001,"&lt;="&amp;$D$7,BD!$M$3:$M$5001,"&lt;&gt;")=0,"",SUMIFS(BD!$L$3:$L$5001,BD!$B$3:$B$5001,U$89,BD!$A$3:$A$5001,_xlfn.MAXIFS(BD!$A$3:$A$5001,BD!$B$3:$B$5001,U$89,BD!$A$3:$A$5001,"&gt;="&amp;$C$7,BD!$A$3:$A$5001,"&lt;="&amp;$D$7,BD!$M$3:$M$5001,"&lt;&gt;"))))=0,"",IF(COUNTIFS(BD!$B$3:$B$5001,U$89,BD!$A$3:$A$5001,"&gt;="&amp;$C$7,BD!$A$3:$A$5001,"&lt;="&amp;$D$7,BD!$M$3:$M$5001,"&lt;&gt;")=0,"",SUMIFS(BD!$L$3:$L$5001,BD!$B$3:$B$5001,U$89,BD!$A$3:$A$5001,_xlfn.MAXIFS(BD!$A$3:$A$5001,BD!$B$3:$B$5001,U$89,BD!$A$3:$A$5001,"&gt;="&amp;$C$7,BD!$A$3:$A$5001,"&lt;="&amp;$D$7,BD!$M$3:$M$5001,"&lt;&gt;")))),"—"))</f>
        <v/>
      </c>
      <c r="V99" s="62">
        <f>IF($B$4&gt;0,$B$4,SUM(B99:U99))</f>
        <v>5872</v>
      </c>
    </row>
    <row r="100">
      <c r="A100" s="29" t="inlineStr">
        <is>
          <t xml:space="preserve">OCUPAÇÃO (P.P) · Posições Ocupadas</t>
        </is>
      </c>
      <c r="B100" s="32" t="str">
        <f>IF(B$89="","",IF(Config!$N$35&lt;&gt;"Não",IF(COUNTIFS(BD!$B$3:$B$5001,B$89,BD!$A$3:$A$5001,"&gt;="&amp;$C$7,BD!$A$3:$A$5001,"&lt;="&amp;$D$7,BD!$M$3:$M$5001,"&lt;&gt;")=0,"",SUMIFS(BD!$M$3:$M$5001,BD!$B$3:$B$5001,B$89,BD!$A$3:$A$5001,_xlfn.MAXIFS(BD!$A$3:$A$5001,BD!$B$3:$B$5001,B$89,BD!$A$3:$A$5001,"&gt;="&amp;$C$7,BD!$A$3:$A$5001,"&lt;="&amp;$D$7,BD!$M$3:$M$5001,"&lt;&gt;"))),"—"))</f>
        <v/>
      </c>
      <c r="C100" s="32" t="str">
        <f>IF(C$89="","",IF(Config!$N$36&lt;&gt;"Não",IF(COUNTIFS(BD!$B$3:$B$5001,C$89,BD!$A$3:$A$5001,"&gt;="&amp;$C$7,BD!$A$3:$A$5001,"&lt;="&amp;$D$7,BD!$M$3:$M$5001,"&lt;&gt;")=0,"",SUMIFS(BD!$M$3:$M$5001,BD!$B$3:$B$5001,C$89,BD!$A$3:$A$5001,_xlfn.MAXIFS(BD!$A$3:$A$5001,BD!$B$3:$B$5001,C$89,BD!$A$3:$A$5001,"&gt;="&amp;$C$7,BD!$A$3:$A$5001,"&lt;="&amp;$D$7,BD!$M$3:$M$5001,"&lt;&gt;"))),"—"))</f>
        <v>—</v>
      </c>
      <c r="D100" s="32" t="str">
        <f>IF(D$89="","",IF(Config!$N$37&lt;&gt;"Não",IF(COUNTIFS(BD!$B$3:$B$5001,D$89,BD!$A$3:$A$5001,"&gt;="&amp;$C$7,BD!$A$3:$A$5001,"&lt;="&amp;$D$7,BD!$M$3:$M$5001,"&lt;&gt;")=0,"",SUMIFS(BD!$M$3:$M$5001,BD!$B$3:$B$5001,D$89,BD!$A$3:$A$5001,_xlfn.MAXIFS(BD!$A$3:$A$5001,BD!$B$3:$B$5001,D$89,BD!$A$3:$A$5001,"&gt;="&amp;$C$7,BD!$A$3:$A$5001,"&lt;="&amp;$D$7,BD!$M$3:$M$5001,"&lt;&gt;"))),"—"))</f>
        <v/>
      </c>
      <c r="E100" s="32" t="str">
        <f>IF(E$89="","",IF(Config!$N$38&lt;&gt;"Não",IF(COUNTIFS(BD!$B$3:$B$5001,E$89,BD!$A$3:$A$5001,"&gt;="&amp;$C$7,BD!$A$3:$A$5001,"&lt;="&amp;$D$7,BD!$M$3:$M$5001,"&lt;&gt;")=0,"",SUMIFS(BD!$M$3:$M$5001,BD!$B$3:$B$5001,E$89,BD!$A$3:$A$5001,_xlfn.MAXIFS(BD!$A$3:$A$5001,BD!$B$3:$B$5001,E$89,BD!$A$3:$A$5001,"&gt;="&amp;$C$7,BD!$A$3:$A$5001,"&lt;="&amp;$D$7,BD!$M$3:$M$5001,"&lt;&gt;"))),"—"))</f>
        <v/>
      </c>
      <c r="F100" s="32" t="str">
        <f>IF(F$89="","",IF(Config!$N$39&lt;&gt;"Não",IF(COUNTIFS(BD!$B$3:$B$5001,F$89,BD!$A$3:$A$5001,"&gt;="&amp;$C$7,BD!$A$3:$A$5001,"&lt;="&amp;$D$7,BD!$M$3:$M$5001,"&lt;&gt;")=0,"",SUMIFS(BD!$M$3:$M$5001,BD!$B$3:$B$5001,F$89,BD!$A$3:$A$5001,_xlfn.MAXIFS(BD!$A$3:$A$5001,BD!$B$3:$B$5001,F$89,BD!$A$3:$A$5001,"&gt;="&amp;$C$7,BD!$A$3:$A$5001,"&lt;="&amp;$D$7,BD!$M$3:$M$5001,"&lt;&gt;"))),"—"))</f>
        <v/>
      </c>
      <c r="G100" s="32" t="str">
        <f>IF(G$89="","",IF(Config!$N$40&lt;&gt;"Não",IF(COUNTIFS(BD!$B$3:$B$5001,G$89,BD!$A$3:$A$5001,"&gt;="&amp;$C$7,BD!$A$3:$A$5001,"&lt;="&amp;$D$7,BD!$M$3:$M$5001,"&lt;&gt;")=0,"",SUMIFS(BD!$M$3:$M$5001,BD!$B$3:$B$5001,G$89,BD!$A$3:$A$5001,_xlfn.MAXIFS(BD!$A$3:$A$5001,BD!$B$3:$B$5001,G$89,BD!$A$3:$A$5001,"&gt;="&amp;$C$7,BD!$A$3:$A$5001,"&lt;="&amp;$D$7,BD!$M$3:$M$5001,"&lt;&gt;"))),"—"))</f>
        <v/>
      </c>
      <c r="H100" s="32" t="str">
        <f>IF(H$89="","",IF(Config!$N$41&lt;&gt;"Não",IF(COUNTIFS(BD!$B$3:$B$5001,H$89,BD!$A$3:$A$5001,"&gt;="&amp;$C$7,BD!$A$3:$A$5001,"&lt;="&amp;$D$7,BD!$M$3:$M$5001,"&lt;&gt;")=0,"",SUMIFS(BD!$M$3:$M$5001,BD!$B$3:$B$5001,H$89,BD!$A$3:$A$5001,_xlfn.MAXIFS(BD!$A$3:$A$5001,BD!$B$3:$B$5001,H$89,BD!$A$3:$A$5001,"&gt;="&amp;$C$7,BD!$A$3:$A$5001,"&lt;="&amp;$D$7,BD!$M$3:$M$5001,"&lt;&gt;"))),"—"))</f>
        <v/>
      </c>
      <c r="I100" s="32" t="str">
        <f>IF(I$89="","",IF(Config!$N$42&lt;&gt;"Não",IF(COUNTIFS(BD!$B$3:$B$5001,I$89,BD!$A$3:$A$5001,"&gt;="&amp;$C$7,BD!$A$3:$A$5001,"&lt;="&amp;$D$7,BD!$M$3:$M$5001,"&lt;&gt;")=0,"",SUMIFS(BD!$M$3:$M$5001,BD!$B$3:$B$5001,I$89,BD!$A$3:$A$5001,_xlfn.MAXIFS(BD!$A$3:$A$5001,BD!$B$3:$B$5001,I$89,BD!$A$3:$A$5001,"&gt;="&amp;$C$7,BD!$A$3:$A$5001,"&lt;="&amp;$D$7,BD!$M$3:$M$5001,"&lt;&gt;"))),"—"))</f>
        <v/>
      </c>
      <c r="J100" s="32" t="str">
        <f>IF(J$89="","",IF(Config!$N$43&lt;&gt;"Não",IF(COUNTIFS(BD!$B$3:$B$5001,J$89,BD!$A$3:$A$5001,"&gt;="&amp;$C$7,BD!$A$3:$A$5001,"&lt;="&amp;$D$7,BD!$M$3:$M$5001,"&lt;&gt;")=0,"",SUMIFS(BD!$M$3:$M$5001,BD!$B$3:$B$5001,J$89,BD!$A$3:$A$5001,_xlfn.MAXIFS(BD!$A$3:$A$5001,BD!$B$3:$B$5001,J$89,BD!$A$3:$A$5001,"&gt;="&amp;$C$7,BD!$A$3:$A$5001,"&lt;="&amp;$D$7,BD!$M$3:$M$5001,"&lt;&gt;"))),"—"))</f>
        <v/>
      </c>
      <c r="K100" s="32" t="str">
        <f>IF(K$89="","",IF(Config!$N$44&lt;&gt;"Não",IF(COUNTIFS(BD!$B$3:$B$5001,K$89,BD!$A$3:$A$5001,"&gt;="&amp;$C$7,BD!$A$3:$A$5001,"&lt;="&amp;$D$7,BD!$M$3:$M$5001,"&lt;&gt;")=0,"",SUMIFS(BD!$M$3:$M$5001,BD!$B$3:$B$5001,K$89,BD!$A$3:$A$5001,_xlfn.MAXIFS(BD!$A$3:$A$5001,BD!$B$3:$B$5001,K$89,BD!$A$3:$A$5001,"&gt;="&amp;$C$7,BD!$A$3:$A$5001,"&lt;="&amp;$D$7,BD!$M$3:$M$5001,"&lt;&gt;"))),"—"))</f>
        <v/>
      </c>
      <c r="L100" s="32" t="str">
        <f>IF(L$89="","",IF(Config!$N$45&lt;&gt;"Não",IF(COUNTIFS(BD!$B$3:$B$5001,L$89,BD!$A$3:$A$5001,"&gt;="&amp;$C$7,BD!$A$3:$A$5001,"&lt;="&amp;$D$7,BD!$M$3:$M$5001,"&lt;&gt;")=0,"",SUMIFS(BD!$M$3:$M$5001,BD!$B$3:$B$5001,L$89,BD!$A$3:$A$5001,_xlfn.MAXIFS(BD!$A$3:$A$5001,BD!$B$3:$B$5001,L$89,BD!$A$3:$A$5001,"&gt;="&amp;$C$7,BD!$A$3:$A$5001,"&lt;="&amp;$D$7,BD!$M$3:$M$5001,"&lt;&gt;"))),"—"))</f>
        <v/>
      </c>
      <c r="M100" s="32" t="str">
        <f>IF(M$89="","",IF(Config!$N$46&lt;&gt;"Não",IF(COUNTIFS(BD!$B$3:$B$5001,M$89,BD!$A$3:$A$5001,"&gt;="&amp;$C$7,BD!$A$3:$A$5001,"&lt;="&amp;$D$7,BD!$M$3:$M$5001,"&lt;&gt;")=0,"",SUMIFS(BD!$M$3:$M$5001,BD!$B$3:$B$5001,M$89,BD!$A$3:$A$5001,_xlfn.MAXIFS(BD!$A$3:$A$5001,BD!$B$3:$B$5001,M$89,BD!$A$3:$A$5001,"&gt;="&amp;$C$7,BD!$A$3:$A$5001,"&lt;="&amp;$D$7,BD!$M$3:$M$5001,"&lt;&gt;"))),"—"))</f>
        <v/>
      </c>
      <c r="N100" s="32" t="str">
        <f>IF(N$89="","",IF(Config!$N$47&lt;&gt;"Não",IF(COUNTIFS(BD!$B$3:$B$5001,N$89,BD!$A$3:$A$5001,"&gt;="&amp;$C$7,BD!$A$3:$A$5001,"&lt;="&amp;$D$7,BD!$M$3:$M$5001,"&lt;&gt;")=0,"",SUMIFS(BD!$M$3:$M$5001,BD!$B$3:$B$5001,N$89,BD!$A$3:$A$5001,_xlfn.MAXIFS(BD!$A$3:$A$5001,BD!$B$3:$B$5001,N$89,BD!$A$3:$A$5001,"&gt;="&amp;$C$7,BD!$A$3:$A$5001,"&lt;="&amp;$D$7,BD!$M$3:$M$5001,"&lt;&gt;"))),"—"))</f>
        <v/>
      </c>
      <c r="O100" s="32" t="str">
        <f>IF(O$89="","",IF(Config!$N$48&lt;&gt;"Não",IF(COUNTIFS(BD!$B$3:$B$5001,O$89,BD!$A$3:$A$5001,"&gt;="&amp;$C$7,BD!$A$3:$A$5001,"&lt;="&amp;$D$7,BD!$M$3:$M$5001,"&lt;&gt;")=0,"",SUMIFS(BD!$M$3:$M$5001,BD!$B$3:$B$5001,O$89,BD!$A$3:$A$5001,_xlfn.MAXIFS(BD!$A$3:$A$5001,BD!$B$3:$B$5001,O$89,BD!$A$3:$A$5001,"&gt;="&amp;$C$7,BD!$A$3:$A$5001,"&lt;="&amp;$D$7,BD!$M$3:$M$5001,"&lt;&gt;"))),"—"))</f>
        <v/>
      </c>
      <c r="P100" s="32" t="str">
        <f>IF(P$89="","",IF(Config!$N$49&lt;&gt;"Não",IF(COUNTIFS(BD!$B$3:$B$5001,P$89,BD!$A$3:$A$5001,"&gt;="&amp;$C$7,BD!$A$3:$A$5001,"&lt;="&amp;$D$7,BD!$M$3:$M$5001,"&lt;&gt;")=0,"",SUMIFS(BD!$M$3:$M$5001,BD!$B$3:$B$5001,P$89,BD!$A$3:$A$5001,_xlfn.MAXIFS(BD!$A$3:$A$5001,BD!$B$3:$B$5001,P$89,BD!$A$3:$A$5001,"&gt;="&amp;$C$7,BD!$A$3:$A$5001,"&lt;="&amp;$D$7,BD!$M$3:$M$5001,"&lt;&gt;"))),"—"))</f>
        <v/>
      </c>
      <c r="Q100" s="32" t="str">
        <f>IF(Q$89="","",IF(Config!$N$50&lt;&gt;"Não",IF(COUNTIFS(BD!$B$3:$B$5001,Q$89,BD!$A$3:$A$5001,"&gt;="&amp;$C$7,BD!$A$3:$A$5001,"&lt;="&amp;$D$7,BD!$M$3:$M$5001,"&lt;&gt;")=0,"",SUMIFS(BD!$M$3:$M$5001,BD!$B$3:$B$5001,Q$89,BD!$A$3:$A$5001,_xlfn.MAXIFS(BD!$A$3:$A$5001,BD!$B$3:$B$5001,Q$89,BD!$A$3:$A$5001,"&gt;="&amp;$C$7,BD!$A$3:$A$5001,"&lt;="&amp;$D$7,BD!$M$3:$M$5001,"&lt;&gt;"))),"—"))</f>
        <v/>
      </c>
      <c r="R100" s="32" t="str">
        <f>IF(R$89="","",IF(Config!$N$51&lt;&gt;"Não",IF(COUNTIFS(BD!$B$3:$B$5001,R$89,BD!$A$3:$A$5001,"&gt;="&amp;$C$7,BD!$A$3:$A$5001,"&lt;="&amp;$D$7,BD!$M$3:$M$5001,"&lt;&gt;")=0,"",SUMIFS(BD!$M$3:$M$5001,BD!$B$3:$B$5001,R$89,BD!$A$3:$A$5001,_xlfn.MAXIFS(BD!$A$3:$A$5001,BD!$B$3:$B$5001,R$89,BD!$A$3:$A$5001,"&gt;="&amp;$C$7,BD!$A$3:$A$5001,"&lt;="&amp;$D$7,BD!$M$3:$M$5001,"&lt;&gt;"))),"—"))</f>
        <v/>
      </c>
      <c r="S100" s="32" t="str">
        <f>IF(S$89="","",IF(Config!$N$52&lt;&gt;"Não",IF(COUNTIFS(BD!$B$3:$B$5001,S$89,BD!$A$3:$A$5001,"&gt;="&amp;$C$7,BD!$A$3:$A$5001,"&lt;="&amp;$D$7,BD!$M$3:$M$5001,"&lt;&gt;")=0,"",SUMIFS(BD!$M$3:$M$5001,BD!$B$3:$B$5001,S$89,BD!$A$3:$A$5001,_xlfn.MAXIFS(BD!$A$3:$A$5001,BD!$B$3:$B$5001,S$89,BD!$A$3:$A$5001,"&gt;="&amp;$C$7,BD!$A$3:$A$5001,"&lt;="&amp;$D$7,BD!$M$3:$M$5001,"&lt;&gt;"))),"—"))</f>
        <v/>
      </c>
      <c r="T100" s="32" t="str">
        <f>IF(T$89="","",IF(Config!$N$53&lt;&gt;"Não",IF(COUNTIFS(BD!$B$3:$B$5001,T$89,BD!$A$3:$A$5001,"&gt;="&amp;$C$7,BD!$A$3:$A$5001,"&lt;="&amp;$D$7,BD!$M$3:$M$5001,"&lt;&gt;")=0,"",SUMIFS(BD!$M$3:$M$5001,BD!$B$3:$B$5001,T$89,BD!$A$3:$A$5001,_xlfn.MAXIFS(BD!$A$3:$A$5001,BD!$B$3:$B$5001,T$89,BD!$A$3:$A$5001,"&gt;="&amp;$C$7,BD!$A$3:$A$5001,"&lt;="&amp;$D$7,BD!$M$3:$M$5001,"&lt;&gt;"))),"—"))</f>
        <v/>
      </c>
      <c r="U100" s="32" t="str">
        <f>IF(U$89="","",IF(Config!$N$54&lt;&gt;"Não",IF(COUNTIFS(BD!$B$3:$B$5001,U$89,BD!$A$3:$A$5001,"&gt;="&amp;$C$7,BD!$A$3:$A$5001,"&lt;="&amp;$D$7,BD!$M$3:$M$5001,"&lt;&gt;")=0,"",SUMIFS(BD!$M$3:$M$5001,BD!$B$3:$B$5001,U$89,BD!$A$3:$A$5001,_xlfn.MAXIFS(BD!$A$3:$A$5001,BD!$B$3:$B$5001,U$89,BD!$A$3:$A$5001,"&gt;="&amp;$C$7,BD!$A$3:$A$5001,"&lt;="&amp;$D$7,BD!$M$3:$M$5001,"&lt;&gt;"))),"—"))</f>
        <v/>
      </c>
      <c r="V100" s="62">
        <f>SUM(B100:U100)</f>
        <v>0</v>
      </c>
    </row>
    <row r="101">
      <c r="A101" s="29" t="inlineStr">
        <is>
          <t xml:space="preserve">OCUPAÇÃO (P.P) · Taxa de Ocupação</t>
        </is>
      </c>
      <c r="B101" s="50" t="str">
        <f>IF(B$89="","",IF(AND(Config!$M$35&lt;&gt;"Não",Config!$N$35&lt;&gt;"Não"),IF(AND(ISNUMBER(B100),ISNUMBER(B99)),IF(B99&gt;0,B100/B99,""),""),"—"))</f>
        <v/>
      </c>
      <c r="C101" s="50" t="str">
        <f>IF(C$89="","",IF(AND(Config!$M$36&lt;&gt;"Não",Config!$N$36&lt;&gt;"Não"),IF(AND(ISNUMBER(C100),ISNUMBER(C99)),IF(C99&gt;0,C100/C99,""),""),"—"))</f>
        <v>—</v>
      </c>
      <c r="D101" s="50" t="str">
        <f>IF(D$89="","",IF(AND(Config!$M$37&lt;&gt;"Não",Config!$N$37&lt;&gt;"Não"),IF(AND(ISNUMBER(D100),ISNUMBER(D99)),IF(D99&gt;0,D100/D99,""),""),"—"))</f>
        <v>—</v>
      </c>
      <c r="E101" s="50" t="str">
        <f>IF(E$89="","",IF(AND(Config!$M$38&lt;&gt;"Não",Config!$N$38&lt;&gt;"Não"),IF(AND(ISNUMBER(E100),ISNUMBER(E99)),IF(E99&gt;0,E100/E99,""),""),"—"))</f>
        <v>—</v>
      </c>
      <c r="F101" s="50" t="str">
        <f>IF(F$89="","",IF(AND(Config!$M$39&lt;&gt;"Não",Config!$N$39&lt;&gt;"Não"),IF(AND(ISNUMBER(F100),ISNUMBER(F99)),IF(F99&gt;0,F100/F99,""),""),"—"))</f>
        <v/>
      </c>
      <c r="G101" s="50" t="str">
        <f>IF(G$89="","",IF(AND(Config!$M$40&lt;&gt;"Não",Config!$N$40&lt;&gt;"Não"),IF(AND(ISNUMBER(G100),ISNUMBER(G99)),IF(G99&gt;0,G100/G99,""),""),"—"))</f>
        <v/>
      </c>
      <c r="H101" s="50" t="str">
        <f>IF(H$89="","",IF(AND(Config!$M$41&lt;&gt;"Não",Config!$N$41&lt;&gt;"Não"),IF(AND(ISNUMBER(H100),ISNUMBER(H99)),IF(H99&gt;0,H100/H99,""),""),"—"))</f>
        <v/>
      </c>
      <c r="I101" s="50" t="str">
        <f>IF(I$89="","",IF(AND(Config!$M$42&lt;&gt;"Não",Config!$N$42&lt;&gt;"Não"),IF(AND(ISNUMBER(I100),ISNUMBER(I99)),IF(I99&gt;0,I100/I99,""),""),"—"))</f>
        <v/>
      </c>
      <c r="J101" s="50" t="str">
        <f>IF(J$89="","",IF(AND(Config!$M$43&lt;&gt;"Não",Config!$N$43&lt;&gt;"Não"),IF(AND(ISNUMBER(J100),ISNUMBER(J99)),IF(J99&gt;0,J100/J99,""),""),"—"))</f>
        <v/>
      </c>
      <c r="K101" s="50" t="str">
        <f>IF(K$89="","",IF(AND(Config!$M$44&lt;&gt;"Não",Config!$N$44&lt;&gt;"Não"),IF(AND(ISNUMBER(K100),ISNUMBER(K99)),IF(K99&gt;0,K100/K99,""),""),"—"))</f>
        <v/>
      </c>
      <c r="L101" s="50" t="str">
        <f>IF(L$89="","",IF(AND(Config!$M$45&lt;&gt;"Não",Config!$N$45&lt;&gt;"Não"),IF(AND(ISNUMBER(L100),ISNUMBER(L99)),IF(L99&gt;0,L100/L99,""),""),"—"))</f>
        <v/>
      </c>
      <c r="M101" s="50" t="str">
        <f>IF(M$89="","",IF(AND(Config!$M$46&lt;&gt;"Não",Config!$N$46&lt;&gt;"Não"),IF(AND(ISNUMBER(M100),ISNUMBER(M99)),IF(M99&gt;0,M100/M99,""),""),"—"))</f>
        <v/>
      </c>
      <c r="N101" s="50" t="str">
        <f>IF(N$89="","",IF(AND(Config!$M$47&lt;&gt;"Não",Config!$N$47&lt;&gt;"Não"),IF(AND(ISNUMBER(N100),ISNUMBER(N99)),IF(N99&gt;0,N100/N99,""),""),"—"))</f>
        <v/>
      </c>
      <c r="O101" s="50" t="str">
        <f>IF(O$89="","",IF(AND(Config!$M$48&lt;&gt;"Não",Config!$N$48&lt;&gt;"Não"),IF(AND(ISNUMBER(O100),ISNUMBER(O99)),IF(O99&gt;0,O100/O99,""),""),"—"))</f>
        <v/>
      </c>
      <c r="P101" s="50" t="str">
        <f>IF(P$89="","",IF(AND(Config!$M$49&lt;&gt;"Não",Config!$N$49&lt;&gt;"Não"),IF(AND(ISNUMBER(P100),ISNUMBER(P99)),IF(P99&gt;0,P100/P99,""),""),"—"))</f>
        <v/>
      </c>
      <c r="Q101" s="50" t="str">
        <f>IF(Q$89="","",IF(AND(Config!$M$50&lt;&gt;"Não",Config!$N$50&lt;&gt;"Não"),IF(AND(ISNUMBER(Q100),ISNUMBER(Q99)),IF(Q99&gt;0,Q100/Q99,""),""),"—"))</f>
        <v/>
      </c>
      <c r="R101" s="50" t="str">
        <f>IF(R$89="","",IF(AND(Config!$M$51&lt;&gt;"Não",Config!$N$51&lt;&gt;"Não"),IF(AND(ISNUMBER(R100),ISNUMBER(R99)),IF(R99&gt;0,R100/R99,""),""),"—"))</f>
        <v/>
      </c>
      <c r="S101" s="50" t="str">
        <f>IF(S$89="","",IF(AND(Config!$M$52&lt;&gt;"Não",Config!$N$52&lt;&gt;"Não"),IF(AND(ISNUMBER(S100),ISNUMBER(S99)),IF(S99&gt;0,S100/S99,""),""),"—"))</f>
        <v/>
      </c>
      <c r="T101" s="50" t="str">
        <f>IF(T$89="","",IF(AND(Config!$M$53&lt;&gt;"Não",Config!$N$53&lt;&gt;"Não"),IF(AND(ISNUMBER(T100),ISNUMBER(T99)),IF(T99&gt;0,T100/T99,""),""),"—"))</f>
        <v/>
      </c>
      <c r="U101" s="50" t="str">
        <f>IF(U$89="","",IF(AND(Config!$M$54&lt;&gt;"Não",Config!$N$54&lt;&gt;"Não"),IF(AND(ISNUMBER(U100),ISNUMBER(U99)),IF(U99&gt;0,U100/U99,""),""),"—"))</f>
        <v/>
      </c>
      <c r="V101" s="64">
        <f>IFERROR(V100/V99,"")</f>
        <v>0</v>
      </c>
    </row>
    <row r="102">
      <c r="A102" s="29" t="inlineStr">
        <is>
          <t xml:space="preserve">GENTE · Efetivo Op.</t>
        </is>
      </c>
      <c r="B102" s="32" t="str">
        <f>IF(B$89="","",IF(Config!$O$35&lt;&gt;"Não",IF(COUNTIFS(BD!$B$3:$B$5001,B$89,BD!$A$3:$A$5001,"&gt;="&amp;$C$7,BD!$A$3:$A$5001,"&lt;="&amp;$D$7,BD!$N$3:$N$5001,"&lt;&gt;")=0,"",SUMIFS(BD!$N$3:$N$5001,BD!$B$3:$B$5001,B$89,BD!$A$3:$A$5001,_xlfn.MAXIFS(BD!$A$3:$A$5001,BD!$B$3:$B$5001,B$89,BD!$A$3:$A$5001,"&gt;="&amp;$C$7,BD!$A$3:$A$5001,"&lt;="&amp;$D$7,BD!$N$3:$N$5001,"&lt;&gt;"))),"—"))</f>
        <v/>
      </c>
      <c r="C102" s="32" t="str">
        <f>IF(C$89="","",IF(Config!$O$36&lt;&gt;"Não",IF(COUNTIFS(BD!$B$3:$B$5001,C$89,BD!$A$3:$A$5001,"&gt;="&amp;$C$7,BD!$A$3:$A$5001,"&lt;="&amp;$D$7,BD!$N$3:$N$5001,"&lt;&gt;")=0,"",SUMIFS(BD!$N$3:$N$5001,BD!$B$3:$B$5001,C$89,BD!$A$3:$A$5001,_xlfn.MAXIFS(BD!$A$3:$A$5001,BD!$B$3:$B$5001,C$89,BD!$A$3:$A$5001,"&gt;="&amp;$C$7,BD!$A$3:$A$5001,"&lt;="&amp;$D$7,BD!$N$3:$N$5001,"&lt;&gt;"))),"—"))</f>
        <v/>
      </c>
      <c r="D102" s="32" t="str">
        <f>IF(D$89="","",IF(Config!$O$37&lt;&gt;"Não",IF(COUNTIFS(BD!$B$3:$B$5001,D$89,BD!$A$3:$A$5001,"&gt;="&amp;$C$7,BD!$A$3:$A$5001,"&lt;="&amp;$D$7,BD!$N$3:$N$5001,"&lt;&gt;")=0,"",SUMIFS(BD!$N$3:$N$5001,BD!$B$3:$B$5001,D$89,BD!$A$3:$A$5001,_xlfn.MAXIFS(BD!$A$3:$A$5001,BD!$B$3:$B$5001,D$89,BD!$A$3:$A$5001,"&gt;="&amp;$C$7,BD!$A$3:$A$5001,"&lt;="&amp;$D$7,BD!$N$3:$N$5001,"&lt;&gt;"))),"—"))</f>
        <v/>
      </c>
      <c r="E102" s="32" t="str">
        <f>IF(E$89="","",IF(Config!$O$38&lt;&gt;"Não",IF(COUNTIFS(BD!$B$3:$B$5001,E$89,BD!$A$3:$A$5001,"&gt;="&amp;$C$7,BD!$A$3:$A$5001,"&lt;="&amp;$D$7,BD!$N$3:$N$5001,"&lt;&gt;")=0,"",SUMIFS(BD!$N$3:$N$5001,BD!$B$3:$B$5001,E$89,BD!$A$3:$A$5001,_xlfn.MAXIFS(BD!$A$3:$A$5001,BD!$B$3:$B$5001,E$89,BD!$A$3:$A$5001,"&gt;="&amp;$C$7,BD!$A$3:$A$5001,"&lt;="&amp;$D$7,BD!$N$3:$N$5001,"&lt;&gt;"))),"—"))</f>
        <v/>
      </c>
      <c r="F102" s="32" t="str">
        <f>IF(F$89="","",IF(Config!$O$39&lt;&gt;"Não",IF(COUNTIFS(BD!$B$3:$B$5001,F$89,BD!$A$3:$A$5001,"&gt;="&amp;$C$7,BD!$A$3:$A$5001,"&lt;="&amp;$D$7,BD!$N$3:$N$5001,"&lt;&gt;")=0,"",SUMIFS(BD!$N$3:$N$5001,BD!$B$3:$B$5001,F$89,BD!$A$3:$A$5001,_xlfn.MAXIFS(BD!$A$3:$A$5001,BD!$B$3:$B$5001,F$89,BD!$A$3:$A$5001,"&gt;="&amp;$C$7,BD!$A$3:$A$5001,"&lt;="&amp;$D$7,BD!$N$3:$N$5001,"&lt;&gt;"))),"—"))</f>
        <v/>
      </c>
      <c r="G102" s="32" t="str">
        <f>IF(G$89="","",IF(Config!$O$40&lt;&gt;"Não",IF(COUNTIFS(BD!$B$3:$B$5001,G$89,BD!$A$3:$A$5001,"&gt;="&amp;$C$7,BD!$A$3:$A$5001,"&lt;="&amp;$D$7,BD!$N$3:$N$5001,"&lt;&gt;")=0,"",SUMIFS(BD!$N$3:$N$5001,BD!$B$3:$B$5001,G$89,BD!$A$3:$A$5001,_xlfn.MAXIFS(BD!$A$3:$A$5001,BD!$B$3:$B$5001,G$89,BD!$A$3:$A$5001,"&gt;="&amp;$C$7,BD!$A$3:$A$5001,"&lt;="&amp;$D$7,BD!$N$3:$N$5001,"&lt;&gt;"))),"—"))</f>
        <v/>
      </c>
      <c r="H102" s="32" t="str">
        <f>IF(H$89="","",IF(Config!$O$41&lt;&gt;"Não",IF(COUNTIFS(BD!$B$3:$B$5001,H$89,BD!$A$3:$A$5001,"&gt;="&amp;$C$7,BD!$A$3:$A$5001,"&lt;="&amp;$D$7,BD!$N$3:$N$5001,"&lt;&gt;")=0,"",SUMIFS(BD!$N$3:$N$5001,BD!$B$3:$B$5001,H$89,BD!$A$3:$A$5001,_xlfn.MAXIFS(BD!$A$3:$A$5001,BD!$B$3:$B$5001,H$89,BD!$A$3:$A$5001,"&gt;="&amp;$C$7,BD!$A$3:$A$5001,"&lt;="&amp;$D$7,BD!$N$3:$N$5001,"&lt;&gt;"))),"—"))</f>
        <v/>
      </c>
      <c r="I102" s="32" t="str">
        <f>IF(I$89="","",IF(Config!$O$42&lt;&gt;"Não",IF(COUNTIFS(BD!$B$3:$B$5001,I$89,BD!$A$3:$A$5001,"&gt;="&amp;$C$7,BD!$A$3:$A$5001,"&lt;="&amp;$D$7,BD!$N$3:$N$5001,"&lt;&gt;")=0,"",SUMIFS(BD!$N$3:$N$5001,BD!$B$3:$B$5001,I$89,BD!$A$3:$A$5001,_xlfn.MAXIFS(BD!$A$3:$A$5001,BD!$B$3:$B$5001,I$89,BD!$A$3:$A$5001,"&gt;="&amp;$C$7,BD!$A$3:$A$5001,"&lt;="&amp;$D$7,BD!$N$3:$N$5001,"&lt;&gt;"))),"—"))</f>
        <v/>
      </c>
      <c r="J102" s="32" t="str">
        <f>IF(J$89="","",IF(Config!$O$43&lt;&gt;"Não",IF(COUNTIFS(BD!$B$3:$B$5001,J$89,BD!$A$3:$A$5001,"&gt;="&amp;$C$7,BD!$A$3:$A$5001,"&lt;="&amp;$D$7,BD!$N$3:$N$5001,"&lt;&gt;")=0,"",SUMIFS(BD!$N$3:$N$5001,BD!$B$3:$B$5001,J$89,BD!$A$3:$A$5001,_xlfn.MAXIFS(BD!$A$3:$A$5001,BD!$B$3:$B$5001,J$89,BD!$A$3:$A$5001,"&gt;="&amp;$C$7,BD!$A$3:$A$5001,"&lt;="&amp;$D$7,BD!$N$3:$N$5001,"&lt;&gt;"))),"—"))</f>
        <v/>
      </c>
      <c r="K102" s="32" t="str">
        <f>IF(K$89="","",IF(Config!$O$44&lt;&gt;"Não",IF(COUNTIFS(BD!$B$3:$B$5001,K$89,BD!$A$3:$A$5001,"&gt;="&amp;$C$7,BD!$A$3:$A$5001,"&lt;="&amp;$D$7,BD!$N$3:$N$5001,"&lt;&gt;")=0,"",SUMIFS(BD!$N$3:$N$5001,BD!$B$3:$B$5001,K$89,BD!$A$3:$A$5001,_xlfn.MAXIFS(BD!$A$3:$A$5001,BD!$B$3:$B$5001,K$89,BD!$A$3:$A$5001,"&gt;="&amp;$C$7,BD!$A$3:$A$5001,"&lt;="&amp;$D$7,BD!$N$3:$N$5001,"&lt;&gt;"))),"—"))</f>
        <v/>
      </c>
      <c r="L102" s="32" t="str">
        <f>IF(L$89="","",IF(Config!$O$45&lt;&gt;"Não",IF(COUNTIFS(BD!$B$3:$B$5001,L$89,BD!$A$3:$A$5001,"&gt;="&amp;$C$7,BD!$A$3:$A$5001,"&lt;="&amp;$D$7,BD!$N$3:$N$5001,"&lt;&gt;")=0,"",SUMIFS(BD!$N$3:$N$5001,BD!$B$3:$B$5001,L$89,BD!$A$3:$A$5001,_xlfn.MAXIFS(BD!$A$3:$A$5001,BD!$B$3:$B$5001,L$89,BD!$A$3:$A$5001,"&gt;="&amp;$C$7,BD!$A$3:$A$5001,"&lt;="&amp;$D$7,BD!$N$3:$N$5001,"&lt;&gt;"))),"—"))</f>
        <v/>
      </c>
      <c r="M102" s="32" t="str">
        <f>IF(M$89="","",IF(Config!$O$46&lt;&gt;"Não",IF(COUNTIFS(BD!$B$3:$B$5001,M$89,BD!$A$3:$A$5001,"&gt;="&amp;$C$7,BD!$A$3:$A$5001,"&lt;="&amp;$D$7,BD!$N$3:$N$5001,"&lt;&gt;")=0,"",SUMIFS(BD!$N$3:$N$5001,BD!$B$3:$B$5001,M$89,BD!$A$3:$A$5001,_xlfn.MAXIFS(BD!$A$3:$A$5001,BD!$B$3:$B$5001,M$89,BD!$A$3:$A$5001,"&gt;="&amp;$C$7,BD!$A$3:$A$5001,"&lt;="&amp;$D$7,BD!$N$3:$N$5001,"&lt;&gt;"))),"—"))</f>
        <v/>
      </c>
      <c r="N102" s="32" t="str">
        <f>IF(N$89="","",IF(Config!$O$47&lt;&gt;"Não",IF(COUNTIFS(BD!$B$3:$B$5001,N$89,BD!$A$3:$A$5001,"&gt;="&amp;$C$7,BD!$A$3:$A$5001,"&lt;="&amp;$D$7,BD!$N$3:$N$5001,"&lt;&gt;")=0,"",SUMIFS(BD!$N$3:$N$5001,BD!$B$3:$B$5001,N$89,BD!$A$3:$A$5001,_xlfn.MAXIFS(BD!$A$3:$A$5001,BD!$B$3:$B$5001,N$89,BD!$A$3:$A$5001,"&gt;="&amp;$C$7,BD!$A$3:$A$5001,"&lt;="&amp;$D$7,BD!$N$3:$N$5001,"&lt;&gt;"))),"—"))</f>
        <v/>
      </c>
      <c r="O102" s="32" t="str">
        <f>IF(O$89="","",IF(Config!$O$48&lt;&gt;"Não",IF(COUNTIFS(BD!$B$3:$B$5001,O$89,BD!$A$3:$A$5001,"&gt;="&amp;$C$7,BD!$A$3:$A$5001,"&lt;="&amp;$D$7,BD!$N$3:$N$5001,"&lt;&gt;")=0,"",SUMIFS(BD!$N$3:$N$5001,BD!$B$3:$B$5001,O$89,BD!$A$3:$A$5001,_xlfn.MAXIFS(BD!$A$3:$A$5001,BD!$B$3:$B$5001,O$89,BD!$A$3:$A$5001,"&gt;="&amp;$C$7,BD!$A$3:$A$5001,"&lt;="&amp;$D$7,BD!$N$3:$N$5001,"&lt;&gt;"))),"—"))</f>
        <v/>
      </c>
      <c r="P102" s="32" t="str">
        <f>IF(P$89="","",IF(Config!$O$49&lt;&gt;"Não",IF(COUNTIFS(BD!$B$3:$B$5001,P$89,BD!$A$3:$A$5001,"&gt;="&amp;$C$7,BD!$A$3:$A$5001,"&lt;="&amp;$D$7,BD!$N$3:$N$5001,"&lt;&gt;")=0,"",SUMIFS(BD!$N$3:$N$5001,BD!$B$3:$B$5001,P$89,BD!$A$3:$A$5001,_xlfn.MAXIFS(BD!$A$3:$A$5001,BD!$B$3:$B$5001,P$89,BD!$A$3:$A$5001,"&gt;="&amp;$C$7,BD!$A$3:$A$5001,"&lt;="&amp;$D$7,BD!$N$3:$N$5001,"&lt;&gt;"))),"—"))</f>
        <v/>
      </c>
      <c r="Q102" s="32" t="str">
        <f>IF(Q$89="","",IF(Config!$O$50&lt;&gt;"Não",IF(COUNTIFS(BD!$B$3:$B$5001,Q$89,BD!$A$3:$A$5001,"&gt;="&amp;$C$7,BD!$A$3:$A$5001,"&lt;="&amp;$D$7,BD!$N$3:$N$5001,"&lt;&gt;")=0,"",SUMIFS(BD!$N$3:$N$5001,BD!$B$3:$B$5001,Q$89,BD!$A$3:$A$5001,_xlfn.MAXIFS(BD!$A$3:$A$5001,BD!$B$3:$B$5001,Q$89,BD!$A$3:$A$5001,"&gt;="&amp;$C$7,BD!$A$3:$A$5001,"&lt;="&amp;$D$7,BD!$N$3:$N$5001,"&lt;&gt;"))),"—"))</f>
        <v/>
      </c>
      <c r="R102" s="32" t="str">
        <f>IF(R$89="","",IF(Config!$O$51&lt;&gt;"Não",IF(COUNTIFS(BD!$B$3:$B$5001,R$89,BD!$A$3:$A$5001,"&gt;="&amp;$C$7,BD!$A$3:$A$5001,"&lt;="&amp;$D$7,BD!$N$3:$N$5001,"&lt;&gt;")=0,"",SUMIFS(BD!$N$3:$N$5001,BD!$B$3:$B$5001,R$89,BD!$A$3:$A$5001,_xlfn.MAXIFS(BD!$A$3:$A$5001,BD!$B$3:$B$5001,R$89,BD!$A$3:$A$5001,"&gt;="&amp;$C$7,BD!$A$3:$A$5001,"&lt;="&amp;$D$7,BD!$N$3:$N$5001,"&lt;&gt;"))),"—"))</f>
        <v/>
      </c>
      <c r="S102" s="32" t="str">
        <f>IF(S$89="","",IF(Config!$O$52&lt;&gt;"Não",IF(COUNTIFS(BD!$B$3:$B$5001,S$89,BD!$A$3:$A$5001,"&gt;="&amp;$C$7,BD!$A$3:$A$5001,"&lt;="&amp;$D$7,BD!$N$3:$N$5001,"&lt;&gt;")=0,"",SUMIFS(BD!$N$3:$N$5001,BD!$B$3:$B$5001,S$89,BD!$A$3:$A$5001,_xlfn.MAXIFS(BD!$A$3:$A$5001,BD!$B$3:$B$5001,S$89,BD!$A$3:$A$5001,"&gt;="&amp;$C$7,BD!$A$3:$A$5001,"&lt;="&amp;$D$7,BD!$N$3:$N$5001,"&lt;&gt;"))),"—"))</f>
        <v/>
      </c>
      <c r="T102" s="32" t="str">
        <f>IF(T$89="","",IF(Config!$O$53&lt;&gt;"Não",IF(COUNTIFS(BD!$B$3:$B$5001,T$89,BD!$A$3:$A$5001,"&gt;="&amp;$C$7,BD!$A$3:$A$5001,"&lt;="&amp;$D$7,BD!$N$3:$N$5001,"&lt;&gt;")=0,"",SUMIFS(BD!$N$3:$N$5001,BD!$B$3:$B$5001,T$89,BD!$A$3:$A$5001,_xlfn.MAXIFS(BD!$A$3:$A$5001,BD!$B$3:$B$5001,T$89,BD!$A$3:$A$5001,"&gt;="&amp;$C$7,BD!$A$3:$A$5001,"&lt;="&amp;$D$7,BD!$N$3:$N$5001,"&lt;&gt;"))),"—"))</f>
        <v/>
      </c>
      <c r="U102" s="32" t="str">
        <f>IF(U$89="","",IF(Config!$O$54&lt;&gt;"Não",IF(COUNTIFS(BD!$B$3:$B$5001,U$89,BD!$A$3:$A$5001,"&gt;="&amp;$C$7,BD!$A$3:$A$5001,"&lt;="&amp;$D$7,BD!$N$3:$N$5001,"&lt;&gt;")=0,"",SUMIFS(BD!$N$3:$N$5001,BD!$B$3:$B$5001,U$89,BD!$A$3:$A$5001,_xlfn.MAXIFS(BD!$A$3:$A$5001,BD!$B$3:$B$5001,U$89,BD!$A$3:$A$5001,"&gt;="&amp;$C$7,BD!$A$3:$A$5001,"&lt;="&amp;$D$7,BD!$N$3:$N$5001,"&lt;&gt;"))),"—"))</f>
        <v/>
      </c>
      <c r="V102" s="62">
        <f>SUM(B102:U102)</f>
        <v>0</v>
      </c>
    </row>
    <row r="103">
      <c r="A103" s="29" t="inlineStr">
        <is>
          <t xml:space="preserve">GENTE · Falta</t>
        </is>
      </c>
      <c r="B103" s="32">
        <f>IF(B$89="","",IF(Config!$P$35&lt;&gt;"Não",SUMIFS(BD!$O$3:$O$5001,BD!$B$3:$B$5001,B$89,BD!$A$3:$A$5001,"&gt;="&amp;$C$7,BD!$A$3:$A$5001,"&lt;="&amp;$D$7),"—"))</f>
        <v>0</v>
      </c>
      <c r="C103" s="32">
        <f>IF(C$89="","",IF(Config!$P$36&lt;&gt;"Não",SUMIFS(BD!$O$3:$O$5001,BD!$B$3:$B$5001,C$89,BD!$A$3:$A$5001,"&gt;="&amp;$C$7,BD!$A$3:$A$5001,"&lt;="&amp;$D$7),"—"))</f>
        <v>0</v>
      </c>
      <c r="D103" s="32">
        <f>IF(D$89="","",IF(Config!$P$37&lt;&gt;"Não",SUMIFS(BD!$O$3:$O$5001,BD!$B$3:$B$5001,D$89,BD!$A$3:$A$5001,"&gt;="&amp;$C$7,BD!$A$3:$A$5001,"&lt;="&amp;$D$7),"—"))</f>
        <v>0</v>
      </c>
      <c r="E103" s="32">
        <f>IF(E$89="","",IF(Config!$P$38&lt;&gt;"Não",SUMIFS(BD!$O$3:$O$5001,BD!$B$3:$B$5001,E$89,BD!$A$3:$A$5001,"&gt;="&amp;$C$7,BD!$A$3:$A$5001,"&lt;="&amp;$D$7),"—"))</f>
        <v>0</v>
      </c>
      <c r="F103" s="32">
        <f>IF(F$89="","",IF(Config!$P$39&lt;&gt;"Não",SUMIFS(BD!$O$3:$O$5001,BD!$B$3:$B$5001,F$89,BD!$A$3:$A$5001,"&gt;="&amp;$C$7,BD!$A$3:$A$5001,"&lt;="&amp;$D$7),"—"))</f>
        <v>0</v>
      </c>
      <c r="G103" s="32" t="str">
        <f>IF(G$89="","",IF(Config!$P$40&lt;&gt;"Não",SUMIFS(BD!$O$3:$O$5001,BD!$B$3:$B$5001,G$89,BD!$A$3:$A$5001,"&gt;="&amp;$C$7,BD!$A$3:$A$5001,"&lt;="&amp;$D$7),"—"))</f>
        <v/>
      </c>
      <c r="H103" s="32" t="str">
        <f>IF(H$89="","",IF(Config!$P$41&lt;&gt;"Não",SUMIFS(BD!$O$3:$O$5001,BD!$B$3:$B$5001,H$89,BD!$A$3:$A$5001,"&gt;="&amp;$C$7,BD!$A$3:$A$5001,"&lt;="&amp;$D$7),"—"))</f>
        <v/>
      </c>
      <c r="I103" s="32" t="str">
        <f>IF(I$89="","",IF(Config!$P$42&lt;&gt;"Não",SUMIFS(BD!$O$3:$O$5001,BD!$B$3:$B$5001,I$89,BD!$A$3:$A$5001,"&gt;="&amp;$C$7,BD!$A$3:$A$5001,"&lt;="&amp;$D$7),"—"))</f>
        <v/>
      </c>
      <c r="J103" s="32" t="str">
        <f>IF(J$89="","",IF(Config!$P$43&lt;&gt;"Não",SUMIFS(BD!$O$3:$O$5001,BD!$B$3:$B$5001,J$89,BD!$A$3:$A$5001,"&gt;="&amp;$C$7,BD!$A$3:$A$5001,"&lt;="&amp;$D$7),"—"))</f>
        <v/>
      </c>
      <c r="K103" s="32" t="str">
        <f>IF(K$89="","",IF(Config!$P$44&lt;&gt;"Não",SUMIFS(BD!$O$3:$O$5001,BD!$B$3:$B$5001,K$89,BD!$A$3:$A$5001,"&gt;="&amp;$C$7,BD!$A$3:$A$5001,"&lt;="&amp;$D$7),"—"))</f>
        <v/>
      </c>
      <c r="L103" s="32" t="str">
        <f>IF(L$89="","",IF(Config!$P$45&lt;&gt;"Não",SUMIFS(BD!$O$3:$O$5001,BD!$B$3:$B$5001,L$89,BD!$A$3:$A$5001,"&gt;="&amp;$C$7,BD!$A$3:$A$5001,"&lt;="&amp;$D$7),"—"))</f>
        <v/>
      </c>
      <c r="M103" s="32" t="str">
        <f>IF(M$89="","",IF(Config!$P$46&lt;&gt;"Não",SUMIFS(BD!$O$3:$O$5001,BD!$B$3:$B$5001,M$89,BD!$A$3:$A$5001,"&gt;="&amp;$C$7,BD!$A$3:$A$5001,"&lt;="&amp;$D$7),"—"))</f>
        <v/>
      </c>
      <c r="N103" s="32" t="str">
        <f>IF(N$89="","",IF(Config!$P$47&lt;&gt;"Não",SUMIFS(BD!$O$3:$O$5001,BD!$B$3:$B$5001,N$89,BD!$A$3:$A$5001,"&gt;="&amp;$C$7,BD!$A$3:$A$5001,"&lt;="&amp;$D$7),"—"))</f>
        <v/>
      </c>
      <c r="O103" s="32" t="str">
        <f>IF(O$89="","",IF(Config!$P$48&lt;&gt;"Não",SUMIFS(BD!$O$3:$O$5001,BD!$B$3:$B$5001,O$89,BD!$A$3:$A$5001,"&gt;="&amp;$C$7,BD!$A$3:$A$5001,"&lt;="&amp;$D$7),"—"))</f>
        <v/>
      </c>
      <c r="P103" s="32" t="str">
        <f>IF(P$89="","",IF(Config!$P$49&lt;&gt;"Não",SUMIFS(BD!$O$3:$O$5001,BD!$B$3:$B$5001,P$89,BD!$A$3:$A$5001,"&gt;="&amp;$C$7,BD!$A$3:$A$5001,"&lt;="&amp;$D$7),"—"))</f>
        <v/>
      </c>
      <c r="Q103" s="32" t="str">
        <f>IF(Q$89="","",IF(Config!$P$50&lt;&gt;"Não",SUMIFS(BD!$O$3:$O$5001,BD!$B$3:$B$5001,Q$89,BD!$A$3:$A$5001,"&gt;="&amp;$C$7,BD!$A$3:$A$5001,"&lt;="&amp;$D$7),"—"))</f>
        <v/>
      </c>
      <c r="R103" s="32" t="str">
        <f>IF(R$89="","",IF(Config!$P$51&lt;&gt;"Não",SUMIFS(BD!$O$3:$O$5001,BD!$B$3:$B$5001,R$89,BD!$A$3:$A$5001,"&gt;="&amp;$C$7,BD!$A$3:$A$5001,"&lt;="&amp;$D$7),"—"))</f>
        <v/>
      </c>
      <c r="S103" s="32" t="str">
        <f>IF(S$89="","",IF(Config!$P$52&lt;&gt;"Não",SUMIFS(BD!$O$3:$O$5001,BD!$B$3:$B$5001,S$89,BD!$A$3:$A$5001,"&gt;="&amp;$C$7,BD!$A$3:$A$5001,"&lt;="&amp;$D$7),"—"))</f>
        <v/>
      </c>
      <c r="T103" s="32" t="str">
        <f>IF(T$89="","",IF(Config!$P$53&lt;&gt;"Não",SUMIFS(BD!$O$3:$O$5001,BD!$B$3:$B$5001,T$89,BD!$A$3:$A$5001,"&gt;="&amp;$C$7,BD!$A$3:$A$5001,"&lt;="&amp;$D$7),"—"))</f>
        <v/>
      </c>
      <c r="U103" s="32" t="str">
        <f>IF(U$89="","",IF(Config!$P$54&lt;&gt;"Não",SUMIFS(BD!$O$3:$O$5001,BD!$B$3:$B$5001,U$89,BD!$A$3:$A$5001,"&gt;="&amp;$C$7,BD!$A$3:$A$5001,"&lt;="&amp;$D$7),"—"))</f>
        <v/>
      </c>
      <c r="V103" s="62">
        <f>SUM(B103:U103)</f>
        <v>0</v>
      </c>
    </row>
    <row r="104">
      <c r="A104" s="29" t="inlineStr">
        <is>
          <t xml:space="preserve">GENTE · Folga</t>
        </is>
      </c>
      <c r="B104" s="32">
        <f>IF(B$89="","",IF(Config!$Q$35&lt;&gt;"Não",SUMIFS(BD!$P$3:$P$5001,BD!$B$3:$B$5001,B$89,BD!$A$3:$A$5001,"&gt;="&amp;$C$7,BD!$A$3:$A$5001,"&lt;="&amp;$D$7),"—"))</f>
        <v>0</v>
      </c>
      <c r="C104" s="32">
        <f>IF(C$89="","",IF(Config!$Q$36&lt;&gt;"Não",SUMIFS(BD!$P$3:$P$5001,BD!$B$3:$B$5001,C$89,BD!$A$3:$A$5001,"&gt;="&amp;$C$7,BD!$A$3:$A$5001,"&lt;="&amp;$D$7),"—"))</f>
        <v>0</v>
      </c>
      <c r="D104" s="32">
        <f>IF(D$89="","",IF(Config!$Q$37&lt;&gt;"Não",SUMIFS(BD!$P$3:$P$5001,BD!$B$3:$B$5001,D$89,BD!$A$3:$A$5001,"&gt;="&amp;$C$7,BD!$A$3:$A$5001,"&lt;="&amp;$D$7),"—"))</f>
        <v>0</v>
      </c>
      <c r="E104" s="32">
        <f>IF(E$89="","",IF(Config!$Q$38&lt;&gt;"Não",SUMIFS(BD!$P$3:$P$5001,BD!$B$3:$B$5001,E$89,BD!$A$3:$A$5001,"&gt;="&amp;$C$7,BD!$A$3:$A$5001,"&lt;="&amp;$D$7),"—"))</f>
        <v>0</v>
      </c>
      <c r="F104" s="32">
        <f>IF(F$89="","",IF(Config!$Q$39&lt;&gt;"Não",SUMIFS(BD!$P$3:$P$5001,BD!$B$3:$B$5001,F$89,BD!$A$3:$A$5001,"&gt;="&amp;$C$7,BD!$A$3:$A$5001,"&lt;="&amp;$D$7),"—"))</f>
        <v>0</v>
      </c>
      <c r="G104" s="32" t="str">
        <f>IF(G$89="","",IF(Config!$Q$40&lt;&gt;"Não",SUMIFS(BD!$P$3:$P$5001,BD!$B$3:$B$5001,G$89,BD!$A$3:$A$5001,"&gt;="&amp;$C$7,BD!$A$3:$A$5001,"&lt;="&amp;$D$7),"—"))</f>
        <v/>
      </c>
      <c r="H104" s="32" t="str">
        <f>IF(H$89="","",IF(Config!$Q$41&lt;&gt;"Não",SUMIFS(BD!$P$3:$P$5001,BD!$B$3:$B$5001,H$89,BD!$A$3:$A$5001,"&gt;="&amp;$C$7,BD!$A$3:$A$5001,"&lt;="&amp;$D$7),"—"))</f>
        <v/>
      </c>
      <c r="I104" s="32" t="str">
        <f>IF(I$89="","",IF(Config!$Q$42&lt;&gt;"Não",SUMIFS(BD!$P$3:$P$5001,BD!$B$3:$B$5001,I$89,BD!$A$3:$A$5001,"&gt;="&amp;$C$7,BD!$A$3:$A$5001,"&lt;="&amp;$D$7),"—"))</f>
        <v/>
      </c>
      <c r="J104" s="32" t="str">
        <f>IF(J$89="","",IF(Config!$Q$43&lt;&gt;"Não",SUMIFS(BD!$P$3:$P$5001,BD!$B$3:$B$5001,J$89,BD!$A$3:$A$5001,"&gt;="&amp;$C$7,BD!$A$3:$A$5001,"&lt;="&amp;$D$7),"—"))</f>
        <v/>
      </c>
      <c r="K104" s="32" t="str">
        <f>IF(K$89="","",IF(Config!$Q$44&lt;&gt;"Não",SUMIFS(BD!$P$3:$P$5001,BD!$B$3:$B$5001,K$89,BD!$A$3:$A$5001,"&gt;="&amp;$C$7,BD!$A$3:$A$5001,"&lt;="&amp;$D$7),"—"))</f>
        <v/>
      </c>
      <c r="L104" s="32" t="str">
        <f>IF(L$89="","",IF(Config!$Q$45&lt;&gt;"Não",SUMIFS(BD!$P$3:$P$5001,BD!$B$3:$B$5001,L$89,BD!$A$3:$A$5001,"&gt;="&amp;$C$7,BD!$A$3:$A$5001,"&lt;="&amp;$D$7),"—"))</f>
        <v/>
      </c>
      <c r="M104" s="32" t="str">
        <f>IF(M$89="","",IF(Config!$Q$46&lt;&gt;"Não",SUMIFS(BD!$P$3:$P$5001,BD!$B$3:$B$5001,M$89,BD!$A$3:$A$5001,"&gt;="&amp;$C$7,BD!$A$3:$A$5001,"&lt;="&amp;$D$7),"—"))</f>
        <v/>
      </c>
      <c r="N104" s="32" t="str">
        <f>IF(N$89="","",IF(Config!$Q$47&lt;&gt;"Não",SUMIFS(BD!$P$3:$P$5001,BD!$B$3:$B$5001,N$89,BD!$A$3:$A$5001,"&gt;="&amp;$C$7,BD!$A$3:$A$5001,"&lt;="&amp;$D$7),"—"))</f>
        <v/>
      </c>
      <c r="O104" s="32" t="str">
        <f>IF(O$89="","",IF(Config!$Q$48&lt;&gt;"Não",SUMIFS(BD!$P$3:$P$5001,BD!$B$3:$B$5001,O$89,BD!$A$3:$A$5001,"&gt;="&amp;$C$7,BD!$A$3:$A$5001,"&lt;="&amp;$D$7),"—"))</f>
        <v/>
      </c>
      <c r="P104" s="32" t="str">
        <f>IF(P$89="","",IF(Config!$Q$49&lt;&gt;"Não",SUMIFS(BD!$P$3:$P$5001,BD!$B$3:$B$5001,P$89,BD!$A$3:$A$5001,"&gt;="&amp;$C$7,BD!$A$3:$A$5001,"&lt;="&amp;$D$7),"—"))</f>
        <v/>
      </c>
      <c r="Q104" s="32" t="str">
        <f>IF(Q$89="","",IF(Config!$Q$50&lt;&gt;"Não",SUMIFS(BD!$P$3:$P$5001,BD!$B$3:$B$5001,Q$89,BD!$A$3:$A$5001,"&gt;="&amp;$C$7,BD!$A$3:$A$5001,"&lt;="&amp;$D$7),"—"))</f>
        <v/>
      </c>
      <c r="R104" s="32" t="str">
        <f>IF(R$89="","",IF(Config!$Q$51&lt;&gt;"Não",SUMIFS(BD!$P$3:$P$5001,BD!$B$3:$B$5001,R$89,BD!$A$3:$A$5001,"&gt;="&amp;$C$7,BD!$A$3:$A$5001,"&lt;="&amp;$D$7),"—"))</f>
        <v/>
      </c>
      <c r="S104" s="32" t="str">
        <f>IF(S$89="","",IF(Config!$Q$52&lt;&gt;"Não",SUMIFS(BD!$P$3:$P$5001,BD!$B$3:$B$5001,S$89,BD!$A$3:$A$5001,"&gt;="&amp;$C$7,BD!$A$3:$A$5001,"&lt;="&amp;$D$7),"—"))</f>
        <v/>
      </c>
      <c r="T104" s="32" t="str">
        <f>IF(T$89="","",IF(Config!$Q$53&lt;&gt;"Não",SUMIFS(BD!$P$3:$P$5001,BD!$B$3:$B$5001,T$89,BD!$A$3:$A$5001,"&gt;="&amp;$C$7,BD!$A$3:$A$5001,"&lt;="&amp;$D$7),"—"))</f>
        <v/>
      </c>
      <c r="U104" s="32" t="str">
        <f>IF(U$89="","",IF(Config!$Q$54&lt;&gt;"Não",SUMIFS(BD!$P$3:$P$5001,BD!$B$3:$B$5001,U$89,BD!$A$3:$A$5001,"&gt;="&amp;$C$7,BD!$A$3:$A$5001,"&lt;="&amp;$D$7),"—"))</f>
        <v/>
      </c>
      <c r="V104" s="62">
        <f>SUM(B104:U104)</f>
        <v>0</v>
      </c>
    </row>
    <row r="105">
      <c r="A105" s="29" t="inlineStr">
        <is>
          <t xml:space="preserve">GENTE · Férias</t>
        </is>
      </c>
      <c r="B105" s="32">
        <f>IF(B$89="","",IF(Config!$R$35&lt;&gt;"Não",SUMIFS(BD!$Q$3:$Q$5001,BD!$B$3:$B$5001,B$89,BD!$A$3:$A$5001,"&gt;="&amp;$C$7,BD!$A$3:$A$5001,"&lt;="&amp;$D$7),"—"))</f>
        <v>0</v>
      </c>
      <c r="C105" s="32">
        <f>IF(C$89="","",IF(Config!$R$36&lt;&gt;"Não",SUMIFS(BD!$Q$3:$Q$5001,BD!$B$3:$B$5001,C$89,BD!$A$3:$A$5001,"&gt;="&amp;$C$7,BD!$A$3:$A$5001,"&lt;="&amp;$D$7),"—"))</f>
        <v>0</v>
      </c>
      <c r="D105" s="32">
        <f>IF(D$89="","",IF(Config!$R$37&lt;&gt;"Não",SUMIFS(BD!$Q$3:$Q$5001,BD!$B$3:$B$5001,D$89,BD!$A$3:$A$5001,"&gt;="&amp;$C$7,BD!$A$3:$A$5001,"&lt;="&amp;$D$7),"—"))</f>
        <v>0</v>
      </c>
      <c r="E105" s="32">
        <f>IF(E$89="","",IF(Config!$R$38&lt;&gt;"Não",SUMIFS(BD!$Q$3:$Q$5001,BD!$B$3:$B$5001,E$89,BD!$A$3:$A$5001,"&gt;="&amp;$C$7,BD!$A$3:$A$5001,"&lt;="&amp;$D$7),"—"))</f>
        <v>0</v>
      </c>
      <c r="F105" s="32">
        <f>IF(F$89="","",IF(Config!$R$39&lt;&gt;"Não",SUMIFS(BD!$Q$3:$Q$5001,BD!$B$3:$B$5001,F$89,BD!$A$3:$A$5001,"&gt;="&amp;$C$7,BD!$A$3:$A$5001,"&lt;="&amp;$D$7),"—"))</f>
        <v>0</v>
      </c>
      <c r="G105" s="32" t="str">
        <f>IF(G$89="","",IF(Config!$R$40&lt;&gt;"Não",SUMIFS(BD!$Q$3:$Q$5001,BD!$B$3:$B$5001,G$89,BD!$A$3:$A$5001,"&gt;="&amp;$C$7,BD!$A$3:$A$5001,"&lt;="&amp;$D$7),"—"))</f>
        <v/>
      </c>
      <c r="H105" s="32" t="str">
        <f>IF(H$89="","",IF(Config!$R$41&lt;&gt;"Não",SUMIFS(BD!$Q$3:$Q$5001,BD!$B$3:$B$5001,H$89,BD!$A$3:$A$5001,"&gt;="&amp;$C$7,BD!$A$3:$A$5001,"&lt;="&amp;$D$7),"—"))</f>
        <v/>
      </c>
      <c r="I105" s="32" t="str">
        <f>IF(I$89="","",IF(Config!$R$42&lt;&gt;"Não",SUMIFS(BD!$Q$3:$Q$5001,BD!$B$3:$B$5001,I$89,BD!$A$3:$A$5001,"&gt;="&amp;$C$7,BD!$A$3:$A$5001,"&lt;="&amp;$D$7),"—"))</f>
        <v/>
      </c>
      <c r="J105" s="32" t="str">
        <f>IF(J$89="","",IF(Config!$R$43&lt;&gt;"Não",SUMIFS(BD!$Q$3:$Q$5001,BD!$B$3:$B$5001,J$89,BD!$A$3:$A$5001,"&gt;="&amp;$C$7,BD!$A$3:$A$5001,"&lt;="&amp;$D$7),"—"))</f>
        <v/>
      </c>
      <c r="K105" s="32" t="str">
        <f>IF(K$89="","",IF(Config!$R$44&lt;&gt;"Não",SUMIFS(BD!$Q$3:$Q$5001,BD!$B$3:$B$5001,K$89,BD!$A$3:$A$5001,"&gt;="&amp;$C$7,BD!$A$3:$A$5001,"&lt;="&amp;$D$7),"—"))</f>
        <v/>
      </c>
      <c r="L105" s="32" t="str">
        <f>IF(L$89="","",IF(Config!$R$45&lt;&gt;"Não",SUMIFS(BD!$Q$3:$Q$5001,BD!$B$3:$B$5001,L$89,BD!$A$3:$A$5001,"&gt;="&amp;$C$7,BD!$A$3:$A$5001,"&lt;="&amp;$D$7),"—"))</f>
        <v/>
      </c>
      <c r="M105" s="32" t="str">
        <f>IF(M$89="","",IF(Config!$R$46&lt;&gt;"Não",SUMIFS(BD!$Q$3:$Q$5001,BD!$B$3:$B$5001,M$89,BD!$A$3:$A$5001,"&gt;="&amp;$C$7,BD!$A$3:$A$5001,"&lt;="&amp;$D$7),"—"))</f>
        <v/>
      </c>
      <c r="N105" s="32" t="str">
        <f>IF(N$89="","",IF(Config!$R$47&lt;&gt;"Não",SUMIFS(BD!$Q$3:$Q$5001,BD!$B$3:$B$5001,N$89,BD!$A$3:$A$5001,"&gt;="&amp;$C$7,BD!$A$3:$A$5001,"&lt;="&amp;$D$7),"—"))</f>
        <v/>
      </c>
      <c r="O105" s="32" t="str">
        <f>IF(O$89="","",IF(Config!$R$48&lt;&gt;"Não",SUMIFS(BD!$Q$3:$Q$5001,BD!$B$3:$B$5001,O$89,BD!$A$3:$A$5001,"&gt;="&amp;$C$7,BD!$A$3:$A$5001,"&lt;="&amp;$D$7),"—"))</f>
        <v/>
      </c>
      <c r="P105" s="32" t="str">
        <f>IF(P$89="","",IF(Config!$R$49&lt;&gt;"Não",SUMIFS(BD!$Q$3:$Q$5001,BD!$B$3:$B$5001,P$89,BD!$A$3:$A$5001,"&gt;="&amp;$C$7,BD!$A$3:$A$5001,"&lt;="&amp;$D$7),"—"))</f>
        <v/>
      </c>
      <c r="Q105" s="32" t="str">
        <f>IF(Q$89="","",IF(Config!$R$50&lt;&gt;"Não",SUMIFS(BD!$Q$3:$Q$5001,BD!$B$3:$B$5001,Q$89,BD!$A$3:$A$5001,"&gt;="&amp;$C$7,BD!$A$3:$A$5001,"&lt;="&amp;$D$7),"—"))</f>
        <v/>
      </c>
      <c r="R105" s="32" t="str">
        <f>IF(R$89="","",IF(Config!$R$51&lt;&gt;"Não",SUMIFS(BD!$Q$3:$Q$5001,BD!$B$3:$B$5001,R$89,BD!$A$3:$A$5001,"&gt;="&amp;$C$7,BD!$A$3:$A$5001,"&lt;="&amp;$D$7),"—"))</f>
        <v/>
      </c>
      <c r="S105" s="32" t="str">
        <f>IF(S$89="","",IF(Config!$R$52&lt;&gt;"Não",SUMIFS(BD!$Q$3:$Q$5001,BD!$B$3:$B$5001,S$89,BD!$A$3:$A$5001,"&gt;="&amp;$C$7,BD!$A$3:$A$5001,"&lt;="&amp;$D$7),"—"))</f>
        <v/>
      </c>
      <c r="T105" s="32" t="str">
        <f>IF(T$89="","",IF(Config!$R$53&lt;&gt;"Não",SUMIFS(BD!$Q$3:$Q$5001,BD!$B$3:$B$5001,T$89,BD!$A$3:$A$5001,"&gt;="&amp;$C$7,BD!$A$3:$A$5001,"&lt;="&amp;$D$7),"—"))</f>
        <v/>
      </c>
      <c r="U105" s="32" t="str">
        <f>IF(U$89="","",IF(Config!$R$54&lt;&gt;"Não",SUMIFS(BD!$Q$3:$Q$5001,BD!$B$3:$B$5001,U$89,BD!$A$3:$A$5001,"&gt;="&amp;$C$7,BD!$A$3:$A$5001,"&lt;="&amp;$D$7),"—"))</f>
        <v/>
      </c>
      <c r="V105" s="62">
        <f>SUM(B105:U105)</f>
        <v>0</v>
      </c>
    </row>
    <row r="106">
      <c r="A106" s="29" t="inlineStr">
        <is>
          <t xml:space="preserve">GENTE · Desligamento</t>
        </is>
      </c>
      <c r="B106" s="32">
        <f>IF(B$89="","",IF(Config!$S$35&lt;&gt;"Não",SUMIFS(BD!$R$3:$R$5001,BD!$B$3:$B$5001,B$89,BD!$A$3:$A$5001,"&gt;="&amp;$C$7,BD!$A$3:$A$5001,"&lt;="&amp;$D$7),"—"))</f>
        <v>0</v>
      </c>
      <c r="C106" s="32">
        <f>IF(C$89="","",IF(Config!$S$36&lt;&gt;"Não",SUMIFS(BD!$R$3:$R$5001,BD!$B$3:$B$5001,C$89,BD!$A$3:$A$5001,"&gt;="&amp;$C$7,BD!$A$3:$A$5001,"&lt;="&amp;$D$7),"—"))</f>
        <v>0</v>
      </c>
      <c r="D106" s="32">
        <f>IF(D$89="","",IF(Config!$S$37&lt;&gt;"Não",SUMIFS(BD!$R$3:$R$5001,BD!$B$3:$B$5001,D$89,BD!$A$3:$A$5001,"&gt;="&amp;$C$7,BD!$A$3:$A$5001,"&lt;="&amp;$D$7),"—"))</f>
        <v>0</v>
      </c>
      <c r="E106" s="32">
        <f>IF(E$89="","",IF(Config!$S$38&lt;&gt;"Não",SUMIFS(BD!$R$3:$R$5001,BD!$B$3:$B$5001,E$89,BD!$A$3:$A$5001,"&gt;="&amp;$C$7,BD!$A$3:$A$5001,"&lt;="&amp;$D$7),"—"))</f>
        <v>0</v>
      </c>
      <c r="F106" s="32">
        <f>IF(F$89="","",IF(Config!$S$39&lt;&gt;"Não",SUMIFS(BD!$R$3:$R$5001,BD!$B$3:$B$5001,F$89,BD!$A$3:$A$5001,"&gt;="&amp;$C$7,BD!$A$3:$A$5001,"&lt;="&amp;$D$7),"—"))</f>
        <v>0</v>
      </c>
      <c r="G106" s="32" t="str">
        <f>IF(G$89="","",IF(Config!$S$40&lt;&gt;"Não",SUMIFS(BD!$R$3:$R$5001,BD!$B$3:$B$5001,G$89,BD!$A$3:$A$5001,"&gt;="&amp;$C$7,BD!$A$3:$A$5001,"&lt;="&amp;$D$7),"—"))</f>
        <v/>
      </c>
      <c r="H106" s="32" t="str">
        <f>IF(H$89="","",IF(Config!$S$41&lt;&gt;"Não",SUMIFS(BD!$R$3:$R$5001,BD!$B$3:$B$5001,H$89,BD!$A$3:$A$5001,"&gt;="&amp;$C$7,BD!$A$3:$A$5001,"&lt;="&amp;$D$7),"—"))</f>
        <v/>
      </c>
      <c r="I106" s="32" t="str">
        <f>IF(I$89="","",IF(Config!$S$42&lt;&gt;"Não",SUMIFS(BD!$R$3:$R$5001,BD!$B$3:$B$5001,I$89,BD!$A$3:$A$5001,"&gt;="&amp;$C$7,BD!$A$3:$A$5001,"&lt;="&amp;$D$7),"—"))</f>
        <v/>
      </c>
      <c r="J106" s="32" t="str">
        <f>IF(J$89="","",IF(Config!$S$43&lt;&gt;"Não",SUMIFS(BD!$R$3:$R$5001,BD!$B$3:$B$5001,J$89,BD!$A$3:$A$5001,"&gt;="&amp;$C$7,BD!$A$3:$A$5001,"&lt;="&amp;$D$7),"—"))</f>
        <v/>
      </c>
      <c r="K106" s="32" t="str">
        <f>IF(K$89="","",IF(Config!$S$44&lt;&gt;"Não",SUMIFS(BD!$R$3:$R$5001,BD!$B$3:$B$5001,K$89,BD!$A$3:$A$5001,"&gt;="&amp;$C$7,BD!$A$3:$A$5001,"&lt;="&amp;$D$7),"—"))</f>
        <v/>
      </c>
      <c r="L106" s="32" t="str">
        <f>IF(L$89="","",IF(Config!$S$45&lt;&gt;"Não",SUMIFS(BD!$R$3:$R$5001,BD!$B$3:$B$5001,L$89,BD!$A$3:$A$5001,"&gt;="&amp;$C$7,BD!$A$3:$A$5001,"&lt;="&amp;$D$7),"—"))</f>
        <v/>
      </c>
      <c r="M106" s="32" t="str">
        <f>IF(M$89="","",IF(Config!$S$46&lt;&gt;"Não",SUMIFS(BD!$R$3:$R$5001,BD!$B$3:$B$5001,M$89,BD!$A$3:$A$5001,"&gt;="&amp;$C$7,BD!$A$3:$A$5001,"&lt;="&amp;$D$7),"—"))</f>
        <v/>
      </c>
      <c r="N106" s="32" t="str">
        <f>IF(N$89="","",IF(Config!$S$47&lt;&gt;"Não",SUMIFS(BD!$R$3:$R$5001,BD!$B$3:$B$5001,N$89,BD!$A$3:$A$5001,"&gt;="&amp;$C$7,BD!$A$3:$A$5001,"&lt;="&amp;$D$7),"—"))</f>
        <v/>
      </c>
      <c r="O106" s="32" t="str">
        <f>IF(O$89="","",IF(Config!$S$48&lt;&gt;"Não",SUMIFS(BD!$R$3:$R$5001,BD!$B$3:$B$5001,O$89,BD!$A$3:$A$5001,"&gt;="&amp;$C$7,BD!$A$3:$A$5001,"&lt;="&amp;$D$7),"—"))</f>
        <v/>
      </c>
      <c r="P106" s="32" t="str">
        <f>IF(P$89="","",IF(Config!$S$49&lt;&gt;"Não",SUMIFS(BD!$R$3:$R$5001,BD!$B$3:$B$5001,P$89,BD!$A$3:$A$5001,"&gt;="&amp;$C$7,BD!$A$3:$A$5001,"&lt;="&amp;$D$7),"—"))</f>
        <v/>
      </c>
      <c r="Q106" s="32" t="str">
        <f>IF(Q$89="","",IF(Config!$S$50&lt;&gt;"Não",SUMIFS(BD!$R$3:$R$5001,BD!$B$3:$B$5001,Q$89,BD!$A$3:$A$5001,"&gt;="&amp;$C$7,BD!$A$3:$A$5001,"&lt;="&amp;$D$7),"—"))</f>
        <v/>
      </c>
      <c r="R106" s="32" t="str">
        <f>IF(R$89="","",IF(Config!$S$51&lt;&gt;"Não",SUMIFS(BD!$R$3:$R$5001,BD!$B$3:$B$5001,R$89,BD!$A$3:$A$5001,"&gt;="&amp;$C$7,BD!$A$3:$A$5001,"&lt;="&amp;$D$7),"—"))</f>
        <v/>
      </c>
      <c r="S106" s="32" t="str">
        <f>IF(S$89="","",IF(Config!$S$52&lt;&gt;"Não",SUMIFS(BD!$R$3:$R$5001,BD!$B$3:$B$5001,S$89,BD!$A$3:$A$5001,"&gt;="&amp;$C$7,BD!$A$3:$A$5001,"&lt;="&amp;$D$7),"—"))</f>
        <v/>
      </c>
      <c r="T106" s="32" t="str">
        <f>IF(T$89="","",IF(Config!$S$53&lt;&gt;"Não",SUMIFS(BD!$R$3:$R$5001,BD!$B$3:$B$5001,T$89,BD!$A$3:$A$5001,"&gt;="&amp;$C$7,BD!$A$3:$A$5001,"&lt;="&amp;$D$7),"—"))</f>
        <v/>
      </c>
      <c r="U106" s="32" t="str">
        <f>IF(U$89="","",IF(Config!$S$54&lt;&gt;"Não",SUMIFS(BD!$R$3:$R$5001,BD!$B$3:$B$5001,U$89,BD!$A$3:$A$5001,"&gt;="&amp;$C$7,BD!$A$3:$A$5001,"&lt;="&amp;$D$7),"—"))</f>
        <v/>
      </c>
      <c r="V106" s="62">
        <f>SUM(B106:U106)</f>
        <v>0</v>
      </c>
    </row>
    <row r="107">
      <c r="A107" s="29" t="inlineStr">
        <is>
          <t xml:space="preserve">GENTE · Desvios Comportamentais</t>
        </is>
      </c>
      <c r="B107" s="32">
        <f>IF(B$89="","",IF(Config!$T$35&lt;&gt;"Não",SUMIFS(BD!$S$3:$S$5001,BD!$B$3:$B$5001,B$89,BD!$A$3:$A$5001,"&gt;="&amp;$C$7,BD!$A$3:$A$5001,"&lt;="&amp;$D$7),"—"))</f>
        <v>0</v>
      </c>
      <c r="C107" s="32">
        <f>IF(C$89="","",IF(Config!$T$36&lt;&gt;"Não",SUMIFS(BD!$S$3:$S$5001,BD!$B$3:$B$5001,C$89,BD!$A$3:$A$5001,"&gt;="&amp;$C$7,BD!$A$3:$A$5001,"&lt;="&amp;$D$7),"—"))</f>
        <v>0</v>
      </c>
      <c r="D107" s="32">
        <f>IF(D$89="","",IF(Config!$T$37&lt;&gt;"Não",SUMIFS(BD!$S$3:$S$5001,BD!$B$3:$B$5001,D$89,BD!$A$3:$A$5001,"&gt;="&amp;$C$7,BD!$A$3:$A$5001,"&lt;="&amp;$D$7),"—"))</f>
        <v>0</v>
      </c>
      <c r="E107" s="32">
        <f>IF(E$89="","",IF(Config!$T$38&lt;&gt;"Não",SUMIFS(BD!$S$3:$S$5001,BD!$B$3:$B$5001,E$89,BD!$A$3:$A$5001,"&gt;="&amp;$C$7,BD!$A$3:$A$5001,"&lt;="&amp;$D$7),"—"))</f>
        <v>0</v>
      </c>
      <c r="F107" s="32">
        <f>IF(F$89="","",IF(Config!$T$39&lt;&gt;"Não",SUMIFS(BD!$S$3:$S$5001,BD!$B$3:$B$5001,F$89,BD!$A$3:$A$5001,"&gt;="&amp;$C$7,BD!$A$3:$A$5001,"&lt;="&amp;$D$7),"—"))</f>
        <v>0</v>
      </c>
      <c r="G107" s="32" t="str">
        <f>IF(G$89="","",IF(Config!$T$40&lt;&gt;"Não",SUMIFS(BD!$S$3:$S$5001,BD!$B$3:$B$5001,G$89,BD!$A$3:$A$5001,"&gt;="&amp;$C$7,BD!$A$3:$A$5001,"&lt;="&amp;$D$7),"—"))</f>
        <v/>
      </c>
      <c r="H107" s="32" t="str">
        <f>IF(H$89="","",IF(Config!$T$41&lt;&gt;"Não",SUMIFS(BD!$S$3:$S$5001,BD!$B$3:$B$5001,H$89,BD!$A$3:$A$5001,"&gt;="&amp;$C$7,BD!$A$3:$A$5001,"&lt;="&amp;$D$7),"—"))</f>
        <v/>
      </c>
      <c r="I107" s="32" t="str">
        <f>IF(I$89="","",IF(Config!$T$42&lt;&gt;"Não",SUMIFS(BD!$S$3:$S$5001,BD!$B$3:$B$5001,I$89,BD!$A$3:$A$5001,"&gt;="&amp;$C$7,BD!$A$3:$A$5001,"&lt;="&amp;$D$7),"—"))</f>
        <v/>
      </c>
      <c r="J107" s="32" t="str">
        <f>IF(J$89="","",IF(Config!$T$43&lt;&gt;"Não",SUMIFS(BD!$S$3:$S$5001,BD!$B$3:$B$5001,J$89,BD!$A$3:$A$5001,"&gt;="&amp;$C$7,BD!$A$3:$A$5001,"&lt;="&amp;$D$7),"—"))</f>
        <v/>
      </c>
      <c r="K107" s="32" t="str">
        <f>IF(K$89="","",IF(Config!$T$44&lt;&gt;"Não",SUMIFS(BD!$S$3:$S$5001,BD!$B$3:$B$5001,K$89,BD!$A$3:$A$5001,"&gt;="&amp;$C$7,BD!$A$3:$A$5001,"&lt;="&amp;$D$7),"—"))</f>
        <v/>
      </c>
      <c r="L107" s="32" t="str">
        <f>IF(L$89="","",IF(Config!$T$45&lt;&gt;"Não",SUMIFS(BD!$S$3:$S$5001,BD!$B$3:$B$5001,L$89,BD!$A$3:$A$5001,"&gt;="&amp;$C$7,BD!$A$3:$A$5001,"&lt;="&amp;$D$7),"—"))</f>
        <v/>
      </c>
      <c r="M107" s="32" t="str">
        <f>IF(M$89="","",IF(Config!$T$46&lt;&gt;"Não",SUMIFS(BD!$S$3:$S$5001,BD!$B$3:$B$5001,M$89,BD!$A$3:$A$5001,"&gt;="&amp;$C$7,BD!$A$3:$A$5001,"&lt;="&amp;$D$7),"—"))</f>
        <v/>
      </c>
      <c r="N107" s="32" t="str">
        <f>IF(N$89="","",IF(Config!$T$47&lt;&gt;"Não",SUMIFS(BD!$S$3:$S$5001,BD!$B$3:$B$5001,N$89,BD!$A$3:$A$5001,"&gt;="&amp;$C$7,BD!$A$3:$A$5001,"&lt;="&amp;$D$7),"—"))</f>
        <v/>
      </c>
      <c r="O107" s="32" t="str">
        <f>IF(O$89="","",IF(Config!$T$48&lt;&gt;"Não",SUMIFS(BD!$S$3:$S$5001,BD!$B$3:$B$5001,O$89,BD!$A$3:$A$5001,"&gt;="&amp;$C$7,BD!$A$3:$A$5001,"&lt;="&amp;$D$7),"—"))</f>
        <v/>
      </c>
      <c r="P107" s="32" t="str">
        <f>IF(P$89="","",IF(Config!$T$49&lt;&gt;"Não",SUMIFS(BD!$S$3:$S$5001,BD!$B$3:$B$5001,P$89,BD!$A$3:$A$5001,"&gt;="&amp;$C$7,BD!$A$3:$A$5001,"&lt;="&amp;$D$7),"—"))</f>
        <v/>
      </c>
      <c r="Q107" s="32" t="str">
        <f>IF(Q$89="","",IF(Config!$T$50&lt;&gt;"Não",SUMIFS(BD!$S$3:$S$5001,BD!$B$3:$B$5001,Q$89,BD!$A$3:$A$5001,"&gt;="&amp;$C$7,BD!$A$3:$A$5001,"&lt;="&amp;$D$7),"—"))</f>
        <v/>
      </c>
      <c r="R107" s="32" t="str">
        <f>IF(R$89="","",IF(Config!$T$51&lt;&gt;"Não",SUMIFS(BD!$S$3:$S$5001,BD!$B$3:$B$5001,R$89,BD!$A$3:$A$5001,"&gt;="&amp;$C$7,BD!$A$3:$A$5001,"&lt;="&amp;$D$7),"—"))</f>
        <v/>
      </c>
      <c r="S107" s="32" t="str">
        <f>IF(S$89="","",IF(Config!$T$52&lt;&gt;"Não",SUMIFS(BD!$S$3:$S$5001,BD!$B$3:$B$5001,S$89,BD!$A$3:$A$5001,"&gt;="&amp;$C$7,BD!$A$3:$A$5001,"&lt;="&amp;$D$7),"—"))</f>
        <v/>
      </c>
      <c r="T107" s="32" t="str">
        <f>IF(T$89="","",IF(Config!$T$53&lt;&gt;"Não",SUMIFS(BD!$S$3:$S$5001,BD!$B$3:$B$5001,T$89,BD!$A$3:$A$5001,"&gt;="&amp;$C$7,BD!$A$3:$A$5001,"&lt;="&amp;$D$7),"—"))</f>
        <v/>
      </c>
      <c r="U107" s="32" t="str">
        <f>IF(U$89="","",IF(Config!$T$54&lt;&gt;"Não",SUMIFS(BD!$S$3:$S$5001,BD!$B$3:$B$5001,U$89,BD!$A$3:$A$5001,"&gt;="&amp;$C$7,BD!$A$3:$A$5001,"&lt;="&amp;$D$7),"—"))</f>
        <v/>
      </c>
      <c r="V107" s="62">
        <f>SUM(B107:U107)</f>
        <v>0</v>
      </c>
    </row>
    <row r="108">
      <c r="A108" s="29" t="inlineStr">
        <is>
          <t xml:space="preserve">GENTE · Acidentes CAF</t>
        </is>
      </c>
      <c r="B108" s="32">
        <f>IF(B$89="","",IF(Config!$U$35&lt;&gt;"Não",SUMIFS(BD!$T$3:$T$5001,BD!$B$3:$B$5001,B$89,BD!$A$3:$A$5001,"&gt;="&amp;$C$7,BD!$A$3:$A$5001,"&lt;="&amp;$D$7),"—"))</f>
        <v>0</v>
      </c>
      <c r="C108" s="32">
        <f>IF(C$89="","",IF(Config!$U$36&lt;&gt;"Não",SUMIFS(BD!$T$3:$T$5001,BD!$B$3:$B$5001,C$89,BD!$A$3:$A$5001,"&gt;="&amp;$C$7,BD!$A$3:$A$5001,"&lt;="&amp;$D$7),"—"))</f>
        <v>0</v>
      </c>
      <c r="D108" s="32">
        <f>IF(D$89="","",IF(Config!$U$37&lt;&gt;"Não",SUMIFS(BD!$T$3:$T$5001,BD!$B$3:$B$5001,D$89,BD!$A$3:$A$5001,"&gt;="&amp;$C$7,BD!$A$3:$A$5001,"&lt;="&amp;$D$7),"—"))</f>
        <v>0</v>
      </c>
      <c r="E108" s="32">
        <f>IF(E$89="","",IF(Config!$U$38&lt;&gt;"Não",SUMIFS(BD!$T$3:$T$5001,BD!$B$3:$B$5001,E$89,BD!$A$3:$A$5001,"&gt;="&amp;$C$7,BD!$A$3:$A$5001,"&lt;="&amp;$D$7),"—"))</f>
        <v>0</v>
      </c>
      <c r="F108" s="32">
        <f>IF(F$89="","",IF(Config!$U$39&lt;&gt;"Não",SUMIFS(BD!$T$3:$T$5001,BD!$B$3:$B$5001,F$89,BD!$A$3:$A$5001,"&gt;="&amp;$C$7,BD!$A$3:$A$5001,"&lt;="&amp;$D$7),"—"))</f>
        <v>0</v>
      </c>
      <c r="G108" s="32" t="str">
        <f>IF(G$89="","",IF(Config!$U$40&lt;&gt;"Não",SUMIFS(BD!$T$3:$T$5001,BD!$B$3:$B$5001,G$89,BD!$A$3:$A$5001,"&gt;="&amp;$C$7,BD!$A$3:$A$5001,"&lt;="&amp;$D$7),"—"))</f>
        <v/>
      </c>
      <c r="H108" s="32" t="str">
        <f>IF(H$89="","",IF(Config!$U$41&lt;&gt;"Não",SUMIFS(BD!$T$3:$T$5001,BD!$B$3:$B$5001,H$89,BD!$A$3:$A$5001,"&gt;="&amp;$C$7,BD!$A$3:$A$5001,"&lt;="&amp;$D$7),"—"))</f>
        <v/>
      </c>
      <c r="I108" s="32" t="str">
        <f>IF(I$89="","",IF(Config!$U$42&lt;&gt;"Não",SUMIFS(BD!$T$3:$T$5001,BD!$B$3:$B$5001,I$89,BD!$A$3:$A$5001,"&gt;="&amp;$C$7,BD!$A$3:$A$5001,"&lt;="&amp;$D$7),"—"))</f>
        <v/>
      </c>
      <c r="J108" s="32" t="str">
        <f>IF(J$89="","",IF(Config!$U$43&lt;&gt;"Não",SUMIFS(BD!$T$3:$T$5001,BD!$B$3:$B$5001,J$89,BD!$A$3:$A$5001,"&gt;="&amp;$C$7,BD!$A$3:$A$5001,"&lt;="&amp;$D$7),"—"))</f>
        <v/>
      </c>
      <c r="K108" s="32" t="str">
        <f>IF(K$89="","",IF(Config!$U$44&lt;&gt;"Não",SUMIFS(BD!$T$3:$T$5001,BD!$B$3:$B$5001,K$89,BD!$A$3:$A$5001,"&gt;="&amp;$C$7,BD!$A$3:$A$5001,"&lt;="&amp;$D$7),"—"))</f>
        <v/>
      </c>
      <c r="L108" s="32" t="str">
        <f>IF(L$89="","",IF(Config!$U$45&lt;&gt;"Não",SUMIFS(BD!$T$3:$T$5001,BD!$B$3:$B$5001,L$89,BD!$A$3:$A$5001,"&gt;="&amp;$C$7,BD!$A$3:$A$5001,"&lt;="&amp;$D$7),"—"))</f>
        <v/>
      </c>
      <c r="M108" s="32" t="str">
        <f>IF(M$89="","",IF(Config!$U$46&lt;&gt;"Não",SUMIFS(BD!$T$3:$T$5001,BD!$B$3:$B$5001,M$89,BD!$A$3:$A$5001,"&gt;="&amp;$C$7,BD!$A$3:$A$5001,"&lt;="&amp;$D$7),"—"))</f>
        <v/>
      </c>
      <c r="N108" s="32" t="str">
        <f>IF(N$89="","",IF(Config!$U$47&lt;&gt;"Não",SUMIFS(BD!$T$3:$T$5001,BD!$B$3:$B$5001,N$89,BD!$A$3:$A$5001,"&gt;="&amp;$C$7,BD!$A$3:$A$5001,"&lt;="&amp;$D$7),"—"))</f>
        <v/>
      </c>
      <c r="O108" s="32" t="str">
        <f>IF(O$89="","",IF(Config!$U$48&lt;&gt;"Não",SUMIFS(BD!$T$3:$T$5001,BD!$B$3:$B$5001,O$89,BD!$A$3:$A$5001,"&gt;="&amp;$C$7,BD!$A$3:$A$5001,"&lt;="&amp;$D$7),"—"))</f>
        <v/>
      </c>
      <c r="P108" s="32" t="str">
        <f>IF(P$89="","",IF(Config!$U$49&lt;&gt;"Não",SUMIFS(BD!$T$3:$T$5001,BD!$B$3:$B$5001,P$89,BD!$A$3:$A$5001,"&gt;="&amp;$C$7,BD!$A$3:$A$5001,"&lt;="&amp;$D$7),"—"))</f>
        <v/>
      </c>
      <c r="Q108" s="32" t="str">
        <f>IF(Q$89="","",IF(Config!$U$50&lt;&gt;"Não",SUMIFS(BD!$T$3:$T$5001,BD!$B$3:$B$5001,Q$89,BD!$A$3:$A$5001,"&gt;="&amp;$C$7,BD!$A$3:$A$5001,"&lt;="&amp;$D$7),"—"))</f>
        <v/>
      </c>
      <c r="R108" s="32" t="str">
        <f>IF(R$89="","",IF(Config!$U$51&lt;&gt;"Não",SUMIFS(BD!$T$3:$T$5001,BD!$B$3:$B$5001,R$89,BD!$A$3:$A$5001,"&gt;="&amp;$C$7,BD!$A$3:$A$5001,"&lt;="&amp;$D$7),"—"))</f>
        <v/>
      </c>
      <c r="S108" s="32" t="str">
        <f>IF(S$89="","",IF(Config!$U$52&lt;&gt;"Não",SUMIFS(BD!$T$3:$T$5001,BD!$B$3:$B$5001,S$89,BD!$A$3:$A$5001,"&gt;="&amp;$C$7,BD!$A$3:$A$5001,"&lt;="&amp;$D$7),"—"))</f>
        <v/>
      </c>
      <c r="T108" s="32" t="str">
        <f>IF(T$89="","",IF(Config!$U$53&lt;&gt;"Não",SUMIFS(BD!$T$3:$T$5001,BD!$B$3:$B$5001,T$89,BD!$A$3:$A$5001,"&gt;="&amp;$C$7,BD!$A$3:$A$5001,"&lt;="&amp;$D$7),"—"))</f>
        <v/>
      </c>
      <c r="U108" s="32" t="str">
        <f>IF(U$89="","",IF(Config!$U$54&lt;&gt;"Não",SUMIFS(BD!$T$3:$T$5001,BD!$B$3:$B$5001,U$89,BD!$A$3:$A$5001,"&gt;="&amp;$C$7,BD!$A$3:$A$5001,"&lt;="&amp;$D$7),"—"))</f>
        <v/>
      </c>
      <c r="V108" s="62">
        <f>SUM(B108:U108)</f>
        <v>0</v>
      </c>
    </row>
    <row r="109">
      <c r="A109" s="29" t="inlineStr">
        <is>
          <t xml:space="preserve">GENTE · Acidentes SAF</t>
        </is>
      </c>
      <c r="B109" s="32">
        <f>IF(B$89="","",IF(Config!$V$35&lt;&gt;"Não",SUMIFS(BD!$U$3:$U$5001,BD!$B$3:$B$5001,B$89,BD!$A$3:$A$5001,"&gt;="&amp;$C$7,BD!$A$3:$A$5001,"&lt;="&amp;$D$7),"—"))</f>
        <v>0</v>
      </c>
      <c r="C109" s="32">
        <f>IF(C$89="","",IF(Config!$V$36&lt;&gt;"Não",SUMIFS(BD!$U$3:$U$5001,BD!$B$3:$B$5001,C$89,BD!$A$3:$A$5001,"&gt;="&amp;$C$7,BD!$A$3:$A$5001,"&lt;="&amp;$D$7),"—"))</f>
        <v>0</v>
      </c>
      <c r="D109" s="32">
        <f>IF(D$89="","",IF(Config!$V$37&lt;&gt;"Não",SUMIFS(BD!$U$3:$U$5001,BD!$B$3:$B$5001,D$89,BD!$A$3:$A$5001,"&gt;="&amp;$C$7,BD!$A$3:$A$5001,"&lt;="&amp;$D$7),"—"))</f>
        <v>0</v>
      </c>
      <c r="E109" s="32">
        <f>IF(E$89="","",IF(Config!$V$38&lt;&gt;"Não",SUMIFS(BD!$U$3:$U$5001,BD!$B$3:$B$5001,E$89,BD!$A$3:$A$5001,"&gt;="&amp;$C$7,BD!$A$3:$A$5001,"&lt;="&amp;$D$7),"—"))</f>
        <v>0</v>
      </c>
      <c r="F109" s="32">
        <f>IF(F$89="","",IF(Config!$V$39&lt;&gt;"Não",SUMIFS(BD!$U$3:$U$5001,BD!$B$3:$B$5001,F$89,BD!$A$3:$A$5001,"&gt;="&amp;$C$7,BD!$A$3:$A$5001,"&lt;="&amp;$D$7),"—"))</f>
        <v>0</v>
      </c>
      <c r="G109" s="32" t="str">
        <f>IF(G$89="","",IF(Config!$V$40&lt;&gt;"Não",SUMIFS(BD!$U$3:$U$5001,BD!$B$3:$B$5001,G$89,BD!$A$3:$A$5001,"&gt;="&amp;$C$7,BD!$A$3:$A$5001,"&lt;="&amp;$D$7),"—"))</f>
        <v/>
      </c>
      <c r="H109" s="32" t="str">
        <f>IF(H$89="","",IF(Config!$V$41&lt;&gt;"Não",SUMIFS(BD!$U$3:$U$5001,BD!$B$3:$B$5001,H$89,BD!$A$3:$A$5001,"&gt;="&amp;$C$7,BD!$A$3:$A$5001,"&lt;="&amp;$D$7),"—"))</f>
        <v/>
      </c>
      <c r="I109" s="32" t="str">
        <f>IF(I$89="","",IF(Config!$V$42&lt;&gt;"Não",SUMIFS(BD!$U$3:$U$5001,BD!$B$3:$B$5001,I$89,BD!$A$3:$A$5001,"&gt;="&amp;$C$7,BD!$A$3:$A$5001,"&lt;="&amp;$D$7),"—"))</f>
        <v/>
      </c>
      <c r="J109" s="32" t="str">
        <f>IF(J$89="","",IF(Config!$V$43&lt;&gt;"Não",SUMIFS(BD!$U$3:$U$5001,BD!$B$3:$B$5001,J$89,BD!$A$3:$A$5001,"&gt;="&amp;$C$7,BD!$A$3:$A$5001,"&lt;="&amp;$D$7),"—"))</f>
        <v/>
      </c>
      <c r="K109" s="32" t="str">
        <f>IF(K$89="","",IF(Config!$V$44&lt;&gt;"Não",SUMIFS(BD!$U$3:$U$5001,BD!$B$3:$B$5001,K$89,BD!$A$3:$A$5001,"&gt;="&amp;$C$7,BD!$A$3:$A$5001,"&lt;="&amp;$D$7),"—"))</f>
        <v/>
      </c>
      <c r="L109" s="32" t="str">
        <f>IF(L$89="","",IF(Config!$V$45&lt;&gt;"Não",SUMIFS(BD!$U$3:$U$5001,BD!$B$3:$B$5001,L$89,BD!$A$3:$A$5001,"&gt;="&amp;$C$7,BD!$A$3:$A$5001,"&lt;="&amp;$D$7),"—"))</f>
        <v/>
      </c>
      <c r="M109" s="32" t="str">
        <f>IF(M$89="","",IF(Config!$V$46&lt;&gt;"Não",SUMIFS(BD!$U$3:$U$5001,BD!$B$3:$B$5001,M$89,BD!$A$3:$A$5001,"&gt;="&amp;$C$7,BD!$A$3:$A$5001,"&lt;="&amp;$D$7),"—"))</f>
        <v/>
      </c>
      <c r="N109" s="32" t="str">
        <f>IF(N$89="","",IF(Config!$V$47&lt;&gt;"Não",SUMIFS(BD!$U$3:$U$5001,BD!$B$3:$B$5001,N$89,BD!$A$3:$A$5001,"&gt;="&amp;$C$7,BD!$A$3:$A$5001,"&lt;="&amp;$D$7),"—"))</f>
        <v/>
      </c>
      <c r="O109" s="32" t="str">
        <f>IF(O$89="","",IF(Config!$V$48&lt;&gt;"Não",SUMIFS(BD!$U$3:$U$5001,BD!$B$3:$B$5001,O$89,BD!$A$3:$A$5001,"&gt;="&amp;$C$7,BD!$A$3:$A$5001,"&lt;="&amp;$D$7),"—"))</f>
        <v/>
      </c>
      <c r="P109" s="32" t="str">
        <f>IF(P$89="","",IF(Config!$V$49&lt;&gt;"Não",SUMIFS(BD!$U$3:$U$5001,BD!$B$3:$B$5001,P$89,BD!$A$3:$A$5001,"&gt;="&amp;$C$7,BD!$A$3:$A$5001,"&lt;="&amp;$D$7),"—"))</f>
        <v/>
      </c>
      <c r="Q109" s="32" t="str">
        <f>IF(Q$89="","",IF(Config!$V$50&lt;&gt;"Não",SUMIFS(BD!$U$3:$U$5001,BD!$B$3:$B$5001,Q$89,BD!$A$3:$A$5001,"&gt;="&amp;$C$7,BD!$A$3:$A$5001,"&lt;="&amp;$D$7),"—"))</f>
        <v/>
      </c>
      <c r="R109" s="32" t="str">
        <f>IF(R$89="","",IF(Config!$V$51&lt;&gt;"Não",SUMIFS(BD!$U$3:$U$5001,BD!$B$3:$B$5001,R$89,BD!$A$3:$A$5001,"&gt;="&amp;$C$7,BD!$A$3:$A$5001,"&lt;="&amp;$D$7),"—"))</f>
        <v/>
      </c>
      <c r="S109" s="32" t="str">
        <f>IF(S$89="","",IF(Config!$V$52&lt;&gt;"Não",SUMIFS(BD!$U$3:$U$5001,BD!$B$3:$B$5001,S$89,BD!$A$3:$A$5001,"&gt;="&amp;$C$7,BD!$A$3:$A$5001,"&lt;="&amp;$D$7),"—"))</f>
        <v/>
      </c>
      <c r="T109" s="32" t="str">
        <f>IF(T$89="","",IF(Config!$V$53&lt;&gt;"Não",SUMIFS(BD!$U$3:$U$5001,BD!$B$3:$B$5001,T$89,BD!$A$3:$A$5001,"&gt;="&amp;$C$7,BD!$A$3:$A$5001,"&lt;="&amp;$D$7),"—"))</f>
        <v/>
      </c>
      <c r="U109" s="32" t="str">
        <f>IF(U$89="","",IF(Config!$V$54&lt;&gt;"Não",SUMIFS(BD!$U$3:$U$5001,BD!$B$3:$B$5001,U$89,BD!$A$3:$A$5001,"&gt;="&amp;$C$7,BD!$A$3:$A$5001,"&lt;="&amp;$D$7),"—"))</f>
        <v/>
      </c>
      <c r="V109" s="62">
        <f>SUM(B109:U109)</f>
        <v>0</v>
      </c>
    </row>
    <row r="113">
      <c r="A113" s="19" t="inlineStr">
        <is>
          <t xml:space="preserve">ESTOQUES POR CLIENTE — último valor informado até cada dia (Backlog, Posições e Efetivo)</t>
        </is>
      </c>
    </row>
    <row r="114">
      <c r="A114" s="37" t="inlineStr">
        <is>
          <t xml:space="preserve">Backlog</t>
        </is>
      </c>
      <c r="B114" s="37" t="inlineStr">
        <is>
          <t xml:space="preserve">Data</t>
        </is>
      </c>
      <c r="C114" s="37" t="str">
        <f>Config!$B$10&amp;""</f>
        <v>Barry Callebaut</v>
      </c>
      <c r="D114" s="37" t="str">
        <f>Config!$B$11&amp;""</f>
        <v>GM</v>
      </c>
      <c r="E114" s="37" t="str">
        <f>Config!$B$12&amp;""</f>
        <v>Mondelez</v>
      </c>
      <c r="F114" s="37" t="str">
        <f>Config!$B$13&amp;""</f>
        <v>Nestlé</v>
      </c>
      <c r="G114" s="37" t="str">
        <f>Config!$B$14&amp;""</f>
        <v>PMB</v>
      </c>
      <c r="H114" s="37" t="str">
        <f>Config!$B$15&amp;""</f>
        <v/>
      </c>
      <c r="I114" s="37" t="str">
        <f>Config!$B$16&amp;""</f>
        <v/>
      </c>
      <c r="J114" s="37" t="str">
        <f>Config!$B$17&amp;""</f>
        <v/>
      </c>
      <c r="K114" s="37" t="str">
        <f>Config!$B$18&amp;""</f>
        <v/>
      </c>
      <c r="L114" s="37" t="str">
        <f>Config!$B$19&amp;""</f>
        <v/>
      </c>
      <c r="M114" s="37" t="str">
        <f>Config!$B$20&amp;""</f>
        <v/>
      </c>
      <c r="N114" s="37" t="str">
        <f>Config!$B$21&amp;""</f>
        <v/>
      </c>
      <c r="O114" s="37" t="str">
        <f>Config!$B$22&amp;""</f>
        <v/>
      </c>
      <c r="P114" s="37" t="str">
        <f>Config!$B$23&amp;""</f>
        <v/>
      </c>
      <c r="Q114" s="37" t="str">
        <f>Config!$B$24&amp;""</f>
        <v/>
      </c>
      <c r="R114" s="37" t="str">
        <f>Config!$B$25&amp;""</f>
        <v/>
      </c>
      <c r="S114" s="37" t="str">
        <f>Config!$B$26&amp;""</f>
        <v/>
      </c>
      <c r="T114" s="37" t="str">
        <f>Config!$B$27&amp;""</f>
        <v/>
      </c>
      <c r="U114" s="37" t="str">
        <f>Config!$B$28&amp;""</f>
        <v/>
      </c>
      <c r="V114" s="37" t="str">
        <f>Config!$B$29&amp;""</f>
        <v/>
      </c>
    </row>
    <row r="115">
      <c r="A115" s="38">
        <v>1</v>
      </c>
      <c r="B115" s="42">
        <f>$B$12</f>
        <v>46296</v>
      </c>
      <c r="C115" s="43" t="str">
        <f>IF(OR($B115="",$A115&gt;$B$9,C$114=""),"",IF(COUNTIFS(BD!$B$3:$B$5001,C$114,BD!$A$3:$A$5001,"&gt;="&amp;$C$7,BD!$A$3:$A$5001,"&lt;="&amp;$B115,BD!$K$3:$K$5001,"&lt;&gt;")=0,"",SUMIFS(BD!$K$3:$K$5001,BD!$B$3:$B$5001,C$114,BD!$A$3:$A$5001,_xlfn.MAXIFS(BD!$A$3:$A$5001,BD!$B$3:$B$5001,C$114,BD!$A$3:$A$5001,"&gt;="&amp;$C$7,BD!$A$3:$A$5001,"&lt;="&amp;$B115,BD!$K$3:$K$5001,"&lt;&gt;"))))</f>
        <v/>
      </c>
      <c r="D115" s="43" t="str">
        <f>IF(OR($B115="",$A115&gt;$B$9,D$114=""),"",IF(COUNTIFS(BD!$B$3:$B$5001,D$114,BD!$A$3:$A$5001,"&gt;="&amp;$C$7,BD!$A$3:$A$5001,"&lt;="&amp;$B115,BD!$K$3:$K$5001,"&lt;&gt;")=0,"",SUMIFS(BD!$K$3:$K$5001,BD!$B$3:$B$5001,D$114,BD!$A$3:$A$5001,_xlfn.MAXIFS(BD!$A$3:$A$5001,BD!$B$3:$B$5001,D$114,BD!$A$3:$A$5001,"&gt;="&amp;$C$7,BD!$A$3:$A$5001,"&lt;="&amp;$B115,BD!$K$3:$K$5001,"&lt;&gt;"))))</f>
        <v/>
      </c>
      <c r="E115" s="43" t="str">
        <f>IF(OR($B115="",$A115&gt;$B$9,E$114=""),"",IF(COUNTIFS(BD!$B$3:$B$5001,E$114,BD!$A$3:$A$5001,"&gt;="&amp;$C$7,BD!$A$3:$A$5001,"&lt;="&amp;$B115,BD!$K$3:$K$5001,"&lt;&gt;")=0,"",SUMIFS(BD!$K$3:$K$5001,BD!$B$3:$B$5001,E$114,BD!$A$3:$A$5001,_xlfn.MAXIFS(BD!$A$3:$A$5001,BD!$B$3:$B$5001,E$114,BD!$A$3:$A$5001,"&gt;="&amp;$C$7,BD!$A$3:$A$5001,"&lt;="&amp;$B115,BD!$K$3:$K$5001,"&lt;&gt;"))))</f>
        <v/>
      </c>
      <c r="F115" s="43" t="str">
        <f>IF(OR($B115="",$A115&gt;$B$9,F$114=""),"",IF(COUNTIFS(BD!$B$3:$B$5001,F$114,BD!$A$3:$A$5001,"&gt;="&amp;$C$7,BD!$A$3:$A$5001,"&lt;="&amp;$B115,BD!$K$3:$K$5001,"&lt;&gt;")=0,"",SUMIFS(BD!$K$3:$K$5001,BD!$B$3:$B$5001,F$114,BD!$A$3:$A$5001,_xlfn.MAXIFS(BD!$A$3:$A$5001,BD!$B$3:$B$5001,F$114,BD!$A$3:$A$5001,"&gt;="&amp;$C$7,BD!$A$3:$A$5001,"&lt;="&amp;$B115,BD!$K$3:$K$5001,"&lt;&gt;"))))</f>
        <v/>
      </c>
      <c r="G115" s="43" t="str">
        <f>IF(OR($B115="",$A115&gt;$B$9,G$114=""),"",IF(COUNTIFS(BD!$B$3:$B$5001,G$114,BD!$A$3:$A$5001,"&gt;="&amp;$C$7,BD!$A$3:$A$5001,"&lt;="&amp;$B115,BD!$K$3:$K$5001,"&lt;&gt;")=0,"",SUMIFS(BD!$K$3:$K$5001,BD!$B$3:$B$5001,G$114,BD!$A$3:$A$5001,_xlfn.MAXIFS(BD!$A$3:$A$5001,BD!$B$3:$B$5001,G$114,BD!$A$3:$A$5001,"&gt;="&amp;$C$7,BD!$A$3:$A$5001,"&lt;="&amp;$B115,BD!$K$3:$K$5001,"&lt;&gt;"))))</f>
        <v/>
      </c>
      <c r="H115" s="43" t="str">
        <f>IF(OR($B115="",$A115&gt;$B$9,H$114=""),"",IF(COUNTIFS(BD!$B$3:$B$5001,H$114,BD!$A$3:$A$5001,"&gt;="&amp;$C$7,BD!$A$3:$A$5001,"&lt;="&amp;$B115,BD!$K$3:$K$5001,"&lt;&gt;")=0,"",SUMIFS(BD!$K$3:$K$5001,BD!$B$3:$B$5001,H$114,BD!$A$3:$A$5001,_xlfn.MAXIFS(BD!$A$3:$A$5001,BD!$B$3:$B$5001,H$114,BD!$A$3:$A$5001,"&gt;="&amp;$C$7,BD!$A$3:$A$5001,"&lt;="&amp;$B115,BD!$K$3:$K$5001,"&lt;&gt;"))))</f>
        <v/>
      </c>
      <c r="I115" s="43" t="str">
        <f>IF(OR($B115="",$A115&gt;$B$9,I$114=""),"",IF(COUNTIFS(BD!$B$3:$B$5001,I$114,BD!$A$3:$A$5001,"&gt;="&amp;$C$7,BD!$A$3:$A$5001,"&lt;="&amp;$B115,BD!$K$3:$K$5001,"&lt;&gt;")=0,"",SUMIFS(BD!$K$3:$K$5001,BD!$B$3:$B$5001,I$114,BD!$A$3:$A$5001,_xlfn.MAXIFS(BD!$A$3:$A$5001,BD!$B$3:$B$5001,I$114,BD!$A$3:$A$5001,"&gt;="&amp;$C$7,BD!$A$3:$A$5001,"&lt;="&amp;$B115,BD!$K$3:$K$5001,"&lt;&gt;"))))</f>
        <v/>
      </c>
      <c r="J115" s="43" t="str">
        <f>IF(OR($B115="",$A115&gt;$B$9,J$114=""),"",IF(COUNTIFS(BD!$B$3:$B$5001,J$114,BD!$A$3:$A$5001,"&gt;="&amp;$C$7,BD!$A$3:$A$5001,"&lt;="&amp;$B115,BD!$K$3:$K$5001,"&lt;&gt;")=0,"",SUMIFS(BD!$K$3:$K$5001,BD!$B$3:$B$5001,J$114,BD!$A$3:$A$5001,_xlfn.MAXIFS(BD!$A$3:$A$5001,BD!$B$3:$B$5001,J$114,BD!$A$3:$A$5001,"&gt;="&amp;$C$7,BD!$A$3:$A$5001,"&lt;="&amp;$B115,BD!$K$3:$K$5001,"&lt;&gt;"))))</f>
        <v/>
      </c>
      <c r="K115" s="43" t="str">
        <f>IF(OR($B115="",$A115&gt;$B$9,K$114=""),"",IF(COUNTIFS(BD!$B$3:$B$5001,K$114,BD!$A$3:$A$5001,"&gt;="&amp;$C$7,BD!$A$3:$A$5001,"&lt;="&amp;$B115,BD!$K$3:$K$5001,"&lt;&gt;")=0,"",SUMIFS(BD!$K$3:$K$5001,BD!$B$3:$B$5001,K$114,BD!$A$3:$A$5001,_xlfn.MAXIFS(BD!$A$3:$A$5001,BD!$B$3:$B$5001,K$114,BD!$A$3:$A$5001,"&gt;="&amp;$C$7,BD!$A$3:$A$5001,"&lt;="&amp;$B115,BD!$K$3:$K$5001,"&lt;&gt;"))))</f>
        <v/>
      </c>
      <c r="L115" s="43" t="str">
        <f>IF(OR($B115="",$A115&gt;$B$9,L$114=""),"",IF(COUNTIFS(BD!$B$3:$B$5001,L$114,BD!$A$3:$A$5001,"&gt;="&amp;$C$7,BD!$A$3:$A$5001,"&lt;="&amp;$B115,BD!$K$3:$K$5001,"&lt;&gt;")=0,"",SUMIFS(BD!$K$3:$K$5001,BD!$B$3:$B$5001,L$114,BD!$A$3:$A$5001,_xlfn.MAXIFS(BD!$A$3:$A$5001,BD!$B$3:$B$5001,L$114,BD!$A$3:$A$5001,"&gt;="&amp;$C$7,BD!$A$3:$A$5001,"&lt;="&amp;$B115,BD!$K$3:$K$5001,"&lt;&gt;"))))</f>
        <v/>
      </c>
      <c r="M115" s="43" t="str">
        <f>IF(OR($B115="",$A115&gt;$B$9,M$114=""),"",IF(COUNTIFS(BD!$B$3:$B$5001,M$114,BD!$A$3:$A$5001,"&gt;="&amp;$C$7,BD!$A$3:$A$5001,"&lt;="&amp;$B115,BD!$K$3:$K$5001,"&lt;&gt;")=0,"",SUMIFS(BD!$K$3:$K$5001,BD!$B$3:$B$5001,M$114,BD!$A$3:$A$5001,_xlfn.MAXIFS(BD!$A$3:$A$5001,BD!$B$3:$B$5001,M$114,BD!$A$3:$A$5001,"&gt;="&amp;$C$7,BD!$A$3:$A$5001,"&lt;="&amp;$B115,BD!$K$3:$K$5001,"&lt;&gt;"))))</f>
        <v/>
      </c>
      <c r="N115" s="43" t="str">
        <f>IF(OR($B115="",$A115&gt;$B$9,N$114=""),"",IF(COUNTIFS(BD!$B$3:$B$5001,N$114,BD!$A$3:$A$5001,"&gt;="&amp;$C$7,BD!$A$3:$A$5001,"&lt;="&amp;$B115,BD!$K$3:$K$5001,"&lt;&gt;")=0,"",SUMIFS(BD!$K$3:$K$5001,BD!$B$3:$B$5001,N$114,BD!$A$3:$A$5001,_xlfn.MAXIFS(BD!$A$3:$A$5001,BD!$B$3:$B$5001,N$114,BD!$A$3:$A$5001,"&gt;="&amp;$C$7,BD!$A$3:$A$5001,"&lt;="&amp;$B115,BD!$K$3:$K$5001,"&lt;&gt;"))))</f>
        <v/>
      </c>
      <c r="O115" s="43" t="str">
        <f>IF(OR($B115="",$A115&gt;$B$9,O$114=""),"",IF(COUNTIFS(BD!$B$3:$B$5001,O$114,BD!$A$3:$A$5001,"&gt;="&amp;$C$7,BD!$A$3:$A$5001,"&lt;="&amp;$B115,BD!$K$3:$K$5001,"&lt;&gt;")=0,"",SUMIFS(BD!$K$3:$K$5001,BD!$B$3:$B$5001,O$114,BD!$A$3:$A$5001,_xlfn.MAXIFS(BD!$A$3:$A$5001,BD!$B$3:$B$5001,O$114,BD!$A$3:$A$5001,"&gt;="&amp;$C$7,BD!$A$3:$A$5001,"&lt;="&amp;$B115,BD!$K$3:$K$5001,"&lt;&gt;"))))</f>
        <v/>
      </c>
      <c r="P115" s="43" t="str">
        <f>IF(OR($B115="",$A115&gt;$B$9,P$114=""),"",IF(COUNTIFS(BD!$B$3:$B$5001,P$114,BD!$A$3:$A$5001,"&gt;="&amp;$C$7,BD!$A$3:$A$5001,"&lt;="&amp;$B115,BD!$K$3:$K$5001,"&lt;&gt;")=0,"",SUMIFS(BD!$K$3:$K$5001,BD!$B$3:$B$5001,P$114,BD!$A$3:$A$5001,_xlfn.MAXIFS(BD!$A$3:$A$5001,BD!$B$3:$B$5001,P$114,BD!$A$3:$A$5001,"&gt;="&amp;$C$7,BD!$A$3:$A$5001,"&lt;="&amp;$B115,BD!$K$3:$K$5001,"&lt;&gt;"))))</f>
        <v/>
      </c>
      <c r="Q115" s="43" t="str">
        <f>IF(OR($B115="",$A115&gt;$B$9,Q$114=""),"",IF(COUNTIFS(BD!$B$3:$B$5001,Q$114,BD!$A$3:$A$5001,"&gt;="&amp;$C$7,BD!$A$3:$A$5001,"&lt;="&amp;$B115,BD!$K$3:$K$5001,"&lt;&gt;")=0,"",SUMIFS(BD!$K$3:$K$5001,BD!$B$3:$B$5001,Q$114,BD!$A$3:$A$5001,_xlfn.MAXIFS(BD!$A$3:$A$5001,BD!$B$3:$B$5001,Q$114,BD!$A$3:$A$5001,"&gt;="&amp;$C$7,BD!$A$3:$A$5001,"&lt;="&amp;$B115,BD!$K$3:$K$5001,"&lt;&gt;"))))</f>
        <v/>
      </c>
      <c r="R115" s="43" t="str">
        <f>IF(OR($B115="",$A115&gt;$B$9,R$114=""),"",IF(COUNTIFS(BD!$B$3:$B$5001,R$114,BD!$A$3:$A$5001,"&gt;="&amp;$C$7,BD!$A$3:$A$5001,"&lt;="&amp;$B115,BD!$K$3:$K$5001,"&lt;&gt;")=0,"",SUMIFS(BD!$K$3:$K$5001,BD!$B$3:$B$5001,R$114,BD!$A$3:$A$5001,_xlfn.MAXIFS(BD!$A$3:$A$5001,BD!$B$3:$B$5001,R$114,BD!$A$3:$A$5001,"&gt;="&amp;$C$7,BD!$A$3:$A$5001,"&lt;="&amp;$B115,BD!$K$3:$K$5001,"&lt;&gt;"))))</f>
        <v/>
      </c>
      <c r="S115" s="43" t="str">
        <f>IF(OR($B115="",$A115&gt;$B$9,S$114=""),"",IF(COUNTIFS(BD!$B$3:$B$5001,S$114,BD!$A$3:$A$5001,"&gt;="&amp;$C$7,BD!$A$3:$A$5001,"&lt;="&amp;$B115,BD!$K$3:$K$5001,"&lt;&gt;")=0,"",SUMIFS(BD!$K$3:$K$5001,BD!$B$3:$B$5001,S$114,BD!$A$3:$A$5001,_xlfn.MAXIFS(BD!$A$3:$A$5001,BD!$B$3:$B$5001,S$114,BD!$A$3:$A$5001,"&gt;="&amp;$C$7,BD!$A$3:$A$5001,"&lt;="&amp;$B115,BD!$K$3:$K$5001,"&lt;&gt;"))))</f>
        <v/>
      </c>
      <c r="T115" s="43" t="str">
        <f>IF(OR($B115="",$A115&gt;$B$9,T$114=""),"",IF(COUNTIFS(BD!$B$3:$B$5001,T$114,BD!$A$3:$A$5001,"&gt;="&amp;$C$7,BD!$A$3:$A$5001,"&lt;="&amp;$B115,BD!$K$3:$K$5001,"&lt;&gt;")=0,"",SUMIFS(BD!$K$3:$K$5001,BD!$B$3:$B$5001,T$114,BD!$A$3:$A$5001,_xlfn.MAXIFS(BD!$A$3:$A$5001,BD!$B$3:$B$5001,T$114,BD!$A$3:$A$5001,"&gt;="&amp;$C$7,BD!$A$3:$A$5001,"&lt;="&amp;$B115,BD!$K$3:$K$5001,"&lt;&gt;"))))</f>
        <v/>
      </c>
      <c r="U115" s="43" t="str">
        <f>IF(OR($B115="",$A115&gt;$B$9,U$114=""),"",IF(COUNTIFS(BD!$B$3:$B$5001,U$114,BD!$A$3:$A$5001,"&gt;="&amp;$C$7,BD!$A$3:$A$5001,"&lt;="&amp;$B115,BD!$K$3:$K$5001,"&lt;&gt;")=0,"",SUMIFS(BD!$K$3:$K$5001,BD!$B$3:$B$5001,U$114,BD!$A$3:$A$5001,_xlfn.MAXIFS(BD!$A$3:$A$5001,BD!$B$3:$B$5001,U$114,BD!$A$3:$A$5001,"&gt;="&amp;$C$7,BD!$A$3:$A$5001,"&lt;="&amp;$B115,BD!$K$3:$K$5001,"&lt;&gt;"))))</f>
        <v/>
      </c>
      <c r="V115" s="43" t="str">
        <f>IF(OR($B115="",$A115&gt;$B$9,V$114=""),"",IF(COUNTIFS(BD!$B$3:$B$5001,V$114,BD!$A$3:$A$5001,"&gt;="&amp;$C$7,BD!$A$3:$A$5001,"&lt;="&amp;$B115,BD!$K$3:$K$5001,"&lt;&gt;")=0,"",SUMIFS(BD!$K$3:$K$5001,BD!$B$3:$B$5001,V$114,BD!$A$3:$A$5001,_xlfn.MAXIFS(BD!$A$3:$A$5001,BD!$B$3:$B$5001,V$114,BD!$A$3:$A$5001,"&gt;="&amp;$C$7,BD!$A$3:$A$5001,"&lt;="&amp;$B115,BD!$K$3:$K$5001,"&lt;&gt;"))))</f>
        <v/>
      </c>
    </row>
    <row r="116">
      <c r="A116" s="38">
        <v>2</v>
      </c>
      <c r="B116" s="42">
        <f>$B$13</f>
        <v>46297</v>
      </c>
      <c r="C116" s="43" t="str">
        <f>IF(OR($B116="",$A116&gt;$B$9,C$114=""),"",IF(COUNTIFS(BD!$B$3:$B$5001,C$114,BD!$A$3:$A$5001,"&gt;="&amp;$C$7,BD!$A$3:$A$5001,"&lt;="&amp;$B116,BD!$K$3:$K$5001,"&lt;&gt;")=0,"",SUMIFS(BD!$K$3:$K$5001,BD!$B$3:$B$5001,C$114,BD!$A$3:$A$5001,_xlfn.MAXIFS(BD!$A$3:$A$5001,BD!$B$3:$B$5001,C$114,BD!$A$3:$A$5001,"&gt;="&amp;$C$7,BD!$A$3:$A$5001,"&lt;="&amp;$B116,BD!$K$3:$K$5001,"&lt;&gt;"))))</f>
        <v/>
      </c>
      <c r="D116" s="43" t="str">
        <f>IF(OR($B116="",$A116&gt;$B$9,D$114=""),"",IF(COUNTIFS(BD!$B$3:$B$5001,D$114,BD!$A$3:$A$5001,"&gt;="&amp;$C$7,BD!$A$3:$A$5001,"&lt;="&amp;$B116,BD!$K$3:$K$5001,"&lt;&gt;")=0,"",SUMIFS(BD!$K$3:$K$5001,BD!$B$3:$B$5001,D$114,BD!$A$3:$A$5001,_xlfn.MAXIFS(BD!$A$3:$A$5001,BD!$B$3:$B$5001,D$114,BD!$A$3:$A$5001,"&gt;="&amp;$C$7,BD!$A$3:$A$5001,"&lt;="&amp;$B116,BD!$K$3:$K$5001,"&lt;&gt;"))))</f>
        <v/>
      </c>
      <c r="E116" s="43" t="str">
        <f>IF(OR($B116="",$A116&gt;$B$9,E$114=""),"",IF(COUNTIFS(BD!$B$3:$B$5001,E$114,BD!$A$3:$A$5001,"&gt;="&amp;$C$7,BD!$A$3:$A$5001,"&lt;="&amp;$B116,BD!$K$3:$K$5001,"&lt;&gt;")=0,"",SUMIFS(BD!$K$3:$K$5001,BD!$B$3:$B$5001,E$114,BD!$A$3:$A$5001,_xlfn.MAXIFS(BD!$A$3:$A$5001,BD!$B$3:$B$5001,E$114,BD!$A$3:$A$5001,"&gt;="&amp;$C$7,BD!$A$3:$A$5001,"&lt;="&amp;$B116,BD!$K$3:$K$5001,"&lt;&gt;"))))</f>
        <v/>
      </c>
      <c r="F116" s="43" t="str">
        <f>IF(OR($B116="",$A116&gt;$B$9,F$114=""),"",IF(COUNTIFS(BD!$B$3:$B$5001,F$114,BD!$A$3:$A$5001,"&gt;="&amp;$C$7,BD!$A$3:$A$5001,"&lt;="&amp;$B116,BD!$K$3:$K$5001,"&lt;&gt;")=0,"",SUMIFS(BD!$K$3:$K$5001,BD!$B$3:$B$5001,F$114,BD!$A$3:$A$5001,_xlfn.MAXIFS(BD!$A$3:$A$5001,BD!$B$3:$B$5001,F$114,BD!$A$3:$A$5001,"&gt;="&amp;$C$7,BD!$A$3:$A$5001,"&lt;="&amp;$B116,BD!$K$3:$K$5001,"&lt;&gt;"))))</f>
        <v/>
      </c>
      <c r="G116" s="43" t="str">
        <f>IF(OR($B116="",$A116&gt;$B$9,G$114=""),"",IF(COUNTIFS(BD!$B$3:$B$5001,G$114,BD!$A$3:$A$5001,"&gt;="&amp;$C$7,BD!$A$3:$A$5001,"&lt;="&amp;$B116,BD!$K$3:$K$5001,"&lt;&gt;")=0,"",SUMIFS(BD!$K$3:$K$5001,BD!$B$3:$B$5001,G$114,BD!$A$3:$A$5001,_xlfn.MAXIFS(BD!$A$3:$A$5001,BD!$B$3:$B$5001,G$114,BD!$A$3:$A$5001,"&gt;="&amp;$C$7,BD!$A$3:$A$5001,"&lt;="&amp;$B116,BD!$K$3:$K$5001,"&lt;&gt;"))))</f>
        <v/>
      </c>
      <c r="H116" s="43" t="str">
        <f>IF(OR($B116="",$A116&gt;$B$9,H$114=""),"",IF(COUNTIFS(BD!$B$3:$B$5001,H$114,BD!$A$3:$A$5001,"&gt;="&amp;$C$7,BD!$A$3:$A$5001,"&lt;="&amp;$B116,BD!$K$3:$K$5001,"&lt;&gt;")=0,"",SUMIFS(BD!$K$3:$K$5001,BD!$B$3:$B$5001,H$114,BD!$A$3:$A$5001,_xlfn.MAXIFS(BD!$A$3:$A$5001,BD!$B$3:$B$5001,H$114,BD!$A$3:$A$5001,"&gt;="&amp;$C$7,BD!$A$3:$A$5001,"&lt;="&amp;$B116,BD!$K$3:$K$5001,"&lt;&gt;"))))</f>
        <v/>
      </c>
      <c r="I116" s="43" t="str">
        <f>IF(OR($B116="",$A116&gt;$B$9,I$114=""),"",IF(COUNTIFS(BD!$B$3:$B$5001,I$114,BD!$A$3:$A$5001,"&gt;="&amp;$C$7,BD!$A$3:$A$5001,"&lt;="&amp;$B116,BD!$K$3:$K$5001,"&lt;&gt;")=0,"",SUMIFS(BD!$K$3:$K$5001,BD!$B$3:$B$5001,I$114,BD!$A$3:$A$5001,_xlfn.MAXIFS(BD!$A$3:$A$5001,BD!$B$3:$B$5001,I$114,BD!$A$3:$A$5001,"&gt;="&amp;$C$7,BD!$A$3:$A$5001,"&lt;="&amp;$B116,BD!$K$3:$K$5001,"&lt;&gt;"))))</f>
        <v/>
      </c>
      <c r="J116" s="43" t="str">
        <f>IF(OR($B116="",$A116&gt;$B$9,J$114=""),"",IF(COUNTIFS(BD!$B$3:$B$5001,J$114,BD!$A$3:$A$5001,"&gt;="&amp;$C$7,BD!$A$3:$A$5001,"&lt;="&amp;$B116,BD!$K$3:$K$5001,"&lt;&gt;")=0,"",SUMIFS(BD!$K$3:$K$5001,BD!$B$3:$B$5001,J$114,BD!$A$3:$A$5001,_xlfn.MAXIFS(BD!$A$3:$A$5001,BD!$B$3:$B$5001,J$114,BD!$A$3:$A$5001,"&gt;="&amp;$C$7,BD!$A$3:$A$5001,"&lt;="&amp;$B116,BD!$K$3:$K$5001,"&lt;&gt;"))))</f>
        <v/>
      </c>
      <c r="K116" s="43" t="str">
        <f>IF(OR($B116="",$A116&gt;$B$9,K$114=""),"",IF(COUNTIFS(BD!$B$3:$B$5001,K$114,BD!$A$3:$A$5001,"&gt;="&amp;$C$7,BD!$A$3:$A$5001,"&lt;="&amp;$B116,BD!$K$3:$K$5001,"&lt;&gt;")=0,"",SUMIFS(BD!$K$3:$K$5001,BD!$B$3:$B$5001,K$114,BD!$A$3:$A$5001,_xlfn.MAXIFS(BD!$A$3:$A$5001,BD!$B$3:$B$5001,K$114,BD!$A$3:$A$5001,"&gt;="&amp;$C$7,BD!$A$3:$A$5001,"&lt;="&amp;$B116,BD!$K$3:$K$5001,"&lt;&gt;"))))</f>
        <v/>
      </c>
      <c r="L116" s="43" t="str">
        <f>IF(OR($B116="",$A116&gt;$B$9,L$114=""),"",IF(COUNTIFS(BD!$B$3:$B$5001,L$114,BD!$A$3:$A$5001,"&gt;="&amp;$C$7,BD!$A$3:$A$5001,"&lt;="&amp;$B116,BD!$K$3:$K$5001,"&lt;&gt;")=0,"",SUMIFS(BD!$K$3:$K$5001,BD!$B$3:$B$5001,L$114,BD!$A$3:$A$5001,_xlfn.MAXIFS(BD!$A$3:$A$5001,BD!$B$3:$B$5001,L$114,BD!$A$3:$A$5001,"&gt;="&amp;$C$7,BD!$A$3:$A$5001,"&lt;="&amp;$B116,BD!$K$3:$K$5001,"&lt;&gt;"))))</f>
        <v/>
      </c>
      <c r="M116" s="43" t="str">
        <f>IF(OR($B116="",$A116&gt;$B$9,M$114=""),"",IF(COUNTIFS(BD!$B$3:$B$5001,M$114,BD!$A$3:$A$5001,"&gt;="&amp;$C$7,BD!$A$3:$A$5001,"&lt;="&amp;$B116,BD!$K$3:$K$5001,"&lt;&gt;")=0,"",SUMIFS(BD!$K$3:$K$5001,BD!$B$3:$B$5001,M$114,BD!$A$3:$A$5001,_xlfn.MAXIFS(BD!$A$3:$A$5001,BD!$B$3:$B$5001,M$114,BD!$A$3:$A$5001,"&gt;="&amp;$C$7,BD!$A$3:$A$5001,"&lt;="&amp;$B116,BD!$K$3:$K$5001,"&lt;&gt;"))))</f>
        <v/>
      </c>
      <c r="N116" s="43" t="str">
        <f>IF(OR($B116="",$A116&gt;$B$9,N$114=""),"",IF(COUNTIFS(BD!$B$3:$B$5001,N$114,BD!$A$3:$A$5001,"&gt;="&amp;$C$7,BD!$A$3:$A$5001,"&lt;="&amp;$B116,BD!$K$3:$K$5001,"&lt;&gt;")=0,"",SUMIFS(BD!$K$3:$K$5001,BD!$B$3:$B$5001,N$114,BD!$A$3:$A$5001,_xlfn.MAXIFS(BD!$A$3:$A$5001,BD!$B$3:$B$5001,N$114,BD!$A$3:$A$5001,"&gt;="&amp;$C$7,BD!$A$3:$A$5001,"&lt;="&amp;$B116,BD!$K$3:$K$5001,"&lt;&gt;"))))</f>
        <v/>
      </c>
      <c r="O116" s="43" t="str">
        <f>IF(OR($B116="",$A116&gt;$B$9,O$114=""),"",IF(COUNTIFS(BD!$B$3:$B$5001,O$114,BD!$A$3:$A$5001,"&gt;="&amp;$C$7,BD!$A$3:$A$5001,"&lt;="&amp;$B116,BD!$K$3:$K$5001,"&lt;&gt;")=0,"",SUMIFS(BD!$K$3:$K$5001,BD!$B$3:$B$5001,O$114,BD!$A$3:$A$5001,_xlfn.MAXIFS(BD!$A$3:$A$5001,BD!$B$3:$B$5001,O$114,BD!$A$3:$A$5001,"&gt;="&amp;$C$7,BD!$A$3:$A$5001,"&lt;="&amp;$B116,BD!$K$3:$K$5001,"&lt;&gt;"))))</f>
        <v/>
      </c>
      <c r="P116" s="43" t="str">
        <f>IF(OR($B116="",$A116&gt;$B$9,P$114=""),"",IF(COUNTIFS(BD!$B$3:$B$5001,P$114,BD!$A$3:$A$5001,"&gt;="&amp;$C$7,BD!$A$3:$A$5001,"&lt;="&amp;$B116,BD!$K$3:$K$5001,"&lt;&gt;")=0,"",SUMIFS(BD!$K$3:$K$5001,BD!$B$3:$B$5001,P$114,BD!$A$3:$A$5001,_xlfn.MAXIFS(BD!$A$3:$A$5001,BD!$B$3:$B$5001,P$114,BD!$A$3:$A$5001,"&gt;="&amp;$C$7,BD!$A$3:$A$5001,"&lt;="&amp;$B116,BD!$K$3:$K$5001,"&lt;&gt;"))))</f>
        <v/>
      </c>
      <c r="Q116" s="43" t="str">
        <f>IF(OR($B116="",$A116&gt;$B$9,Q$114=""),"",IF(COUNTIFS(BD!$B$3:$B$5001,Q$114,BD!$A$3:$A$5001,"&gt;="&amp;$C$7,BD!$A$3:$A$5001,"&lt;="&amp;$B116,BD!$K$3:$K$5001,"&lt;&gt;")=0,"",SUMIFS(BD!$K$3:$K$5001,BD!$B$3:$B$5001,Q$114,BD!$A$3:$A$5001,_xlfn.MAXIFS(BD!$A$3:$A$5001,BD!$B$3:$B$5001,Q$114,BD!$A$3:$A$5001,"&gt;="&amp;$C$7,BD!$A$3:$A$5001,"&lt;="&amp;$B116,BD!$K$3:$K$5001,"&lt;&gt;"))))</f>
        <v/>
      </c>
      <c r="R116" s="43" t="str">
        <f>IF(OR($B116="",$A116&gt;$B$9,R$114=""),"",IF(COUNTIFS(BD!$B$3:$B$5001,R$114,BD!$A$3:$A$5001,"&gt;="&amp;$C$7,BD!$A$3:$A$5001,"&lt;="&amp;$B116,BD!$K$3:$K$5001,"&lt;&gt;")=0,"",SUMIFS(BD!$K$3:$K$5001,BD!$B$3:$B$5001,R$114,BD!$A$3:$A$5001,_xlfn.MAXIFS(BD!$A$3:$A$5001,BD!$B$3:$B$5001,R$114,BD!$A$3:$A$5001,"&gt;="&amp;$C$7,BD!$A$3:$A$5001,"&lt;="&amp;$B116,BD!$K$3:$K$5001,"&lt;&gt;"))))</f>
        <v/>
      </c>
      <c r="S116" s="43" t="str">
        <f>IF(OR($B116="",$A116&gt;$B$9,S$114=""),"",IF(COUNTIFS(BD!$B$3:$B$5001,S$114,BD!$A$3:$A$5001,"&gt;="&amp;$C$7,BD!$A$3:$A$5001,"&lt;="&amp;$B116,BD!$K$3:$K$5001,"&lt;&gt;")=0,"",SUMIFS(BD!$K$3:$K$5001,BD!$B$3:$B$5001,S$114,BD!$A$3:$A$5001,_xlfn.MAXIFS(BD!$A$3:$A$5001,BD!$B$3:$B$5001,S$114,BD!$A$3:$A$5001,"&gt;="&amp;$C$7,BD!$A$3:$A$5001,"&lt;="&amp;$B116,BD!$K$3:$K$5001,"&lt;&gt;"))))</f>
        <v/>
      </c>
      <c r="T116" s="43" t="str">
        <f>IF(OR($B116="",$A116&gt;$B$9,T$114=""),"",IF(COUNTIFS(BD!$B$3:$B$5001,T$114,BD!$A$3:$A$5001,"&gt;="&amp;$C$7,BD!$A$3:$A$5001,"&lt;="&amp;$B116,BD!$K$3:$K$5001,"&lt;&gt;")=0,"",SUMIFS(BD!$K$3:$K$5001,BD!$B$3:$B$5001,T$114,BD!$A$3:$A$5001,_xlfn.MAXIFS(BD!$A$3:$A$5001,BD!$B$3:$B$5001,T$114,BD!$A$3:$A$5001,"&gt;="&amp;$C$7,BD!$A$3:$A$5001,"&lt;="&amp;$B116,BD!$K$3:$K$5001,"&lt;&gt;"))))</f>
        <v/>
      </c>
      <c r="U116" s="43" t="str">
        <f>IF(OR($B116="",$A116&gt;$B$9,U$114=""),"",IF(COUNTIFS(BD!$B$3:$B$5001,U$114,BD!$A$3:$A$5001,"&gt;="&amp;$C$7,BD!$A$3:$A$5001,"&lt;="&amp;$B116,BD!$K$3:$K$5001,"&lt;&gt;")=0,"",SUMIFS(BD!$K$3:$K$5001,BD!$B$3:$B$5001,U$114,BD!$A$3:$A$5001,_xlfn.MAXIFS(BD!$A$3:$A$5001,BD!$B$3:$B$5001,U$114,BD!$A$3:$A$5001,"&gt;="&amp;$C$7,BD!$A$3:$A$5001,"&lt;="&amp;$B116,BD!$K$3:$K$5001,"&lt;&gt;"))))</f>
        <v/>
      </c>
      <c r="V116" s="43" t="str">
        <f>IF(OR($B116="",$A116&gt;$B$9,V$114=""),"",IF(COUNTIFS(BD!$B$3:$B$5001,V$114,BD!$A$3:$A$5001,"&gt;="&amp;$C$7,BD!$A$3:$A$5001,"&lt;="&amp;$B116,BD!$K$3:$K$5001,"&lt;&gt;")=0,"",SUMIFS(BD!$K$3:$K$5001,BD!$B$3:$B$5001,V$114,BD!$A$3:$A$5001,_xlfn.MAXIFS(BD!$A$3:$A$5001,BD!$B$3:$B$5001,V$114,BD!$A$3:$A$5001,"&gt;="&amp;$C$7,BD!$A$3:$A$5001,"&lt;="&amp;$B116,BD!$K$3:$K$5001,"&lt;&gt;"))))</f>
        <v/>
      </c>
    </row>
    <row r="117">
      <c r="A117" s="38">
        <v>3</v>
      </c>
      <c r="B117" s="42">
        <f>$B$14</f>
        <v>46298</v>
      </c>
      <c r="C117" s="43" t="str">
        <f>IF(OR($B117="",$A117&gt;$B$9,C$114=""),"",IF(COUNTIFS(BD!$B$3:$B$5001,C$114,BD!$A$3:$A$5001,"&gt;="&amp;$C$7,BD!$A$3:$A$5001,"&lt;="&amp;$B117,BD!$K$3:$K$5001,"&lt;&gt;")=0,"",SUMIFS(BD!$K$3:$K$5001,BD!$B$3:$B$5001,C$114,BD!$A$3:$A$5001,_xlfn.MAXIFS(BD!$A$3:$A$5001,BD!$B$3:$B$5001,C$114,BD!$A$3:$A$5001,"&gt;="&amp;$C$7,BD!$A$3:$A$5001,"&lt;="&amp;$B117,BD!$K$3:$K$5001,"&lt;&gt;"))))</f>
        <v/>
      </c>
      <c r="D117" s="43" t="str">
        <f>IF(OR($B117="",$A117&gt;$B$9,D$114=""),"",IF(COUNTIFS(BD!$B$3:$B$5001,D$114,BD!$A$3:$A$5001,"&gt;="&amp;$C$7,BD!$A$3:$A$5001,"&lt;="&amp;$B117,BD!$K$3:$K$5001,"&lt;&gt;")=0,"",SUMIFS(BD!$K$3:$K$5001,BD!$B$3:$B$5001,D$114,BD!$A$3:$A$5001,_xlfn.MAXIFS(BD!$A$3:$A$5001,BD!$B$3:$B$5001,D$114,BD!$A$3:$A$5001,"&gt;="&amp;$C$7,BD!$A$3:$A$5001,"&lt;="&amp;$B117,BD!$K$3:$K$5001,"&lt;&gt;"))))</f>
        <v/>
      </c>
      <c r="E117" s="43" t="str">
        <f>IF(OR($B117="",$A117&gt;$B$9,E$114=""),"",IF(COUNTIFS(BD!$B$3:$B$5001,E$114,BD!$A$3:$A$5001,"&gt;="&amp;$C$7,BD!$A$3:$A$5001,"&lt;="&amp;$B117,BD!$K$3:$K$5001,"&lt;&gt;")=0,"",SUMIFS(BD!$K$3:$K$5001,BD!$B$3:$B$5001,E$114,BD!$A$3:$A$5001,_xlfn.MAXIFS(BD!$A$3:$A$5001,BD!$B$3:$B$5001,E$114,BD!$A$3:$A$5001,"&gt;="&amp;$C$7,BD!$A$3:$A$5001,"&lt;="&amp;$B117,BD!$K$3:$K$5001,"&lt;&gt;"))))</f>
        <v/>
      </c>
      <c r="F117" s="43" t="str">
        <f>IF(OR($B117="",$A117&gt;$B$9,F$114=""),"",IF(COUNTIFS(BD!$B$3:$B$5001,F$114,BD!$A$3:$A$5001,"&gt;="&amp;$C$7,BD!$A$3:$A$5001,"&lt;="&amp;$B117,BD!$K$3:$K$5001,"&lt;&gt;")=0,"",SUMIFS(BD!$K$3:$K$5001,BD!$B$3:$B$5001,F$114,BD!$A$3:$A$5001,_xlfn.MAXIFS(BD!$A$3:$A$5001,BD!$B$3:$B$5001,F$114,BD!$A$3:$A$5001,"&gt;="&amp;$C$7,BD!$A$3:$A$5001,"&lt;="&amp;$B117,BD!$K$3:$K$5001,"&lt;&gt;"))))</f>
        <v/>
      </c>
      <c r="G117" s="43" t="str">
        <f>IF(OR($B117="",$A117&gt;$B$9,G$114=""),"",IF(COUNTIFS(BD!$B$3:$B$5001,G$114,BD!$A$3:$A$5001,"&gt;="&amp;$C$7,BD!$A$3:$A$5001,"&lt;="&amp;$B117,BD!$K$3:$K$5001,"&lt;&gt;")=0,"",SUMIFS(BD!$K$3:$K$5001,BD!$B$3:$B$5001,G$114,BD!$A$3:$A$5001,_xlfn.MAXIFS(BD!$A$3:$A$5001,BD!$B$3:$B$5001,G$114,BD!$A$3:$A$5001,"&gt;="&amp;$C$7,BD!$A$3:$A$5001,"&lt;="&amp;$B117,BD!$K$3:$K$5001,"&lt;&gt;"))))</f>
        <v/>
      </c>
      <c r="H117" s="43" t="str">
        <f>IF(OR($B117="",$A117&gt;$B$9,H$114=""),"",IF(COUNTIFS(BD!$B$3:$B$5001,H$114,BD!$A$3:$A$5001,"&gt;="&amp;$C$7,BD!$A$3:$A$5001,"&lt;="&amp;$B117,BD!$K$3:$K$5001,"&lt;&gt;")=0,"",SUMIFS(BD!$K$3:$K$5001,BD!$B$3:$B$5001,H$114,BD!$A$3:$A$5001,_xlfn.MAXIFS(BD!$A$3:$A$5001,BD!$B$3:$B$5001,H$114,BD!$A$3:$A$5001,"&gt;="&amp;$C$7,BD!$A$3:$A$5001,"&lt;="&amp;$B117,BD!$K$3:$K$5001,"&lt;&gt;"))))</f>
        <v/>
      </c>
      <c r="I117" s="43" t="str">
        <f>IF(OR($B117="",$A117&gt;$B$9,I$114=""),"",IF(COUNTIFS(BD!$B$3:$B$5001,I$114,BD!$A$3:$A$5001,"&gt;="&amp;$C$7,BD!$A$3:$A$5001,"&lt;="&amp;$B117,BD!$K$3:$K$5001,"&lt;&gt;")=0,"",SUMIFS(BD!$K$3:$K$5001,BD!$B$3:$B$5001,I$114,BD!$A$3:$A$5001,_xlfn.MAXIFS(BD!$A$3:$A$5001,BD!$B$3:$B$5001,I$114,BD!$A$3:$A$5001,"&gt;="&amp;$C$7,BD!$A$3:$A$5001,"&lt;="&amp;$B117,BD!$K$3:$K$5001,"&lt;&gt;"))))</f>
        <v/>
      </c>
      <c r="J117" s="43" t="str">
        <f>IF(OR($B117="",$A117&gt;$B$9,J$114=""),"",IF(COUNTIFS(BD!$B$3:$B$5001,J$114,BD!$A$3:$A$5001,"&gt;="&amp;$C$7,BD!$A$3:$A$5001,"&lt;="&amp;$B117,BD!$K$3:$K$5001,"&lt;&gt;")=0,"",SUMIFS(BD!$K$3:$K$5001,BD!$B$3:$B$5001,J$114,BD!$A$3:$A$5001,_xlfn.MAXIFS(BD!$A$3:$A$5001,BD!$B$3:$B$5001,J$114,BD!$A$3:$A$5001,"&gt;="&amp;$C$7,BD!$A$3:$A$5001,"&lt;="&amp;$B117,BD!$K$3:$K$5001,"&lt;&gt;"))))</f>
        <v/>
      </c>
      <c r="K117" s="43" t="str">
        <f>IF(OR($B117="",$A117&gt;$B$9,K$114=""),"",IF(COUNTIFS(BD!$B$3:$B$5001,K$114,BD!$A$3:$A$5001,"&gt;="&amp;$C$7,BD!$A$3:$A$5001,"&lt;="&amp;$B117,BD!$K$3:$K$5001,"&lt;&gt;")=0,"",SUMIFS(BD!$K$3:$K$5001,BD!$B$3:$B$5001,K$114,BD!$A$3:$A$5001,_xlfn.MAXIFS(BD!$A$3:$A$5001,BD!$B$3:$B$5001,K$114,BD!$A$3:$A$5001,"&gt;="&amp;$C$7,BD!$A$3:$A$5001,"&lt;="&amp;$B117,BD!$K$3:$K$5001,"&lt;&gt;"))))</f>
        <v/>
      </c>
      <c r="L117" s="43" t="str">
        <f>IF(OR($B117="",$A117&gt;$B$9,L$114=""),"",IF(COUNTIFS(BD!$B$3:$B$5001,L$114,BD!$A$3:$A$5001,"&gt;="&amp;$C$7,BD!$A$3:$A$5001,"&lt;="&amp;$B117,BD!$K$3:$K$5001,"&lt;&gt;")=0,"",SUMIFS(BD!$K$3:$K$5001,BD!$B$3:$B$5001,L$114,BD!$A$3:$A$5001,_xlfn.MAXIFS(BD!$A$3:$A$5001,BD!$B$3:$B$5001,L$114,BD!$A$3:$A$5001,"&gt;="&amp;$C$7,BD!$A$3:$A$5001,"&lt;="&amp;$B117,BD!$K$3:$K$5001,"&lt;&gt;"))))</f>
        <v/>
      </c>
      <c r="M117" s="43" t="str">
        <f>IF(OR($B117="",$A117&gt;$B$9,M$114=""),"",IF(COUNTIFS(BD!$B$3:$B$5001,M$114,BD!$A$3:$A$5001,"&gt;="&amp;$C$7,BD!$A$3:$A$5001,"&lt;="&amp;$B117,BD!$K$3:$K$5001,"&lt;&gt;")=0,"",SUMIFS(BD!$K$3:$K$5001,BD!$B$3:$B$5001,M$114,BD!$A$3:$A$5001,_xlfn.MAXIFS(BD!$A$3:$A$5001,BD!$B$3:$B$5001,M$114,BD!$A$3:$A$5001,"&gt;="&amp;$C$7,BD!$A$3:$A$5001,"&lt;="&amp;$B117,BD!$K$3:$K$5001,"&lt;&gt;"))))</f>
        <v/>
      </c>
      <c r="N117" s="43" t="str">
        <f>IF(OR($B117="",$A117&gt;$B$9,N$114=""),"",IF(COUNTIFS(BD!$B$3:$B$5001,N$114,BD!$A$3:$A$5001,"&gt;="&amp;$C$7,BD!$A$3:$A$5001,"&lt;="&amp;$B117,BD!$K$3:$K$5001,"&lt;&gt;")=0,"",SUMIFS(BD!$K$3:$K$5001,BD!$B$3:$B$5001,N$114,BD!$A$3:$A$5001,_xlfn.MAXIFS(BD!$A$3:$A$5001,BD!$B$3:$B$5001,N$114,BD!$A$3:$A$5001,"&gt;="&amp;$C$7,BD!$A$3:$A$5001,"&lt;="&amp;$B117,BD!$K$3:$K$5001,"&lt;&gt;"))))</f>
        <v/>
      </c>
      <c r="O117" s="43" t="str">
        <f>IF(OR($B117="",$A117&gt;$B$9,O$114=""),"",IF(COUNTIFS(BD!$B$3:$B$5001,O$114,BD!$A$3:$A$5001,"&gt;="&amp;$C$7,BD!$A$3:$A$5001,"&lt;="&amp;$B117,BD!$K$3:$K$5001,"&lt;&gt;")=0,"",SUMIFS(BD!$K$3:$K$5001,BD!$B$3:$B$5001,O$114,BD!$A$3:$A$5001,_xlfn.MAXIFS(BD!$A$3:$A$5001,BD!$B$3:$B$5001,O$114,BD!$A$3:$A$5001,"&gt;="&amp;$C$7,BD!$A$3:$A$5001,"&lt;="&amp;$B117,BD!$K$3:$K$5001,"&lt;&gt;"))))</f>
        <v/>
      </c>
      <c r="P117" s="43" t="str">
        <f>IF(OR($B117="",$A117&gt;$B$9,P$114=""),"",IF(COUNTIFS(BD!$B$3:$B$5001,P$114,BD!$A$3:$A$5001,"&gt;="&amp;$C$7,BD!$A$3:$A$5001,"&lt;="&amp;$B117,BD!$K$3:$K$5001,"&lt;&gt;")=0,"",SUMIFS(BD!$K$3:$K$5001,BD!$B$3:$B$5001,P$114,BD!$A$3:$A$5001,_xlfn.MAXIFS(BD!$A$3:$A$5001,BD!$B$3:$B$5001,P$114,BD!$A$3:$A$5001,"&gt;="&amp;$C$7,BD!$A$3:$A$5001,"&lt;="&amp;$B117,BD!$K$3:$K$5001,"&lt;&gt;"))))</f>
        <v/>
      </c>
      <c r="Q117" s="43" t="str">
        <f>IF(OR($B117="",$A117&gt;$B$9,Q$114=""),"",IF(COUNTIFS(BD!$B$3:$B$5001,Q$114,BD!$A$3:$A$5001,"&gt;="&amp;$C$7,BD!$A$3:$A$5001,"&lt;="&amp;$B117,BD!$K$3:$K$5001,"&lt;&gt;")=0,"",SUMIFS(BD!$K$3:$K$5001,BD!$B$3:$B$5001,Q$114,BD!$A$3:$A$5001,_xlfn.MAXIFS(BD!$A$3:$A$5001,BD!$B$3:$B$5001,Q$114,BD!$A$3:$A$5001,"&gt;="&amp;$C$7,BD!$A$3:$A$5001,"&lt;="&amp;$B117,BD!$K$3:$K$5001,"&lt;&gt;"))))</f>
        <v/>
      </c>
      <c r="R117" s="43" t="str">
        <f>IF(OR($B117="",$A117&gt;$B$9,R$114=""),"",IF(COUNTIFS(BD!$B$3:$B$5001,R$114,BD!$A$3:$A$5001,"&gt;="&amp;$C$7,BD!$A$3:$A$5001,"&lt;="&amp;$B117,BD!$K$3:$K$5001,"&lt;&gt;")=0,"",SUMIFS(BD!$K$3:$K$5001,BD!$B$3:$B$5001,R$114,BD!$A$3:$A$5001,_xlfn.MAXIFS(BD!$A$3:$A$5001,BD!$B$3:$B$5001,R$114,BD!$A$3:$A$5001,"&gt;="&amp;$C$7,BD!$A$3:$A$5001,"&lt;="&amp;$B117,BD!$K$3:$K$5001,"&lt;&gt;"))))</f>
        <v/>
      </c>
      <c r="S117" s="43" t="str">
        <f>IF(OR($B117="",$A117&gt;$B$9,S$114=""),"",IF(COUNTIFS(BD!$B$3:$B$5001,S$114,BD!$A$3:$A$5001,"&gt;="&amp;$C$7,BD!$A$3:$A$5001,"&lt;="&amp;$B117,BD!$K$3:$K$5001,"&lt;&gt;")=0,"",SUMIFS(BD!$K$3:$K$5001,BD!$B$3:$B$5001,S$114,BD!$A$3:$A$5001,_xlfn.MAXIFS(BD!$A$3:$A$5001,BD!$B$3:$B$5001,S$114,BD!$A$3:$A$5001,"&gt;="&amp;$C$7,BD!$A$3:$A$5001,"&lt;="&amp;$B117,BD!$K$3:$K$5001,"&lt;&gt;"))))</f>
        <v/>
      </c>
      <c r="T117" s="43" t="str">
        <f>IF(OR($B117="",$A117&gt;$B$9,T$114=""),"",IF(COUNTIFS(BD!$B$3:$B$5001,T$114,BD!$A$3:$A$5001,"&gt;="&amp;$C$7,BD!$A$3:$A$5001,"&lt;="&amp;$B117,BD!$K$3:$K$5001,"&lt;&gt;")=0,"",SUMIFS(BD!$K$3:$K$5001,BD!$B$3:$B$5001,T$114,BD!$A$3:$A$5001,_xlfn.MAXIFS(BD!$A$3:$A$5001,BD!$B$3:$B$5001,T$114,BD!$A$3:$A$5001,"&gt;="&amp;$C$7,BD!$A$3:$A$5001,"&lt;="&amp;$B117,BD!$K$3:$K$5001,"&lt;&gt;"))))</f>
        <v/>
      </c>
      <c r="U117" s="43" t="str">
        <f>IF(OR($B117="",$A117&gt;$B$9,U$114=""),"",IF(COUNTIFS(BD!$B$3:$B$5001,U$114,BD!$A$3:$A$5001,"&gt;="&amp;$C$7,BD!$A$3:$A$5001,"&lt;="&amp;$B117,BD!$K$3:$K$5001,"&lt;&gt;")=0,"",SUMIFS(BD!$K$3:$K$5001,BD!$B$3:$B$5001,U$114,BD!$A$3:$A$5001,_xlfn.MAXIFS(BD!$A$3:$A$5001,BD!$B$3:$B$5001,U$114,BD!$A$3:$A$5001,"&gt;="&amp;$C$7,BD!$A$3:$A$5001,"&lt;="&amp;$B117,BD!$K$3:$K$5001,"&lt;&gt;"))))</f>
        <v/>
      </c>
      <c r="V117" s="43" t="str">
        <f>IF(OR($B117="",$A117&gt;$B$9,V$114=""),"",IF(COUNTIFS(BD!$B$3:$B$5001,V$114,BD!$A$3:$A$5001,"&gt;="&amp;$C$7,BD!$A$3:$A$5001,"&lt;="&amp;$B117,BD!$K$3:$K$5001,"&lt;&gt;")=0,"",SUMIFS(BD!$K$3:$K$5001,BD!$B$3:$B$5001,V$114,BD!$A$3:$A$5001,_xlfn.MAXIFS(BD!$A$3:$A$5001,BD!$B$3:$B$5001,V$114,BD!$A$3:$A$5001,"&gt;="&amp;$C$7,BD!$A$3:$A$5001,"&lt;="&amp;$B117,BD!$K$3:$K$5001,"&lt;&gt;"))))</f>
        <v/>
      </c>
    </row>
    <row r="118">
      <c r="A118" s="38">
        <v>4</v>
      </c>
      <c r="B118" s="42">
        <f>$B$15</f>
        <v>46299</v>
      </c>
      <c r="C118" s="43" t="str">
        <f>IF(OR($B118="",$A118&gt;$B$9,C$114=""),"",IF(COUNTIFS(BD!$B$3:$B$5001,C$114,BD!$A$3:$A$5001,"&gt;="&amp;$C$7,BD!$A$3:$A$5001,"&lt;="&amp;$B118,BD!$K$3:$K$5001,"&lt;&gt;")=0,"",SUMIFS(BD!$K$3:$K$5001,BD!$B$3:$B$5001,C$114,BD!$A$3:$A$5001,_xlfn.MAXIFS(BD!$A$3:$A$5001,BD!$B$3:$B$5001,C$114,BD!$A$3:$A$5001,"&gt;="&amp;$C$7,BD!$A$3:$A$5001,"&lt;="&amp;$B118,BD!$K$3:$K$5001,"&lt;&gt;"))))</f>
        <v/>
      </c>
      <c r="D118" s="43" t="str">
        <f>IF(OR($B118="",$A118&gt;$B$9,D$114=""),"",IF(COUNTIFS(BD!$B$3:$B$5001,D$114,BD!$A$3:$A$5001,"&gt;="&amp;$C$7,BD!$A$3:$A$5001,"&lt;="&amp;$B118,BD!$K$3:$K$5001,"&lt;&gt;")=0,"",SUMIFS(BD!$K$3:$K$5001,BD!$B$3:$B$5001,D$114,BD!$A$3:$A$5001,_xlfn.MAXIFS(BD!$A$3:$A$5001,BD!$B$3:$B$5001,D$114,BD!$A$3:$A$5001,"&gt;="&amp;$C$7,BD!$A$3:$A$5001,"&lt;="&amp;$B118,BD!$K$3:$K$5001,"&lt;&gt;"))))</f>
        <v/>
      </c>
      <c r="E118" s="43" t="str">
        <f>IF(OR($B118="",$A118&gt;$B$9,E$114=""),"",IF(COUNTIFS(BD!$B$3:$B$5001,E$114,BD!$A$3:$A$5001,"&gt;="&amp;$C$7,BD!$A$3:$A$5001,"&lt;="&amp;$B118,BD!$K$3:$K$5001,"&lt;&gt;")=0,"",SUMIFS(BD!$K$3:$K$5001,BD!$B$3:$B$5001,E$114,BD!$A$3:$A$5001,_xlfn.MAXIFS(BD!$A$3:$A$5001,BD!$B$3:$B$5001,E$114,BD!$A$3:$A$5001,"&gt;="&amp;$C$7,BD!$A$3:$A$5001,"&lt;="&amp;$B118,BD!$K$3:$K$5001,"&lt;&gt;"))))</f>
        <v/>
      </c>
      <c r="F118" s="43" t="str">
        <f>IF(OR($B118="",$A118&gt;$B$9,F$114=""),"",IF(COUNTIFS(BD!$B$3:$B$5001,F$114,BD!$A$3:$A$5001,"&gt;="&amp;$C$7,BD!$A$3:$A$5001,"&lt;="&amp;$B118,BD!$K$3:$K$5001,"&lt;&gt;")=0,"",SUMIFS(BD!$K$3:$K$5001,BD!$B$3:$B$5001,F$114,BD!$A$3:$A$5001,_xlfn.MAXIFS(BD!$A$3:$A$5001,BD!$B$3:$B$5001,F$114,BD!$A$3:$A$5001,"&gt;="&amp;$C$7,BD!$A$3:$A$5001,"&lt;="&amp;$B118,BD!$K$3:$K$5001,"&lt;&gt;"))))</f>
        <v/>
      </c>
      <c r="G118" s="43" t="str">
        <f>IF(OR($B118="",$A118&gt;$B$9,G$114=""),"",IF(COUNTIFS(BD!$B$3:$B$5001,G$114,BD!$A$3:$A$5001,"&gt;="&amp;$C$7,BD!$A$3:$A$5001,"&lt;="&amp;$B118,BD!$K$3:$K$5001,"&lt;&gt;")=0,"",SUMIFS(BD!$K$3:$K$5001,BD!$B$3:$B$5001,G$114,BD!$A$3:$A$5001,_xlfn.MAXIFS(BD!$A$3:$A$5001,BD!$B$3:$B$5001,G$114,BD!$A$3:$A$5001,"&gt;="&amp;$C$7,BD!$A$3:$A$5001,"&lt;="&amp;$B118,BD!$K$3:$K$5001,"&lt;&gt;"))))</f>
        <v/>
      </c>
      <c r="H118" s="43" t="str">
        <f>IF(OR($B118="",$A118&gt;$B$9,H$114=""),"",IF(COUNTIFS(BD!$B$3:$B$5001,H$114,BD!$A$3:$A$5001,"&gt;="&amp;$C$7,BD!$A$3:$A$5001,"&lt;="&amp;$B118,BD!$K$3:$K$5001,"&lt;&gt;")=0,"",SUMIFS(BD!$K$3:$K$5001,BD!$B$3:$B$5001,H$114,BD!$A$3:$A$5001,_xlfn.MAXIFS(BD!$A$3:$A$5001,BD!$B$3:$B$5001,H$114,BD!$A$3:$A$5001,"&gt;="&amp;$C$7,BD!$A$3:$A$5001,"&lt;="&amp;$B118,BD!$K$3:$K$5001,"&lt;&gt;"))))</f>
        <v/>
      </c>
      <c r="I118" s="43" t="str">
        <f>IF(OR($B118="",$A118&gt;$B$9,I$114=""),"",IF(COUNTIFS(BD!$B$3:$B$5001,I$114,BD!$A$3:$A$5001,"&gt;="&amp;$C$7,BD!$A$3:$A$5001,"&lt;="&amp;$B118,BD!$K$3:$K$5001,"&lt;&gt;")=0,"",SUMIFS(BD!$K$3:$K$5001,BD!$B$3:$B$5001,I$114,BD!$A$3:$A$5001,_xlfn.MAXIFS(BD!$A$3:$A$5001,BD!$B$3:$B$5001,I$114,BD!$A$3:$A$5001,"&gt;="&amp;$C$7,BD!$A$3:$A$5001,"&lt;="&amp;$B118,BD!$K$3:$K$5001,"&lt;&gt;"))))</f>
        <v/>
      </c>
      <c r="J118" s="43" t="str">
        <f>IF(OR($B118="",$A118&gt;$B$9,J$114=""),"",IF(COUNTIFS(BD!$B$3:$B$5001,J$114,BD!$A$3:$A$5001,"&gt;="&amp;$C$7,BD!$A$3:$A$5001,"&lt;="&amp;$B118,BD!$K$3:$K$5001,"&lt;&gt;")=0,"",SUMIFS(BD!$K$3:$K$5001,BD!$B$3:$B$5001,J$114,BD!$A$3:$A$5001,_xlfn.MAXIFS(BD!$A$3:$A$5001,BD!$B$3:$B$5001,J$114,BD!$A$3:$A$5001,"&gt;="&amp;$C$7,BD!$A$3:$A$5001,"&lt;="&amp;$B118,BD!$K$3:$K$5001,"&lt;&gt;"))))</f>
        <v/>
      </c>
      <c r="K118" s="43" t="str">
        <f>IF(OR($B118="",$A118&gt;$B$9,K$114=""),"",IF(COUNTIFS(BD!$B$3:$B$5001,K$114,BD!$A$3:$A$5001,"&gt;="&amp;$C$7,BD!$A$3:$A$5001,"&lt;="&amp;$B118,BD!$K$3:$K$5001,"&lt;&gt;")=0,"",SUMIFS(BD!$K$3:$K$5001,BD!$B$3:$B$5001,K$114,BD!$A$3:$A$5001,_xlfn.MAXIFS(BD!$A$3:$A$5001,BD!$B$3:$B$5001,K$114,BD!$A$3:$A$5001,"&gt;="&amp;$C$7,BD!$A$3:$A$5001,"&lt;="&amp;$B118,BD!$K$3:$K$5001,"&lt;&gt;"))))</f>
        <v/>
      </c>
      <c r="L118" s="43" t="str">
        <f>IF(OR($B118="",$A118&gt;$B$9,L$114=""),"",IF(COUNTIFS(BD!$B$3:$B$5001,L$114,BD!$A$3:$A$5001,"&gt;="&amp;$C$7,BD!$A$3:$A$5001,"&lt;="&amp;$B118,BD!$K$3:$K$5001,"&lt;&gt;")=0,"",SUMIFS(BD!$K$3:$K$5001,BD!$B$3:$B$5001,L$114,BD!$A$3:$A$5001,_xlfn.MAXIFS(BD!$A$3:$A$5001,BD!$B$3:$B$5001,L$114,BD!$A$3:$A$5001,"&gt;="&amp;$C$7,BD!$A$3:$A$5001,"&lt;="&amp;$B118,BD!$K$3:$K$5001,"&lt;&gt;"))))</f>
        <v/>
      </c>
      <c r="M118" s="43" t="str">
        <f>IF(OR($B118="",$A118&gt;$B$9,M$114=""),"",IF(COUNTIFS(BD!$B$3:$B$5001,M$114,BD!$A$3:$A$5001,"&gt;="&amp;$C$7,BD!$A$3:$A$5001,"&lt;="&amp;$B118,BD!$K$3:$K$5001,"&lt;&gt;")=0,"",SUMIFS(BD!$K$3:$K$5001,BD!$B$3:$B$5001,M$114,BD!$A$3:$A$5001,_xlfn.MAXIFS(BD!$A$3:$A$5001,BD!$B$3:$B$5001,M$114,BD!$A$3:$A$5001,"&gt;="&amp;$C$7,BD!$A$3:$A$5001,"&lt;="&amp;$B118,BD!$K$3:$K$5001,"&lt;&gt;"))))</f>
        <v/>
      </c>
      <c r="N118" s="43" t="str">
        <f>IF(OR($B118="",$A118&gt;$B$9,N$114=""),"",IF(COUNTIFS(BD!$B$3:$B$5001,N$114,BD!$A$3:$A$5001,"&gt;="&amp;$C$7,BD!$A$3:$A$5001,"&lt;="&amp;$B118,BD!$K$3:$K$5001,"&lt;&gt;")=0,"",SUMIFS(BD!$K$3:$K$5001,BD!$B$3:$B$5001,N$114,BD!$A$3:$A$5001,_xlfn.MAXIFS(BD!$A$3:$A$5001,BD!$B$3:$B$5001,N$114,BD!$A$3:$A$5001,"&gt;="&amp;$C$7,BD!$A$3:$A$5001,"&lt;="&amp;$B118,BD!$K$3:$K$5001,"&lt;&gt;"))))</f>
        <v/>
      </c>
      <c r="O118" s="43" t="str">
        <f>IF(OR($B118="",$A118&gt;$B$9,O$114=""),"",IF(COUNTIFS(BD!$B$3:$B$5001,O$114,BD!$A$3:$A$5001,"&gt;="&amp;$C$7,BD!$A$3:$A$5001,"&lt;="&amp;$B118,BD!$K$3:$K$5001,"&lt;&gt;")=0,"",SUMIFS(BD!$K$3:$K$5001,BD!$B$3:$B$5001,O$114,BD!$A$3:$A$5001,_xlfn.MAXIFS(BD!$A$3:$A$5001,BD!$B$3:$B$5001,O$114,BD!$A$3:$A$5001,"&gt;="&amp;$C$7,BD!$A$3:$A$5001,"&lt;="&amp;$B118,BD!$K$3:$K$5001,"&lt;&gt;"))))</f>
        <v/>
      </c>
      <c r="P118" s="43" t="str">
        <f>IF(OR($B118="",$A118&gt;$B$9,P$114=""),"",IF(COUNTIFS(BD!$B$3:$B$5001,P$114,BD!$A$3:$A$5001,"&gt;="&amp;$C$7,BD!$A$3:$A$5001,"&lt;="&amp;$B118,BD!$K$3:$K$5001,"&lt;&gt;")=0,"",SUMIFS(BD!$K$3:$K$5001,BD!$B$3:$B$5001,P$114,BD!$A$3:$A$5001,_xlfn.MAXIFS(BD!$A$3:$A$5001,BD!$B$3:$B$5001,P$114,BD!$A$3:$A$5001,"&gt;="&amp;$C$7,BD!$A$3:$A$5001,"&lt;="&amp;$B118,BD!$K$3:$K$5001,"&lt;&gt;"))))</f>
        <v/>
      </c>
      <c r="Q118" s="43" t="str">
        <f>IF(OR($B118="",$A118&gt;$B$9,Q$114=""),"",IF(COUNTIFS(BD!$B$3:$B$5001,Q$114,BD!$A$3:$A$5001,"&gt;="&amp;$C$7,BD!$A$3:$A$5001,"&lt;="&amp;$B118,BD!$K$3:$K$5001,"&lt;&gt;")=0,"",SUMIFS(BD!$K$3:$K$5001,BD!$B$3:$B$5001,Q$114,BD!$A$3:$A$5001,_xlfn.MAXIFS(BD!$A$3:$A$5001,BD!$B$3:$B$5001,Q$114,BD!$A$3:$A$5001,"&gt;="&amp;$C$7,BD!$A$3:$A$5001,"&lt;="&amp;$B118,BD!$K$3:$K$5001,"&lt;&gt;"))))</f>
        <v/>
      </c>
      <c r="R118" s="43" t="str">
        <f>IF(OR($B118="",$A118&gt;$B$9,R$114=""),"",IF(COUNTIFS(BD!$B$3:$B$5001,R$114,BD!$A$3:$A$5001,"&gt;="&amp;$C$7,BD!$A$3:$A$5001,"&lt;="&amp;$B118,BD!$K$3:$K$5001,"&lt;&gt;")=0,"",SUMIFS(BD!$K$3:$K$5001,BD!$B$3:$B$5001,R$114,BD!$A$3:$A$5001,_xlfn.MAXIFS(BD!$A$3:$A$5001,BD!$B$3:$B$5001,R$114,BD!$A$3:$A$5001,"&gt;="&amp;$C$7,BD!$A$3:$A$5001,"&lt;="&amp;$B118,BD!$K$3:$K$5001,"&lt;&gt;"))))</f>
        <v/>
      </c>
      <c r="S118" s="43" t="str">
        <f>IF(OR($B118="",$A118&gt;$B$9,S$114=""),"",IF(COUNTIFS(BD!$B$3:$B$5001,S$114,BD!$A$3:$A$5001,"&gt;="&amp;$C$7,BD!$A$3:$A$5001,"&lt;="&amp;$B118,BD!$K$3:$K$5001,"&lt;&gt;")=0,"",SUMIFS(BD!$K$3:$K$5001,BD!$B$3:$B$5001,S$114,BD!$A$3:$A$5001,_xlfn.MAXIFS(BD!$A$3:$A$5001,BD!$B$3:$B$5001,S$114,BD!$A$3:$A$5001,"&gt;="&amp;$C$7,BD!$A$3:$A$5001,"&lt;="&amp;$B118,BD!$K$3:$K$5001,"&lt;&gt;"))))</f>
        <v/>
      </c>
      <c r="T118" s="43" t="str">
        <f>IF(OR($B118="",$A118&gt;$B$9,T$114=""),"",IF(COUNTIFS(BD!$B$3:$B$5001,T$114,BD!$A$3:$A$5001,"&gt;="&amp;$C$7,BD!$A$3:$A$5001,"&lt;="&amp;$B118,BD!$K$3:$K$5001,"&lt;&gt;")=0,"",SUMIFS(BD!$K$3:$K$5001,BD!$B$3:$B$5001,T$114,BD!$A$3:$A$5001,_xlfn.MAXIFS(BD!$A$3:$A$5001,BD!$B$3:$B$5001,T$114,BD!$A$3:$A$5001,"&gt;="&amp;$C$7,BD!$A$3:$A$5001,"&lt;="&amp;$B118,BD!$K$3:$K$5001,"&lt;&gt;"))))</f>
        <v/>
      </c>
      <c r="U118" s="43" t="str">
        <f>IF(OR($B118="",$A118&gt;$B$9,U$114=""),"",IF(COUNTIFS(BD!$B$3:$B$5001,U$114,BD!$A$3:$A$5001,"&gt;="&amp;$C$7,BD!$A$3:$A$5001,"&lt;="&amp;$B118,BD!$K$3:$K$5001,"&lt;&gt;")=0,"",SUMIFS(BD!$K$3:$K$5001,BD!$B$3:$B$5001,U$114,BD!$A$3:$A$5001,_xlfn.MAXIFS(BD!$A$3:$A$5001,BD!$B$3:$B$5001,U$114,BD!$A$3:$A$5001,"&gt;="&amp;$C$7,BD!$A$3:$A$5001,"&lt;="&amp;$B118,BD!$K$3:$K$5001,"&lt;&gt;"))))</f>
        <v/>
      </c>
      <c r="V118" s="43" t="str">
        <f>IF(OR($B118="",$A118&gt;$B$9,V$114=""),"",IF(COUNTIFS(BD!$B$3:$B$5001,V$114,BD!$A$3:$A$5001,"&gt;="&amp;$C$7,BD!$A$3:$A$5001,"&lt;="&amp;$B118,BD!$K$3:$K$5001,"&lt;&gt;")=0,"",SUMIFS(BD!$K$3:$K$5001,BD!$B$3:$B$5001,V$114,BD!$A$3:$A$5001,_xlfn.MAXIFS(BD!$A$3:$A$5001,BD!$B$3:$B$5001,V$114,BD!$A$3:$A$5001,"&gt;="&amp;$C$7,BD!$A$3:$A$5001,"&lt;="&amp;$B118,BD!$K$3:$K$5001,"&lt;&gt;"))))</f>
        <v/>
      </c>
    </row>
    <row r="119">
      <c r="A119" s="38">
        <v>5</v>
      </c>
      <c r="B119" s="42">
        <f>$B$16</f>
        <v>46300</v>
      </c>
      <c r="C119" s="43" t="str">
        <f>IF(OR($B119="",$A119&gt;$B$9,C$114=""),"",IF(COUNTIFS(BD!$B$3:$B$5001,C$114,BD!$A$3:$A$5001,"&gt;="&amp;$C$7,BD!$A$3:$A$5001,"&lt;="&amp;$B119,BD!$K$3:$K$5001,"&lt;&gt;")=0,"",SUMIFS(BD!$K$3:$K$5001,BD!$B$3:$B$5001,C$114,BD!$A$3:$A$5001,_xlfn.MAXIFS(BD!$A$3:$A$5001,BD!$B$3:$B$5001,C$114,BD!$A$3:$A$5001,"&gt;="&amp;$C$7,BD!$A$3:$A$5001,"&lt;="&amp;$B119,BD!$K$3:$K$5001,"&lt;&gt;"))))</f>
        <v/>
      </c>
      <c r="D119" s="43" t="str">
        <f>IF(OR($B119="",$A119&gt;$B$9,D$114=""),"",IF(COUNTIFS(BD!$B$3:$B$5001,D$114,BD!$A$3:$A$5001,"&gt;="&amp;$C$7,BD!$A$3:$A$5001,"&lt;="&amp;$B119,BD!$K$3:$K$5001,"&lt;&gt;")=0,"",SUMIFS(BD!$K$3:$K$5001,BD!$B$3:$B$5001,D$114,BD!$A$3:$A$5001,_xlfn.MAXIFS(BD!$A$3:$A$5001,BD!$B$3:$B$5001,D$114,BD!$A$3:$A$5001,"&gt;="&amp;$C$7,BD!$A$3:$A$5001,"&lt;="&amp;$B119,BD!$K$3:$K$5001,"&lt;&gt;"))))</f>
        <v/>
      </c>
      <c r="E119" s="43" t="str">
        <f>IF(OR($B119="",$A119&gt;$B$9,E$114=""),"",IF(COUNTIFS(BD!$B$3:$B$5001,E$114,BD!$A$3:$A$5001,"&gt;="&amp;$C$7,BD!$A$3:$A$5001,"&lt;="&amp;$B119,BD!$K$3:$K$5001,"&lt;&gt;")=0,"",SUMIFS(BD!$K$3:$K$5001,BD!$B$3:$B$5001,E$114,BD!$A$3:$A$5001,_xlfn.MAXIFS(BD!$A$3:$A$5001,BD!$B$3:$B$5001,E$114,BD!$A$3:$A$5001,"&gt;="&amp;$C$7,BD!$A$3:$A$5001,"&lt;="&amp;$B119,BD!$K$3:$K$5001,"&lt;&gt;"))))</f>
        <v/>
      </c>
      <c r="F119" s="43" t="str">
        <f>IF(OR($B119="",$A119&gt;$B$9,F$114=""),"",IF(COUNTIFS(BD!$B$3:$B$5001,F$114,BD!$A$3:$A$5001,"&gt;="&amp;$C$7,BD!$A$3:$A$5001,"&lt;="&amp;$B119,BD!$K$3:$K$5001,"&lt;&gt;")=0,"",SUMIFS(BD!$K$3:$K$5001,BD!$B$3:$B$5001,F$114,BD!$A$3:$A$5001,_xlfn.MAXIFS(BD!$A$3:$A$5001,BD!$B$3:$B$5001,F$114,BD!$A$3:$A$5001,"&gt;="&amp;$C$7,BD!$A$3:$A$5001,"&lt;="&amp;$B119,BD!$K$3:$K$5001,"&lt;&gt;"))))</f>
        <v/>
      </c>
      <c r="G119" s="43" t="str">
        <f>IF(OR($B119="",$A119&gt;$B$9,G$114=""),"",IF(COUNTIFS(BD!$B$3:$B$5001,G$114,BD!$A$3:$A$5001,"&gt;="&amp;$C$7,BD!$A$3:$A$5001,"&lt;="&amp;$B119,BD!$K$3:$K$5001,"&lt;&gt;")=0,"",SUMIFS(BD!$K$3:$K$5001,BD!$B$3:$B$5001,G$114,BD!$A$3:$A$5001,_xlfn.MAXIFS(BD!$A$3:$A$5001,BD!$B$3:$B$5001,G$114,BD!$A$3:$A$5001,"&gt;="&amp;$C$7,BD!$A$3:$A$5001,"&lt;="&amp;$B119,BD!$K$3:$K$5001,"&lt;&gt;"))))</f>
        <v/>
      </c>
      <c r="H119" s="43" t="str">
        <f>IF(OR($B119="",$A119&gt;$B$9,H$114=""),"",IF(COUNTIFS(BD!$B$3:$B$5001,H$114,BD!$A$3:$A$5001,"&gt;="&amp;$C$7,BD!$A$3:$A$5001,"&lt;="&amp;$B119,BD!$K$3:$K$5001,"&lt;&gt;")=0,"",SUMIFS(BD!$K$3:$K$5001,BD!$B$3:$B$5001,H$114,BD!$A$3:$A$5001,_xlfn.MAXIFS(BD!$A$3:$A$5001,BD!$B$3:$B$5001,H$114,BD!$A$3:$A$5001,"&gt;="&amp;$C$7,BD!$A$3:$A$5001,"&lt;="&amp;$B119,BD!$K$3:$K$5001,"&lt;&gt;"))))</f>
        <v/>
      </c>
      <c r="I119" s="43" t="str">
        <f>IF(OR($B119="",$A119&gt;$B$9,I$114=""),"",IF(COUNTIFS(BD!$B$3:$B$5001,I$114,BD!$A$3:$A$5001,"&gt;="&amp;$C$7,BD!$A$3:$A$5001,"&lt;="&amp;$B119,BD!$K$3:$K$5001,"&lt;&gt;")=0,"",SUMIFS(BD!$K$3:$K$5001,BD!$B$3:$B$5001,I$114,BD!$A$3:$A$5001,_xlfn.MAXIFS(BD!$A$3:$A$5001,BD!$B$3:$B$5001,I$114,BD!$A$3:$A$5001,"&gt;="&amp;$C$7,BD!$A$3:$A$5001,"&lt;="&amp;$B119,BD!$K$3:$K$5001,"&lt;&gt;"))))</f>
        <v/>
      </c>
      <c r="J119" s="43" t="str">
        <f>IF(OR($B119="",$A119&gt;$B$9,J$114=""),"",IF(COUNTIFS(BD!$B$3:$B$5001,J$114,BD!$A$3:$A$5001,"&gt;="&amp;$C$7,BD!$A$3:$A$5001,"&lt;="&amp;$B119,BD!$K$3:$K$5001,"&lt;&gt;")=0,"",SUMIFS(BD!$K$3:$K$5001,BD!$B$3:$B$5001,J$114,BD!$A$3:$A$5001,_xlfn.MAXIFS(BD!$A$3:$A$5001,BD!$B$3:$B$5001,J$114,BD!$A$3:$A$5001,"&gt;="&amp;$C$7,BD!$A$3:$A$5001,"&lt;="&amp;$B119,BD!$K$3:$K$5001,"&lt;&gt;"))))</f>
        <v/>
      </c>
      <c r="K119" s="43" t="str">
        <f>IF(OR($B119="",$A119&gt;$B$9,K$114=""),"",IF(COUNTIFS(BD!$B$3:$B$5001,K$114,BD!$A$3:$A$5001,"&gt;="&amp;$C$7,BD!$A$3:$A$5001,"&lt;="&amp;$B119,BD!$K$3:$K$5001,"&lt;&gt;")=0,"",SUMIFS(BD!$K$3:$K$5001,BD!$B$3:$B$5001,K$114,BD!$A$3:$A$5001,_xlfn.MAXIFS(BD!$A$3:$A$5001,BD!$B$3:$B$5001,K$114,BD!$A$3:$A$5001,"&gt;="&amp;$C$7,BD!$A$3:$A$5001,"&lt;="&amp;$B119,BD!$K$3:$K$5001,"&lt;&gt;"))))</f>
        <v/>
      </c>
      <c r="L119" s="43" t="str">
        <f>IF(OR($B119="",$A119&gt;$B$9,L$114=""),"",IF(COUNTIFS(BD!$B$3:$B$5001,L$114,BD!$A$3:$A$5001,"&gt;="&amp;$C$7,BD!$A$3:$A$5001,"&lt;="&amp;$B119,BD!$K$3:$K$5001,"&lt;&gt;")=0,"",SUMIFS(BD!$K$3:$K$5001,BD!$B$3:$B$5001,L$114,BD!$A$3:$A$5001,_xlfn.MAXIFS(BD!$A$3:$A$5001,BD!$B$3:$B$5001,L$114,BD!$A$3:$A$5001,"&gt;="&amp;$C$7,BD!$A$3:$A$5001,"&lt;="&amp;$B119,BD!$K$3:$K$5001,"&lt;&gt;"))))</f>
        <v/>
      </c>
      <c r="M119" s="43" t="str">
        <f>IF(OR($B119="",$A119&gt;$B$9,M$114=""),"",IF(COUNTIFS(BD!$B$3:$B$5001,M$114,BD!$A$3:$A$5001,"&gt;="&amp;$C$7,BD!$A$3:$A$5001,"&lt;="&amp;$B119,BD!$K$3:$K$5001,"&lt;&gt;")=0,"",SUMIFS(BD!$K$3:$K$5001,BD!$B$3:$B$5001,M$114,BD!$A$3:$A$5001,_xlfn.MAXIFS(BD!$A$3:$A$5001,BD!$B$3:$B$5001,M$114,BD!$A$3:$A$5001,"&gt;="&amp;$C$7,BD!$A$3:$A$5001,"&lt;="&amp;$B119,BD!$K$3:$K$5001,"&lt;&gt;"))))</f>
        <v/>
      </c>
      <c r="N119" s="43" t="str">
        <f>IF(OR($B119="",$A119&gt;$B$9,N$114=""),"",IF(COUNTIFS(BD!$B$3:$B$5001,N$114,BD!$A$3:$A$5001,"&gt;="&amp;$C$7,BD!$A$3:$A$5001,"&lt;="&amp;$B119,BD!$K$3:$K$5001,"&lt;&gt;")=0,"",SUMIFS(BD!$K$3:$K$5001,BD!$B$3:$B$5001,N$114,BD!$A$3:$A$5001,_xlfn.MAXIFS(BD!$A$3:$A$5001,BD!$B$3:$B$5001,N$114,BD!$A$3:$A$5001,"&gt;="&amp;$C$7,BD!$A$3:$A$5001,"&lt;="&amp;$B119,BD!$K$3:$K$5001,"&lt;&gt;"))))</f>
        <v/>
      </c>
      <c r="O119" s="43" t="str">
        <f>IF(OR($B119="",$A119&gt;$B$9,O$114=""),"",IF(COUNTIFS(BD!$B$3:$B$5001,O$114,BD!$A$3:$A$5001,"&gt;="&amp;$C$7,BD!$A$3:$A$5001,"&lt;="&amp;$B119,BD!$K$3:$K$5001,"&lt;&gt;")=0,"",SUMIFS(BD!$K$3:$K$5001,BD!$B$3:$B$5001,O$114,BD!$A$3:$A$5001,_xlfn.MAXIFS(BD!$A$3:$A$5001,BD!$B$3:$B$5001,O$114,BD!$A$3:$A$5001,"&gt;="&amp;$C$7,BD!$A$3:$A$5001,"&lt;="&amp;$B119,BD!$K$3:$K$5001,"&lt;&gt;"))))</f>
        <v/>
      </c>
      <c r="P119" s="43" t="str">
        <f>IF(OR($B119="",$A119&gt;$B$9,P$114=""),"",IF(COUNTIFS(BD!$B$3:$B$5001,P$114,BD!$A$3:$A$5001,"&gt;="&amp;$C$7,BD!$A$3:$A$5001,"&lt;="&amp;$B119,BD!$K$3:$K$5001,"&lt;&gt;")=0,"",SUMIFS(BD!$K$3:$K$5001,BD!$B$3:$B$5001,P$114,BD!$A$3:$A$5001,_xlfn.MAXIFS(BD!$A$3:$A$5001,BD!$B$3:$B$5001,P$114,BD!$A$3:$A$5001,"&gt;="&amp;$C$7,BD!$A$3:$A$5001,"&lt;="&amp;$B119,BD!$K$3:$K$5001,"&lt;&gt;"))))</f>
        <v/>
      </c>
      <c r="Q119" s="43" t="str">
        <f>IF(OR($B119="",$A119&gt;$B$9,Q$114=""),"",IF(COUNTIFS(BD!$B$3:$B$5001,Q$114,BD!$A$3:$A$5001,"&gt;="&amp;$C$7,BD!$A$3:$A$5001,"&lt;="&amp;$B119,BD!$K$3:$K$5001,"&lt;&gt;")=0,"",SUMIFS(BD!$K$3:$K$5001,BD!$B$3:$B$5001,Q$114,BD!$A$3:$A$5001,_xlfn.MAXIFS(BD!$A$3:$A$5001,BD!$B$3:$B$5001,Q$114,BD!$A$3:$A$5001,"&gt;="&amp;$C$7,BD!$A$3:$A$5001,"&lt;="&amp;$B119,BD!$K$3:$K$5001,"&lt;&gt;"))))</f>
        <v/>
      </c>
      <c r="R119" s="43" t="str">
        <f>IF(OR($B119="",$A119&gt;$B$9,R$114=""),"",IF(COUNTIFS(BD!$B$3:$B$5001,R$114,BD!$A$3:$A$5001,"&gt;="&amp;$C$7,BD!$A$3:$A$5001,"&lt;="&amp;$B119,BD!$K$3:$K$5001,"&lt;&gt;")=0,"",SUMIFS(BD!$K$3:$K$5001,BD!$B$3:$B$5001,R$114,BD!$A$3:$A$5001,_xlfn.MAXIFS(BD!$A$3:$A$5001,BD!$B$3:$B$5001,R$114,BD!$A$3:$A$5001,"&gt;="&amp;$C$7,BD!$A$3:$A$5001,"&lt;="&amp;$B119,BD!$K$3:$K$5001,"&lt;&gt;"))))</f>
        <v/>
      </c>
      <c r="S119" s="43" t="str">
        <f>IF(OR($B119="",$A119&gt;$B$9,S$114=""),"",IF(COUNTIFS(BD!$B$3:$B$5001,S$114,BD!$A$3:$A$5001,"&gt;="&amp;$C$7,BD!$A$3:$A$5001,"&lt;="&amp;$B119,BD!$K$3:$K$5001,"&lt;&gt;")=0,"",SUMIFS(BD!$K$3:$K$5001,BD!$B$3:$B$5001,S$114,BD!$A$3:$A$5001,_xlfn.MAXIFS(BD!$A$3:$A$5001,BD!$B$3:$B$5001,S$114,BD!$A$3:$A$5001,"&gt;="&amp;$C$7,BD!$A$3:$A$5001,"&lt;="&amp;$B119,BD!$K$3:$K$5001,"&lt;&gt;"))))</f>
        <v/>
      </c>
      <c r="T119" s="43" t="str">
        <f>IF(OR($B119="",$A119&gt;$B$9,T$114=""),"",IF(COUNTIFS(BD!$B$3:$B$5001,T$114,BD!$A$3:$A$5001,"&gt;="&amp;$C$7,BD!$A$3:$A$5001,"&lt;="&amp;$B119,BD!$K$3:$K$5001,"&lt;&gt;")=0,"",SUMIFS(BD!$K$3:$K$5001,BD!$B$3:$B$5001,T$114,BD!$A$3:$A$5001,_xlfn.MAXIFS(BD!$A$3:$A$5001,BD!$B$3:$B$5001,T$114,BD!$A$3:$A$5001,"&gt;="&amp;$C$7,BD!$A$3:$A$5001,"&lt;="&amp;$B119,BD!$K$3:$K$5001,"&lt;&gt;"))))</f>
        <v/>
      </c>
      <c r="U119" s="43" t="str">
        <f>IF(OR($B119="",$A119&gt;$B$9,U$114=""),"",IF(COUNTIFS(BD!$B$3:$B$5001,U$114,BD!$A$3:$A$5001,"&gt;="&amp;$C$7,BD!$A$3:$A$5001,"&lt;="&amp;$B119,BD!$K$3:$K$5001,"&lt;&gt;")=0,"",SUMIFS(BD!$K$3:$K$5001,BD!$B$3:$B$5001,U$114,BD!$A$3:$A$5001,_xlfn.MAXIFS(BD!$A$3:$A$5001,BD!$B$3:$B$5001,U$114,BD!$A$3:$A$5001,"&gt;="&amp;$C$7,BD!$A$3:$A$5001,"&lt;="&amp;$B119,BD!$K$3:$K$5001,"&lt;&gt;"))))</f>
        <v/>
      </c>
      <c r="V119" s="43" t="str">
        <f>IF(OR($B119="",$A119&gt;$B$9,V$114=""),"",IF(COUNTIFS(BD!$B$3:$B$5001,V$114,BD!$A$3:$A$5001,"&gt;="&amp;$C$7,BD!$A$3:$A$5001,"&lt;="&amp;$B119,BD!$K$3:$K$5001,"&lt;&gt;")=0,"",SUMIFS(BD!$K$3:$K$5001,BD!$B$3:$B$5001,V$114,BD!$A$3:$A$5001,_xlfn.MAXIFS(BD!$A$3:$A$5001,BD!$B$3:$B$5001,V$114,BD!$A$3:$A$5001,"&gt;="&amp;$C$7,BD!$A$3:$A$5001,"&lt;="&amp;$B119,BD!$K$3:$K$5001,"&lt;&gt;"))))</f>
        <v/>
      </c>
    </row>
    <row r="120">
      <c r="A120" s="38">
        <v>6</v>
      </c>
      <c r="B120" s="42">
        <f>$B$17</f>
        <v>46301</v>
      </c>
      <c r="C120" s="43" t="str">
        <f>IF(OR($B120="",$A120&gt;$B$9,C$114=""),"",IF(COUNTIFS(BD!$B$3:$B$5001,C$114,BD!$A$3:$A$5001,"&gt;="&amp;$C$7,BD!$A$3:$A$5001,"&lt;="&amp;$B120,BD!$K$3:$K$5001,"&lt;&gt;")=0,"",SUMIFS(BD!$K$3:$K$5001,BD!$B$3:$B$5001,C$114,BD!$A$3:$A$5001,_xlfn.MAXIFS(BD!$A$3:$A$5001,BD!$B$3:$B$5001,C$114,BD!$A$3:$A$5001,"&gt;="&amp;$C$7,BD!$A$3:$A$5001,"&lt;="&amp;$B120,BD!$K$3:$K$5001,"&lt;&gt;"))))</f>
        <v/>
      </c>
      <c r="D120" s="43" t="str">
        <f>IF(OR($B120="",$A120&gt;$B$9,D$114=""),"",IF(COUNTIFS(BD!$B$3:$B$5001,D$114,BD!$A$3:$A$5001,"&gt;="&amp;$C$7,BD!$A$3:$A$5001,"&lt;="&amp;$B120,BD!$K$3:$K$5001,"&lt;&gt;")=0,"",SUMIFS(BD!$K$3:$K$5001,BD!$B$3:$B$5001,D$114,BD!$A$3:$A$5001,_xlfn.MAXIFS(BD!$A$3:$A$5001,BD!$B$3:$B$5001,D$114,BD!$A$3:$A$5001,"&gt;="&amp;$C$7,BD!$A$3:$A$5001,"&lt;="&amp;$B120,BD!$K$3:$K$5001,"&lt;&gt;"))))</f>
        <v/>
      </c>
      <c r="E120" s="43" t="str">
        <f>IF(OR($B120="",$A120&gt;$B$9,E$114=""),"",IF(COUNTIFS(BD!$B$3:$B$5001,E$114,BD!$A$3:$A$5001,"&gt;="&amp;$C$7,BD!$A$3:$A$5001,"&lt;="&amp;$B120,BD!$K$3:$K$5001,"&lt;&gt;")=0,"",SUMIFS(BD!$K$3:$K$5001,BD!$B$3:$B$5001,E$114,BD!$A$3:$A$5001,_xlfn.MAXIFS(BD!$A$3:$A$5001,BD!$B$3:$B$5001,E$114,BD!$A$3:$A$5001,"&gt;="&amp;$C$7,BD!$A$3:$A$5001,"&lt;="&amp;$B120,BD!$K$3:$K$5001,"&lt;&gt;"))))</f>
        <v/>
      </c>
      <c r="F120" s="43" t="str">
        <f>IF(OR($B120="",$A120&gt;$B$9,F$114=""),"",IF(COUNTIFS(BD!$B$3:$B$5001,F$114,BD!$A$3:$A$5001,"&gt;="&amp;$C$7,BD!$A$3:$A$5001,"&lt;="&amp;$B120,BD!$K$3:$K$5001,"&lt;&gt;")=0,"",SUMIFS(BD!$K$3:$K$5001,BD!$B$3:$B$5001,F$114,BD!$A$3:$A$5001,_xlfn.MAXIFS(BD!$A$3:$A$5001,BD!$B$3:$B$5001,F$114,BD!$A$3:$A$5001,"&gt;="&amp;$C$7,BD!$A$3:$A$5001,"&lt;="&amp;$B120,BD!$K$3:$K$5001,"&lt;&gt;"))))</f>
        <v/>
      </c>
      <c r="G120" s="43" t="str">
        <f>IF(OR($B120="",$A120&gt;$B$9,G$114=""),"",IF(COUNTIFS(BD!$B$3:$B$5001,G$114,BD!$A$3:$A$5001,"&gt;="&amp;$C$7,BD!$A$3:$A$5001,"&lt;="&amp;$B120,BD!$K$3:$K$5001,"&lt;&gt;")=0,"",SUMIFS(BD!$K$3:$K$5001,BD!$B$3:$B$5001,G$114,BD!$A$3:$A$5001,_xlfn.MAXIFS(BD!$A$3:$A$5001,BD!$B$3:$B$5001,G$114,BD!$A$3:$A$5001,"&gt;="&amp;$C$7,BD!$A$3:$A$5001,"&lt;="&amp;$B120,BD!$K$3:$K$5001,"&lt;&gt;"))))</f>
        <v/>
      </c>
      <c r="H120" s="43" t="str">
        <f>IF(OR($B120="",$A120&gt;$B$9,H$114=""),"",IF(COUNTIFS(BD!$B$3:$B$5001,H$114,BD!$A$3:$A$5001,"&gt;="&amp;$C$7,BD!$A$3:$A$5001,"&lt;="&amp;$B120,BD!$K$3:$K$5001,"&lt;&gt;")=0,"",SUMIFS(BD!$K$3:$K$5001,BD!$B$3:$B$5001,H$114,BD!$A$3:$A$5001,_xlfn.MAXIFS(BD!$A$3:$A$5001,BD!$B$3:$B$5001,H$114,BD!$A$3:$A$5001,"&gt;="&amp;$C$7,BD!$A$3:$A$5001,"&lt;="&amp;$B120,BD!$K$3:$K$5001,"&lt;&gt;"))))</f>
        <v/>
      </c>
      <c r="I120" s="43" t="str">
        <f>IF(OR($B120="",$A120&gt;$B$9,I$114=""),"",IF(COUNTIFS(BD!$B$3:$B$5001,I$114,BD!$A$3:$A$5001,"&gt;="&amp;$C$7,BD!$A$3:$A$5001,"&lt;="&amp;$B120,BD!$K$3:$K$5001,"&lt;&gt;")=0,"",SUMIFS(BD!$K$3:$K$5001,BD!$B$3:$B$5001,I$114,BD!$A$3:$A$5001,_xlfn.MAXIFS(BD!$A$3:$A$5001,BD!$B$3:$B$5001,I$114,BD!$A$3:$A$5001,"&gt;="&amp;$C$7,BD!$A$3:$A$5001,"&lt;="&amp;$B120,BD!$K$3:$K$5001,"&lt;&gt;"))))</f>
        <v/>
      </c>
      <c r="J120" s="43" t="str">
        <f>IF(OR($B120="",$A120&gt;$B$9,J$114=""),"",IF(COUNTIFS(BD!$B$3:$B$5001,J$114,BD!$A$3:$A$5001,"&gt;="&amp;$C$7,BD!$A$3:$A$5001,"&lt;="&amp;$B120,BD!$K$3:$K$5001,"&lt;&gt;")=0,"",SUMIFS(BD!$K$3:$K$5001,BD!$B$3:$B$5001,J$114,BD!$A$3:$A$5001,_xlfn.MAXIFS(BD!$A$3:$A$5001,BD!$B$3:$B$5001,J$114,BD!$A$3:$A$5001,"&gt;="&amp;$C$7,BD!$A$3:$A$5001,"&lt;="&amp;$B120,BD!$K$3:$K$5001,"&lt;&gt;"))))</f>
        <v/>
      </c>
      <c r="K120" s="43" t="str">
        <f>IF(OR($B120="",$A120&gt;$B$9,K$114=""),"",IF(COUNTIFS(BD!$B$3:$B$5001,K$114,BD!$A$3:$A$5001,"&gt;="&amp;$C$7,BD!$A$3:$A$5001,"&lt;="&amp;$B120,BD!$K$3:$K$5001,"&lt;&gt;")=0,"",SUMIFS(BD!$K$3:$K$5001,BD!$B$3:$B$5001,K$114,BD!$A$3:$A$5001,_xlfn.MAXIFS(BD!$A$3:$A$5001,BD!$B$3:$B$5001,K$114,BD!$A$3:$A$5001,"&gt;="&amp;$C$7,BD!$A$3:$A$5001,"&lt;="&amp;$B120,BD!$K$3:$K$5001,"&lt;&gt;"))))</f>
        <v/>
      </c>
      <c r="L120" s="43" t="str">
        <f>IF(OR($B120="",$A120&gt;$B$9,L$114=""),"",IF(COUNTIFS(BD!$B$3:$B$5001,L$114,BD!$A$3:$A$5001,"&gt;="&amp;$C$7,BD!$A$3:$A$5001,"&lt;="&amp;$B120,BD!$K$3:$K$5001,"&lt;&gt;")=0,"",SUMIFS(BD!$K$3:$K$5001,BD!$B$3:$B$5001,L$114,BD!$A$3:$A$5001,_xlfn.MAXIFS(BD!$A$3:$A$5001,BD!$B$3:$B$5001,L$114,BD!$A$3:$A$5001,"&gt;="&amp;$C$7,BD!$A$3:$A$5001,"&lt;="&amp;$B120,BD!$K$3:$K$5001,"&lt;&gt;"))))</f>
        <v/>
      </c>
      <c r="M120" s="43" t="str">
        <f>IF(OR($B120="",$A120&gt;$B$9,M$114=""),"",IF(COUNTIFS(BD!$B$3:$B$5001,M$114,BD!$A$3:$A$5001,"&gt;="&amp;$C$7,BD!$A$3:$A$5001,"&lt;="&amp;$B120,BD!$K$3:$K$5001,"&lt;&gt;")=0,"",SUMIFS(BD!$K$3:$K$5001,BD!$B$3:$B$5001,M$114,BD!$A$3:$A$5001,_xlfn.MAXIFS(BD!$A$3:$A$5001,BD!$B$3:$B$5001,M$114,BD!$A$3:$A$5001,"&gt;="&amp;$C$7,BD!$A$3:$A$5001,"&lt;="&amp;$B120,BD!$K$3:$K$5001,"&lt;&gt;"))))</f>
        <v/>
      </c>
      <c r="N120" s="43" t="str">
        <f>IF(OR($B120="",$A120&gt;$B$9,N$114=""),"",IF(COUNTIFS(BD!$B$3:$B$5001,N$114,BD!$A$3:$A$5001,"&gt;="&amp;$C$7,BD!$A$3:$A$5001,"&lt;="&amp;$B120,BD!$K$3:$K$5001,"&lt;&gt;")=0,"",SUMIFS(BD!$K$3:$K$5001,BD!$B$3:$B$5001,N$114,BD!$A$3:$A$5001,_xlfn.MAXIFS(BD!$A$3:$A$5001,BD!$B$3:$B$5001,N$114,BD!$A$3:$A$5001,"&gt;="&amp;$C$7,BD!$A$3:$A$5001,"&lt;="&amp;$B120,BD!$K$3:$K$5001,"&lt;&gt;"))))</f>
        <v/>
      </c>
      <c r="O120" s="43" t="str">
        <f>IF(OR($B120="",$A120&gt;$B$9,O$114=""),"",IF(COUNTIFS(BD!$B$3:$B$5001,O$114,BD!$A$3:$A$5001,"&gt;="&amp;$C$7,BD!$A$3:$A$5001,"&lt;="&amp;$B120,BD!$K$3:$K$5001,"&lt;&gt;")=0,"",SUMIFS(BD!$K$3:$K$5001,BD!$B$3:$B$5001,O$114,BD!$A$3:$A$5001,_xlfn.MAXIFS(BD!$A$3:$A$5001,BD!$B$3:$B$5001,O$114,BD!$A$3:$A$5001,"&gt;="&amp;$C$7,BD!$A$3:$A$5001,"&lt;="&amp;$B120,BD!$K$3:$K$5001,"&lt;&gt;"))))</f>
        <v/>
      </c>
      <c r="P120" s="43" t="str">
        <f>IF(OR($B120="",$A120&gt;$B$9,P$114=""),"",IF(COUNTIFS(BD!$B$3:$B$5001,P$114,BD!$A$3:$A$5001,"&gt;="&amp;$C$7,BD!$A$3:$A$5001,"&lt;="&amp;$B120,BD!$K$3:$K$5001,"&lt;&gt;")=0,"",SUMIFS(BD!$K$3:$K$5001,BD!$B$3:$B$5001,P$114,BD!$A$3:$A$5001,_xlfn.MAXIFS(BD!$A$3:$A$5001,BD!$B$3:$B$5001,P$114,BD!$A$3:$A$5001,"&gt;="&amp;$C$7,BD!$A$3:$A$5001,"&lt;="&amp;$B120,BD!$K$3:$K$5001,"&lt;&gt;"))))</f>
        <v/>
      </c>
      <c r="Q120" s="43" t="str">
        <f>IF(OR($B120="",$A120&gt;$B$9,Q$114=""),"",IF(COUNTIFS(BD!$B$3:$B$5001,Q$114,BD!$A$3:$A$5001,"&gt;="&amp;$C$7,BD!$A$3:$A$5001,"&lt;="&amp;$B120,BD!$K$3:$K$5001,"&lt;&gt;")=0,"",SUMIFS(BD!$K$3:$K$5001,BD!$B$3:$B$5001,Q$114,BD!$A$3:$A$5001,_xlfn.MAXIFS(BD!$A$3:$A$5001,BD!$B$3:$B$5001,Q$114,BD!$A$3:$A$5001,"&gt;="&amp;$C$7,BD!$A$3:$A$5001,"&lt;="&amp;$B120,BD!$K$3:$K$5001,"&lt;&gt;"))))</f>
        <v/>
      </c>
      <c r="R120" s="43" t="str">
        <f>IF(OR($B120="",$A120&gt;$B$9,R$114=""),"",IF(COUNTIFS(BD!$B$3:$B$5001,R$114,BD!$A$3:$A$5001,"&gt;="&amp;$C$7,BD!$A$3:$A$5001,"&lt;="&amp;$B120,BD!$K$3:$K$5001,"&lt;&gt;")=0,"",SUMIFS(BD!$K$3:$K$5001,BD!$B$3:$B$5001,R$114,BD!$A$3:$A$5001,_xlfn.MAXIFS(BD!$A$3:$A$5001,BD!$B$3:$B$5001,R$114,BD!$A$3:$A$5001,"&gt;="&amp;$C$7,BD!$A$3:$A$5001,"&lt;="&amp;$B120,BD!$K$3:$K$5001,"&lt;&gt;"))))</f>
        <v/>
      </c>
      <c r="S120" s="43" t="str">
        <f>IF(OR($B120="",$A120&gt;$B$9,S$114=""),"",IF(COUNTIFS(BD!$B$3:$B$5001,S$114,BD!$A$3:$A$5001,"&gt;="&amp;$C$7,BD!$A$3:$A$5001,"&lt;="&amp;$B120,BD!$K$3:$K$5001,"&lt;&gt;")=0,"",SUMIFS(BD!$K$3:$K$5001,BD!$B$3:$B$5001,S$114,BD!$A$3:$A$5001,_xlfn.MAXIFS(BD!$A$3:$A$5001,BD!$B$3:$B$5001,S$114,BD!$A$3:$A$5001,"&gt;="&amp;$C$7,BD!$A$3:$A$5001,"&lt;="&amp;$B120,BD!$K$3:$K$5001,"&lt;&gt;"))))</f>
        <v/>
      </c>
      <c r="T120" s="43" t="str">
        <f>IF(OR($B120="",$A120&gt;$B$9,T$114=""),"",IF(COUNTIFS(BD!$B$3:$B$5001,T$114,BD!$A$3:$A$5001,"&gt;="&amp;$C$7,BD!$A$3:$A$5001,"&lt;="&amp;$B120,BD!$K$3:$K$5001,"&lt;&gt;")=0,"",SUMIFS(BD!$K$3:$K$5001,BD!$B$3:$B$5001,T$114,BD!$A$3:$A$5001,_xlfn.MAXIFS(BD!$A$3:$A$5001,BD!$B$3:$B$5001,T$114,BD!$A$3:$A$5001,"&gt;="&amp;$C$7,BD!$A$3:$A$5001,"&lt;="&amp;$B120,BD!$K$3:$K$5001,"&lt;&gt;"))))</f>
        <v/>
      </c>
      <c r="U120" s="43" t="str">
        <f>IF(OR($B120="",$A120&gt;$B$9,U$114=""),"",IF(COUNTIFS(BD!$B$3:$B$5001,U$114,BD!$A$3:$A$5001,"&gt;="&amp;$C$7,BD!$A$3:$A$5001,"&lt;="&amp;$B120,BD!$K$3:$K$5001,"&lt;&gt;")=0,"",SUMIFS(BD!$K$3:$K$5001,BD!$B$3:$B$5001,U$114,BD!$A$3:$A$5001,_xlfn.MAXIFS(BD!$A$3:$A$5001,BD!$B$3:$B$5001,U$114,BD!$A$3:$A$5001,"&gt;="&amp;$C$7,BD!$A$3:$A$5001,"&lt;="&amp;$B120,BD!$K$3:$K$5001,"&lt;&gt;"))))</f>
        <v/>
      </c>
      <c r="V120" s="43" t="str">
        <f>IF(OR($B120="",$A120&gt;$B$9,V$114=""),"",IF(COUNTIFS(BD!$B$3:$B$5001,V$114,BD!$A$3:$A$5001,"&gt;="&amp;$C$7,BD!$A$3:$A$5001,"&lt;="&amp;$B120,BD!$K$3:$K$5001,"&lt;&gt;")=0,"",SUMIFS(BD!$K$3:$K$5001,BD!$B$3:$B$5001,V$114,BD!$A$3:$A$5001,_xlfn.MAXIFS(BD!$A$3:$A$5001,BD!$B$3:$B$5001,V$114,BD!$A$3:$A$5001,"&gt;="&amp;$C$7,BD!$A$3:$A$5001,"&lt;="&amp;$B120,BD!$K$3:$K$5001,"&lt;&gt;"))))</f>
        <v/>
      </c>
    </row>
    <row r="121">
      <c r="A121" s="38">
        <v>7</v>
      </c>
      <c r="B121" s="42">
        <f>$B$18</f>
        <v>46302</v>
      </c>
      <c r="C121" s="43" t="str">
        <f>IF(OR($B121="",$A121&gt;$B$9,C$114=""),"",IF(COUNTIFS(BD!$B$3:$B$5001,C$114,BD!$A$3:$A$5001,"&gt;="&amp;$C$7,BD!$A$3:$A$5001,"&lt;="&amp;$B121,BD!$K$3:$K$5001,"&lt;&gt;")=0,"",SUMIFS(BD!$K$3:$K$5001,BD!$B$3:$B$5001,C$114,BD!$A$3:$A$5001,_xlfn.MAXIFS(BD!$A$3:$A$5001,BD!$B$3:$B$5001,C$114,BD!$A$3:$A$5001,"&gt;="&amp;$C$7,BD!$A$3:$A$5001,"&lt;="&amp;$B121,BD!$K$3:$K$5001,"&lt;&gt;"))))</f>
        <v/>
      </c>
      <c r="D121" s="43" t="str">
        <f>IF(OR($B121="",$A121&gt;$B$9,D$114=""),"",IF(COUNTIFS(BD!$B$3:$B$5001,D$114,BD!$A$3:$A$5001,"&gt;="&amp;$C$7,BD!$A$3:$A$5001,"&lt;="&amp;$B121,BD!$K$3:$K$5001,"&lt;&gt;")=0,"",SUMIFS(BD!$K$3:$K$5001,BD!$B$3:$B$5001,D$114,BD!$A$3:$A$5001,_xlfn.MAXIFS(BD!$A$3:$A$5001,BD!$B$3:$B$5001,D$114,BD!$A$3:$A$5001,"&gt;="&amp;$C$7,BD!$A$3:$A$5001,"&lt;="&amp;$B121,BD!$K$3:$K$5001,"&lt;&gt;"))))</f>
        <v/>
      </c>
      <c r="E121" s="43" t="str">
        <f>IF(OR($B121="",$A121&gt;$B$9,E$114=""),"",IF(COUNTIFS(BD!$B$3:$B$5001,E$114,BD!$A$3:$A$5001,"&gt;="&amp;$C$7,BD!$A$3:$A$5001,"&lt;="&amp;$B121,BD!$K$3:$K$5001,"&lt;&gt;")=0,"",SUMIFS(BD!$K$3:$K$5001,BD!$B$3:$B$5001,E$114,BD!$A$3:$A$5001,_xlfn.MAXIFS(BD!$A$3:$A$5001,BD!$B$3:$B$5001,E$114,BD!$A$3:$A$5001,"&gt;="&amp;$C$7,BD!$A$3:$A$5001,"&lt;="&amp;$B121,BD!$K$3:$K$5001,"&lt;&gt;"))))</f>
        <v/>
      </c>
      <c r="F121" s="43" t="str">
        <f>IF(OR($B121="",$A121&gt;$B$9,F$114=""),"",IF(COUNTIFS(BD!$B$3:$B$5001,F$114,BD!$A$3:$A$5001,"&gt;="&amp;$C$7,BD!$A$3:$A$5001,"&lt;="&amp;$B121,BD!$K$3:$K$5001,"&lt;&gt;")=0,"",SUMIFS(BD!$K$3:$K$5001,BD!$B$3:$B$5001,F$114,BD!$A$3:$A$5001,_xlfn.MAXIFS(BD!$A$3:$A$5001,BD!$B$3:$B$5001,F$114,BD!$A$3:$A$5001,"&gt;="&amp;$C$7,BD!$A$3:$A$5001,"&lt;="&amp;$B121,BD!$K$3:$K$5001,"&lt;&gt;"))))</f>
        <v/>
      </c>
      <c r="G121" s="43" t="str">
        <f>IF(OR($B121="",$A121&gt;$B$9,G$114=""),"",IF(COUNTIFS(BD!$B$3:$B$5001,G$114,BD!$A$3:$A$5001,"&gt;="&amp;$C$7,BD!$A$3:$A$5001,"&lt;="&amp;$B121,BD!$K$3:$K$5001,"&lt;&gt;")=0,"",SUMIFS(BD!$K$3:$K$5001,BD!$B$3:$B$5001,G$114,BD!$A$3:$A$5001,_xlfn.MAXIFS(BD!$A$3:$A$5001,BD!$B$3:$B$5001,G$114,BD!$A$3:$A$5001,"&gt;="&amp;$C$7,BD!$A$3:$A$5001,"&lt;="&amp;$B121,BD!$K$3:$K$5001,"&lt;&gt;"))))</f>
        <v/>
      </c>
      <c r="H121" s="43" t="str">
        <f>IF(OR($B121="",$A121&gt;$B$9,H$114=""),"",IF(COUNTIFS(BD!$B$3:$B$5001,H$114,BD!$A$3:$A$5001,"&gt;="&amp;$C$7,BD!$A$3:$A$5001,"&lt;="&amp;$B121,BD!$K$3:$K$5001,"&lt;&gt;")=0,"",SUMIFS(BD!$K$3:$K$5001,BD!$B$3:$B$5001,H$114,BD!$A$3:$A$5001,_xlfn.MAXIFS(BD!$A$3:$A$5001,BD!$B$3:$B$5001,H$114,BD!$A$3:$A$5001,"&gt;="&amp;$C$7,BD!$A$3:$A$5001,"&lt;="&amp;$B121,BD!$K$3:$K$5001,"&lt;&gt;"))))</f>
        <v/>
      </c>
      <c r="I121" s="43" t="str">
        <f>IF(OR($B121="",$A121&gt;$B$9,I$114=""),"",IF(COUNTIFS(BD!$B$3:$B$5001,I$114,BD!$A$3:$A$5001,"&gt;="&amp;$C$7,BD!$A$3:$A$5001,"&lt;="&amp;$B121,BD!$K$3:$K$5001,"&lt;&gt;")=0,"",SUMIFS(BD!$K$3:$K$5001,BD!$B$3:$B$5001,I$114,BD!$A$3:$A$5001,_xlfn.MAXIFS(BD!$A$3:$A$5001,BD!$B$3:$B$5001,I$114,BD!$A$3:$A$5001,"&gt;="&amp;$C$7,BD!$A$3:$A$5001,"&lt;="&amp;$B121,BD!$K$3:$K$5001,"&lt;&gt;"))))</f>
        <v/>
      </c>
      <c r="J121" s="43" t="str">
        <f>IF(OR($B121="",$A121&gt;$B$9,J$114=""),"",IF(COUNTIFS(BD!$B$3:$B$5001,J$114,BD!$A$3:$A$5001,"&gt;="&amp;$C$7,BD!$A$3:$A$5001,"&lt;="&amp;$B121,BD!$K$3:$K$5001,"&lt;&gt;")=0,"",SUMIFS(BD!$K$3:$K$5001,BD!$B$3:$B$5001,J$114,BD!$A$3:$A$5001,_xlfn.MAXIFS(BD!$A$3:$A$5001,BD!$B$3:$B$5001,J$114,BD!$A$3:$A$5001,"&gt;="&amp;$C$7,BD!$A$3:$A$5001,"&lt;="&amp;$B121,BD!$K$3:$K$5001,"&lt;&gt;"))))</f>
        <v/>
      </c>
      <c r="K121" s="43" t="str">
        <f>IF(OR($B121="",$A121&gt;$B$9,K$114=""),"",IF(COUNTIFS(BD!$B$3:$B$5001,K$114,BD!$A$3:$A$5001,"&gt;="&amp;$C$7,BD!$A$3:$A$5001,"&lt;="&amp;$B121,BD!$K$3:$K$5001,"&lt;&gt;")=0,"",SUMIFS(BD!$K$3:$K$5001,BD!$B$3:$B$5001,K$114,BD!$A$3:$A$5001,_xlfn.MAXIFS(BD!$A$3:$A$5001,BD!$B$3:$B$5001,K$114,BD!$A$3:$A$5001,"&gt;="&amp;$C$7,BD!$A$3:$A$5001,"&lt;="&amp;$B121,BD!$K$3:$K$5001,"&lt;&gt;"))))</f>
        <v/>
      </c>
      <c r="L121" s="43" t="str">
        <f>IF(OR($B121="",$A121&gt;$B$9,L$114=""),"",IF(COUNTIFS(BD!$B$3:$B$5001,L$114,BD!$A$3:$A$5001,"&gt;="&amp;$C$7,BD!$A$3:$A$5001,"&lt;="&amp;$B121,BD!$K$3:$K$5001,"&lt;&gt;")=0,"",SUMIFS(BD!$K$3:$K$5001,BD!$B$3:$B$5001,L$114,BD!$A$3:$A$5001,_xlfn.MAXIFS(BD!$A$3:$A$5001,BD!$B$3:$B$5001,L$114,BD!$A$3:$A$5001,"&gt;="&amp;$C$7,BD!$A$3:$A$5001,"&lt;="&amp;$B121,BD!$K$3:$K$5001,"&lt;&gt;"))))</f>
        <v/>
      </c>
      <c r="M121" s="43" t="str">
        <f>IF(OR($B121="",$A121&gt;$B$9,M$114=""),"",IF(COUNTIFS(BD!$B$3:$B$5001,M$114,BD!$A$3:$A$5001,"&gt;="&amp;$C$7,BD!$A$3:$A$5001,"&lt;="&amp;$B121,BD!$K$3:$K$5001,"&lt;&gt;")=0,"",SUMIFS(BD!$K$3:$K$5001,BD!$B$3:$B$5001,M$114,BD!$A$3:$A$5001,_xlfn.MAXIFS(BD!$A$3:$A$5001,BD!$B$3:$B$5001,M$114,BD!$A$3:$A$5001,"&gt;="&amp;$C$7,BD!$A$3:$A$5001,"&lt;="&amp;$B121,BD!$K$3:$K$5001,"&lt;&gt;"))))</f>
        <v/>
      </c>
      <c r="N121" s="43" t="str">
        <f>IF(OR($B121="",$A121&gt;$B$9,N$114=""),"",IF(COUNTIFS(BD!$B$3:$B$5001,N$114,BD!$A$3:$A$5001,"&gt;="&amp;$C$7,BD!$A$3:$A$5001,"&lt;="&amp;$B121,BD!$K$3:$K$5001,"&lt;&gt;")=0,"",SUMIFS(BD!$K$3:$K$5001,BD!$B$3:$B$5001,N$114,BD!$A$3:$A$5001,_xlfn.MAXIFS(BD!$A$3:$A$5001,BD!$B$3:$B$5001,N$114,BD!$A$3:$A$5001,"&gt;="&amp;$C$7,BD!$A$3:$A$5001,"&lt;="&amp;$B121,BD!$K$3:$K$5001,"&lt;&gt;"))))</f>
        <v/>
      </c>
      <c r="O121" s="43" t="str">
        <f>IF(OR($B121="",$A121&gt;$B$9,O$114=""),"",IF(COUNTIFS(BD!$B$3:$B$5001,O$114,BD!$A$3:$A$5001,"&gt;="&amp;$C$7,BD!$A$3:$A$5001,"&lt;="&amp;$B121,BD!$K$3:$K$5001,"&lt;&gt;")=0,"",SUMIFS(BD!$K$3:$K$5001,BD!$B$3:$B$5001,O$114,BD!$A$3:$A$5001,_xlfn.MAXIFS(BD!$A$3:$A$5001,BD!$B$3:$B$5001,O$114,BD!$A$3:$A$5001,"&gt;="&amp;$C$7,BD!$A$3:$A$5001,"&lt;="&amp;$B121,BD!$K$3:$K$5001,"&lt;&gt;"))))</f>
        <v/>
      </c>
      <c r="P121" s="43" t="str">
        <f>IF(OR($B121="",$A121&gt;$B$9,P$114=""),"",IF(COUNTIFS(BD!$B$3:$B$5001,P$114,BD!$A$3:$A$5001,"&gt;="&amp;$C$7,BD!$A$3:$A$5001,"&lt;="&amp;$B121,BD!$K$3:$K$5001,"&lt;&gt;")=0,"",SUMIFS(BD!$K$3:$K$5001,BD!$B$3:$B$5001,P$114,BD!$A$3:$A$5001,_xlfn.MAXIFS(BD!$A$3:$A$5001,BD!$B$3:$B$5001,P$114,BD!$A$3:$A$5001,"&gt;="&amp;$C$7,BD!$A$3:$A$5001,"&lt;="&amp;$B121,BD!$K$3:$K$5001,"&lt;&gt;"))))</f>
        <v/>
      </c>
      <c r="Q121" s="43" t="str">
        <f>IF(OR($B121="",$A121&gt;$B$9,Q$114=""),"",IF(COUNTIFS(BD!$B$3:$B$5001,Q$114,BD!$A$3:$A$5001,"&gt;="&amp;$C$7,BD!$A$3:$A$5001,"&lt;="&amp;$B121,BD!$K$3:$K$5001,"&lt;&gt;")=0,"",SUMIFS(BD!$K$3:$K$5001,BD!$B$3:$B$5001,Q$114,BD!$A$3:$A$5001,_xlfn.MAXIFS(BD!$A$3:$A$5001,BD!$B$3:$B$5001,Q$114,BD!$A$3:$A$5001,"&gt;="&amp;$C$7,BD!$A$3:$A$5001,"&lt;="&amp;$B121,BD!$K$3:$K$5001,"&lt;&gt;"))))</f>
        <v/>
      </c>
      <c r="R121" s="43" t="str">
        <f>IF(OR($B121="",$A121&gt;$B$9,R$114=""),"",IF(COUNTIFS(BD!$B$3:$B$5001,R$114,BD!$A$3:$A$5001,"&gt;="&amp;$C$7,BD!$A$3:$A$5001,"&lt;="&amp;$B121,BD!$K$3:$K$5001,"&lt;&gt;")=0,"",SUMIFS(BD!$K$3:$K$5001,BD!$B$3:$B$5001,R$114,BD!$A$3:$A$5001,_xlfn.MAXIFS(BD!$A$3:$A$5001,BD!$B$3:$B$5001,R$114,BD!$A$3:$A$5001,"&gt;="&amp;$C$7,BD!$A$3:$A$5001,"&lt;="&amp;$B121,BD!$K$3:$K$5001,"&lt;&gt;"))))</f>
        <v/>
      </c>
      <c r="S121" s="43" t="str">
        <f>IF(OR($B121="",$A121&gt;$B$9,S$114=""),"",IF(COUNTIFS(BD!$B$3:$B$5001,S$114,BD!$A$3:$A$5001,"&gt;="&amp;$C$7,BD!$A$3:$A$5001,"&lt;="&amp;$B121,BD!$K$3:$K$5001,"&lt;&gt;")=0,"",SUMIFS(BD!$K$3:$K$5001,BD!$B$3:$B$5001,S$114,BD!$A$3:$A$5001,_xlfn.MAXIFS(BD!$A$3:$A$5001,BD!$B$3:$B$5001,S$114,BD!$A$3:$A$5001,"&gt;="&amp;$C$7,BD!$A$3:$A$5001,"&lt;="&amp;$B121,BD!$K$3:$K$5001,"&lt;&gt;"))))</f>
        <v/>
      </c>
      <c r="T121" s="43" t="str">
        <f>IF(OR($B121="",$A121&gt;$B$9,T$114=""),"",IF(COUNTIFS(BD!$B$3:$B$5001,T$114,BD!$A$3:$A$5001,"&gt;="&amp;$C$7,BD!$A$3:$A$5001,"&lt;="&amp;$B121,BD!$K$3:$K$5001,"&lt;&gt;")=0,"",SUMIFS(BD!$K$3:$K$5001,BD!$B$3:$B$5001,T$114,BD!$A$3:$A$5001,_xlfn.MAXIFS(BD!$A$3:$A$5001,BD!$B$3:$B$5001,T$114,BD!$A$3:$A$5001,"&gt;="&amp;$C$7,BD!$A$3:$A$5001,"&lt;="&amp;$B121,BD!$K$3:$K$5001,"&lt;&gt;"))))</f>
        <v/>
      </c>
      <c r="U121" s="43" t="str">
        <f>IF(OR($B121="",$A121&gt;$B$9,U$114=""),"",IF(COUNTIFS(BD!$B$3:$B$5001,U$114,BD!$A$3:$A$5001,"&gt;="&amp;$C$7,BD!$A$3:$A$5001,"&lt;="&amp;$B121,BD!$K$3:$K$5001,"&lt;&gt;")=0,"",SUMIFS(BD!$K$3:$K$5001,BD!$B$3:$B$5001,U$114,BD!$A$3:$A$5001,_xlfn.MAXIFS(BD!$A$3:$A$5001,BD!$B$3:$B$5001,U$114,BD!$A$3:$A$5001,"&gt;="&amp;$C$7,BD!$A$3:$A$5001,"&lt;="&amp;$B121,BD!$K$3:$K$5001,"&lt;&gt;"))))</f>
        <v/>
      </c>
      <c r="V121" s="43" t="str">
        <f>IF(OR($B121="",$A121&gt;$B$9,V$114=""),"",IF(COUNTIFS(BD!$B$3:$B$5001,V$114,BD!$A$3:$A$5001,"&gt;="&amp;$C$7,BD!$A$3:$A$5001,"&lt;="&amp;$B121,BD!$K$3:$K$5001,"&lt;&gt;")=0,"",SUMIFS(BD!$K$3:$K$5001,BD!$B$3:$B$5001,V$114,BD!$A$3:$A$5001,_xlfn.MAXIFS(BD!$A$3:$A$5001,BD!$B$3:$B$5001,V$114,BD!$A$3:$A$5001,"&gt;="&amp;$C$7,BD!$A$3:$A$5001,"&lt;="&amp;$B121,BD!$K$3:$K$5001,"&lt;&gt;"))))</f>
        <v/>
      </c>
    </row>
    <row r="122">
      <c r="A122" s="38">
        <v>8</v>
      </c>
      <c r="B122" s="42">
        <f>$B$19</f>
        <v>46303</v>
      </c>
      <c r="C122" s="43" t="str">
        <f>IF(OR($B122="",$A122&gt;$B$9,C$114=""),"",IF(COUNTIFS(BD!$B$3:$B$5001,C$114,BD!$A$3:$A$5001,"&gt;="&amp;$C$7,BD!$A$3:$A$5001,"&lt;="&amp;$B122,BD!$K$3:$K$5001,"&lt;&gt;")=0,"",SUMIFS(BD!$K$3:$K$5001,BD!$B$3:$B$5001,C$114,BD!$A$3:$A$5001,_xlfn.MAXIFS(BD!$A$3:$A$5001,BD!$B$3:$B$5001,C$114,BD!$A$3:$A$5001,"&gt;="&amp;$C$7,BD!$A$3:$A$5001,"&lt;="&amp;$B122,BD!$K$3:$K$5001,"&lt;&gt;"))))</f>
        <v/>
      </c>
      <c r="D122" s="43" t="str">
        <f>IF(OR($B122="",$A122&gt;$B$9,D$114=""),"",IF(COUNTIFS(BD!$B$3:$B$5001,D$114,BD!$A$3:$A$5001,"&gt;="&amp;$C$7,BD!$A$3:$A$5001,"&lt;="&amp;$B122,BD!$K$3:$K$5001,"&lt;&gt;")=0,"",SUMIFS(BD!$K$3:$K$5001,BD!$B$3:$B$5001,D$114,BD!$A$3:$A$5001,_xlfn.MAXIFS(BD!$A$3:$A$5001,BD!$B$3:$B$5001,D$114,BD!$A$3:$A$5001,"&gt;="&amp;$C$7,BD!$A$3:$A$5001,"&lt;="&amp;$B122,BD!$K$3:$K$5001,"&lt;&gt;"))))</f>
        <v/>
      </c>
      <c r="E122" s="43" t="str">
        <f>IF(OR($B122="",$A122&gt;$B$9,E$114=""),"",IF(COUNTIFS(BD!$B$3:$B$5001,E$114,BD!$A$3:$A$5001,"&gt;="&amp;$C$7,BD!$A$3:$A$5001,"&lt;="&amp;$B122,BD!$K$3:$K$5001,"&lt;&gt;")=0,"",SUMIFS(BD!$K$3:$K$5001,BD!$B$3:$B$5001,E$114,BD!$A$3:$A$5001,_xlfn.MAXIFS(BD!$A$3:$A$5001,BD!$B$3:$B$5001,E$114,BD!$A$3:$A$5001,"&gt;="&amp;$C$7,BD!$A$3:$A$5001,"&lt;="&amp;$B122,BD!$K$3:$K$5001,"&lt;&gt;"))))</f>
        <v/>
      </c>
      <c r="F122" s="43" t="str">
        <f>IF(OR($B122="",$A122&gt;$B$9,F$114=""),"",IF(COUNTIFS(BD!$B$3:$B$5001,F$114,BD!$A$3:$A$5001,"&gt;="&amp;$C$7,BD!$A$3:$A$5001,"&lt;="&amp;$B122,BD!$K$3:$K$5001,"&lt;&gt;")=0,"",SUMIFS(BD!$K$3:$K$5001,BD!$B$3:$B$5001,F$114,BD!$A$3:$A$5001,_xlfn.MAXIFS(BD!$A$3:$A$5001,BD!$B$3:$B$5001,F$114,BD!$A$3:$A$5001,"&gt;="&amp;$C$7,BD!$A$3:$A$5001,"&lt;="&amp;$B122,BD!$K$3:$K$5001,"&lt;&gt;"))))</f>
        <v/>
      </c>
      <c r="G122" s="43" t="str">
        <f>IF(OR($B122="",$A122&gt;$B$9,G$114=""),"",IF(COUNTIFS(BD!$B$3:$B$5001,G$114,BD!$A$3:$A$5001,"&gt;="&amp;$C$7,BD!$A$3:$A$5001,"&lt;="&amp;$B122,BD!$K$3:$K$5001,"&lt;&gt;")=0,"",SUMIFS(BD!$K$3:$K$5001,BD!$B$3:$B$5001,G$114,BD!$A$3:$A$5001,_xlfn.MAXIFS(BD!$A$3:$A$5001,BD!$B$3:$B$5001,G$114,BD!$A$3:$A$5001,"&gt;="&amp;$C$7,BD!$A$3:$A$5001,"&lt;="&amp;$B122,BD!$K$3:$K$5001,"&lt;&gt;"))))</f>
        <v/>
      </c>
      <c r="H122" s="43" t="str">
        <f>IF(OR($B122="",$A122&gt;$B$9,H$114=""),"",IF(COUNTIFS(BD!$B$3:$B$5001,H$114,BD!$A$3:$A$5001,"&gt;="&amp;$C$7,BD!$A$3:$A$5001,"&lt;="&amp;$B122,BD!$K$3:$K$5001,"&lt;&gt;")=0,"",SUMIFS(BD!$K$3:$K$5001,BD!$B$3:$B$5001,H$114,BD!$A$3:$A$5001,_xlfn.MAXIFS(BD!$A$3:$A$5001,BD!$B$3:$B$5001,H$114,BD!$A$3:$A$5001,"&gt;="&amp;$C$7,BD!$A$3:$A$5001,"&lt;="&amp;$B122,BD!$K$3:$K$5001,"&lt;&gt;"))))</f>
        <v/>
      </c>
      <c r="I122" s="43" t="str">
        <f>IF(OR($B122="",$A122&gt;$B$9,I$114=""),"",IF(COUNTIFS(BD!$B$3:$B$5001,I$114,BD!$A$3:$A$5001,"&gt;="&amp;$C$7,BD!$A$3:$A$5001,"&lt;="&amp;$B122,BD!$K$3:$K$5001,"&lt;&gt;")=0,"",SUMIFS(BD!$K$3:$K$5001,BD!$B$3:$B$5001,I$114,BD!$A$3:$A$5001,_xlfn.MAXIFS(BD!$A$3:$A$5001,BD!$B$3:$B$5001,I$114,BD!$A$3:$A$5001,"&gt;="&amp;$C$7,BD!$A$3:$A$5001,"&lt;="&amp;$B122,BD!$K$3:$K$5001,"&lt;&gt;"))))</f>
        <v/>
      </c>
      <c r="J122" s="43" t="str">
        <f>IF(OR($B122="",$A122&gt;$B$9,J$114=""),"",IF(COUNTIFS(BD!$B$3:$B$5001,J$114,BD!$A$3:$A$5001,"&gt;="&amp;$C$7,BD!$A$3:$A$5001,"&lt;="&amp;$B122,BD!$K$3:$K$5001,"&lt;&gt;")=0,"",SUMIFS(BD!$K$3:$K$5001,BD!$B$3:$B$5001,J$114,BD!$A$3:$A$5001,_xlfn.MAXIFS(BD!$A$3:$A$5001,BD!$B$3:$B$5001,J$114,BD!$A$3:$A$5001,"&gt;="&amp;$C$7,BD!$A$3:$A$5001,"&lt;="&amp;$B122,BD!$K$3:$K$5001,"&lt;&gt;"))))</f>
        <v/>
      </c>
      <c r="K122" s="43" t="str">
        <f>IF(OR($B122="",$A122&gt;$B$9,K$114=""),"",IF(COUNTIFS(BD!$B$3:$B$5001,K$114,BD!$A$3:$A$5001,"&gt;="&amp;$C$7,BD!$A$3:$A$5001,"&lt;="&amp;$B122,BD!$K$3:$K$5001,"&lt;&gt;")=0,"",SUMIFS(BD!$K$3:$K$5001,BD!$B$3:$B$5001,K$114,BD!$A$3:$A$5001,_xlfn.MAXIFS(BD!$A$3:$A$5001,BD!$B$3:$B$5001,K$114,BD!$A$3:$A$5001,"&gt;="&amp;$C$7,BD!$A$3:$A$5001,"&lt;="&amp;$B122,BD!$K$3:$K$5001,"&lt;&gt;"))))</f>
        <v/>
      </c>
      <c r="L122" s="43" t="str">
        <f>IF(OR($B122="",$A122&gt;$B$9,L$114=""),"",IF(COUNTIFS(BD!$B$3:$B$5001,L$114,BD!$A$3:$A$5001,"&gt;="&amp;$C$7,BD!$A$3:$A$5001,"&lt;="&amp;$B122,BD!$K$3:$K$5001,"&lt;&gt;")=0,"",SUMIFS(BD!$K$3:$K$5001,BD!$B$3:$B$5001,L$114,BD!$A$3:$A$5001,_xlfn.MAXIFS(BD!$A$3:$A$5001,BD!$B$3:$B$5001,L$114,BD!$A$3:$A$5001,"&gt;="&amp;$C$7,BD!$A$3:$A$5001,"&lt;="&amp;$B122,BD!$K$3:$K$5001,"&lt;&gt;"))))</f>
        <v/>
      </c>
      <c r="M122" s="43" t="str">
        <f>IF(OR($B122="",$A122&gt;$B$9,M$114=""),"",IF(COUNTIFS(BD!$B$3:$B$5001,M$114,BD!$A$3:$A$5001,"&gt;="&amp;$C$7,BD!$A$3:$A$5001,"&lt;="&amp;$B122,BD!$K$3:$K$5001,"&lt;&gt;")=0,"",SUMIFS(BD!$K$3:$K$5001,BD!$B$3:$B$5001,M$114,BD!$A$3:$A$5001,_xlfn.MAXIFS(BD!$A$3:$A$5001,BD!$B$3:$B$5001,M$114,BD!$A$3:$A$5001,"&gt;="&amp;$C$7,BD!$A$3:$A$5001,"&lt;="&amp;$B122,BD!$K$3:$K$5001,"&lt;&gt;"))))</f>
        <v/>
      </c>
      <c r="N122" s="43" t="str">
        <f>IF(OR($B122="",$A122&gt;$B$9,N$114=""),"",IF(COUNTIFS(BD!$B$3:$B$5001,N$114,BD!$A$3:$A$5001,"&gt;="&amp;$C$7,BD!$A$3:$A$5001,"&lt;="&amp;$B122,BD!$K$3:$K$5001,"&lt;&gt;")=0,"",SUMIFS(BD!$K$3:$K$5001,BD!$B$3:$B$5001,N$114,BD!$A$3:$A$5001,_xlfn.MAXIFS(BD!$A$3:$A$5001,BD!$B$3:$B$5001,N$114,BD!$A$3:$A$5001,"&gt;="&amp;$C$7,BD!$A$3:$A$5001,"&lt;="&amp;$B122,BD!$K$3:$K$5001,"&lt;&gt;"))))</f>
        <v/>
      </c>
      <c r="O122" s="43" t="str">
        <f>IF(OR($B122="",$A122&gt;$B$9,O$114=""),"",IF(COUNTIFS(BD!$B$3:$B$5001,O$114,BD!$A$3:$A$5001,"&gt;="&amp;$C$7,BD!$A$3:$A$5001,"&lt;="&amp;$B122,BD!$K$3:$K$5001,"&lt;&gt;")=0,"",SUMIFS(BD!$K$3:$K$5001,BD!$B$3:$B$5001,O$114,BD!$A$3:$A$5001,_xlfn.MAXIFS(BD!$A$3:$A$5001,BD!$B$3:$B$5001,O$114,BD!$A$3:$A$5001,"&gt;="&amp;$C$7,BD!$A$3:$A$5001,"&lt;="&amp;$B122,BD!$K$3:$K$5001,"&lt;&gt;"))))</f>
        <v/>
      </c>
      <c r="P122" s="43" t="str">
        <f>IF(OR($B122="",$A122&gt;$B$9,P$114=""),"",IF(COUNTIFS(BD!$B$3:$B$5001,P$114,BD!$A$3:$A$5001,"&gt;="&amp;$C$7,BD!$A$3:$A$5001,"&lt;="&amp;$B122,BD!$K$3:$K$5001,"&lt;&gt;")=0,"",SUMIFS(BD!$K$3:$K$5001,BD!$B$3:$B$5001,P$114,BD!$A$3:$A$5001,_xlfn.MAXIFS(BD!$A$3:$A$5001,BD!$B$3:$B$5001,P$114,BD!$A$3:$A$5001,"&gt;="&amp;$C$7,BD!$A$3:$A$5001,"&lt;="&amp;$B122,BD!$K$3:$K$5001,"&lt;&gt;"))))</f>
        <v/>
      </c>
      <c r="Q122" s="43" t="str">
        <f>IF(OR($B122="",$A122&gt;$B$9,Q$114=""),"",IF(COUNTIFS(BD!$B$3:$B$5001,Q$114,BD!$A$3:$A$5001,"&gt;="&amp;$C$7,BD!$A$3:$A$5001,"&lt;="&amp;$B122,BD!$K$3:$K$5001,"&lt;&gt;")=0,"",SUMIFS(BD!$K$3:$K$5001,BD!$B$3:$B$5001,Q$114,BD!$A$3:$A$5001,_xlfn.MAXIFS(BD!$A$3:$A$5001,BD!$B$3:$B$5001,Q$114,BD!$A$3:$A$5001,"&gt;="&amp;$C$7,BD!$A$3:$A$5001,"&lt;="&amp;$B122,BD!$K$3:$K$5001,"&lt;&gt;"))))</f>
        <v/>
      </c>
      <c r="R122" s="43" t="str">
        <f>IF(OR($B122="",$A122&gt;$B$9,R$114=""),"",IF(COUNTIFS(BD!$B$3:$B$5001,R$114,BD!$A$3:$A$5001,"&gt;="&amp;$C$7,BD!$A$3:$A$5001,"&lt;="&amp;$B122,BD!$K$3:$K$5001,"&lt;&gt;")=0,"",SUMIFS(BD!$K$3:$K$5001,BD!$B$3:$B$5001,R$114,BD!$A$3:$A$5001,_xlfn.MAXIFS(BD!$A$3:$A$5001,BD!$B$3:$B$5001,R$114,BD!$A$3:$A$5001,"&gt;="&amp;$C$7,BD!$A$3:$A$5001,"&lt;="&amp;$B122,BD!$K$3:$K$5001,"&lt;&gt;"))))</f>
        <v/>
      </c>
      <c r="S122" s="43" t="str">
        <f>IF(OR($B122="",$A122&gt;$B$9,S$114=""),"",IF(COUNTIFS(BD!$B$3:$B$5001,S$114,BD!$A$3:$A$5001,"&gt;="&amp;$C$7,BD!$A$3:$A$5001,"&lt;="&amp;$B122,BD!$K$3:$K$5001,"&lt;&gt;")=0,"",SUMIFS(BD!$K$3:$K$5001,BD!$B$3:$B$5001,S$114,BD!$A$3:$A$5001,_xlfn.MAXIFS(BD!$A$3:$A$5001,BD!$B$3:$B$5001,S$114,BD!$A$3:$A$5001,"&gt;="&amp;$C$7,BD!$A$3:$A$5001,"&lt;="&amp;$B122,BD!$K$3:$K$5001,"&lt;&gt;"))))</f>
        <v/>
      </c>
      <c r="T122" s="43" t="str">
        <f>IF(OR($B122="",$A122&gt;$B$9,T$114=""),"",IF(COUNTIFS(BD!$B$3:$B$5001,T$114,BD!$A$3:$A$5001,"&gt;="&amp;$C$7,BD!$A$3:$A$5001,"&lt;="&amp;$B122,BD!$K$3:$K$5001,"&lt;&gt;")=0,"",SUMIFS(BD!$K$3:$K$5001,BD!$B$3:$B$5001,T$114,BD!$A$3:$A$5001,_xlfn.MAXIFS(BD!$A$3:$A$5001,BD!$B$3:$B$5001,T$114,BD!$A$3:$A$5001,"&gt;="&amp;$C$7,BD!$A$3:$A$5001,"&lt;="&amp;$B122,BD!$K$3:$K$5001,"&lt;&gt;"))))</f>
        <v/>
      </c>
      <c r="U122" s="43" t="str">
        <f>IF(OR($B122="",$A122&gt;$B$9,U$114=""),"",IF(COUNTIFS(BD!$B$3:$B$5001,U$114,BD!$A$3:$A$5001,"&gt;="&amp;$C$7,BD!$A$3:$A$5001,"&lt;="&amp;$B122,BD!$K$3:$K$5001,"&lt;&gt;")=0,"",SUMIFS(BD!$K$3:$K$5001,BD!$B$3:$B$5001,U$114,BD!$A$3:$A$5001,_xlfn.MAXIFS(BD!$A$3:$A$5001,BD!$B$3:$B$5001,U$114,BD!$A$3:$A$5001,"&gt;="&amp;$C$7,BD!$A$3:$A$5001,"&lt;="&amp;$B122,BD!$K$3:$K$5001,"&lt;&gt;"))))</f>
        <v/>
      </c>
      <c r="V122" s="43" t="str">
        <f>IF(OR($B122="",$A122&gt;$B$9,V$114=""),"",IF(COUNTIFS(BD!$B$3:$B$5001,V$114,BD!$A$3:$A$5001,"&gt;="&amp;$C$7,BD!$A$3:$A$5001,"&lt;="&amp;$B122,BD!$K$3:$K$5001,"&lt;&gt;")=0,"",SUMIFS(BD!$K$3:$K$5001,BD!$B$3:$B$5001,V$114,BD!$A$3:$A$5001,_xlfn.MAXIFS(BD!$A$3:$A$5001,BD!$B$3:$B$5001,V$114,BD!$A$3:$A$5001,"&gt;="&amp;$C$7,BD!$A$3:$A$5001,"&lt;="&amp;$B122,BD!$K$3:$K$5001,"&lt;&gt;"))))</f>
        <v/>
      </c>
    </row>
    <row r="123">
      <c r="A123" s="38">
        <v>9</v>
      </c>
      <c r="B123" s="42">
        <f>$B$20</f>
        <v>46304</v>
      </c>
      <c r="C123" s="43" t="str">
        <f>IF(OR($B123="",$A123&gt;$B$9,C$114=""),"",IF(COUNTIFS(BD!$B$3:$B$5001,C$114,BD!$A$3:$A$5001,"&gt;="&amp;$C$7,BD!$A$3:$A$5001,"&lt;="&amp;$B123,BD!$K$3:$K$5001,"&lt;&gt;")=0,"",SUMIFS(BD!$K$3:$K$5001,BD!$B$3:$B$5001,C$114,BD!$A$3:$A$5001,_xlfn.MAXIFS(BD!$A$3:$A$5001,BD!$B$3:$B$5001,C$114,BD!$A$3:$A$5001,"&gt;="&amp;$C$7,BD!$A$3:$A$5001,"&lt;="&amp;$B123,BD!$K$3:$K$5001,"&lt;&gt;"))))</f>
        <v/>
      </c>
      <c r="D123" s="43" t="str">
        <f>IF(OR($B123="",$A123&gt;$B$9,D$114=""),"",IF(COUNTIFS(BD!$B$3:$B$5001,D$114,BD!$A$3:$A$5001,"&gt;="&amp;$C$7,BD!$A$3:$A$5001,"&lt;="&amp;$B123,BD!$K$3:$K$5001,"&lt;&gt;")=0,"",SUMIFS(BD!$K$3:$K$5001,BD!$B$3:$B$5001,D$114,BD!$A$3:$A$5001,_xlfn.MAXIFS(BD!$A$3:$A$5001,BD!$B$3:$B$5001,D$114,BD!$A$3:$A$5001,"&gt;="&amp;$C$7,BD!$A$3:$A$5001,"&lt;="&amp;$B123,BD!$K$3:$K$5001,"&lt;&gt;"))))</f>
        <v/>
      </c>
      <c r="E123" s="43" t="str">
        <f>IF(OR($B123="",$A123&gt;$B$9,E$114=""),"",IF(COUNTIFS(BD!$B$3:$B$5001,E$114,BD!$A$3:$A$5001,"&gt;="&amp;$C$7,BD!$A$3:$A$5001,"&lt;="&amp;$B123,BD!$K$3:$K$5001,"&lt;&gt;")=0,"",SUMIFS(BD!$K$3:$K$5001,BD!$B$3:$B$5001,E$114,BD!$A$3:$A$5001,_xlfn.MAXIFS(BD!$A$3:$A$5001,BD!$B$3:$B$5001,E$114,BD!$A$3:$A$5001,"&gt;="&amp;$C$7,BD!$A$3:$A$5001,"&lt;="&amp;$B123,BD!$K$3:$K$5001,"&lt;&gt;"))))</f>
        <v/>
      </c>
      <c r="F123" s="43" t="str">
        <f>IF(OR($B123="",$A123&gt;$B$9,F$114=""),"",IF(COUNTIFS(BD!$B$3:$B$5001,F$114,BD!$A$3:$A$5001,"&gt;="&amp;$C$7,BD!$A$3:$A$5001,"&lt;="&amp;$B123,BD!$K$3:$K$5001,"&lt;&gt;")=0,"",SUMIFS(BD!$K$3:$K$5001,BD!$B$3:$B$5001,F$114,BD!$A$3:$A$5001,_xlfn.MAXIFS(BD!$A$3:$A$5001,BD!$B$3:$B$5001,F$114,BD!$A$3:$A$5001,"&gt;="&amp;$C$7,BD!$A$3:$A$5001,"&lt;="&amp;$B123,BD!$K$3:$K$5001,"&lt;&gt;"))))</f>
        <v/>
      </c>
      <c r="G123" s="43" t="str">
        <f>IF(OR($B123="",$A123&gt;$B$9,G$114=""),"",IF(COUNTIFS(BD!$B$3:$B$5001,G$114,BD!$A$3:$A$5001,"&gt;="&amp;$C$7,BD!$A$3:$A$5001,"&lt;="&amp;$B123,BD!$K$3:$K$5001,"&lt;&gt;")=0,"",SUMIFS(BD!$K$3:$K$5001,BD!$B$3:$B$5001,G$114,BD!$A$3:$A$5001,_xlfn.MAXIFS(BD!$A$3:$A$5001,BD!$B$3:$B$5001,G$114,BD!$A$3:$A$5001,"&gt;="&amp;$C$7,BD!$A$3:$A$5001,"&lt;="&amp;$B123,BD!$K$3:$K$5001,"&lt;&gt;"))))</f>
        <v/>
      </c>
      <c r="H123" s="43" t="str">
        <f>IF(OR($B123="",$A123&gt;$B$9,H$114=""),"",IF(COUNTIFS(BD!$B$3:$B$5001,H$114,BD!$A$3:$A$5001,"&gt;="&amp;$C$7,BD!$A$3:$A$5001,"&lt;="&amp;$B123,BD!$K$3:$K$5001,"&lt;&gt;")=0,"",SUMIFS(BD!$K$3:$K$5001,BD!$B$3:$B$5001,H$114,BD!$A$3:$A$5001,_xlfn.MAXIFS(BD!$A$3:$A$5001,BD!$B$3:$B$5001,H$114,BD!$A$3:$A$5001,"&gt;="&amp;$C$7,BD!$A$3:$A$5001,"&lt;="&amp;$B123,BD!$K$3:$K$5001,"&lt;&gt;"))))</f>
        <v/>
      </c>
      <c r="I123" s="43" t="str">
        <f>IF(OR($B123="",$A123&gt;$B$9,I$114=""),"",IF(COUNTIFS(BD!$B$3:$B$5001,I$114,BD!$A$3:$A$5001,"&gt;="&amp;$C$7,BD!$A$3:$A$5001,"&lt;="&amp;$B123,BD!$K$3:$K$5001,"&lt;&gt;")=0,"",SUMIFS(BD!$K$3:$K$5001,BD!$B$3:$B$5001,I$114,BD!$A$3:$A$5001,_xlfn.MAXIFS(BD!$A$3:$A$5001,BD!$B$3:$B$5001,I$114,BD!$A$3:$A$5001,"&gt;="&amp;$C$7,BD!$A$3:$A$5001,"&lt;="&amp;$B123,BD!$K$3:$K$5001,"&lt;&gt;"))))</f>
        <v/>
      </c>
      <c r="J123" s="43" t="str">
        <f>IF(OR($B123="",$A123&gt;$B$9,J$114=""),"",IF(COUNTIFS(BD!$B$3:$B$5001,J$114,BD!$A$3:$A$5001,"&gt;="&amp;$C$7,BD!$A$3:$A$5001,"&lt;="&amp;$B123,BD!$K$3:$K$5001,"&lt;&gt;")=0,"",SUMIFS(BD!$K$3:$K$5001,BD!$B$3:$B$5001,J$114,BD!$A$3:$A$5001,_xlfn.MAXIFS(BD!$A$3:$A$5001,BD!$B$3:$B$5001,J$114,BD!$A$3:$A$5001,"&gt;="&amp;$C$7,BD!$A$3:$A$5001,"&lt;="&amp;$B123,BD!$K$3:$K$5001,"&lt;&gt;"))))</f>
        <v/>
      </c>
      <c r="K123" s="43" t="str">
        <f>IF(OR($B123="",$A123&gt;$B$9,K$114=""),"",IF(COUNTIFS(BD!$B$3:$B$5001,K$114,BD!$A$3:$A$5001,"&gt;="&amp;$C$7,BD!$A$3:$A$5001,"&lt;="&amp;$B123,BD!$K$3:$K$5001,"&lt;&gt;")=0,"",SUMIFS(BD!$K$3:$K$5001,BD!$B$3:$B$5001,K$114,BD!$A$3:$A$5001,_xlfn.MAXIFS(BD!$A$3:$A$5001,BD!$B$3:$B$5001,K$114,BD!$A$3:$A$5001,"&gt;="&amp;$C$7,BD!$A$3:$A$5001,"&lt;="&amp;$B123,BD!$K$3:$K$5001,"&lt;&gt;"))))</f>
        <v/>
      </c>
      <c r="L123" s="43" t="str">
        <f>IF(OR($B123="",$A123&gt;$B$9,L$114=""),"",IF(COUNTIFS(BD!$B$3:$B$5001,L$114,BD!$A$3:$A$5001,"&gt;="&amp;$C$7,BD!$A$3:$A$5001,"&lt;="&amp;$B123,BD!$K$3:$K$5001,"&lt;&gt;")=0,"",SUMIFS(BD!$K$3:$K$5001,BD!$B$3:$B$5001,L$114,BD!$A$3:$A$5001,_xlfn.MAXIFS(BD!$A$3:$A$5001,BD!$B$3:$B$5001,L$114,BD!$A$3:$A$5001,"&gt;="&amp;$C$7,BD!$A$3:$A$5001,"&lt;="&amp;$B123,BD!$K$3:$K$5001,"&lt;&gt;"))))</f>
        <v/>
      </c>
      <c r="M123" s="43" t="str">
        <f>IF(OR($B123="",$A123&gt;$B$9,M$114=""),"",IF(COUNTIFS(BD!$B$3:$B$5001,M$114,BD!$A$3:$A$5001,"&gt;="&amp;$C$7,BD!$A$3:$A$5001,"&lt;="&amp;$B123,BD!$K$3:$K$5001,"&lt;&gt;")=0,"",SUMIFS(BD!$K$3:$K$5001,BD!$B$3:$B$5001,M$114,BD!$A$3:$A$5001,_xlfn.MAXIFS(BD!$A$3:$A$5001,BD!$B$3:$B$5001,M$114,BD!$A$3:$A$5001,"&gt;="&amp;$C$7,BD!$A$3:$A$5001,"&lt;="&amp;$B123,BD!$K$3:$K$5001,"&lt;&gt;"))))</f>
        <v/>
      </c>
      <c r="N123" s="43" t="str">
        <f>IF(OR($B123="",$A123&gt;$B$9,N$114=""),"",IF(COUNTIFS(BD!$B$3:$B$5001,N$114,BD!$A$3:$A$5001,"&gt;="&amp;$C$7,BD!$A$3:$A$5001,"&lt;="&amp;$B123,BD!$K$3:$K$5001,"&lt;&gt;")=0,"",SUMIFS(BD!$K$3:$K$5001,BD!$B$3:$B$5001,N$114,BD!$A$3:$A$5001,_xlfn.MAXIFS(BD!$A$3:$A$5001,BD!$B$3:$B$5001,N$114,BD!$A$3:$A$5001,"&gt;="&amp;$C$7,BD!$A$3:$A$5001,"&lt;="&amp;$B123,BD!$K$3:$K$5001,"&lt;&gt;"))))</f>
        <v/>
      </c>
      <c r="O123" s="43" t="str">
        <f>IF(OR($B123="",$A123&gt;$B$9,O$114=""),"",IF(COUNTIFS(BD!$B$3:$B$5001,O$114,BD!$A$3:$A$5001,"&gt;="&amp;$C$7,BD!$A$3:$A$5001,"&lt;="&amp;$B123,BD!$K$3:$K$5001,"&lt;&gt;")=0,"",SUMIFS(BD!$K$3:$K$5001,BD!$B$3:$B$5001,O$114,BD!$A$3:$A$5001,_xlfn.MAXIFS(BD!$A$3:$A$5001,BD!$B$3:$B$5001,O$114,BD!$A$3:$A$5001,"&gt;="&amp;$C$7,BD!$A$3:$A$5001,"&lt;="&amp;$B123,BD!$K$3:$K$5001,"&lt;&gt;"))))</f>
        <v/>
      </c>
      <c r="P123" s="43" t="str">
        <f>IF(OR($B123="",$A123&gt;$B$9,P$114=""),"",IF(COUNTIFS(BD!$B$3:$B$5001,P$114,BD!$A$3:$A$5001,"&gt;="&amp;$C$7,BD!$A$3:$A$5001,"&lt;="&amp;$B123,BD!$K$3:$K$5001,"&lt;&gt;")=0,"",SUMIFS(BD!$K$3:$K$5001,BD!$B$3:$B$5001,P$114,BD!$A$3:$A$5001,_xlfn.MAXIFS(BD!$A$3:$A$5001,BD!$B$3:$B$5001,P$114,BD!$A$3:$A$5001,"&gt;="&amp;$C$7,BD!$A$3:$A$5001,"&lt;="&amp;$B123,BD!$K$3:$K$5001,"&lt;&gt;"))))</f>
        <v/>
      </c>
      <c r="Q123" s="43" t="str">
        <f>IF(OR($B123="",$A123&gt;$B$9,Q$114=""),"",IF(COUNTIFS(BD!$B$3:$B$5001,Q$114,BD!$A$3:$A$5001,"&gt;="&amp;$C$7,BD!$A$3:$A$5001,"&lt;="&amp;$B123,BD!$K$3:$K$5001,"&lt;&gt;")=0,"",SUMIFS(BD!$K$3:$K$5001,BD!$B$3:$B$5001,Q$114,BD!$A$3:$A$5001,_xlfn.MAXIFS(BD!$A$3:$A$5001,BD!$B$3:$B$5001,Q$114,BD!$A$3:$A$5001,"&gt;="&amp;$C$7,BD!$A$3:$A$5001,"&lt;="&amp;$B123,BD!$K$3:$K$5001,"&lt;&gt;"))))</f>
        <v/>
      </c>
      <c r="R123" s="43" t="str">
        <f>IF(OR($B123="",$A123&gt;$B$9,R$114=""),"",IF(COUNTIFS(BD!$B$3:$B$5001,R$114,BD!$A$3:$A$5001,"&gt;="&amp;$C$7,BD!$A$3:$A$5001,"&lt;="&amp;$B123,BD!$K$3:$K$5001,"&lt;&gt;")=0,"",SUMIFS(BD!$K$3:$K$5001,BD!$B$3:$B$5001,R$114,BD!$A$3:$A$5001,_xlfn.MAXIFS(BD!$A$3:$A$5001,BD!$B$3:$B$5001,R$114,BD!$A$3:$A$5001,"&gt;="&amp;$C$7,BD!$A$3:$A$5001,"&lt;="&amp;$B123,BD!$K$3:$K$5001,"&lt;&gt;"))))</f>
        <v/>
      </c>
      <c r="S123" s="43" t="str">
        <f>IF(OR($B123="",$A123&gt;$B$9,S$114=""),"",IF(COUNTIFS(BD!$B$3:$B$5001,S$114,BD!$A$3:$A$5001,"&gt;="&amp;$C$7,BD!$A$3:$A$5001,"&lt;="&amp;$B123,BD!$K$3:$K$5001,"&lt;&gt;")=0,"",SUMIFS(BD!$K$3:$K$5001,BD!$B$3:$B$5001,S$114,BD!$A$3:$A$5001,_xlfn.MAXIFS(BD!$A$3:$A$5001,BD!$B$3:$B$5001,S$114,BD!$A$3:$A$5001,"&gt;="&amp;$C$7,BD!$A$3:$A$5001,"&lt;="&amp;$B123,BD!$K$3:$K$5001,"&lt;&gt;"))))</f>
        <v/>
      </c>
      <c r="T123" s="43" t="str">
        <f>IF(OR($B123="",$A123&gt;$B$9,T$114=""),"",IF(COUNTIFS(BD!$B$3:$B$5001,T$114,BD!$A$3:$A$5001,"&gt;="&amp;$C$7,BD!$A$3:$A$5001,"&lt;="&amp;$B123,BD!$K$3:$K$5001,"&lt;&gt;")=0,"",SUMIFS(BD!$K$3:$K$5001,BD!$B$3:$B$5001,T$114,BD!$A$3:$A$5001,_xlfn.MAXIFS(BD!$A$3:$A$5001,BD!$B$3:$B$5001,T$114,BD!$A$3:$A$5001,"&gt;="&amp;$C$7,BD!$A$3:$A$5001,"&lt;="&amp;$B123,BD!$K$3:$K$5001,"&lt;&gt;"))))</f>
        <v/>
      </c>
      <c r="U123" s="43" t="str">
        <f>IF(OR($B123="",$A123&gt;$B$9,U$114=""),"",IF(COUNTIFS(BD!$B$3:$B$5001,U$114,BD!$A$3:$A$5001,"&gt;="&amp;$C$7,BD!$A$3:$A$5001,"&lt;="&amp;$B123,BD!$K$3:$K$5001,"&lt;&gt;")=0,"",SUMIFS(BD!$K$3:$K$5001,BD!$B$3:$B$5001,U$114,BD!$A$3:$A$5001,_xlfn.MAXIFS(BD!$A$3:$A$5001,BD!$B$3:$B$5001,U$114,BD!$A$3:$A$5001,"&gt;="&amp;$C$7,BD!$A$3:$A$5001,"&lt;="&amp;$B123,BD!$K$3:$K$5001,"&lt;&gt;"))))</f>
        <v/>
      </c>
      <c r="V123" s="43" t="str">
        <f>IF(OR($B123="",$A123&gt;$B$9,V$114=""),"",IF(COUNTIFS(BD!$B$3:$B$5001,V$114,BD!$A$3:$A$5001,"&gt;="&amp;$C$7,BD!$A$3:$A$5001,"&lt;="&amp;$B123,BD!$K$3:$K$5001,"&lt;&gt;")=0,"",SUMIFS(BD!$K$3:$K$5001,BD!$B$3:$B$5001,V$114,BD!$A$3:$A$5001,_xlfn.MAXIFS(BD!$A$3:$A$5001,BD!$B$3:$B$5001,V$114,BD!$A$3:$A$5001,"&gt;="&amp;$C$7,BD!$A$3:$A$5001,"&lt;="&amp;$B123,BD!$K$3:$K$5001,"&lt;&gt;"))))</f>
        <v/>
      </c>
    </row>
    <row r="124">
      <c r="A124" s="38">
        <v>10</v>
      </c>
      <c r="B124" s="42">
        <f>$B$21</f>
        <v>46305</v>
      </c>
      <c r="C124" s="43" t="str">
        <f>IF(OR($B124="",$A124&gt;$B$9,C$114=""),"",IF(COUNTIFS(BD!$B$3:$B$5001,C$114,BD!$A$3:$A$5001,"&gt;="&amp;$C$7,BD!$A$3:$A$5001,"&lt;="&amp;$B124,BD!$K$3:$K$5001,"&lt;&gt;")=0,"",SUMIFS(BD!$K$3:$K$5001,BD!$B$3:$B$5001,C$114,BD!$A$3:$A$5001,_xlfn.MAXIFS(BD!$A$3:$A$5001,BD!$B$3:$B$5001,C$114,BD!$A$3:$A$5001,"&gt;="&amp;$C$7,BD!$A$3:$A$5001,"&lt;="&amp;$B124,BD!$K$3:$K$5001,"&lt;&gt;"))))</f>
        <v/>
      </c>
      <c r="D124" s="43" t="str">
        <f>IF(OR($B124="",$A124&gt;$B$9,D$114=""),"",IF(COUNTIFS(BD!$B$3:$B$5001,D$114,BD!$A$3:$A$5001,"&gt;="&amp;$C$7,BD!$A$3:$A$5001,"&lt;="&amp;$B124,BD!$K$3:$K$5001,"&lt;&gt;")=0,"",SUMIFS(BD!$K$3:$K$5001,BD!$B$3:$B$5001,D$114,BD!$A$3:$A$5001,_xlfn.MAXIFS(BD!$A$3:$A$5001,BD!$B$3:$B$5001,D$114,BD!$A$3:$A$5001,"&gt;="&amp;$C$7,BD!$A$3:$A$5001,"&lt;="&amp;$B124,BD!$K$3:$K$5001,"&lt;&gt;"))))</f>
        <v/>
      </c>
      <c r="E124" s="43" t="str">
        <f>IF(OR($B124="",$A124&gt;$B$9,E$114=""),"",IF(COUNTIFS(BD!$B$3:$B$5001,E$114,BD!$A$3:$A$5001,"&gt;="&amp;$C$7,BD!$A$3:$A$5001,"&lt;="&amp;$B124,BD!$K$3:$K$5001,"&lt;&gt;")=0,"",SUMIFS(BD!$K$3:$K$5001,BD!$B$3:$B$5001,E$114,BD!$A$3:$A$5001,_xlfn.MAXIFS(BD!$A$3:$A$5001,BD!$B$3:$B$5001,E$114,BD!$A$3:$A$5001,"&gt;="&amp;$C$7,BD!$A$3:$A$5001,"&lt;="&amp;$B124,BD!$K$3:$K$5001,"&lt;&gt;"))))</f>
        <v/>
      </c>
      <c r="F124" s="43" t="str">
        <f>IF(OR($B124="",$A124&gt;$B$9,F$114=""),"",IF(COUNTIFS(BD!$B$3:$B$5001,F$114,BD!$A$3:$A$5001,"&gt;="&amp;$C$7,BD!$A$3:$A$5001,"&lt;="&amp;$B124,BD!$K$3:$K$5001,"&lt;&gt;")=0,"",SUMIFS(BD!$K$3:$K$5001,BD!$B$3:$B$5001,F$114,BD!$A$3:$A$5001,_xlfn.MAXIFS(BD!$A$3:$A$5001,BD!$B$3:$B$5001,F$114,BD!$A$3:$A$5001,"&gt;="&amp;$C$7,BD!$A$3:$A$5001,"&lt;="&amp;$B124,BD!$K$3:$K$5001,"&lt;&gt;"))))</f>
        <v/>
      </c>
      <c r="G124" s="43" t="str">
        <f>IF(OR($B124="",$A124&gt;$B$9,G$114=""),"",IF(COUNTIFS(BD!$B$3:$B$5001,G$114,BD!$A$3:$A$5001,"&gt;="&amp;$C$7,BD!$A$3:$A$5001,"&lt;="&amp;$B124,BD!$K$3:$K$5001,"&lt;&gt;")=0,"",SUMIFS(BD!$K$3:$K$5001,BD!$B$3:$B$5001,G$114,BD!$A$3:$A$5001,_xlfn.MAXIFS(BD!$A$3:$A$5001,BD!$B$3:$B$5001,G$114,BD!$A$3:$A$5001,"&gt;="&amp;$C$7,BD!$A$3:$A$5001,"&lt;="&amp;$B124,BD!$K$3:$K$5001,"&lt;&gt;"))))</f>
        <v/>
      </c>
      <c r="H124" s="43" t="str">
        <f>IF(OR($B124="",$A124&gt;$B$9,H$114=""),"",IF(COUNTIFS(BD!$B$3:$B$5001,H$114,BD!$A$3:$A$5001,"&gt;="&amp;$C$7,BD!$A$3:$A$5001,"&lt;="&amp;$B124,BD!$K$3:$K$5001,"&lt;&gt;")=0,"",SUMIFS(BD!$K$3:$K$5001,BD!$B$3:$B$5001,H$114,BD!$A$3:$A$5001,_xlfn.MAXIFS(BD!$A$3:$A$5001,BD!$B$3:$B$5001,H$114,BD!$A$3:$A$5001,"&gt;="&amp;$C$7,BD!$A$3:$A$5001,"&lt;="&amp;$B124,BD!$K$3:$K$5001,"&lt;&gt;"))))</f>
        <v/>
      </c>
      <c r="I124" s="43" t="str">
        <f>IF(OR($B124="",$A124&gt;$B$9,I$114=""),"",IF(COUNTIFS(BD!$B$3:$B$5001,I$114,BD!$A$3:$A$5001,"&gt;="&amp;$C$7,BD!$A$3:$A$5001,"&lt;="&amp;$B124,BD!$K$3:$K$5001,"&lt;&gt;")=0,"",SUMIFS(BD!$K$3:$K$5001,BD!$B$3:$B$5001,I$114,BD!$A$3:$A$5001,_xlfn.MAXIFS(BD!$A$3:$A$5001,BD!$B$3:$B$5001,I$114,BD!$A$3:$A$5001,"&gt;="&amp;$C$7,BD!$A$3:$A$5001,"&lt;="&amp;$B124,BD!$K$3:$K$5001,"&lt;&gt;"))))</f>
        <v/>
      </c>
      <c r="J124" s="43" t="str">
        <f>IF(OR($B124="",$A124&gt;$B$9,J$114=""),"",IF(COUNTIFS(BD!$B$3:$B$5001,J$114,BD!$A$3:$A$5001,"&gt;="&amp;$C$7,BD!$A$3:$A$5001,"&lt;="&amp;$B124,BD!$K$3:$K$5001,"&lt;&gt;")=0,"",SUMIFS(BD!$K$3:$K$5001,BD!$B$3:$B$5001,J$114,BD!$A$3:$A$5001,_xlfn.MAXIFS(BD!$A$3:$A$5001,BD!$B$3:$B$5001,J$114,BD!$A$3:$A$5001,"&gt;="&amp;$C$7,BD!$A$3:$A$5001,"&lt;="&amp;$B124,BD!$K$3:$K$5001,"&lt;&gt;"))))</f>
        <v/>
      </c>
      <c r="K124" s="43" t="str">
        <f>IF(OR($B124="",$A124&gt;$B$9,K$114=""),"",IF(COUNTIFS(BD!$B$3:$B$5001,K$114,BD!$A$3:$A$5001,"&gt;="&amp;$C$7,BD!$A$3:$A$5001,"&lt;="&amp;$B124,BD!$K$3:$K$5001,"&lt;&gt;")=0,"",SUMIFS(BD!$K$3:$K$5001,BD!$B$3:$B$5001,K$114,BD!$A$3:$A$5001,_xlfn.MAXIFS(BD!$A$3:$A$5001,BD!$B$3:$B$5001,K$114,BD!$A$3:$A$5001,"&gt;="&amp;$C$7,BD!$A$3:$A$5001,"&lt;="&amp;$B124,BD!$K$3:$K$5001,"&lt;&gt;"))))</f>
        <v/>
      </c>
      <c r="L124" s="43" t="str">
        <f>IF(OR($B124="",$A124&gt;$B$9,L$114=""),"",IF(COUNTIFS(BD!$B$3:$B$5001,L$114,BD!$A$3:$A$5001,"&gt;="&amp;$C$7,BD!$A$3:$A$5001,"&lt;="&amp;$B124,BD!$K$3:$K$5001,"&lt;&gt;")=0,"",SUMIFS(BD!$K$3:$K$5001,BD!$B$3:$B$5001,L$114,BD!$A$3:$A$5001,_xlfn.MAXIFS(BD!$A$3:$A$5001,BD!$B$3:$B$5001,L$114,BD!$A$3:$A$5001,"&gt;="&amp;$C$7,BD!$A$3:$A$5001,"&lt;="&amp;$B124,BD!$K$3:$K$5001,"&lt;&gt;"))))</f>
        <v/>
      </c>
      <c r="M124" s="43" t="str">
        <f>IF(OR($B124="",$A124&gt;$B$9,M$114=""),"",IF(COUNTIFS(BD!$B$3:$B$5001,M$114,BD!$A$3:$A$5001,"&gt;="&amp;$C$7,BD!$A$3:$A$5001,"&lt;="&amp;$B124,BD!$K$3:$K$5001,"&lt;&gt;")=0,"",SUMIFS(BD!$K$3:$K$5001,BD!$B$3:$B$5001,M$114,BD!$A$3:$A$5001,_xlfn.MAXIFS(BD!$A$3:$A$5001,BD!$B$3:$B$5001,M$114,BD!$A$3:$A$5001,"&gt;="&amp;$C$7,BD!$A$3:$A$5001,"&lt;="&amp;$B124,BD!$K$3:$K$5001,"&lt;&gt;"))))</f>
        <v/>
      </c>
      <c r="N124" s="43" t="str">
        <f>IF(OR($B124="",$A124&gt;$B$9,N$114=""),"",IF(COUNTIFS(BD!$B$3:$B$5001,N$114,BD!$A$3:$A$5001,"&gt;="&amp;$C$7,BD!$A$3:$A$5001,"&lt;="&amp;$B124,BD!$K$3:$K$5001,"&lt;&gt;")=0,"",SUMIFS(BD!$K$3:$K$5001,BD!$B$3:$B$5001,N$114,BD!$A$3:$A$5001,_xlfn.MAXIFS(BD!$A$3:$A$5001,BD!$B$3:$B$5001,N$114,BD!$A$3:$A$5001,"&gt;="&amp;$C$7,BD!$A$3:$A$5001,"&lt;="&amp;$B124,BD!$K$3:$K$5001,"&lt;&gt;"))))</f>
        <v/>
      </c>
      <c r="O124" s="43" t="str">
        <f>IF(OR($B124="",$A124&gt;$B$9,O$114=""),"",IF(COUNTIFS(BD!$B$3:$B$5001,O$114,BD!$A$3:$A$5001,"&gt;="&amp;$C$7,BD!$A$3:$A$5001,"&lt;="&amp;$B124,BD!$K$3:$K$5001,"&lt;&gt;")=0,"",SUMIFS(BD!$K$3:$K$5001,BD!$B$3:$B$5001,O$114,BD!$A$3:$A$5001,_xlfn.MAXIFS(BD!$A$3:$A$5001,BD!$B$3:$B$5001,O$114,BD!$A$3:$A$5001,"&gt;="&amp;$C$7,BD!$A$3:$A$5001,"&lt;="&amp;$B124,BD!$K$3:$K$5001,"&lt;&gt;"))))</f>
        <v/>
      </c>
      <c r="P124" s="43" t="str">
        <f>IF(OR($B124="",$A124&gt;$B$9,P$114=""),"",IF(COUNTIFS(BD!$B$3:$B$5001,P$114,BD!$A$3:$A$5001,"&gt;="&amp;$C$7,BD!$A$3:$A$5001,"&lt;="&amp;$B124,BD!$K$3:$K$5001,"&lt;&gt;")=0,"",SUMIFS(BD!$K$3:$K$5001,BD!$B$3:$B$5001,P$114,BD!$A$3:$A$5001,_xlfn.MAXIFS(BD!$A$3:$A$5001,BD!$B$3:$B$5001,P$114,BD!$A$3:$A$5001,"&gt;="&amp;$C$7,BD!$A$3:$A$5001,"&lt;="&amp;$B124,BD!$K$3:$K$5001,"&lt;&gt;"))))</f>
        <v/>
      </c>
      <c r="Q124" s="43" t="str">
        <f>IF(OR($B124="",$A124&gt;$B$9,Q$114=""),"",IF(COUNTIFS(BD!$B$3:$B$5001,Q$114,BD!$A$3:$A$5001,"&gt;="&amp;$C$7,BD!$A$3:$A$5001,"&lt;="&amp;$B124,BD!$K$3:$K$5001,"&lt;&gt;")=0,"",SUMIFS(BD!$K$3:$K$5001,BD!$B$3:$B$5001,Q$114,BD!$A$3:$A$5001,_xlfn.MAXIFS(BD!$A$3:$A$5001,BD!$B$3:$B$5001,Q$114,BD!$A$3:$A$5001,"&gt;="&amp;$C$7,BD!$A$3:$A$5001,"&lt;="&amp;$B124,BD!$K$3:$K$5001,"&lt;&gt;"))))</f>
        <v/>
      </c>
      <c r="R124" s="43" t="str">
        <f>IF(OR($B124="",$A124&gt;$B$9,R$114=""),"",IF(COUNTIFS(BD!$B$3:$B$5001,R$114,BD!$A$3:$A$5001,"&gt;="&amp;$C$7,BD!$A$3:$A$5001,"&lt;="&amp;$B124,BD!$K$3:$K$5001,"&lt;&gt;")=0,"",SUMIFS(BD!$K$3:$K$5001,BD!$B$3:$B$5001,R$114,BD!$A$3:$A$5001,_xlfn.MAXIFS(BD!$A$3:$A$5001,BD!$B$3:$B$5001,R$114,BD!$A$3:$A$5001,"&gt;="&amp;$C$7,BD!$A$3:$A$5001,"&lt;="&amp;$B124,BD!$K$3:$K$5001,"&lt;&gt;"))))</f>
        <v/>
      </c>
      <c r="S124" s="43" t="str">
        <f>IF(OR($B124="",$A124&gt;$B$9,S$114=""),"",IF(COUNTIFS(BD!$B$3:$B$5001,S$114,BD!$A$3:$A$5001,"&gt;="&amp;$C$7,BD!$A$3:$A$5001,"&lt;="&amp;$B124,BD!$K$3:$K$5001,"&lt;&gt;")=0,"",SUMIFS(BD!$K$3:$K$5001,BD!$B$3:$B$5001,S$114,BD!$A$3:$A$5001,_xlfn.MAXIFS(BD!$A$3:$A$5001,BD!$B$3:$B$5001,S$114,BD!$A$3:$A$5001,"&gt;="&amp;$C$7,BD!$A$3:$A$5001,"&lt;="&amp;$B124,BD!$K$3:$K$5001,"&lt;&gt;"))))</f>
        <v/>
      </c>
      <c r="T124" s="43" t="str">
        <f>IF(OR($B124="",$A124&gt;$B$9,T$114=""),"",IF(COUNTIFS(BD!$B$3:$B$5001,T$114,BD!$A$3:$A$5001,"&gt;="&amp;$C$7,BD!$A$3:$A$5001,"&lt;="&amp;$B124,BD!$K$3:$K$5001,"&lt;&gt;")=0,"",SUMIFS(BD!$K$3:$K$5001,BD!$B$3:$B$5001,T$114,BD!$A$3:$A$5001,_xlfn.MAXIFS(BD!$A$3:$A$5001,BD!$B$3:$B$5001,T$114,BD!$A$3:$A$5001,"&gt;="&amp;$C$7,BD!$A$3:$A$5001,"&lt;="&amp;$B124,BD!$K$3:$K$5001,"&lt;&gt;"))))</f>
        <v/>
      </c>
      <c r="U124" s="43" t="str">
        <f>IF(OR($B124="",$A124&gt;$B$9,U$114=""),"",IF(COUNTIFS(BD!$B$3:$B$5001,U$114,BD!$A$3:$A$5001,"&gt;="&amp;$C$7,BD!$A$3:$A$5001,"&lt;="&amp;$B124,BD!$K$3:$K$5001,"&lt;&gt;")=0,"",SUMIFS(BD!$K$3:$K$5001,BD!$B$3:$B$5001,U$114,BD!$A$3:$A$5001,_xlfn.MAXIFS(BD!$A$3:$A$5001,BD!$B$3:$B$5001,U$114,BD!$A$3:$A$5001,"&gt;="&amp;$C$7,BD!$A$3:$A$5001,"&lt;="&amp;$B124,BD!$K$3:$K$5001,"&lt;&gt;"))))</f>
        <v/>
      </c>
      <c r="V124" s="43" t="str">
        <f>IF(OR($B124="",$A124&gt;$B$9,V$114=""),"",IF(COUNTIFS(BD!$B$3:$B$5001,V$114,BD!$A$3:$A$5001,"&gt;="&amp;$C$7,BD!$A$3:$A$5001,"&lt;="&amp;$B124,BD!$K$3:$K$5001,"&lt;&gt;")=0,"",SUMIFS(BD!$K$3:$K$5001,BD!$B$3:$B$5001,V$114,BD!$A$3:$A$5001,_xlfn.MAXIFS(BD!$A$3:$A$5001,BD!$B$3:$B$5001,V$114,BD!$A$3:$A$5001,"&gt;="&amp;$C$7,BD!$A$3:$A$5001,"&lt;="&amp;$B124,BD!$K$3:$K$5001,"&lt;&gt;"))))</f>
        <v/>
      </c>
    </row>
    <row r="125">
      <c r="A125" s="38">
        <v>11</v>
      </c>
      <c r="B125" s="42">
        <f>$B$22</f>
        <v>46306</v>
      </c>
      <c r="C125" s="43" t="str">
        <f>IF(OR($B125="",$A125&gt;$B$9,C$114=""),"",IF(COUNTIFS(BD!$B$3:$B$5001,C$114,BD!$A$3:$A$5001,"&gt;="&amp;$C$7,BD!$A$3:$A$5001,"&lt;="&amp;$B125,BD!$K$3:$K$5001,"&lt;&gt;")=0,"",SUMIFS(BD!$K$3:$K$5001,BD!$B$3:$B$5001,C$114,BD!$A$3:$A$5001,_xlfn.MAXIFS(BD!$A$3:$A$5001,BD!$B$3:$B$5001,C$114,BD!$A$3:$A$5001,"&gt;="&amp;$C$7,BD!$A$3:$A$5001,"&lt;="&amp;$B125,BD!$K$3:$K$5001,"&lt;&gt;"))))</f>
        <v/>
      </c>
      <c r="D125" s="43" t="str">
        <f>IF(OR($B125="",$A125&gt;$B$9,D$114=""),"",IF(COUNTIFS(BD!$B$3:$B$5001,D$114,BD!$A$3:$A$5001,"&gt;="&amp;$C$7,BD!$A$3:$A$5001,"&lt;="&amp;$B125,BD!$K$3:$K$5001,"&lt;&gt;")=0,"",SUMIFS(BD!$K$3:$K$5001,BD!$B$3:$B$5001,D$114,BD!$A$3:$A$5001,_xlfn.MAXIFS(BD!$A$3:$A$5001,BD!$B$3:$B$5001,D$114,BD!$A$3:$A$5001,"&gt;="&amp;$C$7,BD!$A$3:$A$5001,"&lt;="&amp;$B125,BD!$K$3:$K$5001,"&lt;&gt;"))))</f>
        <v/>
      </c>
      <c r="E125" s="43" t="str">
        <f>IF(OR($B125="",$A125&gt;$B$9,E$114=""),"",IF(COUNTIFS(BD!$B$3:$B$5001,E$114,BD!$A$3:$A$5001,"&gt;="&amp;$C$7,BD!$A$3:$A$5001,"&lt;="&amp;$B125,BD!$K$3:$K$5001,"&lt;&gt;")=0,"",SUMIFS(BD!$K$3:$K$5001,BD!$B$3:$B$5001,E$114,BD!$A$3:$A$5001,_xlfn.MAXIFS(BD!$A$3:$A$5001,BD!$B$3:$B$5001,E$114,BD!$A$3:$A$5001,"&gt;="&amp;$C$7,BD!$A$3:$A$5001,"&lt;="&amp;$B125,BD!$K$3:$K$5001,"&lt;&gt;"))))</f>
        <v/>
      </c>
      <c r="F125" s="43" t="str">
        <f>IF(OR($B125="",$A125&gt;$B$9,F$114=""),"",IF(COUNTIFS(BD!$B$3:$B$5001,F$114,BD!$A$3:$A$5001,"&gt;="&amp;$C$7,BD!$A$3:$A$5001,"&lt;="&amp;$B125,BD!$K$3:$K$5001,"&lt;&gt;")=0,"",SUMIFS(BD!$K$3:$K$5001,BD!$B$3:$B$5001,F$114,BD!$A$3:$A$5001,_xlfn.MAXIFS(BD!$A$3:$A$5001,BD!$B$3:$B$5001,F$114,BD!$A$3:$A$5001,"&gt;="&amp;$C$7,BD!$A$3:$A$5001,"&lt;="&amp;$B125,BD!$K$3:$K$5001,"&lt;&gt;"))))</f>
        <v/>
      </c>
      <c r="G125" s="43" t="str">
        <f>IF(OR($B125="",$A125&gt;$B$9,G$114=""),"",IF(COUNTIFS(BD!$B$3:$B$5001,G$114,BD!$A$3:$A$5001,"&gt;="&amp;$C$7,BD!$A$3:$A$5001,"&lt;="&amp;$B125,BD!$K$3:$K$5001,"&lt;&gt;")=0,"",SUMIFS(BD!$K$3:$K$5001,BD!$B$3:$B$5001,G$114,BD!$A$3:$A$5001,_xlfn.MAXIFS(BD!$A$3:$A$5001,BD!$B$3:$B$5001,G$114,BD!$A$3:$A$5001,"&gt;="&amp;$C$7,BD!$A$3:$A$5001,"&lt;="&amp;$B125,BD!$K$3:$K$5001,"&lt;&gt;"))))</f>
        <v/>
      </c>
      <c r="H125" s="43" t="str">
        <f>IF(OR($B125="",$A125&gt;$B$9,H$114=""),"",IF(COUNTIFS(BD!$B$3:$B$5001,H$114,BD!$A$3:$A$5001,"&gt;="&amp;$C$7,BD!$A$3:$A$5001,"&lt;="&amp;$B125,BD!$K$3:$K$5001,"&lt;&gt;")=0,"",SUMIFS(BD!$K$3:$K$5001,BD!$B$3:$B$5001,H$114,BD!$A$3:$A$5001,_xlfn.MAXIFS(BD!$A$3:$A$5001,BD!$B$3:$B$5001,H$114,BD!$A$3:$A$5001,"&gt;="&amp;$C$7,BD!$A$3:$A$5001,"&lt;="&amp;$B125,BD!$K$3:$K$5001,"&lt;&gt;"))))</f>
        <v/>
      </c>
      <c r="I125" s="43" t="str">
        <f>IF(OR($B125="",$A125&gt;$B$9,I$114=""),"",IF(COUNTIFS(BD!$B$3:$B$5001,I$114,BD!$A$3:$A$5001,"&gt;="&amp;$C$7,BD!$A$3:$A$5001,"&lt;="&amp;$B125,BD!$K$3:$K$5001,"&lt;&gt;")=0,"",SUMIFS(BD!$K$3:$K$5001,BD!$B$3:$B$5001,I$114,BD!$A$3:$A$5001,_xlfn.MAXIFS(BD!$A$3:$A$5001,BD!$B$3:$B$5001,I$114,BD!$A$3:$A$5001,"&gt;="&amp;$C$7,BD!$A$3:$A$5001,"&lt;="&amp;$B125,BD!$K$3:$K$5001,"&lt;&gt;"))))</f>
        <v/>
      </c>
      <c r="J125" s="43" t="str">
        <f>IF(OR($B125="",$A125&gt;$B$9,J$114=""),"",IF(COUNTIFS(BD!$B$3:$B$5001,J$114,BD!$A$3:$A$5001,"&gt;="&amp;$C$7,BD!$A$3:$A$5001,"&lt;="&amp;$B125,BD!$K$3:$K$5001,"&lt;&gt;")=0,"",SUMIFS(BD!$K$3:$K$5001,BD!$B$3:$B$5001,J$114,BD!$A$3:$A$5001,_xlfn.MAXIFS(BD!$A$3:$A$5001,BD!$B$3:$B$5001,J$114,BD!$A$3:$A$5001,"&gt;="&amp;$C$7,BD!$A$3:$A$5001,"&lt;="&amp;$B125,BD!$K$3:$K$5001,"&lt;&gt;"))))</f>
        <v/>
      </c>
      <c r="K125" s="43" t="str">
        <f>IF(OR($B125="",$A125&gt;$B$9,K$114=""),"",IF(COUNTIFS(BD!$B$3:$B$5001,K$114,BD!$A$3:$A$5001,"&gt;="&amp;$C$7,BD!$A$3:$A$5001,"&lt;="&amp;$B125,BD!$K$3:$K$5001,"&lt;&gt;")=0,"",SUMIFS(BD!$K$3:$K$5001,BD!$B$3:$B$5001,K$114,BD!$A$3:$A$5001,_xlfn.MAXIFS(BD!$A$3:$A$5001,BD!$B$3:$B$5001,K$114,BD!$A$3:$A$5001,"&gt;="&amp;$C$7,BD!$A$3:$A$5001,"&lt;="&amp;$B125,BD!$K$3:$K$5001,"&lt;&gt;"))))</f>
        <v/>
      </c>
      <c r="L125" s="43" t="str">
        <f>IF(OR($B125="",$A125&gt;$B$9,L$114=""),"",IF(COUNTIFS(BD!$B$3:$B$5001,L$114,BD!$A$3:$A$5001,"&gt;="&amp;$C$7,BD!$A$3:$A$5001,"&lt;="&amp;$B125,BD!$K$3:$K$5001,"&lt;&gt;")=0,"",SUMIFS(BD!$K$3:$K$5001,BD!$B$3:$B$5001,L$114,BD!$A$3:$A$5001,_xlfn.MAXIFS(BD!$A$3:$A$5001,BD!$B$3:$B$5001,L$114,BD!$A$3:$A$5001,"&gt;="&amp;$C$7,BD!$A$3:$A$5001,"&lt;="&amp;$B125,BD!$K$3:$K$5001,"&lt;&gt;"))))</f>
        <v/>
      </c>
      <c r="M125" s="43" t="str">
        <f>IF(OR($B125="",$A125&gt;$B$9,M$114=""),"",IF(COUNTIFS(BD!$B$3:$B$5001,M$114,BD!$A$3:$A$5001,"&gt;="&amp;$C$7,BD!$A$3:$A$5001,"&lt;="&amp;$B125,BD!$K$3:$K$5001,"&lt;&gt;")=0,"",SUMIFS(BD!$K$3:$K$5001,BD!$B$3:$B$5001,M$114,BD!$A$3:$A$5001,_xlfn.MAXIFS(BD!$A$3:$A$5001,BD!$B$3:$B$5001,M$114,BD!$A$3:$A$5001,"&gt;="&amp;$C$7,BD!$A$3:$A$5001,"&lt;="&amp;$B125,BD!$K$3:$K$5001,"&lt;&gt;"))))</f>
        <v/>
      </c>
      <c r="N125" s="43" t="str">
        <f>IF(OR($B125="",$A125&gt;$B$9,N$114=""),"",IF(COUNTIFS(BD!$B$3:$B$5001,N$114,BD!$A$3:$A$5001,"&gt;="&amp;$C$7,BD!$A$3:$A$5001,"&lt;="&amp;$B125,BD!$K$3:$K$5001,"&lt;&gt;")=0,"",SUMIFS(BD!$K$3:$K$5001,BD!$B$3:$B$5001,N$114,BD!$A$3:$A$5001,_xlfn.MAXIFS(BD!$A$3:$A$5001,BD!$B$3:$B$5001,N$114,BD!$A$3:$A$5001,"&gt;="&amp;$C$7,BD!$A$3:$A$5001,"&lt;="&amp;$B125,BD!$K$3:$K$5001,"&lt;&gt;"))))</f>
        <v/>
      </c>
      <c r="O125" s="43" t="str">
        <f>IF(OR($B125="",$A125&gt;$B$9,O$114=""),"",IF(COUNTIFS(BD!$B$3:$B$5001,O$114,BD!$A$3:$A$5001,"&gt;="&amp;$C$7,BD!$A$3:$A$5001,"&lt;="&amp;$B125,BD!$K$3:$K$5001,"&lt;&gt;")=0,"",SUMIFS(BD!$K$3:$K$5001,BD!$B$3:$B$5001,O$114,BD!$A$3:$A$5001,_xlfn.MAXIFS(BD!$A$3:$A$5001,BD!$B$3:$B$5001,O$114,BD!$A$3:$A$5001,"&gt;="&amp;$C$7,BD!$A$3:$A$5001,"&lt;="&amp;$B125,BD!$K$3:$K$5001,"&lt;&gt;"))))</f>
        <v/>
      </c>
      <c r="P125" s="43" t="str">
        <f>IF(OR($B125="",$A125&gt;$B$9,P$114=""),"",IF(COUNTIFS(BD!$B$3:$B$5001,P$114,BD!$A$3:$A$5001,"&gt;="&amp;$C$7,BD!$A$3:$A$5001,"&lt;="&amp;$B125,BD!$K$3:$K$5001,"&lt;&gt;")=0,"",SUMIFS(BD!$K$3:$K$5001,BD!$B$3:$B$5001,P$114,BD!$A$3:$A$5001,_xlfn.MAXIFS(BD!$A$3:$A$5001,BD!$B$3:$B$5001,P$114,BD!$A$3:$A$5001,"&gt;="&amp;$C$7,BD!$A$3:$A$5001,"&lt;="&amp;$B125,BD!$K$3:$K$5001,"&lt;&gt;"))))</f>
        <v/>
      </c>
      <c r="Q125" s="43" t="str">
        <f>IF(OR($B125="",$A125&gt;$B$9,Q$114=""),"",IF(COUNTIFS(BD!$B$3:$B$5001,Q$114,BD!$A$3:$A$5001,"&gt;="&amp;$C$7,BD!$A$3:$A$5001,"&lt;="&amp;$B125,BD!$K$3:$K$5001,"&lt;&gt;")=0,"",SUMIFS(BD!$K$3:$K$5001,BD!$B$3:$B$5001,Q$114,BD!$A$3:$A$5001,_xlfn.MAXIFS(BD!$A$3:$A$5001,BD!$B$3:$B$5001,Q$114,BD!$A$3:$A$5001,"&gt;="&amp;$C$7,BD!$A$3:$A$5001,"&lt;="&amp;$B125,BD!$K$3:$K$5001,"&lt;&gt;"))))</f>
        <v/>
      </c>
      <c r="R125" s="43" t="str">
        <f>IF(OR($B125="",$A125&gt;$B$9,R$114=""),"",IF(COUNTIFS(BD!$B$3:$B$5001,R$114,BD!$A$3:$A$5001,"&gt;="&amp;$C$7,BD!$A$3:$A$5001,"&lt;="&amp;$B125,BD!$K$3:$K$5001,"&lt;&gt;")=0,"",SUMIFS(BD!$K$3:$K$5001,BD!$B$3:$B$5001,R$114,BD!$A$3:$A$5001,_xlfn.MAXIFS(BD!$A$3:$A$5001,BD!$B$3:$B$5001,R$114,BD!$A$3:$A$5001,"&gt;="&amp;$C$7,BD!$A$3:$A$5001,"&lt;="&amp;$B125,BD!$K$3:$K$5001,"&lt;&gt;"))))</f>
        <v/>
      </c>
      <c r="S125" s="43" t="str">
        <f>IF(OR($B125="",$A125&gt;$B$9,S$114=""),"",IF(COUNTIFS(BD!$B$3:$B$5001,S$114,BD!$A$3:$A$5001,"&gt;="&amp;$C$7,BD!$A$3:$A$5001,"&lt;="&amp;$B125,BD!$K$3:$K$5001,"&lt;&gt;")=0,"",SUMIFS(BD!$K$3:$K$5001,BD!$B$3:$B$5001,S$114,BD!$A$3:$A$5001,_xlfn.MAXIFS(BD!$A$3:$A$5001,BD!$B$3:$B$5001,S$114,BD!$A$3:$A$5001,"&gt;="&amp;$C$7,BD!$A$3:$A$5001,"&lt;="&amp;$B125,BD!$K$3:$K$5001,"&lt;&gt;"))))</f>
        <v/>
      </c>
      <c r="T125" s="43" t="str">
        <f>IF(OR($B125="",$A125&gt;$B$9,T$114=""),"",IF(COUNTIFS(BD!$B$3:$B$5001,T$114,BD!$A$3:$A$5001,"&gt;="&amp;$C$7,BD!$A$3:$A$5001,"&lt;="&amp;$B125,BD!$K$3:$K$5001,"&lt;&gt;")=0,"",SUMIFS(BD!$K$3:$K$5001,BD!$B$3:$B$5001,T$114,BD!$A$3:$A$5001,_xlfn.MAXIFS(BD!$A$3:$A$5001,BD!$B$3:$B$5001,T$114,BD!$A$3:$A$5001,"&gt;="&amp;$C$7,BD!$A$3:$A$5001,"&lt;="&amp;$B125,BD!$K$3:$K$5001,"&lt;&gt;"))))</f>
        <v/>
      </c>
      <c r="U125" s="43" t="str">
        <f>IF(OR($B125="",$A125&gt;$B$9,U$114=""),"",IF(COUNTIFS(BD!$B$3:$B$5001,U$114,BD!$A$3:$A$5001,"&gt;="&amp;$C$7,BD!$A$3:$A$5001,"&lt;="&amp;$B125,BD!$K$3:$K$5001,"&lt;&gt;")=0,"",SUMIFS(BD!$K$3:$K$5001,BD!$B$3:$B$5001,U$114,BD!$A$3:$A$5001,_xlfn.MAXIFS(BD!$A$3:$A$5001,BD!$B$3:$B$5001,U$114,BD!$A$3:$A$5001,"&gt;="&amp;$C$7,BD!$A$3:$A$5001,"&lt;="&amp;$B125,BD!$K$3:$K$5001,"&lt;&gt;"))))</f>
        <v/>
      </c>
      <c r="V125" s="43" t="str">
        <f>IF(OR($B125="",$A125&gt;$B$9,V$114=""),"",IF(COUNTIFS(BD!$B$3:$B$5001,V$114,BD!$A$3:$A$5001,"&gt;="&amp;$C$7,BD!$A$3:$A$5001,"&lt;="&amp;$B125,BD!$K$3:$K$5001,"&lt;&gt;")=0,"",SUMIFS(BD!$K$3:$K$5001,BD!$B$3:$B$5001,V$114,BD!$A$3:$A$5001,_xlfn.MAXIFS(BD!$A$3:$A$5001,BD!$B$3:$B$5001,V$114,BD!$A$3:$A$5001,"&gt;="&amp;$C$7,BD!$A$3:$A$5001,"&lt;="&amp;$B125,BD!$K$3:$K$5001,"&lt;&gt;"))))</f>
        <v/>
      </c>
    </row>
    <row r="126">
      <c r="A126" s="38">
        <v>12</v>
      </c>
      <c r="B126" s="42">
        <f>$B$23</f>
        <v>46307</v>
      </c>
      <c r="C126" s="43" t="str">
        <f>IF(OR($B126="",$A126&gt;$B$9,C$114=""),"",IF(COUNTIFS(BD!$B$3:$B$5001,C$114,BD!$A$3:$A$5001,"&gt;="&amp;$C$7,BD!$A$3:$A$5001,"&lt;="&amp;$B126,BD!$K$3:$K$5001,"&lt;&gt;")=0,"",SUMIFS(BD!$K$3:$K$5001,BD!$B$3:$B$5001,C$114,BD!$A$3:$A$5001,_xlfn.MAXIFS(BD!$A$3:$A$5001,BD!$B$3:$B$5001,C$114,BD!$A$3:$A$5001,"&gt;="&amp;$C$7,BD!$A$3:$A$5001,"&lt;="&amp;$B126,BD!$K$3:$K$5001,"&lt;&gt;"))))</f>
        <v/>
      </c>
      <c r="D126" s="43" t="str">
        <f>IF(OR($B126="",$A126&gt;$B$9,D$114=""),"",IF(COUNTIFS(BD!$B$3:$B$5001,D$114,BD!$A$3:$A$5001,"&gt;="&amp;$C$7,BD!$A$3:$A$5001,"&lt;="&amp;$B126,BD!$K$3:$K$5001,"&lt;&gt;")=0,"",SUMIFS(BD!$K$3:$K$5001,BD!$B$3:$B$5001,D$114,BD!$A$3:$A$5001,_xlfn.MAXIFS(BD!$A$3:$A$5001,BD!$B$3:$B$5001,D$114,BD!$A$3:$A$5001,"&gt;="&amp;$C$7,BD!$A$3:$A$5001,"&lt;="&amp;$B126,BD!$K$3:$K$5001,"&lt;&gt;"))))</f>
        <v/>
      </c>
      <c r="E126" s="43" t="str">
        <f>IF(OR($B126="",$A126&gt;$B$9,E$114=""),"",IF(COUNTIFS(BD!$B$3:$B$5001,E$114,BD!$A$3:$A$5001,"&gt;="&amp;$C$7,BD!$A$3:$A$5001,"&lt;="&amp;$B126,BD!$K$3:$K$5001,"&lt;&gt;")=0,"",SUMIFS(BD!$K$3:$K$5001,BD!$B$3:$B$5001,E$114,BD!$A$3:$A$5001,_xlfn.MAXIFS(BD!$A$3:$A$5001,BD!$B$3:$B$5001,E$114,BD!$A$3:$A$5001,"&gt;="&amp;$C$7,BD!$A$3:$A$5001,"&lt;="&amp;$B126,BD!$K$3:$K$5001,"&lt;&gt;"))))</f>
        <v/>
      </c>
      <c r="F126" s="43" t="str">
        <f>IF(OR($B126="",$A126&gt;$B$9,F$114=""),"",IF(COUNTIFS(BD!$B$3:$B$5001,F$114,BD!$A$3:$A$5001,"&gt;="&amp;$C$7,BD!$A$3:$A$5001,"&lt;="&amp;$B126,BD!$K$3:$K$5001,"&lt;&gt;")=0,"",SUMIFS(BD!$K$3:$K$5001,BD!$B$3:$B$5001,F$114,BD!$A$3:$A$5001,_xlfn.MAXIFS(BD!$A$3:$A$5001,BD!$B$3:$B$5001,F$114,BD!$A$3:$A$5001,"&gt;="&amp;$C$7,BD!$A$3:$A$5001,"&lt;="&amp;$B126,BD!$K$3:$K$5001,"&lt;&gt;"))))</f>
        <v/>
      </c>
      <c r="G126" s="43" t="str">
        <f>IF(OR($B126="",$A126&gt;$B$9,G$114=""),"",IF(COUNTIFS(BD!$B$3:$B$5001,G$114,BD!$A$3:$A$5001,"&gt;="&amp;$C$7,BD!$A$3:$A$5001,"&lt;="&amp;$B126,BD!$K$3:$K$5001,"&lt;&gt;")=0,"",SUMIFS(BD!$K$3:$K$5001,BD!$B$3:$B$5001,G$114,BD!$A$3:$A$5001,_xlfn.MAXIFS(BD!$A$3:$A$5001,BD!$B$3:$B$5001,G$114,BD!$A$3:$A$5001,"&gt;="&amp;$C$7,BD!$A$3:$A$5001,"&lt;="&amp;$B126,BD!$K$3:$K$5001,"&lt;&gt;"))))</f>
        <v/>
      </c>
      <c r="H126" s="43" t="str">
        <f>IF(OR($B126="",$A126&gt;$B$9,H$114=""),"",IF(COUNTIFS(BD!$B$3:$B$5001,H$114,BD!$A$3:$A$5001,"&gt;="&amp;$C$7,BD!$A$3:$A$5001,"&lt;="&amp;$B126,BD!$K$3:$K$5001,"&lt;&gt;")=0,"",SUMIFS(BD!$K$3:$K$5001,BD!$B$3:$B$5001,H$114,BD!$A$3:$A$5001,_xlfn.MAXIFS(BD!$A$3:$A$5001,BD!$B$3:$B$5001,H$114,BD!$A$3:$A$5001,"&gt;="&amp;$C$7,BD!$A$3:$A$5001,"&lt;="&amp;$B126,BD!$K$3:$K$5001,"&lt;&gt;"))))</f>
        <v/>
      </c>
      <c r="I126" s="43" t="str">
        <f>IF(OR($B126="",$A126&gt;$B$9,I$114=""),"",IF(COUNTIFS(BD!$B$3:$B$5001,I$114,BD!$A$3:$A$5001,"&gt;="&amp;$C$7,BD!$A$3:$A$5001,"&lt;="&amp;$B126,BD!$K$3:$K$5001,"&lt;&gt;")=0,"",SUMIFS(BD!$K$3:$K$5001,BD!$B$3:$B$5001,I$114,BD!$A$3:$A$5001,_xlfn.MAXIFS(BD!$A$3:$A$5001,BD!$B$3:$B$5001,I$114,BD!$A$3:$A$5001,"&gt;="&amp;$C$7,BD!$A$3:$A$5001,"&lt;="&amp;$B126,BD!$K$3:$K$5001,"&lt;&gt;"))))</f>
        <v/>
      </c>
      <c r="J126" s="43" t="str">
        <f>IF(OR($B126="",$A126&gt;$B$9,J$114=""),"",IF(COUNTIFS(BD!$B$3:$B$5001,J$114,BD!$A$3:$A$5001,"&gt;="&amp;$C$7,BD!$A$3:$A$5001,"&lt;="&amp;$B126,BD!$K$3:$K$5001,"&lt;&gt;")=0,"",SUMIFS(BD!$K$3:$K$5001,BD!$B$3:$B$5001,J$114,BD!$A$3:$A$5001,_xlfn.MAXIFS(BD!$A$3:$A$5001,BD!$B$3:$B$5001,J$114,BD!$A$3:$A$5001,"&gt;="&amp;$C$7,BD!$A$3:$A$5001,"&lt;="&amp;$B126,BD!$K$3:$K$5001,"&lt;&gt;"))))</f>
        <v/>
      </c>
      <c r="K126" s="43" t="str">
        <f>IF(OR($B126="",$A126&gt;$B$9,K$114=""),"",IF(COUNTIFS(BD!$B$3:$B$5001,K$114,BD!$A$3:$A$5001,"&gt;="&amp;$C$7,BD!$A$3:$A$5001,"&lt;="&amp;$B126,BD!$K$3:$K$5001,"&lt;&gt;")=0,"",SUMIFS(BD!$K$3:$K$5001,BD!$B$3:$B$5001,K$114,BD!$A$3:$A$5001,_xlfn.MAXIFS(BD!$A$3:$A$5001,BD!$B$3:$B$5001,K$114,BD!$A$3:$A$5001,"&gt;="&amp;$C$7,BD!$A$3:$A$5001,"&lt;="&amp;$B126,BD!$K$3:$K$5001,"&lt;&gt;"))))</f>
        <v/>
      </c>
      <c r="L126" s="43" t="str">
        <f>IF(OR($B126="",$A126&gt;$B$9,L$114=""),"",IF(COUNTIFS(BD!$B$3:$B$5001,L$114,BD!$A$3:$A$5001,"&gt;="&amp;$C$7,BD!$A$3:$A$5001,"&lt;="&amp;$B126,BD!$K$3:$K$5001,"&lt;&gt;")=0,"",SUMIFS(BD!$K$3:$K$5001,BD!$B$3:$B$5001,L$114,BD!$A$3:$A$5001,_xlfn.MAXIFS(BD!$A$3:$A$5001,BD!$B$3:$B$5001,L$114,BD!$A$3:$A$5001,"&gt;="&amp;$C$7,BD!$A$3:$A$5001,"&lt;="&amp;$B126,BD!$K$3:$K$5001,"&lt;&gt;"))))</f>
        <v/>
      </c>
      <c r="M126" s="43" t="str">
        <f>IF(OR($B126="",$A126&gt;$B$9,M$114=""),"",IF(COUNTIFS(BD!$B$3:$B$5001,M$114,BD!$A$3:$A$5001,"&gt;="&amp;$C$7,BD!$A$3:$A$5001,"&lt;="&amp;$B126,BD!$K$3:$K$5001,"&lt;&gt;")=0,"",SUMIFS(BD!$K$3:$K$5001,BD!$B$3:$B$5001,M$114,BD!$A$3:$A$5001,_xlfn.MAXIFS(BD!$A$3:$A$5001,BD!$B$3:$B$5001,M$114,BD!$A$3:$A$5001,"&gt;="&amp;$C$7,BD!$A$3:$A$5001,"&lt;="&amp;$B126,BD!$K$3:$K$5001,"&lt;&gt;"))))</f>
        <v/>
      </c>
      <c r="N126" s="43" t="str">
        <f>IF(OR($B126="",$A126&gt;$B$9,N$114=""),"",IF(COUNTIFS(BD!$B$3:$B$5001,N$114,BD!$A$3:$A$5001,"&gt;="&amp;$C$7,BD!$A$3:$A$5001,"&lt;="&amp;$B126,BD!$K$3:$K$5001,"&lt;&gt;")=0,"",SUMIFS(BD!$K$3:$K$5001,BD!$B$3:$B$5001,N$114,BD!$A$3:$A$5001,_xlfn.MAXIFS(BD!$A$3:$A$5001,BD!$B$3:$B$5001,N$114,BD!$A$3:$A$5001,"&gt;="&amp;$C$7,BD!$A$3:$A$5001,"&lt;="&amp;$B126,BD!$K$3:$K$5001,"&lt;&gt;"))))</f>
        <v/>
      </c>
      <c r="O126" s="43" t="str">
        <f>IF(OR($B126="",$A126&gt;$B$9,O$114=""),"",IF(COUNTIFS(BD!$B$3:$B$5001,O$114,BD!$A$3:$A$5001,"&gt;="&amp;$C$7,BD!$A$3:$A$5001,"&lt;="&amp;$B126,BD!$K$3:$K$5001,"&lt;&gt;")=0,"",SUMIFS(BD!$K$3:$K$5001,BD!$B$3:$B$5001,O$114,BD!$A$3:$A$5001,_xlfn.MAXIFS(BD!$A$3:$A$5001,BD!$B$3:$B$5001,O$114,BD!$A$3:$A$5001,"&gt;="&amp;$C$7,BD!$A$3:$A$5001,"&lt;="&amp;$B126,BD!$K$3:$K$5001,"&lt;&gt;"))))</f>
        <v/>
      </c>
      <c r="P126" s="43" t="str">
        <f>IF(OR($B126="",$A126&gt;$B$9,P$114=""),"",IF(COUNTIFS(BD!$B$3:$B$5001,P$114,BD!$A$3:$A$5001,"&gt;="&amp;$C$7,BD!$A$3:$A$5001,"&lt;="&amp;$B126,BD!$K$3:$K$5001,"&lt;&gt;")=0,"",SUMIFS(BD!$K$3:$K$5001,BD!$B$3:$B$5001,P$114,BD!$A$3:$A$5001,_xlfn.MAXIFS(BD!$A$3:$A$5001,BD!$B$3:$B$5001,P$114,BD!$A$3:$A$5001,"&gt;="&amp;$C$7,BD!$A$3:$A$5001,"&lt;="&amp;$B126,BD!$K$3:$K$5001,"&lt;&gt;"))))</f>
        <v/>
      </c>
      <c r="Q126" s="43" t="str">
        <f>IF(OR($B126="",$A126&gt;$B$9,Q$114=""),"",IF(COUNTIFS(BD!$B$3:$B$5001,Q$114,BD!$A$3:$A$5001,"&gt;="&amp;$C$7,BD!$A$3:$A$5001,"&lt;="&amp;$B126,BD!$K$3:$K$5001,"&lt;&gt;")=0,"",SUMIFS(BD!$K$3:$K$5001,BD!$B$3:$B$5001,Q$114,BD!$A$3:$A$5001,_xlfn.MAXIFS(BD!$A$3:$A$5001,BD!$B$3:$B$5001,Q$114,BD!$A$3:$A$5001,"&gt;="&amp;$C$7,BD!$A$3:$A$5001,"&lt;="&amp;$B126,BD!$K$3:$K$5001,"&lt;&gt;"))))</f>
        <v/>
      </c>
      <c r="R126" s="43" t="str">
        <f>IF(OR($B126="",$A126&gt;$B$9,R$114=""),"",IF(COUNTIFS(BD!$B$3:$B$5001,R$114,BD!$A$3:$A$5001,"&gt;="&amp;$C$7,BD!$A$3:$A$5001,"&lt;="&amp;$B126,BD!$K$3:$K$5001,"&lt;&gt;")=0,"",SUMIFS(BD!$K$3:$K$5001,BD!$B$3:$B$5001,R$114,BD!$A$3:$A$5001,_xlfn.MAXIFS(BD!$A$3:$A$5001,BD!$B$3:$B$5001,R$114,BD!$A$3:$A$5001,"&gt;="&amp;$C$7,BD!$A$3:$A$5001,"&lt;="&amp;$B126,BD!$K$3:$K$5001,"&lt;&gt;"))))</f>
        <v/>
      </c>
      <c r="S126" s="43" t="str">
        <f>IF(OR($B126="",$A126&gt;$B$9,S$114=""),"",IF(COUNTIFS(BD!$B$3:$B$5001,S$114,BD!$A$3:$A$5001,"&gt;="&amp;$C$7,BD!$A$3:$A$5001,"&lt;="&amp;$B126,BD!$K$3:$K$5001,"&lt;&gt;")=0,"",SUMIFS(BD!$K$3:$K$5001,BD!$B$3:$B$5001,S$114,BD!$A$3:$A$5001,_xlfn.MAXIFS(BD!$A$3:$A$5001,BD!$B$3:$B$5001,S$114,BD!$A$3:$A$5001,"&gt;="&amp;$C$7,BD!$A$3:$A$5001,"&lt;="&amp;$B126,BD!$K$3:$K$5001,"&lt;&gt;"))))</f>
        <v/>
      </c>
      <c r="T126" s="43" t="str">
        <f>IF(OR($B126="",$A126&gt;$B$9,T$114=""),"",IF(COUNTIFS(BD!$B$3:$B$5001,T$114,BD!$A$3:$A$5001,"&gt;="&amp;$C$7,BD!$A$3:$A$5001,"&lt;="&amp;$B126,BD!$K$3:$K$5001,"&lt;&gt;")=0,"",SUMIFS(BD!$K$3:$K$5001,BD!$B$3:$B$5001,T$114,BD!$A$3:$A$5001,_xlfn.MAXIFS(BD!$A$3:$A$5001,BD!$B$3:$B$5001,T$114,BD!$A$3:$A$5001,"&gt;="&amp;$C$7,BD!$A$3:$A$5001,"&lt;="&amp;$B126,BD!$K$3:$K$5001,"&lt;&gt;"))))</f>
        <v/>
      </c>
      <c r="U126" s="43" t="str">
        <f>IF(OR($B126="",$A126&gt;$B$9,U$114=""),"",IF(COUNTIFS(BD!$B$3:$B$5001,U$114,BD!$A$3:$A$5001,"&gt;="&amp;$C$7,BD!$A$3:$A$5001,"&lt;="&amp;$B126,BD!$K$3:$K$5001,"&lt;&gt;")=0,"",SUMIFS(BD!$K$3:$K$5001,BD!$B$3:$B$5001,U$114,BD!$A$3:$A$5001,_xlfn.MAXIFS(BD!$A$3:$A$5001,BD!$B$3:$B$5001,U$114,BD!$A$3:$A$5001,"&gt;="&amp;$C$7,BD!$A$3:$A$5001,"&lt;="&amp;$B126,BD!$K$3:$K$5001,"&lt;&gt;"))))</f>
        <v/>
      </c>
      <c r="V126" s="43" t="str">
        <f>IF(OR($B126="",$A126&gt;$B$9,V$114=""),"",IF(COUNTIFS(BD!$B$3:$B$5001,V$114,BD!$A$3:$A$5001,"&gt;="&amp;$C$7,BD!$A$3:$A$5001,"&lt;="&amp;$B126,BD!$K$3:$K$5001,"&lt;&gt;")=0,"",SUMIFS(BD!$K$3:$K$5001,BD!$B$3:$B$5001,V$114,BD!$A$3:$A$5001,_xlfn.MAXIFS(BD!$A$3:$A$5001,BD!$B$3:$B$5001,V$114,BD!$A$3:$A$5001,"&gt;="&amp;$C$7,BD!$A$3:$A$5001,"&lt;="&amp;$B126,BD!$K$3:$K$5001,"&lt;&gt;"))))</f>
        <v/>
      </c>
    </row>
    <row r="127">
      <c r="A127" s="38">
        <v>13</v>
      </c>
      <c r="B127" s="42">
        <f>$B$24</f>
        <v>46308</v>
      </c>
      <c r="C127" s="43" t="str">
        <f>IF(OR($B127="",$A127&gt;$B$9,C$114=""),"",IF(COUNTIFS(BD!$B$3:$B$5001,C$114,BD!$A$3:$A$5001,"&gt;="&amp;$C$7,BD!$A$3:$A$5001,"&lt;="&amp;$B127,BD!$K$3:$K$5001,"&lt;&gt;")=0,"",SUMIFS(BD!$K$3:$K$5001,BD!$B$3:$B$5001,C$114,BD!$A$3:$A$5001,_xlfn.MAXIFS(BD!$A$3:$A$5001,BD!$B$3:$B$5001,C$114,BD!$A$3:$A$5001,"&gt;="&amp;$C$7,BD!$A$3:$A$5001,"&lt;="&amp;$B127,BD!$K$3:$K$5001,"&lt;&gt;"))))</f>
        <v/>
      </c>
      <c r="D127" s="43" t="str">
        <f>IF(OR($B127="",$A127&gt;$B$9,D$114=""),"",IF(COUNTIFS(BD!$B$3:$B$5001,D$114,BD!$A$3:$A$5001,"&gt;="&amp;$C$7,BD!$A$3:$A$5001,"&lt;="&amp;$B127,BD!$K$3:$K$5001,"&lt;&gt;")=0,"",SUMIFS(BD!$K$3:$K$5001,BD!$B$3:$B$5001,D$114,BD!$A$3:$A$5001,_xlfn.MAXIFS(BD!$A$3:$A$5001,BD!$B$3:$B$5001,D$114,BD!$A$3:$A$5001,"&gt;="&amp;$C$7,BD!$A$3:$A$5001,"&lt;="&amp;$B127,BD!$K$3:$K$5001,"&lt;&gt;"))))</f>
        <v/>
      </c>
      <c r="E127" s="43" t="str">
        <f>IF(OR($B127="",$A127&gt;$B$9,E$114=""),"",IF(COUNTIFS(BD!$B$3:$B$5001,E$114,BD!$A$3:$A$5001,"&gt;="&amp;$C$7,BD!$A$3:$A$5001,"&lt;="&amp;$B127,BD!$K$3:$K$5001,"&lt;&gt;")=0,"",SUMIFS(BD!$K$3:$K$5001,BD!$B$3:$B$5001,E$114,BD!$A$3:$A$5001,_xlfn.MAXIFS(BD!$A$3:$A$5001,BD!$B$3:$B$5001,E$114,BD!$A$3:$A$5001,"&gt;="&amp;$C$7,BD!$A$3:$A$5001,"&lt;="&amp;$B127,BD!$K$3:$K$5001,"&lt;&gt;"))))</f>
        <v/>
      </c>
      <c r="F127" s="43" t="str">
        <f>IF(OR($B127="",$A127&gt;$B$9,F$114=""),"",IF(COUNTIFS(BD!$B$3:$B$5001,F$114,BD!$A$3:$A$5001,"&gt;="&amp;$C$7,BD!$A$3:$A$5001,"&lt;="&amp;$B127,BD!$K$3:$K$5001,"&lt;&gt;")=0,"",SUMIFS(BD!$K$3:$K$5001,BD!$B$3:$B$5001,F$114,BD!$A$3:$A$5001,_xlfn.MAXIFS(BD!$A$3:$A$5001,BD!$B$3:$B$5001,F$114,BD!$A$3:$A$5001,"&gt;="&amp;$C$7,BD!$A$3:$A$5001,"&lt;="&amp;$B127,BD!$K$3:$K$5001,"&lt;&gt;"))))</f>
        <v/>
      </c>
      <c r="G127" s="43" t="str">
        <f>IF(OR($B127="",$A127&gt;$B$9,G$114=""),"",IF(COUNTIFS(BD!$B$3:$B$5001,G$114,BD!$A$3:$A$5001,"&gt;="&amp;$C$7,BD!$A$3:$A$5001,"&lt;="&amp;$B127,BD!$K$3:$K$5001,"&lt;&gt;")=0,"",SUMIFS(BD!$K$3:$K$5001,BD!$B$3:$B$5001,G$114,BD!$A$3:$A$5001,_xlfn.MAXIFS(BD!$A$3:$A$5001,BD!$B$3:$B$5001,G$114,BD!$A$3:$A$5001,"&gt;="&amp;$C$7,BD!$A$3:$A$5001,"&lt;="&amp;$B127,BD!$K$3:$K$5001,"&lt;&gt;"))))</f>
        <v/>
      </c>
      <c r="H127" s="43" t="str">
        <f>IF(OR($B127="",$A127&gt;$B$9,H$114=""),"",IF(COUNTIFS(BD!$B$3:$B$5001,H$114,BD!$A$3:$A$5001,"&gt;="&amp;$C$7,BD!$A$3:$A$5001,"&lt;="&amp;$B127,BD!$K$3:$K$5001,"&lt;&gt;")=0,"",SUMIFS(BD!$K$3:$K$5001,BD!$B$3:$B$5001,H$114,BD!$A$3:$A$5001,_xlfn.MAXIFS(BD!$A$3:$A$5001,BD!$B$3:$B$5001,H$114,BD!$A$3:$A$5001,"&gt;="&amp;$C$7,BD!$A$3:$A$5001,"&lt;="&amp;$B127,BD!$K$3:$K$5001,"&lt;&gt;"))))</f>
        <v/>
      </c>
      <c r="I127" s="43" t="str">
        <f>IF(OR($B127="",$A127&gt;$B$9,I$114=""),"",IF(COUNTIFS(BD!$B$3:$B$5001,I$114,BD!$A$3:$A$5001,"&gt;="&amp;$C$7,BD!$A$3:$A$5001,"&lt;="&amp;$B127,BD!$K$3:$K$5001,"&lt;&gt;")=0,"",SUMIFS(BD!$K$3:$K$5001,BD!$B$3:$B$5001,I$114,BD!$A$3:$A$5001,_xlfn.MAXIFS(BD!$A$3:$A$5001,BD!$B$3:$B$5001,I$114,BD!$A$3:$A$5001,"&gt;="&amp;$C$7,BD!$A$3:$A$5001,"&lt;="&amp;$B127,BD!$K$3:$K$5001,"&lt;&gt;"))))</f>
        <v/>
      </c>
      <c r="J127" s="43" t="str">
        <f>IF(OR($B127="",$A127&gt;$B$9,J$114=""),"",IF(COUNTIFS(BD!$B$3:$B$5001,J$114,BD!$A$3:$A$5001,"&gt;="&amp;$C$7,BD!$A$3:$A$5001,"&lt;="&amp;$B127,BD!$K$3:$K$5001,"&lt;&gt;")=0,"",SUMIFS(BD!$K$3:$K$5001,BD!$B$3:$B$5001,J$114,BD!$A$3:$A$5001,_xlfn.MAXIFS(BD!$A$3:$A$5001,BD!$B$3:$B$5001,J$114,BD!$A$3:$A$5001,"&gt;="&amp;$C$7,BD!$A$3:$A$5001,"&lt;="&amp;$B127,BD!$K$3:$K$5001,"&lt;&gt;"))))</f>
        <v/>
      </c>
      <c r="K127" s="43" t="str">
        <f>IF(OR($B127="",$A127&gt;$B$9,K$114=""),"",IF(COUNTIFS(BD!$B$3:$B$5001,K$114,BD!$A$3:$A$5001,"&gt;="&amp;$C$7,BD!$A$3:$A$5001,"&lt;="&amp;$B127,BD!$K$3:$K$5001,"&lt;&gt;")=0,"",SUMIFS(BD!$K$3:$K$5001,BD!$B$3:$B$5001,K$114,BD!$A$3:$A$5001,_xlfn.MAXIFS(BD!$A$3:$A$5001,BD!$B$3:$B$5001,K$114,BD!$A$3:$A$5001,"&gt;="&amp;$C$7,BD!$A$3:$A$5001,"&lt;="&amp;$B127,BD!$K$3:$K$5001,"&lt;&gt;"))))</f>
        <v/>
      </c>
      <c r="L127" s="43" t="str">
        <f>IF(OR($B127="",$A127&gt;$B$9,L$114=""),"",IF(COUNTIFS(BD!$B$3:$B$5001,L$114,BD!$A$3:$A$5001,"&gt;="&amp;$C$7,BD!$A$3:$A$5001,"&lt;="&amp;$B127,BD!$K$3:$K$5001,"&lt;&gt;")=0,"",SUMIFS(BD!$K$3:$K$5001,BD!$B$3:$B$5001,L$114,BD!$A$3:$A$5001,_xlfn.MAXIFS(BD!$A$3:$A$5001,BD!$B$3:$B$5001,L$114,BD!$A$3:$A$5001,"&gt;="&amp;$C$7,BD!$A$3:$A$5001,"&lt;="&amp;$B127,BD!$K$3:$K$5001,"&lt;&gt;"))))</f>
        <v/>
      </c>
      <c r="M127" s="43" t="str">
        <f>IF(OR($B127="",$A127&gt;$B$9,M$114=""),"",IF(COUNTIFS(BD!$B$3:$B$5001,M$114,BD!$A$3:$A$5001,"&gt;="&amp;$C$7,BD!$A$3:$A$5001,"&lt;="&amp;$B127,BD!$K$3:$K$5001,"&lt;&gt;")=0,"",SUMIFS(BD!$K$3:$K$5001,BD!$B$3:$B$5001,M$114,BD!$A$3:$A$5001,_xlfn.MAXIFS(BD!$A$3:$A$5001,BD!$B$3:$B$5001,M$114,BD!$A$3:$A$5001,"&gt;="&amp;$C$7,BD!$A$3:$A$5001,"&lt;="&amp;$B127,BD!$K$3:$K$5001,"&lt;&gt;"))))</f>
        <v/>
      </c>
      <c r="N127" s="43" t="str">
        <f>IF(OR($B127="",$A127&gt;$B$9,N$114=""),"",IF(COUNTIFS(BD!$B$3:$B$5001,N$114,BD!$A$3:$A$5001,"&gt;="&amp;$C$7,BD!$A$3:$A$5001,"&lt;="&amp;$B127,BD!$K$3:$K$5001,"&lt;&gt;")=0,"",SUMIFS(BD!$K$3:$K$5001,BD!$B$3:$B$5001,N$114,BD!$A$3:$A$5001,_xlfn.MAXIFS(BD!$A$3:$A$5001,BD!$B$3:$B$5001,N$114,BD!$A$3:$A$5001,"&gt;="&amp;$C$7,BD!$A$3:$A$5001,"&lt;="&amp;$B127,BD!$K$3:$K$5001,"&lt;&gt;"))))</f>
        <v/>
      </c>
      <c r="O127" s="43" t="str">
        <f>IF(OR($B127="",$A127&gt;$B$9,O$114=""),"",IF(COUNTIFS(BD!$B$3:$B$5001,O$114,BD!$A$3:$A$5001,"&gt;="&amp;$C$7,BD!$A$3:$A$5001,"&lt;="&amp;$B127,BD!$K$3:$K$5001,"&lt;&gt;")=0,"",SUMIFS(BD!$K$3:$K$5001,BD!$B$3:$B$5001,O$114,BD!$A$3:$A$5001,_xlfn.MAXIFS(BD!$A$3:$A$5001,BD!$B$3:$B$5001,O$114,BD!$A$3:$A$5001,"&gt;="&amp;$C$7,BD!$A$3:$A$5001,"&lt;="&amp;$B127,BD!$K$3:$K$5001,"&lt;&gt;"))))</f>
        <v/>
      </c>
      <c r="P127" s="43" t="str">
        <f>IF(OR($B127="",$A127&gt;$B$9,P$114=""),"",IF(COUNTIFS(BD!$B$3:$B$5001,P$114,BD!$A$3:$A$5001,"&gt;="&amp;$C$7,BD!$A$3:$A$5001,"&lt;="&amp;$B127,BD!$K$3:$K$5001,"&lt;&gt;")=0,"",SUMIFS(BD!$K$3:$K$5001,BD!$B$3:$B$5001,P$114,BD!$A$3:$A$5001,_xlfn.MAXIFS(BD!$A$3:$A$5001,BD!$B$3:$B$5001,P$114,BD!$A$3:$A$5001,"&gt;="&amp;$C$7,BD!$A$3:$A$5001,"&lt;="&amp;$B127,BD!$K$3:$K$5001,"&lt;&gt;"))))</f>
        <v/>
      </c>
      <c r="Q127" s="43" t="str">
        <f>IF(OR($B127="",$A127&gt;$B$9,Q$114=""),"",IF(COUNTIFS(BD!$B$3:$B$5001,Q$114,BD!$A$3:$A$5001,"&gt;="&amp;$C$7,BD!$A$3:$A$5001,"&lt;="&amp;$B127,BD!$K$3:$K$5001,"&lt;&gt;")=0,"",SUMIFS(BD!$K$3:$K$5001,BD!$B$3:$B$5001,Q$114,BD!$A$3:$A$5001,_xlfn.MAXIFS(BD!$A$3:$A$5001,BD!$B$3:$B$5001,Q$114,BD!$A$3:$A$5001,"&gt;="&amp;$C$7,BD!$A$3:$A$5001,"&lt;="&amp;$B127,BD!$K$3:$K$5001,"&lt;&gt;"))))</f>
        <v/>
      </c>
      <c r="R127" s="43" t="str">
        <f>IF(OR($B127="",$A127&gt;$B$9,R$114=""),"",IF(COUNTIFS(BD!$B$3:$B$5001,R$114,BD!$A$3:$A$5001,"&gt;="&amp;$C$7,BD!$A$3:$A$5001,"&lt;="&amp;$B127,BD!$K$3:$K$5001,"&lt;&gt;")=0,"",SUMIFS(BD!$K$3:$K$5001,BD!$B$3:$B$5001,R$114,BD!$A$3:$A$5001,_xlfn.MAXIFS(BD!$A$3:$A$5001,BD!$B$3:$B$5001,R$114,BD!$A$3:$A$5001,"&gt;="&amp;$C$7,BD!$A$3:$A$5001,"&lt;="&amp;$B127,BD!$K$3:$K$5001,"&lt;&gt;"))))</f>
        <v/>
      </c>
      <c r="S127" s="43" t="str">
        <f>IF(OR($B127="",$A127&gt;$B$9,S$114=""),"",IF(COUNTIFS(BD!$B$3:$B$5001,S$114,BD!$A$3:$A$5001,"&gt;="&amp;$C$7,BD!$A$3:$A$5001,"&lt;="&amp;$B127,BD!$K$3:$K$5001,"&lt;&gt;")=0,"",SUMIFS(BD!$K$3:$K$5001,BD!$B$3:$B$5001,S$114,BD!$A$3:$A$5001,_xlfn.MAXIFS(BD!$A$3:$A$5001,BD!$B$3:$B$5001,S$114,BD!$A$3:$A$5001,"&gt;="&amp;$C$7,BD!$A$3:$A$5001,"&lt;="&amp;$B127,BD!$K$3:$K$5001,"&lt;&gt;"))))</f>
        <v/>
      </c>
      <c r="T127" s="43" t="str">
        <f>IF(OR($B127="",$A127&gt;$B$9,T$114=""),"",IF(COUNTIFS(BD!$B$3:$B$5001,T$114,BD!$A$3:$A$5001,"&gt;="&amp;$C$7,BD!$A$3:$A$5001,"&lt;="&amp;$B127,BD!$K$3:$K$5001,"&lt;&gt;")=0,"",SUMIFS(BD!$K$3:$K$5001,BD!$B$3:$B$5001,T$114,BD!$A$3:$A$5001,_xlfn.MAXIFS(BD!$A$3:$A$5001,BD!$B$3:$B$5001,T$114,BD!$A$3:$A$5001,"&gt;="&amp;$C$7,BD!$A$3:$A$5001,"&lt;="&amp;$B127,BD!$K$3:$K$5001,"&lt;&gt;"))))</f>
        <v/>
      </c>
      <c r="U127" s="43" t="str">
        <f>IF(OR($B127="",$A127&gt;$B$9,U$114=""),"",IF(COUNTIFS(BD!$B$3:$B$5001,U$114,BD!$A$3:$A$5001,"&gt;="&amp;$C$7,BD!$A$3:$A$5001,"&lt;="&amp;$B127,BD!$K$3:$K$5001,"&lt;&gt;")=0,"",SUMIFS(BD!$K$3:$K$5001,BD!$B$3:$B$5001,U$114,BD!$A$3:$A$5001,_xlfn.MAXIFS(BD!$A$3:$A$5001,BD!$B$3:$B$5001,U$114,BD!$A$3:$A$5001,"&gt;="&amp;$C$7,BD!$A$3:$A$5001,"&lt;="&amp;$B127,BD!$K$3:$K$5001,"&lt;&gt;"))))</f>
        <v/>
      </c>
      <c r="V127" s="43" t="str">
        <f>IF(OR($B127="",$A127&gt;$B$9,V$114=""),"",IF(COUNTIFS(BD!$B$3:$B$5001,V$114,BD!$A$3:$A$5001,"&gt;="&amp;$C$7,BD!$A$3:$A$5001,"&lt;="&amp;$B127,BD!$K$3:$K$5001,"&lt;&gt;")=0,"",SUMIFS(BD!$K$3:$K$5001,BD!$B$3:$B$5001,V$114,BD!$A$3:$A$5001,_xlfn.MAXIFS(BD!$A$3:$A$5001,BD!$B$3:$B$5001,V$114,BD!$A$3:$A$5001,"&gt;="&amp;$C$7,BD!$A$3:$A$5001,"&lt;="&amp;$B127,BD!$K$3:$K$5001,"&lt;&gt;"))))</f>
        <v/>
      </c>
    </row>
    <row r="128">
      <c r="A128" s="38">
        <v>14</v>
      </c>
      <c r="B128" s="42">
        <f>$B$25</f>
        <v>46309</v>
      </c>
      <c r="C128" s="43" t="str">
        <f>IF(OR($B128="",$A128&gt;$B$9,C$114=""),"",IF(COUNTIFS(BD!$B$3:$B$5001,C$114,BD!$A$3:$A$5001,"&gt;="&amp;$C$7,BD!$A$3:$A$5001,"&lt;="&amp;$B128,BD!$K$3:$K$5001,"&lt;&gt;")=0,"",SUMIFS(BD!$K$3:$K$5001,BD!$B$3:$B$5001,C$114,BD!$A$3:$A$5001,_xlfn.MAXIFS(BD!$A$3:$A$5001,BD!$B$3:$B$5001,C$114,BD!$A$3:$A$5001,"&gt;="&amp;$C$7,BD!$A$3:$A$5001,"&lt;="&amp;$B128,BD!$K$3:$K$5001,"&lt;&gt;"))))</f>
        <v/>
      </c>
      <c r="D128" s="43" t="str">
        <f>IF(OR($B128="",$A128&gt;$B$9,D$114=""),"",IF(COUNTIFS(BD!$B$3:$B$5001,D$114,BD!$A$3:$A$5001,"&gt;="&amp;$C$7,BD!$A$3:$A$5001,"&lt;="&amp;$B128,BD!$K$3:$K$5001,"&lt;&gt;")=0,"",SUMIFS(BD!$K$3:$K$5001,BD!$B$3:$B$5001,D$114,BD!$A$3:$A$5001,_xlfn.MAXIFS(BD!$A$3:$A$5001,BD!$B$3:$B$5001,D$114,BD!$A$3:$A$5001,"&gt;="&amp;$C$7,BD!$A$3:$A$5001,"&lt;="&amp;$B128,BD!$K$3:$K$5001,"&lt;&gt;"))))</f>
        <v/>
      </c>
      <c r="E128" s="43" t="str">
        <f>IF(OR($B128="",$A128&gt;$B$9,E$114=""),"",IF(COUNTIFS(BD!$B$3:$B$5001,E$114,BD!$A$3:$A$5001,"&gt;="&amp;$C$7,BD!$A$3:$A$5001,"&lt;="&amp;$B128,BD!$K$3:$K$5001,"&lt;&gt;")=0,"",SUMIFS(BD!$K$3:$K$5001,BD!$B$3:$B$5001,E$114,BD!$A$3:$A$5001,_xlfn.MAXIFS(BD!$A$3:$A$5001,BD!$B$3:$B$5001,E$114,BD!$A$3:$A$5001,"&gt;="&amp;$C$7,BD!$A$3:$A$5001,"&lt;="&amp;$B128,BD!$K$3:$K$5001,"&lt;&gt;"))))</f>
        <v/>
      </c>
      <c r="F128" s="43" t="str">
        <f>IF(OR($B128="",$A128&gt;$B$9,F$114=""),"",IF(COUNTIFS(BD!$B$3:$B$5001,F$114,BD!$A$3:$A$5001,"&gt;="&amp;$C$7,BD!$A$3:$A$5001,"&lt;="&amp;$B128,BD!$K$3:$K$5001,"&lt;&gt;")=0,"",SUMIFS(BD!$K$3:$K$5001,BD!$B$3:$B$5001,F$114,BD!$A$3:$A$5001,_xlfn.MAXIFS(BD!$A$3:$A$5001,BD!$B$3:$B$5001,F$114,BD!$A$3:$A$5001,"&gt;="&amp;$C$7,BD!$A$3:$A$5001,"&lt;="&amp;$B128,BD!$K$3:$K$5001,"&lt;&gt;"))))</f>
        <v/>
      </c>
      <c r="G128" s="43" t="str">
        <f>IF(OR($B128="",$A128&gt;$B$9,G$114=""),"",IF(COUNTIFS(BD!$B$3:$B$5001,G$114,BD!$A$3:$A$5001,"&gt;="&amp;$C$7,BD!$A$3:$A$5001,"&lt;="&amp;$B128,BD!$K$3:$K$5001,"&lt;&gt;")=0,"",SUMIFS(BD!$K$3:$K$5001,BD!$B$3:$B$5001,G$114,BD!$A$3:$A$5001,_xlfn.MAXIFS(BD!$A$3:$A$5001,BD!$B$3:$B$5001,G$114,BD!$A$3:$A$5001,"&gt;="&amp;$C$7,BD!$A$3:$A$5001,"&lt;="&amp;$B128,BD!$K$3:$K$5001,"&lt;&gt;"))))</f>
        <v/>
      </c>
      <c r="H128" s="43" t="str">
        <f>IF(OR($B128="",$A128&gt;$B$9,H$114=""),"",IF(COUNTIFS(BD!$B$3:$B$5001,H$114,BD!$A$3:$A$5001,"&gt;="&amp;$C$7,BD!$A$3:$A$5001,"&lt;="&amp;$B128,BD!$K$3:$K$5001,"&lt;&gt;")=0,"",SUMIFS(BD!$K$3:$K$5001,BD!$B$3:$B$5001,H$114,BD!$A$3:$A$5001,_xlfn.MAXIFS(BD!$A$3:$A$5001,BD!$B$3:$B$5001,H$114,BD!$A$3:$A$5001,"&gt;="&amp;$C$7,BD!$A$3:$A$5001,"&lt;="&amp;$B128,BD!$K$3:$K$5001,"&lt;&gt;"))))</f>
        <v/>
      </c>
      <c r="I128" s="43" t="str">
        <f>IF(OR($B128="",$A128&gt;$B$9,I$114=""),"",IF(COUNTIFS(BD!$B$3:$B$5001,I$114,BD!$A$3:$A$5001,"&gt;="&amp;$C$7,BD!$A$3:$A$5001,"&lt;="&amp;$B128,BD!$K$3:$K$5001,"&lt;&gt;")=0,"",SUMIFS(BD!$K$3:$K$5001,BD!$B$3:$B$5001,I$114,BD!$A$3:$A$5001,_xlfn.MAXIFS(BD!$A$3:$A$5001,BD!$B$3:$B$5001,I$114,BD!$A$3:$A$5001,"&gt;="&amp;$C$7,BD!$A$3:$A$5001,"&lt;="&amp;$B128,BD!$K$3:$K$5001,"&lt;&gt;"))))</f>
        <v/>
      </c>
      <c r="J128" s="43" t="str">
        <f>IF(OR($B128="",$A128&gt;$B$9,J$114=""),"",IF(COUNTIFS(BD!$B$3:$B$5001,J$114,BD!$A$3:$A$5001,"&gt;="&amp;$C$7,BD!$A$3:$A$5001,"&lt;="&amp;$B128,BD!$K$3:$K$5001,"&lt;&gt;")=0,"",SUMIFS(BD!$K$3:$K$5001,BD!$B$3:$B$5001,J$114,BD!$A$3:$A$5001,_xlfn.MAXIFS(BD!$A$3:$A$5001,BD!$B$3:$B$5001,J$114,BD!$A$3:$A$5001,"&gt;="&amp;$C$7,BD!$A$3:$A$5001,"&lt;="&amp;$B128,BD!$K$3:$K$5001,"&lt;&gt;"))))</f>
        <v/>
      </c>
      <c r="K128" s="43" t="str">
        <f>IF(OR($B128="",$A128&gt;$B$9,K$114=""),"",IF(COUNTIFS(BD!$B$3:$B$5001,K$114,BD!$A$3:$A$5001,"&gt;="&amp;$C$7,BD!$A$3:$A$5001,"&lt;="&amp;$B128,BD!$K$3:$K$5001,"&lt;&gt;")=0,"",SUMIFS(BD!$K$3:$K$5001,BD!$B$3:$B$5001,K$114,BD!$A$3:$A$5001,_xlfn.MAXIFS(BD!$A$3:$A$5001,BD!$B$3:$B$5001,K$114,BD!$A$3:$A$5001,"&gt;="&amp;$C$7,BD!$A$3:$A$5001,"&lt;="&amp;$B128,BD!$K$3:$K$5001,"&lt;&gt;"))))</f>
        <v/>
      </c>
      <c r="L128" s="43" t="str">
        <f>IF(OR($B128="",$A128&gt;$B$9,L$114=""),"",IF(COUNTIFS(BD!$B$3:$B$5001,L$114,BD!$A$3:$A$5001,"&gt;="&amp;$C$7,BD!$A$3:$A$5001,"&lt;="&amp;$B128,BD!$K$3:$K$5001,"&lt;&gt;")=0,"",SUMIFS(BD!$K$3:$K$5001,BD!$B$3:$B$5001,L$114,BD!$A$3:$A$5001,_xlfn.MAXIFS(BD!$A$3:$A$5001,BD!$B$3:$B$5001,L$114,BD!$A$3:$A$5001,"&gt;="&amp;$C$7,BD!$A$3:$A$5001,"&lt;="&amp;$B128,BD!$K$3:$K$5001,"&lt;&gt;"))))</f>
        <v/>
      </c>
      <c r="M128" s="43" t="str">
        <f>IF(OR($B128="",$A128&gt;$B$9,M$114=""),"",IF(COUNTIFS(BD!$B$3:$B$5001,M$114,BD!$A$3:$A$5001,"&gt;="&amp;$C$7,BD!$A$3:$A$5001,"&lt;="&amp;$B128,BD!$K$3:$K$5001,"&lt;&gt;")=0,"",SUMIFS(BD!$K$3:$K$5001,BD!$B$3:$B$5001,M$114,BD!$A$3:$A$5001,_xlfn.MAXIFS(BD!$A$3:$A$5001,BD!$B$3:$B$5001,M$114,BD!$A$3:$A$5001,"&gt;="&amp;$C$7,BD!$A$3:$A$5001,"&lt;="&amp;$B128,BD!$K$3:$K$5001,"&lt;&gt;"))))</f>
        <v/>
      </c>
      <c r="N128" s="43" t="str">
        <f>IF(OR($B128="",$A128&gt;$B$9,N$114=""),"",IF(COUNTIFS(BD!$B$3:$B$5001,N$114,BD!$A$3:$A$5001,"&gt;="&amp;$C$7,BD!$A$3:$A$5001,"&lt;="&amp;$B128,BD!$K$3:$K$5001,"&lt;&gt;")=0,"",SUMIFS(BD!$K$3:$K$5001,BD!$B$3:$B$5001,N$114,BD!$A$3:$A$5001,_xlfn.MAXIFS(BD!$A$3:$A$5001,BD!$B$3:$B$5001,N$114,BD!$A$3:$A$5001,"&gt;="&amp;$C$7,BD!$A$3:$A$5001,"&lt;="&amp;$B128,BD!$K$3:$K$5001,"&lt;&gt;"))))</f>
        <v/>
      </c>
      <c r="O128" s="43" t="str">
        <f>IF(OR($B128="",$A128&gt;$B$9,O$114=""),"",IF(COUNTIFS(BD!$B$3:$B$5001,O$114,BD!$A$3:$A$5001,"&gt;="&amp;$C$7,BD!$A$3:$A$5001,"&lt;="&amp;$B128,BD!$K$3:$K$5001,"&lt;&gt;")=0,"",SUMIFS(BD!$K$3:$K$5001,BD!$B$3:$B$5001,O$114,BD!$A$3:$A$5001,_xlfn.MAXIFS(BD!$A$3:$A$5001,BD!$B$3:$B$5001,O$114,BD!$A$3:$A$5001,"&gt;="&amp;$C$7,BD!$A$3:$A$5001,"&lt;="&amp;$B128,BD!$K$3:$K$5001,"&lt;&gt;"))))</f>
        <v/>
      </c>
      <c r="P128" s="43" t="str">
        <f>IF(OR($B128="",$A128&gt;$B$9,P$114=""),"",IF(COUNTIFS(BD!$B$3:$B$5001,P$114,BD!$A$3:$A$5001,"&gt;="&amp;$C$7,BD!$A$3:$A$5001,"&lt;="&amp;$B128,BD!$K$3:$K$5001,"&lt;&gt;")=0,"",SUMIFS(BD!$K$3:$K$5001,BD!$B$3:$B$5001,P$114,BD!$A$3:$A$5001,_xlfn.MAXIFS(BD!$A$3:$A$5001,BD!$B$3:$B$5001,P$114,BD!$A$3:$A$5001,"&gt;="&amp;$C$7,BD!$A$3:$A$5001,"&lt;="&amp;$B128,BD!$K$3:$K$5001,"&lt;&gt;"))))</f>
        <v/>
      </c>
      <c r="Q128" s="43" t="str">
        <f>IF(OR($B128="",$A128&gt;$B$9,Q$114=""),"",IF(COUNTIFS(BD!$B$3:$B$5001,Q$114,BD!$A$3:$A$5001,"&gt;="&amp;$C$7,BD!$A$3:$A$5001,"&lt;="&amp;$B128,BD!$K$3:$K$5001,"&lt;&gt;")=0,"",SUMIFS(BD!$K$3:$K$5001,BD!$B$3:$B$5001,Q$114,BD!$A$3:$A$5001,_xlfn.MAXIFS(BD!$A$3:$A$5001,BD!$B$3:$B$5001,Q$114,BD!$A$3:$A$5001,"&gt;="&amp;$C$7,BD!$A$3:$A$5001,"&lt;="&amp;$B128,BD!$K$3:$K$5001,"&lt;&gt;"))))</f>
        <v/>
      </c>
      <c r="R128" s="43" t="str">
        <f>IF(OR($B128="",$A128&gt;$B$9,R$114=""),"",IF(COUNTIFS(BD!$B$3:$B$5001,R$114,BD!$A$3:$A$5001,"&gt;="&amp;$C$7,BD!$A$3:$A$5001,"&lt;="&amp;$B128,BD!$K$3:$K$5001,"&lt;&gt;")=0,"",SUMIFS(BD!$K$3:$K$5001,BD!$B$3:$B$5001,R$114,BD!$A$3:$A$5001,_xlfn.MAXIFS(BD!$A$3:$A$5001,BD!$B$3:$B$5001,R$114,BD!$A$3:$A$5001,"&gt;="&amp;$C$7,BD!$A$3:$A$5001,"&lt;="&amp;$B128,BD!$K$3:$K$5001,"&lt;&gt;"))))</f>
        <v/>
      </c>
      <c r="S128" s="43" t="str">
        <f>IF(OR($B128="",$A128&gt;$B$9,S$114=""),"",IF(COUNTIFS(BD!$B$3:$B$5001,S$114,BD!$A$3:$A$5001,"&gt;="&amp;$C$7,BD!$A$3:$A$5001,"&lt;="&amp;$B128,BD!$K$3:$K$5001,"&lt;&gt;")=0,"",SUMIFS(BD!$K$3:$K$5001,BD!$B$3:$B$5001,S$114,BD!$A$3:$A$5001,_xlfn.MAXIFS(BD!$A$3:$A$5001,BD!$B$3:$B$5001,S$114,BD!$A$3:$A$5001,"&gt;="&amp;$C$7,BD!$A$3:$A$5001,"&lt;="&amp;$B128,BD!$K$3:$K$5001,"&lt;&gt;"))))</f>
        <v/>
      </c>
      <c r="T128" s="43" t="str">
        <f>IF(OR($B128="",$A128&gt;$B$9,T$114=""),"",IF(COUNTIFS(BD!$B$3:$B$5001,T$114,BD!$A$3:$A$5001,"&gt;="&amp;$C$7,BD!$A$3:$A$5001,"&lt;="&amp;$B128,BD!$K$3:$K$5001,"&lt;&gt;")=0,"",SUMIFS(BD!$K$3:$K$5001,BD!$B$3:$B$5001,T$114,BD!$A$3:$A$5001,_xlfn.MAXIFS(BD!$A$3:$A$5001,BD!$B$3:$B$5001,T$114,BD!$A$3:$A$5001,"&gt;="&amp;$C$7,BD!$A$3:$A$5001,"&lt;="&amp;$B128,BD!$K$3:$K$5001,"&lt;&gt;"))))</f>
        <v/>
      </c>
      <c r="U128" s="43" t="str">
        <f>IF(OR($B128="",$A128&gt;$B$9,U$114=""),"",IF(COUNTIFS(BD!$B$3:$B$5001,U$114,BD!$A$3:$A$5001,"&gt;="&amp;$C$7,BD!$A$3:$A$5001,"&lt;="&amp;$B128,BD!$K$3:$K$5001,"&lt;&gt;")=0,"",SUMIFS(BD!$K$3:$K$5001,BD!$B$3:$B$5001,U$114,BD!$A$3:$A$5001,_xlfn.MAXIFS(BD!$A$3:$A$5001,BD!$B$3:$B$5001,U$114,BD!$A$3:$A$5001,"&gt;="&amp;$C$7,BD!$A$3:$A$5001,"&lt;="&amp;$B128,BD!$K$3:$K$5001,"&lt;&gt;"))))</f>
        <v/>
      </c>
      <c r="V128" s="43" t="str">
        <f>IF(OR($B128="",$A128&gt;$B$9,V$114=""),"",IF(COUNTIFS(BD!$B$3:$B$5001,V$114,BD!$A$3:$A$5001,"&gt;="&amp;$C$7,BD!$A$3:$A$5001,"&lt;="&amp;$B128,BD!$K$3:$K$5001,"&lt;&gt;")=0,"",SUMIFS(BD!$K$3:$K$5001,BD!$B$3:$B$5001,V$114,BD!$A$3:$A$5001,_xlfn.MAXIFS(BD!$A$3:$A$5001,BD!$B$3:$B$5001,V$114,BD!$A$3:$A$5001,"&gt;="&amp;$C$7,BD!$A$3:$A$5001,"&lt;="&amp;$B128,BD!$K$3:$K$5001,"&lt;&gt;"))))</f>
        <v/>
      </c>
    </row>
    <row r="129">
      <c r="A129" s="38">
        <v>15</v>
      </c>
      <c r="B129" s="42">
        <f>$B$26</f>
        <v>46310</v>
      </c>
      <c r="C129" s="43" t="str">
        <f>IF(OR($B129="",$A129&gt;$B$9,C$114=""),"",IF(COUNTIFS(BD!$B$3:$B$5001,C$114,BD!$A$3:$A$5001,"&gt;="&amp;$C$7,BD!$A$3:$A$5001,"&lt;="&amp;$B129,BD!$K$3:$K$5001,"&lt;&gt;")=0,"",SUMIFS(BD!$K$3:$K$5001,BD!$B$3:$B$5001,C$114,BD!$A$3:$A$5001,_xlfn.MAXIFS(BD!$A$3:$A$5001,BD!$B$3:$B$5001,C$114,BD!$A$3:$A$5001,"&gt;="&amp;$C$7,BD!$A$3:$A$5001,"&lt;="&amp;$B129,BD!$K$3:$K$5001,"&lt;&gt;"))))</f>
        <v/>
      </c>
      <c r="D129" s="43" t="str">
        <f>IF(OR($B129="",$A129&gt;$B$9,D$114=""),"",IF(COUNTIFS(BD!$B$3:$B$5001,D$114,BD!$A$3:$A$5001,"&gt;="&amp;$C$7,BD!$A$3:$A$5001,"&lt;="&amp;$B129,BD!$K$3:$K$5001,"&lt;&gt;")=0,"",SUMIFS(BD!$K$3:$K$5001,BD!$B$3:$B$5001,D$114,BD!$A$3:$A$5001,_xlfn.MAXIFS(BD!$A$3:$A$5001,BD!$B$3:$B$5001,D$114,BD!$A$3:$A$5001,"&gt;="&amp;$C$7,BD!$A$3:$A$5001,"&lt;="&amp;$B129,BD!$K$3:$K$5001,"&lt;&gt;"))))</f>
        <v/>
      </c>
      <c r="E129" s="43" t="str">
        <f>IF(OR($B129="",$A129&gt;$B$9,E$114=""),"",IF(COUNTIFS(BD!$B$3:$B$5001,E$114,BD!$A$3:$A$5001,"&gt;="&amp;$C$7,BD!$A$3:$A$5001,"&lt;="&amp;$B129,BD!$K$3:$K$5001,"&lt;&gt;")=0,"",SUMIFS(BD!$K$3:$K$5001,BD!$B$3:$B$5001,E$114,BD!$A$3:$A$5001,_xlfn.MAXIFS(BD!$A$3:$A$5001,BD!$B$3:$B$5001,E$114,BD!$A$3:$A$5001,"&gt;="&amp;$C$7,BD!$A$3:$A$5001,"&lt;="&amp;$B129,BD!$K$3:$K$5001,"&lt;&gt;"))))</f>
        <v/>
      </c>
      <c r="F129" s="43" t="str">
        <f>IF(OR($B129="",$A129&gt;$B$9,F$114=""),"",IF(COUNTIFS(BD!$B$3:$B$5001,F$114,BD!$A$3:$A$5001,"&gt;="&amp;$C$7,BD!$A$3:$A$5001,"&lt;="&amp;$B129,BD!$K$3:$K$5001,"&lt;&gt;")=0,"",SUMIFS(BD!$K$3:$K$5001,BD!$B$3:$B$5001,F$114,BD!$A$3:$A$5001,_xlfn.MAXIFS(BD!$A$3:$A$5001,BD!$B$3:$B$5001,F$114,BD!$A$3:$A$5001,"&gt;="&amp;$C$7,BD!$A$3:$A$5001,"&lt;="&amp;$B129,BD!$K$3:$K$5001,"&lt;&gt;"))))</f>
        <v/>
      </c>
      <c r="G129" s="43" t="str">
        <f>IF(OR($B129="",$A129&gt;$B$9,G$114=""),"",IF(COUNTIFS(BD!$B$3:$B$5001,G$114,BD!$A$3:$A$5001,"&gt;="&amp;$C$7,BD!$A$3:$A$5001,"&lt;="&amp;$B129,BD!$K$3:$K$5001,"&lt;&gt;")=0,"",SUMIFS(BD!$K$3:$K$5001,BD!$B$3:$B$5001,G$114,BD!$A$3:$A$5001,_xlfn.MAXIFS(BD!$A$3:$A$5001,BD!$B$3:$B$5001,G$114,BD!$A$3:$A$5001,"&gt;="&amp;$C$7,BD!$A$3:$A$5001,"&lt;="&amp;$B129,BD!$K$3:$K$5001,"&lt;&gt;"))))</f>
        <v/>
      </c>
      <c r="H129" s="43" t="str">
        <f>IF(OR($B129="",$A129&gt;$B$9,H$114=""),"",IF(COUNTIFS(BD!$B$3:$B$5001,H$114,BD!$A$3:$A$5001,"&gt;="&amp;$C$7,BD!$A$3:$A$5001,"&lt;="&amp;$B129,BD!$K$3:$K$5001,"&lt;&gt;")=0,"",SUMIFS(BD!$K$3:$K$5001,BD!$B$3:$B$5001,H$114,BD!$A$3:$A$5001,_xlfn.MAXIFS(BD!$A$3:$A$5001,BD!$B$3:$B$5001,H$114,BD!$A$3:$A$5001,"&gt;="&amp;$C$7,BD!$A$3:$A$5001,"&lt;="&amp;$B129,BD!$K$3:$K$5001,"&lt;&gt;"))))</f>
        <v/>
      </c>
      <c r="I129" s="43" t="str">
        <f>IF(OR($B129="",$A129&gt;$B$9,I$114=""),"",IF(COUNTIFS(BD!$B$3:$B$5001,I$114,BD!$A$3:$A$5001,"&gt;="&amp;$C$7,BD!$A$3:$A$5001,"&lt;="&amp;$B129,BD!$K$3:$K$5001,"&lt;&gt;")=0,"",SUMIFS(BD!$K$3:$K$5001,BD!$B$3:$B$5001,I$114,BD!$A$3:$A$5001,_xlfn.MAXIFS(BD!$A$3:$A$5001,BD!$B$3:$B$5001,I$114,BD!$A$3:$A$5001,"&gt;="&amp;$C$7,BD!$A$3:$A$5001,"&lt;="&amp;$B129,BD!$K$3:$K$5001,"&lt;&gt;"))))</f>
        <v/>
      </c>
      <c r="J129" s="43" t="str">
        <f>IF(OR($B129="",$A129&gt;$B$9,J$114=""),"",IF(COUNTIFS(BD!$B$3:$B$5001,J$114,BD!$A$3:$A$5001,"&gt;="&amp;$C$7,BD!$A$3:$A$5001,"&lt;="&amp;$B129,BD!$K$3:$K$5001,"&lt;&gt;")=0,"",SUMIFS(BD!$K$3:$K$5001,BD!$B$3:$B$5001,J$114,BD!$A$3:$A$5001,_xlfn.MAXIFS(BD!$A$3:$A$5001,BD!$B$3:$B$5001,J$114,BD!$A$3:$A$5001,"&gt;="&amp;$C$7,BD!$A$3:$A$5001,"&lt;="&amp;$B129,BD!$K$3:$K$5001,"&lt;&gt;"))))</f>
        <v/>
      </c>
      <c r="K129" s="43" t="str">
        <f>IF(OR($B129="",$A129&gt;$B$9,K$114=""),"",IF(COUNTIFS(BD!$B$3:$B$5001,K$114,BD!$A$3:$A$5001,"&gt;="&amp;$C$7,BD!$A$3:$A$5001,"&lt;="&amp;$B129,BD!$K$3:$K$5001,"&lt;&gt;")=0,"",SUMIFS(BD!$K$3:$K$5001,BD!$B$3:$B$5001,K$114,BD!$A$3:$A$5001,_xlfn.MAXIFS(BD!$A$3:$A$5001,BD!$B$3:$B$5001,K$114,BD!$A$3:$A$5001,"&gt;="&amp;$C$7,BD!$A$3:$A$5001,"&lt;="&amp;$B129,BD!$K$3:$K$5001,"&lt;&gt;"))))</f>
        <v/>
      </c>
      <c r="L129" s="43" t="str">
        <f>IF(OR($B129="",$A129&gt;$B$9,L$114=""),"",IF(COUNTIFS(BD!$B$3:$B$5001,L$114,BD!$A$3:$A$5001,"&gt;="&amp;$C$7,BD!$A$3:$A$5001,"&lt;="&amp;$B129,BD!$K$3:$K$5001,"&lt;&gt;")=0,"",SUMIFS(BD!$K$3:$K$5001,BD!$B$3:$B$5001,L$114,BD!$A$3:$A$5001,_xlfn.MAXIFS(BD!$A$3:$A$5001,BD!$B$3:$B$5001,L$114,BD!$A$3:$A$5001,"&gt;="&amp;$C$7,BD!$A$3:$A$5001,"&lt;="&amp;$B129,BD!$K$3:$K$5001,"&lt;&gt;"))))</f>
        <v/>
      </c>
      <c r="M129" s="43" t="str">
        <f>IF(OR($B129="",$A129&gt;$B$9,M$114=""),"",IF(COUNTIFS(BD!$B$3:$B$5001,M$114,BD!$A$3:$A$5001,"&gt;="&amp;$C$7,BD!$A$3:$A$5001,"&lt;="&amp;$B129,BD!$K$3:$K$5001,"&lt;&gt;")=0,"",SUMIFS(BD!$K$3:$K$5001,BD!$B$3:$B$5001,M$114,BD!$A$3:$A$5001,_xlfn.MAXIFS(BD!$A$3:$A$5001,BD!$B$3:$B$5001,M$114,BD!$A$3:$A$5001,"&gt;="&amp;$C$7,BD!$A$3:$A$5001,"&lt;="&amp;$B129,BD!$K$3:$K$5001,"&lt;&gt;"))))</f>
        <v/>
      </c>
      <c r="N129" s="43" t="str">
        <f>IF(OR($B129="",$A129&gt;$B$9,N$114=""),"",IF(COUNTIFS(BD!$B$3:$B$5001,N$114,BD!$A$3:$A$5001,"&gt;="&amp;$C$7,BD!$A$3:$A$5001,"&lt;="&amp;$B129,BD!$K$3:$K$5001,"&lt;&gt;")=0,"",SUMIFS(BD!$K$3:$K$5001,BD!$B$3:$B$5001,N$114,BD!$A$3:$A$5001,_xlfn.MAXIFS(BD!$A$3:$A$5001,BD!$B$3:$B$5001,N$114,BD!$A$3:$A$5001,"&gt;="&amp;$C$7,BD!$A$3:$A$5001,"&lt;="&amp;$B129,BD!$K$3:$K$5001,"&lt;&gt;"))))</f>
        <v/>
      </c>
      <c r="O129" s="43" t="str">
        <f>IF(OR($B129="",$A129&gt;$B$9,O$114=""),"",IF(COUNTIFS(BD!$B$3:$B$5001,O$114,BD!$A$3:$A$5001,"&gt;="&amp;$C$7,BD!$A$3:$A$5001,"&lt;="&amp;$B129,BD!$K$3:$K$5001,"&lt;&gt;")=0,"",SUMIFS(BD!$K$3:$K$5001,BD!$B$3:$B$5001,O$114,BD!$A$3:$A$5001,_xlfn.MAXIFS(BD!$A$3:$A$5001,BD!$B$3:$B$5001,O$114,BD!$A$3:$A$5001,"&gt;="&amp;$C$7,BD!$A$3:$A$5001,"&lt;="&amp;$B129,BD!$K$3:$K$5001,"&lt;&gt;"))))</f>
        <v/>
      </c>
      <c r="P129" s="43" t="str">
        <f>IF(OR($B129="",$A129&gt;$B$9,P$114=""),"",IF(COUNTIFS(BD!$B$3:$B$5001,P$114,BD!$A$3:$A$5001,"&gt;="&amp;$C$7,BD!$A$3:$A$5001,"&lt;="&amp;$B129,BD!$K$3:$K$5001,"&lt;&gt;")=0,"",SUMIFS(BD!$K$3:$K$5001,BD!$B$3:$B$5001,P$114,BD!$A$3:$A$5001,_xlfn.MAXIFS(BD!$A$3:$A$5001,BD!$B$3:$B$5001,P$114,BD!$A$3:$A$5001,"&gt;="&amp;$C$7,BD!$A$3:$A$5001,"&lt;="&amp;$B129,BD!$K$3:$K$5001,"&lt;&gt;"))))</f>
        <v/>
      </c>
      <c r="Q129" s="43" t="str">
        <f>IF(OR($B129="",$A129&gt;$B$9,Q$114=""),"",IF(COUNTIFS(BD!$B$3:$B$5001,Q$114,BD!$A$3:$A$5001,"&gt;="&amp;$C$7,BD!$A$3:$A$5001,"&lt;="&amp;$B129,BD!$K$3:$K$5001,"&lt;&gt;")=0,"",SUMIFS(BD!$K$3:$K$5001,BD!$B$3:$B$5001,Q$114,BD!$A$3:$A$5001,_xlfn.MAXIFS(BD!$A$3:$A$5001,BD!$B$3:$B$5001,Q$114,BD!$A$3:$A$5001,"&gt;="&amp;$C$7,BD!$A$3:$A$5001,"&lt;="&amp;$B129,BD!$K$3:$K$5001,"&lt;&gt;"))))</f>
        <v/>
      </c>
      <c r="R129" s="43" t="str">
        <f>IF(OR($B129="",$A129&gt;$B$9,R$114=""),"",IF(COUNTIFS(BD!$B$3:$B$5001,R$114,BD!$A$3:$A$5001,"&gt;="&amp;$C$7,BD!$A$3:$A$5001,"&lt;="&amp;$B129,BD!$K$3:$K$5001,"&lt;&gt;")=0,"",SUMIFS(BD!$K$3:$K$5001,BD!$B$3:$B$5001,R$114,BD!$A$3:$A$5001,_xlfn.MAXIFS(BD!$A$3:$A$5001,BD!$B$3:$B$5001,R$114,BD!$A$3:$A$5001,"&gt;="&amp;$C$7,BD!$A$3:$A$5001,"&lt;="&amp;$B129,BD!$K$3:$K$5001,"&lt;&gt;"))))</f>
        <v/>
      </c>
      <c r="S129" s="43" t="str">
        <f>IF(OR($B129="",$A129&gt;$B$9,S$114=""),"",IF(COUNTIFS(BD!$B$3:$B$5001,S$114,BD!$A$3:$A$5001,"&gt;="&amp;$C$7,BD!$A$3:$A$5001,"&lt;="&amp;$B129,BD!$K$3:$K$5001,"&lt;&gt;")=0,"",SUMIFS(BD!$K$3:$K$5001,BD!$B$3:$B$5001,S$114,BD!$A$3:$A$5001,_xlfn.MAXIFS(BD!$A$3:$A$5001,BD!$B$3:$B$5001,S$114,BD!$A$3:$A$5001,"&gt;="&amp;$C$7,BD!$A$3:$A$5001,"&lt;="&amp;$B129,BD!$K$3:$K$5001,"&lt;&gt;"))))</f>
        <v/>
      </c>
      <c r="T129" s="43" t="str">
        <f>IF(OR($B129="",$A129&gt;$B$9,T$114=""),"",IF(COUNTIFS(BD!$B$3:$B$5001,T$114,BD!$A$3:$A$5001,"&gt;="&amp;$C$7,BD!$A$3:$A$5001,"&lt;="&amp;$B129,BD!$K$3:$K$5001,"&lt;&gt;")=0,"",SUMIFS(BD!$K$3:$K$5001,BD!$B$3:$B$5001,T$114,BD!$A$3:$A$5001,_xlfn.MAXIFS(BD!$A$3:$A$5001,BD!$B$3:$B$5001,T$114,BD!$A$3:$A$5001,"&gt;="&amp;$C$7,BD!$A$3:$A$5001,"&lt;="&amp;$B129,BD!$K$3:$K$5001,"&lt;&gt;"))))</f>
        <v/>
      </c>
      <c r="U129" s="43" t="str">
        <f>IF(OR($B129="",$A129&gt;$B$9,U$114=""),"",IF(COUNTIFS(BD!$B$3:$B$5001,U$114,BD!$A$3:$A$5001,"&gt;="&amp;$C$7,BD!$A$3:$A$5001,"&lt;="&amp;$B129,BD!$K$3:$K$5001,"&lt;&gt;")=0,"",SUMIFS(BD!$K$3:$K$5001,BD!$B$3:$B$5001,U$114,BD!$A$3:$A$5001,_xlfn.MAXIFS(BD!$A$3:$A$5001,BD!$B$3:$B$5001,U$114,BD!$A$3:$A$5001,"&gt;="&amp;$C$7,BD!$A$3:$A$5001,"&lt;="&amp;$B129,BD!$K$3:$K$5001,"&lt;&gt;"))))</f>
        <v/>
      </c>
      <c r="V129" s="43" t="str">
        <f>IF(OR($B129="",$A129&gt;$B$9,V$114=""),"",IF(COUNTIFS(BD!$B$3:$B$5001,V$114,BD!$A$3:$A$5001,"&gt;="&amp;$C$7,BD!$A$3:$A$5001,"&lt;="&amp;$B129,BD!$K$3:$K$5001,"&lt;&gt;")=0,"",SUMIFS(BD!$K$3:$K$5001,BD!$B$3:$B$5001,V$114,BD!$A$3:$A$5001,_xlfn.MAXIFS(BD!$A$3:$A$5001,BD!$B$3:$B$5001,V$114,BD!$A$3:$A$5001,"&gt;="&amp;$C$7,BD!$A$3:$A$5001,"&lt;="&amp;$B129,BD!$K$3:$K$5001,"&lt;&gt;"))))</f>
        <v/>
      </c>
    </row>
    <row r="130">
      <c r="A130" s="38">
        <v>16</v>
      </c>
      <c r="B130" s="42">
        <f>$B$27</f>
        <v>46311</v>
      </c>
      <c r="C130" s="43" t="str">
        <f>IF(OR($B130="",$A130&gt;$B$9,C$114=""),"",IF(COUNTIFS(BD!$B$3:$B$5001,C$114,BD!$A$3:$A$5001,"&gt;="&amp;$C$7,BD!$A$3:$A$5001,"&lt;="&amp;$B130,BD!$K$3:$K$5001,"&lt;&gt;")=0,"",SUMIFS(BD!$K$3:$K$5001,BD!$B$3:$B$5001,C$114,BD!$A$3:$A$5001,_xlfn.MAXIFS(BD!$A$3:$A$5001,BD!$B$3:$B$5001,C$114,BD!$A$3:$A$5001,"&gt;="&amp;$C$7,BD!$A$3:$A$5001,"&lt;="&amp;$B130,BD!$K$3:$K$5001,"&lt;&gt;"))))</f>
        <v/>
      </c>
      <c r="D130" s="43" t="str">
        <f>IF(OR($B130="",$A130&gt;$B$9,D$114=""),"",IF(COUNTIFS(BD!$B$3:$B$5001,D$114,BD!$A$3:$A$5001,"&gt;="&amp;$C$7,BD!$A$3:$A$5001,"&lt;="&amp;$B130,BD!$K$3:$K$5001,"&lt;&gt;")=0,"",SUMIFS(BD!$K$3:$K$5001,BD!$B$3:$B$5001,D$114,BD!$A$3:$A$5001,_xlfn.MAXIFS(BD!$A$3:$A$5001,BD!$B$3:$B$5001,D$114,BD!$A$3:$A$5001,"&gt;="&amp;$C$7,BD!$A$3:$A$5001,"&lt;="&amp;$B130,BD!$K$3:$K$5001,"&lt;&gt;"))))</f>
        <v/>
      </c>
      <c r="E130" s="43" t="str">
        <f>IF(OR($B130="",$A130&gt;$B$9,E$114=""),"",IF(COUNTIFS(BD!$B$3:$B$5001,E$114,BD!$A$3:$A$5001,"&gt;="&amp;$C$7,BD!$A$3:$A$5001,"&lt;="&amp;$B130,BD!$K$3:$K$5001,"&lt;&gt;")=0,"",SUMIFS(BD!$K$3:$K$5001,BD!$B$3:$B$5001,E$114,BD!$A$3:$A$5001,_xlfn.MAXIFS(BD!$A$3:$A$5001,BD!$B$3:$B$5001,E$114,BD!$A$3:$A$5001,"&gt;="&amp;$C$7,BD!$A$3:$A$5001,"&lt;="&amp;$B130,BD!$K$3:$K$5001,"&lt;&gt;"))))</f>
        <v/>
      </c>
      <c r="F130" s="43" t="str">
        <f>IF(OR($B130="",$A130&gt;$B$9,F$114=""),"",IF(COUNTIFS(BD!$B$3:$B$5001,F$114,BD!$A$3:$A$5001,"&gt;="&amp;$C$7,BD!$A$3:$A$5001,"&lt;="&amp;$B130,BD!$K$3:$K$5001,"&lt;&gt;")=0,"",SUMIFS(BD!$K$3:$K$5001,BD!$B$3:$B$5001,F$114,BD!$A$3:$A$5001,_xlfn.MAXIFS(BD!$A$3:$A$5001,BD!$B$3:$B$5001,F$114,BD!$A$3:$A$5001,"&gt;="&amp;$C$7,BD!$A$3:$A$5001,"&lt;="&amp;$B130,BD!$K$3:$K$5001,"&lt;&gt;"))))</f>
        <v/>
      </c>
      <c r="G130" s="43" t="str">
        <f>IF(OR($B130="",$A130&gt;$B$9,G$114=""),"",IF(COUNTIFS(BD!$B$3:$B$5001,G$114,BD!$A$3:$A$5001,"&gt;="&amp;$C$7,BD!$A$3:$A$5001,"&lt;="&amp;$B130,BD!$K$3:$K$5001,"&lt;&gt;")=0,"",SUMIFS(BD!$K$3:$K$5001,BD!$B$3:$B$5001,G$114,BD!$A$3:$A$5001,_xlfn.MAXIFS(BD!$A$3:$A$5001,BD!$B$3:$B$5001,G$114,BD!$A$3:$A$5001,"&gt;="&amp;$C$7,BD!$A$3:$A$5001,"&lt;="&amp;$B130,BD!$K$3:$K$5001,"&lt;&gt;"))))</f>
        <v/>
      </c>
      <c r="H130" s="43" t="str">
        <f>IF(OR($B130="",$A130&gt;$B$9,H$114=""),"",IF(COUNTIFS(BD!$B$3:$B$5001,H$114,BD!$A$3:$A$5001,"&gt;="&amp;$C$7,BD!$A$3:$A$5001,"&lt;="&amp;$B130,BD!$K$3:$K$5001,"&lt;&gt;")=0,"",SUMIFS(BD!$K$3:$K$5001,BD!$B$3:$B$5001,H$114,BD!$A$3:$A$5001,_xlfn.MAXIFS(BD!$A$3:$A$5001,BD!$B$3:$B$5001,H$114,BD!$A$3:$A$5001,"&gt;="&amp;$C$7,BD!$A$3:$A$5001,"&lt;="&amp;$B130,BD!$K$3:$K$5001,"&lt;&gt;"))))</f>
        <v/>
      </c>
      <c r="I130" s="43" t="str">
        <f>IF(OR($B130="",$A130&gt;$B$9,I$114=""),"",IF(COUNTIFS(BD!$B$3:$B$5001,I$114,BD!$A$3:$A$5001,"&gt;="&amp;$C$7,BD!$A$3:$A$5001,"&lt;="&amp;$B130,BD!$K$3:$K$5001,"&lt;&gt;")=0,"",SUMIFS(BD!$K$3:$K$5001,BD!$B$3:$B$5001,I$114,BD!$A$3:$A$5001,_xlfn.MAXIFS(BD!$A$3:$A$5001,BD!$B$3:$B$5001,I$114,BD!$A$3:$A$5001,"&gt;="&amp;$C$7,BD!$A$3:$A$5001,"&lt;="&amp;$B130,BD!$K$3:$K$5001,"&lt;&gt;"))))</f>
        <v/>
      </c>
      <c r="J130" s="43" t="str">
        <f>IF(OR($B130="",$A130&gt;$B$9,J$114=""),"",IF(COUNTIFS(BD!$B$3:$B$5001,J$114,BD!$A$3:$A$5001,"&gt;="&amp;$C$7,BD!$A$3:$A$5001,"&lt;="&amp;$B130,BD!$K$3:$K$5001,"&lt;&gt;")=0,"",SUMIFS(BD!$K$3:$K$5001,BD!$B$3:$B$5001,J$114,BD!$A$3:$A$5001,_xlfn.MAXIFS(BD!$A$3:$A$5001,BD!$B$3:$B$5001,J$114,BD!$A$3:$A$5001,"&gt;="&amp;$C$7,BD!$A$3:$A$5001,"&lt;="&amp;$B130,BD!$K$3:$K$5001,"&lt;&gt;"))))</f>
        <v/>
      </c>
      <c r="K130" s="43" t="str">
        <f>IF(OR($B130="",$A130&gt;$B$9,K$114=""),"",IF(COUNTIFS(BD!$B$3:$B$5001,K$114,BD!$A$3:$A$5001,"&gt;="&amp;$C$7,BD!$A$3:$A$5001,"&lt;="&amp;$B130,BD!$K$3:$K$5001,"&lt;&gt;")=0,"",SUMIFS(BD!$K$3:$K$5001,BD!$B$3:$B$5001,K$114,BD!$A$3:$A$5001,_xlfn.MAXIFS(BD!$A$3:$A$5001,BD!$B$3:$B$5001,K$114,BD!$A$3:$A$5001,"&gt;="&amp;$C$7,BD!$A$3:$A$5001,"&lt;="&amp;$B130,BD!$K$3:$K$5001,"&lt;&gt;"))))</f>
        <v/>
      </c>
      <c r="L130" s="43" t="str">
        <f>IF(OR($B130="",$A130&gt;$B$9,L$114=""),"",IF(COUNTIFS(BD!$B$3:$B$5001,L$114,BD!$A$3:$A$5001,"&gt;="&amp;$C$7,BD!$A$3:$A$5001,"&lt;="&amp;$B130,BD!$K$3:$K$5001,"&lt;&gt;")=0,"",SUMIFS(BD!$K$3:$K$5001,BD!$B$3:$B$5001,L$114,BD!$A$3:$A$5001,_xlfn.MAXIFS(BD!$A$3:$A$5001,BD!$B$3:$B$5001,L$114,BD!$A$3:$A$5001,"&gt;="&amp;$C$7,BD!$A$3:$A$5001,"&lt;="&amp;$B130,BD!$K$3:$K$5001,"&lt;&gt;"))))</f>
        <v/>
      </c>
      <c r="M130" s="43" t="str">
        <f>IF(OR($B130="",$A130&gt;$B$9,M$114=""),"",IF(COUNTIFS(BD!$B$3:$B$5001,M$114,BD!$A$3:$A$5001,"&gt;="&amp;$C$7,BD!$A$3:$A$5001,"&lt;="&amp;$B130,BD!$K$3:$K$5001,"&lt;&gt;")=0,"",SUMIFS(BD!$K$3:$K$5001,BD!$B$3:$B$5001,M$114,BD!$A$3:$A$5001,_xlfn.MAXIFS(BD!$A$3:$A$5001,BD!$B$3:$B$5001,M$114,BD!$A$3:$A$5001,"&gt;="&amp;$C$7,BD!$A$3:$A$5001,"&lt;="&amp;$B130,BD!$K$3:$K$5001,"&lt;&gt;"))))</f>
        <v/>
      </c>
      <c r="N130" s="43" t="str">
        <f>IF(OR($B130="",$A130&gt;$B$9,N$114=""),"",IF(COUNTIFS(BD!$B$3:$B$5001,N$114,BD!$A$3:$A$5001,"&gt;="&amp;$C$7,BD!$A$3:$A$5001,"&lt;="&amp;$B130,BD!$K$3:$K$5001,"&lt;&gt;")=0,"",SUMIFS(BD!$K$3:$K$5001,BD!$B$3:$B$5001,N$114,BD!$A$3:$A$5001,_xlfn.MAXIFS(BD!$A$3:$A$5001,BD!$B$3:$B$5001,N$114,BD!$A$3:$A$5001,"&gt;="&amp;$C$7,BD!$A$3:$A$5001,"&lt;="&amp;$B130,BD!$K$3:$K$5001,"&lt;&gt;"))))</f>
        <v/>
      </c>
      <c r="O130" s="43" t="str">
        <f>IF(OR($B130="",$A130&gt;$B$9,O$114=""),"",IF(COUNTIFS(BD!$B$3:$B$5001,O$114,BD!$A$3:$A$5001,"&gt;="&amp;$C$7,BD!$A$3:$A$5001,"&lt;="&amp;$B130,BD!$K$3:$K$5001,"&lt;&gt;")=0,"",SUMIFS(BD!$K$3:$K$5001,BD!$B$3:$B$5001,O$114,BD!$A$3:$A$5001,_xlfn.MAXIFS(BD!$A$3:$A$5001,BD!$B$3:$B$5001,O$114,BD!$A$3:$A$5001,"&gt;="&amp;$C$7,BD!$A$3:$A$5001,"&lt;="&amp;$B130,BD!$K$3:$K$5001,"&lt;&gt;"))))</f>
        <v/>
      </c>
      <c r="P130" s="43" t="str">
        <f>IF(OR($B130="",$A130&gt;$B$9,P$114=""),"",IF(COUNTIFS(BD!$B$3:$B$5001,P$114,BD!$A$3:$A$5001,"&gt;="&amp;$C$7,BD!$A$3:$A$5001,"&lt;="&amp;$B130,BD!$K$3:$K$5001,"&lt;&gt;")=0,"",SUMIFS(BD!$K$3:$K$5001,BD!$B$3:$B$5001,P$114,BD!$A$3:$A$5001,_xlfn.MAXIFS(BD!$A$3:$A$5001,BD!$B$3:$B$5001,P$114,BD!$A$3:$A$5001,"&gt;="&amp;$C$7,BD!$A$3:$A$5001,"&lt;="&amp;$B130,BD!$K$3:$K$5001,"&lt;&gt;"))))</f>
        <v/>
      </c>
      <c r="Q130" s="43" t="str">
        <f>IF(OR($B130="",$A130&gt;$B$9,Q$114=""),"",IF(COUNTIFS(BD!$B$3:$B$5001,Q$114,BD!$A$3:$A$5001,"&gt;="&amp;$C$7,BD!$A$3:$A$5001,"&lt;="&amp;$B130,BD!$K$3:$K$5001,"&lt;&gt;")=0,"",SUMIFS(BD!$K$3:$K$5001,BD!$B$3:$B$5001,Q$114,BD!$A$3:$A$5001,_xlfn.MAXIFS(BD!$A$3:$A$5001,BD!$B$3:$B$5001,Q$114,BD!$A$3:$A$5001,"&gt;="&amp;$C$7,BD!$A$3:$A$5001,"&lt;="&amp;$B130,BD!$K$3:$K$5001,"&lt;&gt;"))))</f>
        <v/>
      </c>
      <c r="R130" s="43" t="str">
        <f>IF(OR($B130="",$A130&gt;$B$9,R$114=""),"",IF(COUNTIFS(BD!$B$3:$B$5001,R$114,BD!$A$3:$A$5001,"&gt;="&amp;$C$7,BD!$A$3:$A$5001,"&lt;="&amp;$B130,BD!$K$3:$K$5001,"&lt;&gt;")=0,"",SUMIFS(BD!$K$3:$K$5001,BD!$B$3:$B$5001,R$114,BD!$A$3:$A$5001,_xlfn.MAXIFS(BD!$A$3:$A$5001,BD!$B$3:$B$5001,R$114,BD!$A$3:$A$5001,"&gt;="&amp;$C$7,BD!$A$3:$A$5001,"&lt;="&amp;$B130,BD!$K$3:$K$5001,"&lt;&gt;"))))</f>
        <v/>
      </c>
      <c r="S130" s="43" t="str">
        <f>IF(OR($B130="",$A130&gt;$B$9,S$114=""),"",IF(COUNTIFS(BD!$B$3:$B$5001,S$114,BD!$A$3:$A$5001,"&gt;="&amp;$C$7,BD!$A$3:$A$5001,"&lt;="&amp;$B130,BD!$K$3:$K$5001,"&lt;&gt;")=0,"",SUMIFS(BD!$K$3:$K$5001,BD!$B$3:$B$5001,S$114,BD!$A$3:$A$5001,_xlfn.MAXIFS(BD!$A$3:$A$5001,BD!$B$3:$B$5001,S$114,BD!$A$3:$A$5001,"&gt;="&amp;$C$7,BD!$A$3:$A$5001,"&lt;="&amp;$B130,BD!$K$3:$K$5001,"&lt;&gt;"))))</f>
        <v/>
      </c>
      <c r="T130" s="43" t="str">
        <f>IF(OR($B130="",$A130&gt;$B$9,T$114=""),"",IF(COUNTIFS(BD!$B$3:$B$5001,T$114,BD!$A$3:$A$5001,"&gt;="&amp;$C$7,BD!$A$3:$A$5001,"&lt;="&amp;$B130,BD!$K$3:$K$5001,"&lt;&gt;")=0,"",SUMIFS(BD!$K$3:$K$5001,BD!$B$3:$B$5001,T$114,BD!$A$3:$A$5001,_xlfn.MAXIFS(BD!$A$3:$A$5001,BD!$B$3:$B$5001,T$114,BD!$A$3:$A$5001,"&gt;="&amp;$C$7,BD!$A$3:$A$5001,"&lt;="&amp;$B130,BD!$K$3:$K$5001,"&lt;&gt;"))))</f>
        <v/>
      </c>
      <c r="U130" s="43" t="str">
        <f>IF(OR($B130="",$A130&gt;$B$9,U$114=""),"",IF(COUNTIFS(BD!$B$3:$B$5001,U$114,BD!$A$3:$A$5001,"&gt;="&amp;$C$7,BD!$A$3:$A$5001,"&lt;="&amp;$B130,BD!$K$3:$K$5001,"&lt;&gt;")=0,"",SUMIFS(BD!$K$3:$K$5001,BD!$B$3:$B$5001,U$114,BD!$A$3:$A$5001,_xlfn.MAXIFS(BD!$A$3:$A$5001,BD!$B$3:$B$5001,U$114,BD!$A$3:$A$5001,"&gt;="&amp;$C$7,BD!$A$3:$A$5001,"&lt;="&amp;$B130,BD!$K$3:$K$5001,"&lt;&gt;"))))</f>
        <v/>
      </c>
      <c r="V130" s="43" t="str">
        <f>IF(OR($B130="",$A130&gt;$B$9,V$114=""),"",IF(COUNTIFS(BD!$B$3:$B$5001,V$114,BD!$A$3:$A$5001,"&gt;="&amp;$C$7,BD!$A$3:$A$5001,"&lt;="&amp;$B130,BD!$K$3:$K$5001,"&lt;&gt;")=0,"",SUMIFS(BD!$K$3:$K$5001,BD!$B$3:$B$5001,V$114,BD!$A$3:$A$5001,_xlfn.MAXIFS(BD!$A$3:$A$5001,BD!$B$3:$B$5001,V$114,BD!$A$3:$A$5001,"&gt;="&amp;$C$7,BD!$A$3:$A$5001,"&lt;="&amp;$B130,BD!$K$3:$K$5001,"&lt;&gt;"))))</f>
        <v/>
      </c>
    </row>
    <row r="131">
      <c r="A131" s="38">
        <v>17</v>
      </c>
      <c r="B131" s="42">
        <f>$B$28</f>
        <v>46312</v>
      </c>
      <c r="C131" s="43" t="str">
        <f>IF(OR($B131="",$A131&gt;$B$9,C$114=""),"",IF(COUNTIFS(BD!$B$3:$B$5001,C$114,BD!$A$3:$A$5001,"&gt;="&amp;$C$7,BD!$A$3:$A$5001,"&lt;="&amp;$B131,BD!$K$3:$K$5001,"&lt;&gt;")=0,"",SUMIFS(BD!$K$3:$K$5001,BD!$B$3:$B$5001,C$114,BD!$A$3:$A$5001,_xlfn.MAXIFS(BD!$A$3:$A$5001,BD!$B$3:$B$5001,C$114,BD!$A$3:$A$5001,"&gt;="&amp;$C$7,BD!$A$3:$A$5001,"&lt;="&amp;$B131,BD!$K$3:$K$5001,"&lt;&gt;"))))</f>
        <v/>
      </c>
      <c r="D131" s="43" t="str">
        <f>IF(OR($B131="",$A131&gt;$B$9,D$114=""),"",IF(COUNTIFS(BD!$B$3:$B$5001,D$114,BD!$A$3:$A$5001,"&gt;="&amp;$C$7,BD!$A$3:$A$5001,"&lt;="&amp;$B131,BD!$K$3:$K$5001,"&lt;&gt;")=0,"",SUMIFS(BD!$K$3:$K$5001,BD!$B$3:$B$5001,D$114,BD!$A$3:$A$5001,_xlfn.MAXIFS(BD!$A$3:$A$5001,BD!$B$3:$B$5001,D$114,BD!$A$3:$A$5001,"&gt;="&amp;$C$7,BD!$A$3:$A$5001,"&lt;="&amp;$B131,BD!$K$3:$K$5001,"&lt;&gt;"))))</f>
        <v/>
      </c>
      <c r="E131" s="43" t="str">
        <f>IF(OR($B131="",$A131&gt;$B$9,E$114=""),"",IF(COUNTIFS(BD!$B$3:$B$5001,E$114,BD!$A$3:$A$5001,"&gt;="&amp;$C$7,BD!$A$3:$A$5001,"&lt;="&amp;$B131,BD!$K$3:$K$5001,"&lt;&gt;")=0,"",SUMIFS(BD!$K$3:$K$5001,BD!$B$3:$B$5001,E$114,BD!$A$3:$A$5001,_xlfn.MAXIFS(BD!$A$3:$A$5001,BD!$B$3:$B$5001,E$114,BD!$A$3:$A$5001,"&gt;="&amp;$C$7,BD!$A$3:$A$5001,"&lt;="&amp;$B131,BD!$K$3:$K$5001,"&lt;&gt;"))))</f>
        <v/>
      </c>
      <c r="F131" s="43" t="str">
        <f>IF(OR($B131="",$A131&gt;$B$9,F$114=""),"",IF(COUNTIFS(BD!$B$3:$B$5001,F$114,BD!$A$3:$A$5001,"&gt;="&amp;$C$7,BD!$A$3:$A$5001,"&lt;="&amp;$B131,BD!$K$3:$K$5001,"&lt;&gt;")=0,"",SUMIFS(BD!$K$3:$K$5001,BD!$B$3:$B$5001,F$114,BD!$A$3:$A$5001,_xlfn.MAXIFS(BD!$A$3:$A$5001,BD!$B$3:$B$5001,F$114,BD!$A$3:$A$5001,"&gt;="&amp;$C$7,BD!$A$3:$A$5001,"&lt;="&amp;$B131,BD!$K$3:$K$5001,"&lt;&gt;"))))</f>
        <v/>
      </c>
      <c r="G131" s="43" t="str">
        <f>IF(OR($B131="",$A131&gt;$B$9,G$114=""),"",IF(COUNTIFS(BD!$B$3:$B$5001,G$114,BD!$A$3:$A$5001,"&gt;="&amp;$C$7,BD!$A$3:$A$5001,"&lt;="&amp;$B131,BD!$K$3:$K$5001,"&lt;&gt;")=0,"",SUMIFS(BD!$K$3:$K$5001,BD!$B$3:$B$5001,G$114,BD!$A$3:$A$5001,_xlfn.MAXIFS(BD!$A$3:$A$5001,BD!$B$3:$B$5001,G$114,BD!$A$3:$A$5001,"&gt;="&amp;$C$7,BD!$A$3:$A$5001,"&lt;="&amp;$B131,BD!$K$3:$K$5001,"&lt;&gt;"))))</f>
        <v/>
      </c>
      <c r="H131" s="43" t="str">
        <f>IF(OR($B131="",$A131&gt;$B$9,H$114=""),"",IF(COUNTIFS(BD!$B$3:$B$5001,H$114,BD!$A$3:$A$5001,"&gt;="&amp;$C$7,BD!$A$3:$A$5001,"&lt;="&amp;$B131,BD!$K$3:$K$5001,"&lt;&gt;")=0,"",SUMIFS(BD!$K$3:$K$5001,BD!$B$3:$B$5001,H$114,BD!$A$3:$A$5001,_xlfn.MAXIFS(BD!$A$3:$A$5001,BD!$B$3:$B$5001,H$114,BD!$A$3:$A$5001,"&gt;="&amp;$C$7,BD!$A$3:$A$5001,"&lt;="&amp;$B131,BD!$K$3:$K$5001,"&lt;&gt;"))))</f>
        <v/>
      </c>
      <c r="I131" s="43" t="str">
        <f>IF(OR($B131="",$A131&gt;$B$9,I$114=""),"",IF(COUNTIFS(BD!$B$3:$B$5001,I$114,BD!$A$3:$A$5001,"&gt;="&amp;$C$7,BD!$A$3:$A$5001,"&lt;="&amp;$B131,BD!$K$3:$K$5001,"&lt;&gt;")=0,"",SUMIFS(BD!$K$3:$K$5001,BD!$B$3:$B$5001,I$114,BD!$A$3:$A$5001,_xlfn.MAXIFS(BD!$A$3:$A$5001,BD!$B$3:$B$5001,I$114,BD!$A$3:$A$5001,"&gt;="&amp;$C$7,BD!$A$3:$A$5001,"&lt;="&amp;$B131,BD!$K$3:$K$5001,"&lt;&gt;"))))</f>
        <v/>
      </c>
      <c r="J131" s="43" t="str">
        <f>IF(OR($B131="",$A131&gt;$B$9,J$114=""),"",IF(COUNTIFS(BD!$B$3:$B$5001,J$114,BD!$A$3:$A$5001,"&gt;="&amp;$C$7,BD!$A$3:$A$5001,"&lt;="&amp;$B131,BD!$K$3:$K$5001,"&lt;&gt;")=0,"",SUMIFS(BD!$K$3:$K$5001,BD!$B$3:$B$5001,J$114,BD!$A$3:$A$5001,_xlfn.MAXIFS(BD!$A$3:$A$5001,BD!$B$3:$B$5001,J$114,BD!$A$3:$A$5001,"&gt;="&amp;$C$7,BD!$A$3:$A$5001,"&lt;="&amp;$B131,BD!$K$3:$K$5001,"&lt;&gt;"))))</f>
        <v/>
      </c>
      <c r="K131" s="43" t="str">
        <f>IF(OR($B131="",$A131&gt;$B$9,K$114=""),"",IF(COUNTIFS(BD!$B$3:$B$5001,K$114,BD!$A$3:$A$5001,"&gt;="&amp;$C$7,BD!$A$3:$A$5001,"&lt;="&amp;$B131,BD!$K$3:$K$5001,"&lt;&gt;")=0,"",SUMIFS(BD!$K$3:$K$5001,BD!$B$3:$B$5001,K$114,BD!$A$3:$A$5001,_xlfn.MAXIFS(BD!$A$3:$A$5001,BD!$B$3:$B$5001,K$114,BD!$A$3:$A$5001,"&gt;="&amp;$C$7,BD!$A$3:$A$5001,"&lt;="&amp;$B131,BD!$K$3:$K$5001,"&lt;&gt;"))))</f>
        <v/>
      </c>
      <c r="L131" s="43" t="str">
        <f>IF(OR($B131="",$A131&gt;$B$9,L$114=""),"",IF(COUNTIFS(BD!$B$3:$B$5001,L$114,BD!$A$3:$A$5001,"&gt;="&amp;$C$7,BD!$A$3:$A$5001,"&lt;="&amp;$B131,BD!$K$3:$K$5001,"&lt;&gt;")=0,"",SUMIFS(BD!$K$3:$K$5001,BD!$B$3:$B$5001,L$114,BD!$A$3:$A$5001,_xlfn.MAXIFS(BD!$A$3:$A$5001,BD!$B$3:$B$5001,L$114,BD!$A$3:$A$5001,"&gt;="&amp;$C$7,BD!$A$3:$A$5001,"&lt;="&amp;$B131,BD!$K$3:$K$5001,"&lt;&gt;"))))</f>
        <v/>
      </c>
      <c r="M131" s="43" t="str">
        <f>IF(OR($B131="",$A131&gt;$B$9,M$114=""),"",IF(COUNTIFS(BD!$B$3:$B$5001,M$114,BD!$A$3:$A$5001,"&gt;="&amp;$C$7,BD!$A$3:$A$5001,"&lt;="&amp;$B131,BD!$K$3:$K$5001,"&lt;&gt;")=0,"",SUMIFS(BD!$K$3:$K$5001,BD!$B$3:$B$5001,M$114,BD!$A$3:$A$5001,_xlfn.MAXIFS(BD!$A$3:$A$5001,BD!$B$3:$B$5001,M$114,BD!$A$3:$A$5001,"&gt;="&amp;$C$7,BD!$A$3:$A$5001,"&lt;="&amp;$B131,BD!$K$3:$K$5001,"&lt;&gt;"))))</f>
        <v/>
      </c>
      <c r="N131" s="43" t="str">
        <f>IF(OR($B131="",$A131&gt;$B$9,N$114=""),"",IF(COUNTIFS(BD!$B$3:$B$5001,N$114,BD!$A$3:$A$5001,"&gt;="&amp;$C$7,BD!$A$3:$A$5001,"&lt;="&amp;$B131,BD!$K$3:$K$5001,"&lt;&gt;")=0,"",SUMIFS(BD!$K$3:$K$5001,BD!$B$3:$B$5001,N$114,BD!$A$3:$A$5001,_xlfn.MAXIFS(BD!$A$3:$A$5001,BD!$B$3:$B$5001,N$114,BD!$A$3:$A$5001,"&gt;="&amp;$C$7,BD!$A$3:$A$5001,"&lt;="&amp;$B131,BD!$K$3:$K$5001,"&lt;&gt;"))))</f>
        <v/>
      </c>
      <c r="O131" s="43" t="str">
        <f>IF(OR($B131="",$A131&gt;$B$9,O$114=""),"",IF(COUNTIFS(BD!$B$3:$B$5001,O$114,BD!$A$3:$A$5001,"&gt;="&amp;$C$7,BD!$A$3:$A$5001,"&lt;="&amp;$B131,BD!$K$3:$K$5001,"&lt;&gt;")=0,"",SUMIFS(BD!$K$3:$K$5001,BD!$B$3:$B$5001,O$114,BD!$A$3:$A$5001,_xlfn.MAXIFS(BD!$A$3:$A$5001,BD!$B$3:$B$5001,O$114,BD!$A$3:$A$5001,"&gt;="&amp;$C$7,BD!$A$3:$A$5001,"&lt;="&amp;$B131,BD!$K$3:$K$5001,"&lt;&gt;"))))</f>
        <v/>
      </c>
      <c r="P131" s="43" t="str">
        <f>IF(OR($B131="",$A131&gt;$B$9,P$114=""),"",IF(COUNTIFS(BD!$B$3:$B$5001,P$114,BD!$A$3:$A$5001,"&gt;="&amp;$C$7,BD!$A$3:$A$5001,"&lt;="&amp;$B131,BD!$K$3:$K$5001,"&lt;&gt;")=0,"",SUMIFS(BD!$K$3:$K$5001,BD!$B$3:$B$5001,P$114,BD!$A$3:$A$5001,_xlfn.MAXIFS(BD!$A$3:$A$5001,BD!$B$3:$B$5001,P$114,BD!$A$3:$A$5001,"&gt;="&amp;$C$7,BD!$A$3:$A$5001,"&lt;="&amp;$B131,BD!$K$3:$K$5001,"&lt;&gt;"))))</f>
        <v/>
      </c>
      <c r="Q131" s="43" t="str">
        <f>IF(OR($B131="",$A131&gt;$B$9,Q$114=""),"",IF(COUNTIFS(BD!$B$3:$B$5001,Q$114,BD!$A$3:$A$5001,"&gt;="&amp;$C$7,BD!$A$3:$A$5001,"&lt;="&amp;$B131,BD!$K$3:$K$5001,"&lt;&gt;")=0,"",SUMIFS(BD!$K$3:$K$5001,BD!$B$3:$B$5001,Q$114,BD!$A$3:$A$5001,_xlfn.MAXIFS(BD!$A$3:$A$5001,BD!$B$3:$B$5001,Q$114,BD!$A$3:$A$5001,"&gt;="&amp;$C$7,BD!$A$3:$A$5001,"&lt;="&amp;$B131,BD!$K$3:$K$5001,"&lt;&gt;"))))</f>
        <v/>
      </c>
      <c r="R131" s="43" t="str">
        <f>IF(OR($B131="",$A131&gt;$B$9,R$114=""),"",IF(COUNTIFS(BD!$B$3:$B$5001,R$114,BD!$A$3:$A$5001,"&gt;="&amp;$C$7,BD!$A$3:$A$5001,"&lt;="&amp;$B131,BD!$K$3:$K$5001,"&lt;&gt;")=0,"",SUMIFS(BD!$K$3:$K$5001,BD!$B$3:$B$5001,R$114,BD!$A$3:$A$5001,_xlfn.MAXIFS(BD!$A$3:$A$5001,BD!$B$3:$B$5001,R$114,BD!$A$3:$A$5001,"&gt;="&amp;$C$7,BD!$A$3:$A$5001,"&lt;="&amp;$B131,BD!$K$3:$K$5001,"&lt;&gt;"))))</f>
        <v/>
      </c>
      <c r="S131" s="43" t="str">
        <f>IF(OR($B131="",$A131&gt;$B$9,S$114=""),"",IF(COUNTIFS(BD!$B$3:$B$5001,S$114,BD!$A$3:$A$5001,"&gt;="&amp;$C$7,BD!$A$3:$A$5001,"&lt;="&amp;$B131,BD!$K$3:$K$5001,"&lt;&gt;")=0,"",SUMIFS(BD!$K$3:$K$5001,BD!$B$3:$B$5001,S$114,BD!$A$3:$A$5001,_xlfn.MAXIFS(BD!$A$3:$A$5001,BD!$B$3:$B$5001,S$114,BD!$A$3:$A$5001,"&gt;="&amp;$C$7,BD!$A$3:$A$5001,"&lt;="&amp;$B131,BD!$K$3:$K$5001,"&lt;&gt;"))))</f>
        <v/>
      </c>
      <c r="T131" s="43" t="str">
        <f>IF(OR($B131="",$A131&gt;$B$9,T$114=""),"",IF(COUNTIFS(BD!$B$3:$B$5001,T$114,BD!$A$3:$A$5001,"&gt;="&amp;$C$7,BD!$A$3:$A$5001,"&lt;="&amp;$B131,BD!$K$3:$K$5001,"&lt;&gt;")=0,"",SUMIFS(BD!$K$3:$K$5001,BD!$B$3:$B$5001,T$114,BD!$A$3:$A$5001,_xlfn.MAXIFS(BD!$A$3:$A$5001,BD!$B$3:$B$5001,T$114,BD!$A$3:$A$5001,"&gt;="&amp;$C$7,BD!$A$3:$A$5001,"&lt;="&amp;$B131,BD!$K$3:$K$5001,"&lt;&gt;"))))</f>
        <v/>
      </c>
      <c r="U131" s="43" t="str">
        <f>IF(OR($B131="",$A131&gt;$B$9,U$114=""),"",IF(COUNTIFS(BD!$B$3:$B$5001,U$114,BD!$A$3:$A$5001,"&gt;="&amp;$C$7,BD!$A$3:$A$5001,"&lt;="&amp;$B131,BD!$K$3:$K$5001,"&lt;&gt;")=0,"",SUMIFS(BD!$K$3:$K$5001,BD!$B$3:$B$5001,U$114,BD!$A$3:$A$5001,_xlfn.MAXIFS(BD!$A$3:$A$5001,BD!$B$3:$B$5001,U$114,BD!$A$3:$A$5001,"&gt;="&amp;$C$7,BD!$A$3:$A$5001,"&lt;="&amp;$B131,BD!$K$3:$K$5001,"&lt;&gt;"))))</f>
        <v/>
      </c>
      <c r="V131" s="43" t="str">
        <f>IF(OR($B131="",$A131&gt;$B$9,V$114=""),"",IF(COUNTIFS(BD!$B$3:$B$5001,V$114,BD!$A$3:$A$5001,"&gt;="&amp;$C$7,BD!$A$3:$A$5001,"&lt;="&amp;$B131,BD!$K$3:$K$5001,"&lt;&gt;")=0,"",SUMIFS(BD!$K$3:$K$5001,BD!$B$3:$B$5001,V$114,BD!$A$3:$A$5001,_xlfn.MAXIFS(BD!$A$3:$A$5001,BD!$B$3:$B$5001,V$114,BD!$A$3:$A$5001,"&gt;="&amp;$C$7,BD!$A$3:$A$5001,"&lt;="&amp;$B131,BD!$K$3:$K$5001,"&lt;&gt;"))))</f>
        <v/>
      </c>
    </row>
    <row r="132">
      <c r="A132" s="38">
        <v>18</v>
      </c>
      <c r="B132" s="42">
        <f>$B$29</f>
        <v>46313</v>
      </c>
      <c r="C132" s="43" t="str">
        <f>IF(OR($B132="",$A132&gt;$B$9,C$114=""),"",IF(COUNTIFS(BD!$B$3:$B$5001,C$114,BD!$A$3:$A$5001,"&gt;="&amp;$C$7,BD!$A$3:$A$5001,"&lt;="&amp;$B132,BD!$K$3:$K$5001,"&lt;&gt;")=0,"",SUMIFS(BD!$K$3:$K$5001,BD!$B$3:$B$5001,C$114,BD!$A$3:$A$5001,_xlfn.MAXIFS(BD!$A$3:$A$5001,BD!$B$3:$B$5001,C$114,BD!$A$3:$A$5001,"&gt;="&amp;$C$7,BD!$A$3:$A$5001,"&lt;="&amp;$B132,BD!$K$3:$K$5001,"&lt;&gt;"))))</f>
        <v/>
      </c>
      <c r="D132" s="43" t="str">
        <f>IF(OR($B132="",$A132&gt;$B$9,D$114=""),"",IF(COUNTIFS(BD!$B$3:$B$5001,D$114,BD!$A$3:$A$5001,"&gt;="&amp;$C$7,BD!$A$3:$A$5001,"&lt;="&amp;$B132,BD!$K$3:$K$5001,"&lt;&gt;")=0,"",SUMIFS(BD!$K$3:$K$5001,BD!$B$3:$B$5001,D$114,BD!$A$3:$A$5001,_xlfn.MAXIFS(BD!$A$3:$A$5001,BD!$B$3:$B$5001,D$114,BD!$A$3:$A$5001,"&gt;="&amp;$C$7,BD!$A$3:$A$5001,"&lt;="&amp;$B132,BD!$K$3:$K$5001,"&lt;&gt;"))))</f>
        <v/>
      </c>
      <c r="E132" s="43" t="str">
        <f>IF(OR($B132="",$A132&gt;$B$9,E$114=""),"",IF(COUNTIFS(BD!$B$3:$B$5001,E$114,BD!$A$3:$A$5001,"&gt;="&amp;$C$7,BD!$A$3:$A$5001,"&lt;="&amp;$B132,BD!$K$3:$K$5001,"&lt;&gt;")=0,"",SUMIFS(BD!$K$3:$K$5001,BD!$B$3:$B$5001,E$114,BD!$A$3:$A$5001,_xlfn.MAXIFS(BD!$A$3:$A$5001,BD!$B$3:$B$5001,E$114,BD!$A$3:$A$5001,"&gt;="&amp;$C$7,BD!$A$3:$A$5001,"&lt;="&amp;$B132,BD!$K$3:$K$5001,"&lt;&gt;"))))</f>
        <v/>
      </c>
      <c r="F132" s="43" t="str">
        <f>IF(OR($B132="",$A132&gt;$B$9,F$114=""),"",IF(COUNTIFS(BD!$B$3:$B$5001,F$114,BD!$A$3:$A$5001,"&gt;="&amp;$C$7,BD!$A$3:$A$5001,"&lt;="&amp;$B132,BD!$K$3:$K$5001,"&lt;&gt;")=0,"",SUMIFS(BD!$K$3:$K$5001,BD!$B$3:$B$5001,F$114,BD!$A$3:$A$5001,_xlfn.MAXIFS(BD!$A$3:$A$5001,BD!$B$3:$B$5001,F$114,BD!$A$3:$A$5001,"&gt;="&amp;$C$7,BD!$A$3:$A$5001,"&lt;="&amp;$B132,BD!$K$3:$K$5001,"&lt;&gt;"))))</f>
        <v/>
      </c>
      <c r="G132" s="43" t="str">
        <f>IF(OR($B132="",$A132&gt;$B$9,G$114=""),"",IF(COUNTIFS(BD!$B$3:$B$5001,G$114,BD!$A$3:$A$5001,"&gt;="&amp;$C$7,BD!$A$3:$A$5001,"&lt;="&amp;$B132,BD!$K$3:$K$5001,"&lt;&gt;")=0,"",SUMIFS(BD!$K$3:$K$5001,BD!$B$3:$B$5001,G$114,BD!$A$3:$A$5001,_xlfn.MAXIFS(BD!$A$3:$A$5001,BD!$B$3:$B$5001,G$114,BD!$A$3:$A$5001,"&gt;="&amp;$C$7,BD!$A$3:$A$5001,"&lt;="&amp;$B132,BD!$K$3:$K$5001,"&lt;&gt;"))))</f>
        <v/>
      </c>
      <c r="H132" s="43" t="str">
        <f>IF(OR($B132="",$A132&gt;$B$9,H$114=""),"",IF(COUNTIFS(BD!$B$3:$B$5001,H$114,BD!$A$3:$A$5001,"&gt;="&amp;$C$7,BD!$A$3:$A$5001,"&lt;="&amp;$B132,BD!$K$3:$K$5001,"&lt;&gt;")=0,"",SUMIFS(BD!$K$3:$K$5001,BD!$B$3:$B$5001,H$114,BD!$A$3:$A$5001,_xlfn.MAXIFS(BD!$A$3:$A$5001,BD!$B$3:$B$5001,H$114,BD!$A$3:$A$5001,"&gt;="&amp;$C$7,BD!$A$3:$A$5001,"&lt;="&amp;$B132,BD!$K$3:$K$5001,"&lt;&gt;"))))</f>
        <v/>
      </c>
      <c r="I132" s="43" t="str">
        <f>IF(OR($B132="",$A132&gt;$B$9,I$114=""),"",IF(COUNTIFS(BD!$B$3:$B$5001,I$114,BD!$A$3:$A$5001,"&gt;="&amp;$C$7,BD!$A$3:$A$5001,"&lt;="&amp;$B132,BD!$K$3:$K$5001,"&lt;&gt;")=0,"",SUMIFS(BD!$K$3:$K$5001,BD!$B$3:$B$5001,I$114,BD!$A$3:$A$5001,_xlfn.MAXIFS(BD!$A$3:$A$5001,BD!$B$3:$B$5001,I$114,BD!$A$3:$A$5001,"&gt;="&amp;$C$7,BD!$A$3:$A$5001,"&lt;="&amp;$B132,BD!$K$3:$K$5001,"&lt;&gt;"))))</f>
        <v/>
      </c>
      <c r="J132" s="43" t="str">
        <f>IF(OR($B132="",$A132&gt;$B$9,J$114=""),"",IF(COUNTIFS(BD!$B$3:$B$5001,J$114,BD!$A$3:$A$5001,"&gt;="&amp;$C$7,BD!$A$3:$A$5001,"&lt;="&amp;$B132,BD!$K$3:$K$5001,"&lt;&gt;")=0,"",SUMIFS(BD!$K$3:$K$5001,BD!$B$3:$B$5001,J$114,BD!$A$3:$A$5001,_xlfn.MAXIFS(BD!$A$3:$A$5001,BD!$B$3:$B$5001,J$114,BD!$A$3:$A$5001,"&gt;="&amp;$C$7,BD!$A$3:$A$5001,"&lt;="&amp;$B132,BD!$K$3:$K$5001,"&lt;&gt;"))))</f>
        <v/>
      </c>
      <c r="K132" s="43" t="str">
        <f>IF(OR($B132="",$A132&gt;$B$9,K$114=""),"",IF(COUNTIFS(BD!$B$3:$B$5001,K$114,BD!$A$3:$A$5001,"&gt;="&amp;$C$7,BD!$A$3:$A$5001,"&lt;="&amp;$B132,BD!$K$3:$K$5001,"&lt;&gt;")=0,"",SUMIFS(BD!$K$3:$K$5001,BD!$B$3:$B$5001,K$114,BD!$A$3:$A$5001,_xlfn.MAXIFS(BD!$A$3:$A$5001,BD!$B$3:$B$5001,K$114,BD!$A$3:$A$5001,"&gt;="&amp;$C$7,BD!$A$3:$A$5001,"&lt;="&amp;$B132,BD!$K$3:$K$5001,"&lt;&gt;"))))</f>
        <v/>
      </c>
      <c r="L132" s="43" t="str">
        <f>IF(OR($B132="",$A132&gt;$B$9,L$114=""),"",IF(COUNTIFS(BD!$B$3:$B$5001,L$114,BD!$A$3:$A$5001,"&gt;="&amp;$C$7,BD!$A$3:$A$5001,"&lt;="&amp;$B132,BD!$K$3:$K$5001,"&lt;&gt;")=0,"",SUMIFS(BD!$K$3:$K$5001,BD!$B$3:$B$5001,L$114,BD!$A$3:$A$5001,_xlfn.MAXIFS(BD!$A$3:$A$5001,BD!$B$3:$B$5001,L$114,BD!$A$3:$A$5001,"&gt;="&amp;$C$7,BD!$A$3:$A$5001,"&lt;="&amp;$B132,BD!$K$3:$K$5001,"&lt;&gt;"))))</f>
        <v/>
      </c>
      <c r="M132" s="43" t="str">
        <f>IF(OR($B132="",$A132&gt;$B$9,M$114=""),"",IF(COUNTIFS(BD!$B$3:$B$5001,M$114,BD!$A$3:$A$5001,"&gt;="&amp;$C$7,BD!$A$3:$A$5001,"&lt;="&amp;$B132,BD!$K$3:$K$5001,"&lt;&gt;")=0,"",SUMIFS(BD!$K$3:$K$5001,BD!$B$3:$B$5001,M$114,BD!$A$3:$A$5001,_xlfn.MAXIFS(BD!$A$3:$A$5001,BD!$B$3:$B$5001,M$114,BD!$A$3:$A$5001,"&gt;="&amp;$C$7,BD!$A$3:$A$5001,"&lt;="&amp;$B132,BD!$K$3:$K$5001,"&lt;&gt;"))))</f>
        <v/>
      </c>
      <c r="N132" s="43" t="str">
        <f>IF(OR($B132="",$A132&gt;$B$9,N$114=""),"",IF(COUNTIFS(BD!$B$3:$B$5001,N$114,BD!$A$3:$A$5001,"&gt;="&amp;$C$7,BD!$A$3:$A$5001,"&lt;="&amp;$B132,BD!$K$3:$K$5001,"&lt;&gt;")=0,"",SUMIFS(BD!$K$3:$K$5001,BD!$B$3:$B$5001,N$114,BD!$A$3:$A$5001,_xlfn.MAXIFS(BD!$A$3:$A$5001,BD!$B$3:$B$5001,N$114,BD!$A$3:$A$5001,"&gt;="&amp;$C$7,BD!$A$3:$A$5001,"&lt;="&amp;$B132,BD!$K$3:$K$5001,"&lt;&gt;"))))</f>
        <v/>
      </c>
      <c r="O132" s="43" t="str">
        <f>IF(OR($B132="",$A132&gt;$B$9,O$114=""),"",IF(COUNTIFS(BD!$B$3:$B$5001,O$114,BD!$A$3:$A$5001,"&gt;="&amp;$C$7,BD!$A$3:$A$5001,"&lt;="&amp;$B132,BD!$K$3:$K$5001,"&lt;&gt;")=0,"",SUMIFS(BD!$K$3:$K$5001,BD!$B$3:$B$5001,O$114,BD!$A$3:$A$5001,_xlfn.MAXIFS(BD!$A$3:$A$5001,BD!$B$3:$B$5001,O$114,BD!$A$3:$A$5001,"&gt;="&amp;$C$7,BD!$A$3:$A$5001,"&lt;="&amp;$B132,BD!$K$3:$K$5001,"&lt;&gt;"))))</f>
        <v/>
      </c>
      <c r="P132" s="43" t="str">
        <f>IF(OR($B132="",$A132&gt;$B$9,P$114=""),"",IF(COUNTIFS(BD!$B$3:$B$5001,P$114,BD!$A$3:$A$5001,"&gt;="&amp;$C$7,BD!$A$3:$A$5001,"&lt;="&amp;$B132,BD!$K$3:$K$5001,"&lt;&gt;")=0,"",SUMIFS(BD!$K$3:$K$5001,BD!$B$3:$B$5001,P$114,BD!$A$3:$A$5001,_xlfn.MAXIFS(BD!$A$3:$A$5001,BD!$B$3:$B$5001,P$114,BD!$A$3:$A$5001,"&gt;="&amp;$C$7,BD!$A$3:$A$5001,"&lt;="&amp;$B132,BD!$K$3:$K$5001,"&lt;&gt;"))))</f>
        <v/>
      </c>
      <c r="Q132" s="43" t="str">
        <f>IF(OR($B132="",$A132&gt;$B$9,Q$114=""),"",IF(COUNTIFS(BD!$B$3:$B$5001,Q$114,BD!$A$3:$A$5001,"&gt;="&amp;$C$7,BD!$A$3:$A$5001,"&lt;="&amp;$B132,BD!$K$3:$K$5001,"&lt;&gt;")=0,"",SUMIFS(BD!$K$3:$K$5001,BD!$B$3:$B$5001,Q$114,BD!$A$3:$A$5001,_xlfn.MAXIFS(BD!$A$3:$A$5001,BD!$B$3:$B$5001,Q$114,BD!$A$3:$A$5001,"&gt;="&amp;$C$7,BD!$A$3:$A$5001,"&lt;="&amp;$B132,BD!$K$3:$K$5001,"&lt;&gt;"))))</f>
        <v/>
      </c>
      <c r="R132" s="43" t="str">
        <f>IF(OR($B132="",$A132&gt;$B$9,R$114=""),"",IF(COUNTIFS(BD!$B$3:$B$5001,R$114,BD!$A$3:$A$5001,"&gt;="&amp;$C$7,BD!$A$3:$A$5001,"&lt;="&amp;$B132,BD!$K$3:$K$5001,"&lt;&gt;")=0,"",SUMIFS(BD!$K$3:$K$5001,BD!$B$3:$B$5001,R$114,BD!$A$3:$A$5001,_xlfn.MAXIFS(BD!$A$3:$A$5001,BD!$B$3:$B$5001,R$114,BD!$A$3:$A$5001,"&gt;="&amp;$C$7,BD!$A$3:$A$5001,"&lt;="&amp;$B132,BD!$K$3:$K$5001,"&lt;&gt;"))))</f>
        <v/>
      </c>
      <c r="S132" s="43" t="str">
        <f>IF(OR($B132="",$A132&gt;$B$9,S$114=""),"",IF(COUNTIFS(BD!$B$3:$B$5001,S$114,BD!$A$3:$A$5001,"&gt;="&amp;$C$7,BD!$A$3:$A$5001,"&lt;="&amp;$B132,BD!$K$3:$K$5001,"&lt;&gt;")=0,"",SUMIFS(BD!$K$3:$K$5001,BD!$B$3:$B$5001,S$114,BD!$A$3:$A$5001,_xlfn.MAXIFS(BD!$A$3:$A$5001,BD!$B$3:$B$5001,S$114,BD!$A$3:$A$5001,"&gt;="&amp;$C$7,BD!$A$3:$A$5001,"&lt;="&amp;$B132,BD!$K$3:$K$5001,"&lt;&gt;"))))</f>
        <v/>
      </c>
      <c r="T132" s="43" t="str">
        <f>IF(OR($B132="",$A132&gt;$B$9,T$114=""),"",IF(COUNTIFS(BD!$B$3:$B$5001,T$114,BD!$A$3:$A$5001,"&gt;="&amp;$C$7,BD!$A$3:$A$5001,"&lt;="&amp;$B132,BD!$K$3:$K$5001,"&lt;&gt;")=0,"",SUMIFS(BD!$K$3:$K$5001,BD!$B$3:$B$5001,T$114,BD!$A$3:$A$5001,_xlfn.MAXIFS(BD!$A$3:$A$5001,BD!$B$3:$B$5001,T$114,BD!$A$3:$A$5001,"&gt;="&amp;$C$7,BD!$A$3:$A$5001,"&lt;="&amp;$B132,BD!$K$3:$K$5001,"&lt;&gt;"))))</f>
        <v/>
      </c>
      <c r="U132" s="43" t="str">
        <f>IF(OR($B132="",$A132&gt;$B$9,U$114=""),"",IF(COUNTIFS(BD!$B$3:$B$5001,U$114,BD!$A$3:$A$5001,"&gt;="&amp;$C$7,BD!$A$3:$A$5001,"&lt;="&amp;$B132,BD!$K$3:$K$5001,"&lt;&gt;")=0,"",SUMIFS(BD!$K$3:$K$5001,BD!$B$3:$B$5001,U$114,BD!$A$3:$A$5001,_xlfn.MAXIFS(BD!$A$3:$A$5001,BD!$B$3:$B$5001,U$114,BD!$A$3:$A$5001,"&gt;="&amp;$C$7,BD!$A$3:$A$5001,"&lt;="&amp;$B132,BD!$K$3:$K$5001,"&lt;&gt;"))))</f>
        <v/>
      </c>
      <c r="V132" s="43" t="str">
        <f>IF(OR($B132="",$A132&gt;$B$9,V$114=""),"",IF(COUNTIFS(BD!$B$3:$B$5001,V$114,BD!$A$3:$A$5001,"&gt;="&amp;$C$7,BD!$A$3:$A$5001,"&lt;="&amp;$B132,BD!$K$3:$K$5001,"&lt;&gt;")=0,"",SUMIFS(BD!$K$3:$K$5001,BD!$B$3:$B$5001,V$114,BD!$A$3:$A$5001,_xlfn.MAXIFS(BD!$A$3:$A$5001,BD!$B$3:$B$5001,V$114,BD!$A$3:$A$5001,"&gt;="&amp;$C$7,BD!$A$3:$A$5001,"&lt;="&amp;$B132,BD!$K$3:$K$5001,"&lt;&gt;"))))</f>
        <v/>
      </c>
    </row>
    <row r="133">
      <c r="A133" s="38">
        <v>19</v>
      </c>
      <c r="B133" s="42">
        <f>$B$30</f>
        <v>46314</v>
      </c>
      <c r="C133" s="43" t="str">
        <f>IF(OR($B133="",$A133&gt;$B$9,C$114=""),"",IF(COUNTIFS(BD!$B$3:$B$5001,C$114,BD!$A$3:$A$5001,"&gt;="&amp;$C$7,BD!$A$3:$A$5001,"&lt;="&amp;$B133,BD!$K$3:$K$5001,"&lt;&gt;")=0,"",SUMIFS(BD!$K$3:$K$5001,BD!$B$3:$B$5001,C$114,BD!$A$3:$A$5001,_xlfn.MAXIFS(BD!$A$3:$A$5001,BD!$B$3:$B$5001,C$114,BD!$A$3:$A$5001,"&gt;="&amp;$C$7,BD!$A$3:$A$5001,"&lt;="&amp;$B133,BD!$K$3:$K$5001,"&lt;&gt;"))))</f>
        <v/>
      </c>
      <c r="D133" s="43" t="str">
        <f>IF(OR($B133="",$A133&gt;$B$9,D$114=""),"",IF(COUNTIFS(BD!$B$3:$B$5001,D$114,BD!$A$3:$A$5001,"&gt;="&amp;$C$7,BD!$A$3:$A$5001,"&lt;="&amp;$B133,BD!$K$3:$K$5001,"&lt;&gt;")=0,"",SUMIFS(BD!$K$3:$K$5001,BD!$B$3:$B$5001,D$114,BD!$A$3:$A$5001,_xlfn.MAXIFS(BD!$A$3:$A$5001,BD!$B$3:$B$5001,D$114,BD!$A$3:$A$5001,"&gt;="&amp;$C$7,BD!$A$3:$A$5001,"&lt;="&amp;$B133,BD!$K$3:$K$5001,"&lt;&gt;"))))</f>
        <v/>
      </c>
      <c r="E133" s="43" t="str">
        <f>IF(OR($B133="",$A133&gt;$B$9,E$114=""),"",IF(COUNTIFS(BD!$B$3:$B$5001,E$114,BD!$A$3:$A$5001,"&gt;="&amp;$C$7,BD!$A$3:$A$5001,"&lt;="&amp;$B133,BD!$K$3:$K$5001,"&lt;&gt;")=0,"",SUMIFS(BD!$K$3:$K$5001,BD!$B$3:$B$5001,E$114,BD!$A$3:$A$5001,_xlfn.MAXIFS(BD!$A$3:$A$5001,BD!$B$3:$B$5001,E$114,BD!$A$3:$A$5001,"&gt;="&amp;$C$7,BD!$A$3:$A$5001,"&lt;="&amp;$B133,BD!$K$3:$K$5001,"&lt;&gt;"))))</f>
        <v/>
      </c>
      <c r="F133" s="43" t="str">
        <f>IF(OR($B133="",$A133&gt;$B$9,F$114=""),"",IF(COUNTIFS(BD!$B$3:$B$5001,F$114,BD!$A$3:$A$5001,"&gt;="&amp;$C$7,BD!$A$3:$A$5001,"&lt;="&amp;$B133,BD!$K$3:$K$5001,"&lt;&gt;")=0,"",SUMIFS(BD!$K$3:$K$5001,BD!$B$3:$B$5001,F$114,BD!$A$3:$A$5001,_xlfn.MAXIFS(BD!$A$3:$A$5001,BD!$B$3:$B$5001,F$114,BD!$A$3:$A$5001,"&gt;="&amp;$C$7,BD!$A$3:$A$5001,"&lt;="&amp;$B133,BD!$K$3:$K$5001,"&lt;&gt;"))))</f>
        <v/>
      </c>
      <c r="G133" s="43" t="str">
        <f>IF(OR($B133="",$A133&gt;$B$9,G$114=""),"",IF(COUNTIFS(BD!$B$3:$B$5001,G$114,BD!$A$3:$A$5001,"&gt;="&amp;$C$7,BD!$A$3:$A$5001,"&lt;="&amp;$B133,BD!$K$3:$K$5001,"&lt;&gt;")=0,"",SUMIFS(BD!$K$3:$K$5001,BD!$B$3:$B$5001,G$114,BD!$A$3:$A$5001,_xlfn.MAXIFS(BD!$A$3:$A$5001,BD!$B$3:$B$5001,G$114,BD!$A$3:$A$5001,"&gt;="&amp;$C$7,BD!$A$3:$A$5001,"&lt;="&amp;$B133,BD!$K$3:$K$5001,"&lt;&gt;"))))</f>
        <v/>
      </c>
      <c r="H133" s="43" t="str">
        <f>IF(OR($B133="",$A133&gt;$B$9,H$114=""),"",IF(COUNTIFS(BD!$B$3:$B$5001,H$114,BD!$A$3:$A$5001,"&gt;="&amp;$C$7,BD!$A$3:$A$5001,"&lt;="&amp;$B133,BD!$K$3:$K$5001,"&lt;&gt;")=0,"",SUMIFS(BD!$K$3:$K$5001,BD!$B$3:$B$5001,H$114,BD!$A$3:$A$5001,_xlfn.MAXIFS(BD!$A$3:$A$5001,BD!$B$3:$B$5001,H$114,BD!$A$3:$A$5001,"&gt;="&amp;$C$7,BD!$A$3:$A$5001,"&lt;="&amp;$B133,BD!$K$3:$K$5001,"&lt;&gt;"))))</f>
        <v/>
      </c>
      <c r="I133" s="43" t="str">
        <f>IF(OR($B133="",$A133&gt;$B$9,I$114=""),"",IF(COUNTIFS(BD!$B$3:$B$5001,I$114,BD!$A$3:$A$5001,"&gt;="&amp;$C$7,BD!$A$3:$A$5001,"&lt;="&amp;$B133,BD!$K$3:$K$5001,"&lt;&gt;")=0,"",SUMIFS(BD!$K$3:$K$5001,BD!$B$3:$B$5001,I$114,BD!$A$3:$A$5001,_xlfn.MAXIFS(BD!$A$3:$A$5001,BD!$B$3:$B$5001,I$114,BD!$A$3:$A$5001,"&gt;="&amp;$C$7,BD!$A$3:$A$5001,"&lt;="&amp;$B133,BD!$K$3:$K$5001,"&lt;&gt;"))))</f>
        <v/>
      </c>
      <c r="J133" s="43" t="str">
        <f>IF(OR($B133="",$A133&gt;$B$9,J$114=""),"",IF(COUNTIFS(BD!$B$3:$B$5001,J$114,BD!$A$3:$A$5001,"&gt;="&amp;$C$7,BD!$A$3:$A$5001,"&lt;="&amp;$B133,BD!$K$3:$K$5001,"&lt;&gt;")=0,"",SUMIFS(BD!$K$3:$K$5001,BD!$B$3:$B$5001,J$114,BD!$A$3:$A$5001,_xlfn.MAXIFS(BD!$A$3:$A$5001,BD!$B$3:$B$5001,J$114,BD!$A$3:$A$5001,"&gt;="&amp;$C$7,BD!$A$3:$A$5001,"&lt;="&amp;$B133,BD!$K$3:$K$5001,"&lt;&gt;"))))</f>
        <v/>
      </c>
      <c r="K133" s="43" t="str">
        <f>IF(OR($B133="",$A133&gt;$B$9,K$114=""),"",IF(COUNTIFS(BD!$B$3:$B$5001,K$114,BD!$A$3:$A$5001,"&gt;="&amp;$C$7,BD!$A$3:$A$5001,"&lt;="&amp;$B133,BD!$K$3:$K$5001,"&lt;&gt;")=0,"",SUMIFS(BD!$K$3:$K$5001,BD!$B$3:$B$5001,K$114,BD!$A$3:$A$5001,_xlfn.MAXIFS(BD!$A$3:$A$5001,BD!$B$3:$B$5001,K$114,BD!$A$3:$A$5001,"&gt;="&amp;$C$7,BD!$A$3:$A$5001,"&lt;="&amp;$B133,BD!$K$3:$K$5001,"&lt;&gt;"))))</f>
        <v/>
      </c>
      <c r="L133" s="43" t="str">
        <f>IF(OR($B133="",$A133&gt;$B$9,L$114=""),"",IF(COUNTIFS(BD!$B$3:$B$5001,L$114,BD!$A$3:$A$5001,"&gt;="&amp;$C$7,BD!$A$3:$A$5001,"&lt;="&amp;$B133,BD!$K$3:$K$5001,"&lt;&gt;")=0,"",SUMIFS(BD!$K$3:$K$5001,BD!$B$3:$B$5001,L$114,BD!$A$3:$A$5001,_xlfn.MAXIFS(BD!$A$3:$A$5001,BD!$B$3:$B$5001,L$114,BD!$A$3:$A$5001,"&gt;="&amp;$C$7,BD!$A$3:$A$5001,"&lt;="&amp;$B133,BD!$K$3:$K$5001,"&lt;&gt;"))))</f>
        <v/>
      </c>
      <c r="M133" s="43" t="str">
        <f>IF(OR($B133="",$A133&gt;$B$9,M$114=""),"",IF(COUNTIFS(BD!$B$3:$B$5001,M$114,BD!$A$3:$A$5001,"&gt;="&amp;$C$7,BD!$A$3:$A$5001,"&lt;="&amp;$B133,BD!$K$3:$K$5001,"&lt;&gt;")=0,"",SUMIFS(BD!$K$3:$K$5001,BD!$B$3:$B$5001,M$114,BD!$A$3:$A$5001,_xlfn.MAXIFS(BD!$A$3:$A$5001,BD!$B$3:$B$5001,M$114,BD!$A$3:$A$5001,"&gt;="&amp;$C$7,BD!$A$3:$A$5001,"&lt;="&amp;$B133,BD!$K$3:$K$5001,"&lt;&gt;"))))</f>
        <v/>
      </c>
      <c r="N133" s="43" t="str">
        <f>IF(OR($B133="",$A133&gt;$B$9,N$114=""),"",IF(COUNTIFS(BD!$B$3:$B$5001,N$114,BD!$A$3:$A$5001,"&gt;="&amp;$C$7,BD!$A$3:$A$5001,"&lt;="&amp;$B133,BD!$K$3:$K$5001,"&lt;&gt;")=0,"",SUMIFS(BD!$K$3:$K$5001,BD!$B$3:$B$5001,N$114,BD!$A$3:$A$5001,_xlfn.MAXIFS(BD!$A$3:$A$5001,BD!$B$3:$B$5001,N$114,BD!$A$3:$A$5001,"&gt;="&amp;$C$7,BD!$A$3:$A$5001,"&lt;="&amp;$B133,BD!$K$3:$K$5001,"&lt;&gt;"))))</f>
        <v/>
      </c>
      <c r="O133" s="43" t="str">
        <f>IF(OR($B133="",$A133&gt;$B$9,O$114=""),"",IF(COUNTIFS(BD!$B$3:$B$5001,O$114,BD!$A$3:$A$5001,"&gt;="&amp;$C$7,BD!$A$3:$A$5001,"&lt;="&amp;$B133,BD!$K$3:$K$5001,"&lt;&gt;")=0,"",SUMIFS(BD!$K$3:$K$5001,BD!$B$3:$B$5001,O$114,BD!$A$3:$A$5001,_xlfn.MAXIFS(BD!$A$3:$A$5001,BD!$B$3:$B$5001,O$114,BD!$A$3:$A$5001,"&gt;="&amp;$C$7,BD!$A$3:$A$5001,"&lt;="&amp;$B133,BD!$K$3:$K$5001,"&lt;&gt;"))))</f>
        <v/>
      </c>
      <c r="P133" s="43" t="str">
        <f>IF(OR($B133="",$A133&gt;$B$9,P$114=""),"",IF(COUNTIFS(BD!$B$3:$B$5001,P$114,BD!$A$3:$A$5001,"&gt;="&amp;$C$7,BD!$A$3:$A$5001,"&lt;="&amp;$B133,BD!$K$3:$K$5001,"&lt;&gt;")=0,"",SUMIFS(BD!$K$3:$K$5001,BD!$B$3:$B$5001,P$114,BD!$A$3:$A$5001,_xlfn.MAXIFS(BD!$A$3:$A$5001,BD!$B$3:$B$5001,P$114,BD!$A$3:$A$5001,"&gt;="&amp;$C$7,BD!$A$3:$A$5001,"&lt;="&amp;$B133,BD!$K$3:$K$5001,"&lt;&gt;"))))</f>
        <v/>
      </c>
      <c r="Q133" s="43" t="str">
        <f>IF(OR($B133="",$A133&gt;$B$9,Q$114=""),"",IF(COUNTIFS(BD!$B$3:$B$5001,Q$114,BD!$A$3:$A$5001,"&gt;="&amp;$C$7,BD!$A$3:$A$5001,"&lt;="&amp;$B133,BD!$K$3:$K$5001,"&lt;&gt;")=0,"",SUMIFS(BD!$K$3:$K$5001,BD!$B$3:$B$5001,Q$114,BD!$A$3:$A$5001,_xlfn.MAXIFS(BD!$A$3:$A$5001,BD!$B$3:$B$5001,Q$114,BD!$A$3:$A$5001,"&gt;="&amp;$C$7,BD!$A$3:$A$5001,"&lt;="&amp;$B133,BD!$K$3:$K$5001,"&lt;&gt;"))))</f>
        <v/>
      </c>
      <c r="R133" s="43" t="str">
        <f>IF(OR($B133="",$A133&gt;$B$9,R$114=""),"",IF(COUNTIFS(BD!$B$3:$B$5001,R$114,BD!$A$3:$A$5001,"&gt;="&amp;$C$7,BD!$A$3:$A$5001,"&lt;="&amp;$B133,BD!$K$3:$K$5001,"&lt;&gt;")=0,"",SUMIFS(BD!$K$3:$K$5001,BD!$B$3:$B$5001,R$114,BD!$A$3:$A$5001,_xlfn.MAXIFS(BD!$A$3:$A$5001,BD!$B$3:$B$5001,R$114,BD!$A$3:$A$5001,"&gt;="&amp;$C$7,BD!$A$3:$A$5001,"&lt;="&amp;$B133,BD!$K$3:$K$5001,"&lt;&gt;"))))</f>
        <v/>
      </c>
      <c r="S133" s="43" t="str">
        <f>IF(OR($B133="",$A133&gt;$B$9,S$114=""),"",IF(COUNTIFS(BD!$B$3:$B$5001,S$114,BD!$A$3:$A$5001,"&gt;="&amp;$C$7,BD!$A$3:$A$5001,"&lt;="&amp;$B133,BD!$K$3:$K$5001,"&lt;&gt;")=0,"",SUMIFS(BD!$K$3:$K$5001,BD!$B$3:$B$5001,S$114,BD!$A$3:$A$5001,_xlfn.MAXIFS(BD!$A$3:$A$5001,BD!$B$3:$B$5001,S$114,BD!$A$3:$A$5001,"&gt;="&amp;$C$7,BD!$A$3:$A$5001,"&lt;="&amp;$B133,BD!$K$3:$K$5001,"&lt;&gt;"))))</f>
        <v/>
      </c>
      <c r="T133" s="43" t="str">
        <f>IF(OR($B133="",$A133&gt;$B$9,T$114=""),"",IF(COUNTIFS(BD!$B$3:$B$5001,T$114,BD!$A$3:$A$5001,"&gt;="&amp;$C$7,BD!$A$3:$A$5001,"&lt;="&amp;$B133,BD!$K$3:$K$5001,"&lt;&gt;")=0,"",SUMIFS(BD!$K$3:$K$5001,BD!$B$3:$B$5001,T$114,BD!$A$3:$A$5001,_xlfn.MAXIFS(BD!$A$3:$A$5001,BD!$B$3:$B$5001,T$114,BD!$A$3:$A$5001,"&gt;="&amp;$C$7,BD!$A$3:$A$5001,"&lt;="&amp;$B133,BD!$K$3:$K$5001,"&lt;&gt;"))))</f>
        <v/>
      </c>
      <c r="U133" s="43" t="str">
        <f>IF(OR($B133="",$A133&gt;$B$9,U$114=""),"",IF(COUNTIFS(BD!$B$3:$B$5001,U$114,BD!$A$3:$A$5001,"&gt;="&amp;$C$7,BD!$A$3:$A$5001,"&lt;="&amp;$B133,BD!$K$3:$K$5001,"&lt;&gt;")=0,"",SUMIFS(BD!$K$3:$K$5001,BD!$B$3:$B$5001,U$114,BD!$A$3:$A$5001,_xlfn.MAXIFS(BD!$A$3:$A$5001,BD!$B$3:$B$5001,U$114,BD!$A$3:$A$5001,"&gt;="&amp;$C$7,BD!$A$3:$A$5001,"&lt;="&amp;$B133,BD!$K$3:$K$5001,"&lt;&gt;"))))</f>
        <v/>
      </c>
      <c r="V133" s="43" t="str">
        <f>IF(OR($B133="",$A133&gt;$B$9,V$114=""),"",IF(COUNTIFS(BD!$B$3:$B$5001,V$114,BD!$A$3:$A$5001,"&gt;="&amp;$C$7,BD!$A$3:$A$5001,"&lt;="&amp;$B133,BD!$K$3:$K$5001,"&lt;&gt;")=0,"",SUMIFS(BD!$K$3:$K$5001,BD!$B$3:$B$5001,V$114,BD!$A$3:$A$5001,_xlfn.MAXIFS(BD!$A$3:$A$5001,BD!$B$3:$B$5001,V$114,BD!$A$3:$A$5001,"&gt;="&amp;$C$7,BD!$A$3:$A$5001,"&lt;="&amp;$B133,BD!$K$3:$K$5001,"&lt;&gt;"))))</f>
        <v/>
      </c>
    </row>
    <row r="134">
      <c r="A134" s="38">
        <v>20</v>
      </c>
      <c r="B134" s="42">
        <f>$B$31</f>
        <v>46315</v>
      </c>
      <c r="C134" s="43" t="str">
        <f>IF(OR($B134="",$A134&gt;$B$9,C$114=""),"",IF(COUNTIFS(BD!$B$3:$B$5001,C$114,BD!$A$3:$A$5001,"&gt;="&amp;$C$7,BD!$A$3:$A$5001,"&lt;="&amp;$B134,BD!$K$3:$K$5001,"&lt;&gt;")=0,"",SUMIFS(BD!$K$3:$K$5001,BD!$B$3:$B$5001,C$114,BD!$A$3:$A$5001,_xlfn.MAXIFS(BD!$A$3:$A$5001,BD!$B$3:$B$5001,C$114,BD!$A$3:$A$5001,"&gt;="&amp;$C$7,BD!$A$3:$A$5001,"&lt;="&amp;$B134,BD!$K$3:$K$5001,"&lt;&gt;"))))</f>
        <v/>
      </c>
      <c r="D134" s="43" t="str">
        <f>IF(OR($B134="",$A134&gt;$B$9,D$114=""),"",IF(COUNTIFS(BD!$B$3:$B$5001,D$114,BD!$A$3:$A$5001,"&gt;="&amp;$C$7,BD!$A$3:$A$5001,"&lt;="&amp;$B134,BD!$K$3:$K$5001,"&lt;&gt;")=0,"",SUMIFS(BD!$K$3:$K$5001,BD!$B$3:$B$5001,D$114,BD!$A$3:$A$5001,_xlfn.MAXIFS(BD!$A$3:$A$5001,BD!$B$3:$B$5001,D$114,BD!$A$3:$A$5001,"&gt;="&amp;$C$7,BD!$A$3:$A$5001,"&lt;="&amp;$B134,BD!$K$3:$K$5001,"&lt;&gt;"))))</f>
        <v/>
      </c>
      <c r="E134" s="43" t="str">
        <f>IF(OR($B134="",$A134&gt;$B$9,E$114=""),"",IF(COUNTIFS(BD!$B$3:$B$5001,E$114,BD!$A$3:$A$5001,"&gt;="&amp;$C$7,BD!$A$3:$A$5001,"&lt;="&amp;$B134,BD!$K$3:$K$5001,"&lt;&gt;")=0,"",SUMIFS(BD!$K$3:$K$5001,BD!$B$3:$B$5001,E$114,BD!$A$3:$A$5001,_xlfn.MAXIFS(BD!$A$3:$A$5001,BD!$B$3:$B$5001,E$114,BD!$A$3:$A$5001,"&gt;="&amp;$C$7,BD!$A$3:$A$5001,"&lt;="&amp;$B134,BD!$K$3:$K$5001,"&lt;&gt;"))))</f>
        <v/>
      </c>
      <c r="F134" s="43" t="str">
        <f>IF(OR($B134="",$A134&gt;$B$9,F$114=""),"",IF(COUNTIFS(BD!$B$3:$B$5001,F$114,BD!$A$3:$A$5001,"&gt;="&amp;$C$7,BD!$A$3:$A$5001,"&lt;="&amp;$B134,BD!$K$3:$K$5001,"&lt;&gt;")=0,"",SUMIFS(BD!$K$3:$K$5001,BD!$B$3:$B$5001,F$114,BD!$A$3:$A$5001,_xlfn.MAXIFS(BD!$A$3:$A$5001,BD!$B$3:$B$5001,F$114,BD!$A$3:$A$5001,"&gt;="&amp;$C$7,BD!$A$3:$A$5001,"&lt;="&amp;$B134,BD!$K$3:$K$5001,"&lt;&gt;"))))</f>
        <v/>
      </c>
      <c r="G134" s="43" t="str">
        <f>IF(OR($B134="",$A134&gt;$B$9,G$114=""),"",IF(COUNTIFS(BD!$B$3:$B$5001,G$114,BD!$A$3:$A$5001,"&gt;="&amp;$C$7,BD!$A$3:$A$5001,"&lt;="&amp;$B134,BD!$K$3:$K$5001,"&lt;&gt;")=0,"",SUMIFS(BD!$K$3:$K$5001,BD!$B$3:$B$5001,G$114,BD!$A$3:$A$5001,_xlfn.MAXIFS(BD!$A$3:$A$5001,BD!$B$3:$B$5001,G$114,BD!$A$3:$A$5001,"&gt;="&amp;$C$7,BD!$A$3:$A$5001,"&lt;="&amp;$B134,BD!$K$3:$K$5001,"&lt;&gt;"))))</f>
        <v/>
      </c>
      <c r="H134" s="43" t="str">
        <f>IF(OR($B134="",$A134&gt;$B$9,H$114=""),"",IF(COUNTIFS(BD!$B$3:$B$5001,H$114,BD!$A$3:$A$5001,"&gt;="&amp;$C$7,BD!$A$3:$A$5001,"&lt;="&amp;$B134,BD!$K$3:$K$5001,"&lt;&gt;")=0,"",SUMIFS(BD!$K$3:$K$5001,BD!$B$3:$B$5001,H$114,BD!$A$3:$A$5001,_xlfn.MAXIFS(BD!$A$3:$A$5001,BD!$B$3:$B$5001,H$114,BD!$A$3:$A$5001,"&gt;="&amp;$C$7,BD!$A$3:$A$5001,"&lt;="&amp;$B134,BD!$K$3:$K$5001,"&lt;&gt;"))))</f>
        <v/>
      </c>
      <c r="I134" s="43" t="str">
        <f>IF(OR($B134="",$A134&gt;$B$9,I$114=""),"",IF(COUNTIFS(BD!$B$3:$B$5001,I$114,BD!$A$3:$A$5001,"&gt;="&amp;$C$7,BD!$A$3:$A$5001,"&lt;="&amp;$B134,BD!$K$3:$K$5001,"&lt;&gt;")=0,"",SUMIFS(BD!$K$3:$K$5001,BD!$B$3:$B$5001,I$114,BD!$A$3:$A$5001,_xlfn.MAXIFS(BD!$A$3:$A$5001,BD!$B$3:$B$5001,I$114,BD!$A$3:$A$5001,"&gt;="&amp;$C$7,BD!$A$3:$A$5001,"&lt;="&amp;$B134,BD!$K$3:$K$5001,"&lt;&gt;"))))</f>
        <v/>
      </c>
      <c r="J134" s="43" t="str">
        <f>IF(OR($B134="",$A134&gt;$B$9,J$114=""),"",IF(COUNTIFS(BD!$B$3:$B$5001,J$114,BD!$A$3:$A$5001,"&gt;="&amp;$C$7,BD!$A$3:$A$5001,"&lt;="&amp;$B134,BD!$K$3:$K$5001,"&lt;&gt;")=0,"",SUMIFS(BD!$K$3:$K$5001,BD!$B$3:$B$5001,J$114,BD!$A$3:$A$5001,_xlfn.MAXIFS(BD!$A$3:$A$5001,BD!$B$3:$B$5001,J$114,BD!$A$3:$A$5001,"&gt;="&amp;$C$7,BD!$A$3:$A$5001,"&lt;="&amp;$B134,BD!$K$3:$K$5001,"&lt;&gt;"))))</f>
        <v/>
      </c>
      <c r="K134" s="43" t="str">
        <f>IF(OR($B134="",$A134&gt;$B$9,K$114=""),"",IF(COUNTIFS(BD!$B$3:$B$5001,K$114,BD!$A$3:$A$5001,"&gt;="&amp;$C$7,BD!$A$3:$A$5001,"&lt;="&amp;$B134,BD!$K$3:$K$5001,"&lt;&gt;")=0,"",SUMIFS(BD!$K$3:$K$5001,BD!$B$3:$B$5001,K$114,BD!$A$3:$A$5001,_xlfn.MAXIFS(BD!$A$3:$A$5001,BD!$B$3:$B$5001,K$114,BD!$A$3:$A$5001,"&gt;="&amp;$C$7,BD!$A$3:$A$5001,"&lt;="&amp;$B134,BD!$K$3:$K$5001,"&lt;&gt;"))))</f>
        <v/>
      </c>
      <c r="L134" s="43" t="str">
        <f>IF(OR($B134="",$A134&gt;$B$9,L$114=""),"",IF(COUNTIFS(BD!$B$3:$B$5001,L$114,BD!$A$3:$A$5001,"&gt;="&amp;$C$7,BD!$A$3:$A$5001,"&lt;="&amp;$B134,BD!$K$3:$K$5001,"&lt;&gt;")=0,"",SUMIFS(BD!$K$3:$K$5001,BD!$B$3:$B$5001,L$114,BD!$A$3:$A$5001,_xlfn.MAXIFS(BD!$A$3:$A$5001,BD!$B$3:$B$5001,L$114,BD!$A$3:$A$5001,"&gt;="&amp;$C$7,BD!$A$3:$A$5001,"&lt;="&amp;$B134,BD!$K$3:$K$5001,"&lt;&gt;"))))</f>
        <v/>
      </c>
      <c r="M134" s="43" t="str">
        <f>IF(OR($B134="",$A134&gt;$B$9,M$114=""),"",IF(COUNTIFS(BD!$B$3:$B$5001,M$114,BD!$A$3:$A$5001,"&gt;="&amp;$C$7,BD!$A$3:$A$5001,"&lt;="&amp;$B134,BD!$K$3:$K$5001,"&lt;&gt;")=0,"",SUMIFS(BD!$K$3:$K$5001,BD!$B$3:$B$5001,M$114,BD!$A$3:$A$5001,_xlfn.MAXIFS(BD!$A$3:$A$5001,BD!$B$3:$B$5001,M$114,BD!$A$3:$A$5001,"&gt;="&amp;$C$7,BD!$A$3:$A$5001,"&lt;="&amp;$B134,BD!$K$3:$K$5001,"&lt;&gt;"))))</f>
        <v/>
      </c>
      <c r="N134" s="43" t="str">
        <f>IF(OR($B134="",$A134&gt;$B$9,N$114=""),"",IF(COUNTIFS(BD!$B$3:$B$5001,N$114,BD!$A$3:$A$5001,"&gt;="&amp;$C$7,BD!$A$3:$A$5001,"&lt;="&amp;$B134,BD!$K$3:$K$5001,"&lt;&gt;")=0,"",SUMIFS(BD!$K$3:$K$5001,BD!$B$3:$B$5001,N$114,BD!$A$3:$A$5001,_xlfn.MAXIFS(BD!$A$3:$A$5001,BD!$B$3:$B$5001,N$114,BD!$A$3:$A$5001,"&gt;="&amp;$C$7,BD!$A$3:$A$5001,"&lt;="&amp;$B134,BD!$K$3:$K$5001,"&lt;&gt;"))))</f>
        <v/>
      </c>
      <c r="O134" s="43" t="str">
        <f>IF(OR($B134="",$A134&gt;$B$9,O$114=""),"",IF(COUNTIFS(BD!$B$3:$B$5001,O$114,BD!$A$3:$A$5001,"&gt;="&amp;$C$7,BD!$A$3:$A$5001,"&lt;="&amp;$B134,BD!$K$3:$K$5001,"&lt;&gt;")=0,"",SUMIFS(BD!$K$3:$K$5001,BD!$B$3:$B$5001,O$114,BD!$A$3:$A$5001,_xlfn.MAXIFS(BD!$A$3:$A$5001,BD!$B$3:$B$5001,O$114,BD!$A$3:$A$5001,"&gt;="&amp;$C$7,BD!$A$3:$A$5001,"&lt;="&amp;$B134,BD!$K$3:$K$5001,"&lt;&gt;"))))</f>
        <v/>
      </c>
      <c r="P134" s="43" t="str">
        <f>IF(OR($B134="",$A134&gt;$B$9,P$114=""),"",IF(COUNTIFS(BD!$B$3:$B$5001,P$114,BD!$A$3:$A$5001,"&gt;="&amp;$C$7,BD!$A$3:$A$5001,"&lt;="&amp;$B134,BD!$K$3:$K$5001,"&lt;&gt;")=0,"",SUMIFS(BD!$K$3:$K$5001,BD!$B$3:$B$5001,P$114,BD!$A$3:$A$5001,_xlfn.MAXIFS(BD!$A$3:$A$5001,BD!$B$3:$B$5001,P$114,BD!$A$3:$A$5001,"&gt;="&amp;$C$7,BD!$A$3:$A$5001,"&lt;="&amp;$B134,BD!$K$3:$K$5001,"&lt;&gt;"))))</f>
        <v/>
      </c>
      <c r="Q134" s="43" t="str">
        <f>IF(OR($B134="",$A134&gt;$B$9,Q$114=""),"",IF(COUNTIFS(BD!$B$3:$B$5001,Q$114,BD!$A$3:$A$5001,"&gt;="&amp;$C$7,BD!$A$3:$A$5001,"&lt;="&amp;$B134,BD!$K$3:$K$5001,"&lt;&gt;")=0,"",SUMIFS(BD!$K$3:$K$5001,BD!$B$3:$B$5001,Q$114,BD!$A$3:$A$5001,_xlfn.MAXIFS(BD!$A$3:$A$5001,BD!$B$3:$B$5001,Q$114,BD!$A$3:$A$5001,"&gt;="&amp;$C$7,BD!$A$3:$A$5001,"&lt;="&amp;$B134,BD!$K$3:$K$5001,"&lt;&gt;"))))</f>
        <v/>
      </c>
      <c r="R134" s="43" t="str">
        <f>IF(OR($B134="",$A134&gt;$B$9,R$114=""),"",IF(COUNTIFS(BD!$B$3:$B$5001,R$114,BD!$A$3:$A$5001,"&gt;="&amp;$C$7,BD!$A$3:$A$5001,"&lt;="&amp;$B134,BD!$K$3:$K$5001,"&lt;&gt;")=0,"",SUMIFS(BD!$K$3:$K$5001,BD!$B$3:$B$5001,R$114,BD!$A$3:$A$5001,_xlfn.MAXIFS(BD!$A$3:$A$5001,BD!$B$3:$B$5001,R$114,BD!$A$3:$A$5001,"&gt;="&amp;$C$7,BD!$A$3:$A$5001,"&lt;="&amp;$B134,BD!$K$3:$K$5001,"&lt;&gt;"))))</f>
        <v/>
      </c>
      <c r="S134" s="43" t="str">
        <f>IF(OR($B134="",$A134&gt;$B$9,S$114=""),"",IF(COUNTIFS(BD!$B$3:$B$5001,S$114,BD!$A$3:$A$5001,"&gt;="&amp;$C$7,BD!$A$3:$A$5001,"&lt;="&amp;$B134,BD!$K$3:$K$5001,"&lt;&gt;")=0,"",SUMIFS(BD!$K$3:$K$5001,BD!$B$3:$B$5001,S$114,BD!$A$3:$A$5001,_xlfn.MAXIFS(BD!$A$3:$A$5001,BD!$B$3:$B$5001,S$114,BD!$A$3:$A$5001,"&gt;="&amp;$C$7,BD!$A$3:$A$5001,"&lt;="&amp;$B134,BD!$K$3:$K$5001,"&lt;&gt;"))))</f>
        <v/>
      </c>
      <c r="T134" s="43" t="str">
        <f>IF(OR($B134="",$A134&gt;$B$9,T$114=""),"",IF(COUNTIFS(BD!$B$3:$B$5001,T$114,BD!$A$3:$A$5001,"&gt;="&amp;$C$7,BD!$A$3:$A$5001,"&lt;="&amp;$B134,BD!$K$3:$K$5001,"&lt;&gt;")=0,"",SUMIFS(BD!$K$3:$K$5001,BD!$B$3:$B$5001,T$114,BD!$A$3:$A$5001,_xlfn.MAXIFS(BD!$A$3:$A$5001,BD!$B$3:$B$5001,T$114,BD!$A$3:$A$5001,"&gt;="&amp;$C$7,BD!$A$3:$A$5001,"&lt;="&amp;$B134,BD!$K$3:$K$5001,"&lt;&gt;"))))</f>
        <v/>
      </c>
      <c r="U134" s="43" t="str">
        <f>IF(OR($B134="",$A134&gt;$B$9,U$114=""),"",IF(COUNTIFS(BD!$B$3:$B$5001,U$114,BD!$A$3:$A$5001,"&gt;="&amp;$C$7,BD!$A$3:$A$5001,"&lt;="&amp;$B134,BD!$K$3:$K$5001,"&lt;&gt;")=0,"",SUMIFS(BD!$K$3:$K$5001,BD!$B$3:$B$5001,U$114,BD!$A$3:$A$5001,_xlfn.MAXIFS(BD!$A$3:$A$5001,BD!$B$3:$B$5001,U$114,BD!$A$3:$A$5001,"&gt;="&amp;$C$7,BD!$A$3:$A$5001,"&lt;="&amp;$B134,BD!$K$3:$K$5001,"&lt;&gt;"))))</f>
        <v/>
      </c>
      <c r="V134" s="43" t="str">
        <f>IF(OR($B134="",$A134&gt;$B$9,V$114=""),"",IF(COUNTIFS(BD!$B$3:$B$5001,V$114,BD!$A$3:$A$5001,"&gt;="&amp;$C$7,BD!$A$3:$A$5001,"&lt;="&amp;$B134,BD!$K$3:$K$5001,"&lt;&gt;")=0,"",SUMIFS(BD!$K$3:$K$5001,BD!$B$3:$B$5001,V$114,BD!$A$3:$A$5001,_xlfn.MAXIFS(BD!$A$3:$A$5001,BD!$B$3:$B$5001,V$114,BD!$A$3:$A$5001,"&gt;="&amp;$C$7,BD!$A$3:$A$5001,"&lt;="&amp;$B134,BD!$K$3:$K$5001,"&lt;&gt;"))))</f>
        <v/>
      </c>
    </row>
    <row r="135">
      <c r="A135" s="38">
        <v>21</v>
      </c>
      <c r="B135" s="42">
        <f>$B$32</f>
        <v>46316</v>
      </c>
      <c r="C135" s="43" t="str">
        <f>IF(OR($B135="",$A135&gt;$B$9,C$114=""),"",IF(COUNTIFS(BD!$B$3:$B$5001,C$114,BD!$A$3:$A$5001,"&gt;="&amp;$C$7,BD!$A$3:$A$5001,"&lt;="&amp;$B135,BD!$K$3:$K$5001,"&lt;&gt;")=0,"",SUMIFS(BD!$K$3:$K$5001,BD!$B$3:$B$5001,C$114,BD!$A$3:$A$5001,_xlfn.MAXIFS(BD!$A$3:$A$5001,BD!$B$3:$B$5001,C$114,BD!$A$3:$A$5001,"&gt;="&amp;$C$7,BD!$A$3:$A$5001,"&lt;="&amp;$B135,BD!$K$3:$K$5001,"&lt;&gt;"))))</f>
        <v/>
      </c>
      <c r="D135" s="43" t="str">
        <f>IF(OR($B135="",$A135&gt;$B$9,D$114=""),"",IF(COUNTIFS(BD!$B$3:$B$5001,D$114,BD!$A$3:$A$5001,"&gt;="&amp;$C$7,BD!$A$3:$A$5001,"&lt;="&amp;$B135,BD!$K$3:$K$5001,"&lt;&gt;")=0,"",SUMIFS(BD!$K$3:$K$5001,BD!$B$3:$B$5001,D$114,BD!$A$3:$A$5001,_xlfn.MAXIFS(BD!$A$3:$A$5001,BD!$B$3:$B$5001,D$114,BD!$A$3:$A$5001,"&gt;="&amp;$C$7,BD!$A$3:$A$5001,"&lt;="&amp;$B135,BD!$K$3:$K$5001,"&lt;&gt;"))))</f>
        <v/>
      </c>
      <c r="E135" s="43" t="str">
        <f>IF(OR($B135="",$A135&gt;$B$9,E$114=""),"",IF(COUNTIFS(BD!$B$3:$B$5001,E$114,BD!$A$3:$A$5001,"&gt;="&amp;$C$7,BD!$A$3:$A$5001,"&lt;="&amp;$B135,BD!$K$3:$K$5001,"&lt;&gt;")=0,"",SUMIFS(BD!$K$3:$K$5001,BD!$B$3:$B$5001,E$114,BD!$A$3:$A$5001,_xlfn.MAXIFS(BD!$A$3:$A$5001,BD!$B$3:$B$5001,E$114,BD!$A$3:$A$5001,"&gt;="&amp;$C$7,BD!$A$3:$A$5001,"&lt;="&amp;$B135,BD!$K$3:$K$5001,"&lt;&gt;"))))</f>
        <v/>
      </c>
      <c r="F135" s="43" t="str">
        <f>IF(OR($B135="",$A135&gt;$B$9,F$114=""),"",IF(COUNTIFS(BD!$B$3:$B$5001,F$114,BD!$A$3:$A$5001,"&gt;="&amp;$C$7,BD!$A$3:$A$5001,"&lt;="&amp;$B135,BD!$K$3:$K$5001,"&lt;&gt;")=0,"",SUMIFS(BD!$K$3:$K$5001,BD!$B$3:$B$5001,F$114,BD!$A$3:$A$5001,_xlfn.MAXIFS(BD!$A$3:$A$5001,BD!$B$3:$B$5001,F$114,BD!$A$3:$A$5001,"&gt;="&amp;$C$7,BD!$A$3:$A$5001,"&lt;="&amp;$B135,BD!$K$3:$K$5001,"&lt;&gt;"))))</f>
        <v/>
      </c>
      <c r="G135" s="43" t="str">
        <f>IF(OR($B135="",$A135&gt;$B$9,G$114=""),"",IF(COUNTIFS(BD!$B$3:$B$5001,G$114,BD!$A$3:$A$5001,"&gt;="&amp;$C$7,BD!$A$3:$A$5001,"&lt;="&amp;$B135,BD!$K$3:$K$5001,"&lt;&gt;")=0,"",SUMIFS(BD!$K$3:$K$5001,BD!$B$3:$B$5001,G$114,BD!$A$3:$A$5001,_xlfn.MAXIFS(BD!$A$3:$A$5001,BD!$B$3:$B$5001,G$114,BD!$A$3:$A$5001,"&gt;="&amp;$C$7,BD!$A$3:$A$5001,"&lt;="&amp;$B135,BD!$K$3:$K$5001,"&lt;&gt;"))))</f>
        <v/>
      </c>
      <c r="H135" s="43" t="str">
        <f>IF(OR($B135="",$A135&gt;$B$9,H$114=""),"",IF(COUNTIFS(BD!$B$3:$B$5001,H$114,BD!$A$3:$A$5001,"&gt;="&amp;$C$7,BD!$A$3:$A$5001,"&lt;="&amp;$B135,BD!$K$3:$K$5001,"&lt;&gt;")=0,"",SUMIFS(BD!$K$3:$K$5001,BD!$B$3:$B$5001,H$114,BD!$A$3:$A$5001,_xlfn.MAXIFS(BD!$A$3:$A$5001,BD!$B$3:$B$5001,H$114,BD!$A$3:$A$5001,"&gt;="&amp;$C$7,BD!$A$3:$A$5001,"&lt;="&amp;$B135,BD!$K$3:$K$5001,"&lt;&gt;"))))</f>
        <v/>
      </c>
      <c r="I135" s="43" t="str">
        <f>IF(OR($B135="",$A135&gt;$B$9,I$114=""),"",IF(COUNTIFS(BD!$B$3:$B$5001,I$114,BD!$A$3:$A$5001,"&gt;="&amp;$C$7,BD!$A$3:$A$5001,"&lt;="&amp;$B135,BD!$K$3:$K$5001,"&lt;&gt;")=0,"",SUMIFS(BD!$K$3:$K$5001,BD!$B$3:$B$5001,I$114,BD!$A$3:$A$5001,_xlfn.MAXIFS(BD!$A$3:$A$5001,BD!$B$3:$B$5001,I$114,BD!$A$3:$A$5001,"&gt;="&amp;$C$7,BD!$A$3:$A$5001,"&lt;="&amp;$B135,BD!$K$3:$K$5001,"&lt;&gt;"))))</f>
        <v/>
      </c>
      <c r="J135" s="43" t="str">
        <f>IF(OR($B135="",$A135&gt;$B$9,J$114=""),"",IF(COUNTIFS(BD!$B$3:$B$5001,J$114,BD!$A$3:$A$5001,"&gt;="&amp;$C$7,BD!$A$3:$A$5001,"&lt;="&amp;$B135,BD!$K$3:$K$5001,"&lt;&gt;")=0,"",SUMIFS(BD!$K$3:$K$5001,BD!$B$3:$B$5001,J$114,BD!$A$3:$A$5001,_xlfn.MAXIFS(BD!$A$3:$A$5001,BD!$B$3:$B$5001,J$114,BD!$A$3:$A$5001,"&gt;="&amp;$C$7,BD!$A$3:$A$5001,"&lt;="&amp;$B135,BD!$K$3:$K$5001,"&lt;&gt;"))))</f>
        <v/>
      </c>
      <c r="K135" s="43" t="str">
        <f>IF(OR($B135="",$A135&gt;$B$9,K$114=""),"",IF(COUNTIFS(BD!$B$3:$B$5001,K$114,BD!$A$3:$A$5001,"&gt;="&amp;$C$7,BD!$A$3:$A$5001,"&lt;="&amp;$B135,BD!$K$3:$K$5001,"&lt;&gt;")=0,"",SUMIFS(BD!$K$3:$K$5001,BD!$B$3:$B$5001,K$114,BD!$A$3:$A$5001,_xlfn.MAXIFS(BD!$A$3:$A$5001,BD!$B$3:$B$5001,K$114,BD!$A$3:$A$5001,"&gt;="&amp;$C$7,BD!$A$3:$A$5001,"&lt;="&amp;$B135,BD!$K$3:$K$5001,"&lt;&gt;"))))</f>
        <v/>
      </c>
      <c r="L135" s="43" t="str">
        <f>IF(OR($B135="",$A135&gt;$B$9,L$114=""),"",IF(COUNTIFS(BD!$B$3:$B$5001,L$114,BD!$A$3:$A$5001,"&gt;="&amp;$C$7,BD!$A$3:$A$5001,"&lt;="&amp;$B135,BD!$K$3:$K$5001,"&lt;&gt;")=0,"",SUMIFS(BD!$K$3:$K$5001,BD!$B$3:$B$5001,L$114,BD!$A$3:$A$5001,_xlfn.MAXIFS(BD!$A$3:$A$5001,BD!$B$3:$B$5001,L$114,BD!$A$3:$A$5001,"&gt;="&amp;$C$7,BD!$A$3:$A$5001,"&lt;="&amp;$B135,BD!$K$3:$K$5001,"&lt;&gt;"))))</f>
        <v/>
      </c>
      <c r="M135" s="43" t="str">
        <f>IF(OR($B135="",$A135&gt;$B$9,M$114=""),"",IF(COUNTIFS(BD!$B$3:$B$5001,M$114,BD!$A$3:$A$5001,"&gt;="&amp;$C$7,BD!$A$3:$A$5001,"&lt;="&amp;$B135,BD!$K$3:$K$5001,"&lt;&gt;")=0,"",SUMIFS(BD!$K$3:$K$5001,BD!$B$3:$B$5001,M$114,BD!$A$3:$A$5001,_xlfn.MAXIFS(BD!$A$3:$A$5001,BD!$B$3:$B$5001,M$114,BD!$A$3:$A$5001,"&gt;="&amp;$C$7,BD!$A$3:$A$5001,"&lt;="&amp;$B135,BD!$K$3:$K$5001,"&lt;&gt;"))))</f>
        <v/>
      </c>
      <c r="N135" s="43" t="str">
        <f>IF(OR($B135="",$A135&gt;$B$9,N$114=""),"",IF(COUNTIFS(BD!$B$3:$B$5001,N$114,BD!$A$3:$A$5001,"&gt;="&amp;$C$7,BD!$A$3:$A$5001,"&lt;="&amp;$B135,BD!$K$3:$K$5001,"&lt;&gt;")=0,"",SUMIFS(BD!$K$3:$K$5001,BD!$B$3:$B$5001,N$114,BD!$A$3:$A$5001,_xlfn.MAXIFS(BD!$A$3:$A$5001,BD!$B$3:$B$5001,N$114,BD!$A$3:$A$5001,"&gt;="&amp;$C$7,BD!$A$3:$A$5001,"&lt;="&amp;$B135,BD!$K$3:$K$5001,"&lt;&gt;"))))</f>
        <v/>
      </c>
      <c r="O135" s="43" t="str">
        <f>IF(OR($B135="",$A135&gt;$B$9,O$114=""),"",IF(COUNTIFS(BD!$B$3:$B$5001,O$114,BD!$A$3:$A$5001,"&gt;="&amp;$C$7,BD!$A$3:$A$5001,"&lt;="&amp;$B135,BD!$K$3:$K$5001,"&lt;&gt;")=0,"",SUMIFS(BD!$K$3:$K$5001,BD!$B$3:$B$5001,O$114,BD!$A$3:$A$5001,_xlfn.MAXIFS(BD!$A$3:$A$5001,BD!$B$3:$B$5001,O$114,BD!$A$3:$A$5001,"&gt;="&amp;$C$7,BD!$A$3:$A$5001,"&lt;="&amp;$B135,BD!$K$3:$K$5001,"&lt;&gt;"))))</f>
        <v/>
      </c>
      <c r="P135" s="43" t="str">
        <f>IF(OR($B135="",$A135&gt;$B$9,P$114=""),"",IF(COUNTIFS(BD!$B$3:$B$5001,P$114,BD!$A$3:$A$5001,"&gt;="&amp;$C$7,BD!$A$3:$A$5001,"&lt;="&amp;$B135,BD!$K$3:$K$5001,"&lt;&gt;")=0,"",SUMIFS(BD!$K$3:$K$5001,BD!$B$3:$B$5001,P$114,BD!$A$3:$A$5001,_xlfn.MAXIFS(BD!$A$3:$A$5001,BD!$B$3:$B$5001,P$114,BD!$A$3:$A$5001,"&gt;="&amp;$C$7,BD!$A$3:$A$5001,"&lt;="&amp;$B135,BD!$K$3:$K$5001,"&lt;&gt;"))))</f>
        <v/>
      </c>
      <c r="Q135" s="43" t="str">
        <f>IF(OR($B135="",$A135&gt;$B$9,Q$114=""),"",IF(COUNTIFS(BD!$B$3:$B$5001,Q$114,BD!$A$3:$A$5001,"&gt;="&amp;$C$7,BD!$A$3:$A$5001,"&lt;="&amp;$B135,BD!$K$3:$K$5001,"&lt;&gt;")=0,"",SUMIFS(BD!$K$3:$K$5001,BD!$B$3:$B$5001,Q$114,BD!$A$3:$A$5001,_xlfn.MAXIFS(BD!$A$3:$A$5001,BD!$B$3:$B$5001,Q$114,BD!$A$3:$A$5001,"&gt;="&amp;$C$7,BD!$A$3:$A$5001,"&lt;="&amp;$B135,BD!$K$3:$K$5001,"&lt;&gt;"))))</f>
        <v/>
      </c>
      <c r="R135" s="43" t="str">
        <f>IF(OR($B135="",$A135&gt;$B$9,R$114=""),"",IF(COUNTIFS(BD!$B$3:$B$5001,R$114,BD!$A$3:$A$5001,"&gt;="&amp;$C$7,BD!$A$3:$A$5001,"&lt;="&amp;$B135,BD!$K$3:$K$5001,"&lt;&gt;")=0,"",SUMIFS(BD!$K$3:$K$5001,BD!$B$3:$B$5001,R$114,BD!$A$3:$A$5001,_xlfn.MAXIFS(BD!$A$3:$A$5001,BD!$B$3:$B$5001,R$114,BD!$A$3:$A$5001,"&gt;="&amp;$C$7,BD!$A$3:$A$5001,"&lt;="&amp;$B135,BD!$K$3:$K$5001,"&lt;&gt;"))))</f>
        <v/>
      </c>
      <c r="S135" s="43" t="str">
        <f>IF(OR($B135="",$A135&gt;$B$9,S$114=""),"",IF(COUNTIFS(BD!$B$3:$B$5001,S$114,BD!$A$3:$A$5001,"&gt;="&amp;$C$7,BD!$A$3:$A$5001,"&lt;="&amp;$B135,BD!$K$3:$K$5001,"&lt;&gt;")=0,"",SUMIFS(BD!$K$3:$K$5001,BD!$B$3:$B$5001,S$114,BD!$A$3:$A$5001,_xlfn.MAXIFS(BD!$A$3:$A$5001,BD!$B$3:$B$5001,S$114,BD!$A$3:$A$5001,"&gt;="&amp;$C$7,BD!$A$3:$A$5001,"&lt;="&amp;$B135,BD!$K$3:$K$5001,"&lt;&gt;"))))</f>
        <v/>
      </c>
      <c r="T135" s="43" t="str">
        <f>IF(OR($B135="",$A135&gt;$B$9,T$114=""),"",IF(COUNTIFS(BD!$B$3:$B$5001,T$114,BD!$A$3:$A$5001,"&gt;="&amp;$C$7,BD!$A$3:$A$5001,"&lt;="&amp;$B135,BD!$K$3:$K$5001,"&lt;&gt;")=0,"",SUMIFS(BD!$K$3:$K$5001,BD!$B$3:$B$5001,T$114,BD!$A$3:$A$5001,_xlfn.MAXIFS(BD!$A$3:$A$5001,BD!$B$3:$B$5001,T$114,BD!$A$3:$A$5001,"&gt;="&amp;$C$7,BD!$A$3:$A$5001,"&lt;="&amp;$B135,BD!$K$3:$K$5001,"&lt;&gt;"))))</f>
        <v/>
      </c>
      <c r="U135" s="43" t="str">
        <f>IF(OR($B135="",$A135&gt;$B$9,U$114=""),"",IF(COUNTIFS(BD!$B$3:$B$5001,U$114,BD!$A$3:$A$5001,"&gt;="&amp;$C$7,BD!$A$3:$A$5001,"&lt;="&amp;$B135,BD!$K$3:$K$5001,"&lt;&gt;")=0,"",SUMIFS(BD!$K$3:$K$5001,BD!$B$3:$B$5001,U$114,BD!$A$3:$A$5001,_xlfn.MAXIFS(BD!$A$3:$A$5001,BD!$B$3:$B$5001,U$114,BD!$A$3:$A$5001,"&gt;="&amp;$C$7,BD!$A$3:$A$5001,"&lt;="&amp;$B135,BD!$K$3:$K$5001,"&lt;&gt;"))))</f>
        <v/>
      </c>
      <c r="V135" s="43" t="str">
        <f>IF(OR($B135="",$A135&gt;$B$9,V$114=""),"",IF(COUNTIFS(BD!$B$3:$B$5001,V$114,BD!$A$3:$A$5001,"&gt;="&amp;$C$7,BD!$A$3:$A$5001,"&lt;="&amp;$B135,BD!$K$3:$K$5001,"&lt;&gt;")=0,"",SUMIFS(BD!$K$3:$K$5001,BD!$B$3:$B$5001,V$114,BD!$A$3:$A$5001,_xlfn.MAXIFS(BD!$A$3:$A$5001,BD!$B$3:$B$5001,V$114,BD!$A$3:$A$5001,"&gt;="&amp;$C$7,BD!$A$3:$A$5001,"&lt;="&amp;$B135,BD!$K$3:$K$5001,"&lt;&gt;"))))</f>
        <v/>
      </c>
    </row>
    <row r="136">
      <c r="A136" s="38">
        <v>22</v>
      </c>
      <c r="B136" s="42">
        <f>$B$33</f>
        <v>46317</v>
      </c>
      <c r="C136" s="43" t="str">
        <f>IF(OR($B136="",$A136&gt;$B$9,C$114=""),"",IF(COUNTIFS(BD!$B$3:$B$5001,C$114,BD!$A$3:$A$5001,"&gt;="&amp;$C$7,BD!$A$3:$A$5001,"&lt;="&amp;$B136,BD!$K$3:$K$5001,"&lt;&gt;")=0,"",SUMIFS(BD!$K$3:$K$5001,BD!$B$3:$B$5001,C$114,BD!$A$3:$A$5001,_xlfn.MAXIFS(BD!$A$3:$A$5001,BD!$B$3:$B$5001,C$114,BD!$A$3:$A$5001,"&gt;="&amp;$C$7,BD!$A$3:$A$5001,"&lt;="&amp;$B136,BD!$K$3:$K$5001,"&lt;&gt;"))))</f>
        <v/>
      </c>
      <c r="D136" s="43" t="str">
        <f>IF(OR($B136="",$A136&gt;$B$9,D$114=""),"",IF(COUNTIFS(BD!$B$3:$B$5001,D$114,BD!$A$3:$A$5001,"&gt;="&amp;$C$7,BD!$A$3:$A$5001,"&lt;="&amp;$B136,BD!$K$3:$K$5001,"&lt;&gt;")=0,"",SUMIFS(BD!$K$3:$K$5001,BD!$B$3:$B$5001,D$114,BD!$A$3:$A$5001,_xlfn.MAXIFS(BD!$A$3:$A$5001,BD!$B$3:$B$5001,D$114,BD!$A$3:$A$5001,"&gt;="&amp;$C$7,BD!$A$3:$A$5001,"&lt;="&amp;$B136,BD!$K$3:$K$5001,"&lt;&gt;"))))</f>
        <v/>
      </c>
      <c r="E136" s="43" t="str">
        <f>IF(OR($B136="",$A136&gt;$B$9,E$114=""),"",IF(COUNTIFS(BD!$B$3:$B$5001,E$114,BD!$A$3:$A$5001,"&gt;="&amp;$C$7,BD!$A$3:$A$5001,"&lt;="&amp;$B136,BD!$K$3:$K$5001,"&lt;&gt;")=0,"",SUMIFS(BD!$K$3:$K$5001,BD!$B$3:$B$5001,E$114,BD!$A$3:$A$5001,_xlfn.MAXIFS(BD!$A$3:$A$5001,BD!$B$3:$B$5001,E$114,BD!$A$3:$A$5001,"&gt;="&amp;$C$7,BD!$A$3:$A$5001,"&lt;="&amp;$B136,BD!$K$3:$K$5001,"&lt;&gt;"))))</f>
        <v/>
      </c>
      <c r="F136" s="43" t="str">
        <f>IF(OR($B136="",$A136&gt;$B$9,F$114=""),"",IF(COUNTIFS(BD!$B$3:$B$5001,F$114,BD!$A$3:$A$5001,"&gt;="&amp;$C$7,BD!$A$3:$A$5001,"&lt;="&amp;$B136,BD!$K$3:$K$5001,"&lt;&gt;")=0,"",SUMIFS(BD!$K$3:$K$5001,BD!$B$3:$B$5001,F$114,BD!$A$3:$A$5001,_xlfn.MAXIFS(BD!$A$3:$A$5001,BD!$B$3:$B$5001,F$114,BD!$A$3:$A$5001,"&gt;="&amp;$C$7,BD!$A$3:$A$5001,"&lt;="&amp;$B136,BD!$K$3:$K$5001,"&lt;&gt;"))))</f>
        <v/>
      </c>
      <c r="G136" s="43" t="str">
        <f>IF(OR($B136="",$A136&gt;$B$9,G$114=""),"",IF(COUNTIFS(BD!$B$3:$B$5001,G$114,BD!$A$3:$A$5001,"&gt;="&amp;$C$7,BD!$A$3:$A$5001,"&lt;="&amp;$B136,BD!$K$3:$K$5001,"&lt;&gt;")=0,"",SUMIFS(BD!$K$3:$K$5001,BD!$B$3:$B$5001,G$114,BD!$A$3:$A$5001,_xlfn.MAXIFS(BD!$A$3:$A$5001,BD!$B$3:$B$5001,G$114,BD!$A$3:$A$5001,"&gt;="&amp;$C$7,BD!$A$3:$A$5001,"&lt;="&amp;$B136,BD!$K$3:$K$5001,"&lt;&gt;"))))</f>
        <v/>
      </c>
      <c r="H136" s="43" t="str">
        <f>IF(OR($B136="",$A136&gt;$B$9,H$114=""),"",IF(COUNTIFS(BD!$B$3:$B$5001,H$114,BD!$A$3:$A$5001,"&gt;="&amp;$C$7,BD!$A$3:$A$5001,"&lt;="&amp;$B136,BD!$K$3:$K$5001,"&lt;&gt;")=0,"",SUMIFS(BD!$K$3:$K$5001,BD!$B$3:$B$5001,H$114,BD!$A$3:$A$5001,_xlfn.MAXIFS(BD!$A$3:$A$5001,BD!$B$3:$B$5001,H$114,BD!$A$3:$A$5001,"&gt;="&amp;$C$7,BD!$A$3:$A$5001,"&lt;="&amp;$B136,BD!$K$3:$K$5001,"&lt;&gt;"))))</f>
        <v/>
      </c>
      <c r="I136" s="43" t="str">
        <f>IF(OR($B136="",$A136&gt;$B$9,I$114=""),"",IF(COUNTIFS(BD!$B$3:$B$5001,I$114,BD!$A$3:$A$5001,"&gt;="&amp;$C$7,BD!$A$3:$A$5001,"&lt;="&amp;$B136,BD!$K$3:$K$5001,"&lt;&gt;")=0,"",SUMIFS(BD!$K$3:$K$5001,BD!$B$3:$B$5001,I$114,BD!$A$3:$A$5001,_xlfn.MAXIFS(BD!$A$3:$A$5001,BD!$B$3:$B$5001,I$114,BD!$A$3:$A$5001,"&gt;="&amp;$C$7,BD!$A$3:$A$5001,"&lt;="&amp;$B136,BD!$K$3:$K$5001,"&lt;&gt;"))))</f>
        <v/>
      </c>
      <c r="J136" s="43" t="str">
        <f>IF(OR($B136="",$A136&gt;$B$9,J$114=""),"",IF(COUNTIFS(BD!$B$3:$B$5001,J$114,BD!$A$3:$A$5001,"&gt;="&amp;$C$7,BD!$A$3:$A$5001,"&lt;="&amp;$B136,BD!$K$3:$K$5001,"&lt;&gt;")=0,"",SUMIFS(BD!$K$3:$K$5001,BD!$B$3:$B$5001,J$114,BD!$A$3:$A$5001,_xlfn.MAXIFS(BD!$A$3:$A$5001,BD!$B$3:$B$5001,J$114,BD!$A$3:$A$5001,"&gt;="&amp;$C$7,BD!$A$3:$A$5001,"&lt;="&amp;$B136,BD!$K$3:$K$5001,"&lt;&gt;"))))</f>
        <v/>
      </c>
      <c r="K136" s="43" t="str">
        <f>IF(OR($B136="",$A136&gt;$B$9,K$114=""),"",IF(COUNTIFS(BD!$B$3:$B$5001,K$114,BD!$A$3:$A$5001,"&gt;="&amp;$C$7,BD!$A$3:$A$5001,"&lt;="&amp;$B136,BD!$K$3:$K$5001,"&lt;&gt;")=0,"",SUMIFS(BD!$K$3:$K$5001,BD!$B$3:$B$5001,K$114,BD!$A$3:$A$5001,_xlfn.MAXIFS(BD!$A$3:$A$5001,BD!$B$3:$B$5001,K$114,BD!$A$3:$A$5001,"&gt;="&amp;$C$7,BD!$A$3:$A$5001,"&lt;="&amp;$B136,BD!$K$3:$K$5001,"&lt;&gt;"))))</f>
        <v/>
      </c>
      <c r="L136" s="43" t="str">
        <f>IF(OR($B136="",$A136&gt;$B$9,L$114=""),"",IF(COUNTIFS(BD!$B$3:$B$5001,L$114,BD!$A$3:$A$5001,"&gt;="&amp;$C$7,BD!$A$3:$A$5001,"&lt;="&amp;$B136,BD!$K$3:$K$5001,"&lt;&gt;")=0,"",SUMIFS(BD!$K$3:$K$5001,BD!$B$3:$B$5001,L$114,BD!$A$3:$A$5001,_xlfn.MAXIFS(BD!$A$3:$A$5001,BD!$B$3:$B$5001,L$114,BD!$A$3:$A$5001,"&gt;="&amp;$C$7,BD!$A$3:$A$5001,"&lt;="&amp;$B136,BD!$K$3:$K$5001,"&lt;&gt;"))))</f>
        <v/>
      </c>
      <c r="M136" s="43" t="str">
        <f>IF(OR($B136="",$A136&gt;$B$9,M$114=""),"",IF(COUNTIFS(BD!$B$3:$B$5001,M$114,BD!$A$3:$A$5001,"&gt;="&amp;$C$7,BD!$A$3:$A$5001,"&lt;="&amp;$B136,BD!$K$3:$K$5001,"&lt;&gt;")=0,"",SUMIFS(BD!$K$3:$K$5001,BD!$B$3:$B$5001,M$114,BD!$A$3:$A$5001,_xlfn.MAXIFS(BD!$A$3:$A$5001,BD!$B$3:$B$5001,M$114,BD!$A$3:$A$5001,"&gt;="&amp;$C$7,BD!$A$3:$A$5001,"&lt;="&amp;$B136,BD!$K$3:$K$5001,"&lt;&gt;"))))</f>
        <v/>
      </c>
      <c r="N136" s="43" t="str">
        <f>IF(OR($B136="",$A136&gt;$B$9,N$114=""),"",IF(COUNTIFS(BD!$B$3:$B$5001,N$114,BD!$A$3:$A$5001,"&gt;="&amp;$C$7,BD!$A$3:$A$5001,"&lt;="&amp;$B136,BD!$K$3:$K$5001,"&lt;&gt;")=0,"",SUMIFS(BD!$K$3:$K$5001,BD!$B$3:$B$5001,N$114,BD!$A$3:$A$5001,_xlfn.MAXIFS(BD!$A$3:$A$5001,BD!$B$3:$B$5001,N$114,BD!$A$3:$A$5001,"&gt;="&amp;$C$7,BD!$A$3:$A$5001,"&lt;="&amp;$B136,BD!$K$3:$K$5001,"&lt;&gt;"))))</f>
        <v/>
      </c>
      <c r="O136" s="43" t="str">
        <f>IF(OR($B136="",$A136&gt;$B$9,O$114=""),"",IF(COUNTIFS(BD!$B$3:$B$5001,O$114,BD!$A$3:$A$5001,"&gt;="&amp;$C$7,BD!$A$3:$A$5001,"&lt;="&amp;$B136,BD!$K$3:$K$5001,"&lt;&gt;")=0,"",SUMIFS(BD!$K$3:$K$5001,BD!$B$3:$B$5001,O$114,BD!$A$3:$A$5001,_xlfn.MAXIFS(BD!$A$3:$A$5001,BD!$B$3:$B$5001,O$114,BD!$A$3:$A$5001,"&gt;="&amp;$C$7,BD!$A$3:$A$5001,"&lt;="&amp;$B136,BD!$K$3:$K$5001,"&lt;&gt;"))))</f>
        <v/>
      </c>
      <c r="P136" s="43" t="str">
        <f>IF(OR($B136="",$A136&gt;$B$9,P$114=""),"",IF(COUNTIFS(BD!$B$3:$B$5001,P$114,BD!$A$3:$A$5001,"&gt;="&amp;$C$7,BD!$A$3:$A$5001,"&lt;="&amp;$B136,BD!$K$3:$K$5001,"&lt;&gt;")=0,"",SUMIFS(BD!$K$3:$K$5001,BD!$B$3:$B$5001,P$114,BD!$A$3:$A$5001,_xlfn.MAXIFS(BD!$A$3:$A$5001,BD!$B$3:$B$5001,P$114,BD!$A$3:$A$5001,"&gt;="&amp;$C$7,BD!$A$3:$A$5001,"&lt;="&amp;$B136,BD!$K$3:$K$5001,"&lt;&gt;"))))</f>
        <v/>
      </c>
      <c r="Q136" s="43" t="str">
        <f>IF(OR($B136="",$A136&gt;$B$9,Q$114=""),"",IF(COUNTIFS(BD!$B$3:$B$5001,Q$114,BD!$A$3:$A$5001,"&gt;="&amp;$C$7,BD!$A$3:$A$5001,"&lt;="&amp;$B136,BD!$K$3:$K$5001,"&lt;&gt;")=0,"",SUMIFS(BD!$K$3:$K$5001,BD!$B$3:$B$5001,Q$114,BD!$A$3:$A$5001,_xlfn.MAXIFS(BD!$A$3:$A$5001,BD!$B$3:$B$5001,Q$114,BD!$A$3:$A$5001,"&gt;="&amp;$C$7,BD!$A$3:$A$5001,"&lt;="&amp;$B136,BD!$K$3:$K$5001,"&lt;&gt;"))))</f>
        <v/>
      </c>
      <c r="R136" s="43" t="str">
        <f>IF(OR($B136="",$A136&gt;$B$9,R$114=""),"",IF(COUNTIFS(BD!$B$3:$B$5001,R$114,BD!$A$3:$A$5001,"&gt;="&amp;$C$7,BD!$A$3:$A$5001,"&lt;="&amp;$B136,BD!$K$3:$K$5001,"&lt;&gt;")=0,"",SUMIFS(BD!$K$3:$K$5001,BD!$B$3:$B$5001,R$114,BD!$A$3:$A$5001,_xlfn.MAXIFS(BD!$A$3:$A$5001,BD!$B$3:$B$5001,R$114,BD!$A$3:$A$5001,"&gt;="&amp;$C$7,BD!$A$3:$A$5001,"&lt;="&amp;$B136,BD!$K$3:$K$5001,"&lt;&gt;"))))</f>
        <v/>
      </c>
      <c r="S136" s="43" t="str">
        <f>IF(OR($B136="",$A136&gt;$B$9,S$114=""),"",IF(COUNTIFS(BD!$B$3:$B$5001,S$114,BD!$A$3:$A$5001,"&gt;="&amp;$C$7,BD!$A$3:$A$5001,"&lt;="&amp;$B136,BD!$K$3:$K$5001,"&lt;&gt;")=0,"",SUMIFS(BD!$K$3:$K$5001,BD!$B$3:$B$5001,S$114,BD!$A$3:$A$5001,_xlfn.MAXIFS(BD!$A$3:$A$5001,BD!$B$3:$B$5001,S$114,BD!$A$3:$A$5001,"&gt;="&amp;$C$7,BD!$A$3:$A$5001,"&lt;="&amp;$B136,BD!$K$3:$K$5001,"&lt;&gt;"))))</f>
        <v/>
      </c>
      <c r="T136" s="43" t="str">
        <f>IF(OR($B136="",$A136&gt;$B$9,T$114=""),"",IF(COUNTIFS(BD!$B$3:$B$5001,T$114,BD!$A$3:$A$5001,"&gt;="&amp;$C$7,BD!$A$3:$A$5001,"&lt;="&amp;$B136,BD!$K$3:$K$5001,"&lt;&gt;")=0,"",SUMIFS(BD!$K$3:$K$5001,BD!$B$3:$B$5001,T$114,BD!$A$3:$A$5001,_xlfn.MAXIFS(BD!$A$3:$A$5001,BD!$B$3:$B$5001,T$114,BD!$A$3:$A$5001,"&gt;="&amp;$C$7,BD!$A$3:$A$5001,"&lt;="&amp;$B136,BD!$K$3:$K$5001,"&lt;&gt;"))))</f>
        <v/>
      </c>
      <c r="U136" s="43" t="str">
        <f>IF(OR($B136="",$A136&gt;$B$9,U$114=""),"",IF(COUNTIFS(BD!$B$3:$B$5001,U$114,BD!$A$3:$A$5001,"&gt;="&amp;$C$7,BD!$A$3:$A$5001,"&lt;="&amp;$B136,BD!$K$3:$K$5001,"&lt;&gt;")=0,"",SUMIFS(BD!$K$3:$K$5001,BD!$B$3:$B$5001,U$114,BD!$A$3:$A$5001,_xlfn.MAXIFS(BD!$A$3:$A$5001,BD!$B$3:$B$5001,U$114,BD!$A$3:$A$5001,"&gt;="&amp;$C$7,BD!$A$3:$A$5001,"&lt;="&amp;$B136,BD!$K$3:$K$5001,"&lt;&gt;"))))</f>
        <v/>
      </c>
      <c r="V136" s="43" t="str">
        <f>IF(OR($B136="",$A136&gt;$B$9,V$114=""),"",IF(COUNTIFS(BD!$B$3:$B$5001,V$114,BD!$A$3:$A$5001,"&gt;="&amp;$C$7,BD!$A$3:$A$5001,"&lt;="&amp;$B136,BD!$K$3:$K$5001,"&lt;&gt;")=0,"",SUMIFS(BD!$K$3:$K$5001,BD!$B$3:$B$5001,V$114,BD!$A$3:$A$5001,_xlfn.MAXIFS(BD!$A$3:$A$5001,BD!$B$3:$B$5001,V$114,BD!$A$3:$A$5001,"&gt;="&amp;$C$7,BD!$A$3:$A$5001,"&lt;="&amp;$B136,BD!$K$3:$K$5001,"&lt;&gt;"))))</f>
        <v/>
      </c>
    </row>
    <row r="137">
      <c r="A137" s="38">
        <v>23</v>
      </c>
      <c r="B137" s="42">
        <f>$B$34</f>
        <v>46318</v>
      </c>
      <c r="C137" s="43" t="str">
        <f>IF(OR($B137="",$A137&gt;$B$9,C$114=""),"",IF(COUNTIFS(BD!$B$3:$B$5001,C$114,BD!$A$3:$A$5001,"&gt;="&amp;$C$7,BD!$A$3:$A$5001,"&lt;="&amp;$B137,BD!$K$3:$K$5001,"&lt;&gt;")=0,"",SUMIFS(BD!$K$3:$K$5001,BD!$B$3:$B$5001,C$114,BD!$A$3:$A$5001,_xlfn.MAXIFS(BD!$A$3:$A$5001,BD!$B$3:$B$5001,C$114,BD!$A$3:$A$5001,"&gt;="&amp;$C$7,BD!$A$3:$A$5001,"&lt;="&amp;$B137,BD!$K$3:$K$5001,"&lt;&gt;"))))</f>
        <v/>
      </c>
      <c r="D137" s="43" t="str">
        <f>IF(OR($B137="",$A137&gt;$B$9,D$114=""),"",IF(COUNTIFS(BD!$B$3:$B$5001,D$114,BD!$A$3:$A$5001,"&gt;="&amp;$C$7,BD!$A$3:$A$5001,"&lt;="&amp;$B137,BD!$K$3:$K$5001,"&lt;&gt;")=0,"",SUMIFS(BD!$K$3:$K$5001,BD!$B$3:$B$5001,D$114,BD!$A$3:$A$5001,_xlfn.MAXIFS(BD!$A$3:$A$5001,BD!$B$3:$B$5001,D$114,BD!$A$3:$A$5001,"&gt;="&amp;$C$7,BD!$A$3:$A$5001,"&lt;="&amp;$B137,BD!$K$3:$K$5001,"&lt;&gt;"))))</f>
        <v/>
      </c>
      <c r="E137" s="43" t="str">
        <f>IF(OR($B137="",$A137&gt;$B$9,E$114=""),"",IF(COUNTIFS(BD!$B$3:$B$5001,E$114,BD!$A$3:$A$5001,"&gt;="&amp;$C$7,BD!$A$3:$A$5001,"&lt;="&amp;$B137,BD!$K$3:$K$5001,"&lt;&gt;")=0,"",SUMIFS(BD!$K$3:$K$5001,BD!$B$3:$B$5001,E$114,BD!$A$3:$A$5001,_xlfn.MAXIFS(BD!$A$3:$A$5001,BD!$B$3:$B$5001,E$114,BD!$A$3:$A$5001,"&gt;="&amp;$C$7,BD!$A$3:$A$5001,"&lt;="&amp;$B137,BD!$K$3:$K$5001,"&lt;&gt;"))))</f>
        <v/>
      </c>
      <c r="F137" s="43" t="str">
        <f>IF(OR($B137="",$A137&gt;$B$9,F$114=""),"",IF(COUNTIFS(BD!$B$3:$B$5001,F$114,BD!$A$3:$A$5001,"&gt;="&amp;$C$7,BD!$A$3:$A$5001,"&lt;="&amp;$B137,BD!$K$3:$K$5001,"&lt;&gt;")=0,"",SUMIFS(BD!$K$3:$K$5001,BD!$B$3:$B$5001,F$114,BD!$A$3:$A$5001,_xlfn.MAXIFS(BD!$A$3:$A$5001,BD!$B$3:$B$5001,F$114,BD!$A$3:$A$5001,"&gt;="&amp;$C$7,BD!$A$3:$A$5001,"&lt;="&amp;$B137,BD!$K$3:$K$5001,"&lt;&gt;"))))</f>
        <v/>
      </c>
      <c r="G137" s="43" t="str">
        <f>IF(OR($B137="",$A137&gt;$B$9,G$114=""),"",IF(COUNTIFS(BD!$B$3:$B$5001,G$114,BD!$A$3:$A$5001,"&gt;="&amp;$C$7,BD!$A$3:$A$5001,"&lt;="&amp;$B137,BD!$K$3:$K$5001,"&lt;&gt;")=0,"",SUMIFS(BD!$K$3:$K$5001,BD!$B$3:$B$5001,G$114,BD!$A$3:$A$5001,_xlfn.MAXIFS(BD!$A$3:$A$5001,BD!$B$3:$B$5001,G$114,BD!$A$3:$A$5001,"&gt;="&amp;$C$7,BD!$A$3:$A$5001,"&lt;="&amp;$B137,BD!$K$3:$K$5001,"&lt;&gt;"))))</f>
        <v/>
      </c>
      <c r="H137" s="43" t="str">
        <f>IF(OR($B137="",$A137&gt;$B$9,H$114=""),"",IF(COUNTIFS(BD!$B$3:$B$5001,H$114,BD!$A$3:$A$5001,"&gt;="&amp;$C$7,BD!$A$3:$A$5001,"&lt;="&amp;$B137,BD!$K$3:$K$5001,"&lt;&gt;")=0,"",SUMIFS(BD!$K$3:$K$5001,BD!$B$3:$B$5001,H$114,BD!$A$3:$A$5001,_xlfn.MAXIFS(BD!$A$3:$A$5001,BD!$B$3:$B$5001,H$114,BD!$A$3:$A$5001,"&gt;="&amp;$C$7,BD!$A$3:$A$5001,"&lt;="&amp;$B137,BD!$K$3:$K$5001,"&lt;&gt;"))))</f>
        <v/>
      </c>
      <c r="I137" s="43" t="str">
        <f>IF(OR($B137="",$A137&gt;$B$9,I$114=""),"",IF(COUNTIFS(BD!$B$3:$B$5001,I$114,BD!$A$3:$A$5001,"&gt;="&amp;$C$7,BD!$A$3:$A$5001,"&lt;="&amp;$B137,BD!$K$3:$K$5001,"&lt;&gt;")=0,"",SUMIFS(BD!$K$3:$K$5001,BD!$B$3:$B$5001,I$114,BD!$A$3:$A$5001,_xlfn.MAXIFS(BD!$A$3:$A$5001,BD!$B$3:$B$5001,I$114,BD!$A$3:$A$5001,"&gt;="&amp;$C$7,BD!$A$3:$A$5001,"&lt;="&amp;$B137,BD!$K$3:$K$5001,"&lt;&gt;"))))</f>
        <v/>
      </c>
      <c r="J137" s="43" t="str">
        <f>IF(OR($B137="",$A137&gt;$B$9,J$114=""),"",IF(COUNTIFS(BD!$B$3:$B$5001,J$114,BD!$A$3:$A$5001,"&gt;="&amp;$C$7,BD!$A$3:$A$5001,"&lt;="&amp;$B137,BD!$K$3:$K$5001,"&lt;&gt;")=0,"",SUMIFS(BD!$K$3:$K$5001,BD!$B$3:$B$5001,J$114,BD!$A$3:$A$5001,_xlfn.MAXIFS(BD!$A$3:$A$5001,BD!$B$3:$B$5001,J$114,BD!$A$3:$A$5001,"&gt;="&amp;$C$7,BD!$A$3:$A$5001,"&lt;="&amp;$B137,BD!$K$3:$K$5001,"&lt;&gt;"))))</f>
        <v/>
      </c>
      <c r="K137" s="43" t="str">
        <f>IF(OR($B137="",$A137&gt;$B$9,K$114=""),"",IF(COUNTIFS(BD!$B$3:$B$5001,K$114,BD!$A$3:$A$5001,"&gt;="&amp;$C$7,BD!$A$3:$A$5001,"&lt;="&amp;$B137,BD!$K$3:$K$5001,"&lt;&gt;")=0,"",SUMIFS(BD!$K$3:$K$5001,BD!$B$3:$B$5001,K$114,BD!$A$3:$A$5001,_xlfn.MAXIFS(BD!$A$3:$A$5001,BD!$B$3:$B$5001,K$114,BD!$A$3:$A$5001,"&gt;="&amp;$C$7,BD!$A$3:$A$5001,"&lt;="&amp;$B137,BD!$K$3:$K$5001,"&lt;&gt;"))))</f>
        <v/>
      </c>
      <c r="L137" s="43" t="str">
        <f>IF(OR($B137="",$A137&gt;$B$9,L$114=""),"",IF(COUNTIFS(BD!$B$3:$B$5001,L$114,BD!$A$3:$A$5001,"&gt;="&amp;$C$7,BD!$A$3:$A$5001,"&lt;="&amp;$B137,BD!$K$3:$K$5001,"&lt;&gt;")=0,"",SUMIFS(BD!$K$3:$K$5001,BD!$B$3:$B$5001,L$114,BD!$A$3:$A$5001,_xlfn.MAXIFS(BD!$A$3:$A$5001,BD!$B$3:$B$5001,L$114,BD!$A$3:$A$5001,"&gt;="&amp;$C$7,BD!$A$3:$A$5001,"&lt;="&amp;$B137,BD!$K$3:$K$5001,"&lt;&gt;"))))</f>
        <v/>
      </c>
      <c r="M137" s="43" t="str">
        <f>IF(OR($B137="",$A137&gt;$B$9,M$114=""),"",IF(COUNTIFS(BD!$B$3:$B$5001,M$114,BD!$A$3:$A$5001,"&gt;="&amp;$C$7,BD!$A$3:$A$5001,"&lt;="&amp;$B137,BD!$K$3:$K$5001,"&lt;&gt;")=0,"",SUMIFS(BD!$K$3:$K$5001,BD!$B$3:$B$5001,M$114,BD!$A$3:$A$5001,_xlfn.MAXIFS(BD!$A$3:$A$5001,BD!$B$3:$B$5001,M$114,BD!$A$3:$A$5001,"&gt;="&amp;$C$7,BD!$A$3:$A$5001,"&lt;="&amp;$B137,BD!$K$3:$K$5001,"&lt;&gt;"))))</f>
        <v/>
      </c>
      <c r="N137" s="43" t="str">
        <f>IF(OR($B137="",$A137&gt;$B$9,N$114=""),"",IF(COUNTIFS(BD!$B$3:$B$5001,N$114,BD!$A$3:$A$5001,"&gt;="&amp;$C$7,BD!$A$3:$A$5001,"&lt;="&amp;$B137,BD!$K$3:$K$5001,"&lt;&gt;")=0,"",SUMIFS(BD!$K$3:$K$5001,BD!$B$3:$B$5001,N$114,BD!$A$3:$A$5001,_xlfn.MAXIFS(BD!$A$3:$A$5001,BD!$B$3:$B$5001,N$114,BD!$A$3:$A$5001,"&gt;="&amp;$C$7,BD!$A$3:$A$5001,"&lt;="&amp;$B137,BD!$K$3:$K$5001,"&lt;&gt;"))))</f>
        <v/>
      </c>
      <c r="O137" s="43" t="str">
        <f>IF(OR($B137="",$A137&gt;$B$9,O$114=""),"",IF(COUNTIFS(BD!$B$3:$B$5001,O$114,BD!$A$3:$A$5001,"&gt;="&amp;$C$7,BD!$A$3:$A$5001,"&lt;="&amp;$B137,BD!$K$3:$K$5001,"&lt;&gt;")=0,"",SUMIFS(BD!$K$3:$K$5001,BD!$B$3:$B$5001,O$114,BD!$A$3:$A$5001,_xlfn.MAXIFS(BD!$A$3:$A$5001,BD!$B$3:$B$5001,O$114,BD!$A$3:$A$5001,"&gt;="&amp;$C$7,BD!$A$3:$A$5001,"&lt;="&amp;$B137,BD!$K$3:$K$5001,"&lt;&gt;"))))</f>
        <v/>
      </c>
      <c r="P137" s="43" t="str">
        <f>IF(OR($B137="",$A137&gt;$B$9,P$114=""),"",IF(COUNTIFS(BD!$B$3:$B$5001,P$114,BD!$A$3:$A$5001,"&gt;="&amp;$C$7,BD!$A$3:$A$5001,"&lt;="&amp;$B137,BD!$K$3:$K$5001,"&lt;&gt;")=0,"",SUMIFS(BD!$K$3:$K$5001,BD!$B$3:$B$5001,P$114,BD!$A$3:$A$5001,_xlfn.MAXIFS(BD!$A$3:$A$5001,BD!$B$3:$B$5001,P$114,BD!$A$3:$A$5001,"&gt;="&amp;$C$7,BD!$A$3:$A$5001,"&lt;="&amp;$B137,BD!$K$3:$K$5001,"&lt;&gt;"))))</f>
        <v/>
      </c>
      <c r="Q137" s="43" t="str">
        <f>IF(OR($B137="",$A137&gt;$B$9,Q$114=""),"",IF(COUNTIFS(BD!$B$3:$B$5001,Q$114,BD!$A$3:$A$5001,"&gt;="&amp;$C$7,BD!$A$3:$A$5001,"&lt;="&amp;$B137,BD!$K$3:$K$5001,"&lt;&gt;")=0,"",SUMIFS(BD!$K$3:$K$5001,BD!$B$3:$B$5001,Q$114,BD!$A$3:$A$5001,_xlfn.MAXIFS(BD!$A$3:$A$5001,BD!$B$3:$B$5001,Q$114,BD!$A$3:$A$5001,"&gt;="&amp;$C$7,BD!$A$3:$A$5001,"&lt;="&amp;$B137,BD!$K$3:$K$5001,"&lt;&gt;"))))</f>
        <v/>
      </c>
      <c r="R137" s="43" t="str">
        <f>IF(OR($B137="",$A137&gt;$B$9,R$114=""),"",IF(COUNTIFS(BD!$B$3:$B$5001,R$114,BD!$A$3:$A$5001,"&gt;="&amp;$C$7,BD!$A$3:$A$5001,"&lt;="&amp;$B137,BD!$K$3:$K$5001,"&lt;&gt;")=0,"",SUMIFS(BD!$K$3:$K$5001,BD!$B$3:$B$5001,R$114,BD!$A$3:$A$5001,_xlfn.MAXIFS(BD!$A$3:$A$5001,BD!$B$3:$B$5001,R$114,BD!$A$3:$A$5001,"&gt;="&amp;$C$7,BD!$A$3:$A$5001,"&lt;="&amp;$B137,BD!$K$3:$K$5001,"&lt;&gt;"))))</f>
        <v/>
      </c>
      <c r="S137" s="43" t="str">
        <f>IF(OR($B137="",$A137&gt;$B$9,S$114=""),"",IF(COUNTIFS(BD!$B$3:$B$5001,S$114,BD!$A$3:$A$5001,"&gt;="&amp;$C$7,BD!$A$3:$A$5001,"&lt;="&amp;$B137,BD!$K$3:$K$5001,"&lt;&gt;")=0,"",SUMIFS(BD!$K$3:$K$5001,BD!$B$3:$B$5001,S$114,BD!$A$3:$A$5001,_xlfn.MAXIFS(BD!$A$3:$A$5001,BD!$B$3:$B$5001,S$114,BD!$A$3:$A$5001,"&gt;="&amp;$C$7,BD!$A$3:$A$5001,"&lt;="&amp;$B137,BD!$K$3:$K$5001,"&lt;&gt;"))))</f>
        <v/>
      </c>
      <c r="T137" s="43" t="str">
        <f>IF(OR($B137="",$A137&gt;$B$9,T$114=""),"",IF(COUNTIFS(BD!$B$3:$B$5001,T$114,BD!$A$3:$A$5001,"&gt;="&amp;$C$7,BD!$A$3:$A$5001,"&lt;="&amp;$B137,BD!$K$3:$K$5001,"&lt;&gt;")=0,"",SUMIFS(BD!$K$3:$K$5001,BD!$B$3:$B$5001,T$114,BD!$A$3:$A$5001,_xlfn.MAXIFS(BD!$A$3:$A$5001,BD!$B$3:$B$5001,T$114,BD!$A$3:$A$5001,"&gt;="&amp;$C$7,BD!$A$3:$A$5001,"&lt;="&amp;$B137,BD!$K$3:$K$5001,"&lt;&gt;"))))</f>
        <v/>
      </c>
      <c r="U137" s="43" t="str">
        <f>IF(OR($B137="",$A137&gt;$B$9,U$114=""),"",IF(COUNTIFS(BD!$B$3:$B$5001,U$114,BD!$A$3:$A$5001,"&gt;="&amp;$C$7,BD!$A$3:$A$5001,"&lt;="&amp;$B137,BD!$K$3:$K$5001,"&lt;&gt;")=0,"",SUMIFS(BD!$K$3:$K$5001,BD!$B$3:$B$5001,U$114,BD!$A$3:$A$5001,_xlfn.MAXIFS(BD!$A$3:$A$5001,BD!$B$3:$B$5001,U$114,BD!$A$3:$A$5001,"&gt;="&amp;$C$7,BD!$A$3:$A$5001,"&lt;="&amp;$B137,BD!$K$3:$K$5001,"&lt;&gt;"))))</f>
        <v/>
      </c>
      <c r="V137" s="43" t="str">
        <f>IF(OR($B137="",$A137&gt;$B$9,V$114=""),"",IF(COUNTIFS(BD!$B$3:$B$5001,V$114,BD!$A$3:$A$5001,"&gt;="&amp;$C$7,BD!$A$3:$A$5001,"&lt;="&amp;$B137,BD!$K$3:$K$5001,"&lt;&gt;")=0,"",SUMIFS(BD!$K$3:$K$5001,BD!$B$3:$B$5001,V$114,BD!$A$3:$A$5001,_xlfn.MAXIFS(BD!$A$3:$A$5001,BD!$B$3:$B$5001,V$114,BD!$A$3:$A$5001,"&gt;="&amp;$C$7,BD!$A$3:$A$5001,"&lt;="&amp;$B137,BD!$K$3:$K$5001,"&lt;&gt;"))))</f>
        <v/>
      </c>
    </row>
    <row r="138">
      <c r="A138" s="38">
        <v>24</v>
      </c>
      <c r="B138" s="42">
        <f>$B$35</f>
        <v>46319</v>
      </c>
      <c r="C138" s="43" t="str">
        <f>IF(OR($B138="",$A138&gt;$B$9,C$114=""),"",IF(COUNTIFS(BD!$B$3:$B$5001,C$114,BD!$A$3:$A$5001,"&gt;="&amp;$C$7,BD!$A$3:$A$5001,"&lt;="&amp;$B138,BD!$K$3:$K$5001,"&lt;&gt;")=0,"",SUMIFS(BD!$K$3:$K$5001,BD!$B$3:$B$5001,C$114,BD!$A$3:$A$5001,_xlfn.MAXIFS(BD!$A$3:$A$5001,BD!$B$3:$B$5001,C$114,BD!$A$3:$A$5001,"&gt;="&amp;$C$7,BD!$A$3:$A$5001,"&lt;="&amp;$B138,BD!$K$3:$K$5001,"&lt;&gt;"))))</f>
        <v/>
      </c>
      <c r="D138" s="43" t="str">
        <f>IF(OR($B138="",$A138&gt;$B$9,D$114=""),"",IF(COUNTIFS(BD!$B$3:$B$5001,D$114,BD!$A$3:$A$5001,"&gt;="&amp;$C$7,BD!$A$3:$A$5001,"&lt;="&amp;$B138,BD!$K$3:$K$5001,"&lt;&gt;")=0,"",SUMIFS(BD!$K$3:$K$5001,BD!$B$3:$B$5001,D$114,BD!$A$3:$A$5001,_xlfn.MAXIFS(BD!$A$3:$A$5001,BD!$B$3:$B$5001,D$114,BD!$A$3:$A$5001,"&gt;="&amp;$C$7,BD!$A$3:$A$5001,"&lt;="&amp;$B138,BD!$K$3:$K$5001,"&lt;&gt;"))))</f>
        <v/>
      </c>
      <c r="E138" s="43" t="str">
        <f>IF(OR($B138="",$A138&gt;$B$9,E$114=""),"",IF(COUNTIFS(BD!$B$3:$B$5001,E$114,BD!$A$3:$A$5001,"&gt;="&amp;$C$7,BD!$A$3:$A$5001,"&lt;="&amp;$B138,BD!$K$3:$K$5001,"&lt;&gt;")=0,"",SUMIFS(BD!$K$3:$K$5001,BD!$B$3:$B$5001,E$114,BD!$A$3:$A$5001,_xlfn.MAXIFS(BD!$A$3:$A$5001,BD!$B$3:$B$5001,E$114,BD!$A$3:$A$5001,"&gt;="&amp;$C$7,BD!$A$3:$A$5001,"&lt;="&amp;$B138,BD!$K$3:$K$5001,"&lt;&gt;"))))</f>
        <v/>
      </c>
      <c r="F138" s="43" t="str">
        <f>IF(OR($B138="",$A138&gt;$B$9,F$114=""),"",IF(COUNTIFS(BD!$B$3:$B$5001,F$114,BD!$A$3:$A$5001,"&gt;="&amp;$C$7,BD!$A$3:$A$5001,"&lt;="&amp;$B138,BD!$K$3:$K$5001,"&lt;&gt;")=0,"",SUMIFS(BD!$K$3:$K$5001,BD!$B$3:$B$5001,F$114,BD!$A$3:$A$5001,_xlfn.MAXIFS(BD!$A$3:$A$5001,BD!$B$3:$B$5001,F$114,BD!$A$3:$A$5001,"&gt;="&amp;$C$7,BD!$A$3:$A$5001,"&lt;="&amp;$B138,BD!$K$3:$K$5001,"&lt;&gt;"))))</f>
        <v/>
      </c>
      <c r="G138" s="43" t="str">
        <f>IF(OR($B138="",$A138&gt;$B$9,G$114=""),"",IF(COUNTIFS(BD!$B$3:$B$5001,G$114,BD!$A$3:$A$5001,"&gt;="&amp;$C$7,BD!$A$3:$A$5001,"&lt;="&amp;$B138,BD!$K$3:$K$5001,"&lt;&gt;")=0,"",SUMIFS(BD!$K$3:$K$5001,BD!$B$3:$B$5001,G$114,BD!$A$3:$A$5001,_xlfn.MAXIFS(BD!$A$3:$A$5001,BD!$B$3:$B$5001,G$114,BD!$A$3:$A$5001,"&gt;="&amp;$C$7,BD!$A$3:$A$5001,"&lt;="&amp;$B138,BD!$K$3:$K$5001,"&lt;&gt;"))))</f>
        <v/>
      </c>
      <c r="H138" s="43" t="str">
        <f>IF(OR($B138="",$A138&gt;$B$9,H$114=""),"",IF(COUNTIFS(BD!$B$3:$B$5001,H$114,BD!$A$3:$A$5001,"&gt;="&amp;$C$7,BD!$A$3:$A$5001,"&lt;="&amp;$B138,BD!$K$3:$K$5001,"&lt;&gt;")=0,"",SUMIFS(BD!$K$3:$K$5001,BD!$B$3:$B$5001,H$114,BD!$A$3:$A$5001,_xlfn.MAXIFS(BD!$A$3:$A$5001,BD!$B$3:$B$5001,H$114,BD!$A$3:$A$5001,"&gt;="&amp;$C$7,BD!$A$3:$A$5001,"&lt;="&amp;$B138,BD!$K$3:$K$5001,"&lt;&gt;"))))</f>
        <v/>
      </c>
      <c r="I138" s="43" t="str">
        <f>IF(OR($B138="",$A138&gt;$B$9,I$114=""),"",IF(COUNTIFS(BD!$B$3:$B$5001,I$114,BD!$A$3:$A$5001,"&gt;="&amp;$C$7,BD!$A$3:$A$5001,"&lt;="&amp;$B138,BD!$K$3:$K$5001,"&lt;&gt;")=0,"",SUMIFS(BD!$K$3:$K$5001,BD!$B$3:$B$5001,I$114,BD!$A$3:$A$5001,_xlfn.MAXIFS(BD!$A$3:$A$5001,BD!$B$3:$B$5001,I$114,BD!$A$3:$A$5001,"&gt;="&amp;$C$7,BD!$A$3:$A$5001,"&lt;="&amp;$B138,BD!$K$3:$K$5001,"&lt;&gt;"))))</f>
        <v/>
      </c>
      <c r="J138" s="43" t="str">
        <f>IF(OR($B138="",$A138&gt;$B$9,J$114=""),"",IF(COUNTIFS(BD!$B$3:$B$5001,J$114,BD!$A$3:$A$5001,"&gt;="&amp;$C$7,BD!$A$3:$A$5001,"&lt;="&amp;$B138,BD!$K$3:$K$5001,"&lt;&gt;")=0,"",SUMIFS(BD!$K$3:$K$5001,BD!$B$3:$B$5001,J$114,BD!$A$3:$A$5001,_xlfn.MAXIFS(BD!$A$3:$A$5001,BD!$B$3:$B$5001,J$114,BD!$A$3:$A$5001,"&gt;="&amp;$C$7,BD!$A$3:$A$5001,"&lt;="&amp;$B138,BD!$K$3:$K$5001,"&lt;&gt;"))))</f>
        <v/>
      </c>
      <c r="K138" s="43" t="str">
        <f>IF(OR($B138="",$A138&gt;$B$9,K$114=""),"",IF(COUNTIFS(BD!$B$3:$B$5001,K$114,BD!$A$3:$A$5001,"&gt;="&amp;$C$7,BD!$A$3:$A$5001,"&lt;="&amp;$B138,BD!$K$3:$K$5001,"&lt;&gt;")=0,"",SUMIFS(BD!$K$3:$K$5001,BD!$B$3:$B$5001,K$114,BD!$A$3:$A$5001,_xlfn.MAXIFS(BD!$A$3:$A$5001,BD!$B$3:$B$5001,K$114,BD!$A$3:$A$5001,"&gt;="&amp;$C$7,BD!$A$3:$A$5001,"&lt;="&amp;$B138,BD!$K$3:$K$5001,"&lt;&gt;"))))</f>
        <v/>
      </c>
      <c r="L138" s="43" t="str">
        <f>IF(OR($B138="",$A138&gt;$B$9,L$114=""),"",IF(COUNTIFS(BD!$B$3:$B$5001,L$114,BD!$A$3:$A$5001,"&gt;="&amp;$C$7,BD!$A$3:$A$5001,"&lt;="&amp;$B138,BD!$K$3:$K$5001,"&lt;&gt;")=0,"",SUMIFS(BD!$K$3:$K$5001,BD!$B$3:$B$5001,L$114,BD!$A$3:$A$5001,_xlfn.MAXIFS(BD!$A$3:$A$5001,BD!$B$3:$B$5001,L$114,BD!$A$3:$A$5001,"&gt;="&amp;$C$7,BD!$A$3:$A$5001,"&lt;="&amp;$B138,BD!$K$3:$K$5001,"&lt;&gt;"))))</f>
        <v/>
      </c>
      <c r="M138" s="43" t="str">
        <f>IF(OR($B138="",$A138&gt;$B$9,M$114=""),"",IF(COUNTIFS(BD!$B$3:$B$5001,M$114,BD!$A$3:$A$5001,"&gt;="&amp;$C$7,BD!$A$3:$A$5001,"&lt;="&amp;$B138,BD!$K$3:$K$5001,"&lt;&gt;")=0,"",SUMIFS(BD!$K$3:$K$5001,BD!$B$3:$B$5001,M$114,BD!$A$3:$A$5001,_xlfn.MAXIFS(BD!$A$3:$A$5001,BD!$B$3:$B$5001,M$114,BD!$A$3:$A$5001,"&gt;="&amp;$C$7,BD!$A$3:$A$5001,"&lt;="&amp;$B138,BD!$K$3:$K$5001,"&lt;&gt;"))))</f>
        <v/>
      </c>
      <c r="N138" s="43" t="str">
        <f>IF(OR($B138="",$A138&gt;$B$9,N$114=""),"",IF(COUNTIFS(BD!$B$3:$B$5001,N$114,BD!$A$3:$A$5001,"&gt;="&amp;$C$7,BD!$A$3:$A$5001,"&lt;="&amp;$B138,BD!$K$3:$K$5001,"&lt;&gt;")=0,"",SUMIFS(BD!$K$3:$K$5001,BD!$B$3:$B$5001,N$114,BD!$A$3:$A$5001,_xlfn.MAXIFS(BD!$A$3:$A$5001,BD!$B$3:$B$5001,N$114,BD!$A$3:$A$5001,"&gt;="&amp;$C$7,BD!$A$3:$A$5001,"&lt;="&amp;$B138,BD!$K$3:$K$5001,"&lt;&gt;"))))</f>
        <v/>
      </c>
      <c r="O138" s="43" t="str">
        <f>IF(OR($B138="",$A138&gt;$B$9,O$114=""),"",IF(COUNTIFS(BD!$B$3:$B$5001,O$114,BD!$A$3:$A$5001,"&gt;="&amp;$C$7,BD!$A$3:$A$5001,"&lt;="&amp;$B138,BD!$K$3:$K$5001,"&lt;&gt;")=0,"",SUMIFS(BD!$K$3:$K$5001,BD!$B$3:$B$5001,O$114,BD!$A$3:$A$5001,_xlfn.MAXIFS(BD!$A$3:$A$5001,BD!$B$3:$B$5001,O$114,BD!$A$3:$A$5001,"&gt;="&amp;$C$7,BD!$A$3:$A$5001,"&lt;="&amp;$B138,BD!$K$3:$K$5001,"&lt;&gt;"))))</f>
        <v/>
      </c>
      <c r="P138" s="43" t="str">
        <f>IF(OR($B138="",$A138&gt;$B$9,P$114=""),"",IF(COUNTIFS(BD!$B$3:$B$5001,P$114,BD!$A$3:$A$5001,"&gt;="&amp;$C$7,BD!$A$3:$A$5001,"&lt;="&amp;$B138,BD!$K$3:$K$5001,"&lt;&gt;")=0,"",SUMIFS(BD!$K$3:$K$5001,BD!$B$3:$B$5001,P$114,BD!$A$3:$A$5001,_xlfn.MAXIFS(BD!$A$3:$A$5001,BD!$B$3:$B$5001,P$114,BD!$A$3:$A$5001,"&gt;="&amp;$C$7,BD!$A$3:$A$5001,"&lt;="&amp;$B138,BD!$K$3:$K$5001,"&lt;&gt;"))))</f>
        <v/>
      </c>
      <c r="Q138" s="43" t="str">
        <f>IF(OR($B138="",$A138&gt;$B$9,Q$114=""),"",IF(COUNTIFS(BD!$B$3:$B$5001,Q$114,BD!$A$3:$A$5001,"&gt;="&amp;$C$7,BD!$A$3:$A$5001,"&lt;="&amp;$B138,BD!$K$3:$K$5001,"&lt;&gt;")=0,"",SUMIFS(BD!$K$3:$K$5001,BD!$B$3:$B$5001,Q$114,BD!$A$3:$A$5001,_xlfn.MAXIFS(BD!$A$3:$A$5001,BD!$B$3:$B$5001,Q$114,BD!$A$3:$A$5001,"&gt;="&amp;$C$7,BD!$A$3:$A$5001,"&lt;="&amp;$B138,BD!$K$3:$K$5001,"&lt;&gt;"))))</f>
        <v/>
      </c>
      <c r="R138" s="43" t="str">
        <f>IF(OR($B138="",$A138&gt;$B$9,R$114=""),"",IF(COUNTIFS(BD!$B$3:$B$5001,R$114,BD!$A$3:$A$5001,"&gt;="&amp;$C$7,BD!$A$3:$A$5001,"&lt;="&amp;$B138,BD!$K$3:$K$5001,"&lt;&gt;")=0,"",SUMIFS(BD!$K$3:$K$5001,BD!$B$3:$B$5001,R$114,BD!$A$3:$A$5001,_xlfn.MAXIFS(BD!$A$3:$A$5001,BD!$B$3:$B$5001,R$114,BD!$A$3:$A$5001,"&gt;="&amp;$C$7,BD!$A$3:$A$5001,"&lt;="&amp;$B138,BD!$K$3:$K$5001,"&lt;&gt;"))))</f>
        <v/>
      </c>
      <c r="S138" s="43" t="str">
        <f>IF(OR($B138="",$A138&gt;$B$9,S$114=""),"",IF(COUNTIFS(BD!$B$3:$B$5001,S$114,BD!$A$3:$A$5001,"&gt;="&amp;$C$7,BD!$A$3:$A$5001,"&lt;="&amp;$B138,BD!$K$3:$K$5001,"&lt;&gt;")=0,"",SUMIFS(BD!$K$3:$K$5001,BD!$B$3:$B$5001,S$114,BD!$A$3:$A$5001,_xlfn.MAXIFS(BD!$A$3:$A$5001,BD!$B$3:$B$5001,S$114,BD!$A$3:$A$5001,"&gt;="&amp;$C$7,BD!$A$3:$A$5001,"&lt;="&amp;$B138,BD!$K$3:$K$5001,"&lt;&gt;"))))</f>
        <v/>
      </c>
      <c r="T138" s="43" t="str">
        <f>IF(OR($B138="",$A138&gt;$B$9,T$114=""),"",IF(COUNTIFS(BD!$B$3:$B$5001,T$114,BD!$A$3:$A$5001,"&gt;="&amp;$C$7,BD!$A$3:$A$5001,"&lt;="&amp;$B138,BD!$K$3:$K$5001,"&lt;&gt;")=0,"",SUMIFS(BD!$K$3:$K$5001,BD!$B$3:$B$5001,T$114,BD!$A$3:$A$5001,_xlfn.MAXIFS(BD!$A$3:$A$5001,BD!$B$3:$B$5001,T$114,BD!$A$3:$A$5001,"&gt;="&amp;$C$7,BD!$A$3:$A$5001,"&lt;="&amp;$B138,BD!$K$3:$K$5001,"&lt;&gt;"))))</f>
        <v/>
      </c>
      <c r="U138" s="43" t="str">
        <f>IF(OR($B138="",$A138&gt;$B$9,U$114=""),"",IF(COUNTIFS(BD!$B$3:$B$5001,U$114,BD!$A$3:$A$5001,"&gt;="&amp;$C$7,BD!$A$3:$A$5001,"&lt;="&amp;$B138,BD!$K$3:$K$5001,"&lt;&gt;")=0,"",SUMIFS(BD!$K$3:$K$5001,BD!$B$3:$B$5001,U$114,BD!$A$3:$A$5001,_xlfn.MAXIFS(BD!$A$3:$A$5001,BD!$B$3:$B$5001,U$114,BD!$A$3:$A$5001,"&gt;="&amp;$C$7,BD!$A$3:$A$5001,"&lt;="&amp;$B138,BD!$K$3:$K$5001,"&lt;&gt;"))))</f>
        <v/>
      </c>
      <c r="V138" s="43" t="str">
        <f>IF(OR($B138="",$A138&gt;$B$9,V$114=""),"",IF(COUNTIFS(BD!$B$3:$B$5001,V$114,BD!$A$3:$A$5001,"&gt;="&amp;$C$7,BD!$A$3:$A$5001,"&lt;="&amp;$B138,BD!$K$3:$K$5001,"&lt;&gt;")=0,"",SUMIFS(BD!$K$3:$K$5001,BD!$B$3:$B$5001,V$114,BD!$A$3:$A$5001,_xlfn.MAXIFS(BD!$A$3:$A$5001,BD!$B$3:$B$5001,V$114,BD!$A$3:$A$5001,"&gt;="&amp;$C$7,BD!$A$3:$A$5001,"&lt;="&amp;$B138,BD!$K$3:$K$5001,"&lt;&gt;"))))</f>
        <v/>
      </c>
    </row>
    <row r="139">
      <c r="A139" s="38">
        <v>25</v>
      </c>
      <c r="B139" s="42">
        <f>$B$36</f>
        <v>46320</v>
      </c>
      <c r="C139" s="43" t="str">
        <f>IF(OR($B139="",$A139&gt;$B$9,C$114=""),"",IF(COUNTIFS(BD!$B$3:$B$5001,C$114,BD!$A$3:$A$5001,"&gt;="&amp;$C$7,BD!$A$3:$A$5001,"&lt;="&amp;$B139,BD!$K$3:$K$5001,"&lt;&gt;")=0,"",SUMIFS(BD!$K$3:$K$5001,BD!$B$3:$B$5001,C$114,BD!$A$3:$A$5001,_xlfn.MAXIFS(BD!$A$3:$A$5001,BD!$B$3:$B$5001,C$114,BD!$A$3:$A$5001,"&gt;="&amp;$C$7,BD!$A$3:$A$5001,"&lt;="&amp;$B139,BD!$K$3:$K$5001,"&lt;&gt;"))))</f>
        <v/>
      </c>
      <c r="D139" s="43" t="str">
        <f>IF(OR($B139="",$A139&gt;$B$9,D$114=""),"",IF(COUNTIFS(BD!$B$3:$B$5001,D$114,BD!$A$3:$A$5001,"&gt;="&amp;$C$7,BD!$A$3:$A$5001,"&lt;="&amp;$B139,BD!$K$3:$K$5001,"&lt;&gt;")=0,"",SUMIFS(BD!$K$3:$K$5001,BD!$B$3:$B$5001,D$114,BD!$A$3:$A$5001,_xlfn.MAXIFS(BD!$A$3:$A$5001,BD!$B$3:$B$5001,D$114,BD!$A$3:$A$5001,"&gt;="&amp;$C$7,BD!$A$3:$A$5001,"&lt;="&amp;$B139,BD!$K$3:$K$5001,"&lt;&gt;"))))</f>
        <v/>
      </c>
      <c r="E139" s="43" t="str">
        <f>IF(OR($B139="",$A139&gt;$B$9,E$114=""),"",IF(COUNTIFS(BD!$B$3:$B$5001,E$114,BD!$A$3:$A$5001,"&gt;="&amp;$C$7,BD!$A$3:$A$5001,"&lt;="&amp;$B139,BD!$K$3:$K$5001,"&lt;&gt;")=0,"",SUMIFS(BD!$K$3:$K$5001,BD!$B$3:$B$5001,E$114,BD!$A$3:$A$5001,_xlfn.MAXIFS(BD!$A$3:$A$5001,BD!$B$3:$B$5001,E$114,BD!$A$3:$A$5001,"&gt;="&amp;$C$7,BD!$A$3:$A$5001,"&lt;="&amp;$B139,BD!$K$3:$K$5001,"&lt;&gt;"))))</f>
        <v/>
      </c>
      <c r="F139" s="43" t="str">
        <f>IF(OR($B139="",$A139&gt;$B$9,F$114=""),"",IF(COUNTIFS(BD!$B$3:$B$5001,F$114,BD!$A$3:$A$5001,"&gt;="&amp;$C$7,BD!$A$3:$A$5001,"&lt;="&amp;$B139,BD!$K$3:$K$5001,"&lt;&gt;")=0,"",SUMIFS(BD!$K$3:$K$5001,BD!$B$3:$B$5001,F$114,BD!$A$3:$A$5001,_xlfn.MAXIFS(BD!$A$3:$A$5001,BD!$B$3:$B$5001,F$114,BD!$A$3:$A$5001,"&gt;="&amp;$C$7,BD!$A$3:$A$5001,"&lt;="&amp;$B139,BD!$K$3:$K$5001,"&lt;&gt;"))))</f>
        <v/>
      </c>
      <c r="G139" s="43" t="str">
        <f>IF(OR($B139="",$A139&gt;$B$9,G$114=""),"",IF(COUNTIFS(BD!$B$3:$B$5001,G$114,BD!$A$3:$A$5001,"&gt;="&amp;$C$7,BD!$A$3:$A$5001,"&lt;="&amp;$B139,BD!$K$3:$K$5001,"&lt;&gt;")=0,"",SUMIFS(BD!$K$3:$K$5001,BD!$B$3:$B$5001,G$114,BD!$A$3:$A$5001,_xlfn.MAXIFS(BD!$A$3:$A$5001,BD!$B$3:$B$5001,G$114,BD!$A$3:$A$5001,"&gt;="&amp;$C$7,BD!$A$3:$A$5001,"&lt;="&amp;$B139,BD!$K$3:$K$5001,"&lt;&gt;"))))</f>
        <v/>
      </c>
      <c r="H139" s="43" t="str">
        <f>IF(OR($B139="",$A139&gt;$B$9,H$114=""),"",IF(COUNTIFS(BD!$B$3:$B$5001,H$114,BD!$A$3:$A$5001,"&gt;="&amp;$C$7,BD!$A$3:$A$5001,"&lt;="&amp;$B139,BD!$K$3:$K$5001,"&lt;&gt;")=0,"",SUMIFS(BD!$K$3:$K$5001,BD!$B$3:$B$5001,H$114,BD!$A$3:$A$5001,_xlfn.MAXIFS(BD!$A$3:$A$5001,BD!$B$3:$B$5001,H$114,BD!$A$3:$A$5001,"&gt;="&amp;$C$7,BD!$A$3:$A$5001,"&lt;="&amp;$B139,BD!$K$3:$K$5001,"&lt;&gt;"))))</f>
        <v/>
      </c>
      <c r="I139" s="43" t="str">
        <f>IF(OR($B139="",$A139&gt;$B$9,I$114=""),"",IF(COUNTIFS(BD!$B$3:$B$5001,I$114,BD!$A$3:$A$5001,"&gt;="&amp;$C$7,BD!$A$3:$A$5001,"&lt;="&amp;$B139,BD!$K$3:$K$5001,"&lt;&gt;")=0,"",SUMIFS(BD!$K$3:$K$5001,BD!$B$3:$B$5001,I$114,BD!$A$3:$A$5001,_xlfn.MAXIFS(BD!$A$3:$A$5001,BD!$B$3:$B$5001,I$114,BD!$A$3:$A$5001,"&gt;="&amp;$C$7,BD!$A$3:$A$5001,"&lt;="&amp;$B139,BD!$K$3:$K$5001,"&lt;&gt;"))))</f>
        <v/>
      </c>
      <c r="J139" s="43" t="str">
        <f>IF(OR($B139="",$A139&gt;$B$9,J$114=""),"",IF(COUNTIFS(BD!$B$3:$B$5001,J$114,BD!$A$3:$A$5001,"&gt;="&amp;$C$7,BD!$A$3:$A$5001,"&lt;="&amp;$B139,BD!$K$3:$K$5001,"&lt;&gt;")=0,"",SUMIFS(BD!$K$3:$K$5001,BD!$B$3:$B$5001,J$114,BD!$A$3:$A$5001,_xlfn.MAXIFS(BD!$A$3:$A$5001,BD!$B$3:$B$5001,J$114,BD!$A$3:$A$5001,"&gt;="&amp;$C$7,BD!$A$3:$A$5001,"&lt;="&amp;$B139,BD!$K$3:$K$5001,"&lt;&gt;"))))</f>
        <v/>
      </c>
      <c r="K139" s="43" t="str">
        <f>IF(OR($B139="",$A139&gt;$B$9,K$114=""),"",IF(COUNTIFS(BD!$B$3:$B$5001,K$114,BD!$A$3:$A$5001,"&gt;="&amp;$C$7,BD!$A$3:$A$5001,"&lt;="&amp;$B139,BD!$K$3:$K$5001,"&lt;&gt;")=0,"",SUMIFS(BD!$K$3:$K$5001,BD!$B$3:$B$5001,K$114,BD!$A$3:$A$5001,_xlfn.MAXIFS(BD!$A$3:$A$5001,BD!$B$3:$B$5001,K$114,BD!$A$3:$A$5001,"&gt;="&amp;$C$7,BD!$A$3:$A$5001,"&lt;="&amp;$B139,BD!$K$3:$K$5001,"&lt;&gt;"))))</f>
        <v/>
      </c>
      <c r="L139" s="43" t="str">
        <f>IF(OR($B139="",$A139&gt;$B$9,L$114=""),"",IF(COUNTIFS(BD!$B$3:$B$5001,L$114,BD!$A$3:$A$5001,"&gt;="&amp;$C$7,BD!$A$3:$A$5001,"&lt;="&amp;$B139,BD!$K$3:$K$5001,"&lt;&gt;")=0,"",SUMIFS(BD!$K$3:$K$5001,BD!$B$3:$B$5001,L$114,BD!$A$3:$A$5001,_xlfn.MAXIFS(BD!$A$3:$A$5001,BD!$B$3:$B$5001,L$114,BD!$A$3:$A$5001,"&gt;="&amp;$C$7,BD!$A$3:$A$5001,"&lt;="&amp;$B139,BD!$K$3:$K$5001,"&lt;&gt;"))))</f>
        <v/>
      </c>
      <c r="M139" s="43" t="str">
        <f>IF(OR($B139="",$A139&gt;$B$9,M$114=""),"",IF(COUNTIFS(BD!$B$3:$B$5001,M$114,BD!$A$3:$A$5001,"&gt;="&amp;$C$7,BD!$A$3:$A$5001,"&lt;="&amp;$B139,BD!$K$3:$K$5001,"&lt;&gt;")=0,"",SUMIFS(BD!$K$3:$K$5001,BD!$B$3:$B$5001,M$114,BD!$A$3:$A$5001,_xlfn.MAXIFS(BD!$A$3:$A$5001,BD!$B$3:$B$5001,M$114,BD!$A$3:$A$5001,"&gt;="&amp;$C$7,BD!$A$3:$A$5001,"&lt;="&amp;$B139,BD!$K$3:$K$5001,"&lt;&gt;"))))</f>
        <v/>
      </c>
      <c r="N139" s="43" t="str">
        <f>IF(OR($B139="",$A139&gt;$B$9,N$114=""),"",IF(COUNTIFS(BD!$B$3:$B$5001,N$114,BD!$A$3:$A$5001,"&gt;="&amp;$C$7,BD!$A$3:$A$5001,"&lt;="&amp;$B139,BD!$K$3:$K$5001,"&lt;&gt;")=0,"",SUMIFS(BD!$K$3:$K$5001,BD!$B$3:$B$5001,N$114,BD!$A$3:$A$5001,_xlfn.MAXIFS(BD!$A$3:$A$5001,BD!$B$3:$B$5001,N$114,BD!$A$3:$A$5001,"&gt;="&amp;$C$7,BD!$A$3:$A$5001,"&lt;="&amp;$B139,BD!$K$3:$K$5001,"&lt;&gt;"))))</f>
        <v/>
      </c>
      <c r="O139" s="43" t="str">
        <f>IF(OR($B139="",$A139&gt;$B$9,O$114=""),"",IF(COUNTIFS(BD!$B$3:$B$5001,O$114,BD!$A$3:$A$5001,"&gt;="&amp;$C$7,BD!$A$3:$A$5001,"&lt;="&amp;$B139,BD!$K$3:$K$5001,"&lt;&gt;")=0,"",SUMIFS(BD!$K$3:$K$5001,BD!$B$3:$B$5001,O$114,BD!$A$3:$A$5001,_xlfn.MAXIFS(BD!$A$3:$A$5001,BD!$B$3:$B$5001,O$114,BD!$A$3:$A$5001,"&gt;="&amp;$C$7,BD!$A$3:$A$5001,"&lt;="&amp;$B139,BD!$K$3:$K$5001,"&lt;&gt;"))))</f>
        <v/>
      </c>
      <c r="P139" s="43" t="str">
        <f>IF(OR($B139="",$A139&gt;$B$9,P$114=""),"",IF(COUNTIFS(BD!$B$3:$B$5001,P$114,BD!$A$3:$A$5001,"&gt;="&amp;$C$7,BD!$A$3:$A$5001,"&lt;="&amp;$B139,BD!$K$3:$K$5001,"&lt;&gt;")=0,"",SUMIFS(BD!$K$3:$K$5001,BD!$B$3:$B$5001,P$114,BD!$A$3:$A$5001,_xlfn.MAXIFS(BD!$A$3:$A$5001,BD!$B$3:$B$5001,P$114,BD!$A$3:$A$5001,"&gt;="&amp;$C$7,BD!$A$3:$A$5001,"&lt;="&amp;$B139,BD!$K$3:$K$5001,"&lt;&gt;"))))</f>
        <v/>
      </c>
      <c r="Q139" s="43" t="str">
        <f>IF(OR($B139="",$A139&gt;$B$9,Q$114=""),"",IF(COUNTIFS(BD!$B$3:$B$5001,Q$114,BD!$A$3:$A$5001,"&gt;="&amp;$C$7,BD!$A$3:$A$5001,"&lt;="&amp;$B139,BD!$K$3:$K$5001,"&lt;&gt;")=0,"",SUMIFS(BD!$K$3:$K$5001,BD!$B$3:$B$5001,Q$114,BD!$A$3:$A$5001,_xlfn.MAXIFS(BD!$A$3:$A$5001,BD!$B$3:$B$5001,Q$114,BD!$A$3:$A$5001,"&gt;="&amp;$C$7,BD!$A$3:$A$5001,"&lt;="&amp;$B139,BD!$K$3:$K$5001,"&lt;&gt;"))))</f>
        <v/>
      </c>
      <c r="R139" s="43" t="str">
        <f>IF(OR($B139="",$A139&gt;$B$9,R$114=""),"",IF(COUNTIFS(BD!$B$3:$B$5001,R$114,BD!$A$3:$A$5001,"&gt;="&amp;$C$7,BD!$A$3:$A$5001,"&lt;="&amp;$B139,BD!$K$3:$K$5001,"&lt;&gt;")=0,"",SUMIFS(BD!$K$3:$K$5001,BD!$B$3:$B$5001,R$114,BD!$A$3:$A$5001,_xlfn.MAXIFS(BD!$A$3:$A$5001,BD!$B$3:$B$5001,R$114,BD!$A$3:$A$5001,"&gt;="&amp;$C$7,BD!$A$3:$A$5001,"&lt;="&amp;$B139,BD!$K$3:$K$5001,"&lt;&gt;"))))</f>
        <v/>
      </c>
      <c r="S139" s="43" t="str">
        <f>IF(OR($B139="",$A139&gt;$B$9,S$114=""),"",IF(COUNTIFS(BD!$B$3:$B$5001,S$114,BD!$A$3:$A$5001,"&gt;="&amp;$C$7,BD!$A$3:$A$5001,"&lt;="&amp;$B139,BD!$K$3:$K$5001,"&lt;&gt;")=0,"",SUMIFS(BD!$K$3:$K$5001,BD!$B$3:$B$5001,S$114,BD!$A$3:$A$5001,_xlfn.MAXIFS(BD!$A$3:$A$5001,BD!$B$3:$B$5001,S$114,BD!$A$3:$A$5001,"&gt;="&amp;$C$7,BD!$A$3:$A$5001,"&lt;="&amp;$B139,BD!$K$3:$K$5001,"&lt;&gt;"))))</f>
        <v/>
      </c>
      <c r="T139" s="43" t="str">
        <f>IF(OR($B139="",$A139&gt;$B$9,T$114=""),"",IF(COUNTIFS(BD!$B$3:$B$5001,T$114,BD!$A$3:$A$5001,"&gt;="&amp;$C$7,BD!$A$3:$A$5001,"&lt;="&amp;$B139,BD!$K$3:$K$5001,"&lt;&gt;")=0,"",SUMIFS(BD!$K$3:$K$5001,BD!$B$3:$B$5001,T$114,BD!$A$3:$A$5001,_xlfn.MAXIFS(BD!$A$3:$A$5001,BD!$B$3:$B$5001,T$114,BD!$A$3:$A$5001,"&gt;="&amp;$C$7,BD!$A$3:$A$5001,"&lt;="&amp;$B139,BD!$K$3:$K$5001,"&lt;&gt;"))))</f>
        <v/>
      </c>
      <c r="U139" s="43" t="str">
        <f>IF(OR($B139="",$A139&gt;$B$9,U$114=""),"",IF(COUNTIFS(BD!$B$3:$B$5001,U$114,BD!$A$3:$A$5001,"&gt;="&amp;$C$7,BD!$A$3:$A$5001,"&lt;="&amp;$B139,BD!$K$3:$K$5001,"&lt;&gt;")=0,"",SUMIFS(BD!$K$3:$K$5001,BD!$B$3:$B$5001,U$114,BD!$A$3:$A$5001,_xlfn.MAXIFS(BD!$A$3:$A$5001,BD!$B$3:$B$5001,U$114,BD!$A$3:$A$5001,"&gt;="&amp;$C$7,BD!$A$3:$A$5001,"&lt;="&amp;$B139,BD!$K$3:$K$5001,"&lt;&gt;"))))</f>
        <v/>
      </c>
      <c r="V139" s="43" t="str">
        <f>IF(OR($B139="",$A139&gt;$B$9,V$114=""),"",IF(COUNTIFS(BD!$B$3:$B$5001,V$114,BD!$A$3:$A$5001,"&gt;="&amp;$C$7,BD!$A$3:$A$5001,"&lt;="&amp;$B139,BD!$K$3:$K$5001,"&lt;&gt;")=0,"",SUMIFS(BD!$K$3:$K$5001,BD!$B$3:$B$5001,V$114,BD!$A$3:$A$5001,_xlfn.MAXIFS(BD!$A$3:$A$5001,BD!$B$3:$B$5001,V$114,BD!$A$3:$A$5001,"&gt;="&amp;$C$7,BD!$A$3:$A$5001,"&lt;="&amp;$B139,BD!$K$3:$K$5001,"&lt;&gt;"))))</f>
        <v/>
      </c>
    </row>
    <row r="140">
      <c r="A140" s="38">
        <v>26</v>
      </c>
      <c r="B140" s="42">
        <f>$B$37</f>
        <v>46321</v>
      </c>
      <c r="C140" s="43" t="str">
        <f>IF(OR($B140="",$A140&gt;$B$9,C$114=""),"",IF(COUNTIFS(BD!$B$3:$B$5001,C$114,BD!$A$3:$A$5001,"&gt;="&amp;$C$7,BD!$A$3:$A$5001,"&lt;="&amp;$B140,BD!$K$3:$K$5001,"&lt;&gt;")=0,"",SUMIFS(BD!$K$3:$K$5001,BD!$B$3:$B$5001,C$114,BD!$A$3:$A$5001,_xlfn.MAXIFS(BD!$A$3:$A$5001,BD!$B$3:$B$5001,C$114,BD!$A$3:$A$5001,"&gt;="&amp;$C$7,BD!$A$3:$A$5001,"&lt;="&amp;$B140,BD!$K$3:$K$5001,"&lt;&gt;"))))</f>
        <v/>
      </c>
      <c r="D140" s="43" t="str">
        <f>IF(OR($B140="",$A140&gt;$B$9,D$114=""),"",IF(COUNTIFS(BD!$B$3:$B$5001,D$114,BD!$A$3:$A$5001,"&gt;="&amp;$C$7,BD!$A$3:$A$5001,"&lt;="&amp;$B140,BD!$K$3:$K$5001,"&lt;&gt;")=0,"",SUMIFS(BD!$K$3:$K$5001,BD!$B$3:$B$5001,D$114,BD!$A$3:$A$5001,_xlfn.MAXIFS(BD!$A$3:$A$5001,BD!$B$3:$B$5001,D$114,BD!$A$3:$A$5001,"&gt;="&amp;$C$7,BD!$A$3:$A$5001,"&lt;="&amp;$B140,BD!$K$3:$K$5001,"&lt;&gt;"))))</f>
        <v/>
      </c>
      <c r="E140" s="43" t="str">
        <f>IF(OR($B140="",$A140&gt;$B$9,E$114=""),"",IF(COUNTIFS(BD!$B$3:$B$5001,E$114,BD!$A$3:$A$5001,"&gt;="&amp;$C$7,BD!$A$3:$A$5001,"&lt;="&amp;$B140,BD!$K$3:$K$5001,"&lt;&gt;")=0,"",SUMIFS(BD!$K$3:$K$5001,BD!$B$3:$B$5001,E$114,BD!$A$3:$A$5001,_xlfn.MAXIFS(BD!$A$3:$A$5001,BD!$B$3:$B$5001,E$114,BD!$A$3:$A$5001,"&gt;="&amp;$C$7,BD!$A$3:$A$5001,"&lt;="&amp;$B140,BD!$K$3:$K$5001,"&lt;&gt;"))))</f>
        <v/>
      </c>
      <c r="F140" s="43" t="str">
        <f>IF(OR($B140="",$A140&gt;$B$9,F$114=""),"",IF(COUNTIFS(BD!$B$3:$B$5001,F$114,BD!$A$3:$A$5001,"&gt;="&amp;$C$7,BD!$A$3:$A$5001,"&lt;="&amp;$B140,BD!$K$3:$K$5001,"&lt;&gt;")=0,"",SUMIFS(BD!$K$3:$K$5001,BD!$B$3:$B$5001,F$114,BD!$A$3:$A$5001,_xlfn.MAXIFS(BD!$A$3:$A$5001,BD!$B$3:$B$5001,F$114,BD!$A$3:$A$5001,"&gt;="&amp;$C$7,BD!$A$3:$A$5001,"&lt;="&amp;$B140,BD!$K$3:$K$5001,"&lt;&gt;"))))</f>
        <v/>
      </c>
      <c r="G140" s="43" t="str">
        <f>IF(OR($B140="",$A140&gt;$B$9,G$114=""),"",IF(COUNTIFS(BD!$B$3:$B$5001,G$114,BD!$A$3:$A$5001,"&gt;="&amp;$C$7,BD!$A$3:$A$5001,"&lt;="&amp;$B140,BD!$K$3:$K$5001,"&lt;&gt;")=0,"",SUMIFS(BD!$K$3:$K$5001,BD!$B$3:$B$5001,G$114,BD!$A$3:$A$5001,_xlfn.MAXIFS(BD!$A$3:$A$5001,BD!$B$3:$B$5001,G$114,BD!$A$3:$A$5001,"&gt;="&amp;$C$7,BD!$A$3:$A$5001,"&lt;="&amp;$B140,BD!$K$3:$K$5001,"&lt;&gt;"))))</f>
        <v/>
      </c>
      <c r="H140" s="43" t="str">
        <f>IF(OR($B140="",$A140&gt;$B$9,H$114=""),"",IF(COUNTIFS(BD!$B$3:$B$5001,H$114,BD!$A$3:$A$5001,"&gt;="&amp;$C$7,BD!$A$3:$A$5001,"&lt;="&amp;$B140,BD!$K$3:$K$5001,"&lt;&gt;")=0,"",SUMIFS(BD!$K$3:$K$5001,BD!$B$3:$B$5001,H$114,BD!$A$3:$A$5001,_xlfn.MAXIFS(BD!$A$3:$A$5001,BD!$B$3:$B$5001,H$114,BD!$A$3:$A$5001,"&gt;="&amp;$C$7,BD!$A$3:$A$5001,"&lt;="&amp;$B140,BD!$K$3:$K$5001,"&lt;&gt;"))))</f>
        <v/>
      </c>
      <c r="I140" s="43" t="str">
        <f>IF(OR($B140="",$A140&gt;$B$9,I$114=""),"",IF(COUNTIFS(BD!$B$3:$B$5001,I$114,BD!$A$3:$A$5001,"&gt;="&amp;$C$7,BD!$A$3:$A$5001,"&lt;="&amp;$B140,BD!$K$3:$K$5001,"&lt;&gt;")=0,"",SUMIFS(BD!$K$3:$K$5001,BD!$B$3:$B$5001,I$114,BD!$A$3:$A$5001,_xlfn.MAXIFS(BD!$A$3:$A$5001,BD!$B$3:$B$5001,I$114,BD!$A$3:$A$5001,"&gt;="&amp;$C$7,BD!$A$3:$A$5001,"&lt;="&amp;$B140,BD!$K$3:$K$5001,"&lt;&gt;"))))</f>
        <v/>
      </c>
      <c r="J140" s="43" t="str">
        <f>IF(OR($B140="",$A140&gt;$B$9,J$114=""),"",IF(COUNTIFS(BD!$B$3:$B$5001,J$114,BD!$A$3:$A$5001,"&gt;="&amp;$C$7,BD!$A$3:$A$5001,"&lt;="&amp;$B140,BD!$K$3:$K$5001,"&lt;&gt;")=0,"",SUMIFS(BD!$K$3:$K$5001,BD!$B$3:$B$5001,J$114,BD!$A$3:$A$5001,_xlfn.MAXIFS(BD!$A$3:$A$5001,BD!$B$3:$B$5001,J$114,BD!$A$3:$A$5001,"&gt;="&amp;$C$7,BD!$A$3:$A$5001,"&lt;="&amp;$B140,BD!$K$3:$K$5001,"&lt;&gt;"))))</f>
        <v/>
      </c>
      <c r="K140" s="43" t="str">
        <f>IF(OR($B140="",$A140&gt;$B$9,K$114=""),"",IF(COUNTIFS(BD!$B$3:$B$5001,K$114,BD!$A$3:$A$5001,"&gt;="&amp;$C$7,BD!$A$3:$A$5001,"&lt;="&amp;$B140,BD!$K$3:$K$5001,"&lt;&gt;")=0,"",SUMIFS(BD!$K$3:$K$5001,BD!$B$3:$B$5001,K$114,BD!$A$3:$A$5001,_xlfn.MAXIFS(BD!$A$3:$A$5001,BD!$B$3:$B$5001,K$114,BD!$A$3:$A$5001,"&gt;="&amp;$C$7,BD!$A$3:$A$5001,"&lt;="&amp;$B140,BD!$K$3:$K$5001,"&lt;&gt;"))))</f>
        <v/>
      </c>
      <c r="L140" s="43" t="str">
        <f>IF(OR($B140="",$A140&gt;$B$9,L$114=""),"",IF(COUNTIFS(BD!$B$3:$B$5001,L$114,BD!$A$3:$A$5001,"&gt;="&amp;$C$7,BD!$A$3:$A$5001,"&lt;="&amp;$B140,BD!$K$3:$K$5001,"&lt;&gt;")=0,"",SUMIFS(BD!$K$3:$K$5001,BD!$B$3:$B$5001,L$114,BD!$A$3:$A$5001,_xlfn.MAXIFS(BD!$A$3:$A$5001,BD!$B$3:$B$5001,L$114,BD!$A$3:$A$5001,"&gt;="&amp;$C$7,BD!$A$3:$A$5001,"&lt;="&amp;$B140,BD!$K$3:$K$5001,"&lt;&gt;"))))</f>
        <v/>
      </c>
      <c r="M140" s="43" t="str">
        <f>IF(OR($B140="",$A140&gt;$B$9,M$114=""),"",IF(COUNTIFS(BD!$B$3:$B$5001,M$114,BD!$A$3:$A$5001,"&gt;="&amp;$C$7,BD!$A$3:$A$5001,"&lt;="&amp;$B140,BD!$K$3:$K$5001,"&lt;&gt;")=0,"",SUMIFS(BD!$K$3:$K$5001,BD!$B$3:$B$5001,M$114,BD!$A$3:$A$5001,_xlfn.MAXIFS(BD!$A$3:$A$5001,BD!$B$3:$B$5001,M$114,BD!$A$3:$A$5001,"&gt;="&amp;$C$7,BD!$A$3:$A$5001,"&lt;="&amp;$B140,BD!$K$3:$K$5001,"&lt;&gt;"))))</f>
        <v/>
      </c>
      <c r="N140" s="43" t="str">
        <f>IF(OR($B140="",$A140&gt;$B$9,N$114=""),"",IF(COUNTIFS(BD!$B$3:$B$5001,N$114,BD!$A$3:$A$5001,"&gt;="&amp;$C$7,BD!$A$3:$A$5001,"&lt;="&amp;$B140,BD!$K$3:$K$5001,"&lt;&gt;")=0,"",SUMIFS(BD!$K$3:$K$5001,BD!$B$3:$B$5001,N$114,BD!$A$3:$A$5001,_xlfn.MAXIFS(BD!$A$3:$A$5001,BD!$B$3:$B$5001,N$114,BD!$A$3:$A$5001,"&gt;="&amp;$C$7,BD!$A$3:$A$5001,"&lt;="&amp;$B140,BD!$K$3:$K$5001,"&lt;&gt;"))))</f>
        <v/>
      </c>
      <c r="O140" s="43" t="str">
        <f>IF(OR($B140="",$A140&gt;$B$9,O$114=""),"",IF(COUNTIFS(BD!$B$3:$B$5001,O$114,BD!$A$3:$A$5001,"&gt;="&amp;$C$7,BD!$A$3:$A$5001,"&lt;="&amp;$B140,BD!$K$3:$K$5001,"&lt;&gt;")=0,"",SUMIFS(BD!$K$3:$K$5001,BD!$B$3:$B$5001,O$114,BD!$A$3:$A$5001,_xlfn.MAXIFS(BD!$A$3:$A$5001,BD!$B$3:$B$5001,O$114,BD!$A$3:$A$5001,"&gt;="&amp;$C$7,BD!$A$3:$A$5001,"&lt;="&amp;$B140,BD!$K$3:$K$5001,"&lt;&gt;"))))</f>
        <v/>
      </c>
      <c r="P140" s="43" t="str">
        <f>IF(OR($B140="",$A140&gt;$B$9,P$114=""),"",IF(COUNTIFS(BD!$B$3:$B$5001,P$114,BD!$A$3:$A$5001,"&gt;="&amp;$C$7,BD!$A$3:$A$5001,"&lt;="&amp;$B140,BD!$K$3:$K$5001,"&lt;&gt;")=0,"",SUMIFS(BD!$K$3:$K$5001,BD!$B$3:$B$5001,P$114,BD!$A$3:$A$5001,_xlfn.MAXIFS(BD!$A$3:$A$5001,BD!$B$3:$B$5001,P$114,BD!$A$3:$A$5001,"&gt;="&amp;$C$7,BD!$A$3:$A$5001,"&lt;="&amp;$B140,BD!$K$3:$K$5001,"&lt;&gt;"))))</f>
        <v/>
      </c>
      <c r="Q140" s="43" t="str">
        <f>IF(OR($B140="",$A140&gt;$B$9,Q$114=""),"",IF(COUNTIFS(BD!$B$3:$B$5001,Q$114,BD!$A$3:$A$5001,"&gt;="&amp;$C$7,BD!$A$3:$A$5001,"&lt;="&amp;$B140,BD!$K$3:$K$5001,"&lt;&gt;")=0,"",SUMIFS(BD!$K$3:$K$5001,BD!$B$3:$B$5001,Q$114,BD!$A$3:$A$5001,_xlfn.MAXIFS(BD!$A$3:$A$5001,BD!$B$3:$B$5001,Q$114,BD!$A$3:$A$5001,"&gt;="&amp;$C$7,BD!$A$3:$A$5001,"&lt;="&amp;$B140,BD!$K$3:$K$5001,"&lt;&gt;"))))</f>
        <v/>
      </c>
      <c r="R140" s="43" t="str">
        <f>IF(OR($B140="",$A140&gt;$B$9,R$114=""),"",IF(COUNTIFS(BD!$B$3:$B$5001,R$114,BD!$A$3:$A$5001,"&gt;="&amp;$C$7,BD!$A$3:$A$5001,"&lt;="&amp;$B140,BD!$K$3:$K$5001,"&lt;&gt;")=0,"",SUMIFS(BD!$K$3:$K$5001,BD!$B$3:$B$5001,R$114,BD!$A$3:$A$5001,_xlfn.MAXIFS(BD!$A$3:$A$5001,BD!$B$3:$B$5001,R$114,BD!$A$3:$A$5001,"&gt;="&amp;$C$7,BD!$A$3:$A$5001,"&lt;="&amp;$B140,BD!$K$3:$K$5001,"&lt;&gt;"))))</f>
        <v/>
      </c>
      <c r="S140" s="43" t="str">
        <f>IF(OR($B140="",$A140&gt;$B$9,S$114=""),"",IF(COUNTIFS(BD!$B$3:$B$5001,S$114,BD!$A$3:$A$5001,"&gt;="&amp;$C$7,BD!$A$3:$A$5001,"&lt;="&amp;$B140,BD!$K$3:$K$5001,"&lt;&gt;")=0,"",SUMIFS(BD!$K$3:$K$5001,BD!$B$3:$B$5001,S$114,BD!$A$3:$A$5001,_xlfn.MAXIFS(BD!$A$3:$A$5001,BD!$B$3:$B$5001,S$114,BD!$A$3:$A$5001,"&gt;="&amp;$C$7,BD!$A$3:$A$5001,"&lt;="&amp;$B140,BD!$K$3:$K$5001,"&lt;&gt;"))))</f>
        <v/>
      </c>
      <c r="T140" s="43" t="str">
        <f>IF(OR($B140="",$A140&gt;$B$9,T$114=""),"",IF(COUNTIFS(BD!$B$3:$B$5001,T$114,BD!$A$3:$A$5001,"&gt;="&amp;$C$7,BD!$A$3:$A$5001,"&lt;="&amp;$B140,BD!$K$3:$K$5001,"&lt;&gt;")=0,"",SUMIFS(BD!$K$3:$K$5001,BD!$B$3:$B$5001,T$114,BD!$A$3:$A$5001,_xlfn.MAXIFS(BD!$A$3:$A$5001,BD!$B$3:$B$5001,T$114,BD!$A$3:$A$5001,"&gt;="&amp;$C$7,BD!$A$3:$A$5001,"&lt;="&amp;$B140,BD!$K$3:$K$5001,"&lt;&gt;"))))</f>
        <v/>
      </c>
      <c r="U140" s="43" t="str">
        <f>IF(OR($B140="",$A140&gt;$B$9,U$114=""),"",IF(COUNTIFS(BD!$B$3:$B$5001,U$114,BD!$A$3:$A$5001,"&gt;="&amp;$C$7,BD!$A$3:$A$5001,"&lt;="&amp;$B140,BD!$K$3:$K$5001,"&lt;&gt;")=0,"",SUMIFS(BD!$K$3:$K$5001,BD!$B$3:$B$5001,U$114,BD!$A$3:$A$5001,_xlfn.MAXIFS(BD!$A$3:$A$5001,BD!$B$3:$B$5001,U$114,BD!$A$3:$A$5001,"&gt;="&amp;$C$7,BD!$A$3:$A$5001,"&lt;="&amp;$B140,BD!$K$3:$K$5001,"&lt;&gt;"))))</f>
        <v/>
      </c>
      <c r="V140" s="43" t="str">
        <f>IF(OR($B140="",$A140&gt;$B$9,V$114=""),"",IF(COUNTIFS(BD!$B$3:$B$5001,V$114,BD!$A$3:$A$5001,"&gt;="&amp;$C$7,BD!$A$3:$A$5001,"&lt;="&amp;$B140,BD!$K$3:$K$5001,"&lt;&gt;")=0,"",SUMIFS(BD!$K$3:$K$5001,BD!$B$3:$B$5001,V$114,BD!$A$3:$A$5001,_xlfn.MAXIFS(BD!$A$3:$A$5001,BD!$B$3:$B$5001,V$114,BD!$A$3:$A$5001,"&gt;="&amp;$C$7,BD!$A$3:$A$5001,"&lt;="&amp;$B140,BD!$K$3:$K$5001,"&lt;&gt;"))))</f>
        <v/>
      </c>
    </row>
    <row r="141">
      <c r="A141" s="38">
        <v>27</v>
      </c>
      <c r="B141" s="42">
        <f>$B$38</f>
        <v>46322</v>
      </c>
      <c r="C141" s="43" t="str">
        <f>IF(OR($B141="",$A141&gt;$B$9,C$114=""),"",IF(COUNTIFS(BD!$B$3:$B$5001,C$114,BD!$A$3:$A$5001,"&gt;="&amp;$C$7,BD!$A$3:$A$5001,"&lt;="&amp;$B141,BD!$K$3:$K$5001,"&lt;&gt;")=0,"",SUMIFS(BD!$K$3:$K$5001,BD!$B$3:$B$5001,C$114,BD!$A$3:$A$5001,_xlfn.MAXIFS(BD!$A$3:$A$5001,BD!$B$3:$B$5001,C$114,BD!$A$3:$A$5001,"&gt;="&amp;$C$7,BD!$A$3:$A$5001,"&lt;="&amp;$B141,BD!$K$3:$K$5001,"&lt;&gt;"))))</f>
        <v/>
      </c>
      <c r="D141" s="43" t="str">
        <f>IF(OR($B141="",$A141&gt;$B$9,D$114=""),"",IF(COUNTIFS(BD!$B$3:$B$5001,D$114,BD!$A$3:$A$5001,"&gt;="&amp;$C$7,BD!$A$3:$A$5001,"&lt;="&amp;$B141,BD!$K$3:$K$5001,"&lt;&gt;")=0,"",SUMIFS(BD!$K$3:$K$5001,BD!$B$3:$B$5001,D$114,BD!$A$3:$A$5001,_xlfn.MAXIFS(BD!$A$3:$A$5001,BD!$B$3:$B$5001,D$114,BD!$A$3:$A$5001,"&gt;="&amp;$C$7,BD!$A$3:$A$5001,"&lt;="&amp;$B141,BD!$K$3:$K$5001,"&lt;&gt;"))))</f>
        <v/>
      </c>
      <c r="E141" s="43" t="str">
        <f>IF(OR($B141="",$A141&gt;$B$9,E$114=""),"",IF(COUNTIFS(BD!$B$3:$B$5001,E$114,BD!$A$3:$A$5001,"&gt;="&amp;$C$7,BD!$A$3:$A$5001,"&lt;="&amp;$B141,BD!$K$3:$K$5001,"&lt;&gt;")=0,"",SUMIFS(BD!$K$3:$K$5001,BD!$B$3:$B$5001,E$114,BD!$A$3:$A$5001,_xlfn.MAXIFS(BD!$A$3:$A$5001,BD!$B$3:$B$5001,E$114,BD!$A$3:$A$5001,"&gt;="&amp;$C$7,BD!$A$3:$A$5001,"&lt;="&amp;$B141,BD!$K$3:$K$5001,"&lt;&gt;"))))</f>
        <v/>
      </c>
      <c r="F141" s="43" t="str">
        <f>IF(OR($B141="",$A141&gt;$B$9,F$114=""),"",IF(COUNTIFS(BD!$B$3:$B$5001,F$114,BD!$A$3:$A$5001,"&gt;="&amp;$C$7,BD!$A$3:$A$5001,"&lt;="&amp;$B141,BD!$K$3:$K$5001,"&lt;&gt;")=0,"",SUMIFS(BD!$K$3:$K$5001,BD!$B$3:$B$5001,F$114,BD!$A$3:$A$5001,_xlfn.MAXIFS(BD!$A$3:$A$5001,BD!$B$3:$B$5001,F$114,BD!$A$3:$A$5001,"&gt;="&amp;$C$7,BD!$A$3:$A$5001,"&lt;="&amp;$B141,BD!$K$3:$K$5001,"&lt;&gt;"))))</f>
        <v/>
      </c>
      <c r="G141" s="43" t="str">
        <f>IF(OR($B141="",$A141&gt;$B$9,G$114=""),"",IF(COUNTIFS(BD!$B$3:$B$5001,G$114,BD!$A$3:$A$5001,"&gt;="&amp;$C$7,BD!$A$3:$A$5001,"&lt;="&amp;$B141,BD!$K$3:$K$5001,"&lt;&gt;")=0,"",SUMIFS(BD!$K$3:$K$5001,BD!$B$3:$B$5001,G$114,BD!$A$3:$A$5001,_xlfn.MAXIFS(BD!$A$3:$A$5001,BD!$B$3:$B$5001,G$114,BD!$A$3:$A$5001,"&gt;="&amp;$C$7,BD!$A$3:$A$5001,"&lt;="&amp;$B141,BD!$K$3:$K$5001,"&lt;&gt;"))))</f>
        <v/>
      </c>
      <c r="H141" s="43" t="str">
        <f>IF(OR($B141="",$A141&gt;$B$9,H$114=""),"",IF(COUNTIFS(BD!$B$3:$B$5001,H$114,BD!$A$3:$A$5001,"&gt;="&amp;$C$7,BD!$A$3:$A$5001,"&lt;="&amp;$B141,BD!$K$3:$K$5001,"&lt;&gt;")=0,"",SUMIFS(BD!$K$3:$K$5001,BD!$B$3:$B$5001,H$114,BD!$A$3:$A$5001,_xlfn.MAXIFS(BD!$A$3:$A$5001,BD!$B$3:$B$5001,H$114,BD!$A$3:$A$5001,"&gt;="&amp;$C$7,BD!$A$3:$A$5001,"&lt;="&amp;$B141,BD!$K$3:$K$5001,"&lt;&gt;"))))</f>
        <v/>
      </c>
      <c r="I141" s="43" t="str">
        <f>IF(OR($B141="",$A141&gt;$B$9,I$114=""),"",IF(COUNTIFS(BD!$B$3:$B$5001,I$114,BD!$A$3:$A$5001,"&gt;="&amp;$C$7,BD!$A$3:$A$5001,"&lt;="&amp;$B141,BD!$K$3:$K$5001,"&lt;&gt;")=0,"",SUMIFS(BD!$K$3:$K$5001,BD!$B$3:$B$5001,I$114,BD!$A$3:$A$5001,_xlfn.MAXIFS(BD!$A$3:$A$5001,BD!$B$3:$B$5001,I$114,BD!$A$3:$A$5001,"&gt;="&amp;$C$7,BD!$A$3:$A$5001,"&lt;="&amp;$B141,BD!$K$3:$K$5001,"&lt;&gt;"))))</f>
        <v/>
      </c>
      <c r="J141" s="43" t="str">
        <f>IF(OR($B141="",$A141&gt;$B$9,J$114=""),"",IF(COUNTIFS(BD!$B$3:$B$5001,J$114,BD!$A$3:$A$5001,"&gt;="&amp;$C$7,BD!$A$3:$A$5001,"&lt;="&amp;$B141,BD!$K$3:$K$5001,"&lt;&gt;")=0,"",SUMIFS(BD!$K$3:$K$5001,BD!$B$3:$B$5001,J$114,BD!$A$3:$A$5001,_xlfn.MAXIFS(BD!$A$3:$A$5001,BD!$B$3:$B$5001,J$114,BD!$A$3:$A$5001,"&gt;="&amp;$C$7,BD!$A$3:$A$5001,"&lt;="&amp;$B141,BD!$K$3:$K$5001,"&lt;&gt;"))))</f>
        <v/>
      </c>
      <c r="K141" s="43" t="str">
        <f>IF(OR($B141="",$A141&gt;$B$9,K$114=""),"",IF(COUNTIFS(BD!$B$3:$B$5001,K$114,BD!$A$3:$A$5001,"&gt;="&amp;$C$7,BD!$A$3:$A$5001,"&lt;="&amp;$B141,BD!$K$3:$K$5001,"&lt;&gt;")=0,"",SUMIFS(BD!$K$3:$K$5001,BD!$B$3:$B$5001,K$114,BD!$A$3:$A$5001,_xlfn.MAXIFS(BD!$A$3:$A$5001,BD!$B$3:$B$5001,K$114,BD!$A$3:$A$5001,"&gt;="&amp;$C$7,BD!$A$3:$A$5001,"&lt;="&amp;$B141,BD!$K$3:$K$5001,"&lt;&gt;"))))</f>
        <v/>
      </c>
      <c r="L141" s="43" t="str">
        <f>IF(OR($B141="",$A141&gt;$B$9,L$114=""),"",IF(COUNTIFS(BD!$B$3:$B$5001,L$114,BD!$A$3:$A$5001,"&gt;="&amp;$C$7,BD!$A$3:$A$5001,"&lt;="&amp;$B141,BD!$K$3:$K$5001,"&lt;&gt;")=0,"",SUMIFS(BD!$K$3:$K$5001,BD!$B$3:$B$5001,L$114,BD!$A$3:$A$5001,_xlfn.MAXIFS(BD!$A$3:$A$5001,BD!$B$3:$B$5001,L$114,BD!$A$3:$A$5001,"&gt;="&amp;$C$7,BD!$A$3:$A$5001,"&lt;="&amp;$B141,BD!$K$3:$K$5001,"&lt;&gt;"))))</f>
        <v/>
      </c>
      <c r="M141" s="43" t="str">
        <f>IF(OR($B141="",$A141&gt;$B$9,M$114=""),"",IF(COUNTIFS(BD!$B$3:$B$5001,M$114,BD!$A$3:$A$5001,"&gt;="&amp;$C$7,BD!$A$3:$A$5001,"&lt;="&amp;$B141,BD!$K$3:$K$5001,"&lt;&gt;")=0,"",SUMIFS(BD!$K$3:$K$5001,BD!$B$3:$B$5001,M$114,BD!$A$3:$A$5001,_xlfn.MAXIFS(BD!$A$3:$A$5001,BD!$B$3:$B$5001,M$114,BD!$A$3:$A$5001,"&gt;="&amp;$C$7,BD!$A$3:$A$5001,"&lt;="&amp;$B141,BD!$K$3:$K$5001,"&lt;&gt;"))))</f>
        <v/>
      </c>
      <c r="N141" s="43" t="str">
        <f>IF(OR($B141="",$A141&gt;$B$9,N$114=""),"",IF(COUNTIFS(BD!$B$3:$B$5001,N$114,BD!$A$3:$A$5001,"&gt;="&amp;$C$7,BD!$A$3:$A$5001,"&lt;="&amp;$B141,BD!$K$3:$K$5001,"&lt;&gt;")=0,"",SUMIFS(BD!$K$3:$K$5001,BD!$B$3:$B$5001,N$114,BD!$A$3:$A$5001,_xlfn.MAXIFS(BD!$A$3:$A$5001,BD!$B$3:$B$5001,N$114,BD!$A$3:$A$5001,"&gt;="&amp;$C$7,BD!$A$3:$A$5001,"&lt;="&amp;$B141,BD!$K$3:$K$5001,"&lt;&gt;"))))</f>
        <v/>
      </c>
      <c r="O141" s="43" t="str">
        <f>IF(OR($B141="",$A141&gt;$B$9,O$114=""),"",IF(COUNTIFS(BD!$B$3:$B$5001,O$114,BD!$A$3:$A$5001,"&gt;="&amp;$C$7,BD!$A$3:$A$5001,"&lt;="&amp;$B141,BD!$K$3:$K$5001,"&lt;&gt;")=0,"",SUMIFS(BD!$K$3:$K$5001,BD!$B$3:$B$5001,O$114,BD!$A$3:$A$5001,_xlfn.MAXIFS(BD!$A$3:$A$5001,BD!$B$3:$B$5001,O$114,BD!$A$3:$A$5001,"&gt;="&amp;$C$7,BD!$A$3:$A$5001,"&lt;="&amp;$B141,BD!$K$3:$K$5001,"&lt;&gt;"))))</f>
        <v/>
      </c>
      <c r="P141" s="43" t="str">
        <f>IF(OR($B141="",$A141&gt;$B$9,P$114=""),"",IF(COUNTIFS(BD!$B$3:$B$5001,P$114,BD!$A$3:$A$5001,"&gt;="&amp;$C$7,BD!$A$3:$A$5001,"&lt;="&amp;$B141,BD!$K$3:$K$5001,"&lt;&gt;")=0,"",SUMIFS(BD!$K$3:$K$5001,BD!$B$3:$B$5001,P$114,BD!$A$3:$A$5001,_xlfn.MAXIFS(BD!$A$3:$A$5001,BD!$B$3:$B$5001,P$114,BD!$A$3:$A$5001,"&gt;="&amp;$C$7,BD!$A$3:$A$5001,"&lt;="&amp;$B141,BD!$K$3:$K$5001,"&lt;&gt;"))))</f>
        <v/>
      </c>
      <c r="Q141" s="43" t="str">
        <f>IF(OR($B141="",$A141&gt;$B$9,Q$114=""),"",IF(COUNTIFS(BD!$B$3:$B$5001,Q$114,BD!$A$3:$A$5001,"&gt;="&amp;$C$7,BD!$A$3:$A$5001,"&lt;="&amp;$B141,BD!$K$3:$K$5001,"&lt;&gt;")=0,"",SUMIFS(BD!$K$3:$K$5001,BD!$B$3:$B$5001,Q$114,BD!$A$3:$A$5001,_xlfn.MAXIFS(BD!$A$3:$A$5001,BD!$B$3:$B$5001,Q$114,BD!$A$3:$A$5001,"&gt;="&amp;$C$7,BD!$A$3:$A$5001,"&lt;="&amp;$B141,BD!$K$3:$K$5001,"&lt;&gt;"))))</f>
        <v/>
      </c>
      <c r="R141" s="43" t="str">
        <f>IF(OR($B141="",$A141&gt;$B$9,R$114=""),"",IF(COUNTIFS(BD!$B$3:$B$5001,R$114,BD!$A$3:$A$5001,"&gt;="&amp;$C$7,BD!$A$3:$A$5001,"&lt;="&amp;$B141,BD!$K$3:$K$5001,"&lt;&gt;")=0,"",SUMIFS(BD!$K$3:$K$5001,BD!$B$3:$B$5001,R$114,BD!$A$3:$A$5001,_xlfn.MAXIFS(BD!$A$3:$A$5001,BD!$B$3:$B$5001,R$114,BD!$A$3:$A$5001,"&gt;="&amp;$C$7,BD!$A$3:$A$5001,"&lt;="&amp;$B141,BD!$K$3:$K$5001,"&lt;&gt;"))))</f>
        <v/>
      </c>
      <c r="S141" s="43" t="str">
        <f>IF(OR($B141="",$A141&gt;$B$9,S$114=""),"",IF(COUNTIFS(BD!$B$3:$B$5001,S$114,BD!$A$3:$A$5001,"&gt;="&amp;$C$7,BD!$A$3:$A$5001,"&lt;="&amp;$B141,BD!$K$3:$K$5001,"&lt;&gt;")=0,"",SUMIFS(BD!$K$3:$K$5001,BD!$B$3:$B$5001,S$114,BD!$A$3:$A$5001,_xlfn.MAXIFS(BD!$A$3:$A$5001,BD!$B$3:$B$5001,S$114,BD!$A$3:$A$5001,"&gt;="&amp;$C$7,BD!$A$3:$A$5001,"&lt;="&amp;$B141,BD!$K$3:$K$5001,"&lt;&gt;"))))</f>
        <v/>
      </c>
      <c r="T141" s="43" t="str">
        <f>IF(OR($B141="",$A141&gt;$B$9,T$114=""),"",IF(COUNTIFS(BD!$B$3:$B$5001,T$114,BD!$A$3:$A$5001,"&gt;="&amp;$C$7,BD!$A$3:$A$5001,"&lt;="&amp;$B141,BD!$K$3:$K$5001,"&lt;&gt;")=0,"",SUMIFS(BD!$K$3:$K$5001,BD!$B$3:$B$5001,T$114,BD!$A$3:$A$5001,_xlfn.MAXIFS(BD!$A$3:$A$5001,BD!$B$3:$B$5001,T$114,BD!$A$3:$A$5001,"&gt;="&amp;$C$7,BD!$A$3:$A$5001,"&lt;="&amp;$B141,BD!$K$3:$K$5001,"&lt;&gt;"))))</f>
        <v/>
      </c>
      <c r="U141" s="43" t="str">
        <f>IF(OR($B141="",$A141&gt;$B$9,U$114=""),"",IF(COUNTIFS(BD!$B$3:$B$5001,U$114,BD!$A$3:$A$5001,"&gt;="&amp;$C$7,BD!$A$3:$A$5001,"&lt;="&amp;$B141,BD!$K$3:$K$5001,"&lt;&gt;")=0,"",SUMIFS(BD!$K$3:$K$5001,BD!$B$3:$B$5001,U$114,BD!$A$3:$A$5001,_xlfn.MAXIFS(BD!$A$3:$A$5001,BD!$B$3:$B$5001,U$114,BD!$A$3:$A$5001,"&gt;="&amp;$C$7,BD!$A$3:$A$5001,"&lt;="&amp;$B141,BD!$K$3:$K$5001,"&lt;&gt;"))))</f>
        <v/>
      </c>
      <c r="V141" s="43" t="str">
        <f>IF(OR($B141="",$A141&gt;$B$9,V$114=""),"",IF(COUNTIFS(BD!$B$3:$B$5001,V$114,BD!$A$3:$A$5001,"&gt;="&amp;$C$7,BD!$A$3:$A$5001,"&lt;="&amp;$B141,BD!$K$3:$K$5001,"&lt;&gt;")=0,"",SUMIFS(BD!$K$3:$K$5001,BD!$B$3:$B$5001,V$114,BD!$A$3:$A$5001,_xlfn.MAXIFS(BD!$A$3:$A$5001,BD!$B$3:$B$5001,V$114,BD!$A$3:$A$5001,"&gt;="&amp;$C$7,BD!$A$3:$A$5001,"&lt;="&amp;$B141,BD!$K$3:$K$5001,"&lt;&gt;"))))</f>
        <v/>
      </c>
    </row>
    <row r="142">
      <c r="A142" s="38">
        <v>28</v>
      </c>
      <c r="B142" s="42">
        <f>$B$39</f>
        <v>46323</v>
      </c>
      <c r="C142" s="43" t="str">
        <f>IF(OR($B142="",$A142&gt;$B$9,C$114=""),"",IF(COUNTIFS(BD!$B$3:$B$5001,C$114,BD!$A$3:$A$5001,"&gt;="&amp;$C$7,BD!$A$3:$A$5001,"&lt;="&amp;$B142,BD!$K$3:$K$5001,"&lt;&gt;")=0,"",SUMIFS(BD!$K$3:$K$5001,BD!$B$3:$B$5001,C$114,BD!$A$3:$A$5001,_xlfn.MAXIFS(BD!$A$3:$A$5001,BD!$B$3:$B$5001,C$114,BD!$A$3:$A$5001,"&gt;="&amp;$C$7,BD!$A$3:$A$5001,"&lt;="&amp;$B142,BD!$K$3:$K$5001,"&lt;&gt;"))))</f>
        <v/>
      </c>
      <c r="D142" s="43" t="str">
        <f>IF(OR($B142="",$A142&gt;$B$9,D$114=""),"",IF(COUNTIFS(BD!$B$3:$B$5001,D$114,BD!$A$3:$A$5001,"&gt;="&amp;$C$7,BD!$A$3:$A$5001,"&lt;="&amp;$B142,BD!$K$3:$K$5001,"&lt;&gt;")=0,"",SUMIFS(BD!$K$3:$K$5001,BD!$B$3:$B$5001,D$114,BD!$A$3:$A$5001,_xlfn.MAXIFS(BD!$A$3:$A$5001,BD!$B$3:$B$5001,D$114,BD!$A$3:$A$5001,"&gt;="&amp;$C$7,BD!$A$3:$A$5001,"&lt;="&amp;$B142,BD!$K$3:$K$5001,"&lt;&gt;"))))</f>
        <v/>
      </c>
      <c r="E142" s="43" t="str">
        <f>IF(OR($B142="",$A142&gt;$B$9,E$114=""),"",IF(COUNTIFS(BD!$B$3:$B$5001,E$114,BD!$A$3:$A$5001,"&gt;="&amp;$C$7,BD!$A$3:$A$5001,"&lt;="&amp;$B142,BD!$K$3:$K$5001,"&lt;&gt;")=0,"",SUMIFS(BD!$K$3:$K$5001,BD!$B$3:$B$5001,E$114,BD!$A$3:$A$5001,_xlfn.MAXIFS(BD!$A$3:$A$5001,BD!$B$3:$B$5001,E$114,BD!$A$3:$A$5001,"&gt;="&amp;$C$7,BD!$A$3:$A$5001,"&lt;="&amp;$B142,BD!$K$3:$K$5001,"&lt;&gt;"))))</f>
        <v/>
      </c>
      <c r="F142" s="43" t="str">
        <f>IF(OR($B142="",$A142&gt;$B$9,F$114=""),"",IF(COUNTIFS(BD!$B$3:$B$5001,F$114,BD!$A$3:$A$5001,"&gt;="&amp;$C$7,BD!$A$3:$A$5001,"&lt;="&amp;$B142,BD!$K$3:$K$5001,"&lt;&gt;")=0,"",SUMIFS(BD!$K$3:$K$5001,BD!$B$3:$B$5001,F$114,BD!$A$3:$A$5001,_xlfn.MAXIFS(BD!$A$3:$A$5001,BD!$B$3:$B$5001,F$114,BD!$A$3:$A$5001,"&gt;="&amp;$C$7,BD!$A$3:$A$5001,"&lt;="&amp;$B142,BD!$K$3:$K$5001,"&lt;&gt;"))))</f>
        <v/>
      </c>
      <c r="G142" s="43" t="str">
        <f>IF(OR($B142="",$A142&gt;$B$9,G$114=""),"",IF(COUNTIFS(BD!$B$3:$B$5001,G$114,BD!$A$3:$A$5001,"&gt;="&amp;$C$7,BD!$A$3:$A$5001,"&lt;="&amp;$B142,BD!$K$3:$K$5001,"&lt;&gt;")=0,"",SUMIFS(BD!$K$3:$K$5001,BD!$B$3:$B$5001,G$114,BD!$A$3:$A$5001,_xlfn.MAXIFS(BD!$A$3:$A$5001,BD!$B$3:$B$5001,G$114,BD!$A$3:$A$5001,"&gt;="&amp;$C$7,BD!$A$3:$A$5001,"&lt;="&amp;$B142,BD!$K$3:$K$5001,"&lt;&gt;"))))</f>
        <v/>
      </c>
      <c r="H142" s="43" t="str">
        <f>IF(OR($B142="",$A142&gt;$B$9,H$114=""),"",IF(COUNTIFS(BD!$B$3:$B$5001,H$114,BD!$A$3:$A$5001,"&gt;="&amp;$C$7,BD!$A$3:$A$5001,"&lt;="&amp;$B142,BD!$K$3:$K$5001,"&lt;&gt;")=0,"",SUMIFS(BD!$K$3:$K$5001,BD!$B$3:$B$5001,H$114,BD!$A$3:$A$5001,_xlfn.MAXIFS(BD!$A$3:$A$5001,BD!$B$3:$B$5001,H$114,BD!$A$3:$A$5001,"&gt;="&amp;$C$7,BD!$A$3:$A$5001,"&lt;="&amp;$B142,BD!$K$3:$K$5001,"&lt;&gt;"))))</f>
        <v/>
      </c>
      <c r="I142" s="43" t="str">
        <f>IF(OR($B142="",$A142&gt;$B$9,I$114=""),"",IF(COUNTIFS(BD!$B$3:$B$5001,I$114,BD!$A$3:$A$5001,"&gt;="&amp;$C$7,BD!$A$3:$A$5001,"&lt;="&amp;$B142,BD!$K$3:$K$5001,"&lt;&gt;")=0,"",SUMIFS(BD!$K$3:$K$5001,BD!$B$3:$B$5001,I$114,BD!$A$3:$A$5001,_xlfn.MAXIFS(BD!$A$3:$A$5001,BD!$B$3:$B$5001,I$114,BD!$A$3:$A$5001,"&gt;="&amp;$C$7,BD!$A$3:$A$5001,"&lt;="&amp;$B142,BD!$K$3:$K$5001,"&lt;&gt;"))))</f>
        <v/>
      </c>
      <c r="J142" s="43" t="str">
        <f>IF(OR($B142="",$A142&gt;$B$9,J$114=""),"",IF(COUNTIFS(BD!$B$3:$B$5001,J$114,BD!$A$3:$A$5001,"&gt;="&amp;$C$7,BD!$A$3:$A$5001,"&lt;="&amp;$B142,BD!$K$3:$K$5001,"&lt;&gt;")=0,"",SUMIFS(BD!$K$3:$K$5001,BD!$B$3:$B$5001,J$114,BD!$A$3:$A$5001,_xlfn.MAXIFS(BD!$A$3:$A$5001,BD!$B$3:$B$5001,J$114,BD!$A$3:$A$5001,"&gt;="&amp;$C$7,BD!$A$3:$A$5001,"&lt;="&amp;$B142,BD!$K$3:$K$5001,"&lt;&gt;"))))</f>
        <v/>
      </c>
      <c r="K142" s="43" t="str">
        <f>IF(OR($B142="",$A142&gt;$B$9,K$114=""),"",IF(COUNTIFS(BD!$B$3:$B$5001,K$114,BD!$A$3:$A$5001,"&gt;="&amp;$C$7,BD!$A$3:$A$5001,"&lt;="&amp;$B142,BD!$K$3:$K$5001,"&lt;&gt;")=0,"",SUMIFS(BD!$K$3:$K$5001,BD!$B$3:$B$5001,K$114,BD!$A$3:$A$5001,_xlfn.MAXIFS(BD!$A$3:$A$5001,BD!$B$3:$B$5001,K$114,BD!$A$3:$A$5001,"&gt;="&amp;$C$7,BD!$A$3:$A$5001,"&lt;="&amp;$B142,BD!$K$3:$K$5001,"&lt;&gt;"))))</f>
        <v/>
      </c>
      <c r="L142" s="43" t="str">
        <f>IF(OR($B142="",$A142&gt;$B$9,L$114=""),"",IF(COUNTIFS(BD!$B$3:$B$5001,L$114,BD!$A$3:$A$5001,"&gt;="&amp;$C$7,BD!$A$3:$A$5001,"&lt;="&amp;$B142,BD!$K$3:$K$5001,"&lt;&gt;")=0,"",SUMIFS(BD!$K$3:$K$5001,BD!$B$3:$B$5001,L$114,BD!$A$3:$A$5001,_xlfn.MAXIFS(BD!$A$3:$A$5001,BD!$B$3:$B$5001,L$114,BD!$A$3:$A$5001,"&gt;="&amp;$C$7,BD!$A$3:$A$5001,"&lt;="&amp;$B142,BD!$K$3:$K$5001,"&lt;&gt;"))))</f>
        <v/>
      </c>
      <c r="M142" s="43" t="str">
        <f>IF(OR($B142="",$A142&gt;$B$9,M$114=""),"",IF(COUNTIFS(BD!$B$3:$B$5001,M$114,BD!$A$3:$A$5001,"&gt;="&amp;$C$7,BD!$A$3:$A$5001,"&lt;="&amp;$B142,BD!$K$3:$K$5001,"&lt;&gt;")=0,"",SUMIFS(BD!$K$3:$K$5001,BD!$B$3:$B$5001,M$114,BD!$A$3:$A$5001,_xlfn.MAXIFS(BD!$A$3:$A$5001,BD!$B$3:$B$5001,M$114,BD!$A$3:$A$5001,"&gt;="&amp;$C$7,BD!$A$3:$A$5001,"&lt;="&amp;$B142,BD!$K$3:$K$5001,"&lt;&gt;"))))</f>
        <v/>
      </c>
      <c r="N142" s="43" t="str">
        <f>IF(OR($B142="",$A142&gt;$B$9,N$114=""),"",IF(COUNTIFS(BD!$B$3:$B$5001,N$114,BD!$A$3:$A$5001,"&gt;="&amp;$C$7,BD!$A$3:$A$5001,"&lt;="&amp;$B142,BD!$K$3:$K$5001,"&lt;&gt;")=0,"",SUMIFS(BD!$K$3:$K$5001,BD!$B$3:$B$5001,N$114,BD!$A$3:$A$5001,_xlfn.MAXIFS(BD!$A$3:$A$5001,BD!$B$3:$B$5001,N$114,BD!$A$3:$A$5001,"&gt;="&amp;$C$7,BD!$A$3:$A$5001,"&lt;="&amp;$B142,BD!$K$3:$K$5001,"&lt;&gt;"))))</f>
        <v/>
      </c>
      <c r="O142" s="43" t="str">
        <f>IF(OR($B142="",$A142&gt;$B$9,O$114=""),"",IF(COUNTIFS(BD!$B$3:$B$5001,O$114,BD!$A$3:$A$5001,"&gt;="&amp;$C$7,BD!$A$3:$A$5001,"&lt;="&amp;$B142,BD!$K$3:$K$5001,"&lt;&gt;")=0,"",SUMIFS(BD!$K$3:$K$5001,BD!$B$3:$B$5001,O$114,BD!$A$3:$A$5001,_xlfn.MAXIFS(BD!$A$3:$A$5001,BD!$B$3:$B$5001,O$114,BD!$A$3:$A$5001,"&gt;="&amp;$C$7,BD!$A$3:$A$5001,"&lt;="&amp;$B142,BD!$K$3:$K$5001,"&lt;&gt;"))))</f>
        <v/>
      </c>
      <c r="P142" s="43" t="str">
        <f>IF(OR($B142="",$A142&gt;$B$9,P$114=""),"",IF(COUNTIFS(BD!$B$3:$B$5001,P$114,BD!$A$3:$A$5001,"&gt;="&amp;$C$7,BD!$A$3:$A$5001,"&lt;="&amp;$B142,BD!$K$3:$K$5001,"&lt;&gt;")=0,"",SUMIFS(BD!$K$3:$K$5001,BD!$B$3:$B$5001,P$114,BD!$A$3:$A$5001,_xlfn.MAXIFS(BD!$A$3:$A$5001,BD!$B$3:$B$5001,P$114,BD!$A$3:$A$5001,"&gt;="&amp;$C$7,BD!$A$3:$A$5001,"&lt;="&amp;$B142,BD!$K$3:$K$5001,"&lt;&gt;"))))</f>
        <v/>
      </c>
      <c r="Q142" s="43" t="str">
        <f>IF(OR($B142="",$A142&gt;$B$9,Q$114=""),"",IF(COUNTIFS(BD!$B$3:$B$5001,Q$114,BD!$A$3:$A$5001,"&gt;="&amp;$C$7,BD!$A$3:$A$5001,"&lt;="&amp;$B142,BD!$K$3:$K$5001,"&lt;&gt;")=0,"",SUMIFS(BD!$K$3:$K$5001,BD!$B$3:$B$5001,Q$114,BD!$A$3:$A$5001,_xlfn.MAXIFS(BD!$A$3:$A$5001,BD!$B$3:$B$5001,Q$114,BD!$A$3:$A$5001,"&gt;="&amp;$C$7,BD!$A$3:$A$5001,"&lt;="&amp;$B142,BD!$K$3:$K$5001,"&lt;&gt;"))))</f>
        <v/>
      </c>
      <c r="R142" s="43" t="str">
        <f>IF(OR($B142="",$A142&gt;$B$9,R$114=""),"",IF(COUNTIFS(BD!$B$3:$B$5001,R$114,BD!$A$3:$A$5001,"&gt;="&amp;$C$7,BD!$A$3:$A$5001,"&lt;="&amp;$B142,BD!$K$3:$K$5001,"&lt;&gt;")=0,"",SUMIFS(BD!$K$3:$K$5001,BD!$B$3:$B$5001,R$114,BD!$A$3:$A$5001,_xlfn.MAXIFS(BD!$A$3:$A$5001,BD!$B$3:$B$5001,R$114,BD!$A$3:$A$5001,"&gt;="&amp;$C$7,BD!$A$3:$A$5001,"&lt;="&amp;$B142,BD!$K$3:$K$5001,"&lt;&gt;"))))</f>
        <v/>
      </c>
      <c r="S142" s="43" t="str">
        <f>IF(OR($B142="",$A142&gt;$B$9,S$114=""),"",IF(COUNTIFS(BD!$B$3:$B$5001,S$114,BD!$A$3:$A$5001,"&gt;="&amp;$C$7,BD!$A$3:$A$5001,"&lt;="&amp;$B142,BD!$K$3:$K$5001,"&lt;&gt;")=0,"",SUMIFS(BD!$K$3:$K$5001,BD!$B$3:$B$5001,S$114,BD!$A$3:$A$5001,_xlfn.MAXIFS(BD!$A$3:$A$5001,BD!$B$3:$B$5001,S$114,BD!$A$3:$A$5001,"&gt;="&amp;$C$7,BD!$A$3:$A$5001,"&lt;="&amp;$B142,BD!$K$3:$K$5001,"&lt;&gt;"))))</f>
        <v/>
      </c>
      <c r="T142" s="43" t="str">
        <f>IF(OR($B142="",$A142&gt;$B$9,T$114=""),"",IF(COUNTIFS(BD!$B$3:$B$5001,T$114,BD!$A$3:$A$5001,"&gt;="&amp;$C$7,BD!$A$3:$A$5001,"&lt;="&amp;$B142,BD!$K$3:$K$5001,"&lt;&gt;")=0,"",SUMIFS(BD!$K$3:$K$5001,BD!$B$3:$B$5001,T$114,BD!$A$3:$A$5001,_xlfn.MAXIFS(BD!$A$3:$A$5001,BD!$B$3:$B$5001,T$114,BD!$A$3:$A$5001,"&gt;="&amp;$C$7,BD!$A$3:$A$5001,"&lt;="&amp;$B142,BD!$K$3:$K$5001,"&lt;&gt;"))))</f>
        <v/>
      </c>
      <c r="U142" s="43" t="str">
        <f>IF(OR($B142="",$A142&gt;$B$9,U$114=""),"",IF(COUNTIFS(BD!$B$3:$B$5001,U$114,BD!$A$3:$A$5001,"&gt;="&amp;$C$7,BD!$A$3:$A$5001,"&lt;="&amp;$B142,BD!$K$3:$K$5001,"&lt;&gt;")=0,"",SUMIFS(BD!$K$3:$K$5001,BD!$B$3:$B$5001,U$114,BD!$A$3:$A$5001,_xlfn.MAXIFS(BD!$A$3:$A$5001,BD!$B$3:$B$5001,U$114,BD!$A$3:$A$5001,"&gt;="&amp;$C$7,BD!$A$3:$A$5001,"&lt;="&amp;$B142,BD!$K$3:$K$5001,"&lt;&gt;"))))</f>
        <v/>
      </c>
      <c r="V142" s="43" t="str">
        <f>IF(OR($B142="",$A142&gt;$B$9,V$114=""),"",IF(COUNTIFS(BD!$B$3:$B$5001,V$114,BD!$A$3:$A$5001,"&gt;="&amp;$C$7,BD!$A$3:$A$5001,"&lt;="&amp;$B142,BD!$K$3:$K$5001,"&lt;&gt;")=0,"",SUMIFS(BD!$K$3:$K$5001,BD!$B$3:$B$5001,V$114,BD!$A$3:$A$5001,_xlfn.MAXIFS(BD!$A$3:$A$5001,BD!$B$3:$B$5001,V$114,BD!$A$3:$A$5001,"&gt;="&amp;$C$7,BD!$A$3:$A$5001,"&lt;="&amp;$B142,BD!$K$3:$K$5001,"&lt;&gt;"))))</f>
        <v/>
      </c>
    </row>
    <row r="143">
      <c r="A143" s="38">
        <v>29</v>
      </c>
      <c r="B143" s="42">
        <f>$B$40</f>
        <v>46324</v>
      </c>
      <c r="C143" s="43" t="str">
        <f>IF(OR($B143="",$A143&gt;$B$9,C$114=""),"",IF(COUNTIFS(BD!$B$3:$B$5001,C$114,BD!$A$3:$A$5001,"&gt;="&amp;$C$7,BD!$A$3:$A$5001,"&lt;="&amp;$B143,BD!$K$3:$K$5001,"&lt;&gt;")=0,"",SUMIFS(BD!$K$3:$K$5001,BD!$B$3:$B$5001,C$114,BD!$A$3:$A$5001,_xlfn.MAXIFS(BD!$A$3:$A$5001,BD!$B$3:$B$5001,C$114,BD!$A$3:$A$5001,"&gt;="&amp;$C$7,BD!$A$3:$A$5001,"&lt;="&amp;$B143,BD!$K$3:$K$5001,"&lt;&gt;"))))</f>
        <v/>
      </c>
      <c r="D143" s="43" t="str">
        <f>IF(OR($B143="",$A143&gt;$B$9,D$114=""),"",IF(COUNTIFS(BD!$B$3:$B$5001,D$114,BD!$A$3:$A$5001,"&gt;="&amp;$C$7,BD!$A$3:$A$5001,"&lt;="&amp;$B143,BD!$K$3:$K$5001,"&lt;&gt;")=0,"",SUMIFS(BD!$K$3:$K$5001,BD!$B$3:$B$5001,D$114,BD!$A$3:$A$5001,_xlfn.MAXIFS(BD!$A$3:$A$5001,BD!$B$3:$B$5001,D$114,BD!$A$3:$A$5001,"&gt;="&amp;$C$7,BD!$A$3:$A$5001,"&lt;="&amp;$B143,BD!$K$3:$K$5001,"&lt;&gt;"))))</f>
        <v/>
      </c>
      <c r="E143" s="43" t="str">
        <f>IF(OR($B143="",$A143&gt;$B$9,E$114=""),"",IF(COUNTIFS(BD!$B$3:$B$5001,E$114,BD!$A$3:$A$5001,"&gt;="&amp;$C$7,BD!$A$3:$A$5001,"&lt;="&amp;$B143,BD!$K$3:$K$5001,"&lt;&gt;")=0,"",SUMIFS(BD!$K$3:$K$5001,BD!$B$3:$B$5001,E$114,BD!$A$3:$A$5001,_xlfn.MAXIFS(BD!$A$3:$A$5001,BD!$B$3:$B$5001,E$114,BD!$A$3:$A$5001,"&gt;="&amp;$C$7,BD!$A$3:$A$5001,"&lt;="&amp;$B143,BD!$K$3:$K$5001,"&lt;&gt;"))))</f>
        <v/>
      </c>
      <c r="F143" s="43" t="str">
        <f>IF(OR($B143="",$A143&gt;$B$9,F$114=""),"",IF(COUNTIFS(BD!$B$3:$B$5001,F$114,BD!$A$3:$A$5001,"&gt;="&amp;$C$7,BD!$A$3:$A$5001,"&lt;="&amp;$B143,BD!$K$3:$K$5001,"&lt;&gt;")=0,"",SUMIFS(BD!$K$3:$K$5001,BD!$B$3:$B$5001,F$114,BD!$A$3:$A$5001,_xlfn.MAXIFS(BD!$A$3:$A$5001,BD!$B$3:$B$5001,F$114,BD!$A$3:$A$5001,"&gt;="&amp;$C$7,BD!$A$3:$A$5001,"&lt;="&amp;$B143,BD!$K$3:$K$5001,"&lt;&gt;"))))</f>
        <v/>
      </c>
      <c r="G143" s="43" t="str">
        <f>IF(OR($B143="",$A143&gt;$B$9,G$114=""),"",IF(COUNTIFS(BD!$B$3:$B$5001,G$114,BD!$A$3:$A$5001,"&gt;="&amp;$C$7,BD!$A$3:$A$5001,"&lt;="&amp;$B143,BD!$K$3:$K$5001,"&lt;&gt;")=0,"",SUMIFS(BD!$K$3:$K$5001,BD!$B$3:$B$5001,G$114,BD!$A$3:$A$5001,_xlfn.MAXIFS(BD!$A$3:$A$5001,BD!$B$3:$B$5001,G$114,BD!$A$3:$A$5001,"&gt;="&amp;$C$7,BD!$A$3:$A$5001,"&lt;="&amp;$B143,BD!$K$3:$K$5001,"&lt;&gt;"))))</f>
        <v/>
      </c>
      <c r="H143" s="43" t="str">
        <f>IF(OR($B143="",$A143&gt;$B$9,H$114=""),"",IF(COUNTIFS(BD!$B$3:$B$5001,H$114,BD!$A$3:$A$5001,"&gt;="&amp;$C$7,BD!$A$3:$A$5001,"&lt;="&amp;$B143,BD!$K$3:$K$5001,"&lt;&gt;")=0,"",SUMIFS(BD!$K$3:$K$5001,BD!$B$3:$B$5001,H$114,BD!$A$3:$A$5001,_xlfn.MAXIFS(BD!$A$3:$A$5001,BD!$B$3:$B$5001,H$114,BD!$A$3:$A$5001,"&gt;="&amp;$C$7,BD!$A$3:$A$5001,"&lt;="&amp;$B143,BD!$K$3:$K$5001,"&lt;&gt;"))))</f>
        <v/>
      </c>
      <c r="I143" s="43" t="str">
        <f>IF(OR($B143="",$A143&gt;$B$9,I$114=""),"",IF(COUNTIFS(BD!$B$3:$B$5001,I$114,BD!$A$3:$A$5001,"&gt;="&amp;$C$7,BD!$A$3:$A$5001,"&lt;="&amp;$B143,BD!$K$3:$K$5001,"&lt;&gt;")=0,"",SUMIFS(BD!$K$3:$K$5001,BD!$B$3:$B$5001,I$114,BD!$A$3:$A$5001,_xlfn.MAXIFS(BD!$A$3:$A$5001,BD!$B$3:$B$5001,I$114,BD!$A$3:$A$5001,"&gt;="&amp;$C$7,BD!$A$3:$A$5001,"&lt;="&amp;$B143,BD!$K$3:$K$5001,"&lt;&gt;"))))</f>
        <v/>
      </c>
      <c r="J143" s="43" t="str">
        <f>IF(OR($B143="",$A143&gt;$B$9,J$114=""),"",IF(COUNTIFS(BD!$B$3:$B$5001,J$114,BD!$A$3:$A$5001,"&gt;="&amp;$C$7,BD!$A$3:$A$5001,"&lt;="&amp;$B143,BD!$K$3:$K$5001,"&lt;&gt;")=0,"",SUMIFS(BD!$K$3:$K$5001,BD!$B$3:$B$5001,J$114,BD!$A$3:$A$5001,_xlfn.MAXIFS(BD!$A$3:$A$5001,BD!$B$3:$B$5001,J$114,BD!$A$3:$A$5001,"&gt;="&amp;$C$7,BD!$A$3:$A$5001,"&lt;="&amp;$B143,BD!$K$3:$K$5001,"&lt;&gt;"))))</f>
        <v/>
      </c>
      <c r="K143" s="43" t="str">
        <f>IF(OR($B143="",$A143&gt;$B$9,K$114=""),"",IF(COUNTIFS(BD!$B$3:$B$5001,K$114,BD!$A$3:$A$5001,"&gt;="&amp;$C$7,BD!$A$3:$A$5001,"&lt;="&amp;$B143,BD!$K$3:$K$5001,"&lt;&gt;")=0,"",SUMIFS(BD!$K$3:$K$5001,BD!$B$3:$B$5001,K$114,BD!$A$3:$A$5001,_xlfn.MAXIFS(BD!$A$3:$A$5001,BD!$B$3:$B$5001,K$114,BD!$A$3:$A$5001,"&gt;="&amp;$C$7,BD!$A$3:$A$5001,"&lt;="&amp;$B143,BD!$K$3:$K$5001,"&lt;&gt;"))))</f>
        <v/>
      </c>
      <c r="L143" s="43" t="str">
        <f>IF(OR($B143="",$A143&gt;$B$9,L$114=""),"",IF(COUNTIFS(BD!$B$3:$B$5001,L$114,BD!$A$3:$A$5001,"&gt;="&amp;$C$7,BD!$A$3:$A$5001,"&lt;="&amp;$B143,BD!$K$3:$K$5001,"&lt;&gt;")=0,"",SUMIFS(BD!$K$3:$K$5001,BD!$B$3:$B$5001,L$114,BD!$A$3:$A$5001,_xlfn.MAXIFS(BD!$A$3:$A$5001,BD!$B$3:$B$5001,L$114,BD!$A$3:$A$5001,"&gt;="&amp;$C$7,BD!$A$3:$A$5001,"&lt;="&amp;$B143,BD!$K$3:$K$5001,"&lt;&gt;"))))</f>
        <v/>
      </c>
      <c r="M143" s="43" t="str">
        <f>IF(OR($B143="",$A143&gt;$B$9,M$114=""),"",IF(COUNTIFS(BD!$B$3:$B$5001,M$114,BD!$A$3:$A$5001,"&gt;="&amp;$C$7,BD!$A$3:$A$5001,"&lt;="&amp;$B143,BD!$K$3:$K$5001,"&lt;&gt;")=0,"",SUMIFS(BD!$K$3:$K$5001,BD!$B$3:$B$5001,M$114,BD!$A$3:$A$5001,_xlfn.MAXIFS(BD!$A$3:$A$5001,BD!$B$3:$B$5001,M$114,BD!$A$3:$A$5001,"&gt;="&amp;$C$7,BD!$A$3:$A$5001,"&lt;="&amp;$B143,BD!$K$3:$K$5001,"&lt;&gt;"))))</f>
        <v/>
      </c>
      <c r="N143" s="43" t="str">
        <f>IF(OR($B143="",$A143&gt;$B$9,N$114=""),"",IF(COUNTIFS(BD!$B$3:$B$5001,N$114,BD!$A$3:$A$5001,"&gt;="&amp;$C$7,BD!$A$3:$A$5001,"&lt;="&amp;$B143,BD!$K$3:$K$5001,"&lt;&gt;")=0,"",SUMIFS(BD!$K$3:$K$5001,BD!$B$3:$B$5001,N$114,BD!$A$3:$A$5001,_xlfn.MAXIFS(BD!$A$3:$A$5001,BD!$B$3:$B$5001,N$114,BD!$A$3:$A$5001,"&gt;="&amp;$C$7,BD!$A$3:$A$5001,"&lt;="&amp;$B143,BD!$K$3:$K$5001,"&lt;&gt;"))))</f>
        <v/>
      </c>
      <c r="O143" s="43" t="str">
        <f>IF(OR($B143="",$A143&gt;$B$9,O$114=""),"",IF(COUNTIFS(BD!$B$3:$B$5001,O$114,BD!$A$3:$A$5001,"&gt;="&amp;$C$7,BD!$A$3:$A$5001,"&lt;="&amp;$B143,BD!$K$3:$K$5001,"&lt;&gt;")=0,"",SUMIFS(BD!$K$3:$K$5001,BD!$B$3:$B$5001,O$114,BD!$A$3:$A$5001,_xlfn.MAXIFS(BD!$A$3:$A$5001,BD!$B$3:$B$5001,O$114,BD!$A$3:$A$5001,"&gt;="&amp;$C$7,BD!$A$3:$A$5001,"&lt;="&amp;$B143,BD!$K$3:$K$5001,"&lt;&gt;"))))</f>
        <v/>
      </c>
      <c r="P143" s="43" t="str">
        <f>IF(OR($B143="",$A143&gt;$B$9,P$114=""),"",IF(COUNTIFS(BD!$B$3:$B$5001,P$114,BD!$A$3:$A$5001,"&gt;="&amp;$C$7,BD!$A$3:$A$5001,"&lt;="&amp;$B143,BD!$K$3:$K$5001,"&lt;&gt;")=0,"",SUMIFS(BD!$K$3:$K$5001,BD!$B$3:$B$5001,P$114,BD!$A$3:$A$5001,_xlfn.MAXIFS(BD!$A$3:$A$5001,BD!$B$3:$B$5001,P$114,BD!$A$3:$A$5001,"&gt;="&amp;$C$7,BD!$A$3:$A$5001,"&lt;="&amp;$B143,BD!$K$3:$K$5001,"&lt;&gt;"))))</f>
        <v/>
      </c>
      <c r="Q143" s="43" t="str">
        <f>IF(OR($B143="",$A143&gt;$B$9,Q$114=""),"",IF(COUNTIFS(BD!$B$3:$B$5001,Q$114,BD!$A$3:$A$5001,"&gt;="&amp;$C$7,BD!$A$3:$A$5001,"&lt;="&amp;$B143,BD!$K$3:$K$5001,"&lt;&gt;")=0,"",SUMIFS(BD!$K$3:$K$5001,BD!$B$3:$B$5001,Q$114,BD!$A$3:$A$5001,_xlfn.MAXIFS(BD!$A$3:$A$5001,BD!$B$3:$B$5001,Q$114,BD!$A$3:$A$5001,"&gt;="&amp;$C$7,BD!$A$3:$A$5001,"&lt;="&amp;$B143,BD!$K$3:$K$5001,"&lt;&gt;"))))</f>
        <v/>
      </c>
      <c r="R143" s="43" t="str">
        <f>IF(OR($B143="",$A143&gt;$B$9,R$114=""),"",IF(COUNTIFS(BD!$B$3:$B$5001,R$114,BD!$A$3:$A$5001,"&gt;="&amp;$C$7,BD!$A$3:$A$5001,"&lt;="&amp;$B143,BD!$K$3:$K$5001,"&lt;&gt;")=0,"",SUMIFS(BD!$K$3:$K$5001,BD!$B$3:$B$5001,R$114,BD!$A$3:$A$5001,_xlfn.MAXIFS(BD!$A$3:$A$5001,BD!$B$3:$B$5001,R$114,BD!$A$3:$A$5001,"&gt;="&amp;$C$7,BD!$A$3:$A$5001,"&lt;="&amp;$B143,BD!$K$3:$K$5001,"&lt;&gt;"))))</f>
        <v/>
      </c>
      <c r="S143" s="43" t="str">
        <f>IF(OR($B143="",$A143&gt;$B$9,S$114=""),"",IF(COUNTIFS(BD!$B$3:$B$5001,S$114,BD!$A$3:$A$5001,"&gt;="&amp;$C$7,BD!$A$3:$A$5001,"&lt;="&amp;$B143,BD!$K$3:$K$5001,"&lt;&gt;")=0,"",SUMIFS(BD!$K$3:$K$5001,BD!$B$3:$B$5001,S$114,BD!$A$3:$A$5001,_xlfn.MAXIFS(BD!$A$3:$A$5001,BD!$B$3:$B$5001,S$114,BD!$A$3:$A$5001,"&gt;="&amp;$C$7,BD!$A$3:$A$5001,"&lt;="&amp;$B143,BD!$K$3:$K$5001,"&lt;&gt;"))))</f>
        <v/>
      </c>
      <c r="T143" s="43" t="str">
        <f>IF(OR($B143="",$A143&gt;$B$9,T$114=""),"",IF(COUNTIFS(BD!$B$3:$B$5001,T$114,BD!$A$3:$A$5001,"&gt;="&amp;$C$7,BD!$A$3:$A$5001,"&lt;="&amp;$B143,BD!$K$3:$K$5001,"&lt;&gt;")=0,"",SUMIFS(BD!$K$3:$K$5001,BD!$B$3:$B$5001,T$114,BD!$A$3:$A$5001,_xlfn.MAXIFS(BD!$A$3:$A$5001,BD!$B$3:$B$5001,T$114,BD!$A$3:$A$5001,"&gt;="&amp;$C$7,BD!$A$3:$A$5001,"&lt;="&amp;$B143,BD!$K$3:$K$5001,"&lt;&gt;"))))</f>
        <v/>
      </c>
      <c r="U143" s="43" t="str">
        <f>IF(OR($B143="",$A143&gt;$B$9,U$114=""),"",IF(COUNTIFS(BD!$B$3:$B$5001,U$114,BD!$A$3:$A$5001,"&gt;="&amp;$C$7,BD!$A$3:$A$5001,"&lt;="&amp;$B143,BD!$K$3:$K$5001,"&lt;&gt;")=0,"",SUMIFS(BD!$K$3:$K$5001,BD!$B$3:$B$5001,U$114,BD!$A$3:$A$5001,_xlfn.MAXIFS(BD!$A$3:$A$5001,BD!$B$3:$B$5001,U$114,BD!$A$3:$A$5001,"&gt;="&amp;$C$7,BD!$A$3:$A$5001,"&lt;="&amp;$B143,BD!$K$3:$K$5001,"&lt;&gt;"))))</f>
        <v/>
      </c>
      <c r="V143" s="43" t="str">
        <f>IF(OR($B143="",$A143&gt;$B$9,V$114=""),"",IF(COUNTIFS(BD!$B$3:$B$5001,V$114,BD!$A$3:$A$5001,"&gt;="&amp;$C$7,BD!$A$3:$A$5001,"&lt;="&amp;$B143,BD!$K$3:$K$5001,"&lt;&gt;")=0,"",SUMIFS(BD!$K$3:$K$5001,BD!$B$3:$B$5001,V$114,BD!$A$3:$A$5001,_xlfn.MAXIFS(BD!$A$3:$A$5001,BD!$B$3:$B$5001,V$114,BD!$A$3:$A$5001,"&gt;="&amp;$C$7,BD!$A$3:$A$5001,"&lt;="&amp;$B143,BD!$K$3:$K$5001,"&lt;&gt;"))))</f>
        <v/>
      </c>
    </row>
    <row r="144">
      <c r="A144" s="38">
        <v>30</v>
      </c>
      <c r="B144" s="42">
        <f>$B$41</f>
        <v>46325</v>
      </c>
      <c r="C144" s="43" t="str">
        <f>IF(OR($B144="",$A144&gt;$B$9,C$114=""),"",IF(COUNTIFS(BD!$B$3:$B$5001,C$114,BD!$A$3:$A$5001,"&gt;="&amp;$C$7,BD!$A$3:$A$5001,"&lt;="&amp;$B144,BD!$K$3:$K$5001,"&lt;&gt;")=0,"",SUMIFS(BD!$K$3:$K$5001,BD!$B$3:$B$5001,C$114,BD!$A$3:$A$5001,_xlfn.MAXIFS(BD!$A$3:$A$5001,BD!$B$3:$B$5001,C$114,BD!$A$3:$A$5001,"&gt;="&amp;$C$7,BD!$A$3:$A$5001,"&lt;="&amp;$B144,BD!$K$3:$K$5001,"&lt;&gt;"))))</f>
        <v/>
      </c>
      <c r="D144" s="43" t="str">
        <f>IF(OR($B144="",$A144&gt;$B$9,D$114=""),"",IF(COUNTIFS(BD!$B$3:$B$5001,D$114,BD!$A$3:$A$5001,"&gt;="&amp;$C$7,BD!$A$3:$A$5001,"&lt;="&amp;$B144,BD!$K$3:$K$5001,"&lt;&gt;")=0,"",SUMIFS(BD!$K$3:$K$5001,BD!$B$3:$B$5001,D$114,BD!$A$3:$A$5001,_xlfn.MAXIFS(BD!$A$3:$A$5001,BD!$B$3:$B$5001,D$114,BD!$A$3:$A$5001,"&gt;="&amp;$C$7,BD!$A$3:$A$5001,"&lt;="&amp;$B144,BD!$K$3:$K$5001,"&lt;&gt;"))))</f>
        <v/>
      </c>
      <c r="E144" s="43" t="str">
        <f>IF(OR($B144="",$A144&gt;$B$9,E$114=""),"",IF(COUNTIFS(BD!$B$3:$B$5001,E$114,BD!$A$3:$A$5001,"&gt;="&amp;$C$7,BD!$A$3:$A$5001,"&lt;="&amp;$B144,BD!$K$3:$K$5001,"&lt;&gt;")=0,"",SUMIFS(BD!$K$3:$K$5001,BD!$B$3:$B$5001,E$114,BD!$A$3:$A$5001,_xlfn.MAXIFS(BD!$A$3:$A$5001,BD!$B$3:$B$5001,E$114,BD!$A$3:$A$5001,"&gt;="&amp;$C$7,BD!$A$3:$A$5001,"&lt;="&amp;$B144,BD!$K$3:$K$5001,"&lt;&gt;"))))</f>
        <v/>
      </c>
      <c r="F144" s="43" t="str">
        <f>IF(OR($B144="",$A144&gt;$B$9,F$114=""),"",IF(COUNTIFS(BD!$B$3:$B$5001,F$114,BD!$A$3:$A$5001,"&gt;="&amp;$C$7,BD!$A$3:$A$5001,"&lt;="&amp;$B144,BD!$K$3:$K$5001,"&lt;&gt;")=0,"",SUMIFS(BD!$K$3:$K$5001,BD!$B$3:$B$5001,F$114,BD!$A$3:$A$5001,_xlfn.MAXIFS(BD!$A$3:$A$5001,BD!$B$3:$B$5001,F$114,BD!$A$3:$A$5001,"&gt;="&amp;$C$7,BD!$A$3:$A$5001,"&lt;="&amp;$B144,BD!$K$3:$K$5001,"&lt;&gt;"))))</f>
        <v/>
      </c>
      <c r="G144" s="43" t="str">
        <f>IF(OR($B144="",$A144&gt;$B$9,G$114=""),"",IF(COUNTIFS(BD!$B$3:$B$5001,G$114,BD!$A$3:$A$5001,"&gt;="&amp;$C$7,BD!$A$3:$A$5001,"&lt;="&amp;$B144,BD!$K$3:$K$5001,"&lt;&gt;")=0,"",SUMIFS(BD!$K$3:$K$5001,BD!$B$3:$B$5001,G$114,BD!$A$3:$A$5001,_xlfn.MAXIFS(BD!$A$3:$A$5001,BD!$B$3:$B$5001,G$114,BD!$A$3:$A$5001,"&gt;="&amp;$C$7,BD!$A$3:$A$5001,"&lt;="&amp;$B144,BD!$K$3:$K$5001,"&lt;&gt;"))))</f>
        <v/>
      </c>
      <c r="H144" s="43" t="str">
        <f>IF(OR($B144="",$A144&gt;$B$9,H$114=""),"",IF(COUNTIFS(BD!$B$3:$B$5001,H$114,BD!$A$3:$A$5001,"&gt;="&amp;$C$7,BD!$A$3:$A$5001,"&lt;="&amp;$B144,BD!$K$3:$K$5001,"&lt;&gt;")=0,"",SUMIFS(BD!$K$3:$K$5001,BD!$B$3:$B$5001,H$114,BD!$A$3:$A$5001,_xlfn.MAXIFS(BD!$A$3:$A$5001,BD!$B$3:$B$5001,H$114,BD!$A$3:$A$5001,"&gt;="&amp;$C$7,BD!$A$3:$A$5001,"&lt;="&amp;$B144,BD!$K$3:$K$5001,"&lt;&gt;"))))</f>
        <v/>
      </c>
      <c r="I144" s="43" t="str">
        <f>IF(OR($B144="",$A144&gt;$B$9,I$114=""),"",IF(COUNTIFS(BD!$B$3:$B$5001,I$114,BD!$A$3:$A$5001,"&gt;="&amp;$C$7,BD!$A$3:$A$5001,"&lt;="&amp;$B144,BD!$K$3:$K$5001,"&lt;&gt;")=0,"",SUMIFS(BD!$K$3:$K$5001,BD!$B$3:$B$5001,I$114,BD!$A$3:$A$5001,_xlfn.MAXIFS(BD!$A$3:$A$5001,BD!$B$3:$B$5001,I$114,BD!$A$3:$A$5001,"&gt;="&amp;$C$7,BD!$A$3:$A$5001,"&lt;="&amp;$B144,BD!$K$3:$K$5001,"&lt;&gt;"))))</f>
        <v/>
      </c>
      <c r="J144" s="43" t="str">
        <f>IF(OR($B144="",$A144&gt;$B$9,J$114=""),"",IF(COUNTIFS(BD!$B$3:$B$5001,J$114,BD!$A$3:$A$5001,"&gt;="&amp;$C$7,BD!$A$3:$A$5001,"&lt;="&amp;$B144,BD!$K$3:$K$5001,"&lt;&gt;")=0,"",SUMIFS(BD!$K$3:$K$5001,BD!$B$3:$B$5001,J$114,BD!$A$3:$A$5001,_xlfn.MAXIFS(BD!$A$3:$A$5001,BD!$B$3:$B$5001,J$114,BD!$A$3:$A$5001,"&gt;="&amp;$C$7,BD!$A$3:$A$5001,"&lt;="&amp;$B144,BD!$K$3:$K$5001,"&lt;&gt;"))))</f>
        <v/>
      </c>
      <c r="K144" s="43" t="str">
        <f>IF(OR($B144="",$A144&gt;$B$9,K$114=""),"",IF(COUNTIFS(BD!$B$3:$B$5001,K$114,BD!$A$3:$A$5001,"&gt;="&amp;$C$7,BD!$A$3:$A$5001,"&lt;="&amp;$B144,BD!$K$3:$K$5001,"&lt;&gt;")=0,"",SUMIFS(BD!$K$3:$K$5001,BD!$B$3:$B$5001,K$114,BD!$A$3:$A$5001,_xlfn.MAXIFS(BD!$A$3:$A$5001,BD!$B$3:$B$5001,K$114,BD!$A$3:$A$5001,"&gt;="&amp;$C$7,BD!$A$3:$A$5001,"&lt;="&amp;$B144,BD!$K$3:$K$5001,"&lt;&gt;"))))</f>
        <v/>
      </c>
      <c r="L144" s="43" t="str">
        <f>IF(OR($B144="",$A144&gt;$B$9,L$114=""),"",IF(COUNTIFS(BD!$B$3:$B$5001,L$114,BD!$A$3:$A$5001,"&gt;="&amp;$C$7,BD!$A$3:$A$5001,"&lt;="&amp;$B144,BD!$K$3:$K$5001,"&lt;&gt;")=0,"",SUMIFS(BD!$K$3:$K$5001,BD!$B$3:$B$5001,L$114,BD!$A$3:$A$5001,_xlfn.MAXIFS(BD!$A$3:$A$5001,BD!$B$3:$B$5001,L$114,BD!$A$3:$A$5001,"&gt;="&amp;$C$7,BD!$A$3:$A$5001,"&lt;="&amp;$B144,BD!$K$3:$K$5001,"&lt;&gt;"))))</f>
        <v/>
      </c>
      <c r="M144" s="43" t="str">
        <f>IF(OR($B144="",$A144&gt;$B$9,M$114=""),"",IF(COUNTIFS(BD!$B$3:$B$5001,M$114,BD!$A$3:$A$5001,"&gt;="&amp;$C$7,BD!$A$3:$A$5001,"&lt;="&amp;$B144,BD!$K$3:$K$5001,"&lt;&gt;")=0,"",SUMIFS(BD!$K$3:$K$5001,BD!$B$3:$B$5001,M$114,BD!$A$3:$A$5001,_xlfn.MAXIFS(BD!$A$3:$A$5001,BD!$B$3:$B$5001,M$114,BD!$A$3:$A$5001,"&gt;="&amp;$C$7,BD!$A$3:$A$5001,"&lt;="&amp;$B144,BD!$K$3:$K$5001,"&lt;&gt;"))))</f>
        <v/>
      </c>
      <c r="N144" s="43" t="str">
        <f>IF(OR($B144="",$A144&gt;$B$9,N$114=""),"",IF(COUNTIFS(BD!$B$3:$B$5001,N$114,BD!$A$3:$A$5001,"&gt;="&amp;$C$7,BD!$A$3:$A$5001,"&lt;="&amp;$B144,BD!$K$3:$K$5001,"&lt;&gt;")=0,"",SUMIFS(BD!$K$3:$K$5001,BD!$B$3:$B$5001,N$114,BD!$A$3:$A$5001,_xlfn.MAXIFS(BD!$A$3:$A$5001,BD!$B$3:$B$5001,N$114,BD!$A$3:$A$5001,"&gt;="&amp;$C$7,BD!$A$3:$A$5001,"&lt;="&amp;$B144,BD!$K$3:$K$5001,"&lt;&gt;"))))</f>
        <v/>
      </c>
      <c r="O144" s="43" t="str">
        <f>IF(OR($B144="",$A144&gt;$B$9,O$114=""),"",IF(COUNTIFS(BD!$B$3:$B$5001,O$114,BD!$A$3:$A$5001,"&gt;="&amp;$C$7,BD!$A$3:$A$5001,"&lt;="&amp;$B144,BD!$K$3:$K$5001,"&lt;&gt;")=0,"",SUMIFS(BD!$K$3:$K$5001,BD!$B$3:$B$5001,O$114,BD!$A$3:$A$5001,_xlfn.MAXIFS(BD!$A$3:$A$5001,BD!$B$3:$B$5001,O$114,BD!$A$3:$A$5001,"&gt;="&amp;$C$7,BD!$A$3:$A$5001,"&lt;="&amp;$B144,BD!$K$3:$K$5001,"&lt;&gt;"))))</f>
        <v/>
      </c>
      <c r="P144" s="43" t="str">
        <f>IF(OR($B144="",$A144&gt;$B$9,P$114=""),"",IF(COUNTIFS(BD!$B$3:$B$5001,P$114,BD!$A$3:$A$5001,"&gt;="&amp;$C$7,BD!$A$3:$A$5001,"&lt;="&amp;$B144,BD!$K$3:$K$5001,"&lt;&gt;")=0,"",SUMIFS(BD!$K$3:$K$5001,BD!$B$3:$B$5001,P$114,BD!$A$3:$A$5001,_xlfn.MAXIFS(BD!$A$3:$A$5001,BD!$B$3:$B$5001,P$114,BD!$A$3:$A$5001,"&gt;="&amp;$C$7,BD!$A$3:$A$5001,"&lt;="&amp;$B144,BD!$K$3:$K$5001,"&lt;&gt;"))))</f>
        <v/>
      </c>
      <c r="Q144" s="43" t="str">
        <f>IF(OR($B144="",$A144&gt;$B$9,Q$114=""),"",IF(COUNTIFS(BD!$B$3:$B$5001,Q$114,BD!$A$3:$A$5001,"&gt;="&amp;$C$7,BD!$A$3:$A$5001,"&lt;="&amp;$B144,BD!$K$3:$K$5001,"&lt;&gt;")=0,"",SUMIFS(BD!$K$3:$K$5001,BD!$B$3:$B$5001,Q$114,BD!$A$3:$A$5001,_xlfn.MAXIFS(BD!$A$3:$A$5001,BD!$B$3:$B$5001,Q$114,BD!$A$3:$A$5001,"&gt;="&amp;$C$7,BD!$A$3:$A$5001,"&lt;="&amp;$B144,BD!$K$3:$K$5001,"&lt;&gt;"))))</f>
        <v/>
      </c>
      <c r="R144" s="43" t="str">
        <f>IF(OR($B144="",$A144&gt;$B$9,R$114=""),"",IF(COUNTIFS(BD!$B$3:$B$5001,R$114,BD!$A$3:$A$5001,"&gt;="&amp;$C$7,BD!$A$3:$A$5001,"&lt;="&amp;$B144,BD!$K$3:$K$5001,"&lt;&gt;")=0,"",SUMIFS(BD!$K$3:$K$5001,BD!$B$3:$B$5001,R$114,BD!$A$3:$A$5001,_xlfn.MAXIFS(BD!$A$3:$A$5001,BD!$B$3:$B$5001,R$114,BD!$A$3:$A$5001,"&gt;="&amp;$C$7,BD!$A$3:$A$5001,"&lt;="&amp;$B144,BD!$K$3:$K$5001,"&lt;&gt;"))))</f>
        <v/>
      </c>
      <c r="S144" s="43" t="str">
        <f>IF(OR($B144="",$A144&gt;$B$9,S$114=""),"",IF(COUNTIFS(BD!$B$3:$B$5001,S$114,BD!$A$3:$A$5001,"&gt;="&amp;$C$7,BD!$A$3:$A$5001,"&lt;="&amp;$B144,BD!$K$3:$K$5001,"&lt;&gt;")=0,"",SUMIFS(BD!$K$3:$K$5001,BD!$B$3:$B$5001,S$114,BD!$A$3:$A$5001,_xlfn.MAXIFS(BD!$A$3:$A$5001,BD!$B$3:$B$5001,S$114,BD!$A$3:$A$5001,"&gt;="&amp;$C$7,BD!$A$3:$A$5001,"&lt;="&amp;$B144,BD!$K$3:$K$5001,"&lt;&gt;"))))</f>
        <v/>
      </c>
      <c r="T144" s="43" t="str">
        <f>IF(OR($B144="",$A144&gt;$B$9,T$114=""),"",IF(COUNTIFS(BD!$B$3:$B$5001,T$114,BD!$A$3:$A$5001,"&gt;="&amp;$C$7,BD!$A$3:$A$5001,"&lt;="&amp;$B144,BD!$K$3:$K$5001,"&lt;&gt;")=0,"",SUMIFS(BD!$K$3:$K$5001,BD!$B$3:$B$5001,T$114,BD!$A$3:$A$5001,_xlfn.MAXIFS(BD!$A$3:$A$5001,BD!$B$3:$B$5001,T$114,BD!$A$3:$A$5001,"&gt;="&amp;$C$7,BD!$A$3:$A$5001,"&lt;="&amp;$B144,BD!$K$3:$K$5001,"&lt;&gt;"))))</f>
        <v/>
      </c>
      <c r="U144" s="43" t="str">
        <f>IF(OR($B144="",$A144&gt;$B$9,U$114=""),"",IF(COUNTIFS(BD!$B$3:$B$5001,U$114,BD!$A$3:$A$5001,"&gt;="&amp;$C$7,BD!$A$3:$A$5001,"&lt;="&amp;$B144,BD!$K$3:$K$5001,"&lt;&gt;")=0,"",SUMIFS(BD!$K$3:$K$5001,BD!$B$3:$B$5001,U$114,BD!$A$3:$A$5001,_xlfn.MAXIFS(BD!$A$3:$A$5001,BD!$B$3:$B$5001,U$114,BD!$A$3:$A$5001,"&gt;="&amp;$C$7,BD!$A$3:$A$5001,"&lt;="&amp;$B144,BD!$K$3:$K$5001,"&lt;&gt;"))))</f>
        <v/>
      </c>
      <c r="V144" s="43" t="str">
        <f>IF(OR($B144="",$A144&gt;$B$9,V$114=""),"",IF(COUNTIFS(BD!$B$3:$B$5001,V$114,BD!$A$3:$A$5001,"&gt;="&amp;$C$7,BD!$A$3:$A$5001,"&lt;="&amp;$B144,BD!$K$3:$K$5001,"&lt;&gt;")=0,"",SUMIFS(BD!$K$3:$K$5001,BD!$B$3:$B$5001,V$114,BD!$A$3:$A$5001,_xlfn.MAXIFS(BD!$A$3:$A$5001,BD!$B$3:$B$5001,V$114,BD!$A$3:$A$5001,"&gt;="&amp;$C$7,BD!$A$3:$A$5001,"&lt;="&amp;$B144,BD!$K$3:$K$5001,"&lt;&gt;"))))</f>
        <v/>
      </c>
    </row>
    <row r="145">
      <c r="A145" s="38">
        <v>31</v>
      </c>
      <c r="B145" s="42">
        <f>$B$42</f>
        <v>46326</v>
      </c>
      <c r="C145" s="43" t="str">
        <f>IF(OR($B145="",$A145&gt;$B$9,C$114=""),"",IF(COUNTIFS(BD!$B$3:$B$5001,C$114,BD!$A$3:$A$5001,"&gt;="&amp;$C$7,BD!$A$3:$A$5001,"&lt;="&amp;$B145,BD!$K$3:$K$5001,"&lt;&gt;")=0,"",SUMIFS(BD!$K$3:$K$5001,BD!$B$3:$B$5001,C$114,BD!$A$3:$A$5001,_xlfn.MAXIFS(BD!$A$3:$A$5001,BD!$B$3:$B$5001,C$114,BD!$A$3:$A$5001,"&gt;="&amp;$C$7,BD!$A$3:$A$5001,"&lt;="&amp;$B145,BD!$K$3:$K$5001,"&lt;&gt;"))))</f>
        <v/>
      </c>
      <c r="D145" s="43" t="str">
        <f>IF(OR($B145="",$A145&gt;$B$9,D$114=""),"",IF(COUNTIFS(BD!$B$3:$B$5001,D$114,BD!$A$3:$A$5001,"&gt;="&amp;$C$7,BD!$A$3:$A$5001,"&lt;="&amp;$B145,BD!$K$3:$K$5001,"&lt;&gt;")=0,"",SUMIFS(BD!$K$3:$K$5001,BD!$B$3:$B$5001,D$114,BD!$A$3:$A$5001,_xlfn.MAXIFS(BD!$A$3:$A$5001,BD!$B$3:$B$5001,D$114,BD!$A$3:$A$5001,"&gt;="&amp;$C$7,BD!$A$3:$A$5001,"&lt;="&amp;$B145,BD!$K$3:$K$5001,"&lt;&gt;"))))</f>
        <v/>
      </c>
      <c r="E145" s="43" t="str">
        <f>IF(OR($B145="",$A145&gt;$B$9,E$114=""),"",IF(COUNTIFS(BD!$B$3:$B$5001,E$114,BD!$A$3:$A$5001,"&gt;="&amp;$C$7,BD!$A$3:$A$5001,"&lt;="&amp;$B145,BD!$K$3:$K$5001,"&lt;&gt;")=0,"",SUMIFS(BD!$K$3:$K$5001,BD!$B$3:$B$5001,E$114,BD!$A$3:$A$5001,_xlfn.MAXIFS(BD!$A$3:$A$5001,BD!$B$3:$B$5001,E$114,BD!$A$3:$A$5001,"&gt;="&amp;$C$7,BD!$A$3:$A$5001,"&lt;="&amp;$B145,BD!$K$3:$K$5001,"&lt;&gt;"))))</f>
        <v/>
      </c>
      <c r="F145" s="43" t="str">
        <f>IF(OR($B145="",$A145&gt;$B$9,F$114=""),"",IF(COUNTIFS(BD!$B$3:$B$5001,F$114,BD!$A$3:$A$5001,"&gt;="&amp;$C$7,BD!$A$3:$A$5001,"&lt;="&amp;$B145,BD!$K$3:$K$5001,"&lt;&gt;")=0,"",SUMIFS(BD!$K$3:$K$5001,BD!$B$3:$B$5001,F$114,BD!$A$3:$A$5001,_xlfn.MAXIFS(BD!$A$3:$A$5001,BD!$B$3:$B$5001,F$114,BD!$A$3:$A$5001,"&gt;="&amp;$C$7,BD!$A$3:$A$5001,"&lt;="&amp;$B145,BD!$K$3:$K$5001,"&lt;&gt;"))))</f>
        <v/>
      </c>
      <c r="G145" s="43" t="str">
        <f>IF(OR($B145="",$A145&gt;$B$9,G$114=""),"",IF(COUNTIFS(BD!$B$3:$B$5001,G$114,BD!$A$3:$A$5001,"&gt;="&amp;$C$7,BD!$A$3:$A$5001,"&lt;="&amp;$B145,BD!$K$3:$K$5001,"&lt;&gt;")=0,"",SUMIFS(BD!$K$3:$K$5001,BD!$B$3:$B$5001,G$114,BD!$A$3:$A$5001,_xlfn.MAXIFS(BD!$A$3:$A$5001,BD!$B$3:$B$5001,G$114,BD!$A$3:$A$5001,"&gt;="&amp;$C$7,BD!$A$3:$A$5001,"&lt;="&amp;$B145,BD!$K$3:$K$5001,"&lt;&gt;"))))</f>
        <v/>
      </c>
      <c r="H145" s="43" t="str">
        <f>IF(OR($B145="",$A145&gt;$B$9,H$114=""),"",IF(COUNTIFS(BD!$B$3:$B$5001,H$114,BD!$A$3:$A$5001,"&gt;="&amp;$C$7,BD!$A$3:$A$5001,"&lt;="&amp;$B145,BD!$K$3:$K$5001,"&lt;&gt;")=0,"",SUMIFS(BD!$K$3:$K$5001,BD!$B$3:$B$5001,H$114,BD!$A$3:$A$5001,_xlfn.MAXIFS(BD!$A$3:$A$5001,BD!$B$3:$B$5001,H$114,BD!$A$3:$A$5001,"&gt;="&amp;$C$7,BD!$A$3:$A$5001,"&lt;="&amp;$B145,BD!$K$3:$K$5001,"&lt;&gt;"))))</f>
        <v/>
      </c>
      <c r="I145" s="43" t="str">
        <f>IF(OR($B145="",$A145&gt;$B$9,I$114=""),"",IF(COUNTIFS(BD!$B$3:$B$5001,I$114,BD!$A$3:$A$5001,"&gt;="&amp;$C$7,BD!$A$3:$A$5001,"&lt;="&amp;$B145,BD!$K$3:$K$5001,"&lt;&gt;")=0,"",SUMIFS(BD!$K$3:$K$5001,BD!$B$3:$B$5001,I$114,BD!$A$3:$A$5001,_xlfn.MAXIFS(BD!$A$3:$A$5001,BD!$B$3:$B$5001,I$114,BD!$A$3:$A$5001,"&gt;="&amp;$C$7,BD!$A$3:$A$5001,"&lt;="&amp;$B145,BD!$K$3:$K$5001,"&lt;&gt;"))))</f>
        <v/>
      </c>
      <c r="J145" s="43" t="str">
        <f>IF(OR($B145="",$A145&gt;$B$9,J$114=""),"",IF(COUNTIFS(BD!$B$3:$B$5001,J$114,BD!$A$3:$A$5001,"&gt;="&amp;$C$7,BD!$A$3:$A$5001,"&lt;="&amp;$B145,BD!$K$3:$K$5001,"&lt;&gt;")=0,"",SUMIFS(BD!$K$3:$K$5001,BD!$B$3:$B$5001,J$114,BD!$A$3:$A$5001,_xlfn.MAXIFS(BD!$A$3:$A$5001,BD!$B$3:$B$5001,J$114,BD!$A$3:$A$5001,"&gt;="&amp;$C$7,BD!$A$3:$A$5001,"&lt;="&amp;$B145,BD!$K$3:$K$5001,"&lt;&gt;"))))</f>
        <v/>
      </c>
      <c r="K145" s="43" t="str">
        <f>IF(OR($B145="",$A145&gt;$B$9,K$114=""),"",IF(COUNTIFS(BD!$B$3:$B$5001,K$114,BD!$A$3:$A$5001,"&gt;="&amp;$C$7,BD!$A$3:$A$5001,"&lt;="&amp;$B145,BD!$K$3:$K$5001,"&lt;&gt;")=0,"",SUMIFS(BD!$K$3:$K$5001,BD!$B$3:$B$5001,K$114,BD!$A$3:$A$5001,_xlfn.MAXIFS(BD!$A$3:$A$5001,BD!$B$3:$B$5001,K$114,BD!$A$3:$A$5001,"&gt;="&amp;$C$7,BD!$A$3:$A$5001,"&lt;="&amp;$B145,BD!$K$3:$K$5001,"&lt;&gt;"))))</f>
        <v/>
      </c>
      <c r="L145" s="43" t="str">
        <f>IF(OR($B145="",$A145&gt;$B$9,L$114=""),"",IF(COUNTIFS(BD!$B$3:$B$5001,L$114,BD!$A$3:$A$5001,"&gt;="&amp;$C$7,BD!$A$3:$A$5001,"&lt;="&amp;$B145,BD!$K$3:$K$5001,"&lt;&gt;")=0,"",SUMIFS(BD!$K$3:$K$5001,BD!$B$3:$B$5001,L$114,BD!$A$3:$A$5001,_xlfn.MAXIFS(BD!$A$3:$A$5001,BD!$B$3:$B$5001,L$114,BD!$A$3:$A$5001,"&gt;="&amp;$C$7,BD!$A$3:$A$5001,"&lt;="&amp;$B145,BD!$K$3:$K$5001,"&lt;&gt;"))))</f>
        <v/>
      </c>
      <c r="M145" s="43" t="str">
        <f>IF(OR($B145="",$A145&gt;$B$9,M$114=""),"",IF(COUNTIFS(BD!$B$3:$B$5001,M$114,BD!$A$3:$A$5001,"&gt;="&amp;$C$7,BD!$A$3:$A$5001,"&lt;="&amp;$B145,BD!$K$3:$K$5001,"&lt;&gt;")=0,"",SUMIFS(BD!$K$3:$K$5001,BD!$B$3:$B$5001,M$114,BD!$A$3:$A$5001,_xlfn.MAXIFS(BD!$A$3:$A$5001,BD!$B$3:$B$5001,M$114,BD!$A$3:$A$5001,"&gt;="&amp;$C$7,BD!$A$3:$A$5001,"&lt;="&amp;$B145,BD!$K$3:$K$5001,"&lt;&gt;"))))</f>
        <v/>
      </c>
      <c r="N145" s="43" t="str">
        <f>IF(OR($B145="",$A145&gt;$B$9,N$114=""),"",IF(COUNTIFS(BD!$B$3:$B$5001,N$114,BD!$A$3:$A$5001,"&gt;="&amp;$C$7,BD!$A$3:$A$5001,"&lt;="&amp;$B145,BD!$K$3:$K$5001,"&lt;&gt;")=0,"",SUMIFS(BD!$K$3:$K$5001,BD!$B$3:$B$5001,N$114,BD!$A$3:$A$5001,_xlfn.MAXIFS(BD!$A$3:$A$5001,BD!$B$3:$B$5001,N$114,BD!$A$3:$A$5001,"&gt;="&amp;$C$7,BD!$A$3:$A$5001,"&lt;="&amp;$B145,BD!$K$3:$K$5001,"&lt;&gt;"))))</f>
        <v/>
      </c>
      <c r="O145" s="43" t="str">
        <f>IF(OR($B145="",$A145&gt;$B$9,O$114=""),"",IF(COUNTIFS(BD!$B$3:$B$5001,O$114,BD!$A$3:$A$5001,"&gt;="&amp;$C$7,BD!$A$3:$A$5001,"&lt;="&amp;$B145,BD!$K$3:$K$5001,"&lt;&gt;")=0,"",SUMIFS(BD!$K$3:$K$5001,BD!$B$3:$B$5001,O$114,BD!$A$3:$A$5001,_xlfn.MAXIFS(BD!$A$3:$A$5001,BD!$B$3:$B$5001,O$114,BD!$A$3:$A$5001,"&gt;="&amp;$C$7,BD!$A$3:$A$5001,"&lt;="&amp;$B145,BD!$K$3:$K$5001,"&lt;&gt;"))))</f>
        <v/>
      </c>
      <c r="P145" s="43" t="str">
        <f>IF(OR($B145="",$A145&gt;$B$9,P$114=""),"",IF(COUNTIFS(BD!$B$3:$B$5001,P$114,BD!$A$3:$A$5001,"&gt;="&amp;$C$7,BD!$A$3:$A$5001,"&lt;="&amp;$B145,BD!$K$3:$K$5001,"&lt;&gt;")=0,"",SUMIFS(BD!$K$3:$K$5001,BD!$B$3:$B$5001,P$114,BD!$A$3:$A$5001,_xlfn.MAXIFS(BD!$A$3:$A$5001,BD!$B$3:$B$5001,P$114,BD!$A$3:$A$5001,"&gt;="&amp;$C$7,BD!$A$3:$A$5001,"&lt;="&amp;$B145,BD!$K$3:$K$5001,"&lt;&gt;"))))</f>
        <v/>
      </c>
      <c r="Q145" s="43" t="str">
        <f>IF(OR($B145="",$A145&gt;$B$9,Q$114=""),"",IF(COUNTIFS(BD!$B$3:$B$5001,Q$114,BD!$A$3:$A$5001,"&gt;="&amp;$C$7,BD!$A$3:$A$5001,"&lt;="&amp;$B145,BD!$K$3:$K$5001,"&lt;&gt;")=0,"",SUMIFS(BD!$K$3:$K$5001,BD!$B$3:$B$5001,Q$114,BD!$A$3:$A$5001,_xlfn.MAXIFS(BD!$A$3:$A$5001,BD!$B$3:$B$5001,Q$114,BD!$A$3:$A$5001,"&gt;="&amp;$C$7,BD!$A$3:$A$5001,"&lt;="&amp;$B145,BD!$K$3:$K$5001,"&lt;&gt;"))))</f>
        <v/>
      </c>
      <c r="R145" s="43" t="str">
        <f>IF(OR($B145="",$A145&gt;$B$9,R$114=""),"",IF(COUNTIFS(BD!$B$3:$B$5001,R$114,BD!$A$3:$A$5001,"&gt;="&amp;$C$7,BD!$A$3:$A$5001,"&lt;="&amp;$B145,BD!$K$3:$K$5001,"&lt;&gt;")=0,"",SUMIFS(BD!$K$3:$K$5001,BD!$B$3:$B$5001,R$114,BD!$A$3:$A$5001,_xlfn.MAXIFS(BD!$A$3:$A$5001,BD!$B$3:$B$5001,R$114,BD!$A$3:$A$5001,"&gt;="&amp;$C$7,BD!$A$3:$A$5001,"&lt;="&amp;$B145,BD!$K$3:$K$5001,"&lt;&gt;"))))</f>
        <v/>
      </c>
      <c r="S145" s="43" t="str">
        <f>IF(OR($B145="",$A145&gt;$B$9,S$114=""),"",IF(COUNTIFS(BD!$B$3:$B$5001,S$114,BD!$A$3:$A$5001,"&gt;="&amp;$C$7,BD!$A$3:$A$5001,"&lt;="&amp;$B145,BD!$K$3:$K$5001,"&lt;&gt;")=0,"",SUMIFS(BD!$K$3:$K$5001,BD!$B$3:$B$5001,S$114,BD!$A$3:$A$5001,_xlfn.MAXIFS(BD!$A$3:$A$5001,BD!$B$3:$B$5001,S$114,BD!$A$3:$A$5001,"&gt;="&amp;$C$7,BD!$A$3:$A$5001,"&lt;="&amp;$B145,BD!$K$3:$K$5001,"&lt;&gt;"))))</f>
        <v/>
      </c>
      <c r="T145" s="43" t="str">
        <f>IF(OR($B145="",$A145&gt;$B$9,T$114=""),"",IF(COUNTIFS(BD!$B$3:$B$5001,T$114,BD!$A$3:$A$5001,"&gt;="&amp;$C$7,BD!$A$3:$A$5001,"&lt;="&amp;$B145,BD!$K$3:$K$5001,"&lt;&gt;")=0,"",SUMIFS(BD!$K$3:$K$5001,BD!$B$3:$B$5001,T$114,BD!$A$3:$A$5001,_xlfn.MAXIFS(BD!$A$3:$A$5001,BD!$B$3:$B$5001,T$114,BD!$A$3:$A$5001,"&gt;="&amp;$C$7,BD!$A$3:$A$5001,"&lt;="&amp;$B145,BD!$K$3:$K$5001,"&lt;&gt;"))))</f>
        <v/>
      </c>
      <c r="U145" s="43" t="str">
        <f>IF(OR($B145="",$A145&gt;$B$9,U$114=""),"",IF(COUNTIFS(BD!$B$3:$B$5001,U$114,BD!$A$3:$A$5001,"&gt;="&amp;$C$7,BD!$A$3:$A$5001,"&lt;="&amp;$B145,BD!$K$3:$K$5001,"&lt;&gt;")=0,"",SUMIFS(BD!$K$3:$K$5001,BD!$B$3:$B$5001,U$114,BD!$A$3:$A$5001,_xlfn.MAXIFS(BD!$A$3:$A$5001,BD!$B$3:$B$5001,U$114,BD!$A$3:$A$5001,"&gt;="&amp;$C$7,BD!$A$3:$A$5001,"&lt;="&amp;$B145,BD!$K$3:$K$5001,"&lt;&gt;"))))</f>
        <v/>
      </c>
      <c r="V145" s="43" t="str">
        <f>IF(OR($B145="",$A145&gt;$B$9,V$114=""),"",IF(COUNTIFS(BD!$B$3:$B$5001,V$114,BD!$A$3:$A$5001,"&gt;="&amp;$C$7,BD!$A$3:$A$5001,"&lt;="&amp;$B145,BD!$K$3:$K$5001,"&lt;&gt;")=0,"",SUMIFS(BD!$K$3:$K$5001,BD!$B$3:$B$5001,V$114,BD!$A$3:$A$5001,_xlfn.MAXIFS(BD!$A$3:$A$5001,BD!$B$3:$B$5001,V$114,BD!$A$3:$A$5001,"&gt;="&amp;$C$7,BD!$A$3:$A$5001,"&lt;="&amp;$B145,BD!$K$3:$K$5001,"&lt;&gt;"))))</f>
        <v/>
      </c>
    </row>
    <row r="146">
      <c r="A146" s="44" t="inlineStr">
        <is>
          <t xml:space="preserve">Mês anterior (último)</t>
        </is>
      </c>
      <c r="C146" s="45" t="str">
        <f>IF(C$114="","",IF(COUNTIFS(BD!$B$3:$B$5001,C$114,BD!$A$3:$A$5001,"&gt;="&amp;$C$8,BD!$A$3:$A$5001,"&lt;="&amp;$D$8,BD!$K$3:$K$5001,"&lt;&gt;")=0,"",SUMIFS(BD!$K$3:$K$5001,BD!$B$3:$B$5001,C$114,BD!$A$3:$A$5001,_xlfn.MAXIFS(BD!$A$3:$A$5001,BD!$B$3:$B$5001,C$114,BD!$A$3:$A$5001,"&gt;="&amp;$C$8,BD!$A$3:$A$5001,"&lt;="&amp;$D$8,BD!$K$3:$K$5001,"&lt;&gt;"))))</f>
        <v/>
      </c>
      <c r="D146" s="45" t="str">
        <f>IF(D$114="","",IF(COUNTIFS(BD!$B$3:$B$5001,D$114,BD!$A$3:$A$5001,"&gt;="&amp;$C$8,BD!$A$3:$A$5001,"&lt;="&amp;$D$8,BD!$K$3:$K$5001,"&lt;&gt;")=0,"",SUMIFS(BD!$K$3:$K$5001,BD!$B$3:$B$5001,D$114,BD!$A$3:$A$5001,_xlfn.MAXIFS(BD!$A$3:$A$5001,BD!$B$3:$B$5001,D$114,BD!$A$3:$A$5001,"&gt;="&amp;$C$8,BD!$A$3:$A$5001,"&lt;="&amp;$D$8,BD!$K$3:$K$5001,"&lt;&gt;"))))</f>
        <v/>
      </c>
      <c r="E146" s="45" t="str">
        <f>IF(E$114="","",IF(COUNTIFS(BD!$B$3:$B$5001,E$114,BD!$A$3:$A$5001,"&gt;="&amp;$C$8,BD!$A$3:$A$5001,"&lt;="&amp;$D$8,BD!$K$3:$K$5001,"&lt;&gt;")=0,"",SUMIFS(BD!$K$3:$K$5001,BD!$B$3:$B$5001,E$114,BD!$A$3:$A$5001,_xlfn.MAXIFS(BD!$A$3:$A$5001,BD!$B$3:$B$5001,E$114,BD!$A$3:$A$5001,"&gt;="&amp;$C$8,BD!$A$3:$A$5001,"&lt;="&amp;$D$8,BD!$K$3:$K$5001,"&lt;&gt;"))))</f>
        <v/>
      </c>
      <c r="F146" s="45" t="str">
        <f>IF(F$114="","",IF(COUNTIFS(BD!$B$3:$B$5001,F$114,BD!$A$3:$A$5001,"&gt;="&amp;$C$8,BD!$A$3:$A$5001,"&lt;="&amp;$D$8,BD!$K$3:$K$5001,"&lt;&gt;")=0,"",SUMIFS(BD!$K$3:$K$5001,BD!$B$3:$B$5001,F$114,BD!$A$3:$A$5001,_xlfn.MAXIFS(BD!$A$3:$A$5001,BD!$B$3:$B$5001,F$114,BD!$A$3:$A$5001,"&gt;="&amp;$C$8,BD!$A$3:$A$5001,"&lt;="&amp;$D$8,BD!$K$3:$K$5001,"&lt;&gt;"))))</f>
        <v/>
      </c>
      <c r="G146" s="45" t="str">
        <f>IF(G$114="","",IF(COUNTIFS(BD!$B$3:$B$5001,G$114,BD!$A$3:$A$5001,"&gt;="&amp;$C$8,BD!$A$3:$A$5001,"&lt;="&amp;$D$8,BD!$K$3:$K$5001,"&lt;&gt;")=0,"",SUMIFS(BD!$K$3:$K$5001,BD!$B$3:$B$5001,G$114,BD!$A$3:$A$5001,_xlfn.MAXIFS(BD!$A$3:$A$5001,BD!$B$3:$B$5001,G$114,BD!$A$3:$A$5001,"&gt;="&amp;$C$8,BD!$A$3:$A$5001,"&lt;="&amp;$D$8,BD!$K$3:$K$5001,"&lt;&gt;"))))</f>
        <v/>
      </c>
      <c r="H146" s="45" t="str">
        <f>IF(H$114="","",IF(COUNTIFS(BD!$B$3:$B$5001,H$114,BD!$A$3:$A$5001,"&gt;="&amp;$C$8,BD!$A$3:$A$5001,"&lt;="&amp;$D$8,BD!$K$3:$K$5001,"&lt;&gt;")=0,"",SUMIFS(BD!$K$3:$K$5001,BD!$B$3:$B$5001,H$114,BD!$A$3:$A$5001,_xlfn.MAXIFS(BD!$A$3:$A$5001,BD!$B$3:$B$5001,H$114,BD!$A$3:$A$5001,"&gt;="&amp;$C$8,BD!$A$3:$A$5001,"&lt;="&amp;$D$8,BD!$K$3:$K$5001,"&lt;&gt;"))))</f>
        <v/>
      </c>
      <c r="I146" s="45" t="str">
        <f>IF(I$114="","",IF(COUNTIFS(BD!$B$3:$B$5001,I$114,BD!$A$3:$A$5001,"&gt;="&amp;$C$8,BD!$A$3:$A$5001,"&lt;="&amp;$D$8,BD!$K$3:$K$5001,"&lt;&gt;")=0,"",SUMIFS(BD!$K$3:$K$5001,BD!$B$3:$B$5001,I$114,BD!$A$3:$A$5001,_xlfn.MAXIFS(BD!$A$3:$A$5001,BD!$B$3:$B$5001,I$114,BD!$A$3:$A$5001,"&gt;="&amp;$C$8,BD!$A$3:$A$5001,"&lt;="&amp;$D$8,BD!$K$3:$K$5001,"&lt;&gt;"))))</f>
        <v/>
      </c>
      <c r="J146" s="45" t="str">
        <f>IF(J$114="","",IF(COUNTIFS(BD!$B$3:$B$5001,J$114,BD!$A$3:$A$5001,"&gt;="&amp;$C$8,BD!$A$3:$A$5001,"&lt;="&amp;$D$8,BD!$K$3:$K$5001,"&lt;&gt;")=0,"",SUMIFS(BD!$K$3:$K$5001,BD!$B$3:$B$5001,J$114,BD!$A$3:$A$5001,_xlfn.MAXIFS(BD!$A$3:$A$5001,BD!$B$3:$B$5001,J$114,BD!$A$3:$A$5001,"&gt;="&amp;$C$8,BD!$A$3:$A$5001,"&lt;="&amp;$D$8,BD!$K$3:$K$5001,"&lt;&gt;"))))</f>
        <v/>
      </c>
      <c r="K146" s="45" t="str">
        <f>IF(K$114="","",IF(COUNTIFS(BD!$B$3:$B$5001,K$114,BD!$A$3:$A$5001,"&gt;="&amp;$C$8,BD!$A$3:$A$5001,"&lt;="&amp;$D$8,BD!$K$3:$K$5001,"&lt;&gt;")=0,"",SUMIFS(BD!$K$3:$K$5001,BD!$B$3:$B$5001,K$114,BD!$A$3:$A$5001,_xlfn.MAXIFS(BD!$A$3:$A$5001,BD!$B$3:$B$5001,K$114,BD!$A$3:$A$5001,"&gt;="&amp;$C$8,BD!$A$3:$A$5001,"&lt;="&amp;$D$8,BD!$K$3:$K$5001,"&lt;&gt;"))))</f>
        <v/>
      </c>
      <c r="L146" s="45" t="str">
        <f>IF(L$114="","",IF(COUNTIFS(BD!$B$3:$B$5001,L$114,BD!$A$3:$A$5001,"&gt;="&amp;$C$8,BD!$A$3:$A$5001,"&lt;="&amp;$D$8,BD!$K$3:$K$5001,"&lt;&gt;")=0,"",SUMIFS(BD!$K$3:$K$5001,BD!$B$3:$B$5001,L$114,BD!$A$3:$A$5001,_xlfn.MAXIFS(BD!$A$3:$A$5001,BD!$B$3:$B$5001,L$114,BD!$A$3:$A$5001,"&gt;="&amp;$C$8,BD!$A$3:$A$5001,"&lt;="&amp;$D$8,BD!$K$3:$K$5001,"&lt;&gt;"))))</f>
        <v/>
      </c>
      <c r="M146" s="45" t="str">
        <f>IF(M$114="","",IF(COUNTIFS(BD!$B$3:$B$5001,M$114,BD!$A$3:$A$5001,"&gt;="&amp;$C$8,BD!$A$3:$A$5001,"&lt;="&amp;$D$8,BD!$K$3:$K$5001,"&lt;&gt;")=0,"",SUMIFS(BD!$K$3:$K$5001,BD!$B$3:$B$5001,M$114,BD!$A$3:$A$5001,_xlfn.MAXIFS(BD!$A$3:$A$5001,BD!$B$3:$B$5001,M$114,BD!$A$3:$A$5001,"&gt;="&amp;$C$8,BD!$A$3:$A$5001,"&lt;="&amp;$D$8,BD!$K$3:$K$5001,"&lt;&gt;"))))</f>
        <v/>
      </c>
      <c r="N146" s="45" t="str">
        <f>IF(N$114="","",IF(COUNTIFS(BD!$B$3:$B$5001,N$114,BD!$A$3:$A$5001,"&gt;="&amp;$C$8,BD!$A$3:$A$5001,"&lt;="&amp;$D$8,BD!$K$3:$K$5001,"&lt;&gt;")=0,"",SUMIFS(BD!$K$3:$K$5001,BD!$B$3:$B$5001,N$114,BD!$A$3:$A$5001,_xlfn.MAXIFS(BD!$A$3:$A$5001,BD!$B$3:$B$5001,N$114,BD!$A$3:$A$5001,"&gt;="&amp;$C$8,BD!$A$3:$A$5001,"&lt;="&amp;$D$8,BD!$K$3:$K$5001,"&lt;&gt;"))))</f>
        <v/>
      </c>
      <c r="O146" s="45" t="str">
        <f>IF(O$114="","",IF(COUNTIFS(BD!$B$3:$B$5001,O$114,BD!$A$3:$A$5001,"&gt;="&amp;$C$8,BD!$A$3:$A$5001,"&lt;="&amp;$D$8,BD!$K$3:$K$5001,"&lt;&gt;")=0,"",SUMIFS(BD!$K$3:$K$5001,BD!$B$3:$B$5001,O$114,BD!$A$3:$A$5001,_xlfn.MAXIFS(BD!$A$3:$A$5001,BD!$B$3:$B$5001,O$114,BD!$A$3:$A$5001,"&gt;="&amp;$C$8,BD!$A$3:$A$5001,"&lt;="&amp;$D$8,BD!$K$3:$K$5001,"&lt;&gt;"))))</f>
        <v/>
      </c>
      <c r="P146" s="45" t="str">
        <f>IF(P$114="","",IF(COUNTIFS(BD!$B$3:$B$5001,P$114,BD!$A$3:$A$5001,"&gt;="&amp;$C$8,BD!$A$3:$A$5001,"&lt;="&amp;$D$8,BD!$K$3:$K$5001,"&lt;&gt;")=0,"",SUMIFS(BD!$K$3:$K$5001,BD!$B$3:$B$5001,P$114,BD!$A$3:$A$5001,_xlfn.MAXIFS(BD!$A$3:$A$5001,BD!$B$3:$B$5001,P$114,BD!$A$3:$A$5001,"&gt;="&amp;$C$8,BD!$A$3:$A$5001,"&lt;="&amp;$D$8,BD!$K$3:$K$5001,"&lt;&gt;"))))</f>
        <v/>
      </c>
      <c r="Q146" s="45" t="str">
        <f>IF(Q$114="","",IF(COUNTIFS(BD!$B$3:$B$5001,Q$114,BD!$A$3:$A$5001,"&gt;="&amp;$C$8,BD!$A$3:$A$5001,"&lt;="&amp;$D$8,BD!$K$3:$K$5001,"&lt;&gt;")=0,"",SUMIFS(BD!$K$3:$K$5001,BD!$B$3:$B$5001,Q$114,BD!$A$3:$A$5001,_xlfn.MAXIFS(BD!$A$3:$A$5001,BD!$B$3:$B$5001,Q$114,BD!$A$3:$A$5001,"&gt;="&amp;$C$8,BD!$A$3:$A$5001,"&lt;="&amp;$D$8,BD!$K$3:$K$5001,"&lt;&gt;"))))</f>
        <v/>
      </c>
      <c r="R146" s="45" t="str">
        <f>IF(R$114="","",IF(COUNTIFS(BD!$B$3:$B$5001,R$114,BD!$A$3:$A$5001,"&gt;="&amp;$C$8,BD!$A$3:$A$5001,"&lt;="&amp;$D$8,BD!$K$3:$K$5001,"&lt;&gt;")=0,"",SUMIFS(BD!$K$3:$K$5001,BD!$B$3:$B$5001,R$114,BD!$A$3:$A$5001,_xlfn.MAXIFS(BD!$A$3:$A$5001,BD!$B$3:$B$5001,R$114,BD!$A$3:$A$5001,"&gt;="&amp;$C$8,BD!$A$3:$A$5001,"&lt;="&amp;$D$8,BD!$K$3:$K$5001,"&lt;&gt;"))))</f>
        <v/>
      </c>
      <c r="S146" s="45" t="str">
        <f>IF(S$114="","",IF(COUNTIFS(BD!$B$3:$B$5001,S$114,BD!$A$3:$A$5001,"&gt;="&amp;$C$8,BD!$A$3:$A$5001,"&lt;="&amp;$D$8,BD!$K$3:$K$5001,"&lt;&gt;")=0,"",SUMIFS(BD!$K$3:$K$5001,BD!$B$3:$B$5001,S$114,BD!$A$3:$A$5001,_xlfn.MAXIFS(BD!$A$3:$A$5001,BD!$B$3:$B$5001,S$114,BD!$A$3:$A$5001,"&gt;="&amp;$C$8,BD!$A$3:$A$5001,"&lt;="&amp;$D$8,BD!$K$3:$K$5001,"&lt;&gt;"))))</f>
        <v/>
      </c>
      <c r="T146" s="45" t="str">
        <f>IF(T$114="","",IF(COUNTIFS(BD!$B$3:$B$5001,T$114,BD!$A$3:$A$5001,"&gt;="&amp;$C$8,BD!$A$3:$A$5001,"&lt;="&amp;$D$8,BD!$K$3:$K$5001,"&lt;&gt;")=0,"",SUMIFS(BD!$K$3:$K$5001,BD!$B$3:$B$5001,T$114,BD!$A$3:$A$5001,_xlfn.MAXIFS(BD!$A$3:$A$5001,BD!$B$3:$B$5001,T$114,BD!$A$3:$A$5001,"&gt;="&amp;$C$8,BD!$A$3:$A$5001,"&lt;="&amp;$D$8,BD!$K$3:$K$5001,"&lt;&gt;"))))</f>
        <v/>
      </c>
      <c r="U146" s="45" t="str">
        <f>IF(U$114="","",IF(COUNTIFS(BD!$B$3:$B$5001,U$114,BD!$A$3:$A$5001,"&gt;="&amp;$C$8,BD!$A$3:$A$5001,"&lt;="&amp;$D$8,BD!$K$3:$K$5001,"&lt;&gt;")=0,"",SUMIFS(BD!$K$3:$K$5001,BD!$B$3:$B$5001,U$114,BD!$A$3:$A$5001,_xlfn.MAXIFS(BD!$A$3:$A$5001,BD!$B$3:$B$5001,U$114,BD!$A$3:$A$5001,"&gt;="&amp;$C$8,BD!$A$3:$A$5001,"&lt;="&amp;$D$8,BD!$K$3:$K$5001,"&lt;&gt;"))))</f>
        <v/>
      </c>
      <c r="V146" s="45" t="str">
        <f>IF(V$114="","",IF(COUNTIFS(BD!$B$3:$B$5001,V$114,BD!$A$3:$A$5001,"&gt;="&amp;$C$8,BD!$A$3:$A$5001,"&lt;="&amp;$D$8,BD!$K$3:$K$5001,"&lt;&gt;")=0,"",SUMIFS(BD!$K$3:$K$5001,BD!$B$3:$B$5001,V$114,BD!$A$3:$A$5001,_xlfn.MAXIFS(BD!$A$3:$A$5001,BD!$B$3:$B$5001,V$114,BD!$A$3:$A$5001,"&gt;="&amp;$C$8,BD!$A$3:$A$5001,"&lt;="&amp;$D$8,BD!$K$3:$K$5001,"&lt;&gt;"))))</f>
        <v/>
      </c>
    </row>
    <row r="147">
      <c r="A147" s="44" t="inlineStr">
        <is>
          <t xml:space="preserve">Depósito</t>
        </is>
      </c>
      <c r="C147" s="38" t="str">
        <f>IF(Config!$C$10="","JSL",Config!$C$10)</f>
        <v>JSL</v>
      </c>
      <c r="D147" s="38" t="str">
        <f>IF(Config!$C$11="","JSL",Config!$C$11)</f>
        <v>JSL</v>
      </c>
      <c r="E147" s="38" t="str">
        <f>IF(Config!$C$12="","JSL",Config!$C$12)</f>
        <v>JSL</v>
      </c>
      <c r="F147" s="38" t="str">
        <f>IF(Config!$C$13="","JSL",Config!$C$13)</f>
        <v>JSL</v>
      </c>
      <c r="G147" s="38" t="str">
        <f>IF(Config!$C$14="","JSL",Config!$C$14)</f>
        <v>JSL</v>
      </c>
      <c r="H147" s="38" t="str">
        <f>IF(Config!$C$15="","JSL",Config!$C$15)</f>
        <v>JSL</v>
      </c>
      <c r="I147" s="38" t="str">
        <f>IF(Config!$C$16="","JSL",Config!$C$16)</f>
        <v>JSL</v>
      </c>
      <c r="J147" s="38" t="str">
        <f>IF(Config!$C$17="","JSL",Config!$C$17)</f>
        <v>JSL</v>
      </c>
      <c r="K147" s="38" t="str">
        <f>IF(Config!$C$18="","JSL",Config!$C$18)</f>
        <v>JSL</v>
      </c>
      <c r="L147" s="38" t="str">
        <f>IF(Config!$C$19="","JSL",Config!$C$19)</f>
        <v>JSL</v>
      </c>
      <c r="M147" s="38" t="str">
        <f>IF(Config!$C$20="","JSL",Config!$C$20)</f>
        <v>JSL</v>
      </c>
      <c r="N147" s="38" t="str">
        <f>IF(Config!$C$21="","JSL",Config!$C$21)</f>
        <v>JSL</v>
      </c>
      <c r="O147" s="38" t="str">
        <f>IF(Config!$C$22="","JSL",Config!$C$22)</f>
        <v>JSL</v>
      </c>
      <c r="P147" s="38" t="str">
        <f>IF(Config!$C$23="","JSL",Config!$C$23)</f>
        <v>JSL</v>
      </c>
      <c r="Q147" s="38" t="str">
        <f>IF(Config!$C$24="","JSL",Config!$C$24)</f>
        <v>JSL</v>
      </c>
      <c r="R147" s="38" t="str">
        <f>IF(Config!$C$25="","JSL",Config!$C$25)</f>
        <v>JSL</v>
      </c>
      <c r="S147" s="38" t="str">
        <f>IF(Config!$C$26="","JSL",Config!$C$26)</f>
        <v>JSL</v>
      </c>
      <c r="T147" s="38" t="str">
        <f>IF(Config!$C$27="","JSL",Config!$C$27)</f>
        <v>JSL</v>
      </c>
      <c r="U147" s="38" t="str">
        <f>IF(Config!$C$28="","JSL",Config!$C$28)</f>
        <v>JSL</v>
      </c>
      <c r="V147" s="38" t="str">
        <f>IF(Config!$C$29="","JSL",Config!$C$29)</f>
        <v>JSL</v>
      </c>
    </row>
    <row r="149">
      <c r="A149" s="37" t="inlineStr">
        <is>
          <t xml:space="preserve">Posições Ocupadas</t>
        </is>
      </c>
      <c r="B149" s="37" t="inlineStr">
        <is>
          <t xml:space="preserve">Data</t>
        </is>
      </c>
      <c r="C149" s="37" t="str">
        <f>Config!$B$10&amp;""</f>
        <v>Barry Callebaut</v>
      </c>
      <c r="D149" s="37" t="str">
        <f>Config!$B$11&amp;""</f>
        <v>GM</v>
      </c>
      <c r="E149" s="37" t="str">
        <f>Config!$B$12&amp;""</f>
        <v>Mondelez</v>
      </c>
      <c r="F149" s="37" t="str">
        <f>Config!$B$13&amp;""</f>
        <v>Nestlé</v>
      </c>
      <c r="G149" s="37" t="str">
        <f>Config!$B$14&amp;""</f>
        <v>PMB</v>
      </c>
      <c r="H149" s="37" t="str">
        <f>Config!$B$15&amp;""</f>
        <v/>
      </c>
      <c r="I149" s="37" t="str">
        <f>Config!$B$16&amp;""</f>
        <v/>
      </c>
      <c r="J149" s="37" t="str">
        <f>Config!$B$17&amp;""</f>
        <v/>
      </c>
      <c r="K149" s="37" t="str">
        <f>Config!$B$18&amp;""</f>
        <v/>
      </c>
      <c r="L149" s="37" t="str">
        <f>Config!$B$19&amp;""</f>
        <v/>
      </c>
      <c r="M149" s="37" t="str">
        <f>Config!$B$20&amp;""</f>
        <v/>
      </c>
      <c r="N149" s="37" t="str">
        <f>Config!$B$21&amp;""</f>
        <v/>
      </c>
      <c r="O149" s="37" t="str">
        <f>Config!$B$22&amp;""</f>
        <v/>
      </c>
      <c r="P149" s="37" t="str">
        <f>Config!$B$23&amp;""</f>
        <v/>
      </c>
      <c r="Q149" s="37" t="str">
        <f>Config!$B$24&amp;""</f>
        <v/>
      </c>
      <c r="R149" s="37" t="str">
        <f>Config!$B$25&amp;""</f>
        <v/>
      </c>
      <c r="S149" s="37" t="str">
        <f>Config!$B$26&amp;""</f>
        <v/>
      </c>
      <c r="T149" s="37" t="str">
        <f>Config!$B$27&amp;""</f>
        <v/>
      </c>
      <c r="U149" s="37" t="str">
        <f>Config!$B$28&amp;""</f>
        <v/>
      </c>
      <c r="V149" s="37" t="str">
        <f>Config!$B$29&amp;""</f>
        <v/>
      </c>
    </row>
    <row r="150">
      <c r="A150" s="38">
        <v>1</v>
      </c>
      <c r="B150" s="42">
        <f>$B$12</f>
        <v>46296</v>
      </c>
      <c r="C150" s="43" t="str">
        <f>IF(OR($B150="",$A150&gt;$B$9,C$149=""),"",IF(COUNTIFS(BD!$B$3:$B$5001,C$149,BD!$A$3:$A$5001,"&gt;="&amp;$C$7,BD!$A$3:$A$5001,"&lt;="&amp;$B150,BD!$M$3:$M$5001,"&lt;&gt;")=0,"",SUMIFS(BD!$M$3:$M$5001,BD!$B$3:$B$5001,C$149,BD!$A$3:$A$5001,_xlfn.MAXIFS(BD!$A$3:$A$5001,BD!$B$3:$B$5001,C$149,BD!$A$3:$A$5001,"&gt;="&amp;$C$7,BD!$A$3:$A$5001,"&lt;="&amp;$B150,BD!$M$3:$M$5001,"&lt;&gt;"))))</f>
        <v/>
      </c>
      <c r="D150" s="43" t="str">
        <f>IF(OR($B150="",$A150&gt;$B$9,D$149=""),"",IF(COUNTIFS(BD!$B$3:$B$5001,D$149,BD!$A$3:$A$5001,"&gt;="&amp;$C$7,BD!$A$3:$A$5001,"&lt;="&amp;$B150,BD!$M$3:$M$5001,"&lt;&gt;")=0,"",SUMIFS(BD!$M$3:$M$5001,BD!$B$3:$B$5001,D$149,BD!$A$3:$A$5001,_xlfn.MAXIFS(BD!$A$3:$A$5001,BD!$B$3:$B$5001,D$149,BD!$A$3:$A$5001,"&gt;="&amp;$C$7,BD!$A$3:$A$5001,"&lt;="&amp;$B150,BD!$M$3:$M$5001,"&lt;&gt;"))))</f>
        <v/>
      </c>
      <c r="E150" s="43" t="str">
        <f>IF(OR($B150="",$A150&gt;$B$9,E$149=""),"",IF(COUNTIFS(BD!$B$3:$B$5001,E$149,BD!$A$3:$A$5001,"&gt;="&amp;$C$7,BD!$A$3:$A$5001,"&lt;="&amp;$B150,BD!$M$3:$M$5001,"&lt;&gt;")=0,"",SUMIFS(BD!$M$3:$M$5001,BD!$B$3:$B$5001,E$149,BD!$A$3:$A$5001,_xlfn.MAXIFS(BD!$A$3:$A$5001,BD!$B$3:$B$5001,E$149,BD!$A$3:$A$5001,"&gt;="&amp;$C$7,BD!$A$3:$A$5001,"&lt;="&amp;$B150,BD!$M$3:$M$5001,"&lt;&gt;"))))</f>
        <v/>
      </c>
      <c r="F150" s="43" t="str">
        <f>IF(OR($B150="",$A150&gt;$B$9,F$149=""),"",IF(COUNTIFS(BD!$B$3:$B$5001,F$149,BD!$A$3:$A$5001,"&gt;="&amp;$C$7,BD!$A$3:$A$5001,"&lt;="&amp;$B150,BD!$M$3:$M$5001,"&lt;&gt;")=0,"",SUMIFS(BD!$M$3:$M$5001,BD!$B$3:$B$5001,F$149,BD!$A$3:$A$5001,_xlfn.MAXIFS(BD!$A$3:$A$5001,BD!$B$3:$B$5001,F$149,BD!$A$3:$A$5001,"&gt;="&amp;$C$7,BD!$A$3:$A$5001,"&lt;="&amp;$B150,BD!$M$3:$M$5001,"&lt;&gt;"))))</f>
        <v/>
      </c>
      <c r="G150" s="43" t="str">
        <f>IF(OR($B150="",$A150&gt;$B$9,G$149=""),"",IF(COUNTIFS(BD!$B$3:$B$5001,G$149,BD!$A$3:$A$5001,"&gt;="&amp;$C$7,BD!$A$3:$A$5001,"&lt;="&amp;$B150,BD!$M$3:$M$5001,"&lt;&gt;")=0,"",SUMIFS(BD!$M$3:$M$5001,BD!$B$3:$B$5001,G$149,BD!$A$3:$A$5001,_xlfn.MAXIFS(BD!$A$3:$A$5001,BD!$B$3:$B$5001,G$149,BD!$A$3:$A$5001,"&gt;="&amp;$C$7,BD!$A$3:$A$5001,"&lt;="&amp;$B150,BD!$M$3:$M$5001,"&lt;&gt;"))))</f>
        <v/>
      </c>
      <c r="H150" s="43" t="str">
        <f>IF(OR($B150="",$A150&gt;$B$9,H$149=""),"",IF(COUNTIFS(BD!$B$3:$B$5001,H$149,BD!$A$3:$A$5001,"&gt;="&amp;$C$7,BD!$A$3:$A$5001,"&lt;="&amp;$B150,BD!$M$3:$M$5001,"&lt;&gt;")=0,"",SUMIFS(BD!$M$3:$M$5001,BD!$B$3:$B$5001,H$149,BD!$A$3:$A$5001,_xlfn.MAXIFS(BD!$A$3:$A$5001,BD!$B$3:$B$5001,H$149,BD!$A$3:$A$5001,"&gt;="&amp;$C$7,BD!$A$3:$A$5001,"&lt;="&amp;$B150,BD!$M$3:$M$5001,"&lt;&gt;"))))</f>
        <v/>
      </c>
      <c r="I150" s="43" t="str">
        <f>IF(OR($B150="",$A150&gt;$B$9,I$149=""),"",IF(COUNTIFS(BD!$B$3:$B$5001,I$149,BD!$A$3:$A$5001,"&gt;="&amp;$C$7,BD!$A$3:$A$5001,"&lt;="&amp;$B150,BD!$M$3:$M$5001,"&lt;&gt;")=0,"",SUMIFS(BD!$M$3:$M$5001,BD!$B$3:$B$5001,I$149,BD!$A$3:$A$5001,_xlfn.MAXIFS(BD!$A$3:$A$5001,BD!$B$3:$B$5001,I$149,BD!$A$3:$A$5001,"&gt;="&amp;$C$7,BD!$A$3:$A$5001,"&lt;="&amp;$B150,BD!$M$3:$M$5001,"&lt;&gt;"))))</f>
        <v/>
      </c>
      <c r="J150" s="43" t="str">
        <f>IF(OR($B150="",$A150&gt;$B$9,J$149=""),"",IF(COUNTIFS(BD!$B$3:$B$5001,J$149,BD!$A$3:$A$5001,"&gt;="&amp;$C$7,BD!$A$3:$A$5001,"&lt;="&amp;$B150,BD!$M$3:$M$5001,"&lt;&gt;")=0,"",SUMIFS(BD!$M$3:$M$5001,BD!$B$3:$B$5001,J$149,BD!$A$3:$A$5001,_xlfn.MAXIFS(BD!$A$3:$A$5001,BD!$B$3:$B$5001,J$149,BD!$A$3:$A$5001,"&gt;="&amp;$C$7,BD!$A$3:$A$5001,"&lt;="&amp;$B150,BD!$M$3:$M$5001,"&lt;&gt;"))))</f>
        <v/>
      </c>
      <c r="K150" s="43" t="str">
        <f>IF(OR($B150="",$A150&gt;$B$9,K$149=""),"",IF(COUNTIFS(BD!$B$3:$B$5001,K$149,BD!$A$3:$A$5001,"&gt;="&amp;$C$7,BD!$A$3:$A$5001,"&lt;="&amp;$B150,BD!$M$3:$M$5001,"&lt;&gt;")=0,"",SUMIFS(BD!$M$3:$M$5001,BD!$B$3:$B$5001,K$149,BD!$A$3:$A$5001,_xlfn.MAXIFS(BD!$A$3:$A$5001,BD!$B$3:$B$5001,K$149,BD!$A$3:$A$5001,"&gt;="&amp;$C$7,BD!$A$3:$A$5001,"&lt;="&amp;$B150,BD!$M$3:$M$5001,"&lt;&gt;"))))</f>
        <v/>
      </c>
      <c r="L150" s="43" t="str">
        <f>IF(OR($B150="",$A150&gt;$B$9,L$149=""),"",IF(COUNTIFS(BD!$B$3:$B$5001,L$149,BD!$A$3:$A$5001,"&gt;="&amp;$C$7,BD!$A$3:$A$5001,"&lt;="&amp;$B150,BD!$M$3:$M$5001,"&lt;&gt;")=0,"",SUMIFS(BD!$M$3:$M$5001,BD!$B$3:$B$5001,L$149,BD!$A$3:$A$5001,_xlfn.MAXIFS(BD!$A$3:$A$5001,BD!$B$3:$B$5001,L$149,BD!$A$3:$A$5001,"&gt;="&amp;$C$7,BD!$A$3:$A$5001,"&lt;="&amp;$B150,BD!$M$3:$M$5001,"&lt;&gt;"))))</f>
        <v/>
      </c>
      <c r="M150" s="43" t="str">
        <f>IF(OR($B150="",$A150&gt;$B$9,M$149=""),"",IF(COUNTIFS(BD!$B$3:$B$5001,M$149,BD!$A$3:$A$5001,"&gt;="&amp;$C$7,BD!$A$3:$A$5001,"&lt;="&amp;$B150,BD!$M$3:$M$5001,"&lt;&gt;")=0,"",SUMIFS(BD!$M$3:$M$5001,BD!$B$3:$B$5001,M$149,BD!$A$3:$A$5001,_xlfn.MAXIFS(BD!$A$3:$A$5001,BD!$B$3:$B$5001,M$149,BD!$A$3:$A$5001,"&gt;="&amp;$C$7,BD!$A$3:$A$5001,"&lt;="&amp;$B150,BD!$M$3:$M$5001,"&lt;&gt;"))))</f>
        <v/>
      </c>
      <c r="N150" s="43" t="str">
        <f>IF(OR($B150="",$A150&gt;$B$9,N$149=""),"",IF(COUNTIFS(BD!$B$3:$B$5001,N$149,BD!$A$3:$A$5001,"&gt;="&amp;$C$7,BD!$A$3:$A$5001,"&lt;="&amp;$B150,BD!$M$3:$M$5001,"&lt;&gt;")=0,"",SUMIFS(BD!$M$3:$M$5001,BD!$B$3:$B$5001,N$149,BD!$A$3:$A$5001,_xlfn.MAXIFS(BD!$A$3:$A$5001,BD!$B$3:$B$5001,N$149,BD!$A$3:$A$5001,"&gt;="&amp;$C$7,BD!$A$3:$A$5001,"&lt;="&amp;$B150,BD!$M$3:$M$5001,"&lt;&gt;"))))</f>
        <v/>
      </c>
      <c r="O150" s="43" t="str">
        <f>IF(OR($B150="",$A150&gt;$B$9,O$149=""),"",IF(COUNTIFS(BD!$B$3:$B$5001,O$149,BD!$A$3:$A$5001,"&gt;="&amp;$C$7,BD!$A$3:$A$5001,"&lt;="&amp;$B150,BD!$M$3:$M$5001,"&lt;&gt;")=0,"",SUMIFS(BD!$M$3:$M$5001,BD!$B$3:$B$5001,O$149,BD!$A$3:$A$5001,_xlfn.MAXIFS(BD!$A$3:$A$5001,BD!$B$3:$B$5001,O$149,BD!$A$3:$A$5001,"&gt;="&amp;$C$7,BD!$A$3:$A$5001,"&lt;="&amp;$B150,BD!$M$3:$M$5001,"&lt;&gt;"))))</f>
        <v/>
      </c>
      <c r="P150" s="43" t="str">
        <f>IF(OR($B150="",$A150&gt;$B$9,P$149=""),"",IF(COUNTIFS(BD!$B$3:$B$5001,P$149,BD!$A$3:$A$5001,"&gt;="&amp;$C$7,BD!$A$3:$A$5001,"&lt;="&amp;$B150,BD!$M$3:$M$5001,"&lt;&gt;")=0,"",SUMIFS(BD!$M$3:$M$5001,BD!$B$3:$B$5001,P$149,BD!$A$3:$A$5001,_xlfn.MAXIFS(BD!$A$3:$A$5001,BD!$B$3:$B$5001,P$149,BD!$A$3:$A$5001,"&gt;="&amp;$C$7,BD!$A$3:$A$5001,"&lt;="&amp;$B150,BD!$M$3:$M$5001,"&lt;&gt;"))))</f>
        <v/>
      </c>
      <c r="Q150" s="43" t="str">
        <f>IF(OR($B150="",$A150&gt;$B$9,Q$149=""),"",IF(COUNTIFS(BD!$B$3:$B$5001,Q$149,BD!$A$3:$A$5001,"&gt;="&amp;$C$7,BD!$A$3:$A$5001,"&lt;="&amp;$B150,BD!$M$3:$M$5001,"&lt;&gt;")=0,"",SUMIFS(BD!$M$3:$M$5001,BD!$B$3:$B$5001,Q$149,BD!$A$3:$A$5001,_xlfn.MAXIFS(BD!$A$3:$A$5001,BD!$B$3:$B$5001,Q$149,BD!$A$3:$A$5001,"&gt;="&amp;$C$7,BD!$A$3:$A$5001,"&lt;="&amp;$B150,BD!$M$3:$M$5001,"&lt;&gt;"))))</f>
        <v/>
      </c>
      <c r="R150" s="43" t="str">
        <f>IF(OR($B150="",$A150&gt;$B$9,R$149=""),"",IF(COUNTIFS(BD!$B$3:$B$5001,R$149,BD!$A$3:$A$5001,"&gt;="&amp;$C$7,BD!$A$3:$A$5001,"&lt;="&amp;$B150,BD!$M$3:$M$5001,"&lt;&gt;")=0,"",SUMIFS(BD!$M$3:$M$5001,BD!$B$3:$B$5001,R$149,BD!$A$3:$A$5001,_xlfn.MAXIFS(BD!$A$3:$A$5001,BD!$B$3:$B$5001,R$149,BD!$A$3:$A$5001,"&gt;="&amp;$C$7,BD!$A$3:$A$5001,"&lt;="&amp;$B150,BD!$M$3:$M$5001,"&lt;&gt;"))))</f>
        <v/>
      </c>
      <c r="S150" s="43" t="str">
        <f>IF(OR($B150="",$A150&gt;$B$9,S$149=""),"",IF(COUNTIFS(BD!$B$3:$B$5001,S$149,BD!$A$3:$A$5001,"&gt;="&amp;$C$7,BD!$A$3:$A$5001,"&lt;="&amp;$B150,BD!$M$3:$M$5001,"&lt;&gt;")=0,"",SUMIFS(BD!$M$3:$M$5001,BD!$B$3:$B$5001,S$149,BD!$A$3:$A$5001,_xlfn.MAXIFS(BD!$A$3:$A$5001,BD!$B$3:$B$5001,S$149,BD!$A$3:$A$5001,"&gt;="&amp;$C$7,BD!$A$3:$A$5001,"&lt;="&amp;$B150,BD!$M$3:$M$5001,"&lt;&gt;"))))</f>
        <v/>
      </c>
      <c r="T150" s="43" t="str">
        <f>IF(OR($B150="",$A150&gt;$B$9,T$149=""),"",IF(COUNTIFS(BD!$B$3:$B$5001,T$149,BD!$A$3:$A$5001,"&gt;="&amp;$C$7,BD!$A$3:$A$5001,"&lt;="&amp;$B150,BD!$M$3:$M$5001,"&lt;&gt;")=0,"",SUMIFS(BD!$M$3:$M$5001,BD!$B$3:$B$5001,T$149,BD!$A$3:$A$5001,_xlfn.MAXIFS(BD!$A$3:$A$5001,BD!$B$3:$B$5001,T$149,BD!$A$3:$A$5001,"&gt;="&amp;$C$7,BD!$A$3:$A$5001,"&lt;="&amp;$B150,BD!$M$3:$M$5001,"&lt;&gt;"))))</f>
        <v/>
      </c>
      <c r="U150" s="43" t="str">
        <f>IF(OR($B150="",$A150&gt;$B$9,U$149=""),"",IF(COUNTIFS(BD!$B$3:$B$5001,U$149,BD!$A$3:$A$5001,"&gt;="&amp;$C$7,BD!$A$3:$A$5001,"&lt;="&amp;$B150,BD!$M$3:$M$5001,"&lt;&gt;")=0,"",SUMIFS(BD!$M$3:$M$5001,BD!$B$3:$B$5001,U$149,BD!$A$3:$A$5001,_xlfn.MAXIFS(BD!$A$3:$A$5001,BD!$B$3:$B$5001,U$149,BD!$A$3:$A$5001,"&gt;="&amp;$C$7,BD!$A$3:$A$5001,"&lt;="&amp;$B150,BD!$M$3:$M$5001,"&lt;&gt;"))))</f>
        <v/>
      </c>
      <c r="V150" s="43" t="str">
        <f>IF(OR($B150="",$A150&gt;$B$9,V$149=""),"",IF(COUNTIFS(BD!$B$3:$B$5001,V$149,BD!$A$3:$A$5001,"&gt;="&amp;$C$7,BD!$A$3:$A$5001,"&lt;="&amp;$B150,BD!$M$3:$M$5001,"&lt;&gt;")=0,"",SUMIFS(BD!$M$3:$M$5001,BD!$B$3:$B$5001,V$149,BD!$A$3:$A$5001,_xlfn.MAXIFS(BD!$A$3:$A$5001,BD!$B$3:$B$5001,V$149,BD!$A$3:$A$5001,"&gt;="&amp;$C$7,BD!$A$3:$A$5001,"&lt;="&amp;$B150,BD!$M$3:$M$5001,"&lt;&gt;"))))</f>
        <v/>
      </c>
    </row>
    <row r="151">
      <c r="A151" s="38">
        <v>2</v>
      </c>
      <c r="B151" s="42">
        <f>$B$13</f>
        <v>46297</v>
      </c>
      <c r="C151" s="43" t="str">
        <f>IF(OR($B151="",$A151&gt;$B$9,C$149=""),"",IF(COUNTIFS(BD!$B$3:$B$5001,C$149,BD!$A$3:$A$5001,"&gt;="&amp;$C$7,BD!$A$3:$A$5001,"&lt;="&amp;$B151,BD!$M$3:$M$5001,"&lt;&gt;")=0,"",SUMIFS(BD!$M$3:$M$5001,BD!$B$3:$B$5001,C$149,BD!$A$3:$A$5001,_xlfn.MAXIFS(BD!$A$3:$A$5001,BD!$B$3:$B$5001,C$149,BD!$A$3:$A$5001,"&gt;="&amp;$C$7,BD!$A$3:$A$5001,"&lt;="&amp;$B151,BD!$M$3:$M$5001,"&lt;&gt;"))))</f>
        <v/>
      </c>
      <c r="D151" s="43" t="str">
        <f>IF(OR($B151="",$A151&gt;$B$9,D$149=""),"",IF(COUNTIFS(BD!$B$3:$B$5001,D$149,BD!$A$3:$A$5001,"&gt;="&amp;$C$7,BD!$A$3:$A$5001,"&lt;="&amp;$B151,BD!$M$3:$M$5001,"&lt;&gt;")=0,"",SUMIFS(BD!$M$3:$M$5001,BD!$B$3:$B$5001,D$149,BD!$A$3:$A$5001,_xlfn.MAXIFS(BD!$A$3:$A$5001,BD!$B$3:$B$5001,D$149,BD!$A$3:$A$5001,"&gt;="&amp;$C$7,BD!$A$3:$A$5001,"&lt;="&amp;$B151,BD!$M$3:$M$5001,"&lt;&gt;"))))</f>
        <v/>
      </c>
      <c r="E151" s="43" t="str">
        <f>IF(OR($B151="",$A151&gt;$B$9,E$149=""),"",IF(COUNTIFS(BD!$B$3:$B$5001,E$149,BD!$A$3:$A$5001,"&gt;="&amp;$C$7,BD!$A$3:$A$5001,"&lt;="&amp;$B151,BD!$M$3:$M$5001,"&lt;&gt;")=0,"",SUMIFS(BD!$M$3:$M$5001,BD!$B$3:$B$5001,E$149,BD!$A$3:$A$5001,_xlfn.MAXIFS(BD!$A$3:$A$5001,BD!$B$3:$B$5001,E$149,BD!$A$3:$A$5001,"&gt;="&amp;$C$7,BD!$A$3:$A$5001,"&lt;="&amp;$B151,BD!$M$3:$M$5001,"&lt;&gt;"))))</f>
        <v/>
      </c>
      <c r="F151" s="43" t="str">
        <f>IF(OR($B151="",$A151&gt;$B$9,F$149=""),"",IF(COUNTIFS(BD!$B$3:$B$5001,F$149,BD!$A$3:$A$5001,"&gt;="&amp;$C$7,BD!$A$3:$A$5001,"&lt;="&amp;$B151,BD!$M$3:$M$5001,"&lt;&gt;")=0,"",SUMIFS(BD!$M$3:$M$5001,BD!$B$3:$B$5001,F$149,BD!$A$3:$A$5001,_xlfn.MAXIFS(BD!$A$3:$A$5001,BD!$B$3:$B$5001,F$149,BD!$A$3:$A$5001,"&gt;="&amp;$C$7,BD!$A$3:$A$5001,"&lt;="&amp;$B151,BD!$M$3:$M$5001,"&lt;&gt;"))))</f>
        <v/>
      </c>
      <c r="G151" s="43" t="str">
        <f>IF(OR($B151="",$A151&gt;$B$9,G$149=""),"",IF(COUNTIFS(BD!$B$3:$B$5001,G$149,BD!$A$3:$A$5001,"&gt;="&amp;$C$7,BD!$A$3:$A$5001,"&lt;="&amp;$B151,BD!$M$3:$M$5001,"&lt;&gt;")=0,"",SUMIFS(BD!$M$3:$M$5001,BD!$B$3:$B$5001,G$149,BD!$A$3:$A$5001,_xlfn.MAXIFS(BD!$A$3:$A$5001,BD!$B$3:$B$5001,G$149,BD!$A$3:$A$5001,"&gt;="&amp;$C$7,BD!$A$3:$A$5001,"&lt;="&amp;$B151,BD!$M$3:$M$5001,"&lt;&gt;"))))</f>
        <v/>
      </c>
      <c r="H151" s="43" t="str">
        <f>IF(OR($B151="",$A151&gt;$B$9,H$149=""),"",IF(COUNTIFS(BD!$B$3:$B$5001,H$149,BD!$A$3:$A$5001,"&gt;="&amp;$C$7,BD!$A$3:$A$5001,"&lt;="&amp;$B151,BD!$M$3:$M$5001,"&lt;&gt;")=0,"",SUMIFS(BD!$M$3:$M$5001,BD!$B$3:$B$5001,H$149,BD!$A$3:$A$5001,_xlfn.MAXIFS(BD!$A$3:$A$5001,BD!$B$3:$B$5001,H$149,BD!$A$3:$A$5001,"&gt;="&amp;$C$7,BD!$A$3:$A$5001,"&lt;="&amp;$B151,BD!$M$3:$M$5001,"&lt;&gt;"))))</f>
        <v/>
      </c>
      <c r="I151" s="43" t="str">
        <f>IF(OR($B151="",$A151&gt;$B$9,I$149=""),"",IF(COUNTIFS(BD!$B$3:$B$5001,I$149,BD!$A$3:$A$5001,"&gt;="&amp;$C$7,BD!$A$3:$A$5001,"&lt;="&amp;$B151,BD!$M$3:$M$5001,"&lt;&gt;")=0,"",SUMIFS(BD!$M$3:$M$5001,BD!$B$3:$B$5001,I$149,BD!$A$3:$A$5001,_xlfn.MAXIFS(BD!$A$3:$A$5001,BD!$B$3:$B$5001,I$149,BD!$A$3:$A$5001,"&gt;="&amp;$C$7,BD!$A$3:$A$5001,"&lt;="&amp;$B151,BD!$M$3:$M$5001,"&lt;&gt;"))))</f>
        <v/>
      </c>
      <c r="J151" s="43" t="str">
        <f>IF(OR($B151="",$A151&gt;$B$9,J$149=""),"",IF(COUNTIFS(BD!$B$3:$B$5001,J$149,BD!$A$3:$A$5001,"&gt;="&amp;$C$7,BD!$A$3:$A$5001,"&lt;="&amp;$B151,BD!$M$3:$M$5001,"&lt;&gt;")=0,"",SUMIFS(BD!$M$3:$M$5001,BD!$B$3:$B$5001,J$149,BD!$A$3:$A$5001,_xlfn.MAXIFS(BD!$A$3:$A$5001,BD!$B$3:$B$5001,J$149,BD!$A$3:$A$5001,"&gt;="&amp;$C$7,BD!$A$3:$A$5001,"&lt;="&amp;$B151,BD!$M$3:$M$5001,"&lt;&gt;"))))</f>
        <v/>
      </c>
      <c r="K151" s="43" t="str">
        <f>IF(OR($B151="",$A151&gt;$B$9,K$149=""),"",IF(COUNTIFS(BD!$B$3:$B$5001,K$149,BD!$A$3:$A$5001,"&gt;="&amp;$C$7,BD!$A$3:$A$5001,"&lt;="&amp;$B151,BD!$M$3:$M$5001,"&lt;&gt;")=0,"",SUMIFS(BD!$M$3:$M$5001,BD!$B$3:$B$5001,K$149,BD!$A$3:$A$5001,_xlfn.MAXIFS(BD!$A$3:$A$5001,BD!$B$3:$B$5001,K$149,BD!$A$3:$A$5001,"&gt;="&amp;$C$7,BD!$A$3:$A$5001,"&lt;="&amp;$B151,BD!$M$3:$M$5001,"&lt;&gt;"))))</f>
        <v/>
      </c>
      <c r="L151" s="43" t="str">
        <f>IF(OR($B151="",$A151&gt;$B$9,L$149=""),"",IF(COUNTIFS(BD!$B$3:$B$5001,L$149,BD!$A$3:$A$5001,"&gt;="&amp;$C$7,BD!$A$3:$A$5001,"&lt;="&amp;$B151,BD!$M$3:$M$5001,"&lt;&gt;")=0,"",SUMIFS(BD!$M$3:$M$5001,BD!$B$3:$B$5001,L$149,BD!$A$3:$A$5001,_xlfn.MAXIFS(BD!$A$3:$A$5001,BD!$B$3:$B$5001,L$149,BD!$A$3:$A$5001,"&gt;="&amp;$C$7,BD!$A$3:$A$5001,"&lt;="&amp;$B151,BD!$M$3:$M$5001,"&lt;&gt;"))))</f>
        <v/>
      </c>
      <c r="M151" s="43" t="str">
        <f>IF(OR($B151="",$A151&gt;$B$9,M$149=""),"",IF(COUNTIFS(BD!$B$3:$B$5001,M$149,BD!$A$3:$A$5001,"&gt;="&amp;$C$7,BD!$A$3:$A$5001,"&lt;="&amp;$B151,BD!$M$3:$M$5001,"&lt;&gt;")=0,"",SUMIFS(BD!$M$3:$M$5001,BD!$B$3:$B$5001,M$149,BD!$A$3:$A$5001,_xlfn.MAXIFS(BD!$A$3:$A$5001,BD!$B$3:$B$5001,M$149,BD!$A$3:$A$5001,"&gt;="&amp;$C$7,BD!$A$3:$A$5001,"&lt;="&amp;$B151,BD!$M$3:$M$5001,"&lt;&gt;"))))</f>
        <v/>
      </c>
      <c r="N151" s="43" t="str">
        <f>IF(OR($B151="",$A151&gt;$B$9,N$149=""),"",IF(COUNTIFS(BD!$B$3:$B$5001,N$149,BD!$A$3:$A$5001,"&gt;="&amp;$C$7,BD!$A$3:$A$5001,"&lt;="&amp;$B151,BD!$M$3:$M$5001,"&lt;&gt;")=0,"",SUMIFS(BD!$M$3:$M$5001,BD!$B$3:$B$5001,N$149,BD!$A$3:$A$5001,_xlfn.MAXIFS(BD!$A$3:$A$5001,BD!$B$3:$B$5001,N$149,BD!$A$3:$A$5001,"&gt;="&amp;$C$7,BD!$A$3:$A$5001,"&lt;="&amp;$B151,BD!$M$3:$M$5001,"&lt;&gt;"))))</f>
        <v/>
      </c>
      <c r="O151" s="43" t="str">
        <f>IF(OR($B151="",$A151&gt;$B$9,O$149=""),"",IF(COUNTIFS(BD!$B$3:$B$5001,O$149,BD!$A$3:$A$5001,"&gt;="&amp;$C$7,BD!$A$3:$A$5001,"&lt;="&amp;$B151,BD!$M$3:$M$5001,"&lt;&gt;")=0,"",SUMIFS(BD!$M$3:$M$5001,BD!$B$3:$B$5001,O$149,BD!$A$3:$A$5001,_xlfn.MAXIFS(BD!$A$3:$A$5001,BD!$B$3:$B$5001,O$149,BD!$A$3:$A$5001,"&gt;="&amp;$C$7,BD!$A$3:$A$5001,"&lt;="&amp;$B151,BD!$M$3:$M$5001,"&lt;&gt;"))))</f>
        <v/>
      </c>
      <c r="P151" s="43" t="str">
        <f>IF(OR($B151="",$A151&gt;$B$9,P$149=""),"",IF(COUNTIFS(BD!$B$3:$B$5001,P$149,BD!$A$3:$A$5001,"&gt;="&amp;$C$7,BD!$A$3:$A$5001,"&lt;="&amp;$B151,BD!$M$3:$M$5001,"&lt;&gt;")=0,"",SUMIFS(BD!$M$3:$M$5001,BD!$B$3:$B$5001,P$149,BD!$A$3:$A$5001,_xlfn.MAXIFS(BD!$A$3:$A$5001,BD!$B$3:$B$5001,P$149,BD!$A$3:$A$5001,"&gt;="&amp;$C$7,BD!$A$3:$A$5001,"&lt;="&amp;$B151,BD!$M$3:$M$5001,"&lt;&gt;"))))</f>
        <v/>
      </c>
      <c r="Q151" s="43" t="str">
        <f>IF(OR($B151="",$A151&gt;$B$9,Q$149=""),"",IF(COUNTIFS(BD!$B$3:$B$5001,Q$149,BD!$A$3:$A$5001,"&gt;="&amp;$C$7,BD!$A$3:$A$5001,"&lt;="&amp;$B151,BD!$M$3:$M$5001,"&lt;&gt;")=0,"",SUMIFS(BD!$M$3:$M$5001,BD!$B$3:$B$5001,Q$149,BD!$A$3:$A$5001,_xlfn.MAXIFS(BD!$A$3:$A$5001,BD!$B$3:$B$5001,Q$149,BD!$A$3:$A$5001,"&gt;="&amp;$C$7,BD!$A$3:$A$5001,"&lt;="&amp;$B151,BD!$M$3:$M$5001,"&lt;&gt;"))))</f>
        <v/>
      </c>
      <c r="R151" s="43" t="str">
        <f>IF(OR($B151="",$A151&gt;$B$9,R$149=""),"",IF(COUNTIFS(BD!$B$3:$B$5001,R$149,BD!$A$3:$A$5001,"&gt;="&amp;$C$7,BD!$A$3:$A$5001,"&lt;="&amp;$B151,BD!$M$3:$M$5001,"&lt;&gt;")=0,"",SUMIFS(BD!$M$3:$M$5001,BD!$B$3:$B$5001,R$149,BD!$A$3:$A$5001,_xlfn.MAXIFS(BD!$A$3:$A$5001,BD!$B$3:$B$5001,R$149,BD!$A$3:$A$5001,"&gt;="&amp;$C$7,BD!$A$3:$A$5001,"&lt;="&amp;$B151,BD!$M$3:$M$5001,"&lt;&gt;"))))</f>
        <v/>
      </c>
      <c r="S151" s="43" t="str">
        <f>IF(OR($B151="",$A151&gt;$B$9,S$149=""),"",IF(COUNTIFS(BD!$B$3:$B$5001,S$149,BD!$A$3:$A$5001,"&gt;="&amp;$C$7,BD!$A$3:$A$5001,"&lt;="&amp;$B151,BD!$M$3:$M$5001,"&lt;&gt;")=0,"",SUMIFS(BD!$M$3:$M$5001,BD!$B$3:$B$5001,S$149,BD!$A$3:$A$5001,_xlfn.MAXIFS(BD!$A$3:$A$5001,BD!$B$3:$B$5001,S$149,BD!$A$3:$A$5001,"&gt;="&amp;$C$7,BD!$A$3:$A$5001,"&lt;="&amp;$B151,BD!$M$3:$M$5001,"&lt;&gt;"))))</f>
        <v/>
      </c>
      <c r="T151" s="43" t="str">
        <f>IF(OR($B151="",$A151&gt;$B$9,T$149=""),"",IF(COUNTIFS(BD!$B$3:$B$5001,T$149,BD!$A$3:$A$5001,"&gt;="&amp;$C$7,BD!$A$3:$A$5001,"&lt;="&amp;$B151,BD!$M$3:$M$5001,"&lt;&gt;")=0,"",SUMIFS(BD!$M$3:$M$5001,BD!$B$3:$B$5001,T$149,BD!$A$3:$A$5001,_xlfn.MAXIFS(BD!$A$3:$A$5001,BD!$B$3:$B$5001,T$149,BD!$A$3:$A$5001,"&gt;="&amp;$C$7,BD!$A$3:$A$5001,"&lt;="&amp;$B151,BD!$M$3:$M$5001,"&lt;&gt;"))))</f>
        <v/>
      </c>
      <c r="U151" s="43" t="str">
        <f>IF(OR($B151="",$A151&gt;$B$9,U$149=""),"",IF(COUNTIFS(BD!$B$3:$B$5001,U$149,BD!$A$3:$A$5001,"&gt;="&amp;$C$7,BD!$A$3:$A$5001,"&lt;="&amp;$B151,BD!$M$3:$M$5001,"&lt;&gt;")=0,"",SUMIFS(BD!$M$3:$M$5001,BD!$B$3:$B$5001,U$149,BD!$A$3:$A$5001,_xlfn.MAXIFS(BD!$A$3:$A$5001,BD!$B$3:$B$5001,U$149,BD!$A$3:$A$5001,"&gt;="&amp;$C$7,BD!$A$3:$A$5001,"&lt;="&amp;$B151,BD!$M$3:$M$5001,"&lt;&gt;"))))</f>
        <v/>
      </c>
      <c r="V151" s="43" t="str">
        <f>IF(OR($B151="",$A151&gt;$B$9,V$149=""),"",IF(COUNTIFS(BD!$B$3:$B$5001,V$149,BD!$A$3:$A$5001,"&gt;="&amp;$C$7,BD!$A$3:$A$5001,"&lt;="&amp;$B151,BD!$M$3:$M$5001,"&lt;&gt;")=0,"",SUMIFS(BD!$M$3:$M$5001,BD!$B$3:$B$5001,V$149,BD!$A$3:$A$5001,_xlfn.MAXIFS(BD!$A$3:$A$5001,BD!$B$3:$B$5001,V$149,BD!$A$3:$A$5001,"&gt;="&amp;$C$7,BD!$A$3:$A$5001,"&lt;="&amp;$B151,BD!$M$3:$M$5001,"&lt;&gt;"))))</f>
        <v/>
      </c>
    </row>
    <row r="152">
      <c r="A152" s="38">
        <v>3</v>
      </c>
      <c r="B152" s="42">
        <f>$B$14</f>
        <v>46298</v>
      </c>
      <c r="C152" s="43" t="str">
        <f>IF(OR($B152="",$A152&gt;$B$9,C$149=""),"",IF(COUNTIFS(BD!$B$3:$B$5001,C$149,BD!$A$3:$A$5001,"&gt;="&amp;$C$7,BD!$A$3:$A$5001,"&lt;="&amp;$B152,BD!$M$3:$M$5001,"&lt;&gt;")=0,"",SUMIFS(BD!$M$3:$M$5001,BD!$B$3:$B$5001,C$149,BD!$A$3:$A$5001,_xlfn.MAXIFS(BD!$A$3:$A$5001,BD!$B$3:$B$5001,C$149,BD!$A$3:$A$5001,"&gt;="&amp;$C$7,BD!$A$3:$A$5001,"&lt;="&amp;$B152,BD!$M$3:$M$5001,"&lt;&gt;"))))</f>
        <v/>
      </c>
      <c r="D152" s="43" t="str">
        <f>IF(OR($B152="",$A152&gt;$B$9,D$149=""),"",IF(COUNTIFS(BD!$B$3:$B$5001,D$149,BD!$A$3:$A$5001,"&gt;="&amp;$C$7,BD!$A$3:$A$5001,"&lt;="&amp;$B152,BD!$M$3:$M$5001,"&lt;&gt;")=0,"",SUMIFS(BD!$M$3:$M$5001,BD!$B$3:$B$5001,D$149,BD!$A$3:$A$5001,_xlfn.MAXIFS(BD!$A$3:$A$5001,BD!$B$3:$B$5001,D$149,BD!$A$3:$A$5001,"&gt;="&amp;$C$7,BD!$A$3:$A$5001,"&lt;="&amp;$B152,BD!$M$3:$M$5001,"&lt;&gt;"))))</f>
        <v/>
      </c>
      <c r="E152" s="43" t="str">
        <f>IF(OR($B152="",$A152&gt;$B$9,E$149=""),"",IF(COUNTIFS(BD!$B$3:$B$5001,E$149,BD!$A$3:$A$5001,"&gt;="&amp;$C$7,BD!$A$3:$A$5001,"&lt;="&amp;$B152,BD!$M$3:$M$5001,"&lt;&gt;")=0,"",SUMIFS(BD!$M$3:$M$5001,BD!$B$3:$B$5001,E$149,BD!$A$3:$A$5001,_xlfn.MAXIFS(BD!$A$3:$A$5001,BD!$B$3:$B$5001,E$149,BD!$A$3:$A$5001,"&gt;="&amp;$C$7,BD!$A$3:$A$5001,"&lt;="&amp;$B152,BD!$M$3:$M$5001,"&lt;&gt;"))))</f>
        <v/>
      </c>
      <c r="F152" s="43" t="str">
        <f>IF(OR($B152="",$A152&gt;$B$9,F$149=""),"",IF(COUNTIFS(BD!$B$3:$B$5001,F$149,BD!$A$3:$A$5001,"&gt;="&amp;$C$7,BD!$A$3:$A$5001,"&lt;="&amp;$B152,BD!$M$3:$M$5001,"&lt;&gt;")=0,"",SUMIFS(BD!$M$3:$M$5001,BD!$B$3:$B$5001,F$149,BD!$A$3:$A$5001,_xlfn.MAXIFS(BD!$A$3:$A$5001,BD!$B$3:$B$5001,F$149,BD!$A$3:$A$5001,"&gt;="&amp;$C$7,BD!$A$3:$A$5001,"&lt;="&amp;$B152,BD!$M$3:$M$5001,"&lt;&gt;"))))</f>
        <v/>
      </c>
      <c r="G152" s="43" t="str">
        <f>IF(OR($B152="",$A152&gt;$B$9,G$149=""),"",IF(COUNTIFS(BD!$B$3:$B$5001,G$149,BD!$A$3:$A$5001,"&gt;="&amp;$C$7,BD!$A$3:$A$5001,"&lt;="&amp;$B152,BD!$M$3:$M$5001,"&lt;&gt;")=0,"",SUMIFS(BD!$M$3:$M$5001,BD!$B$3:$B$5001,G$149,BD!$A$3:$A$5001,_xlfn.MAXIFS(BD!$A$3:$A$5001,BD!$B$3:$B$5001,G$149,BD!$A$3:$A$5001,"&gt;="&amp;$C$7,BD!$A$3:$A$5001,"&lt;="&amp;$B152,BD!$M$3:$M$5001,"&lt;&gt;"))))</f>
        <v/>
      </c>
      <c r="H152" s="43" t="str">
        <f>IF(OR($B152="",$A152&gt;$B$9,H$149=""),"",IF(COUNTIFS(BD!$B$3:$B$5001,H$149,BD!$A$3:$A$5001,"&gt;="&amp;$C$7,BD!$A$3:$A$5001,"&lt;="&amp;$B152,BD!$M$3:$M$5001,"&lt;&gt;")=0,"",SUMIFS(BD!$M$3:$M$5001,BD!$B$3:$B$5001,H$149,BD!$A$3:$A$5001,_xlfn.MAXIFS(BD!$A$3:$A$5001,BD!$B$3:$B$5001,H$149,BD!$A$3:$A$5001,"&gt;="&amp;$C$7,BD!$A$3:$A$5001,"&lt;="&amp;$B152,BD!$M$3:$M$5001,"&lt;&gt;"))))</f>
        <v/>
      </c>
      <c r="I152" s="43" t="str">
        <f>IF(OR($B152="",$A152&gt;$B$9,I$149=""),"",IF(COUNTIFS(BD!$B$3:$B$5001,I$149,BD!$A$3:$A$5001,"&gt;="&amp;$C$7,BD!$A$3:$A$5001,"&lt;="&amp;$B152,BD!$M$3:$M$5001,"&lt;&gt;")=0,"",SUMIFS(BD!$M$3:$M$5001,BD!$B$3:$B$5001,I$149,BD!$A$3:$A$5001,_xlfn.MAXIFS(BD!$A$3:$A$5001,BD!$B$3:$B$5001,I$149,BD!$A$3:$A$5001,"&gt;="&amp;$C$7,BD!$A$3:$A$5001,"&lt;="&amp;$B152,BD!$M$3:$M$5001,"&lt;&gt;"))))</f>
        <v/>
      </c>
      <c r="J152" s="43" t="str">
        <f>IF(OR($B152="",$A152&gt;$B$9,J$149=""),"",IF(COUNTIFS(BD!$B$3:$B$5001,J$149,BD!$A$3:$A$5001,"&gt;="&amp;$C$7,BD!$A$3:$A$5001,"&lt;="&amp;$B152,BD!$M$3:$M$5001,"&lt;&gt;")=0,"",SUMIFS(BD!$M$3:$M$5001,BD!$B$3:$B$5001,J$149,BD!$A$3:$A$5001,_xlfn.MAXIFS(BD!$A$3:$A$5001,BD!$B$3:$B$5001,J$149,BD!$A$3:$A$5001,"&gt;="&amp;$C$7,BD!$A$3:$A$5001,"&lt;="&amp;$B152,BD!$M$3:$M$5001,"&lt;&gt;"))))</f>
        <v/>
      </c>
      <c r="K152" s="43" t="str">
        <f>IF(OR($B152="",$A152&gt;$B$9,K$149=""),"",IF(COUNTIFS(BD!$B$3:$B$5001,K$149,BD!$A$3:$A$5001,"&gt;="&amp;$C$7,BD!$A$3:$A$5001,"&lt;="&amp;$B152,BD!$M$3:$M$5001,"&lt;&gt;")=0,"",SUMIFS(BD!$M$3:$M$5001,BD!$B$3:$B$5001,K$149,BD!$A$3:$A$5001,_xlfn.MAXIFS(BD!$A$3:$A$5001,BD!$B$3:$B$5001,K$149,BD!$A$3:$A$5001,"&gt;="&amp;$C$7,BD!$A$3:$A$5001,"&lt;="&amp;$B152,BD!$M$3:$M$5001,"&lt;&gt;"))))</f>
        <v/>
      </c>
      <c r="L152" s="43" t="str">
        <f>IF(OR($B152="",$A152&gt;$B$9,L$149=""),"",IF(COUNTIFS(BD!$B$3:$B$5001,L$149,BD!$A$3:$A$5001,"&gt;="&amp;$C$7,BD!$A$3:$A$5001,"&lt;="&amp;$B152,BD!$M$3:$M$5001,"&lt;&gt;")=0,"",SUMIFS(BD!$M$3:$M$5001,BD!$B$3:$B$5001,L$149,BD!$A$3:$A$5001,_xlfn.MAXIFS(BD!$A$3:$A$5001,BD!$B$3:$B$5001,L$149,BD!$A$3:$A$5001,"&gt;="&amp;$C$7,BD!$A$3:$A$5001,"&lt;="&amp;$B152,BD!$M$3:$M$5001,"&lt;&gt;"))))</f>
        <v/>
      </c>
      <c r="M152" s="43" t="str">
        <f>IF(OR($B152="",$A152&gt;$B$9,M$149=""),"",IF(COUNTIFS(BD!$B$3:$B$5001,M$149,BD!$A$3:$A$5001,"&gt;="&amp;$C$7,BD!$A$3:$A$5001,"&lt;="&amp;$B152,BD!$M$3:$M$5001,"&lt;&gt;")=0,"",SUMIFS(BD!$M$3:$M$5001,BD!$B$3:$B$5001,M$149,BD!$A$3:$A$5001,_xlfn.MAXIFS(BD!$A$3:$A$5001,BD!$B$3:$B$5001,M$149,BD!$A$3:$A$5001,"&gt;="&amp;$C$7,BD!$A$3:$A$5001,"&lt;="&amp;$B152,BD!$M$3:$M$5001,"&lt;&gt;"))))</f>
        <v/>
      </c>
      <c r="N152" s="43" t="str">
        <f>IF(OR($B152="",$A152&gt;$B$9,N$149=""),"",IF(COUNTIFS(BD!$B$3:$B$5001,N$149,BD!$A$3:$A$5001,"&gt;="&amp;$C$7,BD!$A$3:$A$5001,"&lt;="&amp;$B152,BD!$M$3:$M$5001,"&lt;&gt;")=0,"",SUMIFS(BD!$M$3:$M$5001,BD!$B$3:$B$5001,N$149,BD!$A$3:$A$5001,_xlfn.MAXIFS(BD!$A$3:$A$5001,BD!$B$3:$B$5001,N$149,BD!$A$3:$A$5001,"&gt;="&amp;$C$7,BD!$A$3:$A$5001,"&lt;="&amp;$B152,BD!$M$3:$M$5001,"&lt;&gt;"))))</f>
        <v/>
      </c>
      <c r="O152" s="43" t="str">
        <f>IF(OR($B152="",$A152&gt;$B$9,O$149=""),"",IF(COUNTIFS(BD!$B$3:$B$5001,O$149,BD!$A$3:$A$5001,"&gt;="&amp;$C$7,BD!$A$3:$A$5001,"&lt;="&amp;$B152,BD!$M$3:$M$5001,"&lt;&gt;")=0,"",SUMIFS(BD!$M$3:$M$5001,BD!$B$3:$B$5001,O$149,BD!$A$3:$A$5001,_xlfn.MAXIFS(BD!$A$3:$A$5001,BD!$B$3:$B$5001,O$149,BD!$A$3:$A$5001,"&gt;="&amp;$C$7,BD!$A$3:$A$5001,"&lt;="&amp;$B152,BD!$M$3:$M$5001,"&lt;&gt;"))))</f>
        <v/>
      </c>
      <c r="P152" s="43" t="str">
        <f>IF(OR($B152="",$A152&gt;$B$9,P$149=""),"",IF(COUNTIFS(BD!$B$3:$B$5001,P$149,BD!$A$3:$A$5001,"&gt;="&amp;$C$7,BD!$A$3:$A$5001,"&lt;="&amp;$B152,BD!$M$3:$M$5001,"&lt;&gt;")=0,"",SUMIFS(BD!$M$3:$M$5001,BD!$B$3:$B$5001,P$149,BD!$A$3:$A$5001,_xlfn.MAXIFS(BD!$A$3:$A$5001,BD!$B$3:$B$5001,P$149,BD!$A$3:$A$5001,"&gt;="&amp;$C$7,BD!$A$3:$A$5001,"&lt;="&amp;$B152,BD!$M$3:$M$5001,"&lt;&gt;"))))</f>
        <v/>
      </c>
      <c r="Q152" s="43" t="str">
        <f>IF(OR($B152="",$A152&gt;$B$9,Q$149=""),"",IF(COUNTIFS(BD!$B$3:$B$5001,Q$149,BD!$A$3:$A$5001,"&gt;="&amp;$C$7,BD!$A$3:$A$5001,"&lt;="&amp;$B152,BD!$M$3:$M$5001,"&lt;&gt;")=0,"",SUMIFS(BD!$M$3:$M$5001,BD!$B$3:$B$5001,Q$149,BD!$A$3:$A$5001,_xlfn.MAXIFS(BD!$A$3:$A$5001,BD!$B$3:$B$5001,Q$149,BD!$A$3:$A$5001,"&gt;="&amp;$C$7,BD!$A$3:$A$5001,"&lt;="&amp;$B152,BD!$M$3:$M$5001,"&lt;&gt;"))))</f>
        <v/>
      </c>
      <c r="R152" s="43" t="str">
        <f>IF(OR($B152="",$A152&gt;$B$9,R$149=""),"",IF(COUNTIFS(BD!$B$3:$B$5001,R$149,BD!$A$3:$A$5001,"&gt;="&amp;$C$7,BD!$A$3:$A$5001,"&lt;="&amp;$B152,BD!$M$3:$M$5001,"&lt;&gt;")=0,"",SUMIFS(BD!$M$3:$M$5001,BD!$B$3:$B$5001,R$149,BD!$A$3:$A$5001,_xlfn.MAXIFS(BD!$A$3:$A$5001,BD!$B$3:$B$5001,R$149,BD!$A$3:$A$5001,"&gt;="&amp;$C$7,BD!$A$3:$A$5001,"&lt;="&amp;$B152,BD!$M$3:$M$5001,"&lt;&gt;"))))</f>
        <v/>
      </c>
      <c r="S152" s="43" t="str">
        <f>IF(OR($B152="",$A152&gt;$B$9,S$149=""),"",IF(COUNTIFS(BD!$B$3:$B$5001,S$149,BD!$A$3:$A$5001,"&gt;="&amp;$C$7,BD!$A$3:$A$5001,"&lt;="&amp;$B152,BD!$M$3:$M$5001,"&lt;&gt;")=0,"",SUMIFS(BD!$M$3:$M$5001,BD!$B$3:$B$5001,S$149,BD!$A$3:$A$5001,_xlfn.MAXIFS(BD!$A$3:$A$5001,BD!$B$3:$B$5001,S$149,BD!$A$3:$A$5001,"&gt;="&amp;$C$7,BD!$A$3:$A$5001,"&lt;="&amp;$B152,BD!$M$3:$M$5001,"&lt;&gt;"))))</f>
        <v/>
      </c>
      <c r="T152" s="43" t="str">
        <f>IF(OR($B152="",$A152&gt;$B$9,T$149=""),"",IF(COUNTIFS(BD!$B$3:$B$5001,T$149,BD!$A$3:$A$5001,"&gt;="&amp;$C$7,BD!$A$3:$A$5001,"&lt;="&amp;$B152,BD!$M$3:$M$5001,"&lt;&gt;")=0,"",SUMIFS(BD!$M$3:$M$5001,BD!$B$3:$B$5001,T$149,BD!$A$3:$A$5001,_xlfn.MAXIFS(BD!$A$3:$A$5001,BD!$B$3:$B$5001,T$149,BD!$A$3:$A$5001,"&gt;="&amp;$C$7,BD!$A$3:$A$5001,"&lt;="&amp;$B152,BD!$M$3:$M$5001,"&lt;&gt;"))))</f>
        <v/>
      </c>
      <c r="U152" s="43" t="str">
        <f>IF(OR($B152="",$A152&gt;$B$9,U$149=""),"",IF(COUNTIFS(BD!$B$3:$B$5001,U$149,BD!$A$3:$A$5001,"&gt;="&amp;$C$7,BD!$A$3:$A$5001,"&lt;="&amp;$B152,BD!$M$3:$M$5001,"&lt;&gt;")=0,"",SUMIFS(BD!$M$3:$M$5001,BD!$B$3:$B$5001,U$149,BD!$A$3:$A$5001,_xlfn.MAXIFS(BD!$A$3:$A$5001,BD!$B$3:$B$5001,U$149,BD!$A$3:$A$5001,"&gt;="&amp;$C$7,BD!$A$3:$A$5001,"&lt;="&amp;$B152,BD!$M$3:$M$5001,"&lt;&gt;"))))</f>
        <v/>
      </c>
      <c r="V152" s="43" t="str">
        <f>IF(OR($B152="",$A152&gt;$B$9,V$149=""),"",IF(COUNTIFS(BD!$B$3:$B$5001,V$149,BD!$A$3:$A$5001,"&gt;="&amp;$C$7,BD!$A$3:$A$5001,"&lt;="&amp;$B152,BD!$M$3:$M$5001,"&lt;&gt;")=0,"",SUMIFS(BD!$M$3:$M$5001,BD!$B$3:$B$5001,V$149,BD!$A$3:$A$5001,_xlfn.MAXIFS(BD!$A$3:$A$5001,BD!$B$3:$B$5001,V$149,BD!$A$3:$A$5001,"&gt;="&amp;$C$7,BD!$A$3:$A$5001,"&lt;="&amp;$B152,BD!$M$3:$M$5001,"&lt;&gt;"))))</f>
        <v/>
      </c>
    </row>
    <row r="153">
      <c r="A153" s="38">
        <v>4</v>
      </c>
      <c r="B153" s="42">
        <f>$B$15</f>
        <v>46299</v>
      </c>
      <c r="C153" s="43" t="str">
        <f>IF(OR($B153="",$A153&gt;$B$9,C$149=""),"",IF(COUNTIFS(BD!$B$3:$B$5001,C$149,BD!$A$3:$A$5001,"&gt;="&amp;$C$7,BD!$A$3:$A$5001,"&lt;="&amp;$B153,BD!$M$3:$M$5001,"&lt;&gt;")=0,"",SUMIFS(BD!$M$3:$M$5001,BD!$B$3:$B$5001,C$149,BD!$A$3:$A$5001,_xlfn.MAXIFS(BD!$A$3:$A$5001,BD!$B$3:$B$5001,C$149,BD!$A$3:$A$5001,"&gt;="&amp;$C$7,BD!$A$3:$A$5001,"&lt;="&amp;$B153,BD!$M$3:$M$5001,"&lt;&gt;"))))</f>
        <v/>
      </c>
      <c r="D153" s="43" t="str">
        <f>IF(OR($B153="",$A153&gt;$B$9,D$149=""),"",IF(COUNTIFS(BD!$B$3:$B$5001,D$149,BD!$A$3:$A$5001,"&gt;="&amp;$C$7,BD!$A$3:$A$5001,"&lt;="&amp;$B153,BD!$M$3:$M$5001,"&lt;&gt;")=0,"",SUMIFS(BD!$M$3:$M$5001,BD!$B$3:$B$5001,D$149,BD!$A$3:$A$5001,_xlfn.MAXIFS(BD!$A$3:$A$5001,BD!$B$3:$B$5001,D$149,BD!$A$3:$A$5001,"&gt;="&amp;$C$7,BD!$A$3:$A$5001,"&lt;="&amp;$B153,BD!$M$3:$M$5001,"&lt;&gt;"))))</f>
        <v/>
      </c>
      <c r="E153" s="43" t="str">
        <f>IF(OR($B153="",$A153&gt;$B$9,E$149=""),"",IF(COUNTIFS(BD!$B$3:$B$5001,E$149,BD!$A$3:$A$5001,"&gt;="&amp;$C$7,BD!$A$3:$A$5001,"&lt;="&amp;$B153,BD!$M$3:$M$5001,"&lt;&gt;")=0,"",SUMIFS(BD!$M$3:$M$5001,BD!$B$3:$B$5001,E$149,BD!$A$3:$A$5001,_xlfn.MAXIFS(BD!$A$3:$A$5001,BD!$B$3:$B$5001,E$149,BD!$A$3:$A$5001,"&gt;="&amp;$C$7,BD!$A$3:$A$5001,"&lt;="&amp;$B153,BD!$M$3:$M$5001,"&lt;&gt;"))))</f>
        <v/>
      </c>
      <c r="F153" s="43" t="str">
        <f>IF(OR($B153="",$A153&gt;$B$9,F$149=""),"",IF(COUNTIFS(BD!$B$3:$B$5001,F$149,BD!$A$3:$A$5001,"&gt;="&amp;$C$7,BD!$A$3:$A$5001,"&lt;="&amp;$B153,BD!$M$3:$M$5001,"&lt;&gt;")=0,"",SUMIFS(BD!$M$3:$M$5001,BD!$B$3:$B$5001,F$149,BD!$A$3:$A$5001,_xlfn.MAXIFS(BD!$A$3:$A$5001,BD!$B$3:$B$5001,F$149,BD!$A$3:$A$5001,"&gt;="&amp;$C$7,BD!$A$3:$A$5001,"&lt;="&amp;$B153,BD!$M$3:$M$5001,"&lt;&gt;"))))</f>
        <v/>
      </c>
      <c r="G153" s="43" t="str">
        <f>IF(OR($B153="",$A153&gt;$B$9,G$149=""),"",IF(COUNTIFS(BD!$B$3:$B$5001,G$149,BD!$A$3:$A$5001,"&gt;="&amp;$C$7,BD!$A$3:$A$5001,"&lt;="&amp;$B153,BD!$M$3:$M$5001,"&lt;&gt;")=0,"",SUMIFS(BD!$M$3:$M$5001,BD!$B$3:$B$5001,G$149,BD!$A$3:$A$5001,_xlfn.MAXIFS(BD!$A$3:$A$5001,BD!$B$3:$B$5001,G$149,BD!$A$3:$A$5001,"&gt;="&amp;$C$7,BD!$A$3:$A$5001,"&lt;="&amp;$B153,BD!$M$3:$M$5001,"&lt;&gt;"))))</f>
        <v/>
      </c>
      <c r="H153" s="43" t="str">
        <f>IF(OR($B153="",$A153&gt;$B$9,H$149=""),"",IF(COUNTIFS(BD!$B$3:$B$5001,H$149,BD!$A$3:$A$5001,"&gt;="&amp;$C$7,BD!$A$3:$A$5001,"&lt;="&amp;$B153,BD!$M$3:$M$5001,"&lt;&gt;")=0,"",SUMIFS(BD!$M$3:$M$5001,BD!$B$3:$B$5001,H$149,BD!$A$3:$A$5001,_xlfn.MAXIFS(BD!$A$3:$A$5001,BD!$B$3:$B$5001,H$149,BD!$A$3:$A$5001,"&gt;="&amp;$C$7,BD!$A$3:$A$5001,"&lt;="&amp;$B153,BD!$M$3:$M$5001,"&lt;&gt;"))))</f>
        <v/>
      </c>
      <c r="I153" s="43" t="str">
        <f>IF(OR($B153="",$A153&gt;$B$9,I$149=""),"",IF(COUNTIFS(BD!$B$3:$B$5001,I$149,BD!$A$3:$A$5001,"&gt;="&amp;$C$7,BD!$A$3:$A$5001,"&lt;="&amp;$B153,BD!$M$3:$M$5001,"&lt;&gt;")=0,"",SUMIFS(BD!$M$3:$M$5001,BD!$B$3:$B$5001,I$149,BD!$A$3:$A$5001,_xlfn.MAXIFS(BD!$A$3:$A$5001,BD!$B$3:$B$5001,I$149,BD!$A$3:$A$5001,"&gt;="&amp;$C$7,BD!$A$3:$A$5001,"&lt;="&amp;$B153,BD!$M$3:$M$5001,"&lt;&gt;"))))</f>
        <v/>
      </c>
      <c r="J153" s="43" t="str">
        <f>IF(OR($B153="",$A153&gt;$B$9,J$149=""),"",IF(COUNTIFS(BD!$B$3:$B$5001,J$149,BD!$A$3:$A$5001,"&gt;="&amp;$C$7,BD!$A$3:$A$5001,"&lt;="&amp;$B153,BD!$M$3:$M$5001,"&lt;&gt;")=0,"",SUMIFS(BD!$M$3:$M$5001,BD!$B$3:$B$5001,J$149,BD!$A$3:$A$5001,_xlfn.MAXIFS(BD!$A$3:$A$5001,BD!$B$3:$B$5001,J$149,BD!$A$3:$A$5001,"&gt;="&amp;$C$7,BD!$A$3:$A$5001,"&lt;="&amp;$B153,BD!$M$3:$M$5001,"&lt;&gt;"))))</f>
        <v/>
      </c>
      <c r="K153" s="43" t="str">
        <f>IF(OR($B153="",$A153&gt;$B$9,K$149=""),"",IF(COUNTIFS(BD!$B$3:$B$5001,K$149,BD!$A$3:$A$5001,"&gt;="&amp;$C$7,BD!$A$3:$A$5001,"&lt;="&amp;$B153,BD!$M$3:$M$5001,"&lt;&gt;")=0,"",SUMIFS(BD!$M$3:$M$5001,BD!$B$3:$B$5001,K$149,BD!$A$3:$A$5001,_xlfn.MAXIFS(BD!$A$3:$A$5001,BD!$B$3:$B$5001,K$149,BD!$A$3:$A$5001,"&gt;="&amp;$C$7,BD!$A$3:$A$5001,"&lt;="&amp;$B153,BD!$M$3:$M$5001,"&lt;&gt;"))))</f>
        <v/>
      </c>
      <c r="L153" s="43" t="str">
        <f>IF(OR($B153="",$A153&gt;$B$9,L$149=""),"",IF(COUNTIFS(BD!$B$3:$B$5001,L$149,BD!$A$3:$A$5001,"&gt;="&amp;$C$7,BD!$A$3:$A$5001,"&lt;="&amp;$B153,BD!$M$3:$M$5001,"&lt;&gt;")=0,"",SUMIFS(BD!$M$3:$M$5001,BD!$B$3:$B$5001,L$149,BD!$A$3:$A$5001,_xlfn.MAXIFS(BD!$A$3:$A$5001,BD!$B$3:$B$5001,L$149,BD!$A$3:$A$5001,"&gt;="&amp;$C$7,BD!$A$3:$A$5001,"&lt;="&amp;$B153,BD!$M$3:$M$5001,"&lt;&gt;"))))</f>
        <v/>
      </c>
      <c r="M153" s="43" t="str">
        <f>IF(OR($B153="",$A153&gt;$B$9,M$149=""),"",IF(COUNTIFS(BD!$B$3:$B$5001,M$149,BD!$A$3:$A$5001,"&gt;="&amp;$C$7,BD!$A$3:$A$5001,"&lt;="&amp;$B153,BD!$M$3:$M$5001,"&lt;&gt;")=0,"",SUMIFS(BD!$M$3:$M$5001,BD!$B$3:$B$5001,M$149,BD!$A$3:$A$5001,_xlfn.MAXIFS(BD!$A$3:$A$5001,BD!$B$3:$B$5001,M$149,BD!$A$3:$A$5001,"&gt;="&amp;$C$7,BD!$A$3:$A$5001,"&lt;="&amp;$B153,BD!$M$3:$M$5001,"&lt;&gt;"))))</f>
        <v/>
      </c>
      <c r="N153" s="43" t="str">
        <f>IF(OR($B153="",$A153&gt;$B$9,N$149=""),"",IF(COUNTIFS(BD!$B$3:$B$5001,N$149,BD!$A$3:$A$5001,"&gt;="&amp;$C$7,BD!$A$3:$A$5001,"&lt;="&amp;$B153,BD!$M$3:$M$5001,"&lt;&gt;")=0,"",SUMIFS(BD!$M$3:$M$5001,BD!$B$3:$B$5001,N$149,BD!$A$3:$A$5001,_xlfn.MAXIFS(BD!$A$3:$A$5001,BD!$B$3:$B$5001,N$149,BD!$A$3:$A$5001,"&gt;="&amp;$C$7,BD!$A$3:$A$5001,"&lt;="&amp;$B153,BD!$M$3:$M$5001,"&lt;&gt;"))))</f>
        <v/>
      </c>
      <c r="O153" s="43" t="str">
        <f>IF(OR($B153="",$A153&gt;$B$9,O$149=""),"",IF(COUNTIFS(BD!$B$3:$B$5001,O$149,BD!$A$3:$A$5001,"&gt;="&amp;$C$7,BD!$A$3:$A$5001,"&lt;="&amp;$B153,BD!$M$3:$M$5001,"&lt;&gt;")=0,"",SUMIFS(BD!$M$3:$M$5001,BD!$B$3:$B$5001,O$149,BD!$A$3:$A$5001,_xlfn.MAXIFS(BD!$A$3:$A$5001,BD!$B$3:$B$5001,O$149,BD!$A$3:$A$5001,"&gt;="&amp;$C$7,BD!$A$3:$A$5001,"&lt;="&amp;$B153,BD!$M$3:$M$5001,"&lt;&gt;"))))</f>
        <v/>
      </c>
      <c r="P153" s="43" t="str">
        <f>IF(OR($B153="",$A153&gt;$B$9,P$149=""),"",IF(COUNTIFS(BD!$B$3:$B$5001,P$149,BD!$A$3:$A$5001,"&gt;="&amp;$C$7,BD!$A$3:$A$5001,"&lt;="&amp;$B153,BD!$M$3:$M$5001,"&lt;&gt;")=0,"",SUMIFS(BD!$M$3:$M$5001,BD!$B$3:$B$5001,P$149,BD!$A$3:$A$5001,_xlfn.MAXIFS(BD!$A$3:$A$5001,BD!$B$3:$B$5001,P$149,BD!$A$3:$A$5001,"&gt;="&amp;$C$7,BD!$A$3:$A$5001,"&lt;="&amp;$B153,BD!$M$3:$M$5001,"&lt;&gt;"))))</f>
        <v/>
      </c>
      <c r="Q153" s="43" t="str">
        <f>IF(OR($B153="",$A153&gt;$B$9,Q$149=""),"",IF(COUNTIFS(BD!$B$3:$B$5001,Q$149,BD!$A$3:$A$5001,"&gt;="&amp;$C$7,BD!$A$3:$A$5001,"&lt;="&amp;$B153,BD!$M$3:$M$5001,"&lt;&gt;")=0,"",SUMIFS(BD!$M$3:$M$5001,BD!$B$3:$B$5001,Q$149,BD!$A$3:$A$5001,_xlfn.MAXIFS(BD!$A$3:$A$5001,BD!$B$3:$B$5001,Q$149,BD!$A$3:$A$5001,"&gt;="&amp;$C$7,BD!$A$3:$A$5001,"&lt;="&amp;$B153,BD!$M$3:$M$5001,"&lt;&gt;"))))</f>
        <v/>
      </c>
      <c r="R153" s="43" t="str">
        <f>IF(OR($B153="",$A153&gt;$B$9,R$149=""),"",IF(COUNTIFS(BD!$B$3:$B$5001,R$149,BD!$A$3:$A$5001,"&gt;="&amp;$C$7,BD!$A$3:$A$5001,"&lt;="&amp;$B153,BD!$M$3:$M$5001,"&lt;&gt;")=0,"",SUMIFS(BD!$M$3:$M$5001,BD!$B$3:$B$5001,R$149,BD!$A$3:$A$5001,_xlfn.MAXIFS(BD!$A$3:$A$5001,BD!$B$3:$B$5001,R$149,BD!$A$3:$A$5001,"&gt;="&amp;$C$7,BD!$A$3:$A$5001,"&lt;="&amp;$B153,BD!$M$3:$M$5001,"&lt;&gt;"))))</f>
        <v/>
      </c>
      <c r="S153" s="43" t="str">
        <f>IF(OR($B153="",$A153&gt;$B$9,S$149=""),"",IF(COUNTIFS(BD!$B$3:$B$5001,S$149,BD!$A$3:$A$5001,"&gt;="&amp;$C$7,BD!$A$3:$A$5001,"&lt;="&amp;$B153,BD!$M$3:$M$5001,"&lt;&gt;")=0,"",SUMIFS(BD!$M$3:$M$5001,BD!$B$3:$B$5001,S$149,BD!$A$3:$A$5001,_xlfn.MAXIFS(BD!$A$3:$A$5001,BD!$B$3:$B$5001,S$149,BD!$A$3:$A$5001,"&gt;="&amp;$C$7,BD!$A$3:$A$5001,"&lt;="&amp;$B153,BD!$M$3:$M$5001,"&lt;&gt;"))))</f>
        <v/>
      </c>
      <c r="T153" s="43" t="str">
        <f>IF(OR($B153="",$A153&gt;$B$9,T$149=""),"",IF(COUNTIFS(BD!$B$3:$B$5001,T$149,BD!$A$3:$A$5001,"&gt;="&amp;$C$7,BD!$A$3:$A$5001,"&lt;="&amp;$B153,BD!$M$3:$M$5001,"&lt;&gt;")=0,"",SUMIFS(BD!$M$3:$M$5001,BD!$B$3:$B$5001,T$149,BD!$A$3:$A$5001,_xlfn.MAXIFS(BD!$A$3:$A$5001,BD!$B$3:$B$5001,T$149,BD!$A$3:$A$5001,"&gt;="&amp;$C$7,BD!$A$3:$A$5001,"&lt;="&amp;$B153,BD!$M$3:$M$5001,"&lt;&gt;"))))</f>
        <v/>
      </c>
      <c r="U153" s="43" t="str">
        <f>IF(OR($B153="",$A153&gt;$B$9,U$149=""),"",IF(COUNTIFS(BD!$B$3:$B$5001,U$149,BD!$A$3:$A$5001,"&gt;="&amp;$C$7,BD!$A$3:$A$5001,"&lt;="&amp;$B153,BD!$M$3:$M$5001,"&lt;&gt;")=0,"",SUMIFS(BD!$M$3:$M$5001,BD!$B$3:$B$5001,U$149,BD!$A$3:$A$5001,_xlfn.MAXIFS(BD!$A$3:$A$5001,BD!$B$3:$B$5001,U$149,BD!$A$3:$A$5001,"&gt;="&amp;$C$7,BD!$A$3:$A$5001,"&lt;="&amp;$B153,BD!$M$3:$M$5001,"&lt;&gt;"))))</f>
        <v/>
      </c>
      <c r="V153" s="43" t="str">
        <f>IF(OR($B153="",$A153&gt;$B$9,V$149=""),"",IF(COUNTIFS(BD!$B$3:$B$5001,V$149,BD!$A$3:$A$5001,"&gt;="&amp;$C$7,BD!$A$3:$A$5001,"&lt;="&amp;$B153,BD!$M$3:$M$5001,"&lt;&gt;")=0,"",SUMIFS(BD!$M$3:$M$5001,BD!$B$3:$B$5001,V$149,BD!$A$3:$A$5001,_xlfn.MAXIFS(BD!$A$3:$A$5001,BD!$B$3:$B$5001,V$149,BD!$A$3:$A$5001,"&gt;="&amp;$C$7,BD!$A$3:$A$5001,"&lt;="&amp;$B153,BD!$M$3:$M$5001,"&lt;&gt;"))))</f>
        <v/>
      </c>
    </row>
    <row r="154">
      <c r="A154" s="38">
        <v>5</v>
      </c>
      <c r="B154" s="42">
        <f>$B$16</f>
        <v>46300</v>
      </c>
      <c r="C154" s="43" t="str">
        <f>IF(OR($B154="",$A154&gt;$B$9,C$149=""),"",IF(COUNTIFS(BD!$B$3:$B$5001,C$149,BD!$A$3:$A$5001,"&gt;="&amp;$C$7,BD!$A$3:$A$5001,"&lt;="&amp;$B154,BD!$M$3:$M$5001,"&lt;&gt;")=0,"",SUMIFS(BD!$M$3:$M$5001,BD!$B$3:$B$5001,C$149,BD!$A$3:$A$5001,_xlfn.MAXIFS(BD!$A$3:$A$5001,BD!$B$3:$B$5001,C$149,BD!$A$3:$A$5001,"&gt;="&amp;$C$7,BD!$A$3:$A$5001,"&lt;="&amp;$B154,BD!$M$3:$M$5001,"&lt;&gt;"))))</f>
        <v/>
      </c>
      <c r="D154" s="43" t="str">
        <f>IF(OR($B154="",$A154&gt;$B$9,D$149=""),"",IF(COUNTIFS(BD!$B$3:$B$5001,D$149,BD!$A$3:$A$5001,"&gt;="&amp;$C$7,BD!$A$3:$A$5001,"&lt;="&amp;$B154,BD!$M$3:$M$5001,"&lt;&gt;")=0,"",SUMIFS(BD!$M$3:$M$5001,BD!$B$3:$B$5001,D$149,BD!$A$3:$A$5001,_xlfn.MAXIFS(BD!$A$3:$A$5001,BD!$B$3:$B$5001,D$149,BD!$A$3:$A$5001,"&gt;="&amp;$C$7,BD!$A$3:$A$5001,"&lt;="&amp;$B154,BD!$M$3:$M$5001,"&lt;&gt;"))))</f>
        <v/>
      </c>
      <c r="E154" s="43" t="str">
        <f>IF(OR($B154="",$A154&gt;$B$9,E$149=""),"",IF(COUNTIFS(BD!$B$3:$B$5001,E$149,BD!$A$3:$A$5001,"&gt;="&amp;$C$7,BD!$A$3:$A$5001,"&lt;="&amp;$B154,BD!$M$3:$M$5001,"&lt;&gt;")=0,"",SUMIFS(BD!$M$3:$M$5001,BD!$B$3:$B$5001,E$149,BD!$A$3:$A$5001,_xlfn.MAXIFS(BD!$A$3:$A$5001,BD!$B$3:$B$5001,E$149,BD!$A$3:$A$5001,"&gt;="&amp;$C$7,BD!$A$3:$A$5001,"&lt;="&amp;$B154,BD!$M$3:$M$5001,"&lt;&gt;"))))</f>
        <v/>
      </c>
      <c r="F154" s="43" t="str">
        <f>IF(OR($B154="",$A154&gt;$B$9,F$149=""),"",IF(COUNTIFS(BD!$B$3:$B$5001,F$149,BD!$A$3:$A$5001,"&gt;="&amp;$C$7,BD!$A$3:$A$5001,"&lt;="&amp;$B154,BD!$M$3:$M$5001,"&lt;&gt;")=0,"",SUMIFS(BD!$M$3:$M$5001,BD!$B$3:$B$5001,F$149,BD!$A$3:$A$5001,_xlfn.MAXIFS(BD!$A$3:$A$5001,BD!$B$3:$B$5001,F$149,BD!$A$3:$A$5001,"&gt;="&amp;$C$7,BD!$A$3:$A$5001,"&lt;="&amp;$B154,BD!$M$3:$M$5001,"&lt;&gt;"))))</f>
        <v/>
      </c>
      <c r="G154" s="43" t="str">
        <f>IF(OR($B154="",$A154&gt;$B$9,G$149=""),"",IF(COUNTIFS(BD!$B$3:$B$5001,G$149,BD!$A$3:$A$5001,"&gt;="&amp;$C$7,BD!$A$3:$A$5001,"&lt;="&amp;$B154,BD!$M$3:$M$5001,"&lt;&gt;")=0,"",SUMIFS(BD!$M$3:$M$5001,BD!$B$3:$B$5001,G$149,BD!$A$3:$A$5001,_xlfn.MAXIFS(BD!$A$3:$A$5001,BD!$B$3:$B$5001,G$149,BD!$A$3:$A$5001,"&gt;="&amp;$C$7,BD!$A$3:$A$5001,"&lt;="&amp;$B154,BD!$M$3:$M$5001,"&lt;&gt;"))))</f>
        <v/>
      </c>
      <c r="H154" s="43" t="str">
        <f>IF(OR($B154="",$A154&gt;$B$9,H$149=""),"",IF(COUNTIFS(BD!$B$3:$B$5001,H$149,BD!$A$3:$A$5001,"&gt;="&amp;$C$7,BD!$A$3:$A$5001,"&lt;="&amp;$B154,BD!$M$3:$M$5001,"&lt;&gt;")=0,"",SUMIFS(BD!$M$3:$M$5001,BD!$B$3:$B$5001,H$149,BD!$A$3:$A$5001,_xlfn.MAXIFS(BD!$A$3:$A$5001,BD!$B$3:$B$5001,H$149,BD!$A$3:$A$5001,"&gt;="&amp;$C$7,BD!$A$3:$A$5001,"&lt;="&amp;$B154,BD!$M$3:$M$5001,"&lt;&gt;"))))</f>
        <v/>
      </c>
      <c r="I154" s="43" t="str">
        <f>IF(OR($B154="",$A154&gt;$B$9,I$149=""),"",IF(COUNTIFS(BD!$B$3:$B$5001,I$149,BD!$A$3:$A$5001,"&gt;="&amp;$C$7,BD!$A$3:$A$5001,"&lt;="&amp;$B154,BD!$M$3:$M$5001,"&lt;&gt;")=0,"",SUMIFS(BD!$M$3:$M$5001,BD!$B$3:$B$5001,I$149,BD!$A$3:$A$5001,_xlfn.MAXIFS(BD!$A$3:$A$5001,BD!$B$3:$B$5001,I$149,BD!$A$3:$A$5001,"&gt;="&amp;$C$7,BD!$A$3:$A$5001,"&lt;="&amp;$B154,BD!$M$3:$M$5001,"&lt;&gt;"))))</f>
        <v/>
      </c>
      <c r="J154" s="43" t="str">
        <f>IF(OR($B154="",$A154&gt;$B$9,J$149=""),"",IF(COUNTIFS(BD!$B$3:$B$5001,J$149,BD!$A$3:$A$5001,"&gt;="&amp;$C$7,BD!$A$3:$A$5001,"&lt;="&amp;$B154,BD!$M$3:$M$5001,"&lt;&gt;")=0,"",SUMIFS(BD!$M$3:$M$5001,BD!$B$3:$B$5001,J$149,BD!$A$3:$A$5001,_xlfn.MAXIFS(BD!$A$3:$A$5001,BD!$B$3:$B$5001,J$149,BD!$A$3:$A$5001,"&gt;="&amp;$C$7,BD!$A$3:$A$5001,"&lt;="&amp;$B154,BD!$M$3:$M$5001,"&lt;&gt;"))))</f>
        <v/>
      </c>
      <c r="K154" s="43" t="str">
        <f>IF(OR($B154="",$A154&gt;$B$9,K$149=""),"",IF(COUNTIFS(BD!$B$3:$B$5001,K$149,BD!$A$3:$A$5001,"&gt;="&amp;$C$7,BD!$A$3:$A$5001,"&lt;="&amp;$B154,BD!$M$3:$M$5001,"&lt;&gt;")=0,"",SUMIFS(BD!$M$3:$M$5001,BD!$B$3:$B$5001,K$149,BD!$A$3:$A$5001,_xlfn.MAXIFS(BD!$A$3:$A$5001,BD!$B$3:$B$5001,K$149,BD!$A$3:$A$5001,"&gt;="&amp;$C$7,BD!$A$3:$A$5001,"&lt;="&amp;$B154,BD!$M$3:$M$5001,"&lt;&gt;"))))</f>
        <v/>
      </c>
      <c r="L154" s="43" t="str">
        <f>IF(OR($B154="",$A154&gt;$B$9,L$149=""),"",IF(COUNTIFS(BD!$B$3:$B$5001,L$149,BD!$A$3:$A$5001,"&gt;="&amp;$C$7,BD!$A$3:$A$5001,"&lt;="&amp;$B154,BD!$M$3:$M$5001,"&lt;&gt;")=0,"",SUMIFS(BD!$M$3:$M$5001,BD!$B$3:$B$5001,L$149,BD!$A$3:$A$5001,_xlfn.MAXIFS(BD!$A$3:$A$5001,BD!$B$3:$B$5001,L$149,BD!$A$3:$A$5001,"&gt;="&amp;$C$7,BD!$A$3:$A$5001,"&lt;="&amp;$B154,BD!$M$3:$M$5001,"&lt;&gt;"))))</f>
        <v/>
      </c>
      <c r="M154" s="43" t="str">
        <f>IF(OR($B154="",$A154&gt;$B$9,M$149=""),"",IF(COUNTIFS(BD!$B$3:$B$5001,M$149,BD!$A$3:$A$5001,"&gt;="&amp;$C$7,BD!$A$3:$A$5001,"&lt;="&amp;$B154,BD!$M$3:$M$5001,"&lt;&gt;")=0,"",SUMIFS(BD!$M$3:$M$5001,BD!$B$3:$B$5001,M$149,BD!$A$3:$A$5001,_xlfn.MAXIFS(BD!$A$3:$A$5001,BD!$B$3:$B$5001,M$149,BD!$A$3:$A$5001,"&gt;="&amp;$C$7,BD!$A$3:$A$5001,"&lt;="&amp;$B154,BD!$M$3:$M$5001,"&lt;&gt;"))))</f>
        <v/>
      </c>
      <c r="N154" s="43" t="str">
        <f>IF(OR($B154="",$A154&gt;$B$9,N$149=""),"",IF(COUNTIFS(BD!$B$3:$B$5001,N$149,BD!$A$3:$A$5001,"&gt;="&amp;$C$7,BD!$A$3:$A$5001,"&lt;="&amp;$B154,BD!$M$3:$M$5001,"&lt;&gt;")=0,"",SUMIFS(BD!$M$3:$M$5001,BD!$B$3:$B$5001,N$149,BD!$A$3:$A$5001,_xlfn.MAXIFS(BD!$A$3:$A$5001,BD!$B$3:$B$5001,N$149,BD!$A$3:$A$5001,"&gt;="&amp;$C$7,BD!$A$3:$A$5001,"&lt;="&amp;$B154,BD!$M$3:$M$5001,"&lt;&gt;"))))</f>
        <v/>
      </c>
      <c r="O154" s="43" t="str">
        <f>IF(OR($B154="",$A154&gt;$B$9,O$149=""),"",IF(COUNTIFS(BD!$B$3:$B$5001,O$149,BD!$A$3:$A$5001,"&gt;="&amp;$C$7,BD!$A$3:$A$5001,"&lt;="&amp;$B154,BD!$M$3:$M$5001,"&lt;&gt;")=0,"",SUMIFS(BD!$M$3:$M$5001,BD!$B$3:$B$5001,O$149,BD!$A$3:$A$5001,_xlfn.MAXIFS(BD!$A$3:$A$5001,BD!$B$3:$B$5001,O$149,BD!$A$3:$A$5001,"&gt;="&amp;$C$7,BD!$A$3:$A$5001,"&lt;="&amp;$B154,BD!$M$3:$M$5001,"&lt;&gt;"))))</f>
        <v/>
      </c>
      <c r="P154" s="43" t="str">
        <f>IF(OR($B154="",$A154&gt;$B$9,P$149=""),"",IF(COUNTIFS(BD!$B$3:$B$5001,P$149,BD!$A$3:$A$5001,"&gt;="&amp;$C$7,BD!$A$3:$A$5001,"&lt;="&amp;$B154,BD!$M$3:$M$5001,"&lt;&gt;")=0,"",SUMIFS(BD!$M$3:$M$5001,BD!$B$3:$B$5001,P$149,BD!$A$3:$A$5001,_xlfn.MAXIFS(BD!$A$3:$A$5001,BD!$B$3:$B$5001,P$149,BD!$A$3:$A$5001,"&gt;="&amp;$C$7,BD!$A$3:$A$5001,"&lt;="&amp;$B154,BD!$M$3:$M$5001,"&lt;&gt;"))))</f>
        <v/>
      </c>
      <c r="Q154" s="43" t="str">
        <f>IF(OR($B154="",$A154&gt;$B$9,Q$149=""),"",IF(COUNTIFS(BD!$B$3:$B$5001,Q$149,BD!$A$3:$A$5001,"&gt;="&amp;$C$7,BD!$A$3:$A$5001,"&lt;="&amp;$B154,BD!$M$3:$M$5001,"&lt;&gt;")=0,"",SUMIFS(BD!$M$3:$M$5001,BD!$B$3:$B$5001,Q$149,BD!$A$3:$A$5001,_xlfn.MAXIFS(BD!$A$3:$A$5001,BD!$B$3:$B$5001,Q$149,BD!$A$3:$A$5001,"&gt;="&amp;$C$7,BD!$A$3:$A$5001,"&lt;="&amp;$B154,BD!$M$3:$M$5001,"&lt;&gt;"))))</f>
        <v/>
      </c>
      <c r="R154" s="43" t="str">
        <f>IF(OR($B154="",$A154&gt;$B$9,R$149=""),"",IF(COUNTIFS(BD!$B$3:$B$5001,R$149,BD!$A$3:$A$5001,"&gt;="&amp;$C$7,BD!$A$3:$A$5001,"&lt;="&amp;$B154,BD!$M$3:$M$5001,"&lt;&gt;")=0,"",SUMIFS(BD!$M$3:$M$5001,BD!$B$3:$B$5001,R$149,BD!$A$3:$A$5001,_xlfn.MAXIFS(BD!$A$3:$A$5001,BD!$B$3:$B$5001,R$149,BD!$A$3:$A$5001,"&gt;="&amp;$C$7,BD!$A$3:$A$5001,"&lt;="&amp;$B154,BD!$M$3:$M$5001,"&lt;&gt;"))))</f>
        <v/>
      </c>
      <c r="S154" s="43" t="str">
        <f>IF(OR($B154="",$A154&gt;$B$9,S$149=""),"",IF(COUNTIFS(BD!$B$3:$B$5001,S$149,BD!$A$3:$A$5001,"&gt;="&amp;$C$7,BD!$A$3:$A$5001,"&lt;="&amp;$B154,BD!$M$3:$M$5001,"&lt;&gt;")=0,"",SUMIFS(BD!$M$3:$M$5001,BD!$B$3:$B$5001,S$149,BD!$A$3:$A$5001,_xlfn.MAXIFS(BD!$A$3:$A$5001,BD!$B$3:$B$5001,S$149,BD!$A$3:$A$5001,"&gt;="&amp;$C$7,BD!$A$3:$A$5001,"&lt;="&amp;$B154,BD!$M$3:$M$5001,"&lt;&gt;"))))</f>
        <v/>
      </c>
      <c r="T154" s="43" t="str">
        <f>IF(OR($B154="",$A154&gt;$B$9,T$149=""),"",IF(COUNTIFS(BD!$B$3:$B$5001,T$149,BD!$A$3:$A$5001,"&gt;="&amp;$C$7,BD!$A$3:$A$5001,"&lt;="&amp;$B154,BD!$M$3:$M$5001,"&lt;&gt;")=0,"",SUMIFS(BD!$M$3:$M$5001,BD!$B$3:$B$5001,T$149,BD!$A$3:$A$5001,_xlfn.MAXIFS(BD!$A$3:$A$5001,BD!$B$3:$B$5001,T$149,BD!$A$3:$A$5001,"&gt;="&amp;$C$7,BD!$A$3:$A$5001,"&lt;="&amp;$B154,BD!$M$3:$M$5001,"&lt;&gt;"))))</f>
        <v/>
      </c>
      <c r="U154" s="43" t="str">
        <f>IF(OR($B154="",$A154&gt;$B$9,U$149=""),"",IF(COUNTIFS(BD!$B$3:$B$5001,U$149,BD!$A$3:$A$5001,"&gt;="&amp;$C$7,BD!$A$3:$A$5001,"&lt;="&amp;$B154,BD!$M$3:$M$5001,"&lt;&gt;")=0,"",SUMIFS(BD!$M$3:$M$5001,BD!$B$3:$B$5001,U$149,BD!$A$3:$A$5001,_xlfn.MAXIFS(BD!$A$3:$A$5001,BD!$B$3:$B$5001,U$149,BD!$A$3:$A$5001,"&gt;="&amp;$C$7,BD!$A$3:$A$5001,"&lt;="&amp;$B154,BD!$M$3:$M$5001,"&lt;&gt;"))))</f>
        <v/>
      </c>
      <c r="V154" s="43" t="str">
        <f>IF(OR($B154="",$A154&gt;$B$9,V$149=""),"",IF(COUNTIFS(BD!$B$3:$B$5001,V$149,BD!$A$3:$A$5001,"&gt;="&amp;$C$7,BD!$A$3:$A$5001,"&lt;="&amp;$B154,BD!$M$3:$M$5001,"&lt;&gt;")=0,"",SUMIFS(BD!$M$3:$M$5001,BD!$B$3:$B$5001,V$149,BD!$A$3:$A$5001,_xlfn.MAXIFS(BD!$A$3:$A$5001,BD!$B$3:$B$5001,V$149,BD!$A$3:$A$5001,"&gt;="&amp;$C$7,BD!$A$3:$A$5001,"&lt;="&amp;$B154,BD!$M$3:$M$5001,"&lt;&gt;"))))</f>
        <v/>
      </c>
    </row>
    <row r="155">
      <c r="A155" s="38">
        <v>6</v>
      </c>
      <c r="B155" s="42">
        <f>$B$17</f>
        <v>46301</v>
      </c>
      <c r="C155" s="43" t="str">
        <f>IF(OR($B155="",$A155&gt;$B$9,C$149=""),"",IF(COUNTIFS(BD!$B$3:$B$5001,C$149,BD!$A$3:$A$5001,"&gt;="&amp;$C$7,BD!$A$3:$A$5001,"&lt;="&amp;$B155,BD!$M$3:$M$5001,"&lt;&gt;")=0,"",SUMIFS(BD!$M$3:$M$5001,BD!$B$3:$B$5001,C$149,BD!$A$3:$A$5001,_xlfn.MAXIFS(BD!$A$3:$A$5001,BD!$B$3:$B$5001,C$149,BD!$A$3:$A$5001,"&gt;="&amp;$C$7,BD!$A$3:$A$5001,"&lt;="&amp;$B155,BD!$M$3:$M$5001,"&lt;&gt;"))))</f>
        <v/>
      </c>
      <c r="D155" s="43" t="str">
        <f>IF(OR($B155="",$A155&gt;$B$9,D$149=""),"",IF(COUNTIFS(BD!$B$3:$B$5001,D$149,BD!$A$3:$A$5001,"&gt;="&amp;$C$7,BD!$A$3:$A$5001,"&lt;="&amp;$B155,BD!$M$3:$M$5001,"&lt;&gt;")=0,"",SUMIFS(BD!$M$3:$M$5001,BD!$B$3:$B$5001,D$149,BD!$A$3:$A$5001,_xlfn.MAXIFS(BD!$A$3:$A$5001,BD!$B$3:$B$5001,D$149,BD!$A$3:$A$5001,"&gt;="&amp;$C$7,BD!$A$3:$A$5001,"&lt;="&amp;$B155,BD!$M$3:$M$5001,"&lt;&gt;"))))</f>
        <v/>
      </c>
      <c r="E155" s="43" t="str">
        <f>IF(OR($B155="",$A155&gt;$B$9,E$149=""),"",IF(COUNTIFS(BD!$B$3:$B$5001,E$149,BD!$A$3:$A$5001,"&gt;="&amp;$C$7,BD!$A$3:$A$5001,"&lt;="&amp;$B155,BD!$M$3:$M$5001,"&lt;&gt;")=0,"",SUMIFS(BD!$M$3:$M$5001,BD!$B$3:$B$5001,E$149,BD!$A$3:$A$5001,_xlfn.MAXIFS(BD!$A$3:$A$5001,BD!$B$3:$B$5001,E$149,BD!$A$3:$A$5001,"&gt;="&amp;$C$7,BD!$A$3:$A$5001,"&lt;="&amp;$B155,BD!$M$3:$M$5001,"&lt;&gt;"))))</f>
        <v/>
      </c>
      <c r="F155" s="43" t="str">
        <f>IF(OR($B155="",$A155&gt;$B$9,F$149=""),"",IF(COUNTIFS(BD!$B$3:$B$5001,F$149,BD!$A$3:$A$5001,"&gt;="&amp;$C$7,BD!$A$3:$A$5001,"&lt;="&amp;$B155,BD!$M$3:$M$5001,"&lt;&gt;")=0,"",SUMIFS(BD!$M$3:$M$5001,BD!$B$3:$B$5001,F$149,BD!$A$3:$A$5001,_xlfn.MAXIFS(BD!$A$3:$A$5001,BD!$B$3:$B$5001,F$149,BD!$A$3:$A$5001,"&gt;="&amp;$C$7,BD!$A$3:$A$5001,"&lt;="&amp;$B155,BD!$M$3:$M$5001,"&lt;&gt;"))))</f>
        <v/>
      </c>
      <c r="G155" s="43" t="str">
        <f>IF(OR($B155="",$A155&gt;$B$9,G$149=""),"",IF(COUNTIFS(BD!$B$3:$B$5001,G$149,BD!$A$3:$A$5001,"&gt;="&amp;$C$7,BD!$A$3:$A$5001,"&lt;="&amp;$B155,BD!$M$3:$M$5001,"&lt;&gt;")=0,"",SUMIFS(BD!$M$3:$M$5001,BD!$B$3:$B$5001,G$149,BD!$A$3:$A$5001,_xlfn.MAXIFS(BD!$A$3:$A$5001,BD!$B$3:$B$5001,G$149,BD!$A$3:$A$5001,"&gt;="&amp;$C$7,BD!$A$3:$A$5001,"&lt;="&amp;$B155,BD!$M$3:$M$5001,"&lt;&gt;"))))</f>
        <v/>
      </c>
      <c r="H155" s="43" t="str">
        <f>IF(OR($B155="",$A155&gt;$B$9,H$149=""),"",IF(COUNTIFS(BD!$B$3:$B$5001,H$149,BD!$A$3:$A$5001,"&gt;="&amp;$C$7,BD!$A$3:$A$5001,"&lt;="&amp;$B155,BD!$M$3:$M$5001,"&lt;&gt;")=0,"",SUMIFS(BD!$M$3:$M$5001,BD!$B$3:$B$5001,H$149,BD!$A$3:$A$5001,_xlfn.MAXIFS(BD!$A$3:$A$5001,BD!$B$3:$B$5001,H$149,BD!$A$3:$A$5001,"&gt;="&amp;$C$7,BD!$A$3:$A$5001,"&lt;="&amp;$B155,BD!$M$3:$M$5001,"&lt;&gt;"))))</f>
        <v/>
      </c>
      <c r="I155" s="43" t="str">
        <f>IF(OR($B155="",$A155&gt;$B$9,I$149=""),"",IF(COUNTIFS(BD!$B$3:$B$5001,I$149,BD!$A$3:$A$5001,"&gt;="&amp;$C$7,BD!$A$3:$A$5001,"&lt;="&amp;$B155,BD!$M$3:$M$5001,"&lt;&gt;")=0,"",SUMIFS(BD!$M$3:$M$5001,BD!$B$3:$B$5001,I$149,BD!$A$3:$A$5001,_xlfn.MAXIFS(BD!$A$3:$A$5001,BD!$B$3:$B$5001,I$149,BD!$A$3:$A$5001,"&gt;="&amp;$C$7,BD!$A$3:$A$5001,"&lt;="&amp;$B155,BD!$M$3:$M$5001,"&lt;&gt;"))))</f>
        <v/>
      </c>
      <c r="J155" s="43" t="str">
        <f>IF(OR($B155="",$A155&gt;$B$9,J$149=""),"",IF(COUNTIFS(BD!$B$3:$B$5001,J$149,BD!$A$3:$A$5001,"&gt;="&amp;$C$7,BD!$A$3:$A$5001,"&lt;="&amp;$B155,BD!$M$3:$M$5001,"&lt;&gt;")=0,"",SUMIFS(BD!$M$3:$M$5001,BD!$B$3:$B$5001,J$149,BD!$A$3:$A$5001,_xlfn.MAXIFS(BD!$A$3:$A$5001,BD!$B$3:$B$5001,J$149,BD!$A$3:$A$5001,"&gt;="&amp;$C$7,BD!$A$3:$A$5001,"&lt;="&amp;$B155,BD!$M$3:$M$5001,"&lt;&gt;"))))</f>
        <v/>
      </c>
      <c r="K155" s="43" t="str">
        <f>IF(OR($B155="",$A155&gt;$B$9,K$149=""),"",IF(COUNTIFS(BD!$B$3:$B$5001,K$149,BD!$A$3:$A$5001,"&gt;="&amp;$C$7,BD!$A$3:$A$5001,"&lt;="&amp;$B155,BD!$M$3:$M$5001,"&lt;&gt;")=0,"",SUMIFS(BD!$M$3:$M$5001,BD!$B$3:$B$5001,K$149,BD!$A$3:$A$5001,_xlfn.MAXIFS(BD!$A$3:$A$5001,BD!$B$3:$B$5001,K$149,BD!$A$3:$A$5001,"&gt;="&amp;$C$7,BD!$A$3:$A$5001,"&lt;="&amp;$B155,BD!$M$3:$M$5001,"&lt;&gt;"))))</f>
        <v/>
      </c>
      <c r="L155" s="43" t="str">
        <f>IF(OR($B155="",$A155&gt;$B$9,L$149=""),"",IF(COUNTIFS(BD!$B$3:$B$5001,L$149,BD!$A$3:$A$5001,"&gt;="&amp;$C$7,BD!$A$3:$A$5001,"&lt;="&amp;$B155,BD!$M$3:$M$5001,"&lt;&gt;")=0,"",SUMIFS(BD!$M$3:$M$5001,BD!$B$3:$B$5001,L$149,BD!$A$3:$A$5001,_xlfn.MAXIFS(BD!$A$3:$A$5001,BD!$B$3:$B$5001,L$149,BD!$A$3:$A$5001,"&gt;="&amp;$C$7,BD!$A$3:$A$5001,"&lt;="&amp;$B155,BD!$M$3:$M$5001,"&lt;&gt;"))))</f>
        <v/>
      </c>
      <c r="M155" s="43" t="str">
        <f>IF(OR($B155="",$A155&gt;$B$9,M$149=""),"",IF(COUNTIFS(BD!$B$3:$B$5001,M$149,BD!$A$3:$A$5001,"&gt;="&amp;$C$7,BD!$A$3:$A$5001,"&lt;="&amp;$B155,BD!$M$3:$M$5001,"&lt;&gt;")=0,"",SUMIFS(BD!$M$3:$M$5001,BD!$B$3:$B$5001,M$149,BD!$A$3:$A$5001,_xlfn.MAXIFS(BD!$A$3:$A$5001,BD!$B$3:$B$5001,M$149,BD!$A$3:$A$5001,"&gt;="&amp;$C$7,BD!$A$3:$A$5001,"&lt;="&amp;$B155,BD!$M$3:$M$5001,"&lt;&gt;"))))</f>
        <v/>
      </c>
      <c r="N155" s="43" t="str">
        <f>IF(OR($B155="",$A155&gt;$B$9,N$149=""),"",IF(COUNTIFS(BD!$B$3:$B$5001,N$149,BD!$A$3:$A$5001,"&gt;="&amp;$C$7,BD!$A$3:$A$5001,"&lt;="&amp;$B155,BD!$M$3:$M$5001,"&lt;&gt;")=0,"",SUMIFS(BD!$M$3:$M$5001,BD!$B$3:$B$5001,N$149,BD!$A$3:$A$5001,_xlfn.MAXIFS(BD!$A$3:$A$5001,BD!$B$3:$B$5001,N$149,BD!$A$3:$A$5001,"&gt;="&amp;$C$7,BD!$A$3:$A$5001,"&lt;="&amp;$B155,BD!$M$3:$M$5001,"&lt;&gt;"))))</f>
        <v/>
      </c>
      <c r="O155" s="43" t="str">
        <f>IF(OR($B155="",$A155&gt;$B$9,O$149=""),"",IF(COUNTIFS(BD!$B$3:$B$5001,O$149,BD!$A$3:$A$5001,"&gt;="&amp;$C$7,BD!$A$3:$A$5001,"&lt;="&amp;$B155,BD!$M$3:$M$5001,"&lt;&gt;")=0,"",SUMIFS(BD!$M$3:$M$5001,BD!$B$3:$B$5001,O$149,BD!$A$3:$A$5001,_xlfn.MAXIFS(BD!$A$3:$A$5001,BD!$B$3:$B$5001,O$149,BD!$A$3:$A$5001,"&gt;="&amp;$C$7,BD!$A$3:$A$5001,"&lt;="&amp;$B155,BD!$M$3:$M$5001,"&lt;&gt;"))))</f>
        <v/>
      </c>
      <c r="P155" s="43" t="str">
        <f>IF(OR($B155="",$A155&gt;$B$9,P$149=""),"",IF(COUNTIFS(BD!$B$3:$B$5001,P$149,BD!$A$3:$A$5001,"&gt;="&amp;$C$7,BD!$A$3:$A$5001,"&lt;="&amp;$B155,BD!$M$3:$M$5001,"&lt;&gt;")=0,"",SUMIFS(BD!$M$3:$M$5001,BD!$B$3:$B$5001,P$149,BD!$A$3:$A$5001,_xlfn.MAXIFS(BD!$A$3:$A$5001,BD!$B$3:$B$5001,P$149,BD!$A$3:$A$5001,"&gt;="&amp;$C$7,BD!$A$3:$A$5001,"&lt;="&amp;$B155,BD!$M$3:$M$5001,"&lt;&gt;"))))</f>
        <v/>
      </c>
      <c r="Q155" s="43" t="str">
        <f>IF(OR($B155="",$A155&gt;$B$9,Q$149=""),"",IF(COUNTIFS(BD!$B$3:$B$5001,Q$149,BD!$A$3:$A$5001,"&gt;="&amp;$C$7,BD!$A$3:$A$5001,"&lt;="&amp;$B155,BD!$M$3:$M$5001,"&lt;&gt;")=0,"",SUMIFS(BD!$M$3:$M$5001,BD!$B$3:$B$5001,Q$149,BD!$A$3:$A$5001,_xlfn.MAXIFS(BD!$A$3:$A$5001,BD!$B$3:$B$5001,Q$149,BD!$A$3:$A$5001,"&gt;="&amp;$C$7,BD!$A$3:$A$5001,"&lt;="&amp;$B155,BD!$M$3:$M$5001,"&lt;&gt;"))))</f>
        <v/>
      </c>
      <c r="R155" s="43" t="str">
        <f>IF(OR($B155="",$A155&gt;$B$9,R$149=""),"",IF(COUNTIFS(BD!$B$3:$B$5001,R$149,BD!$A$3:$A$5001,"&gt;="&amp;$C$7,BD!$A$3:$A$5001,"&lt;="&amp;$B155,BD!$M$3:$M$5001,"&lt;&gt;")=0,"",SUMIFS(BD!$M$3:$M$5001,BD!$B$3:$B$5001,R$149,BD!$A$3:$A$5001,_xlfn.MAXIFS(BD!$A$3:$A$5001,BD!$B$3:$B$5001,R$149,BD!$A$3:$A$5001,"&gt;="&amp;$C$7,BD!$A$3:$A$5001,"&lt;="&amp;$B155,BD!$M$3:$M$5001,"&lt;&gt;"))))</f>
        <v/>
      </c>
      <c r="S155" s="43" t="str">
        <f>IF(OR($B155="",$A155&gt;$B$9,S$149=""),"",IF(COUNTIFS(BD!$B$3:$B$5001,S$149,BD!$A$3:$A$5001,"&gt;="&amp;$C$7,BD!$A$3:$A$5001,"&lt;="&amp;$B155,BD!$M$3:$M$5001,"&lt;&gt;")=0,"",SUMIFS(BD!$M$3:$M$5001,BD!$B$3:$B$5001,S$149,BD!$A$3:$A$5001,_xlfn.MAXIFS(BD!$A$3:$A$5001,BD!$B$3:$B$5001,S$149,BD!$A$3:$A$5001,"&gt;="&amp;$C$7,BD!$A$3:$A$5001,"&lt;="&amp;$B155,BD!$M$3:$M$5001,"&lt;&gt;"))))</f>
        <v/>
      </c>
      <c r="T155" s="43" t="str">
        <f>IF(OR($B155="",$A155&gt;$B$9,T$149=""),"",IF(COUNTIFS(BD!$B$3:$B$5001,T$149,BD!$A$3:$A$5001,"&gt;="&amp;$C$7,BD!$A$3:$A$5001,"&lt;="&amp;$B155,BD!$M$3:$M$5001,"&lt;&gt;")=0,"",SUMIFS(BD!$M$3:$M$5001,BD!$B$3:$B$5001,T$149,BD!$A$3:$A$5001,_xlfn.MAXIFS(BD!$A$3:$A$5001,BD!$B$3:$B$5001,T$149,BD!$A$3:$A$5001,"&gt;="&amp;$C$7,BD!$A$3:$A$5001,"&lt;="&amp;$B155,BD!$M$3:$M$5001,"&lt;&gt;"))))</f>
        <v/>
      </c>
      <c r="U155" s="43" t="str">
        <f>IF(OR($B155="",$A155&gt;$B$9,U$149=""),"",IF(COUNTIFS(BD!$B$3:$B$5001,U$149,BD!$A$3:$A$5001,"&gt;="&amp;$C$7,BD!$A$3:$A$5001,"&lt;="&amp;$B155,BD!$M$3:$M$5001,"&lt;&gt;")=0,"",SUMIFS(BD!$M$3:$M$5001,BD!$B$3:$B$5001,U$149,BD!$A$3:$A$5001,_xlfn.MAXIFS(BD!$A$3:$A$5001,BD!$B$3:$B$5001,U$149,BD!$A$3:$A$5001,"&gt;="&amp;$C$7,BD!$A$3:$A$5001,"&lt;="&amp;$B155,BD!$M$3:$M$5001,"&lt;&gt;"))))</f>
        <v/>
      </c>
      <c r="V155" s="43" t="str">
        <f>IF(OR($B155="",$A155&gt;$B$9,V$149=""),"",IF(COUNTIFS(BD!$B$3:$B$5001,V$149,BD!$A$3:$A$5001,"&gt;="&amp;$C$7,BD!$A$3:$A$5001,"&lt;="&amp;$B155,BD!$M$3:$M$5001,"&lt;&gt;")=0,"",SUMIFS(BD!$M$3:$M$5001,BD!$B$3:$B$5001,V$149,BD!$A$3:$A$5001,_xlfn.MAXIFS(BD!$A$3:$A$5001,BD!$B$3:$B$5001,V$149,BD!$A$3:$A$5001,"&gt;="&amp;$C$7,BD!$A$3:$A$5001,"&lt;="&amp;$B155,BD!$M$3:$M$5001,"&lt;&gt;"))))</f>
        <v/>
      </c>
    </row>
    <row r="156">
      <c r="A156" s="38">
        <v>7</v>
      </c>
      <c r="B156" s="42">
        <f>$B$18</f>
        <v>46302</v>
      </c>
      <c r="C156" s="43" t="str">
        <f>IF(OR($B156="",$A156&gt;$B$9,C$149=""),"",IF(COUNTIFS(BD!$B$3:$B$5001,C$149,BD!$A$3:$A$5001,"&gt;="&amp;$C$7,BD!$A$3:$A$5001,"&lt;="&amp;$B156,BD!$M$3:$M$5001,"&lt;&gt;")=0,"",SUMIFS(BD!$M$3:$M$5001,BD!$B$3:$B$5001,C$149,BD!$A$3:$A$5001,_xlfn.MAXIFS(BD!$A$3:$A$5001,BD!$B$3:$B$5001,C$149,BD!$A$3:$A$5001,"&gt;="&amp;$C$7,BD!$A$3:$A$5001,"&lt;="&amp;$B156,BD!$M$3:$M$5001,"&lt;&gt;"))))</f>
        <v/>
      </c>
      <c r="D156" s="43" t="str">
        <f>IF(OR($B156="",$A156&gt;$B$9,D$149=""),"",IF(COUNTIFS(BD!$B$3:$B$5001,D$149,BD!$A$3:$A$5001,"&gt;="&amp;$C$7,BD!$A$3:$A$5001,"&lt;="&amp;$B156,BD!$M$3:$M$5001,"&lt;&gt;")=0,"",SUMIFS(BD!$M$3:$M$5001,BD!$B$3:$B$5001,D$149,BD!$A$3:$A$5001,_xlfn.MAXIFS(BD!$A$3:$A$5001,BD!$B$3:$B$5001,D$149,BD!$A$3:$A$5001,"&gt;="&amp;$C$7,BD!$A$3:$A$5001,"&lt;="&amp;$B156,BD!$M$3:$M$5001,"&lt;&gt;"))))</f>
        <v/>
      </c>
      <c r="E156" s="43" t="str">
        <f>IF(OR($B156="",$A156&gt;$B$9,E$149=""),"",IF(COUNTIFS(BD!$B$3:$B$5001,E$149,BD!$A$3:$A$5001,"&gt;="&amp;$C$7,BD!$A$3:$A$5001,"&lt;="&amp;$B156,BD!$M$3:$M$5001,"&lt;&gt;")=0,"",SUMIFS(BD!$M$3:$M$5001,BD!$B$3:$B$5001,E$149,BD!$A$3:$A$5001,_xlfn.MAXIFS(BD!$A$3:$A$5001,BD!$B$3:$B$5001,E$149,BD!$A$3:$A$5001,"&gt;="&amp;$C$7,BD!$A$3:$A$5001,"&lt;="&amp;$B156,BD!$M$3:$M$5001,"&lt;&gt;"))))</f>
        <v/>
      </c>
      <c r="F156" s="43" t="str">
        <f>IF(OR($B156="",$A156&gt;$B$9,F$149=""),"",IF(COUNTIFS(BD!$B$3:$B$5001,F$149,BD!$A$3:$A$5001,"&gt;="&amp;$C$7,BD!$A$3:$A$5001,"&lt;="&amp;$B156,BD!$M$3:$M$5001,"&lt;&gt;")=0,"",SUMIFS(BD!$M$3:$M$5001,BD!$B$3:$B$5001,F$149,BD!$A$3:$A$5001,_xlfn.MAXIFS(BD!$A$3:$A$5001,BD!$B$3:$B$5001,F$149,BD!$A$3:$A$5001,"&gt;="&amp;$C$7,BD!$A$3:$A$5001,"&lt;="&amp;$B156,BD!$M$3:$M$5001,"&lt;&gt;"))))</f>
        <v/>
      </c>
      <c r="G156" s="43" t="str">
        <f>IF(OR($B156="",$A156&gt;$B$9,G$149=""),"",IF(COUNTIFS(BD!$B$3:$B$5001,G$149,BD!$A$3:$A$5001,"&gt;="&amp;$C$7,BD!$A$3:$A$5001,"&lt;="&amp;$B156,BD!$M$3:$M$5001,"&lt;&gt;")=0,"",SUMIFS(BD!$M$3:$M$5001,BD!$B$3:$B$5001,G$149,BD!$A$3:$A$5001,_xlfn.MAXIFS(BD!$A$3:$A$5001,BD!$B$3:$B$5001,G$149,BD!$A$3:$A$5001,"&gt;="&amp;$C$7,BD!$A$3:$A$5001,"&lt;="&amp;$B156,BD!$M$3:$M$5001,"&lt;&gt;"))))</f>
        <v/>
      </c>
      <c r="H156" s="43" t="str">
        <f>IF(OR($B156="",$A156&gt;$B$9,H$149=""),"",IF(COUNTIFS(BD!$B$3:$B$5001,H$149,BD!$A$3:$A$5001,"&gt;="&amp;$C$7,BD!$A$3:$A$5001,"&lt;="&amp;$B156,BD!$M$3:$M$5001,"&lt;&gt;")=0,"",SUMIFS(BD!$M$3:$M$5001,BD!$B$3:$B$5001,H$149,BD!$A$3:$A$5001,_xlfn.MAXIFS(BD!$A$3:$A$5001,BD!$B$3:$B$5001,H$149,BD!$A$3:$A$5001,"&gt;="&amp;$C$7,BD!$A$3:$A$5001,"&lt;="&amp;$B156,BD!$M$3:$M$5001,"&lt;&gt;"))))</f>
        <v/>
      </c>
      <c r="I156" s="43" t="str">
        <f>IF(OR($B156="",$A156&gt;$B$9,I$149=""),"",IF(COUNTIFS(BD!$B$3:$B$5001,I$149,BD!$A$3:$A$5001,"&gt;="&amp;$C$7,BD!$A$3:$A$5001,"&lt;="&amp;$B156,BD!$M$3:$M$5001,"&lt;&gt;")=0,"",SUMIFS(BD!$M$3:$M$5001,BD!$B$3:$B$5001,I$149,BD!$A$3:$A$5001,_xlfn.MAXIFS(BD!$A$3:$A$5001,BD!$B$3:$B$5001,I$149,BD!$A$3:$A$5001,"&gt;="&amp;$C$7,BD!$A$3:$A$5001,"&lt;="&amp;$B156,BD!$M$3:$M$5001,"&lt;&gt;"))))</f>
        <v/>
      </c>
      <c r="J156" s="43" t="str">
        <f>IF(OR($B156="",$A156&gt;$B$9,J$149=""),"",IF(COUNTIFS(BD!$B$3:$B$5001,J$149,BD!$A$3:$A$5001,"&gt;="&amp;$C$7,BD!$A$3:$A$5001,"&lt;="&amp;$B156,BD!$M$3:$M$5001,"&lt;&gt;")=0,"",SUMIFS(BD!$M$3:$M$5001,BD!$B$3:$B$5001,J$149,BD!$A$3:$A$5001,_xlfn.MAXIFS(BD!$A$3:$A$5001,BD!$B$3:$B$5001,J$149,BD!$A$3:$A$5001,"&gt;="&amp;$C$7,BD!$A$3:$A$5001,"&lt;="&amp;$B156,BD!$M$3:$M$5001,"&lt;&gt;"))))</f>
        <v/>
      </c>
      <c r="K156" s="43" t="str">
        <f>IF(OR($B156="",$A156&gt;$B$9,K$149=""),"",IF(COUNTIFS(BD!$B$3:$B$5001,K$149,BD!$A$3:$A$5001,"&gt;="&amp;$C$7,BD!$A$3:$A$5001,"&lt;="&amp;$B156,BD!$M$3:$M$5001,"&lt;&gt;")=0,"",SUMIFS(BD!$M$3:$M$5001,BD!$B$3:$B$5001,K$149,BD!$A$3:$A$5001,_xlfn.MAXIFS(BD!$A$3:$A$5001,BD!$B$3:$B$5001,K$149,BD!$A$3:$A$5001,"&gt;="&amp;$C$7,BD!$A$3:$A$5001,"&lt;="&amp;$B156,BD!$M$3:$M$5001,"&lt;&gt;"))))</f>
        <v/>
      </c>
      <c r="L156" s="43" t="str">
        <f>IF(OR($B156="",$A156&gt;$B$9,L$149=""),"",IF(COUNTIFS(BD!$B$3:$B$5001,L$149,BD!$A$3:$A$5001,"&gt;="&amp;$C$7,BD!$A$3:$A$5001,"&lt;="&amp;$B156,BD!$M$3:$M$5001,"&lt;&gt;")=0,"",SUMIFS(BD!$M$3:$M$5001,BD!$B$3:$B$5001,L$149,BD!$A$3:$A$5001,_xlfn.MAXIFS(BD!$A$3:$A$5001,BD!$B$3:$B$5001,L$149,BD!$A$3:$A$5001,"&gt;="&amp;$C$7,BD!$A$3:$A$5001,"&lt;="&amp;$B156,BD!$M$3:$M$5001,"&lt;&gt;"))))</f>
        <v/>
      </c>
      <c r="M156" s="43" t="str">
        <f>IF(OR($B156="",$A156&gt;$B$9,M$149=""),"",IF(COUNTIFS(BD!$B$3:$B$5001,M$149,BD!$A$3:$A$5001,"&gt;="&amp;$C$7,BD!$A$3:$A$5001,"&lt;="&amp;$B156,BD!$M$3:$M$5001,"&lt;&gt;")=0,"",SUMIFS(BD!$M$3:$M$5001,BD!$B$3:$B$5001,M$149,BD!$A$3:$A$5001,_xlfn.MAXIFS(BD!$A$3:$A$5001,BD!$B$3:$B$5001,M$149,BD!$A$3:$A$5001,"&gt;="&amp;$C$7,BD!$A$3:$A$5001,"&lt;="&amp;$B156,BD!$M$3:$M$5001,"&lt;&gt;"))))</f>
        <v/>
      </c>
      <c r="N156" s="43" t="str">
        <f>IF(OR($B156="",$A156&gt;$B$9,N$149=""),"",IF(COUNTIFS(BD!$B$3:$B$5001,N$149,BD!$A$3:$A$5001,"&gt;="&amp;$C$7,BD!$A$3:$A$5001,"&lt;="&amp;$B156,BD!$M$3:$M$5001,"&lt;&gt;")=0,"",SUMIFS(BD!$M$3:$M$5001,BD!$B$3:$B$5001,N$149,BD!$A$3:$A$5001,_xlfn.MAXIFS(BD!$A$3:$A$5001,BD!$B$3:$B$5001,N$149,BD!$A$3:$A$5001,"&gt;="&amp;$C$7,BD!$A$3:$A$5001,"&lt;="&amp;$B156,BD!$M$3:$M$5001,"&lt;&gt;"))))</f>
        <v/>
      </c>
      <c r="O156" s="43" t="str">
        <f>IF(OR($B156="",$A156&gt;$B$9,O$149=""),"",IF(COUNTIFS(BD!$B$3:$B$5001,O$149,BD!$A$3:$A$5001,"&gt;="&amp;$C$7,BD!$A$3:$A$5001,"&lt;="&amp;$B156,BD!$M$3:$M$5001,"&lt;&gt;")=0,"",SUMIFS(BD!$M$3:$M$5001,BD!$B$3:$B$5001,O$149,BD!$A$3:$A$5001,_xlfn.MAXIFS(BD!$A$3:$A$5001,BD!$B$3:$B$5001,O$149,BD!$A$3:$A$5001,"&gt;="&amp;$C$7,BD!$A$3:$A$5001,"&lt;="&amp;$B156,BD!$M$3:$M$5001,"&lt;&gt;"))))</f>
        <v/>
      </c>
      <c r="P156" s="43" t="str">
        <f>IF(OR($B156="",$A156&gt;$B$9,P$149=""),"",IF(COUNTIFS(BD!$B$3:$B$5001,P$149,BD!$A$3:$A$5001,"&gt;="&amp;$C$7,BD!$A$3:$A$5001,"&lt;="&amp;$B156,BD!$M$3:$M$5001,"&lt;&gt;")=0,"",SUMIFS(BD!$M$3:$M$5001,BD!$B$3:$B$5001,P$149,BD!$A$3:$A$5001,_xlfn.MAXIFS(BD!$A$3:$A$5001,BD!$B$3:$B$5001,P$149,BD!$A$3:$A$5001,"&gt;="&amp;$C$7,BD!$A$3:$A$5001,"&lt;="&amp;$B156,BD!$M$3:$M$5001,"&lt;&gt;"))))</f>
        <v/>
      </c>
      <c r="Q156" s="43" t="str">
        <f>IF(OR($B156="",$A156&gt;$B$9,Q$149=""),"",IF(COUNTIFS(BD!$B$3:$B$5001,Q$149,BD!$A$3:$A$5001,"&gt;="&amp;$C$7,BD!$A$3:$A$5001,"&lt;="&amp;$B156,BD!$M$3:$M$5001,"&lt;&gt;")=0,"",SUMIFS(BD!$M$3:$M$5001,BD!$B$3:$B$5001,Q$149,BD!$A$3:$A$5001,_xlfn.MAXIFS(BD!$A$3:$A$5001,BD!$B$3:$B$5001,Q$149,BD!$A$3:$A$5001,"&gt;="&amp;$C$7,BD!$A$3:$A$5001,"&lt;="&amp;$B156,BD!$M$3:$M$5001,"&lt;&gt;"))))</f>
        <v/>
      </c>
      <c r="R156" s="43" t="str">
        <f>IF(OR($B156="",$A156&gt;$B$9,R$149=""),"",IF(COUNTIFS(BD!$B$3:$B$5001,R$149,BD!$A$3:$A$5001,"&gt;="&amp;$C$7,BD!$A$3:$A$5001,"&lt;="&amp;$B156,BD!$M$3:$M$5001,"&lt;&gt;")=0,"",SUMIFS(BD!$M$3:$M$5001,BD!$B$3:$B$5001,R$149,BD!$A$3:$A$5001,_xlfn.MAXIFS(BD!$A$3:$A$5001,BD!$B$3:$B$5001,R$149,BD!$A$3:$A$5001,"&gt;="&amp;$C$7,BD!$A$3:$A$5001,"&lt;="&amp;$B156,BD!$M$3:$M$5001,"&lt;&gt;"))))</f>
        <v/>
      </c>
      <c r="S156" s="43" t="str">
        <f>IF(OR($B156="",$A156&gt;$B$9,S$149=""),"",IF(COUNTIFS(BD!$B$3:$B$5001,S$149,BD!$A$3:$A$5001,"&gt;="&amp;$C$7,BD!$A$3:$A$5001,"&lt;="&amp;$B156,BD!$M$3:$M$5001,"&lt;&gt;")=0,"",SUMIFS(BD!$M$3:$M$5001,BD!$B$3:$B$5001,S$149,BD!$A$3:$A$5001,_xlfn.MAXIFS(BD!$A$3:$A$5001,BD!$B$3:$B$5001,S$149,BD!$A$3:$A$5001,"&gt;="&amp;$C$7,BD!$A$3:$A$5001,"&lt;="&amp;$B156,BD!$M$3:$M$5001,"&lt;&gt;"))))</f>
        <v/>
      </c>
      <c r="T156" s="43" t="str">
        <f>IF(OR($B156="",$A156&gt;$B$9,T$149=""),"",IF(COUNTIFS(BD!$B$3:$B$5001,T$149,BD!$A$3:$A$5001,"&gt;="&amp;$C$7,BD!$A$3:$A$5001,"&lt;="&amp;$B156,BD!$M$3:$M$5001,"&lt;&gt;")=0,"",SUMIFS(BD!$M$3:$M$5001,BD!$B$3:$B$5001,T$149,BD!$A$3:$A$5001,_xlfn.MAXIFS(BD!$A$3:$A$5001,BD!$B$3:$B$5001,T$149,BD!$A$3:$A$5001,"&gt;="&amp;$C$7,BD!$A$3:$A$5001,"&lt;="&amp;$B156,BD!$M$3:$M$5001,"&lt;&gt;"))))</f>
        <v/>
      </c>
      <c r="U156" s="43" t="str">
        <f>IF(OR($B156="",$A156&gt;$B$9,U$149=""),"",IF(COUNTIFS(BD!$B$3:$B$5001,U$149,BD!$A$3:$A$5001,"&gt;="&amp;$C$7,BD!$A$3:$A$5001,"&lt;="&amp;$B156,BD!$M$3:$M$5001,"&lt;&gt;")=0,"",SUMIFS(BD!$M$3:$M$5001,BD!$B$3:$B$5001,U$149,BD!$A$3:$A$5001,_xlfn.MAXIFS(BD!$A$3:$A$5001,BD!$B$3:$B$5001,U$149,BD!$A$3:$A$5001,"&gt;="&amp;$C$7,BD!$A$3:$A$5001,"&lt;="&amp;$B156,BD!$M$3:$M$5001,"&lt;&gt;"))))</f>
        <v/>
      </c>
      <c r="V156" s="43" t="str">
        <f>IF(OR($B156="",$A156&gt;$B$9,V$149=""),"",IF(COUNTIFS(BD!$B$3:$B$5001,V$149,BD!$A$3:$A$5001,"&gt;="&amp;$C$7,BD!$A$3:$A$5001,"&lt;="&amp;$B156,BD!$M$3:$M$5001,"&lt;&gt;")=0,"",SUMIFS(BD!$M$3:$M$5001,BD!$B$3:$B$5001,V$149,BD!$A$3:$A$5001,_xlfn.MAXIFS(BD!$A$3:$A$5001,BD!$B$3:$B$5001,V$149,BD!$A$3:$A$5001,"&gt;="&amp;$C$7,BD!$A$3:$A$5001,"&lt;="&amp;$B156,BD!$M$3:$M$5001,"&lt;&gt;"))))</f>
        <v/>
      </c>
    </row>
    <row r="157">
      <c r="A157" s="38">
        <v>8</v>
      </c>
      <c r="B157" s="42">
        <f>$B$19</f>
        <v>46303</v>
      </c>
      <c r="C157" s="43" t="str">
        <f>IF(OR($B157="",$A157&gt;$B$9,C$149=""),"",IF(COUNTIFS(BD!$B$3:$B$5001,C$149,BD!$A$3:$A$5001,"&gt;="&amp;$C$7,BD!$A$3:$A$5001,"&lt;="&amp;$B157,BD!$M$3:$M$5001,"&lt;&gt;")=0,"",SUMIFS(BD!$M$3:$M$5001,BD!$B$3:$B$5001,C$149,BD!$A$3:$A$5001,_xlfn.MAXIFS(BD!$A$3:$A$5001,BD!$B$3:$B$5001,C$149,BD!$A$3:$A$5001,"&gt;="&amp;$C$7,BD!$A$3:$A$5001,"&lt;="&amp;$B157,BD!$M$3:$M$5001,"&lt;&gt;"))))</f>
        <v/>
      </c>
      <c r="D157" s="43" t="str">
        <f>IF(OR($B157="",$A157&gt;$B$9,D$149=""),"",IF(COUNTIFS(BD!$B$3:$B$5001,D$149,BD!$A$3:$A$5001,"&gt;="&amp;$C$7,BD!$A$3:$A$5001,"&lt;="&amp;$B157,BD!$M$3:$M$5001,"&lt;&gt;")=0,"",SUMIFS(BD!$M$3:$M$5001,BD!$B$3:$B$5001,D$149,BD!$A$3:$A$5001,_xlfn.MAXIFS(BD!$A$3:$A$5001,BD!$B$3:$B$5001,D$149,BD!$A$3:$A$5001,"&gt;="&amp;$C$7,BD!$A$3:$A$5001,"&lt;="&amp;$B157,BD!$M$3:$M$5001,"&lt;&gt;"))))</f>
        <v/>
      </c>
      <c r="E157" s="43" t="str">
        <f>IF(OR($B157="",$A157&gt;$B$9,E$149=""),"",IF(COUNTIFS(BD!$B$3:$B$5001,E$149,BD!$A$3:$A$5001,"&gt;="&amp;$C$7,BD!$A$3:$A$5001,"&lt;="&amp;$B157,BD!$M$3:$M$5001,"&lt;&gt;")=0,"",SUMIFS(BD!$M$3:$M$5001,BD!$B$3:$B$5001,E$149,BD!$A$3:$A$5001,_xlfn.MAXIFS(BD!$A$3:$A$5001,BD!$B$3:$B$5001,E$149,BD!$A$3:$A$5001,"&gt;="&amp;$C$7,BD!$A$3:$A$5001,"&lt;="&amp;$B157,BD!$M$3:$M$5001,"&lt;&gt;"))))</f>
        <v/>
      </c>
      <c r="F157" s="43" t="str">
        <f>IF(OR($B157="",$A157&gt;$B$9,F$149=""),"",IF(COUNTIFS(BD!$B$3:$B$5001,F$149,BD!$A$3:$A$5001,"&gt;="&amp;$C$7,BD!$A$3:$A$5001,"&lt;="&amp;$B157,BD!$M$3:$M$5001,"&lt;&gt;")=0,"",SUMIFS(BD!$M$3:$M$5001,BD!$B$3:$B$5001,F$149,BD!$A$3:$A$5001,_xlfn.MAXIFS(BD!$A$3:$A$5001,BD!$B$3:$B$5001,F$149,BD!$A$3:$A$5001,"&gt;="&amp;$C$7,BD!$A$3:$A$5001,"&lt;="&amp;$B157,BD!$M$3:$M$5001,"&lt;&gt;"))))</f>
        <v/>
      </c>
      <c r="G157" s="43" t="str">
        <f>IF(OR($B157="",$A157&gt;$B$9,G$149=""),"",IF(COUNTIFS(BD!$B$3:$B$5001,G$149,BD!$A$3:$A$5001,"&gt;="&amp;$C$7,BD!$A$3:$A$5001,"&lt;="&amp;$B157,BD!$M$3:$M$5001,"&lt;&gt;")=0,"",SUMIFS(BD!$M$3:$M$5001,BD!$B$3:$B$5001,G$149,BD!$A$3:$A$5001,_xlfn.MAXIFS(BD!$A$3:$A$5001,BD!$B$3:$B$5001,G$149,BD!$A$3:$A$5001,"&gt;="&amp;$C$7,BD!$A$3:$A$5001,"&lt;="&amp;$B157,BD!$M$3:$M$5001,"&lt;&gt;"))))</f>
        <v/>
      </c>
      <c r="H157" s="43" t="str">
        <f>IF(OR($B157="",$A157&gt;$B$9,H$149=""),"",IF(COUNTIFS(BD!$B$3:$B$5001,H$149,BD!$A$3:$A$5001,"&gt;="&amp;$C$7,BD!$A$3:$A$5001,"&lt;="&amp;$B157,BD!$M$3:$M$5001,"&lt;&gt;")=0,"",SUMIFS(BD!$M$3:$M$5001,BD!$B$3:$B$5001,H$149,BD!$A$3:$A$5001,_xlfn.MAXIFS(BD!$A$3:$A$5001,BD!$B$3:$B$5001,H$149,BD!$A$3:$A$5001,"&gt;="&amp;$C$7,BD!$A$3:$A$5001,"&lt;="&amp;$B157,BD!$M$3:$M$5001,"&lt;&gt;"))))</f>
        <v/>
      </c>
      <c r="I157" s="43" t="str">
        <f>IF(OR($B157="",$A157&gt;$B$9,I$149=""),"",IF(COUNTIFS(BD!$B$3:$B$5001,I$149,BD!$A$3:$A$5001,"&gt;="&amp;$C$7,BD!$A$3:$A$5001,"&lt;="&amp;$B157,BD!$M$3:$M$5001,"&lt;&gt;")=0,"",SUMIFS(BD!$M$3:$M$5001,BD!$B$3:$B$5001,I$149,BD!$A$3:$A$5001,_xlfn.MAXIFS(BD!$A$3:$A$5001,BD!$B$3:$B$5001,I$149,BD!$A$3:$A$5001,"&gt;="&amp;$C$7,BD!$A$3:$A$5001,"&lt;="&amp;$B157,BD!$M$3:$M$5001,"&lt;&gt;"))))</f>
        <v/>
      </c>
      <c r="J157" s="43" t="str">
        <f>IF(OR($B157="",$A157&gt;$B$9,J$149=""),"",IF(COUNTIFS(BD!$B$3:$B$5001,J$149,BD!$A$3:$A$5001,"&gt;="&amp;$C$7,BD!$A$3:$A$5001,"&lt;="&amp;$B157,BD!$M$3:$M$5001,"&lt;&gt;")=0,"",SUMIFS(BD!$M$3:$M$5001,BD!$B$3:$B$5001,J$149,BD!$A$3:$A$5001,_xlfn.MAXIFS(BD!$A$3:$A$5001,BD!$B$3:$B$5001,J$149,BD!$A$3:$A$5001,"&gt;="&amp;$C$7,BD!$A$3:$A$5001,"&lt;="&amp;$B157,BD!$M$3:$M$5001,"&lt;&gt;"))))</f>
        <v/>
      </c>
      <c r="K157" s="43" t="str">
        <f>IF(OR($B157="",$A157&gt;$B$9,K$149=""),"",IF(COUNTIFS(BD!$B$3:$B$5001,K$149,BD!$A$3:$A$5001,"&gt;="&amp;$C$7,BD!$A$3:$A$5001,"&lt;="&amp;$B157,BD!$M$3:$M$5001,"&lt;&gt;")=0,"",SUMIFS(BD!$M$3:$M$5001,BD!$B$3:$B$5001,K$149,BD!$A$3:$A$5001,_xlfn.MAXIFS(BD!$A$3:$A$5001,BD!$B$3:$B$5001,K$149,BD!$A$3:$A$5001,"&gt;="&amp;$C$7,BD!$A$3:$A$5001,"&lt;="&amp;$B157,BD!$M$3:$M$5001,"&lt;&gt;"))))</f>
        <v/>
      </c>
      <c r="L157" s="43" t="str">
        <f>IF(OR($B157="",$A157&gt;$B$9,L$149=""),"",IF(COUNTIFS(BD!$B$3:$B$5001,L$149,BD!$A$3:$A$5001,"&gt;="&amp;$C$7,BD!$A$3:$A$5001,"&lt;="&amp;$B157,BD!$M$3:$M$5001,"&lt;&gt;")=0,"",SUMIFS(BD!$M$3:$M$5001,BD!$B$3:$B$5001,L$149,BD!$A$3:$A$5001,_xlfn.MAXIFS(BD!$A$3:$A$5001,BD!$B$3:$B$5001,L$149,BD!$A$3:$A$5001,"&gt;="&amp;$C$7,BD!$A$3:$A$5001,"&lt;="&amp;$B157,BD!$M$3:$M$5001,"&lt;&gt;"))))</f>
        <v/>
      </c>
      <c r="M157" s="43" t="str">
        <f>IF(OR($B157="",$A157&gt;$B$9,M$149=""),"",IF(COUNTIFS(BD!$B$3:$B$5001,M$149,BD!$A$3:$A$5001,"&gt;="&amp;$C$7,BD!$A$3:$A$5001,"&lt;="&amp;$B157,BD!$M$3:$M$5001,"&lt;&gt;")=0,"",SUMIFS(BD!$M$3:$M$5001,BD!$B$3:$B$5001,M$149,BD!$A$3:$A$5001,_xlfn.MAXIFS(BD!$A$3:$A$5001,BD!$B$3:$B$5001,M$149,BD!$A$3:$A$5001,"&gt;="&amp;$C$7,BD!$A$3:$A$5001,"&lt;="&amp;$B157,BD!$M$3:$M$5001,"&lt;&gt;"))))</f>
        <v/>
      </c>
      <c r="N157" s="43" t="str">
        <f>IF(OR($B157="",$A157&gt;$B$9,N$149=""),"",IF(COUNTIFS(BD!$B$3:$B$5001,N$149,BD!$A$3:$A$5001,"&gt;="&amp;$C$7,BD!$A$3:$A$5001,"&lt;="&amp;$B157,BD!$M$3:$M$5001,"&lt;&gt;")=0,"",SUMIFS(BD!$M$3:$M$5001,BD!$B$3:$B$5001,N$149,BD!$A$3:$A$5001,_xlfn.MAXIFS(BD!$A$3:$A$5001,BD!$B$3:$B$5001,N$149,BD!$A$3:$A$5001,"&gt;="&amp;$C$7,BD!$A$3:$A$5001,"&lt;="&amp;$B157,BD!$M$3:$M$5001,"&lt;&gt;"))))</f>
        <v/>
      </c>
      <c r="O157" s="43" t="str">
        <f>IF(OR($B157="",$A157&gt;$B$9,O$149=""),"",IF(COUNTIFS(BD!$B$3:$B$5001,O$149,BD!$A$3:$A$5001,"&gt;="&amp;$C$7,BD!$A$3:$A$5001,"&lt;="&amp;$B157,BD!$M$3:$M$5001,"&lt;&gt;")=0,"",SUMIFS(BD!$M$3:$M$5001,BD!$B$3:$B$5001,O$149,BD!$A$3:$A$5001,_xlfn.MAXIFS(BD!$A$3:$A$5001,BD!$B$3:$B$5001,O$149,BD!$A$3:$A$5001,"&gt;="&amp;$C$7,BD!$A$3:$A$5001,"&lt;="&amp;$B157,BD!$M$3:$M$5001,"&lt;&gt;"))))</f>
        <v/>
      </c>
      <c r="P157" s="43" t="str">
        <f>IF(OR($B157="",$A157&gt;$B$9,P$149=""),"",IF(COUNTIFS(BD!$B$3:$B$5001,P$149,BD!$A$3:$A$5001,"&gt;="&amp;$C$7,BD!$A$3:$A$5001,"&lt;="&amp;$B157,BD!$M$3:$M$5001,"&lt;&gt;")=0,"",SUMIFS(BD!$M$3:$M$5001,BD!$B$3:$B$5001,P$149,BD!$A$3:$A$5001,_xlfn.MAXIFS(BD!$A$3:$A$5001,BD!$B$3:$B$5001,P$149,BD!$A$3:$A$5001,"&gt;="&amp;$C$7,BD!$A$3:$A$5001,"&lt;="&amp;$B157,BD!$M$3:$M$5001,"&lt;&gt;"))))</f>
        <v/>
      </c>
      <c r="Q157" s="43" t="str">
        <f>IF(OR($B157="",$A157&gt;$B$9,Q$149=""),"",IF(COUNTIFS(BD!$B$3:$B$5001,Q$149,BD!$A$3:$A$5001,"&gt;="&amp;$C$7,BD!$A$3:$A$5001,"&lt;="&amp;$B157,BD!$M$3:$M$5001,"&lt;&gt;")=0,"",SUMIFS(BD!$M$3:$M$5001,BD!$B$3:$B$5001,Q$149,BD!$A$3:$A$5001,_xlfn.MAXIFS(BD!$A$3:$A$5001,BD!$B$3:$B$5001,Q$149,BD!$A$3:$A$5001,"&gt;="&amp;$C$7,BD!$A$3:$A$5001,"&lt;="&amp;$B157,BD!$M$3:$M$5001,"&lt;&gt;"))))</f>
        <v/>
      </c>
      <c r="R157" s="43" t="str">
        <f>IF(OR($B157="",$A157&gt;$B$9,R$149=""),"",IF(COUNTIFS(BD!$B$3:$B$5001,R$149,BD!$A$3:$A$5001,"&gt;="&amp;$C$7,BD!$A$3:$A$5001,"&lt;="&amp;$B157,BD!$M$3:$M$5001,"&lt;&gt;")=0,"",SUMIFS(BD!$M$3:$M$5001,BD!$B$3:$B$5001,R$149,BD!$A$3:$A$5001,_xlfn.MAXIFS(BD!$A$3:$A$5001,BD!$B$3:$B$5001,R$149,BD!$A$3:$A$5001,"&gt;="&amp;$C$7,BD!$A$3:$A$5001,"&lt;="&amp;$B157,BD!$M$3:$M$5001,"&lt;&gt;"))))</f>
        <v/>
      </c>
      <c r="S157" s="43" t="str">
        <f>IF(OR($B157="",$A157&gt;$B$9,S$149=""),"",IF(COUNTIFS(BD!$B$3:$B$5001,S$149,BD!$A$3:$A$5001,"&gt;="&amp;$C$7,BD!$A$3:$A$5001,"&lt;="&amp;$B157,BD!$M$3:$M$5001,"&lt;&gt;")=0,"",SUMIFS(BD!$M$3:$M$5001,BD!$B$3:$B$5001,S$149,BD!$A$3:$A$5001,_xlfn.MAXIFS(BD!$A$3:$A$5001,BD!$B$3:$B$5001,S$149,BD!$A$3:$A$5001,"&gt;="&amp;$C$7,BD!$A$3:$A$5001,"&lt;="&amp;$B157,BD!$M$3:$M$5001,"&lt;&gt;"))))</f>
        <v/>
      </c>
      <c r="T157" s="43" t="str">
        <f>IF(OR($B157="",$A157&gt;$B$9,T$149=""),"",IF(COUNTIFS(BD!$B$3:$B$5001,T$149,BD!$A$3:$A$5001,"&gt;="&amp;$C$7,BD!$A$3:$A$5001,"&lt;="&amp;$B157,BD!$M$3:$M$5001,"&lt;&gt;")=0,"",SUMIFS(BD!$M$3:$M$5001,BD!$B$3:$B$5001,T$149,BD!$A$3:$A$5001,_xlfn.MAXIFS(BD!$A$3:$A$5001,BD!$B$3:$B$5001,T$149,BD!$A$3:$A$5001,"&gt;="&amp;$C$7,BD!$A$3:$A$5001,"&lt;="&amp;$B157,BD!$M$3:$M$5001,"&lt;&gt;"))))</f>
        <v/>
      </c>
      <c r="U157" s="43" t="str">
        <f>IF(OR($B157="",$A157&gt;$B$9,U$149=""),"",IF(COUNTIFS(BD!$B$3:$B$5001,U$149,BD!$A$3:$A$5001,"&gt;="&amp;$C$7,BD!$A$3:$A$5001,"&lt;="&amp;$B157,BD!$M$3:$M$5001,"&lt;&gt;")=0,"",SUMIFS(BD!$M$3:$M$5001,BD!$B$3:$B$5001,U$149,BD!$A$3:$A$5001,_xlfn.MAXIFS(BD!$A$3:$A$5001,BD!$B$3:$B$5001,U$149,BD!$A$3:$A$5001,"&gt;="&amp;$C$7,BD!$A$3:$A$5001,"&lt;="&amp;$B157,BD!$M$3:$M$5001,"&lt;&gt;"))))</f>
        <v/>
      </c>
      <c r="V157" s="43" t="str">
        <f>IF(OR($B157="",$A157&gt;$B$9,V$149=""),"",IF(COUNTIFS(BD!$B$3:$B$5001,V$149,BD!$A$3:$A$5001,"&gt;="&amp;$C$7,BD!$A$3:$A$5001,"&lt;="&amp;$B157,BD!$M$3:$M$5001,"&lt;&gt;")=0,"",SUMIFS(BD!$M$3:$M$5001,BD!$B$3:$B$5001,V$149,BD!$A$3:$A$5001,_xlfn.MAXIFS(BD!$A$3:$A$5001,BD!$B$3:$B$5001,V$149,BD!$A$3:$A$5001,"&gt;="&amp;$C$7,BD!$A$3:$A$5001,"&lt;="&amp;$B157,BD!$M$3:$M$5001,"&lt;&gt;"))))</f>
        <v/>
      </c>
    </row>
    <row r="158">
      <c r="A158" s="38">
        <v>9</v>
      </c>
      <c r="B158" s="42">
        <f>$B$20</f>
        <v>46304</v>
      </c>
      <c r="C158" s="43" t="str">
        <f>IF(OR($B158="",$A158&gt;$B$9,C$149=""),"",IF(COUNTIFS(BD!$B$3:$B$5001,C$149,BD!$A$3:$A$5001,"&gt;="&amp;$C$7,BD!$A$3:$A$5001,"&lt;="&amp;$B158,BD!$M$3:$M$5001,"&lt;&gt;")=0,"",SUMIFS(BD!$M$3:$M$5001,BD!$B$3:$B$5001,C$149,BD!$A$3:$A$5001,_xlfn.MAXIFS(BD!$A$3:$A$5001,BD!$B$3:$B$5001,C$149,BD!$A$3:$A$5001,"&gt;="&amp;$C$7,BD!$A$3:$A$5001,"&lt;="&amp;$B158,BD!$M$3:$M$5001,"&lt;&gt;"))))</f>
        <v/>
      </c>
      <c r="D158" s="43" t="str">
        <f>IF(OR($B158="",$A158&gt;$B$9,D$149=""),"",IF(COUNTIFS(BD!$B$3:$B$5001,D$149,BD!$A$3:$A$5001,"&gt;="&amp;$C$7,BD!$A$3:$A$5001,"&lt;="&amp;$B158,BD!$M$3:$M$5001,"&lt;&gt;")=0,"",SUMIFS(BD!$M$3:$M$5001,BD!$B$3:$B$5001,D$149,BD!$A$3:$A$5001,_xlfn.MAXIFS(BD!$A$3:$A$5001,BD!$B$3:$B$5001,D$149,BD!$A$3:$A$5001,"&gt;="&amp;$C$7,BD!$A$3:$A$5001,"&lt;="&amp;$B158,BD!$M$3:$M$5001,"&lt;&gt;"))))</f>
        <v/>
      </c>
      <c r="E158" s="43" t="str">
        <f>IF(OR($B158="",$A158&gt;$B$9,E$149=""),"",IF(COUNTIFS(BD!$B$3:$B$5001,E$149,BD!$A$3:$A$5001,"&gt;="&amp;$C$7,BD!$A$3:$A$5001,"&lt;="&amp;$B158,BD!$M$3:$M$5001,"&lt;&gt;")=0,"",SUMIFS(BD!$M$3:$M$5001,BD!$B$3:$B$5001,E$149,BD!$A$3:$A$5001,_xlfn.MAXIFS(BD!$A$3:$A$5001,BD!$B$3:$B$5001,E$149,BD!$A$3:$A$5001,"&gt;="&amp;$C$7,BD!$A$3:$A$5001,"&lt;="&amp;$B158,BD!$M$3:$M$5001,"&lt;&gt;"))))</f>
        <v/>
      </c>
      <c r="F158" s="43" t="str">
        <f>IF(OR($B158="",$A158&gt;$B$9,F$149=""),"",IF(COUNTIFS(BD!$B$3:$B$5001,F$149,BD!$A$3:$A$5001,"&gt;="&amp;$C$7,BD!$A$3:$A$5001,"&lt;="&amp;$B158,BD!$M$3:$M$5001,"&lt;&gt;")=0,"",SUMIFS(BD!$M$3:$M$5001,BD!$B$3:$B$5001,F$149,BD!$A$3:$A$5001,_xlfn.MAXIFS(BD!$A$3:$A$5001,BD!$B$3:$B$5001,F$149,BD!$A$3:$A$5001,"&gt;="&amp;$C$7,BD!$A$3:$A$5001,"&lt;="&amp;$B158,BD!$M$3:$M$5001,"&lt;&gt;"))))</f>
        <v/>
      </c>
      <c r="G158" s="43" t="str">
        <f>IF(OR($B158="",$A158&gt;$B$9,G$149=""),"",IF(COUNTIFS(BD!$B$3:$B$5001,G$149,BD!$A$3:$A$5001,"&gt;="&amp;$C$7,BD!$A$3:$A$5001,"&lt;="&amp;$B158,BD!$M$3:$M$5001,"&lt;&gt;")=0,"",SUMIFS(BD!$M$3:$M$5001,BD!$B$3:$B$5001,G$149,BD!$A$3:$A$5001,_xlfn.MAXIFS(BD!$A$3:$A$5001,BD!$B$3:$B$5001,G$149,BD!$A$3:$A$5001,"&gt;="&amp;$C$7,BD!$A$3:$A$5001,"&lt;="&amp;$B158,BD!$M$3:$M$5001,"&lt;&gt;"))))</f>
        <v/>
      </c>
      <c r="H158" s="43" t="str">
        <f>IF(OR($B158="",$A158&gt;$B$9,H$149=""),"",IF(COUNTIFS(BD!$B$3:$B$5001,H$149,BD!$A$3:$A$5001,"&gt;="&amp;$C$7,BD!$A$3:$A$5001,"&lt;="&amp;$B158,BD!$M$3:$M$5001,"&lt;&gt;")=0,"",SUMIFS(BD!$M$3:$M$5001,BD!$B$3:$B$5001,H$149,BD!$A$3:$A$5001,_xlfn.MAXIFS(BD!$A$3:$A$5001,BD!$B$3:$B$5001,H$149,BD!$A$3:$A$5001,"&gt;="&amp;$C$7,BD!$A$3:$A$5001,"&lt;="&amp;$B158,BD!$M$3:$M$5001,"&lt;&gt;"))))</f>
        <v/>
      </c>
      <c r="I158" s="43" t="str">
        <f>IF(OR($B158="",$A158&gt;$B$9,I$149=""),"",IF(COUNTIFS(BD!$B$3:$B$5001,I$149,BD!$A$3:$A$5001,"&gt;="&amp;$C$7,BD!$A$3:$A$5001,"&lt;="&amp;$B158,BD!$M$3:$M$5001,"&lt;&gt;")=0,"",SUMIFS(BD!$M$3:$M$5001,BD!$B$3:$B$5001,I$149,BD!$A$3:$A$5001,_xlfn.MAXIFS(BD!$A$3:$A$5001,BD!$B$3:$B$5001,I$149,BD!$A$3:$A$5001,"&gt;="&amp;$C$7,BD!$A$3:$A$5001,"&lt;="&amp;$B158,BD!$M$3:$M$5001,"&lt;&gt;"))))</f>
        <v/>
      </c>
      <c r="J158" s="43" t="str">
        <f>IF(OR($B158="",$A158&gt;$B$9,J$149=""),"",IF(COUNTIFS(BD!$B$3:$B$5001,J$149,BD!$A$3:$A$5001,"&gt;="&amp;$C$7,BD!$A$3:$A$5001,"&lt;="&amp;$B158,BD!$M$3:$M$5001,"&lt;&gt;")=0,"",SUMIFS(BD!$M$3:$M$5001,BD!$B$3:$B$5001,J$149,BD!$A$3:$A$5001,_xlfn.MAXIFS(BD!$A$3:$A$5001,BD!$B$3:$B$5001,J$149,BD!$A$3:$A$5001,"&gt;="&amp;$C$7,BD!$A$3:$A$5001,"&lt;="&amp;$B158,BD!$M$3:$M$5001,"&lt;&gt;"))))</f>
        <v/>
      </c>
      <c r="K158" s="43" t="str">
        <f>IF(OR($B158="",$A158&gt;$B$9,K$149=""),"",IF(COUNTIFS(BD!$B$3:$B$5001,K$149,BD!$A$3:$A$5001,"&gt;="&amp;$C$7,BD!$A$3:$A$5001,"&lt;="&amp;$B158,BD!$M$3:$M$5001,"&lt;&gt;")=0,"",SUMIFS(BD!$M$3:$M$5001,BD!$B$3:$B$5001,K$149,BD!$A$3:$A$5001,_xlfn.MAXIFS(BD!$A$3:$A$5001,BD!$B$3:$B$5001,K$149,BD!$A$3:$A$5001,"&gt;="&amp;$C$7,BD!$A$3:$A$5001,"&lt;="&amp;$B158,BD!$M$3:$M$5001,"&lt;&gt;"))))</f>
        <v/>
      </c>
      <c r="L158" s="43" t="str">
        <f>IF(OR($B158="",$A158&gt;$B$9,L$149=""),"",IF(COUNTIFS(BD!$B$3:$B$5001,L$149,BD!$A$3:$A$5001,"&gt;="&amp;$C$7,BD!$A$3:$A$5001,"&lt;="&amp;$B158,BD!$M$3:$M$5001,"&lt;&gt;")=0,"",SUMIFS(BD!$M$3:$M$5001,BD!$B$3:$B$5001,L$149,BD!$A$3:$A$5001,_xlfn.MAXIFS(BD!$A$3:$A$5001,BD!$B$3:$B$5001,L$149,BD!$A$3:$A$5001,"&gt;="&amp;$C$7,BD!$A$3:$A$5001,"&lt;="&amp;$B158,BD!$M$3:$M$5001,"&lt;&gt;"))))</f>
        <v/>
      </c>
      <c r="M158" s="43" t="str">
        <f>IF(OR($B158="",$A158&gt;$B$9,M$149=""),"",IF(COUNTIFS(BD!$B$3:$B$5001,M$149,BD!$A$3:$A$5001,"&gt;="&amp;$C$7,BD!$A$3:$A$5001,"&lt;="&amp;$B158,BD!$M$3:$M$5001,"&lt;&gt;")=0,"",SUMIFS(BD!$M$3:$M$5001,BD!$B$3:$B$5001,M$149,BD!$A$3:$A$5001,_xlfn.MAXIFS(BD!$A$3:$A$5001,BD!$B$3:$B$5001,M$149,BD!$A$3:$A$5001,"&gt;="&amp;$C$7,BD!$A$3:$A$5001,"&lt;="&amp;$B158,BD!$M$3:$M$5001,"&lt;&gt;"))))</f>
        <v/>
      </c>
      <c r="N158" s="43" t="str">
        <f>IF(OR($B158="",$A158&gt;$B$9,N$149=""),"",IF(COUNTIFS(BD!$B$3:$B$5001,N$149,BD!$A$3:$A$5001,"&gt;="&amp;$C$7,BD!$A$3:$A$5001,"&lt;="&amp;$B158,BD!$M$3:$M$5001,"&lt;&gt;")=0,"",SUMIFS(BD!$M$3:$M$5001,BD!$B$3:$B$5001,N$149,BD!$A$3:$A$5001,_xlfn.MAXIFS(BD!$A$3:$A$5001,BD!$B$3:$B$5001,N$149,BD!$A$3:$A$5001,"&gt;="&amp;$C$7,BD!$A$3:$A$5001,"&lt;="&amp;$B158,BD!$M$3:$M$5001,"&lt;&gt;"))))</f>
        <v/>
      </c>
      <c r="O158" s="43" t="str">
        <f>IF(OR($B158="",$A158&gt;$B$9,O$149=""),"",IF(COUNTIFS(BD!$B$3:$B$5001,O$149,BD!$A$3:$A$5001,"&gt;="&amp;$C$7,BD!$A$3:$A$5001,"&lt;="&amp;$B158,BD!$M$3:$M$5001,"&lt;&gt;")=0,"",SUMIFS(BD!$M$3:$M$5001,BD!$B$3:$B$5001,O$149,BD!$A$3:$A$5001,_xlfn.MAXIFS(BD!$A$3:$A$5001,BD!$B$3:$B$5001,O$149,BD!$A$3:$A$5001,"&gt;="&amp;$C$7,BD!$A$3:$A$5001,"&lt;="&amp;$B158,BD!$M$3:$M$5001,"&lt;&gt;"))))</f>
        <v/>
      </c>
      <c r="P158" s="43" t="str">
        <f>IF(OR($B158="",$A158&gt;$B$9,P$149=""),"",IF(COUNTIFS(BD!$B$3:$B$5001,P$149,BD!$A$3:$A$5001,"&gt;="&amp;$C$7,BD!$A$3:$A$5001,"&lt;="&amp;$B158,BD!$M$3:$M$5001,"&lt;&gt;")=0,"",SUMIFS(BD!$M$3:$M$5001,BD!$B$3:$B$5001,P$149,BD!$A$3:$A$5001,_xlfn.MAXIFS(BD!$A$3:$A$5001,BD!$B$3:$B$5001,P$149,BD!$A$3:$A$5001,"&gt;="&amp;$C$7,BD!$A$3:$A$5001,"&lt;="&amp;$B158,BD!$M$3:$M$5001,"&lt;&gt;"))))</f>
        <v/>
      </c>
      <c r="Q158" s="43" t="str">
        <f>IF(OR($B158="",$A158&gt;$B$9,Q$149=""),"",IF(COUNTIFS(BD!$B$3:$B$5001,Q$149,BD!$A$3:$A$5001,"&gt;="&amp;$C$7,BD!$A$3:$A$5001,"&lt;="&amp;$B158,BD!$M$3:$M$5001,"&lt;&gt;")=0,"",SUMIFS(BD!$M$3:$M$5001,BD!$B$3:$B$5001,Q$149,BD!$A$3:$A$5001,_xlfn.MAXIFS(BD!$A$3:$A$5001,BD!$B$3:$B$5001,Q$149,BD!$A$3:$A$5001,"&gt;="&amp;$C$7,BD!$A$3:$A$5001,"&lt;="&amp;$B158,BD!$M$3:$M$5001,"&lt;&gt;"))))</f>
        <v/>
      </c>
      <c r="R158" s="43" t="str">
        <f>IF(OR($B158="",$A158&gt;$B$9,R$149=""),"",IF(COUNTIFS(BD!$B$3:$B$5001,R$149,BD!$A$3:$A$5001,"&gt;="&amp;$C$7,BD!$A$3:$A$5001,"&lt;="&amp;$B158,BD!$M$3:$M$5001,"&lt;&gt;")=0,"",SUMIFS(BD!$M$3:$M$5001,BD!$B$3:$B$5001,R$149,BD!$A$3:$A$5001,_xlfn.MAXIFS(BD!$A$3:$A$5001,BD!$B$3:$B$5001,R$149,BD!$A$3:$A$5001,"&gt;="&amp;$C$7,BD!$A$3:$A$5001,"&lt;="&amp;$B158,BD!$M$3:$M$5001,"&lt;&gt;"))))</f>
        <v/>
      </c>
      <c r="S158" s="43" t="str">
        <f>IF(OR($B158="",$A158&gt;$B$9,S$149=""),"",IF(COUNTIFS(BD!$B$3:$B$5001,S$149,BD!$A$3:$A$5001,"&gt;="&amp;$C$7,BD!$A$3:$A$5001,"&lt;="&amp;$B158,BD!$M$3:$M$5001,"&lt;&gt;")=0,"",SUMIFS(BD!$M$3:$M$5001,BD!$B$3:$B$5001,S$149,BD!$A$3:$A$5001,_xlfn.MAXIFS(BD!$A$3:$A$5001,BD!$B$3:$B$5001,S$149,BD!$A$3:$A$5001,"&gt;="&amp;$C$7,BD!$A$3:$A$5001,"&lt;="&amp;$B158,BD!$M$3:$M$5001,"&lt;&gt;"))))</f>
        <v/>
      </c>
      <c r="T158" s="43" t="str">
        <f>IF(OR($B158="",$A158&gt;$B$9,T$149=""),"",IF(COUNTIFS(BD!$B$3:$B$5001,T$149,BD!$A$3:$A$5001,"&gt;="&amp;$C$7,BD!$A$3:$A$5001,"&lt;="&amp;$B158,BD!$M$3:$M$5001,"&lt;&gt;")=0,"",SUMIFS(BD!$M$3:$M$5001,BD!$B$3:$B$5001,T$149,BD!$A$3:$A$5001,_xlfn.MAXIFS(BD!$A$3:$A$5001,BD!$B$3:$B$5001,T$149,BD!$A$3:$A$5001,"&gt;="&amp;$C$7,BD!$A$3:$A$5001,"&lt;="&amp;$B158,BD!$M$3:$M$5001,"&lt;&gt;"))))</f>
        <v/>
      </c>
      <c r="U158" s="43" t="str">
        <f>IF(OR($B158="",$A158&gt;$B$9,U$149=""),"",IF(COUNTIFS(BD!$B$3:$B$5001,U$149,BD!$A$3:$A$5001,"&gt;="&amp;$C$7,BD!$A$3:$A$5001,"&lt;="&amp;$B158,BD!$M$3:$M$5001,"&lt;&gt;")=0,"",SUMIFS(BD!$M$3:$M$5001,BD!$B$3:$B$5001,U$149,BD!$A$3:$A$5001,_xlfn.MAXIFS(BD!$A$3:$A$5001,BD!$B$3:$B$5001,U$149,BD!$A$3:$A$5001,"&gt;="&amp;$C$7,BD!$A$3:$A$5001,"&lt;="&amp;$B158,BD!$M$3:$M$5001,"&lt;&gt;"))))</f>
        <v/>
      </c>
      <c r="V158" s="43" t="str">
        <f>IF(OR($B158="",$A158&gt;$B$9,V$149=""),"",IF(COUNTIFS(BD!$B$3:$B$5001,V$149,BD!$A$3:$A$5001,"&gt;="&amp;$C$7,BD!$A$3:$A$5001,"&lt;="&amp;$B158,BD!$M$3:$M$5001,"&lt;&gt;")=0,"",SUMIFS(BD!$M$3:$M$5001,BD!$B$3:$B$5001,V$149,BD!$A$3:$A$5001,_xlfn.MAXIFS(BD!$A$3:$A$5001,BD!$B$3:$B$5001,V$149,BD!$A$3:$A$5001,"&gt;="&amp;$C$7,BD!$A$3:$A$5001,"&lt;="&amp;$B158,BD!$M$3:$M$5001,"&lt;&gt;"))))</f>
        <v/>
      </c>
    </row>
    <row r="159">
      <c r="A159" s="38">
        <v>10</v>
      </c>
      <c r="B159" s="42">
        <f>$B$21</f>
        <v>46305</v>
      </c>
      <c r="C159" s="43" t="str">
        <f>IF(OR($B159="",$A159&gt;$B$9,C$149=""),"",IF(COUNTIFS(BD!$B$3:$B$5001,C$149,BD!$A$3:$A$5001,"&gt;="&amp;$C$7,BD!$A$3:$A$5001,"&lt;="&amp;$B159,BD!$M$3:$M$5001,"&lt;&gt;")=0,"",SUMIFS(BD!$M$3:$M$5001,BD!$B$3:$B$5001,C$149,BD!$A$3:$A$5001,_xlfn.MAXIFS(BD!$A$3:$A$5001,BD!$B$3:$B$5001,C$149,BD!$A$3:$A$5001,"&gt;="&amp;$C$7,BD!$A$3:$A$5001,"&lt;="&amp;$B159,BD!$M$3:$M$5001,"&lt;&gt;"))))</f>
        <v/>
      </c>
      <c r="D159" s="43" t="str">
        <f>IF(OR($B159="",$A159&gt;$B$9,D$149=""),"",IF(COUNTIFS(BD!$B$3:$B$5001,D$149,BD!$A$3:$A$5001,"&gt;="&amp;$C$7,BD!$A$3:$A$5001,"&lt;="&amp;$B159,BD!$M$3:$M$5001,"&lt;&gt;")=0,"",SUMIFS(BD!$M$3:$M$5001,BD!$B$3:$B$5001,D$149,BD!$A$3:$A$5001,_xlfn.MAXIFS(BD!$A$3:$A$5001,BD!$B$3:$B$5001,D$149,BD!$A$3:$A$5001,"&gt;="&amp;$C$7,BD!$A$3:$A$5001,"&lt;="&amp;$B159,BD!$M$3:$M$5001,"&lt;&gt;"))))</f>
        <v/>
      </c>
      <c r="E159" s="43" t="str">
        <f>IF(OR($B159="",$A159&gt;$B$9,E$149=""),"",IF(COUNTIFS(BD!$B$3:$B$5001,E$149,BD!$A$3:$A$5001,"&gt;="&amp;$C$7,BD!$A$3:$A$5001,"&lt;="&amp;$B159,BD!$M$3:$M$5001,"&lt;&gt;")=0,"",SUMIFS(BD!$M$3:$M$5001,BD!$B$3:$B$5001,E$149,BD!$A$3:$A$5001,_xlfn.MAXIFS(BD!$A$3:$A$5001,BD!$B$3:$B$5001,E$149,BD!$A$3:$A$5001,"&gt;="&amp;$C$7,BD!$A$3:$A$5001,"&lt;="&amp;$B159,BD!$M$3:$M$5001,"&lt;&gt;"))))</f>
        <v/>
      </c>
      <c r="F159" s="43" t="str">
        <f>IF(OR($B159="",$A159&gt;$B$9,F$149=""),"",IF(COUNTIFS(BD!$B$3:$B$5001,F$149,BD!$A$3:$A$5001,"&gt;="&amp;$C$7,BD!$A$3:$A$5001,"&lt;="&amp;$B159,BD!$M$3:$M$5001,"&lt;&gt;")=0,"",SUMIFS(BD!$M$3:$M$5001,BD!$B$3:$B$5001,F$149,BD!$A$3:$A$5001,_xlfn.MAXIFS(BD!$A$3:$A$5001,BD!$B$3:$B$5001,F$149,BD!$A$3:$A$5001,"&gt;="&amp;$C$7,BD!$A$3:$A$5001,"&lt;="&amp;$B159,BD!$M$3:$M$5001,"&lt;&gt;"))))</f>
        <v/>
      </c>
      <c r="G159" s="43" t="str">
        <f>IF(OR($B159="",$A159&gt;$B$9,G$149=""),"",IF(COUNTIFS(BD!$B$3:$B$5001,G$149,BD!$A$3:$A$5001,"&gt;="&amp;$C$7,BD!$A$3:$A$5001,"&lt;="&amp;$B159,BD!$M$3:$M$5001,"&lt;&gt;")=0,"",SUMIFS(BD!$M$3:$M$5001,BD!$B$3:$B$5001,G$149,BD!$A$3:$A$5001,_xlfn.MAXIFS(BD!$A$3:$A$5001,BD!$B$3:$B$5001,G$149,BD!$A$3:$A$5001,"&gt;="&amp;$C$7,BD!$A$3:$A$5001,"&lt;="&amp;$B159,BD!$M$3:$M$5001,"&lt;&gt;"))))</f>
        <v/>
      </c>
      <c r="H159" s="43" t="str">
        <f>IF(OR($B159="",$A159&gt;$B$9,H$149=""),"",IF(COUNTIFS(BD!$B$3:$B$5001,H$149,BD!$A$3:$A$5001,"&gt;="&amp;$C$7,BD!$A$3:$A$5001,"&lt;="&amp;$B159,BD!$M$3:$M$5001,"&lt;&gt;")=0,"",SUMIFS(BD!$M$3:$M$5001,BD!$B$3:$B$5001,H$149,BD!$A$3:$A$5001,_xlfn.MAXIFS(BD!$A$3:$A$5001,BD!$B$3:$B$5001,H$149,BD!$A$3:$A$5001,"&gt;="&amp;$C$7,BD!$A$3:$A$5001,"&lt;="&amp;$B159,BD!$M$3:$M$5001,"&lt;&gt;"))))</f>
        <v/>
      </c>
      <c r="I159" s="43" t="str">
        <f>IF(OR($B159="",$A159&gt;$B$9,I$149=""),"",IF(COUNTIFS(BD!$B$3:$B$5001,I$149,BD!$A$3:$A$5001,"&gt;="&amp;$C$7,BD!$A$3:$A$5001,"&lt;="&amp;$B159,BD!$M$3:$M$5001,"&lt;&gt;")=0,"",SUMIFS(BD!$M$3:$M$5001,BD!$B$3:$B$5001,I$149,BD!$A$3:$A$5001,_xlfn.MAXIFS(BD!$A$3:$A$5001,BD!$B$3:$B$5001,I$149,BD!$A$3:$A$5001,"&gt;="&amp;$C$7,BD!$A$3:$A$5001,"&lt;="&amp;$B159,BD!$M$3:$M$5001,"&lt;&gt;"))))</f>
        <v/>
      </c>
      <c r="J159" s="43" t="str">
        <f>IF(OR($B159="",$A159&gt;$B$9,J$149=""),"",IF(COUNTIFS(BD!$B$3:$B$5001,J$149,BD!$A$3:$A$5001,"&gt;="&amp;$C$7,BD!$A$3:$A$5001,"&lt;="&amp;$B159,BD!$M$3:$M$5001,"&lt;&gt;")=0,"",SUMIFS(BD!$M$3:$M$5001,BD!$B$3:$B$5001,J$149,BD!$A$3:$A$5001,_xlfn.MAXIFS(BD!$A$3:$A$5001,BD!$B$3:$B$5001,J$149,BD!$A$3:$A$5001,"&gt;="&amp;$C$7,BD!$A$3:$A$5001,"&lt;="&amp;$B159,BD!$M$3:$M$5001,"&lt;&gt;"))))</f>
        <v/>
      </c>
      <c r="K159" s="43" t="str">
        <f>IF(OR($B159="",$A159&gt;$B$9,K$149=""),"",IF(COUNTIFS(BD!$B$3:$B$5001,K$149,BD!$A$3:$A$5001,"&gt;="&amp;$C$7,BD!$A$3:$A$5001,"&lt;="&amp;$B159,BD!$M$3:$M$5001,"&lt;&gt;")=0,"",SUMIFS(BD!$M$3:$M$5001,BD!$B$3:$B$5001,K$149,BD!$A$3:$A$5001,_xlfn.MAXIFS(BD!$A$3:$A$5001,BD!$B$3:$B$5001,K$149,BD!$A$3:$A$5001,"&gt;="&amp;$C$7,BD!$A$3:$A$5001,"&lt;="&amp;$B159,BD!$M$3:$M$5001,"&lt;&gt;"))))</f>
        <v/>
      </c>
      <c r="L159" s="43" t="str">
        <f>IF(OR($B159="",$A159&gt;$B$9,L$149=""),"",IF(COUNTIFS(BD!$B$3:$B$5001,L$149,BD!$A$3:$A$5001,"&gt;="&amp;$C$7,BD!$A$3:$A$5001,"&lt;="&amp;$B159,BD!$M$3:$M$5001,"&lt;&gt;")=0,"",SUMIFS(BD!$M$3:$M$5001,BD!$B$3:$B$5001,L$149,BD!$A$3:$A$5001,_xlfn.MAXIFS(BD!$A$3:$A$5001,BD!$B$3:$B$5001,L$149,BD!$A$3:$A$5001,"&gt;="&amp;$C$7,BD!$A$3:$A$5001,"&lt;="&amp;$B159,BD!$M$3:$M$5001,"&lt;&gt;"))))</f>
        <v/>
      </c>
      <c r="M159" s="43" t="str">
        <f>IF(OR($B159="",$A159&gt;$B$9,M$149=""),"",IF(COUNTIFS(BD!$B$3:$B$5001,M$149,BD!$A$3:$A$5001,"&gt;="&amp;$C$7,BD!$A$3:$A$5001,"&lt;="&amp;$B159,BD!$M$3:$M$5001,"&lt;&gt;")=0,"",SUMIFS(BD!$M$3:$M$5001,BD!$B$3:$B$5001,M$149,BD!$A$3:$A$5001,_xlfn.MAXIFS(BD!$A$3:$A$5001,BD!$B$3:$B$5001,M$149,BD!$A$3:$A$5001,"&gt;="&amp;$C$7,BD!$A$3:$A$5001,"&lt;="&amp;$B159,BD!$M$3:$M$5001,"&lt;&gt;"))))</f>
        <v/>
      </c>
      <c r="N159" s="43" t="str">
        <f>IF(OR($B159="",$A159&gt;$B$9,N$149=""),"",IF(COUNTIFS(BD!$B$3:$B$5001,N$149,BD!$A$3:$A$5001,"&gt;="&amp;$C$7,BD!$A$3:$A$5001,"&lt;="&amp;$B159,BD!$M$3:$M$5001,"&lt;&gt;")=0,"",SUMIFS(BD!$M$3:$M$5001,BD!$B$3:$B$5001,N$149,BD!$A$3:$A$5001,_xlfn.MAXIFS(BD!$A$3:$A$5001,BD!$B$3:$B$5001,N$149,BD!$A$3:$A$5001,"&gt;="&amp;$C$7,BD!$A$3:$A$5001,"&lt;="&amp;$B159,BD!$M$3:$M$5001,"&lt;&gt;"))))</f>
        <v/>
      </c>
      <c r="O159" s="43" t="str">
        <f>IF(OR($B159="",$A159&gt;$B$9,O$149=""),"",IF(COUNTIFS(BD!$B$3:$B$5001,O$149,BD!$A$3:$A$5001,"&gt;="&amp;$C$7,BD!$A$3:$A$5001,"&lt;="&amp;$B159,BD!$M$3:$M$5001,"&lt;&gt;")=0,"",SUMIFS(BD!$M$3:$M$5001,BD!$B$3:$B$5001,O$149,BD!$A$3:$A$5001,_xlfn.MAXIFS(BD!$A$3:$A$5001,BD!$B$3:$B$5001,O$149,BD!$A$3:$A$5001,"&gt;="&amp;$C$7,BD!$A$3:$A$5001,"&lt;="&amp;$B159,BD!$M$3:$M$5001,"&lt;&gt;"))))</f>
        <v/>
      </c>
      <c r="P159" s="43" t="str">
        <f>IF(OR($B159="",$A159&gt;$B$9,P$149=""),"",IF(COUNTIFS(BD!$B$3:$B$5001,P$149,BD!$A$3:$A$5001,"&gt;="&amp;$C$7,BD!$A$3:$A$5001,"&lt;="&amp;$B159,BD!$M$3:$M$5001,"&lt;&gt;")=0,"",SUMIFS(BD!$M$3:$M$5001,BD!$B$3:$B$5001,P$149,BD!$A$3:$A$5001,_xlfn.MAXIFS(BD!$A$3:$A$5001,BD!$B$3:$B$5001,P$149,BD!$A$3:$A$5001,"&gt;="&amp;$C$7,BD!$A$3:$A$5001,"&lt;="&amp;$B159,BD!$M$3:$M$5001,"&lt;&gt;"))))</f>
        <v/>
      </c>
      <c r="Q159" s="43" t="str">
        <f>IF(OR($B159="",$A159&gt;$B$9,Q$149=""),"",IF(COUNTIFS(BD!$B$3:$B$5001,Q$149,BD!$A$3:$A$5001,"&gt;="&amp;$C$7,BD!$A$3:$A$5001,"&lt;="&amp;$B159,BD!$M$3:$M$5001,"&lt;&gt;")=0,"",SUMIFS(BD!$M$3:$M$5001,BD!$B$3:$B$5001,Q$149,BD!$A$3:$A$5001,_xlfn.MAXIFS(BD!$A$3:$A$5001,BD!$B$3:$B$5001,Q$149,BD!$A$3:$A$5001,"&gt;="&amp;$C$7,BD!$A$3:$A$5001,"&lt;="&amp;$B159,BD!$M$3:$M$5001,"&lt;&gt;"))))</f>
        <v/>
      </c>
      <c r="R159" s="43" t="str">
        <f>IF(OR($B159="",$A159&gt;$B$9,R$149=""),"",IF(COUNTIFS(BD!$B$3:$B$5001,R$149,BD!$A$3:$A$5001,"&gt;="&amp;$C$7,BD!$A$3:$A$5001,"&lt;="&amp;$B159,BD!$M$3:$M$5001,"&lt;&gt;")=0,"",SUMIFS(BD!$M$3:$M$5001,BD!$B$3:$B$5001,R$149,BD!$A$3:$A$5001,_xlfn.MAXIFS(BD!$A$3:$A$5001,BD!$B$3:$B$5001,R$149,BD!$A$3:$A$5001,"&gt;="&amp;$C$7,BD!$A$3:$A$5001,"&lt;="&amp;$B159,BD!$M$3:$M$5001,"&lt;&gt;"))))</f>
        <v/>
      </c>
      <c r="S159" s="43" t="str">
        <f>IF(OR($B159="",$A159&gt;$B$9,S$149=""),"",IF(COUNTIFS(BD!$B$3:$B$5001,S$149,BD!$A$3:$A$5001,"&gt;="&amp;$C$7,BD!$A$3:$A$5001,"&lt;="&amp;$B159,BD!$M$3:$M$5001,"&lt;&gt;")=0,"",SUMIFS(BD!$M$3:$M$5001,BD!$B$3:$B$5001,S$149,BD!$A$3:$A$5001,_xlfn.MAXIFS(BD!$A$3:$A$5001,BD!$B$3:$B$5001,S$149,BD!$A$3:$A$5001,"&gt;="&amp;$C$7,BD!$A$3:$A$5001,"&lt;="&amp;$B159,BD!$M$3:$M$5001,"&lt;&gt;"))))</f>
        <v/>
      </c>
      <c r="T159" s="43" t="str">
        <f>IF(OR($B159="",$A159&gt;$B$9,T$149=""),"",IF(COUNTIFS(BD!$B$3:$B$5001,T$149,BD!$A$3:$A$5001,"&gt;="&amp;$C$7,BD!$A$3:$A$5001,"&lt;="&amp;$B159,BD!$M$3:$M$5001,"&lt;&gt;")=0,"",SUMIFS(BD!$M$3:$M$5001,BD!$B$3:$B$5001,T$149,BD!$A$3:$A$5001,_xlfn.MAXIFS(BD!$A$3:$A$5001,BD!$B$3:$B$5001,T$149,BD!$A$3:$A$5001,"&gt;="&amp;$C$7,BD!$A$3:$A$5001,"&lt;="&amp;$B159,BD!$M$3:$M$5001,"&lt;&gt;"))))</f>
        <v/>
      </c>
      <c r="U159" s="43" t="str">
        <f>IF(OR($B159="",$A159&gt;$B$9,U$149=""),"",IF(COUNTIFS(BD!$B$3:$B$5001,U$149,BD!$A$3:$A$5001,"&gt;="&amp;$C$7,BD!$A$3:$A$5001,"&lt;="&amp;$B159,BD!$M$3:$M$5001,"&lt;&gt;")=0,"",SUMIFS(BD!$M$3:$M$5001,BD!$B$3:$B$5001,U$149,BD!$A$3:$A$5001,_xlfn.MAXIFS(BD!$A$3:$A$5001,BD!$B$3:$B$5001,U$149,BD!$A$3:$A$5001,"&gt;="&amp;$C$7,BD!$A$3:$A$5001,"&lt;="&amp;$B159,BD!$M$3:$M$5001,"&lt;&gt;"))))</f>
        <v/>
      </c>
      <c r="V159" s="43" t="str">
        <f>IF(OR($B159="",$A159&gt;$B$9,V$149=""),"",IF(COUNTIFS(BD!$B$3:$B$5001,V$149,BD!$A$3:$A$5001,"&gt;="&amp;$C$7,BD!$A$3:$A$5001,"&lt;="&amp;$B159,BD!$M$3:$M$5001,"&lt;&gt;")=0,"",SUMIFS(BD!$M$3:$M$5001,BD!$B$3:$B$5001,V$149,BD!$A$3:$A$5001,_xlfn.MAXIFS(BD!$A$3:$A$5001,BD!$B$3:$B$5001,V$149,BD!$A$3:$A$5001,"&gt;="&amp;$C$7,BD!$A$3:$A$5001,"&lt;="&amp;$B159,BD!$M$3:$M$5001,"&lt;&gt;"))))</f>
        <v/>
      </c>
    </row>
    <row r="160">
      <c r="A160" s="38">
        <v>11</v>
      </c>
      <c r="B160" s="42">
        <f>$B$22</f>
        <v>46306</v>
      </c>
      <c r="C160" s="43" t="str">
        <f>IF(OR($B160="",$A160&gt;$B$9,C$149=""),"",IF(COUNTIFS(BD!$B$3:$B$5001,C$149,BD!$A$3:$A$5001,"&gt;="&amp;$C$7,BD!$A$3:$A$5001,"&lt;="&amp;$B160,BD!$M$3:$M$5001,"&lt;&gt;")=0,"",SUMIFS(BD!$M$3:$M$5001,BD!$B$3:$B$5001,C$149,BD!$A$3:$A$5001,_xlfn.MAXIFS(BD!$A$3:$A$5001,BD!$B$3:$B$5001,C$149,BD!$A$3:$A$5001,"&gt;="&amp;$C$7,BD!$A$3:$A$5001,"&lt;="&amp;$B160,BD!$M$3:$M$5001,"&lt;&gt;"))))</f>
        <v/>
      </c>
      <c r="D160" s="43" t="str">
        <f>IF(OR($B160="",$A160&gt;$B$9,D$149=""),"",IF(COUNTIFS(BD!$B$3:$B$5001,D$149,BD!$A$3:$A$5001,"&gt;="&amp;$C$7,BD!$A$3:$A$5001,"&lt;="&amp;$B160,BD!$M$3:$M$5001,"&lt;&gt;")=0,"",SUMIFS(BD!$M$3:$M$5001,BD!$B$3:$B$5001,D$149,BD!$A$3:$A$5001,_xlfn.MAXIFS(BD!$A$3:$A$5001,BD!$B$3:$B$5001,D$149,BD!$A$3:$A$5001,"&gt;="&amp;$C$7,BD!$A$3:$A$5001,"&lt;="&amp;$B160,BD!$M$3:$M$5001,"&lt;&gt;"))))</f>
        <v/>
      </c>
      <c r="E160" s="43" t="str">
        <f>IF(OR($B160="",$A160&gt;$B$9,E$149=""),"",IF(COUNTIFS(BD!$B$3:$B$5001,E$149,BD!$A$3:$A$5001,"&gt;="&amp;$C$7,BD!$A$3:$A$5001,"&lt;="&amp;$B160,BD!$M$3:$M$5001,"&lt;&gt;")=0,"",SUMIFS(BD!$M$3:$M$5001,BD!$B$3:$B$5001,E$149,BD!$A$3:$A$5001,_xlfn.MAXIFS(BD!$A$3:$A$5001,BD!$B$3:$B$5001,E$149,BD!$A$3:$A$5001,"&gt;="&amp;$C$7,BD!$A$3:$A$5001,"&lt;="&amp;$B160,BD!$M$3:$M$5001,"&lt;&gt;"))))</f>
        <v/>
      </c>
      <c r="F160" s="43" t="str">
        <f>IF(OR($B160="",$A160&gt;$B$9,F$149=""),"",IF(COUNTIFS(BD!$B$3:$B$5001,F$149,BD!$A$3:$A$5001,"&gt;="&amp;$C$7,BD!$A$3:$A$5001,"&lt;="&amp;$B160,BD!$M$3:$M$5001,"&lt;&gt;")=0,"",SUMIFS(BD!$M$3:$M$5001,BD!$B$3:$B$5001,F$149,BD!$A$3:$A$5001,_xlfn.MAXIFS(BD!$A$3:$A$5001,BD!$B$3:$B$5001,F$149,BD!$A$3:$A$5001,"&gt;="&amp;$C$7,BD!$A$3:$A$5001,"&lt;="&amp;$B160,BD!$M$3:$M$5001,"&lt;&gt;"))))</f>
        <v/>
      </c>
      <c r="G160" s="43" t="str">
        <f>IF(OR($B160="",$A160&gt;$B$9,G$149=""),"",IF(COUNTIFS(BD!$B$3:$B$5001,G$149,BD!$A$3:$A$5001,"&gt;="&amp;$C$7,BD!$A$3:$A$5001,"&lt;="&amp;$B160,BD!$M$3:$M$5001,"&lt;&gt;")=0,"",SUMIFS(BD!$M$3:$M$5001,BD!$B$3:$B$5001,G$149,BD!$A$3:$A$5001,_xlfn.MAXIFS(BD!$A$3:$A$5001,BD!$B$3:$B$5001,G$149,BD!$A$3:$A$5001,"&gt;="&amp;$C$7,BD!$A$3:$A$5001,"&lt;="&amp;$B160,BD!$M$3:$M$5001,"&lt;&gt;"))))</f>
        <v/>
      </c>
      <c r="H160" s="43" t="str">
        <f>IF(OR($B160="",$A160&gt;$B$9,H$149=""),"",IF(COUNTIFS(BD!$B$3:$B$5001,H$149,BD!$A$3:$A$5001,"&gt;="&amp;$C$7,BD!$A$3:$A$5001,"&lt;="&amp;$B160,BD!$M$3:$M$5001,"&lt;&gt;")=0,"",SUMIFS(BD!$M$3:$M$5001,BD!$B$3:$B$5001,H$149,BD!$A$3:$A$5001,_xlfn.MAXIFS(BD!$A$3:$A$5001,BD!$B$3:$B$5001,H$149,BD!$A$3:$A$5001,"&gt;="&amp;$C$7,BD!$A$3:$A$5001,"&lt;="&amp;$B160,BD!$M$3:$M$5001,"&lt;&gt;"))))</f>
        <v/>
      </c>
      <c r="I160" s="43" t="str">
        <f>IF(OR($B160="",$A160&gt;$B$9,I$149=""),"",IF(COUNTIFS(BD!$B$3:$B$5001,I$149,BD!$A$3:$A$5001,"&gt;="&amp;$C$7,BD!$A$3:$A$5001,"&lt;="&amp;$B160,BD!$M$3:$M$5001,"&lt;&gt;")=0,"",SUMIFS(BD!$M$3:$M$5001,BD!$B$3:$B$5001,I$149,BD!$A$3:$A$5001,_xlfn.MAXIFS(BD!$A$3:$A$5001,BD!$B$3:$B$5001,I$149,BD!$A$3:$A$5001,"&gt;="&amp;$C$7,BD!$A$3:$A$5001,"&lt;="&amp;$B160,BD!$M$3:$M$5001,"&lt;&gt;"))))</f>
        <v/>
      </c>
      <c r="J160" s="43" t="str">
        <f>IF(OR($B160="",$A160&gt;$B$9,J$149=""),"",IF(COUNTIFS(BD!$B$3:$B$5001,J$149,BD!$A$3:$A$5001,"&gt;="&amp;$C$7,BD!$A$3:$A$5001,"&lt;="&amp;$B160,BD!$M$3:$M$5001,"&lt;&gt;")=0,"",SUMIFS(BD!$M$3:$M$5001,BD!$B$3:$B$5001,J$149,BD!$A$3:$A$5001,_xlfn.MAXIFS(BD!$A$3:$A$5001,BD!$B$3:$B$5001,J$149,BD!$A$3:$A$5001,"&gt;="&amp;$C$7,BD!$A$3:$A$5001,"&lt;="&amp;$B160,BD!$M$3:$M$5001,"&lt;&gt;"))))</f>
        <v/>
      </c>
      <c r="K160" s="43" t="str">
        <f>IF(OR($B160="",$A160&gt;$B$9,K$149=""),"",IF(COUNTIFS(BD!$B$3:$B$5001,K$149,BD!$A$3:$A$5001,"&gt;="&amp;$C$7,BD!$A$3:$A$5001,"&lt;="&amp;$B160,BD!$M$3:$M$5001,"&lt;&gt;")=0,"",SUMIFS(BD!$M$3:$M$5001,BD!$B$3:$B$5001,K$149,BD!$A$3:$A$5001,_xlfn.MAXIFS(BD!$A$3:$A$5001,BD!$B$3:$B$5001,K$149,BD!$A$3:$A$5001,"&gt;="&amp;$C$7,BD!$A$3:$A$5001,"&lt;="&amp;$B160,BD!$M$3:$M$5001,"&lt;&gt;"))))</f>
        <v/>
      </c>
      <c r="L160" s="43" t="str">
        <f>IF(OR($B160="",$A160&gt;$B$9,L$149=""),"",IF(COUNTIFS(BD!$B$3:$B$5001,L$149,BD!$A$3:$A$5001,"&gt;="&amp;$C$7,BD!$A$3:$A$5001,"&lt;="&amp;$B160,BD!$M$3:$M$5001,"&lt;&gt;")=0,"",SUMIFS(BD!$M$3:$M$5001,BD!$B$3:$B$5001,L$149,BD!$A$3:$A$5001,_xlfn.MAXIFS(BD!$A$3:$A$5001,BD!$B$3:$B$5001,L$149,BD!$A$3:$A$5001,"&gt;="&amp;$C$7,BD!$A$3:$A$5001,"&lt;="&amp;$B160,BD!$M$3:$M$5001,"&lt;&gt;"))))</f>
        <v/>
      </c>
      <c r="M160" s="43" t="str">
        <f>IF(OR($B160="",$A160&gt;$B$9,M$149=""),"",IF(COUNTIFS(BD!$B$3:$B$5001,M$149,BD!$A$3:$A$5001,"&gt;="&amp;$C$7,BD!$A$3:$A$5001,"&lt;="&amp;$B160,BD!$M$3:$M$5001,"&lt;&gt;")=0,"",SUMIFS(BD!$M$3:$M$5001,BD!$B$3:$B$5001,M$149,BD!$A$3:$A$5001,_xlfn.MAXIFS(BD!$A$3:$A$5001,BD!$B$3:$B$5001,M$149,BD!$A$3:$A$5001,"&gt;="&amp;$C$7,BD!$A$3:$A$5001,"&lt;="&amp;$B160,BD!$M$3:$M$5001,"&lt;&gt;"))))</f>
        <v/>
      </c>
      <c r="N160" s="43" t="str">
        <f>IF(OR($B160="",$A160&gt;$B$9,N$149=""),"",IF(COUNTIFS(BD!$B$3:$B$5001,N$149,BD!$A$3:$A$5001,"&gt;="&amp;$C$7,BD!$A$3:$A$5001,"&lt;="&amp;$B160,BD!$M$3:$M$5001,"&lt;&gt;")=0,"",SUMIFS(BD!$M$3:$M$5001,BD!$B$3:$B$5001,N$149,BD!$A$3:$A$5001,_xlfn.MAXIFS(BD!$A$3:$A$5001,BD!$B$3:$B$5001,N$149,BD!$A$3:$A$5001,"&gt;="&amp;$C$7,BD!$A$3:$A$5001,"&lt;="&amp;$B160,BD!$M$3:$M$5001,"&lt;&gt;"))))</f>
        <v/>
      </c>
      <c r="O160" s="43" t="str">
        <f>IF(OR($B160="",$A160&gt;$B$9,O$149=""),"",IF(COUNTIFS(BD!$B$3:$B$5001,O$149,BD!$A$3:$A$5001,"&gt;="&amp;$C$7,BD!$A$3:$A$5001,"&lt;="&amp;$B160,BD!$M$3:$M$5001,"&lt;&gt;")=0,"",SUMIFS(BD!$M$3:$M$5001,BD!$B$3:$B$5001,O$149,BD!$A$3:$A$5001,_xlfn.MAXIFS(BD!$A$3:$A$5001,BD!$B$3:$B$5001,O$149,BD!$A$3:$A$5001,"&gt;="&amp;$C$7,BD!$A$3:$A$5001,"&lt;="&amp;$B160,BD!$M$3:$M$5001,"&lt;&gt;"))))</f>
        <v/>
      </c>
      <c r="P160" s="43" t="str">
        <f>IF(OR($B160="",$A160&gt;$B$9,P$149=""),"",IF(COUNTIFS(BD!$B$3:$B$5001,P$149,BD!$A$3:$A$5001,"&gt;="&amp;$C$7,BD!$A$3:$A$5001,"&lt;="&amp;$B160,BD!$M$3:$M$5001,"&lt;&gt;")=0,"",SUMIFS(BD!$M$3:$M$5001,BD!$B$3:$B$5001,P$149,BD!$A$3:$A$5001,_xlfn.MAXIFS(BD!$A$3:$A$5001,BD!$B$3:$B$5001,P$149,BD!$A$3:$A$5001,"&gt;="&amp;$C$7,BD!$A$3:$A$5001,"&lt;="&amp;$B160,BD!$M$3:$M$5001,"&lt;&gt;"))))</f>
        <v/>
      </c>
      <c r="Q160" s="43" t="str">
        <f>IF(OR($B160="",$A160&gt;$B$9,Q$149=""),"",IF(COUNTIFS(BD!$B$3:$B$5001,Q$149,BD!$A$3:$A$5001,"&gt;="&amp;$C$7,BD!$A$3:$A$5001,"&lt;="&amp;$B160,BD!$M$3:$M$5001,"&lt;&gt;")=0,"",SUMIFS(BD!$M$3:$M$5001,BD!$B$3:$B$5001,Q$149,BD!$A$3:$A$5001,_xlfn.MAXIFS(BD!$A$3:$A$5001,BD!$B$3:$B$5001,Q$149,BD!$A$3:$A$5001,"&gt;="&amp;$C$7,BD!$A$3:$A$5001,"&lt;="&amp;$B160,BD!$M$3:$M$5001,"&lt;&gt;"))))</f>
        <v/>
      </c>
      <c r="R160" s="43" t="str">
        <f>IF(OR($B160="",$A160&gt;$B$9,R$149=""),"",IF(COUNTIFS(BD!$B$3:$B$5001,R$149,BD!$A$3:$A$5001,"&gt;="&amp;$C$7,BD!$A$3:$A$5001,"&lt;="&amp;$B160,BD!$M$3:$M$5001,"&lt;&gt;")=0,"",SUMIFS(BD!$M$3:$M$5001,BD!$B$3:$B$5001,R$149,BD!$A$3:$A$5001,_xlfn.MAXIFS(BD!$A$3:$A$5001,BD!$B$3:$B$5001,R$149,BD!$A$3:$A$5001,"&gt;="&amp;$C$7,BD!$A$3:$A$5001,"&lt;="&amp;$B160,BD!$M$3:$M$5001,"&lt;&gt;"))))</f>
        <v/>
      </c>
      <c r="S160" s="43" t="str">
        <f>IF(OR($B160="",$A160&gt;$B$9,S$149=""),"",IF(COUNTIFS(BD!$B$3:$B$5001,S$149,BD!$A$3:$A$5001,"&gt;="&amp;$C$7,BD!$A$3:$A$5001,"&lt;="&amp;$B160,BD!$M$3:$M$5001,"&lt;&gt;")=0,"",SUMIFS(BD!$M$3:$M$5001,BD!$B$3:$B$5001,S$149,BD!$A$3:$A$5001,_xlfn.MAXIFS(BD!$A$3:$A$5001,BD!$B$3:$B$5001,S$149,BD!$A$3:$A$5001,"&gt;="&amp;$C$7,BD!$A$3:$A$5001,"&lt;="&amp;$B160,BD!$M$3:$M$5001,"&lt;&gt;"))))</f>
        <v/>
      </c>
      <c r="T160" s="43" t="str">
        <f>IF(OR($B160="",$A160&gt;$B$9,T$149=""),"",IF(COUNTIFS(BD!$B$3:$B$5001,T$149,BD!$A$3:$A$5001,"&gt;="&amp;$C$7,BD!$A$3:$A$5001,"&lt;="&amp;$B160,BD!$M$3:$M$5001,"&lt;&gt;")=0,"",SUMIFS(BD!$M$3:$M$5001,BD!$B$3:$B$5001,T$149,BD!$A$3:$A$5001,_xlfn.MAXIFS(BD!$A$3:$A$5001,BD!$B$3:$B$5001,T$149,BD!$A$3:$A$5001,"&gt;="&amp;$C$7,BD!$A$3:$A$5001,"&lt;="&amp;$B160,BD!$M$3:$M$5001,"&lt;&gt;"))))</f>
        <v/>
      </c>
      <c r="U160" s="43" t="str">
        <f>IF(OR($B160="",$A160&gt;$B$9,U$149=""),"",IF(COUNTIFS(BD!$B$3:$B$5001,U$149,BD!$A$3:$A$5001,"&gt;="&amp;$C$7,BD!$A$3:$A$5001,"&lt;="&amp;$B160,BD!$M$3:$M$5001,"&lt;&gt;")=0,"",SUMIFS(BD!$M$3:$M$5001,BD!$B$3:$B$5001,U$149,BD!$A$3:$A$5001,_xlfn.MAXIFS(BD!$A$3:$A$5001,BD!$B$3:$B$5001,U$149,BD!$A$3:$A$5001,"&gt;="&amp;$C$7,BD!$A$3:$A$5001,"&lt;="&amp;$B160,BD!$M$3:$M$5001,"&lt;&gt;"))))</f>
        <v/>
      </c>
      <c r="V160" s="43" t="str">
        <f>IF(OR($B160="",$A160&gt;$B$9,V$149=""),"",IF(COUNTIFS(BD!$B$3:$B$5001,V$149,BD!$A$3:$A$5001,"&gt;="&amp;$C$7,BD!$A$3:$A$5001,"&lt;="&amp;$B160,BD!$M$3:$M$5001,"&lt;&gt;")=0,"",SUMIFS(BD!$M$3:$M$5001,BD!$B$3:$B$5001,V$149,BD!$A$3:$A$5001,_xlfn.MAXIFS(BD!$A$3:$A$5001,BD!$B$3:$B$5001,V$149,BD!$A$3:$A$5001,"&gt;="&amp;$C$7,BD!$A$3:$A$5001,"&lt;="&amp;$B160,BD!$M$3:$M$5001,"&lt;&gt;"))))</f>
        <v/>
      </c>
    </row>
    <row r="161">
      <c r="A161" s="38">
        <v>12</v>
      </c>
      <c r="B161" s="42">
        <f>$B$23</f>
        <v>46307</v>
      </c>
      <c r="C161" s="43" t="str">
        <f>IF(OR($B161="",$A161&gt;$B$9,C$149=""),"",IF(COUNTIFS(BD!$B$3:$B$5001,C$149,BD!$A$3:$A$5001,"&gt;="&amp;$C$7,BD!$A$3:$A$5001,"&lt;="&amp;$B161,BD!$M$3:$M$5001,"&lt;&gt;")=0,"",SUMIFS(BD!$M$3:$M$5001,BD!$B$3:$B$5001,C$149,BD!$A$3:$A$5001,_xlfn.MAXIFS(BD!$A$3:$A$5001,BD!$B$3:$B$5001,C$149,BD!$A$3:$A$5001,"&gt;="&amp;$C$7,BD!$A$3:$A$5001,"&lt;="&amp;$B161,BD!$M$3:$M$5001,"&lt;&gt;"))))</f>
        <v/>
      </c>
      <c r="D161" s="43" t="str">
        <f>IF(OR($B161="",$A161&gt;$B$9,D$149=""),"",IF(COUNTIFS(BD!$B$3:$B$5001,D$149,BD!$A$3:$A$5001,"&gt;="&amp;$C$7,BD!$A$3:$A$5001,"&lt;="&amp;$B161,BD!$M$3:$M$5001,"&lt;&gt;")=0,"",SUMIFS(BD!$M$3:$M$5001,BD!$B$3:$B$5001,D$149,BD!$A$3:$A$5001,_xlfn.MAXIFS(BD!$A$3:$A$5001,BD!$B$3:$B$5001,D$149,BD!$A$3:$A$5001,"&gt;="&amp;$C$7,BD!$A$3:$A$5001,"&lt;="&amp;$B161,BD!$M$3:$M$5001,"&lt;&gt;"))))</f>
        <v/>
      </c>
      <c r="E161" s="43" t="str">
        <f>IF(OR($B161="",$A161&gt;$B$9,E$149=""),"",IF(COUNTIFS(BD!$B$3:$B$5001,E$149,BD!$A$3:$A$5001,"&gt;="&amp;$C$7,BD!$A$3:$A$5001,"&lt;="&amp;$B161,BD!$M$3:$M$5001,"&lt;&gt;")=0,"",SUMIFS(BD!$M$3:$M$5001,BD!$B$3:$B$5001,E$149,BD!$A$3:$A$5001,_xlfn.MAXIFS(BD!$A$3:$A$5001,BD!$B$3:$B$5001,E$149,BD!$A$3:$A$5001,"&gt;="&amp;$C$7,BD!$A$3:$A$5001,"&lt;="&amp;$B161,BD!$M$3:$M$5001,"&lt;&gt;"))))</f>
        <v/>
      </c>
      <c r="F161" s="43" t="str">
        <f>IF(OR($B161="",$A161&gt;$B$9,F$149=""),"",IF(COUNTIFS(BD!$B$3:$B$5001,F$149,BD!$A$3:$A$5001,"&gt;="&amp;$C$7,BD!$A$3:$A$5001,"&lt;="&amp;$B161,BD!$M$3:$M$5001,"&lt;&gt;")=0,"",SUMIFS(BD!$M$3:$M$5001,BD!$B$3:$B$5001,F$149,BD!$A$3:$A$5001,_xlfn.MAXIFS(BD!$A$3:$A$5001,BD!$B$3:$B$5001,F$149,BD!$A$3:$A$5001,"&gt;="&amp;$C$7,BD!$A$3:$A$5001,"&lt;="&amp;$B161,BD!$M$3:$M$5001,"&lt;&gt;"))))</f>
        <v/>
      </c>
      <c r="G161" s="43" t="str">
        <f>IF(OR($B161="",$A161&gt;$B$9,G$149=""),"",IF(COUNTIFS(BD!$B$3:$B$5001,G$149,BD!$A$3:$A$5001,"&gt;="&amp;$C$7,BD!$A$3:$A$5001,"&lt;="&amp;$B161,BD!$M$3:$M$5001,"&lt;&gt;")=0,"",SUMIFS(BD!$M$3:$M$5001,BD!$B$3:$B$5001,G$149,BD!$A$3:$A$5001,_xlfn.MAXIFS(BD!$A$3:$A$5001,BD!$B$3:$B$5001,G$149,BD!$A$3:$A$5001,"&gt;="&amp;$C$7,BD!$A$3:$A$5001,"&lt;="&amp;$B161,BD!$M$3:$M$5001,"&lt;&gt;"))))</f>
        <v/>
      </c>
      <c r="H161" s="43" t="str">
        <f>IF(OR($B161="",$A161&gt;$B$9,H$149=""),"",IF(COUNTIFS(BD!$B$3:$B$5001,H$149,BD!$A$3:$A$5001,"&gt;="&amp;$C$7,BD!$A$3:$A$5001,"&lt;="&amp;$B161,BD!$M$3:$M$5001,"&lt;&gt;")=0,"",SUMIFS(BD!$M$3:$M$5001,BD!$B$3:$B$5001,H$149,BD!$A$3:$A$5001,_xlfn.MAXIFS(BD!$A$3:$A$5001,BD!$B$3:$B$5001,H$149,BD!$A$3:$A$5001,"&gt;="&amp;$C$7,BD!$A$3:$A$5001,"&lt;="&amp;$B161,BD!$M$3:$M$5001,"&lt;&gt;"))))</f>
        <v/>
      </c>
      <c r="I161" s="43" t="str">
        <f>IF(OR($B161="",$A161&gt;$B$9,I$149=""),"",IF(COUNTIFS(BD!$B$3:$B$5001,I$149,BD!$A$3:$A$5001,"&gt;="&amp;$C$7,BD!$A$3:$A$5001,"&lt;="&amp;$B161,BD!$M$3:$M$5001,"&lt;&gt;")=0,"",SUMIFS(BD!$M$3:$M$5001,BD!$B$3:$B$5001,I$149,BD!$A$3:$A$5001,_xlfn.MAXIFS(BD!$A$3:$A$5001,BD!$B$3:$B$5001,I$149,BD!$A$3:$A$5001,"&gt;="&amp;$C$7,BD!$A$3:$A$5001,"&lt;="&amp;$B161,BD!$M$3:$M$5001,"&lt;&gt;"))))</f>
        <v/>
      </c>
      <c r="J161" s="43" t="str">
        <f>IF(OR($B161="",$A161&gt;$B$9,J$149=""),"",IF(COUNTIFS(BD!$B$3:$B$5001,J$149,BD!$A$3:$A$5001,"&gt;="&amp;$C$7,BD!$A$3:$A$5001,"&lt;="&amp;$B161,BD!$M$3:$M$5001,"&lt;&gt;")=0,"",SUMIFS(BD!$M$3:$M$5001,BD!$B$3:$B$5001,J$149,BD!$A$3:$A$5001,_xlfn.MAXIFS(BD!$A$3:$A$5001,BD!$B$3:$B$5001,J$149,BD!$A$3:$A$5001,"&gt;="&amp;$C$7,BD!$A$3:$A$5001,"&lt;="&amp;$B161,BD!$M$3:$M$5001,"&lt;&gt;"))))</f>
        <v/>
      </c>
      <c r="K161" s="43" t="str">
        <f>IF(OR($B161="",$A161&gt;$B$9,K$149=""),"",IF(COUNTIFS(BD!$B$3:$B$5001,K$149,BD!$A$3:$A$5001,"&gt;="&amp;$C$7,BD!$A$3:$A$5001,"&lt;="&amp;$B161,BD!$M$3:$M$5001,"&lt;&gt;")=0,"",SUMIFS(BD!$M$3:$M$5001,BD!$B$3:$B$5001,K$149,BD!$A$3:$A$5001,_xlfn.MAXIFS(BD!$A$3:$A$5001,BD!$B$3:$B$5001,K$149,BD!$A$3:$A$5001,"&gt;="&amp;$C$7,BD!$A$3:$A$5001,"&lt;="&amp;$B161,BD!$M$3:$M$5001,"&lt;&gt;"))))</f>
        <v/>
      </c>
      <c r="L161" s="43" t="str">
        <f>IF(OR($B161="",$A161&gt;$B$9,L$149=""),"",IF(COUNTIFS(BD!$B$3:$B$5001,L$149,BD!$A$3:$A$5001,"&gt;="&amp;$C$7,BD!$A$3:$A$5001,"&lt;="&amp;$B161,BD!$M$3:$M$5001,"&lt;&gt;")=0,"",SUMIFS(BD!$M$3:$M$5001,BD!$B$3:$B$5001,L$149,BD!$A$3:$A$5001,_xlfn.MAXIFS(BD!$A$3:$A$5001,BD!$B$3:$B$5001,L$149,BD!$A$3:$A$5001,"&gt;="&amp;$C$7,BD!$A$3:$A$5001,"&lt;="&amp;$B161,BD!$M$3:$M$5001,"&lt;&gt;"))))</f>
        <v/>
      </c>
      <c r="M161" s="43" t="str">
        <f>IF(OR($B161="",$A161&gt;$B$9,M$149=""),"",IF(COUNTIFS(BD!$B$3:$B$5001,M$149,BD!$A$3:$A$5001,"&gt;="&amp;$C$7,BD!$A$3:$A$5001,"&lt;="&amp;$B161,BD!$M$3:$M$5001,"&lt;&gt;")=0,"",SUMIFS(BD!$M$3:$M$5001,BD!$B$3:$B$5001,M$149,BD!$A$3:$A$5001,_xlfn.MAXIFS(BD!$A$3:$A$5001,BD!$B$3:$B$5001,M$149,BD!$A$3:$A$5001,"&gt;="&amp;$C$7,BD!$A$3:$A$5001,"&lt;="&amp;$B161,BD!$M$3:$M$5001,"&lt;&gt;"))))</f>
        <v/>
      </c>
      <c r="N161" s="43" t="str">
        <f>IF(OR($B161="",$A161&gt;$B$9,N$149=""),"",IF(COUNTIFS(BD!$B$3:$B$5001,N$149,BD!$A$3:$A$5001,"&gt;="&amp;$C$7,BD!$A$3:$A$5001,"&lt;="&amp;$B161,BD!$M$3:$M$5001,"&lt;&gt;")=0,"",SUMIFS(BD!$M$3:$M$5001,BD!$B$3:$B$5001,N$149,BD!$A$3:$A$5001,_xlfn.MAXIFS(BD!$A$3:$A$5001,BD!$B$3:$B$5001,N$149,BD!$A$3:$A$5001,"&gt;="&amp;$C$7,BD!$A$3:$A$5001,"&lt;="&amp;$B161,BD!$M$3:$M$5001,"&lt;&gt;"))))</f>
        <v/>
      </c>
      <c r="O161" s="43" t="str">
        <f>IF(OR($B161="",$A161&gt;$B$9,O$149=""),"",IF(COUNTIFS(BD!$B$3:$B$5001,O$149,BD!$A$3:$A$5001,"&gt;="&amp;$C$7,BD!$A$3:$A$5001,"&lt;="&amp;$B161,BD!$M$3:$M$5001,"&lt;&gt;")=0,"",SUMIFS(BD!$M$3:$M$5001,BD!$B$3:$B$5001,O$149,BD!$A$3:$A$5001,_xlfn.MAXIFS(BD!$A$3:$A$5001,BD!$B$3:$B$5001,O$149,BD!$A$3:$A$5001,"&gt;="&amp;$C$7,BD!$A$3:$A$5001,"&lt;="&amp;$B161,BD!$M$3:$M$5001,"&lt;&gt;"))))</f>
        <v/>
      </c>
      <c r="P161" s="43" t="str">
        <f>IF(OR($B161="",$A161&gt;$B$9,P$149=""),"",IF(COUNTIFS(BD!$B$3:$B$5001,P$149,BD!$A$3:$A$5001,"&gt;="&amp;$C$7,BD!$A$3:$A$5001,"&lt;="&amp;$B161,BD!$M$3:$M$5001,"&lt;&gt;")=0,"",SUMIFS(BD!$M$3:$M$5001,BD!$B$3:$B$5001,P$149,BD!$A$3:$A$5001,_xlfn.MAXIFS(BD!$A$3:$A$5001,BD!$B$3:$B$5001,P$149,BD!$A$3:$A$5001,"&gt;="&amp;$C$7,BD!$A$3:$A$5001,"&lt;="&amp;$B161,BD!$M$3:$M$5001,"&lt;&gt;"))))</f>
        <v/>
      </c>
      <c r="Q161" s="43" t="str">
        <f>IF(OR($B161="",$A161&gt;$B$9,Q$149=""),"",IF(COUNTIFS(BD!$B$3:$B$5001,Q$149,BD!$A$3:$A$5001,"&gt;="&amp;$C$7,BD!$A$3:$A$5001,"&lt;="&amp;$B161,BD!$M$3:$M$5001,"&lt;&gt;")=0,"",SUMIFS(BD!$M$3:$M$5001,BD!$B$3:$B$5001,Q$149,BD!$A$3:$A$5001,_xlfn.MAXIFS(BD!$A$3:$A$5001,BD!$B$3:$B$5001,Q$149,BD!$A$3:$A$5001,"&gt;="&amp;$C$7,BD!$A$3:$A$5001,"&lt;="&amp;$B161,BD!$M$3:$M$5001,"&lt;&gt;"))))</f>
        <v/>
      </c>
      <c r="R161" s="43" t="str">
        <f>IF(OR($B161="",$A161&gt;$B$9,R$149=""),"",IF(COUNTIFS(BD!$B$3:$B$5001,R$149,BD!$A$3:$A$5001,"&gt;="&amp;$C$7,BD!$A$3:$A$5001,"&lt;="&amp;$B161,BD!$M$3:$M$5001,"&lt;&gt;")=0,"",SUMIFS(BD!$M$3:$M$5001,BD!$B$3:$B$5001,R$149,BD!$A$3:$A$5001,_xlfn.MAXIFS(BD!$A$3:$A$5001,BD!$B$3:$B$5001,R$149,BD!$A$3:$A$5001,"&gt;="&amp;$C$7,BD!$A$3:$A$5001,"&lt;="&amp;$B161,BD!$M$3:$M$5001,"&lt;&gt;"))))</f>
        <v/>
      </c>
      <c r="S161" s="43" t="str">
        <f>IF(OR($B161="",$A161&gt;$B$9,S$149=""),"",IF(COUNTIFS(BD!$B$3:$B$5001,S$149,BD!$A$3:$A$5001,"&gt;="&amp;$C$7,BD!$A$3:$A$5001,"&lt;="&amp;$B161,BD!$M$3:$M$5001,"&lt;&gt;")=0,"",SUMIFS(BD!$M$3:$M$5001,BD!$B$3:$B$5001,S$149,BD!$A$3:$A$5001,_xlfn.MAXIFS(BD!$A$3:$A$5001,BD!$B$3:$B$5001,S$149,BD!$A$3:$A$5001,"&gt;="&amp;$C$7,BD!$A$3:$A$5001,"&lt;="&amp;$B161,BD!$M$3:$M$5001,"&lt;&gt;"))))</f>
        <v/>
      </c>
      <c r="T161" s="43" t="str">
        <f>IF(OR($B161="",$A161&gt;$B$9,T$149=""),"",IF(COUNTIFS(BD!$B$3:$B$5001,T$149,BD!$A$3:$A$5001,"&gt;="&amp;$C$7,BD!$A$3:$A$5001,"&lt;="&amp;$B161,BD!$M$3:$M$5001,"&lt;&gt;")=0,"",SUMIFS(BD!$M$3:$M$5001,BD!$B$3:$B$5001,T$149,BD!$A$3:$A$5001,_xlfn.MAXIFS(BD!$A$3:$A$5001,BD!$B$3:$B$5001,T$149,BD!$A$3:$A$5001,"&gt;="&amp;$C$7,BD!$A$3:$A$5001,"&lt;="&amp;$B161,BD!$M$3:$M$5001,"&lt;&gt;"))))</f>
        <v/>
      </c>
      <c r="U161" s="43" t="str">
        <f>IF(OR($B161="",$A161&gt;$B$9,U$149=""),"",IF(COUNTIFS(BD!$B$3:$B$5001,U$149,BD!$A$3:$A$5001,"&gt;="&amp;$C$7,BD!$A$3:$A$5001,"&lt;="&amp;$B161,BD!$M$3:$M$5001,"&lt;&gt;")=0,"",SUMIFS(BD!$M$3:$M$5001,BD!$B$3:$B$5001,U$149,BD!$A$3:$A$5001,_xlfn.MAXIFS(BD!$A$3:$A$5001,BD!$B$3:$B$5001,U$149,BD!$A$3:$A$5001,"&gt;="&amp;$C$7,BD!$A$3:$A$5001,"&lt;="&amp;$B161,BD!$M$3:$M$5001,"&lt;&gt;"))))</f>
        <v/>
      </c>
      <c r="V161" s="43" t="str">
        <f>IF(OR($B161="",$A161&gt;$B$9,V$149=""),"",IF(COUNTIFS(BD!$B$3:$B$5001,V$149,BD!$A$3:$A$5001,"&gt;="&amp;$C$7,BD!$A$3:$A$5001,"&lt;="&amp;$B161,BD!$M$3:$M$5001,"&lt;&gt;")=0,"",SUMIFS(BD!$M$3:$M$5001,BD!$B$3:$B$5001,V$149,BD!$A$3:$A$5001,_xlfn.MAXIFS(BD!$A$3:$A$5001,BD!$B$3:$B$5001,V$149,BD!$A$3:$A$5001,"&gt;="&amp;$C$7,BD!$A$3:$A$5001,"&lt;="&amp;$B161,BD!$M$3:$M$5001,"&lt;&gt;"))))</f>
        <v/>
      </c>
    </row>
    <row r="162">
      <c r="A162" s="38">
        <v>13</v>
      </c>
      <c r="B162" s="42">
        <f>$B$24</f>
        <v>46308</v>
      </c>
      <c r="C162" s="43" t="str">
        <f>IF(OR($B162="",$A162&gt;$B$9,C$149=""),"",IF(COUNTIFS(BD!$B$3:$B$5001,C$149,BD!$A$3:$A$5001,"&gt;="&amp;$C$7,BD!$A$3:$A$5001,"&lt;="&amp;$B162,BD!$M$3:$M$5001,"&lt;&gt;")=0,"",SUMIFS(BD!$M$3:$M$5001,BD!$B$3:$B$5001,C$149,BD!$A$3:$A$5001,_xlfn.MAXIFS(BD!$A$3:$A$5001,BD!$B$3:$B$5001,C$149,BD!$A$3:$A$5001,"&gt;="&amp;$C$7,BD!$A$3:$A$5001,"&lt;="&amp;$B162,BD!$M$3:$M$5001,"&lt;&gt;"))))</f>
        <v/>
      </c>
      <c r="D162" s="43" t="str">
        <f>IF(OR($B162="",$A162&gt;$B$9,D$149=""),"",IF(COUNTIFS(BD!$B$3:$B$5001,D$149,BD!$A$3:$A$5001,"&gt;="&amp;$C$7,BD!$A$3:$A$5001,"&lt;="&amp;$B162,BD!$M$3:$M$5001,"&lt;&gt;")=0,"",SUMIFS(BD!$M$3:$M$5001,BD!$B$3:$B$5001,D$149,BD!$A$3:$A$5001,_xlfn.MAXIFS(BD!$A$3:$A$5001,BD!$B$3:$B$5001,D$149,BD!$A$3:$A$5001,"&gt;="&amp;$C$7,BD!$A$3:$A$5001,"&lt;="&amp;$B162,BD!$M$3:$M$5001,"&lt;&gt;"))))</f>
        <v/>
      </c>
      <c r="E162" s="43" t="str">
        <f>IF(OR($B162="",$A162&gt;$B$9,E$149=""),"",IF(COUNTIFS(BD!$B$3:$B$5001,E$149,BD!$A$3:$A$5001,"&gt;="&amp;$C$7,BD!$A$3:$A$5001,"&lt;="&amp;$B162,BD!$M$3:$M$5001,"&lt;&gt;")=0,"",SUMIFS(BD!$M$3:$M$5001,BD!$B$3:$B$5001,E$149,BD!$A$3:$A$5001,_xlfn.MAXIFS(BD!$A$3:$A$5001,BD!$B$3:$B$5001,E$149,BD!$A$3:$A$5001,"&gt;="&amp;$C$7,BD!$A$3:$A$5001,"&lt;="&amp;$B162,BD!$M$3:$M$5001,"&lt;&gt;"))))</f>
        <v/>
      </c>
      <c r="F162" s="43" t="str">
        <f>IF(OR($B162="",$A162&gt;$B$9,F$149=""),"",IF(COUNTIFS(BD!$B$3:$B$5001,F$149,BD!$A$3:$A$5001,"&gt;="&amp;$C$7,BD!$A$3:$A$5001,"&lt;="&amp;$B162,BD!$M$3:$M$5001,"&lt;&gt;")=0,"",SUMIFS(BD!$M$3:$M$5001,BD!$B$3:$B$5001,F$149,BD!$A$3:$A$5001,_xlfn.MAXIFS(BD!$A$3:$A$5001,BD!$B$3:$B$5001,F$149,BD!$A$3:$A$5001,"&gt;="&amp;$C$7,BD!$A$3:$A$5001,"&lt;="&amp;$B162,BD!$M$3:$M$5001,"&lt;&gt;"))))</f>
        <v/>
      </c>
      <c r="G162" s="43" t="str">
        <f>IF(OR($B162="",$A162&gt;$B$9,G$149=""),"",IF(COUNTIFS(BD!$B$3:$B$5001,G$149,BD!$A$3:$A$5001,"&gt;="&amp;$C$7,BD!$A$3:$A$5001,"&lt;="&amp;$B162,BD!$M$3:$M$5001,"&lt;&gt;")=0,"",SUMIFS(BD!$M$3:$M$5001,BD!$B$3:$B$5001,G$149,BD!$A$3:$A$5001,_xlfn.MAXIFS(BD!$A$3:$A$5001,BD!$B$3:$B$5001,G$149,BD!$A$3:$A$5001,"&gt;="&amp;$C$7,BD!$A$3:$A$5001,"&lt;="&amp;$B162,BD!$M$3:$M$5001,"&lt;&gt;"))))</f>
        <v/>
      </c>
      <c r="H162" s="43" t="str">
        <f>IF(OR($B162="",$A162&gt;$B$9,H$149=""),"",IF(COUNTIFS(BD!$B$3:$B$5001,H$149,BD!$A$3:$A$5001,"&gt;="&amp;$C$7,BD!$A$3:$A$5001,"&lt;="&amp;$B162,BD!$M$3:$M$5001,"&lt;&gt;")=0,"",SUMIFS(BD!$M$3:$M$5001,BD!$B$3:$B$5001,H$149,BD!$A$3:$A$5001,_xlfn.MAXIFS(BD!$A$3:$A$5001,BD!$B$3:$B$5001,H$149,BD!$A$3:$A$5001,"&gt;="&amp;$C$7,BD!$A$3:$A$5001,"&lt;="&amp;$B162,BD!$M$3:$M$5001,"&lt;&gt;"))))</f>
        <v/>
      </c>
      <c r="I162" s="43" t="str">
        <f>IF(OR($B162="",$A162&gt;$B$9,I$149=""),"",IF(COUNTIFS(BD!$B$3:$B$5001,I$149,BD!$A$3:$A$5001,"&gt;="&amp;$C$7,BD!$A$3:$A$5001,"&lt;="&amp;$B162,BD!$M$3:$M$5001,"&lt;&gt;")=0,"",SUMIFS(BD!$M$3:$M$5001,BD!$B$3:$B$5001,I$149,BD!$A$3:$A$5001,_xlfn.MAXIFS(BD!$A$3:$A$5001,BD!$B$3:$B$5001,I$149,BD!$A$3:$A$5001,"&gt;="&amp;$C$7,BD!$A$3:$A$5001,"&lt;="&amp;$B162,BD!$M$3:$M$5001,"&lt;&gt;"))))</f>
        <v/>
      </c>
      <c r="J162" s="43" t="str">
        <f>IF(OR($B162="",$A162&gt;$B$9,J$149=""),"",IF(COUNTIFS(BD!$B$3:$B$5001,J$149,BD!$A$3:$A$5001,"&gt;="&amp;$C$7,BD!$A$3:$A$5001,"&lt;="&amp;$B162,BD!$M$3:$M$5001,"&lt;&gt;")=0,"",SUMIFS(BD!$M$3:$M$5001,BD!$B$3:$B$5001,J$149,BD!$A$3:$A$5001,_xlfn.MAXIFS(BD!$A$3:$A$5001,BD!$B$3:$B$5001,J$149,BD!$A$3:$A$5001,"&gt;="&amp;$C$7,BD!$A$3:$A$5001,"&lt;="&amp;$B162,BD!$M$3:$M$5001,"&lt;&gt;"))))</f>
        <v/>
      </c>
      <c r="K162" s="43" t="str">
        <f>IF(OR($B162="",$A162&gt;$B$9,K$149=""),"",IF(COUNTIFS(BD!$B$3:$B$5001,K$149,BD!$A$3:$A$5001,"&gt;="&amp;$C$7,BD!$A$3:$A$5001,"&lt;="&amp;$B162,BD!$M$3:$M$5001,"&lt;&gt;")=0,"",SUMIFS(BD!$M$3:$M$5001,BD!$B$3:$B$5001,K$149,BD!$A$3:$A$5001,_xlfn.MAXIFS(BD!$A$3:$A$5001,BD!$B$3:$B$5001,K$149,BD!$A$3:$A$5001,"&gt;="&amp;$C$7,BD!$A$3:$A$5001,"&lt;="&amp;$B162,BD!$M$3:$M$5001,"&lt;&gt;"))))</f>
        <v/>
      </c>
      <c r="L162" s="43" t="str">
        <f>IF(OR($B162="",$A162&gt;$B$9,L$149=""),"",IF(COUNTIFS(BD!$B$3:$B$5001,L$149,BD!$A$3:$A$5001,"&gt;="&amp;$C$7,BD!$A$3:$A$5001,"&lt;="&amp;$B162,BD!$M$3:$M$5001,"&lt;&gt;")=0,"",SUMIFS(BD!$M$3:$M$5001,BD!$B$3:$B$5001,L$149,BD!$A$3:$A$5001,_xlfn.MAXIFS(BD!$A$3:$A$5001,BD!$B$3:$B$5001,L$149,BD!$A$3:$A$5001,"&gt;="&amp;$C$7,BD!$A$3:$A$5001,"&lt;="&amp;$B162,BD!$M$3:$M$5001,"&lt;&gt;"))))</f>
        <v/>
      </c>
      <c r="M162" s="43" t="str">
        <f>IF(OR($B162="",$A162&gt;$B$9,M$149=""),"",IF(COUNTIFS(BD!$B$3:$B$5001,M$149,BD!$A$3:$A$5001,"&gt;="&amp;$C$7,BD!$A$3:$A$5001,"&lt;="&amp;$B162,BD!$M$3:$M$5001,"&lt;&gt;")=0,"",SUMIFS(BD!$M$3:$M$5001,BD!$B$3:$B$5001,M$149,BD!$A$3:$A$5001,_xlfn.MAXIFS(BD!$A$3:$A$5001,BD!$B$3:$B$5001,M$149,BD!$A$3:$A$5001,"&gt;="&amp;$C$7,BD!$A$3:$A$5001,"&lt;="&amp;$B162,BD!$M$3:$M$5001,"&lt;&gt;"))))</f>
        <v/>
      </c>
      <c r="N162" s="43" t="str">
        <f>IF(OR($B162="",$A162&gt;$B$9,N$149=""),"",IF(COUNTIFS(BD!$B$3:$B$5001,N$149,BD!$A$3:$A$5001,"&gt;="&amp;$C$7,BD!$A$3:$A$5001,"&lt;="&amp;$B162,BD!$M$3:$M$5001,"&lt;&gt;")=0,"",SUMIFS(BD!$M$3:$M$5001,BD!$B$3:$B$5001,N$149,BD!$A$3:$A$5001,_xlfn.MAXIFS(BD!$A$3:$A$5001,BD!$B$3:$B$5001,N$149,BD!$A$3:$A$5001,"&gt;="&amp;$C$7,BD!$A$3:$A$5001,"&lt;="&amp;$B162,BD!$M$3:$M$5001,"&lt;&gt;"))))</f>
        <v/>
      </c>
      <c r="O162" s="43" t="str">
        <f>IF(OR($B162="",$A162&gt;$B$9,O$149=""),"",IF(COUNTIFS(BD!$B$3:$B$5001,O$149,BD!$A$3:$A$5001,"&gt;="&amp;$C$7,BD!$A$3:$A$5001,"&lt;="&amp;$B162,BD!$M$3:$M$5001,"&lt;&gt;")=0,"",SUMIFS(BD!$M$3:$M$5001,BD!$B$3:$B$5001,O$149,BD!$A$3:$A$5001,_xlfn.MAXIFS(BD!$A$3:$A$5001,BD!$B$3:$B$5001,O$149,BD!$A$3:$A$5001,"&gt;="&amp;$C$7,BD!$A$3:$A$5001,"&lt;="&amp;$B162,BD!$M$3:$M$5001,"&lt;&gt;"))))</f>
        <v/>
      </c>
      <c r="P162" s="43" t="str">
        <f>IF(OR($B162="",$A162&gt;$B$9,P$149=""),"",IF(COUNTIFS(BD!$B$3:$B$5001,P$149,BD!$A$3:$A$5001,"&gt;="&amp;$C$7,BD!$A$3:$A$5001,"&lt;="&amp;$B162,BD!$M$3:$M$5001,"&lt;&gt;")=0,"",SUMIFS(BD!$M$3:$M$5001,BD!$B$3:$B$5001,P$149,BD!$A$3:$A$5001,_xlfn.MAXIFS(BD!$A$3:$A$5001,BD!$B$3:$B$5001,P$149,BD!$A$3:$A$5001,"&gt;="&amp;$C$7,BD!$A$3:$A$5001,"&lt;="&amp;$B162,BD!$M$3:$M$5001,"&lt;&gt;"))))</f>
        <v/>
      </c>
      <c r="Q162" s="43" t="str">
        <f>IF(OR($B162="",$A162&gt;$B$9,Q$149=""),"",IF(COUNTIFS(BD!$B$3:$B$5001,Q$149,BD!$A$3:$A$5001,"&gt;="&amp;$C$7,BD!$A$3:$A$5001,"&lt;="&amp;$B162,BD!$M$3:$M$5001,"&lt;&gt;")=0,"",SUMIFS(BD!$M$3:$M$5001,BD!$B$3:$B$5001,Q$149,BD!$A$3:$A$5001,_xlfn.MAXIFS(BD!$A$3:$A$5001,BD!$B$3:$B$5001,Q$149,BD!$A$3:$A$5001,"&gt;="&amp;$C$7,BD!$A$3:$A$5001,"&lt;="&amp;$B162,BD!$M$3:$M$5001,"&lt;&gt;"))))</f>
        <v/>
      </c>
      <c r="R162" s="43" t="str">
        <f>IF(OR($B162="",$A162&gt;$B$9,R$149=""),"",IF(COUNTIFS(BD!$B$3:$B$5001,R$149,BD!$A$3:$A$5001,"&gt;="&amp;$C$7,BD!$A$3:$A$5001,"&lt;="&amp;$B162,BD!$M$3:$M$5001,"&lt;&gt;")=0,"",SUMIFS(BD!$M$3:$M$5001,BD!$B$3:$B$5001,R$149,BD!$A$3:$A$5001,_xlfn.MAXIFS(BD!$A$3:$A$5001,BD!$B$3:$B$5001,R$149,BD!$A$3:$A$5001,"&gt;="&amp;$C$7,BD!$A$3:$A$5001,"&lt;="&amp;$B162,BD!$M$3:$M$5001,"&lt;&gt;"))))</f>
        <v/>
      </c>
      <c r="S162" s="43" t="str">
        <f>IF(OR($B162="",$A162&gt;$B$9,S$149=""),"",IF(COUNTIFS(BD!$B$3:$B$5001,S$149,BD!$A$3:$A$5001,"&gt;="&amp;$C$7,BD!$A$3:$A$5001,"&lt;="&amp;$B162,BD!$M$3:$M$5001,"&lt;&gt;")=0,"",SUMIFS(BD!$M$3:$M$5001,BD!$B$3:$B$5001,S$149,BD!$A$3:$A$5001,_xlfn.MAXIFS(BD!$A$3:$A$5001,BD!$B$3:$B$5001,S$149,BD!$A$3:$A$5001,"&gt;="&amp;$C$7,BD!$A$3:$A$5001,"&lt;="&amp;$B162,BD!$M$3:$M$5001,"&lt;&gt;"))))</f>
        <v/>
      </c>
      <c r="T162" s="43" t="str">
        <f>IF(OR($B162="",$A162&gt;$B$9,T$149=""),"",IF(COUNTIFS(BD!$B$3:$B$5001,T$149,BD!$A$3:$A$5001,"&gt;="&amp;$C$7,BD!$A$3:$A$5001,"&lt;="&amp;$B162,BD!$M$3:$M$5001,"&lt;&gt;")=0,"",SUMIFS(BD!$M$3:$M$5001,BD!$B$3:$B$5001,T$149,BD!$A$3:$A$5001,_xlfn.MAXIFS(BD!$A$3:$A$5001,BD!$B$3:$B$5001,T$149,BD!$A$3:$A$5001,"&gt;="&amp;$C$7,BD!$A$3:$A$5001,"&lt;="&amp;$B162,BD!$M$3:$M$5001,"&lt;&gt;"))))</f>
        <v/>
      </c>
      <c r="U162" s="43" t="str">
        <f>IF(OR($B162="",$A162&gt;$B$9,U$149=""),"",IF(COUNTIFS(BD!$B$3:$B$5001,U$149,BD!$A$3:$A$5001,"&gt;="&amp;$C$7,BD!$A$3:$A$5001,"&lt;="&amp;$B162,BD!$M$3:$M$5001,"&lt;&gt;")=0,"",SUMIFS(BD!$M$3:$M$5001,BD!$B$3:$B$5001,U$149,BD!$A$3:$A$5001,_xlfn.MAXIFS(BD!$A$3:$A$5001,BD!$B$3:$B$5001,U$149,BD!$A$3:$A$5001,"&gt;="&amp;$C$7,BD!$A$3:$A$5001,"&lt;="&amp;$B162,BD!$M$3:$M$5001,"&lt;&gt;"))))</f>
        <v/>
      </c>
      <c r="V162" s="43" t="str">
        <f>IF(OR($B162="",$A162&gt;$B$9,V$149=""),"",IF(COUNTIFS(BD!$B$3:$B$5001,V$149,BD!$A$3:$A$5001,"&gt;="&amp;$C$7,BD!$A$3:$A$5001,"&lt;="&amp;$B162,BD!$M$3:$M$5001,"&lt;&gt;")=0,"",SUMIFS(BD!$M$3:$M$5001,BD!$B$3:$B$5001,V$149,BD!$A$3:$A$5001,_xlfn.MAXIFS(BD!$A$3:$A$5001,BD!$B$3:$B$5001,V$149,BD!$A$3:$A$5001,"&gt;="&amp;$C$7,BD!$A$3:$A$5001,"&lt;="&amp;$B162,BD!$M$3:$M$5001,"&lt;&gt;"))))</f>
        <v/>
      </c>
    </row>
    <row r="163">
      <c r="A163" s="38">
        <v>14</v>
      </c>
      <c r="B163" s="42">
        <f>$B$25</f>
        <v>46309</v>
      </c>
      <c r="C163" s="43" t="str">
        <f>IF(OR($B163="",$A163&gt;$B$9,C$149=""),"",IF(COUNTIFS(BD!$B$3:$B$5001,C$149,BD!$A$3:$A$5001,"&gt;="&amp;$C$7,BD!$A$3:$A$5001,"&lt;="&amp;$B163,BD!$M$3:$M$5001,"&lt;&gt;")=0,"",SUMIFS(BD!$M$3:$M$5001,BD!$B$3:$B$5001,C$149,BD!$A$3:$A$5001,_xlfn.MAXIFS(BD!$A$3:$A$5001,BD!$B$3:$B$5001,C$149,BD!$A$3:$A$5001,"&gt;="&amp;$C$7,BD!$A$3:$A$5001,"&lt;="&amp;$B163,BD!$M$3:$M$5001,"&lt;&gt;"))))</f>
        <v/>
      </c>
      <c r="D163" s="43" t="str">
        <f>IF(OR($B163="",$A163&gt;$B$9,D$149=""),"",IF(COUNTIFS(BD!$B$3:$B$5001,D$149,BD!$A$3:$A$5001,"&gt;="&amp;$C$7,BD!$A$3:$A$5001,"&lt;="&amp;$B163,BD!$M$3:$M$5001,"&lt;&gt;")=0,"",SUMIFS(BD!$M$3:$M$5001,BD!$B$3:$B$5001,D$149,BD!$A$3:$A$5001,_xlfn.MAXIFS(BD!$A$3:$A$5001,BD!$B$3:$B$5001,D$149,BD!$A$3:$A$5001,"&gt;="&amp;$C$7,BD!$A$3:$A$5001,"&lt;="&amp;$B163,BD!$M$3:$M$5001,"&lt;&gt;"))))</f>
        <v/>
      </c>
      <c r="E163" s="43" t="str">
        <f>IF(OR($B163="",$A163&gt;$B$9,E$149=""),"",IF(COUNTIFS(BD!$B$3:$B$5001,E$149,BD!$A$3:$A$5001,"&gt;="&amp;$C$7,BD!$A$3:$A$5001,"&lt;="&amp;$B163,BD!$M$3:$M$5001,"&lt;&gt;")=0,"",SUMIFS(BD!$M$3:$M$5001,BD!$B$3:$B$5001,E$149,BD!$A$3:$A$5001,_xlfn.MAXIFS(BD!$A$3:$A$5001,BD!$B$3:$B$5001,E$149,BD!$A$3:$A$5001,"&gt;="&amp;$C$7,BD!$A$3:$A$5001,"&lt;="&amp;$B163,BD!$M$3:$M$5001,"&lt;&gt;"))))</f>
        <v/>
      </c>
      <c r="F163" s="43" t="str">
        <f>IF(OR($B163="",$A163&gt;$B$9,F$149=""),"",IF(COUNTIFS(BD!$B$3:$B$5001,F$149,BD!$A$3:$A$5001,"&gt;="&amp;$C$7,BD!$A$3:$A$5001,"&lt;="&amp;$B163,BD!$M$3:$M$5001,"&lt;&gt;")=0,"",SUMIFS(BD!$M$3:$M$5001,BD!$B$3:$B$5001,F$149,BD!$A$3:$A$5001,_xlfn.MAXIFS(BD!$A$3:$A$5001,BD!$B$3:$B$5001,F$149,BD!$A$3:$A$5001,"&gt;="&amp;$C$7,BD!$A$3:$A$5001,"&lt;="&amp;$B163,BD!$M$3:$M$5001,"&lt;&gt;"))))</f>
        <v/>
      </c>
      <c r="G163" s="43" t="str">
        <f>IF(OR($B163="",$A163&gt;$B$9,G$149=""),"",IF(COUNTIFS(BD!$B$3:$B$5001,G$149,BD!$A$3:$A$5001,"&gt;="&amp;$C$7,BD!$A$3:$A$5001,"&lt;="&amp;$B163,BD!$M$3:$M$5001,"&lt;&gt;")=0,"",SUMIFS(BD!$M$3:$M$5001,BD!$B$3:$B$5001,G$149,BD!$A$3:$A$5001,_xlfn.MAXIFS(BD!$A$3:$A$5001,BD!$B$3:$B$5001,G$149,BD!$A$3:$A$5001,"&gt;="&amp;$C$7,BD!$A$3:$A$5001,"&lt;="&amp;$B163,BD!$M$3:$M$5001,"&lt;&gt;"))))</f>
        <v/>
      </c>
      <c r="H163" s="43" t="str">
        <f>IF(OR($B163="",$A163&gt;$B$9,H$149=""),"",IF(COUNTIFS(BD!$B$3:$B$5001,H$149,BD!$A$3:$A$5001,"&gt;="&amp;$C$7,BD!$A$3:$A$5001,"&lt;="&amp;$B163,BD!$M$3:$M$5001,"&lt;&gt;")=0,"",SUMIFS(BD!$M$3:$M$5001,BD!$B$3:$B$5001,H$149,BD!$A$3:$A$5001,_xlfn.MAXIFS(BD!$A$3:$A$5001,BD!$B$3:$B$5001,H$149,BD!$A$3:$A$5001,"&gt;="&amp;$C$7,BD!$A$3:$A$5001,"&lt;="&amp;$B163,BD!$M$3:$M$5001,"&lt;&gt;"))))</f>
        <v/>
      </c>
      <c r="I163" s="43" t="str">
        <f>IF(OR($B163="",$A163&gt;$B$9,I$149=""),"",IF(COUNTIFS(BD!$B$3:$B$5001,I$149,BD!$A$3:$A$5001,"&gt;="&amp;$C$7,BD!$A$3:$A$5001,"&lt;="&amp;$B163,BD!$M$3:$M$5001,"&lt;&gt;")=0,"",SUMIFS(BD!$M$3:$M$5001,BD!$B$3:$B$5001,I$149,BD!$A$3:$A$5001,_xlfn.MAXIFS(BD!$A$3:$A$5001,BD!$B$3:$B$5001,I$149,BD!$A$3:$A$5001,"&gt;="&amp;$C$7,BD!$A$3:$A$5001,"&lt;="&amp;$B163,BD!$M$3:$M$5001,"&lt;&gt;"))))</f>
        <v/>
      </c>
      <c r="J163" s="43" t="str">
        <f>IF(OR($B163="",$A163&gt;$B$9,J$149=""),"",IF(COUNTIFS(BD!$B$3:$B$5001,J$149,BD!$A$3:$A$5001,"&gt;="&amp;$C$7,BD!$A$3:$A$5001,"&lt;="&amp;$B163,BD!$M$3:$M$5001,"&lt;&gt;")=0,"",SUMIFS(BD!$M$3:$M$5001,BD!$B$3:$B$5001,J$149,BD!$A$3:$A$5001,_xlfn.MAXIFS(BD!$A$3:$A$5001,BD!$B$3:$B$5001,J$149,BD!$A$3:$A$5001,"&gt;="&amp;$C$7,BD!$A$3:$A$5001,"&lt;="&amp;$B163,BD!$M$3:$M$5001,"&lt;&gt;"))))</f>
        <v/>
      </c>
      <c r="K163" s="43" t="str">
        <f>IF(OR($B163="",$A163&gt;$B$9,K$149=""),"",IF(COUNTIFS(BD!$B$3:$B$5001,K$149,BD!$A$3:$A$5001,"&gt;="&amp;$C$7,BD!$A$3:$A$5001,"&lt;="&amp;$B163,BD!$M$3:$M$5001,"&lt;&gt;")=0,"",SUMIFS(BD!$M$3:$M$5001,BD!$B$3:$B$5001,K$149,BD!$A$3:$A$5001,_xlfn.MAXIFS(BD!$A$3:$A$5001,BD!$B$3:$B$5001,K$149,BD!$A$3:$A$5001,"&gt;="&amp;$C$7,BD!$A$3:$A$5001,"&lt;="&amp;$B163,BD!$M$3:$M$5001,"&lt;&gt;"))))</f>
        <v/>
      </c>
      <c r="L163" s="43" t="str">
        <f>IF(OR($B163="",$A163&gt;$B$9,L$149=""),"",IF(COUNTIFS(BD!$B$3:$B$5001,L$149,BD!$A$3:$A$5001,"&gt;="&amp;$C$7,BD!$A$3:$A$5001,"&lt;="&amp;$B163,BD!$M$3:$M$5001,"&lt;&gt;")=0,"",SUMIFS(BD!$M$3:$M$5001,BD!$B$3:$B$5001,L$149,BD!$A$3:$A$5001,_xlfn.MAXIFS(BD!$A$3:$A$5001,BD!$B$3:$B$5001,L$149,BD!$A$3:$A$5001,"&gt;="&amp;$C$7,BD!$A$3:$A$5001,"&lt;="&amp;$B163,BD!$M$3:$M$5001,"&lt;&gt;"))))</f>
        <v/>
      </c>
      <c r="M163" s="43" t="str">
        <f>IF(OR($B163="",$A163&gt;$B$9,M$149=""),"",IF(COUNTIFS(BD!$B$3:$B$5001,M$149,BD!$A$3:$A$5001,"&gt;="&amp;$C$7,BD!$A$3:$A$5001,"&lt;="&amp;$B163,BD!$M$3:$M$5001,"&lt;&gt;")=0,"",SUMIFS(BD!$M$3:$M$5001,BD!$B$3:$B$5001,M$149,BD!$A$3:$A$5001,_xlfn.MAXIFS(BD!$A$3:$A$5001,BD!$B$3:$B$5001,M$149,BD!$A$3:$A$5001,"&gt;="&amp;$C$7,BD!$A$3:$A$5001,"&lt;="&amp;$B163,BD!$M$3:$M$5001,"&lt;&gt;"))))</f>
        <v/>
      </c>
      <c r="N163" s="43" t="str">
        <f>IF(OR($B163="",$A163&gt;$B$9,N$149=""),"",IF(COUNTIFS(BD!$B$3:$B$5001,N$149,BD!$A$3:$A$5001,"&gt;="&amp;$C$7,BD!$A$3:$A$5001,"&lt;="&amp;$B163,BD!$M$3:$M$5001,"&lt;&gt;")=0,"",SUMIFS(BD!$M$3:$M$5001,BD!$B$3:$B$5001,N$149,BD!$A$3:$A$5001,_xlfn.MAXIFS(BD!$A$3:$A$5001,BD!$B$3:$B$5001,N$149,BD!$A$3:$A$5001,"&gt;="&amp;$C$7,BD!$A$3:$A$5001,"&lt;="&amp;$B163,BD!$M$3:$M$5001,"&lt;&gt;"))))</f>
        <v/>
      </c>
      <c r="O163" s="43" t="str">
        <f>IF(OR($B163="",$A163&gt;$B$9,O$149=""),"",IF(COUNTIFS(BD!$B$3:$B$5001,O$149,BD!$A$3:$A$5001,"&gt;="&amp;$C$7,BD!$A$3:$A$5001,"&lt;="&amp;$B163,BD!$M$3:$M$5001,"&lt;&gt;")=0,"",SUMIFS(BD!$M$3:$M$5001,BD!$B$3:$B$5001,O$149,BD!$A$3:$A$5001,_xlfn.MAXIFS(BD!$A$3:$A$5001,BD!$B$3:$B$5001,O$149,BD!$A$3:$A$5001,"&gt;="&amp;$C$7,BD!$A$3:$A$5001,"&lt;="&amp;$B163,BD!$M$3:$M$5001,"&lt;&gt;"))))</f>
        <v/>
      </c>
      <c r="P163" s="43" t="str">
        <f>IF(OR($B163="",$A163&gt;$B$9,P$149=""),"",IF(COUNTIFS(BD!$B$3:$B$5001,P$149,BD!$A$3:$A$5001,"&gt;="&amp;$C$7,BD!$A$3:$A$5001,"&lt;="&amp;$B163,BD!$M$3:$M$5001,"&lt;&gt;")=0,"",SUMIFS(BD!$M$3:$M$5001,BD!$B$3:$B$5001,P$149,BD!$A$3:$A$5001,_xlfn.MAXIFS(BD!$A$3:$A$5001,BD!$B$3:$B$5001,P$149,BD!$A$3:$A$5001,"&gt;="&amp;$C$7,BD!$A$3:$A$5001,"&lt;="&amp;$B163,BD!$M$3:$M$5001,"&lt;&gt;"))))</f>
        <v/>
      </c>
      <c r="Q163" s="43" t="str">
        <f>IF(OR($B163="",$A163&gt;$B$9,Q$149=""),"",IF(COUNTIFS(BD!$B$3:$B$5001,Q$149,BD!$A$3:$A$5001,"&gt;="&amp;$C$7,BD!$A$3:$A$5001,"&lt;="&amp;$B163,BD!$M$3:$M$5001,"&lt;&gt;")=0,"",SUMIFS(BD!$M$3:$M$5001,BD!$B$3:$B$5001,Q$149,BD!$A$3:$A$5001,_xlfn.MAXIFS(BD!$A$3:$A$5001,BD!$B$3:$B$5001,Q$149,BD!$A$3:$A$5001,"&gt;="&amp;$C$7,BD!$A$3:$A$5001,"&lt;="&amp;$B163,BD!$M$3:$M$5001,"&lt;&gt;"))))</f>
        <v/>
      </c>
      <c r="R163" s="43" t="str">
        <f>IF(OR($B163="",$A163&gt;$B$9,R$149=""),"",IF(COUNTIFS(BD!$B$3:$B$5001,R$149,BD!$A$3:$A$5001,"&gt;="&amp;$C$7,BD!$A$3:$A$5001,"&lt;="&amp;$B163,BD!$M$3:$M$5001,"&lt;&gt;")=0,"",SUMIFS(BD!$M$3:$M$5001,BD!$B$3:$B$5001,R$149,BD!$A$3:$A$5001,_xlfn.MAXIFS(BD!$A$3:$A$5001,BD!$B$3:$B$5001,R$149,BD!$A$3:$A$5001,"&gt;="&amp;$C$7,BD!$A$3:$A$5001,"&lt;="&amp;$B163,BD!$M$3:$M$5001,"&lt;&gt;"))))</f>
        <v/>
      </c>
      <c r="S163" s="43" t="str">
        <f>IF(OR($B163="",$A163&gt;$B$9,S$149=""),"",IF(COUNTIFS(BD!$B$3:$B$5001,S$149,BD!$A$3:$A$5001,"&gt;="&amp;$C$7,BD!$A$3:$A$5001,"&lt;="&amp;$B163,BD!$M$3:$M$5001,"&lt;&gt;")=0,"",SUMIFS(BD!$M$3:$M$5001,BD!$B$3:$B$5001,S$149,BD!$A$3:$A$5001,_xlfn.MAXIFS(BD!$A$3:$A$5001,BD!$B$3:$B$5001,S$149,BD!$A$3:$A$5001,"&gt;="&amp;$C$7,BD!$A$3:$A$5001,"&lt;="&amp;$B163,BD!$M$3:$M$5001,"&lt;&gt;"))))</f>
        <v/>
      </c>
      <c r="T163" s="43" t="str">
        <f>IF(OR($B163="",$A163&gt;$B$9,T$149=""),"",IF(COUNTIFS(BD!$B$3:$B$5001,T$149,BD!$A$3:$A$5001,"&gt;="&amp;$C$7,BD!$A$3:$A$5001,"&lt;="&amp;$B163,BD!$M$3:$M$5001,"&lt;&gt;")=0,"",SUMIFS(BD!$M$3:$M$5001,BD!$B$3:$B$5001,T$149,BD!$A$3:$A$5001,_xlfn.MAXIFS(BD!$A$3:$A$5001,BD!$B$3:$B$5001,T$149,BD!$A$3:$A$5001,"&gt;="&amp;$C$7,BD!$A$3:$A$5001,"&lt;="&amp;$B163,BD!$M$3:$M$5001,"&lt;&gt;"))))</f>
        <v/>
      </c>
      <c r="U163" s="43" t="str">
        <f>IF(OR($B163="",$A163&gt;$B$9,U$149=""),"",IF(COUNTIFS(BD!$B$3:$B$5001,U$149,BD!$A$3:$A$5001,"&gt;="&amp;$C$7,BD!$A$3:$A$5001,"&lt;="&amp;$B163,BD!$M$3:$M$5001,"&lt;&gt;")=0,"",SUMIFS(BD!$M$3:$M$5001,BD!$B$3:$B$5001,U$149,BD!$A$3:$A$5001,_xlfn.MAXIFS(BD!$A$3:$A$5001,BD!$B$3:$B$5001,U$149,BD!$A$3:$A$5001,"&gt;="&amp;$C$7,BD!$A$3:$A$5001,"&lt;="&amp;$B163,BD!$M$3:$M$5001,"&lt;&gt;"))))</f>
        <v/>
      </c>
      <c r="V163" s="43" t="str">
        <f>IF(OR($B163="",$A163&gt;$B$9,V$149=""),"",IF(COUNTIFS(BD!$B$3:$B$5001,V$149,BD!$A$3:$A$5001,"&gt;="&amp;$C$7,BD!$A$3:$A$5001,"&lt;="&amp;$B163,BD!$M$3:$M$5001,"&lt;&gt;")=0,"",SUMIFS(BD!$M$3:$M$5001,BD!$B$3:$B$5001,V$149,BD!$A$3:$A$5001,_xlfn.MAXIFS(BD!$A$3:$A$5001,BD!$B$3:$B$5001,V$149,BD!$A$3:$A$5001,"&gt;="&amp;$C$7,BD!$A$3:$A$5001,"&lt;="&amp;$B163,BD!$M$3:$M$5001,"&lt;&gt;"))))</f>
        <v/>
      </c>
    </row>
    <row r="164">
      <c r="A164" s="38">
        <v>15</v>
      </c>
      <c r="B164" s="42">
        <f>$B$26</f>
        <v>46310</v>
      </c>
      <c r="C164" s="43" t="str">
        <f>IF(OR($B164="",$A164&gt;$B$9,C$149=""),"",IF(COUNTIFS(BD!$B$3:$B$5001,C$149,BD!$A$3:$A$5001,"&gt;="&amp;$C$7,BD!$A$3:$A$5001,"&lt;="&amp;$B164,BD!$M$3:$M$5001,"&lt;&gt;")=0,"",SUMIFS(BD!$M$3:$M$5001,BD!$B$3:$B$5001,C$149,BD!$A$3:$A$5001,_xlfn.MAXIFS(BD!$A$3:$A$5001,BD!$B$3:$B$5001,C$149,BD!$A$3:$A$5001,"&gt;="&amp;$C$7,BD!$A$3:$A$5001,"&lt;="&amp;$B164,BD!$M$3:$M$5001,"&lt;&gt;"))))</f>
        <v/>
      </c>
      <c r="D164" s="43" t="str">
        <f>IF(OR($B164="",$A164&gt;$B$9,D$149=""),"",IF(COUNTIFS(BD!$B$3:$B$5001,D$149,BD!$A$3:$A$5001,"&gt;="&amp;$C$7,BD!$A$3:$A$5001,"&lt;="&amp;$B164,BD!$M$3:$M$5001,"&lt;&gt;")=0,"",SUMIFS(BD!$M$3:$M$5001,BD!$B$3:$B$5001,D$149,BD!$A$3:$A$5001,_xlfn.MAXIFS(BD!$A$3:$A$5001,BD!$B$3:$B$5001,D$149,BD!$A$3:$A$5001,"&gt;="&amp;$C$7,BD!$A$3:$A$5001,"&lt;="&amp;$B164,BD!$M$3:$M$5001,"&lt;&gt;"))))</f>
        <v/>
      </c>
      <c r="E164" s="43" t="str">
        <f>IF(OR($B164="",$A164&gt;$B$9,E$149=""),"",IF(COUNTIFS(BD!$B$3:$B$5001,E$149,BD!$A$3:$A$5001,"&gt;="&amp;$C$7,BD!$A$3:$A$5001,"&lt;="&amp;$B164,BD!$M$3:$M$5001,"&lt;&gt;")=0,"",SUMIFS(BD!$M$3:$M$5001,BD!$B$3:$B$5001,E$149,BD!$A$3:$A$5001,_xlfn.MAXIFS(BD!$A$3:$A$5001,BD!$B$3:$B$5001,E$149,BD!$A$3:$A$5001,"&gt;="&amp;$C$7,BD!$A$3:$A$5001,"&lt;="&amp;$B164,BD!$M$3:$M$5001,"&lt;&gt;"))))</f>
        <v/>
      </c>
      <c r="F164" s="43" t="str">
        <f>IF(OR($B164="",$A164&gt;$B$9,F$149=""),"",IF(COUNTIFS(BD!$B$3:$B$5001,F$149,BD!$A$3:$A$5001,"&gt;="&amp;$C$7,BD!$A$3:$A$5001,"&lt;="&amp;$B164,BD!$M$3:$M$5001,"&lt;&gt;")=0,"",SUMIFS(BD!$M$3:$M$5001,BD!$B$3:$B$5001,F$149,BD!$A$3:$A$5001,_xlfn.MAXIFS(BD!$A$3:$A$5001,BD!$B$3:$B$5001,F$149,BD!$A$3:$A$5001,"&gt;="&amp;$C$7,BD!$A$3:$A$5001,"&lt;="&amp;$B164,BD!$M$3:$M$5001,"&lt;&gt;"))))</f>
        <v/>
      </c>
      <c r="G164" s="43" t="str">
        <f>IF(OR($B164="",$A164&gt;$B$9,G$149=""),"",IF(COUNTIFS(BD!$B$3:$B$5001,G$149,BD!$A$3:$A$5001,"&gt;="&amp;$C$7,BD!$A$3:$A$5001,"&lt;="&amp;$B164,BD!$M$3:$M$5001,"&lt;&gt;")=0,"",SUMIFS(BD!$M$3:$M$5001,BD!$B$3:$B$5001,G$149,BD!$A$3:$A$5001,_xlfn.MAXIFS(BD!$A$3:$A$5001,BD!$B$3:$B$5001,G$149,BD!$A$3:$A$5001,"&gt;="&amp;$C$7,BD!$A$3:$A$5001,"&lt;="&amp;$B164,BD!$M$3:$M$5001,"&lt;&gt;"))))</f>
        <v/>
      </c>
      <c r="H164" s="43" t="str">
        <f>IF(OR($B164="",$A164&gt;$B$9,H$149=""),"",IF(COUNTIFS(BD!$B$3:$B$5001,H$149,BD!$A$3:$A$5001,"&gt;="&amp;$C$7,BD!$A$3:$A$5001,"&lt;="&amp;$B164,BD!$M$3:$M$5001,"&lt;&gt;")=0,"",SUMIFS(BD!$M$3:$M$5001,BD!$B$3:$B$5001,H$149,BD!$A$3:$A$5001,_xlfn.MAXIFS(BD!$A$3:$A$5001,BD!$B$3:$B$5001,H$149,BD!$A$3:$A$5001,"&gt;="&amp;$C$7,BD!$A$3:$A$5001,"&lt;="&amp;$B164,BD!$M$3:$M$5001,"&lt;&gt;"))))</f>
        <v/>
      </c>
      <c r="I164" s="43" t="str">
        <f>IF(OR($B164="",$A164&gt;$B$9,I$149=""),"",IF(COUNTIFS(BD!$B$3:$B$5001,I$149,BD!$A$3:$A$5001,"&gt;="&amp;$C$7,BD!$A$3:$A$5001,"&lt;="&amp;$B164,BD!$M$3:$M$5001,"&lt;&gt;")=0,"",SUMIFS(BD!$M$3:$M$5001,BD!$B$3:$B$5001,I$149,BD!$A$3:$A$5001,_xlfn.MAXIFS(BD!$A$3:$A$5001,BD!$B$3:$B$5001,I$149,BD!$A$3:$A$5001,"&gt;="&amp;$C$7,BD!$A$3:$A$5001,"&lt;="&amp;$B164,BD!$M$3:$M$5001,"&lt;&gt;"))))</f>
        <v/>
      </c>
      <c r="J164" s="43" t="str">
        <f>IF(OR($B164="",$A164&gt;$B$9,J$149=""),"",IF(COUNTIFS(BD!$B$3:$B$5001,J$149,BD!$A$3:$A$5001,"&gt;="&amp;$C$7,BD!$A$3:$A$5001,"&lt;="&amp;$B164,BD!$M$3:$M$5001,"&lt;&gt;")=0,"",SUMIFS(BD!$M$3:$M$5001,BD!$B$3:$B$5001,J$149,BD!$A$3:$A$5001,_xlfn.MAXIFS(BD!$A$3:$A$5001,BD!$B$3:$B$5001,J$149,BD!$A$3:$A$5001,"&gt;="&amp;$C$7,BD!$A$3:$A$5001,"&lt;="&amp;$B164,BD!$M$3:$M$5001,"&lt;&gt;"))))</f>
        <v/>
      </c>
      <c r="K164" s="43" t="str">
        <f>IF(OR($B164="",$A164&gt;$B$9,K$149=""),"",IF(COUNTIFS(BD!$B$3:$B$5001,K$149,BD!$A$3:$A$5001,"&gt;="&amp;$C$7,BD!$A$3:$A$5001,"&lt;="&amp;$B164,BD!$M$3:$M$5001,"&lt;&gt;")=0,"",SUMIFS(BD!$M$3:$M$5001,BD!$B$3:$B$5001,K$149,BD!$A$3:$A$5001,_xlfn.MAXIFS(BD!$A$3:$A$5001,BD!$B$3:$B$5001,K$149,BD!$A$3:$A$5001,"&gt;="&amp;$C$7,BD!$A$3:$A$5001,"&lt;="&amp;$B164,BD!$M$3:$M$5001,"&lt;&gt;"))))</f>
        <v/>
      </c>
      <c r="L164" s="43" t="str">
        <f>IF(OR($B164="",$A164&gt;$B$9,L$149=""),"",IF(COUNTIFS(BD!$B$3:$B$5001,L$149,BD!$A$3:$A$5001,"&gt;="&amp;$C$7,BD!$A$3:$A$5001,"&lt;="&amp;$B164,BD!$M$3:$M$5001,"&lt;&gt;")=0,"",SUMIFS(BD!$M$3:$M$5001,BD!$B$3:$B$5001,L$149,BD!$A$3:$A$5001,_xlfn.MAXIFS(BD!$A$3:$A$5001,BD!$B$3:$B$5001,L$149,BD!$A$3:$A$5001,"&gt;="&amp;$C$7,BD!$A$3:$A$5001,"&lt;="&amp;$B164,BD!$M$3:$M$5001,"&lt;&gt;"))))</f>
        <v/>
      </c>
      <c r="M164" s="43" t="str">
        <f>IF(OR($B164="",$A164&gt;$B$9,M$149=""),"",IF(COUNTIFS(BD!$B$3:$B$5001,M$149,BD!$A$3:$A$5001,"&gt;="&amp;$C$7,BD!$A$3:$A$5001,"&lt;="&amp;$B164,BD!$M$3:$M$5001,"&lt;&gt;")=0,"",SUMIFS(BD!$M$3:$M$5001,BD!$B$3:$B$5001,M$149,BD!$A$3:$A$5001,_xlfn.MAXIFS(BD!$A$3:$A$5001,BD!$B$3:$B$5001,M$149,BD!$A$3:$A$5001,"&gt;="&amp;$C$7,BD!$A$3:$A$5001,"&lt;="&amp;$B164,BD!$M$3:$M$5001,"&lt;&gt;"))))</f>
        <v/>
      </c>
      <c r="N164" s="43" t="str">
        <f>IF(OR($B164="",$A164&gt;$B$9,N$149=""),"",IF(COUNTIFS(BD!$B$3:$B$5001,N$149,BD!$A$3:$A$5001,"&gt;="&amp;$C$7,BD!$A$3:$A$5001,"&lt;="&amp;$B164,BD!$M$3:$M$5001,"&lt;&gt;")=0,"",SUMIFS(BD!$M$3:$M$5001,BD!$B$3:$B$5001,N$149,BD!$A$3:$A$5001,_xlfn.MAXIFS(BD!$A$3:$A$5001,BD!$B$3:$B$5001,N$149,BD!$A$3:$A$5001,"&gt;="&amp;$C$7,BD!$A$3:$A$5001,"&lt;="&amp;$B164,BD!$M$3:$M$5001,"&lt;&gt;"))))</f>
        <v/>
      </c>
      <c r="O164" s="43" t="str">
        <f>IF(OR($B164="",$A164&gt;$B$9,O$149=""),"",IF(COUNTIFS(BD!$B$3:$B$5001,O$149,BD!$A$3:$A$5001,"&gt;="&amp;$C$7,BD!$A$3:$A$5001,"&lt;="&amp;$B164,BD!$M$3:$M$5001,"&lt;&gt;")=0,"",SUMIFS(BD!$M$3:$M$5001,BD!$B$3:$B$5001,O$149,BD!$A$3:$A$5001,_xlfn.MAXIFS(BD!$A$3:$A$5001,BD!$B$3:$B$5001,O$149,BD!$A$3:$A$5001,"&gt;="&amp;$C$7,BD!$A$3:$A$5001,"&lt;="&amp;$B164,BD!$M$3:$M$5001,"&lt;&gt;"))))</f>
        <v/>
      </c>
      <c r="P164" s="43" t="str">
        <f>IF(OR($B164="",$A164&gt;$B$9,P$149=""),"",IF(COUNTIFS(BD!$B$3:$B$5001,P$149,BD!$A$3:$A$5001,"&gt;="&amp;$C$7,BD!$A$3:$A$5001,"&lt;="&amp;$B164,BD!$M$3:$M$5001,"&lt;&gt;")=0,"",SUMIFS(BD!$M$3:$M$5001,BD!$B$3:$B$5001,P$149,BD!$A$3:$A$5001,_xlfn.MAXIFS(BD!$A$3:$A$5001,BD!$B$3:$B$5001,P$149,BD!$A$3:$A$5001,"&gt;="&amp;$C$7,BD!$A$3:$A$5001,"&lt;="&amp;$B164,BD!$M$3:$M$5001,"&lt;&gt;"))))</f>
        <v/>
      </c>
      <c r="Q164" s="43" t="str">
        <f>IF(OR($B164="",$A164&gt;$B$9,Q$149=""),"",IF(COUNTIFS(BD!$B$3:$B$5001,Q$149,BD!$A$3:$A$5001,"&gt;="&amp;$C$7,BD!$A$3:$A$5001,"&lt;="&amp;$B164,BD!$M$3:$M$5001,"&lt;&gt;")=0,"",SUMIFS(BD!$M$3:$M$5001,BD!$B$3:$B$5001,Q$149,BD!$A$3:$A$5001,_xlfn.MAXIFS(BD!$A$3:$A$5001,BD!$B$3:$B$5001,Q$149,BD!$A$3:$A$5001,"&gt;="&amp;$C$7,BD!$A$3:$A$5001,"&lt;="&amp;$B164,BD!$M$3:$M$5001,"&lt;&gt;"))))</f>
        <v/>
      </c>
      <c r="R164" s="43" t="str">
        <f>IF(OR($B164="",$A164&gt;$B$9,R$149=""),"",IF(COUNTIFS(BD!$B$3:$B$5001,R$149,BD!$A$3:$A$5001,"&gt;="&amp;$C$7,BD!$A$3:$A$5001,"&lt;="&amp;$B164,BD!$M$3:$M$5001,"&lt;&gt;")=0,"",SUMIFS(BD!$M$3:$M$5001,BD!$B$3:$B$5001,R$149,BD!$A$3:$A$5001,_xlfn.MAXIFS(BD!$A$3:$A$5001,BD!$B$3:$B$5001,R$149,BD!$A$3:$A$5001,"&gt;="&amp;$C$7,BD!$A$3:$A$5001,"&lt;="&amp;$B164,BD!$M$3:$M$5001,"&lt;&gt;"))))</f>
        <v/>
      </c>
      <c r="S164" s="43" t="str">
        <f>IF(OR($B164="",$A164&gt;$B$9,S$149=""),"",IF(COUNTIFS(BD!$B$3:$B$5001,S$149,BD!$A$3:$A$5001,"&gt;="&amp;$C$7,BD!$A$3:$A$5001,"&lt;="&amp;$B164,BD!$M$3:$M$5001,"&lt;&gt;")=0,"",SUMIFS(BD!$M$3:$M$5001,BD!$B$3:$B$5001,S$149,BD!$A$3:$A$5001,_xlfn.MAXIFS(BD!$A$3:$A$5001,BD!$B$3:$B$5001,S$149,BD!$A$3:$A$5001,"&gt;="&amp;$C$7,BD!$A$3:$A$5001,"&lt;="&amp;$B164,BD!$M$3:$M$5001,"&lt;&gt;"))))</f>
        <v/>
      </c>
      <c r="T164" s="43" t="str">
        <f>IF(OR($B164="",$A164&gt;$B$9,T$149=""),"",IF(COUNTIFS(BD!$B$3:$B$5001,T$149,BD!$A$3:$A$5001,"&gt;="&amp;$C$7,BD!$A$3:$A$5001,"&lt;="&amp;$B164,BD!$M$3:$M$5001,"&lt;&gt;")=0,"",SUMIFS(BD!$M$3:$M$5001,BD!$B$3:$B$5001,T$149,BD!$A$3:$A$5001,_xlfn.MAXIFS(BD!$A$3:$A$5001,BD!$B$3:$B$5001,T$149,BD!$A$3:$A$5001,"&gt;="&amp;$C$7,BD!$A$3:$A$5001,"&lt;="&amp;$B164,BD!$M$3:$M$5001,"&lt;&gt;"))))</f>
        <v/>
      </c>
      <c r="U164" s="43" t="str">
        <f>IF(OR($B164="",$A164&gt;$B$9,U$149=""),"",IF(COUNTIFS(BD!$B$3:$B$5001,U$149,BD!$A$3:$A$5001,"&gt;="&amp;$C$7,BD!$A$3:$A$5001,"&lt;="&amp;$B164,BD!$M$3:$M$5001,"&lt;&gt;")=0,"",SUMIFS(BD!$M$3:$M$5001,BD!$B$3:$B$5001,U$149,BD!$A$3:$A$5001,_xlfn.MAXIFS(BD!$A$3:$A$5001,BD!$B$3:$B$5001,U$149,BD!$A$3:$A$5001,"&gt;="&amp;$C$7,BD!$A$3:$A$5001,"&lt;="&amp;$B164,BD!$M$3:$M$5001,"&lt;&gt;"))))</f>
        <v/>
      </c>
      <c r="V164" s="43" t="str">
        <f>IF(OR($B164="",$A164&gt;$B$9,V$149=""),"",IF(COUNTIFS(BD!$B$3:$B$5001,V$149,BD!$A$3:$A$5001,"&gt;="&amp;$C$7,BD!$A$3:$A$5001,"&lt;="&amp;$B164,BD!$M$3:$M$5001,"&lt;&gt;")=0,"",SUMIFS(BD!$M$3:$M$5001,BD!$B$3:$B$5001,V$149,BD!$A$3:$A$5001,_xlfn.MAXIFS(BD!$A$3:$A$5001,BD!$B$3:$B$5001,V$149,BD!$A$3:$A$5001,"&gt;="&amp;$C$7,BD!$A$3:$A$5001,"&lt;="&amp;$B164,BD!$M$3:$M$5001,"&lt;&gt;"))))</f>
        <v/>
      </c>
    </row>
    <row r="165">
      <c r="A165" s="38">
        <v>16</v>
      </c>
      <c r="B165" s="42">
        <f>$B$27</f>
        <v>46311</v>
      </c>
      <c r="C165" s="43" t="str">
        <f>IF(OR($B165="",$A165&gt;$B$9,C$149=""),"",IF(COUNTIFS(BD!$B$3:$B$5001,C$149,BD!$A$3:$A$5001,"&gt;="&amp;$C$7,BD!$A$3:$A$5001,"&lt;="&amp;$B165,BD!$M$3:$M$5001,"&lt;&gt;")=0,"",SUMIFS(BD!$M$3:$M$5001,BD!$B$3:$B$5001,C$149,BD!$A$3:$A$5001,_xlfn.MAXIFS(BD!$A$3:$A$5001,BD!$B$3:$B$5001,C$149,BD!$A$3:$A$5001,"&gt;="&amp;$C$7,BD!$A$3:$A$5001,"&lt;="&amp;$B165,BD!$M$3:$M$5001,"&lt;&gt;"))))</f>
        <v/>
      </c>
      <c r="D165" s="43" t="str">
        <f>IF(OR($B165="",$A165&gt;$B$9,D$149=""),"",IF(COUNTIFS(BD!$B$3:$B$5001,D$149,BD!$A$3:$A$5001,"&gt;="&amp;$C$7,BD!$A$3:$A$5001,"&lt;="&amp;$B165,BD!$M$3:$M$5001,"&lt;&gt;")=0,"",SUMIFS(BD!$M$3:$M$5001,BD!$B$3:$B$5001,D$149,BD!$A$3:$A$5001,_xlfn.MAXIFS(BD!$A$3:$A$5001,BD!$B$3:$B$5001,D$149,BD!$A$3:$A$5001,"&gt;="&amp;$C$7,BD!$A$3:$A$5001,"&lt;="&amp;$B165,BD!$M$3:$M$5001,"&lt;&gt;"))))</f>
        <v/>
      </c>
      <c r="E165" s="43" t="str">
        <f>IF(OR($B165="",$A165&gt;$B$9,E$149=""),"",IF(COUNTIFS(BD!$B$3:$B$5001,E$149,BD!$A$3:$A$5001,"&gt;="&amp;$C$7,BD!$A$3:$A$5001,"&lt;="&amp;$B165,BD!$M$3:$M$5001,"&lt;&gt;")=0,"",SUMIFS(BD!$M$3:$M$5001,BD!$B$3:$B$5001,E$149,BD!$A$3:$A$5001,_xlfn.MAXIFS(BD!$A$3:$A$5001,BD!$B$3:$B$5001,E$149,BD!$A$3:$A$5001,"&gt;="&amp;$C$7,BD!$A$3:$A$5001,"&lt;="&amp;$B165,BD!$M$3:$M$5001,"&lt;&gt;"))))</f>
        <v/>
      </c>
      <c r="F165" s="43" t="str">
        <f>IF(OR($B165="",$A165&gt;$B$9,F$149=""),"",IF(COUNTIFS(BD!$B$3:$B$5001,F$149,BD!$A$3:$A$5001,"&gt;="&amp;$C$7,BD!$A$3:$A$5001,"&lt;="&amp;$B165,BD!$M$3:$M$5001,"&lt;&gt;")=0,"",SUMIFS(BD!$M$3:$M$5001,BD!$B$3:$B$5001,F$149,BD!$A$3:$A$5001,_xlfn.MAXIFS(BD!$A$3:$A$5001,BD!$B$3:$B$5001,F$149,BD!$A$3:$A$5001,"&gt;="&amp;$C$7,BD!$A$3:$A$5001,"&lt;="&amp;$B165,BD!$M$3:$M$5001,"&lt;&gt;"))))</f>
        <v/>
      </c>
      <c r="G165" s="43" t="str">
        <f>IF(OR($B165="",$A165&gt;$B$9,G$149=""),"",IF(COUNTIFS(BD!$B$3:$B$5001,G$149,BD!$A$3:$A$5001,"&gt;="&amp;$C$7,BD!$A$3:$A$5001,"&lt;="&amp;$B165,BD!$M$3:$M$5001,"&lt;&gt;")=0,"",SUMIFS(BD!$M$3:$M$5001,BD!$B$3:$B$5001,G$149,BD!$A$3:$A$5001,_xlfn.MAXIFS(BD!$A$3:$A$5001,BD!$B$3:$B$5001,G$149,BD!$A$3:$A$5001,"&gt;="&amp;$C$7,BD!$A$3:$A$5001,"&lt;="&amp;$B165,BD!$M$3:$M$5001,"&lt;&gt;"))))</f>
        <v/>
      </c>
      <c r="H165" s="43" t="str">
        <f>IF(OR($B165="",$A165&gt;$B$9,H$149=""),"",IF(COUNTIFS(BD!$B$3:$B$5001,H$149,BD!$A$3:$A$5001,"&gt;="&amp;$C$7,BD!$A$3:$A$5001,"&lt;="&amp;$B165,BD!$M$3:$M$5001,"&lt;&gt;")=0,"",SUMIFS(BD!$M$3:$M$5001,BD!$B$3:$B$5001,H$149,BD!$A$3:$A$5001,_xlfn.MAXIFS(BD!$A$3:$A$5001,BD!$B$3:$B$5001,H$149,BD!$A$3:$A$5001,"&gt;="&amp;$C$7,BD!$A$3:$A$5001,"&lt;="&amp;$B165,BD!$M$3:$M$5001,"&lt;&gt;"))))</f>
        <v/>
      </c>
      <c r="I165" s="43" t="str">
        <f>IF(OR($B165="",$A165&gt;$B$9,I$149=""),"",IF(COUNTIFS(BD!$B$3:$B$5001,I$149,BD!$A$3:$A$5001,"&gt;="&amp;$C$7,BD!$A$3:$A$5001,"&lt;="&amp;$B165,BD!$M$3:$M$5001,"&lt;&gt;")=0,"",SUMIFS(BD!$M$3:$M$5001,BD!$B$3:$B$5001,I$149,BD!$A$3:$A$5001,_xlfn.MAXIFS(BD!$A$3:$A$5001,BD!$B$3:$B$5001,I$149,BD!$A$3:$A$5001,"&gt;="&amp;$C$7,BD!$A$3:$A$5001,"&lt;="&amp;$B165,BD!$M$3:$M$5001,"&lt;&gt;"))))</f>
        <v/>
      </c>
      <c r="J165" s="43" t="str">
        <f>IF(OR($B165="",$A165&gt;$B$9,J$149=""),"",IF(COUNTIFS(BD!$B$3:$B$5001,J$149,BD!$A$3:$A$5001,"&gt;="&amp;$C$7,BD!$A$3:$A$5001,"&lt;="&amp;$B165,BD!$M$3:$M$5001,"&lt;&gt;")=0,"",SUMIFS(BD!$M$3:$M$5001,BD!$B$3:$B$5001,J$149,BD!$A$3:$A$5001,_xlfn.MAXIFS(BD!$A$3:$A$5001,BD!$B$3:$B$5001,J$149,BD!$A$3:$A$5001,"&gt;="&amp;$C$7,BD!$A$3:$A$5001,"&lt;="&amp;$B165,BD!$M$3:$M$5001,"&lt;&gt;"))))</f>
        <v/>
      </c>
      <c r="K165" s="43" t="str">
        <f>IF(OR($B165="",$A165&gt;$B$9,K$149=""),"",IF(COUNTIFS(BD!$B$3:$B$5001,K$149,BD!$A$3:$A$5001,"&gt;="&amp;$C$7,BD!$A$3:$A$5001,"&lt;="&amp;$B165,BD!$M$3:$M$5001,"&lt;&gt;")=0,"",SUMIFS(BD!$M$3:$M$5001,BD!$B$3:$B$5001,K$149,BD!$A$3:$A$5001,_xlfn.MAXIFS(BD!$A$3:$A$5001,BD!$B$3:$B$5001,K$149,BD!$A$3:$A$5001,"&gt;="&amp;$C$7,BD!$A$3:$A$5001,"&lt;="&amp;$B165,BD!$M$3:$M$5001,"&lt;&gt;"))))</f>
        <v/>
      </c>
      <c r="L165" s="43" t="str">
        <f>IF(OR($B165="",$A165&gt;$B$9,L$149=""),"",IF(COUNTIFS(BD!$B$3:$B$5001,L$149,BD!$A$3:$A$5001,"&gt;="&amp;$C$7,BD!$A$3:$A$5001,"&lt;="&amp;$B165,BD!$M$3:$M$5001,"&lt;&gt;")=0,"",SUMIFS(BD!$M$3:$M$5001,BD!$B$3:$B$5001,L$149,BD!$A$3:$A$5001,_xlfn.MAXIFS(BD!$A$3:$A$5001,BD!$B$3:$B$5001,L$149,BD!$A$3:$A$5001,"&gt;="&amp;$C$7,BD!$A$3:$A$5001,"&lt;="&amp;$B165,BD!$M$3:$M$5001,"&lt;&gt;"))))</f>
        <v/>
      </c>
      <c r="M165" s="43" t="str">
        <f>IF(OR($B165="",$A165&gt;$B$9,M$149=""),"",IF(COUNTIFS(BD!$B$3:$B$5001,M$149,BD!$A$3:$A$5001,"&gt;="&amp;$C$7,BD!$A$3:$A$5001,"&lt;="&amp;$B165,BD!$M$3:$M$5001,"&lt;&gt;")=0,"",SUMIFS(BD!$M$3:$M$5001,BD!$B$3:$B$5001,M$149,BD!$A$3:$A$5001,_xlfn.MAXIFS(BD!$A$3:$A$5001,BD!$B$3:$B$5001,M$149,BD!$A$3:$A$5001,"&gt;="&amp;$C$7,BD!$A$3:$A$5001,"&lt;="&amp;$B165,BD!$M$3:$M$5001,"&lt;&gt;"))))</f>
        <v/>
      </c>
      <c r="N165" s="43" t="str">
        <f>IF(OR($B165="",$A165&gt;$B$9,N$149=""),"",IF(COUNTIFS(BD!$B$3:$B$5001,N$149,BD!$A$3:$A$5001,"&gt;="&amp;$C$7,BD!$A$3:$A$5001,"&lt;="&amp;$B165,BD!$M$3:$M$5001,"&lt;&gt;")=0,"",SUMIFS(BD!$M$3:$M$5001,BD!$B$3:$B$5001,N$149,BD!$A$3:$A$5001,_xlfn.MAXIFS(BD!$A$3:$A$5001,BD!$B$3:$B$5001,N$149,BD!$A$3:$A$5001,"&gt;="&amp;$C$7,BD!$A$3:$A$5001,"&lt;="&amp;$B165,BD!$M$3:$M$5001,"&lt;&gt;"))))</f>
        <v/>
      </c>
      <c r="O165" s="43" t="str">
        <f>IF(OR($B165="",$A165&gt;$B$9,O$149=""),"",IF(COUNTIFS(BD!$B$3:$B$5001,O$149,BD!$A$3:$A$5001,"&gt;="&amp;$C$7,BD!$A$3:$A$5001,"&lt;="&amp;$B165,BD!$M$3:$M$5001,"&lt;&gt;")=0,"",SUMIFS(BD!$M$3:$M$5001,BD!$B$3:$B$5001,O$149,BD!$A$3:$A$5001,_xlfn.MAXIFS(BD!$A$3:$A$5001,BD!$B$3:$B$5001,O$149,BD!$A$3:$A$5001,"&gt;="&amp;$C$7,BD!$A$3:$A$5001,"&lt;="&amp;$B165,BD!$M$3:$M$5001,"&lt;&gt;"))))</f>
        <v/>
      </c>
      <c r="P165" s="43" t="str">
        <f>IF(OR($B165="",$A165&gt;$B$9,P$149=""),"",IF(COUNTIFS(BD!$B$3:$B$5001,P$149,BD!$A$3:$A$5001,"&gt;="&amp;$C$7,BD!$A$3:$A$5001,"&lt;="&amp;$B165,BD!$M$3:$M$5001,"&lt;&gt;")=0,"",SUMIFS(BD!$M$3:$M$5001,BD!$B$3:$B$5001,P$149,BD!$A$3:$A$5001,_xlfn.MAXIFS(BD!$A$3:$A$5001,BD!$B$3:$B$5001,P$149,BD!$A$3:$A$5001,"&gt;="&amp;$C$7,BD!$A$3:$A$5001,"&lt;="&amp;$B165,BD!$M$3:$M$5001,"&lt;&gt;"))))</f>
        <v/>
      </c>
      <c r="Q165" s="43" t="str">
        <f>IF(OR($B165="",$A165&gt;$B$9,Q$149=""),"",IF(COUNTIFS(BD!$B$3:$B$5001,Q$149,BD!$A$3:$A$5001,"&gt;="&amp;$C$7,BD!$A$3:$A$5001,"&lt;="&amp;$B165,BD!$M$3:$M$5001,"&lt;&gt;")=0,"",SUMIFS(BD!$M$3:$M$5001,BD!$B$3:$B$5001,Q$149,BD!$A$3:$A$5001,_xlfn.MAXIFS(BD!$A$3:$A$5001,BD!$B$3:$B$5001,Q$149,BD!$A$3:$A$5001,"&gt;="&amp;$C$7,BD!$A$3:$A$5001,"&lt;="&amp;$B165,BD!$M$3:$M$5001,"&lt;&gt;"))))</f>
        <v/>
      </c>
      <c r="R165" s="43" t="str">
        <f>IF(OR($B165="",$A165&gt;$B$9,R$149=""),"",IF(COUNTIFS(BD!$B$3:$B$5001,R$149,BD!$A$3:$A$5001,"&gt;="&amp;$C$7,BD!$A$3:$A$5001,"&lt;="&amp;$B165,BD!$M$3:$M$5001,"&lt;&gt;")=0,"",SUMIFS(BD!$M$3:$M$5001,BD!$B$3:$B$5001,R$149,BD!$A$3:$A$5001,_xlfn.MAXIFS(BD!$A$3:$A$5001,BD!$B$3:$B$5001,R$149,BD!$A$3:$A$5001,"&gt;="&amp;$C$7,BD!$A$3:$A$5001,"&lt;="&amp;$B165,BD!$M$3:$M$5001,"&lt;&gt;"))))</f>
        <v/>
      </c>
      <c r="S165" s="43" t="str">
        <f>IF(OR($B165="",$A165&gt;$B$9,S$149=""),"",IF(COUNTIFS(BD!$B$3:$B$5001,S$149,BD!$A$3:$A$5001,"&gt;="&amp;$C$7,BD!$A$3:$A$5001,"&lt;="&amp;$B165,BD!$M$3:$M$5001,"&lt;&gt;")=0,"",SUMIFS(BD!$M$3:$M$5001,BD!$B$3:$B$5001,S$149,BD!$A$3:$A$5001,_xlfn.MAXIFS(BD!$A$3:$A$5001,BD!$B$3:$B$5001,S$149,BD!$A$3:$A$5001,"&gt;="&amp;$C$7,BD!$A$3:$A$5001,"&lt;="&amp;$B165,BD!$M$3:$M$5001,"&lt;&gt;"))))</f>
        <v/>
      </c>
      <c r="T165" s="43" t="str">
        <f>IF(OR($B165="",$A165&gt;$B$9,T$149=""),"",IF(COUNTIFS(BD!$B$3:$B$5001,T$149,BD!$A$3:$A$5001,"&gt;="&amp;$C$7,BD!$A$3:$A$5001,"&lt;="&amp;$B165,BD!$M$3:$M$5001,"&lt;&gt;")=0,"",SUMIFS(BD!$M$3:$M$5001,BD!$B$3:$B$5001,T$149,BD!$A$3:$A$5001,_xlfn.MAXIFS(BD!$A$3:$A$5001,BD!$B$3:$B$5001,T$149,BD!$A$3:$A$5001,"&gt;="&amp;$C$7,BD!$A$3:$A$5001,"&lt;="&amp;$B165,BD!$M$3:$M$5001,"&lt;&gt;"))))</f>
        <v/>
      </c>
      <c r="U165" s="43" t="str">
        <f>IF(OR($B165="",$A165&gt;$B$9,U$149=""),"",IF(COUNTIFS(BD!$B$3:$B$5001,U$149,BD!$A$3:$A$5001,"&gt;="&amp;$C$7,BD!$A$3:$A$5001,"&lt;="&amp;$B165,BD!$M$3:$M$5001,"&lt;&gt;")=0,"",SUMIFS(BD!$M$3:$M$5001,BD!$B$3:$B$5001,U$149,BD!$A$3:$A$5001,_xlfn.MAXIFS(BD!$A$3:$A$5001,BD!$B$3:$B$5001,U$149,BD!$A$3:$A$5001,"&gt;="&amp;$C$7,BD!$A$3:$A$5001,"&lt;="&amp;$B165,BD!$M$3:$M$5001,"&lt;&gt;"))))</f>
        <v/>
      </c>
      <c r="V165" s="43" t="str">
        <f>IF(OR($B165="",$A165&gt;$B$9,V$149=""),"",IF(COUNTIFS(BD!$B$3:$B$5001,V$149,BD!$A$3:$A$5001,"&gt;="&amp;$C$7,BD!$A$3:$A$5001,"&lt;="&amp;$B165,BD!$M$3:$M$5001,"&lt;&gt;")=0,"",SUMIFS(BD!$M$3:$M$5001,BD!$B$3:$B$5001,V$149,BD!$A$3:$A$5001,_xlfn.MAXIFS(BD!$A$3:$A$5001,BD!$B$3:$B$5001,V$149,BD!$A$3:$A$5001,"&gt;="&amp;$C$7,BD!$A$3:$A$5001,"&lt;="&amp;$B165,BD!$M$3:$M$5001,"&lt;&gt;"))))</f>
        <v/>
      </c>
    </row>
    <row r="166">
      <c r="A166" s="38">
        <v>17</v>
      </c>
      <c r="B166" s="42">
        <f>$B$28</f>
        <v>46312</v>
      </c>
      <c r="C166" s="43" t="str">
        <f>IF(OR($B166="",$A166&gt;$B$9,C$149=""),"",IF(COUNTIFS(BD!$B$3:$B$5001,C$149,BD!$A$3:$A$5001,"&gt;="&amp;$C$7,BD!$A$3:$A$5001,"&lt;="&amp;$B166,BD!$M$3:$M$5001,"&lt;&gt;")=0,"",SUMIFS(BD!$M$3:$M$5001,BD!$B$3:$B$5001,C$149,BD!$A$3:$A$5001,_xlfn.MAXIFS(BD!$A$3:$A$5001,BD!$B$3:$B$5001,C$149,BD!$A$3:$A$5001,"&gt;="&amp;$C$7,BD!$A$3:$A$5001,"&lt;="&amp;$B166,BD!$M$3:$M$5001,"&lt;&gt;"))))</f>
        <v/>
      </c>
      <c r="D166" s="43" t="str">
        <f>IF(OR($B166="",$A166&gt;$B$9,D$149=""),"",IF(COUNTIFS(BD!$B$3:$B$5001,D$149,BD!$A$3:$A$5001,"&gt;="&amp;$C$7,BD!$A$3:$A$5001,"&lt;="&amp;$B166,BD!$M$3:$M$5001,"&lt;&gt;")=0,"",SUMIFS(BD!$M$3:$M$5001,BD!$B$3:$B$5001,D$149,BD!$A$3:$A$5001,_xlfn.MAXIFS(BD!$A$3:$A$5001,BD!$B$3:$B$5001,D$149,BD!$A$3:$A$5001,"&gt;="&amp;$C$7,BD!$A$3:$A$5001,"&lt;="&amp;$B166,BD!$M$3:$M$5001,"&lt;&gt;"))))</f>
        <v/>
      </c>
      <c r="E166" s="43" t="str">
        <f>IF(OR($B166="",$A166&gt;$B$9,E$149=""),"",IF(COUNTIFS(BD!$B$3:$B$5001,E$149,BD!$A$3:$A$5001,"&gt;="&amp;$C$7,BD!$A$3:$A$5001,"&lt;="&amp;$B166,BD!$M$3:$M$5001,"&lt;&gt;")=0,"",SUMIFS(BD!$M$3:$M$5001,BD!$B$3:$B$5001,E$149,BD!$A$3:$A$5001,_xlfn.MAXIFS(BD!$A$3:$A$5001,BD!$B$3:$B$5001,E$149,BD!$A$3:$A$5001,"&gt;="&amp;$C$7,BD!$A$3:$A$5001,"&lt;="&amp;$B166,BD!$M$3:$M$5001,"&lt;&gt;"))))</f>
        <v/>
      </c>
      <c r="F166" s="43" t="str">
        <f>IF(OR($B166="",$A166&gt;$B$9,F$149=""),"",IF(COUNTIFS(BD!$B$3:$B$5001,F$149,BD!$A$3:$A$5001,"&gt;="&amp;$C$7,BD!$A$3:$A$5001,"&lt;="&amp;$B166,BD!$M$3:$M$5001,"&lt;&gt;")=0,"",SUMIFS(BD!$M$3:$M$5001,BD!$B$3:$B$5001,F$149,BD!$A$3:$A$5001,_xlfn.MAXIFS(BD!$A$3:$A$5001,BD!$B$3:$B$5001,F$149,BD!$A$3:$A$5001,"&gt;="&amp;$C$7,BD!$A$3:$A$5001,"&lt;="&amp;$B166,BD!$M$3:$M$5001,"&lt;&gt;"))))</f>
        <v/>
      </c>
      <c r="G166" s="43" t="str">
        <f>IF(OR($B166="",$A166&gt;$B$9,G$149=""),"",IF(COUNTIFS(BD!$B$3:$B$5001,G$149,BD!$A$3:$A$5001,"&gt;="&amp;$C$7,BD!$A$3:$A$5001,"&lt;="&amp;$B166,BD!$M$3:$M$5001,"&lt;&gt;")=0,"",SUMIFS(BD!$M$3:$M$5001,BD!$B$3:$B$5001,G$149,BD!$A$3:$A$5001,_xlfn.MAXIFS(BD!$A$3:$A$5001,BD!$B$3:$B$5001,G$149,BD!$A$3:$A$5001,"&gt;="&amp;$C$7,BD!$A$3:$A$5001,"&lt;="&amp;$B166,BD!$M$3:$M$5001,"&lt;&gt;"))))</f>
        <v/>
      </c>
      <c r="H166" s="43" t="str">
        <f>IF(OR($B166="",$A166&gt;$B$9,H$149=""),"",IF(COUNTIFS(BD!$B$3:$B$5001,H$149,BD!$A$3:$A$5001,"&gt;="&amp;$C$7,BD!$A$3:$A$5001,"&lt;="&amp;$B166,BD!$M$3:$M$5001,"&lt;&gt;")=0,"",SUMIFS(BD!$M$3:$M$5001,BD!$B$3:$B$5001,H$149,BD!$A$3:$A$5001,_xlfn.MAXIFS(BD!$A$3:$A$5001,BD!$B$3:$B$5001,H$149,BD!$A$3:$A$5001,"&gt;="&amp;$C$7,BD!$A$3:$A$5001,"&lt;="&amp;$B166,BD!$M$3:$M$5001,"&lt;&gt;"))))</f>
        <v/>
      </c>
      <c r="I166" s="43" t="str">
        <f>IF(OR($B166="",$A166&gt;$B$9,I$149=""),"",IF(COUNTIFS(BD!$B$3:$B$5001,I$149,BD!$A$3:$A$5001,"&gt;="&amp;$C$7,BD!$A$3:$A$5001,"&lt;="&amp;$B166,BD!$M$3:$M$5001,"&lt;&gt;")=0,"",SUMIFS(BD!$M$3:$M$5001,BD!$B$3:$B$5001,I$149,BD!$A$3:$A$5001,_xlfn.MAXIFS(BD!$A$3:$A$5001,BD!$B$3:$B$5001,I$149,BD!$A$3:$A$5001,"&gt;="&amp;$C$7,BD!$A$3:$A$5001,"&lt;="&amp;$B166,BD!$M$3:$M$5001,"&lt;&gt;"))))</f>
        <v/>
      </c>
      <c r="J166" s="43" t="str">
        <f>IF(OR($B166="",$A166&gt;$B$9,J$149=""),"",IF(COUNTIFS(BD!$B$3:$B$5001,J$149,BD!$A$3:$A$5001,"&gt;="&amp;$C$7,BD!$A$3:$A$5001,"&lt;="&amp;$B166,BD!$M$3:$M$5001,"&lt;&gt;")=0,"",SUMIFS(BD!$M$3:$M$5001,BD!$B$3:$B$5001,J$149,BD!$A$3:$A$5001,_xlfn.MAXIFS(BD!$A$3:$A$5001,BD!$B$3:$B$5001,J$149,BD!$A$3:$A$5001,"&gt;="&amp;$C$7,BD!$A$3:$A$5001,"&lt;="&amp;$B166,BD!$M$3:$M$5001,"&lt;&gt;"))))</f>
        <v/>
      </c>
      <c r="K166" s="43" t="str">
        <f>IF(OR($B166="",$A166&gt;$B$9,K$149=""),"",IF(COUNTIFS(BD!$B$3:$B$5001,K$149,BD!$A$3:$A$5001,"&gt;="&amp;$C$7,BD!$A$3:$A$5001,"&lt;="&amp;$B166,BD!$M$3:$M$5001,"&lt;&gt;")=0,"",SUMIFS(BD!$M$3:$M$5001,BD!$B$3:$B$5001,K$149,BD!$A$3:$A$5001,_xlfn.MAXIFS(BD!$A$3:$A$5001,BD!$B$3:$B$5001,K$149,BD!$A$3:$A$5001,"&gt;="&amp;$C$7,BD!$A$3:$A$5001,"&lt;="&amp;$B166,BD!$M$3:$M$5001,"&lt;&gt;"))))</f>
        <v/>
      </c>
      <c r="L166" s="43" t="str">
        <f>IF(OR($B166="",$A166&gt;$B$9,L$149=""),"",IF(COUNTIFS(BD!$B$3:$B$5001,L$149,BD!$A$3:$A$5001,"&gt;="&amp;$C$7,BD!$A$3:$A$5001,"&lt;="&amp;$B166,BD!$M$3:$M$5001,"&lt;&gt;")=0,"",SUMIFS(BD!$M$3:$M$5001,BD!$B$3:$B$5001,L$149,BD!$A$3:$A$5001,_xlfn.MAXIFS(BD!$A$3:$A$5001,BD!$B$3:$B$5001,L$149,BD!$A$3:$A$5001,"&gt;="&amp;$C$7,BD!$A$3:$A$5001,"&lt;="&amp;$B166,BD!$M$3:$M$5001,"&lt;&gt;"))))</f>
        <v/>
      </c>
      <c r="M166" s="43" t="str">
        <f>IF(OR($B166="",$A166&gt;$B$9,M$149=""),"",IF(COUNTIFS(BD!$B$3:$B$5001,M$149,BD!$A$3:$A$5001,"&gt;="&amp;$C$7,BD!$A$3:$A$5001,"&lt;="&amp;$B166,BD!$M$3:$M$5001,"&lt;&gt;")=0,"",SUMIFS(BD!$M$3:$M$5001,BD!$B$3:$B$5001,M$149,BD!$A$3:$A$5001,_xlfn.MAXIFS(BD!$A$3:$A$5001,BD!$B$3:$B$5001,M$149,BD!$A$3:$A$5001,"&gt;="&amp;$C$7,BD!$A$3:$A$5001,"&lt;="&amp;$B166,BD!$M$3:$M$5001,"&lt;&gt;"))))</f>
        <v/>
      </c>
      <c r="N166" s="43" t="str">
        <f>IF(OR($B166="",$A166&gt;$B$9,N$149=""),"",IF(COUNTIFS(BD!$B$3:$B$5001,N$149,BD!$A$3:$A$5001,"&gt;="&amp;$C$7,BD!$A$3:$A$5001,"&lt;="&amp;$B166,BD!$M$3:$M$5001,"&lt;&gt;")=0,"",SUMIFS(BD!$M$3:$M$5001,BD!$B$3:$B$5001,N$149,BD!$A$3:$A$5001,_xlfn.MAXIFS(BD!$A$3:$A$5001,BD!$B$3:$B$5001,N$149,BD!$A$3:$A$5001,"&gt;="&amp;$C$7,BD!$A$3:$A$5001,"&lt;="&amp;$B166,BD!$M$3:$M$5001,"&lt;&gt;"))))</f>
        <v/>
      </c>
      <c r="O166" s="43" t="str">
        <f>IF(OR($B166="",$A166&gt;$B$9,O$149=""),"",IF(COUNTIFS(BD!$B$3:$B$5001,O$149,BD!$A$3:$A$5001,"&gt;="&amp;$C$7,BD!$A$3:$A$5001,"&lt;="&amp;$B166,BD!$M$3:$M$5001,"&lt;&gt;")=0,"",SUMIFS(BD!$M$3:$M$5001,BD!$B$3:$B$5001,O$149,BD!$A$3:$A$5001,_xlfn.MAXIFS(BD!$A$3:$A$5001,BD!$B$3:$B$5001,O$149,BD!$A$3:$A$5001,"&gt;="&amp;$C$7,BD!$A$3:$A$5001,"&lt;="&amp;$B166,BD!$M$3:$M$5001,"&lt;&gt;"))))</f>
        <v/>
      </c>
      <c r="P166" s="43" t="str">
        <f>IF(OR($B166="",$A166&gt;$B$9,P$149=""),"",IF(COUNTIFS(BD!$B$3:$B$5001,P$149,BD!$A$3:$A$5001,"&gt;="&amp;$C$7,BD!$A$3:$A$5001,"&lt;="&amp;$B166,BD!$M$3:$M$5001,"&lt;&gt;")=0,"",SUMIFS(BD!$M$3:$M$5001,BD!$B$3:$B$5001,P$149,BD!$A$3:$A$5001,_xlfn.MAXIFS(BD!$A$3:$A$5001,BD!$B$3:$B$5001,P$149,BD!$A$3:$A$5001,"&gt;="&amp;$C$7,BD!$A$3:$A$5001,"&lt;="&amp;$B166,BD!$M$3:$M$5001,"&lt;&gt;"))))</f>
        <v/>
      </c>
      <c r="Q166" s="43" t="str">
        <f>IF(OR($B166="",$A166&gt;$B$9,Q$149=""),"",IF(COUNTIFS(BD!$B$3:$B$5001,Q$149,BD!$A$3:$A$5001,"&gt;="&amp;$C$7,BD!$A$3:$A$5001,"&lt;="&amp;$B166,BD!$M$3:$M$5001,"&lt;&gt;")=0,"",SUMIFS(BD!$M$3:$M$5001,BD!$B$3:$B$5001,Q$149,BD!$A$3:$A$5001,_xlfn.MAXIFS(BD!$A$3:$A$5001,BD!$B$3:$B$5001,Q$149,BD!$A$3:$A$5001,"&gt;="&amp;$C$7,BD!$A$3:$A$5001,"&lt;="&amp;$B166,BD!$M$3:$M$5001,"&lt;&gt;"))))</f>
        <v/>
      </c>
      <c r="R166" s="43" t="str">
        <f>IF(OR($B166="",$A166&gt;$B$9,R$149=""),"",IF(COUNTIFS(BD!$B$3:$B$5001,R$149,BD!$A$3:$A$5001,"&gt;="&amp;$C$7,BD!$A$3:$A$5001,"&lt;="&amp;$B166,BD!$M$3:$M$5001,"&lt;&gt;")=0,"",SUMIFS(BD!$M$3:$M$5001,BD!$B$3:$B$5001,R$149,BD!$A$3:$A$5001,_xlfn.MAXIFS(BD!$A$3:$A$5001,BD!$B$3:$B$5001,R$149,BD!$A$3:$A$5001,"&gt;="&amp;$C$7,BD!$A$3:$A$5001,"&lt;="&amp;$B166,BD!$M$3:$M$5001,"&lt;&gt;"))))</f>
        <v/>
      </c>
      <c r="S166" s="43" t="str">
        <f>IF(OR($B166="",$A166&gt;$B$9,S$149=""),"",IF(COUNTIFS(BD!$B$3:$B$5001,S$149,BD!$A$3:$A$5001,"&gt;="&amp;$C$7,BD!$A$3:$A$5001,"&lt;="&amp;$B166,BD!$M$3:$M$5001,"&lt;&gt;")=0,"",SUMIFS(BD!$M$3:$M$5001,BD!$B$3:$B$5001,S$149,BD!$A$3:$A$5001,_xlfn.MAXIFS(BD!$A$3:$A$5001,BD!$B$3:$B$5001,S$149,BD!$A$3:$A$5001,"&gt;="&amp;$C$7,BD!$A$3:$A$5001,"&lt;="&amp;$B166,BD!$M$3:$M$5001,"&lt;&gt;"))))</f>
        <v/>
      </c>
      <c r="T166" s="43" t="str">
        <f>IF(OR($B166="",$A166&gt;$B$9,T$149=""),"",IF(COUNTIFS(BD!$B$3:$B$5001,T$149,BD!$A$3:$A$5001,"&gt;="&amp;$C$7,BD!$A$3:$A$5001,"&lt;="&amp;$B166,BD!$M$3:$M$5001,"&lt;&gt;")=0,"",SUMIFS(BD!$M$3:$M$5001,BD!$B$3:$B$5001,T$149,BD!$A$3:$A$5001,_xlfn.MAXIFS(BD!$A$3:$A$5001,BD!$B$3:$B$5001,T$149,BD!$A$3:$A$5001,"&gt;="&amp;$C$7,BD!$A$3:$A$5001,"&lt;="&amp;$B166,BD!$M$3:$M$5001,"&lt;&gt;"))))</f>
        <v/>
      </c>
      <c r="U166" s="43" t="str">
        <f>IF(OR($B166="",$A166&gt;$B$9,U$149=""),"",IF(COUNTIFS(BD!$B$3:$B$5001,U$149,BD!$A$3:$A$5001,"&gt;="&amp;$C$7,BD!$A$3:$A$5001,"&lt;="&amp;$B166,BD!$M$3:$M$5001,"&lt;&gt;")=0,"",SUMIFS(BD!$M$3:$M$5001,BD!$B$3:$B$5001,U$149,BD!$A$3:$A$5001,_xlfn.MAXIFS(BD!$A$3:$A$5001,BD!$B$3:$B$5001,U$149,BD!$A$3:$A$5001,"&gt;="&amp;$C$7,BD!$A$3:$A$5001,"&lt;="&amp;$B166,BD!$M$3:$M$5001,"&lt;&gt;"))))</f>
        <v/>
      </c>
      <c r="V166" s="43" t="str">
        <f>IF(OR($B166="",$A166&gt;$B$9,V$149=""),"",IF(COUNTIFS(BD!$B$3:$B$5001,V$149,BD!$A$3:$A$5001,"&gt;="&amp;$C$7,BD!$A$3:$A$5001,"&lt;="&amp;$B166,BD!$M$3:$M$5001,"&lt;&gt;")=0,"",SUMIFS(BD!$M$3:$M$5001,BD!$B$3:$B$5001,V$149,BD!$A$3:$A$5001,_xlfn.MAXIFS(BD!$A$3:$A$5001,BD!$B$3:$B$5001,V$149,BD!$A$3:$A$5001,"&gt;="&amp;$C$7,BD!$A$3:$A$5001,"&lt;="&amp;$B166,BD!$M$3:$M$5001,"&lt;&gt;"))))</f>
        <v/>
      </c>
    </row>
    <row r="167">
      <c r="A167" s="38">
        <v>18</v>
      </c>
      <c r="B167" s="42">
        <f>$B$29</f>
        <v>46313</v>
      </c>
      <c r="C167" s="43" t="str">
        <f>IF(OR($B167="",$A167&gt;$B$9,C$149=""),"",IF(COUNTIFS(BD!$B$3:$B$5001,C$149,BD!$A$3:$A$5001,"&gt;="&amp;$C$7,BD!$A$3:$A$5001,"&lt;="&amp;$B167,BD!$M$3:$M$5001,"&lt;&gt;")=0,"",SUMIFS(BD!$M$3:$M$5001,BD!$B$3:$B$5001,C$149,BD!$A$3:$A$5001,_xlfn.MAXIFS(BD!$A$3:$A$5001,BD!$B$3:$B$5001,C$149,BD!$A$3:$A$5001,"&gt;="&amp;$C$7,BD!$A$3:$A$5001,"&lt;="&amp;$B167,BD!$M$3:$M$5001,"&lt;&gt;"))))</f>
        <v/>
      </c>
      <c r="D167" s="43" t="str">
        <f>IF(OR($B167="",$A167&gt;$B$9,D$149=""),"",IF(COUNTIFS(BD!$B$3:$B$5001,D$149,BD!$A$3:$A$5001,"&gt;="&amp;$C$7,BD!$A$3:$A$5001,"&lt;="&amp;$B167,BD!$M$3:$M$5001,"&lt;&gt;")=0,"",SUMIFS(BD!$M$3:$M$5001,BD!$B$3:$B$5001,D$149,BD!$A$3:$A$5001,_xlfn.MAXIFS(BD!$A$3:$A$5001,BD!$B$3:$B$5001,D$149,BD!$A$3:$A$5001,"&gt;="&amp;$C$7,BD!$A$3:$A$5001,"&lt;="&amp;$B167,BD!$M$3:$M$5001,"&lt;&gt;"))))</f>
        <v/>
      </c>
      <c r="E167" s="43" t="str">
        <f>IF(OR($B167="",$A167&gt;$B$9,E$149=""),"",IF(COUNTIFS(BD!$B$3:$B$5001,E$149,BD!$A$3:$A$5001,"&gt;="&amp;$C$7,BD!$A$3:$A$5001,"&lt;="&amp;$B167,BD!$M$3:$M$5001,"&lt;&gt;")=0,"",SUMIFS(BD!$M$3:$M$5001,BD!$B$3:$B$5001,E$149,BD!$A$3:$A$5001,_xlfn.MAXIFS(BD!$A$3:$A$5001,BD!$B$3:$B$5001,E$149,BD!$A$3:$A$5001,"&gt;="&amp;$C$7,BD!$A$3:$A$5001,"&lt;="&amp;$B167,BD!$M$3:$M$5001,"&lt;&gt;"))))</f>
        <v/>
      </c>
      <c r="F167" s="43" t="str">
        <f>IF(OR($B167="",$A167&gt;$B$9,F$149=""),"",IF(COUNTIFS(BD!$B$3:$B$5001,F$149,BD!$A$3:$A$5001,"&gt;="&amp;$C$7,BD!$A$3:$A$5001,"&lt;="&amp;$B167,BD!$M$3:$M$5001,"&lt;&gt;")=0,"",SUMIFS(BD!$M$3:$M$5001,BD!$B$3:$B$5001,F$149,BD!$A$3:$A$5001,_xlfn.MAXIFS(BD!$A$3:$A$5001,BD!$B$3:$B$5001,F$149,BD!$A$3:$A$5001,"&gt;="&amp;$C$7,BD!$A$3:$A$5001,"&lt;="&amp;$B167,BD!$M$3:$M$5001,"&lt;&gt;"))))</f>
        <v/>
      </c>
      <c r="G167" s="43" t="str">
        <f>IF(OR($B167="",$A167&gt;$B$9,G$149=""),"",IF(COUNTIFS(BD!$B$3:$B$5001,G$149,BD!$A$3:$A$5001,"&gt;="&amp;$C$7,BD!$A$3:$A$5001,"&lt;="&amp;$B167,BD!$M$3:$M$5001,"&lt;&gt;")=0,"",SUMIFS(BD!$M$3:$M$5001,BD!$B$3:$B$5001,G$149,BD!$A$3:$A$5001,_xlfn.MAXIFS(BD!$A$3:$A$5001,BD!$B$3:$B$5001,G$149,BD!$A$3:$A$5001,"&gt;="&amp;$C$7,BD!$A$3:$A$5001,"&lt;="&amp;$B167,BD!$M$3:$M$5001,"&lt;&gt;"))))</f>
        <v/>
      </c>
      <c r="H167" s="43" t="str">
        <f>IF(OR($B167="",$A167&gt;$B$9,H$149=""),"",IF(COUNTIFS(BD!$B$3:$B$5001,H$149,BD!$A$3:$A$5001,"&gt;="&amp;$C$7,BD!$A$3:$A$5001,"&lt;="&amp;$B167,BD!$M$3:$M$5001,"&lt;&gt;")=0,"",SUMIFS(BD!$M$3:$M$5001,BD!$B$3:$B$5001,H$149,BD!$A$3:$A$5001,_xlfn.MAXIFS(BD!$A$3:$A$5001,BD!$B$3:$B$5001,H$149,BD!$A$3:$A$5001,"&gt;="&amp;$C$7,BD!$A$3:$A$5001,"&lt;="&amp;$B167,BD!$M$3:$M$5001,"&lt;&gt;"))))</f>
        <v/>
      </c>
      <c r="I167" s="43" t="str">
        <f>IF(OR($B167="",$A167&gt;$B$9,I$149=""),"",IF(COUNTIFS(BD!$B$3:$B$5001,I$149,BD!$A$3:$A$5001,"&gt;="&amp;$C$7,BD!$A$3:$A$5001,"&lt;="&amp;$B167,BD!$M$3:$M$5001,"&lt;&gt;")=0,"",SUMIFS(BD!$M$3:$M$5001,BD!$B$3:$B$5001,I$149,BD!$A$3:$A$5001,_xlfn.MAXIFS(BD!$A$3:$A$5001,BD!$B$3:$B$5001,I$149,BD!$A$3:$A$5001,"&gt;="&amp;$C$7,BD!$A$3:$A$5001,"&lt;="&amp;$B167,BD!$M$3:$M$5001,"&lt;&gt;"))))</f>
        <v/>
      </c>
      <c r="J167" s="43" t="str">
        <f>IF(OR($B167="",$A167&gt;$B$9,J$149=""),"",IF(COUNTIFS(BD!$B$3:$B$5001,J$149,BD!$A$3:$A$5001,"&gt;="&amp;$C$7,BD!$A$3:$A$5001,"&lt;="&amp;$B167,BD!$M$3:$M$5001,"&lt;&gt;")=0,"",SUMIFS(BD!$M$3:$M$5001,BD!$B$3:$B$5001,J$149,BD!$A$3:$A$5001,_xlfn.MAXIFS(BD!$A$3:$A$5001,BD!$B$3:$B$5001,J$149,BD!$A$3:$A$5001,"&gt;="&amp;$C$7,BD!$A$3:$A$5001,"&lt;="&amp;$B167,BD!$M$3:$M$5001,"&lt;&gt;"))))</f>
        <v/>
      </c>
      <c r="K167" s="43" t="str">
        <f>IF(OR($B167="",$A167&gt;$B$9,K$149=""),"",IF(COUNTIFS(BD!$B$3:$B$5001,K$149,BD!$A$3:$A$5001,"&gt;="&amp;$C$7,BD!$A$3:$A$5001,"&lt;="&amp;$B167,BD!$M$3:$M$5001,"&lt;&gt;")=0,"",SUMIFS(BD!$M$3:$M$5001,BD!$B$3:$B$5001,K$149,BD!$A$3:$A$5001,_xlfn.MAXIFS(BD!$A$3:$A$5001,BD!$B$3:$B$5001,K$149,BD!$A$3:$A$5001,"&gt;="&amp;$C$7,BD!$A$3:$A$5001,"&lt;="&amp;$B167,BD!$M$3:$M$5001,"&lt;&gt;"))))</f>
        <v/>
      </c>
      <c r="L167" s="43" t="str">
        <f>IF(OR($B167="",$A167&gt;$B$9,L$149=""),"",IF(COUNTIFS(BD!$B$3:$B$5001,L$149,BD!$A$3:$A$5001,"&gt;="&amp;$C$7,BD!$A$3:$A$5001,"&lt;="&amp;$B167,BD!$M$3:$M$5001,"&lt;&gt;")=0,"",SUMIFS(BD!$M$3:$M$5001,BD!$B$3:$B$5001,L$149,BD!$A$3:$A$5001,_xlfn.MAXIFS(BD!$A$3:$A$5001,BD!$B$3:$B$5001,L$149,BD!$A$3:$A$5001,"&gt;="&amp;$C$7,BD!$A$3:$A$5001,"&lt;="&amp;$B167,BD!$M$3:$M$5001,"&lt;&gt;"))))</f>
        <v/>
      </c>
      <c r="M167" s="43" t="str">
        <f>IF(OR($B167="",$A167&gt;$B$9,M$149=""),"",IF(COUNTIFS(BD!$B$3:$B$5001,M$149,BD!$A$3:$A$5001,"&gt;="&amp;$C$7,BD!$A$3:$A$5001,"&lt;="&amp;$B167,BD!$M$3:$M$5001,"&lt;&gt;")=0,"",SUMIFS(BD!$M$3:$M$5001,BD!$B$3:$B$5001,M$149,BD!$A$3:$A$5001,_xlfn.MAXIFS(BD!$A$3:$A$5001,BD!$B$3:$B$5001,M$149,BD!$A$3:$A$5001,"&gt;="&amp;$C$7,BD!$A$3:$A$5001,"&lt;="&amp;$B167,BD!$M$3:$M$5001,"&lt;&gt;"))))</f>
        <v/>
      </c>
      <c r="N167" s="43" t="str">
        <f>IF(OR($B167="",$A167&gt;$B$9,N$149=""),"",IF(COUNTIFS(BD!$B$3:$B$5001,N$149,BD!$A$3:$A$5001,"&gt;="&amp;$C$7,BD!$A$3:$A$5001,"&lt;="&amp;$B167,BD!$M$3:$M$5001,"&lt;&gt;")=0,"",SUMIFS(BD!$M$3:$M$5001,BD!$B$3:$B$5001,N$149,BD!$A$3:$A$5001,_xlfn.MAXIFS(BD!$A$3:$A$5001,BD!$B$3:$B$5001,N$149,BD!$A$3:$A$5001,"&gt;="&amp;$C$7,BD!$A$3:$A$5001,"&lt;="&amp;$B167,BD!$M$3:$M$5001,"&lt;&gt;"))))</f>
        <v/>
      </c>
      <c r="O167" s="43" t="str">
        <f>IF(OR($B167="",$A167&gt;$B$9,O$149=""),"",IF(COUNTIFS(BD!$B$3:$B$5001,O$149,BD!$A$3:$A$5001,"&gt;="&amp;$C$7,BD!$A$3:$A$5001,"&lt;="&amp;$B167,BD!$M$3:$M$5001,"&lt;&gt;")=0,"",SUMIFS(BD!$M$3:$M$5001,BD!$B$3:$B$5001,O$149,BD!$A$3:$A$5001,_xlfn.MAXIFS(BD!$A$3:$A$5001,BD!$B$3:$B$5001,O$149,BD!$A$3:$A$5001,"&gt;="&amp;$C$7,BD!$A$3:$A$5001,"&lt;="&amp;$B167,BD!$M$3:$M$5001,"&lt;&gt;"))))</f>
        <v/>
      </c>
      <c r="P167" s="43" t="str">
        <f>IF(OR($B167="",$A167&gt;$B$9,P$149=""),"",IF(COUNTIFS(BD!$B$3:$B$5001,P$149,BD!$A$3:$A$5001,"&gt;="&amp;$C$7,BD!$A$3:$A$5001,"&lt;="&amp;$B167,BD!$M$3:$M$5001,"&lt;&gt;")=0,"",SUMIFS(BD!$M$3:$M$5001,BD!$B$3:$B$5001,P$149,BD!$A$3:$A$5001,_xlfn.MAXIFS(BD!$A$3:$A$5001,BD!$B$3:$B$5001,P$149,BD!$A$3:$A$5001,"&gt;="&amp;$C$7,BD!$A$3:$A$5001,"&lt;="&amp;$B167,BD!$M$3:$M$5001,"&lt;&gt;"))))</f>
        <v/>
      </c>
      <c r="Q167" s="43" t="str">
        <f>IF(OR($B167="",$A167&gt;$B$9,Q$149=""),"",IF(COUNTIFS(BD!$B$3:$B$5001,Q$149,BD!$A$3:$A$5001,"&gt;="&amp;$C$7,BD!$A$3:$A$5001,"&lt;="&amp;$B167,BD!$M$3:$M$5001,"&lt;&gt;")=0,"",SUMIFS(BD!$M$3:$M$5001,BD!$B$3:$B$5001,Q$149,BD!$A$3:$A$5001,_xlfn.MAXIFS(BD!$A$3:$A$5001,BD!$B$3:$B$5001,Q$149,BD!$A$3:$A$5001,"&gt;="&amp;$C$7,BD!$A$3:$A$5001,"&lt;="&amp;$B167,BD!$M$3:$M$5001,"&lt;&gt;"))))</f>
        <v/>
      </c>
      <c r="R167" s="43" t="str">
        <f>IF(OR($B167="",$A167&gt;$B$9,R$149=""),"",IF(COUNTIFS(BD!$B$3:$B$5001,R$149,BD!$A$3:$A$5001,"&gt;="&amp;$C$7,BD!$A$3:$A$5001,"&lt;="&amp;$B167,BD!$M$3:$M$5001,"&lt;&gt;")=0,"",SUMIFS(BD!$M$3:$M$5001,BD!$B$3:$B$5001,R$149,BD!$A$3:$A$5001,_xlfn.MAXIFS(BD!$A$3:$A$5001,BD!$B$3:$B$5001,R$149,BD!$A$3:$A$5001,"&gt;="&amp;$C$7,BD!$A$3:$A$5001,"&lt;="&amp;$B167,BD!$M$3:$M$5001,"&lt;&gt;"))))</f>
        <v/>
      </c>
      <c r="S167" s="43" t="str">
        <f>IF(OR($B167="",$A167&gt;$B$9,S$149=""),"",IF(COUNTIFS(BD!$B$3:$B$5001,S$149,BD!$A$3:$A$5001,"&gt;="&amp;$C$7,BD!$A$3:$A$5001,"&lt;="&amp;$B167,BD!$M$3:$M$5001,"&lt;&gt;")=0,"",SUMIFS(BD!$M$3:$M$5001,BD!$B$3:$B$5001,S$149,BD!$A$3:$A$5001,_xlfn.MAXIFS(BD!$A$3:$A$5001,BD!$B$3:$B$5001,S$149,BD!$A$3:$A$5001,"&gt;="&amp;$C$7,BD!$A$3:$A$5001,"&lt;="&amp;$B167,BD!$M$3:$M$5001,"&lt;&gt;"))))</f>
        <v/>
      </c>
      <c r="T167" s="43" t="str">
        <f>IF(OR($B167="",$A167&gt;$B$9,T$149=""),"",IF(COUNTIFS(BD!$B$3:$B$5001,T$149,BD!$A$3:$A$5001,"&gt;="&amp;$C$7,BD!$A$3:$A$5001,"&lt;="&amp;$B167,BD!$M$3:$M$5001,"&lt;&gt;")=0,"",SUMIFS(BD!$M$3:$M$5001,BD!$B$3:$B$5001,T$149,BD!$A$3:$A$5001,_xlfn.MAXIFS(BD!$A$3:$A$5001,BD!$B$3:$B$5001,T$149,BD!$A$3:$A$5001,"&gt;="&amp;$C$7,BD!$A$3:$A$5001,"&lt;="&amp;$B167,BD!$M$3:$M$5001,"&lt;&gt;"))))</f>
        <v/>
      </c>
      <c r="U167" s="43" t="str">
        <f>IF(OR($B167="",$A167&gt;$B$9,U$149=""),"",IF(COUNTIFS(BD!$B$3:$B$5001,U$149,BD!$A$3:$A$5001,"&gt;="&amp;$C$7,BD!$A$3:$A$5001,"&lt;="&amp;$B167,BD!$M$3:$M$5001,"&lt;&gt;")=0,"",SUMIFS(BD!$M$3:$M$5001,BD!$B$3:$B$5001,U$149,BD!$A$3:$A$5001,_xlfn.MAXIFS(BD!$A$3:$A$5001,BD!$B$3:$B$5001,U$149,BD!$A$3:$A$5001,"&gt;="&amp;$C$7,BD!$A$3:$A$5001,"&lt;="&amp;$B167,BD!$M$3:$M$5001,"&lt;&gt;"))))</f>
        <v/>
      </c>
      <c r="V167" s="43" t="str">
        <f>IF(OR($B167="",$A167&gt;$B$9,V$149=""),"",IF(COUNTIFS(BD!$B$3:$B$5001,V$149,BD!$A$3:$A$5001,"&gt;="&amp;$C$7,BD!$A$3:$A$5001,"&lt;="&amp;$B167,BD!$M$3:$M$5001,"&lt;&gt;")=0,"",SUMIFS(BD!$M$3:$M$5001,BD!$B$3:$B$5001,V$149,BD!$A$3:$A$5001,_xlfn.MAXIFS(BD!$A$3:$A$5001,BD!$B$3:$B$5001,V$149,BD!$A$3:$A$5001,"&gt;="&amp;$C$7,BD!$A$3:$A$5001,"&lt;="&amp;$B167,BD!$M$3:$M$5001,"&lt;&gt;"))))</f>
        <v/>
      </c>
    </row>
    <row r="168">
      <c r="A168" s="38">
        <v>19</v>
      </c>
      <c r="B168" s="42">
        <f>$B$30</f>
        <v>46314</v>
      </c>
      <c r="C168" s="43" t="str">
        <f>IF(OR($B168="",$A168&gt;$B$9,C$149=""),"",IF(COUNTIFS(BD!$B$3:$B$5001,C$149,BD!$A$3:$A$5001,"&gt;="&amp;$C$7,BD!$A$3:$A$5001,"&lt;="&amp;$B168,BD!$M$3:$M$5001,"&lt;&gt;")=0,"",SUMIFS(BD!$M$3:$M$5001,BD!$B$3:$B$5001,C$149,BD!$A$3:$A$5001,_xlfn.MAXIFS(BD!$A$3:$A$5001,BD!$B$3:$B$5001,C$149,BD!$A$3:$A$5001,"&gt;="&amp;$C$7,BD!$A$3:$A$5001,"&lt;="&amp;$B168,BD!$M$3:$M$5001,"&lt;&gt;"))))</f>
        <v/>
      </c>
      <c r="D168" s="43" t="str">
        <f>IF(OR($B168="",$A168&gt;$B$9,D$149=""),"",IF(COUNTIFS(BD!$B$3:$B$5001,D$149,BD!$A$3:$A$5001,"&gt;="&amp;$C$7,BD!$A$3:$A$5001,"&lt;="&amp;$B168,BD!$M$3:$M$5001,"&lt;&gt;")=0,"",SUMIFS(BD!$M$3:$M$5001,BD!$B$3:$B$5001,D$149,BD!$A$3:$A$5001,_xlfn.MAXIFS(BD!$A$3:$A$5001,BD!$B$3:$B$5001,D$149,BD!$A$3:$A$5001,"&gt;="&amp;$C$7,BD!$A$3:$A$5001,"&lt;="&amp;$B168,BD!$M$3:$M$5001,"&lt;&gt;"))))</f>
        <v/>
      </c>
      <c r="E168" s="43" t="str">
        <f>IF(OR($B168="",$A168&gt;$B$9,E$149=""),"",IF(COUNTIFS(BD!$B$3:$B$5001,E$149,BD!$A$3:$A$5001,"&gt;="&amp;$C$7,BD!$A$3:$A$5001,"&lt;="&amp;$B168,BD!$M$3:$M$5001,"&lt;&gt;")=0,"",SUMIFS(BD!$M$3:$M$5001,BD!$B$3:$B$5001,E$149,BD!$A$3:$A$5001,_xlfn.MAXIFS(BD!$A$3:$A$5001,BD!$B$3:$B$5001,E$149,BD!$A$3:$A$5001,"&gt;="&amp;$C$7,BD!$A$3:$A$5001,"&lt;="&amp;$B168,BD!$M$3:$M$5001,"&lt;&gt;"))))</f>
        <v/>
      </c>
      <c r="F168" s="43" t="str">
        <f>IF(OR($B168="",$A168&gt;$B$9,F$149=""),"",IF(COUNTIFS(BD!$B$3:$B$5001,F$149,BD!$A$3:$A$5001,"&gt;="&amp;$C$7,BD!$A$3:$A$5001,"&lt;="&amp;$B168,BD!$M$3:$M$5001,"&lt;&gt;")=0,"",SUMIFS(BD!$M$3:$M$5001,BD!$B$3:$B$5001,F$149,BD!$A$3:$A$5001,_xlfn.MAXIFS(BD!$A$3:$A$5001,BD!$B$3:$B$5001,F$149,BD!$A$3:$A$5001,"&gt;="&amp;$C$7,BD!$A$3:$A$5001,"&lt;="&amp;$B168,BD!$M$3:$M$5001,"&lt;&gt;"))))</f>
        <v/>
      </c>
      <c r="G168" s="43" t="str">
        <f>IF(OR($B168="",$A168&gt;$B$9,G$149=""),"",IF(COUNTIFS(BD!$B$3:$B$5001,G$149,BD!$A$3:$A$5001,"&gt;="&amp;$C$7,BD!$A$3:$A$5001,"&lt;="&amp;$B168,BD!$M$3:$M$5001,"&lt;&gt;")=0,"",SUMIFS(BD!$M$3:$M$5001,BD!$B$3:$B$5001,G$149,BD!$A$3:$A$5001,_xlfn.MAXIFS(BD!$A$3:$A$5001,BD!$B$3:$B$5001,G$149,BD!$A$3:$A$5001,"&gt;="&amp;$C$7,BD!$A$3:$A$5001,"&lt;="&amp;$B168,BD!$M$3:$M$5001,"&lt;&gt;"))))</f>
        <v/>
      </c>
      <c r="H168" s="43" t="str">
        <f>IF(OR($B168="",$A168&gt;$B$9,H$149=""),"",IF(COUNTIFS(BD!$B$3:$B$5001,H$149,BD!$A$3:$A$5001,"&gt;="&amp;$C$7,BD!$A$3:$A$5001,"&lt;="&amp;$B168,BD!$M$3:$M$5001,"&lt;&gt;")=0,"",SUMIFS(BD!$M$3:$M$5001,BD!$B$3:$B$5001,H$149,BD!$A$3:$A$5001,_xlfn.MAXIFS(BD!$A$3:$A$5001,BD!$B$3:$B$5001,H$149,BD!$A$3:$A$5001,"&gt;="&amp;$C$7,BD!$A$3:$A$5001,"&lt;="&amp;$B168,BD!$M$3:$M$5001,"&lt;&gt;"))))</f>
        <v/>
      </c>
      <c r="I168" s="43" t="str">
        <f>IF(OR($B168="",$A168&gt;$B$9,I$149=""),"",IF(COUNTIFS(BD!$B$3:$B$5001,I$149,BD!$A$3:$A$5001,"&gt;="&amp;$C$7,BD!$A$3:$A$5001,"&lt;="&amp;$B168,BD!$M$3:$M$5001,"&lt;&gt;")=0,"",SUMIFS(BD!$M$3:$M$5001,BD!$B$3:$B$5001,I$149,BD!$A$3:$A$5001,_xlfn.MAXIFS(BD!$A$3:$A$5001,BD!$B$3:$B$5001,I$149,BD!$A$3:$A$5001,"&gt;="&amp;$C$7,BD!$A$3:$A$5001,"&lt;="&amp;$B168,BD!$M$3:$M$5001,"&lt;&gt;"))))</f>
        <v/>
      </c>
      <c r="J168" s="43" t="str">
        <f>IF(OR($B168="",$A168&gt;$B$9,J$149=""),"",IF(COUNTIFS(BD!$B$3:$B$5001,J$149,BD!$A$3:$A$5001,"&gt;="&amp;$C$7,BD!$A$3:$A$5001,"&lt;="&amp;$B168,BD!$M$3:$M$5001,"&lt;&gt;")=0,"",SUMIFS(BD!$M$3:$M$5001,BD!$B$3:$B$5001,J$149,BD!$A$3:$A$5001,_xlfn.MAXIFS(BD!$A$3:$A$5001,BD!$B$3:$B$5001,J$149,BD!$A$3:$A$5001,"&gt;="&amp;$C$7,BD!$A$3:$A$5001,"&lt;="&amp;$B168,BD!$M$3:$M$5001,"&lt;&gt;"))))</f>
        <v/>
      </c>
      <c r="K168" s="43" t="str">
        <f>IF(OR($B168="",$A168&gt;$B$9,K$149=""),"",IF(COUNTIFS(BD!$B$3:$B$5001,K$149,BD!$A$3:$A$5001,"&gt;="&amp;$C$7,BD!$A$3:$A$5001,"&lt;="&amp;$B168,BD!$M$3:$M$5001,"&lt;&gt;")=0,"",SUMIFS(BD!$M$3:$M$5001,BD!$B$3:$B$5001,K$149,BD!$A$3:$A$5001,_xlfn.MAXIFS(BD!$A$3:$A$5001,BD!$B$3:$B$5001,K$149,BD!$A$3:$A$5001,"&gt;="&amp;$C$7,BD!$A$3:$A$5001,"&lt;="&amp;$B168,BD!$M$3:$M$5001,"&lt;&gt;"))))</f>
        <v/>
      </c>
      <c r="L168" s="43" t="str">
        <f>IF(OR($B168="",$A168&gt;$B$9,L$149=""),"",IF(COUNTIFS(BD!$B$3:$B$5001,L$149,BD!$A$3:$A$5001,"&gt;="&amp;$C$7,BD!$A$3:$A$5001,"&lt;="&amp;$B168,BD!$M$3:$M$5001,"&lt;&gt;")=0,"",SUMIFS(BD!$M$3:$M$5001,BD!$B$3:$B$5001,L$149,BD!$A$3:$A$5001,_xlfn.MAXIFS(BD!$A$3:$A$5001,BD!$B$3:$B$5001,L$149,BD!$A$3:$A$5001,"&gt;="&amp;$C$7,BD!$A$3:$A$5001,"&lt;="&amp;$B168,BD!$M$3:$M$5001,"&lt;&gt;"))))</f>
        <v/>
      </c>
      <c r="M168" s="43" t="str">
        <f>IF(OR($B168="",$A168&gt;$B$9,M$149=""),"",IF(COUNTIFS(BD!$B$3:$B$5001,M$149,BD!$A$3:$A$5001,"&gt;="&amp;$C$7,BD!$A$3:$A$5001,"&lt;="&amp;$B168,BD!$M$3:$M$5001,"&lt;&gt;")=0,"",SUMIFS(BD!$M$3:$M$5001,BD!$B$3:$B$5001,M$149,BD!$A$3:$A$5001,_xlfn.MAXIFS(BD!$A$3:$A$5001,BD!$B$3:$B$5001,M$149,BD!$A$3:$A$5001,"&gt;="&amp;$C$7,BD!$A$3:$A$5001,"&lt;="&amp;$B168,BD!$M$3:$M$5001,"&lt;&gt;"))))</f>
        <v/>
      </c>
      <c r="N168" s="43" t="str">
        <f>IF(OR($B168="",$A168&gt;$B$9,N$149=""),"",IF(COUNTIFS(BD!$B$3:$B$5001,N$149,BD!$A$3:$A$5001,"&gt;="&amp;$C$7,BD!$A$3:$A$5001,"&lt;="&amp;$B168,BD!$M$3:$M$5001,"&lt;&gt;")=0,"",SUMIFS(BD!$M$3:$M$5001,BD!$B$3:$B$5001,N$149,BD!$A$3:$A$5001,_xlfn.MAXIFS(BD!$A$3:$A$5001,BD!$B$3:$B$5001,N$149,BD!$A$3:$A$5001,"&gt;="&amp;$C$7,BD!$A$3:$A$5001,"&lt;="&amp;$B168,BD!$M$3:$M$5001,"&lt;&gt;"))))</f>
        <v/>
      </c>
      <c r="O168" s="43" t="str">
        <f>IF(OR($B168="",$A168&gt;$B$9,O$149=""),"",IF(COUNTIFS(BD!$B$3:$B$5001,O$149,BD!$A$3:$A$5001,"&gt;="&amp;$C$7,BD!$A$3:$A$5001,"&lt;="&amp;$B168,BD!$M$3:$M$5001,"&lt;&gt;")=0,"",SUMIFS(BD!$M$3:$M$5001,BD!$B$3:$B$5001,O$149,BD!$A$3:$A$5001,_xlfn.MAXIFS(BD!$A$3:$A$5001,BD!$B$3:$B$5001,O$149,BD!$A$3:$A$5001,"&gt;="&amp;$C$7,BD!$A$3:$A$5001,"&lt;="&amp;$B168,BD!$M$3:$M$5001,"&lt;&gt;"))))</f>
        <v/>
      </c>
      <c r="P168" s="43" t="str">
        <f>IF(OR($B168="",$A168&gt;$B$9,P$149=""),"",IF(COUNTIFS(BD!$B$3:$B$5001,P$149,BD!$A$3:$A$5001,"&gt;="&amp;$C$7,BD!$A$3:$A$5001,"&lt;="&amp;$B168,BD!$M$3:$M$5001,"&lt;&gt;")=0,"",SUMIFS(BD!$M$3:$M$5001,BD!$B$3:$B$5001,P$149,BD!$A$3:$A$5001,_xlfn.MAXIFS(BD!$A$3:$A$5001,BD!$B$3:$B$5001,P$149,BD!$A$3:$A$5001,"&gt;="&amp;$C$7,BD!$A$3:$A$5001,"&lt;="&amp;$B168,BD!$M$3:$M$5001,"&lt;&gt;"))))</f>
        <v/>
      </c>
      <c r="Q168" s="43" t="str">
        <f>IF(OR($B168="",$A168&gt;$B$9,Q$149=""),"",IF(COUNTIFS(BD!$B$3:$B$5001,Q$149,BD!$A$3:$A$5001,"&gt;="&amp;$C$7,BD!$A$3:$A$5001,"&lt;="&amp;$B168,BD!$M$3:$M$5001,"&lt;&gt;")=0,"",SUMIFS(BD!$M$3:$M$5001,BD!$B$3:$B$5001,Q$149,BD!$A$3:$A$5001,_xlfn.MAXIFS(BD!$A$3:$A$5001,BD!$B$3:$B$5001,Q$149,BD!$A$3:$A$5001,"&gt;="&amp;$C$7,BD!$A$3:$A$5001,"&lt;="&amp;$B168,BD!$M$3:$M$5001,"&lt;&gt;"))))</f>
        <v/>
      </c>
      <c r="R168" s="43" t="str">
        <f>IF(OR($B168="",$A168&gt;$B$9,R$149=""),"",IF(COUNTIFS(BD!$B$3:$B$5001,R$149,BD!$A$3:$A$5001,"&gt;="&amp;$C$7,BD!$A$3:$A$5001,"&lt;="&amp;$B168,BD!$M$3:$M$5001,"&lt;&gt;")=0,"",SUMIFS(BD!$M$3:$M$5001,BD!$B$3:$B$5001,R$149,BD!$A$3:$A$5001,_xlfn.MAXIFS(BD!$A$3:$A$5001,BD!$B$3:$B$5001,R$149,BD!$A$3:$A$5001,"&gt;="&amp;$C$7,BD!$A$3:$A$5001,"&lt;="&amp;$B168,BD!$M$3:$M$5001,"&lt;&gt;"))))</f>
        <v/>
      </c>
      <c r="S168" s="43" t="str">
        <f>IF(OR($B168="",$A168&gt;$B$9,S$149=""),"",IF(COUNTIFS(BD!$B$3:$B$5001,S$149,BD!$A$3:$A$5001,"&gt;="&amp;$C$7,BD!$A$3:$A$5001,"&lt;="&amp;$B168,BD!$M$3:$M$5001,"&lt;&gt;")=0,"",SUMIFS(BD!$M$3:$M$5001,BD!$B$3:$B$5001,S$149,BD!$A$3:$A$5001,_xlfn.MAXIFS(BD!$A$3:$A$5001,BD!$B$3:$B$5001,S$149,BD!$A$3:$A$5001,"&gt;="&amp;$C$7,BD!$A$3:$A$5001,"&lt;="&amp;$B168,BD!$M$3:$M$5001,"&lt;&gt;"))))</f>
        <v/>
      </c>
      <c r="T168" s="43" t="str">
        <f>IF(OR($B168="",$A168&gt;$B$9,T$149=""),"",IF(COUNTIFS(BD!$B$3:$B$5001,T$149,BD!$A$3:$A$5001,"&gt;="&amp;$C$7,BD!$A$3:$A$5001,"&lt;="&amp;$B168,BD!$M$3:$M$5001,"&lt;&gt;")=0,"",SUMIFS(BD!$M$3:$M$5001,BD!$B$3:$B$5001,T$149,BD!$A$3:$A$5001,_xlfn.MAXIFS(BD!$A$3:$A$5001,BD!$B$3:$B$5001,T$149,BD!$A$3:$A$5001,"&gt;="&amp;$C$7,BD!$A$3:$A$5001,"&lt;="&amp;$B168,BD!$M$3:$M$5001,"&lt;&gt;"))))</f>
        <v/>
      </c>
      <c r="U168" s="43" t="str">
        <f>IF(OR($B168="",$A168&gt;$B$9,U$149=""),"",IF(COUNTIFS(BD!$B$3:$B$5001,U$149,BD!$A$3:$A$5001,"&gt;="&amp;$C$7,BD!$A$3:$A$5001,"&lt;="&amp;$B168,BD!$M$3:$M$5001,"&lt;&gt;")=0,"",SUMIFS(BD!$M$3:$M$5001,BD!$B$3:$B$5001,U$149,BD!$A$3:$A$5001,_xlfn.MAXIFS(BD!$A$3:$A$5001,BD!$B$3:$B$5001,U$149,BD!$A$3:$A$5001,"&gt;="&amp;$C$7,BD!$A$3:$A$5001,"&lt;="&amp;$B168,BD!$M$3:$M$5001,"&lt;&gt;"))))</f>
        <v/>
      </c>
      <c r="V168" s="43" t="str">
        <f>IF(OR($B168="",$A168&gt;$B$9,V$149=""),"",IF(COUNTIFS(BD!$B$3:$B$5001,V$149,BD!$A$3:$A$5001,"&gt;="&amp;$C$7,BD!$A$3:$A$5001,"&lt;="&amp;$B168,BD!$M$3:$M$5001,"&lt;&gt;")=0,"",SUMIFS(BD!$M$3:$M$5001,BD!$B$3:$B$5001,V$149,BD!$A$3:$A$5001,_xlfn.MAXIFS(BD!$A$3:$A$5001,BD!$B$3:$B$5001,V$149,BD!$A$3:$A$5001,"&gt;="&amp;$C$7,BD!$A$3:$A$5001,"&lt;="&amp;$B168,BD!$M$3:$M$5001,"&lt;&gt;"))))</f>
        <v/>
      </c>
    </row>
    <row r="169">
      <c r="A169" s="38">
        <v>20</v>
      </c>
      <c r="B169" s="42">
        <f>$B$31</f>
        <v>46315</v>
      </c>
      <c r="C169" s="43" t="str">
        <f>IF(OR($B169="",$A169&gt;$B$9,C$149=""),"",IF(COUNTIFS(BD!$B$3:$B$5001,C$149,BD!$A$3:$A$5001,"&gt;="&amp;$C$7,BD!$A$3:$A$5001,"&lt;="&amp;$B169,BD!$M$3:$M$5001,"&lt;&gt;")=0,"",SUMIFS(BD!$M$3:$M$5001,BD!$B$3:$B$5001,C$149,BD!$A$3:$A$5001,_xlfn.MAXIFS(BD!$A$3:$A$5001,BD!$B$3:$B$5001,C$149,BD!$A$3:$A$5001,"&gt;="&amp;$C$7,BD!$A$3:$A$5001,"&lt;="&amp;$B169,BD!$M$3:$M$5001,"&lt;&gt;"))))</f>
        <v/>
      </c>
      <c r="D169" s="43" t="str">
        <f>IF(OR($B169="",$A169&gt;$B$9,D$149=""),"",IF(COUNTIFS(BD!$B$3:$B$5001,D$149,BD!$A$3:$A$5001,"&gt;="&amp;$C$7,BD!$A$3:$A$5001,"&lt;="&amp;$B169,BD!$M$3:$M$5001,"&lt;&gt;")=0,"",SUMIFS(BD!$M$3:$M$5001,BD!$B$3:$B$5001,D$149,BD!$A$3:$A$5001,_xlfn.MAXIFS(BD!$A$3:$A$5001,BD!$B$3:$B$5001,D$149,BD!$A$3:$A$5001,"&gt;="&amp;$C$7,BD!$A$3:$A$5001,"&lt;="&amp;$B169,BD!$M$3:$M$5001,"&lt;&gt;"))))</f>
        <v/>
      </c>
      <c r="E169" s="43" t="str">
        <f>IF(OR($B169="",$A169&gt;$B$9,E$149=""),"",IF(COUNTIFS(BD!$B$3:$B$5001,E$149,BD!$A$3:$A$5001,"&gt;="&amp;$C$7,BD!$A$3:$A$5001,"&lt;="&amp;$B169,BD!$M$3:$M$5001,"&lt;&gt;")=0,"",SUMIFS(BD!$M$3:$M$5001,BD!$B$3:$B$5001,E$149,BD!$A$3:$A$5001,_xlfn.MAXIFS(BD!$A$3:$A$5001,BD!$B$3:$B$5001,E$149,BD!$A$3:$A$5001,"&gt;="&amp;$C$7,BD!$A$3:$A$5001,"&lt;="&amp;$B169,BD!$M$3:$M$5001,"&lt;&gt;"))))</f>
        <v/>
      </c>
      <c r="F169" s="43" t="str">
        <f>IF(OR($B169="",$A169&gt;$B$9,F$149=""),"",IF(COUNTIFS(BD!$B$3:$B$5001,F$149,BD!$A$3:$A$5001,"&gt;="&amp;$C$7,BD!$A$3:$A$5001,"&lt;="&amp;$B169,BD!$M$3:$M$5001,"&lt;&gt;")=0,"",SUMIFS(BD!$M$3:$M$5001,BD!$B$3:$B$5001,F$149,BD!$A$3:$A$5001,_xlfn.MAXIFS(BD!$A$3:$A$5001,BD!$B$3:$B$5001,F$149,BD!$A$3:$A$5001,"&gt;="&amp;$C$7,BD!$A$3:$A$5001,"&lt;="&amp;$B169,BD!$M$3:$M$5001,"&lt;&gt;"))))</f>
        <v/>
      </c>
      <c r="G169" s="43" t="str">
        <f>IF(OR($B169="",$A169&gt;$B$9,G$149=""),"",IF(COUNTIFS(BD!$B$3:$B$5001,G$149,BD!$A$3:$A$5001,"&gt;="&amp;$C$7,BD!$A$3:$A$5001,"&lt;="&amp;$B169,BD!$M$3:$M$5001,"&lt;&gt;")=0,"",SUMIFS(BD!$M$3:$M$5001,BD!$B$3:$B$5001,G$149,BD!$A$3:$A$5001,_xlfn.MAXIFS(BD!$A$3:$A$5001,BD!$B$3:$B$5001,G$149,BD!$A$3:$A$5001,"&gt;="&amp;$C$7,BD!$A$3:$A$5001,"&lt;="&amp;$B169,BD!$M$3:$M$5001,"&lt;&gt;"))))</f>
        <v/>
      </c>
      <c r="H169" s="43" t="str">
        <f>IF(OR($B169="",$A169&gt;$B$9,H$149=""),"",IF(COUNTIFS(BD!$B$3:$B$5001,H$149,BD!$A$3:$A$5001,"&gt;="&amp;$C$7,BD!$A$3:$A$5001,"&lt;="&amp;$B169,BD!$M$3:$M$5001,"&lt;&gt;")=0,"",SUMIFS(BD!$M$3:$M$5001,BD!$B$3:$B$5001,H$149,BD!$A$3:$A$5001,_xlfn.MAXIFS(BD!$A$3:$A$5001,BD!$B$3:$B$5001,H$149,BD!$A$3:$A$5001,"&gt;="&amp;$C$7,BD!$A$3:$A$5001,"&lt;="&amp;$B169,BD!$M$3:$M$5001,"&lt;&gt;"))))</f>
        <v/>
      </c>
      <c r="I169" s="43" t="str">
        <f>IF(OR($B169="",$A169&gt;$B$9,I$149=""),"",IF(COUNTIFS(BD!$B$3:$B$5001,I$149,BD!$A$3:$A$5001,"&gt;="&amp;$C$7,BD!$A$3:$A$5001,"&lt;="&amp;$B169,BD!$M$3:$M$5001,"&lt;&gt;")=0,"",SUMIFS(BD!$M$3:$M$5001,BD!$B$3:$B$5001,I$149,BD!$A$3:$A$5001,_xlfn.MAXIFS(BD!$A$3:$A$5001,BD!$B$3:$B$5001,I$149,BD!$A$3:$A$5001,"&gt;="&amp;$C$7,BD!$A$3:$A$5001,"&lt;="&amp;$B169,BD!$M$3:$M$5001,"&lt;&gt;"))))</f>
        <v/>
      </c>
      <c r="J169" s="43" t="str">
        <f>IF(OR($B169="",$A169&gt;$B$9,J$149=""),"",IF(COUNTIFS(BD!$B$3:$B$5001,J$149,BD!$A$3:$A$5001,"&gt;="&amp;$C$7,BD!$A$3:$A$5001,"&lt;="&amp;$B169,BD!$M$3:$M$5001,"&lt;&gt;")=0,"",SUMIFS(BD!$M$3:$M$5001,BD!$B$3:$B$5001,J$149,BD!$A$3:$A$5001,_xlfn.MAXIFS(BD!$A$3:$A$5001,BD!$B$3:$B$5001,J$149,BD!$A$3:$A$5001,"&gt;="&amp;$C$7,BD!$A$3:$A$5001,"&lt;="&amp;$B169,BD!$M$3:$M$5001,"&lt;&gt;"))))</f>
        <v/>
      </c>
      <c r="K169" s="43" t="str">
        <f>IF(OR($B169="",$A169&gt;$B$9,K$149=""),"",IF(COUNTIFS(BD!$B$3:$B$5001,K$149,BD!$A$3:$A$5001,"&gt;="&amp;$C$7,BD!$A$3:$A$5001,"&lt;="&amp;$B169,BD!$M$3:$M$5001,"&lt;&gt;")=0,"",SUMIFS(BD!$M$3:$M$5001,BD!$B$3:$B$5001,K$149,BD!$A$3:$A$5001,_xlfn.MAXIFS(BD!$A$3:$A$5001,BD!$B$3:$B$5001,K$149,BD!$A$3:$A$5001,"&gt;="&amp;$C$7,BD!$A$3:$A$5001,"&lt;="&amp;$B169,BD!$M$3:$M$5001,"&lt;&gt;"))))</f>
        <v/>
      </c>
      <c r="L169" s="43" t="str">
        <f>IF(OR($B169="",$A169&gt;$B$9,L$149=""),"",IF(COUNTIFS(BD!$B$3:$B$5001,L$149,BD!$A$3:$A$5001,"&gt;="&amp;$C$7,BD!$A$3:$A$5001,"&lt;="&amp;$B169,BD!$M$3:$M$5001,"&lt;&gt;")=0,"",SUMIFS(BD!$M$3:$M$5001,BD!$B$3:$B$5001,L$149,BD!$A$3:$A$5001,_xlfn.MAXIFS(BD!$A$3:$A$5001,BD!$B$3:$B$5001,L$149,BD!$A$3:$A$5001,"&gt;="&amp;$C$7,BD!$A$3:$A$5001,"&lt;="&amp;$B169,BD!$M$3:$M$5001,"&lt;&gt;"))))</f>
        <v/>
      </c>
      <c r="M169" s="43" t="str">
        <f>IF(OR($B169="",$A169&gt;$B$9,M$149=""),"",IF(COUNTIFS(BD!$B$3:$B$5001,M$149,BD!$A$3:$A$5001,"&gt;="&amp;$C$7,BD!$A$3:$A$5001,"&lt;="&amp;$B169,BD!$M$3:$M$5001,"&lt;&gt;")=0,"",SUMIFS(BD!$M$3:$M$5001,BD!$B$3:$B$5001,M$149,BD!$A$3:$A$5001,_xlfn.MAXIFS(BD!$A$3:$A$5001,BD!$B$3:$B$5001,M$149,BD!$A$3:$A$5001,"&gt;="&amp;$C$7,BD!$A$3:$A$5001,"&lt;="&amp;$B169,BD!$M$3:$M$5001,"&lt;&gt;"))))</f>
        <v/>
      </c>
      <c r="N169" s="43" t="str">
        <f>IF(OR($B169="",$A169&gt;$B$9,N$149=""),"",IF(COUNTIFS(BD!$B$3:$B$5001,N$149,BD!$A$3:$A$5001,"&gt;="&amp;$C$7,BD!$A$3:$A$5001,"&lt;="&amp;$B169,BD!$M$3:$M$5001,"&lt;&gt;")=0,"",SUMIFS(BD!$M$3:$M$5001,BD!$B$3:$B$5001,N$149,BD!$A$3:$A$5001,_xlfn.MAXIFS(BD!$A$3:$A$5001,BD!$B$3:$B$5001,N$149,BD!$A$3:$A$5001,"&gt;="&amp;$C$7,BD!$A$3:$A$5001,"&lt;="&amp;$B169,BD!$M$3:$M$5001,"&lt;&gt;"))))</f>
        <v/>
      </c>
      <c r="O169" s="43" t="str">
        <f>IF(OR($B169="",$A169&gt;$B$9,O$149=""),"",IF(COUNTIFS(BD!$B$3:$B$5001,O$149,BD!$A$3:$A$5001,"&gt;="&amp;$C$7,BD!$A$3:$A$5001,"&lt;="&amp;$B169,BD!$M$3:$M$5001,"&lt;&gt;")=0,"",SUMIFS(BD!$M$3:$M$5001,BD!$B$3:$B$5001,O$149,BD!$A$3:$A$5001,_xlfn.MAXIFS(BD!$A$3:$A$5001,BD!$B$3:$B$5001,O$149,BD!$A$3:$A$5001,"&gt;="&amp;$C$7,BD!$A$3:$A$5001,"&lt;="&amp;$B169,BD!$M$3:$M$5001,"&lt;&gt;"))))</f>
        <v/>
      </c>
      <c r="P169" s="43" t="str">
        <f>IF(OR($B169="",$A169&gt;$B$9,P$149=""),"",IF(COUNTIFS(BD!$B$3:$B$5001,P$149,BD!$A$3:$A$5001,"&gt;="&amp;$C$7,BD!$A$3:$A$5001,"&lt;="&amp;$B169,BD!$M$3:$M$5001,"&lt;&gt;")=0,"",SUMIFS(BD!$M$3:$M$5001,BD!$B$3:$B$5001,P$149,BD!$A$3:$A$5001,_xlfn.MAXIFS(BD!$A$3:$A$5001,BD!$B$3:$B$5001,P$149,BD!$A$3:$A$5001,"&gt;="&amp;$C$7,BD!$A$3:$A$5001,"&lt;="&amp;$B169,BD!$M$3:$M$5001,"&lt;&gt;"))))</f>
        <v/>
      </c>
      <c r="Q169" s="43" t="str">
        <f>IF(OR($B169="",$A169&gt;$B$9,Q$149=""),"",IF(COUNTIFS(BD!$B$3:$B$5001,Q$149,BD!$A$3:$A$5001,"&gt;="&amp;$C$7,BD!$A$3:$A$5001,"&lt;="&amp;$B169,BD!$M$3:$M$5001,"&lt;&gt;")=0,"",SUMIFS(BD!$M$3:$M$5001,BD!$B$3:$B$5001,Q$149,BD!$A$3:$A$5001,_xlfn.MAXIFS(BD!$A$3:$A$5001,BD!$B$3:$B$5001,Q$149,BD!$A$3:$A$5001,"&gt;="&amp;$C$7,BD!$A$3:$A$5001,"&lt;="&amp;$B169,BD!$M$3:$M$5001,"&lt;&gt;"))))</f>
        <v/>
      </c>
      <c r="R169" s="43" t="str">
        <f>IF(OR($B169="",$A169&gt;$B$9,R$149=""),"",IF(COUNTIFS(BD!$B$3:$B$5001,R$149,BD!$A$3:$A$5001,"&gt;="&amp;$C$7,BD!$A$3:$A$5001,"&lt;="&amp;$B169,BD!$M$3:$M$5001,"&lt;&gt;")=0,"",SUMIFS(BD!$M$3:$M$5001,BD!$B$3:$B$5001,R$149,BD!$A$3:$A$5001,_xlfn.MAXIFS(BD!$A$3:$A$5001,BD!$B$3:$B$5001,R$149,BD!$A$3:$A$5001,"&gt;="&amp;$C$7,BD!$A$3:$A$5001,"&lt;="&amp;$B169,BD!$M$3:$M$5001,"&lt;&gt;"))))</f>
        <v/>
      </c>
      <c r="S169" s="43" t="str">
        <f>IF(OR($B169="",$A169&gt;$B$9,S$149=""),"",IF(COUNTIFS(BD!$B$3:$B$5001,S$149,BD!$A$3:$A$5001,"&gt;="&amp;$C$7,BD!$A$3:$A$5001,"&lt;="&amp;$B169,BD!$M$3:$M$5001,"&lt;&gt;")=0,"",SUMIFS(BD!$M$3:$M$5001,BD!$B$3:$B$5001,S$149,BD!$A$3:$A$5001,_xlfn.MAXIFS(BD!$A$3:$A$5001,BD!$B$3:$B$5001,S$149,BD!$A$3:$A$5001,"&gt;="&amp;$C$7,BD!$A$3:$A$5001,"&lt;="&amp;$B169,BD!$M$3:$M$5001,"&lt;&gt;"))))</f>
        <v/>
      </c>
      <c r="T169" s="43" t="str">
        <f>IF(OR($B169="",$A169&gt;$B$9,T$149=""),"",IF(COUNTIFS(BD!$B$3:$B$5001,T$149,BD!$A$3:$A$5001,"&gt;="&amp;$C$7,BD!$A$3:$A$5001,"&lt;="&amp;$B169,BD!$M$3:$M$5001,"&lt;&gt;")=0,"",SUMIFS(BD!$M$3:$M$5001,BD!$B$3:$B$5001,T$149,BD!$A$3:$A$5001,_xlfn.MAXIFS(BD!$A$3:$A$5001,BD!$B$3:$B$5001,T$149,BD!$A$3:$A$5001,"&gt;="&amp;$C$7,BD!$A$3:$A$5001,"&lt;="&amp;$B169,BD!$M$3:$M$5001,"&lt;&gt;"))))</f>
        <v/>
      </c>
      <c r="U169" s="43" t="str">
        <f>IF(OR($B169="",$A169&gt;$B$9,U$149=""),"",IF(COUNTIFS(BD!$B$3:$B$5001,U$149,BD!$A$3:$A$5001,"&gt;="&amp;$C$7,BD!$A$3:$A$5001,"&lt;="&amp;$B169,BD!$M$3:$M$5001,"&lt;&gt;")=0,"",SUMIFS(BD!$M$3:$M$5001,BD!$B$3:$B$5001,U$149,BD!$A$3:$A$5001,_xlfn.MAXIFS(BD!$A$3:$A$5001,BD!$B$3:$B$5001,U$149,BD!$A$3:$A$5001,"&gt;="&amp;$C$7,BD!$A$3:$A$5001,"&lt;="&amp;$B169,BD!$M$3:$M$5001,"&lt;&gt;"))))</f>
        <v/>
      </c>
      <c r="V169" s="43" t="str">
        <f>IF(OR($B169="",$A169&gt;$B$9,V$149=""),"",IF(COUNTIFS(BD!$B$3:$B$5001,V$149,BD!$A$3:$A$5001,"&gt;="&amp;$C$7,BD!$A$3:$A$5001,"&lt;="&amp;$B169,BD!$M$3:$M$5001,"&lt;&gt;")=0,"",SUMIFS(BD!$M$3:$M$5001,BD!$B$3:$B$5001,V$149,BD!$A$3:$A$5001,_xlfn.MAXIFS(BD!$A$3:$A$5001,BD!$B$3:$B$5001,V$149,BD!$A$3:$A$5001,"&gt;="&amp;$C$7,BD!$A$3:$A$5001,"&lt;="&amp;$B169,BD!$M$3:$M$5001,"&lt;&gt;"))))</f>
        <v/>
      </c>
    </row>
    <row r="170">
      <c r="A170" s="38">
        <v>21</v>
      </c>
      <c r="B170" s="42">
        <f>$B$32</f>
        <v>46316</v>
      </c>
      <c r="C170" s="43" t="str">
        <f>IF(OR($B170="",$A170&gt;$B$9,C$149=""),"",IF(COUNTIFS(BD!$B$3:$B$5001,C$149,BD!$A$3:$A$5001,"&gt;="&amp;$C$7,BD!$A$3:$A$5001,"&lt;="&amp;$B170,BD!$M$3:$M$5001,"&lt;&gt;")=0,"",SUMIFS(BD!$M$3:$M$5001,BD!$B$3:$B$5001,C$149,BD!$A$3:$A$5001,_xlfn.MAXIFS(BD!$A$3:$A$5001,BD!$B$3:$B$5001,C$149,BD!$A$3:$A$5001,"&gt;="&amp;$C$7,BD!$A$3:$A$5001,"&lt;="&amp;$B170,BD!$M$3:$M$5001,"&lt;&gt;"))))</f>
        <v/>
      </c>
      <c r="D170" s="43" t="str">
        <f>IF(OR($B170="",$A170&gt;$B$9,D$149=""),"",IF(COUNTIFS(BD!$B$3:$B$5001,D$149,BD!$A$3:$A$5001,"&gt;="&amp;$C$7,BD!$A$3:$A$5001,"&lt;="&amp;$B170,BD!$M$3:$M$5001,"&lt;&gt;")=0,"",SUMIFS(BD!$M$3:$M$5001,BD!$B$3:$B$5001,D$149,BD!$A$3:$A$5001,_xlfn.MAXIFS(BD!$A$3:$A$5001,BD!$B$3:$B$5001,D$149,BD!$A$3:$A$5001,"&gt;="&amp;$C$7,BD!$A$3:$A$5001,"&lt;="&amp;$B170,BD!$M$3:$M$5001,"&lt;&gt;"))))</f>
        <v/>
      </c>
      <c r="E170" s="43" t="str">
        <f>IF(OR($B170="",$A170&gt;$B$9,E$149=""),"",IF(COUNTIFS(BD!$B$3:$B$5001,E$149,BD!$A$3:$A$5001,"&gt;="&amp;$C$7,BD!$A$3:$A$5001,"&lt;="&amp;$B170,BD!$M$3:$M$5001,"&lt;&gt;")=0,"",SUMIFS(BD!$M$3:$M$5001,BD!$B$3:$B$5001,E$149,BD!$A$3:$A$5001,_xlfn.MAXIFS(BD!$A$3:$A$5001,BD!$B$3:$B$5001,E$149,BD!$A$3:$A$5001,"&gt;="&amp;$C$7,BD!$A$3:$A$5001,"&lt;="&amp;$B170,BD!$M$3:$M$5001,"&lt;&gt;"))))</f>
        <v/>
      </c>
      <c r="F170" s="43" t="str">
        <f>IF(OR($B170="",$A170&gt;$B$9,F$149=""),"",IF(COUNTIFS(BD!$B$3:$B$5001,F$149,BD!$A$3:$A$5001,"&gt;="&amp;$C$7,BD!$A$3:$A$5001,"&lt;="&amp;$B170,BD!$M$3:$M$5001,"&lt;&gt;")=0,"",SUMIFS(BD!$M$3:$M$5001,BD!$B$3:$B$5001,F$149,BD!$A$3:$A$5001,_xlfn.MAXIFS(BD!$A$3:$A$5001,BD!$B$3:$B$5001,F$149,BD!$A$3:$A$5001,"&gt;="&amp;$C$7,BD!$A$3:$A$5001,"&lt;="&amp;$B170,BD!$M$3:$M$5001,"&lt;&gt;"))))</f>
        <v/>
      </c>
      <c r="G170" s="43" t="str">
        <f>IF(OR($B170="",$A170&gt;$B$9,G$149=""),"",IF(COUNTIFS(BD!$B$3:$B$5001,G$149,BD!$A$3:$A$5001,"&gt;="&amp;$C$7,BD!$A$3:$A$5001,"&lt;="&amp;$B170,BD!$M$3:$M$5001,"&lt;&gt;")=0,"",SUMIFS(BD!$M$3:$M$5001,BD!$B$3:$B$5001,G$149,BD!$A$3:$A$5001,_xlfn.MAXIFS(BD!$A$3:$A$5001,BD!$B$3:$B$5001,G$149,BD!$A$3:$A$5001,"&gt;="&amp;$C$7,BD!$A$3:$A$5001,"&lt;="&amp;$B170,BD!$M$3:$M$5001,"&lt;&gt;"))))</f>
        <v/>
      </c>
      <c r="H170" s="43" t="str">
        <f>IF(OR($B170="",$A170&gt;$B$9,H$149=""),"",IF(COUNTIFS(BD!$B$3:$B$5001,H$149,BD!$A$3:$A$5001,"&gt;="&amp;$C$7,BD!$A$3:$A$5001,"&lt;="&amp;$B170,BD!$M$3:$M$5001,"&lt;&gt;")=0,"",SUMIFS(BD!$M$3:$M$5001,BD!$B$3:$B$5001,H$149,BD!$A$3:$A$5001,_xlfn.MAXIFS(BD!$A$3:$A$5001,BD!$B$3:$B$5001,H$149,BD!$A$3:$A$5001,"&gt;="&amp;$C$7,BD!$A$3:$A$5001,"&lt;="&amp;$B170,BD!$M$3:$M$5001,"&lt;&gt;"))))</f>
        <v/>
      </c>
      <c r="I170" s="43" t="str">
        <f>IF(OR($B170="",$A170&gt;$B$9,I$149=""),"",IF(COUNTIFS(BD!$B$3:$B$5001,I$149,BD!$A$3:$A$5001,"&gt;="&amp;$C$7,BD!$A$3:$A$5001,"&lt;="&amp;$B170,BD!$M$3:$M$5001,"&lt;&gt;")=0,"",SUMIFS(BD!$M$3:$M$5001,BD!$B$3:$B$5001,I$149,BD!$A$3:$A$5001,_xlfn.MAXIFS(BD!$A$3:$A$5001,BD!$B$3:$B$5001,I$149,BD!$A$3:$A$5001,"&gt;="&amp;$C$7,BD!$A$3:$A$5001,"&lt;="&amp;$B170,BD!$M$3:$M$5001,"&lt;&gt;"))))</f>
        <v/>
      </c>
      <c r="J170" s="43" t="str">
        <f>IF(OR($B170="",$A170&gt;$B$9,J$149=""),"",IF(COUNTIFS(BD!$B$3:$B$5001,J$149,BD!$A$3:$A$5001,"&gt;="&amp;$C$7,BD!$A$3:$A$5001,"&lt;="&amp;$B170,BD!$M$3:$M$5001,"&lt;&gt;")=0,"",SUMIFS(BD!$M$3:$M$5001,BD!$B$3:$B$5001,J$149,BD!$A$3:$A$5001,_xlfn.MAXIFS(BD!$A$3:$A$5001,BD!$B$3:$B$5001,J$149,BD!$A$3:$A$5001,"&gt;="&amp;$C$7,BD!$A$3:$A$5001,"&lt;="&amp;$B170,BD!$M$3:$M$5001,"&lt;&gt;"))))</f>
        <v/>
      </c>
      <c r="K170" s="43" t="str">
        <f>IF(OR($B170="",$A170&gt;$B$9,K$149=""),"",IF(COUNTIFS(BD!$B$3:$B$5001,K$149,BD!$A$3:$A$5001,"&gt;="&amp;$C$7,BD!$A$3:$A$5001,"&lt;="&amp;$B170,BD!$M$3:$M$5001,"&lt;&gt;")=0,"",SUMIFS(BD!$M$3:$M$5001,BD!$B$3:$B$5001,K$149,BD!$A$3:$A$5001,_xlfn.MAXIFS(BD!$A$3:$A$5001,BD!$B$3:$B$5001,K$149,BD!$A$3:$A$5001,"&gt;="&amp;$C$7,BD!$A$3:$A$5001,"&lt;="&amp;$B170,BD!$M$3:$M$5001,"&lt;&gt;"))))</f>
        <v/>
      </c>
      <c r="L170" s="43" t="str">
        <f>IF(OR($B170="",$A170&gt;$B$9,L$149=""),"",IF(COUNTIFS(BD!$B$3:$B$5001,L$149,BD!$A$3:$A$5001,"&gt;="&amp;$C$7,BD!$A$3:$A$5001,"&lt;="&amp;$B170,BD!$M$3:$M$5001,"&lt;&gt;")=0,"",SUMIFS(BD!$M$3:$M$5001,BD!$B$3:$B$5001,L$149,BD!$A$3:$A$5001,_xlfn.MAXIFS(BD!$A$3:$A$5001,BD!$B$3:$B$5001,L$149,BD!$A$3:$A$5001,"&gt;="&amp;$C$7,BD!$A$3:$A$5001,"&lt;="&amp;$B170,BD!$M$3:$M$5001,"&lt;&gt;"))))</f>
        <v/>
      </c>
      <c r="M170" s="43" t="str">
        <f>IF(OR($B170="",$A170&gt;$B$9,M$149=""),"",IF(COUNTIFS(BD!$B$3:$B$5001,M$149,BD!$A$3:$A$5001,"&gt;="&amp;$C$7,BD!$A$3:$A$5001,"&lt;="&amp;$B170,BD!$M$3:$M$5001,"&lt;&gt;")=0,"",SUMIFS(BD!$M$3:$M$5001,BD!$B$3:$B$5001,M$149,BD!$A$3:$A$5001,_xlfn.MAXIFS(BD!$A$3:$A$5001,BD!$B$3:$B$5001,M$149,BD!$A$3:$A$5001,"&gt;="&amp;$C$7,BD!$A$3:$A$5001,"&lt;="&amp;$B170,BD!$M$3:$M$5001,"&lt;&gt;"))))</f>
        <v/>
      </c>
      <c r="N170" s="43" t="str">
        <f>IF(OR($B170="",$A170&gt;$B$9,N$149=""),"",IF(COUNTIFS(BD!$B$3:$B$5001,N$149,BD!$A$3:$A$5001,"&gt;="&amp;$C$7,BD!$A$3:$A$5001,"&lt;="&amp;$B170,BD!$M$3:$M$5001,"&lt;&gt;")=0,"",SUMIFS(BD!$M$3:$M$5001,BD!$B$3:$B$5001,N$149,BD!$A$3:$A$5001,_xlfn.MAXIFS(BD!$A$3:$A$5001,BD!$B$3:$B$5001,N$149,BD!$A$3:$A$5001,"&gt;="&amp;$C$7,BD!$A$3:$A$5001,"&lt;="&amp;$B170,BD!$M$3:$M$5001,"&lt;&gt;"))))</f>
        <v/>
      </c>
      <c r="O170" s="43" t="str">
        <f>IF(OR($B170="",$A170&gt;$B$9,O$149=""),"",IF(COUNTIFS(BD!$B$3:$B$5001,O$149,BD!$A$3:$A$5001,"&gt;="&amp;$C$7,BD!$A$3:$A$5001,"&lt;="&amp;$B170,BD!$M$3:$M$5001,"&lt;&gt;")=0,"",SUMIFS(BD!$M$3:$M$5001,BD!$B$3:$B$5001,O$149,BD!$A$3:$A$5001,_xlfn.MAXIFS(BD!$A$3:$A$5001,BD!$B$3:$B$5001,O$149,BD!$A$3:$A$5001,"&gt;="&amp;$C$7,BD!$A$3:$A$5001,"&lt;="&amp;$B170,BD!$M$3:$M$5001,"&lt;&gt;"))))</f>
        <v/>
      </c>
      <c r="P170" s="43" t="str">
        <f>IF(OR($B170="",$A170&gt;$B$9,P$149=""),"",IF(COUNTIFS(BD!$B$3:$B$5001,P$149,BD!$A$3:$A$5001,"&gt;="&amp;$C$7,BD!$A$3:$A$5001,"&lt;="&amp;$B170,BD!$M$3:$M$5001,"&lt;&gt;")=0,"",SUMIFS(BD!$M$3:$M$5001,BD!$B$3:$B$5001,P$149,BD!$A$3:$A$5001,_xlfn.MAXIFS(BD!$A$3:$A$5001,BD!$B$3:$B$5001,P$149,BD!$A$3:$A$5001,"&gt;="&amp;$C$7,BD!$A$3:$A$5001,"&lt;="&amp;$B170,BD!$M$3:$M$5001,"&lt;&gt;"))))</f>
        <v/>
      </c>
      <c r="Q170" s="43" t="str">
        <f>IF(OR($B170="",$A170&gt;$B$9,Q$149=""),"",IF(COUNTIFS(BD!$B$3:$B$5001,Q$149,BD!$A$3:$A$5001,"&gt;="&amp;$C$7,BD!$A$3:$A$5001,"&lt;="&amp;$B170,BD!$M$3:$M$5001,"&lt;&gt;")=0,"",SUMIFS(BD!$M$3:$M$5001,BD!$B$3:$B$5001,Q$149,BD!$A$3:$A$5001,_xlfn.MAXIFS(BD!$A$3:$A$5001,BD!$B$3:$B$5001,Q$149,BD!$A$3:$A$5001,"&gt;="&amp;$C$7,BD!$A$3:$A$5001,"&lt;="&amp;$B170,BD!$M$3:$M$5001,"&lt;&gt;"))))</f>
        <v/>
      </c>
      <c r="R170" s="43" t="str">
        <f>IF(OR($B170="",$A170&gt;$B$9,R$149=""),"",IF(COUNTIFS(BD!$B$3:$B$5001,R$149,BD!$A$3:$A$5001,"&gt;="&amp;$C$7,BD!$A$3:$A$5001,"&lt;="&amp;$B170,BD!$M$3:$M$5001,"&lt;&gt;")=0,"",SUMIFS(BD!$M$3:$M$5001,BD!$B$3:$B$5001,R$149,BD!$A$3:$A$5001,_xlfn.MAXIFS(BD!$A$3:$A$5001,BD!$B$3:$B$5001,R$149,BD!$A$3:$A$5001,"&gt;="&amp;$C$7,BD!$A$3:$A$5001,"&lt;="&amp;$B170,BD!$M$3:$M$5001,"&lt;&gt;"))))</f>
        <v/>
      </c>
      <c r="S170" s="43" t="str">
        <f>IF(OR($B170="",$A170&gt;$B$9,S$149=""),"",IF(COUNTIFS(BD!$B$3:$B$5001,S$149,BD!$A$3:$A$5001,"&gt;="&amp;$C$7,BD!$A$3:$A$5001,"&lt;="&amp;$B170,BD!$M$3:$M$5001,"&lt;&gt;")=0,"",SUMIFS(BD!$M$3:$M$5001,BD!$B$3:$B$5001,S$149,BD!$A$3:$A$5001,_xlfn.MAXIFS(BD!$A$3:$A$5001,BD!$B$3:$B$5001,S$149,BD!$A$3:$A$5001,"&gt;="&amp;$C$7,BD!$A$3:$A$5001,"&lt;="&amp;$B170,BD!$M$3:$M$5001,"&lt;&gt;"))))</f>
        <v/>
      </c>
      <c r="T170" s="43" t="str">
        <f>IF(OR($B170="",$A170&gt;$B$9,T$149=""),"",IF(COUNTIFS(BD!$B$3:$B$5001,T$149,BD!$A$3:$A$5001,"&gt;="&amp;$C$7,BD!$A$3:$A$5001,"&lt;="&amp;$B170,BD!$M$3:$M$5001,"&lt;&gt;")=0,"",SUMIFS(BD!$M$3:$M$5001,BD!$B$3:$B$5001,T$149,BD!$A$3:$A$5001,_xlfn.MAXIFS(BD!$A$3:$A$5001,BD!$B$3:$B$5001,T$149,BD!$A$3:$A$5001,"&gt;="&amp;$C$7,BD!$A$3:$A$5001,"&lt;="&amp;$B170,BD!$M$3:$M$5001,"&lt;&gt;"))))</f>
        <v/>
      </c>
      <c r="U170" s="43" t="str">
        <f>IF(OR($B170="",$A170&gt;$B$9,U$149=""),"",IF(COUNTIFS(BD!$B$3:$B$5001,U$149,BD!$A$3:$A$5001,"&gt;="&amp;$C$7,BD!$A$3:$A$5001,"&lt;="&amp;$B170,BD!$M$3:$M$5001,"&lt;&gt;")=0,"",SUMIFS(BD!$M$3:$M$5001,BD!$B$3:$B$5001,U$149,BD!$A$3:$A$5001,_xlfn.MAXIFS(BD!$A$3:$A$5001,BD!$B$3:$B$5001,U$149,BD!$A$3:$A$5001,"&gt;="&amp;$C$7,BD!$A$3:$A$5001,"&lt;="&amp;$B170,BD!$M$3:$M$5001,"&lt;&gt;"))))</f>
        <v/>
      </c>
      <c r="V170" s="43" t="str">
        <f>IF(OR($B170="",$A170&gt;$B$9,V$149=""),"",IF(COUNTIFS(BD!$B$3:$B$5001,V$149,BD!$A$3:$A$5001,"&gt;="&amp;$C$7,BD!$A$3:$A$5001,"&lt;="&amp;$B170,BD!$M$3:$M$5001,"&lt;&gt;")=0,"",SUMIFS(BD!$M$3:$M$5001,BD!$B$3:$B$5001,V$149,BD!$A$3:$A$5001,_xlfn.MAXIFS(BD!$A$3:$A$5001,BD!$B$3:$B$5001,V$149,BD!$A$3:$A$5001,"&gt;="&amp;$C$7,BD!$A$3:$A$5001,"&lt;="&amp;$B170,BD!$M$3:$M$5001,"&lt;&gt;"))))</f>
        <v/>
      </c>
    </row>
    <row r="171">
      <c r="A171" s="38">
        <v>22</v>
      </c>
      <c r="B171" s="42">
        <f>$B$33</f>
        <v>46317</v>
      </c>
      <c r="C171" s="43" t="str">
        <f>IF(OR($B171="",$A171&gt;$B$9,C$149=""),"",IF(COUNTIFS(BD!$B$3:$B$5001,C$149,BD!$A$3:$A$5001,"&gt;="&amp;$C$7,BD!$A$3:$A$5001,"&lt;="&amp;$B171,BD!$M$3:$M$5001,"&lt;&gt;")=0,"",SUMIFS(BD!$M$3:$M$5001,BD!$B$3:$B$5001,C$149,BD!$A$3:$A$5001,_xlfn.MAXIFS(BD!$A$3:$A$5001,BD!$B$3:$B$5001,C$149,BD!$A$3:$A$5001,"&gt;="&amp;$C$7,BD!$A$3:$A$5001,"&lt;="&amp;$B171,BD!$M$3:$M$5001,"&lt;&gt;"))))</f>
        <v/>
      </c>
      <c r="D171" s="43" t="str">
        <f>IF(OR($B171="",$A171&gt;$B$9,D$149=""),"",IF(COUNTIFS(BD!$B$3:$B$5001,D$149,BD!$A$3:$A$5001,"&gt;="&amp;$C$7,BD!$A$3:$A$5001,"&lt;="&amp;$B171,BD!$M$3:$M$5001,"&lt;&gt;")=0,"",SUMIFS(BD!$M$3:$M$5001,BD!$B$3:$B$5001,D$149,BD!$A$3:$A$5001,_xlfn.MAXIFS(BD!$A$3:$A$5001,BD!$B$3:$B$5001,D$149,BD!$A$3:$A$5001,"&gt;="&amp;$C$7,BD!$A$3:$A$5001,"&lt;="&amp;$B171,BD!$M$3:$M$5001,"&lt;&gt;"))))</f>
        <v/>
      </c>
      <c r="E171" s="43" t="str">
        <f>IF(OR($B171="",$A171&gt;$B$9,E$149=""),"",IF(COUNTIFS(BD!$B$3:$B$5001,E$149,BD!$A$3:$A$5001,"&gt;="&amp;$C$7,BD!$A$3:$A$5001,"&lt;="&amp;$B171,BD!$M$3:$M$5001,"&lt;&gt;")=0,"",SUMIFS(BD!$M$3:$M$5001,BD!$B$3:$B$5001,E$149,BD!$A$3:$A$5001,_xlfn.MAXIFS(BD!$A$3:$A$5001,BD!$B$3:$B$5001,E$149,BD!$A$3:$A$5001,"&gt;="&amp;$C$7,BD!$A$3:$A$5001,"&lt;="&amp;$B171,BD!$M$3:$M$5001,"&lt;&gt;"))))</f>
        <v/>
      </c>
      <c r="F171" s="43" t="str">
        <f>IF(OR($B171="",$A171&gt;$B$9,F$149=""),"",IF(COUNTIFS(BD!$B$3:$B$5001,F$149,BD!$A$3:$A$5001,"&gt;="&amp;$C$7,BD!$A$3:$A$5001,"&lt;="&amp;$B171,BD!$M$3:$M$5001,"&lt;&gt;")=0,"",SUMIFS(BD!$M$3:$M$5001,BD!$B$3:$B$5001,F$149,BD!$A$3:$A$5001,_xlfn.MAXIFS(BD!$A$3:$A$5001,BD!$B$3:$B$5001,F$149,BD!$A$3:$A$5001,"&gt;="&amp;$C$7,BD!$A$3:$A$5001,"&lt;="&amp;$B171,BD!$M$3:$M$5001,"&lt;&gt;"))))</f>
        <v/>
      </c>
      <c r="G171" s="43" t="str">
        <f>IF(OR($B171="",$A171&gt;$B$9,G$149=""),"",IF(COUNTIFS(BD!$B$3:$B$5001,G$149,BD!$A$3:$A$5001,"&gt;="&amp;$C$7,BD!$A$3:$A$5001,"&lt;="&amp;$B171,BD!$M$3:$M$5001,"&lt;&gt;")=0,"",SUMIFS(BD!$M$3:$M$5001,BD!$B$3:$B$5001,G$149,BD!$A$3:$A$5001,_xlfn.MAXIFS(BD!$A$3:$A$5001,BD!$B$3:$B$5001,G$149,BD!$A$3:$A$5001,"&gt;="&amp;$C$7,BD!$A$3:$A$5001,"&lt;="&amp;$B171,BD!$M$3:$M$5001,"&lt;&gt;"))))</f>
        <v/>
      </c>
      <c r="H171" s="43" t="str">
        <f>IF(OR($B171="",$A171&gt;$B$9,H$149=""),"",IF(COUNTIFS(BD!$B$3:$B$5001,H$149,BD!$A$3:$A$5001,"&gt;="&amp;$C$7,BD!$A$3:$A$5001,"&lt;="&amp;$B171,BD!$M$3:$M$5001,"&lt;&gt;")=0,"",SUMIFS(BD!$M$3:$M$5001,BD!$B$3:$B$5001,H$149,BD!$A$3:$A$5001,_xlfn.MAXIFS(BD!$A$3:$A$5001,BD!$B$3:$B$5001,H$149,BD!$A$3:$A$5001,"&gt;="&amp;$C$7,BD!$A$3:$A$5001,"&lt;="&amp;$B171,BD!$M$3:$M$5001,"&lt;&gt;"))))</f>
        <v/>
      </c>
      <c r="I171" s="43" t="str">
        <f>IF(OR($B171="",$A171&gt;$B$9,I$149=""),"",IF(COUNTIFS(BD!$B$3:$B$5001,I$149,BD!$A$3:$A$5001,"&gt;="&amp;$C$7,BD!$A$3:$A$5001,"&lt;="&amp;$B171,BD!$M$3:$M$5001,"&lt;&gt;")=0,"",SUMIFS(BD!$M$3:$M$5001,BD!$B$3:$B$5001,I$149,BD!$A$3:$A$5001,_xlfn.MAXIFS(BD!$A$3:$A$5001,BD!$B$3:$B$5001,I$149,BD!$A$3:$A$5001,"&gt;="&amp;$C$7,BD!$A$3:$A$5001,"&lt;="&amp;$B171,BD!$M$3:$M$5001,"&lt;&gt;"))))</f>
        <v/>
      </c>
      <c r="J171" s="43" t="str">
        <f>IF(OR($B171="",$A171&gt;$B$9,J$149=""),"",IF(COUNTIFS(BD!$B$3:$B$5001,J$149,BD!$A$3:$A$5001,"&gt;="&amp;$C$7,BD!$A$3:$A$5001,"&lt;="&amp;$B171,BD!$M$3:$M$5001,"&lt;&gt;")=0,"",SUMIFS(BD!$M$3:$M$5001,BD!$B$3:$B$5001,J$149,BD!$A$3:$A$5001,_xlfn.MAXIFS(BD!$A$3:$A$5001,BD!$B$3:$B$5001,J$149,BD!$A$3:$A$5001,"&gt;="&amp;$C$7,BD!$A$3:$A$5001,"&lt;="&amp;$B171,BD!$M$3:$M$5001,"&lt;&gt;"))))</f>
        <v/>
      </c>
      <c r="K171" s="43" t="str">
        <f>IF(OR($B171="",$A171&gt;$B$9,K$149=""),"",IF(COUNTIFS(BD!$B$3:$B$5001,K$149,BD!$A$3:$A$5001,"&gt;="&amp;$C$7,BD!$A$3:$A$5001,"&lt;="&amp;$B171,BD!$M$3:$M$5001,"&lt;&gt;")=0,"",SUMIFS(BD!$M$3:$M$5001,BD!$B$3:$B$5001,K$149,BD!$A$3:$A$5001,_xlfn.MAXIFS(BD!$A$3:$A$5001,BD!$B$3:$B$5001,K$149,BD!$A$3:$A$5001,"&gt;="&amp;$C$7,BD!$A$3:$A$5001,"&lt;="&amp;$B171,BD!$M$3:$M$5001,"&lt;&gt;"))))</f>
        <v/>
      </c>
      <c r="L171" s="43" t="str">
        <f>IF(OR($B171="",$A171&gt;$B$9,L$149=""),"",IF(COUNTIFS(BD!$B$3:$B$5001,L$149,BD!$A$3:$A$5001,"&gt;="&amp;$C$7,BD!$A$3:$A$5001,"&lt;="&amp;$B171,BD!$M$3:$M$5001,"&lt;&gt;")=0,"",SUMIFS(BD!$M$3:$M$5001,BD!$B$3:$B$5001,L$149,BD!$A$3:$A$5001,_xlfn.MAXIFS(BD!$A$3:$A$5001,BD!$B$3:$B$5001,L$149,BD!$A$3:$A$5001,"&gt;="&amp;$C$7,BD!$A$3:$A$5001,"&lt;="&amp;$B171,BD!$M$3:$M$5001,"&lt;&gt;"))))</f>
        <v/>
      </c>
      <c r="M171" s="43" t="str">
        <f>IF(OR($B171="",$A171&gt;$B$9,M$149=""),"",IF(COUNTIFS(BD!$B$3:$B$5001,M$149,BD!$A$3:$A$5001,"&gt;="&amp;$C$7,BD!$A$3:$A$5001,"&lt;="&amp;$B171,BD!$M$3:$M$5001,"&lt;&gt;")=0,"",SUMIFS(BD!$M$3:$M$5001,BD!$B$3:$B$5001,M$149,BD!$A$3:$A$5001,_xlfn.MAXIFS(BD!$A$3:$A$5001,BD!$B$3:$B$5001,M$149,BD!$A$3:$A$5001,"&gt;="&amp;$C$7,BD!$A$3:$A$5001,"&lt;="&amp;$B171,BD!$M$3:$M$5001,"&lt;&gt;"))))</f>
        <v/>
      </c>
      <c r="N171" s="43" t="str">
        <f>IF(OR($B171="",$A171&gt;$B$9,N$149=""),"",IF(COUNTIFS(BD!$B$3:$B$5001,N$149,BD!$A$3:$A$5001,"&gt;="&amp;$C$7,BD!$A$3:$A$5001,"&lt;="&amp;$B171,BD!$M$3:$M$5001,"&lt;&gt;")=0,"",SUMIFS(BD!$M$3:$M$5001,BD!$B$3:$B$5001,N$149,BD!$A$3:$A$5001,_xlfn.MAXIFS(BD!$A$3:$A$5001,BD!$B$3:$B$5001,N$149,BD!$A$3:$A$5001,"&gt;="&amp;$C$7,BD!$A$3:$A$5001,"&lt;="&amp;$B171,BD!$M$3:$M$5001,"&lt;&gt;"))))</f>
        <v/>
      </c>
      <c r="O171" s="43" t="str">
        <f>IF(OR($B171="",$A171&gt;$B$9,O$149=""),"",IF(COUNTIFS(BD!$B$3:$B$5001,O$149,BD!$A$3:$A$5001,"&gt;="&amp;$C$7,BD!$A$3:$A$5001,"&lt;="&amp;$B171,BD!$M$3:$M$5001,"&lt;&gt;")=0,"",SUMIFS(BD!$M$3:$M$5001,BD!$B$3:$B$5001,O$149,BD!$A$3:$A$5001,_xlfn.MAXIFS(BD!$A$3:$A$5001,BD!$B$3:$B$5001,O$149,BD!$A$3:$A$5001,"&gt;="&amp;$C$7,BD!$A$3:$A$5001,"&lt;="&amp;$B171,BD!$M$3:$M$5001,"&lt;&gt;"))))</f>
        <v/>
      </c>
      <c r="P171" s="43" t="str">
        <f>IF(OR($B171="",$A171&gt;$B$9,P$149=""),"",IF(COUNTIFS(BD!$B$3:$B$5001,P$149,BD!$A$3:$A$5001,"&gt;="&amp;$C$7,BD!$A$3:$A$5001,"&lt;="&amp;$B171,BD!$M$3:$M$5001,"&lt;&gt;")=0,"",SUMIFS(BD!$M$3:$M$5001,BD!$B$3:$B$5001,P$149,BD!$A$3:$A$5001,_xlfn.MAXIFS(BD!$A$3:$A$5001,BD!$B$3:$B$5001,P$149,BD!$A$3:$A$5001,"&gt;="&amp;$C$7,BD!$A$3:$A$5001,"&lt;="&amp;$B171,BD!$M$3:$M$5001,"&lt;&gt;"))))</f>
        <v/>
      </c>
      <c r="Q171" s="43" t="str">
        <f>IF(OR($B171="",$A171&gt;$B$9,Q$149=""),"",IF(COUNTIFS(BD!$B$3:$B$5001,Q$149,BD!$A$3:$A$5001,"&gt;="&amp;$C$7,BD!$A$3:$A$5001,"&lt;="&amp;$B171,BD!$M$3:$M$5001,"&lt;&gt;")=0,"",SUMIFS(BD!$M$3:$M$5001,BD!$B$3:$B$5001,Q$149,BD!$A$3:$A$5001,_xlfn.MAXIFS(BD!$A$3:$A$5001,BD!$B$3:$B$5001,Q$149,BD!$A$3:$A$5001,"&gt;="&amp;$C$7,BD!$A$3:$A$5001,"&lt;="&amp;$B171,BD!$M$3:$M$5001,"&lt;&gt;"))))</f>
        <v/>
      </c>
      <c r="R171" s="43" t="str">
        <f>IF(OR($B171="",$A171&gt;$B$9,R$149=""),"",IF(COUNTIFS(BD!$B$3:$B$5001,R$149,BD!$A$3:$A$5001,"&gt;="&amp;$C$7,BD!$A$3:$A$5001,"&lt;="&amp;$B171,BD!$M$3:$M$5001,"&lt;&gt;")=0,"",SUMIFS(BD!$M$3:$M$5001,BD!$B$3:$B$5001,R$149,BD!$A$3:$A$5001,_xlfn.MAXIFS(BD!$A$3:$A$5001,BD!$B$3:$B$5001,R$149,BD!$A$3:$A$5001,"&gt;="&amp;$C$7,BD!$A$3:$A$5001,"&lt;="&amp;$B171,BD!$M$3:$M$5001,"&lt;&gt;"))))</f>
        <v/>
      </c>
      <c r="S171" s="43" t="str">
        <f>IF(OR($B171="",$A171&gt;$B$9,S$149=""),"",IF(COUNTIFS(BD!$B$3:$B$5001,S$149,BD!$A$3:$A$5001,"&gt;="&amp;$C$7,BD!$A$3:$A$5001,"&lt;="&amp;$B171,BD!$M$3:$M$5001,"&lt;&gt;")=0,"",SUMIFS(BD!$M$3:$M$5001,BD!$B$3:$B$5001,S$149,BD!$A$3:$A$5001,_xlfn.MAXIFS(BD!$A$3:$A$5001,BD!$B$3:$B$5001,S$149,BD!$A$3:$A$5001,"&gt;="&amp;$C$7,BD!$A$3:$A$5001,"&lt;="&amp;$B171,BD!$M$3:$M$5001,"&lt;&gt;"))))</f>
        <v/>
      </c>
      <c r="T171" s="43" t="str">
        <f>IF(OR($B171="",$A171&gt;$B$9,T$149=""),"",IF(COUNTIFS(BD!$B$3:$B$5001,T$149,BD!$A$3:$A$5001,"&gt;="&amp;$C$7,BD!$A$3:$A$5001,"&lt;="&amp;$B171,BD!$M$3:$M$5001,"&lt;&gt;")=0,"",SUMIFS(BD!$M$3:$M$5001,BD!$B$3:$B$5001,T$149,BD!$A$3:$A$5001,_xlfn.MAXIFS(BD!$A$3:$A$5001,BD!$B$3:$B$5001,T$149,BD!$A$3:$A$5001,"&gt;="&amp;$C$7,BD!$A$3:$A$5001,"&lt;="&amp;$B171,BD!$M$3:$M$5001,"&lt;&gt;"))))</f>
        <v/>
      </c>
      <c r="U171" s="43" t="str">
        <f>IF(OR($B171="",$A171&gt;$B$9,U$149=""),"",IF(COUNTIFS(BD!$B$3:$B$5001,U$149,BD!$A$3:$A$5001,"&gt;="&amp;$C$7,BD!$A$3:$A$5001,"&lt;="&amp;$B171,BD!$M$3:$M$5001,"&lt;&gt;")=0,"",SUMIFS(BD!$M$3:$M$5001,BD!$B$3:$B$5001,U$149,BD!$A$3:$A$5001,_xlfn.MAXIFS(BD!$A$3:$A$5001,BD!$B$3:$B$5001,U$149,BD!$A$3:$A$5001,"&gt;="&amp;$C$7,BD!$A$3:$A$5001,"&lt;="&amp;$B171,BD!$M$3:$M$5001,"&lt;&gt;"))))</f>
        <v/>
      </c>
      <c r="V171" s="43" t="str">
        <f>IF(OR($B171="",$A171&gt;$B$9,V$149=""),"",IF(COUNTIFS(BD!$B$3:$B$5001,V$149,BD!$A$3:$A$5001,"&gt;="&amp;$C$7,BD!$A$3:$A$5001,"&lt;="&amp;$B171,BD!$M$3:$M$5001,"&lt;&gt;")=0,"",SUMIFS(BD!$M$3:$M$5001,BD!$B$3:$B$5001,V$149,BD!$A$3:$A$5001,_xlfn.MAXIFS(BD!$A$3:$A$5001,BD!$B$3:$B$5001,V$149,BD!$A$3:$A$5001,"&gt;="&amp;$C$7,BD!$A$3:$A$5001,"&lt;="&amp;$B171,BD!$M$3:$M$5001,"&lt;&gt;"))))</f>
        <v/>
      </c>
    </row>
    <row r="172">
      <c r="A172" s="38">
        <v>23</v>
      </c>
      <c r="B172" s="42">
        <f>$B$34</f>
        <v>46318</v>
      </c>
      <c r="C172" s="43" t="str">
        <f>IF(OR($B172="",$A172&gt;$B$9,C$149=""),"",IF(COUNTIFS(BD!$B$3:$B$5001,C$149,BD!$A$3:$A$5001,"&gt;="&amp;$C$7,BD!$A$3:$A$5001,"&lt;="&amp;$B172,BD!$M$3:$M$5001,"&lt;&gt;")=0,"",SUMIFS(BD!$M$3:$M$5001,BD!$B$3:$B$5001,C$149,BD!$A$3:$A$5001,_xlfn.MAXIFS(BD!$A$3:$A$5001,BD!$B$3:$B$5001,C$149,BD!$A$3:$A$5001,"&gt;="&amp;$C$7,BD!$A$3:$A$5001,"&lt;="&amp;$B172,BD!$M$3:$M$5001,"&lt;&gt;"))))</f>
        <v/>
      </c>
      <c r="D172" s="43" t="str">
        <f>IF(OR($B172="",$A172&gt;$B$9,D$149=""),"",IF(COUNTIFS(BD!$B$3:$B$5001,D$149,BD!$A$3:$A$5001,"&gt;="&amp;$C$7,BD!$A$3:$A$5001,"&lt;="&amp;$B172,BD!$M$3:$M$5001,"&lt;&gt;")=0,"",SUMIFS(BD!$M$3:$M$5001,BD!$B$3:$B$5001,D$149,BD!$A$3:$A$5001,_xlfn.MAXIFS(BD!$A$3:$A$5001,BD!$B$3:$B$5001,D$149,BD!$A$3:$A$5001,"&gt;="&amp;$C$7,BD!$A$3:$A$5001,"&lt;="&amp;$B172,BD!$M$3:$M$5001,"&lt;&gt;"))))</f>
        <v/>
      </c>
      <c r="E172" s="43" t="str">
        <f>IF(OR($B172="",$A172&gt;$B$9,E$149=""),"",IF(COUNTIFS(BD!$B$3:$B$5001,E$149,BD!$A$3:$A$5001,"&gt;="&amp;$C$7,BD!$A$3:$A$5001,"&lt;="&amp;$B172,BD!$M$3:$M$5001,"&lt;&gt;")=0,"",SUMIFS(BD!$M$3:$M$5001,BD!$B$3:$B$5001,E$149,BD!$A$3:$A$5001,_xlfn.MAXIFS(BD!$A$3:$A$5001,BD!$B$3:$B$5001,E$149,BD!$A$3:$A$5001,"&gt;="&amp;$C$7,BD!$A$3:$A$5001,"&lt;="&amp;$B172,BD!$M$3:$M$5001,"&lt;&gt;"))))</f>
        <v/>
      </c>
      <c r="F172" s="43" t="str">
        <f>IF(OR($B172="",$A172&gt;$B$9,F$149=""),"",IF(COUNTIFS(BD!$B$3:$B$5001,F$149,BD!$A$3:$A$5001,"&gt;="&amp;$C$7,BD!$A$3:$A$5001,"&lt;="&amp;$B172,BD!$M$3:$M$5001,"&lt;&gt;")=0,"",SUMIFS(BD!$M$3:$M$5001,BD!$B$3:$B$5001,F$149,BD!$A$3:$A$5001,_xlfn.MAXIFS(BD!$A$3:$A$5001,BD!$B$3:$B$5001,F$149,BD!$A$3:$A$5001,"&gt;="&amp;$C$7,BD!$A$3:$A$5001,"&lt;="&amp;$B172,BD!$M$3:$M$5001,"&lt;&gt;"))))</f>
        <v/>
      </c>
      <c r="G172" s="43" t="str">
        <f>IF(OR($B172="",$A172&gt;$B$9,G$149=""),"",IF(COUNTIFS(BD!$B$3:$B$5001,G$149,BD!$A$3:$A$5001,"&gt;="&amp;$C$7,BD!$A$3:$A$5001,"&lt;="&amp;$B172,BD!$M$3:$M$5001,"&lt;&gt;")=0,"",SUMIFS(BD!$M$3:$M$5001,BD!$B$3:$B$5001,G$149,BD!$A$3:$A$5001,_xlfn.MAXIFS(BD!$A$3:$A$5001,BD!$B$3:$B$5001,G$149,BD!$A$3:$A$5001,"&gt;="&amp;$C$7,BD!$A$3:$A$5001,"&lt;="&amp;$B172,BD!$M$3:$M$5001,"&lt;&gt;"))))</f>
        <v/>
      </c>
      <c r="H172" s="43" t="str">
        <f>IF(OR($B172="",$A172&gt;$B$9,H$149=""),"",IF(COUNTIFS(BD!$B$3:$B$5001,H$149,BD!$A$3:$A$5001,"&gt;="&amp;$C$7,BD!$A$3:$A$5001,"&lt;="&amp;$B172,BD!$M$3:$M$5001,"&lt;&gt;")=0,"",SUMIFS(BD!$M$3:$M$5001,BD!$B$3:$B$5001,H$149,BD!$A$3:$A$5001,_xlfn.MAXIFS(BD!$A$3:$A$5001,BD!$B$3:$B$5001,H$149,BD!$A$3:$A$5001,"&gt;="&amp;$C$7,BD!$A$3:$A$5001,"&lt;="&amp;$B172,BD!$M$3:$M$5001,"&lt;&gt;"))))</f>
        <v/>
      </c>
      <c r="I172" s="43" t="str">
        <f>IF(OR($B172="",$A172&gt;$B$9,I$149=""),"",IF(COUNTIFS(BD!$B$3:$B$5001,I$149,BD!$A$3:$A$5001,"&gt;="&amp;$C$7,BD!$A$3:$A$5001,"&lt;="&amp;$B172,BD!$M$3:$M$5001,"&lt;&gt;")=0,"",SUMIFS(BD!$M$3:$M$5001,BD!$B$3:$B$5001,I$149,BD!$A$3:$A$5001,_xlfn.MAXIFS(BD!$A$3:$A$5001,BD!$B$3:$B$5001,I$149,BD!$A$3:$A$5001,"&gt;="&amp;$C$7,BD!$A$3:$A$5001,"&lt;="&amp;$B172,BD!$M$3:$M$5001,"&lt;&gt;"))))</f>
        <v/>
      </c>
      <c r="J172" s="43" t="str">
        <f>IF(OR($B172="",$A172&gt;$B$9,J$149=""),"",IF(COUNTIFS(BD!$B$3:$B$5001,J$149,BD!$A$3:$A$5001,"&gt;="&amp;$C$7,BD!$A$3:$A$5001,"&lt;="&amp;$B172,BD!$M$3:$M$5001,"&lt;&gt;")=0,"",SUMIFS(BD!$M$3:$M$5001,BD!$B$3:$B$5001,J$149,BD!$A$3:$A$5001,_xlfn.MAXIFS(BD!$A$3:$A$5001,BD!$B$3:$B$5001,J$149,BD!$A$3:$A$5001,"&gt;="&amp;$C$7,BD!$A$3:$A$5001,"&lt;="&amp;$B172,BD!$M$3:$M$5001,"&lt;&gt;"))))</f>
        <v/>
      </c>
      <c r="K172" s="43" t="str">
        <f>IF(OR($B172="",$A172&gt;$B$9,K$149=""),"",IF(COUNTIFS(BD!$B$3:$B$5001,K$149,BD!$A$3:$A$5001,"&gt;="&amp;$C$7,BD!$A$3:$A$5001,"&lt;="&amp;$B172,BD!$M$3:$M$5001,"&lt;&gt;")=0,"",SUMIFS(BD!$M$3:$M$5001,BD!$B$3:$B$5001,K$149,BD!$A$3:$A$5001,_xlfn.MAXIFS(BD!$A$3:$A$5001,BD!$B$3:$B$5001,K$149,BD!$A$3:$A$5001,"&gt;="&amp;$C$7,BD!$A$3:$A$5001,"&lt;="&amp;$B172,BD!$M$3:$M$5001,"&lt;&gt;"))))</f>
        <v/>
      </c>
      <c r="L172" s="43" t="str">
        <f>IF(OR($B172="",$A172&gt;$B$9,L$149=""),"",IF(COUNTIFS(BD!$B$3:$B$5001,L$149,BD!$A$3:$A$5001,"&gt;="&amp;$C$7,BD!$A$3:$A$5001,"&lt;="&amp;$B172,BD!$M$3:$M$5001,"&lt;&gt;")=0,"",SUMIFS(BD!$M$3:$M$5001,BD!$B$3:$B$5001,L$149,BD!$A$3:$A$5001,_xlfn.MAXIFS(BD!$A$3:$A$5001,BD!$B$3:$B$5001,L$149,BD!$A$3:$A$5001,"&gt;="&amp;$C$7,BD!$A$3:$A$5001,"&lt;="&amp;$B172,BD!$M$3:$M$5001,"&lt;&gt;"))))</f>
        <v/>
      </c>
      <c r="M172" s="43" t="str">
        <f>IF(OR($B172="",$A172&gt;$B$9,M$149=""),"",IF(COUNTIFS(BD!$B$3:$B$5001,M$149,BD!$A$3:$A$5001,"&gt;="&amp;$C$7,BD!$A$3:$A$5001,"&lt;="&amp;$B172,BD!$M$3:$M$5001,"&lt;&gt;")=0,"",SUMIFS(BD!$M$3:$M$5001,BD!$B$3:$B$5001,M$149,BD!$A$3:$A$5001,_xlfn.MAXIFS(BD!$A$3:$A$5001,BD!$B$3:$B$5001,M$149,BD!$A$3:$A$5001,"&gt;="&amp;$C$7,BD!$A$3:$A$5001,"&lt;="&amp;$B172,BD!$M$3:$M$5001,"&lt;&gt;"))))</f>
        <v/>
      </c>
      <c r="N172" s="43" t="str">
        <f>IF(OR($B172="",$A172&gt;$B$9,N$149=""),"",IF(COUNTIFS(BD!$B$3:$B$5001,N$149,BD!$A$3:$A$5001,"&gt;="&amp;$C$7,BD!$A$3:$A$5001,"&lt;="&amp;$B172,BD!$M$3:$M$5001,"&lt;&gt;")=0,"",SUMIFS(BD!$M$3:$M$5001,BD!$B$3:$B$5001,N$149,BD!$A$3:$A$5001,_xlfn.MAXIFS(BD!$A$3:$A$5001,BD!$B$3:$B$5001,N$149,BD!$A$3:$A$5001,"&gt;="&amp;$C$7,BD!$A$3:$A$5001,"&lt;="&amp;$B172,BD!$M$3:$M$5001,"&lt;&gt;"))))</f>
        <v/>
      </c>
      <c r="O172" s="43" t="str">
        <f>IF(OR($B172="",$A172&gt;$B$9,O$149=""),"",IF(COUNTIFS(BD!$B$3:$B$5001,O$149,BD!$A$3:$A$5001,"&gt;="&amp;$C$7,BD!$A$3:$A$5001,"&lt;="&amp;$B172,BD!$M$3:$M$5001,"&lt;&gt;")=0,"",SUMIFS(BD!$M$3:$M$5001,BD!$B$3:$B$5001,O$149,BD!$A$3:$A$5001,_xlfn.MAXIFS(BD!$A$3:$A$5001,BD!$B$3:$B$5001,O$149,BD!$A$3:$A$5001,"&gt;="&amp;$C$7,BD!$A$3:$A$5001,"&lt;="&amp;$B172,BD!$M$3:$M$5001,"&lt;&gt;"))))</f>
        <v/>
      </c>
      <c r="P172" s="43" t="str">
        <f>IF(OR($B172="",$A172&gt;$B$9,P$149=""),"",IF(COUNTIFS(BD!$B$3:$B$5001,P$149,BD!$A$3:$A$5001,"&gt;="&amp;$C$7,BD!$A$3:$A$5001,"&lt;="&amp;$B172,BD!$M$3:$M$5001,"&lt;&gt;")=0,"",SUMIFS(BD!$M$3:$M$5001,BD!$B$3:$B$5001,P$149,BD!$A$3:$A$5001,_xlfn.MAXIFS(BD!$A$3:$A$5001,BD!$B$3:$B$5001,P$149,BD!$A$3:$A$5001,"&gt;="&amp;$C$7,BD!$A$3:$A$5001,"&lt;="&amp;$B172,BD!$M$3:$M$5001,"&lt;&gt;"))))</f>
        <v/>
      </c>
      <c r="Q172" s="43" t="str">
        <f>IF(OR($B172="",$A172&gt;$B$9,Q$149=""),"",IF(COUNTIFS(BD!$B$3:$B$5001,Q$149,BD!$A$3:$A$5001,"&gt;="&amp;$C$7,BD!$A$3:$A$5001,"&lt;="&amp;$B172,BD!$M$3:$M$5001,"&lt;&gt;")=0,"",SUMIFS(BD!$M$3:$M$5001,BD!$B$3:$B$5001,Q$149,BD!$A$3:$A$5001,_xlfn.MAXIFS(BD!$A$3:$A$5001,BD!$B$3:$B$5001,Q$149,BD!$A$3:$A$5001,"&gt;="&amp;$C$7,BD!$A$3:$A$5001,"&lt;="&amp;$B172,BD!$M$3:$M$5001,"&lt;&gt;"))))</f>
        <v/>
      </c>
      <c r="R172" s="43" t="str">
        <f>IF(OR($B172="",$A172&gt;$B$9,R$149=""),"",IF(COUNTIFS(BD!$B$3:$B$5001,R$149,BD!$A$3:$A$5001,"&gt;="&amp;$C$7,BD!$A$3:$A$5001,"&lt;="&amp;$B172,BD!$M$3:$M$5001,"&lt;&gt;")=0,"",SUMIFS(BD!$M$3:$M$5001,BD!$B$3:$B$5001,R$149,BD!$A$3:$A$5001,_xlfn.MAXIFS(BD!$A$3:$A$5001,BD!$B$3:$B$5001,R$149,BD!$A$3:$A$5001,"&gt;="&amp;$C$7,BD!$A$3:$A$5001,"&lt;="&amp;$B172,BD!$M$3:$M$5001,"&lt;&gt;"))))</f>
        <v/>
      </c>
      <c r="S172" s="43" t="str">
        <f>IF(OR($B172="",$A172&gt;$B$9,S$149=""),"",IF(COUNTIFS(BD!$B$3:$B$5001,S$149,BD!$A$3:$A$5001,"&gt;="&amp;$C$7,BD!$A$3:$A$5001,"&lt;="&amp;$B172,BD!$M$3:$M$5001,"&lt;&gt;")=0,"",SUMIFS(BD!$M$3:$M$5001,BD!$B$3:$B$5001,S$149,BD!$A$3:$A$5001,_xlfn.MAXIFS(BD!$A$3:$A$5001,BD!$B$3:$B$5001,S$149,BD!$A$3:$A$5001,"&gt;="&amp;$C$7,BD!$A$3:$A$5001,"&lt;="&amp;$B172,BD!$M$3:$M$5001,"&lt;&gt;"))))</f>
        <v/>
      </c>
      <c r="T172" s="43" t="str">
        <f>IF(OR($B172="",$A172&gt;$B$9,T$149=""),"",IF(COUNTIFS(BD!$B$3:$B$5001,T$149,BD!$A$3:$A$5001,"&gt;="&amp;$C$7,BD!$A$3:$A$5001,"&lt;="&amp;$B172,BD!$M$3:$M$5001,"&lt;&gt;")=0,"",SUMIFS(BD!$M$3:$M$5001,BD!$B$3:$B$5001,T$149,BD!$A$3:$A$5001,_xlfn.MAXIFS(BD!$A$3:$A$5001,BD!$B$3:$B$5001,T$149,BD!$A$3:$A$5001,"&gt;="&amp;$C$7,BD!$A$3:$A$5001,"&lt;="&amp;$B172,BD!$M$3:$M$5001,"&lt;&gt;"))))</f>
        <v/>
      </c>
      <c r="U172" s="43" t="str">
        <f>IF(OR($B172="",$A172&gt;$B$9,U$149=""),"",IF(COUNTIFS(BD!$B$3:$B$5001,U$149,BD!$A$3:$A$5001,"&gt;="&amp;$C$7,BD!$A$3:$A$5001,"&lt;="&amp;$B172,BD!$M$3:$M$5001,"&lt;&gt;")=0,"",SUMIFS(BD!$M$3:$M$5001,BD!$B$3:$B$5001,U$149,BD!$A$3:$A$5001,_xlfn.MAXIFS(BD!$A$3:$A$5001,BD!$B$3:$B$5001,U$149,BD!$A$3:$A$5001,"&gt;="&amp;$C$7,BD!$A$3:$A$5001,"&lt;="&amp;$B172,BD!$M$3:$M$5001,"&lt;&gt;"))))</f>
        <v/>
      </c>
      <c r="V172" s="43" t="str">
        <f>IF(OR($B172="",$A172&gt;$B$9,V$149=""),"",IF(COUNTIFS(BD!$B$3:$B$5001,V$149,BD!$A$3:$A$5001,"&gt;="&amp;$C$7,BD!$A$3:$A$5001,"&lt;="&amp;$B172,BD!$M$3:$M$5001,"&lt;&gt;")=0,"",SUMIFS(BD!$M$3:$M$5001,BD!$B$3:$B$5001,V$149,BD!$A$3:$A$5001,_xlfn.MAXIFS(BD!$A$3:$A$5001,BD!$B$3:$B$5001,V$149,BD!$A$3:$A$5001,"&gt;="&amp;$C$7,BD!$A$3:$A$5001,"&lt;="&amp;$B172,BD!$M$3:$M$5001,"&lt;&gt;"))))</f>
        <v/>
      </c>
    </row>
    <row r="173">
      <c r="A173" s="38">
        <v>24</v>
      </c>
      <c r="B173" s="42">
        <f>$B$35</f>
        <v>46319</v>
      </c>
      <c r="C173" s="43" t="str">
        <f>IF(OR($B173="",$A173&gt;$B$9,C$149=""),"",IF(COUNTIFS(BD!$B$3:$B$5001,C$149,BD!$A$3:$A$5001,"&gt;="&amp;$C$7,BD!$A$3:$A$5001,"&lt;="&amp;$B173,BD!$M$3:$M$5001,"&lt;&gt;")=0,"",SUMIFS(BD!$M$3:$M$5001,BD!$B$3:$B$5001,C$149,BD!$A$3:$A$5001,_xlfn.MAXIFS(BD!$A$3:$A$5001,BD!$B$3:$B$5001,C$149,BD!$A$3:$A$5001,"&gt;="&amp;$C$7,BD!$A$3:$A$5001,"&lt;="&amp;$B173,BD!$M$3:$M$5001,"&lt;&gt;"))))</f>
        <v/>
      </c>
      <c r="D173" s="43" t="str">
        <f>IF(OR($B173="",$A173&gt;$B$9,D$149=""),"",IF(COUNTIFS(BD!$B$3:$B$5001,D$149,BD!$A$3:$A$5001,"&gt;="&amp;$C$7,BD!$A$3:$A$5001,"&lt;="&amp;$B173,BD!$M$3:$M$5001,"&lt;&gt;")=0,"",SUMIFS(BD!$M$3:$M$5001,BD!$B$3:$B$5001,D$149,BD!$A$3:$A$5001,_xlfn.MAXIFS(BD!$A$3:$A$5001,BD!$B$3:$B$5001,D$149,BD!$A$3:$A$5001,"&gt;="&amp;$C$7,BD!$A$3:$A$5001,"&lt;="&amp;$B173,BD!$M$3:$M$5001,"&lt;&gt;"))))</f>
        <v/>
      </c>
      <c r="E173" s="43" t="str">
        <f>IF(OR($B173="",$A173&gt;$B$9,E$149=""),"",IF(COUNTIFS(BD!$B$3:$B$5001,E$149,BD!$A$3:$A$5001,"&gt;="&amp;$C$7,BD!$A$3:$A$5001,"&lt;="&amp;$B173,BD!$M$3:$M$5001,"&lt;&gt;")=0,"",SUMIFS(BD!$M$3:$M$5001,BD!$B$3:$B$5001,E$149,BD!$A$3:$A$5001,_xlfn.MAXIFS(BD!$A$3:$A$5001,BD!$B$3:$B$5001,E$149,BD!$A$3:$A$5001,"&gt;="&amp;$C$7,BD!$A$3:$A$5001,"&lt;="&amp;$B173,BD!$M$3:$M$5001,"&lt;&gt;"))))</f>
        <v/>
      </c>
      <c r="F173" s="43" t="str">
        <f>IF(OR($B173="",$A173&gt;$B$9,F$149=""),"",IF(COUNTIFS(BD!$B$3:$B$5001,F$149,BD!$A$3:$A$5001,"&gt;="&amp;$C$7,BD!$A$3:$A$5001,"&lt;="&amp;$B173,BD!$M$3:$M$5001,"&lt;&gt;")=0,"",SUMIFS(BD!$M$3:$M$5001,BD!$B$3:$B$5001,F$149,BD!$A$3:$A$5001,_xlfn.MAXIFS(BD!$A$3:$A$5001,BD!$B$3:$B$5001,F$149,BD!$A$3:$A$5001,"&gt;="&amp;$C$7,BD!$A$3:$A$5001,"&lt;="&amp;$B173,BD!$M$3:$M$5001,"&lt;&gt;"))))</f>
        <v/>
      </c>
      <c r="G173" s="43" t="str">
        <f>IF(OR($B173="",$A173&gt;$B$9,G$149=""),"",IF(COUNTIFS(BD!$B$3:$B$5001,G$149,BD!$A$3:$A$5001,"&gt;="&amp;$C$7,BD!$A$3:$A$5001,"&lt;="&amp;$B173,BD!$M$3:$M$5001,"&lt;&gt;")=0,"",SUMIFS(BD!$M$3:$M$5001,BD!$B$3:$B$5001,G$149,BD!$A$3:$A$5001,_xlfn.MAXIFS(BD!$A$3:$A$5001,BD!$B$3:$B$5001,G$149,BD!$A$3:$A$5001,"&gt;="&amp;$C$7,BD!$A$3:$A$5001,"&lt;="&amp;$B173,BD!$M$3:$M$5001,"&lt;&gt;"))))</f>
        <v/>
      </c>
      <c r="H173" s="43" t="str">
        <f>IF(OR($B173="",$A173&gt;$B$9,H$149=""),"",IF(COUNTIFS(BD!$B$3:$B$5001,H$149,BD!$A$3:$A$5001,"&gt;="&amp;$C$7,BD!$A$3:$A$5001,"&lt;="&amp;$B173,BD!$M$3:$M$5001,"&lt;&gt;")=0,"",SUMIFS(BD!$M$3:$M$5001,BD!$B$3:$B$5001,H$149,BD!$A$3:$A$5001,_xlfn.MAXIFS(BD!$A$3:$A$5001,BD!$B$3:$B$5001,H$149,BD!$A$3:$A$5001,"&gt;="&amp;$C$7,BD!$A$3:$A$5001,"&lt;="&amp;$B173,BD!$M$3:$M$5001,"&lt;&gt;"))))</f>
        <v/>
      </c>
      <c r="I173" s="43" t="str">
        <f>IF(OR($B173="",$A173&gt;$B$9,I$149=""),"",IF(COUNTIFS(BD!$B$3:$B$5001,I$149,BD!$A$3:$A$5001,"&gt;="&amp;$C$7,BD!$A$3:$A$5001,"&lt;="&amp;$B173,BD!$M$3:$M$5001,"&lt;&gt;")=0,"",SUMIFS(BD!$M$3:$M$5001,BD!$B$3:$B$5001,I$149,BD!$A$3:$A$5001,_xlfn.MAXIFS(BD!$A$3:$A$5001,BD!$B$3:$B$5001,I$149,BD!$A$3:$A$5001,"&gt;="&amp;$C$7,BD!$A$3:$A$5001,"&lt;="&amp;$B173,BD!$M$3:$M$5001,"&lt;&gt;"))))</f>
        <v/>
      </c>
      <c r="J173" s="43" t="str">
        <f>IF(OR($B173="",$A173&gt;$B$9,J$149=""),"",IF(COUNTIFS(BD!$B$3:$B$5001,J$149,BD!$A$3:$A$5001,"&gt;="&amp;$C$7,BD!$A$3:$A$5001,"&lt;="&amp;$B173,BD!$M$3:$M$5001,"&lt;&gt;")=0,"",SUMIFS(BD!$M$3:$M$5001,BD!$B$3:$B$5001,J$149,BD!$A$3:$A$5001,_xlfn.MAXIFS(BD!$A$3:$A$5001,BD!$B$3:$B$5001,J$149,BD!$A$3:$A$5001,"&gt;="&amp;$C$7,BD!$A$3:$A$5001,"&lt;="&amp;$B173,BD!$M$3:$M$5001,"&lt;&gt;"))))</f>
        <v/>
      </c>
      <c r="K173" s="43" t="str">
        <f>IF(OR($B173="",$A173&gt;$B$9,K$149=""),"",IF(COUNTIFS(BD!$B$3:$B$5001,K$149,BD!$A$3:$A$5001,"&gt;="&amp;$C$7,BD!$A$3:$A$5001,"&lt;="&amp;$B173,BD!$M$3:$M$5001,"&lt;&gt;")=0,"",SUMIFS(BD!$M$3:$M$5001,BD!$B$3:$B$5001,K$149,BD!$A$3:$A$5001,_xlfn.MAXIFS(BD!$A$3:$A$5001,BD!$B$3:$B$5001,K$149,BD!$A$3:$A$5001,"&gt;="&amp;$C$7,BD!$A$3:$A$5001,"&lt;="&amp;$B173,BD!$M$3:$M$5001,"&lt;&gt;"))))</f>
        <v/>
      </c>
      <c r="L173" s="43" t="str">
        <f>IF(OR($B173="",$A173&gt;$B$9,L$149=""),"",IF(COUNTIFS(BD!$B$3:$B$5001,L$149,BD!$A$3:$A$5001,"&gt;="&amp;$C$7,BD!$A$3:$A$5001,"&lt;="&amp;$B173,BD!$M$3:$M$5001,"&lt;&gt;")=0,"",SUMIFS(BD!$M$3:$M$5001,BD!$B$3:$B$5001,L$149,BD!$A$3:$A$5001,_xlfn.MAXIFS(BD!$A$3:$A$5001,BD!$B$3:$B$5001,L$149,BD!$A$3:$A$5001,"&gt;="&amp;$C$7,BD!$A$3:$A$5001,"&lt;="&amp;$B173,BD!$M$3:$M$5001,"&lt;&gt;"))))</f>
        <v/>
      </c>
      <c r="M173" s="43" t="str">
        <f>IF(OR($B173="",$A173&gt;$B$9,M$149=""),"",IF(COUNTIFS(BD!$B$3:$B$5001,M$149,BD!$A$3:$A$5001,"&gt;="&amp;$C$7,BD!$A$3:$A$5001,"&lt;="&amp;$B173,BD!$M$3:$M$5001,"&lt;&gt;")=0,"",SUMIFS(BD!$M$3:$M$5001,BD!$B$3:$B$5001,M$149,BD!$A$3:$A$5001,_xlfn.MAXIFS(BD!$A$3:$A$5001,BD!$B$3:$B$5001,M$149,BD!$A$3:$A$5001,"&gt;="&amp;$C$7,BD!$A$3:$A$5001,"&lt;="&amp;$B173,BD!$M$3:$M$5001,"&lt;&gt;"))))</f>
        <v/>
      </c>
      <c r="N173" s="43" t="str">
        <f>IF(OR($B173="",$A173&gt;$B$9,N$149=""),"",IF(COUNTIFS(BD!$B$3:$B$5001,N$149,BD!$A$3:$A$5001,"&gt;="&amp;$C$7,BD!$A$3:$A$5001,"&lt;="&amp;$B173,BD!$M$3:$M$5001,"&lt;&gt;")=0,"",SUMIFS(BD!$M$3:$M$5001,BD!$B$3:$B$5001,N$149,BD!$A$3:$A$5001,_xlfn.MAXIFS(BD!$A$3:$A$5001,BD!$B$3:$B$5001,N$149,BD!$A$3:$A$5001,"&gt;="&amp;$C$7,BD!$A$3:$A$5001,"&lt;="&amp;$B173,BD!$M$3:$M$5001,"&lt;&gt;"))))</f>
        <v/>
      </c>
      <c r="O173" s="43" t="str">
        <f>IF(OR($B173="",$A173&gt;$B$9,O$149=""),"",IF(COUNTIFS(BD!$B$3:$B$5001,O$149,BD!$A$3:$A$5001,"&gt;="&amp;$C$7,BD!$A$3:$A$5001,"&lt;="&amp;$B173,BD!$M$3:$M$5001,"&lt;&gt;")=0,"",SUMIFS(BD!$M$3:$M$5001,BD!$B$3:$B$5001,O$149,BD!$A$3:$A$5001,_xlfn.MAXIFS(BD!$A$3:$A$5001,BD!$B$3:$B$5001,O$149,BD!$A$3:$A$5001,"&gt;="&amp;$C$7,BD!$A$3:$A$5001,"&lt;="&amp;$B173,BD!$M$3:$M$5001,"&lt;&gt;"))))</f>
        <v/>
      </c>
      <c r="P173" s="43" t="str">
        <f>IF(OR($B173="",$A173&gt;$B$9,P$149=""),"",IF(COUNTIFS(BD!$B$3:$B$5001,P$149,BD!$A$3:$A$5001,"&gt;="&amp;$C$7,BD!$A$3:$A$5001,"&lt;="&amp;$B173,BD!$M$3:$M$5001,"&lt;&gt;")=0,"",SUMIFS(BD!$M$3:$M$5001,BD!$B$3:$B$5001,P$149,BD!$A$3:$A$5001,_xlfn.MAXIFS(BD!$A$3:$A$5001,BD!$B$3:$B$5001,P$149,BD!$A$3:$A$5001,"&gt;="&amp;$C$7,BD!$A$3:$A$5001,"&lt;="&amp;$B173,BD!$M$3:$M$5001,"&lt;&gt;"))))</f>
        <v/>
      </c>
      <c r="Q173" s="43" t="str">
        <f>IF(OR($B173="",$A173&gt;$B$9,Q$149=""),"",IF(COUNTIFS(BD!$B$3:$B$5001,Q$149,BD!$A$3:$A$5001,"&gt;="&amp;$C$7,BD!$A$3:$A$5001,"&lt;="&amp;$B173,BD!$M$3:$M$5001,"&lt;&gt;")=0,"",SUMIFS(BD!$M$3:$M$5001,BD!$B$3:$B$5001,Q$149,BD!$A$3:$A$5001,_xlfn.MAXIFS(BD!$A$3:$A$5001,BD!$B$3:$B$5001,Q$149,BD!$A$3:$A$5001,"&gt;="&amp;$C$7,BD!$A$3:$A$5001,"&lt;="&amp;$B173,BD!$M$3:$M$5001,"&lt;&gt;"))))</f>
        <v/>
      </c>
      <c r="R173" s="43" t="str">
        <f>IF(OR($B173="",$A173&gt;$B$9,R$149=""),"",IF(COUNTIFS(BD!$B$3:$B$5001,R$149,BD!$A$3:$A$5001,"&gt;="&amp;$C$7,BD!$A$3:$A$5001,"&lt;="&amp;$B173,BD!$M$3:$M$5001,"&lt;&gt;")=0,"",SUMIFS(BD!$M$3:$M$5001,BD!$B$3:$B$5001,R$149,BD!$A$3:$A$5001,_xlfn.MAXIFS(BD!$A$3:$A$5001,BD!$B$3:$B$5001,R$149,BD!$A$3:$A$5001,"&gt;="&amp;$C$7,BD!$A$3:$A$5001,"&lt;="&amp;$B173,BD!$M$3:$M$5001,"&lt;&gt;"))))</f>
        <v/>
      </c>
      <c r="S173" s="43" t="str">
        <f>IF(OR($B173="",$A173&gt;$B$9,S$149=""),"",IF(COUNTIFS(BD!$B$3:$B$5001,S$149,BD!$A$3:$A$5001,"&gt;="&amp;$C$7,BD!$A$3:$A$5001,"&lt;="&amp;$B173,BD!$M$3:$M$5001,"&lt;&gt;")=0,"",SUMIFS(BD!$M$3:$M$5001,BD!$B$3:$B$5001,S$149,BD!$A$3:$A$5001,_xlfn.MAXIFS(BD!$A$3:$A$5001,BD!$B$3:$B$5001,S$149,BD!$A$3:$A$5001,"&gt;="&amp;$C$7,BD!$A$3:$A$5001,"&lt;="&amp;$B173,BD!$M$3:$M$5001,"&lt;&gt;"))))</f>
        <v/>
      </c>
      <c r="T173" s="43" t="str">
        <f>IF(OR($B173="",$A173&gt;$B$9,T$149=""),"",IF(COUNTIFS(BD!$B$3:$B$5001,T$149,BD!$A$3:$A$5001,"&gt;="&amp;$C$7,BD!$A$3:$A$5001,"&lt;="&amp;$B173,BD!$M$3:$M$5001,"&lt;&gt;")=0,"",SUMIFS(BD!$M$3:$M$5001,BD!$B$3:$B$5001,T$149,BD!$A$3:$A$5001,_xlfn.MAXIFS(BD!$A$3:$A$5001,BD!$B$3:$B$5001,T$149,BD!$A$3:$A$5001,"&gt;="&amp;$C$7,BD!$A$3:$A$5001,"&lt;="&amp;$B173,BD!$M$3:$M$5001,"&lt;&gt;"))))</f>
        <v/>
      </c>
      <c r="U173" s="43" t="str">
        <f>IF(OR($B173="",$A173&gt;$B$9,U$149=""),"",IF(COUNTIFS(BD!$B$3:$B$5001,U$149,BD!$A$3:$A$5001,"&gt;="&amp;$C$7,BD!$A$3:$A$5001,"&lt;="&amp;$B173,BD!$M$3:$M$5001,"&lt;&gt;")=0,"",SUMIFS(BD!$M$3:$M$5001,BD!$B$3:$B$5001,U$149,BD!$A$3:$A$5001,_xlfn.MAXIFS(BD!$A$3:$A$5001,BD!$B$3:$B$5001,U$149,BD!$A$3:$A$5001,"&gt;="&amp;$C$7,BD!$A$3:$A$5001,"&lt;="&amp;$B173,BD!$M$3:$M$5001,"&lt;&gt;"))))</f>
        <v/>
      </c>
      <c r="V173" s="43" t="str">
        <f>IF(OR($B173="",$A173&gt;$B$9,V$149=""),"",IF(COUNTIFS(BD!$B$3:$B$5001,V$149,BD!$A$3:$A$5001,"&gt;="&amp;$C$7,BD!$A$3:$A$5001,"&lt;="&amp;$B173,BD!$M$3:$M$5001,"&lt;&gt;")=0,"",SUMIFS(BD!$M$3:$M$5001,BD!$B$3:$B$5001,V$149,BD!$A$3:$A$5001,_xlfn.MAXIFS(BD!$A$3:$A$5001,BD!$B$3:$B$5001,V$149,BD!$A$3:$A$5001,"&gt;="&amp;$C$7,BD!$A$3:$A$5001,"&lt;="&amp;$B173,BD!$M$3:$M$5001,"&lt;&gt;"))))</f>
        <v/>
      </c>
    </row>
    <row r="174">
      <c r="A174" s="38">
        <v>25</v>
      </c>
      <c r="B174" s="42">
        <f>$B$36</f>
        <v>46320</v>
      </c>
      <c r="C174" s="43" t="str">
        <f>IF(OR($B174="",$A174&gt;$B$9,C$149=""),"",IF(COUNTIFS(BD!$B$3:$B$5001,C$149,BD!$A$3:$A$5001,"&gt;="&amp;$C$7,BD!$A$3:$A$5001,"&lt;="&amp;$B174,BD!$M$3:$M$5001,"&lt;&gt;")=0,"",SUMIFS(BD!$M$3:$M$5001,BD!$B$3:$B$5001,C$149,BD!$A$3:$A$5001,_xlfn.MAXIFS(BD!$A$3:$A$5001,BD!$B$3:$B$5001,C$149,BD!$A$3:$A$5001,"&gt;="&amp;$C$7,BD!$A$3:$A$5001,"&lt;="&amp;$B174,BD!$M$3:$M$5001,"&lt;&gt;"))))</f>
        <v/>
      </c>
      <c r="D174" s="43" t="str">
        <f>IF(OR($B174="",$A174&gt;$B$9,D$149=""),"",IF(COUNTIFS(BD!$B$3:$B$5001,D$149,BD!$A$3:$A$5001,"&gt;="&amp;$C$7,BD!$A$3:$A$5001,"&lt;="&amp;$B174,BD!$M$3:$M$5001,"&lt;&gt;")=0,"",SUMIFS(BD!$M$3:$M$5001,BD!$B$3:$B$5001,D$149,BD!$A$3:$A$5001,_xlfn.MAXIFS(BD!$A$3:$A$5001,BD!$B$3:$B$5001,D$149,BD!$A$3:$A$5001,"&gt;="&amp;$C$7,BD!$A$3:$A$5001,"&lt;="&amp;$B174,BD!$M$3:$M$5001,"&lt;&gt;"))))</f>
        <v/>
      </c>
      <c r="E174" s="43" t="str">
        <f>IF(OR($B174="",$A174&gt;$B$9,E$149=""),"",IF(COUNTIFS(BD!$B$3:$B$5001,E$149,BD!$A$3:$A$5001,"&gt;="&amp;$C$7,BD!$A$3:$A$5001,"&lt;="&amp;$B174,BD!$M$3:$M$5001,"&lt;&gt;")=0,"",SUMIFS(BD!$M$3:$M$5001,BD!$B$3:$B$5001,E$149,BD!$A$3:$A$5001,_xlfn.MAXIFS(BD!$A$3:$A$5001,BD!$B$3:$B$5001,E$149,BD!$A$3:$A$5001,"&gt;="&amp;$C$7,BD!$A$3:$A$5001,"&lt;="&amp;$B174,BD!$M$3:$M$5001,"&lt;&gt;"))))</f>
        <v/>
      </c>
      <c r="F174" s="43" t="str">
        <f>IF(OR($B174="",$A174&gt;$B$9,F$149=""),"",IF(COUNTIFS(BD!$B$3:$B$5001,F$149,BD!$A$3:$A$5001,"&gt;="&amp;$C$7,BD!$A$3:$A$5001,"&lt;="&amp;$B174,BD!$M$3:$M$5001,"&lt;&gt;")=0,"",SUMIFS(BD!$M$3:$M$5001,BD!$B$3:$B$5001,F$149,BD!$A$3:$A$5001,_xlfn.MAXIFS(BD!$A$3:$A$5001,BD!$B$3:$B$5001,F$149,BD!$A$3:$A$5001,"&gt;="&amp;$C$7,BD!$A$3:$A$5001,"&lt;="&amp;$B174,BD!$M$3:$M$5001,"&lt;&gt;"))))</f>
        <v/>
      </c>
      <c r="G174" s="43" t="str">
        <f>IF(OR($B174="",$A174&gt;$B$9,G$149=""),"",IF(COUNTIFS(BD!$B$3:$B$5001,G$149,BD!$A$3:$A$5001,"&gt;="&amp;$C$7,BD!$A$3:$A$5001,"&lt;="&amp;$B174,BD!$M$3:$M$5001,"&lt;&gt;")=0,"",SUMIFS(BD!$M$3:$M$5001,BD!$B$3:$B$5001,G$149,BD!$A$3:$A$5001,_xlfn.MAXIFS(BD!$A$3:$A$5001,BD!$B$3:$B$5001,G$149,BD!$A$3:$A$5001,"&gt;="&amp;$C$7,BD!$A$3:$A$5001,"&lt;="&amp;$B174,BD!$M$3:$M$5001,"&lt;&gt;"))))</f>
        <v/>
      </c>
      <c r="H174" s="43" t="str">
        <f>IF(OR($B174="",$A174&gt;$B$9,H$149=""),"",IF(COUNTIFS(BD!$B$3:$B$5001,H$149,BD!$A$3:$A$5001,"&gt;="&amp;$C$7,BD!$A$3:$A$5001,"&lt;="&amp;$B174,BD!$M$3:$M$5001,"&lt;&gt;")=0,"",SUMIFS(BD!$M$3:$M$5001,BD!$B$3:$B$5001,H$149,BD!$A$3:$A$5001,_xlfn.MAXIFS(BD!$A$3:$A$5001,BD!$B$3:$B$5001,H$149,BD!$A$3:$A$5001,"&gt;="&amp;$C$7,BD!$A$3:$A$5001,"&lt;="&amp;$B174,BD!$M$3:$M$5001,"&lt;&gt;"))))</f>
        <v/>
      </c>
      <c r="I174" s="43" t="str">
        <f>IF(OR($B174="",$A174&gt;$B$9,I$149=""),"",IF(COUNTIFS(BD!$B$3:$B$5001,I$149,BD!$A$3:$A$5001,"&gt;="&amp;$C$7,BD!$A$3:$A$5001,"&lt;="&amp;$B174,BD!$M$3:$M$5001,"&lt;&gt;")=0,"",SUMIFS(BD!$M$3:$M$5001,BD!$B$3:$B$5001,I$149,BD!$A$3:$A$5001,_xlfn.MAXIFS(BD!$A$3:$A$5001,BD!$B$3:$B$5001,I$149,BD!$A$3:$A$5001,"&gt;="&amp;$C$7,BD!$A$3:$A$5001,"&lt;="&amp;$B174,BD!$M$3:$M$5001,"&lt;&gt;"))))</f>
        <v/>
      </c>
      <c r="J174" s="43" t="str">
        <f>IF(OR($B174="",$A174&gt;$B$9,J$149=""),"",IF(COUNTIFS(BD!$B$3:$B$5001,J$149,BD!$A$3:$A$5001,"&gt;="&amp;$C$7,BD!$A$3:$A$5001,"&lt;="&amp;$B174,BD!$M$3:$M$5001,"&lt;&gt;")=0,"",SUMIFS(BD!$M$3:$M$5001,BD!$B$3:$B$5001,J$149,BD!$A$3:$A$5001,_xlfn.MAXIFS(BD!$A$3:$A$5001,BD!$B$3:$B$5001,J$149,BD!$A$3:$A$5001,"&gt;="&amp;$C$7,BD!$A$3:$A$5001,"&lt;="&amp;$B174,BD!$M$3:$M$5001,"&lt;&gt;"))))</f>
        <v/>
      </c>
      <c r="K174" s="43" t="str">
        <f>IF(OR($B174="",$A174&gt;$B$9,K$149=""),"",IF(COUNTIFS(BD!$B$3:$B$5001,K$149,BD!$A$3:$A$5001,"&gt;="&amp;$C$7,BD!$A$3:$A$5001,"&lt;="&amp;$B174,BD!$M$3:$M$5001,"&lt;&gt;")=0,"",SUMIFS(BD!$M$3:$M$5001,BD!$B$3:$B$5001,K$149,BD!$A$3:$A$5001,_xlfn.MAXIFS(BD!$A$3:$A$5001,BD!$B$3:$B$5001,K$149,BD!$A$3:$A$5001,"&gt;="&amp;$C$7,BD!$A$3:$A$5001,"&lt;="&amp;$B174,BD!$M$3:$M$5001,"&lt;&gt;"))))</f>
        <v/>
      </c>
      <c r="L174" s="43" t="str">
        <f>IF(OR($B174="",$A174&gt;$B$9,L$149=""),"",IF(COUNTIFS(BD!$B$3:$B$5001,L$149,BD!$A$3:$A$5001,"&gt;="&amp;$C$7,BD!$A$3:$A$5001,"&lt;="&amp;$B174,BD!$M$3:$M$5001,"&lt;&gt;")=0,"",SUMIFS(BD!$M$3:$M$5001,BD!$B$3:$B$5001,L$149,BD!$A$3:$A$5001,_xlfn.MAXIFS(BD!$A$3:$A$5001,BD!$B$3:$B$5001,L$149,BD!$A$3:$A$5001,"&gt;="&amp;$C$7,BD!$A$3:$A$5001,"&lt;="&amp;$B174,BD!$M$3:$M$5001,"&lt;&gt;"))))</f>
        <v/>
      </c>
      <c r="M174" s="43" t="str">
        <f>IF(OR($B174="",$A174&gt;$B$9,M$149=""),"",IF(COUNTIFS(BD!$B$3:$B$5001,M$149,BD!$A$3:$A$5001,"&gt;="&amp;$C$7,BD!$A$3:$A$5001,"&lt;="&amp;$B174,BD!$M$3:$M$5001,"&lt;&gt;")=0,"",SUMIFS(BD!$M$3:$M$5001,BD!$B$3:$B$5001,M$149,BD!$A$3:$A$5001,_xlfn.MAXIFS(BD!$A$3:$A$5001,BD!$B$3:$B$5001,M$149,BD!$A$3:$A$5001,"&gt;="&amp;$C$7,BD!$A$3:$A$5001,"&lt;="&amp;$B174,BD!$M$3:$M$5001,"&lt;&gt;"))))</f>
        <v/>
      </c>
      <c r="N174" s="43" t="str">
        <f>IF(OR($B174="",$A174&gt;$B$9,N$149=""),"",IF(COUNTIFS(BD!$B$3:$B$5001,N$149,BD!$A$3:$A$5001,"&gt;="&amp;$C$7,BD!$A$3:$A$5001,"&lt;="&amp;$B174,BD!$M$3:$M$5001,"&lt;&gt;")=0,"",SUMIFS(BD!$M$3:$M$5001,BD!$B$3:$B$5001,N$149,BD!$A$3:$A$5001,_xlfn.MAXIFS(BD!$A$3:$A$5001,BD!$B$3:$B$5001,N$149,BD!$A$3:$A$5001,"&gt;="&amp;$C$7,BD!$A$3:$A$5001,"&lt;="&amp;$B174,BD!$M$3:$M$5001,"&lt;&gt;"))))</f>
        <v/>
      </c>
      <c r="O174" s="43" t="str">
        <f>IF(OR($B174="",$A174&gt;$B$9,O$149=""),"",IF(COUNTIFS(BD!$B$3:$B$5001,O$149,BD!$A$3:$A$5001,"&gt;="&amp;$C$7,BD!$A$3:$A$5001,"&lt;="&amp;$B174,BD!$M$3:$M$5001,"&lt;&gt;")=0,"",SUMIFS(BD!$M$3:$M$5001,BD!$B$3:$B$5001,O$149,BD!$A$3:$A$5001,_xlfn.MAXIFS(BD!$A$3:$A$5001,BD!$B$3:$B$5001,O$149,BD!$A$3:$A$5001,"&gt;="&amp;$C$7,BD!$A$3:$A$5001,"&lt;="&amp;$B174,BD!$M$3:$M$5001,"&lt;&gt;"))))</f>
        <v/>
      </c>
      <c r="P174" s="43" t="str">
        <f>IF(OR($B174="",$A174&gt;$B$9,P$149=""),"",IF(COUNTIFS(BD!$B$3:$B$5001,P$149,BD!$A$3:$A$5001,"&gt;="&amp;$C$7,BD!$A$3:$A$5001,"&lt;="&amp;$B174,BD!$M$3:$M$5001,"&lt;&gt;")=0,"",SUMIFS(BD!$M$3:$M$5001,BD!$B$3:$B$5001,P$149,BD!$A$3:$A$5001,_xlfn.MAXIFS(BD!$A$3:$A$5001,BD!$B$3:$B$5001,P$149,BD!$A$3:$A$5001,"&gt;="&amp;$C$7,BD!$A$3:$A$5001,"&lt;="&amp;$B174,BD!$M$3:$M$5001,"&lt;&gt;"))))</f>
        <v/>
      </c>
      <c r="Q174" s="43" t="str">
        <f>IF(OR($B174="",$A174&gt;$B$9,Q$149=""),"",IF(COUNTIFS(BD!$B$3:$B$5001,Q$149,BD!$A$3:$A$5001,"&gt;="&amp;$C$7,BD!$A$3:$A$5001,"&lt;="&amp;$B174,BD!$M$3:$M$5001,"&lt;&gt;")=0,"",SUMIFS(BD!$M$3:$M$5001,BD!$B$3:$B$5001,Q$149,BD!$A$3:$A$5001,_xlfn.MAXIFS(BD!$A$3:$A$5001,BD!$B$3:$B$5001,Q$149,BD!$A$3:$A$5001,"&gt;="&amp;$C$7,BD!$A$3:$A$5001,"&lt;="&amp;$B174,BD!$M$3:$M$5001,"&lt;&gt;"))))</f>
        <v/>
      </c>
      <c r="R174" s="43" t="str">
        <f>IF(OR($B174="",$A174&gt;$B$9,R$149=""),"",IF(COUNTIFS(BD!$B$3:$B$5001,R$149,BD!$A$3:$A$5001,"&gt;="&amp;$C$7,BD!$A$3:$A$5001,"&lt;="&amp;$B174,BD!$M$3:$M$5001,"&lt;&gt;")=0,"",SUMIFS(BD!$M$3:$M$5001,BD!$B$3:$B$5001,R$149,BD!$A$3:$A$5001,_xlfn.MAXIFS(BD!$A$3:$A$5001,BD!$B$3:$B$5001,R$149,BD!$A$3:$A$5001,"&gt;="&amp;$C$7,BD!$A$3:$A$5001,"&lt;="&amp;$B174,BD!$M$3:$M$5001,"&lt;&gt;"))))</f>
        <v/>
      </c>
      <c r="S174" s="43" t="str">
        <f>IF(OR($B174="",$A174&gt;$B$9,S$149=""),"",IF(COUNTIFS(BD!$B$3:$B$5001,S$149,BD!$A$3:$A$5001,"&gt;="&amp;$C$7,BD!$A$3:$A$5001,"&lt;="&amp;$B174,BD!$M$3:$M$5001,"&lt;&gt;")=0,"",SUMIFS(BD!$M$3:$M$5001,BD!$B$3:$B$5001,S$149,BD!$A$3:$A$5001,_xlfn.MAXIFS(BD!$A$3:$A$5001,BD!$B$3:$B$5001,S$149,BD!$A$3:$A$5001,"&gt;="&amp;$C$7,BD!$A$3:$A$5001,"&lt;="&amp;$B174,BD!$M$3:$M$5001,"&lt;&gt;"))))</f>
        <v/>
      </c>
      <c r="T174" s="43" t="str">
        <f>IF(OR($B174="",$A174&gt;$B$9,T$149=""),"",IF(COUNTIFS(BD!$B$3:$B$5001,T$149,BD!$A$3:$A$5001,"&gt;="&amp;$C$7,BD!$A$3:$A$5001,"&lt;="&amp;$B174,BD!$M$3:$M$5001,"&lt;&gt;")=0,"",SUMIFS(BD!$M$3:$M$5001,BD!$B$3:$B$5001,T$149,BD!$A$3:$A$5001,_xlfn.MAXIFS(BD!$A$3:$A$5001,BD!$B$3:$B$5001,T$149,BD!$A$3:$A$5001,"&gt;="&amp;$C$7,BD!$A$3:$A$5001,"&lt;="&amp;$B174,BD!$M$3:$M$5001,"&lt;&gt;"))))</f>
        <v/>
      </c>
      <c r="U174" s="43" t="str">
        <f>IF(OR($B174="",$A174&gt;$B$9,U$149=""),"",IF(COUNTIFS(BD!$B$3:$B$5001,U$149,BD!$A$3:$A$5001,"&gt;="&amp;$C$7,BD!$A$3:$A$5001,"&lt;="&amp;$B174,BD!$M$3:$M$5001,"&lt;&gt;")=0,"",SUMIFS(BD!$M$3:$M$5001,BD!$B$3:$B$5001,U$149,BD!$A$3:$A$5001,_xlfn.MAXIFS(BD!$A$3:$A$5001,BD!$B$3:$B$5001,U$149,BD!$A$3:$A$5001,"&gt;="&amp;$C$7,BD!$A$3:$A$5001,"&lt;="&amp;$B174,BD!$M$3:$M$5001,"&lt;&gt;"))))</f>
        <v/>
      </c>
      <c r="V174" s="43" t="str">
        <f>IF(OR($B174="",$A174&gt;$B$9,V$149=""),"",IF(COUNTIFS(BD!$B$3:$B$5001,V$149,BD!$A$3:$A$5001,"&gt;="&amp;$C$7,BD!$A$3:$A$5001,"&lt;="&amp;$B174,BD!$M$3:$M$5001,"&lt;&gt;")=0,"",SUMIFS(BD!$M$3:$M$5001,BD!$B$3:$B$5001,V$149,BD!$A$3:$A$5001,_xlfn.MAXIFS(BD!$A$3:$A$5001,BD!$B$3:$B$5001,V$149,BD!$A$3:$A$5001,"&gt;="&amp;$C$7,BD!$A$3:$A$5001,"&lt;="&amp;$B174,BD!$M$3:$M$5001,"&lt;&gt;"))))</f>
        <v/>
      </c>
    </row>
    <row r="175">
      <c r="A175" s="38">
        <v>26</v>
      </c>
      <c r="B175" s="42">
        <f>$B$37</f>
        <v>46321</v>
      </c>
      <c r="C175" s="43" t="str">
        <f>IF(OR($B175="",$A175&gt;$B$9,C$149=""),"",IF(COUNTIFS(BD!$B$3:$B$5001,C$149,BD!$A$3:$A$5001,"&gt;="&amp;$C$7,BD!$A$3:$A$5001,"&lt;="&amp;$B175,BD!$M$3:$M$5001,"&lt;&gt;")=0,"",SUMIFS(BD!$M$3:$M$5001,BD!$B$3:$B$5001,C$149,BD!$A$3:$A$5001,_xlfn.MAXIFS(BD!$A$3:$A$5001,BD!$B$3:$B$5001,C$149,BD!$A$3:$A$5001,"&gt;="&amp;$C$7,BD!$A$3:$A$5001,"&lt;="&amp;$B175,BD!$M$3:$M$5001,"&lt;&gt;"))))</f>
        <v/>
      </c>
      <c r="D175" s="43" t="str">
        <f>IF(OR($B175="",$A175&gt;$B$9,D$149=""),"",IF(COUNTIFS(BD!$B$3:$B$5001,D$149,BD!$A$3:$A$5001,"&gt;="&amp;$C$7,BD!$A$3:$A$5001,"&lt;="&amp;$B175,BD!$M$3:$M$5001,"&lt;&gt;")=0,"",SUMIFS(BD!$M$3:$M$5001,BD!$B$3:$B$5001,D$149,BD!$A$3:$A$5001,_xlfn.MAXIFS(BD!$A$3:$A$5001,BD!$B$3:$B$5001,D$149,BD!$A$3:$A$5001,"&gt;="&amp;$C$7,BD!$A$3:$A$5001,"&lt;="&amp;$B175,BD!$M$3:$M$5001,"&lt;&gt;"))))</f>
        <v/>
      </c>
      <c r="E175" s="43" t="str">
        <f>IF(OR($B175="",$A175&gt;$B$9,E$149=""),"",IF(COUNTIFS(BD!$B$3:$B$5001,E$149,BD!$A$3:$A$5001,"&gt;="&amp;$C$7,BD!$A$3:$A$5001,"&lt;="&amp;$B175,BD!$M$3:$M$5001,"&lt;&gt;")=0,"",SUMIFS(BD!$M$3:$M$5001,BD!$B$3:$B$5001,E$149,BD!$A$3:$A$5001,_xlfn.MAXIFS(BD!$A$3:$A$5001,BD!$B$3:$B$5001,E$149,BD!$A$3:$A$5001,"&gt;="&amp;$C$7,BD!$A$3:$A$5001,"&lt;="&amp;$B175,BD!$M$3:$M$5001,"&lt;&gt;"))))</f>
        <v/>
      </c>
      <c r="F175" s="43" t="str">
        <f>IF(OR($B175="",$A175&gt;$B$9,F$149=""),"",IF(COUNTIFS(BD!$B$3:$B$5001,F$149,BD!$A$3:$A$5001,"&gt;="&amp;$C$7,BD!$A$3:$A$5001,"&lt;="&amp;$B175,BD!$M$3:$M$5001,"&lt;&gt;")=0,"",SUMIFS(BD!$M$3:$M$5001,BD!$B$3:$B$5001,F$149,BD!$A$3:$A$5001,_xlfn.MAXIFS(BD!$A$3:$A$5001,BD!$B$3:$B$5001,F$149,BD!$A$3:$A$5001,"&gt;="&amp;$C$7,BD!$A$3:$A$5001,"&lt;="&amp;$B175,BD!$M$3:$M$5001,"&lt;&gt;"))))</f>
        <v/>
      </c>
      <c r="G175" s="43" t="str">
        <f>IF(OR($B175="",$A175&gt;$B$9,G$149=""),"",IF(COUNTIFS(BD!$B$3:$B$5001,G$149,BD!$A$3:$A$5001,"&gt;="&amp;$C$7,BD!$A$3:$A$5001,"&lt;="&amp;$B175,BD!$M$3:$M$5001,"&lt;&gt;")=0,"",SUMIFS(BD!$M$3:$M$5001,BD!$B$3:$B$5001,G$149,BD!$A$3:$A$5001,_xlfn.MAXIFS(BD!$A$3:$A$5001,BD!$B$3:$B$5001,G$149,BD!$A$3:$A$5001,"&gt;="&amp;$C$7,BD!$A$3:$A$5001,"&lt;="&amp;$B175,BD!$M$3:$M$5001,"&lt;&gt;"))))</f>
        <v/>
      </c>
      <c r="H175" s="43" t="str">
        <f>IF(OR($B175="",$A175&gt;$B$9,H$149=""),"",IF(COUNTIFS(BD!$B$3:$B$5001,H$149,BD!$A$3:$A$5001,"&gt;="&amp;$C$7,BD!$A$3:$A$5001,"&lt;="&amp;$B175,BD!$M$3:$M$5001,"&lt;&gt;")=0,"",SUMIFS(BD!$M$3:$M$5001,BD!$B$3:$B$5001,H$149,BD!$A$3:$A$5001,_xlfn.MAXIFS(BD!$A$3:$A$5001,BD!$B$3:$B$5001,H$149,BD!$A$3:$A$5001,"&gt;="&amp;$C$7,BD!$A$3:$A$5001,"&lt;="&amp;$B175,BD!$M$3:$M$5001,"&lt;&gt;"))))</f>
        <v/>
      </c>
      <c r="I175" s="43" t="str">
        <f>IF(OR($B175="",$A175&gt;$B$9,I$149=""),"",IF(COUNTIFS(BD!$B$3:$B$5001,I$149,BD!$A$3:$A$5001,"&gt;="&amp;$C$7,BD!$A$3:$A$5001,"&lt;="&amp;$B175,BD!$M$3:$M$5001,"&lt;&gt;")=0,"",SUMIFS(BD!$M$3:$M$5001,BD!$B$3:$B$5001,I$149,BD!$A$3:$A$5001,_xlfn.MAXIFS(BD!$A$3:$A$5001,BD!$B$3:$B$5001,I$149,BD!$A$3:$A$5001,"&gt;="&amp;$C$7,BD!$A$3:$A$5001,"&lt;="&amp;$B175,BD!$M$3:$M$5001,"&lt;&gt;"))))</f>
        <v/>
      </c>
      <c r="J175" s="43" t="str">
        <f>IF(OR($B175="",$A175&gt;$B$9,J$149=""),"",IF(COUNTIFS(BD!$B$3:$B$5001,J$149,BD!$A$3:$A$5001,"&gt;="&amp;$C$7,BD!$A$3:$A$5001,"&lt;="&amp;$B175,BD!$M$3:$M$5001,"&lt;&gt;")=0,"",SUMIFS(BD!$M$3:$M$5001,BD!$B$3:$B$5001,J$149,BD!$A$3:$A$5001,_xlfn.MAXIFS(BD!$A$3:$A$5001,BD!$B$3:$B$5001,J$149,BD!$A$3:$A$5001,"&gt;="&amp;$C$7,BD!$A$3:$A$5001,"&lt;="&amp;$B175,BD!$M$3:$M$5001,"&lt;&gt;"))))</f>
        <v/>
      </c>
      <c r="K175" s="43" t="str">
        <f>IF(OR($B175="",$A175&gt;$B$9,K$149=""),"",IF(COUNTIFS(BD!$B$3:$B$5001,K$149,BD!$A$3:$A$5001,"&gt;="&amp;$C$7,BD!$A$3:$A$5001,"&lt;="&amp;$B175,BD!$M$3:$M$5001,"&lt;&gt;")=0,"",SUMIFS(BD!$M$3:$M$5001,BD!$B$3:$B$5001,K$149,BD!$A$3:$A$5001,_xlfn.MAXIFS(BD!$A$3:$A$5001,BD!$B$3:$B$5001,K$149,BD!$A$3:$A$5001,"&gt;="&amp;$C$7,BD!$A$3:$A$5001,"&lt;="&amp;$B175,BD!$M$3:$M$5001,"&lt;&gt;"))))</f>
        <v/>
      </c>
      <c r="L175" s="43" t="str">
        <f>IF(OR($B175="",$A175&gt;$B$9,L$149=""),"",IF(COUNTIFS(BD!$B$3:$B$5001,L$149,BD!$A$3:$A$5001,"&gt;="&amp;$C$7,BD!$A$3:$A$5001,"&lt;="&amp;$B175,BD!$M$3:$M$5001,"&lt;&gt;")=0,"",SUMIFS(BD!$M$3:$M$5001,BD!$B$3:$B$5001,L$149,BD!$A$3:$A$5001,_xlfn.MAXIFS(BD!$A$3:$A$5001,BD!$B$3:$B$5001,L$149,BD!$A$3:$A$5001,"&gt;="&amp;$C$7,BD!$A$3:$A$5001,"&lt;="&amp;$B175,BD!$M$3:$M$5001,"&lt;&gt;"))))</f>
        <v/>
      </c>
      <c r="M175" s="43" t="str">
        <f>IF(OR($B175="",$A175&gt;$B$9,M$149=""),"",IF(COUNTIFS(BD!$B$3:$B$5001,M$149,BD!$A$3:$A$5001,"&gt;="&amp;$C$7,BD!$A$3:$A$5001,"&lt;="&amp;$B175,BD!$M$3:$M$5001,"&lt;&gt;")=0,"",SUMIFS(BD!$M$3:$M$5001,BD!$B$3:$B$5001,M$149,BD!$A$3:$A$5001,_xlfn.MAXIFS(BD!$A$3:$A$5001,BD!$B$3:$B$5001,M$149,BD!$A$3:$A$5001,"&gt;="&amp;$C$7,BD!$A$3:$A$5001,"&lt;="&amp;$B175,BD!$M$3:$M$5001,"&lt;&gt;"))))</f>
        <v/>
      </c>
      <c r="N175" s="43" t="str">
        <f>IF(OR($B175="",$A175&gt;$B$9,N$149=""),"",IF(COUNTIFS(BD!$B$3:$B$5001,N$149,BD!$A$3:$A$5001,"&gt;="&amp;$C$7,BD!$A$3:$A$5001,"&lt;="&amp;$B175,BD!$M$3:$M$5001,"&lt;&gt;")=0,"",SUMIFS(BD!$M$3:$M$5001,BD!$B$3:$B$5001,N$149,BD!$A$3:$A$5001,_xlfn.MAXIFS(BD!$A$3:$A$5001,BD!$B$3:$B$5001,N$149,BD!$A$3:$A$5001,"&gt;="&amp;$C$7,BD!$A$3:$A$5001,"&lt;="&amp;$B175,BD!$M$3:$M$5001,"&lt;&gt;"))))</f>
        <v/>
      </c>
      <c r="O175" s="43" t="str">
        <f>IF(OR($B175="",$A175&gt;$B$9,O$149=""),"",IF(COUNTIFS(BD!$B$3:$B$5001,O$149,BD!$A$3:$A$5001,"&gt;="&amp;$C$7,BD!$A$3:$A$5001,"&lt;="&amp;$B175,BD!$M$3:$M$5001,"&lt;&gt;")=0,"",SUMIFS(BD!$M$3:$M$5001,BD!$B$3:$B$5001,O$149,BD!$A$3:$A$5001,_xlfn.MAXIFS(BD!$A$3:$A$5001,BD!$B$3:$B$5001,O$149,BD!$A$3:$A$5001,"&gt;="&amp;$C$7,BD!$A$3:$A$5001,"&lt;="&amp;$B175,BD!$M$3:$M$5001,"&lt;&gt;"))))</f>
        <v/>
      </c>
      <c r="P175" s="43" t="str">
        <f>IF(OR($B175="",$A175&gt;$B$9,P$149=""),"",IF(COUNTIFS(BD!$B$3:$B$5001,P$149,BD!$A$3:$A$5001,"&gt;="&amp;$C$7,BD!$A$3:$A$5001,"&lt;="&amp;$B175,BD!$M$3:$M$5001,"&lt;&gt;")=0,"",SUMIFS(BD!$M$3:$M$5001,BD!$B$3:$B$5001,P$149,BD!$A$3:$A$5001,_xlfn.MAXIFS(BD!$A$3:$A$5001,BD!$B$3:$B$5001,P$149,BD!$A$3:$A$5001,"&gt;="&amp;$C$7,BD!$A$3:$A$5001,"&lt;="&amp;$B175,BD!$M$3:$M$5001,"&lt;&gt;"))))</f>
        <v/>
      </c>
      <c r="Q175" s="43" t="str">
        <f>IF(OR($B175="",$A175&gt;$B$9,Q$149=""),"",IF(COUNTIFS(BD!$B$3:$B$5001,Q$149,BD!$A$3:$A$5001,"&gt;="&amp;$C$7,BD!$A$3:$A$5001,"&lt;="&amp;$B175,BD!$M$3:$M$5001,"&lt;&gt;")=0,"",SUMIFS(BD!$M$3:$M$5001,BD!$B$3:$B$5001,Q$149,BD!$A$3:$A$5001,_xlfn.MAXIFS(BD!$A$3:$A$5001,BD!$B$3:$B$5001,Q$149,BD!$A$3:$A$5001,"&gt;="&amp;$C$7,BD!$A$3:$A$5001,"&lt;="&amp;$B175,BD!$M$3:$M$5001,"&lt;&gt;"))))</f>
        <v/>
      </c>
      <c r="R175" s="43" t="str">
        <f>IF(OR($B175="",$A175&gt;$B$9,R$149=""),"",IF(COUNTIFS(BD!$B$3:$B$5001,R$149,BD!$A$3:$A$5001,"&gt;="&amp;$C$7,BD!$A$3:$A$5001,"&lt;="&amp;$B175,BD!$M$3:$M$5001,"&lt;&gt;")=0,"",SUMIFS(BD!$M$3:$M$5001,BD!$B$3:$B$5001,R$149,BD!$A$3:$A$5001,_xlfn.MAXIFS(BD!$A$3:$A$5001,BD!$B$3:$B$5001,R$149,BD!$A$3:$A$5001,"&gt;="&amp;$C$7,BD!$A$3:$A$5001,"&lt;="&amp;$B175,BD!$M$3:$M$5001,"&lt;&gt;"))))</f>
        <v/>
      </c>
      <c r="S175" s="43" t="str">
        <f>IF(OR($B175="",$A175&gt;$B$9,S$149=""),"",IF(COUNTIFS(BD!$B$3:$B$5001,S$149,BD!$A$3:$A$5001,"&gt;="&amp;$C$7,BD!$A$3:$A$5001,"&lt;="&amp;$B175,BD!$M$3:$M$5001,"&lt;&gt;")=0,"",SUMIFS(BD!$M$3:$M$5001,BD!$B$3:$B$5001,S$149,BD!$A$3:$A$5001,_xlfn.MAXIFS(BD!$A$3:$A$5001,BD!$B$3:$B$5001,S$149,BD!$A$3:$A$5001,"&gt;="&amp;$C$7,BD!$A$3:$A$5001,"&lt;="&amp;$B175,BD!$M$3:$M$5001,"&lt;&gt;"))))</f>
        <v/>
      </c>
      <c r="T175" s="43" t="str">
        <f>IF(OR($B175="",$A175&gt;$B$9,T$149=""),"",IF(COUNTIFS(BD!$B$3:$B$5001,T$149,BD!$A$3:$A$5001,"&gt;="&amp;$C$7,BD!$A$3:$A$5001,"&lt;="&amp;$B175,BD!$M$3:$M$5001,"&lt;&gt;")=0,"",SUMIFS(BD!$M$3:$M$5001,BD!$B$3:$B$5001,T$149,BD!$A$3:$A$5001,_xlfn.MAXIFS(BD!$A$3:$A$5001,BD!$B$3:$B$5001,T$149,BD!$A$3:$A$5001,"&gt;="&amp;$C$7,BD!$A$3:$A$5001,"&lt;="&amp;$B175,BD!$M$3:$M$5001,"&lt;&gt;"))))</f>
        <v/>
      </c>
      <c r="U175" s="43" t="str">
        <f>IF(OR($B175="",$A175&gt;$B$9,U$149=""),"",IF(COUNTIFS(BD!$B$3:$B$5001,U$149,BD!$A$3:$A$5001,"&gt;="&amp;$C$7,BD!$A$3:$A$5001,"&lt;="&amp;$B175,BD!$M$3:$M$5001,"&lt;&gt;")=0,"",SUMIFS(BD!$M$3:$M$5001,BD!$B$3:$B$5001,U$149,BD!$A$3:$A$5001,_xlfn.MAXIFS(BD!$A$3:$A$5001,BD!$B$3:$B$5001,U$149,BD!$A$3:$A$5001,"&gt;="&amp;$C$7,BD!$A$3:$A$5001,"&lt;="&amp;$B175,BD!$M$3:$M$5001,"&lt;&gt;"))))</f>
        <v/>
      </c>
      <c r="V175" s="43" t="str">
        <f>IF(OR($B175="",$A175&gt;$B$9,V$149=""),"",IF(COUNTIFS(BD!$B$3:$B$5001,V$149,BD!$A$3:$A$5001,"&gt;="&amp;$C$7,BD!$A$3:$A$5001,"&lt;="&amp;$B175,BD!$M$3:$M$5001,"&lt;&gt;")=0,"",SUMIFS(BD!$M$3:$M$5001,BD!$B$3:$B$5001,V$149,BD!$A$3:$A$5001,_xlfn.MAXIFS(BD!$A$3:$A$5001,BD!$B$3:$B$5001,V$149,BD!$A$3:$A$5001,"&gt;="&amp;$C$7,BD!$A$3:$A$5001,"&lt;="&amp;$B175,BD!$M$3:$M$5001,"&lt;&gt;"))))</f>
        <v/>
      </c>
    </row>
    <row r="176">
      <c r="A176" s="38">
        <v>27</v>
      </c>
      <c r="B176" s="42">
        <f>$B$38</f>
        <v>46322</v>
      </c>
      <c r="C176" s="43" t="str">
        <f>IF(OR($B176="",$A176&gt;$B$9,C$149=""),"",IF(COUNTIFS(BD!$B$3:$B$5001,C$149,BD!$A$3:$A$5001,"&gt;="&amp;$C$7,BD!$A$3:$A$5001,"&lt;="&amp;$B176,BD!$M$3:$M$5001,"&lt;&gt;")=0,"",SUMIFS(BD!$M$3:$M$5001,BD!$B$3:$B$5001,C$149,BD!$A$3:$A$5001,_xlfn.MAXIFS(BD!$A$3:$A$5001,BD!$B$3:$B$5001,C$149,BD!$A$3:$A$5001,"&gt;="&amp;$C$7,BD!$A$3:$A$5001,"&lt;="&amp;$B176,BD!$M$3:$M$5001,"&lt;&gt;"))))</f>
        <v/>
      </c>
      <c r="D176" s="43" t="str">
        <f>IF(OR($B176="",$A176&gt;$B$9,D$149=""),"",IF(COUNTIFS(BD!$B$3:$B$5001,D$149,BD!$A$3:$A$5001,"&gt;="&amp;$C$7,BD!$A$3:$A$5001,"&lt;="&amp;$B176,BD!$M$3:$M$5001,"&lt;&gt;")=0,"",SUMIFS(BD!$M$3:$M$5001,BD!$B$3:$B$5001,D$149,BD!$A$3:$A$5001,_xlfn.MAXIFS(BD!$A$3:$A$5001,BD!$B$3:$B$5001,D$149,BD!$A$3:$A$5001,"&gt;="&amp;$C$7,BD!$A$3:$A$5001,"&lt;="&amp;$B176,BD!$M$3:$M$5001,"&lt;&gt;"))))</f>
        <v/>
      </c>
      <c r="E176" s="43" t="str">
        <f>IF(OR($B176="",$A176&gt;$B$9,E$149=""),"",IF(COUNTIFS(BD!$B$3:$B$5001,E$149,BD!$A$3:$A$5001,"&gt;="&amp;$C$7,BD!$A$3:$A$5001,"&lt;="&amp;$B176,BD!$M$3:$M$5001,"&lt;&gt;")=0,"",SUMIFS(BD!$M$3:$M$5001,BD!$B$3:$B$5001,E$149,BD!$A$3:$A$5001,_xlfn.MAXIFS(BD!$A$3:$A$5001,BD!$B$3:$B$5001,E$149,BD!$A$3:$A$5001,"&gt;="&amp;$C$7,BD!$A$3:$A$5001,"&lt;="&amp;$B176,BD!$M$3:$M$5001,"&lt;&gt;"))))</f>
        <v/>
      </c>
      <c r="F176" s="43" t="str">
        <f>IF(OR($B176="",$A176&gt;$B$9,F$149=""),"",IF(COUNTIFS(BD!$B$3:$B$5001,F$149,BD!$A$3:$A$5001,"&gt;="&amp;$C$7,BD!$A$3:$A$5001,"&lt;="&amp;$B176,BD!$M$3:$M$5001,"&lt;&gt;")=0,"",SUMIFS(BD!$M$3:$M$5001,BD!$B$3:$B$5001,F$149,BD!$A$3:$A$5001,_xlfn.MAXIFS(BD!$A$3:$A$5001,BD!$B$3:$B$5001,F$149,BD!$A$3:$A$5001,"&gt;="&amp;$C$7,BD!$A$3:$A$5001,"&lt;="&amp;$B176,BD!$M$3:$M$5001,"&lt;&gt;"))))</f>
        <v/>
      </c>
      <c r="G176" s="43" t="str">
        <f>IF(OR($B176="",$A176&gt;$B$9,G$149=""),"",IF(COUNTIFS(BD!$B$3:$B$5001,G$149,BD!$A$3:$A$5001,"&gt;="&amp;$C$7,BD!$A$3:$A$5001,"&lt;="&amp;$B176,BD!$M$3:$M$5001,"&lt;&gt;")=0,"",SUMIFS(BD!$M$3:$M$5001,BD!$B$3:$B$5001,G$149,BD!$A$3:$A$5001,_xlfn.MAXIFS(BD!$A$3:$A$5001,BD!$B$3:$B$5001,G$149,BD!$A$3:$A$5001,"&gt;="&amp;$C$7,BD!$A$3:$A$5001,"&lt;="&amp;$B176,BD!$M$3:$M$5001,"&lt;&gt;"))))</f>
        <v/>
      </c>
      <c r="H176" s="43" t="str">
        <f>IF(OR($B176="",$A176&gt;$B$9,H$149=""),"",IF(COUNTIFS(BD!$B$3:$B$5001,H$149,BD!$A$3:$A$5001,"&gt;="&amp;$C$7,BD!$A$3:$A$5001,"&lt;="&amp;$B176,BD!$M$3:$M$5001,"&lt;&gt;")=0,"",SUMIFS(BD!$M$3:$M$5001,BD!$B$3:$B$5001,H$149,BD!$A$3:$A$5001,_xlfn.MAXIFS(BD!$A$3:$A$5001,BD!$B$3:$B$5001,H$149,BD!$A$3:$A$5001,"&gt;="&amp;$C$7,BD!$A$3:$A$5001,"&lt;="&amp;$B176,BD!$M$3:$M$5001,"&lt;&gt;"))))</f>
        <v/>
      </c>
      <c r="I176" s="43" t="str">
        <f>IF(OR($B176="",$A176&gt;$B$9,I$149=""),"",IF(COUNTIFS(BD!$B$3:$B$5001,I$149,BD!$A$3:$A$5001,"&gt;="&amp;$C$7,BD!$A$3:$A$5001,"&lt;="&amp;$B176,BD!$M$3:$M$5001,"&lt;&gt;")=0,"",SUMIFS(BD!$M$3:$M$5001,BD!$B$3:$B$5001,I$149,BD!$A$3:$A$5001,_xlfn.MAXIFS(BD!$A$3:$A$5001,BD!$B$3:$B$5001,I$149,BD!$A$3:$A$5001,"&gt;="&amp;$C$7,BD!$A$3:$A$5001,"&lt;="&amp;$B176,BD!$M$3:$M$5001,"&lt;&gt;"))))</f>
        <v/>
      </c>
      <c r="J176" s="43" t="str">
        <f>IF(OR($B176="",$A176&gt;$B$9,J$149=""),"",IF(COUNTIFS(BD!$B$3:$B$5001,J$149,BD!$A$3:$A$5001,"&gt;="&amp;$C$7,BD!$A$3:$A$5001,"&lt;="&amp;$B176,BD!$M$3:$M$5001,"&lt;&gt;")=0,"",SUMIFS(BD!$M$3:$M$5001,BD!$B$3:$B$5001,J$149,BD!$A$3:$A$5001,_xlfn.MAXIFS(BD!$A$3:$A$5001,BD!$B$3:$B$5001,J$149,BD!$A$3:$A$5001,"&gt;="&amp;$C$7,BD!$A$3:$A$5001,"&lt;="&amp;$B176,BD!$M$3:$M$5001,"&lt;&gt;"))))</f>
        <v/>
      </c>
      <c r="K176" s="43" t="str">
        <f>IF(OR($B176="",$A176&gt;$B$9,K$149=""),"",IF(COUNTIFS(BD!$B$3:$B$5001,K$149,BD!$A$3:$A$5001,"&gt;="&amp;$C$7,BD!$A$3:$A$5001,"&lt;="&amp;$B176,BD!$M$3:$M$5001,"&lt;&gt;")=0,"",SUMIFS(BD!$M$3:$M$5001,BD!$B$3:$B$5001,K$149,BD!$A$3:$A$5001,_xlfn.MAXIFS(BD!$A$3:$A$5001,BD!$B$3:$B$5001,K$149,BD!$A$3:$A$5001,"&gt;="&amp;$C$7,BD!$A$3:$A$5001,"&lt;="&amp;$B176,BD!$M$3:$M$5001,"&lt;&gt;"))))</f>
        <v/>
      </c>
      <c r="L176" s="43" t="str">
        <f>IF(OR($B176="",$A176&gt;$B$9,L$149=""),"",IF(COUNTIFS(BD!$B$3:$B$5001,L$149,BD!$A$3:$A$5001,"&gt;="&amp;$C$7,BD!$A$3:$A$5001,"&lt;="&amp;$B176,BD!$M$3:$M$5001,"&lt;&gt;")=0,"",SUMIFS(BD!$M$3:$M$5001,BD!$B$3:$B$5001,L$149,BD!$A$3:$A$5001,_xlfn.MAXIFS(BD!$A$3:$A$5001,BD!$B$3:$B$5001,L$149,BD!$A$3:$A$5001,"&gt;="&amp;$C$7,BD!$A$3:$A$5001,"&lt;="&amp;$B176,BD!$M$3:$M$5001,"&lt;&gt;"))))</f>
        <v/>
      </c>
      <c r="M176" s="43" t="str">
        <f>IF(OR($B176="",$A176&gt;$B$9,M$149=""),"",IF(COUNTIFS(BD!$B$3:$B$5001,M$149,BD!$A$3:$A$5001,"&gt;="&amp;$C$7,BD!$A$3:$A$5001,"&lt;="&amp;$B176,BD!$M$3:$M$5001,"&lt;&gt;")=0,"",SUMIFS(BD!$M$3:$M$5001,BD!$B$3:$B$5001,M$149,BD!$A$3:$A$5001,_xlfn.MAXIFS(BD!$A$3:$A$5001,BD!$B$3:$B$5001,M$149,BD!$A$3:$A$5001,"&gt;="&amp;$C$7,BD!$A$3:$A$5001,"&lt;="&amp;$B176,BD!$M$3:$M$5001,"&lt;&gt;"))))</f>
        <v/>
      </c>
      <c r="N176" s="43" t="str">
        <f>IF(OR($B176="",$A176&gt;$B$9,N$149=""),"",IF(COUNTIFS(BD!$B$3:$B$5001,N$149,BD!$A$3:$A$5001,"&gt;="&amp;$C$7,BD!$A$3:$A$5001,"&lt;="&amp;$B176,BD!$M$3:$M$5001,"&lt;&gt;")=0,"",SUMIFS(BD!$M$3:$M$5001,BD!$B$3:$B$5001,N$149,BD!$A$3:$A$5001,_xlfn.MAXIFS(BD!$A$3:$A$5001,BD!$B$3:$B$5001,N$149,BD!$A$3:$A$5001,"&gt;="&amp;$C$7,BD!$A$3:$A$5001,"&lt;="&amp;$B176,BD!$M$3:$M$5001,"&lt;&gt;"))))</f>
        <v/>
      </c>
      <c r="O176" s="43" t="str">
        <f>IF(OR($B176="",$A176&gt;$B$9,O$149=""),"",IF(COUNTIFS(BD!$B$3:$B$5001,O$149,BD!$A$3:$A$5001,"&gt;="&amp;$C$7,BD!$A$3:$A$5001,"&lt;="&amp;$B176,BD!$M$3:$M$5001,"&lt;&gt;")=0,"",SUMIFS(BD!$M$3:$M$5001,BD!$B$3:$B$5001,O$149,BD!$A$3:$A$5001,_xlfn.MAXIFS(BD!$A$3:$A$5001,BD!$B$3:$B$5001,O$149,BD!$A$3:$A$5001,"&gt;="&amp;$C$7,BD!$A$3:$A$5001,"&lt;="&amp;$B176,BD!$M$3:$M$5001,"&lt;&gt;"))))</f>
        <v/>
      </c>
      <c r="P176" s="43" t="str">
        <f>IF(OR($B176="",$A176&gt;$B$9,P$149=""),"",IF(COUNTIFS(BD!$B$3:$B$5001,P$149,BD!$A$3:$A$5001,"&gt;="&amp;$C$7,BD!$A$3:$A$5001,"&lt;="&amp;$B176,BD!$M$3:$M$5001,"&lt;&gt;")=0,"",SUMIFS(BD!$M$3:$M$5001,BD!$B$3:$B$5001,P$149,BD!$A$3:$A$5001,_xlfn.MAXIFS(BD!$A$3:$A$5001,BD!$B$3:$B$5001,P$149,BD!$A$3:$A$5001,"&gt;="&amp;$C$7,BD!$A$3:$A$5001,"&lt;="&amp;$B176,BD!$M$3:$M$5001,"&lt;&gt;"))))</f>
        <v/>
      </c>
      <c r="Q176" s="43" t="str">
        <f>IF(OR($B176="",$A176&gt;$B$9,Q$149=""),"",IF(COUNTIFS(BD!$B$3:$B$5001,Q$149,BD!$A$3:$A$5001,"&gt;="&amp;$C$7,BD!$A$3:$A$5001,"&lt;="&amp;$B176,BD!$M$3:$M$5001,"&lt;&gt;")=0,"",SUMIFS(BD!$M$3:$M$5001,BD!$B$3:$B$5001,Q$149,BD!$A$3:$A$5001,_xlfn.MAXIFS(BD!$A$3:$A$5001,BD!$B$3:$B$5001,Q$149,BD!$A$3:$A$5001,"&gt;="&amp;$C$7,BD!$A$3:$A$5001,"&lt;="&amp;$B176,BD!$M$3:$M$5001,"&lt;&gt;"))))</f>
        <v/>
      </c>
      <c r="R176" s="43" t="str">
        <f>IF(OR($B176="",$A176&gt;$B$9,R$149=""),"",IF(COUNTIFS(BD!$B$3:$B$5001,R$149,BD!$A$3:$A$5001,"&gt;="&amp;$C$7,BD!$A$3:$A$5001,"&lt;="&amp;$B176,BD!$M$3:$M$5001,"&lt;&gt;")=0,"",SUMIFS(BD!$M$3:$M$5001,BD!$B$3:$B$5001,R$149,BD!$A$3:$A$5001,_xlfn.MAXIFS(BD!$A$3:$A$5001,BD!$B$3:$B$5001,R$149,BD!$A$3:$A$5001,"&gt;="&amp;$C$7,BD!$A$3:$A$5001,"&lt;="&amp;$B176,BD!$M$3:$M$5001,"&lt;&gt;"))))</f>
        <v/>
      </c>
      <c r="S176" s="43" t="str">
        <f>IF(OR($B176="",$A176&gt;$B$9,S$149=""),"",IF(COUNTIFS(BD!$B$3:$B$5001,S$149,BD!$A$3:$A$5001,"&gt;="&amp;$C$7,BD!$A$3:$A$5001,"&lt;="&amp;$B176,BD!$M$3:$M$5001,"&lt;&gt;")=0,"",SUMIFS(BD!$M$3:$M$5001,BD!$B$3:$B$5001,S$149,BD!$A$3:$A$5001,_xlfn.MAXIFS(BD!$A$3:$A$5001,BD!$B$3:$B$5001,S$149,BD!$A$3:$A$5001,"&gt;="&amp;$C$7,BD!$A$3:$A$5001,"&lt;="&amp;$B176,BD!$M$3:$M$5001,"&lt;&gt;"))))</f>
        <v/>
      </c>
      <c r="T176" s="43" t="str">
        <f>IF(OR($B176="",$A176&gt;$B$9,T$149=""),"",IF(COUNTIFS(BD!$B$3:$B$5001,T$149,BD!$A$3:$A$5001,"&gt;="&amp;$C$7,BD!$A$3:$A$5001,"&lt;="&amp;$B176,BD!$M$3:$M$5001,"&lt;&gt;")=0,"",SUMIFS(BD!$M$3:$M$5001,BD!$B$3:$B$5001,T$149,BD!$A$3:$A$5001,_xlfn.MAXIFS(BD!$A$3:$A$5001,BD!$B$3:$B$5001,T$149,BD!$A$3:$A$5001,"&gt;="&amp;$C$7,BD!$A$3:$A$5001,"&lt;="&amp;$B176,BD!$M$3:$M$5001,"&lt;&gt;"))))</f>
        <v/>
      </c>
      <c r="U176" s="43" t="str">
        <f>IF(OR($B176="",$A176&gt;$B$9,U$149=""),"",IF(COUNTIFS(BD!$B$3:$B$5001,U$149,BD!$A$3:$A$5001,"&gt;="&amp;$C$7,BD!$A$3:$A$5001,"&lt;="&amp;$B176,BD!$M$3:$M$5001,"&lt;&gt;")=0,"",SUMIFS(BD!$M$3:$M$5001,BD!$B$3:$B$5001,U$149,BD!$A$3:$A$5001,_xlfn.MAXIFS(BD!$A$3:$A$5001,BD!$B$3:$B$5001,U$149,BD!$A$3:$A$5001,"&gt;="&amp;$C$7,BD!$A$3:$A$5001,"&lt;="&amp;$B176,BD!$M$3:$M$5001,"&lt;&gt;"))))</f>
        <v/>
      </c>
      <c r="V176" s="43" t="str">
        <f>IF(OR($B176="",$A176&gt;$B$9,V$149=""),"",IF(COUNTIFS(BD!$B$3:$B$5001,V$149,BD!$A$3:$A$5001,"&gt;="&amp;$C$7,BD!$A$3:$A$5001,"&lt;="&amp;$B176,BD!$M$3:$M$5001,"&lt;&gt;")=0,"",SUMIFS(BD!$M$3:$M$5001,BD!$B$3:$B$5001,V$149,BD!$A$3:$A$5001,_xlfn.MAXIFS(BD!$A$3:$A$5001,BD!$B$3:$B$5001,V$149,BD!$A$3:$A$5001,"&gt;="&amp;$C$7,BD!$A$3:$A$5001,"&lt;="&amp;$B176,BD!$M$3:$M$5001,"&lt;&gt;"))))</f>
        <v/>
      </c>
    </row>
    <row r="177">
      <c r="A177" s="38">
        <v>28</v>
      </c>
      <c r="B177" s="42">
        <f>$B$39</f>
        <v>46323</v>
      </c>
      <c r="C177" s="43" t="str">
        <f>IF(OR($B177="",$A177&gt;$B$9,C$149=""),"",IF(COUNTIFS(BD!$B$3:$B$5001,C$149,BD!$A$3:$A$5001,"&gt;="&amp;$C$7,BD!$A$3:$A$5001,"&lt;="&amp;$B177,BD!$M$3:$M$5001,"&lt;&gt;")=0,"",SUMIFS(BD!$M$3:$M$5001,BD!$B$3:$B$5001,C$149,BD!$A$3:$A$5001,_xlfn.MAXIFS(BD!$A$3:$A$5001,BD!$B$3:$B$5001,C$149,BD!$A$3:$A$5001,"&gt;="&amp;$C$7,BD!$A$3:$A$5001,"&lt;="&amp;$B177,BD!$M$3:$M$5001,"&lt;&gt;"))))</f>
        <v/>
      </c>
      <c r="D177" s="43" t="str">
        <f>IF(OR($B177="",$A177&gt;$B$9,D$149=""),"",IF(COUNTIFS(BD!$B$3:$B$5001,D$149,BD!$A$3:$A$5001,"&gt;="&amp;$C$7,BD!$A$3:$A$5001,"&lt;="&amp;$B177,BD!$M$3:$M$5001,"&lt;&gt;")=0,"",SUMIFS(BD!$M$3:$M$5001,BD!$B$3:$B$5001,D$149,BD!$A$3:$A$5001,_xlfn.MAXIFS(BD!$A$3:$A$5001,BD!$B$3:$B$5001,D$149,BD!$A$3:$A$5001,"&gt;="&amp;$C$7,BD!$A$3:$A$5001,"&lt;="&amp;$B177,BD!$M$3:$M$5001,"&lt;&gt;"))))</f>
        <v/>
      </c>
      <c r="E177" s="43" t="str">
        <f>IF(OR($B177="",$A177&gt;$B$9,E$149=""),"",IF(COUNTIFS(BD!$B$3:$B$5001,E$149,BD!$A$3:$A$5001,"&gt;="&amp;$C$7,BD!$A$3:$A$5001,"&lt;="&amp;$B177,BD!$M$3:$M$5001,"&lt;&gt;")=0,"",SUMIFS(BD!$M$3:$M$5001,BD!$B$3:$B$5001,E$149,BD!$A$3:$A$5001,_xlfn.MAXIFS(BD!$A$3:$A$5001,BD!$B$3:$B$5001,E$149,BD!$A$3:$A$5001,"&gt;="&amp;$C$7,BD!$A$3:$A$5001,"&lt;="&amp;$B177,BD!$M$3:$M$5001,"&lt;&gt;"))))</f>
        <v/>
      </c>
      <c r="F177" s="43" t="str">
        <f>IF(OR($B177="",$A177&gt;$B$9,F$149=""),"",IF(COUNTIFS(BD!$B$3:$B$5001,F$149,BD!$A$3:$A$5001,"&gt;="&amp;$C$7,BD!$A$3:$A$5001,"&lt;="&amp;$B177,BD!$M$3:$M$5001,"&lt;&gt;")=0,"",SUMIFS(BD!$M$3:$M$5001,BD!$B$3:$B$5001,F$149,BD!$A$3:$A$5001,_xlfn.MAXIFS(BD!$A$3:$A$5001,BD!$B$3:$B$5001,F$149,BD!$A$3:$A$5001,"&gt;="&amp;$C$7,BD!$A$3:$A$5001,"&lt;="&amp;$B177,BD!$M$3:$M$5001,"&lt;&gt;"))))</f>
        <v/>
      </c>
      <c r="G177" s="43" t="str">
        <f>IF(OR($B177="",$A177&gt;$B$9,G$149=""),"",IF(COUNTIFS(BD!$B$3:$B$5001,G$149,BD!$A$3:$A$5001,"&gt;="&amp;$C$7,BD!$A$3:$A$5001,"&lt;="&amp;$B177,BD!$M$3:$M$5001,"&lt;&gt;")=0,"",SUMIFS(BD!$M$3:$M$5001,BD!$B$3:$B$5001,G$149,BD!$A$3:$A$5001,_xlfn.MAXIFS(BD!$A$3:$A$5001,BD!$B$3:$B$5001,G$149,BD!$A$3:$A$5001,"&gt;="&amp;$C$7,BD!$A$3:$A$5001,"&lt;="&amp;$B177,BD!$M$3:$M$5001,"&lt;&gt;"))))</f>
        <v/>
      </c>
      <c r="H177" s="43" t="str">
        <f>IF(OR($B177="",$A177&gt;$B$9,H$149=""),"",IF(COUNTIFS(BD!$B$3:$B$5001,H$149,BD!$A$3:$A$5001,"&gt;="&amp;$C$7,BD!$A$3:$A$5001,"&lt;="&amp;$B177,BD!$M$3:$M$5001,"&lt;&gt;")=0,"",SUMIFS(BD!$M$3:$M$5001,BD!$B$3:$B$5001,H$149,BD!$A$3:$A$5001,_xlfn.MAXIFS(BD!$A$3:$A$5001,BD!$B$3:$B$5001,H$149,BD!$A$3:$A$5001,"&gt;="&amp;$C$7,BD!$A$3:$A$5001,"&lt;="&amp;$B177,BD!$M$3:$M$5001,"&lt;&gt;"))))</f>
        <v/>
      </c>
      <c r="I177" s="43" t="str">
        <f>IF(OR($B177="",$A177&gt;$B$9,I$149=""),"",IF(COUNTIFS(BD!$B$3:$B$5001,I$149,BD!$A$3:$A$5001,"&gt;="&amp;$C$7,BD!$A$3:$A$5001,"&lt;="&amp;$B177,BD!$M$3:$M$5001,"&lt;&gt;")=0,"",SUMIFS(BD!$M$3:$M$5001,BD!$B$3:$B$5001,I$149,BD!$A$3:$A$5001,_xlfn.MAXIFS(BD!$A$3:$A$5001,BD!$B$3:$B$5001,I$149,BD!$A$3:$A$5001,"&gt;="&amp;$C$7,BD!$A$3:$A$5001,"&lt;="&amp;$B177,BD!$M$3:$M$5001,"&lt;&gt;"))))</f>
        <v/>
      </c>
      <c r="J177" s="43" t="str">
        <f>IF(OR($B177="",$A177&gt;$B$9,J$149=""),"",IF(COUNTIFS(BD!$B$3:$B$5001,J$149,BD!$A$3:$A$5001,"&gt;="&amp;$C$7,BD!$A$3:$A$5001,"&lt;="&amp;$B177,BD!$M$3:$M$5001,"&lt;&gt;")=0,"",SUMIFS(BD!$M$3:$M$5001,BD!$B$3:$B$5001,J$149,BD!$A$3:$A$5001,_xlfn.MAXIFS(BD!$A$3:$A$5001,BD!$B$3:$B$5001,J$149,BD!$A$3:$A$5001,"&gt;="&amp;$C$7,BD!$A$3:$A$5001,"&lt;="&amp;$B177,BD!$M$3:$M$5001,"&lt;&gt;"))))</f>
        <v/>
      </c>
      <c r="K177" s="43" t="str">
        <f>IF(OR($B177="",$A177&gt;$B$9,K$149=""),"",IF(COUNTIFS(BD!$B$3:$B$5001,K$149,BD!$A$3:$A$5001,"&gt;="&amp;$C$7,BD!$A$3:$A$5001,"&lt;="&amp;$B177,BD!$M$3:$M$5001,"&lt;&gt;")=0,"",SUMIFS(BD!$M$3:$M$5001,BD!$B$3:$B$5001,K$149,BD!$A$3:$A$5001,_xlfn.MAXIFS(BD!$A$3:$A$5001,BD!$B$3:$B$5001,K$149,BD!$A$3:$A$5001,"&gt;="&amp;$C$7,BD!$A$3:$A$5001,"&lt;="&amp;$B177,BD!$M$3:$M$5001,"&lt;&gt;"))))</f>
        <v/>
      </c>
      <c r="L177" s="43" t="str">
        <f>IF(OR($B177="",$A177&gt;$B$9,L$149=""),"",IF(COUNTIFS(BD!$B$3:$B$5001,L$149,BD!$A$3:$A$5001,"&gt;="&amp;$C$7,BD!$A$3:$A$5001,"&lt;="&amp;$B177,BD!$M$3:$M$5001,"&lt;&gt;")=0,"",SUMIFS(BD!$M$3:$M$5001,BD!$B$3:$B$5001,L$149,BD!$A$3:$A$5001,_xlfn.MAXIFS(BD!$A$3:$A$5001,BD!$B$3:$B$5001,L$149,BD!$A$3:$A$5001,"&gt;="&amp;$C$7,BD!$A$3:$A$5001,"&lt;="&amp;$B177,BD!$M$3:$M$5001,"&lt;&gt;"))))</f>
        <v/>
      </c>
      <c r="M177" s="43" t="str">
        <f>IF(OR($B177="",$A177&gt;$B$9,M$149=""),"",IF(COUNTIFS(BD!$B$3:$B$5001,M$149,BD!$A$3:$A$5001,"&gt;="&amp;$C$7,BD!$A$3:$A$5001,"&lt;="&amp;$B177,BD!$M$3:$M$5001,"&lt;&gt;")=0,"",SUMIFS(BD!$M$3:$M$5001,BD!$B$3:$B$5001,M$149,BD!$A$3:$A$5001,_xlfn.MAXIFS(BD!$A$3:$A$5001,BD!$B$3:$B$5001,M$149,BD!$A$3:$A$5001,"&gt;="&amp;$C$7,BD!$A$3:$A$5001,"&lt;="&amp;$B177,BD!$M$3:$M$5001,"&lt;&gt;"))))</f>
        <v/>
      </c>
      <c r="N177" s="43" t="str">
        <f>IF(OR($B177="",$A177&gt;$B$9,N$149=""),"",IF(COUNTIFS(BD!$B$3:$B$5001,N$149,BD!$A$3:$A$5001,"&gt;="&amp;$C$7,BD!$A$3:$A$5001,"&lt;="&amp;$B177,BD!$M$3:$M$5001,"&lt;&gt;")=0,"",SUMIFS(BD!$M$3:$M$5001,BD!$B$3:$B$5001,N$149,BD!$A$3:$A$5001,_xlfn.MAXIFS(BD!$A$3:$A$5001,BD!$B$3:$B$5001,N$149,BD!$A$3:$A$5001,"&gt;="&amp;$C$7,BD!$A$3:$A$5001,"&lt;="&amp;$B177,BD!$M$3:$M$5001,"&lt;&gt;"))))</f>
        <v/>
      </c>
      <c r="O177" s="43" t="str">
        <f>IF(OR($B177="",$A177&gt;$B$9,O$149=""),"",IF(COUNTIFS(BD!$B$3:$B$5001,O$149,BD!$A$3:$A$5001,"&gt;="&amp;$C$7,BD!$A$3:$A$5001,"&lt;="&amp;$B177,BD!$M$3:$M$5001,"&lt;&gt;")=0,"",SUMIFS(BD!$M$3:$M$5001,BD!$B$3:$B$5001,O$149,BD!$A$3:$A$5001,_xlfn.MAXIFS(BD!$A$3:$A$5001,BD!$B$3:$B$5001,O$149,BD!$A$3:$A$5001,"&gt;="&amp;$C$7,BD!$A$3:$A$5001,"&lt;="&amp;$B177,BD!$M$3:$M$5001,"&lt;&gt;"))))</f>
        <v/>
      </c>
      <c r="P177" s="43" t="str">
        <f>IF(OR($B177="",$A177&gt;$B$9,P$149=""),"",IF(COUNTIFS(BD!$B$3:$B$5001,P$149,BD!$A$3:$A$5001,"&gt;="&amp;$C$7,BD!$A$3:$A$5001,"&lt;="&amp;$B177,BD!$M$3:$M$5001,"&lt;&gt;")=0,"",SUMIFS(BD!$M$3:$M$5001,BD!$B$3:$B$5001,P$149,BD!$A$3:$A$5001,_xlfn.MAXIFS(BD!$A$3:$A$5001,BD!$B$3:$B$5001,P$149,BD!$A$3:$A$5001,"&gt;="&amp;$C$7,BD!$A$3:$A$5001,"&lt;="&amp;$B177,BD!$M$3:$M$5001,"&lt;&gt;"))))</f>
        <v/>
      </c>
      <c r="Q177" s="43" t="str">
        <f>IF(OR($B177="",$A177&gt;$B$9,Q$149=""),"",IF(COUNTIFS(BD!$B$3:$B$5001,Q$149,BD!$A$3:$A$5001,"&gt;="&amp;$C$7,BD!$A$3:$A$5001,"&lt;="&amp;$B177,BD!$M$3:$M$5001,"&lt;&gt;")=0,"",SUMIFS(BD!$M$3:$M$5001,BD!$B$3:$B$5001,Q$149,BD!$A$3:$A$5001,_xlfn.MAXIFS(BD!$A$3:$A$5001,BD!$B$3:$B$5001,Q$149,BD!$A$3:$A$5001,"&gt;="&amp;$C$7,BD!$A$3:$A$5001,"&lt;="&amp;$B177,BD!$M$3:$M$5001,"&lt;&gt;"))))</f>
        <v/>
      </c>
      <c r="R177" s="43" t="str">
        <f>IF(OR($B177="",$A177&gt;$B$9,R$149=""),"",IF(COUNTIFS(BD!$B$3:$B$5001,R$149,BD!$A$3:$A$5001,"&gt;="&amp;$C$7,BD!$A$3:$A$5001,"&lt;="&amp;$B177,BD!$M$3:$M$5001,"&lt;&gt;")=0,"",SUMIFS(BD!$M$3:$M$5001,BD!$B$3:$B$5001,R$149,BD!$A$3:$A$5001,_xlfn.MAXIFS(BD!$A$3:$A$5001,BD!$B$3:$B$5001,R$149,BD!$A$3:$A$5001,"&gt;="&amp;$C$7,BD!$A$3:$A$5001,"&lt;="&amp;$B177,BD!$M$3:$M$5001,"&lt;&gt;"))))</f>
        <v/>
      </c>
      <c r="S177" s="43" t="str">
        <f>IF(OR($B177="",$A177&gt;$B$9,S$149=""),"",IF(COUNTIFS(BD!$B$3:$B$5001,S$149,BD!$A$3:$A$5001,"&gt;="&amp;$C$7,BD!$A$3:$A$5001,"&lt;="&amp;$B177,BD!$M$3:$M$5001,"&lt;&gt;")=0,"",SUMIFS(BD!$M$3:$M$5001,BD!$B$3:$B$5001,S$149,BD!$A$3:$A$5001,_xlfn.MAXIFS(BD!$A$3:$A$5001,BD!$B$3:$B$5001,S$149,BD!$A$3:$A$5001,"&gt;="&amp;$C$7,BD!$A$3:$A$5001,"&lt;="&amp;$B177,BD!$M$3:$M$5001,"&lt;&gt;"))))</f>
        <v/>
      </c>
      <c r="T177" s="43" t="str">
        <f>IF(OR($B177="",$A177&gt;$B$9,T$149=""),"",IF(COUNTIFS(BD!$B$3:$B$5001,T$149,BD!$A$3:$A$5001,"&gt;="&amp;$C$7,BD!$A$3:$A$5001,"&lt;="&amp;$B177,BD!$M$3:$M$5001,"&lt;&gt;")=0,"",SUMIFS(BD!$M$3:$M$5001,BD!$B$3:$B$5001,T$149,BD!$A$3:$A$5001,_xlfn.MAXIFS(BD!$A$3:$A$5001,BD!$B$3:$B$5001,T$149,BD!$A$3:$A$5001,"&gt;="&amp;$C$7,BD!$A$3:$A$5001,"&lt;="&amp;$B177,BD!$M$3:$M$5001,"&lt;&gt;"))))</f>
        <v/>
      </c>
      <c r="U177" s="43" t="str">
        <f>IF(OR($B177="",$A177&gt;$B$9,U$149=""),"",IF(COUNTIFS(BD!$B$3:$B$5001,U$149,BD!$A$3:$A$5001,"&gt;="&amp;$C$7,BD!$A$3:$A$5001,"&lt;="&amp;$B177,BD!$M$3:$M$5001,"&lt;&gt;")=0,"",SUMIFS(BD!$M$3:$M$5001,BD!$B$3:$B$5001,U$149,BD!$A$3:$A$5001,_xlfn.MAXIFS(BD!$A$3:$A$5001,BD!$B$3:$B$5001,U$149,BD!$A$3:$A$5001,"&gt;="&amp;$C$7,BD!$A$3:$A$5001,"&lt;="&amp;$B177,BD!$M$3:$M$5001,"&lt;&gt;"))))</f>
        <v/>
      </c>
      <c r="V177" s="43" t="str">
        <f>IF(OR($B177="",$A177&gt;$B$9,V$149=""),"",IF(COUNTIFS(BD!$B$3:$B$5001,V$149,BD!$A$3:$A$5001,"&gt;="&amp;$C$7,BD!$A$3:$A$5001,"&lt;="&amp;$B177,BD!$M$3:$M$5001,"&lt;&gt;")=0,"",SUMIFS(BD!$M$3:$M$5001,BD!$B$3:$B$5001,V$149,BD!$A$3:$A$5001,_xlfn.MAXIFS(BD!$A$3:$A$5001,BD!$B$3:$B$5001,V$149,BD!$A$3:$A$5001,"&gt;="&amp;$C$7,BD!$A$3:$A$5001,"&lt;="&amp;$B177,BD!$M$3:$M$5001,"&lt;&gt;"))))</f>
        <v/>
      </c>
    </row>
    <row r="178">
      <c r="A178" s="38">
        <v>29</v>
      </c>
      <c r="B178" s="42">
        <f>$B$40</f>
        <v>46324</v>
      </c>
      <c r="C178" s="43" t="str">
        <f>IF(OR($B178="",$A178&gt;$B$9,C$149=""),"",IF(COUNTIFS(BD!$B$3:$B$5001,C$149,BD!$A$3:$A$5001,"&gt;="&amp;$C$7,BD!$A$3:$A$5001,"&lt;="&amp;$B178,BD!$M$3:$M$5001,"&lt;&gt;")=0,"",SUMIFS(BD!$M$3:$M$5001,BD!$B$3:$B$5001,C$149,BD!$A$3:$A$5001,_xlfn.MAXIFS(BD!$A$3:$A$5001,BD!$B$3:$B$5001,C$149,BD!$A$3:$A$5001,"&gt;="&amp;$C$7,BD!$A$3:$A$5001,"&lt;="&amp;$B178,BD!$M$3:$M$5001,"&lt;&gt;"))))</f>
        <v/>
      </c>
      <c r="D178" s="43" t="str">
        <f>IF(OR($B178="",$A178&gt;$B$9,D$149=""),"",IF(COUNTIFS(BD!$B$3:$B$5001,D$149,BD!$A$3:$A$5001,"&gt;="&amp;$C$7,BD!$A$3:$A$5001,"&lt;="&amp;$B178,BD!$M$3:$M$5001,"&lt;&gt;")=0,"",SUMIFS(BD!$M$3:$M$5001,BD!$B$3:$B$5001,D$149,BD!$A$3:$A$5001,_xlfn.MAXIFS(BD!$A$3:$A$5001,BD!$B$3:$B$5001,D$149,BD!$A$3:$A$5001,"&gt;="&amp;$C$7,BD!$A$3:$A$5001,"&lt;="&amp;$B178,BD!$M$3:$M$5001,"&lt;&gt;"))))</f>
        <v/>
      </c>
      <c r="E178" s="43" t="str">
        <f>IF(OR($B178="",$A178&gt;$B$9,E$149=""),"",IF(COUNTIFS(BD!$B$3:$B$5001,E$149,BD!$A$3:$A$5001,"&gt;="&amp;$C$7,BD!$A$3:$A$5001,"&lt;="&amp;$B178,BD!$M$3:$M$5001,"&lt;&gt;")=0,"",SUMIFS(BD!$M$3:$M$5001,BD!$B$3:$B$5001,E$149,BD!$A$3:$A$5001,_xlfn.MAXIFS(BD!$A$3:$A$5001,BD!$B$3:$B$5001,E$149,BD!$A$3:$A$5001,"&gt;="&amp;$C$7,BD!$A$3:$A$5001,"&lt;="&amp;$B178,BD!$M$3:$M$5001,"&lt;&gt;"))))</f>
        <v/>
      </c>
      <c r="F178" s="43" t="str">
        <f>IF(OR($B178="",$A178&gt;$B$9,F$149=""),"",IF(COUNTIFS(BD!$B$3:$B$5001,F$149,BD!$A$3:$A$5001,"&gt;="&amp;$C$7,BD!$A$3:$A$5001,"&lt;="&amp;$B178,BD!$M$3:$M$5001,"&lt;&gt;")=0,"",SUMIFS(BD!$M$3:$M$5001,BD!$B$3:$B$5001,F$149,BD!$A$3:$A$5001,_xlfn.MAXIFS(BD!$A$3:$A$5001,BD!$B$3:$B$5001,F$149,BD!$A$3:$A$5001,"&gt;="&amp;$C$7,BD!$A$3:$A$5001,"&lt;="&amp;$B178,BD!$M$3:$M$5001,"&lt;&gt;"))))</f>
        <v/>
      </c>
      <c r="G178" s="43" t="str">
        <f>IF(OR($B178="",$A178&gt;$B$9,G$149=""),"",IF(COUNTIFS(BD!$B$3:$B$5001,G$149,BD!$A$3:$A$5001,"&gt;="&amp;$C$7,BD!$A$3:$A$5001,"&lt;="&amp;$B178,BD!$M$3:$M$5001,"&lt;&gt;")=0,"",SUMIFS(BD!$M$3:$M$5001,BD!$B$3:$B$5001,G$149,BD!$A$3:$A$5001,_xlfn.MAXIFS(BD!$A$3:$A$5001,BD!$B$3:$B$5001,G$149,BD!$A$3:$A$5001,"&gt;="&amp;$C$7,BD!$A$3:$A$5001,"&lt;="&amp;$B178,BD!$M$3:$M$5001,"&lt;&gt;"))))</f>
        <v/>
      </c>
      <c r="H178" s="43" t="str">
        <f>IF(OR($B178="",$A178&gt;$B$9,H$149=""),"",IF(COUNTIFS(BD!$B$3:$B$5001,H$149,BD!$A$3:$A$5001,"&gt;="&amp;$C$7,BD!$A$3:$A$5001,"&lt;="&amp;$B178,BD!$M$3:$M$5001,"&lt;&gt;")=0,"",SUMIFS(BD!$M$3:$M$5001,BD!$B$3:$B$5001,H$149,BD!$A$3:$A$5001,_xlfn.MAXIFS(BD!$A$3:$A$5001,BD!$B$3:$B$5001,H$149,BD!$A$3:$A$5001,"&gt;="&amp;$C$7,BD!$A$3:$A$5001,"&lt;="&amp;$B178,BD!$M$3:$M$5001,"&lt;&gt;"))))</f>
        <v/>
      </c>
      <c r="I178" s="43" t="str">
        <f>IF(OR($B178="",$A178&gt;$B$9,I$149=""),"",IF(COUNTIFS(BD!$B$3:$B$5001,I$149,BD!$A$3:$A$5001,"&gt;="&amp;$C$7,BD!$A$3:$A$5001,"&lt;="&amp;$B178,BD!$M$3:$M$5001,"&lt;&gt;")=0,"",SUMIFS(BD!$M$3:$M$5001,BD!$B$3:$B$5001,I$149,BD!$A$3:$A$5001,_xlfn.MAXIFS(BD!$A$3:$A$5001,BD!$B$3:$B$5001,I$149,BD!$A$3:$A$5001,"&gt;="&amp;$C$7,BD!$A$3:$A$5001,"&lt;="&amp;$B178,BD!$M$3:$M$5001,"&lt;&gt;"))))</f>
        <v/>
      </c>
      <c r="J178" s="43" t="str">
        <f>IF(OR($B178="",$A178&gt;$B$9,J$149=""),"",IF(COUNTIFS(BD!$B$3:$B$5001,J$149,BD!$A$3:$A$5001,"&gt;="&amp;$C$7,BD!$A$3:$A$5001,"&lt;="&amp;$B178,BD!$M$3:$M$5001,"&lt;&gt;")=0,"",SUMIFS(BD!$M$3:$M$5001,BD!$B$3:$B$5001,J$149,BD!$A$3:$A$5001,_xlfn.MAXIFS(BD!$A$3:$A$5001,BD!$B$3:$B$5001,J$149,BD!$A$3:$A$5001,"&gt;="&amp;$C$7,BD!$A$3:$A$5001,"&lt;="&amp;$B178,BD!$M$3:$M$5001,"&lt;&gt;"))))</f>
        <v/>
      </c>
      <c r="K178" s="43" t="str">
        <f>IF(OR($B178="",$A178&gt;$B$9,K$149=""),"",IF(COUNTIFS(BD!$B$3:$B$5001,K$149,BD!$A$3:$A$5001,"&gt;="&amp;$C$7,BD!$A$3:$A$5001,"&lt;="&amp;$B178,BD!$M$3:$M$5001,"&lt;&gt;")=0,"",SUMIFS(BD!$M$3:$M$5001,BD!$B$3:$B$5001,K$149,BD!$A$3:$A$5001,_xlfn.MAXIFS(BD!$A$3:$A$5001,BD!$B$3:$B$5001,K$149,BD!$A$3:$A$5001,"&gt;="&amp;$C$7,BD!$A$3:$A$5001,"&lt;="&amp;$B178,BD!$M$3:$M$5001,"&lt;&gt;"))))</f>
        <v/>
      </c>
      <c r="L178" s="43" t="str">
        <f>IF(OR($B178="",$A178&gt;$B$9,L$149=""),"",IF(COUNTIFS(BD!$B$3:$B$5001,L$149,BD!$A$3:$A$5001,"&gt;="&amp;$C$7,BD!$A$3:$A$5001,"&lt;="&amp;$B178,BD!$M$3:$M$5001,"&lt;&gt;")=0,"",SUMIFS(BD!$M$3:$M$5001,BD!$B$3:$B$5001,L$149,BD!$A$3:$A$5001,_xlfn.MAXIFS(BD!$A$3:$A$5001,BD!$B$3:$B$5001,L$149,BD!$A$3:$A$5001,"&gt;="&amp;$C$7,BD!$A$3:$A$5001,"&lt;="&amp;$B178,BD!$M$3:$M$5001,"&lt;&gt;"))))</f>
        <v/>
      </c>
      <c r="M178" s="43" t="str">
        <f>IF(OR($B178="",$A178&gt;$B$9,M$149=""),"",IF(COUNTIFS(BD!$B$3:$B$5001,M$149,BD!$A$3:$A$5001,"&gt;="&amp;$C$7,BD!$A$3:$A$5001,"&lt;="&amp;$B178,BD!$M$3:$M$5001,"&lt;&gt;")=0,"",SUMIFS(BD!$M$3:$M$5001,BD!$B$3:$B$5001,M$149,BD!$A$3:$A$5001,_xlfn.MAXIFS(BD!$A$3:$A$5001,BD!$B$3:$B$5001,M$149,BD!$A$3:$A$5001,"&gt;="&amp;$C$7,BD!$A$3:$A$5001,"&lt;="&amp;$B178,BD!$M$3:$M$5001,"&lt;&gt;"))))</f>
        <v/>
      </c>
      <c r="N178" s="43" t="str">
        <f>IF(OR($B178="",$A178&gt;$B$9,N$149=""),"",IF(COUNTIFS(BD!$B$3:$B$5001,N$149,BD!$A$3:$A$5001,"&gt;="&amp;$C$7,BD!$A$3:$A$5001,"&lt;="&amp;$B178,BD!$M$3:$M$5001,"&lt;&gt;")=0,"",SUMIFS(BD!$M$3:$M$5001,BD!$B$3:$B$5001,N$149,BD!$A$3:$A$5001,_xlfn.MAXIFS(BD!$A$3:$A$5001,BD!$B$3:$B$5001,N$149,BD!$A$3:$A$5001,"&gt;="&amp;$C$7,BD!$A$3:$A$5001,"&lt;="&amp;$B178,BD!$M$3:$M$5001,"&lt;&gt;"))))</f>
        <v/>
      </c>
      <c r="O178" s="43" t="str">
        <f>IF(OR($B178="",$A178&gt;$B$9,O$149=""),"",IF(COUNTIFS(BD!$B$3:$B$5001,O$149,BD!$A$3:$A$5001,"&gt;="&amp;$C$7,BD!$A$3:$A$5001,"&lt;="&amp;$B178,BD!$M$3:$M$5001,"&lt;&gt;")=0,"",SUMIFS(BD!$M$3:$M$5001,BD!$B$3:$B$5001,O$149,BD!$A$3:$A$5001,_xlfn.MAXIFS(BD!$A$3:$A$5001,BD!$B$3:$B$5001,O$149,BD!$A$3:$A$5001,"&gt;="&amp;$C$7,BD!$A$3:$A$5001,"&lt;="&amp;$B178,BD!$M$3:$M$5001,"&lt;&gt;"))))</f>
        <v/>
      </c>
      <c r="P178" s="43" t="str">
        <f>IF(OR($B178="",$A178&gt;$B$9,P$149=""),"",IF(COUNTIFS(BD!$B$3:$B$5001,P$149,BD!$A$3:$A$5001,"&gt;="&amp;$C$7,BD!$A$3:$A$5001,"&lt;="&amp;$B178,BD!$M$3:$M$5001,"&lt;&gt;")=0,"",SUMIFS(BD!$M$3:$M$5001,BD!$B$3:$B$5001,P$149,BD!$A$3:$A$5001,_xlfn.MAXIFS(BD!$A$3:$A$5001,BD!$B$3:$B$5001,P$149,BD!$A$3:$A$5001,"&gt;="&amp;$C$7,BD!$A$3:$A$5001,"&lt;="&amp;$B178,BD!$M$3:$M$5001,"&lt;&gt;"))))</f>
        <v/>
      </c>
      <c r="Q178" s="43" t="str">
        <f>IF(OR($B178="",$A178&gt;$B$9,Q$149=""),"",IF(COUNTIFS(BD!$B$3:$B$5001,Q$149,BD!$A$3:$A$5001,"&gt;="&amp;$C$7,BD!$A$3:$A$5001,"&lt;="&amp;$B178,BD!$M$3:$M$5001,"&lt;&gt;")=0,"",SUMIFS(BD!$M$3:$M$5001,BD!$B$3:$B$5001,Q$149,BD!$A$3:$A$5001,_xlfn.MAXIFS(BD!$A$3:$A$5001,BD!$B$3:$B$5001,Q$149,BD!$A$3:$A$5001,"&gt;="&amp;$C$7,BD!$A$3:$A$5001,"&lt;="&amp;$B178,BD!$M$3:$M$5001,"&lt;&gt;"))))</f>
        <v/>
      </c>
      <c r="R178" s="43" t="str">
        <f>IF(OR($B178="",$A178&gt;$B$9,R$149=""),"",IF(COUNTIFS(BD!$B$3:$B$5001,R$149,BD!$A$3:$A$5001,"&gt;="&amp;$C$7,BD!$A$3:$A$5001,"&lt;="&amp;$B178,BD!$M$3:$M$5001,"&lt;&gt;")=0,"",SUMIFS(BD!$M$3:$M$5001,BD!$B$3:$B$5001,R$149,BD!$A$3:$A$5001,_xlfn.MAXIFS(BD!$A$3:$A$5001,BD!$B$3:$B$5001,R$149,BD!$A$3:$A$5001,"&gt;="&amp;$C$7,BD!$A$3:$A$5001,"&lt;="&amp;$B178,BD!$M$3:$M$5001,"&lt;&gt;"))))</f>
        <v/>
      </c>
      <c r="S178" s="43" t="str">
        <f>IF(OR($B178="",$A178&gt;$B$9,S$149=""),"",IF(COUNTIFS(BD!$B$3:$B$5001,S$149,BD!$A$3:$A$5001,"&gt;="&amp;$C$7,BD!$A$3:$A$5001,"&lt;="&amp;$B178,BD!$M$3:$M$5001,"&lt;&gt;")=0,"",SUMIFS(BD!$M$3:$M$5001,BD!$B$3:$B$5001,S$149,BD!$A$3:$A$5001,_xlfn.MAXIFS(BD!$A$3:$A$5001,BD!$B$3:$B$5001,S$149,BD!$A$3:$A$5001,"&gt;="&amp;$C$7,BD!$A$3:$A$5001,"&lt;="&amp;$B178,BD!$M$3:$M$5001,"&lt;&gt;"))))</f>
        <v/>
      </c>
      <c r="T178" s="43" t="str">
        <f>IF(OR($B178="",$A178&gt;$B$9,T$149=""),"",IF(COUNTIFS(BD!$B$3:$B$5001,T$149,BD!$A$3:$A$5001,"&gt;="&amp;$C$7,BD!$A$3:$A$5001,"&lt;="&amp;$B178,BD!$M$3:$M$5001,"&lt;&gt;")=0,"",SUMIFS(BD!$M$3:$M$5001,BD!$B$3:$B$5001,T$149,BD!$A$3:$A$5001,_xlfn.MAXIFS(BD!$A$3:$A$5001,BD!$B$3:$B$5001,T$149,BD!$A$3:$A$5001,"&gt;="&amp;$C$7,BD!$A$3:$A$5001,"&lt;="&amp;$B178,BD!$M$3:$M$5001,"&lt;&gt;"))))</f>
        <v/>
      </c>
      <c r="U178" s="43" t="str">
        <f>IF(OR($B178="",$A178&gt;$B$9,U$149=""),"",IF(COUNTIFS(BD!$B$3:$B$5001,U$149,BD!$A$3:$A$5001,"&gt;="&amp;$C$7,BD!$A$3:$A$5001,"&lt;="&amp;$B178,BD!$M$3:$M$5001,"&lt;&gt;")=0,"",SUMIFS(BD!$M$3:$M$5001,BD!$B$3:$B$5001,U$149,BD!$A$3:$A$5001,_xlfn.MAXIFS(BD!$A$3:$A$5001,BD!$B$3:$B$5001,U$149,BD!$A$3:$A$5001,"&gt;="&amp;$C$7,BD!$A$3:$A$5001,"&lt;="&amp;$B178,BD!$M$3:$M$5001,"&lt;&gt;"))))</f>
        <v/>
      </c>
      <c r="V178" s="43" t="str">
        <f>IF(OR($B178="",$A178&gt;$B$9,V$149=""),"",IF(COUNTIFS(BD!$B$3:$B$5001,V$149,BD!$A$3:$A$5001,"&gt;="&amp;$C$7,BD!$A$3:$A$5001,"&lt;="&amp;$B178,BD!$M$3:$M$5001,"&lt;&gt;")=0,"",SUMIFS(BD!$M$3:$M$5001,BD!$B$3:$B$5001,V$149,BD!$A$3:$A$5001,_xlfn.MAXIFS(BD!$A$3:$A$5001,BD!$B$3:$B$5001,V$149,BD!$A$3:$A$5001,"&gt;="&amp;$C$7,BD!$A$3:$A$5001,"&lt;="&amp;$B178,BD!$M$3:$M$5001,"&lt;&gt;"))))</f>
        <v/>
      </c>
    </row>
    <row r="179">
      <c r="A179" s="38">
        <v>30</v>
      </c>
      <c r="B179" s="42">
        <f>$B$41</f>
        <v>46325</v>
      </c>
      <c r="C179" s="43" t="str">
        <f>IF(OR($B179="",$A179&gt;$B$9,C$149=""),"",IF(COUNTIFS(BD!$B$3:$B$5001,C$149,BD!$A$3:$A$5001,"&gt;="&amp;$C$7,BD!$A$3:$A$5001,"&lt;="&amp;$B179,BD!$M$3:$M$5001,"&lt;&gt;")=0,"",SUMIFS(BD!$M$3:$M$5001,BD!$B$3:$B$5001,C$149,BD!$A$3:$A$5001,_xlfn.MAXIFS(BD!$A$3:$A$5001,BD!$B$3:$B$5001,C$149,BD!$A$3:$A$5001,"&gt;="&amp;$C$7,BD!$A$3:$A$5001,"&lt;="&amp;$B179,BD!$M$3:$M$5001,"&lt;&gt;"))))</f>
        <v/>
      </c>
      <c r="D179" s="43" t="str">
        <f>IF(OR($B179="",$A179&gt;$B$9,D$149=""),"",IF(COUNTIFS(BD!$B$3:$B$5001,D$149,BD!$A$3:$A$5001,"&gt;="&amp;$C$7,BD!$A$3:$A$5001,"&lt;="&amp;$B179,BD!$M$3:$M$5001,"&lt;&gt;")=0,"",SUMIFS(BD!$M$3:$M$5001,BD!$B$3:$B$5001,D$149,BD!$A$3:$A$5001,_xlfn.MAXIFS(BD!$A$3:$A$5001,BD!$B$3:$B$5001,D$149,BD!$A$3:$A$5001,"&gt;="&amp;$C$7,BD!$A$3:$A$5001,"&lt;="&amp;$B179,BD!$M$3:$M$5001,"&lt;&gt;"))))</f>
        <v/>
      </c>
      <c r="E179" s="43" t="str">
        <f>IF(OR($B179="",$A179&gt;$B$9,E$149=""),"",IF(COUNTIFS(BD!$B$3:$B$5001,E$149,BD!$A$3:$A$5001,"&gt;="&amp;$C$7,BD!$A$3:$A$5001,"&lt;="&amp;$B179,BD!$M$3:$M$5001,"&lt;&gt;")=0,"",SUMIFS(BD!$M$3:$M$5001,BD!$B$3:$B$5001,E$149,BD!$A$3:$A$5001,_xlfn.MAXIFS(BD!$A$3:$A$5001,BD!$B$3:$B$5001,E$149,BD!$A$3:$A$5001,"&gt;="&amp;$C$7,BD!$A$3:$A$5001,"&lt;="&amp;$B179,BD!$M$3:$M$5001,"&lt;&gt;"))))</f>
        <v/>
      </c>
      <c r="F179" s="43" t="str">
        <f>IF(OR($B179="",$A179&gt;$B$9,F$149=""),"",IF(COUNTIFS(BD!$B$3:$B$5001,F$149,BD!$A$3:$A$5001,"&gt;="&amp;$C$7,BD!$A$3:$A$5001,"&lt;="&amp;$B179,BD!$M$3:$M$5001,"&lt;&gt;")=0,"",SUMIFS(BD!$M$3:$M$5001,BD!$B$3:$B$5001,F$149,BD!$A$3:$A$5001,_xlfn.MAXIFS(BD!$A$3:$A$5001,BD!$B$3:$B$5001,F$149,BD!$A$3:$A$5001,"&gt;="&amp;$C$7,BD!$A$3:$A$5001,"&lt;="&amp;$B179,BD!$M$3:$M$5001,"&lt;&gt;"))))</f>
        <v/>
      </c>
      <c r="G179" s="43" t="str">
        <f>IF(OR($B179="",$A179&gt;$B$9,G$149=""),"",IF(COUNTIFS(BD!$B$3:$B$5001,G$149,BD!$A$3:$A$5001,"&gt;="&amp;$C$7,BD!$A$3:$A$5001,"&lt;="&amp;$B179,BD!$M$3:$M$5001,"&lt;&gt;")=0,"",SUMIFS(BD!$M$3:$M$5001,BD!$B$3:$B$5001,G$149,BD!$A$3:$A$5001,_xlfn.MAXIFS(BD!$A$3:$A$5001,BD!$B$3:$B$5001,G$149,BD!$A$3:$A$5001,"&gt;="&amp;$C$7,BD!$A$3:$A$5001,"&lt;="&amp;$B179,BD!$M$3:$M$5001,"&lt;&gt;"))))</f>
        <v/>
      </c>
      <c r="H179" s="43" t="str">
        <f>IF(OR($B179="",$A179&gt;$B$9,H$149=""),"",IF(COUNTIFS(BD!$B$3:$B$5001,H$149,BD!$A$3:$A$5001,"&gt;="&amp;$C$7,BD!$A$3:$A$5001,"&lt;="&amp;$B179,BD!$M$3:$M$5001,"&lt;&gt;")=0,"",SUMIFS(BD!$M$3:$M$5001,BD!$B$3:$B$5001,H$149,BD!$A$3:$A$5001,_xlfn.MAXIFS(BD!$A$3:$A$5001,BD!$B$3:$B$5001,H$149,BD!$A$3:$A$5001,"&gt;="&amp;$C$7,BD!$A$3:$A$5001,"&lt;="&amp;$B179,BD!$M$3:$M$5001,"&lt;&gt;"))))</f>
        <v/>
      </c>
      <c r="I179" s="43" t="str">
        <f>IF(OR($B179="",$A179&gt;$B$9,I$149=""),"",IF(COUNTIFS(BD!$B$3:$B$5001,I$149,BD!$A$3:$A$5001,"&gt;="&amp;$C$7,BD!$A$3:$A$5001,"&lt;="&amp;$B179,BD!$M$3:$M$5001,"&lt;&gt;")=0,"",SUMIFS(BD!$M$3:$M$5001,BD!$B$3:$B$5001,I$149,BD!$A$3:$A$5001,_xlfn.MAXIFS(BD!$A$3:$A$5001,BD!$B$3:$B$5001,I$149,BD!$A$3:$A$5001,"&gt;="&amp;$C$7,BD!$A$3:$A$5001,"&lt;="&amp;$B179,BD!$M$3:$M$5001,"&lt;&gt;"))))</f>
        <v/>
      </c>
      <c r="J179" s="43" t="str">
        <f>IF(OR($B179="",$A179&gt;$B$9,J$149=""),"",IF(COUNTIFS(BD!$B$3:$B$5001,J$149,BD!$A$3:$A$5001,"&gt;="&amp;$C$7,BD!$A$3:$A$5001,"&lt;="&amp;$B179,BD!$M$3:$M$5001,"&lt;&gt;")=0,"",SUMIFS(BD!$M$3:$M$5001,BD!$B$3:$B$5001,J$149,BD!$A$3:$A$5001,_xlfn.MAXIFS(BD!$A$3:$A$5001,BD!$B$3:$B$5001,J$149,BD!$A$3:$A$5001,"&gt;="&amp;$C$7,BD!$A$3:$A$5001,"&lt;="&amp;$B179,BD!$M$3:$M$5001,"&lt;&gt;"))))</f>
        <v/>
      </c>
      <c r="K179" s="43" t="str">
        <f>IF(OR($B179="",$A179&gt;$B$9,K$149=""),"",IF(COUNTIFS(BD!$B$3:$B$5001,K$149,BD!$A$3:$A$5001,"&gt;="&amp;$C$7,BD!$A$3:$A$5001,"&lt;="&amp;$B179,BD!$M$3:$M$5001,"&lt;&gt;")=0,"",SUMIFS(BD!$M$3:$M$5001,BD!$B$3:$B$5001,K$149,BD!$A$3:$A$5001,_xlfn.MAXIFS(BD!$A$3:$A$5001,BD!$B$3:$B$5001,K$149,BD!$A$3:$A$5001,"&gt;="&amp;$C$7,BD!$A$3:$A$5001,"&lt;="&amp;$B179,BD!$M$3:$M$5001,"&lt;&gt;"))))</f>
        <v/>
      </c>
      <c r="L179" s="43" t="str">
        <f>IF(OR($B179="",$A179&gt;$B$9,L$149=""),"",IF(COUNTIFS(BD!$B$3:$B$5001,L$149,BD!$A$3:$A$5001,"&gt;="&amp;$C$7,BD!$A$3:$A$5001,"&lt;="&amp;$B179,BD!$M$3:$M$5001,"&lt;&gt;")=0,"",SUMIFS(BD!$M$3:$M$5001,BD!$B$3:$B$5001,L$149,BD!$A$3:$A$5001,_xlfn.MAXIFS(BD!$A$3:$A$5001,BD!$B$3:$B$5001,L$149,BD!$A$3:$A$5001,"&gt;="&amp;$C$7,BD!$A$3:$A$5001,"&lt;="&amp;$B179,BD!$M$3:$M$5001,"&lt;&gt;"))))</f>
        <v/>
      </c>
      <c r="M179" s="43" t="str">
        <f>IF(OR($B179="",$A179&gt;$B$9,M$149=""),"",IF(COUNTIFS(BD!$B$3:$B$5001,M$149,BD!$A$3:$A$5001,"&gt;="&amp;$C$7,BD!$A$3:$A$5001,"&lt;="&amp;$B179,BD!$M$3:$M$5001,"&lt;&gt;")=0,"",SUMIFS(BD!$M$3:$M$5001,BD!$B$3:$B$5001,M$149,BD!$A$3:$A$5001,_xlfn.MAXIFS(BD!$A$3:$A$5001,BD!$B$3:$B$5001,M$149,BD!$A$3:$A$5001,"&gt;="&amp;$C$7,BD!$A$3:$A$5001,"&lt;="&amp;$B179,BD!$M$3:$M$5001,"&lt;&gt;"))))</f>
        <v/>
      </c>
      <c r="N179" s="43" t="str">
        <f>IF(OR($B179="",$A179&gt;$B$9,N$149=""),"",IF(COUNTIFS(BD!$B$3:$B$5001,N$149,BD!$A$3:$A$5001,"&gt;="&amp;$C$7,BD!$A$3:$A$5001,"&lt;="&amp;$B179,BD!$M$3:$M$5001,"&lt;&gt;")=0,"",SUMIFS(BD!$M$3:$M$5001,BD!$B$3:$B$5001,N$149,BD!$A$3:$A$5001,_xlfn.MAXIFS(BD!$A$3:$A$5001,BD!$B$3:$B$5001,N$149,BD!$A$3:$A$5001,"&gt;="&amp;$C$7,BD!$A$3:$A$5001,"&lt;="&amp;$B179,BD!$M$3:$M$5001,"&lt;&gt;"))))</f>
        <v/>
      </c>
      <c r="O179" s="43" t="str">
        <f>IF(OR($B179="",$A179&gt;$B$9,O$149=""),"",IF(COUNTIFS(BD!$B$3:$B$5001,O$149,BD!$A$3:$A$5001,"&gt;="&amp;$C$7,BD!$A$3:$A$5001,"&lt;="&amp;$B179,BD!$M$3:$M$5001,"&lt;&gt;")=0,"",SUMIFS(BD!$M$3:$M$5001,BD!$B$3:$B$5001,O$149,BD!$A$3:$A$5001,_xlfn.MAXIFS(BD!$A$3:$A$5001,BD!$B$3:$B$5001,O$149,BD!$A$3:$A$5001,"&gt;="&amp;$C$7,BD!$A$3:$A$5001,"&lt;="&amp;$B179,BD!$M$3:$M$5001,"&lt;&gt;"))))</f>
        <v/>
      </c>
      <c r="P179" s="43" t="str">
        <f>IF(OR($B179="",$A179&gt;$B$9,P$149=""),"",IF(COUNTIFS(BD!$B$3:$B$5001,P$149,BD!$A$3:$A$5001,"&gt;="&amp;$C$7,BD!$A$3:$A$5001,"&lt;="&amp;$B179,BD!$M$3:$M$5001,"&lt;&gt;")=0,"",SUMIFS(BD!$M$3:$M$5001,BD!$B$3:$B$5001,P$149,BD!$A$3:$A$5001,_xlfn.MAXIFS(BD!$A$3:$A$5001,BD!$B$3:$B$5001,P$149,BD!$A$3:$A$5001,"&gt;="&amp;$C$7,BD!$A$3:$A$5001,"&lt;="&amp;$B179,BD!$M$3:$M$5001,"&lt;&gt;"))))</f>
        <v/>
      </c>
      <c r="Q179" s="43" t="str">
        <f>IF(OR($B179="",$A179&gt;$B$9,Q$149=""),"",IF(COUNTIFS(BD!$B$3:$B$5001,Q$149,BD!$A$3:$A$5001,"&gt;="&amp;$C$7,BD!$A$3:$A$5001,"&lt;="&amp;$B179,BD!$M$3:$M$5001,"&lt;&gt;")=0,"",SUMIFS(BD!$M$3:$M$5001,BD!$B$3:$B$5001,Q$149,BD!$A$3:$A$5001,_xlfn.MAXIFS(BD!$A$3:$A$5001,BD!$B$3:$B$5001,Q$149,BD!$A$3:$A$5001,"&gt;="&amp;$C$7,BD!$A$3:$A$5001,"&lt;="&amp;$B179,BD!$M$3:$M$5001,"&lt;&gt;"))))</f>
        <v/>
      </c>
      <c r="R179" s="43" t="str">
        <f>IF(OR($B179="",$A179&gt;$B$9,R$149=""),"",IF(COUNTIFS(BD!$B$3:$B$5001,R$149,BD!$A$3:$A$5001,"&gt;="&amp;$C$7,BD!$A$3:$A$5001,"&lt;="&amp;$B179,BD!$M$3:$M$5001,"&lt;&gt;")=0,"",SUMIFS(BD!$M$3:$M$5001,BD!$B$3:$B$5001,R$149,BD!$A$3:$A$5001,_xlfn.MAXIFS(BD!$A$3:$A$5001,BD!$B$3:$B$5001,R$149,BD!$A$3:$A$5001,"&gt;="&amp;$C$7,BD!$A$3:$A$5001,"&lt;="&amp;$B179,BD!$M$3:$M$5001,"&lt;&gt;"))))</f>
        <v/>
      </c>
      <c r="S179" s="43" t="str">
        <f>IF(OR($B179="",$A179&gt;$B$9,S$149=""),"",IF(COUNTIFS(BD!$B$3:$B$5001,S$149,BD!$A$3:$A$5001,"&gt;="&amp;$C$7,BD!$A$3:$A$5001,"&lt;="&amp;$B179,BD!$M$3:$M$5001,"&lt;&gt;")=0,"",SUMIFS(BD!$M$3:$M$5001,BD!$B$3:$B$5001,S$149,BD!$A$3:$A$5001,_xlfn.MAXIFS(BD!$A$3:$A$5001,BD!$B$3:$B$5001,S$149,BD!$A$3:$A$5001,"&gt;="&amp;$C$7,BD!$A$3:$A$5001,"&lt;="&amp;$B179,BD!$M$3:$M$5001,"&lt;&gt;"))))</f>
        <v/>
      </c>
      <c r="T179" s="43" t="str">
        <f>IF(OR($B179="",$A179&gt;$B$9,T$149=""),"",IF(COUNTIFS(BD!$B$3:$B$5001,T$149,BD!$A$3:$A$5001,"&gt;="&amp;$C$7,BD!$A$3:$A$5001,"&lt;="&amp;$B179,BD!$M$3:$M$5001,"&lt;&gt;")=0,"",SUMIFS(BD!$M$3:$M$5001,BD!$B$3:$B$5001,T$149,BD!$A$3:$A$5001,_xlfn.MAXIFS(BD!$A$3:$A$5001,BD!$B$3:$B$5001,T$149,BD!$A$3:$A$5001,"&gt;="&amp;$C$7,BD!$A$3:$A$5001,"&lt;="&amp;$B179,BD!$M$3:$M$5001,"&lt;&gt;"))))</f>
        <v/>
      </c>
      <c r="U179" s="43" t="str">
        <f>IF(OR($B179="",$A179&gt;$B$9,U$149=""),"",IF(COUNTIFS(BD!$B$3:$B$5001,U$149,BD!$A$3:$A$5001,"&gt;="&amp;$C$7,BD!$A$3:$A$5001,"&lt;="&amp;$B179,BD!$M$3:$M$5001,"&lt;&gt;")=0,"",SUMIFS(BD!$M$3:$M$5001,BD!$B$3:$B$5001,U$149,BD!$A$3:$A$5001,_xlfn.MAXIFS(BD!$A$3:$A$5001,BD!$B$3:$B$5001,U$149,BD!$A$3:$A$5001,"&gt;="&amp;$C$7,BD!$A$3:$A$5001,"&lt;="&amp;$B179,BD!$M$3:$M$5001,"&lt;&gt;"))))</f>
        <v/>
      </c>
      <c r="V179" s="43" t="str">
        <f>IF(OR($B179="",$A179&gt;$B$9,V$149=""),"",IF(COUNTIFS(BD!$B$3:$B$5001,V$149,BD!$A$3:$A$5001,"&gt;="&amp;$C$7,BD!$A$3:$A$5001,"&lt;="&amp;$B179,BD!$M$3:$M$5001,"&lt;&gt;")=0,"",SUMIFS(BD!$M$3:$M$5001,BD!$B$3:$B$5001,V$149,BD!$A$3:$A$5001,_xlfn.MAXIFS(BD!$A$3:$A$5001,BD!$B$3:$B$5001,V$149,BD!$A$3:$A$5001,"&gt;="&amp;$C$7,BD!$A$3:$A$5001,"&lt;="&amp;$B179,BD!$M$3:$M$5001,"&lt;&gt;"))))</f>
        <v/>
      </c>
    </row>
    <row r="180">
      <c r="A180" s="38">
        <v>31</v>
      </c>
      <c r="B180" s="42">
        <f>$B$42</f>
        <v>46326</v>
      </c>
      <c r="C180" s="43" t="str">
        <f>IF(OR($B180="",$A180&gt;$B$9,C$149=""),"",IF(COUNTIFS(BD!$B$3:$B$5001,C$149,BD!$A$3:$A$5001,"&gt;="&amp;$C$7,BD!$A$3:$A$5001,"&lt;="&amp;$B180,BD!$M$3:$M$5001,"&lt;&gt;")=0,"",SUMIFS(BD!$M$3:$M$5001,BD!$B$3:$B$5001,C$149,BD!$A$3:$A$5001,_xlfn.MAXIFS(BD!$A$3:$A$5001,BD!$B$3:$B$5001,C$149,BD!$A$3:$A$5001,"&gt;="&amp;$C$7,BD!$A$3:$A$5001,"&lt;="&amp;$B180,BD!$M$3:$M$5001,"&lt;&gt;"))))</f>
        <v/>
      </c>
      <c r="D180" s="43" t="str">
        <f>IF(OR($B180="",$A180&gt;$B$9,D$149=""),"",IF(COUNTIFS(BD!$B$3:$B$5001,D$149,BD!$A$3:$A$5001,"&gt;="&amp;$C$7,BD!$A$3:$A$5001,"&lt;="&amp;$B180,BD!$M$3:$M$5001,"&lt;&gt;")=0,"",SUMIFS(BD!$M$3:$M$5001,BD!$B$3:$B$5001,D$149,BD!$A$3:$A$5001,_xlfn.MAXIFS(BD!$A$3:$A$5001,BD!$B$3:$B$5001,D$149,BD!$A$3:$A$5001,"&gt;="&amp;$C$7,BD!$A$3:$A$5001,"&lt;="&amp;$B180,BD!$M$3:$M$5001,"&lt;&gt;"))))</f>
        <v/>
      </c>
      <c r="E180" s="43" t="str">
        <f>IF(OR($B180="",$A180&gt;$B$9,E$149=""),"",IF(COUNTIFS(BD!$B$3:$B$5001,E$149,BD!$A$3:$A$5001,"&gt;="&amp;$C$7,BD!$A$3:$A$5001,"&lt;="&amp;$B180,BD!$M$3:$M$5001,"&lt;&gt;")=0,"",SUMIFS(BD!$M$3:$M$5001,BD!$B$3:$B$5001,E$149,BD!$A$3:$A$5001,_xlfn.MAXIFS(BD!$A$3:$A$5001,BD!$B$3:$B$5001,E$149,BD!$A$3:$A$5001,"&gt;="&amp;$C$7,BD!$A$3:$A$5001,"&lt;="&amp;$B180,BD!$M$3:$M$5001,"&lt;&gt;"))))</f>
        <v/>
      </c>
      <c r="F180" s="43" t="str">
        <f>IF(OR($B180="",$A180&gt;$B$9,F$149=""),"",IF(COUNTIFS(BD!$B$3:$B$5001,F$149,BD!$A$3:$A$5001,"&gt;="&amp;$C$7,BD!$A$3:$A$5001,"&lt;="&amp;$B180,BD!$M$3:$M$5001,"&lt;&gt;")=0,"",SUMIFS(BD!$M$3:$M$5001,BD!$B$3:$B$5001,F$149,BD!$A$3:$A$5001,_xlfn.MAXIFS(BD!$A$3:$A$5001,BD!$B$3:$B$5001,F$149,BD!$A$3:$A$5001,"&gt;="&amp;$C$7,BD!$A$3:$A$5001,"&lt;="&amp;$B180,BD!$M$3:$M$5001,"&lt;&gt;"))))</f>
        <v/>
      </c>
      <c r="G180" s="43" t="str">
        <f>IF(OR($B180="",$A180&gt;$B$9,G$149=""),"",IF(COUNTIFS(BD!$B$3:$B$5001,G$149,BD!$A$3:$A$5001,"&gt;="&amp;$C$7,BD!$A$3:$A$5001,"&lt;="&amp;$B180,BD!$M$3:$M$5001,"&lt;&gt;")=0,"",SUMIFS(BD!$M$3:$M$5001,BD!$B$3:$B$5001,G$149,BD!$A$3:$A$5001,_xlfn.MAXIFS(BD!$A$3:$A$5001,BD!$B$3:$B$5001,G$149,BD!$A$3:$A$5001,"&gt;="&amp;$C$7,BD!$A$3:$A$5001,"&lt;="&amp;$B180,BD!$M$3:$M$5001,"&lt;&gt;"))))</f>
        <v/>
      </c>
      <c r="H180" s="43" t="str">
        <f>IF(OR($B180="",$A180&gt;$B$9,H$149=""),"",IF(COUNTIFS(BD!$B$3:$B$5001,H$149,BD!$A$3:$A$5001,"&gt;="&amp;$C$7,BD!$A$3:$A$5001,"&lt;="&amp;$B180,BD!$M$3:$M$5001,"&lt;&gt;")=0,"",SUMIFS(BD!$M$3:$M$5001,BD!$B$3:$B$5001,H$149,BD!$A$3:$A$5001,_xlfn.MAXIFS(BD!$A$3:$A$5001,BD!$B$3:$B$5001,H$149,BD!$A$3:$A$5001,"&gt;="&amp;$C$7,BD!$A$3:$A$5001,"&lt;="&amp;$B180,BD!$M$3:$M$5001,"&lt;&gt;"))))</f>
        <v/>
      </c>
      <c r="I180" s="43" t="str">
        <f>IF(OR($B180="",$A180&gt;$B$9,I$149=""),"",IF(COUNTIFS(BD!$B$3:$B$5001,I$149,BD!$A$3:$A$5001,"&gt;="&amp;$C$7,BD!$A$3:$A$5001,"&lt;="&amp;$B180,BD!$M$3:$M$5001,"&lt;&gt;")=0,"",SUMIFS(BD!$M$3:$M$5001,BD!$B$3:$B$5001,I$149,BD!$A$3:$A$5001,_xlfn.MAXIFS(BD!$A$3:$A$5001,BD!$B$3:$B$5001,I$149,BD!$A$3:$A$5001,"&gt;="&amp;$C$7,BD!$A$3:$A$5001,"&lt;="&amp;$B180,BD!$M$3:$M$5001,"&lt;&gt;"))))</f>
        <v/>
      </c>
      <c r="J180" s="43" t="str">
        <f>IF(OR($B180="",$A180&gt;$B$9,J$149=""),"",IF(COUNTIFS(BD!$B$3:$B$5001,J$149,BD!$A$3:$A$5001,"&gt;="&amp;$C$7,BD!$A$3:$A$5001,"&lt;="&amp;$B180,BD!$M$3:$M$5001,"&lt;&gt;")=0,"",SUMIFS(BD!$M$3:$M$5001,BD!$B$3:$B$5001,J$149,BD!$A$3:$A$5001,_xlfn.MAXIFS(BD!$A$3:$A$5001,BD!$B$3:$B$5001,J$149,BD!$A$3:$A$5001,"&gt;="&amp;$C$7,BD!$A$3:$A$5001,"&lt;="&amp;$B180,BD!$M$3:$M$5001,"&lt;&gt;"))))</f>
        <v/>
      </c>
      <c r="K180" s="43" t="str">
        <f>IF(OR($B180="",$A180&gt;$B$9,K$149=""),"",IF(COUNTIFS(BD!$B$3:$B$5001,K$149,BD!$A$3:$A$5001,"&gt;="&amp;$C$7,BD!$A$3:$A$5001,"&lt;="&amp;$B180,BD!$M$3:$M$5001,"&lt;&gt;")=0,"",SUMIFS(BD!$M$3:$M$5001,BD!$B$3:$B$5001,K$149,BD!$A$3:$A$5001,_xlfn.MAXIFS(BD!$A$3:$A$5001,BD!$B$3:$B$5001,K$149,BD!$A$3:$A$5001,"&gt;="&amp;$C$7,BD!$A$3:$A$5001,"&lt;="&amp;$B180,BD!$M$3:$M$5001,"&lt;&gt;"))))</f>
        <v/>
      </c>
      <c r="L180" s="43" t="str">
        <f>IF(OR($B180="",$A180&gt;$B$9,L$149=""),"",IF(COUNTIFS(BD!$B$3:$B$5001,L$149,BD!$A$3:$A$5001,"&gt;="&amp;$C$7,BD!$A$3:$A$5001,"&lt;="&amp;$B180,BD!$M$3:$M$5001,"&lt;&gt;")=0,"",SUMIFS(BD!$M$3:$M$5001,BD!$B$3:$B$5001,L$149,BD!$A$3:$A$5001,_xlfn.MAXIFS(BD!$A$3:$A$5001,BD!$B$3:$B$5001,L$149,BD!$A$3:$A$5001,"&gt;="&amp;$C$7,BD!$A$3:$A$5001,"&lt;="&amp;$B180,BD!$M$3:$M$5001,"&lt;&gt;"))))</f>
        <v/>
      </c>
      <c r="M180" s="43" t="str">
        <f>IF(OR($B180="",$A180&gt;$B$9,M$149=""),"",IF(COUNTIFS(BD!$B$3:$B$5001,M$149,BD!$A$3:$A$5001,"&gt;="&amp;$C$7,BD!$A$3:$A$5001,"&lt;="&amp;$B180,BD!$M$3:$M$5001,"&lt;&gt;")=0,"",SUMIFS(BD!$M$3:$M$5001,BD!$B$3:$B$5001,M$149,BD!$A$3:$A$5001,_xlfn.MAXIFS(BD!$A$3:$A$5001,BD!$B$3:$B$5001,M$149,BD!$A$3:$A$5001,"&gt;="&amp;$C$7,BD!$A$3:$A$5001,"&lt;="&amp;$B180,BD!$M$3:$M$5001,"&lt;&gt;"))))</f>
        <v/>
      </c>
      <c r="N180" s="43" t="str">
        <f>IF(OR($B180="",$A180&gt;$B$9,N$149=""),"",IF(COUNTIFS(BD!$B$3:$B$5001,N$149,BD!$A$3:$A$5001,"&gt;="&amp;$C$7,BD!$A$3:$A$5001,"&lt;="&amp;$B180,BD!$M$3:$M$5001,"&lt;&gt;")=0,"",SUMIFS(BD!$M$3:$M$5001,BD!$B$3:$B$5001,N$149,BD!$A$3:$A$5001,_xlfn.MAXIFS(BD!$A$3:$A$5001,BD!$B$3:$B$5001,N$149,BD!$A$3:$A$5001,"&gt;="&amp;$C$7,BD!$A$3:$A$5001,"&lt;="&amp;$B180,BD!$M$3:$M$5001,"&lt;&gt;"))))</f>
        <v/>
      </c>
      <c r="O180" s="43" t="str">
        <f>IF(OR($B180="",$A180&gt;$B$9,O$149=""),"",IF(COUNTIFS(BD!$B$3:$B$5001,O$149,BD!$A$3:$A$5001,"&gt;="&amp;$C$7,BD!$A$3:$A$5001,"&lt;="&amp;$B180,BD!$M$3:$M$5001,"&lt;&gt;")=0,"",SUMIFS(BD!$M$3:$M$5001,BD!$B$3:$B$5001,O$149,BD!$A$3:$A$5001,_xlfn.MAXIFS(BD!$A$3:$A$5001,BD!$B$3:$B$5001,O$149,BD!$A$3:$A$5001,"&gt;="&amp;$C$7,BD!$A$3:$A$5001,"&lt;="&amp;$B180,BD!$M$3:$M$5001,"&lt;&gt;"))))</f>
        <v/>
      </c>
      <c r="P180" s="43" t="str">
        <f>IF(OR($B180="",$A180&gt;$B$9,P$149=""),"",IF(COUNTIFS(BD!$B$3:$B$5001,P$149,BD!$A$3:$A$5001,"&gt;="&amp;$C$7,BD!$A$3:$A$5001,"&lt;="&amp;$B180,BD!$M$3:$M$5001,"&lt;&gt;")=0,"",SUMIFS(BD!$M$3:$M$5001,BD!$B$3:$B$5001,P$149,BD!$A$3:$A$5001,_xlfn.MAXIFS(BD!$A$3:$A$5001,BD!$B$3:$B$5001,P$149,BD!$A$3:$A$5001,"&gt;="&amp;$C$7,BD!$A$3:$A$5001,"&lt;="&amp;$B180,BD!$M$3:$M$5001,"&lt;&gt;"))))</f>
        <v/>
      </c>
      <c r="Q180" s="43" t="str">
        <f>IF(OR($B180="",$A180&gt;$B$9,Q$149=""),"",IF(COUNTIFS(BD!$B$3:$B$5001,Q$149,BD!$A$3:$A$5001,"&gt;="&amp;$C$7,BD!$A$3:$A$5001,"&lt;="&amp;$B180,BD!$M$3:$M$5001,"&lt;&gt;")=0,"",SUMIFS(BD!$M$3:$M$5001,BD!$B$3:$B$5001,Q$149,BD!$A$3:$A$5001,_xlfn.MAXIFS(BD!$A$3:$A$5001,BD!$B$3:$B$5001,Q$149,BD!$A$3:$A$5001,"&gt;="&amp;$C$7,BD!$A$3:$A$5001,"&lt;="&amp;$B180,BD!$M$3:$M$5001,"&lt;&gt;"))))</f>
        <v/>
      </c>
      <c r="R180" s="43" t="str">
        <f>IF(OR($B180="",$A180&gt;$B$9,R$149=""),"",IF(COUNTIFS(BD!$B$3:$B$5001,R$149,BD!$A$3:$A$5001,"&gt;="&amp;$C$7,BD!$A$3:$A$5001,"&lt;="&amp;$B180,BD!$M$3:$M$5001,"&lt;&gt;")=0,"",SUMIFS(BD!$M$3:$M$5001,BD!$B$3:$B$5001,R$149,BD!$A$3:$A$5001,_xlfn.MAXIFS(BD!$A$3:$A$5001,BD!$B$3:$B$5001,R$149,BD!$A$3:$A$5001,"&gt;="&amp;$C$7,BD!$A$3:$A$5001,"&lt;="&amp;$B180,BD!$M$3:$M$5001,"&lt;&gt;"))))</f>
        <v/>
      </c>
      <c r="S180" s="43" t="str">
        <f>IF(OR($B180="",$A180&gt;$B$9,S$149=""),"",IF(COUNTIFS(BD!$B$3:$B$5001,S$149,BD!$A$3:$A$5001,"&gt;="&amp;$C$7,BD!$A$3:$A$5001,"&lt;="&amp;$B180,BD!$M$3:$M$5001,"&lt;&gt;")=0,"",SUMIFS(BD!$M$3:$M$5001,BD!$B$3:$B$5001,S$149,BD!$A$3:$A$5001,_xlfn.MAXIFS(BD!$A$3:$A$5001,BD!$B$3:$B$5001,S$149,BD!$A$3:$A$5001,"&gt;="&amp;$C$7,BD!$A$3:$A$5001,"&lt;="&amp;$B180,BD!$M$3:$M$5001,"&lt;&gt;"))))</f>
        <v/>
      </c>
      <c r="T180" s="43" t="str">
        <f>IF(OR($B180="",$A180&gt;$B$9,T$149=""),"",IF(COUNTIFS(BD!$B$3:$B$5001,T$149,BD!$A$3:$A$5001,"&gt;="&amp;$C$7,BD!$A$3:$A$5001,"&lt;="&amp;$B180,BD!$M$3:$M$5001,"&lt;&gt;")=0,"",SUMIFS(BD!$M$3:$M$5001,BD!$B$3:$B$5001,T$149,BD!$A$3:$A$5001,_xlfn.MAXIFS(BD!$A$3:$A$5001,BD!$B$3:$B$5001,T$149,BD!$A$3:$A$5001,"&gt;="&amp;$C$7,BD!$A$3:$A$5001,"&lt;="&amp;$B180,BD!$M$3:$M$5001,"&lt;&gt;"))))</f>
        <v/>
      </c>
      <c r="U180" s="43" t="str">
        <f>IF(OR($B180="",$A180&gt;$B$9,U$149=""),"",IF(COUNTIFS(BD!$B$3:$B$5001,U$149,BD!$A$3:$A$5001,"&gt;="&amp;$C$7,BD!$A$3:$A$5001,"&lt;="&amp;$B180,BD!$M$3:$M$5001,"&lt;&gt;")=0,"",SUMIFS(BD!$M$3:$M$5001,BD!$B$3:$B$5001,U$149,BD!$A$3:$A$5001,_xlfn.MAXIFS(BD!$A$3:$A$5001,BD!$B$3:$B$5001,U$149,BD!$A$3:$A$5001,"&gt;="&amp;$C$7,BD!$A$3:$A$5001,"&lt;="&amp;$B180,BD!$M$3:$M$5001,"&lt;&gt;"))))</f>
        <v/>
      </c>
      <c r="V180" s="43" t="str">
        <f>IF(OR($B180="",$A180&gt;$B$9,V$149=""),"",IF(COUNTIFS(BD!$B$3:$B$5001,V$149,BD!$A$3:$A$5001,"&gt;="&amp;$C$7,BD!$A$3:$A$5001,"&lt;="&amp;$B180,BD!$M$3:$M$5001,"&lt;&gt;")=0,"",SUMIFS(BD!$M$3:$M$5001,BD!$B$3:$B$5001,V$149,BD!$A$3:$A$5001,_xlfn.MAXIFS(BD!$A$3:$A$5001,BD!$B$3:$B$5001,V$149,BD!$A$3:$A$5001,"&gt;="&amp;$C$7,BD!$A$3:$A$5001,"&lt;="&amp;$B180,BD!$M$3:$M$5001,"&lt;&gt;"))))</f>
        <v/>
      </c>
    </row>
    <row r="181">
      <c r="A181" s="44" t="inlineStr">
        <is>
          <t xml:space="preserve">Mês anterior (último)</t>
        </is>
      </c>
      <c r="C181" s="45" t="str">
        <f>IF(C$149="","",IF(COUNTIFS(BD!$B$3:$B$5001,C$149,BD!$A$3:$A$5001,"&gt;="&amp;$C$8,BD!$A$3:$A$5001,"&lt;="&amp;$D$8,BD!$M$3:$M$5001,"&lt;&gt;")=0,"",SUMIFS(BD!$M$3:$M$5001,BD!$B$3:$B$5001,C$149,BD!$A$3:$A$5001,_xlfn.MAXIFS(BD!$A$3:$A$5001,BD!$B$3:$B$5001,C$149,BD!$A$3:$A$5001,"&gt;="&amp;$C$8,BD!$A$3:$A$5001,"&lt;="&amp;$D$8,BD!$M$3:$M$5001,"&lt;&gt;"))))</f>
        <v/>
      </c>
      <c r="D181" s="45" t="str">
        <f>IF(D$149="","",IF(COUNTIFS(BD!$B$3:$B$5001,D$149,BD!$A$3:$A$5001,"&gt;="&amp;$C$8,BD!$A$3:$A$5001,"&lt;="&amp;$D$8,BD!$M$3:$M$5001,"&lt;&gt;")=0,"",SUMIFS(BD!$M$3:$M$5001,BD!$B$3:$B$5001,D$149,BD!$A$3:$A$5001,_xlfn.MAXIFS(BD!$A$3:$A$5001,BD!$B$3:$B$5001,D$149,BD!$A$3:$A$5001,"&gt;="&amp;$C$8,BD!$A$3:$A$5001,"&lt;="&amp;$D$8,BD!$M$3:$M$5001,"&lt;&gt;"))))</f>
        <v/>
      </c>
      <c r="E181" s="45" t="str">
        <f>IF(E$149="","",IF(COUNTIFS(BD!$B$3:$B$5001,E$149,BD!$A$3:$A$5001,"&gt;="&amp;$C$8,BD!$A$3:$A$5001,"&lt;="&amp;$D$8,BD!$M$3:$M$5001,"&lt;&gt;")=0,"",SUMIFS(BD!$M$3:$M$5001,BD!$B$3:$B$5001,E$149,BD!$A$3:$A$5001,_xlfn.MAXIFS(BD!$A$3:$A$5001,BD!$B$3:$B$5001,E$149,BD!$A$3:$A$5001,"&gt;="&amp;$C$8,BD!$A$3:$A$5001,"&lt;="&amp;$D$8,BD!$M$3:$M$5001,"&lt;&gt;"))))</f>
        <v/>
      </c>
      <c r="F181" s="45" t="str">
        <f>IF(F$149="","",IF(COUNTIFS(BD!$B$3:$B$5001,F$149,BD!$A$3:$A$5001,"&gt;="&amp;$C$8,BD!$A$3:$A$5001,"&lt;="&amp;$D$8,BD!$M$3:$M$5001,"&lt;&gt;")=0,"",SUMIFS(BD!$M$3:$M$5001,BD!$B$3:$B$5001,F$149,BD!$A$3:$A$5001,_xlfn.MAXIFS(BD!$A$3:$A$5001,BD!$B$3:$B$5001,F$149,BD!$A$3:$A$5001,"&gt;="&amp;$C$8,BD!$A$3:$A$5001,"&lt;="&amp;$D$8,BD!$M$3:$M$5001,"&lt;&gt;"))))</f>
        <v/>
      </c>
      <c r="G181" s="45" t="str">
        <f>IF(G$149="","",IF(COUNTIFS(BD!$B$3:$B$5001,G$149,BD!$A$3:$A$5001,"&gt;="&amp;$C$8,BD!$A$3:$A$5001,"&lt;="&amp;$D$8,BD!$M$3:$M$5001,"&lt;&gt;")=0,"",SUMIFS(BD!$M$3:$M$5001,BD!$B$3:$B$5001,G$149,BD!$A$3:$A$5001,_xlfn.MAXIFS(BD!$A$3:$A$5001,BD!$B$3:$B$5001,G$149,BD!$A$3:$A$5001,"&gt;="&amp;$C$8,BD!$A$3:$A$5001,"&lt;="&amp;$D$8,BD!$M$3:$M$5001,"&lt;&gt;"))))</f>
        <v/>
      </c>
      <c r="H181" s="45" t="str">
        <f>IF(H$149="","",IF(COUNTIFS(BD!$B$3:$B$5001,H$149,BD!$A$3:$A$5001,"&gt;="&amp;$C$8,BD!$A$3:$A$5001,"&lt;="&amp;$D$8,BD!$M$3:$M$5001,"&lt;&gt;")=0,"",SUMIFS(BD!$M$3:$M$5001,BD!$B$3:$B$5001,H$149,BD!$A$3:$A$5001,_xlfn.MAXIFS(BD!$A$3:$A$5001,BD!$B$3:$B$5001,H$149,BD!$A$3:$A$5001,"&gt;="&amp;$C$8,BD!$A$3:$A$5001,"&lt;="&amp;$D$8,BD!$M$3:$M$5001,"&lt;&gt;"))))</f>
        <v/>
      </c>
      <c r="I181" s="45" t="str">
        <f>IF(I$149="","",IF(COUNTIFS(BD!$B$3:$B$5001,I$149,BD!$A$3:$A$5001,"&gt;="&amp;$C$8,BD!$A$3:$A$5001,"&lt;="&amp;$D$8,BD!$M$3:$M$5001,"&lt;&gt;")=0,"",SUMIFS(BD!$M$3:$M$5001,BD!$B$3:$B$5001,I$149,BD!$A$3:$A$5001,_xlfn.MAXIFS(BD!$A$3:$A$5001,BD!$B$3:$B$5001,I$149,BD!$A$3:$A$5001,"&gt;="&amp;$C$8,BD!$A$3:$A$5001,"&lt;="&amp;$D$8,BD!$M$3:$M$5001,"&lt;&gt;"))))</f>
        <v/>
      </c>
      <c r="J181" s="45" t="str">
        <f>IF(J$149="","",IF(COUNTIFS(BD!$B$3:$B$5001,J$149,BD!$A$3:$A$5001,"&gt;="&amp;$C$8,BD!$A$3:$A$5001,"&lt;="&amp;$D$8,BD!$M$3:$M$5001,"&lt;&gt;")=0,"",SUMIFS(BD!$M$3:$M$5001,BD!$B$3:$B$5001,J$149,BD!$A$3:$A$5001,_xlfn.MAXIFS(BD!$A$3:$A$5001,BD!$B$3:$B$5001,J$149,BD!$A$3:$A$5001,"&gt;="&amp;$C$8,BD!$A$3:$A$5001,"&lt;="&amp;$D$8,BD!$M$3:$M$5001,"&lt;&gt;"))))</f>
        <v/>
      </c>
      <c r="K181" s="45" t="str">
        <f>IF(K$149="","",IF(COUNTIFS(BD!$B$3:$B$5001,K$149,BD!$A$3:$A$5001,"&gt;="&amp;$C$8,BD!$A$3:$A$5001,"&lt;="&amp;$D$8,BD!$M$3:$M$5001,"&lt;&gt;")=0,"",SUMIFS(BD!$M$3:$M$5001,BD!$B$3:$B$5001,K$149,BD!$A$3:$A$5001,_xlfn.MAXIFS(BD!$A$3:$A$5001,BD!$B$3:$B$5001,K$149,BD!$A$3:$A$5001,"&gt;="&amp;$C$8,BD!$A$3:$A$5001,"&lt;="&amp;$D$8,BD!$M$3:$M$5001,"&lt;&gt;"))))</f>
        <v/>
      </c>
      <c r="L181" s="45" t="str">
        <f>IF(L$149="","",IF(COUNTIFS(BD!$B$3:$B$5001,L$149,BD!$A$3:$A$5001,"&gt;="&amp;$C$8,BD!$A$3:$A$5001,"&lt;="&amp;$D$8,BD!$M$3:$M$5001,"&lt;&gt;")=0,"",SUMIFS(BD!$M$3:$M$5001,BD!$B$3:$B$5001,L$149,BD!$A$3:$A$5001,_xlfn.MAXIFS(BD!$A$3:$A$5001,BD!$B$3:$B$5001,L$149,BD!$A$3:$A$5001,"&gt;="&amp;$C$8,BD!$A$3:$A$5001,"&lt;="&amp;$D$8,BD!$M$3:$M$5001,"&lt;&gt;"))))</f>
        <v/>
      </c>
      <c r="M181" s="45" t="str">
        <f>IF(M$149="","",IF(COUNTIFS(BD!$B$3:$B$5001,M$149,BD!$A$3:$A$5001,"&gt;="&amp;$C$8,BD!$A$3:$A$5001,"&lt;="&amp;$D$8,BD!$M$3:$M$5001,"&lt;&gt;")=0,"",SUMIFS(BD!$M$3:$M$5001,BD!$B$3:$B$5001,M$149,BD!$A$3:$A$5001,_xlfn.MAXIFS(BD!$A$3:$A$5001,BD!$B$3:$B$5001,M$149,BD!$A$3:$A$5001,"&gt;="&amp;$C$8,BD!$A$3:$A$5001,"&lt;="&amp;$D$8,BD!$M$3:$M$5001,"&lt;&gt;"))))</f>
        <v/>
      </c>
      <c r="N181" s="45" t="str">
        <f>IF(N$149="","",IF(COUNTIFS(BD!$B$3:$B$5001,N$149,BD!$A$3:$A$5001,"&gt;="&amp;$C$8,BD!$A$3:$A$5001,"&lt;="&amp;$D$8,BD!$M$3:$M$5001,"&lt;&gt;")=0,"",SUMIFS(BD!$M$3:$M$5001,BD!$B$3:$B$5001,N$149,BD!$A$3:$A$5001,_xlfn.MAXIFS(BD!$A$3:$A$5001,BD!$B$3:$B$5001,N$149,BD!$A$3:$A$5001,"&gt;="&amp;$C$8,BD!$A$3:$A$5001,"&lt;="&amp;$D$8,BD!$M$3:$M$5001,"&lt;&gt;"))))</f>
        <v/>
      </c>
      <c r="O181" s="45" t="str">
        <f>IF(O$149="","",IF(COUNTIFS(BD!$B$3:$B$5001,O$149,BD!$A$3:$A$5001,"&gt;="&amp;$C$8,BD!$A$3:$A$5001,"&lt;="&amp;$D$8,BD!$M$3:$M$5001,"&lt;&gt;")=0,"",SUMIFS(BD!$M$3:$M$5001,BD!$B$3:$B$5001,O$149,BD!$A$3:$A$5001,_xlfn.MAXIFS(BD!$A$3:$A$5001,BD!$B$3:$B$5001,O$149,BD!$A$3:$A$5001,"&gt;="&amp;$C$8,BD!$A$3:$A$5001,"&lt;="&amp;$D$8,BD!$M$3:$M$5001,"&lt;&gt;"))))</f>
        <v/>
      </c>
      <c r="P181" s="45" t="str">
        <f>IF(P$149="","",IF(COUNTIFS(BD!$B$3:$B$5001,P$149,BD!$A$3:$A$5001,"&gt;="&amp;$C$8,BD!$A$3:$A$5001,"&lt;="&amp;$D$8,BD!$M$3:$M$5001,"&lt;&gt;")=0,"",SUMIFS(BD!$M$3:$M$5001,BD!$B$3:$B$5001,P$149,BD!$A$3:$A$5001,_xlfn.MAXIFS(BD!$A$3:$A$5001,BD!$B$3:$B$5001,P$149,BD!$A$3:$A$5001,"&gt;="&amp;$C$8,BD!$A$3:$A$5001,"&lt;="&amp;$D$8,BD!$M$3:$M$5001,"&lt;&gt;"))))</f>
        <v/>
      </c>
      <c r="Q181" s="45" t="str">
        <f>IF(Q$149="","",IF(COUNTIFS(BD!$B$3:$B$5001,Q$149,BD!$A$3:$A$5001,"&gt;="&amp;$C$8,BD!$A$3:$A$5001,"&lt;="&amp;$D$8,BD!$M$3:$M$5001,"&lt;&gt;")=0,"",SUMIFS(BD!$M$3:$M$5001,BD!$B$3:$B$5001,Q$149,BD!$A$3:$A$5001,_xlfn.MAXIFS(BD!$A$3:$A$5001,BD!$B$3:$B$5001,Q$149,BD!$A$3:$A$5001,"&gt;="&amp;$C$8,BD!$A$3:$A$5001,"&lt;="&amp;$D$8,BD!$M$3:$M$5001,"&lt;&gt;"))))</f>
        <v/>
      </c>
      <c r="R181" s="45" t="str">
        <f>IF(R$149="","",IF(COUNTIFS(BD!$B$3:$B$5001,R$149,BD!$A$3:$A$5001,"&gt;="&amp;$C$8,BD!$A$3:$A$5001,"&lt;="&amp;$D$8,BD!$M$3:$M$5001,"&lt;&gt;")=0,"",SUMIFS(BD!$M$3:$M$5001,BD!$B$3:$B$5001,R$149,BD!$A$3:$A$5001,_xlfn.MAXIFS(BD!$A$3:$A$5001,BD!$B$3:$B$5001,R$149,BD!$A$3:$A$5001,"&gt;="&amp;$C$8,BD!$A$3:$A$5001,"&lt;="&amp;$D$8,BD!$M$3:$M$5001,"&lt;&gt;"))))</f>
        <v/>
      </c>
      <c r="S181" s="45" t="str">
        <f>IF(S$149="","",IF(COUNTIFS(BD!$B$3:$B$5001,S$149,BD!$A$3:$A$5001,"&gt;="&amp;$C$8,BD!$A$3:$A$5001,"&lt;="&amp;$D$8,BD!$M$3:$M$5001,"&lt;&gt;")=0,"",SUMIFS(BD!$M$3:$M$5001,BD!$B$3:$B$5001,S$149,BD!$A$3:$A$5001,_xlfn.MAXIFS(BD!$A$3:$A$5001,BD!$B$3:$B$5001,S$149,BD!$A$3:$A$5001,"&gt;="&amp;$C$8,BD!$A$3:$A$5001,"&lt;="&amp;$D$8,BD!$M$3:$M$5001,"&lt;&gt;"))))</f>
        <v/>
      </c>
      <c r="T181" s="45" t="str">
        <f>IF(T$149="","",IF(COUNTIFS(BD!$B$3:$B$5001,T$149,BD!$A$3:$A$5001,"&gt;="&amp;$C$8,BD!$A$3:$A$5001,"&lt;="&amp;$D$8,BD!$M$3:$M$5001,"&lt;&gt;")=0,"",SUMIFS(BD!$M$3:$M$5001,BD!$B$3:$B$5001,T$149,BD!$A$3:$A$5001,_xlfn.MAXIFS(BD!$A$3:$A$5001,BD!$B$3:$B$5001,T$149,BD!$A$3:$A$5001,"&gt;="&amp;$C$8,BD!$A$3:$A$5001,"&lt;="&amp;$D$8,BD!$M$3:$M$5001,"&lt;&gt;"))))</f>
        <v/>
      </c>
      <c r="U181" s="45" t="str">
        <f>IF(U$149="","",IF(COUNTIFS(BD!$B$3:$B$5001,U$149,BD!$A$3:$A$5001,"&gt;="&amp;$C$8,BD!$A$3:$A$5001,"&lt;="&amp;$D$8,BD!$M$3:$M$5001,"&lt;&gt;")=0,"",SUMIFS(BD!$M$3:$M$5001,BD!$B$3:$B$5001,U$149,BD!$A$3:$A$5001,_xlfn.MAXIFS(BD!$A$3:$A$5001,BD!$B$3:$B$5001,U$149,BD!$A$3:$A$5001,"&gt;="&amp;$C$8,BD!$A$3:$A$5001,"&lt;="&amp;$D$8,BD!$M$3:$M$5001,"&lt;&gt;"))))</f>
        <v/>
      </c>
      <c r="V181" s="45" t="str">
        <f>IF(V$149="","",IF(COUNTIFS(BD!$B$3:$B$5001,V$149,BD!$A$3:$A$5001,"&gt;="&amp;$C$8,BD!$A$3:$A$5001,"&lt;="&amp;$D$8,BD!$M$3:$M$5001,"&lt;&gt;")=0,"",SUMIFS(BD!$M$3:$M$5001,BD!$B$3:$B$5001,V$149,BD!$A$3:$A$5001,_xlfn.MAXIFS(BD!$A$3:$A$5001,BD!$B$3:$B$5001,V$149,BD!$A$3:$A$5001,"&gt;="&amp;$C$8,BD!$A$3:$A$5001,"&lt;="&amp;$D$8,BD!$M$3:$M$5001,"&lt;&gt;"))))</f>
        <v/>
      </c>
    </row>
    <row r="182">
      <c r="A182" s="44" t="inlineStr">
        <is>
          <t xml:space="preserve">Depósito</t>
        </is>
      </c>
      <c r="C182" s="38" t="str">
        <f>IF(Config!$C$10="","JSL",Config!$C$10)</f>
        <v>JSL</v>
      </c>
      <c r="D182" s="38" t="str">
        <f>IF(Config!$C$11="","JSL",Config!$C$11)</f>
        <v>JSL</v>
      </c>
      <c r="E182" s="38" t="str">
        <f>IF(Config!$C$12="","JSL",Config!$C$12)</f>
        <v>JSL</v>
      </c>
      <c r="F182" s="38" t="str">
        <f>IF(Config!$C$13="","JSL",Config!$C$13)</f>
        <v>JSL</v>
      </c>
      <c r="G182" s="38" t="str">
        <f>IF(Config!$C$14="","JSL",Config!$C$14)</f>
        <v>JSL</v>
      </c>
      <c r="H182" s="38" t="str">
        <f>IF(Config!$C$15="","JSL",Config!$C$15)</f>
        <v>JSL</v>
      </c>
      <c r="I182" s="38" t="str">
        <f>IF(Config!$C$16="","JSL",Config!$C$16)</f>
        <v>JSL</v>
      </c>
      <c r="J182" s="38" t="str">
        <f>IF(Config!$C$17="","JSL",Config!$C$17)</f>
        <v>JSL</v>
      </c>
      <c r="K182" s="38" t="str">
        <f>IF(Config!$C$18="","JSL",Config!$C$18)</f>
        <v>JSL</v>
      </c>
      <c r="L182" s="38" t="str">
        <f>IF(Config!$C$19="","JSL",Config!$C$19)</f>
        <v>JSL</v>
      </c>
      <c r="M182" s="38" t="str">
        <f>IF(Config!$C$20="","JSL",Config!$C$20)</f>
        <v>JSL</v>
      </c>
      <c r="N182" s="38" t="str">
        <f>IF(Config!$C$21="","JSL",Config!$C$21)</f>
        <v>JSL</v>
      </c>
      <c r="O182" s="38" t="str">
        <f>IF(Config!$C$22="","JSL",Config!$C$22)</f>
        <v>JSL</v>
      </c>
      <c r="P182" s="38" t="str">
        <f>IF(Config!$C$23="","JSL",Config!$C$23)</f>
        <v>JSL</v>
      </c>
      <c r="Q182" s="38" t="str">
        <f>IF(Config!$C$24="","JSL",Config!$C$24)</f>
        <v>JSL</v>
      </c>
      <c r="R182" s="38" t="str">
        <f>IF(Config!$C$25="","JSL",Config!$C$25)</f>
        <v>JSL</v>
      </c>
      <c r="S182" s="38" t="str">
        <f>IF(Config!$C$26="","JSL",Config!$C$26)</f>
        <v>JSL</v>
      </c>
      <c r="T182" s="38" t="str">
        <f>IF(Config!$C$27="","JSL",Config!$C$27)</f>
        <v>JSL</v>
      </c>
      <c r="U182" s="38" t="str">
        <f>IF(Config!$C$28="","JSL",Config!$C$28)</f>
        <v>JSL</v>
      </c>
      <c r="V182" s="38" t="str">
        <f>IF(Config!$C$29="","JSL",Config!$C$29)</f>
        <v>JSL</v>
      </c>
    </row>
    <row r="184">
      <c r="A184" s="37" t="inlineStr">
        <is>
          <t xml:space="preserve">Posições Disponíveis</t>
        </is>
      </c>
      <c r="B184" s="37" t="inlineStr">
        <is>
          <t xml:space="preserve">Data</t>
        </is>
      </c>
      <c r="C184" s="37" t="str">
        <f>Config!$B$10&amp;""</f>
        <v>Barry Callebaut</v>
      </c>
      <c r="D184" s="37" t="str">
        <f>Config!$B$11&amp;""</f>
        <v>GM</v>
      </c>
      <c r="E184" s="37" t="str">
        <f>Config!$B$12&amp;""</f>
        <v>Mondelez</v>
      </c>
      <c r="F184" s="37" t="str">
        <f>Config!$B$13&amp;""</f>
        <v>Nestlé</v>
      </c>
      <c r="G184" s="37" t="str">
        <f>Config!$B$14&amp;""</f>
        <v>PMB</v>
      </c>
      <c r="H184" s="37" t="str">
        <f>Config!$B$15&amp;""</f>
        <v/>
      </c>
      <c r="I184" s="37" t="str">
        <f>Config!$B$16&amp;""</f>
        <v/>
      </c>
      <c r="J184" s="37" t="str">
        <f>Config!$B$17&amp;""</f>
        <v/>
      </c>
      <c r="K184" s="37" t="str">
        <f>Config!$B$18&amp;""</f>
        <v/>
      </c>
      <c r="L184" s="37" t="str">
        <f>Config!$B$19&amp;""</f>
        <v/>
      </c>
      <c r="M184" s="37" t="str">
        <f>Config!$B$20&amp;""</f>
        <v/>
      </c>
      <c r="N184" s="37" t="str">
        <f>Config!$B$21&amp;""</f>
        <v/>
      </c>
      <c r="O184" s="37" t="str">
        <f>Config!$B$22&amp;""</f>
        <v/>
      </c>
      <c r="P184" s="37" t="str">
        <f>Config!$B$23&amp;""</f>
        <v/>
      </c>
      <c r="Q184" s="37" t="str">
        <f>Config!$B$24&amp;""</f>
        <v/>
      </c>
      <c r="R184" s="37" t="str">
        <f>Config!$B$25&amp;""</f>
        <v/>
      </c>
      <c r="S184" s="37" t="str">
        <f>Config!$B$26&amp;""</f>
        <v/>
      </c>
      <c r="T184" s="37" t="str">
        <f>Config!$B$27&amp;""</f>
        <v/>
      </c>
      <c r="U184" s="37" t="str">
        <f>Config!$B$28&amp;""</f>
        <v/>
      </c>
      <c r="V184" s="37" t="str">
        <f>Config!$B$29&amp;""</f>
        <v/>
      </c>
    </row>
    <row r="185">
      <c r="A185" s="38">
        <v>1</v>
      </c>
      <c r="B185" s="42">
        <f>$B$12</f>
        <v>46296</v>
      </c>
      <c r="C185" s="43" t="str">
        <f>IF(OR($B185="",$A185&gt;$B$9,C$184=""),"",IF(COUNTIFS(BD!$B$3:$B$5001,C$184,BD!$A$3:$A$5001,"&gt;="&amp;$C$7,BD!$A$3:$A$5001,"&lt;="&amp;$B185,BD!$L$3:$L$5001,"&lt;&gt;")=0,"",SUMIFS(BD!$L$3:$L$5001,BD!$B$3:$B$5001,C$184,BD!$A$3:$A$5001,_xlfn.MAXIFS(BD!$A$3:$A$5001,BD!$B$3:$B$5001,C$184,BD!$A$3:$A$5001,"&gt;="&amp;$C$7,BD!$A$3:$A$5001,"&lt;="&amp;$B185,BD!$L$3:$L$5001,"&lt;&gt;"))))</f>
        <v/>
      </c>
      <c r="D185" s="43" t="str">
        <f>IF(OR($B185="",$A185&gt;$B$9,D$184=""),"",IF(COUNTIFS(BD!$B$3:$B$5001,D$184,BD!$A$3:$A$5001,"&gt;="&amp;$C$7,BD!$A$3:$A$5001,"&lt;="&amp;$B185,BD!$L$3:$L$5001,"&lt;&gt;")=0,"",SUMIFS(BD!$L$3:$L$5001,BD!$B$3:$B$5001,D$184,BD!$A$3:$A$5001,_xlfn.MAXIFS(BD!$A$3:$A$5001,BD!$B$3:$B$5001,D$184,BD!$A$3:$A$5001,"&gt;="&amp;$C$7,BD!$A$3:$A$5001,"&lt;="&amp;$B185,BD!$L$3:$L$5001,"&lt;&gt;"))))</f>
        <v/>
      </c>
      <c r="E185" s="43" t="str">
        <f>IF(OR($B185="",$A185&gt;$B$9,E$184=""),"",IF(COUNTIFS(BD!$B$3:$B$5001,E$184,BD!$A$3:$A$5001,"&gt;="&amp;$C$7,BD!$A$3:$A$5001,"&lt;="&amp;$B185,BD!$L$3:$L$5001,"&lt;&gt;")=0,"",SUMIFS(BD!$L$3:$L$5001,BD!$B$3:$B$5001,E$184,BD!$A$3:$A$5001,_xlfn.MAXIFS(BD!$A$3:$A$5001,BD!$B$3:$B$5001,E$184,BD!$A$3:$A$5001,"&gt;="&amp;$C$7,BD!$A$3:$A$5001,"&lt;="&amp;$B185,BD!$L$3:$L$5001,"&lt;&gt;"))))</f>
        <v/>
      </c>
      <c r="F185" s="43" t="str">
        <f>IF(OR($B185="",$A185&gt;$B$9,F$184=""),"",IF(COUNTIFS(BD!$B$3:$B$5001,F$184,BD!$A$3:$A$5001,"&gt;="&amp;$C$7,BD!$A$3:$A$5001,"&lt;="&amp;$B185,BD!$L$3:$L$5001,"&lt;&gt;")=0,"",SUMIFS(BD!$L$3:$L$5001,BD!$B$3:$B$5001,F$184,BD!$A$3:$A$5001,_xlfn.MAXIFS(BD!$A$3:$A$5001,BD!$B$3:$B$5001,F$184,BD!$A$3:$A$5001,"&gt;="&amp;$C$7,BD!$A$3:$A$5001,"&lt;="&amp;$B185,BD!$L$3:$L$5001,"&lt;&gt;"))))</f>
        <v/>
      </c>
      <c r="G185" s="43" t="str">
        <f>IF(OR($B185="",$A185&gt;$B$9,G$184=""),"",IF(COUNTIFS(BD!$B$3:$B$5001,G$184,BD!$A$3:$A$5001,"&gt;="&amp;$C$7,BD!$A$3:$A$5001,"&lt;="&amp;$B185,BD!$L$3:$L$5001,"&lt;&gt;")=0,"",SUMIFS(BD!$L$3:$L$5001,BD!$B$3:$B$5001,G$184,BD!$A$3:$A$5001,_xlfn.MAXIFS(BD!$A$3:$A$5001,BD!$B$3:$B$5001,G$184,BD!$A$3:$A$5001,"&gt;="&amp;$C$7,BD!$A$3:$A$5001,"&lt;="&amp;$B185,BD!$L$3:$L$5001,"&lt;&gt;"))))</f>
        <v/>
      </c>
      <c r="H185" s="43" t="str">
        <f>IF(OR($B185="",$A185&gt;$B$9,H$184=""),"",IF(COUNTIFS(BD!$B$3:$B$5001,H$184,BD!$A$3:$A$5001,"&gt;="&amp;$C$7,BD!$A$3:$A$5001,"&lt;="&amp;$B185,BD!$L$3:$L$5001,"&lt;&gt;")=0,"",SUMIFS(BD!$L$3:$L$5001,BD!$B$3:$B$5001,H$184,BD!$A$3:$A$5001,_xlfn.MAXIFS(BD!$A$3:$A$5001,BD!$B$3:$B$5001,H$184,BD!$A$3:$A$5001,"&gt;="&amp;$C$7,BD!$A$3:$A$5001,"&lt;="&amp;$B185,BD!$L$3:$L$5001,"&lt;&gt;"))))</f>
        <v/>
      </c>
      <c r="I185" s="43" t="str">
        <f>IF(OR($B185="",$A185&gt;$B$9,I$184=""),"",IF(COUNTIFS(BD!$B$3:$B$5001,I$184,BD!$A$3:$A$5001,"&gt;="&amp;$C$7,BD!$A$3:$A$5001,"&lt;="&amp;$B185,BD!$L$3:$L$5001,"&lt;&gt;")=0,"",SUMIFS(BD!$L$3:$L$5001,BD!$B$3:$B$5001,I$184,BD!$A$3:$A$5001,_xlfn.MAXIFS(BD!$A$3:$A$5001,BD!$B$3:$B$5001,I$184,BD!$A$3:$A$5001,"&gt;="&amp;$C$7,BD!$A$3:$A$5001,"&lt;="&amp;$B185,BD!$L$3:$L$5001,"&lt;&gt;"))))</f>
        <v/>
      </c>
      <c r="J185" s="43" t="str">
        <f>IF(OR($B185="",$A185&gt;$B$9,J$184=""),"",IF(COUNTIFS(BD!$B$3:$B$5001,J$184,BD!$A$3:$A$5001,"&gt;="&amp;$C$7,BD!$A$3:$A$5001,"&lt;="&amp;$B185,BD!$L$3:$L$5001,"&lt;&gt;")=0,"",SUMIFS(BD!$L$3:$L$5001,BD!$B$3:$B$5001,J$184,BD!$A$3:$A$5001,_xlfn.MAXIFS(BD!$A$3:$A$5001,BD!$B$3:$B$5001,J$184,BD!$A$3:$A$5001,"&gt;="&amp;$C$7,BD!$A$3:$A$5001,"&lt;="&amp;$B185,BD!$L$3:$L$5001,"&lt;&gt;"))))</f>
        <v/>
      </c>
      <c r="K185" s="43" t="str">
        <f>IF(OR($B185="",$A185&gt;$B$9,K$184=""),"",IF(COUNTIFS(BD!$B$3:$B$5001,K$184,BD!$A$3:$A$5001,"&gt;="&amp;$C$7,BD!$A$3:$A$5001,"&lt;="&amp;$B185,BD!$L$3:$L$5001,"&lt;&gt;")=0,"",SUMIFS(BD!$L$3:$L$5001,BD!$B$3:$B$5001,K$184,BD!$A$3:$A$5001,_xlfn.MAXIFS(BD!$A$3:$A$5001,BD!$B$3:$B$5001,K$184,BD!$A$3:$A$5001,"&gt;="&amp;$C$7,BD!$A$3:$A$5001,"&lt;="&amp;$B185,BD!$L$3:$L$5001,"&lt;&gt;"))))</f>
        <v/>
      </c>
      <c r="L185" s="43" t="str">
        <f>IF(OR($B185="",$A185&gt;$B$9,L$184=""),"",IF(COUNTIFS(BD!$B$3:$B$5001,L$184,BD!$A$3:$A$5001,"&gt;="&amp;$C$7,BD!$A$3:$A$5001,"&lt;="&amp;$B185,BD!$L$3:$L$5001,"&lt;&gt;")=0,"",SUMIFS(BD!$L$3:$L$5001,BD!$B$3:$B$5001,L$184,BD!$A$3:$A$5001,_xlfn.MAXIFS(BD!$A$3:$A$5001,BD!$B$3:$B$5001,L$184,BD!$A$3:$A$5001,"&gt;="&amp;$C$7,BD!$A$3:$A$5001,"&lt;="&amp;$B185,BD!$L$3:$L$5001,"&lt;&gt;"))))</f>
        <v/>
      </c>
      <c r="M185" s="43" t="str">
        <f>IF(OR($B185="",$A185&gt;$B$9,M$184=""),"",IF(COUNTIFS(BD!$B$3:$B$5001,M$184,BD!$A$3:$A$5001,"&gt;="&amp;$C$7,BD!$A$3:$A$5001,"&lt;="&amp;$B185,BD!$L$3:$L$5001,"&lt;&gt;")=0,"",SUMIFS(BD!$L$3:$L$5001,BD!$B$3:$B$5001,M$184,BD!$A$3:$A$5001,_xlfn.MAXIFS(BD!$A$3:$A$5001,BD!$B$3:$B$5001,M$184,BD!$A$3:$A$5001,"&gt;="&amp;$C$7,BD!$A$3:$A$5001,"&lt;="&amp;$B185,BD!$L$3:$L$5001,"&lt;&gt;"))))</f>
        <v/>
      </c>
      <c r="N185" s="43" t="str">
        <f>IF(OR($B185="",$A185&gt;$B$9,N$184=""),"",IF(COUNTIFS(BD!$B$3:$B$5001,N$184,BD!$A$3:$A$5001,"&gt;="&amp;$C$7,BD!$A$3:$A$5001,"&lt;="&amp;$B185,BD!$L$3:$L$5001,"&lt;&gt;")=0,"",SUMIFS(BD!$L$3:$L$5001,BD!$B$3:$B$5001,N$184,BD!$A$3:$A$5001,_xlfn.MAXIFS(BD!$A$3:$A$5001,BD!$B$3:$B$5001,N$184,BD!$A$3:$A$5001,"&gt;="&amp;$C$7,BD!$A$3:$A$5001,"&lt;="&amp;$B185,BD!$L$3:$L$5001,"&lt;&gt;"))))</f>
        <v/>
      </c>
      <c r="O185" s="43" t="str">
        <f>IF(OR($B185="",$A185&gt;$B$9,O$184=""),"",IF(COUNTIFS(BD!$B$3:$B$5001,O$184,BD!$A$3:$A$5001,"&gt;="&amp;$C$7,BD!$A$3:$A$5001,"&lt;="&amp;$B185,BD!$L$3:$L$5001,"&lt;&gt;")=0,"",SUMIFS(BD!$L$3:$L$5001,BD!$B$3:$B$5001,O$184,BD!$A$3:$A$5001,_xlfn.MAXIFS(BD!$A$3:$A$5001,BD!$B$3:$B$5001,O$184,BD!$A$3:$A$5001,"&gt;="&amp;$C$7,BD!$A$3:$A$5001,"&lt;="&amp;$B185,BD!$L$3:$L$5001,"&lt;&gt;"))))</f>
        <v/>
      </c>
      <c r="P185" s="43" t="str">
        <f>IF(OR($B185="",$A185&gt;$B$9,P$184=""),"",IF(COUNTIFS(BD!$B$3:$B$5001,P$184,BD!$A$3:$A$5001,"&gt;="&amp;$C$7,BD!$A$3:$A$5001,"&lt;="&amp;$B185,BD!$L$3:$L$5001,"&lt;&gt;")=0,"",SUMIFS(BD!$L$3:$L$5001,BD!$B$3:$B$5001,P$184,BD!$A$3:$A$5001,_xlfn.MAXIFS(BD!$A$3:$A$5001,BD!$B$3:$B$5001,P$184,BD!$A$3:$A$5001,"&gt;="&amp;$C$7,BD!$A$3:$A$5001,"&lt;="&amp;$B185,BD!$L$3:$L$5001,"&lt;&gt;"))))</f>
        <v/>
      </c>
      <c r="Q185" s="43" t="str">
        <f>IF(OR($B185="",$A185&gt;$B$9,Q$184=""),"",IF(COUNTIFS(BD!$B$3:$B$5001,Q$184,BD!$A$3:$A$5001,"&gt;="&amp;$C$7,BD!$A$3:$A$5001,"&lt;="&amp;$B185,BD!$L$3:$L$5001,"&lt;&gt;")=0,"",SUMIFS(BD!$L$3:$L$5001,BD!$B$3:$B$5001,Q$184,BD!$A$3:$A$5001,_xlfn.MAXIFS(BD!$A$3:$A$5001,BD!$B$3:$B$5001,Q$184,BD!$A$3:$A$5001,"&gt;="&amp;$C$7,BD!$A$3:$A$5001,"&lt;="&amp;$B185,BD!$L$3:$L$5001,"&lt;&gt;"))))</f>
        <v/>
      </c>
      <c r="R185" s="43" t="str">
        <f>IF(OR($B185="",$A185&gt;$B$9,R$184=""),"",IF(COUNTIFS(BD!$B$3:$B$5001,R$184,BD!$A$3:$A$5001,"&gt;="&amp;$C$7,BD!$A$3:$A$5001,"&lt;="&amp;$B185,BD!$L$3:$L$5001,"&lt;&gt;")=0,"",SUMIFS(BD!$L$3:$L$5001,BD!$B$3:$B$5001,R$184,BD!$A$3:$A$5001,_xlfn.MAXIFS(BD!$A$3:$A$5001,BD!$B$3:$B$5001,R$184,BD!$A$3:$A$5001,"&gt;="&amp;$C$7,BD!$A$3:$A$5001,"&lt;="&amp;$B185,BD!$L$3:$L$5001,"&lt;&gt;"))))</f>
        <v/>
      </c>
      <c r="S185" s="43" t="str">
        <f>IF(OR($B185="",$A185&gt;$B$9,S$184=""),"",IF(COUNTIFS(BD!$B$3:$B$5001,S$184,BD!$A$3:$A$5001,"&gt;="&amp;$C$7,BD!$A$3:$A$5001,"&lt;="&amp;$B185,BD!$L$3:$L$5001,"&lt;&gt;")=0,"",SUMIFS(BD!$L$3:$L$5001,BD!$B$3:$B$5001,S$184,BD!$A$3:$A$5001,_xlfn.MAXIFS(BD!$A$3:$A$5001,BD!$B$3:$B$5001,S$184,BD!$A$3:$A$5001,"&gt;="&amp;$C$7,BD!$A$3:$A$5001,"&lt;="&amp;$B185,BD!$L$3:$L$5001,"&lt;&gt;"))))</f>
        <v/>
      </c>
      <c r="T185" s="43" t="str">
        <f>IF(OR($B185="",$A185&gt;$B$9,T$184=""),"",IF(COUNTIFS(BD!$B$3:$B$5001,T$184,BD!$A$3:$A$5001,"&gt;="&amp;$C$7,BD!$A$3:$A$5001,"&lt;="&amp;$B185,BD!$L$3:$L$5001,"&lt;&gt;")=0,"",SUMIFS(BD!$L$3:$L$5001,BD!$B$3:$B$5001,T$184,BD!$A$3:$A$5001,_xlfn.MAXIFS(BD!$A$3:$A$5001,BD!$B$3:$B$5001,T$184,BD!$A$3:$A$5001,"&gt;="&amp;$C$7,BD!$A$3:$A$5001,"&lt;="&amp;$B185,BD!$L$3:$L$5001,"&lt;&gt;"))))</f>
        <v/>
      </c>
      <c r="U185" s="43" t="str">
        <f>IF(OR($B185="",$A185&gt;$B$9,U$184=""),"",IF(COUNTIFS(BD!$B$3:$B$5001,U$184,BD!$A$3:$A$5001,"&gt;="&amp;$C$7,BD!$A$3:$A$5001,"&lt;="&amp;$B185,BD!$L$3:$L$5001,"&lt;&gt;")=0,"",SUMIFS(BD!$L$3:$L$5001,BD!$B$3:$B$5001,U$184,BD!$A$3:$A$5001,_xlfn.MAXIFS(BD!$A$3:$A$5001,BD!$B$3:$B$5001,U$184,BD!$A$3:$A$5001,"&gt;="&amp;$C$7,BD!$A$3:$A$5001,"&lt;="&amp;$B185,BD!$L$3:$L$5001,"&lt;&gt;"))))</f>
        <v/>
      </c>
      <c r="V185" s="43" t="str">
        <f>IF(OR($B185="",$A185&gt;$B$9,V$184=""),"",IF(COUNTIFS(BD!$B$3:$B$5001,V$184,BD!$A$3:$A$5001,"&gt;="&amp;$C$7,BD!$A$3:$A$5001,"&lt;="&amp;$B185,BD!$L$3:$L$5001,"&lt;&gt;")=0,"",SUMIFS(BD!$L$3:$L$5001,BD!$B$3:$B$5001,V$184,BD!$A$3:$A$5001,_xlfn.MAXIFS(BD!$A$3:$A$5001,BD!$B$3:$B$5001,V$184,BD!$A$3:$A$5001,"&gt;="&amp;$C$7,BD!$A$3:$A$5001,"&lt;="&amp;$B185,BD!$L$3:$L$5001,"&lt;&gt;"))))</f>
        <v/>
      </c>
    </row>
    <row r="186">
      <c r="A186" s="38">
        <v>2</v>
      </c>
      <c r="B186" s="42">
        <f>$B$13</f>
        <v>46297</v>
      </c>
      <c r="C186" s="43" t="str">
        <f>IF(OR($B186="",$A186&gt;$B$9,C$184=""),"",IF(COUNTIFS(BD!$B$3:$B$5001,C$184,BD!$A$3:$A$5001,"&gt;="&amp;$C$7,BD!$A$3:$A$5001,"&lt;="&amp;$B186,BD!$L$3:$L$5001,"&lt;&gt;")=0,"",SUMIFS(BD!$L$3:$L$5001,BD!$B$3:$B$5001,C$184,BD!$A$3:$A$5001,_xlfn.MAXIFS(BD!$A$3:$A$5001,BD!$B$3:$B$5001,C$184,BD!$A$3:$A$5001,"&gt;="&amp;$C$7,BD!$A$3:$A$5001,"&lt;="&amp;$B186,BD!$L$3:$L$5001,"&lt;&gt;"))))</f>
        <v/>
      </c>
      <c r="D186" s="43" t="str">
        <f>IF(OR($B186="",$A186&gt;$B$9,D$184=""),"",IF(COUNTIFS(BD!$B$3:$B$5001,D$184,BD!$A$3:$A$5001,"&gt;="&amp;$C$7,BD!$A$3:$A$5001,"&lt;="&amp;$B186,BD!$L$3:$L$5001,"&lt;&gt;")=0,"",SUMIFS(BD!$L$3:$L$5001,BD!$B$3:$B$5001,D$184,BD!$A$3:$A$5001,_xlfn.MAXIFS(BD!$A$3:$A$5001,BD!$B$3:$B$5001,D$184,BD!$A$3:$A$5001,"&gt;="&amp;$C$7,BD!$A$3:$A$5001,"&lt;="&amp;$B186,BD!$L$3:$L$5001,"&lt;&gt;"))))</f>
        <v/>
      </c>
      <c r="E186" s="43" t="str">
        <f>IF(OR($B186="",$A186&gt;$B$9,E$184=""),"",IF(COUNTIFS(BD!$B$3:$B$5001,E$184,BD!$A$3:$A$5001,"&gt;="&amp;$C$7,BD!$A$3:$A$5001,"&lt;="&amp;$B186,BD!$L$3:$L$5001,"&lt;&gt;")=0,"",SUMIFS(BD!$L$3:$L$5001,BD!$B$3:$B$5001,E$184,BD!$A$3:$A$5001,_xlfn.MAXIFS(BD!$A$3:$A$5001,BD!$B$3:$B$5001,E$184,BD!$A$3:$A$5001,"&gt;="&amp;$C$7,BD!$A$3:$A$5001,"&lt;="&amp;$B186,BD!$L$3:$L$5001,"&lt;&gt;"))))</f>
        <v/>
      </c>
      <c r="F186" s="43" t="str">
        <f>IF(OR($B186="",$A186&gt;$B$9,F$184=""),"",IF(COUNTIFS(BD!$B$3:$B$5001,F$184,BD!$A$3:$A$5001,"&gt;="&amp;$C$7,BD!$A$3:$A$5001,"&lt;="&amp;$B186,BD!$L$3:$L$5001,"&lt;&gt;")=0,"",SUMIFS(BD!$L$3:$L$5001,BD!$B$3:$B$5001,F$184,BD!$A$3:$A$5001,_xlfn.MAXIFS(BD!$A$3:$A$5001,BD!$B$3:$B$5001,F$184,BD!$A$3:$A$5001,"&gt;="&amp;$C$7,BD!$A$3:$A$5001,"&lt;="&amp;$B186,BD!$L$3:$L$5001,"&lt;&gt;"))))</f>
        <v/>
      </c>
      <c r="G186" s="43" t="str">
        <f>IF(OR($B186="",$A186&gt;$B$9,G$184=""),"",IF(COUNTIFS(BD!$B$3:$B$5001,G$184,BD!$A$3:$A$5001,"&gt;="&amp;$C$7,BD!$A$3:$A$5001,"&lt;="&amp;$B186,BD!$L$3:$L$5001,"&lt;&gt;")=0,"",SUMIFS(BD!$L$3:$L$5001,BD!$B$3:$B$5001,G$184,BD!$A$3:$A$5001,_xlfn.MAXIFS(BD!$A$3:$A$5001,BD!$B$3:$B$5001,G$184,BD!$A$3:$A$5001,"&gt;="&amp;$C$7,BD!$A$3:$A$5001,"&lt;="&amp;$B186,BD!$L$3:$L$5001,"&lt;&gt;"))))</f>
        <v/>
      </c>
      <c r="H186" s="43" t="str">
        <f>IF(OR($B186="",$A186&gt;$B$9,H$184=""),"",IF(COUNTIFS(BD!$B$3:$B$5001,H$184,BD!$A$3:$A$5001,"&gt;="&amp;$C$7,BD!$A$3:$A$5001,"&lt;="&amp;$B186,BD!$L$3:$L$5001,"&lt;&gt;")=0,"",SUMIFS(BD!$L$3:$L$5001,BD!$B$3:$B$5001,H$184,BD!$A$3:$A$5001,_xlfn.MAXIFS(BD!$A$3:$A$5001,BD!$B$3:$B$5001,H$184,BD!$A$3:$A$5001,"&gt;="&amp;$C$7,BD!$A$3:$A$5001,"&lt;="&amp;$B186,BD!$L$3:$L$5001,"&lt;&gt;"))))</f>
        <v/>
      </c>
      <c r="I186" s="43" t="str">
        <f>IF(OR($B186="",$A186&gt;$B$9,I$184=""),"",IF(COUNTIFS(BD!$B$3:$B$5001,I$184,BD!$A$3:$A$5001,"&gt;="&amp;$C$7,BD!$A$3:$A$5001,"&lt;="&amp;$B186,BD!$L$3:$L$5001,"&lt;&gt;")=0,"",SUMIFS(BD!$L$3:$L$5001,BD!$B$3:$B$5001,I$184,BD!$A$3:$A$5001,_xlfn.MAXIFS(BD!$A$3:$A$5001,BD!$B$3:$B$5001,I$184,BD!$A$3:$A$5001,"&gt;="&amp;$C$7,BD!$A$3:$A$5001,"&lt;="&amp;$B186,BD!$L$3:$L$5001,"&lt;&gt;"))))</f>
        <v/>
      </c>
      <c r="J186" s="43" t="str">
        <f>IF(OR($B186="",$A186&gt;$B$9,J$184=""),"",IF(COUNTIFS(BD!$B$3:$B$5001,J$184,BD!$A$3:$A$5001,"&gt;="&amp;$C$7,BD!$A$3:$A$5001,"&lt;="&amp;$B186,BD!$L$3:$L$5001,"&lt;&gt;")=0,"",SUMIFS(BD!$L$3:$L$5001,BD!$B$3:$B$5001,J$184,BD!$A$3:$A$5001,_xlfn.MAXIFS(BD!$A$3:$A$5001,BD!$B$3:$B$5001,J$184,BD!$A$3:$A$5001,"&gt;="&amp;$C$7,BD!$A$3:$A$5001,"&lt;="&amp;$B186,BD!$L$3:$L$5001,"&lt;&gt;"))))</f>
        <v/>
      </c>
      <c r="K186" s="43" t="str">
        <f>IF(OR($B186="",$A186&gt;$B$9,K$184=""),"",IF(COUNTIFS(BD!$B$3:$B$5001,K$184,BD!$A$3:$A$5001,"&gt;="&amp;$C$7,BD!$A$3:$A$5001,"&lt;="&amp;$B186,BD!$L$3:$L$5001,"&lt;&gt;")=0,"",SUMIFS(BD!$L$3:$L$5001,BD!$B$3:$B$5001,K$184,BD!$A$3:$A$5001,_xlfn.MAXIFS(BD!$A$3:$A$5001,BD!$B$3:$B$5001,K$184,BD!$A$3:$A$5001,"&gt;="&amp;$C$7,BD!$A$3:$A$5001,"&lt;="&amp;$B186,BD!$L$3:$L$5001,"&lt;&gt;"))))</f>
        <v/>
      </c>
      <c r="L186" s="43" t="str">
        <f>IF(OR($B186="",$A186&gt;$B$9,L$184=""),"",IF(COUNTIFS(BD!$B$3:$B$5001,L$184,BD!$A$3:$A$5001,"&gt;="&amp;$C$7,BD!$A$3:$A$5001,"&lt;="&amp;$B186,BD!$L$3:$L$5001,"&lt;&gt;")=0,"",SUMIFS(BD!$L$3:$L$5001,BD!$B$3:$B$5001,L$184,BD!$A$3:$A$5001,_xlfn.MAXIFS(BD!$A$3:$A$5001,BD!$B$3:$B$5001,L$184,BD!$A$3:$A$5001,"&gt;="&amp;$C$7,BD!$A$3:$A$5001,"&lt;="&amp;$B186,BD!$L$3:$L$5001,"&lt;&gt;"))))</f>
        <v/>
      </c>
      <c r="M186" s="43" t="str">
        <f>IF(OR($B186="",$A186&gt;$B$9,M$184=""),"",IF(COUNTIFS(BD!$B$3:$B$5001,M$184,BD!$A$3:$A$5001,"&gt;="&amp;$C$7,BD!$A$3:$A$5001,"&lt;="&amp;$B186,BD!$L$3:$L$5001,"&lt;&gt;")=0,"",SUMIFS(BD!$L$3:$L$5001,BD!$B$3:$B$5001,M$184,BD!$A$3:$A$5001,_xlfn.MAXIFS(BD!$A$3:$A$5001,BD!$B$3:$B$5001,M$184,BD!$A$3:$A$5001,"&gt;="&amp;$C$7,BD!$A$3:$A$5001,"&lt;="&amp;$B186,BD!$L$3:$L$5001,"&lt;&gt;"))))</f>
        <v/>
      </c>
      <c r="N186" s="43" t="str">
        <f>IF(OR($B186="",$A186&gt;$B$9,N$184=""),"",IF(COUNTIFS(BD!$B$3:$B$5001,N$184,BD!$A$3:$A$5001,"&gt;="&amp;$C$7,BD!$A$3:$A$5001,"&lt;="&amp;$B186,BD!$L$3:$L$5001,"&lt;&gt;")=0,"",SUMIFS(BD!$L$3:$L$5001,BD!$B$3:$B$5001,N$184,BD!$A$3:$A$5001,_xlfn.MAXIFS(BD!$A$3:$A$5001,BD!$B$3:$B$5001,N$184,BD!$A$3:$A$5001,"&gt;="&amp;$C$7,BD!$A$3:$A$5001,"&lt;="&amp;$B186,BD!$L$3:$L$5001,"&lt;&gt;"))))</f>
        <v/>
      </c>
      <c r="O186" s="43" t="str">
        <f>IF(OR($B186="",$A186&gt;$B$9,O$184=""),"",IF(COUNTIFS(BD!$B$3:$B$5001,O$184,BD!$A$3:$A$5001,"&gt;="&amp;$C$7,BD!$A$3:$A$5001,"&lt;="&amp;$B186,BD!$L$3:$L$5001,"&lt;&gt;")=0,"",SUMIFS(BD!$L$3:$L$5001,BD!$B$3:$B$5001,O$184,BD!$A$3:$A$5001,_xlfn.MAXIFS(BD!$A$3:$A$5001,BD!$B$3:$B$5001,O$184,BD!$A$3:$A$5001,"&gt;="&amp;$C$7,BD!$A$3:$A$5001,"&lt;="&amp;$B186,BD!$L$3:$L$5001,"&lt;&gt;"))))</f>
        <v/>
      </c>
      <c r="P186" s="43" t="str">
        <f>IF(OR($B186="",$A186&gt;$B$9,P$184=""),"",IF(COUNTIFS(BD!$B$3:$B$5001,P$184,BD!$A$3:$A$5001,"&gt;="&amp;$C$7,BD!$A$3:$A$5001,"&lt;="&amp;$B186,BD!$L$3:$L$5001,"&lt;&gt;")=0,"",SUMIFS(BD!$L$3:$L$5001,BD!$B$3:$B$5001,P$184,BD!$A$3:$A$5001,_xlfn.MAXIFS(BD!$A$3:$A$5001,BD!$B$3:$B$5001,P$184,BD!$A$3:$A$5001,"&gt;="&amp;$C$7,BD!$A$3:$A$5001,"&lt;="&amp;$B186,BD!$L$3:$L$5001,"&lt;&gt;"))))</f>
        <v/>
      </c>
      <c r="Q186" s="43" t="str">
        <f>IF(OR($B186="",$A186&gt;$B$9,Q$184=""),"",IF(COUNTIFS(BD!$B$3:$B$5001,Q$184,BD!$A$3:$A$5001,"&gt;="&amp;$C$7,BD!$A$3:$A$5001,"&lt;="&amp;$B186,BD!$L$3:$L$5001,"&lt;&gt;")=0,"",SUMIFS(BD!$L$3:$L$5001,BD!$B$3:$B$5001,Q$184,BD!$A$3:$A$5001,_xlfn.MAXIFS(BD!$A$3:$A$5001,BD!$B$3:$B$5001,Q$184,BD!$A$3:$A$5001,"&gt;="&amp;$C$7,BD!$A$3:$A$5001,"&lt;="&amp;$B186,BD!$L$3:$L$5001,"&lt;&gt;"))))</f>
        <v/>
      </c>
      <c r="R186" s="43" t="str">
        <f>IF(OR($B186="",$A186&gt;$B$9,R$184=""),"",IF(COUNTIFS(BD!$B$3:$B$5001,R$184,BD!$A$3:$A$5001,"&gt;="&amp;$C$7,BD!$A$3:$A$5001,"&lt;="&amp;$B186,BD!$L$3:$L$5001,"&lt;&gt;")=0,"",SUMIFS(BD!$L$3:$L$5001,BD!$B$3:$B$5001,R$184,BD!$A$3:$A$5001,_xlfn.MAXIFS(BD!$A$3:$A$5001,BD!$B$3:$B$5001,R$184,BD!$A$3:$A$5001,"&gt;="&amp;$C$7,BD!$A$3:$A$5001,"&lt;="&amp;$B186,BD!$L$3:$L$5001,"&lt;&gt;"))))</f>
        <v/>
      </c>
      <c r="S186" s="43" t="str">
        <f>IF(OR($B186="",$A186&gt;$B$9,S$184=""),"",IF(COUNTIFS(BD!$B$3:$B$5001,S$184,BD!$A$3:$A$5001,"&gt;="&amp;$C$7,BD!$A$3:$A$5001,"&lt;="&amp;$B186,BD!$L$3:$L$5001,"&lt;&gt;")=0,"",SUMIFS(BD!$L$3:$L$5001,BD!$B$3:$B$5001,S$184,BD!$A$3:$A$5001,_xlfn.MAXIFS(BD!$A$3:$A$5001,BD!$B$3:$B$5001,S$184,BD!$A$3:$A$5001,"&gt;="&amp;$C$7,BD!$A$3:$A$5001,"&lt;="&amp;$B186,BD!$L$3:$L$5001,"&lt;&gt;"))))</f>
        <v/>
      </c>
      <c r="T186" s="43" t="str">
        <f>IF(OR($B186="",$A186&gt;$B$9,T$184=""),"",IF(COUNTIFS(BD!$B$3:$B$5001,T$184,BD!$A$3:$A$5001,"&gt;="&amp;$C$7,BD!$A$3:$A$5001,"&lt;="&amp;$B186,BD!$L$3:$L$5001,"&lt;&gt;")=0,"",SUMIFS(BD!$L$3:$L$5001,BD!$B$3:$B$5001,T$184,BD!$A$3:$A$5001,_xlfn.MAXIFS(BD!$A$3:$A$5001,BD!$B$3:$B$5001,T$184,BD!$A$3:$A$5001,"&gt;="&amp;$C$7,BD!$A$3:$A$5001,"&lt;="&amp;$B186,BD!$L$3:$L$5001,"&lt;&gt;"))))</f>
        <v/>
      </c>
      <c r="U186" s="43" t="str">
        <f>IF(OR($B186="",$A186&gt;$B$9,U$184=""),"",IF(COUNTIFS(BD!$B$3:$B$5001,U$184,BD!$A$3:$A$5001,"&gt;="&amp;$C$7,BD!$A$3:$A$5001,"&lt;="&amp;$B186,BD!$L$3:$L$5001,"&lt;&gt;")=0,"",SUMIFS(BD!$L$3:$L$5001,BD!$B$3:$B$5001,U$184,BD!$A$3:$A$5001,_xlfn.MAXIFS(BD!$A$3:$A$5001,BD!$B$3:$B$5001,U$184,BD!$A$3:$A$5001,"&gt;="&amp;$C$7,BD!$A$3:$A$5001,"&lt;="&amp;$B186,BD!$L$3:$L$5001,"&lt;&gt;"))))</f>
        <v/>
      </c>
      <c r="V186" s="43" t="str">
        <f>IF(OR($B186="",$A186&gt;$B$9,V$184=""),"",IF(COUNTIFS(BD!$B$3:$B$5001,V$184,BD!$A$3:$A$5001,"&gt;="&amp;$C$7,BD!$A$3:$A$5001,"&lt;="&amp;$B186,BD!$L$3:$L$5001,"&lt;&gt;")=0,"",SUMIFS(BD!$L$3:$L$5001,BD!$B$3:$B$5001,V$184,BD!$A$3:$A$5001,_xlfn.MAXIFS(BD!$A$3:$A$5001,BD!$B$3:$B$5001,V$184,BD!$A$3:$A$5001,"&gt;="&amp;$C$7,BD!$A$3:$A$5001,"&lt;="&amp;$B186,BD!$L$3:$L$5001,"&lt;&gt;"))))</f>
        <v/>
      </c>
    </row>
    <row r="187">
      <c r="A187" s="38">
        <v>3</v>
      </c>
      <c r="B187" s="42">
        <f>$B$14</f>
        <v>46298</v>
      </c>
      <c r="C187" s="43" t="str">
        <f>IF(OR($B187="",$A187&gt;$B$9,C$184=""),"",IF(COUNTIFS(BD!$B$3:$B$5001,C$184,BD!$A$3:$A$5001,"&gt;="&amp;$C$7,BD!$A$3:$A$5001,"&lt;="&amp;$B187,BD!$L$3:$L$5001,"&lt;&gt;")=0,"",SUMIFS(BD!$L$3:$L$5001,BD!$B$3:$B$5001,C$184,BD!$A$3:$A$5001,_xlfn.MAXIFS(BD!$A$3:$A$5001,BD!$B$3:$B$5001,C$184,BD!$A$3:$A$5001,"&gt;="&amp;$C$7,BD!$A$3:$A$5001,"&lt;="&amp;$B187,BD!$L$3:$L$5001,"&lt;&gt;"))))</f>
        <v/>
      </c>
      <c r="D187" s="43" t="str">
        <f>IF(OR($B187="",$A187&gt;$B$9,D$184=""),"",IF(COUNTIFS(BD!$B$3:$B$5001,D$184,BD!$A$3:$A$5001,"&gt;="&amp;$C$7,BD!$A$3:$A$5001,"&lt;="&amp;$B187,BD!$L$3:$L$5001,"&lt;&gt;")=0,"",SUMIFS(BD!$L$3:$L$5001,BD!$B$3:$B$5001,D$184,BD!$A$3:$A$5001,_xlfn.MAXIFS(BD!$A$3:$A$5001,BD!$B$3:$B$5001,D$184,BD!$A$3:$A$5001,"&gt;="&amp;$C$7,BD!$A$3:$A$5001,"&lt;="&amp;$B187,BD!$L$3:$L$5001,"&lt;&gt;"))))</f>
        <v/>
      </c>
      <c r="E187" s="43" t="str">
        <f>IF(OR($B187="",$A187&gt;$B$9,E$184=""),"",IF(COUNTIFS(BD!$B$3:$B$5001,E$184,BD!$A$3:$A$5001,"&gt;="&amp;$C$7,BD!$A$3:$A$5001,"&lt;="&amp;$B187,BD!$L$3:$L$5001,"&lt;&gt;")=0,"",SUMIFS(BD!$L$3:$L$5001,BD!$B$3:$B$5001,E$184,BD!$A$3:$A$5001,_xlfn.MAXIFS(BD!$A$3:$A$5001,BD!$B$3:$B$5001,E$184,BD!$A$3:$A$5001,"&gt;="&amp;$C$7,BD!$A$3:$A$5001,"&lt;="&amp;$B187,BD!$L$3:$L$5001,"&lt;&gt;"))))</f>
        <v/>
      </c>
      <c r="F187" s="43" t="str">
        <f>IF(OR($B187="",$A187&gt;$B$9,F$184=""),"",IF(COUNTIFS(BD!$B$3:$B$5001,F$184,BD!$A$3:$A$5001,"&gt;="&amp;$C$7,BD!$A$3:$A$5001,"&lt;="&amp;$B187,BD!$L$3:$L$5001,"&lt;&gt;")=0,"",SUMIFS(BD!$L$3:$L$5001,BD!$B$3:$B$5001,F$184,BD!$A$3:$A$5001,_xlfn.MAXIFS(BD!$A$3:$A$5001,BD!$B$3:$B$5001,F$184,BD!$A$3:$A$5001,"&gt;="&amp;$C$7,BD!$A$3:$A$5001,"&lt;="&amp;$B187,BD!$L$3:$L$5001,"&lt;&gt;"))))</f>
        <v/>
      </c>
      <c r="G187" s="43" t="str">
        <f>IF(OR($B187="",$A187&gt;$B$9,G$184=""),"",IF(COUNTIFS(BD!$B$3:$B$5001,G$184,BD!$A$3:$A$5001,"&gt;="&amp;$C$7,BD!$A$3:$A$5001,"&lt;="&amp;$B187,BD!$L$3:$L$5001,"&lt;&gt;")=0,"",SUMIFS(BD!$L$3:$L$5001,BD!$B$3:$B$5001,G$184,BD!$A$3:$A$5001,_xlfn.MAXIFS(BD!$A$3:$A$5001,BD!$B$3:$B$5001,G$184,BD!$A$3:$A$5001,"&gt;="&amp;$C$7,BD!$A$3:$A$5001,"&lt;="&amp;$B187,BD!$L$3:$L$5001,"&lt;&gt;"))))</f>
        <v/>
      </c>
      <c r="H187" s="43" t="str">
        <f>IF(OR($B187="",$A187&gt;$B$9,H$184=""),"",IF(COUNTIFS(BD!$B$3:$B$5001,H$184,BD!$A$3:$A$5001,"&gt;="&amp;$C$7,BD!$A$3:$A$5001,"&lt;="&amp;$B187,BD!$L$3:$L$5001,"&lt;&gt;")=0,"",SUMIFS(BD!$L$3:$L$5001,BD!$B$3:$B$5001,H$184,BD!$A$3:$A$5001,_xlfn.MAXIFS(BD!$A$3:$A$5001,BD!$B$3:$B$5001,H$184,BD!$A$3:$A$5001,"&gt;="&amp;$C$7,BD!$A$3:$A$5001,"&lt;="&amp;$B187,BD!$L$3:$L$5001,"&lt;&gt;"))))</f>
        <v/>
      </c>
      <c r="I187" s="43" t="str">
        <f>IF(OR($B187="",$A187&gt;$B$9,I$184=""),"",IF(COUNTIFS(BD!$B$3:$B$5001,I$184,BD!$A$3:$A$5001,"&gt;="&amp;$C$7,BD!$A$3:$A$5001,"&lt;="&amp;$B187,BD!$L$3:$L$5001,"&lt;&gt;")=0,"",SUMIFS(BD!$L$3:$L$5001,BD!$B$3:$B$5001,I$184,BD!$A$3:$A$5001,_xlfn.MAXIFS(BD!$A$3:$A$5001,BD!$B$3:$B$5001,I$184,BD!$A$3:$A$5001,"&gt;="&amp;$C$7,BD!$A$3:$A$5001,"&lt;="&amp;$B187,BD!$L$3:$L$5001,"&lt;&gt;"))))</f>
        <v/>
      </c>
      <c r="J187" s="43" t="str">
        <f>IF(OR($B187="",$A187&gt;$B$9,J$184=""),"",IF(COUNTIFS(BD!$B$3:$B$5001,J$184,BD!$A$3:$A$5001,"&gt;="&amp;$C$7,BD!$A$3:$A$5001,"&lt;="&amp;$B187,BD!$L$3:$L$5001,"&lt;&gt;")=0,"",SUMIFS(BD!$L$3:$L$5001,BD!$B$3:$B$5001,J$184,BD!$A$3:$A$5001,_xlfn.MAXIFS(BD!$A$3:$A$5001,BD!$B$3:$B$5001,J$184,BD!$A$3:$A$5001,"&gt;="&amp;$C$7,BD!$A$3:$A$5001,"&lt;="&amp;$B187,BD!$L$3:$L$5001,"&lt;&gt;"))))</f>
        <v/>
      </c>
      <c r="K187" s="43" t="str">
        <f>IF(OR($B187="",$A187&gt;$B$9,K$184=""),"",IF(COUNTIFS(BD!$B$3:$B$5001,K$184,BD!$A$3:$A$5001,"&gt;="&amp;$C$7,BD!$A$3:$A$5001,"&lt;="&amp;$B187,BD!$L$3:$L$5001,"&lt;&gt;")=0,"",SUMIFS(BD!$L$3:$L$5001,BD!$B$3:$B$5001,K$184,BD!$A$3:$A$5001,_xlfn.MAXIFS(BD!$A$3:$A$5001,BD!$B$3:$B$5001,K$184,BD!$A$3:$A$5001,"&gt;="&amp;$C$7,BD!$A$3:$A$5001,"&lt;="&amp;$B187,BD!$L$3:$L$5001,"&lt;&gt;"))))</f>
        <v/>
      </c>
      <c r="L187" s="43" t="str">
        <f>IF(OR($B187="",$A187&gt;$B$9,L$184=""),"",IF(COUNTIFS(BD!$B$3:$B$5001,L$184,BD!$A$3:$A$5001,"&gt;="&amp;$C$7,BD!$A$3:$A$5001,"&lt;="&amp;$B187,BD!$L$3:$L$5001,"&lt;&gt;")=0,"",SUMIFS(BD!$L$3:$L$5001,BD!$B$3:$B$5001,L$184,BD!$A$3:$A$5001,_xlfn.MAXIFS(BD!$A$3:$A$5001,BD!$B$3:$B$5001,L$184,BD!$A$3:$A$5001,"&gt;="&amp;$C$7,BD!$A$3:$A$5001,"&lt;="&amp;$B187,BD!$L$3:$L$5001,"&lt;&gt;"))))</f>
        <v/>
      </c>
      <c r="M187" s="43" t="str">
        <f>IF(OR($B187="",$A187&gt;$B$9,M$184=""),"",IF(COUNTIFS(BD!$B$3:$B$5001,M$184,BD!$A$3:$A$5001,"&gt;="&amp;$C$7,BD!$A$3:$A$5001,"&lt;="&amp;$B187,BD!$L$3:$L$5001,"&lt;&gt;")=0,"",SUMIFS(BD!$L$3:$L$5001,BD!$B$3:$B$5001,M$184,BD!$A$3:$A$5001,_xlfn.MAXIFS(BD!$A$3:$A$5001,BD!$B$3:$B$5001,M$184,BD!$A$3:$A$5001,"&gt;="&amp;$C$7,BD!$A$3:$A$5001,"&lt;="&amp;$B187,BD!$L$3:$L$5001,"&lt;&gt;"))))</f>
        <v/>
      </c>
      <c r="N187" s="43" t="str">
        <f>IF(OR($B187="",$A187&gt;$B$9,N$184=""),"",IF(COUNTIFS(BD!$B$3:$B$5001,N$184,BD!$A$3:$A$5001,"&gt;="&amp;$C$7,BD!$A$3:$A$5001,"&lt;="&amp;$B187,BD!$L$3:$L$5001,"&lt;&gt;")=0,"",SUMIFS(BD!$L$3:$L$5001,BD!$B$3:$B$5001,N$184,BD!$A$3:$A$5001,_xlfn.MAXIFS(BD!$A$3:$A$5001,BD!$B$3:$B$5001,N$184,BD!$A$3:$A$5001,"&gt;="&amp;$C$7,BD!$A$3:$A$5001,"&lt;="&amp;$B187,BD!$L$3:$L$5001,"&lt;&gt;"))))</f>
        <v/>
      </c>
      <c r="O187" s="43" t="str">
        <f>IF(OR($B187="",$A187&gt;$B$9,O$184=""),"",IF(COUNTIFS(BD!$B$3:$B$5001,O$184,BD!$A$3:$A$5001,"&gt;="&amp;$C$7,BD!$A$3:$A$5001,"&lt;="&amp;$B187,BD!$L$3:$L$5001,"&lt;&gt;")=0,"",SUMIFS(BD!$L$3:$L$5001,BD!$B$3:$B$5001,O$184,BD!$A$3:$A$5001,_xlfn.MAXIFS(BD!$A$3:$A$5001,BD!$B$3:$B$5001,O$184,BD!$A$3:$A$5001,"&gt;="&amp;$C$7,BD!$A$3:$A$5001,"&lt;="&amp;$B187,BD!$L$3:$L$5001,"&lt;&gt;"))))</f>
        <v/>
      </c>
      <c r="P187" s="43" t="str">
        <f>IF(OR($B187="",$A187&gt;$B$9,P$184=""),"",IF(COUNTIFS(BD!$B$3:$B$5001,P$184,BD!$A$3:$A$5001,"&gt;="&amp;$C$7,BD!$A$3:$A$5001,"&lt;="&amp;$B187,BD!$L$3:$L$5001,"&lt;&gt;")=0,"",SUMIFS(BD!$L$3:$L$5001,BD!$B$3:$B$5001,P$184,BD!$A$3:$A$5001,_xlfn.MAXIFS(BD!$A$3:$A$5001,BD!$B$3:$B$5001,P$184,BD!$A$3:$A$5001,"&gt;="&amp;$C$7,BD!$A$3:$A$5001,"&lt;="&amp;$B187,BD!$L$3:$L$5001,"&lt;&gt;"))))</f>
        <v/>
      </c>
      <c r="Q187" s="43" t="str">
        <f>IF(OR($B187="",$A187&gt;$B$9,Q$184=""),"",IF(COUNTIFS(BD!$B$3:$B$5001,Q$184,BD!$A$3:$A$5001,"&gt;="&amp;$C$7,BD!$A$3:$A$5001,"&lt;="&amp;$B187,BD!$L$3:$L$5001,"&lt;&gt;")=0,"",SUMIFS(BD!$L$3:$L$5001,BD!$B$3:$B$5001,Q$184,BD!$A$3:$A$5001,_xlfn.MAXIFS(BD!$A$3:$A$5001,BD!$B$3:$B$5001,Q$184,BD!$A$3:$A$5001,"&gt;="&amp;$C$7,BD!$A$3:$A$5001,"&lt;="&amp;$B187,BD!$L$3:$L$5001,"&lt;&gt;"))))</f>
        <v/>
      </c>
      <c r="R187" s="43" t="str">
        <f>IF(OR($B187="",$A187&gt;$B$9,R$184=""),"",IF(COUNTIFS(BD!$B$3:$B$5001,R$184,BD!$A$3:$A$5001,"&gt;="&amp;$C$7,BD!$A$3:$A$5001,"&lt;="&amp;$B187,BD!$L$3:$L$5001,"&lt;&gt;")=0,"",SUMIFS(BD!$L$3:$L$5001,BD!$B$3:$B$5001,R$184,BD!$A$3:$A$5001,_xlfn.MAXIFS(BD!$A$3:$A$5001,BD!$B$3:$B$5001,R$184,BD!$A$3:$A$5001,"&gt;="&amp;$C$7,BD!$A$3:$A$5001,"&lt;="&amp;$B187,BD!$L$3:$L$5001,"&lt;&gt;"))))</f>
        <v/>
      </c>
      <c r="S187" s="43" t="str">
        <f>IF(OR($B187="",$A187&gt;$B$9,S$184=""),"",IF(COUNTIFS(BD!$B$3:$B$5001,S$184,BD!$A$3:$A$5001,"&gt;="&amp;$C$7,BD!$A$3:$A$5001,"&lt;="&amp;$B187,BD!$L$3:$L$5001,"&lt;&gt;")=0,"",SUMIFS(BD!$L$3:$L$5001,BD!$B$3:$B$5001,S$184,BD!$A$3:$A$5001,_xlfn.MAXIFS(BD!$A$3:$A$5001,BD!$B$3:$B$5001,S$184,BD!$A$3:$A$5001,"&gt;="&amp;$C$7,BD!$A$3:$A$5001,"&lt;="&amp;$B187,BD!$L$3:$L$5001,"&lt;&gt;"))))</f>
        <v/>
      </c>
      <c r="T187" s="43" t="str">
        <f>IF(OR($B187="",$A187&gt;$B$9,T$184=""),"",IF(COUNTIFS(BD!$B$3:$B$5001,T$184,BD!$A$3:$A$5001,"&gt;="&amp;$C$7,BD!$A$3:$A$5001,"&lt;="&amp;$B187,BD!$L$3:$L$5001,"&lt;&gt;")=0,"",SUMIFS(BD!$L$3:$L$5001,BD!$B$3:$B$5001,T$184,BD!$A$3:$A$5001,_xlfn.MAXIFS(BD!$A$3:$A$5001,BD!$B$3:$B$5001,T$184,BD!$A$3:$A$5001,"&gt;="&amp;$C$7,BD!$A$3:$A$5001,"&lt;="&amp;$B187,BD!$L$3:$L$5001,"&lt;&gt;"))))</f>
        <v/>
      </c>
      <c r="U187" s="43" t="str">
        <f>IF(OR($B187="",$A187&gt;$B$9,U$184=""),"",IF(COUNTIFS(BD!$B$3:$B$5001,U$184,BD!$A$3:$A$5001,"&gt;="&amp;$C$7,BD!$A$3:$A$5001,"&lt;="&amp;$B187,BD!$L$3:$L$5001,"&lt;&gt;")=0,"",SUMIFS(BD!$L$3:$L$5001,BD!$B$3:$B$5001,U$184,BD!$A$3:$A$5001,_xlfn.MAXIFS(BD!$A$3:$A$5001,BD!$B$3:$B$5001,U$184,BD!$A$3:$A$5001,"&gt;="&amp;$C$7,BD!$A$3:$A$5001,"&lt;="&amp;$B187,BD!$L$3:$L$5001,"&lt;&gt;"))))</f>
        <v/>
      </c>
      <c r="V187" s="43" t="str">
        <f>IF(OR($B187="",$A187&gt;$B$9,V$184=""),"",IF(COUNTIFS(BD!$B$3:$B$5001,V$184,BD!$A$3:$A$5001,"&gt;="&amp;$C$7,BD!$A$3:$A$5001,"&lt;="&amp;$B187,BD!$L$3:$L$5001,"&lt;&gt;")=0,"",SUMIFS(BD!$L$3:$L$5001,BD!$B$3:$B$5001,V$184,BD!$A$3:$A$5001,_xlfn.MAXIFS(BD!$A$3:$A$5001,BD!$B$3:$B$5001,V$184,BD!$A$3:$A$5001,"&gt;="&amp;$C$7,BD!$A$3:$A$5001,"&lt;="&amp;$B187,BD!$L$3:$L$5001,"&lt;&gt;"))))</f>
        <v/>
      </c>
    </row>
    <row r="188">
      <c r="A188" s="38">
        <v>4</v>
      </c>
      <c r="B188" s="42">
        <f>$B$15</f>
        <v>46299</v>
      </c>
      <c r="C188" s="43" t="str">
        <f>IF(OR($B188="",$A188&gt;$B$9,C$184=""),"",IF(COUNTIFS(BD!$B$3:$B$5001,C$184,BD!$A$3:$A$5001,"&gt;="&amp;$C$7,BD!$A$3:$A$5001,"&lt;="&amp;$B188,BD!$L$3:$L$5001,"&lt;&gt;")=0,"",SUMIFS(BD!$L$3:$L$5001,BD!$B$3:$B$5001,C$184,BD!$A$3:$A$5001,_xlfn.MAXIFS(BD!$A$3:$A$5001,BD!$B$3:$B$5001,C$184,BD!$A$3:$A$5001,"&gt;="&amp;$C$7,BD!$A$3:$A$5001,"&lt;="&amp;$B188,BD!$L$3:$L$5001,"&lt;&gt;"))))</f>
        <v/>
      </c>
      <c r="D188" s="43" t="str">
        <f>IF(OR($B188="",$A188&gt;$B$9,D$184=""),"",IF(COUNTIFS(BD!$B$3:$B$5001,D$184,BD!$A$3:$A$5001,"&gt;="&amp;$C$7,BD!$A$3:$A$5001,"&lt;="&amp;$B188,BD!$L$3:$L$5001,"&lt;&gt;")=0,"",SUMIFS(BD!$L$3:$L$5001,BD!$B$3:$B$5001,D$184,BD!$A$3:$A$5001,_xlfn.MAXIFS(BD!$A$3:$A$5001,BD!$B$3:$B$5001,D$184,BD!$A$3:$A$5001,"&gt;="&amp;$C$7,BD!$A$3:$A$5001,"&lt;="&amp;$B188,BD!$L$3:$L$5001,"&lt;&gt;"))))</f>
        <v/>
      </c>
      <c r="E188" s="43" t="str">
        <f>IF(OR($B188="",$A188&gt;$B$9,E$184=""),"",IF(COUNTIFS(BD!$B$3:$B$5001,E$184,BD!$A$3:$A$5001,"&gt;="&amp;$C$7,BD!$A$3:$A$5001,"&lt;="&amp;$B188,BD!$L$3:$L$5001,"&lt;&gt;")=0,"",SUMIFS(BD!$L$3:$L$5001,BD!$B$3:$B$5001,E$184,BD!$A$3:$A$5001,_xlfn.MAXIFS(BD!$A$3:$A$5001,BD!$B$3:$B$5001,E$184,BD!$A$3:$A$5001,"&gt;="&amp;$C$7,BD!$A$3:$A$5001,"&lt;="&amp;$B188,BD!$L$3:$L$5001,"&lt;&gt;"))))</f>
        <v/>
      </c>
      <c r="F188" s="43" t="str">
        <f>IF(OR($B188="",$A188&gt;$B$9,F$184=""),"",IF(COUNTIFS(BD!$B$3:$B$5001,F$184,BD!$A$3:$A$5001,"&gt;="&amp;$C$7,BD!$A$3:$A$5001,"&lt;="&amp;$B188,BD!$L$3:$L$5001,"&lt;&gt;")=0,"",SUMIFS(BD!$L$3:$L$5001,BD!$B$3:$B$5001,F$184,BD!$A$3:$A$5001,_xlfn.MAXIFS(BD!$A$3:$A$5001,BD!$B$3:$B$5001,F$184,BD!$A$3:$A$5001,"&gt;="&amp;$C$7,BD!$A$3:$A$5001,"&lt;="&amp;$B188,BD!$L$3:$L$5001,"&lt;&gt;"))))</f>
        <v/>
      </c>
      <c r="G188" s="43" t="str">
        <f>IF(OR($B188="",$A188&gt;$B$9,G$184=""),"",IF(COUNTIFS(BD!$B$3:$B$5001,G$184,BD!$A$3:$A$5001,"&gt;="&amp;$C$7,BD!$A$3:$A$5001,"&lt;="&amp;$B188,BD!$L$3:$L$5001,"&lt;&gt;")=0,"",SUMIFS(BD!$L$3:$L$5001,BD!$B$3:$B$5001,G$184,BD!$A$3:$A$5001,_xlfn.MAXIFS(BD!$A$3:$A$5001,BD!$B$3:$B$5001,G$184,BD!$A$3:$A$5001,"&gt;="&amp;$C$7,BD!$A$3:$A$5001,"&lt;="&amp;$B188,BD!$L$3:$L$5001,"&lt;&gt;"))))</f>
        <v/>
      </c>
      <c r="H188" s="43" t="str">
        <f>IF(OR($B188="",$A188&gt;$B$9,H$184=""),"",IF(COUNTIFS(BD!$B$3:$B$5001,H$184,BD!$A$3:$A$5001,"&gt;="&amp;$C$7,BD!$A$3:$A$5001,"&lt;="&amp;$B188,BD!$L$3:$L$5001,"&lt;&gt;")=0,"",SUMIFS(BD!$L$3:$L$5001,BD!$B$3:$B$5001,H$184,BD!$A$3:$A$5001,_xlfn.MAXIFS(BD!$A$3:$A$5001,BD!$B$3:$B$5001,H$184,BD!$A$3:$A$5001,"&gt;="&amp;$C$7,BD!$A$3:$A$5001,"&lt;="&amp;$B188,BD!$L$3:$L$5001,"&lt;&gt;"))))</f>
        <v/>
      </c>
      <c r="I188" s="43" t="str">
        <f>IF(OR($B188="",$A188&gt;$B$9,I$184=""),"",IF(COUNTIFS(BD!$B$3:$B$5001,I$184,BD!$A$3:$A$5001,"&gt;="&amp;$C$7,BD!$A$3:$A$5001,"&lt;="&amp;$B188,BD!$L$3:$L$5001,"&lt;&gt;")=0,"",SUMIFS(BD!$L$3:$L$5001,BD!$B$3:$B$5001,I$184,BD!$A$3:$A$5001,_xlfn.MAXIFS(BD!$A$3:$A$5001,BD!$B$3:$B$5001,I$184,BD!$A$3:$A$5001,"&gt;="&amp;$C$7,BD!$A$3:$A$5001,"&lt;="&amp;$B188,BD!$L$3:$L$5001,"&lt;&gt;"))))</f>
        <v/>
      </c>
      <c r="J188" s="43" t="str">
        <f>IF(OR($B188="",$A188&gt;$B$9,J$184=""),"",IF(COUNTIFS(BD!$B$3:$B$5001,J$184,BD!$A$3:$A$5001,"&gt;="&amp;$C$7,BD!$A$3:$A$5001,"&lt;="&amp;$B188,BD!$L$3:$L$5001,"&lt;&gt;")=0,"",SUMIFS(BD!$L$3:$L$5001,BD!$B$3:$B$5001,J$184,BD!$A$3:$A$5001,_xlfn.MAXIFS(BD!$A$3:$A$5001,BD!$B$3:$B$5001,J$184,BD!$A$3:$A$5001,"&gt;="&amp;$C$7,BD!$A$3:$A$5001,"&lt;="&amp;$B188,BD!$L$3:$L$5001,"&lt;&gt;"))))</f>
        <v/>
      </c>
      <c r="K188" s="43" t="str">
        <f>IF(OR($B188="",$A188&gt;$B$9,K$184=""),"",IF(COUNTIFS(BD!$B$3:$B$5001,K$184,BD!$A$3:$A$5001,"&gt;="&amp;$C$7,BD!$A$3:$A$5001,"&lt;="&amp;$B188,BD!$L$3:$L$5001,"&lt;&gt;")=0,"",SUMIFS(BD!$L$3:$L$5001,BD!$B$3:$B$5001,K$184,BD!$A$3:$A$5001,_xlfn.MAXIFS(BD!$A$3:$A$5001,BD!$B$3:$B$5001,K$184,BD!$A$3:$A$5001,"&gt;="&amp;$C$7,BD!$A$3:$A$5001,"&lt;="&amp;$B188,BD!$L$3:$L$5001,"&lt;&gt;"))))</f>
        <v/>
      </c>
      <c r="L188" s="43" t="str">
        <f>IF(OR($B188="",$A188&gt;$B$9,L$184=""),"",IF(COUNTIFS(BD!$B$3:$B$5001,L$184,BD!$A$3:$A$5001,"&gt;="&amp;$C$7,BD!$A$3:$A$5001,"&lt;="&amp;$B188,BD!$L$3:$L$5001,"&lt;&gt;")=0,"",SUMIFS(BD!$L$3:$L$5001,BD!$B$3:$B$5001,L$184,BD!$A$3:$A$5001,_xlfn.MAXIFS(BD!$A$3:$A$5001,BD!$B$3:$B$5001,L$184,BD!$A$3:$A$5001,"&gt;="&amp;$C$7,BD!$A$3:$A$5001,"&lt;="&amp;$B188,BD!$L$3:$L$5001,"&lt;&gt;"))))</f>
        <v/>
      </c>
      <c r="M188" s="43" t="str">
        <f>IF(OR($B188="",$A188&gt;$B$9,M$184=""),"",IF(COUNTIFS(BD!$B$3:$B$5001,M$184,BD!$A$3:$A$5001,"&gt;="&amp;$C$7,BD!$A$3:$A$5001,"&lt;="&amp;$B188,BD!$L$3:$L$5001,"&lt;&gt;")=0,"",SUMIFS(BD!$L$3:$L$5001,BD!$B$3:$B$5001,M$184,BD!$A$3:$A$5001,_xlfn.MAXIFS(BD!$A$3:$A$5001,BD!$B$3:$B$5001,M$184,BD!$A$3:$A$5001,"&gt;="&amp;$C$7,BD!$A$3:$A$5001,"&lt;="&amp;$B188,BD!$L$3:$L$5001,"&lt;&gt;"))))</f>
        <v/>
      </c>
      <c r="N188" s="43" t="str">
        <f>IF(OR($B188="",$A188&gt;$B$9,N$184=""),"",IF(COUNTIFS(BD!$B$3:$B$5001,N$184,BD!$A$3:$A$5001,"&gt;="&amp;$C$7,BD!$A$3:$A$5001,"&lt;="&amp;$B188,BD!$L$3:$L$5001,"&lt;&gt;")=0,"",SUMIFS(BD!$L$3:$L$5001,BD!$B$3:$B$5001,N$184,BD!$A$3:$A$5001,_xlfn.MAXIFS(BD!$A$3:$A$5001,BD!$B$3:$B$5001,N$184,BD!$A$3:$A$5001,"&gt;="&amp;$C$7,BD!$A$3:$A$5001,"&lt;="&amp;$B188,BD!$L$3:$L$5001,"&lt;&gt;"))))</f>
        <v/>
      </c>
      <c r="O188" s="43" t="str">
        <f>IF(OR($B188="",$A188&gt;$B$9,O$184=""),"",IF(COUNTIFS(BD!$B$3:$B$5001,O$184,BD!$A$3:$A$5001,"&gt;="&amp;$C$7,BD!$A$3:$A$5001,"&lt;="&amp;$B188,BD!$L$3:$L$5001,"&lt;&gt;")=0,"",SUMIFS(BD!$L$3:$L$5001,BD!$B$3:$B$5001,O$184,BD!$A$3:$A$5001,_xlfn.MAXIFS(BD!$A$3:$A$5001,BD!$B$3:$B$5001,O$184,BD!$A$3:$A$5001,"&gt;="&amp;$C$7,BD!$A$3:$A$5001,"&lt;="&amp;$B188,BD!$L$3:$L$5001,"&lt;&gt;"))))</f>
        <v/>
      </c>
      <c r="P188" s="43" t="str">
        <f>IF(OR($B188="",$A188&gt;$B$9,P$184=""),"",IF(COUNTIFS(BD!$B$3:$B$5001,P$184,BD!$A$3:$A$5001,"&gt;="&amp;$C$7,BD!$A$3:$A$5001,"&lt;="&amp;$B188,BD!$L$3:$L$5001,"&lt;&gt;")=0,"",SUMIFS(BD!$L$3:$L$5001,BD!$B$3:$B$5001,P$184,BD!$A$3:$A$5001,_xlfn.MAXIFS(BD!$A$3:$A$5001,BD!$B$3:$B$5001,P$184,BD!$A$3:$A$5001,"&gt;="&amp;$C$7,BD!$A$3:$A$5001,"&lt;="&amp;$B188,BD!$L$3:$L$5001,"&lt;&gt;"))))</f>
        <v/>
      </c>
      <c r="Q188" s="43" t="str">
        <f>IF(OR($B188="",$A188&gt;$B$9,Q$184=""),"",IF(COUNTIFS(BD!$B$3:$B$5001,Q$184,BD!$A$3:$A$5001,"&gt;="&amp;$C$7,BD!$A$3:$A$5001,"&lt;="&amp;$B188,BD!$L$3:$L$5001,"&lt;&gt;")=0,"",SUMIFS(BD!$L$3:$L$5001,BD!$B$3:$B$5001,Q$184,BD!$A$3:$A$5001,_xlfn.MAXIFS(BD!$A$3:$A$5001,BD!$B$3:$B$5001,Q$184,BD!$A$3:$A$5001,"&gt;="&amp;$C$7,BD!$A$3:$A$5001,"&lt;="&amp;$B188,BD!$L$3:$L$5001,"&lt;&gt;"))))</f>
        <v/>
      </c>
      <c r="R188" s="43" t="str">
        <f>IF(OR($B188="",$A188&gt;$B$9,R$184=""),"",IF(COUNTIFS(BD!$B$3:$B$5001,R$184,BD!$A$3:$A$5001,"&gt;="&amp;$C$7,BD!$A$3:$A$5001,"&lt;="&amp;$B188,BD!$L$3:$L$5001,"&lt;&gt;")=0,"",SUMIFS(BD!$L$3:$L$5001,BD!$B$3:$B$5001,R$184,BD!$A$3:$A$5001,_xlfn.MAXIFS(BD!$A$3:$A$5001,BD!$B$3:$B$5001,R$184,BD!$A$3:$A$5001,"&gt;="&amp;$C$7,BD!$A$3:$A$5001,"&lt;="&amp;$B188,BD!$L$3:$L$5001,"&lt;&gt;"))))</f>
        <v/>
      </c>
      <c r="S188" s="43" t="str">
        <f>IF(OR($B188="",$A188&gt;$B$9,S$184=""),"",IF(COUNTIFS(BD!$B$3:$B$5001,S$184,BD!$A$3:$A$5001,"&gt;="&amp;$C$7,BD!$A$3:$A$5001,"&lt;="&amp;$B188,BD!$L$3:$L$5001,"&lt;&gt;")=0,"",SUMIFS(BD!$L$3:$L$5001,BD!$B$3:$B$5001,S$184,BD!$A$3:$A$5001,_xlfn.MAXIFS(BD!$A$3:$A$5001,BD!$B$3:$B$5001,S$184,BD!$A$3:$A$5001,"&gt;="&amp;$C$7,BD!$A$3:$A$5001,"&lt;="&amp;$B188,BD!$L$3:$L$5001,"&lt;&gt;"))))</f>
        <v/>
      </c>
      <c r="T188" s="43" t="str">
        <f>IF(OR($B188="",$A188&gt;$B$9,T$184=""),"",IF(COUNTIFS(BD!$B$3:$B$5001,T$184,BD!$A$3:$A$5001,"&gt;="&amp;$C$7,BD!$A$3:$A$5001,"&lt;="&amp;$B188,BD!$L$3:$L$5001,"&lt;&gt;")=0,"",SUMIFS(BD!$L$3:$L$5001,BD!$B$3:$B$5001,T$184,BD!$A$3:$A$5001,_xlfn.MAXIFS(BD!$A$3:$A$5001,BD!$B$3:$B$5001,T$184,BD!$A$3:$A$5001,"&gt;="&amp;$C$7,BD!$A$3:$A$5001,"&lt;="&amp;$B188,BD!$L$3:$L$5001,"&lt;&gt;"))))</f>
        <v/>
      </c>
      <c r="U188" s="43" t="str">
        <f>IF(OR($B188="",$A188&gt;$B$9,U$184=""),"",IF(COUNTIFS(BD!$B$3:$B$5001,U$184,BD!$A$3:$A$5001,"&gt;="&amp;$C$7,BD!$A$3:$A$5001,"&lt;="&amp;$B188,BD!$L$3:$L$5001,"&lt;&gt;")=0,"",SUMIFS(BD!$L$3:$L$5001,BD!$B$3:$B$5001,U$184,BD!$A$3:$A$5001,_xlfn.MAXIFS(BD!$A$3:$A$5001,BD!$B$3:$B$5001,U$184,BD!$A$3:$A$5001,"&gt;="&amp;$C$7,BD!$A$3:$A$5001,"&lt;="&amp;$B188,BD!$L$3:$L$5001,"&lt;&gt;"))))</f>
        <v/>
      </c>
      <c r="V188" s="43" t="str">
        <f>IF(OR($B188="",$A188&gt;$B$9,V$184=""),"",IF(COUNTIFS(BD!$B$3:$B$5001,V$184,BD!$A$3:$A$5001,"&gt;="&amp;$C$7,BD!$A$3:$A$5001,"&lt;="&amp;$B188,BD!$L$3:$L$5001,"&lt;&gt;")=0,"",SUMIFS(BD!$L$3:$L$5001,BD!$B$3:$B$5001,V$184,BD!$A$3:$A$5001,_xlfn.MAXIFS(BD!$A$3:$A$5001,BD!$B$3:$B$5001,V$184,BD!$A$3:$A$5001,"&gt;="&amp;$C$7,BD!$A$3:$A$5001,"&lt;="&amp;$B188,BD!$L$3:$L$5001,"&lt;&gt;"))))</f>
        <v/>
      </c>
    </row>
    <row r="189">
      <c r="A189" s="38">
        <v>5</v>
      </c>
      <c r="B189" s="42">
        <f>$B$16</f>
        <v>46300</v>
      </c>
      <c r="C189" s="43" t="str">
        <f>IF(OR($B189="",$A189&gt;$B$9,C$184=""),"",IF(COUNTIFS(BD!$B$3:$B$5001,C$184,BD!$A$3:$A$5001,"&gt;="&amp;$C$7,BD!$A$3:$A$5001,"&lt;="&amp;$B189,BD!$L$3:$L$5001,"&lt;&gt;")=0,"",SUMIFS(BD!$L$3:$L$5001,BD!$B$3:$B$5001,C$184,BD!$A$3:$A$5001,_xlfn.MAXIFS(BD!$A$3:$A$5001,BD!$B$3:$B$5001,C$184,BD!$A$3:$A$5001,"&gt;="&amp;$C$7,BD!$A$3:$A$5001,"&lt;="&amp;$B189,BD!$L$3:$L$5001,"&lt;&gt;"))))</f>
        <v/>
      </c>
      <c r="D189" s="43" t="str">
        <f>IF(OR($B189="",$A189&gt;$B$9,D$184=""),"",IF(COUNTIFS(BD!$B$3:$B$5001,D$184,BD!$A$3:$A$5001,"&gt;="&amp;$C$7,BD!$A$3:$A$5001,"&lt;="&amp;$B189,BD!$L$3:$L$5001,"&lt;&gt;")=0,"",SUMIFS(BD!$L$3:$L$5001,BD!$B$3:$B$5001,D$184,BD!$A$3:$A$5001,_xlfn.MAXIFS(BD!$A$3:$A$5001,BD!$B$3:$B$5001,D$184,BD!$A$3:$A$5001,"&gt;="&amp;$C$7,BD!$A$3:$A$5001,"&lt;="&amp;$B189,BD!$L$3:$L$5001,"&lt;&gt;"))))</f>
        <v/>
      </c>
      <c r="E189" s="43" t="str">
        <f>IF(OR($B189="",$A189&gt;$B$9,E$184=""),"",IF(COUNTIFS(BD!$B$3:$B$5001,E$184,BD!$A$3:$A$5001,"&gt;="&amp;$C$7,BD!$A$3:$A$5001,"&lt;="&amp;$B189,BD!$L$3:$L$5001,"&lt;&gt;")=0,"",SUMIFS(BD!$L$3:$L$5001,BD!$B$3:$B$5001,E$184,BD!$A$3:$A$5001,_xlfn.MAXIFS(BD!$A$3:$A$5001,BD!$B$3:$B$5001,E$184,BD!$A$3:$A$5001,"&gt;="&amp;$C$7,BD!$A$3:$A$5001,"&lt;="&amp;$B189,BD!$L$3:$L$5001,"&lt;&gt;"))))</f>
        <v/>
      </c>
      <c r="F189" s="43" t="str">
        <f>IF(OR($B189="",$A189&gt;$B$9,F$184=""),"",IF(COUNTIFS(BD!$B$3:$B$5001,F$184,BD!$A$3:$A$5001,"&gt;="&amp;$C$7,BD!$A$3:$A$5001,"&lt;="&amp;$B189,BD!$L$3:$L$5001,"&lt;&gt;")=0,"",SUMIFS(BD!$L$3:$L$5001,BD!$B$3:$B$5001,F$184,BD!$A$3:$A$5001,_xlfn.MAXIFS(BD!$A$3:$A$5001,BD!$B$3:$B$5001,F$184,BD!$A$3:$A$5001,"&gt;="&amp;$C$7,BD!$A$3:$A$5001,"&lt;="&amp;$B189,BD!$L$3:$L$5001,"&lt;&gt;"))))</f>
        <v/>
      </c>
      <c r="G189" s="43" t="str">
        <f>IF(OR($B189="",$A189&gt;$B$9,G$184=""),"",IF(COUNTIFS(BD!$B$3:$B$5001,G$184,BD!$A$3:$A$5001,"&gt;="&amp;$C$7,BD!$A$3:$A$5001,"&lt;="&amp;$B189,BD!$L$3:$L$5001,"&lt;&gt;")=0,"",SUMIFS(BD!$L$3:$L$5001,BD!$B$3:$B$5001,G$184,BD!$A$3:$A$5001,_xlfn.MAXIFS(BD!$A$3:$A$5001,BD!$B$3:$B$5001,G$184,BD!$A$3:$A$5001,"&gt;="&amp;$C$7,BD!$A$3:$A$5001,"&lt;="&amp;$B189,BD!$L$3:$L$5001,"&lt;&gt;"))))</f>
        <v/>
      </c>
      <c r="H189" s="43" t="str">
        <f>IF(OR($B189="",$A189&gt;$B$9,H$184=""),"",IF(COUNTIFS(BD!$B$3:$B$5001,H$184,BD!$A$3:$A$5001,"&gt;="&amp;$C$7,BD!$A$3:$A$5001,"&lt;="&amp;$B189,BD!$L$3:$L$5001,"&lt;&gt;")=0,"",SUMIFS(BD!$L$3:$L$5001,BD!$B$3:$B$5001,H$184,BD!$A$3:$A$5001,_xlfn.MAXIFS(BD!$A$3:$A$5001,BD!$B$3:$B$5001,H$184,BD!$A$3:$A$5001,"&gt;="&amp;$C$7,BD!$A$3:$A$5001,"&lt;="&amp;$B189,BD!$L$3:$L$5001,"&lt;&gt;"))))</f>
        <v/>
      </c>
      <c r="I189" s="43" t="str">
        <f>IF(OR($B189="",$A189&gt;$B$9,I$184=""),"",IF(COUNTIFS(BD!$B$3:$B$5001,I$184,BD!$A$3:$A$5001,"&gt;="&amp;$C$7,BD!$A$3:$A$5001,"&lt;="&amp;$B189,BD!$L$3:$L$5001,"&lt;&gt;")=0,"",SUMIFS(BD!$L$3:$L$5001,BD!$B$3:$B$5001,I$184,BD!$A$3:$A$5001,_xlfn.MAXIFS(BD!$A$3:$A$5001,BD!$B$3:$B$5001,I$184,BD!$A$3:$A$5001,"&gt;="&amp;$C$7,BD!$A$3:$A$5001,"&lt;="&amp;$B189,BD!$L$3:$L$5001,"&lt;&gt;"))))</f>
        <v/>
      </c>
      <c r="J189" s="43" t="str">
        <f>IF(OR($B189="",$A189&gt;$B$9,J$184=""),"",IF(COUNTIFS(BD!$B$3:$B$5001,J$184,BD!$A$3:$A$5001,"&gt;="&amp;$C$7,BD!$A$3:$A$5001,"&lt;="&amp;$B189,BD!$L$3:$L$5001,"&lt;&gt;")=0,"",SUMIFS(BD!$L$3:$L$5001,BD!$B$3:$B$5001,J$184,BD!$A$3:$A$5001,_xlfn.MAXIFS(BD!$A$3:$A$5001,BD!$B$3:$B$5001,J$184,BD!$A$3:$A$5001,"&gt;="&amp;$C$7,BD!$A$3:$A$5001,"&lt;="&amp;$B189,BD!$L$3:$L$5001,"&lt;&gt;"))))</f>
        <v/>
      </c>
      <c r="K189" s="43" t="str">
        <f>IF(OR($B189="",$A189&gt;$B$9,K$184=""),"",IF(COUNTIFS(BD!$B$3:$B$5001,K$184,BD!$A$3:$A$5001,"&gt;="&amp;$C$7,BD!$A$3:$A$5001,"&lt;="&amp;$B189,BD!$L$3:$L$5001,"&lt;&gt;")=0,"",SUMIFS(BD!$L$3:$L$5001,BD!$B$3:$B$5001,K$184,BD!$A$3:$A$5001,_xlfn.MAXIFS(BD!$A$3:$A$5001,BD!$B$3:$B$5001,K$184,BD!$A$3:$A$5001,"&gt;="&amp;$C$7,BD!$A$3:$A$5001,"&lt;="&amp;$B189,BD!$L$3:$L$5001,"&lt;&gt;"))))</f>
        <v/>
      </c>
      <c r="L189" s="43" t="str">
        <f>IF(OR($B189="",$A189&gt;$B$9,L$184=""),"",IF(COUNTIFS(BD!$B$3:$B$5001,L$184,BD!$A$3:$A$5001,"&gt;="&amp;$C$7,BD!$A$3:$A$5001,"&lt;="&amp;$B189,BD!$L$3:$L$5001,"&lt;&gt;")=0,"",SUMIFS(BD!$L$3:$L$5001,BD!$B$3:$B$5001,L$184,BD!$A$3:$A$5001,_xlfn.MAXIFS(BD!$A$3:$A$5001,BD!$B$3:$B$5001,L$184,BD!$A$3:$A$5001,"&gt;="&amp;$C$7,BD!$A$3:$A$5001,"&lt;="&amp;$B189,BD!$L$3:$L$5001,"&lt;&gt;"))))</f>
        <v/>
      </c>
      <c r="M189" s="43" t="str">
        <f>IF(OR($B189="",$A189&gt;$B$9,M$184=""),"",IF(COUNTIFS(BD!$B$3:$B$5001,M$184,BD!$A$3:$A$5001,"&gt;="&amp;$C$7,BD!$A$3:$A$5001,"&lt;="&amp;$B189,BD!$L$3:$L$5001,"&lt;&gt;")=0,"",SUMIFS(BD!$L$3:$L$5001,BD!$B$3:$B$5001,M$184,BD!$A$3:$A$5001,_xlfn.MAXIFS(BD!$A$3:$A$5001,BD!$B$3:$B$5001,M$184,BD!$A$3:$A$5001,"&gt;="&amp;$C$7,BD!$A$3:$A$5001,"&lt;="&amp;$B189,BD!$L$3:$L$5001,"&lt;&gt;"))))</f>
        <v/>
      </c>
      <c r="N189" s="43" t="str">
        <f>IF(OR($B189="",$A189&gt;$B$9,N$184=""),"",IF(COUNTIFS(BD!$B$3:$B$5001,N$184,BD!$A$3:$A$5001,"&gt;="&amp;$C$7,BD!$A$3:$A$5001,"&lt;="&amp;$B189,BD!$L$3:$L$5001,"&lt;&gt;")=0,"",SUMIFS(BD!$L$3:$L$5001,BD!$B$3:$B$5001,N$184,BD!$A$3:$A$5001,_xlfn.MAXIFS(BD!$A$3:$A$5001,BD!$B$3:$B$5001,N$184,BD!$A$3:$A$5001,"&gt;="&amp;$C$7,BD!$A$3:$A$5001,"&lt;="&amp;$B189,BD!$L$3:$L$5001,"&lt;&gt;"))))</f>
        <v/>
      </c>
      <c r="O189" s="43" t="str">
        <f>IF(OR($B189="",$A189&gt;$B$9,O$184=""),"",IF(COUNTIFS(BD!$B$3:$B$5001,O$184,BD!$A$3:$A$5001,"&gt;="&amp;$C$7,BD!$A$3:$A$5001,"&lt;="&amp;$B189,BD!$L$3:$L$5001,"&lt;&gt;")=0,"",SUMIFS(BD!$L$3:$L$5001,BD!$B$3:$B$5001,O$184,BD!$A$3:$A$5001,_xlfn.MAXIFS(BD!$A$3:$A$5001,BD!$B$3:$B$5001,O$184,BD!$A$3:$A$5001,"&gt;="&amp;$C$7,BD!$A$3:$A$5001,"&lt;="&amp;$B189,BD!$L$3:$L$5001,"&lt;&gt;"))))</f>
        <v/>
      </c>
      <c r="P189" s="43" t="str">
        <f>IF(OR($B189="",$A189&gt;$B$9,P$184=""),"",IF(COUNTIFS(BD!$B$3:$B$5001,P$184,BD!$A$3:$A$5001,"&gt;="&amp;$C$7,BD!$A$3:$A$5001,"&lt;="&amp;$B189,BD!$L$3:$L$5001,"&lt;&gt;")=0,"",SUMIFS(BD!$L$3:$L$5001,BD!$B$3:$B$5001,P$184,BD!$A$3:$A$5001,_xlfn.MAXIFS(BD!$A$3:$A$5001,BD!$B$3:$B$5001,P$184,BD!$A$3:$A$5001,"&gt;="&amp;$C$7,BD!$A$3:$A$5001,"&lt;="&amp;$B189,BD!$L$3:$L$5001,"&lt;&gt;"))))</f>
        <v/>
      </c>
      <c r="Q189" s="43" t="str">
        <f>IF(OR($B189="",$A189&gt;$B$9,Q$184=""),"",IF(COUNTIFS(BD!$B$3:$B$5001,Q$184,BD!$A$3:$A$5001,"&gt;="&amp;$C$7,BD!$A$3:$A$5001,"&lt;="&amp;$B189,BD!$L$3:$L$5001,"&lt;&gt;")=0,"",SUMIFS(BD!$L$3:$L$5001,BD!$B$3:$B$5001,Q$184,BD!$A$3:$A$5001,_xlfn.MAXIFS(BD!$A$3:$A$5001,BD!$B$3:$B$5001,Q$184,BD!$A$3:$A$5001,"&gt;="&amp;$C$7,BD!$A$3:$A$5001,"&lt;="&amp;$B189,BD!$L$3:$L$5001,"&lt;&gt;"))))</f>
        <v/>
      </c>
      <c r="R189" s="43" t="str">
        <f>IF(OR($B189="",$A189&gt;$B$9,R$184=""),"",IF(COUNTIFS(BD!$B$3:$B$5001,R$184,BD!$A$3:$A$5001,"&gt;="&amp;$C$7,BD!$A$3:$A$5001,"&lt;="&amp;$B189,BD!$L$3:$L$5001,"&lt;&gt;")=0,"",SUMIFS(BD!$L$3:$L$5001,BD!$B$3:$B$5001,R$184,BD!$A$3:$A$5001,_xlfn.MAXIFS(BD!$A$3:$A$5001,BD!$B$3:$B$5001,R$184,BD!$A$3:$A$5001,"&gt;="&amp;$C$7,BD!$A$3:$A$5001,"&lt;="&amp;$B189,BD!$L$3:$L$5001,"&lt;&gt;"))))</f>
        <v/>
      </c>
      <c r="S189" s="43" t="str">
        <f>IF(OR($B189="",$A189&gt;$B$9,S$184=""),"",IF(COUNTIFS(BD!$B$3:$B$5001,S$184,BD!$A$3:$A$5001,"&gt;="&amp;$C$7,BD!$A$3:$A$5001,"&lt;="&amp;$B189,BD!$L$3:$L$5001,"&lt;&gt;")=0,"",SUMIFS(BD!$L$3:$L$5001,BD!$B$3:$B$5001,S$184,BD!$A$3:$A$5001,_xlfn.MAXIFS(BD!$A$3:$A$5001,BD!$B$3:$B$5001,S$184,BD!$A$3:$A$5001,"&gt;="&amp;$C$7,BD!$A$3:$A$5001,"&lt;="&amp;$B189,BD!$L$3:$L$5001,"&lt;&gt;"))))</f>
        <v/>
      </c>
      <c r="T189" s="43" t="str">
        <f>IF(OR($B189="",$A189&gt;$B$9,T$184=""),"",IF(COUNTIFS(BD!$B$3:$B$5001,T$184,BD!$A$3:$A$5001,"&gt;="&amp;$C$7,BD!$A$3:$A$5001,"&lt;="&amp;$B189,BD!$L$3:$L$5001,"&lt;&gt;")=0,"",SUMIFS(BD!$L$3:$L$5001,BD!$B$3:$B$5001,T$184,BD!$A$3:$A$5001,_xlfn.MAXIFS(BD!$A$3:$A$5001,BD!$B$3:$B$5001,T$184,BD!$A$3:$A$5001,"&gt;="&amp;$C$7,BD!$A$3:$A$5001,"&lt;="&amp;$B189,BD!$L$3:$L$5001,"&lt;&gt;"))))</f>
        <v/>
      </c>
      <c r="U189" s="43" t="str">
        <f>IF(OR($B189="",$A189&gt;$B$9,U$184=""),"",IF(COUNTIFS(BD!$B$3:$B$5001,U$184,BD!$A$3:$A$5001,"&gt;="&amp;$C$7,BD!$A$3:$A$5001,"&lt;="&amp;$B189,BD!$L$3:$L$5001,"&lt;&gt;")=0,"",SUMIFS(BD!$L$3:$L$5001,BD!$B$3:$B$5001,U$184,BD!$A$3:$A$5001,_xlfn.MAXIFS(BD!$A$3:$A$5001,BD!$B$3:$B$5001,U$184,BD!$A$3:$A$5001,"&gt;="&amp;$C$7,BD!$A$3:$A$5001,"&lt;="&amp;$B189,BD!$L$3:$L$5001,"&lt;&gt;"))))</f>
        <v/>
      </c>
      <c r="V189" s="43" t="str">
        <f>IF(OR($B189="",$A189&gt;$B$9,V$184=""),"",IF(COUNTIFS(BD!$B$3:$B$5001,V$184,BD!$A$3:$A$5001,"&gt;="&amp;$C$7,BD!$A$3:$A$5001,"&lt;="&amp;$B189,BD!$L$3:$L$5001,"&lt;&gt;")=0,"",SUMIFS(BD!$L$3:$L$5001,BD!$B$3:$B$5001,V$184,BD!$A$3:$A$5001,_xlfn.MAXIFS(BD!$A$3:$A$5001,BD!$B$3:$B$5001,V$184,BD!$A$3:$A$5001,"&gt;="&amp;$C$7,BD!$A$3:$A$5001,"&lt;="&amp;$B189,BD!$L$3:$L$5001,"&lt;&gt;"))))</f>
        <v/>
      </c>
    </row>
    <row r="190">
      <c r="A190" s="38">
        <v>6</v>
      </c>
      <c r="B190" s="42">
        <f>$B$17</f>
        <v>46301</v>
      </c>
      <c r="C190" s="43" t="str">
        <f>IF(OR($B190="",$A190&gt;$B$9,C$184=""),"",IF(COUNTIFS(BD!$B$3:$B$5001,C$184,BD!$A$3:$A$5001,"&gt;="&amp;$C$7,BD!$A$3:$A$5001,"&lt;="&amp;$B190,BD!$L$3:$L$5001,"&lt;&gt;")=0,"",SUMIFS(BD!$L$3:$L$5001,BD!$B$3:$B$5001,C$184,BD!$A$3:$A$5001,_xlfn.MAXIFS(BD!$A$3:$A$5001,BD!$B$3:$B$5001,C$184,BD!$A$3:$A$5001,"&gt;="&amp;$C$7,BD!$A$3:$A$5001,"&lt;="&amp;$B190,BD!$L$3:$L$5001,"&lt;&gt;"))))</f>
        <v/>
      </c>
      <c r="D190" s="43" t="str">
        <f>IF(OR($B190="",$A190&gt;$B$9,D$184=""),"",IF(COUNTIFS(BD!$B$3:$B$5001,D$184,BD!$A$3:$A$5001,"&gt;="&amp;$C$7,BD!$A$3:$A$5001,"&lt;="&amp;$B190,BD!$L$3:$L$5001,"&lt;&gt;")=0,"",SUMIFS(BD!$L$3:$L$5001,BD!$B$3:$B$5001,D$184,BD!$A$3:$A$5001,_xlfn.MAXIFS(BD!$A$3:$A$5001,BD!$B$3:$B$5001,D$184,BD!$A$3:$A$5001,"&gt;="&amp;$C$7,BD!$A$3:$A$5001,"&lt;="&amp;$B190,BD!$L$3:$L$5001,"&lt;&gt;"))))</f>
        <v/>
      </c>
      <c r="E190" s="43" t="str">
        <f>IF(OR($B190="",$A190&gt;$B$9,E$184=""),"",IF(COUNTIFS(BD!$B$3:$B$5001,E$184,BD!$A$3:$A$5001,"&gt;="&amp;$C$7,BD!$A$3:$A$5001,"&lt;="&amp;$B190,BD!$L$3:$L$5001,"&lt;&gt;")=0,"",SUMIFS(BD!$L$3:$L$5001,BD!$B$3:$B$5001,E$184,BD!$A$3:$A$5001,_xlfn.MAXIFS(BD!$A$3:$A$5001,BD!$B$3:$B$5001,E$184,BD!$A$3:$A$5001,"&gt;="&amp;$C$7,BD!$A$3:$A$5001,"&lt;="&amp;$B190,BD!$L$3:$L$5001,"&lt;&gt;"))))</f>
        <v/>
      </c>
      <c r="F190" s="43" t="str">
        <f>IF(OR($B190="",$A190&gt;$B$9,F$184=""),"",IF(COUNTIFS(BD!$B$3:$B$5001,F$184,BD!$A$3:$A$5001,"&gt;="&amp;$C$7,BD!$A$3:$A$5001,"&lt;="&amp;$B190,BD!$L$3:$L$5001,"&lt;&gt;")=0,"",SUMIFS(BD!$L$3:$L$5001,BD!$B$3:$B$5001,F$184,BD!$A$3:$A$5001,_xlfn.MAXIFS(BD!$A$3:$A$5001,BD!$B$3:$B$5001,F$184,BD!$A$3:$A$5001,"&gt;="&amp;$C$7,BD!$A$3:$A$5001,"&lt;="&amp;$B190,BD!$L$3:$L$5001,"&lt;&gt;"))))</f>
        <v/>
      </c>
      <c r="G190" s="43" t="str">
        <f>IF(OR($B190="",$A190&gt;$B$9,G$184=""),"",IF(COUNTIFS(BD!$B$3:$B$5001,G$184,BD!$A$3:$A$5001,"&gt;="&amp;$C$7,BD!$A$3:$A$5001,"&lt;="&amp;$B190,BD!$L$3:$L$5001,"&lt;&gt;")=0,"",SUMIFS(BD!$L$3:$L$5001,BD!$B$3:$B$5001,G$184,BD!$A$3:$A$5001,_xlfn.MAXIFS(BD!$A$3:$A$5001,BD!$B$3:$B$5001,G$184,BD!$A$3:$A$5001,"&gt;="&amp;$C$7,BD!$A$3:$A$5001,"&lt;="&amp;$B190,BD!$L$3:$L$5001,"&lt;&gt;"))))</f>
        <v/>
      </c>
      <c r="H190" s="43" t="str">
        <f>IF(OR($B190="",$A190&gt;$B$9,H$184=""),"",IF(COUNTIFS(BD!$B$3:$B$5001,H$184,BD!$A$3:$A$5001,"&gt;="&amp;$C$7,BD!$A$3:$A$5001,"&lt;="&amp;$B190,BD!$L$3:$L$5001,"&lt;&gt;")=0,"",SUMIFS(BD!$L$3:$L$5001,BD!$B$3:$B$5001,H$184,BD!$A$3:$A$5001,_xlfn.MAXIFS(BD!$A$3:$A$5001,BD!$B$3:$B$5001,H$184,BD!$A$3:$A$5001,"&gt;="&amp;$C$7,BD!$A$3:$A$5001,"&lt;="&amp;$B190,BD!$L$3:$L$5001,"&lt;&gt;"))))</f>
        <v/>
      </c>
      <c r="I190" s="43" t="str">
        <f>IF(OR($B190="",$A190&gt;$B$9,I$184=""),"",IF(COUNTIFS(BD!$B$3:$B$5001,I$184,BD!$A$3:$A$5001,"&gt;="&amp;$C$7,BD!$A$3:$A$5001,"&lt;="&amp;$B190,BD!$L$3:$L$5001,"&lt;&gt;")=0,"",SUMIFS(BD!$L$3:$L$5001,BD!$B$3:$B$5001,I$184,BD!$A$3:$A$5001,_xlfn.MAXIFS(BD!$A$3:$A$5001,BD!$B$3:$B$5001,I$184,BD!$A$3:$A$5001,"&gt;="&amp;$C$7,BD!$A$3:$A$5001,"&lt;="&amp;$B190,BD!$L$3:$L$5001,"&lt;&gt;"))))</f>
        <v/>
      </c>
      <c r="J190" s="43" t="str">
        <f>IF(OR($B190="",$A190&gt;$B$9,J$184=""),"",IF(COUNTIFS(BD!$B$3:$B$5001,J$184,BD!$A$3:$A$5001,"&gt;="&amp;$C$7,BD!$A$3:$A$5001,"&lt;="&amp;$B190,BD!$L$3:$L$5001,"&lt;&gt;")=0,"",SUMIFS(BD!$L$3:$L$5001,BD!$B$3:$B$5001,J$184,BD!$A$3:$A$5001,_xlfn.MAXIFS(BD!$A$3:$A$5001,BD!$B$3:$B$5001,J$184,BD!$A$3:$A$5001,"&gt;="&amp;$C$7,BD!$A$3:$A$5001,"&lt;="&amp;$B190,BD!$L$3:$L$5001,"&lt;&gt;"))))</f>
        <v/>
      </c>
      <c r="K190" s="43" t="str">
        <f>IF(OR($B190="",$A190&gt;$B$9,K$184=""),"",IF(COUNTIFS(BD!$B$3:$B$5001,K$184,BD!$A$3:$A$5001,"&gt;="&amp;$C$7,BD!$A$3:$A$5001,"&lt;="&amp;$B190,BD!$L$3:$L$5001,"&lt;&gt;")=0,"",SUMIFS(BD!$L$3:$L$5001,BD!$B$3:$B$5001,K$184,BD!$A$3:$A$5001,_xlfn.MAXIFS(BD!$A$3:$A$5001,BD!$B$3:$B$5001,K$184,BD!$A$3:$A$5001,"&gt;="&amp;$C$7,BD!$A$3:$A$5001,"&lt;="&amp;$B190,BD!$L$3:$L$5001,"&lt;&gt;"))))</f>
        <v/>
      </c>
      <c r="L190" s="43" t="str">
        <f>IF(OR($B190="",$A190&gt;$B$9,L$184=""),"",IF(COUNTIFS(BD!$B$3:$B$5001,L$184,BD!$A$3:$A$5001,"&gt;="&amp;$C$7,BD!$A$3:$A$5001,"&lt;="&amp;$B190,BD!$L$3:$L$5001,"&lt;&gt;")=0,"",SUMIFS(BD!$L$3:$L$5001,BD!$B$3:$B$5001,L$184,BD!$A$3:$A$5001,_xlfn.MAXIFS(BD!$A$3:$A$5001,BD!$B$3:$B$5001,L$184,BD!$A$3:$A$5001,"&gt;="&amp;$C$7,BD!$A$3:$A$5001,"&lt;="&amp;$B190,BD!$L$3:$L$5001,"&lt;&gt;"))))</f>
        <v/>
      </c>
      <c r="M190" s="43" t="str">
        <f>IF(OR($B190="",$A190&gt;$B$9,M$184=""),"",IF(COUNTIFS(BD!$B$3:$B$5001,M$184,BD!$A$3:$A$5001,"&gt;="&amp;$C$7,BD!$A$3:$A$5001,"&lt;="&amp;$B190,BD!$L$3:$L$5001,"&lt;&gt;")=0,"",SUMIFS(BD!$L$3:$L$5001,BD!$B$3:$B$5001,M$184,BD!$A$3:$A$5001,_xlfn.MAXIFS(BD!$A$3:$A$5001,BD!$B$3:$B$5001,M$184,BD!$A$3:$A$5001,"&gt;="&amp;$C$7,BD!$A$3:$A$5001,"&lt;="&amp;$B190,BD!$L$3:$L$5001,"&lt;&gt;"))))</f>
        <v/>
      </c>
      <c r="N190" s="43" t="str">
        <f>IF(OR($B190="",$A190&gt;$B$9,N$184=""),"",IF(COUNTIFS(BD!$B$3:$B$5001,N$184,BD!$A$3:$A$5001,"&gt;="&amp;$C$7,BD!$A$3:$A$5001,"&lt;="&amp;$B190,BD!$L$3:$L$5001,"&lt;&gt;")=0,"",SUMIFS(BD!$L$3:$L$5001,BD!$B$3:$B$5001,N$184,BD!$A$3:$A$5001,_xlfn.MAXIFS(BD!$A$3:$A$5001,BD!$B$3:$B$5001,N$184,BD!$A$3:$A$5001,"&gt;="&amp;$C$7,BD!$A$3:$A$5001,"&lt;="&amp;$B190,BD!$L$3:$L$5001,"&lt;&gt;"))))</f>
        <v/>
      </c>
      <c r="O190" s="43" t="str">
        <f>IF(OR($B190="",$A190&gt;$B$9,O$184=""),"",IF(COUNTIFS(BD!$B$3:$B$5001,O$184,BD!$A$3:$A$5001,"&gt;="&amp;$C$7,BD!$A$3:$A$5001,"&lt;="&amp;$B190,BD!$L$3:$L$5001,"&lt;&gt;")=0,"",SUMIFS(BD!$L$3:$L$5001,BD!$B$3:$B$5001,O$184,BD!$A$3:$A$5001,_xlfn.MAXIFS(BD!$A$3:$A$5001,BD!$B$3:$B$5001,O$184,BD!$A$3:$A$5001,"&gt;="&amp;$C$7,BD!$A$3:$A$5001,"&lt;="&amp;$B190,BD!$L$3:$L$5001,"&lt;&gt;"))))</f>
        <v/>
      </c>
      <c r="P190" s="43" t="str">
        <f>IF(OR($B190="",$A190&gt;$B$9,P$184=""),"",IF(COUNTIFS(BD!$B$3:$B$5001,P$184,BD!$A$3:$A$5001,"&gt;="&amp;$C$7,BD!$A$3:$A$5001,"&lt;="&amp;$B190,BD!$L$3:$L$5001,"&lt;&gt;")=0,"",SUMIFS(BD!$L$3:$L$5001,BD!$B$3:$B$5001,P$184,BD!$A$3:$A$5001,_xlfn.MAXIFS(BD!$A$3:$A$5001,BD!$B$3:$B$5001,P$184,BD!$A$3:$A$5001,"&gt;="&amp;$C$7,BD!$A$3:$A$5001,"&lt;="&amp;$B190,BD!$L$3:$L$5001,"&lt;&gt;"))))</f>
        <v/>
      </c>
      <c r="Q190" s="43" t="str">
        <f>IF(OR($B190="",$A190&gt;$B$9,Q$184=""),"",IF(COUNTIFS(BD!$B$3:$B$5001,Q$184,BD!$A$3:$A$5001,"&gt;="&amp;$C$7,BD!$A$3:$A$5001,"&lt;="&amp;$B190,BD!$L$3:$L$5001,"&lt;&gt;")=0,"",SUMIFS(BD!$L$3:$L$5001,BD!$B$3:$B$5001,Q$184,BD!$A$3:$A$5001,_xlfn.MAXIFS(BD!$A$3:$A$5001,BD!$B$3:$B$5001,Q$184,BD!$A$3:$A$5001,"&gt;="&amp;$C$7,BD!$A$3:$A$5001,"&lt;="&amp;$B190,BD!$L$3:$L$5001,"&lt;&gt;"))))</f>
        <v/>
      </c>
      <c r="R190" s="43" t="str">
        <f>IF(OR($B190="",$A190&gt;$B$9,R$184=""),"",IF(COUNTIFS(BD!$B$3:$B$5001,R$184,BD!$A$3:$A$5001,"&gt;="&amp;$C$7,BD!$A$3:$A$5001,"&lt;="&amp;$B190,BD!$L$3:$L$5001,"&lt;&gt;")=0,"",SUMIFS(BD!$L$3:$L$5001,BD!$B$3:$B$5001,R$184,BD!$A$3:$A$5001,_xlfn.MAXIFS(BD!$A$3:$A$5001,BD!$B$3:$B$5001,R$184,BD!$A$3:$A$5001,"&gt;="&amp;$C$7,BD!$A$3:$A$5001,"&lt;="&amp;$B190,BD!$L$3:$L$5001,"&lt;&gt;"))))</f>
        <v/>
      </c>
      <c r="S190" s="43" t="str">
        <f>IF(OR($B190="",$A190&gt;$B$9,S$184=""),"",IF(COUNTIFS(BD!$B$3:$B$5001,S$184,BD!$A$3:$A$5001,"&gt;="&amp;$C$7,BD!$A$3:$A$5001,"&lt;="&amp;$B190,BD!$L$3:$L$5001,"&lt;&gt;")=0,"",SUMIFS(BD!$L$3:$L$5001,BD!$B$3:$B$5001,S$184,BD!$A$3:$A$5001,_xlfn.MAXIFS(BD!$A$3:$A$5001,BD!$B$3:$B$5001,S$184,BD!$A$3:$A$5001,"&gt;="&amp;$C$7,BD!$A$3:$A$5001,"&lt;="&amp;$B190,BD!$L$3:$L$5001,"&lt;&gt;"))))</f>
        <v/>
      </c>
      <c r="T190" s="43" t="str">
        <f>IF(OR($B190="",$A190&gt;$B$9,T$184=""),"",IF(COUNTIFS(BD!$B$3:$B$5001,T$184,BD!$A$3:$A$5001,"&gt;="&amp;$C$7,BD!$A$3:$A$5001,"&lt;="&amp;$B190,BD!$L$3:$L$5001,"&lt;&gt;")=0,"",SUMIFS(BD!$L$3:$L$5001,BD!$B$3:$B$5001,T$184,BD!$A$3:$A$5001,_xlfn.MAXIFS(BD!$A$3:$A$5001,BD!$B$3:$B$5001,T$184,BD!$A$3:$A$5001,"&gt;="&amp;$C$7,BD!$A$3:$A$5001,"&lt;="&amp;$B190,BD!$L$3:$L$5001,"&lt;&gt;"))))</f>
        <v/>
      </c>
      <c r="U190" s="43" t="str">
        <f>IF(OR($B190="",$A190&gt;$B$9,U$184=""),"",IF(COUNTIFS(BD!$B$3:$B$5001,U$184,BD!$A$3:$A$5001,"&gt;="&amp;$C$7,BD!$A$3:$A$5001,"&lt;="&amp;$B190,BD!$L$3:$L$5001,"&lt;&gt;")=0,"",SUMIFS(BD!$L$3:$L$5001,BD!$B$3:$B$5001,U$184,BD!$A$3:$A$5001,_xlfn.MAXIFS(BD!$A$3:$A$5001,BD!$B$3:$B$5001,U$184,BD!$A$3:$A$5001,"&gt;="&amp;$C$7,BD!$A$3:$A$5001,"&lt;="&amp;$B190,BD!$L$3:$L$5001,"&lt;&gt;"))))</f>
        <v/>
      </c>
      <c r="V190" s="43" t="str">
        <f>IF(OR($B190="",$A190&gt;$B$9,V$184=""),"",IF(COUNTIFS(BD!$B$3:$B$5001,V$184,BD!$A$3:$A$5001,"&gt;="&amp;$C$7,BD!$A$3:$A$5001,"&lt;="&amp;$B190,BD!$L$3:$L$5001,"&lt;&gt;")=0,"",SUMIFS(BD!$L$3:$L$5001,BD!$B$3:$B$5001,V$184,BD!$A$3:$A$5001,_xlfn.MAXIFS(BD!$A$3:$A$5001,BD!$B$3:$B$5001,V$184,BD!$A$3:$A$5001,"&gt;="&amp;$C$7,BD!$A$3:$A$5001,"&lt;="&amp;$B190,BD!$L$3:$L$5001,"&lt;&gt;"))))</f>
        <v/>
      </c>
    </row>
    <row r="191">
      <c r="A191" s="38">
        <v>7</v>
      </c>
      <c r="B191" s="42">
        <f>$B$18</f>
        <v>46302</v>
      </c>
      <c r="C191" s="43" t="str">
        <f>IF(OR($B191="",$A191&gt;$B$9,C$184=""),"",IF(COUNTIFS(BD!$B$3:$B$5001,C$184,BD!$A$3:$A$5001,"&gt;="&amp;$C$7,BD!$A$3:$A$5001,"&lt;="&amp;$B191,BD!$L$3:$L$5001,"&lt;&gt;")=0,"",SUMIFS(BD!$L$3:$L$5001,BD!$B$3:$B$5001,C$184,BD!$A$3:$A$5001,_xlfn.MAXIFS(BD!$A$3:$A$5001,BD!$B$3:$B$5001,C$184,BD!$A$3:$A$5001,"&gt;="&amp;$C$7,BD!$A$3:$A$5001,"&lt;="&amp;$B191,BD!$L$3:$L$5001,"&lt;&gt;"))))</f>
        <v/>
      </c>
      <c r="D191" s="43" t="str">
        <f>IF(OR($B191="",$A191&gt;$B$9,D$184=""),"",IF(COUNTIFS(BD!$B$3:$B$5001,D$184,BD!$A$3:$A$5001,"&gt;="&amp;$C$7,BD!$A$3:$A$5001,"&lt;="&amp;$B191,BD!$L$3:$L$5001,"&lt;&gt;")=0,"",SUMIFS(BD!$L$3:$L$5001,BD!$B$3:$B$5001,D$184,BD!$A$3:$A$5001,_xlfn.MAXIFS(BD!$A$3:$A$5001,BD!$B$3:$B$5001,D$184,BD!$A$3:$A$5001,"&gt;="&amp;$C$7,BD!$A$3:$A$5001,"&lt;="&amp;$B191,BD!$L$3:$L$5001,"&lt;&gt;"))))</f>
        <v/>
      </c>
      <c r="E191" s="43" t="str">
        <f>IF(OR($B191="",$A191&gt;$B$9,E$184=""),"",IF(COUNTIFS(BD!$B$3:$B$5001,E$184,BD!$A$3:$A$5001,"&gt;="&amp;$C$7,BD!$A$3:$A$5001,"&lt;="&amp;$B191,BD!$L$3:$L$5001,"&lt;&gt;")=0,"",SUMIFS(BD!$L$3:$L$5001,BD!$B$3:$B$5001,E$184,BD!$A$3:$A$5001,_xlfn.MAXIFS(BD!$A$3:$A$5001,BD!$B$3:$B$5001,E$184,BD!$A$3:$A$5001,"&gt;="&amp;$C$7,BD!$A$3:$A$5001,"&lt;="&amp;$B191,BD!$L$3:$L$5001,"&lt;&gt;"))))</f>
        <v/>
      </c>
      <c r="F191" s="43" t="str">
        <f>IF(OR($B191="",$A191&gt;$B$9,F$184=""),"",IF(COUNTIFS(BD!$B$3:$B$5001,F$184,BD!$A$3:$A$5001,"&gt;="&amp;$C$7,BD!$A$3:$A$5001,"&lt;="&amp;$B191,BD!$L$3:$L$5001,"&lt;&gt;")=0,"",SUMIFS(BD!$L$3:$L$5001,BD!$B$3:$B$5001,F$184,BD!$A$3:$A$5001,_xlfn.MAXIFS(BD!$A$3:$A$5001,BD!$B$3:$B$5001,F$184,BD!$A$3:$A$5001,"&gt;="&amp;$C$7,BD!$A$3:$A$5001,"&lt;="&amp;$B191,BD!$L$3:$L$5001,"&lt;&gt;"))))</f>
        <v/>
      </c>
      <c r="G191" s="43" t="str">
        <f>IF(OR($B191="",$A191&gt;$B$9,G$184=""),"",IF(COUNTIFS(BD!$B$3:$B$5001,G$184,BD!$A$3:$A$5001,"&gt;="&amp;$C$7,BD!$A$3:$A$5001,"&lt;="&amp;$B191,BD!$L$3:$L$5001,"&lt;&gt;")=0,"",SUMIFS(BD!$L$3:$L$5001,BD!$B$3:$B$5001,G$184,BD!$A$3:$A$5001,_xlfn.MAXIFS(BD!$A$3:$A$5001,BD!$B$3:$B$5001,G$184,BD!$A$3:$A$5001,"&gt;="&amp;$C$7,BD!$A$3:$A$5001,"&lt;="&amp;$B191,BD!$L$3:$L$5001,"&lt;&gt;"))))</f>
        <v/>
      </c>
      <c r="H191" s="43" t="str">
        <f>IF(OR($B191="",$A191&gt;$B$9,H$184=""),"",IF(COUNTIFS(BD!$B$3:$B$5001,H$184,BD!$A$3:$A$5001,"&gt;="&amp;$C$7,BD!$A$3:$A$5001,"&lt;="&amp;$B191,BD!$L$3:$L$5001,"&lt;&gt;")=0,"",SUMIFS(BD!$L$3:$L$5001,BD!$B$3:$B$5001,H$184,BD!$A$3:$A$5001,_xlfn.MAXIFS(BD!$A$3:$A$5001,BD!$B$3:$B$5001,H$184,BD!$A$3:$A$5001,"&gt;="&amp;$C$7,BD!$A$3:$A$5001,"&lt;="&amp;$B191,BD!$L$3:$L$5001,"&lt;&gt;"))))</f>
        <v/>
      </c>
      <c r="I191" s="43" t="str">
        <f>IF(OR($B191="",$A191&gt;$B$9,I$184=""),"",IF(COUNTIFS(BD!$B$3:$B$5001,I$184,BD!$A$3:$A$5001,"&gt;="&amp;$C$7,BD!$A$3:$A$5001,"&lt;="&amp;$B191,BD!$L$3:$L$5001,"&lt;&gt;")=0,"",SUMIFS(BD!$L$3:$L$5001,BD!$B$3:$B$5001,I$184,BD!$A$3:$A$5001,_xlfn.MAXIFS(BD!$A$3:$A$5001,BD!$B$3:$B$5001,I$184,BD!$A$3:$A$5001,"&gt;="&amp;$C$7,BD!$A$3:$A$5001,"&lt;="&amp;$B191,BD!$L$3:$L$5001,"&lt;&gt;"))))</f>
        <v/>
      </c>
      <c r="J191" s="43" t="str">
        <f>IF(OR($B191="",$A191&gt;$B$9,J$184=""),"",IF(COUNTIFS(BD!$B$3:$B$5001,J$184,BD!$A$3:$A$5001,"&gt;="&amp;$C$7,BD!$A$3:$A$5001,"&lt;="&amp;$B191,BD!$L$3:$L$5001,"&lt;&gt;")=0,"",SUMIFS(BD!$L$3:$L$5001,BD!$B$3:$B$5001,J$184,BD!$A$3:$A$5001,_xlfn.MAXIFS(BD!$A$3:$A$5001,BD!$B$3:$B$5001,J$184,BD!$A$3:$A$5001,"&gt;="&amp;$C$7,BD!$A$3:$A$5001,"&lt;="&amp;$B191,BD!$L$3:$L$5001,"&lt;&gt;"))))</f>
        <v/>
      </c>
      <c r="K191" s="43" t="str">
        <f>IF(OR($B191="",$A191&gt;$B$9,K$184=""),"",IF(COUNTIFS(BD!$B$3:$B$5001,K$184,BD!$A$3:$A$5001,"&gt;="&amp;$C$7,BD!$A$3:$A$5001,"&lt;="&amp;$B191,BD!$L$3:$L$5001,"&lt;&gt;")=0,"",SUMIFS(BD!$L$3:$L$5001,BD!$B$3:$B$5001,K$184,BD!$A$3:$A$5001,_xlfn.MAXIFS(BD!$A$3:$A$5001,BD!$B$3:$B$5001,K$184,BD!$A$3:$A$5001,"&gt;="&amp;$C$7,BD!$A$3:$A$5001,"&lt;="&amp;$B191,BD!$L$3:$L$5001,"&lt;&gt;"))))</f>
        <v/>
      </c>
      <c r="L191" s="43" t="str">
        <f>IF(OR($B191="",$A191&gt;$B$9,L$184=""),"",IF(COUNTIFS(BD!$B$3:$B$5001,L$184,BD!$A$3:$A$5001,"&gt;="&amp;$C$7,BD!$A$3:$A$5001,"&lt;="&amp;$B191,BD!$L$3:$L$5001,"&lt;&gt;")=0,"",SUMIFS(BD!$L$3:$L$5001,BD!$B$3:$B$5001,L$184,BD!$A$3:$A$5001,_xlfn.MAXIFS(BD!$A$3:$A$5001,BD!$B$3:$B$5001,L$184,BD!$A$3:$A$5001,"&gt;="&amp;$C$7,BD!$A$3:$A$5001,"&lt;="&amp;$B191,BD!$L$3:$L$5001,"&lt;&gt;"))))</f>
        <v/>
      </c>
      <c r="M191" s="43" t="str">
        <f>IF(OR($B191="",$A191&gt;$B$9,M$184=""),"",IF(COUNTIFS(BD!$B$3:$B$5001,M$184,BD!$A$3:$A$5001,"&gt;="&amp;$C$7,BD!$A$3:$A$5001,"&lt;="&amp;$B191,BD!$L$3:$L$5001,"&lt;&gt;")=0,"",SUMIFS(BD!$L$3:$L$5001,BD!$B$3:$B$5001,M$184,BD!$A$3:$A$5001,_xlfn.MAXIFS(BD!$A$3:$A$5001,BD!$B$3:$B$5001,M$184,BD!$A$3:$A$5001,"&gt;="&amp;$C$7,BD!$A$3:$A$5001,"&lt;="&amp;$B191,BD!$L$3:$L$5001,"&lt;&gt;"))))</f>
        <v/>
      </c>
      <c r="N191" s="43" t="str">
        <f>IF(OR($B191="",$A191&gt;$B$9,N$184=""),"",IF(COUNTIFS(BD!$B$3:$B$5001,N$184,BD!$A$3:$A$5001,"&gt;="&amp;$C$7,BD!$A$3:$A$5001,"&lt;="&amp;$B191,BD!$L$3:$L$5001,"&lt;&gt;")=0,"",SUMIFS(BD!$L$3:$L$5001,BD!$B$3:$B$5001,N$184,BD!$A$3:$A$5001,_xlfn.MAXIFS(BD!$A$3:$A$5001,BD!$B$3:$B$5001,N$184,BD!$A$3:$A$5001,"&gt;="&amp;$C$7,BD!$A$3:$A$5001,"&lt;="&amp;$B191,BD!$L$3:$L$5001,"&lt;&gt;"))))</f>
        <v/>
      </c>
      <c r="O191" s="43" t="str">
        <f>IF(OR($B191="",$A191&gt;$B$9,O$184=""),"",IF(COUNTIFS(BD!$B$3:$B$5001,O$184,BD!$A$3:$A$5001,"&gt;="&amp;$C$7,BD!$A$3:$A$5001,"&lt;="&amp;$B191,BD!$L$3:$L$5001,"&lt;&gt;")=0,"",SUMIFS(BD!$L$3:$L$5001,BD!$B$3:$B$5001,O$184,BD!$A$3:$A$5001,_xlfn.MAXIFS(BD!$A$3:$A$5001,BD!$B$3:$B$5001,O$184,BD!$A$3:$A$5001,"&gt;="&amp;$C$7,BD!$A$3:$A$5001,"&lt;="&amp;$B191,BD!$L$3:$L$5001,"&lt;&gt;"))))</f>
        <v/>
      </c>
      <c r="P191" s="43" t="str">
        <f>IF(OR($B191="",$A191&gt;$B$9,P$184=""),"",IF(COUNTIFS(BD!$B$3:$B$5001,P$184,BD!$A$3:$A$5001,"&gt;="&amp;$C$7,BD!$A$3:$A$5001,"&lt;="&amp;$B191,BD!$L$3:$L$5001,"&lt;&gt;")=0,"",SUMIFS(BD!$L$3:$L$5001,BD!$B$3:$B$5001,P$184,BD!$A$3:$A$5001,_xlfn.MAXIFS(BD!$A$3:$A$5001,BD!$B$3:$B$5001,P$184,BD!$A$3:$A$5001,"&gt;="&amp;$C$7,BD!$A$3:$A$5001,"&lt;="&amp;$B191,BD!$L$3:$L$5001,"&lt;&gt;"))))</f>
        <v/>
      </c>
      <c r="Q191" s="43" t="str">
        <f>IF(OR($B191="",$A191&gt;$B$9,Q$184=""),"",IF(COUNTIFS(BD!$B$3:$B$5001,Q$184,BD!$A$3:$A$5001,"&gt;="&amp;$C$7,BD!$A$3:$A$5001,"&lt;="&amp;$B191,BD!$L$3:$L$5001,"&lt;&gt;")=0,"",SUMIFS(BD!$L$3:$L$5001,BD!$B$3:$B$5001,Q$184,BD!$A$3:$A$5001,_xlfn.MAXIFS(BD!$A$3:$A$5001,BD!$B$3:$B$5001,Q$184,BD!$A$3:$A$5001,"&gt;="&amp;$C$7,BD!$A$3:$A$5001,"&lt;="&amp;$B191,BD!$L$3:$L$5001,"&lt;&gt;"))))</f>
        <v/>
      </c>
      <c r="R191" s="43" t="str">
        <f>IF(OR($B191="",$A191&gt;$B$9,R$184=""),"",IF(COUNTIFS(BD!$B$3:$B$5001,R$184,BD!$A$3:$A$5001,"&gt;="&amp;$C$7,BD!$A$3:$A$5001,"&lt;="&amp;$B191,BD!$L$3:$L$5001,"&lt;&gt;")=0,"",SUMIFS(BD!$L$3:$L$5001,BD!$B$3:$B$5001,R$184,BD!$A$3:$A$5001,_xlfn.MAXIFS(BD!$A$3:$A$5001,BD!$B$3:$B$5001,R$184,BD!$A$3:$A$5001,"&gt;="&amp;$C$7,BD!$A$3:$A$5001,"&lt;="&amp;$B191,BD!$L$3:$L$5001,"&lt;&gt;"))))</f>
        <v/>
      </c>
      <c r="S191" s="43" t="str">
        <f>IF(OR($B191="",$A191&gt;$B$9,S$184=""),"",IF(COUNTIFS(BD!$B$3:$B$5001,S$184,BD!$A$3:$A$5001,"&gt;="&amp;$C$7,BD!$A$3:$A$5001,"&lt;="&amp;$B191,BD!$L$3:$L$5001,"&lt;&gt;")=0,"",SUMIFS(BD!$L$3:$L$5001,BD!$B$3:$B$5001,S$184,BD!$A$3:$A$5001,_xlfn.MAXIFS(BD!$A$3:$A$5001,BD!$B$3:$B$5001,S$184,BD!$A$3:$A$5001,"&gt;="&amp;$C$7,BD!$A$3:$A$5001,"&lt;="&amp;$B191,BD!$L$3:$L$5001,"&lt;&gt;"))))</f>
        <v/>
      </c>
      <c r="T191" s="43" t="str">
        <f>IF(OR($B191="",$A191&gt;$B$9,T$184=""),"",IF(COUNTIFS(BD!$B$3:$B$5001,T$184,BD!$A$3:$A$5001,"&gt;="&amp;$C$7,BD!$A$3:$A$5001,"&lt;="&amp;$B191,BD!$L$3:$L$5001,"&lt;&gt;")=0,"",SUMIFS(BD!$L$3:$L$5001,BD!$B$3:$B$5001,T$184,BD!$A$3:$A$5001,_xlfn.MAXIFS(BD!$A$3:$A$5001,BD!$B$3:$B$5001,T$184,BD!$A$3:$A$5001,"&gt;="&amp;$C$7,BD!$A$3:$A$5001,"&lt;="&amp;$B191,BD!$L$3:$L$5001,"&lt;&gt;"))))</f>
        <v/>
      </c>
      <c r="U191" s="43" t="str">
        <f>IF(OR($B191="",$A191&gt;$B$9,U$184=""),"",IF(COUNTIFS(BD!$B$3:$B$5001,U$184,BD!$A$3:$A$5001,"&gt;="&amp;$C$7,BD!$A$3:$A$5001,"&lt;="&amp;$B191,BD!$L$3:$L$5001,"&lt;&gt;")=0,"",SUMIFS(BD!$L$3:$L$5001,BD!$B$3:$B$5001,U$184,BD!$A$3:$A$5001,_xlfn.MAXIFS(BD!$A$3:$A$5001,BD!$B$3:$B$5001,U$184,BD!$A$3:$A$5001,"&gt;="&amp;$C$7,BD!$A$3:$A$5001,"&lt;="&amp;$B191,BD!$L$3:$L$5001,"&lt;&gt;"))))</f>
        <v/>
      </c>
      <c r="V191" s="43" t="str">
        <f>IF(OR($B191="",$A191&gt;$B$9,V$184=""),"",IF(COUNTIFS(BD!$B$3:$B$5001,V$184,BD!$A$3:$A$5001,"&gt;="&amp;$C$7,BD!$A$3:$A$5001,"&lt;="&amp;$B191,BD!$L$3:$L$5001,"&lt;&gt;")=0,"",SUMIFS(BD!$L$3:$L$5001,BD!$B$3:$B$5001,V$184,BD!$A$3:$A$5001,_xlfn.MAXIFS(BD!$A$3:$A$5001,BD!$B$3:$B$5001,V$184,BD!$A$3:$A$5001,"&gt;="&amp;$C$7,BD!$A$3:$A$5001,"&lt;="&amp;$B191,BD!$L$3:$L$5001,"&lt;&gt;"))))</f>
        <v/>
      </c>
    </row>
    <row r="192">
      <c r="A192" s="38">
        <v>8</v>
      </c>
      <c r="B192" s="42">
        <f>$B$19</f>
        <v>46303</v>
      </c>
      <c r="C192" s="43" t="str">
        <f>IF(OR($B192="",$A192&gt;$B$9,C$184=""),"",IF(COUNTIFS(BD!$B$3:$B$5001,C$184,BD!$A$3:$A$5001,"&gt;="&amp;$C$7,BD!$A$3:$A$5001,"&lt;="&amp;$B192,BD!$L$3:$L$5001,"&lt;&gt;")=0,"",SUMIFS(BD!$L$3:$L$5001,BD!$B$3:$B$5001,C$184,BD!$A$3:$A$5001,_xlfn.MAXIFS(BD!$A$3:$A$5001,BD!$B$3:$B$5001,C$184,BD!$A$3:$A$5001,"&gt;="&amp;$C$7,BD!$A$3:$A$5001,"&lt;="&amp;$B192,BD!$L$3:$L$5001,"&lt;&gt;"))))</f>
        <v/>
      </c>
      <c r="D192" s="43" t="str">
        <f>IF(OR($B192="",$A192&gt;$B$9,D$184=""),"",IF(COUNTIFS(BD!$B$3:$B$5001,D$184,BD!$A$3:$A$5001,"&gt;="&amp;$C$7,BD!$A$3:$A$5001,"&lt;="&amp;$B192,BD!$L$3:$L$5001,"&lt;&gt;")=0,"",SUMIFS(BD!$L$3:$L$5001,BD!$B$3:$B$5001,D$184,BD!$A$3:$A$5001,_xlfn.MAXIFS(BD!$A$3:$A$5001,BD!$B$3:$B$5001,D$184,BD!$A$3:$A$5001,"&gt;="&amp;$C$7,BD!$A$3:$A$5001,"&lt;="&amp;$B192,BD!$L$3:$L$5001,"&lt;&gt;"))))</f>
        <v/>
      </c>
      <c r="E192" s="43" t="str">
        <f>IF(OR($B192="",$A192&gt;$B$9,E$184=""),"",IF(COUNTIFS(BD!$B$3:$B$5001,E$184,BD!$A$3:$A$5001,"&gt;="&amp;$C$7,BD!$A$3:$A$5001,"&lt;="&amp;$B192,BD!$L$3:$L$5001,"&lt;&gt;")=0,"",SUMIFS(BD!$L$3:$L$5001,BD!$B$3:$B$5001,E$184,BD!$A$3:$A$5001,_xlfn.MAXIFS(BD!$A$3:$A$5001,BD!$B$3:$B$5001,E$184,BD!$A$3:$A$5001,"&gt;="&amp;$C$7,BD!$A$3:$A$5001,"&lt;="&amp;$B192,BD!$L$3:$L$5001,"&lt;&gt;"))))</f>
        <v/>
      </c>
      <c r="F192" s="43" t="str">
        <f>IF(OR($B192="",$A192&gt;$B$9,F$184=""),"",IF(COUNTIFS(BD!$B$3:$B$5001,F$184,BD!$A$3:$A$5001,"&gt;="&amp;$C$7,BD!$A$3:$A$5001,"&lt;="&amp;$B192,BD!$L$3:$L$5001,"&lt;&gt;")=0,"",SUMIFS(BD!$L$3:$L$5001,BD!$B$3:$B$5001,F$184,BD!$A$3:$A$5001,_xlfn.MAXIFS(BD!$A$3:$A$5001,BD!$B$3:$B$5001,F$184,BD!$A$3:$A$5001,"&gt;="&amp;$C$7,BD!$A$3:$A$5001,"&lt;="&amp;$B192,BD!$L$3:$L$5001,"&lt;&gt;"))))</f>
        <v/>
      </c>
      <c r="G192" s="43" t="str">
        <f>IF(OR($B192="",$A192&gt;$B$9,G$184=""),"",IF(COUNTIFS(BD!$B$3:$B$5001,G$184,BD!$A$3:$A$5001,"&gt;="&amp;$C$7,BD!$A$3:$A$5001,"&lt;="&amp;$B192,BD!$L$3:$L$5001,"&lt;&gt;")=0,"",SUMIFS(BD!$L$3:$L$5001,BD!$B$3:$B$5001,G$184,BD!$A$3:$A$5001,_xlfn.MAXIFS(BD!$A$3:$A$5001,BD!$B$3:$B$5001,G$184,BD!$A$3:$A$5001,"&gt;="&amp;$C$7,BD!$A$3:$A$5001,"&lt;="&amp;$B192,BD!$L$3:$L$5001,"&lt;&gt;"))))</f>
        <v/>
      </c>
      <c r="H192" s="43" t="str">
        <f>IF(OR($B192="",$A192&gt;$B$9,H$184=""),"",IF(COUNTIFS(BD!$B$3:$B$5001,H$184,BD!$A$3:$A$5001,"&gt;="&amp;$C$7,BD!$A$3:$A$5001,"&lt;="&amp;$B192,BD!$L$3:$L$5001,"&lt;&gt;")=0,"",SUMIFS(BD!$L$3:$L$5001,BD!$B$3:$B$5001,H$184,BD!$A$3:$A$5001,_xlfn.MAXIFS(BD!$A$3:$A$5001,BD!$B$3:$B$5001,H$184,BD!$A$3:$A$5001,"&gt;="&amp;$C$7,BD!$A$3:$A$5001,"&lt;="&amp;$B192,BD!$L$3:$L$5001,"&lt;&gt;"))))</f>
        <v/>
      </c>
      <c r="I192" s="43" t="str">
        <f>IF(OR($B192="",$A192&gt;$B$9,I$184=""),"",IF(COUNTIFS(BD!$B$3:$B$5001,I$184,BD!$A$3:$A$5001,"&gt;="&amp;$C$7,BD!$A$3:$A$5001,"&lt;="&amp;$B192,BD!$L$3:$L$5001,"&lt;&gt;")=0,"",SUMIFS(BD!$L$3:$L$5001,BD!$B$3:$B$5001,I$184,BD!$A$3:$A$5001,_xlfn.MAXIFS(BD!$A$3:$A$5001,BD!$B$3:$B$5001,I$184,BD!$A$3:$A$5001,"&gt;="&amp;$C$7,BD!$A$3:$A$5001,"&lt;="&amp;$B192,BD!$L$3:$L$5001,"&lt;&gt;"))))</f>
        <v/>
      </c>
      <c r="J192" s="43" t="str">
        <f>IF(OR($B192="",$A192&gt;$B$9,J$184=""),"",IF(COUNTIFS(BD!$B$3:$B$5001,J$184,BD!$A$3:$A$5001,"&gt;="&amp;$C$7,BD!$A$3:$A$5001,"&lt;="&amp;$B192,BD!$L$3:$L$5001,"&lt;&gt;")=0,"",SUMIFS(BD!$L$3:$L$5001,BD!$B$3:$B$5001,J$184,BD!$A$3:$A$5001,_xlfn.MAXIFS(BD!$A$3:$A$5001,BD!$B$3:$B$5001,J$184,BD!$A$3:$A$5001,"&gt;="&amp;$C$7,BD!$A$3:$A$5001,"&lt;="&amp;$B192,BD!$L$3:$L$5001,"&lt;&gt;"))))</f>
        <v/>
      </c>
      <c r="K192" s="43" t="str">
        <f>IF(OR($B192="",$A192&gt;$B$9,K$184=""),"",IF(COUNTIFS(BD!$B$3:$B$5001,K$184,BD!$A$3:$A$5001,"&gt;="&amp;$C$7,BD!$A$3:$A$5001,"&lt;="&amp;$B192,BD!$L$3:$L$5001,"&lt;&gt;")=0,"",SUMIFS(BD!$L$3:$L$5001,BD!$B$3:$B$5001,K$184,BD!$A$3:$A$5001,_xlfn.MAXIFS(BD!$A$3:$A$5001,BD!$B$3:$B$5001,K$184,BD!$A$3:$A$5001,"&gt;="&amp;$C$7,BD!$A$3:$A$5001,"&lt;="&amp;$B192,BD!$L$3:$L$5001,"&lt;&gt;"))))</f>
        <v/>
      </c>
      <c r="L192" s="43" t="str">
        <f>IF(OR($B192="",$A192&gt;$B$9,L$184=""),"",IF(COUNTIFS(BD!$B$3:$B$5001,L$184,BD!$A$3:$A$5001,"&gt;="&amp;$C$7,BD!$A$3:$A$5001,"&lt;="&amp;$B192,BD!$L$3:$L$5001,"&lt;&gt;")=0,"",SUMIFS(BD!$L$3:$L$5001,BD!$B$3:$B$5001,L$184,BD!$A$3:$A$5001,_xlfn.MAXIFS(BD!$A$3:$A$5001,BD!$B$3:$B$5001,L$184,BD!$A$3:$A$5001,"&gt;="&amp;$C$7,BD!$A$3:$A$5001,"&lt;="&amp;$B192,BD!$L$3:$L$5001,"&lt;&gt;"))))</f>
        <v/>
      </c>
      <c r="M192" s="43" t="str">
        <f>IF(OR($B192="",$A192&gt;$B$9,M$184=""),"",IF(COUNTIFS(BD!$B$3:$B$5001,M$184,BD!$A$3:$A$5001,"&gt;="&amp;$C$7,BD!$A$3:$A$5001,"&lt;="&amp;$B192,BD!$L$3:$L$5001,"&lt;&gt;")=0,"",SUMIFS(BD!$L$3:$L$5001,BD!$B$3:$B$5001,M$184,BD!$A$3:$A$5001,_xlfn.MAXIFS(BD!$A$3:$A$5001,BD!$B$3:$B$5001,M$184,BD!$A$3:$A$5001,"&gt;="&amp;$C$7,BD!$A$3:$A$5001,"&lt;="&amp;$B192,BD!$L$3:$L$5001,"&lt;&gt;"))))</f>
        <v/>
      </c>
      <c r="N192" s="43" t="str">
        <f>IF(OR($B192="",$A192&gt;$B$9,N$184=""),"",IF(COUNTIFS(BD!$B$3:$B$5001,N$184,BD!$A$3:$A$5001,"&gt;="&amp;$C$7,BD!$A$3:$A$5001,"&lt;="&amp;$B192,BD!$L$3:$L$5001,"&lt;&gt;")=0,"",SUMIFS(BD!$L$3:$L$5001,BD!$B$3:$B$5001,N$184,BD!$A$3:$A$5001,_xlfn.MAXIFS(BD!$A$3:$A$5001,BD!$B$3:$B$5001,N$184,BD!$A$3:$A$5001,"&gt;="&amp;$C$7,BD!$A$3:$A$5001,"&lt;="&amp;$B192,BD!$L$3:$L$5001,"&lt;&gt;"))))</f>
        <v/>
      </c>
      <c r="O192" s="43" t="str">
        <f>IF(OR($B192="",$A192&gt;$B$9,O$184=""),"",IF(COUNTIFS(BD!$B$3:$B$5001,O$184,BD!$A$3:$A$5001,"&gt;="&amp;$C$7,BD!$A$3:$A$5001,"&lt;="&amp;$B192,BD!$L$3:$L$5001,"&lt;&gt;")=0,"",SUMIFS(BD!$L$3:$L$5001,BD!$B$3:$B$5001,O$184,BD!$A$3:$A$5001,_xlfn.MAXIFS(BD!$A$3:$A$5001,BD!$B$3:$B$5001,O$184,BD!$A$3:$A$5001,"&gt;="&amp;$C$7,BD!$A$3:$A$5001,"&lt;="&amp;$B192,BD!$L$3:$L$5001,"&lt;&gt;"))))</f>
        <v/>
      </c>
      <c r="P192" s="43" t="str">
        <f>IF(OR($B192="",$A192&gt;$B$9,P$184=""),"",IF(COUNTIFS(BD!$B$3:$B$5001,P$184,BD!$A$3:$A$5001,"&gt;="&amp;$C$7,BD!$A$3:$A$5001,"&lt;="&amp;$B192,BD!$L$3:$L$5001,"&lt;&gt;")=0,"",SUMIFS(BD!$L$3:$L$5001,BD!$B$3:$B$5001,P$184,BD!$A$3:$A$5001,_xlfn.MAXIFS(BD!$A$3:$A$5001,BD!$B$3:$B$5001,P$184,BD!$A$3:$A$5001,"&gt;="&amp;$C$7,BD!$A$3:$A$5001,"&lt;="&amp;$B192,BD!$L$3:$L$5001,"&lt;&gt;"))))</f>
        <v/>
      </c>
      <c r="Q192" s="43" t="str">
        <f>IF(OR($B192="",$A192&gt;$B$9,Q$184=""),"",IF(COUNTIFS(BD!$B$3:$B$5001,Q$184,BD!$A$3:$A$5001,"&gt;="&amp;$C$7,BD!$A$3:$A$5001,"&lt;="&amp;$B192,BD!$L$3:$L$5001,"&lt;&gt;")=0,"",SUMIFS(BD!$L$3:$L$5001,BD!$B$3:$B$5001,Q$184,BD!$A$3:$A$5001,_xlfn.MAXIFS(BD!$A$3:$A$5001,BD!$B$3:$B$5001,Q$184,BD!$A$3:$A$5001,"&gt;="&amp;$C$7,BD!$A$3:$A$5001,"&lt;="&amp;$B192,BD!$L$3:$L$5001,"&lt;&gt;"))))</f>
        <v/>
      </c>
      <c r="R192" s="43" t="str">
        <f>IF(OR($B192="",$A192&gt;$B$9,R$184=""),"",IF(COUNTIFS(BD!$B$3:$B$5001,R$184,BD!$A$3:$A$5001,"&gt;="&amp;$C$7,BD!$A$3:$A$5001,"&lt;="&amp;$B192,BD!$L$3:$L$5001,"&lt;&gt;")=0,"",SUMIFS(BD!$L$3:$L$5001,BD!$B$3:$B$5001,R$184,BD!$A$3:$A$5001,_xlfn.MAXIFS(BD!$A$3:$A$5001,BD!$B$3:$B$5001,R$184,BD!$A$3:$A$5001,"&gt;="&amp;$C$7,BD!$A$3:$A$5001,"&lt;="&amp;$B192,BD!$L$3:$L$5001,"&lt;&gt;"))))</f>
        <v/>
      </c>
      <c r="S192" s="43" t="str">
        <f>IF(OR($B192="",$A192&gt;$B$9,S$184=""),"",IF(COUNTIFS(BD!$B$3:$B$5001,S$184,BD!$A$3:$A$5001,"&gt;="&amp;$C$7,BD!$A$3:$A$5001,"&lt;="&amp;$B192,BD!$L$3:$L$5001,"&lt;&gt;")=0,"",SUMIFS(BD!$L$3:$L$5001,BD!$B$3:$B$5001,S$184,BD!$A$3:$A$5001,_xlfn.MAXIFS(BD!$A$3:$A$5001,BD!$B$3:$B$5001,S$184,BD!$A$3:$A$5001,"&gt;="&amp;$C$7,BD!$A$3:$A$5001,"&lt;="&amp;$B192,BD!$L$3:$L$5001,"&lt;&gt;"))))</f>
        <v/>
      </c>
      <c r="T192" s="43" t="str">
        <f>IF(OR($B192="",$A192&gt;$B$9,T$184=""),"",IF(COUNTIFS(BD!$B$3:$B$5001,T$184,BD!$A$3:$A$5001,"&gt;="&amp;$C$7,BD!$A$3:$A$5001,"&lt;="&amp;$B192,BD!$L$3:$L$5001,"&lt;&gt;")=0,"",SUMIFS(BD!$L$3:$L$5001,BD!$B$3:$B$5001,T$184,BD!$A$3:$A$5001,_xlfn.MAXIFS(BD!$A$3:$A$5001,BD!$B$3:$B$5001,T$184,BD!$A$3:$A$5001,"&gt;="&amp;$C$7,BD!$A$3:$A$5001,"&lt;="&amp;$B192,BD!$L$3:$L$5001,"&lt;&gt;"))))</f>
        <v/>
      </c>
      <c r="U192" s="43" t="str">
        <f>IF(OR($B192="",$A192&gt;$B$9,U$184=""),"",IF(COUNTIFS(BD!$B$3:$B$5001,U$184,BD!$A$3:$A$5001,"&gt;="&amp;$C$7,BD!$A$3:$A$5001,"&lt;="&amp;$B192,BD!$L$3:$L$5001,"&lt;&gt;")=0,"",SUMIFS(BD!$L$3:$L$5001,BD!$B$3:$B$5001,U$184,BD!$A$3:$A$5001,_xlfn.MAXIFS(BD!$A$3:$A$5001,BD!$B$3:$B$5001,U$184,BD!$A$3:$A$5001,"&gt;="&amp;$C$7,BD!$A$3:$A$5001,"&lt;="&amp;$B192,BD!$L$3:$L$5001,"&lt;&gt;"))))</f>
        <v/>
      </c>
      <c r="V192" s="43" t="str">
        <f>IF(OR($B192="",$A192&gt;$B$9,V$184=""),"",IF(COUNTIFS(BD!$B$3:$B$5001,V$184,BD!$A$3:$A$5001,"&gt;="&amp;$C$7,BD!$A$3:$A$5001,"&lt;="&amp;$B192,BD!$L$3:$L$5001,"&lt;&gt;")=0,"",SUMIFS(BD!$L$3:$L$5001,BD!$B$3:$B$5001,V$184,BD!$A$3:$A$5001,_xlfn.MAXIFS(BD!$A$3:$A$5001,BD!$B$3:$B$5001,V$184,BD!$A$3:$A$5001,"&gt;="&amp;$C$7,BD!$A$3:$A$5001,"&lt;="&amp;$B192,BD!$L$3:$L$5001,"&lt;&gt;"))))</f>
        <v/>
      </c>
    </row>
    <row r="193">
      <c r="A193" s="38">
        <v>9</v>
      </c>
      <c r="B193" s="42">
        <f>$B$20</f>
        <v>46304</v>
      </c>
      <c r="C193" s="43" t="str">
        <f>IF(OR($B193="",$A193&gt;$B$9,C$184=""),"",IF(COUNTIFS(BD!$B$3:$B$5001,C$184,BD!$A$3:$A$5001,"&gt;="&amp;$C$7,BD!$A$3:$A$5001,"&lt;="&amp;$B193,BD!$L$3:$L$5001,"&lt;&gt;")=0,"",SUMIFS(BD!$L$3:$L$5001,BD!$B$3:$B$5001,C$184,BD!$A$3:$A$5001,_xlfn.MAXIFS(BD!$A$3:$A$5001,BD!$B$3:$B$5001,C$184,BD!$A$3:$A$5001,"&gt;="&amp;$C$7,BD!$A$3:$A$5001,"&lt;="&amp;$B193,BD!$L$3:$L$5001,"&lt;&gt;"))))</f>
        <v/>
      </c>
      <c r="D193" s="43" t="str">
        <f>IF(OR($B193="",$A193&gt;$B$9,D$184=""),"",IF(COUNTIFS(BD!$B$3:$B$5001,D$184,BD!$A$3:$A$5001,"&gt;="&amp;$C$7,BD!$A$3:$A$5001,"&lt;="&amp;$B193,BD!$L$3:$L$5001,"&lt;&gt;")=0,"",SUMIFS(BD!$L$3:$L$5001,BD!$B$3:$B$5001,D$184,BD!$A$3:$A$5001,_xlfn.MAXIFS(BD!$A$3:$A$5001,BD!$B$3:$B$5001,D$184,BD!$A$3:$A$5001,"&gt;="&amp;$C$7,BD!$A$3:$A$5001,"&lt;="&amp;$B193,BD!$L$3:$L$5001,"&lt;&gt;"))))</f>
        <v/>
      </c>
      <c r="E193" s="43" t="str">
        <f>IF(OR($B193="",$A193&gt;$B$9,E$184=""),"",IF(COUNTIFS(BD!$B$3:$B$5001,E$184,BD!$A$3:$A$5001,"&gt;="&amp;$C$7,BD!$A$3:$A$5001,"&lt;="&amp;$B193,BD!$L$3:$L$5001,"&lt;&gt;")=0,"",SUMIFS(BD!$L$3:$L$5001,BD!$B$3:$B$5001,E$184,BD!$A$3:$A$5001,_xlfn.MAXIFS(BD!$A$3:$A$5001,BD!$B$3:$B$5001,E$184,BD!$A$3:$A$5001,"&gt;="&amp;$C$7,BD!$A$3:$A$5001,"&lt;="&amp;$B193,BD!$L$3:$L$5001,"&lt;&gt;"))))</f>
        <v/>
      </c>
      <c r="F193" s="43" t="str">
        <f>IF(OR($B193="",$A193&gt;$B$9,F$184=""),"",IF(COUNTIFS(BD!$B$3:$B$5001,F$184,BD!$A$3:$A$5001,"&gt;="&amp;$C$7,BD!$A$3:$A$5001,"&lt;="&amp;$B193,BD!$L$3:$L$5001,"&lt;&gt;")=0,"",SUMIFS(BD!$L$3:$L$5001,BD!$B$3:$B$5001,F$184,BD!$A$3:$A$5001,_xlfn.MAXIFS(BD!$A$3:$A$5001,BD!$B$3:$B$5001,F$184,BD!$A$3:$A$5001,"&gt;="&amp;$C$7,BD!$A$3:$A$5001,"&lt;="&amp;$B193,BD!$L$3:$L$5001,"&lt;&gt;"))))</f>
        <v/>
      </c>
      <c r="G193" s="43" t="str">
        <f>IF(OR($B193="",$A193&gt;$B$9,G$184=""),"",IF(COUNTIFS(BD!$B$3:$B$5001,G$184,BD!$A$3:$A$5001,"&gt;="&amp;$C$7,BD!$A$3:$A$5001,"&lt;="&amp;$B193,BD!$L$3:$L$5001,"&lt;&gt;")=0,"",SUMIFS(BD!$L$3:$L$5001,BD!$B$3:$B$5001,G$184,BD!$A$3:$A$5001,_xlfn.MAXIFS(BD!$A$3:$A$5001,BD!$B$3:$B$5001,G$184,BD!$A$3:$A$5001,"&gt;="&amp;$C$7,BD!$A$3:$A$5001,"&lt;="&amp;$B193,BD!$L$3:$L$5001,"&lt;&gt;"))))</f>
        <v/>
      </c>
      <c r="H193" s="43" t="str">
        <f>IF(OR($B193="",$A193&gt;$B$9,H$184=""),"",IF(COUNTIFS(BD!$B$3:$B$5001,H$184,BD!$A$3:$A$5001,"&gt;="&amp;$C$7,BD!$A$3:$A$5001,"&lt;="&amp;$B193,BD!$L$3:$L$5001,"&lt;&gt;")=0,"",SUMIFS(BD!$L$3:$L$5001,BD!$B$3:$B$5001,H$184,BD!$A$3:$A$5001,_xlfn.MAXIFS(BD!$A$3:$A$5001,BD!$B$3:$B$5001,H$184,BD!$A$3:$A$5001,"&gt;="&amp;$C$7,BD!$A$3:$A$5001,"&lt;="&amp;$B193,BD!$L$3:$L$5001,"&lt;&gt;"))))</f>
        <v/>
      </c>
      <c r="I193" s="43" t="str">
        <f>IF(OR($B193="",$A193&gt;$B$9,I$184=""),"",IF(COUNTIFS(BD!$B$3:$B$5001,I$184,BD!$A$3:$A$5001,"&gt;="&amp;$C$7,BD!$A$3:$A$5001,"&lt;="&amp;$B193,BD!$L$3:$L$5001,"&lt;&gt;")=0,"",SUMIFS(BD!$L$3:$L$5001,BD!$B$3:$B$5001,I$184,BD!$A$3:$A$5001,_xlfn.MAXIFS(BD!$A$3:$A$5001,BD!$B$3:$B$5001,I$184,BD!$A$3:$A$5001,"&gt;="&amp;$C$7,BD!$A$3:$A$5001,"&lt;="&amp;$B193,BD!$L$3:$L$5001,"&lt;&gt;"))))</f>
        <v/>
      </c>
      <c r="J193" s="43" t="str">
        <f>IF(OR($B193="",$A193&gt;$B$9,J$184=""),"",IF(COUNTIFS(BD!$B$3:$B$5001,J$184,BD!$A$3:$A$5001,"&gt;="&amp;$C$7,BD!$A$3:$A$5001,"&lt;="&amp;$B193,BD!$L$3:$L$5001,"&lt;&gt;")=0,"",SUMIFS(BD!$L$3:$L$5001,BD!$B$3:$B$5001,J$184,BD!$A$3:$A$5001,_xlfn.MAXIFS(BD!$A$3:$A$5001,BD!$B$3:$B$5001,J$184,BD!$A$3:$A$5001,"&gt;="&amp;$C$7,BD!$A$3:$A$5001,"&lt;="&amp;$B193,BD!$L$3:$L$5001,"&lt;&gt;"))))</f>
        <v/>
      </c>
      <c r="K193" s="43" t="str">
        <f>IF(OR($B193="",$A193&gt;$B$9,K$184=""),"",IF(COUNTIFS(BD!$B$3:$B$5001,K$184,BD!$A$3:$A$5001,"&gt;="&amp;$C$7,BD!$A$3:$A$5001,"&lt;="&amp;$B193,BD!$L$3:$L$5001,"&lt;&gt;")=0,"",SUMIFS(BD!$L$3:$L$5001,BD!$B$3:$B$5001,K$184,BD!$A$3:$A$5001,_xlfn.MAXIFS(BD!$A$3:$A$5001,BD!$B$3:$B$5001,K$184,BD!$A$3:$A$5001,"&gt;="&amp;$C$7,BD!$A$3:$A$5001,"&lt;="&amp;$B193,BD!$L$3:$L$5001,"&lt;&gt;"))))</f>
        <v/>
      </c>
      <c r="L193" s="43" t="str">
        <f>IF(OR($B193="",$A193&gt;$B$9,L$184=""),"",IF(COUNTIFS(BD!$B$3:$B$5001,L$184,BD!$A$3:$A$5001,"&gt;="&amp;$C$7,BD!$A$3:$A$5001,"&lt;="&amp;$B193,BD!$L$3:$L$5001,"&lt;&gt;")=0,"",SUMIFS(BD!$L$3:$L$5001,BD!$B$3:$B$5001,L$184,BD!$A$3:$A$5001,_xlfn.MAXIFS(BD!$A$3:$A$5001,BD!$B$3:$B$5001,L$184,BD!$A$3:$A$5001,"&gt;="&amp;$C$7,BD!$A$3:$A$5001,"&lt;="&amp;$B193,BD!$L$3:$L$5001,"&lt;&gt;"))))</f>
        <v/>
      </c>
      <c r="M193" s="43" t="str">
        <f>IF(OR($B193="",$A193&gt;$B$9,M$184=""),"",IF(COUNTIFS(BD!$B$3:$B$5001,M$184,BD!$A$3:$A$5001,"&gt;="&amp;$C$7,BD!$A$3:$A$5001,"&lt;="&amp;$B193,BD!$L$3:$L$5001,"&lt;&gt;")=0,"",SUMIFS(BD!$L$3:$L$5001,BD!$B$3:$B$5001,M$184,BD!$A$3:$A$5001,_xlfn.MAXIFS(BD!$A$3:$A$5001,BD!$B$3:$B$5001,M$184,BD!$A$3:$A$5001,"&gt;="&amp;$C$7,BD!$A$3:$A$5001,"&lt;="&amp;$B193,BD!$L$3:$L$5001,"&lt;&gt;"))))</f>
        <v/>
      </c>
      <c r="N193" s="43" t="str">
        <f>IF(OR($B193="",$A193&gt;$B$9,N$184=""),"",IF(COUNTIFS(BD!$B$3:$B$5001,N$184,BD!$A$3:$A$5001,"&gt;="&amp;$C$7,BD!$A$3:$A$5001,"&lt;="&amp;$B193,BD!$L$3:$L$5001,"&lt;&gt;")=0,"",SUMIFS(BD!$L$3:$L$5001,BD!$B$3:$B$5001,N$184,BD!$A$3:$A$5001,_xlfn.MAXIFS(BD!$A$3:$A$5001,BD!$B$3:$B$5001,N$184,BD!$A$3:$A$5001,"&gt;="&amp;$C$7,BD!$A$3:$A$5001,"&lt;="&amp;$B193,BD!$L$3:$L$5001,"&lt;&gt;"))))</f>
        <v/>
      </c>
      <c r="O193" s="43" t="str">
        <f>IF(OR($B193="",$A193&gt;$B$9,O$184=""),"",IF(COUNTIFS(BD!$B$3:$B$5001,O$184,BD!$A$3:$A$5001,"&gt;="&amp;$C$7,BD!$A$3:$A$5001,"&lt;="&amp;$B193,BD!$L$3:$L$5001,"&lt;&gt;")=0,"",SUMIFS(BD!$L$3:$L$5001,BD!$B$3:$B$5001,O$184,BD!$A$3:$A$5001,_xlfn.MAXIFS(BD!$A$3:$A$5001,BD!$B$3:$B$5001,O$184,BD!$A$3:$A$5001,"&gt;="&amp;$C$7,BD!$A$3:$A$5001,"&lt;="&amp;$B193,BD!$L$3:$L$5001,"&lt;&gt;"))))</f>
        <v/>
      </c>
      <c r="P193" s="43" t="str">
        <f>IF(OR($B193="",$A193&gt;$B$9,P$184=""),"",IF(COUNTIFS(BD!$B$3:$B$5001,P$184,BD!$A$3:$A$5001,"&gt;="&amp;$C$7,BD!$A$3:$A$5001,"&lt;="&amp;$B193,BD!$L$3:$L$5001,"&lt;&gt;")=0,"",SUMIFS(BD!$L$3:$L$5001,BD!$B$3:$B$5001,P$184,BD!$A$3:$A$5001,_xlfn.MAXIFS(BD!$A$3:$A$5001,BD!$B$3:$B$5001,P$184,BD!$A$3:$A$5001,"&gt;="&amp;$C$7,BD!$A$3:$A$5001,"&lt;="&amp;$B193,BD!$L$3:$L$5001,"&lt;&gt;"))))</f>
        <v/>
      </c>
      <c r="Q193" s="43" t="str">
        <f>IF(OR($B193="",$A193&gt;$B$9,Q$184=""),"",IF(COUNTIFS(BD!$B$3:$B$5001,Q$184,BD!$A$3:$A$5001,"&gt;="&amp;$C$7,BD!$A$3:$A$5001,"&lt;="&amp;$B193,BD!$L$3:$L$5001,"&lt;&gt;")=0,"",SUMIFS(BD!$L$3:$L$5001,BD!$B$3:$B$5001,Q$184,BD!$A$3:$A$5001,_xlfn.MAXIFS(BD!$A$3:$A$5001,BD!$B$3:$B$5001,Q$184,BD!$A$3:$A$5001,"&gt;="&amp;$C$7,BD!$A$3:$A$5001,"&lt;="&amp;$B193,BD!$L$3:$L$5001,"&lt;&gt;"))))</f>
        <v/>
      </c>
      <c r="R193" s="43" t="str">
        <f>IF(OR($B193="",$A193&gt;$B$9,R$184=""),"",IF(COUNTIFS(BD!$B$3:$B$5001,R$184,BD!$A$3:$A$5001,"&gt;="&amp;$C$7,BD!$A$3:$A$5001,"&lt;="&amp;$B193,BD!$L$3:$L$5001,"&lt;&gt;")=0,"",SUMIFS(BD!$L$3:$L$5001,BD!$B$3:$B$5001,R$184,BD!$A$3:$A$5001,_xlfn.MAXIFS(BD!$A$3:$A$5001,BD!$B$3:$B$5001,R$184,BD!$A$3:$A$5001,"&gt;="&amp;$C$7,BD!$A$3:$A$5001,"&lt;="&amp;$B193,BD!$L$3:$L$5001,"&lt;&gt;"))))</f>
        <v/>
      </c>
      <c r="S193" s="43" t="str">
        <f>IF(OR($B193="",$A193&gt;$B$9,S$184=""),"",IF(COUNTIFS(BD!$B$3:$B$5001,S$184,BD!$A$3:$A$5001,"&gt;="&amp;$C$7,BD!$A$3:$A$5001,"&lt;="&amp;$B193,BD!$L$3:$L$5001,"&lt;&gt;")=0,"",SUMIFS(BD!$L$3:$L$5001,BD!$B$3:$B$5001,S$184,BD!$A$3:$A$5001,_xlfn.MAXIFS(BD!$A$3:$A$5001,BD!$B$3:$B$5001,S$184,BD!$A$3:$A$5001,"&gt;="&amp;$C$7,BD!$A$3:$A$5001,"&lt;="&amp;$B193,BD!$L$3:$L$5001,"&lt;&gt;"))))</f>
        <v/>
      </c>
      <c r="T193" s="43" t="str">
        <f>IF(OR($B193="",$A193&gt;$B$9,T$184=""),"",IF(COUNTIFS(BD!$B$3:$B$5001,T$184,BD!$A$3:$A$5001,"&gt;="&amp;$C$7,BD!$A$3:$A$5001,"&lt;="&amp;$B193,BD!$L$3:$L$5001,"&lt;&gt;")=0,"",SUMIFS(BD!$L$3:$L$5001,BD!$B$3:$B$5001,T$184,BD!$A$3:$A$5001,_xlfn.MAXIFS(BD!$A$3:$A$5001,BD!$B$3:$B$5001,T$184,BD!$A$3:$A$5001,"&gt;="&amp;$C$7,BD!$A$3:$A$5001,"&lt;="&amp;$B193,BD!$L$3:$L$5001,"&lt;&gt;"))))</f>
        <v/>
      </c>
      <c r="U193" s="43" t="str">
        <f>IF(OR($B193="",$A193&gt;$B$9,U$184=""),"",IF(COUNTIFS(BD!$B$3:$B$5001,U$184,BD!$A$3:$A$5001,"&gt;="&amp;$C$7,BD!$A$3:$A$5001,"&lt;="&amp;$B193,BD!$L$3:$L$5001,"&lt;&gt;")=0,"",SUMIFS(BD!$L$3:$L$5001,BD!$B$3:$B$5001,U$184,BD!$A$3:$A$5001,_xlfn.MAXIFS(BD!$A$3:$A$5001,BD!$B$3:$B$5001,U$184,BD!$A$3:$A$5001,"&gt;="&amp;$C$7,BD!$A$3:$A$5001,"&lt;="&amp;$B193,BD!$L$3:$L$5001,"&lt;&gt;"))))</f>
        <v/>
      </c>
      <c r="V193" s="43" t="str">
        <f>IF(OR($B193="",$A193&gt;$B$9,V$184=""),"",IF(COUNTIFS(BD!$B$3:$B$5001,V$184,BD!$A$3:$A$5001,"&gt;="&amp;$C$7,BD!$A$3:$A$5001,"&lt;="&amp;$B193,BD!$L$3:$L$5001,"&lt;&gt;")=0,"",SUMIFS(BD!$L$3:$L$5001,BD!$B$3:$B$5001,V$184,BD!$A$3:$A$5001,_xlfn.MAXIFS(BD!$A$3:$A$5001,BD!$B$3:$B$5001,V$184,BD!$A$3:$A$5001,"&gt;="&amp;$C$7,BD!$A$3:$A$5001,"&lt;="&amp;$B193,BD!$L$3:$L$5001,"&lt;&gt;"))))</f>
        <v/>
      </c>
    </row>
    <row r="194">
      <c r="A194" s="38">
        <v>10</v>
      </c>
      <c r="B194" s="42">
        <f>$B$21</f>
        <v>46305</v>
      </c>
      <c r="C194" s="43" t="str">
        <f>IF(OR($B194="",$A194&gt;$B$9,C$184=""),"",IF(COUNTIFS(BD!$B$3:$B$5001,C$184,BD!$A$3:$A$5001,"&gt;="&amp;$C$7,BD!$A$3:$A$5001,"&lt;="&amp;$B194,BD!$L$3:$L$5001,"&lt;&gt;")=0,"",SUMIFS(BD!$L$3:$L$5001,BD!$B$3:$B$5001,C$184,BD!$A$3:$A$5001,_xlfn.MAXIFS(BD!$A$3:$A$5001,BD!$B$3:$B$5001,C$184,BD!$A$3:$A$5001,"&gt;="&amp;$C$7,BD!$A$3:$A$5001,"&lt;="&amp;$B194,BD!$L$3:$L$5001,"&lt;&gt;"))))</f>
        <v/>
      </c>
      <c r="D194" s="43" t="str">
        <f>IF(OR($B194="",$A194&gt;$B$9,D$184=""),"",IF(COUNTIFS(BD!$B$3:$B$5001,D$184,BD!$A$3:$A$5001,"&gt;="&amp;$C$7,BD!$A$3:$A$5001,"&lt;="&amp;$B194,BD!$L$3:$L$5001,"&lt;&gt;")=0,"",SUMIFS(BD!$L$3:$L$5001,BD!$B$3:$B$5001,D$184,BD!$A$3:$A$5001,_xlfn.MAXIFS(BD!$A$3:$A$5001,BD!$B$3:$B$5001,D$184,BD!$A$3:$A$5001,"&gt;="&amp;$C$7,BD!$A$3:$A$5001,"&lt;="&amp;$B194,BD!$L$3:$L$5001,"&lt;&gt;"))))</f>
        <v/>
      </c>
      <c r="E194" s="43" t="str">
        <f>IF(OR($B194="",$A194&gt;$B$9,E$184=""),"",IF(COUNTIFS(BD!$B$3:$B$5001,E$184,BD!$A$3:$A$5001,"&gt;="&amp;$C$7,BD!$A$3:$A$5001,"&lt;="&amp;$B194,BD!$L$3:$L$5001,"&lt;&gt;")=0,"",SUMIFS(BD!$L$3:$L$5001,BD!$B$3:$B$5001,E$184,BD!$A$3:$A$5001,_xlfn.MAXIFS(BD!$A$3:$A$5001,BD!$B$3:$B$5001,E$184,BD!$A$3:$A$5001,"&gt;="&amp;$C$7,BD!$A$3:$A$5001,"&lt;="&amp;$B194,BD!$L$3:$L$5001,"&lt;&gt;"))))</f>
        <v/>
      </c>
      <c r="F194" s="43" t="str">
        <f>IF(OR($B194="",$A194&gt;$B$9,F$184=""),"",IF(COUNTIFS(BD!$B$3:$B$5001,F$184,BD!$A$3:$A$5001,"&gt;="&amp;$C$7,BD!$A$3:$A$5001,"&lt;="&amp;$B194,BD!$L$3:$L$5001,"&lt;&gt;")=0,"",SUMIFS(BD!$L$3:$L$5001,BD!$B$3:$B$5001,F$184,BD!$A$3:$A$5001,_xlfn.MAXIFS(BD!$A$3:$A$5001,BD!$B$3:$B$5001,F$184,BD!$A$3:$A$5001,"&gt;="&amp;$C$7,BD!$A$3:$A$5001,"&lt;="&amp;$B194,BD!$L$3:$L$5001,"&lt;&gt;"))))</f>
        <v/>
      </c>
      <c r="G194" s="43" t="str">
        <f>IF(OR($B194="",$A194&gt;$B$9,G$184=""),"",IF(COUNTIFS(BD!$B$3:$B$5001,G$184,BD!$A$3:$A$5001,"&gt;="&amp;$C$7,BD!$A$3:$A$5001,"&lt;="&amp;$B194,BD!$L$3:$L$5001,"&lt;&gt;")=0,"",SUMIFS(BD!$L$3:$L$5001,BD!$B$3:$B$5001,G$184,BD!$A$3:$A$5001,_xlfn.MAXIFS(BD!$A$3:$A$5001,BD!$B$3:$B$5001,G$184,BD!$A$3:$A$5001,"&gt;="&amp;$C$7,BD!$A$3:$A$5001,"&lt;="&amp;$B194,BD!$L$3:$L$5001,"&lt;&gt;"))))</f>
        <v/>
      </c>
      <c r="H194" s="43" t="str">
        <f>IF(OR($B194="",$A194&gt;$B$9,H$184=""),"",IF(COUNTIFS(BD!$B$3:$B$5001,H$184,BD!$A$3:$A$5001,"&gt;="&amp;$C$7,BD!$A$3:$A$5001,"&lt;="&amp;$B194,BD!$L$3:$L$5001,"&lt;&gt;")=0,"",SUMIFS(BD!$L$3:$L$5001,BD!$B$3:$B$5001,H$184,BD!$A$3:$A$5001,_xlfn.MAXIFS(BD!$A$3:$A$5001,BD!$B$3:$B$5001,H$184,BD!$A$3:$A$5001,"&gt;="&amp;$C$7,BD!$A$3:$A$5001,"&lt;="&amp;$B194,BD!$L$3:$L$5001,"&lt;&gt;"))))</f>
        <v/>
      </c>
      <c r="I194" s="43" t="str">
        <f>IF(OR($B194="",$A194&gt;$B$9,I$184=""),"",IF(COUNTIFS(BD!$B$3:$B$5001,I$184,BD!$A$3:$A$5001,"&gt;="&amp;$C$7,BD!$A$3:$A$5001,"&lt;="&amp;$B194,BD!$L$3:$L$5001,"&lt;&gt;")=0,"",SUMIFS(BD!$L$3:$L$5001,BD!$B$3:$B$5001,I$184,BD!$A$3:$A$5001,_xlfn.MAXIFS(BD!$A$3:$A$5001,BD!$B$3:$B$5001,I$184,BD!$A$3:$A$5001,"&gt;="&amp;$C$7,BD!$A$3:$A$5001,"&lt;="&amp;$B194,BD!$L$3:$L$5001,"&lt;&gt;"))))</f>
        <v/>
      </c>
      <c r="J194" s="43" t="str">
        <f>IF(OR($B194="",$A194&gt;$B$9,J$184=""),"",IF(COUNTIFS(BD!$B$3:$B$5001,J$184,BD!$A$3:$A$5001,"&gt;="&amp;$C$7,BD!$A$3:$A$5001,"&lt;="&amp;$B194,BD!$L$3:$L$5001,"&lt;&gt;")=0,"",SUMIFS(BD!$L$3:$L$5001,BD!$B$3:$B$5001,J$184,BD!$A$3:$A$5001,_xlfn.MAXIFS(BD!$A$3:$A$5001,BD!$B$3:$B$5001,J$184,BD!$A$3:$A$5001,"&gt;="&amp;$C$7,BD!$A$3:$A$5001,"&lt;="&amp;$B194,BD!$L$3:$L$5001,"&lt;&gt;"))))</f>
        <v/>
      </c>
      <c r="K194" s="43" t="str">
        <f>IF(OR($B194="",$A194&gt;$B$9,K$184=""),"",IF(COUNTIFS(BD!$B$3:$B$5001,K$184,BD!$A$3:$A$5001,"&gt;="&amp;$C$7,BD!$A$3:$A$5001,"&lt;="&amp;$B194,BD!$L$3:$L$5001,"&lt;&gt;")=0,"",SUMIFS(BD!$L$3:$L$5001,BD!$B$3:$B$5001,K$184,BD!$A$3:$A$5001,_xlfn.MAXIFS(BD!$A$3:$A$5001,BD!$B$3:$B$5001,K$184,BD!$A$3:$A$5001,"&gt;="&amp;$C$7,BD!$A$3:$A$5001,"&lt;="&amp;$B194,BD!$L$3:$L$5001,"&lt;&gt;"))))</f>
        <v/>
      </c>
      <c r="L194" s="43" t="str">
        <f>IF(OR($B194="",$A194&gt;$B$9,L$184=""),"",IF(COUNTIFS(BD!$B$3:$B$5001,L$184,BD!$A$3:$A$5001,"&gt;="&amp;$C$7,BD!$A$3:$A$5001,"&lt;="&amp;$B194,BD!$L$3:$L$5001,"&lt;&gt;")=0,"",SUMIFS(BD!$L$3:$L$5001,BD!$B$3:$B$5001,L$184,BD!$A$3:$A$5001,_xlfn.MAXIFS(BD!$A$3:$A$5001,BD!$B$3:$B$5001,L$184,BD!$A$3:$A$5001,"&gt;="&amp;$C$7,BD!$A$3:$A$5001,"&lt;="&amp;$B194,BD!$L$3:$L$5001,"&lt;&gt;"))))</f>
        <v/>
      </c>
      <c r="M194" s="43" t="str">
        <f>IF(OR($B194="",$A194&gt;$B$9,M$184=""),"",IF(COUNTIFS(BD!$B$3:$B$5001,M$184,BD!$A$3:$A$5001,"&gt;="&amp;$C$7,BD!$A$3:$A$5001,"&lt;="&amp;$B194,BD!$L$3:$L$5001,"&lt;&gt;")=0,"",SUMIFS(BD!$L$3:$L$5001,BD!$B$3:$B$5001,M$184,BD!$A$3:$A$5001,_xlfn.MAXIFS(BD!$A$3:$A$5001,BD!$B$3:$B$5001,M$184,BD!$A$3:$A$5001,"&gt;="&amp;$C$7,BD!$A$3:$A$5001,"&lt;="&amp;$B194,BD!$L$3:$L$5001,"&lt;&gt;"))))</f>
        <v/>
      </c>
      <c r="N194" s="43" t="str">
        <f>IF(OR($B194="",$A194&gt;$B$9,N$184=""),"",IF(COUNTIFS(BD!$B$3:$B$5001,N$184,BD!$A$3:$A$5001,"&gt;="&amp;$C$7,BD!$A$3:$A$5001,"&lt;="&amp;$B194,BD!$L$3:$L$5001,"&lt;&gt;")=0,"",SUMIFS(BD!$L$3:$L$5001,BD!$B$3:$B$5001,N$184,BD!$A$3:$A$5001,_xlfn.MAXIFS(BD!$A$3:$A$5001,BD!$B$3:$B$5001,N$184,BD!$A$3:$A$5001,"&gt;="&amp;$C$7,BD!$A$3:$A$5001,"&lt;="&amp;$B194,BD!$L$3:$L$5001,"&lt;&gt;"))))</f>
        <v/>
      </c>
      <c r="O194" s="43" t="str">
        <f>IF(OR($B194="",$A194&gt;$B$9,O$184=""),"",IF(COUNTIFS(BD!$B$3:$B$5001,O$184,BD!$A$3:$A$5001,"&gt;="&amp;$C$7,BD!$A$3:$A$5001,"&lt;="&amp;$B194,BD!$L$3:$L$5001,"&lt;&gt;")=0,"",SUMIFS(BD!$L$3:$L$5001,BD!$B$3:$B$5001,O$184,BD!$A$3:$A$5001,_xlfn.MAXIFS(BD!$A$3:$A$5001,BD!$B$3:$B$5001,O$184,BD!$A$3:$A$5001,"&gt;="&amp;$C$7,BD!$A$3:$A$5001,"&lt;="&amp;$B194,BD!$L$3:$L$5001,"&lt;&gt;"))))</f>
        <v/>
      </c>
      <c r="P194" s="43" t="str">
        <f>IF(OR($B194="",$A194&gt;$B$9,P$184=""),"",IF(COUNTIFS(BD!$B$3:$B$5001,P$184,BD!$A$3:$A$5001,"&gt;="&amp;$C$7,BD!$A$3:$A$5001,"&lt;="&amp;$B194,BD!$L$3:$L$5001,"&lt;&gt;")=0,"",SUMIFS(BD!$L$3:$L$5001,BD!$B$3:$B$5001,P$184,BD!$A$3:$A$5001,_xlfn.MAXIFS(BD!$A$3:$A$5001,BD!$B$3:$B$5001,P$184,BD!$A$3:$A$5001,"&gt;="&amp;$C$7,BD!$A$3:$A$5001,"&lt;="&amp;$B194,BD!$L$3:$L$5001,"&lt;&gt;"))))</f>
        <v/>
      </c>
      <c r="Q194" s="43" t="str">
        <f>IF(OR($B194="",$A194&gt;$B$9,Q$184=""),"",IF(COUNTIFS(BD!$B$3:$B$5001,Q$184,BD!$A$3:$A$5001,"&gt;="&amp;$C$7,BD!$A$3:$A$5001,"&lt;="&amp;$B194,BD!$L$3:$L$5001,"&lt;&gt;")=0,"",SUMIFS(BD!$L$3:$L$5001,BD!$B$3:$B$5001,Q$184,BD!$A$3:$A$5001,_xlfn.MAXIFS(BD!$A$3:$A$5001,BD!$B$3:$B$5001,Q$184,BD!$A$3:$A$5001,"&gt;="&amp;$C$7,BD!$A$3:$A$5001,"&lt;="&amp;$B194,BD!$L$3:$L$5001,"&lt;&gt;"))))</f>
        <v/>
      </c>
      <c r="R194" s="43" t="str">
        <f>IF(OR($B194="",$A194&gt;$B$9,R$184=""),"",IF(COUNTIFS(BD!$B$3:$B$5001,R$184,BD!$A$3:$A$5001,"&gt;="&amp;$C$7,BD!$A$3:$A$5001,"&lt;="&amp;$B194,BD!$L$3:$L$5001,"&lt;&gt;")=0,"",SUMIFS(BD!$L$3:$L$5001,BD!$B$3:$B$5001,R$184,BD!$A$3:$A$5001,_xlfn.MAXIFS(BD!$A$3:$A$5001,BD!$B$3:$B$5001,R$184,BD!$A$3:$A$5001,"&gt;="&amp;$C$7,BD!$A$3:$A$5001,"&lt;="&amp;$B194,BD!$L$3:$L$5001,"&lt;&gt;"))))</f>
        <v/>
      </c>
      <c r="S194" s="43" t="str">
        <f>IF(OR($B194="",$A194&gt;$B$9,S$184=""),"",IF(COUNTIFS(BD!$B$3:$B$5001,S$184,BD!$A$3:$A$5001,"&gt;="&amp;$C$7,BD!$A$3:$A$5001,"&lt;="&amp;$B194,BD!$L$3:$L$5001,"&lt;&gt;")=0,"",SUMIFS(BD!$L$3:$L$5001,BD!$B$3:$B$5001,S$184,BD!$A$3:$A$5001,_xlfn.MAXIFS(BD!$A$3:$A$5001,BD!$B$3:$B$5001,S$184,BD!$A$3:$A$5001,"&gt;="&amp;$C$7,BD!$A$3:$A$5001,"&lt;="&amp;$B194,BD!$L$3:$L$5001,"&lt;&gt;"))))</f>
        <v/>
      </c>
      <c r="T194" s="43" t="str">
        <f>IF(OR($B194="",$A194&gt;$B$9,T$184=""),"",IF(COUNTIFS(BD!$B$3:$B$5001,T$184,BD!$A$3:$A$5001,"&gt;="&amp;$C$7,BD!$A$3:$A$5001,"&lt;="&amp;$B194,BD!$L$3:$L$5001,"&lt;&gt;")=0,"",SUMIFS(BD!$L$3:$L$5001,BD!$B$3:$B$5001,T$184,BD!$A$3:$A$5001,_xlfn.MAXIFS(BD!$A$3:$A$5001,BD!$B$3:$B$5001,T$184,BD!$A$3:$A$5001,"&gt;="&amp;$C$7,BD!$A$3:$A$5001,"&lt;="&amp;$B194,BD!$L$3:$L$5001,"&lt;&gt;"))))</f>
        <v/>
      </c>
      <c r="U194" s="43" t="str">
        <f>IF(OR($B194="",$A194&gt;$B$9,U$184=""),"",IF(COUNTIFS(BD!$B$3:$B$5001,U$184,BD!$A$3:$A$5001,"&gt;="&amp;$C$7,BD!$A$3:$A$5001,"&lt;="&amp;$B194,BD!$L$3:$L$5001,"&lt;&gt;")=0,"",SUMIFS(BD!$L$3:$L$5001,BD!$B$3:$B$5001,U$184,BD!$A$3:$A$5001,_xlfn.MAXIFS(BD!$A$3:$A$5001,BD!$B$3:$B$5001,U$184,BD!$A$3:$A$5001,"&gt;="&amp;$C$7,BD!$A$3:$A$5001,"&lt;="&amp;$B194,BD!$L$3:$L$5001,"&lt;&gt;"))))</f>
        <v/>
      </c>
      <c r="V194" s="43" t="str">
        <f>IF(OR($B194="",$A194&gt;$B$9,V$184=""),"",IF(COUNTIFS(BD!$B$3:$B$5001,V$184,BD!$A$3:$A$5001,"&gt;="&amp;$C$7,BD!$A$3:$A$5001,"&lt;="&amp;$B194,BD!$L$3:$L$5001,"&lt;&gt;")=0,"",SUMIFS(BD!$L$3:$L$5001,BD!$B$3:$B$5001,V$184,BD!$A$3:$A$5001,_xlfn.MAXIFS(BD!$A$3:$A$5001,BD!$B$3:$B$5001,V$184,BD!$A$3:$A$5001,"&gt;="&amp;$C$7,BD!$A$3:$A$5001,"&lt;="&amp;$B194,BD!$L$3:$L$5001,"&lt;&gt;"))))</f>
        <v/>
      </c>
    </row>
    <row r="195">
      <c r="A195" s="38">
        <v>11</v>
      </c>
      <c r="B195" s="42">
        <f>$B$22</f>
        <v>46306</v>
      </c>
      <c r="C195" s="43" t="str">
        <f>IF(OR($B195="",$A195&gt;$B$9,C$184=""),"",IF(COUNTIFS(BD!$B$3:$B$5001,C$184,BD!$A$3:$A$5001,"&gt;="&amp;$C$7,BD!$A$3:$A$5001,"&lt;="&amp;$B195,BD!$L$3:$L$5001,"&lt;&gt;")=0,"",SUMIFS(BD!$L$3:$L$5001,BD!$B$3:$B$5001,C$184,BD!$A$3:$A$5001,_xlfn.MAXIFS(BD!$A$3:$A$5001,BD!$B$3:$B$5001,C$184,BD!$A$3:$A$5001,"&gt;="&amp;$C$7,BD!$A$3:$A$5001,"&lt;="&amp;$B195,BD!$L$3:$L$5001,"&lt;&gt;"))))</f>
        <v/>
      </c>
      <c r="D195" s="43" t="str">
        <f>IF(OR($B195="",$A195&gt;$B$9,D$184=""),"",IF(COUNTIFS(BD!$B$3:$B$5001,D$184,BD!$A$3:$A$5001,"&gt;="&amp;$C$7,BD!$A$3:$A$5001,"&lt;="&amp;$B195,BD!$L$3:$L$5001,"&lt;&gt;")=0,"",SUMIFS(BD!$L$3:$L$5001,BD!$B$3:$B$5001,D$184,BD!$A$3:$A$5001,_xlfn.MAXIFS(BD!$A$3:$A$5001,BD!$B$3:$B$5001,D$184,BD!$A$3:$A$5001,"&gt;="&amp;$C$7,BD!$A$3:$A$5001,"&lt;="&amp;$B195,BD!$L$3:$L$5001,"&lt;&gt;"))))</f>
        <v/>
      </c>
      <c r="E195" s="43" t="str">
        <f>IF(OR($B195="",$A195&gt;$B$9,E$184=""),"",IF(COUNTIFS(BD!$B$3:$B$5001,E$184,BD!$A$3:$A$5001,"&gt;="&amp;$C$7,BD!$A$3:$A$5001,"&lt;="&amp;$B195,BD!$L$3:$L$5001,"&lt;&gt;")=0,"",SUMIFS(BD!$L$3:$L$5001,BD!$B$3:$B$5001,E$184,BD!$A$3:$A$5001,_xlfn.MAXIFS(BD!$A$3:$A$5001,BD!$B$3:$B$5001,E$184,BD!$A$3:$A$5001,"&gt;="&amp;$C$7,BD!$A$3:$A$5001,"&lt;="&amp;$B195,BD!$L$3:$L$5001,"&lt;&gt;"))))</f>
        <v/>
      </c>
      <c r="F195" s="43" t="str">
        <f>IF(OR($B195="",$A195&gt;$B$9,F$184=""),"",IF(COUNTIFS(BD!$B$3:$B$5001,F$184,BD!$A$3:$A$5001,"&gt;="&amp;$C$7,BD!$A$3:$A$5001,"&lt;="&amp;$B195,BD!$L$3:$L$5001,"&lt;&gt;")=0,"",SUMIFS(BD!$L$3:$L$5001,BD!$B$3:$B$5001,F$184,BD!$A$3:$A$5001,_xlfn.MAXIFS(BD!$A$3:$A$5001,BD!$B$3:$B$5001,F$184,BD!$A$3:$A$5001,"&gt;="&amp;$C$7,BD!$A$3:$A$5001,"&lt;="&amp;$B195,BD!$L$3:$L$5001,"&lt;&gt;"))))</f>
        <v/>
      </c>
      <c r="G195" s="43" t="str">
        <f>IF(OR($B195="",$A195&gt;$B$9,G$184=""),"",IF(COUNTIFS(BD!$B$3:$B$5001,G$184,BD!$A$3:$A$5001,"&gt;="&amp;$C$7,BD!$A$3:$A$5001,"&lt;="&amp;$B195,BD!$L$3:$L$5001,"&lt;&gt;")=0,"",SUMIFS(BD!$L$3:$L$5001,BD!$B$3:$B$5001,G$184,BD!$A$3:$A$5001,_xlfn.MAXIFS(BD!$A$3:$A$5001,BD!$B$3:$B$5001,G$184,BD!$A$3:$A$5001,"&gt;="&amp;$C$7,BD!$A$3:$A$5001,"&lt;="&amp;$B195,BD!$L$3:$L$5001,"&lt;&gt;"))))</f>
        <v/>
      </c>
      <c r="H195" s="43" t="str">
        <f>IF(OR($B195="",$A195&gt;$B$9,H$184=""),"",IF(COUNTIFS(BD!$B$3:$B$5001,H$184,BD!$A$3:$A$5001,"&gt;="&amp;$C$7,BD!$A$3:$A$5001,"&lt;="&amp;$B195,BD!$L$3:$L$5001,"&lt;&gt;")=0,"",SUMIFS(BD!$L$3:$L$5001,BD!$B$3:$B$5001,H$184,BD!$A$3:$A$5001,_xlfn.MAXIFS(BD!$A$3:$A$5001,BD!$B$3:$B$5001,H$184,BD!$A$3:$A$5001,"&gt;="&amp;$C$7,BD!$A$3:$A$5001,"&lt;="&amp;$B195,BD!$L$3:$L$5001,"&lt;&gt;"))))</f>
        <v/>
      </c>
      <c r="I195" s="43" t="str">
        <f>IF(OR($B195="",$A195&gt;$B$9,I$184=""),"",IF(COUNTIFS(BD!$B$3:$B$5001,I$184,BD!$A$3:$A$5001,"&gt;="&amp;$C$7,BD!$A$3:$A$5001,"&lt;="&amp;$B195,BD!$L$3:$L$5001,"&lt;&gt;")=0,"",SUMIFS(BD!$L$3:$L$5001,BD!$B$3:$B$5001,I$184,BD!$A$3:$A$5001,_xlfn.MAXIFS(BD!$A$3:$A$5001,BD!$B$3:$B$5001,I$184,BD!$A$3:$A$5001,"&gt;="&amp;$C$7,BD!$A$3:$A$5001,"&lt;="&amp;$B195,BD!$L$3:$L$5001,"&lt;&gt;"))))</f>
        <v/>
      </c>
      <c r="J195" s="43" t="str">
        <f>IF(OR($B195="",$A195&gt;$B$9,J$184=""),"",IF(COUNTIFS(BD!$B$3:$B$5001,J$184,BD!$A$3:$A$5001,"&gt;="&amp;$C$7,BD!$A$3:$A$5001,"&lt;="&amp;$B195,BD!$L$3:$L$5001,"&lt;&gt;")=0,"",SUMIFS(BD!$L$3:$L$5001,BD!$B$3:$B$5001,J$184,BD!$A$3:$A$5001,_xlfn.MAXIFS(BD!$A$3:$A$5001,BD!$B$3:$B$5001,J$184,BD!$A$3:$A$5001,"&gt;="&amp;$C$7,BD!$A$3:$A$5001,"&lt;="&amp;$B195,BD!$L$3:$L$5001,"&lt;&gt;"))))</f>
        <v/>
      </c>
      <c r="K195" s="43" t="str">
        <f>IF(OR($B195="",$A195&gt;$B$9,K$184=""),"",IF(COUNTIFS(BD!$B$3:$B$5001,K$184,BD!$A$3:$A$5001,"&gt;="&amp;$C$7,BD!$A$3:$A$5001,"&lt;="&amp;$B195,BD!$L$3:$L$5001,"&lt;&gt;")=0,"",SUMIFS(BD!$L$3:$L$5001,BD!$B$3:$B$5001,K$184,BD!$A$3:$A$5001,_xlfn.MAXIFS(BD!$A$3:$A$5001,BD!$B$3:$B$5001,K$184,BD!$A$3:$A$5001,"&gt;="&amp;$C$7,BD!$A$3:$A$5001,"&lt;="&amp;$B195,BD!$L$3:$L$5001,"&lt;&gt;"))))</f>
        <v/>
      </c>
      <c r="L195" s="43" t="str">
        <f>IF(OR($B195="",$A195&gt;$B$9,L$184=""),"",IF(COUNTIFS(BD!$B$3:$B$5001,L$184,BD!$A$3:$A$5001,"&gt;="&amp;$C$7,BD!$A$3:$A$5001,"&lt;="&amp;$B195,BD!$L$3:$L$5001,"&lt;&gt;")=0,"",SUMIFS(BD!$L$3:$L$5001,BD!$B$3:$B$5001,L$184,BD!$A$3:$A$5001,_xlfn.MAXIFS(BD!$A$3:$A$5001,BD!$B$3:$B$5001,L$184,BD!$A$3:$A$5001,"&gt;="&amp;$C$7,BD!$A$3:$A$5001,"&lt;="&amp;$B195,BD!$L$3:$L$5001,"&lt;&gt;"))))</f>
        <v/>
      </c>
      <c r="M195" s="43" t="str">
        <f>IF(OR($B195="",$A195&gt;$B$9,M$184=""),"",IF(COUNTIFS(BD!$B$3:$B$5001,M$184,BD!$A$3:$A$5001,"&gt;="&amp;$C$7,BD!$A$3:$A$5001,"&lt;="&amp;$B195,BD!$L$3:$L$5001,"&lt;&gt;")=0,"",SUMIFS(BD!$L$3:$L$5001,BD!$B$3:$B$5001,M$184,BD!$A$3:$A$5001,_xlfn.MAXIFS(BD!$A$3:$A$5001,BD!$B$3:$B$5001,M$184,BD!$A$3:$A$5001,"&gt;="&amp;$C$7,BD!$A$3:$A$5001,"&lt;="&amp;$B195,BD!$L$3:$L$5001,"&lt;&gt;"))))</f>
        <v/>
      </c>
      <c r="N195" s="43" t="str">
        <f>IF(OR($B195="",$A195&gt;$B$9,N$184=""),"",IF(COUNTIFS(BD!$B$3:$B$5001,N$184,BD!$A$3:$A$5001,"&gt;="&amp;$C$7,BD!$A$3:$A$5001,"&lt;="&amp;$B195,BD!$L$3:$L$5001,"&lt;&gt;")=0,"",SUMIFS(BD!$L$3:$L$5001,BD!$B$3:$B$5001,N$184,BD!$A$3:$A$5001,_xlfn.MAXIFS(BD!$A$3:$A$5001,BD!$B$3:$B$5001,N$184,BD!$A$3:$A$5001,"&gt;="&amp;$C$7,BD!$A$3:$A$5001,"&lt;="&amp;$B195,BD!$L$3:$L$5001,"&lt;&gt;"))))</f>
        <v/>
      </c>
      <c r="O195" s="43" t="str">
        <f>IF(OR($B195="",$A195&gt;$B$9,O$184=""),"",IF(COUNTIFS(BD!$B$3:$B$5001,O$184,BD!$A$3:$A$5001,"&gt;="&amp;$C$7,BD!$A$3:$A$5001,"&lt;="&amp;$B195,BD!$L$3:$L$5001,"&lt;&gt;")=0,"",SUMIFS(BD!$L$3:$L$5001,BD!$B$3:$B$5001,O$184,BD!$A$3:$A$5001,_xlfn.MAXIFS(BD!$A$3:$A$5001,BD!$B$3:$B$5001,O$184,BD!$A$3:$A$5001,"&gt;="&amp;$C$7,BD!$A$3:$A$5001,"&lt;="&amp;$B195,BD!$L$3:$L$5001,"&lt;&gt;"))))</f>
        <v/>
      </c>
      <c r="P195" s="43" t="str">
        <f>IF(OR($B195="",$A195&gt;$B$9,P$184=""),"",IF(COUNTIFS(BD!$B$3:$B$5001,P$184,BD!$A$3:$A$5001,"&gt;="&amp;$C$7,BD!$A$3:$A$5001,"&lt;="&amp;$B195,BD!$L$3:$L$5001,"&lt;&gt;")=0,"",SUMIFS(BD!$L$3:$L$5001,BD!$B$3:$B$5001,P$184,BD!$A$3:$A$5001,_xlfn.MAXIFS(BD!$A$3:$A$5001,BD!$B$3:$B$5001,P$184,BD!$A$3:$A$5001,"&gt;="&amp;$C$7,BD!$A$3:$A$5001,"&lt;="&amp;$B195,BD!$L$3:$L$5001,"&lt;&gt;"))))</f>
        <v/>
      </c>
      <c r="Q195" s="43" t="str">
        <f>IF(OR($B195="",$A195&gt;$B$9,Q$184=""),"",IF(COUNTIFS(BD!$B$3:$B$5001,Q$184,BD!$A$3:$A$5001,"&gt;="&amp;$C$7,BD!$A$3:$A$5001,"&lt;="&amp;$B195,BD!$L$3:$L$5001,"&lt;&gt;")=0,"",SUMIFS(BD!$L$3:$L$5001,BD!$B$3:$B$5001,Q$184,BD!$A$3:$A$5001,_xlfn.MAXIFS(BD!$A$3:$A$5001,BD!$B$3:$B$5001,Q$184,BD!$A$3:$A$5001,"&gt;="&amp;$C$7,BD!$A$3:$A$5001,"&lt;="&amp;$B195,BD!$L$3:$L$5001,"&lt;&gt;"))))</f>
        <v/>
      </c>
      <c r="R195" s="43" t="str">
        <f>IF(OR($B195="",$A195&gt;$B$9,R$184=""),"",IF(COUNTIFS(BD!$B$3:$B$5001,R$184,BD!$A$3:$A$5001,"&gt;="&amp;$C$7,BD!$A$3:$A$5001,"&lt;="&amp;$B195,BD!$L$3:$L$5001,"&lt;&gt;")=0,"",SUMIFS(BD!$L$3:$L$5001,BD!$B$3:$B$5001,R$184,BD!$A$3:$A$5001,_xlfn.MAXIFS(BD!$A$3:$A$5001,BD!$B$3:$B$5001,R$184,BD!$A$3:$A$5001,"&gt;="&amp;$C$7,BD!$A$3:$A$5001,"&lt;="&amp;$B195,BD!$L$3:$L$5001,"&lt;&gt;"))))</f>
        <v/>
      </c>
      <c r="S195" s="43" t="str">
        <f>IF(OR($B195="",$A195&gt;$B$9,S$184=""),"",IF(COUNTIFS(BD!$B$3:$B$5001,S$184,BD!$A$3:$A$5001,"&gt;="&amp;$C$7,BD!$A$3:$A$5001,"&lt;="&amp;$B195,BD!$L$3:$L$5001,"&lt;&gt;")=0,"",SUMIFS(BD!$L$3:$L$5001,BD!$B$3:$B$5001,S$184,BD!$A$3:$A$5001,_xlfn.MAXIFS(BD!$A$3:$A$5001,BD!$B$3:$B$5001,S$184,BD!$A$3:$A$5001,"&gt;="&amp;$C$7,BD!$A$3:$A$5001,"&lt;="&amp;$B195,BD!$L$3:$L$5001,"&lt;&gt;"))))</f>
        <v/>
      </c>
      <c r="T195" s="43" t="str">
        <f>IF(OR($B195="",$A195&gt;$B$9,T$184=""),"",IF(COUNTIFS(BD!$B$3:$B$5001,T$184,BD!$A$3:$A$5001,"&gt;="&amp;$C$7,BD!$A$3:$A$5001,"&lt;="&amp;$B195,BD!$L$3:$L$5001,"&lt;&gt;")=0,"",SUMIFS(BD!$L$3:$L$5001,BD!$B$3:$B$5001,T$184,BD!$A$3:$A$5001,_xlfn.MAXIFS(BD!$A$3:$A$5001,BD!$B$3:$B$5001,T$184,BD!$A$3:$A$5001,"&gt;="&amp;$C$7,BD!$A$3:$A$5001,"&lt;="&amp;$B195,BD!$L$3:$L$5001,"&lt;&gt;"))))</f>
        <v/>
      </c>
      <c r="U195" s="43" t="str">
        <f>IF(OR($B195="",$A195&gt;$B$9,U$184=""),"",IF(COUNTIFS(BD!$B$3:$B$5001,U$184,BD!$A$3:$A$5001,"&gt;="&amp;$C$7,BD!$A$3:$A$5001,"&lt;="&amp;$B195,BD!$L$3:$L$5001,"&lt;&gt;")=0,"",SUMIFS(BD!$L$3:$L$5001,BD!$B$3:$B$5001,U$184,BD!$A$3:$A$5001,_xlfn.MAXIFS(BD!$A$3:$A$5001,BD!$B$3:$B$5001,U$184,BD!$A$3:$A$5001,"&gt;="&amp;$C$7,BD!$A$3:$A$5001,"&lt;="&amp;$B195,BD!$L$3:$L$5001,"&lt;&gt;"))))</f>
        <v/>
      </c>
      <c r="V195" s="43" t="str">
        <f>IF(OR($B195="",$A195&gt;$B$9,V$184=""),"",IF(COUNTIFS(BD!$B$3:$B$5001,V$184,BD!$A$3:$A$5001,"&gt;="&amp;$C$7,BD!$A$3:$A$5001,"&lt;="&amp;$B195,BD!$L$3:$L$5001,"&lt;&gt;")=0,"",SUMIFS(BD!$L$3:$L$5001,BD!$B$3:$B$5001,V$184,BD!$A$3:$A$5001,_xlfn.MAXIFS(BD!$A$3:$A$5001,BD!$B$3:$B$5001,V$184,BD!$A$3:$A$5001,"&gt;="&amp;$C$7,BD!$A$3:$A$5001,"&lt;="&amp;$B195,BD!$L$3:$L$5001,"&lt;&gt;"))))</f>
        <v/>
      </c>
    </row>
    <row r="196">
      <c r="A196" s="38">
        <v>12</v>
      </c>
      <c r="B196" s="42">
        <f>$B$23</f>
        <v>46307</v>
      </c>
      <c r="C196" s="43" t="str">
        <f>IF(OR($B196="",$A196&gt;$B$9,C$184=""),"",IF(COUNTIFS(BD!$B$3:$B$5001,C$184,BD!$A$3:$A$5001,"&gt;="&amp;$C$7,BD!$A$3:$A$5001,"&lt;="&amp;$B196,BD!$L$3:$L$5001,"&lt;&gt;")=0,"",SUMIFS(BD!$L$3:$L$5001,BD!$B$3:$B$5001,C$184,BD!$A$3:$A$5001,_xlfn.MAXIFS(BD!$A$3:$A$5001,BD!$B$3:$B$5001,C$184,BD!$A$3:$A$5001,"&gt;="&amp;$C$7,BD!$A$3:$A$5001,"&lt;="&amp;$B196,BD!$L$3:$L$5001,"&lt;&gt;"))))</f>
        <v/>
      </c>
      <c r="D196" s="43" t="str">
        <f>IF(OR($B196="",$A196&gt;$B$9,D$184=""),"",IF(COUNTIFS(BD!$B$3:$B$5001,D$184,BD!$A$3:$A$5001,"&gt;="&amp;$C$7,BD!$A$3:$A$5001,"&lt;="&amp;$B196,BD!$L$3:$L$5001,"&lt;&gt;")=0,"",SUMIFS(BD!$L$3:$L$5001,BD!$B$3:$B$5001,D$184,BD!$A$3:$A$5001,_xlfn.MAXIFS(BD!$A$3:$A$5001,BD!$B$3:$B$5001,D$184,BD!$A$3:$A$5001,"&gt;="&amp;$C$7,BD!$A$3:$A$5001,"&lt;="&amp;$B196,BD!$L$3:$L$5001,"&lt;&gt;"))))</f>
        <v/>
      </c>
      <c r="E196" s="43" t="str">
        <f>IF(OR($B196="",$A196&gt;$B$9,E$184=""),"",IF(COUNTIFS(BD!$B$3:$B$5001,E$184,BD!$A$3:$A$5001,"&gt;="&amp;$C$7,BD!$A$3:$A$5001,"&lt;="&amp;$B196,BD!$L$3:$L$5001,"&lt;&gt;")=0,"",SUMIFS(BD!$L$3:$L$5001,BD!$B$3:$B$5001,E$184,BD!$A$3:$A$5001,_xlfn.MAXIFS(BD!$A$3:$A$5001,BD!$B$3:$B$5001,E$184,BD!$A$3:$A$5001,"&gt;="&amp;$C$7,BD!$A$3:$A$5001,"&lt;="&amp;$B196,BD!$L$3:$L$5001,"&lt;&gt;"))))</f>
        <v/>
      </c>
      <c r="F196" s="43" t="str">
        <f>IF(OR($B196="",$A196&gt;$B$9,F$184=""),"",IF(COUNTIFS(BD!$B$3:$B$5001,F$184,BD!$A$3:$A$5001,"&gt;="&amp;$C$7,BD!$A$3:$A$5001,"&lt;="&amp;$B196,BD!$L$3:$L$5001,"&lt;&gt;")=0,"",SUMIFS(BD!$L$3:$L$5001,BD!$B$3:$B$5001,F$184,BD!$A$3:$A$5001,_xlfn.MAXIFS(BD!$A$3:$A$5001,BD!$B$3:$B$5001,F$184,BD!$A$3:$A$5001,"&gt;="&amp;$C$7,BD!$A$3:$A$5001,"&lt;="&amp;$B196,BD!$L$3:$L$5001,"&lt;&gt;"))))</f>
        <v/>
      </c>
      <c r="G196" s="43" t="str">
        <f>IF(OR($B196="",$A196&gt;$B$9,G$184=""),"",IF(COUNTIFS(BD!$B$3:$B$5001,G$184,BD!$A$3:$A$5001,"&gt;="&amp;$C$7,BD!$A$3:$A$5001,"&lt;="&amp;$B196,BD!$L$3:$L$5001,"&lt;&gt;")=0,"",SUMIFS(BD!$L$3:$L$5001,BD!$B$3:$B$5001,G$184,BD!$A$3:$A$5001,_xlfn.MAXIFS(BD!$A$3:$A$5001,BD!$B$3:$B$5001,G$184,BD!$A$3:$A$5001,"&gt;="&amp;$C$7,BD!$A$3:$A$5001,"&lt;="&amp;$B196,BD!$L$3:$L$5001,"&lt;&gt;"))))</f>
        <v/>
      </c>
      <c r="H196" s="43" t="str">
        <f>IF(OR($B196="",$A196&gt;$B$9,H$184=""),"",IF(COUNTIFS(BD!$B$3:$B$5001,H$184,BD!$A$3:$A$5001,"&gt;="&amp;$C$7,BD!$A$3:$A$5001,"&lt;="&amp;$B196,BD!$L$3:$L$5001,"&lt;&gt;")=0,"",SUMIFS(BD!$L$3:$L$5001,BD!$B$3:$B$5001,H$184,BD!$A$3:$A$5001,_xlfn.MAXIFS(BD!$A$3:$A$5001,BD!$B$3:$B$5001,H$184,BD!$A$3:$A$5001,"&gt;="&amp;$C$7,BD!$A$3:$A$5001,"&lt;="&amp;$B196,BD!$L$3:$L$5001,"&lt;&gt;"))))</f>
        <v/>
      </c>
      <c r="I196" s="43" t="str">
        <f>IF(OR($B196="",$A196&gt;$B$9,I$184=""),"",IF(COUNTIFS(BD!$B$3:$B$5001,I$184,BD!$A$3:$A$5001,"&gt;="&amp;$C$7,BD!$A$3:$A$5001,"&lt;="&amp;$B196,BD!$L$3:$L$5001,"&lt;&gt;")=0,"",SUMIFS(BD!$L$3:$L$5001,BD!$B$3:$B$5001,I$184,BD!$A$3:$A$5001,_xlfn.MAXIFS(BD!$A$3:$A$5001,BD!$B$3:$B$5001,I$184,BD!$A$3:$A$5001,"&gt;="&amp;$C$7,BD!$A$3:$A$5001,"&lt;="&amp;$B196,BD!$L$3:$L$5001,"&lt;&gt;"))))</f>
        <v/>
      </c>
      <c r="J196" s="43" t="str">
        <f>IF(OR($B196="",$A196&gt;$B$9,J$184=""),"",IF(COUNTIFS(BD!$B$3:$B$5001,J$184,BD!$A$3:$A$5001,"&gt;="&amp;$C$7,BD!$A$3:$A$5001,"&lt;="&amp;$B196,BD!$L$3:$L$5001,"&lt;&gt;")=0,"",SUMIFS(BD!$L$3:$L$5001,BD!$B$3:$B$5001,J$184,BD!$A$3:$A$5001,_xlfn.MAXIFS(BD!$A$3:$A$5001,BD!$B$3:$B$5001,J$184,BD!$A$3:$A$5001,"&gt;="&amp;$C$7,BD!$A$3:$A$5001,"&lt;="&amp;$B196,BD!$L$3:$L$5001,"&lt;&gt;"))))</f>
        <v/>
      </c>
      <c r="K196" s="43" t="str">
        <f>IF(OR($B196="",$A196&gt;$B$9,K$184=""),"",IF(COUNTIFS(BD!$B$3:$B$5001,K$184,BD!$A$3:$A$5001,"&gt;="&amp;$C$7,BD!$A$3:$A$5001,"&lt;="&amp;$B196,BD!$L$3:$L$5001,"&lt;&gt;")=0,"",SUMIFS(BD!$L$3:$L$5001,BD!$B$3:$B$5001,K$184,BD!$A$3:$A$5001,_xlfn.MAXIFS(BD!$A$3:$A$5001,BD!$B$3:$B$5001,K$184,BD!$A$3:$A$5001,"&gt;="&amp;$C$7,BD!$A$3:$A$5001,"&lt;="&amp;$B196,BD!$L$3:$L$5001,"&lt;&gt;"))))</f>
        <v/>
      </c>
      <c r="L196" s="43" t="str">
        <f>IF(OR($B196="",$A196&gt;$B$9,L$184=""),"",IF(COUNTIFS(BD!$B$3:$B$5001,L$184,BD!$A$3:$A$5001,"&gt;="&amp;$C$7,BD!$A$3:$A$5001,"&lt;="&amp;$B196,BD!$L$3:$L$5001,"&lt;&gt;")=0,"",SUMIFS(BD!$L$3:$L$5001,BD!$B$3:$B$5001,L$184,BD!$A$3:$A$5001,_xlfn.MAXIFS(BD!$A$3:$A$5001,BD!$B$3:$B$5001,L$184,BD!$A$3:$A$5001,"&gt;="&amp;$C$7,BD!$A$3:$A$5001,"&lt;="&amp;$B196,BD!$L$3:$L$5001,"&lt;&gt;"))))</f>
        <v/>
      </c>
      <c r="M196" s="43" t="str">
        <f>IF(OR($B196="",$A196&gt;$B$9,M$184=""),"",IF(COUNTIFS(BD!$B$3:$B$5001,M$184,BD!$A$3:$A$5001,"&gt;="&amp;$C$7,BD!$A$3:$A$5001,"&lt;="&amp;$B196,BD!$L$3:$L$5001,"&lt;&gt;")=0,"",SUMIFS(BD!$L$3:$L$5001,BD!$B$3:$B$5001,M$184,BD!$A$3:$A$5001,_xlfn.MAXIFS(BD!$A$3:$A$5001,BD!$B$3:$B$5001,M$184,BD!$A$3:$A$5001,"&gt;="&amp;$C$7,BD!$A$3:$A$5001,"&lt;="&amp;$B196,BD!$L$3:$L$5001,"&lt;&gt;"))))</f>
        <v/>
      </c>
      <c r="N196" s="43" t="str">
        <f>IF(OR($B196="",$A196&gt;$B$9,N$184=""),"",IF(COUNTIFS(BD!$B$3:$B$5001,N$184,BD!$A$3:$A$5001,"&gt;="&amp;$C$7,BD!$A$3:$A$5001,"&lt;="&amp;$B196,BD!$L$3:$L$5001,"&lt;&gt;")=0,"",SUMIFS(BD!$L$3:$L$5001,BD!$B$3:$B$5001,N$184,BD!$A$3:$A$5001,_xlfn.MAXIFS(BD!$A$3:$A$5001,BD!$B$3:$B$5001,N$184,BD!$A$3:$A$5001,"&gt;="&amp;$C$7,BD!$A$3:$A$5001,"&lt;="&amp;$B196,BD!$L$3:$L$5001,"&lt;&gt;"))))</f>
        <v/>
      </c>
      <c r="O196" s="43" t="str">
        <f>IF(OR($B196="",$A196&gt;$B$9,O$184=""),"",IF(COUNTIFS(BD!$B$3:$B$5001,O$184,BD!$A$3:$A$5001,"&gt;="&amp;$C$7,BD!$A$3:$A$5001,"&lt;="&amp;$B196,BD!$L$3:$L$5001,"&lt;&gt;")=0,"",SUMIFS(BD!$L$3:$L$5001,BD!$B$3:$B$5001,O$184,BD!$A$3:$A$5001,_xlfn.MAXIFS(BD!$A$3:$A$5001,BD!$B$3:$B$5001,O$184,BD!$A$3:$A$5001,"&gt;="&amp;$C$7,BD!$A$3:$A$5001,"&lt;="&amp;$B196,BD!$L$3:$L$5001,"&lt;&gt;"))))</f>
        <v/>
      </c>
      <c r="P196" s="43" t="str">
        <f>IF(OR($B196="",$A196&gt;$B$9,P$184=""),"",IF(COUNTIFS(BD!$B$3:$B$5001,P$184,BD!$A$3:$A$5001,"&gt;="&amp;$C$7,BD!$A$3:$A$5001,"&lt;="&amp;$B196,BD!$L$3:$L$5001,"&lt;&gt;")=0,"",SUMIFS(BD!$L$3:$L$5001,BD!$B$3:$B$5001,P$184,BD!$A$3:$A$5001,_xlfn.MAXIFS(BD!$A$3:$A$5001,BD!$B$3:$B$5001,P$184,BD!$A$3:$A$5001,"&gt;="&amp;$C$7,BD!$A$3:$A$5001,"&lt;="&amp;$B196,BD!$L$3:$L$5001,"&lt;&gt;"))))</f>
        <v/>
      </c>
      <c r="Q196" s="43" t="str">
        <f>IF(OR($B196="",$A196&gt;$B$9,Q$184=""),"",IF(COUNTIFS(BD!$B$3:$B$5001,Q$184,BD!$A$3:$A$5001,"&gt;="&amp;$C$7,BD!$A$3:$A$5001,"&lt;="&amp;$B196,BD!$L$3:$L$5001,"&lt;&gt;")=0,"",SUMIFS(BD!$L$3:$L$5001,BD!$B$3:$B$5001,Q$184,BD!$A$3:$A$5001,_xlfn.MAXIFS(BD!$A$3:$A$5001,BD!$B$3:$B$5001,Q$184,BD!$A$3:$A$5001,"&gt;="&amp;$C$7,BD!$A$3:$A$5001,"&lt;="&amp;$B196,BD!$L$3:$L$5001,"&lt;&gt;"))))</f>
        <v/>
      </c>
      <c r="R196" s="43" t="str">
        <f>IF(OR($B196="",$A196&gt;$B$9,R$184=""),"",IF(COUNTIFS(BD!$B$3:$B$5001,R$184,BD!$A$3:$A$5001,"&gt;="&amp;$C$7,BD!$A$3:$A$5001,"&lt;="&amp;$B196,BD!$L$3:$L$5001,"&lt;&gt;")=0,"",SUMIFS(BD!$L$3:$L$5001,BD!$B$3:$B$5001,R$184,BD!$A$3:$A$5001,_xlfn.MAXIFS(BD!$A$3:$A$5001,BD!$B$3:$B$5001,R$184,BD!$A$3:$A$5001,"&gt;="&amp;$C$7,BD!$A$3:$A$5001,"&lt;="&amp;$B196,BD!$L$3:$L$5001,"&lt;&gt;"))))</f>
        <v/>
      </c>
      <c r="S196" s="43" t="str">
        <f>IF(OR($B196="",$A196&gt;$B$9,S$184=""),"",IF(COUNTIFS(BD!$B$3:$B$5001,S$184,BD!$A$3:$A$5001,"&gt;="&amp;$C$7,BD!$A$3:$A$5001,"&lt;="&amp;$B196,BD!$L$3:$L$5001,"&lt;&gt;")=0,"",SUMIFS(BD!$L$3:$L$5001,BD!$B$3:$B$5001,S$184,BD!$A$3:$A$5001,_xlfn.MAXIFS(BD!$A$3:$A$5001,BD!$B$3:$B$5001,S$184,BD!$A$3:$A$5001,"&gt;="&amp;$C$7,BD!$A$3:$A$5001,"&lt;="&amp;$B196,BD!$L$3:$L$5001,"&lt;&gt;"))))</f>
        <v/>
      </c>
      <c r="T196" s="43" t="str">
        <f>IF(OR($B196="",$A196&gt;$B$9,T$184=""),"",IF(COUNTIFS(BD!$B$3:$B$5001,T$184,BD!$A$3:$A$5001,"&gt;="&amp;$C$7,BD!$A$3:$A$5001,"&lt;="&amp;$B196,BD!$L$3:$L$5001,"&lt;&gt;")=0,"",SUMIFS(BD!$L$3:$L$5001,BD!$B$3:$B$5001,T$184,BD!$A$3:$A$5001,_xlfn.MAXIFS(BD!$A$3:$A$5001,BD!$B$3:$B$5001,T$184,BD!$A$3:$A$5001,"&gt;="&amp;$C$7,BD!$A$3:$A$5001,"&lt;="&amp;$B196,BD!$L$3:$L$5001,"&lt;&gt;"))))</f>
        <v/>
      </c>
      <c r="U196" s="43" t="str">
        <f>IF(OR($B196="",$A196&gt;$B$9,U$184=""),"",IF(COUNTIFS(BD!$B$3:$B$5001,U$184,BD!$A$3:$A$5001,"&gt;="&amp;$C$7,BD!$A$3:$A$5001,"&lt;="&amp;$B196,BD!$L$3:$L$5001,"&lt;&gt;")=0,"",SUMIFS(BD!$L$3:$L$5001,BD!$B$3:$B$5001,U$184,BD!$A$3:$A$5001,_xlfn.MAXIFS(BD!$A$3:$A$5001,BD!$B$3:$B$5001,U$184,BD!$A$3:$A$5001,"&gt;="&amp;$C$7,BD!$A$3:$A$5001,"&lt;="&amp;$B196,BD!$L$3:$L$5001,"&lt;&gt;"))))</f>
        <v/>
      </c>
      <c r="V196" s="43" t="str">
        <f>IF(OR($B196="",$A196&gt;$B$9,V$184=""),"",IF(COUNTIFS(BD!$B$3:$B$5001,V$184,BD!$A$3:$A$5001,"&gt;="&amp;$C$7,BD!$A$3:$A$5001,"&lt;="&amp;$B196,BD!$L$3:$L$5001,"&lt;&gt;")=0,"",SUMIFS(BD!$L$3:$L$5001,BD!$B$3:$B$5001,V$184,BD!$A$3:$A$5001,_xlfn.MAXIFS(BD!$A$3:$A$5001,BD!$B$3:$B$5001,V$184,BD!$A$3:$A$5001,"&gt;="&amp;$C$7,BD!$A$3:$A$5001,"&lt;="&amp;$B196,BD!$L$3:$L$5001,"&lt;&gt;"))))</f>
        <v/>
      </c>
    </row>
    <row r="197">
      <c r="A197" s="38">
        <v>13</v>
      </c>
      <c r="B197" s="42">
        <f>$B$24</f>
        <v>46308</v>
      </c>
      <c r="C197" s="43" t="str">
        <f>IF(OR($B197="",$A197&gt;$B$9,C$184=""),"",IF(COUNTIFS(BD!$B$3:$B$5001,C$184,BD!$A$3:$A$5001,"&gt;="&amp;$C$7,BD!$A$3:$A$5001,"&lt;="&amp;$B197,BD!$L$3:$L$5001,"&lt;&gt;")=0,"",SUMIFS(BD!$L$3:$L$5001,BD!$B$3:$B$5001,C$184,BD!$A$3:$A$5001,_xlfn.MAXIFS(BD!$A$3:$A$5001,BD!$B$3:$B$5001,C$184,BD!$A$3:$A$5001,"&gt;="&amp;$C$7,BD!$A$3:$A$5001,"&lt;="&amp;$B197,BD!$L$3:$L$5001,"&lt;&gt;"))))</f>
        <v/>
      </c>
      <c r="D197" s="43" t="str">
        <f>IF(OR($B197="",$A197&gt;$B$9,D$184=""),"",IF(COUNTIFS(BD!$B$3:$B$5001,D$184,BD!$A$3:$A$5001,"&gt;="&amp;$C$7,BD!$A$3:$A$5001,"&lt;="&amp;$B197,BD!$L$3:$L$5001,"&lt;&gt;")=0,"",SUMIFS(BD!$L$3:$L$5001,BD!$B$3:$B$5001,D$184,BD!$A$3:$A$5001,_xlfn.MAXIFS(BD!$A$3:$A$5001,BD!$B$3:$B$5001,D$184,BD!$A$3:$A$5001,"&gt;="&amp;$C$7,BD!$A$3:$A$5001,"&lt;="&amp;$B197,BD!$L$3:$L$5001,"&lt;&gt;"))))</f>
        <v/>
      </c>
      <c r="E197" s="43" t="str">
        <f>IF(OR($B197="",$A197&gt;$B$9,E$184=""),"",IF(COUNTIFS(BD!$B$3:$B$5001,E$184,BD!$A$3:$A$5001,"&gt;="&amp;$C$7,BD!$A$3:$A$5001,"&lt;="&amp;$B197,BD!$L$3:$L$5001,"&lt;&gt;")=0,"",SUMIFS(BD!$L$3:$L$5001,BD!$B$3:$B$5001,E$184,BD!$A$3:$A$5001,_xlfn.MAXIFS(BD!$A$3:$A$5001,BD!$B$3:$B$5001,E$184,BD!$A$3:$A$5001,"&gt;="&amp;$C$7,BD!$A$3:$A$5001,"&lt;="&amp;$B197,BD!$L$3:$L$5001,"&lt;&gt;"))))</f>
        <v/>
      </c>
      <c r="F197" s="43" t="str">
        <f>IF(OR($B197="",$A197&gt;$B$9,F$184=""),"",IF(COUNTIFS(BD!$B$3:$B$5001,F$184,BD!$A$3:$A$5001,"&gt;="&amp;$C$7,BD!$A$3:$A$5001,"&lt;="&amp;$B197,BD!$L$3:$L$5001,"&lt;&gt;")=0,"",SUMIFS(BD!$L$3:$L$5001,BD!$B$3:$B$5001,F$184,BD!$A$3:$A$5001,_xlfn.MAXIFS(BD!$A$3:$A$5001,BD!$B$3:$B$5001,F$184,BD!$A$3:$A$5001,"&gt;="&amp;$C$7,BD!$A$3:$A$5001,"&lt;="&amp;$B197,BD!$L$3:$L$5001,"&lt;&gt;"))))</f>
        <v/>
      </c>
      <c r="G197" s="43" t="str">
        <f>IF(OR($B197="",$A197&gt;$B$9,G$184=""),"",IF(COUNTIFS(BD!$B$3:$B$5001,G$184,BD!$A$3:$A$5001,"&gt;="&amp;$C$7,BD!$A$3:$A$5001,"&lt;="&amp;$B197,BD!$L$3:$L$5001,"&lt;&gt;")=0,"",SUMIFS(BD!$L$3:$L$5001,BD!$B$3:$B$5001,G$184,BD!$A$3:$A$5001,_xlfn.MAXIFS(BD!$A$3:$A$5001,BD!$B$3:$B$5001,G$184,BD!$A$3:$A$5001,"&gt;="&amp;$C$7,BD!$A$3:$A$5001,"&lt;="&amp;$B197,BD!$L$3:$L$5001,"&lt;&gt;"))))</f>
        <v/>
      </c>
      <c r="H197" s="43" t="str">
        <f>IF(OR($B197="",$A197&gt;$B$9,H$184=""),"",IF(COUNTIFS(BD!$B$3:$B$5001,H$184,BD!$A$3:$A$5001,"&gt;="&amp;$C$7,BD!$A$3:$A$5001,"&lt;="&amp;$B197,BD!$L$3:$L$5001,"&lt;&gt;")=0,"",SUMIFS(BD!$L$3:$L$5001,BD!$B$3:$B$5001,H$184,BD!$A$3:$A$5001,_xlfn.MAXIFS(BD!$A$3:$A$5001,BD!$B$3:$B$5001,H$184,BD!$A$3:$A$5001,"&gt;="&amp;$C$7,BD!$A$3:$A$5001,"&lt;="&amp;$B197,BD!$L$3:$L$5001,"&lt;&gt;"))))</f>
        <v/>
      </c>
      <c r="I197" s="43" t="str">
        <f>IF(OR($B197="",$A197&gt;$B$9,I$184=""),"",IF(COUNTIFS(BD!$B$3:$B$5001,I$184,BD!$A$3:$A$5001,"&gt;="&amp;$C$7,BD!$A$3:$A$5001,"&lt;="&amp;$B197,BD!$L$3:$L$5001,"&lt;&gt;")=0,"",SUMIFS(BD!$L$3:$L$5001,BD!$B$3:$B$5001,I$184,BD!$A$3:$A$5001,_xlfn.MAXIFS(BD!$A$3:$A$5001,BD!$B$3:$B$5001,I$184,BD!$A$3:$A$5001,"&gt;="&amp;$C$7,BD!$A$3:$A$5001,"&lt;="&amp;$B197,BD!$L$3:$L$5001,"&lt;&gt;"))))</f>
        <v/>
      </c>
      <c r="J197" s="43" t="str">
        <f>IF(OR($B197="",$A197&gt;$B$9,J$184=""),"",IF(COUNTIFS(BD!$B$3:$B$5001,J$184,BD!$A$3:$A$5001,"&gt;="&amp;$C$7,BD!$A$3:$A$5001,"&lt;="&amp;$B197,BD!$L$3:$L$5001,"&lt;&gt;")=0,"",SUMIFS(BD!$L$3:$L$5001,BD!$B$3:$B$5001,J$184,BD!$A$3:$A$5001,_xlfn.MAXIFS(BD!$A$3:$A$5001,BD!$B$3:$B$5001,J$184,BD!$A$3:$A$5001,"&gt;="&amp;$C$7,BD!$A$3:$A$5001,"&lt;="&amp;$B197,BD!$L$3:$L$5001,"&lt;&gt;"))))</f>
        <v/>
      </c>
      <c r="K197" s="43" t="str">
        <f>IF(OR($B197="",$A197&gt;$B$9,K$184=""),"",IF(COUNTIFS(BD!$B$3:$B$5001,K$184,BD!$A$3:$A$5001,"&gt;="&amp;$C$7,BD!$A$3:$A$5001,"&lt;="&amp;$B197,BD!$L$3:$L$5001,"&lt;&gt;")=0,"",SUMIFS(BD!$L$3:$L$5001,BD!$B$3:$B$5001,K$184,BD!$A$3:$A$5001,_xlfn.MAXIFS(BD!$A$3:$A$5001,BD!$B$3:$B$5001,K$184,BD!$A$3:$A$5001,"&gt;="&amp;$C$7,BD!$A$3:$A$5001,"&lt;="&amp;$B197,BD!$L$3:$L$5001,"&lt;&gt;"))))</f>
        <v/>
      </c>
      <c r="L197" s="43" t="str">
        <f>IF(OR($B197="",$A197&gt;$B$9,L$184=""),"",IF(COUNTIFS(BD!$B$3:$B$5001,L$184,BD!$A$3:$A$5001,"&gt;="&amp;$C$7,BD!$A$3:$A$5001,"&lt;="&amp;$B197,BD!$L$3:$L$5001,"&lt;&gt;")=0,"",SUMIFS(BD!$L$3:$L$5001,BD!$B$3:$B$5001,L$184,BD!$A$3:$A$5001,_xlfn.MAXIFS(BD!$A$3:$A$5001,BD!$B$3:$B$5001,L$184,BD!$A$3:$A$5001,"&gt;="&amp;$C$7,BD!$A$3:$A$5001,"&lt;="&amp;$B197,BD!$L$3:$L$5001,"&lt;&gt;"))))</f>
        <v/>
      </c>
      <c r="M197" s="43" t="str">
        <f>IF(OR($B197="",$A197&gt;$B$9,M$184=""),"",IF(COUNTIFS(BD!$B$3:$B$5001,M$184,BD!$A$3:$A$5001,"&gt;="&amp;$C$7,BD!$A$3:$A$5001,"&lt;="&amp;$B197,BD!$L$3:$L$5001,"&lt;&gt;")=0,"",SUMIFS(BD!$L$3:$L$5001,BD!$B$3:$B$5001,M$184,BD!$A$3:$A$5001,_xlfn.MAXIFS(BD!$A$3:$A$5001,BD!$B$3:$B$5001,M$184,BD!$A$3:$A$5001,"&gt;="&amp;$C$7,BD!$A$3:$A$5001,"&lt;="&amp;$B197,BD!$L$3:$L$5001,"&lt;&gt;"))))</f>
        <v/>
      </c>
      <c r="N197" s="43" t="str">
        <f>IF(OR($B197="",$A197&gt;$B$9,N$184=""),"",IF(COUNTIFS(BD!$B$3:$B$5001,N$184,BD!$A$3:$A$5001,"&gt;="&amp;$C$7,BD!$A$3:$A$5001,"&lt;="&amp;$B197,BD!$L$3:$L$5001,"&lt;&gt;")=0,"",SUMIFS(BD!$L$3:$L$5001,BD!$B$3:$B$5001,N$184,BD!$A$3:$A$5001,_xlfn.MAXIFS(BD!$A$3:$A$5001,BD!$B$3:$B$5001,N$184,BD!$A$3:$A$5001,"&gt;="&amp;$C$7,BD!$A$3:$A$5001,"&lt;="&amp;$B197,BD!$L$3:$L$5001,"&lt;&gt;"))))</f>
        <v/>
      </c>
      <c r="O197" s="43" t="str">
        <f>IF(OR($B197="",$A197&gt;$B$9,O$184=""),"",IF(COUNTIFS(BD!$B$3:$B$5001,O$184,BD!$A$3:$A$5001,"&gt;="&amp;$C$7,BD!$A$3:$A$5001,"&lt;="&amp;$B197,BD!$L$3:$L$5001,"&lt;&gt;")=0,"",SUMIFS(BD!$L$3:$L$5001,BD!$B$3:$B$5001,O$184,BD!$A$3:$A$5001,_xlfn.MAXIFS(BD!$A$3:$A$5001,BD!$B$3:$B$5001,O$184,BD!$A$3:$A$5001,"&gt;="&amp;$C$7,BD!$A$3:$A$5001,"&lt;="&amp;$B197,BD!$L$3:$L$5001,"&lt;&gt;"))))</f>
        <v/>
      </c>
      <c r="P197" s="43" t="str">
        <f>IF(OR($B197="",$A197&gt;$B$9,P$184=""),"",IF(COUNTIFS(BD!$B$3:$B$5001,P$184,BD!$A$3:$A$5001,"&gt;="&amp;$C$7,BD!$A$3:$A$5001,"&lt;="&amp;$B197,BD!$L$3:$L$5001,"&lt;&gt;")=0,"",SUMIFS(BD!$L$3:$L$5001,BD!$B$3:$B$5001,P$184,BD!$A$3:$A$5001,_xlfn.MAXIFS(BD!$A$3:$A$5001,BD!$B$3:$B$5001,P$184,BD!$A$3:$A$5001,"&gt;="&amp;$C$7,BD!$A$3:$A$5001,"&lt;="&amp;$B197,BD!$L$3:$L$5001,"&lt;&gt;"))))</f>
        <v/>
      </c>
      <c r="Q197" s="43" t="str">
        <f>IF(OR($B197="",$A197&gt;$B$9,Q$184=""),"",IF(COUNTIFS(BD!$B$3:$B$5001,Q$184,BD!$A$3:$A$5001,"&gt;="&amp;$C$7,BD!$A$3:$A$5001,"&lt;="&amp;$B197,BD!$L$3:$L$5001,"&lt;&gt;")=0,"",SUMIFS(BD!$L$3:$L$5001,BD!$B$3:$B$5001,Q$184,BD!$A$3:$A$5001,_xlfn.MAXIFS(BD!$A$3:$A$5001,BD!$B$3:$B$5001,Q$184,BD!$A$3:$A$5001,"&gt;="&amp;$C$7,BD!$A$3:$A$5001,"&lt;="&amp;$B197,BD!$L$3:$L$5001,"&lt;&gt;"))))</f>
        <v/>
      </c>
      <c r="R197" s="43" t="str">
        <f>IF(OR($B197="",$A197&gt;$B$9,R$184=""),"",IF(COUNTIFS(BD!$B$3:$B$5001,R$184,BD!$A$3:$A$5001,"&gt;="&amp;$C$7,BD!$A$3:$A$5001,"&lt;="&amp;$B197,BD!$L$3:$L$5001,"&lt;&gt;")=0,"",SUMIFS(BD!$L$3:$L$5001,BD!$B$3:$B$5001,R$184,BD!$A$3:$A$5001,_xlfn.MAXIFS(BD!$A$3:$A$5001,BD!$B$3:$B$5001,R$184,BD!$A$3:$A$5001,"&gt;="&amp;$C$7,BD!$A$3:$A$5001,"&lt;="&amp;$B197,BD!$L$3:$L$5001,"&lt;&gt;"))))</f>
        <v/>
      </c>
      <c r="S197" s="43" t="str">
        <f>IF(OR($B197="",$A197&gt;$B$9,S$184=""),"",IF(COUNTIFS(BD!$B$3:$B$5001,S$184,BD!$A$3:$A$5001,"&gt;="&amp;$C$7,BD!$A$3:$A$5001,"&lt;="&amp;$B197,BD!$L$3:$L$5001,"&lt;&gt;")=0,"",SUMIFS(BD!$L$3:$L$5001,BD!$B$3:$B$5001,S$184,BD!$A$3:$A$5001,_xlfn.MAXIFS(BD!$A$3:$A$5001,BD!$B$3:$B$5001,S$184,BD!$A$3:$A$5001,"&gt;="&amp;$C$7,BD!$A$3:$A$5001,"&lt;="&amp;$B197,BD!$L$3:$L$5001,"&lt;&gt;"))))</f>
        <v/>
      </c>
      <c r="T197" s="43" t="str">
        <f>IF(OR($B197="",$A197&gt;$B$9,T$184=""),"",IF(COUNTIFS(BD!$B$3:$B$5001,T$184,BD!$A$3:$A$5001,"&gt;="&amp;$C$7,BD!$A$3:$A$5001,"&lt;="&amp;$B197,BD!$L$3:$L$5001,"&lt;&gt;")=0,"",SUMIFS(BD!$L$3:$L$5001,BD!$B$3:$B$5001,T$184,BD!$A$3:$A$5001,_xlfn.MAXIFS(BD!$A$3:$A$5001,BD!$B$3:$B$5001,T$184,BD!$A$3:$A$5001,"&gt;="&amp;$C$7,BD!$A$3:$A$5001,"&lt;="&amp;$B197,BD!$L$3:$L$5001,"&lt;&gt;"))))</f>
        <v/>
      </c>
      <c r="U197" s="43" t="str">
        <f>IF(OR($B197="",$A197&gt;$B$9,U$184=""),"",IF(COUNTIFS(BD!$B$3:$B$5001,U$184,BD!$A$3:$A$5001,"&gt;="&amp;$C$7,BD!$A$3:$A$5001,"&lt;="&amp;$B197,BD!$L$3:$L$5001,"&lt;&gt;")=0,"",SUMIFS(BD!$L$3:$L$5001,BD!$B$3:$B$5001,U$184,BD!$A$3:$A$5001,_xlfn.MAXIFS(BD!$A$3:$A$5001,BD!$B$3:$B$5001,U$184,BD!$A$3:$A$5001,"&gt;="&amp;$C$7,BD!$A$3:$A$5001,"&lt;="&amp;$B197,BD!$L$3:$L$5001,"&lt;&gt;"))))</f>
        <v/>
      </c>
      <c r="V197" s="43" t="str">
        <f>IF(OR($B197="",$A197&gt;$B$9,V$184=""),"",IF(COUNTIFS(BD!$B$3:$B$5001,V$184,BD!$A$3:$A$5001,"&gt;="&amp;$C$7,BD!$A$3:$A$5001,"&lt;="&amp;$B197,BD!$L$3:$L$5001,"&lt;&gt;")=0,"",SUMIFS(BD!$L$3:$L$5001,BD!$B$3:$B$5001,V$184,BD!$A$3:$A$5001,_xlfn.MAXIFS(BD!$A$3:$A$5001,BD!$B$3:$B$5001,V$184,BD!$A$3:$A$5001,"&gt;="&amp;$C$7,BD!$A$3:$A$5001,"&lt;="&amp;$B197,BD!$L$3:$L$5001,"&lt;&gt;"))))</f>
        <v/>
      </c>
    </row>
    <row r="198">
      <c r="A198" s="38">
        <v>14</v>
      </c>
      <c r="B198" s="42">
        <f>$B$25</f>
        <v>46309</v>
      </c>
      <c r="C198" s="43" t="str">
        <f>IF(OR($B198="",$A198&gt;$B$9,C$184=""),"",IF(COUNTIFS(BD!$B$3:$B$5001,C$184,BD!$A$3:$A$5001,"&gt;="&amp;$C$7,BD!$A$3:$A$5001,"&lt;="&amp;$B198,BD!$L$3:$L$5001,"&lt;&gt;")=0,"",SUMIFS(BD!$L$3:$L$5001,BD!$B$3:$B$5001,C$184,BD!$A$3:$A$5001,_xlfn.MAXIFS(BD!$A$3:$A$5001,BD!$B$3:$B$5001,C$184,BD!$A$3:$A$5001,"&gt;="&amp;$C$7,BD!$A$3:$A$5001,"&lt;="&amp;$B198,BD!$L$3:$L$5001,"&lt;&gt;"))))</f>
        <v/>
      </c>
      <c r="D198" s="43" t="str">
        <f>IF(OR($B198="",$A198&gt;$B$9,D$184=""),"",IF(COUNTIFS(BD!$B$3:$B$5001,D$184,BD!$A$3:$A$5001,"&gt;="&amp;$C$7,BD!$A$3:$A$5001,"&lt;="&amp;$B198,BD!$L$3:$L$5001,"&lt;&gt;")=0,"",SUMIFS(BD!$L$3:$L$5001,BD!$B$3:$B$5001,D$184,BD!$A$3:$A$5001,_xlfn.MAXIFS(BD!$A$3:$A$5001,BD!$B$3:$B$5001,D$184,BD!$A$3:$A$5001,"&gt;="&amp;$C$7,BD!$A$3:$A$5001,"&lt;="&amp;$B198,BD!$L$3:$L$5001,"&lt;&gt;"))))</f>
        <v/>
      </c>
      <c r="E198" s="43" t="str">
        <f>IF(OR($B198="",$A198&gt;$B$9,E$184=""),"",IF(COUNTIFS(BD!$B$3:$B$5001,E$184,BD!$A$3:$A$5001,"&gt;="&amp;$C$7,BD!$A$3:$A$5001,"&lt;="&amp;$B198,BD!$L$3:$L$5001,"&lt;&gt;")=0,"",SUMIFS(BD!$L$3:$L$5001,BD!$B$3:$B$5001,E$184,BD!$A$3:$A$5001,_xlfn.MAXIFS(BD!$A$3:$A$5001,BD!$B$3:$B$5001,E$184,BD!$A$3:$A$5001,"&gt;="&amp;$C$7,BD!$A$3:$A$5001,"&lt;="&amp;$B198,BD!$L$3:$L$5001,"&lt;&gt;"))))</f>
        <v/>
      </c>
      <c r="F198" s="43" t="str">
        <f>IF(OR($B198="",$A198&gt;$B$9,F$184=""),"",IF(COUNTIFS(BD!$B$3:$B$5001,F$184,BD!$A$3:$A$5001,"&gt;="&amp;$C$7,BD!$A$3:$A$5001,"&lt;="&amp;$B198,BD!$L$3:$L$5001,"&lt;&gt;")=0,"",SUMIFS(BD!$L$3:$L$5001,BD!$B$3:$B$5001,F$184,BD!$A$3:$A$5001,_xlfn.MAXIFS(BD!$A$3:$A$5001,BD!$B$3:$B$5001,F$184,BD!$A$3:$A$5001,"&gt;="&amp;$C$7,BD!$A$3:$A$5001,"&lt;="&amp;$B198,BD!$L$3:$L$5001,"&lt;&gt;"))))</f>
        <v/>
      </c>
      <c r="G198" s="43" t="str">
        <f>IF(OR($B198="",$A198&gt;$B$9,G$184=""),"",IF(COUNTIFS(BD!$B$3:$B$5001,G$184,BD!$A$3:$A$5001,"&gt;="&amp;$C$7,BD!$A$3:$A$5001,"&lt;="&amp;$B198,BD!$L$3:$L$5001,"&lt;&gt;")=0,"",SUMIFS(BD!$L$3:$L$5001,BD!$B$3:$B$5001,G$184,BD!$A$3:$A$5001,_xlfn.MAXIFS(BD!$A$3:$A$5001,BD!$B$3:$B$5001,G$184,BD!$A$3:$A$5001,"&gt;="&amp;$C$7,BD!$A$3:$A$5001,"&lt;="&amp;$B198,BD!$L$3:$L$5001,"&lt;&gt;"))))</f>
        <v/>
      </c>
      <c r="H198" s="43" t="str">
        <f>IF(OR($B198="",$A198&gt;$B$9,H$184=""),"",IF(COUNTIFS(BD!$B$3:$B$5001,H$184,BD!$A$3:$A$5001,"&gt;="&amp;$C$7,BD!$A$3:$A$5001,"&lt;="&amp;$B198,BD!$L$3:$L$5001,"&lt;&gt;")=0,"",SUMIFS(BD!$L$3:$L$5001,BD!$B$3:$B$5001,H$184,BD!$A$3:$A$5001,_xlfn.MAXIFS(BD!$A$3:$A$5001,BD!$B$3:$B$5001,H$184,BD!$A$3:$A$5001,"&gt;="&amp;$C$7,BD!$A$3:$A$5001,"&lt;="&amp;$B198,BD!$L$3:$L$5001,"&lt;&gt;"))))</f>
        <v/>
      </c>
      <c r="I198" s="43" t="str">
        <f>IF(OR($B198="",$A198&gt;$B$9,I$184=""),"",IF(COUNTIFS(BD!$B$3:$B$5001,I$184,BD!$A$3:$A$5001,"&gt;="&amp;$C$7,BD!$A$3:$A$5001,"&lt;="&amp;$B198,BD!$L$3:$L$5001,"&lt;&gt;")=0,"",SUMIFS(BD!$L$3:$L$5001,BD!$B$3:$B$5001,I$184,BD!$A$3:$A$5001,_xlfn.MAXIFS(BD!$A$3:$A$5001,BD!$B$3:$B$5001,I$184,BD!$A$3:$A$5001,"&gt;="&amp;$C$7,BD!$A$3:$A$5001,"&lt;="&amp;$B198,BD!$L$3:$L$5001,"&lt;&gt;"))))</f>
        <v/>
      </c>
      <c r="J198" s="43" t="str">
        <f>IF(OR($B198="",$A198&gt;$B$9,J$184=""),"",IF(COUNTIFS(BD!$B$3:$B$5001,J$184,BD!$A$3:$A$5001,"&gt;="&amp;$C$7,BD!$A$3:$A$5001,"&lt;="&amp;$B198,BD!$L$3:$L$5001,"&lt;&gt;")=0,"",SUMIFS(BD!$L$3:$L$5001,BD!$B$3:$B$5001,J$184,BD!$A$3:$A$5001,_xlfn.MAXIFS(BD!$A$3:$A$5001,BD!$B$3:$B$5001,J$184,BD!$A$3:$A$5001,"&gt;="&amp;$C$7,BD!$A$3:$A$5001,"&lt;="&amp;$B198,BD!$L$3:$L$5001,"&lt;&gt;"))))</f>
        <v/>
      </c>
      <c r="K198" s="43" t="str">
        <f>IF(OR($B198="",$A198&gt;$B$9,K$184=""),"",IF(COUNTIFS(BD!$B$3:$B$5001,K$184,BD!$A$3:$A$5001,"&gt;="&amp;$C$7,BD!$A$3:$A$5001,"&lt;="&amp;$B198,BD!$L$3:$L$5001,"&lt;&gt;")=0,"",SUMIFS(BD!$L$3:$L$5001,BD!$B$3:$B$5001,K$184,BD!$A$3:$A$5001,_xlfn.MAXIFS(BD!$A$3:$A$5001,BD!$B$3:$B$5001,K$184,BD!$A$3:$A$5001,"&gt;="&amp;$C$7,BD!$A$3:$A$5001,"&lt;="&amp;$B198,BD!$L$3:$L$5001,"&lt;&gt;"))))</f>
        <v/>
      </c>
      <c r="L198" s="43" t="str">
        <f>IF(OR($B198="",$A198&gt;$B$9,L$184=""),"",IF(COUNTIFS(BD!$B$3:$B$5001,L$184,BD!$A$3:$A$5001,"&gt;="&amp;$C$7,BD!$A$3:$A$5001,"&lt;="&amp;$B198,BD!$L$3:$L$5001,"&lt;&gt;")=0,"",SUMIFS(BD!$L$3:$L$5001,BD!$B$3:$B$5001,L$184,BD!$A$3:$A$5001,_xlfn.MAXIFS(BD!$A$3:$A$5001,BD!$B$3:$B$5001,L$184,BD!$A$3:$A$5001,"&gt;="&amp;$C$7,BD!$A$3:$A$5001,"&lt;="&amp;$B198,BD!$L$3:$L$5001,"&lt;&gt;"))))</f>
        <v/>
      </c>
      <c r="M198" s="43" t="str">
        <f>IF(OR($B198="",$A198&gt;$B$9,M$184=""),"",IF(COUNTIFS(BD!$B$3:$B$5001,M$184,BD!$A$3:$A$5001,"&gt;="&amp;$C$7,BD!$A$3:$A$5001,"&lt;="&amp;$B198,BD!$L$3:$L$5001,"&lt;&gt;")=0,"",SUMIFS(BD!$L$3:$L$5001,BD!$B$3:$B$5001,M$184,BD!$A$3:$A$5001,_xlfn.MAXIFS(BD!$A$3:$A$5001,BD!$B$3:$B$5001,M$184,BD!$A$3:$A$5001,"&gt;="&amp;$C$7,BD!$A$3:$A$5001,"&lt;="&amp;$B198,BD!$L$3:$L$5001,"&lt;&gt;"))))</f>
        <v/>
      </c>
      <c r="N198" s="43" t="str">
        <f>IF(OR($B198="",$A198&gt;$B$9,N$184=""),"",IF(COUNTIFS(BD!$B$3:$B$5001,N$184,BD!$A$3:$A$5001,"&gt;="&amp;$C$7,BD!$A$3:$A$5001,"&lt;="&amp;$B198,BD!$L$3:$L$5001,"&lt;&gt;")=0,"",SUMIFS(BD!$L$3:$L$5001,BD!$B$3:$B$5001,N$184,BD!$A$3:$A$5001,_xlfn.MAXIFS(BD!$A$3:$A$5001,BD!$B$3:$B$5001,N$184,BD!$A$3:$A$5001,"&gt;="&amp;$C$7,BD!$A$3:$A$5001,"&lt;="&amp;$B198,BD!$L$3:$L$5001,"&lt;&gt;"))))</f>
        <v/>
      </c>
      <c r="O198" s="43" t="str">
        <f>IF(OR($B198="",$A198&gt;$B$9,O$184=""),"",IF(COUNTIFS(BD!$B$3:$B$5001,O$184,BD!$A$3:$A$5001,"&gt;="&amp;$C$7,BD!$A$3:$A$5001,"&lt;="&amp;$B198,BD!$L$3:$L$5001,"&lt;&gt;")=0,"",SUMIFS(BD!$L$3:$L$5001,BD!$B$3:$B$5001,O$184,BD!$A$3:$A$5001,_xlfn.MAXIFS(BD!$A$3:$A$5001,BD!$B$3:$B$5001,O$184,BD!$A$3:$A$5001,"&gt;="&amp;$C$7,BD!$A$3:$A$5001,"&lt;="&amp;$B198,BD!$L$3:$L$5001,"&lt;&gt;"))))</f>
        <v/>
      </c>
      <c r="P198" s="43" t="str">
        <f>IF(OR($B198="",$A198&gt;$B$9,P$184=""),"",IF(COUNTIFS(BD!$B$3:$B$5001,P$184,BD!$A$3:$A$5001,"&gt;="&amp;$C$7,BD!$A$3:$A$5001,"&lt;="&amp;$B198,BD!$L$3:$L$5001,"&lt;&gt;")=0,"",SUMIFS(BD!$L$3:$L$5001,BD!$B$3:$B$5001,P$184,BD!$A$3:$A$5001,_xlfn.MAXIFS(BD!$A$3:$A$5001,BD!$B$3:$B$5001,P$184,BD!$A$3:$A$5001,"&gt;="&amp;$C$7,BD!$A$3:$A$5001,"&lt;="&amp;$B198,BD!$L$3:$L$5001,"&lt;&gt;"))))</f>
        <v/>
      </c>
      <c r="Q198" s="43" t="str">
        <f>IF(OR($B198="",$A198&gt;$B$9,Q$184=""),"",IF(COUNTIFS(BD!$B$3:$B$5001,Q$184,BD!$A$3:$A$5001,"&gt;="&amp;$C$7,BD!$A$3:$A$5001,"&lt;="&amp;$B198,BD!$L$3:$L$5001,"&lt;&gt;")=0,"",SUMIFS(BD!$L$3:$L$5001,BD!$B$3:$B$5001,Q$184,BD!$A$3:$A$5001,_xlfn.MAXIFS(BD!$A$3:$A$5001,BD!$B$3:$B$5001,Q$184,BD!$A$3:$A$5001,"&gt;="&amp;$C$7,BD!$A$3:$A$5001,"&lt;="&amp;$B198,BD!$L$3:$L$5001,"&lt;&gt;"))))</f>
        <v/>
      </c>
      <c r="R198" s="43" t="str">
        <f>IF(OR($B198="",$A198&gt;$B$9,R$184=""),"",IF(COUNTIFS(BD!$B$3:$B$5001,R$184,BD!$A$3:$A$5001,"&gt;="&amp;$C$7,BD!$A$3:$A$5001,"&lt;="&amp;$B198,BD!$L$3:$L$5001,"&lt;&gt;")=0,"",SUMIFS(BD!$L$3:$L$5001,BD!$B$3:$B$5001,R$184,BD!$A$3:$A$5001,_xlfn.MAXIFS(BD!$A$3:$A$5001,BD!$B$3:$B$5001,R$184,BD!$A$3:$A$5001,"&gt;="&amp;$C$7,BD!$A$3:$A$5001,"&lt;="&amp;$B198,BD!$L$3:$L$5001,"&lt;&gt;"))))</f>
        <v/>
      </c>
      <c r="S198" s="43" t="str">
        <f>IF(OR($B198="",$A198&gt;$B$9,S$184=""),"",IF(COUNTIFS(BD!$B$3:$B$5001,S$184,BD!$A$3:$A$5001,"&gt;="&amp;$C$7,BD!$A$3:$A$5001,"&lt;="&amp;$B198,BD!$L$3:$L$5001,"&lt;&gt;")=0,"",SUMIFS(BD!$L$3:$L$5001,BD!$B$3:$B$5001,S$184,BD!$A$3:$A$5001,_xlfn.MAXIFS(BD!$A$3:$A$5001,BD!$B$3:$B$5001,S$184,BD!$A$3:$A$5001,"&gt;="&amp;$C$7,BD!$A$3:$A$5001,"&lt;="&amp;$B198,BD!$L$3:$L$5001,"&lt;&gt;"))))</f>
        <v/>
      </c>
      <c r="T198" s="43" t="str">
        <f>IF(OR($B198="",$A198&gt;$B$9,T$184=""),"",IF(COUNTIFS(BD!$B$3:$B$5001,T$184,BD!$A$3:$A$5001,"&gt;="&amp;$C$7,BD!$A$3:$A$5001,"&lt;="&amp;$B198,BD!$L$3:$L$5001,"&lt;&gt;")=0,"",SUMIFS(BD!$L$3:$L$5001,BD!$B$3:$B$5001,T$184,BD!$A$3:$A$5001,_xlfn.MAXIFS(BD!$A$3:$A$5001,BD!$B$3:$B$5001,T$184,BD!$A$3:$A$5001,"&gt;="&amp;$C$7,BD!$A$3:$A$5001,"&lt;="&amp;$B198,BD!$L$3:$L$5001,"&lt;&gt;"))))</f>
        <v/>
      </c>
      <c r="U198" s="43" t="str">
        <f>IF(OR($B198="",$A198&gt;$B$9,U$184=""),"",IF(COUNTIFS(BD!$B$3:$B$5001,U$184,BD!$A$3:$A$5001,"&gt;="&amp;$C$7,BD!$A$3:$A$5001,"&lt;="&amp;$B198,BD!$L$3:$L$5001,"&lt;&gt;")=0,"",SUMIFS(BD!$L$3:$L$5001,BD!$B$3:$B$5001,U$184,BD!$A$3:$A$5001,_xlfn.MAXIFS(BD!$A$3:$A$5001,BD!$B$3:$B$5001,U$184,BD!$A$3:$A$5001,"&gt;="&amp;$C$7,BD!$A$3:$A$5001,"&lt;="&amp;$B198,BD!$L$3:$L$5001,"&lt;&gt;"))))</f>
        <v/>
      </c>
      <c r="V198" s="43" t="str">
        <f>IF(OR($B198="",$A198&gt;$B$9,V$184=""),"",IF(COUNTIFS(BD!$B$3:$B$5001,V$184,BD!$A$3:$A$5001,"&gt;="&amp;$C$7,BD!$A$3:$A$5001,"&lt;="&amp;$B198,BD!$L$3:$L$5001,"&lt;&gt;")=0,"",SUMIFS(BD!$L$3:$L$5001,BD!$B$3:$B$5001,V$184,BD!$A$3:$A$5001,_xlfn.MAXIFS(BD!$A$3:$A$5001,BD!$B$3:$B$5001,V$184,BD!$A$3:$A$5001,"&gt;="&amp;$C$7,BD!$A$3:$A$5001,"&lt;="&amp;$B198,BD!$L$3:$L$5001,"&lt;&gt;"))))</f>
        <v/>
      </c>
    </row>
    <row r="199">
      <c r="A199" s="38">
        <v>15</v>
      </c>
      <c r="B199" s="42">
        <f>$B$26</f>
        <v>46310</v>
      </c>
      <c r="C199" s="43" t="str">
        <f>IF(OR($B199="",$A199&gt;$B$9,C$184=""),"",IF(COUNTIFS(BD!$B$3:$B$5001,C$184,BD!$A$3:$A$5001,"&gt;="&amp;$C$7,BD!$A$3:$A$5001,"&lt;="&amp;$B199,BD!$L$3:$L$5001,"&lt;&gt;")=0,"",SUMIFS(BD!$L$3:$L$5001,BD!$B$3:$B$5001,C$184,BD!$A$3:$A$5001,_xlfn.MAXIFS(BD!$A$3:$A$5001,BD!$B$3:$B$5001,C$184,BD!$A$3:$A$5001,"&gt;="&amp;$C$7,BD!$A$3:$A$5001,"&lt;="&amp;$B199,BD!$L$3:$L$5001,"&lt;&gt;"))))</f>
        <v/>
      </c>
      <c r="D199" s="43" t="str">
        <f>IF(OR($B199="",$A199&gt;$B$9,D$184=""),"",IF(COUNTIFS(BD!$B$3:$B$5001,D$184,BD!$A$3:$A$5001,"&gt;="&amp;$C$7,BD!$A$3:$A$5001,"&lt;="&amp;$B199,BD!$L$3:$L$5001,"&lt;&gt;")=0,"",SUMIFS(BD!$L$3:$L$5001,BD!$B$3:$B$5001,D$184,BD!$A$3:$A$5001,_xlfn.MAXIFS(BD!$A$3:$A$5001,BD!$B$3:$B$5001,D$184,BD!$A$3:$A$5001,"&gt;="&amp;$C$7,BD!$A$3:$A$5001,"&lt;="&amp;$B199,BD!$L$3:$L$5001,"&lt;&gt;"))))</f>
        <v/>
      </c>
      <c r="E199" s="43" t="str">
        <f>IF(OR($B199="",$A199&gt;$B$9,E$184=""),"",IF(COUNTIFS(BD!$B$3:$B$5001,E$184,BD!$A$3:$A$5001,"&gt;="&amp;$C$7,BD!$A$3:$A$5001,"&lt;="&amp;$B199,BD!$L$3:$L$5001,"&lt;&gt;")=0,"",SUMIFS(BD!$L$3:$L$5001,BD!$B$3:$B$5001,E$184,BD!$A$3:$A$5001,_xlfn.MAXIFS(BD!$A$3:$A$5001,BD!$B$3:$B$5001,E$184,BD!$A$3:$A$5001,"&gt;="&amp;$C$7,BD!$A$3:$A$5001,"&lt;="&amp;$B199,BD!$L$3:$L$5001,"&lt;&gt;"))))</f>
        <v/>
      </c>
      <c r="F199" s="43" t="str">
        <f>IF(OR($B199="",$A199&gt;$B$9,F$184=""),"",IF(COUNTIFS(BD!$B$3:$B$5001,F$184,BD!$A$3:$A$5001,"&gt;="&amp;$C$7,BD!$A$3:$A$5001,"&lt;="&amp;$B199,BD!$L$3:$L$5001,"&lt;&gt;")=0,"",SUMIFS(BD!$L$3:$L$5001,BD!$B$3:$B$5001,F$184,BD!$A$3:$A$5001,_xlfn.MAXIFS(BD!$A$3:$A$5001,BD!$B$3:$B$5001,F$184,BD!$A$3:$A$5001,"&gt;="&amp;$C$7,BD!$A$3:$A$5001,"&lt;="&amp;$B199,BD!$L$3:$L$5001,"&lt;&gt;"))))</f>
        <v/>
      </c>
      <c r="G199" s="43" t="str">
        <f>IF(OR($B199="",$A199&gt;$B$9,G$184=""),"",IF(COUNTIFS(BD!$B$3:$B$5001,G$184,BD!$A$3:$A$5001,"&gt;="&amp;$C$7,BD!$A$3:$A$5001,"&lt;="&amp;$B199,BD!$L$3:$L$5001,"&lt;&gt;")=0,"",SUMIFS(BD!$L$3:$L$5001,BD!$B$3:$B$5001,G$184,BD!$A$3:$A$5001,_xlfn.MAXIFS(BD!$A$3:$A$5001,BD!$B$3:$B$5001,G$184,BD!$A$3:$A$5001,"&gt;="&amp;$C$7,BD!$A$3:$A$5001,"&lt;="&amp;$B199,BD!$L$3:$L$5001,"&lt;&gt;"))))</f>
        <v/>
      </c>
      <c r="H199" s="43" t="str">
        <f>IF(OR($B199="",$A199&gt;$B$9,H$184=""),"",IF(COUNTIFS(BD!$B$3:$B$5001,H$184,BD!$A$3:$A$5001,"&gt;="&amp;$C$7,BD!$A$3:$A$5001,"&lt;="&amp;$B199,BD!$L$3:$L$5001,"&lt;&gt;")=0,"",SUMIFS(BD!$L$3:$L$5001,BD!$B$3:$B$5001,H$184,BD!$A$3:$A$5001,_xlfn.MAXIFS(BD!$A$3:$A$5001,BD!$B$3:$B$5001,H$184,BD!$A$3:$A$5001,"&gt;="&amp;$C$7,BD!$A$3:$A$5001,"&lt;="&amp;$B199,BD!$L$3:$L$5001,"&lt;&gt;"))))</f>
        <v/>
      </c>
      <c r="I199" s="43" t="str">
        <f>IF(OR($B199="",$A199&gt;$B$9,I$184=""),"",IF(COUNTIFS(BD!$B$3:$B$5001,I$184,BD!$A$3:$A$5001,"&gt;="&amp;$C$7,BD!$A$3:$A$5001,"&lt;="&amp;$B199,BD!$L$3:$L$5001,"&lt;&gt;")=0,"",SUMIFS(BD!$L$3:$L$5001,BD!$B$3:$B$5001,I$184,BD!$A$3:$A$5001,_xlfn.MAXIFS(BD!$A$3:$A$5001,BD!$B$3:$B$5001,I$184,BD!$A$3:$A$5001,"&gt;="&amp;$C$7,BD!$A$3:$A$5001,"&lt;="&amp;$B199,BD!$L$3:$L$5001,"&lt;&gt;"))))</f>
        <v/>
      </c>
      <c r="J199" s="43" t="str">
        <f>IF(OR($B199="",$A199&gt;$B$9,J$184=""),"",IF(COUNTIFS(BD!$B$3:$B$5001,J$184,BD!$A$3:$A$5001,"&gt;="&amp;$C$7,BD!$A$3:$A$5001,"&lt;="&amp;$B199,BD!$L$3:$L$5001,"&lt;&gt;")=0,"",SUMIFS(BD!$L$3:$L$5001,BD!$B$3:$B$5001,J$184,BD!$A$3:$A$5001,_xlfn.MAXIFS(BD!$A$3:$A$5001,BD!$B$3:$B$5001,J$184,BD!$A$3:$A$5001,"&gt;="&amp;$C$7,BD!$A$3:$A$5001,"&lt;="&amp;$B199,BD!$L$3:$L$5001,"&lt;&gt;"))))</f>
        <v/>
      </c>
      <c r="K199" s="43" t="str">
        <f>IF(OR($B199="",$A199&gt;$B$9,K$184=""),"",IF(COUNTIFS(BD!$B$3:$B$5001,K$184,BD!$A$3:$A$5001,"&gt;="&amp;$C$7,BD!$A$3:$A$5001,"&lt;="&amp;$B199,BD!$L$3:$L$5001,"&lt;&gt;")=0,"",SUMIFS(BD!$L$3:$L$5001,BD!$B$3:$B$5001,K$184,BD!$A$3:$A$5001,_xlfn.MAXIFS(BD!$A$3:$A$5001,BD!$B$3:$B$5001,K$184,BD!$A$3:$A$5001,"&gt;="&amp;$C$7,BD!$A$3:$A$5001,"&lt;="&amp;$B199,BD!$L$3:$L$5001,"&lt;&gt;"))))</f>
        <v/>
      </c>
      <c r="L199" s="43" t="str">
        <f>IF(OR($B199="",$A199&gt;$B$9,L$184=""),"",IF(COUNTIFS(BD!$B$3:$B$5001,L$184,BD!$A$3:$A$5001,"&gt;="&amp;$C$7,BD!$A$3:$A$5001,"&lt;="&amp;$B199,BD!$L$3:$L$5001,"&lt;&gt;")=0,"",SUMIFS(BD!$L$3:$L$5001,BD!$B$3:$B$5001,L$184,BD!$A$3:$A$5001,_xlfn.MAXIFS(BD!$A$3:$A$5001,BD!$B$3:$B$5001,L$184,BD!$A$3:$A$5001,"&gt;="&amp;$C$7,BD!$A$3:$A$5001,"&lt;="&amp;$B199,BD!$L$3:$L$5001,"&lt;&gt;"))))</f>
        <v/>
      </c>
      <c r="M199" s="43" t="str">
        <f>IF(OR($B199="",$A199&gt;$B$9,M$184=""),"",IF(COUNTIFS(BD!$B$3:$B$5001,M$184,BD!$A$3:$A$5001,"&gt;="&amp;$C$7,BD!$A$3:$A$5001,"&lt;="&amp;$B199,BD!$L$3:$L$5001,"&lt;&gt;")=0,"",SUMIFS(BD!$L$3:$L$5001,BD!$B$3:$B$5001,M$184,BD!$A$3:$A$5001,_xlfn.MAXIFS(BD!$A$3:$A$5001,BD!$B$3:$B$5001,M$184,BD!$A$3:$A$5001,"&gt;="&amp;$C$7,BD!$A$3:$A$5001,"&lt;="&amp;$B199,BD!$L$3:$L$5001,"&lt;&gt;"))))</f>
        <v/>
      </c>
      <c r="N199" s="43" t="str">
        <f>IF(OR($B199="",$A199&gt;$B$9,N$184=""),"",IF(COUNTIFS(BD!$B$3:$B$5001,N$184,BD!$A$3:$A$5001,"&gt;="&amp;$C$7,BD!$A$3:$A$5001,"&lt;="&amp;$B199,BD!$L$3:$L$5001,"&lt;&gt;")=0,"",SUMIFS(BD!$L$3:$L$5001,BD!$B$3:$B$5001,N$184,BD!$A$3:$A$5001,_xlfn.MAXIFS(BD!$A$3:$A$5001,BD!$B$3:$B$5001,N$184,BD!$A$3:$A$5001,"&gt;="&amp;$C$7,BD!$A$3:$A$5001,"&lt;="&amp;$B199,BD!$L$3:$L$5001,"&lt;&gt;"))))</f>
        <v/>
      </c>
      <c r="O199" s="43" t="str">
        <f>IF(OR($B199="",$A199&gt;$B$9,O$184=""),"",IF(COUNTIFS(BD!$B$3:$B$5001,O$184,BD!$A$3:$A$5001,"&gt;="&amp;$C$7,BD!$A$3:$A$5001,"&lt;="&amp;$B199,BD!$L$3:$L$5001,"&lt;&gt;")=0,"",SUMIFS(BD!$L$3:$L$5001,BD!$B$3:$B$5001,O$184,BD!$A$3:$A$5001,_xlfn.MAXIFS(BD!$A$3:$A$5001,BD!$B$3:$B$5001,O$184,BD!$A$3:$A$5001,"&gt;="&amp;$C$7,BD!$A$3:$A$5001,"&lt;="&amp;$B199,BD!$L$3:$L$5001,"&lt;&gt;"))))</f>
        <v/>
      </c>
      <c r="P199" s="43" t="str">
        <f>IF(OR($B199="",$A199&gt;$B$9,P$184=""),"",IF(COUNTIFS(BD!$B$3:$B$5001,P$184,BD!$A$3:$A$5001,"&gt;="&amp;$C$7,BD!$A$3:$A$5001,"&lt;="&amp;$B199,BD!$L$3:$L$5001,"&lt;&gt;")=0,"",SUMIFS(BD!$L$3:$L$5001,BD!$B$3:$B$5001,P$184,BD!$A$3:$A$5001,_xlfn.MAXIFS(BD!$A$3:$A$5001,BD!$B$3:$B$5001,P$184,BD!$A$3:$A$5001,"&gt;="&amp;$C$7,BD!$A$3:$A$5001,"&lt;="&amp;$B199,BD!$L$3:$L$5001,"&lt;&gt;"))))</f>
        <v/>
      </c>
      <c r="Q199" s="43" t="str">
        <f>IF(OR($B199="",$A199&gt;$B$9,Q$184=""),"",IF(COUNTIFS(BD!$B$3:$B$5001,Q$184,BD!$A$3:$A$5001,"&gt;="&amp;$C$7,BD!$A$3:$A$5001,"&lt;="&amp;$B199,BD!$L$3:$L$5001,"&lt;&gt;")=0,"",SUMIFS(BD!$L$3:$L$5001,BD!$B$3:$B$5001,Q$184,BD!$A$3:$A$5001,_xlfn.MAXIFS(BD!$A$3:$A$5001,BD!$B$3:$B$5001,Q$184,BD!$A$3:$A$5001,"&gt;="&amp;$C$7,BD!$A$3:$A$5001,"&lt;="&amp;$B199,BD!$L$3:$L$5001,"&lt;&gt;"))))</f>
        <v/>
      </c>
      <c r="R199" s="43" t="str">
        <f>IF(OR($B199="",$A199&gt;$B$9,R$184=""),"",IF(COUNTIFS(BD!$B$3:$B$5001,R$184,BD!$A$3:$A$5001,"&gt;="&amp;$C$7,BD!$A$3:$A$5001,"&lt;="&amp;$B199,BD!$L$3:$L$5001,"&lt;&gt;")=0,"",SUMIFS(BD!$L$3:$L$5001,BD!$B$3:$B$5001,R$184,BD!$A$3:$A$5001,_xlfn.MAXIFS(BD!$A$3:$A$5001,BD!$B$3:$B$5001,R$184,BD!$A$3:$A$5001,"&gt;="&amp;$C$7,BD!$A$3:$A$5001,"&lt;="&amp;$B199,BD!$L$3:$L$5001,"&lt;&gt;"))))</f>
        <v/>
      </c>
      <c r="S199" s="43" t="str">
        <f>IF(OR($B199="",$A199&gt;$B$9,S$184=""),"",IF(COUNTIFS(BD!$B$3:$B$5001,S$184,BD!$A$3:$A$5001,"&gt;="&amp;$C$7,BD!$A$3:$A$5001,"&lt;="&amp;$B199,BD!$L$3:$L$5001,"&lt;&gt;")=0,"",SUMIFS(BD!$L$3:$L$5001,BD!$B$3:$B$5001,S$184,BD!$A$3:$A$5001,_xlfn.MAXIFS(BD!$A$3:$A$5001,BD!$B$3:$B$5001,S$184,BD!$A$3:$A$5001,"&gt;="&amp;$C$7,BD!$A$3:$A$5001,"&lt;="&amp;$B199,BD!$L$3:$L$5001,"&lt;&gt;"))))</f>
        <v/>
      </c>
      <c r="T199" s="43" t="str">
        <f>IF(OR($B199="",$A199&gt;$B$9,T$184=""),"",IF(COUNTIFS(BD!$B$3:$B$5001,T$184,BD!$A$3:$A$5001,"&gt;="&amp;$C$7,BD!$A$3:$A$5001,"&lt;="&amp;$B199,BD!$L$3:$L$5001,"&lt;&gt;")=0,"",SUMIFS(BD!$L$3:$L$5001,BD!$B$3:$B$5001,T$184,BD!$A$3:$A$5001,_xlfn.MAXIFS(BD!$A$3:$A$5001,BD!$B$3:$B$5001,T$184,BD!$A$3:$A$5001,"&gt;="&amp;$C$7,BD!$A$3:$A$5001,"&lt;="&amp;$B199,BD!$L$3:$L$5001,"&lt;&gt;"))))</f>
        <v/>
      </c>
      <c r="U199" s="43" t="str">
        <f>IF(OR($B199="",$A199&gt;$B$9,U$184=""),"",IF(COUNTIFS(BD!$B$3:$B$5001,U$184,BD!$A$3:$A$5001,"&gt;="&amp;$C$7,BD!$A$3:$A$5001,"&lt;="&amp;$B199,BD!$L$3:$L$5001,"&lt;&gt;")=0,"",SUMIFS(BD!$L$3:$L$5001,BD!$B$3:$B$5001,U$184,BD!$A$3:$A$5001,_xlfn.MAXIFS(BD!$A$3:$A$5001,BD!$B$3:$B$5001,U$184,BD!$A$3:$A$5001,"&gt;="&amp;$C$7,BD!$A$3:$A$5001,"&lt;="&amp;$B199,BD!$L$3:$L$5001,"&lt;&gt;"))))</f>
        <v/>
      </c>
      <c r="V199" s="43" t="str">
        <f>IF(OR($B199="",$A199&gt;$B$9,V$184=""),"",IF(COUNTIFS(BD!$B$3:$B$5001,V$184,BD!$A$3:$A$5001,"&gt;="&amp;$C$7,BD!$A$3:$A$5001,"&lt;="&amp;$B199,BD!$L$3:$L$5001,"&lt;&gt;")=0,"",SUMIFS(BD!$L$3:$L$5001,BD!$B$3:$B$5001,V$184,BD!$A$3:$A$5001,_xlfn.MAXIFS(BD!$A$3:$A$5001,BD!$B$3:$B$5001,V$184,BD!$A$3:$A$5001,"&gt;="&amp;$C$7,BD!$A$3:$A$5001,"&lt;="&amp;$B199,BD!$L$3:$L$5001,"&lt;&gt;"))))</f>
        <v/>
      </c>
    </row>
    <row r="200">
      <c r="A200" s="38">
        <v>16</v>
      </c>
      <c r="B200" s="42">
        <f>$B$27</f>
        <v>46311</v>
      </c>
      <c r="C200" s="43" t="str">
        <f>IF(OR($B200="",$A200&gt;$B$9,C$184=""),"",IF(COUNTIFS(BD!$B$3:$B$5001,C$184,BD!$A$3:$A$5001,"&gt;="&amp;$C$7,BD!$A$3:$A$5001,"&lt;="&amp;$B200,BD!$L$3:$L$5001,"&lt;&gt;")=0,"",SUMIFS(BD!$L$3:$L$5001,BD!$B$3:$B$5001,C$184,BD!$A$3:$A$5001,_xlfn.MAXIFS(BD!$A$3:$A$5001,BD!$B$3:$B$5001,C$184,BD!$A$3:$A$5001,"&gt;="&amp;$C$7,BD!$A$3:$A$5001,"&lt;="&amp;$B200,BD!$L$3:$L$5001,"&lt;&gt;"))))</f>
        <v/>
      </c>
      <c r="D200" s="43" t="str">
        <f>IF(OR($B200="",$A200&gt;$B$9,D$184=""),"",IF(COUNTIFS(BD!$B$3:$B$5001,D$184,BD!$A$3:$A$5001,"&gt;="&amp;$C$7,BD!$A$3:$A$5001,"&lt;="&amp;$B200,BD!$L$3:$L$5001,"&lt;&gt;")=0,"",SUMIFS(BD!$L$3:$L$5001,BD!$B$3:$B$5001,D$184,BD!$A$3:$A$5001,_xlfn.MAXIFS(BD!$A$3:$A$5001,BD!$B$3:$B$5001,D$184,BD!$A$3:$A$5001,"&gt;="&amp;$C$7,BD!$A$3:$A$5001,"&lt;="&amp;$B200,BD!$L$3:$L$5001,"&lt;&gt;"))))</f>
        <v/>
      </c>
      <c r="E200" s="43" t="str">
        <f>IF(OR($B200="",$A200&gt;$B$9,E$184=""),"",IF(COUNTIFS(BD!$B$3:$B$5001,E$184,BD!$A$3:$A$5001,"&gt;="&amp;$C$7,BD!$A$3:$A$5001,"&lt;="&amp;$B200,BD!$L$3:$L$5001,"&lt;&gt;")=0,"",SUMIFS(BD!$L$3:$L$5001,BD!$B$3:$B$5001,E$184,BD!$A$3:$A$5001,_xlfn.MAXIFS(BD!$A$3:$A$5001,BD!$B$3:$B$5001,E$184,BD!$A$3:$A$5001,"&gt;="&amp;$C$7,BD!$A$3:$A$5001,"&lt;="&amp;$B200,BD!$L$3:$L$5001,"&lt;&gt;"))))</f>
        <v/>
      </c>
      <c r="F200" s="43" t="str">
        <f>IF(OR($B200="",$A200&gt;$B$9,F$184=""),"",IF(COUNTIFS(BD!$B$3:$B$5001,F$184,BD!$A$3:$A$5001,"&gt;="&amp;$C$7,BD!$A$3:$A$5001,"&lt;="&amp;$B200,BD!$L$3:$L$5001,"&lt;&gt;")=0,"",SUMIFS(BD!$L$3:$L$5001,BD!$B$3:$B$5001,F$184,BD!$A$3:$A$5001,_xlfn.MAXIFS(BD!$A$3:$A$5001,BD!$B$3:$B$5001,F$184,BD!$A$3:$A$5001,"&gt;="&amp;$C$7,BD!$A$3:$A$5001,"&lt;="&amp;$B200,BD!$L$3:$L$5001,"&lt;&gt;"))))</f>
        <v/>
      </c>
      <c r="G200" s="43" t="str">
        <f>IF(OR($B200="",$A200&gt;$B$9,G$184=""),"",IF(COUNTIFS(BD!$B$3:$B$5001,G$184,BD!$A$3:$A$5001,"&gt;="&amp;$C$7,BD!$A$3:$A$5001,"&lt;="&amp;$B200,BD!$L$3:$L$5001,"&lt;&gt;")=0,"",SUMIFS(BD!$L$3:$L$5001,BD!$B$3:$B$5001,G$184,BD!$A$3:$A$5001,_xlfn.MAXIFS(BD!$A$3:$A$5001,BD!$B$3:$B$5001,G$184,BD!$A$3:$A$5001,"&gt;="&amp;$C$7,BD!$A$3:$A$5001,"&lt;="&amp;$B200,BD!$L$3:$L$5001,"&lt;&gt;"))))</f>
        <v/>
      </c>
      <c r="H200" s="43" t="str">
        <f>IF(OR($B200="",$A200&gt;$B$9,H$184=""),"",IF(COUNTIFS(BD!$B$3:$B$5001,H$184,BD!$A$3:$A$5001,"&gt;="&amp;$C$7,BD!$A$3:$A$5001,"&lt;="&amp;$B200,BD!$L$3:$L$5001,"&lt;&gt;")=0,"",SUMIFS(BD!$L$3:$L$5001,BD!$B$3:$B$5001,H$184,BD!$A$3:$A$5001,_xlfn.MAXIFS(BD!$A$3:$A$5001,BD!$B$3:$B$5001,H$184,BD!$A$3:$A$5001,"&gt;="&amp;$C$7,BD!$A$3:$A$5001,"&lt;="&amp;$B200,BD!$L$3:$L$5001,"&lt;&gt;"))))</f>
        <v/>
      </c>
      <c r="I200" s="43" t="str">
        <f>IF(OR($B200="",$A200&gt;$B$9,I$184=""),"",IF(COUNTIFS(BD!$B$3:$B$5001,I$184,BD!$A$3:$A$5001,"&gt;="&amp;$C$7,BD!$A$3:$A$5001,"&lt;="&amp;$B200,BD!$L$3:$L$5001,"&lt;&gt;")=0,"",SUMIFS(BD!$L$3:$L$5001,BD!$B$3:$B$5001,I$184,BD!$A$3:$A$5001,_xlfn.MAXIFS(BD!$A$3:$A$5001,BD!$B$3:$B$5001,I$184,BD!$A$3:$A$5001,"&gt;="&amp;$C$7,BD!$A$3:$A$5001,"&lt;="&amp;$B200,BD!$L$3:$L$5001,"&lt;&gt;"))))</f>
        <v/>
      </c>
      <c r="J200" s="43" t="str">
        <f>IF(OR($B200="",$A200&gt;$B$9,J$184=""),"",IF(COUNTIFS(BD!$B$3:$B$5001,J$184,BD!$A$3:$A$5001,"&gt;="&amp;$C$7,BD!$A$3:$A$5001,"&lt;="&amp;$B200,BD!$L$3:$L$5001,"&lt;&gt;")=0,"",SUMIFS(BD!$L$3:$L$5001,BD!$B$3:$B$5001,J$184,BD!$A$3:$A$5001,_xlfn.MAXIFS(BD!$A$3:$A$5001,BD!$B$3:$B$5001,J$184,BD!$A$3:$A$5001,"&gt;="&amp;$C$7,BD!$A$3:$A$5001,"&lt;="&amp;$B200,BD!$L$3:$L$5001,"&lt;&gt;"))))</f>
        <v/>
      </c>
      <c r="K200" s="43" t="str">
        <f>IF(OR($B200="",$A200&gt;$B$9,K$184=""),"",IF(COUNTIFS(BD!$B$3:$B$5001,K$184,BD!$A$3:$A$5001,"&gt;="&amp;$C$7,BD!$A$3:$A$5001,"&lt;="&amp;$B200,BD!$L$3:$L$5001,"&lt;&gt;")=0,"",SUMIFS(BD!$L$3:$L$5001,BD!$B$3:$B$5001,K$184,BD!$A$3:$A$5001,_xlfn.MAXIFS(BD!$A$3:$A$5001,BD!$B$3:$B$5001,K$184,BD!$A$3:$A$5001,"&gt;="&amp;$C$7,BD!$A$3:$A$5001,"&lt;="&amp;$B200,BD!$L$3:$L$5001,"&lt;&gt;"))))</f>
        <v/>
      </c>
      <c r="L200" s="43" t="str">
        <f>IF(OR($B200="",$A200&gt;$B$9,L$184=""),"",IF(COUNTIFS(BD!$B$3:$B$5001,L$184,BD!$A$3:$A$5001,"&gt;="&amp;$C$7,BD!$A$3:$A$5001,"&lt;="&amp;$B200,BD!$L$3:$L$5001,"&lt;&gt;")=0,"",SUMIFS(BD!$L$3:$L$5001,BD!$B$3:$B$5001,L$184,BD!$A$3:$A$5001,_xlfn.MAXIFS(BD!$A$3:$A$5001,BD!$B$3:$B$5001,L$184,BD!$A$3:$A$5001,"&gt;="&amp;$C$7,BD!$A$3:$A$5001,"&lt;="&amp;$B200,BD!$L$3:$L$5001,"&lt;&gt;"))))</f>
        <v/>
      </c>
      <c r="M200" s="43" t="str">
        <f>IF(OR($B200="",$A200&gt;$B$9,M$184=""),"",IF(COUNTIFS(BD!$B$3:$B$5001,M$184,BD!$A$3:$A$5001,"&gt;="&amp;$C$7,BD!$A$3:$A$5001,"&lt;="&amp;$B200,BD!$L$3:$L$5001,"&lt;&gt;")=0,"",SUMIFS(BD!$L$3:$L$5001,BD!$B$3:$B$5001,M$184,BD!$A$3:$A$5001,_xlfn.MAXIFS(BD!$A$3:$A$5001,BD!$B$3:$B$5001,M$184,BD!$A$3:$A$5001,"&gt;="&amp;$C$7,BD!$A$3:$A$5001,"&lt;="&amp;$B200,BD!$L$3:$L$5001,"&lt;&gt;"))))</f>
        <v/>
      </c>
      <c r="N200" s="43" t="str">
        <f>IF(OR($B200="",$A200&gt;$B$9,N$184=""),"",IF(COUNTIFS(BD!$B$3:$B$5001,N$184,BD!$A$3:$A$5001,"&gt;="&amp;$C$7,BD!$A$3:$A$5001,"&lt;="&amp;$B200,BD!$L$3:$L$5001,"&lt;&gt;")=0,"",SUMIFS(BD!$L$3:$L$5001,BD!$B$3:$B$5001,N$184,BD!$A$3:$A$5001,_xlfn.MAXIFS(BD!$A$3:$A$5001,BD!$B$3:$B$5001,N$184,BD!$A$3:$A$5001,"&gt;="&amp;$C$7,BD!$A$3:$A$5001,"&lt;="&amp;$B200,BD!$L$3:$L$5001,"&lt;&gt;"))))</f>
        <v/>
      </c>
      <c r="O200" s="43" t="str">
        <f>IF(OR($B200="",$A200&gt;$B$9,O$184=""),"",IF(COUNTIFS(BD!$B$3:$B$5001,O$184,BD!$A$3:$A$5001,"&gt;="&amp;$C$7,BD!$A$3:$A$5001,"&lt;="&amp;$B200,BD!$L$3:$L$5001,"&lt;&gt;")=0,"",SUMIFS(BD!$L$3:$L$5001,BD!$B$3:$B$5001,O$184,BD!$A$3:$A$5001,_xlfn.MAXIFS(BD!$A$3:$A$5001,BD!$B$3:$B$5001,O$184,BD!$A$3:$A$5001,"&gt;="&amp;$C$7,BD!$A$3:$A$5001,"&lt;="&amp;$B200,BD!$L$3:$L$5001,"&lt;&gt;"))))</f>
        <v/>
      </c>
      <c r="P200" s="43" t="str">
        <f>IF(OR($B200="",$A200&gt;$B$9,P$184=""),"",IF(COUNTIFS(BD!$B$3:$B$5001,P$184,BD!$A$3:$A$5001,"&gt;="&amp;$C$7,BD!$A$3:$A$5001,"&lt;="&amp;$B200,BD!$L$3:$L$5001,"&lt;&gt;")=0,"",SUMIFS(BD!$L$3:$L$5001,BD!$B$3:$B$5001,P$184,BD!$A$3:$A$5001,_xlfn.MAXIFS(BD!$A$3:$A$5001,BD!$B$3:$B$5001,P$184,BD!$A$3:$A$5001,"&gt;="&amp;$C$7,BD!$A$3:$A$5001,"&lt;="&amp;$B200,BD!$L$3:$L$5001,"&lt;&gt;"))))</f>
        <v/>
      </c>
      <c r="Q200" s="43" t="str">
        <f>IF(OR($B200="",$A200&gt;$B$9,Q$184=""),"",IF(COUNTIFS(BD!$B$3:$B$5001,Q$184,BD!$A$3:$A$5001,"&gt;="&amp;$C$7,BD!$A$3:$A$5001,"&lt;="&amp;$B200,BD!$L$3:$L$5001,"&lt;&gt;")=0,"",SUMIFS(BD!$L$3:$L$5001,BD!$B$3:$B$5001,Q$184,BD!$A$3:$A$5001,_xlfn.MAXIFS(BD!$A$3:$A$5001,BD!$B$3:$B$5001,Q$184,BD!$A$3:$A$5001,"&gt;="&amp;$C$7,BD!$A$3:$A$5001,"&lt;="&amp;$B200,BD!$L$3:$L$5001,"&lt;&gt;"))))</f>
        <v/>
      </c>
      <c r="R200" s="43" t="str">
        <f>IF(OR($B200="",$A200&gt;$B$9,R$184=""),"",IF(COUNTIFS(BD!$B$3:$B$5001,R$184,BD!$A$3:$A$5001,"&gt;="&amp;$C$7,BD!$A$3:$A$5001,"&lt;="&amp;$B200,BD!$L$3:$L$5001,"&lt;&gt;")=0,"",SUMIFS(BD!$L$3:$L$5001,BD!$B$3:$B$5001,R$184,BD!$A$3:$A$5001,_xlfn.MAXIFS(BD!$A$3:$A$5001,BD!$B$3:$B$5001,R$184,BD!$A$3:$A$5001,"&gt;="&amp;$C$7,BD!$A$3:$A$5001,"&lt;="&amp;$B200,BD!$L$3:$L$5001,"&lt;&gt;"))))</f>
        <v/>
      </c>
      <c r="S200" s="43" t="str">
        <f>IF(OR($B200="",$A200&gt;$B$9,S$184=""),"",IF(COUNTIFS(BD!$B$3:$B$5001,S$184,BD!$A$3:$A$5001,"&gt;="&amp;$C$7,BD!$A$3:$A$5001,"&lt;="&amp;$B200,BD!$L$3:$L$5001,"&lt;&gt;")=0,"",SUMIFS(BD!$L$3:$L$5001,BD!$B$3:$B$5001,S$184,BD!$A$3:$A$5001,_xlfn.MAXIFS(BD!$A$3:$A$5001,BD!$B$3:$B$5001,S$184,BD!$A$3:$A$5001,"&gt;="&amp;$C$7,BD!$A$3:$A$5001,"&lt;="&amp;$B200,BD!$L$3:$L$5001,"&lt;&gt;"))))</f>
        <v/>
      </c>
      <c r="T200" s="43" t="str">
        <f>IF(OR($B200="",$A200&gt;$B$9,T$184=""),"",IF(COUNTIFS(BD!$B$3:$B$5001,T$184,BD!$A$3:$A$5001,"&gt;="&amp;$C$7,BD!$A$3:$A$5001,"&lt;="&amp;$B200,BD!$L$3:$L$5001,"&lt;&gt;")=0,"",SUMIFS(BD!$L$3:$L$5001,BD!$B$3:$B$5001,T$184,BD!$A$3:$A$5001,_xlfn.MAXIFS(BD!$A$3:$A$5001,BD!$B$3:$B$5001,T$184,BD!$A$3:$A$5001,"&gt;="&amp;$C$7,BD!$A$3:$A$5001,"&lt;="&amp;$B200,BD!$L$3:$L$5001,"&lt;&gt;"))))</f>
        <v/>
      </c>
      <c r="U200" s="43" t="str">
        <f>IF(OR($B200="",$A200&gt;$B$9,U$184=""),"",IF(COUNTIFS(BD!$B$3:$B$5001,U$184,BD!$A$3:$A$5001,"&gt;="&amp;$C$7,BD!$A$3:$A$5001,"&lt;="&amp;$B200,BD!$L$3:$L$5001,"&lt;&gt;")=0,"",SUMIFS(BD!$L$3:$L$5001,BD!$B$3:$B$5001,U$184,BD!$A$3:$A$5001,_xlfn.MAXIFS(BD!$A$3:$A$5001,BD!$B$3:$B$5001,U$184,BD!$A$3:$A$5001,"&gt;="&amp;$C$7,BD!$A$3:$A$5001,"&lt;="&amp;$B200,BD!$L$3:$L$5001,"&lt;&gt;"))))</f>
        <v/>
      </c>
      <c r="V200" s="43" t="str">
        <f>IF(OR($B200="",$A200&gt;$B$9,V$184=""),"",IF(COUNTIFS(BD!$B$3:$B$5001,V$184,BD!$A$3:$A$5001,"&gt;="&amp;$C$7,BD!$A$3:$A$5001,"&lt;="&amp;$B200,BD!$L$3:$L$5001,"&lt;&gt;")=0,"",SUMIFS(BD!$L$3:$L$5001,BD!$B$3:$B$5001,V$184,BD!$A$3:$A$5001,_xlfn.MAXIFS(BD!$A$3:$A$5001,BD!$B$3:$B$5001,V$184,BD!$A$3:$A$5001,"&gt;="&amp;$C$7,BD!$A$3:$A$5001,"&lt;="&amp;$B200,BD!$L$3:$L$5001,"&lt;&gt;"))))</f>
        <v/>
      </c>
    </row>
    <row r="201">
      <c r="A201" s="38">
        <v>17</v>
      </c>
      <c r="B201" s="42">
        <f>$B$28</f>
        <v>46312</v>
      </c>
      <c r="C201" s="43" t="str">
        <f>IF(OR($B201="",$A201&gt;$B$9,C$184=""),"",IF(COUNTIFS(BD!$B$3:$B$5001,C$184,BD!$A$3:$A$5001,"&gt;="&amp;$C$7,BD!$A$3:$A$5001,"&lt;="&amp;$B201,BD!$L$3:$L$5001,"&lt;&gt;")=0,"",SUMIFS(BD!$L$3:$L$5001,BD!$B$3:$B$5001,C$184,BD!$A$3:$A$5001,_xlfn.MAXIFS(BD!$A$3:$A$5001,BD!$B$3:$B$5001,C$184,BD!$A$3:$A$5001,"&gt;="&amp;$C$7,BD!$A$3:$A$5001,"&lt;="&amp;$B201,BD!$L$3:$L$5001,"&lt;&gt;"))))</f>
        <v/>
      </c>
      <c r="D201" s="43" t="str">
        <f>IF(OR($B201="",$A201&gt;$B$9,D$184=""),"",IF(COUNTIFS(BD!$B$3:$B$5001,D$184,BD!$A$3:$A$5001,"&gt;="&amp;$C$7,BD!$A$3:$A$5001,"&lt;="&amp;$B201,BD!$L$3:$L$5001,"&lt;&gt;")=0,"",SUMIFS(BD!$L$3:$L$5001,BD!$B$3:$B$5001,D$184,BD!$A$3:$A$5001,_xlfn.MAXIFS(BD!$A$3:$A$5001,BD!$B$3:$B$5001,D$184,BD!$A$3:$A$5001,"&gt;="&amp;$C$7,BD!$A$3:$A$5001,"&lt;="&amp;$B201,BD!$L$3:$L$5001,"&lt;&gt;"))))</f>
        <v/>
      </c>
      <c r="E201" s="43" t="str">
        <f>IF(OR($B201="",$A201&gt;$B$9,E$184=""),"",IF(COUNTIFS(BD!$B$3:$B$5001,E$184,BD!$A$3:$A$5001,"&gt;="&amp;$C$7,BD!$A$3:$A$5001,"&lt;="&amp;$B201,BD!$L$3:$L$5001,"&lt;&gt;")=0,"",SUMIFS(BD!$L$3:$L$5001,BD!$B$3:$B$5001,E$184,BD!$A$3:$A$5001,_xlfn.MAXIFS(BD!$A$3:$A$5001,BD!$B$3:$B$5001,E$184,BD!$A$3:$A$5001,"&gt;="&amp;$C$7,BD!$A$3:$A$5001,"&lt;="&amp;$B201,BD!$L$3:$L$5001,"&lt;&gt;"))))</f>
        <v/>
      </c>
      <c r="F201" s="43" t="str">
        <f>IF(OR($B201="",$A201&gt;$B$9,F$184=""),"",IF(COUNTIFS(BD!$B$3:$B$5001,F$184,BD!$A$3:$A$5001,"&gt;="&amp;$C$7,BD!$A$3:$A$5001,"&lt;="&amp;$B201,BD!$L$3:$L$5001,"&lt;&gt;")=0,"",SUMIFS(BD!$L$3:$L$5001,BD!$B$3:$B$5001,F$184,BD!$A$3:$A$5001,_xlfn.MAXIFS(BD!$A$3:$A$5001,BD!$B$3:$B$5001,F$184,BD!$A$3:$A$5001,"&gt;="&amp;$C$7,BD!$A$3:$A$5001,"&lt;="&amp;$B201,BD!$L$3:$L$5001,"&lt;&gt;"))))</f>
        <v/>
      </c>
      <c r="G201" s="43" t="str">
        <f>IF(OR($B201="",$A201&gt;$B$9,G$184=""),"",IF(COUNTIFS(BD!$B$3:$B$5001,G$184,BD!$A$3:$A$5001,"&gt;="&amp;$C$7,BD!$A$3:$A$5001,"&lt;="&amp;$B201,BD!$L$3:$L$5001,"&lt;&gt;")=0,"",SUMIFS(BD!$L$3:$L$5001,BD!$B$3:$B$5001,G$184,BD!$A$3:$A$5001,_xlfn.MAXIFS(BD!$A$3:$A$5001,BD!$B$3:$B$5001,G$184,BD!$A$3:$A$5001,"&gt;="&amp;$C$7,BD!$A$3:$A$5001,"&lt;="&amp;$B201,BD!$L$3:$L$5001,"&lt;&gt;"))))</f>
        <v/>
      </c>
      <c r="H201" s="43" t="str">
        <f>IF(OR($B201="",$A201&gt;$B$9,H$184=""),"",IF(COUNTIFS(BD!$B$3:$B$5001,H$184,BD!$A$3:$A$5001,"&gt;="&amp;$C$7,BD!$A$3:$A$5001,"&lt;="&amp;$B201,BD!$L$3:$L$5001,"&lt;&gt;")=0,"",SUMIFS(BD!$L$3:$L$5001,BD!$B$3:$B$5001,H$184,BD!$A$3:$A$5001,_xlfn.MAXIFS(BD!$A$3:$A$5001,BD!$B$3:$B$5001,H$184,BD!$A$3:$A$5001,"&gt;="&amp;$C$7,BD!$A$3:$A$5001,"&lt;="&amp;$B201,BD!$L$3:$L$5001,"&lt;&gt;"))))</f>
        <v/>
      </c>
      <c r="I201" s="43" t="str">
        <f>IF(OR($B201="",$A201&gt;$B$9,I$184=""),"",IF(COUNTIFS(BD!$B$3:$B$5001,I$184,BD!$A$3:$A$5001,"&gt;="&amp;$C$7,BD!$A$3:$A$5001,"&lt;="&amp;$B201,BD!$L$3:$L$5001,"&lt;&gt;")=0,"",SUMIFS(BD!$L$3:$L$5001,BD!$B$3:$B$5001,I$184,BD!$A$3:$A$5001,_xlfn.MAXIFS(BD!$A$3:$A$5001,BD!$B$3:$B$5001,I$184,BD!$A$3:$A$5001,"&gt;="&amp;$C$7,BD!$A$3:$A$5001,"&lt;="&amp;$B201,BD!$L$3:$L$5001,"&lt;&gt;"))))</f>
        <v/>
      </c>
      <c r="J201" s="43" t="str">
        <f>IF(OR($B201="",$A201&gt;$B$9,J$184=""),"",IF(COUNTIFS(BD!$B$3:$B$5001,J$184,BD!$A$3:$A$5001,"&gt;="&amp;$C$7,BD!$A$3:$A$5001,"&lt;="&amp;$B201,BD!$L$3:$L$5001,"&lt;&gt;")=0,"",SUMIFS(BD!$L$3:$L$5001,BD!$B$3:$B$5001,J$184,BD!$A$3:$A$5001,_xlfn.MAXIFS(BD!$A$3:$A$5001,BD!$B$3:$B$5001,J$184,BD!$A$3:$A$5001,"&gt;="&amp;$C$7,BD!$A$3:$A$5001,"&lt;="&amp;$B201,BD!$L$3:$L$5001,"&lt;&gt;"))))</f>
        <v/>
      </c>
      <c r="K201" s="43" t="str">
        <f>IF(OR($B201="",$A201&gt;$B$9,K$184=""),"",IF(COUNTIFS(BD!$B$3:$B$5001,K$184,BD!$A$3:$A$5001,"&gt;="&amp;$C$7,BD!$A$3:$A$5001,"&lt;="&amp;$B201,BD!$L$3:$L$5001,"&lt;&gt;")=0,"",SUMIFS(BD!$L$3:$L$5001,BD!$B$3:$B$5001,K$184,BD!$A$3:$A$5001,_xlfn.MAXIFS(BD!$A$3:$A$5001,BD!$B$3:$B$5001,K$184,BD!$A$3:$A$5001,"&gt;="&amp;$C$7,BD!$A$3:$A$5001,"&lt;="&amp;$B201,BD!$L$3:$L$5001,"&lt;&gt;"))))</f>
        <v/>
      </c>
      <c r="L201" s="43" t="str">
        <f>IF(OR($B201="",$A201&gt;$B$9,L$184=""),"",IF(COUNTIFS(BD!$B$3:$B$5001,L$184,BD!$A$3:$A$5001,"&gt;="&amp;$C$7,BD!$A$3:$A$5001,"&lt;="&amp;$B201,BD!$L$3:$L$5001,"&lt;&gt;")=0,"",SUMIFS(BD!$L$3:$L$5001,BD!$B$3:$B$5001,L$184,BD!$A$3:$A$5001,_xlfn.MAXIFS(BD!$A$3:$A$5001,BD!$B$3:$B$5001,L$184,BD!$A$3:$A$5001,"&gt;="&amp;$C$7,BD!$A$3:$A$5001,"&lt;="&amp;$B201,BD!$L$3:$L$5001,"&lt;&gt;"))))</f>
        <v/>
      </c>
      <c r="M201" s="43" t="str">
        <f>IF(OR($B201="",$A201&gt;$B$9,M$184=""),"",IF(COUNTIFS(BD!$B$3:$B$5001,M$184,BD!$A$3:$A$5001,"&gt;="&amp;$C$7,BD!$A$3:$A$5001,"&lt;="&amp;$B201,BD!$L$3:$L$5001,"&lt;&gt;")=0,"",SUMIFS(BD!$L$3:$L$5001,BD!$B$3:$B$5001,M$184,BD!$A$3:$A$5001,_xlfn.MAXIFS(BD!$A$3:$A$5001,BD!$B$3:$B$5001,M$184,BD!$A$3:$A$5001,"&gt;="&amp;$C$7,BD!$A$3:$A$5001,"&lt;="&amp;$B201,BD!$L$3:$L$5001,"&lt;&gt;"))))</f>
        <v/>
      </c>
      <c r="N201" s="43" t="str">
        <f>IF(OR($B201="",$A201&gt;$B$9,N$184=""),"",IF(COUNTIFS(BD!$B$3:$B$5001,N$184,BD!$A$3:$A$5001,"&gt;="&amp;$C$7,BD!$A$3:$A$5001,"&lt;="&amp;$B201,BD!$L$3:$L$5001,"&lt;&gt;")=0,"",SUMIFS(BD!$L$3:$L$5001,BD!$B$3:$B$5001,N$184,BD!$A$3:$A$5001,_xlfn.MAXIFS(BD!$A$3:$A$5001,BD!$B$3:$B$5001,N$184,BD!$A$3:$A$5001,"&gt;="&amp;$C$7,BD!$A$3:$A$5001,"&lt;="&amp;$B201,BD!$L$3:$L$5001,"&lt;&gt;"))))</f>
        <v/>
      </c>
      <c r="O201" s="43" t="str">
        <f>IF(OR($B201="",$A201&gt;$B$9,O$184=""),"",IF(COUNTIFS(BD!$B$3:$B$5001,O$184,BD!$A$3:$A$5001,"&gt;="&amp;$C$7,BD!$A$3:$A$5001,"&lt;="&amp;$B201,BD!$L$3:$L$5001,"&lt;&gt;")=0,"",SUMIFS(BD!$L$3:$L$5001,BD!$B$3:$B$5001,O$184,BD!$A$3:$A$5001,_xlfn.MAXIFS(BD!$A$3:$A$5001,BD!$B$3:$B$5001,O$184,BD!$A$3:$A$5001,"&gt;="&amp;$C$7,BD!$A$3:$A$5001,"&lt;="&amp;$B201,BD!$L$3:$L$5001,"&lt;&gt;"))))</f>
        <v/>
      </c>
      <c r="P201" s="43" t="str">
        <f>IF(OR($B201="",$A201&gt;$B$9,P$184=""),"",IF(COUNTIFS(BD!$B$3:$B$5001,P$184,BD!$A$3:$A$5001,"&gt;="&amp;$C$7,BD!$A$3:$A$5001,"&lt;="&amp;$B201,BD!$L$3:$L$5001,"&lt;&gt;")=0,"",SUMIFS(BD!$L$3:$L$5001,BD!$B$3:$B$5001,P$184,BD!$A$3:$A$5001,_xlfn.MAXIFS(BD!$A$3:$A$5001,BD!$B$3:$B$5001,P$184,BD!$A$3:$A$5001,"&gt;="&amp;$C$7,BD!$A$3:$A$5001,"&lt;="&amp;$B201,BD!$L$3:$L$5001,"&lt;&gt;"))))</f>
        <v/>
      </c>
      <c r="Q201" s="43" t="str">
        <f>IF(OR($B201="",$A201&gt;$B$9,Q$184=""),"",IF(COUNTIFS(BD!$B$3:$B$5001,Q$184,BD!$A$3:$A$5001,"&gt;="&amp;$C$7,BD!$A$3:$A$5001,"&lt;="&amp;$B201,BD!$L$3:$L$5001,"&lt;&gt;")=0,"",SUMIFS(BD!$L$3:$L$5001,BD!$B$3:$B$5001,Q$184,BD!$A$3:$A$5001,_xlfn.MAXIFS(BD!$A$3:$A$5001,BD!$B$3:$B$5001,Q$184,BD!$A$3:$A$5001,"&gt;="&amp;$C$7,BD!$A$3:$A$5001,"&lt;="&amp;$B201,BD!$L$3:$L$5001,"&lt;&gt;"))))</f>
        <v/>
      </c>
      <c r="R201" s="43" t="str">
        <f>IF(OR($B201="",$A201&gt;$B$9,R$184=""),"",IF(COUNTIFS(BD!$B$3:$B$5001,R$184,BD!$A$3:$A$5001,"&gt;="&amp;$C$7,BD!$A$3:$A$5001,"&lt;="&amp;$B201,BD!$L$3:$L$5001,"&lt;&gt;")=0,"",SUMIFS(BD!$L$3:$L$5001,BD!$B$3:$B$5001,R$184,BD!$A$3:$A$5001,_xlfn.MAXIFS(BD!$A$3:$A$5001,BD!$B$3:$B$5001,R$184,BD!$A$3:$A$5001,"&gt;="&amp;$C$7,BD!$A$3:$A$5001,"&lt;="&amp;$B201,BD!$L$3:$L$5001,"&lt;&gt;"))))</f>
        <v/>
      </c>
      <c r="S201" s="43" t="str">
        <f>IF(OR($B201="",$A201&gt;$B$9,S$184=""),"",IF(COUNTIFS(BD!$B$3:$B$5001,S$184,BD!$A$3:$A$5001,"&gt;="&amp;$C$7,BD!$A$3:$A$5001,"&lt;="&amp;$B201,BD!$L$3:$L$5001,"&lt;&gt;")=0,"",SUMIFS(BD!$L$3:$L$5001,BD!$B$3:$B$5001,S$184,BD!$A$3:$A$5001,_xlfn.MAXIFS(BD!$A$3:$A$5001,BD!$B$3:$B$5001,S$184,BD!$A$3:$A$5001,"&gt;="&amp;$C$7,BD!$A$3:$A$5001,"&lt;="&amp;$B201,BD!$L$3:$L$5001,"&lt;&gt;"))))</f>
        <v/>
      </c>
      <c r="T201" s="43" t="str">
        <f>IF(OR($B201="",$A201&gt;$B$9,T$184=""),"",IF(COUNTIFS(BD!$B$3:$B$5001,T$184,BD!$A$3:$A$5001,"&gt;="&amp;$C$7,BD!$A$3:$A$5001,"&lt;="&amp;$B201,BD!$L$3:$L$5001,"&lt;&gt;")=0,"",SUMIFS(BD!$L$3:$L$5001,BD!$B$3:$B$5001,T$184,BD!$A$3:$A$5001,_xlfn.MAXIFS(BD!$A$3:$A$5001,BD!$B$3:$B$5001,T$184,BD!$A$3:$A$5001,"&gt;="&amp;$C$7,BD!$A$3:$A$5001,"&lt;="&amp;$B201,BD!$L$3:$L$5001,"&lt;&gt;"))))</f>
        <v/>
      </c>
      <c r="U201" s="43" t="str">
        <f>IF(OR($B201="",$A201&gt;$B$9,U$184=""),"",IF(COUNTIFS(BD!$B$3:$B$5001,U$184,BD!$A$3:$A$5001,"&gt;="&amp;$C$7,BD!$A$3:$A$5001,"&lt;="&amp;$B201,BD!$L$3:$L$5001,"&lt;&gt;")=0,"",SUMIFS(BD!$L$3:$L$5001,BD!$B$3:$B$5001,U$184,BD!$A$3:$A$5001,_xlfn.MAXIFS(BD!$A$3:$A$5001,BD!$B$3:$B$5001,U$184,BD!$A$3:$A$5001,"&gt;="&amp;$C$7,BD!$A$3:$A$5001,"&lt;="&amp;$B201,BD!$L$3:$L$5001,"&lt;&gt;"))))</f>
        <v/>
      </c>
      <c r="V201" s="43" t="str">
        <f>IF(OR($B201="",$A201&gt;$B$9,V$184=""),"",IF(COUNTIFS(BD!$B$3:$B$5001,V$184,BD!$A$3:$A$5001,"&gt;="&amp;$C$7,BD!$A$3:$A$5001,"&lt;="&amp;$B201,BD!$L$3:$L$5001,"&lt;&gt;")=0,"",SUMIFS(BD!$L$3:$L$5001,BD!$B$3:$B$5001,V$184,BD!$A$3:$A$5001,_xlfn.MAXIFS(BD!$A$3:$A$5001,BD!$B$3:$B$5001,V$184,BD!$A$3:$A$5001,"&gt;="&amp;$C$7,BD!$A$3:$A$5001,"&lt;="&amp;$B201,BD!$L$3:$L$5001,"&lt;&gt;"))))</f>
        <v/>
      </c>
    </row>
    <row r="202">
      <c r="A202" s="38">
        <v>18</v>
      </c>
      <c r="B202" s="42">
        <f>$B$29</f>
        <v>46313</v>
      </c>
      <c r="C202" s="43" t="str">
        <f>IF(OR($B202="",$A202&gt;$B$9,C$184=""),"",IF(COUNTIFS(BD!$B$3:$B$5001,C$184,BD!$A$3:$A$5001,"&gt;="&amp;$C$7,BD!$A$3:$A$5001,"&lt;="&amp;$B202,BD!$L$3:$L$5001,"&lt;&gt;")=0,"",SUMIFS(BD!$L$3:$L$5001,BD!$B$3:$B$5001,C$184,BD!$A$3:$A$5001,_xlfn.MAXIFS(BD!$A$3:$A$5001,BD!$B$3:$B$5001,C$184,BD!$A$3:$A$5001,"&gt;="&amp;$C$7,BD!$A$3:$A$5001,"&lt;="&amp;$B202,BD!$L$3:$L$5001,"&lt;&gt;"))))</f>
        <v/>
      </c>
      <c r="D202" s="43" t="str">
        <f>IF(OR($B202="",$A202&gt;$B$9,D$184=""),"",IF(COUNTIFS(BD!$B$3:$B$5001,D$184,BD!$A$3:$A$5001,"&gt;="&amp;$C$7,BD!$A$3:$A$5001,"&lt;="&amp;$B202,BD!$L$3:$L$5001,"&lt;&gt;")=0,"",SUMIFS(BD!$L$3:$L$5001,BD!$B$3:$B$5001,D$184,BD!$A$3:$A$5001,_xlfn.MAXIFS(BD!$A$3:$A$5001,BD!$B$3:$B$5001,D$184,BD!$A$3:$A$5001,"&gt;="&amp;$C$7,BD!$A$3:$A$5001,"&lt;="&amp;$B202,BD!$L$3:$L$5001,"&lt;&gt;"))))</f>
        <v/>
      </c>
      <c r="E202" s="43" t="str">
        <f>IF(OR($B202="",$A202&gt;$B$9,E$184=""),"",IF(COUNTIFS(BD!$B$3:$B$5001,E$184,BD!$A$3:$A$5001,"&gt;="&amp;$C$7,BD!$A$3:$A$5001,"&lt;="&amp;$B202,BD!$L$3:$L$5001,"&lt;&gt;")=0,"",SUMIFS(BD!$L$3:$L$5001,BD!$B$3:$B$5001,E$184,BD!$A$3:$A$5001,_xlfn.MAXIFS(BD!$A$3:$A$5001,BD!$B$3:$B$5001,E$184,BD!$A$3:$A$5001,"&gt;="&amp;$C$7,BD!$A$3:$A$5001,"&lt;="&amp;$B202,BD!$L$3:$L$5001,"&lt;&gt;"))))</f>
        <v/>
      </c>
      <c r="F202" s="43" t="str">
        <f>IF(OR($B202="",$A202&gt;$B$9,F$184=""),"",IF(COUNTIFS(BD!$B$3:$B$5001,F$184,BD!$A$3:$A$5001,"&gt;="&amp;$C$7,BD!$A$3:$A$5001,"&lt;="&amp;$B202,BD!$L$3:$L$5001,"&lt;&gt;")=0,"",SUMIFS(BD!$L$3:$L$5001,BD!$B$3:$B$5001,F$184,BD!$A$3:$A$5001,_xlfn.MAXIFS(BD!$A$3:$A$5001,BD!$B$3:$B$5001,F$184,BD!$A$3:$A$5001,"&gt;="&amp;$C$7,BD!$A$3:$A$5001,"&lt;="&amp;$B202,BD!$L$3:$L$5001,"&lt;&gt;"))))</f>
        <v/>
      </c>
      <c r="G202" s="43" t="str">
        <f>IF(OR($B202="",$A202&gt;$B$9,G$184=""),"",IF(COUNTIFS(BD!$B$3:$B$5001,G$184,BD!$A$3:$A$5001,"&gt;="&amp;$C$7,BD!$A$3:$A$5001,"&lt;="&amp;$B202,BD!$L$3:$L$5001,"&lt;&gt;")=0,"",SUMIFS(BD!$L$3:$L$5001,BD!$B$3:$B$5001,G$184,BD!$A$3:$A$5001,_xlfn.MAXIFS(BD!$A$3:$A$5001,BD!$B$3:$B$5001,G$184,BD!$A$3:$A$5001,"&gt;="&amp;$C$7,BD!$A$3:$A$5001,"&lt;="&amp;$B202,BD!$L$3:$L$5001,"&lt;&gt;"))))</f>
        <v/>
      </c>
      <c r="H202" s="43" t="str">
        <f>IF(OR($B202="",$A202&gt;$B$9,H$184=""),"",IF(COUNTIFS(BD!$B$3:$B$5001,H$184,BD!$A$3:$A$5001,"&gt;="&amp;$C$7,BD!$A$3:$A$5001,"&lt;="&amp;$B202,BD!$L$3:$L$5001,"&lt;&gt;")=0,"",SUMIFS(BD!$L$3:$L$5001,BD!$B$3:$B$5001,H$184,BD!$A$3:$A$5001,_xlfn.MAXIFS(BD!$A$3:$A$5001,BD!$B$3:$B$5001,H$184,BD!$A$3:$A$5001,"&gt;="&amp;$C$7,BD!$A$3:$A$5001,"&lt;="&amp;$B202,BD!$L$3:$L$5001,"&lt;&gt;"))))</f>
        <v/>
      </c>
      <c r="I202" s="43" t="str">
        <f>IF(OR($B202="",$A202&gt;$B$9,I$184=""),"",IF(COUNTIFS(BD!$B$3:$B$5001,I$184,BD!$A$3:$A$5001,"&gt;="&amp;$C$7,BD!$A$3:$A$5001,"&lt;="&amp;$B202,BD!$L$3:$L$5001,"&lt;&gt;")=0,"",SUMIFS(BD!$L$3:$L$5001,BD!$B$3:$B$5001,I$184,BD!$A$3:$A$5001,_xlfn.MAXIFS(BD!$A$3:$A$5001,BD!$B$3:$B$5001,I$184,BD!$A$3:$A$5001,"&gt;="&amp;$C$7,BD!$A$3:$A$5001,"&lt;="&amp;$B202,BD!$L$3:$L$5001,"&lt;&gt;"))))</f>
        <v/>
      </c>
      <c r="J202" s="43" t="str">
        <f>IF(OR($B202="",$A202&gt;$B$9,J$184=""),"",IF(COUNTIFS(BD!$B$3:$B$5001,J$184,BD!$A$3:$A$5001,"&gt;="&amp;$C$7,BD!$A$3:$A$5001,"&lt;="&amp;$B202,BD!$L$3:$L$5001,"&lt;&gt;")=0,"",SUMIFS(BD!$L$3:$L$5001,BD!$B$3:$B$5001,J$184,BD!$A$3:$A$5001,_xlfn.MAXIFS(BD!$A$3:$A$5001,BD!$B$3:$B$5001,J$184,BD!$A$3:$A$5001,"&gt;="&amp;$C$7,BD!$A$3:$A$5001,"&lt;="&amp;$B202,BD!$L$3:$L$5001,"&lt;&gt;"))))</f>
        <v/>
      </c>
      <c r="K202" s="43" t="str">
        <f>IF(OR($B202="",$A202&gt;$B$9,K$184=""),"",IF(COUNTIFS(BD!$B$3:$B$5001,K$184,BD!$A$3:$A$5001,"&gt;="&amp;$C$7,BD!$A$3:$A$5001,"&lt;="&amp;$B202,BD!$L$3:$L$5001,"&lt;&gt;")=0,"",SUMIFS(BD!$L$3:$L$5001,BD!$B$3:$B$5001,K$184,BD!$A$3:$A$5001,_xlfn.MAXIFS(BD!$A$3:$A$5001,BD!$B$3:$B$5001,K$184,BD!$A$3:$A$5001,"&gt;="&amp;$C$7,BD!$A$3:$A$5001,"&lt;="&amp;$B202,BD!$L$3:$L$5001,"&lt;&gt;"))))</f>
        <v/>
      </c>
      <c r="L202" s="43" t="str">
        <f>IF(OR($B202="",$A202&gt;$B$9,L$184=""),"",IF(COUNTIFS(BD!$B$3:$B$5001,L$184,BD!$A$3:$A$5001,"&gt;="&amp;$C$7,BD!$A$3:$A$5001,"&lt;="&amp;$B202,BD!$L$3:$L$5001,"&lt;&gt;")=0,"",SUMIFS(BD!$L$3:$L$5001,BD!$B$3:$B$5001,L$184,BD!$A$3:$A$5001,_xlfn.MAXIFS(BD!$A$3:$A$5001,BD!$B$3:$B$5001,L$184,BD!$A$3:$A$5001,"&gt;="&amp;$C$7,BD!$A$3:$A$5001,"&lt;="&amp;$B202,BD!$L$3:$L$5001,"&lt;&gt;"))))</f>
        <v/>
      </c>
      <c r="M202" s="43" t="str">
        <f>IF(OR($B202="",$A202&gt;$B$9,M$184=""),"",IF(COUNTIFS(BD!$B$3:$B$5001,M$184,BD!$A$3:$A$5001,"&gt;="&amp;$C$7,BD!$A$3:$A$5001,"&lt;="&amp;$B202,BD!$L$3:$L$5001,"&lt;&gt;")=0,"",SUMIFS(BD!$L$3:$L$5001,BD!$B$3:$B$5001,M$184,BD!$A$3:$A$5001,_xlfn.MAXIFS(BD!$A$3:$A$5001,BD!$B$3:$B$5001,M$184,BD!$A$3:$A$5001,"&gt;="&amp;$C$7,BD!$A$3:$A$5001,"&lt;="&amp;$B202,BD!$L$3:$L$5001,"&lt;&gt;"))))</f>
        <v/>
      </c>
      <c r="N202" s="43" t="str">
        <f>IF(OR($B202="",$A202&gt;$B$9,N$184=""),"",IF(COUNTIFS(BD!$B$3:$B$5001,N$184,BD!$A$3:$A$5001,"&gt;="&amp;$C$7,BD!$A$3:$A$5001,"&lt;="&amp;$B202,BD!$L$3:$L$5001,"&lt;&gt;")=0,"",SUMIFS(BD!$L$3:$L$5001,BD!$B$3:$B$5001,N$184,BD!$A$3:$A$5001,_xlfn.MAXIFS(BD!$A$3:$A$5001,BD!$B$3:$B$5001,N$184,BD!$A$3:$A$5001,"&gt;="&amp;$C$7,BD!$A$3:$A$5001,"&lt;="&amp;$B202,BD!$L$3:$L$5001,"&lt;&gt;"))))</f>
        <v/>
      </c>
      <c r="O202" s="43" t="str">
        <f>IF(OR($B202="",$A202&gt;$B$9,O$184=""),"",IF(COUNTIFS(BD!$B$3:$B$5001,O$184,BD!$A$3:$A$5001,"&gt;="&amp;$C$7,BD!$A$3:$A$5001,"&lt;="&amp;$B202,BD!$L$3:$L$5001,"&lt;&gt;")=0,"",SUMIFS(BD!$L$3:$L$5001,BD!$B$3:$B$5001,O$184,BD!$A$3:$A$5001,_xlfn.MAXIFS(BD!$A$3:$A$5001,BD!$B$3:$B$5001,O$184,BD!$A$3:$A$5001,"&gt;="&amp;$C$7,BD!$A$3:$A$5001,"&lt;="&amp;$B202,BD!$L$3:$L$5001,"&lt;&gt;"))))</f>
        <v/>
      </c>
      <c r="P202" s="43" t="str">
        <f>IF(OR($B202="",$A202&gt;$B$9,P$184=""),"",IF(COUNTIFS(BD!$B$3:$B$5001,P$184,BD!$A$3:$A$5001,"&gt;="&amp;$C$7,BD!$A$3:$A$5001,"&lt;="&amp;$B202,BD!$L$3:$L$5001,"&lt;&gt;")=0,"",SUMIFS(BD!$L$3:$L$5001,BD!$B$3:$B$5001,P$184,BD!$A$3:$A$5001,_xlfn.MAXIFS(BD!$A$3:$A$5001,BD!$B$3:$B$5001,P$184,BD!$A$3:$A$5001,"&gt;="&amp;$C$7,BD!$A$3:$A$5001,"&lt;="&amp;$B202,BD!$L$3:$L$5001,"&lt;&gt;"))))</f>
        <v/>
      </c>
      <c r="Q202" s="43" t="str">
        <f>IF(OR($B202="",$A202&gt;$B$9,Q$184=""),"",IF(COUNTIFS(BD!$B$3:$B$5001,Q$184,BD!$A$3:$A$5001,"&gt;="&amp;$C$7,BD!$A$3:$A$5001,"&lt;="&amp;$B202,BD!$L$3:$L$5001,"&lt;&gt;")=0,"",SUMIFS(BD!$L$3:$L$5001,BD!$B$3:$B$5001,Q$184,BD!$A$3:$A$5001,_xlfn.MAXIFS(BD!$A$3:$A$5001,BD!$B$3:$B$5001,Q$184,BD!$A$3:$A$5001,"&gt;="&amp;$C$7,BD!$A$3:$A$5001,"&lt;="&amp;$B202,BD!$L$3:$L$5001,"&lt;&gt;"))))</f>
        <v/>
      </c>
      <c r="R202" s="43" t="str">
        <f>IF(OR($B202="",$A202&gt;$B$9,R$184=""),"",IF(COUNTIFS(BD!$B$3:$B$5001,R$184,BD!$A$3:$A$5001,"&gt;="&amp;$C$7,BD!$A$3:$A$5001,"&lt;="&amp;$B202,BD!$L$3:$L$5001,"&lt;&gt;")=0,"",SUMIFS(BD!$L$3:$L$5001,BD!$B$3:$B$5001,R$184,BD!$A$3:$A$5001,_xlfn.MAXIFS(BD!$A$3:$A$5001,BD!$B$3:$B$5001,R$184,BD!$A$3:$A$5001,"&gt;="&amp;$C$7,BD!$A$3:$A$5001,"&lt;="&amp;$B202,BD!$L$3:$L$5001,"&lt;&gt;"))))</f>
        <v/>
      </c>
      <c r="S202" s="43" t="str">
        <f>IF(OR($B202="",$A202&gt;$B$9,S$184=""),"",IF(COUNTIFS(BD!$B$3:$B$5001,S$184,BD!$A$3:$A$5001,"&gt;="&amp;$C$7,BD!$A$3:$A$5001,"&lt;="&amp;$B202,BD!$L$3:$L$5001,"&lt;&gt;")=0,"",SUMIFS(BD!$L$3:$L$5001,BD!$B$3:$B$5001,S$184,BD!$A$3:$A$5001,_xlfn.MAXIFS(BD!$A$3:$A$5001,BD!$B$3:$B$5001,S$184,BD!$A$3:$A$5001,"&gt;="&amp;$C$7,BD!$A$3:$A$5001,"&lt;="&amp;$B202,BD!$L$3:$L$5001,"&lt;&gt;"))))</f>
        <v/>
      </c>
      <c r="T202" s="43" t="str">
        <f>IF(OR($B202="",$A202&gt;$B$9,T$184=""),"",IF(COUNTIFS(BD!$B$3:$B$5001,T$184,BD!$A$3:$A$5001,"&gt;="&amp;$C$7,BD!$A$3:$A$5001,"&lt;="&amp;$B202,BD!$L$3:$L$5001,"&lt;&gt;")=0,"",SUMIFS(BD!$L$3:$L$5001,BD!$B$3:$B$5001,T$184,BD!$A$3:$A$5001,_xlfn.MAXIFS(BD!$A$3:$A$5001,BD!$B$3:$B$5001,T$184,BD!$A$3:$A$5001,"&gt;="&amp;$C$7,BD!$A$3:$A$5001,"&lt;="&amp;$B202,BD!$L$3:$L$5001,"&lt;&gt;"))))</f>
        <v/>
      </c>
      <c r="U202" s="43" t="str">
        <f>IF(OR($B202="",$A202&gt;$B$9,U$184=""),"",IF(COUNTIFS(BD!$B$3:$B$5001,U$184,BD!$A$3:$A$5001,"&gt;="&amp;$C$7,BD!$A$3:$A$5001,"&lt;="&amp;$B202,BD!$L$3:$L$5001,"&lt;&gt;")=0,"",SUMIFS(BD!$L$3:$L$5001,BD!$B$3:$B$5001,U$184,BD!$A$3:$A$5001,_xlfn.MAXIFS(BD!$A$3:$A$5001,BD!$B$3:$B$5001,U$184,BD!$A$3:$A$5001,"&gt;="&amp;$C$7,BD!$A$3:$A$5001,"&lt;="&amp;$B202,BD!$L$3:$L$5001,"&lt;&gt;"))))</f>
        <v/>
      </c>
      <c r="V202" s="43" t="str">
        <f>IF(OR($B202="",$A202&gt;$B$9,V$184=""),"",IF(COUNTIFS(BD!$B$3:$B$5001,V$184,BD!$A$3:$A$5001,"&gt;="&amp;$C$7,BD!$A$3:$A$5001,"&lt;="&amp;$B202,BD!$L$3:$L$5001,"&lt;&gt;")=0,"",SUMIFS(BD!$L$3:$L$5001,BD!$B$3:$B$5001,V$184,BD!$A$3:$A$5001,_xlfn.MAXIFS(BD!$A$3:$A$5001,BD!$B$3:$B$5001,V$184,BD!$A$3:$A$5001,"&gt;="&amp;$C$7,BD!$A$3:$A$5001,"&lt;="&amp;$B202,BD!$L$3:$L$5001,"&lt;&gt;"))))</f>
        <v/>
      </c>
    </row>
    <row r="203">
      <c r="A203" s="38">
        <v>19</v>
      </c>
      <c r="B203" s="42">
        <f>$B$30</f>
        <v>46314</v>
      </c>
      <c r="C203" s="43" t="str">
        <f>IF(OR($B203="",$A203&gt;$B$9,C$184=""),"",IF(COUNTIFS(BD!$B$3:$B$5001,C$184,BD!$A$3:$A$5001,"&gt;="&amp;$C$7,BD!$A$3:$A$5001,"&lt;="&amp;$B203,BD!$L$3:$L$5001,"&lt;&gt;")=0,"",SUMIFS(BD!$L$3:$L$5001,BD!$B$3:$B$5001,C$184,BD!$A$3:$A$5001,_xlfn.MAXIFS(BD!$A$3:$A$5001,BD!$B$3:$B$5001,C$184,BD!$A$3:$A$5001,"&gt;="&amp;$C$7,BD!$A$3:$A$5001,"&lt;="&amp;$B203,BD!$L$3:$L$5001,"&lt;&gt;"))))</f>
        <v/>
      </c>
      <c r="D203" s="43" t="str">
        <f>IF(OR($B203="",$A203&gt;$B$9,D$184=""),"",IF(COUNTIFS(BD!$B$3:$B$5001,D$184,BD!$A$3:$A$5001,"&gt;="&amp;$C$7,BD!$A$3:$A$5001,"&lt;="&amp;$B203,BD!$L$3:$L$5001,"&lt;&gt;")=0,"",SUMIFS(BD!$L$3:$L$5001,BD!$B$3:$B$5001,D$184,BD!$A$3:$A$5001,_xlfn.MAXIFS(BD!$A$3:$A$5001,BD!$B$3:$B$5001,D$184,BD!$A$3:$A$5001,"&gt;="&amp;$C$7,BD!$A$3:$A$5001,"&lt;="&amp;$B203,BD!$L$3:$L$5001,"&lt;&gt;"))))</f>
        <v/>
      </c>
      <c r="E203" s="43" t="str">
        <f>IF(OR($B203="",$A203&gt;$B$9,E$184=""),"",IF(COUNTIFS(BD!$B$3:$B$5001,E$184,BD!$A$3:$A$5001,"&gt;="&amp;$C$7,BD!$A$3:$A$5001,"&lt;="&amp;$B203,BD!$L$3:$L$5001,"&lt;&gt;")=0,"",SUMIFS(BD!$L$3:$L$5001,BD!$B$3:$B$5001,E$184,BD!$A$3:$A$5001,_xlfn.MAXIFS(BD!$A$3:$A$5001,BD!$B$3:$B$5001,E$184,BD!$A$3:$A$5001,"&gt;="&amp;$C$7,BD!$A$3:$A$5001,"&lt;="&amp;$B203,BD!$L$3:$L$5001,"&lt;&gt;"))))</f>
        <v/>
      </c>
      <c r="F203" s="43" t="str">
        <f>IF(OR($B203="",$A203&gt;$B$9,F$184=""),"",IF(COUNTIFS(BD!$B$3:$B$5001,F$184,BD!$A$3:$A$5001,"&gt;="&amp;$C$7,BD!$A$3:$A$5001,"&lt;="&amp;$B203,BD!$L$3:$L$5001,"&lt;&gt;")=0,"",SUMIFS(BD!$L$3:$L$5001,BD!$B$3:$B$5001,F$184,BD!$A$3:$A$5001,_xlfn.MAXIFS(BD!$A$3:$A$5001,BD!$B$3:$B$5001,F$184,BD!$A$3:$A$5001,"&gt;="&amp;$C$7,BD!$A$3:$A$5001,"&lt;="&amp;$B203,BD!$L$3:$L$5001,"&lt;&gt;"))))</f>
        <v/>
      </c>
      <c r="G203" s="43" t="str">
        <f>IF(OR($B203="",$A203&gt;$B$9,G$184=""),"",IF(COUNTIFS(BD!$B$3:$B$5001,G$184,BD!$A$3:$A$5001,"&gt;="&amp;$C$7,BD!$A$3:$A$5001,"&lt;="&amp;$B203,BD!$L$3:$L$5001,"&lt;&gt;")=0,"",SUMIFS(BD!$L$3:$L$5001,BD!$B$3:$B$5001,G$184,BD!$A$3:$A$5001,_xlfn.MAXIFS(BD!$A$3:$A$5001,BD!$B$3:$B$5001,G$184,BD!$A$3:$A$5001,"&gt;="&amp;$C$7,BD!$A$3:$A$5001,"&lt;="&amp;$B203,BD!$L$3:$L$5001,"&lt;&gt;"))))</f>
        <v/>
      </c>
      <c r="H203" s="43" t="str">
        <f>IF(OR($B203="",$A203&gt;$B$9,H$184=""),"",IF(COUNTIFS(BD!$B$3:$B$5001,H$184,BD!$A$3:$A$5001,"&gt;="&amp;$C$7,BD!$A$3:$A$5001,"&lt;="&amp;$B203,BD!$L$3:$L$5001,"&lt;&gt;")=0,"",SUMIFS(BD!$L$3:$L$5001,BD!$B$3:$B$5001,H$184,BD!$A$3:$A$5001,_xlfn.MAXIFS(BD!$A$3:$A$5001,BD!$B$3:$B$5001,H$184,BD!$A$3:$A$5001,"&gt;="&amp;$C$7,BD!$A$3:$A$5001,"&lt;="&amp;$B203,BD!$L$3:$L$5001,"&lt;&gt;"))))</f>
        <v/>
      </c>
      <c r="I203" s="43" t="str">
        <f>IF(OR($B203="",$A203&gt;$B$9,I$184=""),"",IF(COUNTIFS(BD!$B$3:$B$5001,I$184,BD!$A$3:$A$5001,"&gt;="&amp;$C$7,BD!$A$3:$A$5001,"&lt;="&amp;$B203,BD!$L$3:$L$5001,"&lt;&gt;")=0,"",SUMIFS(BD!$L$3:$L$5001,BD!$B$3:$B$5001,I$184,BD!$A$3:$A$5001,_xlfn.MAXIFS(BD!$A$3:$A$5001,BD!$B$3:$B$5001,I$184,BD!$A$3:$A$5001,"&gt;="&amp;$C$7,BD!$A$3:$A$5001,"&lt;="&amp;$B203,BD!$L$3:$L$5001,"&lt;&gt;"))))</f>
        <v/>
      </c>
      <c r="J203" s="43" t="str">
        <f>IF(OR($B203="",$A203&gt;$B$9,J$184=""),"",IF(COUNTIFS(BD!$B$3:$B$5001,J$184,BD!$A$3:$A$5001,"&gt;="&amp;$C$7,BD!$A$3:$A$5001,"&lt;="&amp;$B203,BD!$L$3:$L$5001,"&lt;&gt;")=0,"",SUMIFS(BD!$L$3:$L$5001,BD!$B$3:$B$5001,J$184,BD!$A$3:$A$5001,_xlfn.MAXIFS(BD!$A$3:$A$5001,BD!$B$3:$B$5001,J$184,BD!$A$3:$A$5001,"&gt;="&amp;$C$7,BD!$A$3:$A$5001,"&lt;="&amp;$B203,BD!$L$3:$L$5001,"&lt;&gt;"))))</f>
        <v/>
      </c>
      <c r="K203" s="43" t="str">
        <f>IF(OR($B203="",$A203&gt;$B$9,K$184=""),"",IF(COUNTIFS(BD!$B$3:$B$5001,K$184,BD!$A$3:$A$5001,"&gt;="&amp;$C$7,BD!$A$3:$A$5001,"&lt;="&amp;$B203,BD!$L$3:$L$5001,"&lt;&gt;")=0,"",SUMIFS(BD!$L$3:$L$5001,BD!$B$3:$B$5001,K$184,BD!$A$3:$A$5001,_xlfn.MAXIFS(BD!$A$3:$A$5001,BD!$B$3:$B$5001,K$184,BD!$A$3:$A$5001,"&gt;="&amp;$C$7,BD!$A$3:$A$5001,"&lt;="&amp;$B203,BD!$L$3:$L$5001,"&lt;&gt;"))))</f>
        <v/>
      </c>
      <c r="L203" s="43" t="str">
        <f>IF(OR($B203="",$A203&gt;$B$9,L$184=""),"",IF(COUNTIFS(BD!$B$3:$B$5001,L$184,BD!$A$3:$A$5001,"&gt;="&amp;$C$7,BD!$A$3:$A$5001,"&lt;="&amp;$B203,BD!$L$3:$L$5001,"&lt;&gt;")=0,"",SUMIFS(BD!$L$3:$L$5001,BD!$B$3:$B$5001,L$184,BD!$A$3:$A$5001,_xlfn.MAXIFS(BD!$A$3:$A$5001,BD!$B$3:$B$5001,L$184,BD!$A$3:$A$5001,"&gt;="&amp;$C$7,BD!$A$3:$A$5001,"&lt;="&amp;$B203,BD!$L$3:$L$5001,"&lt;&gt;"))))</f>
        <v/>
      </c>
      <c r="M203" s="43" t="str">
        <f>IF(OR($B203="",$A203&gt;$B$9,M$184=""),"",IF(COUNTIFS(BD!$B$3:$B$5001,M$184,BD!$A$3:$A$5001,"&gt;="&amp;$C$7,BD!$A$3:$A$5001,"&lt;="&amp;$B203,BD!$L$3:$L$5001,"&lt;&gt;")=0,"",SUMIFS(BD!$L$3:$L$5001,BD!$B$3:$B$5001,M$184,BD!$A$3:$A$5001,_xlfn.MAXIFS(BD!$A$3:$A$5001,BD!$B$3:$B$5001,M$184,BD!$A$3:$A$5001,"&gt;="&amp;$C$7,BD!$A$3:$A$5001,"&lt;="&amp;$B203,BD!$L$3:$L$5001,"&lt;&gt;"))))</f>
        <v/>
      </c>
      <c r="N203" s="43" t="str">
        <f>IF(OR($B203="",$A203&gt;$B$9,N$184=""),"",IF(COUNTIFS(BD!$B$3:$B$5001,N$184,BD!$A$3:$A$5001,"&gt;="&amp;$C$7,BD!$A$3:$A$5001,"&lt;="&amp;$B203,BD!$L$3:$L$5001,"&lt;&gt;")=0,"",SUMIFS(BD!$L$3:$L$5001,BD!$B$3:$B$5001,N$184,BD!$A$3:$A$5001,_xlfn.MAXIFS(BD!$A$3:$A$5001,BD!$B$3:$B$5001,N$184,BD!$A$3:$A$5001,"&gt;="&amp;$C$7,BD!$A$3:$A$5001,"&lt;="&amp;$B203,BD!$L$3:$L$5001,"&lt;&gt;"))))</f>
        <v/>
      </c>
      <c r="O203" s="43" t="str">
        <f>IF(OR($B203="",$A203&gt;$B$9,O$184=""),"",IF(COUNTIFS(BD!$B$3:$B$5001,O$184,BD!$A$3:$A$5001,"&gt;="&amp;$C$7,BD!$A$3:$A$5001,"&lt;="&amp;$B203,BD!$L$3:$L$5001,"&lt;&gt;")=0,"",SUMIFS(BD!$L$3:$L$5001,BD!$B$3:$B$5001,O$184,BD!$A$3:$A$5001,_xlfn.MAXIFS(BD!$A$3:$A$5001,BD!$B$3:$B$5001,O$184,BD!$A$3:$A$5001,"&gt;="&amp;$C$7,BD!$A$3:$A$5001,"&lt;="&amp;$B203,BD!$L$3:$L$5001,"&lt;&gt;"))))</f>
        <v/>
      </c>
      <c r="P203" s="43" t="str">
        <f>IF(OR($B203="",$A203&gt;$B$9,P$184=""),"",IF(COUNTIFS(BD!$B$3:$B$5001,P$184,BD!$A$3:$A$5001,"&gt;="&amp;$C$7,BD!$A$3:$A$5001,"&lt;="&amp;$B203,BD!$L$3:$L$5001,"&lt;&gt;")=0,"",SUMIFS(BD!$L$3:$L$5001,BD!$B$3:$B$5001,P$184,BD!$A$3:$A$5001,_xlfn.MAXIFS(BD!$A$3:$A$5001,BD!$B$3:$B$5001,P$184,BD!$A$3:$A$5001,"&gt;="&amp;$C$7,BD!$A$3:$A$5001,"&lt;="&amp;$B203,BD!$L$3:$L$5001,"&lt;&gt;"))))</f>
        <v/>
      </c>
      <c r="Q203" s="43" t="str">
        <f>IF(OR($B203="",$A203&gt;$B$9,Q$184=""),"",IF(COUNTIFS(BD!$B$3:$B$5001,Q$184,BD!$A$3:$A$5001,"&gt;="&amp;$C$7,BD!$A$3:$A$5001,"&lt;="&amp;$B203,BD!$L$3:$L$5001,"&lt;&gt;")=0,"",SUMIFS(BD!$L$3:$L$5001,BD!$B$3:$B$5001,Q$184,BD!$A$3:$A$5001,_xlfn.MAXIFS(BD!$A$3:$A$5001,BD!$B$3:$B$5001,Q$184,BD!$A$3:$A$5001,"&gt;="&amp;$C$7,BD!$A$3:$A$5001,"&lt;="&amp;$B203,BD!$L$3:$L$5001,"&lt;&gt;"))))</f>
        <v/>
      </c>
      <c r="R203" s="43" t="str">
        <f>IF(OR($B203="",$A203&gt;$B$9,R$184=""),"",IF(COUNTIFS(BD!$B$3:$B$5001,R$184,BD!$A$3:$A$5001,"&gt;="&amp;$C$7,BD!$A$3:$A$5001,"&lt;="&amp;$B203,BD!$L$3:$L$5001,"&lt;&gt;")=0,"",SUMIFS(BD!$L$3:$L$5001,BD!$B$3:$B$5001,R$184,BD!$A$3:$A$5001,_xlfn.MAXIFS(BD!$A$3:$A$5001,BD!$B$3:$B$5001,R$184,BD!$A$3:$A$5001,"&gt;="&amp;$C$7,BD!$A$3:$A$5001,"&lt;="&amp;$B203,BD!$L$3:$L$5001,"&lt;&gt;"))))</f>
        <v/>
      </c>
      <c r="S203" s="43" t="str">
        <f>IF(OR($B203="",$A203&gt;$B$9,S$184=""),"",IF(COUNTIFS(BD!$B$3:$B$5001,S$184,BD!$A$3:$A$5001,"&gt;="&amp;$C$7,BD!$A$3:$A$5001,"&lt;="&amp;$B203,BD!$L$3:$L$5001,"&lt;&gt;")=0,"",SUMIFS(BD!$L$3:$L$5001,BD!$B$3:$B$5001,S$184,BD!$A$3:$A$5001,_xlfn.MAXIFS(BD!$A$3:$A$5001,BD!$B$3:$B$5001,S$184,BD!$A$3:$A$5001,"&gt;="&amp;$C$7,BD!$A$3:$A$5001,"&lt;="&amp;$B203,BD!$L$3:$L$5001,"&lt;&gt;"))))</f>
        <v/>
      </c>
      <c r="T203" s="43" t="str">
        <f>IF(OR($B203="",$A203&gt;$B$9,T$184=""),"",IF(COUNTIFS(BD!$B$3:$B$5001,T$184,BD!$A$3:$A$5001,"&gt;="&amp;$C$7,BD!$A$3:$A$5001,"&lt;="&amp;$B203,BD!$L$3:$L$5001,"&lt;&gt;")=0,"",SUMIFS(BD!$L$3:$L$5001,BD!$B$3:$B$5001,T$184,BD!$A$3:$A$5001,_xlfn.MAXIFS(BD!$A$3:$A$5001,BD!$B$3:$B$5001,T$184,BD!$A$3:$A$5001,"&gt;="&amp;$C$7,BD!$A$3:$A$5001,"&lt;="&amp;$B203,BD!$L$3:$L$5001,"&lt;&gt;"))))</f>
        <v/>
      </c>
      <c r="U203" s="43" t="str">
        <f>IF(OR($B203="",$A203&gt;$B$9,U$184=""),"",IF(COUNTIFS(BD!$B$3:$B$5001,U$184,BD!$A$3:$A$5001,"&gt;="&amp;$C$7,BD!$A$3:$A$5001,"&lt;="&amp;$B203,BD!$L$3:$L$5001,"&lt;&gt;")=0,"",SUMIFS(BD!$L$3:$L$5001,BD!$B$3:$B$5001,U$184,BD!$A$3:$A$5001,_xlfn.MAXIFS(BD!$A$3:$A$5001,BD!$B$3:$B$5001,U$184,BD!$A$3:$A$5001,"&gt;="&amp;$C$7,BD!$A$3:$A$5001,"&lt;="&amp;$B203,BD!$L$3:$L$5001,"&lt;&gt;"))))</f>
        <v/>
      </c>
      <c r="V203" s="43" t="str">
        <f>IF(OR($B203="",$A203&gt;$B$9,V$184=""),"",IF(COUNTIFS(BD!$B$3:$B$5001,V$184,BD!$A$3:$A$5001,"&gt;="&amp;$C$7,BD!$A$3:$A$5001,"&lt;="&amp;$B203,BD!$L$3:$L$5001,"&lt;&gt;")=0,"",SUMIFS(BD!$L$3:$L$5001,BD!$B$3:$B$5001,V$184,BD!$A$3:$A$5001,_xlfn.MAXIFS(BD!$A$3:$A$5001,BD!$B$3:$B$5001,V$184,BD!$A$3:$A$5001,"&gt;="&amp;$C$7,BD!$A$3:$A$5001,"&lt;="&amp;$B203,BD!$L$3:$L$5001,"&lt;&gt;"))))</f>
        <v/>
      </c>
    </row>
    <row r="204">
      <c r="A204" s="38">
        <v>20</v>
      </c>
      <c r="B204" s="42">
        <f>$B$31</f>
        <v>46315</v>
      </c>
      <c r="C204" s="43" t="str">
        <f>IF(OR($B204="",$A204&gt;$B$9,C$184=""),"",IF(COUNTIFS(BD!$B$3:$B$5001,C$184,BD!$A$3:$A$5001,"&gt;="&amp;$C$7,BD!$A$3:$A$5001,"&lt;="&amp;$B204,BD!$L$3:$L$5001,"&lt;&gt;")=0,"",SUMIFS(BD!$L$3:$L$5001,BD!$B$3:$B$5001,C$184,BD!$A$3:$A$5001,_xlfn.MAXIFS(BD!$A$3:$A$5001,BD!$B$3:$B$5001,C$184,BD!$A$3:$A$5001,"&gt;="&amp;$C$7,BD!$A$3:$A$5001,"&lt;="&amp;$B204,BD!$L$3:$L$5001,"&lt;&gt;"))))</f>
        <v/>
      </c>
      <c r="D204" s="43" t="str">
        <f>IF(OR($B204="",$A204&gt;$B$9,D$184=""),"",IF(COUNTIFS(BD!$B$3:$B$5001,D$184,BD!$A$3:$A$5001,"&gt;="&amp;$C$7,BD!$A$3:$A$5001,"&lt;="&amp;$B204,BD!$L$3:$L$5001,"&lt;&gt;")=0,"",SUMIFS(BD!$L$3:$L$5001,BD!$B$3:$B$5001,D$184,BD!$A$3:$A$5001,_xlfn.MAXIFS(BD!$A$3:$A$5001,BD!$B$3:$B$5001,D$184,BD!$A$3:$A$5001,"&gt;="&amp;$C$7,BD!$A$3:$A$5001,"&lt;="&amp;$B204,BD!$L$3:$L$5001,"&lt;&gt;"))))</f>
        <v/>
      </c>
      <c r="E204" s="43" t="str">
        <f>IF(OR($B204="",$A204&gt;$B$9,E$184=""),"",IF(COUNTIFS(BD!$B$3:$B$5001,E$184,BD!$A$3:$A$5001,"&gt;="&amp;$C$7,BD!$A$3:$A$5001,"&lt;="&amp;$B204,BD!$L$3:$L$5001,"&lt;&gt;")=0,"",SUMIFS(BD!$L$3:$L$5001,BD!$B$3:$B$5001,E$184,BD!$A$3:$A$5001,_xlfn.MAXIFS(BD!$A$3:$A$5001,BD!$B$3:$B$5001,E$184,BD!$A$3:$A$5001,"&gt;="&amp;$C$7,BD!$A$3:$A$5001,"&lt;="&amp;$B204,BD!$L$3:$L$5001,"&lt;&gt;"))))</f>
        <v/>
      </c>
      <c r="F204" s="43" t="str">
        <f>IF(OR($B204="",$A204&gt;$B$9,F$184=""),"",IF(COUNTIFS(BD!$B$3:$B$5001,F$184,BD!$A$3:$A$5001,"&gt;="&amp;$C$7,BD!$A$3:$A$5001,"&lt;="&amp;$B204,BD!$L$3:$L$5001,"&lt;&gt;")=0,"",SUMIFS(BD!$L$3:$L$5001,BD!$B$3:$B$5001,F$184,BD!$A$3:$A$5001,_xlfn.MAXIFS(BD!$A$3:$A$5001,BD!$B$3:$B$5001,F$184,BD!$A$3:$A$5001,"&gt;="&amp;$C$7,BD!$A$3:$A$5001,"&lt;="&amp;$B204,BD!$L$3:$L$5001,"&lt;&gt;"))))</f>
        <v/>
      </c>
      <c r="G204" s="43" t="str">
        <f>IF(OR($B204="",$A204&gt;$B$9,G$184=""),"",IF(COUNTIFS(BD!$B$3:$B$5001,G$184,BD!$A$3:$A$5001,"&gt;="&amp;$C$7,BD!$A$3:$A$5001,"&lt;="&amp;$B204,BD!$L$3:$L$5001,"&lt;&gt;")=0,"",SUMIFS(BD!$L$3:$L$5001,BD!$B$3:$B$5001,G$184,BD!$A$3:$A$5001,_xlfn.MAXIFS(BD!$A$3:$A$5001,BD!$B$3:$B$5001,G$184,BD!$A$3:$A$5001,"&gt;="&amp;$C$7,BD!$A$3:$A$5001,"&lt;="&amp;$B204,BD!$L$3:$L$5001,"&lt;&gt;"))))</f>
        <v/>
      </c>
      <c r="H204" s="43" t="str">
        <f>IF(OR($B204="",$A204&gt;$B$9,H$184=""),"",IF(COUNTIFS(BD!$B$3:$B$5001,H$184,BD!$A$3:$A$5001,"&gt;="&amp;$C$7,BD!$A$3:$A$5001,"&lt;="&amp;$B204,BD!$L$3:$L$5001,"&lt;&gt;")=0,"",SUMIFS(BD!$L$3:$L$5001,BD!$B$3:$B$5001,H$184,BD!$A$3:$A$5001,_xlfn.MAXIFS(BD!$A$3:$A$5001,BD!$B$3:$B$5001,H$184,BD!$A$3:$A$5001,"&gt;="&amp;$C$7,BD!$A$3:$A$5001,"&lt;="&amp;$B204,BD!$L$3:$L$5001,"&lt;&gt;"))))</f>
        <v/>
      </c>
      <c r="I204" s="43" t="str">
        <f>IF(OR($B204="",$A204&gt;$B$9,I$184=""),"",IF(COUNTIFS(BD!$B$3:$B$5001,I$184,BD!$A$3:$A$5001,"&gt;="&amp;$C$7,BD!$A$3:$A$5001,"&lt;="&amp;$B204,BD!$L$3:$L$5001,"&lt;&gt;")=0,"",SUMIFS(BD!$L$3:$L$5001,BD!$B$3:$B$5001,I$184,BD!$A$3:$A$5001,_xlfn.MAXIFS(BD!$A$3:$A$5001,BD!$B$3:$B$5001,I$184,BD!$A$3:$A$5001,"&gt;="&amp;$C$7,BD!$A$3:$A$5001,"&lt;="&amp;$B204,BD!$L$3:$L$5001,"&lt;&gt;"))))</f>
        <v/>
      </c>
      <c r="J204" s="43" t="str">
        <f>IF(OR($B204="",$A204&gt;$B$9,J$184=""),"",IF(COUNTIFS(BD!$B$3:$B$5001,J$184,BD!$A$3:$A$5001,"&gt;="&amp;$C$7,BD!$A$3:$A$5001,"&lt;="&amp;$B204,BD!$L$3:$L$5001,"&lt;&gt;")=0,"",SUMIFS(BD!$L$3:$L$5001,BD!$B$3:$B$5001,J$184,BD!$A$3:$A$5001,_xlfn.MAXIFS(BD!$A$3:$A$5001,BD!$B$3:$B$5001,J$184,BD!$A$3:$A$5001,"&gt;="&amp;$C$7,BD!$A$3:$A$5001,"&lt;="&amp;$B204,BD!$L$3:$L$5001,"&lt;&gt;"))))</f>
        <v/>
      </c>
      <c r="K204" s="43" t="str">
        <f>IF(OR($B204="",$A204&gt;$B$9,K$184=""),"",IF(COUNTIFS(BD!$B$3:$B$5001,K$184,BD!$A$3:$A$5001,"&gt;="&amp;$C$7,BD!$A$3:$A$5001,"&lt;="&amp;$B204,BD!$L$3:$L$5001,"&lt;&gt;")=0,"",SUMIFS(BD!$L$3:$L$5001,BD!$B$3:$B$5001,K$184,BD!$A$3:$A$5001,_xlfn.MAXIFS(BD!$A$3:$A$5001,BD!$B$3:$B$5001,K$184,BD!$A$3:$A$5001,"&gt;="&amp;$C$7,BD!$A$3:$A$5001,"&lt;="&amp;$B204,BD!$L$3:$L$5001,"&lt;&gt;"))))</f>
        <v/>
      </c>
      <c r="L204" s="43" t="str">
        <f>IF(OR($B204="",$A204&gt;$B$9,L$184=""),"",IF(COUNTIFS(BD!$B$3:$B$5001,L$184,BD!$A$3:$A$5001,"&gt;="&amp;$C$7,BD!$A$3:$A$5001,"&lt;="&amp;$B204,BD!$L$3:$L$5001,"&lt;&gt;")=0,"",SUMIFS(BD!$L$3:$L$5001,BD!$B$3:$B$5001,L$184,BD!$A$3:$A$5001,_xlfn.MAXIFS(BD!$A$3:$A$5001,BD!$B$3:$B$5001,L$184,BD!$A$3:$A$5001,"&gt;="&amp;$C$7,BD!$A$3:$A$5001,"&lt;="&amp;$B204,BD!$L$3:$L$5001,"&lt;&gt;"))))</f>
        <v/>
      </c>
      <c r="M204" s="43" t="str">
        <f>IF(OR($B204="",$A204&gt;$B$9,M$184=""),"",IF(COUNTIFS(BD!$B$3:$B$5001,M$184,BD!$A$3:$A$5001,"&gt;="&amp;$C$7,BD!$A$3:$A$5001,"&lt;="&amp;$B204,BD!$L$3:$L$5001,"&lt;&gt;")=0,"",SUMIFS(BD!$L$3:$L$5001,BD!$B$3:$B$5001,M$184,BD!$A$3:$A$5001,_xlfn.MAXIFS(BD!$A$3:$A$5001,BD!$B$3:$B$5001,M$184,BD!$A$3:$A$5001,"&gt;="&amp;$C$7,BD!$A$3:$A$5001,"&lt;="&amp;$B204,BD!$L$3:$L$5001,"&lt;&gt;"))))</f>
        <v/>
      </c>
      <c r="N204" s="43" t="str">
        <f>IF(OR($B204="",$A204&gt;$B$9,N$184=""),"",IF(COUNTIFS(BD!$B$3:$B$5001,N$184,BD!$A$3:$A$5001,"&gt;="&amp;$C$7,BD!$A$3:$A$5001,"&lt;="&amp;$B204,BD!$L$3:$L$5001,"&lt;&gt;")=0,"",SUMIFS(BD!$L$3:$L$5001,BD!$B$3:$B$5001,N$184,BD!$A$3:$A$5001,_xlfn.MAXIFS(BD!$A$3:$A$5001,BD!$B$3:$B$5001,N$184,BD!$A$3:$A$5001,"&gt;="&amp;$C$7,BD!$A$3:$A$5001,"&lt;="&amp;$B204,BD!$L$3:$L$5001,"&lt;&gt;"))))</f>
        <v/>
      </c>
      <c r="O204" s="43" t="str">
        <f>IF(OR($B204="",$A204&gt;$B$9,O$184=""),"",IF(COUNTIFS(BD!$B$3:$B$5001,O$184,BD!$A$3:$A$5001,"&gt;="&amp;$C$7,BD!$A$3:$A$5001,"&lt;="&amp;$B204,BD!$L$3:$L$5001,"&lt;&gt;")=0,"",SUMIFS(BD!$L$3:$L$5001,BD!$B$3:$B$5001,O$184,BD!$A$3:$A$5001,_xlfn.MAXIFS(BD!$A$3:$A$5001,BD!$B$3:$B$5001,O$184,BD!$A$3:$A$5001,"&gt;="&amp;$C$7,BD!$A$3:$A$5001,"&lt;="&amp;$B204,BD!$L$3:$L$5001,"&lt;&gt;"))))</f>
        <v/>
      </c>
      <c r="P204" s="43" t="str">
        <f>IF(OR($B204="",$A204&gt;$B$9,P$184=""),"",IF(COUNTIFS(BD!$B$3:$B$5001,P$184,BD!$A$3:$A$5001,"&gt;="&amp;$C$7,BD!$A$3:$A$5001,"&lt;="&amp;$B204,BD!$L$3:$L$5001,"&lt;&gt;")=0,"",SUMIFS(BD!$L$3:$L$5001,BD!$B$3:$B$5001,P$184,BD!$A$3:$A$5001,_xlfn.MAXIFS(BD!$A$3:$A$5001,BD!$B$3:$B$5001,P$184,BD!$A$3:$A$5001,"&gt;="&amp;$C$7,BD!$A$3:$A$5001,"&lt;="&amp;$B204,BD!$L$3:$L$5001,"&lt;&gt;"))))</f>
        <v/>
      </c>
      <c r="Q204" s="43" t="str">
        <f>IF(OR($B204="",$A204&gt;$B$9,Q$184=""),"",IF(COUNTIFS(BD!$B$3:$B$5001,Q$184,BD!$A$3:$A$5001,"&gt;="&amp;$C$7,BD!$A$3:$A$5001,"&lt;="&amp;$B204,BD!$L$3:$L$5001,"&lt;&gt;")=0,"",SUMIFS(BD!$L$3:$L$5001,BD!$B$3:$B$5001,Q$184,BD!$A$3:$A$5001,_xlfn.MAXIFS(BD!$A$3:$A$5001,BD!$B$3:$B$5001,Q$184,BD!$A$3:$A$5001,"&gt;="&amp;$C$7,BD!$A$3:$A$5001,"&lt;="&amp;$B204,BD!$L$3:$L$5001,"&lt;&gt;"))))</f>
        <v/>
      </c>
      <c r="R204" s="43" t="str">
        <f>IF(OR($B204="",$A204&gt;$B$9,R$184=""),"",IF(COUNTIFS(BD!$B$3:$B$5001,R$184,BD!$A$3:$A$5001,"&gt;="&amp;$C$7,BD!$A$3:$A$5001,"&lt;="&amp;$B204,BD!$L$3:$L$5001,"&lt;&gt;")=0,"",SUMIFS(BD!$L$3:$L$5001,BD!$B$3:$B$5001,R$184,BD!$A$3:$A$5001,_xlfn.MAXIFS(BD!$A$3:$A$5001,BD!$B$3:$B$5001,R$184,BD!$A$3:$A$5001,"&gt;="&amp;$C$7,BD!$A$3:$A$5001,"&lt;="&amp;$B204,BD!$L$3:$L$5001,"&lt;&gt;"))))</f>
        <v/>
      </c>
      <c r="S204" s="43" t="str">
        <f>IF(OR($B204="",$A204&gt;$B$9,S$184=""),"",IF(COUNTIFS(BD!$B$3:$B$5001,S$184,BD!$A$3:$A$5001,"&gt;="&amp;$C$7,BD!$A$3:$A$5001,"&lt;="&amp;$B204,BD!$L$3:$L$5001,"&lt;&gt;")=0,"",SUMIFS(BD!$L$3:$L$5001,BD!$B$3:$B$5001,S$184,BD!$A$3:$A$5001,_xlfn.MAXIFS(BD!$A$3:$A$5001,BD!$B$3:$B$5001,S$184,BD!$A$3:$A$5001,"&gt;="&amp;$C$7,BD!$A$3:$A$5001,"&lt;="&amp;$B204,BD!$L$3:$L$5001,"&lt;&gt;"))))</f>
        <v/>
      </c>
      <c r="T204" s="43" t="str">
        <f>IF(OR($B204="",$A204&gt;$B$9,T$184=""),"",IF(COUNTIFS(BD!$B$3:$B$5001,T$184,BD!$A$3:$A$5001,"&gt;="&amp;$C$7,BD!$A$3:$A$5001,"&lt;="&amp;$B204,BD!$L$3:$L$5001,"&lt;&gt;")=0,"",SUMIFS(BD!$L$3:$L$5001,BD!$B$3:$B$5001,T$184,BD!$A$3:$A$5001,_xlfn.MAXIFS(BD!$A$3:$A$5001,BD!$B$3:$B$5001,T$184,BD!$A$3:$A$5001,"&gt;="&amp;$C$7,BD!$A$3:$A$5001,"&lt;="&amp;$B204,BD!$L$3:$L$5001,"&lt;&gt;"))))</f>
        <v/>
      </c>
      <c r="U204" s="43" t="str">
        <f>IF(OR($B204="",$A204&gt;$B$9,U$184=""),"",IF(COUNTIFS(BD!$B$3:$B$5001,U$184,BD!$A$3:$A$5001,"&gt;="&amp;$C$7,BD!$A$3:$A$5001,"&lt;="&amp;$B204,BD!$L$3:$L$5001,"&lt;&gt;")=0,"",SUMIFS(BD!$L$3:$L$5001,BD!$B$3:$B$5001,U$184,BD!$A$3:$A$5001,_xlfn.MAXIFS(BD!$A$3:$A$5001,BD!$B$3:$B$5001,U$184,BD!$A$3:$A$5001,"&gt;="&amp;$C$7,BD!$A$3:$A$5001,"&lt;="&amp;$B204,BD!$L$3:$L$5001,"&lt;&gt;"))))</f>
        <v/>
      </c>
      <c r="V204" s="43" t="str">
        <f>IF(OR($B204="",$A204&gt;$B$9,V$184=""),"",IF(COUNTIFS(BD!$B$3:$B$5001,V$184,BD!$A$3:$A$5001,"&gt;="&amp;$C$7,BD!$A$3:$A$5001,"&lt;="&amp;$B204,BD!$L$3:$L$5001,"&lt;&gt;")=0,"",SUMIFS(BD!$L$3:$L$5001,BD!$B$3:$B$5001,V$184,BD!$A$3:$A$5001,_xlfn.MAXIFS(BD!$A$3:$A$5001,BD!$B$3:$B$5001,V$184,BD!$A$3:$A$5001,"&gt;="&amp;$C$7,BD!$A$3:$A$5001,"&lt;="&amp;$B204,BD!$L$3:$L$5001,"&lt;&gt;"))))</f>
        <v/>
      </c>
    </row>
    <row r="205">
      <c r="A205" s="38">
        <v>21</v>
      </c>
      <c r="B205" s="42">
        <f>$B$32</f>
        <v>46316</v>
      </c>
      <c r="C205" s="43" t="str">
        <f>IF(OR($B205="",$A205&gt;$B$9,C$184=""),"",IF(COUNTIFS(BD!$B$3:$B$5001,C$184,BD!$A$3:$A$5001,"&gt;="&amp;$C$7,BD!$A$3:$A$5001,"&lt;="&amp;$B205,BD!$L$3:$L$5001,"&lt;&gt;")=0,"",SUMIFS(BD!$L$3:$L$5001,BD!$B$3:$B$5001,C$184,BD!$A$3:$A$5001,_xlfn.MAXIFS(BD!$A$3:$A$5001,BD!$B$3:$B$5001,C$184,BD!$A$3:$A$5001,"&gt;="&amp;$C$7,BD!$A$3:$A$5001,"&lt;="&amp;$B205,BD!$L$3:$L$5001,"&lt;&gt;"))))</f>
        <v/>
      </c>
      <c r="D205" s="43" t="str">
        <f>IF(OR($B205="",$A205&gt;$B$9,D$184=""),"",IF(COUNTIFS(BD!$B$3:$B$5001,D$184,BD!$A$3:$A$5001,"&gt;="&amp;$C$7,BD!$A$3:$A$5001,"&lt;="&amp;$B205,BD!$L$3:$L$5001,"&lt;&gt;")=0,"",SUMIFS(BD!$L$3:$L$5001,BD!$B$3:$B$5001,D$184,BD!$A$3:$A$5001,_xlfn.MAXIFS(BD!$A$3:$A$5001,BD!$B$3:$B$5001,D$184,BD!$A$3:$A$5001,"&gt;="&amp;$C$7,BD!$A$3:$A$5001,"&lt;="&amp;$B205,BD!$L$3:$L$5001,"&lt;&gt;"))))</f>
        <v/>
      </c>
      <c r="E205" s="43" t="str">
        <f>IF(OR($B205="",$A205&gt;$B$9,E$184=""),"",IF(COUNTIFS(BD!$B$3:$B$5001,E$184,BD!$A$3:$A$5001,"&gt;="&amp;$C$7,BD!$A$3:$A$5001,"&lt;="&amp;$B205,BD!$L$3:$L$5001,"&lt;&gt;")=0,"",SUMIFS(BD!$L$3:$L$5001,BD!$B$3:$B$5001,E$184,BD!$A$3:$A$5001,_xlfn.MAXIFS(BD!$A$3:$A$5001,BD!$B$3:$B$5001,E$184,BD!$A$3:$A$5001,"&gt;="&amp;$C$7,BD!$A$3:$A$5001,"&lt;="&amp;$B205,BD!$L$3:$L$5001,"&lt;&gt;"))))</f>
        <v/>
      </c>
      <c r="F205" s="43" t="str">
        <f>IF(OR($B205="",$A205&gt;$B$9,F$184=""),"",IF(COUNTIFS(BD!$B$3:$B$5001,F$184,BD!$A$3:$A$5001,"&gt;="&amp;$C$7,BD!$A$3:$A$5001,"&lt;="&amp;$B205,BD!$L$3:$L$5001,"&lt;&gt;")=0,"",SUMIFS(BD!$L$3:$L$5001,BD!$B$3:$B$5001,F$184,BD!$A$3:$A$5001,_xlfn.MAXIFS(BD!$A$3:$A$5001,BD!$B$3:$B$5001,F$184,BD!$A$3:$A$5001,"&gt;="&amp;$C$7,BD!$A$3:$A$5001,"&lt;="&amp;$B205,BD!$L$3:$L$5001,"&lt;&gt;"))))</f>
        <v/>
      </c>
      <c r="G205" s="43" t="str">
        <f>IF(OR($B205="",$A205&gt;$B$9,G$184=""),"",IF(COUNTIFS(BD!$B$3:$B$5001,G$184,BD!$A$3:$A$5001,"&gt;="&amp;$C$7,BD!$A$3:$A$5001,"&lt;="&amp;$B205,BD!$L$3:$L$5001,"&lt;&gt;")=0,"",SUMIFS(BD!$L$3:$L$5001,BD!$B$3:$B$5001,G$184,BD!$A$3:$A$5001,_xlfn.MAXIFS(BD!$A$3:$A$5001,BD!$B$3:$B$5001,G$184,BD!$A$3:$A$5001,"&gt;="&amp;$C$7,BD!$A$3:$A$5001,"&lt;="&amp;$B205,BD!$L$3:$L$5001,"&lt;&gt;"))))</f>
        <v/>
      </c>
      <c r="H205" s="43" t="str">
        <f>IF(OR($B205="",$A205&gt;$B$9,H$184=""),"",IF(COUNTIFS(BD!$B$3:$B$5001,H$184,BD!$A$3:$A$5001,"&gt;="&amp;$C$7,BD!$A$3:$A$5001,"&lt;="&amp;$B205,BD!$L$3:$L$5001,"&lt;&gt;")=0,"",SUMIFS(BD!$L$3:$L$5001,BD!$B$3:$B$5001,H$184,BD!$A$3:$A$5001,_xlfn.MAXIFS(BD!$A$3:$A$5001,BD!$B$3:$B$5001,H$184,BD!$A$3:$A$5001,"&gt;="&amp;$C$7,BD!$A$3:$A$5001,"&lt;="&amp;$B205,BD!$L$3:$L$5001,"&lt;&gt;"))))</f>
        <v/>
      </c>
      <c r="I205" s="43" t="str">
        <f>IF(OR($B205="",$A205&gt;$B$9,I$184=""),"",IF(COUNTIFS(BD!$B$3:$B$5001,I$184,BD!$A$3:$A$5001,"&gt;="&amp;$C$7,BD!$A$3:$A$5001,"&lt;="&amp;$B205,BD!$L$3:$L$5001,"&lt;&gt;")=0,"",SUMIFS(BD!$L$3:$L$5001,BD!$B$3:$B$5001,I$184,BD!$A$3:$A$5001,_xlfn.MAXIFS(BD!$A$3:$A$5001,BD!$B$3:$B$5001,I$184,BD!$A$3:$A$5001,"&gt;="&amp;$C$7,BD!$A$3:$A$5001,"&lt;="&amp;$B205,BD!$L$3:$L$5001,"&lt;&gt;"))))</f>
        <v/>
      </c>
      <c r="J205" s="43" t="str">
        <f>IF(OR($B205="",$A205&gt;$B$9,J$184=""),"",IF(COUNTIFS(BD!$B$3:$B$5001,J$184,BD!$A$3:$A$5001,"&gt;="&amp;$C$7,BD!$A$3:$A$5001,"&lt;="&amp;$B205,BD!$L$3:$L$5001,"&lt;&gt;")=0,"",SUMIFS(BD!$L$3:$L$5001,BD!$B$3:$B$5001,J$184,BD!$A$3:$A$5001,_xlfn.MAXIFS(BD!$A$3:$A$5001,BD!$B$3:$B$5001,J$184,BD!$A$3:$A$5001,"&gt;="&amp;$C$7,BD!$A$3:$A$5001,"&lt;="&amp;$B205,BD!$L$3:$L$5001,"&lt;&gt;"))))</f>
        <v/>
      </c>
      <c r="K205" s="43" t="str">
        <f>IF(OR($B205="",$A205&gt;$B$9,K$184=""),"",IF(COUNTIFS(BD!$B$3:$B$5001,K$184,BD!$A$3:$A$5001,"&gt;="&amp;$C$7,BD!$A$3:$A$5001,"&lt;="&amp;$B205,BD!$L$3:$L$5001,"&lt;&gt;")=0,"",SUMIFS(BD!$L$3:$L$5001,BD!$B$3:$B$5001,K$184,BD!$A$3:$A$5001,_xlfn.MAXIFS(BD!$A$3:$A$5001,BD!$B$3:$B$5001,K$184,BD!$A$3:$A$5001,"&gt;="&amp;$C$7,BD!$A$3:$A$5001,"&lt;="&amp;$B205,BD!$L$3:$L$5001,"&lt;&gt;"))))</f>
        <v/>
      </c>
      <c r="L205" s="43" t="str">
        <f>IF(OR($B205="",$A205&gt;$B$9,L$184=""),"",IF(COUNTIFS(BD!$B$3:$B$5001,L$184,BD!$A$3:$A$5001,"&gt;="&amp;$C$7,BD!$A$3:$A$5001,"&lt;="&amp;$B205,BD!$L$3:$L$5001,"&lt;&gt;")=0,"",SUMIFS(BD!$L$3:$L$5001,BD!$B$3:$B$5001,L$184,BD!$A$3:$A$5001,_xlfn.MAXIFS(BD!$A$3:$A$5001,BD!$B$3:$B$5001,L$184,BD!$A$3:$A$5001,"&gt;="&amp;$C$7,BD!$A$3:$A$5001,"&lt;="&amp;$B205,BD!$L$3:$L$5001,"&lt;&gt;"))))</f>
        <v/>
      </c>
      <c r="M205" s="43" t="str">
        <f>IF(OR($B205="",$A205&gt;$B$9,M$184=""),"",IF(COUNTIFS(BD!$B$3:$B$5001,M$184,BD!$A$3:$A$5001,"&gt;="&amp;$C$7,BD!$A$3:$A$5001,"&lt;="&amp;$B205,BD!$L$3:$L$5001,"&lt;&gt;")=0,"",SUMIFS(BD!$L$3:$L$5001,BD!$B$3:$B$5001,M$184,BD!$A$3:$A$5001,_xlfn.MAXIFS(BD!$A$3:$A$5001,BD!$B$3:$B$5001,M$184,BD!$A$3:$A$5001,"&gt;="&amp;$C$7,BD!$A$3:$A$5001,"&lt;="&amp;$B205,BD!$L$3:$L$5001,"&lt;&gt;"))))</f>
        <v/>
      </c>
      <c r="N205" s="43" t="str">
        <f>IF(OR($B205="",$A205&gt;$B$9,N$184=""),"",IF(COUNTIFS(BD!$B$3:$B$5001,N$184,BD!$A$3:$A$5001,"&gt;="&amp;$C$7,BD!$A$3:$A$5001,"&lt;="&amp;$B205,BD!$L$3:$L$5001,"&lt;&gt;")=0,"",SUMIFS(BD!$L$3:$L$5001,BD!$B$3:$B$5001,N$184,BD!$A$3:$A$5001,_xlfn.MAXIFS(BD!$A$3:$A$5001,BD!$B$3:$B$5001,N$184,BD!$A$3:$A$5001,"&gt;="&amp;$C$7,BD!$A$3:$A$5001,"&lt;="&amp;$B205,BD!$L$3:$L$5001,"&lt;&gt;"))))</f>
        <v/>
      </c>
      <c r="O205" s="43" t="str">
        <f>IF(OR($B205="",$A205&gt;$B$9,O$184=""),"",IF(COUNTIFS(BD!$B$3:$B$5001,O$184,BD!$A$3:$A$5001,"&gt;="&amp;$C$7,BD!$A$3:$A$5001,"&lt;="&amp;$B205,BD!$L$3:$L$5001,"&lt;&gt;")=0,"",SUMIFS(BD!$L$3:$L$5001,BD!$B$3:$B$5001,O$184,BD!$A$3:$A$5001,_xlfn.MAXIFS(BD!$A$3:$A$5001,BD!$B$3:$B$5001,O$184,BD!$A$3:$A$5001,"&gt;="&amp;$C$7,BD!$A$3:$A$5001,"&lt;="&amp;$B205,BD!$L$3:$L$5001,"&lt;&gt;"))))</f>
        <v/>
      </c>
      <c r="P205" s="43" t="str">
        <f>IF(OR($B205="",$A205&gt;$B$9,P$184=""),"",IF(COUNTIFS(BD!$B$3:$B$5001,P$184,BD!$A$3:$A$5001,"&gt;="&amp;$C$7,BD!$A$3:$A$5001,"&lt;="&amp;$B205,BD!$L$3:$L$5001,"&lt;&gt;")=0,"",SUMIFS(BD!$L$3:$L$5001,BD!$B$3:$B$5001,P$184,BD!$A$3:$A$5001,_xlfn.MAXIFS(BD!$A$3:$A$5001,BD!$B$3:$B$5001,P$184,BD!$A$3:$A$5001,"&gt;="&amp;$C$7,BD!$A$3:$A$5001,"&lt;="&amp;$B205,BD!$L$3:$L$5001,"&lt;&gt;"))))</f>
        <v/>
      </c>
      <c r="Q205" s="43" t="str">
        <f>IF(OR($B205="",$A205&gt;$B$9,Q$184=""),"",IF(COUNTIFS(BD!$B$3:$B$5001,Q$184,BD!$A$3:$A$5001,"&gt;="&amp;$C$7,BD!$A$3:$A$5001,"&lt;="&amp;$B205,BD!$L$3:$L$5001,"&lt;&gt;")=0,"",SUMIFS(BD!$L$3:$L$5001,BD!$B$3:$B$5001,Q$184,BD!$A$3:$A$5001,_xlfn.MAXIFS(BD!$A$3:$A$5001,BD!$B$3:$B$5001,Q$184,BD!$A$3:$A$5001,"&gt;="&amp;$C$7,BD!$A$3:$A$5001,"&lt;="&amp;$B205,BD!$L$3:$L$5001,"&lt;&gt;"))))</f>
        <v/>
      </c>
      <c r="R205" s="43" t="str">
        <f>IF(OR($B205="",$A205&gt;$B$9,R$184=""),"",IF(COUNTIFS(BD!$B$3:$B$5001,R$184,BD!$A$3:$A$5001,"&gt;="&amp;$C$7,BD!$A$3:$A$5001,"&lt;="&amp;$B205,BD!$L$3:$L$5001,"&lt;&gt;")=0,"",SUMIFS(BD!$L$3:$L$5001,BD!$B$3:$B$5001,R$184,BD!$A$3:$A$5001,_xlfn.MAXIFS(BD!$A$3:$A$5001,BD!$B$3:$B$5001,R$184,BD!$A$3:$A$5001,"&gt;="&amp;$C$7,BD!$A$3:$A$5001,"&lt;="&amp;$B205,BD!$L$3:$L$5001,"&lt;&gt;"))))</f>
        <v/>
      </c>
      <c r="S205" s="43" t="str">
        <f>IF(OR($B205="",$A205&gt;$B$9,S$184=""),"",IF(COUNTIFS(BD!$B$3:$B$5001,S$184,BD!$A$3:$A$5001,"&gt;="&amp;$C$7,BD!$A$3:$A$5001,"&lt;="&amp;$B205,BD!$L$3:$L$5001,"&lt;&gt;")=0,"",SUMIFS(BD!$L$3:$L$5001,BD!$B$3:$B$5001,S$184,BD!$A$3:$A$5001,_xlfn.MAXIFS(BD!$A$3:$A$5001,BD!$B$3:$B$5001,S$184,BD!$A$3:$A$5001,"&gt;="&amp;$C$7,BD!$A$3:$A$5001,"&lt;="&amp;$B205,BD!$L$3:$L$5001,"&lt;&gt;"))))</f>
        <v/>
      </c>
      <c r="T205" s="43" t="str">
        <f>IF(OR($B205="",$A205&gt;$B$9,T$184=""),"",IF(COUNTIFS(BD!$B$3:$B$5001,T$184,BD!$A$3:$A$5001,"&gt;="&amp;$C$7,BD!$A$3:$A$5001,"&lt;="&amp;$B205,BD!$L$3:$L$5001,"&lt;&gt;")=0,"",SUMIFS(BD!$L$3:$L$5001,BD!$B$3:$B$5001,T$184,BD!$A$3:$A$5001,_xlfn.MAXIFS(BD!$A$3:$A$5001,BD!$B$3:$B$5001,T$184,BD!$A$3:$A$5001,"&gt;="&amp;$C$7,BD!$A$3:$A$5001,"&lt;="&amp;$B205,BD!$L$3:$L$5001,"&lt;&gt;"))))</f>
        <v/>
      </c>
      <c r="U205" s="43" t="str">
        <f>IF(OR($B205="",$A205&gt;$B$9,U$184=""),"",IF(COUNTIFS(BD!$B$3:$B$5001,U$184,BD!$A$3:$A$5001,"&gt;="&amp;$C$7,BD!$A$3:$A$5001,"&lt;="&amp;$B205,BD!$L$3:$L$5001,"&lt;&gt;")=0,"",SUMIFS(BD!$L$3:$L$5001,BD!$B$3:$B$5001,U$184,BD!$A$3:$A$5001,_xlfn.MAXIFS(BD!$A$3:$A$5001,BD!$B$3:$B$5001,U$184,BD!$A$3:$A$5001,"&gt;="&amp;$C$7,BD!$A$3:$A$5001,"&lt;="&amp;$B205,BD!$L$3:$L$5001,"&lt;&gt;"))))</f>
        <v/>
      </c>
      <c r="V205" s="43" t="str">
        <f>IF(OR($B205="",$A205&gt;$B$9,V$184=""),"",IF(COUNTIFS(BD!$B$3:$B$5001,V$184,BD!$A$3:$A$5001,"&gt;="&amp;$C$7,BD!$A$3:$A$5001,"&lt;="&amp;$B205,BD!$L$3:$L$5001,"&lt;&gt;")=0,"",SUMIFS(BD!$L$3:$L$5001,BD!$B$3:$B$5001,V$184,BD!$A$3:$A$5001,_xlfn.MAXIFS(BD!$A$3:$A$5001,BD!$B$3:$B$5001,V$184,BD!$A$3:$A$5001,"&gt;="&amp;$C$7,BD!$A$3:$A$5001,"&lt;="&amp;$B205,BD!$L$3:$L$5001,"&lt;&gt;"))))</f>
        <v/>
      </c>
    </row>
    <row r="206">
      <c r="A206" s="38">
        <v>22</v>
      </c>
      <c r="B206" s="42">
        <f>$B$33</f>
        <v>46317</v>
      </c>
      <c r="C206" s="43" t="str">
        <f>IF(OR($B206="",$A206&gt;$B$9,C$184=""),"",IF(COUNTIFS(BD!$B$3:$B$5001,C$184,BD!$A$3:$A$5001,"&gt;="&amp;$C$7,BD!$A$3:$A$5001,"&lt;="&amp;$B206,BD!$L$3:$L$5001,"&lt;&gt;")=0,"",SUMIFS(BD!$L$3:$L$5001,BD!$B$3:$B$5001,C$184,BD!$A$3:$A$5001,_xlfn.MAXIFS(BD!$A$3:$A$5001,BD!$B$3:$B$5001,C$184,BD!$A$3:$A$5001,"&gt;="&amp;$C$7,BD!$A$3:$A$5001,"&lt;="&amp;$B206,BD!$L$3:$L$5001,"&lt;&gt;"))))</f>
        <v/>
      </c>
      <c r="D206" s="43" t="str">
        <f>IF(OR($B206="",$A206&gt;$B$9,D$184=""),"",IF(COUNTIFS(BD!$B$3:$B$5001,D$184,BD!$A$3:$A$5001,"&gt;="&amp;$C$7,BD!$A$3:$A$5001,"&lt;="&amp;$B206,BD!$L$3:$L$5001,"&lt;&gt;")=0,"",SUMIFS(BD!$L$3:$L$5001,BD!$B$3:$B$5001,D$184,BD!$A$3:$A$5001,_xlfn.MAXIFS(BD!$A$3:$A$5001,BD!$B$3:$B$5001,D$184,BD!$A$3:$A$5001,"&gt;="&amp;$C$7,BD!$A$3:$A$5001,"&lt;="&amp;$B206,BD!$L$3:$L$5001,"&lt;&gt;"))))</f>
        <v/>
      </c>
      <c r="E206" s="43" t="str">
        <f>IF(OR($B206="",$A206&gt;$B$9,E$184=""),"",IF(COUNTIFS(BD!$B$3:$B$5001,E$184,BD!$A$3:$A$5001,"&gt;="&amp;$C$7,BD!$A$3:$A$5001,"&lt;="&amp;$B206,BD!$L$3:$L$5001,"&lt;&gt;")=0,"",SUMIFS(BD!$L$3:$L$5001,BD!$B$3:$B$5001,E$184,BD!$A$3:$A$5001,_xlfn.MAXIFS(BD!$A$3:$A$5001,BD!$B$3:$B$5001,E$184,BD!$A$3:$A$5001,"&gt;="&amp;$C$7,BD!$A$3:$A$5001,"&lt;="&amp;$B206,BD!$L$3:$L$5001,"&lt;&gt;"))))</f>
        <v/>
      </c>
      <c r="F206" s="43" t="str">
        <f>IF(OR($B206="",$A206&gt;$B$9,F$184=""),"",IF(COUNTIFS(BD!$B$3:$B$5001,F$184,BD!$A$3:$A$5001,"&gt;="&amp;$C$7,BD!$A$3:$A$5001,"&lt;="&amp;$B206,BD!$L$3:$L$5001,"&lt;&gt;")=0,"",SUMIFS(BD!$L$3:$L$5001,BD!$B$3:$B$5001,F$184,BD!$A$3:$A$5001,_xlfn.MAXIFS(BD!$A$3:$A$5001,BD!$B$3:$B$5001,F$184,BD!$A$3:$A$5001,"&gt;="&amp;$C$7,BD!$A$3:$A$5001,"&lt;="&amp;$B206,BD!$L$3:$L$5001,"&lt;&gt;"))))</f>
        <v/>
      </c>
      <c r="G206" s="43" t="str">
        <f>IF(OR($B206="",$A206&gt;$B$9,G$184=""),"",IF(COUNTIFS(BD!$B$3:$B$5001,G$184,BD!$A$3:$A$5001,"&gt;="&amp;$C$7,BD!$A$3:$A$5001,"&lt;="&amp;$B206,BD!$L$3:$L$5001,"&lt;&gt;")=0,"",SUMIFS(BD!$L$3:$L$5001,BD!$B$3:$B$5001,G$184,BD!$A$3:$A$5001,_xlfn.MAXIFS(BD!$A$3:$A$5001,BD!$B$3:$B$5001,G$184,BD!$A$3:$A$5001,"&gt;="&amp;$C$7,BD!$A$3:$A$5001,"&lt;="&amp;$B206,BD!$L$3:$L$5001,"&lt;&gt;"))))</f>
        <v/>
      </c>
      <c r="H206" s="43" t="str">
        <f>IF(OR($B206="",$A206&gt;$B$9,H$184=""),"",IF(COUNTIFS(BD!$B$3:$B$5001,H$184,BD!$A$3:$A$5001,"&gt;="&amp;$C$7,BD!$A$3:$A$5001,"&lt;="&amp;$B206,BD!$L$3:$L$5001,"&lt;&gt;")=0,"",SUMIFS(BD!$L$3:$L$5001,BD!$B$3:$B$5001,H$184,BD!$A$3:$A$5001,_xlfn.MAXIFS(BD!$A$3:$A$5001,BD!$B$3:$B$5001,H$184,BD!$A$3:$A$5001,"&gt;="&amp;$C$7,BD!$A$3:$A$5001,"&lt;="&amp;$B206,BD!$L$3:$L$5001,"&lt;&gt;"))))</f>
        <v/>
      </c>
      <c r="I206" s="43" t="str">
        <f>IF(OR($B206="",$A206&gt;$B$9,I$184=""),"",IF(COUNTIFS(BD!$B$3:$B$5001,I$184,BD!$A$3:$A$5001,"&gt;="&amp;$C$7,BD!$A$3:$A$5001,"&lt;="&amp;$B206,BD!$L$3:$L$5001,"&lt;&gt;")=0,"",SUMIFS(BD!$L$3:$L$5001,BD!$B$3:$B$5001,I$184,BD!$A$3:$A$5001,_xlfn.MAXIFS(BD!$A$3:$A$5001,BD!$B$3:$B$5001,I$184,BD!$A$3:$A$5001,"&gt;="&amp;$C$7,BD!$A$3:$A$5001,"&lt;="&amp;$B206,BD!$L$3:$L$5001,"&lt;&gt;"))))</f>
        <v/>
      </c>
      <c r="J206" s="43" t="str">
        <f>IF(OR($B206="",$A206&gt;$B$9,J$184=""),"",IF(COUNTIFS(BD!$B$3:$B$5001,J$184,BD!$A$3:$A$5001,"&gt;="&amp;$C$7,BD!$A$3:$A$5001,"&lt;="&amp;$B206,BD!$L$3:$L$5001,"&lt;&gt;")=0,"",SUMIFS(BD!$L$3:$L$5001,BD!$B$3:$B$5001,J$184,BD!$A$3:$A$5001,_xlfn.MAXIFS(BD!$A$3:$A$5001,BD!$B$3:$B$5001,J$184,BD!$A$3:$A$5001,"&gt;="&amp;$C$7,BD!$A$3:$A$5001,"&lt;="&amp;$B206,BD!$L$3:$L$5001,"&lt;&gt;"))))</f>
        <v/>
      </c>
      <c r="K206" s="43" t="str">
        <f>IF(OR($B206="",$A206&gt;$B$9,K$184=""),"",IF(COUNTIFS(BD!$B$3:$B$5001,K$184,BD!$A$3:$A$5001,"&gt;="&amp;$C$7,BD!$A$3:$A$5001,"&lt;="&amp;$B206,BD!$L$3:$L$5001,"&lt;&gt;")=0,"",SUMIFS(BD!$L$3:$L$5001,BD!$B$3:$B$5001,K$184,BD!$A$3:$A$5001,_xlfn.MAXIFS(BD!$A$3:$A$5001,BD!$B$3:$B$5001,K$184,BD!$A$3:$A$5001,"&gt;="&amp;$C$7,BD!$A$3:$A$5001,"&lt;="&amp;$B206,BD!$L$3:$L$5001,"&lt;&gt;"))))</f>
        <v/>
      </c>
      <c r="L206" s="43" t="str">
        <f>IF(OR($B206="",$A206&gt;$B$9,L$184=""),"",IF(COUNTIFS(BD!$B$3:$B$5001,L$184,BD!$A$3:$A$5001,"&gt;="&amp;$C$7,BD!$A$3:$A$5001,"&lt;="&amp;$B206,BD!$L$3:$L$5001,"&lt;&gt;")=0,"",SUMIFS(BD!$L$3:$L$5001,BD!$B$3:$B$5001,L$184,BD!$A$3:$A$5001,_xlfn.MAXIFS(BD!$A$3:$A$5001,BD!$B$3:$B$5001,L$184,BD!$A$3:$A$5001,"&gt;="&amp;$C$7,BD!$A$3:$A$5001,"&lt;="&amp;$B206,BD!$L$3:$L$5001,"&lt;&gt;"))))</f>
        <v/>
      </c>
      <c r="M206" s="43" t="str">
        <f>IF(OR($B206="",$A206&gt;$B$9,M$184=""),"",IF(COUNTIFS(BD!$B$3:$B$5001,M$184,BD!$A$3:$A$5001,"&gt;="&amp;$C$7,BD!$A$3:$A$5001,"&lt;="&amp;$B206,BD!$L$3:$L$5001,"&lt;&gt;")=0,"",SUMIFS(BD!$L$3:$L$5001,BD!$B$3:$B$5001,M$184,BD!$A$3:$A$5001,_xlfn.MAXIFS(BD!$A$3:$A$5001,BD!$B$3:$B$5001,M$184,BD!$A$3:$A$5001,"&gt;="&amp;$C$7,BD!$A$3:$A$5001,"&lt;="&amp;$B206,BD!$L$3:$L$5001,"&lt;&gt;"))))</f>
        <v/>
      </c>
      <c r="N206" s="43" t="str">
        <f>IF(OR($B206="",$A206&gt;$B$9,N$184=""),"",IF(COUNTIFS(BD!$B$3:$B$5001,N$184,BD!$A$3:$A$5001,"&gt;="&amp;$C$7,BD!$A$3:$A$5001,"&lt;="&amp;$B206,BD!$L$3:$L$5001,"&lt;&gt;")=0,"",SUMIFS(BD!$L$3:$L$5001,BD!$B$3:$B$5001,N$184,BD!$A$3:$A$5001,_xlfn.MAXIFS(BD!$A$3:$A$5001,BD!$B$3:$B$5001,N$184,BD!$A$3:$A$5001,"&gt;="&amp;$C$7,BD!$A$3:$A$5001,"&lt;="&amp;$B206,BD!$L$3:$L$5001,"&lt;&gt;"))))</f>
        <v/>
      </c>
      <c r="O206" s="43" t="str">
        <f>IF(OR($B206="",$A206&gt;$B$9,O$184=""),"",IF(COUNTIFS(BD!$B$3:$B$5001,O$184,BD!$A$3:$A$5001,"&gt;="&amp;$C$7,BD!$A$3:$A$5001,"&lt;="&amp;$B206,BD!$L$3:$L$5001,"&lt;&gt;")=0,"",SUMIFS(BD!$L$3:$L$5001,BD!$B$3:$B$5001,O$184,BD!$A$3:$A$5001,_xlfn.MAXIFS(BD!$A$3:$A$5001,BD!$B$3:$B$5001,O$184,BD!$A$3:$A$5001,"&gt;="&amp;$C$7,BD!$A$3:$A$5001,"&lt;="&amp;$B206,BD!$L$3:$L$5001,"&lt;&gt;"))))</f>
        <v/>
      </c>
      <c r="P206" s="43" t="str">
        <f>IF(OR($B206="",$A206&gt;$B$9,P$184=""),"",IF(COUNTIFS(BD!$B$3:$B$5001,P$184,BD!$A$3:$A$5001,"&gt;="&amp;$C$7,BD!$A$3:$A$5001,"&lt;="&amp;$B206,BD!$L$3:$L$5001,"&lt;&gt;")=0,"",SUMIFS(BD!$L$3:$L$5001,BD!$B$3:$B$5001,P$184,BD!$A$3:$A$5001,_xlfn.MAXIFS(BD!$A$3:$A$5001,BD!$B$3:$B$5001,P$184,BD!$A$3:$A$5001,"&gt;="&amp;$C$7,BD!$A$3:$A$5001,"&lt;="&amp;$B206,BD!$L$3:$L$5001,"&lt;&gt;"))))</f>
        <v/>
      </c>
      <c r="Q206" s="43" t="str">
        <f>IF(OR($B206="",$A206&gt;$B$9,Q$184=""),"",IF(COUNTIFS(BD!$B$3:$B$5001,Q$184,BD!$A$3:$A$5001,"&gt;="&amp;$C$7,BD!$A$3:$A$5001,"&lt;="&amp;$B206,BD!$L$3:$L$5001,"&lt;&gt;")=0,"",SUMIFS(BD!$L$3:$L$5001,BD!$B$3:$B$5001,Q$184,BD!$A$3:$A$5001,_xlfn.MAXIFS(BD!$A$3:$A$5001,BD!$B$3:$B$5001,Q$184,BD!$A$3:$A$5001,"&gt;="&amp;$C$7,BD!$A$3:$A$5001,"&lt;="&amp;$B206,BD!$L$3:$L$5001,"&lt;&gt;"))))</f>
        <v/>
      </c>
      <c r="R206" s="43" t="str">
        <f>IF(OR($B206="",$A206&gt;$B$9,R$184=""),"",IF(COUNTIFS(BD!$B$3:$B$5001,R$184,BD!$A$3:$A$5001,"&gt;="&amp;$C$7,BD!$A$3:$A$5001,"&lt;="&amp;$B206,BD!$L$3:$L$5001,"&lt;&gt;")=0,"",SUMIFS(BD!$L$3:$L$5001,BD!$B$3:$B$5001,R$184,BD!$A$3:$A$5001,_xlfn.MAXIFS(BD!$A$3:$A$5001,BD!$B$3:$B$5001,R$184,BD!$A$3:$A$5001,"&gt;="&amp;$C$7,BD!$A$3:$A$5001,"&lt;="&amp;$B206,BD!$L$3:$L$5001,"&lt;&gt;"))))</f>
        <v/>
      </c>
      <c r="S206" s="43" t="str">
        <f>IF(OR($B206="",$A206&gt;$B$9,S$184=""),"",IF(COUNTIFS(BD!$B$3:$B$5001,S$184,BD!$A$3:$A$5001,"&gt;="&amp;$C$7,BD!$A$3:$A$5001,"&lt;="&amp;$B206,BD!$L$3:$L$5001,"&lt;&gt;")=0,"",SUMIFS(BD!$L$3:$L$5001,BD!$B$3:$B$5001,S$184,BD!$A$3:$A$5001,_xlfn.MAXIFS(BD!$A$3:$A$5001,BD!$B$3:$B$5001,S$184,BD!$A$3:$A$5001,"&gt;="&amp;$C$7,BD!$A$3:$A$5001,"&lt;="&amp;$B206,BD!$L$3:$L$5001,"&lt;&gt;"))))</f>
        <v/>
      </c>
      <c r="T206" s="43" t="str">
        <f>IF(OR($B206="",$A206&gt;$B$9,T$184=""),"",IF(COUNTIFS(BD!$B$3:$B$5001,T$184,BD!$A$3:$A$5001,"&gt;="&amp;$C$7,BD!$A$3:$A$5001,"&lt;="&amp;$B206,BD!$L$3:$L$5001,"&lt;&gt;")=0,"",SUMIFS(BD!$L$3:$L$5001,BD!$B$3:$B$5001,T$184,BD!$A$3:$A$5001,_xlfn.MAXIFS(BD!$A$3:$A$5001,BD!$B$3:$B$5001,T$184,BD!$A$3:$A$5001,"&gt;="&amp;$C$7,BD!$A$3:$A$5001,"&lt;="&amp;$B206,BD!$L$3:$L$5001,"&lt;&gt;"))))</f>
        <v/>
      </c>
      <c r="U206" s="43" t="str">
        <f>IF(OR($B206="",$A206&gt;$B$9,U$184=""),"",IF(COUNTIFS(BD!$B$3:$B$5001,U$184,BD!$A$3:$A$5001,"&gt;="&amp;$C$7,BD!$A$3:$A$5001,"&lt;="&amp;$B206,BD!$L$3:$L$5001,"&lt;&gt;")=0,"",SUMIFS(BD!$L$3:$L$5001,BD!$B$3:$B$5001,U$184,BD!$A$3:$A$5001,_xlfn.MAXIFS(BD!$A$3:$A$5001,BD!$B$3:$B$5001,U$184,BD!$A$3:$A$5001,"&gt;="&amp;$C$7,BD!$A$3:$A$5001,"&lt;="&amp;$B206,BD!$L$3:$L$5001,"&lt;&gt;"))))</f>
        <v/>
      </c>
      <c r="V206" s="43" t="str">
        <f>IF(OR($B206="",$A206&gt;$B$9,V$184=""),"",IF(COUNTIFS(BD!$B$3:$B$5001,V$184,BD!$A$3:$A$5001,"&gt;="&amp;$C$7,BD!$A$3:$A$5001,"&lt;="&amp;$B206,BD!$L$3:$L$5001,"&lt;&gt;")=0,"",SUMIFS(BD!$L$3:$L$5001,BD!$B$3:$B$5001,V$184,BD!$A$3:$A$5001,_xlfn.MAXIFS(BD!$A$3:$A$5001,BD!$B$3:$B$5001,V$184,BD!$A$3:$A$5001,"&gt;="&amp;$C$7,BD!$A$3:$A$5001,"&lt;="&amp;$B206,BD!$L$3:$L$5001,"&lt;&gt;"))))</f>
        <v/>
      </c>
    </row>
    <row r="207">
      <c r="A207" s="38">
        <v>23</v>
      </c>
      <c r="B207" s="42">
        <f>$B$34</f>
        <v>46318</v>
      </c>
      <c r="C207" s="43" t="str">
        <f>IF(OR($B207="",$A207&gt;$B$9,C$184=""),"",IF(COUNTIFS(BD!$B$3:$B$5001,C$184,BD!$A$3:$A$5001,"&gt;="&amp;$C$7,BD!$A$3:$A$5001,"&lt;="&amp;$B207,BD!$L$3:$L$5001,"&lt;&gt;")=0,"",SUMIFS(BD!$L$3:$L$5001,BD!$B$3:$B$5001,C$184,BD!$A$3:$A$5001,_xlfn.MAXIFS(BD!$A$3:$A$5001,BD!$B$3:$B$5001,C$184,BD!$A$3:$A$5001,"&gt;="&amp;$C$7,BD!$A$3:$A$5001,"&lt;="&amp;$B207,BD!$L$3:$L$5001,"&lt;&gt;"))))</f>
        <v/>
      </c>
      <c r="D207" s="43" t="str">
        <f>IF(OR($B207="",$A207&gt;$B$9,D$184=""),"",IF(COUNTIFS(BD!$B$3:$B$5001,D$184,BD!$A$3:$A$5001,"&gt;="&amp;$C$7,BD!$A$3:$A$5001,"&lt;="&amp;$B207,BD!$L$3:$L$5001,"&lt;&gt;")=0,"",SUMIFS(BD!$L$3:$L$5001,BD!$B$3:$B$5001,D$184,BD!$A$3:$A$5001,_xlfn.MAXIFS(BD!$A$3:$A$5001,BD!$B$3:$B$5001,D$184,BD!$A$3:$A$5001,"&gt;="&amp;$C$7,BD!$A$3:$A$5001,"&lt;="&amp;$B207,BD!$L$3:$L$5001,"&lt;&gt;"))))</f>
        <v/>
      </c>
      <c r="E207" s="43" t="str">
        <f>IF(OR($B207="",$A207&gt;$B$9,E$184=""),"",IF(COUNTIFS(BD!$B$3:$B$5001,E$184,BD!$A$3:$A$5001,"&gt;="&amp;$C$7,BD!$A$3:$A$5001,"&lt;="&amp;$B207,BD!$L$3:$L$5001,"&lt;&gt;")=0,"",SUMIFS(BD!$L$3:$L$5001,BD!$B$3:$B$5001,E$184,BD!$A$3:$A$5001,_xlfn.MAXIFS(BD!$A$3:$A$5001,BD!$B$3:$B$5001,E$184,BD!$A$3:$A$5001,"&gt;="&amp;$C$7,BD!$A$3:$A$5001,"&lt;="&amp;$B207,BD!$L$3:$L$5001,"&lt;&gt;"))))</f>
        <v/>
      </c>
      <c r="F207" s="43" t="str">
        <f>IF(OR($B207="",$A207&gt;$B$9,F$184=""),"",IF(COUNTIFS(BD!$B$3:$B$5001,F$184,BD!$A$3:$A$5001,"&gt;="&amp;$C$7,BD!$A$3:$A$5001,"&lt;="&amp;$B207,BD!$L$3:$L$5001,"&lt;&gt;")=0,"",SUMIFS(BD!$L$3:$L$5001,BD!$B$3:$B$5001,F$184,BD!$A$3:$A$5001,_xlfn.MAXIFS(BD!$A$3:$A$5001,BD!$B$3:$B$5001,F$184,BD!$A$3:$A$5001,"&gt;="&amp;$C$7,BD!$A$3:$A$5001,"&lt;="&amp;$B207,BD!$L$3:$L$5001,"&lt;&gt;"))))</f>
        <v/>
      </c>
      <c r="G207" s="43" t="str">
        <f>IF(OR($B207="",$A207&gt;$B$9,G$184=""),"",IF(COUNTIFS(BD!$B$3:$B$5001,G$184,BD!$A$3:$A$5001,"&gt;="&amp;$C$7,BD!$A$3:$A$5001,"&lt;="&amp;$B207,BD!$L$3:$L$5001,"&lt;&gt;")=0,"",SUMIFS(BD!$L$3:$L$5001,BD!$B$3:$B$5001,G$184,BD!$A$3:$A$5001,_xlfn.MAXIFS(BD!$A$3:$A$5001,BD!$B$3:$B$5001,G$184,BD!$A$3:$A$5001,"&gt;="&amp;$C$7,BD!$A$3:$A$5001,"&lt;="&amp;$B207,BD!$L$3:$L$5001,"&lt;&gt;"))))</f>
        <v/>
      </c>
      <c r="H207" s="43" t="str">
        <f>IF(OR($B207="",$A207&gt;$B$9,H$184=""),"",IF(COUNTIFS(BD!$B$3:$B$5001,H$184,BD!$A$3:$A$5001,"&gt;="&amp;$C$7,BD!$A$3:$A$5001,"&lt;="&amp;$B207,BD!$L$3:$L$5001,"&lt;&gt;")=0,"",SUMIFS(BD!$L$3:$L$5001,BD!$B$3:$B$5001,H$184,BD!$A$3:$A$5001,_xlfn.MAXIFS(BD!$A$3:$A$5001,BD!$B$3:$B$5001,H$184,BD!$A$3:$A$5001,"&gt;="&amp;$C$7,BD!$A$3:$A$5001,"&lt;="&amp;$B207,BD!$L$3:$L$5001,"&lt;&gt;"))))</f>
        <v/>
      </c>
      <c r="I207" s="43" t="str">
        <f>IF(OR($B207="",$A207&gt;$B$9,I$184=""),"",IF(COUNTIFS(BD!$B$3:$B$5001,I$184,BD!$A$3:$A$5001,"&gt;="&amp;$C$7,BD!$A$3:$A$5001,"&lt;="&amp;$B207,BD!$L$3:$L$5001,"&lt;&gt;")=0,"",SUMIFS(BD!$L$3:$L$5001,BD!$B$3:$B$5001,I$184,BD!$A$3:$A$5001,_xlfn.MAXIFS(BD!$A$3:$A$5001,BD!$B$3:$B$5001,I$184,BD!$A$3:$A$5001,"&gt;="&amp;$C$7,BD!$A$3:$A$5001,"&lt;="&amp;$B207,BD!$L$3:$L$5001,"&lt;&gt;"))))</f>
        <v/>
      </c>
      <c r="J207" s="43" t="str">
        <f>IF(OR($B207="",$A207&gt;$B$9,J$184=""),"",IF(COUNTIFS(BD!$B$3:$B$5001,J$184,BD!$A$3:$A$5001,"&gt;="&amp;$C$7,BD!$A$3:$A$5001,"&lt;="&amp;$B207,BD!$L$3:$L$5001,"&lt;&gt;")=0,"",SUMIFS(BD!$L$3:$L$5001,BD!$B$3:$B$5001,J$184,BD!$A$3:$A$5001,_xlfn.MAXIFS(BD!$A$3:$A$5001,BD!$B$3:$B$5001,J$184,BD!$A$3:$A$5001,"&gt;="&amp;$C$7,BD!$A$3:$A$5001,"&lt;="&amp;$B207,BD!$L$3:$L$5001,"&lt;&gt;"))))</f>
        <v/>
      </c>
      <c r="K207" s="43" t="str">
        <f>IF(OR($B207="",$A207&gt;$B$9,K$184=""),"",IF(COUNTIFS(BD!$B$3:$B$5001,K$184,BD!$A$3:$A$5001,"&gt;="&amp;$C$7,BD!$A$3:$A$5001,"&lt;="&amp;$B207,BD!$L$3:$L$5001,"&lt;&gt;")=0,"",SUMIFS(BD!$L$3:$L$5001,BD!$B$3:$B$5001,K$184,BD!$A$3:$A$5001,_xlfn.MAXIFS(BD!$A$3:$A$5001,BD!$B$3:$B$5001,K$184,BD!$A$3:$A$5001,"&gt;="&amp;$C$7,BD!$A$3:$A$5001,"&lt;="&amp;$B207,BD!$L$3:$L$5001,"&lt;&gt;"))))</f>
        <v/>
      </c>
      <c r="L207" s="43" t="str">
        <f>IF(OR($B207="",$A207&gt;$B$9,L$184=""),"",IF(COUNTIFS(BD!$B$3:$B$5001,L$184,BD!$A$3:$A$5001,"&gt;="&amp;$C$7,BD!$A$3:$A$5001,"&lt;="&amp;$B207,BD!$L$3:$L$5001,"&lt;&gt;")=0,"",SUMIFS(BD!$L$3:$L$5001,BD!$B$3:$B$5001,L$184,BD!$A$3:$A$5001,_xlfn.MAXIFS(BD!$A$3:$A$5001,BD!$B$3:$B$5001,L$184,BD!$A$3:$A$5001,"&gt;="&amp;$C$7,BD!$A$3:$A$5001,"&lt;="&amp;$B207,BD!$L$3:$L$5001,"&lt;&gt;"))))</f>
        <v/>
      </c>
      <c r="M207" s="43" t="str">
        <f>IF(OR($B207="",$A207&gt;$B$9,M$184=""),"",IF(COUNTIFS(BD!$B$3:$B$5001,M$184,BD!$A$3:$A$5001,"&gt;="&amp;$C$7,BD!$A$3:$A$5001,"&lt;="&amp;$B207,BD!$L$3:$L$5001,"&lt;&gt;")=0,"",SUMIFS(BD!$L$3:$L$5001,BD!$B$3:$B$5001,M$184,BD!$A$3:$A$5001,_xlfn.MAXIFS(BD!$A$3:$A$5001,BD!$B$3:$B$5001,M$184,BD!$A$3:$A$5001,"&gt;="&amp;$C$7,BD!$A$3:$A$5001,"&lt;="&amp;$B207,BD!$L$3:$L$5001,"&lt;&gt;"))))</f>
        <v/>
      </c>
      <c r="N207" s="43" t="str">
        <f>IF(OR($B207="",$A207&gt;$B$9,N$184=""),"",IF(COUNTIFS(BD!$B$3:$B$5001,N$184,BD!$A$3:$A$5001,"&gt;="&amp;$C$7,BD!$A$3:$A$5001,"&lt;="&amp;$B207,BD!$L$3:$L$5001,"&lt;&gt;")=0,"",SUMIFS(BD!$L$3:$L$5001,BD!$B$3:$B$5001,N$184,BD!$A$3:$A$5001,_xlfn.MAXIFS(BD!$A$3:$A$5001,BD!$B$3:$B$5001,N$184,BD!$A$3:$A$5001,"&gt;="&amp;$C$7,BD!$A$3:$A$5001,"&lt;="&amp;$B207,BD!$L$3:$L$5001,"&lt;&gt;"))))</f>
        <v/>
      </c>
      <c r="O207" s="43" t="str">
        <f>IF(OR($B207="",$A207&gt;$B$9,O$184=""),"",IF(COUNTIFS(BD!$B$3:$B$5001,O$184,BD!$A$3:$A$5001,"&gt;="&amp;$C$7,BD!$A$3:$A$5001,"&lt;="&amp;$B207,BD!$L$3:$L$5001,"&lt;&gt;")=0,"",SUMIFS(BD!$L$3:$L$5001,BD!$B$3:$B$5001,O$184,BD!$A$3:$A$5001,_xlfn.MAXIFS(BD!$A$3:$A$5001,BD!$B$3:$B$5001,O$184,BD!$A$3:$A$5001,"&gt;="&amp;$C$7,BD!$A$3:$A$5001,"&lt;="&amp;$B207,BD!$L$3:$L$5001,"&lt;&gt;"))))</f>
        <v/>
      </c>
      <c r="P207" s="43" t="str">
        <f>IF(OR($B207="",$A207&gt;$B$9,P$184=""),"",IF(COUNTIFS(BD!$B$3:$B$5001,P$184,BD!$A$3:$A$5001,"&gt;="&amp;$C$7,BD!$A$3:$A$5001,"&lt;="&amp;$B207,BD!$L$3:$L$5001,"&lt;&gt;")=0,"",SUMIFS(BD!$L$3:$L$5001,BD!$B$3:$B$5001,P$184,BD!$A$3:$A$5001,_xlfn.MAXIFS(BD!$A$3:$A$5001,BD!$B$3:$B$5001,P$184,BD!$A$3:$A$5001,"&gt;="&amp;$C$7,BD!$A$3:$A$5001,"&lt;="&amp;$B207,BD!$L$3:$L$5001,"&lt;&gt;"))))</f>
        <v/>
      </c>
      <c r="Q207" s="43" t="str">
        <f>IF(OR($B207="",$A207&gt;$B$9,Q$184=""),"",IF(COUNTIFS(BD!$B$3:$B$5001,Q$184,BD!$A$3:$A$5001,"&gt;="&amp;$C$7,BD!$A$3:$A$5001,"&lt;="&amp;$B207,BD!$L$3:$L$5001,"&lt;&gt;")=0,"",SUMIFS(BD!$L$3:$L$5001,BD!$B$3:$B$5001,Q$184,BD!$A$3:$A$5001,_xlfn.MAXIFS(BD!$A$3:$A$5001,BD!$B$3:$B$5001,Q$184,BD!$A$3:$A$5001,"&gt;="&amp;$C$7,BD!$A$3:$A$5001,"&lt;="&amp;$B207,BD!$L$3:$L$5001,"&lt;&gt;"))))</f>
        <v/>
      </c>
      <c r="R207" s="43" t="str">
        <f>IF(OR($B207="",$A207&gt;$B$9,R$184=""),"",IF(COUNTIFS(BD!$B$3:$B$5001,R$184,BD!$A$3:$A$5001,"&gt;="&amp;$C$7,BD!$A$3:$A$5001,"&lt;="&amp;$B207,BD!$L$3:$L$5001,"&lt;&gt;")=0,"",SUMIFS(BD!$L$3:$L$5001,BD!$B$3:$B$5001,R$184,BD!$A$3:$A$5001,_xlfn.MAXIFS(BD!$A$3:$A$5001,BD!$B$3:$B$5001,R$184,BD!$A$3:$A$5001,"&gt;="&amp;$C$7,BD!$A$3:$A$5001,"&lt;="&amp;$B207,BD!$L$3:$L$5001,"&lt;&gt;"))))</f>
        <v/>
      </c>
      <c r="S207" s="43" t="str">
        <f>IF(OR($B207="",$A207&gt;$B$9,S$184=""),"",IF(COUNTIFS(BD!$B$3:$B$5001,S$184,BD!$A$3:$A$5001,"&gt;="&amp;$C$7,BD!$A$3:$A$5001,"&lt;="&amp;$B207,BD!$L$3:$L$5001,"&lt;&gt;")=0,"",SUMIFS(BD!$L$3:$L$5001,BD!$B$3:$B$5001,S$184,BD!$A$3:$A$5001,_xlfn.MAXIFS(BD!$A$3:$A$5001,BD!$B$3:$B$5001,S$184,BD!$A$3:$A$5001,"&gt;="&amp;$C$7,BD!$A$3:$A$5001,"&lt;="&amp;$B207,BD!$L$3:$L$5001,"&lt;&gt;"))))</f>
        <v/>
      </c>
      <c r="T207" s="43" t="str">
        <f>IF(OR($B207="",$A207&gt;$B$9,T$184=""),"",IF(COUNTIFS(BD!$B$3:$B$5001,T$184,BD!$A$3:$A$5001,"&gt;="&amp;$C$7,BD!$A$3:$A$5001,"&lt;="&amp;$B207,BD!$L$3:$L$5001,"&lt;&gt;")=0,"",SUMIFS(BD!$L$3:$L$5001,BD!$B$3:$B$5001,T$184,BD!$A$3:$A$5001,_xlfn.MAXIFS(BD!$A$3:$A$5001,BD!$B$3:$B$5001,T$184,BD!$A$3:$A$5001,"&gt;="&amp;$C$7,BD!$A$3:$A$5001,"&lt;="&amp;$B207,BD!$L$3:$L$5001,"&lt;&gt;"))))</f>
        <v/>
      </c>
      <c r="U207" s="43" t="str">
        <f>IF(OR($B207="",$A207&gt;$B$9,U$184=""),"",IF(COUNTIFS(BD!$B$3:$B$5001,U$184,BD!$A$3:$A$5001,"&gt;="&amp;$C$7,BD!$A$3:$A$5001,"&lt;="&amp;$B207,BD!$L$3:$L$5001,"&lt;&gt;")=0,"",SUMIFS(BD!$L$3:$L$5001,BD!$B$3:$B$5001,U$184,BD!$A$3:$A$5001,_xlfn.MAXIFS(BD!$A$3:$A$5001,BD!$B$3:$B$5001,U$184,BD!$A$3:$A$5001,"&gt;="&amp;$C$7,BD!$A$3:$A$5001,"&lt;="&amp;$B207,BD!$L$3:$L$5001,"&lt;&gt;"))))</f>
        <v/>
      </c>
      <c r="V207" s="43" t="str">
        <f>IF(OR($B207="",$A207&gt;$B$9,V$184=""),"",IF(COUNTIFS(BD!$B$3:$B$5001,V$184,BD!$A$3:$A$5001,"&gt;="&amp;$C$7,BD!$A$3:$A$5001,"&lt;="&amp;$B207,BD!$L$3:$L$5001,"&lt;&gt;")=0,"",SUMIFS(BD!$L$3:$L$5001,BD!$B$3:$B$5001,V$184,BD!$A$3:$A$5001,_xlfn.MAXIFS(BD!$A$3:$A$5001,BD!$B$3:$B$5001,V$184,BD!$A$3:$A$5001,"&gt;="&amp;$C$7,BD!$A$3:$A$5001,"&lt;="&amp;$B207,BD!$L$3:$L$5001,"&lt;&gt;"))))</f>
        <v/>
      </c>
    </row>
    <row r="208">
      <c r="A208" s="38">
        <v>24</v>
      </c>
      <c r="B208" s="42">
        <f>$B$35</f>
        <v>46319</v>
      </c>
      <c r="C208" s="43" t="str">
        <f>IF(OR($B208="",$A208&gt;$B$9,C$184=""),"",IF(COUNTIFS(BD!$B$3:$B$5001,C$184,BD!$A$3:$A$5001,"&gt;="&amp;$C$7,BD!$A$3:$A$5001,"&lt;="&amp;$B208,BD!$L$3:$L$5001,"&lt;&gt;")=0,"",SUMIFS(BD!$L$3:$L$5001,BD!$B$3:$B$5001,C$184,BD!$A$3:$A$5001,_xlfn.MAXIFS(BD!$A$3:$A$5001,BD!$B$3:$B$5001,C$184,BD!$A$3:$A$5001,"&gt;="&amp;$C$7,BD!$A$3:$A$5001,"&lt;="&amp;$B208,BD!$L$3:$L$5001,"&lt;&gt;"))))</f>
        <v/>
      </c>
      <c r="D208" s="43" t="str">
        <f>IF(OR($B208="",$A208&gt;$B$9,D$184=""),"",IF(COUNTIFS(BD!$B$3:$B$5001,D$184,BD!$A$3:$A$5001,"&gt;="&amp;$C$7,BD!$A$3:$A$5001,"&lt;="&amp;$B208,BD!$L$3:$L$5001,"&lt;&gt;")=0,"",SUMIFS(BD!$L$3:$L$5001,BD!$B$3:$B$5001,D$184,BD!$A$3:$A$5001,_xlfn.MAXIFS(BD!$A$3:$A$5001,BD!$B$3:$B$5001,D$184,BD!$A$3:$A$5001,"&gt;="&amp;$C$7,BD!$A$3:$A$5001,"&lt;="&amp;$B208,BD!$L$3:$L$5001,"&lt;&gt;"))))</f>
        <v/>
      </c>
      <c r="E208" s="43" t="str">
        <f>IF(OR($B208="",$A208&gt;$B$9,E$184=""),"",IF(COUNTIFS(BD!$B$3:$B$5001,E$184,BD!$A$3:$A$5001,"&gt;="&amp;$C$7,BD!$A$3:$A$5001,"&lt;="&amp;$B208,BD!$L$3:$L$5001,"&lt;&gt;")=0,"",SUMIFS(BD!$L$3:$L$5001,BD!$B$3:$B$5001,E$184,BD!$A$3:$A$5001,_xlfn.MAXIFS(BD!$A$3:$A$5001,BD!$B$3:$B$5001,E$184,BD!$A$3:$A$5001,"&gt;="&amp;$C$7,BD!$A$3:$A$5001,"&lt;="&amp;$B208,BD!$L$3:$L$5001,"&lt;&gt;"))))</f>
        <v/>
      </c>
      <c r="F208" s="43" t="str">
        <f>IF(OR($B208="",$A208&gt;$B$9,F$184=""),"",IF(COUNTIFS(BD!$B$3:$B$5001,F$184,BD!$A$3:$A$5001,"&gt;="&amp;$C$7,BD!$A$3:$A$5001,"&lt;="&amp;$B208,BD!$L$3:$L$5001,"&lt;&gt;")=0,"",SUMIFS(BD!$L$3:$L$5001,BD!$B$3:$B$5001,F$184,BD!$A$3:$A$5001,_xlfn.MAXIFS(BD!$A$3:$A$5001,BD!$B$3:$B$5001,F$184,BD!$A$3:$A$5001,"&gt;="&amp;$C$7,BD!$A$3:$A$5001,"&lt;="&amp;$B208,BD!$L$3:$L$5001,"&lt;&gt;"))))</f>
        <v/>
      </c>
      <c r="G208" s="43" t="str">
        <f>IF(OR($B208="",$A208&gt;$B$9,G$184=""),"",IF(COUNTIFS(BD!$B$3:$B$5001,G$184,BD!$A$3:$A$5001,"&gt;="&amp;$C$7,BD!$A$3:$A$5001,"&lt;="&amp;$B208,BD!$L$3:$L$5001,"&lt;&gt;")=0,"",SUMIFS(BD!$L$3:$L$5001,BD!$B$3:$B$5001,G$184,BD!$A$3:$A$5001,_xlfn.MAXIFS(BD!$A$3:$A$5001,BD!$B$3:$B$5001,G$184,BD!$A$3:$A$5001,"&gt;="&amp;$C$7,BD!$A$3:$A$5001,"&lt;="&amp;$B208,BD!$L$3:$L$5001,"&lt;&gt;"))))</f>
        <v/>
      </c>
      <c r="H208" s="43" t="str">
        <f>IF(OR($B208="",$A208&gt;$B$9,H$184=""),"",IF(COUNTIFS(BD!$B$3:$B$5001,H$184,BD!$A$3:$A$5001,"&gt;="&amp;$C$7,BD!$A$3:$A$5001,"&lt;="&amp;$B208,BD!$L$3:$L$5001,"&lt;&gt;")=0,"",SUMIFS(BD!$L$3:$L$5001,BD!$B$3:$B$5001,H$184,BD!$A$3:$A$5001,_xlfn.MAXIFS(BD!$A$3:$A$5001,BD!$B$3:$B$5001,H$184,BD!$A$3:$A$5001,"&gt;="&amp;$C$7,BD!$A$3:$A$5001,"&lt;="&amp;$B208,BD!$L$3:$L$5001,"&lt;&gt;"))))</f>
        <v/>
      </c>
      <c r="I208" s="43" t="str">
        <f>IF(OR($B208="",$A208&gt;$B$9,I$184=""),"",IF(COUNTIFS(BD!$B$3:$B$5001,I$184,BD!$A$3:$A$5001,"&gt;="&amp;$C$7,BD!$A$3:$A$5001,"&lt;="&amp;$B208,BD!$L$3:$L$5001,"&lt;&gt;")=0,"",SUMIFS(BD!$L$3:$L$5001,BD!$B$3:$B$5001,I$184,BD!$A$3:$A$5001,_xlfn.MAXIFS(BD!$A$3:$A$5001,BD!$B$3:$B$5001,I$184,BD!$A$3:$A$5001,"&gt;="&amp;$C$7,BD!$A$3:$A$5001,"&lt;="&amp;$B208,BD!$L$3:$L$5001,"&lt;&gt;"))))</f>
        <v/>
      </c>
      <c r="J208" s="43" t="str">
        <f>IF(OR($B208="",$A208&gt;$B$9,J$184=""),"",IF(COUNTIFS(BD!$B$3:$B$5001,J$184,BD!$A$3:$A$5001,"&gt;="&amp;$C$7,BD!$A$3:$A$5001,"&lt;="&amp;$B208,BD!$L$3:$L$5001,"&lt;&gt;")=0,"",SUMIFS(BD!$L$3:$L$5001,BD!$B$3:$B$5001,J$184,BD!$A$3:$A$5001,_xlfn.MAXIFS(BD!$A$3:$A$5001,BD!$B$3:$B$5001,J$184,BD!$A$3:$A$5001,"&gt;="&amp;$C$7,BD!$A$3:$A$5001,"&lt;="&amp;$B208,BD!$L$3:$L$5001,"&lt;&gt;"))))</f>
        <v/>
      </c>
      <c r="K208" s="43" t="str">
        <f>IF(OR($B208="",$A208&gt;$B$9,K$184=""),"",IF(COUNTIFS(BD!$B$3:$B$5001,K$184,BD!$A$3:$A$5001,"&gt;="&amp;$C$7,BD!$A$3:$A$5001,"&lt;="&amp;$B208,BD!$L$3:$L$5001,"&lt;&gt;")=0,"",SUMIFS(BD!$L$3:$L$5001,BD!$B$3:$B$5001,K$184,BD!$A$3:$A$5001,_xlfn.MAXIFS(BD!$A$3:$A$5001,BD!$B$3:$B$5001,K$184,BD!$A$3:$A$5001,"&gt;="&amp;$C$7,BD!$A$3:$A$5001,"&lt;="&amp;$B208,BD!$L$3:$L$5001,"&lt;&gt;"))))</f>
        <v/>
      </c>
      <c r="L208" s="43" t="str">
        <f>IF(OR($B208="",$A208&gt;$B$9,L$184=""),"",IF(COUNTIFS(BD!$B$3:$B$5001,L$184,BD!$A$3:$A$5001,"&gt;="&amp;$C$7,BD!$A$3:$A$5001,"&lt;="&amp;$B208,BD!$L$3:$L$5001,"&lt;&gt;")=0,"",SUMIFS(BD!$L$3:$L$5001,BD!$B$3:$B$5001,L$184,BD!$A$3:$A$5001,_xlfn.MAXIFS(BD!$A$3:$A$5001,BD!$B$3:$B$5001,L$184,BD!$A$3:$A$5001,"&gt;="&amp;$C$7,BD!$A$3:$A$5001,"&lt;="&amp;$B208,BD!$L$3:$L$5001,"&lt;&gt;"))))</f>
        <v/>
      </c>
      <c r="M208" s="43" t="str">
        <f>IF(OR($B208="",$A208&gt;$B$9,M$184=""),"",IF(COUNTIFS(BD!$B$3:$B$5001,M$184,BD!$A$3:$A$5001,"&gt;="&amp;$C$7,BD!$A$3:$A$5001,"&lt;="&amp;$B208,BD!$L$3:$L$5001,"&lt;&gt;")=0,"",SUMIFS(BD!$L$3:$L$5001,BD!$B$3:$B$5001,M$184,BD!$A$3:$A$5001,_xlfn.MAXIFS(BD!$A$3:$A$5001,BD!$B$3:$B$5001,M$184,BD!$A$3:$A$5001,"&gt;="&amp;$C$7,BD!$A$3:$A$5001,"&lt;="&amp;$B208,BD!$L$3:$L$5001,"&lt;&gt;"))))</f>
        <v/>
      </c>
      <c r="N208" s="43" t="str">
        <f>IF(OR($B208="",$A208&gt;$B$9,N$184=""),"",IF(COUNTIFS(BD!$B$3:$B$5001,N$184,BD!$A$3:$A$5001,"&gt;="&amp;$C$7,BD!$A$3:$A$5001,"&lt;="&amp;$B208,BD!$L$3:$L$5001,"&lt;&gt;")=0,"",SUMIFS(BD!$L$3:$L$5001,BD!$B$3:$B$5001,N$184,BD!$A$3:$A$5001,_xlfn.MAXIFS(BD!$A$3:$A$5001,BD!$B$3:$B$5001,N$184,BD!$A$3:$A$5001,"&gt;="&amp;$C$7,BD!$A$3:$A$5001,"&lt;="&amp;$B208,BD!$L$3:$L$5001,"&lt;&gt;"))))</f>
        <v/>
      </c>
      <c r="O208" s="43" t="str">
        <f>IF(OR($B208="",$A208&gt;$B$9,O$184=""),"",IF(COUNTIFS(BD!$B$3:$B$5001,O$184,BD!$A$3:$A$5001,"&gt;="&amp;$C$7,BD!$A$3:$A$5001,"&lt;="&amp;$B208,BD!$L$3:$L$5001,"&lt;&gt;")=0,"",SUMIFS(BD!$L$3:$L$5001,BD!$B$3:$B$5001,O$184,BD!$A$3:$A$5001,_xlfn.MAXIFS(BD!$A$3:$A$5001,BD!$B$3:$B$5001,O$184,BD!$A$3:$A$5001,"&gt;="&amp;$C$7,BD!$A$3:$A$5001,"&lt;="&amp;$B208,BD!$L$3:$L$5001,"&lt;&gt;"))))</f>
        <v/>
      </c>
      <c r="P208" s="43" t="str">
        <f>IF(OR($B208="",$A208&gt;$B$9,P$184=""),"",IF(COUNTIFS(BD!$B$3:$B$5001,P$184,BD!$A$3:$A$5001,"&gt;="&amp;$C$7,BD!$A$3:$A$5001,"&lt;="&amp;$B208,BD!$L$3:$L$5001,"&lt;&gt;")=0,"",SUMIFS(BD!$L$3:$L$5001,BD!$B$3:$B$5001,P$184,BD!$A$3:$A$5001,_xlfn.MAXIFS(BD!$A$3:$A$5001,BD!$B$3:$B$5001,P$184,BD!$A$3:$A$5001,"&gt;="&amp;$C$7,BD!$A$3:$A$5001,"&lt;="&amp;$B208,BD!$L$3:$L$5001,"&lt;&gt;"))))</f>
        <v/>
      </c>
      <c r="Q208" s="43" t="str">
        <f>IF(OR($B208="",$A208&gt;$B$9,Q$184=""),"",IF(COUNTIFS(BD!$B$3:$B$5001,Q$184,BD!$A$3:$A$5001,"&gt;="&amp;$C$7,BD!$A$3:$A$5001,"&lt;="&amp;$B208,BD!$L$3:$L$5001,"&lt;&gt;")=0,"",SUMIFS(BD!$L$3:$L$5001,BD!$B$3:$B$5001,Q$184,BD!$A$3:$A$5001,_xlfn.MAXIFS(BD!$A$3:$A$5001,BD!$B$3:$B$5001,Q$184,BD!$A$3:$A$5001,"&gt;="&amp;$C$7,BD!$A$3:$A$5001,"&lt;="&amp;$B208,BD!$L$3:$L$5001,"&lt;&gt;"))))</f>
        <v/>
      </c>
      <c r="R208" s="43" t="str">
        <f>IF(OR($B208="",$A208&gt;$B$9,R$184=""),"",IF(COUNTIFS(BD!$B$3:$B$5001,R$184,BD!$A$3:$A$5001,"&gt;="&amp;$C$7,BD!$A$3:$A$5001,"&lt;="&amp;$B208,BD!$L$3:$L$5001,"&lt;&gt;")=0,"",SUMIFS(BD!$L$3:$L$5001,BD!$B$3:$B$5001,R$184,BD!$A$3:$A$5001,_xlfn.MAXIFS(BD!$A$3:$A$5001,BD!$B$3:$B$5001,R$184,BD!$A$3:$A$5001,"&gt;="&amp;$C$7,BD!$A$3:$A$5001,"&lt;="&amp;$B208,BD!$L$3:$L$5001,"&lt;&gt;"))))</f>
        <v/>
      </c>
      <c r="S208" s="43" t="str">
        <f>IF(OR($B208="",$A208&gt;$B$9,S$184=""),"",IF(COUNTIFS(BD!$B$3:$B$5001,S$184,BD!$A$3:$A$5001,"&gt;="&amp;$C$7,BD!$A$3:$A$5001,"&lt;="&amp;$B208,BD!$L$3:$L$5001,"&lt;&gt;")=0,"",SUMIFS(BD!$L$3:$L$5001,BD!$B$3:$B$5001,S$184,BD!$A$3:$A$5001,_xlfn.MAXIFS(BD!$A$3:$A$5001,BD!$B$3:$B$5001,S$184,BD!$A$3:$A$5001,"&gt;="&amp;$C$7,BD!$A$3:$A$5001,"&lt;="&amp;$B208,BD!$L$3:$L$5001,"&lt;&gt;"))))</f>
        <v/>
      </c>
      <c r="T208" s="43" t="str">
        <f>IF(OR($B208="",$A208&gt;$B$9,T$184=""),"",IF(COUNTIFS(BD!$B$3:$B$5001,T$184,BD!$A$3:$A$5001,"&gt;="&amp;$C$7,BD!$A$3:$A$5001,"&lt;="&amp;$B208,BD!$L$3:$L$5001,"&lt;&gt;")=0,"",SUMIFS(BD!$L$3:$L$5001,BD!$B$3:$B$5001,T$184,BD!$A$3:$A$5001,_xlfn.MAXIFS(BD!$A$3:$A$5001,BD!$B$3:$B$5001,T$184,BD!$A$3:$A$5001,"&gt;="&amp;$C$7,BD!$A$3:$A$5001,"&lt;="&amp;$B208,BD!$L$3:$L$5001,"&lt;&gt;"))))</f>
        <v/>
      </c>
      <c r="U208" s="43" t="str">
        <f>IF(OR($B208="",$A208&gt;$B$9,U$184=""),"",IF(COUNTIFS(BD!$B$3:$B$5001,U$184,BD!$A$3:$A$5001,"&gt;="&amp;$C$7,BD!$A$3:$A$5001,"&lt;="&amp;$B208,BD!$L$3:$L$5001,"&lt;&gt;")=0,"",SUMIFS(BD!$L$3:$L$5001,BD!$B$3:$B$5001,U$184,BD!$A$3:$A$5001,_xlfn.MAXIFS(BD!$A$3:$A$5001,BD!$B$3:$B$5001,U$184,BD!$A$3:$A$5001,"&gt;="&amp;$C$7,BD!$A$3:$A$5001,"&lt;="&amp;$B208,BD!$L$3:$L$5001,"&lt;&gt;"))))</f>
        <v/>
      </c>
      <c r="V208" s="43" t="str">
        <f>IF(OR($B208="",$A208&gt;$B$9,V$184=""),"",IF(COUNTIFS(BD!$B$3:$B$5001,V$184,BD!$A$3:$A$5001,"&gt;="&amp;$C$7,BD!$A$3:$A$5001,"&lt;="&amp;$B208,BD!$L$3:$L$5001,"&lt;&gt;")=0,"",SUMIFS(BD!$L$3:$L$5001,BD!$B$3:$B$5001,V$184,BD!$A$3:$A$5001,_xlfn.MAXIFS(BD!$A$3:$A$5001,BD!$B$3:$B$5001,V$184,BD!$A$3:$A$5001,"&gt;="&amp;$C$7,BD!$A$3:$A$5001,"&lt;="&amp;$B208,BD!$L$3:$L$5001,"&lt;&gt;"))))</f>
        <v/>
      </c>
    </row>
    <row r="209">
      <c r="A209" s="38">
        <v>25</v>
      </c>
      <c r="B209" s="42">
        <f>$B$36</f>
        <v>46320</v>
      </c>
      <c r="C209" s="43" t="str">
        <f>IF(OR($B209="",$A209&gt;$B$9,C$184=""),"",IF(COUNTIFS(BD!$B$3:$B$5001,C$184,BD!$A$3:$A$5001,"&gt;="&amp;$C$7,BD!$A$3:$A$5001,"&lt;="&amp;$B209,BD!$L$3:$L$5001,"&lt;&gt;")=0,"",SUMIFS(BD!$L$3:$L$5001,BD!$B$3:$B$5001,C$184,BD!$A$3:$A$5001,_xlfn.MAXIFS(BD!$A$3:$A$5001,BD!$B$3:$B$5001,C$184,BD!$A$3:$A$5001,"&gt;="&amp;$C$7,BD!$A$3:$A$5001,"&lt;="&amp;$B209,BD!$L$3:$L$5001,"&lt;&gt;"))))</f>
        <v/>
      </c>
      <c r="D209" s="43" t="str">
        <f>IF(OR($B209="",$A209&gt;$B$9,D$184=""),"",IF(COUNTIFS(BD!$B$3:$B$5001,D$184,BD!$A$3:$A$5001,"&gt;="&amp;$C$7,BD!$A$3:$A$5001,"&lt;="&amp;$B209,BD!$L$3:$L$5001,"&lt;&gt;")=0,"",SUMIFS(BD!$L$3:$L$5001,BD!$B$3:$B$5001,D$184,BD!$A$3:$A$5001,_xlfn.MAXIFS(BD!$A$3:$A$5001,BD!$B$3:$B$5001,D$184,BD!$A$3:$A$5001,"&gt;="&amp;$C$7,BD!$A$3:$A$5001,"&lt;="&amp;$B209,BD!$L$3:$L$5001,"&lt;&gt;"))))</f>
        <v/>
      </c>
      <c r="E209" s="43" t="str">
        <f>IF(OR($B209="",$A209&gt;$B$9,E$184=""),"",IF(COUNTIFS(BD!$B$3:$B$5001,E$184,BD!$A$3:$A$5001,"&gt;="&amp;$C$7,BD!$A$3:$A$5001,"&lt;="&amp;$B209,BD!$L$3:$L$5001,"&lt;&gt;")=0,"",SUMIFS(BD!$L$3:$L$5001,BD!$B$3:$B$5001,E$184,BD!$A$3:$A$5001,_xlfn.MAXIFS(BD!$A$3:$A$5001,BD!$B$3:$B$5001,E$184,BD!$A$3:$A$5001,"&gt;="&amp;$C$7,BD!$A$3:$A$5001,"&lt;="&amp;$B209,BD!$L$3:$L$5001,"&lt;&gt;"))))</f>
        <v/>
      </c>
      <c r="F209" s="43" t="str">
        <f>IF(OR($B209="",$A209&gt;$B$9,F$184=""),"",IF(COUNTIFS(BD!$B$3:$B$5001,F$184,BD!$A$3:$A$5001,"&gt;="&amp;$C$7,BD!$A$3:$A$5001,"&lt;="&amp;$B209,BD!$L$3:$L$5001,"&lt;&gt;")=0,"",SUMIFS(BD!$L$3:$L$5001,BD!$B$3:$B$5001,F$184,BD!$A$3:$A$5001,_xlfn.MAXIFS(BD!$A$3:$A$5001,BD!$B$3:$B$5001,F$184,BD!$A$3:$A$5001,"&gt;="&amp;$C$7,BD!$A$3:$A$5001,"&lt;="&amp;$B209,BD!$L$3:$L$5001,"&lt;&gt;"))))</f>
        <v/>
      </c>
      <c r="G209" s="43" t="str">
        <f>IF(OR($B209="",$A209&gt;$B$9,G$184=""),"",IF(COUNTIFS(BD!$B$3:$B$5001,G$184,BD!$A$3:$A$5001,"&gt;="&amp;$C$7,BD!$A$3:$A$5001,"&lt;="&amp;$B209,BD!$L$3:$L$5001,"&lt;&gt;")=0,"",SUMIFS(BD!$L$3:$L$5001,BD!$B$3:$B$5001,G$184,BD!$A$3:$A$5001,_xlfn.MAXIFS(BD!$A$3:$A$5001,BD!$B$3:$B$5001,G$184,BD!$A$3:$A$5001,"&gt;="&amp;$C$7,BD!$A$3:$A$5001,"&lt;="&amp;$B209,BD!$L$3:$L$5001,"&lt;&gt;"))))</f>
        <v/>
      </c>
      <c r="H209" s="43" t="str">
        <f>IF(OR($B209="",$A209&gt;$B$9,H$184=""),"",IF(COUNTIFS(BD!$B$3:$B$5001,H$184,BD!$A$3:$A$5001,"&gt;="&amp;$C$7,BD!$A$3:$A$5001,"&lt;="&amp;$B209,BD!$L$3:$L$5001,"&lt;&gt;")=0,"",SUMIFS(BD!$L$3:$L$5001,BD!$B$3:$B$5001,H$184,BD!$A$3:$A$5001,_xlfn.MAXIFS(BD!$A$3:$A$5001,BD!$B$3:$B$5001,H$184,BD!$A$3:$A$5001,"&gt;="&amp;$C$7,BD!$A$3:$A$5001,"&lt;="&amp;$B209,BD!$L$3:$L$5001,"&lt;&gt;"))))</f>
        <v/>
      </c>
      <c r="I209" s="43" t="str">
        <f>IF(OR($B209="",$A209&gt;$B$9,I$184=""),"",IF(COUNTIFS(BD!$B$3:$B$5001,I$184,BD!$A$3:$A$5001,"&gt;="&amp;$C$7,BD!$A$3:$A$5001,"&lt;="&amp;$B209,BD!$L$3:$L$5001,"&lt;&gt;")=0,"",SUMIFS(BD!$L$3:$L$5001,BD!$B$3:$B$5001,I$184,BD!$A$3:$A$5001,_xlfn.MAXIFS(BD!$A$3:$A$5001,BD!$B$3:$B$5001,I$184,BD!$A$3:$A$5001,"&gt;="&amp;$C$7,BD!$A$3:$A$5001,"&lt;="&amp;$B209,BD!$L$3:$L$5001,"&lt;&gt;"))))</f>
        <v/>
      </c>
      <c r="J209" s="43" t="str">
        <f>IF(OR($B209="",$A209&gt;$B$9,J$184=""),"",IF(COUNTIFS(BD!$B$3:$B$5001,J$184,BD!$A$3:$A$5001,"&gt;="&amp;$C$7,BD!$A$3:$A$5001,"&lt;="&amp;$B209,BD!$L$3:$L$5001,"&lt;&gt;")=0,"",SUMIFS(BD!$L$3:$L$5001,BD!$B$3:$B$5001,J$184,BD!$A$3:$A$5001,_xlfn.MAXIFS(BD!$A$3:$A$5001,BD!$B$3:$B$5001,J$184,BD!$A$3:$A$5001,"&gt;="&amp;$C$7,BD!$A$3:$A$5001,"&lt;="&amp;$B209,BD!$L$3:$L$5001,"&lt;&gt;"))))</f>
        <v/>
      </c>
      <c r="K209" s="43" t="str">
        <f>IF(OR($B209="",$A209&gt;$B$9,K$184=""),"",IF(COUNTIFS(BD!$B$3:$B$5001,K$184,BD!$A$3:$A$5001,"&gt;="&amp;$C$7,BD!$A$3:$A$5001,"&lt;="&amp;$B209,BD!$L$3:$L$5001,"&lt;&gt;")=0,"",SUMIFS(BD!$L$3:$L$5001,BD!$B$3:$B$5001,K$184,BD!$A$3:$A$5001,_xlfn.MAXIFS(BD!$A$3:$A$5001,BD!$B$3:$B$5001,K$184,BD!$A$3:$A$5001,"&gt;="&amp;$C$7,BD!$A$3:$A$5001,"&lt;="&amp;$B209,BD!$L$3:$L$5001,"&lt;&gt;"))))</f>
        <v/>
      </c>
      <c r="L209" s="43" t="str">
        <f>IF(OR($B209="",$A209&gt;$B$9,L$184=""),"",IF(COUNTIFS(BD!$B$3:$B$5001,L$184,BD!$A$3:$A$5001,"&gt;="&amp;$C$7,BD!$A$3:$A$5001,"&lt;="&amp;$B209,BD!$L$3:$L$5001,"&lt;&gt;")=0,"",SUMIFS(BD!$L$3:$L$5001,BD!$B$3:$B$5001,L$184,BD!$A$3:$A$5001,_xlfn.MAXIFS(BD!$A$3:$A$5001,BD!$B$3:$B$5001,L$184,BD!$A$3:$A$5001,"&gt;="&amp;$C$7,BD!$A$3:$A$5001,"&lt;="&amp;$B209,BD!$L$3:$L$5001,"&lt;&gt;"))))</f>
        <v/>
      </c>
      <c r="M209" s="43" t="str">
        <f>IF(OR($B209="",$A209&gt;$B$9,M$184=""),"",IF(COUNTIFS(BD!$B$3:$B$5001,M$184,BD!$A$3:$A$5001,"&gt;="&amp;$C$7,BD!$A$3:$A$5001,"&lt;="&amp;$B209,BD!$L$3:$L$5001,"&lt;&gt;")=0,"",SUMIFS(BD!$L$3:$L$5001,BD!$B$3:$B$5001,M$184,BD!$A$3:$A$5001,_xlfn.MAXIFS(BD!$A$3:$A$5001,BD!$B$3:$B$5001,M$184,BD!$A$3:$A$5001,"&gt;="&amp;$C$7,BD!$A$3:$A$5001,"&lt;="&amp;$B209,BD!$L$3:$L$5001,"&lt;&gt;"))))</f>
        <v/>
      </c>
      <c r="N209" s="43" t="str">
        <f>IF(OR($B209="",$A209&gt;$B$9,N$184=""),"",IF(COUNTIFS(BD!$B$3:$B$5001,N$184,BD!$A$3:$A$5001,"&gt;="&amp;$C$7,BD!$A$3:$A$5001,"&lt;="&amp;$B209,BD!$L$3:$L$5001,"&lt;&gt;")=0,"",SUMIFS(BD!$L$3:$L$5001,BD!$B$3:$B$5001,N$184,BD!$A$3:$A$5001,_xlfn.MAXIFS(BD!$A$3:$A$5001,BD!$B$3:$B$5001,N$184,BD!$A$3:$A$5001,"&gt;="&amp;$C$7,BD!$A$3:$A$5001,"&lt;="&amp;$B209,BD!$L$3:$L$5001,"&lt;&gt;"))))</f>
        <v/>
      </c>
      <c r="O209" s="43" t="str">
        <f>IF(OR($B209="",$A209&gt;$B$9,O$184=""),"",IF(COUNTIFS(BD!$B$3:$B$5001,O$184,BD!$A$3:$A$5001,"&gt;="&amp;$C$7,BD!$A$3:$A$5001,"&lt;="&amp;$B209,BD!$L$3:$L$5001,"&lt;&gt;")=0,"",SUMIFS(BD!$L$3:$L$5001,BD!$B$3:$B$5001,O$184,BD!$A$3:$A$5001,_xlfn.MAXIFS(BD!$A$3:$A$5001,BD!$B$3:$B$5001,O$184,BD!$A$3:$A$5001,"&gt;="&amp;$C$7,BD!$A$3:$A$5001,"&lt;="&amp;$B209,BD!$L$3:$L$5001,"&lt;&gt;"))))</f>
        <v/>
      </c>
      <c r="P209" s="43" t="str">
        <f>IF(OR($B209="",$A209&gt;$B$9,P$184=""),"",IF(COUNTIFS(BD!$B$3:$B$5001,P$184,BD!$A$3:$A$5001,"&gt;="&amp;$C$7,BD!$A$3:$A$5001,"&lt;="&amp;$B209,BD!$L$3:$L$5001,"&lt;&gt;")=0,"",SUMIFS(BD!$L$3:$L$5001,BD!$B$3:$B$5001,P$184,BD!$A$3:$A$5001,_xlfn.MAXIFS(BD!$A$3:$A$5001,BD!$B$3:$B$5001,P$184,BD!$A$3:$A$5001,"&gt;="&amp;$C$7,BD!$A$3:$A$5001,"&lt;="&amp;$B209,BD!$L$3:$L$5001,"&lt;&gt;"))))</f>
        <v/>
      </c>
      <c r="Q209" s="43" t="str">
        <f>IF(OR($B209="",$A209&gt;$B$9,Q$184=""),"",IF(COUNTIFS(BD!$B$3:$B$5001,Q$184,BD!$A$3:$A$5001,"&gt;="&amp;$C$7,BD!$A$3:$A$5001,"&lt;="&amp;$B209,BD!$L$3:$L$5001,"&lt;&gt;")=0,"",SUMIFS(BD!$L$3:$L$5001,BD!$B$3:$B$5001,Q$184,BD!$A$3:$A$5001,_xlfn.MAXIFS(BD!$A$3:$A$5001,BD!$B$3:$B$5001,Q$184,BD!$A$3:$A$5001,"&gt;="&amp;$C$7,BD!$A$3:$A$5001,"&lt;="&amp;$B209,BD!$L$3:$L$5001,"&lt;&gt;"))))</f>
        <v/>
      </c>
      <c r="R209" s="43" t="str">
        <f>IF(OR($B209="",$A209&gt;$B$9,R$184=""),"",IF(COUNTIFS(BD!$B$3:$B$5001,R$184,BD!$A$3:$A$5001,"&gt;="&amp;$C$7,BD!$A$3:$A$5001,"&lt;="&amp;$B209,BD!$L$3:$L$5001,"&lt;&gt;")=0,"",SUMIFS(BD!$L$3:$L$5001,BD!$B$3:$B$5001,R$184,BD!$A$3:$A$5001,_xlfn.MAXIFS(BD!$A$3:$A$5001,BD!$B$3:$B$5001,R$184,BD!$A$3:$A$5001,"&gt;="&amp;$C$7,BD!$A$3:$A$5001,"&lt;="&amp;$B209,BD!$L$3:$L$5001,"&lt;&gt;"))))</f>
        <v/>
      </c>
      <c r="S209" s="43" t="str">
        <f>IF(OR($B209="",$A209&gt;$B$9,S$184=""),"",IF(COUNTIFS(BD!$B$3:$B$5001,S$184,BD!$A$3:$A$5001,"&gt;="&amp;$C$7,BD!$A$3:$A$5001,"&lt;="&amp;$B209,BD!$L$3:$L$5001,"&lt;&gt;")=0,"",SUMIFS(BD!$L$3:$L$5001,BD!$B$3:$B$5001,S$184,BD!$A$3:$A$5001,_xlfn.MAXIFS(BD!$A$3:$A$5001,BD!$B$3:$B$5001,S$184,BD!$A$3:$A$5001,"&gt;="&amp;$C$7,BD!$A$3:$A$5001,"&lt;="&amp;$B209,BD!$L$3:$L$5001,"&lt;&gt;"))))</f>
        <v/>
      </c>
      <c r="T209" s="43" t="str">
        <f>IF(OR($B209="",$A209&gt;$B$9,T$184=""),"",IF(COUNTIFS(BD!$B$3:$B$5001,T$184,BD!$A$3:$A$5001,"&gt;="&amp;$C$7,BD!$A$3:$A$5001,"&lt;="&amp;$B209,BD!$L$3:$L$5001,"&lt;&gt;")=0,"",SUMIFS(BD!$L$3:$L$5001,BD!$B$3:$B$5001,T$184,BD!$A$3:$A$5001,_xlfn.MAXIFS(BD!$A$3:$A$5001,BD!$B$3:$B$5001,T$184,BD!$A$3:$A$5001,"&gt;="&amp;$C$7,BD!$A$3:$A$5001,"&lt;="&amp;$B209,BD!$L$3:$L$5001,"&lt;&gt;"))))</f>
        <v/>
      </c>
      <c r="U209" s="43" t="str">
        <f>IF(OR($B209="",$A209&gt;$B$9,U$184=""),"",IF(COUNTIFS(BD!$B$3:$B$5001,U$184,BD!$A$3:$A$5001,"&gt;="&amp;$C$7,BD!$A$3:$A$5001,"&lt;="&amp;$B209,BD!$L$3:$L$5001,"&lt;&gt;")=0,"",SUMIFS(BD!$L$3:$L$5001,BD!$B$3:$B$5001,U$184,BD!$A$3:$A$5001,_xlfn.MAXIFS(BD!$A$3:$A$5001,BD!$B$3:$B$5001,U$184,BD!$A$3:$A$5001,"&gt;="&amp;$C$7,BD!$A$3:$A$5001,"&lt;="&amp;$B209,BD!$L$3:$L$5001,"&lt;&gt;"))))</f>
        <v/>
      </c>
      <c r="V209" s="43" t="str">
        <f>IF(OR($B209="",$A209&gt;$B$9,V$184=""),"",IF(COUNTIFS(BD!$B$3:$B$5001,V$184,BD!$A$3:$A$5001,"&gt;="&amp;$C$7,BD!$A$3:$A$5001,"&lt;="&amp;$B209,BD!$L$3:$L$5001,"&lt;&gt;")=0,"",SUMIFS(BD!$L$3:$L$5001,BD!$B$3:$B$5001,V$184,BD!$A$3:$A$5001,_xlfn.MAXIFS(BD!$A$3:$A$5001,BD!$B$3:$B$5001,V$184,BD!$A$3:$A$5001,"&gt;="&amp;$C$7,BD!$A$3:$A$5001,"&lt;="&amp;$B209,BD!$L$3:$L$5001,"&lt;&gt;"))))</f>
        <v/>
      </c>
    </row>
    <row r="210">
      <c r="A210" s="38">
        <v>26</v>
      </c>
      <c r="B210" s="42">
        <f>$B$37</f>
        <v>46321</v>
      </c>
      <c r="C210" s="43" t="str">
        <f>IF(OR($B210="",$A210&gt;$B$9,C$184=""),"",IF(COUNTIFS(BD!$B$3:$B$5001,C$184,BD!$A$3:$A$5001,"&gt;="&amp;$C$7,BD!$A$3:$A$5001,"&lt;="&amp;$B210,BD!$L$3:$L$5001,"&lt;&gt;")=0,"",SUMIFS(BD!$L$3:$L$5001,BD!$B$3:$B$5001,C$184,BD!$A$3:$A$5001,_xlfn.MAXIFS(BD!$A$3:$A$5001,BD!$B$3:$B$5001,C$184,BD!$A$3:$A$5001,"&gt;="&amp;$C$7,BD!$A$3:$A$5001,"&lt;="&amp;$B210,BD!$L$3:$L$5001,"&lt;&gt;"))))</f>
        <v/>
      </c>
      <c r="D210" s="43" t="str">
        <f>IF(OR($B210="",$A210&gt;$B$9,D$184=""),"",IF(COUNTIFS(BD!$B$3:$B$5001,D$184,BD!$A$3:$A$5001,"&gt;="&amp;$C$7,BD!$A$3:$A$5001,"&lt;="&amp;$B210,BD!$L$3:$L$5001,"&lt;&gt;")=0,"",SUMIFS(BD!$L$3:$L$5001,BD!$B$3:$B$5001,D$184,BD!$A$3:$A$5001,_xlfn.MAXIFS(BD!$A$3:$A$5001,BD!$B$3:$B$5001,D$184,BD!$A$3:$A$5001,"&gt;="&amp;$C$7,BD!$A$3:$A$5001,"&lt;="&amp;$B210,BD!$L$3:$L$5001,"&lt;&gt;"))))</f>
        <v/>
      </c>
      <c r="E210" s="43" t="str">
        <f>IF(OR($B210="",$A210&gt;$B$9,E$184=""),"",IF(COUNTIFS(BD!$B$3:$B$5001,E$184,BD!$A$3:$A$5001,"&gt;="&amp;$C$7,BD!$A$3:$A$5001,"&lt;="&amp;$B210,BD!$L$3:$L$5001,"&lt;&gt;")=0,"",SUMIFS(BD!$L$3:$L$5001,BD!$B$3:$B$5001,E$184,BD!$A$3:$A$5001,_xlfn.MAXIFS(BD!$A$3:$A$5001,BD!$B$3:$B$5001,E$184,BD!$A$3:$A$5001,"&gt;="&amp;$C$7,BD!$A$3:$A$5001,"&lt;="&amp;$B210,BD!$L$3:$L$5001,"&lt;&gt;"))))</f>
        <v/>
      </c>
      <c r="F210" s="43" t="str">
        <f>IF(OR($B210="",$A210&gt;$B$9,F$184=""),"",IF(COUNTIFS(BD!$B$3:$B$5001,F$184,BD!$A$3:$A$5001,"&gt;="&amp;$C$7,BD!$A$3:$A$5001,"&lt;="&amp;$B210,BD!$L$3:$L$5001,"&lt;&gt;")=0,"",SUMIFS(BD!$L$3:$L$5001,BD!$B$3:$B$5001,F$184,BD!$A$3:$A$5001,_xlfn.MAXIFS(BD!$A$3:$A$5001,BD!$B$3:$B$5001,F$184,BD!$A$3:$A$5001,"&gt;="&amp;$C$7,BD!$A$3:$A$5001,"&lt;="&amp;$B210,BD!$L$3:$L$5001,"&lt;&gt;"))))</f>
        <v/>
      </c>
      <c r="G210" s="43" t="str">
        <f>IF(OR($B210="",$A210&gt;$B$9,G$184=""),"",IF(COUNTIFS(BD!$B$3:$B$5001,G$184,BD!$A$3:$A$5001,"&gt;="&amp;$C$7,BD!$A$3:$A$5001,"&lt;="&amp;$B210,BD!$L$3:$L$5001,"&lt;&gt;")=0,"",SUMIFS(BD!$L$3:$L$5001,BD!$B$3:$B$5001,G$184,BD!$A$3:$A$5001,_xlfn.MAXIFS(BD!$A$3:$A$5001,BD!$B$3:$B$5001,G$184,BD!$A$3:$A$5001,"&gt;="&amp;$C$7,BD!$A$3:$A$5001,"&lt;="&amp;$B210,BD!$L$3:$L$5001,"&lt;&gt;"))))</f>
        <v/>
      </c>
      <c r="H210" s="43" t="str">
        <f>IF(OR($B210="",$A210&gt;$B$9,H$184=""),"",IF(COUNTIFS(BD!$B$3:$B$5001,H$184,BD!$A$3:$A$5001,"&gt;="&amp;$C$7,BD!$A$3:$A$5001,"&lt;="&amp;$B210,BD!$L$3:$L$5001,"&lt;&gt;")=0,"",SUMIFS(BD!$L$3:$L$5001,BD!$B$3:$B$5001,H$184,BD!$A$3:$A$5001,_xlfn.MAXIFS(BD!$A$3:$A$5001,BD!$B$3:$B$5001,H$184,BD!$A$3:$A$5001,"&gt;="&amp;$C$7,BD!$A$3:$A$5001,"&lt;="&amp;$B210,BD!$L$3:$L$5001,"&lt;&gt;"))))</f>
        <v/>
      </c>
      <c r="I210" s="43" t="str">
        <f>IF(OR($B210="",$A210&gt;$B$9,I$184=""),"",IF(COUNTIFS(BD!$B$3:$B$5001,I$184,BD!$A$3:$A$5001,"&gt;="&amp;$C$7,BD!$A$3:$A$5001,"&lt;="&amp;$B210,BD!$L$3:$L$5001,"&lt;&gt;")=0,"",SUMIFS(BD!$L$3:$L$5001,BD!$B$3:$B$5001,I$184,BD!$A$3:$A$5001,_xlfn.MAXIFS(BD!$A$3:$A$5001,BD!$B$3:$B$5001,I$184,BD!$A$3:$A$5001,"&gt;="&amp;$C$7,BD!$A$3:$A$5001,"&lt;="&amp;$B210,BD!$L$3:$L$5001,"&lt;&gt;"))))</f>
        <v/>
      </c>
      <c r="J210" s="43" t="str">
        <f>IF(OR($B210="",$A210&gt;$B$9,J$184=""),"",IF(COUNTIFS(BD!$B$3:$B$5001,J$184,BD!$A$3:$A$5001,"&gt;="&amp;$C$7,BD!$A$3:$A$5001,"&lt;="&amp;$B210,BD!$L$3:$L$5001,"&lt;&gt;")=0,"",SUMIFS(BD!$L$3:$L$5001,BD!$B$3:$B$5001,J$184,BD!$A$3:$A$5001,_xlfn.MAXIFS(BD!$A$3:$A$5001,BD!$B$3:$B$5001,J$184,BD!$A$3:$A$5001,"&gt;="&amp;$C$7,BD!$A$3:$A$5001,"&lt;="&amp;$B210,BD!$L$3:$L$5001,"&lt;&gt;"))))</f>
        <v/>
      </c>
      <c r="K210" s="43" t="str">
        <f>IF(OR($B210="",$A210&gt;$B$9,K$184=""),"",IF(COUNTIFS(BD!$B$3:$B$5001,K$184,BD!$A$3:$A$5001,"&gt;="&amp;$C$7,BD!$A$3:$A$5001,"&lt;="&amp;$B210,BD!$L$3:$L$5001,"&lt;&gt;")=0,"",SUMIFS(BD!$L$3:$L$5001,BD!$B$3:$B$5001,K$184,BD!$A$3:$A$5001,_xlfn.MAXIFS(BD!$A$3:$A$5001,BD!$B$3:$B$5001,K$184,BD!$A$3:$A$5001,"&gt;="&amp;$C$7,BD!$A$3:$A$5001,"&lt;="&amp;$B210,BD!$L$3:$L$5001,"&lt;&gt;"))))</f>
        <v/>
      </c>
      <c r="L210" s="43" t="str">
        <f>IF(OR($B210="",$A210&gt;$B$9,L$184=""),"",IF(COUNTIFS(BD!$B$3:$B$5001,L$184,BD!$A$3:$A$5001,"&gt;="&amp;$C$7,BD!$A$3:$A$5001,"&lt;="&amp;$B210,BD!$L$3:$L$5001,"&lt;&gt;")=0,"",SUMIFS(BD!$L$3:$L$5001,BD!$B$3:$B$5001,L$184,BD!$A$3:$A$5001,_xlfn.MAXIFS(BD!$A$3:$A$5001,BD!$B$3:$B$5001,L$184,BD!$A$3:$A$5001,"&gt;="&amp;$C$7,BD!$A$3:$A$5001,"&lt;="&amp;$B210,BD!$L$3:$L$5001,"&lt;&gt;"))))</f>
        <v/>
      </c>
      <c r="M210" s="43" t="str">
        <f>IF(OR($B210="",$A210&gt;$B$9,M$184=""),"",IF(COUNTIFS(BD!$B$3:$B$5001,M$184,BD!$A$3:$A$5001,"&gt;="&amp;$C$7,BD!$A$3:$A$5001,"&lt;="&amp;$B210,BD!$L$3:$L$5001,"&lt;&gt;")=0,"",SUMIFS(BD!$L$3:$L$5001,BD!$B$3:$B$5001,M$184,BD!$A$3:$A$5001,_xlfn.MAXIFS(BD!$A$3:$A$5001,BD!$B$3:$B$5001,M$184,BD!$A$3:$A$5001,"&gt;="&amp;$C$7,BD!$A$3:$A$5001,"&lt;="&amp;$B210,BD!$L$3:$L$5001,"&lt;&gt;"))))</f>
        <v/>
      </c>
      <c r="N210" s="43" t="str">
        <f>IF(OR($B210="",$A210&gt;$B$9,N$184=""),"",IF(COUNTIFS(BD!$B$3:$B$5001,N$184,BD!$A$3:$A$5001,"&gt;="&amp;$C$7,BD!$A$3:$A$5001,"&lt;="&amp;$B210,BD!$L$3:$L$5001,"&lt;&gt;")=0,"",SUMIFS(BD!$L$3:$L$5001,BD!$B$3:$B$5001,N$184,BD!$A$3:$A$5001,_xlfn.MAXIFS(BD!$A$3:$A$5001,BD!$B$3:$B$5001,N$184,BD!$A$3:$A$5001,"&gt;="&amp;$C$7,BD!$A$3:$A$5001,"&lt;="&amp;$B210,BD!$L$3:$L$5001,"&lt;&gt;"))))</f>
        <v/>
      </c>
      <c r="O210" s="43" t="str">
        <f>IF(OR($B210="",$A210&gt;$B$9,O$184=""),"",IF(COUNTIFS(BD!$B$3:$B$5001,O$184,BD!$A$3:$A$5001,"&gt;="&amp;$C$7,BD!$A$3:$A$5001,"&lt;="&amp;$B210,BD!$L$3:$L$5001,"&lt;&gt;")=0,"",SUMIFS(BD!$L$3:$L$5001,BD!$B$3:$B$5001,O$184,BD!$A$3:$A$5001,_xlfn.MAXIFS(BD!$A$3:$A$5001,BD!$B$3:$B$5001,O$184,BD!$A$3:$A$5001,"&gt;="&amp;$C$7,BD!$A$3:$A$5001,"&lt;="&amp;$B210,BD!$L$3:$L$5001,"&lt;&gt;"))))</f>
        <v/>
      </c>
      <c r="P210" s="43" t="str">
        <f>IF(OR($B210="",$A210&gt;$B$9,P$184=""),"",IF(COUNTIFS(BD!$B$3:$B$5001,P$184,BD!$A$3:$A$5001,"&gt;="&amp;$C$7,BD!$A$3:$A$5001,"&lt;="&amp;$B210,BD!$L$3:$L$5001,"&lt;&gt;")=0,"",SUMIFS(BD!$L$3:$L$5001,BD!$B$3:$B$5001,P$184,BD!$A$3:$A$5001,_xlfn.MAXIFS(BD!$A$3:$A$5001,BD!$B$3:$B$5001,P$184,BD!$A$3:$A$5001,"&gt;="&amp;$C$7,BD!$A$3:$A$5001,"&lt;="&amp;$B210,BD!$L$3:$L$5001,"&lt;&gt;"))))</f>
        <v/>
      </c>
      <c r="Q210" s="43" t="str">
        <f>IF(OR($B210="",$A210&gt;$B$9,Q$184=""),"",IF(COUNTIFS(BD!$B$3:$B$5001,Q$184,BD!$A$3:$A$5001,"&gt;="&amp;$C$7,BD!$A$3:$A$5001,"&lt;="&amp;$B210,BD!$L$3:$L$5001,"&lt;&gt;")=0,"",SUMIFS(BD!$L$3:$L$5001,BD!$B$3:$B$5001,Q$184,BD!$A$3:$A$5001,_xlfn.MAXIFS(BD!$A$3:$A$5001,BD!$B$3:$B$5001,Q$184,BD!$A$3:$A$5001,"&gt;="&amp;$C$7,BD!$A$3:$A$5001,"&lt;="&amp;$B210,BD!$L$3:$L$5001,"&lt;&gt;"))))</f>
        <v/>
      </c>
      <c r="R210" s="43" t="str">
        <f>IF(OR($B210="",$A210&gt;$B$9,R$184=""),"",IF(COUNTIFS(BD!$B$3:$B$5001,R$184,BD!$A$3:$A$5001,"&gt;="&amp;$C$7,BD!$A$3:$A$5001,"&lt;="&amp;$B210,BD!$L$3:$L$5001,"&lt;&gt;")=0,"",SUMIFS(BD!$L$3:$L$5001,BD!$B$3:$B$5001,R$184,BD!$A$3:$A$5001,_xlfn.MAXIFS(BD!$A$3:$A$5001,BD!$B$3:$B$5001,R$184,BD!$A$3:$A$5001,"&gt;="&amp;$C$7,BD!$A$3:$A$5001,"&lt;="&amp;$B210,BD!$L$3:$L$5001,"&lt;&gt;"))))</f>
        <v/>
      </c>
      <c r="S210" s="43" t="str">
        <f>IF(OR($B210="",$A210&gt;$B$9,S$184=""),"",IF(COUNTIFS(BD!$B$3:$B$5001,S$184,BD!$A$3:$A$5001,"&gt;="&amp;$C$7,BD!$A$3:$A$5001,"&lt;="&amp;$B210,BD!$L$3:$L$5001,"&lt;&gt;")=0,"",SUMIFS(BD!$L$3:$L$5001,BD!$B$3:$B$5001,S$184,BD!$A$3:$A$5001,_xlfn.MAXIFS(BD!$A$3:$A$5001,BD!$B$3:$B$5001,S$184,BD!$A$3:$A$5001,"&gt;="&amp;$C$7,BD!$A$3:$A$5001,"&lt;="&amp;$B210,BD!$L$3:$L$5001,"&lt;&gt;"))))</f>
        <v/>
      </c>
      <c r="T210" s="43" t="str">
        <f>IF(OR($B210="",$A210&gt;$B$9,T$184=""),"",IF(COUNTIFS(BD!$B$3:$B$5001,T$184,BD!$A$3:$A$5001,"&gt;="&amp;$C$7,BD!$A$3:$A$5001,"&lt;="&amp;$B210,BD!$L$3:$L$5001,"&lt;&gt;")=0,"",SUMIFS(BD!$L$3:$L$5001,BD!$B$3:$B$5001,T$184,BD!$A$3:$A$5001,_xlfn.MAXIFS(BD!$A$3:$A$5001,BD!$B$3:$B$5001,T$184,BD!$A$3:$A$5001,"&gt;="&amp;$C$7,BD!$A$3:$A$5001,"&lt;="&amp;$B210,BD!$L$3:$L$5001,"&lt;&gt;"))))</f>
        <v/>
      </c>
      <c r="U210" s="43" t="str">
        <f>IF(OR($B210="",$A210&gt;$B$9,U$184=""),"",IF(COUNTIFS(BD!$B$3:$B$5001,U$184,BD!$A$3:$A$5001,"&gt;="&amp;$C$7,BD!$A$3:$A$5001,"&lt;="&amp;$B210,BD!$L$3:$L$5001,"&lt;&gt;")=0,"",SUMIFS(BD!$L$3:$L$5001,BD!$B$3:$B$5001,U$184,BD!$A$3:$A$5001,_xlfn.MAXIFS(BD!$A$3:$A$5001,BD!$B$3:$B$5001,U$184,BD!$A$3:$A$5001,"&gt;="&amp;$C$7,BD!$A$3:$A$5001,"&lt;="&amp;$B210,BD!$L$3:$L$5001,"&lt;&gt;"))))</f>
        <v/>
      </c>
      <c r="V210" s="43" t="str">
        <f>IF(OR($B210="",$A210&gt;$B$9,V$184=""),"",IF(COUNTIFS(BD!$B$3:$B$5001,V$184,BD!$A$3:$A$5001,"&gt;="&amp;$C$7,BD!$A$3:$A$5001,"&lt;="&amp;$B210,BD!$L$3:$L$5001,"&lt;&gt;")=0,"",SUMIFS(BD!$L$3:$L$5001,BD!$B$3:$B$5001,V$184,BD!$A$3:$A$5001,_xlfn.MAXIFS(BD!$A$3:$A$5001,BD!$B$3:$B$5001,V$184,BD!$A$3:$A$5001,"&gt;="&amp;$C$7,BD!$A$3:$A$5001,"&lt;="&amp;$B210,BD!$L$3:$L$5001,"&lt;&gt;"))))</f>
        <v/>
      </c>
    </row>
    <row r="211">
      <c r="A211" s="38">
        <v>27</v>
      </c>
      <c r="B211" s="42">
        <f>$B$38</f>
        <v>46322</v>
      </c>
      <c r="C211" s="43" t="str">
        <f>IF(OR($B211="",$A211&gt;$B$9,C$184=""),"",IF(COUNTIFS(BD!$B$3:$B$5001,C$184,BD!$A$3:$A$5001,"&gt;="&amp;$C$7,BD!$A$3:$A$5001,"&lt;="&amp;$B211,BD!$L$3:$L$5001,"&lt;&gt;")=0,"",SUMIFS(BD!$L$3:$L$5001,BD!$B$3:$B$5001,C$184,BD!$A$3:$A$5001,_xlfn.MAXIFS(BD!$A$3:$A$5001,BD!$B$3:$B$5001,C$184,BD!$A$3:$A$5001,"&gt;="&amp;$C$7,BD!$A$3:$A$5001,"&lt;="&amp;$B211,BD!$L$3:$L$5001,"&lt;&gt;"))))</f>
        <v/>
      </c>
      <c r="D211" s="43" t="str">
        <f>IF(OR($B211="",$A211&gt;$B$9,D$184=""),"",IF(COUNTIFS(BD!$B$3:$B$5001,D$184,BD!$A$3:$A$5001,"&gt;="&amp;$C$7,BD!$A$3:$A$5001,"&lt;="&amp;$B211,BD!$L$3:$L$5001,"&lt;&gt;")=0,"",SUMIFS(BD!$L$3:$L$5001,BD!$B$3:$B$5001,D$184,BD!$A$3:$A$5001,_xlfn.MAXIFS(BD!$A$3:$A$5001,BD!$B$3:$B$5001,D$184,BD!$A$3:$A$5001,"&gt;="&amp;$C$7,BD!$A$3:$A$5001,"&lt;="&amp;$B211,BD!$L$3:$L$5001,"&lt;&gt;"))))</f>
        <v/>
      </c>
      <c r="E211" s="43" t="str">
        <f>IF(OR($B211="",$A211&gt;$B$9,E$184=""),"",IF(COUNTIFS(BD!$B$3:$B$5001,E$184,BD!$A$3:$A$5001,"&gt;="&amp;$C$7,BD!$A$3:$A$5001,"&lt;="&amp;$B211,BD!$L$3:$L$5001,"&lt;&gt;")=0,"",SUMIFS(BD!$L$3:$L$5001,BD!$B$3:$B$5001,E$184,BD!$A$3:$A$5001,_xlfn.MAXIFS(BD!$A$3:$A$5001,BD!$B$3:$B$5001,E$184,BD!$A$3:$A$5001,"&gt;="&amp;$C$7,BD!$A$3:$A$5001,"&lt;="&amp;$B211,BD!$L$3:$L$5001,"&lt;&gt;"))))</f>
        <v/>
      </c>
      <c r="F211" s="43" t="str">
        <f>IF(OR($B211="",$A211&gt;$B$9,F$184=""),"",IF(COUNTIFS(BD!$B$3:$B$5001,F$184,BD!$A$3:$A$5001,"&gt;="&amp;$C$7,BD!$A$3:$A$5001,"&lt;="&amp;$B211,BD!$L$3:$L$5001,"&lt;&gt;")=0,"",SUMIFS(BD!$L$3:$L$5001,BD!$B$3:$B$5001,F$184,BD!$A$3:$A$5001,_xlfn.MAXIFS(BD!$A$3:$A$5001,BD!$B$3:$B$5001,F$184,BD!$A$3:$A$5001,"&gt;="&amp;$C$7,BD!$A$3:$A$5001,"&lt;="&amp;$B211,BD!$L$3:$L$5001,"&lt;&gt;"))))</f>
        <v/>
      </c>
      <c r="G211" s="43" t="str">
        <f>IF(OR($B211="",$A211&gt;$B$9,G$184=""),"",IF(COUNTIFS(BD!$B$3:$B$5001,G$184,BD!$A$3:$A$5001,"&gt;="&amp;$C$7,BD!$A$3:$A$5001,"&lt;="&amp;$B211,BD!$L$3:$L$5001,"&lt;&gt;")=0,"",SUMIFS(BD!$L$3:$L$5001,BD!$B$3:$B$5001,G$184,BD!$A$3:$A$5001,_xlfn.MAXIFS(BD!$A$3:$A$5001,BD!$B$3:$B$5001,G$184,BD!$A$3:$A$5001,"&gt;="&amp;$C$7,BD!$A$3:$A$5001,"&lt;="&amp;$B211,BD!$L$3:$L$5001,"&lt;&gt;"))))</f>
        <v/>
      </c>
      <c r="H211" s="43" t="str">
        <f>IF(OR($B211="",$A211&gt;$B$9,H$184=""),"",IF(COUNTIFS(BD!$B$3:$B$5001,H$184,BD!$A$3:$A$5001,"&gt;="&amp;$C$7,BD!$A$3:$A$5001,"&lt;="&amp;$B211,BD!$L$3:$L$5001,"&lt;&gt;")=0,"",SUMIFS(BD!$L$3:$L$5001,BD!$B$3:$B$5001,H$184,BD!$A$3:$A$5001,_xlfn.MAXIFS(BD!$A$3:$A$5001,BD!$B$3:$B$5001,H$184,BD!$A$3:$A$5001,"&gt;="&amp;$C$7,BD!$A$3:$A$5001,"&lt;="&amp;$B211,BD!$L$3:$L$5001,"&lt;&gt;"))))</f>
        <v/>
      </c>
      <c r="I211" s="43" t="str">
        <f>IF(OR($B211="",$A211&gt;$B$9,I$184=""),"",IF(COUNTIFS(BD!$B$3:$B$5001,I$184,BD!$A$3:$A$5001,"&gt;="&amp;$C$7,BD!$A$3:$A$5001,"&lt;="&amp;$B211,BD!$L$3:$L$5001,"&lt;&gt;")=0,"",SUMIFS(BD!$L$3:$L$5001,BD!$B$3:$B$5001,I$184,BD!$A$3:$A$5001,_xlfn.MAXIFS(BD!$A$3:$A$5001,BD!$B$3:$B$5001,I$184,BD!$A$3:$A$5001,"&gt;="&amp;$C$7,BD!$A$3:$A$5001,"&lt;="&amp;$B211,BD!$L$3:$L$5001,"&lt;&gt;"))))</f>
        <v/>
      </c>
      <c r="J211" s="43" t="str">
        <f>IF(OR($B211="",$A211&gt;$B$9,J$184=""),"",IF(COUNTIFS(BD!$B$3:$B$5001,J$184,BD!$A$3:$A$5001,"&gt;="&amp;$C$7,BD!$A$3:$A$5001,"&lt;="&amp;$B211,BD!$L$3:$L$5001,"&lt;&gt;")=0,"",SUMIFS(BD!$L$3:$L$5001,BD!$B$3:$B$5001,J$184,BD!$A$3:$A$5001,_xlfn.MAXIFS(BD!$A$3:$A$5001,BD!$B$3:$B$5001,J$184,BD!$A$3:$A$5001,"&gt;="&amp;$C$7,BD!$A$3:$A$5001,"&lt;="&amp;$B211,BD!$L$3:$L$5001,"&lt;&gt;"))))</f>
        <v/>
      </c>
      <c r="K211" s="43" t="str">
        <f>IF(OR($B211="",$A211&gt;$B$9,K$184=""),"",IF(COUNTIFS(BD!$B$3:$B$5001,K$184,BD!$A$3:$A$5001,"&gt;="&amp;$C$7,BD!$A$3:$A$5001,"&lt;="&amp;$B211,BD!$L$3:$L$5001,"&lt;&gt;")=0,"",SUMIFS(BD!$L$3:$L$5001,BD!$B$3:$B$5001,K$184,BD!$A$3:$A$5001,_xlfn.MAXIFS(BD!$A$3:$A$5001,BD!$B$3:$B$5001,K$184,BD!$A$3:$A$5001,"&gt;="&amp;$C$7,BD!$A$3:$A$5001,"&lt;="&amp;$B211,BD!$L$3:$L$5001,"&lt;&gt;"))))</f>
        <v/>
      </c>
      <c r="L211" s="43" t="str">
        <f>IF(OR($B211="",$A211&gt;$B$9,L$184=""),"",IF(COUNTIFS(BD!$B$3:$B$5001,L$184,BD!$A$3:$A$5001,"&gt;="&amp;$C$7,BD!$A$3:$A$5001,"&lt;="&amp;$B211,BD!$L$3:$L$5001,"&lt;&gt;")=0,"",SUMIFS(BD!$L$3:$L$5001,BD!$B$3:$B$5001,L$184,BD!$A$3:$A$5001,_xlfn.MAXIFS(BD!$A$3:$A$5001,BD!$B$3:$B$5001,L$184,BD!$A$3:$A$5001,"&gt;="&amp;$C$7,BD!$A$3:$A$5001,"&lt;="&amp;$B211,BD!$L$3:$L$5001,"&lt;&gt;"))))</f>
        <v/>
      </c>
      <c r="M211" s="43" t="str">
        <f>IF(OR($B211="",$A211&gt;$B$9,M$184=""),"",IF(COUNTIFS(BD!$B$3:$B$5001,M$184,BD!$A$3:$A$5001,"&gt;="&amp;$C$7,BD!$A$3:$A$5001,"&lt;="&amp;$B211,BD!$L$3:$L$5001,"&lt;&gt;")=0,"",SUMIFS(BD!$L$3:$L$5001,BD!$B$3:$B$5001,M$184,BD!$A$3:$A$5001,_xlfn.MAXIFS(BD!$A$3:$A$5001,BD!$B$3:$B$5001,M$184,BD!$A$3:$A$5001,"&gt;="&amp;$C$7,BD!$A$3:$A$5001,"&lt;="&amp;$B211,BD!$L$3:$L$5001,"&lt;&gt;"))))</f>
        <v/>
      </c>
      <c r="N211" s="43" t="str">
        <f>IF(OR($B211="",$A211&gt;$B$9,N$184=""),"",IF(COUNTIFS(BD!$B$3:$B$5001,N$184,BD!$A$3:$A$5001,"&gt;="&amp;$C$7,BD!$A$3:$A$5001,"&lt;="&amp;$B211,BD!$L$3:$L$5001,"&lt;&gt;")=0,"",SUMIFS(BD!$L$3:$L$5001,BD!$B$3:$B$5001,N$184,BD!$A$3:$A$5001,_xlfn.MAXIFS(BD!$A$3:$A$5001,BD!$B$3:$B$5001,N$184,BD!$A$3:$A$5001,"&gt;="&amp;$C$7,BD!$A$3:$A$5001,"&lt;="&amp;$B211,BD!$L$3:$L$5001,"&lt;&gt;"))))</f>
        <v/>
      </c>
      <c r="O211" s="43" t="str">
        <f>IF(OR($B211="",$A211&gt;$B$9,O$184=""),"",IF(COUNTIFS(BD!$B$3:$B$5001,O$184,BD!$A$3:$A$5001,"&gt;="&amp;$C$7,BD!$A$3:$A$5001,"&lt;="&amp;$B211,BD!$L$3:$L$5001,"&lt;&gt;")=0,"",SUMIFS(BD!$L$3:$L$5001,BD!$B$3:$B$5001,O$184,BD!$A$3:$A$5001,_xlfn.MAXIFS(BD!$A$3:$A$5001,BD!$B$3:$B$5001,O$184,BD!$A$3:$A$5001,"&gt;="&amp;$C$7,BD!$A$3:$A$5001,"&lt;="&amp;$B211,BD!$L$3:$L$5001,"&lt;&gt;"))))</f>
        <v/>
      </c>
      <c r="P211" s="43" t="str">
        <f>IF(OR($B211="",$A211&gt;$B$9,P$184=""),"",IF(COUNTIFS(BD!$B$3:$B$5001,P$184,BD!$A$3:$A$5001,"&gt;="&amp;$C$7,BD!$A$3:$A$5001,"&lt;="&amp;$B211,BD!$L$3:$L$5001,"&lt;&gt;")=0,"",SUMIFS(BD!$L$3:$L$5001,BD!$B$3:$B$5001,P$184,BD!$A$3:$A$5001,_xlfn.MAXIFS(BD!$A$3:$A$5001,BD!$B$3:$B$5001,P$184,BD!$A$3:$A$5001,"&gt;="&amp;$C$7,BD!$A$3:$A$5001,"&lt;="&amp;$B211,BD!$L$3:$L$5001,"&lt;&gt;"))))</f>
        <v/>
      </c>
      <c r="Q211" s="43" t="str">
        <f>IF(OR($B211="",$A211&gt;$B$9,Q$184=""),"",IF(COUNTIFS(BD!$B$3:$B$5001,Q$184,BD!$A$3:$A$5001,"&gt;="&amp;$C$7,BD!$A$3:$A$5001,"&lt;="&amp;$B211,BD!$L$3:$L$5001,"&lt;&gt;")=0,"",SUMIFS(BD!$L$3:$L$5001,BD!$B$3:$B$5001,Q$184,BD!$A$3:$A$5001,_xlfn.MAXIFS(BD!$A$3:$A$5001,BD!$B$3:$B$5001,Q$184,BD!$A$3:$A$5001,"&gt;="&amp;$C$7,BD!$A$3:$A$5001,"&lt;="&amp;$B211,BD!$L$3:$L$5001,"&lt;&gt;"))))</f>
        <v/>
      </c>
      <c r="R211" s="43" t="str">
        <f>IF(OR($B211="",$A211&gt;$B$9,R$184=""),"",IF(COUNTIFS(BD!$B$3:$B$5001,R$184,BD!$A$3:$A$5001,"&gt;="&amp;$C$7,BD!$A$3:$A$5001,"&lt;="&amp;$B211,BD!$L$3:$L$5001,"&lt;&gt;")=0,"",SUMIFS(BD!$L$3:$L$5001,BD!$B$3:$B$5001,R$184,BD!$A$3:$A$5001,_xlfn.MAXIFS(BD!$A$3:$A$5001,BD!$B$3:$B$5001,R$184,BD!$A$3:$A$5001,"&gt;="&amp;$C$7,BD!$A$3:$A$5001,"&lt;="&amp;$B211,BD!$L$3:$L$5001,"&lt;&gt;"))))</f>
        <v/>
      </c>
      <c r="S211" s="43" t="str">
        <f>IF(OR($B211="",$A211&gt;$B$9,S$184=""),"",IF(COUNTIFS(BD!$B$3:$B$5001,S$184,BD!$A$3:$A$5001,"&gt;="&amp;$C$7,BD!$A$3:$A$5001,"&lt;="&amp;$B211,BD!$L$3:$L$5001,"&lt;&gt;")=0,"",SUMIFS(BD!$L$3:$L$5001,BD!$B$3:$B$5001,S$184,BD!$A$3:$A$5001,_xlfn.MAXIFS(BD!$A$3:$A$5001,BD!$B$3:$B$5001,S$184,BD!$A$3:$A$5001,"&gt;="&amp;$C$7,BD!$A$3:$A$5001,"&lt;="&amp;$B211,BD!$L$3:$L$5001,"&lt;&gt;"))))</f>
        <v/>
      </c>
      <c r="T211" s="43" t="str">
        <f>IF(OR($B211="",$A211&gt;$B$9,T$184=""),"",IF(COUNTIFS(BD!$B$3:$B$5001,T$184,BD!$A$3:$A$5001,"&gt;="&amp;$C$7,BD!$A$3:$A$5001,"&lt;="&amp;$B211,BD!$L$3:$L$5001,"&lt;&gt;")=0,"",SUMIFS(BD!$L$3:$L$5001,BD!$B$3:$B$5001,T$184,BD!$A$3:$A$5001,_xlfn.MAXIFS(BD!$A$3:$A$5001,BD!$B$3:$B$5001,T$184,BD!$A$3:$A$5001,"&gt;="&amp;$C$7,BD!$A$3:$A$5001,"&lt;="&amp;$B211,BD!$L$3:$L$5001,"&lt;&gt;"))))</f>
        <v/>
      </c>
      <c r="U211" s="43" t="str">
        <f>IF(OR($B211="",$A211&gt;$B$9,U$184=""),"",IF(COUNTIFS(BD!$B$3:$B$5001,U$184,BD!$A$3:$A$5001,"&gt;="&amp;$C$7,BD!$A$3:$A$5001,"&lt;="&amp;$B211,BD!$L$3:$L$5001,"&lt;&gt;")=0,"",SUMIFS(BD!$L$3:$L$5001,BD!$B$3:$B$5001,U$184,BD!$A$3:$A$5001,_xlfn.MAXIFS(BD!$A$3:$A$5001,BD!$B$3:$B$5001,U$184,BD!$A$3:$A$5001,"&gt;="&amp;$C$7,BD!$A$3:$A$5001,"&lt;="&amp;$B211,BD!$L$3:$L$5001,"&lt;&gt;"))))</f>
        <v/>
      </c>
      <c r="V211" s="43" t="str">
        <f>IF(OR($B211="",$A211&gt;$B$9,V$184=""),"",IF(COUNTIFS(BD!$B$3:$B$5001,V$184,BD!$A$3:$A$5001,"&gt;="&amp;$C$7,BD!$A$3:$A$5001,"&lt;="&amp;$B211,BD!$L$3:$L$5001,"&lt;&gt;")=0,"",SUMIFS(BD!$L$3:$L$5001,BD!$B$3:$B$5001,V$184,BD!$A$3:$A$5001,_xlfn.MAXIFS(BD!$A$3:$A$5001,BD!$B$3:$B$5001,V$184,BD!$A$3:$A$5001,"&gt;="&amp;$C$7,BD!$A$3:$A$5001,"&lt;="&amp;$B211,BD!$L$3:$L$5001,"&lt;&gt;"))))</f>
        <v/>
      </c>
    </row>
    <row r="212">
      <c r="A212" s="38">
        <v>28</v>
      </c>
      <c r="B212" s="42">
        <f>$B$39</f>
        <v>46323</v>
      </c>
      <c r="C212" s="43" t="str">
        <f>IF(OR($B212="",$A212&gt;$B$9,C$184=""),"",IF(COUNTIFS(BD!$B$3:$B$5001,C$184,BD!$A$3:$A$5001,"&gt;="&amp;$C$7,BD!$A$3:$A$5001,"&lt;="&amp;$B212,BD!$L$3:$L$5001,"&lt;&gt;")=0,"",SUMIFS(BD!$L$3:$L$5001,BD!$B$3:$B$5001,C$184,BD!$A$3:$A$5001,_xlfn.MAXIFS(BD!$A$3:$A$5001,BD!$B$3:$B$5001,C$184,BD!$A$3:$A$5001,"&gt;="&amp;$C$7,BD!$A$3:$A$5001,"&lt;="&amp;$B212,BD!$L$3:$L$5001,"&lt;&gt;"))))</f>
        <v/>
      </c>
      <c r="D212" s="43" t="str">
        <f>IF(OR($B212="",$A212&gt;$B$9,D$184=""),"",IF(COUNTIFS(BD!$B$3:$B$5001,D$184,BD!$A$3:$A$5001,"&gt;="&amp;$C$7,BD!$A$3:$A$5001,"&lt;="&amp;$B212,BD!$L$3:$L$5001,"&lt;&gt;")=0,"",SUMIFS(BD!$L$3:$L$5001,BD!$B$3:$B$5001,D$184,BD!$A$3:$A$5001,_xlfn.MAXIFS(BD!$A$3:$A$5001,BD!$B$3:$B$5001,D$184,BD!$A$3:$A$5001,"&gt;="&amp;$C$7,BD!$A$3:$A$5001,"&lt;="&amp;$B212,BD!$L$3:$L$5001,"&lt;&gt;"))))</f>
        <v/>
      </c>
      <c r="E212" s="43" t="str">
        <f>IF(OR($B212="",$A212&gt;$B$9,E$184=""),"",IF(COUNTIFS(BD!$B$3:$B$5001,E$184,BD!$A$3:$A$5001,"&gt;="&amp;$C$7,BD!$A$3:$A$5001,"&lt;="&amp;$B212,BD!$L$3:$L$5001,"&lt;&gt;")=0,"",SUMIFS(BD!$L$3:$L$5001,BD!$B$3:$B$5001,E$184,BD!$A$3:$A$5001,_xlfn.MAXIFS(BD!$A$3:$A$5001,BD!$B$3:$B$5001,E$184,BD!$A$3:$A$5001,"&gt;="&amp;$C$7,BD!$A$3:$A$5001,"&lt;="&amp;$B212,BD!$L$3:$L$5001,"&lt;&gt;"))))</f>
        <v/>
      </c>
      <c r="F212" s="43" t="str">
        <f>IF(OR($B212="",$A212&gt;$B$9,F$184=""),"",IF(COUNTIFS(BD!$B$3:$B$5001,F$184,BD!$A$3:$A$5001,"&gt;="&amp;$C$7,BD!$A$3:$A$5001,"&lt;="&amp;$B212,BD!$L$3:$L$5001,"&lt;&gt;")=0,"",SUMIFS(BD!$L$3:$L$5001,BD!$B$3:$B$5001,F$184,BD!$A$3:$A$5001,_xlfn.MAXIFS(BD!$A$3:$A$5001,BD!$B$3:$B$5001,F$184,BD!$A$3:$A$5001,"&gt;="&amp;$C$7,BD!$A$3:$A$5001,"&lt;="&amp;$B212,BD!$L$3:$L$5001,"&lt;&gt;"))))</f>
        <v/>
      </c>
      <c r="G212" s="43" t="str">
        <f>IF(OR($B212="",$A212&gt;$B$9,G$184=""),"",IF(COUNTIFS(BD!$B$3:$B$5001,G$184,BD!$A$3:$A$5001,"&gt;="&amp;$C$7,BD!$A$3:$A$5001,"&lt;="&amp;$B212,BD!$L$3:$L$5001,"&lt;&gt;")=0,"",SUMIFS(BD!$L$3:$L$5001,BD!$B$3:$B$5001,G$184,BD!$A$3:$A$5001,_xlfn.MAXIFS(BD!$A$3:$A$5001,BD!$B$3:$B$5001,G$184,BD!$A$3:$A$5001,"&gt;="&amp;$C$7,BD!$A$3:$A$5001,"&lt;="&amp;$B212,BD!$L$3:$L$5001,"&lt;&gt;"))))</f>
        <v/>
      </c>
      <c r="H212" s="43" t="str">
        <f>IF(OR($B212="",$A212&gt;$B$9,H$184=""),"",IF(COUNTIFS(BD!$B$3:$B$5001,H$184,BD!$A$3:$A$5001,"&gt;="&amp;$C$7,BD!$A$3:$A$5001,"&lt;="&amp;$B212,BD!$L$3:$L$5001,"&lt;&gt;")=0,"",SUMIFS(BD!$L$3:$L$5001,BD!$B$3:$B$5001,H$184,BD!$A$3:$A$5001,_xlfn.MAXIFS(BD!$A$3:$A$5001,BD!$B$3:$B$5001,H$184,BD!$A$3:$A$5001,"&gt;="&amp;$C$7,BD!$A$3:$A$5001,"&lt;="&amp;$B212,BD!$L$3:$L$5001,"&lt;&gt;"))))</f>
        <v/>
      </c>
      <c r="I212" s="43" t="str">
        <f>IF(OR($B212="",$A212&gt;$B$9,I$184=""),"",IF(COUNTIFS(BD!$B$3:$B$5001,I$184,BD!$A$3:$A$5001,"&gt;="&amp;$C$7,BD!$A$3:$A$5001,"&lt;="&amp;$B212,BD!$L$3:$L$5001,"&lt;&gt;")=0,"",SUMIFS(BD!$L$3:$L$5001,BD!$B$3:$B$5001,I$184,BD!$A$3:$A$5001,_xlfn.MAXIFS(BD!$A$3:$A$5001,BD!$B$3:$B$5001,I$184,BD!$A$3:$A$5001,"&gt;="&amp;$C$7,BD!$A$3:$A$5001,"&lt;="&amp;$B212,BD!$L$3:$L$5001,"&lt;&gt;"))))</f>
        <v/>
      </c>
      <c r="J212" s="43" t="str">
        <f>IF(OR($B212="",$A212&gt;$B$9,J$184=""),"",IF(COUNTIFS(BD!$B$3:$B$5001,J$184,BD!$A$3:$A$5001,"&gt;="&amp;$C$7,BD!$A$3:$A$5001,"&lt;="&amp;$B212,BD!$L$3:$L$5001,"&lt;&gt;")=0,"",SUMIFS(BD!$L$3:$L$5001,BD!$B$3:$B$5001,J$184,BD!$A$3:$A$5001,_xlfn.MAXIFS(BD!$A$3:$A$5001,BD!$B$3:$B$5001,J$184,BD!$A$3:$A$5001,"&gt;="&amp;$C$7,BD!$A$3:$A$5001,"&lt;="&amp;$B212,BD!$L$3:$L$5001,"&lt;&gt;"))))</f>
        <v/>
      </c>
      <c r="K212" s="43" t="str">
        <f>IF(OR($B212="",$A212&gt;$B$9,K$184=""),"",IF(COUNTIFS(BD!$B$3:$B$5001,K$184,BD!$A$3:$A$5001,"&gt;="&amp;$C$7,BD!$A$3:$A$5001,"&lt;="&amp;$B212,BD!$L$3:$L$5001,"&lt;&gt;")=0,"",SUMIFS(BD!$L$3:$L$5001,BD!$B$3:$B$5001,K$184,BD!$A$3:$A$5001,_xlfn.MAXIFS(BD!$A$3:$A$5001,BD!$B$3:$B$5001,K$184,BD!$A$3:$A$5001,"&gt;="&amp;$C$7,BD!$A$3:$A$5001,"&lt;="&amp;$B212,BD!$L$3:$L$5001,"&lt;&gt;"))))</f>
        <v/>
      </c>
      <c r="L212" s="43" t="str">
        <f>IF(OR($B212="",$A212&gt;$B$9,L$184=""),"",IF(COUNTIFS(BD!$B$3:$B$5001,L$184,BD!$A$3:$A$5001,"&gt;="&amp;$C$7,BD!$A$3:$A$5001,"&lt;="&amp;$B212,BD!$L$3:$L$5001,"&lt;&gt;")=0,"",SUMIFS(BD!$L$3:$L$5001,BD!$B$3:$B$5001,L$184,BD!$A$3:$A$5001,_xlfn.MAXIFS(BD!$A$3:$A$5001,BD!$B$3:$B$5001,L$184,BD!$A$3:$A$5001,"&gt;="&amp;$C$7,BD!$A$3:$A$5001,"&lt;="&amp;$B212,BD!$L$3:$L$5001,"&lt;&gt;"))))</f>
        <v/>
      </c>
      <c r="M212" s="43" t="str">
        <f>IF(OR($B212="",$A212&gt;$B$9,M$184=""),"",IF(COUNTIFS(BD!$B$3:$B$5001,M$184,BD!$A$3:$A$5001,"&gt;="&amp;$C$7,BD!$A$3:$A$5001,"&lt;="&amp;$B212,BD!$L$3:$L$5001,"&lt;&gt;")=0,"",SUMIFS(BD!$L$3:$L$5001,BD!$B$3:$B$5001,M$184,BD!$A$3:$A$5001,_xlfn.MAXIFS(BD!$A$3:$A$5001,BD!$B$3:$B$5001,M$184,BD!$A$3:$A$5001,"&gt;="&amp;$C$7,BD!$A$3:$A$5001,"&lt;="&amp;$B212,BD!$L$3:$L$5001,"&lt;&gt;"))))</f>
        <v/>
      </c>
      <c r="N212" s="43" t="str">
        <f>IF(OR($B212="",$A212&gt;$B$9,N$184=""),"",IF(COUNTIFS(BD!$B$3:$B$5001,N$184,BD!$A$3:$A$5001,"&gt;="&amp;$C$7,BD!$A$3:$A$5001,"&lt;="&amp;$B212,BD!$L$3:$L$5001,"&lt;&gt;")=0,"",SUMIFS(BD!$L$3:$L$5001,BD!$B$3:$B$5001,N$184,BD!$A$3:$A$5001,_xlfn.MAXIFS(BD!$A$3:$A$5001,BD!$B$3:$B$5001,N$184,BD!$A$3:$A$5001,"&gt;="&amp;$C$7,BD!$A$3:$A$5001,"&lt;="&amp;$B212,BD!$L$3:$L$5001,"&lt;&gt;"))))</f>
        <v/>
      </c>
      <c r="O212" s="43" t="str">
        <f>IF(OR($B212="",$A212&gt;$B$9,O$184=""),"",IF(COUNTIFS(BD!$B$3:$B$5001,O$184,BD!$A$3:$A$5001,"&gt;="&amp;$C$7,BD!$A$3:$A$5001,"&lt;="&amp;$B212,BD!$L$3:$L$5001,"&lt;&gt;")=0,"",SUMIFS(BD!$L$3:$L$5001,BD!$B$3:$B$5001,O$184,BD!$A$3:$A$5001,_xlfn.MAXIFS(BD!$A$3:$A$5001,BD!$B$3:$B$5001,O$184,BD!$A$3:$A$5001,"&gt;="&amp;$C$7,BD!$A$3:$A$5001,"&lt;="&amp;$B212,BD!$L$3:$L$5001,"&lt;&gt;"))))</f>
        <v/>
      </c>
      <c r="P212" s="43" t="str">
        <f>IF(OR($B212="",$A212&gt;$B$9,P$184=""),"",IF(COUNTIFS(BD!$B$3:$B$5001,P$184,BD!$A$3:$A$5001,"&gt;="&amp;$C$7,BD!$A$3:$A$5001,"&lt;="&amp;$B212,BD!$L$3:$L$5001,"&lt;&gt;")=0,"",SUMIFS(BD!$L$3:$L$5001,BD!$B$3:$B$5001,P$184,BD!$A$3:$A$5001,_xlfn.MAXIFS(BD!$A$3:$A$5001,BD!$B$3:$B$5001,P$184,BD!$A$3:$A$5001,"&gt;="&amp;$C$7,BD!$A$3:$A$5001,"&lt;="&amp;$B212,BD!$L$3:$L$5001,"&lt;&gt;"))))</f>
        <v/>
      </c>
      <c r="Q212" s="43" t="str">
        <f>IF(OR($B212="",$A212&gt;$B$9,Q$184=""),"",IF(COUNTIFS(BD!$B$3:$B$5001,Q$184,BD!$A$3:$A$5001,"&gt;="&amp;$C$7,BD!$A$3:$A$5001,"&lt;="&amp;$B212,BD!$L$3:$L$5001,"&lt;&gt;")=0,"",SUMIFS(BD!$L$3:$L$5001,BD!$B$3:$B$5001,Q$184,BD!$A$3:$A$5001,_xlfn.MAXIFS(BD!$A$3:$A$5001,BD!$B$3:$B$5001,Q$184,BD!$A$3:$A$5001,"&gt;="&amp;$C$7,BD!$A$3:$A$5001,"&lt;="&amp;$B212,BD!$L$3:$L$5001,"&lt;&gt;"))))</f>
        <v/>
      </c>
      <c r="R212" s="43" t="str">
        <f>IF(OR($B212="",$A212&gt;$B$9,R$184=""),"",IF(COUNTIFS(BD!$B$3:$B$5001,R$184,BD!$A$3:$A$5001,"&gt;="&amp;$C$7,BD!$A$3:$A$5001,"&lt;="&amp;$B212,BD!$L$3:$L$5001,"&lt;&gt;")=0,"",SUMIFS(BD!$L$3:$L$5001,BD!$B$3:$B$5001,R$184,BD!$A$3:$A$5001,_xlfn.MAXIFS(BD!$A$3:$A$5001,BD!$B$3:$B$5001,R$184,BD!$A$3:$A$5001,"&gt;="&amp;$C$7,BD!$A$3:$A$5001,"&lt;="&amp;$B212,BD!$L$3:$L$5001,"&lt;&gt;"))))</f>
        <v/>
      </c>
      <c r="S212" s="43" t="str">
        <f>IF(OR($B212="",$A212&gt;$B$9,S$184=""),"",IF(COUNTIFS(BD!$B$3:$B$5001,S$184,BD!$A$3:$A$5001,"&gt;="&amp;$C$7,BD!$A$3:$A$5001,"&lt;="&amp;$B212,BD!$L$3:$L$5001,"&lt;&gt;")=0,"",SUMIFS(BD!$L$3:$L$5001,BD!$B$3:$B$5001,S$184,BD!$A$3:$A$5001,_xlfn.MAXIFS(BD!$A$3:$A$5001,BD!$B$3:$B$5001,S$184,BD!$A$3:$A$5001,"&gt;="&amp;$C$7,BD!$A$3:$A$5001,"&lt;="&amp;$B212,BD!$L$3:$L$5001,"&lt;&gt;"))))</f>
        <v/>
      </c>
      <c r="T212" s="43" t="str">
        <f>IF(OR($B212="",$A212&gt;$B$9,T$184=""),"",IF(COUNTIFS(BD!$B$3:$B$5001,T$184,BD!$A$3:$A$5001,"&gt;="&amp;$C$7,BD!$A$3:$A$5001,"&lt;="&amp;$B212,BD!$L$3:$L$5001,"&lt;&gt;")=0,"",SUMIFS(BD!$L$3:$L$5001,BD!$B$3:$B$5001,T$184,BD!$A$3:$A$5001,_xlfn.MAXIFS(BD!$A$3:$A$5001,BD!$B$3:$B$5001,T$184,BD!$A$3:$A$5001,"&gt;="&amp;$C$7,BD!$A$3:$A$5001,"&lt;="&amp;$B212,BD!$L$3:$L$5001,"&lt;&gt;"))))</f>
        <v/>
      </c>
      <c r="U212" s="43" t="str">
        <f>IF(OR($B212="",$A212&gt;$B$9,U$184=""),"",IF(COUNTIFS(BD!$B$3:$B$5001,U$184,BD!$A$3:$A$5001,"&gt;="&amp;$C$7,BD!$A$3:$A$5001,"&lt;="&amp;$B212,BD!$L$3:$L$5001,"&lt;&gt;")=0,"",SUMIFS(BD!$L$3:$L$5001,BD!$B$3:$B$5001,U$184,BD!$A$3:$A$5001,_xlfn.MAXIFS(BD!$A$3:$A$5001,BD!$B$3:$B$5001,U$184,BD!$A$3:$A$5001,"&gt;="&amp;$C$7,BD!$A$3:$A$5001,"&lt;="&amp;$B212,BD!$L$3:$L$5001,"&lt;&gt;"))))</f>
        <v/>
      </c>
      <c r="V212" s="43" t="str">
        <f>IF(OR($B212="",$A212&gt;$B$9,V$184=""),"",IF(COUNTIFS(BD!$B$3:$B$5001,V$184,BD!$A$3:$A$5001,"&gt;="&amp;$C$7,BD!$A$3:$A$5001,"&lt;="&amp;$B212,BD!$L$3:$L$5001,"&lt;&gt;")=0,"",SUMIFS(BD!$L$3:$L$5001,BD!$B$3:$B$5001,V$184,BD!$A$3:$A$5001,_xlfn.MAXIFS(BD!$A$3:$A$5001,BD!$B$3:$B$5001,V$184,BD!$A$3:$A$5001,"&gt;="&amp;$C$7,BD!$A$3:$A$5001,"&lt;="&amp;$B212,BD!$L$3:$L$5001,"&lt;&gt;"))))</f>
        <v/>
      </c>
    </row>
    <row r="213">
      <c r="A213" s="38">
        <v>29</v>
      </c>
      <c r="B213" s="42">
        <f>$B$40</f>
        <v>46324</v>
      </c>
      <c r="C213" s="43" t="str">
        <f>IF(OR($B213="",$A213&gt;$B$9,C$184=""),"",IF(COUNTIFS(BD!$B$3:$B$5001,C$184,BD!$A$3:$A$5001,"&gt;="&amp;$C$7,BD!$A$3:$A$5001,"&lt;="&amp;$B213,BD!$L$3:$L$5001,"&lt;&gt;")=0,"",SUMIFS(BD!$L$3:$L$5001,BD!$B$3:$B$5001,C$184,BD!$A$3:$A$5001,_xlfn.MAXIFS(BD!$A$3:$A$5001,BD!$B$3:$B$5001,C$184,BD!$A$3:$A$5001,"&gt;="&amp;$C$7,BD!$A$3:$A$5001,"&lt;="&amp;$B213,BD!$L$3:$L$5001,"&lt;&gt;"))))</f>
        <v/>
      </c>
      <c r="D213" s="43" t="str">
        <f>IF(OR($B213="",$A213&gt;$B$9,D$184=""),"",IF(COUNTIFS(BD!$B$3:$B$5001,D$184,BD!$A$3:$A$5001,"&gt;="&amp;$C$7,BD!$A$3:$A$5001,"&lt;="&amp;$B213,BD!$L$3:$L$5001,"&lt;&gt;")=0,"",SUMIFS(BD!$L$3:$L$5001,BD!$B$3:$B$5001,D$184,BD!$A$3:$A$5001,_xlfn.MAXIFS(BD!$A$3:$A$5001,BD!$B$3:$B$5001,D$184,BD!$A$3:$A$5001,"&gt;="&amp;$C$7,BD!$A$3:$A$5001,"&lt;="&amp;$B213,BD!$L$3:$L$5001,"&lt;&gt;"))))</f>
        <v/>
      </c>
      <c r="E213" s="43" t="str">
        <f>IF(OR($B213="",$A213&gt;$B$9,E$184=""),"",IF(COUNTIFS(BD!$B$3:$B$5001,E$184,BD!$A$3:$A$5001,"&gt;="&amp;$C$7,BD!$A$3:$A$5001,"&lt;="&amp;$B213,BD!$L$3:$L$5001,"&lt;&gt;")=0,"",SUMIFS(BD!$L$3:$L$5001,BD!$B$3:$B$5001,E$184,BD!$A$3:$A$5001,_xlfn.MAXIFS(BD!$A$3:$A$5001,BD!$B$3:$B$5001,E$184,BD!$A$3:$A$5001,"&gt;="&amp;$C$7,BD!$A$3:$A$5001,"&lt;="&amp;$B213,BD!$L$3:$L$5001,"&lt;&gt;"))))</f>
        <v/>
      </c>
      <c r="F213" s="43" t="str">
        <f>IF(OR($B213="",$A213&gt;$B$9,F$184=""),"",IF(COUNTIFS(BD!$B$3:$B$5001,F$184,BD!$A$3:$A$5001,"&gt;="&amp;$C$7,BD!$A$3:$A$5001,"&lt;="&amp;$B213,BD!$L$3:$L$5001,"&lt;&gt;")=0,"",SUMIFS(BD!$L$3:$L$5001,BD!$B$3:$B$5001,F$184,BD!$A$3:$A$5001,_xlfn.MAXIFS(BD!$A$3:$A$5001,BD!$B$3:$B$5001,F$184,BD!$A$3:$A$5001,"&gt;="&amp;$C$7,BD!$A$3:$A$5001,"&lt;="&amp;$B213,BD!$L$3:$L$5001,"&lt;&gt;"))))</f>
        <v/>
      </c>
      <c r="G213" s="43" t="str">
        <f>IF(OR($B213="",$A213&gt;$B$9,G$184=""),"",IF(COUNTIFS(BD!$B$3:$B$5001,G$184,BD!$A$3:$A$5001,"&gt;="&amp;$C$7,BD!$A$3:$A$5001,"&lt;="&amp;$B213,BD!$L$3:$L$5001,"&lt;&gt;")=0,"",SUMIFS(BD!$L$3:$L$5001,BD!$B$3:$B$5001,G$184,BD!$A$3:$A$5001,_xlfn.MAXIFS(BD!$A$3:$A$5001,BD!$B$3:$B$5001,G$184,BD!$A$3:$A$5001,"&gt;="&amp;$C$7,BD!$A$3:$A$5001,"&lt;="&amp;$B213,BD!$L$3:$L$5001,"&lt;&gt;"))))</f>
        <v/>
      </c>
      <c r="H213" s="43" t="str">
        <f>IF(OR($B213="",$A213&gt;$B$9,H$184=""),"",IF(COUNTIFS(BD!$B$3:$B$5001,H$184,BD!$A$3:$A$5001,"&gt;="&amp;$C$7,BD!$A$3:$A$5001,"&lt;="&amp;$B213,BD!$L$3:$L$5001,"&lt;&gt;")=0,"",SUMIFS(BD!$L$3:$L$5001,BD!$B$3:$B$5001,H$184,BD!$A$3:$A$5001,_xlfn.MAXIFS(BD!$A$3:$A$5001,BD!$B$3:$B$5001,H$184,BD!$A$3:$A$5001,"&gt;="&amp;$C$7,BD!$A$3:$A$5001,"&lt;="&amp;$B213,BD!$L$3:$L$5001,"&lt;&gt;"))))</f>
        <v/>
      </c>
      <c r="I213" s="43" t="str">
        <f>IF(OR($B213="",$A213&gt;$B$9,I$184=""),"",IF(COUNTIFS(BD!$B$3:$B$5001,I$184,BD!$A$3:$A$5001,"&gt;="&amp;$C$7,BD!$A$3:$A$5001,"&lt;="&amp;$B213,BD!$L$3:$L$5001,"&lt;&gt;")=0,"",SUMIFS(BD!$L$3:$L$5001,BD!$B$3:$B$5001,I$184,BD!$A$3:$A$5001,_xlfn.MAXIFS(BD!$A$3:$A$5001,BD!$B$3:$B$5001,I$184,BD!$A$3:$A$5001,"&gt;="&amp;$C$7,BD!$A$3:$A$5001,"&lt;="&amp;$B213,BD!$L$3:$L$5001,"&lt;&gt;"))))</f>
        <v/>
      </c>
      <c r="J213" s="43" t="str">
        <f>IF(OR($B213="",$A213&gt;$B$9,J$184=""),"",IF(COUNTIFS(BD!$B$3:$B$5001,J$184,BD!$A$3:$A$5001,"&gt;="&amp;$C$7,BD!$A$3:$A$5001,"&lt;="&amp;$B213,BD!$L$3:$L$5001,"&lt;&gt;")=0,"",SUMIFS(BD!$L$3:$L$5001,BD!$B$3:$B$5001,J$184,BD!$A$3:$A$5001,_xlfn.MAXIFS(BD!$A$3:$A$5001,BD!$B$3:$B$5001,J$184,BD!$A$3:$A$5001,"&gt;="&amp;$C$7,BD!$A$3:$A$5001,"&lt;="&amp;$B213,BD!$L$3:$L$5001,"&lt;&gt;"))))</f>
        <v/>
      </c>
      <c r="K213" s="43" t="str">
        <f>IF(OR($B213="",$A213&gt;$B$9,K$184=""),"",IF(COUNTIFS(BD!$B$3:$B$5001,K$184,BD!$A$3:$A$5001,"&gt;="&amp;$C$7,BD!$A$3:$A$5001,"&lt;="&amp;$B213,BD!$L$3:$L$5001,"&lt;&gt;")=0,"",SUMIFS(BD!$L$3:$L$5001,BD!$B$3:$B$5001,K$184,BD!$A$3:$A$5001,_xlfn.MAXIFS(BD!$A$3:$A$5001,BD!$B$3:$B$5001,K$184,BD!$A$3:$A$5001,"&gt;="&amp;$C$7,BD!$A$3:$A$5001,"&lt;="&amp;$B213,BD!$L$3:$L$5001,"&lt;&gt;"))))</f>
        <v/>
      </c>
      <c r="L213" s="43" t="str">
        <f>IF(OR($B213="",$A213&gt;$B$9,L$184=""),"",IF(COUNTIFS(BD!$B$3:$B$5001,L$184,BD!$A$3:$A$5001,"&gt;="&amp;$C$7,BD!$A$3:$A$5001,"&lt;="&amp;$B213,BD!$L$3:$L$5001,"&lt;&gt;")=0,"",SUMIFS(BD!$L$3:$L$5001,BD!$B$3:$B$5001,L$184,BD!$A$3:$A$5001,_xlfn.MAXIFS(BD!$A$3:$A$5001,BD!$B$3:$B$5001,L$184,BD!$A$3:$A$5001,"&gt;="&amp;$C$7,BD!$A$3:$A$5001,"&lt;="&amp;$B213,BD!$L$3:$L$5001,"&lt;&gt;"))))</f>
        <v/>
      </c>
      <c r="M213" s="43" t="str">
        <f>IF(OR($B213="",$A213&gt;$B$9,M$184=""),"",IF(COUNTIFS(BD!$B$3:$B$5001,M$184,BD!$A$3:$A$5001,"&gt;="&amp;$C$7,BD!$A$3:$A$5001,"&lt;="&amp;$B213,BD!$L$3:$L$5001,"&lt;&gt;")=0,"",SUMIFS(BD!$L$3:$L$5001,BD!$B$3:$B$5001,M$184,BD!$A$3:$A$5001,_xlfn.MAXIFS(BD!$A$3:$A$5001,BD!$B$3:$B$5001,M$184,BD!$A$3:$A$5001,"&gt;="&amp;$C$7,BD!$A$3:$A$5001,"&lt;="&amp;$B213,BD!$L$3:$L$5001,"&lt;&gt;"))))</f>
        <v/>
      </c>
      <c r="N213" s="43" t="str">
        <f>IF(OR($B213="",$A213&gt;$B$9,N$184=""),"",IF(COUNTIFS(BD!$B$3:$B$5001,N$184,BD!$A$3:$A$5001,"&gt;="&amp;$C$7,BD!$A$3:$A$5001,"&lt;="&amp;$B213,BD!$L$3:$L$5001,"&lt;&gt;")=0,"",SUMIFS(BD!$L$3:$L$5001,BD!$B$3:$B$5001,N$184,BD!$A$3:$A$5001,_xlfn.MAXIFS(BD!$A$3:$A$5001,BD!$B$3:$B$5001,N$184,BD!$A$3:$A$5001,"&gt;="&amp;$C$7,BD!$A$3:$A$5001,"&lt;="&amp;$B213,BD!$L$3:$L$5001,"&lt;&gt;"))))</f>
        <v/>
      </c>
      <c r="O213" s="43" t="str">
        <f>IF(OR($B213="",$A213&gt;$B$9,O$184=""),"",IF(COUNTIFS(BD!$B$3:$B$5001,O$184,BD!$A$3:$A$5001,"&gt;="&amp;$C$7,BD!$A$3:$A$5001,"&lt;="&amp;$B213,BD!$L$3:$L$5001,"&lt;&gt;")=0,"",SUMIFS(BD!$L$3:$L$5001,BD!$B$3:$B$5001,O$184,BD!$A$3:$A$5001,_xlfn.MAXIFS(BD!$A$3:$A$5001,BD!$B$3:$B$5001,O$184,BD!$A$3:$A$5001,"&gt;="&amp;$C$7,BD!$A$3:$A$5001,"&lt;="&amp;$B213,BD!$L$3:$L$5001,"&lt;&gt;"))))</f>
        <v/>
      </c>
      <c r="P213" s="43" t="str">
        <f>IF(OR($B213="",$A213&gt;$B$9,P$184=""),"",IF(COUNTIFS(BD!$B$3:$B$5001,P$184,BD!$A$3:$A$5001,"&gt;="&amp;$C$7,BD!$A$3:$A$5001,"&lt;="&amp;$B213,BD!$L$3:$L$5001,"&lt;&gt;")=0,"",SUMIFS(BD!$L$3:$L$5001,BD!$B$3:$B$5001,P$184,BD!$A$3:$A$5001,_xlfn.MAXIFS(BD!$A$3:$A$5001,BD!$B$3:$B$5001,P$184,BD!$A$3:$A$5001,"&gt;="&amp;$C$7,BD!$A$3:$A$5001,"&lt;="&amp;$B213,BD!$L$3:$L$5001,"&lt;&gt;"))))</f>
        <v/>
      </c>
      <c r="Q213" s="43" t="str">
        <f>IF(OR($B213="",$A213&gt;$B$9,Q$184=""),"",IF(COUNTIFS(BD!$B$3:$B$5001,Q$184,BD!$A$3:$A$5001,"&gt;="&amp;$C$7,BD!$A$3:$A$5001,"&lt;="&amp;$B213,BD!$L$3:$L$5001,"&lt;&gt;")=0,"",SUMIFS(BD!$L$3:$L$5001,BD!$B$3:$B$5001,Q$184,BD!$A$3:$A$5001,_xlfn.MAXIFS(BD!$A$3:$A$5001,BD!$B$3:$B$5001,Q$184,BD!$A$3:$A$5001,"&gt;="&amp;$C$7,BD!$A$3:$A$5001,"&lt;="&amp;$B213,BD!$L$3:$L$5001,"&lt;&gt;"))))</f>
        <v/>
      </c>
      <c r="R213" s="43" t="str">
        <f>IF(OR($B213="",$A213&gt;$B$9,R$184=""),"",IF(COUNTIFS(BD!$B$3:$B$5001,R$184,BD!$A$3:$A$5001,"&gt;="&amp;$C$7,BD!$A$3:$A$5001,"&lt;="&amp;$B213,BD!$L$3:$L$5001,"&lt;&gt;")=0,"",SUMIFS(BD!$L$3:$L$5001,BD!$B$3:$B$5001,R$184,BD!$A$3:$A$5001,_xlfn.MAXIFS(BD!$A$3:$A$5001,BD!$B$3:$B$5001,R$184,BD!$A$3:$A$5001,"&gt;="&amp;$C$7,BD!$A$3:$A$5001,"&lt;="&amp;$B213,BD!$L$3:$L$5001,"&lt;&gt;"))))</f>
        <v/>
      </c>
      <c r="S213" s="43" t="str">
        <f>IF(OR($B213="",$A213&gt;$B$9,S$184=""),"",IF(COUNTIFS(BD!$B$3:$B$5001,S$184,BD!$A$3:$A$5001,"&gt;="&amp;$C$7,BD!$A$3:$A$5001,"&lt;="&amp;$B213,BD!$L$3:$L$5001,"&lt;&gt;")=0,"",SUMIFS(BD!$L$3:$L$5001,BD!$B$3:$B$5001,S$184,BD!$A$3:$A$5001,_xlfn.MAXIFS(BD!$A$3:$A$5001,BD!$B$3:$B$5001,S$184,BD!$A$3:$A$5001,"&gt;="&amp;$C$7,BD!$A$3:$A$5001,"&lt;="&amp;$B213,BD!$L$3:$L$5001,"&lt;&gt;"))))</f>
        <v/>
      </c>
      <c r="T213" s="43" t="str">
        <f>IF(OR($B213="",$A213&gt;$B$9,T$184=""),"",IF(COUNTIFS(BD!$B$3:$B$5001,T$184,BD!$A$3:$A$5001,"&gt;="&amp;$C$7,BD!$A$3:$A$5001,"&lt;="&amp;$B213,BD!$L$3:$L$5001,"&lt;&gt;")=0,"",SUMIFS(BD!$L$3:$L$5001,BD!$B$3:$B$5001,T$184,BD!$A$3:$A$5001,_xlfn.MAXIFS(BD!$A$3:$A$5001,BD!$B$3:$B$5001,T$184,BD!$A$3:$A$5001,"&gt;="&amp;$C$7,BD!$A$3:$A$5001,"&lt;="&amp;$B213,BD!$L$3:$L$5001,"&lt;&gt;"))))</f>
        <v/>
      </c>
      <c r="U213" s="43" t="str">
        <f>IF(OR($B213="",$A213&gt;$B$9,U$184=""),"",IF(COUNTIFS(BD!$B$3:$B$5001,U$184,BD!$A$3:$A$5001,"&gt;="&amp;$C$7,BD!$A$3:$A$5001,"&lt;="&amp;$B213,BD!$L$3:$L$5001,"&lt;&gt;")=0,"",SUMIFS(BD!$L$3:$L$5001,BD!$B$3:$B$5001,U$184,BD!$A$3:$A$5001,_xlfn.MAXIFS(BD!$A$3:$A$5001,BD!$B$3:$B$5001,U$184,BD!$A$3:$A$5001,"&gt;="&amp;$C$7,BD!$A$3:$A$5001,"&lt;="&amp;$B213,BD!$L$3:$L$5001,"&lt;&gt;"))))</f>
        <v/>
      </c>
      <c r="V213" s="43" t="str">
        <f>IF(OR($B213="",$A213&gt;$B$9,V$184=""),"",IF(COUNTIFS(BD!$B$3:$B$5001,V$184,BD!$A$3:$A$5001,"&gt;="&amp;$C$7,BD!$A$3:$A$5001,"&lt;="&amp;$B213,BD!$L$3:$L$5001,"&lt;&gt;")=0,"",SUMIFS(BD!$L$3:$L$5001,BD!$B$3:$B$5001,V$184,BD!$A$3:$A$5001,_xlfn.MAXIFS(BD!$A$3:$A$5001,BD!$B$3:$B$5001,V$184,BD!$A$3:$A$5001,"&gt;="&amp;$C$7,BD!$A$3:$A$5001,"&lt;="&amp;$B213,BD!$L$3:$L$5001,"&lt;&gt;"))))</f>
        <v/>
      </c>
    </row>
    <row r="214">
      <c r="A214" s="38">
        <v>30</v>
      </c>
      <c r="B214" s="42">
        <f>$B$41</f>
        <v>46325</v>
      </c>
      <c r="C214" s="43" t="str">
        <f>IF(OR($B214="",$A214&gt;$B$9,C$184=""),"",IF(COUNTIFS(BD!$B$3:$B$5001,C$184,BD!$A$3:$A$5001,"&gt;="&amp;$C$7,BD!$A$3:$A$5001,"&lt;="&amp;$B214,BD!$L$3:$L$5001,"&lt;&gt;")=0,"",SUMIFS(BD!$L$3:$L$5001,BD!$B$3:$B$5001,C$184,BD!$A$3:$A$5001,_xlfn.MAXIFS(BD!$A$3:$A$5001,BD!$B$3:$B$5001,C$184,BD!$A$3:$A$5001,"&gt;="&amp;$C$7,BD!$A$3:$A$5001,"&lt;="&amp;$B214,BD!$L$3:$L$5001,"&lt;&gt;"))))</f>
        <v/>
      </c>
      <c r="D214" s="43" t="str">
        <f>IF(OR($B214="",$A214&gt;$B$9,D$184=""),"",IF(COUNTIFS(BD!$B$3:$B$5001,D$184,BD!$A$3:$A$5001,"&gt;="&amp;$C$7,BD!$A$3:$A$5001,"&lt;="&amp;$B214,BD!$L$3:$L$5001,"&lt;&gt;")=0,"",SUMIFS(BD!$L$3:$L$5001,BD!$B$3:$B$5001,D$184,BD!$A$3:$A$5001,_xlfn.MAXIFS(BD!$A$3:$A$5001,BD!$B$3:$B$5001,D$184,BD!$A$3:$A$5001,"&gt;="&amp;$C$7,BD!$A$3:$A$5001,"&lt;="&amp;$B214,BD!$L$3:$L$5001,"&lt;&gt;"))))</f>
        <v/>
      </c>
      <c r="E214" s="43" t="str">
        <f>IF(OR($B214="",$A214&gt;$B$9,E$184=""),"",IF(COUNTIFS(BD!$B$3:$B$5001,E$184,BD!$A$3:$A$5001,"&gt;="&amp;$C$7,BD!$A$3:$A$5001,"&lt;="&amp;$B214,BD!$L$3:$L$5001,"&lt;&gt;")=0,"",SUMIFS(BD!$L$3:$L$5001,BD!$B$3:$B$5001,E$184,BD!$A$3:$A$5001,_xlfn.MAXIFS(BD!$A$3:$A$5001,BD!$B$3:$B$5001,E$184,BD!$A$3:$A$5001,"&gt;="&amp;$C$7,BD!$A$3:$A$5001,"&lt;="&amp;$B214,BD!$L$3:$L$5001,"&lt;&gt;"))))</f>
        <v/>
      </c>
      <c r="F214" s="43" t="str">
        <f>IF(OR($B214="",$A214&gt;$B$9,F$184=""),"",IF(COUNTIFS(BD!$B$3:$B$5001,F$184,BD!$A$3:$A$5001,"&gt;="&amp;$C$7,BD!$A$3:$A$5001,"&lt;="&amp;$B214,BD!$L$3:$L$5001,"&lt;&gt;")=0,"",SUMIFS(BD!$L$3:$L$5001,BD!$B$3:$B$5001,F$184,BD!$A$3:$A$5001,_xlfn.MAXIFS(BD!$A$3:$A$5001,BD!$B$3:$B$5001,F$184,BD!$A$3:$A$5001,"&gt;="&amp;$C$7,BD!$A$3:$A$5001,"&lt;="&amp;$B214,BD!$L$3:$L$5001,"&lt;&gt;"))))</f>
        <v/>
      </c>
      <c r="G214" s="43" t="str">
        <f>IF(OR($B214="",$A214&gt;$B$9,G$184=""),"",IF(COUNTIFS(BD!$B$3:$B$5001,G$184,BD!$A$3:$A$5001,"&gt;="&amp;$C$7,BD!$A$3:$A$5001,"&lt;="&amp;$B214,BD!$L$3:$L$5001,"&lt;&gt;")=0,"",SUMIFS(BD!$L$3:$L$5001,BD!$B$3:$B$5001,G$184,BD!$A$3:$A$5001,_xlfn.MAXIFS(BD!$A$3:$A$5001,BD!$B$3:$B$5001,G$184,BD!$A$3:$A$5001,"&gt;="&amp;$C$7,BD!$A$3:$A$5001,"&lt;="&amp;$B214,BD!$L$3:$L$5001,"&lt;&gt;"))))</f>
        <v/>
      </c>
      <c r="H214" s="43" t="str">
        <f>IF(OR($B214="",$A214&gt;$B$9,H$184=""),"",IF(COUNTIFS(BD!$B$3:$B$5001,H$184,BD!$A$3:$A$5001,"&gt;="&amp;$C$7,BD!$A$3:$A$5001,"&lt;="&amp;$B214,BD!$L$3:$L$5001,"&lt;&gt;")=0,"",SUMIFS(BD!$L$3:$L$5001,BD!$B$3:$B$5001,H$184,BD!$A$3:$A$5001,_xlfn.MAXIFS(BD!$A$3:$A$5001,BD!$B$3:$B$5001,H$184,BD!$A$3:$A$5001,"&gt;="&amp;$C$7,BD!$A$3:$A$5001,"&lt;="&amp;$B214,BD!$L$3:$L$5001,"&lt;&gt;"))))</f>
        <v/>
      </c>
      <c r="I214" s="43" t="str">
        <f>IF(OR($B214="",$A214&gt;$B$9,I$184=""),"",IF(COUNTIFS(BD!$B$3:$B$5001,I$184,BD!$A$3:$A$5001,"&gt;="&amp;$C$7,BD!$A$3:$A$5001,"&lt;="&amp;$B214,BD!$L$3:$L$5001,"&lt;&gt;")=0,"",SUMIFS(BD!$L$3:$L$5001,BD!$B$3:$B$5001,I$184,BD!$A$3:$A$5001,_xlfn.MAXIFS(BD!$A$3:$A$5001,BD!$B$3:$B$5001,I$184,BD!$A$3:$A$5001,"&gt;="&amp;$C$7,BD!$A$3:$A$5001,"&lt;="&amp;$B214,BD!$L$3:$L$5001,"&lt;&gt;"))))</f>
        <v/>
      </c>
      <c r="J214" s="43" t="str">
        <f>IF(OR($B214="",$A214&gt;$B$9,J$184=""),"",IF(COUNTIFS(BD!$B$3:$B$5001,J$184,BD!$A$3:$A$5001,"&gt;="&amp;$C$7,BD!$A$3:$A$5001,"&lt;="&amp;$B214,BD!$L$3:$L$5001,"&lt;&gt;")=0,"",SUMIFS(BD!$L$3:$L$5001,BD!$B$3:$B$5001,J$184,BD!$A$3:$A$5001,_xlfn.MAXIFS(BD!$A$3:$A$5001,BD!$B$3:$B$5001,J$184,BD!$A$3:$A$5001,"&gt;="&amp;$C$7,BD!$A$3:$A$5001,"&lt;="&amp;$B214,BD!$L$3:$L$5001,"&lt;&gt;"))))</f>
        <v/>
      </c>
      <c r="K214" s="43" t="str">
        <f>IF(OR($B214="",$A214&gt;$B$9,K$184=""),"",IF(COUNTIFS(BD!$B$3:$B$5001,K$184,BD!$A$3:$A$5001,"&gt;="&amp;$C$7,BD!$A$3:$A$5001,"&lt;="&amp;$B214,BD!$L$3:$L$5001,"&lt;&gt;")=0,"",SUMIFS(BD!$L$3:$L$5001,BD!$B$3:$B$5001,K$184,BD!$A$3:$A$5001,_xlfn.MAXIFS(BD!$A$3:$A$5001,BD!$B$3:$B$5001,K$184,BD!$A$3:$A$5001,"&gt;="&amp;$C$7,BD!$A$3:$A$5001,"&lt;="&amp;$B214,BD!$L$3:$L$5001,"&lt;&gt;"))))</f>
        <v/>
      </c>
      <c r="L214" s="43" t="str">
        <f>IF(OR($B214="",$A214&gt;$B$9,L$184=""),"",IF(COUNTIFS(BD!$B$3:$B$5001,L$184,BD!$A$3:$A$5001,"&gt;="&amp;$C$7,BD!$A$3:$A$5001,"&lt;="&amp;$B214,BD!$L$3:$L$5001,"&lt;&gt;")=0,"",SUMIFS(BD!$L$3:$L$5001,BD!$B$3:$B$5001,L$184,BD!$A$3:$A$5001,_xlfn.MAXIFS(BD!$A$3:$A$5001,BD!$B$3:$B$5001,L$184,BD!$A$3:$A$5001,"&gt;="&amp;$C$7,BD!$A$3:$A$5001,"&lt;="&amp;$B214,BD!$L$3:$L$5001,"&lt;&gt;"))))</f>
        <v/>
      </c>
      <c r="M214" s="43" t="str">
        <f>IF(OR($B214="",$A214&gt;$B$9,M$184=""),"",IF(COUNTIFS(BD!$B$3:$B$5001,M$184,BD!$A$3:$A$5001,"&gt;="&amp;$C$7,BD!$A$3:$A$5001,"&lt;="&amp;$B214,BD!$L$3:$L$5001,"&lt;&gt;")=0,"",SUMIFS(BD!$L$3:$L$5001,BD!$B$3:$B$5001,M$184,BD!$A$3:$A$5001,_xlfn.MAXIFS(BD!$A$3:$A$5001,BD!$B$3:$B$5001,M$184,BD!$A$3:$A$5001,"&gt;="&amp;$C$7,BD!$A$3:$A$5001,"&lt;="&amp;$B214,BD!$L$3:$L$5001,"&lt;&gt;"))))</f>
        <v/>
      </c>
      <c r="N214" s="43" t="str">
        <f>IF(OR($B214="",$A214&gt;$B$9,N$184=""),"",IF(COUNTIFS(BD!$B$3:$B$5001,N$184,BD!$A$3:$A$5001,"&gt;="&amp;$C$7,BD!$A$3:$A$5001,"&lt;="&amp;$B214,BD!$L$3:$L$5001,"&lt;&gt;")=0,"",SUMIFS(BD!$L$3:$L$5001,BD!$B$3:$B$5001,N$184,BD!$A$3:$A$5001,_xlfn.MAXIFS(BD!$A$3:$A$5001,BD!$B$3:$B$5001,N$184,BD!$A$3:$A$5001,"&gt;="&amp;$C$7,BD!$A$3:$A$5001,"&lt;="&amp;$B214,BD!$L$3:$L$5001,"&lt;&gt;"))))</f>
        <v/>
      </c>
      <c r="O214" s="43" t="str">
        <f>IF(OR($B214="",$A214&gt;$B$9,O$184=""),"",IF(COUNTIFS(BD!$B$3:$B$5001,O$184,BD!$A$3:$A$5001,"&gt;="&amp;$C$7,BD!$A$3:$A$5001,"&lt;="&amp;$B214,BD!$L$3:$L$5001,"&lt;&gt;")=0,"",SUMIFS(BD!$L$3:$L$5001,BD!$B$3:$B$5001,O$184,BD!$A$3:$A$5001,_xlfn.MAXIFS(BD!$A$3:$A$5001,BD!$B$3:$B$5001,O$184,BD!$A$3:$A$5001,"&gt;="&amp;$C$7,BD!$A$3:$A$5001,"&lt;="&amp;$B214,BD!$L$3:$L$5001,"&lt;&gt;"))))</f>
        <v/>
      </c>
      <c r="P214" s="43" t="str">
        <f>IF(OR($B214="",$A214&gt;$B$9,P$184=""),"",IF(COUNTIFS(BD!$B$3:$B$5001,P$184,BD!$A$3:$A$5001,"&gt;="&amp;$C$7,BD!$A$3:$A$5001,"&lt;="&amp;$B214,BD!$L$3:$L$5001,"&lt;&gt;")=0,"",SUMIFS(BD!$L$3:$L$5001,BD!$B$3:$B$5001,P$184,BD!$A$3:$A$5001,_xlfn.MAXIFS(BD!$A$3:$A$5001,BD!$B$3:$B$5001,P$184,BD!$A$3:$A$5001,"&gt;="&amp;$C$7,BD!$A$3:$A$5001,"&lt;="&amp;$B214,BD!$L$3:$L$5001,"&lt;&gt;"))))</f>
        <v/>
      </c>
      <c r="Q214" s="43" t="str">
        <f>IF(OR($B214="",$A214&gt;$B$9,Q$184=""),"",IF(COUNTIFS(BD!$B$3:$B$5001,Q$184,BD!$A$3:$A$5001,"&gt;="&amp;$C$7,BD!$A$3:$A$5001,"&lt;="&amp;$B214,BD!$L$3:$L$5001,"&lt;&gt;")=0,"",SUMIFS(BD!$L$3:$L$5001,BD!$B$3:$B$5001,Q$184,BD!$A$3:$A$5001,_xlfn.MAXIFS(BD!$A$3:$A$5001,BD!$B$3:$B$5001,Q$184,BD!$A$3:$A$5001,"&gt;="&amp;$C$7,BD!$A$3:$A$5001,"&lt;="&amp;$B214,BD!$L$3:$L$5001,"&lt;&gt;"))))</f>
        <v/>
      </c>
      <c r="R214" s="43" t="str">
        <f>IF(OR($B214="",$A214&gt;$B$9,R$184=""),"",IF(COUNTIFS(BD!$B$3:$B$5001,R$184,BD!$A$3:$A$5001,"&gt;="&amp;$C$7,BD!$A$3:$A$5001,"&lt;="&amp;$B214,BD!$L$3:$L$5001,"&lt;&gt;")=0,"",SUMIFS(BD!$L$3:$L$5001,BD!$B$3:$B$5001,R$184,BD!$A$3:$A$5001,_xlfn.MAXIFS(BD!$A$3:$A$5001,BD!$B$3:$B$5001,R$184,BD!$A$3:$A$5001,"&gt;="&amp;$C$7,BD!$A$3:$A$5001,"&lt;="&amp;$B214,BD!$L$3:$L$5001,"&lt;&gt;"))))</f>
        <v/>
      </c>
      <c r="S214" s="43" t="str">
        <f>IF(OR($B214="",$A214&gt;$B$9,S$184=""),"",IF(COUNTIFS(BD!$B$3:$B$5001,S$184,BD!$A$3:$A$5001,"&gt;="&amp;$C$7,BD!$A$3:$A$5001,"&lt;="&amp;$B214,BD!$L$3:$L$5001,"&lt;&gt;")=0,"",SUMIFS(BD!$L$3:$L$5001,BD!$B$3:$B$5001,S$184,BD!$A$3:$A$5001,_xlfn.MAXIFS(BD!$A$3:$A$5001,BD!$B$3:$B$5001,S$184,BD!$A$3:$A$5001,"&gt;="&amp;$C$7,BD!$A$3:$A$5001,"&lt;="&amp;$B214,BD!$L$3:$L$5001,"&lt;&gt;"))))</f>
        <v/>
      </c>
      <c r="T214" s="43" t="str">
        <f>IF(OR($B214="",$A214&gt;$B$9,T$184=""),"",IF(COUNTIFS(BD!$B$3:$B$5001,T$184,BD!$A$3:$A$5001,"&gt;="&amp;$C$7,BD!$A$3:$A$5001,"&lt;="&amp;$B214,BD!$L$3:$L$5001,"&lt;&gt;")=0,"",SUMIFS(BD!$L$3:$L$5001,BD!$B$3:$B$5001,T$184,BD!$A$3:$A$5001,_xlfn.MAXIFS(BD!$A$3:$A$5001,BD!$B$3:$B$5001,T$184,BD!$A$3:$A$5001,"&gt;="&amp;$C$7,BD!$A$3:$A$5001,"&lt;="&amp;$B214,BD!$L$3:$L$5001,"&lt;&gt;"))))</f>
        <v/>
      </c>
      <c r="U214" s="43" t="str">
        <f>IF(OR($B214="",$A214&gt;$B$9,U$184=""),"",IF(COUNTIFS(BD!$B$3:$B$5001,U$184,BD!$A$3:$A$5001,"&gt;="&amp;$C$7,BD!$A$3:$A$5001,"&lt;="&amp;$B214,BD!$L$3:$L$5001,"&lt;&gt;")=0,"",SUMIFS(BD!$L$3:$L$5001,BD!$B$3:$B$5001,U$184,BD!$A$3:$A$5001,_xlfn.MAXIFS(BD!$A$3:$A$5001,BD!$B$3:$B$5001,U$184,BD!$A$3:$A$5001,"&gt;="&amp;$C$7,BD!$A$3:$A$5001,"&lt;="&amp;$B214,BD!$L$3:$L$5001,"&lt;&gt;"))))</f>
        <v/>
      </c>
      <c r="V214" s="43" t="str">
        <f>IF(OR($B214="",$A214&gt;$B$9,V$184=""),"",IF(COUNTIFS(BD!$B$3:$B$5001,V$184,BD!$A$3:$A$5001,"&gt;="&amp;$C$7,BD!$A$3:$A$5001,"&lt;="&amp;$B214,BD!$L$3:$L$5001,"&lt;&gt;")=0,"",SUMIFS(BD!$L$3:$L$5001,BD!$B$3:$B$5001,V$184,BD!$A$3:$A$5001,_xlfn.MAXIFS(BD!$A$3:$A$5001,BD!$B$3:$B$5001,V$184,BD!$A$3:$A$5001,"&gt;="&amp;$C$7,BD!$A$3:$A$5001,"&lt;="&amp;$B214,BD!$L$3:$L$5001,"&lt;&gt;"))))</f>
        <v/>
      </c>
    </row>
    <row r="215">
      <c r="A215" s="38">
        <v>31</v>
      </c>
      <c r="B215" s="42">
        <f>$B$42</f>
        <v>46326</v>
      </c>
      <c r="C215" s="43" t="str">
        <f>IF(OR($B215="",$A215&gt;$B$9,C$184=""),"",IF(COUNTIFS(BD!$B$3:$B$5001,C$184,BD!$A$3:$A$5001,"&gt;="&amp;$C$7,BD!$A$3:$A$5001,"&lt;="&amp;$B215,BD!$L$3:$L$5001,"&lt;&gt;")=0,"",SUMIFS(BD!$L$3:$L$5001,BD!$B$3:$B$5001,C$184,BD!$A$3:$A$5001,_xlfn.MAXIFS(BD!$A$3:$A$5001,BD!$B$3:$B$5001,C$184,BD!$A$3:$A$5001,"&gt;="&amp;$C$7,BD!$A$3:$A$5001,"&lt;="&amp;$B215,BD!$L$3:$L$5001,"&lt;&gt;"))))</f>
        <v/>
      </c>
      <c r="D215" s="43" t="str">
        <f>IF(OR($B215="",$A215&gt;$B$9,D$184=""),"",IF(COUNTIFS(BD!$B$3:$B$5001,D$184,BD!$A$3:$A$5001,"&gt;="&amp;$C$7,BD!$A$3:$A$5001,"&lt;="&amp;$B215,BD!$L$3:$L$5001,"&lt;&gt;")=0,"",SUMIFS(BD!$L$3:$L$5001,BD!$B$3:$B$5001,D$184,BD!$A$3:$A$5001,_xlfn.MAXIFS(BD!$A$3:$A$5001,BD!$B$3:$B$5001,D$184,BD!$A$3:$A$5001,"&gt;="&amp;$C$7,BD!$A$3:$A$5001,"&lt;="&amp;$B215,BD!$L$3:$L$5001,"&lt;&gt;"))))</f>
        <v/>
      </c>
      <c r="E215" s="43" t="str">
        <f>IF(OR($B215="",$A215&gt;$B$9,E$184=""),"",IF(COUNTIFS(BD!$B$3:$B$5001,E$184,BD!$A$3:$A$5001,"&gt;="&amp;$C$7,BD!$A$3:$A$5001,"&lt;="&amp;$B215,BD!$L$3:$L$5001,"&lt;&gt;")=0,"",SUMIFS(BD!$L$3:$L$5001,BD!$B$3:$B$5001,E$184,BD!$A$3:$A$5001,_xlfn.MAXIFS(BD!$A$3:$A$5001,BD!$B$3:$B$5001,E$184,BD!$A$3:$A$5001,"&gt;="&amp;$C$7,BD!$A$3:$A$5001,"&lt;="&amp;$B215,BD!$L$3:$L$5001,"&lt;&gt;"))))</f>
        <v/>
      </c>
      <c r="F215" s="43" t="str">
        <f>IF(OR($B215="",$A215&gt;$B$9,F$184=""),"",IF(COUNTIFS(BD!$B$3:$B$5001,F$184,BD!$A$3:$A$5001,"&gt;="&amp;$C$7,BD!$A$3:$A$5001,"&lt;="&amp;$B215,BD!$L$3:$L$5001,"&lt;&gt;")=0,"",SUMIFS(BD!$L$3:$L$5001,BD!$B$3:$B$5001,F$184,BD!$A$3:$A$5001,_xlfn.MAXIFS(BD!$A$3:$A$5001,BD!$B$3:$B$5001,F$184,BD!$A$3:$A$5001,"&gt;="&amp;$C$7,BD!$A$3:$A$5001,"&lt;="&amp;$B215,BD!$L$3:$L$5001,"&lt;&gt;"))))</f>
        <v/>
      </c>
      <c r="G215" s="43" t="str">
        <f>IF(OR($B215="",$A215&gt;$B$9,G$184=""),"",IF(COUNTIFS(BD!$B$3:$B$5001,G$184,BD!$A$3:$A$5001,"&gt;="&amp;$C$7,BD!$A$3:$A$5001,"&lt;="&amp;$B215,BD!$L$3:$L$5001,"&lt;&gt;")=0,"",SUMIFS(BD!$L$3:$L$5001,BD!$B$3:$B$5001,G$184,BD!$A$3:$A$5001,_xlfn.MAXIFS(BD!$A$3:$A$5001,BD!$B$3:$B$5001,G$184,BD!$A$3:$A$5001,"&gt;="&amp;$C$7,BD!$A$3:$A$5001,"&lt;="&amp;$B215,BD!$L$3:$L$5001,"&lt;&gt;"))))</f>
        <v/>
      </c>
      <c r="H215" s="43" t="str">
        <f>IF(OR($B215="",$A215&gt;$B$9,H$184=""),"",IF(COUNTIFS(BD!$B$3:$B$5001,H$184,BD!$A$3:$A$5001,"&gt;="&amp;$C$7,BD!$A$3:$A$5001,"&lt;="&amp;$B215,BD!$L$3:$L$5001,"&lt;&gt;")=0,"",SUMIFS(BD!$L$3:$L$5001,BD!$B$3:$B$5001,H$184,BD!$A$3:$A$5001,_xlfn.MAXIFS(BD!$A$3:$A$5001,BD!$B$3:$B$5001,H$184,BD!$A$3:$A$5001,"&gt;="&amp;$C$7,BD!$A$3:$A$5001,"&lt;="&amp;$B215,BD!$L$3:$L$5001,"&lt;&gt;"))))</f>
        <v/>
      </c>
      <c r="I215" s="43" t="str">
        <f>IF(OR($B215="",$A215&gt;$B$9,I$184=""),"",IF(COUNTIFS(BD!$B$3:$B$5001,I$184,BD!$A$3:$A$5001,"&gt;="&amp;$C$7,BD!$A$3:$A$5001,"&lt;="&amp;$B215,BD!$L$3:$L$5001,"&lt;&gt;")=0,"",SUMIFS(BD!$L$3:$L$5001,BD!$B$3:$B$5001,I$184,BD!$A$3:$A$5001,_xlfn.MAXIFS(BD!$A$3:$A$5001,BD!$B$3:$B$5001,I$184,BD!$A$3:$A$5001,"&gt;="&amp;$C$7,BD!$A$3:$A$5001,"&lt;="&amp;$B215,BD!$L$3:$L$5001,"&lt;&gt;"))))</f>
        <v/>
      </c>
      <c r="J215" s="43" t="str">
        <f>IF(OR($B215="",$A215&gt;$B$9,J$184=""),"",IF(COUNTIFS(BD!$B$3:$B$5001,J$184,BD!$A$3:$A$5001,"&gt;="&amp;$C$7,BD!$A$3:$A$5001,"&lt;="&amp;$B215,BD!$L$3:$L$5001,"&lt;&gt;")=0,"",SUMIFS(BD!$L$3:$L$5001,BD!$B$3:$B$5001,J$184,BD!$A$3:$A$5001,_xlfn.MAXIFS(BD!$A$3:$A$5001,BD!$B$3:$B$5001,J$184,BD!$A$3:$A$5001,"&gt;="&amp;$C$7,BD!$A$3:$A$5001,"&lt;="&amp;$B215,BD!$L$3:$L$5001,"&lt;&gt;"))))</f>
        <v/>
      </c>
      <c r="K215" s="43" t="str">
        <f>IF(OR($B215="",$A215&gt;$B$9,K$184=""),"",IF(COUNTIFS(BD!$B$3:$B$5001,K$184,BD!$A$3:$A$5001,"&gt;="&amp;$C$7,BD!$A$3:$A$5001,"&lt;="&amp;$B215,BD!$L$3:$L$5001,"&lt;&gt;")=0,"",SUMIFS(BD!$L$3:$L$5001,BD!$B$3:$B$5001,K$184,BD!$A$3:$A$5001,_xlfn.MAXIFS(BD!$A$3:$A$5001,BD!$B$3:$B$5001,K$184,BD!$A$3:$A$5001,"&gt;="&amp;$C$7,BD!$A$3:$A$5001,"&lt;="&amp;$B215,BD!$L$3:$L$5001,"&lt;&gt;"))))</f>
        <v/>
      </c>
      <c r="L215" s="43" t="str">
        <f>IF(OR($B215="",$A215&gt;$B$9,L$184=""),"",IF(COUNTIFS(BD!$B$3:$B$5001,L$184,BD!$A$3:$A$5001,"&gt;="&amp;$C$7,BD!$A$3:$A$5001,"&lt;="&amp;$B215,BD!$L$3:$L$5001,"&lt;&gt;")=0,"",SUMIFS(BD!$L$3:$L$5001,BD!$B$3:$B$5001,L$184,BD!$A$3:$A$5001,_xlfn.MAXIFS(BD!$A$3:$A$5001,BD!$B$3:$B$5001,L$184,BD!$A$3:$A$5001,"&gt;="&amp;$C$7,BD!$A$3:$A$5001,"&lt;="&amp;$B215,BD!$L$3:$L$5001,"&lt;&gt;"))))</f>
        <v/>
      </c>
      <c r="M215" s="43" t="str">
        <f>IF(OR($B215="",$A215&gt;$B$9,M$184=""),"",IF(COUNTIFS(BD!$B$3:$B$5001,M$184,BD!$A$3:$A$5001,"&gt;="&amp;$C$7,BD!$A$3:$A$5001,"&lt;="&amp;$B215,BD!$L$3:$L$5001,"&lt;&gt;")=0,"",SUMIFS(BD!$L$3:$L$5001,BD!$B$3:$B$5001,M$184,BD!$A$3:$A$5001,_xlfn.MAXIFS(BD!$A$3:$A$5001,BD!$B$3:$B$5001,M$184,BD!$A$3:$A$5001,"&gt;="&amp;$C$7,BD!$A$3:$A$5001,"&lt;="&amp;$B215,BD!$L$3:$L$5001,"&lt;&gt;"))))</f>
        <v/>
      </c>
      <c r="N215" s="43" t="str">
        <f>IF(OR($B215="",$A215&gt;$B$9,N$184=""),"",IF(COUNTIFS(BD!$B$3:$B$5001,N$184,BD!$A$3:$A$5001,"&gt;="&amp;$C$7,BD!$A$3:$A$5001,"&lt;="&amp;$B215,BD!$L$3:$L$5001,"&lt;&gt;")=0,"",SUMIFS(BD!$L$3:$L$5001,BD!$B$3:$B$5001,N$184,BD!$A$3:$A$5001,_xlfn.MAXIFS(BD!$A$3:$A$5001,BD!$B$3:$B$5001,N$184,BD!$A$3:$A$5001,"&gt;="&amp;$C$7,BD!$A$3:$A$5001,"&lt;="&amp;$B215,BD!$L$3:$L$5001,"&lt;&gt;"))))</f>
        <v/>
      </c>
      <c r="O215" s="43" t="str">
        <f>IF(OR($B215="",$A215&gt;$B$9,O$184=""),"",IF(COUNTIFS(BD!$B$3:$B$5001,O$184,BD!$A$3:$A$5001,"&gt;="&amp;$C$7,BD!$A$3:$A$5001,"&lt;="&amp;$B215,BD!$L$3:$L$5001,"&lt;&gt;")=0,"",SUMIFS(BD!$L$3:$L$5001,BD!$B$3:$B$5001,O$184,BD!$A$3:$A$5001,_xlfn.MAXIFS(BD!$A$3:$A$5001,BD!$B$3:$B$5001,O$184,BD!$A$3:$A$5001,"&gt;="&amp;$C$7,BD!$A$3:$A$5001,"&lt;="&amp;$B215,BD!$L$3:$L$5001,"&lt;&gt;"))))</f>
        <v/>
      </c>
      <c r="P215" s="43" t="str">
        <f>IF(OR($B215="",$A215&gt;$B$9,P$184=""),"",IF(COUNTIFS(BD!$B$3:$B$5001,P$184,BD!$A$3:$A$5001,"&gt;="&amp;$C$7,BD!$A$3:$A$5001,"&lt;="&amp;$B215,BD!$L$3:$L$5001,"&lt;&gt;")=0,"",SUMIFS(BD!$L$3:$L$5001,BD!$B$3:$B$5001,P$184,BD!$A$3:$A$5001,_xlfn.MAXIFS(BD!$A$3:$A$5001,BD!$B$3:$B$5001,P$184,BD!$A$3:$A$5001,"&gt;="&amp;$C$7,BD!$A$3:$A$5001,"&lt;="&amp;$B215,BD!$L$3:$L$5001,"&lt;&gt;"))))</f>
        <v/>
      </c>
      <c r="Q215" s="43" t="str">
        <f>IF(OR($B215="",$A215&gt;$B$9,Q$184=""),"",IF(COUNTIFS(BD!$B$3:$B$5001,Q$184,BD!$A$3:$A$5001,"&gt;="&amp;$C$7,BD!$A$3:$A$5001,"&lt;="&amp;$B215,BD!$L$3:$L$5001,"&lt;&gt;")=0,"",SUMIFS(BD!$L$3:$L$5001,BD!$B$3:$B$5001,Q$184,BD!$A$3:$A$5001,_xlfn.MAXIFS(BD!$A$3:$A$5001,BD!$B$3:$B$5001,Q$184,BD!$A$3:$A$5001,"&gt;="&amp;$C$7,BD!$A$3:$A$5001,"&lt;="&amp;$B215,BD!$L$3:$L$5001,"&lt;&gt;"))))</f>
        <v/>
      </c>
      <c r="R215" s="43" t="str">
        <f>IF(OR($B215="",$A215&gt;$B$9,R$184=""),"",IF(COUNTIFS(BD!$B$3:$B$5001,R$184,BD!$A$3:$A$5001,"&gt;="&amp;$C$7,BD!$A$3:$A$5001,"&lt;="&amp;$B215,BD!$L$3:$L$5001,"&lt;&gt;")=0,"",SUMIFS(BD!$L$3:$L$5001,BD!$B$3:$B$5001,R$184,BD!$A$3:$A$5001,_xlfn.MAXIFS(BD!$A$3:$A$5001,BD!$B$3:$B$5001,R$184,BD!$A$3:$A$5001,"&gt;="&amp;$C$7,BD!$A$3:$A$5001,"&lt;="&amp;$B215,BD!$L$3:$L$5001,"&lt;&gt;"))))</f>
        <v/>
      </c>
      <c r="S215" s="43" t="str">
        <f>IF(OR($B215="",$A215&gt;$B$9,S$184=""),"",IF(COUNTIFS(BD!$B$3:$B$5001,S$184,BD!$A$3:$A$5001,"&gt;="&amp;$C$7,BD!$A$3:$A$5001,"&lt;="&amp;$B215,BD!$L$3:$L$5001,"&lt;&gt;")=0,"",SUMIFS(BD!$L$3:$L$5001,BD!$B$3:$B$5001,S$184,BD!$A$3:$A$5001,_xlfn.MAXIFS(BD!$A$3:$A$5001,BD!$B$3:$B$5001,S$184,BD!$A$3:$A$5001,"&gt;="&amp;$C$7,BD!$A$3:$A$5001,"&lt;="&amp;$B215,BD!$L$3:$L$5001,"&lt;&gt;"))))</f>
        <v/>
      </c>
      <c r="T215" s="43" t="str">
        <f>IF(OR($B215="",$A215&gt;$B$9,T$184=""),"",IF(COUNTIFS(BD!$B$3:$B$5001,T$184,BD!$A$3:$A$5001,"&gt;="&amp;$C$7,BD!$A$3:$A$5001,"&lt;="&amp;$B215,BD!$L$3:$L$5001,"&lt;&gt;")=0,"",SUMIFS(BD!$L$3:$L$5001,BD!$B$3:$B$5001,T$184,BD!$A$3:$A$5001,_xlfn.MAXIFS(BD!$A$3:$A$5001,BD!$B$3:$B$5001,T$184,BD!$A$3:$A$5001,"&gt;="&amp;$C$7,BD!$A$3:$A$5001,"&lt;="&amp;$B215,BD!$L$3:$L$5001,"&lt;&gt;"))))</f>
        <v/>
      </c>
      <c r="U215" s="43" t="str">
        <f>IF(OR($B215="",$A215&gt;$B$9,U$184=""),"",IF(COUNTIFS(BD!$B$3:$B$5001,U$184,BD!$A$3:$A$5001,"&gt;="&amp;$C$7,BD!$A$3:$A$5001,"&lt;="&amp;$B215,BD!$L$3:$L$5001,"&lt;&gt;")=0,"",SUMIFS(BD!$L$3:$L$5001,BD!$B$3:$B$5001,U$184,BD!$A$3:$A$5001,_xlfn.MAXIFS(BD!$A$3:$A$5001,BD!$B$3:$B$5001,U$184,BD!$A$3:$A$5001,"&gt;="&amp;$C$7,BD!$A$3:$A$5001,"&lt;="&amp;$B215,BD!$L$3:$L$5001,"&lt;&gt;"))))</f>
        <v/>
      </c>
      <c r="V215" s="43" t="str">
        <f>IF(OR($B215="",$A215&gt;$B$9,V$184=""),"",IF(COUNTIFS(BD!$B$3:$B$5001,V$184,BD!$A$3:$A$5001,"&gt;="&amp;$C$7,BD!$A$3:$A$5001,"&lt;="&amp;$B215,BD!$L$3:$L$5001,"&lt;&gt;")=0,"",SUMIFS(BD!$L$3:$L$5001,BD!$B$3:$B$5001,V$184,BD!$A$3:$A$5001,_xlfn.MAXIFS(BD!$A$3:$A$5001,BD!$B$3:$B$5001,V$184,BD!$A$3:$A$5001,"&gt;="&amp;$C$7,BD!$A$3:$A$5001,"&lt;="&amp;$B215,BD!$L$3:$L$5001,"&lt;&gt;"))))</f>
        <v/>
      </c>
    </row>
    <row r="216">
      <c r="A216" s="44" t="inlineStr">
        <is>
          <t xml:space="preserve">Mês anterior (último)</t>
        </is>
      </c>
      <c r="C216" s="45" t="str">
        <f>IF(C$184="","",IF(COUNTIFS(BD!$B$3:$B$5001,C$184,BD!$A$3:$A$5001,"&gt;="&amp;$C$8,BD!$A$3:$A$5001,"&lt;="&amp;$D$8,BD!$L$3:$L$5001,"&lt;&gt;")=0,"",SUMIFS(BD!$L$3:$L$5001,BD!$B$3:$B$5001,C$184,BD!$A$3:$A$5001,_xlfn.MAXIFS(BD!$A$3:$A$5001,BD!$B$3:$B$5001,C$184,BD!$A$3:$A$5001,"&gt;="&amp;$C$8,BD!$A$3:$A$5001,"&lt;="&amp;$D$8,BD!$L$3:$L$5001,"&lt;&gt;"))))</f>
        <v/>
      </c>
      <c r="D216" s="45" t="str">
        <f>IF(D$184="","",IF(COUNTIFS(BD!$B$3:$B$5001,D$184,BD!$A$3:$A$5001,"&gt;="&amp;$C$8,BD!$A$3:$A$5001,"&lt;="&amp;$D$8,BD!$L$3:$L$5001,"&lt;&gt;")=0,"",SUMIFS(BD!$L$3:$L$5001,BD!$B$3:$B$5001,D$184,BD!$A$3:$A$5001,_xlfn.MAXIFS(BD!$A$3:$A$5001,BD!$B$3:$B$5001,D$184,BD!$A$3:$A$5001,"&gt;="&amp;$C$8,BD!$A$3:$A$5001,"&lt;="&amp;$D$8,BD!$L$3:$L$5001,"&lt;&gt;"))))</f>
        <v/>
      </c>
      <c r="E216" s="45" t="str">
        <f>IF(E$184="","",IF(COUNTIFS(BD!$B$3:$B$5001,E$184,BD!$A$3:$A$5001,"&gt;="&amp;$C$8,BD!$A$3:$A$5001,"&lt;="&amp;$D$8,BD!$L$3:$L$5001,"&lt;&gt;")=0,"",SUMIFS(BD!$L$3:$L$5001,BD!$B$3:$B$5001,E$184,BD!$A$3:$A$5001,_xlfn.MAXIFS(BD!$A$3:$A$5001,BD!$B$3:$B$5001,E$184,BD!$A$3:$A$5001,"&gt;="&amp;$C$8,BD!$A$3:$A$5001,"&lt;="&amp;$D$8,BD!$L$3:$L$5001,"&lt;&gt;"))))</f>
        <v/>
      </c>
      <c r="F216" s="45" t="str">
        <f>IF(F$184="","",IF(COUNTIFS(BD!$B$3:$B$5001,F$184,BD!$A$3:$A$5001,"&gt;="&amp;$C$8,BD!$A$3:$A$5001,"&lt;="&amp;$D$8,BD!$L$3:$L$5001,"&lt;&gt;")=0,"",SUMIFS(BD!$L$3:$L$5001,BD!$B$3:$B$5001,F$184,BD!$A$3:$A$5001,_xlfn.MAXIFS(BD!$A$3:$A$5001,BD!$B$3:$B$5001,F$184,BD!$A$3:$A$5001,"&gt;="&amp;$C$8,BD!$A$3:$A$5001,"&lt;="&amp;$D$8,BD!$L$3:$L$5001,"&lt;&gt;"))))</f>
        <v/>
      </c>
      <c r="G216" s="45" t="str">
        <f>IF(G$184="","",IF(COUNTIFS(BD!$B$3:$B$5001,G$184,BD!$A$3:$A$5001,"&gt;="&amp;$C$8,BD!$A$3:$A$5001,"&lt;="&amp;$D$8,BD!$L$3:$L$5001,"&lt;&gt;")=0,"",SUMIFS(BD!$L$3:$L$5001,BD!$B$3:$B$5001,G$184,BD!$A$3:$A$5001,_xlfn.MAXIFS(BD!$A$3:$A$5001,BD!$B$3:$B$5001,G$184,BD!$A$3:$A$5001,"&gt;="&amp;$C$8,BD!$A$3:$A$5001,"&lt;="&amp;$D$8,BD!$L$3:$L$5001,"&lt;&gt;"))))</f>
        <v/>
      </c>
      <c r="H216" s="45" t="str">
        <f>IF(H$184="","",IF(COUNTIFS(BD!$B$3:$B$5001,H$184,BD!$A$3:$A$5001,"&gt;="&amp;$C$8,BD!$A$3:$A$5001,"&lt;="&amp;$D$8,BD!$L$3:$L$5001,"&lt;&gt;")=0,"",SUMIFS(BD!$L$3:$L$5001,BD!$B$3:$B$5001,H$184,BD!$A$3:$A$5001,_xlfn.MAXIFS(BD!$A$3:$A$5001,BD!$B$3:$B$5001,H$184,BD!$A$3:$A$5001,"&gt;="&amp;$C$8,BD!$A$3:$A$5001,"&lt;="&amp;$D$8,BD!$L$3:$L$5001,"&lt;&gt;"))))</f>
        <v/>
      </c>
      <c r="I216" s="45" t="str">
        <f>IF(I$184="","",IF(COUNTIFS(BD!$B$3:$B$5001,I$184,BD!$A$3:$A$5001,"&gt;="&amp;$C$8,BD!$A$3:$A$5001,"&lt;="&amp;$D$8,BD!$L$3:$L$5001,"&lt;&gt;")=0,"",SUMIFS(BD!$L$3:$L$5001,BD!$B$3:$B$5001,I$184,BD!$A$3:$A$5001,_xlfn.MAXIFS(BD!$A$3:$A$5001,BD!$B$3:$B$5001,I$184,BD!$A$3:$A$5001,"&gt;="&amp;$C$8,BD!$A$3:$A$5001,"&lt;="&amp;$D$8,BD!$L$3:$L$5001,"&lt;&gt;"))))</f>
        <v/>
      </c>
      <c r="J216" s="45" t="str">
        <f>IF(J$184="","",IF(COUNTIFS(BD!$B$3:$B$5001,J$184,BD!$A$3:$A$5001,"&gt;="&amp;$C$8,BD!$A$3:$A$5001,"&lt;="&amp;$D$8,BD!$L$3:$L$5001,"&lt;&gt;")=0,"",SUMIFS(BD!$L$3:$L$5001,BD!$B$3:$B$5001,J$184,BD!$A$3:$A$5001,_xlfn.MAXIFS(BD!$A$3:$A$5001,BD!$B$3:$B$5001,J$184,BD!$A$3:$A$5001,"&gt;="&amp;$C$8,BD!$A$3:$A$5001,"&lt;="&amp;$D$8,BD!$L$3:$L$5001,"&lt;&gt;"))))</f>
        <v/>
      </c>
      <c r="K216" s="45" t="str">
        <f>IF(K$184="","",IF(COUNTIFS(BD!$B$3:$B$5001,K$184,BD!$A$3:$A$5001,"&gt;="&amp;$C$8,BD!$A$3:$A$5001,"&lt;="&amp;$D$8,BD!$L$3:$L$5001,"&lt;&gt;")=0,"",SUMIFS(BD!$L$3:$L$5001,BD!$B$3:$B$5001,K$184,BD!$A$3:$A$5001,_xlfn.MAXIFS(BD!$A$3:$A$5001,BD!$B$3:$B$5001,K$184,BD!$A$3:$A$5001,"&gt;="&amp;$C$8,BD!$A$3:$A$5001,"&lt;="&amp;$D$8,BD!$L$3:$L$5001,"&lt;&gt;"))))</f>
        <v/>
      </c>
      <c r="L216" s="45" t="str">
        <f>IF(L$184="","",IF(COUNTIFS(BD!$B$3:$B$5001,L$184,BD!$A$3:$A$5001,"&gt;="&amp;$C$8,BD!$A$3:$A$5001,"&lt;="&amp;$D$8,BD!$L$3:$L$5001,"&lt;&gt;")=0,"",SUMIFS(BD!$L$3:$L$5001,BD!$B$3:$B$5001,L$184,BD!$A$3:$A$5001,_xlfn.MAXIFS(BD!$A$3:$A$5001,BD!$B$3:$B$5001,L$184,BD!$A$3:$A$5001,"&gt;="&amp;$C$8,BD!$A$3:$A$5001,"&lt;="&amp;$D$8,BD!$L$3:$L$5001,"&lt;&gt;"))))</f>
        <v/>
      </c>
      <c r="M216" s="45" t="str">
        <f>IF(M$184="","",IF(COUNTIFS(BD!$B$3:$B$5001,M$184,BD!$A$3:$A$5001,"&gt;="&amp;$C$8,BD!$A$3:$A$5001,"&lt;="&amp;$D$8,BD!$L$3:$L$5001,"&lt;&gt;")=0,"",SUMIFS(BD!$L$3:$L$5001,BD!$B$3:$B$5001,M$184,BD!$A$3:$A$5001,_xlfn.MAXIFS(BD!$A$3:$A$5001,BD!$B$3:$B$5001,M$184,BD!$A$3:$A$5001,"&gt;="&amp;$C$8,BD!$A$3:$A$5001,"&lt;="&amp;$D$8,BD!$L$3:$L$5001,"&lt;&gt;"))))</f>
        <v/>
      </c>
      <c r="N216" s="45" t="str">
        <f>IF(N$184="","",IF(COUNTIFS(BD!$B$3:$B$5001,N$184,BD!$A$3:$A$5001,"&gt;="&amp;$C$8,BD!$A$3:$A$5001,"&lt;="&amp;$D$8,BD!$L$3:$L$5001,"&lt;&gt;")=0,"",SUMIFS(BD!$L$3:$L$5001,BD!$B$3:$B$5001,N$184,BD!$A$3:$A$5001,_xlfn.MAXIFS(BD!$A$3:$A$5001,BD!$B$3:$B$5001,N$184,BD!$A$3:$A$5001,"&gt;="&amp;$C$8,BD!$A$3:$A$5001,"&lt;="&amp;$D$8,BD!$L$3:$L$5001,"&lt;&gt;"))))</f>
        <v/>
      </c>
      <c r="O216" s="45" t="str">
        <f>IF(O$184="","",IF(COUNTIFS(BD!$B$3:$B$5001,O$184,BD!$A$3:$A$5001,"&gt;="&amp;$C$8,BD!$A$3:$A$5001,"&lt;="&amp;$D$8,BD!$L$3:$L$5001,"&lt;&gt;")=0,"",SUMIFS(BD!$L$3:$L$5001,BD!$B$3:$B$5001,O$184,BD!$A$3:$A$5001,_xlfn.MAXIFS(BD!$A$3:$A$5001,BD!$B$3:$B$5001,O$184,BD!$A$3:$A$5001,"&gt;="&amp;$C$8,BD!$A$3:$A$5001,"&lt;="&amp;$D$8,BD!$L$3:$L$5001,"&lt;&gt;"))))</f>
        <v/>
      </c>
      <c r="P216" s="45" t="str">
        <f>IF(P$184="","",IF(COUNTIFS(BD!$B$3:$B$5001,P$184,BD!$A$3:$A$5001,"&gt;="&amp;$C$8,BD!$A$3:$A$5001,"&lt;="&amp;$D$8,BD!$L$3:$L$5001,"&lt;&gt;")=0,"",SUMIFS(BD!$L$3:$L$5001,BD!$B$3:$B$5001,P$184,BD!$A$3:$A$5001,_xlfn.MAXIFS(BD!$A$3:$A$5001,BD!$B$3:$B$5001,P$184,BD!$A$3:$A$5001,"&gt;="&amp;$C$8,BD!$A$3:$A$5001,"&lt;="&amp;$D$8,BD!$L$3:$L$5001,"&lt;&gt;"))))</f>
        <v/>
      </c>
      <c r="Q216" s="45" t="str">
        <f>IF(Q$184="","",IF(COUNTIFS(BD!$B$3:$B$5001,Q$184,BD!$A$3:$A$5001,"&gt;="&amp;$C$8,BD!$A$3:$A$5001,"&lt;="&amp;$D$8,BD!$L$3:$L$5001,"&lt;&gt;")=0,"",SUMIFS(BD!$L$3:$L$5001,BD!$B$3:$B$5001,Q$184,BD!$A$3:$A$5001,_xlfn.MAXIFS(BD!$A$3:$A$5001,BD!$B$3:$B$5001,Q$184,BD!$A$3:$A$5001,"&gt;="&amp;$C$8,BD!$A$3:$A$5001,"&lt;="&amp;$D$8,BD!$L$3:$L$5001,"&lt;&gt;"))))</f>
        <v/>
      </c>
      <c r="R216" s="45" t="str">
        <f>IF(R$184="","",IF(COUNTIFS(BD!$B$3:$B$5001,R$184,BD!$A$3:$A$5001,"&gt;="&amp;$C$8,BD!$A$3:$A$5001,"&lt;="&amp;$D$8,BD!$L$3:$L$5001,"&lt;&gt;")=0,"",SUMIFS(BD!$L$3:$L$5001,BD!$B$3:$B$5001,R$184,BD!$A$3:$A$5001,_xlfn.MAXIFS(BD!$A$3:$A$5001,BD!$B$3:$B$5001,R$184,BD!$A$3:$A$5001,"&gt;="&amp;$C$8,BD!$A$3:$A$5001,"&lt;="&amp;$D$8,BD!$L$3:$L$5001,"&lt;&gt;"))))</f>
        <v/>
      </c>
      <c r="S216" s="45" t="str">
        <f>IF(S$184="","",IF(COUNTIFS(BD!$B$3:$B$5001,S$184,BD!$A$3:$A$5001,"&gt;="&amp;$C$8,BD!$A$3:$A$5001,"&lt;="&amp;$D$8,BD!$L$3:$L$5001,"&lt;&gt;")=0,"",SUMIFS(BD!$L$3:$L$5001,BD!$B$3:$B$5001,S$184,BD!$A$3:$A$5001,_xlfn.MAXIFS(BD!$A$3:$A$5001,BD!$B$3:$B$5001,S$184,BD!$A$3:$A$5001,"&gt;="&amp;$C$8,BD!$A$3:$A$5001,"&lt;="&amp;$D$8,BD!$L$3:$L$5001,"&lt;&gt;"))))</f>
        <v/>
      </c>
      <c r="T216" s="45" t="str">
        <f>IF(T$184="","",IF(COUNTIFS(BD!$B$3:$B$5001,T$184,BD!$A$3:$A$5001,"&gt;="&amp;$C$8,BD!$A$3:$A$5001,"&lt;="&amp;$D$8,BD!$L$3:$L$5001,"&lt;&gt;")=0,"",SUMIFS(BD!$L$3:$L$5001,BD!$B$3:$B$5001,T$184,BD!$A$3:$A$5001,_xlfn.MAXIFS(BD!$A$3:$A$5001,BD!$B$3:$B$5001,T$184,BD!$A$3:$A$5001,"&gt;="&amp;$C$8,BD!$A$3:$A$5001,"&lt;="&amp;$D$8,BD!$L$3:$L$5001,"&lt;&gt;"))))</f>
        <v/>
      </c>
      <c r="U216" s="45" t="str">
        <f>IF(U$184="","",IF(COUNTIFS(BD!$B$3:$B$5001,U$184,BD!$A$3:$A$5001,"&gt;="&amp;$C$8,BD!$A$3:$A$5001,"&lt;="&amp;$D$8,BD!$L$3:$L$5001,"&lt;&gt;")=0,"",SUMIFS(BD!$L$3:$L$5001,BD!$B$3:$B$5001,U$184,BD!$A$3:$A$5001,_xlfn.MAXIFS(BD!$A$3:$A$5001,BD!$B$3:$B$5001,U$184,BD!$A$3:$A$5001,"&gt;="&amp;$C$8,BD!$A$3:$A$5001,"&lt;="&amp;$D$8,BD!$L$3:$L$5001,"&lt;&gt;"))))</f>
        <v/>
      </c>
      <c r="V216" s="45" t="str">
        <f>IF(V$184="","",IF(COUNTIFS(BD!$B$3:$B$5001,V$184,BD!$A$3:$A$5001,"&gt;="&amp;$C$8,BD!$A$3:$A$5001,"&lt;="&amp;$D$8,BD!$L$3:$L$5001,"&lt;&gt;")=0,"",SUMIFS(BD!$L$3:$L$5001,BD!$B$3:$B$5001,V$184,BD!$A$3:$A$5001,_xlfn.MAXIFS(BD!$A$3:$A$5001,BD!$B$3:$B$5001,V$184,BD!$A$3:$A$5001,"&gt;="&amp;$C$8,BD!$A$3:$A$5001,"&lt;="&amp;$D$8,BD!$L$3:$L$5001,"&lt;&gt;"))))</f>
        <v/>
      </c>
    </row>
    <row r="217">
      <c r="A217" s="44" t="inlineStr">
        <is>
          <t xml:space="preserve">Depósito</t>
        </is>
      </c>
      <c r="C217" s="38" t="str">
        <f>IF(Config!$C$10="","JSL",Config!$C$10)</f>
        <v>JSL</v>
      </c>
      <c r="D217" s="38" t="str">
        <f>IF(Config!$C$11="","JSL",Config!$C$11)</f>
        <v>JSL</v>
      </c>
      <c r="E217" s="38" t="str">
        <f>IF(Config!$C$12="","JSL",Config!$C$12)</f>
        <v>JSL</v>
      </c>
      <c r="F217" s="38" t="str">
        <f>IF(Config!$C$13="","JSL",Config!$C$13)</f>
        <v>JSL</v>
      </c>
      <c r="G217" s="38" t="str">
        <f>IF(Config!$C$14="","JSL",Config!$C$14)</f>
        <v>JSL</v>
      </c>
      <c r="H217" s="38" t="str">
        <f>IF(Config!$C$15="","JSL",Config!$C$15)</f>
        <v>JSL</v>
      </c>
      <c r="I217" s="38" t="str">
        <f>IF(Config!$C$16="","JSL",Config!$C$16)</f>
        <v>JSL</v>
      </c>
      <c r="J217" s="38" t="str">
        <f>IF(Config!$C$17="","JSL",Config!$C$17)</f>
        <v>JSL</v>
      </c>
      <c r="K217" s="38" t="str">
        <f>IF(Config!$C$18="","JSL",Config!$C$18)</f>
        <v>JSL</v>
      </c>
      <c r="L217" s="38" t="str">
        <f>IF(Config!$C$19="","JSL",Config!$C$19)</f>
        <v>JSL</v>
      </c>
      <c r="M217" s="38" t="str">
        <f>IF(Config!$C$20="","JSL",Config!$C$20)</f>
        <v>JSL</v>
      </c>
      <c r="N217" s="38" t="str">
        <f>IF(Config!$C$21="","JSL",Config!$C$21)</f>
        <v>JSL</v>
      </c>
      <c r="O217" s="38" t="str">
        <f>IF(Config!$C$22="","JSL",Config!$C$22)</f>
        <v>JSL</v>
      </c>
      <c r="P217" s="38" t="str">
        <f>IF(Config!$C$23="","JSL",Config!$C$23)</f>
        <v>JSL</v>
      </c>
      <c r="Q217" s="38" t="str">
        <f>IF(Config!$C$24="","JSL",Config!$C$24)</f>
        <v>JSL</v>
      </c>
      <c r="R217" s="38" t="str">
        <f>IF(Config!$C$25="","JSL",Config!$C$25)</f>
        <v>JSL</v>
      </c>
      <c r="S217" s="38" t="str">
        <f>IF(Config!$C$26="","JSL",Config!$C$26)</f>
        <v>JSL</v>
      </c>
      <c r="T217" s="38" t="str">
        <f>IF(Config!$C$27="","JSL",Config!$C$27)</f>
        <v>JSL</v>
      </c>
      <c r="U217" s="38" t="str">
        <f>IF(Config!$C$28="","JSL",Config!$C$28)</f>
        <v>JSL</v>
      </c>
      <c r="V217" s="38" t="str">
        <f>IF(Config!$C$29="","JSL",Config!$C$29)</f>
        <v>JSL</v>
      </c>
    </row>
    <row r="219">
      <c r="A219" s="37" t="inlineStr">
        <is>
          <t xml:space="preserve">Efetivo Op.</t>
        </is>
      </c>
      <c r="B219" s="37" t="inlineStr">
        <is>
          <t xml:space="preserve">Data</t>
        </is>
      </c>
      <c r="C219" s="37" t="str">
        <f>Config!$B$10&amp;""</f>
        <v>Barry Callebaut</v>
      </c>
      <c r="D219" s="37" t="str">
        <f>Config!$B$11&amp;""</f>
        <v>GM</v>
      </c>
      <c r="E219" s="37" t="str">
        <f>Config!$B$12&amp;""</f>
        <v>Mondelez</v>
      </c>
      <c r="F219" s="37" t="str">
        <f>Config!$B$13&amp;""</f>
        <v>Nestlé</v>
      </c>
      <c r="G219" s="37" t="str">
        <f>Config!$B$14&amp;""</f>
        <v>PMB</v>
      </c>
      <c r="H219" s="37" t="str">
        <f>Config!$B$15&amp;""</f>
        <v/>
      </c>
      <c r="I219" s="37" t="str">
        <f>Config!$B$16&amp;""</f>
        <v/>
      </c>
      <c r="J219" s="37" t="str">
        <f>Config!$B$17&amp;""</f>
        <v/>
      </c>
      <c r="K219" s="37" t="str">
        <f>Config!$B$18&amp;""</f>
        <v/>
      </c>
      <c r="L219" s="37" t="str">
        <f>Config!$B$19&amp;""</f>
        <v/>
      </c>
      <c r="M219" s="37" t="str">
        <f>Config!$B$20&amp;""</f>
        <v/>
      </c>
      <c r="N219" s="37" t="str">
        <f>Config!$B$21&amp;""</f>
        <v/>
      </c>
      <c r="O219" s="37" t="str">
        <f>Config!$B$22&amp;""</f>
        <v/>
      </c>
      <c r="P219" s="37" t="str">
        <f>Config!$B$23&amp;""</f>
        <v/>
      </c>
      <c r="Q219" s="37" t="str">
        <f>Config!$B$24&amp;""</f>
        <v/>
      </c>
      <c r="R219" s="37" t="str">
        <f>Config!$B$25&amp;""</f>
        <v/>
      </c>
      <c r="S219" s="37" t="str">
        <f>Config!$B$26&amp;""</f>
        <v/>
      </c>
      <c r="T219" s="37" t="str">
        <f>Config!$B$27&amp;""</f>
        <v/>
      </c>
      <c r="U219" s="37" t="str">
        <f>Config!$B$28&amp;""</f>
        <v/>
      </c>
      <c r="V219" s="37" t="str">
        <f>Config!$B$29&amp;""</f>
        <v/>
      </c>
    </row>
    <row r="220">
      <c r="A220" s="38">
        <v>1</v>
      </c>
      <c r="B220" s="42">
        <f>$B$12</f>
        <v>46296</v>
      </c>
      <c r="C220" s="43" t="str">
        <f>IF(OR($B220="",$A220&gt;$B$9,C$219=""),"",IF(COUNTIFS(BD!$B$3:$B$5001,C$219,BD!$A$3:$A$5001,"&gt;="&amp;$C$7,BD!$A$3:$A$5001,"&lt;="&amp;$B220,BD!$N$3:$N$5001,"&lt;&gt;")=0,"",SUMIFS(BD!$N$3:$N$5001,BD!$B$3:$B$5001,C$219,BD!$A$3:$A$5001,_xlfn.MAXIFS(BD!$A$3:$A$5001,BD!$B$3:$B$5001,C$219,BD!$A$3:$A$5001,"&gt;="&amp;$C$7,BD!$A$3:$A$5001,"&lt;="&amp;$B220,BD!$N$3:$N$5001,"&lt;&gt;"))))</f>
        <v/>
      </c>
      <c r="D220" s="43" t="str">
        <f>IF(OR($B220="",$A220&gt;$B$9,D$219=""),"",IF(COUNTIFS(BD!$B$3:$B$5001,D$219,BD!$A$3:$A$5001,"&gt;="&amp;$C$7,BD!$A$3:$A$5001,"&lt;="&amp;$B220,BD!$N$3:$N$5001,"&lt;&gt;")=0,"",SUMIFS(BD!$N$3:$N$5001,BD!$B$3:$B$5001,D$219,BD!$A$3:$A$5001,_xlfn.MAXIFS(BD!$A$3:$A$5001,BD!$B$3:$B$5001,D$219,BD!$A$3:$A$5001,"&gt;="&amp;$C$7,BD!$A$3:$A$5001,"&lt;="&amp;$B220,BD!$N$3:$N$5001,"&lt;&gt;"))))</f>
        <v/>
      </c>
      <c r="E220" s="43" t="str">
        <f>IF(OR($B220="",$A220&gt;$B$9,E$219=""),"",IF(COUNTIFS(BD!$B$3:$B$5001,E$219,BD!$A$3:$A$5001,"&gt;="&amp;$C$7,BD!$A$3:$A$5001,"&lt;="&amp;$B220,BD!$N$3:$N$5001,"&lt;&gt;")=0,"",SUMIFS(BD!$N$3:$N$5001,BD!$B$3:$B$5001,E$219,BD!$A$3:$A$5001,_xlfn.MAXIFS(BD!$A$3:$A$5001,BD!$B$3:$B$5001,E$219,BD!$A$3:$A$5001,"&gt;="&amp;$C$7,BD!$A$3:$A$5001,"&lt;="&amp;$B220,BD!$N$3:$N$5001,"&lt;&gt;"))))</f>
        <v/>
      </c>
      <c r="F220" s="43" t="str">
        <f>IF(OR($B220="",$A220&gt;$B$9,F$219=""),"",IF(COUNTIFS(BD!$B$3:$B$5001,F$219,BD!$A$3:$A$5001,"&gt;="&amp;$C$7,BD!$A$3:$A$5001,"&lt;="&amp;$B220,BD!$N$3:$N$5001,"&lt;&gt;")=0,"",SUMIFS(BD!$N$3:$N$5001,BD!$B$3:$B$5001,F$219,BD!$A$3:$A$5001,_xlfn.MAXIFS(BD!$A$3:$A$5001,BD!$B$3:$B$5001,F$219,BD!$A$3:$A$5001,"&gt;="&amp;$C$7,BD!$A$3:$A$5001,"&lt;="&amp;$B220,BD!$N$3:$N$5001,"&lt;&gt;"))))</f>
        <v/>
      </c>
      <c r="G220" s="43" t="str">
        <f>IF(OR($B220="",$A220&gt;$B$9,G$219=""),"",IF(COUNTIFS(BD!$B$3:$B$5001,G$219,BD!$A$3:$A$5001,"&gt;="&amp;$C$7,BD!$A$3:$A$5001,"&lt;="&amp;$B220,BD!$N$3:$N$5001,"&lt;&gt;")=0,"",SUMIFS(BD!$N$3:$N$5001,BD!$B$3:$B$5001,G$219,BD!$A$3:$A$5001,_xlfn.MAXIFS(BD!$A$3:$A$5001,BD!$B$3:$B$5001,G$219,BD!$A$3:$A$5001,"&gt;="&amp;$C$7,BD!$A$3:$A$5001,"&lt;="&amp;$B220,BD!$N$3:$N$5001,"&lt;&gt;"))))</f>
        <v/>
      </c>
      <c r="H220" s="43" t="str">
        <f>IF(OR($B220="",$A220&gt;$B$9,H$219=""),"",IF(COUNTIFS(BD!$B$3:$B$5001,H$219,BD!$A$3:$A$5001,"&gt;="&amp;$C$7,BD!$A$3:$A$5001,"&lt;="&amp;$B220,BD!$N$3:$N$5001,"&lt;&gt;")=0,"",SUMIFS(BD!$N$3:$N$5001,BD!$B$3:$B$5001,H$219,BD!$A$3:$A$5001,_xlfn.MAXIFS(BD!$A$3:$A$5001,BD!$B$3:$B$5001,H$219,BD!$A$3:$A$5001,"&gt;="&amp;$C$7,BD!$A$3:$A$5001,"&lt;="&amp;$B220,BD!$N$3:$N$5001,"&lt;&gt;"))))</f>
        <v/>
      </c>
      <c r="I220" s="43" t="str">
        <f>IF(OR($B220="",$A220&gt;$B$9,I$219=""),"",IF(COUNTIFS(BD!$B$3:$B$5001,I$219,BD!$A$3:$A$5001,"&gt;="&amp;$C$7,BD!$A$3:$A$5001,"&lt;="&amp;$B220,BD!$N$3:$N$5001,"&lt;&gt;")=0,"",SUMIFS(BD!$N$3:$N$5001,BD!$B$3:$B$5001,I$219,BD!$A$3:$A$5001,_xlfn.MAXIFS(BD!$A$3:$A$5001,BD!$B$3:$B$5001,I$219,BD!$A$3:$A$5001,"&gt;="&amp;$C$7,BD!$A$3:$A$5001,"&lt;="&amp;$B220,BD!$N$3:$N$5001,"&lt;&gt;"))))</f>
        <v/>
      </c>
      <c r="J220" s="43" t="str">
        <f>IF(OR($B220="",$A220&gt;$B$9,J$219=""),"",IF(COUNTIFS(BD!$B$3:$B$5001,J$219,BD!$A$3:$A$5001,"&gt;="&amp;$C$7,BD!$A$3:$A$5001,"&lt;="&amp;$B220,BD!$N$3:$N$5001,"&lt;&gt;")=0,"",SUMIFS(BD!$N$3:$N$5001,BD!$B$3:$B$5001,J$219,BD!$A$3:$A$5001,_xlfn.MAXIFS(BD!$A$3:$A$5001,BD!$B$3:$B$5001,J$219,BD!$A$3:$A$5001,"&gt;="&amp;$C$7,BD!$A$3:$A$5001,"&lt;="&amp;$B220,BD!$N$3:$N$5001,"&lt;&gt;"))))</f>
        <v/>
      </c>
      <c r="K220" s="43" t="str">
        <f>IF(OR($B220="",$A220&gt;$B$9,K$219=""),"",IF(COUNTIFS(BD!$B$3:$B$5001,K$219,BD!$A$3:$A$5001,"&gt;="&amp;$C$7,BD!$A$3:$A$5001,"&lt;="&amp;$B220,BD!$N$3:$N$5001,"&lt;&gt;")=0,"",SUMIFS(BD!$N$3:$N$5001,BD!$B$3:$B$5001,K$219,BD!$A$3:$A$5001,_xlfn.MAXIFS(BD!$A$3:$A$5001,BD!$B$3:$B$5001,K$219,BD!$A$3:$A$5001,"&gt;="&amp;$C$7,BD!$A$3:$A$5001,"&lt;="&amp;$B220,BD!$N$3:$N$5001,"&lt;&gt;"))))</f>
        <v/>
      </c>
      <c r="L220" s="43" t="str">
        <f>IF(OR($B220="",$A220&gt;$B$9,L$219=""),"",IF(COUNTIFS(BD!$B$3:$B$5001,L$219,BD!$A$3:$A$5001,"&gt;="&amp;$C$7,BD!$A$3:$A$5001,"&lt;="&amp;$B220,BD!$N$3:$N$5001,"&lt;&gt;")=0,"",SUMIFS(BD!$N$3:$N$5001,BD!$B$3:$B$5001,L$219,BD!$A$3:$A$5001,_xlfn.MAXIFS(BD!$A$3:$A$5001,BD!$B$3:$B$5001,L$219,BD!$A$3:$A$5001,"&gt;="&amp;$C$7,BD!$A$3:$A$5001,"&lt;="&amp;$B220,BD!$N$3:$N$5001,"&lt;&gt;"))))</f>
        <v/>
      </c>
      <c r="M220" s="43" t="str">
        <f>IF(OR($B220="",$A220&gt;$B$9,M$219=""),"",IF(COUNTIFS(BD!$B$3:$B$5001,M$219,BD!$A$3:$A$5001,"&gt;="&amp;$C$7,BD!$A$3:$A$5001,"&lt;="&amp;$B220,BD!$N$3:$N$5001,"&lt;&gt;")=0,"",SUMIFS(BD!$N$3:$N$5001,BD!$B$3:$B$5001,M$219,BD!$A$3:$A$5001,_xlfn.MAXIFS(BD!$A$3:$A$5001,BD!$B$3:$B$5001,M$219,BD!$A$3:$A$5001,"&gt;="&amp;$C$7,BD!$A$3:$A$5001,"&lt;="&amp;$B220,BD!$N$3:$N$5001,"&lt;&gt;"))))</f>
        <v/>
      </c>
      <c r="N220" s="43" t="str">
        <f>IF(OR($B220="",$A220&gt;$B$9,N$219=""),"",IF(COUNTIFS(BD!$B$3:$B$5001,N$219,BD!$A$3:$A$5001,"&gt;="&amp;$C$7,BD!$A$3:$A$5001,"&lt;="&amp;$B220,BD!$N$3:$N$5001,"&lt;&gt;")=0,"",SUMIFS(BD!$N$3:$N$5001,BD!$B$3:$B$5001,N$219,BD!$A$3:$A$5001,_xlfn.MAXIFS(BD!$A$3:$A$5001,BD!$B$3:$B$5001,N$219,BD!$A$3:$A$5001,"&gt;="&amp;$C$7,BD!$A$3:$A$5001,"&lt;="&amp;$B220,BD!$N$3:$N$5001,"&lt;&gt;"))))</f>
        <v/>
      </c>
      <c r="O220" s="43" t="str">
        <f>IF(OR($B220="",$A220&gt;$B$9,O$219=""),"",IF(COUNTIFS(BD!$B$3:$B$5001,O$219,BD!$A$3:$A$5001,"&gt;="&amp;$C$7,BD!$A$3:$A$5001,"&lt;="&amp;$B220,BD!$N$3:$N$5001,"&lt;&gt;")=0,"",SUMIFS(BD!$N$3:$N$5001,BD!$B$3:$B$5001,O$219,BD!$A$3:$A$5001,_xlfn.MAXIFS(BD!$A$3:$A$5001,BD!$B$3:$B$5001,O$219,BD!$A$3:$A$5001,"&gt;="&amp;$C$7,BD!$A$3:$A$5001,"&lt;="&amp;$B220,BD!$N$3:$N$5001,"&lt;&gt;"))))</f>
        <v/>
      </c>
      <c r="P220" s="43" t="str">
        <f>IF(OR($B220="",$A220&gt;$B$9,P$219=""),"",IF(COUNTIFS(BD!$B$3:$B$5001,P$219,BD!$A$3:$A$5001,"&gt;="&amp;$C$7,BD!$A$3:$A$5001,"&lt;="&amp;$B220,BD!$N$3:$N$5001,"&lt;&gt;")=0,"",SUMIFS(BD!$N$3:$N$5001,BD!$B$3:$B$5001,P$219,BD!$A$3:$A$5001,_xlfn.MAXIFS(BD!$A$3:$A$5001,BD!$B$3:$B$5001,P$219,BD!$A$3:$A$5001,"&gt;="&amp;$C$7,BD!$A$3:$A$5001,"&lt;="&amp;$B220,BD!$N$3:$N$5001,"&lt;&gt;"))))</f>
        <v/>
      </c>
      <c r="Q220" s="43" t="str">
        <f>IF(OR($B220="",$A220&gt;$B$9,Q$219=""),"",IF(COUNTIFS(BD!$B$3:$B$5001,Q$219,BD!$A$3:$A$5001,"&gt;="&amp;$C$7,BD!$A$3:$A$5001,"&lt;="&amp;$B220,BD!$N$3:$N$5001,"&lt;&gt;")=0,"",SUMIFS(BD!$N$3:$N$5001,BD!$B$3:$B$5001,Q$219,BD!$A$3:$A$5001,_xlfn.MAXIFS(BD!$A$3:$A$5001,BD!$B$3:$B$5001,Q$219,BD!$A$3:$A$5001,"&gt;="&amp;$C$7,BD!$A$3:$A$5001,"&lt;="&amp;$B220,BD!$N$3:$N$5001,"&lt;&gt;"))))</f>
        <v/>
      </c>
      <c r="R220" s="43" t="str">
        <f>IF(OR($B220="",$A220&gt;$B$9,R$219=""),"",IF(COUNTIFS(BD!$B$3:$B$5001,R$219,BD!$A$3:$A$5001,"&gt;="&amp;$C$7,BD!$A$3:$A$5001,"&lt;="&amp;$B220,BD!$N$3:$N$5001,"&lt;&gt;")=0,"",SUMIFS(BD!$N$3:$N$5001,BD!$B$3:$B$5001,R$219,BD!$A$3:$A$5001,_xlfn.MAXIFS(BD!$A$3:$A$5001,BD!$B$3:$B$5001,R$219,BD!$A$3:$A$5001,"&gt;="&amp;$C$7,BD!$A$3:$A$5001,"&lt;="&amp;$B220,BD!$N$3:$N$5001,"&lt;&gt;"))))</f>
        <v/>
      </c>
      <c r="S220" s="43" t="str">
        <f>IF(OR($B220="",$A220&gt;$B$9,S$219=""),"",IF(COUNTIFS(BD!$B$3:$B$5001,S$219,BD!$A$3:$A$5001,"&gt;="&amp;$C$7,BD!$A$3:$A$5001,"&lt;="&amp;$B220,BD!$N$3:$N$5001,"&lt;&gt;")=0,"",SUMIFS(BD!$N$3:$N$5001,BD!$B$3:$B$5001,S$219,BD!$A$3:$A$5001,_xlfn.MAXIFS(BD!$A$3:$A$5001,BD!$B$3:$B$5001,S$219,BD!$A$3:$A$5001,"&gt;="&amp;$C$7,BD!$A$3:$A$5001,"&lt;="&amp;$B220,BD!$N$3:$N$5001,"&lt;&gt;"))))</f>
        <v/>
      </c>
      <c r="T220" s="43" t="str">
        <f>IF(OR($B220="",$A220&gt;$B$9,T$219=""),"",IF(COUNTIFS(BD!$B$3:$B$5001,T$219,BD!$A$3:$A$5001,"&gt;="&amp;$C$7,BD!$A$3:$A$5001,"&lt;="&amp;$B220,BD!$N$3:$N$5001,"&lt;&gt;")=0,"",SUMIFS(BD!$N$3:$N$5001,BD!$B$3:$B$5001,T$219,BD!$A$3:$A$5001,_xlfn.MAXIFS(BD!$A$3:$A$5001,BD!$B$3:$B$5001,T$219,BD!$A$3:$A$5001,"&gt;="&amp;$C$7,BD!$A$3:$A$5001,"&lt;="&amp;$B220,BD!$N$3:$N$5001,"&lt;&gt;"))))</f>
        <v/>
      </c>
      <c r="U220" s="43" t="str">
        <f>IF(OR($B220="",$A220&gt;$B$9,U$219=""),"",IF(COUNTIFS(BD!$B$3:$B$5001,U$219,BD!$A$3:$A$5001,"&gt;="&amp;$C$7,BD!$A$3:$A$5001,"&lt;="&amp;$B220,BD!$N$3:$N$5001,"&lt;&gt;")=0,"",SUMIFS(BD!$N$3:$N$5001,BD!$B$3:$B$5001,U$219,BD!$A$3:$A$5001,_xlfn.MAXIFS(BD!$A$3:$A$5001,BD!$B$3:$B$5001,U$219,BD!$A$3:$A$5001,"&gt;="&amp;$C$7,BD!$A$3:$A$5001,"&lt;="&amp;$B220,BD!$N$3:$N$5001,"&lt;&gt;"))))</f>
        <v/>
      </c>
      <c r="V220" s="43" t="str">
        <f>IF(OR($B220="",$A220&gt;$B$9,V$219=""),"",IF(COUNTIFS(BD!$B$3:$B$5001,V$219,BD!$A$3:$A$5001,"&gt;="&amp;$C$7,BD!$A$3:$A$5001,"&lt;="&amp;$B220,BD!$N$3:$N$5001,"&lt;&gt;")=0,"",SUMIFS(BD!$N$3:$N$5001,BD!$B$3:$B$5001,V$219,BD!$A$3:$A$5001,_xlfn.MAXIFS(BD!$A$3:$A$5001,BD!$B$3:$B$5001,V$219,BD!$A$3:$A$5001,"&gt;="&amp;$C$7,BD!$A$3:$A$5001,"&lt;="&amp;$B220,BD!$N$3:$N$5001,"&lt;&gt;"))))</f>
        <v/>
      </c>
    </row>
    <row r="221">
      <c r="A221" s="38">
        <v>2</v>
      </c>
      <c r="B221" s="42">
        <f>$B$13</f>
        <v>46297</v>
      </c>
      <c r="C221" s="43" t="str">
        <f>IF(OR($B221="",$A221&gt;$B$9,C$219=""),"",IF(COUNTIFS(BD!$B$3:$B$5001,C$219,BD!$A$3:$A$5001,"&gt;="&amp;$C$7,BD!$A$3:$A$5001,"&lt;="&amp;$B221,BD!$N$3:$N$5001,"&lt;&gt;")=0,"",SUMIFS(BD!$N$3:$N$5001,BD!$B$3:$B$5001,C$219,BD!$A$3:$A$5001,_xlfn.MAXIFS(BD!$A$3:$A$5001,BD!$B$3:$B$5001,C$219,BD!$A$3:$A$5001,"&gt;="&amp;$C$7,BD!$A$3:$A$5001,"&lt;="&amp;$B221,BD!$N$3:$N$5001,"&lt;&gt;"))))</f>
        <v/>
      </c>
      <c r="D221" s="43" t="str">
        <f>IF(OR($B221="",$A221&gt;$B$9,D$219=""),"",IF(COUNTIFS(BD!$B$3:$B$5001,D$219,BD!$A$3:$A$5001,"&gt;="&amp;$C$7,BD!$A$3:$A$5001,"&lt;="&amp;$B221,BD!$N$3:$N$5001,"&lt;&gt;")=0,"",SUMIFS(BD!$N$3:$N$5001,BD!$B$3:$B$5001,D$219,BD!$A$3:$A$5001,_xlfn.MAXIFS(BD!$A$3:$A$5001,BD!$B$3:$B$5001,D$219,BD!$A$3:$A$5001,"&gt;="&amp;$C$7,BD!$A$3:$A$5001,"&lt;="&amp;$B221,BD!$N$3:$N$5001,"&lt;&gt;"))))</f>
        <v/>
      </c>
      <c r="E221" s="43" t="str">
        <f>IF(OR($B221="",$A221&gt;$B$9,E$219=""),"",IF(COUNTIFS(BD!$B$3:$B$5001,E$219,BD!$A$3:$A$5001,"&gt;="&amp;$C$7,BD!$A$3:$A$5001,"&lt;="&amp;$B221,BD!$N$3:$N$5001,"&lt;&gt;")=0,"",SUMIFS(BD!$N$3:$N$5001,BD!$B$3:$B$5001,E$219,BD!$A$3:$A$5001,_xlfn.MAXIFS(BD!$A$3:$A$5001,BD!$B$3:$B$5001,E$219,BD!$A$3:$A$5001,"&gt;="&amp;$C$7,BD!$A$3:$A$5001,"&lt;="&amp;$B221,BD!$N$3:$N$5001,"&lt;&gt;"))))</f>
        <v/>
      </c>
      <c r="F221" s="43" t="str">
        <f>IF(OR($B221="",$A221&gt;$B$9,F$219=""),"",IF(COUNTIFS(BD!$B$3:$B$5001,F$219,BD!$A$3:$A$5001,"&gt;="&amp;$C$7,BD!$A$3:$A$5001,"&lt;="&amp;$B221,BD!$N$3:$N$5001,"&lt;&gt;")=0,"",SUMIFS(BD!$N$3:$N$5001,BD!$B$3:$B$5001,F$219,BD!$A$3:$A$5001,_xlfn.MAXIFS(BD!$A$3:$A$5001,BD!$B$3:$B$5001,F$219,BD!$A$3:$A$5001,"&gt;="&amp;$C$7,BD!$A$3:$A$5001,"&lt;="&amp;$B221,BD!$N$3:$N$5001,"&lt;&gt;"))))</f>
        <v/>
      </c>
      <c r="G221" s="43" t="str">
        <f>IF(OR($B221="",$A221&gt;$B$9,G$219=""),"",IF(COUNTIFS(BD!$B$3:$B$5001,G$219,BD!$A$3:$A$5001,"&gt;="&amp;$C$7,BD!$A$3:$A$5001,"&lt;="&amp;$B221,BD!$N$3:$N$5001,"&lt;&gt;")=0,"",SUMIFS(BD!$N$3:$N$5001,BD!$B$3:$B$5001,G$219,BD!$A$3:$A$5001,_xlfn.MAXIFS(BD!$A$3:$A$5001,BD!$B$3:$B$5001,G$219,BD!$A$3:$A$5001,"&gt;="&amp;$C$7,BD!$A$3:$A$5001,"&lt;="&amp;$B221,BD!$N$3:$N$5001,"&lt;&gt;"))))</f>
        <v/>
      </c>
      <c r="H221" s="43" t="str">
        <f>IF(OR($B221="",$A221&gt;$B$9,H$219=""),"",IF(COUNTIFS(BD!$B$3:$B$5001,H$219,BD!$A$3:$A$5001,"&gt;="&amp;$C$7,BD!$A$3:$A$5001,"&lt;="&amp;$B221,BD!$N$3:$N$5001,"&lt;&gt;")=0,"",SUMIFS(BD!$N$3:$N$5001,BD!$B$3:$B$5001,H$219,BD!$A$3:$A$5001,_xlfn.MAXIFS(BD!$A$3:$A$5001,BD!$B$3:$B$5001,H$219,BD!$A$3:$A$5001,"&gt;="&amp;$C$7,BD!$A$3:$A$5001,"&lt;="&amp;$B221,BD!$N$3:$N$5001,"&lt;&gt;"))))</f>
        <v/>
      </c>
      <c r="I221" s="43" t="str">
        <f>IF(OR($B221="",$A221&gt;$B$9,I$219=""),"",IF(COUNTIFS(BD!$B$3:$B$5001,I$219,BD!$A$3:$A$5001,"&gt;="&amp;$C$7,BD!$A$3:$A$5001,"&lt;="&amp;$B221,BD!$N$3:$N$5001,"&lt;&gt;")=0,"",SUMIFS(BD!$N$3:$N$5001,BD!$B$3:$B$5001,I$219,BD!$A$3:$A$5001,_xlfn.MAXIFS(BD!$A$3:$A$5001,BD!$B$3:$B$5001,I$219,BD!$A$3:$A$5001,"&gt;="&amp;$C$7,BD!$A$3:$A$5001,"&lt;="&amp;$B221,BD!$N$3:$N$5001,"&lt;&gt;"))))</f>
        <v/>
      </c>
      <c r="J221" s="43" t="str">
        <f>IF(OR($B221="",$A221&gt;$B$9,J$219=""),"",IF(COUNTIFS(BD!$B$3:$B$5001,J$219,BD!$A$3:$A$5001,"&gt;="&amp;$C$7,BD!$A$3:$A$5001,"&lt;="&amp;$B221,BD!$N$3:$N$5001,"&lt;&gt;")=0,"",SUMIFS(BD!$N$3:$N$5001,BD!$B$3:$B$5001,J$219,BD!$A$3:$A$5001,_xlfn.MAXIFS(BD!$A$3:$A$5001,BD!$B$3:$B$5001,J$219,BD!$A$3:$A$5001,"&gt;="&amp;$C$7,BD!$A$3:$A$5001,"&lt;="&amp;$B221,BD!$N$3:$N$5001,"&lt;&gt;"))))</f>
        <v/>
      </c>
      <c r="K221" s="43" t="str">
        <f>IF(OR($B221="",$A221&gt;$B$9,K$219=""),"",IF(COUNTIFS(BD!$B$3:$B$5001,K$219,BD!$A$3:$A$5001,"&gt;="&amp;$C$7,BD!$A$3:$A$5001,"&lt;="&amp;$B221,BD!$N$3:$N$5001,"&lt;&gt;")=0,"",SUMIFS(BD!$N$3:$N$5001,BD!$B$3:$B$5001,K$219,BD!$A$3:$A$5001,_xlfn.MAXIFS(BD!$A$3:$A$5001,BD!$B$3:$B$5001,K$219,BD!$A$3:$A$5001,"&gt;="&amp;$C$7,BD!$A$3:$A$5001,"&lt;="&amp;$B221,BD!$N$3:$N$5001,"&lt;&gt;"))))</f>
        <v/>
      </c>
      <c r="L221" s="43" t="str">
        <f>IF(OR($B221="",$A221&gt;$B$9,L$219=""),"",IF(COUNTIFS(BD!$B$3:$B$5001,L$219,BD!$A$3:$A$5001,"&gt;="&amp;$C$7,BD!$A$3:$A$5001,"&lt;="&amp;$B221,BD!$N$3:$N$5001,"&lt;&gt;")=0,"",SUMIFS(BD!$N$3:$N$5001,BD!$B$3:$B$5001,L$219,BD!$A$3:$A$5001,_xlfn.MAXIFS(BD!$A$3:$A$5001,BD!$B$3:$B$5001,L$219,BD!$A$3:$A$5001,"&gt;="&amp;$C$7,BD!$A$3:$A$5001,"&lt;="&amp;$B221,BD!$N$3:$N$5001,"&lt;&gt;"))))</f>
        <v/>
      </c>
      <c r="M221" s="43" t="str">
        <f>IF(OR($B221="",$A221&gt;$B$9,M$219=""),"",IF(COUNTIFS(BD!$B$3:$B$5001,M$219,BD!$A$3:$A$5001,"&gt;="&amp;$C$7,BD!$A$3:$A$5001,"&lt;="&amp;$B221,BD!$N$3:$N$5001,"&lt;&gt;")=0,"",SUMIFS(BD!$N$3:$N$5001,BD!$B$3:$B$5001,M$219,BD!$A$3:$A$5001,_xlfn.MAXIFS(BD!$A$3:$A$5001,BD!$B$3:$B$5001,M$219,BD!$A$3:$A$5001,"&gt;="&amp;$C$7,BD!$A$3:$A$5001,"&lt;="&amp;$B221,BD!$N$3:$N$5001,"&lt;&gt;"))))</f>
        <v/>
      </c>
      <c r="N221" s="43" t="str">
        <f>IF(OR($B221="",$A221&gt;$B$9,N$219=""),"",IF(COUNTIFS(BD!$B$3:$B$5001,N$219,BD!$A$3:$A$5001,"&gt;="&amp;$C$7,BD!$A$3:$A$5001,"&lt;="&amp;$B221,BD!$N$3:$N$5001,"&lt;&gt;")=0,"",SUMIFS(BD!$N$3:$N$5001,BD!$B$3:$B$5001,N$219,BD!$A$3:$A$5001,_xlfn.MAXIFS(BD!$A$3:$A$5001,BD!$B$3:$B$5001,N$219,BD!$A$3:$A$5001,"&gt;="&amp;$C$7,BD!$A$3:$A$5001,"&lt;="&amp;$B221,BD!$N$3:$N$5001,"&lt;&gt;"))))</f>
        <v/>
      </c>
      <c r="O221" s="43" t="str">
        <f>IF(OR($B221="",$A221&gt;$B$9,O$219=""),"",IF(COUNTIFS(BD!$B$3:$B$5001,O$219,BD!$A$3:$A$5001,"&gt;="&amp;$C$7,BD!$A$3:$A$5001,"&lt;="&amp;$B221,BD!$N$3:$N$5001,"&lt;&gt;")=0,"",SUMIFS(BD!$N$3:$N$5001,BD!$B$3:$B$5001,O$219,BD!$A$3:$A$5001,_xlfn.MAXIFS(BD!$A$3:$A$5001,BD!$B$3:$B$5001,O$219,BD!$A$3:$A$5001,"&gt;="&amp;$C$7,BD!$A$3:$A$5001,"&lt;="&amp;$B221,BD!$N$3:$N$5001,"&lt;&gt;"))))</f>
        <v/>
      </c>
      <c r="P221" s="43" t="str">
        <f>IF(OR($B221="",$A221&gt;$B$9,P$219=""),"",IF(COUNTIFS(BD!$B$3:$B$5001,P$219,BD!$A$3:$A$5001,"&gt;="&amp;$C$7,BD!$A$3:$A$5001,"&lt;="&amp;$B221,BD!$N$3:$N$5001,"&lt;&gt;")=0,"",SUMIFS(BD!$N$3:$N$5001,BD!$B$3:$B$5001,P$219,BD!$A$3:$A$5001,_xlfn.MAXIFS(BD!$A$3:$A$5001,BD!$B$3:$B$5001,P$219,BD!$A$3:$A$5001,"&gt;="&amp;$C$7,BD!$A$3:$A$5001,"&lt;="&amp;$B221,BD!$N$3:$N$5001,"&lt;&gt;"))))</f>
        <v/>
      </c>
      <c r="Q221" s="43" t="str">
        <f>IF(OR($B221="",$A221&gt;$B$9,Q$219=""),"",IF(COUNTIFS(BD!$B$3:$B$5001,Q$219,BD!$A$3:$A$5001,"&gt;="&amp;$C$7,BD!$A$3:$A$5001,"&lt;="&amp;$B221,BD!$N$3:$N$5001,"&lt;&gt;")=0,"",SUMIFS(BD!$N$3:$N$5001,BD!$B$3:$B$5001,Q$219,BD!$A$3:$A$5001,_xlfn.MAXIFS(BD!$A$3:$A$5001,BD!$B$3:$B$5001,Q$219,BD!$A$3:$A$5001,"&gt;="&amp;$C$7,BD!$A$3:$A$5001,"&lt;="&amp;$B221,BD!$N$3:$N$5001,"&lt;&gt;"))))</f>
        <v/>
      </c>
      <c r="R221" s="43" t="str">
        <f>IF(OR($B221="",$A221&gt;$B$9,R$219=""),"",IF(COUNTIFS(BD!$B$3:$B$5001,R$219,BD!$A$3:$A$5001,"&gt;="&amp;$C$7,BD!$A$3:$A$5001,"&lt;="&amp;$B221,BD!$N$3:$N$5001,"&lt;&gt;")=0,"",SUMIFS(BD!$N$3:$N$5001,BD!$B$3:$B$5001,R$219,BD!$A$3:$A$5001,_xlfn.MAXIFS(BD!$A$3:$A$5001,BD!$B$3:$B$5001,R$219,BD!$A$3:$A$5001,"&gt;="&amp;$C$7,BD!$A$3:$A$5001,"&lt;="&amp;$B221,BD!$N$3:$N$5001,"&lt;&gt;"))))</f>
        <v/>
      </c>
      <c r="S221" s="43" t="str">
        <f>IF(OR($B221="",$A221&gt;$B$9,S$219=""),"",IF(COUNTIFS(BD!$B$3:$B$5001,S$219,BD!$A$3:$A$5001,"&gt;="&amp;$C$7,BD!$A$3:$A$5001,"&lt;="&amp;$B221,BD!$N$3:$N$5001,"&lt;&gt;")=0,"",SUMIFS(BD!$N$3:$N$5001,BD!$B$3:$B$5001,S$219,BD!$A$3:$A$5001,_xlfn.MAXIFS(BD!$A$3:$A$5001,BD!$B$3:$B$5001,S$219,BD!$A$3:$A$5001,"&gt;="&amp;$C$7,BD!$A$3:$A$5001,"&lt;="&amp;$B221,BD!$N$3:$N$5001,"&lt;&gt;"))))</f>
        <v/>
      </c>
      <c r="T221" s="43" t="str">
        <f>IF(OR($B221="",$A221&gt;$B$9,T$219=""),"",IF(COUNTIFS(BD!$B$3:$B$5001,T$219,BD!$A$3:$A$5001,"&gt;="&amp;$C$7,BD!$A$3:$A$5001,"&lt;="&amp;$B221,BD!$N$3:$N$5001,"&lt;&gt;")=0,"",SUMIFS(BD!$N$3:$N$5001,BD!$B$3:$B$5001,T$219,BD!$A$3:$A$5001,_xlfn.MAXIFS(BD!$A$3:$A$5001,BD!$B$3:$B$5001,T$219,BD!$A$3:$A$5001,"&gt;="&amp;$C$7,BD!$A$3:$A$5001,"&lt;="&amp;$B221,BD!$N$3:$N$5001,"&lt;&gt;"))))</f>
        <v/>
      </c>
      <c r="U221" s="43" t="str">
        <f>IF(OR($B221="",$A221&gt;$B$9,U$219=""),"",IF(COUNTIFS(BD!$B$3:$B$5001,U$219,BD!$A$3:$A$5001,"&gt;="&amp;$C$7,BD!$A$3:$A$5001,"&lt;="&amp;$B221,BD!$N$3:$N$5001,"&lt;&gt;")=0,"",SUMIFS(BD!$N$3:$N$5001,BD!$B$3:$B$5001,U$219,BD!$A$3:$A$5001,_xlfn.MAXIFS(BD!$A$3:$A$5001,BD!$B$3:$B$5001,U$219,BD!$A$3:$A$5001,"&gt;="&amp;$C$7,BD!$A$3:$A$5001,"&lt;="&amp;$B221,BD!$N$3:$N$5001,"&lt;&gt;"))))</f>
        <v/>
      </c>
      <c r="V221" s="43" t="str">
        <f>IF(OR($B221="",$A221&gt;$B$9,V$219=""),"",IF(COUNTIFS(BD!$B$3:$B$5001,V$219,BD!$A$3:$A$5001,"&gt;="&amp;$C$7,BD!$A$3:$A$5001,"&lt;="&amp;$B221,BD!$N$3:$N$5001,"&lt;&gt;")=0,"",SUMIFS(BD!$N$3:$N$5001,BD!$B$3:$B$5001,V$219,BD!$A$3:$A$5001,_xlfn.MAXIFS(BD!$A$3:$A$5001,BD!$B$3:$B$5001,V$219,BD!$A$3:$A$5001,"&gt;="&amp;$C$7,BD!$A$3:$A$5001,"&lt;="&amp;$B221,BD!$N$3:$N$5001,"&lt;&gt;"))))</f>
        <v/>
      </c>
    </row>
    <row r="222">
      <c r="A222" s="38">
        <v>3</v>
      </c>
      <c r="B222" s="42">
        <f>$B$14</f>
        <v>46298</v>
      </c>
      <c r="C222" s="43" t="str">
        <f>IF(OR($B222="",$A222&gt;$B$9,C$219=""),"",IF(COUNTIFS(BD!$B$3:$B$5001,C$219,BD!$A$3:$A$5001,"&gt;="&amp;$C$7,BD!$A$3:$A$5001,"&lt;="&amp;$B222,BD!$N$3:$N$5001,"&lt;&gt;")=0,"",SUMIFS(BD!$N$3:$N$5001,BD!$B$3:$B$5001,C$219,BD!$A$3:$A$5001,_xlfn.MAXIFS(BD!$A$3:$A$5001,BD!$B$3:$B$5001,C$219,BD!$A$3:$A$5001,"&gt;="&amp;$C$7,BD!$A$3:$A$5001,"&lt;="&amp;$B222,BD!$N$3:$N$5001,"&lt;&gt;"))))</f>
        <v/>
      </c>
      <c r="D222" s="43" t="str">
        <f>IF(OR($B222="",$A222&gt;$B$9,D$219=""),"",IF(COUNTIFS(BD!$B$3:$B$5001,D$219,BD!$A$3:$A$5001,"&gt;="&amp;$C$7,BD!$A$3:$A$5001,"&lt;="&amp;$B222,BD!$N$3:$N$5001,"&lt;&gt;")=0,"",SUMIFS(BD!$N$3:$N$5001,BD!$B$3:$B$5001,D$219,BD!$A$3:$A$5001,_xlfn.MAXIFS(BD!$A$3:$A$5001,BD!$B$3:$B$5001,D$219,BD!$A$3:$A$5001,"&gt;="&amp;$C$7,BD!$A$3:$A$5001,"&lt;="&amp;$B222,BD!$N$3:$N$5001,"&lt;&gt;"))))</f>
        <v/>
      </c>
      <c r="E222" s="43" t="str">
        <f>IF(OR($B222="",$A222&gt;$B$9,E$219=""),"",IF(COUNTIFS(BD!$B$3:$B$5001,E$219,BD!$A$3:$A$5001,"&gt;="&amp;$C$7,BD!$A$3:$A$5001,"&lt;="&amp;$B222,BD!$N$3:$N$5001,"&lt;&gt;")=0,"",SUMIFS(BD!$N$3:$N$5001,BD!$B$3:$B$5001,E$219,BD!$A$3:$A$5001,_xlfn.MAXIFS(BD!$A$3:$A$5001,BD!$B$3:$B$5001,E$219,BD!$A$3:$A$5001,"&gt;="&amp;$C$7,BD!$A$3:$A$5001,"&lt;="&amp;$B222,BD!$N$3:$N$5001,"&lt;&gt;"))))</f>
        <v/>
      </c>
      <c r="F222" s="43" t="str">
        <f>IF(OR($B222="",$A222&gt;$B$9,F$219=""),"",IF(COUNTIFS(BD!$B$3:$B$5001,F$219,BD!$A$3:$A$5001,"&gt;="&amp;$C$7,BD!$A$3:$A$5001,"&lt;="&amp;$B222,BD!$N$3:$N$5001,"&lt;&gt;")=0,"",SUMIFS(BD!$N$3:$N$5001,BD!$B$3:$B$5001,F$219,BD!$A$3:$A$5001,_xlfn.MAXIFS(BD!$A$3:$A$5001,BD!$B$3:$B$5001,F$219,BD!$A$3:$A$5001,"&gt;="&amp;$C$7,BD!$A$3:$A$5001,"&lt;="&amp;$B222,BD!$N$3:$N$5001,"&lt;&gt;"))))</f>
        <v/>
      </c>
      <c r="G222" s="43" t="str">
        <f>IF(OR($B222="",$A222&gt;$B$9,G$219=""),"",IF(COUNTIFS(BD!$B$3:$B$5001,G$219,BD!$A$3:$A$5001,"&gt;="&amp;$C$7,BD!$A$3:$A$5001,"&lt;="&amp;$B222,BD!$N$3:$N$5001,"&lt;&gt;")=0,"",SUMIFS(BD!$N$3:$N$5001,BD!$B$3:$B$5001,G$219,BD!$A$3:$A$5001,_xlfn.MAXIFS(BD!$A$3:$A$5001,BD!$B$3:$B$5001,G$219,BD!$A$3:$A$5001,"&gt;="&amp;$C$7,BD!$A$3:$A$5001,"&lt;="&amp;$B222,BD!$N$3:$N$5001,"&lt;&gt;"))))</f>
        <v/>
      </c>
      <c r="H222" s="43" t="str">
        <f>IF(OR($B222="",$A222&gt;$B$9,H$219=""),"",IF(COUNTIFS(BD!$B$3:$B$5001,H$219,BD!$A$3:$A$5001,"&gt;="&amp;$C$7,BD!$A$3:$A$5001,"&lt;="&amp;$B222,BD!$N$3:$N$5001,"&lt;&gt;")=0,"",SUMIFS(BD!$N$3:$N$5001,BD!$B$3:$B$5001,H$219,BD!$A$3:$A$5001,_xlfn.MAXIFS(BD!$A$3:$A$5001,BD!$B$3:$B$5001,H$219,BD!$A$3:$A$5001,"&gt;="&amp;$C$7,BD!$A$3:$A$5001,"&lt;="&amp;$B222,BD!$N$3:$N$5001,"&lt;&gt;"))))</f>
        <v/>
      </c>
      <c r="I222" s="43" t="str">
        <f>IF(OR($B222="",$A222&gt;$B$9,I$219=""),"",IF(COUNTIFS(BD!$B$3:$B$5001,I$219,BD!$A$3:$A$5001,"&gt;="&amp;$C$7,BD!$A$3:$A$5001,"&lt;="&amp;$B222,BD!$N$3:$N$5001,"&lt;&gt;")=0,"",SUMIFS(BD!$N$3:$N$5001,BD!$B$3:$B$5001,I$219,BD!$A$3:$A$5001,_xlfn.MAXIFS(BD!$A$3:$A$5001,BD!$B$3:$B$5001,I$219,BD!$A$3:$A$5001,"&gt;="&amp;$C$7,BD!$A$3:$A$5001,"&lt;="&amp;$B222,BD!$N$3:$N$5001,"&lt;&gt;"))))</f>
        <v/>
      </c>
      <c r="J222" s="43" t="str">
        <f>IF(OR($B222="",$A222&gt;$B$9,J$219=""),"",IF(COUNTIFS(BD!$B$3:$B$5001,J$219,BD!$A$3:$A$5001,"&gt;="&amp;$C$7,BD!$A$3:$A$5001,"&lt;="&amp;$B222,BD!$N$3:$N$5001,"&lt;&gt;")=0,"",SUMIFS(BD!$N$3:$N$5001,BD!$B$3:$B$5001,J$219,BD!$A$3:$A$5001,_xlfn.MAXIFS(BD!$A$3:$A$5001,BD!$B$3:$B$5001,J$219,BD!$A$3:$A$5001,"&gt;="&amp;$C$7,BD!$A$3:$A$5001,"&lt;="&amp;$B222,BD!$N$3:$N$5001,"&lt;&gt;"))))</f>
        <v/>
      </c>
      <c r="K222" s="43" t="str">
        <f>IF(OR($B222="",$A222&gt;$B$9,K$219=""),"",IF(COUNTIFS(BD!$B$3:$B$5001,K$219,BD!$A$3:$A$5001,"&gt;="&amp;$C$7,BD!$A$3:$A$5001,"&lt;="&amp;$B222,BD!$N$3:$N$5001,"&lt;&gt;")=0,"",SUMIFS(BD!$N$3:$N$5001,BD!$B$3:$B$5001,K$219,BD!$A$3:$A$5001,_xlfn.MAXIFS(BD!$A$3:$A$5001,BD!$B$3:$B$5001,K$219,BD!$A$3:$A$5001,"&gt;="&amp;$C$7,BD!$A$3:$A$5001,"&lt;="&amp;$B222,BD!$N$3:$N$5001,"&lt;&gt;"))))</f>
        <v/>
      </c>
      <c r="L222" s="43" t="str">
        <f>IF(OR($B222="",$A222&gt;$B$9,L$219=""),"",IF(COUNTIFS(BD!$B$3:$B$5001,L$219,BD!$A$3:$A$5001,"&gt;="&amp;$C$7,BD!$A$3:$A$5001,"&lt;="&amp;$B222,BD!$N$3:$N$5001,"&lt;&gt;")=0,"",SUMIFS(BD!$N$3:$N$5001,BD!$B$3:$B$5001,L$219,BD!$A$3:$A$5001,_xlfn.MAXIFS(BD!$A$3:$A$5001,BD!$B$3:$B$5001,L$219,BD!$A$3:$A$5001,"&gt;="&amp;$C$7,BD!$A$3:$A$5001,"&lt;="&amp;$B222,BD!$N$3:$N$5001,"&lt;&gt;"))))</f>
        <v/>
      </c>
      <c r="M222" s="43" t="str">
        <f>IF(OR($B222="",$A222&gt;$B$9,M$219=""),"",IF(COUNTIFS(BD!$B$3:$B$5001,M$219,BD!$A$3:$A$5001,"&gt;="&amp;$C$7,BD!$A$3:$A$5001,"&lt;="&amp;$B222,BD!$N$3:$N$5001,"&lt;&gt;")=0,"",SUMIFS(BD!$N$3:$N$5001,BD!$B$3:$B$5001,M$219,BD!$A$3:$A$5001,_xlfn.MAXIFS(BD!$A$3:$A$5001,BD!$B$3:$B$5001,M$219,BD!$A$3:$A$5001,"&gt;="&amp;$C$7,BD!$A$3:$A$5001,"&lt;="&amp;$B222,BD!$N$3:$N$5001,"&lt;&gt;"))))</f>
        <v/>
      </c>
      <c r="N222" s="43" t="str">
        <f>IF(OR($B222="",$A222&gt;$B$9,N$219=""),"",IF(COUNTIFS(BD!$B$3:$B$5001,N$219,BD!$A$3:$A$5001,"&gt;="&amp;$C$7,BD!$A$3:$A$5001,"&lt;="&amp;$B222,BD!$N$3:$N$5001,"&lt;&gt;")=0,"",SUMIFS(BD!$N$3:$N$5001,BD!$B$3:$B$5001,N$219,BD!$A$3:$A$5001,_xlfn.MAXIFS(BD!$A$3:$A$5001,BD!$B$3:$B$5001,N$219,BD!$A$3:$A$5001,"&gt;="&amp;$C$7,BD!$A$3:$A$5001,"&lt;="&amp;$B222,BD!$N$3:$N$5001,"&lt;&gt;"))))</f>
        <v/>
      </c>
      <c r="O222" s="43" t="str">
        <f>IF(OR($B222="",$A222&gt;$B$9,O$219=""),"",IF(COUNTIFS(BD!$B$3:$B$5001,O$219,BD!$A$3:$A$5001,"&gt;="&amp;$C$7,BD!$A$3:$A$5001,"&lt;="&amp;$B222,BD!$N$3:$N$5001,"&lt;&gt;")=0,"",SUMIFS(BD!$N$3:$N$5001,BD!$B$3:$B$5001,O$219,BD!$A$3:$A$5001,_xlfn.MAXIFS(BD!$A$3:$A$5001,BD!$B$3:$B$5001,O$219,BD!$A$3:$A$5001,"&gt;="&amp;$C$7,BD!$A$3:$A$5001,"&lt;="&amp;$B222,BD!$N$3:$N$5001,"&lt;&gt;"))))</f>
        <v/>
      </c>
      <c r="P222" s="43" t="str">
        <f>IF(OR($B222="",$A222&gt;$B$9,P$219=""),"",IF(COUNTIFS(BD!$B$3:$B$5001,P$219,BD!$A$3:$A$5001,"&gt;="&amp;$C$7,BD!$A$3:$A$5001,"&lt;="&amp;$B222,BD!$N$3:$N$5001,"&lt;&gt;")=0,"",SUMIFS(BD!$N$3:$N$5001,BD!$B$3:$B$5001,P$219,BD!$A$3:$A$5001,_xlfn.MAXIFS(BD!$A$3:$A$5001,BD!$B$3:$B$5001,P$219,BD!$A$3:$A$5001,"&gt;="&amp;$C$7,BD!$A$3:$A$5001,"&lt;="&amp;$B222,BD!$N$3:$N$5001,"&lt;&gt;"))))</f>
        <v/>
      </c>
      <c r="Q222" s="43" t="str">
        <f>IF(OR($B222="",$A222&gt;$B$9,Q$219=""),"",IF(COUNTIFS(BD!$B$3:$B$5001,Q$219,BD!$A$3:$A$5001,"&gt;="&amp;$C$7,BD!$A$3:$A$5001,"&lt;="&amp;$B222,BD!$N$3:$N$5001,"&lt;&gt;")=0,"",SUMIFS(BD!$N$3:$N$5001,BD!$B$3:$B$5001,Q$219,BD!$A$3:$A$5001,_xlfn.MAXIFS(BD!$A$3:$A$5001,BD!$B$3:$B$5001,Q$219,BD!$A$3:$A$5001,"&gt;="&amp;$C$7,BD!$A$3:$A$5001,"&lt;="&amp;$B222,BD!$N$3:$N$5001,"&lt;&gt;"))))</f>
        <v/>
      </c>
      <c r="R222" s="43" t="str">
        <f>IF(OR($B222="",$A222&gt;$B$9,R$219=""),"",IF(COUNTIFS(BD!$B$3:$B$5001,R$219,BD!$A$3:$A$5001,"&gt;="&amp;$C$7,BD!$A$3:$A$5001,"&lt;="&amp;$B222,BD!$N$3:$N$5001,"&lt;&gt;")=0,"",SUMIFS(BD!$N$3:$N$5001,BD!$B$3:$B$5001,R$219,BD!$A$3:$A$5001,_xlfn.MAXIFS(BD!$A$3:$A$5001,BD!$B$3:$B$5001,R$219,BD!$A$3:$A$5001,"&gt;="&amp;$C$7,BD!$A$3:$A$5001,"&lt;="&amp;$B222,BD!$N$3:$N$5001,"&lt;&gt;"))))</f>
        <v/>
      </c>
      <c r="S222" s="43" t="str">
        <f>IF(OR($B222="",$A222&gt;$B$9,S$219=""),"",IF(COUNTIFS(BD!$B$3:$B$5001,S$219,BD!$A$3:$A$5001,"&gt;="&amp;$C$7,BD!$A$3:$A$5001,"&lt;="&amp;$B222,BD!$N$3:$N$5001,"&lt;&gt;")=0,"",SUMIFS(BD!$N$3:$N$5001,BD!$B$3:$B$5001,S$219,BD!$A$3:$A$5001,_xlfn.MAXIFS(BD!$A$3:$A$5001,BD!$B$3:$B$5001,S$219,BD!$A$3:$A$5001,"&gt;="&amp;$C$7,BD!$A$3:$A$5001,"&lt;="&amp;$B222,BD!$N$3:$N$5001,"&lt;&gt;"))))</f>
        <v/>
      </c>
      <c r="T222" s="43" t="str">
        <f>IF(OR($B222="",$A222&gt;$B$9,T$219=""),"",IF(COUNTIFS(BD!$B$3:$B$5001,T$219,BD!$A$3:$A$5001,"&gt;="&amp;$C$7,BD!$A$3:$A$5001,"&lt;="&amp;$B222,BD!$N$3:$N$5001,"&lt;&gt;")=0,"",SUMIFS(BD!$N$3:$N$5001,BD!$B$3:$B$5001,T$219,BD!$A$3:$A$5001,_xlfn.MAXIFS(BD!$A$3:$A$5001,BD!$B$3:$B$5001,T$219,BD!$A$3:$A$5001,"&gt;="&amp;$C$7,BD!$A$3:$A$5001,"&lt;="&amp;$B222,BD!$N$3:$N$5001,"&lt;&gt;"))))</f>
        <v/>
      </c>
      <c r="U222" s="43" t="str">
        <f>IF(OR($B222="",$A222&gt;$B$9,U$219=""),"",IF(COUNTIFS(BD!$B$3:$B$5001,U$219,BD!$A$3:$A$5001,"&gt;="&amp;$C$7,BD!$A$3:$A$5001,"&lt;="&amp;$B222,BD!$N$3:$N$5001,"&lt;&gt;")=0,"",SUMIFS(BD!$N$3:$N$5001,BD!$B$3:$B$5001,U$219,BD!$A$3:$A$5001,_xlfn.MAXIFS(BD!$A$3:$A$5001,BD!$B$3:$B$5001,U$219,BD!$A$3:$A$5001,"&gt;="&amp;$C$7,BD!$A$3:$A$5001,"&lt;="&amp;$B222,BD!$N$3:$N$5001,"&lt;&gt;"))))</f>
        <v/>
      </c>
      <c r="V222" s="43" t="str">
        <f>IF(OR($B222="",$A222&gt;$B$9,V$219=""),"",IF(COUNTIFS(BD!$B$3:$B$5001,V$219,BD!$A$3:$A$5001,"&gt;="&amp;$C$7,BD!$A$3:$A$5001,"&lt;="&amp;$B222,BD!$N$3:$N$5001,"&lt;&gt;")=0,"",SUMIFS(BD!$N$3:$N$5001,BD!$B$3:$B$5001,V$219,BD!$A$3:$A$5001,_xlfn.MAXIFS(BD!$A$3:$A$5001,BD!$B$3:$B$5001,V$219,BD!$A$3:$A$5001,"&gt;="&amp;$C$7,BD!$A$3:$A$5001,"&lt;="&amp;$B222,BD!$N$3:$N$5001,"&lt;&gt;"))))</f>
        <v/>
      </c>
    </row>
    <row r="223">
      <c r="A223" s="38">
        <v>4</v>
      </c>
      <c r="B223" s="42">
        <f>$B$15</f>
        <v>46299</v>
      </c>
      <c r="C223" s="43" t="str">
        <f>IF(OR($B223="",$A223&gt;$B$9,C$219=""),"",IF(COUNTIFS(BD!$B$3:$B$5001,C$219,BD!$A$3:$A$5001,"&gt;="&amp;$C$7,BD!$A$3:$A$5001,"&lt;="&amp;$B223,BD!$N$3:$N$5001,"&lt;&gt;")=0,"",SUMIFS(BD!$N$3:$N$5001,BD!$B$3:$B$5001,C$219,BD!$A$3:$A$5001,_xlfn.MAXIFS(BD!$A$3:$A$5001,BD!$B$3:$B$5001,C$219,BD!$A$3:$A$5001,"&gt;="&amp;$C$7,BD!$A$3:$A$5001,"&lt;="&amp;$B223,BD!$N$3:$N$5001,"&lt;&gt;"))))</f>
        <v/>
      </c>
      <c r="D223" s="43" t="str">
        <f>IF(OR($B223="",$A223&gt;$B$9,D$219=""),"",IF(COUNTIFS(BD!$B$3:$B$5001,D$219,BD!$A$3:$A$5001,"&gt;="&amp;$C$7,BD!$A$3:$A$5001,"&lt;="&amp;$B223,BD!$N$3:$N$5001,"&lt;&gt;")=0,"",SUMIFS(BD!$N$3:$N$5001,BD!$B$3:$B$5001,D$219,BD!$A$3:$A$5001,_xlfn.MAXIFS(BD!$A$3:$A$5001,BD!$B$3:$B$5001,D$219,BD!$A$3:$A$5001,"&gt;="&amp;$C$7,BD!$A$3:$A$5001,"&lt;="&amp;$B223,BD!$N$3:$N$5001,"&lt;&gt;"))))</f>
        <v/>
      </c>
      <c r="E223" s="43" t="str">
        <f>IF(OR($B223="",$A223&gt;$B$9,E$219=""),"",IF(COUNTIFS(BD!$B$3:$B$5001,E$219,BD!$A$3:$A$5001,"&gt;="&amp;$C$7,BD!$A$3:$A$5001,"&lt;="&amp;$B223,BD!$N$3:$N$5001,"&lt;&gt;")=0,"",SUMIFS(BD!$N$3:$N$5001,BD!$B$3:$B$5001,E$219,BD!$A$3:$A$5001,_xlfn.MAXIFS(BD!$A$3:$A$5001,BD!$B$3:$B$5001,E$219,BD!$A$3:$A$5001,"&gt;="&amp;$C$7,BD!$A$3:$A$5001,"&lt;="&amp;$B223,BD!$N$3:$N$5001,"&lt;&gt;"))))</f>
        <v/>
      </c>
      <c r="F223" s="43" t="str">
        <f>IF(OR($B223="",$A223&gt;$B$9,F$219=""),"",IF(COUNTIFS(BD!$B$3:$B$5001,F$219,BD!$A$3:$A$5001,"&gt;="&amp;$C$7,BD!$A$3:$A$5001,"&lt;="&amp;$B223,BD!$N$3:$N$5001,"&lt;&gt;")=0,"",SUMIFS(BD!$N$3:$N$5001,BD!$B$3:$B$5001,F$219,BD!$A$3:$A$5001,_xlfn.MAXIFS(BD!$A$3:$A$5001,BD!$B$3:$B$5001,F$219,BD!$A$3:$A$5001,"&gt;="&amp;$C$7,BD!$A$3:$A$5001,"&lt;="&amp;$B223,BD!$N$3:$N$5001,"&lt;&gt;"))))</f>
        <v/>
      </c>
      <c r="G223" s="43" t="str">
        <f>IF(OR($B223="",$A223&gt;$B$9,G$219=""),"",IF(COUNTIFS(BD!$B$3:$B$5001,G$219,BD!$A$3:$A$5001,"&gt;="&amp;$C$7,BD!$A$3:$A$5001,"&lt;="&amp;$B223,BD!$N$3:$N$5001,"&lt;&gt;")=0,"",SUMIFS(BD!$N$3:$N$5001,BD!$B$3:$B$5001,G$219,BD!$A$3:$A$5001,_xlfn.MAXIFS(BD!$A$3:$A$5001,BD!$B$3:$B$5001,G$219,BD!$A$3:$A$5001,"&gt;="&amp;$C$7,BD!$A$3:$A$5001,"&lt;="&amp;$B223,BD!$N$3:$N$5001,"&lt;&gt;"))))</f>
        <v/>
      </c>
      <c r="H223" s="43" t="str">
        <f>IF(OR($B223="",$A223&gt;$B$9,H$219=""),"",IF(COUNTIFS(BD!$B$3:$B$5001,H$219,BD!$A$3:$A$5001,"&gt;="&amp;$C$7,BD!$A$3:$A$5001,"&lt;="&amp;$B223,BD!$N$3:$N$5001,"&lt;&gt;")=0,"",SUMIFS(BD!$N$3:$N$5001,BD!$B$3:$B$5001,H$219,BD!$A$3:$A$5001,_xlfn.MAXIFS(BD!$A$3:$A$5001,BD!$B$3:$B$5001,H$219,BD!$A$3:$A$5001,"&gt;="&amp;$C$7,BD!$A$3:$A$5001,"&lt;="&amp;$B223,BD!$N$3:$N$5001,"&lt;&gt;"))))</f>
        <v/>
      </c>
      <c r="I223" s="43" t="str">
        <f>IF(OR($B223="",$A223&gt;$B$9,I$219=""),"",IF(COUNTIFS(BD!$B$3:$B$5001,I$219,BD!$A$3:$A$5001,"&gt;="&amp;$C$7,BD!$A$3:$A$5001,"&lt;="&amp;$B223,BD!$N$3:$N$5001,"&lt;&gt;")=0,"",SUMIFS(BD!$N$3:$N$5001,BD!$B$3:$B$5001,I$219,BD!$A$3:$A$5001,_xlfn.MAXIFS(BD!$A$3:$A$5001,BD!$B$3:$B$5001,I$219,BD!$A$3:$A$5001,"&gt;="&amp;$C$7,BD!$A$3:$A$5001,"&lt;="&amp;$B223,BD!$N$3:$N$5001,"&lt;&gt;"))))</f>
        <v/>
      </c>
      <c r="J223" s="43" t="str">
        <f>IF(OR($B223="",$A223&gt;$B$9,J$219=""),"",IF(COUNTIFS(BD!$B$3:$B$5001,J$219,BD!$A$3:$A$5001,"&gt;="&amp;$C$7,BD!$A$3:$A$5001,"&lt;="&amp;$B223,BD!$N$3:$N$5001,"&lt;&gt;")=0,"",SUMIFS(BD!$N$3:$N$5001,BD!$B$3:$B$5001,J$219,BD!$A$3:$A$5001,_xlfn.MAXIFS(BD!$A$3:$A$5001,BD!$B$3:$B$5001,J$219,BD!$A$3:$A$5001,"&gt;="&amp;$C$7,BD!$A$3:$A$5001,"&lt;="&amp;$B223,BD!$N$3:$N$5001,"&lt;&gt;"))))</f>
        <v/>
      </c>
      <c r="K223" s="43" t="str">
        <f>IF(OR($B223="",$A223&gt;$B$9,K$219=""),"",IF(COUNTIFS(BD!$B$3:$B$5001,K$219,BD!$A$3:$A$5001,"&gt;="&amp;$C$7,BD!$A$3:$A$5001,"&lt;="&amp;$B223,BD!$N$3:$N$5001,"&lt;&gt;")=0,"",SUMIFS(BD!$N$3:$N$5001,BD!$B$3:$B$5001,K$219,BD!$A$3:$A$5001,_xlfn.MAXIFS(BD!$A$3:$A$5001,BD!$B$3:$B$5001,K$219,BD!$A$3:$A$5001,"&gt;="&amp;$C$7,BD!$A$3:$A$5001,"&lt;="&amp;$B223,BD!$N$3:$N$5001,"&lt;&gt;"))))</f>
        <v/>
      </c>
      <c r="L223" s="43" t="str">
        <f>IF(OR($B223="",$A223&gt;$B$9,L$219=""),"",IF(COUNTIFS(BD!$B$3:$B$5001,L$219,BD!$A$3:$A$5001,"&gt;="&amp;$C$7,BD!$A$3:$A$5001,"&lt;="&amp;$B223,BD!$N$3:$N$5001,"&lt;&gt;")=0,"",SUMIFS(BD!$N$3:$N$5001,BD!$B$3:$B$5001,L$219,BD!$A$3:$A$5001,_xlfn.MAXIFS(BD!$A$3:$A$5001,BD!$B$3:$B$5001,L$219,BD!$A$3:$A$5001,"&gt;="&amp;$C$7,BD!$A$3:$A$5001,"&lt;="&amp;$B223,BD!$N$3:$N$5001,"&lt;&gt;"))))</f>
        <v/>
      </c>
      <c r="M223" s="43" t="str">
        <f>IF(OR($B223="",$A223&gt;$B$9,M$219=""),"",IF(COUNTIFS(BD!$B$3:$B$5001,M$219,BD!$A$3:$A$5001,"&gt;="&amp;$C$7,BD!$A$3:$A$5001,"&lt;="&amp;$B223,BD!$N$3:$N$5001,"&lt;&gt;")=0,"",SUMIFS(BD!$N$3:$N$5001,BD!$B$3:$B$5001,M$219,BD!$A$3:$A$5001,_xlfn.MAXIFS(BD!$A$3:$A$5001,BD!$B$3:$B$5001,M$219,BD!$A$3:$A$5001,"&gt;="&amp;$C$7,BD!$A$3:$A$5001,"&lt;="&amp;$B223,BD!$N$3:$N$5001,"&lt;&gt;"))))</f>
        <v/>
      </c>
      <c r="N223" s="43" t="str">
        <f>IF(OR($B223="",$A223&gt;$B$9,N$219=""),"",IF(COUNTIFS(BD!$B$3:$B$5001,N$219,BD!$A$3:$A$5001,"&gt;="&amp;$C$7,BD!$A$3:$A$5001,"&lt;="&amp;$B223,BD!$N$3:$N$5001,"&lt;&gt;")=0,"",SUMIFS(BD!$N$3:$N$5001,BD!$B$3:$B$5001,N$219,BD!$A$3:$A$5001,_xlfn.MAXIFS(BD!$A$3:$A$5001,BD!$B$3:$B$5001,N$219,BD!$A$3:$A$5001,"&gt;="&amp;$C$7,BD!$A$3:$A$5001,"&lt;="&amp;$B223,BD!$N$3:$N$5001,"&lt;&gt;"))))</f>
        <v/>
      </c>
      <c r="O223" s="43" t="str">
        <f>IF(OR($B223="",$A223&gt;$B$9,O$219=""),"",IF(COUNTIFS(BD!$B$3:$B$5001,O$219,BD!$A$3:$A$5001,"&gt;="&amp;$C$7,BD!$A$3:$A$5001,"&lt;="&amp;$B223,BD!$N$3:$N$5001,"&lt;&gt;")=0,"",SUMIFS(BD!$N$3:$N$5001,BD!$B$3:$B$5001,O$219,BD!$A$3:$A$5001,_xlfn.MAXIFS(BD!$A$3:$A$5001,BD!$B$3:$B$5001,O$219,BD!$A$3:$A$5001,"&gt;="&amp;$C$7,BD!$A$3:$A$5001,"&lt;="&amp;$B223,BD!$N$3:$N$5001,"&lt;&gt;"))))</f>
        <v/>
      </c>
      <c r="P223" s="43" t="str">
        <f>IF(OR($B223="",$A223&gt;$B$9,P$219=""),"",IF(COUNTIFS(BD!$B$3:$B$5001,P$219,BD!$A$3:$A$5001,"&gt;="&amp;$C$7,BD!$A$3:$A$5001,"&lt;="&amp;$B223,BD!$N$3:$N$5001,"&lt;&gt;")=0,"",SUMIFS(BD!$N$3:$N$5001,BD!$B$3:$B$5001,P$219,BD!$A$3:$A$5001,_xlfn.MAXIFS(BD!$A$3:$A$5001,BD!$B$3:$B$5001,P$219,BD!$A$3:$A$5001,"&gt;="&amp;$C$7,BD!$A$3:$A$5001,"&lt;="&amp;$B223,BD!$N$3:$N$5001,"&lt;&gt;"))))</f>
        <v/>
      </c>
      <c r="Q223" s="43" t="str">
        <f>IF(OR($B223="",$A223&gt;$B$9,Q$219=""),"",IF(COUNTIFS(BD!$B$3:$B$5001,Q$219,BD!$A$3:$A$5001,"&gt;="&amp;$C$7,BD!$A$3:$A$5001,"&lt;="&amp;$B223,BD!$N$3:$N$5001,"&lt;&gt;")=0,"",SUMIFS(BD!$N$3:$N$5001,BD!$B$3:$B$5001,Q$219,BD!$A$3:$A$5001,_xlfn.MAXIFS(BD!$A$3:$A$5001,BD!$B$3:$B$5001,Q$219,BD!$A$3:$A$5001,"&gt;="&amp;$C$7,BD!$A$3:$A$5001,"&lt;="&amp;$B223,BD!$N$3:$N$5001,"&lt;&gt;"))))</f>
        <v/>
      </c>
      <c r="R223" s="43" t="str">
        <f>IF(OR($B223="",$A223&gt;$B$9,R$219=""),"",IF(COUNTIFS(BD!$B$3:$B$5001,R$219,BD!$A$3:$A$5001,"&gt;="&amp;$C$7,BD!$A$3:$A$5001,"&lt;="&amp;$B223,BD!$N$3:$N$5001,"&lt;&gt;")=0,"",SUMIFS(BD!$N$3:$N$5001,BD!$B$3:$B$5001,R$219,BD!$A$3:$A$5001,_xlfn.MAXIFS(BD!$A$3:$A$5001,BD!$B$3:$B$5001,R$219,BD!$A$3:$A$5001,"&gt;="&amp;$C$7,BD!$A$3:$A$5001,"&lt;="&amp;$B223,BD!$N$3:$N$5001,"&lt;&gt;"))))</f>
        <v/>
      </c>
      <c r="S223" s="43" t="str">
        <f>IF(OR($B223="",$A223&gt;$B$9,S$219=""),"",IF(COUNTIFS(BD!$B$3:$B$5001,S$219,BD!$A$3:$A$5001,"&gt;="&amp;$C$7,BD!$A$3:$A$5001,"&lt;="&amp;$B223,BD!$N$3:$N$5001,"&lt;&gt;")=0,"",SUMIFS(BD!$N$3:$N$5001,BD!$B$3:$B$5001,S$219,BD!$A$3:$A$5001,_xlfn.MAXIFS(BD!$A$3:$A$5001,BD!$B$3:$B$5001,S$219,BD!$A$3:$A$5001,"&gt;="&amp;$C$7,BD!$A$3:$A$5001,"&lt;="&amp;$B223,BD!$N$3:$N$5001,"&lt;&gt;"))))</f>
        <v/>
      </c>
      <c r="T223" s="43" t="str">
        <f>IF(OR($B223="",$A223&gt;$B$9,T$219=""),"",IF(COUNTIFS(BD!$B$3:$B$5001,T$219,BD!$A$3:$A$5001,"&gt;="&amp;$C$7,BD!$A$3:$A$5001,"&lt;="&amp;$B223,BD!$N$3:$N$5001,"&lt;&gt;")=0,"",SUMIFS(BD!$N$3:$N$5001,BD!$B$3:$B$5001,T$219,BD!$A$3:$A$5001,_xlfn.MAXIFS(BD!$A$3:$A$5001,BD!$B$3:$B$5001,T$219,BD!$A$3:$A$5001,"&gt;="&amp;$C$7,BD!$A$3:$A$5001,"&lt;="&amp;$B223,BD!$N$3:$N$5001,"&lt;&gt;"))))</f>
        <v/>
      </c>
      <c r="U223" s="43" t="str">
        <f>IF(OR($B223="",$A223&gt;$B$9,U$219=""),"",IF(COUNTIFS(BD!$B$3:$B$5001,U$219,BD!$A$3:$A$5001,"&gt;="&amp;$C$7,BD!$A$3:$A$5001,"&lt;="&amp;$B223,BD!$N$3:$N$5001,"&lt;&gt;")=0,"",SUMIFS(BD!$N$3:$N$5001,BD!$B$3:$B$5001,U$219,BD!$A$3:$A$5001,_xlfn.MAXIFS(BD!$A$3:$A$5001,BD!$B$3:$B$5001,U$219,BD!$A$3:$A$5001,"&gt;="&amp;$C$7,BD!$A$3:$A$5001,"&lt;="&amp;$B223,BD!$N$3:$N$5001,"&lt;&gt;"))))</f>
        <v/>
      </c>
      <c r="V223" s="43" t="str">
        <f>IF(OR($B223="",$A223&gt;$B$9,V$219=""),"",IF(COUNTIFS(BD!$B$3:$B$5001,V$219,BD!$A$3:$A$5001,"&gt;="&amp;$C$7,BD!$A$3:$A$5001,"&lt;="&amp;$B223,BD!$N$3:$N$5001,"&lt;&gt;")=0,"",SUMIFS(BD!$N$3:$N$5001,BD!$B$3:$B$5001,V$219,BD!$A$3:$A$5001,_xlfn.MAXIFS(BD!$A$3:$A$5001,BD!$B$3:$B$5001,V$219,BD!$A$3:$A$5001,"&gt;="&amp;$C$7,BD!$A$3:$A$5001,"&lt;="&amp;$B223,BD!$N$3:$N$5001,"&lt;&gt;"))))</f>
        <v/>
      </c>
    </row>
    <row r="224">
      <c r="A224" s="38">
        <v>5</v>
      </c>
      <c r="B224" s="42">
        <f>$B$16</f>
        <v>46300</v>
      </c>
      <c r="C224" s="43" t="str">
        <f>IF(OR($B224="",$A224&gt;$B$9,C$219=""),"",IF(COUNTIFS(BD!$B$3:$B$5001,C$219,BD!$A$3:$A$5001,"&gt;="&amp;$C$7,BD!$A$3:$A$5001,"&lt;="&amp;$B224,BD!$N$3:$N$5001,"&lt;&gt;")=0,"",SUMIFS(BD!$N$3:$N$5001,BD!$B$3:$B$5001,C$219,BD!$A$3:$A$5001,_xlfn.MAXIFS(BD!$A$3:$A$5001,BD!$B$3:$B$5001,C$219,BD!$A$3:$A$5001,"&gt;="&amp;$C$7,BD!$A$3:$A$5001,"&lt;="&amp;$B224,BD!$N$3:$N$5001,"&lt;&gt;"))))</f>
        <v/>
      </c>
      <c r="D224" s="43" t="str">
        <f>IF(OR($B224="",$A224&gt;$B$9,D$219=""),"",IF(COUNTIFS(BD!$B$3:$B$5001,D$219,BD!$A$3:$A$5001,"&gt;="&amp;$C$7,BD!$A$3:$A$5001,"&lt;="&amp;$B224,BD!$N$3:$N$5001,"&lt;&gt;")=0,"",SUMIFS(BD!$N$3:$N$5001,BD!$B$3:$B$5001,D$219,BD!$A$3:$A$5001,_xlfn.MAXIFS(BD!$A$3:$A$5001,BD!$B$3:$B$5001,D$219,BD!$A$3:$A$5001,"&gt;="&amp;$C$7,BD!$A$3:$A$5001,"&lt;="&amp;$B224,BD!$N$3:$N$5001,"&lt;&gt;"))))</f>
        <v/>
      </c>
      <c r="E224" s="43" t="str">
        <f>IF(OR($B224="",$A224&gt;$B$9,E$219=""),"",IF(COUNTIFS(BD!$B$3:$B$5001,E$219,BD!$A$3:$A$5001,"&gt;="&amp;$C$7,BD!$A$3:$A$5001,"&lt;="&amp;$B224,BD!$N$3:$N$5001,"&lt;&gt;")=0,"",SUMIFS(BD!$N$3:$N$5001,BD!$B$3:$B$5001,E$219,BD!$A$3:$A$5001,_xlfn.MAXIFS(BD!$A$3:$A$5001,BD!$B$3:$B$5001,E$219,BD!$A$3:$A$5001,"&gt;="&amp;$C$7,BD!$A$3:$A$5001,"&lt;="&amp;$B224,BD!$N$3:$N$5001,"&lt;&gt;"))))</f>
        <v/>
      </c>
      <c r="F224" s="43" t="str">
        <f>IF(OR($B224="",$A224&gt;$B$9,F$219=""),"",IF(COUNTIFS(BD!$B$3:$B$5001,F$219,BD!$A$3:$A$5001,"&gt;="&amp;$C$7,BD!$A$3:$A$5001,"&lt;="&amp;$B224,BD!$N$3:$N$5001,"&lt;&gt;")=0,"",SUMIFS(BD!$N$3:$N$5001,BD!$B$3:$B$5001,F$219,BD!$A$3:$A$5001,_xlfn.MAXIFS(BD!$A$3:$A$5001,BD!$B$3:$B$5001,F$219,BD!$A$3:$A$5001,"&gt;="&amp;$C$7,BD!$A$3:$A$5001,"&lt;="&amp;$B224,BD!$N$3:$N$5001,"&lt;&gt;"))))</f>
        <v/>
      </c>
      <c r="G224" s="43" t="str">
        <f>IF(OR($B224="",$A224&gt;$B$9,G$219=""),"",IF(COUNTIFS(BD!$B$3:$B$5001,G$219,BD!$A$3:$A$5001,"&gt;="&amp;$C$7,BD!$A$3:$A$5001,"&lt;="&amp;$B224,BD!$N$3:$N$5001,"&lt;&gt;")=0,"",SUMIFS(BD!$N$3:$N$5001,BD!$B$3:$B$5001,G$219,BD!$A$3:$A$5001,_xlfn.MAXIFS(BD!$A$3:$A$5001,BD!$B$3:$B$5001,G$219,BD!$A$3:$A$5001,"&gt;="&amp;$C$7,BD!$A$3:$A$5001,"&lt;="&amp;$B224,BD!$N$3:$N$5001,"&lt;&gt;"))))</f>
        <v/>
      </c>
      <c r="H224" s="43" t="str">
        <f>IF(OR($B224="",$A224&gt;$B$9,H$219=""),"",IF(COUNTIFS(BD!$B$3:$B$5001,H$219,BD!$A$3:$A$5001,"&gt;="&amp;$C$7,BD!$A$3:$A$5001,"&lt;="&amp;$B224,BD!$N$3:$N$5001,"&lt;&gt;")=0,"",SUMIFS(BD!$N$3:$N$5001,BD!$B$3:$B$5001,H$219,BD!$A$3:$A$5001,_xlfn.MAXIFS(BD!$A$3:$A$5001,BD!$B$3:$B$5001,H$219,BD!$A$3:$A$5001,"&gt;="&amp;$C$7,BD!$A$3:$A$5001,"&lt;="&amp;$B224,BD!$N$3:$N$5001,"&lt;&gt;"))))</f>
        <v/>
      </c>
      <c r="I224" s="43" t="str">
        <f>IF(OR($B224="",$A224&gt;$B$9,I$219=""),"",IF(COUNTIFS(BD!$B$3:$B$5001,I$219,BD!$A$3:$A$5001,"&gt;="&amp;$C$7,BD!$A$3:$A$5001,"&lt;="&amp;$B224,BD!$N$3:$N$5001,"&lt;&gt;")=0,"",SUMIFS(BD!$N$3:$N$5001,BD!$B$3:$B$5001,I$219,BD!$A$3:$A$5001,_xlfn.MAXIFS(BD!$A$3:$A$5001,BD!$B$3:$B$5001,I$219,BD!$A$3:$A$5001,"&gt;="&amp;$C$7,BD!$A$3:$A$5001,"&lt;="&amp;$B224,BD!$N$3:$N$5001,"&lt;&gt;"))))</f>
        <v/>
      </c>
      <c r="J224" s="43" t="str">
        <f>IF(OR($B224="",$A224&gt;$B$9,J$219=""),"",IF(COUNTIFS(BD!$B$3:$B$5001,J$219,BD!$A$3:$A$5001,"&gt;="&amp;$C$7,BD!$A$3:$A$5001,"&lt;="&amp;$B224,BD!$N$3:$N$5001,"&lt;&gt;")=0,"",SUMIFS(BD!$N$3:$N$5001,BD!$B$3:$B$5001,J$219,BD!$A$3:$A$5001,_xlfn.MAXIFS(BD!$A$3:$A$5001,BD!$B$3:$B$5001,J$219,BD!$A$3:$A$5001,"&gt;="&amp;$C$7,BD!$A$3:$A$5001,"&lt;="&amp;$B224,BD!$N$3:$N$5001,"&lt;&gt;"))))</f>
        <v/>
      </c>
      <c r="K224" s="43" t="str">
        <f>IF(OR($B224="",$A224&gt;$B$9,K$219=""),"",IF(COUNTIFS(BD!$B$3:$B$5001,K$219,BD!$A$3:$A$5001,"&gt;="&amp;$C$7,BD!$A$3:$A$5001,"&lt;="&amp;$B224,BD!$N$3:$N$5001,"&lt;&gt;")=0,"",SUMIFS(BD!$N$3:$N$5001,BD!$B$3:$B$5001,K$219,BD!$A$3:$A$5001,_xlfn.MAXIFS(BD!$A$3:$A$5001,BD!$B$3:$B$5001,K$219,BD!$A$3:$A$5001,"&gt;="&amp;$C$7,BD!$A$3:$A$5001,"&lt;="&amp;$B224,BD!$N$3:$N$5001,"&lt;&gt;"))))</f>
        <v/>
      </c>
      <c r="L224" s="43" t="str">
        <f>IF(OR($B224="",$A224&gt;$B$9,L$219=""),"",IF(COUNTIFS(BD!$B$3:$B$5001,L$219,BD!$A$3:$A$5001,"&gt;="&amp;$C$7,BD!$A$3:$A$5001,"&lt;="&amp;$B224,BD!$N$3:$N$5001,"&lt;&gt;")=0,"",SUMIFS(BD!$N$3:$N$5001,BD!$B$3:$B$5001,L$219,BD!$A$3:$A$5001,_xlfn.MAXIFS(BD!$A$3:$A$5001,BD!$B$3:$B$5001,L$219,BD!$A$3:$A$5001,"&gt;="&amp;$C$7,BD!$A$3:$A$5001,"&lt;="&amp;$B224,BD!$N$3:$N$5001,"&lt;&gt;"))))</f>
        <v/>
      </c>
      <c r="M224" s="43" t="str">
        <f>IF(OR($B224="",$A224&gt;$B$9,M$219=""),"",IF(COUNTIFS(BD!$B$3:$B$5001,M$219,BD!$A$3:$A$5001,"&gt;="&amp;$C$7,BD!$A$3:$A$5001,"&lt;="&amp;$B224,BD!$N$3:$N$5001,"&lt;&gt;")=0,"",SUMIFS(BD!$N$3:$N$5001,BD!$B$3:$B$5001,M$219,BD!$A$3:$A$5001,_xlfn.MAXIFS(BD!$A$3:$A$5001,BD!$B$3:$B$5001,M$219,BD!$A$3:$A$5001,"&gt;="&amp;$C$7,BD!$A$3:$A$5001,"&lt;="&amp;$B224,BD!$N$3:$N$5001,"&lt;&gt;"))))</f>
        <v/>
      </c>
      <c r="N224" s="43" t="str">
        <f>IF(OR($B224="",$A224&gt;$B$9,N$219=""),"",IF(COUNTIFS(BD!$B$3:$B$5001,N$219,BD!$A$3:$A$5001,"&gt;="&amp;$C$7,BD!$A$3:$A$5001,"&lt;="&amp;$B224,BD!$N$3:$N$5001,"&lt;&gt;")=0,"",SUMIFS(BD!$N$3:$N$5001,BD!$B$3:$B$5001,N$219,BD!$A$3:$A$5001,_xlfn.MAXIFS(BD!$A$3:$A$5001,BD!$B$3:$B$5001,N$219,BD!$A$3:$A$5001,"&gt;="&amp;$C$7,BD!$A$3:$A$5001,"&lt;="&amp;$B224,BD!$N$3:$N$5001,"&lt;&gt;"))))</f>
        <v/>
      </c>
      <c r="O224" s="43" t="str">
        <f>IF(OR($B224="",$A224&gt;$B$9,O$219=""),"",IF(COUNTIFS(BD!$B$3:$B$5001,O$219,BD!$A$3:$A$5001,"&gt;="&amp;$C$7,BD!$A$3:$A$5001,"&lt;="&amp;$B224,BD!$N$3:$N$5001,"&lt;&gt;")=0,"",SUMIFS(BD!$N$3:$N$5001,BD!$B$3:$B$5001,O$219,BD!$A$3:$A$5001,_xlfn.MAXIFS(BD!$A$3:$A$5001,BD!$B$3:$B$5001,O$219,BD!$A$3:$A$5001,"&gt;="&amp;$C$7,BD!$A$3:$A$5001,"&lt;="&amp;$B224,BD!$N$3:$N$5001,"&lt;&gt;"))))</f>
        <v/>
      </c>
      <c r="P224" s="43" t="str">
        <f>IF(OR($B224="",$A224&gt;$B$9,P$219=""),"",IF(COUNTIFS(BD!$B$3:$B$5001,P$219,BD!$A$3:$A$5001,"&gt;="&amp;$C$7,BD!$A$3:$A$5001,"&lt;="&amp;$B224,BD!$N$3:$N$5001,"&lt;&gt;")=0,"",SUMIFS(BD!$N$3:$N$5001,BD!$B$3:$B$5001,P$219,BD!$A$3:$A$5001,_xlfn.MAXIFS(BD!$A$3:$A$5001,BD!$B$3:$B$5001,P$219,BD!$A$3:$A$5001,"&gt;="&amp;$C$7,BD!$A$3:$A$5001,"&lt;="&amp;$B224,BD!$N$3:$N$5001,"&lt;&gt;"))))</f>
        <v/>
      </c>
      <c r="Q224" s="43" t="str">
        <f>IF(OR($B224="",$A224&gt;$B$9,Q$219=""),"",IF(COUNTIFS(BD!$B$3:$B$5001,Q$219,BD!$A$3:$A$5001,"&gt;="&amp;$C$7,BD!$A$3:$A$5001,"&lt;="&amp;$B224,BD!$N$3:$N$5001,"&lt;&gt;")=0,"",SUMIFS(BD!$N$3:$N$5001,BD!$B$3:$B$5001,Q$219,BD!$A$3:$A$5001,_xlfn.MAXIFS(BD!$A$3:$A$5001,BD!$B$3:$B$5001,Q$219,BD!$A$3:$A$5001,"&gt;="&amp;$C$7,BD!$A$3:$A$5001,"&lt;="&amp;$B224,BD!$N$3:$N$5001,"&lt;&gt;"))))</f>
        <v/>
      </c>
      <c r="R224" s="43" t="str">
        <f>IF(OR($B224="",$A224&gt;$B$9,R$219=""),"",IF(COUNTIFS(BD!$B$3:$B$5001,R$219,BD!$A$3:$A$5001,"&gt;="&amp;$C$7,BD!$A$3:$A$5001,"&lt;="&amp;$B224,BD!$N$3:$N$5001,"&lt;&gt;")=0,"",SUMIFS(BD!$N$3:$N$5001,BD!$B$3:$B$5001,R$219,BD!$A$3:$A$5001,_xlfn.MAXIFS(BD!$A$3:$A$5001,BD!$B$3:$B$5001,R$219,BD!$A$3:$A$5001,"&gt;="&amp;$C$7,BD!$A$3:$A$5001,"&lt;="&amp;$B224,BD!$N$3:$N$5001,"&lt;&gt;"))))</f>
        <v/>
      </c>
      <c r="S224" s="43" t="str">
        <f>IF(OR($B224="",$A224&gt;$B$9,S$219=""),"",IF(COUNTIFS(BD!$B$3:$B$5001,S$219,BD!$A$3:$A$5001,"&gt;="&amp;$C$7,BD!$A$3:$A$5001,"&lt;="&amp;$B224,BD!$N$3:$N$5001,"&lt;&gt;")=0,"",SUMIFS(BD!$N$3:$N$5001,BD!$B$3:$B$5001,S$219,BD!$A$3:$A$5001,_xlfn.MAXIFS(BD!$A$3:$A$5001,BD!$B$3:$B$5001,S$219,BD!$A$3:$A$5001,"&gt;="&amp;$C$7,BD!$A$3:$A$5001,"&lt;="&amp;$B224,BD!$N$3:$N$5001,"&lt;&gt;"))))</f>
        <v/>
      </c>
      <c r="T224" s="43" t="str">
        <f>IF(OR($B224="",$A224&gt;$B$9,T$219=""),"",IF(COUNTIFS(BD!$B$3:$B$5001,T$219,BD!$A$3:$A$5001,"&gt;="&amp;$C$7,BD!$A$3:$A$5001,"&lt;="&amp;$B224,BD!$N$3:$N$5001,"&lt;&gt;")=0,"",SUMIFS(BD!$N$3:$N$5001,BD!$B$3:$B$5001,T$219,BD!$A$3:$A$5001,_xlfn.MAXIFS(BD!$A$3:$A$5001,BD!$B$3:$B$5001,T$219,BD!$A$3:$A$5001,"&gt;="&amp;$C$7,BD!$A$3:$A$5001,"&lt;="&amp;$B224,BD!$N$3:$N$5001,"&lt;&gt;"))))</f>
        <v/>
      </c>
      <c r="U224" s="43" t="str">
        <f>IF(OR($B224="",$A224&gt;$B$9,U$219=""),"",IF(COUNTIFS(BD!$B$3:$B$5001,U$219,BD!$A$3:$A$5001,"&gt;="&amp;$C$7,BD!$A$3:$A$5001,"&lt;="&amp;$B224,BD!$N$3:$N$5001,"&lt;&gt;")=0,"",SUMIFS(BD!$N$3:$N$5001,BD!$B$3:$B$5001,U$219,BD!$A$3:$A$5001,_xlfn.MAXIFS(BD!$A$3:$A$5001,BD!$B$3:$B$5001,U$219,BD!$A$3:$A$5001,"&gt;="&amp;$C$7,BD!$A$3:$A$5001,"&lt;="&amp;$B224,BD!$N$3:$N$5001,"&lt;&gt;"))))</f>
        <v/>
      </c>
      <c r="V224" s="43" t="str">
        <f>IF(OR($B224="",$A224&gt;$B$9,V$219=""),"",IF(COUNTIFS(BD!$B$3:$B$5001,V$219,BD!$A$3:$A$5001,"&gt;="&amp;$C$7,BD!$A$3:$A$5001,"&lt;="&amp;$B224,BD!$N$3:$N$5001,"&lt;&gt;")=0,"",SUMIFS(BD!$N$3:$N$5001,BD!$B$3:$B$5001,V$219,BD!$A$3:$A$5001,_xlfn.MAXIFS(BD!$A$3:$A$5001,BD!$B$3:$B$5001,V$219,BD!$A$3:$A$5001,"&gt;="&amp;$C$7,BD!$A$3:$A$5001,"&lt;="&amp;$B224,BD!$N$3:$N$5001,"&lt;&gt;"))))</f>
        <v/>
      </c>
    </row>
    <row r="225">
      <c r="A225" s="38">
        <v>6</v>
      </c>
      <c r="B225" s="42">
        <f>$B$17</f>
        <v>46301</v>
      </c>
      <c r="C225" s="43" t="str">
        <f>IF(OR($B225="",$A225&gt;$B$9,C$219=""),"",IF(COUNTIFS(BD!$B$3:$B$5001,C$219,BD!$A$3:$A$5001,"&gt;="&amp;$C$7,BD!$A$3:$A$5001,"&lt;="&amp;$B225,BD!$N$3:$N$5001,"&lt;&gt;")=0,"",SUMIFS(BD!$N$3:$N$5001,BD!$B$3:$B$5001,C$219,BD!$A$3:$A$5001,_xlfn.MAXIFS(BD!$A$3:$A$5001,BD!$B$3:$B$5001,C$219,BD!$A$3:$A$5001,"&gt;="&amp;$C$7,BD!$A$3:$A$5001,"&lt;="&amp;$B225,BD!$N$3:$N$5001,"&lt;&gt;"))))</f>
        <v/>
      </c>
      <c r="D225" s="43" t="str">
        <f>IF(OR($B225="",$A225&gt;$B$9,D$219=""),"",IF(COUNTIFS(BD!$B$3:$B$5001,D$219,BD!$A$3:$A$5001,"&gt;="&amp;$C$7,BD!$A$3:$A$5001,"&lt;="&amp;$B225,BD!$N$3:$N$5001,"&lt;&gt;")=0,"",SUMIFS(BD!$N$3:$N$5001,BD!$B$3:$B$5001,D$219,BD!$A$3:$A$5001,_xlfn.MAXIFS(BD!$A$3:$A$5001,BD!$B$3:$B$5001,D$219,BD!$A$3:$A$5001,"&gt;="&amp;$C$7,BD!$A$3:$A$5001,"&lt;="&amp;$B225,BD!$N$3:$N$5001,"&lt;&gt;"))))</f>
        <v/>
      </c>
      <c r="E225" s="43" t="str">
        <f>IF(OR($B225="",$A225&gt;$B$9,E$219=""),"",IF(COUNTIFS(BD!$B$3:$B$5001,E$219,BD!$A$3:$A$5001,"&gt;="&amp;$C$7,BD!$A$3:$A$5001,"&lt;="&amp;$B225,BD!$N$3:$N$5001,"&lt;&gt;")=0,"",SUMIFS(BD!$N$3:$N$5001,BD!$B$3:$B$5001,E$219,BD!$A$3:$A$5001,_xlfn.MAXIFS(BD!$A$3:$A$5001,BD!$B$3:$B$5001,E$219,BD!$A$3:$A$5001,"&gt;="&amp;$C$7,BD!$A$3:$A$5001,"&lt;="&amp;$B225,BD!$N$3:$N$5001,"&lt;&gt;"))))</f>
        <v/>
      </c>
      <c r="F225" s="43" t="str">
        <f>IF(OR($B225="",$A225&gt;$B$9,F$219=""),"",IF(COUNTIFS(BD!$B$3:$B$5001,F$219,BD!$A$3:$A$5001,"&gt;="&amp;$C$7,BD!$A$3:$A$5001,"&lt;="&amp;$B225,BD!$N$3:$N$5001,"&lt;&gt;")=0,"",SUMIFS(BD!$N$3:$N$5001,BD!$B$3:$B$5001,F$219,BD!$A$3:$A$5001,_xlfn.MAXIFS(BD!$A$3:$A$5001,BD!$B$3:$B$5001,F$219,BD!$A$3:$A$5001,"&gt;="&amp;$C$7,BD!$A$3:$A$5001,"&lt;="&amp;$B225,BD!$N$3:$N$5001,"&lt;&gt;"))))</f>
        <v/>
      </c>
      <c r="G225" s="43" t="str">
        <f>IF(OR($B225="",$A225&gt;$B$9,G$219=""),"",IF(COUNTIFS(BD!$B$3:$B$5001,G$219,BD!$A$3:$A$5001,"&gt;="&amp;$C$7,BD!$A$3:$A$5001,"&lt;="&amp;$B225,BD!$N$3:$N$5001,"&lt;&gt;")=0,"",SUMIFS(BD!$N$3:$N$5001,BD!$B$3:$B$5001,G$219,BD!$A$3:$A$5001,_xlfn.MAXIFS(BD!$A$3:$A$5001,BD!$B$3:$B$5001,G$219,BD!$A$3:$A$5001,"&gt;="&amp;$C$7,BD!$A$3:$A$5001,"&lt;="&amp;$B225,BD!$N$3:$N$5001,"&lt;&gt;"))))</f>
        <v/>
      </c>
      <c r="H225" s="43" t="str">
        <f>IF(OR($B225="",$A225&gt;$B$9,H$219=""),"",IF(COUNTIFS(BD!$B$3:$B$5001,H$219,BD!$A$3:$A$5001,"&gt;="&amp;$C$7,BD!$A$3:$A$5001,"&lt;="&amp;$B225,BD!$N$3:$N$5001,"&lt;&gt;")=0,"",SUMIFS(BD!$N$3:$N$5001,BD!$B$3:$B$5001,H$219,BD!$A$3:$A$5001,_xlfn.MAXIFS(BD!$A$3:$A$5001,BD!$B$3:$B$5001,H$219,BD!$A$3:$A$5001,"&gt;="&amp;$C$7,BD!$A$3:$A$5001,"&lt;="&amp;$B225,BD!$N$3:$N$5001,"&lt;&gt;"))))</f>
        <v/>
      </c>
      <c r="I225" s="43" t="str">
        <f>IF(OR($B225="",$A225&gt;$B$9,I$219=""),"",IF(COUNTIFS(BD!$B$3:$B$5001,I$219,BD!$A$3:$A$5001,"&gt;="&amp;$C$7,BD!$A$3:$A$5001,"&lt;="&amp;$B225,BD!$N$3:$N$5001,"&lt;&gt;")=0,"",SUMIFS(BD!$N$3:$N$5001,BD!$B$3:$B$5001,I$219,BD!$A$3:$A$5001,_xlfn.MAXIFS(BD!$A$3:$A$5001,BD!$B$3:$B$5001,I$219,BD!$A$3:$A$5001,"&gt;="&amp;$C$7,BD!$A$3:$A$5001,"&lt;="&amp;$B225,BD!$N$3:$N$5001,"&lt;&gt;"))))</f>
        <v/>
      </c>
      <c r="J225" s="43" t="str">
        <f>IF(OR($B225="",$A225&gt;$B$9,J$219=""),"",IF(COUNTIFS(BD!$B$3:$B$5001,J$219,BD!$A$3:$A$5001,"&gt;="&amp;$C$7,BD!$A$3:$A$5001,"&lt;="&amp;$B225,BD!$N$3:$N$5001,"&lt;&gt;")=0,"",SUMIFS(BD!$N$3:$N$5001,BD!$B$3:$B$5001,J$219,BD!$A$3:$A$5001,_xlfn.MAXIFS(BD!$A$3:$A$5001,BD!$B$3:$B$5001,J$219,BD!$A$3:$A$5001,"&gt;="&amp;$C$7,BD!$A$3:$A$5001,"&lt;="&amp;$B225,BD!$N$3:$N$5001,"&lt;&gt;"))))</f>
        <v/>
      </c>
      <c r="K225" s="43" t="str">
        <f>IF(OR($B225="",$A225&gt;$B$9,K$219=""),"",IF(COUNTIFS(BD!$B$3:$B$5001,K$219,BD!$A$3:$A$5001,"&gt;="&amp;$C$7,BD!$A$3:$A$5001,"&lt;="&amp;$B225,BD!$N$3:$N$5001,"&lt;&gt;")=0,"",SUMIFS(BD!$N$3:$N$5001,BD!$B$3:$B$5001,K$219,BD!$A$3:$A$5001,_xlfn.MAXIFS(BD!$A$3:$A$5001,BD!$B$3:$B$5001,K$219,BD!$A$3:$A$5001,"&gt;="&amp;$C$7,BD!$A$3:$A$5001,"&lt;="&amp;$B225,BD!$N$3:$N$5001,"&lt;&gt;"))))</f>
        <v/>
      </c>
      <c r="L225" s="43" t="str">
        <f>IF(OR($B225="",$A225&gt;$B$9,L$219=""),"",IF(COUNTIFS(BD!$B$3:$B$5001,L$219,BD!$A$3:$A$5001,"&gt;="&amp;$C$7,BD!$A$3:$A$5001,"&lt;="&amp;$B225,BD!$N$3:$N$5001,"&lt;&gt;")=0,"",SUMIFS(BD!$N$3:$N$5001,BD!$B$3:$B$5001,L$219,BD!$A$3:$A$5001,_xlfn.MAXIFS(BD!$A$3:$A$5001,BD!$B$3:$B$5001,L$219,BD!$A$3:$A$5001,"&gt;="&amp;$C$7,BD!$A$3:$A$5001,"&lt;="&amp;$B225,BD!$N$3:$N$5001,"&lt;&gt;"))))</f>
        <v/>
      </c>
      <c r="M225" s="43" t="str">
        <f>IF(OR($B225="",$A225&gt;$B$9,M$219=""),"",IF(COUNTIFS(BD!$B$3:$B$5001,M$219,BD!$A$3:$A$5001,"&gt;="&amp;$C$7,BD!$A$3:$A$5001,"&lt;="&amp;$B225,BD!$N$3:$N$5001,"&lt;&gt;")=0,"",SUMIFS(BD!$N$3:$N$5001,BD!$B$3:$B$5001,M$219,BD!$A$3:$A$5001,_xlfn.MAXIFS(BD!$A$3:$A$5001,BD!$B$3:$B$5001,M$219,BD!$A$3:$A$5001,"&gt;="&amp;$C$7,BD!$A$3:$A$5001,"&lt;="&amp;$B225,BD!$N$3:$N$5001,"&lt;&gt;"))))</f>
        <v/>
      </c>
      <c r="N225" s="43" t="str">
        <f>IF(OR($B225="",$A225&gt;$B$9,N$219=""),"",IF(COUNTIFS(BD!$B$3:$B$5001,N$219,BD!$A$3:$A$5001,"&gt;="&amp;$C$7,BD!$A$3:$A$5001,"&lt;="&amp;$B225,BD!$N$3:$N$5001,"&lt;&gt;")=0,"",SUMIFS(BD!$N$3:$N$5001,BD!$B$3:$B$5001,N$219,BD!$A$3:$A$5001,_xlfn.MAXIFS(BD!$A$3:$A$5001,BD!$B$3:$B$5001,N$219,BD!$A$3:$A$5001,"&gt;="&amp;$C$7,BD!$A$3:$A$5001,"&lt;="&amp;$B225,BD!$N$3:$N$5001,"&lt;&gt;"))))</f>
        <v/>
      </c>
      <c r="O225" s="43" t="str">
        <f>IF(OR($B225="",$A225&gt;$B$9,O$219=""),"",IF(COUNTIFS(BD!$B$3:$B$5001,O$219,BD!$A$3:$A$5001,"&gt;="&amp;$C$7,BD!$A$3:$A$5001,"&lt;="&amp;$B225,BD!$N$3:$N$5001,"&lt;&gt;")=0,"",SUMIFS(BD!$N$3:$N$5001,BD!$B$3:$B$5001,O$219,BD!$A$3:$A$5001,_xlfn.MAXIFS(BD!$A$3:$A$5001,BD!$B$3:$B$5001,O$219,BD!$A$3:$A$5001,"&gt;="&amp;$C$7,BD!$A$3:$A$5001,"&lt;="&amp;$B225,BD!$N$3:$N$5001,"&lt;&gt;"))))</f>
        <v/>
      </c>
      <c r="P225" s="43" t="str">
        <f>IF(OR($B225="",$A225&gt;$B$9,P$219=""),"",IF(COUNTIFS(BD!$B$3:$B$5001,P$219,BD!$A$3:$A$5001,"&gt;="&amp;$C$7,BD!$A$3:$A$5001,"&lt;="&amp;$B225,BD!$N$3:$N$5001,"&lt;&gt;")=0,"",SUMIFS(BD!$N$3:$N$5001,BD!$B$3:$B$5001,P$219,BD!$A$3:$A$5001,_xlfn.MAXIFS(BD!$A$3:$A$5001,BD!$B$3:$B$5001,P$219,BD!$A$3:$A$5001,"&gt;="&amp;$C$7,BD!$A$3:$A$5001,"&lt;="&amp;$B225,BD!$N$3:$N$5001,"&lt;&gt;"))))</f>
        <v/>
      </c>
      <c r="Q225" s="43" t="str">
        <f>IF(OR($B225="",$A225&gt;$B$9,Q$219=""),"",IF(COUNTIFS(BD!$B$3:$B$5001,Q$219,BD!$A$3:$A$5001,"&gt;="&amp;$C$7,BD!$A$3:$A$5001,"&lt;="&amp;$B225,BD!$N$3:$N$5001,"&lt;&gt;")=0,"",SUMIFS(BD!$N$3:$N$5001,BD!$B$3:$B$5001,Q$219,BD!$A$3:$A$5001,_xlfn.MAXIFS(BD!$A$3:$A$5001,BD!$B$3:$B$5001,Q$219,BD!$A$3:$A$5001,"&gt;="&amp;$C$7,BD!$A$3:$A$5001,"&lt;="&amp;$B225,BD!$N$3:$N$5001,"&lt;&gt;"))))</f>
        <v/>
      </c>
      <c r="R225" s="43" t="str">
        <f>IF(OR($B225="",$A225&gt;$B$9,R$219=""),"",IF(COUNTIFS(BD!$B$3:$B$5001,R$219,BD!$A$3:$A$5001,"&gt;="&amp;$C$7,BD!$A$3:$A$5001,"&lt;="&amp;$B225,BD!$N$3:$N$5001,"&lt;&gt;")=0,"",SUMIFS(BD!$N$3:$N$5001,BD!$B$3:$B$5001,R$219,BD!$A$3:$A$5001,_xlfn.MAXIFS(BD!$A$3:$A$5001,BD!$B$3:$B$5001,R$219,BD!$A$3:$A$5001,"&gt;="&amp;$C$7,BD!$A$3:$A$5001,"&lt;="&amp;$B225,BD!$N$3:$N$5001,"&lt;&gt;"))))</f>
        <v/>
      </c>
      <c r="S225" s="43" t="str">
        <f>IF(OR($B225="",$A225&gt;$B$9,S$219=""),"",IF(COUNTIFS(BD!$B$3:$B$5001,S$219,BD!$A$3:$A$5001,"&gt;="&amp;$C$7,BD!$A$3:$A$5001,"&lt;="&amp;$B225,BD!$N$3:$N$5001,"&lt;&gt;")=0,"",SUMIFS(BD!$N$3:$N$5001,BD!$B$3:$B$5001,S$219,BD!$A$3:$A$5001,_xlfn.MAXIFS(BD!$A$3:$A$5001,BD!$B$3:$B$5001,S$219,BD!$A$3:$A$5001,"&gt;="&amp;$C$7,BD!$A$3:$A$5001,"&lt;="&amp;$B225,BD!$N$3:$N$5001,"&lt;&gt;"))))</f>
        <v/>
      </c>
      <c r="T225" s="43" t="str">
        <f>IF(OR($B225="",$A225&gt;$B$9,T$219=""),"",IF(COUNTIFS(BD!$B$3:$B$5001,T$219,BD!$A$3:$A$5001,"&gt;="&amp;$C$7,BD!$A$3:$A$5001,"&lt;="&amp;$B225,BD!$N$3:$N$5001,"&lt;&gt;")=0,"",SUMIFS(BD!$N$3:$N$5001,BD!$B$3:$B$5001,T$219,BD!$A$3:$A$5001,_xlfn.MAXIFS(BD!$A$3:$A$5001,BD!$B$3:$B$5001,T$219,BD!$A$3:$A$5001,"&gt;="&amp;$C$7,BD!$A$3:$A$5001,"&lt;="&amp;$B225,BD!$N$3:$N$5001,"&lt;&gt;"))))</f>
        <v/>
      </c>
      <c r="U225" s="43" t="str">
        <f>IF(OR($B225="",$A225&gt;$B$9,U$219=""),"",IF(COUNTIFS(BD!$B$3:$B$5001,U$219,BD!$A$3:$A$5001,"&gt;="&amp;$C$7,BD!$A$3:$A$5001,"&lt;="&amp;$B225,BD!$N$3:$N$5001,"&lt;&gt;")=0,"",SUMIFS(BD!$N$3:$N$5001,BD!$B$3:$B$5001,U$219,BD!$A$3:$A$5001,_xlfn.MAXIFS(BD!$A$3:$A$5001,BD!$B$3:$B$5001,U$219,BD!$A$3:$A$5001,"&gt;="&amp;$C$7,BD!$A$3:$A$5001,"&lt;="&amp;$B225,BD!$N$3:$N$5001,"&lt;&gt;"))))</f>
        <v/>
      </c>
      <c r="V225" s="43" t="str">
        <f>IF(OR($B225="",$A225&gt;$B$9,V$219=""),"",IF(COUNTIFS(BD!$B$3:$B$5001,V$219,BD!$A$3:$A$5001,"&gt;="&amp;$C$7,BD!$A$3:$A$5001,"&lt;="&amp;$B225,BD!$N$3:$N$5001,"&lt;&gt;")=0,"",SUMIFS(BD!$N$3:$N$5001,BD!$B$3:$B$5001,V$219,BD!$A$3:$A$5001,_xlfn.MAXIFS(BD!$A$3:$A$5001,BD!$B$3:$B$5001,V$219,BD!$A$3:$A$5001,"&gt;="&amp;$C$7,BD!$A$3:$A$5001,"&lt;="&amp;$B225,BD!$N$3:$N$5001,"&lt;&gt;"))))</f>
        <v/>
      </c>
    </row>
    <row r="226">
      <c r="A226" s="38">
        <v>7</v>
      </c>
      <c r="B226" s="42">
        <f>$B$18</f>
        <v>46302</v>
      </c>
      <c r="C226" s="43" t="str">
        <f>IF(OR($B226="",$A226&gt;$B$9,C$219=""),"",IF(COUNTIFS(BD!$B$3:$B$5001,C$219,BD!$A$3:$A$5001,"&gt;="&amp;$C$7,BD!$A$3:$A$5001,"&lt;="&amp;$B226,BD!$N$3:$N$5001,"&lt;&gt;")=0,"",SUMIFS(BD!$N$3:$N$5001,BD!$B$3:$B$5001,C$219,BD!$A$3:$A$5001,_xlfn.MAXIFS(BD!$A$3:$A$5001,BD!$B$3:$B$5001,C$219,BD!$A$3:$A$5001,"&gt;="&amp;$C$7,BD!$A$3:$A$5001,"&lt;="&amp;$B226,BD!$N$3:$N$5001,"&lt;&gt;"))))</f>
        <v/>
      </c>
      <c r="D226" s="43" t="str">
        <f>IF(OR($B226="",$A226&gt;$B$9,D$219=""),"",IF(COUNTIFS(BD!$B$3:$B$5001,D$219,BD!$A$3:$A$5001,"&gt;="&amp;$C$7,BD!$A$3:$A$5001,"&lt;="&amp;$B226,BD!$N$3:$N$5001,"&lt;&gt;")=0,"",SUMIFS(BD!$N$3:$N$5001,BD!$B$3:$B$5001,D$219,BD!$A$3:$A$5001,_xlfn.MAXIFS(BD!$A$3:$A$5001,BD!$B$3:$B$5001,D$219,BD!$A$3:$A$5001,"&gt;="&amp;$C$7,BD!$A$3:$A$5001,"&lt;="&amp;$B226,BD!$N$3:$N$5001,"&lt;&gt;"))))</f>
        <v/>
      </c>
      <c r="E226" s="43" t="str">
        <f>IF(OR($B226="",$A226&gt;$B$9,E$219=""),"",IF(COUNTIFS(BD!$B$3:$B$5001,E$219,BD!$A$3:$A$5001,"&gt;="&amp;$C$7,BD!$A$3:$A$5001,"&lt;="&amp;$B226,BD!$N$3:$N$5001,"&lt;&gt;")=0,"",SUMIFS(BD!$N$3:$N$5001,BD!$B$3:$B$5001,E$219,BD!$A$3:$A$5001,_xlfn.MAXIFS(BD!$A$3:$A$5001,BD!$B$3:$B$5001,E$219,BD!$A$3:$A$5001,"&gt;="&amp;$C$7,BD!$A$3:$A$5001,"&lt;="&amp;$B226,BD!$N$3:$N$5001,"&lt;&gt;"))))</f>
        <v/>
      </c>
      <c r="F226" s="43" t="str">
        <f>IF(OR($B226="",$A226&gt;$B$9,F$219=""),"",IF(COUNTIFS(BD!$B$3:$B$5001,F$219,BD!$A$3:$A$5001,"&gt;="&amp;$C$7,BD!$A$3:$A$5001,"&lt;="&amp;$B226,BD!$N$3:$N$5001,"&lt;&gt;")=0,"",SUMIFS(BD!$N$3:$N$5001,BD!$B$3:$B$5001,F$219,BD!$A$3:$A$5001,_xlfn.MAXIFS(BD!$A$3:$A$5001,BD!$B$3:$B$5001,F$219,BD!$A$3:$A$5001,"&gt;="&amp;$C$7,BD!$A$3:$A$5001,"&lt;="&amp;$B226,BD!$N$3:$N$5001,"&lt;&gt;"))))</f>
        <v/>
      </c>
      <c r="G226" s="43" t="str">
        <f>IF(OR($B226="",$A226&gt;$B$9,G$219=""),"",IF(COUNTIFS(BD!$B$3:$B$5001,G$219,BD!$A$3:$A$5001,"&gt;="&amp;$C$7,BD!$A$3:$A$5001,"&lt;="&amp;$B226,BD!$N$3:$N$5001,"&lt;&gt;")=0,"",SUMIFS(BD!$N$3:$N$5001,BD!$B$3:$B$5001,G$219,BD!$A$3:$A$5001,_xlfn.MAXIFS(BD!$A$3:$A$5001,BD!$B$3:$B$5001,G$219,BD!$A$3:$A$5001,"&gt;="&amp;$C$7,BD!$A$3:$A$5001,"&lt;="&amp;$B226,BD!$N$3:$N$5001,"&lt;&gt;"))))</f>
        <v/>
      </c>
      <c r="H226" s="43" t="str">
        <f>IF(OR($B226="",$A226&gt;$B$9,H$219=""),"",IF(COUNTIFS(BD!$B$3:$B$5001,H$219,BD!$A$3:$A$5001,"&gt;="&amp;$C$7,BD!$A$3:$A$5001,"&lt;="&amp;$B226,BD!$N$3:$N$5001,"&lt;&gt;")=0,"",SUMIFS(BD!$N$3:$N$5001,BD!$B$3:$B$5001,H$219,BD!$A$3:$A$5001,_xlfn.MAXIFS(BD!$A$3:$A$5001,BD!$B$3:$B$5001,H$219,BD!$A$3:$A$5001,"&gt;="&amp;$C$7,BD!$A$3:$A$5001,"&lt;="&amp;$B226,BD!$N$3:$N$5001,"&lt;&gt;"))))</f>
        <v/>
      </c>
      <c r="I226" s="43" t="str">
        <f>IF(OR($B226="",$A226&gt;$B$9,I$219=""),"",IF(COUNTIFS(BD!$B$3:$B$5001,I$219,BD!$A$3:$A$5001,"&gt;="&amp;$C$7,BD!$A$3:$A$5001,"&lt;="&amp;$B226,BD!$N$3:$N$5001,"&lt;&gt;")=0,"",SUMIFS(BD!$N$3:$N$5001,BD!$B$3:$B$5001,I$219,BD!$A$3:$A$5001,_xlfn.MAXIFS(BD!$A$3:$A$5001,BD!$B$3:$B$5001,I$219,BD!$A$3:$A$5001,"&gt;="&amp;$C$7,BD!$A$3:$A$5001,"&lt;="&amp;$B226,BD!$N$3:$N$5001,"&lt;&gt;"))))</f>
        <v/>
      </c>
      <c r="J226" s="43" t="str">
        <f>IF(OR($B226="",$A226&gt;$B$9,J$219=""),"",IF(COUNTIFS(BD!$B$3:$B$5001,J$219,BD!$A$3:$A$5001,"&gt;="&amp;$C$7,BD!$A$3:$A$5001,"&lt;="&amp;$B226,BD!$N$3:$N$5001,"&lt;&gt;")=0,"",SUMIFS(BD!$N$3:$N$5001,BD!$B$3:$B$5001,J$219,BD!$A$3:$A$5001,_xlfn.MAXIFS(BD!$A$3:$A$5001,BD!$B$3:$B$5001,J$219,BD!$A$3:$A$5001,"&gt;="&amp;$C$7,BD!$A$3:$A$5001,"&lt;="&amp;$B226,BD!$N$3:$N$5001,"&lt;&gt;"))))</f>
        <v/>
      </c>
      <c r="K226" s="43" t="str">
        <f>IF(OR($B226="",$A226&gt;$B$9,K$219=""),"",IF(COUNTIFS(BD!$B$3:$B$5001,K$219,BD!$A$3:$A$5001,"&gt;="&amp;$C$7,BD!$A$3:$A$5001,"&lt;="&amp;$B226,BD!$N$3:$N$5001,"&lt;&gt;")=0,"",SUMIFS(BD!$N$3:$N$5001,BD!$B$3:$B$5001,K$219,BD!$A$3:$A$5001,_xlfn.MAXIFS(BD!$A$3:$A$5001,BD!$B$3:$B$5001,K$219,BD!$A$3:$A$5001,"&gt;="&amp;$C$7,BD!$A$3:$A$5001,"&lt;="&amp;$B226,BD!$N$3:$N$5001,"&lt;&gt;"))))</f>
        <v/>
      </c>
      <c r="L226" s="43" t="str">
        <f>IF(OR($B226="",$A226&gt;$B$9,L$219=""),"",IF(COUNTIFS(BD!$B$3:$B$5001,L$219,BD!$A$3:$A$5001,"&gt;="&amp;$C$7,BD!$A$3:$A$5001,"&lt;="&amp;$B226,BD!$N$3:$N$5001,"&lt;&gt;")=0,"",SUMIFS(BD!$N$3:$N$5001,BD!$B$3:$B$5001,L$219,BD!$A$3:$A$5001,_xlfn.MAXIFS(BD!$A$3:$A$5001,BD!$B$3:$B$5001,L$219,BD!$A$3:$A$5001,"&gt;="&amp;$C$7,BD!$A$3:$A$5001,"&lt;="&amp;$B226,BD!$N$3:$N$5001,"&lt;&gt;"))))</f>
        <v/>
      </c>
      <c r="M226" s="43" t="str">
        <f>IF(OR($B226="",$A226&gt;$B$9,M$219=""),"",IF(COUNTIFS(BD!$B$3:$B$5001,M$219,BD!$A$3:$A$5001,"&gt;="&amp;$C$7,BD!$A$3:$A$5001,"&lt;="&amp;$B226,BD!$N$3:$N$5001,"&lt;&gt;")=0,"",SUMIFS(BD!$N$3:$N$5001,BD!$B$3:$B$5001,M$219,BD!$A$3:$A$5001,_xlfn.MAXIFS(BD!$A$3:$A$5001,BD!$B$3:$B$5001,M$219,BD!$A$3:$A$5001,"&gt;="&amp;$C$7,BD!$A$3:$A$5001,"&lt;="&amp;$B226,BD!$N$3:$N$5001,"&lt;&gt;"))))</f>
        <v/>
      </c>
      <c r="N226" s="43" t="str">
        <f>IF(OR($B226="",$A226&gt;$B$9,N$219=""),"",IF(COUNTIFS(BD!$B$3:$B$5001,N$219,BD!$A$3:$A$5001,"&gt;="&amp;$C$7,BD!$A$3:$A$5001,"&lt;="&amp;$B226,BD!$N$3:$N$5001,"&lt;&gt;")=0,"",SUMIFS(BD!$N$3:$N$5001,BD!$B$3:$B$5001,N$219,BD!$A$3:$A$5001,_xlfn.MAXIFS(BD!$A$3:$A$5001,BD!$B$3:$B$5001,N$219,BD!$A$3:$A$5001,"&gt;="&amp;$C$7,BD!$A$3:$A$5001,"&lt;="&amp;$B226,BD!$N$3:$N$5001,"&lt;&gt;"))))</f>
        <v/>
      </c>
      <c r="O226" s="43" t="str">
        <f>IF(OR($B226="",$A226&gt;$B$9,O$219=""),"",IF(COUNTIFS(BD!$B$3:$B$5001,O$219,BD!$A$3:$A$5001,"&gt;="&amp;$C$7,BD!$A$3:$A$5001,"&lt;="&amp;$B226,BD!$N$3:$N$5001,"&lt;&gt;")=0,"",SUMIFS(BD!$N$3:$N$5001,BD!$B$3:$B$5001,O$219,BD!$A$3:$A$5001,_xlfn.MAXIFS(BD!$A$3:$A$5001,BD!$B$3:$B$5001,O$219,BD!$A$3:$A$5001,"&gt;="&amp;$C$7,BD!$A$3:$A$5001,"&lt;="&amp;$B226,BD!$N$3:$N$5001,"&lt;&gt;"))))</f>
        <v/>
      </c>
      <c r="P226" s="43" t="str">
        <f>IF(OR($B226="",$A226&gt;$B$9,P$219=""),"",IF(COUNTIFS(BD!$B$3:$B$5001,P$219,BD!$A$3:$A$5001,"&gt;="&amp;$C$7,BD!$A$3:$A$5001,"&lt;="&amp;$B226,BD!$N$3:$N$5001,"&lt;&gt;")=0,"",SUMIFS(BD!$N$3:$N$5001,BD!$B$3:$B$5001,P$219,BD!$A$3:$A$5001,_xlfn.MAXIFS(BD!$A$3:$A$5001,BD!$B$3:$B$5001,P$219,BD!$A$3:$A$5001,"&gt;="&amp;$C$7,BD!$A$3:$A$5001,"&lt;="&amp;$B226,BD!$N$3:$N$5001,"&lt;&gt;"))))</f>
        <v/>
      </c>
      <c r="Q226" s="43" t="str">
        <f>IF(OR($B226="",$A226&gt;$B$9,Q$219=""),"",IF(COUNTIFS(BD!$B$3:$B$5001,Q$219,BD!$A$3:$A$5001,"&gt;="&amp;$C$7,BD!$A$3:$A$5001,"&lt;="&amp;$B226,BD!$N$3:$N$5001,"&lt;&gt;")=0,"",SUMIFS(BD!$N$3:$N$5001,BD!$B$3:$B$5001,Q$219,BD!$A$3:$A$5001,_xlfn.MAXIFS(BD!$A$3:$A$5001,BD!$B$3:$B$5001,Q$219,BD!$A$3:$A$5001,"&gt;="&amp;$C$7,BD!$A$3:$A$5001,"&lt;="&amp;$B226,BD!$N$3:$N$5001,"&lt;&gt;"))))</f>
        <v/>
      </c>
      <c r="R226" s="43" t="str">
        <f>IF(OR($B226="",$A226&gt;$B$9,R$219=""),"",IF(COUNTIFS(BD!$B$3:$B$5001,R$219,BD!$A$3:$A$5001,"&gt;="&amp;$C$7,BD!$A$3:$A$5001,"&lt;="&amp;$B226,BD!$N$3:$N$5001,"&lt;&gt;")=0,"",SUMIFS(BD!$N$3:$N$5001,BD!$B$3:$B$5001,R$219,BD!$A$3:$A$5001,_xlfn.MAXIFS(BD!$A$3:$A$5001,BD!$B$3:$B$5001,R$219,BD!$A$3:$A$5001,"&gt;="&amp;$C$7,BD!$A$3:$A$5001,"&lt;="&amp;$B226,BD!$N$3:$N$5001,"&lt;&gt;"))))</f>
        <v/>
      </c>
      <c r="S226" s="43" t="str">
        <f>IF(OR($B226="",$A226&gt;$B$9,S$219=""),"",IF(COUNTIFS(BD!$B$3:$B$5001,S$219,BD!$A$3:$A$5001,"&gt;="&amp;$C$7,BD!$A$3:$A$5001,"&lt;="&amp;$B226,BD!$N$3:$N$5001,"&lt;&gt;")=0,"",SUMIFS(BD!$N$3:$N$5001,BD!$B$3:$B$5001,S$219,BD!$A$3:$A$5001,_xlfn.MAXIFS(BD!$A$3:$A$5001,BD!$B$3:$B$5001,S$219,BD!$A$3:$A$5001,"&gt;="&amp;$C$7,BD!$A$3:$A$5001,"&lt;="&amp;$B226,BD!$N$3:$N$5001,"&lt;&gt;"))))</f>
        <v/>
      </c>
      <c r="T226" s="43" t="str">
        <f>IF(OR($B226="",$A226&gt;$B$9,T$219=""),"",IF(COUNTIFS(BD!$B$3:$B$5001,T$219,BD!$A$3:$A$5001,"&gt;="&amp;$C$7,BD!$A$3:$A$5001,"&lt;="&amp;$B226,BD!$N$3:$N$5001,"&lt;&gt;")=0,"",SUMIFS(BD!$N$3:$N$5001,BD!$B$3:$B$5001,T$219,BD!$A$3:$A$5001,_xlfn.MAXIFS(BD!$A$3:$A$5001,BD!$B$3:$B$5001,T$219,BD!$A$3:$A$5001,"&gt;="&amp;$C$7,BD!$A$3:$A$5001,"&lt;="&amp;$B226,BD!$N$3:$N$5001,"&lt;&gt;"))))</f>
        <v/>
      </c>
      <c r="U226" s="43" t="str">
        <f>IF(OR($B226="",$A226&gt;$B$9,U$219=""),"",IF(COUNTIFS(BD!$B$3:$B$5001,U$219,BD!$A$3:$A$5001,"&gt;="&amp;$C$7,BD!$A$3:$A$5001,"&lt;="&amp;$B226,BD!$N$3:$N$5001,"&lt;&gt;")=0,"",SUMIFS(BD!$N$3:$N$5001,BD!$B$3:$B$5001,U$219,BD!$A$3:$A$5001,_xlfn.MAXIFS(BD!$A$3:$A$5001,BD!$B$3:$B$5001,U$219,BD!$A$3:$A$5001,"&gt;="&amp;$C$7,BD!$A$3:$A$5001,"&lt;="&amp;$B226,BD!$N$3:$N$5001,"&lt;&gt;"))))</f>
        <v/>
      </c>
      <c r="V226" s="43" t="str">
        <f>IF(OR($B226="",$A226&gt;$B$9,V$219=""),"",IF(COUNTIFS(BD!$B$3:$B$5001,V$219,BD!$A$3:$A$5001,"&gt;="&amp;$C$7,BD!$A$3:$A$5001,"&lt;="&amp;$B226,BD!$N$3:$N$5001,"&lt;&gt;")=0,"",SUMIFS(BD!$N$3:$N$5001,BD!$B$3:$B$5001,V$219,BD!$A$3:$A$5001,_xlfn.MAXIFS(BD!$A$3:$A$5001,BD!$B$3:$B$5001,V$219,BD!$A$3:$A$5001,"&gt;="&amp;$C$7,BD!$A$3:$A$5001,"&lt;="&amp;$B226,BD!$N$3:$N$5001,"&lt;&gt;"))))</f>
        <v/>
      </c>
    </row>
    <row r="227">
      <c r="A227" s="38">
        <v>8</v>
      </c>
      <c r="B227" s="42">
        <f>$B$19</f>
        <v>46303</v>
      </c>
      <c r="C227" s="43" t="str">
        <f>IF(OR($B227="",$A227&gt;$B$9,C$219=""),"",IF(COUNTIFS(BD!$B$3:$B$5001,C$219,BD!$A$3:$A$5001,"&gt;="&amp;$C$7,BD!$A$3:$A$5001,"&lt;="&amp;$B227,BD!$N$3:$N$5001,"&lt;&gt;")=0,"",SUMIFS(BD!$N$3:$N$5001,BD!$B$3:$B$5001,C$219,BD!$A$3:$A$5001,_xlfn.MAXIFS(BD!$A$3:$A$5001,BD!$B$3:$B$5001,C$219,BD!$A$3:$A$5001,"&gt;="&amp;$C$7,BD!$A$3:$A$5001,"&lt;="&amp;$B227,BD!$N$3:$N$5001,"&lt;&gt;"))))</f>
        <v/>
      </c>
      <c r="D227" s="43" t="str">
        <f>IF(OR($B227="",$A227&gt;$B$9,D$219=""),"",IF(COUNTIFS(BD!$B$3:$B$5001,D$219,BD!$A$3:$A$5001,"&gt;="&amp;$C$7,BD!$A$3:$A$5001,"&lt;="&amp;$B227,BD!$N$3:$N$5001,"&lt;&gt;")=0,"",SUMIFS(BD!$N$3:$N$5001,BD!$B$3:$B$5001,D$219,BD!$A$3:$A$5001,_xlfn.MAXIFS(BD!$A$3:$A$5001,BD!$B$3:$B$5001,D$219,BD!$A$3:$A$5001,"&gt;="&amp;$C$7,BD!$A$3:$A$5001,"&lt;="&amp;$B227,BD!$N$3:$N$5001,"&lt;&gt;"))))</f>
        <v/>
      </c>
      <c r="E227" s="43" t="str">
        <f>IF(OR($B227="",$A227&gt;$B$9,E$219=""),"",IF(COUNTIFS(BD!$B$3:$B$5001,E$219,BD!$A$3:$A$5001,"&gt;="&amp;$C$7,BD!$A$3:$A$5001,"&lt;="&amp;$B227,BD!$N$3:$N$5001,"&lt;&gt;")=0,"",SUMIFS(BD!$N$3:$N$5001,BD!$B$3:$B$5001,E$219,BD!$A$3:$A$5001,_xlfn.MAXIFS(BD!$A$3:$A$5001,BD!$B$3:$B$5001,E$219,BD!$A$3:$A$5001,"&gt;="&amp;$C$7,BD!$A$3:$A$5001,"&lt;="&amp;$B227,BD!$N$3:$N$5001,"&lt;&gt;"))))</f>
        <v/>
      </c>
      <c r="F227" s="43" t="str">
        <f>IF(OR($B227="",$A227&gt;$B$9,F$219=""),"",IF(COUNTIFS(BD!$B$3:$B$5001,F$219,BD!$A$3:$A$5001,"&gt;="&amp;$C$7,BD!$A$3:$A$5001,"&lt;="&amp;$B227,BD!$N$3:$N$5001,"&lt;&gt;")=0,"",SUMIFS(BD!$N$3:$N$5001,BD!$B$3:$B$5001,F$219,BD!$A$3:$A$5001,_xlfn.MAXIFS(BD!$A$3:$A$5001,BD!$B$3:$B$5001,F$219,BD!$A$3:$A$5001,"&gt;="&amp;$C$7,BD!$A$3:$A$5001,"&lt;="&amp;$B227,BD!$N$3:$N$5001,"&lt;&gt;"))))</f>
        <v/>
      </c>
      <c r="G227" s="43" t="str">
        <f>IF(OR($B227="",$A227&gt;$B$9,G$219=""),"",IF(COUNTIFS(BD!$B$3:$B$5001,G$219,BD!$A$3:$A$5001,"&gt;="&amp;$C$7,BD!$A$3:$A$5001,"&lt;="&amp;$B227,BD!$N$3:$N$5001,"&lt;&gt;")=0,"",SUMIFS(BD!$N$3:$N$5001,BD!$B$3:$B$5001,G$219,BD!$A$3:$A$5001,_xlfn.MAXIFS(BD!$A$3:$A$5001,BD!$B$3:$B$5001,G$219,BD!$A$3:$A$5001,"&gt;="&amp;$C$7,BD!$A$3:$A$5001,"&lt;="&amp;$B227,BD!$N$3:$N$5001,"&lt;&gt;"))))</f>
        <v/>
      </c>
      <c r="H227" s="43" t="str">
        <f>IF(OR($B227="",$A227&gt;$B$9,H$219=""),"",IF(COUNTIFS(BD!$B$3:$B$5001,H$219,BD!$A$3:$A$5001,"&gt;="&amp;$C$7,BD!$A$3:$A$5001,"&lt;="&amp;$B227,BD!$N$3:$N$5001,"&lt;&gt;")=0,"",SUMIFS(BD!$N$3:$N$5001,BD!$B$3:$B$5001,H$219,BD!$A$3:$A$5001,_xlfn.MAXIFS(BD!$A$3:$A$5001,BD!$B$3:$B$5001,H$219,BD!$A$3:$A$5001,"&gt;="&amp;$C$7,BD!$A$3:$A$5001,"&lt;="&amp;$B227,BD!$N$3:$N$5001,"&lt;&gt;"))))</f>
        <v/>
      </c>
      <c r="I227" s="43" t="str">
        <f>IF(OR($B227="",$A227&gt;$B$9,I$219=""),"",IF(COUNTIFS(BD!$B$3:$B$5001,I$219,BD!$A$3:$A$5001,"&gt;="&amp;$C$7,BD!$A$3:$A$5001,"&lt;="&amp;$B227,BD!$N$3:$N$5001,"&lt;&gt;")=0,"",SUMIFS(BD!$N$3:$N$5001,BD!$B$3:$B$5001,I$219,BD!$A$3:$A$5001,_xlfn.MAXIFS(BD!$A$3:$A$5001,BD!$B$3:$B$5001,I$219,BD!$A$3:$A$5001,"&gt;="&amp;$C$7,BD!$A$3:$A$5001,"&lt;="&amp;$B227,BD!$N$3:$N$5001,"&lt;&gt;"))))</f>
        <v/>
      </c>
      <c r="J227" s="43" t="str">
        <f>IF(OR($B227="",$A227&gt;$B$9,J$219=""),"",IF(COUNTIFS(BD!$B$3:$B$5001,J$219,BD!$A$3:$A$5001,"&gt;="&amp;$C$7,BD!$A$3:$A$5001,"&lt;="&amp;$B227,BD!$N$3:$N$5001,"&lt;&gt;")=0,"",SUMIFS(BD!$N$3:$N$5001,BD!$B$3:$B$5001,J$219,BD!$A$3:$A$5001,_xlfn.MAXIFS(BD!$A$3:$A$5001,BD!$B$3:$B$5001,J$219,BD!$A$3:$A$5001,"&gt;="&amp;$C$7,BD!$A$3:$A$5001,"&lt;="&amp;$B227,BD!$N$3:$N$5001,"&lt;&gt;"))))</f>
        <v/>
      </c>
      <c r="K227" s="43" t="str">
        <f>IF(OR($B227="",$A227&gt;$B$9,K$219=""),"",IF(COUNTIFS(BD!$B$3:$B$5001,K$219,BD!$A$3:$A$5001,"&gt;="&amp;$C$7,BD!$A$3:$A$5001,"&lt;="&amp;$B227,BD!$N$3:$N$5001,"&lt;&gt;")=0,"",SUMIFS(BD!$N$3:$N$5001,BD!$B$3:$B$5001,K$219,BD!$A$3:$A$5001,_xlfn.MAXIFS(BD!$A$3:$A$5001,BD!$B$3:$B$5001,K$219,BD!$A$3:$A$5001,"&gt;="&amp;$C$7,BD!$A$3:$A$5001,"&lt;="&amp;$B227,BD!$N$3:$N$5001,"&lt;&gt;"))))</f>
        <v/>
      </c>
      <c r="L227" s="43" t="str">
        <f>IF(OR($B227="",$A227&gt;$B$9,L$219=""),"",IF(COUNTIFS(BD!$B$3:$B$5001,L$219,BD!$A$3:$A$5001,"&gt;="&amp;$C$7,BD!$A$3:$A$5001,"&lt;="&amp;$B227,BD!$N$3:$N$5001,"&lt;&gt;")=0,"",SUMIFS(BD!$N$3:$N$5001,BD!$B$3:$B$5001,L$219,BD!$A$3:$A$5001,_xlfn.MAXIFS(BD!$A$3:$A$5001,BD!$B$3:$B$5001,L$219,BD!$A$3:$A$5001,"&gt;="&amp;$C$7,BD!$A$3:$A$5001,"&lt;="&amp;$B227,BD!$N$3:$N$5001,"&lt;&gt;"))))</f>
        <v/>
      </c>
      <c r="M227" s="43" t="str">
        <f>IF(OR($B227="",$A227&gt;$B$9,M$219=""),"",IF(COUNTIFS(BD!$B$3:$B$5001,M$219,BD!$A$3:$A$5001,"&gt;="&amp;$C$7,BD!$A$3:$A$5001,"&lt;="&amp;$B227,BD!$N$3:$N$5001,"&lt;&gt;")=0,"",SUMIFS(BD!$N$3:$N$5001,BD!$B$3:$B$5001,M$219,BD!$A$3:$A$5001,_xlfn.MAXIFS(BD!$A$3:$A$5001,BD!$B$3:$B$5001,M$219,BD!$A$3:$A$5001,"&gt;="&amp;$C$7,BD!$A$3:$A$5001,"&lt;="&amp;$B227,BD!$N$3:$N$5001,"&lt;&gt;"))))</f>
        <v/>
      </c>
      <c r="N227" s="43" t="str">
        <f>IF(OR($B227="",$A227&gt;$B$9,N$219=""),"",IF(COUNTIFS(BD!$B$3:$B$5001,N$219,BD!$A$3:$A$5001,"&gt;="&amp;$C$7,BD!$A$3:$A$5001,"&lt;="&amp;$B227,BD!$N$3:$N$5001,"&lt;&gt;")=0,"",SUMIFS(BD!$N$3:$N$5001,BD!$B$3:$B$5001,N$219,BD!$A$3:$A$5001,_xlfn.MAXIFS(BD!$A$3:$A$5001,BD!$B$3:$B$5001,N$219,BD!$A$3:$A$5001,"&gt;="&amp;$C$7,BD!$A$3:$A$5001,"&lt;="&amp;$B227,BD!$N$3:$N$5001,"&lt;&gt;"))))</f>
        <v/>
      </c>
      <c r="O227" s="43" t="str">
        <f>IF(OR($B227="",$A227&gt;$B$9,O$219=""),"",IF(COUNTIFS(BD!$B$3:$B$5001,O$219,BD!$A$3:$A$5001,"&gt;="&amp;$C$7,BD!$A$3:$A$5001,"&lt;="&amp;$B227,BD!$N$3:$N$5001,"&lt;&gt;")=0,"",SUMIFS(BD!$N$3:$N$5001,BD!$B$3:$B$5001,O$219,BD!$A$3:$A$5001,_xlfn.MAXIFS(BD!$A$3:$A$5001,BD!$B$3:$B$5001,O$219,BD!$A$3:$A$5001,"&gt;="&amp;$C$7,BD!$A$3:$A$5001,"&lt;="&amp;$B227,BD!$N$3:$N$5001,"&lt;&gt;"))))</f>
        <v/>
      </c>
      <c r="P227" s="43" t="str">
        <f>IF(OR($B227="",$A227&gt;$B$9,P$219=""),"",IF(COUNTIFS(BD!$B$3:$B$5001,P$219,BD!$A$3:$A$5001,"&gt;="&amp;$C$7,BD!$A$3:$A$5001,"&lt;="&amp;$B227,BD!$N$3:$N$5001,"&lt;&gt;")=0,"",SUMIFS(BD!$N$3:$N$5001,BD!$B$3:$B$5001,P$219,BD!$A$3:$A$5001,_xlfn.MAXIFS(BD!$A$3:$A$5001,BD!$B$3:$B$5001,P$219,BD!$A$3:$A$5001,"&gt;="&amp;$C$7,BD!$A$3:$A$5001,"&lt;="&amp;$B227,BD!$N$3:$N$5001,"&lt;&gt;"))))</f>
        <v/>
      </c>
      <c r="Q227" s="43" t="str">
        <f>IF(OR($B227="",$A227&gt;$B$9,Q$219=""),"",IF(COUNTIFS(BD!$B$3:$B$5001,Q$219,BD!$A$3:$A$5001,"&gt;="&amp;$C$7,BD!$A$3:$A$5001,"&lt;="&amp;$B227,BD!$N$3:$N$5001,"&lt;&gt;")=0,"",SUMIFS(BD!$N$3:$N$5001,BD!$B$3:$B$5001,Q$219,BD!$A$3:$A$5001,_xlfn.MAXIFS(BD!$A$3:$A$5001,BD!$B$3:$B$5001,Q$219,BD!$A$3:$A$5001,"&gt;="&amp;$C$7,BD!$A$3:$A$5001,"&lt;="&amp;$B227,BD!$N$3:$N$5001,"&lt;&gt;"))))</f>
        <v/>
      </c>
      <c r="R227" s="43" t="str">
        <f>IF(OR($B227="",$A227&gt;$B$9,R$219=""),"",IF(COUNTIFS(BD!$B$3:$B$5001,R$219,BD!$A$3:$A$5001,"&gt;="&amp;$C$7,BD!$A$3:$A$5001,"&lt;="&amp;$B227,BD!$N$3:$N$5001,"&lt;&gt;")=0,"",SUMIFS(BD!$N$3:$N$5001,BD!$B$3:$B$5001,R$219,BD!$A$3:$A$5001,_xlfn.MAXIFS(BD!$A$3:$A$5001,BD!$B$3:$B$5001,R$219,BD!$A$3:$A$5001,"&gt;="&amp;$C$7,BD!$A$3:$A$5001,"&lt;="&amp;$B227,BD!$N$3:$N$5001,"&lt;&gt;"))))</f>
        <v/>
      </c>
      <c r="S227" s="43" t="str">
        <f>IF(OR($B227="",$A227&gt;$B$9,S$219=""),"",IF(COUNTIFS(BD!$B$3:$B$5001,S$219,BD!$A$3:$A$5001,"&gt;="&amp;$C$7,BD!$A$3:$A$5001,"&lt;="&amp;$B227,BD!$N$3:$N$5001,"&lt;&gt;")=0,"",SUMIFS(BD!$N$3:$N$5001,BD!$B$3:$B$5001,S$219,BD!$A$3:$A$5001,_xlfn.MAXIFS(BD!$A$3:$A$5001,BD!$B$3:$B$5001,S$219,BD!$A$3:$A$5001,"&gt;="&amp;$C$7,BD!$A$3:$A$5001,"&lt;="&amp;$B227,BD!$N$3:$N$5001,"&lt;&gt;"))))</f>
        <v/>
      </c>
      <c r="T227" s="43" t="str">
        <f>IF(OR($B227="",$A227&gt;$B$9,T$219=""),"",IF(COUNTIFS(BD!$B$3:$B$5001,T$219,BD!$A$3:$A$5001,"&gt;="&amp;$C$7,BD!$A$3:$A$5001,"&lt;="&amp;$B227,BD!$N$3:$N$5001,"&lt;&gt;")=0,"",SUMIFS(BD!$N$3:$N$5001,BD!$B$3:$B$5001,T$219,BD!$A$3:$A$5001,_xlfn.MAXIFS(BD!$A$3:$A$5001,BD!$B$3:$B$5001,T$219,BD!$A$3:$A$5001,"&gt;="&amp;$C$7,BD!$A$3:$A$5001,"&lt;="&amp;$B227,BD!$N$3:$N$5001,"&lt;&gt;"))))</f>
        <v/>
      </c>
      <c r="U227" s="43" t="str">
        <f>IF(OR($B227="",$A227&gt;$B$9,U$219=""),"",IF(COUNTIFS(BD!$B$3:$B$5001,U$219,BD!$A$3:$A$5001,"&gt;="&amp;$C$7,BD!$A$3:$A$5001,"&lt;="&amp;$B227,BD!$N$3:$N$5001,"&lt;&gt;")=0,"",SUMIFS(BD!$N$3:$N$5001,BD!$B$3:$B$5001,U$219,BD!$A$3:$A$5001,_xlfn.MAXIFS(BD!$A$3:$A$5001,BD!$B$3:$B$5001,U$219,BD!$A$3:$A$5001,"&gt;="&amp;$C$7,BD!$A$3:$A$5001,"&lt;="&amp;$B227,BD!$N$3:$N$5001,"&lt;&gt;"))))</f>
        <v/>
      </c>
      <c r="V227" s="43" t="str">
        <f>IF(OR($B227="",$A227&gt;$B$9,V$219=""),"",IF(COUNTIFS(BD!$B$3:$B$5001,V$219,BD!$A$3:$A$5001,"&gt;="&amp;$C$7,BD!$A$3:$A$5001,"&lt;="&amp;$B227,BD!$N$3:$N$5001,"&lt;&gt;")=0,"",SUMIFS(BD!$N$3:$N$5001,BD!$B$3:$B$5001,V$219,BD!$A$3:$A$5001,_xlfn.MAXIFS(BD!$A$3:$A$5001,BD!$B$3:$B$5001,V$219,BD!$A$3:$A$5001,"&gt;="&amp;$C$7,BD!$A$3:$A$5001,"&lt;="&amp;$B227,BD!$N$3:$N$5001,"&lt;&gt;"))))</f>
        <v/>
      </c>
    </row>
    <row r="228">
      <c r="A228" s="38">
        <v>9</v>
      </c>
      <c r="B228" s="42">
        <f>$B$20</f>
        <v>46304</v>
      </c>
      <c r="C228" s="43" t="str">
        <f>IF(OR($B228="",$A228&gt;$B$9,C$219=""),"",IF(COUNTIFS(BD!$B$3:$B$5001,C$219,BD!$A$3:$A$5001,"&gt;="&amp;$C$7,BD!$A$3:$A$5001,"&lt;="&amp;$B228,BD!$N$3:$N$5001,"&lt;&gt;")=0,"",SUMIFS(BD!$N$3:$N$5001,BD!$B$3:$B$5001,C$219,BD!$A$3:$A$5001,_xlfn.MAXIFS(BD!$A$3:$A$5001,BD!$B$3:$B$5001,C$219,BD!$A$3:$A$5001,"&gt;="&amp;$C$7,BD!$A$3:$A$5001,"&lt;="&amp;$B228,BD!$N$3:$N$5001,"&lt;&gt;"))))</f>
        <v/>
      </c>
      <c r="D228" s="43" t="str">
        <f>IF(OR($B228="",$A228&gt;$B$9,D$219=""),"",IF(COUNTIFS(BD!$B$3:$B$5001,D$219,BD!$A$3:$A$5001,"&gt;="&amp;$C$7,BD!$A$3:$A$5001,"&lt;="&amp;$B228,BD!$N$3:$N$5001,"&lt;&gt;")=0,"",SUMIFS(BD!$N$3:$N$5001,BD!$B$3:$B$5001,D$219,BD!$A$3:$A$5001,_xlfn.MAXIFS(BD!$A$3:$A$5001,BD!$B$3:$B$5001,D$219,BD!$A$3:$A$5001,"&gt;="&amp;$C$7,BD!$A$3:$A$5001,"&lt;="&amp;$B228,BD!$N$3:$N$5001,"&lt;&gt;"))))</f>
        <v/>
      </c>
      <c r="E228" s="43" t="str">
        <f>IF(OR($B228="",$A228&gt;$B$9,E$219=""),"",IF(COUNTIFS(BD!$B$3:$B$5001,E$219,BD!$A$3:$A$5001,"&gt;="&amp;$C$7,BD!$A$3:$A$5001,"&lt;="&amp;$B228,BD!$N$3:$N$5001,"&lt;&gt;")=0,"",SUMIFS(BD!$N$3:$N$5001,BD!$B$3:$B$5001,E$219,BD!$A$3:$A$5001,_xlfn.MAXIFS(BD!$A$3:$A$5001,BD!$B$3:$B$5001,E$219,BD!$A$3:$A$5001,"&gt;="&amp;$C$7,BD!$A$3:$A$5001,"&lt;="&amp;$B228,BD!$N$3:$N$5001,"&lt;&gt;"))))</f>
        <v/>
      </c>
      <c r="F228" s="43" t="str">
        <f>IF(OR($B228="",$A228&gt;$B$9,F$219=""),"",IF(COUNTIFS(BD!$B$3:$B$5001,F$219,BD!$A$3:$A$5001,"&gt;="&amp;$C$7,BD!$A$3:$A$5001,"&lt;="&amp;$B228,BD!$N$3:$N$5001,"&lt;&gt;")=0,"",SUMIFS(BD!$N$3:$N$5001,BD!$B$3:$B$5001,F$219,BD!$A$3:$A$5001,_xlfn.MAXIFS(BD!$A$3:$A$5001,BD!$B$3:$B$5001,F$219,BD!$A$3:$A$5001,"&gt;="&amp;$C$7,BD!$A$3:$A$5001,"&lt;="&amp;$B228,BD!$N$3:$N$5001,"&lt;&gt;"))))</f>
        <v/>
      </c>
      <c r="G228" s="43" t="str">
        <f>IF(OR($B228="",$A228&gt;$B$9,G$219=""),"",IF(COUNTIFS(BD!$B$3:$B$5001,G$219,BD!$A$3:$A$5001,"&gt;="&amp;$C$7,BD!$A$3:$A$5001,"&lt;="&amp;$B228,BD!$N$3:$N$5001,"&lt;&gt;")=0,"",SUMIFS(BD!$N$3:$N$5001,BD!$B$3:$B$5001,G$219,BD!$A$3:$A$5001,_xlfn.MAXIFS(BD!$A$3:$A$5001,BD!$B$3:$B$5001,G$219,BD!$A$3:$A$5001,"&gt;="&amp;$C$7,BD!$A$3:$A$5001,"&lt;="&amp;$B228,BD!$N$3:$N$5001,"&lt;&gt;"))))</f>
        <v/>
      </c>
      <c r="H228" s="43" t="str">
        <f>IF(OR($B228="",$A228&gt;$B$9,H$219=""),"",IF(COUNTIFS(BD!$B$3:$B$5001,H$219,BD!$A$3:$A$5001,"&gt;="&amp;$C$7,BD!$A$3:$A$5001,"&lt;="&amp;$B228,BD!$N$3:$N$5001,"&lt;&gt;")=0,"",SUMIFS(BD!$N$3:$N$5001,BD!$B$3:$B$5001,H$219,BD!$A$3:$A$5001,_xlfn.MAXIFS(BD!$A$3:$A$5001,BD!$B$3:$B$5001,H$219,BD!$A$3:$A$5001,"&gt;="&amp;$C$7,BD!$A$3:$A$5001,"&lt;="&amp;$B228,BD!$N$3:$N$5001,"&lt;&gt;"))))</f>
        <v/>
      </c>
      <c r="I228" s="43" t="str">
        <f>IF(OR($B228="",$A228&gt;$B$9,I$219=""),"",IF(COUNTIFS(BD!$B$3:$B$5001,I$219,BD!$A$3:$A$5001,"&gt;="&amp;$C$7,BD!$A$3:$A$5001,"&lt;="&amp;$B228,BD!$N$3:$N$5001,"&lt;&gt;")=0,"",SUMIFS(BD!$N$3:$N$5001,BD!$B$3:$B$5001,I$219,BD!$A$3:$A$5001,_xlfn.MAXIFS(BD!$A$3:$A$5001,BD!$B$3:$B$5001,I$219,BD!$A$3:$A$5001,"&gt;="&amp;$C$7,BD!$A$3:$A$5001,"&lt;="&amp;$B228,BD!$N$3:$N$5001,"&lt;&gt;"))))</f>
        <v/>
      </c>
      <c r="J228" s="43" t="str">
        <f>IF(OR($B228="",$A228&gt;$B$9,J$219=""),"",IF(COUNTIFS(BD!$B$3:$B$5001,J$219,BD!$A$3:$A$5001,"&gt;="&amp;$C$7,BD!$A$3:$A$5001,"&lt;="&amp;$B228,BD!$N$3:$N$5001,"&lt;&gt;")=0,"",SUMIFS(BD!$N$3:$N$5001,BD!$B$3:$B$5001,J$219,BD!$A$3:$A$5001,_xlfn.MAXIFS(BD!$A$3:$A$5001,BD!$B$3:$B$5001,J$219,BD!$A$3:$A$5001,"&gt;="&amp;$C$7,BD!$A$3:$A$5001,"&lt;="&amp;$B228,BD!$N$3:$N$5001,"&lt;&gt;"))))</f>
        <v/>
      </c>
      <c r="K228" s="43" t="str">
        <f>IF(OR($B228="",$A228&gt;$B$9,K$219=""),"",IF(COUNTIFS(BD!$B$3:$B$5001,K$219,BD!$A$3:$A$5001,"&gt;="&amp;$C$7,BD!$A$3:$A$5001,"&lt;="&amp;$B228,BD!$N$3:$N$5001,"&lt;&gt;")=0,"",SUMIFS(BD!$N$3:$N$5001,BD!$B$3:$B$5001,K$219,BD!$A$3:$A$5001,_xlfn.MAXIFS(BD!$A$3:$A$5001,BD!$B$3:$B$5001,K$219,BD!$A$3:$A$5001,"&gt;="&amp;$C$7,BD!$A$3:$A$5001,"&lt;="&amp;$B228,BD!$N$3:$N$5001,"&lt;&gt;"))))</f>
        <v/>
      </c>
      <c r="L228" s="43" t="str">
        <f>IF(OR($B228="",$A228&gt;$B$9,L$219=""),"",IF(COUNTIFS(BD!$B$3:$B$5001,L$219,BD!$A$3:$A$5001,"&gt;="&amp;$C$7,BD!$A$3:$A$5001,"&lt;="&amp;$B228,BD!$N$3:$N$5001,"&lt;&gt;")=0,"",SUMIFS(BD!$N$3:$N$5001,BD!$B$3:$B$5001,L$219,BD!$A$3:$A$5001,_xlfn.MAXIFS(BD!$A$3:$A$5001,BD!$B$3:$B$5001,L$219,BD!$A$3:$A$5001,"&gt;="&amp;$C$7,BD!$A$3:$A$5001,"&lt;="&amp;$B228,BD!$N$3:$N$5001,"&lt;&gt;"))))</f>
        <v/>
      </c>
      <c r="M228" s="43" t="str">
        <f>IF(OR($B228="",$A228&gt;$B$9,M$219=""),"",IF(COUNTIFS(BD!$B$3:$B$5001,M$219,BD!$A$3:$A$5001,"&gt;="&amp;$C$7,BD!$A$3:$A$5001,"&lt;="&amp;$B228,BD!$N$3:$N$5001,"&lt;&gt;")=0,"",SUMIFS(BD!$N$3:$N$5001,BD!$B$3:$B$5001,M$219,BD!$A$3:$A$5001,_xlfn.MAXIFS(BD!$A$3:$A$5001,BD!$B$3:$B$5001,M$219,BD!$A$3:$A$5001,"&gt;="&amp;$C$7,BD!$A$3:$A$5001,"&lt;="&amp;$B228,BD!$N$3:$N$5001,"&lt;&gt;"))))</f>
        <v/>
      </c>
      <c r="N228" s="43" t="str">
        <f>IF(OR($B228="",$A228&gt;$B$9,N$219=""),"",IF(COUNTIFS(BD!$B$3:$B$5001,N$219,BD!$A$3:$A$5001,"&gt;="&amp;$C$7,BD!$A$3:$A$5001,"&lt;="&amp;$B228,BD!$N$3:$N$5001,"&lt;&gt;")=0,"",SUMIFS(BD!$N$3:$N$5001,BD!$B$3:$B$5001,N$219,BD!$A$3:$A$5001,_xlfn.MAXIFS(BD!$A$3:$A$5001,BD!$B$3:$B$5001,N$219,BD!$A$3:$A$5001,"&gt;="&amp;$C$7,BD!$A$3:$A$5001,"&lt;="&amp;$B228,BD!$N$3:$N$5001,"&lt;&gt;"))))</f>
        <v/>
      </c>
      <c r="O228" s="43" t="str">
        <f>IF(OR($B228="",$A228&gt;$B$9,O$219=""),"",IF(COUNTIFS(BD!$B$3:$B$5001,O$219,BD!$A$3:$A$5001,"&gt;="&amp;$C$7,BD!$A$3:$A$5001,"&lt;="&amp;$B228,BD!$N$3:$N$5001,"&lt;&gt;")=0,"",SUMIFS(BD!$N$3:$N$5001,BD!$B$3:$B$5001,O$219,BD!$A$3:$A$5001,_xlfn.MAXIFS(BD!$A$3:$A$5001,BD!$B$3:$B$5001,O$219,BD!$A$3:$A$5001,"&gt;="&amp;$C$7,BD!$A$3:$A$5001,"&lt;="&amp;$B228,BD!$N$3:$N$5001,"&lt;&gt;"))))</f>
        <v/>
      </c>
      <c r="P228" s="43" t="str">
        <f>IF(OR($B228="",$A228&gt;$B$9,P$219=""),"",IF(COUNTIFS(BD!$B$3:$B$5001,P$219,BD!$A$3:$A$5001,"&gt;="&amp;$C$7,BD!$A$3:$A$5001,"&lt;="&amp;$B228,BD!$N$3:$N$5001,"&lt;&gt;")=0,"",SUMIFS(BD!$N$3:$N$5001,BD!$B$3:$B$5001,P$219,BD!$A$3:$A$5001,_xlfn.MAXIFS(BD!$A$3:$A$5001,BD!$B$3:$B$5001,P$219,BD!$A$3:$A$5001,"&gt;="&amp;$C$7,BD!$A$3:$A$5001,"&lt;="&amp;$B228,BD!$N$3:$N$5001,"&lt;&gt;"))))</f>
        <v/>
      </c>
      <c r="Q228" s="43" t="str">
        <f>IF(OR($B228="",$A228&gt;$B$9,Q$219=""),"",IF(COUNTIFS(BD!$B$3:$B$5001,Q$219,BD!$A$3:$A$5001,"&gt;="&amp;$C$7,BD!$A$3:$A$5001,"&lt;="&amp;$B228,BD!$N$3:$N$5001,"&lt;&gt;")=0,"",SUMIFS(BD!$N$3:$N$5001,BD!$B$3:$B$5001,Q$219,BD!$A$3:$A$5001,_xlfn.MAXIFS(BD!$A$3:$A$5001,BD!$B$3:$B$5001,Q$219,BD!$A$3:$A$5001,"&gt;="&amp;$C$7,BD!$A$3:$A$5001,"&lt;="&amp;$B228,BD!$N$3:$N$5001,"&lt;&gt;"))))</f>
        <v/>
      </c>
      <c r="R228" s="43" t="str">
        <f>IF(OR($B228="",$A228&gt;$B$9,R$219=""),"",IF(COUNTIFS(BD!$B$3:$B$5001,R$219,BD!$A$3:$A$5001,"&gt;="&amp;$C$7,BD!$A$3:$A$5001,"&lt;="&amp;$B228,BD!$N$3:$N$5001,"&lt;&gt;")=0,"",SUMIFS(BD!$N$3:$N$5001,BD!$B$3:$B$5001,R$219,BD!$A$3:$A$5001,_xlfn.MAXIFS(BD!$A$3:$A$5001,BD!$B$3:$B$5001,R$219,BD!$A$3:$A$5001,"&gt;="&amp;$C$7,BD!$A$3:$A$5001,"&lt;="&amp;$B228,BD!$N$3:$N$5001,"&lt;&gt;"))))</f>
        <v/>
      </c>
      <c r="S228" s="43" t="str">
        <f>IF(OR($B228="",$A228&gt;$B$9,S$219=""),"",IF(COUNTIFS(BD!$B$3:$B$5001,S$219,BD!$A$3:$A$5001,"&gt;="&amp;$C$7,BD!$A$3:$A$5001,"&lt;="&amp;$B228,BD!$N$3:$N$5001,"&lt;&gt;")=0,"",SUMIFS(BD!$N$3:$N$5001,BD!$B$3:$B$5001,S$219,BD!$A$3:$A$5001,_xlfn.MAXIFS(BD!$A$3:$A$5001,BD!$B$3:$B$5001,S$219,BD!$A$3:$A$5001,"&gt;="&amp;$C$7,BD!$A$3:$A$5001,"&lt;="&amp;$B228,BD!$N$3:$N$5001,"&lt;&gt;"))))</f>
        <v/>
      </c>
      <c r="T228" s="43" t="str">
        <f>IF(OR($B228="",$A228&gt;$B$9,T$219=""),"",IF(COUNTIFS(BD!$B$3:$B$5001,T$219,BD!$A$3:$A$5001,"&gt;="&amp;$C$7,BD!$A$3:$A$5001,"&lt;="&amp;$B228,BD!$N$3:$N$5001,"&lt;&gt;")=0,"",SUMIFS(BD!$N$3:$N$5001,BD!$B$3:$B$5001,T$219,BD!$A$3:$A$5001,_xlfn.MAXIFS(BD!$A$3:$A$5001,BD!$B$3:$B$5001,T$219,BD!$A$3:$A$5001,"&gt;="&amp;$C$7,BD!$A$3:$A$5001,"&lt;="&amp;$B228,BD!$N$3:$N$5001,"&lt;&gt;"))))</f>
        <v/>
      </c>
      <c r="U228" s="43" t="str">
        <f>IF(OR($B228="",$A228&gt;$B$9,U$219=""),"",IF(COUNTIFS(BD!$B$3:$B$5001,U$219,BD!$A$3:$A$5001,"&gt;="&amp;$C$7,BD!$A$3:$A$5001,"&lt;="&amp;$B228,BD!$N$3:$N$5001,"&lt;&gt;")=0,"",SUMIFS(BD!$N$3:$N$5001,BD!$B$3:$B$5001,U$219,BD!$A$3:$A$5001,_xlfn.MAXIFS(BD!$A$3:$A$5001,BD!$B$3:$B$5001,U$219,BD!$A$3:$A$5001,"&gt;="&amp;$C$7,BD!$A$3:$A$5001,"&lt;="&amp;$B228,BD!$N$3:$N$5001,"&lt;&gt;"))))</f>
        <v/>
      </c>
      <c r="V228" s="43" t="str">
        <f>IF(OR($B228="",$A228&gt;$B$9,V$219=""),"",IF(COUNTIFS(BD!$B$3:$B$5001,V$219,BD!$A$3:$A$5001,"&gt;="&amp;$C$7,BD!$A$3:$A$5001,"&lt;="&amp;$B228,BD!$N$3:$N$5001,"&lt;&gt;")=0,"",SUMIFS(BD!$N$3:$N$5001,BD!$B$3:$B$5001,V$219,BD!$A$3:$A$5001,_xlfn.MAXIFS(BD!$A$3:$A$5001,BD!$B$3:$B$5001,V$219,BD!$A$3:$A$5001,"&gt;="&amp;$C$7,BD!$A$3:$A$5001,"&lt;="&amp;$B228,BD!$N$3:$N$5001,"&lt;&gt;"))))</f>
        <v/>
      </c>
    </row>
    <row r="229">
      <c r="A229" s="38">
        <v>10</v>
      </c>
      <c r="B229" s="42">
        <f>$B$21</f>
        <v>46305</v>
      </c>
      <c r="C229" s="43" t="str">
        <f>IF(OR($B229="",$A229&gt;$B$9,C$219=""),"",IF(COUNTIFS(BD!$B$3:$B$5001,C$219,BD!$A$3:$A$5001,"&gt;="&amp;$C$7,BD!$A$3:$A$5001,"&lt;="&amp;$B229,BD!$N$3:$N$5001,"&lt;&gt;")=0,"",SUMIFS(BD!$N$3:$N$5001,BD!$B$3:$B$5001,C$219,BD!$A$3:$A$5001,_xlfn.MAXIFS(BD!$A$3:$A$5001,BD!$B$3:$B$5001,C$219,BD!$A$3:$A$5001,"&gt;="&amp;$C$7,BD!$A$3:$A$5001,"&lt;="&amp;$B229,BD!$N$3:$N$5001,"&lt;&gt;"))))</f>
        <v/>
      </c>
      <c r="D229" s="43" t="str">
        <f>IF(OR($B229="",$A229&gt;$B$9,D$219=""),"",IF(COUNTIFS(BD!$B$3:$B$5001,D$219,BD!$A$3:$A$5001,"&gt;="&amp;$C$7,BD!$A$3:$A$5001,"&lt;="&amp;$B229,BD!$N$3:$N$5001,"&lt;&gt;")=0,"",SUMIFS(BD!$N$3:$N$5001,BD!$B$3:$B$5001,D$219,BD!$A$3:$A$5001,_xlfn.MAXIFS(BD!$A$3:$A$5001,BD!$B$3:$B$5001,D$219,BD!$A$3:$A$5001,"&gt;="&amp;$C$7,BD!$A$3:$A$5001,"&lt;="&amp;$B229,BD!$N$3:$N$5001,"&lt;&gt;"))))</f>
        <v/>
      </c>
      <c r="E229" s="43" t="str">
        <f>IF(OR($B229="",$A229&gt;$B$9,E$219=""),"",IF(COUNTIFS(BD!$B$3:$B$5001,E$219,BD!$A$3:$A$5001,"&gt;="&amp;$C$7,BD!$A$3:$A$5001,"&lt;="&amp;$B229,BD!$N$3:$N$5001,"&lt;&gt;")=0,"",SUMIFS(BD!$N$3:$N$5001,BD!$B$3:$B$5001,E$219,BD!$A$3:$A$5001,_xlfn.MAXIFS(BD!$A$3:$A$5001,BD!$B$3:$B$5001,E$219,BD!$A$3:$A$5001,"&gt;="&amp;$C$7,BD!$A$3:$A$5001,"&lt;="&amp;$B229,BD!$N$3:$N$5001,"&lt;&gt;"))))</f>
        <v/>
      </c>
      <c r="F229" s="43" t="str">
        <f>IF(OR($B229="",$A229&gt;$B$9,F$219=""),"",IF(COUNTIFS(BD!$B$3:$B$5001,F$219,BD!$A$3:$A$5001,"&gt;="&amp;$C$7,BD!$A$3:$A$5001,"&lt;="&amp;$B229,BD!$N$3:$N$5001,"&lt;&gt;")=0,"",SUMIFS(BD!$N$3:$N$5001,BD!$B$3:$B$5001,F$219,BD!$A$3:$A$5001,_xlfn.MAXIFS(BD!$A$3:$A$5001,BD!$B$3:$B$5001,F$219,BD!$A$3:$A$5001,"&gt;="&amp;$C$7,BD!$A$3:$A$5001,"&lt;="&amp;$B229,BD!$N$3:$N$5001,"&lt;&gt;"))))</f>
        <v/>
      </c>
      <c r="G229" s="43" t="str">
        <f>IF(OR($B229="",$A229&gt;$B$9,G$219=""),"",IF(COUNTIFS(BD!$B$3:$B$5001,G$219,BD!$A$3:$A$5001,"&gt;="&amp;$C$7,BD!$A$3:$A$5001,"&lt;="&amp;$B229,BD!$N$3:$N$5001,"&lt;&gt;")=0,"",SUMIFS(BD!$N$3:$N$5001,BD!$B$3:$B$5001,G$219,BD!$A$3:$A$5001,_xlfn.MAXIFS(BD!$A$3:$A$5001,BD!$B$3:$B$5001,G$219,BD!$A$3:$A$5001,"&gt;="&amp;$C$7,BD!$A$3:$A$5001,"&lt;="&amp;$B229,BD!$N$3:$N$5001,"&lt;&gt;"))))</f>
        <v/>
      </c>
      <c r="H229" s="43" t="str">
        <f>IF(OR($B229="",$A229&gt;$B$9,H$219=""),"",IF(COUNTIFS(BD!$B$3:$B$5001,H$219,BD!$A$3:$A$5001,"&gt;="&amp;$C$7,BD!$A$3:$A$5001,"&lt;="&amp;$B229,BD!$N$3:$N$5001,"&lt;&gt;")=0,"",SUMIFS(BD!$N$3:$N$5001,BD!$B$3:$B$5001,H$219,BD!$A$3:$A$5001,_xlfn.MAXIFS(BD!$A$3:$A$5001,BD!$B$3:$B$5001,H$219,BD!$A$3:$A$5001,"&gt;="&amp;$C$7,BD!$A$3:$A$5001,"&lt;="&amp;$B229,BD!$N$3:$N$5001,"&lt;&gt;"))))</f>
        <v/>
      </c>
      <c r="I229" s="43" t="str">
        <f>IF(OR($B229="",$A229&gt;$B$9,I$219=""),"",IF(COUNTIFS(BD!$B$3:$B$5001,I$219,BD!$A$3:$A$5001,"&gt;="&amp;$C$7,BD!$A$3:$A$5001,"&lt;="&amp;$B229,BD!$N$3:$N$5001,"&lt;&gt;")=0,"",SUMIFS(BD!$N$3:$N$5001,BD!$B$3:$B$5001,I$219,BD!$A$3:$A$5001,_xlfn.MAXIFS(BD!$A$3:$A$5001,BD!$B$3:$B$5001,I$219,BD!$A$3:$A$5001,"&gt;="&amp;$C$7,BD!$A$3:$A$5001,"&lt;="&amp;$B229,BD!$N$3:$N$5001,"&lt;&gt;"))))</f>
        <v/>
      </c>
      <c r="J229" s="43" t="str">
        <f>IF(OR($B229="",$A229&gt;$B$9,J$219=""),"",IF(COUNTIFS(BD!$B$3:$B$5001,J$219,BD!$A$3:$A$5001,"&gt;="&amp;$C$7,BD!$A$3:$A$5001,"&lt;="&amp;$B229,BD!$N$3:$N$5001,"&lt;&gt;")=0,"",SUMIFS(BD!$N$3:$N$5001,BD!$B$3:$B$5001,J$219,BD!$A$3:$A$5001,_xlfn.MAXIFS(BD!$A$3:$A$5001,BD!$B$3:$B$5001,J$219,BD!$A$3:$A$5001,"&gt;="&amp;$C$7,BD!$A$3:$A$5001,"&lt;="&amp;$B229,BD!$N$3:$N$5001,"&lt;&gt;"))))</f>
        <v/>
      </c>
      <c r="K229" s="43" t="str">
        <f>IF(OR($B229="",$A229&gt;$B$9,K$219=""),"",IF(COUNTIFS(BD!$B$3:$B$5001,K$219,BD!$A$3:$A$5001,"&gt;="&amp;$C$7,BD!$A$3:$A$5001,"&lt;="&amp;$B229,BD!$N$3:$N$5001,"&lt;&gt;")=0,"",SUMIFS(BD!$N$3:$N$5001,BD!$B$3:$B$5001,K$219,BD!$A$3:$A$5001,_xlfn.MAXIFS(BD!$A$3:$A$5001,BD!$B$3:$B$5001,K$219,BD!$A$3:$A$5001,"&gt;="&amp;$C$7,BD!$A$3:$A$5001,"&lt;="&amp;$B229,BD!$N$3:$N$5001,"&lt;&gt;"))))</f>
        <v/>
      </c>
      <c r="L229" s="43" t="str">
        <f>IF(OR($B229="",$A229&gt;$B$9,L$219=""),"",IF(COUNTIFS(BD!$B$3:$B$5001,L$219,BD!$A$3:$A$5001,"&gt;="&amp;$C$7,BD!$A$3:$A$5001,"&lt;="&amp;$B229,BD!$N$3:$N$5001,"&lt;&gt;")=0,"",SUMIFS(BD!$N$3:$N$5001,BD!$B$3:$B$5001,L$219,BD!$A$3:$A$5001,_xlfn.MAXIFS(BD!$A$3:$A$5001,BD!$B$3:$B$5001,L$219,BD!$A$3:$A$5001,"&gt;="&amp;$C$7,BD!$A$3:$A$5001,"&lt;="&amp;$B229,BD!$N$3:$N$5001,"&lt;&gt;"))))</f>
        <v/>
      </c>
      <c r="M229" s="43" t="str">
        <f>IF(OR($B229="",$A229&gt;$B$9,M$219=""),"",IF(COUNTIFS(BD!$B$3:$B$5001,M$219,BD!$A$3:$A$5001,"&gt;="&amp;$C$7,BD!$A$3:$A$5001,"&lt;="&amp;$B229,BD!$N$3:$N$5001,"&lt;&gt;")=0,"",SUMIFS(BD!$N$3:$N$5001,BD!$B$3:$B$5001,M$219,BD!$A$3:$A$5001,_xlfn.MAXIFS(BD!$A$3:$A$5001,BD!$B$3:$B$5001,M$219,BD!$A$3:$A$5001,"&gt;="&amp;$C$7,BD!$A$3:$A$5001,"&lt;="&amp;$B229,BD!$N$3:$N$5001,"&lt;&gt;"))))</f>
        <v/>
      </c>
      <c r="N229" s="43" t="str">
        <f>IF(OR($B229="",$A229&gt;$B$9,N$219=""),"",IF(COUNTIFS(BD!$B$3:$B$5001,N$219,BD!$A$3:$A$5001,"&gt;="&amp;$C$7,BD!$A$3:$A$5001,"&lt;="&amp;$B229,BD!$N$3:$N$5001,"&lt;&gt;")=0,"",SUMIFS(BD!$N$3:$N$5001,BD!$B$3:$B$5001,N$219,BD!$A$3:$A$5001,_xlfn.MAXIFS(BD!$A$3:$A$5001,BD!$B$3:$B$5001,N$219,BD!$A$3:$A$5001,"&gt;="&amp;$C$7,BD!$A$3:$A$5001,"&lt;="&amp;$B229,BD!$N$3:$N$5001,"&lt;&gt;"))))</f>
        <v/>
      </c>
      <c r="O229" s="43" t="str">
        <f>IF(OR($B229="",$A229&gt;$B$9,O$219=""),"",IF(COUNTIFS(BD!$B$3:$B$5001,O$219,BD!$A$3:$A$5001,"&gt;="&amp;$C$7,BD!$A$3:$A$5001,"&lt;="&amp;$B229,BD!$N$3:$N$5001,"&lt;&gt;")=0,"",SUMIFS(BD!$N$3:$N$5001,BD!$B$3:$B$5001,O$219,BD!$A$3:$A$5001,_xlfn.MAXIFS(BD!$A$3:$A$5001,BD!$B$3:$B$5001,O$219,BD!$A$3:$A$5001,"&gt;="&amp;$C$7,BD!$A$3:$A$5001,"&lt;="&amp;$B229,BD!$N$3:$N$5001,"&lt;&gt;"))))</f>
        <v/>
      </c>
      <c r="P229" s="43" t="str">
        <f>IF(OR($B229="",$A229&gt;$B$9,P$219=""),"",IF(COUNTIFS(BD!$B$3:$B$5001,P$219,BD!$A$3:$A$5001,"&gt;="&amp;$C$7,BD!$A$3:$A$5001,"&lt;="&amp;$B229,BD!$N$3:$N$5001,"&lt;&gt;")=0,"",SUMIFS(BD!$N$3:$N$5001,BD!$B$3:$B$5001,P$219,BD!$A$3:$A$5001,_xlfn.MAXIFS(BD!$A$3:$A$5001,BD!$B$3:$B$5001,P$219,BD!$A$3:$A$5001,"&gt;="&amp;$C$7,BD!$A$3:$A$5001,"&lt;="&amp;$B229,BD!$N$3:$N$5001,"&lt;&gt;"))))</f>
        <v/>
      </c>
      <c r="Q229" s="43" t="str">
        <f>IF(OR($B229="",$A229&gt;$B$9,Q$219=""),"",IF(COUNTIFS(BD!$B$3:$B$5001,Q$219,BD!$A$3:$A$5001,"&gt;="&amp;$C$7,BD!$A$3:$A$5001,"&lt;="&amp;$B229,BD!$N$3:$N$5001,"&lt;&gt;")=0,"",SUMIFS(BD!$N$3:$N$5001,BD!$B$3:$B$5001,Q$219,BD!$A$3:$A$5001,_xlfn.MAXIFS(BD!$A$3:$A$5001,BD!$B$3:$B$5001,Q$219,BD!$A$3:$A$5001,"&gt;="&amp;$C$7,BD!$A$3:$A$5001,"&lt;="&amp;$B229,BD!$N$3:$N$5001,"&lt;&gt;"))))</f>
        <v/>
      </c>
      <c r="R229" s="43" t="str">
        <f>IF(OR($B229="",$A229&gt;$B$9,R$219=""),"",IF(COUNTIFS(BD!$B$3:$B$5001,R$219,BD!$A$3:$A$5001,"&gt;="&amp;$C$7,BD!$A$3:$A$5001,"&lt;="&amp;$B229,BD!$N$3:$N$5001,"&lt;&gt;")=0,"",SUMIFS(BD!$N$3:$N$5001,BD!$B$3:$B$5001,R$219,BD!$A$3:$A$5001,_xlfn.MAXIFS(BD!$A$3:$A$5001,BD!$B$3:$B$5001,R$219,BD!$A$3:$A$5001,"&gt;="&amp;$C$7,BD!$A$3:$A$5001,"&lt;="&amp;$B229,BD!$N$3:$N$5001,"&lt;&gt;"))))</f>
        <v/>
      </c>
      <c r="S229" s="43" t="str">
        <f>IF(OR($B229="",$A229&gt;$B$9,S$219=""),"",IF(COUNTIFS(BD!$B$3:$B$5001,S$219,BD!$A$3:$A$5001,"&gt;="&amp;$C$7,BD!$A$3:$A$5001,"&lt;="&amp;$B229,BD!$N$3:$N$5001,"&lt;&gt;")=0,"",SUMIFS(BD!$N$3:$N$5001,BD!$B$3:$B$5001,S$219,BD!$A$3:$A$5001,_xlfn.MAXIFS(BD!$A$3:$A$5001,BD!$B$3:$B$5001,S$219,BD!$A$3:$A$5001,"&gt;="&amp;$C$7,BD!$A$3:$A$5001,"&lt;="&amp;$B229,BD!$N$3:$N$5001,"&lt;&gt;"))))</f>
        <v/>
      </c>
      <c r="T229" s="43" t="str">
        <f>IF(OR($B229="",$A229&gt;$B$9,T$219=""),"",IF(COUNTIFS(BD!$B$3:$B$5001,T$219,BD!$A$3:$A$5001,"&gt;="&amp;$C$7,BD!$A$3:$A$5001,"&lt;="&amp;$B229,BD!$N$3:$N$5001,"&lt;&gt;")=0,"",SUMIFS(BD!$N$3:$N$5001,BD!$B$3:$B$5001,T$219,BD!$A$3:$A$5001,_xlfn.MAXIFS(BD!$A$3:$A$5001,BD!$B$3:$B$5001,T$219,BD!$A$3:$A$5001,"&gt;="&amp;$C$7,BD!$A$3:$A$5001,"&lt;="&amp;$B229,BD!$N$3:$N$5001,"&lt;&gt;"))))</f>
        <v/>
      </c>
      <c r="U229" s="43" t="str">
        <f>IF(OR($B229="",$A229&gt;$B$9,U$219=""),"",IF(COUNTIFS(BD!$B$3:$B$5001,U$219,BD!$A$3:$A$5001,"&gt;="&amp;$C$7,BD!$A$3:$A$5001,"&lt;="&amp;$B229,BD!$N$3:$N$5001,"&lt;&gt;")=0,"",SUMIFS(BD!$N$3:$N$5001,BD!$B$3:$B$5001,U$219,BD!$A$3:$A$5001,_xlfn.MAXIFS(BD!$A$3:$A$5001,BD!$B$3:$B$5001,U$219,BD!$A$3:$A$5001,"&gt;="&amp;$C$7,BD!$A$3:$A$5001,"&lt;="&amp;$B229,BD!$N$3:$N$5001,"&lt;&gt;"))))</f>
        <v/>
      </c>
      <c r="V229" s="43" t="str">
        <f>IF(OR($B229="",$A229&gt;$B$9,V$219=""),"",IF(COUNTIFS(BD!$B$3:$B$5001,V$219,BD!$A$3:$A$5001,"&gt;="&amp;$C$7,BD!$A$3:$A$5001,"&lt;="&amp;$B229,BD!$N$3:$N$5001,"&lt;&gt;")=0,"",SUMIFS(BD!$N$3:$N$5001,BD!$B$3:$B$5001,V$219,BD!$A$3:$A$5001,_xlfn.MAXIFS(BD!$A$3:$A$5001,BD!$B$3:$B$5001,V$219,BD!$A$3:$A$5001,"&gt;="&amp;$C$7,BD!$A$3:$A$5001,"&lt;="&amp;$B229,BD!$N$3:$N$5001,"&lt;&gt;"))))</f>
        <v/>
      </c>
    </row>
    <row r="230">
      <c r="A230" s="38">
        <v>11</v>
      </c>
      <c r="B230" s="42">
        <f>$B$22</f>
        <v>46306</v>
      </c>
      <c r="C230" s="43" t="str">
        <f>IF(OR($B230="",$A230&gt;$B$9,C$219=""),"",IF(COUNTIFS(BD!$B$3:$B$5001,C$219,BD!$A$3:$A$5001,"&gt;="&amp;$C$7,BD!$A$3:$A$5001,"&lt;="&amp;$B230,BD!$N$3:$N$5001,"&lt;&gt;")=0,"",SUMIFS(BD!$N$3:$N$5001,BD!$B$3:$B$5001,C$219,BD!$A$3:$A$5001,_xlfn.MAXIFS(BD!$A$3:$A$5001,BD!$B$3:$B$5001,C$219,BD!$A$3:$A$5001,"&gt;="&amp;$C$7,BD!$A$3:$A$5001,"&lt;="&amp;$B230,BD!$N$3:$N$5001,"&lt;&gt;"))))</f>
        <v/>
      </c>
      <c r="D230" s="43" t="str">
        <f>IF(OR($B230="",$A230&gt;$B$9,D$219=""),"",IF(COUNTIFS(BD!$B$3:$B$5001,D$219,BD!$A$3:$A$5001,"&gt;="&amp;$C$7,BD!$A$3:$A$5001,"&lt;="&amp;$B230,BD!$N$3:$N$5001,"&lt;&gt;")=0,"",SUMIFS(BD!$N$3:$N$5001,BD!$B$3:$B$5001,D$219,BD!$A$3:$A$5001,_xlfn.MAXIFS(BD!$A$3:$A$5001,BD!$B$3:$B$5001,D$219,BD!$A$3:$A$5001,"&gt;="&amp;$C$7,BD!$A$3:$A$5001,"&lt;="&amp;$B230,BD!$N$3:$N$5001,"&lt;&gt;"))))</f>
        <v/>
      </c>
      <c r="E230" s="43" t="str">
        <f>IF(OR($B230="",$A230&gt;$B$9,E$219=""),"",IF(COUNTIFS(BD!$B$3:$B$5001,E$219,BD!$A$3:$A$5001,"&gt;="&amp;$C$7,BD!$A$3:$A$5001,"&lt;="&amp;$B230,BD!$N$3:$N$5001,"&lt;&gt;")=0,"",SUMIFS(BD!$N$3:$N$5001,BD!$B$3:$B$5001,E$219,BD!$A$3:$A$5001,_xlfn.MAXIFS(BD!$A$3:$A$5001,BD!$B$3:$B$5001,E$219,BD!$A$3:$A$5001,"&gt;="&amp;$C$7,BD!$A$3:$A$5001,"&lt;="&amp;$B230,BD!$N$3:$N$5001,"&lt;&gt;"))))</f>
        <v/>
      </c>
      <c r="F230" s="43" t="str">
        <f>IF(OR($B230="",$A230&gt;$B$9,F$219=""),"",IF(COUNTIFS(BD!$B$3:$B$5001,F$219,BD!$A$3:$A$5001,"&gt;="&amp;$C$7,BD!$A$3:$A$5001,"&lt;="&amp;$B230,BD!$N$3:$N$5001,"&lt;&gt;")=0,"",SUMIFS(BD!$N$3:$N$5001,BD!$B$3:$B$5001,F$219,BD!$A$3:$A$5001,_xlfn.MAXIFS(BD!$A$3:$A$5001,BD!$B$3:$B$5001,F$219,BD!$A$3:$A$5001,"&gt;="&amp;$C$7,BD!$A$3:$A$5001,"&lt;="&amp;$B230,BD!$N$3:$N$5001,"&lt;&gt;"))))</f>
        <v/>
      </c>
      <c r="G230" s="43" t="str">
        <f>IF(OR($B230="",$A230&gt;$B$9,G$219=""),"",IF(COUNTIFS(BD!$B$3:$B$5001,G$219,BD!$A$3:$A$5001,"&gt;="&amp;$C$7,BD!$A$3:$A$5001,"&lt;="&amp;$B230,BD!$N$3:$N$5001,"&lt;&gt;")=0,"",SUMIFS(BD!$N$3:$N$5001,BD!$B$3:$B$5001,G$219,BD!$A$3:$A$5001,_xlfn.MAXIFS(BD!$A$3:$A$5001,BD!$B$3:$B$5001,G$219,BD!$A$3:$A$5001,"&gt;="&amp;$C$7,BD!$A$3:$A$5001,"&lt;="&amp;$B230,BD!$N$3:$N$5001,"&lt;&gt;"))))</f>
        <v/>
      </c>
      <c r="H230" s="43" t="str">
        <f>IF(OR($B230="",$A230&gt;$B$9,H$219=""),"",IF(COUNTIFS(BD!$B$3:$B$5001,H$219,BD!$A$3:$A$5001,"&gt;="&amp;$C$7,BD!$A$3:$A$5001,"&lt;="&amp;$B230,BD!$N$3:$N$5001,"&lt;&gt;")=0,"",SUMIFS(BD!$N$3:$N$5001,BD!$B$3:$B$5001,H$219,BD!$A$3:$A$5001,_xlfn.MAXIFS(BD!$A$3:$A$5001,BD!$B$3:$B$5001,H$219,BD!$A$3:$A$5001,"&gt;="&amp;$C$7,BD!$A$3:$A$5001,"&lt;="&amp;$B230,BD!$N$3:$N$5001,"&lt;&gt;"))))</f>
        <v/>
      </c>
      <c r="I230" s="43" t="str">
        <f>IF(OR($B230="",$A230&gt;$B$9,I$219=""),"",IF(COUNTIFS(BD!$B$3:$B$5001,I$219,BD!$A$3:$A$5001,"&gt;="&amp;$C$7,BD!$A$3:$A$5001,"&lt;="&amp;$B230,BD!$N$3:$N$5001,"&lt;&gt;")=0,"",SUMIFS(BD!$N$3:$N$5001,BD!$B$3:$B$5001,I$219,BD!$A$3:$A$5001,_xlfn.MAXIFS(BD!$A$3:$A$5001,BD!$B$3:$B$5001,I$219,BD!$A$3:$A$5001,"&gt;="&amp;$C$7,BD!$A$3:$A$5001,"&lt;="&amp;$B230,BD!$N$3:$N$5001,"&lt;&gt;"))))</f>
        <v/>
      </c>
      <c r="J230" s="43" t="str">
        <f>IF(OR($B230="",$A230&gt;$B$9,J$219=""),"",IF(COUNTIFS(BD!$B$3:$B$5001,J$219,BD!$A$3:$A$5001,"&gt;="&amp;$C$7,BD!$A$3:$A$5001,"&lt;="&amp;$B230,BD!$N$3:$N$5001,"&lt;&gt;")=0,"",SUMIFS(BD!$N$3:$N$5001,BD!$B$3:$B$5001,J$219,BD!$A$3:$A$5001,_xlfn.MAXIFS(BD!$A$3:$A$5001,BD!$B$3:$B$5001,J$219,BD!$A$3:$A$5001,"&gt;="&amp;$C$7,BD!$A$3:$A$5001,"&lt;="&amp;$B230,BD!$N$3:$N$5001,"&lt;&gt;"))))</f>
        <v/>
      </c>
      <c r="K230" s="43" t="str">
        <f>IF(OR($B230="",$A230&gt;$B$9,K$219=""),"",IF(COUNTIFS(BD!$B$3:$B$5001,K$219,BD!$A$3:$A$5001,"&gt;="&amp;$C$7,BD!$A$3:$A$5001,"&lt;="&amp;$B230,BD!$N$3:$N$5001,"&lt;&gt;")=0,"",SUMIFS(BD!$N$3:$N$5001,BD!$B$3:$B$5001,K$219,BD!$A$3:$A$5001,_xlfn.MAXIFS(BD!$A$3:$A$5001,BD!$B$3:$B$5001,K$219,BD!$A$3:$A$5001,"&gt;="&amp;$C$7,BD!$A$3:$A$5001,"&lt;="&amp;$B230,BD!$N$3:$N$5001,"&lt;&gt;"))))</f>
        <v/>
      </c>
      <c r="L230" s="43" t="str">
        <f>IF(OR($B230="",$A230&gt;$B$9,L$219=""),"",IF(COUNTIFS(BD!$B$3:$B$5001,L$219,BD!$A$3:$A$5001,"&gt;="&amp;$C$7,BD!$A$3:$A$5001,"&lt;="&amp;$B230,BD!$N$3:$N$5001,"&lt;&gt;")=0,"",SUMIFS(BD!$N$3:$N$5001,BD!$B$3:$B$5001,L$219,BD!$A$3:$A$5001,_xlfn.MAXIFS(BD!$A$3:$A$5001,BD!$B$3:$B$5001,L$219,BD!$A$3:$A$5001,"&gt;="&amp;$C$7,BD!$A$3:$A$5001,"&lt;="&amp;$B230,BD!$N$3:$N$5001,"&lt;&gt;"))))</f>
        <v/>
      </c>
      <c r="M230" s="43" t="str">
        <f>IF(OR($B230="",$A230&gt;$B$9,M$219=""),"",IF(COUNTIFS(BD!$B$3:$B$5001,M$219,BD!$A$3:$A$5001,"&gt;="&amp;$C$7,BD!$A$3:$A$5001,"&lt;="&amp;$B230,BD!$N$3:$N$5001,"&lt;&gt;")=0,"",SUMIFS(BD!$N$3:$N$5001,BD!$B$3:$B$5001,M$219,BD!$A$3:$A$5001,_xlfn.MAXIFS(BD!$A$3:$A$5001,BD!$B$3:$B$5001,M$219,BD!$A$3:$A$5001,"&gt;="&amp;$C$7,BD!$A$3:$A$5001,"&lt;="&amp;$B230,BD!$N$3:$N$5001,"&lt;&gt;"))))</f>
        <v/>
      </c>
      <c r="N230" s="43" t="str">
        <f>IF(OR($B230="",$A230&gt;$B$9,N$219=""),"",IF(COUNTIFS(BD!$B$3:$B$5001,N$219,BD!$A$3:$A$5001,"&gt;="&amp;$C$7,BD!$A$3:$A$5001,"&lt;="&amp;$B230,BD!$N$3:$N$5001,"&lt;&gt;")=0,"",SUMIFS(BD!$N$3:$N$5001,BD!$B$3:$B$5001,N$219,BD!$A$3:$A$5001,_xlfn.MAXIFS(BD!$A$3:$A$5001,BD!$B$3:$B$5001,N$219,BD!$A$3:$A$5001,"&gt;="&amp;$C$7,BD!$A$3:$A$5001,"&lt;="&amp;$B230,BD!$N$3:$N$5001,"&lt;&gt;"))))</f>
        <v/>
      </c>
      <c r="O230" s="43" t="str">
        <f>IF(OR($B230="",$A230&gt;$B$9,O$219=""),"",IF(COUNTIFS(BD!$B$3:$B$5001,O$219,BD!$A$3:$A$5001,"&gt;="&amp;$C$7,BD!$A$3:$A$5001,"&lt;="&amp;$B230,BD!$N$3:$N$5001,"&lt;&gt;")=0,"",SUMIFS(BD!$N$3:$N$5001,BD!$B$3:$B$5001,O$219,BD!$A$3:$A$5001,_xlfn.MAXIFS(BD!$A$3:$A$5001,BD!$B$3:$B$5001,O$219,BD!$A$3:$A$5001,"&gt;="&amp;$C$7,BD!$A$3:$A$5001,"&lt;="&amp;$B230,BD!$N$3:$N$5001,"&lt;&gt;"))))</f>
        <v/>
      </c>
      <c r="P230" s="43" t="str">
        <f>IF(OR($B230="",$A230&gt;$B$9,P$219=""),"",IF(COUNTIFS(BD!$B$3:$B$5001,P$219,BD!$A$3:$A$5001,"&gt;="&amp;$C$7,BD!$A$3:$A$5001,"&lt;="&amp;$B230,BD!$N$3:$N$5001,"&lt;&gt;")=0,"",SUMIFS(BD!$N$3:$N$5001,BD!$B$3:$B$5001,P$219,BD!$A$3:$A$5001,_xlfn.MAXIFS(BD!$A$3:$A$5001,BD!$B$3:$B$5001,P$219,BD!$A$3:$A$5001,"&gt;="&amp;$C$7,BD!$A$3:$A$5001,"&lt;="&amp;$B230,BD!$N$3:$N$5001,"&lt;&gt;"))))</f>
        <v/>
      </c>
      <c r="Q230" s="43" t="str">
        <f>IF(OR($B230="",$A230&gt;$B$9,Q$219=""),"",IF(COUNTIFS(BD!$B$3:$B$5001,Q$219,BD!$A$3:$A$5001,"&gt;="&amp;$C$7,BD!$A$3:$A$5001,"&lt;="&amp;$B230,BD!$N$3:$N$5001,"&lt;&gt;")=0,"",SUMIFS(BD!$N$3:$N$5001,BD!$B$3:$B$5001,Q$219,BD!$A$3:$A$5001,_xlfn.MAXIFS(BD!$A$3:$A$5001,BD!$B$3:$B$5001,Q$219,BD!$A$3:$A$5001,"&gt;="&amp;$C$7,BD!$A$3:$A$5001,"&lt;="&amp;$B230,BD!$N$3:$N$5001,"&lt;&gt;"))))</f>
        <v/>
      </c>
      <c r="R230" s="43" t="str">
        <f>IF(OR($B230="",$A230&gt;$B$9,R$219=""),"",IF(COUNTIFS(BD!$B$3:$B$5001,R$219,BD!$A$3:$A$5001,"&gt;="&amp;$C$7,BD!$A$3:$A$5001,"&lt;="&amp;$B230,BD!$N$3:$N$5001,"&lt;&gt;")=0,"",SUMIFS(BD!$N$3:$N$5001,BD!$B$3:$B$5001,R$219,BD!$A$3:$A$5001,_xlfn.MAXIFS(BD!$A$3:$A$5001,BD!$B$3:$B$5001,R$219,BD!$A$3:$A$5001,"&gt;="&amp;$C$7,BD!$A$3:$A$5001,"&lt;="&amp;$B230,BD!$N$3:$N$5001,"&lt;&gt;"))))</f>
        <v/>
      </c>
      <c r="S230" s="43" t="str">
        <f>IF(OR($B230="",$A230&gt;$B$9,S$219=""),"",IF(COUNTIFS(BD!$B$3:$B$5001,S$219,BD!$A$3:$A$5001,"&gt;="&amp;$C$7,BD!$A$3:$A$5001,"&lt;="&amp;$B230,BD!$N$3:$N$5001,"&lt;&gt;")=0,"",SUMIFS(BD!$N$3:$N$5001,BD!$B$3:$B$5001,S$219,BD!$A$3:$A$5001,_xlfn.MAXIFS(BD!$A$3:$A$5001,BD!$B$3:$B$5001,S$219,BD!$A$3:$A$5001,"&gt;="&amp;$C$7,BD!$A$3:$A$5001,"&lt;="&amp;$B230,BD!$N$3:$N$5001,"&lt;&gt;"))))</f>
        <v/>
      </c>
      <c r="T230" s="43" t="str">
        <f>IF(OR($B230="",$A230&gt;$B$9,T$219=""),"",IF(COUNTIFS(BD!$B$3:$B$5001,T$219,BD!$A$3:$A$5001,"&gt;="&amp;$C$7,BD!$A$3:$A$5001,"&lt;="&amp;$B230,BD!$N$3:$N$5001,"&lt;&gt;")=0,"",SUMIFS(BD!$N$3:$N$5001,BD!$B$3:$B$5001,T$219,BD!$A$3:$A$5001,_xlfn.MAXIFS(BD!$A$3:$A$5001,BD!$B$3:$B$5001,T$219,BD!$A$3:$A$5001,"&gt;="&amp;$C$7,BD!$A$3:$A$5001,"&lt;="&amp;$B230,BD!$N$3:$N$5001,"&lt;&gt;"))))</f>
        <v/>
      </c>
      <c r="U230" s="43" t="str">
        <f>IF(OR($B230="",$A230&gt;$B$9,U$219=""),"",IF(COUNTIFS(BD!$B$3:$B$5001,U$219,BD!$A$3:$A$5001,"&gt;="&amp;$C$7,BD!$A$3:$A$5001,"&lt;="&amp;$B230,BD!$N$3:$N$5001,"&lt;&gt;")=0,"",SUMIFS(BD!$N$3:$N$5001,BD!$B$3:$B$5001,U$219,BD!$A$3:$A$5001,_xlfn.MAXIFS(BD!$A$3:$A$5001,BD!$B$3:$B$5001,U$219,BD!$A$3:$A$5001,"&gt;="&amp;$C$7,BD!$A$3:$A$5001,"&lt;="&amp;$B230,BD!$N$3:$N$5001,"&lt;&gt;"))))</f>
        <v/>
      </c>
      <c r="V230" s="43" t="str">
        <f>IF(OR($B230="",$A230&gt;$B$9,V$219=""),"",IF(COUNTIFS(BD!$B$3:$B$5001,V$219,BD!$A$3:$A$5001,"&gt;="&amp;$C$7,BD!$A$3:$A$5001,"&lt;="&amp;$B230,BD!$N$3:$N$5001,"&lt;&gt;")=0,"",SUMIFS(BD!$N$3:$N$5001,BD!$B$3:$B$5001,V$219,BD!$A$3:$A$5001,_xlfn.MAXIFS(BD!$A$3:$A$5001,BD!$B$3:$B$5001,V$219,BD!$A$3:$A$5001,"&gt;="&amp;$C$7,BD!$A$3:$A$5001,"&lt;="&amp;$B230,BD!$N$3:$N$5001,"&lt;&gt;"))))</f>
        <v/>
      </c>
    </row>
    <row r="231">
      <c r="A231" s="38">
        <v>12</v>
      </c>
      <c r="B231" s="42">
        <f>$B$23</f>
        <v>46307</v>
      </c>
      <c r="C231" s="43" t="str">
        <f>IF(OR($B231="",$A231&gt;$B$9,C$219=""),"",IF(COUNTIFS(BD!$B$3:$B$5001,C$219,BD!$A$3:$A$5001,"&gt;="&amp;$C$7,BD!$A$3:$A$5001,"&lt;="&amp;$B231,BD!$N$3:$N$5001,"&lt;&gt;")=0,"",SUMIFS(BD!$N$3:$N$5001,BD!$B$3:$B$5001,C$219,BD!$A$3:$A$5001,_xlfn.MAXIFS(BD!$A$3:$A$5001,BD!$B$3:$B$5001,C$219,BD!$A$3:$A$5001,"&gt;="&amp;$C$7,BD!$A$3:$A$5001,"&lt;="&amp;$B231,BD!$N$3:$N$5001,"&lt;&gt;"))))</f>
        <v/>
      </c>
      <c r="D231" s="43" t="str">
        <f>IF(OR($B231="",$A231&gt;$B$9,D$219=""),"",IF(COUNTIFS(BD!$B$3:$B$5001,D$219,BD!$A$3:$A$5001,"&gt;="&amp;$C$7,BD!$A$3:$A$5001,"&lt;="&amp;$B231,BD!$N$3:$N$5001,"&lt;&gt;")=0,"",SUMIFS(BD!$N$3:$N$5001,BD!$B$3:$B$5001,D$219,BD!$A$3:$A$5001,_xlfn.MAXIFS(BD!$A$3:$A$5001,BD!$B$3:$B$5001,D$219,BD!$A$3:$A$5001,"&gt;="&amp;$C$7,BD!$A$3:$A$5001,"&lt;="&amp;$B231,BD!$N$3:$N$5001,"&lt;&gt;"))))</f>
        <v/>
      </c>
      <c r="E231" s="43" t="str">
        <f>IF(OR($B231="",$A231&gt;$B$9,E$219=""),"",IF(COUNTIFS(BD!$B$3:$B$5001,E$219,BD!$A$3:$A$5001,"&gt;="&amp;$C$7,BD!$A$3:$A$5001,"&lt;="&amp;$B231,BD!$N$3:$N$5001,"&lt;&gt;")=0,"",SUMIFS(BD!$N$3:$N$5001,BD!$B$3:$B$5001,E$219,BD!$A$3:$A$5001,_xlfn.MAXIFS(BD!$A$3:$A$5001,BD!$B$3:$B$5001,E$219,BD!$A$3:$A$5001,"&gt;="&amp;$C$7,BD!$A$3:$A$5001,"&lt;="&amp;$B231,BD!$N$3:$N$5001,"&lt;&gt;"))))</f>
        <v/>
      </c>
      <c r="F231" s="43" t="str">
        <f>IF(OR($B231="",$A231&gt;$B$9,F$219=""),"",IF(COUNTIFS(BD!$B$3:$B$5001,F$219,BD!$A$3:$A$5001,"&gt;="&amp;$C$7,BD!$A$3:$A$5001,"&lt;="&amp;$B231,BD!$N$3:$N$5001,"&lt;&gt;")=0,"",SUMIFS(BD!$N$3:$N$5001,BD!$B$3:$B$5001,F$219,BD!$A$3:$A$5001,_xlfn.MAXIFS(BD!$A$3:$A$5001,BD!$B$3:$B$5001,F$219,BD!$A$3:$A$5001,"&gt;="&amp;$C$7,BD!$A$3:$A$5001,"&lt;="&amp;$B231,BD!$N$3:$N$5001,"&lt;&gt;"))))</f>
        <v/>
      </c>
      <c r="G231" s="43" t="str">
        <f>IF(OR($B231="",$A231&gt;$B$9,G$219=""),"",IF(COUNTIFS(BD!$B$3:$B$5001,G$219,BD!$A$3:$A$5001,"&gt;="&amp;$C$7,BD!$A$3:$A$5001,"&lt;="&amp;$B231,BD!$N$3:$N$5001,"&lt;&gt;")=0,"",SUMIFS(BD!$N$3:$N$5001,BD!$B$3:$B$5001,G$219,BD!$A$3:$A$5001,_xlfn.MAXIFS(BD!$A$3:$A$5001,BD!$B$3:$B$5001,G$219,BD!$A$3:$A$5001,"&gt;="&amp;$C$7,BD!$A$3:$A$5001,"&lt;="&amp;$B231,BD!$N$3:$N$5001,"&lt;&gt;"))))</f>
        <v/>
      </c>
      <c r="H231" s="43" t="str">
        <f>IF(OR($B231="",$A231&gt;$B$9,H$219=""),"",IF(COUNTIFS(BD!$B$3:$B$5001,H$219,BD!$A$3:$A$5001,"&gt;="&amp;$C$7,BD!$A$3:$A$5001,"&lt;="&amp;$B231,BD!$N$3:$N$5001,"&lt;&gt;")=0,"",SUMIFS(BD!$N$3:$N$5001,BD!$B$3:$B$5001,H$219,BD!$A$3:$A$5001,_xlfn.MAXIFS(BD!$A$3:$A$5001,BD!$B$3:$B$5001,H$219,BD!$A$3:$A$5001,"&gt;="&amp;$C$7,BD!$A$3:$A$5001,"&lt;="&amp;$B231,BD!$N$3:$N$5001,"&lt;&gt;"))))</f>
        <v/>
      </c>
      <c r="I231" s="43" t="str">
        <f>IF(OR($B231="",$A231&gt;$B$9,I$219=""),"",IF(COUNTIFS(BD!$B$3:$B$5001,I$219,BD!$A$3:$A$5001,"&gt;="&amp;$C$7,BD!$A$3:$A$5001,"&lt;="&amp;$B231,BD!$N$3:$N$5001,"&lt;&gt;")=0,"",SUMIFS(BD!$N$3:$N$5001,BD!$B$3:$B$5001,I$219,BD!$A$3:$A$5001,_xlfn.MAXIFS(BD!$A$3:$A$5001,BD!$B$3:$B$5001,I$219,BD!$A$3:$A$5001,"&gt;="&amp;$C$7,BD!$A$3:$A$5001,"&lt;="&amp;$B231,BD!$N$3:$N$5001,"&lt;&gt;"))))</f>
        <v/>
      </c>
      <c r="J231" s="43" t="str">
        <f>IF(OR($B231="",$A231&gt;$B$9,J$219=""),"",IF(COUNTIFS(BD!$B$3:$B$5001,J$219,BD!$A$3:$A$5001,"&gt;="&amp;$C$7,BD!$A$3:$A$5001,"&lt;="&amp;$B231,BD!$N$3:$N$5001,"&lt;&gt;")=0,"",SUMIFS(BD!$N$3:$N$5001,BD!$B$3:$B$5001,J$219,BD!$A$3:$A$5001,_xlfn.MAXIFS(BD!$A$3:$A$5001,BD!$B$3:$B$5001,J$219,BD!$A$3:$A$5001,"&gt;="&amp;$C$7,BD!$A$3:$A$5001,"&lt;="&amp;$B231,BD!$N$3:$N$5001,"&lt;&gt;"))))</f>
        <v/>
      </c>
      <c r="K231" s="43" t="str">
        <f>IF(OR($B231="",$A231&gt;$B$9,K$219=""),"",IF(COUNTIFS(BD!$B$3:$B$5001,K$219,BD!$A$3:$A$5001,"&gt;="&amp;$C$7,BD!$A$3:$A$5001,"&lt;="&amp;$B231,BD!$N$3:$N$5001,"&lt;&gt;")=0,"",SUMIFS(BD!$N$3:$N$5001,BD!$B$3:$B$5001,K$219,BD!$A$3:$A$5001,_xlfn.MAXIFS(BD!$A$3:$A$5001,BD!$B$3:$B$5001,K$219,BD!$A$3:$A$5001,"&gt;="&amp;$C$7,BD!$A$3:$A$5001,"&lt;="&amp;$B231,BD!$N$3:$N$5001,"&lt;&gt;"))))</f>
        <v/>
      </c>
      <c r="L231" s="43" t="str">
        <f>IF(OR($B231="",$A231&gt;$B$9,L$219=""),"",IF(COUNTIFS(BD!$B$3:$B$5001,L$219,BD!$A$3:$A$5001,"&gt;="&amp;$C$7,BD!$A$3:$A$5001,"&lt;="&amp;$B231,BD!$N$3:$N$5001,"&lt;&gt;")=0,"",SUMIFS(BD!$N$3:$N$5001,BD!$B$3:$B$5001,L$219,BD!$A$3:$A$5001,_xlfn.MAXIFS(BD!$A$3:$A$5001,BD!$B$3:$B$5001,L$219,BD!$A$3:$A$5001,"&gt;="&amp;$C$7,BD!$A$3:$A$5001,"&lt;="&amp;$B231,BD!$N$3:$N$5001,"&lt;&gt;"))))</f>
        <v/>
      </c>
      <c r="M231" s="43" t="str">
        <f>IF(OR($B231="",$A231&gt;$B$9,M$219=""),"",IF(COUNTIFS(BD!$B$3:$B$5001,M$219,BD!$A$3:$A$5001,"&gt;="&amp;$C$7,BD!$A$3:$A$5001,"&lt;="&amp;$B231,BD!$N$3:$N$5001,"&lt;&gt;")=0,"",SUMIFS(BD!$N$3:$N$5001,BD!$B$3:$B$5001,M$219,BD!$A$3:$A$5001,_xlfn.MAXIFS(BD!$A$3:$A$5001,BD!$B$3:$B$5001,M$219,BD!$A$3:$A$5001,"&gt;="&amp;$C$7,BD!$A$3:$A$5001,"&lt;="&amp;$B231,BD!$N$3:$N$5001,"&lt;&gt;"))))</f>
        <v/>
      </c>
      <c r="N231" s="43" t="str">
        <f>IF(OR($B231="",$A231&gt;$B$9,N$219=""),"",IF(COUNTIFS(BD!$B$3:$B$5001,N$219,BD!$A$3:$A$5001,"&gt;="&amp;$C$7,BD!$A$3:$A$5001,"&lt;="&amp;$B231,BD!$N$3:$N$5001,"&lt;&gt;")=0,"",SUMIFS(BD!$N$3:$N$5001,BD!$B$3:$B$5001,N$219,BD!$A$3:$A$5001,_xlfn.MAXIFS(BD!$A$3:$A$5001,BD!$B$3:$B$5001,N$219,BD!$A$3:$A$5001,"&gt;="&amp;$C$7,BD!$A$3:$A$5001,"&lt;="&amp;$B231,BD!$N$3:$N$5001,"&lt;&gt;"))))</f>
        <v/>
      </c>
      <c r="O231" s="43" t="str">
        <f>IF(OR($B231="",$A231&gt;$B$9,O$219=""),"",IF(COUNTIFS(BD!$B$3:$B$5001,O$219,BD!$A$3:$A$5001,"&gt;="&amp;$C$7,BD!$A$3:$A$5001,"&lt;="&amp;$B231,BD!$N$3:$N$5001,"&lt;&gt;")=0,"",SUMIFS(BD!$N$3:$N$5001,BD!$B$3:$B$5001,O$219,BD!$A$3:$A$5001,_xlfn.MAXIFS(BD!$A$3:$A$5001,BD!$B$3:$B$5001,O$219,BD!$A$3:$A$5001,"&gt;="&amp;$C$7,BD!$A$3:$A$5001,"&lt;="&amp;$B231,BD!$N$3:$N$5001,"&lt;&gt;"))))</f>
        <v/>
      </c>
      <c r="P231" s="43" t="str">
        <f>IF(OR($B231="",$A231&gt;$B$9,P$219=""),"",IF(COUNTIFS(BD!$B$3:$B$5001,P$219,BD!$A$3:$A$5001,"&gt;="&amp;$C$7,BD!$A$3:$A$5001,"&lt;="&amp;$B231,BD!$N$3:$N$5001,"&lt;&gt;")=0,"",SUMIFS(BD!$N$3:$N$5001,BD!$B$3:$B$5001,P$219,BD!$A$3:$A$5001,_xlfn.MAXIFS(BD!$A$3:$A$5001,BD!$B$3:$B$5001,P$219,BD!$A$3:$A$5001,"&gt;="&amp;$C$7,BD!$A$3:$A$5001,"&lt;="&amp;$B231,BD!$N$3:$N$5001,"&lt;&gt;"))))</f>
        <v/>
      </c>
      <c r="Q231" s="43" t="str">
        <f>IF(OR($B231="",$A231&gt;$B$9,Q$219=""),"",IF(COUNTIFS(BD!$B$3:$B$5001,Q$219,BD!$A$3:$A$5001,"&gt;="&amp;$C$7,BD!$A$3:$A$5001,"&lt;="&amp;$B231,BD!$N$3:$N$5001,"&lt;&gt;")=0,"",SUMIFS(BD!$N$3:$N$5001,BD!$B$3:$B$5001,Q$219,BD!$A$3:$A$5001,_xlfn.MAXIFS(BD!$A$3:$A$5001,BD!$B$3:$B$5001,Q$219,BD!$A$3:$A$5001,"&gt;="&amp;$C$7,BD!$A$3:$A$5001,"&lt;="&amp;$B231,BD!$N$3:$N$5001,"&lt;&gt;"))))</f>
        <v/>
      </c>
      <c r="R231" s="43" t="str">
        <f>IF(OR($B231="",$A231&gt;$B$9,R$219=""),"",IF(COUNTIFS(BD!$B$3:$B$5001,R$219,BD!$A$3:$A$5001,"&gt;="&amp;$C$7,BD!$A$3:$A$5001,"&lt;="&amp;$B231,BD!$N$3:$N$5001,"&lt;&gt;")=0,"",SUMIFS(BD!$N$3:$N$5001,BD!$B$3:$B$5001,R$219,BD!$A$3:$A$5001,_xlfn.MAXIFS(BD!$A$3:$A$5001,BD!$B$3:$B$5001,R$219,BD!$A$3:$A$5001,"&gt;="&amp;$C$7,BD!$A$3:$A$5001,"&lt;="&amp;$B231,BD!$N$3:$N$5001,"&lt;&gt;"))))</f>
        <v/>
      </c>
      <c r="S231" s="43" t="str">
        <f>IF(OR($B231="",$A231&gt;$B$9,S$219=""),"",IF(COUNTIFS(BD!$B$3:$B$5001,S$219,BD!$A$3:$A$5001,"&gt;="&amp;$C$7,BD!$A$3:$A$5001,"&lt;="&amp;$B231,BD!$N$3:$N$5001,"&lt;&gt;")=0,"",SUMIFS(BD!$N$3:$N$5001,BD!$B$3:$B$5001,S$219,BD!$A$3:$A$5001,_xlfn.MAXIFS(BD!$A$3:$A$5001,BD!$B$3:$B$5001,S$219,BD!$A$3:$A$5001,"&gt;="&amp;$C$7,BD!$A$3:$A$5001,"&lt;="&amp;$B231,BD!$N$3:$N$5001,"&lt;&gt;"))))</f>
        <v/>
      </c>
      <c r="T231" s="43" t="str">
        <f>IF(OR($B231="",$A231&gt;$B$9,T$219=""),"",IF(COUNTIFS(BD!$B$3:$B$5001,T$219,BD!$A$3:$A$5001,"&gt;="&amp;$C$7,BD!$A$3:$A$5001,"&lt;="&amp;$B231,BD!$N$3:$N$5001,"&lt;&gt;")=0,"",SUMIFS(BD!$N$3:$N$5001,BD!$B$3:$B$5001,T$219,BD!$A$3:$A$5001,_xlfn.MAXIFS(BD!$A$3:$A$5001,BD!$B$3:$B$5001,T$219,BD!$A$3:$A$5001,"&gt;="&amp;$C$7,BD!$A$3:$A$5001,"&lt;="&amp;$B231,BD!$N$3:$N$5001,"&lt;&gt;"))))</f>
        <v/>
      </c>
      <c r="U231" s="43" t="str">
        <f>IF(OR($B231="",$A231&gt;$B$9,U$219=""),"",IF(COUNTIFS(BD!$B$3:$B$5001,U$219,BD!$A$3:$A$5001,"&gt;="&amp;$C$7,BD!$A$3:$A$5001,"&lt;="&amp;$B231,BD!$N$3:$N$5001,"&lt;&gt;")=0,"",SUMIFS(BD!$N$3:$N$5001,BD!$B$3:$B$5001,U$219,BD!$A$3:$A$5001,_xlfn.MAXIFS(BD!$A$3:$A$5001,BD!$B$3:$B$5001,U$219,BD!$A$3:$A$5001,"&gt;="&amp;$C$7,BD!$A$3:$A$5001,"&lt;="&amp;$B231,BD!$N$3:$N$5001,"&lt;&gt;"))))</f>
        <v/>
      </c>
      <c r="V231" s="43" t="str">
        <f>IF(OR($B231="",$A231&gt;$B$9,V$219=""),"",IF(COUNTIFS(BD!$B$3:$B$5001,V$219,BD!$A$3:$A$5001,"&gt;="&amp;$C$7,BD!$A$3:$A$5001,"&lt;="&amp;$B231,BD!$N$3:$N$5001,"&lt;&gt;")=0,"",SUMIFS(BD!$N$3:$N$5001,BD!$B$3:$B$5001,V$219,BD!$A$3:$A$5001,_xlfn.MAXIFS(BD!$A$3:$A$5001,BD!$B$3:$B$5001,V$219,BD!$A$3:$A$5001,"&gt;="&amp;$C$7,BD!$A$3:$A$5001,"&lt;="&amp;$B231,BD!$N$3:$N$5001,"&lt;&gt;"))))</f>
        <v/>
      </c>
    </row>
    <row r="232">
      <c r="A232" s="38">
        <v>13</v>
      </c>
      <c r="B232" s="42">
        <f>$B$24</f>
        <v>46308</v>
      </c>
      <c r="C232" s="43" t="str">
        <f>IF(OR($B232="",$A232&gt;$B$9,C$219=""),"",IF(COUNTIFS(BD!$B$3:$B$5001,C$219,BD!$A$3:$A$5001,"&gt;="&amp;$C$7,BD!$A$3:$A$5001,"&lt;="&amp;$B232,BD!$N$3:$N$5001,"&lt;&gt;")=0,"",SUMIFS(BD!$N$3:$N$5001,BD!$B$3:$B$5001,C$219,BD!$A$3:$A$5001,_xlfn.MAXIFS(BD!$A$3:$A$5001,BD!$B$3:$B$5001,C$219,BD!$A$3:$A$5001,"&gt;="&amp;$C$7,BD!$A$3:$A$5001,"&lt;="&amp;$B232,BD!$N$3:$N$5001,"&lt;&gt;"))))</f>
        <v/>
      </c>
      <c r="D232" s="43" t="str">
        <f>IF(OR($B232="",$A232&gt;$B$9,D$219=""),"",IF(COUNTIFS(BD!$B$3:$B$5001,D$219,BD!$A$3:$A$5001,"&gt;="&amp;$C$7,BD!$A$3:$A$5001,"&lt;="&amp;$B232,BD!$N$3:$N$5001,"&lt;&gt;")=0,"",SUMIFS(BD!$N$3:$N$5001,BD!$B$3:$B$5001,D$219,BD!$A$3:$A$5001,_xlfn.MAXIFS(BD!$A$3:$A$5001,BD!$B$3:$B$5001,D$219,BD!$A$3:$A$5001,"&gt;="&amp;$C$7,BD!$A$3:$A$5001,"&lt;="&amp;$B232,BD!$N$3:$N$5001,"&lt;&gt;"))))</f>
        <v/>
      </c>
      <c r="E232" s="43" t="str">
        <f>IF(OR($B232="",$A232&gt;$B$9,E$219=""),"",IF(COUNTIFS(BD!$B$3:$B$5001,E$219,BD!$A$3:$A$5001,"&gt;="&amp;$C$7,BD!$A$3:$A$5001,"&lt;="&amp;$B232,BD!$N$3:$N$5001,"&lt;&gt;")=0,"",SUMIFS(BD!$N$3:$N$5001,BD!$B$3:$B$5001,E$219,BD!$A$3:$A$5001,_xlfn.MAXIFS(BD!$A$3:$A$5001,BD!$B$3:$B$5001,E$219,BD!$A$3:$A$5001,"&gt;="&amp;$C$7,BD!$A$3:$A$5001,"&lt;="&amp;$B232,BD!$N$3:$N$5001,"&lt;&gt;"))))</f>
        <v/>
      </c>
      <c r="F232" s="43" t="str">
        <f>IF(OR($B232="",$A232&gt;$B$9,F$219=""),"",IF(COUNTIFS(BD!$B$3:$B$5001,F$219,BD!$A$3:$A$5001,"&gt;="&amp;$C$7,BD!$A$3:$A$5001,"&lt;="&amp;$B232,BD!$N$3:$N$5001,"&lt;&gt;")=0,"",SUMIFS(BD!$N$3:$N$5001,BD!$B$3:$B$5001,F$219,BD!$A$3:$A$5001,_xlfn.MAXIFS(BD!$A$3:$A$5001,BD!$B$3:$B$5001,F$219,BD!$A$3:$A$5001,"&gt;="&amp;$C$7,BD!$A$3:$A$5001,"&lt;="&amp;$B232,BD!$N$3:$N$5001,"&lt;&gt;"))))</f>
        <v/>
      </c>
      <c r="G232" s="43" t="str">
        <f>IF(OR($B232="",$A232&gt;$B$9,G$219=""),"",IF(COUNTIFS(BD!$B$3:$B$5001,G$219,BD!$A$3:$A$5001,"&gt;="&amp;$C$7,BD!$A$3:$A$5001,"&lt;="&amp;$B232,BD!$N$3:$N$5001,"&lt;&gt;")=0,"",SUMIFS(BD!$N$3:$N$5001,BD!$B$3:$B$5001,G$219,BD!$A$3:$A$5001,_xlfn.MAXIFS(BD!$A$3:$A$5001,BD!$B$3:$B$5001,G$219,BD!$A$3:$A$5001,"&gt;="&amp;$C$7,BD!$A$3:$A$5001,"&lt;="&amp;$B232,BD!$N$3:$N$5001,"&lt;&gt;"))))</f>
        <v/>
      </c>
      <c r="H232" s="43" t="str">
        <f>IF(OR($B232="",$A232&gt;$B$9,H$219=""),"",IF(COUNTIFS(BD!$B$3:$B$5001,H$219,BD!$A$3:$A$5001,"&gt;="&amp;$C$7,BD!$A$3:$A$5001,"&lt;="&amp;$B232,BD!$N$3:$N$5001,"&lt;&gt;")=0,"",SUMIFS(BD!$N$3:$N$5001,BD!$B$3:$B$5001,H$219,BD!$A$3:$A$5001,_xlfn.MAXIFS(BD!$A$3:$A$5001,BD!$B$3:$B$5001,H$219,BD!$A$3:$A$5001,"&gt;="&amp;$C$7,BD!$A$3:$A$5001,"&lt;="&amp;$B232,BD!$N$3:$N$5001,"&lt;&gt;"))))</f>
        <v/>
      </c>
      <c r="I232" s="43" t="str">
        <f>IF(OR($B232="",$A232&gt;$B$9,I$219=""),"",IF(COUNTIFS(BD!$B$3:$B$5001,I$219,BD!$A$3:$A$5001,"&gt;="&amp;$C$7,BD!$A$3:$A$5001,"&lt;="&amp;$B232,BD!$N$3:$N$5001,"&lt;&gt;")=0,"",SUMIFS(BD!$N$3:$N$5001,BD!$B$3:$B$5001,I$219,BD!$A$3:$A$5001,_xlfn.MAXIFS(BD!$A$3:$A$5001,BD!$B$3:$B$5001,I$219,BD!$A$3:$A$5001,"&gt;="&amp;$C$7,BD!$A$3:$A$5001,"&lt;="&amp;$B232,BD!$N$3:$N$5001,"&lt;&gt;"))))</f>
        <v/>
      </c>
      <c r="J232" s="43" t="str">
        <f>IF(OR($B232="",$A232&gt;$B$9,J$219=""),"",IF(COUNTIFS(BD!$B$3:$B$5001,J$219,BD!$A$3:$A$5001,"&gt;="&amp;$C$7,BD!$A$3:$A$5001,"&lt;="&amp;$B232,BD!$N$3:$N$5001,"&lt;&gt;")=0,"",SUMIFS(BD!$N$3:$N$5001,BD!$B$3:$B$5001,J$219,BD!$A$3:$A$5001,_xlfn.MAXIFS(BD!$A$3:$A$5001,BD!$B$3:$B$5001,J$219,BD!$A$3:$A$5001,"&gt;="&amp;$C$7,BD!$A$3:$A$5001,"&lt;="&amp;$B232,BD!$N$3:$N$5001,"&lt;&gt;"))))</f>
        <v/>
      </c>
      <c r="K232" s="43" t="str">
        <f>IF(OR($B232="",$A232&gt;$B$9,K$219=""),"",IF(COUNTIFS(BD!$B$3:$B$5001,K$219,BD!$A$3:$A$5001,"&gt;="&amp;$C$7,BD!$A$3:$A$5001,"&lt;="&amp;$B232,BD!$N$3:$N$5001,"&lt;&gt;")=0,"",SUMIFS(BD!$N$3:$N$5001,BD!$B$3:$B$5001,K$219,BD!$A$3:$A$5001,_xlfn.MAXIFS(BD!$A$3:$A$5001,BD!$B$3:$B$5001,K$219,BD!$A$3:$A$5001,"&gt;="&amp;$C$7,BD!$A$3:$A$5001,"&lt;="&amp;$B232,BD!$N$3:$N$5001,"&lt;&gt;"))))</f>
        <v/>
      </c>
      <c r="L232" s="43" t="str">
        <f>IF(OR($B232="",$A232&gt;$B$9,L$219=""),"",IF(COUNTIFS(BD!$B$3:$B$5001,L$219,BD!$A$3:$A$5001,"&gt;="&amp;$C$7,BD!$A$3:$A$5001,"&lt;="&amp;$B232,BD!$N$3:$N$5001,"&lt;&gt;")=0,"",SUMIFS(BD!$N$3:$N$5001,BD!$B$3:$B$5001,L$219,BD!$A$3:$A$5001,_xlfn.MAXIFS(BD!$A$3:$A$5001,BD!$B$3:$B$5001,L$219,BD!$A$3:$A$5001,"&gt;="&amp;$C$7,BD!$A$3:$A$5001,"&lt;="&amp;$B232,BD!$N$3:$N$5001,"&lt;&gt;"))))</f>
        <v/>
      </c>
      <c r="M232" s="43" t="str">
        <f>IF(OR($B232="",$A232&gt;$B$9,M$219=""),"",IF(COUNTIFS(BD!$B$3:$B$5001,M$219,BD!$A$3:$A$5001,"&gt;="&amp;$C$7,BD!$A$3:$A$5001,"&lt;="&amp;$B232,BD!$N$3:$N$5001,"&lt;&gt;")=0,"",SUMIFS(BD!$N$3:$N$5001,BD!$B$3:$B$5001,M$219,BD!$A$3:$A$5001,_xlfn.MAXIFS(BD!$A$3:$A$5001,BD!$B$3:$B$5001,M$219,BD!$A$3:$A$5001,"&gt;="&amp;$C$7,BD!$A$3:$A$5001,"&lt;="&amp;$B232,BD!$N$3:$N$5001,"&lt;&gt;"))))</f>
        <v/>
      </c>
      <c r="N232" s="43" t="str">
        <f>IF(OR($B232="",$A232&gt;$B$9,N$219=""),"",IF(COUNTIFS(BD!$B$3:$B$5001,N$219,BD!$A$3:$A$5001,"&gt;="&amp;$C$7,BD!$A$3:$A$5001,"&lt;="&amp;$B232,BD!$N$3:$N$5001,"&lt;&gt;")=0,"",SUMIFS(BD!$N$3:$N$5001,BD!$B$3:$B$5001,N$219,BD!$A$3:$A$5001,_xlfn.MAXIFS(BD!$A$3:$A$5001,BD!$B$3:$B$5001,N$219,BD!$A$3:$A$5001,"&gt;="&amp;$C$7,BD!$A$3:$A$5001,"&lt;="&amp;$B232,BD!$N$3:$N$5001,"&lt;&gt;"))))</f>
        <v/>
      </c>
      <c r="O232" s="43" t="str">
        <f>IF(OR($B232="",$A232&gt;$B$9,O$219=""),"",IF(COUNTIFS(BD!$B$3:$B$5001,O$219,BD!$A$3:$A$5001,"&gt;="&amp;$C$7,BD!$A$3:$A$5001,"&lt;="&amp;$B232,BD!$N$3:$N$5001,"&lt;&gt;")=0,"",SUMIFS(BD!$N$3:$N$5001,BD!$B$3:$B$5001,O$219,BD!$A$3:$A$5001,_xlfn.MAXIFS(BD!$A$3:$A$5001,BD!$B$3:$B$5001,O$219,BD!$A$3:$A$5001,"&gt;="&amp;$C$7,BD!$A$3:$A$5001,"&lt;="&amp;$B232,BD!$N$3:$N$5001,"&lt;&gt;"))))</f>
        <v/>
      </c>
      <c r="P232" s="43" t="str">
        <f>IF(OR($B232="",$A232&gt;$B$9,P$219=""),"",IF(COUNTIFS(BD!$B$3:$B$5001,P$219,BD!$A$3:$A$5001,"&gt;="&amp;$C$7,BD!$A$3:$A$5001,"&lt;="&amp;$B232,BD!$N$3:$N$5001,"&lt;&gt;")=0,"",SUMIFS(BD!$N$3:$N$5001,BD!$B$3:$B$5001,P$219,BD!$A$3:$A$5001,_xlfn.MAXIFS(BD!$A$3:$A$5001,BD!$B$3:$B$5001,P$219,BD!$A$3:$A$5001,"&gt;="&amp;$C$7,BD!$A$3:$A$5001,"&lt;="&amp;$B232,BD!$N$3:$N$5001,"&lt;&gt;"))))</f>
        <v/>
      </c>
      <c r="Q232" s="43" t="str">
        <f>IF(OR($B232="",$A232&gt;$B$9,Q$219=""),"",IF(COUNTIFS(BD!$B$3:$B$5001,Q$219,BD!$A$3:$A$5001,"&gt;="&amp;$C$7,BD!$A$3:$A$5001,"&lt;="&amp;$B232,BD!$N$3:$N$5001,"&lt;&gt;")=0,"",SUMIFS(BD!$N$3:$N$5001,BD!$B$3:$B$5001,Q$219,BD!$A$3:$A$5001,_xlfn.MAXIFS(BD!$A$3:$A$5001,BD!$B$3:$B$5001,Q$219,BD!$A$3:$A$5001,"&gt;="&amp;$C$7,BD!$A$3:$A$5001,"&lt;="&amp;$B232,BD!$N$3:$N$5001,"&lt;&gt;"))))</f>
        <v/>
      </c>
      <c r="R232" s="43" t="str">
        <f>IF(OR($B232="",$A232&gt;$B$9,R$219=""),"",IF(COUNTIFS(BD!$B$3:$B$5001,R$219,BD!$A$3:$A$5001,"&gt;="&amp;$C$7,BD!$A$3:$A$5001,"&lt;="&amp;$B232,BD!$N$3:$N$5001,"&lt;&gt;")=0,"",SUMIFS(BD!$N$3:$N$5001,BD!$B$3:$B$5001,R$219,BD!$A$3:$A$5001,_xlfn.MAXIFS(BD!$A$3:$A$5001,BD!$B$3:$B$5001,R$219,BD!$A$3:$A$5001,"&gt;="&amp;$C$7,BD!$A$3:$A$5001,"&lt;="&amp;$B232,BD!$N$3:$N$5001,"&lt;&gt;"))))</f>
        <v/>
      </c>
      <c r="S232" s="43" t="str">
        <f>IF(OR($B232="",$A232&gt;$B$9,S$219=""),"",IF(COUNTIFS(BD!$B$3:$B$5001,S$219,BD!$A$3:$A$5001,"&gt;="&amp;$C$7,BD!$A$3:$A$5001,"&lt;="&amp;$B232,BD!$N$3:$N$5001,"&lt;&gt;")=0,"",SUMIFS(BD!$N$3:$N$5001,BD!$B$3:$B$5001,S$219,BD!$A$3:$A$5001,_xlfn.MAXIFS(BD!$A$3:$A$5001,BD!$B$3:$B$5001,S$219,BD!$A$3:$A$5001,"&gt;="&amp;$C$7,BD!$A$3:$A$5001,"&lt;="&amp;$B232,BD!$N$3:$N$5001,"&lt;&gt;"))))</f>
        <v/>
      </c>
      <c r="T232" s="43" t="str">
        <f>IF(OR($B232="",$A232&gt;$B$9,T$219=""),"",IF(COUNTIFS(BD!$B$3:$B$5001,T$219,BD!$A$3:$A$5001,"&gt;="&amp;$C$7,BD!$A$3:$A$5001,"&lt;="&amp;$B232,BD!$N$3:$N$5001,"&lt;&gt;")=0,"",SUMIFS(BD!$N$3:$N$5001,BD!$B$3:$B$5001,T$219,BD!$A$3:$A$5001,_xlfn.MAXIFS(BD!$A$3:$A$5001,BD!$B$3:$B$5001,T$219,BD!$A$3:$A$5001,"&gt;="&amp;$C$7,BD!$A$3:$A$5001,"&lt;="&amp;$B232,BD!$N$3:$N$5001,"&lt;&gt;"))))</f>
        <v/>
      </c>
      <c r="U232" s="43" t="str">
        <f>IF(OR($B232="",$A232&gt;$B$9,U$219=""),"",IF(COUNTIFS(BD!$B$3:$B$5001,U$219,BD!$A$3:$A$5001,"&gt;="&amp;$C$7,BD!$A$3:$A$5001,"&lt;="&amp;$B232,BD!$N$3:$N$5001,"&lt;&gt;")=0,"",SUMIFS(BD!$N$3:$N$5001,BD!$B$3:$B$5001,U$219,BD!$A$3:$A$5001,_xlfn.MAXIFS(BD!$A$3:$A$5001,BD!$B$3:$B$5001,U$219,BD!$A$3:$A$5001,"&gt;="&amp;$C$7,BD!$A$3:$A$5001,"&lt;="&amp;$B232,BD!$N$3:$N$5001,"&lt;&gt;"))))</f>
        <v/>
      </c>
      <c r="V232" s="43" t="str">
        <f>IF(OR($B232="",$A232&gt;$B$9,V$219=""),"",IF(COUNTIFS(BD!$B$3:$B$5001,V$219,BD!$A$3:$A$5001,"&gt;="&amp;$C$7,BD!$A$3:$A$5001,"&lt;="&amp;$B232,BD!$N$3:$N$5001,"&lt;&gt;")=0,"",SUMIFS(BD!$N$3:$N$5001,BD!$B$3:$B$5001,V$219,BD!$A$3:$A$5001,_xlfn.MAXIFS(BD!$A$3:$A$5001,BD!$B$3:$B$5001,V$219,BD!$A$3:$A$5001,"&gt;="&amp;$C$7,BD!$A$3:$A$5001,"&lt;="&amp;$B232,BD!$N$3:$N$5001,"&lt;&gt;"))))</f>
        <v/>
      </c>
    </row>
    <row r="233">
      <c r="A233" s="38">
        <v>14</v>
      </c>
      <c r="B233" s="42">
        <f>$B$25</f>
        <v>46309</v>
      </c>
      <c r="C233" s="43" t="str">
        <f>IF(OR($B233="",$A233&gt;$B$9,C$219=""),"",IF(COUNTIFS(BD!$B$3:$B$5001,C$219,BD!$A$3:$A$5001,"&gt;="&amp;$C$7,BD!$A$3:$A$5001,"&lt;="&amp;$B233,BD!$N$3:$N$5001,"&lt;&gt;")=0,"",SUMIFS(BD!$N$3:$N$5001,BD!$B$3:$B$5001,C$219,BD!$A$3:$A$5001,_xlfn.MAXIFS(BD!$A$3:$A$5001,BD!$B$3:$B$5001,C$219,BD!$A$3:$A$5001,"&gt;="&amp;$C$7,BD!$A$3:$A$5001,"&lt;="&amp;$B233,BD!$N$3:$N$5001,"&lt;&gt;"))))</f>
        <v/>
      </c>
      <c r="D233" s="43" t="str">
        <f>IF(OR($B233="",$A233&gt;$B$9,D$219=""),"",IF(COUNTIFS(BD!$B$3:$B$5001,D$219,BD!$A$3:$A$5001,"&gt;="&amp;$C$7,BD!$A$3:$A$5001,"&lt;="&amp;$B233,BD!$N$3:$N$5001,"&lt;&gt;")=0,"",SUMIFS(BD!$N$3:$N$5001,BD!$B$3:$B$5001,D$219,BD!$A$3:$A$5001,_xlfn.MAXIFS(BD!$A$3:$A$5001,BD!$B$3:$B$5001,D$219,BD!$A$3:$A$5001,"&gt;="&amp;$C$7,BD!$A$3:$A$5001,"&lt;="&amp;$B233,BD!$N$3:$N$5001,"&lt;&gt;"))))</f>
        <v/>
      </c>
      <c r="E233" s="43" t="str">
        <f>IF(OR($B233="",$A233&gt;$B$9,E$219=""),"",IF(COUNTIFS(BD!$B$3:$B$5001,E$219,BD!$A$3:$A$5001,"&gt;="&amp;$C$7,BD!$A$3:$A$5001,"&lt;="&amp;$B233,BD!$N$3:$N$5001,"&lt;&gt;")=0,"",SUMIFS(BD!$N$3:$N$5001,BD!$B$3:$B$5001,E$219,BD!$A$3:$A$5001,_xlfn.MAXIFS(BD!$A$3:$A$5001,BD!$B$3:$B$5001,E$219,BD!$A$3:$A$5001,"&gt;="&amp;$C$7,BD!$A$3:$A$5001,"&lt;="&amp;$B233,BD!$N$3:$N$5001,"&lt;&gt;"))))</f>
        <v/>
      </c>
      <c r="F233" s="43" t="str">
        <f>IF(OR($B233="",$A233&gt;$B$9,F$219=""),"",IF(COUNTIFS(BD!$B$3:$B$5001,F$219,BD!$A$3:$A$5001,"&gt;="&amp;$C$7,BD!$A$3:$A$5001,"&lt;="&amp;$B233,BD!$N$3:$N$5001,"&lt;&gt;")=0,"",SUMIFS(BD!$N$3:$N$5001,BD!$B$3:$B$5001,F$219,BD!$A$3:$A$5001,_xlfn.MAXIFS(BD!$A$3:$A$5001,BD!$B$3:$B$5001,F$219,BD!$A$3:$A$5001,"&gt;="&amp;$C$7,BD!$A$3:$A$5001,"&lt;="&amp;$B233,BD!$N$3:$N$5001,"&lt;&gt;"))))</f>
        <v/>
      </c>
      <c r="G233" s="43" t="str">
        <f>IF(OR($B233="",$A233&gt;$B$9,G$219=""),"",IF(COUNTIFS(BD!$B$3:$B$5001,G$219,BD!$A$3:$A$5001,"&gt;="&amp;$C$7,BD!$A$3:$A$5001,"&lt;="&amp;$B233,BD!$N$3:$N$5001,"&lt;&gt;")=0,"",SUMIFS(BD!$N$3:$N$5001,BD!$B$3:$B$5001,G$219,BD!$A$3:$A$5001,_xlfn.MAXIFS(BD!$A$3:$A$5001,BD!$B$3:$B$5001,G$219,BD!$A$3:$A$5001,"&gt;="&amp;$C$7,BD!$A$3:$A$5001,"&lt;="&amp;$B233,BD!$N$3:$N$5001,"&lt;&gt;"))))</f>
        <v/>
      </c>
      <c r="H233" s="43" t="str">
        <f>IF(OR($B233="",$A233&gt;$B$9,H$219=""),"",IF(COUNTIFS(BD!$B$3:$B$5001,H$219,BD!$A$3:$A$5001,"&gt;="&amp;$C$7,BD!$A$3:$A$5001,"&lt;="&amp;$B233,BD!$N$3:$N$5001,"&lt;&gt;")=0,"",SUMIFS(BD!$N$3:$N$5001,BD!$B$3:$B$5001,H$219,BD!$A$3:$A$5001,_xlfn.MAXIFS(BD!$A$3:$A$5001,BD!$B$3:$B$5001,H$219,BD!$A$3:$A$5001,"&gt;="&amp;$C$7,BD!$A$3:$A$5001,"&lt;="&amp;$B233,BD!$N$3:$N$5001,"&lt;&gt;"))))</f>
        <v/>
      </c>
      <c r="I233" s="43" t="str">
        <f>IF(OR($B233="",$A233&gt;$B$9,I$219=""),"",IF(COUNTIFS(BD!$B$3:$B$5001,I$219,BD!$A$3:$A$5001,"&gt;="&amp;$C$7,BD!$A$3:$A$5001,"&lt;="&amp;$B233,BD!$N$3:$N$5001,"&lt;&gt;")=0,"",SUMIFS(BD!$N$3:$N$5001,BD!$B$3:$B$5001,I$219,BD!$A$3:$A$5001,_xlfn.MAXIFS(BD!$A$3:$A$5001,BD!$B$3:$B$5001,I$219,BD!$A$3:$A$5001,"&gt;="&amp;$C$7,BD!$A$3:$A$5001,"&lt;="&amp;$B233,BD!$N$3:$N$5001,"&lt;&gt;"))))</f>
        <v/>
      </c>
      <c r="J233" s="43" t="str">
        <f>IF(OR($B233="",$A233&gt;$B$9,J$219=""),"",IF(COUNTIFS(BD!$B$3:$B$5001,J$219,BD!$A$3:$A$5001,"&gt;="&amp;$C$7,BD!$A$3:$A$5001,"&lt;="&amp;$B233,BD!$N$3:$N$5001,"&lt;&gt;")=0,"",SUMIFS(BD!$N$3:$N$5001,BD!$B$3:$B$5001,J$219,BD!$A$3:$A$5001,_xlfn.MAXIFS(BD!$A$3:$A$5001,BD!$B$3:$B$5001,J$219,BD!$A$3:$A$5001,"&gt;="&amp;$C$7,BD!$A$3:$A$5001,"&lt;="&amp;$B233,BD!$N$3:$N$5001,"&lt;&gt;"))))</f>
        <v/>
      </c>
      <c r="K233" s="43" t="str">
        <f>IF(OR($B233="",$A233&gt;$B$9,K$219=""),"",IF(COUNTIFS(BD!$B$3:$B$5001,K$219,BD!$A$3:$A$5001,"&gt;="&amp;$C$7,BD!$A$3:$A$5001,"&lt;="&amp;$B233,BD!$N$3:$N$5001,"&lt;&gt;")=0,"",SUMIFS(BD!$N$3:$N$5001,BD!$B$3:$B$5001,K$219,BD!$A$3:$A$5001,_xlfn.MAXIFS(BD!$A$3:$A$5001,BD!$B$3:$B$5001,K$219,BD!$A$3:$A$5001,"&gt;="&amp;$C$7,BD!$A$3:$A$5001,"&lt;="&amp;$B233,BD!$N$3:$N$5001,"&lt;&gt;"))))</f>
        <v/>
      </c>
      <c r="L233" s="43" t="str">
        <f>IF(OR($B233="",$A233&gt;$B$9,L$219=""),"",IF(COUNTIFS(BD!$B$3:$B$5001,L$219,BD!$A$3:$A$5001,"&gt;="&amp;$C$7,BD!$A$3:$A$5001,"&lt;="&amp;$B233,BD!$N$3:$N$5001,"&lt;&gt;")=0,"",SUMIFS(BD!$N$3:$N$5001,BD!$B$3:$B$5001,L$219,BD!$A$3:$A$5001,_xlfn.MAXIFS(BD!$A$3:$A$5001,BD!$B$3:$B$5001,L$219,BD!$A$3:$A$5001,"&gt;="&amp;$C$7,BD!$A$3:$A$5001,"&lt;="&amp;$B233,BD!$N$3:$N$5001,"&lt;&gt;"))))</f>
        <v/>
      </c>
      <c r="M233" s="43" t="str">
        <f>IF(OR($B233="",$A233&gt;$B$9,M$219=""),"",IF(COUNTIFS(BD!$B$3:$B$5001,M$219,BD!$A$3:$A$5001,"&gt;="&amp;$C$7,BD!$A$3:$A$5001,"&lt;="&amp;$B233,BD!$N$3:$N$5001,"&lt;&gt;")=0,"",SUMIFS(BD!$N$3:$N$5001,BD!$B$3:$B$5001,M$219,BD!$A$3:$A$5001,_xlfn.MAXIFS(BD!$A$3:$A$5001,BD!$B$3:$B$5001,M$219,BD!$A$3:$A$5001,"&gt;="&amp;$C$7,BD!$A$3:$A$5001,"&lt;="&amp;$B233,BD!$N$3:$N$5001,"&lt;&gt;"))))</f>
        <v/>
      </c>
      <c r="N233" s="43" t="str">
        <f>IF(OR($B233="",$A233&gt;$B$9,N$219=""),"",IF(COUNTIFS(BD!$B$3:$B$5001,N$219,BD!$A$3:$A$5001,"&gt;="&amp;$C$7,BD!$A$3:$A$5001,"&lt;="&amp;$B233,BD!$N$3:$N$5001,"&lt;&gt;")=0,"",SUMIFS(BD!$N$3:$N$5001,BD!$B$3:$B$5001,N$219,BD!$A$3:$A$5001,_xlfn.MAXIFS(BD!$A$3:$A$5001,BD!$B$3:$B$5001,N$219,BD!$A$3:$A$5001,"&gt;="&amp;$C$7,BD!$A$3:$A$5001,"&lt;="&amp;$B233,BD!$N$3:$N$5001,"&lt;&gt;"))))</f>
        <v/>
      </c>
      <c r="O233" s="43" t="str">
        <f>IF(OR($B233="",$A233&gt;$B$9,O$219=""),"",IF(COUNTIFS(BD!$B$3:$B$5001,O$219,BD!$A$3:$A$5001,"&gt;="&amp;$C$7,BD!$A$3:$A$5001,"&lt;="&amp;$B233,BD!$N$3:$N$5001,"&lt;&gt;")=0,"",SUMIFS(BD!$N$3:$N$5001,BD!$B$3:$B$5001,O$219,BD!$A$3:$A$5001,_xlfn.MAXIFS(BD!$A$3:$A$5001,BD!$B$3:$B$5001,O$219,BD!$A$3:$A$5001,"&gt;="&amp;$C$7,BD!$A$3:$A$5001,"&lt;="&amp;$B233,BD!$N$3:$N$5001,"&lt;&gt;"))))</f>
        <v/>
      </c>
      <c r="P233" s="43" t="str">
        <f>IF(OR($B233="",$A233&gt;$B$9,P$219=""),"",IF(COUNTIFS(BD!$B$3:$B$5001,P$219,BD!$A$3:$A$5001,"&gt;="&amp;$C$7,BD!$A$3:$A$5001,"&lt;="&amp;$B233,BD!$N$3:$N$5001,"&lt;&gt;")=0,"",SUMIFS(BD!$N$3:$N$5001,BD!$B$3:$B$5001,P$219,BD!$A$3:$A$5001,_xlfn.MAXIFS(BD!$A$3:$A$5001,BD!$B$3:$B$5001,P$219,BD!$A$3:$A$5001,"&gt;="&amp;$C$7,BD!$A$3:$A$5001,"&lt;="&amp;$B233,BD!$N$3:$N$5001,"&lt;&gt;"))))</f>
        <v/>
      </c>
      <c r="Q233" s="43" t="str">
        <f>IF(OR($B233="",$A233&gt;$B$9,Q$219=""),"",IF(COUNTIFS(BD!$B$3:$B$5001,Q$219,BD!$A$3:$A$5001,"&gt;="&amp;$C$7,BD!$A$3:$A$5001,"&lt;="&amp;$B233,BD!$N$3:$N$5001,"&lt;&gt;")=0,"",SUMIFS(BD!$N$3:$N$5001,BD!$B$3:$B$5001,Q$219,BD!$A$3:$A$5001,_xlfn.MAXIFS(BD!$A$3:$A$5001,BD!$B$3:$B$5001,Q$219,BD!$A$3:$A$5001,"&gt;="&amp;$C$7,BD!$A$3:$A$5001,"&lt;="&amp;$B233,BD!$N$3:$N$5001,"&lt;&gt;"))))</f>
        <v/>
      </c>
      <c r="R233" s="43" t="str">
        <f>IF(OR($B233="",$A233&gt;$B$9,R$219=""),"",IF(COUNTIFS(BD!$B$3:$B$5001,R$219,BD!$A$3:$A$5001,"&gt;="&amp;$C$7,BD!$A$3:$A$5001,"&lt;="&amp;$B233,BD!$N$3:$N$5001,"&lt;&gt;")=0,"",SUMIFS(BD!$N$3:$N$5001,BD!$B$3:$B$5001,R$219,BD!$A$3:$A$5001,_xlfn.MAXIFS(BD!$A$3:$A$5001,BD!$B$3:$B$5001,R$219,BD!$A$3:$A$5001,"&gt;="&amp;$C$7,BD!$A$3:$A$5001,"&lt;="&amp;$B233,BD!$N$3:$N$5001,"&lt;&gt;"))))</f>
        <v/>
      </c>
      <c r="S233" s="43" t="str">
        <f>IF(OR($B233="",$A233&gt;$B$9,S$219=""),"",IF(COUNTIFS(BD!$B$3:$B$5001,S$219,BD!$A$3:$A$5001,"&gt;="&amp;$C$7,BD!$A$3:$A$5001,"&lt;="&amp;$B233,BD!$N$3:$N$5001,"&lt;&gt;")=0,"",SUMIFS(BD!$N$3:$N$5001,BD!$B$3:$B$5001,S$219,BD!$A$3:$A$5001,_xlfn.MAXIFS(BD!$A$3:$A$5001,BD!$B$3:$B$5001,S$219,BD!$A$3:$A$5001,"&gt;="&amp;$C$7,BD!$A$3:$A$5001,"&lt;="&amp;$B233,BD!$N$3:$N$5001,"&lt;&gt;"))))</f>
        <v/>
      </c>
      <c r="T233" s="43" t="str">
        <f>IF(OR($B233="",$A233&gt;$B$9,T$219=""),"",IF(COUNTIFS(BD!$B$3:$B$5001,T$219,BD!$A$3:$A$5001,"&gt;="&amp;$C$7,BD!$A$3:$A$5001,"&lt;="&amp;$B233,BD!$N$3:$N$5001,"&lt;&gt;")=0,"",SUMIFS(BD!$N$3:$N$5001,BD!$B$3:$B$5001,T$219,BD!$A$3:$A$5001,_xlfn.MAXIFS(BD!$A$3:$A$5001,BD!$B$3:$B$5001,T$219,BD!$A$3:$A$5001,"&gt;="&amp;$C$7,BD!$A$3:$A$5001,"&lt;="&amp;$B233,BD!$N$3:$N$5001,"&lt;&gt;"))))</f>
        <v/>
      </c>
      <c r="U233" s="43" t="str">
        <f>IF(OR($B233="",$A233&gt;$B$9,U$219=""),"",IF(COUNTIFS(BD!$B$3:$B$5001,U$219,BD!$A$3:$A$5001,"&gt;="&amp;$C$7,BD!$A$3:$A$5001,"&lt;="&amp;$B233,BD!$N$3:$N$5001,"&lt;&gt;")=0,"",SUMIFS(BD!$N$3:$N$5001,BD!$B$3:$B$5001,U$219,BD!$A$3:$A$5001,_xlfn.MAXIFS(BD!$A$3:$A$5001,BD!$B$3:$B$5001,U$219,BD!$A$3:$A$5001,"&gt;="&amp;$C$7,BD!$A$3:$A$5001,"&lt;="&amp;$B233,BD!$N$3:$N$5001,"&lt;&gt;"))))</f>
        <v/>
      </c>
      <c r="V233" s="43" t="str">
        <f>IF(OR($B233="",$A233&gt;$B$9,V$219=""),"",IF(COUNTIFS(BD!$B$3:$B$5001,V$219,BD!$A$3:$A$5001,"&gt;="&amp;$C$7,BD!$A$3:$A$5001,"&lt;="&amp;$B233,BD!$N$3:$N$5001,"&lt;&gt;")=0,"",SUMIFS(BD!$N$3:$N$5001,BD!$B$3:$B$5001,V$219,BD!$A$3:$A$5001,_xlfn.MAXIFS(BD!$A$3:$A$5001,BD!$B$3:$B$5001,V$219,BD!$A$3:$A$5001,"&gt;="&amp;$C$7,BD!$A$3:$A$5001,"&lt;="&amp;$B233,BD!$N$3:$N$5001,"&lt;&gt;"))))</f>
        <v/>
      </c>
    </row>
    <row r="234">
      <c r="A234" s="38">
        <v>15</v>
      </c>
      <c r="B234" s="42">
        <f>$B$26</f>
        <v>46310</v>
      </c>
      <c r="C234" s="43" t="str">
        <f>IF(OR($B234="",$A234&gt;$B$9,C$219=""),"",IF(COUNTIFS(BD!$B$3:$B$5001,C$219,BD!$A$3:$A$5001,"&gt;="&amp;$C$7,BD!$A$3:$A$5001,"&lt;="&amp;$B234,BD!$N$3:$N$5001,"&lt;&gt;")=0,"",SUMIFS(BD!$N$3:$N$5001,BD!$B$3:$B$5001,C$219,BD!$A$3:$A$5001,_xlfn.MAXIFS(BD!$A$3:$A$5001,BD!$B$3:$B$5001,C$219,BD!$A$3:$A$5001,"&gt;="&amp;$C$7,BD!$A$3:$A$5001,"&lt;="&amp;$B234,BD!$N$3:$N$5001,"&lt;&gt;"))))</f>
        <v/>
      </c>
      <c r="D234" s="43" t="str">
        <f>IF(OR($B234="",$A234&gt;$B$9,D$219=""),"",IF(COUNTIFS(BD!$B$3:$B$5001,D$219,BD!$A$3:$A$5001,"&gt;="&amp;$C$7,BD!$A$3:$A$5001,"&lt;="&amp;$B234,BD!$N$3:$N$5001,"&lt;&gt;")=0,"",SUMIFS(BD!$N$3:$N$5001,BD!$B$3:$B$5001,D$219,BD!$A$3:$A$5001,_xlfn.MAXIFS(BD!$A$3:$A$5001,BD!$B$3:$B$5001,D$219,BD!$A$3:$A$5001,"&gt;="&amp;$C$7,BD!$A$3:$A$5001,"&lt;="&amp;$B234,BD!$N$3:$N$5001,"&lt;&gt;"))))</f>
        <v/>
      </c>
      <c r="E234" s="43" t="str">
        <f>IF(OR($B234="",$A234&gt;$B$9,E$219=""),"",IF(COUNTIFS(BD!$B$3:$B$5001,E$219,BD!$A$3:$A$5001,"&gt;="&amp;$C$7,BD!$A$3:$A$5001,"&lt;="&amp;$B234,BD!$N$3:$N$5001,"&lt;&gt;")=0,"",SUMIFS(BD!$N$3:$N$5001,BD!$B$3:$B$5001,E$219,BD!$A$3:$A$5001,_xlfn.MAXIFS(BD!$A$3:$A$5001,BD!$B$3:$B$5001,E$219,BD!$A$3:$A$5001,"&gt;="&amp;$C$7,BD!$A$3:$A$5001,"&lt;="&amp;$B234,BD!$N$3:$N$5001,"&lt;&gt;"))))</f>
        <v/>
      </c>
      <c r="F234" s="43" t="str">
        <f>IF(OR($B234="",$A234&gt;$B$9,F$219=""),"",IF(COUNTIFS(BD!$B$3:$B$5001,F$219,BD!$A$3:$A$5001,"&gt;="&amp;$C$7,BD!$A$3:$A$5001,"&lt;="&amp;$B234,BD!$N$3:$N$5001,"&lt;&gt;")=0,"",SUMIFS(BD!$N$3:$N$5001,BD!$B$3:$B$5001,F$219,BD!$A$3:$A$5001,_xlfn.MAXIFS(BD!$A$3:$A$5001,BD!$B$3:$B$5001,F$219,BD!$A$3:$A$5001,"&gt;="&amp;$C$7,BD!$A$3:$A$5001,"&lt;="&amp;$B234,BD!$N$3:$N$5001,"&lt;&gt;"))))</f>
        <v/>
      </c>
      <c r="G234" s="43" t="str">
        <f>IF(OR($B234="",$A234&gt;$B$9,G$219=""),"",IF(COUNTIFS(BD!$B$3:$B$5001,G$219,BD!$A$3:$A$5001,"&gt;="&amp;$C$7,BD!$A$3:$A$5001,"&lt;="&amp;$B234,BD!$N$3:$N$5001,"&lt;&gt;")=0,"",SUMIFS(BD!$N$3:$N$5001,BD!$B$3:$B$5001,G$219,BD!$A$3:$A$5001,_xlfn.MAXIFS(BD!$A$3:$A$5001,BD!$B$3:$B$5001,G$219,BD!$A$3:$A$5001,"&gt;="&amp;$C$7,BD!$A$3:$A$5001,"&lt;="&amp;$B234,BD!$N$3:$N$5001,"&lt;&gt;"))))</f>
        <v/>
      </c>
      <c r="H234" s="43" t="str">
        <f>IF(OR($B234="",$A234&gt;$B$9,H$219=""),"",IF(COUNTIFS(BD!$B$3:$B$5001,H$219,BD!$A$3:$A$5001,"&gt;="&amp;$C$7,BD!$A$3:$A$5001,"&lt;="&amp;$B234,BD!$N$3:$N$5001,"&lt;&gt;")=0,"",SUMIFS(BD!$N$3:$N$5001,BD!$B$3:$B$5001,H$219,BD!$A$3:$A$5001,_xlfn.MAXIFS(BD!$A$3:$A$5001,BD!$B$3:$B$5001,H$219,BD!$A$3:$A$5001,"&gt;="&amp;$C$7,BD!$A$3:$A$5001,"&lt;="&amp;$B234,BD!$N$3:$N$5001,"&lt;&gt;"))))</f>
        <v/>
      </c>
      <c r="I234" s="43" t="str">
        <f>IF(OR($B234="",$A234&gt;$B$9,I$219=""),"",IF(COUNTIFS(BD!$B$3:$B$5001,I$219,BD!$A$3:$A$5001,"&gt;="&amp;$C$7,BD!$A$3:$A$5001,"&lt;="&amp;$B234,BD!$N$3:$N$5001,"&lt;&gt;")=0,"",SUMIFS(BD!$N$3:$N$5001,BD!$B$3:$B$5001,I$219,BD!$A$3:$A$5001,_xlfn.MAXIFS(BD!$A$3:$A$5001,BD!$B$3:$B$5001,I$219,BD!$A$3:$A$5001,"&gt;="&amp;$C$7,BD!$A$3:$A$5001,"&lt;="&amp;$B234,BD!$N$3:$N$5001,"&lt;&gt;"))))</f>
        <v/>
      </c>
      <c r="J234" s="43" t="str">
        <f>IF(OR($B234="",$A234&gt;$B$9,J$219=""),"",IF(COUNTIFS(BD!$B$3:$B$5001,J$219,BD!$A$3:$A$5001,"&gt;="&amp;$C$7,BD!$A$3:$A$5001,"&lt;="&amp;$B234,BD!$N$3:$N$5001,"&lt;&gt;")=0,"",SUMIFS(BD!$N$3:$N$5001,BD!$B$3:$B$5001,J$219,BD!$A$3:$A$5001,_xlfn.MAXIFS(BD!$A$3:$A$5001,BD!$B$3:$B$5001,J$219,BD!$A$3:$A$5001,"&gt;="&amp;$C$7,BD!$A$3:$A$5001,"&lt;="&amp;$B234,BD!$N$3:$N$5001,"&lt;&gt;"))))</f>
        <v/>
      </c>
      <c r="K234" s="43" t="str">
        <f>IF(OR($B234="",$A234&gt;$B$9,K$219=""),"",IF(COUNTIFS(BD!$B$3:$B$5001,K$219,BD!$A$3:$A$5001,"&gt;="&amp;$C$7,BD!$A$3:$A$5001,"&lt;="&amp;$B234,BD!$N$3:$N$5001,"&lt;&gt;")=0,"",SUMIFS(BD!$N$3:$N$5001,BD!$B$3:$B$5001,K$219,BD!$A$3:$A$5001,_xlfn.MAXIFS(BD!$A$3:$A$5001,BD!$B$3:$B$5001,K$219,BD!$A$3:$A$5001,"&gt;="&amp;$C$7,BD!$A$3:$A$5001,"&lt;="&amp;$B234,BD!$N$3:$N$5001,"&lt;&gt;"))))</f>
        <v/>
      </c>
      <c r="L234" s="43" t="str">
        <f>IF(OR($B234="",$A234&gt;$B$9,L$219=""),"",IF(COUNTIFS(BD!$B$3:$B$5001,L$219,BD!$A$3:$A$5001,"&gt;="&amp;$C$7,BD!$A$3:$A$5001,"&lt;="&amp;$B234,BD!$N$3:$N$5001,"&lt;&gt;")=0,"",SUMIFS(BD!$N$3:$N$5001,BD!$B$3:$B$5001,L$219,BD!$A$3:$A$5001,_xlfn.MAXIFS(BD!$A$3:$A$5001,BD!$B$3:$B$5001,L$219,BD!$A$3:$A$5001,"&gt;="&amp;$C$7,BD!$A$3:$A$5001,"&lt;="&amp;$B234,BD!$N$3:$N$5001,"&lt;&gt;"))))</f>
        <v/>
      </c>
      <c r="M234" s="43" t="str">
        <f>IF(OR($B234="",$A234&gt;$B$9,M$219=""),"",IF(COUNTIFS(BD!$B$3:$B$5001,M$219,BD!$A$3:$A$5001,"&gt;="&amp;$C$7,BD!$A$3:$A$5001,"&lt;="&amp;$B234,BD!$N$3:$N$5001,"&lt;&gt;")=0,"",SUMIFS(BD!$N$3:$N$5001,BD!$B$3:$B$5001,M$219,BD!$A$3:$A$5001,_xlfn.MAXIFS(BD!$A$3:$A$5001,BD!$B$3:$B$5001,M$219,BD!$A$3:$A$5001,"&gt;="&amp;$C$7,BD!$A$3:$A$5001,"&lt;="&amp;$B234,BD!$N$3:$N$5001,"&lt;&gt;"))))</f>
        <v/>
      </c>
      <c r="N234" s="43" t="str">
        <f>IF(OR($B234="",$A234&gt;$B$9,N$219=""),"",IF(COUNTIFS(BD!$B$3:$B$5001,N$219,BD!$A$3:$A$5001,"&gt;="&amp;$C$7,BD!$A$3:$A$5001,"&lt;="&amp;$B234,BD!$N$3:$N$5001,"&lt;&gt;")=0,"",SUMIFS(BD!$N$3:$N$5001,BD!$B$3:$B$5001,N$219,BD!$A$3:$A$5001,_xlfn.MAXIFS(BD!$A$3:$A$5001,BD!$B$3:$B$5001,N$219,BD!$A$3:$A$5001,"&gt;="&amp;$C$7,BD!$A$3:$A$5001,"&lt;="&amp;$B234,BD!$N$3:$N$5001,"&lt;&gt;"))))</f>
        <v/>
      </c>
      <c r="O234" s="43" t="str">
        <f>IF(OR($B234="",$A234&gt;$B$9,O$219=""),"",IF(COUNTIFS(BD!$B$3:$B$5001,O$219,BD!$A$3:$A$5001,"&gt;="&amp;$C$7,BD!$A$3:$A$5001,"&lt;="&amp;$B234,BD!$N$3:$N$5001,"&lt;&gt;")=0,"",SUMIFS(BD!$N$3:$N$5001,BD!$B$3:$B$5001,O$219,BD!$A$3:$A$5001,_xlfn.MAXIFS(BD!$A$3:$A$5001,BD!$B$3:$B$5001,O$219,BD!$A$3:$A$5001,"&gt;="&amp;$C$7,BD!$A$3:$A$5001,"&lt;="&amp;$B234,BD!$N$3:$N$5001,"&lt;&gt;"))))</f>
        <v/>
      </c>
      <c r="P234" s="43" t="str">
        <f>IF(OR($B234="",$A234&gt;$B$9,P$219=""),"",IF(COUNTIFS(BD!$B$3:$B$5001,P$219,BD!$A$3:$A$5001,"&gt;="&amp;$C$7,BD!$A$3:$A$5001,"&lt;="&amp;$B234,BD!$N$3:$N$5001,"&lt;&gt;")=0,"",SUMIFS(BD!$N$3:$N$5001,BD!$B$3:$B$5001,P$219,BD!$A$3:$A$5001,_xlfn.MAXIFS(BD!$A$3:$A$5001,BD!$B$3:$B$5001,P$219,BD!$A$3:$A$5001,"&gt;="&amp;$C$7,BD!$A$3:$A$5001,"&lt;="&amp;$B234,BD!$N$3:$N$5001,"&lt;&gt;"))))</f>
        <v/>
      </c>
      <c r="Q234" s="43" t="str">
        <f>IF(OR($B234="",$A234&gt;$B$9,Q$219=""),"",IF(COUNTIFS(BD!$B$3:$B$5001,Q$219,BD!$A$3:$A$5001,"&gt;="&amp;$C$7,BD!$A$3:$A$5001,"&lt;="&amp;$B234,BD!$N$3:$N$5001,"&lt;&gt;")=0,"",SUMIFS(BD!$N$3:$N$5001,BD!$B$3:$B$5001,Q$219,BD!$A$3:$A$5001,_xlfn.MAXIFS(BD!$A$3:$A$5001,BD!$B$3:$B$5001,Q$219,BD!$A$3:$A$5001,"&gt;="&amp;$C$7,BD!$A$3:$A$5001,"&lt;="&amp;$B234,BD!$N$3:$N$5001,"&lt;&gt;"))))</f>
        <v/>
      </c>
      <c r="R234" s="43" t="str">
        <f>IF(OR($B234="",$A234&gt;$B$9,R$219=""),"",IF(COUNTIFS(BD!$B$3:$B$5001,R$219,BD!$A$3:$A$5001,"&gt;="&amp;$C$7,BD!$A$3:$A$5001,"&lt;="&amp;$B234,BD!$N$3:$N$5001,"&lt;&gt;")=0,"",SUMIFS(BD!$N$3:$N$5001,BD!$B$3:$B$5001,R$219,BD!$A$3:$A$5001,_xlfn.MAXIFS(BD!$A$3:$A$5001,BD!$B$3:$B$5001,R$219,BD!$A$3:$A$5001,"&gt;="&amp;$C$7,BD!$A$3:$A$5001,"&lt;="&amp;$B234,BD!$N$3:$N$5001,"&lt;&gt;"))))</f>
        <v/>
      </c>
      <c r="S234" s="43" t="str">
        <f>IF(OR($B234="",$A234&gt;$B$9,S$219=""),"",IF(COUNTIFS(BD!$B$3:$B$5001,S$219,BD!$A$3:$A$5001,"&gt;="&amp;$C$7,BD!$A$3:$A$5001,"&lt;="&amp;$B234,BD!$N$3:$N$5001,"&lt;&gt;")=0,"",SUMIFS(BD!$N$3:$N$5001,BD!$B$3:$B$5001,S$219,BD!$A$3:$A$5001,_xlfn.MAXIFS(BD!$A$3:$A$5001,BD!$B$3:$B$5001,S$219,BD!$A$3:$A$5001,"&gt;="&amp;$C$7,BD!$A$3:$A$5001,"&lt;="&amp;$B234,BD!$N$3:$N$5001,"&lt;&gt;"))))</f>
        <v/>
      </c>
      <c r="T234" s="43" t="str">
        <f>IF(OR($B234="",$A234&gt;$B$9,T$219=""),"",IF(COUNTIFS(BD!$B$3:$B$5001,T$219,BD!$A$3:$A$5001,"&gt;="&amp;$C$7,BD!$A$3:$A$5001,"&lt;="&amp;$B234,BD!$N$3:$N$5001,"&lt;&gt;")=0,"",SUMIFS(BD!$N$3:$N$5001,BD!$B$3:$B$5001,T$219,BD!$A$3:$A$5001,_xlfn.MAXIFS(BD!$A$3:$A$5001,BD!$B$3:$B$5001,T$219,BD!$A$3:$A$5001,"&gt;="&amp;$C$7,BD!$A$3:$A$5001,"&lt;="&amp;$B234,BD!$N$3:$N$5001,"&lt;&gt;"))))</f>
        <v/>
      </c>
      <c r="U234" s="43" t="str">
        <f>IF(OR($B234="",$A234&gt;$B$9,U$219=""),"",IF(COUNTIFS(BD!$B$3:$B$5001,U$219,BD!$A$3:$A$5001,"&gt;="&amp;$C$7,BD!$A$3:$A$5001,"&lt;="&amp;$B234,BD!$N$3:$N$5001,"&lt;&gt;")=0,"",SUMIFS(BD!$N$3:$N$5001,BD!$B$3:$B$5001,U$219,BD!$A$3:$A$5001,_xlfn.MAXIFS(BD!$A$3:$A$5001,BD!$B$3:$B$5001,U$219,BD!$A$3:$A$5001,"&gt;="&amp;$C$7,BD!$A$3:$A$5001,"&lt;="&amp;$B234,BD!$N$3:$N$5001,"&lt;&gt;"))))</f>
        <v/>
      </c>
      <c r="V234" s="43" t="str">
        <f>IF(OR($B234="",$A234&gt;$B$9,V$219=""),"",IF(COUNTIFS(BD!$B$3:$B$5001,V$219,BD!$A$3:$A$5001,"&gt;="&amp;$C$7,BD!$A$3:$A$5001,"&lt;="&amp;$B234,BD!$N$3:$N$5001,"&lt;&gt;")=0,"",SUMIFS(BD!$N$3:$N$5001,BD!$B$3:$B$5001,V$219,BD!$A$3:$A$5001,_xlfn.MAXIFS(BD!$A$3:$A$5001,BD!$B$3:$B$5001,V$219,BD!$A$3:$A$5001,"&gt;="&amp;$C$7,BD!$A$3:$A$5001,"&lt;="&amp;$B234,BD!$N$3:$N$5001,"&lt;&gt;"))))</f>
        <v/>
      </c>
    </row>
    <row r="235">
      <c r="A235" s="38">
        <v>16</v>
      </c>
      <c r="B235" s="42">
        <f>$B$27</f>
        <v>46311</v>
      </c>
      <c r="C235" s="43" t="str">
        <f>IF(OR($B235="",$A235&gt;$B$9,C$219=""),"",IF(COUNTIFS(BD!$B$3:$B$5001,C$219,BD!$A$3:$A$5001,"&gt;="&amp;$C$7,BD!$A$3:$A$5001,"&lt;="&amp;$B235,BD!$N$3:$N$5001,"&lt;&gt;")=0,"",SUMIFS(BD!$N$3:$N$5001,BD!$B$3:$B$5001,C$219,BD!$A$3:$A$5001,_xlfn.MAXIFS(BD!$A$3:$A$5001,BD!$B$3:$B$5001,C$219,BD!$A$3:$A$5001,"&gt;="&amp;$C$7,BD!$A$3:$A$5001,"&lt;="&amp;$B235,BD!$N$3:$N$5001,"&lt;&gt;"))))</f>
        <v/>
      </c>
      <c r="D235" s="43" t="str">
        <f>IF(OR($B235="",$A235&gt;$B$9,D$219=""),"",IF(COUNTIFS(BD!$B$3:$B$5001,D$219,BD!$A$3:$A$5001,"&gt;="&amp;$C$7,BD!$A$3:$A$5001,"&lt;="&amp;$B235,BD!$N$3:$N$5001,"&lt;&gt;")=0,"",SUMIFS(BD!$N$3:$N$5001,BD!$B$3:$B$5001,D$219,BD!$A$3:$A$5001,_xlfn.MAXIFS(BD!$A$3:$A$5001,BD!$B$3:$B$5001,D$219,BD!$A$3:$A$5001,"&gt;="&amp;$C$7,BD!$A$3:$A$5001,"&lt;="&amp;$B235,BD!$N$3:$N$5001,"&lt;&gt;"))))</f>
        <v/>
      </c>
      <c r="E235" s="43" t="str">
        <f>IF(OR($B235="",$A235&gt;$B$9,E$219=""),"",IF(COUNTIFS(BD!$B$3:$B$5001,E$219,BD!$A$3:$A$5001,"&gt;="&amp;$C$7,BD!$A$3:$A$5001,"&lt;="&amp;$B235,BD!$N$3:$N$5001,"&lt;&gt;")=0,"",SUMIFS(BD!$N$3:$N$5001,BD!$B$3:$B$5001,E$219,BD!$A$3:$A$5001,_xlfn.MAXIFS(BD!$A$3:$A$5001,BD!$B$3:$B$5001,E$219,BD!$A$3:$A$5001,"&gt;="&amp;$C$7,BD!$A$3:$A$5001,"&lt;="&amp;$B235,BD!$N$3:$N$5001,"&lt;&gt;"))))</f>
        <v/>
      </c>
      <c r="F235" s="43" t="str">
        <f>IF(OR($B235="",$A235&gt;$B$9,F$219=""),"",IF(COUNTIFS(BD!$B$3:$B$5001,F$219,BD!$A$3:$A$5001,"&gt;="&amp;$C$7,BD!$A$3:$A$5001,"&lt;="&amp;$B235,BD!$N$3:$N$5001,"&lt;&gt;")=0,"",SUMIFS(BD!$N$3:$N$5001,BD!$B$3:$B$5001,F$219,BD!$A$3:$A$5001,_xlfn.MAXIFS(BD!$A$3:$A$5001,BD!$B$3:$B$5001,F$219,BD!$A$3:$A$5001,"&gt;="&amp;$C$7,BD!$A$3:$A$5001,"&lt;="&amp;$B235,BD!$N$3:$N$5001,"&lt;&gt;"))))</f>
        <v/>
      </c>
      <c r="G235" s="43" t="str">
        <f>IF(OR($B235="",$A235&gt;$B$9,G$219=""),"",IF(COUNTIFS(BD!$B$3:$B$5001,G$219,BD!$A$3:$A$5001,"&gt;="&amp;$C$7,BD!$A$3:$A$5001,"&lt;="&amp;$B235,BD!$N$3:$N$5001,"&lt;&gt;")=0,"",SUMIFS(BD!$N$3:$N$5001,BD!$B$3:$B$5001,G$219,BD!$A$3:$A$5001,_xlfn.MAXIFS(BD!$A$3:$A$5001,BD!$B$3:$B$5001,G$219,BD!$A$3:$A$5001,"&gt;="&amp;$C$7,BD!$A$3:$A$5001,"&lt;="&amp;$B235,BD!$N$3:$N$5001,"&lt;&gt;"))))</f>
        <v/>
      </c>
      <c r="H235" s="43" t="str">
        <f>IF(OR($B235="",$A235&gt;$B$9,H$219=""),"",IF(COUNTIFS(BD!$B$3:$B$5001,H$219,BD!$A$3:$A$5001,"&gt;="&amp;$C$7,BD!$A$3:$A$5001,"&lt;="&amp;$B235,BD!$N$3:$N$5001,"&lt;&gt;")=0,"",SUMIFS(BD!$N$3:$N$5001,BD!$B$3:$B$5001,H$219,BD!$A$3:$A$5001,_xlfn.MAXIFS(BD!$A$3:$A$5001,BD!$B$3:$B$5001,H$219,BD!$A$3:$A$5001,"&gt;="&amp;$C$7,BD!$A$3:$A$5001,"&lt;="&amp;$B235,BD!$N$3:$N$5001,"&lt;&gt;"))))</f>
        <v/>
      </c>
      <c r="I235" s="43" t="str">
        <f>IF(OR($B235="",$A235&gt;$B$9,I$219=""),"",IF(COUNTIFS(BD!$B$3:$B$5001,I$219,BD!$A$3:$A$5001,"&gt;="&amp;$C$7,BD!$A$3:$A$5001,"&lt;="&amp;$B235,BD!$N$3:$N$5001,"&lt;&gt;")=0,"",SUMIFS(BD!$N$3:$N$5001,BD!$B$3:$B$5001,I$219,BD!$A$3:$A$5001,_xlfn.MAXIFS(BD!$A$3:$A$5001,BD!$B$3:$B$5001,I$219,BD!$A$3:$A$5001,"&gt;="&amp;$C$7,BD!$A$3:$A$5001,"&lt;="&amp;$B235,BD!$N$3:$N$5001,"&lt;&gt;"))))</f>
        <v/>
      </c>
      <c r="J235" s="43" t="str">
        <f>IF(OR($B235="",$A235&gt;$B$9,J$219=""),"",IF(COUNTIFS(BD!$B$3:$B$5001,J$219,BD!$A$3:$A$5001,"&gt;="&amp;$C$7,BD!$A$3:$A$5001,"&lt;="&amp;$B235,BD!$N$3:$N$5001,"&lt;&gt;")=0,"",SUMIFS(BD!$N$3:$N$5001,BD!$B$3:$B$5001,J$219,BD!$A$3:$A$5001,_xlfn.MAXIFS(BD!$A$3:$A$5001,BD!$B$3:$B$5001,J$219,BD!$A$3:$A$5001,"&gt;="&amp;$C$7,BD!$A$3:$A$5001,"&lt;="&amp;$B235,BD!$N$3:$N$5001,"&lt;&gt;"))))</f>
        <v/>
      </c>
      <c r="K235" s="43" t="str">
        <f>IF(OR($B235="",$A235&gt;$B$9,K$219=""),"",IF(COUNTIFS(BD!$B$3:$B$5001,K$219,BD!$A$3:$A$5001,"&gt;="&amp;$C$7,BD!$A$3:$A$5001,"&lt;="&amp;$B235,BD!$N$3:$N$5001,"&lt;&gt;")=0,"",SUMIFS(BD!$N$3:$N$5001,BD!$B$3:$B$5001,K$219,BD!$A$3:$A$5001,_xlfn.MAXIFS(BD!$A$3:$A$5001,BD!$B$3:$B$5001,K$219,BD!$A$3:$A$5001,"&gt;="&amp;$C$7,BD!$A$3:$A$5001,"&lt;="&amp;$B235,BD!$N$3:$N$5001,"&lt;&gt;"))))</f>
        <v/>
      </c>
      <c r="L235" s="43" t="str">
        <f>IF(OR($B235="",$A235&gt;$B$9,L$219=""),"",IF(COUNTIFS(BD!$B$3:$B$5001,L$219,BD!$A$3:$A$5001,"&gt;="&amp;$C$7,BD!$A$3:$A$5001,"&lt;="&amp;$B235,BD!$N$3:$N$5001,"&lt;&gt;")=0,"",SUMIFS(BD!$N$3:$N$5001,BD!$B$3:$B$5001,L$219,BD!$A$3:$A$5001,_xlfn.MAXIFS(BD!$A$3:$A$5001,BD!$B$3:$B$5001,L$219,BD!$A$3:$A$5001,"&gt;="&amp;$C$7,BD!$A$3:$A$5001,"&lt;="&amp;$B235,BD!$N$3:$N$5001,"&lt;&gt;"))))</f>
        <v/>
      </c>
      <c r="M235" s="43" t="str">
        <f>IF(OR($B235="",$A235&gt;$B$9,M$219=""),"",IF(COUNTIFS(BD!$B$3:$B$5001,M$219,BD!$A$3:$A$5001,"&gt;="&amp;$C$7,BD!$A$3:$A$5001,"&lt;="&amp;$B235,BD!$N$3:$N$5001,"&lt;&gt;")=0,"",SUMIFS(BD!$N$3:$N$5001,BD!$B$3:$B$5001,M$219,BD!$A$3:$A$5001,_xlfn.MAXIFS(BD!$A$3:$A$5001,BD!$B$3:$B$5001,M$219,BD!$A$3:$A$5001,"&gt;="&amp;$C$7,BD!$A$3:$A$5001,"&lt;="&amp;$B235,BD!$N$3:$N$5001,"&lt;&gt;"))))</f>
        <v/>
      </c>
      <c r="N235" s="43" t="str">
        <f>IF(OR($B235="",$A235&gt;$B$9,N$219=""),"",IF(COUNTIFS(BD!$B$3:$B$5001,N$219,BD!$A$3:$A$5001,"&gt;="&amp;$C$7,BD!$A$3:$A$5001,"&lt;="&amp;$B235,BD!$N$3:$N$5001,"&lt;&gt;")=0,"",SUMIFS(BD!$N$3:$N$5001,BD!$B$3:$B$5001,N$219,BD!$A$3:$A$5001,_xlfn.MAXIFS(BD!$A$3:$A$5001,BD!$B$3:$B$5001,N$219,BD!$A$3:$A$5001,"&gt;="&amp;$C$7,BD!$A$3:$A$5001,"&lt;="&amp;$B235,BD!$N$3:$N$5001,"&lt;&gt;"))))</f>
        <v/>
      </c>
      <c r="O235" s="43" t="str">
        <f>IF(OR($B235="",$A235&gt;$B$9,O$219=""),"",IF(COUNTIFS(BD!$B$3:$B$5001,O$219,BD!$A$3:$A$5001,"&gt;="&amp;$C$7,BD!$A$3:$A$5001,"&lt;="&amp;$B235,BD!$N$3:$N$5001,"&lt;&gt;")=0,"",SUMIFS(BD!$N$3:$N$5001,BD!$B$3:$B$5001,O$219,BD!$A$3:$A$5001,_xlfn.MAXIFS(BD!$A$3:$A$5001,BD!$B$3:$B$5001,O$219,BD!$A$3:$A$5001,"&gt;="&amp;$C$7,BD!$A$3:$A$5001,"&lt;="&amp;$B235,BD!$N$3:$N$5001,"&lt;&gt;"))))</f>
        <v/>
      </c>
      <c r="P235" s="43" t="str">
        <f>IF(OR($B235="",$A235&gt;$B$9,P$219=""),"",IF(COUNTIFS(BD!$B$3:$B$5001,P$219,BD!$A$3:$A$5001,"&gt;="&amp;$C$7,BD!$A$3:$A$5001,"&lt;="&amp;$B235,BD!$N$3:$N$5001,"&lt;&gt;")=0,"",SUMIFS(BD!$N$3:$N$5001,BD!$B$3:$B$5001,P$219,BD!$A$3:$A$5001,_xlfn.MAXIFS(BD!$A$3:$A$5001,BD!$B$3:$B$5001,P$219,BD!$A$3:$A$5001,"&gt;="&amp;$C$7,BD!$A$3:$A$5001,"&lt;="&amp;$B235,BD!$N$3:$N$5001,"&lt;&gt;"))))</f>
        <v/>
      </c>
      <c r="Q235" s="43" t="str">
        <f>IF(OR($B235="",$A235&gt;$B$9,Q$219=""),"",IF(COUNTIFS(BD!$B$3:$B$5001,Q$219,BD!$A$3:$A$5001,"&gt;="&amp;$C$7,BD!$A$3:$A$5001,"&lt;="&amp;$B235,BD!$N$3:$N$5001,"&lt;&gt;")=0,"",SUMIFS(BD!$N$3:$N$5001,BD!$B$3:$B$5001,Q$219,BD!$A$3:$A$5001,_xlfn.MAXIFS(BD!$A$3:$A$5001,BD!$B$3:$B$5001,Q$219,BD!$A$3:$A$5001,"&gt;="&amp;$C$7,BD!$A$3:$A$5001,"&lt;="&amp;$B235,BD!$N$3:$N$5001,"&lt;&gt;"))))</f>
        <v/>
      </c>
      <c r="R235" s="43" t="str">
        <f>IF(OR($B235="",$A235&gt;$B$9,R$219=""),"",IF(COUNTIFS(BD!$B$3:$B$5001,R$219,BD!$A$3:$A$5001,"&gt;="&amp;$C$7,BD!$A$3:$A$5001,"&lt;="&amp;$B235,BD!$N$3:$N$5001,"&lt;&gt;")=0,"",SUMIFS(BD!$N$3:$N$5001,BD!$B$3:$B$5001,R$219,BD!$A$3:$A$5001,_xlfn.MAXIFS(BD!$A$3:$A$5001,BD!$B$3:$B$5001,R$219,BD!$A$3:$A$5001,"&gt;="&amp;$C$7,BD!$A$3:$A$5001,"&lt;="&amp;$B235,BD!$N$3:$N$5001,"&lt;&gt;"))))</f>
        <v/>
      </c>
      <c r="S235" s="43" t="str">
        <f>IF(OR($B235="",$A235&gt;$B$9,S$219=""),"",IF(COUNTIFS(BD!$B$3:$B$5001,S$219,BD!$A$3:$A$5001,"&gt;="&amp;$C$7,BD!$A$3:$A$5001,"&lt;="&amp;$B235,BD!$N$3:$N$5001,"&lt;&gt;")=0,"",SUMIFS(BD!$N$3:$N$5001,BD!$B$3:$B$5001,S$219,BD!$A$3:$A$5001,_xlfn.MAXIFS(BD!$A$3:$A$5001,BD!$B$3:$B$5001,S$219,BD!$A$3:$A$5001,"&gt;="&amp;$C$7,BD!$A$3:$A$5001,"&lt;="&amp;$B235,BD!$N$3:$N$5001,"&lt;&gt;"))))</f>
        <v/>
      </c>
      <c r="T235" s="43" t="str">
        <f>IF(OR($B235="",$A235&gt;$B$9,T$219=""),"",IF(COUNTIFS(BD!$B$3:$B$5001,T$219,BD!$A$3:$A$5001,"&gt;="&amp;$C$7,BD!$A$3:$A$5001,"&lt;="&amp;$B235,BD!$N$3:$N$5001,"&lt;&gt;")=0,"",SUMIFS(BD!$N$3:$N$5001,BD!$B$3:$B$5001,T$219,BD!$A$3:$A$5001,_xlfn.MAXIFS(BD!$A$3:$A$5001,BD!$B$3:$B$5001,T$219,BD!$A$3:$A$5001,"&gt;="&amp;$C$7,BD!$A$3:$A$5001,"&lt;="&amp;$B235,BD!$N$3:$N$5001,"&lt;&gt;"))))</f>
        <v/>
      </c>
      <c r="U235" s="43" t="str">
        <f>IF(OR($B235="",$A235&gt;$B$9,U$219=""),"",IF(COUNTIFS(BD!$B$3:$B$5001,U$219,BD!$A$3:$A$5001,"&gt;="&amp;$C$7,BD!$A$3:$A$5001,"&lt;="&amp;$B235,BD!$N$3:$N$5001,"&lt;&gt;")=0,"",SUMIFS(BD!$N$3:$N$5001,BD!$B$3:$B$5001,U$219,BD!$A$3:$A$5001,_xlfn.MAXIFS(BD!$A$3:$A$5001,BD!$B$3:$B$5001,U$219,BD!$A$3:$A$5001,"&gt;="&amp;$C$7,BD!$A$3:$A$5001,"&lt;="&amp;$B235,BD!$N$3:$N$5001,"&lt;&gt;"))))</f>
        <v/>
      </c>
      <c r="V235" s="43" t="str">
        <f>IF(OR($B235="",$A235&gt;$B$9,V$219=""),"",IF(COUNTIFS(BD!$B$3:$B$5001,V$219,BD!$A$3:$A$5001,"&gt;="&amp;$C$7,BD!$A$3:$A$5001,"&lt;="&amp;$B235,BD!$N$3:$N$5001,"&lt;&gt;")=0,"",SUMIFS(BD!$N$3:$N$5001,BD!$B$3:$B$5001,V$219,BD!$A$3:$A$5001,_xlfn.MAXIFS(BD!$A$3:$A$5001,BD!$B$3:$B$5001,V$219,BD!$A$3:$A$5001,"&gt;="&amp;$C$7,BD!$A$3:$A$5001,"&lt;="&amp;$B235,BD!$N$3:$N$5001,"&lt;&gt;"))))</f>
        <v/>
      </c>
    </row>
    <row r="236">
      <c r="A236" s="38">
        <v>17</v>
      </c>
      <c r="B236" s="42">
        <f>$B$28</f>
        <v>46312</v>
      </c>
      <c r="C236" s="43" t="str">
        <f>IF(OR($B236="",$A236&gt;$B$9,C$219=""),"",IF(COUNTIFS(BD!$B$3:$B$5001,C$219,BD!$A$3:$A$5001,"&gt;="&amp;$C$7,BD!$A$3:$A$5001,"&lt;="&amp;$B236,BD!$N$3:$N$5001,"&lt;&gt;")=0,"",SUMIFS(BD!$N$3:$N$5001,BD!$B$3:$B$5001,C$219,BD!$A$3:$A$5001,_xlfn.MAXIFS(BD!$A$3:$A$5001,BD!$B$3:$B$5001,C$219,BD!$A$3:$A$5001,"&gt;="&amp;$C$7,BD!$A$3:$A$5001,"&lt;="&amp;$B236,BD!$N$3:$N$5001,"&lt;&gt;"))))</f>
        <v/>
      </c>
      <c r="D236" s="43" t="str">
        <f>IF(OR($B236="",$A236&gt;$B$9,D$219=""),"",IF(COUNTIFS(BD!$B$3:$B$5001,D$219,BD!$A$3:$A$5001,"&gt;="&amp;$C$7,BD!$A$3:$A$5001,"&lt;="&amp;$B236,BD!$N$3:$N$5001,"&lt;&gt;")=0,"",SUMIFS(BD!$N$3:$N$5001,BD!$B$3:$B$5001,D$219,BD!$A$3:$A$5001,_xlfn.MAXIFS(BD!$A$3:$A$5001,BD!$B$3:$B$5001,D$219,BD!$A$3:$A$5001,"&gt;="&amp;$C$7,BD!$A$3:$A$5001,"&lt;="&amp;$B236,BD!$N$3:$N$5001,"&lt;&gt;"))))</f>
        <v/>
      </c>
      <c r="E236" s="43" t="str">
        <f>IF(OR($B236="",$A236&gt;$B$9,E$219=""),"",IF(COUNTIFS(BD!$B$3:$B$5001,E$219,BD!$A$3:$A$5001,"&gt;="&amp;$C$7,BD!$A$3:$A$5001,"&lt;="&amp;$B236,BD!$N$3:$N$5001,"&lt;&gt;")=0,"",SUMIFS(BD!$N$3:$N$5001,BD!$B$3:$B$5001,E$219,BD!$A$3:$A$5001,_xlfn.MAXIFS(BD!$A$3:$A$5001,BD!$B$3:$B$5001,E$219,BD!$A$3:$A$5001,"&gt;="&amp;$C$7,BD!$A$3:$A$5001,"&lt;="&amp;$B236,BD!$N$3:$N$5001,"&lt;&gt;"))))</f>
        <v/>
      </c>
      <c r="F236" s="43" t="str">
        <f>IF(OR($B236="",$A236&gt;$B$9,F$219=""),"",IF(COUNTIFS(BD!$B$3:$B$5001,F$219,BD!$A$3:$A$5001,"&gt;="&amp;$C$7,BD!$A$3:$A$5001,"&lt;="&amp;$B236,BD!$N$3:$N$5001,"&lt;&gt;")=0,"",SUMIFS(BD!$N$3:$N$5001,BD!$B$3:$B$5001,F$219,BD!$A$3:$A$5001,_xlfn.MAXIFS(BD!$A$3:$A$5001,BD!$B$3:$B$5001,F$219,BD!$A$3:$A$5001,"&gt;="&amp;$C$7,BD!$A$3:$A$5001,"&lt;="&amp;$B236,BD!$N$3:$N$5001,"&lt;&gt;"))))</f>
        <v/>
      </c>
      <c r="G236" s="43" t="str">
        <f>IF(OR($B236="",$A236&gt;$B$9,G$219=""),"",IF(COUNTIFS(BD!$B$3:$B$5001,G$219,BD!$A$3:$A$5001,"&gt;="&amp;$C$7,BD!$A$3:$A$5001,"&lt;="&amp;$B236,BD!$N$3:$N$5001,"&lt;&gt;")=0,"",SUMIFS(BD!$N$3:$N$5001,BD!$B$3:$B$5001,G$219,BD!$A$3:$A$5001,_xlfn.MAXIFS(BD!$A$3:$A$5001,BD!$B$3:$B$5001,G$219,BD!$A$3:$A$5001,"&gt;="&amp;$C$7,BD!$A$3:$A$5001,"&lt;="&amp;$B236,BD!$N$3:$N$5001,"&lt;&gt;"))))</f>
        <v/>
      </c>
      <c r="H236" s="43" t="str">
        <f>IF(OR($B236="",$A236&gt;$B$9,H$219=""),"",IF(COUNTIFS(BD!$B$3:$B$5001,H$219,BD!$A$3:$A$5001,"&gt;="&amp;$C$7,BD!$A$3:$A$5001,"&lt;="&amp;$B236,BD!$N$3:$N$5001,"&lt;&gt;")=0,"",SUMIFS(BD!$N$3:$N$5001,BD!$B$3:$B$5001,H$219,BD!$A$3:$A$5001,_xlfn.MAXIFS(BD!$A$3:$A$5001,BD!$B$3:$B$5001,H$219,BD!$A$3:$A$5001,"&gt;="&amp;$C$7,BD!$A$3:$A$5001,"&lt;="&amp;$B236,BD!$N$3:$N$5001,"&lt;&gt;"))))</f>
        <v/>
      </c>
      <c r="I236" s="43" t="str">
        <f>IF(OR($B236="",$A236&gt;$B$9,I$219=""),"",IF(COUNTIFS(BD!$B$3:$B$5001,I$219,BD!$A$3:$A$5001,"&gt;="&amp;$C$7,BD!$A$3:$A$5001,"&lt;="&amp;$B236,BD!$N$3:$N$5001,"&lt;&gt;")=0,"",SUMIFS(BD!$N$3:$N$5001,BD!$B$3:$B$5001,I$219,BD!$A$3:$A$5001,_xlfn.MAXIFS(BD!$A$3:$A$5001,BD!$B$3:$B$5001,I$219,BD!$A$3:$A$5001,"&gt;="&amp;$C$7,BD!$A$3:$A$5001,"&lt;="&amp;$B236,BD!$N$3:$N$5001,"&lt;&gt;"))))</f>
        <v/>
      </c>
      <c r="J236" s="43" t="str">
        <f>IF(OR($B236="",$A236&gt;$B$9,J$219=""),"",IF(COUNTIFS(BD!$B$3:$B$5001,J$219,BD!$A$3:$A$5001,"&gt;="&amp;$C$7,BD!$A$3:$A$5001,"&lt;="&amp;$B236,BD!$N$3:$N$5001,"&lt;&gt;")=0,"",SUMIFS(BD!$N$3:$N$5001,BD!$B$3:$B$5001,J$219,BD!$A$3:$A$5001,_xlfn.MAXIFS(BD!$A$3:$A$5001,BD!$B$3:$B$5001,J$219,BD!$A$3:$A$5001,"&gt;="&amp;$C$7,BD!$A$3:$A$5001,"&lt;="&amp;$B236,BD!$N$3:$N$5001,"&lt;&gt;"))))</f>
        <v/>
      </c>
      <c r="K236" s="43" t="str">
        <f>IF(OR($B236="",$A236&gt;$B$9,K$219=""),"",IF(COUNTIFS(BD!$B$3:$B$5001,K$219,BD!$A$3:$A$5001,"&gt;="&amp;$C$7,BD!$A$3:$A$5001,"&lt;="&amp;$B236,BD!$N$3:$N$5001,"&lt;&gt;")=0,"",SUMIFS(BD!$N$3:$N$5001,BD!$B$3:$B$5001,K$219,BD!$A$3:$A$5001,_xlfn.MAXIFS(BD!$A$3:$A$5001,BD!$B$3:$B$5001,K$219,BD!$A$3:$A$5001,"&gt;="&amp;$C$7,BD!$A$3:$A$5001,"&lt;="&amp;$B236,BD!$N$3:$N$5001,"&lt;&gt;"))))</f>
        <v/>
      </c>
      <c r="L236" s="43" t="str">
        <f>IF(OR($B236="",$A236&gt;$B$9,L$219=""),"",IF(COUNTIFS(BD!$B$3:$B$5001,L$219,BD!$A$3:$A$5001,"&gt;="&amp;$C$7,BD!$A$3:$A$5001,"&lt;="&amp;$B236,BD!$N$3:$N$5001,"&lt;&gt;")=0,"",SUMIFS(BD!$N$3:$N$5001,BD!$B$3:$B$5001,L$219,BD!$A$3:$A$5001,_xlfn.MAXIFS(BD!$A$3:$A$5001,BD!$B$3:$B$5001,L$219,BD!$A$3:$A$5001,"&gt;="&amp;$C$7,BD!$A$3:$A$5001,"&lt;="&amp;$B236,BD!$N$3:$N$5001,"&lt;&gt;"))))</f>
        <v/>
      </c>
      <c r="M236" s="43" t="str">
        <f>IF(OR($B236="",$A236&gt;$B$9,M$219=""),"",IF(COUNTIFS(BD!$B$3:$B$5001,M$219,BD!$A$3:$A$5001,"&gt;="&amp;$C$7,BD!$A$3:$A$5001,"&lt;="&amp;$B236,BD!$N$3:$N$5001,"&lt;&gt;")=0,"",SUMIFS(BD!$N$3:$N$5001,BD!$B$3:$B$5001,M$219,BD!$A$3:$A$5001,_xlfn.MAXIFS(BD!$A$3:$A$5001,BD!$B$3:$B$5001,M$219,BD!$A$3:$A$5001,"&gt;="&amp;$C$7,BD!$A$3:$A$5001,"&lt;="&amp;$B236,BD!$N$3:$N$5001,"&lt;&gt;"))))</f>
        <v/>
      </c>
      <c r="N236" s="43" t="str">
        <f>IF(OR($B236="",$A236&gt;$B$9,N$219=""),"",IF(COUNTIFS(BD!$B$3:$B$5001,N$219,BD!$A$3:$A$5001,"&gt;="&amp;$C$7,BD!$A$3:$A$5001,"&lt;="&amp;$B236,BD!$N$3:$N$5001,"&lt;&gt;")=0,"",SUMIFS(BD!$N$3:$N$5001,BD!$B$3:$B$5001,N$219,BD!$A$3:$A$5001,_xlfn.MAXIFS(BD!$A$3:$A$5001,BD!$B$3:$B$5001,N$219,BD!$A$3:$A$5001,"&gt;="&amp;$C$7,BD!$A$3:$A$5001,"&lt;="&amp;$B236,BD!$N$3:$N$5001,"&lt;&gt;"))))</f>
        <v/>
      </c>
      <c r="O236" s="43" t="str">
        <f>IF(OR($B236="",$A236&gt;$B$9,O$219=""),"",IF(COUNTIFS(BD!$B$3:$B$5001,O$219,BD!$A$3:$A$5001,"&gt;="&amp;$C$7,BD!$A$3:$A$5001,"&lt;="&amp;$B236,BD!$N$3:$N$5001,"&lt;&gt;")=0,"",SUMIFS(BD!$N$3:$N$5001,BD!$B$3:$B$5001,O$219,BD!$A$3:$A$5001,_xlfn.MAXIFS(BD!$A$3:$A$5001,BD!$B$3:$B$5001,O$219,BD!$A$3:$A$5001,"&gt;="&amp;$C$7,BD!$A$3:$A$5001,"&lt;="&amp;$B236,BD!$N$3:$N$5001,"&lt;&gt;"))))</f>
        <v/>
      </c>
      <c r="P236" s="43" t="str">
        <f>IF(OR($B236="",$A236&gt;$B$9,P$219=""),"",IF(COUNTIFS(BD!$B$3:$B$5001,P$219,BD!$A$3:$A$5001,"&gt;="&amp;$C$7,BD!$A$3:$A$5001,"&lt;="&amp;$B236,BD!$N$3:$N$5001,"&lt;&gt;")=0,"",SUMIFS(BD!$N$3:$N$5001,BD!$B$3:$B$5001,P$219,BD!$A$3:$A$5001,_xlfn.MAXIFS(BD!$A$3:$A$5001,BD!$B$3:$B$5001,P$219,BD!$A$3:$A$5001,"&gt;="&amp;$C$7,BD!$A$3:$A$5001,"&lt;="&amp;$B236,BD!$N$3:$N$5001,"&lt;&gt;"))))</f>
        <v/>
      </c>
      <c r="Q236" s="43" t="str">
        <f>IF(OR($B236="",$A236&gt;$B$9,Q$219=""),"",IF(COUNTIFS(BD!$B$3:$B$5001,Q$219,BD!$A$3:$A$5001,"&gt;="&amp;$C$7,BD!$A$3:$A$5001,"&lt;="&amp;$B236,BD!$N$3:$N$5001,"&lt;&gt;")=0,"",SUMIFS(BD!$N$3:$N$5001,BD!$B$3:$B$5001,Q$219,BD!$A$3:$A$5001,_xlfn.MAXIFS(BD!$A$3:$A$5001,BD!$B$3:$B$5001,Q$219,BD!$A$3:$A$5001,"&gt;="&amp;$C$7,BD!$A$3:$A$5001,"&lt;="&amp;$B236,BD!$N$3:$N$5001,"&lt;&gt;"))))</f>
        <v/>
      </c>
      <c r="R236" s="43" t="str">
        <f>IF(OR($B236="",$A236&gt;$B$9,R$219=""),"",IF(COUNTIFS(BD!$B$3:$B$5001,R$219,BD!$A$3:$A$5001,"&gt;="&amp;$C$7,BD!$A$3:$A$5001,"&lt;="&amp;$B236,BD!$N$3:$N$5001,"&lt;&gt;")=0,"",SUMIFS(BD!$N$3:$N$5001,BD!$B$3:$B$5001,R$219,BD!$A$3:$A$5001,_xlfn.MAXIFS(BD!$A$3:$A$5001,BD!$B$3:$B$5001,R$219,BD!$A$3:$A$5001,"&gt;="&amp;$C$7,BD!$A$3:$A$5001,"&lt;="&amp;$B236,BD!$N$3:$N$5001,"&lt;&gt;"))))</f>
        <v/>
      </c>
      <c r="S236" s="43" t="str">
        <f>IF(OR($B236="",$A236&gt;$B$9,S$219=""),"",IF(COUNTIFS(BD!$B$3:$B$5001,S$219,BD!$A$3:$A$5001,"&gt;="&amp;$C$7,BD!$A$3:$A$5001,"&lt;="&amp;$B236,BD!$N$3:$N$5001,"&lt;&gt;")=0,"",SUMIFS(BD!$N$3:$N$5001,BD!$B$3:$B$5001,S$219,BD!$A$3:$A$5001,_xlfn.MAXIFS(BD!$A$3:$A$5001,BD!$B$3:$B$5001,S$219,BD!$A$3:$A$5001,"&gt;="&amp;$C$7,BD!$A$3:$A$5001,"&lt;="&amp;$B236,BD!$N$3:$N$5001,"&lt;&gt;"))))</f>
        <v/>
      </c>
      <c r="T236" s="43" t="str">
        <f>IF(OR($B236="",$A236&gt;$B$9,T$219=""),"",IF(COUNTIFS(BD!$B$3:$B$5001,T$219,BD!$A$3:$A$5001,"&gt;="&amp;$C$7,BD!$A$3:$A$5001,"&lt;="&amp;$B236,BD!$N$3:$N$5001,"&lt;&gt;")=0,"",SUMIFS(BD!$N$3:$N$5001,BD!$B$3:$B$5001,T$219,BD!$A$3:$A$5001,_xlfn.MAXIFS(BD!$A$3:$A$5001,BD!$B$3:$B$5001,T$219,BD!$A$3:$A$5001,"&gt;="&amp;$C$7,BD!$A$3:$A$5001,"&lt;="&amp;$B236,BD!$N$3:$N$5001,"&lt;&gt;"))))</f>
        <v/>
      </c>
      <c r="U236" s="43" t="str">
        <f>IF(OR($B236="",$A236&gt;$B$9,U$219=""),"",IF(COUNTIFS(BD!$B$3:$B$5001,U$219,BD!$A$3:$A$5001,"&gt;="&amp;$C$7,BD!$A$3:$A$5001,"&lt;="&amp;$B236,BD!$N$3:$N$5001,"&lt;&gt;")=0,"",SUMIFS(BD!$N$3:$N$5001,BD!$B$3:$B$5001,U$219,BD!$A$3:$A$5001,_xlfn.MAXIFS(BD!$A$3:$A$5001,BD!$B$3:$B$5001,U$219,BD!$A$3:$A$5001,"&gt;="&amp;$C$7,BD!$A$3:$A$5001,"&lt;="&amp;$B236,BD!$N$3:$N$5001,"&lt;&gt;"))))</f>
        <v/>
      </c>
      <c r="V236" s="43" t="str">
        <f>IF(OR($B236="",$A236&gt;$B$9,V$219=""),"",IF(COUNTIFS(BD!$B$3:$B$5001,V$219,BD!$A$3:$A$5001,"&gt;="&amp;$C$7,BD!$A$3:$A$5001,"&lt;="&amp;$B236,BD!$N$3:$N$5001,"&lt;&gt;")=0,"",SUMIFS(BD!$N$3:$N$5001,BD!$B$3:$B$5001,V$219,BD!$A$3:$A$5001,_xlfn.MAXIFS(BD!$A$3:$A$5001,BD!$B$3:$B$5001,V$219,BD!$A$3:$A$5001,"&gt;="&amp;$C$7,BD!$A$3:$A$5001,"&lt;="&amp;$B236,BD!$N$3:$N$5001,"&lt;&gt;"))))</f>
        <v/>
      </c>
    </row>
    <row r="237">
      <c r="A237" s="38">
        <v>18</v>
      </c>
      <c r="B237" s="42">
        <f>$B$29</f>
        <v>46313</v>
      </c>
      <c r="C237" s="43" t="str">
        <f>IF(OR($B237="",$A237&gt;$B$9,C$219=""),"",IF(COUNTIFS(BD!$B$3:$B$5001,C$219,BD!$A$3:$A$5001,"&gt;="&amp;$C$7,BD!$A$3:$A$5001,"&lt;="&amp;$B237,BD!$N$3:$N$5001,"&lt;&gt;")=0,"",SUMIFS(BD!$N$3:$N$5001,BD!$B$3:$B$5001,C$219,BD!$A$3:$A$5001,_xlfn.MAXIFS(BD!$A$3:$A$5001,BD!$B$3:$B$5001,C$219,BD!$A$3:$A$5001,"&gt;="&amp;$C$7,BD!$A$3:$A$5001,"&lt;="&amp;$B237,BD!$N$3:$N$5001,"&lt;&gt;"))))</f>
        <v/>
      </c>
      <c r="D237" s="43" t="str">
        <f>IF(OR($B237="",$A237&gt;$B$9,D$219=""),"",IF(COUNTIFS(BD!$B$3:$B$5001,D$219,BD!$A$3:$A$5001,"&gt;="&amp;$C$7,BD!$A$3:$A$5001,"&lt;="&amp;$B237,BD!$N$3:$N$5001,"&lt;&gt;")=0,"",SUMIFS(BD!$N$3:$N$5001,BD!$B$3:$B$5001,D$219,BD!$A$3:$A$5001,_xlfn.MAXIFS(BD!$A$3:$A$5001,BD!$B$3:$B$5001,D$219,BD!$A$3:$A$5001,"&gt;="&amp;$C$7,BD!$A$3:$A$5001,"&lt;="&amp;$B237,BD!$N$3:$N$5001,"&lt;&gt;"))))</f>
        <v/>
      </c>
      <c r="E237" s="43" t="str">
        <f>IF(OR($B237="",$A237&gt;$B$9,E$219=""),"",IF(COUNTIFS(BD!$B$3:$B$5001,E$219,BD!$A$3:$A$5001,"&gt;="&amp;$C$7,BD!$A$3:$A$5001,"&lt;="&amp;$B237,BD!$N$3:$N$5001,"&lt;&gt;")=0,"",SUMIFS(BD!$N$3:$N$5001,BD!$B$3:$B$5001,E$219,BD!$A$3:$A$5001,_xlfn.MAXIFS(BD!$A$3:$A$5001,BD!$B$3:$B$5001,E$219,BD!$A$3:$A$5001,"&gt;="&amp;$C$7,BD!$A$3:$A$5001,"&lt;="&amp;$B237,BD!$N$3:$N$5001,"&lt;&gt;"))))</f>
        <v/>
      </c>
      <c r="F237" s="43" t="str">
        <f>IF(OR($B237="",$A237&gt;$B$9,F$219=""),"",IF(COUNTIFS(BD!$B$3:$B$5001,F$219,BD!$A$3:$A$5001,"&gt;="&amp;$C$7,BD!$A$3:$A$5001,"&lt;="&amp;$B237,BD!$N$3:$N$5001,"&lt;&gt;")=0,"",SUMIFS(BD!$N$3:$N$5001,BD!$B$3:$B$5001,F$219,BD!$A$3:$A$5001,_xlfn.MAXIFS(BD!$A$3:$A$5001,BD!$B$3:$B$5001,F$219,BD!$A$3:$A$5001,"&gt;="&amp;$C$7,BD!$A$3:$A$5001,"&lt;="&amp;$B237,BD!$N$3:$N$5001,"&lt;&gt;"))))</f>
        <v/>
      </c>
      <c r="G237" s="43" t="str">
        <f>IF(OR($B237="",$A237&gt;$B$9,G$219=""),"",IF(COUNTIFS(BD!$B$3:$B$5001,G$219,BD!$A$3:$A$5001,"&gt;="&amp;$C$7,BD!$A$3:$A$5001,"&lt;="&amp;$B237,BD!$N$3:$N$5001,"&lt;&gt;")=0,"",SUMIFS(BD!$N$3:$N$5001,BD!$B$3:$B$5001,G$219,BD!$A$3:$A$5001,_xlfn.MAXIFS(BD!$A$3:$A$5001,BD!$B$3:$B$5001,G$219,BD!$A$3:$A$5001,"&gt;="&amp;$C$7,BD!$A$3:$A$5001,"&lt;="&amp;$B237,BD!$N$3:$N$5001,"&lt;&gt;"))))</f>
        <v/>
      </c>
      <c r="H237" s="43" t="str">
        <f>IF(OR($B237="",$A237&gt;$B$9,H$219=""),"",IF(COUNTIFS(BD!$B$3:$B$5001,H$219,BD!$A$3:$A$5001,"&gt;="&amp;$C$7,BD!$A$3:$A$5001,"&lt;="&amp;$B237,BD!$N$3:$N$5001,"&lt;&gt;")=0,"",SUMIFS(BD!$N$3:$N$5001,BD!$B$3:$B$5001,H$219,BD!$A$3:$A$5001,_xlfn.MAXIFS(BD!$A$3:$A$5001,BD!$B$3:$B$5001,H$219,BD!$A$3:$A$5001,"&gt;="&amp;$C$7,BD!$A$3:$A$5001,"&lt;="&amp;$B237,BD!$N$3:$N$5001,"&lt;&gt;"))))</f>
        <v/>
      </c>
      <c r="I237" s="43" t="str">
        <f>IF(OR($B237="",$A237&gt;$B$9,I$219=""),"",IF(COUNTIFS(BD!$B$3:$B$5001,I$219,BD!$A$3:$A$5001,"&gt;="&amp;$C$7,BD!$A$3:$A$5001,"&lt;="&amp;$B237,BD!$N$3:$N$5001,"&lt;&gt;")=0,"",SUMIFS(BD!$N$3:$N$5001,BD!$B$3:$B$5001,I$219,BD!$A$3:$A$5001,_xlfn.MAXIFS(BD!$A$3:$A$5001,BD!$B$3:$B$5001,I$219,BD!$A$3:$A$5001,"&gt;="&amp;$C$7,BD!$A$3:$A$5001,"&lt;="&amp;$B237,BD!$N$3:$N$5001,"&lt;&gt;"))))</f>
        <v/>
      </c>
      <c r="J237" s="43" t="str">
        <f>IF(OR($B237="",$A237&gt;$B$9,J$219=""),"",IF(COUNTIFS(BD!$B$3:$B$5001,J$219,BD!$A$3:$A$5001,"&gt;="&amp;$C$7,BD!$A$3:$A$5001,"&lt;="&amp;$B237,BD!$N$3:$N$5001,"&lt;&gt;")=0,"",SUMIFS(BD!$N$3:$N$5001,BD!$B$3:$B$5001,J$219,BD!$A$3:$A$5001,_xlfn.MAXIFS(BD!$A$3:$A$5001,BD!$B$3:$B$5001,J$219,BD!$A$3:$A$5001,"&gt;="&amp;$C$7,BD!$A$3:$A$5001,"&lt;="&amp;$B237,BD!$N$3:$N$5001,"&lt;&gt;"))))</f>
        <v/>
      </c>
      <c r="K237" s="43" t="str">
        <f>IF(OR($B237="",$A237&gt;$B$9,K$219=""),"",IF(COUNTIFS(BD!$B$3:$B$5001,K$219,BD!$A$3:$A$5001,"&gt;="&amp;$C$7,BD!$A$3:$A$5001,"&lt;="&amp;$B237,BD!$N$3:$N$5001,"&lt;&gt;")=0,"",SUMIFS(BD!$N$3:$N$5001,BD!$B$3:$B$5001,K$219,BD!$A$3:$A$5001,_xlfn.MAXIFS(BD!$A$3:$A$5001,BD!$B$3:$B$5001,K$219,BD!$A$3:$A$5001,"&gt;="&amp;$C$7,BD!$A$3:$A$5001,"&lt;="&amp;$B237,BD!$N$3:$N$5001,"&lt;&gt;"))))</f>
        <v/>
      </c>
      <c r="L237" s="43" t="str">
        <f>IF(OR($B237="",$A237&gt;$B$9,L$219=""),"",IF(COUNTIFS(BD!$B$3:$B$5001,L$219,BD!$A$3:$A$5001,"&gt;="&amp;$C$7,BD!$A$3:$A$5001,"&lt;="&amp;$B237,BD!$N$3:$N$5001,"&lt;&gt;")=0,"",SUMIFS(BD!$N$3:$N$5001,BD!$B$3:$B$5001,L$219,BD!$A$3:$A$5001,_xlfn.MAXIFS(BD!$A$3:$A$5001,BD!$B$3:$B$5001,L$219,BD!$A$3:$A$5001,"&gt;="&amp;$C$7,BD!$A$3:$A$5001,"&lt;="&amp;$B237,BD!$N$3:$N$5001,"&lt;&gt;"))))</f>
        <v/>
      </c>
      <c r="M237" s="43" t="str">
        <f>IF(OR($B237="",$A237&gt;$B$9,M$219=""),"",IF(COUNTIFS(BD!$B$3:$B$5001,M$219,BD!$A$3:$A$5001,"&gt;="&amp;$C$7,BD!$A$3:$A$5001,"&lt;="&amp;$B237,BD!$N$3:$N$5001,"&lt;&gt;")=0,"",SUMIFS(BD!$N$3:$N$5001,BD!$B$3:$B$5001,M$219,BD!$A$3:$A$5001,_xlfn.MAXIFS(BD!$A$3:$A$5001,BD!$B$3:$B$5001,M$219,BD!$A$3:$A$5001,"&gt;="&amp;$C$7,BD!$A$3:$A$5001,"&lt;="&amp;$B237,BD!$N$3:$N$5001,"&lt;&gt;"))))</f>
        <v/>
      </c>
      <c r="N237" s="43" t="str">
        <f>IF(OR($B237="",$A237&gt;$B$9,N$219=""),"",IF(COUNTIFS(BD!$B$3:$B$5001,N$219,BD!$A$3:$A$5001,"&gt;="&amp;$C$7,BD!$A$3:$A$5001,"&lt;="&amp;$B237,BD!$N$3:$N$5001,"&lt;&gt;")=0,"",SUMIFS(BD!$N$3:$N$5001,BD!$B$3:$B$5001,N$219,BD!$A$3:$A$5001,_xlfn.MAXIFS(BD!$A$3:$A$5001,BD!$B$3:$B$5001,N$219,BD!$A$3:$A$5001,"&gt;="&amp;$C$7,BD!$A$3:$A$5001,"&lt;="&amp;$B237,BD!$N$3:$N$5001,"&lt;&gt;"))))</f>
        <v/>
      </c>
      <c r="O237" s="43" t="str">
        <f>IF(OR($B237="",$A237&gt;$B$9,O$219=""),"",IF(COUNTIFS(BD!$B$3:$B$5001,O$219,BD!$A$3:$A$5001,"&gt;="&amp;$C$7,BD!$A$3:$A$5001,"&lt;="&amp;$B237,BD!$N$3:$N$5001,"&lt;&gt;")=0,"",SUMIFS(BD!$N$3:$N$5001,BD!$B$3:$B$5001,O$219,BD!$A$3:$A$5001,_xlfn.MAXIFS(BD!$A$3:$A$5001,BD!$B$3:$B$5001,O$219,BD!$A$3:$A$5001,"&gt;="&amp;$C$7,BD!$A$3:$A$5001,"&lt;="&amp;$B237,BD!$N$3:$N$5001,"&lt;&gt;"))))</f>
        <v/>
      </c>
      <c r="P237" s="43" t="str">
        <f>IF(OR($B237="",$A237&gt;$B$9,P$219=""),"",IF(COUNTIFS(BD!$B$3:$B$5001,P$219,BD!$A$3:$A$5001,"&gt;="&amp;$C$7,BD!$A$3:$A$5001,"&lt;="&amp;$B237,BD!$N$3:$N$5001,"&lt;&gt;")=0,"",SUMIFS(BD!$N$3:$N$5001,BD!$B$3:$B$5001,P$219,BD!$A$3:$A$5001,_xlfn.MAXIFS(BD!$A$3:$A$5001,BD!$B$3:$B$5001,P$219,BD!$A$3:$A$5001,"&gt;="&amp;$C$7,BD!$A$3:$A$5001,"&lt;="&amp;$B237,BD!$N$3:$N$5001,"&lt;&gt;"))))</f>
        <v/>
      </c>
      <c r="Q237" s="43" t="str">
        <f>IF(OR($B237="",$A237&gt;$B$9,Q$219=""),"",IF(COUNTIFS(BD!$B$3:$B$5001,Q$219,BD!$A$3:$A$5001,"&gt;="&amp;$C$7,BD!$A$3:$A$5001,"&lt;="&amp;$B237,BD!$N$3:$N$5001,"&lt;&gt;")=0,"",SUMIFS(BD!$N$3:$N$5001,BD!$B$3:$B$5001,Q$219,BD!$A$3:$A$5001,_xlfn.MAXIFS(BD!$A$3:$A$5001,BD!$B$3:$B$5001,Q$219,BD!$A$3:$A$5001,"&gt;="&amp;$C$7,BD!$A$3:$A$5001,"&lt;="&amp;$B237,BD!$N$3:$N$5001,"&lt;&gt;"))))</f>
        <v/>
      </c>
      <c r="R237" s="43" t="str">
        <f>IF(OR($B237="",$A237&gt;$B$9,R$219=""),"",IF(COUNTIFS(BD!$B$3:$B$5001,R$219,BD!$A$3:$A$5001,"&gt;="&amp;$C$7,BD!$A$3:$A$5001,"&lt;="&amp;$B237,BD!$N$3:$N$5001,"&lt;&gt;")=0,"",SUMIFS(BD!$N$3:$N$5001,BD!$B$3:$B$5001,R$219,BD!$A$3:$A$5001,_xlfn.MAXIFS(BD!$A$3:$A$5001,BD!$B$3:$B$5001,R$219,BD!$A$3:$A$5001,"&gt;="&amp;$C$7,BD!$A$3:$A$5001,"&lt;="&amp;$B237,BD!$N$3:$N$5001,"&lt;&gt;"))))</f>
        <v/>
      </c>
      <c r="S237" s="43" t="str">
        <f>IF(OR($B237="",$A237&gt;$B$9,S$219=""),"",IF(COUNTIFS(BD!$B$3:$B$5001,S$219,BD!$A$3:$A$5001,"&gt;="&amp;$C$7,BD!$A$3:$A$5001,"&lt;="&amp;$B237,BD!$N$3:$N$5001,"&lt;&gt;")=0,"",SUMIFS(BD!$N$3:$N$5001,BD!$B$3:$B$5001,S$219,BD!$A$3:$A$5001,_xlfn.MAXIFS(BD!$A$3:$A$5001,BD!$B$3:$B$5001,S$219,BD!$A$3:$A$5001,"&gt;="&amp;$C$7,BD!$A$3:$A$5001,"&lt;="&amp;$B237,BD!$N$3:$N$5001,"&lt;&gt;"))))</f>
        <v/>
      </c>
      <c r="T237" s="43" t="str">
        <f>IF(OR($B237="",$A237&gt;$B$9,T$219=""),"",IF(COUNTIFS(BD!$B$3:$B$5001,T$219,BD!$A$3:$A$5001,"&gt;="&amp;$C$7,BD!$A$3:$A$5001,"&lt;="&amp;$B237,BD!$N$3:$N$5001,"&lt;&gt;")=0,"",SUMIFS(BD!$N$3:$N$5001,BD!$B$3:$B$5001,T$219,BD!$A$3:$A$5001,_xlfn.MAXIFS(BD!$A$3:$A$5001,BD!$B$3:$B$5001,T$219,BD!$A$3:$A$5001,"&gt;="&amp;$C$7,BD!$A$3:$A$5001,"&lt;="&amp;$B237,BD!$N$3:$N$5001,"&lt;&gt;"))))</f>
        <v/>
      </c>
      <c r="U237" s="43" t="str">
        <f>IF(OR($B237="",$A237&gt;$B$9,U$219=""),"",IF(COUNTIFS(BD!$B$3:$B$5001,U$219,BD!$A$3:$A$5001,"&gt;="&amp;$C$7,BD!$A$3:$A$5001,"&lt;="&amp;$B237,BD!$N$3:$N$5001,"&lt;&gt;")=0,"",SUMIFS(BD!$N$3:$N$5001,BD!$B$3:$B$5001,U$219,BD!$A$3:$A$5001,_xlfn.MAXIFS(BD!$A$3:$A$5001,BD!$B$3:$B$5001,U$219,BD!$A$3:$A$5001,"&gt;="&amp;$C$7,BD!$A$3:$A$5001,"&lt;="&amp;$B237,BD!$N$3:$N$5001,"&lt;&gt;"))))</f>
        <v/>
      </c>
      <c r="V237" s="43" t="str">
        <f>IF(OR($B237="",$A237&gt;$B$9,V$219=""),"",IF(COUNTIFS(BD!$B$3:$B$5001,V$219,BD!$A$3:$A$5001,"&gt;="&amp;$C$7,BD!$A$3:$A$5001,"&lt;="&amp;$B237,BD!$N$3:$N$5001,"&lt;&gt;")=0,"",SUMIFS(BD!$N$3:$N$5001,BD!$B$3:$B$5001,V$219,BD!$A$3:$A$5001,_xlfn.MAXIFS(BD!$A$3:$A$5001,BD!$B$3:$B$5001,V$219,BD!$A$3:$A$5001,"&gt;="&amp;$C$7,BD!$A$3:$A$5001,"&lt;="&amp;$B237,BD!$N$3:$N$5001,"&lt;&gt;"))))</f>
        <v/>
      </c>
    </row>
    <row r="238">
      <c r="A238" s="38">
        <v>19</v>
      </c>
      <c r="B238" s="42">
        <f>$B$30</f>
        <v>46314</v>
      </c>
      <c r="C238" s="43" t="str">
        <f>IF(OR($B238="",$A238&gt;$B$9,C$219=""),"",IF(COUNTIFS(BD!$B$3:$B$5001,C$219,BD!$A$3:$A$5001,"&gt;="&amp;$C$7,BD!$A$3:$A$5001,"&lt;="&amp;$B238,BD!$N$3:$N$5001,"&lt;&gt;")=0,"",SUMIFS(BD!$N$3:$N$5001,BD!$B$3:$B$5001,C$219,BD!$A$3:$A$5001,_xlfn.MAXIFS(BD!$A$3:$A$5001,BD!$B$3:$B$5001,C$219,BD!$A$3:$A$5001,"&gt;="&amp;$C$7,BD!$A$3:$A$5001,"&lt;="&amp;$B238,BD!$N$3:$N$5001,"&lt;&gt;"))))</f>
        <v/>
      </c>
      <c r="D238" s="43" t="str">
        <f>IF(OR($B238="",$A238&gt;$B$9,D$219=""),"",IF(COUNTIFS(BD!$B$3:$B$5001,D$219,BD!$A$3:$A$5001,"&gt;="&amp;$C$7,BD!$A$3:$A$5001,"&lt;="&amp;$B238,BD!$N$3:$N$5001,"&lt;&gt;")=0,"",SUMIFS(BD!$N$3:$N$5001,BD!$B$3:$B$5001,D$219,BD!$A$3:$A$5001,_xlfn.MAXIFS(BD!$A$3:$A$5001,BD!$B$3:$B$5001,D$219,BD!$A$3:$A$5001,"&gt;="&amp;$C$7,BD!$A$3:$A$5001,"&lt;="&amp;$B238,BD!$N$3:$N$5001,"&lt;&gt;"))))</f>
        <v/>
      </c>
      <c r="E238" s="43" t="str">
        <f>IF(OR($B238="",$A238&gt;$B$9,E$219=""),"",IF(COUNTIFS(BD!$B$3:$B$5001,E$219,BD!$A$3:$A$5001,"&gt;="&amp;$C$7,BD!$A$3:$A$5001,"&lt;="&amp;$B238,BD!$N$3:$N$5001,"&lt;&gt;")=0,"",SUMIFS(BD!$N$3:$N$5001,BD!$B$3:$B$5001,E$219,BD!$A$3:$A$5001,_xlfn.MAXIFS(BD!$A$3:$A$5001,BD!$B$3:$B$5001,E$219,BD!$A$3:$A$5001,"&gt;="&amp;$C$7,BD!$A$3:$A$5001,"&lt;="&amp;$B238,BD!$N$3:$N$5001,"&lt;&gt;"))))</f>
        <v/>
      </c>
      <c r="F238" s="43" t="str">
        <f>IF(OR($B238="",$A238&gt;$B$9,F$219=""),"",IF(COUNTIFS(BD!$B$3:$B$5001,F$219,BD!$A$3:$A$5001,"&gt;="&amp;$C$7,BD!$A$3:$A$5001,"&lt;="&amp;$B238,BD!$N$3:$N$5001,"&lt;&gt;")=0,"",SUMIFS(BD!$N$3:$N$5001,BD!$B$3:$B$5001,F$219,BD!$A$3:$A$5001,_xlfn.MAXIFS(BD!$A$3:$A$5001,BD!$B$3:$B$5001,F$219,BD!$A$3:$A$5001,"&gt;="&amp;$C$7,BD!$A$3:$A$5001,"&lt;="&amp;$B238,BD!$N$3:$N$5001,"&lt;&gt;"))))</f>
        <v/>
      </c>
      <c r="G238" s="43" t="str">
        <f>IF(OR($B238="",$A238&gt;$B$9,G$219=""),"",IF(COUNTIFS(BD!$B$3:$B$5001,G$219,BD!$A$3:$A$5001,"&gt;="&amp;$C$7,BD!$A$3:$A$5001,"&lt;="&amp;$B238,BD!$N$3:$N$5001,"&lt;&gt;")=0,"",SUMIFS(BD!$N$3:$N$5001,BD!$B$3:$B$5001,G$219,BD!$A$3:$A$5001,_xlfn.MAXIFS(BD!$A$3:$A$5001,BD!$B$3:$B$5001,G$219,BD!$A$3:$A$5001,"&gt;="&amp;$C$7,BD!$A$3:$A$5001,"&lt;="&amp;$B238,BD!$N$3:$N$5001,"&lt;&gt;"))))</f>
        <v/>
      </c>
      <c r="H238" s="43" t="str">
        <f>IF(OR($B238="",$A238&gt;$B$9,H$219=""),"",IF(COUNTIFS(BD!$B$3:$B$5001,H$219,BD!$A$3:$A$5001,"&gt;="&amp;$C$7,BD!$A$3:$A$5001,"&lt;="&amp;$B238,BD!$N$3:$N$5001,"&lt;&gt;")=0,"",SUMIFS(BD!$N$3:$N$5001,BD!$B$3:$B$5001,H$219,BD!$A$3:$A$5001,_xlfn.MAXIFS(BD!$A$3:$A$5001,BD!$B$3:$B$5001,H$219,BD!$A$3:$A$5001,"&gt;="&amp;$C$7,BD!$A$3:$A$5001,"&lt;="&amp;$B238,BD!$N$3:$N$5001,"&lt;&gt;"))))</f>
        <v/>
      </c>
      <c r="I238" s="43" t="str">
        <f>IF(OR($B238="",$A238&gt;$B$9,I$219=""),"",IF(COUNTIFS(BD!$B$3:$B$5001,I$219,BD!$A$3:$A$5001,"&gt;="&amp;$C$7,BD!$A$3:$A$5001,"&lt;="&amp;$B238,BD!$N$3:$N$5001,"&lt;&gt;")=0,"",SUMIFS(BD!$N$3:$N$5001,BD!$B$3:$B$5001,I$219,BD!$A$3:$A$5001,_xlfn.MAXIFS(BD!$A$3:$A$5001,BD!$B$3:$B$5001,I$219,BD!$A$3:$A$5001,"&gt;="&amp;$C$7,BD!$A$3:$A$5001,"&lt;="&amp;$B238,BD!$N$3:$N$5001,"&lt;&gt;"))))</f>
        <v/>
      </c>
      <c r="J238" s="43" t="str">
        <f>IF(OR($B238="",$A238&gt;$B$9,J$219=""),"",IF(COUNTIFS(BD!$B$3:$B$5001,J$219,BD!$A$3:$A$5001,"&gt;="&amp;$C$7,BD!$A$3:$A$5001,"&lt;="&amp;$B238,BD!$N$3:$N$5001,"&lt;&gt;")=0,"",SUMIFS(BD!$N$3:$N$5001,BD!$B$3:$B$5001,J$219,BD!$A$3:$A$5001,_xlfn.MAXIFS(BD!$A$3:$A$5001,BD!$B$3:$B$5001,J$219,BD!$A$3:$A$5001,"&gt;="&amp;$C$7,BD!$A$3:$A$5001,"&lt;="&amp;$B238,BD!$N$3:$N$5001,"&lt;&gt;"))))</f>
        <v/>
      </c>
      <c r="K238" s="43" t="str">
        <f>IF(OR($B238="",$A238&gt;$B$9,K$219=""),"",IF(COUNTIFS(BD!$B$3:$B$5001,K$219,BD!$A$3:$A$5001,"&gt;="&amp;$C$7,BD!$A$3:$A$5001,"&lt;="&amp;$B238,BD!$N$3:$N$5001,"&lt;&gt;")=0,"",SUMIFS(BD!$N$3:$N$5001,BD!$B$3:$B$5001,K$219,BD!$A$3:$A$5001,_xlfn.MAXIFS(BD!$A$3:$A$5001,BD!$B$3:$B$5001,K$219,BD!$A$3:$A$5001,"&gt;="&amp;$C$7,BD!$A$3:$A$5001,"&lt;="&amp;$B238,BD!$N$3:$N$5001,"&lt;&gt;"))))</f>
        <v/>
      </c>
      <c r="L238" s="43" t="str">
        <f>IF(OR($B238="",$A238&gt;$B$9,L$219=""),"",IF(COUNTIFS(BD!$B$3:$B$5001,L$219,BD!$A$3:$A$5001,"&gt;="&amp;$C$7,BD!$A$3:$A$5001,"&lt;="&amp;$B238,BD!$N$3:$N$5001,"&lt;&gt;")=0,"",SUMIFS(BD!$N$3:$N$5001,BD!$B$3:$B$5001,L$219,BD!$A$3:$A$5001,_xlfn.MAXIFS(BD!$A$3:$A$5001,BD!$B$3:$B$5001,L$219,BD!$A$3:$A$5001,"&gt;="&amp;$C$7,BD!$A$3:$A$5001,"&lt;="&amp;$B238,BD!$N$3:$N$5001,"&lt;&gt;"))))</f>
        <v/>
      </c>
      <c r="M238" s="43" t="str">
        <f>IF(OR($B238="",$A238&gt;$B$9,M$219=""),"",IF(COUNTIFS(BD!$B$3:$B$5001,M$219,BD!$A$3:$A$5001,"&gt;="&amp;$C$7,BD!$A$3:$A$5001,"&lt;="&amp;$B238,BD!$N$3:$N$5001,"&lt;&gt;")=0,"",SUMIFS(BD!$N$3:$N$5001,BD!$B$3:$B$5001,M$219,BD!$A$3:$A$5001,_xlfn.MAXIFS(BD!$A$3:$A$5001,BD!$B$3:$B$5001,M$219,BD!$A$3:$A$5001,"&gt;="&amp;$C$7,BD!$A$3:$A$5001,"&lt;="&amp;$B238,BD!$N$3:$N$5001,"&lt;&gt;"))))</f>
        <v/>
      </c>
      <c r="N238" s="43" t="str">
        <f>IF(OR($B238="",$A238&gt;$B$9,N$219=""),"",IF(COUNTIFS(BD!$B$3:$B$5001,N$219,BD!$A$3:$A$5001,"&gt;="&amp;$C$7,BD!$A$3:$A$5001,"&lt;="&amp;$B238,BD!$N$3:$N$5001,"&lt;&gt;")=0,"",SUMIFS(BD!$N$3:$N$5001,BD!$B$3:$B$5001,N$219,BD!$A$3:$A$5001,_xlfn.MAXIFS(BD!$A$3:$A$5001,BD!$B$3:$B$5001,N$219,BD!$A$3:$A$5001,"&gt;="&amp;$C$7,BD!$A$3:$A$5001,"&lt;="&amp;$B238,BD!$N$3:$N$5001,"&lt;&gt;"))))</f>
        <v/>
      </c>
      <c r="O238" s="43" t="str">
        <f>IF(OR($B238="",$A238&gt;$B$9,O$219=""),"",IF(COUNTIFS(BD!$B$3:$B$5001,O$219,BD!$A$3:$A$5001,"&gt;="&amp;$C$7,BD!$A$3:$A$5001,"&lt;="&amp;$B238,BD!$N$3:$N$5001,"&lt;&gt;")=0,"",SUMIFS(BD!$N$3:$N$5001,BD!$B$3:$B$5001,O$219,BD!$A$3:$A$5001,_xlfn.MAXIFS(BD!$A$3:$A$5001,BD!$B$3:$B$5001,O$219,BD!$A$3:$A$5001,"&gt;="&amp;$C$7,BD!$A$3:$A$5001,"&lt;="&amp;$B238,BD!$N$3:$N$5001,"&lt;&gt;"))))</f>
        <v/>
      </c>
      <c r="P238" s="43" t="str">
        <f>IF(OR($B238="",$A238&gt;$B$9,P$219=""),"",IF(COUNTIFS(BD!$B$3:$B$5001,P$219,BD!$A$3:$A$5001,"&gt;="&amp;$C$7,BD!$A$3:$A$5001,"&lt;="&amp;$B238,BD!$N$3:$N$5001,"&lt;&gt;")=0,"",SUMIFS(BD!$N$3:$N$5001,BD!$B$3:$B$5001,P$219,BD!$A$3:$A$5001,_xlfn.MAXIFS(BD!$A$3:$A$5001,BD!$B$3:$B$5001,P$219,BD!$A$3:$A$5001,"&gt;="&amp;$C$7,BD!$A$3:$A$5001,"&lt;="&amp;$B238,BD!$N$3:$N$5001,"&lt;&gt;"))))</f>
        <v/>
      </c>
      <c r="Q238" s="43" t="str">
        <f>IF(OR($B238="",$A238&gt;$B$9,Q$219=""),"",IF(COUNTIFS(BD!$B$3:$B$5001,Q$219,BD!$A$3:$A$5001,"&gt;="&amp;$C$7,BD!$A$3:$A$5001,"&lt;="&amp;$B238,BD!$N$3:$N$5001,"&lt;&gt;")=0,"",SUMIFS(BD!$N$3:$N$5001,BD!$B$3:$B$5001,Q$219,BD!$A$3:$A$5001,_xlfn.MAXIFS(BD!$A$3:$A$5001,BD!$B$3:$B$5001,Q$219,BD!$A$3:$A$5001,"&gt;="&amp;$C$7,BD!$A$3:$A$5001,"&lt;="&amp;$B238,BD!$N$3:$N$5001,"&lt;&gt;"))))</f>
        <v/>
      </c>
      <c r="R238" s="43" t="str">
        <f>IF(OR($B238="",$A238&gt;$B$9,R$219=""),"",IF(COUNTIFS(BD!$B$3:$B$5001,R$219,BD!$A$3:$A$5001,"&gt;="&amp;$C$7,BD!$A$3:$A$5001,"&lt;="&amp;$B238,BD!$N$3:$N$5001,"&lt;&gt;")=0,"",SUMIFS(BD!$N$3:$N$5001,BD!$B$3:$B$5001,R$219,BD!$A$3:$A$5001,_xlfn.MAXIFS(BD!$A$3:$A$5001,BD!$B$3:$B$5001,R$219,BD!$A$3:$A$5001,"&gt;="&amp;$C$7,BD!$A$3:$A$5001,"&lt;="&amp;$B238,BD!$N$3:$N$5001,"&lt;&gt;"))))</f>
        <v/>
      </c>
      <c r="S238" s="43" t="str">
        <f>IF(OR($B238="",$A238&gt;$B$9,S$219=""),"",IF(COUNTIFS(BD!$B$3:$B$5001,S$219,BD!$A$3:$A$5001,"&gt;="&amp;$C$7,BD!$A$3:$A$5001,"&lt;="&amp;$B238,BD!$N$3:$N$5001,"&lt;&gt;")=0,"",SUMIFS(BD!$N$3:$N$5001,BD!$B$3:$B$5001,S$219,BD!$A$3:$A$5001,_xlfn.MAXIFS(BD!$A$3:$A$5001,BD!$B$3:$B$5001,S$219,BD!$A$3:$A$5001,"&gt;="&amp;$C$7,BD!$A$3:$A$5001,"&lt;="&amp;$B238,BD!$N$3:$N$5001,"&lt;&gt;"))))</f>
        <v/>
      </c>
      <c r="T238" s="43" t="str">
        <f>IF(OR($B238="",$A238&gt;$B$9,T$219=""),"",IF(COUNTIFS(BD!$B$3:$B$5001,T$219,BD!$A$3:$A$5001,"&gt;="&amp;$C$7,BD!$A$3:$A$5001,"&lt;="&amp;$B238,BD!$N$3:$N$5001,"&lt;&gt;")=0,"",SUMIFS(BD!$N$3:$N$5001,BD!$B$3:$B$5001,T$219,BD!$A$3:$A$5001,_xlfn.MAXIFS(BD!$A$3:$A$5001,BD!$B$3:$B$5001,T$219,BD!$A$3:$A$5001,"&gt;="&amp;$C$7,BD!$A$3:$A$5001,"&lt;="&amp;$B238,BD!$N$3:$N$5001,"&lt;&gt;"))))</f>
        <v/>
      </c>
      <c r="U238" s="43" t="str">
        <f>IF(OR($B238="",$A238&gt;$B$9,U$219=""),"",IF(COUNTIFS(BD!$B$3:$B$5001,U$219,BD!$A$3:$A$5001,"&gt;="&amp;$C$7,BD!$A$3:$A$5001,"&lt;="&amp;$B238,BD!$N$3:$N$5001,"&lt;&gt;")=0,"",SUMIFS(BD!$N$3:$N$5001,BD!$B$3:$B$5001,U$219,BD!$A$3:$A$5001,_xlfn.MAXIFS(BD!$A$3:$A$5001,BD!$B$3:$B$5001,U$219,BD!$A$3:$A$5001,"&gt;="&amp;$C$7,BD!$A$3:$A$5001,"&lt;="&amp;$B238,BD!$N$3:$N$5001,"&lt;&gt;"))))</f>
        <v/>
      </c>
      <c r="V238" s="43" t="str">
        <f>IF(OR($B238="",$A238&gt;$B$9,V$219=""),"",IF(COUNTIFS(BD!$B$3:$B$5001,V$219,BD!$A$3:$A$5001,"&gt;="&amp;$C$7,BD!$A$3:$A$5001,"&lt;="&amp;$B238,BD!$N$3:$N$5001,"&lt;&gt;")=0,"",SUMIFS(BD!$N$3:$N$5001,BD!$B$3:$B$5001,V$219,BD!$A$3:$A$5001,_xlfn.MAXIFS(BD!$A$3:$A$5001,BD!$B$3:$B$5001,V$219,BD!$A$3:$A$5001,"&gt;="&amp;$C$7,BD!$A$3:$A$5001,"&lt;="&amp;$B238,BD!$N$3:$N$5001,"&lt;&gt;"))))</f>
        <v/>
      </c>
    </row>
    <row r="239">
      <c r="A239" s="38">
        <v>20</v>
      </c>
      <c r="B239" s="42">
        <f>$B$31</f>
        <v>46315</v>
      </c>
      <c r="C239" s="43" t="str">
        <f>IF(OR($B239="",$A239&gt;$B$9,C$219=""),"",IF(COUNTIFS(BD!$B$3:$B$5001,C$219,BD!$A$3:$A$5001,"&gt;="&amp;$C$7,BD!$A$3:$A$5001,"&lt;="&amp;$B239,BD!$N$3:$N$5001,"&lt;&gt;")=0,"",SUMIFS(BD!$N$3:$N$5001,BD!$B$3:$B$5001,C$219,BD!$A$3:$A$5001,_xlfn.MAXIFS(BD!$A$3:$A$5001,BD!$B$3:$B$5001,C$219,BD!$A$3:$A$5001,"&gt;="&amp;$C$7,BD!$A$3:$A$5001,"&lt;="&amp;$B239,BD!$N$3:$N$5001,"&lt;&gt;"))))</f>
        <v/>
      </c>
      <c r="D239" s="43" t="str">
        <f>IF(OR($B239="",$A239&gt;$B$9,D$219=""),"",IF(COUNTIFS(BD!$B$3:$B$5001,D$219,BD!$A$3:$A$5001,"&gt;="&amp;$C$7,BD!$A$3:$A$5001,"&lt;="&amp;$B239,BD!$N$3:$N$5001,"&lt;&gt;")=0,"",SUMIFS(BD!$N$3:$N$5001,BD!$B$3:$B$5001,D$219,BD!$A$3:$A$5001,_xlfn.MAXIFS(BD!$A$3:$A$5001,BD!$B$3:$B$5001,D$219,BD!$A$3:$A$5001,"&gt;="&amp;$C$7,BD!$A$3:$A$5001,"&lt;="&amp;$B239,BD!$N$3:$N$5001,"&lt;&gt;"))))</f>
        <v/>
      </c>
      <c r="E239" s="43" t="str">
        <f>IF(OR($B239="",$A239&gt;$B$9,E$219=""),"",IF(COUNTIFS(BD!$B$3:$B$5001,E$219,BD!$A$3:$A$5001,"&gt;="&amp;$C$7,BD!$A$3:$A$5001,"&lt;="&amp;$B239,BD!$N$3:$N$5001,"&lt;&gt;")=0,"",SUMIFS(BD!$N$3:$N$5001,BD!$B$3:$B$5001,E$219,BD!$A$3:$A$5001,_xlfn.MAXIFS(BD!$A$3:$A$5001,BD!$B$3:$B$5001,E$219,BD!$A$3:$A$5001,"&gt;="&amp;$C$7,BD!$A$3:$A$5001,"&lt;="&amp;$B239,BD!$N$3:$N$5001,"&lt;&gt;"))))</f>
        <v/>
      </c>
      <c r="F239" s="43" t="str">
        <f>IF(OR($B239="",$A239&gt;$B$9,F$219=""),"",IF(COUNTIFS(BD!$B$3:$B$5001,F$219,BD!$A$3:$A$5001,"&gt;="&amp;$C$7,BD!$A$3:$A$5001,"&lt;="&amp;$B239,BD!$N$3:$N$5001,"&lt;&gt;")=0,"",SUMIFS(BD!$N$3:$N$5001,BD!$B$3:$B$5001,F$219,BD!$A$3:$A$5001,_xlfn.MAXIFS(BD!$A$3:$A$5001,BD!$B$3:$B$5001,F$219,BD!$A$3:$A$5001,"&gt;="&amp;$C$7,BD!$A$3:$A$5001,"&lt;="&amp;$B239,BD!$N$3:$N$5001,"&lt;&gt;"))))</f>
        <v/>
      </c>
      <c r="G239" s="43" t="str">
        <f>IF(OR($B239="",$A239&gt;$B$9,G$219=""),"",IF(COUNTIFS(BD!$B$3:$B$5001,G$219,BD!$A$3:$A$5001,"&gt;="&amp;$C$7,BD!$A$3:$A$5001,"&lt;="&amp;$B239,BD!$N$3:$N$5001,"&lt;&gt;")=0,"",SUMIFS(BD!$N$3:$N$5001,BD!$B$3:$B$5001,G$219,BD!$A$3:$A$5001,_xlfn.MAXIFS(BD!$A$3:$A$5001,BD!$B$3:$B$5001,G$219,BD!$A$3:$A$5001,"&gt;="&amp;$C$7,BD!$A$3:$A$5001,"&lt;="&amp;$B239,BD!$N$3:$N$5001,"&lt;&gt;"))))</f>
        <v/>
      </c>
      <c r="H239" s="43" t="str">
        <f>IF(OR($B239="",$A239&gt;$B$9,H$219=""),"",IF(COUNTIFS(BD!$B$3:$B$5001,H$219,BD!$A$3:$A$5001,"&gt;="&amp;$C$7,BD!$A$3:$A$5001,"&lt;="&amp;$B239,BD!$N$3:$N$5001,"&lt;&gt;")=0,"",SUMIFS(BD!$N$3:$N$5001,BD!$B$3:$B$5001,H$219,BD!$A$3:$A$5001,_xlfn.MAXIFS(BD!$A$3:$A$5001,BD!$B$3:$B$5001,H$219,BD!$A$3:$A$5001,"&gt;="&amp;$C$7,BD!$A$3:$A$5001,"&lt;="&amp;$B239,BD!$N$3:$N$5001,"&lt;&gt;"))))</f>
        <v/>
      </c>
      <c r="I239" s="43" t="str">
        <f>IF(OR($B239="",$A239&gt;$B$9,I$219=""),"",IF(COUNTIFS(BD!$B$3:$B$5001,I$219,BD!$A$3:$A$5001,"&gt;="&amp;$C$7,BD!$A$3:$A$5001,"&lt;="&amp;$B239,BD!$N$3:$N$5001,"&lt;&gt;")=0,"",SUMIFS(BD!$N$3:$N$5001,BD!$B$3:$B$5001,I$219,BD!$A$3:$A$5001,_xlfn.MAXIFS(BD!$A$3:$A$5001,BD!$B$3:$B$5001,I$219,BD!$A$3:$A$5001,"&gt;="&amp;$C$7,BD!$A$3:$A$5001,"&lt;="&amp;$B239,BD!$N$3:$N$5001,"&lt;&gt;"))))</f>
        <v/>
      </c>
      <c r="J239" s="43" t="str">
        <f>IF(OR($B239="",$A239&gt;$B$9,J$219=""),"",IF(COUNTIFS(BD!$B$3:$B$5001,J$219,BD!$A$3:$A$5001,"&gt;="&amp;$C$7,BD!$A$3:$A$5001,"&lt;="&amp;$B239,BD!$N$3:$N$5001,"&lt;&gt;")=0,"",SUMIFS(BD!$N$3:$N$5001,BD!$B$3:$B$5001,J$219,BD!$A$3:$A$5001,_xlfn.MAXIFS(BD!$A$3:$A$5001,BD!$B$3:$B$5001,J$219,BD!$A$3:$A$5001,"&gt;="&amp;$C$7,BD!$A$3:$A$5001,"&lt;="&amp;$B239,BD!$N$3:$N$5001,"&lt;&gt;"))))</f>
        <v/>
      </c>
      <c r="K239" s="43" t="str">
        <f>IF(OR($B239="",$A239&gt;$B$9,K$219=""),"",IF(COUNTIFS(BD!$B$3:$B$5001,K$219,BD!$A$3:$A$5001,"&gt;="&amp;$C$7,BD!$A$3:$A$5001,"&lt;="&amp;$B239,BD!$N$3:$N$5001,"&lt;&gt;")=0,"",SUMIFS(BD!$N$3:$N$5001,BD!$B$3:$B$5001,K$219,BD!$A$3:$A$5001,_xlfn.MAXIFS(BD!$A$3:$A$5001,BD!$B$3:$B$5001,K$219,BD!$A$3:$A$5001,"&gt;="&amp;$C$7,BD!$A$3:$A$5001,"&lt;="&amp;$B239,BD!$N$3:$N$5001,"&lt;&gt;"))))</f>
        <v/>
      </c>
      <c r="L239" s="43" t="str">
        <f>IF(OR($B239="",$A239&gt;$B$9,L$219=""),"",IF(COUNTIFS(BD!$B$3:$B$5001,L$219,BD!$A$3:$A$5001,"&gt;="&amp;$C$7,BD!$A$3:$A$5001,"&lt;="&amp;$B239,BD!$N$3:$N$5001,"&lt;&gt;")=0,"",SUMIFS(BD!$N$3:$N$5001,BD!$B$3:$B$5001,L$219,BD!$A$3:$A$5001,_xlfn.MAXIFS(BD!$A$3:$A$5001,BD!$B$3:$B$5001,L$219,BD!$A$3:$A$5001,"&gt;="&amp;$C$7,BD!$A$3:$A$5001,"&lt;="&amp;$B239,BD!$N$3:$N$5001,"&lt;&gt;"))))</f>
        <v/>
      </c>
      <c r="M239" s="43" t="str">
        <f>IF(OR($B239="",$A239&gt;$B$9,M$219=""),"",IF(COUNTIFS(BD!$B$3:$B$5001,M$219,BD!$A$3:$A$5001,"&gt;="&amp;$C$7,BD!$A$3:$A$5001,"&lt;="&amp;$B239,BD!$N$3:$N$5001,"&lt;&gt;")=0,"",SUMIFS(BD!$N$3:$N$5001,BD!$B$3:$B$5001,M$219,BD!$A$3:$A$5001,_xlfn.MAXIFS(BD!$A$3:$A$5001,BD!$B$3:$B$5001,M$219,BD!$A$3:$A$5001,"&gt;="&amp;$C$7,BD!$A$3:$A$5001,"&lt;="&amp;$B239,BD!$N$3:$N$5001,"&lt;&gt;"))))</f>
        <v/>
      </c>
      <c r="N239" s="43" t="str">
        <f>IF(OR($B239="",$A239&gt;$B$9,N$219=""),"",IF(COUNTIFS(BD!$B$3:$B$5001,N$219,BD!$A$3:$A$5001,"&gt;="&amp;$C$7,BD!$A$3:$A$5001,"&lt;="&amp;$B239,BD!$N$3:$N$5001,"&lt;&gt;")=0,"",SUMIFS(BD!$N$3:$N$5001,BD!$B$3:$B$5001,N$219,BD!$A$3:$A$5001,_xlfn.MAXIFS(BD!$A$3:$A$5001,BD!$B$3:$B$5001,N$219,BD!$A$3:$A$5001,"&gt;="&amp;$C$7,BD!$A$3:$A$5001,"&lt;="&amp;$B239,BD!$N$3:$N$5001,"&lt;&gt;"))))</f>
        <v/>
      </c>
      <c r="O239" s="43" t="str">
        <f>IF(OR($B239="",$A239&gt;$B$9,O$219=""),"",IF(COUNTIFS(BD!$B$3:$B$5001,O$219,BD!$A$3:$A$5001,"&gt;="&amp;$C$7,BD!$A$3:$A$5001,"&lt;="&amp;$B239,BD!$N$3:$N$5001,"&lt;&gt;")=0,"",SUMIFS(BD!$N$3:$N$5001,BD!$B$3:$B$5001,O$219,BD!$A$3:$A$5001,_xlfn.MAXIFS(BD!$A$3:$A$5001,BD!$B$3:$B$5001,O$219,BD!$A$3:$A$5001,"&gt;="&amp;$C$7,BD!$A$3:$A$5001,"&lt;="&amp;$B239,BD!$N$3:$N$5001,"&lt;&gt;"))))</f>
        <v/>
      </c>
      <c r="P239" s="43" t="str">
        <f>IF(OR($B239="",$A239&gt;$B$9,P$219=""),"",IF(COUNTIFS(BD!$B$3:$B$5001,P$219,BD!$A$3:$A$5001,"&gt;="&amp;$C$7,BD!$A$3:$A$5001,"&lt;="&amp;$B239,BD!$N$3:$N$5001,"&lt;&gt;")=0,"",SUMIFS(BD!$N$3:$N$5001,BD!$B$3:$B$5001,P$219,BD!$A$3:$A$5001,_xlfn.MAXIFS(BD!$A$3:$A$5001,BD!$B$3:$B$5001,P$219,BD!$A$3:$A$5001,"&gt;="&amp;$C$7,BD!$A$3:$A$5001,"&lt;="&amp;$B239,BD!$N$3:$N$5001,"&lt;&gt;"))))</f>
        <v/>
      </c>
      <c r="Q239" s="43" t="str">
        <f>IF(OR($B239="",$A239&gt;$B$9,Q$219=""),"",IF(COUNTIFS(BD!$B$3:$B$5001,Q$219,BD!$A$3:$A$5001,"&gt;="&amp;$C$7,BD!$A$3:$A$5001,"&lt;="&amp;$B239,BD!$N$3:$N$5001,"&lt;&gt;")=0,"",SUMIFS(BD!$N$3:$N$5001,BD!$B$3:$B$5001,Q$219,BD!$A$3:$A$5001,_xlfn.MAXIFS(BD!$A$3:$A$5001,BD!$B$3:$B$5001,Q$219,BD!$A$3:$A$5001,"&gt;="&amp;$C$7,BD!$A$3:$A$5001,"&lt;="&amp;$B239,BD!$N$3:$N$5001,"&lt;&gt;"))))</f>
        <v/>
      </c>
      <c r="R239" s="43" t="str">
        <f>IF(OR($B239="",$A239&gt;$B$9,R$219=""),"",IF(COUNTIFS(BD!$B$3:$B$5001,R$219,BD!$A$3:$A$5001,"&gt;="&amp;$C$7,BD!$A$3:$A$5001,"&lt;="&amp;$B239,BD!$N$3:$N$5001,"&lt;&gt;")=0,"",SUMIFS(BD!$N$3:$N$5001,BD!$B$3:$B$5001,R$219,BD!$A$3:$A$5001,_xlfn.MAXIFS(BD!$A$3:$A$5001,BD!$B$3:$B$5001,R$219,BD!$A$3:$A$5001,"&gt;="&amp;$C$7,BD!$A$3:$A$5001,"&lt;="&amp;$B239,BD!$N$3:$N$5001,"&lt;&gt;"))))</f>
        <v/>
      </c>
      <c r="S239" s="43" t="str">
        <f>IF(OR($B239="",$A239&gt;$B$9,S$219=""),"",IF(COUNTIFS(BD!$B$3:$B$5001,S$219,BD!$A$3:$A$5001,"&gt;="&amp;$C$7,BD!$A$3:$A$5001,"&lt;="&amp;$B239,BD!$N$3:$N$5001,"&lt;&gt;")=0,"",SUMIFS(BD!$N$3:$N$5001,BD!$B$3:$B$5001,S$219,BD!$A$3:$A$5001,_xlfn.MAXIFS(BD!$A$3:$A$5001,BD!$B$3:$B$5001,S$219,BD!$A$3:$A$5001,"&gt;="&amp;$C$7,BD!$A$3:$A$5001,"&lt;="&amp;$B239,BD!$N$3:$N$5001,"&lt;&gt;"))))</f>
        <v/>
      </c>
      <c r="T239" s="43" t="str">
        <f>IF(OR($B239="",$A239&gt;$B$9,T$219=""),"",IF(COUNTIFS(BD!$B$3:$B$5001,T$219,BD!$A$3:$A$5001,"&gt;="&amp;$C$7,BD!$A$3:$A$5001,"&lt;="&amp;$B239,BD!$N$3:$N$5001,"&lt;&gt;")=0,"",SUMIFS(BD!$N$3:$N$5001,BD!$B$3:$B$5001,T$219,BD!$A$3:$A$5001,_xlfn.MAXIFS(BD!$A$3:$A$5001,BD!$B$3:$B$5001,T$219,BD!$A$3:$A$5001,"&gt;="&amp;$C$7,BD!$A$3:$A$5001,"&lt;="&amp;$B239,BD!$N$3:$N$5001,"&lt;&gt;"))))</f>
        <v/>
      </c>
      <c r="U239" s="43" t="str">
        <f>IF(OR($B239="",$A239&gt;$B$9,U$219=""),"",IF(COUNTIFS(BD!$B$3:$B$5001,U$219,BD!$A$3:$A$5001,"&gt;="&amp;$C$7,BD!$A$3:$A$5001,"&lt;="&amp;$B239,BD!$N$3:$N$5001,"&lt;&gt;")=0,"",SUMIFS(BD!$N$3:$N$5001,BD!$B$3:$B$5001,U$219,BD!$A$3:$A$5001,_xlfn.MAXIFS(BD!$A$3:$A$5001,BD!$B$3:$B$5001,U$219,BD!$A$3:$A$5001,"&gt;="&amp;$C$7,BD!$A$3:$A$5001,"&lt;="&amp;$B239,BD!$N$3:$N$5001,"&lt;&gt;"))))</f>
        <v/>
      </c>
      <c r="V239" s="43" t="str">
        <f>IF(OR($B239="",$A239&gt;$B$9,V$219=""),"",IF(COUNTIFS(BD!$B$3:$B$5001,V$219,BD!$A$3:$A$5001,"&gt;="&amp;$C$7,BD!$A$3:$A$5001,"&lt;="&amp;$B239,BD!$N$3:$N$5001,"&lt;&gt;")=0,"",SUMIFS(BD!$N$3:$N$5001,BD!$B$3:$B$5001,V$219,BD!$A$3:$A$5001,_xlfn.MAXIFS(BD!$A$3:$A$5001,BD!$B$3:$B$5001,V$219,BD!$A$3:$A$5001,"&gt;="&amp;$C$7,BD!$A$3:$A$5001,"&lt;="&amp;$B239,BD!$N$3:$N$5001,"&lt;&gt;"))))</f>
        <v/>
      </c>
    </row>
    <row r="240">
      <c r="A240" s="38">
        <v>21</v>
      </c>
      <c r="B240" s="42">
        <f>$B$32</f>
        <v>46316</v>
      </c>
      <c r="C240" s="43" t="str">
        <f>IF(OR($B240="",$A240&gt;$B$9,C$219=""),"",IF(COUNTIFS(BD!$B$3:$B$5001,C$219,BD!$A$3:$A$5001,"&gt;="&amp;$C$7,BD!$A$3:$A$5001,"&lt;="&amp;$B240,BD!$N$3:$N$5001,"&lt;&gt;")=0,"",SUMIFS(BD!$N$3:$N$5001,BD!$B$3:$B$5001,C$219,BD!$A$3:$A$5001,_xlfn.MAXIFS(BD!$A$3:$A$5001,BD!$B$3:$B$5001,C$219,BD!$A$3:$A$5001,"&gt;="&amp;$C$7,BD!$A$3:$A$5001,"&lt;="&amp;$B240,BD!$N$3:$N$5001,"&lt;&gt;"))))</f>
        <v/>
      </c>
      <c r="D240" s="43" t="str">
        <f>IF(OR($B240="",$A240&gt;$B$9,D$219=""),"",IF(COUNTIFS(BD!$B$3:$B$5001,D$219,BD!$A$3:$A$5001,"&gt;="&amp;$C$7,BD!$A$3:$A$5001,"&lt;="&amp;$B240,BD!$N$3:$N$5001,"&lt;&gt;")=0,"",SUMIFS(BD!$N$3:$N$5001,BD!$B$3:$B$5001,D$219,BD!$A$3:$A$5001,_xlfn.MAXIFS(BD!$A$3:$A$5001,BD!$B$3:$B$5001,D$219,BD!$A$3:$A$5001,"&gt;="&amp;$C$7,BD!$A$3:$A$5001,"&lt;="&amp;$B240,BD!$N$3:$N$5001,"&lt;&gt;"))))</f>
        <v/>
      </c>
      <c r="E240" s="43" t="str">
        <f>IF(OR($B240="",$A240&gt;$B$9,E$219=""),"",IF(COUNTIFS(BD!$B$3:$B$5001,E$219,BD!$A$3:$A$5001,"&gt;="&amp;$C$7,BD!$A$3:$A$5001,"&lt;="&amp;$B240,BD!$N$3:$N$5001,"&lt;&gt;")=0,"",SUMIFS(BD!$N$3:$N$5001,BD!$B$3:$B$5001,E$219,BD!$A$3:$A$5001,_xlfn.MAXIFS(BD!$A$3:$A$5001,BD!$B$3:$B$5001,E$219,BD!$A$3:$A$5001,"&gt;="&amp;$C$7,BD!$A$3:$A$5001,"&lt;="&amp;$B240,BD!$N$3:$N$5001,"&lt;&gt;"))))</f>
        <v/>
      </c>
      <c r="F240" s="43" t="str">
        <f>IF(OR($B240="",$A240&gt;$B$9,F$219=""),"",IF(COUNTIFS(BD!$B$3:$B$5001,F$219,BD!$A$3:$A$5001,"&gt;="&amp;$C$7,BD!$A$3:$A$5001,"&lt;="&amp;$B240,BD!$N$3:$N$5001,"&lt;&gt;")=0,"",SUMIFS(BD!$N$3:$N$5001,BD!$B$3:$B$5001,F$219,BD!$A$3:$A$5001,_xlfn.MAXIFS(BD!$A$3:$A$5001,BD!$B$3:$B$5001,F$219,BD!$A$3:$A$5001,"&gt;="&amp;$C$7,BD!$A$3:$A$5001,"&lt;="&amp;$B240,BD!$N$3:$N$5001,"&lt;&gt;"))))</f>
        <v/>
      </c>
      <c r="G240" s="43" t="str">
        <f>IF(OR($B240="",$A240&gt;$B$9,G$219=""),"",IF(COUNTIFS(BD!$B$3:$B$5001,G$219,BD!$A$3:$A$5001,"&gt;="&amp;$C$7,BD!$A$3:$A$5001,"&lt;="&amp;$B240,BD!$N$3:$N$5001,"&lt;&gt;")=0,"",SUMIFS(BD!$N$3:$N$5001,BD!$B$3:$B$5001,G$219,BD!$A$3:$A$5001,_xlfn.MAXIFS(BD!$A$3:$A$5001,BD!$B$3:$B$5001,G$219,BD!$A$3:$A$5001,"&gt;="&amp;$C$7,BD!$A$3:$A$5001,"&lt;="&amp;$B240,BD!$N$3:$N$5001,"&lt;&gt;"))))</f>
        <v/>
      </c>
      <c r="H240" s="43" t="str">
        <f>IF(OR($B240="",$A240&gt;$B$9,H$219=""),"",IF(COUNTIFS(BD!$B$3:$B$5001,H$219,BD!$A$3:$A$5001,"&gt;="&amp;$C$7,BD!$A$3:$A$5001,"&lt;="&amp;$B240,BD!$N$3:$N$5001,"&lt;&gt;")=0,"",SUMIFS(BD!$N$3:$N$5001,BD!$B$3:$B$5001,H$219,BD!$A$3:$A$5001,_xlfn.MAXIFS(BD!$A$3:$A$5001,BD!$B$3:$B$5001,H$219,BD!$A$3:$A$5001,"&gt;="&amp;$C$7,BD!$A$3:$A$5001,"&lt;="&amp;$B240,BD!$N$3:$N$5001,"&lt;&gt;"))))</f>
        <v/>
      </c>
      <c r="I240" s="43" t="str">
        <f>IF(OR($B240="",$A240&gt;$B$9,I$219=""),"",IF(COUNTIFS(BD!$B$3:$B$5001,I$219,BD!$A$3:$A$5001,"&gt;="&amp;$C$7,BD!$A$3:$A$5001,"&lt;="&amp;$B240,BD!$N$3:$N$5001,"&lt;&gt;")=0,"",SUMIFS(BD!$N$3:$N$5001,BD!$B$3:$B$5001,I$219,BD!$A$3:$A$5001,_xlfn.MAXIFS(BD!$A$3:$A$5001,BD!$B$3:$B$5001,I$219,BD!$A$3:$A$5001,"&gt;="&amp;$C$7,BD!$A$3:$A$5001,"&lt;="&amp;$B240,BD!$N$3:$N$5001,"&lt;&gt;"))))</f>
        <v/>
      </c>
      <c r="J240" s="43" t="str">
        <f>IF(OR($B240="",$A240&gt;$B$9,J$219=""),"",IF(COUNTIFS(BD!$B$3:$B$5001,J$219,BD!$A$3:$A$5001,"&gt;="&amp;$C$7,BD!$A$3:$A$5001,"&lt;="&amp;$B240,BD!$N$3:$N$5001,"&lt;&gt;")=0,"",SUMIFS(BD!$N$3:$N$5001,BD!$B$3:$B$5001,J$219,BD!$A$3:$A$5001,_xlfn.MAXIFS(BD!$A$3:$A$5001,BD!$B$3:$B$5001,J$219,BD!$A$3:$A$5001,"&gt;="&amp;$C$7,BD!$A$3:$A$5001,"&lt;="&amp;$B240,BD!$N$3:$N$5001,"&lt;&gt;"))))</f>
        <v/>
      </c>
      <c r="K240" s="43" t="str">
        <f>IF(OR($B240="",$A240&gt;$B$9,K$219=""),"",IF(COUNTIFS(BD!$B$3:$B$5001,K$219,BD!$A$3:$A$5001,"&gt;="&amp;$C$7,BD!$A$3:$A$5001,"&lt;="&amp;$B240,BD!$N$3:$N$5001,"&lt;&gt;")=0,"",SUMIFS(BD!$N$3:$N$5001,BD!$B$3:$B$5001,K$219,BD!$A$3:$A$5001,_xlfn.MAXIFS(BD!$A$3:$A$5001,BD!$B$3:$B$5001,K$219,BD!$A$3:$A$5001,"&gt;="&amp;$C$7,BD!$A$3:$A$5001,"&lt;="&amp;$B240,BD!$N$3:$N$5001,"&lt;&gt;"))))</f>
        <v/>
      </c>
      <c r="L240" s="43" t="str">
        <f>IF(OR($B240="",$A240&gt;$B$9,L$219=""),"",IF(COUNTIFS(BD!$B$3:$B$5001,L$219,BD!$A$3:$A$5001,"&gt;="&amp;$C$7,BD!$A$3:$A$5001,"&lt;="&amp;$B240,BD!$N$3:$N$5001,"&lt;&gt;")=0,"",SUMIFS(BD!$N$3:$N$5001,BD!$B$3:$B$5001,L$219,BD!$A$3:$A$5001,_xlfn.MAXIFS(BD!$A$3:$A$5001,BD!$B$3:$B$5001,L$219,BD!$A$3:$A$5001,"&gt;="&amp;$C$7,BD!$A$3:$A$5001,"&lt;="&amp;$B240,BD!$N$3:$N$5001,"&lt;&gt;"))))</f>
        <v/>
      </c>
      <c r="M240" s="43" t="str">
        <f>IF(OR($B240="",$A240&gt;$B$9,M$219=""),"",IF(COUNTIFS(BD!$B$3:$B$5001,M$219,BD!$A$3:$A$5001,"&gt;="&amp;$C$7,BD!$A$3:$A$5001,"&lt;="&amp;$B240,BD!$N$3:$N$5001,"&lt;&gt;")=0,"",SUMIFS(BD!$N$3:$N$5001,BD!$B$3:$B$5001,M$219,BD!$A$3:$A$5001,_xlfn.MAXIFS(BD!$A$3:$A$5001,BD!$B$3:$B$5001,M$219,BD!$A$3:$A$5001,"&gt;="&amp;$C$7,BD!$A$3:$A$5001,"&lt;="&amp;$B240,BD!$N$3:$N$5001,"&lt;&gt;"))))</f>
        <v/>
      </c>
      <c r="N240" s="43" t="str">
        <f>IF(OR($B240="",$A240&gt;$B$9,N$219=""),"",IF(COUNTIFS(BD!$B$3:$B$5001,N$219,BD!$A$3:$A$5001,"&gt;="&amp;$C$7,BD!$A$3:$A$5001,"&lt;="&amp;$B240,BD!$N$3:$N$5001,"&lt;&gt;")=0,"",SUMIFS(BD!$N$3:$N$5001,BD!$B$3:$B$5001,N$219,BD!$A$3:$A$5001,_xlfn.MAXIFS(BD!$A$3:$A$5001,BD!$B$3:$B$5001,N$219,BD!$A$3:$A$5001,"&gt;="&amp;$C$7,BD!$A$3:$A$5001,"&lt;="&amp;$B240,BD!$N$3:$N$5001,"&lt;&gt;"))))</f>
        <v/>
      </c>
      <c r="O240" s="43" t="str">
        <f>IF(OR($B240="",$A240&gt;$B$9,O$219=""),"",IF(COUNTIFS(BD!$B$3:$B$5001,O$219,BD!$A$3:$A$5001,"&gt;="&amp;$C$7,BD!$A$3:$A$5001,"&lt;="&amp;$B240,BD!$N$3:$N$5001,"&lt;&gt;")=0,"",SUMIFS(BD!$N$3:$N$5001,BD!$B$3:$B$5001,O$219,BD!$A$3:$A$5001,_xlfn.MAXIFS(BD!$A$3:$A$5001,BD!$B$3:$B$5001,O$219,BD!$A$3:$A$5001,"&gt;="&amp;$C$7,BD!$A$3:$A$5001,"&lt;="&amp;$B240,BD!$N$3:$N$5001,"&lt;&gt;"))))</f>
        <v/>
      </c>
      <c r="P240" s="43" t="str">
        <f>IF(OR($B240="",$A240&gt;$B$9,P$219=""),"",IF(COUNTIFS(BD!$B$3:$B$5001,P$219,BD!$A$3:$A$5001,"&gt;="&amp;$C$7,BD!$A$3:$A$5001,"&lt;="&amp;$B240,BD!$N$3:$N$5001,"&lt;&gt;")=0,"",SUMIFS(BD!$N$3:$N$5001,BD!$B$3:$B$5001,P$219,BD!$A$3:$A$5001,_xlfn.MAXIFS(BD!$A$3:$A$5001,BD!$B$3:$B$5001,P$219,BD!$A$3:$A$5001,"&gt;="&amp;$C$7,BD!$A$3:$A$5001,"&lt;="&amp;$B240,BD!$N$3:$N$5001,"&lt;&gt;"))))</f>
        <v/>
      </c>
      <c r="Q240" s="43" t="str">
        <f>IF(OR($B240="",$A240&gt;$B$9,Q$219=""),"",IF(COUNTIFS(BD!$B$3:$B$5001,Q$219,BD!$A$3:$A$5001,"&gt;="&amp;$C$7,BD!$A$3:$A$5001,"&lt;="&amp;$B240,BD!$N$3:$N$5001,"&lt;&gt;")=0,"",SUMIFS(BD!$N$3:$N$5001,BD!$B$3:$B$5001,Q$219,BD!$A$3:$A$5001,_xlfn.MAXIFS(BD!$A$3:$A$5001,BD!$B$3:$B$5001,Q$219,BD!$A$3:$A$5001,"&gt;="&amp;$C$7,BD!$A$3:$A$5001,"&lt;="&amp;$B240,BD!$N$3:$N$5001,"&lt;&gt;"))))</f>
        <v/>
      </c>
      <c r="R240" s="43" t="str">
        <f>IF(OR($B240="",$A240&gt;$B$9,R$219=""),"",IF(COUNTIFS(BD!$B$3:$B$5001,R$219,BD!$A$3:$A$5001,"&gt;="&amp;$C$7,BD!$A$3:$A$5001,"&lt;="&amp;$B240,BD!$N$3:$N$5001,"&lt;&gt;")=0,"",SUMIFS(BD!$N$3:$N$5001,BD!$B$3:$B$5001,R$219,BD!$A$3:$A$5001,_xlfn.MAXIFS(BD!$A$3:$A$5001,BD!$B$3:$B$5001,R$219,BD!$A$3:$A$5001,"&gt;="&amp;$C$7,BD!$A$3:$A$5001,"&lt;="&amp;$B240,BD!$N$3:$N$5001,"&lt;&gt;"))))</f>
        <v/>
      </c>
      <c r="S240" s="43" t="str">
        <f>IF(OR($B240="",$A240&gt;$B$9,S$219=""),"",IF(COUNTIFS(BD!$B$3:$B$5001,S$219,BD!$A$3:$A$5001,"&gt;="&amp;$C$7,BD!$A$3:$A$5001,"&lt;="&amp;$B240,BD!$N$3:$N$5001,"&lt;&gt;")=0,"",SUMIFS(BD!$N$3:$N$5001,BD!$B$3:$B$5001,S$219,BD!$A$3:$A$5001,_xlfn.MAXIFS(BD!$A$3:$A$5001,BD!$B$3:$B$5001,S$219,BD!$A$3:$A$5001,"&gt;="&amp;$C$7,BD!$A$3:$A$5001,"&lt;="&amp;$B240,BD!$N$3:$N$5001,"&lt;&gt;"))))</f>
        <v/>
      </c>
      <c r="T240" s="43" t="str">
        <f>IF(OR($B240="",$A240&gt;$B$9,T$219=""),"",IF(COUNTIFS(BD!$B$3:$B$5001,T$219,BD!$A$3:$A$5001,"&gt;="&amp;$C$7,BD!$A$3:$A$5001,"&lt;="&amp;$B240,BD!$N$3:$N$5001,"&lt;&gt;")=0,"",SUMIFS(BD!$N$3:$N$5001,BD!$B$3:$B$5001,T$219,BD!$A$3:$A$5001,_xlfn.MAXIFS(BD!$A$3:$A$5001,BD!$B$3:$B$5001,T$219,BD!$A$3:$A$5001,"&gt;="&amp;$C$7,BD!$A$3:$A$5001,"&lt;="&amp;$B240,BD!$N$3:$N$5001,"&lt;&gt;"))))</f>
        <v/>
      </c>
      <c r="U240" s="43" t="str">
        <f>IF(OR($B240="",$A240&gt;$B$9,U$219=""),"",IF(COUNTIFS(BD!$B$3:$B$5001,U$219,BD!$A$3:$A$5001,"&gt;="&amp;$C$7,BD!$A$3:$A$5001,"&lt;="&amp;$B240,BD!$N$3:$N$5001,"&lt;&gt;")=0,"",SUMIFS(BD!$N$3:$N$5001,BD!$B$3:$B$5001,U$219,BD!$A$3:$A$5001,_xlfn.MAXIFS(BD!$A$3:$A$5001,BD!$B$3:$B$5001,U$219,BD!$A$3:$A$5001,"&gt;="&amp;$C$7,BD!$A$3:$A$5001,"&lt;="&amp;$B240,BD!$N$3:$N$5001,"&lt;&gt;"))))</f>
        <v/>
      </c>
      <c r="V240" s="43" t="str">
        <f>IF(OR($B240="",$A240&gt;$B$9,V$219=""),"",IF(COUNTIFS(BD!$B$3:$B$5001,V$219,BD!$A$3:$A$5001,"&gt;="&amp;$C$7,BD!$A$3:$A$5001,"&lt;="&amp;$B240,BD!$N$3:$N$5001,"&lt;&gt;")=0,"",SUMIFS(BD!$N$3:$N$5001,BD!$B$3:$B$5001,V$219,BD!$A$3:$A$5001,_xlfn.MAXIFS(BD!$A$3:$A$5001,BD!$B$3:$B$5001,V$219,BD!$A$3:$A$5001,"&gt;="&amp;$C$7,BD!$A$3:$A$5001,"&lt;="&amp;$B240,BD!$N$3:$N$5001,"&lt;&gt;"))))</f>
        <v/>
      </c>
    </row>
    <row r="241">
      <c r="A241" s="38">
        <v>22</v>
      </c>
      <c r="B241" s="42">
        <f>$B$33</f>
        <v>46317</v>
      </c>
      <c r="C241" s="43" t="str">
        <f>IF(OR($B241="",$A241&gt;$B$9,C$219=""),"",IF(COUNTIFS(BD!$B$3:$B$5001,C$219,BD!$A$3:$A$5001,"&gt;="&amp;$C$7,BD!$A$3:$A$5001,"&lt;="&amp;$B241,BD!$N$3:$N$5001,"&lt;&gt;")=0,"",SUMIFS(BD!$N$3:$N$5001,BD!$B$3:$B$5001,C$219,BD!$A$3:$A$5001,_xlfn.MAXIFS(BD!$A$3:$A$5001,BD!$B$3:$B$5001,C$219,BD!$A$3:$A$5001,"&gt;="&amp;$C$7,BD!$A$3:$A$5001,"&lt;="&amp;$B241,BD!$N$3:$N$5001,"&lt;&gt;"))))</f>
        <v/>
      </c>
      <c r="D241" s="43" t="str">
        <f>IF(OR($B241="",$A241&gt;$B$9,D$219=""),"",IF(COUNTIFS(BD!$B$3:$B$5001,D$219,BD!$A$3:$A$5001,"&gt;="&amp;$C$7,BD!$A$3:$A$5001,"&lt;="&amp;$B241,BD!$N$3:$N$5001,"&lt;&gt;")=0,"",SUMIFS(BD!$N$3:$N$5001,BD!$B$3:$B$5001,D$219,BD!$A$3:$A$5001,_xlfn.MAXIFS(BD!$A$3:$A$5001,BD!$B$3:$B$5001,D$219,BD!$A$3:$A$5001,"&gt;="&amp;$C$7,BD!$A$3:$A$5001,"&lt;="&amp;$B241,BD!$N$3:$N$5001,"&lt;&gt;"))))</f>
        <v/>
      </c>
      <c r="E241" s="43" t="str">
        <f>IF(OR($B241="",$A241&gt;$B$9,E$219=""),"",IF(COUNTIFS(BD!$B$3:$B$5001,E$219,BD!$A$3:$A$5001,"&gt;="&amp;$C$7,BD!$A$3:$A$5001,"&lt;="&amp;$B241,BD!$N$3:$N$5001,"&lt;&gt;")=0,"",SUMIFS(BD!$N$3:$N$5001,BD!$B$3:$B$5001,E$219,BD!$A$3:$A$5001,_xlfn.MAXIFS(BD!$A$3:$A$5001,BD!$B$3:$B$5001,E$219,BD!$A$3:$A$5001,"&gt;="&amp;$C$7,BD!$A$3:$A$5001,"&lt;="&amp;$B241,BD!$N$3:$N$5001,"&lt;&gt;"))))</f>
        <v/>
      </c>
      <c r="F241" s="43" t="str">
        <f>IF(OR($B241="",$A241&gt;$B$9,F$219=""),"",IF(COUNTIFS(BD!$B$3:$B$5001,F$219,BD!$A$3:$A$5001,"&gt;="&amp;$C$7,BD!$A$3:$A$5001,"&lt;="&amp;$B241,BD!$N$3:$N$5001,"&lt;&gt;")=0,"",SUMIFS(BD!$N$3:$N$5001,BD!$B$3:$B$5001,F$219,BD!$A$3:$A$5001,_xlfn.MAXIFS(BD!$A$3:$A$5001,BD!$B$3:$B$5001,F$219,BD!$A$3:$A$5001,"&gt;="&amp;$C$7,BD!$A$3:$A$5001,"&lt;="&amp;$B241,BD!$N$3:$N$5001,"&lt;&gt;"))))</f>
        <v/>
      </c>
      <c r="G241" s="43" t="str">
        <f>IF(OR($B241="",$A241&gt;$B$9,G$219=""),"",IF(COUNTIFS(BD!$B$3:$B$5001,G$219,BD!$A$3:$A$5001,"&gt;="&amp;$C$7,BD!$A$3:$A$5001,"&lt;="&amp;$B241,BD!$N$3:$N$5001,"&lt;&gt;")=0,"",SUMIFS(BD!$N$3:$N$5001,BD!$B$3:$B$5001,G$219,BD!$A$3:$A$5001,_xlfn.MAXIFS(BD!$A$3:$A$5001,BD!$B$3:$B$5001,G$219,BD!$A$3:$A$5001,"&gt;="&amp;$C$7,BD!$A$3:$A$5001,"&lt;="&amp;$B241,BD!$N$3:$N$5001,"&lt;&gt;"))))</f>
        <v/>
      </c>
      <c r="H241" s="43" t="str">
        <f>IF(OR($B241="",$A241&gt;$B$9,H$219=""),"",IF(COUNTIFS(BD!$B$3:$B$5001,H$219,BD!$A$3:$A$5001,"&gt;="&amp;$C$7,BD!$A$3:$A$5001,"&lt;="&amp;$B241,BD!$N$3:$N$5001,"&lt;&gt;")=0,"",SUMIFS(BD!$N$3:$N$5001,BD!$B$3:$B$5001,H$219,BD!$A$3:$A$5001,_xlfn.MAXIFS(BD!$A$3:$A$5001,BD!$B$3:$B$5001,H$219,BD!$A$3:$A$5001,"&gt;="&amp;$C$7,BD!$A$3:$A$5001,"&lt;="&amp;$B241,BD!$N$3:$N$5001,"&lt;&gt;"))))</f>
        <v/>
      </c>
      <c r="I241" s="43" t="str">
        <f>IF(OR($B241="",$A241&gt;$B$9,I$219=""),"",IF(COUNTIFS(BD!$B$3:$B$5001,I$219,BD!$A$3:$A$5001,"&gt;="&amp;$C$7,BD!$A$3:$A$5001,"&lt;="&amp;$B241,BD!$N$3:$N$5001,"&lt;&gt;")=0,"",SUMIFS(BD!$N$3:$N$5001,BD!$B$3:$B$5001,I$219,BD!$A$3:$A$5001,_xlfn.MAXIFS(BD!$A$3:$A$5001,BD!$B$3:$B$5001,I$219,BD!$A$3:$A$5001,"&gt;="&amp;$C$7,BD!$A$3:$A$5001,"&lt;="&amp;$B241,BD!$N$3:$N$5001,"&lt;&gt;"))))</f>
        <v/>
      </c>
      <c r="J241" s="43" t="str">
        <f>IF(OR($B241="",$A241&gt;$B$9,J$219=""),"",IF(COUNTIFS(BD!$B$3:$B$5001,J$219,BD!$A$3:$A$5001,"&gt;="&amp;$C$7,BD!$A$3:$A$5001,"&lt;="&amp;$B241,BD!$N$3:$N$5001,"&lt;&gt;")=0,"",SUMIFS(BD!$N$3:$N$5001,BD!$B$3:$B$5001,J$219,BD!$A$3:$A$5001,_xlfn.MAXIFS(BD!$A$3:$A$5001,BD!$B$3:$B$5001,J$219,BD!$A$3:$A$5001,"&gt;="&amp;$C$7,BD!$A$3:$A$5001,"&lt;="&amp;$B241,BD!$N$3:$N$5001,"&lt;&gt;"))))</f>
        <v/>
      </c>
      <c r="K241" s="43" t="str">
        <f>IF(OR($B241="",$A241&gt;$B$9,K$219=""),"",IF(COUNTIFS(BD!$B$3:$B$5001,K$219,BD!$A$3:$A$5001,"&gt;="&amp;$C$7,BD!$A$3:$A$5001,"&lt;="&amp;$B241,BD!$N$3:$N$5001,"&lt;&gt;")=0,"",SUMIFS(BD!$N$3:$N$5001,BD!$B$3:$B$5001,K$219,BD!$A$3:$A$5001,_xlfn.MAXIFS(BD!$A$3:$A$5001,BD!$B$3:$B$5001,K$219,BD!$A$3:$A$5001,"&gt;="&amp;$C$7,BD!$A$3:$A$5001,"&lt;="&amp;$B241,BD!$N$3:$N$5001,"&lt;&gt;"))))</f>
        <v/>
      </c>
      <c r="L241" s="43" t="str">
        <f>IF(OR($B241="",$A241&gt;$B$9,L$219=""),"",IF(COUNTIFS(BD!$B$3:$B$5001,L$219,BD!$A$3:$A$5001,"&gt;="&amp;$C$7,BD!$A$3:$A$5001,"&lt;="&amp;$B241,BD!$N$3:$N$5001,"&lt;&gt;")=0,"",SUMIFS(BD!$N$3:$N$5001,BD!$B$3:$B$5001,L$219,BD!$A$3:$A$5001,_xlfn.MAXIFS(BD!$A$3:$A$5001,BD!$B$3:$B$5001,L$219,BD!$A$3:$A$5001,"&gt;="&amp;$C$7,BD!$A$3:$A$5001,"&lt;="&amp;$B241,BD!$N$3:$N$5001,"&lt;&gt;"))))</f>
        <v/>
      </c>
      <c r="M241" s="43" t="str">
        <f>IF(OR($B241="",$A241&gt;$B$9,M$219=""),"",IF(COUNTIFS(BD!$B$3:$B$5001,M$219,BD!$A$3:$A$5001,"&gt;="&amp;$C$7,BD!$A$3:$A$5001,"&lt;="&amp;$B241,BD!$N$3:$N$5001,"&lt;&gt;")=0,"",SUMIFS(BD!$N$3:$N$5001,BD!$B$3:$B$5001,M$219,BD!$A$3:$A$5001,_xlfn.MAXIFS(BD!$A$3:$A$5001,BD!$B$3:$B$5001,M$219,BD!$A$3:$A$5001,"&gt;="&amp;$C$7,BD!$A$3:$A$5001,"&lt;="&amp;$B241,BD!$N$3:$N$5001,"&lt;&gt;"))))</f>
        <v/>
      </c>
      <c r="N241" s="43" t="str">
        <f>IF(OR($B241="",$A241&gt;$B$9,N$219=""),"",IF(COUNTIFS(BD!$B$3:$B$5001,N$219,BD!$A$3:$A$5001,"&gt;="&amp;$C$7,BD!$A$3:$A$5001,"&lt;="&amp;$B241,BD!$N$3:$N$5001,"&lt;&gt;")=0,"",SUMIFS(BD!$N$3:$N$5001,BD!$B$3:$B$5001,N$219,BD!$A$3:$A$5001,_xlfn.MAXIFS(BD!$A$3:$A$5001,BD!$B$3:$B$5001,N$219,BD!$A$3:$A$5001,"&gt;="&amp;$C$7,BD!$A$3:$A$5001,"&lt;="&amp;$B241,BD!$N$3:$N$5001,"&lt;&gt;"))))</f>
        <v/>
      </c>
      <c r="O241" s="43" t="str">
        <f>IF(OR($B241="",$A241&gt;$B$9,O$219=""),"",IF(COUNTIFS(BD!$B$3:$B$5001,O$219,BD!$A$3:$A$5001,"&gt;="&amp;$C$7,BD!$A$3:$A$5001,"&lt;="&amp;$B241,BD!$N$3:$N$5001,"&lt;&gt;")=0,"",SUMIFS(BD!$N$3:$N$5001,BD!$B$3:$B$5001,O$219,BD!$A$3:$A$5001,_xlfn.MAXIFS(BD!$A$3:$A$5001,BD!$B$3:$B$5001,O$219,BD!$A$3:$A$5001,"&gt;="&amp;$C$7,BD!$A$3:$A$5001,"&lt;="&amp;$B241,BD!$N$3:$N$5001,"&lt;&gt;"))))</f>
        <v/>
      </c>
      <c r="P241" s="43" t="str">
        <f>IF(OR($B241="",$A241&gt;$B$9,P$219=""),"",IF(COUNTIFS(BD!$B$3:$B$5001,P$219,BD!$A$3:$A$5001,"&gt;="&amp;$C$7,BD!$A$3:$A$5001,"&lt;="&amp;$B241,BD!$N$3:$N$5001,"&lt;&gt;")=0,"",SUMIFS(BD!$N$3:$N$5001,BD!$B$3:$B$5001,P$219,BD!$A$3:$A$5001,_xlfn.MAXIFS(BD!$A$3:$A$5001,BD!$B$3:$B$5001,P$219,BD!$A$3:$A$5001,"&gt;="&amp;$C$7,BD!$A$3:$A$5001,"&lt;="&amp;$B241,BD!$N$3:$N$5001,"&lt;&gt;"))))</f>
        <v/>
      </c>
      <c r="Q241" s="43" t="str">
        <f>IF(OR($B241="",$A241&gt;$B$9,Q$219=""),"",IF(COUNTIFS(BD!$B$3:$B$5001,Q$219,BD!$A$3:$A$5001,"&gt;="&amp;$C$7,BD!$A$3:$A$5001,"&lt;="&amp;$B241,BD!$N$3:$N$5001,"&lt;&gt;")=0,"",SUMIFS(BD!$N$3:$N$5001,BD!$B$3:$B$5001,Q$219,BD!$A$3:$A$5001,_xlfn.MAXIFS(BD!$A$3:$A$5001,BD!$B$3:$B$5001,Q$219,BD!$A$3:$A$5001,"&gt;="&amp;$C$7,BD!$A$3:$A$5001,"&lt;="&amp;$B241,BD!$N$3:$N$5001,"&lt;&gt;"))))</f>
        <v/>
      </c>
      <c r="R241" s="43" t="str">
        <f>IF(OR($B241="",$A241&gt;$B$9,R$219=""),"",IF(COUNTIFS(BD!$B$3:$B$5001,R$219,BD!$A$3:$A$5001,"&gt;="&amp;$C$7,BD!$A$3:$A$5001,"&lt;="&amp;$B241,BD!$N$3:$N$5001,"&lt;&gt;")=0,"",SUMIFS(BD!$N$3:$N$5001,BD!$B$3:$B$5001,R$219,BD!$A$3:$A$5001,_xlfn.MAXIFS(BD!$A$3:$A$5001,BD!$B$3:$B$5001,R$219,BD!$A$3:$A$5001,"&gt;="&amp;$C$7,BD!$A$3:$A$5001,"&lt;="&amp;$B241,BD!$N$3:$N$5001,"&lt;&gt;"))))</f>
        <v/>
      </c>
      <c r="S241" s="43" t="str">
        <f>IF(OR($B241="",$A241&gt;$B$9,S$219=""),"",IF(COUNTIFS(BD!$B$3:$B$5001,S$219,BD!$A$3:$A$5001,"&gt;="&amp;$C$7,BD!$A$3:$A$5001,"&lt;="&amp;$B241,BD!$N$3:$N$5001,"&lt;&gt;")=0,"",SUMIFS(BD!$N$3:$N$5001,BD!$B$3:$B$5001,S$219,BD!$A$3:$A$5001,_xlfn.MAXIFS(BD!$A$3:$A$5001,BD!$B$3:$B$5001,S$219,BD!$A$3:$A$5001,"&gt;="&amp;$C$7,BD!$A$3:$A$5001,"&lt;="&amp;$B241,BD!$N$3:$N$5001,"&lt;&gt;"))))</f>
        <v/>
      </c>
      <c r="T241" s="43" t="str">
        <f>IF(OR($B241="",$A241&gt;$B$9,T$219=""),"",IF(COUNTIFS(BD!$B$3:$B$5001,T$219,BD!$A$3:$A$5001,"&gt;="&amp;$C$7,BD!$A$3:$A$5001,"&lt;="&amp;$B241,BD!$N$3:$N$5001,"&lt;&gt;")=0,"",SUMIFS(BD!$N$3:$N$5001,BD!$B$3:$B$5001,T$219,BD!$A$3:$A$5001,_xlfn.MAXIFS(BD!$A$3:$A$5001,BD!$B$3:$B$5001,T$219,BD!$A$3:$A$5001,"&gt;="&amp;$C$7,BD!$A$3:$A$5001,"&lt;="&amp;$B241,BD!$N$3:$N$5001,"&lt;&gt;"))))</f>
        <v/>
      </c>
      <c r="U241" s="43" t="str">
        <f>IF(OR($B241="",$A241&gt;$B$9,U$219=""),"",IF(COUNTIFS(BD!$B$3:$B$5001,U$219,BD!$A$3:$A$5001,"&gt;="&amp;$C$7,BD!$A$3:$A$5001,"&lt;="&amp;$B241,BD!$N$3:$N$5001,"&lt;&gt;")=0,"",SUMIFS(BD!$N$3:$N$5001,BD!$B$3:$B$5001,U$219,BD!$A$3:$A$5001,_xlfn.MAXIFS(BD!$A$3:$A$5001,BD!$B$3:$B$5001,U$219,BD!$A$3:$A$5001,"&gt;="&amp;$C$7,BD!$A$3:$A$5001,"&lt;="&amp;$B241,BD!$N$3:$N$5001,"&lt;&gt;"))))</f>
        <v/>
      </c>
      <c r="V241" s="43" t="str">
        <f>IF(OR($B241="",$A241&gt;$B$9,V$219=""),"",IF(COUNTIFS(BD!$B$3:$B$5001,V$219,BD!$A$3:$A$5001,"&gt;="&amp;$C$7,BD!$A$3:$A$5001,"&lt;="&amp;$B241,BD!$N$3:$N$5001,"&lt;&gt;")=0,"",SUMIFS(BD!$N$3:$N$5001,BD!$B$3:$B$5001,V$219,BD!$A$3:$A$5001,_xlfn.MAXIFS(BD!$A$3:$A$5001,BD!$B$3:$B$5001,V$219,BD!$A$3:$A$5001,"&gt;="&amp;$C$7,BD!$A$3:$A$5001,"&lt;="&amp;$B241,BD!$N$3:$N$5001,"&lt;&gt;"))))</f>
        <v/>
      </c>
    </row>
    <row r="242">
      <c r="A242" s="38">
        <v>23</v>
      </c>
      <c r="B242" s="42">
        <f>$B$34</f>
        <v>46318</v>
      </c>
      <c r="C242" s="43" t="str">
        <f>IF(OR($B242="",$A242&gt;$B$9,C$219=""),"",IF(COUNTIFS(BD!$B$3:$B$5001,C$219,BD!$A$3:$A$5001,"&gt;="&amp;$C$7,BD!$A$3:$A$5001,"&lt;="&amp;$B242,BD!$N$3:$N$5001,"&lt;&gt;")=0,"",SUMIFS(BD!$N$3:$N$5001,BD!$B$3:$B$5001,C$219,BD!$A$3:$A$5001,_xlfn.MAXIFS(BD!$A$3:$A$5001,BD!$B$3:$B$5001,C$219,BD!$A$3:$A$5001,"&gt;="&amp;$C$7,BD!$A$3:$A$5001,"&lt;="&amp;$B242,BD!$N$3:$N$5001,"&lt;&gt;"))))</f>
        <v/>
      </c>
      <c r="D242" s="43" t="str">
        <f>IF(OR($B242="",$A242&gt;$B$9,D$219=""),"",IF(COUNTIFS(BD!$B$3:$B$5001,D$219,BD!$A$3:$A$5001,"&gt;="&amp;$C$7,BD!$A$3:$A$5001,"&lt;="&amp;$B242,BD!$N$3:$N$5001,"&lt;&gt;")=0,"",SUMIFS(BD!$N$3:$N$5001,BD!$B$3:$B$5001,D$219,BD!$A$3:$A$5001,_xlfn.MAXIFS(BD!$A$3:$A$5001,BD!$B$3:$B$5001,D$219,BD!$A$3:$A$5001,"&gt;="&amp;$C$7,BD!$A$3:$A$5001,"&lt;="&amp;$B242,BD!$N$3:$N$5001,"&lt;&gt;"))))</f>
        <v/>
      </c>
      <c r="E242" s="43" t="str">
        <f>IF(OR($B242="",$A242&gt;$B$9,E$219=""),"",IF(COUNTIFS(BD!$B$3:$B$5001,E$219,BD!$A$3:$A$5001,"&gt;="&amp;$C$7,BD!$A$3:$A$5001,"&lt;="&amp;$B242,BD!$N$3:$N$5001,"&lt;&gt;")=0,"",SUMIFS(BD!$N$3:$N$5001,BD!$B$3:$B$5001,E$219,BD!$A$3:$A$5001,_xlfn.MAXIFS(BD!$A$3:$A$5001,BD!$B$3:$B$5001,E$219,BD!$A$3:$A$5001,"&gt;="&amp;$C$7,BD!$A$3:$A$5001,"&lt;="&amp;$B242,BD!$N$3:$N$5001,"&lt;&gt;"))))</f>
        <v/>
      </c>
      <c r="F242" s="43" t="str">
        <f>IF(OR($B242="",$A242&gt;$B$9,F$219=""),"",IF(COUNTIFS(BD!$B$3:$B$5001,F$219,BD!$A$3:$A$5001,"&gt;="&amp;$C$7,BD!$A$3:$A$5001,"&lt;="&amp;$B242,BD!$N$3:$N$5001,"&lt;&gt;")=0,"",SUMIFS(BD!$N$3:$N$5001,BD!$B$3:$B$5001,F$219,BD!$A$3:$A$5001,_xlfn.MAXIFS(BD!$A$3:$A$5001,BD!$B$3:$B$5001,F$219,BD!$A$3:$A$5001,"&gt;="&amp;$C$7,BD!$A$3:$A$5001,"&lt;="&amp;$B242,BD!$N$3:$N$5001,"&lt;&gt;"))))</f>
        <v/>
      </c>
      <c r="G242" s="43" t="str">
        <f>IF(OR($B242="",$A242&gt;$B$9,G$219=""),"",IF(COUNTIFS(BD!$B$3:$B$5001,G$219,BD!$A$3:$A$5001,"&gt;="&amp;$C$7,BD!$A$3:$A$5001,"&lt;="&amp;$B242,BD!$N$3:$N$5001,"&lt;&gt;")=0,"",SUMIFS(BD!$N$3:$N$5001,BD!$B$3:$B$5001,G$219,BD!$A$3:$A$5001,_xlfn.MAXIFS(BD!$A$3:$A$5001,BD!$B$3:$B$5001,G$219,BD!$A$3:$A$5001,"&gt;="&amp;$C$7,BD!$A$3:$A$5001,"&lt;="&amp;$B242,BD!$N$3:$N$5001,"&lt;&gt;"))))</f>
        <v/>
      </c>
      <c r="H242" s="43" t="str">
        <f>IF(OR($B242="",$A242&gt;$B$9,H$219=""),"",IF(COUNTIFS(BD!$B$3:$B$5001,H$219,BD!$A$3:$A$5001,"&gt;="&amp;$C$7,BD!$A$3:$A$5001,"&lt;="&amp;$B242,BD!$N$3:$N$5001,"&lt;&gt;")=0,"",SUMIFS(BD!$N$3:$N$5001,BD!$B$3:$B$5001,H$219,BD!$A$3:$A$5001,_xlfn.MAXIFS(BD!$A$3:$A$5001,BD!$B$3:$B$5001,H$219,BD!$A$3:$A$5001,"&gt;="&amp;$C$7,BD!$A$3:$A$5001,"&lt;="&amp;$B242,BD!$N$3:$N$5001,"&lt;&gt;"))))</f>
        <v/>
      </c>
      <c r="I242" s="43" t="str">
        <f>IF(OR($B242="",$A242&gt;$B$9,I$219=""),"",IF(COUNTIFS(BD!$B$3:$B$5001,I$219,BD!$A$3:$A$5001,"&gt;="&amp;$C$7,BD!$A$3:$A$5001,"&lt;="&amp;$B242,BD!$N$3:$N$5001,"&lt;&gt;")=0,"",SUMIFS(BD!$N$3:$N$5001,BD!$B$3:$B$5001,I$219,BD!$A$3:$A$5001,_xlfn.MAXIFS(BD!$A$3:$A$5001,BD!$B$3:$B$5001,I$219,BD!$A$3:$A$5001,"&gt;="&amp;$C$7,BD!$A$3:$A$5001,"&lt;="&amp;$B242,BD!$N$3:$N$5001,"&lt;&gt;"))))</f>
        <v/>
      </c>
      <c r="J242" s="43" t="str">
        <f>IF(OR($B242="",$A242&gt;$B$9,J$219=""),"",IF(COUNTIFS(BD!$B$3:$B$5001,J$219,BD!$A$3:$A$5001,"&gt;="&amp;$C$7,BD!$A$3:$A$5001,"&lt;="&amp;$B242,BD!$N$3:$N$5001,"&lt;&gt;")=0,"",SUMIFS(BD!$N$3:$N$5001,BD!$B$3:$B$5001,J$219,BD!$A$3:$A$5001,_xlfn.MAXIFS(BD!$A$3:$A$5001,BD!$B$3:$B$5001,J$219,BD!$A$3:$A$5001,"&gt;="&amp;$C$7,BD!$A$3:$A$5001,"&lt;="&amp;$B242,BD!$N$3:$N$5001,"&lt;&gt;"))))</f>
        <v/>
      </c>
      <c r="K242" s="43" t="str">
        <f>IF(OR($B242="",$A242&gt;$B$9,K$219=""),"",IF(COUNTIFS(BD!$B$3:$B$5001,K$219,BD!$A$3:$A$5001,"&gt;="&amp;$C$7,BD!$A$3:$A$5001,"&lt;="&amp;$B242,BD!$N$3:$N$5001,"&lt;&gt;")=0,"",SUMIFS(BD!$N$3:$N$5001,BD!$B$3:$B$5001,K$219,BD!$A$3:$A$5001,_xlfn.MAXIFS(BD!$A$3:$A$5001,BD!$B$3:$B$5001,K$219,BD!$A$3:$A$5001,"&gt;="&amp;$C$7,BD!$A$3:$A$5001,"&lt;="&amp;$B242,BD!$N$3:$N$5001,"&lt;&gt;"))))</f>
        <v/>
      </c>
      <c r="L242" s="43" t="str">
        <f>IF(OR($B242="",$A242&gt;$B$9,L$219=""),"",IF(COUNTIFS(BD!$B$3:$B$5001,L$219,BD!$A$3:$A$5001,"&gt;="&amp;$C$7,BD!$A$3:$A$5001,"&lt;="&amp;$B242,BD!$N$3:$N$5001,"&lt;&gt;")=0,"",SUMIFS(BD!$N$3:$N$5001,BD!$B$3:$B$5001,L$219,BD!$A$3:$A$5001,_xlfn.MAXIFS(BD!$A$3:$A$5001,BD!$B$3:$B$5001,L$219,BD!$A$3:$A$5001,"&gt;="&amp;$C$7,BD!$A$3:$A$5001,"&lt;="&amp;$B242,BD!$N$3:$N$5001,"&lt;&gt;"))))</f>
        <v/>
      </c>
      <c r="M242" s="43" t="str">
        <f>IF(OR($B242="",$A242&gt;$B$9,M$219=""),"",IF(COUNTIFS(BD!$B$3:$B$5001,M$219,BD!$A$3:$A$5001,"&gt;="&amp;$C$7,BD!$A$3:$A$5001,"&lt;="&amp;$B242,BD!$N$3:$N$5001,"&lt;&gt;")=0,"",SUMIFS(BD!$N$3:$N$5001,BD!$B$3:$B$5001,M$219,BD!$A$3:$A$5001,_xlfn.MAXIFS(BD!$A$3:$A$5001,BD!$B$3:$B$5001,M$219,BD!$A$3:$A$5001,"&gt;="&amp;$C$7,BD!$A$3:$A$5001,"&lt;="&amp;$B242,BD!$N$3:$N$5001,"&lt;&gt;"))))</f>
        <v/>
      </c>
      <c r="N242" s="43" t="str">
        <f>IF(OR($B242="",$A242&gt;$B$9,N$219=""),"",IF(COUNTIFS(BD!$B$3:$B$5001,N$219,BD!$A$3:$A$5001,"&gt;="&amp;$C$7,BD!$A$3:$A$5001,"&lt;="&amp;$B242,BD!$N$3:$N$5001,"&lt;&gt;")=0,"",SUMIFS(BD!$N$3:$N$5001,BD!$B$3:$B$5001,N$219,BD!$A$3:$A$5001,_xlfn.MAXIFS(BD!$A$3:$A$5001,BD!$B$3:$B$5001,N$219,BD!$A$3:$A$5001,"&gt;="&amp;$C$7,BD!$A$3:$A$5001,"&lt;="&amp;$B242,BD!$N$3:$N$5001,"&lt;&gt;"))))</f>
        <v/>
      </c>
      <c r="O242" s="43" t="str">
        <f>IF(OR($B242="",$A242&gt;$B$9,O$219=""),"",IF(COUNTIFS(BD!$B$3:$B$5001,O$219,BD!$A$3:$A$5001,"&gt;="&amp;$C$7,BD!$A$3:$A$5001,"&lt;="&amp;$B242,BD!$N$3:$N$5001,"&lt;&gt;")=0,"",SUMIFS(BD!$N$3:$N$5001,BD!$B$3:$B$5001,O$219,BD!$A$3:$A$5001,_xlfn.MAXIFS(BD!$A$3:$A$5001,BD!$B$3:$B$5001,O$219,BD!$A$3:$A$5001,"&gt;="&amp;$C$7,BD!$A$3:$A$5001,"&lt;="&amp;$B242,BD!$N$3:$N$5001,"&lt;&gt;"))))</f>
        <v/>
      </c>
      <c r="P242" s="43" t="str">
        <f>IF(OR($B242="",$A242&gt;$B$9,P$219=""),"",IF(COUNTIFS(BD!$B$3:$B$5001,P$219,BD!$A$3:$A$5001,"&gt;="&amp;$C$7,BD!$A$3:$A$5001,"&lt;="&amp;$B242,BD!$N$3:$N$5001,"&lt;&gt;")=0,"",SUMIFS(BD!$N$3:$N$5001,BD!$B$3:$B$5001,P$219,BD!$A$3:$A$5001,_xlfn.MAXIFS(BD!$A$3:$A$5001,BD!$B$3:$B$5001,P$219,BD!$A$3:$A$5001,"&gt;="&amp;$C$7,BD!$A$3:$A$5001,"&lt;="&amp;$B242,BD!$N$3:$N$5001,"&lt;&gt;"))))</f>
        <v/>
      </c>
      <c r="Q242" s="43" t="str">
        <f>IF(OR($B242="",$A242&gt;$B$9,Q$219=""),"",IF(COUNTIFS(BD!$B$3:$B$5001,Q$219,BD!$A$3:$A$5001,"&gt;="&amp;$C$7,BD!$A$3:$A$5001,"&lt;="&amp;$B242,BD!$N$3:$N$5001,"&lt;&gt;")=0,"",SUMIFS(BD!$N$3:$N$5001,BD!$B$3:$B$5001,Q$219,BD!$A$3:$A$5001,_xlfn.MAXIFS(BD!$A$3:$A$5001,BD!$B$3:$B$5001,Q$219,BD!$A$3:$A$5001,"&gt;="&amp;$C$7,BD!$A$3:$A$5001,"&lt;="&amp;$B242,BD!$N$3:$N$5001,"&lt;&gt;"))))</f>
        <v/>
      </c>
      <c r="R242" s="43" t="str">
        <f>IF(OR($B242="",$A242&gt;$B$9,R$219=""),"",IF(COUNTIFS(BD!$B$3:$B$5001,R$219,BD!$A$3:$A$5001,"&gt;="&amp;$C$7,BD!$A$3:$A$5001,"&lt;="&amp;$B242,BD!$N$3:$N$5001,"&lt;&gt;")=0,"",SUMIFS(BD!$N$3:$N$5001,BD!$B$3:$B$5001,R$219,BD!$A$3:$A$5001,_xlfn.MAXIFS(BD!$A$3:$A$5001,BD!$B$3:$B$5001,R$219,BD!$A$3:$A$5001,"&gt;="&amp;$C$7,BD!$A$3:$A$5001,"&lt;="&amp;$B242,BD!$N$3:$N$5001,"&lt;&gt;"))))</f>
        <v/>
      </c>
      <c r="S242" s="43" t="str">
        <f>IF(OR($B242="",$A242&gt;$B$9,S$219=""),"",IF(COUNTIFS(BD!$B$3:$B$5001,S$219,BD!$A$3:$A$5001,"&gt;="&amp;$C$7,BD!$A$3:$A$5001,"&lt;="&amp;$B242,BD!$N$3:$N$5001,"&lt;&gt;")=0,"",SUMIFS(BD!$N$3:$N$5001,BD!$B$3:$B$5001,S$219,BD!$A$3:$A$5001,_xlfn.MAXIFS(BD!$A$3:$A$5001,BD!$B$3:$B$5001,S$219,BD!$A$3:$A$5001,"&gt;="&amp;$C$7,BD!$A$3:$A$5001,"&lt;="&amp;$B242,BD!$N$3:$N$5001,"&lt;&gt;"))))</f>
        <v/>
      </c>
      <c r="T242" s="43" t="str">
        <f>IF(OR($B242="",$A242&gt;$B$9,T$219=""),"",IF(COUNTIFS(BD!$B$3:$B$5001,T$219,BD!$A$3:$A$5001,"&gt;="&amp;$C$7,BD!$A$3:$A$5001,"&lt;="&amp;$B242,BD!$N$3:$N$5001,"&lt;&gt;")=0,"",SUMIFS(BD!$N$3:$N$5001,BD!$B$3:$B$5001,T$219,BD!$A$3:$A$5001,_xlfn.MAXIFS(BD!$A$3:$A$5001,BD!$B$3:$B$5001,T$219,BD!$A$3:$A$5001,"&gt;="&amp;$C$7,BD!$A$3:$A$5001,"&lt;="&amp;$B242,BD!$N$3:$N$5001,"&lt;&gt;"))))</f>
        <v/>
      </c>
      <c r="U242" s="43" t="str">
        <f>IF(OR($B242="",$A242&gt;$B$9,U$219=""),"",IF(COUNTIFS(BD!$B$3:$B$5001,U$219,BD!$A$3:$A$5001,"&gt;="&amp;$C$7,BD!$A$3:$A$5001,"&lt;="&amp;$B242,BD!$N$3:$N$5001,"&lt;&gt;")=0,"",SUMIFS(BD!$N$3:$N$5001,BD!$B$3:$B$5001,U$219,BD!$A$3:$A$5001,_xlfn.MAXIFS(BD!$A$3:$A$5001,BD!$B$3:$B$5001,U$219,BD!$A$3:$A$5001,"&gt;="&amp;$C$7,BD!$A$3:$A$5001,"&lt;="&amp;$B242,BD!$N$3:$N$5001,"&lt;&gt;"))))</f>
        <v/>
      </c>
      <c r="V242" s="43" t="str">
        <f>IF(OR($B242="",$A242&gt;$B$9,V$219=""),"",IF(COUNTIFS(BD!$B$3:$B$5001,V$219,BD!$A$3:$A$5001,"&gt;="&amp;$C$7,BD!$A$3:$A$5001,"&lt;="&amp;$B242,BD!$N$3:$N$5001,"&lt;&gt;")=0,"",SUMIFS(BD!$N$3:$N$5001,BD!$B$3:$B$5001,V$219,BD!$A$3:$A$5001,_xlfn.MAXIFS(BD!$A$3:$A$5001,BD!$B$3:$B$5001,V$219,BD!$A$3:$A$5001,"&gt;="&amp;$C$7,BD!$A$3:$A$5001,"&lt;="&amp;$B242,BD!$N$3:$N$5001,"&lt;&gt;"))))</f>
        <v/>
      </c>
    </row>
    <row r="243">
      <c r="A243" s="38">
        <v>24</v>
      </c>
      <c r="B243" s="42">
        <f>$B$35</f>
        <v>46319</v>
      </c>
      <c r="C243" s="43" t="str">
        <f>IF(OR($B243="",$A243&gt;$B$9,C$219=""),"",IF(COUNTIFS(BD!$B$3:$B$5001,C$219,BD!$A$3:$A$5001,"&gt;="&amp;$C$7,BD!$A$3:$A$5001,"&lt;="&amp;$B243,BD!$N$3:$N$5001,"&lt;&gt;")=0,"",SUMIFS(BD!$N$3:$N$5001,BD!$B$3:$B$5001,C$219,BD!$A$3:$A$5001,_xlfn.MAXIFS(BD!$A$3:$A$5001,BD!$B$3:$B$5001,C$219,BD!$A$3:$A$5001,"&gt;="&amp;$C$7,BD!$A$3:$A$5001,"&lt;="&amp;$B243,BD!$N$3:$N$5001,"&lt;&gt;"))))</f>
        <v/>
      </c>
      <c r="D243" s="43" t="str">
        <f>IF(OR($B243="",$A243&gt;$B$9,D$219=""),"",IF(COUNTIFS(BD!$B$3:$B$5001,D$219,BD!$A$3:$A$5001,"&gt;="&amp;$C$7,BD!$A$3:$A$5001,"&lt;="&amp;$B243,BD!$N$3:$N$5001,"&lt;&gt;")=0,"",SUMIFS(BD!$N$3:$N$5001,BD!$B$3:$B$5001,D$219,BD!$A$3:$A$5001,_xlfn.MAXIFS(BD!$A$3:$A$5001,BD!$B$3:$B$5001,D$219,BD!$A$3:$A$5001,"&gt;="&amp;$C$7,BD!$A$3:$A$5001,"&lt;="&amp;$B243,BD!$N$3:$N$5001,"&lt;&gt;"))))</f>
        <v/>
      </c>
      <c r="E243" s="43" t="str">
        <f>IF(OR($B243="",$A243&gt;$B$9,E$219=""),"",IF(COUNTIFS(BD!$B$3:$B$5001,E$219,BD!$A$3:$A$5001,"&gt;="&amp;$C$7,BD!$A$3:$A$5001,"&lt;="&amp;$B243,BD!$N$3:$N$5001,"&lt;&gt;")=0,"",SUMIFS(BD!$N$3:$N$5001,BD!$B$3:$B$5001,E$219,BD!$A$3:$A$5001,_xlfn.MAXIFS(BD!$A$3:$A$5001,BD!$B$3:$B$5001,E$219,BD!$A$3:$A$5001,"&gt;="&amp;$C$7,BD!$A$3:$A$5001,"&lt;="&amp;$B243,BD!$N$3:$N$5001,"&lt;&gt;"))))</f>
        <v/>
      </c>
      <c r="F243" s="43" t="str">
        <f>IF(OR($B243="",$A243&gt;$B$9,F$219=""),"",IF(COUNTIFS(BD!$B$3:$B$5001,F$219,BD!$A$3:$A$5001,"&gt;="&amp;$C$7,BD!$A$3:$A$5001,"&lt;="&amp;$B243,BD!$N$3:$N$5001,"&lt;&gt;")=0,"",SUMIFS(BD!$N$3:$N$5001,BD!$B$3:$B$5001,F$219,BD!$A$3:$A$5001,_xlfn.MAXIFS(BD!$A$3:$A$5001,BD!$B$3:$B$5001,F$219,BD!$A$3:$A$5001,"&gt;="&amp;$C$7,BD!$A$3:$A$5001,"&lt;="&amp;$B243,BD!$N$3:$N$5001,"&lt;&gt;"))))</f>
        <v/>
      </c>
      <c r="G243" s="43" t="str">
        <f>IF(OR($B243="",$A243&gt;$B$9,G$219=""),"",IF(COUNTIFS(BD!$B$3:$B$5001,G$219,BD!$A$3:$A$5001,"&gt;="&amp;$C$7,BD!$A$3:$A$5001,"&lt;="&amp;$B243,BD!$N$3:$N$5001,"&lt;&gt;")=0,"",SUMIFS(BD!$N$3:$N$5001,BD!$B$3:$B$5001,G$219,BD!$A$3:$A$5001,_xlfn.MAXIFS(BD!$A$3:$A$5001,BD!$B$3:$B$5001,G$219,BD!$A$3:$A$5001,"&gt;="&amp;$C$7,BD!$A$3:$A$5001,"&lt;="&amp;$B243,BD!$N$3:$N$5001,"&lt;&gt;"))))</f>
        <v/>
      </c>
      <c r="H243" s="43" t="str">
        <f>IF(OR($B243="",$A243&gt;$B$9,H$219=""),"",IF(COUNTIFS(BD!$B$3:$B$5001,H$219,BD!$A$3:$A$5001,"&gt;="&amp;$C$7,BD!$A$3:$A$5001,"&lt;="&amp;$B243,BD!$N$3:$N$5001,"&lt;&gt;")=0,"",SUMIFS(BD!$N$3:$N$5001,BD!$B$3:$B$5001,H$219,BD!$A$3:$A$5001,_xlfn.MAXIFS(BD!$A$3:$A$5001,BD!$B$3:$B$5001,H$219,BD!$A$3:$A$5001,"&gt;="&amp;$C$7,BD!$A$3:$A$5001,"&lt;="&amp;$B243,BD!$N$3:$N$5001,"&lt;&gt;"))))</f>
        <v/>
      </c>
      <c r="I243" s="43" t="str">
        <f>IF(OR($B243="",$A243&gt;$B$9,I$219=""),"",IF(COUNTIFS(BD!$B$3:$B$5001,I$219,BD!$A$3:$A$5001,"&gt;="&amp;$C$7,BD!$A$3:$A$5001,"&lt;="&amp;$B243,BD!$N$3:$N$5001,"&lt;&gt;")=0,"",SUMIFS(BD!$N$3:$N$5001,BD!$B$3:$B$5001,I$219,BD!$A$3:$A$5001,_xlfn.MAXIFS(BD!$A$3:$A$5001,BD!$B$3:$B$5001,I$219,BD!$A$3:$A$5001,"&gt;="&amp;$C$7,BD!$A$3:$A$5001,"&lt;="&amp;$B243,BD!$N$3:$N$5001,"&lt;&gt;"))))</f>
        <v/>
      </c>
      <c r="J243" s="43" t="str">
        <f>IF(OR($B243="",$A243&gt;$B$9,J$219=""),"",IF(COUNTIFS(BD!$B$3:$B$5001,J$219,BD!$A$3:$A$5001,"&gt;="&amp;$C$7,BD!$A$3:$A$5001,"&lt;="&amp;$B243,BD!$N$3:$N$5001,"&lt;&gt;")=0,"",SUMIFS(BD!$N$3:$N$5001,BD!$B$3:$B$5001,J$219,BD!$A$3:$A$5001,_xlfn.MAXIFS(BD!$A$3:$A$5001,BD!$B$3:$B$5001,J$219,BD!$A$3:$A$5001,"&gt;="&amp;$C$7,BD!$A$3:$A$5001,"&lt;="&amp;$B243,BD!$N$3:$N$5001,"&lt;&gt;"))))</f>
        <v/>
      </c>
      <c r="K243" s="43" t="str">
        <f>IF(OR($B243="",$A243&gt;$B$9,K$219=""),"",IF(COUNTIFS(BD!$B$3:$B$5001,K$219,BD!$A$3:$A$5001,"&gt;="&amp;$C$7,BD!$A$3:$A$5001,"&lt;="&amp;$B243,BD!$N$3:$N$5001,"&lt;&gt;")=0,"",SUMIFS(BD!$N$3:$N$5001,BD!$B$3:$B$5001,K$219,BD!$A$3:$A$5001,_xlfn.MAXIFS(BD!$A$3:$A$5001,BD!$B$3:$B$5001,K$219,BD!$A$3:$A$5001,"&gt;="&amp;$C$7,BD!$A$3:$A$5001,"&lt;="&amp;$B243,BD!$N$3:$N$5001,"&lt;&gt;"))))</f>
        <v/>
      </c>
      <c r="L243" s="43" t="str">
        <f>IF(OR($B243="",$A243&gt;$B$9,L$219=""),"",IF(COUNTIFS(BD!$B$3:$B$5001,L$219,BD!$A$3:$A$5001,"&gt;="&amp;$C$7,BD!$A$3:$A$5001,"&lt;="&amp;$B243,BD!$N$3:$N$5001,"&lt;&gt;")=0,"",SUMIFS(BD!$N$3:$N$5001,BD!$B$3:$B$5001,L$219,BD!$A$3:$A$5001,_xlfn.MAXIFS(BD!$A$3:$A$5001,BD!$B$3:$B$5001,L$219,BD!$A$3:$A$5001,"&gt;="&amp;$C$7,BD!$A$3:$A$5001,"&lt;="&amp;$B243,BD!$N$3:$N$5001,"&lt;&gt;"))))</f>
        <v/>
      </c>
      <c r="M243" s="43" t="str">
        <f>IF(OR($B243="",$A243&gt;$B$9,M$219=""),"",IF(COUNTIFS(BD!$B$3:$B$5001,M$219,BD!$A$3:$A$5001,"&gt;="&amp;$C$7,BD!$A$3:$A$5001,"&lt;="&amp;$B243,BD!$N$3:$N$5001,"&lt;&gt;")=0,"",SUMIFS(BD!$N$3:$N$5001,BD!$B$3:$B$5001,M$219,BD!$A$3:$A$5001,_xlfn.MAXIFS(BD!$A$3:$A$5001,BD!$B$3:$B$5001,M$219,BD!$A$3:$A$5001,"&gt;="&amp;$C$7,BD!$A$3:$A$5001,"&lt;="&amp;$B243,BD!$N$3:$N$5001,"&lt;&gt;"))))</f>
        <v/>
      </c>
      <c r="N243" s="43" t="str">
        <f>IF(OR($B243="",$A243&gt;$B$9,N$219=""),"",IF(COUNTIFS(BD!$B$3:$B$5001,N$219,BD!$A$3:$A$5001,"&gt;="&amp;$C$7,BD!$A$3:$A$5001,"&lt;="&amp;$B243,BD!$N$3:$N$5001,"&lt;&gt;")=0,"",SUMIFS(BD!$N$3:$N$5001,BD!$B$3:$B$5001,N$219,BD!$A$3:$A$5001,_xlfn.MAXIFS(BD!$A$3:$A$5001,BD!$B$3:$B$5001,N$219,BD!$A$3:$A$5001,"&gt;="&amp;$C$7,BD!$A$3:$A$5001,"&lt;="&amp;$B243,BD!$N$3:$N$5001,"&lt;&gt;"))))</f>
        <v/>
      </c>
      <c r="O243" s="43" t="str">
        <f>IF(OR($B243="",$A243&gt;$B$9,O$219=""),"",IF(COUNTIFS(BD!$B$3:$B$5001,O$219,BD!$A$3:$A$5001,"&gt;="&amp;$C$7,BD!$A$3:$A$5001,"&lt;="&amp;$B243,BD!$N$3:$N$5001,"&lt;&gt;")=0,"",SUMIFS(BD!$N$3:$N$5001,BD!$B$3:$B$5001,O$219,BD!$A$3:$A$5001,_xlfn.MAXIFS(BD!$A$3:$A$5001,BD!$B$3:$B$5001,O$219,BD!$A$3:$A$5001,"&gt;="&amp;$C$7,BD!$A$3:$A$5001,"&lt;="&amp;$B243,BD!$N$3:$N$5001,"&lt;&gt;"))))</f>
        <v/>
      </c>
      <c r="P243" s="43" t="str">
        <f>IF(OR($B243="",$A243&gt;$B$9,P$219=""),"",IF(COUNTIFS(BD!$B$3:$B$5001,P$219,BD!$A$3:$A$5001,"&gt;="&amp;$C$7,BD!$A$3:$A$5001,"&lt;="&amp;$B243,BD!$N$3:$N$5001,"&lt;&gt;")=0,"",SUMIFS(BD!$N$3:$N$5001,BD!$B$3:$B$5001,P$219,BD!$A$3:$A$5001,_xlfn.MAXIFS(BD!$A$3:$A$5001,BD!$B$3:$B$5001,P$219,BD!$A$3:$A$5001,"&gt;="&amp;$C$7,BD!$A$3:$A$5001,"&lt;="&amp;$B243,BD!$N$3:$N$5001,"&lt;&gt;"))))</f>
        <v/>
      </c>
      <c r="Q243" s="43" t="str">
        <f>IF(OR($B243="",$A243&gt;$B$9,Q$219=""),"",IF(COUNTIFS(BD!$B$3:$B$5001,Q$219,BD!$A$3:$A$5001,"&gt;="&amp;$C$7,BD!$A$3:$A$5001,"&lt;="&amp;$B243,BD!$N$3:$N$5001,"&lt;&gt;")=0,"",SUMIFS(BD!$N$3:$N$5001,BD!$B$3:$B$5001,Q$219,BD!$A$3:$A$5001,_xlfn.MAXIFS(BD!$A$3:$A$5001,BD!$B$3:$B$5001,Q$219,BD!$A$3:$A$5001,"&gt;="&amp;$C$7,BD!$A$3:$A$5001,"&lt;="&amp;$B243,BD!$N$3:$N$5001,"&lt;&gt;"))))</f>
        <v/>
      </c>
      <c r="R243" s="43" t="str">
        <f>IF(OR($B243="",$A243&gt;$B$9,R$219=""),"",IF(COUNTIFS(BD!$B$3:$B$5001,R$219,BD!$A$3:$A$5001,"&gt;="&amp;$C$7,BD!$A$3:$A$5001,"&lt;="&amp;$B243,BD!$N$3:$N$5001,"&lt;&gt;")=0,"",SUMIFS(BD!$N$3:$N$5001,BD!$B$3:$B$5001,R$219,BD!$A$3:$A$5001,_xlfn.MAXIFS(BD!$A$3:$A$5001,BD!$B$3:$B$5001,R$219,BD!$A$3:$A$5001,"&gt;="&amp;$C$7,BD!$A$3:$A$5001,"&lt;="&amp;$B243,BD!$N$3:$N$5001,"&lt;&gt;"))))</f>
        <v/>
      </c>
      <c r="S243" s="43" t="str">
        <f>IF(OR($B243="",$A243&gt;$B$9,S$219=""),"",IF(COUNTIFS(BD!$B$3:$B$5001,S$219,BD!$A$3:$A$5001,"&gt;="&amp;$C$7,BD!$A$3:$A$5001,"&lt;="&amp;$B243,BD!$N$3:$N$5001,"&lt;&gt;")=0,"",SUMIFS(BD!$N$3:$N$5001,BD!$B$3:$B$5001,S$219,BD!$A$3:$A$5001,_xlfn.MAXIFS(BD!$A$3:$A$5001,BD!$B$3:$B$5001,S$219,BD!$A$3:$A$5001,"&gt;="&amp;$C$7,BD!$A$3:$A$5001,"&lt;="&amp;$B243,BD!$N$3:$N$5001,"&lt;&gt;"))))</f>
        <v/>
      </c>
      <c r="T243" s="43" t="str">
        <f>IF(OR($B243="",$A243&gt;$B$9,T$219=""),"",IF(COUNTIFS(BD!$B$3:$B$5001,T$219,BD!$A$3:$A$5001,"&gt;="&amp;$C$7,BD!$A$3:$A$5001,"&lt;="&amp;$B243,BD!$N$3:$N$5001,"&lt;&gt;")=0,"",SUMIFS(BD!$N$3:$N$5001,BD!$B$3:$B$5001,T$219,BD!$A$3:$A$5001,_xlfn.MAXIFS(BD!$A$3:$A$5001,BD!$B$3:$B$5001,T$219,BD!$A$3:$A$5001,"&gt;="&amp;$C$7,BD!$A$3:$A$5001,"&lt;="&amp;$B243,BD!$N$3:$N$5001,"&lt;&gt;"))))</f>
        <v/>
      </c>
      <c r="U243" s="43" t="str">
        <f>IF(OR($B243="",$A243&gt;$B$9,U$219=""),"",IF(COUNTIFS(BD!$B$3:$B$5001,U$219,BD!$A$3:$A$5001,"&gt;="&amp;$C$7,BD!$A$3:$A$5001,"&lt;="&amp;$B243,BD!$N$3:$N$5001,"&lt;&gt;")=0,"",SUMIFS(BD!$N$3:$N$5001,BD!$B$3:$B$5001,U$219,BD!$A$3:$A$5001,_xlfn.MAXIFS(BD!$A$3:$A$5001,BD!$B$3:$B$5001,U$219,BD!$A$3:$A$5001,"&gt;="&amp;$C$7,BD!$A$3:$A$5001,"&lt;="&amp;$B243,BD!$N$3:$N$5001,"&lt;&gt;"))))</f>
        <v/>
      </c>
      <c r="V243" s="43" t="str">
        <f>IF(OR($B243="",$A243&gt;$B$9,V$219=""),"",IF(COUNTIFS(BD!$B$3:$B$5001,V$219,BD!$A$3:$A$5001,"&gt;="&amp;$C$7,BD!$A$3:$A$5001,"&lt;="&amp;$B243,BD!$N$3:$N$5001,"&lt;&gt;")=0,"",SUMIFS(BD!$N$3:$N$5001,BD!$B$3:$B$5001,V$219,BD!$A$3:$A$5001,_xlfn.MAXIFS(BD!$A$3:$A$5001,BD!$B$3:$B$5001,V$219,BD!$A$3:$A$5001,"&gt;="&amp;$C$7,BD!$A$3:$A$5001,"&lt;="&amp;$B243,BD!$N$3:$N$5001,"&lt;&gt;"))))</f>
        <v/>
      </c>
    </row>
    <row r="244">
      <c r="A244" s="38">
        <v>25</v>
      </c>
      <c r="B244" s="42">
        <f>$B$36</f>
        <v>46320</v>
      </c>
      <c r="C244" s="43" t="str">
        <f>IF(OR($B244="",$A244&gt;$B$9,C$219=""),"",IF(COUNTIFS(BD!$B$3:$B$5001,C$219,BD!$A$3:$A$5001,"&gt;="&amp;$C$7,BD!$A$3:$A$5001,"&lt;="&amp;$B244,BD!$N$3:$N$5001,"&lt;&gt;")=0,"",SUMIFS(BD!$N$3:$N$5001,BD!$B$3:$B$5001,C$219,BD!$A$3:$A$5001,_xlfn.MAXIFS(BD!$A$3:$A$5001,BD!$B$3:$B$5001,C$219,BD!$A$3:$A$5001,"&gt;="&amp;$C$7,BD!$A$3:$A$5001,"&lt;="&amp;$B244,BD!$N$3:$N$5001,"&lt;&gt;"))))</f>
        <v/>
      </c>
      <c r="D244" s="43" t="str">
        <f>IF(OR($B244="",$A244&gt;$B$9,D$219=""),"",IF(COUNTIFS(BD!$B$3:$B$5001,D$219,BD!$A$3:$A$5001,"&gt;="&amp;$C$7,BD!$A$3:$A$5001,"&lt;="&amp;$B244,BD!$N$3:$N$5001,"&lt;&gt;")=0,"",SUMIFS(BD!$N$3:$N$5001,BD!$B$3:$B$5001,D$219,BD!$A$3:$A$5001,_xlfn.MAXIFS(BD!$A$3:$A$5001,BD!$B$3:$B$5001,D$219,BD!$A$3:$A$5001,"&gt;="&amp;$C$7,BD!$A$3:$A$5001,"&lt;="&amp;$B244,BD!$N$3:$N$5001,"&lt;&gt;"))))</f>
        <v/>
      </c>
      <c r="E244" s="43" t="str">
        <f>IF(OR($B244="",$A244&gt;$B$9,E$219=""),"",IF(COUNTIFS(BD!$B$3:$B$5001,E$219,BD!$A$3:$A$5001,"&gt;="&amp;$C$7,BD!$A$3:$A$5001,"&lt;="&amp;$B244,BD!$N$3:$N$5001,"&lt;&gt;")=0,"",SUMIFS(BD!$N$3:$N$5001,BD!$B$3:$B$5001,E$219,BD!$A$3:$A$5001,_xlfn.MAXIFS(BD!$A$3:$A$5001,BD!$B$3:$B$5001,E$219,BD!$A$3:$A$5001,"&gt;="&amp;$C$7,BD!$A$3:$A$5001,"&lt;="&amp;$B244,BD!$N$3:$N$5001,"&lt;&gt;"))))</f>
        <v/>
      </c>
      <c r="F244" s="43" t="str">
        <f>IF(OR($B244="",$A244&gt;$B$9,F$219=""),"",IF(COUNTIFS(BD!$B$3:$B$5001,F$219,BD!$A$3:$A$5001,"&gt;="&amp;$C$7,BD!$A$3:$A$5001,"&lt;="&amp;$B244,BD!$N$3:$N$5001,"&lt;&gt;")=0,"",SUMIFS(BD!$N$3:$N$5001,BD!$B$3:$B$5001,F$219,BD!$A$3:$A$5001,_xlfn.MAXIFS(BD!$A$3:$A$5001,BD!$B$3:$B$5001,F$219,BD!$A$3:$A$5001,"&gt;="&amp;$C$7,BD!$A$3:$A$5001,"&lt;="&amp;$B244,BD!$N$3:$N$5001,"&lt;&gt;"))))</f>
        <v/>
      </c>
      <c r="G244" s="43" t="str">
        <f>IF(OR($B244="",$A244&gt;$B$9,G$219=""),"",IF(COUNTIFS(BD!$B$3:$B$5001,G$219,BD!$A$3:$A$5001,"&gt;="&amp;$C$7,BD!$A$3:$A$5001,"&lt;="&amp;$B244,BD!$N$3:$N$5001,"&lt;&gt;")=0,"",SUMIFS(BD!$N$3:$N$5001,BD!$B$3:$B$5001,G$219,BD!$A$3:$A$5001,_xlfn.MAXIFS(BD!$A$3:$A$5001,BD!$B$3:$B$5001,G$219,BD!$A$3:$A$5001,"&gt;="&amp;$C$7,BD!$A$3:$A$5001,"&lt;="&amp;$B244,BD!$N$3:$N$5001,"&lt;&gt;"))))</f>
        <v/>
      </c>
      <c r="H244" s="43" t="str">
        <f>IF(OR($B244="",$A244&gt;$B$9,H$219=""),"",IF(COUNTIFS(BD!$B$3:$B$5001,H$219,BD!$A$3:$A$5001,"&gt;="&amp;$C$7,BD!$A$3:$A$5001,"&lt;="&amp;$B244,BD!$N$3:$N$5001,"&lt;&gt;")=0,"",SUMIFS(BD!$N$3:$N$5001,BD!$B$3:$B$5001,H$219,BD!$A$3:$A$5001,_xlfn.MAXIFS(BD!$A$3:$A$5001,BD!$B$3:$B$5001,H$219,BD!$A$3:$A$5001,"&gt;="&amp;$C$7,BD!$A$3:$A$5001,"&lt;="&amp;$B244,BD!$N$3:$N$5001,"&lt;&gt;"))))</f>
        <v/>
      </c>
      <c r="I244" s="43" t="str">
        <f>IF(OR($B244="",$A244&gt;$B$9,I$219=""),"",IF(COUNTIFS(BD!$B$3:$B$5001,I$219,BD!$A$3:$A$5001,"&gt;="&amp;$C$7,BD!$A$3:$A$5001,"&lt;="&amp;$B244,BD!$N$3:$N$5001,"&lt;&gt;")=0,"",SUMIFS(BD!$N$3:$N$5001,BD!$B$3:$B$5001,I$219,BD!$A$3:$A$5001,_xlfn.MAXIFS(BD!$A$3:$A$5001,BD!$B$3:$B$5001,I$219,BD!$A$3:$A$5001,"&gt;="&amp;$C$7,BD!$A$3:$A$5001,"&lt;="&amp;$B244,BD!$N$3:$N$5001,"&lt;&gt;"))))</f>
        <v/>
      </c>
      <c r="J244" s="43" t="str">
        <f>IF(OR($B244="",$A244&gt;$B$9,J$219=""),"",IF(COUNTIFS(BD!$B$3:$B$5001,J$219,BD!$A$3:$A$5001,"&gt;="&amp;$C$7,BD!$A$3:$A$5001,"&lt;="&amp;$B244,BD!$N$3:$N$5001,"&lt;&gt;")=0,"",SUMIFS(BD!$N$3:$N$5001,BD!$B$3:$B$5001,J$219,BD!$A$3:$A$5001,_xlfn.MAXIFS(BD!$A$3:$A$5001,BD!$B$3:$B$5001,J$219,BD!$A$3:$A$5001,"&gt;="&amp;$C$7,BD!$A$3:$A$5001,"&lt;="&amp;$B244,BD!$N$3:$N$5001,"&lt;&gt;"))))</f>
        <v/>
      </c>
      <c r="K244" s="43" t="str">
        <f>IF(OR($B244="",$A244&gt;$B$9,K$219=""),"",IF(COUNTIFS(BD!$B$3:$B$5001,K$219,BD!$A$3:$A$5001,"&gt;="&amp;$C$7,BD!$A$3:$A$5001,"&lt;="&amp;$B244,BD!$N$3:$N$5001,"&lt;&gt;")=0,"",SUMIFS(BD!$N$3:$N$5001,BD!$B$3:$B$5001,K$219,BD!$A$3:$A$5001,_xlfn.MAXIFS(BD!$A$3:$A$5001,BD!$B$3:$B$5001,K$219,BD!$A$3:$A$5001,"&gt;="&amp;$C$7,BD!$A$3:$A$5001,"&lt;="&amp;$B244,BD!$N$3:$N$5001,"&lt;&gt;"))))</f>
        <v/>
      </c>
      <c r="L244" s="43" t="str">
        <f>IF(OR($B244="",$A244&gt;$B$9,L$219=""),"",IF(COUNTIFS(BD!$B$3:$B$5001,L$219,BD!$A$3:$A$5001,"&gt;="&amp;$C$7,BD!$A$3:$A$5001,"&lt;="&amp;$B244,BD!$N$3:$N$5001,"&lt;&gt;")=0,"",SUMIFS(BD!$N$3:$N$5001,BD!$B$3:$B$5001,L$219,BD!$A$3:$A$5001,_xlfn.MAXIFS(BD!$A$3:$A$5001,BD!$B$3:$B$5001,L$219,BD!$A$3:$A$5001,"&gt;="&amp;$C$7,BD!$A$3:$A$5001,"&lt;="&amp;$B244,BD!$N$3:$N$5001,"&lt;&gt;"))))</f>
        <v/>
      </c>
      <c r="M244" s="43" t="str">
        <f>IF(OR($B244="",$A244&gt;$B$9,M$219=""),"",IF(COUNTIFS(BD!$B$3:$B$5001,M$219,BD!$A$3:$A$5001,"&gt;="&amp;$C$7,BD!$A$3:$A$5001,"&lt;="&amp;$B244,BD!$N$3:$N$5001,"&lt;&gt;")=0,"",SUMIFS(BD!$N$3:$N$5001,BD!$B$3:$B$5001,M$219,BD!$A$3:$A$5001,_xlfn.MAXIFS(BD!$A$3:$A$5001,BD!$B$3:$B$5001,M$219,BD!$A$3:$A$5001,"&gt;="&amp;$C$7,BD!$A$3:$A$5001,"&lt;="&amp;$B244,BD!$N$3:$N$5001,"&lt;&gt;"))))</f>
        <v/>
      </c>
      <c r="N244" s="43" t="str">
        <f>IF(OR($B244="",$A244&gt;$B$9,N$219=""),"",IF(COUNTIFS(BD!$B$3:$B$5001,N$219,BD!$A$3:$A$5001,"&gt;="&amp;$C$7,BD!$A$3:$A$5001,"&lt;="&amp;$B244,BD!$N$3:$N$5001,"&lt;&gt;")=0,"",SUMIFS(BD!$N$3:$N$5001,BD!$B$3:$B$5001,N$219,BD!$A$3:$A$5001,_xlfn.MAXIFS(BD!$A$3:$A$5001,BD!$B$3:$B$5001,N$219,BD!$A$3:$A$5001,"&gt;="&amp;$C$7,BD!$A$3:$A$5001,"&lt;="&amp;$B244,BD!$N$3:$N$5001,"&lt;&gt;"))))</f>
        <v/>
      </c>
      <c r="O244" s="43" t="str">
        <f>IF(OR($B244="",$A244&gt;$B$9,O$219=""),"",IF(COUNTIFS(BD!$B$3:$B$5001,O$219,BD!$A$3:$A$5001,"&gt;="&amp;$C$7,BD!$A$3:$A$5001,"&lt;="&amp;$B244,BD!$N$3:$N$5001,"&lt;&gt;")=0,"",SUMIFS(BD!$N$3:$N$5001,BD!$B$3:$B$5001,O$219,BD!$A$3:$A$5001,_xlfn.MAXIFS(BD!$A$3:$A$5001,BD!$B$3:$B$5001,O$219,BD!$A$3:$A$5001,"&gt;="&amp;$C$7,BD!$A$3:$A$5001,"&lt;="&amp;$B244,BD!$N$3:$N$5001,"&lt;&gt;"))))</f>
        <v/>
      </c>
      <c r="P244" s="43" t="str">
        <f>IF(OR($B244="",$A244&gt;$B$9,P$219=""),"",IF(COUNTIFS(BD!$B$3:$B$5001,P$219,BD!$A$3:$A$5001,"&gt;="&amp;$C$7,BD!$A$3:$A$5001,"&lt;="&amp;$B244,BD!$N$3:$N$5001,"&lt;&gt;")=0,"",SUMIFS(BD!$N$3:$N$5001,BD!$B$3:$B$5001,P$219,BD!$A$3:$A$5001,_xlfn.MAXIFS(BD!$A$3:$A$5001,BD!$B$3:$B$5001,P$219,BD!$A$3:$A$5001,"&gt;="&amp;$C$7,BD!$A$3:$A$5001,"&lt;="&amp;$B244,BD!$N$3:$N$5001,"&lt;&gt;"))))</f>
        <v/>
      </c>
      <c r="Q244" s="43" t="str">
        <f>IF(OR($B244="",$A244&gt;$B$9,Q$219=""),"",IF(COUNTIFS(BD!$B$3:$B$5001,Q$219,BD!$A$3:$A$5001,"&gt;="&amp;$C$7,BD!$A$3:$A$5001,"&lt;="&amp;$B244,BD!$N$3:$N$5001,"&lt;&gt;")=0,"",SUMIFS(BD!$N$3:$N$5001,BD!$B$3:$B$5001,Q$219,BD!$A$3:$A$5001,_xlfn.MAXIFS(BD!$A$3:$A$5001,BD!$B$3:$B$5001,Q$219,BD!$A$3:$A$5001,"&gt;="&amp;$C$7,BD!$A$3:$A$5001,"&lt;="&amp;$B244,BD!$N$3:$N$5001,"&lt;&gt;"))))</f>
        <v/>
      </c>
      <c r="R244" s="43" t="str">
        <f>IF(OR($B244="",$A244&gt;$B$9,R$219=""),"",IF(COUNTIFS(BD!$B$3:$B$5001,R$219,BD!$A$3:$A$5001,"&gt;="&amp;$C$7,BD!$A$3:$A$5001,"&lt;="&amp;$B244,BD!$N$3:$N$5001,"&lt;&gt;")=0,"",SUMIFS(BD!$N$3:$N$5001,BD!$B$3:$B$5001,R$219,BD!$A$3:$A$5001,_xlfn.MAXIFS(BD!$A$3:$A$5001,BD!$B$3:$B$5001,R$219,BD!$A$3:$A$5001,"&gt;="&amp;$C$7,BD!$A$3:$A$5001,"&lt;="&amp;$B244,BD!$N$3:$N$5001,"&lt;&gt;"))))</f>
        <v/>
      </c>
      <c r="S244" s="43" t="str">
        <f>IF(OR($B244="",$A244&gt;$B$9,S$219=""),"",IF(COUNTIFS(BD!$B$3:$B$5001,S$219,BD!$A$3:$A$5001,"&gt;="&amp;$C$7,BD!$A$3:$A$5001,"&lt;="&amp;$B244,BD!$N$3:$N$5001,"&lt;&gt;")=0,"",SUMIFS(BD!$N$3:$N$5001,BD!$B$3:$B$5001,S$219,BD!$A$3:$A$5001,_xlfn.MAXIFS(BD!$A$3:$A$5001,BD!$B$3:$B$5001,S$219,BD!$A$3:$A$5001,"&gt;="&amp;$C$7,BD!$A$3:$A$5001,"&lt;="&amp;$B244,BD!$N$3:$N$5001,"&lt;&gt;"))))</f>
        <v/>
      </c>
      <c r="T244" s="43" t="str">
        <f>IF(OR($B244="",$A244&gt;$B$9,T$219=""),"",IF(COUNTIFS(BD!$B$3:$B$5001,T$219,BD!$A$3:$A$5001,"&gt;="&amp;$C$7,BD!$A$3:$A$5001,"&lt;="&amp;$B244,BD!$N$3:$N$5001,"&lt;&gt;")=0,"",SUMIFS(BD!$N$3:$N$5001,BD!$B$3:$B$5001,T$219,BD!$A$3:$A$5001,_xlfn.MAXIFS(BD!$A$3:$A$5001,BD!$B$3:$B$5001,T$219,BD!$A$3:$A$5001,"&gt;="&amp;$C$7,BD!$A$3:$A$5001,"&lt;="&amp;$B244,BD!$N$3:$N$5001,"&lt;&gt;"))))</f>
        <v/>
      </c>
      <c r="U244" s="43" t="str">
        <f>IF(OR($B244="",$A244&gt;$B$9,U$219=""),"",IF(COUNTIFS(BD!$B$3:$B$5001,U$219,BD!$A$3:$A$5001,"&gt;="&amp;$C$7,BD!$A$3:$A$5001,"&lt;="&amp;$B244,BD!$N$3:$N$5001,"&lt;&gt;")=0,"",SUMIFS(BD!$N$3:$N$5001,BD!$B$3:$B$5001,U$219,BD!$A$3:$A$5001,_xlfn.MAXIFS(BD!$A$3:$A$5001,BD!$B$3:$B$5001,U$219,BD!$A$3:$A$5001,"&gt;="&amp;$C$7,BD!$A$3:$A$5001,"&lt;="&amp;$B244,BD!$N$3:$N$5001,"&lt;&gt;"))))</f>
        <v/>
      </c>
      <c r="V244" s="43" t="str">
        <f>IF(OR($B244="",$A244&gt;$B$9,V$219=""),"",IF(COUNTIFS(BD!$B$3:$B$5001,V$219,BD!$A$3:$A$5001,"&gt;="&amp;$C$7,BD!$A$3:$A$5001,"&lt;="&amp;$B244,BD!$N$3:$N$5001,"&lt;&gt;")=0,"",SUMIFS(BD!$N$3:$N$5001,BD!$B$3:$B$5001,V$219,BD!$A$3:$A$5001,_xlfn.MAXIFS(BD!$A$3:$A$5001,BD!$B$3:$B$5001,V$219,BD!$A$3:$A$5001,"&gt;="&amp;$C$7,BD!$A$3:$A$5001,"&lt;="&amp;$B244,BD!$N$3:$N$5001,"&lt;&gt;"))))</f>
        <v/>
      </c>
    </row>
    <row r="245">
      <c r="A245" s="38">
        <v>26</v>
      </c>
      <c r="B245" s="42">
        <f>$B$37</f>
        <v>46321</v>
      </c>
      <c r="C245" s="43" t="str">
        <f>IF(OR($B245="",$A245&gt;$B$9,C$219=""),"",IF(COUNTIFS(BD!$B$3:$B$5001,C$219,BD!$A$3:$A$5001,"&gt;="&amp;$C$7,BD!$A$3:$A$5001,"&lt;="&amp;$B245,BD!$N$3:$N$5001,"&lt;&gt;")=0,"",SUMIFS(BD!$N$3:$N$5001,BD!$B$3:$B$5001,C$219,BD!$A$3:$A$5001,_xlfn.MAXIFS(BD!$A$3:$A$5001,BD!$B$3:$B$5001,C$219,BD!$A$3:$A$5001,"&gt;="&amp;$C$7,BD!$A$3:$A$5001,"&lt;="&amp;$B245,BD!$N$3:$N$5001,"&lt;&gt;"))))</f>
        <v/>
      </c>
      <c r="D245" s="43" t="str">
        <f>IF(OR($B245="",$A245&gt;$B$9,D$219=""),"",IF(COUNTIFS(BD!$B$3:$B$5001,D$219,BD!$A$3:$A$5001,"&gt;="&amp;$C$7,BD!$A$3:$A$5001,"&lt;="&amp;$B245,BD!$N$3:$N$5001,"&lt;&gt;")=0,"",SUMIFS(BD!$N$3:$N$5001,BD!$B$3:$B$5001,D$219,BD!$A$3:$A$5001,_xlfn.MAXIFS(BD!$A$3:$A$5001,BD!$B$3:$B$5001,D$219,BD!$A$3:$A$5001,"&gt;="&amp;$C$7,BD!$A$3:$A$5001,"&lt;="&amp;$B245,BD!$N$3:$N$5001,"&lt;&gt;"))))</f>
        <v/>
      </c>
      <c r="E245" s="43" t="str">
        <f>IF(OR($B245="",$A245&gt;$B$9,E$219=""),"",IF(COUNTIFS(BD!$B$3:$B$5001,E$219,BD!$A$3:$A$5001,"&gt;="&amp;$C$7,BD!$A$3:$A$5001,"&lt;="&amp;$B245,BD!$N$3:$N$5001,"&lt;&gt;")=0,"",SUMIFS(BD!$N$3:$N$5001,BD!$B$3:$B$5001,E$219,BD!$A$3:$A$5001,_xlfn.MAXIFS(BD!$A$3:$A$5001,BD!$B$3:$B$5001,E$219,BD!$A$3:$A$5001,"&gt;="&amp;$C$7,BD!$A$3:$A$5001,"&lt;="&amp;$B245,BD!$N$3:$N$5001,"&lt;&gt;"))))</f>
        <v/>
      </c>
      <c r="F245" s="43" t="str">
        <f>IF(OR($B245="",$A245&gt;$B$9,F$219=""),"",IF(COUNTIFS(BD!$B$3:$B$5001,F$219,BD!$A$3:$A$5001,"&gt;="&amp;$C$7,BD!$A$3:$A$5001,"&lt;="&amp;$B245,BD!$N$3:$N$5001,"&lt;&gt;")=0,"",SUMIFS(BD!$N$3:$N$5001,BD!$B$3:$B$5001,F$219,BD!$A$3:$A$5001,_xlfn.MAXIFS(BD!$A$3:$A$5001,BD!$B$3:$B$5001,F$219,BD!$A$3:$A$5001,"&gt;="&amp;$C$7,BD!$A$3:$A$5001,"&lt;="&amp;$B245,BD!$N$3:$N$5001,"&lt;&gt;"))))</f>
        <v/>
      </c>
      <c r="G245" s="43" t="str">
        <f>IF(OR($B245="",$A245&gt;$B$9,G$219=""),"",IF(COUNTIFS(BD!$B$3:$B$5001,G$219,BD!$A$3:$A$5001,"&gt;="&amp;$C$7,BD!$A$3:$A$5001,"&lt;="&amp;$B245,BD!$N$3:$N$5001,"&lt;&gt;")=0,"",SUMIFS(BD!$N$3:$N$5001,BD!$B$3:$B$5001,G$219,BD!$A$3:$A$5001,_xlfn.MAXIFS(BD!$A$3:$A$5001,BD!$B$3:$B$5001,G$219,BD!$A$3:$A$5001,"&gt;="&amp;$C$7,BD!$A$3:$A$5001,"&lt;="&amp;$B245,BD!$N$3:$N$5001,"&lt;&gt;"))))</f>
        <v/>
      </c>
      <c r="H245" s="43" t="str">
        <f>IF(OR($B245="",$A245&gt;$B$9,H$219=""),"",IF(COUNTIFS(BD!$B$3:$B$5001,H$219,BD!$A$3:$A$5001,"&gt;="&amp;$C$7,BD!$A$3:$A$5001,"&lt;="&amp;$B245,BD!$N$3:$N$5001,"&lt;&gt;")=0,"",SUMIFS(BD!$N$3:$N$5001,BD!$B$3:$B$5001,H$219,BD!$A$3:$A$5001,_xlfn.MAXIFS(BD!$A$3:$A$5001,BD!$B$3:$B$5001,H$219,BD!$A$3:$A$5001,"&gt;="&amp;$C$7,BD!$A$3:$A$5001,"&lt;="&amp;$B245,BD!$N$3:$N$5001,"&lt;&gt;"))))</f>
        <v/>
      </c>
      <c r="I245" s="43" t="str">
        <f>IF(OR($B245="",$A245&gt;$B$9,I$219=""),"",IF(COUNTIFS(BD!$B$3:$B$5001,I$219,BD!$A$3:$A$5001,"&gt;="&amp;$C$7,BD!$A$3:$A$5001,"&lt;="&amp;$B245,BD!$N$3:$N$5001,"&lt;&gt;")=0,"",SUMIFS(BD!$N$3:$N$5001,BD!$B$3:$B$5001,I$219,BD!$A$3:$A$5001,_xlfn.MAXIFS(BD!$A$3:$A$5001,BD!$B$3:$B$5001,I$219,BD!$A$3:$A$5001,"&gt;="&amp;$C$7,BD!$A$3:$A$5001,"&lt;="&amp;$B245,BD!$N$3:$N$5001,"&lt;&gt;"))))</f>
        <v/>
      </c>
      <c r="J245" s="43" t="str">
        <f>IF(OR($B245="",$A245&gt;$B$9,J$219=""),"",IF(COUNTIFS(BD!$B$3:$B$5001,J$219,BD!$A$3:$A$5001,"&gt;="&amp;$C$7,BD!$A$3:$A$5001,"&lt;="&amp;$B245,BD!$N$3:$N$5001,"&lt;&gt;")=0,"",SUMIFS(BD!$N$3:$N$5001,BD!$B$3:$B$5001,J$219,BD!$A$3:$A$5001,_xlfn.MAXIFS(BD!$A$3:$A$5001,BD!$B$3:$B$5001,J$219,BD!$A$3:$A$5001,"&gt;="&amp;$C$7,BD!$A$3:$A$5001,"&lt;="&amp;$B245,BD!$N$3:$N$5001,"&lt;&gt;"))))</f>
        <v/>
      </c>
      <c r="K245" s="43" t="str">
        <f>IF(OR($B245="",$A245&gt;$B$9,K$219=""),"",IF(COUNTIFS(BD!$B$3:$B$5001,K$219,BD!$A$3:$A$5001,"&gt;="&amp;$C$7,BD!$A$3:$A$5001,"&lt;="&amp;$B245,BD!$N$3:$N$5001,"&lt;&gt;")=0,"",SUMIFS(BD!$N$3:$N$5001,BD!$B$3:$B$5001,K$219,BD!$A$3:$A$5001,_xlfn.MAXIFS(BD!$A$3:$A$5001,BD!$B$3:$B$5001,K$219,BD!$A$3:$A$5001,"&gt;="&amp;$C$7,BD!$A$3:$A$5001,"&lt;="&amp;$B245,BD!$N$3:$N$5001,"&lt;&gt;"))))</f>
        <v/>
      </c>
      <c r="L245" s="43" t="str">
        <f>IF(OR($B245="",$A245&gt;$B$9,L$219=""),"",IF(COUNTIFS(BD!$B$3:$B$5001,L$219,BD!$A$3:$A$5001,"&gt;="&amp;$C$7,BD!$A$3:$A$5001,"&lt;="&amp;$B245,BD!$N$3:$N$5001,"&lt;&gt;")=0,"",SUMIFS(BD!$N$3:$N$5001,BD!$B$3:$B$5001,L$219,BD!$A$3:$A$5001,_xlfn.MAXIFS(BD!$A$3:$A$5001,BD!$B$3:$B$5001,L$219,BD!$A$3:$A$5001,"&gt;="&amp;$C$7,BD!$A$3:$A$5001,"&lt;="&amp;$B245,BD!$N$3:$N$5001,"&lt;&gt;"))))</f>
        <v/>
      </c>
      <c r="M245" s="43" t="str">
        <f>IF(OR($B245="",$A245&gt;$B$9,M$219=""),"",IF(COUNTIFS(BD!$B$3:$B$5001,M$219,BD!$A$3:$A$5001,"&gt;="&amp;$C$7,BD!$A$3:$A$5001,"&lt;="&amp;$B245,BD!$N$3:$N$5001,"&lt;&gt;")=0,"",SUMIFS(BD!$N$3:$N$5001,BD!$B$3:$B$5001,M$219,BD!$A$3:$A$5001,_xlfn.MAXIFS(BD!$A$3:$A$5001,BD!$B$3:$B$5001,M$219,BD!$A$3:$A$5001,"&gt;="&amp;$C$7,BD!$A$3:$A$5001,"&lt;="&amp;$B245,BD!$N$3:$N$5001,"&lt;&gt;"))))</f>
        <v/>
      </c>
      <c r="N245" s="43" t="str">
        <f>IF(OR($B245="",$A245&gt;$B$9,N$219=""),"",IF(COUNTIFS(BD!$B$3:$B$5001,N$219,BD!$A$3:$A$5001,"&gt;="&amp;$C$7,BD!$A$3:$A$5001,"&lt;="&amp;$B245,BD!$N$3:$N$5001,"&lt;&gt;")=0,"",SUMIFS(BD!$N$3:$N$5001,BD!$B$3:$B$5001,N$219,BD!$A$3:$A$5001,_xlfn.MAXIFS(BD!$A$3:$A$5001,BD!$B$3:$B$5001,N$219,BD!$A$3:$A$5001,"&gt;="&amp;$C$7,BD!$A$3:$A$5001,"&lt;="&amp;$B245,BD!$N$3:$N$5001,"&lt;&gt;"))))</f>
        <v/>
      </c>
      <c r="O245" s="43" t="str">
        <f>IF(OR($B245="",$A245&gt;$B$9,O$219=""),"",IF(COUNTIFS(BD!$B$3:$B$5001,O$219,BD!$A$3:$A$5001,"&gt;="&amp;$C$7,BD!$A$3:$A$5001,"&lt;="&amp;$B245,BD!$N$3:$N$5001,"&lt;&gt;")=0,"",SUMIFS(BD!$N$3:$N$5001,BD!$B$3:$B$5001,O$219,BD!$A$3:$A$5001,_xlfn.MAXIFS(BD!$A$3:$A$5001,BD!$B$3:$B$5001,O$219,BD!$A$3:$A$5001,"&gt;="&amp;$C$7,BD!$A$3:$A$5001,"&lt;="&amp;$B245,BD!$N$3:$N$5001,"&lt;&gt;"))))</f>
        <v/>
      </c>
      <c r="P245" s="43" t="str">
        <f>IF(OR($B245="",$A245&gt;$B$9,P$219=""),"",IF(COUNTIFS(BD!$B$3:$B$5001,P$219,BD!$A$3:$A$5001,"&gt;="&amp;$C$7,BD!$A$3:$A$5001,"&lt;="&amp;$B245,BD!$N$3:$N$5001,"&lt;&gt;")=0,"",SUMIFS(BD!$N$3:$N$5001,BD!$B$3:$B$5001,P$219,BD!$A$3:$A$5001,_xlfn.MAXIFS(BD!$A$3:$A$5001,BD!$B$3:$B$5001,P$219,BD!$A$3:$A$5001,"&gt;="&amp;$C$7,BD!$A$3:$A$5001,"&lt;="&amp;$B245,BD!$N$3:$N$5001,"&lt;&gt;"))))</f>
        <v/>
      </c>
      <c r="Q245" s="43" t="str">
        <f>IF(OR($B245="",$A245&gt;$B$9,Q$219=""),"",IF(COUNTIFS(BD!$B$3:$B$5001,Q$219,BD!$A$3:$A$5001,"&gt;="&amp;$C$7,BD!$A$3:$A$5001,"&lt;="&amp;$B245,BD!$N$3:$N$5001,"&lt;&gt;")=0,"",SUMIFS(BD!$N$3:$N$5001,BD!$B$3:$B$5001,Q$219,BD!$A$3:$A$5001,_xlfn.MAXIFS(BD!$A$3:$A$5001,BD!$B$3:$B$5001,Q$219,BD!$A$3:$A$5001,"&gt;="&amp;$C$7,BD!$A$3:$A$5001,"&lt;="&amp;$B245,BD!$N$3:$N$5001,"&lt;&gt;"))))</f>
        <v/>
      </c>
      <c r="R245" s="43" t="str">
        <f>IF(OR($B245="",$A245&gt;$B$9,R$219=""),"",IF(COUNTIFS(BD!$B$3:$B$5001,R$219,BD!$A$3:$A$5001,"&gt;="&amp;$C$7,BD!$A$3:$A$5001,"&lt;="&amp;$B245,BD!$N$3:$N$5001,"&lt;&gt;")=0,"",SUMIFS(BD!$N$3:$N$5001,BD!$B$3:$B$5001,R$219,BD!$A$3:$A$5001,_xlfn.MAXIFS(BD!$A$3:$A$5001,BD!$B$3:$B$5001,R$219,BD!$A$3:$A$5001,"&gt;="&amp;$C$7,BD!$A$3:$A$5001,"&lt;="&amp;$B245,BD!$N$3:$N$5001,"&lt;&gt;"))))</f>
        <v/>
      </c>
      <c r="S245" s="43" t="str">
        <f>IF(OR($B245="",$A245&gt;$B$9,S$219=""),"",IF(COUNTIFS(BD!$B$3:$B$5001,S$219,BD!$A$3:$A$5001,"&gt;="&amp;$C$7,BD!$A$3:$A$5001,"&lt;="&amp;$B245,BD!$N$3:$N$5001,"&lt;&gt;")=0,"",SUMIFS(BD!$N$3:$N$5001,BD!$B$3:$B$5001,S$219,BD!$A$3:$A$5001,_xlfn.MAXIFS(BD!$A$3:$A$5001,BD!$B$3:$B$5001,S$219,BD!$A$3:$A$5001,"&gt;="&amp;$C$7,BD!$A$3:$A$5001,"&lt;="&amp;$B245,BD!$N$3:$N$5001,"&lt;&gt;"))))</f>
        <v/>
      </c>
      <c r="T245" s="43" t="str">
        <f>IF(OR($B245="",$A245&gt;$B$9,T$219=""),"",IF(COUNTIFS(BD!$B$3:$B$5001,T$219,BD!$A$3:$A$5001,"&gt;="&amp;$C$7,BD!$A$3:$A$5001,"&lt;="&amp;$B245,BD!$N$3:$N$5001,"&lt;&gt;")=0,"",SUMIFS(BD!$N$3:$N$5001,BD!$B$3:$B$5001,T$219,BD!$A$3:$A$5001,_xlfn.MAXIFS(BD!$A$3:$A$5001,BD!$B$3:$B$5001,T$219,BD!$A$3:$A$5001,"&gt;="&amp;$C$7,BD!$A$3:$A$5001,"&lt;="&amp;$B245,BD!$N$3:$N$5001,"&lt;&gt;"))))</f>
        <v/>
      </c>
      <c r="U245" s="43" t="str">
        <f>IF(OR($B245="",$A245&gt;$B$9,U$219=""),"",IF(COUNTIFS(BD!$B$3:$B$5001,U$219,BD!$A$3:$A$5001,"&gt;="&amp;$C$7,BD!$A$3:$A$5001,"&lt;="&amp;$B245,BD!$N$3:$N$5001,"&lt;&gt;")=0,"",SUMIFS(BD!$N$3:$N$5001,BD!$B$3:$B$5001,U$219,BD!$A$3:$A$5001,_xlfn.MAXIFS(BD!$A$3:$A$5001,BD!$B$3:$B$5001,U$219,BD!$A$3:$A$5001,"&gt;="&amp;$C$7,BD!$A$3:$A$5001,"&lt;="&amp;$B245,BD!$N$3:$N$5001,"&lt;&gt;"))))</f>
        <v/>
      </c>
      <c r="V245" s="43" t="str">
        <f>IF(OR($B245="",$A245&gt;$B$9,V$219=""),"",IF(COUNTIFS(BD!$B$3:$B$5001,V$219,BD!$A$3:$A$5001,"&gt;="&amp;$C$7,BD!$A$3:$A$5001,"&lt;="&amp;$B245,BD!$N$3:$N$5001,"&lt;&gt;")=0,"",SUMIFS(BD!$N$3:$N$5001,BD!$B$3:$B$5001,V$219,BD!$A$3:$A$5001,_xlfn.MAXIFS(BD!$A$3:$A$5001,BD!$B$3:$B$5001,V$219,BD!$A$3:$A$5001,"&gt;="&amp;$C$7,BD!$A$3:$A$5001,"&lt;="&amp;$B245,BD!$N$3:$N$5001,"&lt;&gt;"))))</f>
        <v/>
      </c>
    </row>
    <row r="246">
      <c r="A246" s="38">
        <v>27</v>
      </c>
      <c r="B246" s="42">
        <f>$B$38</f>
        <v>46322</v>
      </c>
      <c r="C246" s="43" t="str">
        <f>IF(OR($B246="",$A246&gt;$B$9,C$219=""),"",IF(COUNTIFS(BD!$B$3:$B$5001,C$219,BD!$A$3:$A$5001,"&gt;="&amp;$C$7,BD!$A$3:$A$5001,"&lt;="&amp;$B246,BD!$N$3:$N$5001,"&lt;&gt;")=0,"",SUMIFS(BD!$N$3:$N$5001,BD!$B$3:$B$5001,C$219,BD!$A$3:$A$5001,_xlfn.MAXIFS(BD!$A$3:$A$5001,BD!$B$3:$B$5001,C$219,BD!$A$3:$A$5001,"&gt;="&amp;$C$7,BD!$A$3:$A$5001,"&lt;="&amp;$B246,BD!$N$3:$N$5001,"&lt;&gt;"))))</f>
        <v/>
      </c>
      <c r="D246" s="43" t="str">
        <f>IF(OR($B246="",$A246&gt;$B$9,D$219=""),"",IF(COUNTIFS(BD!$B$3:$B$5001,D$219,BD!$A$3:$A$5001,"&gt;="&amp;$C$7,BD!$A$3:$A$5001,"&lt;="&amp;$B246,BD!$N$3:$N$5001,"&lt;&gt;")=0,"",SUMIFS(BD!$N$3:$N$5001,BD!$B$3:$B$5001,D$219,BD!$A$3:$A$5001,_xlfn.MAXIFS(BD!$A$3:$A$5001,BD!$B$3:$B$5001,D$219,BD!$A$3:$A$5001,"&gt;="&amp;$C$7,BD!$A$3:$A$5001,"&lt;="&amp;$B246,BD!$N$3:$N$5001,"&lt;&gt;"))))</f>
        <v/>
      </c>
      <c r="E246" s="43" t="str">
        <f>IF(OR($B246="",$A246&gt;$B$9,E$219=""),"",IF(COUNTIFS(BD!$B$3:$B$5001,E$219,BD!$A$3:$A$5001,"&gt;="&amp;$C$7,BD!$A$3:$A$5001,"&lt;="&amp;$B246,BD!$N$3:$N$5001,"&lt;&gt;")=0,"",SUMIFS(BD!$N$3:$N$5001,BD!$B$3:$B$5001,E$219,BD!$A$3:$A$5001,_xlfn.MAXIFS(BD!$A$3:$A$5001,BD!$B$3:$B$5001,E$219,BD!$A$3:$A$5001,"&gt;="&amp;$C$7,BD!$A$3:$A$5001,"&lt;="&amp;$B246,BD!$N$3:$N$5001,"&lt;&gt;"))))</f>
        <v/>
      </c>
      <c r="F246" s="43" t="str">
        <f>IF(OR($B246="",$A246&gt;$B$9,F$219=""),"",IF(COUNTIFS(BD!$B$3:$B$5001,F$219,BD!$A$3:$A$5001,"&gt;="&amp;$C$7,BD!$A$3:$A$5001,"&lt;="&amp;$B246,BD!$N$3:$N$5001,"&lt;&gt;")=0,"",SUMIFS(BD!$N$3:$N$5001,BD!$B$3:$B$5001,F$219,BD!$A$3:$A$5001,_xlfn.MAXIFS(BD!$A$3:$A$5001,BD!$B$3:$B$5001,F$219,BD!$A$3:$A$5001,"&gt;="&amp;$C$7,BD!$A$3:$A$5001,"&lt;="&amp;$B246,BD!$N$3:$N$5001,"&lt;&gt;"))))</f>
        <v/>
      </c>
      <c r="G246" s="43" t="str">
        <f>IF(OR($B246="",$A246&gt;$B$9,G$219=""),"",IF(COUNTIFS(BD!$B$3:$B$5001,G$219,BD!$A$3:$A$5001,"&gt;="&amp;$C$7,BD!$A$3:$A$5001,"&lt;="&amp;$B246,BD!$N$3:$N$5001,"&lt;&gt;")=0,"",SUMIFS(BD!$N$3:$N$5001,BD!$B$3:$B$5001,G$219,BD!$A$3:$A$5001,_xlfn.MAXIFS(BD!$A$3:$A$5001,BD!$B$3:$B$5001,G$219,BD!$A$3:$A$5001,"&gt;="&amp;$C$7,BD!$A$3:$A$5001,"&lt;="&amp;$B246,BD!$N$3:$N$5001,"&lt;&gt;"))))</f>
        <v/>
      </c>
      <c r="H246" s="43" t="str">
        <f>IF(OR($B246="",$A246&gt;$B$9,H$219=""),"",IF(COUNTIFS(BD!$B$3:$B$5001,H$219,BD!$A$3:$A$5001,"&gt;="&amp;$C$7,BD!$A$3:$A$5001,"&lt;="&amp;$B246,BD!$N$3:$N$5001,"&lt;&gt;")=0,"",SUMIFS(BD!$N$3:$N$5001,BD!$B$3:$B$5001,H$219,BD!$A$3:$A$5001,_xlfn.MAXIFS(BD!$A$3:$A$5001,BD!$B$3:$B$5001,H$219,BD!$A$3:$A$5001,"&gt;="&amp;$C$7,BD!$A$3:$A$5001,"&lt;="&amp;$B246,BD!$N$3:$N$5001,"&lt;&gt;"))))</f>
        <v/>
      </c>
      <c r="I246" s="43" t="str">
        <f>IF(OR($B246="",$A246&gt;$B$9,I$219=""),"",IF(COUNTIFS(BD!$B$3:$B$5001,I$219,BD!$A$3:$A$5001,"&gt;="&amp;$C$7,BD!$A$3:$A$5001,"&lt;="&amp;$B246,BD!$N$3:$N$5001,"&lt;&gt;")=0,"",SUMIFS(BD!$N$3:$N$5001,BD!$B$3:$B$5001,I$219,BD!$A$3:$A$5001,_xlfn.MAXIFS(BD!$A$3:$A$5001,BD!$B$3:$B$5001,I$219,BD!$A$3:$A$5001,"&gt;="&amp;$C$7,BD!$A$3:$A$5001,"&lt;="&amp;$B246,BD!$N$3:$N$5001,"&lt;&gt;"))))</f>
        <v/>
      </c>
      <c r="J246" s="43" t="str">
        <f>IF(OR($B246="",$A246&gt;$B$9,J$219=""),"",IF(COUNTIFS(BD!$B$3:$B$5001,J$219,BD!$A$3:$A$5001,"&gt;="&amp;$C$7,BD!$A$3:$A$5001,"&lt;="&amp;$B246,BD!$N$3:$N$5001,"&lt;&gt;")=0,"",SUMIFS(BD!$N$3:$N$5001,BD!$B$3:$B$5001,J$219,BD!$A$3:$A$5001,_xlfn.MAXIFS(BD!$A$3:$A$5001,BD!$B$3:$B$5001,J$219,BD!$A$3:$A$5001,"&gt;="&amp;$C$7,BD!$A$3:$A$5001,"&lt;="&amp;$B246,BD!$N$3:$N$5001,"&lt;&gt;"))))</f>
        <v/>
      </c>
      <c r="K246" s="43" t="str">
        <f>IF(OR($B246="",$A246&gt;$B$9,K$219=""),"",IF(COUNTIFS(BD!$B$3:$B$5001,K$219,BD!$A$3:$A$5001,"&gt;="&amp;$C$7,BD!$A$3:$A$5001,"&lt;="&amp;$B246,BD!$N$3:$N$5001,"&lt;&gt;")=0,"",SUMIFS(BD!$N$3:$N$5001,BD!$B$3:$B$5001,K$219,BD!$A$3:$A$5001,_xlfn.MAXIFS(BD!$A$3:$A$5001,BD!$B$3:$B$5001,K$219,BD!$A$3:$A$5001,"&gt;="&amp;$C$7,BD!$A$3:$A$5001,"&lt;="&amp;$B246,BD!$N$3:$N$5001,"&lt;&gt;"))))</f>
        <v/>
      </c>
      <c r="L246" s="43" t="str">
        <f>IF(OR($B246="",$A246&gt;$B$9,L$219=""),"",IF(COUNTIFS(BD!$B$3:$B$5001,L$219,BD!$A$3:$A$5001,"&gt;="&amp;$C$7,BD!$A$3:$A$5001,"&lt;="&amp;$B246,BD!$N$3:$N$5001,"&lt;&gt;")=0,"",SUMIFS(BD!$N$3:$N$5001,BD!$B$3:$B$5001,L$219,BD!$A$3:$A$5001,_xlfn.MAXIFS(BD!$A$3:$A$5001,BD!$B$3:$B$5001,L$219,BD!$A$3:$A$5001,"&gt;="&amp;$C$7,BD!$A$3:$A$5001,"&lt;="&amp;$B246,BD!$N$3:$N$5001,"&lt;&gt;"))))</f>
        <v/>
      </c>
      <c r="M246" s="43" t="str">
        <f>IF(OR($B246="",$A246&gt;$B$9,M$219=""),"",IF(COUNTIFS(BD!$B$3:$B$5001,M$219,BD!$A$3:$A$5001,"&gt;="&amp;$C$7,BD!$A$3:$A$5001,"&lt;="&amp;$B246,BD!$N$3:$N$5001,"&lt;&gt;")=0,"",SUMIFS(BD!$N$3:$N$5001,BD!$B$3:$B$5001,M$219,BD!$A$3:$A$5001,_xlfn.MAXIFS(BD!$A$3:$A$5001,BD!$B$3:$B$5001,M$219,BD!$A$3:$A$5001,"&gt;="&amp;$C$7,BD!$A$3:$A$5001,"&lt;="&amp;$B246,BD!$N$3:$N$5001,"&lt;&gt;"))))</f>
        <v/>
      </c>
      <c r="N246" s="43" t="str">
        <f>IF(OR($B246="",$A246&gt;$B$9,N$219=""),"",IF(COUNTIFS(BD!$B$3:$B$5001,N$219,BD!$A$3:$A$5001,"&gt;="&amp;$C$7,BD!$A$3:$A$5001,"&lt;="&amp;$B246,BD!$N$3:$N$5001,"&lt;&gt;")=0,"",SUMIFS(BD!$N$3:$N$5001,BD!$B$3:$B$5001,N$219,BD!$A$3:$A$5001,_xlfn.MAXIFS(BD!$A$3:$A$5001,BD!$B$3:$B$5001,N$219,BD!$A$3:$A$5001,"&gt;="&amp;$C$7,BD!$A$3:$A$5001,"&lt;="&amp;$B246,BD!$N$3:$N$5001,"&lt;&gt;"))))</f>
        <v/>
      </c>
      <c r="O246" s="43" t="str">
        <f>IF(OR($B246="",$A246&gt;$B$9,O$219=""),"",IF(COUNTIFS(BD!$B$3:$B$5001,O$219,BD!$A$3:$A$5001,"&gt;="&amp;$C$7,BD!$A$3:$A$5001,"&lt;="&amp;$B246,BD!$N$3:$N$5001,"&lt;&gt;")=0,"",SUMIFS(BD!$N$3:$N$5001,BD!$B$3:$B$5001,O$219,BD!$A$3:$A$5001,_xlfn.MAXIFS(BD!$A$3:$A$5001,BD!$B$3:$B$5001,O$219,BD!$A$3:$A$5001,"&gt;="&amp;$C$7,BD!$A$3:$A$5001,"&lt;="&amp;$B246,BD!$N$3:$N$5001,"&lt;&gt;"))))</f>
        <v/>
      </c>
      <c r="P246" s="43" t="str">
        <f>IF(OR($B246="",$A246&gt;$B$9,P$219=""),"",IF(COUNTIFS(BD!$B$3:$B$5001,P$219,BD!$A$3:$A$5001,"&gt;="&amp;$C$7,BD!$A$3:$A$5001,"&lt;="&amp;$B246,BD!$N$3:$N$5001,"&lt;&gt;")=0,"",SUMIFS(BD!$N$3:$N$5001,BD!$B$3:$B$5001,P$219,BD!$A$3:$A$5001,_xlfn.MAXIFS(BD!$A$3:$A$5001,BD!$B$3:$B$5001,P$219,BD!$A$3:$A$5001,"&gt;="&amp;$C$7,BD!$A$3:$A$5001,"&lt;="&amp;$B246,BD!$N$3:$N$5001,"&lt;&gt;"))))</f>
        <v/>
      </c>
      <c r="Q246" s="43" t="str">
        <f>IF(OR($B246="",$A246&gt;$B$9,Q$219=""),"",IF(COUNTIFS(BD!$B$3:$B$5001,Q$219,BD!$A$3:$A$5001,"&gt;="&amp;$C$7,BD!$A$3:$A$5001,"&lt;="&amp;$B246,BD!$N$3:$N$5001,"&lt;&gt;")=0,"",SUMIFS(BD!$N$3:$N$5001,BD!$B$3:$B$5001,Q$219,BD!$A$3:$A$5001,_xlfn.MAXIFS(BD!$A$3:$A$5001,BD!$B$3:$B$5001,Q$219,BD!$A$3:$A$5001,"&gt;="&amp;$C$7,BD!$A$3:$A$5001,"&lt;="&amp;$B246,BD!$N$3:$N$5001,"&lt;&gt;"))))</f>
        <v/>
      </c>
      <c r="R246" s="43" t="str">
        <f>IF(OR($B246="",$A246&gt;$B$9,R$219=""),"",IF(COUNTIFS(BD!$B$3:$B$5001,R$219,BD!$A$3:$A$5001,"&gt;="&amp;$C$7,BD!$A$3:$A$5001,"&lt;="&amp;$B246,BD!$N$3:$N$5001,"&lt;&gt;")=0,"",SUMIFS(BD!$N$3:$N$5001,BD!$B$3:$B$5001,R$219,BD!$A$3:$A$5001,_xlfn.MAXIFS(BD!$A$3:$A$5001,BD!$B$3:$B$5001,R$219,BD!$A$3:$A$5001,"&gt;="&amp;$C$7,BD!$A$3:$A$5001,"&lt;="&amp;$B246,BD!$N$3:$N$5001,"&lt;&gt;"))))</f>
        <v/>
      </c>
      <c r="S246" s="43" t="str">
        <f>IF(OR($B246="",$A246&gt;$B$9,S$219=""),"",IF(COUNTIFS(BD!$B$3:$B$5001,S$219,BD!$A$3:$A$5001,"&gt;="&amp;$C$7,BD!$A$3:$A$5001,"&lt;="&amp;$B246,BD!$N$3:$N$5001,"&lt;&gt;")=0,"",SUMIFS(BD!$N$3:$N$5001,BD!$B$3:$B$5001,S$219,BD!$A$3:$A$5001,_xlfn.MAXIFS(BD!$A$3:$A$5001,BD!$B$3:$B$5001,S$219,BD!$A$3:$A$5001,"&gt;="&amp;$C$7,BD!$A$3:$A$5001,"&lt;="&amp;$B246,BD!$N$3:$N$5001,"&lt;&gt;"))))</f>
        <v/>
      </c>
      <c r="T246" s="43" t="str">
        <f>IF(OR($B246="",$A246&gt;$B$9,T$219=""),"",IF(COUNTIFS(BD!$B$3:$B$5001,T$219,BD!$A$3:$A$5001,"&gt;="&amp;$C$7,BD!$A$3:$A$5001,"&lt;="&amp;$B246,BD!$N$3:$N$5001,"&lt;&gt;")=0,"",SUMIFS(BD!$N$3:$N$5001,BD!$B$3:$B$5001,T$219,BD!$A$3:$A$5001,_xlfn.MAXIFS(BD!$A$3:$A$5001,BD!$B$3:$B$5001,T$219,BD!$A$3:$A$5001,"&gt;="&amp;$C$7,BD!$A$3:$A$5001,"&lt;="&amp;$B246,BD!$N$3:$N$5001,"&lt;&gt;"))))</f>
        <v/>
      </c>
      <c r="U246" s="43" t="str">
        <f>IF(OR($B246="",$A246&gt;$B$9,U$219=""),"",IF(COUNTIFS(BD!$B$3:$B$5001,U$219,BD!$A$3:$A$5001,"&gt;="&amp;$C$7,BD!$A$3:$A$5001,"&lt;="&amp;$B246,BD!$N$3:$N$5001,"&lt;&gt;")=0,"",SUMIFS(BD!$N$3:$N$5001,BD!$B$3:$B$5001,U$219,BD!$A$3:$A$5001,_xlfn.MAXIFS(BD!$A$3:$A$5001,BD!$B$3:$B$5001,U$219,BD!$A$3:$A$5001,"&gt;="&amp;$C$7,BD!$A$3:$A$5001,"&lt;="&amp;$B246,BD!$N$3:$N$5001,"&lt;&gt;"))))</f>
        <v/>
      </c>
      <c r="V246" s="43" t="str">
        <f>IF(OR($B246="",$A246&gt;$B$9,V$219=""),"",IF(COUNTIFS(BD!$B$3:$B$5001,V$219,BD!$A$3:$A$5001,"&gt;="&amp;$C$7,BD!$A$3:$A$5001,"&lt;="&amp;$B246,BD!$N$3:$N$5001,"&lt;&gt;")=0,"",SUMIFS(BD!$N$3:$N$5001,BD!$B$3:$B$5001,V$219,BD!$A$3:$A$5001,_xlfn.MAXIFS(BD!$A$3:$A$5001,BD!$B$3:$B$5001,V$219,BD!$A$3:$A$5001,"&gt;="&amp;$C$7,BD!$A$3:$A$5001,"&lt;="&amp;$B246,BD!$N$3:$N$5001,"&lt;&gt;"))))</f>
        <v/>
      </c>
    </row>
    <row r="247">
      <c r="A247" s="38">
        <v>28</v>
      </c>
      <c r="B247" s="42">
        <f>$B$39</f>
        <v>46323</v>
      </c>
      <c r="C247" s="43" t="str">
        <f>IF(OR($B247="",$A247&gt;$B$9,C$219=""),"",IF(COUNTIFS(BD!$B$3:$B$5001,C$219,BD!$A$3:$A$5001,"&gt;="&amp;$C$7,BD!$A$3:$A$5001,"&lt;="&amp;$B247,BD!$N$3:$N$5001,"&lt;&gt;")=0,"",SUMIFS(BD!$N$3:$N$5001,BD!$B$3:$B$5001,C$219,BD!$A$3:$A$5001,_xlfn.MAXIFS(BD!$A$3:$A$5001,BD!$B$3:$B$5001,C$219,BD!$A$3:$A$5001,"&gt;="&amp;$C$7,BD!$A$3:$A$5001,"&lt;="&amp;$B247,BD!$N$3:$N$5001,"&lt;&gt;"))))</f>
        <v/>
      </c>
      <c r="D247" s="43" t="str">
        <f>IF(OR($B247="",$A247&gt;$B$9,D$219=""),"",IF(COUNTIFS(BD!$B$3:$B$5001,D$219,BD!$A$3:$A$5001,"&gt;="&amp;$C$7,BD!$A$3:$A$5001,"&lt;="&amp;$B247,BD!$N$3:$N$5001,"&lt;&gt;")=0,"",SUMIFS(BD!$N$3:$N$5001,BD!$B$3:$B$5001,D$219,BD!$A$3:$A$5001,_xlfn.MAXIFS(BD!$A$3:$A$5001,BD!$B$3:$B$5001,D$219,BD!$A$3:$A$5001,"&gt;="&amp;$C$7,BD!$A$3:$A$5001,"&lt;="&amp;$B247,BD!$N$3:$N$5001,"&lt;&gt;"))))</f>
        <v/>
      </c>
      <c r="E247" s="43" t="str">
        <f>IF(OR($B247="",$A247&gt;$B$9,E$219=""),"",IF(COUNTIFS(BD!$B$3:$B$5001,E$219,BD!$A$3:$A$5001,"&gt;="&amp;$C$7,BD!$A$3:$A$5001,"&lt;="&amp;$B247,BD!$N$3:$N$5001,"&lt;&gt;")=0,"",SUMIFS(BD!$N$3:$N$5001,BD!$B$3:$B$5001,E$219,BD!$A$3:$A$5001,_xlfn.MAXIFS(BD!$A$3:$A$5001,BD!$B$3:$B$5001,E$219,BD!$A$3:$A$5001,"&gt;="&amp;$C$7,BD!$A$3:$A$5001,"&lt;="&amp;$B247,BD!$N$3:$N$5001,"&lt;&gt;"))))</f>
        <v/>
      </c>
      <c r="F247" s="43" t="str">
        <f>IF(OR($B247="",$A247&gt;$B$9,F$219=""),"",IF(COUNTIFS(BD!$B$3:$B$5001,F$219,BD!$A$3:$A$5001,"&gt;="&amp;$C$7,BD!$A$3:$A$5001,"&lt;="&amp;$B247,BD!$N$3:$N$5001,"&lt;&gt;")=0,"",SUMIFS(BD!$N$3:$N$5001,BD!$B$3:$B$5001,F$219,BD!$A$3:$A$5001,_xlfn.MAXIFS(BD!$A$3:$A$5001,BD!$B$3:$B$5001,F$219,BD!$A$3:$A$5001,"&gt;="&amp;$C$7,BD!$A$3:$A$5001,"&lt;="&amp;$B247,BD!$N$3:$N$5001,"&lt;&gt;"))))</f>
        <v/>
      </c>
      <c r="G247" s="43" t="str">
        <f>IF(OR($B247="",$A247&gt;$B$9,G$219=""),"",IF(COUNTIFS(BD!$B$3:$B$5001,G$219,BD!$A$3:$A$5001,"&gt;="&amp;$C$7,BD!$A$3:$A$5001,"&lt;="&amp;$B247,BD!$N$3:$N$5001,"&lt;&gt;")=0,"",SUMIFS(BD!$N$3:$N$5001,BD!$B$3:$B$5001,G$219,BD!$A$3:$A$5001,_xlfn.MAXIFS(BD!$A$3:$A$5001,BD!$B$3:$B$5001,G$219,BD!$A$3:$A$5001,"&gt;="&amp;$C$7,BD!$A$3:$A$5001,"&lt;="&amp;$B247,BD!$N$3:$N$5001,"&lt;&gt;"))))</f>
        <v/>
      </c>
      <c r="H247" s="43" t="str">
        <f>IF(OR($B247="",$A247&gt;$B$9,H$219=""),"",IF(COUNTIFS(BD!$B$3:$B$5001,H$219,BD!$A$3:$A$5001,"&gt;="&amp;$C$7,BD!$A$3:$A$5001,"&lt;="&amp;$B247,BD!$N$3:$N$5001,"&lt;&gt;")=0,"",SUMIFS(BD!$N$3:$N$5001,BD!$B$3:$B$5001,H$219,BD!$A$3:$A$5001,_xlfn.MAXIFS(BD!$A$3:$A$5001,BD!$B$3:$B$5001,H$219,BD!$A$3:$A$5001,"&gt;="&amp;$C$7,BD!$A$3:$A$5001,"&lt;="&amp;$B247,BD!$N$3:$N$5001,"&lt;&gt;"))))</f>
        <v/>
      </c>
      <c r="I247" s="43" t="str">
        <f>IF(OR($B247="",$A247&gt;$B$9,I$219=""),"",IF(COUNTIFS(BD!$B$3:$B$5001,I$219,BD!$A$3:$A$5001,"&gt;="&amp;$C$7,BD!$A$3:$A$5001,"&lt;="&amp;$B247,BD!$N$3:$N$5001,"&lt;&gt;")=0,"",SUMIFS(BD!$N$3:$N$5001,BD!$B$3:$B$5001,I$219,BD!$A$3:$A$5001,_xlfn.MAXIFS(BD!$A$3:$A$5001,BD!$B$3:$B$5001,I$219,BD!$A$3:$A$5001,"&gt;="&amp;$C$7,BD!$A$3:$A$5001,"&lt;="&amp;$B247,BD!$N$3:$N$5001,"&lt;&gt;"))))</f>
        <v/>
      </c>
      <c r="J247" s="43" t="str">
        <f>IF(OR($B247="",$A247&gt;$B$9,J$219=""),"",IF(COUNTIFS(BD!$B$3:$B$5001,J$219,BD!$A$3:$A$5001,"&gt;="&amp;$C$7,BD!$A$3:$A$5001,"&lt;="&amp;$B247,BD!$N$3:$N$5001,"&lt;&gt;")=0,"",SUMIFS(BD!$N$3:$N$5001,BD!$B$3:$B$5001,J$219,BD!$A$3:$A$5001,_xlfn.MAXIFS(BD!$A$3:$A$5001,BD!$B$3:$B$5001,J$219,BD!$A$3:$A$5001,"&gt;="&amp;$C$7,BD!$A$3:$A$5001,"&lt;="&amp;$B247,BD!$N$3:$N$5001,"&lt;&gt;"))))</f>
        <v/>
      </c>
      <c r="K247" s="43" t="str">
        <f>IF(OR($B247="",$A247&gt;$B$9,K$219=""),"",IF(COUNTIFS(BD!$B$3:$B$5001,K$219,BD!$A$3:$A$5001,"&gt;="&amp;$C$7,BD!$A$3:$A$5001,"&lt;="&amp;$B247,BD!$N$3:$N$5001,"&lt;&gt;")=0,"",SUMIFS(BD!$N$3:$N$5001,BD!$B$3:$B$5001,K$219,BD!$A$3:$A$5001,_xlfn.MAXIFS(BD!$A$3:$A$5001,BD!$B$3:$B$5001,K$219,BD!$A$3:$A$5001,"&gt;="&amp;$C$7,BD!$A$3:$A$5001,"&lt;="&amp;$B247,BD!$N$3:$N$5001,"&lt;&gt;"))))</f>
        <v/>
      </c>
      <c r="L247" s="43" t="str">
        <f>IF(OR($B247="",$A247&gt;$B$9,L$219=""),"",IF(COUNTIFS(BD!$B$3:$B$5001,L$219,BD!$A$3:$A$5001,"&gt;="&amp;$C$7,BD!$A$3:$A$5001,"&lt;="&amp;$B247,BD!$N$3:$N$5001,"&lt;&gt;")=0,"",SUMIFS(BD!$N$3:$N$5001,BD!$B$3:$B$5001,L$219,BD!$A$3:$A$5001,_xlfn.MAXIFS(BD!$A$3:$A$5001,BD!$B$3:$B$5001,L$219,BD!$A$3:$A$5001,"&gt;="&amp;$C$7,BD!$A$3:$A$5001,"&lt;="&amp;$B247,BD!$N$3:$N$5001,"&lt;&gt;"))))</f>
        <v/>
      </c>
      <c r="M247" s="43" t="str">
        <f>IF(OR($B247="",$A247&gt;$B$9,M$219=""),"",IF(COUNTIFS(BD!$B$3:$B$5001,M$219,BD!$A$3:$A$5001,"&gt;="&amp;$C$7,BD!$A$3:$A$5001,"&lt;="&amp;$B247,BD!$N$3:$N$5001,"&lt;&gt;")=0,"",SUMIFS(BD!$N$3:$N$5001,BD!$B$3:$B$5001,M$219,BD!$A$3:$A$5001,_xlfn.MAXIFS(BD!$A$3:$A$5001,BD!$B$3:$B$5001,M$219,BD!$A$3:$A$5001,"&gt;="&amp;$C$7,BD!$A$3:$A$5001,"&lt;="&amp;$B247,BD!$N$3:$N$5001,"&lt;&gt;"))))</f>
        <v/>
      </c>
      <c r="N247" s="43" t="str">
        <f>IF(OR($B247="",$A247&gt;$B$9,N$219=""),"",IF(COUNTIFS(BD!$B$3:$B$5001,N$219,BD!$A$3:$A$5001,"&gt;="&amp;$C$7,BD!$A$3:$A$5001,"&lt;="&amp;$B247,BD!$N$3:$N$5001,"&lt;&gt;")=0,"",SUMIFS(BD!$N$3:$N$5001,BD!$B$3:$B$5001,N$219,BD!$A$3:$A$5001,_xlfn.MAXIFS(BD!$A$3:$A$5001,BD!$B$3:$B$5001,N$219,BD!$A$3:$A$5001,"&gt;="&amp;$C$7,BD!$A$3:$A$5001,"&lt;="&amp;$B247,BD!$N$3:$N$5001,"&lt;&gt;"))))</f>
        <v/>
      </c>
      <c r="O247" s="43" t="str">
        <f>IF(OR($B247="",$A247&gt;$B$9,O$219=""),"",IF(COUNTIFS(BD!$B$3:$B$5001,O$219,BD!$A$3:$A$5001,"&gt;="&amp;$C$7,BD!$A$3:$A$5001,"&lt;="&amp;$B247,BD!$N$3:$N$5001,"&lt;&gt;")=0,"",SUMIFS(BD!$N$3:$N$5001,BD!$B$3:$B$5001,O$219,BD!$A$3:$A$5001,_xlfn.MAXIFS(BD!$A$3:$A$5001,BD!$B$3:$B$5001,O$219,BD!$A$3:$A$5001,"&gt;="&amp;$C$7,BD!$A$3:$A$5001,"&lt;="&amp;$B247,BD!$N$3:$N$5001,"&lt;&gt;"))))</f>
        <v/>
      </c>
      <c r="P247" s="43" t="str">
        <f>IF(OR($B247="",$A247&gt;$B$9,P$219=""),"",IF(COUNTIFS(BD!$B$3:$B$5001,P$219,BD!$A$3:$A$5001,"&gt;="&amp;$C$7,BD!$A$3:$A$5001,"&lt;="&amp;$B247,BD!$N$3:$N$5001,"&lt;&gt;")=0,"",SUMIFS(BD!$N$3:$N$5001,BD!$B$3:$B$5001,P$219,BD!$A$3:$A$5001,_xlfn.MAXIFS(BD!$A$3:$A$5001,BD!$B$3:$B$5001,P$219,BD!$A$3:$A$5001,"&gt;="&amp;$C$7,BD!$A$3:$A$5001,"&lt;="&amp;$B247,BD!$N$3:$N$5001,"&lt;&gt;"))))</f>
        <v/>
      </c>
      <c r="Q247" s="43" t="str">
        <f>IF(OR($B247="",$A247&gt;$B$9,Q$219=""),"",IF(COUNTIFS(BD!$B$3:$B$5001,Q$219,BD!$A$3:$A$5001,"&gt;="&amp;$C$7,BD!$A$3:$A$5001,"&lt;="&amp;$B247,BD!$N$3:$N$5001,"&lt;&gt;")=0,"",SUMIFS(BD!$N$3:$N$5001,BD!$B$3:$B$5001,Q$219,BD!$A$3:$A$5001,_xlfn.MAXIFS(BD!$A$3:$A$5001,BD!$B$3:$B$5001,Q$219,BD!$A$3:$A$5001,"&gt;="&amp;$C$7,BD!$A$3:$A$5001,"&lt;="&amp;$B247,BD!$N$3:$N$5001,"&lt;&gt;"))))</f>
        <v/>
      </c>
      <c r="R247" s="43" t="str">
        <f>IF(OR($B247="",$A247&gt;$B$9,R$219=""),"",IF(COUNTIFS(BD!$B$3:$B$5001,R$219,BD!$A$3:$A$5001,"&gt;="&amp;$C$7,BD!$A$3:$A$5001,"&lt;="&amp;$B247,BD!$N$3:$N$5001,"&lt;&gt;")=0,"",SUMIFS(BD!$N$3:$N$5001,BD!$B$3:$B$5001,R$219,BD!$A$3:$A$5001,_xlfn.MAXIFS(BD!$A$3:$A$5001,BD!$B$3:$B$5001,R$219,BD!$A$3:$A$5001,"&gt;="&amp;$C$7,BD!$A$3:$A$5001,"&lt;="&amp;$B247,BD!$N$3:$N$5001,"&lt;&gt;"))))</f>
        <v/>
      </c>
      <c r="S247" s="43" t="str">
        <f>IF(OR($B247="",$A247&gt;$B$9,S$219=""),"",IF(COUNTIFS(BD!$B$3:$B$5001,S$219,BD!$A$3:$A$5001,"&gt;="&amp;$C$7,BD!$A$3:$A$5001,"&lt;="&amp;$B247,BD!$N$3:$N$5001,"&lt;&gt;")=0,"",SUMIFS(BD!$N$3:$N$5001,BD!$B$3:$B$5001,S$219,BD!$A$3:$A$5001,_xlfn.MAXIFS(BD!$A$3:$A$5001,BD!$B$3:$B$5001,S$219,BD!$A$3:$A$5001,"&gt;="&amp;$C$7,BD!$A$3:$A$5001,"&lt;="&amp;$B247,BD!$N$3:$N$5001,"&lt;&gt;"))))</f>
        <v/>
      </c>
      <c r="T247" s="43" t="str">
        <f>IF(OR($B247="",$A247&gt;$B$9,T$219=""),"",IF(COUNTIFS(BD!$B$3:$B$5001,T$219,BD!$A$3:$A$5001,"&gt;="&amp;$C$7,BD!$A$3:$A$5001,"&lt;="&amp;$B247,BD!$N$3:$N$5001,"&lt;&gt;")=0,"",SUMIFS(BD!$N$3:$N$5001,BD!$B$3:$B$5001,T$219,BD!$A$3:$A$5001,_xlfn.MAXIFS(BD!$A$3:$A$5001,BD!$B$3:$B$5001,T$219,BD!$A$3:$A$5001,"&gt;="&amp;$C$7,BD!$A$3:$A$5001,"&lt;="&amp;$B247,BD!$N$3:$N$5001,"&lt;&gt;"))))</f>
        <v/>
      </c>
      <c r="U247" s="43" t="str">
        <f>IF(OR($B247="",$A247&gt;$B$9,U$219=""),"",IF(COUNTIFS(BD!$B$3:$B$5001,U$219,BD!$A$3:$A$5001,"&gt;="&amp;$C$7,BD!$A$3:$A$5001,"&lt;="&amp;$B247,BD!$N$3:$N$5001,"&lt;&gt;")=0,"",SUMIFS(BD!$N$3:$N$5001,BD!$B$3:$B$5001,U$219,BD!$A$3:$A$5001,_xlfn.MAXIFS(BD!$A$3:$A$5001,BD!$B$3:$B$5001,U$219,BD!$A$3:$A$5001,"&gt;="&amp;$C$7,BD!$A$3:$A$5001,"&lt;="&amp;$B247,BD!$N$3:$N$5001,"&lt;&gt;"))))</f>
        <v/>
      </c>
      <c r="V247" s="43" t="str">
        <f>IF(OR($B247="",$A247&gt;$B$9,V$219=""),"",IF(COUNTIFS(BD!$B$3:$B$5001,V$219,BD!$A$3:$A$5001,"&gt;="&amp;$C$7,BD!$A$3:$A$5001,"&lt;="&amp;$B247,BD!$N$3:$N$5001,"&lt;&gt;")=0,"",SUMIFS(BD!$N$3:$N$5001,BD!$B$3:$B$5001,V$219,BD!$A$3:$A$5001,_xlfn.MAXIFS(BD!$A$3:$A$5001,BD!$B$3:$B$5001,V$219,BD!$A$3:$A$5001,"&gt;="&amp;$C$7,BD!$A$3:$A$5001,"&lt;="&amp;$B247,BD!$N$3:$N$5001,"&lt;&gt;"))))</f>
        <v/>
      </c>
    </row>
    <row r="248">
      <c r="A248" s="38">
        <v>29</v>
      </c>
      <c r="B248" s="42">
        <f>$B$40</f>
        <v>46324</v>
      </c>
      <c r="C248" s="43" t="str">
        <f>IF(OR($B248="",$A248&gt;$B$9,C$219=""),"",IF(COUNTIFS(BD!$B$3:$B$5001,C$219,BD!$A$3:$A$5001,"&gt;="&amp;$C$7,BD!$A$3:$A$5001,"&lt;="&amp;$B248,BD!$N$3:$N$5001,"&lt;&gt;")=0,"",SUMIFS(BD!$N$3:$N$5001,BD!$B$3:$B$5001,C$219,BD!$A$3:$A$5001,_xlfn.MAXIFS(BD!$A$3:$A$5001,BD!$B$3:$B$5001,C$219,BD!$A$3:$A$5001,"&gt;="&amp;$C$7,BD!$A$3:$A$5001,"&lt;="&amp;$B248,BD!$N$3:$N$5001,"&lt;&gt;"))))</f>
        <v/>
      </c>
      <c r="D248" s="43" t="str">
        <f>IF(OR($B248="",$A248&gt;$B$9,D$219=""),"",IF(COUNTIFS(BD!$B$3:$B$5001,D$219,BD!$A$3:$A$5001,"&gt;="&amp;$C$7,BD!$A$3:$A$5001,"&lt;="&amp;$B248,BD!$N$3:$N$5001,"&lt;&gt;")=0,"",SUMIFS(BD!$N$3:$N$5001,BD!$B$3:$B$5001,D$219,BD!$A$3:$A$5001,_xlfn.MAXIFS(BD!$A$3:$A$5001,BD!$B$3:$B$5001,D$219,BD!$A$3:$A$5001,"&gt;="&amp;$C$7,BD!$A$3:$A$5001,"&lt;="&amp;$B248,BD!$N$3:$N$5001,"&lt;&gt;"))))</f>
        <v/>
      </c>
      <c r="E248" s="43" t="str">
        <f>IF(OR($B248="",$A248&gt;$B$9,E$219=""),"",IF(COUNTIFS(BD!$B$3:$B$5001,E$219,BD!$A$3:$A$5001,"&gt;="&amp;$C$7,BD!$A$3:$A$5001,"&lt;="&amp;$B248,BD!$N$3:$N$5001,"&lt;&gt;")=0,"",SUMIFS(BD!$N$3:$N$5001,BD!$B$3:$B$5001,E$219,BD!$A$3:$A$5001,_xlfn.MAXIFS(BD!$A$3:$A$5001,BD!$B$3:$B$5001,E$219,BD!$A$3:$A$5001,"&gt;="&amp;$C$7,BD!$A$3:$A$5001,"&lt;="&amp;$B248,BD!$N$3:$N$5001,"&lt;&gt;"))))</f>
        <v/>
      </c>
      <c r="F248" s="43" t="str">
        <f>IF(OR($B248="",$A248&gt;$B$9,F$219=""),"",IF(COUNTIFS(BD!$B$3:$B$5001,F$219,BD!$A$3:$A$5001,"&gt;="&amp;$C$7,BD!$A$3:$A$5001,"&lt;="&amp;$B248,BD!$N$3:$N$5001,"&lt;&gt;")=0,"",SUMIFS(BD!$N$3:$N$5001,BD!$B$3:$B$5001,F$219,BD!$A$3:$A$5001,_xlfn.MAXIFS(BD!$A$3:$A$5001,BD!$B$3:$B$5001,F$219,BD!$A$3:$A$5001,"&gt;="&amp;$C$7,BD!$A$3:$A$5001,"&lt;="&amp;$B248,BD!$N$3:$N$5001,"&lt;&gt;"))))</f>
        <v/>
      </c>
      <c r="G248" s="43" t="str">
        <f>IF(OR($B248="",$A248&gt;$B$9,G$219=""),"",IF(COUNTIFS(BD!$B$3:$B$5001,G$219,BD!$A$3:$A$5001,"&gt;="&amp;$C$7,BD!$A$3:$A$5001,"&lt;="&amp;$B248,BD!$N$3:$N$5001,"&lt;&gt;")=0,"",SUMIFS(BD!$N$3:$N$5001,BD!$B$3:$B$5001,G$219,BD!$A$3:$A$5001,_xlfn.MAXIFS(BD!$A$3:$A$5001,BD!$B$3:$B$5001,G$219,BD!$A$3:$A$5001,"&gt;="&amp;$C$7,BD!$A$3:$A$5001,"&lt;="&amp;$B248,BD!$N$3:$N$5001,"&lt;&gt;"))))</f>
        <v/>
      </c>
      <c r="H248" s="43" t="str">
        <f>IF(OR($B248="",$A248&gt;$B$9,H$219=""),"",IF(COUNTIFS(BD!$B$3:$B$5001,H$219,BD!$A$3:$A$5001,"&gt;="&amp;$C$7,BD!$A$3:$A$5001,"&lt;="&amp;$B248,BD!$N$3:$N$5001,"&lt;&gt;")=0,"",SUMIFS(BD!$N$3:$N$5001,BD!$B$3:$B$5001,H$219,BD!$A$3:$A$5001,_xlfn.MAXIFS(BD!$A$3:$A$5001,BD!$B$3:$B$5001,H$219,BD!$A$3:$A$5001,"&gt;="&amp;$C$7,BD!$A$3:$A$5001,"&lt;="&amp;$B248,BD!$N$3:$N$5001,"&lt;&gt;"))))</f>
        <v/>
      </c>
      <c r="I248" s="43" t="str">
        <f>IF(OR($B248="",$A248&gt;$B$9,I$219=""),"",IF(COUNTIFS(BD!$B$3:$B$5001,I$219,BD!$A$3:$A$5001,"&gt;="&amp;$C$7,BD!$A$3:$A$5001,"&lt;="&amp;$B248,BD!$N$3:$N$5001,"&lt;&gt;")=0,"",SUMIFS(BD!$N$3:$N$5001,BD!$B$3:$B$5001,I$219,BD!$A$3:$A$5001,_xlfn.MAXIFS(BD!$A$3:$A$5001,BD!$B$3:$B$5001,I$219,BD!$A$3:$A$5001,"&gt;="&amp;$C$7,BD!$A$3:$A$5001,"&lt;="&amp;$B248,BD!$N$3:$N$5001,"&lt;&gt;"))))</f>
        <v/>
      </c>
      <c r="J248" s="43" t="str">
        <f>IF(OR($B248="",$A248&gt;$B$9,J$219=""),"",IF(COUNTIFS(BD!$B$3:$B$5001,J$219,BD!$A$3:$A$5001,"&gt;="&amp;$C$7,BD!$A$3:$A$5001,"&lt;="&amp;$B248,BD!$N$3:$N$5001,"&lt;&gt;")=0,"",SUMIFS(BD!$N$3:$N$5001,BD!$B$3:$B$5001,J$219,BD!$A$3:$A$5001,_xlfn.MAXIFS(BD!$A$3:$A$5001,BD!$B$3:$B$5001,J$219,BD!$A$3:$A$5001,"&gt;="&amp;$C$7,BD!$A$3:$A$5001,"&lt;="&amp;$B248,BD!$N$3:$N$5001,"&lt;&gt;"))))</f>
        <v/>
      </c>
      <c r="K248" s="43" t="str">
        <f>IF(OR($B248="",$A248&gt;$B$9,K$219=""),"",IF(COUNTIFS(BD!$B$3:$B$5001,K$219,BD!$A$3:$A$5001,"&gt;="&amp;$C$7,BD!$A$3:$A$5001,"&lt;="&amp;$B248,BD!$N$3:$N$5001,"&lt;&gt;")=0,"",SUMIFS(BD!$N$3:$N$5001,BD!$B$3:$B$5001,K$219,BD!$A$3:$A$5001,_xlfn.MAXIFS(BD!$A$3:$A$5001,BD!$B$3:$B$5001,K$219,BD!$A$3:$A$5001,"&gt;="&amp;$C$7,BD!$A$3:$A$5001,"&lt;="&amp;$B248,BD!$N$3:$N$5001,"&lt;&gt;"))))</f>
        <v/>
      </c>
      <c r="L248" s="43" t="str">
        <f>IF(OR($B248="",$A248&gt;$B$9,L$219=""),"",IF(COUNTIFS(BD!$B$3:$B$5001,L$219,BD!$A$3:$A$5001,"&gt;="&amp;$C$7,BD!$A$3:$A$5001,"&lt;="&amp;$B248,BD!$N$3:$N$5001,"&lt;&gt;")=0,"",SUMIFS(BD!$N$3:$N$5001,BD!$B$3:$B$5001,L$219,BD!$A$3:$A$5001,_xlfn.MAXIFS(BD!$A$3:$A$5001,BD!$B$3:$B$5001,L$219,BD!$A$3:$A$5001,"&gt;="&amp;$C$7,BD!$A$3:$A$5001,"&lt;="&amp;$B248,BD!$N$3:$N$5001,"&lt;&gt;"))))</f>
        <v/>
      </c>
      <c r="M248" s="43" t="str">
        <f>IF(OR($B248="",$A248&gt;$B$9,M$219=""),"",IF(COUNTIFS(BD!$B$3:$B$5001,M$219,BD!$A$3:$A$5001,"&gt;="&amp;$C$7,BD!$A$3:$A$5001,"&lt;="&amp;$B248,BD!$N$3:$N$5001,"&lt;&gt;")=0,"",SUMIFS(BD!$N$3:$N$5001,BD!$B$3:$B$5001,M$219,BD!$A$3:$A$5001,_xlfn.MAXIFS(BD!$A$3:$A$5001,BD!$B$3:$B$5001,M$219,BD!$A$3:$A$5001,"&gt;="&amp;$C$7,BD!$A$3:$A$5001,"&lt;="&amp;$B248,BD!$N$3:$N$5001,"&lt;&gt;"))))</f>
        <v/>
      </c>
      <c r="N248" s="43" t="str">
        <f>IF(OR($B248="",$A248&gt;$B$9,N$219=""),"",IF(COUNTIFS(BD!$B$3:$B$5001,N$219,BD!$A$3:$A$5001,"&gt;="&amp;$C$7,BD!$A$3:$A$5001,"&lt;="&amp;$B248,BD!$N$3:$N$5001,"&lt;&gt;")=0,"",SUMIFS(BD!$N$3:$N$5001,BD!$B$3:$B$5001,N$219,BD!$A$3:$A$5001,_xlfn.MAXIFS(BD!$A$3:$A$5001,BD!$B$3:$B$5001,N$219,BD!$A$3:$A$5001,"&gt;="&amp;$C$7,BD!$A$3:$A$5001,"&lt;="&amp;$B248,BD!$N$3:$N$5001,"&lt;&gt;"))))</f>
        <v/>
      </c>
      <c r="O248" s="43" t="str">
        <f>IF(OR($B248="",$A248&gt;$B$9,O$219=""),"",IF(COUNTIFS(BD!$B$3:$B$5001,O$219,BD!$A$3:$A$5001,"&gt;="&amp;$C$7,BD!$A$3:$A$5001,"&lt;="&amp;$B248,BD!$N$3:$N$5001,"&lt;&gt;")=0,"",SUMIFS(BD!$N$3:$N$5001,BD!$B$3:$B$5001,O$219,BD!$A$3:$A$5001,_xlfn.MAXIFS(BD!$A$3:$A$5001,BD!$B$3:$B$5001,O$219,BD!$A$3:$A$5001,"&gt;="&amp;$C$7,BD!$A$3:$A$5001,"&lt;="&amp;$B248,BD!$N$3:$N$5001,"&lt;&gt;"))))</f>
        <v/>
      </c>
      <c r="P248" s="43" t="str">
        <f>IF(OR($B248="",$A248&gt;$B$9,P$219=""),"",IF(COUNTIFS(BD!$B$3:$B$5001,P$219,BD!$A$3:$A$5001,"&gt;="&amp;$C$7,BD!$A$3:$A$5001,"&lt;="&amp;$B248,BD!$N$3:$N$5001,"&lt;&gt;")=0,"",SUMIFS(BD!$N$3:$N$5001,BD!$B$3:$B$5001,P$219,BD!$A$3:$A$5001,_xlfn.MAXIFS(BD!$A$3:$A$5001,BD!$B$3:$B$5001,P$219,BD!$A$3:$A$5001,"&gt;="&amp;$C$7,BD!$A$3:$A$5001,"&lt;="&amp;$B248,BD!$N$3:$N$5001,"&lt;&gt;"))))</f>
        <v/>
      </c>
      <c r="Q248" s="43" t="str">
        <f>IF(OR($B248="",$A248&gt;$B$9,Q$219=""),"",IF(COUNTIFS(BD!$B$3:$B$5001,Q$219,BD!$A$3:$A$5001,"&gt;="&amp;$C$7,BD!$A$3:$A$5001,"&lt;="&amp;$B248,BD!$N$3:$N$5001,"&lt;&gt;")=0,"",SUMIFS(BD!$N$3:$N$5001,BD!$B$3:$B$5001,Q$219,BD!$A$3:$A$5001,_xlfn.MAXIFS(BD!$A$3:$A$5001,BD!$B$3:$B$5001,Q$219,BD!$A$3:$A$5001,"&gt;="&amp;$C$7,BD!$A$3:$A$5001,"&lt;="&amp;$B248,BD!$N$3:$N$5001,"&lt;&gt;"))))</f>
        <v/>
      </c>
      <c r="R248" s="43" t="str">
        <f>IF(OR($B248="",$A248&gt;$B$9,R$219=""),"",IF(COUNTIFS(BD!$B$3:$B$5001,R$219,BD!$A$3:$A$5001,"&gt;="&amp;$C$7,BD!$A$3:$A$5001,"&lt;="&amp;$B248,BD!$N$3:$N$5001,"&lt;&gt;")=0,"",SUMIFS(BD!$N$3:$N$5001,BD!$B$3:$B$5001,R$219,BD!$A$3:$A$5001,_xlfn.MAXIFS(BD!$A$3:$A$5001,BD!$B$3:$B$5001,R$219,BD!$A$3:$A$5001,"&gt;="&amp;$C$7,BD!$A$3:$A$5001,"&lt;="&amp;$B248,BD!$N$3:$N$5001,"&lt;&gt;"))))</f>
        <v/>
      </c>
      <c r="S248" s="43" t="str">
        <f>IF(OR($B248="",$A248&gt;$B$9,S$219=""),"",IF(COUNTIFS(BD!$B$3:$B$5001,S$219,BD!$A$3:$A$5001,"&gt;="&amp;$C$7,BD!$A$3:$A$5001,"&lt;="&amp;$B248,BD!$N$3:$N$5001,"&lt;&gt;")=0,"",SUMIFS(BD!$N$3:$N$5001,BD!$B$3:$B$5001,S$219,BD!$A$3:$A$5001,_xlfn.MAXIFS(BD!$A$3:$A$5001,BD!$B$3:$B$5001,S$219,BD!$A$3:$A$5001,"&gt;="&amp;$C$7,BD!$A$3:$A$5001,"&lt;="&amp;$B248,BD!$N$3:$N$5001,"&lt;&gt;"))))</f>
        <v/>
      </c>
      <c r="T248" s="43" t="str">
        <f>IF(OR($B248="",$A248&gt;$B$9,T$219=""),"",IF(COUNTIFS(BD!$B$3:$B$5001,T$219,BD!$A$3:$A$5001,"&gt;="&amp;$C$7,BD!$A$3:$A$5001,"&lt;="&amp;$B248,BD!$N$3:$N$5001,"&lt;&gt;")=0,"",SUMIFS(BD!$N$3:$N$5001,BD!$B$3:$B$5001,T$219,BD!$A$3:$A$5001,_xlfn.MAXIFS(BD!$A$3:$A$5001,BD!$B$3:$B$5001,T$219,BD!$A$3:$A$5001,"&gt;="&amp;$C$7,BD!$A$3:$A$5001,"&lt;="&amp;$B248,BD!$N$3:$N$5001,"&lt;&gt;"))))</f>
        <v/>
      </c>
      <c r="U248" s="43" t="str">
        <f>IF(OR($B248="",$A248&gt;$B$9,U$219=""),"",IF(COUNTIFS(BD!$B$3:$B$5001,U$219,BD!$A$3:$A$5001,"&gt;="&amp;$C$7,BD!$A$3:$A$5001,"&lt;="&amp;$B248,BD!$N$3:$N$5001,"&lt;&gt;")=0,"",SUMIFS(BD!$N$3:$N$5001,BD!$B$3:$B$5001,U$219,BD!$A$3:$A$5001,_xlfn.MAXIFS(BD!$A$3:$A$5001,BD!$B$3:$B$5001,U$219,BD!$A$3:$A$5001,"&gt;="&amp;$C$7,BD!$A$3:$A$5001,"&lt;="&amp;$B248,BD!$N$3:$N$5001,"&lt;&gt;"))))</f>
        <v/>
      </c>
      <c r="V248" s="43" t="str">
        <f>IF(OR($B248="",$A248&gt;$B$9,V$219=""),"",IF(COUNTIFS(BD!$B$3:$B$5001,V$219,BD!$A$3:$A$5001,"&gt;="&amp;$C$7,BD!$A$3:$A$5001,"&lt;="&amp;$B248,BD!$N$3:$N$5001,"&lt;&gt;")=0,"",SUMIFS(BD!$N$3:$N$5001,BD!$B$3:$B$5001,V$219,BD!$A$3:$A$5001,_xlfn.MAXIFS(BD!$A$3:$A$5001,BD!$B$3:$B$5001,V$219,BD!$A$3:$A$5001,"&gt;="&amp;$C$7,BD!$A$3:$A$5001,"&lt;="&amp;$B248,BD!$N$3:$N$5001,"&lt;&gt;"))))</f>
        <v/>
      </c>
    </row>
    <row r="249">
      <c r="A249" s="38">
        <v>30</v>
      </c>
      <c r="B249" s="42">
        <f>$B$41</f>
        <v>46325</v>
      </c>
      <c r="C249" s="43" t="str">
        <f>IF(OR($B249="",$A249&gt;$B$9,C$219=""),"",IF(COUNTIFS(BD!$B$3:$B$5001,C$219,BD!$A$3:$A$5001,"&gt;="&amp;$C$7,BD!$A$3:$A$5001,"&lt;="&amp;$B249,BD!$N$3:$N$5001,"&lt;&gt;")=0,"",SUMIFS(BD!$N$3:$N$5001,BD!$B$3:$B$5001,C$219,BD!$A$3:$A$5001,_xlfn.MAXIFS(BD!$A$3:$A$5001,BD!$B$3:$B$5001,C$219,BD!$A$3:$A$5001,"&gt;="&amp;$C$7,BD!$A$3:$A$5001,"&lt;="&amp;$B249,BD!$N$3:$N$5001,"&lt;&gt;"))))</f>
        <v/>
      </c>
      <c r="D249" s="43" t="str">
        <f>IF(OR($B249="",$A249&gt;$B$9,D$219=""),"",IF(COUNTIFS(BD!$B$3:$B$5001,D$219,BD!$A$3:$A$5001,"&gt;="&amp;$C$7,BD!$A$3:$A$5001,"&lt;="&amp;$B249,BD!$N$3:$N$5001,"&lt;&gt;")=0,"",SUMIFS(BD!$N$3:$N$5001,BD!$B$3:$B$5001,D$219,BD!$A$3:$A$5001,_xlfn.MAXIFS(BD!$A$3:$A$5001,BD!$B$3:$B$5001,D$219,BD!$A$3:$A$5001,"&gt;="&amp;$C$7,BD!$A$3:$A$5001,"&lt;="&amp;$B249,BD!$N$3:$N$5001,"&lt;&gt;"))))</f>
        <v/>
      </c>
      <c r="E249" s="43" t="str">
        <f>IF(OR($B249="",$A249&gt;$B$9,E$219=""),"",IF(COUNTIFS(BD!$B$3:$B$5001,E$219,BD!$A$3:$A$5001,"&gt;="&amp;$C$7,BD!$A$3:$A$5001,"&lt;="&amp;$B249,BD!$N$3:$N$5001,"&lt;&gt;")=0,"",SUMIFS(BD!$N$3:$N$5001,BD!$B$3:$B$5001,E$219,BD!$A$3:$A$5001,_xlfn.MAXIFS(BD!$A$3:$A$5001,BD!$B$3:$B$5001,E$219,BD!$A$3:$A$5001,"&gt;="&amp;$C$7,BD!$A$3:$A$5001,"&lt;="&amp;$B249,BD!$N$3:$N$5001,"&lt;&gt;"))))</f>
        <v/>
      </c>
      <c r="F249" s="43" t="str">
        <f>IF(OR($B249="",$A249&gt;$B$9,F$219=""),"",IF(COUNTIFS(BD!$B$3:$B$5001,F$219,BD!$A$3:$A$5001,"&gt;="&amp;$C$7,BD!$A$3:$A$5001,"&lt;="&amp;$B249,BD!$N$3:$N$5001,"&lt;&gt;")=0,"",SUMIFS(BD!$N$3:$N$5001,BD!$B$3:$B$5001,F$219,BD!$A$3:$A$5001,_xlfn.MAXIFS(BD!$A$3:$A$5001,BD!$B$3:$B$5001,F$219,BD!$A$3:$A$5001,"&gt;="&amp;$C$7,BD!$A$3:$A$5001,"&lt;="&amp;$B249,BD!$N$3:$N$5001,"&lt;&gt;"))))</f>
        <v/>
      </c>
      <c r="G249" s="43" t="str">
        <f>IF(OR($B249="",$A249&gt;$B$9,G$219=""),"",IF(COUNTIFS(BD!$B$3:$B$5001,G$219,BD!$A$3:$A$5001,"&gt;="&amp;$C$7,BD!$A$3:$A$5001,"&lt;="&amp;$B249,BD!$N$3:$N$5001,"&lt;&gt;")=0,"",SUMIFS(BD!$N$3:$N$5001,BD!$B$3:$B$5001,G$219,BD!$A$3:$A$5001,_xlfn.MAXIFS(BD!$A$3:$A$5001,BD!$B$3:$B$5001,G$219,BD!$A$3:$A$5001,"&gt;="&amp;$C$7,BD!$A$3:$A$5001,"&lt;="&amp;$B249,BD!$N$3:$N$5001,"&lt;&gt;"))))</f>
        <v/>
      </c>
      <c r="H249" s="43" t="str">
        <f>IF(OR($B249="",$A249&gt;$B$9,H$219=""),"",IF(COUNTIFS(BD!$B$3:$B$5001,H$219,BD!$A$3:$A$5001,"&gt;="&amp;$C$7,BD!$A$3:$A$5001,"&lt;="&amp;$B249,BD!$N$3:$N$5001,"&lt;&gt;")=0,"",SUMIFS(BD!$N$3:$N$5001,BD!$B$3:$B$5001,H$219,BD!$A$3:$A$5001,_xlfn.MAXIFS(BD!$A$3:$A$5001,BD!$B$3:$B$5001,H$219,BD!$A$3:$A$5001,"&gt;="&amp;$C$7,BD!$A$3:$A$5001,"&lt;="&amp;$B249,BD!$N$3:$N$5001,"&lt;&gt;"))))</f>
        <v/>
      </c>
      <c r="I249" s="43" t="str">
        <f>IF(OR($B249="",$A249&gt;$B$9,I$219=""),"",IF(COUNTIFS(BD!$B$3:$B$5001,I$219,BD!$A$3:$A$5001,"&gt;="&amp;$C$7,BD!$A$3:$A$5001,"&lt;="&amp;$B249,BD!$N$3:$N$5001,"&lt;&gt;")=0,"",SUMIFS(BD!$N$3:$N$5001,BD!$B$3:$B$5001,I$219,BD!$A$3:$A$5001,_xlfn.MAXIFS(BD!$A$3:$A$5001,BD!$B$3:$B$5001,I$219,BD!$A$3:$A$5001,"&gt;="&amp;$C$7,BD!$A$3:$A$5001,"&lt;="&amp;$B249,BD!$N$3:$N$5001,"&lt;&gt;"))))</f>
        <v/>
      </c>
      <c r="J249" s="43" t="str">
        <f>IF(OR($B249="",$A249&gt;$B$9,J$219=""),"",IF(COUNTIFS(BD!$B$3:$B$5001,J$219,BD!$A$3:$A$5001,"&gt;="&amp;$C$7,BD!$A$3:$A$5001,"&lt;="&amp;$B249,BD!$N$3:$N$5001,"&lt;&gt;")=0,"",SUMIFS(BD!$N$3:$N$5001,BD!$B$3:$B$5001,J$219,BD!$A$3:$A$5001,_xlfn.MAXIFS(BD!$A$3:$A$5001,BD!$B$3:$B$5001,J$219,BD!$A$3:$A$5001,"&gt;="&amp;$C$7,BD!$A$3:$A$5001,"&lt;="&amp;$B249,BD!$N$3:$N$5001,"&lt;&gt;"))))</f>
        <v/>
      </c>
      <c r="K249" s="43" t="str">
        <f>IF(OR($B249="",$A249&gt;$B$9,K$219=""),"",IF(COUNTIFS(BD!$B$3:$B$5001,K$219,BD!$A$3:$A$5001,"&gt;="&amp;$C$7,BD!$A$3:$A$5001,"&lt;="&amp;$B249,BD!$N$3:$N$5001,"&lt;&gt;")=0,"",SUMIFS(BD!$N$3:$N$5001,BD!$B$3:$B$5001,K$219,BD!$A$3:$A$5001,_xlfn.MAXIFS(BD!$A$3:$A$5001,BD!$B$3:$B$5001,K$219,BD!$A$3:$A$5001,"&gt;="&amp;$C$7,BD!$A$3:$A$5001,"&lt;="&amp;$B249,BD!$N$3:$N$5001,"&lt;&gt;"))))</f>
        <v/>
      </c>
      <c r="L249" s="43" t="str">
        <f>IF(OR($B249="",$A249&gt;$B$9,L$219=""),"",IF(COUNTIFS(BD!$B$3:$B$5001,L$219,BD!$A$3:$A$5001,"&gt;="&amp;$C$7,BD!$A$3:$A$5001,"&lt;="&amp;$B249,BD!$N$3:$N$5001,"&lt;&gt;")=0,"",SUMIFS(BD!$N$3:$N$5001,BD!$B$3:$B$5001,L$219,BD!$A$3:$A$5001,_xlfn.MAXIFS(BD!$A$3:$A$5001,BD!$B$3:$B$5001,L$219,BD!$A$3:$A$5001,"&gt;="&amp;$C$7,BD!$A$3:$A$5001,"&lt;="&amp;$B249,BD!$N$3:$N$5001,"&lt;&gt;"))))</f>
        <v/>
      </c>
      <c r="M249" s="43" t="str">
        <f>IF(OR($B249="",$A249&gt;$B$9,M$219=""),"",IF(COUNTIFS(BD!$B$3:$B$5001,M$219,BD!$A$3:$A$5001,"&gt;="&amp;$C$7,BD!$A$3:$A$5001,"&lt;="&amp;$B249,BD!$N$3:$N$5001,"&lt;&gt;")=0,"",SUMIFS(BD!$N$3:$N$5001,BD!$B$3:$B$5001,M$219,BD!$A$3:$A$5001,_xlfn.MAXIFS(BD!$A$3:$A$5001,BD!$B$3:$B$5001,M$219,BD!$A$3:$A$5001,"&gt;="&amp;$C$7,BD!$A$3:$A$5001,"&lt;="&amp;$B249,BD!$N$3:$N$5001,"&lt;&gt;"))))</f>
        <v/>
      </c>
      <c r="N249" s="43" t="str">
        <f>IF(OR($B249="",$A249&gt;$B$9,N$219=""),"",IF(COUNTIFS(BD!$B$3:$B$5001,N$219,BD!$A$3:$A$5001,"&gt;="&amp;$C$7,BD!$A$3:$A$5001,"&lt;="&amp;$B249,BD!$N$3:$N$5001,"&lt;&gt;")=0,"",SUMIFS(BD!$N$3:$N$5001,BD!$B$3:$B$5001,N$219,BD!$A$3:$A$5001,_xlfn.MAXIFS(BD!$A$3:$A$5001,BD!$B$3:$B$5001,N$219,BD!$A$3:$A$5001,"&gt;="&amp;$C$7,BD!$A$3:$A$5001,"&lt;="&amp;$B249,BD!$N$3:$N$5001,"&lt;&gt;"))))</f>
        <v/>
      </c>
      <c r="O249" s="43" t="str">
        <f>IF(OR($B249="",$A249&gt;$B$9,O$219=""),"",IF(COUNTIFS(BD!$B$3:$B$5001,O$219,BD!$A$3:$A$5001,"&gt;="&amp;$C$7,BD!$A$3:$A$5001,"&lt;="&amp;$B249,BD!$N$3:$N$5001,"&lt;&gt;")=0,"",SUMIFS(BD!$N$3:$N$5001,BD!$B$3:$B$5001,O$219,BD!$A$3:$A$5001,_xlfn.MAXIFS(BD!$A$3:$A$5001,BD!$B$3:$B$5001,O$219,BD!$A$3:$A$5001,"&gt;="&amp;$C$7,BD!$A$3:$A$5001,"&lt;="&amp;$B249,BD!$N$3:$N$5001,"&lt;&gt;"))))</f>
        <v/>
      </c>
      <c r="P249" s="43" t="str">
        <f>IF(OR($B249="",$A249&gt;$B$9,P$219=""),"",IF(COUNTIFS(BD!$B$3:$B$5001,P$219,BD!$A$3:$A$5001,"&gt;="&amp;$C$7,BD!$A$3:$A$5001,"&lt;="&amp;$B249,BD!$N$3:$N$5001,"&lt;&gt;")=0,"",SUMIFS(BD!$N$3:$N$5001,BD!$B$3:$B$5001,P$219,BD!$A$3:$A$5001,_xlfn.MAXIFS(BD!$A$3:$A$5001,BD!$B$3:$B$5001,P$219,BD!$A$3:$A$5001,"&gt;="&amp;$C$7,BD!$A$3:$A$5001,"&lt;="&amp;$B249,BD!$N$3:$N$5001,"&lt;&gt;"))))</f>
        <v/>
      </c>
      <c r="Q249" s="43" t="str">
        <f>IF(OR($B249="",$A249&gt;$B$9,Q$219=""),"",IF(COUNTIFS(BD!$B$3:$B$5001,Q$219,BD!$A$3:$A$5001,"&gt;="&amp;$C$7,BD!$A$3:$A$5001,"&lt;="&amp;$B249,BD!$N$3:$N$5001,"&lt;&gt;")=0,"",SUMIFS(BD!$N$3:$N$5001,BD!$B$3:$B$5001,Q$219,BD!$A$3:$A$5001,_xlfn.MAXIFS(BD!$A$3:$A$5001,BD!$B$3:$B$5001,Q$219,BD!$A$3:$A$5001,"&gt;="&amp;$C$7,BD!$A$3:$A$5001,"&lt;="&amp;$B249,BD!$N$3:$N$5001,"&lt;&gt;"))))</f>
        <v/>
      </c>
      <c r="R249" s="43" t="str">
        <f>IF(OR($B249="",$A249&gt;$B$9,R$219=""),"",IF(COUNTIFS(BD!$B$3:$B$5001,R$219,BD!$A$3:$A$5001,"&gt;="&amp;$C$7,BD!$A$3:$A$5001,"&lt;="&amp;$B249,BD!$N$3:$N$5001,"&lt;&gt;")=0,"",SUMIFS(BD!$N$3:$N$5001,BD!$B$3:$B$5001,R$219,BD!$A$3:$A$5001,_xlfn.MAXIFS(BD!$A$3:$A$5001,BD!$B$3:$B$5001,R$219,BD!$A$3:$A$5001,"&gt;="&amp;$C$7,BD!$A$3:$A$5001,"&lt;="&amp;$B249,BD!$N$3:$N$5001,"&lt;&gt;"))))</f>
        <v/>
      </c>
      <c r="S249" s="43" t="str">
        <f>IF(OR($B249="",$A249&gt;$B$9,S$219=""),"",IF(COUNTIFS(BD!$B$3:$B$5001,S$219,BD!$A$3:$A$5001,"&gt;="&amp;$C$7,BD!$A$3:$A$5001,"&lt;="&amp;$B249,BD!$N$3:$N$5001,"&lt;&gt;")=0,"",SUMIFS(BD!$N$3:$N$5001,BD!$B$3:$B$5001,S$219,BD!$A$3:$A$5001,_xlfn.MAXIFS(BD!$A$3:$A$5001,BD!$B$3:$B$5001,S$219,BD!$A$3:$A$5001,"&gt;="&amp;$C$7,BD!$A$3:$A$5001,"&lt;="&amp;$B249,BD!$N$3:$N$5001,"&lt;&gt;"))))</f>
        <v/>
      </c>
      <c r="T249" s="43" t="str">
        <f>IF(OR($B249="",$A249&gt;$B$9,T$219=""),"",IF(COUNTIFS(BD!$B$3:$B$5001,T$219,BD!$A$3:$A$5001,"&gt;="&amp;$C$7,BD!$A$3:$A$5001,"&lt;="&amp;$B249,BD!$N$3:$N$5001,"&lt;&gt;")=0,"",SUMIFS(BD!$N$3:$N$5001,BD!$B$3:$B$5001,T$219,BD!$A$3:$A$5001,_xlfn.MAXIFS(BD!$A$3:$A$5001,BD!$B$3:$B$5001,T$219,BD!$A$3:$A$5001,"&gt;="&amp;$C$7,BD!$A$3:$A$5001,"&lt;="&amp;$B249,BD!$N$3:$N$5001,"&lt;&gt;"))))</f>
        <v/>
      </c>
      <c r="U249" s="43" t="str">
        <f>IF(OR($B249="",$A249&gt;$B$9,U$219=""),"",IF(COUNTIFS(BD!$B$3:$B$5001,U$219,BD!$A$3:$A$5001,"&gt;="&amp;$C$7,BD!$A$3:$A$5001,"&lt;="&amp;$B249,BD!$N$3:$N$5001,"&lt;&gt;")=0,"",SUMIFS(BD!$N$3:$N$5001,BD!$B$3:$B$5001,U$219,BD!$A$3:$A$5001,_xlfn.MAXIFS(BD!$A$3:$A$5001,BD!$B$3:$B$5001,U$219,BD!$A$3:$A$5001,"&gt;="&amp;$C$7,BD!$A$3:$A$5001,"&lt;="&amp;$B249,BD!$N$3:$N$5001,"&lt;&gt;"))))</f>
        <v/>
      </c>
      <c r="V249" s="43" t="str">
        <f>IF(OR($B249="",$A249&gt;$B$9,V$219=""),"",IF(COUNTIFS(BD!$B$3:$B$5001,V$219,BD!$A$3:$A$5001,"&gt;="&amp;$C$7,BD!$A$3:$A$5001,"&lt;="&amp;$B249,BD!$N$3:$N$5001,"&lt;&gt;")=0,"",SUMIFS(BD!$N$3:$N$5001,BD!$B$3:$B$5001,V$219,BD!$A$3:$A$5001,_xlfn.MAXIFS(BD!$A$3:$A$5001,BD!$B$3:$B$5001,V$219,BD!$A$3:$A$5001,"&gt;="&amp;$C$7,BD!$A$3:$A$5001,"&lt;="&amp;$B249,BD!$N$3:$N$5001,"&lt;&gt;"))))</f>
        <v/>
      </c>
    </row>
    <row r="250">
      <c r="A250" s="38">
        <v>31</v>
      </c>
      <c r="B250" s="42">
        <f>$B$42</f>
        <v>46326</v>
      </c>
      <c r="C250" s="43" t="str">
        <f>IF(OR($B250="",$A250&gt;$B$9,C$219=""),"",IF(COUNTIFS(BD!$B$3:$B$5001,C$219,BD!$A$3:$A$5001,"&gt;="&amp;$C$7,BD!$A$3:$A$5001,"&lt;="&amp;$B250,BD!$N$3:$N$5001,"&lt;&gt;")=0,"",SUMIFS(BD!$N$3:$N$5001,BD!$B$3:$B$5001,C$219,BD!$A$3:$A$5001,_xlfn.MAXIFS(BD!$A$3:$A$5001,BD!$B$3:$B$5001,C$219,BD!$A$3:$A$5001,"&gt;="&amp;$C$7,BD!$A$3:$A$5001,"&lt;="&amp;$B250,BD!$N$3:$N$5001,"&lt;&gt;"))))</f>
        <v/>
      </c>
      <c r="D250" s="43" t="str">
        <f>IF(OR($B250="",$A250&gt;$B$9,D$219=""),"",IF(COUNTIFS(BD!$B$3:$B$5001,D$219,BD!$A$3:$A$5001,"&gt;="&amp;$C$7,BD!$A$3:$A$5001,"&lt;="&amp;$B250,BD!$N$3:$N$5001,"&lt;&gt;")=0,"",SUMIFS(BD!$N$3:$N$5001,BD!$B$3:$B$5001,D$219,BD!$A$3:$A$5001,_xlfn.MAXIFS(BD!$A$3:$A$5001,BD!$B$3:$B$5001,D$219,BD!$A$3:$A$5001,"&gt;="&amp;$C$7,BD!$A$3:$A$5001,"&lt;="&amp;$B250,BD!$N$3:$N$5001,"&lt;&gt;"))))</f>
        <v/>
      </c>
      <c r="E250" s="43" t="str">
        <f>IF(OR($B250="",$A250&gt;$B$9,E$219=""),"",IF(COUNTIFS(BD!$B$3:$B$5001,E$219,BD!$A$3:$A$5001,"&gt;="&amp;$C$7,BD!$A$3:$A$5001,"&lt;="&amp;$B250,BD!$N$3:$N$5001,"&lt;&gt;")=0,"",SUMIFS(BD!$N$3:$N$5001,BD!$B$3:$B$5001,E$219,BD!$A$3:$A$5001,_xlfn.MAXIFS(BD!$A$3:$A$5001,BD!$B$3:$B$5001,E$219,BD!$A$3:$A$5001,"&gt;="&amp;$C$7,BD!$A$3:$A$5001,"&lt;="&amp;$B250,BD!$N$3:$N$5001,"&lt;&gt;"))))</f>
        <v/>
      </c>
      <c r="F250" s="43" t="str">
        <f>IF(OR($B250="",$A250&gt;$B$9,F$219=""),"",IF(COUNTIFS(BD!$B$3:$B$5001,F$219,BD!$A$3:$A$5001,"&gt;="&amp;$C$7,BD!$A$3:$A$5001,"&lt;="&amp;$B250,BD!$N$3:$N$5001,"&lt;&gt;")=0,"",SUMIFS(BD!$N$3:$N$5001,BD!$B$3:$B$5001,F$219,BD!$A$3:$A$5001,_xlfn.MAXIFS(BD!$A$3:$A$5001,BD!$B$3:$B$5001,F$219,BD!$A$3:$A$5001,"&gt;="&amp;$C$7,BD!$A$3:$A$5001,"&lt;="&amp;$B250,BD!$N$3:$N$5001,"&lt;&gt;"))))</f>
        <v/>
      </c>
      <c r="G250" s="43" t="str">
        <f>IF(OR($B250="",$A250&gt;$B$9,G$219=""),"",IF(COUNTIFS(BD!$B$3:$B$5001,G$219,BD!$A$3:$A$5001,"&gt;="&amp;$C$7,BD!$A$3:$A$5001,"&lt;="&amp;$B250,BD!$N$3:$N$5001,"&lt;&gt;")=0,"",SUMIFS(BD!$N$3:$N$5001,BD!$B$3:$B$5001,G$219,BD!$A$3:$A$5001,_xlfn.MAXIFS(BD!$A$3:$A$5001,BD!$B$3:$B$5001,G$219,BD!$A$3:$A$5001,"&gt;="&amp;$C$7,BD!$A$3:$A$5001,"&lt;="&amp;$B250,BD!$N$3:$N$5001,"&lt;&gt;"))))</f>
        <v/>
      </c>
      <c r="H250" s="43" t="str">
        <f>IF(OR($B250="",$A250&gt;$B$9,H$219=""),"",IF(COUNTIFS(BD!$B$3:$B$5001,H$219,BD!$A$3:$A$5001,"&gt;="&amp;$C$7,BD!$A$3:$A$5001,"&lt;="&amp;$B250,BD!$N$3:$N$5001,"&lt;&gt;")=0,"",SUMIFS(BD!$N$3:$N$5001,BD!$B$3:$B$5001,H$219,BD!$A$3:$A$5001,_xlfn.MAXIFS(BD!$A$3:$A$5001,BD!$B$3:$B$5001,H$219,BD!$A$3:$A$5001,"&gt;="&amp;$C$7,BD!$A$3:$A$5001,"&lt;="&amp;$B250,BD!$N$3:$N$5001,"&lt;&gt;"))))</f>
        <v/>
      </c>
      <c r="I250" s="43" t="str">
        <f>IF(OR($B250="",$A250&gt;$B$9,I$219=""),"",IF(COUNTIFS(BD!$B$3:$B$5001,I$219,BD!$A$3:$A$5001,"&gt;="&amp;$C$7,BD!$A$3:$A$5001,"&lt;="&amp;$B250,BD!$N$3:$N$5001,"&lt;&gt;")=0,"",SUMIFS(BD!$N$3:$N$5001,BD!$B$3:$B$5001,I$219,BD!$A$3:$A$5001,_xlfn.MAXIFS(BD!$A$3:$A$5001,BD!$B$3:$B$5001,I$219,BD!$A$3:$A$5001,"&gt;="&amp;$C$7,BD!$A$3:$A$5001,"&lt;="&amp;$B250,BD!$N$3:$N$5001,"&lt;&gt;"))))</f>
        <v/>
      </c>
      <c r="J250" s="43" t="str">
        <f>IF(OR($B250="",$A250&gt;$B$9,J$219=""),"",IF(COUNTIFS(BD!$B$3:$B$5001,J$219,BD!$A$3:$A$5001,"&gt;="&amp;$C$7,BD!$A$3:$A$5001,"&lt;="&amp;$B250,BD!$N$3:$N$5001,"&lt;&gt;")=0,"",SUMIFS(BD!$N$3:$N$5001,BD!$B$3:$B$5001,J$219,BD!$A$3:$A$5001,_xlfn.MAXIFS(BD!$A$3:$A$5001,BD!$B$3:$B$5001,J$219,BD!$A$3:$A$5001,"&gt;="&amp;$C$7,BD!$A$3:$A$5001,"&lt;="&amp;$B250,BD!$N$3:$N$5001,"&lt;&gt;"))))</f>
        <v/>
      </c>
      <c r="K250" s="43" t="str">
        <f>IF(OR($B250="",$A250&gt;$B$9,K$219=""),"",IF(COUNTIFS(BD!$B$3:$B$5001,K$219,BD!$A$3:$A$5001,"&gt;="&amp;$C$7,BD!$A$3:$A$5001,"&lt;="&amp;$B250,BD!$N$3:$N$5001,"&lt;&gt;")=0,"",SUMIFS(BD!$N$3:$N$5001,BD!$B$3:$B$5001,K$219,BD!$A$3:$A$5001,_xlfn.MAXIFS(BD!$A$3:$A$5001,BD!$B$3:$B$5001,K$219,BD!$A$3:$A$5001,"&gt;="&amp;$C$7,BD!$A$3:$A$5001,"&lt;="&amp;$B250,BD!$N$3:$N$5001,"&lt;&gt;"))))</f>
        <v/>
      </c>
      <c r="L250" s="43" t="str">
        <f>IF(OR($B250="",$A250&gt;$B$9,L$219=""),"",IF(COUNTIFS(BD!$B$3:$B$5001,L$219,BD!$A$3:$A$5001,"&gt;="&amp;$C$7,BD!$A$3:$A$5001,"&lt;="&amp;$B250,BD!$N$3:$N$5001,"&lt;&gt;")=0,"",SUMIFS(BD!$N$3:$N$5001,BD!$B$3:$B$5001,L$219,BD!$A$3:$A$5001,_xlfn.MAXIFS(BD!$A$3:$A$5001,BD!$B$3:$B$5001,L$219,BD!$A$3:$A$5001,"&gt;="&amp;$C$7,BD!$A$3:$A$5001,"&lt;="&amp;$B250,BD!$N$3:$N$5001,"&lt;&gt;"))))</f>
        <v/>
      </c>
      <c r="M250" s="43" t="str">
        <f>IF(OR($B250="",$A250&gt;$B$9,M$219=""),"",IF(COUNTIFS(BD!$B$3:$B$5001,M$219,BD!$A$3:$A$5001,"&gt;="&amp;$C$7,BD!$A$3:$A$5001,"&lt;="&amp;$B250,BD!$N$3:$N$5001,"&lt;&gt;")=0,"",SUMIFS(BD!$N$3:$N$5001,BD!$B$3:$B$5001,M$219,BD!$A$3:$A$5001,_xlfn.MAXIFS(BD!$A$3:$A$5001,BD!$B$3:$B$5001,M$219,BD!$A$3:$A$5001,"&gt;="&amp;$C$7,BD!$A$3:$A$5001,"&lt;="&amp;$B250,BD!$N$3:$N$5001,"&lt;&gt;"))))</f>
        <v/>
      </c>
      <c r="N250" s="43" t="str">
        <f>IF(OR($B250="",$A250&gt;$B$9,N$219=""),"",IF(COUNTIFS(BD!$B$3:$B$5001,N$219,BD!$A$3:$A$5001,"&gt;="&amp;$C$7,BD!$A$3:$A$5001,"&lt;="&amp;$B250,BD!$N$3:$N$5001,"&lt;&gt;")=0,"",SUMIFS(BD!$N$3:$N$5001,BD!$B$3:$B$5001,N$219,BD!$A$3:$A$5001,_xlfn.MAXIFS(BD!$A$3:$A$5001,BD!$B$3:$B$5001,N$219,BD!$A$3:$A$5001,"&gt;="&amp;$C$7,BD!$A$3:$A$5001,"&lt;="&amp;$B250,BD!$N$3:$N$5001,"&lt;&gt;"))))</f>
        <v/>
      </c>
      <c r="O250" s="43" t="str">
        <f>IF(OR($B250="",$A250&gt;$B$9,O$219=""),"",IF(COUNTIFS(BD!$B$3:$B$5001,O$219,BD!$A$3:$A$5001,"&gt;="&amp;$C$7,BD!$A$3:$A$5001,"&lt;="&amp;$B250,BD!$N$3:$N$5001,"&lt;&gt;")=0,"",SUMIFS(BD!$N$3:$N$5001,BD!$B$3:$B$5001,O$219,BD!$A$3:$A$5001,_xlfn.MAXIFS(BD!$A$3:$A$5001,BD!$B$3:$B$5001,O$219,BD!$A$3:$A$5001,"&gt;="&amp;$C$7,BD!$A$3:$A$5001,"&lt;="&amp;$B250,BD!$N$3:$N$5001,"&lt;&gt;"))))</f>
        <v/>
      </c>
      <c r="P250" s="43" t="str">
        <f>IF(OR($B250="",$A250&gt;$B$9,P$219=""),"",IF(COUNTIFS(BD!$B$3:$B$5001,P$219,BD!$A$3:$A$5001,"&gt;="&amp;$C$7,BD!$A$3:$A$5001,"&lt;="&amp;$B250,BD!$N$3:$N$5001,"&lt;&gt;")=0,"",SUMIFS(BD!$N$3:$N$5001,BD!$B$3:$B$5001,P$219,BD!$A$3:$A$5001,_xlfn.MAXIFS(BD!$A$3:$A$5001,BD!$B$3:$B$5001,P$219,BD!$A$3:$A$5001,"&gt;="&amp;$C$7,BD!$A$3:$A$5001,"&lt;="&amp;$B250,BD!$N$3:$N$5001,"&lt;&gt;"))))</f>
        <v/>
      </c>
      <c r="Q250" s="43" t="str">
        <f>IF(OR($B250="",$A250&gt;$B$9,Q$219=""),"",IF(COUNTIFS(BD!$B$3:$B$5001,Q$219,BD!$A$3:$A$5001,"&gt;="&amp;$C$7,BD!$A$3:$A$5001,"&lt;="&amp;$B250,BD!$N$3:$N$5001,"&lt;&gt;")=0,"",SUMIFS(BD!$N$3:$N$5001,BD!$B$3:$B$5001,Q$219,BD!$A$3:$A$5001,_xlfn.MAXIFS(BD!$A$3:$A$5001,BD!$B$3:$B$5001,Q$219,BD!$A$3:$A$5001,"&gt;="&amp;$C$7,BD!$A$3:$A$5001,"&lt;="&amp;$B250,BD!$N$3:$N$5001,"&lt;&gt;"))))</f>
        <v/>
      </c>
      <c r="R250" s="43" t="str">
        <f>IF(OR($B250="",$A250&gt;$B$9,R$219=""),"",IF(COUNTIFS(BD!$B$3:$B$5001,R$219,BD!$A$3:$A$5001,"&gt;="&amp;$C$7,BD!$A$3:$A$5001,"&lt;="&amp;$B250,BD!$N$3:$N$5001,"&lt;&gt;")=0,"",SUMIFS(BD!$N$3:$N$5001,BD!$B$3:$B$5001,R$219,BD!$A$3:$A$5001,_xlfn.MAXIFS(BD!$A$3:$A$5001,BD!$B$3:$B$5001,R$219,BD!$A$3:$A$5001,"&gt;="&amp;$C$7,BD!$A$3:$A$5001,"&lt;="&amp;$B250,BD!$N$3:$N$5001,"&lt;&gt;"))))</f>
        <v/>
      </c>
      <c r="S250" s="43" t="str">
        <f>IF(OR($B250="",$A250&gt;$B$9,S$219=""),"",IF(COUNTIFS(BD!$B$3:$B$5001,S$219,BD!$A$3:$A$5001,"&gt;="&amp;$C$7,BD!$A$3:$A$5001,"&lt;="&amp;$B250,BD!$N$3:$N$5001,"&lt;&gt;")=0,"",SUMIFS(BD!$N$3:$N$5001,BD!$B$3:$B$5001,S$219,BD!$A$3:$A$5001,_xlfn.MAXIFS(BD!$A$3:$A$5001,BD!$B$3:$B$5001,S$219,BD!$A$3:$A$5001,"&gt;="&amp;$C$7,BD!$A$3:$A$5001,"&lt;="&amp;$B250,BD!$N$3:$N$5001,"&lt;&gt;"))))</f>
        <v/>
      </c>
      <c r="T250" s="43" t="str">
        <f>IF(OR($B250="",$A250&gt;$B$9,T$219=""),"",IF(COUNTIFS(BD!$B$3:$B$5001,T$219,BD!$A$3:$A$5001,"&gt;="&amp;$C$7,BD!$A$3:$A$5001,"&lt;="&amp;$B250,BD!$N$3:$N$5001,"&lt;&gt;")=0,"",SUMIFS(BD!$N$3:$N$5001,BD!$B$3:$B$5001,T$219,BD!$A$3:$A$5001,_xlfn.MAXIFS(BD!$A$3:$A$5001,BD!$B$3:$B$5001,T$219,BD!$A$3:$A$5001,"&gt;="&amp;$C$7,BD!$A$3:$A$5001,"&lt;="&amp;$B250,BD!$N$3:$N$5001,"&lt;&gt;"))))</f>
        <v/>
      </c>
      <c r="U250" s="43" t="str">
        <f>IF(OR($B250="",$A250&gt;$B$9,U$219=""),"",IF(COUNTIFS(BD!$B$3:$B$5001,U$219,BD!$A$3:$A$5001,"&gt;="&amp;$C$7,BD!$A$3:$A$5001,"&lt;="&amp;$B250,BD!$N$3:$N$5001,"&lt;&gt;")=0,"",SUMIFS(BD!$N$3:$N$5001,BD!$B$3:$B$5001,U$219,BD!$A$3:$A$5001,_xlfn.MAXIFS(BD!$A$3:$A$5001,BD!$B$3:$B$5001,U$219,BD!$A$3:$A$5001,"&gt;="&amp;$C$7,BD!$A$3:$A$5001,"&lt;="&amp;$B250,BD!$N$3:$N$5001,"&lt;&gt;"))))</f>
        <v/>
      </c>
      <c r="V250" s="43" t="str">
        <f>IF(OR($B250="",$A250&gt;$B$9,V$219=""),"",IF(COUNTIFS(BD!$B$3:$B$5001,V$219,BD!$A$3:$A$5001,"&gt;="&amp;$C$7,BD!$A$3:$A$5001,"&lt;="&amp;$B250,BD!$N$3:$N$5001,"&lt;&gt;")=0,"",SUMIFS(BD!$N$3:$N$5001,BD!$B$3:$B$5001,V$219,BD!$A$3:$A$5001,_xlfn.MAXIFS(BD!$A$3:$A$5001,BD!$B$3:$B$5001,V$219,BD!$A$3:$A$5001,"&gt;="&amp;$C$7,BD!$A$3:$A$5001,"&lt;="&amp;$B250,BD!$N$3:$N$5001,"&lt;&gt;"))))</f>
        <v/>
      </c>
    </row>
    <row r="251">
      <c r="A251" s="44" t="inlineStr">
        <is>
          <t xml:space="preserve">Mês anterior (último)</t>
        </is>
      </c>
      <c r="C251" s="45" t="str">
        <f>IF(C$219="","",IF(COUNTIFS(BD!$B$3:$B$5001,C$219,BD!$A$3:$A$5001,"&gt;="&amp;$C$8,BD!$A$3:$A$5001,"&lt;="&amp;$D$8,BD!$N$3:$N$5001,"&lt;&gt;")=0,"",SUMIFS(BD!$N$3:$N$5001,BD!$B$3:$B$5001,C$219,BD!$A$3:$A$5001,_xlfn.MAXIFS(BD!$A$3:$A$5001,BD!$B$3:$B$5001,C$219,BD!$A$3:$A$5001,"&gt;="&amp;$C$8,BD!$A$3:$A$5001,"&lt;="&amp;$D$8,BD!$N$3:$N$5001,"&lt;&gt;"))))</f>
        <v/>
      </c>
      <c r="D251" s="45" t="str">
        <f>IF(D$219="","",IF(COUNTIFS(BD!$B$3:$B$5001,D$219,BD!$A$3:$A$5001,"&gt;="&amp;$C$8,BD!$A$3:$A$5001,"&lt;="&amp;$D$8,BD!$N$3:$N$5001,"&lt;&gt;")=0,"",SUMIFS(BD!$N$3:$N$5001,BD!$B$3:$B$5001,D$219,BD!$A$3:$A$5001,_xlfn.MAXIFS(BD!$A$3:$A$5001,BD!$B$3:$B$5001,D$219,BD!$A$3:$A$5001,"&gt;="&amp;$C$8,BD!$A$3:$A$5001,"&lt;="&amp;$D$8,BD!$N$3:$N$5001,"&lt;&gt;"))))</f>
        <v/>
      </c>
      <c r="E251" s="45" t="str">
        <f>IF(E$219="","",IF(COUNTIFS(BD!$B$3:$B$5001,E$219,BD!$A$3:$A$5001,"&gt;="&amp;$C$8,BD!$A$3:$A$5001,"&lt;="&amp;$D$8,BD!$N$3:$N$5001,"&lt;&gt;")=0,"",SUMIFS(BD!$N$3:$N$5001,BD!$B$3:$B$5001,E$219,BD!$A$3:$A$5001,_xlfn.MAXIFS(BD!$A$3:$A$5001,BD!$B$3:$B$5001,E$219,BD!$A$3:$A$5001,"&gt;="&amp;$C$8,BD!$A$3:$A$5001,"&lt;="&amp;$D$8,BD!$N$3:$N$5001,"&lt;&gt;"))))</f>
        <v/>
      </c>
      <c r="F251" s="45" t="str">
        <f>IF(F$219="","",IF(COUNTIFS(BD!$B$3:$B$5001,F$219,BD!$A$3:$A$5001,"&gt;="&amp;$C$8,BD!$A$3:$A$5001,"&lt;="&amp;$D$8,BD!$N$3:$N$5001,"&lt;&gt;")=0,"",SUMIFS(BD!$N$3:$N$5001,BD!$B$3:$B$5001,F$219,BD!$A$3:$A$5001,_xlfn.MAXIFS(BD!$A$3:$A$5001,BD!$B$3:$B$5001,F$219,BD!$A$3:$A$5001,"&gt;="&amp;$C$8,BD!$A$3:$A$5001,"&lt;="&amp;$D$8,BD!$N$3:$N$5001,"&lt;&gt;"))))</f>
        <v/>
      </c>
      <c r="G251" s="45" t="str">
        <f>IF(G$219="","",IF(COUNTIFS(BD!$B$3:$B$5001,G$219,BD!$A$3:$A$5001,"&gt;="&amp;$C$8,BD!$A$3:$A$5001,"&lt;="&amp;$D$8,BD!$N$3:$N$5001,"&lt;&gt;")=0,"",SUMIFS(BD!$N$3:$N$5001,BD!$B$3:$B$5001,G$219,BD!$A$3:$A$5001,_xlfn.MAXIFS(BD!$A$3:$A$5001,BD!$B$3:$B$5001,G$219,BD!$A$3:$A$5001,"&gt;="&amp;$C$8,BD!$A$3:$A$5001,"&lt;="&amp;$D$8,BD!$N$3:$N$5001,"&lt;&gt;"))))</f>
        <v/>
      </c>
      <c r="H251" s="45" t="str">
        <f>IF(H$219="","",IF(COUNTIFS(BD!$B$3:$B$5001,H$219,BD!$A$3:$A$5001,"&gt;="&amp;$C$8,BD!$A$3:$A$5001,"&lt;="&amp;$D$8,BD!$N$3:$N$5001,"&lt;&gt;")=0,"",SUMIFS(BD!$N$3:$N$5001,BD!$B$3:$B$5001,H$219,BD!$A$3:$A$5001,_xlfn.MAXIFS(BD!$A$3:$A$5001,BD!$B$3:$B$5001,H$219,BD!$A$3:$A$5001,"&gt;="&amp;$C$8,BD!$A$3:$A$5001,"&lt;="&amp;$D$8,BD!$N$3:$N$5001,"&lt;&gt;"))))</f>
        <v/>
      </c>
      <c r="I251" s="45" t="str">
        <f>IF(I$219="","",IF(COUNTIFS(BD!$B$3:$B$5001,I$219,BD!$A$3:$A$5001,"&gt;="&amp;$C$8,BD!$A$3:$A$5001,"&lt;="&amp;$D$8,BD!$N$3:$N$5001,"&lt;&gt;")=0,"",SUMIFS(BD!$N$3:$N$5001,BD!$B$3:$B$5001,I$219,BD!$A$3:$A$5001,_xlfn.MAXIFS(BD!$A$3:$A$5001,BD!$B$3:$B$5001,I$219,BD!$A$3:$A$5001,"&gt;="&amp;$C$8,BD!$A$3:$A$5001,"&lt;="&amp;$D$8,BD!$N$3:$N$5001,"&lt;&gt;"))))</f>
        <v/>
      </c>
      <c r="J251" s="45" t="str">
        <f>IF(J$219="","",IF(COUNTIFS(BD!$B$3:$B$5001,J$219,BD!$A$3:$A$5001,"&gt;="&amp;$C$8,BD!$A$3:$A$5001,"&lt;="&amp;$D$8,BD!$N$3:$N$5001,"&lt;&gt;")=0,"",SUMIFS(BD!$N$3:$N$5001,BD!$B$3:$B$5001,J$219,BD!$A$3:$A$5001,_xlfn.MAXIFS(BD!$A$3:$A$5001,BD!$B$3:$B$5001,J$219,BD!$A$3:$A$5001,"&gt;="&amp;$C$8,BD!$A$3:$A$5001,"&lt;="&amp;$D$8,BD!$N$3:$N$5001,"&lt;&gt;"))))</f>
        <v/>
      </c>
      <c r="K251" s="45" t="str">
        <f>IF(K$219="","",IF(COUNTIFS(BD!$B$3:$B$5001,K$219,BD!$A$3:$A$5001,"&gt;="&amp;$C$8,BD!$A$3:$A$5001,"&lt;="&amp;$D$8,BD!$N$3:$N$5001,"&lt;&gt;")=0,"",SUMIFS(BD!$N$3:$N$5001,BD!$B$3:$B$5001,K$219,BD!$A$3:$A$5001,_xlfn.MAXIFS(BD!$A$3:$A$5001,BD!$B$3:$B$5001,K$219,BD!$A$3:$A$5001,"&gt;="&amp;$C$8,BD!$A$3:$A$5001,"&lt;="&amp;$D$8,BD!$N$3:$N$5001,"&lt;&gt;"))))</f>
        <v/>
      </c>
      <c r="L251" s="45" t="str">
        <f>IF(L$219="","",IF(COUNTIFS(BD!$B$3:$B$5001,L$219,BD!$A$3:$A$5001,"&gt;="&amp;$C$8,BD!$A$3:$A$5001,"&lt;="&amp;$D$8,BD!$N$3:$N$5001,"&lt;&gt;")=0,"",SUMIFS(BD!$N$3:$N$5001,BD!$B$3:$B$5001,L$219,BD!$A$3:$A$5001,_xlfn.MAXIFS(BD!$A$3:$A$5001,BD!$B$3:$B$5001,L$219,BD!$A$3:$A$5001,"&gt;="&amp;$C$8,BD!$A$3:$A$5001,"&lt;="&amp;$D$8,BD!$N$3:$N$5001,"&lt;&gt;"))))</f>
        <v/>
      </c>
      <c r="M251" s="45" t="str">
        <f>IF(M$219="","",IF(COUNTIFS(BD!$B$3:$B$5001,M$219,BD!$A$3:$A$5001,"&gt;="&amp;$C$8,BD!$A$3:$A$5001,"&lt;="&amp;$D$8,BD!$N$3:$N$5001,"&lt;&gt;")=0,"",SUMIFS(BD!$N$3:$N$5001,BD!$B$3:$B$5001,M$219,BD!$A$3:$A$5001,_xlfn.MAXIFS(BD!$A$3:$A$5001,BD!$B$3:$B$5001,M$219,BD!$A$3:$A$5001,"&gt;="&amp;$C$8,BD!$A$3:$A$5001,"&lt;="&amp;$D$8,BD!$N$3:$N$5001,"&lt;&gt;"))))</f>
        <v/>
      </c>
      <c r="N251" s="45" t="str">
        <f>IF(N$219="","",IF(COUNTIFS(BD!$B$3:$B$5001,N$219,BD!$A$3:$A$5001,"&gt;="&amp;$C$8,BD!$A$3:$A$5001,"&lt;="&amp;$D$8,BD!$N$3:$N$5001,"&lt;&gt;")=0,"",SUMIFS(BD!$N$3:$N$5001,BD!$B$3:$B$5001,N$219,BD!$A$3:$A$5001,_xlfn.MAXIFS(BD!$A$3:$A$5001,BD!$B$3:$B$5001,N$219,BD!$A$3:$A$5001,"&gt;="&amp;$C$8,BD!$A$3:$A$5001,"&lt;="&amp;$D$8,BD!$N$3:$N$5001,"&lt;&gt;"))))</f>
        <v/>
      </c>
      <c r="O251" s="45" t="str">
        <f>IF(O$219="","",IF(COUNTIFS(BD!$B$3:$B$5001,O$219,BD!$A$3:$A$5001,"&gt;="&amp;$C$8,BD!$A$3:$A$5001,"&lt;="&amp;$D$8,BD!$N$3:$N$5001,"&lt;&gt;")=0,"",SUMIFS(BD!$N$3:$N$5001,BD!$B$3:$B$5001,O$219,BD!$A$3:$A$5001,_xlfn.MAXIFS(BD!$A$3:$A$5001,BD!$B$3:$B$5001,O$219,BD!$A$3:$A$5001,"&gt;="&amp;$C$8,BD!$A$3:$A$5001,"&lt;="&amp;$D$8,BD!$N$3:$N$5001,"&lt;&gt;"))))</f>
        <v/>
      </c>
      <c r="P251" s="45" t="str">
        <f>IF(P$219="","",IF(COUNTIFS(BD!$B$3:$B$5001,P$219,BD!$A$3:$A$5001,"&gt;="&amp;$C$8,BD!$A$3:$A$5001,"&lt;="&amp;$D$8,BD!$N$3:$N$5001,"&lt;&gt;")=0,"",SUMIFS(BD!$N$3:$N$5001,BD!$B$3:$B$5001,P$219,BD!$A$3:$A$5001,_xlfn.MAXIFS(BD!$A$3:$A$5001,BD!$B$3:$B$5001,P$219,BD!$A$3:$A$5001,"&gt;="&amp;$C$8,BD!$A$3:$A$5001,"&lt;="&amp;$D$8,BD!$N$3:$N$5001,"&lt;&gt;"))))</f>
        <v/>
      </c>
      <c r="Q251" s="45" t="str">
        <f>IF(Q$219="","",IF(COUNTIFS(BD!$B$3:$B$5001,Q$219,BD!$A$3:$A$5001,"&gt;="&amp;$C$8,BD!$A$3:$A$5001,"&lt;="&amp;$D$8,BD!$N$3:$N$5001,"&lt;&gt;")=0,"",SUMIFS(BD!$N$3:$N$5001,BD!$B$3:$B$5001,Q$219,BD!$A$3:$A$5001,_xlfn.MAXIFS(BD!$A$3:$A$5001,BD!$B$3:$B$5001,Q$219,BD!$A$3:$A$5001,"&gt;="&amp;$C$8,BD!$A$3:$A$5001,"&lt;="&amp;$D$8,BD!$N$3:$N$5001,"&lt;&gt;"))))</f>
        <v/>
      </c>
      <c r="R251" s="45" t="str">
        <f>IF(R$219="","",IF(COUNTIFS(BD!$B$3:$B$5001,R$219,BD!$A$3:$A$5001,"&gt;="&amp;$C$8,BD!$A$3:$A$5001,"&lt;="&amp;$D$8,BD!$N$3:$N$5001,"&lt;&gt;")=0,"",SUMIFS(BD!$N$3:$N$5001,BD!$B$3:$B$5001,R$219,BD!$A$3:$A$5001,_xlfn.MAXIFS(BD!$A$3:$A$5001,BD!$B$3:$B$5001,R$219,BD!$A$3:$A$5001,"&gt;="&amp;$C$8,BD!$A$3:$A$5001,"&lt;="&amp;$D$8,BD!$N$3:$N$5001,"&lt;&gt;"))))</f>
        <v/>
      </c>
      <c r="S251" s="45" t="str">
        <f>IF(S$219="","",IF(COUNTIFS(BD!$B$3:$B$5001,S$219,BD!$A$3:$A$5001,"&gt;="&amp;$C$8,BD!$A$3:$A$5001,"&lt;="&amp;$D$8,BD!$N$3:$N$5001,"&lt;&gt;")=0,"",SUMIFS(BD!$N$3:$N$5001,BD!$B$3:$B$5001,S$219,BD!$A$3:$A$5001,_xlfn.MAXIFS(BD!$A$3:$A$5001,BD!$B$3:$B$5001,S$219,BD!$A$3:$A$5001,"&gt;="&amp;$C$8,BD!$A$3:$A$5001,"&lt;="&amp;$D$8,BD!$N$3:$N$5001,"&lt;&gt;"))))</f>
        <v/>
      </c>
      <c r="T251" s="45" t="str">
        <f>IF(T$219="","",IF(COUNTIFS(BD!$B$3:$B$5001,T$219,BD!$A$3:$A$5001,"&gt;="&amp;$C$8,BD!$A$3:$A$5001,"&lt;="&amp;$D$8,BD!$N$3:$N$5001,"&lt;&gt;")=0,"",SUMIFS(BD!$N$3:$N$5001,BD!$B$3:$B$5001,T$219,BD!$A$3:$A$5001,_xlfn.MAXIFS(BD!$A$3:$A$5001,BD!$B$3:$B$5001,T$219,BD!$A$3:$A$5001,"&gt;="&amp;$C$8,BD!$A$3:$A$5001,"&lt;="&amp;$D$8,BD!$N$3:$N$5001,"&lt;&gt;"))))</f>
        <v/>
      </c>
      <c r="U251" s="45" t="str">
        <f>IF(U$219="","",IF(COUNTIFS(BD!$B$3:$B$5001,U$219,BD!$A$3:$A$5001,"&gt;="&amp;$C$8,BD!$A$3:$A$5001,"&lt;="&amp;$D$8,BD!$N$3:$N$5001,"&lt;&gt;")=0,"",SUMIFS(BD!$N$3:$N$5001,BD!$B$3:$B$5001,U$219,BD!$A$3:$A$5001,_xlfn.MAXIFS(BD!$A$3:$A$5001,BD!$B$3:$B$5001,U$219,BD!$A$3:$A$5001,"&gt;="&amp;$C$8,BD!$A$3:$A$5001,"&lt;="&amp;$D$8,BD!$N$3:$N$5001,"&lt;&gt;"))))</f>
        <v/>
      </c>
      <c r="V251" s="45" t="str">
        <f>IF(V$219="","",IF(COUNTIFS(BD!$B$3:$B$5001,V$219,BD!$A$3:$A$5001,"&gt;="&amp;$C$8,BD!$A$3:$A$5001,"&lt;="&amp;$D$8,BD!$N$3:$N$5001,"&lt;&gt;")=0,"",SUMIFS(BD!$N$3:$N$5001,BD!$B$3:$B$5001,V$219,BD!$A$3:$A$5001,_xlfn.MAXIFS(BD!$A$3:$A$5001,BD!$B$3:$B$5001,V$219,BD!$A$3:$A$5001,"&gt;="&amp;$C$8,BD!$A$3:$A$5001,"&lt;="&amp;$D$8,BD!$N$3:$N$5001,"&lt;&gt;"))))</f>
        <v/>
      </c>
    </row>
    <row r="252">
      <c r="A252" s="44" t="inlineStr">
        <is>
          <t xml:space="preserve">Depósito</t>
        </is>
      </c>
      <c r="C252" s="38" t="str">
        <f>IF(Config!$C$10="","JSL",Config!$C$10)</f>
        <v>JSL</v>
      </c>
      <c r="D252" s="38" t="str">
        <f>IF(Config!$C$11="","JSL",Config!$C$11)</f>
        <v>JSL</v>
      </c>
      <c r="E252" s="38" t="str">
        <f>IF(Config!$C$12="","JSL",Config!$C$12)</f>
        <v>JSL</v>
      </c>
      <c r="F252" s="38" t="str">
        <f>IF(Config!$C$13="","JSL",Config!$C$13)</f>
        <v>JSL</v>
      </c>
      <c r="G252" s="38" t="str">
        <f>IF(Config!$C$14="","JSL",Config!$C$14)</f>
        <v>JSL</v>
      </c>
      <c r="H252" s="38" t="str">
        <f>IF(Config!$C$15="","JSL",Config!$C$15)</f>
        <v>JSL</v>
      </c>
      <c r="I252" s="38" t="str">
        <f>IF(Config!$C$16="","JSL",Config!$C$16)</f>
        <v>JSL</v>
      </c>
      <c r="J252" s="38" t="str">
        <f>IF(Config!$C$17="","JSL",Config!$C$17)</f>
        <v>JSL</v>
      </c>
      <c r="K252" s="38" t="str">
        <f>IF(Config!$C$18="","JSL",Config!$C$18)</f>
        <v>JSL</v>
      </c>
      <c r="L252" s="38" t="str">
        <f>IF(Config!$C$19="","JSL",Config!$C$19)</f>
        <v>JSL</v>
      </c>
      <c r="M252" s="38" t="str">
        <f>IF(Config!$C$20="","JSL",Config!$C$20)</f>
        <v>JSL</v>
      </c>
      <c r="N252" s="38" t="str">
        <f>IF(Config!$C$21="","JSL",Config!$C$21)</f>
        <v>JSL</v>
      </c>
      <c r="O252" s="38" t="str">
        <f>IF(Config!$C$22="","JSL",Config!$C$22)</f>
        <v>JSL</v>
      </c>
      <c r="P252" s="38" t="str">
        <f>IF(Config!$C$23="","JSL",Config!$C$23)</f>
        <v>JSL</v>
      </c>
      <c r="Q252" s="38" t="str">
        <f>IF(Config!$C$24="","JSL",Config!$C$24)</f>
        <v>JSL</v>
      </c>
      <c r="R252" s="38" t="str">
        <f>IF(Config!$C$25="","JSL",Config!$C$25)</f>
        <v>JSL</v>
      </c>
      <c r="S252" s="38" t="str">
        <f>IF(Config!$C$26="","JSL",Config!$C$26)</f>
        <v>JSL</v>
      </c>
      <c r="T252" s="38" t="str">
        <f>IF(Config!$C$27="","JSL",Config!$C$27)</f>
        <v>JSL</v>
      </c>
      <c r="U252" s="38" t="str">
        <f>IF(Config!$C$28="","JSL",Config!$C$28)</f>
        <v>JSL</v>
      </c>
      <c r="V252" s="38" t="str">
        <f>IF(Config!$C$29="","JSL",Config!$C$29)</f>
        <v>JSL</v>
      </c>
    </row>
    <row r="256">
      <c r="A256" s="19" t="inlineStr">
        <is>
          <t xml:space="preserve">PERÍODO DO DASHBOARD — último valor de cada cliente no período (backlog, posições, efetivo)</t>
        </is>
      </c>
    </row>
    <row r="257" ht="30" customHeight="1">
      <c r="A257" s="37" t="inlineStr">
        <is>
          <t xml:space="preserve">Cliente</t>
        </is>
      </c>
      <c r="B257" s="37" t="inlineStr">
        <is>
          <t xml:space="preserve">Depósito</t>
        </is>
      </c>
      <c r="C257" s="37" t="inlineStr">
        <is>
          <t xml:space="preserve">Backlog · período</t>
        </is>
      </c>
      <c r="D257" s="37" t="inlineStr">
        <is>
          <t xml:space="preserve">Backlog · anterior</t>
        </is>
      </c>
      <c r="E257" s="37" t="inlineStr">
        <is>
          <t xml:space="preserve">Posições Ocupadas · período</t>
        </is>
      </c>
      <c r="F257" s="37" t="inlineStr">
        <is>
          <t xml:space="preserve">Posições Ocupadas · anterior</t>
        </is>
      </c>
      <c r="G257" s="37" t="inlineStr">
        <is>
          <t xml:space="preserve">Posições Disponíveis · período</t>
        </is>
      </c>
      <c r="H257" s="37" t="inlineStr">
        <is>
          <t xml:space="preserve">Posições Disponíveis · anterior</t>
        </is>
      </c>
      <c r="I257" s="37" t="inlineStr">
        <is>
          <t xml:space="preserve">Efetivo Op. · período</t>
        </is>
      </c>
      <c r="J257" s="37" t="inlineStr">
        <is>
          <t xml:space="preserve">Efetivo Op. · anterior</t>
        </is>
      </c>
    </row>
    <row r="258">
      <c r="A258" s="65" t="str">
        <f>Config!$B$10&amp;""</f>
        <v>Barry Callebaut</v>
      </c>
      <c r="B258" s="38" t="str">
        <f>IF(Config!$C$10="","JSL",Config!$C$10)</f>
        <v>JSL</v>
      </c>
      <c r="C258" s="43" t="str">
        <f>IF($A258="","",IF(COUNTIFS(BD!$B$3:$B$5001,$A258,BD!$A$3:$A$5001,"&gt;="&amp;$F$7,BD!$A$3:$A$5001,"&lt;="&amp;$G$7,BD!$K$3:$K$5001,"&lt;&gt;")=0,"",SUMIFS(BD!$K$3:$K$5001,BD!$B$3:$B$5001,$A258,BD!$A$3:$A$5001,_xlfn.MAXIFS(BD!$A$3:$A$5001,BD!$B$3:$B$5001,$A258,BD!$A$3:$A$5001,"&gt;="&amp;$F$7,BD!$A$3:$A$5001,"&lt;="&amp;$G$7,BD!$K$3:$K$5001,"&lt;&gt;"))))</f>
        <v/>
      </c>
      <c r="D258" s="43" t="str">
        <f>IF($A258="","",IF(COUNTIFS(BD!$B$3:$B$5001,$A258,BD!$A$3:$A$5001,"&gt;="&amp;$F$8,BD!$A$3:$A$5001,"&lt;="&amp;$G$8,BD!$K$3:$K$5001,"&lt;&gt;")=0,"",SUMIFS(BD!$K$3:$K$5001,BD!$B$3:$B$5001,$A258,BD!$A$3:$A$5001,_xlfn.MAXIFS(BD!$A$3:$A$5001,BD!$B$3:$B$5001,$A258,BD!$A$3:$A$5001,"&gt;="&amp;$F$8,BD!$A$3:$A$5001,"&lt;="&amp;$G$8,BD!$K$3:$K$5001,"&lt;&gt;"))))</f>
        <v/>
      </c>
      <c r="E258" s="43" t="str">
        <f>IF($A258="","",IF(COUNTIFS(BD!$B$3:$B$5001,$A258,BD!$A$3:$A$5001,"&gt;="&amp;$F$7,BD!$A$3:$A$5001,"&lt;="&amp;$G$7,BD!$M$3:$M$5001,"&lt;&gt;")=0,"",SUMIFS(BD!$M$3:$M$5001,BD!$B$3:$B$5001,$A258,BD!$A$3:$A$5001,_xlfn.MAXIFS(BD!$A$3:$A$5001,BD!$B$3:$B$5001,$A258,BD!$A$3:$A$5001,"&gt;="&amp;$F$7,BD!$A$3:$A$5001,"&lt;="&amp;$G$7,BD!$M$3:$M$5001,"&lt;&gt;"))))</f>
        <v/>
      </c>
      <c r="F258" s="43" t="str">
        <f>IF($A258="","",IF(COUNTIFS(BD!$B$3:$B$5001,$A258,BD!$A$3:$A$5001,"&gt;="&amp;$F$8,BD!$A$3:$A$5001,"&lt;="&amp;$G$8,BD!$M$3:$M$5001,"&lt;&gt;")=0,"",SUMIFS(BD!$M$3:$M$5001,BD!$B$3:$B$5001,$A258,BD!$A$3:$A$5001,_xlfn.MAXIFS(BD!$A$3:$A$5001,BD!$B$3:$B$5001,$A258,BD!$A$3:$A$5001,"&gt;="&amp;$F$8,BD!$A$3:$A$5001,"&lt;="&amp;$G$8,BD!$M$3:$M$5001,"&lt;&gt;"))))</f>
        <v/>
      </c>
      <c r="G258" s="43" t="str">
        <f>IF($A258="","",IF(COUNTIFS(BD!$B$3:$B$5001,$A258,BD!$A$3:$A$5001,"&gt;="&amp;$F$7,BD!$A$3:$A$5001,"&lt;="&amp;$G$7,BD!$L$3:$L$5001,"&lt;&gt;")=0,"",SUMIFS(BD!$L$3:$L$5001,BD!$B$3:$B$5001,$A258,BD!$A$3:$A$5001,_xlfn.MAXIFS(BD!$A$3:$A$5001,BD!$B$3:$B$5001,$A258,BD!$A$3:$A$5001,"&gt;="&amp;$F$7,BD!$A$3:$A$5001,"&lt;="&amp;$G$7,BD!$L$3:$L$5001,"&lt;&gt;"))))</f>
        <v/>
      </c>
      <c r="H258" s="43" t="str">
        <f>IF($A258="","",IF(COUNTIFS(BD!$B$3:$B$5001,$A258,BD!$A$3:$A$5001,"&gt;="&amp;$F$8,BD!$A$3:$A$5001,"&lt;="&amp;$G$8,BD!$L$3:$L$5001,"&lt;&gt;")=0,"",SUMIFS(BD!$L$3:$L$5001,BD!$B$3:$B$5001,$A258,BD!$A$3:$A$5001,_xlfn.MAXIFS(BD!$A$3:$A$5001,BD!$B$3:$B$5001,$A258,BD!$A$3:$A$5001,"&gt;="&amp;$F$8,BD!$A$3:$A$5001,"&lt;="&amp;$G$8,BD!$L$3:$L$5001,"&lt;&gt;"))))</f>
        <v/>
      </c>
      <c r="I258" s="43" t="str">
        <f>IF($A258="","",IF(COUNTIFS(BD!$B$3:$B$5001,$A258,BD!$A$3:$A$5001,"&gt;="&amp;$F$7,BD!$A$3:$A$5001,"&lt;="&amp;$G$7,BD!$N$3:$N$5001,"&lt;&gt;")=0,"",SUMIFS(BD!$N$3:$N$5001,BD!$B$3:$B$5001,$A258,BD!$A$3:$A$5001,_xlfn.MAXIFS(BD!$A$3:$A$5001,BD!$B$3:$B$5001,$A258,BD!$A$3:$A$5001,"&gt;="&amp;$F$7,BD!$A$3:$A$5001,"&lt;="&amp;$G$7,BD!$N$3:$N$5001,"&lt;&gt;"))))</f>
        <v/>
      </c>
      <c r="J258" s="43" t="str">
        <f>IF($A258="","",IF(COUNTIFS(BD!$B$3:$B$5001,$A258,BD!$A$3:$A$5001,"&gt;="&amp;$F$8,BD!$A$3:$A$5001,"&lt;="&amp;$G$8,BD!$N$3:$N$5001,"&lt;&gt;")=0,"",SUMIFS(BD!$N$3:$N$5001,BD!$B$3:$B$5001,$A258,BD!$A$3:$A$5001,_xlfn.MAXIFS(BD!$A$3:$A$5001,BD!$B$3:$B$5001,$A258,BD!$A$3:$A$5001,"&gt;="&amp;$F$8,BD!$A$3:$A$5001,"&lt;="&amp;$G$8,BD!$N$3:$N$5001,"&lt;&gt;"))))</f>
        <v/>
      </c>
    </row>
    <row r="259">
      <c r="A259" s="65" t="str">
        <f>Config!$B$11&amp;""</f>
        <v>GM</v>
      </c>
      <c r="B259" s="38" t="str">
        <f>IF(Config!$C$11="","JSL",Config!$C$11)</f>
        <v>JSL</v>
      </c>
      <c r="C259" s="43" t="str">
        <f>IF($A259="","",IF(COUNTIFS(BD!$B$3:$B$5001,$A259,BD!$A$3:$A$5001,"&gt;="&amp;$F$7,BD!$A$3:$A$5001,"&lt;="&amp;$G$7,BD!$K$3:$K$5001,"&lt;&gt;")=0,"",SUMIFS(BD!$K$3:$K$5001,BD!$B$3:$B$5001,$A259,BD!$A$3:$A$5001,_xlfn.MAXIFS(BD!$A$3:$A$5001,BD!$B$3:$B$5001,$A259,BD!$A$3:$A$5001,"&gt;="&amp;$F$7,BD!$A$3:$A$5001,"&lt;="&amp;$G$7,BD!$K$3:$K$5001,"&lt;&gt;"))))</f>
        <v/>
      </c>
      <c r="D259" s="43" t="str">
        <f>IF($A259="","",IF(COUNTIFS(BD!$B$3:$B$5001,$A259,BD!$A$3:$A$5001,"&gt;="&amp;$F$8,BD!$A$3:$A$5001,"&lt;="&amp;$G$8,BD!$K$3:$K$5001,"&lt;&gt;")=0,"",SUMIFS(BD!$K$3:$K$5001,BD!$B$3:$B$5001,$A259,BD!$A$3:$A$5001,_xlfn.MAXIFS(BD!$A$3:$A$5001,BD!$B$3:$B$5001,$A259,BD!$A$3:$A$5001,"&gt;="&amp;$F$8,BD!$A$3:$A$5001,"&lt;="&amp;$G$8,BD!$K$3:$K$5001,"&lt;&gt;"))))</f>
        <v/>
      </c>
      <c r="E259" s="43" t="str">
        <f>IF($A259="","",IF(COUNTIFS(BD!$B$3:$B$5001,$A259,BD!$A$3:$A$5001,"&gt;="&amp;$F$7,BD!$A$3:$A$5001,"&lt;="&amp;$G$7,BD!$M$3:$M$5001,"&lt;&gt;")=0,"",SUMIFS(BD!$M$3:$M$5001,BD!$B$3:$B$5001,$A259,BD!$A$3:$A$5001,_xlfn.MAXIFS(BD!$A$3:$A$5001,BD!$B$3:$B$5001,$A259,BD!$A$3:$A$5001,"&gt;="&amp;$F$7,BD!$A$3:$A$5001,"&lt;="&amp;$G$7,BD!$M$3:$M$5001,"&lt;&gt;"))))</f>
        <v/>
      </c>
      <c r="F259" s="43" t="str">
        <f>IF($A259="","",IF(COUNTIFS(BD!$B$3:$B$5001,$A259,BD!$A$3:$A$5001,"&gt;="&amp;$F$8,BD!$A$3:$A$5001,"&lt;="&amp;$G$8,BD!$M$3:$M$5001,"&lt;&gt;")=0,"",SUMIFS(BD!$M$3:$M$5001,BD!$B$3:$B$5001,$A259,BD!$A$3:$A$5001,_xlfn.MAXIFS(BD!$A$3:$A$5001,BD!$B$3:$B$5001,$A259,BD!$A$3:$A$5001,"&gt;="&amp;$F$8,BD!$A$3:$A$5001,"&lt;="&amp;$G$8,BD!$M$3:$M$5001,"&lt;&gt;"))))</f>
        <v/>
      </c>
      <c r="G259" s="43" t="str">
        <f>IF($A259="","",IF(COUNTIFS(BD!$B$3:$B$5001,$A259,BD!$A$3:$A$5001,"&gt;="&amp;$F$7,BD!$A$3:$A$5001,"&lt;="&amp;$G$7,BD!$L$3:$L$5001,"&lt;&gt;")=0,"",SUMIFS(BD!$L$3:$L$5001,BD!$B$3:$B$5001,$A259,BD!$A$3:$A$5001,_xlfn.MAXIFS(BD!$A$3:$A$5001,BD!$B$3:$B$5001,$A259,BD!$A$3:$A$5001,"&gt;="&amp;$F$7,BD!$A$3:$A$5001,"&lt;="&amp;$G$7,BD!$L$3:$L$5001,"&lt;&gt;"))))</f>
        <v/>
      </c>
      <c r="H259" s="43" t="str">
        <f>IF($A259="","",IF(COUNTIFS(BD!$B$3:$B$5001,$A259,BD!$A$3:$A$5001,"&gt;="&amp;$F$8,BD!$A$3:$A$5001,"&lt;="&amp;$G$8,BD!$L$3:$L$5001,"&lt;&gt;")=0,"",SUMIFS(BD!$L$3:$L$5001,BD!$B$3:$B$5001,$A259,BD!$A$3:$A$5001,_xlfn.MAXIFS(BD!$A$3:$A$5001,BD!$B$3:$B$5001,$A259,BD!$A$3:$A$5001,"&gt;="&amp;$F$8,BD!$A$3:$A$5001,"&lt;="&amp;$G$8,BD!$L$3:$L$5001,"&lt;&gt;"))))</f>
        <v/>
      </c>
      <c r="I259" s="43" t="str">
        <f>IF($A259="","",IF(COUNTIFS(BD!$B$3:$B$5001,$A259,BD!$A$3:$A$5001,"&gt;="&amp;$F$7,BD!$A$3:$A$5001,"&lt;="&amp;$G$7,BD!$N$3:$N$5001,"&lt;&gt;")=0,"",SUMIFS(BD!$N$3:$N$5001,BD!$B$3:$B$5001,$A259,BD!$A$3:$A$5001,_xlfn.MAXIFS(BD!$A$3:$A$5001,BD!$B$3:$B$5001,$A259,BD!$A$3:$A$5001,"&gt;="&amp;$F$7,BD!$A$3:$A$5001,"&lt;="&amp;$G$7,BD!$N$3:$N$5001,"&lt;&gt;"))))</f>
        <v/>
      </c>
      <c r="J259" s="43" t="str">
        <f>IF($A259="","",IF(COUNTIFS(BD!$B$3:$B$5001,$A259,BD!$A$3:$A$5001,"&gt;="&amp;$F$8,BD!$A$3:$A$5001,"&lt;="&amp;$G$8,BD!$N$3:$N$5001,"&lt;&gt;")=0,"",SUMIFS(BD!$N$3:$N$5001,BD!$B$3:$B$5001,$A259,BD!$A$3:$A$5001,_xlfn.MAXIFS(BD!$A$3:$A$5001,BD!$B$3:$B$5001,$A259,BD!$A$3:$A$5001,"&gt;="&amp;$F$8,BD!$A$3:$A$5001,"&lt;="&amp;$G$8,BD!$N$3:$N$5001,"&lt;&gt;"))))</f>
        <v/>
      </c>
    </row>
    <row r="260">
      <c r="A260" s="65" t="str">
        <f>Config!$B$12&amp;""</f>
        <v>Mondelez</v>
      </c>
      <c r="B260" s="38" t="str">
        <f>IF(Config!$C$12="","JSL",Config!$C$12)</f>
        <v>JSL</v>
      </c>
      <c r="C260" s="43" t="str">
        <f>IF($A260="","",IF(COUNTIFS(BD!$B$3:$B$5001,$A260,BD!$A$3:$A$5001,"&gt;="&amp;$F$7,BD!$A$3:$A$5001,"&lt;="&amp;$G$7,BD!$K$3:$K$5001,"&lt;&gt;")=0,"",SUMIFS(BD!$K$3:$K$5001,BD!$B$3:$B$5001,$A260,BD!$A$3:$A$5001,_xlfn.MAXIFS(BD!$A$3:$A$5001,BD!$B$3:$B$5001,$A260,BD!$A$3:$A$5001,"&gt;="&amp;$F$7,BD!$A$3:$A$5001,"&lt;="&amp;$G$7,BD!$K$3:$K$5001,"&lt;&gt;"))))</f>
        <v/>
      </c>
      <c r="D260" s="43" t="str">
        <f>IF($A260="","",IF(COUNTIFS(BD!$B$3:$B$5001,$A260,BD!$A$3:$A$5001,"&gt;="&amp;$F$8,BD!$A$3:$A$5001,"&lt;="&amp;$G$8,BD!$K$3:$K$5001,"&lt;&gt;")=0,"",SUMIFS(BD!$K$3:$K$5001,BD!$B$3:$B$5001,$A260,BD!$A$3:$A$5001,_xlfn.MAXIFS(BD!$A$3:$A$5001,BD!$B$3:$B$5001,$A260,BD!$A$3:$A$5001,"&gt;="&amp;$F$8,BD!$A$3:$A$5001,"&lt;="&amp;$G$8,BD!$K$3:$K$5001,"&lt;&gt;"))))</f>
        <v/>
      </c>
      <c r="E260" s="43" t="str">
        <f>IF($A260="","",IF(COUNTIFS(BD!$B$3:$B$5001,$A260,BD!$A$3:$A$5001,"&gt;="&amp;$F$7,BD!$A$3:$A$5001,"&lt;="&amp;$G$7,BD!$M$3:$M$5001,"&lt;&gt;")=0,"",SUMIFS(BD!$M$3:$M$5001,BD!$B$3:$B$5001,$A260,BD!$A$3:$A$5001,_xlfn.MAXIFS(BD!$A$3:$A$5001,BD!$B$3:$B$5001,$A260,BD!$A$3:$A$5001,"&gt;="&amp;$F$7,BD!$A$3:$A$5001,"&lt;="&amp;$G$7,BD!$M$3:$M$5001,"&lt;&gt;"))))</f>
        <v/>
      </c>
      <c r="F260" s="43" t="str">
        <f>IF($A260="","",IF(COUNTIFS(BD!$B$3:$B$5001,$A260,BD!$A$3:$A$5001,"&gt;="&amp;$F$8,BD!$A$3:$A$5001,"&lt;="&amp;$G$8,BD!$M$3:$M$5001,"&lt;&gt;")=0,"",SUMIFS(BD!$M$3:$M$5001,BD!$B$3:$B$5001,$A260,BD!$A$3:$A$5001,_xlfn.MAXIFS(BD!$A$3:$A$5001,BD!$B$3:$B$5001,$A260,BD!$A$3:$A$5001,"&gt;="&amp;$F$8,BD!$A$3:$A$5001,"&lt;="&amp;$G$8,BD!$M$3:$M$5001,"&lt;&gt;"))))</f>
        <v/>
      </c>
      <c r="G260" s="43" t="str">
        <f>IF($A260="","",IF(COUNTIFS(BD!$B$3:$B$5001,$A260,BD!$A$3:$A$5001,"&gt;="&amp;$F$7,BD!$A$3:$A$5001,"&lt;="&amp;$G$7,BD!$L$3:$L$5001,"&lt;&gt;")=0,"",SUMIFS(BD!$L$3:$L$5001,BD!$B$3:$B$5001,$A260,BD!$A$3:$A$5001,_xlfn.MAXIFS(BD!$A$3:$A$5001,BD!$B$3:$B$5001,$A260,BD!$A$3:$A$5001,"&gt;="&amp;$F$7,BD!$A$3:$A$5001,"&lt;="&amp;$G$7,BD!$L$3:$L$5001,"&lt;&gt;"))))</f>
        <v/>
      </c>
      <c r="H260" s="43" t="str">
        <f>IF($A260="","",IF(COUNTIFS(BD!$B$3:$B$5001,$A260,BD!$A$3:$A$5001,"&gt;="&amp;$F$8,BD!$A$3:$A$5001,"&lt;="&amp;$G$8,BD!$L$3:$L$5001,"&lt;&gt;")=0,"",SUMIFS(BD!$L$3:$L$5001,BD!$B$3:$B$5001,$A260,BD!$A$3:$A$5001,_xlfn.MAXIFS(BD!$A$3:$A$5001,BD!$B$3:$B$5001,$A260,BD!$A$3:$A$5001,"&gt;="&amp;$F$8,BD!$A$3:$A$5001,"&lt;="&amp;$G$8,BD!$L$3:$L$5001,"&lt;&gt;"))))</f>
        <v/>
      </c>
      <c r="I260" s="43" t="str">
        <f>IF($A260="","",IF(COUNTIFS(BD!$B$3:$B$5001,$A260,BD!$A$3:$A$5001,"&gt;="&amp;$F$7,BD!$A$3:$A$5001,"&lt;="&amp;$G$7,BD!$N$3:$N$5001,"&lt;&gt;")=0,"",SUMIFS(BD!$N$3:$N$5001,BD!$B$3:$B$5001,$A260,BD!$A$3:$A$5001,_xlfn.MAXIFS(BD!$A$3:$A$5001,BD!$B$3:$B$5001,$A260,BD!$A$3:$A$5001,"&gt;="&amp;$F$7,BD!$A$3:$A$5001,"&lt;="&amp;$G$7,BD!$N$3:$N$5001,"&lt;&gt;"))))</f>
        <v/>
      </c>
      <c r="J260" s="43" t="str">
        <f>IF($A260="","",IF(COUNTIFS(BD!$B$3:$B$5001,$A260,BD!$A$3:$A$5001,"&gt;="&amp;$F$8,BD!$A$3:$A$5001,"&lt;="&amp;$G$8,BD!$N$3:$N$5001,"&lt;&gt;")=0,"",SUMIFS(BD!$N$3:$N$5001,BD!$B$3:$B$5001,$A260,BD!$A$3:$A$5001,_xlfn.MAXIFS(BD!$A$3:$A$5001,BD!$B$3:$B$5001,$A260,BD!$A$3:$A$5001,"&gt;="&amp;$F$8,BD!$A$3:$A$5001,"&lt;="&amp;$G$8,BD!$N$3:$N$5001,"&lt;&gt;"))))</f>
        <v/>
      </c>
    </row>
    <row r="261">
      <c r="A261" s="65" t="str">
        <f>Config!$B$13&amp;""</f>
        <v>Nestlé</v>
      </c>
      <c r="B261" s="38" t="str">
        <f>IF(Config!$C$13="","JSL",Config!$C$13)</f>
        <v>JSL</v>
      </c>
      <c r="C261" s="43" t="str">
        <f>IF($A261="","",IF(COUNTIFS(BD!$B$3:$B$5001,$A261,BD!$A$3:$A$5001,"&gt;="&amp;$F$7,BD!$A$3:$A$5001,"&lt;="&amp;$G$7,BD!$K$3:$K$5001,"&lt;&gt;")=0,"",SUMIFS(BD!$K$3:$K$5001,BD!$B$3:$B$5001,$A261,BD!$A$3:$A$5001,_xlfn.MAXIFS(BD!$A$3:$A$5001,BD!$B$3:$B$5001,$A261,BD!$A$3:$A$5001,"&gt;="&amp;$F$7,BD!$A$3:$A$5001,"&lt;="&amp;$G$7,BD!$K$3:$K$5001,"&lt;&gt;"))))</f>
        <v/>
      </c>
      <c r="D261" s="43" t="str">
        <f>IF($A261="","",IF(COUNTIFS(BD!$B$3:$B$5001,$A261,BD!$A$3:$A$5001,"&gt;="&amp;$F$8,BD!$A$3:$A$5001,"&lt;="&amp;$G$8,BD!$K$3:$K$5001,"&lt;&gt;")=0,"",SUMIFS(BD!$K$3:$K$5001,BD!$B$3:$B$5001,$A261,BD!$A$3:$A$5001,_xlfn.MAXIFS(BD!$A$3:$A$5001,BD!$B$3:$B$5001,$A261,BD!$A$3:$A$5001,"&gt;="&amp;$F$8,BD!$A$3:$A$5001,"&lt;="&amp;$G$8,BD!$K$3:$K$5001,"&lt;&gt;"))))</f>
        <v/>
      </c>
      <c r="E261" s="43" t="str">
        <f>IF($A261="","",IF(COUNTIFS(BD!$B$3:$B$5001,$A261,BD!$A$3:$A$5001,"&gt;="&amp;$F$7,BD!$A$3:$A$5001,"&lt;="&amp;$G$7,BD!$M$3:$M$5001,"&lt;&gt;")=0,"",SUMIFS(BD!$M$3:$M$5001,BD!$B$3:$B$5001,$A261,BD!$A$3:$A$5001,_xlfn.MAXIFS(BD!$A$3:$A$5001,BD!$B$3:$B$5001,$A261,BD!$A$3:$A$5001,"&gt;="&amp;$F$7,BD!$A$3:$A$5001,"&lt;="&amp;$G$7,BD!$M$3:$M$5001,"&lt;&gt;"))))</f>
        <v/>
      </c>
      <c r="F261" s="43" t="str">
        <f>IF($A261="","",IF(COUNTIFS(BD!$B$3:$B$5001,$A261,BD!$A$3:$A$5001,"&gt;="&amp;$F$8,BD!$A$3:$A$5001,"&lt;="&amp;$G$8,BD!$M$3:$M$5001,"&lt;&gt;")=0,"",SUMIFS(BD!$M$3:$M$5001,BD!$B$3:$B$5001,$A261,BD!$A$3:$A$5001,_xlfn.MAXIFS(BD!$A$3:$A$5001,BD!$B$3:$B$5001,$A261,BD!$A$3:$A$5001,"&gt;="&amp;$F$8,BD!$A$3:$A$5001,"&lt;="&amp;$G$8,BD!$M$3:$M$5001,"&lt;&gt;"))))</f>
        <v/>
      </c>
      <c r="G261" s="43" t="str">
        <f>IF($A261="","",IF(COUNTIFS(BD!$B$3:$B$5001,$A261,BD!$A$3:$A$5001,"&gt;="&amp;$F$7,BD!$A$3:$A$5001,"&lt;="&amp;$G$7,BD!$L$3:$L$5001,"&lt;&gt;")=0,"",SUMIFS(BD!$L$3:$L$5001,BD!$B$3:$B$5001,$A261,BD!$A$3:$A$5001,_xlfn.MAXIFS(BD!$A$3:$A$5001,BD!$B$3:$B$5001,$A261,BD!$A$3:$A$5001,"&gt;="&amp;$F$7,BD!$A$3:$A$5001,"&lt;="&amp;$G$7,BD!$L$3:$L$5001,"&lt;&gt;"))))</f>
        <v/>
      </c>
      <c r="H261" s="43" t="str">
        <f>IF($A261="","",IF(COUNTIFS(BD!$B$3:$B$5001,$A261,BD!$A$3:$A$5001,"&gt;="&amp;$F$8,BD!$A$3:$A$5001,"&lt;="&amp;$G$8,BD!$L$3:$L$5001,"&lt;&gt;")=0,"",SUMIFS(BD!$L$3:$L$5001,BD!$B$3:$B$5001,$A261,BD!$A$3:$A$5001,_xlfn.MAXIFS(BD!$A$3:$A$5001,BD!$B$3:$B$5001,$A261,BD!$A$3:$A$5001,"&gt;="&amp;$F$8,BD!$A$3:$A$5001,"&lt;="&amp;$G$8,BD!$L$3:$L$5001,"&lt;&gt;"))))</f>
        <v/>
      </c>
      <c r="I261" s="43" t="str">
        <f>IF($A261="","",IF(COUNTIFS(BD!$B$3:$B$5001,$A261,BD!$A$3:$A$5001,"&gt;="&amp;$F$7,BD!$A$3:$A$5001,"&lt;="&amp;$G$7,BD!$N$3:$N$5001,"&lt;&gt;")=0,"",SUMIFS(BD!$N$3:$N$5001,BD!$B$3:$B$5001,$A261,BD!$A$3:$A$5001,_xlfn.MAXIFS(BD!$A$3:$A$5001,BD!$B$3:$B$5001,$A261,BD!$A$3:$A$5001,"&gt;="&amp;$F$7,BD!$A$3:$A$5001,"&lt;="&amp;$G$7,BD!$N$3:$N$5001,"&lt;&gt;"))))</f>
        <v/>
      </c>
      <c r="J261" s="43" t="str">
        <f>IF($A261="","",IF(COUNTIFS(BD!$B$3:$B$5001,$A261,BD!$A$3:$A$5001,"&gt;="&amp;$F$8,BD!$A$3:$A$5001,"&lt;="&amp;$G$8,BD!$N$3:$N$5001,"&lt;&gt;")=0,"",SUMIFS(BD!$N$3:$N$5001,BD!$B$3:$B$5001,$A261,BD!$A$3:$A$5001,_xlfn.MAXIFS(BD!$A$3:$A$5001,BD!$B$3:$B$5001,$A261,BD!$A$3:$A$5001,"&gt;="&amp;$F$8,BD!$A$3:$A$5001,"&lt;="&amp;$G$8,BD!$N$3:$N$5001,"&lt;&gt;"))))</f>
        <v/>
      </c>
    </row>
    <row r="262">
      <c r="A262" s="65" t="str">
        <f>Config!$B$14&amp;""</f>
        <v>PMB</v>
      </c>
      <c r="B262" s="38" t="str">
        <f>IF(Config!$C$14="","JSL",Config!$C$14)</f>
        <v>JSL</v>
      </c>
      <c r="C262" s="43" t="str">
        <f>IF($A262="","",IF(COUNTIFS(BD!$B$3:$B$5001,$A262,BD!$A$3:$A$5001,"&gt;="&amp;$F$7,BD!$A$3:$A$5001,"&lt;="&amp;$G$7,BD!$K$3:$K$5001,"&lt;&gt;")=0,"",SUMIFS(BD!$K$3:$K$5001,BD!$B$3:$B$5001,$A262,BD!$A$3:$A$5001,_xlfn.MAXIFS(BD!$A$3:$A$5001,BD!$B$3:$B$5001,$A262,BD!$A$3:$A$5001,"&gt;="&amp;$F$7,BD!$A$3:$A$5001,"&lt;="&amp;$G$7,BD!$K$3:$K$5001,"&lt;&gt;"))))</f>
        <v/>
      </c>
      <c r="D262" s="43" t="str">
        <f>IF($A262="","",IF(COUNTIFS(BD!$B$3:$B$5001,$A262,BD!$A$3:$A$5001,"&gt;="&amp;$F$8,BD!$A$3:$A$5001,"&lt;="&amp;$G$8,BD!$K$3:$K$5001,"&lt;&gt;")=0,"",SUMIFS(BD!$K$3:$K$5001,BD!$B$3:$B$5001,$A262,BD!$A$3:$A$5001,_xlfn.MAXIFS(BD!$A$3:$A$5001,BD!$B$3:$B$5001,$A262,BD!$A$3:$A$5001,"&gt;="&amp;$F$8,BD!$A$3:$A$5001,"&lt;="&amp;$G$8,BD!$K$3:$K$5001,"&lt;&gt;"))))</f>
        <v/>
      </c>
      <c r="E262" s="43" t="str">
        <f>IF($A262="","",IF(COUNTIFS(BD!$B$3:$B$5001,$A262,BD!$A$3:$A$5001,"&gt;="&amp;$F$7,BD!$A$3:$A$5001,"&lt;="&amp;$G$7,BD!$M$3:$M$5001,"&lt;&gt;")=0,"",SUMIFS(BD!$M$3:$M$5001,BD!$B$3:$B$5001,$A262,BD!$A$3:$A$5001,_xlfn.MAXIFS(BD!$A$3:$A$5001,BD!$B$3:$B$5001,$A262,BD!$A$3:$A$5001,"&gt;="&amp;$F$7,BD!$A$3:$A$5001,"&lt;="&amp;$G$7,BD!$M$3:$M$5001,"&lt;&gt;"))))</f>
        <v/>
      </c>
      <c r="F262" s="43" t="str">
        <f>IF($A262="","",IF(COUNTIFS(BD!$B$3:$B$5001,$A262,BD!$A$3:$A$5001,"&gt;="&amp;$F$8,BD!$A$3:$A$5001,"&lt;="&amp;$G$8,BD!$M$3:$M$5001,"&lt;&gt;")=0,"",SUMIFS(BD!$M$3:$M$5001,BD!$B$3:$B$5001,$A262,BD!$A$3:$A$5001,_xlfn.MAXIFS(BD!$A$3:$A$5001,BD!$B$3:$B$5001,$A262,BD!$A$3:$A$5001,"&gt;="&amp;$F$8,BD!$A$3:$A$5001,"&lt;="&amp;$G$8,BD!$M$3:$M$5001,"&lt;&gt;"))))</f>
        <v/>
      </c>
      <c r="G262" s="43" t="str">
        <f>IF($A262="","",IF(COUNTIFS(BD!$B$3:$B$5001,$A262,BD!$A$3:$A$5001,"&gt;="&amp;$F$7,BD!$A$3:$A$5001,"&lt;="&amp;$G$7,BD!$L$3:$L$5001,"&lt;&gt;")=0,"",SUMIFS(BD!$L$3:$L$5001,BD!$B$3:$B$5001,$A262,BD!$A$3:$A$5001,_xlfn.MAXIFS(BD!$A$3:$A$5001,BD!$B$3:$B$5001,$A262,BD!$A$3:$A$5001,"&gt;="&amp;$F$7,BD!$A$3:$A$5001,"&lt;="&amp;$G$7,BD!$L$3:$L$5001,"&lt;&gt;"))))</f>
        <v/>
      </c>
      <c r="H262" s="43" t="str">
        <f>IF($A262="","",IF(COUNTIFS(BD!$B$3:$B$5001,$A262,BD!$A$3:$A$5001,"&gt;="&amp;$F$8,BD!$A$3:$A$5001,"&lt;="&amp;$G$8,BD!$L$3:$L$5001,"&lt;&gt;")=0,"",SUMIFS(BD!$L$3:$L$5001,BD!$B$3:$B$5001,$A262,BD!$A$3:$A$5001,_xlfn.MAXIFS(BD!$A$3:$A$5001,BD!$B$3:$B$5001,$A262,BD!$A$3:$A$5001,"&gt;="&amp;$F$8,BD!$A$3:$A$5001,"&lt;="&amp;$G$8,BD!$L$3:$L$5001,"&lt;&gt;"))))</f>
        <v/>
      </c>
      <c r="I262" s="43" t="str">
        <f>IF($A262="","",IF(COUNTIFS(BD!$B$3:$B$5001,$A262,BD!$A$3:$A$5001,"&gt;="&amp;$F$7,BD!$A$3:$A$5001,"&lt;="&amp;$G$7,BD!$N$3:$N$5001,"&lt;&gt;")=0,"",SUMIFS(BD!$N$3:$N$5001,BD!$B$3:$B$5001,$A262,BD!$A$3:$A$5001,_xlfn.MAXIFS(BD!$A$3:$A$5001,BD!$B$3:$B$5001,$A262,BD!$A$3:$A$5001,"&gt;="&amp;$F$7,BD!$A$3:$A$5001,"&lt;="&amp;$G$7,BD!$N$3:$N$5001,"&lt;&gt;"))))</f>
        <v/>
      </c>
      <c r="J262" s="43" t="str">
        <f>IF($A262="","",IF(COUNTIFS(BD!$B$3:$B$5001,$A262,BD!$A$3:$A$5001,"&gt;="&amp;$F$8,BD!$A$3:$A$5001,"&lt;="&amp;$G$8,BD!$N$3:$N$5001,"&lt;&gt;")=0,"",SUMIFS(BD!$N$3:$N$5001,BD!$B$3:$B$5001,$A262,BD!$A$3:$A$5001,_xlfn.MAXIFS(BD!$A$3:$A$5001,BD!$B$3:$B$5001,$A262,BD!$A$3:$A$5001,"&gt;="&amp;$F$8,BD!$A$3:$A$5001,"&lt;="&amp;$G$8,BD!$N$3:$N$5001,"&lt;&gt;"))))</f>
        <v/>
      </c>
    </row>
    <row r="263">
      <c r="A263" s="65" t="str">
        <f>Config!$B$15&amp;""</f>
        <v/>
      </c>
      <c r="B263" s="38" t="str">
        <f>IF(Config!$C$15="","JSL",Config!$C$15)</f>
        <v>JSL</v>
      </c>
      <c r="C263" s="43" t="str">
        <f>IF($A263="","",IF(COUNTIFS(BD!$B$3:$B$5001,$A263,BD!$A$3:$A$5001,"&gt;="&amp;$F$7,BD!$A$3:$A$5001,"&lt;="&amp;$G$7,BD!$K$3:$K$5001,"&lt;&gt;")=0,"",SUMIFS(BD!$K$3:$K$5001,BD!$B$3:$B$5001,$A263,BD!$A$3:$A$5001,_xlfn.MAXIFS(BD!$A$3:$A$5001,BD!$B$3:$B$5001,$A263,BD!$A$3:$A$5001,"&gt;="&amp;$F$7,BD!$A$3:$A$5001,"&lt;="&amp;$G$7,BD!$K$3:$K$5001,"&lt;&gt;"))))</f>
        <v/>
      </c>
      <c r="D263" s="43" t="str">
        <f>IF($A263="","",IF(COUNTIFS(BD!$B$3:$B$5001,$A263,BD!$A$3:$A$5001,"&gt;="&amp;$F$8,BD!$A$3:$A$5001,"&lt;="&amp;$G$8,BD!$K$3:$K$5001,"&lt;&gt;")=0,"",SUMIFS(BD!$K$3:$K$5001,BD!$B$3:$B$5001,$A263,BD!$A$3:$A$5001,_xlfn.MAXIFS(BD!$A$3:$A$5001,BD!$B$3:$B$5001,$A263,BD!$A$3:$A$5001,"&gt;="&amp;$F$8,BD!$A$3:$A$5001,"&lt;="&amp;$G$8,BD!$K$3:$K$5001,"&lt;&gt;"))))</f>
        <v/>
      </c>
      <c r="E263" s="43" t="str">
        <f>IF($A263="","",IF(COUNTIFS(BD!$B$3:$B$5001,$A263,BD!$A$3:$A$5001,"&gt;="&amp;$F$7,BD!$A$3:$A$5001,"&lt;="&amp;$G$7,BD!$M$3:$M$5001,"&lt;&gt;")=0,"",SUMIFS(BD!$M$3:$M$5001,BD!$B$3:$B$5001,$A263,BD!$A$3:$A$5001,_xlfn.MAXIFS(BD!$A$3:$A$5001,BD!$B$3:$B$5001,$A263,BD!$A$3:$A$5001,"&gt;="&amp;$F$7,BD!$A$3:$A$5001,"&lt;="&amp;$G$7,BD!$M$3:$M$5001,"&lt;&gt;"))))</f>
        <v/>
      </c>
      <c r="F263" s="43" t="str">
        <f>IF($A263="","",IF(COUNTIFS(BD!$B$3:$B$5001,$A263,BD!$A$3:$A$5001,"&gt;="&amp;$F$8,BD!$A$3:$A$5001,"&lt;="&amp;$G$8,BD!$M$3:$M$5001,"&lt;&gt;")=0,"",SUMIFS(BD!$M$3:$M$5001,BD!$B$3:$B$5001,$A263,BD!$A$3:$A$5001,_xlfn.MAXIFS(BD!$A$3:$A$5001,BD!$B$3:$B$5001,$A263,BD!$A$3:$A$5001,"&gt;="&amp;$F$8,BD!$A$3:$A$5001,"&lt;="&amp;$G$8,BD!$M$3:$M$5001,"&lt;&gt;"))))</f>
        <v/>
      </c>
      <c r="G263" s="43" t="str">
        <f>IF($A263="","",IF(COUNTIFS(BD!$B$3:$B$5001,$A263,BD!$A$3:$A$5001,"&gt;="&amp;$F$7,BD!$A$3:$A$5001,"&lt;="&amp;$G$7,BD!$L$3:$L$5001,"&lt;&gt;")=0,"",SUMIFS(BD!$L$3:$L$5001,BD!$B$3:$B$5001,$A263,BD!$A$3:$A$5001,_xlfn.MAXIFS(BD!$A$3:$A$5001,BD!$B$3:$B$5001,$A263,BD!$A$3:$A$5001,"&gt;="&amp;$F$7,BD!$A$3:$A$5001,"&lt;="&amp;$G$7,BD!$L$3:$L$5001,"&lt;&gt;"))))</f>
        <v/>
      </c>
      <c r="H263" s="43" t="str">
        <f>IF($A263="","",IF(COUNTIFS(BD!$B$3:$B$5001,$A263,BD!$A$3:$A$5001,"&gt;="&amp;$F$8,BD!$A$3:$A$5001,"&lt;="&amp;$G$8,BD!$L$3:$L$5001,"&lt;&gt;")=0,"",SUMIFS(BD!$L$3:$L$5001,BD!$B$3:$B$5001,$A263,BD!$A$3:$A$5001,_xlfn.MAXIFS(BD!$A$3:$A$5001,BD!$B$3:$B$5001,$A263,BD!$A$3:$A$5001,"&gt;="&amp;$F$8,BD!$A$3:$A$5001,"&lt;="&amp;$G$8,BD!$L$3:$L$5001,"&lt;&gt;"))))</f>
        <v/>
      </c>
      <c r="I263" s="43" t="str">
        <f>IF($A263="","",IF(COUNTIFS(BD!$B$3:$B$5001,$A263,BD!$A$3:$A$5001,"&gt;="&amp;$F$7,BD!$A$3:$A$5001,"&lt;="&amp;$G$7,BD!$N$3:$N$5001,"&lt;&gt;")=0,"",SUMIFS(BD!$N$3:$N$5001,BD!$B$3:$B$5001,$A263,BD!$A$3:$A$5001,_xlfn.MAXIFS(BD!$A$3:$A$5001,BD!$B$3:$B$5001,$A263,BD!$A$3:$A$5001,"&gt;="&amp;$F$7,BD!$A$3:$A$5001,"&lt;="&amp;$G$7,BD!$N$3:$N$5001,"&lt;&gt;"))))</f>
        <v/>
      </c>
      <c r="J263" s="43" t="str">
        <f>IF($A263="","",IF(COUNTIFS(BD!$B$3:$B$5001,$A263,BD!$A$3:$A$5001,"&gt;="&amp;$F$8,BD!$A$3:$A$5001,"&lt;="&amp;$G$8,BD!$N$3:$N$5001,"&lt;&gt;")=0,"",SUMIFS(BD!$N$3:$N$5001,BD!$B$3:$B$5001,$A263,BD!$A$3:$A$5001,_xlfn.MAXIFS(BD!$A$3:$A$5001,BD!$B$3:$B$5001,$A263,BD!$A$3:$A$5001,"&gt;="&amp;$F$8,BD!$A$3:$A$5001,"&lt;="&amp;$G$8,BD!$N$3:$N$5001,"&lt;&gt;"))))</f>
        <v/>
      </c>
    </row>
    <row r="264">
      <c r="A264" s="65" t="str">
        <f>Config!$B$16&amp;""</f>
        <v/>
      </c>
      <c r="B264" s="38" t="str">
        <f>IF(Config!$C$16="","JSL",Config!$C$16)</f>
        <v>JSL</v>
      </c>
      <c r="C264" s="43" t="str">
        <f>IF($A264="","",IF(COUNTIFS(BD!$B$3:$B$5001,$A264,BD!$A$3:$A$5001,"&gt;="&amp;$F$7,BD!$A$3:$A$5001,"&lt;="&amp;$G$7,BD!$K$3:$K$5001,"&lt;&gt;")=0,"",SUMIFS(BD!$K$3:$K$5001,BD!$B$3:$B$5001,$A264,BD!$A$3:$A$5001,_xlfn.MAXIFS(BD!$A$3:$A$5001,BD!$B$3:$B$5001,$A264,BD!$A$3:$A$5001,"&gt;="&amp;$F$7,BD!$A$3:$A$5001,"&lt;="&amp;$G$7,BD!$K$3:$K$5001,"&lt;&gt;"))))</f>
        <v/>
      </c>
      <c r="D264" s="43" t="str">
        <f>IF($A264="","",IF(COUNTIFS(BD!$B$3:$B$5001,$A264,BD!$A$3:$A$5001,"&gt;="&amp;$F$8,BD!$A$3:$A$5001,"&lt;="&amp;$G$8,BD!$K$3:$K$5001,"&lt;&gt;")=0,"",SUMIFS(BD!$K$3:$K$5001,BD!$B$3:$B$5001,$A264,BD!$A$3:$A$5001,_xlfn.MAXIFS(BD!$A$3:$A$5001,BD!$B$3:$B$5001,$A264,BD!$A$3:$A$5001,"&gt;="&amp;$F$8,BD!$A$3:$A$5001,"&lt;="&amp;$G$8,BD!$K$3:$K$5001,"&lt;&gt;"))))</f>
        <v/>
      </c>
      <c r="E264" s="43" t="str">
        <f>IF($A264="","",IF(COUNTIFS(BD!$B$3:$B$5001,$A264,BD!$A$3:$A$5001,"&gt;="&amp;$F$7,BD!$A$3:$A$5001,"&lt;="&amp;$G$7,BD!$M$3:$M$5001,"&lt;&gt;")=0,"",SUMIFS(BD!$M$3:$M$5001,BD!$B$3:$B$5001,$A264,BD!$A$3:$A$5001,_xlfn.MAXIFS(BD!$A$3:$A$5001,BD!$B$3:$B$5001,$A264,BD!$A$3:$A$5001,"&gt;="&amp;$F$7,BD!$A$3:$A$5001,"&lt;="&amp;$G$7,BD!$M$3:$M$5001,"&lt;&gt;"))))</f>
        <v/>
      </c>
      <c r="F264" s="43" t="str">
        <f>IF($A264="","",IF(COUNTIFS(BD!$B$3:$B$5001,$A264,BD!$A$3:$A$5001,"&gt;="&amp;$F$8,BD!$A$3:$A$5001,"&lt;="&amp;$G$8,BD!$M$3:$M$5001,"&lt;&gt;")=0,"",SUMIFS(BD!$M$3:$M$5001,BD!$B$3:$B$5001,$A264,BD!$A$3:$A$5001,_xlfn.MAXIFS(BD!$A$3:$A$5001,BD!$B$3:$B$5001,$A264,BD!$A$3:$A$5001,"&gt;="&amp;$F$8,BD!$A$3:$A$5001,"&lt;="&amp;$G$8,BD!$M$3:$M$5001,"&lt;&gt;"))))</f>
        <v/>
      </c>
      <c r="G264" s="43" t="str">
        <f>IF($A264="","",IF(COUNTIFS(BD!$B$3:$B$5001,$A264,BD!$A$3:$A$5001,"&gt;="&amp;$F$7,BD!$A$3:$A$5001,"&lt;="&amp;$G$7,BD!$L$3:$L$5001,"&lt;&gt;")=0,"",SUMIFS(BD!$L$3:$L$5001,BD!$B$3:$B$5001,$A264,BD!$A$3:$A$5001,_xlfn.MAXIFS(BD!$A$3:$A$5001,BD!$B$3:$B$5001,$A264,BD!$A$3:$A$5001,"&gt;="&amp;$F$7,BD!$A$3:$A$5001,"&lt;="&amp;$G$7,BD!$L$3:$L$5001,"&lt;&gt;"))))</f>
        <v/>
      </c>
      <c r="H264" s="43" t="str">
        <f>IF($A264="","",IF(COUNTIFS(BD!$B$3:$B$5001,$A264,BD!$A$3:$A$5001,"&gt;="&amp;$F$8,BD!$A$3:$A$5001,"&lt;="&amp;$G$8,BD!$L$3:$L$5001,"&lt;&gt;")=0,"",SUMIFS(BD!$L$3:$L$5001,BD!$B$3:$B$5001,$A264,BD!$A$3:$A$5001,_xlfn.MAXIFS(BD!$A$3:$A$5001,BD!$B$3:$B$5001,$A264,BD!$A$3:$A$5001,"&gt;="&amp;$F$8,BD!$A$3:$A$5001,"&lt;="&amp;$G$8,BD!$L$3:$L$5001,"&lt;&gt;"))))</f>
        <v/>
      </c>
      <c r="I264" s="43" t="str">
        <f>IF($A264="","",IF(COUNTIFS(BD!$B$3:$B$5001,$A264,BD!$A$3:$A$5001,"&gt;="&amp;$F$7,BD!$A$3:$A$5001,"&lt;="&amp;$G$7,BD!$N$3:$N$5001,"&lt;&gt;")=0,"",SUMIFS(BD!$N$3:$N$5001,BD!$B$3:$B$5001,$A264,BD!$A$3:$A$5001,_xlfn.MAXIFS(BD!$A$3:$A$5001,BD!$B$3:$B$5001,$A264,BD!$A$3:$A$5001,"&gt;="&amp;$F$7,BD!$A$3:$A$5001,"&lt;="&amp;$G$7,BD!$N$3:$N$5001,"&lt;&gt;"))))</f>
        <v/>
      </c>
      <c r="J264" s="43" t="str">
        <f>IF($A264="","",IF(COUNTIFS(BD!$B$3:$B$5001,$A264,BD!$A$3:$A$5001,"&gt;="&amp;$F$8,BD!$A$3:$A$5001,"&lt;="&amp;$G$8,BD!$N$3:$N$5001,"&lt;&gt;")=0,"",SUMIFS(BD!$N$3:$N$5001,BD!$B$3:$B$5001,$A264,BD!$A$3:$A$5001,_xlfn.MAXIFS(BD!$A$3:$A$5001,BD!$B$3:$B$5001,$A264,BD!$A$3:$A$5001,"&gt;="&amp;$F$8,BD!$A$3:$A$5001,"&lt;="&amp;$G$8,BD!$N$3:$N$5001,"&lt;&gt;"))))</f>
        <v/>
      </c>
    </row>
    <row r="265">
      <c r="A265" s="65" t="str">
        <f>Config!$B$17&amp;""</f>
        <v/>
      </c>
      <c r="B265" s="38" t="str">
        <f>IF(Config!$C$17="","JSL",Config!$C$17)</f>
        <v>JSL</v>
      </c>
      <c r="C265" s="43" t="str">
        <f>IF($A265="","",IF(COUNTIFS(BD!$B$3:$B$5001,$A265,BD!$A$3:$A$5001,"&gt;="&amp;$F$7,BD!$A$3:$A$5001,"&lt;="&amp;$G$7,BD!$K$3:$K$5001,"&lt;&gt;")=0,"",SUMIFS(BD!$K$3:$K$5001,BD!$B$3:$B$5001,$A265,BD!$A$3:$A$5001,_xlfn.MAXIFS(BD!$A$3:$A$5001,BD!$B$3:$B$5001,$A265,BD!$A$3:$A$5001,"&gt;="&amp;$F$7,BD!$A$3:$A$5001,"&lt;="&amp;$G$7,BD!$K$3:$K$5001,"&lt;&gt;"))))</f>
        <v/>
      </c>
      <c r="D265" s="43" t="str">
        <f>IF($A265="","",IF(COUNTIFS(BD!$B$3:$B$5001,$A265,BD!$A$3:$A$5001,"&gt;="&amp;$F$8,BD!$A$3:$A$5001,"&lt;="&amp;$G$8,BD!$K$3:$K$5001,"&lt;&gt;")=0,"",SUMIFS(BD!$K$3:$K$5001,BD!$B$3:$B$5001,$A265,BD!$A$3:$A$5001,_xlfn.MAXIFS(BD!$A$3:$A$5001,BD!$B$3:$B$5001,$A265,BD!$A$3:$A$5001,"&gt;="&amp;$F$8,BD!$A$3:$A$5001,"&lt;="&amp;$G$8,BD!$K$3:$K$5001,"&lt;&gt;"))))</f>
        <v/>
      </c>
      <c r="E265" s="43" t="str">
        <f>IF($A265="","",IF(COUNTIFS(BD!$B$3:$B$5001,$A265,BD!$A$3:$A$5001,"&gt;="&amp;$F$7,BD!$A$3:$A$5001,"&lt;="&amp;$G$7,BD!$M$3:$M$5001,"&lt;&gt;")=0,"",SUMIFS(BD!$M$3:$M$5001,BD!$B$3:$B$5001,$A265,BD!$A$3:$A$5001,_xlfn.MAXIFS(BD!$A$3:$A$5001,BD!$B$3:$B$5001,$A265,BD!$A$3:$A$5001,"&gt;="&amp;$F$7,BD!$A$3:$A$5001,"&lt;="&amp;$G$7,BD!$M$3:$M$5001,"&lt;&gt;"))))</f>
        <v/>
      </c>
      <c r="F265" s="43" t="str">
        <f>IF($A265="","",IF(COUNTIFS(BD!$B$3:$B$5001,$A265,BD!$A$3:$A$5001,"&gt;="&amp;$F$8,BD!$A$3:$A$5001,"&lt;="&amp;$G$8,BD!$M$3:$M$5001,"&lt;&gt;")=0,"",SUMIFS(BD!$M$3:$M$5001,BD!$B$3:$B$5001,$A265,BD!$A$3:$A$5001,_xlfn.MAXIFS(BD!$A$3:$A$5001,BD!$B$3:$B$5001,$A265,BD!$A$3:$A$5001,"&gt;="&amp;$F$8,BD!$A$3:$A$5001,"&lt;="&amp;$G$8,BD!$M$3:$M$5001,"&lt;&gt;"))))</f>
        <v/>
      </c>
      <c r="G265" s="43" t="str">
        <f>IF($A265="","",IF(COUNTIFS(BD!$B$3:$B$5001,$A265,BD!$A$3:$A$5001,"&gt;="&amp;$F$7,BD!$A$3:$A$5001,"&lt;="&amp;$G$7,BD!$L$3:$L$5001,"&lt;&gt;")=0,"",SUMIFS(BD!$L$3:$L$5001,BD!$B$3:$B$5001,$A265,BD!$A$3:$A$5001,_xlfn.MAXIFS(BD!$A$3:$A$5001,BD!$B$3:$B$5001,$A265,BD!$A$3:$A$5001,"&gt;="&amp;$F$7,BD!$A$3:$A$5001,"&lt;="&amp;$G$7,BD!$L$3:$L$5001,"&lt;&gt;"))))</f>
        <v/>
      </c>
      <c r="H265" s="43" t="str">
        <f>IF($A265="","",IF(COUNTIFS(BD!$B$3:$B$5001,$A265,BD!$A$3:$A$5001,"&gt;="&amp;$F$8,BD!$A$3:$A$5001,"&lt;="&amp;$G$8,BD!$L$3:$L$5001,"&lt;&gt;")=0,"",SUMIFS(BD!$L$3:$L$5001,BD!$B$3:$B$5001,$A265,BD!$A$3:$A$5001,_xlfn.MAXIFS(BD!$A$3:$A$5001,BD!$B$3:$B$5001,$A265,BD!$A$3:$A$5001,"&gt;="&amp;$F$8,BD!$A$3:$A$5001,"&lt;="&amp;$G$8,BD!$L$3:$L$5001,"&lt;&gt;"))))</f>
        <v/>
      </c>
      <c r="I265" s="43" t="str">
        <f>IF($A265="","",IF(COUNTIFS(BD!$B$3:$B$5001,$A265,BD!$A$3:$A$5001,"&gt;="&amp;$F$7,BD!$A$3:$A$5001,"&lt;="&amp;$G$7,BD!$N$3:$N$5001,"&lt;&gt;")=0,"",SUMIFS(BD!$N$3:$N$5001,BD!$B$3:$B$5001,$A265,BD!$A$3:$A$5001,_xlfn.MAXIFS(BD!$A$3:$A$5001,BD!$B$3:$B$5001,$A265,BD!$A$3:$A$5001,"&gt;="&amp;$F$7,BD!$A$3:$A$5001,"&lt;="&amp;$G$7,BD!$N$3:$N$5001,"&lt;&gt;"))))</f>
        <v/>
      </c>
      <c r="J265" s="43" t="str">
        <f>IF($A265="","",IF(COUNTIFS(BD!$B$3:$B$5001,$A265,BD!$A$3:$A$5001,"&gt;="&amp;$F$8,BD!$A$3:$A$5001,"&lt;="&amp;$G$8,BD!$N$3:$N$5001,"&lt;&gt;")=0,"",SUMIFS(BD!$N$3:$N$5001,BD!$B$3:$B$5001,$A265,BD!$A$3:$A$5001,_xlfn.MAXIFS(BD!$A$3:$A$5001,BD!$B$3:$B$5001,$A265,BD!$A$3:$A$5001,"&gt;="&amp;$F$8,BD!$A$3:$A$5001,"&lt;="&amp;$G$8,BD!$N$3:$N$5001,"&lt;&gt;"))))</f>
        <v/>
      </c>
    </row>
    <row r="266">
      <c r="A266" s="65" t="str">
        <f>Config!$B$18&amp;""</f>
        <v/>
      </c>
      <c r="B266" s="38" t="str">
        <f>IF(Config!$C$18="","JSL",Config!$C$18)</f>
        <v>JSL</v>
      </c>
      <c r="C266" s="43" t="str">
        <f>IF($A266="","",IF(COUNTIFS(BD!$B$3:$B$5001,$A266,BD!$A$3:$A$5001,"&gt;="&amp;$F$7,BD!$A$3:$A$5001,"&lt;="&amp;$G$7,BD!$K$3:$K$5001,"&lt;&gt;")=0,"",SUMIFS(BD!$K$3:$K$5001,BD!$B$3:$B$5001,$A266,BD!$A$3:$A$5001,_xlfn.MAXIFS(BD!$A$3:$A$5001,BD!$B$3:$B$5001,$A266,BD!$A$3:$A$5001,"&gt;="&amp;$F$7,BD!$A$3:$A$5001,"&lt;="&amp;$G$7,BD!$K$3:$K$5001,"&lt;&gt;"))))</f>
        <v/>
      </c>
      <c r="D266" s="43" t="str">
        <f>IF($A266="","",IF(COUNTIFS(BD!$B$3:$B$5001,$A266,BD!$A$3:$A$5001,"&gt;="&amp;$F$8,BD!$A$3:$A$5001,"&lt;="&amp;$G$8,BD!$K$3:$K$5001,"&lt;&gt;")=0,"",SUMIFS(BD!$K$3:$K$5001,BD!$B$3:$B$5001,$A266,BD!$A$3:$A$5001,_xlfn.MAXIFS(BD!$A$3:$A$5001,BD!$B$3:$B$5001,$A266,BD!$A$3:$A$5001,"&gt;="&amp;$F$8,BD!$A$3:$A$5001,"&lt;="&amp;$G$8,BD!$K$3:$K$5001,"&lt;&gt;"))))</f>
        <v/>
      </c>
      <c r="E266" s="43" t="str">
        <f>IF($A266="","",IF(COUNTIFS(BD!$B$3:$B$5001,$A266,BD!$A$3:$A$5001,"&gt;="&amp;$F$7,BD!$A$3:$A$5001,"&lt;="&amp;$G$7,BD!$M$3:$M$5001,"&lt;&gt;")=0,"",SUMIFS(BD!$M$3:$M$5001,BD!$B$3:$B$5001,$A266,BD!$A$3:$A$5001,_xlfn.MAXIFS(BD!$A$3:$A$5001,BD!$B$3:$B$5001,$A266,BD!$A$3:$A$5001,"&gt;="&amp;$F$7,BD!$A$3:$A$5001,"&lt;="&amp;$G$7,BD!$M$3:$M$5001,"&lt;&gt;"))))</f>
        <v/>
      </c>
      <c r="F266" s="43" t="str">
        <f>IF($A266="","",IF(COUNTIFS(BD!$B$3:$B$5001,$A266,BD!$A$3:$A$5001,"&gt;="&amp;$F$8,BD!$A$3:$A$5001,"&lt;="&amp;$G$8,BD!$M$3:$M$5001,"&lt;&gt;")=0,"",SUMIFS(BD!$M$3:$M$5001,BD!$B$3:$B$5001,$A266,BD!$A$3:$A$5001,_xlfn.MAXIFS(BD!$A$3:$A$5001,BD!$B$3:$B$5001,$A266,BD!$A$3:$A$5001,"&gt;="&amp;$F$8,BD!$A$3:$A$5001,"&lt;="&amp;$G$8,BD!$M$3:$M$5001,"&lt;&gt;"))))</f>
        <v/>
      </c>
      <c r="G266" s="43" t="str">
        <f>IF($A266="","",IF(COUNTIFS(BD!$B$3:$B$5001,$A266,BD!$A$3:$A$5001,"&gt;="&amp;$F$7,BD!$A$3:$A$5001,"&lt;="&amp;$G$7,BD!$L$3:$L$5001,"&lt;&gt;")=0,"",SUMIFS(BD!$L$3:$L$5001,BD!$B$3:$B$5001,$A266,BD!$A$3:$A$5001,_xlfn.MAXIFS(BD!$A$3:$A$5001,BD!$B$3:$B$5001,$A266,BD!$A$3:$A$5001,"&gt;="&amp;$F$7,BD!$A$3:$A$5001,"&lt;="&amp;$G$7,BD!$L$3:$L$5001,"&lt;&gt;"))))</f>
        <v/>
      </c>
      <c r="H266" s="43" t="str">
        <f>IF($A266="","",IF(COUNTIFS(BD!$B$3:$B$5001,$A266,BD!$A$3:$A$5001,"&gt;="&amp;$F$8,BD!$A$3:$A$5001,"&lt;="&amp;$G$8,BD!$L$3:$L$5001,"&lt;&gt;")=0,"",SUMIFS(BD!$L$3:$L$5001,BD!$B$3:$B$5001,$A266,BD!$A$3:$A$5001,_xlfn.MAXIFS(BD!$A$3:$A$5001,BD!$B$3:$B$5001,$A266,BD!$A$3:$A$5001,"&gt;="&amp;$F$8,BD!$A$3:$A$5001,"&lt;="&amp;$G$8,BD!$L$3:$L$5001,"&lt;&gt;"))))</f>
        <v/>
      </c>
      <c r="I266" s="43" t="str">
        <f>IF($A266="","",IF(COUNTIFS(BD!$B$3:$B$5001,$A266,BD!$A$3:$A$5001,"&gt;="&amp;$F$7,BD!$A$3:$A$5001,"&lt;="&amp;$G$7,BD!$N$3:$N$5001,"&lt;&gt;")=0,"",SUMIFS(BD!$N$3:$N$5001,BD!$B$3:$B$5001,$A266,BD!$A$3:$A$5001,_xlfn.MAXIFS(BD!$A$3:$A$5001,BD!$B$3:$B$5001,$A266,BD!$A$3:$A$5001,"&gt;="&amp;$F$7,BD!$A$3:$A$5001,"&lt;="&amp;$G$7,BD!$N$3:$N$5001,"&lt;&gt;"))))</f>
        <v/>
      </c>
      <c r="J266" s="43" t="str">
        <f>IF($A266="","",IF(COUNTIFS(BD!$B$3:$B$5001,$A266,BD!$A$3:$A$5001,"&gt;="&amp;$F$8,BD!$A$3:$A$5001,"&lt;="&amp;$G$8,BD!$N$3:$N$5001,"&lt;&gt;")=0,"",SUMIFS(BD!$N$3:$N$5001,BD!$B$3:$B$5001,$A266,BD!$A$3:$A$5001,_xlfn.MAXIFS(BD!$A$3:$A$5001,BD!$B$3:$B$5001,$A266,BD!$A$3:$A$5001,"&gt;="&amp;$F$8,BD!$A$3:$A$5001,"&lt;="&amp;$G$8,BD!$N$3:$N$5001,"&lt;&gt;"))))</f>
        <v/>
      </c>
    </row>
    <row r="267">
      <c r="A267" s="65" t="str">
        <f>Config!$B$19&amp;""</f>
        <v/>
      </c>
      <c r="B267" s="38" t="str">
        <f>IF(Config!$C$19="","JSL",Config!$C$19)</f>
        <v>JSL</v>
      </c>
      <c r="C267" s="43" t="str">
        <f>IF($A267="","",IF(COUNTIFS(BD!$B$3:$B$5001,$A267,BD!$A$3:$A$5001,"&gt;="&amp;$F$7,BD!$A$3:$A$5001,"&lt;="&amp;$G$7,BD!$K$3:$K$5001,"&lt;&gt;")=0,"",SUMIFS(BD!$K$3:$K$5001,BD!$B$3:$B$5001,$A267,BD!$A$3:$A$5001,_xlfn.MAXIFS(BD!$A$3:$A$5001,BD!$B$3:$B$5001,$A267,BD!$A$3:$A$5001,"&gt;="&amp;$F$7,BD!$A$3:$A$5001,"&lt;="&amp;$G$7,BD!$K$3:$K$5001,"&lt;&gt;"))))</f>
        <v/>
      </c>
      <c r="D267" s="43" t="str">
        <f>IF($A267="","",IF(COUNTIFS(BD!$B$3:$B$5001,$A267,BD!$A$3:$A$5001,"&gt;="&amp;$F$8,BD!$A$3:$A$5001,"&lt;="&amp;$G$8,BD!$K$3:$K$5001,"&lt;&gt;")=0,"",SUMIFS(BD!$K$3:$K$5001,BD!$B$3:$B$5001,$A267,BD!$A$3:$A$5001,_xlfn.MAXIFS(BD!$A$3:$A$5001,BD!$B$3:$B$5001,$A267,BD!$A$3:$A$5001,"&gt;="&amp;$F$8,BD!$A$3:$A$5001,"&lt;="&amp;$G$8,BD!$K$3:$K$5001,"&lt;&gt;"))))</f>
        <v/>
      </c>
      <c r="E267" s="43" t="str">
        <f>IF($A267="","",IF(COUNTIFS(BD!$B$3:$B$5001,$A267,BD!$A$3:$A$5001,"&gt;="&amp;$F$7,BD!$A$3:$A$5001,"&lt;="&amp;$G$7,BD!$M$3:$M$5001,"&lt;&gt;")=0,"",SUMIFS(BD!$M$3:$M$5001,BD!$B$3:$B$5001,$A267,BD!$A$3:$A$5001,_xlfn.MAXIFS(BD!$A$3:$A$5001,BD!$B$3:$B$5001,$A267,BD!$A$3:$A$5001,"&gt;="&amp;$F$7,BD!$A$3:$A$5001,"&lt;="&amp;$G$7,BD!$M$3:$M$5001,"&lt;&gt;"))))</f>
        <v/>
      </c>
      <c r="F267" s="43" t="str">
        <f>IF($A267="","",IF(COUNTIFS(BD!$B$3:$B$5001,$A267,BD!$A$3:$A$5001,"&gt;="&amp;$F$8,BD!$A$3:$A$5001,"&lt;="&amp;$G$8,BD!$M$3:$M$5001,"&lt;&gt;")=0,"",SUMIFS(BD!$M$3:$M$5001,BD!$B$3:$B$5001,$A267,BD!$A$3:$A$5001,_xlfn.MAXIFS(BD!$A$3:$A$5001,BD!$B$3:$B$5001,$A267,BD!$A$3:$A$5001,"&gt;="&amp;$F$8,BD!$A$3:$A$5001,"&lt;="&amp;$G$8,BD!$M$3:$M$5001,"&lt;&gt;"))))</f>
        <v/>
      </c>
      <c r="G267" s="43" t="str">
        <f>IF($A267="","",IF(COUNTIFS(BD!$B$3:$B$5001,$A267,BD!$A$3:$A$5001,"&gt;="&amp;$F$7,BD!$A$3:$A$5001,"&lt;="&amp;$G$7,BD!$L$3:$L$5001,"&lt;&gt;")=0,"",SUMIFS(BD!$L$3:$L$5001,BD!$B$3:$B$5001,$A267,BD!$A$3:$A$5001,_xlfn.MAXIFS(BD!$A$3:$A$5001,BD!$B$3:$B$5001,$A267,BD!$A$3:$A$5001,"&gt;="&amp;$F$7,BD!$A$3:$A$5001,"&lt;="&amp;$G$7,BD!$L$3:$L$5001,"&lt;&gt;"))))</f>
        <v/>
      </c>
      <c r="H267" s="43" t="str">
        <f>IF($A267="","",IF(COUNTIFS(BD!$B$3:$B$5001,$A267,BD!$A$3:$A$5001,"&gt;="&amp;$F$8,BD!$A$3:$A$5001,"&lt;="&amp;$G$8,BD!$L$3:$L$5001,"&lt;&gt;")=0,"",SUMIFS(BD!$L$3:$L$5001,BD!$B$3:$B$5001,$A267,BD!$A$3:$A$5001,_xlfn.MAXIFS(BD!$A$3:$A$5001,BD!$B$3:$B$5001,$A267,BD!$A$3:$A$5001,"&gt;="&amp;$F$8,BD!$A$3:$A$5001,"&lt;="&amp;$G$8,BD!$L$3:$L$5001,"&lt;&gt;"))))</f>
        <v/>
      </c>
      <c r="I267" s="43" t="str">
        <f>IF($A267="","",IF(COUNTIFS(BD!$B$3:$B$5001,$A267,BD!$A$3:$A$5001,"&gt;="&amp;$F$7,BD!$A$3:$A$5001,"&lt;="&amp;$G$7,BD!$N$3:$N$5001,"&lt;&gt;")=0,"",SUMIFS(BD!$N$3:$N$5001,BD!$B$3:$B$5001,$A267,BD!$A$3:$A$5001,_xlfn.MAXIFS(BD!$A$3:$A$5001,BD!$B$3:$B$5001,$A267,BD!$A$3:$A$5001,"&gt;="&amp;$F$7,BD!$A$3:$A$5001,"&lt;="&amp;$G$7,BD!$N$3:$N$5001,"&lt;&gt;"))))</f>
        <v/>
      </c>
      <c r="J267" s="43" t="str">
        <f>IF($A267="","",IF(COUNTIFS(BD!$B$3:$B$5001,$A267,BD!$A$3:$A$5001,"&gt;="&amp;$F$8,BD!$A$3:$A$5001,"&lt;="&amp;$G$8,BD!$N$3:$N$5001,"&lt;&gt;")=0,"",SUMIFS(BD!$N$3:$N$5001,BD!$B$3:$B$5001,$A267,BD!$A$3:$A$5001,_xlfn.MAXIFS(BD!$A$3:$A$5001,BD!$B$3:$B$5001,$A267,BD!$A$3:$A$5001,"&gt;="&amp;$F$8,BD!$A$3:$A$5001,"&lt;="&amp;$G$8,BD!$N$3:$N$5001,"&lt;&gt;"))))</f>
        <v/>
      </c>
    </row>
    <row r="268">
      <c r="A268" s="65" t="str">
        <f>Config!$B$20&amp;""</f>
        <v/>
      </c>
      <c r="B268" s="38" t="str">
        <f>IF(Config!$C$20="","JSL",Config!$C$20)</f>
        <v>JSL</v>
      </c>
      <c r="C268" s="43" t="str">
        <f>IF($A268="","",IF(COUNTIFS(BD!$B$3:$B$5001,$A268,BD!$A$3:$A$5001,"&gt;="&amp;$F$7,BD!$A$3:$A$5001,"&lt;="&amp;$G$7,BD!$K$3:$K$5001,"&lt;&gt;")=0,"",SUMIFS(BD!$K$3:$K$5001,BD!$B$3:$B$5001,$A268,BD!$A$3:$A$5001,_xlfn.MAXIFS(BD!$A$3:$A$5001,BD!$B$3:$B$5001,$A268,BD!$A$3:$A$5001,"&gt;="&amp;$F$7,BD!$A$3:$A$5001,"&lt;="&amp;$G$7,BD!$K$3:$K$5001,"&lt;&gt;"))))</f>
        <v/>
      </c>
      <c r="D268" s="43" t="str">
        <f>IF($A268="","",IF(COUNTIFS(BD!$B$3:$B$5001,$A268,BD!$A$3:$A$5001,"&gt;="&amp;$F$8,BD!$A$3:$A$5001,"&lt;="&amp;$G$8,BD!$K$3:$K$5001,"&lt;&gt;")=0,"",SUMIFS(BD!$K$3:$K$5001,BD!$B$3:$B$5001,$A268,BD!$A$3:$A$5001,_xlfn.MAXIFS(BD!$A$3:$A$5001,BD!$B$3:$B$5001,$A268,BD!$A$3:$A$5001,"&gt;="&amp;$F$8,BD!$A$3:$A$5001,"&lt;="&amp;$G$8,BD!$K$3:$K$5001,"&lt;&gt;"))))</f>
        <v/>
      </c>
      <c r="E268" s="43" t="str">
        <f>IF($A268="","",IF(COUNTIFS(BD!$B$3:$B$5001,$A268,BD!$A$3:$A$5001,"&gt;="&amp;$F$7,BD!$A$3:$A$5001,"&lt;="&amp;$G$7,BD!$M$3:$M$5001,"&lt;&gt;")=0,"",SUMIFS(BD!$M$3:$M$5001,BD!$B$3:$B$5001,$A268,BD!$A$3:$A$5001,_xlfn.MAXIFS(BD!$A$3:$A$5001,BD!$B$3:$B$5001,$A268,BD!$A$3:$A$5001,"&gt;="&amp;$F$7,BD!$A$3:$A$5001,"&lt;="&amp;$G$7,BD!$M$3:$M$5001,"&lt;&gt;"))))</f>
        <v/>
      </c>
      <c r="F268" s="43" t="str">
        <f>IF($A268="","",IF(COUNTIFS(BD!$B$3:$B$5001,$A268,BD!$A$3:$A$5001,"&gt;="&amp;$F$8,BD!$A$3:$A$5001,"&lt;="&amp;$G$8,BD!$M$3:$M$5001,"&lt;&gt;")=0,"",SUMIFS(BD!$M$3:$M$5001,BD!$B$3:$B$5001,$A268,BD!$A$3:$A$5001,_xlfn.MAXIFS(BD!$A$3:$A$5001,BD!$B$3:$B$5001,$A268,BD!$A$3:$A$5001,"&gt;="&amp;$F$8,BD!$A$3:$A$5001,"&lt;="&amp;$G$8,BD!$M$3:$M$5001,"&lt;&gt;"))))</f>
        <v/>
      </c>
      <c r="G268" s="43" t="str">
        <f>IF($A268="","",IF(COUNTIFS(BD!$B$3:$B$5001,$A268,BD!$A$3:$A$5001,"&gt;="&amp;$F$7,BD!$A$3:$A$5001,"&lt;="&amp;$G$7,BD!$L$3:$L$5001,"&lt;&gt;")=0,"",SUMIFS(BD!$L$3:$L$5001,BD!$B$3:$B$5001,$A268,BD!$A$3:$A$5001,_xlfn.MAXIFS(BD!$A$3:$A$5001,BD!$B$3:$B$5001,$A268,BD!$A$3:$A$5001,"&gt;="&amp;$F$7,BD!$A$3:$A$5001,"&lt;="&amp;$G$7,BD!$L$3:$L$5001,"&lt;&gt;"))))</f>
        <v/>
      </c>
      <c r="H268" s="43" t="str">
        <f>IF($A268="","",IF(COUNTIFS(BD!$B$3:$B$5001,$A268,BD!$A$3:$A$5001,"&gt;="&amp;$F$8,BD!$A$3:$A$5001,"&lt;="&amp;$G$8,BD!$L$3:$L$5001,"&lt;&gt;")=0,"",SUMIFS(BD!$L$3:$L$5001,BD!$B$3:$B$5001,$A268,BD!$A$3:$A$5001,_xlfn.MAXIFS(BD!$A$3:$A$5001,BD!$B$3:$B$5001,$A268,BD!$A$3:$A$5001,"&gt;="&amp;$F$8,BD!$A$3:$A$5001,"&lt;="&amp;$G$8,BD!$L$3:$L$5001,"&lt;&gt;"))))</f>
        <v/>
      </c>
      <c r="I268" s="43" t="str">
        <f>IF($A268="","",IF(COUNTIFS(BD!$B$3:$B$5001,$A268,BD!$A$3:$A$5001,"&gt;="&amp;$F$7,BD!$A$3:$A$5001,"&lt;="&amp;$G$7,BD!$N$3:$N$5001,"&lt;&gt;")=0,"",SUMIFS(BD!$N$3:$N$5001,BD!$B$3:$B$5001,$A268,BD!$A$3:$A$5001,_xlfn.MAXIFS(BD!$A$3:$A$5001,BD!$B$3:$B$5001,$A268,BD!$A$3:$A$5001,"&gt;="&amp;$F$7,BD!$A$3:$A$5001,"&lt;="&amp;$G$7,BD!$N$3:$N$5001,"&lt;&gt;"))))</f>
        <v/>
      </c>
      <c r="J268" s="43" t="str">
        <f>IF($A268="","",IF(COUNTIFS(BD!$B$3:$B$5001,$A268,BD!$A$3:$A$5001,"&gt;="&amp;$F$8,BD!$A$3:$A$5001,"&lt;="&amp;$G$8,BD!$N$3:$N$5001,"&lt;&gt;")=0,"",SUMIFS(BD!$N$3:$N$5001,BD!$B$3:$B$5001,$A268,BD!$A$3:$A$5001,_xlfn.MAXIFS(BD!$A$3:$A$5001,BD!$B$3:$B$5001,$A268,BD!$A$3:$A$5001,"&gt;="&amp;$F$8,BD!$A$3:$A$5001,"&lt;="&amp;$G$8,BD!$N$3:$N$5001,"&lt;&gt;"))))</f>
        <v/>
      </c>
    </row>
    <row r="269">
      <c r="A269" s="65" t="str">
        <f>Config!$B$21&amp;""</f>
        <v/>
      </c>
      <c r="B269" s="38" t="str">
        <f>IF(Config!$C$21="","JSL",Config!$C$21)</f>
        <v>JSL</v>
      </c>
      <c r="C269" s="43" t="str">
        <f>IF($A269="","",IF(COUNTIFS(BD!$B$3:$B$5001,$A269,BD!$A$3:$A$5001,"&gt;="&amp;$F$7,BD!$A$3:$A$5001,"&lt;="&amp;$G$7,BD!$K$3:$K$5001,"&lt;&gt;")=0,"",SUMIFS(BD!$K$3:$K$5001,BD!$B$3:$B$5001,$A269,BD!$A$3:$A$5001,_xlfn.MAXIFS(BD!$A$3:$A$5001,BD!$B$3:$B$5001,$A269,BD!$A$3:$A$5001,"&gt;="&amp;$F$7,BD!$A$3:$A$5001,"&lt;="&amp;$G$7,BD!$K$3:$K$5001,"&lt;&gt;"))))</f>
        <v/>
      </c>
      <c r="D269" s="43" t="str">
        <f>IF($A269="","",IF(COUNTIFS(BD!$B$3:$B$5001,$A269,BD!$A$3:$A$5001,"&gt;="&amp;$F$8,BD!$A$3:$A$5001,"&lt;="&amp;$G$8,BD!$K$3:$K$5001,"&lt;&gt;")=0,"",SUMIFS(BD!$K$3:$K$5001,BD!$B$3:$B$5001,$A269,BD!$A$3:$A$5001,_xlfn.MAXIFS(BD!$A$3:$A$5001,BD!$B$3:$B$5001,$A269,BD!$A$3:$A$5001,"&gt;="&amp;$F$8,BD!$A$3:$A$5001,"&lt;="&amp;$G$8,BD!$K$3:$K$5001,"&lt;&gt;"))))</f>
        <v/>
      </c>
      <c r="E269" s="43" t="str">
        <f>IF($A269="","",IF(COUNTIFS(BD!$B$3:$B$5001,$A269,BD!$A$3:$A$5001,"&gt;="&amp;$F$7,BD!$A$3:$A$5001,"&lt;="&amp;$G$7,BD!$M$3:$M$5001,"&lt;&gt;")=0,"",SUMIFS(BD!$M$3:$M$5001,BD!$B$3:$B$5001,$A269,BD!$A$3:$A$5001,_xlfn.MAXIFS(BD!$A$3:$A$5001,BD!$B$3:$B$5001,$A269,BD!$A$3:$A$5001,"&gt;="&amp;$F$7,BD!$A$3:$A$5001,"&lt;="&amp;$G$7,BD!$M$3:$M$5001,"&lt;&gt;"))))</f>
        <v/>
      </c>
      <c r="F269" s="43" t="str">
        <f>IF($A269="","",IF(COUNTIFS(BD!$B$3:$B$5001,$A269,BD!$A$3:$A$5001,"&gt;="&amp;$F$8,BD!$A$3:$A$5001,"&lt;="&amp;$G$8,BD!$M$3:$M$5001,"&lt;&gt;")=0,"",SUMIFS(BD!$M$3:$M$5001,BD!$B$3:$B$5001,$A269,BD!$A$3:$A$5001,_xlfn.MAXIFS(BD!$A$3:$A$5001,BD!$B$3:$B$5001,$A269,BD!$A$3:$A$5001,"&gt;="&amp;$F$8,BD!$A$3:$A$5001,"&lt;="&amp;$G$8,BD!$M$3:$M$5001,"&lt;&gt;"))))</f>
        <v/>
      </c>
      <c r="G269" s="43" t="str">
        <f>IF($A269="","",IF(COUNTIFS(BD!$B$3:$B$5001,$A269,BD!$A$3:$A$5001,"&gt;="&amp;$F$7,BD!$A$3:$A$5001,"&lt;="&amp;$G$7,BD!$L$3:$L$5001,"&lt;&gt;")=0,"",SUMIFS(BD!$L$3:$L$5001,BD!$B$3:$B$5001,$A269,BD!$A$3:$A$5001,_xlfn.MAXIFS(BD!$A$3:$A$5001,BD!$B$3:$B$5001,$A269,BD!$A$3:$A$5001,"&gt;="&amp;$F$7,BD!$A$3:$A$5001,"&lt;="&amp;$G$7,BD!$L$3:$L$5001,"&lt;&gt;"))))</f>
        <v/>
      </c>
      <c r="H269" s="43" t="str">
        <f>IF($A269="","",IF(COUNTIFS(BD!$B$3:$B$5001,$A269,BD!$A$3:$A$5001,"&gt;="&amp;$F$8,BD!$A$3:$A$5001,"&lt;="&amp;$G$8,BD!$L$3:$L$5001,"&lt;&gt;")=0,"",SUMIFS(BD!$L$3:$L$5001,BD!$B$3:$B$5001,$A269,BD!$A$3:$A$5001,_xlfn.MAXIFS(BD!$A$3:$A$5001,BD!$B$3:$B$5001,$A269,BD!$A$3:$A$5001,"&gt;="&amp;$F$8,BD!$A$3:$A$5001,"&lt;="&amp;$G$8,BD!$L$3:$L$5001,"&lt;&gt;"))))</f>
        <v/>
      </c>
      <c r="I269" s="43" t="str">
        <f>IF($A269="","",IF(COUNTIFS(BD!$B$3:$B$5001,$A269,BD!$A$3:$A$5001,"&gt;="&amp;$F$7,BD!$A$3:$A$5001,"&lt;="&amp;$G$7,BD!$N$3:$N$5001,"&lt;&gt;")=0,"",SUMIFS(BD!$N$3:$N$5001,BD!$B$3:$B$5001,$A269,BD!$A$3:$A$5001,_xlfn.MAXIFS(BD!$A$3:$A$5001,BD!$B$3:$B$5001,$A269,BD!$A$3:$A$5001,"&gt;="&amp;$F$7,BD!$A$3:$A$5001,"&lt;="&amp;$G$7,BD!$N$3:$N$5001,"&lt;&gt;"))))</f>
        <v/>
      </c>
      <c r="J269" s="43" t="str">
        <f>IF($A269="","",IF(COUNTIFS(BD!$B$3:$B$5001,$A269,BD!$A$3:$A$5001,"&gt;="&amp;$F$8,BD!$A$3:$A$5001,"&lt;="&amp;$G$8,BD!$N$3:$N$5001,"&lt;&gt;")=0,"",SUMIFS(BD!$N$3:$N$5001,BD!$B$3:$B$5001,$A269,BD!$A$3:$A$5001,_xlfn.MAXIFS(BD!$A$3:$A$5001,BD!$B$3:$B$5001,$A269,BD!$A$3:$A$5001,"&gt;="&amp;$F$8,BD!$A$3:$A$5001,"&lt;="&amp;$G$8,BD!$N$3:$N$5001,"&lt;&gt;"))))</f>
        <v/>
      </c>
    </row>
    <row r="270">
      <c r="A270" s="65" t="str">
        <f>Config!$B$22&amp;""</f>
        <v/>
      </c>
      <c r="B270" s="38" t="str">
        <f>IF(Config!$C$22="","JSL",Config!$C$22)</f>
        <v>JSL</v>
      </c>
      <c r="C270" s="43" t="str">
        <f>IF($A270="","",IF(COUNTIFS(BD!$B$3:$B$5001,$A270,BD!$A$3:$A$5001,"&gt;="&amp;$F$7,BD!$A$3:$A$5001,"&lt;="&amp;$G$7,BD!$K$3:$K$5001,"&lt;&gt;")=0,"",SUMIFS(BD!$K$3:$K$5001,BD!$B$3:$B$5001,$A270,BD!$A$3:$A$5001,_xlfn.MAXIFS(BD!$A$3:$A$5001,BD!$B$3:$B$5001,$A270,BD!$A$3:$A$5001,"&gt;="&amp;$F$7,BD!$A$3:$A$5001,"&lt;="&amp;$G$7,BD!$K$3:$K$5001,"&lt;&gt;"))))</f>
        <v/>
      </c>
      <c r="D270" s="43" t="str">
        <f>IF($A270="","",IF(COUNTIFS(BD!$B$3:$B$5001,$A270,BD!$A$3:$A$5001,"&gt;="&amp;$F$8,BD!$A$3:$A$5001,"&lt;="&amp;$G$8,BD!$K$3:$K$5001,"&lt;&gt;")=0,"",SUMIFS(BD!$K$3:$K$5001,BD!$B$3:$B$5001,$A270,BD!$A$3:$A$5001,_xlfn.MAXIFS(BD!$A$3:$A$5001,BD!$B$3:$B$5001,$A270,BD!$A$3:$A$5001,"&gt;="&amp;$F$8,BD!$A$3:$A$5001,"&lt;="&amp;$G$8,BD!$K$3:$K$5001,"&lt;&gt;"))))</f>
        <v/>
      </c>
      <c r="E270" s="43" t="str">
        <f>IF($A270="","",IF(COUNTIFS(BD!$B$3:$B$5001,$A270,BD!$A$3:$A$5001,"&gt;="&amp;$F$7,BD!$A$3:$A$5001,"&lt;="&amp;$G$7,BD!$M$3:$M$5001,"&lt;&gt;")=0,"",SUMIFS(BD!$M$3:$M$5001,BD!$B$3:$B$5001,$A270,BD!$A$3:$A$5001,_xlfn.MAXIFS(BD!$A$3:$A$5001,BD!$B$3:$B$5001,$A270,BD!$A$3:$A$5001,"&gt;="&amp;$F$7,BD!$A$3:$A$5001,"&lt;="&amp;$G$7,BD!$M$3:$M$5001,"&lt;&gt;"))))</f>
        <v/>
      </c>
      <c r="F270" s="43" t="str">
        <f>IF($A270="","",IF(COUNTIFS(BD!$B$3:$B$5001,$A270,BD!$A$3:$A$5001,"&gt;="&amp;$F$8,BD!$A$3:$A$5001,"&lt;="&amp;$G$8,BD!$M$3:$M$5001,"&lt;&gt;")=0,"",SUMIFS(BD!$M$3:$M$5001,BD!$B$3:$B$5001,$A270,BD!$A$3:$A$5001,_xlfn.MAXIFS(BD!$A$3:$A$5001,BD!$B$3:$B$5001,$A270,BD!$A$3:$A$5001,"&gt;="&amp;$F$8,BD!$A$3:$A$5001,"&lt;="&amp;$G$8,BD!$M$3:$M$5001,"&lt;&gt;"))))</f>
        <v/>
      </c>
      <c r="G270" s="43" t="str">
        <f>IF($A270="","",IF(COUNTIFS(BD!$B$3:$B$5001,$A270,BD!$A$3:$A$5001,"&gt;="&amp;$F$7,BD!$A$3:$A$5001,"&lt;="&amp;$G$7,BD!$L$3:$L$5001,"&lt;&gt;")=0,"",SUMIFS(BD!$L$3:$L$5001,BD!$B$3:$B$5001,$A270,BD!$A$3:$A$5001,_xlfn.MAXIFS(BD!$A$3:$A$5001,BD!$B$3:$B$5001,$A270,BD!$A$3:$A$5001,"&gt;="&amp;$F$7,BD!$A$3:$A$5001,"&lt;="&amp;$G$7,BD!$L$3:$L$5001,"&lt;&gt;"))))</f>
        <v/>
      </c>
      <c r="H270" s="43" t="str">
        <f>IF($A270="","",IF(COUNTIFS(BD!$B$3:$B$5001,$A270,BD!$A$3:$A$5001,"&gt;="&amp;$F$8,BD!$A$3:$A$5001,"&lt;="&amp;$G$8,BD!$L$3:$L$5001,"&lt;&gt;")=0,"",SUMIFS(BD!$L$3:$L$5001,BD!$B$3:$B$5001,$A270,BD!$A$3:$A$5001,_xlfn.MAXIFS(BD!$A$3:$A$5001,BD!$B$3:$B$5001,$A270,BD!$A$3:$A$5001,"&gt;="&amp;$F$8,BD!$A$3:$A$5001,"&lt;="&amp;$G$8,BD!$L$3:$L$5001,"&lt;&gt;"))))</f>
        <v/>
      </c>
      <c r="I270" s="43" t="str">
        <f>IF($A270="","",IF(COUNTIFS(BD!$B$3:$B$5001,$A270,BD!$A$3:$A$5001,"&gt;="&amp;$F$7,BD!$A$3:$A$5001,"&lt;="&amp;$G$7,BD!$N$3:$N$5001,"&lt;&gt;")=0,"",SUMIFS(BD!$N$3:$N$5001,BD!$B$3:$B$5001,$A270,BD!$A$3:$A$5001,_xlfn.MAXIFS(BD!$A$3:$A$5001,BD!$B$3:$B$5001,$A270,BD!$A$3:$A$5001,"&gt;="&amp;$F$7,BD!$A$3:$A$5001,"&lt;="&amp;$G$7,BD!$N$3:$N$5001,"&lt;&gt;"))))</f>
        <v/>
      </c>
      <c r="J270" s="43" t="str">
        <f>IF($A270="","",IF(COUNTIFS(BD!$B$3:$B$5001,$A270,BD!$A$3:$A$5001,"&gt;="&amp;$F$8,BD!$A$3:$A$5001,"&lt;="&amp;$G$8,BD!$N$3:$N$5001,"&lt;&gt;")=0,"",SUMIFS(BD!$N$3:$N$5001,BD!$B$3:$B$5001,$A270,BD!$A$3:$A$5001,_xlfn.MAXIFS(BD!$A$3:$A$5001,BD!$B$3:$B$5001,$A270,BD!$A$3:$A$5001,"&gt;="&amp;$F$8,BD!$A$3:$A$5001,"&lt;="&amp;$G$8,BD!$N$3:$N$5001,"&lt;&gt;"))))</f>
        <v/>
      </c>
    </row>
    <row r="271">
      <c r="A271" s="65" t="str">
        <f>Config!$B$23&amp;""</f>
        <v/>
      </c>
      <c r="B271" s="38" t="str">
        <f>IF(Config!$C$23="","JSL",Config!$C$23)</f>
        <v>JSL</v>
      </c>
      <c r="C271" s="43" t="str">
        <f>IF($A271="","",IF(COUNTIFS(BD!$B$3:$B$5001,$A271,BD!$A$3:$A$5001,"&gt;="&amp;$F$7,BD!$A$3:$A$5001,"&lt;="&amp;$G$7,BD!$K$3:$K$5001,"&lt;&gt;")=0,"",SUMIFS(BD!$K$3:$K$5001,BD!$B$3:$B$5001,$A271,BD!$A$3:$A$5001,_xlfn.MAXIFS(BD!$A$3:$A$5001,BD!$B$3:$B$5001,$A271,BD!$A$3:$A$5001,"&gt;="&amp;$F$7,BD!$A$3:$A$5001,"&lt;="&amp;$G$7,BD!$K$3:$K$5001,"&lt;&gt;"))))</f>
        <v/>
      </c>
      <c r="D271" s="43" t="str">
        <f>IF($A271="","",IF(COUNTIFS(BD!$B$3:$B$5001,$A271,BD!$A$3:$A$5001,"&gt;="&amp;$F$8,BD!$A$3:$A$5001,"&lt;="&amp;$G$8,BD!$K$3:$K$5001,"&lt;&gt;")=0,"",SUMIFS(BD!$K$3:$K$5001,BD!$B$3:$B$5001,$A271,BD!$A$3:$A$5001,_xlfn.MAXIFS(BD!$A$3:$A$5001,BD!$B$3:$B$5001,$A271,BD!$A$3:$A$5001,"&gt;="&amp;$F$8,BD!$A$3:$A$5001,"&lt;="&amp;$G$8,BD!$K$3:$K$5001,"&lt;&gt;"))))</f>
        <v/>
      </c>
      <c r="E271" s="43" t="str">
        <f>IF($A271="","",IF(COUNTIFS(BD!$B$3:$B$5001,$A271,BD!$A$3:$A$5001,"&gt;="&amp;$F$7,BD!$A$3:$A$5001,"&lt;="&amp;$G$7,BD!$M$3:$M$5001,"&lt;&gt;")=0,"",SUMIFS(BD!$M$3:$M$5001,BD!$B$3:$B$5001,$A271,BD!$A$3:$A$5001,_xlfn.MAXIFS(BD!$A$3:$A$5001,BD!$B$3:$B$5001,$A271,BD!$A$3:$A$5001,"&gt;="&amp;$F$7,BD!$A$3:$A$5001,"&lt;="&amp;$G$7,BD!$M$3:$M$5001,"&lt;&gt;"))))</f>
        <v/>
      </c>
      <c r="F271" s="43" t="str">
        <f>IF($A271="","",IF(COUNTIFS(BD!$B$3:$B$5001,$A271,BD!$A$3:$A$5001,"&gt;="&amp;$F$8,BD!$A$3:$A$5001,"&lt;="&amp;$G$8,BD!$M$3:$M$5001,"&lt;&gt;")=0,"",SUMIFS(BD!$M$3:$M$5001,BD!$B$3:$B$5001,$A271,BD!$A$3:$A$5001,_xlfn.MAXIFS(BD!$A$3:$A$5001,BD!$B$3:$B$5001,$A271,BD!$A$3:$A$5001,"&gt;="&amp;$F$8,BD!$A$3:$A$5001,"&lt;="&amp;$G$8,BD!$M$3:$M$5001,"&lt;&gt;"))))</f>
        <v/>
      </c>
      <c r="G271" s="43" t="str">
        <f>IF($A271="","",IF(COUNTIFS(BD!$B$3:$B$5001,$A271,BD!$A$3:$A$5001,"&gt;="&amp;$F$7,BD!$A$3:$A$5001,"&lt;="&amp;$G$7,BD!$L$3:$L$5001,"&lt;&gt;")=0,"",SUMIFS(BD!$L$3:$L$5001,BD!$B$3:$B$5001,$A271,BD!$A$3:$A$5001,_xlfn.MAXIFS(BD!$A$3:$A$5001,BD!$B$3:$B$5001,$A271,BD!$A$3:$A$5001,"&gt;="&amp;$F$7,BD!$A$3:$A$5001,"&lt;="&amp;$G$7,BD!$L$3:$L$5001,"&lt;&gt;"))))</f>
        <v/>
      </c>
      <c r="H271" s="43" t="str">
        <f>IF($A271="","",IF(COUNTIFS(BD!$B$3:$B$5001,$A271,BD!$A$3:$A$5001,"&gt;="&amp;$F$8,BD!$A$3:$A$5001,"&lt;="&amp;$G$8,BD!$L$3:$L$5001,"&lt;&gt;")=0,"",SUMIFS(BD!$L$3:$L$5001,BD!$B$3:$B$5001,$A271,BD!$A$3:$A$5001,_xlfn.MAXIFS(BD!$A$3:$A$5001,BD!$B$3:$B$5001,$A271,BD!$A$3:$A$5001,"&gt;="&amp;$F$8,BD!$A$3:$A$5001,"&lt;="&amp;$G$8,BD!$L$3:$L$5001,"&lt;&gt;"))))</f>
        <v/>
      </c>
      <c r="I271" s="43" t="str">
        <f>IF($A271="","",IF(COUNTIFS(BD!$B$3:$B$5001,$A271,BD!$A$3:$A$5001,"&gt;="&amp;$F$7,BD!$A$3:$A$5001,"&lt;="&amp;$G$7,BD!$N$3:$N$5001,"&lt;&gt;")=0,"",SUMIFS(BD!$N$3:$N$5001,BD!$B$3:$B$5001,$A271,BD!$A$3:$A$5001,_xlfn.MAXIFS(BD!$A$3:$A$5001,BD!$B$3:$B$5001,$A271,BD!$A$3:$A$5001,"&gt;="&amp;$F$7,BD!$A$3:$A$5001,"&lt;="&amp;$G$7,BD!$N$3:$N$5001,"&lt;&gt;"))))</f>
        <v/>
      </c>
      <c r="J271" s="43" t="str">
        <f>IF($A271="","",IF(COUNTIFS(BD!$B$3:$B$5001,$A271,BD!$A$3:$A$5001,"&gt;="&amp;$F$8,BD!$A$3:$A$5001,"&lt;="&amp;$G$8,BD!$N$3:$N$5001,"&lt;&gt;")=0,"",SUMIFS(BD!$N$3:$N$5001,BD!$B$3:$B$5001,$A271,BD!$A$3:$A$5001,_xlfn.MAXIFS(BD!$A$3:$A$5001,BD!$B$3:$B$5001,$A271,BD!$A$3:$A$5001,"&gt;="&amp;$F$8,BD!$A$3:$A$5001,"&lt;="&amp;$G$8,BD!$N$3:$N$5001,"&lt;&gt;"))))</f>
        <v/>
      </c>
    </row>
    <row r="272">
      <c r="A272" s="65" t="str">
        <f>Config!$B$24&amp;""</f>
        <v/>
      </c>
      <c r="B272" s="38" t="str">
        <f>IF(Config!$C$24="","JSL",Config!$C$24)</f>
        <v>JSL</v>
      </c>
      <c r="C272" s="43" t="str">
        <f>IF($A272="","",IF(COUNTIFS(BD!$B$3:$B$5001,$A272,BD!$A$3:$A$5001,"&gt;="&amp;$F$7,BD!$A$3:$A$5001,"&lt;="&amp;$G$7,BD!$K$3:$K$5001,"&lt;&gt;")=0,"",SUMIFS(BD!$K$3:$K$5001,BD!$B$3:$B$5001,$A272,BD!$A$3:$A$5001,_xlfn.MAXIFS(BD!$A$3:$A$5001,BD!$B$3:$B$5001,$A272,BD!$A$3:$A$5001,"&gt;="&amp;$F$7,BD!$A$3:$A$5001,"&lt;="&amp;$G$7,BD!$K$3:$K$5001,"&lt;&gt;"))))</f>
        <v/>
      </c>
      <c r="D272" s="43" t="str">
        <f>IF($A272="","",IF(COUNTIFS(BD!$B$3:$B$5001,$A272,BD!$A$3:$A$5001,"&gt;="&amp;$F$8,BD!$A$3:$A$5001,"&lt;="&amp;$G$8,BD!$K$3:$K$5001,"&lt;&gt;")=0,"",SUMIFS(BD!$K$3:$K$5001,BD!$B$3:$B$5001,$A272,BD!$A$3:$A$5001,_xlfn.MAXIFS(BD!$A$3:$A$5001,BD!$B$3:$B$5001,$A272,BD!$A$3:$A$5001,"&gt;="&amp;$F$8,BD!$A$3:$A$5001,"&lt;="&amp;$G$8,BD!$K$3:$K$5001,"&lt;&gt;"))))</f>
        <v/>
      </c>
      <c r="E272" s="43" t="str">
        <f>IF($A272="","",IF(COUNTIFS(BD!$B$3:$B$5001,$A272,BD!$A$3:$A$5001,"&gt;="&amp;$F$7,BD!$A$3:$A$5001,"&lt;="&amp;$G$7,BD!$M$3:$M$5001,"&lt;&gt;")=0,"",SUMIFS(BD!$M$3:$M$5001,BD!$B$3:$B$5001,$A272,BD!$A$3:$A$5001,_xlfn.MAXIFS(BD!$A$3:$A$5001,BD!$B$3:$B$5001,$A272,BD!$A$3:$A$5001,"&gt;="&amp;$F$7,BD!$A$3:$A$5001,"&lt;="&amp;$G$7,BD!$M$3:$M$5001,"&lt;&gt;"))))</f>
        <v/>
      </c>
      <c r="F272" s="43" t="str">
        <f>IF($A272="","",IF(COUNTIFS(BD!$B$3:$B$5001,$A272,BD!$A$3:$A$5001,"&gt;="&amp;$F$8,BD!$A$3:$A$5001,"&lt;="&amp;$G$8,BD!$M$3:$M$5001,"&lt;&gt;")=0,"",SUMIFS(BD!$M$3:$M$5001,BD!$B$3:$B$5001,$A272,BD!$A$3:$A$5001,_xlfn.MAXIFS(BD!$A$3:$A$5001,BD!$B$3:$B$5001,$A272,BD!$A$3:$A$5001,"&gt;="&amp;$F$8,BD!$A$3:$A$5001,"&lt;="&amp;$G$8,BD!$M$3:$M$5001,"&lt;&gt;"))))</f>
        <v/>
      </c>
      <c r="G272" s="43" t="str">
        <f>IF($A272="","",IF(COUNTIFS(BD!$B$3:$B$5001,$A272,BD!$A$3:$A$5001,"&gt;="&amp;$F$7,BD!$A$3:$A$5001,"&lt;="&amp;$G$7,BD!$L$3:$L$5001,"&lt;&gt;")=0,"",SUMIFS(BD!$L$3:$L$5001,BD!$B$3:$B$5001,$A272,BD!$A$3:$A$5001,_xlfn.MAXIFS(BD!$A$3:$A$5001,BD!$B$3:$B$5001,$A272,BD!$A$3:$A$5001,"&gt;="&amp;$F$7,BD!$A$3:$A$5001,"&lt;="&amp;$G$7,BD!$L$3:$L$5001,"&lt;&gt;"))))</f>
        <v/>
      </c>
      <c r="H272" s="43" t="str">
        <f>IF($A272="","",IF(COUNTIFS(BD!$B$3:$B$5001,$A272,BD!$A$3:$A$5001,"&gt;="&amp;$F$8,BD!$A$3:$A$5001,"&lt;="&amp;$G$8,BD!$L$3:$L$5001,"&lt;&gt;")=0,"",SUMIFS(BD!$L$3:$L$5001,BD!$B$3:$B$5001,$A272,BD!$A$3:$A$5001,_xlfn.MAXIFS(BD!$A$3:$A$5001,BD!$B$3:$B$5001,$A272,BD!$A$3:$A$5001,"&gt;="&amp;$F$8,BD!$A$3:$A$5001,"&lt;="&amp;$G$8,BD!$L$3:$L$5001,"&lt;&gt;"))))</f>
        <v/>
      </c>
      <c r="I272" s="43" t="str">
        <f>IF($A272="","",IF(COUNTIFS(BD!$B$3:$B$5001,$A272,BD!$A$3:$A$5001,"&gt;="&amp;$F$7,BD!$A$3:$A$5001,"&lt;="&amp;$G$7,BD!$N$3:$N$5001,"&lt;&gt;")=0,"",SUMIFS(BD!$N$3:$N$5001,BD!$B$3:$B$5001,$A272,BD!$A$3:$A$5001,_xlfn.MAXIFS(BD!$A$3:$A$5001,BD!$B$3:$B$5001,$A272,BD!$A$3:$A$5001,"&gt;="&amp;$F$7,BD!$A$3:$A$5001,"&lt;="&amp;$G$7,BD!$N$3:$N$5001,"&lt;&gt;"))))</f>
        <v/>
      </c>
      <c r="J272" s="43" t="str">
        <f>IF($A272="","",IF(COUNTIFS(BD!$B$3:$B$5001,$A272,BD!$A$3:$A$5001,"&gt;="&amp;$F$8,BD!$A$3:$A$5001,"&lt;="&amp;$G$8,BD!$N$3:$N$5001,"&lt;&gt;")=0,"",SUMIFS(BD!$N$3:$N$5001,BD!$B$3:$B$5001,$A272,BD!$A$3:$A$5001,_xlfn.MAXIFS(BD!$A$3:$A$5001,BD!$B$3:$B$5001,$A272,BD!$A$3:$A$5001,"&gt;="&amp;$F$8,BD!$A$3:$A$5001,"&lt;="&amp;$G$8,BD!$N$3:$N$5001,"&lt;&gt;"))))</f>
        <v/>
      </c>
    </row>
    <row r="273">
      <c r="A273" s="65" t="str">
        <f>Config!$B$25&amp;""</f>
        <v/>
      </c>
      <c r="B273" s="38" t="str">
        <f>IF(Config!$C$25="","JSL",Config!$C$25)</f>
        <v>JSL</v>
      </c>
      <c r="C273" s="43" t="str">
        <f>IF($A273="","",IF(COUNTIFS(BD!$B$3:$B$5001,$A273,BD!$A$3:$A$5001,"&gt;="&amp;$F$7,BD!$A$3:$A$5001,"&lt;="&amp;$G$7,BD!$K$3:$K$5001,"&lt;&gt;")=0,"",SUMIFS(BD!$K$3:$K$5001,BD!$B$3:$B$5001,$A273,BD!$A$3:$A$5001,_xlfn.MAXIFS(BD!$A$3:$A$5001,BD!$B$3:$B$5001,$A273,BD!$A$3:$A$5001,"&gt;="&amp;$F$7,BD!$A$3:$A$5001,"&lt;="&amp;$G$7,BD!$K$3:$K$5001,"&lt;&gt;"))))</f>
        <v/>
      </c>
      <c r="D273" s="43" t="str">
        <f>IF($A273="","",IF(COUNTIFS(BD!$B$3:$B$5001,$A273,BD!$A$3:$A$5001,"&gt;="&amp;$F$8,BD!$A$3:$A$5001,"&lt;="&amp;$G$8,BD!$K$3:$K$5001,"&lt;&gt;")=0,"",SUMIFS(BD!$K$3:$K$5001,BD!$B$3:$B$5001,$A273,BD!$A$3:$A$5001,_xlfn.MAXIFS(BD!$A$3:$A$5001,BD!$B$3:$B$5001,$A273,BD!$A$3:$A$5001,"&gt;="&amp;$F$8,BD!$A$3:$A$5001,"&lt;="&amp;$G$8,BD!$K$3:$K$5001,"&lt;&gt;"))))</f>
        <v/>
      </c>
      <c r="E273" s="43" t="str">
        <f>IF($A273="","",IF(COUNTIFS(BD!$B$3:$B$5001,$A273,BD!$A$3:$A$5001,"&gt;="&amp;$F$7,BD!$A$3:$A$5001,"&lt;="&amp;$G$7,BD!$M$3:$M$5001,"&lt;&gt;")=0,"",SUMIFS(BD!$M$3:$M$5001,BD!$B$3:$B$5001,$A273,BD!$A$3:$A$5001,_xlfn.MAXIFS(BD!$A$3:$A$5001,BD!$B$3:$B$5001,$A273,BD!$A$3:$A$5001,"&gt;="&amp;$F$7,BD!$A$3:$A$5001,"&lt;="&amp;$G$7,BD!$M$3:$M$5001,"&lt;&gt;"))))</f>
        <v/>
      </c>
      <c r="F273" s="43" t="str">
        <f>IF($A273="","",IF(COUNTIFS(BD!$B$3:$B$5001,$A273,BD!$A$3:$A$5001,"&gt;="&amp;$F$8,BD!$A$3:$A$5001,"&lt;="&amp;$G$8,BD!$M$3:$M$5001,"&lt;&gt;")=0,"",SUMIFS(BD!$M$3:$M$5001,BD!$B$3:$B$5001,$A273,BD!$A$3:$A$5001,_xlfn.MAXIFS(BD!$A$3:$A$5001,BD!$B$3:$B$5001,$A273,BD!$A$3:$A$5001,"&gt;="&amp;$F$8,BD!$A$3:$A$5001,"&lt;="&amp;$G$8,BD!$M$3:$M$5001,"&lt;&gt;"))))</f>
        <v/>
      </c>
      <c r="G273" s="43" t="str">
        <f>IF($A273="","",IF(COUNTIFS(BD!$B$3:$B$5001,$A273,BD!$A$3:$A$5001,"&gt;="&amp;$F$7,BD!$A$3:$A$5001,"&lt;="&amp;$G$7,BD!$L$3:$L$5001,"&lt;&gt;")=0,"",SUMIFS(BD!$L$3:$L$5001,BD!$B$3:$B$5001,$A273,BD!$A$3:$A$5001,_xlfn.MAXIFS(BD!$A$3:$A$5001,BD!$B$3:$B$5001,$A273,BD!$A$3:$A$5001,"&gt;="&amp;$F$7,BD!$A$3:$A$5001,"&lt;="&amp;$G$7,BD!$L$3:$L$5001,"&lt;&gt;"))))</f>
        <v/>
      </c>
      <c r="H273" s="43" t="str">
        <f>IF($A273="","",IF(COUNTIFS(BD!$B$3:$B$5001,$A273,BD!$A$3:$A$5001,"&gt;="&amp;$F$8,BD!$A$3:$A$5001,"&lt;="&amp;$G$8,BD!$L$3:$L$5001,"&lt;&gt;")=0,"",SUMIFS(BD!$L$3:$L$5001,BD!$B$3:$B$5001,$A273,BD!$A$3:$A$5001,_xlfn.MAXIFS(BD!$A$3:$A$5001,BD!$B$3:$B$5001,$A273,BD!$A$3:$A$5001,"&gt;="&amp;$F$8,BD!$A$3:$A$5001,"&lt;="&amp;$G$8,BD!$L$3:$L$5001,"&lt;&gt;"))))</f>
        <v/>
      </c>
      <c r="I273" s="43" t="str">
        <f>IF($A273="","",IF(COUNTIFS(BD!$B$3:$B$5001,$A273,BD!$A$3:$A$5001,"&gt;="&amp;$F$7,BD!$A$3:$A$5001,"&lt;="&amp;$G$7,BD!$N$3:$N$5001,"&lt;&gt;")=0,"",SUMIFS(BD!$N$3:$N$5001,BD!$B$3:$B$5001,$A273,BD!$A$3:$A$5001,_xlfn.MAXIFS(BD!$A$3:$A$5001,BD!$B$3:$B$5001,$A273,BD!$A$3:$A$5001,"&gt;="&amp;$F$7,BD!$A$3:$A$5001,"&lt;="&amp;$G$7,BD!$N$3:$N$5001,"&lt;&gt;"))))</f>
        <v/>
      </c>
      <c r="J273" s="43" t="str">
        <f>IF($A273="","",IF(COUNTIFS(BD!$B$3:$B$5001,$A273,BD!$A$3:$A$5001,"&gt;="&amp;$F$8,BD!$A$3:$A$5001,"&lt;="&amp;$G$8,BD!$N$3:$N$5001,"&lt;&gt;")=0,"",SUMIFS(BD!$N$3:$N$5001,BD!$B$3:$B$5001,$A273,BD!$A$3:$A$5001,_xlfn.MAXIFS(BD!$A$3:$A$5001,BD!$B$3:$B$5001,$A273,BD!$A$3:$A$5001,"&gt;="&amp;$F$8,BD!$A$3:$A$5001,"&lt;="&amp;$G$8,BD!$N$3:$N$5001,"&lt;&gt;"))))</f>
        <v/>
      </c>
    </row>
    <row r="274">
      <c r="A274" s="65" t="str">
        <f>Config!$B$26&amp;""</f>
        <v/>
      </c>
      <c r="B274" s="38" t="str">
        <f>IF(Config!$C$26="","JSL",Config!$C$26)</f>
        <v>JSL</v>
      </c>
      <c r="C274" s="43" t="str">
        <f>IF($A274="","",IF(COUNTIFS(BD!$B$3:$B$5001,$A274,BD!$A$3:$A$5001,"&gt;="&amp;$F$7,BD!$A$3:$A$5001,"&lt;="&amp;$G$7,BD!$K$3:$K$5001,"&lt;&gt;")=0,"",SUMIFS(BD!$K$3:$K$5001,BD!$B$3:$B$5001,$A274,BD!$A$3:$A$5001,_xlfn.MAXIFS(BD!$A$3:$A$5001,BD!$B$3:$B$5001,$A274,BD!$A$3:$A$5001,"&gt;="&amp;$F$7,BD!$A$3:$A$5001,"&lt;="&amp;$G$7,BD!$K$3:$K$5001,"&lt;&gt;"))))</f>
        <v/>
      </c>
      <c r="D274" s="43" t="str">
        <f>IF($A274="","",IF(COUNTIFS(BD!$B$3:$B$5001,$A274,BD!$A$3:$A$5001,"&gt;="&amp;$F$8,BD!$A$3:$A$5001,"&lt;="&amp;$G$8,BD!$K$3:$K$5001,"&lt;&gt;")=0,"",SUMIFS(BD!$K$3:$K$5001,BD!$B$3:$B$5001,$A274,BD!$A$3:$A$5001,_xlfn.MAXIFS(BD!$A$3:$A$5001,BD!$B$3:$B$5001,$A274,BD!$A$3:$A$5001,"&gt;="&amp;$F$8,BD!$A$3:$A$5001,"&lt;="&amp;$G$8,BD!$K$3:$K$5001,"&lt;&gt;"))))</f>
        <v/>
      </c>
      <c r="E274" s="43" t="str">
        <f>IF($A274="","",IF(COUNTIFS(BD!$B$3:$B$5001,$A274,BD!$A$3:$A$5001,"&gt;="&amp;$F$7,BD!$A$3:$A$5001,"&lt;="&amp;$G$7,BD!$M$3:$M$5001,"&lt;&gt;")=0,"",SUMIFS(BD!$M$3:$M$5001,BD!$B$3:$B$5001,$A274,BD!$A$3:$A$5001,_xlfn.MAXIFS(BD!$A$3:$A$5001,BD!$B$3:$B$5001,$A274,BD!$A$3:$A$5001,"&gt;="&amp;$F$7,BD!$A$3:$A$5001,"&lt;="&amp;$G$7,BD!$M$3:$M$5001,"&lt;&gt;"))))</f>
        <v/>
      </c>
      <c r="F274" s="43" t="str">
        <f>IF($A274="","",IF(COUNTIFS(BD!$B$3:$B$5001,$A274,BD!$A$3:$A$5001,"&gt;="&amp;$F$8,BD!$A$3:$A$5001,"&lt;="&amp;$G$8,BD!$M$3:$M$5001,"&lt;&gt;")=0,"",SUMIFS(BD!$M$3:$M$5001,BD!$B$3:$B$5001,$A274,BD!$A$3:$A$5001,_xlfn.MAXIFS(BD!$A$3:$A$5001,BD!$B$3:$B$5001,$A274,BD!$A$3:$A$5001,"&gt;="&amp;$F$8,BD!$A$3:$A$5001,"&lt;="&amp;$G$8,BD!$M$3:$M$5001,"&lt;&gt;"))))</f>
        <v/>
      </c>
      <c r="G274" s="43" t="str">
        <f>IF($A274="","",IF(COUNTIFS(BD!$B$3:$B$5001,$A274,BD!$A$3:$A$5001,"&gt;="&amp;$F$7,BD!$A$3:$A$5001,"&lt;="&amp;$G$7,BD!$L$3:$L$5001,"&lt;&gt;")=0,"",SUMIFS(BD!$L$3:$L$5001,BD!$B$3:$B$5001,$A274,BD!$A$3:$A$5001,_xlfn.MAXIFS(BD!$A$3:$A$5001,BD!$B$3:$B$5001,$A274,BD!$A$3:$A$5001,"&gt;="&amp;$F$7,BD!$A$3:$A$5001,"&lt;="&amp;$G$7,BD!$L$3:$L$5001,"&lt;&gt;"))))</f>
        <v/>
      </c>
      <c r="H274" s="43" t="str">
        <f>IF($A274="","",IF(COUNTIFS(BD!$B$3:$B$5001,$A274,BD!$A$3:$A$5001,"&gt;="&amp;$F$8,BD!$A$3:$A$5001,"&lt;="&amp;$G$8,BD!$L$3:$L$5001,"&lt;&gt;")=0,"",SUMIFS(BD!$L$3:$L$5001,BD!$B$3:$B$5001,$A274,BD!$A$3:$A$5001,_xlfn.MAXIFS(BD!$A$3:$A$5001,BD!$B$3:$B$5001,$A274,BD!$A$3:$A$5001,"&gt;="&amp;$F$8,BD!$A$3:$A$5001,"&lt;="&amp;$G$8,BD!$L$3:$L$5001,"&lt;&gt;"))))</f>
        <v/>
      </c>
      <c r="I274" s="43" t="str">
        <f>IF($A274="","",IF(COUNTIFS(BD!$B$3:$B$5001,$A274,BD!$A$3:$A$5001,"&gt;="&amp;$F$7,BD!$A$3:$A$5001,"&lt;="&amp;$G$7,BD!$N$3:$N$5001,"&lt;&gt;")=0,"",SUMIFS(BD!$N$3:$N$5001,BD!$B$3:$B$5001,$A274,BD!$A$3:$A$5001,_xlfn.MAXIFS(BD!$A$3:$A$5001,BD!$B$3:$B$5001,$A274,BD!$A$3:$A$5001,"&gt;="&amp;$F$7,BD!$A$3:$A$5001,"&lt;="&amp;$G$7,BD!$N$3:$N$5001,"&lt;&gt;"))))</f>
        <v/>
      </c>
      <c r="J274" s="43" t="str">
        <f>IF($A274="","",IF(COUNTIFS(BD!$B$3:$B$5001,$A274,BD!$A$3:$A$5001,"&gt;="&amp;$F$8,BD!$A$3:$A$5001,"&lt;="&amp;$G$8,BD!$N$3:$N$5001,"&lt;&gt;")=0,"",SUMIFS(BD!$N$3:$N$5001,BD!$B$3:$B$5001,$A274,BD!$A$3:$A$5001,_xlfn.MAXIFS(BD!$A$3:$A$5001,BD!$B$3:$B$5001,$A274,BD!$A$3:$A$5001,"&gt;="&amp;$F$8,BD!$A$3:$A$5001,"&lt;="&amp;$G$8,BD!$N$3:$N$5001,"&lt;&gt;"))))</f>
        <v/>
      </c>
    </row>
    <row r="275">
      <c r="A275" s="65" t="str">
        <f>Config!$B$27&amp;""</f>
        <v/>
      </c>
      <c r="B275" s="38" t="str">
        <f>IF(Config!$C$27="","JSL",Config!$C$27)</f>
        <v>JSL</v>
      </c>
      <c r="C275" s="43" t="str">
        <f>IF($A275="","",IF(COUNTIFS(BD!$B$3:$B$5001,$A275,BD!$A$3:$A$5001,"&gt;="&amp;$F$7,BD!$A$3:$A$5001,"&lt;="&amp;$G$7,BD!$K$3:$K$5001,"&lt;&gt;")=0,"",SUMIFS(BD!$K$3:$K$5001,BD!$B$3:$B$5001,$A275,BD!$A$3:$A$5001,_xlfn.MAXIFS(BD!$A$3:$A$5001,BD!$B$3:$B$5001,$A275,BD!$A$3:$A$5001,"&gt;="&amp;$F$7,BD!$A$3:$A$5001,"&lt;="&amp;$G$7,BD!$K$3:$K$5001,"&lt;&gt;"))))</f>
        <v/>
      </c>
      <c r="D275" s="43" t="str">
        <f>IF($A275="","",IF(COUNTIFS(BD!$B$3:$B$5001,$A275,BD!$A$3:$A$5001,"&gt;="&amp;$F$8,BD!$A$3:$A$5001,"&lt;="&amp;$G$8,BD!$K$3:$K$5001,"&lt;&gt;")=0,"",SUMIFS(BD!$K$3:$K$5001,BD!$B$3:$B$5001,$A275,BD!$A$3:$A$5001,_xlfn.MAXIFS(BD!$A$3:$A$5001,BD!$B$3:$B$5001,$A275,BD!$A$3:$A$5001,"&gt;="&amp;$F$8,BD!$A$3:$A$5001,"&lt;="&amp;$G$8,BD!$K$3:$K$5001,"&lt;&gt;"))))</f>
        <v/>
      </c>
      <c r="E275" s="43" t="str">
        <f>IF($A275="","",IF(COUNTIFS(BD!$B$3:$B$5001,$A275,BD!$A$3:$A$5001,"&gt;="&amp;$F$7,BD!$A$3:$A$5001,"&lt;="&amp;$G$7,BD!$M$3:$M$5001,"&lt;&gt;")=0,"",SUMIFS(BD!$M$3:$M$5001,BD!$B$3:$B$5001,$A275,BD!$A$3:$A$5001,_xlfn.MAXIFS(BD!$A$3:$A$5001,BD!$B$3:$B$5001,$A275,BD!$A$3:$A$5001,"&gt;="&amp;$F$7,BD!$A$3:$A$5001,"&lt;="&amp;$G$7,BD!$M$3:$M$5001,"&lt;&gt;"))))</f>
        <v/>
      </c>
      <c r="F275" s="43" t="str">
        <f>IF($A275="","",IF(COUNTIFS(BD!$B$3:$B$5001,$A275,BD!$A$3:$A$5001,"&gt;="&amp;$F$8,BD!$A$3:$A$5001,"&lt;="&amp;$G$8,BD!$M$3:$M$5001,"&lt;&gt;")=0,"",SUMIFS(BD!$M$3:$M$5001,BD!$B$3:$B$5001,$A275,BD!$A$3:$A$5001,_xlfn.MAXIFS(BD!$A$3:$A$5001,BD!$B$3:$B$5001,$A275,BD!$A$3:$A$5001,"&gt;="&amp;$F$8,BD!$A$3:$A$5001,"&lt;="&amp;$G$8,BD!$M$3:$M$5001,"&lt;&gt;"))))</f>
        <v/>
      </c>
      <c r="G275" s="43" t="str">
        <f>IF($A275="","",IF(COUNTIFS(BD!$B$3:$B$5001,$A275,BD!$A$3:$A$5001,"&gt;="&amp;$F$7,BD!$A$3:$A$5001,"&lt;="&amp;$G$7,BD!$L$3:$L$5001,"&lt;&gt;")=0,"",SUMIFS(BD!$L$3:$L$5001,BD!$B$3:$B$5001,$A275,BD!$A$3:$A$5001,_xlfn.MAXIFS(BD!$A$3:$A$5001,BD!$B$3:$B$5001,$A275,BD!$A$3:$A$5001,"&gt;="&amp;$F$7,BD!$A$3:$A$5001,"&lt;="&amp;$G$7,BD!$L$3:$L$5001,"&lt;&gt;"))))</f>
        <v/>
      </c>
      <c r="H275" s="43" t="str">
        <f>IF($A275="","",IF(COUNTIFS(BD!$B$3:$B$5001,$A275,BD!$A$3:$A$5001,"&gt;="&amp;$F$8,BD!$A$3:$A$5001,"&lt;="&amp;$G$8,BD!$L$3:$L$5001,"&lt;&gt;")=0,"",SUMIFS(BD!$L$3:$L$5001,BD!$B$3:$B$5001,$A275,BD!$A$3:$A$5001,_xlfn.MAXIFS(BD!$A$3:$A$5001,BD!$B$3:$B$5001,$A275,BD!$A$3:$A$5001,"&gt;="&amp;$F$8,BD!$A$3:$A$5001,"&lt;="&amp;$G$8,BD!$L$3:$L$5001,"&lt;&gt;"))))</f>
        <v/>
      </c>
      <c r="I275" s="43" t="str">
        <f>IF($A275="","",IF(COUNTIFS(BD!$B$3:$B$5001,$A275,BD!$A$3:$A$5001,"&gt;="&amp;$F$7,BD!$A$3:$A$5001,"&lt;="&amp;$G$7,BD!$N$3:$N$5001,"&lt;&gt;")=0,"",SUMIFS(BD!$N$3:$N$5001,BD!$B$3:$B$5001,$A275,BD!$A$3:$A$5001,_xlfn.MAXIFS(BD!$A$3:$A$5001,BD!$B$3:$B$5001,$A275,BD!$A$3:$A$5001,"&gt;="&amp;$F$7,BD!$A$3:$A$5001,"&lt;="&amp;$G$7,BD!$N$3:$N$5001,"&lt;&gt;"))))</f>
        <v/>
      </c>
      <c r="J275" s="43" t="str">
        <f>IF($A275="","",IF(COUNTIFS(BD!$B$3:$B$5001,$A275,BD!$A$3:$A$5001,"&gt;="&amp;$F$8,BD!$A$3:$A$5001,"&lt;="&amp;$G$8,BD!$N$3:$N$5001,"&lt;&gt;")=0,"",SUMIFS(BD!$N$3:$N$5001,BD!$B$3:$B$5001,$A275,BD!$A$3:$A$5001,_xlfn.MAXIFS(BD!$A$3:$A$5001,BD!$B$3:$B$5001,$A275,BD!$A$3:$A$5001,"&gt;="&amp;$F$8,BD!$A$3:$A$5001,"&lt;="&amp;$G$8,BD!$N$3:$N$5001,"&lt;&gt;"))))</f>
        <v/>
      </c>
    </row>
    <row r="276">
      <c r="A276" s="65" t="str">
        <f>Config!$B$28&amp;""</f>
        <v/>
      </c>
      <c r="B276" s="38" t="str">
        <f>IF(Config!$C$28="","JSL",Config!$C$28)</f>
        <v>JSL</v>
      </c>
      <c r="C276" s="43" t="str">
        <f>IF($A276="","",IF(COUNTIFS(BD!$B$3:$B$5001,$A276,BD!$A$3:$A$5001,"&gt;="&amp;$F$7,BD!$A$3:$A$5001,"&lt;="&amp;$G$7,BD!$K$3:$K$5001,"&lt;&gt;")=0,"",SUMIFS(BD!$K$3:$K$5001,BD!$B$3:$B$5001,$A276,BD!$A$3:$A$5001,_xlfn.MAXIFS(BD!$A$3:$A$5001,BD!$B$3:$B$5001,$A276,BD!$A$3:$A$5001,"&gt;="&amp;$F$7,BD!$A$3:$A$5001,"&lt;="&amp;$G$7,BD!$K$3:$K$5001,"&lt;&gt;"))))</f>
        <v/>
      </c>
      <c r="D276" s="43" t="str">
        <f>IF($A276="","",IF(COUNTIFS(BD!$B$3:$B$5001,$A276,BD!$A$3:$A$5001,"&gt;="&amp;$F$8,BD!$A$3:$A$5001,"&lt;="&amp;$G$8,BD!$K$3:$K$5001,"&lt;&gt;")=0,"",SUMIFS(BD!$K$3:$K$5001,BD!$B$3:$B$5001,$A276,BD!$A$3:$A$5001,_xlfn.MAXIFS(BD!$A$3:$A$5001,BD!$B$3:$B$5001,$A276,BD!$A$3:$A$5001,"&gt;="&amp;$F$8,BD!$A$3:$A$5001,"&lt;="&amp;$G$8,BD!$K$3:$K$5001,"&lt;&gt;"))))</f>
        <v/>
      </c>
      <c r="E276" s="43" t="str">
        <f>IF($A276="","",IF(COUNTIFS(BD!$B$3:$B$5001,$A276,BD!$A$3:$A$5001,"&gt;="&amp;$F$7,BD!$A$3:$A$5001,"&lt;="&amp;$G$7,BD!$M$3:$M$5001,"&lt;&gt;")=0,"",SUMIFS(BD!$M$3:$M$5001,BD!$B$3:$B$5001,$A276,BD!$A$3:$A$5001,_xlfn.MAXIFS(BD!$A$3:$A$5001,BD!$B$3:$B$5001,$A276,BD!$A$3:$A$5001,"&gt;="&amp;$F$7,BD!$A$3:$A$5001,"&lt;="&amp;$G$7,BD!$M$3:$M$5001,"&lt;&gt;"))))</f>
        <v/>
      </c>
      <c r="F276" s="43" t="str">
        <f>IF($A276="","",IF(COUNTIFS(BD!$B$3:$B$5001,$A276,BD!$A$3:$A$5001,"&gt;="&amp;$F$8,BD!$A$3:$A$5001,"&lt;="&amp;$G$8,BD!$M$3:$M$5001,"&lt;&gt;")=0,"",SUMIFS(BD!$M$3:$M$5001,BD!$B$3:$B$5001,$A276,BD!$A$3:$A$5001,_xlfn.MAXIFS(BD!$A$3:$A$5001,BD!$B$3:$B$5001,$A276,BD!$A$3:$A$5001,"&gt;="&amp;$F$8,BD!$A$3:$A$5001,"&lt;="&amp;$G$8,BD!$M$3:$M$5001,"&lt;&gt;"))))</f>
        <v/>
      </c>
      <c r="G276" s="43" t="str">
        <f>IF($A276="","",IF(COUNTIFS(BD!$B$3:$B$5001,$A276,BD!$A$3:$A$5001,"&gt;="&amp;$F$7,BD!$A$3:$A$5001,"&lt;="&amp;$G$7,BD!$L$3:$L$5001,"&lt;&gt;")=0,"",SUMIFS(BD!$L$3:$L$5001,BD!$B$3:$B$5001,$A276,BD!$A$3:$A$5001,_xlfn.MAXIFS(BD!$A$3:$A$5001,BD!$B$3:$B$5001,$A276,BD!$A$3:$A$5001,"&gt;="&amp;$F$7,BD!$A$3:$A$5001,"&lt;="&amp;$G$7,BD!$L$3:$L$5001,"&lt;&gt;"))))</f>
        <v/>
      </c>
      <c r="H276" s="43" t="str">
        <f>IF($A276="","",IF(COUNTIFS(BD!$B$3:$B$5001,$A276,BD!$A$3:$A$5001,"&gt;="&amp;$F$8,BD!$A$3:$A$5001,"&lt;="&amp;$G$8,BD!$L$3:$L$5001,"&lt;&gt;")=0,"",SUMIFS(BD!$L$3:$L$5001,BD!$B$3:$B$5001,$A276,BD!$A$3:$A$5001,_xlfn.MAXIFS(BD!$A$3:$A$5001,BD!$B$3:$B$5001,$A276,BD!$A$3:$A$5001,"&gt;="&amp;$F$8,BD!$A$3:$A$5001,"&lt;="&amp;$G$8,BD!$L$3:$L$5001,"&lt;&gt;"))))</f>
        <v/>
      </c>
      <c r="I276" s="43" t="str">
        <f>IF($A276="","",IF(COUNTIFS(BD!$B$3:$B$5001,$A276,BD!$A$3:$A$5001,"&gt;="&amp;$F$7,BD!$A$3:$A$5001,"&lt;="&amp;$G$7,BD!$N$3:$N$5001,"&lt;&gt;")=0,"",SUMIFS(BD!$N$3:$N$5001,BD!$B$3:$B$5001,$A276,BD!$A$3:$A$5001,_xlfn.MAXIFS(BD!$A$3:$A$5001,BD!$B$3:$B$5001,$A276,BD!$A$3:$A$5001,"&gt;="&amp;$F$7,BD!$A$3:$A$5001,"&lt;="&amp;$G$7,BD!$N$3:$N$5001,"&lt;&gt;"))))</f>
        <v/>
      </c>
      <c r="J276" s="43" t="str">
        <f>IF($A276="","",IF(COUNTIFS(BD!$B$3:$B$5001,$A276,BD!$A$3:$A$5001,"&gt;="&amp;$F$8,BD!$A$3:$A$5001,"&lt;="&amp;$G$8,BD!$N$3:$N$5001,"&lt;&gt;")=0,"",SUMIFS(BD!$N$3:$N$5001,BD!$B$3:$B$5001,$A276,BD!$A$3:$A$5001,_xlfn.MAXIFS(BD!$A$3:$A$5001,BD!$B$3:$B$5001,$A276,BD!$A$3:$A$5001,"&gt;="&amp;$F$8,BD!$A$3:$A$5001,"&lt;="&amp;$G$8,BD!$N$3:$N$5001,"&lt;&gt;"))))</f>
        <v/>
      </c>
    </row>
    <row r="277">
      <c r="A277" s="65" t="str">
        <f>Config!$B$29&amp;""</f>
        <v/>
      </c>
      <c r="B277" s="38" t="str">
        <f>IF(Config!$C$29="","JSL",Config!$C$29)</f>
        <v>JSL</v>
      </c>
      <c r="C277" s="43" t="str">
        <f>IF($A277="","",IF(COUNTIFS(BD!$B$3:$B$5001,$A277,BD!$A$3:$A$5001,"&gt;="&amp;$F$7,BD!$A$3:$A$5001,"&lt;="&amp;$G$7,BD!$K$3:$K$5001,"&lt;&gt;")=0,"",SUMIFS(BD!$K$3:$K$5001,BD!$B$3:$B$5001,$A277,BD!$A$3:$A$5001,_xlfn.MAXIFS(BD!$A$3:$A$5001,BD!$B$3:$B$5001,$A277,BD!$A$3:$A$5001,"&gt;="&amp;$F$7,BD!$A$3:$A$5001,"&lt;="&amp;$G$7,BD!$K$3:$K$5001,"&lt;&gt;"))))</f>
        <v/>
      </c>
      <c r="D277" s="43" t="str">
        <f>IF($A277="","",IF(COUNTIFS(BD!$B$3:$B$5001,$A277,BD!$A$3:$A$5001,"&gt;="&amp;$F$8,BD!$A$3:$A$5001,"&lt;="&amp;$G$8,BD!$K$3:$K$5001,"&lt;&gt;")=0,"",SUMIFS(BD!$K$3:$K$5001,BD!$B$3:$B$5001,$A277,BD!$A$3:$A$5001,_xlfn.MAXIFS(BD!$A$3:$A$5001,BD!$B$3:$B$5001,$A277,BD!$A$3:$A$5001,"&gt;="&amp;$F$8,BD!$A$3:$A$5001,"&lt;="&amp;$G$8,BD!$K$3:$K$5001,"&lt;&gt;"))))</f>
        <v/>
      </c>
      <c r="E277" s="43" t="str">
        <f>IF($A277="","",IF(COUNTIFS(BD!$B$3:$B$5001,$A277,BD!$A$3:$A$5001,"&gt;="&amp;$F$7,BD!$A$3:$A$5001,"&lt;="&amp;$G$7,BD!$M$3:$M$5001,"&lt;&gt;")=0,"",SUMIFS(BD!$M$3:$M$5001,BD!$B$3:$B$5001,$A277,BD!$A$3:$A$5001,_xlfn.MAXIFS(BD!$A$3:$A$5001,BD!$B$3:$B$5001,$A277,BD!$A$3:$A$5001,"&gt;="&amp;$F$7,BD!$A$3:$A$5001,"&lt;="&amp;$G$7,BD!$M$3:$M$5001,"&lt;&gt;"))))</f>
        <v/>
      </c>
      <c r="F277" s="43" t="str">
        <f>IF($A277="","",IF(COUNTIFS(BD!$B$3:$B$5001,$A277,BD!$A$3:$A$5001,"&gt;="&amp;$F$8,BD!$A$3:$A$5001,"&lt;="&amp;$G$8,BD!$M$3:$M$5001,"&lt;&gt;")=0,"",SUMIFS(BD!$M$3:$M$5001,BD!$B$3:$B$5001,$A277,BD!$A$3:$A$5001,_xlfn.MAXIFS(BD!$A$3:$A$5001,BD!$B$3:$B$5001,$A277,BD!$A$3:$A$5001,"&gt;="&amp;$F$8,BD!$A$3:$A$5001,"&lt;="&amp;$G$8,BD!$M$3:$M$5001,"&lt;&gt;"))))</f>
        <v/>
      </c>
      <c r="G277" s="43" t="str">
        <f>IF($A277="","",IF(COUNTIFS(BD!$B$3:$B$5001,$A277,BD!$A$3:$A$5001,"&gt;="&amp;$F$7,BD!$A$3:$A$5001,"&lt;="&amp;$G$7,BD!$L$3:$L$5001,"&lt;&gt;")=0,"",SUMIFS(BD!$L$3:$L$5001,BD!$B$3:$B$5001,$A277,BD!$A$3:$A$5001,_xlfn.MAXIFS(BD!$A$3:$A$5001,BD!$B$3:$B$5001,$A277,BD!$A$3:$A$5001,"&gt;="&amp;$F$7,BD!$A$3:$A$5001,"&lt;="&amp;$G$7,BD!$L$3:$L$5001,"&lt;&gt;"))))</f>
        <v/>
      </c>
      <c r="H277" s="43" t="str">
        <f>IF($A277="","",IF(COUNTIFS(BD!$B$3:$B$5001,$A277,BD!$A$3:$A$5001,"&gt;="&amp;$F$8,BD!$A$3:$A$5001,"&lt;="&amp;$G$8,BD!$L$3:$L$5001,"&lt;&gt;")=0,"",SUMIFS(BD!$L$3:$L$5001,BD!$B$3:$B$5001,$A277,BD!$A$3:$A$5001,_xlfn.MAXIFS(BD!$A$3:$A$5001,BD!$B$3:$B$5001,$A277,BD!$A$3:$A$5001,"&gt;="&amp;$F$8,BD!$A$3:$A$5001,"&lt;="&amp;$G$8,BD!$L$3:$L$5001,"&lt;&gt;"))))</f>
        <v/>
      </c>
      <c r="I277" s="43" t="str">
        <f>IF($A277="","",IF(COUNTIFS(BD!$B$3:$B$5001,$A277,BD!$A$3:$A$5001,"&gt;="&amp;$F$7,BD!$A$3:$A$5001,"&lt;="&amp;$G$7,BD!$N$3:$N$5001,"&lt;&gt;")=0,"",SUMIFS(BD!$N$3:$N$5001,BD!$B$3:$B$5001,$A277,BD!$A$3:$A$5001,_xlfn.MAXIFS(BD!$A$3:$A$5001,BD!$B$3:$B$5001,$A277,BD!$A$3:$A$5001,"&gt;="&amp;$F$7,BD!$A$3:$A$5001,"&lt;="&amp;$G$7,BD!$N$3:$N$5001,"&lt;&gt;"))))</f>
        <v/>
      </c>
      <c r="J277" s="43" t="str">
        <f>IF($A277="","",IF(COUNTIFS(BD!$B$3:$B$5001,$A277,BD!$A$3:$A$5001,"&gt;="&amp;$F$8,BD!$A$3:$A$5001,"&lt;="&amp;$G$8,BD!$N$3:$N$5001,"&lt;&gt;")=0,"",SUMIFS(BD!$N$3:$N$5001,BD!$B$3:$B$5001,$A277,BD!$A$3:$A$5001,_xlfn.MAXIFS(BD!$A$3:$A$5001,BD!$B$3:$B$5001,$A277,BD!$A$3:$A$5001,"&gt;="&amp;$F$8,BD!$A$3:$A$5001,"&lt;="&amp;$G$8,BD!$N$3:$N$5001,"&lt;&gt;"))))</f>
        <v/>
      </c>
    </row>
    <row r="279">
      <c r="A279" s="19" t="inlineStr">
        <is>
          <t xml:space="preserve">INDICADORES DO PERÍODO (cards do Dashboard)</t>
        </is>
      </c>
    </row>
    <row r="280">
      <c r="A280" s="37" t="inlineStr">
        <is>
          <t xml:space="preserve">Indicador</t>
        </is>
      </c>
      <c r="B280" s="37" t="inlineStr">
        <is>
          <t xml:space="preserve">Período</t>
        </is>
      </c>
      <c r="C280" s="37" t="inlineStr">
        <is>
          <t xml:space="preserve">Período anterior</t>
        </is>
      </c>
      <c r="D280" s="37" t="inlineStr">
        <is>
          <t xml:space="preserve">Variação</t>
        </is>
      </c>
    </row>
    <row r="281">
      <c r="A281" s="29" t="inlineStr">
        <is>
          <t xml:space="preserve">IN · Veículos Recebidos</t>
        </is>
      </c>
      <c r="B281" s="32">
        <f>IF($B$2="Todos",SUMIFS(BD!$C$3:$C$5001,BD!$A$3:$A$5001,"&gt;="&amp;$F$7,BD!$A$3:$A$5001,"&lt;="&amp;$G$7),SUMIFS(BD!$C$3:$C$5001,BD!$A$3:$A$5001,"&gt;="&amp;$F$7,BD!$A$3:$A$5001,"&lt;="&amp;$G$7,BD!$B$3:$B$5001,$D$2))</f>
        <v>0</v>
      </c>
      <c r="C281" s="32">
        <f>IF($B$2="Todos",SUMIFS(BD!$C$3:$C$5001,BD!$A$3:$A$5001,"&gt;="&amp;$F$8,BD!$A$3:$A$5001,"&lt;="&amp;$G$8),SUMIFS(BD!$C$3:$C$5001,BD!$A$3:$A$5001,"&gt;="&amp;$F$8,BD!$A$3:$A$5001,"&lt;="&amp;$G$8,BD!$B$3:$B$5001,$D$2))</f>
        <v>0</v>
      </c>
      <c r="D281" s="49" t="str">
        <f>IF(AND(ISNUMBER(B281),ISNUMBER(C281)),IF(C281&lt;&gt;0,B281/C281-1,""),"")</f>
        <v/>
      </c>
    </row>
    <row r="282">
      <c r="A282" s="29" t="inlineStr">
        <is>
          <t xml:space="preserve">IN · Pallets Movimentados</t>
        </is>
      </c>
      <c r="B282" s="32">
        <f>IF($B$2="Todos",SUMIFS(BD!$D$3:$D$5001,BD!$A$3:$A$5001,"&gt;="&amp;$F$7,BD!$A$3:$A$5001,"&lt;="&amp;$G$7),SUMIFS(BD!$D$3:$D$5001,BD!$A$3:$A$5001,"&gt;="&amp;$F$7,BD!$A$3:$A$5001,"&lt;="&amp;$G$7,BD!$B$3:$B$5001,$D$2))</f>
        <v>0</v>
      </c>
      <c r="C282" s="32">
        <f>IF($B$2="Todos",SUMIFS(BD!$D$3:$D$5001,BD!$A$3:$A$5001,"&gt;="&amp;$F$8,BD!$A$3:$A$5001,"&lt;="&amp;$G$8),SUMIFS(BD!$D$3:$D$5001,BD!$A$3:$A$5001,"&gt;="&amp;$F$8,BD!$A$3:$A$5001,"&lt;="&amp;$G$8,BD!$B$3:$B$5001,$D$2))</f>
        <v>0</v>
      </c>
      <c r="D282" s="49" t="str">
        <f>IF(AND(ISNUMBER(B282),ISNUMBER(C282)),IF(C282&lt;&gt;0,B282/C282-1,""),"")</f>
        <v/>
      </c>
    </row>
    <row r="283">
      <c r="A283" s="29" t="inlineStr">
        <is>
          <t xml:space="preserve">IN · Toneladas Movimentadas</t>
        </is>
      </c>
      <c r="B283" s="61">
        <f>IF($B$2="Todos",SUMIFS(BD!$E$3:$E$5001,BD!$A$3:$A$5001,"&gt;="&amp;$F$7,BD!$A$3:$A$5001,"&lt;="&amp;$G$7),SUMIFS(BD!$E$3:$E$5001,BD!$A$3:$A$5001,"&gt;="&amp;$F$7,BD!$A$3:$A$5001,"&lt;="&amp;$G$7,BD!$B$3:$B$5001,$D$2))</f>
        <v>0</v>
      </c>
      <c r="C283" s="61">
        <f>IF($B$2="Todos",SUMIFS(BD!$E$3:$E$5001,BD!$A$3:$A$5001,"&gt;="&amp;$F$8,BD!$A$3:$A$5001,"&lt;="&amp;$G$8),SUMIFS(BD!$E$3:$E$5001,BD!$A$3:$A$5001,"&gt;="&amp;$F$8,BD!$A$3:$A$5001,"&lt;="&amp;$G$8,BD!$B$3:$B$5001,$D$2))</f>
        <v>0</v>
      </c>
      <c r="D283" s="49" t="str">
        <f>IF(AND(ISNUMBER(B283),ISNUMBER(C283)),IF(C283&lt;&gt;0,B283/C283-1,""),"")</f>
        <v/>
      </c>
    </row>
    <row r="284">
      <c r="A284" s="29" t="inlineStr">
        <is>
          <t xml:space="preserve">OUT · Veículos Expedidos</t>
        </is>
      </c>
      <c r="B284" s="32">
        <f>IF($B$2="Todos",SUMIFS(BD!$F$3:$F$5001,BD!$A$3:$A$5001,"&gt;="&amp;$F$7,BD!$A$3:$A$5001,"&lt;="&amp;$G$7),SUMIFS(BD!$F$3:$F$5001,BD!$A$3:$A$5001,"&gt;="&amp;$F$7,BD!$A$3:$A$5001,"&lt;="&amp;$G$7,BD!$B$3:$B$5001,$D$2))</f>
        <v>0</v>
      </c>
      <c r="C284" s="32">
        <f>IF($B$2="Todos",SUMIFS(BD!$F$3:$F$5001,BD!$A$3:$A$5001,"&gt;="&amp;$F$8,BD!$A$3:$A$5001,"&lt;="&amp;$G$8),SUMIFS(BD!$F$3:$F$5001,BD!$A$3:$A$5001,"&gt;="&amp;$F$8,BD!$A$3:$A$5001,"&lt;="&amp;$G$8,BD!$B$3:$B$5001,$D$2))</f>
        <v>0</v>
      </c>
      <c r="D284" s="49" t="str">
        <f>IF(AND(ISNUMBER(B284),ISNUMBER(C284)),IF(C284&lt;&gt;0,B284/C284-1,""),"")</f>
        <v/>
      </c>
    </row>
    <row r="285">
      <c r="A285" s="29" t="inlineStr">
        <is>
          <t xml:space="preserve">OUT · Pallets Movimentados</t>
        </is>
      </c>
      <c r="B285" s="32">
        <f>IF($B$2="Todos",SUMIFS(BD!$G$3:$G$5001,BD!$A$3:$A$5001,"&gt;="&amp;$F$7,BD!$A$3:$A$5001,"&lt;="&amp;$G$7),SUMIFS(BD!$G$3:$G$5001,BD!$A$3:$A$5001,"&gt;="&amp;$F$7,BD!$A$3:$A$5001,"&lt;="&amp;$G$7,BD!$B$3:$B$5001,$D$2))</f>
        <v>0</v>
      </c>
      <c r="C285" s="32">
        <f>IF($B$2="Todos",SUMIFS(BD!$G$3:$G$5001,BD!$A$3:$A$5001,"&gt;="&amp;$F$8,BD!$A$3:$A$5001,"&lt;="&amp;$G$8),SUMIFS(BD!$G$3:$G$5001,BD!$A$3:$A$5001,"&gt;="&amp;$F$8,BD!$A$3:$A$5001,"&lt;="&amp;$G$8,BD!$B$3:$B$5001,$D$2))</f>
        <v>0</v>
      </c>
      <c r="D285" s="49" t="str">
        <f>IF(AND(ISNUMBER(B285),ISNUMBER(C285)),IF(C285&lt;&gt;0,B285/C285-1,""),"")</f>
        <v/>
      </c>
    </row>
    <row r="286">
      <c r="A286" s="29" t="inlineStr">
        <is>
          <t xml:space="preserve">OUT · Toneladas Movimentadas</t>
        </is>
      </c>
      <c r="B286" s="61">
        <f>IF($B$2="Todos",SUMIFS(BD!$H$3:$H$5001,BD!$A$3:$A$5001,"&gt;="&amp;$F$7,BD!$A$3:$A$5001,"&lt;="&amp;$G$7),SUMIFS(BD!$H$3:$H$5001,BD!$A$3:$A$5001,"&gt;="&amp;$F$7,BD!$A$3:$A$5001,"&lt;="&amp;$G$7,BD!$B$3:$B$5001,$D$2))</f>
        <v>0</v>
      </c>
      <c r="C286" s="61">
        <f>IF($B$2="Todos",SUMIFS(BD!$H$3:$H$5001,BD!$A$3:$A$5001,"&gt;="&amp;$F$8,BD!$A$3:$A$5001,"&lt;="&amp;$G$8),SUMIFS(BD!$H$3:$H$5001,BD!$A$3:$A$5001,"&gt;="&amp;$F$8,BD!$A$3:$A$5001,"&lt;="&amp;$G$8,BD!$B$3:$B$5001,$D$2))</f>
        <v>0</v>
      </c>
      <c r="D286" s="49" t="str">
        <f>IF(AND(ISNUMBER(B286),ISNUMBER(C286)),IF(C286&lt;&gt;0,B286/C286-1,""),"")</f>
        <v/>
      </c>
    </row>
    <row r="287">
      <c r="A287" s="29" t="inlineStr">
        <is>
          <t xml:space="preserve">NC · Incidentes</t>
        </is>
      </c>
      <c r="B287" s="32">
        <f>IF($B$2="Todos",SUMIFS(BD!$I$3:$I$5001,BD!$A$3:$A$5001,"&gt;="&amp;$F$7,BD!$A$3:$A$5001,"&lt;="&amp;$G$7),SUMIFS(BD!$I$3:$I$5001,BD!$A$3:$A$5001,"&gt;="&amp;$F$7,BD!$A$3:$A$5001,"&lt;="&amp;$G$7,BD!$B$3:$B$5001,$D$2))</f>
        <v>0</v>
      </c>
      <c r="C287" s="32">
        <f>IF($B$2="Todos",SUMIFS(BD!$I$3:$I$5001,BD!$A$3:$A$5001,"&gt;="&amp;$F$8,BD!$A$3:$A$5001,"&lt;="&amp;$G$8),SUMIFS(BD!$I$3:$I$5001,BD!$A$3:$A$5001,"&gt;="&amp;$F$8,BD!$A$3:$A$5001,"&lt;="&amp;$G$8,BD!$B$3:$B$5001,$D$2))</f>
        <v>0</v>
      </c>
      <c r="D287" s="49" t="str">
        <f>IF(AND(ISNUMBER(B287),ISNUMBER(C287)),IF(C287&lt;&gt;0,B287/C287-1,""),"")</f>
        <v/>
      </c>
    </row>
    <row r="288">
      <c r="A288" s="29" t="inlineStr">
        <is>
          <t xml:space="preserve">NC · No show</t>
        </is>
      </c>
      <c r="B288" s="32">
        <f>IF($B$2="Todos",SUMIFS(BD!$J$3:$J$5001,BD!$A$3:$A$5001,"&gt;="&amp;$F$7,BD!$A$3:$A$5001,"&lt;="&amp;$G$7),SUMIFS(BD!$J$3:$J$5001,BD!$A$3:$A$5001,"&gt;="&amp;$F$7,BD!$A$3:$A$5001,"&lt;="&amp;$G$7,BD!$B$3:$B$5001,$D$2))</f>
        <v>0</v>
      </c>
      <c r="C288" s="32">
        <f>IF($B$2="Todos",SUMIFS(BD!$J$3:$J$5001,BD!$A$3:$A$5001,"&gt;="&amp;$F$8,BD!$A$3:$A$5001,"&lt;="&amp;$G$8),SUMIFS(BD!$J$3:$J$5001,BD!$A$3:$A$5001,"&gt;="&amp;$F$8,BD!$A$3:$A$5001,"&lt;="&amp;$G$8,BD!$B$3:$B$5001,$D$2))</f>
        <v>0</v>
      </c>
      <c r="D288" s="49" t="str">
        <f>IF(AND(ISNUMBER(B288),ISNUMBER(C288)),IF(C288&lt;&gt;0,B288/C288-1,""),"")</f>
        <v/>
      </c>
    </row>
    <row r="289">
      <c r="A289" s="29" t="inlineStr">
        <is>
          <t xml:space="preserve">NC · Backlog</t>
        </is>
      </c>
      <c r="B289" s="32" t="str">
        <f>IF($B$2="Todos",IF(COUNT($C$258:$C$277)=0,"",SUM($C$258:$C$277)),IFERROR(INDEX($C$258:$C$277,MATCH($D$2,$A$258:$A$277,0)),""))</f>
        <v/>
      </c>
      <c r="C289" s="32" t="str">
        <f>IF($B$2="Todos",IF(COUNT($D$258:$D$277)=0,"",SUM($D$258:$D$277)),IFERROR(INDEX($D$258:$D$277,MATCH($D$2,$A$258:$A$277,0)),""))</f>
        <v/>
      </c>
      <c r="D289" s="49" t="str">
        <f>IF(AND(ISNUMBER(B289),ISNUMBER(C289)),IF(C289&lt;&gt;0,B289/C289-1,""),"")</f>
        <v/>
      </c>
    </row>
    <row r="290">
      <c r="A290" s="29" t="inlineStr">
        <is>
          <t xml:space="preserve">OCUPAÇÃO (P.P) · Posições Ocupadas</t>
        </is>
      </c>
      <c r="B290" s="32" t="str">
        <f>IF($B$2="Todos",IF(COUNT($E$258:$E$277)=0,"",SUM($E$258:$E$277)),IFERROR(INDEX($E$258:$E$277,MATCH($D$2,$A$258:$A$277,0)),""))</f>
        <v/>
      </c>
      <c r="C290" s="32" t="str">
        <f>IF($B$2="Todos",IF(COUNT($F$258:$F$277)=0,"",SUM($F$258:$F$277)),IFERROR(INDEX($F$258:$F$277,MATCH($D$2,$A$258:$A$277,0)),""))</f>
        <v/>
      </c>
      <c r="D290" s="49" t="str">
        <f>IF(AND(ISNUMBER(B290),ISNUMBER(C290)),IF(C290&lt;&gt;0,B290/C290-1,""),"")</f>
        <v/>
      </c>
    </row>
    <row r="291">
      <c r="A291" s="29" t="inlineStr">
        <is>
          <t xml:space="preserve">OCUPAÇÃO (P.P) · Posições Disponíveis</t>
        </is>
      </c>
      <c r="B291" s="32" t="str">
        <f>IF(B290="","",IF($B$2="Todos",IF($B$4&gt;0,$B$4,IF($B$2="Todos",IF(COUNT($G$258:$G$277)=0,"",SUM($G$258:$G$277)),IFERROR(INDEX($G$258:$G$277,MATCH($D$2,$A$258:$A$277,0)),""))),IF($B$2="Todos",IF(COUNT($G$258:$G$277)=0,"",SUM($G$258:$G$277)),IFERROR(INDEX($G$258:$G$277,MATCH($D$2,$A$258:$A$277,0)),""))))</f>
        <v/>
      </c>
      <c r="C291" s="32" t="str">
        <f>IF(C290="","",IF($B$2="Todos",IF($B$4&gt;0,$B$4,IF($B$2="Todos",IF(COUNT($H$258:$H$277)=0,"",SUM($H$258:$H$277)),IFERROR(INDEX($H$258:$H$277,MATCH($D$2,$A$258:$A$277,0)),""))),IF($B$2="Todos",IF(COUNT($H$258:$H$277)=0,"",SUM($H$258:$H$277)),IFERROR(INDEX($H$258:$H$277,MATCH($D$2,$A$258:$A$277,0)),""))))</f>
        <v/>
      </c>
      <c r="D291" s="49" t="str">
        <f>IF(AND(ISNUMBER(B291),ISNUMBER(C291)),IF(C291&lt;&gt;0,B291/C291-1,""),"")</f>
        <v/>
      </c>
    </row>
    <row r="292">
      <c r="A292" s="29" t="inlineStr">
        <is>
          <t xml:space="preserve">OCUPAÇÃO (P.P) · Taxa de Ocupação</t>
        </is>
      </c>
      <c r="B292" s="49" t="str">
        <f>IF(AND(ISNUMBER(B290),ISNUMBER(B291)),IF(B291&gt;0,B290/B291,""),"")</f>
        <v/>
      </c>
      <c r="C292" s="49" t="str">
        <f>IF(AND(ISNUMBER(C290),ISNUMBER(C291)),IF(C291&gt;0,C290/C291,""),"")</f>
        <v/>
      </c>
      <c r="D292" s="49" t="str">
        <f>IF(AND(ISNUMBER(B292),ISNUMBER(C292)),IF(C292&lt;&gt;0,B292/C292-1,""),"")</f>
        <v/>
      </c>
    </row>
    <row r="293">
      <c r="A293" s="29" t="inlineStr">
        <is>
          <t xml:space="preserve">OCUPAÇÃO (P.P) · Ociosidade</t>
        </is>
      </c>
      <c r="B293" s="49" t="str">
        <f>IF(ISNUMBER(B292),1-B292,"")</f>
        <v/>
      </c>
      <c r="C293" s="49" t="str">
        <f>IF(ISNUMBER(C292),1-C292,"")</f>
        <v/>
      </c>
      <c r="D293" s="49" t="str">
        <f>IF(AND(ISNUMBER(B293),ISNUMBER(C293)),IF(C293&lt;&gt;0,B293/C293-1,""),"")</f>
        <v/>
      </c>
    </row>
    <row r="294">
      <c r="A294" s="29" t="inlineStr">
        <is>
          <t xml:space="preserve">GENTE · Efetivo Op.</t>
        </is>
      </c>
      <c r="B294" s="32" t="str">
        <f>IF($B$2="Todos",IF(COUNT($I$258:$I$277)=0,"",SUM($I$258:$I$277)),IFERROR(INDEX($I$258:$I$277,MATCH($D$2,$A$258:$A$277,0)),""))</f>
        <v/>
      </c>
      <c r="C294" s="32" t="str">
        <f>IF($B$2="Todos",IF(COUNT($J$258:$J$277)=0,"",SUM($J$258:$J$277)),IFERROR(INDEX($J$258:$J$277,MATCH($D$2,$A$258:$A$277,0)),""))</f>
        <v/>
      </c>
      <c r="D294" s="49" t="str">
        <f>IF(AND(ISNUMBER(B294),ISNUMBER(C294)),IF(C294&lt;&gt;0,B294/C294-1,""),"")</f>
        <v/>
      </c>
    </row>
    <row r="295">
      <c r="A295" s="29" t="inlineStr">
        <is>
          <t xml:space="preserve">GENTE · Homem-dia (soma do efetivo diário)</t>
        </is>
      </c>
      <c r="B295" s="32">
        <f>IF($B$2="Todos",SUMIFS(BD!$N$3:$N$5001,BD!$A$3:$A$5001,"&gt;="&amp;$F$7,BD!$A$3:$A$5001,"&lt;="&amp;$G$7),SUMIFS(BD!$N$3:$N$5001,BD!$A$3:$A$5001,"&gt;="&amp;$F$7,BD!$A$3:$A$5001,"&lt;="&amp;$G$7,BD!$B$3:$B$5001,$D$2))</f>
        <v>0</v>
      </c>
      <c r="C295" s="32">
        <f>IF($B$2="Todos",SUMIFS(BD!$N$3:$N$5001,BD!$A$3:$A$5001,"&gt;="&amp;$F$8,BD!$A$3:$A$5001,"&lt;="&amp;$G$8),SUMIFS(BD!$N$3:$N$5001,BD!$A$3:$A$5001,"&gt;="&amp;$F$8,BD!$A$3:$A$5001,"&lt;="&amp;$G$8,BD!$B$3:$B$5001,$D$2))</f>
        <v>0</v>
      </c>
      <c r="D295" s="49" t="str">
        <f>IF(AND(ISNUMBER(B295),ISNUMBER(C295)),IF(C295&lt;&gt;0,B295/C295-1,""),"")</f>
        <v/>
      </c>
    </row>
    <row r="296">
      <c r="A296" s="29" t="inlineStr">
        <is>
          <t xml:space="preserve">GENTE · Falta</t>
        </is>
      </c>
      <c r="B296" s="32">
        <f>IF($B$2="Todos",SUMIFS(BD!$O$3:$O$5001,BD!$A$3:$A$5001,"&gt;="&amp;$F$7,BD!$A$3:$A$5001,"&lt;="&amp;$G$7),SUMIFS(BD!$O$3:$O$5001,BD!$A$3:$A$5001,"&gt;="&amp;$F$7,BD!$A$3:$A$5001,"&lt;="&amp;$G$7,BD!$B$3:$B$5001,$D$2))</f>
        <v>0</v>
      </c>
      <c r="C296" s="32">
        <f>IF($B$2="Todos",SUMIFS(BD!$O$3:$O$5001,BD!$A$3:$A$5001,"&gt;="&amp;$F$8,BD!$A$3:$A$5001,"&lt;="&amp;$G$8),SUMIFS(BD!$O$3:$O$5001,BD!$A$3:$A$5001,"&gt;="&amp;$F$8,BD!$A$3:$A$5001,"&lt;="&amp;$G$8,BD!$B$3:$B$5001,$D$2))</f>
        <v>0</v>
      </c>
      <c r="D296" s="49" t="str">
        <f>IF(AND(ISNUMBER(B296),ISNUMBER(C296)),IF(C296&lt;&gt;0,B296/C296-1,""),"")</f>
        <v/>
      </c>
    </row>
    <row r="297">
      <c r="A297" s="29" t="inlineStr">
        <is>
          <t xml:space="preserve">GENTE · Absenteísmo (H/H) = faltas ÷ homem-dia</t>
        </is>
      </c>
      <c r="B297" s="49" t="str">
        <f>IF(N(B295)&gt;0,N(B296)/B295,"")</f>
        <v/>
      </c>
      <c r="C297" s="49" t="str">
        <f>IF(N(C295)&gt;0,N(C296)/C295,"")</f>
        <v/>
      </c>
      <c r="D297" s="49" t="str">
        <f>IF(AND(ISNUMBER(B297),ISNUMBER(C297)),IF(C297&lt;&gt;0,B297/C297-1,""),"")</f>
        <v/>
      </c>
    </row>
    <row r="298">
      <c r="A298" s="29" t="inlineStr">
        <is>
          <t xml:space="preserve">GENTE · Folga</t>
        </is>
      </c>
      <c r="B298" s="32">
        <f>IF($B$2="Todos",SUMIFS(BD!$P$3:$P$5001,BD!$A$3:$A$5001,"&gt;="&amp;$F$7,BD!$A$3:$A$5001,"&lt;="&amp;$G$7),SUMIFS(BD!$P$3:$P$5001,BD!$A$3:$A$5001,"&gt;="&amp;$F$7,BD!$A$3:$A$5001,"&lt;="&amp;$G$7,BD!$B$3:$B$5001,$D$2))</f>
        <v>0</v>
      </c>
      <c r="C298" s="32">
        <f>IF($B$2="Todos",SUMIFS(BD!$P$3:$P$5001,BD!$A$3:$A$5001,"&gt;="&amp;$F$8,BD!$A$3:$A$5001,"&lt;="&amp;$G$8),SUMIFS(BD!$P$3:$P$5001,BD!$A$3:$A$5001,"&gt;="&amp;$F$8,BD!$A$3:$A$5001,"&lt;="&amp;$G$8,BD!$B$3:$B$5001,$D$2))</f>
        <v>0</v>
      </c>
      <c r="D298" s="49" t="str">
        <f>IF(AND(ISNUMBER(B298),ISNUMBER(C298)),IF(C298&lt;&gt;0,B298/C298-1,""),"")</f>
        <v/>
      </c>
    </row>
    <row r="299">
      <c r="A299" s="29" t="inlineStr">
        <is>
          <t xml:space="preserve">GENTE · Férias</t>
        </is>
      </c>
      <c r="B299" s="32">
        <f>IF($B$2="Todos",SUMIFS(BD!$Q$3:$Q$5001,BD!$A$3:$A$5001,"&gt;="&amp;$F$7,BD!$A$3:$A$5001,"&lt;="&amp;$G$7),SUMIFS(BD!$Q$3:$Q$5001,BD!$A$3:$A$5001,"&gt;="&amp;$F$7,BD!$A$3:$A$5001,"&lt;="&amp;$G$7,BD!$B$3:$B$5001,$D$2))</f>
        <v>0</v>
      </c>
      <c r="C299" s="32">
        <f>IF($B$2="Todos",SUMIFS(BD!$Q$3:$Q$5001,BD!$A$3:$A$5001,"&gt;="&amp;$F$8,BD!$A$3:$A$5001,"&lt;="&amp;$G$8),SUMIFS(BD!$Q$3:$Q$5001,BD!$A$3:$A$5001,"&gt;="&amp;$F$8,BD!$A$3:$A$5001,"&lt;="&amp;$G$8,BD!$B$3:$B$5001,$D$2))</f>
        <v>0</v>
      </c>
      <c r="D299" s="49" t="str">
        <f>IF(AND(ISNUMBER(B299),ISNUMBER(C299)),IF(C299&lt;&gt;0,B299/C299-1,""),"")</f>
        <v/>
      </c>
    </row>
    <row r="300">
      <c r="A300" s="29" t="inlineStr">
        <is>
          <t xml:space="preserve">GENTE · Desligamento</t>
        </is>
      </c>
      <c r="B300" s="32">
        <f>IF($B$2="Todos",SUMIFS(BD!$R$3:$R$5001,BD!$A$3:$A$5001,"&gt;="&amp;$F$7,BD!$A$3:$A$5001,"&lt;="&amp;$G$7),SUMIFS(BD!$R$3:$R$5001,BD!$A$3:$A$5001,"&gt;="&amp;$F$7,BD!$A$3:$A$5001,"&lt;="&amp;$G$7,BD!$B$3:$B$5001,$D$2))</f>
        <v>0</v>
      </c>
      <c r="C300" s="32">
        <f>IF($B$2="Todos",SUMIFS(BD!$R$3:$R$5001,BD!$A$3:$A$5001,"&gt;="&amp;$F$8,BD!$A$3:$A$5001,"&lt;="&amp;$G$8),SUMIFS(BD!$R$3:$R$5001,BD!$A$3:$A$5001,"&gt;="&amp;$F$8,BD!$A$3:$A$5001,"&lt;="&amp;$G$8,BD!$B$3:$B$5001,$D$2))</f>
        <v>0</v>
      </c>
      <c r="D300" s="49" t="str">
        <f>IF(AND(ISNUMBER(B300),ISNUMBER(C300)),IF(C300&lt;&gt;0,B300/C300-1,""),"")</f>
        <v/>
      </c>
    </row>
    <row r="301">
      <c r="A301" s="29" t="inlineStr">
        <is>
          <t xml:space="preserve">GENTE · Turnover = desligamentos ÷ efetivo</t>
        </is>
      </c>
      <c r="B301" s="49" t="str">
        <f>IF(N(B294)&gt;0,N(B300)/B294,"")</f>
        <v/>
      </c>
      <c r="C301" s="49" t="str">
        <f>IF(N(C294)&gt;0,N(C300)/C294,"")</f>
        <v/>
      </c>
      <c r="D301" s="49" t="str">
        <f>IF(AND(ISNUMBER(B301),ISNUMBER(C301)),IF(C301&lt;&gt;0,B301/C301-1,""),"")</f>
        <v/>
      </c>
    </row>
    <row r="302">
      <c r="A302" s="29" t="inlineStr">
        <is>
          <t xml:space="preserve">GENTE · Desvios Comportamentais</t>
        </is>
      </c>
      <c r="B302" s="32">
        <f>IF($B$2="Todos",SUMIFS(BD!$S$3:$S$5001,BD!$A$3:$A$5001,"&gt;="&amp;$F$7,BD!$A$3:$A$5001,"&lt;="&amp;$G$7),SUMIFS(BD!$S$3:$S$5001,BD!$A$3:$A$5001,"&gt;="&amp;$F$7,BD!$A$3:$A$5001,"&lt;="&amp;$G$7,BD!$B$3:$B$5001,$D$2))</f>
        <v>0</v>
      </c>
      <c r="C302" s="32">
        <f>IF($B$2="Todos",SUMIFS(BD!$S$3:$S$5001,BD!$A$3:$A$5001,"&gt;="&amp;$F$8,BD!$A$3:$A$5001,"&lt;="&amp;$G$8),SUMIFS(BD!$S$3:$S$5001,BD!$A$3:$A$5001,"&gt;="&amp;$F$8,BD!$A$3:$A$5001,"&lt;="&amp;$G$8,BD!$B$3:$B$5001,$D$2))</f>
        <v>0</v>
      </c>
      <c r="D302" s="49" t="str">
        <f>IF(AND(ISNUMBER(B302),ISNUMBER(C302)),IF(C302&lt;&gt;0,B302/C302-1,""),"")</f>
        <v/>
      </c>
    </row>
    <row r="303">
      <c r="A303" s="29" t="inlineStr">
        <is>
          <t xml:space="preserve">GENTE · Acidentes CAF</t>
        </is>
      </c>
      <c r="B303" s="32">
        <f>IF($B$2="Todos",SUMIFS(BD!$T$3:$T$5001,BD!$A$3:$A$5001,"&gt;="&amp;$F$7,BD!$A$3:$A$5001,"&lt;="&amp;$G$7),SUMIFS(BD!$T$3:$T$5001,BD!$A$3:$A$5001,"&gt;="&amp;$F$7,BD!$A$3:$A$5001,"&lt;="&amp;$G$7,BD!$B$3:$B$5001,$D$2))</f>
        <v>0</v>
      </c>
      <c r="C303" s="32">
        <f>IF($B$2="Todos",SUMIFS(BD!$T$3:$T$5001,BD!$A$3:$A$5001,"&gt;="&amp;$F$8,BD!$A$3:$A$5001,"&lt;="&amp;$G$8),SUMIFS(BD!$T$3:$T$5001,BD!$A$3:$A$5001,"&gt;="&amp;$F$8,BD!$A$3:$A$5001,"&lt;="&amp;$G$8,BD!$B$3:$B$5001,$D$2))</f>
        <v>0</v>
      </c>
      <c r="D303" s="49" t="str">
        <f>IF(AND(ISNUMBER(B303),ISNUMBER(C303)),IF(C303&lt;&gt;0,B303/C303-1,""),"")</f>
        <v/>
      </c>
    </row>
    <row r="304">
      <c r="A304" s="29" t="inlineStr">
        <is>
          <t xml:space="preserve">GENTE · Acidentes SAF</t>
        </is>
      </c>
      <c r="B304" s="32">
        <f>IF($B$2="Todos",SUMIFS(BD!$U$3:$U$5001,BD!$A$3:$A$5001,"&gt;="&amp;$F$7,BD!$A$3:$A$5001,"&lt;="&amp;$G$7),SUMIFS(BD!$U$3:$U$5001,BD!$A$3:$A$5001,"&gt;="&amp;$F$7,BD!$A$3:$A$5001,"&lt;="&amp;$G$7,BD!$B$3:$B$5001,$D$2))</f>
        <v>0</v>
      </c>
      <c r="C304" s="32">
        <f>IF($B$2="Todos",SUMIFS(BD!$U$3:$U$5001,BD!$A$3:$A$5001,"&gt;="&amp;$F$8,BD!$A$3:$A$5001,"&lt;="&amp;$G$8),SUMIFS(BD!$U$3:$U$5001,BD!$A$3:$A$5001,"&gt;="&amp;$F$8,BD!$A$3:$A$5001,"&lt;="&amp;$G$8,BD!$B$3:$B$5001,$D$2))</f>
        <v>0</v>
      </c>
      <c r="D304" s="49" t="str">
        <f>IF(AND(ISNUMBER(B304),ISNUMBER(C304)),IF(C304&lt;&gt;0,B304/C304-1,""),"")</f>
        <v/>
      </c>
    </row>
    <row r="307">
      <c r="A307" s="44" t="inlineStr">
        <is>
          <t xml:space="preserve">Textos das linhas de apoio dos cards (Dashboard)</t>
        </is>
      </c>
    </row>
    <row r="308">
      <c r="A308" s="38" t="inlineStr">
        <is>
          <t xml:space="preserve">inA</t>
        </is>
      </c>
      <c r="B308" s="65" t="str">
        <f>IF(N(VALUE($B$310))=0,"",IF(ISNUMBER(IF(N(VALUE($E$310))=0,INDEX($B$281:$B$304,VALUE($B$310)),IF(AND(ISNUMBER(INDEX($B$281:$B$304,VALUE($B$310))),N(INDEX($B$281:$B$304,N(VALUE($E$310))))&gt;0),INDEX($B$281:$B$304,VALUE($B$310))/INDEX($B$281:$B$304,N(VALUE($E$310))),""))),FIXED(IF(N(VALUE($E$310))=0,INDEX($B$281:$B$304,VALUE($B$310)),IF(AND(ISNUMBER(INDEX($B$281:$B$304,VALUE($B$310))),N(INDEX($B$281:$B$304,N(VALUE($E$310))))&gt;0),INDEX($B$281:$B$304,VALUE($B$310))/INDEX($B$281:$B$304,N(VALUE($E$310))),"")),VALUE($D$310)),"—")&amp;" "&amp;$C$310)&amp;IF(AND(N(VALUE($B$310))&gt;0,N(VALUE($F$310))&gt;0),"  ·  ","")&amp;IF(N(VALUE($F$310))=0,"",IF(ISNUMBER(IF(N(VALUE($I$310))=0,INDEX($B$281:$B$304,VALUE($F$310)),IF(AND(ISNUMBER(INDEX($B$281:$B$304,VALUE($F$310))),N(INDEX($B$281:$B$304,N(VALUE($I$310))))&gt;0),INDEX($B$281:$B$304,VALUE($F$310))/INDEX($B$281:$B$304,N(VALUE($I$310))),""))),FIXED(IF(N(VALUE($I$310))=0,INDEX($B$281:$B$304,VALUE($F$310)),IF(AND(ISNUMBER(INDEX($B$281:$B$304,VALUE($F$310))),N(INDEX($B$281:$B$304,N(VALUE($I$310))))&gt;0),INDEX($B$281:$B$304,VALUE($F$310))/INDEX($B$281:$B$304,N(VALUE($I$310))),"")),VALUE($H$310)),"—")&amp;" "&amp;$G$310)</f>
        <v>0 pallets movimentados</v>
      </c>
      <c r="C308" s="38" t="inlineStr">
        <is>
          <t xml:space="preserve">inB</t>
        </is>
      </c>
      <c r="D308" s="65" t="str">
        <f>IF(N(VALUE($J$310))=0,"",IF(ISNUMBER(IF(N(VALUE($M$310))=0,INDEX($B$281:$B$304,VALUE($J$310)),IF(AND(ISNUMBER(INDEX($B$281:$B$304,VALUE($J$310))),N(INDEX($B$281:$B$304,N(VALUE($M$310))))&gt;0),INDEX($B$281:$B$304,VALUE($J$310))/INDEX($B$281:$B$304,N(VALUE($M$310))),""))),FIXED(IF(N(VALUE($M$310))=0,INDEX($B$281:$B$304,VALUE($J$310)),IF(AND(ISNUMBER(INDEX($B$281:$B$304,VALUE($J$310))),N(INDEX($B$281:$B$304,N(VALUE($M$310))))&gt;0),INDEX($B$281:$B$304,VALUE($J$310))/INDEX($B$281:$B$304,N(VALUE($M$310))),"")),VALUE($L$310)),"—")&amp;" "&amp;$K$310)&amp;IF(AND(N(VALUE($J$310))&gt;0,N(VALUE($N$310))&gt;0),"  ·  ","")&amp;IF(N(VALUE($N$310))=0,"",IF(ISNUMBER(IF(N(VALUE($Q$310))=0,INDEX($B$281:$B$304,VALUE($N$310)),IF(AND(ISNUMBER(INDEX($B$281:$B$304,VALUE($N$310))),N(INDEX($B$281:$B$304,N(VALUE($Q$310))))&gt;0),INDEX($B$281:$B$304,VALUE($N$310))/INDEX($B$281:$B$304,N(VALUE($Q$310))),""))),FIXED(IF(N(VALUE($Q$310))=0,INDEX($B$281:$B$304,VALUE($N$310)),IF(AND(ISNUMBER(INDEX($B$281:$B$304,VALUE($N$310))),N(INDEX($B$281:$B$304,N(VALUE($Q$310))))&gt;0),INDEX($B$281:$B$304,VALUE($N$310))/INDEX($B$281:$B$304,N(VALUE($Q$310))),"")),VALUE($P$310)),"—")&amp;" "&amp;$O$310)</f>
        <v>0,0 t movimentadas</v>
      </c>
      <c r="E308" s="38" t="inlineStr">
        <is>
          <t xml:space="preserve">outA</t>
        </is>
      </c>
      <c r="F308" s="65" t="str">
        <f>IF(N(VALUE($R$310))=0,"",IF(ISNUMBER(IF(N(VALUE($U$310))=0,INDEX($B$281:$B$304,VALUE($R$310)),IF(AND(ISNUMBER(INDEX($B$281:$B$304,VALUE($R$310))),N(INDEX($B$281:$B$304,N(VALUE($U$310))))&gt;0),INDEX($B$281:$B$304,VALUE($R$310))/INDEX($B$281:$B$304,N(VALUE($U$310))),""))),FIXED(IF(N(VALUE($U$310))=0,INDEX($B$281:$B$304,VALUE($R$310)),IF(AND(ISNUMBER(INDEX($B$281:$B$304,VALUE($R$310))),N(INDEX($B$281:$B$304,N(VALUE($U$310))))&gt;0),INDEX($B$281:$B$304,VALUE($R$310))/INDEX($B$281:$B$304,N(VALUE($U$310))),"")),VALUE($T$310)),"—")&amp;" "&amp;$S$310)&amp;IF(AND(N(VALUE($R$310))&gt;0,N(VALUE($V$310))&gt;0),"  ·  ","")&amp;IF(N(VALUE($V$310))=0,"",IF(ISNUMBER(IF(N(VALUE($Y$310))=0,INDEX($B$281:$B$304,VALUE($V$310)),IF(AND(ISNUMBER(INDEX($B$281:$B$304,VALUE($V$310))),N(INDEX($B$281:$B$304,N(VALUE($Y$310))))&gt;0),INDEX($B$281:$B$304,VALUE($V$310))/INDEX($B$281:$B$304,N(VALUE($Y$310))),""))),FIXED(IF(N(VALUE($Y$310))=0,INDEX($B$281:$B$304,VALUE($V$310)),IF(AND(ISNUMBER(INDEX($B$281:$B$304,VALUE($V$310))),N(INDEX($B$281:$B$304,N(VALUE($Y$310))))&gt;0),INDEX($B$281:$B$304,VALUE($V$310))/INDEX($B$281:$B$304,N(VALUE($Y$310))),"")),VALUE($X$310)),"—")&amp;" "&amp;$W$310)</f>
        <v>0 pallets movimentados</v>
      </c>
      <c r="G308" s="38" t="inlineStr">
        <is>
          <t xml:space="preserve">outB</t>
        </is>
      </c>
      <c r="H308" s="65" t="str">
        <f>IF(N(VALUE($Z$310))=0,"",IF(ISNUMBER(IF(N(VALUE($AC$310))=0,INDEX($B$281:$B$304,VALUE($Z$310)),IF(AND(ISNUMBER(INDEX($B$281:$B$304,VALUE($Z$310))),N(INDEX($B$281:$B$304,N(VALUE($AC$310))))&gt;0),INDEX($B$281:$B$304,VALUE($Z$310))/INDEX($B$281:$B$304,N(VALUE($AC$310))),""))),FIXED(IF(N(VALUE($AC$310))=0,INDEX($B$281:$B$304,VALUE($Z$310)),IF(AND(ISNUMBER(INDEX($B$281:$B$304,VALUE($Z$310))),N(INDEX($B$281:$B$304,N(VALUE($AC$310))))&gt;0),INDEX($B$281:$B$304,VALUE($Z$310))/INDEX($B$281:$B$304,N(VALUE($AC$310))),"")),VALUE($AB$310)),"—")&amp;" "&amp;$AA$310)&amp;IF(AND(N(VALUE($Z$310))&gt;0,N(VALUE($AD$310))&gt;0),"  ·  ","")&amp;IF(N(VALUE($AD$310))=0,"",IF(ISNUMBER(IF(N(VALUE($AG$310))=0,INDEX($B$281:$B$304,VALUE($AD$310)),IF(AND(ISNUMBER(INDEX($B$281:$B$304,VALUE($AD$310))),N(INDEX($B$281:$B$304,N(VALUE($AG$310))))&gt;0),INDEX($B$281:$B$304,VALUE($AD$310))/INDEX($B$281:$B$304,N(VALUE($AG$310))),""))),FIXED(IF(N(VALUE($AG$310))=0,INDEX($B$281:$B$304,VALUE($AD$310)),IF(AND(ISNUMBER(INDEX($B$281:$B$304,VALUE($AD$310))),N(INDEX($B$281:$B$304,N(VALUE($AG$310))))&gt;0),INDEX($B$281:$B$304,VALUE($AD$310))/INDEX($B$281:$B$304,N(VALUE($AG$310))),"")),VALUE($AF$310)),"—")&amp;" "&amp;$AE$310)</f>
        <v>0,0 t movimentadas</v>
      </c>
    </row>
    <row r="309">
      <c r="A309" s="19" t="inlineStr">
        <is>
          <t xml:space="preserve">PERFIL DO CLIENTE FILTRADO — lido da aba Config (linha da Config · por item: linha no período, rótulo, casas, linha do divisor · gráficos: colunas da série)</t>
        </is>
      </c>
    </row>
    <row r="310">
      <c r="A310" s="95">
        <f>IFERROR(MATCH($B$2,Config!$B$9:$B$29,0),1)</f>
        <v>1</v>
      </c>
      <c r="B310" s="96">
        <f>IFERROR(VLOOKUP(INDEX(Config!$E$9:$E$29,$A$310),Config!$Y$9:$AE$16,4,0),0)</f>
        <v>2</v>
      </c>
      <c r="C310" s="96" t="str">
        <f>IFERROR(VLOOKUP(INDEX(Config!$E$9:$E$29,$A$310),Config!$Y$9:$AE$16,2,0)&amp;"","")</f>
        <v>pallets movimentados</v>
      </c>
      <c r="D310" s="96">
        <f>IFERROR(VLOOKUP(INDEX(Config!$E$9:$E$29,$A$310),Config!$Y$9:$AE$16,3,0),0)</f>
        <v>0</v>
      </c>
      <c r="E310" s="96">
        <f>IFERROR(VLOOKUP(INDEX(Config!$E$9:$E$29,$A$310),Config!$Y$9:$AE$16,6,0),0)</f>
        <v>0</v>
      </c>
      <c r="F310" s="96">
        <v>0</v>
      </c>
      <c r="G310" s="96"/>
      <c r="H310" s="96">
        <v>0</v>
      </c>
      <c r="I310" s="96">
        <v>0</v>
      </c>
      <c r="J310" s="96">
        <f>IFERROR(VLOOKUP(INDEX(Config!$F$9:$F$29,$A$310),Config!$Y$9:$AE$16,4,0),0)</f>
        <v>3</v>
      </c>
      <c r="K310" s="96" t="str">
        <f>IFERROR(VLOOKUP(INDEX(Config!$F$9:$F$29,$A$310),Config!$Y$9:$AE$16,2,0)&amp;"","")</f>
        <v>t movimentadas</v>
      </c>
      <c r="L310" s="96">
        <f>IFERROR(VLOOKUP(INDEX(Config!$F$9:$F$29,$A$310),Config!$Y$9:$AE$16,3,0),0)</f>
        <v>1</v>
      </c>
      <c r="M310" s="96">
        <f>IFERROR(VLOOKUP(INDEX(Config!$F$9:$F$29,$A$310),Config!$Y$9:$AE$16,6,0),0)</f>
        <v>0</v>
      </c>
      <c r="N310" s="96">
        <f>IFERROR(VLOOKUP(INDEX(Config!$G$9:$G$29,$A$310),Config!$Y$9:$AE$16,4,0),0)</f>
        <v>0</v>
      </c>
      <c r="O310" s="96" t="str">
        <f>IFERROR(VLOOKUP(INDEX(Config!$G$9:$G$29,$A$310),Config!$Y$9:$AE$16,2,0)&amp;"","")</f>
        <v/>
      </c>
      <c r="P310" s="96">
        <f>IFERROR(VLOOKUP(INDEX(Config!$G$9:$G$29,$A$310),Config!$Y$9:$AE$16,3,0),0)</f>
        <v>0</v>
      </c>
      <c r="Q310" s="96">
        <f>IFERROR(VLOOKUP(INDEX(Config!$G$9:$G$29,$A$310),Config!$Y$9:$AE$16,6,0),0)</f>
        <v>0</v>
      </c>
      <c r="R310" s="96">
        <f>IFERROR(VLOOKUP(INDEX(Config!$I$9:$I$29,$A$310),Config!$Y$9:$AE$16,4,0),0)</f>
        <v>5</v>
      </c>
      <c r="S310" s="96" t="str">
        <f>IFERROR(VLOOKUP(INDEX(Config!$I$9:$I$29,$A$310),Config!$Y$9:$AE$16,2,0)&amp;"","")</f>
        <v>pallets movimentados</v>
      </c>
      <c r="T310" s="96">
        <f>IFERROR(VLOOKUP(INDEX(Config!$I$9:$I$29,$A$310),Config!$Y$9:$AE$16,3,0),0)</f>
        <v>0</v>
      </c>
      <c r="U310" s="96">
        <f>IFERROR(VLOOKUP(INDEX(Config!$I$9:$I$29,$A$310),Config!$Y$9:$AE$16,6,0),0)</f>
        <v>0</v>
      </c>
      <c r="V310" s="96">
        <v>0</v>
      </c>
      <c r="W310" s="96"/>
      <c r="X310" s="96">
        <v>0</v>
      </c>
      <c r="Y310" s="96">
        <v>0</v>
      </c>
      <c r="Z310" s="96">
        <f>IFERROR(VLOOKUP(INDEX(Config!$J$9:$J$29,$A$310),Config!$Y$9:$AE$16,4,0),0)</f>
        <v>6</v>
      </c>
      <c r="AA310" s="96" t="str">
        <f>IFERROR(VLOOKUP(INDEX(Config!$J$9:$J$29,$A$310),Config!$Y$9:$AE$16,2,0)&amp;"","")</f>
        <v>t movimentadas</v>
      </c>
      <c r="AB310" s="96">
        <f>IFERROR(VLOOKUP(INDEX(Config!$J$9:$J$29,$A$310),Config!$Y$9:$AE$16,3,0),0)</f>
        <v>1</v>
      </c>
      <c r="AC310" s="96">
        <f>IFERROR(VLOOKUP(INDEX(Config!$J$9:$J$29,$A$310),Config!$Y$9:$AE$16,6,0),0)</f>
        <v>0</v>
      </c>
      <c r="AD310" s="96">
        <f>IFERROR(VLOOKUP(INDEX(Config!$K$9:$K$29,$A$310),Config!$Y$9:$AE$16,4,0),0)</f>
        <v>0</v>
      </c>
      <c r="AE310" s="96" t="str">
        <f>IFERROR(VLOOKUP(INDEX(Config!$K$9:$K$29,$A$310),Config!$Y$9:$AE$16,2,0)&amp;"","")</f>
        <v/>
      </c>
      <c r="AF310" s="96">
        <f>IFERROR(VLOOKUP(INDEX(Config!$K$9:$K$29,$A$310),Config!$Y$9:$AE$16,3,0),0)</f>
        <v>0</v>
      </c>
      <c r="AG310" s="96">
        <f>IFERROR(VLOOKUP(INDEX(Config!$K$9:$K$29,$A$310),Config!$Y$9:$AE$16,6,0),0)</f>
        <v>0</v>
      </c>
      <c r="AH310" s="96">
        <f>IFERROR(VLOOKUP(INDEX(Config!$M$9:$M$29,$A$310),Config!$Y$9:$AE$16,5,0),0)</f>
        <v>2</v>
      </c>
      <c r="AI310" s="96">
        <f>IFERROR(VLOOKUP(INDEX(Config!$N$9:$N$29,$A$310),Config!$Y$9:$AE$16,5,0),0)</f>
        <v>5</v>
      </c>
      <c r="AJ310" s="96">
        <f>IFERROR(VLOOKUP(INDEX(Config!$M$9:$M$29,$A$310),Config!$Y$9:$AE$16,7,0),0)</f>
        <v>0</v>
      </c>
      <c r="AK310" s="96">
        <f>IFERROR(VLOOKUP(INDEX(Config!$N$9:$N$29,$A$310),Config!$Y$9:$AE$16,7,0),0)</f>
        <v>0</v>
      </c>
      <c r="AL310" s="96" t="str">
        <f>INDEX(Config!$O$9:$O$29,$A$310)&amp;""</f>
        <v>MOVIMENTAÇÃO PALETES/DIA</v>
      </c>
      <c r="AM310" s="96" t="str">
        <f>INDEX(Config!$P$9:$P$29,$A$310)&amp;""</f>
        <v>ACUMULADO SEMANAL PALETES</v>
      </c>
      <c r="AN310" s="96" t="str">
        <f>IF(INDEX(Config!$M$9:$M$29,$A$310)&amp;""="","IN",INDEX(Config!$M$9:$M$29,$A$310)&amp;"")</f>
        <v>Pallets Movimentados IN</v>
      </c>
      <c r="AO310" s="96" t="str">
        <f>IF(INDEX(Config!$N$9:$N$29,$A$310)&amp;""="","OUT",INDEX(Config!$N$9:$N$29,$A$310)&amp;"")</f>
        <v>Pallets Movimentados OUT</v>
      </c>
      <c r="AP310" s="96">
        <f>IFERROR(VLOOKUP(INDEX(Config!$Q$9:$Q$29,$A$310),Config!$Y$9:$AE$16,5,0),0)</f>
        <v>3</v>
      </c>
      <c r="AQ310" s="96">
        <f>IFERROR(VLOOKUP(INDEX(Config!$R$9:$R$29,$A$310),Config!$Y$9:$AE$16,5,0),0)</f>
        <v>6</v>
      </c>
      <c r="AR310" s="96">
        <f>IFERROR(VLOOKUP(INDEX(Config!$Q$9:$Q$29,$A$310),Config!$Y$9:$AE$16,7,0),0)</f>
        <v>0</v>
      </c>
      <c r="AS310" s="96">
        <f>IFERROR(VLOOKUP(INDEX(Config!$R$9:$R$29,$A$310),Config!$Y$9:$AE$16,7,0),0)</f>
        <v>0</v>
      </c>
      <c r="AT310" s="96" t="str">
        <f>INDEX(Config!$S$9:$S$29,$A$310)&amp;""</f>
        <v>MOVIMENTAÇÃO TONS/DIA</v>
      </c>
      <c r="AU310" s="96" t="str">
        <f>INDEX(Config!$T$9:$T$29,$A$310)&amp;""</f>
        <v>ACUMULADO SEMANAL TONS</v>
      </c>
      <c r="AV310" s="96" t="str">
        <f>IF(INDEX(Config!$Q$9:$Q$29,$A$310)&amp;""="","IN",INDEX(Config!$Q$9:$Q$29,$A$310)&amp;"")</f>
        <v>Toneladas Movimentadas IN</v>
      </c>
      <c r="AW310" s="96" t="str">
        <f>IF(INDEX(Config!$R$9:$R$29,$A$310)&amp;""="","OUT",INDEX(Config!$R$9:$R$29,$A$310)&amp;"")</f>
        <v>Toneladas Movimentadas OUT</v>
      </c>
      <c r="AX310" s="96" t="str">
        <f>INDEX(Config!$D$9:$D$29,$A$310)&amp;""</f>
        <v>Sim</v>
      </c>
      <c r="AY310" s="96" t="str">
        <f>INDEX(Config!$H$9:$H$29,$A$310)&amp;""</f>
        <v>Sim</v>
      </c>
      <c r="AZ310" s="96" t="str">
        <f>INDEX(Config!$L$9:$L$29,$A$310)&amp;""</f>
        <v>Completo</v>
      </c>
      <c r="BA310" s="96" t="str">
        <f>IF(OR($B$2="Todos",$C$2=2),Config!$D$70,Config!$D$69)&amp;""</f>
        <v>ARMAZÉM</v>
      </c>
      <c r="BB310" s="96" t="str">
        <f>IF(OR($B$2="Todos",$C$2=2),Config!$D$89,Config!$D$88)&amp;""</f>
        <v>Capacidade do armazém (p.p)</v>
      </c>
    </row>
  </sheetData>
  <sheetProtection password="CC30" sheet="1" objects="1" scenarios="1"/>
  <pageMargins left="0.25" right="0.25" top="0.4" bottom="0.4" header="0.2" footer="0.2"/>
  <pageSetup paperSize="9" orientation="landscape" fitToWidth="1" fitToHeight="0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7F7F7F"/>
    <pageSetUpPr fitToPage="1"/>
  </sheetPr>
  <dimension ref="A1:AS42"/>
  <sheetViews>
    <sheetView showGridLines="0" zoomScale="100" zoomScaleNormal="100" workbookViewId="0">
      <pane xSplit="2" ySplit="2" topLeftCell="C3" activePane="bottomRight" state="frozen"/>
      <selection pane="bottomRight" activeCell="C3" sqref="C3"/>
    </sheetView>
  </sheetViews>
  <sheetFormatPr defaultRowHeight="15"/>
  <cols>
    <col min="1" max="1" width="11" customWidth="1"/>
    <col min="2" max="2" width="18" customWidth="1"/>
    <col min="3" max="3" width="11.55" customWidth="1"/>
    <col min="4" max="4" width="12.65" customWidth="1"/>
    <col min="5" max="5" width="13" customWidth="1"/>
    <col min="6" max="6" width="12.100000000000001" customWidth="1"/>
    <col min="7" max="7" width="13" customWidth="1"/>
    <col min="8" max="8" width="13" customWidth="1"/>
    <col min="9" max="9" width="10" customWidth="1"/>
    <col min="10" max="10" width="10" customWidth="1"/>
    <col min="11" max="11" width="10" customWidth="1"/>
    <col min="12" max="12" width="11" customWidth="1"/>
    <col min="13" max="13" width="10" customWidth="1"/>
    <col min="14" max="14" width="10" customWidth="1"/>
    <col min="15" max="15" width="10" customWidth="1"/>
    <col min="16" max="16" width="10" customWidth="1"/>
    <col min="17" max="17" width="10" customWidth="1"/>
    <col min="18" max="18" width="10" customWidth="1"/>
    <col min="19" max="19" width="12.65" customWidth="1"/>
    <col min="20" max="20" width="10" customWidth="1"/>
    <col min="21" max="21" width="10" customWidth="1"/>
    <col min="22" max="22" width="11" customWidth="1"/>
    <col min="23" max="23" width="3" customWidth="1"/>
    <col min="24" max="24" width="70" customWidth="1"/>
    <col min="25" max="25" width="11" customWidth="1"/>
    <col min="26" max="26" width="12" customWidth="1"/>
    <col min="27" max="27" width="12" customWidth="1"/>
    <col min="28" max="28" width="12" customWidth="1"/>
    <col min="29" max="29" width="12" customWidth="1"/>
    <col min="30" max="30" width="12" customWidth="1"/>
    <col min="31" max="31" width="12" customWidth="1"/>
    <col min="32" max="32" width="12" customWidth="1"/>
    <col min="33" max="33" width="12" customWidth="1"/>
    <col min="34" max="34" width="12" customWidth="1"/>
    <col min="35" max="35" width="12" customWidth="1"/>
    <col min="36" max="36" width="12" customWidth="1"/>
    <col min="37" max="37" width="12" customWidth="1"/>
    <col min="38" max="38" width="12" customWidth="1"/>
    <col min="39" max="39" width="12" customWidth="1"/>
    <col min="40" max="40" width="12" customWidth="1"/>
    <col min="41" max="41" width="12" customWidth="1"/>
    <col min="42" max="42" width="12" customWidth="1"/>
    <col min="43" max="43" width="12" customWidth="1"/>
    <col min="44" max="44" width="12" customWidth="1"/>
    <col min="45" max="45" width="12" customWidth="1"/>
  </cols>
  <sheetData>
    <row r="1" ht="20" customHeight="1">
      <c r="A1" s="1" t="inlineStr">
        <is>
          <t xml:space="preserve">REGISTRO</t>
        </is>
      </c>
      <c r="B1" s="2"/>
      <c r="C1" s="3" t="inlineStr">
        <is>
          <t xml:space="preserve">IN · RECEBIMENTO</t>
        </is>
      </c>
      <c r="D1" s="4"/>
      <c r="E1" s="5"/>
      <c r="F1" s="6" t="inlineStr">
        <is>
          <t xml:space="preserve">OUT · EXPEDIÇÃO</t>
        </is>
      </c>
      <c r="G1" s="7"/>
      <c r="H1" s="8"/>
      <c r="I1" s="9" t="inlineStr">
        <is>
          <t xml:space="preserve">NC · NÃO CONFORMIDADES</t>
        </is>
      </c>
      <c r="J1" s="10"/>
      <c r="K1" s="11"/>
      <c r="L1" s="3" t="inlineStr">
        <is>
          <t xml:space="preserve">OCUPAÇÃO (P.P)</t>
        </is>
      </c>
      <c r="M1" s="5"/>
      <c r="N1" s="12" t="inlineStr">
        <is>
          <t xml:space="preserve">GENTE</t>
        </is>
      </c>
      <c r="O1" s="13"/>
      <c r="P1" s="13"/>
      <c r="Q1" s="13"/>
      <c r="R1" s="13"/>
      <c r="S1" s="13"/>
      <c r="T1" s="13"/>
      <c r="U1" s="14"/>
      <c r="V1" s="15" t="inlineStr">
        <is>
          <t xml:space="preserve">CONTRATO</t>
        </is>
      </c>
    </row>
    <row r="2" ht="42" customHeight="1">
      <c r="A2" s="16" t="inlineStr">
        <is>
          <t xml:space="preserve">Data</t>
        </is>
      </c>
      <c r="B2" s="16" t="inlineStr">
        <is>
          <t xml:space="preserve">Cliente</t>
        </is>
      </c>
      <c r="C2" s="16" t="inlineStr">
        <is>
          <t xml:space="preserve">IN Veículos Recebidos</t>
        </is>
      </c>
      <c r="D2" s="16" t="inlineStr">
        <is>
          <t xml:space="preserve">IN Pallets Movimentados</t>
        </is>
      </c>
      <c r="E2" s="16" t="inlineStr">
        <is>
          <t xml:space="preserve">IN Toneladas Movimentadas</t>
        </is>
      </c>
      <c r="F2" s="16" t="inlineStr">
        <is>
          <t xml:space="preserve">OUT Veículos Expedidos</t>
        </is>
      </c>
      <c r="G2" s="16" t="inlineStr">
        <is>
          <t xml:space="preserve">OUT Pallets Movimentados</t>
        </is>
      </c>
      <c r="H2" s="16" t="inlineStr">
        <is>
          <t xml:space="preserve">OUT Toneladas Movimentadas</t>
        </is>
      </c>
      <c r="I2" s="16" t="inlineStr">
        <is>
          <t xml:space="preserve">NC Incidentes</t>
        </is>
      </c>
      <c r="J2" s="16" t="inlineStr">
        <is>
          <t xml:space="preserve">NC No show</t>
        </is>
      </c>
      <c r="K2" s="16" t="inlineStr">
        <is>
          <t xml:space="preserve">NC Backlog</t>
        </is>
      </c>
      <c r="L2" s="16" t="inlineStr">
        <is>
          <t xml:space="preserve">Posições Disponíveis</t>
        </is>
      </c>
      <c r="M2" s="16" t="inlineStr">
        <is>
          <t xml:space="preserve">Posições Ocupadas</t>
        </is>
      </c>
      <c r="N2" s="16" t="inlineStr">
        <is>
          <t xml:space="preserve">Efetivo Op.</t>
        </is>
      </c>
      <c r="O2" s="16" t="inlineStr">
        <is>
          <t xml:space="preserve">Falta</t>
        </is>
      </c>
      <c r="P2" s="16" t="inlineStr">
        <is>
          <t xml:space="preserve">Folga</t>
        </is>
      </c>
      <c r="Q2" s="16" t="inlineStr">
        <is>
          <t xml:space="preserve">Férias</t>
        </is>
      </c>
      <c r="R2" s="16" t="inlineStr">
        <is>
          <t xml:space="preserve">Desligamento</t>
        </is>
      </c>
      <c r="S2" s="16" t="inlineStr">
        <is>
          <t xml:space="preserve">Desvios Comportamentais</t>
        </is>
      </c>
      <c r="T2" s="16" t="inlineStr">
        <is>
          <t xml:space="preserve">Acidentes CAF</t>
        </is>
      </c>
      <c r="U2" s="16" t="inlineStr">
        <is>
          <t xml:space="preserve">Acidentes SAF</t>
        </is>
      </c>
      <c r="V2" s="16" t="inlineStr">
        <is>
          <t xml:space="preserve">Modalidade</t>
        </is>
      </c>
      <c r="X2" s="17" t="inlineStr">
        <is>
          <t xml:space="preserve">COMO PREENCHER A BD</t>
        </is>
      </c>
    </row>
    <row r="3">
      <c r="X3" s="18" t="inlineStr">
        <is>
          <t xml:space="preserve">• Uma linha por dia e por cliente.</t>
        </is>
      </c>
    </row>
    <row r="4">
      <c r="X4" s="18" t="inlineStr">
        <is>
          <t xml:space="preserve">• Digite na primeira linha vazia logo abaixo da tabela: ela cresce sozinha e leva formato, listas e validações.</t>
        </is>
      </c>
    </row>
    <row r="5">
      <c r="X5" s="18" t="inlineStr">
        <is>
          <t xml:space="preserve">• Data: dd/mm/aaaa.   Cliente e Modalidade: escolha na lista (setinha da célula).</t>
        </is>
      </c>
    </row>
    <row r="6">
      <c r="X6" s="18" t="inlineStr">
        <is>
          <t xml:space="preserve">• Números: só 0 ou maior. Toneladas aceitam casas decimais.</t>
        </is>
      </c>
    </row>
    <row r="7">
      <c r="X7" s="18" t="inlineStr">
        <is>
          <t xml:space="preserve">• Deixe em branco o que não foi medido (não digite 0 se não houve registro).</t>
        </is>
      </c>
    </row>
    <row r="8">
      <c r="X8" s="17" t="inlineStr">
        <is>
          <t xml:space="preserve">SOMA NO MÊS</t>
        </is>
      </c>
    </row>
    <row r="9">
      <c r="X9" s="18" t="inlineStr">
        <is>
          <t xml:space="preserve">• Veículos, pallets, toneladas, incidentes, no show, falta, folga, férias e desligamento: valor do dia.</t>
        </is>
      </c>
    </row>
    <row r="10">
      <c r="X10" s="17" t="inlineStr">
        <is>
          <t xml:space="preserve">ÚLTIMO VALOR DO MÊS</t>
        </is>
      </c>
    </row>
    <row r="11">
      <c r="X11" s="18" t="inlineStr">
        <is>
          <t xml:space="preserve">• Backlog, posições disponíveis/ocupadas e efetivo: posição do dia (os painéis usam o último lançado).</t>
        </is>
      </c>
    </row>
    <row r="12">
      <c r="X12" s="17" t="inlineStr">
        <is>
          <t xml:space="preserve">ALERTAS</t>
        </is>
      </c>
    </row>
    <row r="13">
      <c r="X13" s="18" t="inlineStr">
        <is>
          <t xml:space="preserve">• Vermelho: mesma data e cliente lançados duas vezes.</t>
        </is>
      </c>
    </row>
    <row r="14">
      <c r="X14" s="18" t="inlineStr">
        <is>
          <t xml:space="preserve">• Amarelo: linha incompleta (data sem cliente ou o contrário).</t>
        </is>
      </c>
    </row>
    <row r="15">
      <c r="X15" s="18" t="inlineStr">
        <is>
          <t xml:space="preserve">• Verde em Posições Ocupadas: cliente excede o contratado (boa notícia: faturar excedente).</t>
        </is>
      </c>
    </row>
    <row r="16">
      <c r="X16" s="18" t="inlineStr">
        <is>
          <t xml:space="preserve">• Desvios comportamentais e acidentes (CAF = com afastamento · SAF = sem afastamento): quantidade do dia.</t>
        </is>
      </c>
    </row>
    <row r="17">
      <c r="X17" s="18" t="inlineStr">
        <is>
          <t xml:space="preserve">• Dashboard, Monitoramento e Consol Mensal leem esta aba automaticamente, inclusive as METAS abaixo.</t>
        </is>
      </c>
    </row>
    <row r="21">
      <c r="X21" s="19" t="inlineStr">
        <is>
          <t xml:space="preserve">METAS DO MÊS — preencha as células amarelas (vazio = sem meta · taxa de ocupação em %).</t>
        </is>
      </c>
    </row>
    <row r="22" ht="30" customHeight="1">
      <c r="X22" s="16" t="inlineStr">
        <is>
          <t xml:space="preserve">Indicador</t>
        </is>
      </c>
      <c r="Y22" s="16" t="inlineStr">
        <is>
          <t xml:space="preserve">Todos</t>
        </is>
      </c>
      <c r="Z22" s="16" t="str">
        <f>Config!$B$10&amp;""</f>
        <v>Barry Callebaut</v>
      </c>
      <c r="AA22" s="16" t="str">
        <f>Config!$B$11&amp;""</f>
        <v>GM</v>
      </c>
      <c r="AB22" s="16" t="str">
        <f>Config!$B$12&amp;""</f>
        <v>Mondelez</v>
      </c>
      <c r="AC22" s="16" t="str">
        <f>Config!$B$13&amp;""</f>
        <v>Nestlé</v>
      </c>
      <c r="AD22" s="16" t="str">
        <f>Config!$B$14&amp;""</f>
        <v>PMB</v>
      </c>
      <c r="AE22" s="16" t="str">
        <f>Config!$B$15&amp;""</f>
        <v/>
      </c>
      <c r="AF22" s="16" t="str">
        <f>Config!$B$16&amp;""</f>
        <v/>
      </c>
      <c r="AG22" s="16" t="str">
        <f>Config!$B$17&amp;""</f>
        <v/>
      </c>
      <c r="AH22" s="16" t="str">
        <f>Config!$B$18&amp;""</f>
        <v/>
      </c>
      <c r="AI22" s="16" t="str">
        <f>Config!$B$19&amp;""</f>
        <v/>
      </c>
      <c r="AJ22" s="16" t="str">
        <f>Config!$B$20&amp;""</f>
        <v/>
      </c>
      <c r="AK22" s="16" t="str">
        <f>Config!$B$21&amp;""</f>
        <v/>
      </c>
      <c r="AL22" s="16" t="str">
        <f>Config!$B$22&amp;""</f>
        <v/>
      </c>
      <c r="AM22" s="16" t="str">
        <f>Config!$B$23&amp;""</f>
        <v/>
      </c>
      <c r="AN22" s="16" t="str">
        <f>Config!$B$24&amp;""</f>
        <v/>
      </c>
      <c r="AO22" s="16" t="str">
        <f>Config!$B$25&amp;""</f>
        <v/>
      </c>
      <c r="AP22" s="16" t="str">
        <f>Config!$B$26&amp;""</f>
        <v/>
      </c>
      <c r="AQ22" s="16" t="str">
        <f>Config!$B$27&amp;""</f>
        <v/>
      </c>
      <c r="AR22" s="16" t="str">
        <f>Config!$B$28&amp;""</f>
        <v/>
      </c>
      <c r="AS22" s="16" t="str">
        <f>Config!$B$29&amp;""</f>
        <v/>
      </c>
    </row>
    <row r="23">
      <c r="X23" s="20" t="inlineStr">
        <is>
          <t xml:space="preserve">IN · Veículos Recebidos</t>
        </is>
      </c>
      <c r="Y23" s="21"/>
      <c r="Z23" s="21"/>
      <c r="AA23" s="21"/>
      <c r="AB23" s="21"/>
      <c r="AC23" s="21"/>
      <c r="AD23" s="21"/>
      <c r="AE23" s="21"/>
      <c r="AF23" s="21"/>
      <c r="AG23" s="21"/>
      <c r="AH23" s="21"/>
      <c r="AI23" s="21"/>
      <c r="AJ23" s="21"/>
      <c r="AK23" s="21"/>
      <c r="AL23" s="21"/>
      <c r="AM23" s="21"/>
      <c r="AN23" s="21"/>
      <c r="AO23" s="21"/>
      <c r="AP23" s="21"/>
      <c r="AQ23" s="21"/>
      <c r="AR23" s="21"/>
      <c r="AS23" s="21"/>
    </row>
    <row r="24">
      <c r="X24" s="20" t="inlineStr">
        <is>
          <t xml:space="preserve">IN · Pallets Movimentados</t>
        </is>
      </c>
      <c r="Y24" s="21"/>
      <c r="Z24" s="21"/>
      <c r="AA24" s="21"/>
      <c r="AB24" s="21"/>
      <c r="AC24" s="21"/>
      <c r="AD24" s="21"/>
      <c r="AE24" s="21"/>
      <c r="AF24" s="21"/>
      <c r="AG24" s="21"/>
      <c r="AH24" s="21"/>
      <c r="AI24" s="21"/>
      <c r="AJ24" s="21"/>
      <c r="AK24" s="21"/>
      <c r="AL24" s="21"/>
      <c r="AM24" s="21"/>
      <c r="AN24" s="21"/>
      <c r="AO24" s="21"/>
      <c r="AP24" s="21"/>
      <c r="AQ24" s="21"/>
      <c r="AR24" s="21"/>
      <c r="AS24" s="21"/>
    </row>
    <row r="25">
      <c r="X25" s="20" t="inlineStr">
        <is>
          <t xml:space="preserve">IN · Toneladas Movimentadas</t>
        </is>
      </c>
      <c r="Y25" s="21"/>
      <c r="Z25" s="21"/>
      <c r="AA25" s="21"/>
      <c r="AB25" s="21"/>
      <c r="AC25" s="21"/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/>
    </row>
    <row r="26">
      <c r="X26" s="22" t="inlineStr">
        <is>
          <t xml:space="preserve">OUT · Veículos Expedidos</t>
        </is>
      </c>
      <c r="Y26" s="21"/>
      <c r="Z26" s="21"/>
      <c r="AA26" s="21"/>
      <c r="AB26" s="21"/>
      <c r="AC26" s="21"/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/>
    </row>
    <row r="27">
      <c r="X27" s="22" t="inlineStr">
        <is>
          <t xml:space="preserve">OUT · Pallets Movimentados</t>
        </is>
      </c>
      <c r="Y27" s="21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  <c r="AQ27" s="21"/>
      <c r="AR27" s="21"/>
      <c r="AS27" s="21"/>
    </row>
    <row r="28">
      <c r="X28" s="22" t="inlineStr">
        <is>
          <t xml:space="preserve">OUT · Toneladas Movimentadas</t>
        </is>
      </c>
      <c r="Y28" s="21"/>
      <c r="Z28" s="21"/>
      <c r="AA28" s="21"/>
      <c r="AB28" s="21"/>
      <c r="AC28" s="21"/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  <c r="AP28" s="21"/>
      <c r="AQ28" s="21"/>
      <c r="AR28" s="21"/>
      <c r="AS28" s="21"/>
    </row>
    <row r="29">
      <c r="X29" s="23" t="inlineStr">
        <is>
          <t xml:space="preserve">NC · Incidentes</t>
        </is>
      </c>
      <c r="Y29" s="21"/>
      <c r="Z29" s="21"/>
      <c r="AA29" s="21"/>
      <c r="AB29" s="21"/>
      <c r="AC29" s="21"/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1"/>
    </row>
    <row r="30">
      <c r="X30" s="23" t="inlineStr">
        <is>
          <t xml:space="preserve">NC · No show</t>
        </is>
      </c>
      <c r="Y30" s="21"/>
      <c r="Z30" s="21"/>
      <c r="AA30" s="21"/>
      <c r="AB30" s="21"/>
      <c r="AC30" s="21"/>
      <c r="AD30" s="21"/>
      <c r="AE30" s="21"/>
      <c r="AF30" s="21"/>
      <c r="AG30" s="21"/>
      <c r="AH30" s="21"/>
      <c r="AI30" s="21"/>
      <c r="AJ30" s="21"/>
      <c r="AK30" s="21"/>
      <c r="AL30" s="21"/>
      <c r="AM30" s="21"/>
      <c r="AN30" s="21"/>
      <c r="AO30" s="21"/>
      <c r="AP30" s="21"/>
      <c r="AQ30" s="21"/>
      <c r="AR30" s="21"/>
      <c r="AS30" s="21"/>
    </row>
    <row r="31">
      <c r="X31" s="23" t="inlineStr">
        <is>
          <t xml:space="preserve">NC · Backlog</t>
        </is>
      </c>
      <c r="Y31" s="21"/>
      <c r="Z31" s="21"/>
      <c r="AA31" s="21"/>
      <c r="AB31" s="21"/>
      <c r="AC31" s="21"/>
      <c r="AD31" s="21"/>
      <c r="AE31" s="21"/>
      <c r="AF31" s="21"/>
      <c r="AG31" s="21"/>
      <c r="AH31" s="21"/>
      <c r="AI31" s="21"/>
      <c r="AJ31" s="21"/>
      <c r="AK31" s="21"/>
      <c r="AL31" s="21"/>
      <c r="AM31" s="21"/>
      <c r="AN31" s="21"/>
      <c r="AO31" s="21"/>
      <c r="AP31" s="21"/>
      <c r="AQ31" s="21"/>
      <c r="AR31" s="21"/>
      <c r="AS31" s="21"/>
    </row>
    <row r="32">
      <c r="X32" s="20" t="inlineStr">
        <is>
          <t xml:space="preserve">OCUPAÇÃO (P.P) · Posições Disponíveis</t>
        </is>
      </c>
      <c r="Y32" s="21"/>
      <c r="Z32" s="21"/>
      <c r="AA32" s="21"/>
      <c r="AB32" s="21"/>
      <c r="AC32" s="21"/>
      <c r="AD32" s="21"/>
      <c r="AE32" s="21"/>
      <c r="AF32" s="21"/>
      <c r="AG32" s="21"/>
      <c r="AH32" s="21"/>
      <c r="AI32" s="21"/>
      <c r="AJ32" s="21"/>
      <c r="AK32" s="21"/>
      <c r="AL32" s="21"/>
      <c r="AM32" s="21"/>
      <c r="AN32" s="21"/>
      <c r="AO32" s="21"/>
      <c r="AP32" s="21"/>
      <c r="AQ32" s="21"/>
      <c r="AR32" s="21"/>
      <c r="AS32" s="21"/>
    </row>
    <row r="33">
      <c r="X33" s="20" t="inlineStr">
        <is>
          <t xml:space="preserve">OCUPAÇÃO (P.P) · Posições Ocupadas</t>
        </is>
      </c>
      <c r="Y33" s="21"/>
      <c r="Z33" s="21"/>
      <c r="AA33" s="21"/>
      <c r="AB33" s="21"/>
      <c r="AC33" s="21"/>
      <c r="AD33" s="21"/>
      <c r="AE33" s="21"/>
      <c r="AF33" s="21"/>
      <c r="AG33" s="21"/>
      <c r="AH33" s="21"/>
      <c r="AI33" s="21"/>
      <c r="AJ33" s="21"/>
      <c r="AK33" s="21"/>
      <c r="AL33" s="21"/>
      <c r="AM33" s="21"/>
      <c r="AN33" s="21"/>
      <c r="AO33" s="21"/>
      <c r="AP33" s="21"/>
      <c r="AQ33" s="21"/>
      <c r="AR33" s="21"/>
      <c r="AS33" s="21"/>
    </row>
    <row r="34">
      <c r="X34" s="20" t="inlineStr">
        <is>
          <t xml:space="preserve">OCUPAÇÃO (P.P) · Taxa de Ocupação</t>
        </is>
      </c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</row>
    <row r="35">
      <c r="X35" s="25" t="inlineStr">
        <is>
          <t xml:space="preserve">GENTE · Efetivo Op.</t>
        </is>
      </c>
      <c r="Y35" s="21"/>
      <c r="Z35" s="21"/>
      <c r="AA35" s="21"/>
      <c r="AB35" s="21"/>
      <c r="AC35" s="21"/>
      <c r="AD35" s="21"/>
      <c r="AE35" s="21"/>
      <c r="AF35" s="21"/>
      <c r="AG35" s="21"/>
      <c r="AH35" s="21"/>
      <c r="AI35" s="21"/>
      <c r="AJ35" s="21"/>
      <c r="AK35" s="21"/>
      <c r="AL35" s="21"/>
      <c r="AM35" s="21"/>
      <c r="AN35" s="21"/>
      <c r="AO35" s="21"/>
      <c r="AP35" s="21"/>
      <c r="AQ35" s="21"/>
      <c r="AR35" s="21"/>
      <c r="AS35" s="21"/>
    </row>
    <row r="36">
      <c r="X36" s="25" t="inlineStr">
        <is>
          <t xml:space="preserve">GENTE · Falta</t>
        </is>
      </c>
      <c r="Y36" s="21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21"/>
      <c r="AK36" s="21"/>
      <c r="AL36" s="21"/>
      <c r="AM36" s="21"/>
      <c r="AN36" s="21"/>
      <c r="AO36" s="21"/>
      <c r="AP36" s="21"/>
      <c r="AQ36" s="21"/>
      <c r="AR36" s="21"/>
      <c r="AS36" s="21"/>
    </row>
    <row r="37">
      <c r="X37" s="25" t="inlineStr">
        <is>
          <t xml:space="preserve">GENTE · Folga</t>
        </is>
      </c>
      <c r="Y37" s="21"/>
      <c r="Z37" s="21"/>
      <c r="AA37" s="21"/>
      <c r="AB37" s="21"/>
      <c r="AC37" s="21"/>
      <c r="AD37" s="21"/>
      <c r="AE37" s="21"/>
      <c r="AF37" s="21"/>
      <c r="AG37" s="21"/>
      <c r="AH37" s="21"/>
      <c r="AI37" s="21"/>
      <c r="AJ37" s="21"/>
      <c r="AK37" s="21"/>
      <c r="AL37" s="21"/>
      <c r="AM37" s="21"/>
      <c r="AN37" s="21"/>
      <c r="AO37" s="21"/>
      <c r="AP37" s="21"/>
      <c r="AQ37" s="21"/>
      <c r="AR37" s="21"/>
      <c r="AS37" s="21"/>
    </row>
    <row r="38">
      <c r="X38" s="25" t="inlineStr">
        <is>
          <t xml:space="preserve">GENTE · Férias</t>
        </is>
      </c>
      <c r="Y38" s="21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21"/>
      <c r="AK38" s="21"/>
      <c r="AL38" s="21"/>
      <c r="AM38" s="21"/>
      <c r="AN38" s="21"/>
      <c r="AO38" s="21"/>
      <c r="AP38" s="21"/>
      <c r="AQ38" s="21"/>
      <c r="AR38" s="21"/>
      <c r="AS38" s="21"/>
    </row>
    <row r="39">
      <c r="X39" s="25" t="inlineStr">
        <is>
          <t xml:space="preserve">GENTE · Desligamento</t>
        </is>
      </c>
      <c r="Y39" s="21"/>
      <c r="Z39" s="21"/>
      <c r="AA39" s="21"/>
      <c r="AB39" s="21"/>
      <c r="AC39" s="21"/>
      <c r="AD39" s="21"/>
      <c r="AE39" s="21"/>
      <c r="AF39" s="21"/>
      <c r="AG39" s="21"/>
      <c r="AH39" s="21"/>
      <c r="AI39" s="21"/>
      <c r="AJ39" s="21"/>
      <c r="AK39" s="21"/>
      <c r="AL39" s="21"/>
      <c r="AM39" s="21"/>
      <c r="AN39" s="21"/>
      <c r="AO39" s="21"/>
      <c r="AP39" s="21"/>
      <c r="AQ39" s="21"/>
      <c r="AR39" s="21"/>
      <c r="AS39" s="21"/>
    </row>
    <row r="40">
      <c r="X40" s="25" t="inlineStr">
        <is>
          <t xml:space="preserve">GENTE · Desvios Comportamentais</t>
        </is>
      </c>
      <c r="Y40" s="21"/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  <c r="AR40" s="21"/>
      <c r="AS40" s="21"/>
    </row>
    <row r="41">
      <c r="X41" s="25" t="inlineStr">
        <is>
          <t xml:space="preserve">GENTE · Acidentes CAF</t>
        </is>
      </c>
      <c r="Y41" s="21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21"/>
    </row>
    <row r="42">
      <c r="X42" s="25" t="inlineStr">
        <is>
          <t xml:space="preserve">GENTE · Acidentes SAF</t>
        </is>
      </c>
      <c r="Y42" s="21"/>
      <c r="Z42" s="21"/>
      <c r="AA42" s="21"/>
      <c r="AB42" s="21"/>
      <c r="AC42" s="21"/>
      <c r="AD42" s="21"/>
      <c r="AE42" s="21"/>
      <c r="AF42" s="21"/>
      <c r="AG42" s="21"/>
      <c r="AH42" s="21"/>
      <c r="AI42" s="21"/>
      <c r="AJ42" s="21"/>
      <c r="AK42" s="21"/>
      <c r="AL42" s="21"/>
      <c r="AM42" s="21"/>
      <c r="AN42" s="21"/>
      <c r="AO42" s="21"/>
      <c r="AP42" s="21"/>
      <c r="AQ42" s="21"/>
      <c r="AR42" s="21"/>
      <c r="AS42" s="21"/>
    </row>
  </sheetData>
  <mergeCells count="6">
    <mergeCell ref="A1:B1"/>
    <mergeCell ref="C1:E1"/>
    <mergeCell ref="F1:H1"/>
    <mergeCell ref="I1:K1"/>
    <mergeCell ref="L1:M1"/>
    <mergeCell ref="N1:U1"/>
  </mergeCells>
  <conditionalFormatting sqref="A3:B5001">
    <cfRule type="expression" dxfId="0" priority="1">
      <formula>AND($A3&lt;&gt;"",$B3&lt;&gt;"",COUNTIFS($A$3:$A$5001,$A3,$B$3:$B$5001,$B3)&gt;1)</formula>
    </cfRule>
  </conditionalFormatting>
  <conditionalFormatting sqref="A3:B5001">
    <cfRule type="expression" dxfId="1" priority="2">
      <formula>OR(AND($A3&lt;&gt;"",$B3=""),AND($A3="",$B3&lt;&gt;""))</formula>
    </cfRule>
  </conditionalFormatting>
  <conditionalFormatting sqref="M3:M5001">
    <cfRule type="expression" dxfId="2" priority="3">
      <formula>AND(ISNUMBER($L3),ISNUMBER($M3),$M3&gt;$L3)</formula>
    </cfRule>
  </conditionalFormatting>
  <conditionalFormatting sqref="C3:C5001">
    <cfRule type="expression" dxfId="6" priority="4">
      <formula>IFERROR(INDEX(Config!$D$35:$D$54,MATCH($B3,Config!$B$35:$B$54,0)),"Sim")="Não"</formula>
    </cfRule>
  </conditionalFormatting>
  <conditionalFormatting sqref="D3:D5001">
    <cfRule type="expression" dxfId="6" priority="5">
      <formula>IFERROR(INDEX(Config!$E$35:$E$54,MATCH($B3,Config!$B$35:$B$54,0)),"Sim")="Não"</formula>
    </cfRule>
  </conditionalFormatting>
  <conditionalFormatting sqref="E3:E5001">
    <cfRule type="expression" dxfId="6" priority="6">
      <formula>IFERROR(INDEX(Config!$F$35:$F$54,MATCH($B3,Config!$B$35:$B$54,0)),"Sim")="Não"</formula>
    </cfRule>
  </conditionalFormatting>
  <conditionalFormatting sqref="F3:F5001">
    <cfRule type="expression" dxfId="6" priority="7">
      <formula>IFERROR(INDEX(Config!$G$35:$G$54,MATCH($B3,Config!$B$35:$B$54,0)),"Sim")="Não"</formula>
    </cfRule>
  </conditionalFormatting>
  <conditionalFormatting sqref="G3:G5001">
    <cfRule type="expression" dxfId="6" priority="8">
      <formula>IFERROR(INDEX(Config!$H$35:$H$54,MATCH($B3,Config!$B$35:$B$54,0)),"Sim")="Não"</formula>
    </cfRule>
  </conditionalFormatting>
  <conditionalFormatting sqref="H3:H5001">
    <cfRule type="expression" dxfId="6" priority="9">
      <formula>IFERROR(INDEX(Config!$I$35:$I$54,MATCH($B3,Config!$B$35:$B$54,0)),"Sim")="Não"</formula>
    </cfRule>
  </conditionalFormatting>
  <conditionalFormatting sqref="I3:I5001">
    <cfRule type="expression" dxfId="6" priority="10">
      <formula>IFERROR(INDEX(Config!$J$35:$J$54,MATCH($B3,Config!$B$35:$B$54,0)),"Sim")="Não"</formula>
    </cfRule>
  </conditionalFormatting>
  <conditionalFormatting sqref="J3:J5001">
    <cfRule type="expression" dxfId="6" priority="11">
      <formula>IFERROR(INDEX(Config!$K$35:$K$54,MATCH($B3,Config!$B$35:$B$54,0)),"Sim")="Não"</formula>
    </cfRule>
  </conditionalFormatting>
  <conditionalFormatting sqref="K3:K5001">
    <cfRule type="expression" dxfId="6" priority="12">
      <formula>IFERROR(INDEX(Config!$L$35:$L$54,MATCH($B3,Config!$B$35:$B$54,0)),"Sim")="Não"</formula>
    </cfRule>
  </conditionalFormatting>
  <conditionalFormatting sqref="L3:L5001">
    <cfRule type="expression" dxfId="6" priority="13">
      <formula>IFERROR(INDEX(Config!$M$35:$M$54,MATCH($B3,Config!$B$35:$B$54,0)),"Sim")="Não"</formula>
    </cfRule>
  </conditionalFormatting>
  <conditionalFormatting sqref="M3:M5001">
    <cfRule type="expression" dxfId="6" priority="14">
      <formula>IFERROR(INDEX(Config!$N$35:$N$54,MATCH($B3,Config!$B$35:$B$54,0)),"Sim")="Não"</formula>
    </cfRule>
  </conditionalFormatting>
  <conditionalFormatting sqref="N3:N5001">
    <cfRule type="expression" dxfId="6" priority="15">
      <formula>IFERROR(INDEX(Config!$O$35:$O$54,MATCH($B3,Config!$B$35:$B$54,0)),"Sim")="Não"</formula>
    </cfRule>
  </conditionalFormatting>
  <conditionalFormatting sqref="O3:O5001">
    <cfRule type="expression" dxfId="6" priority="16">
      <formula>IFERROR(INDEX(Config!$P$35:$P$54,MATCH($B3,Config!$B$35:$B$54,0)),"Sim")="Não"</formula>
    </cfRule>
  </conditionalFormatting>
  <conditionalFormatting sqref="P3:P5001">
    <cfRule type="expression" dxfId="6" priority="17">
      <formula>IFERROR(INDEX(Config!$Q$35:$Q$54,MATCH($B3,Config!$B$35:$B$54,0)),"Sim")="Não"</formula>
    </cfRule>
  </conditionalFormatting>
  <conditionalFormatting sqref="Q3:Q5001">
    <cfRule type="expression" dxfId="6" priority="18">
      <formula>IFERROR(INDEX(Config!$R$35:$R$54,MATCH($B3,Config!$B$35:$B$54,0)),"Sim")="Não"</formula>
    </cfRule>
  </conditionalFormatting>
  <conditionalFormatting sqref="R3:R5001">
    <cfRule type="expression" dxfId="6" priority="19">
      <formula>IFERROR(INDEX(Config!$S$35:$S$54,MATCH($B3,Config!$B$35:$B$54,0)),"Sim")="Não"</formula>
    </cfRule>
  </conditionalFormatting>
  <conditionalFormatting sqref="S3:S5001">
    <cfRule type="expression" dxfId="6" priority="20">
      <formula>IFERROR(INDEX(Config!$T$35:$T$54,MATCH($B3,Config!$B$35:$B$54,0)),"Sim")="Não"</formula>
    </cfRule>
  </conditionalFormatting>
  <conditionalFormatting sqref="T3:T5001">
    <cfRule type="expression" dxfId="6" priority="21">
      <formula>IFERROR(INDEX(Config!$U$35:$U$54,MATCH($B3,Config!$B$35:$B$54,0)),"Sim")="Não"</formula>
    </cfRule>
  </conditionalFormatting>
  <conditionalFormatting sqref="U3:U5001">
    <cfRule type="expression" dxfId="6" priority="22">
      <formula>IFERROR(INDEX(Config!$V$35:$V$54,MATCH($B3,Config!$B$35:$B$54,0)),"Sim")="Não"</formula>
    </cfRule>
  </conditionalFormatting>
  <dataValidations count="23">
    <dataValidation type="date" operator="greaterThanOrEqual" allowBlank="1" showInputMessage="1" showErrorMessage="1" promptTitle="Data" prompt="dd/mm/aaaa" errorTitle="Valor inválido" error="Digite uma data válida (dd/mm/aaaa)." sqref="A3:A5001">
      <formula1>43831</formula1>
    </dataValidation>
    <dataValidation type="list" allowBlank="1" showInputMessage="1" showErrorMessage="1" promptTitle="Cliente" prompt="Escolha na lista." errorTitle="Valor inválido" error="Escolha um cliente da lista." sqref="B3:B5001">
      <formula1>OFFSET(calculos!$AN$13,0,0,calculos!$AN$10,1)</formula1>
    </dataValidation>
    <dataValidation type="list" allowBlank="1" showInputMessage="1" showErrorMessage="1" promptTitle="Modalidade" prompt="Contrato, Spot ou Cross." errorTitle="Valor inválido" error="Escolha um valor da lista." sqref="V3:V5001">
      <formula1>"Contrato,Spot,Cross"</formula1>
    </dataValidation>
    <dataValidation type="decimal" operator="greaterThanOrEqual" allowBlank="1" showInputMessage="0" showErrorMessage="1" errorTitle="Valor inválido" error="Meta: use 0 ou um número maior." sqref="Y23:AS42">
      <formula1>0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C3:C5001">
      <formula1>AND(IFERROR(INDEX(Config!$D$35:$D$54,MATCH($B3,Config!$B$35:$B$54,0)),"Sim")&lt;&gt;"Não",ISNUMBER(C3),C3&gt;=0)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D3:D5001">
      <formula1>AND(IFERROR(INDEX(Config!$E$35:$E$54,MATCH($B3,Config!$B$35:$B$54,0)),"Sim")&lt;&gt;"Não",ISNUMBER(D3),D3&gt;=0)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E3:E5001">
      <formula1>AND(IFERROR(INDEX(Config!$F$35:$F$54,MATCH($B3,Config!$B$35:$B$54,0)),"Sim")&lt;&gt;"Não",ISNUMBER(E3),E3&gt;=0)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F3:F5001">
      <formula1>AND(IFERROR(INDEX(Config!$G$35:$G$54,MATCH($B3,Config!$B$35:$B$54,0)),"Sim")&lt;&gt;"Não",ISNUMBER(F3),F3&gt;=0)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G3:G5001">
      <formula1>AND(IFERROR(INDEX(Config!$H$35:$H$54,MATCH($B3,Config!$B$35:$B$54,0)),"Sim")&lt;&gt;"Não",ISNUMBER(G3),G3&gt;=0)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H3:H5001">
      <formula1>AND(IFERROR(INDEX(Config!$I$35:$I$54,MATCH($B3,Config!$B$35:$B$54,0)),"Sim")&lt;&gt;"Não",ISNUMBER(H3),H3&gt;=0)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I3:I5001">
      <formula1>AND(IFERROR(INDEX(Config!$J$35:$J$54,MATCH($B3,Config!$B$35:$B$54,0)),"Sim")&lt;&gt;"Não",ISNUMBER(I3),I3&gt;=0)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J3:J5001">
      <formula1>AND(IFERROR(INDEX(Config!$K$35:$K$54,MATCH($B3,Config!$B$35:$B$54,0)),"Sim")&lt;&gt;"Não",ISNUMBER(J3),J3&gt;=0)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K3:K5001">
      <formula1>AND(IFERROR(INDEX(Config!$L$35:$L$54,MATCH($B3,Config!$B$35:$B$54,0)),"Sim")&lt;&gt;"Não",ISNUMBER(K3),K3&gt;=0)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L3:L5001">
      <formula1>AND(IFERROR(INDEX(Config!$M$35:$M$54,MATCH($B3,Config!$B$35:$B$54,0)),"Sim")&lt;&gt;"Não",ISNUMBER(L3),L3&gt;=0)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M3:M5001">
      <formula1>AND(IFERROR(INDEX(Config!$N$35:$N$54,MATCH($B3,Config!$B$35:$B$54,0)),"Sim")&lt;&gt;"Não",ISNUMBER(M3),M3&gt;=0)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N3:N5001">
      <formula1>AND(IFERROR(INDEX(Config!$O$35:$O$54,MATCH($B3,Config!$B$35:$B$54,0)),"Sim")&lt;&gt;"Não",ISNUMBER(N3),N3&gt;=0)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O3:O5001">
      <formula1>AND(IFERROR(INDEX(Config!$P$35:$P$54,MATCH($B3,Config!$B$35:$B$54,0)),"Sim")&lt;&gt;"Não",ISNUMBER(O3),O3&gt;=0)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P3:P5001">
      <formula1>AND(IFERROR(INDEX(Config!$Q$35:$Q$54,MATCH($B3,Config!$B$35:$B$54,0)),"Sim")&lt;&gt;"Não",ISNUMBER(P3),P3&gt;=0)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Q3:Q5001">
      <formula1>AND(IFERROR(INDEX(Config!$R$35:$R$54,MATCH($B3,Config!$B$35:$B$54,0)),"Sim")&lt;&gt;"Não",ISNUMBER(Q3),Q3&gt;=0)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R3:R5001">
      <formula1>AND(IFERROR(INDEX(Config!$S$35:$S$54,MATCH($B3,Config!$B$35:$B$54,0)),"Sim")&lt;&gt;"Não",ISNUMBER(R3),R3&gt;=0)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S3:S5001">
      <formula1>AND(IFERROR(INDEX(Config!$T$35:$T$54,MATCH($B3,Config!$B$35:$B$54,0)),"Sim")&lt;&gt;"Não",ISNUMBER(S3),S3&gt;=0)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T3:T5001">
      <formula1>AND(IFERROR(INDEX(Config!$U$35:$U$54,MATCH($B3,Config!$B$35:$B$54,0)),"Sim")&lt;&gt;"Não",ISNUMBER(T3),T3&gt;=0)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U3:U5001">
      <formula1>AND(IFERROR(INDEX(Config!$V$35:$V$54,MATCH($B3,Config!$B$35:$B$54,0)),"Sim")&lt;&gt;"Não",ISNUMBER(U3),U3&gt;=0)</formula1>
    </dataValidation>
  </dataValidations>
  <pageMargins left="0.25" right="0.25" top="0.4" bottom="0.4" header="0.2" footer="0.2"/>
  <pageSetup paperSize="9" orientation="landscape" fitToWidth="1" fitToHeight="0"/>
  <tableParts count="1">
    <tablePart r:id="rIdT1"/>
  </tableParts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E01E1E"/>
    <pageSetUpPr fitToPage="1"/>
  </sheetPr>
  <dimension ref="A1:AE97"/>
  <sheetViews>
    <sheetView showGridLines="0" zoomScale="90" zoomScaleNormal="90" workbookViewId="0">
      <pane xSplit="3" topLeftCell="D1" activePane="topRight" state="frozen"/>
      <selection pane="topRight" activeCell="D1" sqref="D1"/>
    </sheetView>
  </sheetViews>
  <sheetFormatPr defaultRowHeight="15"/>
  <cols>
    <col min="1" max="1" width="5" customWidth="1"/>
    <col min="2" max="2" width="22" customWidth="1"/>
    <col min="3" max="3" width="11" customWidth="1"/>
    <col min="4" max="4" width="12" customWidth="1"/>
    <col min="5" max="5" width="27" customWidth="1"/>
    <col min="6" max="6" width="27" customWidth="1"/>
    <col min="7" max="7" width="27" customWidth="1"/>
    <col min="8" max="8" width="12" customWidth="1"/>
    <col min="9" max="9" width="27" customWidth="1"/>
    <col min="10" max="10" width="27" customWidth="1"/>
    <col min="11" max="11" width="27" customWidth="1"/>
    <col min="12" max="12" width="14" customWidth="1"/>
    <col min="13" max="13" width="27" customWidth="1"/>
    <col min="14" max="14" width="27" customWidth="1"/>
    <col min="15" max="15" width="34" customWidth="1"/>
    <col min="16" max="16" width="34" customWidth="1"/>
    <col min="17" max="17" width="27" customWidth="1"/>
    <col min="18" max="18" width="27" customWidth="1"/>
    <col min="19" max="19" width="34" customWidth="1"/>
    <col min="20" max="20" width="34" customWidth="1"/>
    <col min="24" max="24" width="3" customWidth="1"/>
    <col min="25" max="25" width="32" customWidth="1"/>
    <col min="26" max="26" width="30" customWidth="1"/>
    <col min="27" max="27" width="9" customWidth="1"/>
    <col min="28" max="28" width="9" customWidth="1"/>
    <col min="29" max="29" width="9" customWidth="1"/>
    <col min="30" max="30" width="9" customWidth="1"/>
    <col min="31" max="31" width="9" customWidth="1"/>
  </cols>
  <sheetData>
    <row r="1" ht="30" customHeight="1">
      <c r="A1" s="66" t="inlineStr">
        <is>
          <t xml:space="preserve">CONFIG · CLIENTES E DASHBOARD (JSL)</t>
        </is>
      </c>
      <c r="B1" s="67"/>
      <c r="C1" s="67"/>
      <c r="D1" s="67"/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8"/>
    </row>
    <row r="2" ht="30" customHeight="1">
      <c r="A2" s="69" t="inlineStr">
        <is>
          <t xml:space="preserve">COMO USAR — a aba é protegida: Revisão › Desproteger Planilha (mesma senha da pasta), faça o ajuste e proteja de novo. Células amarelas = editáveis. Tudo se atualiza na hora; não precisa gerar o arquivo de novo.</t>
        </is>
      </c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</row>
    <row r="3" ht="30" customHeight="1">
      <c r="A3" s="70" t="inlineStr">
        <is>
          <t xml:space="preserve">INCLUIR CLIENTE: (1) tabela 1 › escreva o nome numa vaga livre (coluna CLIENTE); (2) tabela 2 › marque Sim/Não nas colunas da BD que ele preenche; (3) tabela 1 › ajuste cards e gráficos (já vêm no padrão); (4) aba BD › preencha as metas na coluna dele.</t>
        </is>
      </c>
      <c r="B3" s="70"/>
      <c r="C3" s="70"/>
      <c r="D3" s="70"/>
      <c r="E3" s="70"/>
      <c r="F3" s="70"/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</row>
    <row r="4" ht="30" customHeight="1">
      <c r="A4" s="70" t="inlineStr">
        <is>
          <t xml:space="preserve">EXCLUIR CLIENTE: apague o nome na tabela 1 (a vaga fica livre e o cliente some dos filtros, do Monitoramento e do Consol Mensal). As linhas antigas da BD continuam no histórico (somam em "Todos" nos meses em que existiram).</t>
        </is>
      </c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0"/>
      <c r="S4" s="70"/>
      <c r="T4" s="70"/>
    </row>
    <row r="5" ht="30" customHeight="1">
      <c r="A5" s="70" t="inlineStr">
        <is>
          <t xml:space="preserve">RENOMEAR: troque o nome na tabela 1 e, na BD, use Localizar e Substituir no nome antigo (Ctrl+L / Ctrl+H). O nome da BD precisa ser igual ao da tabela 1.</t>
        </is>
      </c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  <c r="R5" s="70"/>
      <c r="S5" s="70"/>
      <c r="T5" s="70"/>
    </row>
    <row r="7" ht="22" customHeight="1">
      <c r="A7" s="76" t="inlineStr">
        <is>
          <t xml:space="preserve">1 · CLIENTES — 20 vagas · uma linha por cliente: nome, depósito, cards e gráficos do Dashboard (linhas cinza = visão geral, fixas)</t>
        </is>
      </c>
      <c r="B7" s="76"/>
      <c r="C7" s="76"/>
      <c r="D7" s="76"/>
      <c r="E7" s="76"/>
      <c r="F7" s="76"/>
      <c r="G7" s="76"/>
      <c r="H7" s="76"/>
      <c r="I7" s="76"/>
      <c r="J7" s="76"/>
      <c r="K7" s="76"/>
      <c r="L7" s="76"/>
      <c r="M7" s="76"/>
      <c r="N7" s="76"/>
      <c r="O7" s="76"/>
      <c r="P7" s="76"/>
      <c r="Q7" s="76"/>
      <c r="R7" s="76"/>
      <c r="S7" s="76"/>
      <c r="T7" s="76"/>
      <c r="Y7" s="71" t="inlineStr">
        <is>
          <t xml:space="preserve">CATÁLOGO DE INDICADORES (listas da tabela 1) — rótulo e casas podem ser editados; colunas cinza são técnicas</t>
        </is>
      </c>
      <c r="Z7" s="71"/>
      <c r="AA7" s="71"/>
      <c r="AB7" s="71"/>
      <c r="AC7" s="71"/>
      <c r="AD7" s="71"/>
      <c r="AE7" s="71"/>
    </row>
    <row r="8" ht="32" customHeight="1">
      <c r="A8" s="16" t="inlineStr">
        <is>
          <t xml:space="preserve">Nº</t>
        </is>
      </c>
      <c r="B8" s="16" t="inlineStr">
        <is>
          <t xml:space="preserve">CLIENTE</t>
        </is>
      </c>
      <c r="C8" s="16" t="inlineStr">
        <is>
          <t xml:space="preserve">DEPÓSITO</t>
        </is>
      </c>
      <c r="D8" s="16" t="inlineStr">
        <is>
          <t xml:space="preserve">CARD IN</t>
        </is>
      </c>
      <c r="E8" s="16" t="inlineStr">
        <is>
          <t xml:space="preserve">IN · linha 1</t>
        </is>
      </c>
      <c r="F8" s="16" t="inlineStr">
        <is>
          <t xml:space="preserve">IN · linha 2 (a)</t>
        </is>
      </c>
      <c r="G8" s="16" t="inlineStr">
        <is>
          <t xml:space="preserve">IN · linha 2 (b)</t>
        </is>
      </c>
      <c r="H8" s="16" t="inlineStr">
        <is>
          <t xml:space="preserve">CARD OUT</t>
        </is>
      </c>
      <c r="I8" s="16" t="inlineStr">
        <is>
          <t xml:space="preserve">OUT · linha 1</t>
        </is>
      </c>
      <c r="J8" s="16" t="inlineStr">
        <is>
          <t xml:space="preserve">OUT · linha 2 (a)</t>
        </is>
      </c>
      <c r="K8" s="16" t="inlineStr">
        <is>
          <t xml:space="preserve">OUT · linha 2 (b)</t>
        </is>
      </c>
      <c r="L8" s="16" t="inlineStr">
        <is>
          <t xml:space="preserve">CARD OCUPAÇÃO</t>
        </is>
      </c>
      <c r="M8" s="16" t="inlineStr">
        <is>
          <t xml:space="preserve">GRÁFICO 2 · IN</t>
        </is>
      </c>
      <c r="N8" s="16" t="inlineStr">
        <is>
          <t xml:space="preserve">GRÁFICO 2 · OUT</t>
        </is>
      </c>
      <c r="O8" s="16" t="inlineStr">
        <is>
          <t xml:space="preserve">GRÁFICO 2 · título diário</t>
        </is>
      </c>
      <c r="P8" s="16" t="inlineStr">
        <is>
          <t xml:space="preserve">GRÁFICO 2 · título semanal</t>
        </is>
      </c>
      <c r="Q8" s="16" t="inlineStr">
        <is>
          <t xml:space="preserve">GRÁFICO 3 · IN</t>
        </is>
      </c>
      <c r="R8" s="16" t="inlineStr">
        <is>
          <t xml:space="preserve">GRÁFICO 3 · OUT</t>
        </is>
      </c>
      <c r="S8" s="16" t="inlineStr">
        <is>
          <t xml:space="preserve">GRÁFICO 3 · título diário</t>
        </is>
      </c>
      <c r="T8" s="16" t="inlineStr">
        <is>
          <t xml:space="preserve">GRÁFICO 3 · título semanal</t>
        </is>
      </c>
      <c r="Y8" s="16" t="inlineStr">
        <is>
          <t xml:space="preserve">INDICADOR (nome da lista)</t>
        </is>
      </c>
      <c r="Z8" s="16" t="inlineStr">
        <is>
          <t xml:space="preserve">Rótulo no card</t>
        </is>
      </c>
      <c r="AA8" s="16" t="inlineStr">
        <is>
          <t xml:space="preserve">Casas decimais</t>
        </is>
      </c>
      <c r="AB8" s="72" t="inlineStr">
        <is>
          <t xml:space="preserve">Linha no período</t>
        </is>
      </c>
      <c r="AC8" s="72" t="inlineStr">
        <is>
          <t xml:space="preserve">Coluna na série</t>
        </is>
      </c>
      <c r="AD8" s="72" t="inlineStr">
        <is>
          <t xml:space="preserve">Linha divisor</t>
        </is>
      </c>
      <c r="AE8" s="72" t="inlineStr">
        <is>
          <t xml:space="preserve">Coluna divisor</t>
        </is>
      </c>
    </row>
    <row r="9">
      <c r="A9" s="77" t="inlineStr">
        <is>
          <t xml:space="preserve">—</t>
        </is>
      </c>
      <c r="B9" s="78" t="inlineStr">
        <is>
          <t xml:space="preserve">Todos</t>
        </is>
      </c>
      <c r="C9" s="78"/>
      <c r="D9" s="73" t="inlineStr">
        <is>
          <t xml:space="preserve">Sim</t>
        </is>
      </c>
      <c r="E9" s="73" t="inlineStr">
        <is>
          <t xml:space="preserve">Pallets Movimentados IN</t>
        </is>
      </c>
      <c r="F9" s="73" t="inlineStr">
        <is>
          <t xml:space="preserve">Toneladas Movimentadas IN</t>
        </is>
      </c>
      <c r="G9" s="73"/>
      <c r="H9" s="73" t="inlineStr">
        <is>
          <t xml:space="preserve">Sim</t>
        </is>
      </c>
      <c r="I9" s="73" t="inlineStr">
        <is>
          <t xml:space="preserve">Pallets Movimentados OUT</t>
        </is>
      </c>
      <c r="J9" s="73" t="inlineStr">
        <is>
          <t xml:space="preserve">Toneladas Movimentadas OUT</t>
        </is>
      </c>
      <c r="K9" s="73"/>
      <c r="L9" s="73" t="inlineStr">
        <is>
          <t xml:space="preserve">Completo</t>
        </is>
      </c>
      <c r="M9" s="73" t="inlineStr">
        <is>
          <t xml:space="preserve">Pallets Movimentados IN</t>
        </is>
      </c>
      <c r="N9" s="73" t="inlineStr">
        <is>
          <t xml:space="preserve">Pallets Movimentados OUT</t>
        </is>
      </c>
      <c r="O9" s="73" t="inlineStr">
        <is>
          <t xml:space="preserve">MOVIMENTAÇÃO PALETES/DIA</t>
        </is>
      </c>
      <c r="P9" s="73" t="inlineStr">
        <is>
          <t xml:space="preserve">ACUMULADO SEMANAL PALETES</t>
        </is>
      </c>
      <c r="Q9" s="73" t="inlineStr">
        <is>
          <t xml:space="preserve">Toneladas Movimentadas IN</t>
        </is>
      </c>
      <c r="R9" s="73" t="inlineStr">
        <is>
          <t xml:space="preserve">Toneladas Movimentadas OUT</t>
        </is>
      </c>
      <c r="S9" s="73" t="inlineStr">
        <is>
          <t xml:space="preserve">MOVIMENTAÇÃO TONS/DIA</t>
        </is>
      </c>
      <c r="T9" s="73" t="inlineStr">
        <is>
          <t xml:space="preserve">ACUMULADO SEMANAL TONS</t>
        </is>
      </c>
      <c r="Y9" s="40" t="inlineStr">
        <is>
          <t xml:space="preserve">Pallets Movimentados IN</t>
        </is>
      </c>
      <c r="Z9" s="73" t="inlineStr">
        <is>
          <t xml:space="preserve">pallets movimentados</t>
        </is>
      </c>
      <c r="AA9" s="74">
        <v>0</v>
      </c>
      <c r="AB9" s="75">
        <v>2</v>
      </c>
      <c r="AC9" s="75">
        <v>2</v>
      </c>
      <c r="AD9" s="75">
        <v>0</v>
      </c>
      <c r="AE9" s="75">
        <v>0</v>
      </c>
    </row>
    <row r="10">
      <c r="A10" s="77">
        <v>1</v>
      </c>
      <c r="B10" s="79" t="inlineStr">
        <is>
          <t xml:space="preserve">Barry Callebaut</t>
        </is>
      </c>
      <c r="C10" s="73" t="inlineStr">
        <is>
          <t xml:space="preserve">JSL</t>
        </is>
      </c>
      <c r="D10" s="73" t="inlineStr">
        <is>
          <t xml:space="preserve">Sim</t>
        </is>
      </c>
      <c r="E10" s="73" t="inlineStr">
        <is>
          <t xml:space="preserve">Pallets Movimentados IN</t>
        </is>
      </c>
      <c r="F10" s="73" t="inlineStr">
        <is>
          <t xml:space="preserve">Toneladas Movimentadas IN</t>
        </is>
      </c>
      <c r="G10" s="73"/>
      <c r="H10" s="73" t="inlineStr">
        <is>
          <t xml:space="preserve">Sim</t>
        </is>
      </c>
      <c r="I10" s="73" t="inlineStr">
        <is>
          <t xml:space="preserve">Pallets Movimentados OUT</t>
        </is>
      </c>
      <c r="J10" s="73" t="inlineStr">
        <is>
          <t xml:space="preserve">Toneladas Movimentadas OUT</t>
        </is>
      </c>
      <c r="K10" s="73"/>
      <c r="L10" s="73" t="inlineStr">
        <is>
          <t xml:space="preserve">Completo</t>
        </is>
      </c>
      <c r="M10" s="73" t="inlineStr">
        <is>
          <t xml:space="preserve">Pallets Movimentados IN</t>
        </is>
      </c>
      <c r="N10" s="73" t="inlineStr">
        <is>
          <t xml:space="preserve">Pallets Movimentados OUT</t>
        </is>
      </c>
      <c r="O10" s="73" t="inlineStr">
        <is>
          <t xml:space="preserve">MOVIMENTAÇÃO PALETES/DIA</t>
        </is>
      </c>
      <c r="P10" s="73" t="inlineStr">
        <is>
          <t xml:space="preserve">ACUMULADO SEMANAL PALETES</t>
        </is>
      </c>
      <c r="Q10" s="73" t="inlineStr">
        <is>
          <t xml:space="preserve">Toneladas Movimentadas IN</t>
        </is>
      </c>
      <c r="R10" s="73" t="inlineStr">
        <is>
          <t xml:space="preserve">Toneladas Movimentadas OUT</t>
        </is>
      </c>
      <c r="S10" s="73" t="inlineStr">
        <is>
          <t xml:space="preserve">MOVIMENTAÇÃO TONS/DIA</t>
        </is>
      </c>
      <c r="T10" s="73" t="inlineStr">
        <is>
          <t xml:space="preserve">ACUMULADO SEMANAL TONS</t>
        </is>
      </c>
      <c r="Y10" s="40" t="inlineStr">
        <is>
          <t xml:space="preserve">Pallets Movimentados IN por veículo</t>
        </is>
      </c>
      <c r="Z10" s="73" t="inlineStr">
        <is>
          <t xml:space="preserve">pallets movimentados por veículo</t>
        </is>
      </c>
      <c r="AA10" s="74">
        <v>1</v>
      </c>
      <c r="AB10" s="75">
        <v>2</v>
      </c>
      <c r="AC10" s="75">
        <v>2</v>
      </c>
      <c r="AD10" s="75">
        <v>1</v>
      </c>
      <c r="AE10" s="75">
        <v>1</v>
      </c>
    </row>
    <row r="11">
      <c r="A11" s="77">
        <v>2</v>
      </c>
      <c r="B11" s="79" t="inlineStr">
        <is>
          <t xml:space="preserve">GM</t>
        </is>
      </c>
      <c r="C11" s="73" t="inlineStr">
        <is>
          <t xml:space="preserve">JSL</t>
        </is>
      </c>
      <c r="D11" s="73" t="inlineStr">
        <is>
          <t xml:space="preserve">Não se aplica</t>
        </is>
      </c>
      <c r="E11" s="73"/>
      <c r="F11" s="73"/>
      <c r="G11" s="73"/>
      <c r="H11" s="73" t="inlineStr">
        <is>
          <t xml:space="preserve">Sim</t>
        </is>
      </c>
      <c r="I11" s="73" t="inlineStr">
        <is>
          <t xml:space="preserve">Pallets Movimentados OUT</t>
        </is>
      </c>
      <c r="J11" s="73" t="inlineStr">
        <is>
          <t xml:space="preserve">Toneladas Movimentadas OUT</t>
        </is>
      </c>
      <c r="K11" s="73"/>
      <c r="L11" s="73" t="inlineStr">
        <is>
          <t xml:space="preserve">Não se aplica</t>
        </is>
      </c>
      <c r="M11" s="73"/>
      <c r="N11" s="73" t="inlineStr">
        <is>
          <t xml:space="preserve">Pallets Movimentados OUT</t>
        </is>
      </c>
      <c r="O11" s="73" t="inlineStr">
        <is>
          <t xml:space="preserve">MOVIMENTAÇÃO PALETES (OUT)/DIA</t>
        </is>
      </c>
      <c r="P11" s="73" t="inlineStr">
        <is>
          <t xml:space="preserve">ACUMULADO SEMANAL PALETES (OUT)</t>
        </is>
      </c>
      <c r="Q11" s="73"/>
      <c r="R11" s="73" t="inlineStr">
        <is>
          <t xml:space="preserve">Toneladas Movimentadas OUT</t>
        </is>
      </c>
      <c r="S11" s="73" t="inlineStr">
        <is>
          <t xml:space="preserve">MOVIMENTAÇÃO TONS (OUT)/DIA</t>
        </is>
      </c>
      <c r="T11" s="73" t="inlineStr">
        <is>
          <t xml:space="preserve">ACUMULADO SEMANAL TONS (OUT)</t>
        </is>
      </c>
      <c r="Y11" s="40" t="inlineStr">
        <is>
          <t xml:space="preserve">Toneladas Movimentadas IN</t>
        </is>
      </c>
      <c r="Z11" s="73" t="inlineStr">
        <is>
          <t xml:space="preserve">t movimentadas</t>
        </is>
      </c>
      <c r="AA11" s="74">
        <v>1</v>
      </c>
      <c r="AB11" s="75">
        <v>3</v>
      </c>
      <c r="AC11" s="75">
        <v>3</v>
      </c>
      <c r="AD11" s="75">
        <v>0</v>
      </c>
      <c r="AE11" s="75">
        <v>0</v>
      </c>
    </row>
    <row r="12">
      <c r="A12" s="77">
        <v>3</v>
      </c>
      <c r="B12" s="79" t="inlineStr">
        <is>
          <t xml:space="preserve">Mondelez</t>
        </is>
      </c>
      <c r="C12" s="73" t="inlineStr">
        <is>
          <t xml:space="preserve">JSL</t>
        </is>
      </c>
      <c r="D12" s="73" t="inlineStr">
        <is>
          <t xml:space="preserve">Sim</t>
        </is>
      </c>
      <c r="E12" s="73" t="inlineStr">
        <is>
          <t xml:space="preserve">Pallets Movimentados IN</t>
        </is>
      </c>
      <c r="F12" s="73" t="inlineStr">
        <is>
          <t xml:space="preserve">Toneladas Movimentadas IN</t>
        </is>
      </c>
      <c r="G12" s="73"/>
      <c r="H12" s="73" t="inlineStr">
        <is>
          <t xml:space="preserve">Sim</t>
        </is>
      </c>
      <c r="I12" s="73" t="inlineStr">
        <is>
          <t xml:space="preserve">Pallets Movimentados OUT</t>
        </is>
      </c>
      <c r="J12" s="73" t="inlineStr">
        <is>
          <t xml:space="preserve">Toneladas Movimentadas OUT</t>
        </is>
      </c>
      <c r="K12" s="73"/>
      <c r="L12" s="73" t="inlineStr">
        <is>
          <t xml:space="preserve">Só ocupadas</t>
        </is>
      </c>
      <c r="M12" s="73" t="inlineStr">
        <is>
          <t xml:space="preserve">Pallets Movimentados IN</t>
        </is>
      </c>
      <c r="N12" s="73" t="inlineStr">
        <is>
          <t xml:space="preserve">Pallets Movimentados OUT</t>
        </is>
      </c>
      <c r="O12" s="73" t="inlineStr">
        <is>
          <t xml:space="preserve">MOVIMENTAÇÃO PALETES/DIA</t>
        </is>
      </c>
      <c r="P12" s="73" t="inlineStr">
        <is>
          <t xml:space="preserve">ACUMULADO SEMANAL PALETES</t>
        </is>
      </c>
      <c r="Q12" s="73" t="inlineStr">
        <is>
          <t xml:space="preserve">Toneladas Movimentadas IN</t>
        </is>
      </c>
      <c r="R12" s="73" t="inlineStr">
        <is>
          <t xml:space="preserve">Toneladas Movimentadas OUT</t>
        </is>
      </c>
      <c r="S12" s="73" t="inlineStr">
        <is>
          <t xml:space="preserve">MOVIMENTAÇÃO TONS/DIA</t>
        </is>
      </c>
      <c r="T12" s="73" t="inlineStr">
        <is>
          <t xml:space="preserve">ACUMULADO SEMANAL TONS</t>
        </is>
      </c>
      <c r="Y12" s="40" t="inlineStr">
        <is>
          <t xml:space="preserve">Toneladas Movimentadas IN por veículo</t>
        </is>
      </c>
      <c r="Z12" s="73" t="inlineStr">
        <is>
          <t xml:space="preserve">t movimentadas por veículo</t>
        </is>
      </c>
      <c r="AA12" s="74">
        <v>1</v>
      </c>
      <c r="AB12" s="75">
        <v>3</v>
      </c>
      <c r="AC12" s="75">
        <v>3</v>
      </c>
      <c r="AD12" s="75">
        <v>1</v>
      </c>
      <c r="AE12" s="75">
        <v>1</v>
      </c>
    </row>
    <row r="13">
      <c r="A13" s="77">
        <v>4</v>
      </c>
      <c r="B13" s="79" t="inlineStr">
        <is>
          <t xml:space="preserve">Nestlé</t>
        </is>
      </c>
      <c r="C13" s="73" t="inlineStr">
        <is>
          <t xml:space="preserve">JSL</t>
        </is>
      </c>
      <c r="D13" s="73" t="inlineStr">
        <is>
          <t xml:space="preserve">Sim</t>
        </is>
      </c>
      <c r="E13" s="73" t="inlineStr">
        <is>
          <t xml:space="preserve">Pallets Movimentados IN</t>
        </is>
      </c>
      <c r="F13" s="73" t="inlineStr">
        <is>
          <t xml:space="preserve">Toneladas Movimentadas IN</t>
        </is>
      </c>
      <c r="G13" s="73"/>
      <c r="H13" s="73" t="inlineStr">
        <is>
          <t xml:space="preserve">Sim</t>
        </is>
      </c>
      <c r="I13" s="73" t="inlineStr">
        <is>
          <t xml:space="preserve">Pallets Movimentados OUT</t>
        </is>
      </c>
      <c r="J13" s="73" t="inlineStr">
        <is>
          <t xml:space="preserve">Toneladas Movimentadas OUT</t>
        </is>
      </c>
      <c r="K13" s="73"/>
      <c r="L13" s="73" t="inlineStr">
        <is>
          <t xml:space="preserve">Só ocupadas</t>
        </is>
      </c>
      <c r="M13" s="73" t="inlineStr">
        <is>
          <t xml:space="preserve">Pallets Movimentados IN</t>
        </is>
      </c>
      <c r="N13" s="73" t="inlineStr">
        <is>
          <t xml:space="preserve">Pallets Movimentados OUT</t>
        </is>
      </c>
      <c r="O13" s="73" t="inlineStr">
        <is>
          <t xml:space="preserve">MOVIMENTAÇÃO PALETES/DIA</t>
        </is>
      </c>
      <c r="P13" s="73" t="inlineStr">
        <is>
          <t xml:space="preserve">ACUMULADO SEMANAL PALETES</t>
        </is>
      </c>
      <c r="Q13" s="73" t="inlineStr">
        <is>
          <t xml:space="preserve">Toneladas Movimentadas IN</t>
        </is>
      </c>
      <c r="R13" s="73" t="inlineStr">
        <is>
          <t xml:space="preserve">Toneladas Movimentadas OUT</t>
        </is>
      </c>
      <c r="S13" s="73" t="inlineStr">
        <is>
          <t xml:space="preserve">MOVIMENTAÇÃO TONS/DIA</t>
        </is>
      </c>
      <c r="T13" s="73" t="inlineStr">
        <is>
          <t xml:space="preserve">ACUMULADO SEMANAL TONS</t>
        </is>
      </c>
      <c r="Y13" s="40" t="inlineStr">
        <is>
          <t xml:space="preserve">Pallets Movimentados OUT</t>
        </is>
      </c>
      <c r="Z13" s="73" t="inlineStr">
        <is>
          <t xml:space="preserve">pallets movimentados</t>
        </is>
      </c>
      <c r="AA13" s="74">
        <v>0</v>
      </c>
      <c r="AB13" s="75">
        <v>5</v>
      </c>
      <c r="AC13" s="75">
        <v>5</v>
      </c>
      <c r="AD13" s="75">
        <v>0</v>
      </c>
      <c r="AE13" s="75">
        <v>0</v>
      </c>
    </row>
    <row r="14">
      <c r="A14" s="77">
        <v>5</v>
      </c>
      <c r="B14" s="79" t="inlineStr">
        <is>
          <t xml:space="preserve">PMB</t>
        </is>
      </c>
      <c r="C14" s="73" t="inlineStr">
        <is>
          <t xml:space="preserve">JSL</t>
        </is>
      </c>
      <c r="D14" s="73" t="inlineStr">
        <is>
          <t xml:space="preserve">Sim</t>
        </is>
      </c>
      <c r="E14" s="73" t="inlineStr">
        <is>
          <t xml:space="preserve">Pallets Movimentados IN</t>
        </is>
      </c>
      <c r="F14" s="73" t="inlineStr">
        <is>
          <t xml:space="preserve">Toneladas Movimentadas IN</t>
        </is>
      </c>
      <c r="G14" s="73"/>
      <c r="H14" s="73" t="inlineStr">
        <is>
          <t xml:space="preserve">Sim</t>
        </is>
      </c>
      <c r="I14" s="73" t="inlineStr">
        <is>
          <t xml:space="preserve">Pallets Movimentados OUT</t>
        </is>
      </c>
      <c r="J14" s="73" t="inlineStr">
        <is>
          <t xml:space="preserve">Toneladas Movimentadas OUT</t>
        </is>
      </c>
      <c r="K14" s="73"/>
      <c r="L14" s="73" t="inlineStr">
        <is>
          <t xml:space="preserve">Completo</t>
        </is>
      </c>
      <c r="M14" s="73" t="inlineStr">
        <is>
          <t xml:space="preserve">Pallets Movimentados IN</t>
        </is>
      </c>
      <c r="N14" s="73" t="inlineStr">
        <is>
          <t xml:space="preserve">Pallets Movimentados OUT</t>
        </is>
      </c>
      <c r="O14" s="73" t="inlineStr">
        <is>
          <t xml:space="preserve">MOVIMENTAÇÃO PALETES/DIA</t>
        </is>
      </c>
      <c r="P14" s="73" t="inlineStr">
        <is>
          <t xml:space="preserve">ACUMULADO SEMANAL PALETES</t>
        </is>
      </c>
      <c r="Q14" s="73" t="inlineStr">
        <is>
          <t xml:space="preserve">Toneladas Movimentadas IN</t>
        </is>
      </c>
      <c r="R14" s="73" t="inlineStr">
        <is>
          <t xml:space="preserve">Toneladas Movimentadas OUT</t>
        </is>
      </c>
      <c r="S14" s="73" t="inlineStr">
        <is>
          <t xml:space="preserve">MOVIMENTAÇÃO TONS/DIA</t>
        </is>
      </c>
      <c r="T14" s="73" t="inlineStr">
        <is>
          <t xml:space="preserve">ACUMULADO SEMANAL TONS</t>
        </is>
      </c>
      <c r="Y14" s="40" t="inlineStr">
        <is>
          <t xml:space="preserve">Pallets Movimentados OUT por veículo</t>
        </is>
      </c>
      <c r="Z14" s="73" t="inlineStr">
        <is>
          <t xml:space="preserve">pallets movimentados por veículo</t>
        </is>
      </c>
      <c r="AA14" s="74">
        <v>1</v>
      </c>
      <c r="AB14" s="75">
        <v>5</v>
      </c>
      <c r="AC14" s="75">
        <v>5</v>
      </c>
      <c r="AD14" s="75">
        <v>4</v>
      </c>
      <c r="AE14" s="75">
        <v>4</v>
      </c>
    </row>
    <row r="15">
      <c r="A15" s="77">
        <v>6</v>
      </c>
      <c r="B15" s="79"/>
      <c r="C15" s="73"/>
      <c r="D15" s="73" t="inlineStr">
        <is>
          <t xml:space="preserve">Sim</t>
        </is>
      </c>
      <c r="E15" s="73" t="inlineStr">
        <is>
          <t xml:space="preserve">Pallets Movimentados IN</t>
        </is>
      </c>
      <c r="F15" s="73" t="inlineStr">
        <is>
          <t xml:space="preserve">Toneladas Movimentadas IN</t>
        </is>
      </c>
      <c r="G15" s="73"/>
      <c r="H15" s="73" t="inlineStr">
        <is>
          <t xml:space="preserve">Sim</t>
        </is>
      </c>
      <c r="I15" s="73" t="inlineStr">
        <is>
          <t xml:space="preserve">Pallets Movimentados OUT</t>
        </is>
      </c>
      <c r="J15" s="73" t="inlineStr">
        <is>
          <t xml:space="preserve">Toneladas Movimentadas OUT</t>
        </is>
      </c>
      <c r="K15" s="73"/>
      <c r="L15" s="73" t="inlineStr">
        <is>
          <t xml:space="preserve">Completo</t>
        </is>
      </c>
      <c r="M15" s="73" t="inlineStr">
        <is>
          <t xml:space="preserve">Pallets Movimentados IN</t>
        </is>
      </c>
      <c r="N15" s="73" t="inlineStr">
        <is>
          <t xml:space="preserve">Pallets Movimentados OUT</t>
        </is>
      </c>
      <c r="O15" s="73" t="inlineStr">
        <is>
          <t xml:space="preserve">MOVIMENTAÇÃO PALETES/DIA</t>
        </is>
      </c>
      <c r="P15" s="73" t="inlineStr">
        <is>
          <t xml:space="preserve">ACUMULADO SEMANAL PALETES</t>
        </is>
      </c>
      <c r="Q15" s="73" t="inlineStr">
        <is>
          <t xml:space="preserve">Toneladas Movimentadas IN</t>
        </is>
      </c>
      <c r="R15" s="73" t="inlineStr">
        <is>
          <t xml:space="preserve">Toneladas Movimentadas OUT</t>
        </is>
      </c>
      <c r="S15" s="73" t="inlineStr">
        <is>
          <t xml:space="preserve">MOVIMENTAÇÃO TONS/DIA</t>
        </is>
      </c>
      <c r="T15" s="73" t="inlineStr">
        <is>
          <t xml:space="preserve">ACUMULADO SEMANAL TONS</t>
        </is>
      </c>
      <c r="Y15" s="40" t="inlineStr">
        <is>
          <t xml:space="preserve">Toneladas Movimentadas OUT</t>
        </is>
      </c>
      <c r="Z15" s="73" t="inlineStr">
        <is>
          <t xml:space="preserve">t movimentadas</t>
        </is>
      </c>
      <c r="AA15" s="74">
        <v>1</v>
      </c>
      <c r="AB15" s="75">
        <v>6</v>
      </c>
      <c r="AC15" s="75">
        <v>6</v>
      </c>
      <c r="AD15" s="75">
        <v>0</v>
      </c>
      <c r="AE15" s="75">
        <v>0</v>
      </c>
    </row>
    <row r="16">
      <c r="A16" s="77">
        <v>7</v>
      </c>
      <c r="B16" s="79"/>
      <c r="C16" s="73"/>
      <c r="D16" s="73" t="inlineStr">
        <is>
          <t xml:space="preserve">Sim</t>
        </is>
      </c>
      <c r="E16" s="73" t="inlineStr">
        <is>
          <t xml:space="preserve">Pallets Movimentados IN</t>
        </is>
      </c>
      <c r="F16" s="73" t="inlineStr">
        <is>
          <t xml:space="preserve">Toneladas Movimentadas IN</t>
        </is>
      </c>
      <c r="G16" s="73"/>
      <c r="H16" s="73" t="inlineStr">
        <is>
          <t xml:space="preserve">Sim</t>
        </is>
      </c>
      <c r="I16" s="73" t="inlineStr">
        <is>
          <t xml:space="preserve">Pallets Movimentados OUT</t>
        </is>
      </c>
      <c r="J16" s="73" t="inlineStr">
        <is>
          <t xml:space="preserve">Toneladas Movimentadas OUT</t>
        </is>
      </c>
      <c r="K16" s="73"/>
      <c r="L16" s="73" t="inlineStr">
        <is>
          <t xml:space="preserve">Completo</t>
        </is>
      </c>
      <c r="M16" s="73" t="inlineStr">
        <is>
          <t xml:space="preserve">Pallets Movimentados IN</t>
        </is>
      </c>
      <c r="N16" s="73" t="inlineStr">
        <is>
          <t xml:space="preserve">Pallets Movimentados OUT</t>
        </is>
      </c>
      <c r="O16" s="73" t="inlineStr">
        <is>
          <t xml:space="preserve">MOVIMENTAÇÃO PALETES/DIA</t>
        </is>
      </c>
      <c r="P16" s="73" t="inlineStr">
        <is>
          <t xml:space="preserve">ACUMULADO SEMANAL PALETES</t>
        </is>
      </c>
      <c r="Q16" s="73" t="inlineStr">
        <is>
          <t xml:space="preserve">Toneladas Movimentadas IN</t>
        </is>
      </c>
      <c r="R16" s="73" t="inlineStr">
        <is>
          <t xml:space="preserve">Toneladas Movimentadas OUT</t>
        </is>
      </c>
      <c r="S16" s="73" t="inlineStr">
        <is>
          <t xml:space="preserve">MOVIMENTAÇÃO TONS/DIA</t>
        </is>
      </c>
      <c r="T16" s="73" t="inlineStr">
        <is>
          <t xml:space="preserve">ACUMULADO SEMANAL TONS</t>
        </is>
      </c>
      <c r="Y16" s="40" t="inlineStr">
        <is>
          <t xml:space="preserve">Toneladas Movimentadas OUT por veículo</t>
        </is>
      </c>
      <c r="Z16" s="73" t="inlineStr">
        <is>
          <t xml:space="preserve">t movimentadas por veículo</t>
        </is>
      </c>
      <c r="AA16" s="74">
        <v>1</v>
      </c>
      <c r="AB16" s="75">
        <v>6</v>
      </c>
      <c r="AC16" s="75">
        <v>6</v>
      </c>
      <c r="AD16" s="75">
        <v>4</v>
      </c>
      <c r="AE16" s="75">
        <v>4</v>
      </c>
    </row>
    <row r="17">
      <c r="A17" s="77">
        <v>8</v>
      </c>
      <c r="B17" s="79"/>
      <c r="C17" s="73"/>
      <c r="D17" s="73" t="inlineStr">
        <is>
          <t xml:space="preserve">Sim</t>
        </is>
      </c>
      <c r="E17" s="73" t="inlineStr">
        <is>
          <t xml:space="preserve">Pallets Movimentados IN</t>
        </is>
      </c>
      <c r="F17" s="73" t="inlineStr">
        <is>
          <t xml:space="preserve">Toneladas Movimentadas IN</t>
        </is>
      </c>
      <c r="G17" s="73"/>
      <c r="H17" s="73" t="inlineStr">
        <is>
          <t xml:space="preserve">Sim</t>
        </is>
      </c>
      <c r="I17" s="73" t="inlineStr">
        <is>
          <t xml:space="preserve">Pallets Movimentados OUT</t>
        </is>
      </c>
      <c r="J17" s="73" t="inlineStr">
        <is>
          <t xml:space="preserve">Toneladas Movimentadas OUT</t>
        </is>
      </c>
      <c r="K17" s="73"/>
      <c r="L17" s="73" t="inlineStr">
        <is>
          <t xml:space="preserve">Completo</t>
        </is>
      </c>
      <c r="M17" s="73" t="inlineStr">
        <is>
          <t xml:space="preserve">Pallets Movimentados IN</t>
        </is>
      </c>
      <c r="N17" s="73" t="inlineStr">
        <is>
          <t xml:space="preserve">Pallets Movimentados OUT</t>
        </is>
      </c>
      <c r="O17" s="73" t="inlineStr">
        <is>
          <t xml:space="preserve">MOVIMENTAÇÃO PALETES/DIA</t>
        </is>
      </c>
      <c r="P17" s="73" t="inlineStr">
        <is>
          <t xml:space="preserve">ACUMULADO SEMANAL PALETES</t>
        </is>
      </c>
      <c r="Q17" s="73" t="inlineStr">
        <is>
          <t xml:space="preserve">Toneladas Movimentadas IN</t>
        </is>
      </c>
      <c r="R17" s="73" t="inlineStr">
        <is>
          <t xml:space="preserve">Toneladas Movimentadas OUT</t>
        </is>
      </c>
      <c r="S17" s="73" t="inlineStr">
        <is>
          <t xml:space="preserve">MOVIMENTAÇÃO TONS/DIA</t>
        </is>
      </c>
      <c r="T17" s="73" t="inlineStr">
        <is>
          <t xml:space="preserve">ACUMULADO SEMANAL TONS</t>
        </is>
      </c>
    </row>
    <row r="18">
      <c r="A18" s="77">
        <v>9</v>
      </c>
      <c r="B18" s="79"/>
      <c r="C18" s="73"/>
      <c r="D18" s="73" t="inlineStr">
        <is>
          <t xml:space="preserve">Sim</t>
        </is>
      </c>
      <c r="E18" s="73" t="inlineStr">
        <is>
          <t xml:space="preserve">Pallets Movimentados IN</t>
        </is>
      </c>
      <c r="F18" s="73" t="inlineStr">
        <is>
          <t xml:space="preserve">Toneladas Movimentadas IN</t>
        </is>
      </c>
      <c r="G18" s="73"/>
      <c r="H18" s="73" t="inlineStr">
        <is>
          <t xml:space="preserve">Sim</t>
        </is>
      </c>
      <c r="I18" s="73" t="inlineStr">
        <is>
          <t xml:space="preserve">Pallets Movimentados OUT</t>
        </is>
      </c>
      <c r="J18" s="73" t="inlineStr">
        <is>
          <t xml:space="preserve">Toneladas Movimentadas OUT</t>
        </is>
      </c>
      <c r="K18" s="73"/>
      <c r="L18" s="73" t="inlineStr">
        <is>
          <t xml:space="preserve">Completo</t>
        </is>
      </c>
      <c r="M18" s="73" t="inlineStr">
        <is>
          <t xml:space="preserve">Pallets Movimentados IN</t>
        </is>
      </c>
      <c r="N18" s="73" t="inlineStr">
        <is>
          <t xml:space="preserve">Pallets Movimentados OUT</t>
        </is>
      </c>
      <c r="O18" s="73" t="inlineStr">
        <is>
          <t xml:space="preserve">MOVIMENTAÇÃO PALETES/DIA</t>
        </is>
      </c>
      <c r="P18" s="73" t="inlineStr">
        <is>
          <t xml:space="preserve">ACUMULADO SEMANAL PALETES</t>
        </is>
      </c>
      <c r="Q18" s="73" t="inlineStr">
        <is>
          <t xml:space="preserve">Toneladas Movimentadas IN</t>
        </is>
      </c>
      <c r="R18" s="73" t="inlineStr">
        <is>
          <t xml:space="preserve">Toneladas Movimentadas OUT</t>
        </is>
      </c>
      <c r="S18" s="73" t="inlineStr">
        <is>
          <t xml:space="preserve">MOVIMENTAÇÃO TONS/DIA</t>
        </is>
      </c>
      <c r="T18" s="73" t="inlineStr">
        <is>
          <t xml:space="preserve">ACUMULADO SEMANAL TONS</t>
        </is>
      </c>
    </row>
    <row r="19">
      <c r="A19" s="77">
        <v>10</v>
      </c>
      <c r="B19" s="79"/>
      <c r="C19" s="73"/>
      <c r="D19" s="73" t="inlineStr">
        <is>
          <t xml:space="preserve">Sim</t>
        </is>
      </c>
      <c r="E19" s="73" t="inlineStr">
        <is>
          <t xml:space="preserve">Pallets Movimentados IN</t>
        </is>
      </c>
      <c r="F19" s="73" t="inlineStr">
        <is>
          <t xml:space="preserve">Toneladas Movimentadas IN</t>
        </is>
      </c>
      <c r="G19" s="73"/>
      <c r="H19" s="73" t="inlineStr">
        <is>
          <t xml:space="preserve">Sim</t>
        </is>
      </c>
      <c r="I19" s="73" t="inlineStr">
        <is>
          <t xml:space="preserve">Pallets Movimentados OUT</t>
        </is>
      </c>
      <c r="J19" s="73" t="inlineStr">
        <is>
          <t xml:space="preserve">Toneladas Movimentadas OUT</t>
        </is>
      </c>
      <c r="K19" s="73"/>
      <c r="L19" s="73" t="inlineStr">
        <is>
          <t xml:space="preserve">Completo</t>
        </is>
      </c>
      <c r="M19" s="73" t="inlineStr">
        <is>
          <t xml:space="preserve">Pallets Movimentados IN</t>
        </is>
      </c>
      <c r="N19" s="73" t="inlineStr">
        <is>
          <t xml:space="preserve">Pallets Movimentados OUT</t>
        </is>
      </c>
      <c r="O19" s="73" t="inlineStr">
        <is>
          <t xml:space="preserve">MOVIMENTAÇÃO PALETES/DIA</t>
        </is>
      </c>
      <c r="P19" s="73" t="inlineStr">
        <is>
          <t xml:space="preserve">ACUMULADO SEMANAL PALETES</t>
        </is>
      </c>
      <c r="Q19" s="73" t="inlineStr">
        <is>
          <t xml:space="preserve">Toneladas Movimentadas IN</t>
        </is>
      </c>
      <c r="R19" s="73" t="inlineStr">
        <is>
          <t xml:space="preserve">Toneladas Movimentadas OUT</t>
        </is>
      </c>
      <c r="S19" s="73" t="inlineStr">
        <is>
          <t xml:space="preserve">MOVIMENTAÇÃO TONS/DIA</t>
        </is>
      </c>
      <c r="T19" s="73" t="inlineStr">
        <is>
          <t xml:space="preserve">ACUMULADO SEMANAL TONS</t>
        </is>
      </c>
    </row>
    <row r="20">
      <c r="A20" s="77">
        <v>11</v>
      </c>
      <c r="B20" s="79"/>
      <c r="C20" s="73"/>
      <c r="D20" s="73" t="inlineStr">
        <is>
          <t xml:space="preserve">Sim</t>
        </is>
      </c>
      <c r="E20" s="73" t="inlineStr">
        <is>
          <t xml:space="preserve">Pallets Movimentados IN</t>
        </is>
      </c>
      <c r="F20" s="73" t="inlineStr">
        <is>
          <t xml:space="preserve">Toneladas Movimentadas IN</t>
        </is>
      </c>
      <c r="G20" s="73"/>
      <c r="H20" s="73" t="inlineStr">
        <is>
          <t xml:space="preserve">Sim</t>
        </is>
      </c>
      <c r="I20" s="73" t="inlineStr">
        <is>
          <t xml:space="preserve">Pallets Movimentados OUT</t>
        </is>
      </c>
      <c r="J20" s="73" t="inlineStr">
        <is>
          <t xml:space="preserve">Toneladas Movimentadas OUT</t>
        </is>
      </c>
      <c r="K20" s="73"/>
      <c r="L20" s="73" t="inlineStr">
        <is>
          <t xml:space="preserve">Completo</t>
        </is>
      </c>
      <c r="M20" s="73" t="inlineStr">
        <is>
          <t xml:space="preserve">Pallets Movimentados IN</t>
        </is>
      </c>
      <c r="N20" s="73" t="inlineStr">
        <is>
          <t xml:space="preserve">Pallets Movimentados OUT</t>
        </is>
      </c>
      <c r="O20" s="73" t="inlineStr">
        <is>
          <t xml:space="preserve">MOVIMENTAÇÃO PALETES/DIA</t>
        </is>
      </c>
      <c r="P20" s="73" t="inlineStr">
        <is>
          <t xml:space="preserve">ACUMULADO SEMANAL PALETES</t>
        </is>
      </c>
      <c r="Q20" s="73" t="inlineStr">
        <is>
          <t xml:space="preserve">Toneladas Movimentadas IN</t>
        </is>
      </c>
      <c r="R20" s="73" t="inlineStr">
        <is>
          <t xml:space="preserve">Toneladas Movimentadas OUT</t>
        </is>
      </c>
      <c r="S20" s="73" t="inlineStr">
        <is>
          <t xml:space="preserve">MOVIMENTAÇÃO TONS/DIA</t>
        </is>
      </c>
      <c r="T20" s="73" t="inlineStr">
        <is>
          <t xml:space="preserve">ACUMULADO SEMANAL TONS</t>
        </is>
      </c>
    </row>
    <row r="21">
      <c r="A21" s="77">
        <v>12</v>
      </c>
      <c r="B21" s="79"/>
      <c r="C21" s="73"/>
      <c r="D21" s="73" t="inlineStr">
        <is>
          <t xml:space="preserve">Sim</t>
        </is>
      </c>
      <c r="E21" s="73" t="inlineStr">
        <is>
          <t xml:space="preserve">Pallets Movimentados IN</t>
        </is>
      </c>
      <c r="F21" s="73" t="inlineStr">
        <is>
          <t xml:space="preserve">Toneladas Movimentadas IN</t>
        </is>
      </c>
      <c r="G21" s="73"/>
      <c r="H21" s="73" t="inlineStr">
        <is>
          <t xml:space="preserve">Sim</t>
        </is>
      </c>
      <c r="I21" s="73" t="inlineStr">
        <is>
          <t xml:space="preserve">Pallets Movimentados OUT</t>
        </is>
      </c>
      <c r="J21" s="73" t="inlineStr">
        <is>
          <t xml:space="preserve">Toneladas Movimentadas OUT</t>
        </is>
      </c>
      <c r="K21" s="73"/>
      <c r="L21" s="73" t="inlineStr">
        <is>
          <t xml:space="preserve">Completo</t>
        </is>
      </c>
      <c r="M21" s="73" t="inlineStr">
        <is>
          <t xml:space="preserve">Pallets Movimentados IN</t>
        </is>
      </c>
      <c r="N21" s="73" t="inlineStr">
        <is>
          <t xml:space="preserve">Pallets Movimentados OUT</t>
        </is>
      </c>
      <c r="O21" s="73" t="inlineStr">
        <is>
          <t xml:space="preserve">MOVIMENTAÇÃO PALETES/DIA</t>
        </is>
      </c>
      <c r="P21" s="73" t="inlineStr">
        <is>
          <t xml:space="preserve">ACUMULADO SEMANAL PALETES</t>
        </is>
      </c>
      <c r="Q21" s="73" t="inlineStr">
        <is>
          <t xml:space="preserve">Toneladas Movimentadas IN</t>
        </is>
      </c>
      <c r="R21" s="73" t="inlineStr">
        <is>
          <t xml:space="preserve">Toneladas Movimentadas OUT</t>
        </is>
      </c>
      <c r="S21" s="73" t="inlineStr">
        <is>
          <t xml:space="preserve">MOVIMENTAÇÃO TONS/DIA</t>
        </is>
      </c>
      <c r="T21" s="73" t="inlineStr">
        <is>
          <t xml:space="preserve">ACUMULADO SEMANAL TONS</t>
        </is>
      </c>
    </row>
    <row r="22">
      <c r="A22" s="77">
        <v>13</v>
      </c>
      <c r="B22" s="79"/>
      <c r="C22" s="73"/>
      <c r="D22" s="73" t="inlineStr">
        <is>
          <t xml:space="preserve">Sim</t>
        </is>
      </c>
      <c r="E22" s="73" t="inlineStr">
        <is>
          <t xml:space="preserve">Pallets Movimentados IN</t>
        </is>
      </c>
      <c r="F22" s="73" t="inlineStr">
        <is>
          <t xml:space="preserve">Toneladas Movimentadas IN</t>
        </is>
      </c>
      <c r="G22" s="73"/>
      <c r="H22" s="73" t="inlineStr">
        <is>
          <t xml:space="preserve">Sim</t>
        </is>
      </c>
      <c r="I22" s="73" t="inlineStr">
        <is>
          <t xml:space="preserve">Pallets Movimentados OUT</t>
        </is>
      </c>
      <c r="J22" s="73" t="inlineStr">
        <is>
          <t xml:space="preserve">Toneladas Movimentadas OUT</t>
        </is>
      </c>
      <c r="K22" s="73"/>
      <c r="L22" s="73" t="inlineStr">
        <is>
          <t xml:space="preserve">Completo</t>
        </is>
      </c>
      <c r="M22" s="73" t="inlineStr">
        <is>
          <t xml:space="preserve">Pallets Movimentados IN</t>
        </is>
      </c>
      <c r="N22" s="73" t="inlineStr">
        <is>
          <t xml:space="preserve">Pallets Movimentados OUT</t>
        </is>
      </c>
      <c r="O22" s="73" t="inlineStr">
        <is>
          <t xml:space="preserve">MOVIMENTAÇÃO PALETES/DIA</t>
        </is>
      </c>
      <c r="P22" s="73" t="inlineStr">
        <is>
          <t xml:space="preserve">ACUMULADO SEMANAL PALETES</t>
        </is>
      </c>
      <c r="Q22" s="73" t="inlineStr">
        <is>
          <t xml:space="preserve">Toneladas Movimentadas IN</t>
        </is>
      </c>
      <c r="R22" s="73" t="inlineStr">
        <is>
          <t xml:space="preserve">Toneladas Movimentadas OUT</t>
        </is>
      </c>
      <c r="S22" s="73" t="inlineStr">
        <is>
          <t xml:space="preserve">MOVIMENTAÇÃO TONS/DIA</t>
        </is>
      </c>
      <c r="T22" s="73" t="inlineStr">
        <is>
          <t xml:space="preserve">ACUMULADO SEMANAL TONS</t>
        </is>
      </c>
    </row>
    <row r="23">
      <c r="A23" s="77">
        <v>14</v>
      </c>
      <c r="B23" s="79"/>
      <c r="C23" s="73"/>
      <c r="D23" s="73" t="inlineStr">
        <is>
          <t xml:space="preserve">Sim</t>
        </is>
      </c>
      <c r="E23" s="73" t="inlineStr">
        <is>
          <t xml:space="preserve">Pallets Movimentados IN</t>
        </is>
      </c>
      <c r="F23" s="73" t="inlineStr">
        <is>
          <t xml:space="preserve">Toneladas Movimentadas IN</t>
        </is>
      </c>
      <c r="G23" s="73"/>
      <c r="H23" s="73" t="inlineStr">
        <is>
          <t xml:space="preserve">Sim</t>
        </is>
      </c>
      <c r="I23" s="73" t="inlineStr">
        <is>
          <t xml:space="preserve">Pallets Movimentados OUT</t>
        </is>
      </c>
      <c r="J23" s="73" t="inlineStr">
        <is>
          <t xml:space="preserve">Toneladas Movimentadas OUT</t>
        </is>
      </c>
      <c r="K23" s="73"/>
      <c r="L23" s="73" t="inlineStr">
        <is>
          <t xml:space="preserve">Completo</t>
        </is>
      </c>
      <c r="M23" s="73" t="inlineStr">
        <is>
          <t xml:space="preserve">Pallets Movimentados IN</t>
        </is>
      </c>
      <c r="N23" s="73" t="inlineStr">
        <is>
          <t xml:space="preserve">Pallets Movimentados OUT</t>
        </is>
      </c>
      <c r="O23" s="73" t="inlineStr">
        <is>
          <t xml:space="preserve">MOVIMENTAÇÃO PALETES/DIA</t>
        </is>
      </c>
      <c r="P23" s="73" t="inlineStr">
        <is>
          <t xml:space="preserve">ACUMULADO SEMANAL PALETES</t>
        </is>
      </c>
      <c r="Q23" s="73" t="inlineStr">
        <is>
          <t xml:space="preserve">Toneladas Movimentadas IN</t>
        </is>
      </c>
      <c r="R23" s="73" t="inlineStr">
        <is>
          <t xml:space="preserve">Toneladas Movimentadas OUT</t>
        </is>
      </c>
      <c r="S23" s="73" t="inlineStr">
        <is>
          <t xml:space="preserve">MOVIMENTAÇÃO TONS/DIA</t>
        </is>
      </c>
      <c r="T23" s="73" t="inlineStr">
        <is>
          <t xml:space="preserve">ACUMULADO SEMANAL TONS</t>
        </is>
      </c>
    </row>
    <row r="24">
      <c r="A24" s="77">
        <v>15</v>
      </c>
      <c r="B24" s="79"/>
      <c r="C24" s="73"/>
      <c r="D24" s="73" t="inlineStr">
        <is>
          <t xml:space="preserve">Sim</t>
        </is>
      </c>
      <c r="E24" s="73" t="inlineStr">
        <is>
          <t xml:space="preserve">Pallets Movimentados IN</t>
        </is>
      </c>
      <c r="F24" s="73" t="inlineStr">
        <is>
          <t xml:space="preserve">Toneladas Movimentadas IN</t>
        </is>
      </c>
      <c r="G24" s="73"/>
      <c r="H24" s="73" t="inlineStr">
        <is>
          <t xml:space="preserve">Sim</t>
        </is>
      </c>
      <c r="I24" s="73" t="inlineStr">
        <is>
          <t xml:space="preserve">Pallets Movimentados OUT</t>
        </is>
      </c>
      <c r="J24" s="73" t="inlineStr">
        <is>
          <t xml:space="preserve">Toneladas Movimentadas OUT</t>
        </is>
      </c>
      <c r="K24" s="73"/>
      <c r="L24" s="73" t="inlineStr">
        <is>
          <t xml:space="preserve">Completo</t>
        </is>
      </c>
      <c r="M24" s="73" t="inlineStr">
        <is>
          <t xml:space="preserve">Pallets Movimentados IN</t>
        </is>
      </c>
      <c r="N24" s="73" t="inlineStr">
        <is>
          <t xml:space="preserve">Pallets Movimentados OUT</t>
        </is>
      </c>
      <c r="O24" s="73" t="inlineStr">
        <is>
          <t xml:space="preserve">MOVIMENTAÇÃO PALETES/DIA</t>
        </is>
      </c>
      <c r="P24" s="73" t="inlineStr">
        <is>
          <t xml:space="preserve">ACUMULADO SEMANAL PALETES</t>
        </is>
      </c>
      <c r="Q24" s="73" t="inlineStr">
        <is>
          <t xml:space="preserve">Toneladas Movimentadas IN</t>
        </is>
      </c>
      <c r="R24" s="73" t="inlineStr">
        <is>
          <t xml:space="preserve">Toneladas Movimentadas OUT</t>
        </is>
      </c>
      <c r="S24" s="73" t="inlineStr">
        <is>
          <t xml:space="preserve">MOVIMENTAÇÃO TONS/DIA</t>
        </is>
      </c>
      <c r="T24" s="73" t="inlineStr">
        <is>
          <t xml:space="preserve">ACUMULADO SEMANAL TONS</t>
        </is>
      </c>
    </row>
    <row r="25">
      <c r="A25" s="77">
        <v>16</v>
      </c>
      <c r="B25" s="79"/>
      <c r="C25" s="73"/>
      <c r="D25" s="73" t="inlineStr">
        <is>
          <t xml:space="preserve">Sim</t>
        </is>
      </c>
      <c r="E25" s="73" t="inlineStr">
        <is>
          <t xml:space="preserve">Pallets Movimentados IN</t>
        </is>
      </c>
      <c r="F25" s="73" t="inlineStr">
        <is>
          <t xml:space="preserve">Toneladas Movimentadas IN</t>
        </is>
      </c>
      <c r="G25" s="73"/>
      <c r="H25" s="73" t="inlineStr">
        <is>
          <t xml:space="preserve">Sim</t>
        </is>
      </c>
      <c r="I25" s="73" t="inlineStr">
        <is>
          <t xml:space="preserve">Pallets Movimentados OUT</t>
        </is>
      </c>
      <c r="J25" s="73" t="inlineStr">
        <is>
          <t xml:space="preserve">Toneladas Movimentadas OUT</t>
        </is>
      </c>
      <c r="K25" s="73"/>
      <c r="L25" s="73" t="inlineStr">
        <is>
          <t xml:space="preserve">Completo</t>
        </is>
      </c>
      <c r="M25" s="73" t="inlineStr">
        <is>
          <t xml:space="preserve">Pallets Movimentados IN</t>
        </is>
      </c>
      <c r="N25" s="73" t="inlineStr">
        <is>
          <t xml:space="preserve">Pallets Movimentados OUT</t>
        </is>
      </c>
      <c r="O25" s="73" t="inlineStr">
        <is>
          <t xml:space="preserve">MOVIMENTAÇÃO PALETES/DIA</t>
        </is>
      </c>
      <c r="P25" s="73" t="inlineStr">
        <is>
          <t xml:space="preserve">ACUMULADO SEMANAL PALETES</t>
        </is>
      </c>
      <c r="Q25" s="73" t="inlineStr">
        <is>
          <t xml:space="preserve">Toneladas Movimentadas IN</t>
        </is>
      </c>
      <c r="R25" s="73" t="inlineStr">
        <is>
          <t xml:space="preserve">Toneladas Movimentadas OUT</t>
        </is>
      </c>
      <c r="S25" s="73" t="inlineStr">
        <is>
          <t xml:space="preserve">MOVIMENTAÇÃO TONS/DIA</t>
        </is>
      </c>
      <c r="T25" s="73" t="inlineStr">
        <is>
          <t xml:space="preserve">ACUMULADO SEMANAL TONS</t>
        </is>
      </c>
    </row>
    <row r="26">
      <c r="A26" s="77">
        <v>17</v>
      </c>
      <c r="B26" s="79"/>
      <c r="C26" s="73"/>
      <c r="D26" s="73" t="inlineStr">
        <is>
          <t xml:space="preserve">Sim</t>
        </is>
      </c>
      <c r="E26" s="73" t="inlineStr">
        <is>
          <t xml:space="preserve">Pallets Movimentados IN</t>
        </is>
      </c>
      <c r="F26" s="73" t="inlineStr">
        <is>
          <t xml:space="preserve">Toneladas Movimentadas IN</t>
        </is>
      </c>
      <c r="G26" s="73"/>
      <c r="H26" s="73" t="inlineStr">
        <is>
          <t xml:space="preserve">Sim</t>
        </is>
      </c>
      <c r="I26" s="73" t="inlineStr">
        <is>
          <t xml:space="preserve">Pallets Movimentados OUT</t>
        </is>
      </c>
      <c r="J26" s="73" t="inlineStr">
        <is>
          <t xml:space="preserve">Toneladas Movimentadas OUT</t>
        </is>
      </c>
      <c r="K26" s="73"/>
      <c r="L26" s="73" t="inlineStr">
        <is>
          <t xml:space="preserve">Completo</t>
        </is>
      </c>
      <c r="M26" s="73" t="inlineStr">
        <is>
          <t xml:space="preserve">Pallets Movimentados IN</t>
        </is>
      </c>
      <c r="N26" s="73" t="inlineStr">
        <is>
          <t xml:space="preserve">Pallets Movimentados OUT</t>
        </is>
      </c>
      <c r="O26" s="73" t="inlineStr">
        <is>
          <t xml:space="preserve">MOVIMENTAÇÃO PALETES/DIA</t>
        </is>
      </c>
      <c r="P26" s="73" t="inlineStr">
        <is>
          <t xml:space="preserve">ACUMULADO SEMANAL PALETES</t>
        </is>
      </c>
      <c r="Q26" s="73" t="inlineStr">
        <is>
          <t xml:space="preserve">Toneladas Movimentadas IN</t>
        </is>
      </c>
      <c r="R26" s="73" t="inlineStr">
        <is>
          <t xml:space="preserve">Toneladas Movimentadas OUT</t>
        </is>
      </c>
      <c r="S26" s="73" t="inlineStr">
        <is>
          <t xml:space="preserve">MOVIMENTAÇÃO TONS/DIA</t>
        </is>
      </c>
      <c r="T26" s="73" t="inlineStr">
        <is>
          <t xml:space="preserve">ACUMULADO SEMANAL TONS</t>
        </is>
      </c>
    </row>
    <row r="27">
      <c r="A27" s="77">
        <v>18</v>
      </c>
      <c r="B27" s="79"/>
      <c r="C27" s="73"/>
      <c r="D27" s="73" t="inlineStr">
        <is>
          <t xml:space="preserve">Sim</t>
        </is>
      </c>
      <c r="E27" s="73" t="inlineStr">
        <is>
          <t xml:space="preserve">Pallets Movimentados IN</t>
        </is>
      </c>
      <c r="F27" s="73" t="inlineStr">
        <is>
          <t xml:space="preserve">Toneladas Movimentadas IN</t>
        </is>
      </c>
      <c r="G27" s="73"/>
      <c r="H27" s="73" t="inlineStr">
        <is>
          <t xml:space="preserve">Sim</t>
        </is>
      </c>
      <c r="I27" s="73" t="inlineStr">
        <is>
          <t xml:space="preserve">Pallets Movimentados OUT</t>
        </is>
      </c>
      <c r="J27" s="73" t="inlineStr">
        <is>
          <t xml:space="preserve">Toneladas Movimentadas OUT</t>
        </is>
      </c>
      <c r="K27" s="73"/>
      <c r="L27" s="73" t="inlineStr">
        <is>
          <t xml:space="preserve">Completo</t>
        </is>
      </c>
      <c r="M27" s="73" t="inlineStr">
        <is>
          <t xml:space="preserve">Pallets Movimentados IN</t>
        </is>
      </c>
      <c r="N27" s="73" t="inlineStr">
        <is>
          <t xml:space="preserve">Pallets Movimentados OUT</t>
        </is>
      </c>
      <c r="O27" s="73" t="inlineStr">
        <is>
          <t xml:space="preserve">MOVIMENTAÇÃO PALETES/DIA</t>
        </is>
      </c>
      <c r="P27" s="73" t="inlineStr">
        <is>
          <t xml:space="preserve">ACUMULADO SEMANAL PALETES</t>
        </is>
      </c>
      <c r="Q27" s="73" t="inlineStr">
        <is>
          <t xml:space="preserve">Toneladas Movimentadas IN</t>
        </is>
      </c>
      <c r="R27" s="73" t="inlineStr">
        <is>
          <t xml:space="preserve">Toneladas Movimentadas OUT</t>
        </is>
      </c>
      <c r="S27" s="73" t="inlineStr">
        <is>
          <t xml:space="preserve">MOVIMENTAÇÃO TONS/DIA</t>
        </is>
      </c>
      <c r="T27" s="73" t="inlineStr">
        <is>
          <t xml:space="preserve">ACUMULADO SEMANAL TONS</t>
        </is>
      </c>
    </row>
    <row r="28">
      <c r="A28" s="77">
        <v>19</v>
      </c>
      <c r="B28" s="79"/>
      <c r="C28" s="73"/>
      <c r="D28" s="73" t="inlineStr">
        <is>
          <t xml:space="preserve">Sim</t>
        </is>
      </c>
      <c r="E28" s="73" t="inlineStr">
        <is>
          <t xml:space="preserve">Pallets Movimentados IN</t>
        </is>
      </c>
      <c r="F28" s="73" t="inlineStr">
        <is>
          <t xml:space="preserve">Toneladas Movimentadas IN</t>
        </is>
      </c>
      <c r="G28" s="73"/>
      <c r="H28" s="73" t="inlineStr">
        <is>
          <t xml:space="preserve">Sim</t>
        </is>
      </c>
      <c r="I28" s="73" t="inlineStr">
        <is>
          <t xml:space="preserve">Pallets Movimentados OUT</t>
        </is>
      </c>
      <c r="J28" s="73" t="inlineStr">
        <is>
          <t xml:space="preserve">Toneladas Movimentadas OUT</t>
        </is>
      </c>
      <c r="K28" s="73"/>
      <c r="L28" s="73" t="inlineStr">
        <is>
          <t xml:space="preserve">Completo</t>
        </is>
      </c>
      <c r="M28" s="73" t="inlineStr">
        <is>
          <t xml:space="preserve">Pallets Movimentados IN</t>
        </is>
      </c>
      <c r="N28" s="73" t="inlineStr">
        <is>
          <t xml:space="preserve">Pallets Movimentados OUT</t>
        </is>
      </c>
      <c r="O28" s="73" t="inlineStr">
        <is>
          <t xml:space="preserve">MOVIMENTAÇÃO PALETES/DIA</t>
        </is>
      </c>
      <c r="P28" s="73" t="inlineStr">
        <is>
          <t xml:space="preserve">ACUMULADO SEMANAL PALETES</t>
        </is>
      </c>
      <c r="Q28" s="73" t="inlineStr">
        <is>
          <t xml:space="preserve">Toneladas Movimentadas IN</t>
        </is>
      </c>
      <c r="R28" s="73" t="inlineStr">
        <is>
          <t xml:space="preserve">Toneladas Movimentadas OUT</t>
        </is>
      </c>
      <c r="S28" s="73" t="inlineStr">
        <is>
          <t xml:space="preserve">MOVIMENTAÇÃO TONS/DIA</t>
        </is>
      </c>
      <c r="T28" s="73" t="inlineStr">
        <is>
          <t xml:space="preserve">ACUMULADO SEMANAL TONS</t>
        </is>
      </c>
    </row>
    <row r="29">
      <c r="A29" s="77">
        <v>20</v>
      </c>
      <c r="B29" s="79"/>
      <c r="C29" s="73"/>
      <c r="D29" s="73" t="inlineStr">
        <is>
          <t xml:space="preserve">Sim</t>
        </is>
      </c>
      <c r="E29" s="73" t="inlineStr">
        <is>
          <t xml:space="preserve">Pallets Movimentados IN</t>
        </is>
      </c>
      <c r="F29" s="73" t="inlineStr">
        <is>
          <t xml:space="preserve">Toneladas Movimentadas IN</t>
        </is>
      </c>
      <c r="G29" s="73"/>
      <c r="H29" s="73" t="inlineStr">
        <is>
          <t xml:space="preserve">Sim</t>
        </is>
      </c>
      <c r="I29" s="73" t="inlineStr">
        <is>
          <t xml:space="preserve">Pallets Movimentados OUT</t>
        </is>
      </c>
      <c r="J29" s="73" t="inlineStr">
        <is>
          <t xml:space="preserve">Toneladas Movimentadas OUT</t>
        </is>
      </c>
      <c r="K29" s="73"/>
      <c r="L29" s="73" t="inlineStr">
        <is>
          <t xml:space="preserve">Completo</t>
        </is>
      </c>
      <c r="M29" s="73" t="inlineStr">
        <is>
          <t xml:space="preserve">Pallets Movimentados IN</t>
        </is>
      </c>
      <c r="N29" s="73" t="inlineStr">
        <is>
          <t xml:space="preserve">Pallets Movimentados OUT</t>
        </is>
      </c>
      <c r="O29" s="73" t="inlineStr">
        <is>
          <t xml:space="preserve">MOVIMENTAÇÃO PALETES/DIA</t>
        </is>
      </c>
      <c r="P29" s="73" t="inlineStr">
        <is>
          <t xml:space="preserve">ACUMULADO SEMANAL PALETES</t>
        </is>
      </c>
      <c r="Q29" s="73" t="inlineStr">
        <is>
          <t xml:space="preserve">Toneladas Movimentadas IN</t>
        </is>
      </c>
      <c r="R29" s="73" t="inlineStr">
        <is>
          <t xml:space="preserve">Toneladas Movimentadas OUT</t>
        </is>
      </c>
      <c r="S29" s="73" t="inlineStr">
        <is>
          <t xml:space="preserve">MOVIMENTAÇÃO TONS/DIA</t>
        </is>
      </c>
      <c r="T29" s="73" t="inlineStr">
        <is>
          <t xml:space="preserve">ACUMULADO SEMANAL TONS</t>
        </is>
      </c>
    </row>
    <row r="33" ht="22" customHeight="1">
      <c r="A33" s="76" t="inlineStr">
        <is>
          <t xml:space="preserve">2 · COLUNAS DA BD — Sim = o cliente preenche · Não = coluna bloqueada na BD (cinza) e indicador fora do Monitoramento/Consol Mensal</t>
        </is>
      </c>
      <c r="B33" s="76"/>
      <c r="C33" s="76"/>
      <c r="D33" s="76"/>
      <c r="E33" s="76"/>
      <c r="F33" s="76"/>
      <c r="G33" s="76"/>
      <c r="H33" s="76"/>
      <c r="I33" s="76"/>
      <c r="J33" s="76"/>
      <c r="K33" s="76"/>
      <c r="L33" s="76"/>
      <c r="M33" s="76"/>
      <c r="N33" s="76"/>
      <c r="O33" s="76"/>
      <c r="P33" s="76"/>
      <c r="Q33" s="76"/>
      <c r="R33" s="76"/>
      <c r="S33" s="76"/>
      <c r="T33" s="76"/>
    </row>
    <row r="34" ht="44" customHeight="1">
      <c r="A34" s="16" t="inlineStr">
        <is>
          <t xml:space="preserve">Nº</t>
        </is>
      </c>
      <c r="B34" s="16" t="inlineStr">
        <is>
          <t xml:space="preserve">CLIENTE (da tabela 1)</t>
        </is>
      </c>
      <c r="C34" s="16" t="inlineStr">
        <is>
          <t xml:space="preserve">DEPÓSITO</t>
        </is>
      </c>
      <c r="D34" s="80" t="inlineStr">
        <is>
          <t xml:space="preserve">IN Veículos Recebidos</t>
        </is>
      </c>
      <c r="E34" s="80" t="inlineStr">
        <is>
          <t xml:space="preserve">IN Pallets Movimentados</t>
        </is>
      </c>
      <c r="F34" s="80" t="inlineStr">
        <is>
          <t xml:space="preserve">IN Toneladas Movimentadas</t>
        </is>
      </c>
      <c r="G34" s="81" t="inlineStr">
        <is>
          <t xml:space="preserve">OUT Veículos Expedidos</t>
        </is>
      </c>
      <c r="H34" s="81" t="inlineStr">
        <is>
          <t xml:space="preserve">OUT Pallets Movimentados</t>
        </is>
      </c>
      <c r="I34" s="81" t="inlineStr">
        <is>
          <t xml:space="preserve">OUT Toneladas Movimentadas</t>
        </is>
      </c>
      <c r="J34" s="82" t="inlineStr">
        <is>
          <t xml:space="preserve">NC Incidentes</t>
        </is>
      </c>
      <c r="K34" s="82" t="inlineStr">
        <is>
          <t xml:space="preserve">NC No show</t>
        </is>
      </c>
      <c r="L34" s="82" t="inlineStr">
        <is>
          <t xml:space="preserve">NC Backlog</t>
        </is>
      </c>
      <c r="M34" s="80" t="inlineStr">
        <is>
          <t xml:space="preserve">Posições Disponíveis</t>
        </is>
      </c>
      <c r="N34" s="80" t="inlineStr">
        <is>
          <t xml:space="preserve">Posições Ocupadas</t>
        </is>
      </c>
      <c r="O34" s="83" t="inlineStr">
        <is>
          <t xml:space="preserve">Efetivo Op.</t>
        </is>
      </c>
      <c r="P34" s="83" t="inlineStr">
        <is>
          <t xml:space="preserve">Falta</t>
        </is>
      </c>
      <c r="Q34" s="83" t="inlineStr">
        <is>
          <t xml:space="preserve">Folga</t>
        </is>
      </c>
      <c r="R34" s="83" t="inlineStr">
        <is>
          <t xml:space="preserve">Férias</t>
        </is>
      </c>
      <c r="S34" s="83" t="inlineStr">
        <is>
          <t xml:space="preserve">Desligamento</t>
        </is>
      </c>
      <c r="T34" s="83" t="inlineStr">
        <is>
          <t xml:space="preserve">Desvios Comportamentais</t>
        </is>
      </c>
      <c r="U34" s="83" t="inlineStr">
        <is>
          <t xml:space="preserve">Acidentes CAF</t>
        </is>
      </c>
      <c r="V34" s="83" t="inlineStr">
        <is>
          <t xml:space="preserve">Acidentes SAF</t>
        </is>
      </c>
    </row>
    <row r="35">
      <c r="A35" s="77">
        <v>1</v>
      </c>
      <c r="B35" s="78" t="str">
        <f>Config!$B$10&amp;""</f>
        <v>Barry Callebaut</v>
      </c>
      <c r="C35" s="78" t="str">
        <f>IF(Config!$B$10&amp;""="","",IF(Config!$C$10="","JSL",Config!$C$10))</f>
        <v>JSL</v>
      </c>
      <c r="D35" s="74" t="inlineStr">
        <is>
          <t xml:space="preserve">Sim</t>
        </is>
      </c>
      <c r="E35" s="74" t="inlineStr">
        <is>
          <t xml:space="preserve">Sim</t>
        </is>
      </c>
      <c r="F35" s="74" t="inlineStr">
        <is>
          <t xml:space="preserve">Sim</t>
        </is>
      </c>
      <c r="G35" s="74" t="inlineStr">
        <is>
          <t xml:space="preserve">Sim</t>
        </is>
      </c>
      <c r="H35" s="74" t="inlineStr">
        <is>
          <t xml:space="preserve">Sim</t>
        </is>
      </c>
      <c r="I35" s="74" t="inlineStr">
        <is>
          <t xml:space="preserve">Sim</t>
        </is>
      </c>
      <c r="J35" s="74" t="inlineStr">
        <is>
          <t xml:space="preserve">Sim</t>
        </is>
      </c>
      <c r="K35" s="74" t="inlineStr">
        <is>
          <t xml:space="preserve">Sim</t>
        </is>
      </c>
      <c r="L35" s="74" t="inlineStr">
        <is>
          <t xml:space="preserve">Sim</t>
        </is>
      </c>
      <c r="M35" s="74" t="inlineStr">
        <is>
          <t xml:space="preserve">Sim</t>
        </is>
      </c>
      <c r="N35" s="74" t="inlineStr">
        <is>
          <t xml:space="preserve">Sim</t>
        </is>
      </c>
      <c r="O35" s="74" t="inlineStr">
        <is>
          <t xml:space="preserve">Sim</t>
        </is>
      </c>
      <c r="P35" s="74" t="inlineStr">
        <is>
          <t xml:space="preserve">Sim</t>
        </is>
      </c>
      <c r="Q35" s="74" t="inlineStr">
        <is>
          <t xml:space="preserve">Sim</t>
        </is>
      </c>
      <c r="R35" s="74" t="inlineStr">
        <is>
          <t xml:space="preserve">Sim</t>
        </is>
      </c>
      <c r="S35" s="74" t="inlineStr">
        <is>
          <t xml:space="preserve">Sim</t>
        </is>
      </c>
      <c r="T35" s="74" t="inlineStr">
        <is>
          <t xml:space="preserve">Sim</t>
        </is>
      </c>
      <c r="U35" s="74" t="inlineStr">
        <is>
          <t xml:space="preserve">Sim</t>
        </is>
      </c>
      <c r="V35" s="74" t="inlineStr">
        <is>
          <t xml:space="preserve">Sim</t>
        </is>
      </c>
    </row>
    <row r="36">
      <c r="A36" s="77">
        <v>2</v>
      </c>
      <c r="B36" s="78" t="str">
        <f>Config!$B$11&amp;""</f>
        <v>GM</v>
      </c>
      <c r="C36" s="78" t="str">
        <f>IF(Config!$B$11&amp;""="","",IF(Config!$C$11="","JSL",Config!$C$11))</f>
        <v>JSL</v>
      </c>
      <c r="D36" s="74" t="inlineStr">
        <is>
          <t xml:space="preserve">Não</t>
        </is>
      </c>
      <c r="E36" s="74" t="inlineStr">
        <is>
          <t xml:space="preserve">Não</t>
        </is>
      </c>
      <c r="F36" s="74" t="inlineStr">
        <is>
          <t xml:space="preserve">Não</t>
        </is>
      </c>
      <c r="G36" s="74" t="inlineStr">
        <is>
          <t xml:space="preserve">Sim</t>
        </is>
      </c>
      <c r="H36" s="74" t="inlineStr">
        <is>
          <t xml:space="preserve">Sim</t>
        </is>
      </c>
      <c r="I36" s="74" t="inlineStr">
        <is>
          <t xml:space="preserve">Sim</t>
        </is>
      </c>
      <c r="J36" s="74" t="inlineStr">
        <is>
          <t xml:space="preserve">Sim</t>
        </is>
      </c>
      <c r="K36" s="74" t="inlineStr">
        <is>
          <t xml:space="preserve">Sim</t>
        </is>
      </c>
      <c r="L36" s="74" t="inlineStr">
        <is>
          <t xml:space="preserve">Sim</t>
        </is>
      </c>
      <c r="M36" s="74" t="inlineStr">
        <is>
          <t xml:space="preserve">Não</t>
        </is>
      </c>
      <c r="N36" s="74" t="inlineStr">
        <is>
          <t xml:space="preserve">Não</t>
        </is>
      </c>
      <c r="O36" s="74" t="inlineStr">
        <is>
          <t xml:space="preserve">Sim</t>
        </is>
      </c>
      <c r="P36" s="74" t="inlineStr">
        <is>
          <t xml:space="preserve">Sim</t>
        </is>
      </c>
      <c r="Q36" s="74" t="inlineStr">
        <is>
          <t xml:space="preserve">Sim</t>
        </is>
      </c>
      <c r="R36" s="74" t="inlineStr">
        <is>
          <t xml:space="preserve">Sim</t>
        </is>
      </c>
      <c r="S36" s="74" t="inlineStr">
        <is>
          <t xml:space="preserve">Sim</t>
        </is>
      </c>
      <c r="T36" s="74" t="inlineStr">
        <is>
          <t xml:space="preserve">Sim</t>
        </is>
      </c>
      <c r="U36" s="74" t="inlineStr">
        <is>
          <t xml:space="preserve">Sim</t>
        </is>
      </c>
      <c r="V36" s="74" t="inlineStr">
        <is>
          <t xml:space="preserve">Sim</t>
        </is>
      </c>
    </row>
    <row r="37">
      <c r="A37" s="77">
        <v>3</v>
      </c>
      <c r="B37" s="78" t="str">
        <f>Config!$B$12&amp;""</f>
        <v>Mondelez</v>
      </c>
      <c r="C37" s="78" t="str">
        <f>IF(Config!$B$12&amp;""="","",IF(Config!$C$12="","JSL",Config!$C$12))</f>
        <v>JSL</v>
      </c>
      <c r="D37" s="74" t="inlineStr">
        <is>
          <t xml:space="preserve">Sim</t>
        </is>
      </c>
      <c r="E37" s="74" t="inlineStr">
        <is>
          <t xml:space="preserve">Sim</t>
        </is>
      </c>
      <c r="F37" s="74" t="inlineStr">
        <is>
          <t xml:space="preserve">Sim</t>
        </is>
      </c>
      <c r="G37" s="74" t="inlineStr">
        <is>
          <t xml:space="preserve">Sim</t>
        </is>
      </c>
      <c r="H37" s="74" t="inlineStr">
        <is>
          <t xml:space="preserve">Sim</t>
        </is>
      </c>
      <c r="I37" s="74" t="inlineStr">
        <is>
          <t xml:space="preserve">Sim</t>
        </is>
      </c>
      <c r="J37" s="74" t="inlineStr">
        <is>
          <t xml:space="preserve">Sim</t>
        </is>
      </c>
      <c r="K37" s="74" t="inlineStr">
        <is>
          <t xml:space="preserve">Sim</t>
        </is>
      </c>
      <c r="L37" s="74" t="inlineStr">
        <is>
          <t xml:space="preserve">Sim</t>
        </is>
      </c>
      <c r="M37" s="74" t="inlineStr">
        <is>
          <t xml:space="preserve">Não</t>
        </is>
      </c>
      <c r="N37" s="74" t="inlineStr">
        <is>
          <t xml:space="preserve">Sim</t>
        </is>
      </c>
      <c r="O37" s="74" t="inlineStr">
        <is>
          <t xml:space="preserve">Sim</t>
        </is>
      </c>
      <c r="P37" s="74" t="inlineStr">
        <is>
          <t xml:space="preserve">Sim</t>
        </is>
      </c>
      <c r="Q37" s="74" t="inlineStr">
        <is>
          <t xml:space="preserve">Sim</t>
        </is>
      </c>
      <c r="R37" s="74" t="inlineStr">
        <is>
          <t xml:space="preserve">Sim</t>
        </is>
      </c>
      <c r="S37" s="74" t="inlineStr">
        <is>
          <t xml:space="preserve">Sim</t>
        </is>
      </c>
      <c r="T37" s="74" t="inlineStr">
        <is>
          <t xml:space="preserve">Sim</t>
        </is>
      </c>
      <c r="U37" s="74" t="inlineStr">
        <is>
          <t xml:space="preserve">Sim</t>
        </is>
      </c>
      <c r="V37" s="74" t="inlineStr">
        <is>
          <t xml:space="preserve">Sim</t>
        </is>
      </c>
    </row>
    <row r="38">
      <c r="A38" s="77">
        <v>4</v>
      </c>
      <c r="B38" s="78" t="str">
        <f>Config!$B$13&amp;""</f>
        <v>Nestlé</v>
      </c>
      <c r="C38" s="78" t="str">
        <f>IF(Config!$B$13&amp;""="","",IF(Config!$C$13="","JSL",Config!$C$13))</f>
        <v>JSL</v>
      </c>
      <c r="D38" s="74" t="inlineStr">
        <is>
          <t xml:space="preserve">Sim</t>
        </is>
      </c>
      <c r="E38" s="74" t="inlineStr">
        <is>
          <t xml:space="preserve">Sim</t>
        </is>
      </c>
      <c r="F38" s="74" t="inlineStr">
        <is>
          <t xml:space="preserve">Sim</t>
        </is>
      </c>
      <c r="G38" s="74" t="inlineStr">
        <is>
          <t xml:space="preserve">Sim</t>
        </is>
      </c>
      <c r="H38" s="74" t="inlineStr">
        <is>
          <t xml:space="preserve">Sim</t>
        </is>
      </c>
      <c r="I38" s="74" t="inlineStr">
        <is>
          <t xml:space="preserve">Sim</t>
        </is>
      </c>
      <c r="J38" s="74" t="inlineStr">
        <is>
          <t xml:space="preserve">Sim</t>
        </is>
      </c>
      <c r="K38" s="74" t="inlineStr">
        <is>
          <t xml:space="preserve">Sim</t>
        </is>
      </c>
      <c r="L38" s="74" t="inlineStr">
        <is>
          <t xml:space="preserve">Sim</t>
        </is>
      </c>
      <c r="M38" s="74" t="inlineStr">
        <is>
          <t xml:space="preserve">Não</t>
        </is>
      </c>
      <c r="N38" s="74" t="inlineStr">
        <is>
          <t xml:space="preserve">Sim</t>
        </is>
      </c>
      <c r="O38" s="74" t="inlineStr">
        <is>
          <t xml:space="preserve">Sim</t>
        </is>
      </c>
      <c r="P38" s="74" t="inlineStr">
        <is>
          <t xml:space="preserve">Sim</t>
        </is>
      </c>
      <c r="Q38" s="74" t="inlineStr">
        <is>
          <t xml:space="preserve">Sim</t>
        </is>
      </c>
      <c r="R38" s="74" t="inlineStr">
        <is>
          <t xml:space="preserve">Sim</t>
        </is>
      </c>
      <c r="S38" s="74" t="inlineStr">
        <is>
          <t xml:space="preserve">Sim</t>
        </is>
      </c>
      <c r="T38" s="74" t="inlineStr">
        <is>
          <t xml:space="preserve">Sim</t>
        </is>
      </c>
      <c r="U38" s="74" t="inlineStr">
        <is>
          <t xml:space="preserve">Sim</t>
        </is>
      </c>
      <c r="V38" s="74" t="inlineStr">
        <is>
          <t xml:space="preserve">Sim</t>
        </is>
      </c>
    </row>
    <row r="39">
      <c r="A39" s="77">
        <v>5</v>
      </c>
      <c r="B39" s="78" t="str">
        <f>Config!$B$14&amp;""</f>
        <v>PMB</v>
      </c>
      <c r="C39" s="78" t="str">
        <f>IF(Config!$B$14&amp;""="","",IF(Config!$C$14="","JSL",Config!$C$14))</f>
        <v>JSL</v>
      </c>
      <c r="D39" s="74" t="inlineStr">
        <is>
          <t xml:space="preserve">Sim</t>
        </is>
      </c>
      <c r="E39" s="74" t="inlineStr">
        <is>
          <t xml:space="preserve">Sim</t>
        </is>
      </c>
      <c r="F39" s="74" t="inlineStr">
        <is>
          <t xml:space="preserve">Sim</t>
        </is>
      </c>
      <c r="G39" s="74" t="inlineStr">
        <is>
          <t xml:space="preserve">Sim</t>
        </is>
      </c>
      <c r="H39" s="74" t="inlineStr">
        <is>
          <t xml:space="preserve">Sim</t>
        </is>
      </c>
      <c r="I39" s="74" t="inlineStr">
        <is>
          <t xml:space="preserve">Sim</t>
        </is>
      </c>
      <c r="J39" s="74" t="inlineStr">
        <is>
          <t xml:space="preserve">Sim</t>
        </is>
      </c>
      <c r="K39" s="74" t="inlineStr">
        <is>
          <t xml:space="preserve">Sim</t>
        </is>
      </c>
      <c r="L39" s="74" t="inlineStr">
        <is>
          <t xml:space="preserve">Sim</t>
        </is>
      </c>
      <c r="M39" s="74" t="inlineStr">
        <is>
          <t xml:space="preserve">Sim</t>
        </is>
      </c>
      <c r="N39" s="74" t="inlineStr">
        <is>
          <t xml:space="preserve">Sim</t>
        </is>
      </c>
      <c r="O39" s="74" t="inlineStr">
        <is>
          <t xml:space="preserve">Sim</t>
        </is>
      </c>
      <c r="P39" s="74" t="inlineStr">
        <is>
          <t xml:space="preserve">Sim</t>
        </is>
      </c>
      <c r="Q39" s="74" t="inlineStr">
        <is>
          <t xml:space="preserve">Sim</t>
        </is>
      </c>
      <c r="R39" s="74" t="inlineStr">
        <is>
          <t xml:space="preserve">Sim</t>
        </is>
      </c>
      <c r="S39" s="74" t="inlineStr">
        <is>
          <t xml:space="preserve">Sim</t>
        </is>
      </c>
      <c r="T39" s="74" t="inlineStr">
        <is>
          <t xml:space="preserve">Sim</t>
        </is>
      </c>
      <c r="U39" s="74" t="inlineStr">
        <is>
          <t xml:space="preserve">Sim</t>
        </is>
      </c>
      <c r="V39" s="74" t="inlineStr">
        <is>
          <t xml:space="preserve">Sim</t>
        </is>
      </c>
    </row>
    <row r="40">
      <c r="A40" s="77">
        <v>6</v>
      </c>
      <c r="B40" s="78" t="str">
        <f>Config!$B$15&amp;""</f>
        <v/>
      </c>
      <c r="C40" s="78" t="str">
        <f>IF(Config!$B$15&amp;""="","",IF(Config!$C$15="","JSL",Config!$C$15))</f>
        <v/>
      </c>
      <c r="D40" s="74" t="inlineStr">
        <is>
          <t xml:space="preserve">Sim</t>
        </is>
      </c>
      <c r="E40" s="74" t="inlineStr">
        <is>
          <t xml:space="preserve">Sim</t>
        </is>
      </c>
      <c r="F40" s="74" t="inlineStr">
        <is>
          <t xml:space="preserve">Sim</t>
        </is>
      </c>
      <c r="G40" s="74" t="inlineStr">
        <is>
          <t xml:space="preserve">Sim</t>
        </is>
      </c>
      <c r="H40" s="74" t="inlineStr">
        <is>
          <t xml:space="preserve">Sim</t>
        </is>
      </c>
      <c r="I40" s="74" t="inlineStr">
        <is>
          <t xml:space="preserve">Sim</t>
        </is>
      </c>
      <c r="J40" s="74" t="inlineStr">
        <is>
          <t xml:space="preserve">Sim</t>
        </is>
      </c>
      <c r="K40" s="74" t="inlineStr">
        <is>
          <t xml:space="preserve">Sim</t>
        </is>
      </c>
      <c r="L40" s="74" t="inlineStr">
        <is>
          <t xml:space="preserve">Sim</t>
        </is>
      </c>
      <c r="M40" s="74" t="inlineStr">
        <is>
          <t xml:space="preserve">Sim</t>
        </is>
      </c>
      <c r="N40" s="74" t="inlineStr">
        <is>
          <t xml:space="preserve">Sim</t>
        </is>
      </c>
      <c r="O40" s="74" t="inlineStr">
        <is>
          <t xml:space="preserve">Sim</t>
        </is>
      </c>
      <c r="P40" s="74" t="inlineStr">
        <is>
          <t xml:space="preserve">Sim</t>
        </is>
      </c>
      <c r="Q40" s="74" t="inlineStr">
        <is>
          <t xml:space="preserve">Sim</t>
        </is>
      </c>
      <c r="R40" s="74" t="inlineStr">
        <is>
          <t xml:space="preserve">Sim</t>
        </is>
      </c>
      <c r="S40" s="74" t="inlineStr">
        <is>
          <t xml:space="preserve">Sim</t>
        </is>
      </c>
      <c r="T40" s="74" t="inlineStr">
        <is>
          <t xml:space="preserve">Sim</t>
        </is>
      </c>
      <c r="U40" s="74" t="inlineStr">
        <is>
          <t xml:space="preserve">Sim</t>
        </is>
      </c>
      <c r="V40" s="74" t="inlineStr">
        <is>
          <t xml:space="preserve">Sim</t>
        </is>
      </c>
    </row>
    <row r="41">
      <c r="A41" s="77">
        <v>7</v>
      </c>
      <c r="B41" s="78" t="str">
        <f>Config!$B$16&amp;""</f>
        <v/>
      </c>
      <c r="C41" s="78" t="str">
        <f>IF(Config!$B$16&amp;""="","",IF(Config!$C$16="","JSL",Config!$C$16))</f>
        <v/>
      </c>
      <c r="D41" s="74" t="inlineStr">
        <is>
          <t xml:space="preserve">Sim</t>
        </is>
      </c>
      <c r="E41" s="74" t="inlineStr">
        <is>
          <t xml:space="preserve">Sim</t>
        </is>
      </c>
      <c r="F41" s="74" t="inlineStr">
        <is>
          <t xml:space="preserve">Sim</t>
        </is>
      </c>
      <c r="G41" s="74" t="inlineStr">
        <is>
          <t xml:space="preserve">Sim</t>
        </is>
      </c>
      <c r="H41" s="74" t="inlineStr">
        <is>
          <t xml:space="preserve">Sim</t>
        </is>
      </c>
      <c r="I41" s="74" t="inlineStr">
        <is>
          <t xml:space="preserve">Sim</t>
        </is>
      </c>
      <c r="J41" s="74" t="inlineStr">
        <is>
          <t xml:space="preserve">Sim</t>
        </is>
      </c>
      <c r="K41" s="74" t="inlineStr">
        <is>
          <t xml:space="preserve">Sim</t>
        </is>
      </c>
      <c r="L41" s="74" t="inlineStr">
        <is>
          <t xml:space="preserve">Sim</t>
        </is>
      </c>
      <c r="M41" s="74" t="inlineStr">
        <is>
          <t xml:space="preserve">Sim</t>
        </is>
      </c>
      <c r="N41" s="74" t="inlineStr">
        <is>
          <t xml:space="preserve">Sim</t>
        </is>
      </c>
      <c r="O41" s="74" t="inlineStr">
        <is>
          <t xml:space="preserve">Sim</t>
        </is>
      </c>
      <c r="P41" s="74" t="inlineStr">
        <is>
          <t xml:space="preserve">Sim</t>
        </is>
      </c>
      <c r="Q41" s="74" t="inlineStr">
        <is>
          <t xml:space="preserve">Sim</t>
        </is>
      </c>
      <c r="R41" s="74" t="inlineStr">
        <is>
          <t xml:space="preserve">Sim</t>
        </is>
      </c>
      <c r="S41" s="74" t="inlineStr">
        <is>
          <t xml:space="preserve">Sim</t>
        </is>
      </c>
      <c r="T41" s="74" t="inlineStr">
        <is>
          <t xml:space="preserve">Sim</t>
        </is>
      </c>
      <c r="U41" s="74" t="inlineStr">
        <is>
          <t xml:space="preserve">Sim</t>
        </is>
      </c>
      <c r="V41" s="74" t="inlineStr">
        <is>
          <t xml:space="preserve">Sim</t>
        </is>
      </c>
    </row>
    <row r="42">
      <c r="A42" s="77">
        <v>8</v>
      </c>
      <c r="B42" s="78" t="str">
        <f>Config!$B$17&amp;""</f>
        <v/>
      </c>
      <c r="C42" s="78" t="str">
        <f>IF(Config!$B$17&amp;""="","",IF(Config!$C$17="","JSL",Config!$C$17))</f>
        <v/>
      </c>
      <c r="D42" s="74" t="inlineStr">
        <is>
          <t xml:space="preserve">Sim</t>
        </is>
      </c>
      <c r="E42" s="74" t="inlineStr">
        <is>
          <t xml:space="preserve">Sim</t>
        </is>
      </c>
      <c r="F42" s="74" t="inlineStr">
        <is>
          <t xml:space="preserve">Sim</t>
        </is>
      </c>
      <c r="G42" s="74" t="inlineStr">
        <is>
          <t xml:space="preserve">Sim</t>
        </is>
      </c>
      <c r="H42" s="74" t="inlineStr">
        <is>
          <t xml:space="preserve">Sim</t>
        </is>
      </c>
      <c r="I42" s="74" t="inlineStr">
        <is>
          <t xml:space="preserve">Sim</t>
        </is>
      </c>
      <c r="J42" s="74" t="inlineStr">
        <is>
          <t xml:space="preserve">Sim</t>
        </is>
      </c>
      <c r="K42" s="74" t="inlineStr">
        <is>
          <t xml:space="preserve">Sim</t>
        </is>
      </c>
      <c r="L42" s="74" t="inlineStr">
        <is>
          <t xml:space="preserve">Sim</t>
        </is>
      </c>
      <c r="M42" s="74" t="inlineStr">
        <is>
          <t xml:space="preserve">Sim</t>
        </is>
      </c>
      <c r="N42" s="74" t="inlineStr">
        <is>
          <t xml:space="preserve">Sim</t>
        </is>
      </c>
      <c r="O42" s="74" t="inlineStr">
        <is>
          <t xml:space="preserve">Sim</t>
        </is>
      </c>
      <c r="P42" s="74" t="inlineStr">
        <is>
          <t xml:space="preserve">Sim</t>
        </is>
      </c>
      <c r="Q42" s="74" t="inlineStr">
        <is>
          <t xml:space="preserve">Sim</t>
        </is>
      </c>
      <c r="R42" s="74" t="inlineStr">
        <is>
          <t xml:space="preserve">Sim</t>
        </is>
      </c>
      <c r="S42" s="74" t="inlineStr">
        <is>
          <t xml:space="preserve">Sim</t>
        </is>
      </c>
      <c r="T42" s="74" t="inlineStr">
        <is>
          <t xml:space="preserve">Sim</t>
        </is>
      </c>
      <c r="U42" s="74" t="inlineStr">
        <is>
          <t xml:space="preserve">Sim</t>
        </is>
      </c>
      <c r="V42" s="74" t="inlineStr">
        <is>
          <t xml:space="preserve">Sim</t>
        </is>
      </c>
    </row>
    <row r="43">
      <c r="A43" s="77">
        <v>9</v>
      </c>
      <c r="B43" s="78" t="str">
        <f>Config!$B$18&amp;""</f>
        <v/>
      </c>
      <c r="C43" s="78" t="str">
        <f>IF(Config!$B$18&amp;""="","",IF(Config!$C$18="","JSL",Config!$C$18))</f>
        <v/>
      </c>
      <c r="D43" s="74" t="inlineStr">
        <is>
          <t xml:space="preserve">Sim</t>
        </is>
      </c>
      <c r="E43" s="74" t="inlineStr">
        <is>
          <t xml:space="preserve">Sim</t>
        </is>
      </c>
      <c r="F43" s="74" t="inlineStr">
        <is>
          <t xml:space="preserve">Sim</t>
        </is>
      </c>
      <c r="G43" s="74" t="inlineStr">
        <is>
          <t xml:space="preserve">Sim</t>
        </is>
      </c>
      <c r="H43" s="74" t="inlineStr">
        <is>
          <t xml:space="preserve">Sim</t>
        </is>
      </c>
      <c r="I43" s="74" t="inlineStr">
        <is>
          <t xml:space="preserve">Sim</t>
        </is>
      </c>
      <c r="J43" s="74" t="inlineStr">
        <is>
          <t xml:space="preserve">Sim</t>
        </is>
      </c>
      <c r="K43" s="74" t="inlineStr">
        <is>
          <t xml:space="preserve">Sim</t>
        </is>
      </c>
      <c r="L43" s="74" t="inlineStr">
        <is>
          <t xml:space="preserve">Sim</t>
        </is>
      </c>
      <c r="M43" s="74" t="inlineStr">
        <is>
          <t xml:space="preserve">Sim</t>
        </is>
      </c>
      <c r="N43" s="74" t="inlineStr">
        <is>
          <t xml:space="preserve">Sim</t>
        </is>
      </c>
      <c r="O43" s="74" t="inlineStr">
        <is>
          <t xml:space="preserve">Sim</t>
        </is>
      </c>
      <c r="P43" s="74" t="inlineStr">
        <is>
          <t xml:space="preserve">Sim</t>
        </is>
      </c>
      <c r="Q43" s="74" t="inlineStr">
        <is>
          <t xml:space="preserve">Sim</t>
        </is>
      </c>
      <c r="R43" s="74" t="inlineStr">
        <is>
          <t xml:space="preserve">Sim</t>
        </is>
      </c>
      <c r="S43" s="74" t="inlineStr">
        <is>
          <t xml:space="preserve">Sim</t>
        </is>
      </c>
      <c r="T43" s="74" t="inlineStr">
        <is>
          <t xml:space="preserve">Sim</t>
        </is>
      </c>
      <c r="U43" s="74" t="inlineStr">
        <is>
          <t xml:space="preserve">Sim</t>
        </is>
      </c>
      <c r="V43" s="74" t="inlineStr">
        <is>
          <t xml:space="preserve">Sim</t>
        </is>
      </c>
    </row>
    <row r="44">
      <c r="A44" s="77">
        <v>10</v>
      </c>
      <c r="B44" s="78" t="str">
        <f>Config!$B$19&amp;""</f>
        <v/>
      </c>
      <c r="C44" s="78" t="str">
        <f>IF(Config!$B$19&amp;""="","",IF(Config!$C$19="","JSL",Config!$C$19))</f>
        <v/>
      </c>
      <c r="D44" s="74" t="inlineStr">
        <is>
          <t xml:space="preserve">Sim</t>
        </is>
      </c>
      <c r="E44" s="74" t="inlineStr">
        <is>
          <t xml:space="preserve">Sim</t>
        </is>
      </c>
      <c r="F44" s="74" t="inlineStr">
        <is>
          <t xml:space="preserve">Sim</t>
        </is>
      </c>
      <c r="G44" s="74" t="inlineStr">
        <is>
          <t xml:space="preserve">Sim</t>
        </is>
      </c>
      <c r="H44" s="74" t="inlineStr">
        <is>
          <t xml:space="preserve">Sim</t>
        </is>
      </c>
      <c r="I44" s="74" t="inlineStr">
        <is>
          <t xml:space="preserve">Sim</t>
        </is>
      </c>
      <c r="J44" s="74" t="inlineStr">
        <is>
          <t xml:space="preserve">Sim</t>
        </is>
      </c>
      <c r="K44" s="74" t="inlineStr">
        <is>
          <t xml:space="preserve">Sim</t>
        </is>
      </c>
      <c r="L44" s="74" t="inlineStr">
        <is>
          <t xml:space="preserve">Sim</t>
        </is>
      </c>
      <c r="M44" s="74" t="inlineStr">
        <is>
          <t xml:space="preserve">Sim</t>
        </is>
      </c>
      <c r="N44" s="74" t="inlineStr">
        <is>
          <t xml:space="preserve">Sim</t>
        </is>
      </c>
      <c r="O44" s="74" t="inlineStr">
        <is>
          <t xml:space="preserve">Sim</t>
        </is>
      </c>
      <c r="P44" s="74" t="inlineStr">
        <is>
          <t xml:space="preserve">Sim</t>
        </is>
      </c>
      <c r="Q44" s="74" t="inlineStr">
        <is>
          <t xml:space="preserve">Sim</t>
        </is>
      </c>
      <c r="R44" s="74" t="inlineStr">
        <is>
          <t xml:space="preserve">Sim</t>
        </is>
      </c>
      <c r="S44" s="74" t="inlineStr">
        <is>
          <t xml:space="preserve">Sim</t>
        </is>
      </c>
      <c r="T44" s="74" t="inlineStr">
        <is>
          <t xml:space="preserve">Sim</t>
        </is>
      </c>
      <c r="U44" s="74" t="inlineStr">
        <is>
          <t xml:space="preserve">Sim</t>
        </is>
      </c>
      <c r="V44" s="74" t="inlineStr">
        <is>
          <t xml:space="preserve">Sim</t>
        </is>
      </c>
    </row>
    <row r="45">
      <c r="A45" s="77">
        <v>11</v>
      </c>
      <c r="B45" s="78" t="str">
        <f>Config!$B$20&amp;""</f>
        <v/>
      </c>
      <c r="C45" s="78" t="str">
        <f>IF(Config!$B$20&amp;""="","",IF(Config!$C$20="","JSL",Config!$C$20))</f>
        <v/>
      </c>
      <c r="D45" s="74" t="inlineStr">
        <is>
          <t xml:space="preserve">Sim</t>
        </is>
      </c>
      <c r="E45" s="74" t="inlineStr">
        <is>
          <t xml:space="preserve">Sim</t>
        </is>
      </c>
      <c r="F45" s="74" t="inlineStr">
        <is>
          <t xml:space="preserve">Sim</t>
        </is>
      </c>
      <c r="G45" s="74" t="inlineStr">
        <is>
          <t xml:space="preserve">Sim</t>
        </is>
      </c>
      <c r="H45" s="74" t="inlineStr">
        <is>
          <t xml:space="preserve">Sim</t>
        </is>
      </c>
      <c r="I45" s="74" t="inlineStr">
        <is>
          <t xml:space="preserve">Sim</t>
        </is>
      </c>
      <c r="J45" s="74" t="inlineStr">
        <is>
          <t xml:space="preserve">Sim</t>
        </is>
      </c>
      <c r="K45" s="74" t="inlineStr">
        <is>
          <t xml:space="preserve">Sim</t>
        </is>
      </c>
      <c r="L45" s="74" t="inlineStr">
        <is>
          <t xml:space="preserve">Sim</t>
        </is>
      </c>
      <c r="M45" s="74" t="inlineStr">
        <is>
          <t xml:space="preserve">Sim</t>
        </is>
      </c>
      <c r="N45" s="74" t="inlineStr">
        <is>
          <t xml:space="preserve">Sim</t>
        </is>
      </c>
      <c r="O45" s="74" t="inlineStr">
        <is>
          <t xml:space="preserve">Sim</t>
        </is>
      </c>
      <c r="P45" s="74" t="inlineStr">
        <is>
          <t xml:space="preserve">Sim</t>
        </is>
      </c>
      <c r="Q45" s="74" t="inlineStr">
        <is>
          <t xml:space="preserve">Sim</t>
        </is>
      </c>
      <c r="R45" s="74" t="inlineStr">
        <is>
          <t xml:space="preserve">Sim</t>
        </is>
      </c>
      <c r="S45" s="74" t="inlineStr">
        <is>
          <t xml:space="preserve">Sim</t>
        </is>
      </c>
      <c r="T45" s="74" t="inlineStr">
        <is>
          <t xml:space="preserve">Sim</t>
        </is>
      </c>
      <c r="U45" s="74" t="inlineStr">
        <is>
          <t xml:space="preserve">Sim</t>
        </is>
      </c>
      <c r="V45" s="74" t="inlineStr">
        <is>
          <t xml:space="preserve">Sim</t>
        </is>
      </c>
    </row>
    <row r="46">
      <c r="A46" s="77">
        <v>12</v>
      </c>
      <c r="B46" s="78" t="str">
        <f>Config!$B$21&amp;""</f>
        <v/>
      </c>
      <c r="C46" s="78" t="str">
        <f>IF(Config!$B$21&amp;""="","",IF(Config!$C$21="","JSL",Config!$C$21))</f>
        <v/>
      </c>
      <c r="D46" s="74" t="inlineStr">
        <is>
          <t xml:space="preserve">Sim</t>
        </is>
      </c>
      <c r="E46" s="74" t="inlineStr">
        <is>
          <t xml:space="preserve">Sim</t>
        </is>
      </c>
      <c r="F46" s="74" t="inlineStr">
        <is>
          <t xml:space="preserve">Sim</t>
        </is>
      </c>
      <c r="G46" s="74" t="inlineStr">
        <is>
          <t xml:space="preserve">Sim</t>
        </is>
      </c>
      <c r="H46" s="74" t="inlineStr">
        <is>
          <t xml:space="preserve">Sim</t>
        </is>
      </c>
      <c r="I46" s="74" t="inlineStr">
        <is>
          <t xml:space="preserve">Sim</t>
        </is>
      </c>
      <c r="J46" s="74" t="inlineStr">
        <is>
          <t xml:space="preserve">Sim</t>
        </is>
      </c>
      <c r="K46" s="74" t="inlineStr">
        <is>
          <t xml:space="preserve">Sim</t>
        </is>
      </c>
      <c r="L46" s="74" t="inlineStr">
        <is>
          <t xml:space="preserve">Sim</t>
        </is>
      </c>
      <c r="M46" s="74" t="inlineStr">
        <is>
          <t xml:space="preserve">Sim</t>
        </is>
      </c>
      <c r="N46" s="74" t="inlineStr">
        <is>
          <t xml:space="preserve">Sim</t>
        </is>
      </c>
      <c r="O46" s="74" t="inlineStr">
        <is>
          <t xml:space="preserve">Sim</t>
        </is>
      </c>
      <c r="P46" s="74" t="inlineStr">
        <is>
          <t xml:space="preserve">Sim</t>
        </is>
      </c>
      <c r="Q46" s="74" t="inlineStr">
        <is>
          <t xml:space="preserve">Sim</t>
        </is>
      </c>
      <c r="R46" s="74" t="inlineStr">
        <is>
          <t xml:space="preserve">Sim</t>
        </is>
      </c>
      <c r="S46" s="74" t="inlineStr">
        <is>
          <t xml:space="preserve">Sim</t>
        </is>
      </c>
      <c r="T46" s="74" t="inlineStr">
        <is>
          <t xml:space="preserve">Sim</t>
        </is>
      </c>
      <c r="U46" s="74" t="inlineStr">
        <is>
          <t xml:space="preserve">Sim</t>
        </is>
      </c>
      <c r="V46" s="74" t="inlineStr">
        <is>
          <t xml:space="preserve">Sim</t>
        </is>
      </c>
    </row>
    <row r="47">
      <c r="A47" s="77">
        <v>13</v>
      </c>
      <c r="B47" s="78" t="str">
        <f>Config!$B$22&amp;""</f>
        <v/>
      </c>
      <c r="C47" s="78" t="str">
        <f>IF(Config!$B$22&amp;""="","",IF(Config!$C$22="","JSL",Config!$C$22))</f>
        <v/>
      </c>
      <c r="D47" s="74" t="inlineStr">
        <is>
          <t xml:space="preserve">Sim</t>
        </is>
      </c>
      <c r="E47" s="74" t="inlineStr">
        <is>
          <t xml:space="preserve">Sim</t>
        </is>
      </c>
      <c r="F47" s="74" t="inlineStr">
        <is>
          <t xml:space="preserve">Sim</t>
        </is>
      </c>
      <c r="G47" s="74" t="inlineStr">
        <is>
          <t xml:space="preserve">Sim</t>
        </is>
      </c>
      <c r="H47" s="74" t="inlineStr">
        <is>
          <t xml:space="preserve">Sim</t>
        </is>
      </c>
      <c r="I47" s="74" t="inlineStr">
        <is>
          <t xml:space="preserve">Sim</t>
        </is>
      </c>
      <c r="J47" s="74" t="inlineStr">
        <is>
          <t xml:space="preserve">Sim</t>
        </is>
      </c>
      <c r="K47" s="74" t="inlineStr">
        <is>
          <t xml:space="preserve">Sim</t>
        </is>
      </c>
      <c r="L47" s="74" t="inlineStr">
        <is>
          <t xml:space="preserve">Sim</t>
        </is>
      </c>
      <c r="M47" s="74" t="inlineStr">
        <is>
          <t xml:space="preserve">Sim</t>
        </is>
      </c>
      <c r="N47" s="74" t="inlineStr">
        <is>
          <t xml:space="preserve">Sim</t>
        </is>
      </c>
      <c r="O47" s="74" t="inlineStr">
        <is>
          <t xml:space="preserve">Sim</t>
        </is>
      </c>
      <c r="P47" s="74" t="inlineStr">
        <is>
          <t xml:space="preserve">Sim</t>
        </is>
      </c>
      <c r="Q47" s="74" t="inlineStr">
        <is>
          <t xml:space="preserve">Sim</t>
        </is>
      </c>
      <c r="R47" s="74" t="inlineStr">
        <is>
          <t xml:space="preserve">Sim</t>
        </is>
      </c>
      <c r="S47" s="74" t="inlineStr">
        <is>
          <t xml:space="preserve">Sim</t>
        </is>
      </c>
      <c r="T47" s="74" t="inlineStr">
        <is>
          <t xml:space="preserve">Sim</t>
        </is>
      </c>
      <c r="U47" s="74" t="inlineStr">
        <is>
          <t xml:space="preserve">Sim</t>
        </is>
      </c>
      <c r="V47" s="74" t="inlineStr">
        <is>
          <t xml:space="preserve">Sim</t>
        </is>
      </c>
    </row>
    <row r="48">
      <c r="A48" s="77">
        <v>14</v>
      </c>
      <c r="B48" s="78" t="str">
        <f>Config!$B$23&amp;""</f>
        <v/>
      </c>
      <c r="C48" s="78" t="str">
        <f>IF(Config!$B$23&amp;""="","",IF(Config!$C$23="","JSL",Config!$C$23))</f>
        <v/>
      </c>
      <c r="D48" s="74" t="inlineStr">
        <is>
          <t xml:space="preserve">Sim</t>
        </is>
      </c>
      <c r="E48" s="74" t="inlineStr">
        <is>
          <t xml:space="preserve">Sim</t>
        </is>
      </c>
      <c r="F48" s="74" t="inlineStr">
        <is>
          <t xml:space="preserve">Sim</t>
        </is>
      </c>
      <c r="G48" s="74" t="inlineStr">
        <is>
          <t xml:space="preserve">Sim</t>
        </is>
      </c>
      <c r="H48" s="74" t="inlineStr">
        <is>
          <t xml:space="preserve">Sim</t>
        </is>
      </c>
      <c r="I48" s="74" t="inlineStr">
        <is>
          <t xml:space="preserve">Sim</t>
        </is>
      </c>
      <c r="J48" s="74" t="inlineStr">
        <is>
          <t xml:space="preserve">Sim</t>
        </is>
      </c>
      <c r="K48" s="74" t="inlineStr">
        <is>
          <t xml:space="preserve">Sim</t>
        </is>
      </c>
      <c r="L48" s="74" t="inlineStr">
        <is>
          <t xml:space="preserve">Sim</t>
        </is>
      </c>
      <c r="M48" s="74" t="inlineStr">
        <is>
          <t xml:space="preserve">Sim</t>
        </is>
      </c>
      <c r="N48" s="74" t="inlineStr">
        <is>
          <t xml:space="preserve">Sim</t>
        </is>
      </c>
      <c r="O48" s="74" t="inlineStr">
        <is>
          <t xml:space="preserve">Sim</t>
        </is>
      </c>
      <c r="P48" s="74" t="inlineStr">
        <is>
          <t xml:space="preserve">Sim</t>
        </is>
      </c>
      <c r="Q48" s="74" t="inlineStr">
        <is>
          <t xml:space="preserve">Sim</t>
        </is>
      </c>
      <c r="R48" s="74" t="inlineStr">
        <is>
          <t xml:space="preserve">Sim</t>
        </is>
      </c>
      <c r="S48" s="74" t="inlineStr">
        <is>
          <t xml:space="preserve">Sim</t>
        </is>
      </c>
      <c r="T48" s="74" t="inlineStr">
        <is>
          <t xml:space="preserve">Sim</t>
        </is>
      </c>
      <c r="U48" s="74" t="inlineStr">
        <is>
          <t xml:space="preserve">Sim</t>
        </is>
      </c>
      <c r="V48" s="74" t="inlineStr">
        <is>
          <t xml:space="preserve">Sim</t>
        </is>
      </c>
    </row>
    <row r="49">
      <c r="A49" s="77">
        <v>15</v>
      </c>
      <c r="B49" s="78" t="str">
        <f>Config!$B$24&amp;""</f>
        <v/>
      </c>
      <c r="C49" s="78" t="str">
        <f>IF(Config!$B$24&amp;""="","",IF(Config!$C$24="","JSL",Config!$C$24))</f>
        <v/>
      </c>
      <c r="D49" s="74" t="inlineStr">
        <is>
          <t xml:space="preserve">Sim</t>
        </is>
      </c>
      <c r="E49" s="74" t="inlineStr">
        <is>
          <t xml:space="preserve">Sim</t>
        </is>
      </c>
      <c r="F49" s="74" t="inlineStr">
        <is>
          <t xml:space="preserve">Sim</t>
        </is>
      </c>
      <c r="G49" s="74" t="inlineStr">
        <is>
          <t xml:space="preserve">Sim</t>
        </is>
      </c>
      <c r="H49" s="74" t="inlineStr">
        <is>
          <t xml:space="preserve">Sim</t>
        </is>
      </c>
      <c r="I49" s="74" t="inlineStr">
        <is>
          <t xml:space="preserve">Sim</t>
        </is>
      </c>
      <c r="J49" s="74" t="inlineStr">
        <is>
          <t xml:space="preserve">Sim</t>
        </is>
      </c>
      <c r="K49" s="74" t="inlineStr">
        <is>
          <t xml:space="preserve">Sim</t>
        </is>
      </c>
      <c r="L49" s="74" t="inlineStr">
        <is>
          <t xml:space="preserve">Sim</t>
        </is>
      </c>
      <c r="M49" s="74" t="inlineStr">
        <is>
          <t xml:space="preserve">Sim</t>
        </is>
      </c>
      <c r="N49" s="74" t="inlineStr">
        <is>
          <t xml:space="preserve">Sim</t>
        </is>
      </c>
      <c r="O49" s="74" t="inlineStr">
        <is>
          <t xml:space="preserve">Sim</t>
        </is>
      </c>
      <c r="P49" s="74" t="inlineStr">
        <is>
          <t xml:space="preserve">Sim</t>
        </is>
      </c>
      <c r="Q49" s="74" t="inlineStr">
        <is>
          <t xml:space="preserve">Sim</t>
        </is>
      </c>
      <c r="R49" s="74" t="inlineStr">
        <is>
          <t xml:space="preserve">Sim</t>
        </is>
      </c>
      <c r="S49" s="74" t="inlineStr">
        <is>
          <t xml:space="preserve">Sim</t>
        </is>
      </c>
      <c r="T49" s="74" t="inlineStr">
        <is>
          <t xml:space="preserve">Sim</t>
        </is>
      </c>
      <c r="U49" s="74" t="inlineStr">
        <is>
          <t xml:space="preserve">Sim</t>
        </is>
      </c>
      <c r="V49" s="74" t="inlineStr">
        <is>
          <t xml:space="preserve">Sim</t>
        </is>
      </c>
    </row>
    <row r="50">
      <c r="A50" s="77">
        <v>16</v>
      </c>
      <c r="B50" s="78" t="str">
        <f>Config!$B$25&amp;""</f>
        <v/>
      </c>
      <c r="C50" s="78" t="str">
        <f>IF(Config!$B$25&amp;""="","",IF(Config!$C$25="","JSL",Config!$C$25))</f>
        <v/>
      </c>
      <c r="D50" s="74" t="inlineStr">
        <is>
          <t xml:space="preserve">Sim</t>
        </is>
      </c>
      <c r="E50" s="74" t="inlineStr">
        <is>
          <t xml:space="preserve">Sim</t>
        </is>
      </c>
      <c r="F50" s="74" t="inlineStr">
        <is>
          <t xml:space="preserve">Sim</t>
        </is>
      </c>
      <c r="G50" s="74" t="inlineStr">
        <is>
          <t xml:space="preserve">Sim</t>
        </is>
      </c>
      <c r="H50" s="74" t="inlineStr">
        <is>
          <t xml:space="preserve">Sim</t>
        </is>
      </c>
      <c r="I50" s="74" t="inlineStr">
        <is>
          <t xml:space="preserve">Sim</t>
        </is>
      </c>
      <c r="J50" s="74" t="inlineStr">
        <is>
          <t xml:space="preserve">Sim</t>
        </is>
      </c>
      <c r="K50" s="74" t="inlineStr">
        <is>
          <t xml:space="preserve">Sim</t>
        </is>
      </c>
      <c r="L50" s="74" t="inlineStr">
        <is>
          <t xml:space="preserve">Sim</t>
        </is>
      </c>
      <c r="M50" s="74" t="inlineStr">
        <is>
          <t xml:space="preserve">Sim</t>
        </is>
      </c>
      <c r="N50" s="74" t="inlineStr">
        <is>
          <t xml:space="preserve">Sim</t>
        </is>
      </c>
      <c r="O50" s="74" t="inlineStr">
        <is>
          <t xml:space="preserve">Sim</t>
        </is>
      </c>
      <c r="P50" s="74" t="inlineStr">
        <is>
          <t xml:space="preserve">Sim</t>
        </is>
      </c>
      <c r="Q50" s="74" t="inlineStr">
        <is>
          <t xml:space="preserve">Sim</t>
        </is>
      </c>
      <c r="R50" s="74" t="inlineStr">
        <is>
          <t xml:space="preserve">Sim</t>
        </is>
      </c>
      <c r="S50" s="74" t="inlineStr">
        <is>
          <t xml:space="preserve">Sim</t>
        </is>
      </c>
      <c r="T50" s="74" t="inlineStr">
        <is>
          <t xml:space="preserve">Sim</t>
        </is>
      </c>
      <c r="U50" s="74" t="inlineStr">
        <is>
          <t xml:space="preserve">Sim</t>
        </is>
      </c>
      <c r="V50" s="74" t="inlineStr">
        <is>
          <t xml:space="preserve">Sim</t>
        </is>
      </c>
    </row>
    <row r="51">
      <c r="A51" s="77">
        <v>17</v>
      </c>
      <c r="B51" s="78" t="str">
        <f>Config!$B$26&amp;""</f>
        <v/>
      </c>
      <c r="C51" s="78" t="str">
        <f>IF(Config!$B$26&amp;""="","",IF(Config!$C$26="","JSL",Config!$C$26))</f>
        <v/>
      </c>
      <c r="D51" s="74" t="inlineStr">
        <is>
          <t xml:space="preserve">Sim</t>
        </is>
      </c>
      <c r="E51" s="74" t="inlineStr">
        <is>
          <t xml:space="preserve">Sim</t>
        </is>
      </c>
      <c r="F51" s="74" t="inlineStr">
        <is>
          <t xml:space="preserve">Sim</t>
        </is>
      </c>
      <c r="G51" s="74" t="inlineStr">
        <is>
          <t xml:space="preserve">Sim</t>
        </is>
      </c>
      <c r="H51" s="74" t="inlineStr">
        <is>
          <t xml:space="preserve">Sim</t>
        </is>
      </c>
      <c r="I51" s="74" t="inlineStr">
        <is>
          <t xml:space="preserve">Sim</t>
        </is>
      </c>
      <c r="J51" s="74" t="inlineStr">
        <is>
          <t xml:space="preserve">Sim</t>
        </is>
      </c>
      <c r="K51" s="74" t="inlineStr">
        <is>
          <t xml:space="preserve">Sim</t>
        </is>
      </c>
      <c r="L51" s="74" t="inlineStr">
        <is>
          <t xml:space="preserve">Sim</t>
        </is>
      </c>
      <c r="M51" s="74" t="inlineStr">
        <is>
          <t xml:space="preserve">Sim</t>
        </is>
      </c>
      <c r="N51" s="74" t="inlineStr">
        <is>
          <t xml:space="preserve">Sim</t>
        </is>
      </c>
      <c r="O51" s="74" t="inlineStr">
        <is>
          <t xml:space="preserve">Sim</t>
        </is>
      </c>
      <c r="P51" s="74" t="inlineStr">
        <is>
          <t xml:space="preserve">Sim</t>
        </is>
      </c>
      <c r="Q51" s="74" t="inlineStr">
        <is>
          <t xml:space="preserve">Sim</t>
        </is>
      </c>
      <c r="R51" s="74" t="inlineStr">
        <is>
          <t xml:space="preserve">Sim</t>
        </is>
      </c>
      <c r="S51" s="74" t="inlineStr">
        <is>
          <t xml:space="preserve">Sim</t>
        </is>
      </c>
      <c r="T51" s="74" t="inlineStr">
        <is>
          <t xml:space="preserve">Sim</t>
        </is>
      </c>
      <c r="U51" s="74" t="inlineStr">
        <is>
          <t xml:space="preserve">Sim</t>
        </is>
      </c>
      <c r="V51" s="74" t="inlineStr">
        <is>
          <t xml:space="preserve">Sim</t>
        </is>
      </c>
    </row>
    <row r="52">
      <c r="A52" s="77">
        <v>18</v>
      </c>
      <c r="B52" s="78" t="str">
        <f>Config!$B$27&amp;""</f>
        <v/>
      </c>
      <c r="C52" s="78" t="str">
        <f>IF(Config!$B$27&amp;""="","",IF(Config!$C$27="","JSL",Config!$C$27))</f>
        <v/>
      </c>
      <c r="D52" s="74" t="inlineStr">
        <is>
          <t xml:space="preserve">Sim</t>
        </is>
      </c>
      <c r="E52" s="74" t="inlineStr">
        <is>
          <t xml:space="preserve">Sim</t>
        </is>
      </c>
      <c r="F52" s="74" t="inlineStr">
        <is>
          <t xml:space="preserve">Sim</t>
        </is>
      </c>
      <c r="G52" s="74" t="inlineStr">
        <is>
          <t xml:space="preserve">Sim</t>
        </is>
      </c>
      <c r="H52" s="74" t="inlineStr">
        <is>
          <t xml:space="preserve">Sim</t>
        </is>
      </c>
      <c r="I52" s="74" t="inlineStr">
        <is>
          <t xml:space="preserve">Sim</t>
        </is>
      </c>
      <c r="J52" s="74" t="inlineStr">
        <is>
          <t xml:space="preserve">Sim</t>
        </is>
      </c>
      <c r="K52" s="74" t="inlineStr">
        <is>
          <t xml:space="preserve">Sim</t>
        </is>
      </c>
      <c r="L52" s="74" t="inlineStr">
        <is>
          <t xml:space="preserve">Sim</t>
        </is>
      </c>
      <c r="M52" s="74" t="inlineStr">
        <is>
          <t xml:space="preserve">Sim</t>
        </is>
      </c>
      <c r="N52" s="74" t="inlineStr">
        <is>
          <t xml:space="preserve">Sim</t>
        </is>
      </c>
      <c r="O52" s="74" t="inlineStr">
        <is>
          <t xml:space="preserve">Sim</t>
        </is>
      </c>
      <c r="P52" s="74" t="inlineStr">
        <is>
          <t xml:space="preserve">Sim</t>
        </is>
      </c>
      <c r="Q52" s="74" t="inlineStr">
        <is>
          <t xml:space="preserve">Sim</t>
        </is>
      </c>
      <c r="R52" s="74" t="inlineStr">
        <is>
          <t xml:space="preserve">Sim</t>
        </is>
      </c>
      <c r="S52" s="74" t="inlineStr">
        <is>
          <t xml:space="preserve">Sim</t>
        </is>
      </c>
      <c r="T52" s="74" t="inlineStr">
        <is>
          <t xml:space="preserve">Sim</t>
        </is>
      </c>
      <c r="U52" s="74" t="inlineStr">
        <is>
          <t xml:space="preserve">Sim</t>
        </is>
      </c>
      <c r="V52" s="74" t="inlineStr">
        <is>
          <t xml:space="preserve">Sim</t>
        </is>
      </c>
    </row>
    <row r="53">
      <c r="A53" s="77">
        <v>19</v>
      </c>
      <c r="B53" s="78" t="str">
        <f>Config!$B$28&amp;""</f>
        <v/>
      </c>
      <c r="C53" s="78" t="str">
        <f>IF(Config!$B$28&amp;""="","",IF(Config!$C$28="","JSL",Config!$C$28))</f>
        <v/>
      </c>
      <c r="D53" s="74" t="inlineStr">
        <is>
          <t xml:space="preserve">Sim</t>
        </is>
      </c>
      <c r="E53" s="74" t="inlineStr">
        <is>
          <t xml:space="preserve">Sim</t>
        </is>
      </c>
      <c r="F53" s="74" t="inlineStr">
        <is>
          <t xml:space="preserve">Sim</t>
        </is>
      </c>
      <c r="G53" s="74" t="inlineStr">
        <is>
          <t xml:space="preserve">Sim</t>
        </is>
      </c>
      <c r="H53" s="74" t="inlineStr">
        <is>
          <t xml:space="preserve">Sim</t>
        </is>
      </c>
      <c r="I53" s="74" t="inlineStr">
        <is>
          <t xml:space="preserve">Sim</t>
        </is>
      </c>
      <c r="J53" s="74" t="inlineStr">
        <is>
          <t xml:space="preserve">Sim</t>
        </is>
      </c>
      <c r="K53" s="74" t="inlineStr">
        <is>
          <t xml:space="preserve">Sim</t>
        </is>
      </c>
      <c r="L53" s="74" t="inlineStr">
        <is>
          <t xml:space="preserve">Sim</t>
        </is>
      </c>
      <c r="M53" s="74" t="inlineStr">
        <is>
          <t xml:space="preserve">Sim</t>
        </is>
      </c>
      <c r="N53" s="74" t="inlineStr">
        <is>
          <t xml:space="preserve">Sim</t>
        </is>
      </c>
      <c r="O53" s="74" t="inlineStr">
        <is>
          <t xml:space="preserve">Sim</t>
        </is>
      </c>
      <c r="P53" s="74" t="inlineStr">
        <is>
          <t xml:space="preserve">Sim</t>
        </is>
      </c>
      <c r="Q53" s="74" t="inlineStr">
        <is>
          <t xml:space="preserve">Sim</t>
        </is>
      </c>
      <c r="R53" s="74" t="inlineStr">
        <is>
          <t xml:space="preserve">Sim</t>
        </is>
      </c>
      <c r="S53" s="74" t="inlineStr">
        <is>
          <t xml:space="preserve">Sim</t>
        </is>
      </c>
      <c r="T53" s="74" t="inlineStr">
        <is>
          <t xml:space="preserve">Sim</t>
        </is>
      </c>
      <c r="U53" s="74" t="inlineStr">
        <is>
          <t xml:space="preserve">Sim</t>
        </is>
      </c>
      <c r="V53" s="74" t="inlineStr">
        <is>
          <t xml:space="preserve">Sim</t>
        </is>
      </c>
    </row>
    <row r="54">
      <c r="A54" s="77">
        <v>20</v>
      </c>
      <c r="B54" s="78" t="str">
        <f>Config!$B$29&amp;""</f>
        <v/>
      </c>
      <c r="C54" s="78" t="str">
        <f>IF(Config!$B$29&amp;""="","",IF(Config!$C$29="","JSL",Config!$C$29))</f>
        <v/>
      </c>
      <c r="D54" s="74" t="inlineStr">
        <is>
          <t xml:space="preserve">Sim</t>
        </is>
      </c>
      <c r="E54" s="74" t="inlineStr">
        <is>
          <t xml:space="preserve">Sim</t>
        </is>
      </c>
      <c r="F54" s="74" t="inlineStr">
        <is>
          <t xml:space="preserve">Sim</t>
        </is>
      </c>
      <c r="G54" s="74" t="inlineStr">
        <is>
          <t xml:space="preserve">Sim</t>
        </is>
      </c>
      <c r="H54" s="74" t="inlineStr">
        <is>
          <t xml:space="preserve">Sim</t>
        </is>
      </c>
      <c r="I54" s="74" t="inlineStr">
        <is>
          <t xml:space="preserve">Sim</t>
        </is>
      </c>
      <c r="J54" s="74" t="inlineStr">
        <is>
          <t xml:space="preserve">Sim</t>
        </is>
      </c>
      <c r="K54" s="74" t="inlineStr">
        <is>
          <t xml:space="preserve">Sim</t>
        </is>
      </c>
      <c r="L54" s="74" t="inlineStr">
        <is>
          <t xml:space="preserve">Sim</t>
        </is>
      </c>
      <c r="M54" s="74" t="inlineStr">
        <is>
          <t xml:space="preserve">Sim</t>
        </is>
      </c>
      <c r="N54" s="74" t="inlineStr">
        <is>
          <t xml:space="preserve">Sim</t>
        </is>
      </c>
      <c r="O54" s="74" t="inlineStr">
        <is>
          <t xml:space="preserve">Sim</t>
        </is>
      </c>
      <c r="P54" s="74" t="inlineStr">
        <is>
          <t xml:space="preserve">Sim</t>
        </is>
      </c>
      <c r="Q54" s="74" t="inlineStr">
        <is>
          <t xml:space="preserve">Sim</t>
        </is>
      </c>
      <c r="R54" s="74" t="inlineStr">
        <is>
          <t xml:space="preserve">Sim</t>
        </is>
      </c>
      <c r="S54" s="74" t="inlineStr">
        <is>
          <t xml:space="preserve">Sim</t>
        </is>
      </c>
      <c r="T54" s="74" t="inlineStr">
        <is>
          <t xml:space="preserve">Sim</t>
        </is>
      </c>
      <c r="U54" s="74" t="inlineStr">
        <is>
          <t xml:space="preserve">Sim</t>
        </is>
      </c>
      <c r="V54" s="74" t="inlineStr">
        <is>
          <t xml:space="preserve">Sim</t>
        </is>
      </c>
    </row>
    <row r="58" ht="22" customHeight="1">
      <c r="A58" s="76" t="inlineStr">
        <is>
          <t xml:space="preserve">3 · TEXTOS DO DASHBOARD — renomeie cards, linhas e gráficos (títulos dos gráficos 2 e 3 de cada cliente ficam na tabela 1)</t>
        </is>
      </c>
      <c r="B58" s="76"/>
      <c r="C58" s="76"/>
      <c r="D58" s="76"/>
      <c r="E58" s="76"/>
      <c r="F58" s="76"/>
      <c r="G58" s="76"/>
      <c r="H58" s="76"/>
      <c r="I58" s="76"/>
      <c r="J58" s="76"/>
      <c r="K58" s="76"/>
      <c r="L58" s="76"/>
      <c r="M58" s="76"/>
      <c r="N58" s="76"/>
      <c r="O58" s="76"/>
      <c r="P58" s="76"/>
      <c r="Q58" s="76"/>
      <c r="R58" s="76"/>
      <c r="S58" s="76"/>
      <c r="T58" s="76"/>
    </row>
    <row r="59">
      <c r="A59" s="84" t="inlineStr">
        <is>
          <t xml:space="preserve">Onde aparece</t>
        </is>
      </c>
      <c r="B59" s="85"/>
      <c r="C59" s="86"/>
      <c r="D59" s="84" t="inlineStr">
        <is>
          <t xml:space="preserve">Texto</t>
        </is>
      </c>
      <c r="E59" s="85"/>
      <c r="F59" s="85"/>
      <c r="G59" s="86"/>
    </row>
    <row r="60">
      <c r="A60" s="87" t="inlineStr">
        <is>
          <t xml:space="preserve">Card IN · título</t>
        </is>
      </c>
      <c r="B60" s="88"/>
      <c r="C60" s="89"/>
      <c r="D60" s="90" t="inlineStr">
        <is>
          <t xml:space="preserve">RECEBIMENTO (IN)</t>
        </is>
      </c>
      <c r="E60" s="91"/>
      <c r="F60" s="91"/>
      <c r="G60" s="92"/>
    </row>
    <row r="61">
      <c r="A61" s="87" t="inlineStr">
        <is>
          <t xml:space="preserve">Card IN · legenda do número</t>
        </is>
      </c>
      <c r="B61" s="88"/>
      <c r="C61" s="89"/>
      <c r="D61" s="90" t="inlineStr">
        <is>
          <t xml:space="preserve">veículos recebidos</t>
        </is>
      </c>
      <c r="E61" s="91"/>
      <c r="F61" s="91"/>
      <c r="G61" s="92"/>
    </row>
    <row r="62">
      <c r="A62" s="87" t="inlineStr">
        <is>
          <t xml:space="preserve">Card OUT · título</t>
        </is>
      </c>
      <c r="B62" s="88"/>
      <c r="C62" s="89"/>
      <c r="D62" s="90" t="inlineStr">
        <is>
          <t xml:space="preserve">EXPEDIÇÃO (OUT)</t>
        </is>
      </c>
      <c r="E62" s="91"/>
      <c r="F62" s="91"/>
      <c r="G62" s="92"/>
    </row>
    <row r="63">
      <c r="A63" s="87" t="inlineStr">
        <is>
          <t xml:space="preserve">Card OUT · legenda do número</t>
        </is>
      </c>
      <c r="B63" s="88"/>
      <c r="C63" s="89"/>
      <c r="D63" s="90" t="inlineStr">
        <is>
          <t xml:space="preserve">veículos expedidos</t>
        </is>
      </c>
      <c r="E63" s="91"/>
      <c r="F63" s="91"/>
      <c r="G63" s="92"/>
    </row>
    <row r="64">
      <c r="A64" s="87" t="inlineStr">
        <is>
          <t xml:space="preserve">Card NC · título</t>
        </is>
      </c>
      <c r="B64" s="88"/>
      <c r="C64" s="89"/>
      <c r="D64" s="90" t="inlineStr">
        <is>
          <t xml:space="preserve">NC OPERACIONAL</t>
        </is>
      </c>
      <c r="E64" s="91"/>
      <c r="F64" s="91"/>
      <c r="G64" s="92"/>
    </row>
    <row r="65">
      <c r="A65" s="87" t="inlineStr">
        <is>
          <t xml:space="preserve">Card NC · legenda do número</t>
        </is>
      </c>
      <c r="B65" s="88"/>
      <c r="C65" s="89"/>
      <c r="D65" s="90" t="inlineStr">
        <is>
          <t xml:space="preserve">incidentes no período</t>
        </is>
      </c>
      <c r="E65" s="91"/>
      <c r="F65" s="91"/>
      <c r="G65" s="92"/>
    </row>
    <row r="66">
      <c r="A66" s="87" t="inlineStr">
        <is>
          <t xml:space="preserve">Card NC · linha 1</t>
        </is>
      </c>
      <c r="B66" s="88"/>
      <c r="C66" s="89"/>
      <c r="D66" s="90" t="inlineStr">
        <is>
          <t xml:space="preserve">NO SHOW</t>
        </is>
      </c>
      <c r="E66" s="91"/>
      <c r="F66" s="91"/>
      <c r="G66" s="92"/>
    </row>
    <row r="67">
      <c r="A67" s="87" t="inlineStr">
        <is>
          <t xml:space="preserve">Card NC · linha 2</t>
        </is>
      </c>
      <c r="B67" s="88"/>
      <c r="C67" s="89"/>
      <c r="D67" s="90" t="inlineStr">
        <is>
          <t xml:space="preserve">BACKLOG</t>
        </is>
      </c>
      <c r="E67" s="91"/>
      <c r="F67" s="91"/>
      <c r="G67" s="92"/>
    </row>
    <row r="68">
      <c r="A68" s="87" t="inlineStr">
        <is>
          <t xml:space="preserve">Card Ocupação · título</t>
        </is>
      </c>
      <c r="B68" s="88"/>
      <c r="C68" s="89"/>
      <c r="D68" s="90" t="inlineStr">
        <is>
          <t xml:space="preserve">ÍNDICE DE OCUPAÇÃO (P.P)</t>
        </is>
      </c>
      <c r="E68" s="91"/>
      <c r="F68" s="91"/>
      <c r="G68" s="92"/>
    </row>
    <row r="69">
      <c r="A69" s="87" t="inlineStr">
        <is>
          <t xml:space="preserve">Card Ocupação · posições (cliente)</t>
        </is>
      </c>
      <c r="B69" s="88"/>
      <c r="C69" s="89"/>
      <c r="D69" s="90" t="inlineStr">
        <is>
          <t xml:space="preserve">CONTRATADA</t>
        </is>
      </c>
      <c r="E69" s="91"/>
      <c r="F69" s="91"/>
      <c r="G69" s="92"/>
    </row>
    <row r="70">
      <c r="A70" s="87" t="inlineStr">
        <is>
          <t xml:space="preserve">Card Ocupação · posições (Todos / depósito)</t>
        </is>
      </c>
      <c r="B70" s="88"/>
      <c r="C70" s="89"/>
      <c r="D70" s="90" t="inlineStr">
        <is>
          <t xml:space="preserve">ARMAZÉM</t>
        </is>
      </c>
      <c r="E70" s="91"/>
      <c r="F70" s="91"/>
      <c r="G70" s="92"/>
    </row>
    <row r="71">
      <c r="A71" s="87" t="inlineStr">
        <is>
          <t xml:space="preserve">Card Ocupação · ocupadas</t>
        </is>
      </c>
      <c r="B71" s="88"/>
      <c r="C71" s="89"/>
      <c r="D71" s="90" t="inlineStr">
        <is>
          <t xml:space="preserve">OCUPADA</t>
        </is>
      </c>
      <c r="E71" s="91"/>
      <c r="F71" s="91"/>
      <c r="G71" s="92"/>
    </row>
    <row r="72">
      <c r="A72" s="87" t="inlineStr">
        <is>
          <t xml:space="preserve">Card Ocupação · taxa</t>
        </is>
      </c>
      <c r="B72" s="88"/>
      <c r="C72" s="89"/>
      <c r="D72" s="90" t="inlineStr">
        <is>
          <t xml:space="preserve">TX OCUPAÇÃO</t>
        </is>
      </c>
      <c r="E72" s="91"/>
      <c r="F72" s="91"/>
      <c r="G72" s="92"/>
    </row>
    <row r="73">
      <c r="A73" s="87" t="inlineStr">
        <is>
          <t xml:space="preserve">Card Ocupação · ociosidade</t>
        </is>
      </c>
      <c r="B73" s="88"/>
      <c r="C73" s="89"/>
      <c r="D73" s="90" t="inlineStr">
        <is>
          <t xml:space="preserve">OCIOSIDADE</t>
        </is>
      </c>
      <c r="E73" s="91"/>
      <c r="F73" s="91"/>
      <c r="G73" s="92"/>
    </row>
    <row r="74">
      <c r="A74" s="87" t="inlineStr">
        <is>
          <t xml:space="preserve">Card Gente · título</t>
        </is>
      </c>
      <c r="B74" s="88"/>
      <c r="C74" s="89"/>
      <c r="D74" s="90" t="inlineStr">
        <is>
          <t xml:space="preserve">GENTE</t>
        </is>
      </c>
      <c r="E74" s="91"/>
      <c r="F74" s="91"/>
      <c r="G74" s="92"/>
    </row>
    <row r="75">
      <c r="A75" s="87" t="inlineStr">
        <is>
          <t xml:space="preserve">Card Gente · linha 1</t>
        </is>
      </c>
      <c r="B75" s="88"/>
      <c r="C75" s="89"/>
      <c r="D75" s="90" t="inlineStr">
        <is>
          <t xml:space="preserve">EFETIVO</t>
        </is>
      </c>
      <c r="E75" s="91"/>
      <c r="F75" s="91"/>
      <c r="G75" s="92"/>
    </row>
    <row r="76">
      <c r="A76" s="87" t="inlineStr">
        <is>
          <t xml:space="preserve">Card Gente · linha 2</t>
        </is>
      </c>
      <c r="B76" s="88"/>
      <c r="C76" s="89"/>
      <c r="D76" s="90" t="inlineStr">
        <is>
          <t xml:space="preserve">ABSENTEÍSMO (H/H)</t>
        </is>
      </c>
      <c r="E76" s="91"/>
      <c r="F76" s="91"/>
      <c r="G76" s="92"/>
    </row>
    <row r="77">
      <c r="A77" s="87" t="inlineStr">
        <is>
          <t xml:space="preserve">Card Gente · linha 3</t>
        </is>
      </c>
      <c r="B77" s="88"/>
      <c r="C77" s="89"/>
      <c r="D77" s="90" t="inlineStr">
        <is>
          <t xml:space="preserve">FÉRIAS</t>
        </is>
      </c>
      <c r="E77" s="91"/>
      <c r="F77" s="91"/>
      <c r="G77" s="92"/>
    </row>
    <row r="78">
      <c r="A78" s="87" t="inlineStr">
        <is>
          <t xml:space="preserve">Card Gente · linha 4</t>
        </is>
      </c>
      <c r="B78" s="88"/>
      <c r="C78" s="89"/>
      <c r="D78" s="90" t="inlineStr">
        <is>
          <t xml:space="preserve">TURNOVER</t>
        </is>
      </c>
      <c r="E78" s="91"/>
      <c r="F78" s="91"/>
      <c r="G78" s="92"/>
    </row>
    <row r="79">
      <c r="A79" s="87" t="inlineStr">
        <is>
          <t xml:space="preserve">Card Gente · linha 5</t>
        </is>
      </c>
      <c r="B79" s="88"/>
      <c r="C79" s="89"/>
      <c r="D79" s="90" t="inlineStr">
        <is>
          <t xml:space="preserve">DESVIOS COMPORTAM.</t>
        </is>
      </c>
      <c r="E79" s="91"/>
      <c r="F79" s="91"/>
      <c r="G79" s="92"/>
    </row>
    <row r="80">
      <c r="A80" s="87" t="inlineStr">
        <is>
          <t xml:space="preserve">Card Gente · linha 6</t>
        </is>
      </c>
      <c r="B80" s="88"/>
      <c r="C80" s="89"/>
      <c r="D80" s="90" t="inlineStr">
        <is>
          <t xml:space="preserve">ACIDENTES (CAF/SAF)</t>
        </is>
      </c>
      <c r="E80" s="91"/>
      <c r="F80" s="91"/>
      <c r="G80" s="92"/>
    </row>
    <row r="81">
      <c r="A81" s="87" t="inlineStr">
        <is>
          <t xml:space="preserve">Gráfico 1 · título</t>
        </is>
      </c>
      <c r="B81" s="88"/>
      <c r="C81" s="89"/>
      <c r="D81" s="90" t="inlineStr">
        <is>
          <t xml:space="preserve">MOVIMENTAÇÃO VEÍCULO/DIA</t>
        </is>
      </c>
      <c r="E81" s="91"/>
      <c r="F81" s="91"/>
      <c r="G81" s="92"/>
    </row>
    <row r="82">
      <c r="A82" s="87" t="inlineStr">
        <is>
          <t xml:space="preserve">Gráfico 1 · série IN</t>
        </is>
      </c>
      <c r="B82" s="88"/>
      <c r="C82" s="89"/>
      <c r="D82" s="90" t="inlineStr">
        <is>
          <t xml:space="preserve">Recebidos (IN)</t>
        </is>
      </c>
      <c r="E82" s="91"/>
      <c r="F82" s="91"/>
      <c r="G82" s="92"/>
    </row>
    <row r="83">
      <c r="A83" s="87" t="inlineStr">
        <is>
          <t xml:space="preserve">Gráfico 1 · série OUT</t>
        </is>
      </c>
      <c r="B83" s="88"/>
      <c r="C83" s="89"/>
      <c r="D83" s="90" t="inlineStr">
        <is>
          <t xml:space="preserve">Expedidos (OUT)</t>
        </is>
      </c>
      <c r="E83" s="91"/>
      <c r="F83" s="91"/>
      <c r="G83" s="92"/>
    </row>
    <row r="84">
      <c r="A84" s="87" t="inlineStr">
        <is>
          <t xml:space="preserve">Gráfico ocupação · título</t>
        </is>
      </c>
      <c r="B84" s="88"/>
      <c r="C84" s="89"/>
      <c r="D84" s="90" t="inlineStr">
        <is>
          <t xml:space="preserve">OCUPAÇÃO DIÁRIA</t>
        </is>
      </c>
      <c r="E84" s="91"/>
      <c r="F84" s="91"/>
      <c r="G84" s="92"/>
    </row>
    <row r="85">
      <c r="A85" s="87" t="inlineStr">
        <is>
          <t xml:space="preserve">Gráfico ocupação · título (só ocupadas)</t>
        </is>
      </c>
      <c r="B85" s="88"/>
      <c r="C85" s="89"/>
      <c r="D85" s="90" t="inlineStr">
        <is>
          <t xml:space="preserve">POSIÇÕES OCUPADAS/DIA</t>
        </is>
      </c>
      <c r="E85" s="91"/>
      <c r="F85" s="91"/>
      <c r="G85" s="92"/>
    </row>
    <row r="86">
      <c r="A86" s="87" t="inlineStr">
        <is>
          <t xml:space="preserve">Gráfico ocupação · título (não se aplica)</t>
        </is>
      </c>
      <c r="B86" s="88"/>
      <c r="C86" s="89"/>
      <c r="D86" s="90" t="inlineStr">
        <is>
          <t xml:space="preserve">OCUPAÇÃO — NÃO SE APLICA</t>
        </is>
      </c>
      <c r="E86" s="91"/>
      <c r="F86" s="91"/>
      <c r="G86" s="92"/>
    </row>
    <row r="87">
      <c r="A87" s="87" t="inlineStr">
        <is>
          <t xml:space="preserve">Gráfico ocupação · série ocupada</t>
        </is>
      </c>
      <c r="B87" s="88"/>
      <c r="C87" s="89"/>
      <c r="D87" s="90" t="inlineStr">
        <is>
          <t xml:space="preserve">Ocupada (p.p)</t>
        </is>
      </c>
      <c r="E87" s="91"/>
      <c r="F87" s="91"/>
      <c r="G87" s="92"/>
    </row>
    <row r="88">
      <c r="A88" s="87" t="inlineStr">
        <is>
          <t xml:space="preserve">Gráfico ocupação · linha (cliente)</t>
        </is>
      </c>
      <c r="B88" s="88"/>
      <c r="C88" s="89"/>
      <c r="D88" s="90" t="inlineStr">
        <is>
          <t xml:space="preserve">Contratada (p.p)</t>
        </is>
      </c>
      <c r="E88" s="91"/>
      <c r="F88" s="91"/>
      <c r="G88" s="92"/>
    </row>
    <row r="89">
      <c r="A89" s="87" t="inlineStr">
        <is>
          <t xml:space="preserve">Gráfico ocupação · linha (Todos / depósito)</t>
        </is>
      </c>
      <c r="B89" s="88"/>
      <c r="C89" s="89"/>
      <c r="D89" s="90" t="inlineStr">
        <is>
          <t xml:space="preserve">Capacidade do armazém (p.p)</t>
        </is>
      </c>
      <c r="E89" s="91"/>
      <c r="F89" s="91"/>
      <c r="G89" s="92"/>
    </row>
    <row r="93" ht="22" customHeight="1">
      <c r="A93" s="76" t="inlineStr">
        <is>
          <t xml:space="preserve">4 · PARÂMETROS — capacidade do armazém (posições) e faixas da taxa de ocupação</t>
        </is>
      </c>
      <c r="B93" s="76"/>
      <c r="C93" s="76"/>
      <c r="D93" s="76"/>
      <c r="E93" s="76"/>
      <c r="F93" s="76"/>
      <c r="G93" s="76"/>
      <c r="H93" s="76"/>
      <c r="I93" s="76"/>
      <c r="J93" s="76"/>
      <c r="K93" s="76"/>
      <c r="L93" s="76"/>
      <c r="M93" s="76"/>
      <c r="N93" s="76"/>
      <c r="O93" s="76"/>
      <c r="P93" s="76"/>
      <c r="Q93" s="76"/>
      <c r="R93" s="76"/>
      <c r="S93" s="76"/>
      <c r="T93" s="76"/>
    </row>
    <row r="94">
      <c r="A94" s="84" t="inlineStr">
        <is>
          <t xml:space="preserve">Parâmetro</t>
        </is>
      </c>
      <c r="B94" s="86"/>
      <c r="C94" s="16" t="inlineStr">
        <is>
          <t xml:space="preserve">Valor</t>
        </is>
      </c>
    </row>
    <row r="95">
      <c r="A95" s="87" t="inlineStr">
        <is>
          <t xml:space="preserve">Capacidade do armazém JSL (posições)</t>
        </is>
      </c>
      <c r="B95" s="89"/>
      <c r="C95" s="93">
        <v>5872</v>
      </c>
    </row>
    <row r="96">
      <c r="A96" s="87" t="inlineStr">
        <is>
          <t xml:space="preserve">Ocupação · faixa de atenção (amarelo a partir de)</t>
        </is>
      </c>
      <c r="B96" s="89"/>
      <c r="C96" s="94">
        <v>0.7</v>
      </c>
    </row>
    <row r="97">
      <c r="A97" s="87" t="inlineStr">
        <is>
          <t xml:space="preserve">Ocupação · faixa alta (verde a partir de)</t>
        </is>
      </c>
      <c r="B97" s="89"/>
      <c r="C97" s="94">
        <v>0.9</v>
      </c>
    </row>
  </sheetData>
  <sheetProtection password="CC30" sheet="1" objects="1" scenarios="1"/>
  <mergeCells count="76">
    <mergeCell ref="A1:T1"/>
    <mergeCell ref="A2:T2"/>
    <mergeCell ref="A3:T3"/>
    <mergeCell ref="A4:T4"/>
    <mergeCell ref="A5:T5"/>
    <mergeCell ref="Y7:AE7"/>
    <mergeCell ref="A7:T7"/>
    <mergeCell ref="A33:T33"/>
    <mergeCell ref="A58:T58"/>
    <mergeCell ref="A59:C59"/>
    <mergeCell ref="D59:G59"/>
    <mergeCell ref="A60:C60"/>
    <mergeCell ref="D60:G60"/>
    <mergeCell ref="A61:C61"/>
    <mergeCell ref="D61:G61"/>
    <mergeCell ref="A62:C62"/>
    <mergeCell ref="D62:G62"/>
    <mergeCell ref="A63:C63"/>
    <mergeCell ref="D63:G63"/>
    <mergeCell ref="A64:C64"/>
    <mergeCell ref="D64:G64"/>
    <mergeCell ref="A65:C65"/>
    <mergeCell ref="D65:G65"/>
    <mergeCell ref="A66:C66"/>
    <mergeCell ref="D66:G66"/>
    <mergeCell ref="A67:C67"/>
    <mergeCell ref="D67:G67"/>
    <mergeCell ref="A68:C68"/>
    <mergeCell ref="D68:G68"/>
    <mergeCell ref="A69:C69"/>
    <mergeCell ref="D69:G69"/>
    <mergeCell ref="A70:C70"/>
    <mergeCell ref="D70:G70"/>
    <mergeCell ref="A71:C71"/>
    <mergeCell ref="D71:G71"/>
    <mergeCell ref="A72:C72"/>
    <mergeCell ref="D72:G72"/>
    <mergeCell ref="A73:C73"/>
    <mergeCell ref="D73:G73"/>
    <mergeCell ref="A74:C74"/>
    <mergeCell ref="D74:G74"/>
    <mergeCell ref="A75:C75"/>
    <mergeCell ref="D75:G75"/>
    <mergeCell ref="A76:C76"/>
    <mergeCell ref="D76:G76"/>
    <mergeCell ref="A77:C77"/>
    <mergeCell ref="D77:G77"/>
    <mergeCell ref="A78:C78"/>
    <mergeCell ref="D78:G78"/>
    <mergeCell ref="A79:C79"/>
    <mergeCell ref="D79:G79"/>
    <mergeCell ref="A80:C80"/>
    <mergeCell ref="D80:G80"/>
    <mergeCell ref="A81:C81"/>
    <mergeCell ref="D81:G81"/>
    <mergeCell ref="A82:C82"/>
    <mergeCell ref="D82:G82"/>
    <mergeCell ref="A83:C83"/>
    <mergeCell ref="D83:G83"/>
    <mergeCell ref="A84:C84"/>
    <mergeCell ref="D84:G84"/>
    <mergeCell ref="A85:C85"/>
    <mergeCell ref="D85:G85"/>
    <mergeCell ref="A86:C86"/>
    <mergeCell ref="D86:G86"/>
    <mergeCell ref="A87:C87"/>
    <mergeCell ref="D87:G87"/>
    <mergeCell ref="A88:C88"/>
    <mergeCell ref="D88:G88"/>
    <mergeCell ref="A89:C89"/>
    <mergeCell ref="D89:G89"/>
    <mergeCell ref="A93:T93"/>
    <mergeCell ref="A94:B94"/>
    <mergeCell ref="A95:B95"/>
    <mergeCell ref="A96:B96"/>
    <mergeCell ref="A97:B97"/>
  </mergeCells>
  <conditionalFormatting sqref="C10:T29">
    <cfRule type="expression" dxfId="5" priority="1" stopIfTrue="1">
      <formula>$B10=""</formula>
    </cfRule>
  </conditionalFormatting>
  <conditionalFormatting sqref="D9:D29">
    <cfRule type="expression" dxfId="3" priority="2">
      <formula>D9="Não se aplica"</formula>
    </cfRule>
  </conditionalFormatting>
  <conditionalFormatting sqref="H9:H29">
    <cfRule type="expression" dxfId="3" priority="3">
      <formula>H9="Não se aplica"</formula>
    </cfRule>
  </conditionalFormatting>
  <conditionalFormatting sqref="L9:L29">
    <cfRule type="expression" dxfId="3" priority="4">
      <formula>L9="Não se aplica"</formula>
    </cfRule>
  </conditionalFormatting>
  <conditionalFormatting sqref="L9:L29">
    <cfRule type="expression" dxfId="4" priority="5">
      <formula>L9="Só ocupadas"</formula>
    </cfRule>
  </conditionalFormatting>
  <conditionalFormatting sqref="D35:V54">
    <cfRule type="expression" dxfId="5" priority="6" stopIfTrue="1">
      <formula>$B35=""</formula>
    </cfRule>
  </conditionalFormatting>
  <conditionalFormatting sqref="D35:V54">
    <cfRule type="expression" dxfId="3" priority="7">
      <formula>D35="Não"</formula>
    </cfRule>
  </conditionalFormatting>
  <dataValidations count="17">
    <dataValidation type="custom" allowBlank="1" showInputMessage="1" showErrorMessage="1" promptTitle="Cliente" prompt="Nome igual ao usado na BD. Apague para liberar a vaga." errorTitle="Nome repetido" error="Este cliente já está cadastrado em outra vaga." sqref="B10:B29">
      <formula1>COUNTIF($B$9:$B$29,B10)=1</formula1>
    </dataValidation>
    <dataValidation type="list" allowBlank="1" showInputMessage="1" showErrorMessage="1" promptTitle="Depósito" prompt="JSL" errorTitle="Valor inválido" error="Escolha um valor da lista." sqref="C10:C29">
      <formula1>"JSL"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E9:E29">
      <formula1>Config!$Y$9:$Y$16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F9:F29">
      <formula1>Config!$Y$9:$Y$16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G9:G29">
      <formula1>Config!$Y$9:$Y$16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I9:I29">
      <formula1>Config!$Y$9:$Y$16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J9:J29">
      <formula1>Config!$Y$9:$Y$16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K9:K29">
      <formula1>Config!$Y$9:$Y$16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M9:M29">
      <formula1>Config!$Y$9:$Y$16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N9:N29">
      <formula1>Config!$Y$9:$Y$16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Q9:Q29">
      <formula1>Config!$Y$9:$Y$16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R9:R29">
      <formula1>Config!$Y$9:$Y$16</formula1>
    </dataValidation>
    <dataValidation type="list" allowBlank="1" showInputMessage="1" showErrorMessage="1" promptTitle="Card" prompt="Sim ou Não se aplica." errorTitle="Valor inválido" error="Escolha um valor da lista." sqref="D9:D29">
      <formula1>"Sim,Não se aplica"</formula1>
    </dataValidation>
    <dataValidation type="list" allowBlank="1" showInputMessage="1" showErrorMessage="1" promptTitle="Card" prompt="Sim ou Não se aplica." errorTitle="Valor inválido" error="Escolha um valor da lista." sqref="H9:H29">
      <formula1>"Sim,Não se aplica"</formula1>
    </dataValidation>
    <dataValidation type="list" allowBlank="1" showInputMessage="1" showErrorMessage="1" promptTitle="Card Ocupação" prompt="Completo, Só ocupadas (sem contratada e taxa) ou Não se aplica." errorTitle="Valor inválido" error="Escolha um valor da lista." sqref="L9:L29">
      <formula1>"Completo,Só ocupadas,Não se aplica"</formula1>
    </dataValidation>
    <dataValidation type="list" allowBlank="1" showInputMessage="1" showErrorMessage="1" promptTitle="Coluna na BD" prompt="Sim = o cliente preenche · Não = coluna bloqueada para o cliente." errorTitle="Valor inválido" error="Escolha um valor da lista." sqref="D35:V54">
      <formula1>"Sim,Não"</formula1>
    </dataValidation>
    <dataValidation type="decimal" operator="greaterThanOrEqual" allowBlank="1" showInputMessage="0" showErrorMessage="1" errorTitle="Valor inválido" error="Use 0 ou um número maior." sqref="C95:C97">
      <formula1>0</formula1>
    </dataValidation>
  </dataValidations>
  <pageMargins left="0.25" right="0.25" top="0.4" bottom="0.4" header="0.2" footer="0.2"/>
  <pageSetup paperSize="9" orientation="landscape" fitToWidth="1" fitToHeight="0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7F7F7F"/>
    <pageSetUpPr fitToPage="1"/>
  </sheetPr>
  <dimension ref="A1:AV300"/>
  <sheetViews>
    <sheetView showGridLines="0" zoomScale="100" zoomScaleNormal="100" workbookViewId="0">
      <pane xSplit="2" ySplit="11" topLeftCell="C12" activePane="bottomRight" state="frozen"/>
      <selection pane="bottomRight" activeCell="C12" sqref="C12"/>
    </sheetView>
  </sheetViews>
  <sheetFormatPr defaultRowHeight="15"/>
  <cols>
    <col min="1" max="1" width="26" customWidth="1"/>
    <col min="2" max="2" width="12" customWidth="1"/>
    <col min="3" max="3" width="10" customWidth="1"/>
    <col min="4" max="4" width="10" customWidth="1"/>
    <col min="5" max="5" width="10" customWidth="1"/>
    <col min="6" max="6" width="10" customWidth="1"/>
    <col min="7" max="7" width="10" customWidth="1"/>
    <col min="8" max="8" width="10" customWidth="1"/>
    <col min="9" max="9" width="10" customWidth="1"/>
    <col min="10" max="10" width="10" customWidth="1"/>
    <col min="11" max="11" width="10" customWidth="1"/>
    <col min="12" max="12" width="10" customWidth="1"/>
    <col min="13" max="13" width="10" customWidth="1"/>
    <col min="14" max="14" width="10" customWidth="1"/>
    <col min="15" max="15" width="10" customWidth="1"/>
    <col min="16" max="16" width="10" customWidth="1"/>
    <col min="17" max="17" width="10" customWidth="1"/>
    <col min="18" max="18" width="10" customWidth="1"/>
    <col min="19" max="19" width="10" customWidth="1"/>
    <col min="20" max="20" width="10" customWidth="1"/>
    <col min="21" max="21" width="10" customWidth="1"/>
    <col min="22" max="22" width="10" customWidth="1"/>
    <col min="23" max="23" width="10" customWidth="1"/>
    <col min="24" max="24" width="10" customWidth="1"/>
    <col min="38" max="38" width="20" customWidth="1"/>
    <col min="40" max="40" width="22" customWidth="1"/>
    <col min="41" max="41" width="12" customWidth="1"/>
    <col min="43" max="43" width="52" customWidth="1"/>
    <col min="46" max="46" width="14" customWidth="1"/>
    <col min="48" max="48" width="20" customWidth="1"/>
  </cols>
  <sheetData>
    <row r="1">
      <c r="A1" s="26" t="inlineStr">
        <is>
          <t xml:space="preserve">CÁLCULOS — base da aba Consol Mensal (mês e filtro da própria aba) · gerado automaticamente</t>
        </is>
      </c>
    </row>
    <row r="2">
      <c r="A2" s="27" t="inlineStr">
        <is>
          <t xml:space="preserve">Cliente selecionado</t>
        </is>
      </c>
      <c r="B2" s="27" t="str">
        <f>IF(OR('Consol Mensal'!$D$3="",'Consol Mensal'!$D$3="Todos"),"Todos",'Consol Mensal'!$D$3)</f>
        <v>Todos</v>
      </c>
      <c r="C2" s="28">
        <f>IF(LEFT($B$2,9)="Depósito ",2,1)</f>
        <v>1</v>
      </c>
      <c r="D2" s="29" t="str">
        <f>IF($C$2=2,MID($B$2,10,60),$B$2)</f>
        <v>Todos</v>
      </c>
      <c r="E2" s="29" t="str">
        <f>IFERROR(INDEX($AO$12:$AO$32,MATCH($B$2,$AN$12:$AN$32,0)),"")</f>
        <v>JSL</v>
      </c>
    </row>
    <row r="3">
      <c r="A3" s="27" t="inlineStr">
        <is>
          <t xml:space="preserve">Capacidade (posições)</t>
        </is>
      </c>
      <c r="B3" s="30">
        <f>SUM($AU$13:$AU$13)</f>
        <v>5872</v>
      </c>
      <c r="C3" s="31" t="inlineStr">
        <is>
          <t xml:space="preserve">soma dos depósitos (tabela de capacidade à direita, células amarelas)</t>
        </is>
      </c>
    </row>
    <row r="4">
      <c r="A4" s="31" t="inlineStr">
        <is>
          <t xml:space="preserve">Capacidade (repetida p/ fórmulas)</t>
        </is>
      </c>
      <c r="B4" s="32">
        <f>$B$3</f>
        <v>5872</v>
      </c>
    </row>
    <row r="5">
      <c r="A5" s="27" t="inlineStr">
        <is>
          <t xml:space="preserve">Faixa de atenção (ocupação)</t>
        </is>
      </c>
      <c r="B5" s="33">
        <f>N(Config!$C$96)</f>
        <v>0.7</v>
      </c>
      <c r="C5" s="31" t="inlineStr">
        <is>
          <t xml:space="preserve">parâmetros na aba Config</t>
        </is>
      </c>
    </row>
    <row r="6">
      <c r="A6" s="27" t="inlineStr">
        <is>
          <t xml:space="preserve">Faixa crítica (ocupação)</t>
        </is>
      </c>
      <c r="B6" s="33">
        <f>N(Config!$C$97)</f>
        <v>0.9</v>
      </c>
    </row>
    <row r="7">
      <c r="A7" s="27" t="inlineStr">
        <is>
          <t xml:space="preserve">Competência</t>
        </is>
      </c>
      <c r="B7" s="35" t="str">
        <f>INDEX({"Janeiro","Fevereiro","Março","Abril","Maio","Junho","Julho","Agosto","Setembro","Outubro","Novembro","Dezembro"},MONTH($C$7))&amp;"/"&amp;YEAR($C$7)</f>
        <v>Outubro/2026</v>
      </c>
      <c r="C7" s="34">
        <f>IF(ISNUMBER('Consol Mensal'!$V$1),DATE(YEAR('Consol Mensal'!$V$1),MONTH('Consol Mensal'!$V$1),1),IFERROR(DATE(VALUE(RIGHT(TRIM('Consol Mensal'!$V$1),4)),MATCH(TRIM(LEFT('Consol Mensal'!$V$1,FIND("·",'Consol Mensal'!$V$1)-1)),{"JANEIRO","FEVEREIRO","MARÇO","ABRIL","MAIO","JUNHO","JULHO","AGOSTO","SETEMBRO","OUTUBRO","NOVEMBRO","DEZEMBRO"},0),1),DATE(2026,10,1)))</f>
        <v>46296</v>
      </c>
      <c r="D7" s="34">
        <f>DATE(YEAR($C$7),MONTH($C$7)+1,0)</f>
        <v>46326</v>
      </c>
    </row>
    <row r="8">
      <c r="A8" s="27" t="inlineStr">
        <is>
          <t xml:space="preserve">Mês anterior (comparação)</t>
        </is>
      </c>
      <c r="B8" s="35" t="str">
        <f>INDEX({"Janeiro","Fevereiro","Março","Abril","Maio","Junho","Julho","Agosto","Setembro","Outubro","Novembro","Dezembro"},MONTH($C$8))&amp;"/"&amp;YEAR($C$8)</f>
        <v>Setembro/2026</v>
      </c>
      <c r="C8" s="34">
        <f>DATE(YEAR($C$7),MONTH($C$7)-1,1)</f>
        <v>46266</v>
      </c>
      <c r="D8" s="34">
        <f>IF($B$9=0,$C$8-1,$C$8+MIN($B$9,DAY($C$7-1))-1)</f>
        <v>46265</v>
      </c>
    </row>
    <row r="9">
      <c r="A9" s="27" t="inlineStr">
        <is>
          <t xml:space="preserve">Último dia com dado no mês</t>
        </is>
      </c>
      <c r="B9" s="36">
        <f>IF(COUNTIFS(BD!$A$3:$A$5001,"&gt;="&amp;$C$7,BD!$A$3:$A$5001,"&lt;="&amp;$D$7)=0,0,DAY(_xlfn.MAXIFS(BD!$A$3:$A$5001,BD!$A$3:$A$5001,"&gt;="&amp;$C$7,BD!$A$3:$A$5001,"&lt;="&amp;$D$7)))</f>
        <v>0</v>
      </c>
      <c r="C9" s="31" t="inlineStr">
        <is>
          <t xml:space="preserve">o mês anterior é comparado do dia 1 até este dia</t>
        </is>
      </c>
    </row>
    <row r="10">
      <c r="AM10" s="38" t="inlineStr">
        <is>
          <t xml:space="preserve">clientes</t>
        </is>
      </c>
      <c r="AN10" s="39">
        <f>MAX(1,$AP$32)</f>
        <v>5</v>
      </c>
    </row>
    <row r="11" ht="40" customHeight="1">
      <c r="A11" s="37" t="inlineStr">
        <is>
          <t xml:space="preserve">Dia</t>
        </is>
      </c>
      <c r="B11" s="37" t="inlineStr">
        <is>
          <t xml:space="preserve">Data</t>
        </is>
      </c>
      <c r="C11" s="37" t="inlineStr">
        <is>
          <t xml:space="preserve">IN Veículos Recebidos</t>
        </is>
      </c>
      <c r="D11" s="37" t="inlineStr">
        <is>
          <t xml:space="preserve">IN Pallets Movimentados</t>
        </is>
      </c>
      <c r="E11" s="37" t="inlineStr">
        <is>
          <t xml:space="preserve">IN Toneladas Movimentadas</t>
        </is>
      </c>
      <c r="F11" s="37" t="inlineStr">
        <is>
          <t xml:space="preserve">OUT Veículos Expedidos</t>
        </is>
      </c>
      <c r="G11" s="37" t="inlineStr">
        <is>
          <t xml:space="preserve">OUT Pallets Movimentados</t>
        </is>
      </c>
      <c r="H11" s="37" t="inlineStr">
        <is>
          <t xml:space="preserve">OUT Toneladas Movimentadas</t>
        </is>
      </c>
      <c r="I11" s="37" t="inlineStr">
        <is>
          <t xml:space="preserve">NC Incidentes</t>
        </is>
      </c>
      <c r="J11" s="37" t="inlineStr">
        <is>
          <t xml:space="preserve">NC No show</t>
        </is>
      </c>
      <c r="K11" s="37" t="inlineStr">
        <is>
          <t xml:space="preserve">NC Backlog</t>
        </is>
      </c>
      <c r="L11" s="37" t="inlineStr">
        <is>
          <t xml:space="preserve">OCUPAÇÃO (P.P) Posições Disponíveis</t>
        </is>
      </c>
      <c r="M11" s="37" t="inlineStr">
        <is>
          <t xml:space="preserve">OCUPAÇÃO (P.P) Posições Ocupadas</t>
        </is>
      </c>
      <c r="N11" s="37" t="inlineStr">
        <is>
          <t xml:space="preserve">OCUPAÇÃO (P.P) Taxa de Ocupação</t>
        </is>
      </c>
      <c r="O11" s="37" t="inlineStr">
        <is>
          <t xml:space="preserve">GENTE Efetivo Op.</t>
        </is>
      </c>
      <c r="P11" s="37" t="inlineStr">
        <is>
          <t xml:space="preserve">GENTE Falta</t>
        </is>
      </c>
      <c r="Q11" s="37" t="inlineStr">
        <is>
          <t xml:space="preserve">GENTE Folga</t>
        </is>
      </c>
      <c r="R11" s="37" t="inlineStr">
        <is>
          <t xml:space="preserve">GENTE Férias</t>
        </is>
      </c>
      <c r="S11" s="37" t="inlineStr">
        <is>
          <t xml:space="preserve">GENTE Desligamento</t>
        </is>
      </c>
      <c r="T11" s="37" t="inlineStr">
        <is>
          <t xml:space="preserve">GENTE Desvios Comportamentais</t>
        </is>
      </c>
      <c r="U11" s="37" t="inlineStr">
        <is>
          <t xml:space="preserve">GENTE Acidentes CAF</t>
        </is>
      </c>
      <c r="V11" s="37" t="inlineStr">
        <is>
          <t xml:space="preserve">GENTE Acidentes SAF</t>
        </is>
      </c>
      <c r="W11" s="37" t="inlineStr">
        <is>
          <t xml:space="preserve">Faixa atenção</t>
        </is>
      </c>
      <c r="X11" s="37" t="inlineStr">
        <is>
          <t xml:space="preserve">Faixa crítica</t>
        </is>
      </c>
      <c r="AL11" s="37" t="inlineStr">
        <is>
          <t xml:space="preserve">Meses (filtros das abas)</t>
        </is>
      </c>
      <c r="AN11" s="37" t="inlineStr">
        <is>
          <t xml:space="preserve">Filtro: depósito / cliente</t>
        </is>
      </c>
      <c r="AO11" s="37" t="inlineStr">
        <is>
          <t xml:space="preserve">Depósito</t>
        </is>
      </c>
      <c r="AP11" s="37" t="inlineStr">
        <is>
          <t xml:space="preserve">Nº (vagas)</t>
        </is>
      </c>
      <c r="AQ11" s="37" t="inlineStr">
        <is>
          <t xml:space="preserve">Títulos dos gráficos (seguem os filtros)</t>
        </is>
      </c>
    </row>
    <row r="12">
      <c r="A12" s="28">
        <v>1</v>
      </c>
      <c r="B12" s="46">
        <f>IF($A12&lt;=DAY($D$7),$C$7+$A12-1,"")</f>
        <v>46296</v>
      </c>
      <c r="C12" s="32">
        <f>IF($B12="","",IF($B$2="Todos",SUMIFS(BD!$C$3:$C$5001,BD!$A$3:$A$5001,$B12),SUMIFS(BD!$C$3:$C$5001,BD!$A$3:$A$5001,$B12,BD!$B$3:$B$5001,$D$2)))</f>
        <v>0</v>
      </c>
      <c r="D12" s="32">
        <f>IF($B12="","",IF($B$2="Todos",SUMIFS(BD!$D$3:$D$5001,BD!$A$3:$A$5001,$B12),SUMIFS(BD!$D$3:$D$5001,BD!$A$3:$A$5001,$B12,BD!$B$3:$B$5001,$D$2)))</f>
        <v>0</v>
      </c>
      <c r="E12" s="47">
        <f>IF($B12="","",IF($B$2="Todos",SUMIFS(BD!$E$3:$E$5001,BD!$A$3:$A$5001,$B12),SUMIFS(BD!$E$3:$E$5001,BD!$A$3:$A$5001,$B12,BD!$B$3:$B$5001,$D$2)))</f>
        <v>0</v>
      </c>
      <c r="F12" s="32">
        <f>IF($B12="","",IF($B$2="Todos",SUMIFS(BD!$F$3:$F$5001,BD!$A$3:$A$5001,$B12),SUMIFS(BD!$F$3:$F$5001,BD!$A$3:$A$5001,$B12,BD!$B$3:$B$5001,$D$2)))</f>
        <v>0</v>
      </c>
      <c r="G12" s="32">
        <f>IF($B12="","",IF($B$2="Todos",SUMIFS(BD!$G$3:$G$5001,BD!$A$3:$A$5001,$B12),SUMIFS(BD!$G$3:$G$5001,BD!$A$3:$A$5001,$B12,BD!$B$3:$B$5001,$D$2)))</f>
        <v>0</v>
      </c>
      <c r="H12" s="47">
        <f>IF($B12="","",IF($B$2="Todos",SUMIFS(BD!$H$3:$H$5001,BD!$A$3:$A$5001,$B12),SUMIFS(BD!$H$3:$H$5001,BD!$A$3:$A$5001,$B12,BD!$B$3:$B$5001,$D$2)))</f>
        <v>0</v>
      </c>
      <c r="I12" s="32">
        <f>IF($B12="","",IF($B$2="Todos",SUMIFS(BD!$I$3:$I$5001,BD!$A$3:$A$5001,$B12),SUMIFS(BD!$I$3:$I$5001,BD!$A$3:$A$5001,$B12,BD!$B$3:$B$5001,$D$2)))</f>
        <v>0</v>
      </c>
      <c r="J12" s="32">
        <f>IF($B12="","",IF($B$2="Todos",SUMIFS(BD!$J$3:$J$5001,BD!$A$3:$A$5001,$B12),SUMIFS(BD!$J$3:$J$5001,BD!$A$3:$A$5001,$B12,BD!$B$3:$B$5001,$D$2)))</f>
        <v>0</v>
      </c>
      <c r="K12" s="32" t="str">
        <f>IF($B$2="Todos",IF(COUNT($C$115:$V$115)=0,"",SUM($C$115:$V$115)),IFERROR(INDEX($C$115:$V$115,MATCH($D$2,$C$114:$V$114,0)),""))</f>
        <v/>
      </c>
      <c r="L12" s="48" t="str">
        <f>IF(M12="","",IF($B$2="Todos",IF($B$4&gt;0,$B$4,IF($B$2="Todos",IF(COUNT($C$185:$V$185)=0,"",SUM($C$185:$V$185)),IFERROR(INDEX($C$185:$V$185,MATCH($D$2,$C$184:$V$184,0)),""))),IFERROR(INDEX($C$185:$V$185,MATCH($D$2,$C$184:$V$184,0)),"")))</f>
        <v/>
      </c>
      <c r="M12" s="32" t="str">
        <f>IF($B$2="Todos",IF(COUNT($C$150:$V$150)=0,"",SUM($C$150:$V$150)),IFERROR(INDEX($C$150:$V$150,MATCH($D$2,$C$149:$V$149,0)),""))</f>
        <v/>
      </c>
      <c r="N12" s="49" t="str">
        <f>IF(AND(ISNUMBER(M12),ISNUMBER(L12)),IF(L12&gt;0,M12/L12,""),"")</f>
        <v/>
      </c>
      <c r="O12" s="32" t="str">
        <f>IF($B$2="Todos",IF(COUNT($C$220:$V$220)=0,"",SUM($C$220:$V$220)),IFERROR(INDEX($C$220:$V$220,MATCH($D$2,$C$219:$V$219,0)),""))</f>
        <v/>
      </c>
      <c r="P12" s="32">
        <f>IF($B12="","",IF($B$2="Todos",SUMIFS(BD!$O$3:$O$5001,BD!$A$3:$A$5001,$B12),SUMIFS(BD!$O$3:$O$5001,BD!$A$3:$A$5001,$B12,BD!$B$3:$B$5001,$D$2)))</f>
        <v>0</v>
      </c>
      <c r="Q12" s="32">
        <f>IF($B12="","",IF($B$2="Todos",SUMIFS(BD!$P$3:$P$5001,BD!$A$3:$A$5001,$B12),SUMIFS(BD!$P$3:$P$5001,BD!$A$3:$A$5001,$B12,BD!$B$3:$B$5001,$D$2)))</f>
        <v>0</v>
      </c>
      <c r="R12" s="32">
        <f>IF($B12="","",IF($B$2="Todos",SUMIFS(BD!$Q$3:$Q$5001,BD!$A$3:$A$5001,$B12),SUMIFS(BD!$Q$3:$Q$5001,BD!$A$3:$A$5001,$B12,BD!$B$3:$B$5001,$D$2)))</f>
        <v>0</v>
      </c>
      <c r="S12" s="32">
        <f>IF($B12="","",IF($B$2="Todos",SUMIFS(BD!$R$3:$R$5001,BD!$A$3:$A$5001,$B12),SUMIFS(BD!$R$3:$R$5001,BD!$A$3:$A$5001,$B12,BD!$B$3:$B$5001,$D$2)))</f>
        <v>0</v>
      </c>
      <c r="T12" s="32">
        <f>IF($B12="","",IF($B$2="Todos",SUMIFS(BD!$S$3:$S$5001,BD!$A$3:$A$5001,$B12),SUMIFS(BD!$S$3:$S$5001,BD!$A$3:$A$5001,$B12,BD!$B$3:$B$5001,$D$2)))</f>
        <v>0</v>
      </c>
      <c r="U12" s="32">
        <f>IF($B12="","",IF($B$2="Todos",SUMIFS(BD!$T$3:$T$5001,BD!$A$3:$A$5001,$B12),SUMIFS(BD!$T$3:$T$5001,BD!$A$3:$A$5001,$B12,BD!$B$3:$B$5001,$D$2)))</f>
        <v>0</v>
      </c>
      <c r="V12" s="32">
        <f>IF($B12="","",IF($B$2="Todos",SUMIFS(BD!$U$3:$U$5001,BD!$A$3:$A$5001,$B12),SUMIFS(BD!$U$3:$U$5001,BD!$A$3:$A$5001,$B12,BD!$B$3:$B$5001,$D$2)))</f>
        <v>0</v>
      </c>
      <c r="W12" s="50">
        <f>$B$5</f>
        <v>0.7</v>
      </c>
      <c r="X12" s="50">
        <f>$B$6</f>
        <v>0.9</v>
      </c>
      <c r="AL12" s="29" t="inlineStr">
        <is>
          <t xml:space="preserve">JANEIRO · 2026</t>
        </is>
      </c>
      <c r="AN12" s="29" t="inlineStr">
        <is>
          <t xml:space="preserve">Todos</t>
        </is>
      </c>
      <c r="AO12" s="28" t="inlineStr">
        <is>
          <t xml:space="preserve">JSL</t>
        </is>
      </c>
      <c r="AQ12" s="29" t="str">
        <f>"MOVIMENTAÇÃO FROTA/DIA — "&amp;IF($B$2="Todos","TODOS OS CLIENTES",UPPER($B$2))</f>
        <v>MOVIMENTAÇÃO FROTA/DIA — TODOS OS CLIENTES</v>
      </c>
      <c r="AT12" s="37" t="inlineStr">
        <is>
          <t xml:space="preserve">Capacidade por depósito</t>
        </is>
      </c>
      <c r="AU12" s="37" t="inlineStr">
        <is>
          <t xml:space="preserve">Posições</t>
        </is>
      </c>
    </row>
    <row r="13">
      <c r="A13" s="28">
        <v>2</v>
      </c>
      <c r="B13" s="46">
        <f>IF($A13&lt;=DAY($D$7),$C$7+$A13-1,"")</f>
        <v>46297</v>
      </c>
      <c r="C13" s="32">
        <f>IF($B13="","",IF($B$2="Todos",SUMIFS(BD!$C$3:$C$5001,BD!$A$3:$A$5001,$B13),SUMIFS(BD!$C$3:$C$5001,BD!$A$3:$A$5001,$B13,BD!$B$3:$B$5001,$D$2)))</f>
        <v>0</v>
      </c>
      <c r="D13" s="32">
        <f>IF($B13="","",IF($B$2="Todos",SUMIFS(BD!$D$3:$D$5001,BD!$A$3:$A$5001,$B13),SUMIFS(BD!$D$3:$D$5001,BD!$A$3:$A$5001,$B13,BD!$B$3:$B$5001,$D$2)))</f>
        <v>0</v>
      </c>
      <c r="E13" s="47">
        <f>IF($B13="","",IF($B$2="Todos",SUMIFS(BD!$E$3:$E$5001,BD!$A$3:$A$5001,$B13),SUMIFS(BD!$E$3:$E$5001,BD!$A$3:$A$5001,$B13,BD!$B$3:$B$5001,$D$2)))</f>
        <v>0</v>
      </c>
      <c r="F13" s="32">
        <f>IF($B13="","",IF($B$2="Todos",SUMIFS(BD!$F$3:$F$5001,BD!$A$3:$A$5001,$B13),SUMIFS(BD!$F$3:$F$5001,BD!$A$3:$A$5001,$B13,BD!$B$3:$B$5001,$D$2)))</f>
        <v>0</v>
      </c>
      <c r="G13" s="32">
        <f>IF($B13="","",IF($B$2="Todos",SUMIFS(BD!$G$3:$G$5001,BD!$A$3:$A$5001,$B13),SUMIFS(BD!$G$3:$G$5001,BD!$A$3:$A$5001,$B13,BD!$B$3:$B$5001,$D$2)))</f>
        <v>0</v>
      </c>
      <c r="H13" s="47">
        <f>IF($B13="","",IF($B$2="Todos",SUMIFS(BD!$H$3:$H$5001,BD!$A$3:$A$5001,$B13),SUMIFS(BD!$H$3:$H$5001,BD!$A$3:$A$5001,$B13,BD!$B$3:$B$5001,$D$2)))</f>
        <v>0</v>
      </c>
      <c r="I13" s="32">
        <f>IF($B13="","",IF($B$2="Todos",SUMIFS(BD!$I$3:$I$5001,BD!$A$3:$A$5001,$B13),SUMIFS(BD!$I$3:$I$5001,BD!$A$3:$A$5001,$B13,BD!$B$3:$B$5001,$D$2)))</f>
        <v>0</v>
      </c>
      <c r="J13" s="32">
        <f>IF($B13="","",IF($B$2="Todos",SUMIFS(BD!$J$3:$J$5001,BD!$A$3:$A$5001,$B13),SUMIFS(BD!$J$3:$J$5001,BD!$A$3:$A$5001,$B13,BD!$B$3:$B$5001,$D$2)))</f>
        <v>0</v>
      </c>
      <c r="K13" s="32" t="str">
        <f>IF($B$2="Todos",IF(COUNT($C$116:$V$116)=0,"",SUM($C$116:$V$116)),IFERROR(INDEX($C$116:$V$116,MATCH($D$2,$C$114:$V$114,0)),""))</f>
        <v/>
      </c>
      <c r="L13" s="48" t="str">
        <f>IF(M13="","",IF($B$2="Todos",IF($B$4&gt;0,$B$4,IF($B$2="Todos",IF(COUNT($C$186:$V$186)=0,"",SUM($C$186:$V$186)),IFERROR(INDEX($C$186:$V$186,MATCH($D$2,$C$184:$V$184,0)),""))),IFERROR(INDEX($C$186:$V$186,MATCH($D$2,$C$184:$V$184,0)),"")))</f>
        <v/>
      </c>
      <c r="M13" s="32" t="str">
        <f>IF($B$2="Todos",IF(COUNT($C$151:$V$151)=0,"",SUM($C$151:$V$151)),IFERROR(INDEX($C$151:$V$151,MATCH($D$2,$C$149:$V$149,0)),""))</f>
        <v/>
      </c>
      <c r="N13" s="49" t="str">
        <f>IF(AND(ISNUMBER(M13),ISNUMBER(L13)),IF(L13&gt;0,M13/L13,""),"")</f>
        <v/>
      </c>
      <c r="O13" s="32" t="str">
        <f>IF($B$2="Todos",IF(COUNT($C$221:$V$221)=0,"",SUM($C$221:$V$221)),IFERROR(INDEX($C$221:$V$221,MATCH($D$2,$C$219:$V$219,0)),""))</f>
        <v/>
      </c>
      <c r="P13" s="32">
        <f>IF($B13="","",IF($B$2="Todos",SUMIFS(BD!$O$3:$O$5001,BD!$A$3:$A$5001,$B13),SUMIFS(BD!$O$3:$O$5001,BD!$A$3:$A$5001,$B13,BD!$B$3:$B$5001,$D$2)))</f>
        <v>0</v>
      </c>
      <c r="Q13" s="32">
        <f>IF($B13="","",IF($B$2="Todos",SUMIFS(BD!$P$3:$P$5001,BD!$A$3:$A$5001,$B13),SUMIFS(BD!$P$3:$P$5001,BD!$A$3:$A$5001,$B13,BD!$B$3:$B$5001,$D$2)))</f>
        <v>0</v>
      </c>
      <c r="R13" s="32">
        <f>IF($B13="","",IF($B$2="Todos",SUMIFS(BD!$Q$3:$Q$5001,BD!$A$3:$A$5001,$B13),SUMIFS(BD!$Q$3:$Q$5001,BD!$A$3:$A$5001,$B13,BD!$B$3:$B$5001,$D$2)))</f>
        <v>0</v>
      </c>
      <c r="S13" s="32">
        <f>IF($B13="","",IF($B$2="Todos",SUMIFS(BD!$R$3:$R$5001,BD!$A$3:$A$5001,$B13),SUMIFS(BD!$R$3:$R$5001,BD!$A$3:$A$5001,$B13,BD!$B$3:$B$5001,$D$2)))</f>
        <v>0</v>
      </c>
      <c r="T13" s="32">
        <f>IF($B13="","",IF($B$2="Todos",SUMIFS(BD!$S$3:$S$5001,BD!$A$3:$A$5001,$B13),SUMIFS(BD!$S$3:$S$5001,BD!$A$3:$A$5001,$B13,BD!$B$3:$B$5001,$D$2)))</f>
        <v>0</v>
      </c>
      <c r="U13" s="32">
        <f>IF($B13="","",IF($B$2="Todos",SUMIFS(BD!$T$3:$T$5001,BD!$A$3:$A$5001,$B13),SUMIFS(BD!$T$3:$T$5001,BD!$A$3:$A$5001,$B13,BD!$B$3:$B$5001,$D$2)))</f>
        <v>0</v>
      </c>
      <c r="V13" s="32">
        <f>IF($B13="","",IF($B$2="Todos",SUMIFS(BD!$U$3:$U$5001,BD!$A$3:$A$5001,$B13),SUMIFS(BD!$U$3:$U$5001,BD!$A$3:$A$5001,$B13,BD!$B$3:$B$5001,$D$2)))</f>
        <v>0</v>
      </c>
      <c r="W13" s="50">
        <f>$B$5</f>
        <v>0.7</v>
      </c>
      <c r="X13" s="50">
        <f>$B$6</f>
        <v>0.9</v>
      </c>
      <c r="AL13" s="29" t="inlineStr">
        <is>
          <t xml:space="preserve">FEVEREIRO · 2026</t>
        </is>
      </c>
      <c r="AN13" s="29" t="str">
        <f>IFERROR(INDEX(Config!$B$10:$B$29,MATCH(1,$AP$13:$AP$32,0))&amp;"","")</f>
        <v>Barry Callebaut</v>
      </c>
      <c r="AO13" s="28" t="str">
        <f>IF(AN13="","",IF(INDEX(Config!$C$10:$C$29,MATCH(1,$AP$13:$AP$32,0))&amp;""="","JSL",INDEX(Config!$C$10:$C$29,MATCH(1,$AP$13:$AP$32,0))&amp;""))</f>
        <v>JSL</v>
      </c>
      <c r="AP13" s="38">
        <f>IF(Config!$B$10&amp;""="",0,0+1)</f>
        <v>1</v>
      </c>
      <c r="AQ13" s="29" t="str">
        <f>"OCUPAÇÃO DIÁRIA — "&amp;IF($B$2="Todos","TODOS OS CLIENTES",UPPER($B$2))</f>
        <v>OCUPAÇÃO DIÁRIA — TODOS OS CLIENTES</v>
      </c>
      <c r="AT13" s="40" t="inlineStr">
        <is>
          <t xml:space="preserve">JSL</t>
        </is>
      </c>
      <c r="AU13" s="41">
        <f>N(Config!$C$95)</f>
        <v>5872</v>
      </c>
      <c r="AV13" s="31" t="inlineStr">
        <is>
          <t xml:space="preserve">aba Config</t>
        </is>
      </c>
    </row>
    <row r="14">
      <c r="A14" s="28">
        <v>3</v>
      </c>
      <c r="B14" s="46">
        <f>IF($A14&lt;=DAY($D$7),$C$7+$A14-1,"")</f>
        <v>46298</v>
      </c>
      <c r="C14" s="32">
        <f>IF($B14="","",IF($B$2="Todos",SUMIFS(BD!$C$3:$C$5001,BD!$A$3:$A$5001,$B14),SUMIFS(BD!$C$3:$C$5001,BD!$A$3:$A$5001,$B14,BD!$B$3:$B$5001,$D$2)))</f>
        <v>0</v>
      </c>
      <c r="D14" s="32">
        <f>IF($B14="","",IF($B$2="Todos",SUMIFS(BD!$D$3:$D$5001,BD!$A$3:$A$5001,$B14),SUMIFS(BD!$D$3:$D$5001,BD!$A$3:$A$5001,$B14,BD!$B$3:$B$5001,$D$2)))</f>
        <v>0</v>
      </c>
      <c r="E14" s="47">
        <f>IF($B14="","",IF($B$2="Todos",SUMIFS(BD!$E$3:$E$5001,BD!$A$3:$A$5001,$B14),SUMIFS(BD!$E$3:$E$5001,BD!$A$3:$A$5001,$B14,BD!$B$3:$B$5001,$D$2)))</f>
        <v>0</v>
      </c>
      <c r="F14" s="32">
        <f>IF($B14="","",IF($B$2="Todos",SUMIFS(BD!$F$3:$F$5001,BD!$A$3:$A$5001,$B14),SUMIFS(BD!$F$3:$F$5001,BD!$A$3:$A$5001,$B14,BD!$B$3:$B$5001,$D$2)))</f>
        <v>0</v>
      </c>
      <c r="G14" s="32">
        <f>IF($B14="","",IF($B$2="Todos",SUMIFS(BD!$G$3:$G$5001,BD!$A$3:$A$5001,$B14),SUMIFS(BD!$G$3:$G$5001,BD!$A$3:$A$5001,$B14,BD!$B$3:$B$5001,$D$2)))</f>
        <v>0</v>
      </c>
      <c r="H14" s="47">
        <f>IF($B14="","",IF($B$2="Todos",SUMIFS(BD!$H$3:$H$5001,BD!$A$3:$A$5001,$B14),SUMIFS(BD!$H$3:$H$5001,BD!$A$3:$A$5001,$B14,BD!$B$3:$B$5001,$D$2)))</f>
        <v>0</v>
      </c>
      <c r="I14" s="32">
        <f>IF($B14="","",IF($B$2="Todos",SUMIFS(BD!$I$3:$I$5001,BD!$A$3:$A$5001,$B14),SUMIFS(BD!$I$3:$I$5001,BD!$A$3:$A$5001,$B14,BD!$B$3:$B$5001,$D$2)))</f>
        <v>0</v>
      </c>
      <c r="J14" s="32">
        <f>IF($B14="","",IF($B$2="Todos",SUMIFS(BD!$J$3:$J$5001,BD!$A$3:$A$5001,$B14),SUMIFS(BD!$J$3:$J$5001,BD!$A$3:$A$5001,$B14,BD!$B$3:$B$5001,$D$2)))</f>
        <v>0</v>
      </c>
      <c r="K14" s="32" t="str">
        <f>IF($B$2="Todos",IF(COUNT($C$117:$V$117)=0,"",SUM($C$117:$V$117)),IFERROR(INDEX($C$117:$V$117,MATCH($D$2,$C$114:$V$114,0)),""))</f>
        <v/>
      </c>
      <c r="L14" s="48" t="str">
        <f>IF(M14="","",IF($B$2="Todos",IF($B$4&gt;0,$B$4,IF($B$2="Todos",IF(COUNT($C$187:$V$187)=0,"",SUM($C$187:$V$187)),IFERROR(INDEX($C$187:$V$187,MATCH($D$2,$C$184:$V$184,0)),""))),IFERROR(INDEX($C$187:$V$187,MATCH($D$2,$C$184:$V$184,0)),"")))</f>
        <v/>
      </c>
      <c r="M14" s="32" t="str">
        <f>IF($B$2="Todos",IF(COUNT($C$152:$V$152)=0,"",SUM($C$152:$V$152)),IFERROR(INDEX($C$152:$V$152,MATCH($D$2,$C$149:$V$149,0)),""))</f>
        <v/>
      </c>
      <c r="N14" s="49" t="str">
        <f>IF(AND(ISNUMBER(M14),ISNUMBER(L14)),IF(L14&gt;0,M14/L14,""),"")</f>
        <v/>
      </c>
      <c r="O14" s="32" t="str">
        <f>IF($B$2="Todos",IF(COUNT($C$222:$V$222)=0,"",SUM($C$222:$V$222)),IFERROR(INDEX($C$222:$V$222,MATCH($D$2,$C$219:$V$219,0)),""))</f>
        <v/>
      </c>
      <c r="P14" s="32">
        <f>IF($B14="","",IF($B$2="Todos",SUMIFS(BD!$O$3:$O$5001,BD!$A$3:$A$5001,$B14),SUMIFS(BD!$O$3:$O$5001,BD!$A$3:$A$5001,$B14,BD!$B$3:$B$5001,$D$2)))</f>
        <v>0</v>
      </c>
      <c r="Q14" s="32">
        <f>IF($B14="","",IF($B$2="Todos",SUMIFS(BD!$P$3:$P$5001,BD!$A$3:$A$5001,$B14),SUMIFS(BD!$P$3:$P$5001,BD!$A$3:$A$5001,$B14,BD!$B$3:$B$5001,$D$2)))</f>
        <v>0</v>
      </c>
      <c r="R14" s="32">
        <f>IF($B14="","",IF($B$2="Todos",SUMIFS(BD!$Q$3:$Q$5001,BD!$A$3:$A$5001,$B14),SUMIFS(BD!$Q$3:$Q$5001,BD!$A$3:$A$5001,$B14,BD!$B$3:$B$5001,$D$2)))</f>
        <v>0</v>
      </c>
      <c r="S14" s="32">
        <f>IF($B14="","",IF($B$2="Todos",SUMIFS(BD!$R$3:$R$5001,BD!$A$3:$A$5001,$B14),SUMIFS(BD!$R$3:$R$5001,BD!$A$3:$A$5001,$B14,BD!$B$3:$B$5001,$D$2)))</f>
        <v>0</v>
      </c>
      <c r="T14" s="32">
        <f>IF($B14="","",IF($B$2="Todos",SUMIFS(BD!$S$3:$S$5001,BD!$A$3:$A$5001,$B14),SUMIFS(BD!$S$3:$S$5001,BD!$A$3:$A$5001,$B14,BD!$B$3:$B$5001,$D$2)))</f>
        <v>0</v>
      </c>
      <c r="U14" s="32">
        <f>IF($B14="","",IF($B$2="Todos",SUMIFS(BD!$T$3:$T$5001,BD!$A$3:$A$5001,$B14),SUMIFS(BD!$T$3:$T$5001,BD!$A$3:$A$5001,$B14,BD!$B$3:$B$5001,$D$2)))</f>
        <v>0</v>
      </c>
      <c r="V14" s="32">
        <f>IF($B14="","",IF($B$2="Todos",SUMIFS(BD!$U$3:$U$5001,BD!$A$3:$A$5001,$B14),SUMIFS(BD!$U$3:$U$5001,BD!$A$3:$A$5001,$B14,BD!$B$3:$B$5001,$D$2)))</f>
        <v>0</v>
      </c>
      <c r="W14" s="50">
        <f>$B$5</f>
        <v>0.7</v>
      </c>
      <c r="X14" s="50">
        <f>$B$6</f>
        <v>0.9</v>
      </c>
      <c r="AL14" s="29" t="inlineStr">
        <is>
          <t xml:space="preserve">MARÇO · 2026</t>
        </is>
      </c>
      <c r="AN14" s="29" t="str">
        <f>IFERROR(INDEX(Config!$B$10:$B$29,MATCH(2,$AP$13:$AP$32,0))&amp;"","")</f>
        <v>GM</v>
      </c>
      <c r="AO14" s="28" t="str">
        <f>IF(AN14="","",IF(INDEX(Config!$C$10:$C$29,MATCH(2,$AP$13:$AP$32,0))&amp;""="","JSL",INDEX(Config!$C$10:$C$29,MATCH(2,$AP$13:$AP$32,0))&amp;""))</f>
        <v>JSL</v>
      </c>
      <c r="AP14" s="38">
        <f>IF(Config!$B$11&amp;""="",AP13,AP13+1)</f>
        <v>2</v>
      </c>
      <c r="AQ14" s="29" t="str">
        <f>"MOVIMENTAÇÃO PALETES/DIA — "&amp;IF($B$2="Todos","TODOS OS CLIENTES",UPPER($B$2))</f>
        <v>MOVIMENTAÇÃO PALETES/DIA — TODOS OS CLIENTES</v>
      </c>
    </row>
    <row r="15">
      <c r="A15" s="28">
        <v>4</v>
      </c>
      <c r="B15" s="46">
        <f>IF($A15&lt;=DAY($D$7),$C$7+$A15-1,"")</f>
        <v>46299</v>
      </c>
      <c r="C15" s="32">
        <f>IF($B15="","",IF($B$2="Todos",SUMIFS(BD!$C$3:$C$5001,BD!$A$3:$A$5001,$B15),SUMIFS(BD!$C$3:$C$5001,BD!$A$3:$A$5001,$B15,BD!$B$3:$B$5001,$D$2)))</f>
        <v>0</v>
      </c>
      <c r="D15" s="32">
        <f>IF($B15="","",IF($B$2="Todos",SUMIFS(BD!$D$3:$D$5001,BD!$A$3:$A$5001,$B15),SUMIFS(BD!$D$3:$D$5001,BD!$A$3:$A$5001,$B15,BD!$B$3:$B$5001,$D$2)))</f>
        <v>0</v>
      </c>
      <c r="E15" s="47">
        <f>IF($B15="","",IF($B$2="Todos",SUMIFS(BD!$E$3:$E$5001,BD!$A$3:$A$5001,$B15),SUMIFS(BD!$E$3:$E$5001,BD!$A$3:$A$5001,$B15,BD!$B$3:$B$5001,$D$2)))</f>
        <v>0</v>
      </c>
      <c r="F15" s="32">
        <f>IF($B15="","",IF($B$2="Todos",SUMIFS(BD!$F$3:$F$5001,BD!$A$3:$A$5001,$B15),SUMIFS(BD!$F$3:$F$5001,BD!$A$3:$A$5001,$B15,BD!$B$3:$B$5001,$D$2)))</f>
        <v>0</v>
      </c>
      <c r="G15" s="32">
        <f>IF($B15="","",IF($B$2="Todos",SUMIFS(BD!$G$3:$G$5001,BD!$A$3:$A$5001,$B15),SUMIFS(BD!$G$3:$G$5001,BD!$A$3:$A$5001,$B15,BD!$B$3:$B$5001,$D$2)))</f>
        <v>0</v>
      </c>
      <c r="H15" s="47">
        <f>IF($B15="","",IF($B$2="Todos",SUMIFS(BD!$H$3:$H$5001,BD!$A$3:$A$5001,$B15),SUMIFS(BD!$H$3:$H$5001,BD!$A$3:$A$5001,$B15,BD!$B$3:$B$5001,$D$2)))</f>
        <v>0</v>
      </c>
      <c r="I15" s="32">
        <f>IF($B15="","",IF($B$2="Todos",SUMIFS(BD!$I$3:$I$5001,BD!$A$3:$A$5001,$B15),SUMIFS(BD!$I$3:$I$5001,BD!$A$3:$A$5001,$B15,BD!$B$3:$B$5001,$D$2)))</f>
        <v>0</v>
      </c>
      <c r="J15" s="32">
        <f>IF($B15="","",IF($B$2="Todos",SUMIFS(BD!$J$3:$J$5001,BD!$A$3:$A$5001,$B15),SUMIFS(BD!$J$3:$J$5001,BD!$A$3:$A$5001,$B15,BD!$B$3:$B$5001,$D$2)))</f>
        <v>0</v>
      </c>
      <c r="K15" s="32" t="str">
        <f>IF($B$2="Todos",IF(COUNT($C$118:$V$118)=0,"",SUM($C$118:$V$118)),IFERROR(INDEX($C$118:$V$118,MATCH($D$2,$C$114:$V$114,0)),""))</f>
        <v/>
      </c>
      <c r="L15" s="48" t="str">
        <f>IF(M15="","",IF($B$2="Todos",IF($B$4&gt;0,$B$4,IF($B$2="Todos",IF(COUNT($C$188:$V$188)=0,"",SUM($C$188:$V$188)),IFERROR(INDEX($C$188:$V$188,MATCH($D$2,$C$184:$V$184,0)),""))),IFERROR(INDEX($C$188:$V$188,MATCH($D$2,$C$184:$V$184,0)),"")))</f>
        <v/>
      </c>
      <c r="M15" s="32" t="str">
        <f>IF($B$2="Todos",IF(COUNT($C$153:$V$153)=0,"",SUM($C$153:$V$153)),IFERROR(INDEX($C$153:$V$153,MATCH($D$2,$C$149:$V$149,0)),""))</f>
        <v/>
      </c>
      <c r="N15" s="49" t="str">
        <f>IF(AND(ISNUMBER(M15),ISNUMBER(L15)),IF(L15&gt;0,M15/L15,""),"")</f>
        <v/>
      </c>
      <c r="O15" s="32" t="str">
        <f>IF($B$2="Todos",IF(COUNT($C$223:$V$223)=0,"",SUM($C$223:$V$223)),IFERROR(INDEX($C$223:$V$223,MATCH($D$2,$C$219:$V$219,0)),""))</f>
        <v/>
      </c>
      <c r="P15" s="32">
        <f>IF($B15="","",IF($B$2="Todos",SUMIFS(BD!$O$3:$O$5001,BD!$A$3:$A$5001,$B15),SUMIFS(BD!$O$3:$O$5001,BD!$A$3:$A$5001,$B15,BD!$B$3:$B$5001,$D$2)))</f>
        <v>0</v>
      </c>
      <c r="Q15" s="32">
        <f>IF($B15="","",IF($B$2="Todos",SUMIFS(BD!$P$3:$P$5001,BD!$A$3:$A$5001,$B15),SUMIFS(BD!$P$3:$P$5001,BD!$A$3:$A$5001,$B15,BD!$B$3:$B$5001,$D$2)))</f>
        <v>0</v>
      </c>
      <c r="R15" s="32">
        <f>IF($B15="","",IF($B$2="Todos",SUMIFS(BD!$Q$3:$Q$5001,BD!$A$3:$A$5001,$B15),SUMIFS(BD!$Q$3:$Q$5001,BD!$A$3:$A$5001,$B15,BD!$B$3:$B$5001,$D$2)))</f>
        <v>0</v>
      </c>
      <c r="S15" s="32">
        <f>IF($B15="","",IF($B$2="Todos",SUMIFS(BD!$R$3:$R$5001,BD!$A$3:$A$5001,$B15),SUMIFS(BD!$R$3:$R$5001,BD!$A$3:$A$5001,$B15,BD!$B$3:$B$5001,$D$2)))</f>
        <v>0</v>
      </c>
      <c r="T15" s="32">
        <f>IF($B15="","",IF($B$2="Todos",SUMIFS(BD!$S$3:$S$5001,BD!$A$3:$A$5001,$B15),SUMIFS(BD!$S$3:$S$5001,BD!$A$3:$A$5001,$B15,BD!$B$3:$B$5001,$D$2)))</f>
        <v>0</v>
      </c>
      <c r="U15" s="32">
        <f>IF($B15="","",IF($B$2="Todos",SUMIFS(BD!$T$3:$T$5001,BD!$A$3:$A$5001,$B15),SUMIFS(BD!$T$3:$T$5001,BD!$A$3:$A$5001,$B15,BD!$B$3:$B$5001,$D$2)))</f>
        <v>0</v>
      </c>
      <c r="V15" s="32">
        <f>IF($B15="","",IF($B$2="Todos",SUMIFS(BD!$U$3:$U$5001,BD!$A$3:$A$5001,$B15),SUMIFS(BD!$U$3:$U$5001,BD!$A$3:$A$5001,$B15,BD!$B$3:$B$5001,$D$2)))</f>
        <v>0</v>
      </c>
      <c r="W15" s="50">
        <f>$B$5</f>
        <v>0.7</v>
      </c>
      <c r="X15" s="50">
        <f>$B$6</f>
        <v>0.9</v>
      </c>
      <c r="AL15" s="29" t="inlineStr">
        <is>
          <t xml:space="preserve">ABRIL · 2026</t>
        </is>
      </c>
      <c r="AN15" s="29" t="str">
        <f>IFERROR(INDEX(Config!$B$10:$B$29,MATCH(3,$AP$13:$AP$32,0))&amp;"","")</f>
        <v>Mondelez</v>
      </c>
      <c r="AO15" s="28" t="str">
        <f>IF(AN15="","",IF(INDEX(Config!$C$10:$C$29,MATCH(3,$AP$13:$AP$32,0))&amp;""="","JSL",INDEX(Config!$C$10:$C$29,MATCH(3,$AP$13:$AP$32,0))&amp;""))</f>
        <v>JSL</v>
      </c>
      <c r="AP15" s="38">
        <f>IF(Config!$B$12&amp;""="",AP14,AP14+1)</f>
        <v>3</v>
      </c>
      <c r="AQ15" s="29" t="str">
        <f>"MOVIMENTAÇÃO TONS/DIA — "&amp;IF($B$2="Todos","TODOS OS CLIENTES",UPPER($B$2))</f>
        <v>MOVIMENTAÇÃO TONS/DIA — TODOS OS CLIENTES</v>
      </c>
    </row>
    <row r="16">
      <c r="A16" s="28">
        <v>5</v>
      </c>
      <c r="B16" s="46">
        <f>IF($A16&lt;=DAY($D$7),$C$7+$A16-1,"")</f>
        <v>46300</v>
      </c>
      <c r="C16" s="32">
        <f>IF($B16="","",IF($B$2="Todos",SUMIFS(BD!$C$3:$C$5001,BD!$A$3:$A$5001,$B16),SUMIFS(BD!$C$3:$C$5001,BD!$A$3:$A$5001,$B16,BD!$B$3:$B$5001,$D$2)))</f>
        <v>0</v>
      </c>
      <c r="D16" s="32">
        <f>IF($B16="","",IF($B$2="Todos",SUMIFS(BD!$D$3:$D$5001,BD!$A$3:$A$5001,$B16),SUMIFS(BD!$D$3:$D$5001,BD!$A$3:$A$5001,$B16,BD!$B$3:$B$5001,$D$2)))</f>
        <v>0</v>
      </c>
      <c r="E16" s="47">
        <f>IF($B16="","",IF($B$2="Todos",SUMIFS(BD!$E$3:$E$5001,BD!$A$3:$A$5001,$B16),SUMIFS(BD!$E$3:$E$5001,BD!$A$3:$A$5001,$B16,BD!$B$3:$B$5001,$D$2)))</f>
        <v>0</v>
      </c>
      <c r="F16" s="32">
        <f>IF($B16="","",IF($B$2="Todos",SUMIFS(BD!$F$3:$F$5001,BD!$A$3:$A$5001,$B16),SUMIFS(BD!$F$3:$F$5001,BD!$A$3:$A$5001,$B16,BD!$B$3:$B$5001,$D$2)))</f>
        <v>0</v>
      </c>
      <c r="G16" s="32">
        <f>IF($B16="","",IF($B$2="Todos",SUMIFS(BD!$G$3:$G$5001,BD!$A$3:$A$5001,$B16),SUMIFS(BD!$G$3:$G$5001,BD!$A$3:$A$5001,$B16,BD!$B$3:$B$5001,$D$2)))</f>
        <v>0</v>
      </c>
      <c r="H16" s="47">
        <f>IF($B16="","",IF($B$2="Todos",SUMIFS(BD!$H$3:$H$5001,BD!$A$3:$A$5001,$B16),SUMIFS(BD!$H$3:$H$5001,BD!$A$3:$A$5001,$B16,BD!$B$3:$B$5001,$D$2)))</f>
        <v>0</v>
      </c>
      <c r="I16" s="32">
        <f>IF($B16="","",IF($B$2="Todos",SUMIFS(BD!$I$3:$I$5001,BD!$A$3:$A$5001,$B16),SUMIFS(BD!$I$3:$I$5001,BD!$A$3:$A$5001,$B16,BD!$B$3:$B$5001,$D$2)))</f>
        <v>0</v>
      </c>
      <c r="J16" s="32">
        <f>IF($B16="","",IF($B$2="Todos",SUMIFS(BD!$J$3:$J$5001,BD!$A$3:$A$5001,$B16),SUMIFS(BD!$J$3:$J$5001,BD!$A$3:$A$5001,$B16,BD!$B$3:$B$5001,$D$2)))</f>
        <v>0</v>
      </c>
      <c r="K16" s="32" t="str">
        <f>IF($B$2="Todos",IF(COUNT($C$119:$V$119)=0,"",SUM($C$119:$V$119)),IFERROR(INDEX($C$119:$V$119,MATCH($D$2,$C$114:$V$114,0)),""))</f>
        <v/>
      </c>
      <c r="L16" s="48" t="str">
        <f>IF(M16="","",IF($B$2="Todos",IF($B$4&gt;0,$B$4,IF($B$2="Todos",IF(COUNT($C$189:$V$189)=0,"",SUM($C$189:$V$189)),IFERROR(INDEX($C$189:$V$189,MATCH($D$2,$C$184:$V$184,0)),""))),IFERROR(INDEX($C$189:$V$189,MATCH($D$2,$C$184:$V$184,0)),"")))</f>
        <v/>
      </c>
      <c r="M16" s="32" t="str">
        <f>IF($B$2="Todos",IF(COUNT($C$154:$V$154)=0,"",SUM($C$154:$V$154)),IFERROR(INDEX($C$154:$V$154,MATCH($D$2,$C$149:$V$149,0)),""))</f>
        <v/>
      </c>
      <c r="N16" s="49" t="str">
        <f>IF(AND(ISNUMBER(M16),ISNUMBER(L16)),IF(L16&gt;0,M16/L16,""),"")</f>
        <v/>
      </c>
      <c r="O16" s="32" t="str">
        <f>IF($B$2="Todos",IF(COUNT($C$224:$V$224)=0,"",SUM($C$224:$V$224)),IFERROR(INDEX($C$224:$V$224,MATCH($D$2,$C$219:$V$219,0)),""))</f>
        <v/>
      </c>
      <c r="P16" s="32">
        <f>IF($B16="","",IF($B$2="Todos",SUMIFS(BD!$O$3:$O$5001,BD!$A$3:$A$5001,$B16),SUMIFS(BD!$O$3:$O$5001,BD!$A$3:$A$5001,$B16,BD!$B$3:$B$5001,$D$2)))</f>
        <v>0</v>
      </c>
      <c r="Q16" s="32">
        <f>IF($B16="","",IF($B$2="Todos",SUMIFS(BD!$P$3:$P$5001,BD!$A$3:$A$5001,$B16),SUMIFS(BD!$P$3:$P$5001,BD!$A$3:$A$5001,$B16,BD!$B$3:$B$5001,$D$2)))</f>
        <v>0</v>
      </c>
      <c r="R16" s="32">
        <f>IF($B16="","",IF($B$2="Todos",SUMIFS(BD!$Q$3:$Q$5001,BD!$A$3:$A$5001,$B16),SUMIFS(BD!$Q$3:$Q$5001,BD!$A$3:$A$5001,$B16,BD!$B$3:$B$5001,$D$2)))</f>
        <v>0</v>
      </c>
      <c r="S16" s="32">
        <f>IF($B16="","",IF($B$2="Todos",SUMIFS(BD!$R$3:$R$5001,BD!$A$3:$A$5001,$B16),SUMIFS(BD!$R$3:$R$5001,BD!$A$3:$A$5001,$B16,BD!$B$3:$B$5001,$D$2)))</f>
        <v>0</v>
      </c>
      <c r="T16" s="32">
        <f>IF($B16="","",IF($B$2="Todos",SUMIFS(BD!$S$3:$S$5001,BD!$A$3:$A$5001,$B16),SUMIFS(BD!$S$3:$S$5001,BD!$A$3:$A$5001,$B16,BD!$B$3:$B$5001,$D$2)))</f>
        <v>0</v>
      </c>
      <c r="U16" s="32">
        <f>IF($B16="","",IF($B$2="Todos",SUMIFS(BD!$T$3:$T$5001,BD!$A$3:$A$5001,$B16),SUMIFS(BD!$T$3:$T$5001,BD!$A$3:$A$5001,$B16,BD!$B$3:$B$5001,$D$2)))</f>
        <v>0</v>
      </c>
      <c r="V16" s="32">
        <f>IF($B16="","",IF($B$2="Todos",SUMIFS(BD!$U$3:$U$5001,BD!$A$3:$A$5001,$B16),SUMIFS(BD!$U$3:$U$5001,BD!$A$3:$A$5001,$B16,BD!$B$3:$B$5001,$D$2)))</f>
        <v>0</v>
      </c>
      <c r="W16" s="50">
        <f>$B$5</f>
        <v>0.7</v>
      </c>
      <c r="X16" s="50">
        <f>$B$6</f>
        <v>0.9</v>
      </c>
      <c r="AL16" s="29" t="inlineStr">
        <is>
          <t xml:space="preserve">MAIO · 2026</t>
        </is>
      </c>
      <c r="AN16" s="29" t="str">
        <f>IFERROR(INDEX(Config!$B$10:$B$29,MATCH(4,$AP$13:$AP$32,0))&amp;"","")</f>
        <v>Nestlé</v>
      </c>
      <c r="AO16" s="28" t="str">
        <f>IF(AN16="","",IF(INDEX(Config!$C$10:$C$29,MATCH(4,$AP$13:$AP$32,0))&amp;""="","JSL",INDEX(Config!$C$10:$C$29,MATCH(4,$AP$13:$AP$32,0))&amp;""))</f>
        <v>JSL</v>
      </c>
      <c r="AP16" s="38">
        <f>IF(Config!$B$13&amp;""="",AP15,AP15+1)</f>
        <v>4</v>
      </c>
      <c r="AQ16" s="29" t="str">
        <f>"ACUMULADO SEMANAL PALETES — "&amp;IF($B$2="Todos","TODOS OS CLIENTES",UPPER($B$2))</f>
        <v>ACUMULADO SEMANAL PALETES — TODOS OS CLIENTES</v>
      </c>
    </row>
    <row r="17">
      <c r="A17" s="28">
        <v>6</v>
      </c>
      <c r="B17" s="46">
        <f>IF($A17&lt;=DAY($D$7),$C$7+$A17-1,"")</f>
        <v>46301</v>
      </c>
      <c r="C17" s="32">
        <f>IF($B17="","",IF($B$2="Todos",SUMIFS(BD!$C$3:$C$5001,BD!$A$3:$A$5001,$B17),SUMIFS(BD!$C$3:$C$5001,BD!$A$3:$A$5001,$B17,BD!$B$3:$B$5001,$D$2)))</f>
        <v>0</v>
      </c>
      <c r="D17" s="32">
        <f>IF($B17="","",IF($B$2="Todos",SUMIFS(BD!$D$3:$D$5001,BD!$A$3:$A$5001,$B17),SUMIFS(BD!$D$3:$D$5001,BD!$A$3:$A$5001,$B17,BD!$B$3:$B$5001,$D$2)))</f>
        <v>0</v>
      </c>
      <c r="E17" s="47">
        <f>IF($B17="","",IF($B$2="Todos",SUMIFS(BD!$E$3:$E$5001,BD!$A$3:$A$5001,$B17),SUMIFS(BD!$E$3:$E$5001,BD!$A$3:$A$5001,$B17,BD!$B$3:$B$5001,$D$2)))</f>
        <v>0</v>
      </c>
      <c r="F17" s="32">
        <f>IF($B17="","",IF($B$2="Todos",SUMIFS(BD!$F$3:$F$5001,BD!$A$3:$A$5001,$B17),SUMIFS(BD!$F$3:$F$5001,BD!$A$3:$A$5001,$B17,BD!$B$3:$B$5001,$D$2)))</f>
        <v>0</v>
      </c>
      <c r="G17" s="32">
        <f>IF($B17="","",IF($B$2="Todos",SUMIFS(BD!$G$3:$G$5001,BD!$A$3:$A$5001,$B17),SUMIFS(BD!$G$3:$G$5001,BD!$A$3:$A$5001,$B17,BD!$B$3:$B$5001,$D$2)))</f>
        <v>0</v>
      </c>
      <c r="H17" s="47">
        <f>IF($B17="","",IF($B$2="Todos",SUMIFS(BD!$H$3:$H$5001,BD!$A$3:$A$5001,$B17),SUMIFS(BD!$H$3:$H$5001,BD!$A$3:$A$5001,$B17,BD!$B$3:$B$5001,$D$2)))</f>
        <v>0</v>
      </c>
      <c r="I17" s="32">
        <f>IF($B17="","",IF($B$2="Todos",SUMIFS(BD!$I$3:$I$5001,BD!$A$3:$A$5001,$B17),SUMIFS(BD!$I$3:$I$5001,BD!$A$3:$A$5001,$B17,BD!$B$3:$B$5001,$D$2)))</f>
        <v>0</v>
      </c>
      <c r="J17" s="32">
        <f>IF($B17="","",IF($B$2="Todos",SUMIFS(BD!$J$3:$J$5001,BD!$A$3:$A$5001,$B17),SUMIFS(BD!$J$3:$J$5001,BD!$A$3:$A$5001,$B17,BD!$B$3:$B$5001,$D$2)))</f>
        <v>0</v>
      </c>
      <c r="K17" s="32" t="str">
        <f>IF($B$2="Todos",IF(COUNT($C$120:$V$120)=0,"",SUM($C$120:$V$120)),IFERROR(INDEX($C$120:$V$120,MATCH($D$2,$C$114:$V$114,0)),""))</f>
        <v/>
      </c>
      <c r="L17" s="48" t="str">
        <f>IF(M17="","",IF($B$2="Todos",IF($B$4&gt;0,$B$4,IF($B$2="Todos",IF(COUNT($C$190:$V$190)=0,"",SUM($C$190:$V$190)),IFERROR(INDEX($C$190:$V$190,MATCH($D$2,$C$184:$V$184,0)),""))),IFERROR(INDEX($C$190:$V$190,MATCH($D$2,$C$184:$V$184,0)),"")))</f>
        <v/>
      </c>
      <c r="M17" s="32" t="str">
        <f>IF($B$2="Todos",IF(COUNT($C$155:$V$155)=0,"",SUM($C$155:$V$155)),IFERROR(INDEX($C$155:$V$155,MATCH($D$2,$C$149:$V$149,0)),""))</f>
        <v/>
      </c>
      <c r="N17" s="49" t="str">
        <f>IF(AND(ISNUMBER(M17),ISNUMBER(L17)),IF(L17&gt;0,M17/L17,""),"")</f>
        <v/>
      </c>
      <c r="O17" s="32" t="str">
        <f>IF($B$2="Todos",IF(COUNT($C$225:$V$225)=0,"",SUM($C$225:$V$225)),IFERROR(INDEX($C$225:$V$225,MATCH($D$2,$C$219:$V$219,0)),""))</f>
        <v/>
      </c>
      <c r="P17" s="32">
        <f>IF($B17="","",IF($B$2="Todos",SUMIFS(BD!$O$3:$O$5001,BD!$A$3:$A$5001,$B17),SUMIFS(BD!$O$3:$O$5001,BD!$A$3:$A$5001,$B17,BD!$B$3:$B$5001,$D$2)))</f>
        <v>0</v>
      </c>
      <c r="Q17" s="32">
        <f>IF($B17="","",IF($B$2="Todos",SUMIFS(BD!$P$3:$P$5001,BD!$A$3:$A$5001,$B17),SUMIFS(BD!$P$3:$P$5001,BD!$A$3:$A$5001,$B17,BD!$B$3:$B$5001,$D$2)))</f>
        <v>0</v>
      </c>
      <c r="R17" s="32">
        <f>IF($B17="","",IF($B$2="Todos",SUMIFS(BD!$Q$3:$Q$5001,BD!$A$3:$A$5001,$B17),SUMIFS(BD!$Q$3:$Q$5001,BD!$A$3:$A$5001,$B17,BD!$B$3:$B$5001,$D$2)))</f>
        <v>0</v>
      </c>
      <c r="S17" s="32">
        <f>IF($B17="","",IF($B$2="Todos",SUMIFS(BD!$R$3:$R$5001,BD!$A$3:$A$5001,$B17),SUMIFS(BD!$R$3:$R$5001,BD!$A$3:$A$5001,$B17,BD!$B$3:$B$5001,$D$2)))</f>
        <v>0</v>
      </c>
      <c r="T17" s="32">
        <f>IF($B17="","",IF($B$2="Todos",SUMIFS(BD!$S$3:$S$5001,BD!$A$3:$A$5001,$B17),SUMIFS(BD!$S$3:$S$5001,BD!$A$3:$A$5001,$B17,BD!$B$3:$B$5001,$D$2)))</f>
        <v>0</v>
      </c>
      <c r="U17" s="32">
        <f>IF($B17="","",IF($B$2="Todos",SUMIFS(BD!$T$3:$T$5001,BD!$A$3:$A$5001,$B17),SUMIFS(BD!$T$3:$T$5001,BD!$A$3:$A$5001,$B17,BD!$B$3:$B$5001,$D$2)))</f>
        <v>0</v>
      </c>
      <c r="V17" s="32">
        <f>IF($B17="","",IF($B$2="Todos",SUMIFS(BD!$U$3:$U$5001,BD!$A$3:$A$5001,$B17),SUMIFS(BD!$U$3:$U$5001,BD!$A$3:$A$5001,$B17,BD!$B$3:$B$5001,$D$2)))</f>
        <v>0</v>
      </c>
      <c r="W17" s="50">
        <f>$B$5</f>
        <v>0.7</v>
      </c>
      <c r="X17" s="50">
        <f>$B$6</f>
        <v>0.9</v>
      </c>
      <c r="AL17" s="29" t="inlineStr">
        <is>
          <t xml:space="preserve">JUNHO · 2026</t>
        </is>
      </c>
      <c r="AN17" s="29" t="str">
        <f>IFERROR(INDEX(Config!$B$10:$B$29,MATCH(5,$AP$13:$AP$32,0))&amp;"","")</f>
        <v>PMB</v>
      </c>
      <c r="AO17" s="28" t="str">
        <f>IF(AN17="","",IF(INDEX(Config!$C$10:$C$29,MATCH(5,$AP$13:$AP$32,0))&amp;""="","JSL",INDEX(Config!$C$10:$C$29,MATCH(5,$AP$13:$AP$32,0))&amp;""))</f>
        <v>JSL</v>
      </c>
      <c r="AP17" s="38">
        <f>IF(Config!$B$14&amp;""="",AP16,AP16+1)</f>
        <v>5</v>
      </c>
      <c r="AQ17" s="29" t="str">
        <f>"ACUMULADO SEMANAL TONS — "&amp;IF($B$2="Todos","TODOS OS CLIENTES",UPPER($B$2))</f>
        <v>ACUMULADO SEMANAL TONS — TODOS OS CLIENTES</v>
      </c>
    </row>
    <row r="18">
      <c r="A18" s="28">
        <v>7</v>
      </c>
      <c r="B18" s="46">
        <f>IF($A18&lt;=DAY($D$7),$C$7+$A18-1,"")</f>
        <v>46302</v>
      </c>
      <c r="C18" s="32">
        <f>IF($B18="","",IF($B$2="Todos",SUMIFS(BD!$C$3:$C$5001,BD!$A$3:$A$5001,$B18),SUMIFS(BD!$C$3:$C$5001,BD!$A$3:$A$5001,$B18,BD!$B$3:$B$5001,$D$2)))</f>
        <v>0</v>
      </c>
      <c r="D18" s="32">
        <f>IF($B18="","",IF($B$2="Todos",SUMIFS(BD!$D$3:$D$5001,BD!$A$3:$A$5001,$B18),SUMIFS(BD!$D$3:$D$5001,BD!$A$3:$A$5001,$B18,BD!$B$3:$B$5001,$D$2)))</f>
        <v>0</v>
      </c>
      <c r="E18" s="47">
        <f>IF($B18="","",IF($B$2="Todos",SUMIFS(BD!$E$3:$E$5001,BD!$A$3:$A$5001,$B18),SUMIFS(BD!$E$3:$E$5001,BD!$A$3:$A$5001,$B18,BD!$B$3:$B$5001,$D$2)))</f>
        <v>0</v>
      </c>
      <c r="F18" s="32">
        <f>IF($B18="","",IF($B$2="Todos",SUMIFS(BD!$F$3:$F$5001,BD!$A$3:$A$5001,$B18),SUMIFS(BD!$F$3:$F$5001,BD!$A$3:$A$5001,$B18,BD!$B$3:$B$5001,$D$2)))</f>
        <v>0</v>
      </c>
      <c r="G18" s="32">
        <f>IF($B18="","",IF($B$2="Todos",SUMIFS(BD!$G$3:$G$5001,BD!$A$3:$A$5001,$B18),SUMIFS(BD!$G$3:$G$5001,BD!$A$3:$A$5001,$B18,BD!$B$3:$B$5001,$D$2)))</f>
        <v>0</v>
      </c>
      <c r="H18" s="47">
        <f>IF($B18="","",IF($B$2="Todos",SUMIFS(BD!$H$3:$H$5001,BD!$A$3:$A$5001,$B18),SUMIFS(BD!$H$3:$H$5001,BD!$A$3:$A$5001,$B18,BD!$B$3:$B$5001,$D$2)))</f>
        <v>0</v>
      </c>
      <c r="I18" s="32">
        <f>IF($B18="","",IF($B$2="Todos",SUMIFS(BD!$I$3:$I$5001,BD!$A$3:$A$5001,$B18),SUMIFS(BD!$I$3:$I$5001,BD!$A$3:$A$5001,$B18,BD!$B$3:$B$5001,$D$2)))</f>
        <v>0</v>
      </c>
      <c r="J18" s="32">
        <f>IF($B18="","",IF($B$2="Todos",SUMIFS(BD!$J$3:$J$5001,BD!$A$3:$A$5001,$B18),SUMIFS(BD!$J$3:$J$5001,BD!$A$3:$A$5001,$B18,BD!$B$3:$B$5001,$D$2)))</f>
        <v>0</v>
      </c>
      <c r="K18" s="32" t="str">
        <f>IF($B$2="Todos",IF(COUNT($C$121:$V$121)=0,"",SUM($C$121:$V$121)),IFERROR(INDEX($C$121:$V$121,MATCH($D$2,$C$114:$V$114,0)),""))</f>
        <v/>
      </c>
      <c r="L18" s="48" t="str">
        <f>IF(M18="","",IF($B$2="Todos",IF($B$4&gt;0,$B$4,IF($B$2="Todos",IF(COUNT($C$191:$V$191)=0,"",SUM($C$191:$V$191)),IFERROR(INDEX($C$191:$V$191,MATCH($D$2,$C$184:$V$184,0)),""))),IFERROR(INDEX($C$191:$V$191,MATCH($D$2,$C$184:$V$184,0)),"")))</f>
        <v/>
      </c>
      <c r="M18" s="32" t="str">
        <f>IF($B$2="Todos",IF(COUNT($C$156:$V$156)=0,"",SUM($C$156:$V$156)),IFERROR(INDEX($C$156:$V$156,MATCH($D$2,$C$149:$V$149,0)),""))</f>
        <v/>
      </c>
      <c r="N18" s="49" t="str">
        <f>IF(AND(ISNUMBER(M18),ISNUMBER(L18)),IF(L18&gt;0,M18/L18,""),"")</f>
        <v/>
      </c>
      <c r="O18" s="32" t="str">
        <f>IF($B$2="Todos",IF(COUNT($C$226:$V$226)=0,"",SUM($C$226:$V$226)),IFERROR(INDEX($C$226:$V$226,MATCH($D$2,$C$219:$V$219,0)),""))</f>
        <v/>
      </c>
      <c r="P18" s="32">
        <f>IF($B18="","",IF($B$2="Todos",SUMIFS(BD!$O$3:$O$5001,BD!$A$3:$A$5001,$B18),SUMIFS(BD!$O$3:$O$5001,BD!$A$3:$A$5001,$B18,BD!$B$3:$B$5001,$D$2)))</f>
        <v>0</v>
      </c>
      <c r="Q18" s="32">
        <f>IF($B18="","",IF($B$2="Todos",SUMIFS(BD!$P$3:$P$5001,BD!$A$3:$A$5001,$B18),SUMIFS(BD!$P$3:$P$5001,BD!$A$3:$A$5001,$B18,BD!$B$3:$B$5001,$D$2)))</f>
        <v>0</v>
      </c>
      <c r="R18" s="32">
        <f>IF($B18="","",IF($B$2="Todos",SUMIFS(BD!$Q$3:$Q$5001,BD!$A$3:$A$5001,$B18),SUMIFS(BD!$Q$3:$Q$5001,BD!$A$3:$A$5001,$B18,BD!$B$3:$B$5001,$D$2)))</f>
        <v>0</v>
      </c>
      <c r="S18" s="32">
        <f>IF($B18="","",IF($B$2="Todos",SUMIFS(BD!$R$3:$R$5001,BD!$A$3:$A$5001,$B18),SUMIFS(BD!$R$3:$R$5001,BD!$A$3:$A$5001,$B18,BD!$B$3:$B$5001,$D$2)))</f>
        <v>0</v>
      </c>
      <c r="T18" s="32">
        <f>IF($B18="","",IF($B$2="Todos",SUMIFS(BD!$S$3:$S$5001,BD!$A$3:$A$5001,$B18),SUMIFS(BD!$S$3:$S$5001,BD!$A$3:$A$5001,$B18,BD!$B$3:$B$5001,$D$2)))</f>
        <v>0</v>
      </c>
      <c r="U18" s="32">
        <f>IF($B18="","",IF($B$2="Todos",SUMIFS(BD!$T$3:$T$5001,BD!$A$3:$A$5001,$B18),SUMIFS(BD!$T$3:$T$5001,BD!$A$3:$A$5001,$B18,BD!$B$3:$B$5001,$D$2)))</f>
        <v>0</v>
      </c>
      <c r="V18" s="32">
        <f>IF($B18="","",IF($B$2="Todos",SUMIFS(BD!$U$3:$U$5001,BD!$A$3:$A$5001,$B18),SUMIFS(BD!$U$3:$U$5001,BD!$A$3:$A$5001,$B18,BD!$B$3:$B$5001,$D$2)))</f>
        <v>0</v>
      </c>
      <c r="W18" s="50">
        <f>$B$5</f>
        <v>0.7</v>
      </c>
      <c r="X18" s="50">
        <f>$B$6</f>
        <v>0.9</v>
      </c>
      <c r="AL18" s="29" t="inlineStr">
        <is>
          <t xml:space="preserve">JULHO · 2026</t>
        </is>
      </c>
      <c r="AN18" s="29" t="str">
        <f>IFERROR(INDEX(Config!$B$10:$B$29,MATCH(6,$AP$13:$AP$32,0))&amp;"","")</f>
        <v/>
      </c>
      <c r="AO18" s="28" t="str">
        <f>IF(AN18="","",IF(INDEX(Config!$C$10:$C$29,MATCH(6,$AP$13:$AP$32,0))&amp;""="","JSL",INDEX(Config!$C$10:$C$29,MATCH(6,$AP$13:$AP$32,0))&amp;""))</f>
        <v/>
      </c>
      <c r="AP18" s="38">
        <f>IF(Config!$B$15&amp;""="",AP17,AP17+1)</f>
        <v>5</v>
      </c>
    </row>
    <row r="19">
      <c r="A19" s="28">
        <v>8</v>
      </c>
      <c r="B19" s="46">
        <f>IF($A19&lt;=DAY($D$7),$C$7+$A19-1,"")</f>
        <v>46303</v>
      </c>
      <c r="C19" s="32">
        <f>IF($B19="","",IF($B$2="Todos",SUMIFS(BD!$C$3:$C$5001,BD!$A$3:$A$5001,$B19),SUMIFS(BD!$C$3:$C$5001,BD!$A$3:$A$5001,$B19,BD!$B$3:$B$5001,$D$2)))</f>
        <v>0</v>
      </c>
      <c r="D19" s="32">
        <f>IF($B19="","",IF($B$2="Todos",SUMIFS(BD!$D$3:$D$5001,BD!$A$3:$A$5001,$B19),SUMIFS(BD!$D$3:$D$5001,BD!$A$3:$A$5001,$B19,BD!$B$3:$B$5001,$D$2)))</f>
        <v>0</v>
      </c>
      <c r="E19" s="47">
        <f>IF($B19="","",IF($B$2="Todos",SUMIFS(BD!$E$3:$E$5001,BD!$A$3:$A$5001,$B19),SUMIFS(BD!$E$3:$E$5001,BD!$A$3:$A$5001,$B19,BD!$B$3:$B$5001,$D$2)))</f>
        <v>0</v>
      </c>
      <c r="F19" s="32">
        <f>IF($B19="","",IF($B$2="Todos",SUMIFS(BD!$F$3:$F$5001,BD!$A$3:$A$5001,$B19),SUMIFS(BD!$F$3:$F$5001,BD!$A$3:$A$5001,$B19,BD!$B$3:$B$5001,$D$2)))</f>
        <v>0</v>
      </c>
      <c r="G19" s="32">
        <f>IF($B19="","",IF($B$2="Todos",SUMIFS(BD!$G$3:$G$5001,BD!$A$3:$A$5001,$B19),SUMIFS(BD!$G$3:$G$5001,BD!$A$3:$A$5001,$B19,BD!$B$3:$B$5001,$D$2)))</f>
        <v>0</v>
      </c>
      <c r="H19" s="47">
        <f>IF($B19="","",IF($B$2="Todos",SUMIFS(BD!$H$3:$H$5001,BD!$A$3:$A$5001,$B19),SUMIFS(BD!$H$3:$H$5001,BD!$A$3:$A$5001,$B19,BD!$B$3:$B$5001,$D$2)))</f>
        <v>0</v>
      </c>
      <c r="I19" s="32">
        <f>IF($B19="","",IF($B$2="Todos",SUMIFS(BD!$I$3:$I$5001,BD!$A$3:$A$5001,$B19),SUMIFS(BD!$I$3:$I$5001,BD!$A$3:$A$5001,$B19,BD!$B$3:$B$5001,$D$2)))</f>
        <v>0</v>
      </c>
      <c r="J19" s="32">
        <f>IF($B19="","",IF($B$2="Todos",SUMIFS(BD!$J$3:$J$5001,BD!$A$3:$A$5001,$B19),SUMIFS(BD!$J$3:$J$5001,BD!$A$3:$A$5001,$B19,BD!$B$3:$B$5001,$D$2)))</f>
        <v>0</v>
      </c>
      <c r="K19" s="32" t="str">
        <f>IF($B$2="Todos",IF(COUNT($C$122:$V$122)=0,"",SUM($C$122:$V$122)),IFERROR(INDEX($C$122:$V$122,MATCH($D$2,$C$114:$V$114,0)),""))</f>
        <v/>
      </c>
      <c r="L19" s="48" t="str">
        <f>IF(M19="","",IF($B$2="Todos",IF($B$4&gt;0,$B$4,IF($B$2="Todos",IF(COUNT($C$192:$V$192)=0,"",SUM($C$192:$V$192)),IFERROR(INDEX($C$192:$V$192,MATCH($D$2,$C$184:$V$184,0)),""))),IFERROR(INDEX($C$192:$V$192,MATCH($D$2,$C$184:$V$184,0)),"")))</f>
        <v/>
      </c>
      <c r="M19" s="32" t="str">
        <f>IF($B$2="Todos",IF(COUNT($C$157:$V$157)=0,"",SUM($C$157:$V$157)),IFERROR(INDEX($C$157:$V$157,MATCH($D$2,$C$149:$V$149,0)),""))</f>
        <v/>
      </c>
      <c r="N19" s="49" t="str">
        <f>IF(AND(ISNUMBER(M19),ISNUMBER(L19)),IF(L19&gt;0,M19/L19,""),"")</f>
        <v/>
      </c>
      <c r="O19" s="32" t="str">
        <f>IF($B$2="Todos",IF(COUNT($C$227:$V$227)=0,"",SUM($C$227:$V$227)),IFERROR(INDEX($C$227:$V$227,MATCH($D$2,$C$219:$V$219,0)),""))</f>
        <v/>
      </c>
      <c r="P19" s="32">
        <f>IF($B19="","",IF($B$2="Todos",SUMIFS(BD!$O$3:$O$5001,BD!$A$3:$A$5001,$B19),SUMIFS(BD!$O$3:$O$5001,BD!$A$3:$A$5001,$B19,BD!$B$3:$B$5001,$D$2)))</f>
        <v>0</v>
      </c>
      <c r="Q19" s="32">
        <f>IF($B19="","",IF($B$2="Todos",SUMIFS(BD!$P$3:$P$5001,BD!$A$3:$A$5001,$B19),SUMIFS(BD!$P$3:$P$5001,BD!$A$3:$A$5001,$B19,BD!$B$3:$B$5001,$D$2)))</f>
        <v>0</v>
      </c>
      <c r="R19" s="32">
        <f>IF($B19="","",IF($B$2="Todos",SUMIFS(BD!$Q$3:$Q$5001,BD!$A$3:$A$5001,$B19),SUMIFS(BD!$Q$3:$Q$5001,BD!$A$3:$A$5001,$B19,BD!$B$3:$B$5001,$D$2)))</f>
        <v>0</v>
      </c>
      <c r="S19" s="32">
        <f>IF($B19="","",IF($B$2="Todos",SUMIFS(BD!$R$3:$R$5001,BD!$A$3:$A$5001,$B19),SUMIFS(BD!$R$3:$R$5001,BD!$A$3:$A$5001,$B19,BD!$B$3:$B$5001,$D$2)))</f>
        <v>0</v>
      </c>
      <c r="T19" s="32">
        <f>IF($B19="","",IF($B$2="Todos",SUMIFS(BD!$S$3:$S$5001,BD!$A$3:$A$5001,$B19),SUMIFS(BD!$S$3:$S$5001,BD!$A$3:$A$5001,$B19,BD!$B$3:$B$5001,$D$2)))</f>
        <v>0</v>
      </c>
      <c r="U19" s="32">
        <f>IF($B19="","",IF($B$2="Todos",SUMIFS(BD!$T$3:$T$5001,BD!$A$3:$A$5001,$B19),SUMIFS(BD!$T$3:$T$5001,BD!$A$3:$A$5001,$B19,BD!$B$3:$B$5001,$D$2)))</f>
        <v>0</v>
      </c>
      <c r="V19" s="32">
        <f>IF($B19="","",IF($B$2="Todos",SUMIFS(BD!$U$3:$U$5001,BD!$A$3:$A$5001,$B19),SUMIFS(BD!$U$3:$U$5001,BD!$A$3:$A$5001,$B19,BD!$B$3:$B$5001,$D$2)))</f>
        <v>0</v>
      </c>
      <c r="W19" s="50">
        <f>$B$5</f>
        <v>0.7</v>
      </c>
      <c r="X19" s="50">
        <f>$B$6</f>
        <v>0.9</v>
      </c>
      <c r="AL19" s="29" t="inlineStr">
        <is>
          <t xml:space="preserve">AGOSTO · 2026</t>
        </is>
      </c>
      <c r="AN19" s="29" t="str">
        <f>IFERROR(INDEX(Config!$B$10:$B$29,MATCH(7,$AP$13:$AP$32,0))&amp;"","")</f>
        <v/>
      </c>
      <c r="AO19" s="28" t="str">
        <f>IF(AN19="","",IF(INDEX(Config!$C$10:$C$29,MATCH(7,$AP$13:$AP$32,0))&amp;""="","JSL",INDEX(Config!$C$10:$C$29,MATCH(7,$AP$13:$AP$32,0))&amp;""))</f>
        <v/>
      </c>
      <c r="AP19" s="38">
        <f>IF(Config!$B$16&amp;""="",AP18,AP18+1)</f>
        <v>5</v>
      </c>
    </row>
    <row r="20">
      <c r="A20" s="28">
        <v>9</v>
      </c>
      <c r="B20" s="46">
        <f>IF($A20&lt;=DAY($D$7),$C$7+$A20-1,"")</f>
        <v>46304</v>
      </c>
      <c r="C20" s="32">
        <f>IF($B20="","",IF($B$2="Todos",SUMIFS(BD!$C$3:$C$5001,BD!$A$3:$A$5001,$B20),SUMIFS(BD!$C$3:$C$5001,BD!$A$3:$A$5001,$B20,BD!$B$3:$B$5001,$D$2)))</f>
        <v>0</v>
      </c>
      <c r="D20" s="32">
        <f>IF($B20="","",IF($B$2="Todos",SUMIFS(BD!$D$3:$D$5001,BD!$A$3:$A$5001,$B20),SUMIFS(BD!$D$3:$D$5001,BD!$A$3:$A$5001,$B20,BD!$B$3:$B$5001,$D$2)))</f>
        <v>0</v>
      </c>
      <c r="E20" s="47">
        <f>IF($B20="","",IF($B$2="Todos",SUMIFS(BD!$E$3:$E$5001,BD!$A$3:$A$5001,$B20),SUMIFS(BD!$E$3:$E$5001,BD!$A$3:$A$5001,$B20,BD!$B$3:$B$5001,$D$2)))</f>
        <v>0</v>
      </c>
      <c r="F20" s="32">
        <f>IF($B20="","",IF($B$2="Todos",SUMIFS(BD!$F$3:$F$5001,BD!$A$3:$A$5001,$B20),SUMIFS(BD!$F$3:$F$5001,BD!$A$3:$A$5001,$B20,BD!$B$3:$B$5001,$D$2)))</f>
        <v>0</v>
      </c>
      <c r="G20" s="32">
        <f>IF($B20="","",IF($B$2="Todos",SUMIFS(BD!$G$3:$G$5001,BD!$A$3:$A$5001,$B20),SUMIFS(BD!$G$3:$G$5001,BD!$A$3:$A$5001,$B20,BD!$B$3:$B$5001,$D$2)))</f>
        <v>0</v>
      </c>
      <c r="H20" s="47">
        <f>IF($B20="","",IF($B$2="Todos",SUMIFS(BD!$H$3:$H$5001,BD!$A$3:$A$5001,$B20),SUMIFS(BD!$H$3:$H$5001,BD!$A$3:$A$5001,$B20,BD!$B$3:$B$5001,$D$2)))</f>
        <v>0</v>
      </c>
      <c r="I20" s="32">
        <f>IF($B20="","",IF($B$2="Todos",SUMIFS(BD!$I$3:$I$5001,BD!$A$3:$A$5001,$B20),SUMIFS(BD!$I$3:$I$5001,BD!$A$3:$A$5001,$B20,BD!$B$3:$B$5001,$D$2)))</f>
        <v>0</v>
      </c>
      <c r="J20" s="32">
        <f>IF($B20="","",IF($B$2="Todos",SUMIFS(BD!$J$3:$J$5001,BD!$A$3:$A$5001,$B20),SUMIFS(BD!$J$3:$J$5001,BD!$A$3:$A$5001,$B20,BD!$B$3:$B$5001,$D$2)))</f>
        <v>0</v>
      </c>
      <c r="K20" s="32" t="str">
        <f>IF($B$2="Todos",IF(COUNT($C$123:$V$123)=0,"",SUM($C$123:$V$123)),IFERROR(INDEX($C$123:$V$123,MATCH($D$2,$C$114:$V$114,0)),""))</f>
        <v/>
      </c>
      <c r="L20" s="48" t="str">
        <f>IF(M20="","",IF($B$2="Todos",IF($B$4&gt;0,$B$4,IF($B$2="Todos",IF(COUNT($C$193:$V$193)=0,"",SUM($C$193:$V$193)),IFERROR(INDEX($C$193:$V$193,MATCH($D$2,$C$184:$V$184,0)),""))),IFERROR(INDEX($C$193:$V$193,MATCH($D$2,$C$184:$V$184,0)),"")))</f>
        <v/>
      </c>
      <c r="M20" s="32" t="str">
        <f>IF($B$2="Todos",IF(COUNT($C$158:$V$158)=0,"",SUM($C$158:$V$158)),IFERROR(INDEX($C$158:$V$158,MATCH($D$2,$C$149:$V$149,0)),""))</f>
        <v/>
      </c>
      <c r="N20" s="49" t="str">
        <f>IF(AND(ISNUMBER(M20),ISNUMBER(L20)),IF(L20&gt;0,M20/L20,""),"")</f>
        <v/>
      </c>
      <c r="O20" s="32" t="str">
        <f>IF($B$2="Todos",IF(COUNT($C$228:$V$228)=0,"",SUM($C$228:$V$228)),IFERROR(INDEX($C$228:$V$228,MATCH($D$2,$C$219:$V$219,0)),""))</f>
        <v/>
      </c>
      <c r="P20" s="32">
        <f>IF($B20="","",IF($B$2="Todos",SUMIFS(BD!$O$3:$O$5001,BD!$A$3:$A$5001,$B20),SUMIFS(BD!$O$3:$O$5001,BD!$A$3:$A$5001,$B20,BD!$B$3:$B$5001,$D$2)))</f>
        <v>0</v>
      </c>
      <c r="Q20" s="32">
        <f>IF($B20="","",IF($B$2="Todos",SUMIFS(BD!$P$3:$P$5001,BD!$A$3:$A$5001,$B20),SUMIFS(BD!$P$3:$P$5001,BD!$A$3:$A$5001,$B20,BD!$B$3:$B$5001,$D$2)))</f>
        <v>0</v>
      </c>
      <c r="R20" s="32">
        <f>IF($B20="","",IF($B$2="Todos",SUMIFS(BD!$Q$3:$Q$5001,BD!$A$3:$A$5001,$B20),SUMIFS(BD!$Q$3:$Q$5001,BD!$A$3:$A$5001,$B20,BD!$B$3:$B$5001,$D$2)))</f>
        <v>0</v>
      </c>
      <c r="S20" s="32">
        <f>IF($B20="","",IF($B$2="Todos",SUMIFS(BD!$R$3:$R$5001,BD!$A$3:$A$5001,$B20),SUMIFS(BD!$R$3:$R$5001,BD!$A$3:$A$5001,$B20,BD!$B$3:$B$5001,$D$2)))</f>
        <v>0</v>
      </c>
      <c r="T20" s="32">
        <f>IF($B20="","",IF($B$2="Todos",SUMIFS(BD!$S$3:$S$5001,BD!$A$3:$A$5001,$B20),SUMIFS(BD!$S$3:$S$5001,BD!$A$3:$A$5001,$B20,BD!$B$3:$B$5001,$D$2)))</f>
        <v>0</v>
      </c>
      <c r="U20" s="32">
        <f>IF($B20="","",IF($B$2="Todos",SUMIFS(BD!$T$3:$T$5001,BD!$A$3:$A$5001,$B20),SUMIFS(BD!$T$3:$T$5001,BD!$A$3:$A$5001,$B20,BD!$B$3:$B$5001,$D$2)))</f>
        <v>0</v>
      </c>
      <c r="V20" s="32">
        <f>IF($B20="","",IF($B$2="Todos",SUMIFS(BD!$U$3:$U$5001,BD!$A$3:$A$5001,$B20),SUMIFS(BD!$U$3:$U$5001,BD!$A$3:$A$5001,$B20,BD!$B$3:$B$5001,$D$2)))</f>
        <v>0</v>
      </c>
      <c r="W20" s="50">
        <f>$B$5</f>
        <v>0.7</v>
      </c>
      <c r="X20" s="50">
        <f>$B$6</f>
        <v>0.9</v>
      </c>
      <c r="AL20" s="29" t="inlineStr">
        <is>
          <t xml:space="preserve">SETEMBRO · 2026</t>
        </is>
      </c>
      <c r="AN20" s="29" t="str">
        <f>IFERROR(INDEX(Config!$B$10:$B$29,MATCH(8,$AP$13:$AP$32,0))&amp;"","")</f>
        <v/>
      </c>
      <c r="AO20" s="28" t="str">
        <f>IF(AN20="","",IF(INDEX(Config!$C$10:$C$29,MATCH(8,$AP$13:$AP$32,0))&amp;""="","JSL",INDEX(Config!$C$10:$C$29,MATCH(8,$AP$13:$AP$32,0))&amp;""))</f>
        <v/>
      </c>
      <c r="AP20" s="38">
        <f>IF(Config!$B$17&amp;""="",AP19,AP19+1)</f>
        <v>5</v>
      </c>
    </row>
    <row r="21">
      <c r="A21" s="28">
        <v>10</v>
      </c>
      <c r="B21" s="46">
        <f>IF($A21&lt;=DAY($D$7),$C$7+$A21-1,"")</f>
        <v>46305</v>
      </c>
      <c r="C21" s="32">
        <f>IF($B21="","",IF($B$2="Todos",SUMIFS(BD!$C$3:$C$5001,BD!$A$3:$A$5001,$B21),SUMIFS(BD!$C$3:$C$5001,BD!$A$3:$A$5001,$B21,BD!$B$3:$B$5001,$D$2)))</f>
        <v>0</v>
      </c>
      <c r="D21" s="32">
        <f>IF($B21="","",IF($B$2="Todos",SUMIFS(BD!$D$3:$D$5001,BD!$A$3:$A$5001,$B21),SUMIFS(BD!$D$3:$D$5001,BD!$A$3:$A$5001,$B21,BD!$B$3:$B$5001,$D$2)))</f>
        <v>0</v>
      </c>
      <c r="E21" s="47">
        <f>IF($B21="","",IF($B$2="Todos",SUMIFS(BD!$E$3:$E$5001,BD!$A$3:$A$5001,$B21),SUMIFS(BD!$E$3:$E$5001,BD!$A$3:$A$5001,$B21,BD!$B$3:$B$5001,$D$2)))</f>
        <v>0</v>
      </c>
      <c r="F21" s="32">
        <f>IF($B21="","",IF($B$2="Todos",SUMIFS(BD!$F$3:$F$5001,BD!$A$3:$A$5001,$B21),SUMIFS(BD!$F$3:$F$5001,BD!$A$3:$A$5001,$B21,BD!$B$3:$B$5001,$D$2)))</f>
        <v>0</v>
      </c>
      <c r="G21" s="32">
        <f>IF($B21="","",IF($B$2="Todos",SUMIFS(BD!$G$3:$G$5001,BD!$A$3:$A$5001,$B21),SUMIFS(BD!$G$3:$G$5001,BD!$A$3:$A$5001,$B21,BD!$B$3:$B$5001,$D$2)))</f>
        <v>0</v>
      </c>
      <c r="H21" s="47">
        <f>IF($B21="","",IF($B$2="Todos",SUMIFS(BD!$H$3:$H$5001,BD!$A$3:$A$5001,$B21),SUMIFS(BD!$H$3:$H$5001,BD!$A$3:$A$5001,$B21,BD!$B$3:$B$5001,$D$2)))</f>
        <v>0</v>
      </c>
      <c r="I21" s="32">
        <f>IF($B21="","",IF($B$2="Todos",SUMIFS(BD!$I$3:$I$5001,BD!$A$3:$A$5001,$B21),SUMIFS(BD!$I$3:$I$5001,BD!$A$3:$A$5001,$B21,BD!$B$3:$B$5001,$D$2)))</f>
        <v>0</v>
      </c>
      <c r="J21" s="32">
        <f>IF($B21="","",IF($B$2="Todos",SUMIFS(BD!$J$3:$J$5001,BD!$A$3:$A$5001,$B21),SUMIFS(BD!$J$3:$J$5001,BD!$A$3:$A$5001,$B21,BD!$B$3:$B$5001,$D$2)))</f>
        <v>0</v>
      </c>
      <c r="K21" s="32" t="str">
        <f>IF($B$2="Todos",IF(COUNT($C$124:$V$124)=0,"",SUM($C$124:$V$124)),IFERROR(INDEX($C$124:$V$124,MATCH($D$2,$C$114:$V$114,0)),""))</f>
        <v/>
      </c>
      <c r="L21" s="48" t="str">
        <f>IF(M21="","",IF($B$2="Todos",IF($B$4&gt;0,$B$4,IF($B$2="Todos",IF(COUNT($C$194:$V$194)=0,"",SUM($C$194:$V$194)),IFERROR(INDEX($C$194:$V$194,MATCH($D$2,$C$184:$V$184,0)),""))),IFERROR(INDEX($C$194:$V$194,MATCH($D$2,$C$184:$V$184,0)),"")))</f>
        <v/>
      </c>
      <c r="M21" s="32" t="str">
        <f>IF($B$2="Todos",IF(COUNT($C$159:$V$159)=0,"",SUM($C$159:$V$159)),IFERROR(INDEX($C$159:$V$159,MATCH($D$2,$C$149:$V$149,0)),""))</f>
        <v/>
      </c>
      <c r="N21" s="49" t="str">
        <f>IF(AND(ISNUMBER(M21),ISNUMBER(L21)),IF(L21&gt;0,M21/L21,""),"")</f>
        <v/>
      </c>
      <c r="O21" s="32" t="str">
        <f>IF($B$2="Todos",IF(COUNT($C$229:$V$229)=0,"",SUM($C$229:$V$229)),IFERROR(INDEX($C$229:$V$229,MATCH($D$2,$C$219:$V$219,0)),""))</f>
        <v/>
      </c>
      <c r="P21" s="32">
        <f>IF($B21="","",IF($B$2="Todos",SUMIFS(BD!$O$3:$O$5001,BD!$A$3:$A$5001,$B21),SUMIFS(BD!$O$3:$O$5001,BD!$A$3:$A$5001,$B21,BD!$B$3:$B$5001,$D$2)))</f>
        <v>0</v>
      </c>
      <c r="Q21" s="32">
        <f>IF($B21="","",IF($B$2="Todos",SUMIFS(BD!$P$3:$P$5001,BD!$A$3:$A$5001,$B21),SUMIFS(BD!$P$3:$P$5001,BD!$A$3:$A$5001,$B21,BD!$B$3:$B$5001,$D$2)))</f>
        <v>0</v>
      </c>
      <c r="R21" s="32">
        <f>IF($B21="","",IF($B$2="Todos",SUMIFS(BD!$Q$3:$Q$5001,BD!$A$3:$A$5001,$B21),SUMIFS(BD!$Q$3:$Q$5001,BD!$A$3:$A$5001,$B21,BD!$B$3:$B$5001,$D$2)))</f>
        <v>0</v>
      </c>
      <c r="S21" s="32">
        <f>IF($B21="","",IF($B$2="Todos",SUMIFS(BD!$R$3:$R$5001,BD!$A$3:$A$5001,$B21),SUMIFS(BD!$R$3:$R$5001,BD!$A$3:$A$5001,$B21,BD!$B$3:$B$5001,$D$2)))</f>
        <v>0</v>
      </c>
      <c r="T21" s="32">
        <f>IF($B21="","",IF($B$2="Todos",SUMIFS(BD!$S$3:$S$5001,BD!$A$3:$A$5001,$B21),SUMIFS(BD!$S$3:$S$5001,BD!$A$3:$A$5001,$B21,BD!$B$3:$B$5001,$D$2)))</f>
        <v>0</v>
      </c>
      <c r="U21" s="32">
        <f>IF($B21="","",IF($B$2="Todos",SUMIFS(BD!$T$3:$T$5001,BD!$A$3:$A$5001,$B21),SUMIFS(BD!$T$3:$T$5001,BD!$A$3:$A$5001,$B21,BD!$B$3:$B$5001,$D$2)))</f>
        <v>0</v>
      </c>
      <c r="V21" s="32">
        <f>IF($B21="","",IF($B$2="Todos",SUMIFS(BD!$U$3:$U$5001,BD!$A$3:$A$5001,$B21),SUMIFS(BD!$U$3:$U$5001,BD!$A$3:$A$5001,$B21,BD!$B$3:$B$5001,$D$2)))</f>
        <v>0</v>
      </c>
      <c r="W21" s="50">
        <f>$B$5</f>
        <v>0.7</v>
      </c>
      <c r="X21" s="50">
        <f>$B$6</f>
        <v>0.9</v>
      </c>
      <c r="AL21" s="29" t="inlineStr">
        <is>
          <t xml:space="preserve">OUTUBRO · 2026</t>
        </is>
      </c>
      <c r="AN21" s="29" t="str">
        <f>IFERROR(INDEX(Config!$B$10:$B$29,MATCH(9,$AP$13:$AP$32,0))&amp;"","")</f>
        <v/>
      </c>
      <c r="AO21" s="28" t="str">
        <f>IF(AN21="","",IF(INDEX(Config!$C$10:$C$29,MATCH(9,$AP$13:$AP$32,0))&amp;""="","JSL",INDEX(Config!$C$10:$C$29,MATCH(9,$AP$13:$AP$32,0))&amp;""))</f>
        <v/>
      </c>
      <c r="AP21" s="38">
        <f>IF(Config!$B$18&amp;""="",AP20,AP20+1)</f>
        <v>5</v>
      </c>
    </row>
    <row r="22">
      <c r="A22" s="28">
        <v>11</v>
      </c>
      <c r="B22" s="46">
        <f>IF($A22&lt;=DAY($D$7),$C$7+$A22-1,"")</f>
        <v>46306</v>
      </c>
      <c r="C22" s="32">
        <f>IF($B22="","",IF($B$2="Todos",SUMIFS(BD!$C$3:$C$5001,BD!$A$3:$A$5001,$B22),SUMIFS(BD!$C$3:$C$5001,BD!$A$3:$A$5001,$B22,BD!$B$3:$B$5001,$D$2)))</f>
        <v>0</v>
      </c>
      <c r="D22" s="32">
        <f>IF($B22="","",IF($B$2="Todos",SUMIFS(BD!$D$3:$D$5001,BD!$A$3:$A$5001,$B22),SUMIFS(BD!$D$3:$D$5001,BD!$A$3:$A$5001,$B22,BD!$B$3:$B$5001,$D$2)))</f>
        <v>0</v>
      </c>
      <c r="E22" s="47">
        <f>IF($B22="","",IF($B$2="Todos",SUMIFS(BD!$E$3:$E$5001,BD!$A$3:$A$5001,$B22),SUMIFS(BD!$E$3:$E$5001,BD!$A$3:$A$5001,$B22,BD!$B$3:$B$5001,$D$2)))</f>
        <v>0</v>
      </c>
      <c r="F22" s="32">
        <f>IF($B22="","",IF($B$2="Todos",SUMIFS(BD!$F$3:$F$5001,BD!$A$3:$A$5001,$B22),SUMIFS(BD!$F$3:$F$5001,BD!$A$3:$A$5001,$B22,BD!$B$3:$B$5001,$D$2)))</f>
        <v>0</v>
      </c>
      <c r="G22" s="32">
        <f>IF($B22="","",IF($B$2="Todos",SUMIFS(BD!$G$3:$G$5001,BD!$A$3:$A$5001,$B22),SUMIFS(BD!$G$3:$G$5001,BD!$A$3:$A$5001,$B22,BD!$B$3:$B$5001,$D$2)))</f>
        <v>0</v>
      </c>
      <c r="H22" s="47">
        <f>IF($B22="","",IF($B$2="Todos",SUMIFS(BD!$H$3:$H$5001,BD!$A$3:$A$5001,$B22),SUMIFS(BD!$H$3:$H$5001,BD!$A$3:$A$5001,$B22,BD!$B$3:$B$5001,$D$2)))</f>
        <v>0</v>
      </c>
      <c r="I22" s="32">
        <f>IF($B22="","",IF($B$2="Todos",SUMIFS(BD!$I$3:$I$5001,BD!$A$3:$A$5001,$B22),SUMIFS(BD!$I$3:$I$5001,BD!$A$3:$A$5001,$B22,BD!$B$3:$B$5001,$D$2)))</f>
        <v>0</v>
      </c>
      <c r="J22" s="32">
        <f>IF($B22="","",IF($B$2="Todos",SUMIFS(BD!$J$3:$J$5001,BD!$A$3:$A$5001,$B22),SUMIFS(BD!$J$3:$J$5001,BD!$A$3:$A$5001,$B22,BD!$B$3:$B$5001,$D$2)))</f>
        <v>0</v>
      </c>
      <c r="K22" s="32" t="str">
        <f>IF($B$2="Todos",IF(COUNT($C$125:$V$125)=0,"",SUM($C$125:$V$125)),IFERROR(INDEX($C$125:$V$125,MATCH($D$2,$C$114:$V$114,0)),""))</f>
        <v/>
      </c>
      <c r="L22" s="48" t="str">
        <f>IF(M22="","",IF($B$2="Todos",IF($B$4&gt;0,$B$4,IF($B$2="Todos",IF(COUNT($C$195:$V$195)=0,"",SUM($C$195:$V$195)),IFERROR(INDEX($C$195:$V$195,MATCH($D$2,$C$184:$V$184,0)),""))),IFERROR(INDEX($C$195:$V$195,MATCH($D$2,$C$184:$V$184,0)),"")))</f>
        <v/>
      </c>
      <c r="M22" s="32" t="str">
        <f>IF($B$2="Todos",IF(COUNT($C$160:$V$160)=0,"",SUM($C$160:$V$160)),IFERROR(INDEX($C$160:$V$160,MATCH($D$2,$C$149:$V$149,0)),""))</f>
        <v/>
      </c>
      <c r="N22" s="49" t="str">
        <f>IF(AND(ISNUMBER(M22),ISNUMBER(L22)),IF(L22&gt;0,M22/L22,""),"")</f>
        <v/>
      </c>
      <c r="O22" s="32" t="str">
        <f>IF($B$2="Todos",IF(COUNT($C$230:$V$230)=0,"",SUM($C$230:$V$230)),IFERROR(INDEX($C$230:$V$230,MATCH($D$2,$C$219:$V$219,0)),""))</f>
        <v/>
      </c>
      <c r="P22" s="32">
        <f>IF($B22="","",IF($B$2="Todos",SUMIFS(BD!$O$3:$O$5001,BD!$A$3:$A$5001,$B22),SUMIFS(BD!$O$3:$O$5001,BD!$A$3:$A$5001,$B22,BD!$B$3:$B$5001,$D$2)))</f>
        <v>0</v>
      </c>
      <c r="Q22" s="32">
        <f>IF($B22="","",IF($B$2="Todos",SUMIFS(BD!$P$3:$P$5001,BD!$A$3:$A$5001,$B22),SUMIFS(BD!$P$3:$P$5001,BD!$A$3:$A$5001,$B22,BD!$B$3:$B$5001,$D$2)))</f>
        <v>0</v>
      </c>
      <c r="R22" s="32">
        <f>IF($B22="","",IF($B$2="Todos",SUMIFS(BD!$Q$3:$Q$5001,BD!$A$3:$A$5001,$B22),SUMIFS(BD!$Q$3:$Q$5001,BD!$A$3:$A$5001,$B22,BD!$B$3:$B$5001,$D$2)))</f>
        <v>0</v>
      </c>
      <c r="S22" s="32">
        <f>IF($B22="","",IF($B$2="Todos",SUMIFS(BD!$R$3:$R$5001,BD!$A$3:$A$5001,$B22),SUMIFS(BD!$R$3:$R$5001,BD!$A$3:$A$5001,$B22,BD!$B$3:$B$5001,$D$2)))</f>
        <v>0</v>
      </c>
      <c r="T22" s="32">
        <f>IF($B22="","",IF($B$2="Todos",SUMIFS(BD!$S$3:$S$5001,BD!$A$3:$A$5001,$B22),SUMIFS(BD!$S$3:$S$5001,BD!$A$3:$A$5001,$B22,BD!$B$3:$B$5001,$D$2)))</f>
        <v>0</v>
      </c>
      <c r="U22" s="32">
        <f>IF($B22="","",IF($B$2="Todos",SUMIFS(BD!$T$3:$T$5001,BD!$A$3:$A$5001,$B22),SUMIFS(BD!$T$3:$T$5001,BD!$A$3:$A$5001,$B22,BD!$B$3:$B$5001,$D$2)))</f>
        <v>0</v>
      </c>
      <c r="V22" s="32">
        <f>IF($B22="","",IF($B$2="Todos",SUMIFS(BD!$U$3:$U$5001,BD!$A$3:$A$5001,$B22),SUMIFS(BD!$U$3:$U$5001,BD!$A$3:$A$5001,$B22,BD!$B$3:$B$5001,$D$2)))</f>
        <v>0</v>
      </c>
      <c r="W22" s="50">
        <f>$B$5</f>
        <v>0.7</v>
      </c>
      <c r="X22" s="50">
        <f>$B$6</f>
        <v>0.9</v>
      </c>
      <c r="AL22" s="29" t="inlineStr">
        <is>
          <t xml:space="preserve">NOVEMBRO · 2026</t>
        </is>
      </c>
      <c r="AN22" s="29" t="str">
        <f>IFERROR(INDEX(Config!$B$10:$B$29,MATCH(10,$AP$13:$AP$32,0))&amp;"","")</f>
        <v/>
      </c>
      <c r="AO22" s="28" t="str">
        <f>IF(AN22="","",IF(INDEX(Config!$C$10:$C$29,MATCH(10,$AP$13:$AP$32,0))&amp;""="","JSL",INDEX(Config!$C$10:$C$29,MATCH(10,$AP$13:$AP$32,0))&amp;""))</f>
        <v/>
      </c>
      <c r="AP22" s="38">
        <f>IF(Config!$B$19&amp;""="",AP21,AP21+1)</f>
        <v>5</v>
      </c>
    </row>
    <row r="23">
      <c r="A23" s="28">
        <v>12</v>
      </c>
      <c r="B23" s="46">
        <f>IF($A23&lt;=DAY($D$7),$C$7+$A23-1,"")</f>
        <v>46307</v>
      </c>
      <c r="C23" s="32">
        <f>IF($B23="","",IF($B$2="Todos",SUMIFS(BD!$C$3:$C$5001,BD!$A$3:$A$5001,$B23),SUMIFS(BD!$C$3:$C$5001,BD!$A$3:$A$5001,$B23,BD!$B$3:$B$5001,$D$2)))</f>
        <v>0</v>
      </c>
      <c r="D23" s="32">
        <f>IF($B23="","",IF($B$2="Todos",SUMIFS(BD!$D$3:$D$5001,BD!$A$3:$A$5001,$B23),SUMIFS(BD!$D$3:$D$5001,BD!$A$3:$A$5001,$B23,BD!$B$3:$B$5001,$D$2)))</f>
        <v>0</v>
      </c>
      <c r="E23" s="47">
        <f>IF($B23="","",IF($B$2="Todos",SUMIFS(BD!$E$3:$E$5001,BD!$A$3:$A$5001,$B23),SUMIFS(BD!$E$3:$E$5001,BD!$A$3:$A$5001,$B23,BD!$B$3:$B$5001,$D$2)))</f>
        <v>0</v>
      </c>
      <c r="F23" s="32">
        <f>IF($B23="","",IF($B$2="Todos",SUMIFS(BD!$F$3:$F$5001,BD!$A$3:$A$5001,$B23),SUMIFS(BD!$F$3:$F$5001,BD!$A$3:$A$5001,$B23,BD!$B$3:$B$5001,$D$2)))</f>
        <v>0</v>
      </c>
      <c r="G23" s="32">
        <f>IF($B23="","",IF($B$2="Todos",SUMIFS(BD!$G$3:$G$5001,BD!$A$3:$A$5001,$B23),SUMIFS(BD!$G$3:$G$5001,BD!$A$3:$A$5001,$B23,BD!$B$3:$B$5001,$D$2)))</f>
        <v>0</v>
      </c>
      <c r="H23" s="47">
        <f>IF($B23="","",IF($B$2="Todos",SUMIFS(BD!$H$3:$H$5001,BD!$A$3:$A$5001,$B23),SUMIFS(BD!$H$3:$H$5001,BD!$A$3:$A$5001,$B23,BD!$B$3:$B$5001,$D$2)))</f>
        <v>0</v>
      </c>
      <c r="I23" s="32">
        <f>IF($B23="","",IF($B$2="Todos",SUMIFS(BD!$I$3:$I$5001,BD!$A$3:$A$5001,$B23),SUMIFS(BD!$I$3:$I$5001,BD!$A$3:$A$5001,$B23,BD!$B$3:$B$5001,$D$2)))</f>
        <v>0</v>
      </c>
      <c r="J23" s="32">
        <f>IF($B23="","",IF($B$2="Todos",SUMIFS(BD!$J$3:$J$5001,BD!$A$3:$A$5001,$B23),SUMIFS(BD!$J$3:$J$5001,BD!$A$3:$A$5001,$B23,BD!$B$3:$B$5001,$D$2)))</f>
        <v>0</v>
      </c>
      <c r="K23" s="32" t="str">
        <f>IF($B$2="Todos",IF(COUNT($C$126:$V$126)=0,"",SUM($C$126:$V$126)),IFERROR(INDEX($C$126:$V$126,MATCH($D$2,$C$114:$V$114,0)),""))</f>
        <v/>
      </c>
      <c r="L23" s="48" t="str">
        <f>IF(M23="","",IF($B$2="Todos",IF($B$4&gt;0,$B$4,IF($B$2="Todos",IF(COUNT($C$196:$V$196)=0,"",SUM($C$196:$V$196)),IFERROR(INDEX($C$196:$V$196,MATCH($D$2,$C$184:$V$184,0)),""))),IFERROR(INDEX($C$196:$V$196,MATCH($D$2,$C$184:$V$184,0)),"")))</f>
        <v/>
      </c>
      <c r="M23" s="32" t="str">
        <f>IF($B$2="Todos",IF(COUNT($C$161:$V$161)=0,"",SUM($C$161:$V$161)),IFERROR(INDEX($C$161:$V$161,MATCH($D$2,$C$149:$V$149,0)),""))</f>
        <v/>
      </c>
      <c r="N23" s="49" t="str">
        <f>IF(AND(ISNUMBER(M23),ISNUMBER(L23)),IF(L23&gt;0,M23/L23,""),"")</f>
        <v/>
      </c>
      <c r="O23" s="32" t="str">
        <f>IF($B$2="Todos",IF(COUNT($C$231:$V$231)=0,"",SUM($C$231:$V$231)),IFERROR(INDEX($C$231:$V$231,MATCH($D$2,$C$219:$V$219,0)),""))</f>
        <v/>
      </c>
      <c r="P23" s="32">
        <f>IF($B23="","",IF($B$2="Todos",SUMIFS(BD!$O$3:$O$5001,BD!$A$3:$A$5001,$B23),SUMIFS(BD!$O$3:$O$5001,BD!$A$3:$A$5001,$B23,BD!$B$3:$B$5001,$D$2)))</f>
        <v>0</v>
      </c>
      <c r="Q23" s="32">
        <f>IF($B23="","",IF($B$2="Todos",SUMIFS(BD!$P$3:$P$5001,BD!$A$3:$A$5001,$B23),SUMIFS(BD!$P$3:$P$5001,BD!$A$3:$A$5001,$B23,BD!$B$3:$B$5001,$D$2)))</f>
        <v>0</v>
      </c>
      <c r="R23" s="32">
        <f>IF($B23="","",IF($B$2="Todos",SUMIFS(BD!$Q$3:$Q$5001,BD!$A$3:$A$5001,$B23),SUMIFS(BD!$Q$3:$Q$5001,BD!$A$3:$A$5001,$B23,BD!$B$3:$B$5001,$D$2)))</f>
        <v>0</v>
      </c>
      <c r="S23" s="32">
        <f>IF($B23="","",IF($B$2="Todos",SUMIFS(BD!$R$3:$R$5001,BD!$A$3:$A$5001,$B23),SUMIFS(BD!$R$3:$R$5001,BD!$A$3:$A$5001,$B23,BD!$B$3:$B$5001,$D$2)))</f>
        <v>0</v>
      </c>
      <c r="T23" s="32">
        <f>IF($B23="","",IF($B$2="Todos",SUMIFS(BD!$S$3:$S$5001,BD!$A$3:$A$5001,$B23),SUMIFS(BD!$S$3:$S$5001,BD!$A$3:$A$5001,$B23,BD!$B$3:$B$5001,$D$2)))</f>
        <v>0</v>
      </c>
      <c r="U23" s="32">
        <f>IF($B23="","",IF($B$2="Todos",SUMIFS(BD!$T$3:$T$5001,BD!$A$3:$A$5001,$B23),SUMIFS(BD!$T$3:$T$5001,BD!$A$3:$A$5001,$B23,BD!$B$3:$B$5001,$D$2)))</f>
        <v>0</v>
      </c>
      <c r="V23" s="32">
        <f>IF($B23="","",IF($B$2="Todos",SUMIFS(BD!$U$3:$U$5001,BD!$A$3:$A$5001,$B23),SUMIFS(BD!$U$3:$U$5001,BD!$A$3:$A$5001,$B23,BD!$B$3:$B$5001,$D$2)))</f>
        <v>0</v>
      </c>
      <c r="W23" s="50">
        <f>$B$5</f>
        <v>0.7</v>
      </c>
      <c r="X23" s="50">
        <f>$B$6</f>
        <v>0.9</v>
      </c>
      <c r="AL23" s="29" t="inlineStr">
        <is>
          <t xml:space="preserve">DEZEMBRO · 2026</t>
        </is>
      </c>
      <c r="AN23" s="29" t="str">
        <f>IFERROR(INDEX(Config!$B$10:$B$29,MATCH(11,$AP$13:$AP$32,0))&amp;"","")</f>
        <v/>
      </c>
      <c r="AO23" s="28" t="str">
        <f>IF(AN23="","",IF(INDEX(Config!$C$10:$C$29,MATCH(11,$AP$13:$AP$32,0))&amp;""="","JSL",INDEX(Config!$C$10:$C$29,MATCH(11,$AP$13:$AP$32,0))&amp;""))</f>
        <v/>
      </c>
      <c r="AP23" s="38">
        <f>IF(Config!$B$20&amp;""="",AP22,AP22+1)</f>
        <v>5</v>
      </c>
    </row>
    <row r="24">
      <c r="A24" s="28">
        <v>13</v>
      </c>
      <c r="B24" s="46">
        <f>IF($A24&lt;=DAY($D$7),$C$7+$A24-1,"")</f>
        <v>46308</v>
      </c>
      <c r="C24" s="32">
        <f>IF($B24="","",IF($B$2="Todos",SUMIFS(BD!$C$3:$C$5001,BD!$A$3:$A$5001,$B24),SUMIFS(BD!$C$3:$C$5001,BD!$A$3:$A$5001,$B24,BD!$B$3:$B$5001,$D$2)))</f>
        <v>0</v>
      </c>
      <c r="D24" s="32">
        <f>IF($B24="","",IF($B$2="Todos",SUMIFS(BD!$D$3:$D$5001,BD!$A$3:$A$5001,$B24),SUMIFS(BD!$D$3:$D$5001,BD!$A$3:$A$5001,$B24,BD!$B$3:$B$5001,$D$2)))</f>
        <v>0</v>
      </c>
      <c r="E24" s="47">
        <f>IF($B24="","",IF($B$2="Todos",SUMIFS(BD!$E$3:$E$5001,BD!$A$3:$A$5001,$B24),SUMIFS(BD!$E$3:$E$5001,BD!$A$3:$A$5001,$B24,BD!$B$3:$B$5001,$D$2)))</f>
        <v>0</v>
      </c>
      <c r="F24" s="32">
        <f>IF($B24="","",IF($B$2="Todos",SUMIFS(BD!$F$3:$F$5001,BD!$A$3:$A$5001,$B24),SUMIFS(BD!$F$3:$F$5001,BD!$A$3:$A$5001,$B24,BD!$B$3:$B$5001,$D$2)))</f>
        <v>0</v>
      </c>
      <c r="G24" s="32">
        <f>IF($B24="","",IF($B$2="Todos",SUMIFS(BD!$G$3:$G$5001,BD!$A$3:$A$5001,$B24),SUMIFS(BD!$G$3:$G$5001,BD!$A$3:$A$5001,$B24,BD!$B$3:$B$5001,$D$2)))</f>
        <v>0</v>
      </c>
      <c r="H24" s="47">
        <f>IF($B24="","",IF($B$2="Todos",SUMIFS(BD!$H$3:$H$5001,BD!$A$3:$A$5001,$B24),SUMIFS(BD!$H$3:$H$5001,BD!$A$3:$A$5001,$B24,BD!$B$3:$B$5001,$D$2)))</f>
        <v>0</v>
      </c>
      <c r="I24" s="32">
        <f>IF($B24="","",IF($B$2="Todos",SUMIFS(BD!$I$3:$I$5001,BD!$A$3:$A$5001,$B24),SUMIFS(BD!$I$3:$I$5001,BD!$A$3:$A$5001,$B24,BD!$B$3:$B$5001,$D$2)))</f>
        <v>0</v>
      </c>
      <c r="J24" s="32">
        <f>IF($B24="","",IF($B$2="Todos",SUMIFS(BD!$J$3:$J$5001,BD!$A$3:$A$5001,$B24),SUMIFS(BD!$J$3:$J$5001,BD!$A$3:$A$5001,$B24,BD!$B$3:$B$5001,$D$2)))</f>
        <v>0</v>
      </c>
      <c r="K24" s="32" t="str">
        <f>IF($B$2="Todos",IF(COUNT($C$127:$V$127)=0,"",SUM($C$127:$V$127)),IFERROR(INDEX($C$127:$V$127,MATCH($D$2,$C$114:$V$114,0)),""))</f>
        <v/>
      </c>
      <c r="L24" s="48" t="str">
        <f>IF(M24="","",IF($B$2="Todos",IF($B$4&gt;0,$B$4,IF($B$2="Todos",IF(COUNT($C$197:$V$197)=0,"",SUM($C$197:$V$197)),IFERROR(INDEX($C$197:$V$197,MATCH($D$2,$C$184:$V$184,0)),""))),IFERROR(INDEX($C$197:$V$197,MATCH($D$2,$C$184:$V$184,0)),"")))</f>
        <v/>
      </c>
      <c r="M24" s="32" t="str">
        <f>IF($B$2="Todos",IF(COUNT($C$162:$V$162)=0,"",SUM($C$162:$V$162)),IFERROR(INDEX($C$162:$V$162,MATCH($D$2,$C$149:$V$149,0)),""))</f>
        <v/>
      </c>
      <c r="N24" s="49" t="str">
        <f>IF(AND(ISNUMBER(M24),ISNUMBER(L24)),IF(L24&gt;0,M24/L24,""),"")</f>
        <v/>
      </c>
      <c r="O24" s="32" t="str">
        <f>IF($B$2="Todos",IF(COUNT($C$232:$V$232)=0,"",SUM($C$232:$V$232)),IFERROR(INDEX($C$232:$V$232,MATCH($D$2,$C$219:$V$219,0)),""))</f>
        <v/>
      </c>
      <c r="P24" s="32">
        <f>IF($B24="","",IF($B$2="Todos",SUMIFS(BD!$O$3:$O$5001,BD!$A$3:$A$5001,$B24),SUMIFS(BD!$O$3:$O$5001,BD!$A$3:$A$5001,$B24,BD!$B$3:$B$5001,$D$2)))</f>
        <v>0</v>
      </c>
      <c r="Q24" s="32">
        <f>IF($B24="","",IF($B$2="Todos",SUMIFS(BD!$P$3:$P$5001,BD!$A$3:$A$5001,$B24),SUMIFS(BD!$P$3:$P$5001,BD!$A$3:$A$5001,$B24,BD!$B$3:$B$5001,$D$2)))</f>
        <v>0</v>
      </c>
      <c r="R24" s="32">
        <f>IF($B24="","",IF($B$2="Todos",SUMIFS(BD!$Q$3:$Q$5001,BD!$A$3:$A$5001,$B24),SUMIFS(BD!$Q$3:$Q$5001,BD!$A$3:$A$5001,$B24,BD!$B$3:$B$5001,$D$2)))</f>
        <v>0</v>
      </c>
      <c r="S24" s="32">
        <f>IF($B24="","",IF($B$2="Todos",SUMIFS(BD!$R$3:$R$5001,BD!$A$3:$A$5001,$B24),SUMIFS(BD!$R$3:$R$5001,BD!$A$3:$A$5001,$B24,BD!$B$3:$B$5001,$D$2)))</f>
        <v>0</v>
      </c>
      <c r="T24" s="32">
        <f>IF($B24="","",IF($B$2="Todos",SUMIFS(BD!$S$3:$S$5001,BD!$A$3:$A$5001,$B24),SUMIFS(BD!$S$3:$S$5001,BD!$A$3:$A$5001,$B24,BD!$B$3:$B$5001,$D$2)))</f>
        <v>0</v>
      </c>
      <c r="U24" s="32">
        <f>IF($B24="","",IF($B$2="Todos",SUMIFS(BD!$T$3:$T$5001,BD!$A$3:$A$5001,$B24),SUMIFS(BD!$T$3:$T$5001,BD!$A$3:$A$5001,$B24,BD!$B$3:$B$5001,$D$2)))</f>
        <v>0</v>
      </c>
      <c r="V24" s="32">
        <f>IF($B24="","",IF($B$2="Todos",SUMIFS(BD!$U$3:$U$5001,BD!$A$3:$A$5001,$B24),SUMIFS(BD!$U$3:$U$5001,BD!$A$3:$A$5001,$B24,BD!$B$3:$B$5001,$D$2)))</f>
        <v>0</v>
      </c>
      <c r="W24" s="50">
        <f>$B$5</f>
        <v>0.7</v>
      </c>
      <c r="X24" s="50">
        <f>$B$6</f>
        <v>0.9</v>
      </c>
      <c r="AN24" s="29" t="str">
        <f>IFERROR(INDEX(Config!$B$10:$B$29,MATCH(12,$AP$13:$AP$32,0))&amp;"","")</f>
        <v/>
      </c>
      <c r="AO24" s="28" t="str">
        <f>IF(AN24="","",IF(INDEX(Config!$C$10:$C$29,MATCH(12,$AP$13:$AP$32,0))&amp;""="","JSL",INDEX(Config!$C$10:$C$29,MATCH(12,$AP$13:$AP$32,0))&amp;""))</f>
        <v/>
      </c>
      <c r="AP24" s="38">
        <f>IF(Config!$B$21&amp;""="",AP23,AP23+1)</f>
        <v>5</v>
      </c>
    </row>
    <row r="25">
      <c r="A25" s="28">
        <v>14</v>
      </c>
      <c r="B25" s="46">
        <f>IF($A25&lt;=DAY($D$7),$C$7+$A25-1,"")</f>
        <v>46309</v>
      </c>
      <c r="C25" s="32">
        <f>IF($B25="","",IF($B$2="Todos",SUMIFS(BD!$C$3:$C$5001,BD!$A$3:$A$5001,$B25),SUMIFS(BD!$C$3:$C$5001,BD!$A$3:$A$5001,$B25,BD!$B$3:$B$5001,$D$2)))</f>
        <v>0</v>
      </c>
      <c r="D25" s="32">
        <f>IF($B25="","",IF($B$2="Todos",SUMIFS(BD!$D$3:$D$5001,BD!$A$3:$A$5001,$B25),SUMIFS(BD!$D$3:$D$5001,BD!$A$3:$A$5001,$B25,BD!$B$3:$B$5001,$D$2)))</f>
        <v>0</v>
      </c>
      <c r="E25" s="47">
        <f>IF($B25="","",IF($B$2="Todos",SUMIFS(BD!$E$3:$E$5001,BD!$A$3:$A$5001,$B25),SUMIFS(BD!$E$3:$E$5001,BD!$A$3:$A$5001,$B25,BD!$B$3:$B$5001,$D$2)))</f>
        <v>0</v>
      </c>
      <c r="F25" s="32">
        <f>IF($B25="","",IF($B$2="Todos",SUMIFS(BD!$F$3:$F$5001,BD!$A$3:$A$5001,$B25),SUMIFS(BD!$F$3:$F$5001,BD!$A$3:$A$5001,$B25,BD!$B$3:$B$5001,$D$2)))</f>
        <v>0</v>
      </c>
      <c r="G25" s="32">
        <f>IF($B25="","",IF($B$2="Todos",SUMIFS(BD!$G$3:$G$5001,BD!$A$3:$A$5001,$B25),SUMIFS(BD!$G$3:$G$5001,BD!$A$3:$A$5001,$B25,BD!$B$3:$B$5001,$D$2)))</f>
        <v>0</v>
      </c>
      <c r="H25" s="47">
        <f>IF($B25="","",IF($B$2="Todos",SUMIFS(BD!$H$3:$H$5001,BD!$A$3:$A$5001,$B25),SUMIFS(BD!$H$3:$H$5001,BD!$A$3:$A$5001,$B25,BD!$B$3:$B$5001,$D$2)))</f>
        <v>0</v>
      </c>
      <c r="I25" s="32">
        <f>IF($B25="","",IF($B$2="Todos",SUMIFS(BD!$I$3:$I$5001,BD!$A$3:$A$5001,$B25),SUMIFS(BD!$I$3:$I$5001,BD!$A$3:$A$5001,$B25,BD!$B$3:$B$5001,$D$2)))</f>
        <v>0</v>
      </c>
      <c r="J25" s="32">
        <f>IF($B25="","",IF($B$2="Todos",SUMIFS(BD!$J$3:$J$5001,BD!$A$3:$A$5001,$B25),SUMIFS(BD!$J$3:$J$5001,BD!$A$3:$A$5001,$B25,BD!$B$3:$B$5001,$D$2)))</f>
        <v>0</v>
      </c>
      <c r="K25" s="32" t="str">
        <f>IF($B$2="Todos",IF(COUNT($C$128:$V$128)=0,"",SUM($C$128:$V$128)),IFERROR(INDEX($C$128:$V$128,MATCH($D$2,$C$114:$V$114,0)),""))</f>
        <v/>
      </c>
      <c r="L25" s="48" t="str">
        <f>IF(M25="","",IF($B$2="Todos",IF($B$4&gt;0,$B$4,IF($B$2="Todos",IF(COUNT($C$198:$V$198)=0,"",SUM($C$198:$V$198)),IFERROR(INDEX($C$198:$V$198,MATCH($D$2,$C$184:$V$184,0)),""))),IFERROR(INDEX($C$198:$V$198,MATCH($D$2,$C$184:$V$184,0)),"")))</f>
        <v/>
      </c>
      <c r="M25" s="32" t="str">
        <f>IF($B$2="Todos",IF(COUNT($C$163:$V$163)=0,"",SUM($C$163:$V$163)),IFERROR(INDEX($C$163:$V$163,MATCH($D$2,$C$149:$V$149,0)),""))</f>
        <v/>
      </c>
      <c r="N25" s="49" t="str">
        <f>IF(AND(ISNUMBER(M25),ISNUMBER(L25)),IF(L25&gt;0,M25/L25,""),"")</f>
        <v/>
      </c>
      <c r="O25" s="32" t="str">
        <f>IF($B$2="Todos",IF(COUNT($C$233:$V$233)=0,"",SUM($C$233:$V$233)),IFERROR(INDEX($C$233:$V$233,MATCH($D$2,$C$219:$V$219,0)),""))</f>
        <v/>
      </c>
      <c r="P25" s="32">
        <f>IF($B25="","",IF($B$2="Todos",SUMIFS(BD!$O$3:$O$5001,BD!$A$3:$A$5001,$B25),SUMIFS(BD!$O$3:$O$5001,BD!$A$3:$A$5001,$B25,BD!$B$3:$B$5001,$D$2)))</f>
        <v>0</v>
      </c>
      <c r="Q25" s="32">
        <f>IF($B25="","",IF($B$2="Todos",SUMIFS(BD!$P$3:$P$5001,BD!$A$3:$A$5001,$B25),SUMIFS(BD!$P$3:$P$5001,BD!$A$3:$A$5001,$B25,BD!$B$3:$B$5001,$D$2)))</f>
        <v>0</v>
      </c>
      <c r="R25" s="32">
        <f>IF($B25="","",IF($B$2="Todos",SUMIFS(BD!$Q$3:$Q$5001,BD!$A$3:$A$5001,$B25),SUMIFS(BD!$Q$3:$Q$5001,BD!$A$3:$A$5001,$B25,BD!$B$3:$B$5001,$D$2)))</f>
        <v>0</v>
      </c>
      <c r="S25" s="32">
        <f>IF($B25="","",IF($B$2="Todos",SUMIFS(BD!$R$3:$R$5001,BD!$A$3:$A$5001,$B25),SUMIFS(BD!$R$3:$R$5001,BD!$A$3:$A$5001,$B25,BD!$B$3:$B$5001,$D$2)))</f>
        <v>0</v>
      </c>
      <c r="T25" s="32">
        <f>IF($B25="","",IF($B$2="Todos",SUMIFS(BD!$S$3:$S$5001,BD!$A$3:$A$5001,$B25),SUMIFS(BD!$S$3:$S$5001,BD!$A$3:$A$5001,$B25,BD!$B$3:$B$5001,$D$2)))</f>
        <v>0</v>
      </c>
      <c r="U25" s="32">
        <f>IF($B25="","",IF($B$2="Todos",SUMIFS(BD!$T$3:$T$5001,BD!$A$3:$A$5001,$B25),SUMIFS(BD!$T$3:$T$5001,BD!$A$3:$A$5001,$B25,BD!$B$3:$B$5001,$D$2)))</f>
        <v>0</v>
      </c>
      <c r="V25" s="32">
        <f>IF($B25="","",IF($B$2="Todos",SUMIFS(BD!$U$3:$U$5001,BD!$A$3:$A$5001,$B25),SUMIFS(BD!$U$3:$U$5001,BD!$A$3:$A$5001,$B25,BD!$B$3:$B$5001,$D$2)))</f>
        <v>0</v>
      </c>
      <c r="W25" s="50">
        <f>$B$5</f>
        <v>0.7</v>
      </c>
      <c r="X25" s="50">
        <f>$B$6</f>
        <v>0.9</v>
      </c>
      <c r="AN25" s="29" t="str">
        <f>IFERROR(INDEX(Config!$B$10:$B$29,MATCH(13,$AP$13:$AP$32,0))&amp;"","")</f>
        <v/>
      </c>
      <c r="AO25" s="28" t="str">
        <f>IF(AN25="","",IF(INDEX(Config!$C$10:$C$29,MATCH(13,$AP$13:$AP$32,0))&amp;""="","JSL",INDEX(Config!$C$10:$C$29,MATCH(13,$AP$13:$AP$32,0))&amp;""))</f>
        <v/>
      </c>
      <c r="AP25" s="38">
        <f>IF(Config!$B$22&amp;""="",AP24,AP24+1)</f>
        <v>5</v>
      </c>
    </row>
    <row r="26">
      <c r="A26" s="28">
        <v>15</v>
      </c>
      <c r="B26" s="46">
        <f>IF($A26&lt;=DAY($D$7),$C$7+$A26-1,"")</f>
        <v>46310</v>
      </c>
      <c r="C26" s="32">
        <f>IF($B26="","",IF($B$2="Todos",SUMIFS(BD!$C$3:$C$5001,BD!$A$3:$A$5001,$B26),SUMIFS(BD!$C$3:$C$5001,BD!$A$3:$A$5001,$B26,BD!$B$3:$B$5001,$D$2)))</f>
        <v>0</v>
      </c>
      <c r="D26" s="32">
        <f>IF($B26="","",IF($B$2="Todos",SUMIFS(BD!$D$3:$D$5001,BD!$A$3:$A$5001,$B26),SUMIFS(BD!$D$3:$D$5001,BD!$A$3:$A$5001,$B26,BD!$B$3:$B$5001,$D$2)))</f>
        <v>0</v>
      </c>
      <c r="E26" s="47">
        <f>IF($B26="","",IF($B$2="Todos",SUMIFS(BD!$E$3:$E$5001,BD!$A$3:$A$5001,$B26),SUMIFS(BD!$E$3:$E$5001,BD!$A$3:$A$5001,$B26,BD!$B$3:$B$5001,$D$2)))</f>
        <v>0</v>
      </c>
      <c r="F26" s="32">
        <f>IF($B26="","",IF($B$2="Todos",SUMIFS(BD!$F$3:$F$5001,BD!$A$3:$A$5001,$B26),SUMIFS(BD!$F$3:$F$5001,BD!$A$3:$A$5001,$B26,BD!$B$3:$B$5001,$D$2)))</f>
        <v>0</v>
      </c>
      <c r="G26" s="32">
        <f>IF($B26="","",IF($B$2="Todos",SUMIFS(BD!$G$3:$G$5001,BD!$A$3:$A$5001,$B26),SUMIFS(BD!$G$3:$G$5001,BD!$A$3:$A$5001,$B26,BD!$B$3:$B$5001,$D$2)))</f>
        <v>0</v>
      </c>
      <c r="H26" s="47">
        <f>IF($B26="","",IF($B$2="Todos",SUMIFS(BD!$H$3:$H$5001,BD!$A$3:$A$5001,$B26),SUMIFS(BD!$H$3:$H$5001,BD!$A$3:$A$5001,$B26,BD!$B$3:$B$5001,$D$2)))</f>
        <v>0</v>
      </c>
      <c r="I26" s="32">
        <f>IF($B26="","",IF($B$2="Todos",SUMIFS(BD!$I$3:$I$5001,BD!$A$3:$A$5001,$B26),SUMIFS(BD!$I$3:$I$5001,BD!$A$3:$A$5001,$B26,BD!$B$3:$B$5001,$D$2)))</f>
        <v>0</v>
      </c>
      <c r="J26" s="32">
        <f>IF($B26="","",IF($B$2="Todos",SUMIFS(BD!$J$3:$J$5001,BD!$A$3:$A$5001,$B26),SUMIFS(BD!$J$3:$J$5001,BD!$A$3:$A$5001,$B26,BD!$B$3:$B$5001,$D$2)))</f>
        <v>0</v>
      </c>
      <c r="K26" s="32" t="str">
        <f>IF($B$2="Todos",IF(COUNT($C$129:$V$129)=0,"",SUM($C$129:$V$129)),IFERROR(INDEX($C$129:$V$129,MATCH($D$2,$C$114:$V$114,0)),""))</f>
        <v/>
      </c>
      <c r="L26" s="48" t="str">
        <f>IF(M26="","",IF($B$2="Todos",IF($B$4&gt;0,$B$4,IF($B$2="Todos",IF(COUNT($C$199:$V$199)=0,"",SUM($C$199:$V$199)),IFERROR(INDEX($C$199:$V$199,MATCH($D$2,$C$184:$V$184,0)),""))),IFERROR(INDEX($C$199:$V$199,MATCH($D$2,$C$184:$V$184,0)),"")))</f>
        <v/>
      </c>
      <c r="M26" s="32" t="str">
        <f>IF($B$2="Todos",IF(COUNT($C$164:$V$164)=0,"",SUM($C$164:$V$164)),IFERROR(INDEX($C$164:$V$164,MATCH($D$2,$C$149:$V$149,0)),""))</f>
        <v/>
      </c>
      <c r="N26" s="49" t="str">
        <f>IF(AND(ISNUMBER(M26),ISNUMBER(L26)),IF(L26&gt;0,M26/L26,""),"")</f>
        <v/>
      </c>
      <c r="O26" s="32" t="str">
        <f>IF($B$2="Todos",IF(COUNT($C$234:$V$234)=0,"",SUM($C$234:$V$234)),IFERROR(INDEX($C$234:$V$234,MATCH($D$2,$C$219:$V$219,0)),""))</f>
        <v/>
      </c>
      <c r="P26" s="32">
        <f>IF($B26="","",IF($B$2="Todos",SUMIFS(BD!$O$3:$O$5001,BD!$A$3:$A$5001,$B26),SUMIFS(BD!$O$3:$O$5001,BD!$A$3:$A$5001,$B26,BD!$B$3:$B$5001,$D$2)))</f>
        <v>0</v>
      </c>
      <c r="Q26" s="32">
        <f>IF($B26="","",IF($B$2="Todos",SUMIFS(BD!$P$3:$P$5001,BD!$A$3:$A$5001,$B26),SUMIFS(BD!$P$3:$P$5001,BD!$A$3:$A$5001,$B26,BD!$B$3:$B$5001,$D$2)))</f>
        <v>0</v>
      </c>
      <c r="R26" s="32">
        <f>IF($B26="","",IF($B$2="Todos",SUMIFS(BD!$Q$3:$Q$5001,BD!$A$3:$A$5001,$B26),SUMIFS(BD!$Q$3:$Q$5001,BD!$A$3:$A$5001,$B26,BD!$B$3:$B$5001,$D$2)))</f>
        <v>0</v>
      </c>
      <c r="S26" s="32">
        <f>IF($B26="","",IF($B$2="Todos",SUMIFS(BD!$R$3:$R$5001,BD!$A$3:$A$5001,$B26),SUMIFS(BD!$R$3:$R$5001,BD!$A$3:$A$5001,$B26,BD!$B$3:$B$5001,$D$2)))</f>
        <v>0</v>
      </c>
      <c r="T26" s="32">
        <f>IF($B26="","",IF($B$2="Todos",SUMIFS(BD!$S$3:$S$5001,BD!$A$3:$A$5001,$B26),SUMIFS(BD!$S$3:$S$5001,BD!$A$3:$A$5001,$B26,BD!$B$3:$B$5001,$D$2)))</f>
        <v>0</v>
      </c>
      <c r="U26" s="32">
        <f>IF($B26="","",IF($B$2="Todos",SUMIFS(BD!$T$3:$T$5001,BD!$A$3:$A$5001,$B26),SUMIFS(BD!$T$3:$T$5001,BD!$A$3:$A$5001,$B26,BD!$B$3:$B$5001,$D$2)))</f>
        <v>0</v>
      </c>
      <c r="V26" s="32">
        <f>IF($B26="","",IF($B$2="Todos",SUMIFS(BD!$U$3:$U$5001,BD!$A$3:$A$5001,$B26),SUMIFS(BD!$U$3:$U$5001,BD!$A$3:$A$5001,$B26,BD!$B$3:$B$5001,$D$2)))</f>
        <v>0</v>
      </c>
      <c r="W26" s="50">
        <f>$B$5</f>
        <v>0.7</v>
      </c>
      <c r="X26" s="50">
        <f>$B$6</f>
        <v>0.9</v>
      </c>
      <c r="AN26" s="29" t="str">
        <f>IFERROR(INDEX(Config!$B$10:$B$29,MATCH(14,$AP$13:$AP$32,0))&amp;"","")</f>
        <v/>
      </c>
      <c r="AO26" s="28" t="str">
        <f>IF(AN26="","",IF(INDEX(Config!$C$10:$C$29,MATCH(14,$AP$13:$AP$32,0))&amp;""="","JSL",INDEX(Config!$C$10:$C$29,MATCH(14,$AP$13:$AP$32,0))&amp;""))</f>
        <v/>
      </c>
      <c r="AP26" s="38">
        <f>IF(Config!$B$23&amp;""="",AP25,AP25+1)</f>
        <v>5</v>
      </c>
    </row>
    <row r="27">
      <c r="A27" s="28">
        <v>16</v>
      </c>
      <c r="B27" s="46">
        <f>IF($A27&lt;=DAY($D$7),$C$7+$A27-1,"")</f>
        <v>46311</v>
      </c>
      <c r="C27" s="32">
        <f>IF($B27="","",IF($B$2="Todos",SUMIFS(BD!$C$3:$C$5001,BD!$A$3:$A$5001,$B27),SUMIFS(BD!$C$3:$C$5001,BD!$A$3:$A$5001,$B27,BD!$B$3:$B$5001,$D$2)))</f>
        <v>0</v>
      </c>
      <c r="D27" s="32">
        <f>IF($B27="","",IF($B$2="Todos",SUMIFS(BD!$D$3:$D$5001,BD!$A$3:$A$5001,$B27),SUMIFS(BD!$D$3:$D$5001,BD!$A$3:$A$5001,$B27,BD!$B$3:$B$5001,$D$2)))</f>
        <v>0</v>
      </c>
      <c r="E27" s="47">
        <f>IF($B27="","",IF($B$2="Todos",SUMIFS(BD!$E$3:$E$5001,BD!$A$3:$A$5001,$B27),SUMIFS(BD!$E$3:$E$5001,BD!$A$3:$A$5001,$B27,BD!$B$3:$B$5001,$D$2)))</f>
        <v>0</v>
      </c>
      <c r="F27" s="32">
        <f>IF($B27="","",IF($B$2="Todos",SUMIFS(BD!$F$3:$F$5001,BD!$A$3:$A$5001,$B27),SUMIFS(BD!$F$3:$F$5001,BD!$A$3:$A$5001,$B27,BD!$B$3:$B$5001,$D$2)))</f>
        <v>0</v>
      </c>
      <c r="G27" s="32">
        <f>IF($B27="","",IF($B$2="Todos",SUMIFS(BD!$G$3:$G$5001,BD!$A$3:$A$5001,$B27),SUMIFS(BD!$G$3:$G$5001,BD!$A$3:$A$5001,$B27,BD!$B$3:$B$5001,$D$2)))</f>
        <v>0</v>
      </c>
      <c r="H27" s="47">
        <f>IF($B27="","",IF($B$2="Todos",SUMIFS(BD!$H$3:$H$5001,BD!$A$3:$A$5001,$B27),SUMIFS(BD!$H$3:$H$5001,BD!$A$3:$A$5001,$B27,BD!$B$3:$B$5001,$D$2)))</f>
        <v>0</v>
      </c>
      <c r="I27" s="32">
        <f>IF($B27="","",IF($B$2="Todos",SUMIFS(BD!$I$3:$I$5001,BD!$A$3:$A$5001,$B27),SUMIFS(BD!$I$3:$I$5001,BD!$A$3:$A$5001,$B27,BD!$B$3:$B$5001,$D$2)))</f>
        <v>0</v>
      </c>
      <c r="J27" s="32">
        <f>IF($B27="","",IF($B$2="Todos",SUMIFS(BD!$J$3:$J$5001,BD!$A$3:$A$5001,$B27),SUMIFS(BD!$J$3:$J$5001,BD!$A$3:$A$5001,$B27,BD!$B$3:$B$5001,$D$2)))</f>
        <v>0</v>
      </c>
      <c r="K27" s="32" t="str">
        <f>IF($B$2="Todos",IF(COUNT($C$130:$V$130)=0,"",SUM($C$130:$V$130)),IFERROR(INDEX($C$130:$V$130,MATCH($D$2,$C$114:$V$114,0)),""))</f>
        <v/>
      </c>
      <c r="L27" s="48" t="str">
        <f>IF(M27="","",IF($B$2="Todos",IF($B$4&gt;0,$B$4,IF($B$2="Todos",IF(COUNT($C$200:$V$200)=0,"",SUM($C$200:$V$200)),IFERROR(INDEX($C$200:$V$200,MATCH($D$2,$C$184:$V$184,0)),""))),IFERROR(INDEX($C$200:$V$200,MATCH($D$2,$C$184:$V$184,0)),"")))</f>
        <v/>
      </c>
      <c r="M27" s="32" t="str">
        <f>IF($B$2="Todos",IF(COUNT($C$165:$V$165)=0,"",SUM($C$165:$V$165)),IFERROR(INDEX($C$165:$V$165,MATCH($D$2,$C$149:$V$149,0)),""))</f>
        <v/>
      </c>
      <c r="N27" s="49" t="str">
        <f>IF(AND(ISNUMBER(M27),ISNUMBER(L27)),IF(L27&gt;0,M27/L27,""),"")</f>
        <v/>
      </c>
      <c r="O27" s="32" t="str">
        <f>IF($B$2="Todos",IF(COUNT($C$235:$V$235)=0,"",SUM($C$235:$V$235)),IFERROR(INDEX($C$235:$V$235,MATCH($D$2,$C$219:$V$219,0)),""))</f>
        <v/>
      </c>
      <c r="P27" s="32">
        <f>IF($B27="","",IF($B$2="Todos",SUMIFS(BD!$O$3:$O$5001,BD!$A$3:$A$5001,$B27),SUMIFS(BD!$O$3:$O$5001,BD!$A$3:$A$5001,$B27,BD!$B$3:$B$5001,$D$2)))</f>
        <v>0</v>
      </c>
      <c r="Q27" s="32">
        <f>IF($B27="","",IF($B$2="Todos",SUMIFS(BD!$P$3:$P$5001,BD!$A$3:$A$5001,$B27),SUMIFS(BD!$P$3:$P$5001,BD!$A$3:$A$5001,$B27,BD!$B$3:$B$5001,$D$2)))</f>
        <v>0</v>
      </c>
      <c r="R27" s="32">
        <f>IF($B27="","",IF($B$2="Todos",SUMIFS(BD!$Q$3:$Q$5001,BD!$A$3:$A$5001,$B27),SUMIFS(BD!$Q$3:$Q$5001,BD!$A$3:$A$5001,$B27,BD!$B$3:$B$5001,$D$2)))</f>
        <v>0</v>
      </c>
      <c r="S27" s="32">
        <f>IF($B27="","",IF($B$2="Todos",SUMIFS(BD!$R$3:$R$5001,BD!$A$3:$A$5001,$B27),SUMIFS(BD!$R$3:$R$5001,BD!$A$3:$A$5001,$B27,BD!$B$3:$B$5001,$D$2)))</f>
        <v>0</v>
      </c>
      <c r="T27" s="32">
        <f>IF($B27="","",IF($B$2="Todos",SUMIFS(BD!$S$3:$S$5001,BD!$A$3:$A$5001,$B27),SUMIFS(BD!$S$3:$S$5001,BD!$A$3:$A$5001,$B27,BD!$B$3:$B$5001,$D$2)))</f>
        <v>0</v>
      </c>
      <c r="U27" s="32">
        <f>IF($B27="","",IF($B$2="Todos",SUMIFS(BD!$T$3:$T$5001,BD!$A$3:$A$5001,$B27),SUMIFS(BD!$T$3:$T$5001,BD!$A$3:$A$5001,$B27,BD!$B$3:$B$5001,$D$2)))</f>
        <v>0</v>
      </c>
      <c r="V27" s="32">
        <f>IF($B27="","",IF($B$2="Todos",SUMIFS(BD!$U$3:$U$5001,BD!$A$3:$A$5001,$B27),SUMIFS(BD!$U$3:$U$5001,BD!$A$3:$A$5001,$B27,BD!$B$3:$B$5001,$D$2)))</f>
        <v>0</v>
      </c>
      <c r="W27" s="50">
        <f>$B$5</f>
        <v>0.7</v>
      </c>
      <c r="X27" s="50">
        <f>$B$6</f>
        <v>0.9</v>
      </c>
      <c r="AN27" s="29" t="str">
        <f>IFERROR(INDEX(Config!$B$10:$B$29,MATCH(15,$AP$13:$AP$32,0))&amp;"","")</f>
        <v/>
      </c>
      <c r="AO27" s="28" t="str">
        <f>IF(AN27="","",IF(INDEX(Config!$C$10:$C$29,MATCH(15,$AP$13:$AP$32,0))&amp;""="","JSL",INDEX(Config!$C$10:$C$29,MATCH(15,$AP$13:$AP$32,0))&amp;""))</f>
        <v/>
      </c>
      <c r="AP27" s="38">
        <f>IF(Config!$B$24&amp;""="",AP26,AP26+1)</f>
        <v>5</v>
      </c>
    </row>
    <row r="28">
      <c r="A28" s="28">
        <v>17</v>
      </c>
      <c r="B28" s="46">
        <f>IF($A28&lt;=DAY($D$7),$C$7+$A28-1,"")</f>
        <v>46312</v>
      </c>
      <c r="C28" s="32">
        <f>IF($B28="","",IF($B$2="Todos",SUMIFS(BD!$C$3:$C$5001,BD!$A$3:$A$5001,$B28),SUMIFS(BD!$C$3:$C$5001,BD!$A$3:$A$5001,$B28,BD!$B$3:$B$5001,$D$2)))</f>
        <v>0</v>
      </c>
      <c r="D28" s="32">
        <f>IF($B28="","",IF($B$2="Todos",SUMIFS(BD!$D$3:$D$5001,BD!$A$3:$A$5001,$B28),SUMIFS(BD!$D$3:$D$5001,BD!$A$3:$A$5001,$B28,BD!$B$3:$B$5001,$D$2)))</f>
        <v>0</v>
      </c>
      <c r="E28" s="47">
        <f>IF($B28="","",IF($B$2="Todos",SUMIFS(BD!$E$3:$E$5001,BD!$A$3:$A$5001,$B28),SUMIFS(BD!$E$3:$E$5001,BD!$A$3:$A$5001,$B28,BD!$B$3:$B$5001,$D$2)))</f>
        <v>0</v>
      </c>
      <c r="F28" s="32">
        <f>IF($B28="","",IF($B$2="Todos",SUMIFS(BD!$F$3:$F$5001,BD!$A$3:$A$5001,$B28),SUMIFS(BD!$F$3:$F$5001,BD!$A$3:$A$5001,$B28,BD!$B$3:$B$5001,$D$2)))</f>
        <v>0</v>
      </c>
      <c r="G28" s="32">
        <f>IF($B28="","",IF($B$2="Todos",SUMIFS(BD!$G$3:$G$5001,BD!$A$3:$A$5001,$B28),SUMIFS(BD!$G$3:$G$5001,BD!$A$3:$A$5001,$B28,BD!$B$3:$B$5001,$D$2)))</f>
        <v>0</v>
      </c>
      <c r="H28" s="47">
        <f>IF($B28="","",IF($B$2="Todos",SUMIFS(BD!$H$3:$H$5001,BD!$A$3:$A$5001,$B28),SUMIFS(BD!$H$3:$H$5001,BD!$A$3:$A$5001,$B28,BD!$B$3:$B$5001,$D$2)))</f>
        <v>0</v>
      </c>
      <c r="I28" s="32">
        <f>IF($B28="","",IF($B$2="Todos",SUMIFS(BD!$I$3:$I$5001,BD!$A$3:$A$5001,$B28),SUMIFS(BD!$I$3:$I$5001,BD!$A$3:$A$5001,$B28,BD!$B$3:$B$5001,$D$2)))</f>
        <v>0</v>
      </c>
      <c r="J28" s="32">
        <f>IF($B28="","",IF($B$2="Todos",SUMIFS(BD!$J$3:$J$5001,BD!$A$3:$A$5001,$B28),SUMIFS(BD!$J$3:$J$5001,BD!$A$3:$A$5001,$B28,BD!$B$3:$B$5001,$D$2)))</f>
        <v>0</v>
      </c>
      <c r="K28" s="32" t="str">
        <f>IF($B$2="Todos",IF(COUNT($C$131:$V$131)=0,"",SUM($C$131:$V$131)),IFERROR(INDEX($C$131:$V$131,MATCH($D$2,$C$114:$V$114,0)),""))</f>
        <v/>
      </c>
      <c r="L28" s="48" t="str">
        <f>IF(M28="","",IF($B$2="Todos",IF($B$4&gt;0,$B$4,IF($B$2="Todos",IF(COUNT($C$201:$V$201)=0,"",SUM($C$201:$V$201)),IFERROR(INDEX($C$201:$V$201,MATCH($D$2,$C$184:$V$184,0)),""))),IFERROR(INDEX($C$201:$V$201,MATCH($D$2,$C$184:$V$184,0)),"")))</f>
        <v/>
      </c>
      <c r="M28" s="32" t="str">
        <f>IF($B$2="Todos",IF(COUNT($C$166:$V$166)=0,"",SUM($C$166:$V$166)),IFERROR(INDEX($C$166:$V$166,MATCH($D$2,$C$149:$V$149,0)),""))</f>
        <v/>
      </c>
      <c r="N28" s="49" t="str">
        <f>IF(AND(ISNUMBER(M28),ISNUMBER(L28)),IF(L28&gt;0,M28/L28,""),"")</f>
        <v/>
      </c>
      <c r="O28" s="32" t="str">
        <f>IF($B$2="Todos",IF(COUNT($C$236:$V$236)=0,"",SUM($C$236:$V$236)),IFERROR(INDEX($C$236:$V$236,MATCH($D$2,$C$219:$V$219,0)),""))</f>
        <v/>
      </c>
      <c r="P28" s="32">
        <f>IF($B28="","",IF($B$2="Todos",SUMIFS(BD!$O$3:$O$5001,BD!$A$3:$A$5001,$B28),SUMIFS(BD!$O$3:$O$5001,BD!$A$3:$A$5001,$B28,BD!$B$3:$B$5001,$D$2)))</f>
        <v>0</v>
      </c>
      <c r="Q28" s="32">
        <f>IF($B28="","",IF($B$2="Todos",SUMIFS(BD!$P$3:$P$5001,BD!$A$3:$A$5001,$B28),SUMIFS(BD!$P$3:$P$5001,BD!$A$3:$A$5001,$B28,BD!$B$3:$B$5001,$D$2)))</f>
        <v>0</v>
      </c>
      <c r="R28" s="32">
        <f>IF($B28="","",IF($B$2="Todos",SUMIFS(BD!$Q$3:$Q$5001,BD!$A$3:$A$5001,$B28),SUMIFS(BD!$Q$3:$Q$5001,BD!$A$3:$A$5001,$B28,BD!$B$3:$B$5001,$D$2)))</f>
        <v>0</v>
      </c>
      <c r="S28" s="32">
        <f>IF($B28="","",IF($B$2="Todos",SUMIFS(BD!$R$3:$R$5001,BD!$A$3:$A$5001,$B28),SUMIFS(BD!$R$3:$R$5001,BD!$A$3:$A$5001,$B28,BD!$B$3:$B$5001,$D$2)))</f>
        <v>0</v>
      </c>
      <c r="T28" s="32">
        <f>IF($B28="","",IF($B$2="Todos",SUMIFS(BD!$S$3:$S$5001,BD!$A$3:$A$5001,$B28),SUMIFS(BD!$S$3:$S$5001,BD!$A$3:$A$5001,$B28,BD!$B$3:$B$5001,$D$2)))</f>
        <v>0</v>
      </c>
      <c r="U28" s="32">
        <f>IF($B28="","",IF($B$2="Todos",SUMIFS(BD!$T$3:$T$5001,BD!$A$3:$A$5001,$B28),SUMIFS(BD!$T$3:$T$5001,BD!$A$3:$A$5001,$B28,BD!$B$3:$B$5001,$D$2)))</f>
        <v>0</v>
      </c>
      <c r="V28" s="32">
        <f>IF($B28="","",IF($B$2="Todos",SUMIFS(BD!$U$3:$U$5001,BD!$A$3:$A$5001,$B28),SUMIFS(BD!$U$3:$U$5001,BD!$A$3:$A$5001,$B28,BD!$B$3:$B$5001,$D$2)))</f>
        <v>0</v>
      </c>
      <c r="W28" s="50">
        <f>$B$5</f>
        <v>0.7</v>
      </c>
      <c r="X28" s="50">
        <f>$B$6</f>
        <v>0.9</v>
      </c>
      <c r="AN28" s="29" t="str">
        <f>IFERROR(INDEX(Config!$B$10:$B$29,MATCH(16,$AP$13:$AP$32,0))&amp;"","")</f>
        <v/>
      </c>
      <c r="AO28" s="28" t="str">
        <f>IF(AN28="","",IF(INDEX(Config!$C$10:$C$29,MATCH(16,$AP$13:$AP$32,0))&amp;""="","JSL",INDEX(Config!$C$10:$C$29,MATCH(16,$AP$13:$AP$32,0))&amp;""))</f>
        <v/>
      </c>
      <c r="AP28" s="38">
        <f>IF(Config!$B$25&amp;""="",AP27,AP27+1)</f>
        <v>5</v>
      </c>
    </row>
    <row r="29">
      <c r="A29" s="28">
        <v>18</v>
      </c>
      <c r="B29" s="46">
        <f>IF($A29&lt;=DAY($D$7),$C$7+$A29-1,"")</f>
        <v>46313</v>
      </c>
      <c r="C29" s="32">
        <f>IF($B29="","",IF($B$2="Todos",SUMIFS(BD!$C$3:$C$5001,BD!$A$3:$A$5001,$B29),SUMIFS(BD!$C$3:$C$5001,BD!$A$3:$A$5001,$B29,BD!$B$3:$B$5001,$D$2)))</f>
        <v>0</v>
      </c>
      <c r="D29" s="32">
        <f>IF($B29="","",IF($B$2="Todos",SUMIFS(BD!$D$3:$D$5001,BD!$A$3:$A$5001,$B29),SUMIFS(BD!$D$3:$D$5001,BD!$A$3:$A$5001,$B29,BD!$B$3:$B$5001,$D$2)))</f>
        <v>0</v>
      </c>
      <c r="E29" s="47">
        <f>IF($B29="","",IF($B$2="Todos",SUMIFS(BD!$E$3:$E$5001,BD!$A$3:$A$5001,$B29),SUMIFS(BD!$E$3:$E$5001,BD!$A$3:$A$5001,$B29,BD!$B$3:$B$5001,$D$2)))</f>
        <v>0</v>
      </c>
      <c r="F29" s="32">
        <f>IF($B29="","",IF($B$2="Todos",SUMIFS(BD!$F$3:$F$5001,BD!$A$3:$A$5001,$B29),SUMIFS(BD!$F$3:$F$5001,BD!$A$3:$A$5001,$B29,BD!$B$3:$B$5001,$D$2)))</f>
        <v>0</v>
      </c>
      <c r="G29" s="32">
        <f>IF($B29="","",IF($B$2="Todos",SUMIFS(BD!$G$3:$G$5001,BD!$A$3:$A$5001,$B29),SUMIFS(BD!$G$3:$G$5001,BD!$A$3:$A$5001,$B29,BD!$B$3:$B$5001,$D$2)))</f>
        <v>0</v>
      </c>
      <c r="H29" s="47">
        <f>IF($B29="","",IF($B$2="Todos",SUMIFS(BD!$H$3:$H$5001,BD!$A$3:$A$5001,$B29),SUMIFS(BD!$H$3:$H$5001,BD!$A$3:$A$5001,$B29,BD!$B$3:$B$5001,$D$2)))</f>
        <v>0</v>
      </c>
      <c r="I29" s="32">
        <f>IF($B29="","",IF($B$2="Todos",SUMIFS(BD!$I$3:$I$5001,BD!$A$3:$A$5001,$B29),SUMIFS(BD!$I$3:$I$5001,BD!$A$3:$A$5001,$B29,BD!$B$3:$B$5001,$D$2)))</f>
        <v>0</v>
      </c>
      <c r="J29" s="32">
        <f>IF($B29="","",IF($B$2="Todos",SUMIFS(BD!$J$3:$J$5001,BD!$A$3:$A$5001,$B29),SUMIFS(BD!$J$3:$J$5001,BD!$A$3:$A$5001,$B29,BD!$B$3:$B$5001,$D$2)))</f>
        <v>0</v>
      </c>
      <c r="K29" s="32" t="str">
        <f>IF($B$2="Todos",IF(COUNT($C$132:$V$132)=0,"",SUM($C$132:$V$132)),IFERROR(INDEX($C$132:$V$132,MATCH($D$2,$C$114:$V$114,0)),""))</f>
        <v/>
      </c>
      <c r="L29" s="48" t="str">
        <f>IF(M29="","",IF($B$2="Todos",IF($B$4&gt;0,$B$4,IF($B$2="Todos",IF(COUNT($C$202:$V$202)=0,"",SUM($C$202:$V$202)),IFERROR(INDEX($C$202:$V$202,MATCH($D$2,$C$184:$V$184,0)),""))),IFERROR(INDEX($C$202:$V$202,MATCH($D$2,$C$184:$V$184,0)),"")))</f>
        <v/>
      </c>
      <c r="M29" s="32" t="str">
        <f>IF($B$2="Todos",IF(COUNT($C$167:$V$167)=0,"",SUM($C$167:$V$167)),IFERROR(INDEX($C$167:$V$167,MATCH($D$2,$C$149:$V$149,0)),""))</f>
        <v/>
      </c>
      <c r="N29" s="49" t="str">
        <f>IF(AND(ISNUMBER(M29),ISNUMBER(L29)),IF(L29&gt;0,M29/L29,""),"")</f>
        <v/>
      </c>
      <c r="O29" s="32" t="str">
        <f>IF($B$2="Todos",IF(COUNT($C$237:$V$237)=0,"",SUM($C$237:$V$237)),IFERROR(INDEX($C$237:$V$237,MATCH($D$2,$C$219:$V$219,0)),""))</f>
        <v/>
      </c>
      <c r="P29" s="32">
        <f>IF($B29="","",IF($B$2="Todos",SUMIFS(BD!$O$3:$O$5001,BD!$A$3:$A$5001,$B29),SUMIFS(BD!$O$3:$O$5001,BD!$A$3:$A$5001,$B29,BD!$B$3:$B$5001,$D$2)))</f>
        <v>0</v>
      </c>
      <c r="Q29" s="32">
        <f>IF($B29="","",IF($B$2="Todos",SUMIFS(BD!$P$3:$P$5001,BD!$A$3:$A$5001,$B29),SUMIFS(BD!$P$3:$P$5001,BD!$A$3:$A$5001,$B29,BD!$B$3:$B$5001,$D$2)))</f>
        <v>0</v>
      </c>
      <c r="R29" s="32">
        <f>IF($B29="","",IF($B$2="Todos",SUMIFS(BD!$Q$3:$Q$5001,BD!$A$3:$A$5001,$B29),SUMIFS(BD!$Q$3:$Q$5001,BD!$A$3:$A$5001,$B29,BD!$B$3:$B$5001,$D$2)))</f>
        <v>0</v>
      </c>
      <c r="S29" s="32">
        <f>IF($B29="","",IF($B$2="Todos",SUMIFS(BD!$R$3:$R$5001,BD!$A$3:$A$5001,$B29),SUMIFS(BD!$R$3:$R$5001,BD!$A$3:$A$5001,$B29,BD!$B$3:$B$5001,$D$2)))</f>
        <v>0</v>
      </c>
      <c r="T29" s="32">
        <f>IF($B29="","",IF($B$2="Todos",SUMIFS(BD!$S$3:$S$5001,BD!$A$3:$A$5001,$B29),SUMIFS(BD!$S$3:$S$5001,BD!$A$3:$A$5001,$B29,BD!$B$3:$B$5001,$D$2)))</f>
        <v>0</v>
      </c>
      <c r="U29" s="32">
        <f>IF($B29="","",IF($B$2="Todos",SUMIFS(BD!$T$3:$T$5001,BD!$A$3:$A$5001,$B29),SUMIFS(BD!$T$3:$T$5001,BD!$A$3:$A$5001,$B29,BD!$B$3:$B$5001,$D$2)))</f>
        <v>0</v>
      </c>
      <c r="V29" s="32">
        <f>IF($B29="","",IF($B$2="Todos",SUMIFS(BD!$U$3:$U$5001,BD!$A$3:$A$5001,$B29),SUMIFS(BD!$U$3:$U$5001,BD!$A$3:$A$5001,$B29,BD!$B$3:$B$5001,$D$2)))</f>
        <v>0</v>
      </c>
      <c r="W29" s="50">
        <f>$B$5</f>
        <v>0.7</v>
      </c>
      <c r="X29" s="50">
        <f>$B$6</f>
        <v>0.9</v>
      </c>
      <c r="AN29" s="29" t="str">
        <f>IFERROR(INDEX(Config!$B$10:$B$29,MATCH(17,$AP$13:$AP$32,0))&amp;"","")</f>
        <v/>
      </c>
      <c r="AO29" s="28" t="str">
        <f>IF(AN29="","",IF(INDEX(Config!$C$10:$C$29,MATCH(17,$AP$13:$AP$32,0))&amp;""="","JSL",INDEX(Config!$C$10:$C$29,MATCH(17,$AP$13:$AP$32,0))&amp;""))</f>
        <v/>
      </c>
      <c r="AP29" s="38">
        <f>IF(Config!$B$26&amp;""="",AP28,AP28+1)</f>
        <v>5</v>
      </c>
    </row>
    <row r="30">
      <c r="A30" s="28">
        <v>19</v>
      </c>
      <c r="B30" s="46">
        <f>IF($A30&lt;=DAY($D$7),$C$7+$A30-1,"")</f>
        <v>46314</v>
      </c>
      <c r="C30" s="32">
        <f>IF($B30="","",IF($B$2="Todos",SUMIFS(BD!$C$3:$C$5001,BD!$A$3:$A$5001,$B30),SUMIFS(BD!$C$3:$C$5001,BD!$A$3:$A$5001,$B30,BD!$B$3:$B$5001,$D$2)))</f>
        <v>0</v>
      </c>
      <c r="D30" s="32">
        <f>IF($B30="","",IF($B$2="Todos",SUMIFS(BD!$D$3:$D$5001,BD!$A$3:$A$5001,$B30),SUMIFS(BD!$D$3:$D$5001,BD!$A$3:$A$5001,$B30,BD!$B$3:$B$5001,$D$2)))</f>
        <v>0</v>
      </c>
      <c r="E30" s="47">
        <f>IF($B30="","",IF($B$2="Todos",SUMIFS(BD!$E$3:$E$5001,BD!$A$3:$A$5001,$B30),SUMIFS(BD!$E$3:$E$5001,BD!$A$3:$A$5001,$B30,BD!$B$3:$B$5001,$D$2)))</f>
        <v>0</v>
      </c>
      <c r="F30" s="32">
        <f>IF($B30="","",IF($B$2="Todos",SUMIFS(BD!$F$3:$F$5001,BD!$A$3:$A$5001,$B30),SUMIFS(BD!$F$3:$F$5001,BD!$A$3:$A$5001,$B30,BD!$B$3:$B$5001,$D$2)))</f>
        <v>0</v>
      </c>
      <c r="G30" s="32">
        <f>IF($B30="","",IF($B$2="Todos",SUMIFS(BD!$G$3:$G$5001,BD!$A$3:$A$5001,$B30),SUMIFS(BD!$G$3:$G$5001,BD!$A$3:$A$5001,$B30,BD!$B$3:$B$5001,$D$2)))</f>
        <v>0</v>
      </c>
      <c r="H30" s="47">
        <f>IF($B30="","",IF($B$2="Todos",SUMIFS(BD!$H$3:$H$5001,BD!$A$3:$A$5001,$B30),SUMIFS(BD!$H$3:$H$5001,BD!$A$3:$A$5001,$B30,BD!$B$3:$B$5001,$D$2)))</f>
        <v>0</v>
      </c>
      <c r="I30" s="32">
        <f>IF($B30="","",IF($B$2="Todos",SUMIFS(BD!$I$3:$I$5001,BD!$A$3:$A$5001,$B30),SUMIFS(BD!$I$3:$I$5001,BD!$A$3:$A$5001,$B30,BD!$B$3:$B$5001,$D$2)))</f>
        <v>0</v>
      </c>
      <c r="J30" s="32">
        <f>IF($B30="","",IF($B$2="Todos",SUMIFS(BD!$J$3:$J$5001,BD!$A$3:$A$5001,$B30),SUMIFS(BD!$J$3:$J$5001,BD!$A$3:$A$5001,$B30,BD!$B$3:$B$5001,$D$2)))</f>
        <v>0</v>
      </c>
      <c r="K30" s="32" t="str">
        <f>IF($B$2="Todos",IF(COUNT($C$133:$V$133)=0,"",SUM($C$133:$V$133)),IFERROR(INDEX($C$133:$V$133,MATCH($D$2,$C$114:$V$114,0)),""))</f>
        <v/>
      </c>
      <c r="L30" s="48" t="str">
        <f>IF(M30="","",IF($B$2="Todos",IF($B$4&gt;0,$B$4,IF($B$2="Todos",IF(COUNT($C$203:$V$203)=0,"",SUM($C$203:$V$203)),IFERROR(INDEX($C$203:$V$203,MATCH($D$2,$C$184:$V$184,0)),""))),IFERROR(INDEX($C$203:$V$203,MATCH($D$2,$C$184:$V$184,0)),"")))</f>
        <v/>
      </c>
      <c r="M30" s="32" t="str">
        <f>IF($B$2="Todos",IF(COUNT($C$168:$V$168)=0,"",SUM($C$168:$V$168)),IFERROR(INDEX($C$168:$V$168,MATCH($D$2,$C$149:$V$149,0)),""))</f>
        <v/>
      </c>
      <c r="N30" s="49" t="str">
        <f>IF(AND(ISNUMBER(M30),ISNUMBER(L30)),IF(L30&gt;0,M30/L30,""),"")</f>
        <v/>
      </c>
      <c r="O30" s="32" t="str">
        <f>IF($B$2="Todos",IF(COUNT($C$238:$V$238)=0,"",SUM($C$238:$V$238)),IFERROR(INDEX($C$238:$V$238,MATCH($D$2,$C$219:$V$219,0)),""))</f>
        <v/>
      </c>
      <c r="P30" s="32">
        <f>IF($B30="","",IF($B$2="Todos",SUMIFS(BD!$O$3:$O$5001,BD!$A$3:$A$5001,$B30),SUMIFS(BD!$O$3:$O$5001,BD!$A$3:$A$5001,$B30,BD!$B$3:$B$5001,$D$2)))</f>
        <v>0</v>
      </c>
      <c r="Q30" s="32">
        <f>IF($B30="","",IF($B$2="Todos",SUMIFS(BD!$P$3:$P$5001,BD!$A$3:$A$5001,$B30),SUMIFS(BD!$P$3:$P$5001,BD!$A$3:$A$5001,$B30,BD!$B$3:$B$5001,$D$2)))</f>
        <v>0</v>
      </c>
      <c r="R30" s="32">
        <f>IF($B30="","",IF($B$2="Todos",SUMIFS(BD!$Q$3:$Q$5001,BD!$A$3:$A$5001,$B30),SUMIFS(BD!$Q$3:$Q$5001,BD!$A$3:$A$5001,$B30,BD!$B$3:$B$5001,$D$2)))</f>
        <v>0</v>
      </c>
      <c r="S30" s="32">
        <f>IF($B30="","",IF($B$2="Todos",SUMIFS(BD!$R$3:$R$5001,BD!$A$3:$A$5001,$B30),SUMIFS(BD!$R$3:$R$5001,BD!$A$3:$A$5001,$B30,BD!$B$3:$B$5001,$D$2)))</f>
        <v>0</v>
      </c>
      <c r="T30" s="32">
        <f>IF($B30="","",IF($B$2="Todos",SUMIFS(BD!$S$3:$S$5001,BD!$A$3:$A$5001,$B30),SUMIFS(BD!$S$3:$S$5001,BD!$A$3:$A$5001,$B30,BD!$B$3:$B$5001,$D$2)))</f>
        <v>0</v>
      </c>
      <c r="U30" s="32">
        <f>IF($B30="","",IF($B$2="Todos",SUMIFS(BD!$T$3:$T$5001,BD!$A$3:$A$5001,$B30),SUMIFS(BD!$T$3:$T$5001,BD!$A$3:$A$5001,$B30,BD!$B$3:$B$5001,$D$2)))</f>
        <v>0</v>
      </c>
      <c r="V30" s="32">
        <f>IF($B30="","",IF($B$2="Todos",SUMIFS(BD!$U$3:$U$5001,BD!$A$3:$A$5001,$B30),SUMIFS(BD!$U$3:$U$5001,BD!$A$3:$A$5001,$B30,BD!$B$3:$B$5001,$D$2)))</f>
        <v>0</v>
      </c>
      <c r="W30" s="50">
        <f>$B$5</f>
        <v>0.7</v>
      </c>
      <c r="X30" s="50">
        <f>$B$6</f>
        <v>0.9</v>
      </c>
      <c r="AN30" s="29" t="str">
        <f>IFERROR(INDEX(Config!$B$10:$B$29,MATCH(18,$AP$13:$AP$32,0))&amp;"","")</f>
        <v/>
      </c>
      <c r="AO30" s="28" t="str">
        <f>IF(AN30="","",IF(INDEX(Config!$C$10:$C$29,MATCH(18,$AP$13:$AP$32,0))&amp;""="","JSL",INDEX(Config!$C$10:$C$29,MATCH(18,$AP$13:$AP$32,0))&amp;""))</f>
        <v/>
      </c>
      <c r="AP30" s="38">
        <f>IF(Config!$B$27&amp;""="",AP29,AP29+1)</f>
        <v>5</v>
      </c>
    </row>
    <row r="31">
      <c r="A31" s="28">
        <v>20</v>
      </c>
      <c r="B31" s="46">
        <f>IF($A31&lt;=DAY($D$7),$C$7+$A31-1,"")</f>
        <v>46315</v>
      </c>
      <c r="C31" s="32">
        <f>IF($B31="","",IF($B$2="Todos",SUMIFS(BD!$C$3:$C$5001,BD!$A$3:$A$5001,$B31),SUMIFS(BD!$C$3:$C$5001,BD!$A$3:$A$5001,$B31,BD!$B$3:$B$5001,$D$2)))</f>
        <v>0</v>
      </c>
      <c r="D31" s="32">
        <f>IF($B31="","",IF($B$2="Todos",SUMIFS(BD!$D$3:$D$5001,BD!$A$3:$A$5001,$B31),SUMIFS(BD!$D$3:$D$5001,BD!$A$3:$A$5001,$B31,BD!$B$3:$B$5001,$D$2)))</f>
        <v>0</v>
      </c>
      <c r="E31" s="47">
        <f>IF($B31="","",IF($B$2="Todos",SUMIFS(BD!$E$3:$E$5001,BD!$A$3:$A$5001,$B31),SUMIFS(BD!$E$3:$E$5001,BD!$A$3:$A$5001,$B31,BD!$B$3:$B$5001,$D$2)))</f>
        <v>0</v>
      </c>
      <c r="F31" s="32">
        <f>IF($B31="","",IF($B$2="Todos",SUMIFS(BD!$F$3:$F$5001,BD!$A$3:$A$5001,$B31),SUMIFS(BD!$F$3:$F$5001,BD!$A$3:$A$5001,$B31,BD!$B$3:$B$5001,$D$2)))</f>
        <v>0</v>
      </c>
      <c r="G31" s="32">
        <f>IF($B31="","",IF($B$2="Todos",SUMIFS(BD!$G$3:$G$5001,BD!$A$3:$A$5001,$B31),SUMIFS(BD!$G$3:$G$5001,BD!$A$3:$A$5001,$B31,BD!$B$3:$B$5001,$D$2)))</f>
        <v>0</v>
      </c>
      <c r="H31" s="47">
        <f>IF($B31="","",IF($B$2="Todos",SUMIFS(BD!$H$3:$H$5001,BD!$A$3:$A$5001,$B31),SUMIFS(BD!$H$3:$H$5001,BD!$A$3:$A$5001,$B31,BD!$B$3:$B$5001,$D$2)))</f>
        <v>0</v>
      </c>
      <c r="I31" s="32">
        <f>IF($B31="","",IF($B$2="Todos",SUMIFS(BD!$I$3:$I$5001,BD!$A$3:$A$5001,$B31),SUMIFS(BD!$I$3:$I$5001,BD!$A$3:$A$5001,$B31,BD!$B$3:$B$5001,$D$2)))</f>
        <v>0</v>
      </c>
      <c r="J31" s="32">
        <f>IF($B31="","",IF($B$2="Todos",SUMIFS(BD!$J$3:$J$5001,BD!$A$3:$A$5001,$B31),SUMIFS(BD!$J$3:$J$5001,BD!$A$3:$A$5001,$B31,BD!$B$3:$B$5001,$D$2)))</f>
        <v>0</v>
      </c>
      <c r="K31" s="32" t="str">
        <f>IF($B$2="Todos",IF(COUNT($C$134:$V$134)=0,"",SUM($C$134:$V$134)),IFERROR(INDEX($C$134:$V$134,MATCH($D$2,$C$114:$V$114,0)),""))</f>
        <v/>
      </c>
      <c r="L31" s="48" t="str">
        <f>IF(M31="","",IF($B$2="Todos",IF($B$4&gt;0,$B$4,IF($B$2="Todos",IF(COUNT($C$204:$V$204)=0,"",SUM($C$204:$V$204)),IFERROR(INDEX($C$204:$V$204,MATCH($D$2,$C$184:$V$184,0)),""))),IFERROR(INDEX($C$204:$V$204,MATCH($D$2,$C$184:$V$184,0)),"")))</f>
        <v/>
      </c>
      <c r="M31" s="32" t="str">
        <f>IF($B$2="Todos",IF(COUNT($C$169:$V$169)=0,"",SUM($C$169:$V$169)),IFERROR(INDEX($C$169:$V$169,MATCH($D$2,$C$149:$V$149,0)),""))</f>
        <v/>
      </c>
      <c r="N31" s="49" t="str">
        <f>IF(AND(ISNUMBER(M31),ISNUMBER(L31)),IF(L31&gt;0,M31/L31,""),"")</f>
        <v/>
      </c>
      <c r="O31" s="32" t="str">
        <f>IF($B$2="Todos",IF(COUNT($C$239:$V$239)=0,"",SUM($C$239:$V$239)),IFERROR(INDEX($C$239:$V$239,MATCH($D$2,$C$219:$V$219,0)),""))</f>
        <v/>
      </c>
      <c r="P31" s="32">
        <f>IF($B31="","",IF($B$2="Todos",SUMIFS(BD!$O$3:$O$5001,BD!$A$3:$A$5001,$B31),SUMIFS(BD!$O$3:$O$5001,BD!$A$3:$A$5001,$B31,BD!$B$3:$B$5001,$D$2)))</f>
        <v>0</v>
      </c>
      <c r="Q31" s="32">
        <f>IF($B31="","",IF($B$2="Todos",SUMIFS(BD!$P$3:$P$5001,BD!$A$3:$A$5001,$B31),SUMIFS(BD!$P$3:$P$5001,BD!$A$3:$A$5001,$B31,BD!$B$3:$B$5001,$D$2)))</f>
        <v>0</v>
      </c>
      <c r="R31" s="32">
        <f>IF($B31="","",IF($B$2="Todos",SUMIFS(BD!$Q$3:$Q$5001,BD!$A$3:$A$5001,$B31),SUMIFS(BD!$Q$3:$Q$5001,BD!$A$3:$A$5001,$B31,BD!$B$3:$B$5001,$D$2)))</f>
        <v>0</v>
      </c>
      <c r="S31" s="32">
        <f>IF($B31="","",IF($B$2="Todos",SUMIFS(BD!$R$3:$R$5001,BD!$A$3:$A$5001,$B31),SUMIFS(BD!$R$3:$R$5001,BD!$A$3:$A$5001,$B31,BD!$B$3:$B$5001,$D$2)))</f>
        <v>0</v>
      </c>
      <c r="T31" s="32">
        <f>IF($B31="","",IF($B$2="Todos",SUMIFS(BD!$S$3:$S$5001,BD!$A$3:$A$5001,$B31),SUMIFS(BD!$S$3:$S$5001,BD!$A$3:$A$5001,$B31,BD!$B$3:$B$5001,$D$2)))</f>
        <v>0</v>
      </c>
      <c r="U31" s="32">
        <f>IF($B31="","",IF($B$2="Todos",SUMIFS(BD!$T$3:$T$5001,BD!$A$3:$A$5001,$B31),SUMIFS(BD!$T$3:$T$5001,BD!$A$3:$A$5001,$B31,BD!$B$3:$B$5001,$D$2)))</f>
        <v>0</v>
      </c>
      <c r="V31" s="32">
        <f>IF($B31="","",IF($B$2="Todos",SUMIFS(BD!$U$3:$U$5001,BD!$A$3:$A$5001,$B31),SUMIFS(BD!$U$3:$U$5001,BD!$A$3:$A$5001,$B31,BD!$B$3:$B$5001,$D$2)))</f>
        <v>0</v>
      </c>
      <c r="W31" s="50">
        <f>$B$5</f>
        <v>0.7</v>
      </c>
      <c r="X31" s="50">
        <f>$B$6</f>
        <v>0.9</v>
      </c>
      <c r="AN31" s="29" t="str">
        <f>IFERROR(INDEX(Config!$B$10:$B$29,MATCH(19,$AP$13:$AP$32,0))&amp;"","")</f>
        <v/>
      </c>
      <c r="AO31" s="28" t="str">
        <f>IF(AN31="","",IF(INDEX(Config!$C$10:$C$29,MATCH(19,$AP$13:$AP$32,0))&amp;""="","JSL",INDEX(Config!$C$10:$C$29,MATCH(19,$AP$13:$AP$32,0))&amp;""))</f>
        <v/>
      </c>
      <c r="AP31" s="38">
        <f>IF(Config!$B$28&amp;""="",AP30,AP30+1)</f>
        <v>5</v>
      </c>
    </row>
    <row r="32">
      <c r="A32" s="28">
        <v>21</v>
      </c>
      <c r="B32" s="46">
        <f>IF($A32&lt;=DAY($D$7),$C$7+$A32-1,"")</f>
        <v>46316</v>
      </c>
      <c r="C32" s="32">
        <f>IF($B32="","",IF($B$2="Todos",SUMIFS(BD!$C$3:$C$5001,BD!$A$3:$A$5001,$B32),SUMIFS(BD!$C$3:$C$5001,BD!$A$3:$A$5001,$B32,BD!$B$3:$B$5001,$D$2)))</f>
        <v>0</v>
      </c>
      <c r="D32" s="32">
        <f>IF($B32="","",IF($B$2="Todos",SUMIFS(BD!$D$3:$D$5001,BD!$A$3:$A$5001,$B32),SUMIFS(BD!$D$3:$D$5001,BD!$A$3:$A$5001,$B32,BD!$B$3:$B$5001,$D$2)))</f>
        <v>0</v>
      </c>
      <c r="E32" s="47">
        <f>IF($B32="","",IF($B$2="Todos",SUMIFS(BD!$E$3:$E$5001,BD!$A$3:$A$5001,$B32),SUMIFS(BD!$E$3:$E$5001,BD!$A$3:$A$5001,$B32,BD!$B$3:$B$5001,$D$2)))</f>
        <v>0</v>
      </c>
      <c r="F32" s="32">
        <f>IF($B32="","",IF($B$2="Todos",SUMIFS(BD!$F$3:$F$5001,BD!$A$3:$A$5001,$B32),SUMIFS(BD!$F$3:$F$5001,BD!$A$3:$A$5001,$B32,BD!$B$3:$B$5001,$D$2)))</f>
        <v>0</v>
      </c>
      <c r="G32" s="32">
        <f>IF($B32="","",IF($B$2="Todos",SUMIFS(BD!$G$3:$G$5001,BD!$A$3:$A$5001,$B32),SUMIFS(BD!$G$3:$G$5001,BD!$A$3:$A$5001,$B32,BD!$B$3:$B$5001,$D$2)))</f>
        <v>0</v>
      </c>
      <c r="H32" s="47">
        <f>IF($B32="","",IF($B$2="Todos",SUMIFS(BD!$H$3:$H$5001,BD!$A$3:$A$5001,$B32),SUMIFS(BD!$H$3:$H$5001,BD!$A$3:$A$5001,$B32,BD!$B$3:$B$5001,$D$2)))</f>
        <v>0</v>
      </c>
      <c r="I32" s="32">
        <f>IF($B32="","",IF($B$2="Todos",SUMIFS(BD!$I$3:$I$5001,BD!$A$3:$A$5001,$B32),SUMIFS(BD!$I$3:$I$5001,BD!$A$3:$A$5001,$B32,BD!$B$3:$B$5001,$D$2)))</f>
        <v>0</v>
      </c>
      <c r="J32" s="32">
        <f>IF($B32="","",IF($B$2="Todos",SUMIFS(BD!$J$3:$J$5001,BD!$A$3:$A$5001,$B32),SUMIFS(BD!$J$3:$J$5001,BD!$A$3:$A$5001,$B32,BD!$B$3:$B$5001,$D$2)))</f>
        <v>0</v>
      </c>
      <c r="K32" s="32" t="str">
        <f>IF($B$2="Todos",IF(COUNT($C$135:$V$135)=0,"",SUM($C$135:$V$135)),IFERROR(INDEX($C$135:$V$135,MATCH($D$2,$C$114:$V$114,0)),""))</f>
        <v/>
      </c>
      <c r="L32" s="48" t="str">
        <f>IF(M32="","",IF($B$2="Todos",IF($B$4&gt;0,$B$4,IF($B$2="Todos",IF(COUNT($C$205:$V$205)=0,"",SUM($C$205:$V$205)),IFERROR(INDEX($C$205:$V$205,MATCH($D$2,$C$184:$V$184,0)),""))),IFERROR(INDEX($C$205:$V$205,MATCH($D$2,$C$184:$V$184,0)),"")))</f>
        <v/>
      </c>
      <c r="M32" s="32" t="str">
        <f>IF($B$2="Todos",IF(COUNT($C$170:$V$170)=0,"",SUM($C$170:$V$170)),IFERROR(INDEX($C$170:$V$170,MATCH($D$2,$C$149:$V$149,0)),""))</f>
        <v/>
      </c>
      <c r="N32" s="49" t="str">
        <f>IF(AND(ISNUMBER(M32),ISNUMBER(L32)),IF(L32&gt;0,M32/L32,""),"")</f>
        <v/>
      </c>
      <c r="O32" s="32" t="str">
        <f>IF($B$2="Todos",IF(COUNT($C$240:$V$240)=0,"",SUM($C$240:$V$240)),IFERROR(INDEX($C$240:$V$240,MATCH($D$2,$C$219:$V$219,0)),""))</f>
        <v/>
      </c>
      <c r="P32" s="32">
        <f>IF($B32="","",IF($B$2="Todos",SUMIFS(BD!$O$3:$O$5001,BD!$A$3:$A$5001,$B32),SUMIFS(BD!$O$3:$O$5001,BD!$A$3:$A$5001,$B32,BD!$B$3:$B$5001,$D$2)))</f>
        <v>0</v>
      </c>
      <c r="Q32" s="32">
        <f>IF($B32="","",IF($B$2="Todos",SUMIFS(BD!$P$3:$P$5001,BD!$A$3:$A$5001,$B32),SUMIFS(BD!$P$3:$P$5001,BD!$A$3:$A$5001,$B32,BD!$B$3:$B$5001,$D$2)))</f>
        <v>0</v>
      </c>
      <c r="R32" s="32">
        <f>IF($B32="","",IF($B$2="Todos",SUMIFS(BD!$Q$3:$Q$5001,BD!$A$3:$A$5001,$B32),SUMIFS(BD!$Q$3:$Q$5001,BD!$A$3:$A$5001,$B32,BD!$B$3:$B$5001,$D$2)))</f>
        <v>0</v>
      </c>
      <c r="S32" s="32">
        <f>IF($B32="","",IF($B$2="Todos",SUMIFS(BD!$R$3:$R$5001,BD!$A$3:$A$5001,$B32),SUMIFS(BD!$R$3:$R$5001,BD!$A$3:$A$5001,$B32,BD!$B$3:$B$5001,$D$2)))</f>
        <v>0</v>
      </c>
      <c r="T32" s="32">
        <f>IF($B32="","",IF($B$2="Todos",SUMIFS(BD!$S$3:$S$5001,BD!$A$3:$A$5001,$B32),SUMIFS(BD!$S$3:$S$5001,BD!$A$3:$A$5001,$B32,BD!$B$3:$B$5001,$D$2)))</f>
        <v>0</v>
      </c>
      <c r="U32" s="32">
        <f>IF($B32="","",IF($B$2="Todos",SUMIFS(BD!$T$3:$T$5001,BD!$A$3:$A$5001,$B32),SUMIFS(BD!$T$3:$T$5001,BD!$A$3:$A$5001,$B32,BD!$B$3:$B$5001,$D$2)))</f>
        <v>0</v>
      </c>
      <c r="V32" s="32">
        <f>IF($B32="","",IF($B$2="Todos",SUMIFS(BD!$U$3:$U$5001,BD!$A$3:$A$5001,$B32),SUMIFS(BD!$U$3:$U$5001,BD!$A$3:$A$5001,$B32,BD!$B$3:$B$5001,$D$2)))</f>
        <v>0</v>
      </c>
      <c r="W32" s="50">
        <f>$B$5</f>
        <v>0.7</v>
      </c>
      <c r="X32" s="50">
        <f>$B$6</f>
        <v>0.9</v>
      </c>
      <c r="AN32" s="29" t="str">
        <f>IFERROR(INDEX(Config!$B$10:$B$29,MATCH(20,$AP$13:$AP$32,0))&amp;"","")</f>
        <v/>
      </c>
      <c r="AO32" s="28" t="str">
        <f>IF(AN32="","",IF(INDEX(Config!$C$10:$C$29,MATCH(20,$AP$13:$AP$32,0))&amp;""="","JSL",INDEX(Config!$C$10:$C$29,MATCH(20,$AP$13:$AP$32,0))&amp;""))</f>
        <v/>
      </c>
      <c r="AP32" s="38">
        <f>IF(Config!$B$29&amp;""="",AP31,AP31+1)</f>
        <v>5</v>
      </c>
    </row>
    <row r="33">
      <c r="A33" s="28">
        <v>22</v>
      </c>
      <c r="B33" s="46">
        <f>IF($A33&lt;=DAY($D$7),$C$7+$A33-1,"")</f>
        <v>46317</v>
      </c>
      <c r="C33" s="32">
        <f>IF($B33="","",IF($B$2="Todos",SUMIFS(BD!$C$3:$C$5001,BD!$A$3:$A$5001,$B33),SUMIFS(BD!$C$3:$C$5001,BD!$A$3:$A$5001,$B33,BD!$B$3:$B$5001,$D$2)))</f>
        <v>0</v>
      </c>
      <c r="D33" s="32">
        <f>IF($B33="","",IF($B$2="Todos",SUMIFS(BD!$D$3:$D$5001,BD!$A$3:$A$5001,$B33),SUMIFS(BD!$D$3:$D$5001,BD!$A$3:$A$5001,$B33,BD!$B$3:$B$5001,$D$2)))</f>
        <v>0</v>
      </c>
      <c r="E33" s="47">
        <f>IF($B33="","",IF($B$2="Todos",SUMIFS(BD!$E$3:$E$5001,BD!$A$3:$A$5001,$B33),SUMIFS(BD!$E$3:$E$5001,BD!$A$3:$A$5001,$B33,BD!$B$3:$B$5001,$D$2)))</f>
        <v>0</v>
      </c>
      <c r="F33" s="32">
        <f>IF($B33="","",IF($B$2="Todos",SUMIFS(BD!$F$3:$F$5001,BD!$A$3:$A$5001,$B33),SUMIFS(BD!$F$3:$F$5001,BD!$A$3:$A$5001,$B33,BD!$B$3:$B$5001,$D$2)))</f>
        <v>0</v>
      </c>
      <c r="G33" s="32">
        <f>IF($B33="","",IF($B$2="Todos",SUMIFS(BD!$G$3:$G$5001,BD!$A$3:$A$5001,$B33),SUMIFS(BD!$G$3:$G$5001,BD!$A$3:$A$5001,$B33,BD!$B$3:$B$5001,$D$2)))</f>
        <v>0</v>
      </c>
      <c r="H33" s="47">
        <f>IF($B33="","",IF($B$2="Todos",SUMIFS(BD!$H$3:$H$5001,BD!$A$3:$A$5001,$B33),SUMIFS(BD!$H$3:$H$5001,BD!$A$3:$A$5001,$B33,BD!$B$3:$B$5001,$D$2)))</f>
        <v>0</v>
      </c>
      <c r="I33" s="32">
        <f>IF($B33="","",IF($B$2="Todos",SUMIFS(BD!$I$3:$I$5001,BD!$A$3:$A$5001,$B33),SUMIFS(BD!$I$3:$I$5001,BD!$A$3:$A$5001,$B33,BD!$B$3:$B$5001,$D$2)))</f>
        <v>0</v>
      </c>
      <c r="J33" s="32">
        <f>IF($B33="","",IF($B$2="Todos",SUMIFS(BD!$J$3:$J$5001,BD!$A$3:$A$5001,$B33),SUMIFS(BD!$J$3:$J$5001,BD!$A$3:$A$5001,$B33,BD!$B$3:$B$5001,$D$2)))</f>
        <v>0</v>
      </c>
      <c r="K33" s="32" t="str">
        <f>IF($B$2="Todos",IF(COUNT($C$136:$V$136)=0,"",SUM($C$136:$V$136)),IFERROR(INDEX($C$136:$V$136,MATCH($D$2,$C$114:$V$114,0)),""))</f>
        <v/>
      </c>
      <c r="L33" s="48" t="str">
        <f>IF(M33="","",IF($B$2="Todos",IF($B$4&gt;0,$B$4,IF($B$2="Todos",IF(COUNT($C$206:$V$206)=0,"",SUM($C$206:$V$206)),IFERROR(INDEX($C$206:$V$206,MATCH($D$2,$C$184:$V$184,0)),""))),IFERROR(INDEX($C$206:$V$206,MATCH($D$2,$C$184:$V$184,0)),"")))</f>
        <v/>
      </c>
      <c r="M33" s="32" t="str">
        <f>IF($B$2="Todos",IF(COUNT($C$171:$V$171)=0,"",SUM($C$171:$V$171)),IFERROR(INDEX($C$171:$V$171,MATCH($D$2,$C$149:$V$149,0)),""))</f>
        <v/>
      </c>
      <c r="N33" s="49" t="str">
        <f>IF(AND(ISNUMBER(M33),ISNUMBER(L33)),IF(L33&gt;0,M33/L33,""),"")</f>
        <v/>
      </c>
      <c r="O33" s="32" t="str">
        <f>IF($B$2="Todos",IF(COUNT($C$241:$V$241)=0,"",SUM($C$241:$V$241)),IFERROR(INDEX($C$241:$V$241,MATCH($D$2,$C$219:$V$219,0)),""))</f>
        <v/>
      </c>
      <c r="P33" s="32">
        <f>IF($B33="","",IF($B$2="Todos",SUMIFS(BD!$O$3:$O$5001,BD!$A$3:$A$5001,$B33),SUMIFS(BD!$O$3:$O$5001,BD!$A$3:$A$5001,$B33,BD!$B$3:$B$5001,$D$2)))</f>
        <v>0</v>
      </c>
      <c r="Q33" s="32">
        <f>IF($B33="","",IF($B$2="Todos",SUMIFS(BD!$P$3:$P$5001,BD!$A$3:$A$5001,$B33),SUMIFS(BD!$P$3:$P$5001,BD!$A$3:$A$5001,$B33,BD!$B$3:$B$5001,$D$2)))</f>
        <v>0</v>
      </c>
      <c r="R33" s="32">
        <f>IF($B33="","",IF($B$2="Todos",SUMIFS(BD!$Q$3:$Q$5001,BD!$A$3:$A$5001,$B33),SUMIFS(BD!$Q$3:$Q$5001,BD!$A$3:$A$5001,$B33,BD!$B$3:$B$5001,$D$2)))</f>
        <v>0</v>
      </c>
      <c r="S33" s="32">
        <f>IF($B33="","",IF($B$2="Todos",SUMIFS(BD!$R$3:$R$5001,BD!$A$3:$A$5001,$B33),SUMIFS(BD!$R$3:$R$5001,BD!$A$3:$A$5001,$B33,BD!$B$3:$B$5001,$D$2)))</f>
        <v>0</v>
      </c>
      <c r="T33" s="32">
        <f>IF($B33="","",IF($B$2="Todos",SUMIFS(BD!$S$3:$S$5001,BD!$A$3:$A$5001,$B33),SUMIFS(BD!$S$3:$S$5001,BD!$A$3:$A$5001,$B33,BD!$B$3:$B$5001,$D$2)))</f>
        <v>0</v>
      </c>
      <c r="U33" s="32">
        <f>IF($B33="","",IF($B$2="Todos",SUMIFS(BD!$T$3:$T$5001,BD!$A$3:$A$5001,$B33),SUMIFS(BD!$T$3:$T$5001,BD!$A$3:$A$5001,$B33,BD!$B$3:$B$5001,$D$2)))</f>
        <v>0</v>
      </c>
      <c r="V33" s="32">
        <f>IF($B33="","",IF($B$2="Todos",SUMIFS(BD!$U$3:$U$5001,BD!$A$3:$A$5001,$B33),SUMIFS(BD!$U$3:$U$5001,BD!$A$3:$A$5001,$B33,BD!$B$3:$B$5001,$D$2)))</f>
        <v>0</v>
      </c>
      <c r="W33" s="50">
        <f>$B$5</f>
        <v>0.7</v>
      </c>
      <c r="X33" s="50">
        <f>$B$6</f>
        <v>0.9</v>
      </c>
    </row>
    <row r="34">
      <c r="A34" s="28">
        <v>23</v>
      </c>
      <c r="B34" s="46">
        <f>IF($A34&lt;=DAY($D$7),$C$7+$A34-1,"")</f>
        <v>46318</v>
      </c>
      <c r="C34" s="32">
        <f>IF($B34="","",IF($B$2="Todos",SUMIFS(BD!$C$3:$C$5001,BD!$A$3:$A$5001,$B34),SUMIFS(BD!$C$3:$C$5001,BD!$A$3:$A$5001,$B34,BD!$B$3:$B$5001,$D$2)))</f>
        <v>0</v>
      </c>
      <c r="D34" s="32">
        <f>IF($B34="","",IF($B$2="Todos",SUMIFS(BD!$D$3:$D$5001,BD!$A$3:$A$5001,$B34),SUMIFS(BD!$D$3:$D$5001,BD!$A$3:$A$5001,$B34,BD!$B$3:$B$5001,$D$2)))</f>
        <v>0</v>
      </c>
      <c r="E34" s="47">
        <f>IF($B34="","",IF($B$2="Todos",SUMIFS(BD!$E$3:$E$5001,BD!$A$3:$A$5001,$B34),SUMIFS(BD!$E$3:$E$5001,BD!$A$3:$A$5001,$B34,BD!$B$3:$B$5001,$D$2)))</f>
        <v>0</v>
      </c>
      <c r="F34" s="32">
        <f>IF($B34="","",IF($B$2="Todos",SUMIFS(BD!$F$3:$F$5001,BD!$A$3:$A$5001,$B34),SUMIFS(BD!$F$3:$F$5001,BD!$A$3:$A$5001,$B34,BD!$B$3:$B$5001,$D$2)))</f>
        <v>0</v>
      </c>
      <c r="G34" s="32">
        <f>IF($B34="","",IF($B$2="Todos",SUMIFS(BD!$G$3:$G$5001,BD!$A$3:$A$5001,$B34),SUMIFS(BD!$G$3:$G$5001,BD!$A$3:$A$5001,$B34,BD!$B$3:$B$5001,$D$2)))</f>
        <v>0</v>
      </c>
      <c r="H34" s="47">
        <f>IF($B34="","",IF($B$2="Todos",SUMIFS(BD!$H$3:$H$5001,BD!$A$3:$A$5001,$B34),SUMIFS(BD!$H$3:$H$5001,BD!$A$3:$A$5001,$B34,BD!$B$3:$B$5001,$D$2)))</f>
        <v>0</v>
      </c>
      <c r="I34" s="32">
        <f>IF($B34="","",IF($B$2="Todos",SUMIFS(BD!$I$3:$I$5001,BD!$A$3:$A$5001,$B34),SUMIFS(BD!$I$3:$I$5001,BD!$A$3:$A$5001,$B34,BD!$B$3:$B$5001,$D$2)))</f>
        <v>0</v>
      </c>
      <c r="J34" s="32">
        <f>IF($B34="","",IF($B$2="Todos",SUMIFS(BD!$J$3:$J$5001,BD!$A$3:$A$5001,$B34),SUMIFS(BD!$J$3:$J$5001,BD!$A$3:$A$5001,$B34,BD!$B$3:$B$5001,$D$2)))</f>
        <v>0</v>
      </c>
      <c r="K34" s="32" t="str">
        <f>IF($B$2="Todos",IF(COUNT($C$137:$V$137)=0,"",SUM($C$137:$V$137)),IFERROR(INDEX($C$137:$V$137,MATCH($D$2,$C$114:$V$114,0)),""))</f>
        <v/>
      </c>
      <c r="L34" s="48" t="str">
        <f>IF(M34="","",IF($B$2="Todos",IF($B$4&gt;0,$B$4,IF($B$2="Todos",IF(COUNT($C$207:$V$207)=0,"",SUM($C$207:$V$207)),IFERROR(INDEX($C$207:$V$207,MATCH($D$2,$C$184:$V$184,0)),""))),IFERROR(INDEX($C$207:$V$207,MATCH($D$2,$C$184:$V$184,0)),"")))</f>
        <v/>
      </c>
      <c r="M34" s="32" t="str">
        <f>IF($B$2="Todos",IF(COUNT($C$172:$V$172)=0,"",SUM($C$172:$V$172)),IFERROR(INDEX($C$172:$V$172,MATCH($D$2,$C$149:$V$149,0)),""))</f>
        <v/>
      </c>
      <c r="N34" s="49" t="str">
        <f>IF(AND(ISNUMBER(M34),ISNUMBER(L34)),IF(L34&gt;0,M34/L34,""),"")</f>
        <v/>
      </c>
      <c r="O34" s="32" t="str">
        <f>IF($B$2="Todos",IF(COUNT($C$242:$V$242)=0,"",SUM($C$242:$V$242)),IFERROR(INDEX($C$242:$V$242,MATCH($D$2,$C$219:$V$219,0)),""))</f>
        <v/>
      </c>
      <c r="P34" s="32">
        <f>IF($B34="","",IF($B$2="Todos",SUMIFS(BD!$O$3:$O$5001,BD!$A$3:$A$5001,$B34),SUMIFS(BD!$O$3:$O$5001,BD!$A$3:$A$5001,$B34,BD!$B$3:$B$5001,$D$2)))</f>
        <v>0</v>
      </c>
      <c r="Q34" s="32">
        <f>IF($B34="","",IF($B$2="Todos",SUMIFS(BD!$P$3:$P$5001,BD!$A$3:$A$5001,$B34),SUMIFS(BD!$P$3:$P$5001,BD!$A$3:$A$5001,$B34,BD!$B$3:$B$5001,$D$2)))</f>
        <v>0</v>
      </c>
      <c r="R34" s="32">
        <f>IF($B34="","",IF($B$2="Todos",SUMIFS(BD!$Q$3:$Q$5001,BD!$A$3:$A$5001,$B34),SUMIFS(BD!$Q$3:$Q$5001,BD!$A$3:$A$5001,$B34,BD!$B$3:$B$5001,$D$2)))</f>
        <v>0</v>
      </c>
      <c r="S34" s="32">
        <f>IF($B34="","",IF($B$2="Todos",SUMIFS(BD!$R$3:$R$5001,BD!$A$3:$A$5001,$B34),SUMIFS(BD!$R$3:$R$5001,BD!$A$3:$A$5001,$B34,BD!$B$3:$B$5001,$D$2)))</f>
        <v>0</v>
      </c>
      <c r="T34" s="32">
        <f>IF($B34="","",IF($B$2="Todos",SUMIFS(BD!$S$3:$S$5001,BD!$A$3:$A$5001,$B34),SUMIFS(BD!$S$3:$S$5001,BD!$A$3:$A$5001,$B34,BD!$B$3:$B$5001,$D$2)))</f>
        <v>0</v>
      </c>
      <c r="U34" s="32">
        <f>IF($B34="","",IF($B$2="Todos",SUMIFS(BD!$T$3:$T$5001,BD!$A$3:$A$5001,$B34),SUMIFS(BD!$T$3:$T$5001,BD!$A$3:$A$5001,$B34,BD!$B$3:$B$5001,$D$2)))</f>
        <v>0</v>
      </c>
      <c r="V34" s="32">
        <f>IF($B34="","",IF($B$2="Todos",SUMIFS(BD!$U$3:$U$5001,BD!$A$3:$A$5001,$B34),SUMIFS(BD!$U$3:$U$5001,BD!$A$3:$A$5001,$B34,BD!$B$3:$B$5001,$D$2)))</f>
        <v>0</v>
      </c>
      <c r="W34" s="50">
        <f>$B$5</f>
        <v>0.7</v>
      </c>
      <c r="X34" s="50">
        <f>$B$6</f>
        <v>0.9</v>
      </c>
    </row>
    <row r="35">
      <c r="A35" s="28">
        <v>24</v>
      </c>
      <c r="B35" s="46">
        <f>IF($A35&lt;=DAY($D$7),$C$7+$A35-1,"")</f>
        <v>46319</v>
      </c>
      <c r="C35" s="32">
        <f>IF($B35="","",IF($B$2="Todos",SUMIFS(BD!$C$3:$C$5001,BD!$A$3:$A$5001,$B35),SUMIFS(BD!$C$3:$C$5001,BD!$A$3:$A$5001,$B35,BD!$B$3:$B$5001,$D$2)))</f>
        <v>0</v>
      </c>
      <c r="D35" s="32">
        <f>IF($B35="","",IF($B$2="Todos",SUMIFS(BD!$D$3:$D$5001,BD!$A$3:$A$5001,$B35),SUMIFS(BD!$D$3:$D$5001,BD!$A$3:$A$5001,$B35,BD!$B$3:$B$5001,$D$2)))</f>
        <v>0</v>
      </c>
      <c r="E35" s="47">
        <f>IF($B35="","",IF($B$2="Todos",SUMIFS(BD!$E$3:$E$5001,BD!$A$3:$A$5001,$B35),SUMIFS(BD!$E$3:$E$5001,BD!$A$3:$A$5001,$B35,BD!$B$3:$B$5001,$D$2)))</f>
        <v>0</v>
      </c>
      <c r="F35" s="32">
        <f>IF($B35="","",IF($B$2="Todos",SUMIFS(BD!$F$3:$F$5001,BD!$A$3:$A$5001,$B35),SUMIFS(BD!$F$3:$F$5001,BD!$A$3:$A$5001,$B35,BD!$B$3:$B$5001,$D$2)))</f>
        <v>0</v>
      </c>
      <c r="G35" s="32">
        <f>IF($B35="","",IF($B$2="Todos",SUMIFS(BD!$G$3:$G$5001,BD!$A$3:$A$5001,$B35),SUMIFS(BD!$G$3:$G$5001,BD!$A$3:$A$5001,$B35,BD!$B$3:$B$5001,$D$2)))</f>
        <v>0</v>
      </c>
      <c r="H35" s="47">
        <f>IF($B35="","",IF($B$2="Todos",SUMIFS(BD!$H$3:$H$5001,BD!$A$3:$A$5001,$B35),SUMIFS(BD!$H$3:$H$5001,BD!$A$3:$A$5001,$B35,BD!$B$3:$B$5001,$D$2)))</f>
        <v>0</v>
      </c>
      <c r="I35" s="32">
        <f>IF($B35="","",IF($B$2="Todos",SUMIFS(BD!$I$3:$I$5001,BD!$A$3:$A$5001,$B35),SUMIFS(BD!$I$3:$I$5001,BD!$A$3:$A$5001,$B35,BD!$B$3:$B$5001,$D$2)))</f>
        <v>0</v>
      </c>
      <c r="J35" s="32">
        <f>IF($B35="","",IF($B$2="Todos",SUMIFS(BD!$J$3:$J$5001,BD!$A$3:$A$5001,$B35),SUMIFS(BD!$J$3:$J$5001,BD!$A$3:$A$5001,$B35,BD!$B$3:$B$5001,$D$2)))</f>
        <v>0</v>
      </c>
      <c r="K35" s="32" t="str">
        <f>IF($B$2="Todos",IF(COUNT($C$138:$V$138)=0,"",SUM($C$138:$V$138)),IFERROR(INDEX($C$138:$V$138,MATCH($D$2,$C$114:$V$114,0)),""))</f>
        <v/>
      </c>
      <c r="L35" s="48" t="str">
        <f>IF(M35="","",IF($B$2="Todos",IF($B$4&gt;0,$B$4,IF($B$2="Todos",IF(COUNT($C$208:$V$208)=0,"",SUM($C$208:$V$208)),IFERROR(INDEX($C$208:$V$208,MATCH($D$2,$C$184:$V$184,0)),""))),IFERROR(INDEX($C$208:$V$208,MATCH($D$2,$C$184:$V$184,0)),"")))</f>
        <v/>
      </c>
      <c r="M35" s="32" t="str">
        <f>IF($B$2="Todos",IF(COUNT($C$173:$V$173)=0,"",SUM($C$173:$V$173)),IFERROR(INDEX($C$173:$V$173,MATCH($D$2,$C$149:$V$149,0)),""))</f>
        <v/>
      </c>
      <c r="N35" s="49" t="str">
        <f>IF(AND(ISNUMBER(M35),ISNUMBER(L35)),IF(L35&gt;0,M35/L35,""),"")</f>
        <v/>
      </c>
      <c r="O35" s="32" t="str">
        <f>IF($B$2="Todos",IF(COUNT($C$243:$V$243)=0,"",SUM($C$243:$V$243)),IFERROR(INDEX($C$243:$V$243,MATCH($D$2,$C$219:$V$219,0)),""))</f>
        <v/>
      </c>
      <c r="P35" s="32">
        <f>IF($B35="","",IF($B$2="Todos",SUMIFS(BD!$O$3:$O$5001,BD!$A$3:$A$5001,$B35),SUMIFS(BD!$O$3:$O$5001,BD!$A$3:$A$5001,$B35,BD!$B$3:$B$5001,$D$2)))</f>
        <v>0</v>
      </c>
      <c r="Q35" s="32">
        <f>IF($B35="","",IF($B$2="Todos",SUMIFS(BD!$P$3:$P$5001,BD!$A$3:$A$5001,$B35),SUMIFS(BD!$P$3:$P$5001,BD!$A$3:$A$5001,$B35,BD!$B$3:$B$5001,$D$2)))</f>
        <v>0</v>
      </c>
      <c r="R35" s="32">
        <f>IF($B35="","",IF($B$2="Todos",SUMIFS(BD!$Q$3:$Q$5001,BD!$A$3:$A$5001,$B35),SUMIFS(BD!$Q$3:$Q$5001,BD!$A$3:$A$5001,$B35,BD!$B$3:$B$5001,$D$2)))</f>
        <v>0</v>
      </c>
      <c r="S35" s="32">
        <f>IF($B35="","",IF($B$2="Todos",SUMIFS(BD!$R$3:$R$5001,BD!$A$3:$A$5001,$B35),SUMIFS(BD!$R$3:$R$5001,BD!$A$3:$A$5001,$B35,BD!$B$3:$B$5001,$D$2)))</f>
        <v>0</v>
      </c>
      <c r="T35" s="32">
        <f>IF($B35="","",IF($B$2="Todos",SUMIFS(BD!$S$3:$S$5001,BD!$A$3:$A$5001,$B35),SUMIFS(BD!$S$3:$S$5001,BD!$A$3:$A$5001,$B35,BD!$B$3:$B$5001,$D$2)))</f>
        <v>0</v>
      </c>
      <c r="U35" s="32">
        <f>IF($B35="","",IF($B$2="Todos",SUMIFS(BD!$T$3:$T$5001,BD!$A$3:$A$5001,$B35),SUMIFS(BD!$T$3:$T$5001,BD!$A$3:$A$5001,$B35,BD!$B$3:$B$5001,$D$2)))</f>
        <v>0</v>
      </c>
      <c r="V35" s="32">
        <f>IF($B35="","",IF($B$2="Todos",SUMIFS(BD!$U$3:$U$5001,BD!$A$3:$A$5001,$B35),SUMIFS(BD!$U$3:$U$5001,BD!$A$3:$A$5001,$B35,BD!$B$3:$B$5001,$D$2)))</f>
        <v>0</v>
      </c>
      <c r="W35" s="50">
        <f>$B$5</f>
        <v>0.7</v>
      </c>
      <c r="X35" s="50">
        <f>$B$6</f>
        <v>0.9</v>
      </c>
    </row>
    <row r="36">
      <c r="A36" s="28">
        <v>25</v>
      </c>
      <c r="B36" s="46">
        <f>IF($A36&lt;=DAY($D$7),$C$7+$A36-1,"")</f>
        <v>46320</v>
      </c>
      <c r="C36" s="32">
        <f>IF($B36="","",IF($B$2="Todos",SUMIFS(BD!$C$3:$C$5001,BD!$A$3:$A$5001,$B36),SUMIFS(BD!$C$3:$C$5001,BD!$A$3:$A$5001,$B36,BD!$B$3:$B$5001,$D$2)))</f>
        <v>0</v>
      </c>
      <c r="D36" s="32">
        <f>IF($B36="","",IF($B$2="Todos",SUMIFS(BD!$D$3:$D$5001,BD!$A$3:$A$5001,$B36),SUMIFS(BD!$D$3:$D$5001,BD!$A$3:$A$5001,$B36,BD!$B$3:$B$5001,$D$2)))</f>
        <v>0</v>
      </c>
      <c r="E36" s="47">
        <f>IF($B36="","",IF($B$2="Todos",SUMIFS(BD!$E$3:$E$5001,BD!$A$3:$A$5001,$B36),SUMIFS(BD!$E$3:$E$5001,BD!$A$3:$A$5001,$B36,BD!$B$3:$B$5001,$D$2)))</f>
        <v>0</v>
      </c>
      <c r="F36" s="32">
        <f>IF($B36="","",IF($B$2="Todos",SUMIFS(BD!$F$3:$F$5001,BD!$A$3:$A$5001,$B36),SUMIFS(BD!$F$3:$F$5001,BD!$A$3:$A$5001,$B36,BD!$B$3:$B$5001,$D$2)))</f>
        <v>0</v>
      </c>
      <c r="G36" s="32">
        <f>IF($B36="","",IF($B$2="Todos",SUMIFS(BD!$G$3:$G$5001,BD!$A$3:$A$5001,$B36),SUMIFS(BD!$G$3:$G$5001,BD!$A$3:$A$5001,$B36,BD!$B$3:$B$5001,$D$2)))</f>
        <v>0</v>
      </c>
      <c r="H36" s="47">
        <f>IF($B36="","",IF($B$2="Todos",SUMIFS(BD!$H$3:$H$5001,BD!$A$3:$A$5001,$B36),SUMIFS(BD!$H$3:$H$5001,BD!$A$3:$A$5001,$B36,BD!$B$3:$B$5001,$D$2)))</f>
        <v>0</v>
      </c>
      <c r="I36" s="32">
        <f>IF($B36="","",IF($B$2="Todos",SUMIFS(BD!$I$3:$I$5001,BD!$A$3:$A$5001,$B36),SUMIFS(BD!$I$3:$I$5001,BD!$A$3:$A$5001,$B36,BD!$B$3:$B$5001,$D$2)))</f>
        <v>0</v>
      </c>
      <c r="J36" s="32">
        <f>IF($B36="","",IF($B$2="Todos",SUMIFS(BD!$J$3:$J$5001,BD!$A$3:$A$5001,$B36),SUMIFS(BD!$J$3:$J$5001,BD!$A$3:$A$5001,$B36,BD!$B$3:$B$5001,$D$2)))</f>
        <v>0</v>
      </c>
      <c r="K36" s="32" t="str">
        <f>IF($B$2="Todos",IF(COUNT($C$139:$V$139)=0,"",SUM($C$139:$V$139)),IFERROR(INDEX($C$139:$V$139,MATCH($D$2,$C$114:$V$114,0)),""))</f>
        <v/>
      </c>
      <c r="L36" s="48" t="str">
        <f>IF(M36="","",IF($B$2="Todos",IF($B$4&gt;0,$B$4,IF($B$2="Todos",IF(COUNT($C$209:$V$209)=0,"",SUM($C$209:$V$209)),IFERROR(INDEX($C$209:$V$209,MATCH($D$2,$C$184:$V$184,0)),""))),IFERROR(INDEX($C$209:$V$209,MATCH($D$2,$C$184:$V$184,0)),"")))</f>
        <v/>
      </c>
      <c r="M36" s="32" t="str">
        <f>IF($B$2="Todos",IF(COUNT($C$174:$V$174)=0,"",SUM($C$174:$V$174)),IFERROR(INDEX($C$174:$V$174,MATCH($D$2,$C$149:$V$149,0)),""))</f>
        <v/>
      </c>
      <c r="N36" s="49" t="str">
        <f>IF(AND(ISNUMBER(M36),ISNUMBER(L36)),IF(L36&gt;0,M36/L36,""),"")</f>
        <v/>
      </c>
      <c r="O36" s="32" t="str">
        <f>IF($B$2="Todos",IF(COUNT($C$244:$V$244)=0,"",SUM($C$244:$V$244)),IFERROR(INDEX($C$244:$V$244,MATCH($D$2,$C$219:$V$219,0)),""))</f>
        <v/>
      </c>
      <c r="P36" s="32">
        <f>IF($B36="","",IF($B$2="Todos",SUMIFS(BD!$O$3:$O$5001,BD!$A$3:$A$5001,$B36),SUMIFS(BD!$O$3:$O$5001,BD!$A$3:$A$5001,$B36,BD!$B$3:$B$5001,$D$2)))</f>
        <v>0</v>
      </c>
      <c r="Q36" s="32">
        <f>IF($B36="","",IF($B$2="Todos",SUMIFS(BD!$P$3:$P$5001,BD!$A$3:$A$5001,$B36),SUMIFS(BD!$P$3:$P$5001,BD!$A$3:$A$5001,$B36,BD!$B$3:$B$5001,$D$2)))</f>
        <v>0</v>
      </c>
      <c r="R36" s="32">
        <f>IF($B36="","",IF($B$2="Todos",SUMIFS(BD!$Q$3:$Q$5001,BD!$A$3:$A$5001,$B36),SUMIFS(BD!$Q$3:$Q$5001,BD!$A$3:$A$5001,$B36,BD!$B$3:$B$5001,$D$2)))</f>
        <v>0</v>
      </c>
      <c r="S36" s="32">
        <f>IF($B36="","",IF($B$2="Todos",SUMIFS(BD!$R$3:$R$5001,BD!$A$3:$A$5001,$B36),SUMIFS(BD!$R$3:$R$5001,BD!$A$3:$A$5001,$B36,BD!$B$3:$B$5001,$D$2)))</f>
        <v>0</v>
      </c>
      <c r="T36" s="32">
        <f>IF($B36="","",IF($B$2="Todos",SUMIFS(BD!$S$3:$S$5001,BD!$A$3:$A$5001,$B36),SUMIFS(BD!$S$3:$S$5001,BD!$A$3:$A$5001,$B36,BD!$B$3:$B$5001,$D$2)))</f>
        <v>0</v>
      </c>
      <c r="U36" s="32">
        <f>IF($B36="","",IF($B$2="Todos",SUMIFS(BD!$T$3:$T$5001,BD!$A$3:$A$5001,$B36),SUMIFS(BD!$T$3:$T$5001,BD!$A$3:$A$5001,$B36,BD!$B$3:$B$5001,$D$2)))</f>
        <v>0</v>
      </c>
      <c r="V36" s="32">
        <f>IF($B36="","",IF($B$2="Todos",SUMIFS(BD!$U$3:$U$5001,BD!$A$3:$A$5001,$B36),SUMIFS(BD!$U$3:$U$5001,BD!$A$3:$A$5001,$B36,BD!$B$3:$B$5001,$D$2)))</f>
        <v>0</v>
      </c>
      <c r="W36" s="50">
        <f>$B$5</f>
        <v>0.7</v>
      </c>
      <c r="X36" s="50">
        <f>$B$6</f>
        <v>0.9</v>
      </c>
    </row>
    <row r="37">
      <c r="A37" s="28">
        <v>26</v>
      </c>
      <c r="B37" s="46">
        <f>IF($A37&lt;=DAY($D$7),$C$7+$A37-1,"")</f>
        <v>46321</v>
      </c>
      <c r="C37" s="32">
        <f>IF($B37="","",IF($B$2="Todos",SUMIFS(BD!$C$3:$C$5001,BD!$A$3:$A$5001,$B37),SUMIFS(BD!$C$3:$C$5001,BD!$A$3:$A$5001,$B37,BD!$B$3:$B$5001,$D$2)))</f>
        <v>0</v>
      </c>
      <c r="D37" s="32">
        <f>IF($B37="","",IF($B$2="Todos",SUMIFS(BD!$D$3:$D$5001,BD!$A$3:$A$5001,$B37),SUMIFS(BD!$D$3:$D$5001,BD!$A$3:$A$5001,$B37,BD!$B$3:$B$5001,$D$2)))</f>
        <v>0</v>
      </c>
      <c r="E37" s="47">
        <f>IF($B37="","",IF($B$2="Todos",SUMIFS(BD!$E$3:$E$5001,BD!$A$3:$A$5001,$B37),SUMIFS(BD!$E$3:$E$5001,BD!$A$3:$A$5001,$B37,BD!$B$3:$B$5001,$D$2)))</f>
        <v>0</v>
      </c>
      <c r="F37" s="32">
        <f>IF($B37="","",IF($B$2="Todos",SUMIFS(BD!$F$3:$F$5001,BD!$A$3:$A$5001,$B37),SUMIFS(BD!$F$3:$F$5001,BD!$A$3:$A$5001,$B37,BD!$B$3:$B$5001,$D$2)))</f>
        <v>0</v>
      </c>
      <c r="G37" s="32">
        <f>IF($B37="","",IF($B$2="Todos",SUMIFS(BD!$G$3:$G$5001,BD!$A$3:$A$5001,$B37),SUMIFS(BD!$G$3:$G$5001,BD!$A$3:$A$5001,$B37,BD!$B$3:$B$5001,$D$2)))</f>
        <v>0</v>
      </c>
      <c r="H37" s="47">
        <f>IF($B37="","",IF($B$2="Todos",SUMIFS(BD!$H$3:$H$5001,BD!$A$3:$A$5001,$B37),SUMIFS(BD!$H$3:$H$5001,BD!$A$3:$A$5001,$B37,BD!$B$3:$B$5001,$D$2)))</f>
        <v>0</v>
      </c>
      <c r="I37" s="32">
        <f>IF($B37="","",IF($B$2="Todos",SUMIFS(BD!$I$3:$I$5001,BD!$A$3:$A$5001,$B37),SUMIFS(BD!$I$3:$I$5001,BD!$A$3:$A$5001,$B37,BD!$B$3:$B$5001,$D$2)))</f>
        <v>0</v>
      </c>
      <c r="J37" s="32">
        <f>IF($B37="","",IF($B$2="Todos",SUMIFS(BD!$J$3:$J$5001,BD!$A$3:$A$5001,$B37),SUMIFS(BD!$J$3:$J$5001,BD!$A$3:$A$5001,$B37,BD!$B$3:$B$5001,$D$2)))</f>
        <v>0</v>
      </c>
      <c r="K37" s="32" t="str">
        <f>IF($B$2="Todos",IF(COUNT($C$140:$V$140)=0,"",SUM($C$140:$V$140)),IFERROR(INDEX($C$140:$V$140,MATCH($D$2,$C$114:$V$114,0)),""))</f>
        <v/>
      </c>
      <c r="L37" s="48" t="str">
        <f>IF(M37="","",IF($B$2="Todos",IF($B$4&gt;0,$B$4,IF($B$2="Todos",IF(COUNT($C$210:$V$210)=0,"",SUM($C$210:$V$210)),IFERROR(INDEX($C$210:$V$210,MATCH($D$2,$C$184:$V$184,0)),""))),IFERROR(INDEX($C$210:$V$210,MATCH($D$2,$C$184:$V$184,0)),"")))</f>
        <v/>
      </c>
      <c r="M37" s="32" t="str">
        <f>IF($B$2="Todos",IF(COUNT($C$175:$V$175)=0,"",SUM($C$175:$V$175)),IFERROR(INDEX($C$175:$V$175,MATCH($D$2,$C$149:$V$149,0)),""))</f>
        <v/>
      </c>
      <c r="N37" s="49" t="str">
        <f>IF(AND(ISNUMBER(M37),ISNUMBER(L37)),IF(L37&gt;0,M37/L37,""),"")</f>
        <v/>
      </c>
      <c r="O37" s="32" t="str">
        <f>IF($B$2="Todos",IF(COUNT($C$245:$V$245)=0,"",SUM($C$245:$V$245)),IFERROR(INDEX($C$245:$V$245,MATCH($D$2,$C$219:$V$219,0)),""))</f>
        <v/>
      </c>
      <c r="P37" s="32">
        <f>IF($B37="","",IF($B$2="Todos",SUMIFS(BD!$O$3:$O$5001,BD!$A$3:$A$5001,$B37),SUMIFS(BD!$O$3:$O$5001,BD!$A$3:$A$5001,$B37,BD!$B$3:$B$5001,$D$2)))</f>
        <v>0</v>
      </c>
      <c r="Q37" s="32">
        <f>IF($B37="","",IF($B$2="Todos",SUMIFS(BD!$P$3:$P$5001,BD!$A$3:$A$5001,$B37),SUMIFS(BD!$P$3:$P$5001,BD!$A$3:$A$5001,$B37,BD!$B$3:$B$5001,$D$2)))</f>
        <v>0</v>
      </c>
      <c r="R37" s="32">
        <f>IF($B37="","",IF($B$2="Todos",SUMIFS(BD!$Q$3:$Q$5001,BD!$A$3:$A$5001,$B37),SUMIFS(BD!$Q$3:$Q$5001,BD!$A$3:$A$5001,$B37,BD!$B$3:$B$5001,$D$2)))</f>
        <v>0</v>
      </c>
      <c r="S37" s="32">
        <f>IF($B37="","",IF($B$2="Todos",SUMIFS(BD!$R$3:$R$5001,BD!$A$3:$A$5001,$B37),SUMIFS(BD!$R$3:$R$5001,BD!$A$3:$A$5001,$B37,BD!$B$3:$B$5001,$D$2)))</f>
        <v>0</v>
      </c>
      <c r="T37" s="32">
        <f>IF($B37="","",IF($B$2="Todos",SUMIFS(BD!$S$3:$S$5001,BD!$A$3:$A$5001,$B37),SUMIFS(BD!$S$3:$S$5001,BD!$A$3:$A$5001,$B37,BD!$B$3:$B$5001,$D$2)))</f>
        <v>0</v>
      </c>
      <c r="U37" s="32">
        <f>IF($B37="","",IF($B$2="Todos",SUMIFS(BD!$T$3:$T$5001,BD!$A$3:$A$5001,$B37),SUMIFS(BD!$T$3:$T$5001,BD!$A$3:$A$5001,$B37,BD!$B$3:$B$5001,$D$2)))</f>
        <v>0</v>
      </c>
      <c r="V37" s="32">
        <f>IF($B37="","",IF($B$2="Todos",SUMIFS(BD!$U$3:$U$5001,BD!$A$3:$A$5001,$B37),SUMIFS(BD!$U$3:$U$5001,BD!$A$3:$A$5001,$B37,BD!$B$3:$B$5001,$D$2)))</f>
        <v>0</v>
      </c>
      <c r="W37" s="50">
        <f>$B$5</f>
        <v>0.7</v>
      </c>
      <c r="X37" s="50">
        <f>$B$6</f>
        <v>0.9</v>
      </c>
    </row>
    <row r="38">
      <c r="A38" s="28">
        <v>27</v>
      </c>
      <c r="B38" s="46">
        <f>IF($A38&lt;=DAY($D$7),$C$7+$A38-1,"")</f>
        <v>46322</v>
      </c>
      <c r="C38" s="32">
        <f>IF($B38="","",IF($B$2="Todos",SUMIFS(BD!$C$3:$C$5001,BD!$A$3:$A$5001,$B38),SUMIFS(BD!$C$3:$C$5001,BD!$A$3:$A$5001,$B38,BD!$B$3:$B$5001,$D$2)))</f>
        <v>0</v>
      </c>
      <c r="D38" s="32">
        <f>IF($B38="","",IF($B$2="Todos",SUMIFS(BD!$D$3:$D$5001,BD!$A$3:$A$5001,$B38),SUMIFS(BD!$D$3:$D$5001,BD!$A$3:$A$5001,$B38,BD!$B$3:$B$5001,$D$2)))</f>
        <v>0</v>
      </c>
      <c r="E38" s="47">
        <f>IF($B38="","",IF($B$2="Todos",SUMIFS(BD!$E$3:$E$5001,BD!$A$3:$A$5001,$B38),SUMIFS(BD!$E$3:$E$5001,BD!$A$3:$A$5001,$B38,BD!$B$3:$B$5001,$D$2)))</f>
        <v>0</v>
      </c>
      <c r="F38" s="32">
        <f>IF($B38="","",IF($B$2="Todos",SUMIFS(BD!$F$3:$F$5001,BD!$A$3:$A$5001,$B38),SUMIFS(BD!$F$3:$F$5001,BD!$A$3:$A$5001,$B38,BD!$B$3:$B$5001,$D$2)))</f>
        <v>0</v>
      </c>
      <c r="G38" s="32">
        <f>IF($B38="","",IF($B$2="Todos",SUMIFS(BD!$G$3:$G$5001,BD!$A$3:$A$5001,$B38),SUMIFS(BD!$G$3:$G$5001,BD!$A$3:$A$5001,$B38,BD!$B$3:$B$5001,$D$2)))</f>
        <v>0</v>
      </c>
      <c r="H38" s="47">
        <f>IF($B38="","",IF($B$2="Todos",SUMIFS(BD!$H$3:$H$5001,BD!$A$3:$A$5001,$B38),SUMIFS(BD!$H$3:$H$5001,BD!$A$3:$A$5001,$B38,BD!$B$3:$B$5001,$D$2)))</f>
        <v>0</v>
      </c>
      <c r="I38" s="32">
        <f>IF($B38="","",IF($B$2="Todos",SUMIFS(BD!$I$3:$I$5001,BD!$A$3:$A$5001,$B38),SUMIFS(BD!$I$3:$I$5001,BD!$A$3:$A$5001,$B38,BD!$B$3:$B$5001,$D$2)))</f>
        <v>0</v>
      </c>
      <c r="J38" s="32">
        <f>IF($B38="","",IF($B$2="Todos",SUMIFS(BD!$J$3:$J$5001,BD!$A$3:$A$5001,$B38),SUMIFS(BD!$J$3:$J$5001,BD!$A$3:$A$5001,$B38,BD!$B$3:$B$5001,$D$2)))</f>
        <v>0</v>
      </c>
      <c r="K38" s="32" t="str">
        <f>IF($B$2="Todos",IF(COUNT($C$141:$V$141)=0,"",SUM($C$141:$V$141)),IFERROR(INDEX($C$141:$V$141,MATCH($D$2,$C$114:$V$114,0)),""))</f>
        <v/>
      </c>
      <c r="L38" s="48" t="str">
        <f>IF(M38="","",IF($B$2="Todos",IF($B$4&gt;0,$B$4,IF($B$2="Todos",IF(COUNT($C$211:$V$211)=0,"",SUM($C$211:$V$211)),IFERROR(INDEX($C$211:$V$211,MATCH($D$2,$C$184:$V$184,0)),""))),IFERROR(INDEX($C$211:$V$211,MATCH($D$2,$C$184:$V$184,0)),"")))</f>
        <v/>
      </c>
      <c r="M38" s="32" t="str">
        <f>IF($B$2="Todos",IF(COUNT($C$176:$V$176)=0,"",SUM($C$176:$V$176)),IFERROR(INDEX($C$176:$V$176,MATCH($D$2,$C$149:$V$149,0)),""))</f>
        <v/>
      </c>
      <c r="N38" s="49" t="str">
        <f>IF(AND(ISNUMBER(M38),ISNUMBER(L38)),IF(L38&gt;0,M38/L38,""),"")</f>
        <v/>
      </c>
      <c r="O38" s="32" t="str">
        <f>IF($B$2="Todos",IF(COUNT($C$246:$V$246)=0,"",SUM($C$246:$V$246)),IFERROR(INDEX($C$246:$V$246,MATCH($D$2,$C$219:$V$219,0)),""))</f>
        <v/>
      </c>
      <c r="P38" s="32">
        <f>IF($B38="","",IF($B$2="Todos",SUMIFS(BD!$O$3:$O$5001,BD!$A$3:$A$5001,$B38),SUMIFS(BD!$O$3:$O$5001,BD!$A$3:$A$5001,$B38,BD!$B$3:$B$5001,$D$2)))</f>
        <v>0</v>
      </c>
      <c r="Q38" s="32">
        <f>IF($B38="","",IF($B$2="Todos",SUMIFS(BD!$P$3:$P$5001,BD!$A$3:$A$5001,$B38),SUMIFS(BD!$P$3:$P$5001,BD!$A$3:$A$5001,$B38,BD!$B$3:$B$5001,$D$2)))</f>
        <v>0</v>
      </c>
      <c r="R38" s="32">
        <f>IF($B38="","",IF($B$2="Todos",SUMIFS(BD!$Q$3:$Q$5001,BD!$A$3:$A$5001,$B38),SUMIFS(BD!$Q$3:$Q$5001,BD!$A$3:$A$5001,$B38,BD!$B$3:$B$5001,$D$2)))</f>
        <v>0</v>
      </c>
      <c r="S38" s="32">
        <f>IF($B38="","",IF($B$2="Todos",SUMIFS(BD!$R$3:$R$5001,BD!$A$3:$A$5001,$B38),SUMIFS(BD!$R$3:$R$5001,BD!$A$3:$A$5001,$B38,BD!$B$3:$B$5001,$D$2)))</f>
        <v>0</v>
      </c>
      <c r="T38" s="32">
        <f>IF($B38="","",IF($B$2="Todos",SUMIFS(BD!$S$3:$S$5001,BD!$A$3:$A$5001,$B38),SUMIFS(BD!$S$3:$S$5001,BD!$A$3:$A$5001,$B38,BD!$B$3:$B$5001,$D$2)))</f>
        <v>0</v>
      </c>
      <c r="U38" s="32">
        <f>IF($B38="","",IF($B$2="Todos",SUMIFS(BD!$T$3:$T$5001,BD!$A$3:$A$5001,$B38),SUMIFS(BD!$T$3:$T$5001,BD!$A$3:$A$5001,$B38,BD!$B$3:$B$5001,$D$2)))</f>
        <v>0</v>
      </c>
      <c r="V38" s="32">
        <f>IF($B38="","",IF($B$2="Todos",SUMIFS(BD!$U$3:$U$5001,BD!$A$3:$A$5001,$B38),SUMIFS(BD!$U$3:$U$5001,BD!$A$3:$A$5001,$B38,BD!$B$3:$B$5001,$D$2)))</f>
        <v>0</v>
      </c>
      <c r="W38" s="50">
        <f>$B$5</f>
        <v>0.7</v>
      </c>
      <c r="X38" s="50">
        <f>$B$6</f>
        <v>0.9</v>
      </c>
    </row>
    <row r="39">
      <c r="A39" s="28">
        <v>28</v>
      </c>
      <c r="B39" s="46">
        <f>IF($A39&lt;=DAY($D$7),$C$7+$A39-1,"")</f>
        <v>46323</v>
      </c>
      <c r="C39" s="32">
        <f>IF($B39="","",IF($B$2="Todos",SUMIFS(BD!$C$3:$C$5001,BD!$A$3:$A$5001,$B39),SUMIFS(BD!$C$3:$C$5001,BD!$A$3:$A$5001,$B39,BD!$B$3:$B$5001,$D$2)))</f>
        <v>0</v>
      </c>
      <c r="D39" s="32">
        <f>IF($B39="","",IF($B$2="Todos",SUMIFS(BD!$D$3:$D$5001,BD!$A$3:$A$5001,$B39),SUMIFS(BD!$D$3:$D$5001,BD!$A$3:$A$5001,$B39,BD!$B$3:$B$5001,$D$2)))</f>
        <v>0</v>
      </c>
      <c r="E39" s="47">
        <f>IF($B39="","",IF($B$2="Todos",SUMIFS(BD!$E$3:$E$5001,BD!$A$3:$A$5001,$B39),SUMIFS(BD!$E$3:$E$5001,BD!$A$3:$A$5001,$B39,BD!$B$3:$B$5001,$D$2)))</f>
        <v>0</v>
      </c>
      <c r="F39" s="32">
        <f>IF($B39="","",IF($B$2="Todos",SUMIFS(BD!$F$3:$F$5001,BD!$A$3:$A$5001,$B39),SUMIFS(BD!$F$3:$F$5001,BD!$A$3:$A$5001,$B39,BD!$B$3:$B$5001,$D$2)))</f>
        <v>0</v>
      </c>
      <c r="G39" s="32">
        <f>IF($B39="","",IF($B$2="Todos",SUMIFS(BD!$G$3:$G$5001,BD!$A$3:$A$5001,$B39),SUMIFS(BD!$G$3:$G$5001,BD!$A$3:$A$5001,$B39,BD!$B$3:$B$5001,$D$2)))</f>
        <v>0</v>
      </c>
      <c r="H39" s="47">
        <f>IF($B39="","",IF($B$2="Todos",SUMIFS(BD!$H$3:$H$5001,BD!$A$3:$A$5001,$B39),SUMIFS(BD!$H$3:$H$5001,BD!$A$3:$A$5001,$B39,BD!$B$3:$B$5001,$D$2)))</f>
        <v>0</v>
      </c>
      <c r="I39" s="32">
        <f>IF($B39="","",IF($B$2="Todos",SUMIFS(BD!$I$3:$I$5001,BD!$A$3:$A$5001,$B39),SUMIFS(BD!$I$3:$I$5001,BD!$A$3:$A$5001,$B39,BD!$B$3:$B$5001,$D$2)))</f>
        <v>0</v>
      </c>
      <c r="J39" s="32">
        <f>IF($B39="","",IF($B$2="Todos",SUMIFS(BD!$J$3:$J$5001,BD!$A$3:$A$5001,$B39),SUMIFS(BD!$J$3:$J$5001,BD!$A$3:$A$5001,$B39,BD!$B$3:$B$5001,$D$2)))</f>
        <v>0</v>
      </c>
      <c r="K39" s="32" t="str">
        <f>IF($B$2="Todos",IF(COUNT($C$142:$V$142)=0,"",SUM($C$142:$V$142)),IFERROR(INDEX($C$142:$V$142,MATCH($D$2,$C$114:$V$114,0)),""))</f>
        <v/>
      </c>
      <c r="L39" s="48" t="str">
        <f>IF(M39="","",IF($B$2="Todos",IF($B$4&gt;0,$B$4,IF($B$2="Todos",IF(COUNT($C$212:$V$212)=0,"",SUM($C$212:$V$212)),IFERROR(INDEX($C$212:$V$212,MATCH($D$2,$C$184:$V$184,0)),""))),IFERROR(INDEX($C$212:$V$212,MATCH($D$2,$C$184:$V$184,0)),"")))</f>
        <v/>
      </c>
      <c r="M39" s="32" t="str">
        <f>IF($B$2="Todos",IF(COUNT($C$177:$V$177)=0,"",SUM($C$177:$V$177)),IFERROR(INDEX($C$177:$V$177,MATCH($D$2,$C$149:$V$149,0)),""))</f>
        <v/>
      </c>
      <c r="N39" s="49" t="str">
        <f>IF(AND(ISNUMBER(M39),ISNUMBER(L39)),IF(L39&gt;0,M39/L39,""),"")</f>
        <v/>
      </c>
      <c r="O39" s="32" t="str">
        <f>IF($B$2="Todos",IF(COUNT($C$247:$V$247)=0,"",SUM($C$247:$V$247)),IFERROR(INDEX($C$247:$V$247,MATCH($D$2,$C$219:$V$219,0)),""))</f>
        <v/>
      </c>
      <c r="P39" s="32">
        <f>IF($B39="","",IF($B$2="Todos",SUMIFS(BD!$O$3:$O$5001,BD!$A$3:$A$5001,$B39),SUMIFS(BD!$O$3:$O$5001,BD!$A$3:$A$5001,$B39,BD!$B$3:$B$5001,$D$2)))</f>
        <v>0</v>
      </c>
      <c r="Q39" s="32">
        <f>IF($B39="","",IF($B$2="Todos",SUMIFS(BD!$P$3:$P$5001,BD!$A$3:$A$5001,$B39),SUMIFS(BD!$P$3:$P$5001,BD!$A$3:$A$5001,$B39,BD!$B$3:$B$5001,$D$2)))</f>
        <v>0</v>
      </c>
      <c r="R39" s="32">
        <f>IF($B39="","",IF($B$2="Todos",SUMIFS(BD!$Q$3:$Q$5001,BD!$A$3:$A$5001,$B39),SUMIFS(BD!$Q$3:$Q$5001,BD!$A$3:$A$5001,$B39,BD!$B$3:$B$5001,$D$2)))</f>
        <v>0</v>
      </c>
      <c r="S39" s="32">
        <f>IF($B39="","",IF($B$2="Todos",SUMIFS(BD!$R$3:$R$5001,BD!$A$3:$A$5001,$B39),SUMIFS(BD!$R$3:$R$5001,BD!$A$3:$A$5001,$B39,BD!$B$3:$B$5001,$D$2)))</f>
        <v>0</v>
      </c>
      <c r="T39" s="32">
        <f>IF($B39="","",IF($B$2="Todos",SUMIFS(BD!$S$3:$S$5001,BD!$A$3:$A$5001,$B39),SUMIFS(BD!$S$3:$S$5001,BD!$A$3:$A$5001,$B39,BD!$B$3:$B$5001,$D$2)))</f>
        <v>0</v>
      </c>
      <c r="U39" s="32">
        <f>IF($B39="","",IF($B$2="Todos",SUMIFS(BD!$T$3:$T$5001,BD!$A$3:$A$5001,$B39),SUMIFS(BD!$T$3:$T$5001,BD!$A$3:$A$5001,$B39,BD!$B$3:$B$5001,$D$2)))</f>
        <v>0</v>
      </c>
      <c r="V39" s="32">
        <f>IF($B39="","",IF($B$2="Todos",SUMIFS(BD!$U$3:$U$5001,BD!$A$3:$A$5001,$B39),SUMIFS(BD!$U$3:$U$5001,BD!$A$3:$A$5001,$B39,BD!$B$3:$B$5001,$D$2)))</f>
        <v>0</v>
      </c>
      <c r="W39" s="50">
        <f>$B$5</f>
        <v>0.7</v>
      </c>
      <c r="X39" s="50">
        <f>$B$6</f>
        <v>0.9</v>
      </c>
    </row>
    <row r="40">
      <c r="A40" s="28">
        <v>29</v>
      </c>
      <c r="B40" s="46">
        <f>IF($A40&lt;=DAY($D$7),$C$7+$A40-1,"")</f>
        <v>46324</v>
      </c>
      <c r="C40" s="32">
        <f>IF($B40="","",IF($B$2="Todos",SUMIFS(BD!$C$3:$C$5001,BD!$A$3:$A$5001,$B40),SUMIFS(BD!$C$3:$C$5001,BD!$A$3:$A$5001,$B40,BD!$B$3:$B$5001,$D$2)))</f>
        <v>0</v>
      </c>
      <c r="D40" s="32">
        <f>IF($B40="","",IF($B$2="Todos",SUMIFS(BD!$D$3:$D$5001,BD!$A$3:$A$5001,$B40),SUMIFS(BD!$D$3:$D$5001,BD!$A$3:$A$5001,$B40,BD!$B$3:$B$5001,$D$2)))</f>
        <v>0</v>
      </c>
      <c r="E40" s="47">
        <f>IF($B40="","",IF($B$2="Todos",SUMIFS(BD!$E$3:$E$5001,BD!$A$3:$A$5001,$B40),SUMIFS(BD!$E$3:$E$5001,BD!$A$3:$A$5001,$B40,BD!$B$3:$B$5001,$D$2)))</f>
        <v>0</v>
      </c>
      <c r="F40" s="32">
        <f>IF($B40="","",IF($B$2="Todos",SUMIFS(BD!$F$3:$F$5001,BD!$A$3:$A$5001,$B40),SUMIFS(BD!$F$3:$F$5001,BD!$A$3:$A$5001,$B40,BD!$B$3:$B$5001,$D$2)))</f>
        <v>0</v>
      </c>
      <c r="G40" s="32">
        <f>IF($B40="","",IF($B$2="Todos",SUMIFS(BD!$G$3:$G$5001,BD!$A$3:$A$5001,$B40),SUMIFS(BD!$G$3:$G$5001,BD!$A$3:$A$5001,$B40,BD!$B$3:$B$5001,$D$2)))</f>
        <v>0</v>
      </c>
      <c r="H40" s="47">
        <f>IF($B40="","",IF($B$2="Todos",SUMIFS(BD!$H$3:$H$5001,BD!$A$3:$A$5001,$B40),SUMIFS(BD!$H$3:$H$5001,BD!$A$3:$A$5001,$B40,BD!$B$3:$B$5001,$D$2)))</f>
        <v>0</v>
      </c>
      <c r="I40" s="32">
        <f>IF($B40="","",IF($B$2="Todos",SUMIFS(BD!$I$3:$I$5001,BD!$A$3:$A$5001,$B40),SUMIFS(BD!$I$3:$I$5001,BD!$A$3:$A$5001,$B40,BD!$B$3:$B$5001,$D$2)))</f>
        <v>0</v>
      </c>
      <c r="J40" s="32">
        <f>IF($B40="","",IF($B$2="Todos",SUMIFS(BD!$J$3:$J$5001,BD!$A$3:$A$5001,$B40),SUMIFS(BD!$J$3:$J$5001,BD!$A$3:$A$5001,$B40,BD!$B$3:$B$5001,$D$2)))</f>
        <v>0</v>
      </c>
      <c r="K40" s="32" t="str">
        <f>IF($B$2="Todos",IF(COUNT($C$143:$V$143)=0,"",SUM($C$143:$V$143)),IFERROR(INDEX($C$143:$V$143,MATCH($D$2,$C$114:$V$114,0)),""))</f>
        <v/>
      </c>
      <c r="L40" s="48" t="str">
        <f>IF(M40="","",IF($B$2="Todos",IF($B$4&gt;0,$B$4,IF($B$2="Todos",IF(COUNT($C$213:$V$213)=0,"",SUM($C$213:$V$213)),IFERROR(INDEX($C$213:$V$213,MATCH($D$2,$C$184:$V$184,0)),""))),IFERROR(INDEX($C$213:$V$213,MATCH($D$2,$C$184:$V$184,0)),"")))</f>
        <v/>
      </c>
      <c r="M40" s="32" t="str">
        <f>IF($B$2="Todos",IF(COUNT($C$178:$V$178)=0,"",SUM($C$178:$V$178)),IFERROR(INDEX($C$178:$V$178,MATCH($D$2,$C$149:$V$149,0)),""))</f>
        <v/>
      </c>
      <c r="N40" s="49" t="str">
        <f>IF(AND(ISNUMBER(M40),ISNUMBER(L40)),IF(L40&gt;0,M40/L40,""),"")</f>
        <v/>
      </c>
      <c r="O40" s="32" t="str">
        <f>IF($B$2="Todos",IF(COUNT($C$248:$V$248)=0,"",SUM($C$248:$V$248)),IFERROR(INDEX($C$248:$V$248,MATCH($D$2,$C$219:$V$219,0)),""))</f>
        <v/>
      </c>
      <c r="P40" s="32">
        <f>IF($B40="","",IF($B$2="Todos",SUMIFS(BD!$O$3:$O$5001,BD!$A$3:$A$5001,$B40),SUMIFS(BD!$O$3:$O$5001,BD!$A$3:$A$5001,$B40,BD!$B$3:$B$5001,$D$2)))</f>
        <v>0</v>
      </c>
      <c r="Q40" s="32">
        <f>IF($B40="","",IF($B$2="Todos",SUMIFS(BD!$P$3:$P$5001,BD!$A$3:$A$5001,$B40),SUMIFS(BD!$P$3:$P$5001,BD!$A$3:$A$5001,$B40,BD!$B$3:$B$5001,$D$2)))</f>
        <v>0</v>
      </c>
      <c r="R40" s="32">
        <f>IF($B40="","",IF($B$2="Todos",SUMIFS(BD!$Q$3:$Q$5001,BD!$A$3:$A$5001,$B40),SUMIFS(BD!$Q$3:$Q$5001,BD!$A$3:$A$5001,$B40,BD!$B$3:$B$5001,$D$2)))</f>
        <v>0</v>
      </c>
      <c r="S40" s="32">
        <f>IF($B40="","",IF($B$2="Todos",SUMIFS(BD!$R$3:$R$5001,BD!$A$3:$A$5001,$B40),SUMIFS(BD!$R$3:$R$5001,BD!$A$3:$A$5001,$B40,BD!$B$3:$B$5001,$D$2)))</f>
        <v>0</v>
      </c>
      <c r="T40" s="32">
        <f>IF($B40="","",IF($B$2="Todos",SUMIFS(BD!$S$3:$S$5001,BD!$A$3:$A$5001,$B40),SUMIFS(BD!$S$3:$S$5001,BD!$A$3:$A$5001,$B40,BD!$B$3:$B$5001,$D$2)))</f>
        <v>0</v>
      </c>
      <c r="U40" s="32">
        <f>IF($B40="","",IF($B$2="Todos",SUMIFS(BD!$T$3:$T$5001,BD!$A$3:$A$5001,$B40),SUMIFS(BD!$T$3:$T$5001,BD!$A$3:$A$5001,$B40,BD!$B$3:$B$5001,$D$2)))</f>
        <v>0</v>
      </c>
      <c r="V40" s="32">
        <f>IF($B40="","",IF($B$2="Todos",SUMIFS(BD!$U$3:$U$5001,BD!$A$3:$A$5001,$B40),SUMIFS(BD!$U$3:$U$5001,BD!$A$3:$A$5001,$B40,BD!$B$3:$B$5001,$D$2)))</f>
        <v>0</v>
      </c>
      <c r="W40" s="50">
        <f>$B$5</f>
        <v>0.7</v>
      </c>
      <c r="X40" s="50">
        <f>$B$6</f>
        <v>0.9</v>
      </c>
    </row>
    <row r="41">
      <c r="A41" s="28">
        <v>30</v>
      </c>
      <c r="B41" s="46">
        <f>IF($A41&lt;=DAY($D$7),$C$7+$A41-1,"")</f>
        <v>46325</v>
      </c>
      <c r="C41" s="32">
        <f>IF($B41="","",IF($B$2="Todos",SUMIFS(BD!$C$3:$C$5001,BD!$A$3:$A$5001,$B41),SUMIFS(BD!$C$3:$C$5001,BD!$A$3:$A$5001,$B41,BD!$B$3:$B$5001,$D$2)))</f>
        <v>0</v>
      </c>
      <c r="D41" s="32">
        <f>IF($B41="","",IF($B$2="Todos",SUMIFS(BD!$D$3:$D$5001,BD!$A$3:$A$5001,$B41),SUMIFS(BD!$D$3:$D$5001,BD!$A$3:$A$5001,$B41,BD!$B$3:$B$5001,$D$2)))</f>
        <v>0</v>
      </c>
      <c r="E41" s="47">
        <f>IF($B41="","",IF($B$2="Todos",SUMIFS(BD!$E$3:$E$5001,BD!$A$3:$A$5001,$B41),SUMIFS(BD!$E$3:$E$5001,BD!$A$3:$A$5001,$B41,BD!$B$3:$B$5001,$D$2)))</f>
        <v>0</v>
      </c>
      <c r="F41" s="32">
        <f>IF($B41="","",IF($B$2="Todos",SUMIFS(BD!$F$3:$F$5001,BD!$A$3:$A$5001,$B41),SUMIFS(BD!$F$3:$F$5001,BD!$A$3:$A$5001,$B41,BD!$B$3:$B$5001,$D$2)))</f>
        <v>0</v>
      </c>
      <c r="G41" s="32">
        <f>IF($B41="","",IF($B$2="Todos",SUMIFS(BD!$G$3:$G$5001,BD!$A$3:$A$5001,$B41),SUMIFS(BD!$G$3:$G$5001,BD!$A$3:$A$5001,$B41,BD!$B$3:$B$5001,$D$2)))</f>
        <v>0</v>
      </c>
      <c r="H41" s="47">
        <f>IF($B41="","",IF($B$2="Todos",SUMIFS(BD!$H$3:$H$5001,BD!$A$3:$A$5001,$B41),SUMIFS(BD!$H$3:$H$5001,BD!$A$3:$A$5001,$B41,BD!$B$3:$B$5001,$D$2)))</f>
        <v>0</v>
      </c>
      <c r="I41" s="32">
        <f>IF($B41="","",IF($B$2="Todos",SUMIFS(BD!$I$3:$I$5001,BD!$A$3:$A$5001,$B41),SUMIFS(BD!$I$3:$I$5001,BD!$A$3:$A$5001,$B41,BD!$B$3:$B$5001,$D$2)))</f>
        <v>0</v>
      </c>
      <c r="J41" s="32">
        <f>IF($B41="","",IF($B$2="Todos",SUMIFS(BD!$J$3:$J$5001,BD!$A$3:$A$5001,$B41),SUMIFS(BD!$J$3:$J$5001,BD!$A$3:$A$5001,$B41,BD!$B$3:$B$5001,$D$2)))</f>
        <v>0</v>
      </c>
      <c r="K41" s="32" t="str">
        <f>IF($B$2="Todos",IF(COUNT($C$144:$V$144)=0,"",SUM($C$144:$V$144)),IFERROR(INDEX($C$144:$V$144,MATCH($D$2,$C$114:$V$114,0)),""))</f>
        <v/>
      </c>
      <c r="L41" s="48" t="str">
        <f>IF(M41="","",IF($B$2="Todos",IF($B$4&gt;0,$B$4,IF($B$2="Todos",IF(COUNT($C$214:$V$214)=0,"",SUM($C$214:$V$214)),IFERROR(INDEX($C$214:$V$214,MATCH($D$2,$C$184:$V$184,0)),""))),IFERROR(INDEX($C$214:$V$214,MATCH($D$2,$C$184:$V$184,0)),"")))</f>
        <v/>
      </c>
      <c r="M41" s="32" t="str">
        <f>IF($B$2="Todos",IF(COUNT($C$179:$V$179)=0,"",SUM($C$179:$V$179)),IFERROR(INDEX($C$179:$V$179,MATCH($D$2,$C$149:$V$149,0)),""))</f>
        <v/>
      </c>
      <c r="N41" s="49" t="str">
        <f>IF(AND(ISNUMBER(M41),ISNUMBER(L41)),IF(L41&gt;0,M41/L41,""),"")</f>
        <v/>
      </c>
      <c r="O41" s="32" t="str">
        <f>IF($B$2="Todos",IF(COUNT($C$249:$V$249)=0,"",SUM($C$249:$V$249)),IFERROR(INDEX($C$249:$V$249,MATCH($D$2,$C$219:$V$219,0)),""))</f>
        <v/>
      </c>
      <c r="P41" s="32">
        <f>IF($B41="","",IF($B$2="Todos",SUMIFS(BD!$O$3:$O$5001,BD!$A$3:$A$5001,$B41),SUMIFS(BD!$O$3:$O$5001,BD!$A$3:$A$5001,$B41,BD!$B$3:$B$5001,$D$2)))</f>
        <v>0</v>
      </c>
      <c r="Q41" s="32">
        <f>IF($B41="","",IF($B$2="Todos",SUMIFS(BD!$P$3:$P$5001,BD!$A$3:$A$5001,$B41),SUMIFS(BD!$P$3:$P$5001,BD!$A$3:$A$5001,$B41,BD!$B$3:$B$5001,$D$2)))</f>
        <v>0</v>
      </c>
      <c r="R41" s="32">
        <f>IF($B41="","",IF($B$2="Todos",SUMIFS(BD!$Q$3:$Q$5001,BD!$A$3:$A$5001,$B41),SUMIFS(BD!$Q$3:$Q$5001,BD!$A$3:$A$5001,$B41,BD!$B$3:$B$5001,$D$2)))</f>
        <v>0</v>
      </c>
      <c r="S41" s="32">
        <f>IF($B41="","",IF($B$2="Todos",SUMIFS(BD!$R$3:$R$5001,BD!$A$3:$A$5001,$B41),SUMIFS(BD!$R$3:$R$5001,BD!$A$3:$A$5001,$B41,BD!$B$3:$B$5001,$D$2)))</f>
        <v>0</v>
      </c>
      <c r="T41" s="32">
        <f>IF($B41="","",IF($B$2="Todos",SUMIFS(BD!$S$3:$S$5001,BD!$A$3:$A$5001,$B41),SUMIFS(BD!$S$3:$S$5001,BD!$A$3:$A$5001,$B41,BD!$B$3:$B$5001,$D$2)))</f>
        <v>0</v>
      </c>
      <c r="U41" s="32">
        <f>IF($B41="","",IF($B$2="Todos",SUMIFS(BD!$T$3:$T$5001,BD!$A$3:$A$5001,$B41),SUMIFS(BD!$T$3:$T$5001,BD!$A$3:$A$5001,$B41,BD!$B$3:$B$5001,$D$2)))</f>
        <v>0</v>
      </c>
      <c r="V41" s="32">
        <f>IF($B41="","",IF($B$2="Todos",SUMIFS(BD!$U$3:$U$5001,BD!$A$3:$A$5001,$B41),SUMIFS(BD!$U$3:$U$5001,BD!$A$3:$A$5001,$B41,BD!$B$3:$B$5001,$D$2)))</f>
        <v>0</v>
      </c>
      <c r="W41" s="50">
        <f>$B$5</f>
        <v>0.7</v>
      </c>
      <c r="X41" s="50">
        <f>$B$6</f>
        <v>0.9</v>
      </c>
    </row>
    <row r="42">
      <c r="A42" s="28">
        <v>31</v>
      </c>
      <c r="B42" s="46">
        <f>IF($A42&lt;=DAY($D$7),$C$7+$A42-1,"")</f>
        <v>46326</v>
      </c>
      <c r="C42" s="32">
        <f>IF($B42="","",IF($B$2="Todos",SUMIFS(BD!$C$3:$C$5001,BD!$A$3:$A$5001,$B42),SUMIFS(BD!$C$3:$C$5001,BD!$A$3:$A$5001,$B42,BD!$B$3:$B$5001,$D$2)))</f>
        <v>0</v>
      </c>
      <c r="D42" s="32">
        <f>IF($B42="","",IF($B$2="Todos",SUMIFS(BD!$D$3:$D$5001,BD!$A$3:$A$5001,$B42),SUMIFS(BD!$D$3:$D$5001,BD!$A$3:$A$5001,$B42,BD!$B$3:$B$5001,$D$2)))</f>
        <v>0</v>
      </c>
      <c r="E42" s="47">
        <f>IF($B42="","",IF($B$2="Todos",SUMIFS(BD!$E$3:$E$5001,BD!$A$3:$A$5001,$B42),SUMIFS(BD!$E$3:$E$5001,BD!$A$3:$A$5001,$B42,BD!$B$3:$B$5001,$D$2)))</f>
        <v>0</v>
      </c>
      <c r="F42" s="32">
        <f>IF($B42="","",IF($B$2="Todos",SUMIFS(BD!$F$3:$F$5001,BD!$A$3:$A$5001,$B42),SUMIFS(BD!$F$3:$F$5001,BD!$A$3:$A$5001,$B42,BD!$B$3:$B$5001,$D$2)))</f>
        <v>0</v>
      </c>
      <c r="G42" s="32">
        <f>IF($B42="","",IF($B$2="Todos",SUMIFS(BD!$G$3:$G$5001,BD!$A$3:$A$5001,$B42),SUMIFS(BD!$G$3:$G$5001,BD!$A$3:$A$5001,$B42,BD!$B$3:$B$5001,$D$2)))</f>
        <v>0</v>
      </c>
      <c r="H42" s="47">
        <f>IF($B42="","",IF($B$2="Todos",SUMIFS(BD!$H$3:$H$5001,BD!$A$3:$A$5001,$B42),SUMIFS(BD!$H$3:$H$5001,BD!$A$3:$A$5001,$B42,BD!$B$3:$B$5001,$D$2)))</f>
        <v>0</v>
      </c>
      <c r="I42" s="32">
        <f>IF($B42="","",IF($B$2="Todos",SUMIFS(BD!$I$3:$I$5001,BD!$A$3:$A$5001,$B42),SUMIFS(BD!$I$3:$I$5001,BD!$A$3:$A$5001,$B42,BD!$B$3:$B$5001,$D$2)))</f>
        <v>0</v>
      </c>
      <c r="J42" s="32">
        <f>IF($B42="","",IF($B$2="Todos",SUMIFS(BD!$J$3:$J$5001,BD!$A$3:$A$5001,$B42),SUMIFS(BD!$J$3:$J$5001,BD!$A$3:$A$5001,$B42,BD!$B$3:$B$5001,$D$2)))</f>
        <v>0</v>
      </c>
      <c r="K42" s="32" t="str">
        <f>IF($B$2="Todos",IF(COUNT($C$145:$V$145)=0,"",SUM($C$145:$V$145)),IFERROR(INDEX($C$145:$V$145,MATCH($D$2,$C$114:$V$114,0)),""))</f>
        <v/>
      </c>
      <c r="L42" s="48" t="str">
        <f>IF(M42="","",IF($B$2="Todos",IF($B$4&gt;0,$B$4,IF($B$2="Todos",IF(COUNT($C$215:$V$215)=0,"",SUM($C$215:$V$215)),IFERROR(INDEX($C$215:$V$215,MATCH($D$2,$C$184:$V$184,0)),""))),IFERROR(INDEX($C$215:$V$215,MATCH($D$2,$C$184:$V$184,0)),"")))</f>
        <v/>
      </c>
      <c r="M42" s="32" t="str">
        <f>IF($B$2="Todos",IF(COUNT($C$180:$V$180)=0,"",SUM($C$180:$V$180)),IFERROR(INDEX($C$180:$V$180,MATCH($D$2,$C$149:$V$149,0)),""))</f>
        <v/>
      </c>
      <c r="N42" s="49" t="str">
        <f>IF(AND(ISNUMBER(M42),ISNUMBER(L42)),IF(L42&gt;0,M42/L42,""),"")</f>
        <v/>
      </c>
      <c r="O42" s="32" t="str">
        <f>IF($B$2="Todos",IF(COUNT($C$250:$V$250)=0,"",SUM($C$250:$V$250)),IFERROR(INDEX($C$250:$V$250,MATCH($D$2,$C$219:$V$219,0)),""))</f>
        <v/>
      </c>
      <c r="P42" s="32">
        <f>IF($B42="","",IF($B$2="Todos",SUMIFS(BD!$O$3:$O$5001,BD!$A$3:$A$5001,$B42),SUMIFS(BD!$O$3:$O$5001,BD!$A$3:$A$5001,$B42,BD!$B$3:$B$5001,$D$2)))</f>
        <v>0</v>
      </c>
      <c r="Q42" s="32">
        <f>IF($B42="","",IF($B$2="Todos",SUMIFS(BD!$P$3:$P$5001,BD!$A$3:$A$5001,$B42),SUMIFS(BD!$P$3:$P$5001,BD!$A$3:$A$5001,$B42,BD!$B$3:$B$5001,$D$2)))</f>
        <v>0</v>
      </c>
      <c r="R42" s="32">
        <f>IF($B42="","",IF($B$2="Todos",SUMIFS(BD!$Q$3:$Q$5001,BD!$A$3:$A$5001,$B42),SUMIFS(BD!$Q$3:$Q$5001,BD!$A$3:$A$5001,$B42,BD!$B$3:$B$5001,$D$2)))</f>
        <v>0</v>
      </c>
      <c r="S42" s="32">
        <f>IF($B42="","",IF($B$2="Todos",SUMIFS(BD!$R$3:$R$5001,BD!$A$3:$A$5001,$B42),SUMIFS(BD!$R$3:$R$5001,BD!$A$3:$A$5001,$B42,BD!$B$3:$B$5001,$D$2)))</f>
        <v>0</v>
      </c>
      <c r="T42" s="32">
        <f>IF($B42="","",IF($B$2="Todos",SUMIFS(BD!$S$3:$S$5001,BD!$A$3:$A$5001,$B42),SUMIFS(BD!$S$3:$S$5001,BD!$A$3:$A$5001,$B42,BD!$B$3:$B$5001,$D$2)))</f>
        <v>0</v>
      </c>
      <c r="U42" s="32">
        <f>IF($B42="","",IF($B$2="Todos",SUMIFS(BD!$T$3:$T$5001,BD!$A$3:$A$5001,$B42),SUMIFS(BD!$T$3:$T$5001,BD!$A$3:$A$5001,$B42,BD!$B$3:$B$5001,$D$2)))</f>
        <v>0</v>
      </c>
      <c r="V42" s="32">
        <f>IF($B42="","",IF($B$2="Todos",SUMIFS(BD!$U$3:$U$5001,BD!$A$3:$A$5001,$B42),SUMIFS(BD!$U$3:$U$5001,BD!$A$3:$A$5001,$B42,BD!$B$3:$B$5001,$D$2)))</f>
        <v>0</v>
      </c>
      <c r="W42" s="50">
        <f>$B$5</f>
        <v>0.7</v>
      </c>
      <c r="X42" s="50">
        <f>$B$6</f>
        <v>0.9</v>
      </c>
    </row>
    <row r="43">
      <c r="A43" s="51" t="inlineStr">
        <is>
          <t xml:space="preserve">Realizado no mês (soma · último valor em estoque)</t>
        </is>
      </c>
      <c r="C43" s="53">
        <f>SUM(C12:C42)</f>
        <v>0</v>
      </c>
      <c r="D43" s="53">
        <f>SUM(D12:D42)</f>
        <v>0</v>
      </c>
      <c r="E43" s="59">
        <f>SUM(E12:E42)</f>
        <v>0</v>
      </c>
      <c r="F43" s="53">
        <f>SUM(F12:F42)</f>
        <v>0</v>
      </c>
      <c r="G43" s="53">
        <f>SUM(G12:G42)</f>
        <v>0</v>
      </c>
      <c r="H43" s="59">
        <f>SUM(H12:H42)</f>
        <v>0</v>
      </c>
      <c r="I43" s="53">
        <f>SUM(I12:I42)</f>
        <v>0</v>
      </c>
      <c r="J43" s="53">
        <f>SUM(J12:J42)</f>
        <v>0</v>
      </c>
      <c r="K43" s="53" t="str">
        <f>IFERROR(LOOKUP(9.99E+307,K12:K42),"")</f>
        <v/>
      </c>
      <c r="L43" s="53" t="str">
        <f>IFERROR(LOOKUP(9.99E+307,L12:L42),"")</f>
        <v/>
      </c>
      <c r="M43" s="53" t="str">
        <f>IFERROR(LOOKUP(9.99E+307,M12:M42),"")</f>
        <v/>
      </c>
      <c r="N43" s="60" t="str">
        <f>IFERROR(LOOKUP(9.99E+307,N12:N42),"")</f>
        <v/>
      </c>
      <c r="O43" s="53" t="str">
        <f>IFERROR(LOOKUP(9.99E+307,O12:O42),"")</f>
        <v/>
      </c>
      <c r="P43" s="53">
        <f>SUM(P12:P42)</f>
        <v>0</v>
      </c>
      <c r="Q43" s="53">
        <f>SUM(Q12:Q42)</f>
        <v>0</v>
      </c>
      <c r="R43" s="53">
        <f>SUM(R12:R42)</f>
        <v>0</v>
      </c>
      <c r="S43" s="53">
        <f>SUM(S12:S42)</f>
        <v>0</v>
      </c>
      <c r="T43" s="53">
        <f>SUM(T12:T42)</f>
        <v>0</v>
      </c>
      <c r="U43" s="53">
        <f>SUM(U12:U42)</f>
        <v>0</v>
      </c>
      <c r="V43" s="53">
        <f>SUM(V12:V42)</f>
        <v>0</v>
      </c>
    </row>
    <row r="44">
      <c r="A44" s="52" t="inlineStr">
        <is>
          <t xml:space="preserve">Média por dia</t>
        </is>
      </c>
      <c r="C44" s="54" t="str">
        <f>IFERROR(AVERAGEIF(C12:C42,"&gt;0"),"")</f>
        <v/>
      </c>
      <c r="D44" s="54" t="str">
        <f>IFERROR(AVERAGEIF(D12:D42,"&gt;0"),"")</f>
        <v/>
      </c>
      <c r="E44" s="54" t="str">
        <f>IFERROR(AVERAGEIF(E12:E42,"&gt;0"),"")</f>
        <v/>
      </c>
      <c r="F44" s="54" t="str">
        <f>IFERROR(AVERAGEIF(F12:F42,"&gt;0"),"")</f>
        <v/>
      </c>
      <c r="G44" s="54" t="str">
        <f>IFERROR(AVERAGEIF(G12:G42,"&gt;0"),"")</f>
        <v/>
      </c>
      <c r="H44" s="54" t="str">
        <f>IFERROR(AVERAGEIF(H12:H42,"&gt;0"),"")</f>
        <v/>
      </c>
      <c r="I44" s="54" t="str">
        <f>IFERROR(AVERAGEIF(I12:I42,"&gt;0"),"")</f>
        <v/>
      </c>
      <c r="J44" s="54" t="str">
        <f>IFERROR(AVERAGEIF(J12:J42,"&gt;0"),"")</f>
        <v/>
      </c>
      <c r="K44" s="54" t="str">
        <f>IFERROR(AVERAGE(K12:K42),"")</f>
        <v/>
      </c>
      <c r="L44" s="54" t="str">
        <f>IFERROR(AVERAGE(L12:L42),"")</f>
        <v/>
      </c>
      <c r="M44" s="54" t="str">
        <f>IFERROR(AVERAGE(M12:M42),"")</f>
        <v/>
      </c>
      <c r="N44" s="56" t="str">
        <f>IFERROR(AVERAGE(N12:N42),"")</f>
        <v/>
      </c>
      <c r="O44" s="54" t="str">
        <f>IFERROR(AVERAGE(O12:O42),"")</f>
        <v/>
      </c>
      <c r="P44" s="54" t="str">
        <f>IFERROR(AVERAGEIF(P12:P42,"&gt;0"),"")</f>
        <v/>
      </c>
      <c r="Q44" s="54" t="str">
        <f>IFERROR(AVERAGEIF(Q12:Q42,"&gt;0"),"")</f>
        <v/>
      </c>
      <c r="R44" s="54" t="str">
        <f>IFERROR(AVERAGEIF(R12:R42,"&gt;0"),"")</f>
        <v/>
      </c>
      <c r="S44" s="54" t="str">
        <f>IFERROR(AVERAGEIF(S12:S42,"&gt;0"),"")</f>
        <v/>
      </c>
      <c r="T44" s="54" t="str">
        <f>IFERROR(AVERAGEIF(T12:T42,"&gt;0"),"")</f>
        <v/>
      </c>
      <c r="U44" s="54" t="str">
        <f>IFERROR(AVERAGEIF(U12:U42,"&gt;0"),"")</f>
        <v/>
      </c>
      <c r="V44" s="54" t="str">
        <f>IFERROR(AVERAGEIF(V12:V42,"&gt;0"),"")</f>
        <v/>
      </c>
    </row>
    <row r="45">
      <c r="A45" s="52" t="inlineStr">
        <is>
          <t xml:space="preserve">Máximo em um dia</t>
        </is>
      </c>
      <c r="C45" s="55">
        <f>IF(COUNT(C12:C42)=0,"",MAX(C12:C42))</f>
        <v>0</v>
      </c>
      <c r="D45" s="55">
        <f>IF(COUNT(D12:D42)=0,"",MAX(D12:D42))</f>
        <v>0</v>
      </c>
      <c r="E45" s="54">
        <f>IF(COUNT(E12:E42)=0,"",MAX(E12:E42))</f>
        <v>0</v>
      </c>
      <c r="F45" s="55">
        <f>IF(COUNT(F12:F42)=0,"",MAX(F12:F42))</f>
        <v>0</v>
      </c>
      <c r="G45" s="55">
        <f>IF(COUNT(G12:G42)=0,"",MAX(G12:G42))</f>
        <v>0</v>
      </c>
      <c r="H45" s="54">
        <f>IF(COUNT(H12:H42)=0,"",MAX(H12:H42))</f>
        <v>0</v>
      </c>
      <c r="I45" s="55">
        <f>IF(COUNT(I12:I42)=0,"",MAX(I12:I42))</f>
        <v>0</v>
      </c>
      <c r="J45" s="55">
        <f>IF(COUNT(J12:J42)=0,"",MAX(J12:J42))</f>
        <v>0</v>
      </c>
      <c r="K45" s="55" t="str">
        <f>IF(COUNT(K12:K42)=0,"",MAX(K12:K42))</f>
        <v/>
      </c>
      <c r="L45" s="55" t="str">
        <f>IF(COUNT(L12:L42)=0,"",MAX(L12:L42))</f>
        <v/>
      </c>
      <c r="M45" s="55" t="str">
        <f>IF(COUNT(M12:M42)=0,"",MAX(M12:M42))</f>
        <v/>
      </c>
      <c r="N45" s="56" t="str">
        <f>IF(COUNT(N12:N42)=0,"",MAX(N12:N42))</f>
        <v/>
      </c>
      <c r="O45" s="55" t="str">
        <f>IF(COUNT(O12:O42)=0,"",MAX(O12:O42))</f>
        <v/>
      </c>
      <c r="P45" s="55">
        <f>IF(COUNT(P12:P42)=0,"",MAX(P12:P42))</f>
        <v>0</v>
      </c>
      <c r="Q45" s="55">
        <f>IF(COUNT(Q12:Q42)=0,"",MAX(Q12:Q42))</f>
        <v>0</v>
      </c>
      <c r="R45" s="55">
        <f>IF(COUNT(R12:R42)=0,"",MAX(R12:R42))</f>
        <v>0</v>
      </c>
      <c r="S45" s="55">
        <f>IF(COUNT(S12:S42)=0,"",MAX(S12:S42))</f>
        <v>0</v>
      </c>
      <c r="T45" s="55">
        <f>IF(COUNT(T12:T42)=0,"",MAX(T12:T42))</f>
        <v>0</v>
      </c>
      <c r="U45" s="55">
        <f>IF(COUNT(U12:U42)=0,"",MAX(U12:U42))</f>
        <v>0</v>
      </c>
      <c r="V45" s="55">
        <f>IF(COUNT(V12:V42)=0,"",MAX(V12:V42))</f>
        <v>0</v>
      </c>
    </row>
    <row r="46">
      <c r="A46" s="52" t="inlineStr">
        <is>
          <t xml:space="preserve">Mês anterior (mesmo intervalo)</t>
        </is>
      </c>
      <c r="C46" s="55" t="str">
        <f>IF($B$9=0,"",IF($B$2="Todos",SUMIFS(BD!$C$3:$C$5001,BD!$A$3:$A$5001,"&gt;="&amp;$C$8,BD!$A$3:$A$5001,"&lt;="&amp;$D$8),SUMIFS(BD!$C$3:$C$5001,BD!$A$3:$A$5001,"&gt;="&amp;$C$8,BD!$A$3:$A$5001,"&lt;="&amp;$D$8,BD!$B$3:$B$5001,$D$2)))</f>
        <v/>
      </c>
      <c r="D46" s="55" t="str">
        <f>IF($B$9=0,"",IF($B$2="Todos",SUMIFS(BD!$D$3:$D$5001,BD!$A$3:$A$5001,"&gt;="&amp;$C$8,BD!$A$3:$A$5001,"&lt;="&amp;$D$8),SUMIFS(BD!$D$3:$D$5001,BD!$A$3:$A$5001,"&gt;="&amp;$C$8,BD!$A$3:$A$5001,"&lt;="&amp;$D$8,BD!$B$3:$B$5001,$D$2)))</f>
        <v/>
      </c>
      <c r="E46" s="54" t="str">
        <f>IF($B$9=0,"",IF($B$2="Todos",SUMIFS(BD!$E$3:$E$5001,BD!$A$3:$A$5001,"&gt;="&amp;$C$8,BD!$A$3:$A$5001,"&lt;="&amp;$D$8),SUMIFS(BD!$E$3:$E$5001,BD!$A$3:$A$5001,"&gt;="&amp;$C$8,BD!$A$3:$A$5001,"&lt;="&amp;$D$8,BD!$B$3:$B$5001,$D$2)))</f>
        <v/>
      </c>
      <c r="F46" s="55" t="str">
        <f>IF($B$9=0,"",IF($B$2="Todos",SUMIFS(BD!$F$3:$F$5001,BD!$A$3:$A$5001,"&gt;="&amp;$C$8,BD!$A$3:$A$5001,"&lt;="&amp;$D$8),SUMIFS(BD!$F$3:$F$5001,BD!$A$3:$A$5001,"&gt;="&amp;$C$8,BD!$A$3:$A$5001,"&lt;="&amp;$D$8,BD!$B$3:$B$5001,$D$2)))</f>
        <v/>
      </c>
      <c r="G46" s="55" t="str">
        <f>IF($B$9=0,"",IF($B$2="Todos",SUMIFS(BD!$G$3:$G$5001,BD!$A$3:$A$5001,"&gt;="&amp;$C$8,BD!$A$3:$A$5001,"&lt;="&amp;$D$8),SUMIFS(BD!$G$3:$G$5001,BD!$A$3:$A$5001,"&gt;="&amp;$C$8,BD!$A$3:$A$5001,"&lt;="&amp;$D$8,BD!$B$3:$B$5001,$D$2)))</f>
        <v/>
      </c>
      <c r="H46" s="54" t="str">
        <f>IF($B$9=0,"",IF($B$2="Todos",SUMIFS(BD!$H$3:$H$5001,BD!$A$3:$A$5001,"&gt;="&amp;$C$8,BD!$A$3:$A$5001,"&lt;="&amp;$D$8),SUMIFS(BD!$H$3:$H$5001,BD!$A$3:$A$5001,"&gt;="&amp;$C$8,BD!$A$3:$A$5001,"&lt;="&amp;$D$8,BD!$B$3:$B$5001,$D$2)))</f>
        <v/>
      </c>
      <c r="I46" s="55" t="str">
        <f>IF($B$9=0,"",IF($B$2="Todos",SUMIFS(BD!$I$3:$I$5001,BD!$A$3:$A$5001,"&gt;="&amp;$C$8,BD!$A$3:$A$5001,"&lt;="&amp;$D$8),SUMIFS(BD!$I$3:$I$5001,BD!$A$3:$A$5001,"&gt;="&amp;$C$8,BD!$A$3:$A$5001,"&lt;="&amp;$D$8,BD!$B$3:$B$5001,$D$2)))</f>
        <v/>
      </c>
      <c r="J46" s="55" t="str">
        <f>IF($B$9=0,"",IF($B$2="Todos",SUMIFS(BD!$J$3:$J$5001,BD!$A$3:$A$5001,"&gt;="&amp;$C$8,BD!$A$3:$A$5001,"&lt;="&amp;$D$8),SUMIFS(BD!$J$3:$J$5001,BD!$A$3:$A$5001,"&gt;="&amp;$C$8,BD!$A$3:$A$5001,"&lt;="&amp;$D$8,BD!$B$3:$B$5001,$D$2)))</f>
        <v/>
      </c>
      <c r="K46" s="55" t="str">
        <f>IF($B$9=0,"",IF($B$2="Todos",IF(COUNT($C$146:$V$146)=0,"",SUM($C$146:$V$146)),IFERROR(INDEX($C$146:$V$146,MATCH($D$2,$C$114:$V$114,0)),"")))</f>
        <v/>
      </c>
      <c r="L46" s="55" t="str">
        <f>IF(M46="","",IF($B$2="Todos",IF($B$4&gt;0,$B$4,IF($B$2="Todos",IF(COUNT($C$216:$V$216)=0,"",SUM($C$216:$V$216)),IFERROR(INDEX($C$216:$V$216,MATCH($D$2,$C$184:$V$184,0)),""))),IFERROR(INDEX($C$216:$V$216,MATCH($D$2,$C$184:$V$184,0)),"")))</f>
        <v/>
      </c>
      <c r="M46" s="55" t="str">
        <f>IF($B$9=0,"",IF($B$2="Todos",IF(COUNT($C$181:$V$181)=0,"",SUM($C$181:$V$181)),IFERROR(INDEX($C$181:$V$181,MATCH($D$2,$C$149:$V$149,0)),"")))</f>
        <v/>
      </c>
      <c r="N46" s="56" t="str">
        <f>IF(AND(ISNUMBER(M46),ISNUMBER(L46)),IF(L46&gt;0,M46/L46,""),"")</f>
        <v/>
      </c>
      <c r="O46" s="55" t="str">
        <f>IF($B$9=0,"",IF($B$2="Todos",IF(COUNT($C$251:$V$251)=0,"",SUM($C$251:$V$251)),IFERROR(INDEX($C$251:$V$251,MATCH($D$2,$C$219:$V$219,0)),"")))</f>
        <v/>
      </c>
      <c r="P46" s="55" t="str">
        <f>IF($B$9=0,"",IF($B$2="Todos",SUMIFS(BD!$O$3:$O$5001,BD!$A$3:$A$5001,"&gt;="&amp;$C$8,BD!$A$3:$A$5001,"&lt;="&amp;$D$8),SUMIFS(BD!$O$3:$O$5001,BD!$A$3:$A$5001,"&gt;="&amp;$C$8,BD!$A$3:$A$5001,"&lt;="&amp;$D$8,BD!$B$3:$B$5001,$D$2)))</f>
        <v/>
      </c>
      <c r="Q46" s="55" t="str">
        <f>IF($B$9=0,"",IF($B$2="Todos",SUMIFS(BD!$P$3:$P$5001,BD!$A$3:$A$5001,"&gt;="&amp;$C$8,BD!$A$3:$A$5001,"&lt;="&amp;$D$8),SUMIFS(BD!$P$3:$P$5001,BD!$A$3:$A$5001,"&gt;="&amp;$C$8,BD!$A$3:$A$5001,"&lt;="&amp;$D$8,BD!$B$3:$B$5001,$D$2)))</f>
        <v/>
      </c>
      <c r="R46" s="55" t="str">
        <f>IF($B$9=0,"",IF($B$2="Todos",SUMIFS(BD!$Q$3:$Q$5001,BD!$A$3:$A$5001,"&gt;="&amp;$C$8,BD!$A$3:$A$5001,"&lt;="&amp;$D$8),SUMIFS(BD!$Q$3:$Q$5001,BD!$A$3:$A$5001,"&gt;="&amp;$C$8,BD!$A$3:$A$5001,"&lt;="&amp;$D$8,BD!$B$3:$B$5001,$D$2)))</f>
        <v/>
      </c>
      <c r="S46" s="55" t="str">
        <f>IF($B$9=0,"",IF($B$2="Todos",SUMIFS(BD!$R$3:$R$5001,BD!$A$3:$A$5001,"&gt;="&amp;$C$8,BD!$A$3:$A$5001,"&lt;="&amp;$D$8),SUMIFS(BD!$R$3:$R$5001,BD!$A$3:$A$5001,"&gt;="&amp;$C$8,BD!$A$3:$A$5001,"&lt;="&amp;$D$8,BD!$B$3:$B$5001,$D$2)))</f>
        <v/>
      </c>
      <c r="T46" s="55" t="str">
        <f>IF($B$9=0,"",IF($B$2="Todos",SUMIFS(BD!$S$3:$S$5001,BD!$A$3:$A$5001,"&gt;="&amp;$C$8,BD!$A$3:$A$5001,"&lt;="&amp;$D$8),SUMIFS(BD!$S$3:$S$5001,BD!$A$3:$A$5001,"&gt;="&amp;$C$8,BD!$A$3:$A$5001,"&lt;="&amp;$D$8,BD!$B$3:$B$5001,$D$2)))</f>
        <v/>
      </c>
      <c r="U46" s="55" t="str">
        <f>IF($B$9=0,"",IF($B$2="Todos",SUMIFS(BD!$T$3:$T$5001,BD!$A$3:$A$5001,"&gt;="&amp;$C$8,BD!$A$3:$A$5001,"&lt;="&amp;$D$8),SUMIFS(BD!$T$3:$T$5001,BD!$A$3:$A$5001,"&gt;="&amp;$C$8,BD!$A$3:$A$5001,"&lt;="&amp;$D$8,BD!$B$3:$B$5001,$D$2)))</f>
        <v/>
      </c>
      <c r="V46" s="55" t="str">
        <f>IF($B$9=0,"",IF($B$2="Todos",SUMIFS(BD!$U$3:$U$5001,BD!$A$3:$A$5001,"&gt;="&amp;$C$8,BD!$A$3:$A$5001,"&lt;="&amp;$D$8),SUMIFS(BD!$U$3:$U$5001,BD!$A$3:$A$5001,"&gt;="&amp;$C$8,BD!$A$3:$A$5001,"&lt;="&amp;$D$8,BD!$B$3:$B$5001,$D$2)))</f>
        <v/>
      </c>
    </row>
    <row r="47">
      <c r="A47" s="52" t="inlineStr">
        <is>
          <t xml:space="preserve">Variação vs mês anterior</t>
        </is>
      </c>
      <c r="C47" s="56" t="str">
        <f>IF(AND(ISNUMBER(C43),ISNUMBER(C46)),IF(C46&lt;&gt;0,C43/C46-1,""),"")</f>
        <v/>
      </c>
      <c r="D47" s="56" t="str">
        <f>IF(AND(ISNUMBER(D43),ISNUMBER(D46)),IF(D46&lt;&gt;0,D43/D46-1,""),"")</f>
        <v/>
      </c>
      <c r="E47" s="56" t="str">
        <f>IF(AND(ISNUMBER(E43),ISNUMBER(E46)),IF(E46&lt;&gt;0,E43/E46-1,""),"")</f>
        <v/>
      </c>
      <c r="F47" s="56" t="str">
        <f>IF(AND(ISNUMBER(F43),ISNUMBER(F46)),IF(F46&lt;&gt;0,F43/F46-1,""),"")</f>
        <v/>
      </c>
      <c r="G47" s="56" t="str">
        <f>IF(AND(ISNUMBER(G43),ISNUMBER(G46)),IF(G46&lt;&gt;0,G43/G46-1,""),"")</f>
        <v/>
      </c>
      <c r="H47" s="56" t="str">
        <f>IF(AND(ISNUMBER(H43),ISNUMBER(H46)),IF(H46&lt;&gt;0,H43/H46-1,""),"")</f>
        <v/>
      </c>
      <c r="I47" s="56" t="str">
        <f>IF(AND(ISNUMBER(I43),ISNUMBER(I46)),IF(I46&lt;&gt;0,I43/I46-1,""),"")</f>
        <v/>
      </c>
      <c r="J47" s="56" t="str">
        <f>IF(AND(ISNUMBER(J43),ISNUMBER(J46)),IF(J46&lt;&gt;0,J43/J46-1,""),"")</f>
        <v/>
      </c>
      <c r="K47" s="56" t="str">
        <f>IF(AND(ISNUMBER(K43),ISNUMBER(K46)),IF(K46&lt;&gt;0,K43/K46-1,""),"")</f>
        <v/>
      </c>
      <c r="L47" s="56" t="str">
        <f>IF(AND(ISNUMBER(L43),ISNUMBER(L46)),IF(L46&lt;&gt;0,L43/L46-1,""),"")</f>
        <v/>
      </c>
      <c r="M47" s="56" t="str">
        <f>IF(AND(ISNUMBER(M43),ISNUMBER(M46)),IF(M46&lt;&gt;0,M43/M46-1,""),"")</f>
        <v/>
      </c>
      <c r="N47" s="56" t="str">
        <f>IF(AND(ISNUMBER(N43),ISNUMBER(N46)),IF(N46&lt;&gt;0,N43/N46-1,""),"")</f>
        <v/>
      </c>
      <c r="O47" s="56" t="str">
        <f>IF(AND(ISNUMBER(O43),ISNUMBER(O46)),IF(O46&lt;&gt;0,O43/O46-1,""),"")</f>
        <v/>
      </c>
      <c r="P47" s="56" t="str">
        <f>IF(AND(ISNUMBER(P43),ISNUMBER(P46)),IF(P46&lt;&gt;0,P43/P46-1,""),"")</f>
        <v/>
      </c>
      <c r="Q47" s="56" t="str">
        <f>IF(AND(ISNUMBER(Q43),ISNUMBER(Q46)),IF(Q46&lt;&gt;0,Q43/Q46-1,""),"")</f>
        <v/>
      </c>
      <c r="R47" s="56" t="str">
        <f>IF(AND(ISNUMBER(R43),ISNUMBER(R46)),IF(R46&lt;&gt;0,R43/R46-1,""),"")</f>
        <v/>
      </c>
      <c r="S47" s="56" t="str">
        <f>IF(AND(ISNUMBER(S43),ISNUMBER(S46)),IF(S46&lt;&gt;0,S43/S46-1,""),"")</f>
        <v/>
      </c>
      <c r="T47" s="56" t="str">
        <f>IF(AND(ISNUMBER(T43),ISNUMBER(T46)),IF(T46&lt;&gt;0,T43/T46-1,""),"")</f>
        <v/>
      </c>
      <c r="U47" s="56" t="str">
        <f>IF(AND(ISNUMBER(U43),ISNUMBER(U46)),IF(U46&lt;&gt;0,U43/U46-1,""),"")</f>
        <v/>
      </c>
      <c r="V47" s="56" t="str">
        <f>IF(AND(ISNUMBER(V43),ISNUMBER(V46)),IF(V46&lt;&gt;0,V43/V46-1,""),"")</f>
        <v/>
      </c>
    </row>
    <row r="48">
      <c r="A48" s="52" t="inlineStr">
        <is>
          <t xml:space="preserve">Meta (seleção)</t>
        </is>
      </c>
      <c r="C48" s="55" t="str">
        <f>IFERROR(1/(1/INDEX(BD!$Y$23:$AS$23,MATCH($B$2,BD!$Y$22:$AS$22,0))),"")</f>
        <v/>
      </c>
      <c r="D48" s="55" t="str">
        <f>IFERROR(1/(1/INDEX(BD!$Y$24:$AS$24,MATCH($B$2,BD!$Y$22:$AS$22,0))),"")</f>
        <v/>
      </c>
      <c r="E48" s="55" t="str">
        <f>IFERROR(1/(1/INDEX(BD!$Y$25:$AS$25,MATCH($B$2,BD!$Y$22:$AS$22,0))),"")</f>
        <v/>
      </c>
      <c r="F48" s="55" t="str">
        <f>IFERROR(1/(1/INDEX(BD!$Y$26:$AS$26,MATCH($B$2,BD!$Y$22:$AS$22,0))),"")</f>
        <v/>
      </c>
      <c r="G48" s="55" t="str">
        <f>IFERROR(1/(1/INDEX(BD!$Y$27:$AS$27,MATCH($B$2,BD!$Y$22:$AS$22,0))),"")</f>
        <v/>
      </c>
      <c r="H48" s="55" t="str">
        <f>IFERROR(1/(1/INDEX(BD!$Y$28:$AS$28,MATCH($B$2,BD!$Y$22:$AS$22,0))),"")</f>
        <v/>
      </c>
      <c r="I48" s="55" t="str">
        <f>IFERROR(1/(1/INDEX(BD!$Y$29:$AS$29,MATCH($B$2,BD!$Y$22:$AS$22,0))),"")</f>
        <v/>
      </c>
      <c r="J48" s="55" t="str">
        <f>IFERROR(1/(1/INDEX(BD!$Y$30:$AS$30,MATCH($B$2,BD!$Y$22:$AS$22,0))),"")</f>
        <v/>
      </c>
      <c r="K48" s="55" t="str">
        <f>IFERROR(1/(1/INDEX(BD!$Y$31:$AS$31,MATCH($B$2,BD!$Y$22:$AS$22,0))),"")</f>
        <v/>
      </c>
      <c r="L48" s="55" t="str">
        <f>IFERROR(1/(1/INDEX(BD!$Y$32:$AS$32,MATCH($B$2,BD!$Y$22:$AS$22,0))),"")</f>
        <v/>
      </c>
      <c r="M48" s="55" t="str">
        <f>IFERROR(1/(1/INDEX(BD!$Y$33:$AS$33,MATCH($B$2,BD!$Y$22:$AS$22,0))),"")</f>
        <v/>
      </c>
      <c r="N48" s="57" t="str">
        <f>IFERROR(1/(1/INDEX(BD!$Y$34:$AS$34,MATCH($B$2,BD!$Y$22:$AS$22,0))),"")</f>
        <v/>
      </c>
      <c r="O48" s="55" t="str">
        <f>IFERROR(1/(1/INDEX(BD!$Y$35:$AS$35,MATCH($B$2,BD!$Y$22:$AS$22,0))),"")</f>
        <v/>
      </c>
      <c r="P48" s="55" t="str">
        <f>IFERROR(1/(1/INDEX(BD!$Y$36:$AS$36,MATCH($B$2,BD!$Y$22:$AS$22,0))),"")</f>
        <v/>
      </c>
      <c r="Q48" s="55" t="str">
        <f>IFERROR(1/(1/INDEX(BD!$Y$37:$AS$37,MATCH($B$2,BD!$Y$22:$AS$22,0))),"")</f>
        <v/>
      </c>
      <c r="R48" s="55" t="str">
        <f>IFERROR(1/(1/INDEX(BD!$Y$38:$AS$38,MATCH($B$2,BD!$Y$22:$AS$22,0))),"")</f>
        <v/>
      </c>
      <c r="S48" s="55" t="str">
        <f>IFERROR(1/(1/INDEX(BD!$Y$39:$AS$39,MATCH($B$2,BD!$Y$22:$AS$22,0))),"")</f>
        <v/>
      </c>
      <c r="T48" s="55" t="str">
        <f>IFERROR(1/(1/INDEX(BD!$Y$40:$AS$40,MATCH($B$2,BD!$Y$22:$AS$22,0))),"")</f>
        <v/>
      </c>
      <c r="U48" s="55" t="str">
        <f>IFERROR(1/(1/INDEX(BD!$Y$41:$AS$41,MATCH($B$2,BD!$Y$22:$AS$22,0))),"")</f>
        <v/>
      </c>
      <c r="V48" s="55" t="str">
        <f>IFERROR(1/(1/INDEX(BD!$Y$42:$AS$42,MATCH($B$2,BD!$Y$22:$AS$22,0))),"")</f>
        <v/>
      </c>
    </row>
    <row r="49">
      <c r="A49" s="52" t="inlineStr">
        <is>
          <t xml:space="preserve">% da meta</t>
        </is>
      </c>
      <c r="C49" s="57" t="str">
        <f>IF(AND(ISNUMBER(C48),ISNUMBER(C43)),IF(C48&gt;0,C43/C48,""),"")</f>
        <v/>
      </c>
      <c r="D49" s="57" t="str">
        <f>IF(AND(ISNUMBER(D48),ISNUMBER(D43)),IF(D48&gt;0,D43/D48,""),"")</f>
        <v/>
      </c>
      <c r="E49" s="57" t="str">
        <f>IF(AND(ISNUMBER(E48),ISNUMBER(E43)),IF(E48&gt;0,E43/E48,""),"")</f>
        <v/>
      </c>
      <c r="F49" s="57" t="str">
        <f>IF(AND(ISNUMBER(F48),ISNUMBER(F43)),IF(F48&gt;0,F43/F48,""),"")</f>
        <v/>
      </c>
      <c r="G49" s="57" t="str">
        <f>IF(AND(ISNUMBER(G48),ISNUMBER(G43)),IF(G48&gt;0,G43/G48,""),"")</f>
        <v/>
      </c>
      <c r="H49" s="57" t="str">
        <f>IF(AND(ISNUMBER(H48),ISNUMBER(H43)),IF(H48&gt;0,H43/H48,""),"")</f>
        <v/>
      </c>
      <c r="I49" s="57" t="str">
        <f>IF(AND(ISNUMBER(I48),ISNUMBER(I43)),IF(I48&gt;0,I43/I48,""),"")</f>
        <v/>
      </c>
      <c r="J49" s="57" t="str">
        <f>IF(AND(ISNUMBER(J48),ISNUMBER(J43)),IF(J48&gt;0,J43/J48,""),"")</f>
        <v/>
      </c>
      <c r="K49" s="57" t="str">
        <f>IF(AND(ISNUMBER(K48),ISNUMBER(K43)),IF(K48&gt;0,K43/K48,""),"")</f>
        <v/>
      </c>
      <c r="L49" s="57" t="str">
        <f>IF(AND(ISNUMBER(L48),ISNUMBER(L43)),IF(L48&gt;0,L43/L48,""),"")</f>
        <v/>
      </c>
      <c r="M49" s="57" t="str">
        <f>IF(AND(ISNUMBER(M48),ISNUMBER(M43)),IF(M48&gt;0,M43/M48,""),"")</f>
        <v/>
      </c>
      <c r="N49" s="57" t="str">
        <f>IF(AND(ISNUMBER(N48),ISNUMBER(N43)),IF(N48&gt;0,N43/N48,""),"")</f>
        <v/>
      </c>
      <c r="O49" s="57" t="str">
        <f>IF(AND(ISNUMBER(O48),ISNUMBER(O43)),IF(O48&gt;0,O43/O48,""),"")</f>
        <v/>
      </c>
      <c r="P49" s="57" t="str">
        <f>IF(AND(ISNUMBER(P48),ISNUMBER(P43)),IF(P48&gt;0,P43/P48,""),"")</f>
        <v/>
      </c>
      <c r="Q49" s="57" t="str">
        <f>IF(AND(ISNUMBER(Q48),ISNUMBER(Q43)),IF(Q48&gt;0,Q43/Q48,""),"")</f>
        <v/>
      </c>
      <c r="R49" s="57" t="str">
        <f>IF(AND(ISNUMBER(R48),ISNUMBER(R43)),IF(R48&gt;0,R43/R48,""),"")</f>
        <v/>
      </c>
      <c r="S49" s="57" t="str">
        <f>IF(AND(ISNUMBER(S48),ISNUMBER(S43)),IF(S48&gt;0,S43/S48,""),"")</f>
        <v/>
      </c>
      <c r="T49" s="57" t="str">
        <f>IF(AND(ISNUMBER(T48),ISNUMBER(T43)),IF(T48&gt;0,T43/T48,""),"")</f>
        <v/>
      </c>
      <c r="U49" s="57" t="str">
        <f>IF(AND(ISNUMBER(U48),ISNUMBER(U43)),IF(U48&gt;0,U43/U48,""),"")</f>
        <v/>
      </c>
      <c r="V49" s="57" t="str">
        <f>IF(AND(ISNUMBER(V48),ISNUMBER(V43)),IF(V48&gt;0,V43/V48,""),"")</f>
        <v/>
      </c>
    </row>
    <row r="50">
      <c r="A50" s="52" t="inlineStr">
        <is>
          <t xml:space="preserve">Status</t>
        </is>
      </c>
      <c r="C50" s="58" t="str">
        <f>IF(ISNUMBER(C49),IF(C49&gt;=1,"meta atingida","abaixo da meta"),"")</f>
        <v/>
      </c>
      <c r="D50" s="58" t="str">
        <f>IF(ISNUMBER(D49),IF(D49&gt;=1,"meta atingida","abaixo da meta"),"")</f>
        <v/>
      </c>
      <c r="E50" s="58" t="str">
        <f>IF(ISNUMBER(E49),IF(E49&gt;=1,"meta atingida","abaixo da meta"),"")</f>
        <v/>
      </c>
      <c r="F50" s="58" t="str">
        <f>IF(ISNUMBER(F49),IF(F49&gt;=1,"meta atingida","abaixo da meta"),"")</f>
        <v/>
      </c>
      <c r="G50" s="58" t="str">
        <f>IF(ISNUMBER(G49),IF(G49&gt;=1,"meta atingida","abaixo da meta"),"")</f>
        <v/>
      </c>
      <c r="H50" s="58" t="str">
        <f>IF(ISNUMBER(H49),IF(H49&gt;=1,"meta atingida","abaixo da meta"),"")</f>
        <v/>
      </c>
      <c r="I50" s="58" t="str">
        <f>IF(AND(ISNUMBER(I48),ISNUMBER(I43)),IF(I43&lt;=I48,"dentro do limite","acima do limite"),"")</f>
        <v/>
      </c>
      <c r="J50" s="58" t="str">
        <f>IF(AND(ISNUMBER(J48),ISNUMBER(J43)),IF(J43&lt;=J48,"dentro do limite","acima do limite"),"")</f>
        <v/>
      </c>
      <c r="K50" s="58" t="str">
        <f>IF(AND(ISNUMBER(K48),ISNUMBER(K43)),IF(K43&lt;=K48,"dentro do limite","acima do limite"),"")</f>
        <v/>
      </c>
      <c r="L50" s="58" t="str">
        <f>IF(ISNUMBER(L49),IF(L49&gt;=1,"meta atingida","abaixo da meta"),"")</f>
        <v/>
      </c>
      <c r="M50" s="58" t="str">
        <f>IF(ISNUMBER(M49),IF(M49&gt;=1,"meta atingida","abaixo da meta"),"")</f>
        <v/>
      </c>
      <c r="N50" s="58" t="str">
        <f>IF(ISNUMBER(N43),IF(N43&gt;1,"excede o contratado",IF(N43&gt;=$B$6,"ocupação alta",IF(N43&gt;=$B$5,"ocupação média","ociosidade alta"))),"")</f>
        <v/>
      </c>
      <c r="O50" s="58" t="str">
        <f>IF(ISNUMBER(O49),IF(O49&gt;=1,"meta atingida","abaixo da meta"),"")</f>
        <v/>
      </c>
      <c r="P50" s="58" t="str">
        <f>IF(AND(ISNUMBER(P48),ISNUMBER(P43)),IF(P43&lt;=P48,"dentro do limite","acima do limite"),"")</f>
        <v/>
      </c>
      <c r="Q50" s="58" t="str">
        <f>IF(ISNUMBER(Q49),IF(Q49&gt;=1,"meta atingida","abaixo da meta"),"")</f>
        <v/>
      </c>
      <c r="R50" s="58" t="str">
        <f>IF(ISNUMBER(R49),IF(R49&gt;=1,"meta atingida","abaixo da meta"),"")</f>
        <v/>
      </c>
      <c r="S50" s="58" t="str">
        <f>IF(AND(ISNUMBER(S48),ISNUMBER(S43)),IF(S43&lt;=S48,"dentro do limite","acima do limite"),"")</f>
        <v/>
      </c>
      <c r="T50" s="58" t="str">
        <f>IF(AND(ISNUMBER(T48),ISNUMBER(T43)),IF(T43&lt;=T48,"dentro do limite","acima do limite"),"")</f>
        <v/>
      </c>
      <c r="U50" s="58" t="str">
        <f>IF(AND(ISNUMBER(U48),ISNUMBER(U43)),IF(U43&lt;=U48,"dentro do limite","acima do limite"),"")</f>
        <v/>
      </c>
      <c r="V50" s="58" t="str">
        <f>IF(AND(ISNUMBER(V48),ISNUMBER(V43)),IF(V43&lt;=V48,"dentro do limite","acima do limite"),"")</f>
        <v/>
      </c>
    </row>
    <row r="78">
      <c r="A78" s="19" t="inlineStr">
        <is>
          <t xml:space="preserve">ACUMULADO SEMANAL — toneladas e pallets (seguem o filtro; mês do gráfico)</t>
        </is>
      </c>
    </row>
    <row r="79">
      <c r="A79" s="37" t="inlineStr">
        <is>
          <t xml:space="preserve">Semana</t>
        </is>
      </c>
      <c r="B79" s="37" t="inlineStr">
        <is>
          <t xml:space="preserve">Do dia</t>
        </is>
      </c>
      <c r="C79" s="37" t="inlineStr">
        <is>
          <t xml:space="preserve">Ao dia</t>
        </is>
      </c>
      <c r="D79" s="37" t="inlineStr">
        <is>
          <t xml:space="preserve">IN tons</t>
        </is>
      </c>
      <c r="E79" s="37" t="inlineStr">
        <is>
          <t xml:space="preserve">OUT tons</t>
        </is>
      </c>
      <c r="F79" s="37" t="inlineStr">
        <is>
          <t xml:space="preserve">IN pallets</t>
        </is>
      </c>
      <c r="G79" s="37" t="inlineStr">
        <is>
          <t xml:space="preserve">OUT pallets</t>
        </is>
      </c>
    </row>
    <row r="80">
      <c r="A80" s="29" t="inlineStr">
        <is>
          <t xml:space="preserve">Sem 1 (01–07)</t>
        </is>
      </c>
      <c r="B80" s="28">
        <v>1</v>
      </c>
      <c r="C80" s="28">
        <v>7</v>
      </c>
      <c r="D80" s="61">
        <f>SUMIFS(E12:E42,A12:A42,"&gt;="&amp;$B80,A12:A42,"&lt;="&amp;$C80)</f>
        <v>0</v>
      </c>
      <c r="E80" s="61">
        <f>SUMIFS(H12:H42,A12:A42,"&gt;="&amp;$B80,A12:A42,"&lt;="&amp;$C80)</f>
        <v>0</v>
      </c>
      <c r="F80" s="32">
        <f>SUMIFS(D12:D42,A12:A42,"&gt;="&amp;$B80,A12:A42,"&lt;="&amp;$C80)</f>
        <v>0</v>
      </c>
      <c r="G80" s="32">
        <f>SUMIFS(G12:G42,A12:A42,"&gt;="&amp;$B80,A12:A42,"&lt;="&amp;$C80)</f>
        <v>0</v>
      </c>
    </row>
    <row r="81">
      <c r="A81" s="29" t="inlineStr">
        <is>
          <t xml:space="preserve">Sem 2 (08–14)</t>
        </is>
      </c>
      <c r="B81" s="28">
        <v>8</v>
      </c>
      <c r="C81" s="28">
        <v>14</v>
      </c>
      <c r="D81" s="61">
        <f>SUMIFS(E12:E42,A12:A42,"&gt;="&amp;$B81,A12:A42,"&lt;="&amp;$C81)</f>
        <v>0</v>
      </c>
      <c r="E81" s="61">
        <f>SUMIFS(H12:H42,A12:A42,"&gt;="&amp;$B81,A12:A42,"&lt;="&amp;$C81)</f>
        <v>0</v>
      </c>
      <c r="F81" s="32">
        <f>SUMIFS(D12:D42,A12:A42,"&gt;="&amp;$B81,A12:A42,"&lt;="&amp;$C81)</f>
        <v>0</v>
      </c>
      <c r="G81" s="32">
        <f>SUMIFS(G12:G42,A12:A42,"&gt;="&amp;$B81,A12:A42,"&lt;="&amp;$C81)</f>
        <v>0</v>
      </c>
    </row>
    <row r="82">
      <c r="A82" s="29" t="inlineStr">
        <is>
          <t xml:space="preserve">Sem 3 (15–21)</t>
        </is>
      </c>
      <c r="B82" s="28">
        <v>15</v>
      </c>
      <c r="C82" s="28">
        <v>21</v>
      </c>
      <c r="D82" s="61">
        <f>SUMIFS(E12:E42,A12:A42,"&gt;="&amp;$B82,A12:A42,"&lt;="&amp;$C82)</f>
        <v>0</v>
      </c>
      <c r="E82" s="61">
        <f>SUMIFS(H12:H42,A12:A42,"&gt;="&amp;$B82,A12:A42,"&lt;="&amp;$C82)</f>
        <v>0</v>
      </c>
      <c r="F82" s="32">
        <f>SUMIFS(D12:D42,A12:A42,"&gt;="&amp;$B82,A12:A42,"&lt;="&amp;$C82)</f>
        <v>0</v>
      </c>
      <c r="G82" s="32">
        <f>SUMIFS(G12:G42,A12:A42,"&gt;="&amp;$B82,A12:A42,"&lt;="&amp;$C82)</f>
        <v>0</v>
      </c>
    </row>
    <row r="83">
      <c r="A83" s="29" t="inlineStr">
        <is>
          <t xml:space="preserve">Sem 4 (22–28)</t>
        </is>
      </c>
      <c r="B83" s="28">
        <v>22</v>
      </c>
      <c r="C83" s="28">
        <v>28</v>
      </c>
      <c r="D83" s="61">
        <f>SUMIFS(E12:E42,A12:A42,"&gt;="&amp;$B83,A12:A42,"&lt;="&amp;$C83)</f>
        <v>0</v>
      </c>
      <c r="E83" s="61">
        <f>SUMIFS(H12:H42,A12:A42,"&gt;="&amp;$B83,A12:A42,"&lt;="&amp;$C83)</f>
        <v>0</v>
      </c>
      <c r="F83" s="32">
        <f>SUMIFS(D12:D42,A12:A42,"&gt;="&amp;$B83,A12:A42,"&lt;="&amp;$C83)</f>
        <v>0</v>
      </c>
      <c r="G83" s="32">
        <f>SUMIFS(G12:G42,A12:A42,"&gt;="&amp;$B83,A12:A42,"&lt;="&amp;$C83)</f>
        <v>0</v>
      </c>
    </row>
    <row r="84">
      <c r="A84" s="29" t="inlineStr">
        <is>
          <t xml:space="preserve">Sem 5 (29–fim)</t>
        </is>
      </c>
      <c r="B84" s="28">
        <v>29</v>
      </c>
      <c r="C84" s="28">
        <v>31</v>
      </c>
      <c r="D84" s="61">
        <f>SUMIFS(E12:E42,A12:A42,"&gt;="&amp;$B84,A12:A42,"&lt;="&amp;$C84)</f>
        <v>0</v>
      </c>
      <c r="E84" s="61">
        <f>SUMIFS(H12:H42,A12:A42,"&gt;="&amp;$B84,A12:A42,"&lt;="&amp;$C84)</f>
        <v>0</v>
      </c>
      <c r="F84" s="32">
        <f>SUMIFS(D12:D42,A12:A42,"&gt;="&amp;$B84,A12:A42,"&lt;="&amp;$C84)</f>
        <v>0</v>
      </c>
      <c r="G84" s="32">
        <f>SUMIFS(G12:G42,A12:A42,"&gt;="&amp;$B84,A12:A42,"&lt;="&amp;$C84)</f>
        <v>0</v>
      </c>
    </row>
    <row r="88">
      <c r="A88" s="19" t="inlineStr">
        <is>
          <t xml:space="preserve">POR CLIENTE — mês inteiro (todos os clientes). Estoque = último valor do mês.</t>
        </is>
      </c>
    </row>
    <row r="89" ht="30" customHeight="1">
      <c r="A89" s="37" t="inlineStr">
        <is>
          <t xml:space="preserve">Indicador</t>
        </is>
      </c>
      <c r="B89" s="37" t="str">
        <f>Config!$B$10&amp;""</f>
        <v>Barry Callebaut</v>
      </c>
      <c r="C89" s="37" t="str">
        <f>Config!$B$11&amp;""</f>
        <v>GM</v>
      </c>
      <c r="D89" s="37" t="str">
        <f>Config!$B$12&amp;""</f>
        <v>Mondelez</v>
      </c>
      <c r="E89" s="37" t="str">
        <f>Config!$B$13&amp;""</f>
        <v>Nestlé</v>
      </c>
      <c r="F89" s="37" t="str">
        <f>Config!$B$14&amp;""</f>
        <v>PMB</v>
      </c>
      <c r="G89" s="37" t="str">
        <f>Config!$B$15&amp;""</f>
        <v/>
      </c>
      <c r="H89" s="37" t="str">
        <f>Config!$B$16&amp;""</f>
        <v/>
      </c>
      <c r="I89" s="37" t="str">
        <f>Config!$B$17&amp;""</f>
        <v/>
      </c>
      <c r="J89" s="37" t="str">
        <f>Config!$B$18&amp;""</f>
        <v/>
      </c>
      <c r="K89" s="37" t="str">
        <f>Config!$B$19&amp;""</f>
        <v/>
      </c>
      <c r="L89" s="37" t="str">
        <f>Config!$B$20&amp;""</f>
        <v/>
      </c>
      <c r="M89" s="37" t="str">
        <f>Config!$B$21&amp;""</f>
        <v/>
      </c>
      <c r="N89" s="37" t="str">
        <f>Config!$B$22&amp;""</f>
        <v/>
      </c>
      <c r="O89" s="37" t="str">
        <f>Config!$B$23&amp;""</f>
        <v/>
      </c>
      <c r="P89" s="37" t="str">
        <f>Config!$B$24&amp;""</f>
        <v/>
      </c>
      <c r="Q89" s="37" t="str">
        <f>Config!$B$25&amp;""</f>
        <v/>
      </c>
      <c r="R89" s="37" t="str">
        <f>Config!$B$26&amp;""</f>
        <v/>
      </c>
      <c r="S89" s="37" t="str">
        <f>Config!$B$27&amp;""</f>
        <v/>
      </c>
      <c r="T89" s="37" t="str">
        <f>Config!$B$28&amp;""</f>
        <v/>
      </c>
      <c r="U89" s="37" t="str">
        <f>Config!$B$29&amp;""</f>
        <v/>
      </c>
      <c r="V89" s="37" t="inlineStr">
        <is>
          <t xml:space="preserve">TOTAL</t>
        </is>
      </c>
    </row>
    <row r="90">
      <c r="A90" s="29" t="inlineStr">
        <is>
          <t xml:space="preserve">IN · Veículos Recebidos</t>
        </is>
      </c>
      <c r="B90" s="32">
        <f>IF(B$89="","",IF(Config!$D$35&lt;&gt;"Não",SUMIFS(BD!$C$3:$C$5001,BD!$B$3:$B$5001,B$89,BD!$A$3:$A$5001,"&gt;="&amp;$C$7,BD!$A$3:$A$5001,"&lt;="&amp;$D$7),"—"))</f>
        <v>0</v>
      </c>
      <c r="C90" s="32" t="str">
        <f>IF(C$89="","",IF(Config!$D$36&lt;&gt;"Não",SUMIFS(BD!$C$3:$C$5001,BD!$B$3:$B$5001,C$89,BD!$A$3:$A$5001,"&gt;="&amp;$C$7,BD!$A$3:$A$5001,"&lt;="&amp;$D$7),"—"))</f>
        <v>—</v>
      </c>
      <c r="D90" s="32">
        <f>IF(D$89="","",IF(Config!$D$37&lt;&gt;"Não",SUMIFS(BD!$C$3:$C$5001,BD!$B$3:$B$5001,D$89,BD!$A$3:$A$5001,"&gt;="&amp;$C$7,BD!$A$3:$A$5001,"&lt;="&amp;$D$7),"—"))</f>
        <v>0</v>
      </c>
      <c r="E90" s="32">
        <f>IF(E$89="","",IF(Config!$D$38&lt;&gt;"Não",SUMIFS(BD!$C$3:$C$5001,BD!$B$3:$B$5001,E$89,BD!$A$3:$A$5001,"&gt;="&amp;$C$7,BD!$A$3:$A$5001,"&lt;="&amp;$D$7),"—"))</f>
        <v>0</v>
      </c>
      <c r="F90" s="32">
        <f>IF(F$89="","",IF(Config!$D$39&lt;&gt;"Não",SUMIFS(BD!$C$3:$C$5001,BD!$B$3:$B$5001,F$89,BD!$A$3:$A$5001,"&gt;="&amp;$C$7,BD!$A$3:$A$5001,"&lt;="&amp;$D$7),"—"))</f>
        <v>0</v>
      </c>
      <c r="G90" s="32" t="str">
        <f>IF(G$89="","",IF(Config!$D$40&lt;&gt;"Não",SUMIFS(BD!$C$3:$C$5001,BD!$B$3:$B$5001,G$89,BD!$A$3:$A$5001,"&gt;="&amp;$C$7,BD!$A$3:$A$5001,"&lt;="&amp;$D$7),"—"))</f>
        <v/>
      </c>
      <c r="H90" s="32" t="str">
        <f>IF(H$89="","",IF(Config!$D$41&lt;&gt;"Não",SUMIFS(BD!$C$3:$C$5001,BD!$B$3:$B$5001,H$89,BD!$A$3:$A$5001,"&gt;="&amp;$C$7,BD!$A$3:$A$5001,"&lt;="&amp;$D$7),"—"))</f>
        <v/>
      </c>
      <c r="I90" s="32" t="str">
        <f>IF(I$89="","",IF(Config!$D$42&lt;&gt;"Não",SUMIFS(BD!$C$3:$C$5001,BD!$B$3:$B$5001,I$89,BD!$A$3:$A$5001,"&gt;="&amp;$C$7,BD!$A$3:$A$5001,"&lt;="&amp;$D$7),"—"))</f>
        <v/>
      </c>
      <c r="J90" s="32" t="str">
        <f>IF(J$89="","",IF(Config!$D$43&lt;&gt;"Não",SUMIFS(BD!$C$3:$C$5001,BD!$B$3:$B$5001,J$89,BD!$A$3:$A$5001,"&gt;="&amp;$C$7,BD!$A$3:$A$5001,"&lt;="&amp;$D$7),"—"))</f>
        <v/>
      </c>
      <c r="K90" s="32" t="str">
        <f>IF(K$89="","",IF(Config!$D$44&lt;&gt;"Não",SUMIFS(BD!$C$3:$C$5001,BD!$B$3:$B$5001,K$89,BD!$A$3:$A$5001,"&gt;="&amp;$C$7,BD!$A$3:$A$5001,"&lt;="&amp;$D$7),"—"))</f>
        <v/>
      </c>
      <c r="L90" s="32" t="str">
        <f>IF(L$89="","",IF(Config!$D$45&lt;&gt;"Não",SUMIFS(BD!$C$3:$C$5001,BD!$B$3:$B$5001,L$89,BD!$A$3:$A$5001,"&gt;="&amp;$C$7,BD!$A$3:$A$5001,"&lt;="&amp;$D$7),"—"))</f>
        <v/>
      </c>
      <c r="M90" s="32" t="str">
        <f>IF(M$89="","",IF(Config!$D$46&lt;&gt;"Não",SUMIFS(BD!$C$3:$C$5001,BD!$B$3:$B$5001,M$89,BD!$A$3:$A$5001,"&gt;="&amp;$C$7,BD!$A$3:$A$5001,"&lt;="&amp;$D$7),"—"))</f>
        <v/>
      </c>
      <c r="N90" s="32" t="str">
        <f>IF(N$89="","",IF(Config!$D$47&lt;&gt;"Não",SUMIFS(BD!$C$3:$C$5001,BD!$B$3:$B$5001,N$89,BD!$A$3:$A$5001,"&gt;="&amp;$C$7,BD!$A$3:$A$5001,"&lt;="&amp;$D$7),"—"))</f>
        <v/>
      </c>
      <c r="O90" s="32" t="str">
        <f>IF(O$89="","",IF(Config!$D$48&lt;&gt;"Não",SUMIFS(BD!$C$3:$C$5001,BD!$B$3:$B$5001,O$89,BD!$A$3:$A$5001,"&gt;="&amp;$C$7,BD!$A$3:$A$5001,"&lt;="&amp;$D$7),"—"))</f>
        <v/>
      </c>
      <c r="P90" s="32" t="str">
        <f>IF(P$89="","",IF(Config!$D$49&lt;&gt;"Não",SUMIFS(BD!$C$3:$C$5001,BD!$B$3:$B$5001,P$89,BD!$A$3:$A$5001,"&gt;="&amp;$C$7,BD!$A$3:$A$5001,"&lt;="&amp;$D$7),"—"))</f>
        <v/>
      </c>
      <c r="Q90" s="32" t="str">
        <f>IF(Q$89="","",IF(Config!$D$50&lt;&gt;"Não",SUMIFS(BD!$C$3:$C$5001,BD!$B$3:$B$5001,Q$89,BD!$A$3:$A$5001,"&gt;="&amp;$C$7,BD!$A$3:$A$5001,"&lt;="&amp;$D$7),"—"))</f>
        <v/>
      </c>
      <c r="R90" s="32" t="str">
        <f>IF(R$89="","",IF(Config!$D$51&lt;&gt;"Não",SUMIFS(BD!$C$3:$C$5001,BD!$B$3:$B$5001,R$89,BD!$A$3:$A$5001,"&gt;="&amp;$C$7,BD!$A$3:$A$5001,"&lt;="&amp;$D$7),"—"))</f>
        <v/>
      </c>
      <c r="S90" s="32" t="str">
        <f>IF(S$89="","",IF(Config!$D$52&lt;&gt;"Não",SUMIFS(BD!$C$3:$C$5001,BD!$B$3:$B$5001,S$89,BD!$A$3:$A$5001,"&gt;="&amp;$C$7,BD!$A$3:$A$5001,"&lt;="&amp;$D$7),"—"))</f>
        <v/>
      </c>
      <c r="T90" s="32" t="str">
        <f>IF(T$89="","",IF(Config!$D$53&lt;&gt;"Não",SUMIFS(BD!$C$3:$C$5001,BD!$B$3:$B$5001,T$89,BD!$A$3:$A$5001,"&gt;="&amp;$C$7,BD!$A$3:$A$5001,"&lt;="&amp;$D$7),"—"))</f>
        <v/>
      </c>
      <c r="U90" s="32" t="str">
        <f>IF(U$89="","",IF(Config!$D$54&lt;&gt;"Não",SUMIFS(BD!$C$3:$C$5001,BD!$B$3:$B$5001,U$89,BD!$A$3:$A$5001,"&gt;="&amp;$C$7,BD!$A$3:$A$5001,"&lt;="&amp;$D$7),"—"))</f>
        <v/>
      </c>
      <c r="V90" s="62">
        <f>SUM(B90:U90)</f>
        <v>0</v>
      </c>
    </row>
    <row r="91">
      <c r="A91" s="29" t="inlineStr">
        <is>
          <t xml:space="preserve">IN · Pallets Movimentados</t>
        </is>
      </c>
      <c r="B91" s="32">
        <f>IF(B$89="","",IF(Config!$E$35&lt;&gt;"Não",SUMIFS(BD!$D$3:$D$5001,BD!$B$3:$B$5001,B$89,BD!$A$3:$A$5001,"&gt;="&amp;$C$7,BD!$A$3:$A$5001,"&lt;="&amp;$D$7),"—"))</f>
        <v>0</v>
      </c>
      <c r="C91" s="32" t="str">
        <f>IF(C$89="","",IF(Config!$E$36&lt;&gt;"Não",SUMIFS(BD!$D$3:$D$5001,BD!$B$3:$B$5001,C$89,BD!$A$3:$A$5001,"&gt;="&amp;$C$7,BD!$A$3:$A$5001,"&lt;="&amp;$D$7),"—"))</f>
        <v>—</v>
      </c>
      <c r="D91" s="32">
        <f>IF(D$89="","",IF(Config!$E$37&lt;&gt;"Não",SUMIFS(BD!$D$3:$D$5001,BD!$B$3:$B$5001,D$89,BD!$A$3:$A$5001,"&gt;="&amp;$C$7,BD!$A$3:$A$5001,"&lt;="&amp;$D$7),"—"))</f>
        <v>0</v>
      </c>
      <c r="E91" s="32">
        <f>IF(E$89="","",IF(Config!$E$38&lt;&gt;"Não",SUMIFS(BD!$D$3:$D$5001,BD!$B$3:$B$5001,E$89,BD!$A$3:$A$5001,"&gt;="&amp;$C$7,BD!$A$3:$A$5001,"&lt;="&amp;$D$7),"—"))</f>
        <v>0</v>
      </c>
      <c r="F91" s="32">
        <f>IF(F$89="","",IF(Config!$E$39&lt;&gt;"Não",SUMIFS(BD!$D$3:$D$5001,BD!$B$3:$B$5001,F$89,BD!$A$3:$A$5001,"&gt;="&amp;$C$7,BD!$A$3:$A$5001,"&lt;="&amp;$D$7),"—"))</f>
        <v>0</v>
      </c>
      <c r="G91" s="32" t="str">
        <f>IF(G$89="","",IF(Config!$E$40&lt;&gt;"Não",SUMIFS(BD!$D$3:$D$5001,BD!$B$3:$B$5001,G$89,BD!$A$3:$A$5001,"&gt;="&amp;$C$7,BD!$A$3:$A$5001,"&lt;="&amp;$D$7),"—"))</f>
        <v/>
      </c>
      <c r="H91" s="32" t="str">
        <f>IF(H$89="","",IF(Config!$E$41&lt;&gt;"Não",SUMIFS(BD!$D$3:$D$5001,BD!$B$3:$B$5001,H$89,BD!$A$3:$A$5001,"&gt;="&amp;$C$7,BD!$A$3:$A$5001,"&lt;="&amp;$D$7),"—"))</f>
        <v/>
      </c>
      <c r="I91" s="32" t="str">
        <f>IF(I$89="","",IF(Config!$E$42&lt;&gt;"Não",SUMIFS(BD!$D$3:$D$5001,BD!$B$3:$B$5001,I$89,BD!$A$3:$A$5001,"&gt;="&amp;$C$7,BD!$A$3:$A$5001,"&lt;="&amp;$D$7),"—"))</f>
        <v/>
      </c>
      <c r="J91" s="32" t="str">
        <f>IF(J$89="","",IF(Config!$E$43&lt;&gt;"Não",SUMIFS(BD!$D$3:$D$5001,BD!$B$3:$B$5001,J$89,BD!$A$3:$A$5001,"&gt;="&amp;$C$7,BD!$A$3:$A$5001,"&lt;="&amp;$D$7),"—"))</f>
        <v/>
      </c>
      <c r="K91" s="32" t="str">
        <f>IF(K$89="","",IF(Config!$E$44&lt;&gt;"Não",SUMIFS(BD!$D$3:$D$5001,BD!$B$3:$B$5001,K$89,BD!$A$3:$A$5001,"&gt;="&amp;$C$7,BD!$A$3:$A$5001,"&lt;="&amp;$D$7),"—"))</f>
        <v/>
      </c>
      <c r="L91" s="32" t="str">
        <f>IF(L$89="","",IF(Config!$E$45&lt;&gt;"Não",SUMIFS(BD!$D$3:$D$5001,BD!$B$3:$B$5001,L$89,BD!$A$3:$A$5001,"&gt;="&amp;$C$7,BD!$A$3:$A$5001,"&lt;="&amp;$D$7),"—"))</f>
        <v/>
      </c>
      <c r="M91" s="32" t="str">
        <f>IF(M$89="","",IF(Config!$E$46&lt;&gt;"Não",SUMIFS(BD!$D$3:$D$5001,BD!$B$3:$B$5001,M$89,BD!$A$3:$A$5001,"&gt;="&amp;$C$7,BD!$A$3:$A$5001,"&lt;="&amp;$D$7),"—"))</f>
        <v/>
      </c>
      <c r="N91" s="32" t="str">
        <f>IF(N$89="","",IF(Config!$E$47&lt;&gt;"Não",SUMIFS(BD!$D$3:$D$5001,BD!$B$3:$B$5001,N$89,BD!$A$3:$A$5001,"&gt;="&amp;$C$7,BD!$A$3:$A$5001,"&lt;="&amp;$D$7),"—"))</f>
        <v/>
      </c>
      <c r="O91" s="32" t="str">
        <f>IF(O$89="","",IF(Config!$E$48&lt;&gt;"Não",SUMIFS(BD!$D$3:$D$5001,BD!$B$3:$B$5001,O$89,BD!$A$3:$A$5001,"&gt;="&amp;$C$7,BD!$A$3:$A$5001,"&lt;="&amp;$D$7),"—"))</f>
        <v/>
      </c>
      <c r="P91" s="32" t="str">
        <f>IF(P$89="","",IF(Config!$E$49&lt;&gt;"Não",SUMIFS(BD!$D$3:$D$5001,BD!$B$3:$B$5001,P$89,BD!$A$3:$A$5001,"&gt;="&amp;$C$7,BD!$A$3:$A$5001,"&lt;="&amp;$D$7),"—"))</f>
        <v/>
      </c>
      <c r="Q91" s="32" t="str">
        <f>IF(Q$89="","",IF(Config!$E$50&lt;&gt;"Não",SUMIFS(BD!$D$3:$D$5001,BD!$B$3:$B$5001,Q$89,BD!$A$3:$A$5001,"&gt;="&amp;$C$7,BD!$A$3:$A$5001,"&lt;="&amp;$D$7),"—"))</f>
        <v/>
      </c>
      <c r="R91" s="32" t="str">
        <f>IF(R$89="","",IF(Config!$E$51&lt;&gt;"Não",SUMIFS(BD!$D$3:$D$5001,BD!$B$3:$B$5001,R$89,BD!$A$3:$A$5001,"&gt;="&amp;$C$7,BD!$A$3:$A$5001,"&lt;="&amp;$D$7),"—"))</f>
        <v/>
      </c>
      <c r="S91" s="32" t="str">
        <f>IF(S$89="","",IF(Config!$E$52&lt;&gt;"Não",SUMIFS(BD!$D$3:$D$5001,BD!$B$3:$B$5001,S$89,BD!$A$3:$A$5001,"&gt;="&amp;$C$7,BD!$A$3:$A$5001,"&lt;="&amp;$D$7),"—"))</f>
        <v/>
      </c>
      <c r="T91" s="32" t="str">
        <f>IF(T$89="","",IF(Config!$E$53&lt;&gt;"Não",SUMIFS(BD!$D$3:$D$5001,BD!$B$3:$B$5001,T$89,BD!$A$3:$A$5001,"&gt;="&amp;$C$7,BD!$A$3:$A$5001,"&lt;="&amp;$D$7),"—"))</f>
        <v/>
      </c>
      <c r="U91" s="32" t="str">
        <f>IF(U$89="","",IF(Config!$E$54&lt;&gt;"Não",SUMIFS(BD!$D$3:$D$5001,BD!$B$3:$B$5001,U$89,BD!$A$3:$A$5001,"&gt;="&amp;$C$7,BD!$A$3:$A$5001,"&lt;="&amp;$D$7),"—"))</f>
        <v/>
      </c>
      <c r="V91" s="62">
        <f>SUM(B91:U91)</f>
        <v>0</v>
      </c>
    </row>
    <row r="92">
      <c r="A92" s="29" t="inlineStr">
        <is>
          <t xml:space="preserve">IN · Toneladas Movimentadas</t>
        </is>
      </c>
      <c r="B92" s="61">
        <f>IF(B$89="","",IF(Config!$F$35&lt;&gt;"Não",SUMIFS(BD!$E$3:$E$5001,BD!$B$3:$B$5001,B$89,BD!$A$3:$A$5001,"&gt;="&amp;$C$7,BD!$A$3:$A$5001,"&lt;="&amp;$D$7),"—"))</f>
        <v>0</v>
      </c>
      <c r="C92" s="61" t="str">
        <f>IF(C$89="","",IF(Config!$F$36&lt;&gt;"Não",SUMIFS(BD!$E$3:$E$5001,BD!$B$3:$B$5001,C$89,BD!$A$3:$A$5001,"&gt;="&amp;$C$7,BD!$A$3:$A$5001,"&lt;="&amp;$D$7),"—"))</f>
        <v>—</v>
      </c>
      <c r="D92" s="61">
        <f>IF(D$89="","",IF(Config!$F$37&lt;&gt;"Não",SUMIFS(BD!$E$3:$E$5001,BD!$B$3:$B$5001,D$89,BD!$A$3:$A$5001,"&gt;="&amp;$C$7,BD!$A$3:$A$5001,"&lt;="&amp;$D$7),"—"))</f>
        <v>0</v>
      </c>
      <c r="E92" s="61">
        <f>IF(E$89="","",IF(Config!$F$38&lt;&gt;"Não",SUMIFS(BD!$E$3:$E$5001,BD!$B$3:$B$5001,E$89,BD!$A$3:$A$5001,"&gt;="&amp;$C$7,BD!$A$3:$A$5001,"&lt;="&amp;$D$7),"—"))</f>
        <v>0</v>
      </c>
      <c r="F92" s="61">
        <f>IF(F$89="","",IF(Config!$F$39&lt;&gt;"Não",SUMIFS(BD!$E$3:$E$5001,BD!$B$3:$B$5001,F$89,BD!$A$3:$A$5001,"&gt;="&amp;$C$7,BD!$A$3:$A$5001,"&lt;="&amp;$D$7),"—"))</f>
        <v>0</v>
      </c>
      <c r="G92" s="61" t="str">
        <f>IF(G$89="","",IF(Config!$F$40&lt;&gt;"Não",SUMIFS(BD!$E$3:$E$5001,BD!$B$3:$B$5001,G$89,BD!$A$3:$A$5001,"&gt;="&amp;$C$7,BD!$A$3:$A$5001,"&lt;="&amp;$D$7),"—"))</f>
        <v/>
      </c>
      <c r="H92" s="61" t="str">
        <f>IF(H$89="","",IF(Config!$F$41&lt;&gt;"Não",SUMIFS(BD!$E$3:$E$5001,BD!$B$3:$B$5001,H$89,BD!$A$3:$A$5001,"&gt;="&amp;$C$7,BD!$A$3:$A$5001,"&lt;="&amp;$D$7),"—"))</f>
        <v/>
      </c>
      <c r="I92" s="61" t="str">
        <f>IF(I$89="","",IF(Config!$F$42&lt;&gt;"Não",SUMIFS(BD!$E$3:$E$5001,BD!$B$3:$B$5001,I$89,BD!$A$3:$A$5001,"&gt;="&amp;$C$7,BD!$A$3:$A$5001,"&lt;="&amp;$D$7),"—"))</f>
        <v/>
      </c>
      <c r="J92" s="61" t="str">
        <f>IF(J$89="","",IF(Config!$F$43&lt;&gt;"Não",SUMIFS(BD!$E$3:$E$5001,BD!$B$3:$B$5001,J$89,BD!$A$3:$A$5001,"&gt;="&amp;$C$7,BD!$A$3:$A$5001,"&lt;="&amp;$D$7),"—"))</f>
        <v/>
      </c>
      <c r="K92" s="61" t="str">
        <f>IF(K$89="","",IF(Config!$F$44&lt;&gt;"Não",SUMIFS(BD!$E$3:$E$5001,BD!$B$3:$B$5001,K$89,BD!$A$3:$A$5001,"&gt;="&amp;$C$7,BD!$A$3:$A$5001,"&lt;="&amp;$D$7),"—"))</f>
        <v/>
      </c>
      <c r="L92" s="61" t="str">
        <f>IF(L$89="","",IF(Config!$F$45&lt;&gt;"Não",SUMIFS(BD!$E$3:$E$5001,BD!$B$3:$B$5001,L$89,BD!$A$3:$A$5001,"&gt;="&amp;$C$7,BD!$A$3:$A$5001,"&lt;="&amp;$D$7),"—"))</f>
        <v/>
      </c>
      <c r="M92" s="61" t="str">
        <f>IF(M$89="","",IF(Config!$F$46&lt;&gt;"Não",SUMIFS(BD!$E$3:$E$5001,BD!$B$3:$B$5001,M$89,BD!$A$3:$A$5001,"&gt;="&amp;$C$7,BD!$A$3:$A$5001,"&lt;="&amp;$D$7),"—"))</f>
        <v/>
      </c>
      <c r="N92" s="61" t="str">
        <f>IF(N$89="","",IF(Config!$F$47&lt;&gt;"Não",SUMIFS(BD!$E$3:$E$5001,BD!$B$3:$B$5001,N$89,BD!$A$3:$A$5001,"&gt;="&amp;$C$7,BD!$A$3:$A$5001,"&lt;="&amp;$D$7),"—"))</f>
        <v/>
      </c>
      <c r="O92" s="61" t="str">
        <f>IF(O$89="","",IF(Config!$F$48&lt;&gt;"Não",SUMIFS(BD!$E$3:$E$5001,BD!$B$3:$B$5001,O$89,BD!$A$3:$A$5001,"&gt;="&amp;$C$7,BD!$A$3:$A$5001,"&lt;="&amp;$D$7),"—"))</f>
        <v/>
      </c>
      <c r="P92" s="61" t="str">
        <f>IF(P$89="","",IF(Config!$F$49&lt;&gt;"Não",SUMIFS(BD!$E$3:$E$5001,BD!$B$3:$B$5001,P$89,BD!$A$3:$A$5001,"&gt;="&amp;$C$7,BD!$A$3:$A$5001,"&lt;="&amp;$D$7),"—"))</f>
        <v/>
      </c>
      <c r="Q92" s="61" t="str">
        <f>IF(Q$89="","",IF(Config!$F$50&lt;&gt;"Não",SUMIFS(BD!$E$3:$E$5001,BD!$B$3:$B$5001,Q$89,BD!$A$3:$A$5001,"&gt;="&amp;$C$7,BD!$A$3:$A$5001,"&lt;="&amp;$D$7),"—"))</f>
        <v/>
      </c>
      <c r="R92" s="61" t="str">
        <f>IF(R$89="","",IF(Config!$F$51&lt;&gt;"Não",SUMIFS(BD!$E$3:$E$5001,BD!$B$3:$B$5001,R$89,BD!$A$3:$A$5001,"&gt;="&amp;$C$7,BD!$A$3:$A$5001,"&lt;="&amp;$D$7),"—"))</f>
        <v/>
      </c>
      <c r="S92" s="61" t="str">
        <f>IF(S$89="","",IF(Config!$F$52&lt;&gt;"Não",SUMIFS(BD!$E$3:$E$5001,BD!$B$3:$B$5001,S$89,BD!$A$3:$A$5001,"&gt;="&amp;$C$7,BD!$A$3:$A$5001,"&lt;="&amp;$D$7),"—"))</f>
        <v/>
      </c>
      <c r="T92" s="61" t="str">
        <f>IF(T$89="","",IF(Config!$F$53&lt;&gt;"Não",SUMIFS(BD!$E$3:$E$5001,BD!$B$3:$B$5001,T$89,BD!$A$3:$A$5001,"&gt;="&amp;$C$7,BD!$A$3:$A$5001,"&lt;="&amp;$D$7),"—"))</f>
        <v/>
      </c>
      <c r="U92" s="61" t="str">
        <f>IF(U$89="","",IF(Config!$F$54&lt;&gt;"Não",SUMIFS(BD!$E$3:$E$5001,BD!$B$3:$B$5001,U$89,BD!$A$3:$A$5001,"&gt;="&amp;$C$7,BD!$A$3:$A$5001,"&lt;="&amp;$D$7),"—"))</f>
        <v/>
      </c>
      <c r="V92" s="63">
        <f>SUM(B92:U92)</f>
        <v>0</v>
      </c>
    </row>
    <row r="93">
      <c r="A93" s="29" t="inlineStr">
        <is>
          <t xml:space="preserve">OUT · Veículos Expedidos</t>
        </is>
      </c>
      <c r="B93" s="32">
        <f>IF(B$89="","",IF(Config!$G$35&lt;&gt;"Não",SUMIFS(BD!$F$3:$F$5001,BD!$B$3:$B$5001,B$89,BD!$A$3:$A$5001,"&gt;="&amp;$C$7,BD!$A$3:$A$5001,"&lt;="&amp;$D$7),"—"))</f>
        <v>0</v>
      </c>
      <c r="C93" s="32">
        <f>IF(C$89="","",IF(Config!$G$36&lt;&gt;"Não",SUMIFS(BD!$F$3:$F$5001,BD!$B$3:$B$5001,C$89,BD!$A$3:$A$5001,"&gt;="&amp;$C$7,BD!$A$3:$A$5001,"&lt;="&amp;$D$7),"—"))</f>
        <v>0</v>
      </c>
      <c r="D93" s="32">
        <f>IF(D$89="","",IF(Config!$G$37&lt;&gt;"Não",SUMIFS(BD!$F$3:$F$5001,BD!$B$3:$B$5001,D$89,BD!$A$3:$A$5001,"&gt;="&amp;$C$7,BD!$A$3:$A$5001,"&lt;="&amp;$D$7),"—"))</f>
        <v>0</v>
      </c>
      <c r="E93" s="32">
        <f>IF(E$89="","",IF(Config!$G$38&lt;&gt;"Não",SUMIFS(BD!$F$3:$F$5001,BD!$B$3:$B$5001,E$89,BD!$A$3:$A$5001,"&gt;="&amp;$C$7,BD!$A$3:$A$5001,"&lt;="&amp;$D$7),"—"))</f>
        <v>0</v>
      </c>
      <c r="F93" s="32">
        <f>IF(F$89="","",IF(Config!$G$39&lt;&gt;"Não",SUMIFS(BD!$F$3:$F$5001,BD!$B$3:$B$5001,F$89,BD!$A$3:$A$5001,"&gt;="&amp;$C$7,BD!$A$3:$A$5001,"&lt;="&amp;$D$7),"—"))</f>
        <v>0</v>
      </c>
      <c r="G93" s="32" t="str">
        <f>IF(G$89="","",IF(Config!$G$40&lt;&gt;"Não",SUMIFS(BD!$F$3:$F$5001,BD!$B$3:$B$5001,G$89,BD!$A$3:$A$5001,"&gt;="&amp;$C$7,BD!$A$3:$A$5001,"&lt;="&amp;$D$7),"—"))</f>
        <v/>
      </c>
      <c r="H93" s="32" t="str">
        <f>IF(H$89="","",IF(Config!$G$41&lt;&gt;"Não",SUMIFS(BD!$F$3:$F$5001,BD!$B$3:$B$5001,H$89,BD!$A$3:$A$5001,"&gt;="&amp;$C$7,BD!$A$3:$A$5001,"&lt;="&amp;$D$7),"—"))</f>
        <v/>
      </c>
      <c r="I93" s="32" t="str">
        <f>IF(I$89="","",IF(Config!$G$42&lt;&gt;"Não",SUMIFS(BD!$F$3:$F$5001,BD!$B$3:$B$5001,I$89,BD!$A$3:$A$5001,"&gt;="&amp;$C$7,BD!$A$3:$A$5001,"&lt;="&amp;$D$7),"—"))</f>
        <v/>
      </c>
      <c r="J93" s="32" t="str">
        <f>IF(J$89="","",IF(Config!$G$43&lt;&gt;"Não",SUMIFS(BD!$F$3:$F$5001,BD!$B$3:$B$5001,J$89,BD!$A$3:$A$5001,"&gt;="&amp;$C$7,BD!$A$3:$A$5001,"&lt;="&amp;$D$7),"—"))</f>
        <v/>
      </c>
      <c r="K93" s="32" t="str">
        <f>IF(K$89="","",IF(Config!$G$44&lt;&gt;"Não",SUMIFS(BD!$F$3:$F$5001,BD!$B$3:$B$5001,K$89,BD!$A$3:$A$5001,"&gt;="&amp;$C$7,BD!$A$3:$A$5001,"&lt;="&amp;$D$7),"—"))</f>
        <v/>
      </c>
      <c r="L93" s="32" t="str">
        <f>IF(L$89="","",IF(Config!$G$45&lt;&gt;"Não",SUMIFS(BD!$F$3:$F$5001,BD!$B$3:$B$5001,L$89,BD!$A$3:$A$5001,"&gt;="&amp;$C$7,BD!$A$3:$A$5001,"&lt;="&amp;$D$7),"—"))</f>
        <v/>
      </c>
      <c r="M93" s="32" t="str">
        <f>IF(M$89="","",IF(Config!$G$46&lt;&gt;"Não",SUMIFS(BD!$F$3:$F$5001,BD!$B$3:$B$5001,M$89,BD!$A$3:$A$5001,"&gt;="&amp;$C$7,BD!$A$3:$A$5001,"&lt;="&amp;$D$7),"—"))</f>
        <v/>
      </c>
      <c r="N93" s="32" t="str">
        <f>IF(N$89="","",IF(Config!$G$47&lt;&gt;"Não",SUMIFS(BD!$F$3:$F$5001,BD!$B$3:$B$5001,N$89,BD!$A$3:$A$5001,"&gt;="&amp;$C$7,BD!$A$3:$A$5001,"&lt;="&amp;$D$7),"—"))</f>
        <v/>
      </c>
      <c r="O93" s="32" t="str">
        <f>IF(O$89="","",IF(Config!$G$48&lt;&gt;"Não",SUMIFS(BD!$F$3:$F$5001,BD!$B$3:$B$5001,O$89,BD!$A$3:$A$5001,"&gt;="&amp;$C$7,BD!$A$3:$A$5001,"&lt;="&amp;$D$7),"—"))</f>
        <v/>
      </c>
      <c r="P93" s="32" t="str">
        <f>IF(P$89="","",IF(Config!$G$49&lt;&gt;"Não",SUMIFS(BD!$F$3:$F$5001,BD!$B$3:$B$5001,P$89,BD!$A$3:$A$5001,"&gt;="&amp;$C$7,BD!$A$3:$A$5001,"&lt;="&amp;$D$7),"—"))</f>
        <v/>
      </c>
      <c r="Q93" s="32" t="str">
        <f>IF(Q$89="","",IF(Config!$G$50&lt;&gt;"Não",SUMIFS(BD!$F$3:$F$5001,BD!$B$3:$B$5001,Q$89,BD!$A$3:$A$5001,"&gt;="&amp;$C$7,BD!$A$3:$A$5001,"&lt;="&amp;$D$7),"—"))</f>
        <v/>
      </c>
      <c r="R93" s="32" t="str">
        <f>IF(R$89="","",IF(Config!$G$51&lt;&gt;"Não",SUMIFS(BD!$F$3:$F$5001,BD!$B$3:$B$5001,R$89,BD!$A$3:$A$5001,"&gt;="&amp;$C$7,BD!$A$3:$A$5001,"&lt;="&amp;$D$7),"—"))</f>
        <v/>
      </c>
      <c r="S93" s="32" t="str">
        <f>IF(S$89="","",IF(Config!$G$52&lt;&gt;"Não",SUMIFS(BD!$F$3:$F$5001,BD!$B$3:$B$5001,S$89,BD!$A$3:$A$5001,"&gt;="&amp;$C$7,BD!$A$3:$A$5001,"&lt;="&amp;$D$7),"—"))</f>
        <v/>
      </c>
      <c r="T93" s="32" t="str">
        <f>IF(T$89="","",IF(Config!$G$53&lt;&gt;"Não",SUMIFS(BD!$F$3:$F$5001,BD!$B$3:$B$5001,T$89,BD!$A$3:$A$5001,"&gt;="&amp;$C$7,BD!$A$3:$A$5001,"&lt;="&amp;$D$7),"—"))</f>
        <v/>
      </c>
      <c r="U93" s="32" t="str">
        <f>IF(U$89="","",IF(Config!$G$54&lt;&gt;"Não",SUMIFS(BD!$F$3:$F$5001,BD!$B$3:$B$5001,U$89,BD!$A$3:$A$5001,"&gt;="&amp;$C$7,BD!$A$3:$A$5001,"&lt;="&amp;$D$7),"—"))</f>
        <v/>
      </c>
      <c r="V93" s="62">
        <f>SUM(B93:U93)</f>
        <v>0</v>
      </c>
    </row>
    <row r="94">
      <c r="A94" s="29" t="inlineStr">
        <is>
          <t xml:space="preserve">OUT · Pallets Movimentados</t>
        </is>
      </c>
      <c r="B94" s="32">
        <f>IF(B$89="","",IF(Config!$H$35&lt;&gt;"Não",SUMIFS(BD!$G$3:$G$5001,BD!$B$3:$B$5001,B$89,BD!$A$3:$A$5001,"&gt;="&amp;$C$7,BD!$A$3:$A$5001,"&lt;="&amp;$D$7),"—"))</f>
        <v>0</v>
      </c>
      <c r="C94" s="32">
        <f>IF(C$89="","",IF(Config!$H$36&lt;&gt;"Não",SUMIFS(BD!$G$3:$G$5001,BD!$B$3:$B$5001,C$89,BD!$A$3:$A$5001,"&gt;="&amp;$C$7,BD!$A$3:$A$5001,"&lt;="&amp;$D$7),"—"))</f>
        <v>0</v>
      </c>
      <c r="D94" s="32">
        <f>IF(D$89="","",IF(Config!$H$37&lt;&gt;"Não",SUMIFS(BD!$G$3:$G$5001,BD!$B$3:$B$5001,D$89,BD!$A$3:$A$5001,"&gt;="&amp;$C$7,BD!$A$3:$A$5001,"&lt;="&amp;$D$7),"—"))</f>
        <v>0</v>
      </c>
      <c r="E94" s="32">
        <f>IF(E$89="","",IF(Config!$H$38&lt;&gt;"Não",SUMIFS(BD!$G$3:$G$5001,BD!$B$3:$B$5001,E$89,BD!$A$3:$A$5001,"&gt;="&amp;$C$7,BD!$A$3:$A$5001,"&lt;="&amp;$D$7),"—"))</f>
        <v>0</v>
      </c>
      <c r="F94" s="32">
        <f>IF(F$89="","",IF(Config!$H$39&lt;&gt;"Não",SUMIFS(BD!$G$3:$G$5001,BD!$B$3:$B$5001,F$89,BD!$A$3:$A$5001,"&gt;="&amp;$C$7,BD!$A$3:$A$5001,"&lt;="&amp;$D$7),"—"))</f>
        <v>0</v>
      </c>
      <c r="G94" s="32" t="str">
        <f>IF(G$89="","",IF(Config!$H$40&lt;&gt;"Não",SUMIFS(BD!$G$3:$G$5001,BD!$B$3:$B$5001,G$89,BD!$A$3:$A$5001,"&gt;="&amp;$C$7,BD!$A$3:$A$5001,"&lt;="&amp;$D$7),"—"))</f>
        <v/>
      </c>
      <c r="H94" s="32" t="str">
        <f>IF(H$89="","",IF(Config!$H$41&lt;&gt;"Não",SUMIFS(BD!$G$3:$G$5001,BD!$B$3:$B$5001,H$89,BD!$A$3:$A$5001,"&gt;="&amp;$C$7,BD!$A$3:$A$5001,"&lt;="&amp;$D$7),"—"))</f>
        <v/>
      </c>
      <c r="I94" s="32" t="str">
        <f>IF(I$89="","",IF(Config!$H$42&lt;&gt;"Não",SUMIFS(BD!$G$3:$G$5001,BD!$B$3:$B$5001,I$89,BD!$A$3:$A$5001,"&gt;="&amp;$C$7,BD!$A$3:$A$5001,"&lt;="&amp;$D$7),"—"))</f>
        <v/>
      </c>
      <c r="J94" s="32" t="str">
        <f>IF(J$89="","",IF(Config!$H$43&lt;&gt;"Não",SUMIFS(BD!$G$3:$G$5001,BD!$B$3:$B$5001,J$89,BD!$A$3:$A$5001,"&gt;="&amp;$C$7,BD!$A$3:$A$5001,"&lt;="&amp;$D$7),"—"))</f>
        <v/>
      </c>
      <c r="K94" s="32" t="str">
        <f>IF(K$89="","",IF(Config!$H$44&lt;&gt;"Não",SUMIFS(BD!$G$3:$G$5001,BD!$B$3:$B$5001,K$89,BD!$A$3:$A$5001,"&gt;="&amp;$C$7,BD!$A$3:$A$5001,"&lt;="&amp;$D$7),"—"))</f>
        <v/>
      </c>
      <c r="L94" s="32" t="str">
        <f>IF(L$89="","",IF(Config!$H$45&lt;&gt;"Não",SUMIFS(BD!$G$3:$G$5001,BD!$B$3:$B$5001,L$89,BD!$A$3:$A$5001,"&gt;="&amp;$C$7,BD!$A$3:$A$5001,"&lt;="&amp;$D$7),"—"))</f>
        <v/>
      </c>
      <c r="M94" s="32" t="str">
        <f>IF(M$89="","",IF(Config!$H$46&lt;&gt;"Não",SUMIFS(BD!$G$3:$G$5001,BD!$B$3:$B$5001,M$89,BD!$A$3:$A$5001,"&gt;="&amp;$C$7,BD!$A$3:$A$5001,"&lt;="&amp;$D$7),"—"))</f>
        <v/>
      </c>
      <c r="N94" s="32" t="str">
        <f>IF(N$89="","",IF(Config!$H$47&lt;&gt;"Não",SUMIFS(BD!$G$3:$G$5001,BD!$B$3:$B$5001,N$89,BD!$A$3:$A$5001,"&gt;="&amp;$C$7,BD!$A$3:$A$5001,"&lt;="&amp;$D$7),"—"))</f>
        <v/>
      </c>
      <c r="O94" s="32" t="str">
        <f>IF(O$89="","",IF(Config!$H$48&lt;&gt;"Não",SUMIFS(BD!$G$3:$G$5001,BD!$B$3:$B$5001,O$89,BD!$A$3:$A$5001,"&gt;="&amp;$C$7,BD!$A$3:$A$5001,"&lt;="&amp;$D$7),"—"))</f>
        <v/>
      </c>
      <c r="P94" s="32" t="str">
        <f>IF(P$89="","",IF(Config!$H$49&lt;&gt;"Não",SUMIFS(BD!$G$3:$G$5001,BD!$B$3:$B$5001,P$89,BD!$A$3:$A$5001,"&gt;="&amp;$C$7,BD!$A$3:$A$5001,"&lt;="&amp;$D$7),"—"))</f>
        <v/>
      </c>
      <c r="Q94" s="32" t="str">
        <f>IF(Q$89="","",IF(Config!$H$50&lt;&gt;"Não",SUMIFS(BD!$G$3:$G$5001,BD!$B$3:$B$5001,Q$89,BD!$A$3:$A$5001,"&gt;="&amp;$C$7,BD!$A$3:$A$5001,"&lt;="&amp;$D$7),"—"))</f>
        <v/>
      </c>
      <c r="R94" s="32" t="str">
        <f>IF(R$89="","",IF(Config!$H$51&lt;&gt;"Não",SUMIFS(BD!$G$3:$G$5001,BD!$B$3:$B$5001,R$89,BD!$A$3:$A$5001,"&gt;="&amp;$C$7,BD!$A$3:$A$5001,"&lt;="&amp;$D$7),"—"))</f>
        <v/>
      </c>
      <c r="S94" s="32" t="str">
        <f>IF(S$89="","",IF(Config!$H$52&lt;&gt;"Não",SUMIFS(BD!$G$3:$G$5001,BD!$B$3:$B$5001,S$89,BD!$A$3:$A$5001,"&gt;="&amp;$C$7,BD!$A$3:$A$5001,"&lt;="&amp;$D$7),"—"))</f>
        <v/>
      </c>
      <c r="T94" s="32" t="str">
        <f>IF(T$89="","",IF(Config!$H$53&lt;&gt;"Não",SUMIFS(BD!$G$3:$G$5001,BD!$B$3:$B$5001,T$89,BD!$A$3:$A$5001,"&gt;="&amp;$C$7,BD!$A$3:$A$5001,"&lt;="&amp;$D$7),"—"))</f>
        <v/>
      </c>
      <c r="U94" s="32" t="str">
        <f>IF(U$89="","",IF(Config!$H$54&lt;&gt;"Não",SUMIFS(BD!$G$3:$G$5001,BD!$B$3:$B$5001,U$89,BD!$A$3:$A$5001,"&gt;="&amp;$C$7,BD!$A$3:$A$5001,"&lt;="&amp;$D$7),"—"))</f>
        <v/>
      </c>
      <c r="V94" s="62">
        <f>SUM(B94:U94)</f>
        <v>0</v>
      </c>
    </row>
    <row r="95">
      <c r="A95" s="29" t="inlineStr">
        <is>
          <t xml:space="preserve">OUT · Toneladas Movimentadas</t>
        </is>
      </c>
      <c r="B95" s="61">
        <f>IF(B$89="","",IF(Config!$I$35&lt;&gt;"Não",SUMIFS(BD!$H$3:$H$5001,BD!$B$3:$B$5001,B$89,BD!$A$3:$A$5001,"&gt;="&amp;$C$7,BD!$A$3:$A$5001,"&lt;="&amp;$D$7),"—"))</f>
        <v>0</v>
      </c>
      <c r="C95" s="61">
        <f>IF(C$89="","",IF(Config!$I$36&lt;&gt;"Não",SUMIFS(BD!$H$3:$H$5001,BD!$B$3:$B$5001,C$89,BD!$A$3:$A$5001,"&gt;="&amp;$C$7,BD!$A$3:$A$5001,"&lt;="&amp;$D$7),"—"))</f>
        <v>0</v>
      </c>
      <c r="D95" s="61">
        <f>IF(D$89="","",IF(Config!$I$37&lt;&gt;"Não",SUMIFS(BD!$H$3:$H$5001,BD!$B$3:$B$5001,D$89,BD!$A$3:$A$5001,"&gt;="&amp;$C$7,BD!$A$3:$A$5001,"&lt;="&amp;$D$7),"—"))</f>
        <v>0</v>
      </c>
      <c r="E95" s="61">
        <f>IF(E$89="","",IF(Config!$I$38&lt;&gt;"Não",SUMIFS(BD!$H$3:$H$5001,BD!$B$3:$B$5001,E$89,BD!$A$3:$A$5001,"&gt;="&amp;$C$7,BD!$A$3:$A$5001,"&lt;="&amp;$D$7),"—"))</f>
        <v>0</v>
      </c>
      <c r="F95" s="61">
        <f>IF(F$89="","",IF(Config!$I$39&lt;&gt;"Não",SUMIFS(BD!$H$3:$H$5001,BD!$B$3:$B$5001,F$89,BD!$A$3:$A$5001,"&gt;="&amp;$C$7,BD!$A$3:$A$5001,"&lt;="&amp;$D$7),"—"))</f>
        <v>0</v>
      </c>
      <c r="G95" s="61" t="str">
        <f>IF(G$89="","",IF(Config!$I$40&lt;&gt;"Não",SUMIFS(BD!$H$3:$H$5001,BD!$B$3:$B$5001,G$89,BD!$A$3:$A$5001,"&gt;="&amp;$C$7,BD!$A$3:$A$5001,"&lt;="&amp;$D$7),"—"))</f>
        <v/>
      </c>
      <c r="H95" s="61" t="str">
        <f>IF(H$89="","",IF(Config!$I$41&lt;&gt;"Não",SUMIFS(BD!$H$3:$H$5001,BD!$B$3:$B$5001,H$89,BD!$A$3:$A$5001,"&gt;="&amp;$C$7,BD!$A$3:$A$5001,"&lt;="&amp;$D$7),"—"))</f>
        <v/>
      </c>
      <c r="I95" s="61" t="str">
        <f>IF(I$89="","",IF(Config!$I$42&lt;&gt;"Não",SUMIFS(BD!$H$3:$H$5001,BD!$B$3:$B$5001,I$89,BD!$A$3:$A$5001,"&gt;="&amp;$C$7,BD!$A$3:$A$5001,"&lt;="&amp;$D$7),"—"))</f>
        <v/>
      </c>
      <c r="J95" s="61" t="str">
        <f>IF(J$89="","",IF(Config!$I$43&lt;&gt;"Não",SUMIFS(BD!$H$3:$H$5001,BD!$B$3:$B$5001,J$89,BD!$A$3:$A$5001,"&gt;="&amp;$C$7,BD!$A$3:$A$5001,"&lt;="&amp;$D$7),"—"))</f>
        <v/>
      </c>
      <c r="K95" s="61" t="str">
        <f>IF(K$89="","",IF(Config!$I$44&lt;&gt;"Não",SUMIFS(BD!$H$3:$H$5001,BD!$B$3:$B$5001,K$89,BD!$A$3:$A$5001,"&gt;="&amp;$C$7,BD!$A$3:$A$5001,"&lt;="&amp;$D$7),"—"))</f>
        <v/>
      </c>
      <c r="L95" s="61" t="str">
        <f>IF(L$89="","",IF(Config!$I$45&lt;&gt;"Não",SUMIFS(BD!$H$3:$H$5001,BD!$B$3:$B$5001,L$89,BD!$A$3:$A$5001,"&gt;="&amp;$C$7,BD!$A$3:$A$5001,"&lt;="&amp;$D$7),"—"))</f>
        <v/>
      </c>
      <c r="M95" s="61" t="str">
        <f>IF(M$89="","",IF(Config!$I$46&lt;&gt;"Não",SUMIFS(BD!$H$3:$H$5001,BD!$B$3:$B$5001,M$89,BD!$A$3:$A$5001,"&gt;="&amp;$C$7,BD!$A$3:$A$5001,"&lt;="&amp;$D$7),"—"))</f>
        <v/>
      </c>
      <c r="N95" s="61" t="str">
        <f>IF(N$89="","",IF(Config!$I$47&lt;&gt;"Não",SUMIFS(BD!$H$3:$H$5001,BD!$B$3:$B$5001,N$89,BD!$A$3:$A$5001,"&gt;="&amp;$C$7,BD!$A$3:$A$5001,"&lt;="&amp;$D$7),"—"))</f>
        <v/>
      </c>
      <c r="O95" s="61" t="str">
        <f>IF(O$89="","",IF(Config!$I$48&lt;&gt;"Não",SUMIFS(BD!$H$3:$H$5001,BD!$B$3:$B$5001,O$89,BD!$A$3:$A$5001,"&gt;="&amp;$C$7,BD!$A$3:$A$5001,"&lt;="&amp;$D$7),"—"))</f>
        <v/>
      </c>
      <c r="P95" s="61" t="str">
        <f>IF(P$89="","",IF(Config!$I$49&lt;&gt;"Não",SUMIFS(BD!$H$3:$H$5001,BD!$B$3:$B$5001,P$89,BD!$A$3:$A$5001,"&gt;="&amp;$C$7,BD!$A$3:$A$5001,"&lt;="&amp;$D$7),"—"))</f>
        <v/>
      </c>
      <c r="Q95" s="61" t="str">
        <f>IF(Q$89="","",IF(Config!$I$50&lt;&gt;"Não",SUMIFS(BD!$H$3:$H$5001,BD!$B$3:$B$5001,Q$89,BD!$A$3:$A$5001,"&gt;="&amp;$C$7,BD!$A$3:$A$5001,"&lt;="&amp;$D$7),"—"))</f>
        <v/>
      </c>
      <c r="R95" s="61" t="str">
        <f>IF(R$89="","",IF(Config!$I$51&lt;&gt;"Não",SUMIFS(BD!$H$3:$H$5001,BD!$B$3:$B$5001,R$89,BD!$A$3:$A$5001,"&gt;="&amp;$C$7,BD!$A$3:$A$5001,"&lt;="&amp;$D$7),"—"))</f>
        <v/>
      </c>
      <c r="S95" s="61" t="str">
        <f>IF(S$89="","",IF(Config!$I$52&lt;&gt;"Não",SUMIFS(BD!$H$3:$H$5001,BD!$B$3:$B$5001,S$89,BD!$A$3:$A$5001,"&gt;="&amp;$C$7,BD!$A$3:$A$5001,"&lt;="&amp;$D$7),"—"))</f>
        <v/>
      </c>
      <c r="T95" s="61" t="str">
        <f>IF(T$89="","",IF(Config!$I$53&lt;&gt;"Não",SUMIFS(BD!$H$3:$H$5001,BD!$B$3:$B$5001,T$89,BD!$A$3:$A$5001,"&gt;="&amp;$C$7,BD!$A$3:$A$5001,"&lt;="&amp;$D$7),"—"))</f>
        <v/>
      </c>
      <c r="U95" s="61" t="str">
        <f>IF(U$89="","",IF(Config!$I$54&lt;&gt;"Não",SUMIFS(BD!$H$3:$H$5001,BD!$B$3:$B$5001,U$89,BD!$A$3:$A$5001,"&gt;="&amp;$C$7,BD!$A$3:$A$5001,"&lt;="&amp;$D$7),"—"))</f>
        <v/>
      </c>
      <c r="V95" s="63">
        <f>SUM(B95:U95)</f>
        <v>0</v>
      </c>
    </row>
    <row r="96">
      <c r="A96" s="29" t="inlineStr">
        <is>
          <t xml:space="preserve">NC · Incidentes</t>
        </is>
      </c>
      <c r="B96" s="32">
        <f>IF(B$89="","",IF(Config!$J$35&lt;&gt;"Não",SUMIFS(BD!$I$3:$I$5001,BD!$B$3:$B$5001,B$89,BD!$A$3:$A$5001,"&gt;="&amp;$C$7,BD!$A$3:$A$5001,"&lt;="&amp;$D$7),"—"))</f>
        <v>0</v>
      </c>
      <c r="C96" s="32">
        <f>IF(C$89="","",IF(Config!$J$36&lt;&gt;"Não",SUMIFS(BD!$I$3:$I$5001,BD!$B$3:$B$5001,C$89,BD!$A$3:$A$5001,"&gt;="&amp;$C$7,BD!$A$3:$A$5001,"&lt;="&amp;$D$7),"—"))</f>
        <v>0</v>
      </c>
      <c r="D96" s="32">
        <f>IF(D$89="","",IF(Config!$J$37&lt;&gt;"Não",SUMIFS(BD!$I$3:$I$5001,BD!$B$3:$B$5001,D$89,BD!$A$3:$A$5001,"&gt;="&amp;$C$7,BD!$A$3:$A$5001,"&lt;="&amp;$D$7),"—"))</f>
        <v>0</v>
      </c>
      <c r="E96" s="32">
        <f>IF(E$89="","",IF(Config!$J$38&lt;&gt;"Não",SUMIFS(BD!$I$3:$I$5001,BD!$B$3:$B$5001,E$89,BD!$A$3:$A$5001,"&gt;="&amp;$C$7,BD!$A$3:$A$5001,"&lt;="&amp;$D$7),"—"))</f>
        <v>0</v>
      </c>
      <c r="F96" s="32">
        <f>IF(F$89="","",IF(Config!$J$39&lt;&gt;"Não",SUMIFS(BD!$I$3:$I$5001,BD!$B$3:$B$5001,F$89,BD!$A$3:$A$5001,"&gt;="&amp;$C$7,BD!$A$3:$A$5001,"&lt;="&amp;$D$7),"—"))</f>
        <v>0</v>
      </c>
      <c r="G96" s="32" t="str">
        <f>IF(G$89="","",IF(Config!$J$40&lt;&gt;"Não",SUMIFS(BD!$I$3:$I$5001,BD!$B$3:$B$5001,G$89,BD!$A$3:$A$5001,"&gt;="&amp;$C$7,BD!$A$3:$A$5001,"&lt;="&amp;$D$7),"—"))</f>
        <v/>
      </c>
      <c r="H96" s="32" t="str">
        <f>IF(H$89="","",IF(Config!$J$41&lt;&gt;"Não",SUMIFS(BD!$I$3:$I$5001,BD!$B$3:$B$5001,H$89,BD!$A$3:$A$5001,"&gt;="&amp;$C$7,BD!$A$3:$A$5001,"&lt;="&amp;$D$7),"—"))</f>
        <v/>
      </c>
      <c r="I96" s="32" t="str">
        <f>IF(I$89="","",IF(Config!$J$42&lt;&gt;"Não",SUMIFS(BD!$I$3:$I$5001,BD!$B$3:$B$5001,I$89,BD!$A$3:$A$5001,"&gt;="&amp;$C$7,BD!$A$3:$A$5001,"&lt;="&amp;$D$7),"—"))</f>
        <v/>
      </c>
      <c r="J96" s="32" t="str">
        <f>IF(J$89="","",IF(Config!$J$43&lt;&gt;"Não",SUMIFS(BD!$I$3:$I$5001,BD!$B$3:$B$5001,J$89,BD!$A$3:$A$5001,"&gt;="&amp;$C$7,BD!$A$3:$A$5001,"&lt;="&amp;$D$7),"—"))</f>
        <v/>
      </c>
      <c r="K96" s="32" t="str">
        <f>IF(K$89="","",IF(Config!$J$44&lt;&gt;"Não",SUMIFS(BD!$I$3:$I$5001,BD!$B$3:$B$5001,K$89,BD!$A$3:$A$5001,"&gt;="&amp;$C$7,BD!$A$3:$A$5001,"&lt;="&amp;$D$7),"—"))</f>
        <v/>
      </c>
      <c r="L96" s="32" t="str">
        <f>IF(L$89="","",IF(Config!$J$45&lt;&gt;"Não",SUMIFS(BD!$I$3:$I$5001,BD!$B$3:$B$5001,L$89,BD!$A$3:$A$5001,"&gt;="&amp;$C$7,BD!$A$3:$A$5001,"&lt;="&amp;$D$7),"—"))</f>
        <v/>
      </c>
      <c r="M96" s="32" t="str">
        <f>IF(M$89="","",IF(Config!$J$46&lt;&gt;"Não",SUMIFS(BD!$I$3:$I$5001,BD!$B$3:$B$5001,M$89,BD!$A$3:$A$5001,"&gt;="&amp;$C$7,BD!$A$3:$A$5001,"&lt;="&amp;$D$7),"—"))</f>
        <v/>
      </c>
      <c r="N96" s="32" t="str">
        <f>IF(N$89="","",IF(Config!$J$47&lt;&gt;"Não",SUMIFS(BD!$I$3:$I$5001,BD!$B$3:$B$5001,N$89,BD!$A$3:$A$5001,"&gt;="&amp;$C$7,BD!$A$3:$A$5001,"&lt;="&amp;$D$7),"—"))</f>
        <v/>
      </c>
      <c r="O96" s="32" t="str">
        <f>IF(O$89="","",IF(Config!$J$48&lt;&gt;"Não",SUMIFS(BD!$I$3:$I$5001,BD!$B$3:$B$5001,O$89,BD!$A$3:$A$5001,"&gt;="&amp;$C$7,BD!$A$3:$A$5001,"&lt;="&amp;$D$7),"—"))</f>
        <v/>
      </c>
      <c r="P96" s="32" t="str">
        <f>IF(P$89="","",IF(Config!$J$49&lt;&gt;"Não",SUMIFS(BD!$I$3:$I$5001,BD!$B$3:$B$5001,P$89,BD!$A$3:$A$5001,"&gt;="&amp;$C$7,BD!$A$3:$A$5001,"&lt;="&amp;$D$7),"—"))</f>
        <v/>
      </c>
      <c r="Q96" s="32" t="str">
        <f>IF(Q$89="","",IF(Config!$J$50&lt;&gt;"Não",SUMIFS(BD!$I$3:$I$5001,BD!$B$3:$B$5001,Q$89,BD!$A$3:$A$5001,"&gt;="&amp;$C$7,BD!$A$3:$A$5001,"&lt;="&amp;$D$7),"—"))</f>
        <v/>
      </c>
      <c r="R96" s="32" t="str">
        <f>IF(R$89="","",IF(Config!$J$51&lt;&gt;"Não",SUMIFS(BD!$I$3:$I$5001,BD!$B$3:$B$5001,R$89,BD!$A$3:$A$5001,"&gt;="&amp;$C$7,BD!$A$3:$A$5001,"&lt;="&amp;$D$7),"—"))</f>
        <v/>
      </c>
      <c r="S96" s="32" t="str">
        <f>IF(S$89="","",IF(Config!$J$52&lt;&gt;"Não",SUMIFS(BD!$I$3:$I$5001,BD!$B$3:$B$5001,S$89,BD!$A$3:$A$5001,"&gt;="&amp;$C$7,BD!$A$3:$A$5001,"&lt;="&amp;$D$7),"—"))</f>
        <v/>
      </c>
      <c r="T96" s="32" t="str">
        <f>IF(T$89="","",IF(Config!$J$53&lt;&gt;"Não",SUMIFS(BD!$I$3:$I$5001,BD!$B$3:$B$5001,T$89,BD!$A$3:$A$5001,"&gt;="&amp;$C$7,BD!$A$3:$A$5001,"&lt;="&amp;$D$7),"—"))</f>
        <v/>
      </c>
      <c r="U96" s="32" t="str">
        <f>IF(U$89="","",IF(Config!$J$54&lt;&gt;"Não",SUMIFS(BD!$I$3:$I$5001,BD!$B$3:$B$5001,U$89,BD!$A$3:$A$5001,"&gt;="&amp;$C$7,BD!$A$3:$A$5001,"&lt;="&amp;$D$7),"—"))</f>
        <v/>
      </c>
      <c r="V96" s="62">
        <f>SUM(B96:U96)</f>
        <v>0</v>
      </c>
    </row>
    <row r="97">
      <c r="A97" s="29" t="inlineStr">
        <is>
          <t xml:space="preserve">NC · No show</t>
        </is>
      </c>
      <c r="B97" s="32">
        <f>IF(B$89="","",IF(Config!$K$35&lt;&gt;"Não",SUMIFS(BD!$J$3:$J$5001,BD!$B$3:$B$5001,B$89,BD!$A$3:$A$5001,"&gt;="&amp;$C$7,BD!$A$3:$A$5001,"&lt;="&amp;$D$7),"—"))</f>
        <v>0</v>
      </c>
      <c r="C97" s="32">
        <f>IF(C$89="","",IF(Config!$K$36&lt;&gt;"Não",SUMIFS(BD!$J$3:$J$5001,BD!$B$3:$B$5001,C$89,BD!$A$3:$A$5001,"&gt;="&amp;$C$7,BD!$A$3:$A$5001,"&lt;="&amp;$D$7),"—"))</f>
        <v>0</v>
      </c>
      <c r="D97" s="32">
        <f>IF(D$89="","",IF(Config!$K$37&lt;&gt;"Não",SUMIFS(BD!$J$3:$J$5001,BD!$B$3:$B$5001,D$89,BD!$A$3:$A$5001,"&gt;="&amp;$C$7,BD!$A$3:$A$5001,"&lt;="&amp;$D$7),"—"))</f>
        <v>0</v>
      </c>
      <c r="E97" s="32">
        <f>IF(E$89="","",IF(Config!$K$38&lt;&gt;"Não",SUMIFS(BD!$J$3:$J$5001,BD!$B$3:$B$5001,E$89,BD!$A$3:$A$5001,"&gt;="&amp;$C$7,BD!$A$3:$A$5001,"&lt;="&amp;$D$7),"—"))</f>
        <v>0</v>
      </c>
      <c r="F97" s="32">
        <f>IF(F$89="","",IF(Config!$K$39&lt;&gt;"Não",SUMIFS(BD!$J$3:$J$5001,BD!$B$3:$B$5001,F$89,BD!$A$3:$A$5001,"&gt;="&amp;$C$7,BD!$A$3:$A$5001,"&lt;="&amp;$D$7),"—"))</f>
        <v>0</v>
      </c>
      <c r="G97" s="32" t="str">
        <f>IF(G$89="","",IF(Config!$K$40&lt;&gt;"Não",SUMIFS(BD!$J$3:$J$5001,BD!$B$3:$B$5001,G$89,BD!$A$3:$A$5001,"&gt;="&amp;$C$7,BD!$A$3:$A$5001,"&lt;="&amp;$D$7),"—"))</f>
        <v/>
      </c>
      <c r="H97" s="32" t="str">
        <f>IF(H$89="","",IF(Config!$K$41&lt;&gt;"Não",SUMIFS(BD!$J$3:$J$5001,BD!$B$3:$B$5001,H$89,BD!$A$3:$A$5001,"&gt;="&amp;$C$7,BD!$A$3:$A$5001,"&lt;="&amp;$D$7),"—"))</f>
        <v/>
      </c>
      <c r="I97" s="32" t="str">
        <f>IF(I$89="","",IF(Config!$K$42&lt;&gt;"Não",SUMIFS(BD!$J$3:$J$5001,BD!$B$3:$B$5001,I$89,BD!$A$3:$A$5001,"&gt;="&amp;$C$7,BD!$A$3:$A$5001,"&lt;="&amp;$D$7),"—"))</f>
        <v/>
      </c>
      <c r="J97" s="32" t="str">
        <f>IF(J$89="","",IF(Config!$K$43&lt;&gt;"Não",SUMIFS(BD!$J$3:$J$5001,BD!$B$3:$B$5001,J$89,BD!$A$3:$A$5001,"&gt;="&amp;$C$7,BD!$A$3:$A$5001,"&lt;="&amp;$D$7),"—"))</f>
        <v/>
      </c>
      <c r="K97" s="32" t="str">
        <f>IF(K$89="","",IF(Config!$K$44&lt;&gt;"Não",SUMIFS(BD!$J$3:$J$5001,BD!$B$3:$B$5001,K$89,BD!$A$3:$A$5001,"&gt;="&amp;$C$7,BD!$A$3:$A$5001,"&lt;="&amp;$D$7),"—"))</f>
        <v/>
      </c>
      <c r="L97" s="32" t="str">
        <f>IF(L$89="","",IF(Config!$K$45&lt;&gt;"Não",SUMIFS(BD!$J$3:$J$5001,BD!$B$3:$B$5001,L$89,BD!$A$3:$A$5001,"&gt;="&amp;$C$7,BD!$A$3:$A$5001,"&lt;="&amp;$D$7),"—"))</f>
        <v/>
      </c>
      <c r="M97" s="32" t="str">
        <f>IF(M$89="","",IF(Config!$K$46&lt;&gt;"Não",SUMIFS(BD!$J$3:$J$5001,BD!$B$3:$B$5001,M$89,BD!$A$3:$A$5001,"&gt;="&amp;$C$7,BD!$A$3:$A$5001,"&lt;="&amp;$D$7),"—"))</f>
        <v/>
      </c>
      <c r="N97" s="32" t="str">
        <f>IF(N$89="","",IF(Config!$K$47&lt;&gt;"Não",SUMIFS(BD!$J$3:$J$5001,BD!$B$3:$B$5001,N$89,BD!$A$3:$A$5001,"&gt;="&amp;$C$7,BD!$A$3:$A$5001,"&lt;="&amp;$D$7),"—"))</f>
        <v/>
      </c>
      <c r="O97" s="32" t="str">
        <f>IF(O$89="","",IF(Config!$K$48&lt;&gt;"Não",SUMIFS(BD!$J$3:$J$5001,BD!$B$3:$B$5001,O$89,BD!$A$3:$A$5001,"&gt;="&amp;$C$7,BD!$A$3:$A$5001,"&lt;="&amp;$D$7),"—"))</f>
        <v/>
      </c>
      <c r="P97" s="32" t="str">
        <f>IF(P$89="","",IF(Config!$K$49&lt;&gt;"Não",SUMIFS(BD!$J$3:$J$5001,BD!$B$3:$B$5001,P$89,BD!$A$3:$A$5001,"&gt;="&amp;$C$7,BD!$A$3:$A$5001,"&lt;="&amp;$D$7),"—"))</f>
        <v/>
      </c>
      <c r="Q97" s="32" t="str">
        <f>IF(Q$89="","",IF(Config!$K$50&lt;&gt;"Não",SUMIFS(BD!$J$3:$J$5001,BD!$B$3:$B$5001,Q$89,BD!$A$3:$A$5001,"&gt;="&amp;$C$7,BD!$A$3:$A$5001,"&lt;="&amp;$D$7),"—"))</f>
        <v/>
      </c>
      <c r="R97" s="32" t="str">
        <f>IF(R$89="","",IF(Config!$K$51&lt;&gt;"Não",SUMIFS(BD!$J$3:$J$5001,BD!$B$3:$B$5001,R$89,BD!$A$3:$A$5001,"&gt;="&amp;$C$7,BD!$A$3:$A$5001,"&lt;="&amp;$D$7),"—"))</f>
        <v/>
      </c>
      <c r="S97" s="32" t="str">
        <f>IF(S$89="","",IF(Config!$K$52&lt;&gt;"Não",SUMIFS(BD!$J$3:$J$5001,BD!$B$3:$B$5001,S$89,BD!$A$3:$A$5001,"&gt;="&amp;$C$7,BD!$A$3:$A$5001,"&lt;="&amp;$D$7),"—"))</f>
        <v/>
      </c>
      <c r="T97" s="32" t="str">
        <f>IF(T$89="","",IF(Config!$K$53&lt;&gt;"Não",SUMIFS(BD!$J$3:$J$5001,BD!$B$3:$B$5001,T$89,BD!$A$3:$A$5001,"&gt;="&amp;$C$7,BD!$A$3:$A$5001,"&lt;="&amp;$D$7),"—"))</f>
        <v/>
      </c>
      <c r="U97" s="32" t="str">
        <f>IF(U$89="","",IF(Config!$K$54&lt;&gt;"Não",SUMIFS(BD!$J$3:$J$5001,BD!$B$3:$B$5001,U$89,BD!$A$3:$A$5001,"&gt;="&amp;$C$7,BD!$A$3:$A$5001,"&lt;="&amp;$D$7),"—"))</f>
        <v/>
      </c>
      <c r="V97" s="62">
        <f>SUM(B97:U97)</f>
        <v>0</v>
      </c>
    </row>
    <row r="98">
      <c r="A98" s="29" t="inlineStr">
        <is>
          <t xml:space="preserve">NC · Backlog</t>
        </is>
      </c>
      <c r="B98" s="32" t="str">
        <f>IF(B$89="","",IF(Config!$L$35&lt;&gt;"Não",IF(COUNTIFS(BD!$B$3:$B$5001,B$89,BD!$A$3:$A$5001,"&gt;="&amp;$C$7,BD!$A$3:$A$5001,"&lt;="&amp;$D$7,BD!$K$3:$K$5001,"&lt;&gt;")=0,"",SUMIFS(BD!$K$3:$K$5001,BD!$B$3:$B$5001,B$89,BD!$A$3:$A$5001,_xlfn.MAXIFS(BD!$A$3:$A$5001,BD!$B$3:$B$5001,B$89,BD!$A$3:$A$5001,"&gt;="&amp;$C$7,BD!$A$3:$A$5001,"&lt;="&amp;$D$7,BD!$K$3:$K$5001,"&lt;&gt;"))),"—"))</f>
        <v/>
      </c>
      <c r="C98" s="32" t="str">
        <f>IF(C$89="","",IF(Config!$L$36&lt;&gt;"Não",IF(COUNTIFS(BD!$B$3:$B$5001,C$89,BD!$A$3:$A$5001,"&gt;="&amp;$C$7,BD!$A$3:$A$5001,"&lt;="&amp;$D$7,BD!$K$3:$K$5001,"&lt;&gt;")=0,"",SUMIFS(BD!$K$3:$K$5001,BD!$B$3:$B$5001,C$89,BD!$A$3:$A$5001,_xlfn.MAXIFS(BD!$A$3:$A$5001,BD!$B$3:$B$5001,C$89,BD!$A$3:$A$5001,"&gt;="&amp;$C$7,BD!$A$3:$A$5001,"&lt;="&amp;$D$7,BD!$K$3:$K$5001,"&lt;&gt;"))),"—"))</f>
        <v/>
      </c>
      <c r="D98" s="32" t="str">
        <f>IF(D$89="","",IF(Config!$L$37&lt;&gt;"Não",IF(COUNTIFS(BD!$B$3:$B$5001,D$89,BD!$A$3:$A$5001,"&gt;="&amp;$C$7,BD!$A$3:$A$5001,"&lt;="&amp;$D$7,BD!$K$3:$K$5001,"&lt;&gt;")=0,"",SUMIFS(BD!$K$3:$K$5001,BD!$B$3:$B$5001,D$89,BD!$A$3:$A$5001,_xlfn.MAXIFS(BD!$A$3:$A$5001,BD!$B$3:$B$5001,D$89,BD!$A$3:$A$5001,"&gt;="&amp;$C$7,BD!$A$3:$A$5001,"&lt;="&amp;$D$7,BD!$K$3:$K$5001,"&lt;&gt;"))),"—"))</f>
        <v/>
      </c>
      <c r="E98" s="32" t="str">
        <f>IF(E$89="","",IF(Config!$L$38&lt;&gt;"Não",IF(COUNTIFS(BD!$B$3:$B$5001,E$89,BD!$A$3:$A$5001,"&gt;="&amp;$C$7,BD!$A$3:$A$5001,"&lt;="&amp;$D$7,BD!$K$3:$K$5001,"&lt;&gt;")=0,"",SUMIFS(BD!$K$3:$K$5001,BD!$B$3:$B$5001,E$89,BD!$A$3:$A$5001,_xlfn.MAXIFS(BD!$A$3:$A$5001,BD!$B$3:$B$5001,E$89,BD!$A$3:$A$5001,"&gt;="&amp;$C$7,BD!$A$3:$A$5001,"&lt;="&amp;$D$7,BD!$K$3:$K$5001,"&lt;&gt;"))),"—"))</f>
        <v/>
      </c>
      <c r="F98" s="32" t="str">
        <f>IF(F$89="","",IF(Config!$L$39&lt;&gt;"Não",IF(COUNTIFS(BD!$B$3:$B$5001,F$89,BD!$A$3:$A$5001,"&gt;="&amp;$C$7,BD!$A$3:$A$5001,"&lt;="&amp;$D$7,BD!$K$3:$K$5001,"&lt;&gt;")=0,"",SUMIFS(BD!$K$3:$K$5001,BD!$B$3:$B$5001,F$89,BD!$A$3:$A$5001,_xlfn.MAXIFS(BD!$A$3:$A$5001,BD!$B$3:$B$5001,F$89,BD!$A$3:$A$5001,"&gt;="&amp;$C$7,BD!$A$3:$A$5001,"&lt;="&amp;$D$7,BD!$K$3:$K$5001,"&lt;&gt;"))),"—"))</f>
        <v/>
      </c>
      <c r="G98" s="32" t="str">
        <f>IF(G$89="","",IF(Config!$L$40&lt;&gt;"Não",IF(COUNTIFS(BD!$B$3:$B$5001,G$89,BD!$A$3:$A$5001,"&gt;="&amp;$C$7,BD!$A$3:$A$5001,"&lt;="&amp;$D$7,BD!$K$3:$K$5001,"&lt;&gt;")=0,"",SUMIFS(BD!$K$3:$K$5001,BD!$B$3:$B$5001,G$89,BD!$A$3:$A$5001,_xlfn.MAXIFS(BD!$A$3:$A$5001,BD!$B$3:$B$5001,G$89,BD!$A$3:$A$5001,"&gt;="&amp;$C$7,BD!$A$3:$A$5001,"&lt;="&amp;$D$7,BD!$K$3:$K$5001,"&lt;&gt;"))),"—"))</f>
        <v/>
      </c>
      <c r="H98" s="32" t="str">
        <f>IF(H$89="","",IF(Config!$L$41&lt;&gt;"Não",IF(COUNTIFS(BD!$B$3:$B$5001,H$89,BD!$A$3:$A$5001,"&gt;="&amp;$C$7,BD!$A$3:$A$5001,"&lt;="&amp;$D$7,BD!$K$3:$K$5001,"&lt;&gt;")=0,"",SUMIFS(BD!$K$3:$K$5001,BD!$B$3:$B$5001,H$89,BD!$A$3:$A$5001,_xlfn.MAXIFS(BD!$A$3:$A$5001,BD!$B$3:$B$5001,H$89,BD!$A$3:$A$5001,"&gt;="&amp;$C$7,BD!$A$3:$A$5001,"&lt;="&amp;$D$7,BD!$K$3:$K$5001,"&lt;&gt;"))),"—"))</f>
        <v/>
      </c>
      <c r="I98" s="32" t="str">
        <f>IF(I$89="","",IF(Config!$L$42&lt;&gt;"Não",IF(COUNTIFS(BD!$B$3:$B$5001,I$89,BD!$A$3:$A$5001,"&gt;="&amp;$C$7,BD!$A$3:$A$5001,"&lt;="&amp;$D$7,BD!$K$3:$K$5001,"&lt;&gt;")=0,"",SUMIFS(BD!$K$3:$K$5001,BD!$B$3:$B$5001,I$89,BD!$A$3:$A$5001,_xlfn.MAXIFS(BD!$A$3:$A$5001,BD!$B$3:$B$5001,I$89,BD!$A$3:$A$5001,"&gt;="&amp;$C$7,BD!$A$3:$A$5001,"&lt;="&amp;$D$7,BD!$K$3:$K$5001,"&lt;&gt;"))),"—"))</f>
        <v/>
      </c>
      <c r="J98" s="32" t="str">
        <f>IF(J$89="","",IF(Config!$L$43&lt;&gt;"Não",IF(COUNTIFS(BD!$B$3:$B$5001,J$89,BD!$A$3:$A$5001,"&gt;="&amp;$C$7,BD!$A$3:$A$5001,"&lt;="&amp;$D$7,BD!$K$3:$K$5001,"&lt;&gt;")=0,"",SUMIFS(BD!$K$3:$K$5001,BD!$B$3:$B$5001,J$89,BD!$A$3:$A$5001,_xlfn.MAXIFS(BD!$A$3:$A$5001,BD!$B$3:$B$5001,J$89,BD!$A$3:$A$5001,"&gt;="&amp;$C$7,BD!$A$3:$A$5001,"&lt;="&amp;$D$7,BD!$K$3:$K$5001,"&lt;&gt;"))),"—"))</f>
        <v/>
      </c>
      <c r="K98" s="32" t="str">
        <f>IF(K$89="","",IF(Config!$L$44&lt;&gt;"Não",IF(COUNTIFS(BD!$B$3:$B$5001,K$89,BD!$A$3:$A$5001,"&gt;="&amp;$C$7,BD!$A$3:$A$5001,"&lt;="&amp;$D$7,BD!$K$3:$K$5001,"&lt;&gt;")=0,"",SUMIFS(BD!$K$3:$K$5001,BD!$B$3:$B$5001,K$89,BD!$A$3:$A$5001,_xlfn.MAXIFS(BD!$A$3:$A$5001,BD!$B$3:$B$5001,K$89,BD!$A$3:$A$5001,"&gt;="&amp;$C$7,BD!$A$3:$A$5001,"&lt;="&amp;$D$7,BD!$K$3:$K$5001,"&lt;&gt;"))),"—"))</f>
        <v/>
      </c>
      <c r="L98" s="32" t="str">
        <f>IF(L$89="","",IF(Config!$L$45&lt;&gt;"Não",IF(COUNTIFS(BD!$B$3:$B$5001,L$89,BD!$A$3:$A$5001,"&gt;="&amp;$C$7,BD!$A$3:$A$5001,"&lt;="&amp;$D$7,BD!$K$3:$K$5001,"&lt;&gt;")=0,"",SUMIFS(BD!$K$3:$K$5001,BD!$B$3:$B$5001,L$89,BD!$A$3:$A$5001,_xlfn.MAXIFS(BD!$A$3:$A$5001,BD!$B$3:$B$5001,L$89,BD!$A$3:$A$5001,"&gt;="&amp;$C$7,BD!$A$3:$A$5001,"&lt;="&amp;$D$7,BD!$K$3:$K$5001,"&lt;&gt;"))),"—"))</f>
        <v/>
      </c>
      <c r="M98" s="32" t="str">
        <f>IF(M$89="","",IF(Config!$L$46&lt;&gt;"Não",IF(COUNTIFS(BD!$B$3:$B$5001,M$89,BD!$A$3:$A$5001,"&gt;="&amp;$C$7,BD!$A$3:$A$5001,"&lt;="&amp;$D$7,BD!$K$3:$K$5001,"&lt;&gt;")=0,"",SUMIFS(BD!$K$3:$K$5001,BD!$B$3:$B$5001,M$89,BD!$A$3:$A$5001,_xlfn.MAXIFS(BD!$A$3:$A$5001,BD!$B$3:$B$5001,M$89,BD!$A$3:$A$5001,"&gt;="&amp;$C$7,BD!$A$3:$A$5001,"&lt;="&amp;$D$7,BD!$K$3:$K$5001,"&lt;&gt;"))),"—"))</f>
        <v/>
      </c>
      <c r="N98" s="32" t="str">
        <f>IF(N$89="","",IF(Config!$L$47&lt;&gt;"Não",IF(COUNTIFS(BD!$B$3:$B$5001,N$89,BD!$A$3:$A$5001,"&gt;="&amp;$C$7,BD!$A$3:$A$5001,"&lt;="&amp;$D$7,BD!$K$3:$K$5001,"&lt;&gt;")=0,"",SUMIFS(BD!$K$3:$K$5001,BD!$B$3:$B$5001,N$89,BD!$A$3:$A$5001,_xlfn.MAXIFS(BD!$A$3:$A$5001,BD!$B$3:$B$5001,N$89,BD!$A$3:$A$5001,"&gt;="&amp;$C$7,BD!$A$3:$A$5001,"&lt;="&amp;$D$7,BD!$K$3:$K$5001,"&lt;&gt;"))),"—"))</f>
        <v/>
      </c>
      <c r="O98" s="32" t="str">
        <f>IF(O$89="","",IF(Config!$L$48&lt;&gt;"Não",IF(COUNTIFS(BD!$B$3:$B$5001,O$89,BD!$A$3:$A$5001,"&gt;="&amp;$C$7,BD!$A$3:$A$5001,"&lt;="&amp;$D$7,BD!$K$3:$K$5001,"&lt;&gt;")=0,"",SUMIFS(BD!$K$3:$K$5001,BD!$B$3:$B$5001,O$89,BD!$A$3:$A$5001,_xlfn.MAXIFS(BD!$A$3:$A$5001,BD!$B$3:$B$5001,O$89,BD!$A$3:$A$5001,"&gt;="&amp;$C$7,BD!$A$3:$A$5001,"&lt;="&amp;$D$7,BD!$K$3:$K$5001,"&lt;&gt;"))),"—"))</f>
        <v/>
      </c>
      <c r="P98" s="32" t="str">
        <f>IF(P$89="","",IF(Config!$L$49&lt;&gt;"Não",IF(COUNTIFS(BD!$B$3:$B$5001,P$89,BD!$A$3:$A$5001,"&gt;="&amp;$C$7,BD!$A$3:$A$5001,"&lt;="&amp;$D$7,BD!$K$3:$K$5001,"&lt;&gt;")=0,"",SUMIFS(BD!$K$3:$K$5001,BD!$B$3:$B$5001,P$89,BD!$A$3:$A$5001,_xlfn.MAXIFS(BD!$A$3:$A$5001,BD!$B$3:$B$5001,P$89,BD!$A$3:$A$5001,"&gt;="&amp;$C$7,BD!$A$3:$A$5001,"&lt;="&amp;$D$7,BD!$K$3:$K$5001,"&lt;&gt;"))),"—"))</f>
        <v/>
      </c>
      <c r="Q98" s="32" t="str">
        <f>IF(Q$89="","",IF(Config!$L$50&lt;&gt;"Não",IF(COUNTIFS(BD!$B$3:$B$5001,Q$89,BD!$A$3:$A$5001,"&gt;="&amp;$C$7,BD!$A$3:$A$5001,"&lt;="&amp;$D$7,BD!$K$3:$K$5001,"&lt;&gt;")=0,"",SUMIFS(BD!$K$3:$K$5001,BD!$B$3:$B$5001,Q$89,BD!$A$3:$A$5001,_xlfn.MAXIFS(BD!$A$3:$A$5001,BD!$B$3:$B$5001,Q$89,BD!$A$3:$A$5001,"&gt;="&amp;$C$7,BD!$A$3:$A$5001,"&lt;="&amp;$D$7,BD!$K$3:$K$5001,"&lt;&gt;"))),"—"))</f>
        <v/>
      </c>
      <c r="R98" s="32" t="str">
        <f>IF(R$89="","",IF(Config!$L$51&lt;&gt;"Não",IF(COUNTIFS(BD!$B$3:$B$5001,R$89,BD!$A$3:$A$5001,"&gt;="&amp;$C$7,BD!$A$3:$A$5001,"&lt;="&amp;$D$7,BD!$K$3:$K$5001,"&lt;&gt;")=0,"",SUMIFS(BD!$K$3:$K$5001,BD!$B$3:$B$5001,R$89,BD!$A$3:$A$5001,_xlfn.MAXIFS(BD!$A$3:$A$5001,BD!$B$3:$B$5001,R$89,BD!$A$3:$A$5001,"&gt;="&amp;$C$7,BD!$A$3:$A$5001,"&lt;="&amp;$D$7,BD!$K$3:$K$5001,"&lt;&gt;"))),"—"))</f>
        <v/>
      </c>
      <c r="S98" s="32" t="str">
        <f>IF(S$89="","",IF(Config!$L$52&lt;&gt;"Não",IF(COUNTIFS(BD!$B$3:$B$5001,S$89,BD!$A$3:$A$5001,"&gt;="&amp;$C$7,BD!$A$3:$A$5001,"&lt;="&amp;$D$7,BD!$K$3:$K$5001,"&lt;&gt;")=0,"",SUMIFS(BD!$K$3:$K$5001,BD!$B$3:$B$5001,S$89,BD!$A$3:$A$5001,_xlfn.MAXIFS(BD!$A$3:$A$5001,BD!$B$3:$B$5001,S$89,BD!$A$3:$A$5001,"&gt;="&amp;$C$7,BD!$A$3:$A$5001,"&lt;="&amp;$D$7,BD!$K$3:$K$5001,"&lt;&gt;"))),"—"))</f>
        <v/>
      </c>
      <c r="T98" s="32" t="str">
        <f>IF(T$89="","",IF(Config!$L$53&lt;&gt;"Não",IF(COUNTIFS(BD!$B$3:$B$5001,T$89,BD!$A$3:$A$5001,"&gt;="&amp;$C$7,BD!$A$3:$A$5001,"&lt;="&amp;$D$7,BD!$K$3:$K$5001,"&lt;&gt;")=0,"",SUMIFS(BD!$K$3:$K$5001,BD!$B$3:$B$5001,T$89,BD!$A$3:$A$5001,_xlfn.MAXIFS(BD!$A$3:$A$5001,BD!$B$3:$B$5001,T$89,BD!$A$3:$A$5001,"&gt;="&amp;$C$7,BD!$A$3:$A$5001,"&lt;="&amp;$D$7,BD!$K$3:$K$5001,"&lt;&gt;"))),"—"))</f>
        <v/>
      </c>
      <c r="U98" s="32" t="str">
        <f>IF(U$89="","",IF(Config!$L$54&lt;&gt;"Não",IF(COUNTIFS(BD!$B$3:$B$5001,U$89,BD!$A$3:$A$5001,"&gt;="&amp;$C$7,BD!$A$3:$A$5001,"&lt;="&amp;$D$7,BD!$K$3:$K$5001,"&lt;&gt;")=0,"",SUMIFS(BD!$K$3:$K$5001,BD!$B$3:$B$5001,U$89,BD!$A$3:$A$5001,_xlfn.MAXIFS(BD!$A$3:$A$5001,BD!$B$3:$B$5001,U$89,BD!$A$3:$A$5001,"&gt;="&amp;$C$7,BD!$A$3:$A$5001,"&lt;="&amp;$D$7,BD!$K$3:$K$5001,"&lt;&gt;"))),"—"))</f>
        <v/>
      </c>
      <c r="V98" s="62">
        <f>SUM(B98:U98)</f>
        <v>0</v>
      </c>
    </row>
    <row r="99">
      <c r="A99" s="29" t="inlineStr">
        <is>
          <t xml:space="preserve">OCUPAÇÃO (P.P) · Posições Disponíveis</t>
        </is>
      </c>
      <c r="B99" s="32" t="str">
        <f>IF(B$89="","",IF(Config!$M$35&lt;&gt;"Não",IF(N(IF(COUNTIFS(BD!$B$3:$B$5001,B$89,BD!$A$3:$A$5001,"&gt;="&amp;$C$7,BD!$A$3:$A$5001,"&lt;="&amp;$D$7,BD!$M$3:$M$5001,"&lt;&gt;")=0,"",SUMIFS(BD!$L$3:$L$5001,BD!$B$3:$B$5001,B$89,BD!$A$3:$A$5001,_xlfn.MAXIFS(BD!$A$3:$A$5001,BD!$B$3:$B$5001,B$89,BD!$A$3:$A$5001,"&gt;="&amp;$C$7,BD!$A$3:$A$5001,"&lt;="&amp;$D$7,BD!$M$3:$M$5001,"&lt;&gt;"))))=0,"",IF(COUNTIFS(BD!$B$3:$B$5001,B$89,BD!$A$3:$A$5001,"&gt;="&amp;$C$7,BD!$A$3:$A$5001,"&lt;="&amp;$D$7,BD!$M$3:$M$5001,"&lt;&gt;")=0,"",SUMIFS(BD!$L$3:$L$5001,BD!$B$3:$B$5001,B$89,BD!$A$3:$A$5001,_xlfn.MAXIFS(BD!$A$3:$A$5001,BD!$B$3:$B$5001,B$89,BD!$A$3:$A$5001,"&gt;="&amp;$C$7,BD!$A$3:$A$5001,"&lt;="&amp;$D$7,BD!$M$3:$M$5001,"&lt;&gt;")))),"—"))</f>
        <v/>
      </c>
      <c r="C99" s="32" t="str">
        <f>IF(C$89="","",IF(Config!$M$36&lt;&gt;"Não",IF(N(IF(COUNTIFS(BD!$B$3:$B$5001,C$89,BD!$A$3:$A$5001,"&gt;="&amp;$C$7,BD!$A$3:$A$5001,"&lt;="&amp;$D$7,BD!$M$3:$M$5001,"&lt;&gt;")=0,"",SUMIFS(BD!$L$3:$L$5001,BD!$B$3:$B$5001,C$89,BD!$A$3:$A$5001,_xlfn.MAXIFS(BD!$A$3:$A$5001,BD!$B$3:$B$5001,C$89,BD!$A$3:$A$5001,"&gt;="&amp;$C$7,BD!$A$3:$A$5001,"&lt;="&amp;$D$7,BD!$M$3:$M$5001,"&lt;&gt;"))))=0,"",IF(COUNTIFS(BD!$B$3:$B$5001,C$89,BD!$A$3:$A$5001,"&gt;="&amp;$C$7,BD!$A$3:$A$5001,"&lt;="&amp;$D$7,BD!$M$3:$M$5001,"&lt;&gt;")=0,"",SUMIFS(BD!$L$3:$L$5001,BD!$B$3:$B$5001,C$89,BD!$A$3:$A$5001,_xlfn.MAXIFS(BD!$A$3:$A$5001,BD!$B$3:$B$5001,C$89,BD!$A$3:$A$5001,"&gt;="&amp;$C$7,BD!$A$3:$A$5001,"&lt;="&amp;$D$7,BD!$M$3:$M$5001,"&lt;&gt;")))),"—"))</f>
        <v>—</v>
      </c>
      <c r="D99" s="32" t="str">
        <f>IF(D$89="","",IF(Config!$M$37&lt;&gt;"Não",IF(N(IF(COUNTIFS(BD!$B$3:$B$5001,D$89,BD!$A$3:$A$5001,"&gt;="&amp;$C$7,BD!$A$3:$A$5001,"&lt;="&amp;$D$7,BD!$M$3:$M$5001,"&lt;&gt;")=0,"",SUMIFS(BD!$L$3:$L$5001,BD!$B$3:$B$5001,D$89,BD!$A$3:$A$5001,_xlfn.MAXIFS(BD!$A$3:$A$5001,BD!$B$3:$B$5001,D$89,BD!$A$3:$A$5001,"&gt;="&amp;$C$7,BD!$A$3:$A$5001,"&lt;="&amp;$D$7,BD!$M$3:$M$5001,"&lt;&gt;"))))=0,"",IF(COUNTIFS(BD!$B$3:$B$5001,D$89,BD!$A$3:$A$5001,"&gt;="&amp;$C$7,BD!$A$3:$A$5001,"&lt;="&amp;$D$7,BD!$M$3:$M$5001,"&lt;&gt;")=0,"",SUMIFS(BD!$L$3:$L$5001,BD!$B$3:$B$5001,D$89,BD!$A$3:$A$5001,_xlfn.MAXIFS(BD!$A$3:$A$5001,BD!$B$3:$B$5001,D$89,BD!$A$3:$A$5001,"&gt;="&amp;$C$7,BD!$A$3:$A$5001,"&lt;="&amp;$D$7,BD!$M$3:$M$5001,"&lt;&gt;")))),"—"))</f>
        <v>—</v>
      </c>
      <c r="E99" s="32" t="str">
        <f>IF(E$89="","",IF(Config!$M$38&lt;&gt;"Não",IF(N(IF(COUNTIFS(BD!$B$3:$B$5001,E$89,BD!$A$3:$A$5001,"&gt;="&amp;$C$7,BD!$A$3:$A$5001,"&lt;="&amp;$D$7,BD!$M$3:$M$5001,"&lt;&gt;")=0,"",SUMIFS(BD!$L$3:$L$5001,BD!$B$3:$B$5001,E$89,BD!$A$3:$A$5001,_xlfn.MAXIFS(BD!$A$3:$A$5001,BD!$B$3:$B$5001,E$89,BD!$A$3:$A$5001,"&gt;="&amp;$C$7,BD!$A$3:$A$5001,"&lt;="&amp;$D$7,BD!$M$3:$M$5001,"&lt;&gt;"))))=0,"",IF(COUNTIFS(BD!$B$3:$B$5001,E$89,BD!$A$3:$A$5001,"&gt;="&amp;$C$7,BD!$A$3:$A$5001,"&lt;="&amp;$D$7,BD!$M$3:$M$5001,"&lt;&gt;")=0,"",SUMIFS(BD!$L$3:$L$5001,BD!$B$3:$B$5001,E$89,BD!$A$3:$A$5001,_xlfn.MAXIFS(BD!$A$3:$A$5001,BD!$B$3:$B$5001,E$89,BD!$A$3:$A$5001,"&gt;="&amp;$C$7,BD!$A$3:$A$5001,"&lt;="&amp;$D$7,BD!$M$3:$M$5001,"&lt;&gt;")))),"—"))</f>
        <v>—</v>
      </c>
      <c r="F99" s="32" t="str">
        <f>IF(F$89="","",IF(Config!$M$39&lt;&gt;"Não",IF(N(IF(COUNTIFS(BD!$B$3:$B$5001,F$89,BD!$A$3:$A$5001,"&gt;="&amp;$C$7,BD!$A$3:$A$5001,"&lt;="&amp;$D$7,BD!$M$3:$M$5001,"&lt;&gt;")=0,"",SUMIFS(BD!$L$3:$L$5001,BD!$B$3:$B$5001,F$89,BD!$A$3:$A$5001,_xlfn.MAXIFS(BD!$A$3:$A$5001,BD!$B$3:$B$5001,F$89,BD!$A$3:$A$5001,"&gt;="&amp;$C$7,BD!$A$3:$A$5001,"&lt;="&amp;$D$7,BD!$M$3:$M$5001,"&lt;&gt;"))))=0,"",IF(COUNTIFS(BD!$B$3:$B$5001,F$89,BD!$A$3:$A$5001,"&gt;="&amp;$C$7,BD!$A$3:$A$5001,"&lt;="&amp;$D$7,BD!$M$3:$M$5001,"&lt;&gt;")=0,"",SUMIFS(BD!$L$3:$L$5001,BD!$B$3:$B$5001,F$89,BD!$A$3:$A$5001,_xlfn.MAXIFS(BD!$A$3:$A$5001,BD!$B$3:$B$5001,F$89,BD!$A$3:$A$5001,"&gt;="&amp;$C$7,BD!$A$3:$A$5001,"&lt;="&amp;$D$7,BD!$M$3:$M$5001,"&lt;&gt;")))),"—"))</f>
        <v/>
      </c>
      <c r="G99" s="32" t="str">
        <f>IF(G$89="","",IF(Config!$M$40&lt;&gt;"Não",IF(N(IF(COUNTIFS(BD!$B$3:$B$5001,G$89,BD!$A$3:$A$5001,"&gt;="&amp;$C$7,BD!$A$3:$A$5001,"&lt;="&amp;$D$7,BD!$M$3:$M$5001,"&lt;&gt;")=0,"",SUMIFS(BD!$L$3:$L$5001,BD!$B$3:$B$5001,G$89,BD!$A$3:$A$5001,_xlfn.MAXIFS(BD!$A$3:$A$5001,BD!$B$3:$B$5001,G$89,BD!$A$3:$A$5001,"&gt;="&amp;$C$7,BD!$A$3:$A$5001,"&lt;="&amp;$D$7,BD!$M$3:$M$5001,"&lt;&gt;"))))=0,"",IF(COUNTIFS(BD!$B$3:$B$5001,G$89,BD!$A$3:$A$5001,"&gt;="&amp;$C$7,BD!$A$3:$A$5001,"&lt;="&amp;$D$7,BD!$M$3:$M$5001,"&lt;&gt;")=0,"",SUMIFS(BD!$L$3:$L$5001,BD!$B$3:$B$5001,G$89,BD!$A$3:$A$5001,_xlfn.MAXIFS(BD!$A$3:$A$5001,BD!$B$3:$B$5001,G$89,BD!$A$3:$A$5001,"&gt;="&amp;$C$7,BD!$A$3:$A$5001,"&lt;="&amp;$D$7,BD!$M$3:$M$5001,"&lt;&gt;")))),"—"))</f>
        <v/>
      </c>
      <c r="H99" s="32" t="str">
        <f>IF(H$89="","",IF(Config!$M$41&lt;&gt;"Não",IF(N(IF(COUNTIFS(BD!$B$3:$B$5001,H$89,BD!$A$3:$A$5001,"&gt;="&amp;$C$7,BD!$A$3:$A$5001,"&lt;="&amp;$D$7,BD!$M$3:$M$5001,"&lt;&gt;")=0,"",SUMIFS(BD!$L$3:$L$5001,BD!$B$3:$B$5001,H$89,BD!$A$3:$A$5001,_xlfn.MAXIFS(BD!$A$3:$A$5001,BD!$B$3:$B$5001,H$89,BD!$A$3:$A$5001,"&gt;="&amp;$C$7,BD!$A$3:$A$5001,"&lt;="&amp;$D$7,BD!$M$3:$M$5001,"&lt;&gt;"))))=0,"",IF(COUNTIFS(BD!$B$3:$B$5001,H$89,BD!$A$3:$A$5001,"&gt;="&amp;$C$7,BD!$A$3:$A$5001,"&lt;="&amp;$D$7,BD!$M$3:$M$5001,"&lt;&gt;")=0,"",SUMIFS(BD!$L$3:$L$5001,BD!$B$3:$B$5001,H$89,BD!$A$3:$A$5001,_xlfn.MAXIFS(BD!$A$3:$A$5001,BD!$B$3:$B$5001,H$89,BD!$A$3:$A$5001,"&gt;="&amp;$C$7,BD!$A$3:$A$5001,"&lt;="&amp;$D$7,BD!$M$3:$M$5001,"&lt;&gt;")))),"—"))</f>
        <v/>
      </c>
      <c r="I99" s="32" t="str">
        <f>IF(I$89="","",IF(Config!$M$42&lt;&gt;"Não",IF(N(IF(COUNTIFS(BD!$B$3:$B$5001,I$89,BD!$A$3:$A$5001,"&gt;="&amp;$C$7,BD!$A$3:$A$5001,"&lt;="&amp;$D$7,BD!$M$3:$M$5001,"&lt;&gt;")=0,"",SUMIFS(BD!$L$3:$L$5001,BD!$B$3:$B$5001,I$89,BD!$A$3:$A$5001,_xlfn.MAXIFS(BD!$A$3:$A$5001,BD!$B$3:$B$5001,I$89,BD!$A$3:$A$5001,"&gt;="&amp;$C$7,BD!$A$3:$A$5001,"&lt;="&amp;$D$7,BD!$M$3:$M$5001,"&lt;&gt;"))))=0,"",IF(COUNTIFS(BD!$B$3:$B$5001,I$89,BD!$A$3:$A$5001,"&gt;="&amp;$C$7,BD!$A$3:$A$5001,"&lt;="&amp;$D$7,BD!$M$3:$M$5001,"&lt;&gt;")=0,"",SUMIFS(BD!$L$3:$L$5001,BD!$B$3:$B$5001,I$89,BD!$A$3:$A$5001,_xlfn.MAXIFS(BD!$A$3:$A$5001,BD!$B$3:$B$5001,I$89,BD!$A$3:$A$5001,"&gt;="&amp;$C$7,BD!$A$3:$A$5001,"&lt;="&amp;$D$7,BD!$M$3:$M$5001,"&lt;&gt;")))),"—"))</f>
        <v/>
      </c>
      <c r="J99" s="32" t="str">
        <f>IF(J$89="","",IF(Config!$M$43&lt;&gt;"Não",IF(N(IF(COUNTIFS(BD!$B$3:$B$5001,J$89,BD!$A$3:$A$5001,"&gt;="&amp;$C$7,BD!$A$3:$A$5001,"&lt;="&amp;$D$7,BD!$M$3:$M$5001,"&lt;&gt;")=0,"",SUMIFS(BD!$L$3:$L$5001,BD!$B$3:$B$5001,J$89,BD!$A$3:$A$5001,_xlfn.MAXIFS(BD!$A$3:$A$5001,BD!$B$3:$B$5001,J$89,BD!$A$3:$A$5001,"&gt;="&amp;$C$7,BD!$A$3:$A$5001,"&lt;="&amp;$D$7,BD!$M$3:$M$5001,"&lt;&gt;"))))=0,"",IF(COUNTIFS(BD!$B$3:$B$5001,J$89,BD!$A$3:$A$5001,"&gt;="&amp;$C$7,BD!$A$3:$A$5001,"&lt;="&amp;$D$7,BD!$M$3:$M$5001,"&lt;&gt;")=0,"",SUMIFS(BD!$L$3:$L$5001,BD!$B$3:$B$5001,J$89,BD!$A$3:$A$5001,_xlfn.MAXIFS(BD!$A$3:$A$5001,BD!$B$3:$B$5001,J$89,BD!$A$3:$A$5001,"&gt;="&amp;$C$7,BD!$A$3:$A$5001,"&lt;="&amp;$D$7,BD!$M$3:$M$5001,"&lt;&gt;")))),"—"))</f>
        <v/>
      </c>
      <c r="K99" s="32" t="str">
        <f>IF(K$89="","",IF(Config!$M$44&lt;&gt;"Não",IF(N(IF(COUNTIFS(BD!$B$3:$B$5001,K$89,BD!$A$3:$A$5001,"&gt;="&amp;$C$7,BD!$A$3:$A$5001,"&lt;="&amp;$D$7,BD!$M$3:$M$5001,"&lt;&gt;")=0,"",SUMIFS(BD!$L$3:$L$5001,BD!$B$3:$B$5001,K$89,BD!$A$3:$A$5001,_xlfn.MAXIFS(BD!$A$3:$A$5001,BD!$B$3:$B$5001,K$89,BD!$A$3:$A$5001,"&gt;="&amp;$C$7,BD!$A$3:$A$5001,"&lt;="&amp;$D$7,BD!$M$3:$M$5001,"&lt;&gt;"))))=0,"",IF(COUNTIFS(BD!$B$3:$B$5001,K$89,BD!$A$3:$A$5001,"&gt;="&amp;$C$7,BD!$A$3:$A$5001,"&lt;="&amp;$D$7,BD!$M$3:$M$5001,"&lt;&gt;")=0,"",SUMIFS(BD!$L$3:$L$5001,BD!$B$3:$B$5001,K$89,BD!$A$3:$A$5001,_xlfn.MAXIFS(BD!$A$3:$A$5001,BD!$B$3:$B$5001,K$89,BD!$A$3:$A$5001,"&gt;="&amp;$C$7,BD!$A$3:$A$5001,"&lt;="&amp;$D$7,BD!$M$3:$M$5001,"&lt;&gt;")))),"—"))</f>
        <v/>
      </c>
      <c r="L99" s="32" t="str">
        <f>IF(L$89="","",IF(Config!$M$45&lt;&gt;"Não",IF(N(IF(COUNTIFS(BD!$B$3:$B$5001,L$89,BD!$A$3:$A$5001,"&gt;="&amp;$C$7,BD!$A$3:$A$5001,"&lt;="&amp;$D$7,BD!$M$3:$M$5001,"&lt;&gt;")=0,"",SUMIFS(BD!$L$3:$L$5001,BD!$B$3:$B$5001,L$89,BD!$A$3:$A$5001,_xlfn.MAXIFS(BD!$A$3:$A$5001,BD!$B$3:$B$5001,L$89,BD!$A$3:$A$5001,"&gt;="&amp;$C$7,BD!$A$3:$A$5001,"&lt;="&amp;$D$7,BD!$M$3:$M$5001,"&lt;&gt;"))))=0,"",IF(COUNTIFS(BD!$B$3:$B$5001,L$89,BD!$A$3:$A$5001,"&gt;="&amp;$C$7,BD!$A$3:$A$5001,"&lt;="&amp;$D$7,BD!$M$3:$M$5001,"&lt;&gt;")=0,"",SUMIFS(BD!$L$3:$L$5001,BD!$B$3:$B$5001,L$89,BD!$A$3:$A$5001,_xlfn.MAXIFS(BD!$A$3:$A$5001,BD!$B$3:$B$5001,L$89,BD!$A$3:$A$5001,"&gt;="&amp;$C$7,BD!$A$3:$A$5001,"&lt;="&amp;$D$7,BD!$M$3:$M$5001,"&lt;&gt;")))),"—"))</f>
        <v/>
      </c>
      <c r="M99" s="32" t="str">
        <f>IF(M$89="","",IF(Config!$M$46&lt;&gt;"Não",IF(N(IF(COUNTIFS(BD!$B$3:$B$5001,M$89,BD!$A$3:$A$5001,"&gt;="&amp;$C$7,BD!$A$3:$A$5001,"&lt;="&amp;$D$7,BD!$M$3:$M$5001,"&lt;&gt;")=0,"",SUMIFS(BD!$L$3:$L$5001,BD!$B$3:$B$5001,M$89,BD!$A$3:$A$5001,_xlfn.MAXIFS(BD!$A$3:$A$5001,BD!$B$3:$B$5001,M$89,BD!$A$3:$A$5001,"&gt;="&amp;$C$7,BD!$A$3:$A$5001,"&lt;="&amp;$D$7,BD!$M$3:$M$5001,"&lt;&gt;"))))=0,"",IF(COUNTIFS(BD!$B$3:$B$5001,M$89,BD!$A$3:$A$5001,"&gt;="&amp;$C$7,BD!$A$3:$A$5001,"&lt;="&amp;$D$7,BD!$M$3:$M$5001,"&lt;&gt;")=0,"",SUMIFS(BD!$L$3:$L$5001,BD!$B$3:$B$5001,M$89,BD!$A$3:$A$5001,_xlfn.MAXIFS(BD!$A$3:$A$5001,BD!$B$3:$B$5001,M$89,BD!$A$3:$A$5001,"&gt;="&amp;$C$7,BD!$A$3:$A$5001,"&lt;="&amp;$D$7,BD!$M$3:$M$5001,"&lt;&gt;")))),"—"))</f>
        <v/>
      </c>
      <c r="N99" s="32" t="str">
        <f>IF(N$89="","",IF(Config!$M$47&lt;&gt;"Não",IF(N(IF(COUNTIFS(BD!$B$3:$B$5001,N$89,BD!$A$3:$A$5001,"&gt;="&amp;$C$7,BD!$A$3:$A$5001,"&lt;="&amp;$D$7,BD!$M$3:$M$5001,"&lt;&gt;")=0,"",SUMIFS(BD!$L$3:$L$5001,BD!$B$3:$B$5001,N$89,BD!$A$3:$A$5001,_xlfn.MAXIFS(BD!$A$3:$A$5001,BD!$B$3:$B$5001,N$89,BD!$A$3:$A$5001,"&gt;="&amp;$C$7,BD!$A$3:$A$5001,"&lt;="&amp;$D$7,BD!$M$3:$M$5001,"&lt;&gt;"))))=0,"",IF(COUNTIFS(BD!$B$3:$B$5001,N$89,BD!$A$3:$A$5001,"&gt;="&amp;$C$7,BD!$A$3:$A$5001,"&lt;="&amp;$D$7,BD!$M$3:$M$5001,"&lt;&gt;")=0,"",SUMIFS(BD!$L$3:$L$5001,BD!$B$3:$B$5001,N$89,BD!$A$3:$A$5001,_xlfn.MAXIFS(BD!$A$3:$A$5001,BD!$B$3:$B$5001,N$89,BD!$A$3:$A$5001,"&gt;="&amp;$C$7,BD!$A$3:$A$5001,"&lt;="&amp;$D$7,BD!$M$3:$M$5001,"&lt;&gt;")))),"—"))</f>
        <v/>
      </c>
      <c r="O99" s="32" t="str">
        <f>IF(O$89="","",IF(Config!$M$48&lt;&gt;"Não",IF(N(IF(COUNTIFS(BD!$B$3:$B$5001,O$89,BD!$A$3:$A$5001,"&gt;="&amp;$C$7,BD!$A$3:$A$5001,"&lt;="&amp;$D$7,BD!$M$3:$M$5001,"&lt;&gt;")=0,"",SUMIFS(BD!$L$3:$L$5001,BD!$B$3:$B$5001,O$89,BD!$A$3:$A$5001,_xlfn.MAXIFS(BD!$A$3:$A$5001,BD!$B$3:$B$5001,O$89,BD!$A$3:$A$5001,"&gt;="&amp;$C$7,BD!$A$3:$A$5001,"&lt;="&amp;$D$7,BD!$M$3:$M$5001,"&lt;&gt;"))))=0,"",IF(COUNTIFS(BD!$B$3:$B$5001,O$89,BD!$A$3:$A$5001,"&gt;="&amp;$C$7,BD!$A$3:$A$5001,"&lt;="&amp;$D$7,BD!$M$3:$M$5001,"&lt;&gt;")=0,"",SUMIFS(BD!$L$3:$L$5001,BD!$B$3:$B$5001,O$89,BD!$A$3:$A$5001,_xlfn.MAXIFS(BD!$A$3:$A$5001,BD!$B$3:$B$5001,O$89,BD!$A$3:$A$5001,"&gt;="&amp;$C$7,BD!$A$3:$A$5001,"&lt;="&amp;$D$7,BD!$M$3:$M$5001,"&lt;&gt;")))),"—"))</f>
        <v/>
      </c>
      <c r="P99" s="32" t="str">
        <f>IF(P$89="","",IF(Config!$M$49&lt;&gt;"Não",IF(N(IF(COUNTIFS(BD!$B$3:$B$5001,P$89,BD!$A$3:$A$5001,"&gt;="&amp;$C$7,BD!$A$3:$A$5001,"&lt;="&amp;$D$7,BD!$M$3:$M$5001,"&lt;&gt;")=0,"",SUMIFS(BD!$L$3:$L$5001,BD!$B$3:$B$5001,P$89,BD!$A$3:$A$5001,_xlfn.MAXIFS(BD!$A$3:$A$5001,BD!$B$3:$B$5001,P$89,BD!$A$3:$A$5001,"&gt;="&amp;$C$7,BD!$A$3:$A$5001,"&lt;="&amp;$D$7,BD!$M$3:$M$5001,"&lt;&gt;"))))=0,"",IF(COUNTIFS(BD!$B$3:$B$5001,P$89,BD!$A$3:$A$5001,"&gt;="&amp;$C$7,BD!$A$3:$A$5001,"&lt;="&amp;$D$7,BD!$M$3:$M$5001,"&lt;&gt;")=0,"",SUMIFS(BD!$L$3:$L$5001,BD!$B$3:$B$5001,P$89,BD!$A$3:$A$5001,_xlfn.MAXIFS(BD!$A$3:$A$5001,BD!$B$3:$B$5001,P$89,BD!$A$3:$A$5001,"&gt;="&amp;$C$7,BD!$A$3:$A$5001,"&lt;="&amp;$D$7,BD!$M$3:$M$5001,"&lt;&gt;")))),"—"))</f>
        <v/>
      </c>
      <c r="Q99" s="32" t="str">
        <f>IF(Q$89="","",IF(Config!$M$50&lt;&gt;"Não",IF(N(IF(COUNTIFS(BD!$B$3:$B$5001,Q$89,BD!$A$3:$A$5001,"&gt;="&amp;$C$7,BD!$A$3:$A$5001,"&lt;="&amp;$D$7,BD!$M$3:$M$5001,"&lt;&gt;")=0,"",SUMIFS(BD!$L$3:$L$5001,BD!$B$3:$B$5001,Q$89,BD!$A$3:$A$5001,_xlfn.MAXIFS(BD!$A$3:$A$5001,BD!$B$3:$B$5001,Q$89,BD!$A$3:$A$5001,"&gt;="&amp;$C$7,BD!$A$3:$A$5001,"&lt;="&amp;$D$7,BD!$M$3:$M$5001,"&lt;&gt;"))))=0,"",IF(COUNTIFS(BD!$B$3:$B$5001,Q$89,BD!$A$3:$A$5001,"&gt;="&amp;$C$7,BD!$A$3:$A$5001,"&lt;="&amp;$D$7,BD!$M$3:$M$5001,"&lt;&gt;")=0,"",SUMIFS(BD!$L$3:$L$5001,BD!$B$3:$B$5001,Q$89,BD!$A$3:$A$5001,_xlfn.MAXIFS(BD!$A$3:$A$5001,BD!$B$3:$B$5001,Q$89,BD!$A$3:$A$5001,"&gt;="&amp;$C$7,BD!$A$3:$A$5001,"&lt;="&amp;$D$7,BD!$M$3:$M$5001,"&lt;&gt;")))),"—"))</f>
        <v/>
      </c>
      <c r="R99" s="32" t="str">
        <f>IF(R$89="","",IF(Config!$M$51&lt;&gt;"Não",IF(N(IF(COUNTIFS(BD!$B$3:$B$5001,R$89,BD!$A$3:$A$5001,"&gt;="&amp;$C$7,BD!$A$3:$A$5001,"&lt;="&amp;$D$7,BD!$M$3:$M$5001,"&lt;&gt;")=0,"",SUMIFS(BD!$L$3:$L$5001,BD!$B$3:$B$5001,R$89,BD!$A$3:$A$5001,_xlfn.MAXIFS(BD!$A$3:$A$5001,BD!$B$3:$B$5001,R$89,BD!$A$3:$A$5001,"&gt;="&amp;$C$7,BD!$A$3:$A$5001,"&lt;="&amp;$D$7,BD!$M$3:$M$5001,"&lt;&gt;"))))=0,"",IF(COUNTIFS(BD!$B$3:$B$5001,R$89,BD!$A$3:$A$5001,"&gt;="&amp;$C$7,BD!$A$3:$A$5001,"&lt;="&amp;$D$7,BD!$M$3:$M$5001,"&lt;&gt;")=0,"",SUMIFS(BD!$L$3:$L$5001,BD!$B$3:$B$5001,R$89,BD!$A$3:$A$5001,_xlfn.MAXIFS(BD!$A$3:$A$5001,BD!$B$3:$B$5001,R$89,BD!$A$3:$A$5001,"&gt;="&amp;$C$7,BD!$A$3:$A$5001,"&lt;="&amp;$D$7,BD!$M$3:$M$5001,"&lt;&gt;")))),"—"))</f>
        <v/>
      </c>
      <c r="S99" s="32" t="str">
        <f>IF(S$89="","",IF(Config!$M$52&lt;&gt;"Não",IF(N(IF(COUNTIFS(BD!$B$3:$B$5001,S$89,BD!$A$3:$A$5001,"&gt;="&amp;$C$7,BD!$A$3:$A$5001,"&lt;="&amp;$D$7,BD!$M$3:$M$5001,"&lt;&gt;")=0,"",SUMIFS(BD!$L$3:$L$5001,BD!$B$3:$B$5001,S$89,BD!$A$3:$A$5001,_xlfn.MAXIFS(BD!$A$3:$A$5001,BD!$B$3:$B$5001,S$89,BD!$A$3:$A$5001,"&gt;="&amp;$C$7,BD!$A$3:$A$5001,"&lt;="&amp;$D$7,BD!$M$3:$M$5001,"&lt;&gt;"))))=0,"",IF(COUNTIFS(BD!$B$3:$B$5001,S$89,BD!$A$3:$A$5001,"&gt;="&amp;$C$7,BD!$A$3:$A$5001,"&lt;="&amp;$D$7,BD!$M$3:$M$5001,"&lt;&gt;")=0,"",SUMIFS(BD!$L$3:$L$5001,BD!$B$3:$B$5001,S$89,BD!$A$3:$A$5001,_xlfn.MAXIFS(BD!$A$3:$A$5001,BD!$B$3:$B$5001,S$89,BD!$A$3:$A$5001,"&gt;="&amp;$C$7,BD!$A$3:$A$5001,"&lt;="&amp;$D$7,BD!$M$3:$M$5001,"&lt;&gt;")))),"—"))</f>
        <v/>
      </c>
      <c r="T99" s="32" t="str">
        <f>IF(T$89="","",IF(Config!$M$53&lt;&gt;"Não",IF(N(IF(COUNTIFS(BD!$B$3:$B$5001,T$89,BD!$A$3:$A$5001,"&gt;="&amp;$C$7,BD!$A$3:$A$5001,"&lt;="&amp;$D$7,BD!$M$3:$M$5001,"&lt;&gt;")=0,"",SUMIFS(BD!$L$3:$L$5001,BD!$B$3:$B$5001,T$89,BD!$A$3:$A$5001,_xlfn.MAXIFS(BD!$A$3:$A$5001,BD!$B$3:$B$5001,T$89,BD!$A$3:$A$5001,"&gt;="&amp;$C$7,BD!$A$3:$A$5001,"&lt;="&amp;$D$7,BD!$M$3:$M$5001,"&lt;&gt;"))))=0,"",IF(COUNTIFS(BD!$B$3:$B$5001,T$89,BD!$A$3:$A$5001,"&gt;="&amp;$C$7,BD!$A$3:$A$5001,"&lt;="&amp;$D$7,BD!$M$3:$M$5001,"&lt;&gt;")=0,"",SUMIFS(BD!$L$3:$L$5001,BD!$B$3:$B$5001,T$89,BD!$A$3:$A$5001,_xlfn.MAXIFS(BD!$A$3:$A$5001,BD!$B$3:$B$5001,T$89,BD!$A$3:$A$5001,"&gt;="&amp;$C$7,BD!$A$3:$A$5001,"&lt;="&amp;$D$7,BD!$M$3:$M$5001,"&lt;&gt;")))),"—"))</f>
        <v/>
      </c>
      <c r="U99" s="32" t="str">
        <f>IF(U$89="","",IF(Config!$M$54&lt;&gt;"Não",IF(N(IF(COUNTIFS(BD!$B$3:$B$5001,U$89,BD!$A$3:$A$5001,"&gt;="&amp;$C$7,BD!$A$3:$A$5001,"&lt;="&amp;$D$7,BD!$M$3:$M$5001,"&lt;&gt;")=0,"",SUMIFS(BD!$L$3:$L$5001,BD!$B$3:$B$5001,U$89,BD!$A$3:$A$5001,_xlfn.MAXIFS(BD!$A$3:$A$5001,BD!$B$3:$B$5001,U$89,BD!$A$3:$A$5001,"&gt;="&amp;$C$7,BD!$A$3:$A$5001,"&lt;="&amp;$D$7,BD!$M$3:$M$5001,"&lt;&gt;"))))=0,"",IF(COUNTIFS(BD!$B$3:$B$5001,U$89,BD!$A$3:$A$5001,"&gt;="&amp;$C$7,BD!$A$3:$A$5001,"&lt;="&amp;$D$7,BD!$M$3:$M$5001,"&lt;&gt;")=0,"",SUMIFS(BD!$L$3:$L$5001,BD!$B$3:$B$5001,U$89,BD!$A$3:$A$5001,_xlfn.MAXIFS(BD!$A$3:$A$5001,BD!$B$3:$B$5001,U$89,BD!$A$3:$A$5001,"&gt;="&amp;$C$7,BD!$A$3:$A$5001,"&lt;="&amp;$D$7,BD!$M$3:$M$5001,"&lt;&gt;")))),"—"))</f>
        <v/>
      </c>
      <c r="V99" s="62">
        <f>IF($B$4&gt;0,$B$4,SUM(B99:U99))</f>
        <v>5872</v>
      </c>
    </row>
    <row r="100">
      <c r="A100" s="29" t="inlineStr">
        <is>
          <t xml:space="preserve">OCUPAÇÃO (P.P) · Posições Ocupadas</t>
        </is>
      </c>
      <c r="B100" s="32" t="str">
        <f>IF(B$89="","",IF(Config!$N$35&lt;&gt;"Não",IF(COUNTIFS(BD!$B$3:$B$5001,B$89,BD!$A$3:$A$5001,"&gt;="&amp;$C$7,BD!$A$3:$A$5001,"&lt;="&amp;$D$7,BD!$M$3:$M$5001,"&lt;&gt;")=0,"",SUMIFS(BD!$M$3:$M$5001,BD!$B$3:$B$5001,B$89,BD!$A$3:$A$5001,_xlfn.MAXIFS(BD!$A$3:$A$5001,BD!$B$3:$B$5001,B$89,BD!$A$3:$A$5001,"&gt;="&amp;$C$7,BD!$A$3:$A$5001,"&lt;="&amp;$D$7,BD!$M$3:$M$5001,"&lt;&gt;"))),"—"))</f>
        <v/>
      </c>
      <c r="C100" s="32" t="str">
        <f>IF(C$89="","",IF(Config!$N$36&lt;&gt;"Não",IF(COUNTIFS(BD!$B$3:$B$5001,C$89,BD!$A$3:$A$5001,"&gt;="&amp;$C$7,BD!$A$3:$A$5001,"&lt;="&amp;$D$7,BD!$M$3:$M$5001,"&lt;&gt;")=0,"",SUMIFS(BD!$M$3:$M$5001,BD!$B$3:$B$5001,C$89,BD!$A$3:$A$5001,_xlfn.MAXIFS(BD!$A$3:$A$5001,BD!$B$3:$B$5001,C$89,BD!$A$3:$A$5001,"&gt;="&amp;$C$7,BD!$A$3:$A$5001,"&lt;="&amp;$D$7,BD!$M$3:$M$5001,"&lt;&gt;"))),"—"))</f>
        <v>—</v>
      </c>
      <c r="D100" s="32" t="str">
        <f>IF(D$89="","",IF(Config!$N$37&lt;&gt;"Não",IF(COUNTIFS(BD!$B$3:$B$5001,D$89,BD!$A$3:$A$5001,"&gt;="&amp;$C$7,BD!$A$3:$A$5001,"&lt;="&amp;$D$7,BD!$M$3:$M$5001,"&lt;&gt;")=0,"",SUMIFS(BD!$M$3:$M$5001,BD!$B$3:$B$5001,D$89,BD!$A$3:$A$5001,_xlfn.MAXIFS(BD!$A$3:$A$5001,BD!$B$3:$B$5001,D$89,BD!$A$3:$A$5001,"&gt;="&amp;$C$7,BD!$A$3:$A$5001,"&lt;="&amp;$D$7,BD!$M$3:$M$5001,"&lt;&gt;"))),"—"))</f>
        <v/>
      </c>
      <c r="E100" s="32" t="str">
        <f>IF(E$89="","",IF(Config!$N$38&lt;&gt;"Não",IF(COUNTIFS(BD!$B$3:$B$5001,E$89,BD!$A$3:$A$5001,"&gt;="&amp;$C$7,BD!$A$3:$A$5001,"&lt;="&amp;$D$7,BD!$M$3:$M$5001,"&lt;&gt;")=0,"",SUMIFS(BD!$M$3:$M$5001,BD!$B$3:$B$5001,E$89,BD!$A$3:$A$5001,_xlfn.MAXIFS(BD!$A$3:$A$5001,BD!$B$3:$B$5001,E$89,BD!$A$3:$A$5001,"&gt;="&amp;$C$7,BD!$A$3:$A$5001,"&lt;="&amp;$D$7,BD!$M$3:$M$5001,"&lt;&gt;"))),"—"))</f>
        <v/>
      </c>
      <c r="F100" s="32" t="str">
        <f>IF(F$89="","",IF(Config!$N$39&lt;&gt;"Não",IF(COUNTIFS(BD!$B$3:$B$5001,F$89,BD!$A$3:$A$5001,"&gt;="&amp;$C$7,BD!$A$3:$A$5001,"&lt;="&amp;$D$7,BD!$M$3:$M$5001,"&lt;&gt;")=0,"",SUMIFS(BD!$M$3:$M$5001,BD!$B$3:$B$5001,F$89,BD!$A$3:$A$5001,_xlfn.MAXIFS(BD!$A$3:$A$5001,BD!$B$3:$B$5001,F$89,BD!$A$3:$A$5001,"&gt;="&amp;$C$7,BD!$A$3:$A$5001,"&lt;="&amp;$D$7,BD!$M$3:$M$5001,"&lt;&gt;"))),"—"))</f>
        <v/>
      </c>
      <c r="G100" s="32" t="str">
        <f>IF(G$89="","",IF(Config!$N$40&lt;&gt;"Não",IF(COUNTIFS(BD!$B$3:$B$5001,G$89,BD!$A$3:$A$5001,"&gt;="&amp;$C$7,BD!$A$3:$A$5001,"&lt;="&amp;$D$7,BD!$M$3:$M$5001,"&lt;&gt;")=0,"",SUMIFS(BD!$M$3:$M$5001,BD!$B$3:$B$5001,G$89,BD!$A$3:$A$5001,_xlfn.MAXIFS(BD!$A$3:$A$5001,BD!$B$3:$B$5001,G$89,BD!$A$3:$A$5001,"&gt;="&amp;$C$7,BD!$A$3:$A$5001,"&lt;="&amp;$D$7,BD!$M$3:$M$5001,"&lt;&gt;"))),"—"))</f>
        <v/>
      </c>
      <c r="H100" s="32" t="str">
        <f>IF(H$89="","",IF(Config!$N$41&lt;&gt;"Não",IF(COUNTIFS(BD!$B$3:$B$5001,H$89,BD!$A$3:$A$5001,"&gt;="&amp;$C$7,BD!$A$3:$A$5001,"&lt;="&amp;$D$7,BD!$M$3:$M$5001,"&lt;&gt;")=0,"",SUMIFS(BD!$M$3:$M$5001,BD!$B$3:$B$5001,H$89,BD!$A$3:$A$5001,_xlfn.MAXIFS(BD!$A$3:$A$5001,BD!$B$3:$B$5001,H$89,BD!$A$3:$A$5001,"&gt;="&amp;$C$7,BD!$A$3:$A$5001,"&lt;="&amp;$D$7,BD!$M$3:$M$5001,"&lt;&gt;"))),"—"))</f>
        <v/>
      </c>
      <c r="I100" s="32" t="str">
        <f>IF(I$89="","",IF(Config!$N$42&lt;&gt;"Não",IF(COUNTIFS(BD!$B$3:$B$5001,I$89,BD!$A$3:$A$5001,"&gt;="&amp;$C$7,BD!$A$3:$A$5001,"&lt;="&amp;$D$7,BD!$M$3:$M$5001,"&lt;&gt;")=0,"",SUMIFS(BD!$M$3:$M$5001,BD!$B$3:$B$5001,I$89,BD!$A$3:$A$5001,_xlfn.MAXIFS(BD!$A$3:$A$5001,BD!$B$3:$B$5001,I$89,BD!$A$3:$A$5001,"&gt;="&amp;$C$7,BD!$A$3:$A$5001,"&lt;="&amp;$D$7,BD!$M$3:$M$5001,"&lt;&gt;"))),"—"))</f>
        <v/>
      </c>
      <c r="J100" s="32" t="str">
        <f>IF(J$89="","",IF(Config!$N$43&lt;&gt;"Não",IF(COUNTIFS(BD!$B$3:$B$5001,J$89,BD!$A$3:$A$5001,"&gt;="&amp;$C$7,BD!$A$3:$A$5001,"&lt;="&amp;$D$7,BD!$M$3:$M$5001,"&lt;&gt;")=0,"",SUMIFS(BD!$M$3:$M$5001,BD!$B$3:$B$5001,J$89,BD!$A$3:$A$5001,_xlfn.MAXIFS(BD!$A$3:$A$5001,BD!$B$3:$B$5001,J$89,BD!$A$3:$A$5001,"&gt;="&amp;$C$7,BD!$A$3:$A$5001,"&lt;="&amp;$D$7,BD!$M$3:$M$5001,"&lt;&gt;"))),"—"))</f>
        <v/>
      </c>
      <c r="K100" s="32" t="str">
        <f>IF(K$89="","",IF(Config!$N$44&lt;&gt;"Não",IF(COUNTIFS(BD!$B$3:$B$5001,K$89,BD!$A$3:$A$5001,"&gt;="&amp;$C$7,BD!$A$3:$A$5001,"&lt;="&amp;$D$7,BD!$M$3:$M$5001,"&lt;&gt;")=0,"",SUMIFS(BD!$M$3:$M$5001,BD!$B$3:$B$5001,K$89,BD!$A$3:$A$5001,_xlfn.MAXIFS(BD!$A$3:$A$5001,BD!$B$3:$B$5001,K$89,BD!$A$3:$A$5001,"&gt;="&amp;$C$7,BD!$A$3:$A$5001,"&lt;="&amp;$D$7,BD!$M$3:$M$5001,"&lt;&gt;"))),"—"))</f>
        <v/>
      </c>
      <c r="L100" s="32" t="str">
        <f>IF(L$89="","",IF(Config!$N$45&lt;&gt;"Não",IF(COUNTIFS(BD!$B$3:$B$5001,L$89,BD!$A$3:$A$5001,"&gt;="&amp;$C$7,BD!$A$3:$A$5001,"&lt;="&amp;$D$7,BD!$M$3:$M$5001,"&lt;&gt;")=0,"",SUMIFS(BD!$M$3:$M$5001,BD!$B$3:$B$5001,L$89,BD!$A$3:$A$5001,_xlfn.MAXIFS(BD!$A$3:$A$5001,BD!$B$3:$B$5001,L$89,BD!$A$3:$A$5001,"&gt;="&amp;$C$7,BD!$A$3:$A$5001,"&lt;="&amp;$D$7,BD!$M$3:$M$5001,"&lt;&gt;"))),"—"))</f>
        <v/>
      </c>
      <c r="M100" s="32" t="str">
        <f>IF(M$89="","",IF(Config!$N$46&lt;&gt;"Não",IF(COUNTIFS(BD!$B$3:$B$5001,M$89,BD!$A$3:$A$5001,"&gt;="&amp;$C$7,BD!$A$3:$A$5001,"&lt;="&amp;$D$7,BD!$M$3:$M$5001,"&lt;&gt;")=0,"",SUMIFS(BD!$M$3:$M$5001,BD!$B$3:$B$5001,M$89,BD!$A$3:$A$5001,_xlfn.MAXIFS(BD!$A$3:$A$5001,BD!$B$3:$B$5001,M$89,BD!$A$3:$A$5001,"&gt;="&amp;$C$7,BD!$A$3:$A$5001,"&lt;="&amp;$D$7,BD!$M$3:$M$5001,"&lt;&gt;"))),"—"))</f>
        <v/>
      </c>
      <c r="N100" s="32" t="str">
        <f>IF(N$89="","",IF(Config!$N$47&lt;&gt;"Não",IF(COUNTIFS(BD!$B$3:$B$5001,N$89,BD!$A$3:$A$5001,"&gt;="&amp;$C$7,BD!$A$3:$A$5001,"&lt;="&amp;$D$7,BD!$M$3:$M$5001,"&lt;&gt;")=0,"",SUMIFS(BD!$M$3:$M$5001,BD!$B$3:$B$5001,N$89,BD!$A$3:$A$5001,_xlfn.MAXIFS(BD!$A$3:$A$5001,BD!$B$3:$B$5001,N$89,BD!$A$3:$A$5001,"&gt;="&amp;$C$7,BD!$A$3:$A$5001,"&lt;="&amp;$D$7,BD!$M$3:$M$5001,"&lt;&gt;"))),"—"))</f>
        <v/>
      </c>
      <c r="O100" s="32" t="str">
        <f>IF(O$89="","",IF(Config!$N$48&lt;&gt;"Não",IF(COUNTIFS(BD!$B$3:$B$5001,O$89,BD!$A$3:$A$5001,"&gt;="&amp;$C$7,BD!$A$3:$A$5001,"&lt;="&amp;$D$7,BD!$M$3:$M$5001,"&lt;&gt;")=0,"",SUMIFS(BD!$M$3:$M$5001,BD!$B$3:$B$5001,O$89,BD!$A$3:$A$5001,_xlfn.MAXIFS(BD!$A$3:$A$5001,BD!$B$3:$B$5001,O$89,BD!$A$3:$A$5001,"&gt;="&amp;$C$7,BD!$A$3:$A$5001,"&lt;="&amp;$D$7,BD!$M$3:$M$5001,"&lt;&gt;"))),"—"))</f>
        <v/>
      </c>
      <c r="P100" s="32" t="str">
        <f>IF(P$89="","",IF(Config!$N$49&lt;&gt;"Não",IF(COUNTIFS(BD!$B$3:$B$5001,P$89,BD!$A$3:$A$5001,"&gt;="&amp;$C$7,BD!$A$3:$A$5001,"&lt;="&amp;$D$7,BD!$M$3:$M$5001,"&lt;&gt;")=0,"",SUMIFS(BD!$M$3:$M$5001,BD!$B$3:$B$5001,P$89,BD!$A$3:$A$5001,_xlfn.MAXIFS(BD!$A$3:$A$5001,BD!$B$3:$B$5001,P$89,BD!$A$3:$A$5001,"&gt;="&amp;$C$7,BD!$A$3:$A$5001,"&lt;="&amp;$D$7,BD!$M$3:$M$5001,"&lt;&gt;"))),"—"))</f>
        <v/>
      </c>
      <c r="Q100" s="32" t="str">
        <f>IF(Q$89="","",IF(Config!$N$50&lt;&gt;"Não",IF(COUNTIFS(BD!$B$3:$B$5001,Q$89,BD!$A$3:$A$5001,"&gt;="&amp;$C$7,BD!$A$3:$A$5001,"&lt;="&amp;$D$7,BD!$M$3:$M$5001,"&lt;&gt;")=0,"",SUMIFS(BD!$M$3:$M$5001,BD!$B$3:$B$5001,Q$89,BD!$A$3:$A$5001,_xlfn.MAXIFS(BD!$A$3:$A$5001,BD!$B$3:$B$5001,Q$89,BD!$A$3:$A$5001,"&gt;="&amp;$C$7,BD!$A$3:$A$5001,"&lt;="&amp;$D$7,BD!$M$3:$M$5001,"&lt;&gt;"))),"—"))</f>
        <v/>
      </c>
      <c r="R100" s="32" t="str">
        <f>IF(R$89="","",IF(Config!$N$51&lt;&gt;"Não",IF(COUNTIFS(BD!$B$3:$B$5001,R$89,BD!$A$3:$A$5001,"&gt;="&amp;$C$7,BD!$A$3:$A$5001,"&lt;="&amp;$D$7,BD!$M$3:$M$5001,"&lt;&gt;")=0,"",SUMIFS(BD!$M$3:$M$5001,BD!$B$3:$B$5001,R$89,BD!$A$3:$A$5001,_xlfn.MAXIFS(BD!$A$3:$A$5001,BD!$B$3:$B$5001,R$89,BD!$A$3:$A$5001,"&gt;="&amp;$C$7,BD!$A$3:$A$5001,"&lt;="&amp;$D$7,BD!$M$3:$M$5001,"&lt;&gt;"))),"—"))</f>
        <v/>
      </c>
      <c r="S100" s="32" t="str">
        <f>IF(S$89="","",IF(Config!$N$52&lt;&gt;"Não",IF(COUNTIFS(BD!$B$3:$B$5001,S$89,BD!$A$3:$A$5001,"&gt;="&amp;$C$7,BD!$A$3:$A$5001,"&lt;="&amp;$D$7,BD!$M$3:$M$5001,"&lt;&gt;")=0,"",SUMIFS(BD!$M$3:$M$5001,BD!$B$3:$B$5001,S$89,BD!$A$3:$A$5001,_xlfn.MAXIFS(BD!$A$3:$A$5001,BD!$B$3:$B$5001,S$89,BD!$A$3:$A$5001,"&gt;="&amp;$C$7,BD!$A$3:$A$5001,"&lt;="&amp;$D$7,BD!$M$3:$M$5001,"&lt;&gt;"))),"—"))</f>
        <v/>
      </c>
      <c r="T100" s="32" t="str">
        <f>IF(T$89="","",IF(Config!$N$53&lt;&gt;"Não",IF(COUNTIFS(BD!$B$3:$B$5001,T$89,BD!$A$3:$A$5001,"&gt;="&amp;$C$7,BD!$A$3:$A$5001,"&lt;="&amp;$D$7,BD!$M$3:$M$5001,"&lt;&gt;")=0,"",SUMIFS(BD!$M$3:$M$5001,BD!$B$3:$B$5001,T$89,BD!$A$3:$A$5001,_xlfn.MAXIFS(BD!$A$3:$A$5001,BD!$B$3:$B$5001,T$89,BD!$A$3:$A$5001,"&gt;="&amp;$C$7,BD!$A$3:$A$5001,"&lt;="&amp;$D$7,BD!$M$3:$M$5001,"&lt;&gt;"))),"—"))</f>
        <v/>
      </c>
      <c r="U100" s="32" t="str">
        <f>IF(U$89="","",IF(Config!$N$54&lt;&gt;"Não",IF(COUNTIFS(BD!$B$3:$B$5001,U$89,BD!$A$3:$A$5001,"&gt;="&amp;$C$7,BD!$A$3:$A$5001,"&lt;="&amp;$D$7,BD!$M$3:$M$5001,"&lt;&gt;")=0,"",SUMIFS(BD!$M$3:$M$5001,BD!$B$3:$B$5001,U$89,BD!$A$3:$A$5001,_xlfn.MAXIFS(BD!$A$3:$A$5001,BD!$B$3:$B$5001,U$89,BD!$A$3:$A$5001,"&gt;="&amp;$C$7,BD!$A$3:$A$5001,"&lt;="&amp;$D$7,BD!$M$3:$M$5001,"&lt;&gt;"))),"—"))</f>
        <v/>
      </c>
      <c r="V100" s="62">
        <f>SUM(B100:U100)</f>
        <v>0</v>
      </c>
    </row>
    <row r="101">
      <c r="A101" s="29" t="inlineStr">
        <is>
          <t xml:space="preserve">OCUPAÇÃO (P.P) · Taxa de Ocupação</t>
        </is>
      </c>
      <c r="B101" s="50" t="str">
        <f>IF(B$89="","",IF(AND(Config!$M$35&lt;&gt;"Não",Config!$N$35&lt;&gt;"Não"),IF(AND(ISNUMBER(B100),ISNUMBER(B99)),IF(B99&gt;0,B100/B99,""),""),"—"))</f>
        <v/>
      </c>
      <c r="C101" s="50" t="str">
        <f>IF(C$89="","",IF(AND(Config!$M$36&lt;&gt;"Não",Config!$N$36&lt;&gt;"Não"),IF(AND(ISNUMBER(C100),ISNUMBER(C99)),IF(C99&gt;0,C100/C99,""),""),"—"))</f>
        <v>—</v>
      </c>
      <c r="D101" s="50" t="str">
        <f>IF(D$89="","",IF(AND(Config!$M$37&lt;&gt;"Não",Config!$N$37&lt;&gt;"Não"),IF(AND(ISNUMBER(D100),ISNUMBER(D99)),IF(D99&gt;0,D100/D99,""),""),"—"))</f>
        <v>—</v>
      </c>
      <c r="E101" s="50" t="str">
        <f>IF(E$89="","",IF(AND(Config!$M$38&lt;&gt;"Não",Config!$N$38&lt;&gt;"Não"),IF(AND(ISNUMBER(E100),ISNUMBER(E99)),IF(E99&gt;0,E100/E99,""),""),"—"))</f>
        <v>—</v>
      </c>
      <c r="F101" s="50" t="str">
        <f>IF(F$89="","",IF(AND(Config!$M$39&lt;&gt;"Não",Config!$N$39&lt;&gt;"Não"),IF(AND(ISNUMBER(F100),ISNUMBER(F99)),IF(F99&gt;0,F100/F99,""),""),"—"))</f>
        <v/>
      </c>
      <c r="G101" s="50" t="str">
        <f>IF(G$89="","",IF(AND(Config!$M$40&lt;&gt;"Não",Config!$N$40&lt;&gt;"Não"),IF(AND(ISNUMBER(G100),ISNUMBER(G99)),IF(G99&gt;0,G100/G99,""),""),"—"))</f>
        <v/>
      </c>
      <c r="H101" s="50" t="str">
        <f>IF(H$89="","",IF(AND(Config!$M$41&lt;&gt;"Não",Config!$N$41&lt;&gt;"Não"),IF(AND(ISNUMBER(H100),ISNUMBER(H99)),IF(H99&gt;0,H100/H99,""),""),"—"))</f>
        <v/>
      </c>
      <c r="I101" s="50" t="str">
        <f>IF(I$89="","",IF(AND(Config!$M$42&lt;&gt;"Não",Config!$N$42&lt;&gt;"Não"),IF(AND(ISNUMBER(I100),ISNUMBER(I99)),IF(I99&gt;0,I100/I99,""),""),"—"))</f>
        <v/>
      </c>
      <c r="J101" s="50" t="str">
        <f>IF(J$89="","",IF(AND(Config!$M$43&lt;&gt;"Não",Config!$N$43&lt;&gt;"Não"),IF(AND(ISNUMBER(J100),ISNUMBER(J99)),IF(J99&gt;0,J100/J99,""),""),"—"))</f>
        <v/>
      </c>
      <c r="K101" s="50" t="str">
        <f>IF(K$89="","",IF(AND(Config!$M$44&lt;&gt;"Não",Config!$N$44&lt;&gt;"Não"),IF(AND(ISNUMBER(K100),ISNUMBER(K99)),IF(K99&gt;0,K100/K99,""),""),"—"))</f>
        <v/>
      </c>
      <c r="L101" s="50" t="str">
        <f>IF(L$89="","",IF(AND(Config!$M$45&lt;&gt;"Não",Config!$N$45&lt;&gt;"Não"),IF(AND(ISNUMBER(L100),ISNUMBER(L99)),IF(L99&gt;0,L100/L99,""),""),"—"))</f>
        <v/>
      </c>
      <c r="M101" s="50" t="str">
        <f>IF(M$89="","",IF(AND(Config!$M$46&lt;&gt;"Não",Config!$N$46&lt;&gt;"Não"),IF(AND(ISNUMBER(M100),ISNUMBER(M99)),IF(M99&gt;0,M100/M99,""),""),"—"))</f>
        <v/>
      </c>
      <c r="N101" s="50" t="str">
        <f>IF(N$89="","",IF(AND(Config!$M$47&lt;&gt;"Não",Config!$N$47&lt;&gt;"Não"),IF(AND(ISNUMBER(N100),ISNUMBER(N99)),IF(N99&gt;0,N100/N99,""),""),"—"))</f>
        <v/>
      </c>
      <c r="O101" s="50" t="str">
        <f>IF(O$89="","",IF(AND(Config!$M$48&lt;&gt;"Não",Config!$N$48&lt;&gt;"Não"),IF(AND(ISNUMBER(O100),ISNUMBER(O99)),IF(O99&gt;0,O100/O99,""),""),"—"))</f>
        <v/>
      </c>
      <c r="P101" s="50" t="str">
        <f>IF(P$89="","",IF(AND(Config!$M$49&lt;&gt;"Não",Config!$N$49&lt;&gt;"Não"),IF(AND(ISNUMBER(P100),ISNUMBER(P99)),IF(P99&gt;0,P100/P99,""),""),"—"))</f>
        <v/>
      </c>
      <c r="Q101" s="50" t="str">
        <f>IF(Q$89="","",IF(AND(Config!$M$50&lt;&gt;"Não",Config!$N$50&lt;&gt;"Não"),IF(AND(ISNUMBER(Q100),ISNUMBER(Q99)),IF(Q99&gt;0,Q100/Q99,""),""),"—"))</f>
        <v/>
      </c>
      <c r="R101" s="50" t="str">
        <f>IF(R$89="","",IF(AND(Config!$M$51&lt;&gt;"Não",Config!$N$51&lt;&gt;"Não"),IF(AND(ISNUMBER(R100),ISNUMBER(R99)),IF(R99&gt;0,R100/R99,""),""),"—"))</f>
        <v/>
      </c>
      <c r="S101" s="50" t="str">
        <f>IF(S$89="","",IF(AND(Config!$M$52&lt;&gt;"Não",Config!$N$52&lt;&gt;"Não"),IF(AND(ISNUMBER(S100),ISNUMBER(S99)),IF(S99&gt;0,S100/S99,""),""),"—"))</f>
        <v/>
      </c>
      <c r="T101" s="50" t="str">
        <f>IF(T$89="","",IF(AND(Config!$M$53&lt;&gt;"Não",Config!$N$53&lt;&gt;"Não"),IF(AND(ISNUMBER(T100),ISNUMBER(T99)),IF(T99&gt;0,T100/T99,""),""),"—"))</f>
        <v/>
      </c>
      <c r="U101" s="50" t="str">
        <f>IF(U$89="","",IF(AND(Config!$M$54&lt;&gt;"Não",Config!$N$54&lt;&gt;"Não"),IF(AND(ISNUMBER(U100),ISNUMBER(U99)),IF(U99&gt;0,U100/U99,""),""),"—"))</f>
        <v/>
      </c>
      <c r="V101" s="64">
        <f>IFERROR(V100/V99,"")</f>
        <v>0</v>
      </c>
    </row>
    <row r="102">
      <c r="A102" s="29" t="inlineStr">
        <is>
          <t xml:space="preserve">GENTE · Efetivo Op.</t>
        </is>
      </c>
      <c r="B102" s="32" t="str">
        <f>IF(B$89="","",IF(Config!$O$35&lt;&gt;"Não",IF(COUNTIFS(BD!$B$3:$B$5001,B$89,BD!$A$3:$A$5001,"&gt;="&amp;$C$7,BD!$A$3:$A$5001,"&lt;="&amp;$D$7,BD!$N$3:$N$5001,"&lt;&gt;")=0,"",SUMIFS(BD!$N$3:$N$5001,BD!$B$3:$B$5001,B$89,BD!$A$3:$A$5001,_xlfn.MAXIFS(BD!$A$3:$A$5001,BD!$B$3:$B$5001,B$89,BD!$A$3:$A$5001,"&gt;="&amp;$C$7,BD!$A$3:$A$5001,"&lt;="&amp;$D$7,BD!$N$3:$N$5001,"&lt;&gt;"))),"—"))</f>
        <v/>
      </c>
      <c r="C102" s="32" t="str">
        <f>IF(C$89="","",IF(Config!$O$36&lt;&gt;"Não",IF(COUNTIFS(BD!$B$3:$B$5001,C$89,BD!$A$3:$A$5001,"&gt;="&amp;$C$7,BD!$A$3:$A$5001,"&lt;="&amp;$D$7,BD!$N$3:$N$5001,"&lt;&gt;")=0,"",SUMIFS(BD!$N$3:$N$5001,BD!$B$3:$B$5001,C$89,BD!$A$3:$A$5001,_xlfn.MAXIFS(BD!$A$3:$A$5001,BD!$B$3:$B$5001,C$89,BD!$A$3:$A$5001,"&gt;="&amp;$C$7,BD!$A$3:$A$5001,"&lt;="&amp;$D$7,BD!$N$3:$N$5001,"&lt;&gt;"))),"—"))</f>
        <v/>
      </c>
      <c r="D102" s="32" t="str">
        <f>IF(D$89="","",IF(Config!$O$37&lt;&gt;"Não",IF(COUNTIFS(BD!$B$3:$B$5001,D$89,BD!$A$3:$A$5001,"&gt;="&amp;$C$7,BD!$A$3:$A$5001,"&lt;="&amp;$D$7,BD!$N$3:$N$5001,"&lt;&gt;")=0,"",SUMIFS(BD!$N$3:$N$5001,BD!$B$3:$B$5001,D$89,BD!$A$3:$A$5001,_xlfn.MAXIFS(BD!$A$3:$A$5001,BD!$B$3:$B$5001,D$89,BD!$A$3:$A$5001,"&gt;="&amp;$C$7,BD!$A$3:$A$5001,"&lt;="&amp;$D$7,BD!$N$3:$N$5001,"&lt;&gt;"))),"—"))</f>
        <v/>
      </c>
      <c r="E102" s="32" t="str">
        <f>IF(E$89="","",IF(Config!$O$38&lt;&gt;"Não",IF(COUNTIFS(BD!$B$3:$B$5001,E$89,BD!$A$3:$A$5001,"&gt;="&amp;$C$7,BD!$A$3:$A$5001,"&lt;="&amp;$D$7,BD!$N$3:$N$5001,"&lt;&gt;")=0,"",SUMIFS(BD!$N$3:$N$5001,BD!$B$3:$B$5001,E$89,BD!$A$3:$A$5001,_xlfn.MAXIFS(BD!$A$3:$A$5001,BD!$B$3:$B$5001,E$89,BD!$A$3:$A$5001,"&gt;="&amp;$C$7,BD!$A$3:$A$5001,"&lt;="&amp;$D$7,BD!$N$3:$N$5001,"&lt;&gt;"))),"—"))</f>
        <v/>
      </c>
      <c r="F102" s="32" t="str">
        <f>IF(F$89="","",IF(Config!$O$39&lt;&gt;"Não",IF(COUNTIFS(BD!$B$3:$B$5001,F$89,BD!$A$3:$A$5001,"&gt;="&amp;$C$7,BD!$A$3:$A$5001,"&lt;="&amp;$D$7,BD!$N$3:$N$5001,"&lt;&gt;")=0,"",SUMIFS(BD!$N$3:$N$5001,BD!$B$3:$B$5001,F$89,BD!$A$3:$A$5001,_xlfn.MAXIFS(BD!$A$3:$A$5001,BD!$B$3:$B$5001,F$89,BD!$A$3:$A$5001,"&gt;="&amp;$C$7,BD!$A$3:$A$5001,"&lt;="&amp;$D$7,BD!$N$3:$N$5001,"&lt;&gt;"))),"—"))</f>
        <v/>
      </c>
      <c r="G102" s="32" t="str">
        <f>IF(G$89="","",IF(Config!$O$40&lt;&gt;"Não",IF(COUNTIFS(BD!$B$3:$B$5001,G$89,BD!$A$3:$A$5001,"&gt;="&amp;$C$7,BD!$A$3:$A$5001,"&lt;="&amp;$D$7,BD!$N$3:$N$5001,"&lt;&gt;")=0,"",SUMIFS(BD!$N$3:$N$5001,BD!$B$3:$B$5001,G$89,BD!$A$3:$A$5001,_xlfn.MAXIFS(BD!$A$3:$A$5001,BD!$B$3:$B$5001,G$89,BD!$A$3:$A$5001,"&gt;="&amp;$C$7,BD!$A$3:$A$5001,"&lt;="&amp;$D$7,BD!$N$3:$N$5001,"&lt;&gt;"))),"—"))</f>
        <v/>
      </c>
      <c r="H102" s="32" t="str">
        <f>IF(H$89="","",IF(Config!$O$41&lt;&gt;"Não",IF(COUNTIFS(BD!$B$3:$B$5001,H$89,BD!$A$3:$A$5001,"&gt;="&amp;$C$7,BD!$A$3:$A$5001,"&lt;="&amp;$D$7,BD!$N$3:$N$5001,"&lt;&gt;")=0,"",SUMIFS(BD!$N$3:$N$5001,BD!$B$3:$B$5001,H$89,BD!$A$3:$A$5001,_xlfn.MAXIFS(BD!$A$3:$A$5001,BD!$B$3:$B$5001,H$89,BD!$A$3:$A$5001,"&gt;="&amp;$C$7,BD!$A$3:$A$5001,"&lt;="&amp;$D$7,BD!$N$3:$N$5001,"&lt;&gt;"))),"—"))</f>
        <v/>
      </c>
      <c r="I102" s="32" t="str">
        <f>IF(I$89="","",IF(Config!$O$42&lt;&gt;"Não",IF(COUNTIFS(BD!$B$3:$B$5001,I$89,BD!$A$3:$A$5001,"&gt;="&amp;$C$7,BD!$A$3:$A$5001,"&lt;="&amp;$D$7,BD!$N$3:$N$5001,"&lt;&gt;")=0,"",SUMIFS(BD!$N$3:$N$5001,BD!$B$3:$B$5001,I$89,BD!$A$3:$A$5001,_xlfn.MAXIFS(BD!$A$3:$A$5001,BD!$B$3:$B$5001,I$89,BD!$A$3:$A$5001,"&gt;="&amp;$C$7,BD!$A$3:$A$5001,"&lt;="&amp;$D$7,BD!$N$3:$N$5001,"&lt;&gt;"))),"—"))</f>
        <v/>
      </c>
      <c r="J102" s="32" t="str">
        <f>IF(J$89="","",IF(Config!$O$43&lt;&gt;"Não",IF(COUNTIFS(BD!$B$3:$B$5001,J$89,BD!$A$3:$A$5001,"&gt;="&amp;$C$7,BD!$A$3:$A$5001,"&lt;="&amp;$D$7,BD!$N$3:$N$5001,"&lt;&gt;")=0,"",SUMIFS(BD!$N$3:$N$5001,BD!$B$3:$B$5001,J$89,BD!$A$3:$A$5001,_xlfn.MAXIFS(BD!$A$3:$A$5001,BD!$B$3:$B$5001,J$89,BD!$A$3:$A$5001,"&gt;="&amp;$C$7,BD!$A$3:$A$5001,"&lt;="&amp;$D$7,BD!$N$3:$N$5001,"&lt;&gt;"))),"—"))</f>
        <v/>
      </c>
      <c r="K102" s="32" t="str">
        <f>IF(K$89="","",IF(Config!$O$44&lt;&gt;"Não",IF(COUNTIFS(BD!$B$3:$B$5001,K$89,BD!$A$3:$A$5001,"&gt;="&amp;$C$7,BD!$A$3:$A$5001,"&lt;="&amp;$D$7,BD!$N$3:$N$5001,"&lt;&gt;")=0,"",SUMIFS(BD!$N$3:$N$5001,BD!$B$3:$B$5001,K$89,BD!$A$3:$A$5001,_xlfn.MAXIFS(BD!$A$3:$A$5001,BD!$B$3:$B$5001,K$89,BD!$A$3:$A$5001,"&gt;="&amp;$C$7,BD!$A$3:$A$5001,"&lt;="&amp;$D$7,BD!$N$3:$N$5001,"&lt;&gt;"))),"—"))</f>
        <v/>
      </c>
      <c r="L102" s="32" t="str">
        <f>IF(L$89="","",IF(Config!$O$45&lt;&gt;"Não",IF(COUNTIFS(BD!$B$3:$B$5001,L$89,BD!$A$3:$A$5001,"&gt;="&amp;$C$7,BD!$A$3:$A$5001,"&lt;="&amp;$D$7,BD!$N$3:$N$5001,"&lt;&gt;")=0,"",SUMIFS(BD!$N$3:$N$5001,BD!$B$3:$B$5001,L$89,BD!$A$3:$A$5001,_xlfn.MAXIFS(BD!$A$3:$A$5001,BD!$B$3:$B$5001,L$89,BD!$A$3:$A$5001,"&gt;="&amp;$C$7,BD!$A$3:$A$5001,"&lt;="&amp;$D$7,BD!$N$3:$N$5001,"&lt;&gt;"))),"—"))</f>
        <v/>
      </c>
      <c r="M102" s="32" t="str">
        <f>IF(M$89="","",IF(Config!$O$46&lt;&gt;"Não",IF(COUNTIFS(BD!$B$3:$B$5001,M$89,BD!$A$3:$A$5001,"&gt;="&amp;$C$7,BD!$A$3:$A$5001,"&lt;="&amp;$D$7,BD!$N$3:$N$5001,"&lt;&gt;")=0,"",SUMIFS(BD!$N$3:$N$5001,BD!$B$3:$B$5001,M$89,BD!$A$3:$A$5001,_xlfn.MAXIFS(BD!$A$3:$A$5001,BD!$B$3:$B$5001,M$89,BD!$A$3:$A$5001,"&gt;="&amp;$C$7,BD!$A$3:$A$5001,"&lt;="&amp;$D$7,BD!$N$3:$N$5001,"&lt;&gt;"))),"—"))</f>
        <v/>
      </c>
      <c r="N102" s="32" t="str">
        <f>IF(N$89="","",IF(Config!$O$47&lt;&gt;"Não",IF(COUNTIFS(BD!$B$3:$B$5001,N$89,BD!$A$3:$A$5001,"&gt;="&amp;$C$7,BD!$A$3:$A$5001,"&lt;="&amp;$D$7,BD!$N$3:$N$5001,"&lt;&gt;")=0,"",SUMIFS(BD!$N$3:$N$5001,BD!$B$3:$B$5001,N$89,BD!$A$3:$A$5001,_xlfn.MAXIFS(BD!$A$3:$A$5001,BD!$B$3:$B$5001,N$89,BD!$A$3:$A$5001,"&gt;="&amp;$C$7,BD!$A$3:$A$5001,"&lt;="&amp;$D$7,BD!$N$3:$N$5001,"&lt;&gt;"))),"—"))</f>
        <v/>
      </c>
      <c r="O102" s="32" t="str">
        <f>IF(O$89="","",IF(Config!$O$48&lt;&gt;"Não",IF(COUNTIFS(BD!$B$3:$B$5001,O$89,BD!$A$3:$A$5001,"&gt;="&amp;$C$7,BD!$A$3:$A$5001,"&lt;="&amp;$D$7,BD!$N$3:$N$5001,"&lt;&gt;")=0,"",SUMIFS(BD!$N$3:$N$5001,BD!$B$3:$B$5001,O$89,BD!$A$3:$A$5001,_xlfn.MAXIFS(BD!$A$3:$A$5001,BD!$B$3:$B$5001,O$89,BD!$A$3:$A$5001,"&gt;="&amp;$C$7,BD!$A$3:$A$5001,"&lt;="&amp;$D$7,BD!$N$3:$N$5001,"&lt;&gt;"))),"—"))</f>
        <v/>
      </c>
      <c r="P102" s="32" t="str">
        <f>IF(P$89="","",IF(Config!$O$49&lt;&gt;"Não",IF(COUNTIFS(BD!$B$3:$B$5001,P$89,BD!$A$3:$A$5001,"&gt;="&amp;$C$7,BD!$A$3:$A$5001,"&lt;="&amp;$D$7,BD!$N$3:$N$5001,"&lt;&gt;")=0,"",SUMIFS(BD!$N$3:$N$5001,BD!$B$3:$B$5001,P$89,BD!$A$3:$A$5001,_xlfn.MAXIFS(BD!$A$3:$A$5001,BD!$B$3:$B$5001,P$89,BD!$A$3:$A$5001,"&gt;="&amp;$C$7,BD!$A$3:$A$5001,"&lt;="&amp;$D$7,BD!$N$3:$N$5001,"&lt;&gt;"))),"—"))</f>
        <v/>
      </c>
      <c r="Q102" s="32" t="str">
        <f>IF(Q$89="","",IF(Config!$O$50&lt;&gt;"Não",IF(COUNTIFS(BD!$B$3:$B$5001,Q$89,BD!$A$3:$A$5001,"&gt;="&amp;$C$7,BD!$A$3:$A$5001,"&lt;="&amp;$D$7,BD!$N$3:$N$5001,"&lt;&gt;")=0,"",SUMIFS(BD!$N$3:$N$5001,BD!$B$3:$B$5001,Q$89,BD!$A$3:$A$5001,_xlfn.MAXIFS(BD!$A$3:$A$5001,BD!$B$3:$B$5001,Q$89,BD!$A$3:$A$5001,"&gt;="&amp;$C$7,BD!$A$3:$A$5001,"&lt;="&amp;$D$7,BD!$N$3:$N$5001,"&lt;&gt;"))),"—"))</f>
        <v/>
      </c>
      <c r="R102" s="32" t="str">
        <f>IF(R$89="","",IF(Config!$O$51&lt;&gt;"Não",IF(COUNTIFS(BD!$B$3:$B$5001,R$89,BD!$A$3:$A$5001,"&gt;="&amp;$C$7,BD!$A$3:$A$5001,"&lt;="&amp;$D$7,BD!$N$3:$N$5001,"&lt;&gt;")=0,"",SUMIFS(BD!$N$3:$N$5001,BD!$B$3:$B$5001,R$89,BD!$A$3:$A$5001,_xlfn.MAXIFS(BD!$A$3:$A$5001,BD!$B$3:$B$5001,R$89,BD!$A$3:$A$5001,"&gt;="&amp;$C$7,BD!$A$3:$A$5001,"&lt;="&amp;$D$7,BD!$N$3:$N$5001,"&lt;&gt;"))),"—"))</f>
        <v/>
      </c>
      <c r="S102" s="32" t="str">
        <f>IF(S$89="","",IF(Config!$O$52&lt;&gt;"Não",IF(COUNTIFS(BD!$B$3:$B$5001,S$89,BD!$A$3:$A$5001,"&gt;="&amp;$C$7,BD!$A$3:$A$5001,"&lt;="&amp;$D$7,BD!$N$3:$N$5001,"&lt;&gt;")=0,"",SUMIFS(BD!$N$3:$N$5001,BD!$B$3:$B$5001,S$89,BD!$A$3:$A$5001,_xlfn.MAXIFS(BD!$A$3:$A$5001,BD!$B$3:$B$5001,S$89,BD!$A$3:$A$5001,"&gt;="&amp;$C$7,BD!$A$3:$A$5001,"&lt;="&amp;$D$7,BD!$N$3:$N$5001,"&lt;&gt;"))),"—"))</f>
        <v/>
      </c>
      <c r="T102" s="32" t="str">
        <f>IF(T$89="","",IF(Config!$O$53&lt;&gt;"Não",IF(COUNTIFS(BD!$B$3:$B$5001,T$89,BD!$A$3:$A$5001,"&gt;="&amp;$C$7,BD!$A$3:$A$5001,"&lt;="&amp;$D$7,BD!$N$3:$N$5001,"&lt;&gt;")=0,"",SUMIFS(BD!$N$3:$N$5001,BD!$B$3:$B$5001,T$89,BD!$A$3:$A$5001,_xlfn.MAXIFS(BD!$A$3:$A$5001,BD!$B$3:$B$5001,T$89,BD!$A$3:$A$5001,"&gt;="&amp;$C$7,BD!$A$3:$A$5001,"&lt;="&amp;$D$7,BD!$N$3:$N$5001,"&lt;&gt;"))),"—"))</f>
        <v/>
      </c>
      <c r="U102" s="32" t="str">
        <f>IF(U$89="","",IF(Config!$O$54&lt;&gt;"Não",IF(COUNTIFS(BD!$B$3:$B$5001,U$89,BD!$A$3:$A$5001,"&gt;="&amp;$C$7,BD!$A$3:$A$5001,"&lt;="&amp;$D$7,BD!$N$3:$N$5001,"&lt;&gt;")=0,"",SUMIFS(BD!$N$3:$N$5001,BD!$B$3:$B$5001,U$89,BD!$A$3:$A$5001,_xlfn.MAXIFS(BD!$A$3:$A$5001,BD!$B$3:$B$5001,U$89,BD!$A$3:$A$5001,"&gt;="&amp;$C$7,BD!$A$3:$A$5001,"&lt;="&amp;$D$7,BD!$N$3:$N$5001,"&lt;&gt;"))),"—"))</f>
        <v/>
      </c>
      <c r="V102" s="62">
        <f>SUM(B102:U102)</f>
        <v>0</v>
      </c>
    </row>
    <row r="103">
      <c r="A103" s="29" t="inlineStr">
        <is>
          <t xml:space="preserve">GENTE · Falta</t>
        </is>
      </c>
      <c r="B103" s="32">
        <f>IF(B$89="","",IF(Config!$P$35&lt;&gt;"Não",SUMIFS(BD!$O$3:$O$5001,BD!$B$3:$B$5001,B$89,BD!$A$3:$A$5001,"&gt;="&amp;$C$7,BD!$A$3:$A$5001,"&lt;="&amp;$D$7),"—"))</f>
        <v>0</v>
      </c>
      <c r="C103" s="32">
        <f>IF(C$89="","",IF(Config!$P$36&lt;&gt;"Não",SUMIFS(BD!$O$3:$O$5001,BD!$B$3:$B$5001,C$89,BD!$A$3:$A$5001,"&gt;="&amp;$C$7,BD!$A$3:$A$5001,"&lt;="&amp;$D$7),"—"))</f>
        <v>0</v>
      </c>
      <c r="D103" s="32">
        <f>IF(D$89="","",IF(Config!$P$37&lt;&gt;"Não",SUMIFS(BD!$O$3:$O$5001,BD!$B$3:$B$5001,D$89,BD!$A$3:$A$5001,"&gt;="&amp;$C$7,BD!$A$3:$A$5001,"&lt;="&amp;$D$7),"—"))</f>
        <v>0</v>
      </c>
      <c r="E103" s="32">
        <f>IF(E$89="","",IF(Config!$P$38&lt;&gt;"Não",SUMIFS(BD!$O$3:$O$5001,BD!$B$3:$B$5001,E$89,BD!$A$3:$A$5001,"&gt;="&amp;$C$7,BD!$A$3:$A$5001,"&lt;="&amp;$D$7),"—"))</f>
        <v>0</v>
      </c>
      <c r="F103" s="32">
        <f>IF(F$89="","",IF(Config!$P$39&lt;&gt;"Não",SUMIFS(BD!$O$3:$O$5001,BD!$B$3:$B$5001,F$89,BD!$A$3:$A$5001,"&gt;="&amp;$C$7,BD!$A$3:$A$5001,"&lt;="&amp;$D$7),"—"))</f>
        <v>0</v>
      </c>
      <c r="G103" s="32" t="str">
        <f>IF(G$89="","",IF(Config!$P$40&lt;&gt;"Não",SUMIFS(BD!$O$3:$O$5001,BD!$B$3:$B$5001,G$89,BD!$A$3:$A$5001,"&gt;="&amp;$C$7,BD!$A$3:$A$5001,"&lt;="&amp;$D$7),"—"))</f>
        <v/>
      </c>
      <c r="H103" s="32" t="str">
        <f>IF(H$89="","",IF(Config!$P$41&lt;&gt;"Não",SUMIFS(BD!$O$3:$O$5001,BD!$B$3:$B$5001,H$89,BD!$A$3:$A$5001,"&gt;="&amp;$C$7,BD!$A$3:$A$5001,"&lt;="&amp;$D$7),"—"))</f>
        <v/>
      </c>
      <c r="I103" s="32" t="str">
        <f>IF(I$89="","",IF(Config!$P$42&lt;&gt;"Não",SUMIFS(BD!$O$3:$O$5001,BD!$B$3:$B$5001,I$89,BD!$A$3:$A$5001,"&gt;="&amp;$C$7,BD!$A$3:$A$5001,"&lt;="&amp;$D$7),"—"))</f>
        <v/>
      </c>
      <c r="J103" s="32" t="str">
        <f>IF(J$89="","",IF(Config!$P$43&lt;&gt;"Não",SUMIFS(BD!$O$3:$O$5001,BD!$B$3:$B$5001,J$89,BD!$A$3:$A$5001,"&gt;="&amp;$C$7,BD!$A$3:$A$5001,"&lt;="&amp;$D$7),"—"))</f>
        <v/>
      </c>
      <c r="K103" s="32" t="str">
        <f>IF(K$89="","",IF(Config!$P$44&lt;&gt;"Não",SUMIFS(BD!$O$3:$O$5001,BD!$B$3:$B$5001,K$89,BD!$A$3:$A$5001,"&gt;="&amp;$C$7,BD!$A$3:$A$5001,"&lt;="&amp;$D$7),"—"))</f>
        <v/>
      </c>
      <c r="L103" s="32" t="str">
        <f>IF(L$89="","",IF(Config!$P$45&lt;&gt;"Não",SUMIFS(BD!$O$3:$O$5001,BD!$B$3:$B$5001,L$89,BD!$A$3:$A$5001,"&gt;="&amp;$C$7,BD!$A$3:$A$5001,"&lt;="&amp;$D$7),"—"))</f>
        <v/>
      </c>
      <c r="M103" s="32" t="str">
        <f>IF(M$89="","",IF(Config!$P$46&lt;&gt;"Não",SUMIFS(BD!$O$3:$O$5001,BD!$B$3:$B$5001,M$89,BD!$A$3:$A$5001,"&gt;="&amp;$C$7,BD!$A$3:$A$5001,"&lt;="&amp;$D$7),"—"))</f>
        <v/>
      </c>
      <c r="N103" s="32" t="str">
        <f>IF(N$89="","",IF(Config!$P$47&lt;&gt;"Não",SUMIFS(BD!$O$3:$O$5001,BD!$B$3:$B$5001,N$89,BD!$A$3:$A$5001,"&gt;="&amp;$C$7,BD!$A$3:$A$5001,"&lt;="&amp;$D$7),"—"))</f>
        <v/>
      </c>
      <c r="O103" s="32" t="str">
        <f>IF(O$89="","",IF(Config!$P$48&lt;&gt;"Não",SUMIFS(BD!$O$3:$O$5001,BD!$B$3:$B$5001,O$89,BD!$A$3:$A$5001,"&gt;="&amp;$C$7,BD!$A$3:$A$5001,"&lt;="&amp;$D$7),"—"))</f>
        <v/>
      </c>
      <c r="P103" s="32" t="str">
        <f>IF(P$89="","",IF(Config!$P$49&lt;&gt;"Não",SUMIFS(BD!$O$3:$O$5001,BD!$B$3:$B$5001,P$89,BD!$A$3:$A$5001,"&gt;="&amp;$C$7,BD!$A$3:$A$5001,"&lt;="&amp;$D$7),"—"))</f>
        <v/>
      </c>
      <c r="Q103" s="32" t="str">
        <f>IF(Q$89="","",IF(Config!$P$50&lt;&gt;"Não",SUMIFS(BD!$O$3:$O$5001,BD!$B$3:$B$5001,Q$89,BD!$A$3:$A$5001,"&gt;="&amp;$C$7,BD!$A$3:$A$5001,"&lt;="&amp;$D$7),"—"))</f>
        <v/>
      </c>
      <c r="R103" s="32" t="str">
        <f>IF(R$89="","",IF(Config!$P$51&lt;&gt;"Não",SUMIFS(BD!$O$3:$O$5001,BD!$B$3:$B$5001,R$89,BD!$A$3:$A$5001,"&gt;="&amp;$C$7,BD!$A$3:$A$5001,"&lt;="&amp;$D$7),"—"))</f>
        <v/>
      </c>
      <c r="S103" s="32" t="str">
        <f>IF(S$89="","",IF(Config!$P$52&lt;&gt;"Não",SUMIFS(BD!$O$3:$O$5001,BD!$B$3:$B$5001,S$89,BD!$A$3:$A$5001,"&gt;="&amp;$C$7,BD!$A$3:$A$5001,"&lt;="&amp;$D$7),"—"))</f>
        <v/>
      </c>
      <c r="T103" s="32" t="str">
        <f>IF(T$89="","",IF(Config!$P$53&lt;&gt;"Não",SUMIFS(BD!$O$3:$O$5001,BD!$B$3:$B$5001,T$89,BD!$A$3:$A$5001,"&gt;="&amp;$C$7,BD!$A$3:$A$5001,"&lt;="&amp;$D$7),"—"))</f>
        <v/>
      </c>
      <c r="U103" s="32" t="str">
        <f>IF(U$89="","",IF(Config!$P$54&lt;&gt;"Não",SUMIFS(BD!$O$3:$O$5001,BD!$B$3:$B$5001,U$89,BD!$A$3:$A$5001,"&gt;="&amp;$C$7,BD!$A$3:$A$5001,"&lt;="&amp;$D$7),"—"))</f>
        <v/>
      </c>
      <c r="V103" s="62">
        <f>SUM(B103:U103)</f>
        <v>0</v>
      </c>
    </row>
    <row r="104">
      <c r="A104" s="29" t="inlineStr">
        <is>
          <t xml:space="preserve">GENTE · Folga</t>
        </is>
      </c>
      <c r="B104" s="32">
        <f>IF(B$89="","",IF(Config!$Q$35&lt;&gt;"Não",SUMIFS(BD!$P$3:$P$5001,BD!$B$3:$B$5001,B$89,BD!$A$3:$A$5001,"&gt;="&amp;$C$7,BD!$A$3:$A$5001,"&lt;="&amp;$D$7),"—"))</f>
        <v>0</v>
      </c>
      <c r="C104" s="32">
        <f>IF(C$89="","",IF(Config!$Q$36&lt;&gt;"Não",SUMIFS(BD!$P$3:$P$5001,BD!$B$3:$B$5001,C$89,BD!$A$3:$A$5001,"&gt;="&amp;$C$7,BD!$A$3:$A$5001,"&lt;="&amp;$D$7),"—"))</f>
        <v>0</v>
      </c>
      <c r="D104" s="32">
        <f>IF(D$89="","",IF(Config!$Q$37&lt;&gt;"Não",SUMIFS(BD!$P$3:$P$5001,BD!$B$3:$B$5001,D$89,BD!$A$3:$A$5001,"&gt;="&amp;$C$7,BD!$A$3:$A$5001,"&lt;="&amp;$D$7),"—"))</f>
        <v>0</v>
      </c>
      <c r="E104" s="32">
        <f>IF(E$89="","",IF(Config!$Q$38&lt;&gt;"Não",SUMIFS(BD!$P$3:$P$5001,BD!$B$3:$B$5001,E$89,BD!$A$3:$A$5001,"&gt;="&amp;$C$7,BD!$A$3:$A$5001,"&lt;="&amp;$D$7),"—"))</f>
        <v>0</v>
      </c>
      <c r="F104" s="32">
        <f>IF(F$89="","",IF(Config!$Q$39&lt;&gt;"Não",SUMIFS(BD!$P$3:$P$5001,BD!$B$3:$B$5001,F$89,BD!$A$3:$A$5001,"&gt;="&amp;$C$7,BD!$A$3:$A$5001,"&lt;="&amp;$D$7),"—"))</f>
        <v>0</v>
      </c>
      <c r="G104" s="32" t="str">
        <f>IF(G$89="","",IF(Config!$Q$40&lt;&gt;"Não",SUMIFS(BD!$P$3:$P$5001,BD!$B$3:$B$5001,G$89,BD!$A$3:$A$5001,"&gt;="&amp;$C$7,BD!$A$3:$A$5001,"&lt;="&amp;$D$7),"—"))</f>
        <v/>
      </c>
      <c r="H104" s="32" t="str">
        <f>IF(H$89="","",IF(Config!$Q$41&lt;&gt;"Não",SUMIFS(BD!$P$3:$P$5001,BD!$B$3:$B$5001,H$89,BD!$A$3:$A$5001,"&gt;="&amp;$C$7,BD!$A$3:$A$5001,"&lt;="&amp;$D$7),"—"))</f>
        <v/>
      </c>
      <c r="I104" s="32" t="str">
        <f>IF(I$89="","",IF(Config!$Q$42&lt;&gt;"Não",SUMIFS(BD!$P$3:$P$5001,BD!$B$3:$B$5001,I$89,BD!$A$3:$A$5001,"&gt;="&amp;$C$7,BD!$A$3:$A$5001,"&lt;="&amp;$D$7),"—"))</f>
        <v/>
      </c>
      <c r="J104" s="32" t="str">
        <f>IF(J$89="","",IF(Config!$Q$43&lt;&gt;"Não",SUMIFS(BD!$P$3:$P$5001,BD!$B$3:$B$5001,J$89,BD!$A$3:$A$5001,"&gt;="&amp;$C$7,BD!$A$3:$A$5001,"&lt;="&amp;$D$7),"—"))</f>
        <v/>
      </c>
      <c r="K104" s="32" t="str">
        <f>IF(K$89="","",IF(Config!$Q$44&lt;&gt;"Não",SUMIFS(BD!$P$3:$P$5001,BD!$B$3:$B$5001,K$89,BD!$A$3:$A$5001,"&gt;="&amp;$C$7,BD!$A$3:$A$5001,"&lt;="&amp;$D$7),"—"))</f>
        <v/>
      </c>
      <c r="L104" s="32" t="str">
        <f>IF(L$89="","",IF(Config!$Q$45&lt;&gt;"Não",SUMIFS(BD!$P$3:$P$5001,BD!$B$3:$B$5001,L$89,BD!$A$3:$A$5001,"&gt;="&amp;$C$7,BD!$A$3:$A$5001,"&lt;="&amp;$D$7),"—"))</f>
        <v/>
      </c>
      <c r="M104" s="32" t="str">
        <f>IF(M$89="","",IF(Config!$Q$46&lt;&gt;"Não",SUMIFS(BD!$P$3:$P$5001,BD!$B$3:$B$5001,M$89,BD!$A$3:$A$5001,"&gt;="&amp;$C$7,BD!$A$3:$A$5001,"&lt;="&amp;$D$7),"—"))</f>
        <v/>
      </c>
      <c r="N104" s="32" t="str">
        <f>IF(N$89="","",IF(Config!$Q$47&lt;&gt;"Não",SUMIFS(BD!$P$3:$P$5001,BD!$B$3:$B$5001,N$89,BD!$A$3:$A$5001,"&gt;="&amp;$C$7,BD!$A$3:$A$5001,"&lt;="&amp;$D$7),"—"))</f>
        <v/>
      </c>
      <c r="O104" s="32" t="str">
        <f>IF(O$89="","",IF(Config!$Q$48&lt;&gt;"Não",SUMIFS(BD!$P$3:$P$5001,BD!$B$3:$B$5001,O$89,BD!$A$3:$A$5001,"&gt;="&amp;$C$7,BD!$A$3:$A$5001,"&lt;="&amp;$D$7),"—"))</f>
        <v/>
      </c>
      <c r="P104" s="32" t="str">
        <f>IF(P$89="","",IF(Config!$Q$49&lt;&gt;"Não",SUMIFS(BD!$P$3:$P$5001,BD!$B$3:$B$5001,P$89,BD!$A$3:$A$5001,"&gt;="&amp;$C$7,BD!$A$3:$A$5001,"&lt;="&amp;$D$7),"—"))</f>
        <v/>
      </c>
      <c r="Q104" s="32" t="str">
        <f>IF(Q$89="","",IF(Config!$Q$50&lt;&gt;"Não",SUMIFS(BD!$P$3:$P$5001,BD!$B$3:$B$5001,Q$89,BD!$A$3:$A$5001,"&gt;="&amp;$C$7,BD!$A$3:$A$5001,"&lt;="&amp;$D$7),"—"))</f>
        <v/>
      </c>
      <c r="R104" s="32" t="str">
        <f>IF(R$89="","",IF(Config!$Q$51&lt;&gt;"Não",SUMIFS(BD!$P$3:$P$5001,BD!$B$3:$B$5001,R$89,BD!$A$3:$A$5001,"&gt;="&amp;$C$7,BD!$A$3:$A$5001,"&lt;="&amp;$D$7),"—"))</f>
        <v/>
      </c>
      <c r="S104" s="32" t="str">
        <f>IF(S$89="","",IF(Config!$Q$52&lt;&gt;"Não",SUMIFS(BD!$P$3:$P$5001,BD!$B$3:$B$5001,S$89,BD!$A$3:$A$5001,"&gt;="&amp;$C$7,BD!$A$3:$A$5001,"&lt;="&amp;$D$7),"—"))</f>
        <v/>
      </c>
      <c r="T104" s="32" t="str">
        <f>IF(T$89="","",IF(Config!$Q$53&lt;&gt;"Não",SUMIFS(BD!$P$3:$P$5001,BD!$B$3:$B$5001,T$89,BD!$A$3:$A$5001,"&gt;="&amp;$C$7,BD!$A$3:$A$5001,"&lt;="&amp;$D$7),"—"))</f>
        <v/>
      </c>
      <c r="U104" s="32" t="str">
        <f>IF(U$89="","",IF(Config!$Q$54&lt;&gt;"Não",SUMIFS(BD!$P$3:$P$5001,BD!$B$3:$B$5001,U$89,BD!$A$3:$A$5001,"&gt;="&amp;$C$7,BD!$A$3:$A$5001,"&lt;="&amp;$D$7),"—"))</f>
        <v/>
      </c>
      <c r="V104" s="62">
        <f>SUM(B104:U104)</f>
        <v>0</v>
      </c>
    </row>
    <row r="105">
      <c r="A105" s="29" t="inlineStr">
        <is>
          <t xml:space="preserve">GENTE · Férias</t>
        </is>
      </c>
      <c r="B105" s="32">
        <f>IF(B$89="","",IF(Config!$R$35&lt;&gt;"Não",SUMIFS(BD!$Q$3:$Q$5001,BD!$B$3:$B$5001,B$89,BD!$A$3:$A$5001,"&gt;="&amp;$C$7,BD!$A$3:$A$5001,"&lt;="&amp;$D$7),"—"))</f>
        <v>0</v>
      </c>
      <c r="C105" s="32">
        <f>IF(C$89="","",IF(Config!$R$36&lt;&gt;"Não",SUMIFS(BD!$Q$3:$Q$5001,BD!$B$3:$B$5001,C$89,BD!$A$3:$A$5001,"&gt;="&amp;$C$7,BD!$A$3:$A$5001,"&lt;="&amp;$D$7),"—"))</f>
        <v>0</v>
      </c>
      <c r="D105" s="32">
        <f>IF(D$89="","",IF(Config!$R$37&lt;&gt;"Não",SUMIFS(BD!$Q$3:$Q$5001,BD!$B$3:$B$5001,D$89,BD!$A$3:$A$5001,"&gt;="&amp;$C$7,BD!$A$3:$A$5001,"&lt;="&amp;$D$7),"—"))</f>
        <v>0</v>
      </c>
      <c r="E105" s="32">
        <f>IF(E$89="","",IF(Config!$R$38&lt;&gt;"Não",SUMIFS(BD!$Q$3:$Q$5001,BD!$B$3:$B$5001,E$89,BD!$A$3:$A$5001,"&gt;="&amp;$C$7,BD!$A$3:$A$5001,"&lt;="&amp;$D$7),"—"))</f>
        <v>0</v>
      </c>
      <c r="F105" s="32">
        <f>IF(F$89="","",IF(Config!$R$39&lt;&gt;"Não",SUMIFS(BD!$Q$3:$Q$5001,BD!$B$3:$B$5001,F$89,BD!$A$3:$A$5001,"&gt;="&amp;$C$7,BD!$A$3:$A$5001,"&lt;="&amp;$D$7),"—"))</f>
        <v>0</v>
      </c>
      <c r="G105" s="32" t="str">
        <f>IF(G$89="","",IF(Config!$R$40&lt;&gt;"Não",SUMIFS(BD!$Q$3:$Q$5001,BD!$B$3:$B$5001,G$89,BD!$A$3:$A$5001,"&gt;="&amp;$C$7,BD!$A$3:$A$5001,"&lt;="&amp;$D$7),"—"))</f>
        <v/>
      </c>
      <c r="H105" s="32" t="str">
        <f>IF(H$89="","",IF(Config!$R$41&lt;&gt;"Não",SUMIFS(BD!$Q$3:$Q$5001,BD!$B$3:$B$5001,H$89,BD!$A$3:$A$5001,"&gt;="&amp;$C$7,BD!$A$3:$A$5001,"&lt;="&amp;$D$7),"—"))</f>
        <v/>
      </c>
      <c r="I105" s="32" t="str">
        <f>IF(I$89="","",IF(Config!$R$42&lt;&gt;"Não",SUMIFS(BD!$Q$3:$Q$5001,BD!$B$3:$B$5001,I$89,BD!$A$3:$A$5001,"&gt;="&amp;$C$7,BD!$A$3:$A$5001,"&lt;="&amp;$D$7),"—"))</f>
        <v/>
      </c>
      <c r="J105" s="32" t="str">
        <f>IF(J$89="","",IF(Config!$R$43&lt;&gt;"Não",SUMIFS(BD!$Q$3:$Q$5001,BD!$B$3:$B$5001,J$89,BD!$A$3:$A$5001,"&gt;="&amp;$C$7,BD!$A$3:$A$5001,"&lt;="&amp;$D$7),"—"))</f>
        <v/>
      </c>
      <c r="K105" s="32" t="str">
        <f>IF(K$89="","",IF(Config!$R$44&lt;&gt;"Não",SUMIFS(BD!$Q$3:$Q$5001,BD!$B$3:$B$5001,K$89,BD!$A$3:$A$5001,"&gt;="&amp;$C$7,BD!$A$3:$A$5001,"&lt;="&amp;$D$7),"—"))</f>
        <v/>
      </c>
      <c r="L105" s="32" t="str">
        <f>IF(L$89="","",IF(Config!$R$45&lt;&gt;"Não",SUMIFS(BD!$Q$3:$Q$5001,BD!$B$3:$B$5001,L$89,BD!$A$3:$A$5001,"&gt;="&amp;$C$7,BD!$A$3:$A$5001,"&lt;="&amp;$D$7),"—"))</f>
        <v/>
      </c>
      <c r="M105" s="32" t="str">
        <f>IF(M$89="","",IF(Config!$R$46&lt;&gt;"Não",SUMIFS(BD!$Q$3:$Q$5001,BD!$B$3:$B$5001,M$89,BD!$A$3:$A$5001,"&gt;="&amp;$C$7,BD!$A$3:$A$5001,"&lt;="&amp;$D$7),"—"))</f>
        <v/>
      </c>
      <c r="N105" s="32" t="str">
        <f>IF(N$89="","",IF(Config!$R$47&lt;&gt;"Não",SUMIFS(BD!$Q$3:$Q$5001,BD!$B$3:$B$5001,N$89,BD!$A$3:$A$5001,"&gt;="&amp;$C$7,BD!$A$3:$A$5001,"&lt;="&amp;$D$7),"—"))</f>
        <v/>
      </c>
      <c r="O105" s="32" t="str">
        <f>IF(O$89="","",IF(Config!$R$48&lt;&gt;"Não",SUMIFS(BD!$Q$3:$Q$5001,BD!$B$3:$B$5001,O$89,BD!$A$3:$A$5001,"&gt;="&amp;$C$7,BD!$A$3:$A$5001,"&lt;="&amp;$D$7),"—"))</f>
        <v/>
      </c>
      <c r="P105" s="32" t="str">
        <f>IF(P$89="","",IF(Config!$R$49&lt;&gt;"Não",SUMIFS(BD!$Q$3:$Q$5001,BD!$B$3:$B$5001,P$89,BD!$A$3:$A$5001,"&gt;="&amp;$C$7,BD!$A$3:$A$5001,"&lt;="&amp;$D$7),"—"))</f>
        <v/>
      </c>
      <c r="Q105" s="32" t="str">
        <f>IF(Q$89="","",IF(Config!$R$50&lt;&gt;"Não",SUMIFS(BD!$Q$3:$Q$5001,BD!$B$3:$B$5001,Q$89,BD!$A$3:$A$5001,"&gt;="&amp;$C$7,BD!$A$3:$A$5001,"&lt;="&amp;$D$7),"—"))</f>
        <v/>
      </c>
      <c r="R105" s="32" t="str">
        <f>IF(R$89="","",IF(Config!$R$51&lt;&gt;"Não",SUMIFS(BD!$Q$3:$Q$5001,BD!$B$3:$B$5001,R$89,BD!$A$3:$A$5001,"&gt;="&amp;$C$7,BD!$A$3:$A$5001,"&lt;="&amp;$D$7),"—"))</f>
        <v/>
      </c>
      <c r="S105" s="32" t="str">
        <f>IF(S$89="","",IF(Config!$R$52&lt;&gt;"Não",SUMIFS(BD!$Q$3:$Q$5001,BD!$B$3:$B$5001,S$89,BD!$A$3:$A$5001,"&gt;="&amp;$C$7,BD!$A$3:$A$5001,"&lt;="&amp;$D$7),"—"))</f>
        <v/>
      </c>
      <c r="T105" s="32" t="str">
        <f>IF(T$89="","",IF(Config!$R$53&lt;&gt;"Não",SUMIFS(BD!$Q$3:$Q$5001,BD!$B$3:$B$5001,T$89,BD!$A$3:$A$5001,"&gt;="&amp;$C$7,BD!$A$3:$A$5001,"&lt;="&amp;$D$7),"—"))</f>
        <v/>
      </c>
      <c r="U105" s="32" t="str">
        <f>IF(U$89="","",IF(Config!$R$54&lt;&gt;"Não",SUMIFS(BD!$Q$3:$Q$5001,BD!$B$3:$B$5001,U$89,BD!$A$3:$A$5001,"&gt;="&amp;$C$7,BD!$A$3:$A$5001,"&lt;="&amp;$D$7),"—"))</f>
        <v/>
      </c>
      <c r="V105" s="62">
        <f>SUM(B105:U105)</f>
        <v>0</v>
      </c>
    </row>
    <row r="106">
      <c r="A106" s="29" t="inlineStr">
        <is>
          <t xml:space="preserve">GENTE · Desligamento</t>
        </is>
      </c>
      <c r="B106" s="32">
        <f>IF(B$89="","",IF(Config!$S$35&lt;&gt;"Não",SUMIFS(BD!$R$3:$R$5001,BD!$B$3:$B$5001,B$89,BD!$A$3:$A$5001,"&gt;="&amp;$C$7,BD!$A$3:$A$5001,"&lt;="&amp;$D$7),"—"))</f>
        <v>0</v>
      </c>
      <c r="C106" s="32">
        <f>IF(C$89="","",IF(Config!$S$36&lt;&gt;"Não",SUMIFS(BD!$R$3:$R$5001,BD!$B$3:$B$5001,C$89,BD!$A$3:$A$5001,"&gt;="&amp;$C$7,BD!$A$3:$A$5001,"&lt;="&amp;$D$7),"—"))</f>
        <v>0</v>
      </c>
      <c r="D106" s="32">
        <f>IF(D$89="","",IF(Config!$S$37&lt;&gt;"Não",SUMIFS(BD!$R$3:$R$5001,BD!$B$3:$B$5001,D$89,BD!$A$3:$A$5001,"&gt;="&amp;$C$7,BD!$A$3:$A$5001,"&lt;="&amp;$D$7),"—"))</f>
        <v>0</v>
      </c>
      <c r="E106" s="32">
        <f>IF(E$89="","",IF(Config!$S$38&lt;&gt;"Não",SUMIFS(BD!$R$3:$R$5001,BD!$B$3:$B$5001,E$89,BD!$A$3:$A$5001,"&gt;="&amp;$C$7,BD!$A$3:$A$5001,"&lt;="&amp;$D$7),"—"))</f>
        <v>0</v>
      </c>
      <c r="F106" s="32">
        <f>IF(F$89="","",IF(Config!$S$39&lt;&gt;"Não",SUMIFS(BD!$R$3:$R$5001,BD!$B$3:$B$5001,F$89,BD!$A$3:$A$5001,"&gt;="&amp;$C$7,BD!$A$3:$A$5001,"&lt;="&amp;$D$7),"—"))</f>
        <v>0</v>
      </c>
      <c r="G106" s="32" t="str">
        <f>IF(G$89="","",IF(Config!$S$40&lt;&gt;"Não",SUMIFS(BD!$R$3:$R$5001,BD!$B$3:$B$5001,G$89,BD!$A$3:$A$5001,"&gt;="&amp;$C$7,BD!$A$3:$A$5001,"&lt;="&amp;$D$7),"—"))</f>
        <v/>
      </c>
      <c r="H106" s="32" t="str">
        <f>IF(H$89="","",IF(Config!$S$41&lt;&gt;"Não",SUMIFS(BD!$R$3:$R$5001,BD!$B$3:$B$5001,H$89,BD!$A$3:$A$5001,"&gt;="&amp;$C$7,BD!$A$3:$A$5001,"&lt;="&amp;$D$7),"—"))</f>
        <v/>
      </c>
      <c r="I106" s="32" t="str">
        <f>IF(I$89="","",IF(Config!$S$42&lt;&gt;"Não",SUMIFS(BD!$R$3:$R$5001,BD!$B$3:$B$5001,I$89,BD!$A$3:$A$5001,"&gt;="&amp;$C$7,BD!$A$3:$A$5001,"&lt;="&amp;$D$7),"—"))</f>
        <v/>
      </c>
      <c r="J106" s="32" t="str">
        <f>IF(J$89="","",IF(Config!$S$43&lt;&gt;"Não",SUMIFS(BD!$R$3:$R$5001,BD!$B$3:$B$5001,J$89,BD!$A$3:$A$5001,"&gt;="&amp;$C$7,BD!$A$3:$A$5001,"&lt;="&amp;$D$7),"—"))</f>
        <v/>
      </c>
      <c r="K106" s="32" t="str">
        <f>IF(K$89="","",IF(Config!$S$44&lt;&gt;"Não",SUMIFS(BD!$R$3:$R$5001,BD!$B$3:$B$5001,K$89,BD!$A$3:$A$5001,"&gt;="&amp;$C$7,BD!$A$3:$A$5001,"&lt;="&amp;$D$7),"—"))</f>
        <v/>
      </c>
      <c r="L106" s="32" t="str">
        <f>IF(L$89="","",IF(Config!$S$45&lt;&gt;"Não",SUMIFS(BD!$R$3:$R$5001,BD!$B$3:$B$5001,L$89,BD!$A$3:$A$5001,"&gt;="&amp;$C$7,BD!$A$3:$A$5001,"&lt;="&amp;$D$7),"—"))</f>
        <v/>
      </c>
      <c r="M106" s="32" t="str">
        <f>IF(M$89="","",IF(Config!$S$46&lt;&gt;"Não",SUMIFS(BD!$R$3:$R$5001,BD!$B$3:$B$5001,M$89,BD!$A$3:$A$5001,"&gt;="&amp;$C$7,BD!$A$3:$A$5001,"&lt;="&amp;$D$7),"—"))</f>
        <v/>
      </c>
      <c r="N106" s="32" t="str">
        <f>IF(N$89="","",IF(Config!$S$47&lt;&gt;"Não",SUMIFS(BD!$R$3:$R$5001,BD!$B$3:$B$5001,N$89,BD!$A$3:$A$5001,"&gt;="&amp;$C$7,BD!$A$3:$A$5001,"&lt;="&amp;$D$7),"—"))</f>
        <v/>
      </c>
      <c r="O106" s="32" t="str">
        <f>IF(O$89="","",IF(Config!$S$48&lt;&gt;"Não",SUMIFS(BD!$R$3:$R$5001,BD!$B$3:$B$5001,O$89,BD!$A$3:$A$5001,"&gt;="&amp;$C$7,BD!$A$3:$A$5001,"&lt;="&amp;$D$7),"—"))</f>
        <v/>
      </c>
      <c r="P106" s="32" t="str">
        <f>IF(P$89="","",IF(Config!$S$49&lt;&gt;"Não",SUMIFS(BD!$R$3:$R$5001,BD!$B$3:$B$5001,P$89,BD!$A$3:$A$5001,"&gt;="&amp;$C$7,BD!$A$3:$A$5001,"&lt;="&amp;$D$7),"—"))</f>
        <v/>
      </c>
      <c r="Q106" s="32" t="str">
        <f>IF(Q$89="","",IF(Config!$S$50&lt;&gt;"Não",SUMIFS(BD!$R$3:$R$5001,BD!$B$3:$B$5001,Q$89,BD!$A$3:$A$5001,"&gt;="&amp;$C$7,BD!$A$3:$A$5001,"&lt;="&amp;$D$7),"—"))</f>
        <v/>
      </c>
      <c r="R106" s="32" t="str">
        <f>IF(R$89="","",IF(Config!$S$51&lt;&gt;"Não",SUMIFS(BD!$R$3:$R$5001,BD!$B$3:$B$5001,R$89,BD!$A$3:$A$5001,"&gt;="&amp;$C$7,BD!$A$3:$A$5001,"&lt;="&amp;$D$7),"—"))</f>
        <v/>
      </c>
      <c r="S106" s="32" t="str">
        <f>IF(S$89="","",IF(Config!$S$52&lt;&gt;"Não",SUMIFS(BD!$R$3:$R$5001,BD!$B$3:$B$5001,S$89,BD!$A$3:$A$5001,"&gt;="&amp;$C$7,BD!$A$3:$A$5001,"&lt;="&amp;$D$7),"—"))</f>
        <v/>
      </c>
      <c r="T106" s="32" t="str">
        <f>IF(T$89="","",IF(Config!$S$53&lt;&gt;"Não",SUMIFS(BD!$R$3:$R$5001,BD!$B$3:$B$5001,T$89,BD!$A$3:$A$5001,"&gt;="&amp;$C$7,BD!$A$3:$A$5001,"&lt;="&amp;$D$7),"—"))</f>
        <v/>
      </c>
      <c r="U106" s="32" t="str">
        <f>IF(U$89="","",IF(Config!$S$54&lt;&gt;"Não",SUMIFS(BD!$R$3:$R$5001,BD!$B$3:$B$5001,U$89,BD!$A$3:$A$5001,"&gt;="&amp;$C$7,BD!$A$3:$A$5001,"&lt;="&amp;$D$7),"—"))</f>
        <v/>
      </c>
      <c r="V106" s="62">
        <f>SUM(B106:U106)</f>
        <v>0</v>
      </c>
    </row>
    <row r="107">
      <c r="A107" s="29" t="inlineStr">
        <is>
          <t xml:space="preserve">GENTE · Desvios Comportamentais</t>
        </is>
      </c>
      <c r="B107" s="32">
        <f>IF(B$89="","",IF(Config!$T$35&lt;&gt;"Não",SUMIFS(BD!$S$3:$S$5001,BD!$B$3:$B$5001,B$89,BD!$A$3:$A$5001,"&gt;="&amp;$C$7,BD!$A$3:$A$5001,"&lt;="&amp;$D$7),"—"))</f>
        <v>0</v>
      </c>
      <c r="C107" s="32">
        <f>IF(C$89="","",IF(Config!$T$36&lt;&gt;"Não",SUMIFS(BD!$S$3:$S$5001,BD!$B$3:$B$5001,C$89,BD!$A$3:$A$5001,"&gt;="&amp;$C$7,BD!$A$3:$A$5001,"&lt;="&amp;$D$7),"—"))</f>
        <v>0</v>
      </c>
      <c r="D107" s="32">
        <f>IF(D$89="","",IF(Config!$T$37&lt;&gt;"Não",SUMIFS(BD!$S$3:$S$5001,BD!$B$3:$B$5001,D$89,BD!$A$3:$A$5001,"&gt;="&amp;$C$7,BD!$A$3:$A$5001,"&lt;="&amp;$D$7),"—"))</f>
        <v>0</v>
      </c>
      <c r="E107" s="32">
        <f>IF(E$89="","",IF(Config!$T$38&lt;&gt;"Não",SUMIFS(BD!$S$3:$S$5001,BD!$B$3:$B$5001,E$89,BD!$A$3:$A$5001,"&gt;="&amp;$C$7,BD!$A$3:$A$5001,"&lt;="&amp;$D$7),"—"))</f>
        <v>0</v>
      </c>
      <c r="F107" s="32">
        <f>IF(F$89="","",IF(Config!$T$39&lt;&gt;"Não",SUMIFS(BD!$S$3:$S$5001,BD!$B$3:$B$5001,F$89,BD!$A$3:$A$5001,"&gt;="&amp;$C$7,BD!$A$3:$A$5001,"&lt;="&amp;$D$7),"—"))</f>
        <v>0</v>
      </c>
      <c r="G107" s="32" t="str">
        <f>IF(G$89="","",IF(Config!$T$40&lt;&gt;"Não",SUMIFS(BD!$S$3:$S$5001,BD!$B$3:$B$5001,G$89,BD!$A$3:$A$5001,"&gt;="&amp;$C$7,BD!$A$3:$A$5001,"&lt;="&amp;$D$7),"—"))</f>
        <v/>
      </c>
      <c r="H107" s="32" t="str">
        <f>IF(H$89="","",IF(Config!$T$41&lt;&gt;"Não",SUMIFS(BD!$S$3:$S$5001,BD!$B$3:$B$5001,H$89,BD!$A$3:$A$5001,"&gt;="&amp;$C$7,BD!$A$3:$A$5001,"&lt;="&amp;$D$7),"—"))</f>
        <v/>
      </c>
      <c r="I107" s="32" t="str">
        <f>IF(I$89="","",IF(Config!$T$42&lt;&gt;"Não",SUMIFS(BD!$S$3:$S$5001,BD!$B$3:$B$5001,I$89,BD!$A$3:$A$5001,"&gt;="&amp;$C$7,BD!$A$3:$A$5001,"&lt;="&amp;$D$7),"—"))</f>
        <v/>
      </c>
      <c r="J107" s="32" t="str">
        <f>IF(J$89="","",IF(Config!$T$43&lt;&gt;"Não",SUMIFS(BD!$S$3:$S$5001,BD!$B$3:$B$5001,J$89,BD!$A$3:$A$5001,"&gt;="&amp;$C$7,BD!$A$3:$A$5001,"&lt;="&amp;$D$7),"—"))</f>
        <v/>
      </c>
      <c r="K107" s="32" t="str">
        <f>IF(K$89="","",IF(Config!$T$44&lt;&gt;"Não",SUMIFS(BD!$S$3:$S$5001,BD!$B$3:$B$5001,K$89,BD!$A$3:$A$5001,"&gt;="&amp;$C$7,BD!$A$3:$A$5001,"&lt;="&amp;$D$7),"—"))</f>
        <v/>
      </c>
      <c r="L107" s="32" t="str">
        <f>IF(L$89="","",IF(Config!$T$45&lt;&gt;"Não",SUMIFS(BD!$S$3:$S$5001,BD!$B$3:$B$5001,L$89,BD!$A$3:$A$5001,"&gt;="&amp;$C$7,BD!$A$3:$A$5001,"&lt;="&amp;$D$7),"—"))</f>
        <v/>
      </c>
      <c r="M107" s="32" t="str">
        <f>IF(M$89="","",IF(Config!$T$46&lt;&gt;"Não",SUMIFS(BD!$S$3:$S$5001,BD!$B$3:$B$5001,M$89,BD!$A$3:$A$5001,"&gt;="&amp;$C$7,BD!$A$3:$A$5001,"&lt;="&amp;$D$7),"—"))</f>
        <v/>
      </c>
      <c r="N107" s="32" t="str">
        <f>IF(N$89="","",IF(Config!$T$47&lt;&gt;"Não",SUMIFS(BD!$S$3:$S$5001,BD!$B$3:$B$5001,N$89,BD!$A$3:$A$5001,"&gt;="&amp;$C$7,BD!$A$3:$A$5001,"&lt;="&amp;$D$7),"—"))</f>
        <v/>
      </c>
      <c r="O107" s="32" t="str">
        <f>IF(O$89="","",IF(Config!$T$48&lt;&gt;"Não",SUMIFS(BD!$S$3:$S$5001,BD!$B$3:$B$5001,O$89,BD!$A$3:$A$5001,"&gt;="&amp;$C$7,BD!$A$3:$A$5001,"&lt;="&amp;$D$7),"—"))</f>
        <v/>
      </c>
      <c r="P107" s="32" t="str">
        <f>IF(P$89="","",IF(Config!$T$49&lt;&gt;"Não",SUMIFS(BD!$S$3:$S$5001,BD!$B$3:$B$5001,P$89,BD!$A$3:$A$5001,"&gt;="&amp;$C$7,BD!$A$3:$A$5001,"&lt;="&amp;$D$7),"—"))</f>
        <v/>
      </c>
      <c r="Q107" s="32" t="str">
        <f>IF(Q$89="","",IF(Config!$T$50&lt;&gt;"Não",SUMIFS(BD!$S$3:$S$5001,BD!$B$3:$B$5001,Q$89,BD!$A$3:$A$5001,"&gt;="&amp;$C$7,BD!$A$3:$A$5001,"&lt;="&amp;$D$7),"—"))</f>
        <v/>
      </c>
      <c r="R107" s="32" t="str">
        <f>IF(R$89="","",IF(Config!$T$51&lt;&gt;"Não",SUMIFS(BD!$S$3:$S$5001,BD!$B$3:$B$5001,R$89,BD!$A$3:$A$5001,"&gt;="&amp;$C$7,BD!$A$3:$A$5001,"&lt;="&amp;$D$7),"—"))</f>
        <v/>
      </c>
      <c r="S107" s="32" t="str">
        <f>IF(S$89="","",IF(Config!$T$52&lt;&gt;"Não",SUMIFS(BD!$S$3:$S$5001,BD!$B$3:$B$5001,S$89,BD!$A$3:$A$5001,"&gt;="&amp;$C$7,BD!$A$3:$A$5001,"&lt;="&amp;$D$7),"—"))</f>
        <v/>
      </c>
      <c r="T107" s="32" t="str">
        <f>IF(T$89="","",IF(Config!$T$53&lt;&gt;"Não",SUMIFS(BD!$S$3:$S$5001,BD!$B$3:$B$5001,T$89,BD!$A$3:$A$5001,"&gt;="&amp;$C$7,BD!$A$3:$A$5001,"&lt;="&amp;$D$7),"—"))</f>
        <v/>
      </c>
      <c r="U107" s="32" t="str">
        <f>IF(U$89="","",IF(Config!$T$54&lt;&gt;"Não",SUMIFS(BD!$S$3:$S$5001,BD!$B$3:$B$5001,U$89,BD!$A$3:$A$5001,"&gt;="&amp;$C$7,BD!$A$3:$A$5001,"&lt;="&amp;$D$7),"—"))</f>
        <v/>
      </c>
      <c r="V107" s="62">
        <f>SUM(B107:U107)</f>
        <v>0</v>
      </c>
    </row>
    <row r="108">
      <c r="A108" s="29" t="inlineStr">
        <is>
          <t xml:space="preserve">GENTE · Acidentes CAF</t>
        </is>
      </c>
      <c r="B108" s="32">
        <f>IF(B$89="","",IF(Config!$U$35&lt;&gt;"Não",SUMIFS(BD!$T$3:$T$5001,BD!$B$3:$B$5001,B$89,BD!$A$3:$A$5001,"&gt;="&amp;$C$7,BD!$A$3:$A$5001,"&lt;="&amp;$D$7),"—"))</f>
        <v>0</v>
      </c>
      <c r="C108" s="32">
        <f>IF(C$89="","",IF(Config!$U$36&lt;&gt;"Não",SUMIFS(BD!$T$3:$T$5001,BD!$B$3:$B$5001,C$89,BD!$A$3:$A$5001,"&gt;="&amp;$C$7,BD!$A$3:$A$5001,"&lt;="&amp;$D$7),"—"))</f>
        <v>0</v>
      </c>
      <c r="D108" s="32">
        <f>IF(D$89="","",IF(Config!$U$37&lt;&gt;"Não",SUMIFS(BD!$T$3:$T$5001,BD!$B$3:$B$5001,D$89,BD!$A$3:$A$5001,"&gt;="&amp;$C$7,BD!$A$3:$A$5001,"&lt;="&amp;$D$7),"—"))</f>
        <v>0</v>
      </c>
      <c r="E108" s="32">
        <f>IF(E$89="","",IF(Config!$U$38&lt;&gt;"Não",SUMIFS(BD!$T$3:$T$5001,BD!$B$3:$B$5001,E$89,BD!$A$3:$A$5001,"&gt;="&amp;$C$7,BD!$A$3:$A$5001,"&lt;="&amp;$D$7),"—"))</f>
        <v>0</v>
      </c>
      <c r="F108" s="32">
        <f>IF(F$89="","",IF(Config!$U$39&lt;&gt;"Não",SUMIFS(BD!$T$3:$T$5001,BD!$B$3:$B$5001,F$89,BD!$A$3:$A$5001,"&gt;="&amp;$C$7,BD!$A$3:$A$5001,"&lt;="&amp;$D$7),"—"))</f>
        <v>0</v>
      </c>
      <c r="G108" s="32" t="str">
        <f>IF(G$89="","",IF(Config!$U$40&lt;&gt;"Não",SUMIFS(BD!$T$3:$T$5001,BD!$B$3:$B$5001,G$89,BD!$A$3:$A$5001,"&gt;="&amp;$C$7,BD!$A$3:$A$5001,"&lt;="&amp;$D$7),"—"))</f>
        <v/>
      </c>
      <c r="H108" s="32" t="str">
        <f>IF(H$89="","",IF(Config!$U$41&lt;&gt;"Não",SUMIFS(BD!$T$3:$T$5001,BD!$B$3:$B$5001,H$89,BD!$A$3:$A$5001,"&gt;="&amp;$C$7,BD!$A$3:$A$5001,"&lt;="&amp;$D$7),"—"))</f>
        <v/>
      </c>
      <c r="I108" s="32" t="str">
        <f>IF(I$89="","",IF(Config!$U$42&lt;&gt;"Não",SUMIFS(BD!$T$3:$T$5001,BD!$B$3:$B$5001,I$89,BD!$A$3:$A$5001,"&gt;="&amp;$C$7,BD!$A$3:$A$5001,"&lt;="&amp;$D$7),"—"))</f>
        <v/>
      </c>
      <c r="J108" s="32" t="str">
        <f>IF(J$89="","",IF(Config!$U$43&lt;&gt;"Não",SUMIFS(BD!$T$3:$T$5001,BD!$B$3:$B$5001,J$89,BD!$A$3:$A$5001,"&gt;="&amp;$C$7,BD!$A$3:$A$5001,"&lt;="&amp;$D$7),"—"))</f>
        <v/>
      </c>
      <c r="K108" s="32" t="str">
        <f>IF(K$89="","",IF(Config!$U$44&lt;&gt;"Não",SUMIFS(BD!$T$3:$T$5001,BD!$B$3:$B$5001,K$89,BD!$A$3:$A$5001,"&gt;="&amp;$C$7,BD!$A$3:$A$5001,"&lt;="&amp;$D$7),"—"))</f>
        <v/>
      </c>
      <c r="L108" s="32" t="str">
        <f>IF(L$89="","",IF(Config!$U$45&lt;&gt;"Não",SUMIFS(BD!$T$3:$T$5001,BD!$B$3:$B$5001,L$89,BD!$A$3:$A$5001,"&gt;="&amp;$C$7,BD!$A$3:$A$5001,"&lt;="&amp;$D$7),"—"))</f>
        <v/>
      </c>
      <c r="M108" s="32" t="str">
        <f>IF(M$89="","",IF(Config!$U$46&lt;&gt;"Não",SUMIFS(BD!$T$3:$T$5001,BD!$B$3:$B$5001,M$89,BD!$A$3:$A$5001,"&gt;="&amp;$C$7,BD!$A$3:$A$5001,"&lt;="&amp;$D$7),"—"))</f>
        <v/>
      </c>
      <c r="N108" s="32" t="str">
        <f>IF(N$89="","",IF(Config!$U$47&lt;&gt;"Não",SUMIFS(BD!$T$3:$T$5001,BD!$B$3:$B$5001,N$89,BD!$A$3:$A$5001,"&gt;="&amp;$C$7,BD!$A$3:$A$5001,"&lt;="&amp;$D$7),"—"))</f>
        <v/>
      </c>
      <c r="O108" s="32" t="str">
        <f>IF(O$89="","",IF(Config!$U$48&lt;&gt;"Não",SUMIFS(BD!$T$3:$T$5001,BD!$B$3:$B$5001,O$89,BD!$A$3:$A$5001,"&gt;="&amp;$C$7,BD!$A$3:$A$5001,"&lt;="&amp;$D$7),"—"))</f>
        <v/>
      </c>
      <c r="P108" s="32" t="str">
        <f>IF(P$89="","",IF(Config!$U$49&lt;&gt;"Não",SUMIFS(BD!$T$3:$T$5001,BD!$B$3:$B$5001,P$89,BD!$A$3:$A$5001,"&gt;="&amp;$C$7,BD!$A$3:$A$5001,"&lt;="&amp;$D$7),"—"))</f>
        <v/>
      </c>
      <c r="Q108" s="32" t="str">
        <f>IF(Q$89="","",IF(Config!$U$50&lt;&gt;"Não",SUMIFS(BD!$T$3:$T$5001,BD!$B$3:$B$5001,Q$89,BD!$A$3:$A$5001,"&gt;="&amp;$C$7,BD!$A$3:$A$5001,"&lt;="&amp;$D$7),"—"))</f>
        <v/>
      </c>
      <c r="R108" s="32" t="str">
        <f>IF(R$89="","",IF(Config!$U$51&lt;&gt;"Não",SUMIFS(BD!$T$3:$T$5001,BD!$B$3:$B$5001,R$89,BD!$A$3:$A$5001,"&gt;="&amp;$C$7,BD!$A$3:$A$5001,"&lt;="&amp;$D$7),"—"))</f>
        <v/>
      </c>
      <c r="S108" s="32" t="str">
        <f>IF(S$89="","",IF(Config!$U$52&lt;&gt;"Não",SUMIFS(BD!$T$3:$T$5001,BD!$B$3:$B$5001,S$89,BD!$A$3:$A$5001,"&gt;="&amp;$C$7,BD!$A$3:$A$5001,"&lt;="&amp;$D$7),"—"))</f>
        <v/>
      </c>
      <c r="T108" s="32" t="str">
        <f>IF(T$89="","",IF(Config!$U$53&lt;&gt;"Não",SUMIFS(BD!$T$3:$T$5001,BD!$B$3:$B$5001,T$89,BD!$A$3:$A$5001,"&gt;="&amp;$C$7,BD!$A$3:$A$5001,"&lt;="&amp;$D$7),"—"))</f>
        <v/>
      </c>
      <c r="U108" s="32" t="str">
        <f>IF(U$89="","",IF(Config!$U$54&lt;&gt;"Não",SUMIFS(BD!$T$3:$T$5001,BD!$B$3:$B$5001,U$89,BD!$A$3:$A$5001,"&gt;="&amp;$C$7,BD!$A$3:$A$5001,"&lt;="&amp;$D$7),"—"))</f>
        <v/>
      </c>
      <c r="V108" s="62">
        <f>SUM(B108:U108)</f>
        <v>0</v>
      </c>
    </row>
    <row r="109">
      <c r="A109" s="29" t="inlineStr">
        <is>
          <t xml:space="preserve">GENTE · Acidentes SAF</t>
        </is>
      </c>
      <c r="B109" s="32">
        <f>IF(B$89="","",IF(Config!$V$35&lt;&gt;"Não",SUMIFS(BD!$U$3:$U$5001,BD!$B$3:$B$5001,B$89,BD!$A$3:$A$5001,"&gt;="&amp;$C$7,BD!$A$3:$A$5001,"&lt;="&amp;$D$7),"—"))</f>
        <v>0</v>
      </c>
      <c r="C109" s="32">
        <f>IF(C$89="","",IF(Config!$V$36&lt;&gt;"Não",SUMIFS(BD!$U$3:$U$5001,BD!$B$3:$B$5001,C$89,BD!$A$3:$A$5001,"&gt;="&amp;$C$7,BD!$A$3:$A$5001,"&lt;="&amp;$D$7),"—"))</f>
        <v>0</v>
      </c>
      <c r="D109" s="32">
        <f>IF(D$89="","",IF(Config!$V$37&lt;&gt;"Não",SUMIFS(BD!$U$3:$U$5001,BD!$B$3:$B$5001,D$89,BD!$A$3:$A$5001,"&gt;="&amp;$C$7,BD!$A$3:$A$5001,"&lt;="&amp;$D$7),"—"))</f>
        <v>0</v>
      </c>
      <c r="E109" s="32">
        <f>IF(E$89="","",IF(Config!$V$38&lt;&gt;"Não",SUMIFS(BD!$U$3:$U$5001,BD!$B$3:$B$5001,E$89,BD!$A$3:$A$5001,"&gt;="&amp;$C$7,BD!$A$3:$A$5001,"&lt;="&amp;$D$7),"—"))</f>
        <v>0</v>
      </c>
      <c r="F109" s="32">
        <f>IF(F$89="","",IF(Config!$V$39&lt;&gt;"Não",SUMIFS(BD!$U$3:$U$5001,BD!$B$3:$B$5001,F$89,BD!$A$3:$A$5001,"&gt;="&amp;$C$7,BD!$A$3:$A$5001,"&lt;="&amp;$D$7),"—"))</f>
        <v>0</v>
      </c>
      <c r="G109" s="32" t="str">
        <f>IF(G$89="","",IF(Config!$V$40&lt;&gt;"Não",SUMIFS(BD!$U$3:$U$5001,BD!$B$3:$B$5001,G$89,BD!$A$3:$A$5001,"&gt;="&amp;$C$7,BD!$A$3:$A$5001,"&lt;="&amp;$D$7),"—"))</f>
        <v/>
      </c>
      <c r="H109" s="32" t="str">
        <f>IF(H$89="","",IF(Config!$V$41&lt;&gt;"Não",SUMIFS(BD!$U$3:$U$5001,BD!$B$3:$B$5001,H$89,BD!$A$3:$A$5001,"&gt;="&amp;$C$7,BD!$A$3:$A$5001,"&lt;="&amp;$D$7),"—"))</f>
        <v/>
      </c>
      <c r="I109" s="32" t="str">
        <f>IF(I$89="","",IF(Config!$V$42&lt;&gt;"Não",SUMIFS(BD!$U$3:$U$5001,BD!$B$3:$B$5001,I$89,BD!$A$3:$A$5001,"&gt;="&amp;$C$7,BD!$A$3:$A$5001,"&lt;="&amp;$D$7),"—"))</f>
        <v/>
      </c>
      <c r="J109" s="32" t="str">
        <f>IF(J$89="","",IF(Config!$V$43&lt;&gt;"Não",SUMIFS(BD!$U$3:$U$5001,BD!$B$3:$B$5001,J$89,BD!$A$3:$A$5001,"&gt;="&amp;$C$7,BD!$A$3:$A$5001,"&lt;="&amp;$D$7),"—"))</f>
        <v/>
      </c>
      <c r="K109" s="32" t="str">
        <f>IF(K$89="","",IF(Config!$V$44&lt;&gt;"Não",SUMIFS(BD!$U$3:$U$5001,BD!$B$3:$B$5001,K$89,BD!$A$3:$A$5001,"&gt;="&amp;$C$7,BD!$A$3:$A$5001,"&lt;="&amp;$D$7),"—"))</f>
        <v/>
      </c>
      <c r="L109" s="32" t="str">
        <f>IF(L$89="","",IF(Config!$V$45&lt;&gt;"Não",SUMIFS(BD!$U$3:$U$5001,BD!$B$3:$B$5001,L$89,BD!$A$3:$A$5001,"&gt;="&amp;$C$7,BD!$A$3:$A$5001,"&lt;="&amp;$D$7),"—"))</f>
        <v/>
      </c>
      <c r="M109" s="32" t="str">
        <f>IF(M$89="","",IF(Config!$V$46&lt;&gt;"Não",SUMIFS(BD!$U$3:$U$5001,BD!$B$3:$B$5001,M$89,BD!$A$3:$A$5001,"&gt;="&amp;$C$7,BD!$A$3:$A$5001,"&lt;="&amp;$D$7),"—"))</f>
        <v/>
      </c>
      <c r="N109" s="32" t="str">
        <f>IF(N$89="","",IF(Config!$V$47&lt;&gt;"Não",SUMIFS(BD!$U$3:$U$5001,BD!$B$3:$B$5001,N$89,BD!$A$3:$A$5001,"&gt;="&amp;$C$7,BD!$A$3:$A$5001,"&lt;="&amp;$D$7),"—"))</f>
        <v/>
      </c>
      <c r="O109" s="32" t="str">
        <f>IF(O$89="","",IF(Config!$V$48&lt;&gt;"Não",SUMIFS(BD!$U$3:$U$5001,BD!$B$3:$B$5001,O$89,BD!$A$3:$A$5001,"&gt;="&amp;$C$7,BD!$A$3:$A$5001,"&lt;="&amp;$D$7),"—"))</f>
        <v/>
      </c>
      <c r="P109" s="32" t="str">
        <f>IF(P$89="","",IF(Config!$V$49&lt;&gt;"Não",SUMIFS(BD!$U$3:$U$5001,BD!$B$3:$B$5001,P$89,BD!$A$3:$A$5001,"&gt;="&amp;$C$7,BD!$A$3:$A$5001,"&lt;="&amp;$D$7),"—"))</f>
        <v/>
      </c>
      <c r="Q109" s="32" t="str">
        <f>IF(Q$89="","",IF(Config!$V$50&lt;&gt;"Não",SUMIFS(BD!$U$3:$U$5001,BD!$B$3:$B$5001,Q$89,BD!$A$3:$A$5001,"&gt;="&amp;$C$7,BD!$A$3:$A$5001,"&lt;="&amp;$D$7),"—"))</f>
        <v/>
      </c>
      <c r="R109" s="32" t="str">
        <f>IF(R$89="","",IF(Config!$V$51&lt;&gt;"Não",SUMIFS(BD!$U$3:$U$5001,BD!$B$3:$B$5001,R$89,BD!$A$3:$A$5001,"&gt;="&amp;$C$7,BD!$A$3:$A$5001,"&lt;="&amp;$D$7),"—"))</f>
        <v/>
      </c>
      <c r="S109" s="32" t="str">
        <f>IF(S$89="","",IF(Config!$V$52&lt;&gt;"Não",SUMIFS(BD!$U$3:$U$5001,BD!$B$3:$B$5001,S$89,BD!$A$3:$A$5001,"&gt;="&amp;$C$7,BD!$A$3:$A$5001,"&lt;="&amp;$D$7),"—"))</f>
        <v/>
      </c>
      <c r="T109" s="32" t="str">
        <f>IF(T$89="","",IF(Config!$V$53&lt;&gt;"Não",SUMIFS(BD!$U$3:$U$5001,BD!$B$3:$B$5001,T$89,BD!$A$3:$A$5001,"&gt;="&amp;$C$7,BD!$A$3:$A$5001,"&lt;="&amp;$D$7),"—"))</f>
        <v/>
      </c>
      <c r="U109" s="32" t="str">
        <f>IF(U$89="","",IF(Config!$V$54&lt;&gt;"Não",SUMIFS(BD!$U$3:$U$5001,BD!$B$3:$B$5001,U$89,BD!$A$3:$A$5001,"&gt;="&amp;$C$7,BD!$A$3:$A$5001,"&lt;="&amp;$D$7),"—"))</f>
        <v/>
      </c>
      <c r="V109" s="62">
        <f>SUM(B109:U109)</f>
        <v>0</v>
      </c>
    </row>
    <row r="113">
      <c r="A113" s="19" t="inlineStr">
        <is>
          <t xml:space="preserve">ESTOQUES POR CLIENTE — último valor informado até cada dia (Backlog, Posições e Efetivo)</t>
        </is>
      </c>
    </row>
    <row r="114">
      <c r="A114" s="37" t="inlineStr">
        <is>
          <t xml:space="preserve">Backlog</t>
        </is>
      </c>
      <c r="B114" s="37" t="inlineStr">
        <is>
          <t xml:space="preserve">Data</t>
        </is>
      </c>
      <c r="C114" s="37" t="str">
        <f>Config!$B$10&amp;""</f>
        <v>Barry Callebaut</v>
      </c>
      <c r="D114" s="37" t="str">
        <f>Config!$B$11&amp;""</f>
        <v>GM</v>
      </c>
      <c r="E114" s="37" t="str">
        <f>Config!$B$12&amp;""</f>
        <v>Mondelez</v>
      </c>
      <c r="F114" s="37" t="str">
        <f>Config!$B$13&amp;""</f>
        <v>Nestlé</v>
      </c>
      <c r="G114" s="37" t="str">
        <f>Config!$B$14&amp;""</f>
        <v>PMB</v>
      </c>
      <c r="H114" s="37" t="str">
        <f>Config!$B$15&amp;""</f>
        <v/>
      </c>
      <c r="I114" s="37" t="str">
        <f>Config!$B$16&amp;""</f>
        <v/>
      </c>
      <c r="J114" s="37" t="str">
        <f>Config!$B$17&amp;""</f>
        <v/>
      </c>
      <c r="K114" s="37" t="str">
        <f>Config!$B$18&amp;""</f>
        <v/>
      </c>
      <c r="L114" s="37" t="str">
        <f>Config!$B$19&amp;""</f>
        <v/>
      </c>
      <c r="M114" s="37" t="str">
        <f>Config!$B$20&amp;""</f>
        <v/>
      </c>
      <c r="N114" s="37" t="str">
        <f>Config!$B$21&amp;""</f>
        <v/>
      </c>
      <c r="O114" s="37" t="str">
        <f>Config!$B$22&amp;""</f>
        <v/>
      </c>
      <c r="P114" s="37" t="str">
        <f>Config!$B$23&amp;""</f>
        <v/>
      </c>
      <c r="Q114" s="37" t="str">
        <f>Config!$B$24&amp;""</f>
        <v/>
      </c>
      <c r="R114" s="37" t="str">
        <f>Config!$B$25&amp;""</f>
        <v/>
      </c>
      <c r="S114" s="37" t="str">
        <f>Config!$B$26&amp;""</f>
        <v/>
      </c>
      <c r="T114" s="37" t="str">
        <f>Config!$B$27&amp;""</f>
        <v/>
      </c>
      <c r="U114" s="37" t="str">
        <f>Config!$B$28&amp;""</f>
        <v/>
      </c>
      <c r="V114" s="37" t="str">
        <f>Config!$B$29&amp;""</f>
        <v/>
      </c>
    </row>
    <row r="115">
      <c r="A115" s="38">
        <v>1</v>
      </c>
      <c r="B115" s="42">
        <f>$B$12</f>
        <v>46296</v>
      </c>
      <c r="C115" s="43" t="str">
        <f>IF(OR($B115="",$A115&gt;$B$9,C$114=""),"",IF(COUNTIFS(BD!$B$3:$B$5001,C$114,BD!$A$3:$A$5001,"&gt;="&amp;$C$7,BD!$A$3:$A$5001,"&lt;="&amp;$B115,BD!$K$3:$K$5001,"&lt;&gt;")=0,"",SUMIFS(BD!$K$3:$K$5001,BD!$B$3:$B$5001,C$114,BD!$A$3:$A$5001,_xlfn.MAXIFS(BD!$A$3:$A$5001,BD!$B$3:$B$5001,C$114,BD!$A$3:$A$5001,"&gt;="&amp;$C$7,BD!$A$3:$A$5001,"&lt;="&amp;$B115,BD!$K$3:$K$5001,"&lt;&gt;"))))</f>
        <v/>
      </c>
      <c r="D115" s="43" t="str">
        <f>IF(OR($B115="",$A115&gt;$B$9,D$114=""),"",IF(COUNTIFS(BD!$B$3:$B$5001,D$114,BD!$A$3:$A$5001,"&gt;="&amp;$C$7,BD!$A$3:$A$5001,"&lt;="&amp;$B115,BD!$K$3:$K$5001,"&lt;&gt;")=0,"",SUMIFS(BD!$K$3:$K$5001,BD!$B$3:$B$5001,D$114,BD!$A$3:$A$5001,_xlfn.MAXIFS(BD!$A$3:$A$5001,BD!$B$3:$B$5001,D$114,BD!$A$3:$A$5001,"&gt;="&amp;$C$7,BD!$A$3:$A$5001,"&lt;="&amp;$B115,BD!$K$3:$K$5001,"&lt;&gt;"))))</f>
        <v/>
      </c>
      <c r="E115" s="43" t="str">
        <f>IF(OR($B115="",$A115&gt;$B$9,E$114=""),"",IF(COUNTIFS(BD!$B$3:$B$5001,E$114,BD!$A$3:$A$5001,"&gt;="&amp;$C$7,BD!$A$3:$A$5001,"&lt;="&amp;$B115,BD!$K$3:$K$5001,"&lt;&gt;")=0,"",SUMIFS(BD!$K$3:$K$5001,BD!$B$3:$B$5001,E$114,BD!$A$3:$A$5001,_xlfn.MAXIFS(BD!$A$3:$A$5001,BD!$B$3:$B$5001,E$114,BD!$A$3:$A$5001,"&gt;="&amp;$C$7,BD!$A$3:$A$5001,"&lt;="&amp;$B115,BD!$K$3:$K$5001,"&lt;&gt;"))))</f>
        <v/>
      </c>
      <c r="F115" s="43" t="str">
        <f>IF(OR($B115="",$A115&gt;$B$9,F$114=""),"",IF(COUNTIFS(BD!$B$3:$B$5001,F$114,BD!$A$3:$A$5001,"&gt;="&amp;$C$7,BD!$A$3:$A$5001,"&lt;="&amp;$B115,BD!$K$3:$K$5001,"&lt;&gt;")=0,"",SUMIFS(BD!$K$3:$K$5001,BD!$B$3:$B$5001,F$114,BD!$A$3:$A$5001,_xlfn.MAXIFS(BD!$A$3:$A$5001,BD!$B$3:$B$5001,F$114,BD!$A$3:$A$5001,"&gt;="&amp;$C$7,BD!$A$3:$A$5001,"&lt;="&amp;$B115,BD!$K$3:$K$5001,"&lt;&gt;"))))</f>
        <v/>
      </c>
      <c r="G115" s="43" t="str">
        <f>IF(OR($B115="",$A115&gt;$B$9,G$114=""),"",IF(COUNTIFS(BD!$B$3:$B$5001,G$114,BD!$A$3:$A$5001,"&gt;="&amp;$C$7,BD!$A$3:$A$5001,"&lt;="&amp;$B115,BD!$K$3:$K$5001,"&lt;&gt;")=0,"",SUMIFS(BD!$K$3:$K$5001,BD!$B$3:$B$5001,G$114,BD!$A$3:$A$5001,_xlfn.MAXIFS(BD!$A$3:$A$5001,BD!$B$3:$B$5001,G$114,BD!$A$3:$A$5001,"&gt;="&amp;$C$7,BD!$A$3:$A$5001,"&lt;="&amp;$B115,BD!$K$3:$K$5001,"&lt;&gt;"))))</f>
        <v/>
      </c>
      <c r="H115" s="43" t="str">
        <f>IF(OR($B115="",$A115&gt;$B$9,H$114=""),"",IF(COUNTIFS(BD!$B$3:$B$5001,H$114,BD!$A$3:$A$5001,"&gt;="&amp;$C$7,BD!$A$3:$A$5001,"&lt;="&amp;$B115,BD!$K$3:$K$5001,"&lt;&gt;")=0,"",SUMIFS(BD!$K$3:$K$5001,BD!$B$3:$B$5001,H$114,BD!$A$3:$A$5001,_xlfn.MAXIFS(BD!$A$3:$A$5001,BD!$B$3:$B$5001,H$114,BD!$A$3:$A$5001,"&gt;="&amp;$C$7,BD!$A$3:$A$5001,"&lt;="&amp;$B115,BD!$K$3:$K$5001,"&lt;&gt;"))))</f>
        <v/>
      </c>
      <c r="I115" s="43" t="str">
        <f>IF(OR($B115="",$A115&gt;$B$9,I$114=""),"",IF(COUNTIFS(BD!$B$3:$B$5001,I$114,BD!$A$3:$A$5001,"&gt;="&amp;$C$7,BD!$A$3:$A$5001,"&lt;="&amp;$B115,BD!$K$3:$K$5001,"&lt;&gt;")=0,"",SUMIFS(BD!$K$3:$K$5001,BD!$B$3:$B$5001,I$114,BD!$A$3:$A$5001,_xlfn.MAXIFS(BD!$A$3:$A$5001,BD!$B$3:$B$5001,I$114,BD!$A$3:$A$5001,"&gt;="&amp;$C$7,BD!$A$3:$A$5001,"&lt;="&amp;$B115,BD!$K$3:$K$5001,"&lt;&gt;"))))</f>
        <v/>
      </c>
      <c r="J115" s="43" t="str">
        <f>IF(OR($B115="",$A115&gt;$B$9,J$114=""),"",IF(COUNTIFS(BD!$B$3:$B$5001,J$114,BD!$A$3:$A$5001,"&gt;="&amp;$C$7,BD!$A$3:$A$5001,"&lt;="&amp;$B115,BD!$K$3:$K$5001,"&lt;&gt;")=0,"",SUMIFS(BD!$K$3:$K$5001,BD!$B$3:$B$5001,J$114,BD!$A$3:$A$5001,_xlfn.MAXIFS(BD!$A$3:$A$5001,BD!$B$3:$B$5001,J$114,BD!$A$3:$A$5001,"&gt;="&amp;$C$7,BD!$A$3:$A$5001,"&lt;="&amp;$B115,BD!$K$3:$K$5001,"&lt;&gt;"))))</f>
        <v/>
      </c>
      <c r="K115" s="43" t="str">
        <f>IF(OR($B115="",$A115&gt;$B$9,K$114=""),"",IF(COUNTIFS(BD!$B$3:$B$5001,K$114,BD!$A$3:$A$5001,"&gt;="&amp;$C$7,BD!$A$3:$A$5001,"&lt;="&amp;$B115,BD!$K$3:$K$5001,"&lt;&gt;")=0,"",SUMIFS(BD!$K$3:$K$5001,BD!$B$3:$B$5001,K$114,BD!$A$3:$A$5001,_xlfn.MAXIFS(BD!$A$3:$A$5001,BD!$B$3:$B$5001,K$114,BD!$A$3:$A$5001,"&gt;="&amp;$C$7,BD!$A$3:$A$5001,"&lt;="&amp;$B115,BD!$K$3:$K$5001,"&lt;&gt;"))))</f>
        <v/>
      </c>
      <c r="L115" s="43" t="str">
        <f>IF(OR($B115="",$A115&gt;$B$9,L$114=""),"",IF(COUNTIFS(BD!$B$3:$B$5001,L$114,BD!$A$3:$A$5001,"&gt;="&amp;$C$7,BD!$A$3:$A$5001,"&lt;="&amp;$B115,BD!$K$3:$K$5001,"&lt;&gt;")=0,"",SUMIFS(BD!$K$3:$K$5001,BD!$B$3:$B$5001,L$114,BD!$A$3:$A$5001,_xlfn.MAXIFS(BD!$A$3:$A$5001,BD!$B$3:$B$5001,L$114,BD!$A$3:$A$5001,"&gt;="&amp;$C$7,BD!$A$3:$A$5001,"&lt;="&amp;$B115,BD!$K$3:$K$5001,"&lt;&gt;"))))</f>
        <v/>
      </c>
      <c r="M115" s="43" t="str">
        <f>IF(OR($B115="",$A115&gt;$B$9,M$114=""),"",IF(COUNTIFS(BD!$B$3:$B$5001,M$114,BD!$A$3:$A$5001,"&gt;="&amp;$C$7,BD!$A$3:$A$5001,"&lt;="&amp;$B115,BD!$K$3:$K$5001,"&lt;&gt;")=0,"",SUMIFS(BD!$K$3:$K$5001,BD!$B$3:$B$5001,M$114,BD!$A$3:$A$5001,_xlfn.MAXIFS(BD!$A$3:$A$5001,BD!$B$3:$B$5001,M$114,BD!$A$3:$A$5001,"&gt;="&amp;$C$7,BD!$A$3:$A$5001,"&lt;="&amp;$B115,BD!$K$3:$K$5001,"&lt;&gt;"))))</f>
        <v/>
      </c>
      <c r="N115" s="43" t="str">
        <f>IF(OR($B115="",$A115&gt;$B$9,N$114=""),"",IF(COUNTIFS(BD!$B$3:$B$5001,N$114,BD!$A$3:$A$5001,"&gt;="&amp;$C$7,BD!$A$3:$A$5001,"&lt;="&amp;$B115,BD!$K$3:$K$5001,"&lt;&gt;")=0,"",SUMIFS(BD!$K$3:$K$5001,BD!$B$3:$B$5001,N$114,BD!$A$3:$A$5001,_xlfn.MAXIFS(BD!$A$3:$A$5001,BD!$B$3:$B$5001,N$114,BD!$A$3:$A$5001,"&gt;="&amp;$C$7,BD!$A$3:$A$5001,"&lt;="&amp;$B115,BD!$K$3:$K$5001,"&lt;&gt;"))))</f>
        <v/>
      </c>
      <c r="O115" s="43" t="str">
        <f>IF(OR($B115="",$A115&gt;$B$9,O$114=""),"",IF(COUNTIFS(BD!$B$3:$B$5001,O$114,BD!$A$3:$A$5001,"&gt;="&amp;$C$7,BD!$A$3:$A$5001,"&lt;="&amp;$B115,BD!$K$3:$K$5001,"&lt;&gt;")=0,"",SUMIFS(BD!$K$3:$K$5001,BD!$B$3:$B$5001,O$114,BD!$A$3:$A$5001,_xlfn.MAXIFS(BD!$A$3:$A$5001,BD!$B$3:$B$5001,O$114,BD!$A$3:$A$5001,"&gt;="&amp;$C$7,BD!$A$3:$A$5001,"&lt;="&amp;$B115,BD!$K$3:$K$5001,"&lt;&gt;"))))</f>
        <v/>
      </c>
      <c r="P115" s="43" t="str">
        <f>IF(OR($B115="",$A115&gt;$B$9,P$114=""),"",IF(COUNTIFS(BD!$B$3:$B$5001,P$114,BD!$A$3:$A$5001,"&gt;="&amp;$C$7,BD!$A$3:$A$5001,"&lt;="&amp;$B115,BD!$K$3:$K$5001,"&lt;&gt;")=0,"",SUMIFS(BD!$K$3:$K$5001,BD!$B$3:$B$5001,P$114,BD!$A$3:$A$5001,_xlfn.MAXIFS(BD!$A$3:$A$5001,BD!$B$3:$B$5001,P$114,BD!$A$3:$A$5001,"&gt;="&amp;$C$7,BD!$A$3:$A$5001,"&lt;="&amp;$B115,BD!$K$3:$K$5001,"&lt;&gt;"))))</f>
        <v/>
      </c>
      <c r="Q115" s="43" t="str">
        <f>IF(OR($B115="",$A115&gt;$B$9,Q$114=""),"",IF(COUNTIFS(BD!$B$3:$B$5001,Q$114,BD!$A$3:$A$5001,"&gt;="&amp;$C$7,BD!$A$3:$A$5001,"&lt;="&amp;$B115,BD!$K$3:$K$5001,"&lt;&gt;")=0,"",SUMIFS(BD!$K$3:$K$5001,BD!$B$3:$B$5001,Q$114,BD!$A$3:$A$5001,_xlfn.MAXIFS(BD!$A$3:$A$5001,BD!$B$3:$B$5001,Q$114,BD!$A$3:$A$5001,"&gt;="&amp;$C$7,BD!$A$3:$A$5001,"&lt;="&amp;$B115,BD!$K$3:$K$5001,"&lt;&gt;"))))</f>
        <v/>
      </c>
      <c r="R115" s="43" t="str">
        <f>IF(OR($B115="",$A115&gt;$B$9,R$114=""),"",IF(COUNTIFS(BD!$B$3:$B$5001,R$114,BD!$A$3:$A$5001,"&gt;="&amp;$C$7,BD!$A$3:$A$5001,"&lt;="&amp;$B115,BD!$K$3:$K$5001,"&lt;&gt;")=0,"",SUMIFS(BD!$K$3:$K$5001,BD!$B$3:$B$5001,R$114,BD!$A$3:$A$5001,_xlfn.MAXIFS(BD!$A$3:$A$5001,BD!$B$3:$B$5001,R$114,BD!$A$3:$A$5001,"&gt;="&amp;$C$7,BD!$A$3:$A$5001,"&lt;="&amp;$B115,BD!$K$3:$K$5001,"&lt;&gt;"))))</f>
        <v/>
      </c>
      <c r="S115" s="43" t="str">
        <f>IF(OR($B115="",$A115&gt;$B$9,S$114=""),"",IF(COUNTIFS(BD!$B$3:$B$5001,S$114,BD!$A$3:$A$5001,"&gt;="&amp;$C$7,BD!$A$3:$A$5001,"&lt;="&amp;$B115,BD!$K$3:$K$5001,"&lt;&gt;")=0,"",SUMIFS(BD!$K$3:$K$5001,BD!$B$3:$B$5001,S$114,BD!$A$3:$A$5001,_xlfn.MAXIFS(BD!$A$3:$A$5001,BD!$B$3:$B$5001,S$114,BD!$A$3:$A$5001,"&gt;="&amp;$C$7,BD!$A$3:$A$5001,"&lt;="&amp;$B115,BD!$K$3:$K$5001,"&lt;&gt;"))))</f>
        <v/>
      </c>
      <c r="T115" s="43" t="str">
        <f>IF(OR($B115="",$A115&gt;$B$9,T$114=""),"",IF(COUNTIFS(BD!$B$3:$B$5001,T$114,BD!$A$3:$A$5001,"&gt;="&amp;$C$7,BD!$A$3:$A$5001,"&lt;="&amp;$B115,BD!$K$3:$K$5001,"&lt;&gt;")=0,"",SUMIFS(BD!$K$3:$K$5001,BD!$B$3:$B$5001,T$114,BD!$A$3:$A$5001,_xlfn.MAXIFS(BD!$A$3:$A$5001,BD!$B$3:$B$5001,T$114,BD!$A$3:$A$5001,"&gt;="&amp;$C$7,BD!$A$3:$A$5001,"&lt;="&amp;$B115,BD!$K$3:$K$5001,"&lt;&gt;"))))</f>
        <v/>
      </c>
      <c r="U115" s="43" t="str">
        <f>IF(OR($B115="",$A115&gt;$B$9,U$114=""),"",IF(COUNTIFS(BD!$B$3:$B$5001,U$114,BD!$A$3:$A$5001,"&gt;="&amp;$C$7,BD!$A$3:$A$5001,"&lt;="&amp;$B115,BD!$K$3:$K$5001,"&lt;&gt;")=0,"",SUMIFS(BD!$K$3:$K$5001,BD!$B$3:$B$5001,U$114,BD!$A$3:$A$5001,_xlfn.MAXIFS(BD!$A$3:$A$5001,BD!$B$3:$B$5001,U$114,BD!$A$3:$A$5001,"&gt;="&amp;$C$7,BD!$A$3:$A$5001,"&lt;="&amp;$B115,BD!$K$3:$K$5001,"&lt;&gt;"))))</f>
        <v/>
      </c>
      <c r="V115" s="43" t="str">
        <f>IF(OR($B115="",$A115&gt;$B$9,V$114=""),"",IF(COUNTIFS(BD!$B$3:$B$5001,V$114,BD!$A$3:$A$5001,"&gt;="&amp;$C$7,BD!$A$3:$A$5001,"&lt;="&amp;$B115,BD!$K$3:$K$5001,"&lt;&gt;")=0,"",SUMIFS(BD!$K$3:$K$5001,BD!$B$3:$B$5001,V$114,BD!$A$3:$A$5001,_xlfn.MAXIFS(BD!$A$3:$A$5001,BD!$B$3:$B$5001,V$114,BD!$A$3:$A$5001,"&gt;="&amp;$C$7,BD!$A$3:$A$5001,"&lt;="&amp;$B115,BD!$K$3:$K$5001,"&lt;&gt;"))))</f>
        <v/>
      </c>
    </row>
    <row r="116">
      <c r="A116" s="38">
        <v>2</v>
      </c>
      <c r="B116" s="42">
        <f>$B$13</f>
        <v>46297</v>
      </c>
      <c r="C116" s="43" t="str">
        <f>IF(OR($B116="",$A116&gt;$B$9,C$114=""),"",IF(COUNTIFS(BD!$B$3:$B$5001,C$114,BD!$A$3:$A$5001,"&gt;="&amp;$C$7,BD!$A$3:$A$5001,"&lt;="&amp;$B116,BD!$K$3:$K$5001,"&lt;&gt;")=0,"",SUMIFS(BD!$K$3:$K$5001,BD!$B$3:$B$5001,C$114,BD!$A$3:$A$5001,_xlfn.MAXIFS(BD!$A$3:$A$5001,BD!$B$3:$B$5001,C$114,BD!$A$3:$A$5001,"&gt;="&amp;$C$7,BD!$A$3:$A$5001,"&lt;="&amp;$B116,BD!$K$3:$K$5001,"&lt;&gt;"))))</f>
        <v/>
      </c>
      <c r="D116" s="43" t="str">
        <f>IF(OR($B116="",$A116&gt;$B$9,D$114=""),"",IF(COUNTIFS(BD!$B$3:$B$5001,D$114,BD!$A$3:$A$5001,"&gt;="&amp;$C$7,BD!$A$3:$A$5001,"&lt;="&amp;$B116,BD!$K$3:$K$5001,"&lt;&gt;")=0,"",SUMIFS(BD!$K$3:$K$5001,BD!$B$3:$B$5001,D$114,BD!$A$3:$A$5001,_xlfn.MAXIFS(BD!$A$3:$A$5001,BD!$B$3:$B$5001,D$114,BD!$A$3:$A$5001,"&gt;="&amp;$C$7,BD!$A$3:$A$5001,"&lt;="&amp;$B116,BD!$K$3:$K$5001,"&lt;&gt;"))))</f>
        <v/>
      </c>
      <c r="E116" s="43" t="str">
        <f>IF(OR($B116="",$A116&gt;$B$9,E$114=""),"",IF(COUNTIFS(BD!$B$3:$B$5001,E$114,BD!$A$3:$A$5001,"&gt;="&amp;$C$7,BD!$A$3:$A$5001,"&lt;="&amp;$B116,BD!$K$3:$K$5001,"&lt;&gt;")=0,"",SUMIFS(BD!$K$3:$K$5001,BD!$B$3:$B$5001,E$114,BD!$A$3:$A$5001,_xlfn.MAXIFS(BD!$A$3:$A$5001,BD!$B$3:$B$5001,E$114,BD!$A$3:$A$5001,"&gt;="&amp;$C$7,BD!$A$3:$A$5001,"&lt;="&amp;$B116,BD!$K$3:$K$5001,"&lt;&gt;"))))</f>
        <v/>
      </c>
      <c r="F116" s="43" t="str">
        <f>IF(OR($B116="",$A116&gt;$B$9,F$114=""),"",IF(COUNTIFS(BD!$B$3:$B$5001,F$114,BD!$A$3:$A$5001,"&gt;="&amp;$C$7,BD!$A$3:$A$5001,"&lt;="&amp;$B116,BD!$K$3:$K$5001,"&lt;&gt;")=0,"",SUMIFS(BD!$K$3:$K$5001,BD!$B$3:$B$5001,F$114,BD!$A$3:$A$5001,_xlfn.MAXIFS(BD!$A$3:$A$5001,BD!$B$3:$B$5001,F$114,BD!$A$3:$A$5001,"&gt;="&amp;$C$7,BD!$A$3:$A$5001,"&lt;="&amp;$B116,BD!$K$3:$K$5001,"&lt;&gt;"))))</f>
        <v/>
      </c>
      <c r="G116" s="43" t="str">
        <f>IF(OR($B116="",$A116&gt;$B$9,G$114=""),"",IF(COUNTIFS(BD!$B$3:$B$5001,G$114,BD!$A$3:$A$5001,"&gt;="&amp;$C$7,BD!$A$3:$A$5001,"&lt;="&amp;$B116,BD!$K$3:$K$5001,"&lt;&gt;")=0,"",SUMIFS(BD!$K$3:$K$5001,BD!$B$3:$B$5001,G$114,BD!$A$3:$A$5001,_xlfn.MAXIFS(BD!$A$3:$A$5001,BD!$B$3:$B$5001,G$114,BD!$A$3:$A$5001,"&gt;="&amp;$C$7,BD!$A$3:$A$5001,"&lt;="&amp;$B116,BD!$K$3:$K$5001,"&lt;&gt;"))))</f>
        <v/>
      </c>
      <c r="H116" s="43" t="str">
        <f>IF(OR($B116="",$A116&gt;$B$9,H$114=""),"",IF(COUNTIFS(BD!$B$3:$B$5001,H$114,BD!$A$3:$A$5001,"&gt;="&amp;$C$7,BD!$A$3:$A$5001,"&lt;="&amp;$B116,BD!$K$3:$K$5001,"&lt;&gt;")=0,"",SUMIFS(BD!$K$3:$K$5001,BD!$B$3:$B$5001,H$114,BD!$A$3:$A$5001,_xlfn.MAXIFS(BD!$A$3:$A$5001,BD!$B$3:$B$5001,H$114,BD!$A$3:$A$5001,"&gt;="&amp;$C$7,BD!$A$3:$A$5001,"&lt;="&amp;$B116,BD!$K$3:$K$5001,"&lt;&gt;"))))</f>
        <v/>
      </c>
      <c r="I116" s="43" t="str">
        <f>IF(OR($B116="",$A116&gt;$B$9,I$114=""),"",IF(COUNTIFS(BD!$B$3:$B$5001,I$114,BD!$A$3:$A$5001,"&gt;="&amp;$C$7,BD!$A$3:$A$5001,"&lt;="&amp;$B116,BD!$K$3:$K$5001,"&lt;&gt;")=0,"",SUMIFS(BD!$K$3:$K$5001,BD!$B$3:$B$5001,I$114,BD!$A$3:$A$5001,_xlfn.MAXIFS(BD!$A$3:$A$5001,BD!$B$3:$B$5001,I$114,BD!$A$3:$A$5001,"&gt;="&amp;$C$7,BD!$A$3:$A$5001,"&lt;="&amp;$B116,BD!$K$3:$K$5001,"&lt;&gt;"))))</f>
        <v/>
      </c>
      <c r="J116" s="43" t="str">
        <f>IF(OR($B116="",$A116&gt;$B$9,J$114=""),"",IF(COUNTIFS(BD!$B$3:$B$5001,J$114,BD!$A$3:$A$5001,"&gt;="&amp;$C$7,BD!$A$3:$A$5001,"&lt;="&amp;$B116,BD!$K$3:$K$5001,"&lt;&gt;")=0,"",SUMIFS(BD!$K$3:$K$5001,BD!$B$3:$B$5001,J$114,BD!$A$3:$A$5001,_xlfn.MAXIFS(BD!$A$3:$A$5001,BD!$B$3:$B$5001,J$114,BD!$A$3:$A$5001,"&gt;="&amp;$C$7,BD!$A$3:$A$5001,"&lt;="&amp;$B116,BD!$K$3:$K$5001,"&lt;&gt;"))))</f>
        <v/>
      </c>
      <c r="K116" s="43" t="str">
        <f>IF(OR($B116="",$A116&gt;$B$9,K$114=""),"",IF(COUNTIFS(BD!$B$3:$B$5001,K$114,BD!$A$3:$A$5001,"&gt;="&amp;$C$7,BD!$A$3:$A$5001,"&lt;="&amp;$B116,BD!$K$3:$K$5001,"&lt;&gt;")=0,"",SUMIFS(BD!$K$3:$K$5001,BD!$B$3:$B$5001,K$114,BD!$A$3:$A$5001,_xlfn.MAXIFS(BD!$A$3:$A$5001,BD!$B$3:$B$5001,K$114,BD!$A$3:$A$5001,"&gt;="&amp;$C$7,BD!$A$3:$A$5001,"&lt;="&amp;$B116,BD!$K$3:$K$5001,"&lt;&gt;"))))</f>
        <v/>
      </c>
      <c r="L116" s="43" t="str">
        <f>IF(OR($B116="",$A116&gt;$B$9,L$114=""),"",IF(COUNTIFS(BD!$B$3:$B$5001,L$114,BD!$A$3:$A$5001,"&gt;="&amp;$C$7,BD!$A$3:$A$5001,"&lt;="&amp;$B116,BD!$K$3:$K$5001,"&lt;&gt;")=0,"",SUMIFS(BD!$K$3:$K$5001,BD!$B$3:$B$5001,L$114,BD!$A$3:$A$5001,_xlfn.MAXIFS(BD!$A$3:$A$5001,BD!$B$3:$B$5001,L$114,BD!$A$3:$A$5001,"&gt;="&amp;$C$7,BD!$A$3:$A$5001,"&lt;="&amp;$B116,BD!$K$3:$K$5001,"&lt;&gt;"))))</f>
        <v/>
      </c>
      <c r="M116" s="43" t="str">
        <f>IF(OR($B116="",$A116&gt;$B$9,M$114=""),"",IF(COUNTIFS(BD!$B$3:$B$5001,M$114,BD!$A$3:$A$5001,"&gt;="&amp;$C$7,BD!$A$3:$A$5001,"&lt;="&amp;$B116,BD!$K$3:$K$5001,"&lt;&gt;")=0,"",SUMIFS(BD!$K$3:$K$5001,BD!$B$3:$B$5001,M$114,BD!$A$3:$A$5001,_xlfn.MAXIFS(BD!$A$3:$A$5001,BD!$B$3:$B$5001,M$114,BD!$A$3:$A$5001,"&gt;="&amp;$C$7,BD!$A$3:$A$5001,"&lt;="&amp;$B116,BD!$K$3:$K$5001,"&lt;&gt;"))))</f>
        <v/>
      </c>
      <c r="N116" s="43" t="str">
        <f>IF(OR($B116="",$A116&gt;$B$9,N$114=""),"",IF(COUNTIFS(BD!$B$3:$B$5001,N$114,BD!$A$3:$A$5001,"&gt;="&amp;$C$7,BD!$A$3:$A$5001,"&lt;="&amp;$B116,BD!$K$3:$K$5001,"&lt;&gt;")=0,"",SUMIFS(BD!$K$3:$K$5001,BD!$B$3:$B$5001,N$114,BD!$A$3:$A$5001,_xlfn.MAXIFS(BD!$A$3:$A$5001,BD!$B$3:$B$5001,N$114,BD!$A$3:$A$5001,"&gt;="&amp;$C$7,BD!$A$3:$A$5001,"&lt;="&amp;$B116,BD!$K$3:$K$5001,"&lt;&gt;"))))</f>
        <v/>
      </c>
      <c r="O116" s="43" t="str">
        <f>IF(OR($B116="",$A116&gt;$B$9,O$114=""),"",IF(COUNTIFS(BD!$B$3:$B$5001,O$114,BD!$A$3:$A$5001,"&gt;="&amp;$C$7,BD!$A$3:$A$5001,"&lt;="&amp;$B116,BD!$K$3:$K$5001,"&lt;&gt;")=0,"",SUMIFS(BD!$K$3:$K$5001,BD!$B$3:$B$5001,O$114,BD!$A$3:$A$5001,_xlfn.MAXIFS(BD!$A$3:$A$5001,BD!$B$3:$B$5001,O$114,BD!$A$3:$A$5001,"&gt;="&amp;$C$7,BD!$A$3:$A$5001,"&lt;="&amp;$B116,BD!$K$3:$K$5001,"&lt;&gt;"))))</f>
        <v/>
      </c>
      <c r="P116" s="43" t="str">
        <f>IF(OR($B116="",$A116&gt;$B$9,P$114=""),"",IF(COUNTIFS(BD!$B$3:$B$5001,P$114,BD!$A$3:$A$5001,"&gt;="&amp;$C$7,BD!$A$3:$A$5001,"&lt;="&amp;$B116,BD!$K$3:$K$5001,"&lt;&gt;")=0,"",SUMIFS(BD!$K$3:$K$5001,BD!$B$3:$B$5001,P$114,BD!$A$3:$A$5001,_xlfn.MAXIFS(BD!$A$3:$A$5001,BD!$B$3:$B$5001,P$114,BD!$A$3:$A$5001,"&gt;="&amp;$C$7,BD!$A$3:$A$5001,"&lt;="&amp;$B116,BD!$K$3:$K$5001,"&lt;&gt;"))))</f>
        <v/>
      </c>
      <c r="Q116" s="43" t="str">
        <f>IF(OR($B116="",$A116&gt;$B$9,Q$114=""),"",IF(COUNTIFS(BD!$B$3:$B$5001,Q$114,BD!$A$3:$A$5001,"&gt;="&amp;$C$7,BD!$A$3:$A$5001,"&lt;="&amp;$B116,BD!$K$3:$K$5001,"&lt;&gt;")=0,"",SUMIFS(BD!$K$3:$K$5001,BD!$B$3:$B$5001,Q$114,BD!$A$3:$A$5001,_xlfn.MAXIFS(BD!$A$3:$A$5001,BD!$B$3:$B$5001,Q$114,BD!$A$3:$A$5001,"&gt;="&amp;$C$7,BD!$A$3:$A$5001,"&lt;="&amp;$B116,BD!$K$3:$K$5001,"&lt;&gt;"))))</f>
        <v/>
      </c>
      <c r="R116" s="43" t="str">
        <f>IF(OR($B116="",$A116&gt;$B$9,R$114=""),"",IF(COUNTIFS(BD!$B$3:$B$5001,R$114,BD!$A$3:$A$5001,"&gt;="&amp;$C$7,BD!$A$3:$A$5001,"&lt;="&amp;$B116,BD!$K$3:$K$5001,"&lt;&gt;")=0,"",SUMIFS(BD!$K$3:$K$5001,BD!$B$3:$B$5001,R$114,BD!$A$3:$A$5001,_xlfn.MAXIFS(BD!$A$3:$A$5001,BD!$B$3:$B$5001,R$114,BD!$A$3:$A$5001,"&gt;="&amp;$C$7,BD!$A$3:$A$5001,"&lt;="&amp;$B116,BD!$K$3:$K$5001,"&lt;&gt;"))))</f>
        <v/>
      </c>
      <c r="S116" s="43" t="str">
        <f>IF(OR($B116="",$A116&gt;$B$9,S$114=""),"",IF(COUNTIFS(BD!$B$3:$B$5001,S$114,BD!$A$3:$A$5001,"&gt;="&amp;$C$7,BD!$A$3:$A$5001,"&lt;="&amp;$B116,BD!$K$3:$K$5001,"&lt;&gt;")=0,"",SUMIFS(BD!$K$3:$K$5001,BD!$B$3:$B$5001,S$114,BD!$A$3:$A$5001,_xlfn.MAXIFS(BD!$A$3:$A$5001,BD!$B$3:$B$5001,S$114,BD!$A$3:$A$5001,"&gt;="&amp;$C$7,BD!$A$3:$A$5001,"&lt;="&amp;$B116,BD!$K$3:$K$5001,"&lt;&gt;"))))</f>
        <v/>
      </c>
      <c r="T116" s="43" t="str">
        <f>IF(OR($B116="",$A116&gt;$B$9,T$114=""),"",IF(COUNTIFS(BD!$B$3:$B$5001,T$114,BD!$A$3:$A$5001,"&gt;="&amp;$C$7,BD!$A$3:$A$5001,"&lt;="&amp;$B116,BD!$K$3:$K$5001,"&lt;&gt;")=0,"",SUMIFS(BD!$K$3:$K$5001,BD!$B$3:$B$5001,T$114,BD!$A$3:$A$5001,_xlfn.MAXIFS(BD!$A$3:$A$5001,BD!$B$3:$B$5001,T$114,BD!$A$3:$A$5001,"&gt;="&amp;$C$7,BD!$A$3:$A$5001,"&lt;="&amp;$B116,BD!$K$3:$K$5001,"&lt;&gt;"))))</f>
        <v/>
      </c>
      <c r="U116" s="43" t="str">
        <f>IF(OR($B116="",$A116&gt;$B$9,U$114=""),"",IF(COUNTIFS(BD!$B$3:$B$5001,U$114,BD!$A$3:$A$5001,"&gt;="&amp;$C$7,BD!$A$3:$A$5001,"&lt;="&amp;$B116,BD!$K$3:$K$5001,"&lt;&gt;")=0,"",SUMIFS(BD!$K$3:$K$5001,BD!$B$3:$B$5001,U$114,BD!$A$3:$A$5001,_xlfn.MAXIFS(BD!$A$3:$A$5001,BD!$B$3:$B$5001,U$114,BD!$A$3:$A$5001,"&gt;="&amp;$C$7,BD!$A$3:$A$5001,"&lt;="&amp;$B116,BD!$K$3:$K$5001,"&lt;&gt;"))))</f>
        <v/>
      </c>
      <c r="V116" s="43" t="str">
        <f>IF(OR($B116="",$A116&gt;$B$9,V$114=""),"",IF(COUNTIFS(BD!$B$3:$B$5001,V$114,BD!$A$3:$A$5001,"&gt;="&amp;$C$7,BD!$A$3:$A$5001,"&lt;="&amp;$B116,BD!$K$3:$K$5001,"&lt;&gt;")=0,"",SUMIFS(BD!$K$3:$K$5001,BD!$B$3:$B$5001,V$114,BD!$A$3:$A$5001,_xlfn.MAXIFS(BD!$A$3:$A$5001,BD!$B$3:$B$5001,V$114,BD!$A$3:$A$5001,"&gt;="&amp;$C$7,BD!$A$3:$A$5001,"&lt;="&amp;$B116,BD!$K$3:$K$5001,"&lt;&gt;"))))</f>
        <v/>
      </c>
    </row>
    <row r="117">
      <c r="A117" s="38">
        <v>3</v>
      </c>
      <c r="B117" s="42">
        <f>$B$14</f>
        <v>46298</v>
      </c>
      <c r="C117" s="43" t="str">
        <f>IF(OR($B117="",$A117&gt;$B$9,C$114=""),"",IF(COUNTIFS(BD!$B$3:$B$5001,C$114,BD!$A$3:$A$5001,"&gt;="&amp;$C$7,BD!$A$3:$A$5001,"&lt;="&amp;$B117,BD!$K$3:$K$5001,"&lt;&gt;")=0,"",SUMIFS(BD!$K$3:$K$5001,BD!$B$3:$B$5001,C$114,BD!$A$3:$A$5001,_xlfn.MAXIFS(BD!$A$3:$A$5001,BD!$B$3:$B$5001,C$114,BD!$A$3:$A$5001,"&gt;="&amp;$C$7,BD!$A$3:$A$5001,"&lt;="&amp;$B117,BD!$K$3:$K$5001,"&lt;&gt;"))))</f>
        <v/>
      </c>
      <c r="D117" s="43" t="str">
        <f>IF(OR($B117="",$A117&gt;$B$9,D$114=""),"",IF(COUNTIFS(BD!$B$3:$B$5001,D$114,BD!$A$3:$A$5001,"&gt;="&amp;$C$7,BD!$A$3:$A$5001,"&lt;="&amp;$B117,BD!$K$3:$K$5001,"&lt;&gt;")=0,"",SUMIFS(BD!$K$3:$K$5001,BD!$B$3:$B$5001,D$114,BD!$A$3:$A$5001,_xlfn.MAXIFS(BD!$A$3:$A$5001,BD!$B$3:$B$5001,D$114,BD!$A$3:$A$5001,"&gt;="&amp;$C$7,BD!$A$3:$A$5001,"&lt;="&amp;$B117,BD!$K$3:$K$5001,"&lt;&gt;"))))</f>
        <v/>
      </c>
      <c r="E117" s="43" t="str">
        <f>IF(OR($B117="",$A117&gt;$B$9,E$114=""),"",IF(COUNTIFS(BD!$B$3:$B$5001,E$114,BD!$A$3:$A$5001,"&gt;="&amp;$C$7,BD!$A$3:$A$5001,"&lt;="&amp;$B117,BD!$K$3:$K$5001,"&lt;&gt;")=0,"",SUMIFS(BD!$K$3:$K$5001,BD!$B$3:$B$5001,E$114,BD!$A$3:$A$5001,_xlfn.MAXIFS(BD!$A$3:$A$5001,BD!$B$3:$B$5001,E$114,BD!$A$3:$A$5001,"&gt;="&amp;$C$7,BD!$A$3:$A$5001,"&lt;="&amp;$B117,BD!$K$3:$K$5001,"&lt;&gt;"))))</f>
        <v/>
      </c>
      <c r="F117" s="43" t="str">
        <f>IF(OR($B117="",$A117&gt;$B$9,F$114=""),"",IF(COUNTIFS(BD!$B$3:$B$5001,F$114,BD!$A$3:$A$5001,"&gt;="&amp;$C$7,BD!$A$3:$A$5001,"&lt;="&amp;$B117,BD!$K$3:$K$5001,"&lt;&gt;")=0,"",SUMIFS(BD!$K$3:$K$5001,BD!$B$3:$B$5001,F$114,BD!$A$3:$A$5001,_xlfn.MAXIFS(BD!$A$3:$A$5001,BD!$B$3:$B$5001,F$114,BD!$A$3:$A$5001,"&gt;="&amp;$C$7,BD!$A$3:$A$5001,"&lt;="&amp;$B117,BD!$K$3:$K$5001,"&lt;&gt;"))))</f>
        <v/>
      </c>
      <c r="G117" s="43" t="str">
        <f>IF(OR($B117="",$A117&gt;$B$9,G$114=""),"",IF(COUNTIFS(BD!$B$3:$B$5001,G$114,BD!$A$3:$A$5001,"&gt;="&amp;$C$7,BD!$A$3:$A$5001,"&lt;="&amp;$B117,BD!$K$3:$K$5001,"&lt;&gt;")=0,"",SUMIFS(BD!$K$3:$K$5001,BD!$B$3:$B$5001,G$114,BD!$A$3:$A$5001,_xlfn.MAXIFS(BD!$A$3:$A$5001,BD!$B$3:$B$5001,G$114,BD!$A$3:$A$5001,"&gt;="&amp;$C$7,BD!$A$3:$A$5001,"&lt;="&amp;$B117,BD!$K$3:$K$5001,"&lt;&gt;"))))</f>
        <v/>
      </c>
      <c r="H117" s="43" t="str">
        <f>IF(OR($B117="",$A117&gt;$B$9,H$114=""),"",IF(COUNTIFS(BD!$B$3:$B$5001,H$114,BD!$A$3:$A$5001,"&gt;="&amp;$C$7,BD!$A$3:$A$5001,"&lt;="&amp;$B117,BD!$K$3:$K$5001,"&lt;&gt;")=0,"",SUMIFS(BD!$K$3:$K$5001,BD!$B$3:$B$5001,H$114,BD!$A$3:$A$5001,_xlfn.MAXIFS(BD!$A$3:$A$5001,BD!$B$3:$B$5001,H$114,BD!$A$3:$A$5001,"&gt;="&amp;$C$7,BD!$A$3:$A$5001,"&lt;="&amp;$B117,BD!$K$3:$K$5001,"&lt;&gt;"))))</f>
        <v/>
      </c>
      <c r="I117" s="43" t="str">
        <f>IF(OR($B117="",$A117&gt;$B$9,I$114=""),"",IF(COUNTIFS(BD!$B$3:$B$5001,I$114,BD!$A$3:$A$5001,"&gt;="&amp;$C$7,BD!$A$3:$A$5001,"&lt;="&amp;$B117,BD!$K$3:$K$5001,"&lt;&gt;")=0,"",SUMIFS(BD!$K$3:$K$5001,BD!$B$3:$B$5001,I$114,BD!$A$3:$A$5001,_xlfn.MAXIFS(BD!$A$3:$A$5001,BD!$B$3:$B$5001,I$114,BD!$A$3:$A$5001,"&gt;="&amp;$C$7,BD!$A$3:$A$5001,"&lt;="&amp;$B117,BD!$K$3:$K$5001,"&lt;&gt;"))))</f>
        <v/>
      </c>
      <c r="J117" s="43" t="str">
        <f>IF(OR($B117="",$A117&gt;$B$9,J$114=""),"",IF(COUNTIFS(BD!$B$3:$B$5001,J$114,BD!$A$3:$A$5001,"&gt;="&amp;$C$7,BD!$A$3:$A$5001,"&lt;="&amp;$B117,BD!$K$3:$K$5001,"&lt;&gt;")=0,"",SUMIFS(BD!$K$3:$K$5001,BD!$B$3:$B$5001,J$114,BD!$A$3:$A$5001,_xlfn.MAXIFS(BD!$A$3:$A$5001,BD!$B$3:$B$5001,J$114,BD!$A$3:$A$5001,"&gt;="&amp;$C$7,BD!$A$3:$A$5001,"&lt;="&amp;$B117,BD!$K$3:$K$5001,"&lt;&gt;"))))</f>
        <v/>
      </c>
      <c r="K117" s="43" t="str">
        <f>IF(OR($B117="",$A117&gt;$B$9,K$114=""),"",IF(COUNTIFS(BD!$B$3:$B$5001,K$114,BD!$A$3:$A$5001,"&gt;="&amp;$C$7,BD!$A$3:$A$5001,"&lt;="&amp;$B117,BD!$K$3:$K$5001,"&lt;&gt;")=0,"",SUMIFS(BD!$K$3:$K$5001,BD!$B$3:$B$5001,K$114,BD!$A$3:$A$5001,_xlfn.MAXIFS(BD!$A$3:$A$5001,BD!$B$3:$B$5001,K$114,BD!$A$3:$A$5001,"&gt;="&amp;$C$7,BD!$A$3:$A$5001,"&lt;="&amp;$B117,BD!$K$3:$K$5001,"&lt;&gt;"))))</f>
        <v/>
      </c>
      <c r="L117" s="43" t="str">
        <f>IF(OR($B117="",$A117&gt;$B$9,L$114=""),"",IF(COUNTIFS(BD!$B$3:$B$5001,L$114,BD!$A$3:$A$5001,"&gt;="&amp;$C$7,BD!$A$3:$A$5001,"&lt;="&amp;$B117,BD!$K$3:$K$5001,"&lt;&gt;")=0,"",SUMIFS(BD!$K$3:$K$5001,BD!$B$3:$B$5001,L$114,BD!$A$3:$A$5001,_xlfn.MAXIFS(BD!$A$3:$A$5001,BD!$B$3:$B$5001,L$114,BD!$A$3:$A$5001,"&gt;="&amp;$C$7,BD!$A$3:$A$5001,"&lt;="&amp;$B117,BD!$K$3:$K$5001,"&lt;&gt;"))))</f>
        <v/>
      </c>
      <c r="M117" s="43" t="str">
        <f>IF(OR($B117="",$A117&gt;$B$9,M$114=""),"",IF(COUNTIFS(BD!$B$3:$B$5001,M$114,BD!$A$3:$A$5001,"&gt;="&amp;$C$7,BD!$A$3:$A$5001,"&lt;="&amp;$B117,BD!$K$3:$K$5001,"&lt;&gt;")=0,"",SUMIFS(BD!$K$3:$K$5001,BD!$B$3:$B$5001,M$114,BD!$A$3:$A$5001,_xlfn.MAXIFS(BD!$A$3:$A$5001,BD!$B$3:$B$5001,M$114,BD!$A$3:$A$5001,"&gt;="&amp;$C$7,BD!$A$3:$A$5001,"&lt;="&amp;$B117,BD!$K$3:$K$5001,"&lt;&gt;"))))</f>
        <v/>
      </c>
      <c r="N117" s="43" t="str">
        <f>IF(OR($B117="",$A117&gt;$B$9,N$114=""),"",IF(COUNTIFS(BD!$B$3:$B$5001,N$114,BD!$A$3:$A$5001,"&gt;="&amp;$C$7,BD!$A$3:$A$5001,"&lt;="&amp;$B117,BD!$K$3:$K$5001,"&lt;&gt;")=0,"",SUMIFS(BD!$K$3:$K$5001,BD!$B$3:$B$5001,N$114,BD!$A$3:$A$5001,_xlfn.MAXIFS(BD!$A$3:$A$5001,BD!$B$3:$B$5001,N$114,BD!$A$3:$A$5001,"&gt;="&amp;$C$7,BD!$A$3:$A$5001,"&lt;="&amp;$B117,BD!$K$3:$K$5001,"&lt;&gt;"))))</f>
        <v/>
      </c>
      <c r="O117" s="43" t="str">
        <f>IF(OR($B117="",$A117&gt;$B$9,O$114=""),"",IF(COUNTIFS(BD!$B$3:$B$5001,O$114,BD!$A$3:$A$5001,"&gt;="&amp;$C$7,BD!$A$3:$A$5001,"&lt;="&amp;$B117,BD!$K$3:$K$5001,"&lt;&gt;")=0,"",SUMIFS(BD!$K$3:$K$5001,BD!$B$3:$B$5001,O$114,BD!$A$3:$A$5001,_xlfn.MAXIFS(BD!$A$3:$A$5001,BD!$B$3:$B$5001,O$114,BD!$A$3:$A$5001,"&gt;="&amp;$C$7,BD!$A$3:$A$5001,"&lt;="&amp;$B117,BD!$K$3:$K$5001,"&lt;&gt;"))))</f>
        <v/>
      </c>
      <c r="P117" s="43" t="str">
        <f>IF(OR($B117="",$A117&gt;$B$9,P$114=""),"",IF(COUNTIFS(BD!$B$3:$B$5001,P$114,BD!$A$3:$A$5001,"&gt;="&amp;$C$7,BD!$A$3:$A$5001,"&lt;="&amp;$B117,BD!$K$3:$K$5001,"&lt;&gt;")=0,"",SUMIFS(BD!$K$3:$K$5001,BD!$B$3:$B$5001,P$114,BD!$A$3:$A$5001,_xlfn.MAXIFS(BD!$A$3:$A$5001,BD!$B$3:$B$5001,P$114,BD!$A$3:$A$5001,"&gt;="&amp;$C$7,BD!$A$3:$A$5001,"&lt;="&amp;$B117,BD!$K$3:$K$5001,"&lt;&gt;"))))</f>
        <v/>
      </c>
      <c r="Q117" s="43" t="str">
        <f>IF(OR($B117="",$A117&gt;$B$9,Q$114=""),"",IF(COUNTIFS(BD!$B$3:$B$5001,Q$114,BD!$A$3:$A$5001,"&gt;="&amp;$C$7,BD!$A$3:$A$5001,"&lt;="&amp;$B117,BD!$K$3:$K$5001,"&lt;&gt;")=0,"",SUMIFS(BD!$K$3:$K$5001,BD!$B$3:$B$5001,Q$114,BD!$A$3:$A$5001,_xlfn.MAXIFS(BD!$A$3:$A$5001,BD!$B$3:$B$5001,Q$114,BD!$A$3:$A$5001,"&gt;="&amp;$C$7,BD!$A$3:$A$5001,"&lt;="&amp;$B117,BD!$K$3:$K$5001,"&lt;&gt;"))))</f>
        <v/>
      </c>
      <c r="R117" s="43" t="str">
        <f>IF(OR($B117="",$A117&gt;$B$9,R$114=""),"",IF(COUNTIFS(BD!$B$3:$B$5001,R$114,BD!$A$3:$A$5001,"&gt;="&amp;$C$7,BD!$A$3:$A$5001,"&lt;="&amp;$B117,BD!$K$3:$K$5001,"&lt;&gt;")=0,"",SUMIFS(BD!$K$3:$K$5001,BD!$B$3:$B$5001,R$114,BD!$A$3:$A$5001,_xlfn.MAXIFS(BD!$A$3:$A$5001,BD!$B$3:$B$5001,R$114,BD!$A$3:$A$5001,"&gt;="&amp;$C$7,BD!$A$3:$A$5001,"&lt;="&amp;$B117,BD!$K$3:$K$5001,"&lt;&gt;"))))</f>
        <v/>
      </c>
      <c r="S117" s="43" t="str">
        <f>IF(OR($B117="",$A117&gt;$B$9,S$114=""),"",IF(COUNTIFS(BD!$B$3:$B$5001,S$114,BD!$A$3:$A$5001,"&gt;="&amp;$C$7,BD!$A$3:$A$5001,"&lt;="&amp;$B117,BD!$K$3:$K$5001,"&lt;&gt;")=0,"",SUMIFS(BD!$K$3:$K$5001,BD!$B$3:$B$5001,S$114,BD!$A$3:$A$5001,_xlfn.MAXIFS(BD!$A$3:$A$5001,BD!$B$3:$B$5001,S$114,BD!$A$3:$A$5001,"&gt;="&amp;$C$7,BD!$A$3:$A$5001,"&lt;="&amp;$B117,BD!$K$3:$K$5001,"&lt;&gt;"))))</f>
        <v/>
      </c>
      <c r="T117" s="43" t="str">
        <f>IF(OR($B117="",$A117&gt;$B$9,T$114=""),"",IF(COUNTIFS(BD!$B$3:$B$5001,T$114,BD!$A$3:$A$5001,"&gt;="&amp;$C$7,BD!$A$3:$A$5001,"&lt;="&amp;$B117,BD!$K$3:$K$5001,"&lt;&gt;")=0,"",SUMIFS(BD!$K$3:$K$5001,BD!$B$3:$B$5001,T$114,BD!$A$3:$A$5001,_xlfn.MAXIFS(BD!$A$3:$A$5001,BD!$B$3:$B$5001,T$114,BD!$A$3:$A$5001,"&gt;="&amp;$C$7,BD!$A$3:$A$5001,"&lt;="&amp;$B117,BD!$K$3:$K$5001,"&lt;&gt;"))))</f>
        <v/>
      </c>
      <c r="U117" s="43" t="str">
        <f>IF(OR($B117="",$A117&gt;$B$9,U$114=""),"",IF(COUNTIFS(BD!$B$3:$B$5001,U$114,BD!$A$3:$A$5001,"&gt;="&amp;$C$7,BD!$A$3:$A$5001,"&lt;="&amp;$B117,BD!$K$3:$K$5001,"&lt;&gt;")=0,"",SUMIFS(BD!$K$3:$K$5001,BD!$B$3:$B$5001,U$114,BD!$A$3:$A$5001,_xlfn.MAXIFS(BD!$A$3:$A$5001,BD!$B$3:$B$5001,U$114,BD!$A$3:$A$5001,"&gt;="&amp;$C$7,BD!$A$3:$A$5001,"&lt;="&amp;$B117,BD!$K$3:$K$5001,"&lt;&gt;"))))</f>
        <v/>
      </c>
      <c r="V117" s="43" t="str">
        <f>IF(OR($B117="",$A117&gt;$B$9,V$114=""),"",IF(COUNTIFS(BD!$B$3:$B$5001,V$114,BD!$A$3:$A$5001,"&gt;="&amp;$C$7,BD!$A$3:$A$5001,"&lt;="&amp;$B117,BD!$K$3:$K$5001,"&lt;&gt;")=0,"",SUMIFS(BD!$K$3:$K$5001,BD!$B$3:$B$5001,V$114,BD!$A$3:$A$5001,_xlfn.MAXIFS(BD!$A$3:$A$5001,BD!$B$3:$B$5001,V$114,BD!$A$3:$A$5001,"&gt;="&amp;$C$7,BD!$A$3:$A$5001,"&lt;="&amp;$B117,BD!$K$3:$K$5001,"&lt;&gt;"))))</f>
        <v/>
      </c>
    </row>
    <row r="118">
      <c r="A118" s="38">
        <v>4</v>
      </c>
      <c r="B118" s="42">
        <f>$B$15</f>
        <v>46299</v>
      </c>
      <c r="C118" s="43" t="str">
        <f>IF(OR($B118="",$A118&gt;$B$9,C$114=""),"",IF(COUNTIFS(BD!$B$3:$B$5001,C$114,BD!$A$3:$A$5001,"&gt;="&amp;$C$7,BD!$A$3:$A$5001,"&lt;="&amp;$B118,BD!$K$3:$K$5001,"&lt;&gt;")=0,"",SUMIFS(BD!$K$3:$K$5001,BD!$B$3:$B$5001,C$114,BD!$A$3:$A$5001,_xlfn.MAXIFS(BD!$A$3:$A$5001,BD!$B$3:$B$5001,C$114,BD!$A$3:$A$5001,"&gt;="&amp;$C$7,BD!$A$3:$A$5001,"&lt;="&amp;$B118,BD!$K$3:$K$5001,"&lt;&gt;"))))</f>
        <v/>
      </c>
      <c r="D118" s="43" t="str">
        <f>IF(OR($B118="",$A118&gt;$B$9,D$114=""),"",IF(COUNTIFS(BD!$B$3:$B$5001,D$114,BD!$A$3:$A$5001,"&gt;="&amp;$C$7,BD!$A$3:$A$5001,"&lt;="&amp;$B118,BD!$K$3:$K$5001,"&lt;&gt;")=0,"",SUMIFS(BD!$K$3:$K$5001,BD!$B$3:$B$5001,D$114,BD!$A$3:$A$5001,_xlfn.MAXIFS(BD!$A$3:$A$5001,BD!$B$3:$B$5001,D$114,BD!$A$3:$A$5001,"&gt;="&amp;$C$7,BD!$A$3:$A$5001,"&lt;="&amp;$B118,BD!$K$3:$K$5001,"&lt;&gt;"))))</f>
        <v/>
      </c>
      <c r="E118" s="43" t="str">
        <f>IF(OR($B118="",$A118&gt;$B$9,E$114=""),"",IF(COUNTIFS(BD!$B$3:$B$5001,E$114,BD!$A$3:$A$5001,"&gt;="&amp;$C$7,BD!$A$3:$A$5001,"&lt;="&amp;$B118,BD!$K$3:$K$5001,"&lt;&gt;")=0,"",SUMIFS(BD!$K$3:$K$5001,BD!$B$3:$B$5001,E$114,BD!$A$3:$A$5001,_xlfn.MAXIFS(BD!$A$3:$A$5001,BD!$B$3:$B$5001,E$114,BD!$A$3:$A$5001,"&gt;="&amp;$C$7,BD!$A$3:$A$5001,"&lt;="&amp;$B118,BD!$K$3:$K$5001,"&lt;&gt;"))))</f>
        <v/>
      </c>
      <c r="F118" s="43" t="str">
        <f>IF(OR($B118="",$A118&gt;$B$9,F$114=""),"",IF(COUNTIFS(BD!$B$3:$B$5001,F$114,BD!$A$3:$A$5001,"&gt;="&amp;$C$7,BD!$A$3:$A$5001,"&lt;="&amp;$B118,BD!$K$3:$K$5001,"&lt;&gt;")=0,"",SUMIFS(BD!$K$3:$K$5001,BD!$B$3:$B$5001,F$114,BD!$A$3:$A$5001,_xlfn.MAXIFS(BD!$A$3:$A$5001,BD!$B$3:$B$5001,F$114,BD!$A$3:$A$5001,"&gt;="&amp;$C$7,BD!$A$3:$A$5001,"&lt;="&amp;$B118,BD!$K$3:$K$5001,"&lt;&gt;"))))</f>
        <v/>
      </c>
      <c r="G118" s="43" t="str">
        <f>IF(OR($B118="",$A118&gt;$B$9,G$114=""),"",IF(COUNTIFS(BD!$B$3:$B$5001,G$114,BD!$A$3:$A$5001,"&gt;="&amp;$C$7,BD!$A$3:$A$5001,"&lt;="&amp;$B118,BD!$K$3:$K$5001,"&lt;&gt;")=0,"",SUMIFS(BD!$K$3:$K$5001,BD!$B$3:$B$5001,G$114,BD!$A$3:$A$5001,_xlfn.MAXIFS(BD!$A$3:$A$5001,BD!$B$3:$B$5001,G$114,BD!$A$3:$A$5001,"&gt;="&amp;$C$7,BD!$A$3:$A$5001,"&lt;="&amp;$B118,BD!$K$3:$K$5001,"&lt;&gt;"))))</f>
        <v/>
      </c>
      <c r="H118" s="43" t="str">
        <f>IF(OR($B118="",$A118&gt;$B$9,H$114=""),"",IF(COUNTIFS(BD!$B$3:$B$5001,H$114,BD!$A$3:$A$5001,"&gt;="&amp;$C$7,BD!$A$3:$A$5001,"&lt;="&amp;$B118,BD!$K$3:$K$5001,"&lt;&gt;")=0,"",SUMIFS(BD!$K$3:$K$5001,BD!$B$3:$B$5001,H$114,BD!$A$3:$A$5001,_xlfn.MAXIFS(BD!$A$3:$A$5001,BD!$B$3:$B$5001,H$114,BD!$A$3:$A$5001,"&gt;="&amp;$C$7,BD!$A$3:$A$5001,"&lt;="&amp;$B118,BD!$K$3:$K$5001,"&lt;&gt;"))))</f>
        <v/>
      </c>
      <c r="I118" s="43" t="str">
        <f>IF(OR($B118="",$A118&gt;$B$9,I$114=""),"",IF(COUNTIFS(BD!$B$3:$B$5001,I$114,BD!$A$3:$A$5001,"&gt;="&amp;$C$7,BD!$A$3:$A$5001,"&lt;="&amp;$B118,BD!$K$3:$K$5001,"&lt;&gt;")=0,"",SUMIFS(BD!$K$3:$K$5001,BD!$B$3:$B$5001,I$114,BD!$A$3:$A$5001,_xlfn.MAXIFS(BD!$A$3:$A$5001,BD!$B$3:$B$5001,I$114,BD!$A$3:$A$5001,"&gt;="&amp;$C$7,BD!$A$3:$A$5001,"&lt;="&amp;$B118,BD!$K$3:$K$5001,"&lt;&gt;"))))</f>
        <v/>
      </c>
      <c r="J118" s="43" t="str">
        <f>IF(OR($B118="",$A118&gt;$B$9,J$114=""),"",IF(COUNTIFS(BD!$B$3:$B$5001,J$114,BD!$A$3:$A$5001,"&gt;="&amp;$C$7,BD!$A$3:$A$5001,"&lt;="&amp;$B118,BD!$K$3:$K$5001,"&lt;&gt;")=0,"",SUMIFS(BD!$K$3:$K$5001,BD!$B$3:$B$5001,J$114,BD!$A$3:$A$5001,_xlfn.MAXIFS(BD!$A$3:$A$5001,BD!$B$3:$B$5001,J$114,BD!$A$3:$A$5001,"&gt;="&amp;$C$7,BD!$A$3:$A$5001,"&lt;="&amp;$B118,BD!$K$3:$K$5001,"&lt;&gt;"))))</f>
        <v/>
      </c>
      <c r="K118" s="43" t="str">
        <f>IF(OR($B118="",$A118&gt;$B$9,K$114=""),"",IF(COUNTIFS(BD!$B$3:$B$5001,K$114,BD!$A$3:$A$5001,"&gt;="&amp;$C$7,BD!$A$3:$A$5001,"&lt;="&amp;$B118,BD!$K$3:$K$5001,"&lt;&gt;")=0,"",SUMIFS(BD!$K$3:$K$5001,BD!$B$3:$B$5001,K$114,BD!$A$3:$A$5001,_xlfn.MAXIFS(BD!$A$3:$A$5001,BD!$B$3:$B$5001,K$114,BD!$A$3:$A$5001,"&gt;="&amp;$C$7,BD!$A$3:$A$5001,"&lt;="&amp;$B118,BD!$K$3:$K$5001,"&lt;&gt;"))))</f>
        <v/>
      </c>
      <c r="L118" s="43" t="str">
        <f>IF(OR($B118="",$A118&gt;$B$9,L$114=""),"",IF(COUNTIFS(BD!$B$3:$B$5001,L$114,BD!$A$3:$A$5001,"&gt;="&amp;$C$7,BD!$A$3:$A$5001,"&lt;="&amp;$B118,BD!$K$3:$K$5001,"&lt;&gt;")=0,"",SUMIFS(BD!$K$3:$K$5001,BD!$B$3:$B$5001,L$114,BD!$A$3:$A$5001,_xlfn.MAXIFS(BD!$A$3:$A$5001,BD!$B$3:$B$5001,L$114,BD!$A$3:$A$5001,"&gt;="&amp;$C$7,BD!$A$3:$A$5001,"&lt;="&amp;$B118,BD!$K$3:$K$5001,"&lt;&gt;"))))</f>
        <v/>
      </c>
      <c r="M118" s="43" t="str">
        <f>IF(OR($B118="",$A118&gt;$B$9,M$114=""),"",IF(COUNTIFS(BD!$B$3:$B$5001,M$114,BD!$A$3:$A$5001,"&gt;="&amp;$C$7,BD!$A$3:$A$5001,"&lt;="&amp;$B118,BD!$K$3:$K$5001,"&lt;&gt;")=0,"",SUMIFS(BD!$K$3:$K$5001,BD!$B$3:$B$5001,M$114,BD!$A$3:$A$5001,_xlfn.MAXIFS(BD!$A$3:$A$5001,BD!$B$3:$B$5001,M$114,BD!$A$3:$A$5001,"&gt;="&amp;$C$7,BD!$A$3:$A$5001,"&lt;="&amp;$B118,BD!$K$3:$K$5001,"&lt;&gt;"))))</f>
        <v/>
      </c>
      <c r="N118" s="43" t="str">
        <f>IF(OR($B118="",$A118&gt;$B$9,N$114=""),"",IF(COUNTIFS(BD!$B$3:$B$5001,N$114,BD!$A$3:$A$5001,"&gt;="&amp;$C$7,BD!$A$3:$A$5001,"&lt;="&amp;$B118,BD!$K$3:$K$5001,"&lt;&gt;")=0,"",SUMIFS(BD!$K$3:$K$5001,BD!$B$3:$B$5001,N$114,BD!$A$3:$A$5001,_xlfn.MAXIFS(BD!$A$3:$A$5001,BD!$B$3:$B$5001,N$114,BD!$A$3:$A$5001,"&gt;="&amp;$C$7,BD!$A$3:$A$5001,"&lt;="&amp;$B118,BD!$K$3:$K$5001,"&lt;&gt;"))))</f>
        <v/>
      </c>
      <c r="O118" s="43" t="str">
        <f>IF(OR($B118="",$A118&gt;$B$9,O$114=""),"",IF(COUNTIFS(BD!$B$3:$B$5001,O$114,BD!$A$3:$A$5001,"&gt;="&amp;$C$7,BD!$A$3:$A$5001,"&lt;="&amp;$B118,BD!$K$3:$K$5001,"&lt;&gt;")=0,"",SUMIFS(BD!$K$3:$K$5001,BD!$B$3:$B$5001,O$114,BD!$A$3:$A$5001,_xlfn.MAXIFS(BD!$A$3:$A$5001,BD!$B$3:$B$5001,O$114,BD!$A$3:$A$5001,"&gt;="&amp;$C$7,BD!$A$3:$A$5001,"&lt;="&amp;$B118,BD!$K$3:$K$5001,"&lt;&gt;"))))</f>
        <v/>
      </c>
      <c r="P118" s="43" t="str">
        <f>IF(OR($B118="",$A118&gt;$B$9,P$114=""),"",IF(COUNTIFS(BD!$B$3:$B$5001,P$114,BD!$A$3:$A$5001,"&gt;="&amp;$C$7,BD!$A$3:$A$5001,"&lt;="&amp;$B118,BD!$K$3:$K$5001,"&lt;&gt;")=0,"",SUMIFS(BD!$K$3:$K$5001,BD!$B$3:$B$5001,P$114,BD!$A$3:$A$5001,_xlfn.MAXIFS(BD!$A$3:$A$5001,BD!$B$3:$B$5001,P$114,BD!$A$3:$A$5001,"&gt;="&amp;$C$7,BD!$A$3:$A$5001,"&lt;="&amp;$B118,BD!$K$3:$K$5001,"&lt;&gt;"))))</f>
        <v/>
      </c>
      <c r="Q118" s="43" t="str">
        <f>IF(OR($B118="",$A118&gt;$B$9,Q$114=""),"",IF(COUNTIFS(BD!$B$3:$B$5001,Q$114,BD!$A$3:$A$5001,"&gt;="&amp;$C$7,BD!$A$3:$A$5001,"&lt;="&amp;$B118,BD!$K$3:$K$5001,"&lt;&gt;")=0,"",SUMIFS(BD!$K$3:$K$5001,BD!$B$3:$B$5001,Q$114,BD!$A$3:$A$5001,_xlfn.MAXIFS(BD!$A$3:$A$5001,BD!$B$3:$B$5001,Q$114,BD!$A$3:$A$5001,"&gt;="&amp;$C$7,BD!$A$3:$A$5001,"&lt;="&amp;$B118,BD!$K$3:$K$5001,"&lt;&gt;"))))</f>
        <v/>
      </c>
      <c r="R118" s="43" t="str">
        <f>IF(OR($B118="",$A118&gt;$B$9,R$114=""),"",IF(COUNTIFS(BD!$B$3:$B$5001,R$114,BD!$A$3:$A$5001,"&gt;="&amp;$C$7,BD!$A$3:$A$5001,"&lt;="&amp;$B118,BD!$K$3:$K$5001,"&lt;&gt;")=0,"",SUMIFS(BD!$K$3:$K$5001,BD!$B$3:$B$5001,R$114,BD!$A$3:$A$5001,_xlfn.MAXIFS(BD!$A$3:$A$5001,BD!$B$3:$B$5001,R$114,BD!$A$3:$A$5001,"&gt;="&amp;$C$7,BD!$A$3:$A$5001,"&lt;="&amp;$B118,BD!$K$3:$K$5001,"&lt;&gt;"))))</f>
        <v/>
      </c>
      <c r="S118" s="43" t="str">
        <f>IF(OR($B118="",$A118&gt;$B$9,S$114=""),"",IF(COUNTIFS(BD!$B$3:$B$5001,S$114,BD!$A$3:$A$5001,"&gt;="&amp;$C$7,BD!$A$3:$A$5001,"&lt;="&amp;$B118,BD!$K$3:$K$5001,"&lt;&gt;")=0,"",SUMIFS(BD!$K$3:$K$5001,BD!$B$3:$B$5001,S$114,BD!$A$3:$A$5001,_xlfn.MAXIFS(BD!$A$3:$A$5001,BD!$B$3:$B$5001,S$114,BD!$A$3:$A$5001,"&gt;="&amp;$C$7,BD!$A$3:$A$5001,"&lt;="&amp;$B118,BD!$K$3:$K$5001,"&lt;&gt;"))))</f>
        <v/>
      </c>
      <c r="T118" s="43" t="str">
        <f>IF(OR($B118="",$A118&gt;$B$9,T$114=""),"",IF(COUNTIFS(BD!$B$3:$B$5001,T$114,BD!$A$3:$A$5001,"&gt;="&amp;$C$7,BD!$A$3:$A$5001,"&lt;="&amp;$B118,BD!$K$3:$K$5001,"&lt;&gt;")=0,"",SUMIFS(BD!$K$3:$K$5001,BD!$B$3:$B$5001,T$114,BD!$A$3:$A$5001,_xlfn.MAXIFS(BD!$A$3:$A$5001,BD!$B$3:$B$5001,T$114,BD!$A$3:$A$5001,"&gt;="&amp;$C$7,BD!$A$3:$A$5001,"&lt;="&amp;$B118,BD!$K$3:$K$5001,"&lt;&gt;"))))</f>
        <v/>
      </c>
      <c r="U118" s="43" t="str">
        <f>IF(OR($B118="",$A118&gt;$B$9,U$114=""),"",IF(COUNTIFS(BD!$B$3:$B$5001,U$114,BD!$A$3:$A$5001,"&gt;="&amp;$C$7,BD!$A$3:$A$5001,"&lt;="&amp;$B118,BD!$K$3:$K$5001,"&lt;&gt;")=0,"",SUMIFS(BD!$K$3:$K$5001,BD!$B$3:$B$5001,U$114,BD!$A$3:$A$5001,_xlfn.MAXIFS(BD!$A$3:$A$5001,BD!$B$3:$B$5001,U$114,BD!$A$3:$A$5001,"&gt;="&amp;$C$7,BD!$A$3:$A$5001,"&lt;="&amp;$B118,BD!$K$3:$K$5001,"&lt;&gt;"))))</f>
        <v/>
      </c>
      <c r="V118" s="43" t="str">
        <f>IF(OR($B118="",$A118&gt;$B$9,V$114=""),"",IF(COUNTIFS(BD!$B$3:$B$5001,V$114,BD!$A$3:$A$5001,"&gt;="&amp;$C$7,BD!$A$3:$A$5001,"&lt;="&amp;$B118,BD!$K$3:$K$5001,"&lt;&gt;")=0,"",SUMIFS(BD!$K$3:$K$5001,BD!$B$3:$B$5001,V$114,BD!$A$3:$A$5001,_xlfn.MAXIFS(BD!$A$3:$A$5001,BD!$B$3:$B$5001,V$114,BD!$A$3:$A$5001,"&gt;="&amp;$C$7,BD!$A$3:$A$5001,"&lt;="&amp;$B118,BD!$K$3:$K$5001,"&lt;&gt;"))))</f>
        <v/>
      </c>
    </row>
    <row r="119">
      <c r="A119" s="38">
        <v>5</v>
      </c>
      <c r="B119" s="42">
        <f>$B$16</f>
        <v>46300</v>
      </c>
      <c r="C119" s="43" t="str">
        <f>IF(OR($B119="",$A119&gt;$B$9,C$114=""),"",IF(COUNTIFS(BD!$B$3:$B$5001,C$114,BD!$A$3:$A$5001,"&gt;="&amp;$C$7,BD!$A$3:$A$5001,"&lt;="&amp;$B119,BD!$K$3:$K$5001,"&lt;&gt;")=0,"",SUMIFS(BD!$K$3:$K$5001,BD!$B$3:$B$5001,C$114,BD!$A$3:$A$5001,_xlfn.MAXIFS(BD!$A$3:$A$5001,BD!$B$3:$B$5001,C$114,BD!$A$3:$A$5001,"&gt;="&amp;$C$7,BD!$A$3:$A$5001,"&lt;="&amp;$B119,BD!$K$3:$K$5001,"&lt;&gt;"))))</f>
        <v/>
      </c>
      <c r="D119" s="43" t="str">
        <f>IF(OR($B119="",$A119&gt;$B$9,D$114=""),"",IF(COUNTIFS(BD!$B$3:$B$5001,D$114,BD!$A$3:$A$5001,"&gt;="&amp;$C$7,BD!$A$3:$A$5001,"&lt;="&amp;$B119,BD!$K$3:$K$5001,"&lt;&gt;")=0,"",SUMIFS(BD!$K$3:$K$5001,BD!$B$3:$B$5001,D$114,BD!$A$3:$A$5001,_xlfn.MAXIFS(BD!$A$3:$A$5001,BD!$B$3:$B$5001,D$114,BD!$A$3:$A$5001,"&gt;="&amp;$C$7,BD!$A$3:$A$5001,"&lt;="&amp;$B119,BD!$K$3:$K$5001,"&lt;&gt;"))))</f>
        <v/>
      </c>
      <c r="E119" s="43" t="str">
        <f>IF(OR($B119="",$A119&gt;$B$9,E$114=""),"",IF(COUNTIFS(BD!$B$3:$B$5001,E$114,BD!$A$3:$A$5001,"&gt;="&amp;$C$7,BD!$A$3:$A$5001,"&lt;="&amp;$B119,BD!$K$3:$K$5001,"&lt;&gt;")=0,"",SUMIFS(BD!$K$3:$K$5001,BD!$B$3:$B$5001,E$114,BD!$A$3:$A$5001,_xlfn.MAXIFS(BD!$A$3:$A$5001,BD!$B$3:$B$5001,E$114,BD!$A$3:$A$5001,"&gt;="&amp;$C$7,BD!$A$3:$A$5001,"&lt;="&amp;$B119,BD!$K$3:$K$5001,"&lt;&gt;"))))</f>
        <v/>
      </c>
      <c r="F119" s="43" t="str">
        <f>IF(OR($B119="",$A119&gt;$B$9,F$114=""),"",IF(COUNTIFS(BD!$B$3:$B$5001,F$114,BD!$A$3:$A$5001,"&gt;="&amp;$C$7,BD!$A$3:$A$5001,"&lt;="&amp;$B119,BD!$K$3:$K$5001,"&lt;&gt;")=0,"",SUMIFS(BD!$K$3:$K$5001,BD!$B$3:$B$5001,F$114,BD!$A$3:$A$5001,_xlfn.MAXIFS(BD!$A$3:$A$5001,BD!$B$3:$B$5001,F$114,BD!$A$3:$A$5001,"&gt;="&amp;$C$7,BD!$A$3:$A$5001,"&lt;="&amp;$B119,BD!$K$3:$K$5001,"&lt;&gt;"))))</f>
        <v/>
      </c>
      <c r="G119" s="43" t="str">
        <f>IF(OR($B119="",$A119&gt;$B$9,G$114=""),"",IF(COUNTIFS(BD!$B$3:$B$5001,G$114,BD!$A$3:$A$5001,"&gt;="&amp;$C$7,BD!$A$3:$A$5001,"&lt;="&amp;$B119,BD!$K$3:$K$5001,"&lt;&gt;")=0,"",SUMIFS(BD!$K$3:$K$5001,BD!$B$3:$B$5001,G$114,BD!$A$3:$A$5001,_xlfn.MAXIFS(BD!$A$3:$A$5001,BD!$B$3:$B$5001,G$114,BD!$A$3:$A$5001,"&gt;="&amp;$C$7,BD!$A$3:$A$5001,"&lt;="&amp;$B119,BD!$K$3:$K$5001,"&lt;&gt;"))))</f>
        <v/>
      </c>
      <c r="H119" s="43" t="str">
        <f>IF(OR($B119="",$A119&gt;$B$9,H$114=""),"",IF(COUNTIFS(BD!$B$3:$B$5001,H$114,BD!$A$3:$A$5001,"&gt;="&amp;$C$7,BD!$A$3:$A$5001,"&lt;="&amp;$B119,BD!$K$3:$K$5001,"&lt;&gt;")=0,"",SUMIFS(BD!$K$3:$K$5001,BD!$B$3:$B$5001,H$114,BD!$A$3:$A$5001,_xlfn.MAXIFS(BD!$A$3:$A$5001,BD!$B$3:$B$5001,H$114,BD!$A$3:$A$5001,"&gt;="&amp;$C$7,BD!$A$3:$A$5001,"&lt;="&amp;$B119,BD!$K$3:$K$5001,"&lt;&gt;"))))</f>
        <v/>
      </c>
      <c r="I119" s="43" t="str">
        <f>IF(OR($B119="",$A119&gt;$B$9,I$114=""),"",IF(COUNTIFS(BD!$B$3:$B$5001,I$114,BD!$A$3:$A$5001,"&gt;="&amp;$C$7,BD!$A$3:$A$5001,"&lt;="&amp;$B119,BD!$K$3:$K$5001,"&lt;&gt;")=0,"",SUMIFS(BD!$K$3:$K$5001,BD!$B$3:$B$5001,I$114,BD!$A$3:$A$5001,_xlfn.MAXIFS(BD!$A$3:$A$5001,BD!$B$3:$B$5001,I$114,BD!$A$3:$A$5001,"&gt;="&amp;$C$7,BD!$A$3:$A$5001,"&lt;="&amp;$B119,BD!$K$3:$K$5001,"&lt;&gt;"))))</f>
        <v/>
      </c>
      <c r="J119" s="43" t="str">
        <f>IF(OR($B119="",$A119&gt;$B$9,J$114=""),"",IF(COUNTIFS(BD!$B$3:$B$5001,J$114,BD!$A$3:$A$5001,"&gt;="&amp;$C$7,BD!$A$3:$A$5001,"&lt;="&amp;$B119,BD!$K$3:$K$5001,"&lt;&gt;")=0,"",SUMIFS(BD!$K$3:$K$5001,BD!$B$3:$B$5001,J$114,BD!$A$3:$A$5001,_xlfn.MAXIFS(BD!$A$3:$A$5001,BD!$B$3:$B$5001,J$114,BD!$A$3:$A$5001,"&gt;="&amp;$C$7,BD!$A$3:$A$5001,"&lt;="&amp;$B119,BD!$K$3:$K$5001,"&lt;&gt;"))))</f>
        <v/>
      </c>
      <c r="K119" s="43" t="str">
        <f>IF(OR($B119="",$A119&gt;$B$9,K$114=""),"",IF(COUNTIFS(BD!$B$3:$B$5001,K$114,BD!$A$3:$A$5001,"&gt;="&amp;$C$7,BD!$A$3:$A$5001,"&lt;="&amp;$B119,BD!$K$3:$K$5001,"&lt;&gt;")=0,"",SUMIFS(BD!$K$3:$K$5001,BD!$B$3:$B$5001,K$114,BD!$A$3:$A$5001,_xlfn.MAXIFS(BD!$A$3:$A$5001,BD!$B$3:$B$5001,K$114,BD!$A$3:$A$5001,"&gt;="&amp;$C$7,BD!$A$3:$A$5001,"&lt;="&amp;$B119,BD!$K$3:$K$5001,"&lt;&gt;"))))</f>
        <v/>
      </c>
      <c r="L119" s="43" t="str">
        <f>IF(OR($B119="",$A119&gt;$B$9,L$114=""),"",IF(COUNTIFS(BD!$B$3:$B$5001,L$114,BD!$A$3:$A$5001,"&gt;="&amp;$C$7,BD!$A$3:$A$5001,"&lt;="&amp;$B119,BD!$K$3:$K$5001,"&lt;&gt;")=0,"",SUMIFS(BD!$K$3:$K$5001,BD!$B$3:$B$5001,L$114,BD!$A$3:$A$5001,_xlfn.MAXIFS(BD!$A$3:$A$5001,BD!$B$3:$B$5001,L$114,BD!$A$3:$A$5001,"&gt;="&amp;$C$7,BD!$A$3:$A$5001,"&lt;="&amp;$B119,BD!$K$3:$K$5001,"&lt;&gt;"))))</f>
        <v/>
      </c>
      <c r="M119" s="43" t="str">
        <f>IF(OR($B119="",$A119&gt;$B$9,M$114=""),"",IF(COUNTIFS(BD!$B$3:$B$5001,M$114,BD!$A$3:$A$5001,"&gt;="&amp;$C$7,BD!$A$3:$A$5001,"&lt;="&amp;$B119,BD!$K$3:$K$5001,"&lt;&gt;")=0,"",SUMIFS(BD!$K$3:$K$5001,BD!$B$3:$B$5001,M$114,BD!$A$3:$A$5001,_xlfn.MAXIFS(BD!$A$3:$A$5001,BD!$B$3:$B$5001,M$114,BD!$A$3:$A$5001,"&gt;="&amp;$C$7,BD!$A$3:$A$5001,"&lt;="&amp;$B119,BD!$K$3:$K$5001,"&lt;&gt;"))))</f>
        <v/>
      </c>
      <c r="N119" s="43" t="str">
        <f>IF(OR($B119="",$A119&gt;$B$9,N$114=""),"",IF(COUNTIFS(BD!$B$3:$B$5001,N$114,BD!$A$3:$A$5001,"&gt;="&amp;$C$7,BD!$A$3:$A$5001,"&lt;="&amp;$B119,BD!$K$3:$K$5001,"&lt;&gt;")=0,"",SUMIFS(BD!$K$3:$K$5001,BD!$B$3:$B$5001,N$114,BD!$A$3:$A$5001,_xlfn.MAXIFS(BD!$A$3:$A$5001,BD!$B$3:$B$5001,N$114,BD!$A$3:$A$5001,"&gt;="&amp;$C$7,BD!$A$3:$A$5001,"&lt;="&amp;$B119,BD!$K$3:$K$5001,"&lt;&gt;"))))</f>
        <v/>
      </c>
      <c r="O119" s="43" t="str">
        <f>IF(OR($B119="",$A119&gt;$B$9,O$114=""),"",IF(COUNTIFS(BD!$B$3:$B$5001,O$114,BD!$A$3:$A$5001,"&gt;="&amp;$C$7,BD!$A$3:$A$5001,"&lt;="&amp;$B119,BD!$K$3:$K$5001,"&lt;&gt;")=0,"",SUMIFS(BD!$K$3:$K$5001,BD!$B$3:$B$5001,O$114,BD!$A$3:$A$5001,_xlfn.MAXIFS(BD!$A$3:$A$5001,BD!$B$3:$B$5001,O$114,BD!$A$3:$A$5001,"&gt;="&amp;$C$7,BD!$A$3:$A$5001,"&lt;="&amp;$B119,BD!$K$3:$K$5001,"&lt;&gt;"))))</f>
        <v/>
      </c>
      <c r="P119" s="43" t="str">
        <f>IF(OR($B119="",$A119&gt;$B$9,P$114=""),"",IF(COUNTIFS(BD!$B$3:$B$5001,P$114,BD!$A$3:$A$5001,"&gt;="&amp;$C$7,BD!$A$3:$A$5001,"&lt;="&amp;$B119,BD!$K$3:$K$5001,"&lt;&gt;")=0,"",SUMIFS(BD!$K$3:$K$5001,BD!$B$3:$B$5001,P$114,BD!$A$3:$A$5001,_xlfn.MAXIFS(BD!$A$3:$A$5001,BD!$B$3:$B$5001,P$114,BD!$A$3:$A$5001,"&gt;="&amp;$C$7,BD!$A$3:$A$5001,"&lt;="&amp;$B119,BD!$K$3:$K$5001,"&lt;&gt;"))))</f>
        <v/>
      </c>
      <c r="Q119" s="43" t="str">
        <f>IF(OR($B119="",$A119&gt;$B$9,Q$114=""),"",IF(COUNTIFS(BD!$B$3:$B$5001,Q$114,BD!$A$3:$A$5001,"&gt;="&amp;$C$7,BD!$A$3:$A$5001,"&lt;="&amp;$B119,BD!$K$3:$K$5001,"&lt;&gt;")=0,"",SUMIFS(BD!$K$3:$K$5001,BD!$B$3:$B$5001,Q$114,BD!$A$3:$A$5001,_xlfn.MAXIFS(BD!$A$3:$A$5001,BD!$B$3:$B$5001,Q$114,BD!$A$3:$A$5001,"&gt;="&amp;$C$7,BD!$A$3:$A$5001,"&lt;="&amp;$B119,BD!$K$3:$K$5001,"&lt;&gt;"))))</f>
        <v/>
      </c>
      <c r="R119" s="43" t="str">
        <f>IF(OR($B119="",$A119&gt;$B$9,R$114=""),"",IF(COUNTIFS(BD!$B$3:$B$5001,R$114,BD!$A$3:$A$5001,"&gt;="&amp;$C$7,BD!$A$3:$A$5001,"&lt;="&amp;$B119,BD!$K$3:$K$5001,"&lt;&gt;")=0,"",SUMIFS(BD!$K$3:$K$5001,BD!$B$3:$B$5001,R$114,BD!$A$3:$A$5001,_xlfn.MAXIFS(BD!$A$3:$A$5001,BD!$B$3:$B$5001,R$114,BD!$A$3:$A$5001,"&gt;="&amp;$C$7,BD!$A$3:$A$5001,"&lt;="&amp;$B119,BD!$K$3:$K$5001,"&lt;&gt;"))))</f>
        <v/>
      </c>
      <c r="S119" s="43" t="str">
        <f>IF(OR($B119="",$A119&gt;$B$9,S$114=""),"",IF(COUNTIFS(BD!$B$3:$B$5001,S$114,BD!$A$3:$A$5001,"&gt;="&amp;$C$7,BD!$A$3:$A$5001,"&lt;="&amp;$B119,BD!$K$3:$K$5001,"&lt;&gt;")=0,"",SUMIFS(BD!$K$3:$K$5001,BD!$B$3:$B$5001,S$114,BD!$A$3:$A$5001,_xlfn.MAXIFS(BD!$A$3:$A$5001,BD!$B$3:$B$5001,S$114,BD!$A$3:$A$5001,"&gt;="&amp;$C$7,BD!$A$3:$A$5001,"&lt;="&amp;$B119,BD!$K$3:$K$5001,"&lt;&gt;"))))</f>
        <v/>
      </c>
      <c r="T119" s="43" t="str">
        <f>IF(OR($B119="",$A119&gt;$B$9,T$114=""),"",IF(COUNTIFS(BD!$B$3:$B$5001,T$114,BD!$A$3:$A$5001,"&gt;="&amp;$C$7,BD!$A$3:$A$5001,"&lt;="&amp;$B119,BD!$K$3:$K$5001,"&lt;&gt;")=0,"",SUMIFS(BD!$K$3:$K$5001,BD!$B$3:$B$5001,T$114,BD!$A$3:$A$5001,_xlfn.MAXIFS(BD!$A$3:$A$5001,BD!$B$3:$B$5001,T$114,BD!$A$3:$A$5001,"&gt;="&amp;$C$7,BD!$A$3:$A$5001,"&lt;="&amp;$B119,BD!$K$3:$K$5001,"&lt;&gt;"))))</f>
        <v/>
      </c>
      <c r="U119" s="43" t="str">
        <f>IF(OR($B119="",$A119&gt;$B$9,U$114=""),"",IF(COUNTIFS(BD!$B$3:$B$5001,U$114,BD!$A$3:$A$5001,"&gt;="&amp;$C$7,BD!$A$3:$A$5001,"&lt;="&amp;$B119,BD!$K$3:$K$5001,"&lt;&gt;")=0,"",SUMIFS(BD!$K$3:$K$5001,BD!$B$3:$B$5001,U$114,BD!$A$3:$A$5001,_xlfn.MAXIFS(BD!$A$3:$A$5001,BD!$B$3:$B$5001,U$114,BD!$A$3:$A$5001,"&gt;="&amp;$C$7,BD!$A$3:$A$5001,"&lt;="&amp;$B119,BD!$K$3:$K$5001,"&lt;&gt;"))))</f>
        <v/>
      </c>
      <c r="V119" s="43" t="str">
        <f>IF(OR($B119="",$A119&gt;$B$9,V$114=""),"",IF(COUNTIFS(BD!$B$3:$B$5001,V$114,BD!$A$3:$A$5001,"&gt;="&amp;$C$7,BD!$A$3:$A$5001,"&lt;="&amp;$B119,BD!$K$3:$K$5001,"&lt;&gt;")=0,"",SUMIFS(BD!$K$3:$K$5001,BD!$B$3:$B$5001,V$114,BD!$A$3:$A$5001,_xlfn.MAXIFS(BD!$A$3:$A$5001,BD!$B$3:$B$5001,V$114,BD!$A$3:$A$5001,"&gt;="&amp;$C$7,BD!$A$3:$A$5001,"&lt;="&amp;$B119,BD!$K$3:$K$5001,"&lt;&gt;"))))</f>
        <v/>
      </c>
    </row>
    <row r="120">
      <c r="A120" s="38">
        <v>6</v>
      </c>
      <c r="B120" s="42">
        <f>$B$17</f>
        <v>46301</v>
      </c>
      <c r="C120" s="43" t="str">
        <f>IF(OR($B120="",$A120&gt;$B$9,C$114=""),"",IF(COUNTIFS(BD!$B$3:$B$5001,C$114,BD!$A$3:$A$5001,"&gt;="&amp;$C$7,BD!$A$3:$A$5001,"&lt;="&amp;$B120,BD!$K$3:$K$5001,"&lt;&gt;")=0,"",SUMIFS(BD!$K$3:$K$5001,BD!$B$3:$B$5001,C$114,BD!$A$3:$A$5001,_xlfn.MAXIFS(BD!$A$3:$A$5001,BD!$B$3:$B$5001,C$114,BD!$A$3:$A$5001,"&gt;="&amp;$C$7,BD!$A$3:$A$5001,"&lt;="&amp;$B120,BD!$K$3:$K$5001,"&lt;&gt;"))))</f>
        <v/>
      </c>
      <c r="D120" s="43" t="str">
        <f>IF(OR($B120="",$A120&gt;$B$9,D$114=""),"",IF(COUNTIFS(BD!$B$3:$B$5001,D$114,BD!$A$3:$A$5001,"&gt;="&amp;$C$7,BD!$A$3:$A$5001,"&lt;="&amp;$B120,BD!$K$3:$K$5001,"&lt;&gt;")=0,"",SUMIFS(BD!$K$3:$K$5001,BD!$B$3:$B$5001,D$114,BD!$A$3:$A$5001,_xlfn.MAXIFS(BD!$A$3:$A$5001,BD!$B$3:$B$5001,D$114,BD!$A$3:$A$5001,"&gt;="&amp;$C$7,BD!$A$3:$A$5001,"&lt;="&amp;$B120,BD!$K$3:$K$5001,"&lt;&gt;"))))</f>
        <v/>
      </c>
      <c r="E120" s="43" t="str">
        <f>IF(OR($B120="",$A120&gt;$B$9,E$114=""),"",IF(COUNTIFS(BD!$B$3:$B$5001,E$114,BD!$A$3:$A$5001,"&gt;="&amp;$C$7,BD!$A$3:$A$5001,"&lt;="&amp;$B120,BD!$K$3:$K$5001,"&lt;&gt;")=0,"",SUMIFS(BD!$K$3:$K$5001,BD!$B$3:$B$5001,E$114,BD!$A$3:$A$5001,_xlfn.MAXIFS(BD!$A$3:$A$5001,BD!$B$3:$B$5001,E$114,BD!$A$3:$A$5001,"&gt;="&amp;$C$7,BD!$A$3:$A$5001,"&lt;="&amp;$B120,BD!$K$3:$K$5001,"&lt;&gt;"))))</f>
        <v/>
      </c>
      <c r="F120" s="43" t="str">
        <f>IF(OR($B120="",$A120&gt;$B$9,F$114=""),"",IF(COUNTIFS(BD!$B$3:$B$5001,F$114,BD!$A$3:$A$5001,"&gt;="&amp;$C$7,BD!$A$3:$A$5001,"&lt;="&amp;$B120,BD!$K$3:$K$5001,"&lt;&gt;")=0,"",SUMIFS(BD!$K$3:$K$5001,BD!$B$3:$B$5001,F$114,BD!$A$3:$A$5001,_xlfn.MAXIFS(BD!$A$3:$A$5001,BD!$B$3:$B$5001,F$114,BD!$A$3:$A$5001,"&gt;="&amp;$C$7,BD!$A$3:$A$5001,"&lt;="&amp;$B120,BD!$K$3:$K$5001,"&lt;&gt;"))))</f>
        <v/>
      </c>
      <c r="G120" s="43" t="str">
        <f>IF(OR($B120="",$A120&gt;$B$9,G$114=""),"",IF(COUNTIFS(BD!$B$3:$B$5001,G$114,BD!$A$3:$A$5001,"&gt;="&amp;$C$7,BD!$A$3:$A$5001,"&lt;="&amp;$B120,BD!$K$3:$K$5001,"&lt;&gt;")=0,"",SUMIFS(BD!$K$3:$K$5001,BD!$B$3:$B$5001,G$114,BD!$A$3:$A$5001,_xlfn.MAXIFS(BD!$A$3:$A$5001,BD!$B$3:$B$5001,G$114,BD!$A$3:$A$5001,"&gt;="&amp;$C$7,BD!$A$3:$A$5001,"&lt;="&amp;$B120,BD!$K$3:$K$5001,"&lt;&gt;"))))</f>
        <v/>
      </c>
      <c r="H120" s="43" t="str">
        <f>IF(OR($B120="",$A120&gt;$B$9,H$114=""),"",IF(COUNTIFS(BD!$B$3:$B$5001,H$114,BD!$A$3:$A$5001,"&gt;="&amp;$C$7,BD!$A$3:$A$5001,"&lt;="&amp;$B120,BD!$K$3:$K$5001,"&lt;&gt;")=0,"",SUMIFS(BD!$K$3:$K$5001,BD!$B$3:$B$5001,H$114,BD!$A$3:$A$5001,_xlfn.MAXIFS(BD!$A$3:$A$5001,BD!$B$3:$B$5001,H$114,BD!$A$3:$A$5001,"&gt;="&amp;$C$7,BD!$A$3:$A$5001,"&lt;="&amp;$B120,BD!$K$3:$K$5001,"&lt;&gt;"))))</f>
        <v/>
      </c>
      <c r="I120" s="43" t="str">
        <f>IF(OR($B120="",$A120&gt;$B$9,I$114=""),"",IF(COUNTIFS(BD!$B$3:$B$5001,I$114,BD!$A$3:$A$5001,"&gt;="&amp;$C$7,BD!$A$3:$A$5001,"&lt;="&amp;$B120,BD!$K$3:$K$5001,"&lt;&gt;")=0,"",SUMIFS(BD!$K$3:$K$5001,BD!$B$3:$B$5001,I$114,BD!$A$3:$A$5001,_xlfn.MAXIFS(BD!$A$3:$A$5001,BD!$B$3:$B$5001,I$114,BD!$A$3:$A$5001,"&gt;="&amp;$C$7,BD!$A$3:$A$5001,"&lt;="&amp;$B120,BD!$K$3:$K$5001,"&lt;&gt;"))))</f>
        <v/>
      </c>
      <c r="J120" s="43" t="str">
        <f>IF(OR($B120="",$A120&gt;$B$9,J$114=""),"",IF(COUNTIFS(BD!$B$3:$B$5001,J$114,BD!$A$3:$A$5001,"&gt;="&amp;$C$7,BD!$A$3:$A$5001,"&lt;="&amp;$B120,BD!$K$3:$K$5001,"&lt;&gt;")=0,"",SUMIFS(BD!$K$3:$K$5001,BD!$B$3:$B$5001,J$114,BD!$A$3:$A$5001,_xlfn.MAXIFS(BD!$A$3:$A$5001,BD!$B$3:$B$5001,J$114,BD!$A$3:$A$5001,"&gt;="&amp;$C$7,BD!$A$3:$A$5001,"&lt;="&amp;$B120,BD!$K$3:$K$5001,"&lt;&gt;"))))</f>
        <v/>
      </c>
      <c r="K120" s="43" t="str">
        <f>IF(OR($B120="",$A120&gt;$B$9,K$114=""),"",IF(COUNTIFS(BD!$B$3:$B$5001,K$114,BD!$A$3:$A$5001,"&gt;="&amp;$C$7,BD!$A$3:$A$5001,"&lt;="&amp;$B120,BD!$K$3:$K$5001,"&lt;&gt;")=0,"",SUMIFS(BD!$K$3:$K$5001,BD!$B$3:$B$5001,K$114,BD!$A$3:$A$5001,_xlfn.MAXIFS(BD!$A$3:$A$5001,BD!$B$3:$B$5001,K$114,BD!$A$3:$A$5001,"&gt;="&amp;$C$7,BD!$A$3:$A$5001,"&lt;="&amp;$B120,BD!$K$3:$K$5001,"&lt;&gt;"))))</f>
        <v/>
      </c>
      <c r="L120" s="43" t="str">
        <f>IF(OR($B120="",$A120&gt;$B$9,L$114=""),"",IF(COUNTIFS(BD!$B$3:$B$5001,L$114,BD!$A$3:$A$5001,"&gt;="&amp;$C$7,BD!$A$3:$A$5001,"&lt;="&amp;$B120,BD!$K$3:$K$5001,"&lt;&gt;")=0,"",SUMIFS(BD!$K$3:$K$5001,BD!$B$3:$B$5001,L$114,BD!$A$3:$A$5001,_xlfn.MAXIFS(BD!$A$3:$A$5001,BD!$B$3:$B$5001,L$114,BD!$A$3:$A$5001,"&gt;="&amp;$C$7,BD!$A$3:$A$5001,"&lt;="&amp;$B120,BD!$K$3:$K$5001,"&lt;&gt;"))))</f>
        <v/>
      </c>
      <c r="M120" s="43" t="str">
        <f>IF(OR($B120="",$A120&gt;$B$9,M$114=""),"",IF(COUNTIFS(BD!$B$3:$B$5001,M$114,BD!$A$3:$A$5001,"&gt;="&amp;$C$7,BD!$A$3:$A$5001,"&lt;="&amp;$B120,BD!$K$3:$K$5001,"&lt;&gt;")=0,"",SUMIFS(BD!$K$3:$K$5001,BD!$B$3:$B$5001,M$114,BD!$A$3:$A$5001,_xlfn.MAXIFS(BD!$A$3:$A$5001,BD!$B$3:$B$5001,M$114,BD!$A$3:$A$5001,"&gt;="&amp;$C$7,BD!$A$3:$A$5001,"&lt;="&amp;$B120,BD!$K$3:$K$5001,"&lt;&gt;"))))</f>
        <v/>
      </c>
      <c r="N120" s="43" t="str">
        <f>IF(OR($B120="",$A120&gt;$B$9,N$114=""),"",IF(COUNTIFS(BD!$B$3:$B$5001,N$114,BD!$A$3:$A$5001,"&gt;="&amp;$C$7,BD!$A$3:$A$5001,"&lt;="&amp;$B120,BD!$K$3:$K$5001,"&lt;&gt;")=0,"",SUMIFS(BD!$K$3:$K$5001,BD!$B$3:$B$5001,N$114,BD!$A$3:$A$5001,_xlfn.MAXIFS(BD!$A$3:$A$5001,BD!$B$3:$B$5001,N$114,BD!$A$3:$A$5001,"&gt;="&amp;$C$7,BD!$A$3:$A$5001,"&lt;="&amp;$B120,BD!$K$3:$K$5001,"&lt;&gt;"))))</f>
        <v/>
      </c>
      <c r="O120" s="43" t="str">
        <f>IF(OR($B120="",$A120&gt;$B$9,O$114=""),"",IF(COUNTIFS(BD!$B$3:$B$5001,O$114,BD!$A$3:$A$5001,"&gt;="&amp;$C$7,BD!$A$3:$A$5001,"&lt;="&amp;$B120,BD!$K$3:$K$5001,"&lt;&gt;")=0,"",SUMIFS(BD!$K$3:$K$5001,BD!$B$3:$B$5001,O$114,BD!$A$3:$A$5001,_xlfn.MAXIFS(BD!$A$3:$A$5001,BD!$B$3:$B$5001,O$114,BD!$A$3:$A$5001,"&gt;="&amp;$C$7,BD!$A$3:$A$5001,"&lt;="&amp;$B120,BD!$K$3:$K$5001,"&lt;&gt;"))))</f>
        <v/>
      </c>
      <c r="P120" s="43" t="str">
        <f>IF(OR($B120="",$A120&gt;$B$9,P$114=""),"",IF(COUNTIFS(BD!$B$3:$B$5001,P$114,BD!$A$3:$A$5001,"&gt;="&amp;$C$7,BD!$A$3:$A$5001,"&lt;="&amp;$B120,BD!$K$3:$K$5001,"&lt;&gt;")=0,"",SUMIFS(BD!$K$3:$K$5001,BD!$B$3:$B$5001,P$114,BD!$A$3:$A$5001,_xlfn.MAXIFS(BD!$A$3:$A$5001,BD!$B$3:$B$5001,P$114,BD!$A$3:$A$5001,"&gt;="&amp;$C$7,BD!$A$3:$A$5001,"&lt;="&amp;$B120,BD!$K$3:$K$5001,"&lt;&gt;"))))</f>
        <v/>
      </c>
      <c r="Q120" s="43" t="str">
        <f>IF(OR($B120="",$A120&gt;$B$9,Q$114=""),"",IF(COUNTIFS(BD!$B$3:$B$5001,Q$114,BD!$A$3:$A$5001,"&gt;="&amp;$C$7,BD!$A$3:$A$5001,"&lt;="&amp;$B120,BD!$K$3:$K$5001,"&lt;&gt;")=0,"",SUMIFS(BD!$K$3:$K$5001,BD!$B$3:$B$5001,Q$114,BD!$A$3:$A$5001,_xlfn.MAXIFS(BD!$A$3:$A$5001,BD!$B$3:$B$5001,Q$114,BD!$A$3:$A$5001,"&gt;="&amp;$C$7,BD!$A$3:$A$5001,"&lt;="&amp;$B120,BD!$K$3:$K$5001,"&lt;&gt;"))))</f>
        <v/>
      </c>
      <c r="R120" s="43" t="str">
        <f>IF(OR($B120="",$A120&gt;$B$9,R$114=""),"",IF(COUNTIFS(BD!$B$3:$B$5001,R$114,BD!$A$3:$A$5001,"&gt;="&amp;$C$7,BD!$A$3:$A$5001,"&lt;="&amp;$B120,BD!$K$3:$K$5001,"&lt;&gt;")=0,"",SUMIFS(BD!$K$3:$K$5001,BD!$B$3:$B$5001,R$114,BD!$A$3:$A$5001,_xlfn.MAXIFS(BD!$A$3:$A$5001,BD!$B$3:$B$5001,R$114,BD!$A$3:$A$5001,"&gt;="&amp;$C$7,BD!$A$3:$A$5001,"&lt;="&amp;$B120,BD!$K$3:$K$5001,"&lt;&gt;"))))</f>
        <v/>
      </c>
      <c r="S120" s="43" t="str">
        <f>IF(OR($B120="",$A120&gt;$B$9,S$114=""),"",IF(COUNTIFS(BD!$B$3:$B$5001,S$114,BD!$A$3:$A$5001,"&gt;="&amp;$C$7,BD!$A$3:$A$5001,"&lt;="&amp;$B120,BD!$K$3:$K$5001,"&lt;&gt;")=0,"",SUMIFS(BD!$K$3:$K$5001,BD!$B$3:$B$5001,S$114,BD!$A$3:$A$5001,_xlfn.MAXIFS(BD!$A$3:$A$5001,BD!$B$3:$B$5001,S$114,BD!$A$3:$A$5001,"&gt;="&amp;$C$7,BD!$A$3:$A$5001,"&lt;="&amp;$B120,BD!$K$3:$K$5001,"&lt;&gt;"))))</f>
        <v/>
      </c>
      <c r="T120" s="43" t="str">
        <f>IF(OR($B120="",$A120&gt;$B$9,T$114=""),"",IF(COUNTIFS(BD!$B$3:$B$5001,T$114,BD!$A$3:$A$5001,"&gt;="&amp;$C$7,BD!$A$3:$A$5001,"&lt;="&amp;$B120,BD!$K$3:$K$5001,"&lt;&gt;")=0,"",SUMIFS(BD!$K$3:$K$5001,BD!$B$3:$B$5001,T$114,BD!$A$3:$A$5001,_xlfn.MAXIFS(BD!$A$3:$A$5001,BD!$B$3:$B$5001,T$114,BD!$A$3:$A$5001,"&gt;="&amp;$C$7,BD!$A$3:$A$5001,"&lt;="&amp;$B120,BD!$K$3:$K$5001,"&lt;&gt;"))))</f>
        <v/>
      </c>
      <c r="U120" s="43" t="str">
        <f>IF(OR($B120="",$A120&gt;$B$9,U$114=""),"",IF(COUNTIFS(BD!$B$3:$B$5001,U$114,BD!$A$3:$A$5001,"&gt;="&amp;$C$7,BD!$A$3:$A$5001,"&lt;="&amp;$B120,BD!$K$3:$K$5001,"&lt;&gt;")=0,"",SUMIFS(BD!$K$3:$K$5001,BD!$B$3:$B$5001,U$114,BD!$A$3:$A$5001,_xlfn.MAXIFS(BD!$A$3:$A$5001,BD!$B$3:$B$5001,U$114,BD!$A$3:$A$5001,"&gt;="&amp;$C$7,BD!$A$3:$A$5001,"&lt;="&amp;$B120,BD!$K$3:$K$5001,"&lt;&gt;"))))</f>
        <v/>
      </c>
      <c r="V120" s="43" t="str">
        <f>IF(OR($B120="",$A120&gt;$B$9,V$114=""),"",IF(COUNTIFS(BD!$B$3:$B$5001,V$114,BD!$A$3:$A$5001,"&gt;="&amp;$C$7,BD!$A$3:$A$5001,"&lt;="&amp;$B120,BD!$K$3:$K$5001,"&lt;&gt;")=0,"",SUMIFS(BD!$K$3:$K$5001,BD!$B$3:$B$5001,V$114,BD!$A$3:$A$5001,_xlfn.MAXIFS(BD!$A$3:$A$5001,BD!$B$3:$B$5001,V$114,BD!$A$3:$A$5001,"&gt;="&amp;$C$7,BD!$A$3:$A$5001,"&lt;="&amp;$B120,BD!$K$3:$K$5001,"&lt;&gt;"))))</f>
        <v/>
      </c>
    </row>
    <row r="121">
      <c r="A121" s="38">
        <v>7</v>
      </c>
      <c r="B121" s="42">
        <f>$B$18</f>
        <v>46302</v>
      </c>
      <c r="C121" s="43" t="str">
        <f>IF(OR($B121="",$A121&gt;$B$9,C$114=""),"",IF(COUNTIFS(BD!$B$3:$B$5001,C$114,BD!$A$3:$A$5001,"&gt;="&amp;$C$7,BD!$A$3:$A$5001,"&lt;="&amp;$B121,BD!$K$3:$K$5001,"&lt;&gt;")=0,"",SUMIFS(BD!$K$3:$K$5001,BD!$B$3:$B$5001,C$114,BD!$A$3:$A$5001,_xlfn.MAXIFS(BD!$A$3:$A$5001,BD!$B$3:$B$5001,C$114,BD!$A$3:$A$5001,"&gt;="&amp;$C$7,BD!$A$3:$A$5001,"&lt;="&amp;$B121,BD!$K$3:$K$5001,"&lt;&gt;"))))</f>
        <v/>
      </c>
      <c r="D121" s="43" t="str">
        <f>IF(OR($B121="",$A121&gt;$B$9,D$114=""),"",IF(COUNTIFS(BD!$B$3:$B$5001,D$114,BD!$A$3:$A$5001,"&gt;="&amp;$C$7,BD!$A$3:$A$5001,"&lt;="&amp;$B121,BD!$K$3:$K$5001,"&lt;&gt;")=0,"",SUMIFS(BD!$K$3:$K$5001,BD!$B$3:$B$5001,D$114,BD!$A$3:$A$5001,_xlfn.MAXIFS(BD!$A$3:$A$5001,BD!$B$3:$B$5001,D$114,BD!$A$3:$A$5001,"&gt;="&amp;$C$7,BD!$A$3:$A$5001,"&lt;="&amp;$B121,BD!$K$3:$K$5001,"&lt;&gt;"))))</f>
        <v/>
      </c>
      <c r="E121" s="43" t="str">
        <f>IF(OR($B121="",$A121&gt;$B$9,E$114=""),"",IF(COUNTIFS(BD!$B$3:$B$5001,E$114,BD!$A$3:$A$5001,"&gt;="&amp;$C$7,BD!$A$3:$A$5001,"&lt;="&amp;$B121,BD!$K$3:$K$5001,"&lt;&gt;")=0,"",SUMIFS(BD!$K$3:$K$5001,BD!$B$3:$B$5001,E$114,BD!$A$3:$A$5001,_xlfn.MAXIFS(BD!$A$3:$A$5001,BD!$B$3:$B$5001,E$114,BD!$A$3:$A$5001,"&gt;="&amp;$C$7,BD!$A$3:$A$5001,"&lt;="&amp;$B121,BD!$K$3:$K$5001,"&lt;&gt;"))))</f>
        <v/>
      </c>
      <c r="F121" s="43" t="str">
        <f>IF(OR($B121="",$A121&gt;$B$9,F$114=""),"",IF(COUNTIFS(BD!$B$3:$B$5001,F$114,BD!$A$3:$A$5001,"&gt;="&amp;$C$7,BD!$A$3:$A$5001,"&lt;="&amp;$B121,BD!$K$3:$K$5001,"&lt;&gt;")=0,"",SUMIFS(BD!$K$3:$K$5001,BD!$B$3:$B$5001,F$114,BD!$A$3:$A$5001,_xlfn.MAXIFS(BD!$A$3:$A$5001,BD!$B$3:$B$5001,F$114,BD!$A$3:$A$5001,"&gt;="&amp;$C$7,BD!$A$3:$A$5001,"&lt;="&amp;$B121,BD!$K$3:$K$5001,"&lt;&gt;"))))</f>
        <v/>
      </c>
      <c r="G121" s="43" t="str">
        <f>IF(OR($B121="",$A121&gt;$B$9,G$114=""),"",IF(COUNTIFS(BD!$B$3:$B$5001,G$114,BD!$A$3:$A$5001,"&gt;="&amp;$C$7,BD!$A$3:$A$5001,"&lt;="&amp;$B121,BD!$K$3:$K$5001,"&lt;&gt;")=0,"",SUMIFS(BD!$K$3:$K$5001,BD!$B$3:$B$5001,G$114,BD!$A$3:$A$5001,_xlfn.MAXIFS(BD!$A$3:$A$5001,BD!$B$3:$B$5001,G$114,BD!$A$3:$A$5001,"&gt;="&amp;$C$7,BD!$A$3:$A$5001,"&lt;="&amp;$B121,BD!$K$3:$K$5001,"&lt;&gt;"))))</f>
        <v/>
      </c>
      <c r="H121" s="43" t="str">
        <f>IF(OR($B121="",$A121&gt;$B$9,H$114=""),"",IF(COUNTIFS(BD!$B$3:$B$5001,H$114,BD!$A$3:$A$5001,"&gt;="&amp;$C$7,BD!$A$3:$A$5001,"&lt;="&amp;$B121,BD!$K$3:$K$5001,"&lt;&gt;")=0,"",SUMIFS(BD!$K$3:$K$5001,BD!$B$3:$B$5001,H$114,BD!$A$3:$A$5001,_xlfn.MAXIFS(BD!$A$3:$A$5001,BD!$B$3:$B$5001,H$114,BD!$A$3:$A$5001,"&gt;="&amp;$C$7,BD!$A$3:$A$5001,"&lt;="&amp;$B121,BD!$K$3:$K$5001,"&lt;&gt;"))))</f>
        <v/>
      </c>
      <c r="I121" s="43" t="str">
        <f>IF(OR($B121="",$A121&gt;$B$9,I$114=""),"",IF(COUNTIFS(BD!$B$3:$B$5001,I$114,BD!$A$3:$A$5001,"&gt;="&amp;$C$7,BD!$A$3:$A$5001,"&lt;="&amp;$B121,BD!$K$3:$K$5001,"&lt;&gt;")=0,"",SUMIFS(BD!$K$3:$K$5001,BD!$B$3:$B$5001,I$114,BD!$A$3:$A$5001,_xlfn.MAXIFS(BD!$A$3:$A$5001,BD!$B$3:$B$5001,I$114,BD!$A$3:$A$5001,"&gt;="&amp;$C$7,BD!$A$3:$A$5001,"&lt;="&amp;$B121,BD!$K$3:$K$5001,"&lt;&gt;"))))</f>
        <v/>
      </c>
      <c r="J121" s="43" t="str">
        <f>IF(OR($B121="",$A121&gt;$B$9,J$114=""),"",IF(COUNTIFS(BD!$B$3:$B$5001,J$114,BD!$A$3:$A$5001,"&gt;="&amp;$C$7,BD!$A$3:$A$5001,"&lt;="&amp;$B121,BD!$K$3:$K$5001,"&lt;&gt;")=0,"",SUMIFS(BD!$K$3:$K$5001,BD!$B$3:$B$5001,J$114,BD!$A$3:$A$5001,_xlfn.MAXIFS(BD!$A$3:$A$5001,BD!$B$3:$B$5001,J$114,BD!$A$3:$A$5001,"&gt;="&amp;$C$7,BD!$A$3:$A$5001,"&lt;="&amp;$B121,BD!$K$3:$K$5001,"&lt;&gt;"))))</f>
        <v/>
      </c>
      <c r="K121" s="43" t="str">
        <f>IF(OR($B121="",$A121&gt;$B$9,K$114=""),"",IF(COUNTIFS(BD!$B$3:$B$5001,K$114,BD!$A$3:$A$5001,"&gt;="&amp;$C$7,BD!$A$3:$A$5001,"&lt;="&amp;$B121,BD!$K$3:$K$5001,"&lt;&gt;")=0,"",SUMIFS(BD!$K$3:$K$5001,BD!$B$3:$B$5001,K$114,BD!$A$3:$A$5001,_xlfn.MAXIFS(BD!$A$3:$A$5001,BD!$B$3:$B$5001,K$114,BD!$A$3:$A$5001,"&gt;="&amp;$C$7,BD!$A$3:$A$5001,"&lt;="&amp;$B121,BD!$K$3:$K$5001,"&lt;&gt;"))))</f>
        <v/>
      </c>
      <c r="L121" s="43" t="str">
        <f>IF(OR($B121="",$A121&gt;$B$9,L$114=""),"",IF(COUNTIFS(BD!$B$3:$B$5001,L$114,BD!$A$3:$A$5001,"&gt;="&amp;$C$7,BD!$A$3:$A$5001,"&lt;="&amp;$B121,BD!$K$3:$K$5001,"&lt;&gt;")=0,"",SUMIFS(BD!$K$3:$K$5001,BD!$B$3:$B$5001,L$114,BD!$A$3:$A$5001,_xlfn.MAXIFS(BD!$A$3:$A$5001,BD!$B$3:$B$5001,L$114,BD!$A$3:$A$5001,"&gt;="&amp;$C$7,BD!$A$3:$A$5001,"&lt;="&amp;$B121,BD!$K$3:$K$5001,"&lt;&gt;"))))</f>
        <v/>
      </c>
      <c r="M121" s="43" t="str">
        <f>IF(OR($B121="",$A121&gt;$B$9,M$114=""),"",IF(COUNTIFS(BD!$B$3:$B$5001,M$114,BD!$A$3:$A$5001,"&gt;="&amp;$C$7,BD!$A$3:$A$5001,"&lt;="&amp;$B121,BD!$K$3:$K$5001,"&lt;&gt;")=0,"",SUMIFS(BD!$K$3:$K$5001,BD!$B$3:$B$5001,M$114,BD!$A$3:$A$5001,_xlfn.MAXIFS(BD!$A$3:$A$5001,BD!$B$3:$B$5001,M$114,BD!$A$3:$A$5001,"&gt;="&amp;$C$7,BD!$A$3:$A$5001,"&lt;="&amp;$B121,BD!$K$3:$K$5001,"&lt;&gt;"))))</f>
        <v/>
      </c>
      <c r="N121" s="43" t="str">
        <f>IF(OR($B121="",$A121&gt;$B$9,N$114=""),"",IF(COUNTIFS(BD!$B$3:$B$5001,N$114,BD!$A$3:$A$5001,"&gt;="&amp;$C$7,BD!$A$3:$A$5001,"&lt;="&amp;$B121,BD!$K$3:$K$5001,"&lt;&gt;")=0,"",SUMIFS(BD!$K$3:$K$5001,BD!$B$3:$B$5001,N$114,BD!$A$3:$A$5001,_xlfn.MAXIFS(BD!$A$3:$A$5001,BD!$B$3:$B$5001,N$114,BD!$A$3:$A$5001,"&gt;="&amp;$C$7,BD!$A$3:$A$5001,"&lt;="&amp;$B121,BD!$K$3:$K$5001,"&lt;&gt;"))))</f>
        <v/>
      </c>
      <c r="O121" s="43" t="str">
        <f>IF(OR($B121="",$A121&gt;$B$9,O$114=""),"",IF(COUNTIFS(BD!$B$3:$B$5001,O$114,BD!$A$3:$A$5001,"&gt;="&amp;$C$7,BD!$A$3:$A$5001,"&lt;="&amp;$B121,BD!$K$3:$K$5001,"&lt;&gt;")=0,"",SUMIFS(BD!$K$3:$K$5001,BD!$B$3:$B$5001,O$114,BD!$A$3:$A$5001,_xlfn.MAXIFS(BD!$A$3:$A$5001,BD!$B$3:$B$5001,O$114,BD!$A$3:$A$5001,"&gt;="&amp;$C$7,BD!$A$3:$A$5001,"&lt;="&amp;$B121,BD!$K$3:$K$5001,"&lt;&gt;"))))</f>
        <v/>
      </c>
      <c r="P121" s="43" t="str">
        <f>IF(OR($B121="",$A121&gt;$B$9,P$114=""),"",IF(COUNTIFS(BD!$B$3:$B$5001,P$114,BD!$A$3:$A$5001,"&gt;="&amp;$C$7,BD!$A$3:$A$5001,"&lt;="&amp;$B121,BD!$K$3:$K$5001,"&lt;&gt;")=0,"",SUMIFS(BD!$K$3:$K$5001,BD!$B$3:$B$5001,P$114,BD!$A$3:$A$5001,_xlfn.MAXIFS(BD!$A$3:$A$5001,BD!$B$3:$B$5001,P$114,BD!$A$3:$A$5001,"&gt;="&amp;$C$7,BD!$A$3:$A$5001,"&lt;="&amp;$B121,BD!$K$3:$K$5001,"&lt;&gt;"))))</f>
        <v/>
      </c>
      <c r="Q121" s="43" t="str">
        <f>IF(OR($B121="",$A121&gt;$B$9,Q$114=""),"",IF(COUNTIFS(BD!$B$3:$B$5001,Q$114,BD!$A$3:$A$5001,"&gt;="&amp;$C$7,BD!$A$3:$A$5001,"&lt;="&amp;$B121,BD!$K$3:$K$5001,"&lt;&gt;")=0,"",SUMIFS(BD!$K$3:$K$5001,BD!$B$3:$B$5001,Q$114,BD!$A$3:$A$5001,_xlfn.MAXIFS(BD!$A$3:$A$5001,BD!$B$3:$B$5001,Q$114,BD!$A$3:$A$5001,"&gt;="&amp;$C$7,BD!$A$3:$A$5001,"&lt;="&amp;$B121,BD!$K$3:$K$5001,"&lt;&gt;"))))</f>
        <v/>
      </c>
      <c r="R121" s="43" t="str">
        <f>IF(OR($B121="",$A121&gt;$B$9,R$114=""),"",IF(COUNTIFS(BD!$B$3:$B$5001,R$114,BD!$A$3:$A$5001,"&gt;="&amp;$C$7,BD!$A$3:$A$5001,"&lt;="&amp;$B121,BD!$K$3:$K$5001,"&lt;&gt;")=0,"",SUMIFS(BD!$K$3:$K$5001,BD!$B$3:$B$5001,R$114,BD!$A$3:$A$5001,_xlfn.MAXIFS(BD!$A$3:$A$5001,BD!$B$3:$B$5001,R$114,BD!$A$3:$A$5001,"&gt;="&amp;$C$7,BD!$A$3:$A$5001,"&lt;="&amp;$B121,BD!$K$3:$K$5001,"&lt;&gt;"))))</f>
        <v/>
      </c>
      <c r="S121" s="43" t="str">
        <f>IF(OR($B121="",$A121&gt;$B$9,S$114=""),"",IF(COUNTIFS(BD!$B$3:$B$5001,S$114,BD!$A$3:$A$5001,"&gt;="&amp;$C$7,BD!$A$3:$A$5001,"&lt;="&amp;$B121,BD!$K$3:$K$5001,"&lt;&gt;")=0,"",SUMIFS(BD!$K$3:$K$5001,BD!$B$3:$B$5001,S$114,BD!$A$3:$A$5001,_xlfn.MAXIFS(BD!$A$3:$A$5001,BD!$B$3:$B$5001,S$114,BD!$A$3:$A$5001,"&gt;="&amp;$C$7,BD!$A$3:$A$5001,"&lt;="&amp;$B121,BD!$K$3:$K$5001,"&lt;&gt;"))))</f>
        <v/>
      </c>
      <c r="T121" s="43" t="str">
        <f>IF(OR($B121="",$A121&gt;$B$9,T$114=""),"",IF(COUNTIFS(BD!$B$3:$B$5001,T$114,BD!$A$3:$A$5001,"&gt;="&amp;$C$7,BD!$A$3:$A$5001,"&lt;="&amp;$B121,BD!$K$3:$K$5001,"&lt;&gt;")=0,"",SUMIFS(BD!$K$3:$K$5001,BD!$B$3:$B$5001,T$114,BD!$A$3:$A$5001,_xlfn.MAXIFS(BD!$A$3:$A$5001,BD!$B$3:$B$5001,T$114,BD!$A$3:$A$5001,"&gt;="&amp;$C$7,BD!$A$3:$A$5001,"&lt;="&amp;$B121,BD!$K$3:$K$5001,"&lt;&gt;"))))</f>
        <v/>
      </c>
      <c r="U121" s="43" t="str">
        <f>IF(OR($B121="",$A121&gt;$B$9,U$114=""),"",IF(COUNTIFS(BD!$B$3:$B$5001,U$114,BD!$A$3:$A$5001,"&gt;="&amp;$C$7,BD!$A$3:$A$5001,"&lt;="&amp;$B121,BD!$K$3:$K$5001,"&lt;&gt;")=0,"",SUMIFS(BD!$K$3:$K$5001,BD!$B$3:$B$5001,U$114,BD!$A$3:$A$5001,_xlfn.MAXIFS(BD!$A$3:$A$5001,BD!$B$3:$B$5001,U$114,BD!$A$3:$A$5001,"&gt;="&amp;$C$7,BD!$A$3:$A$5001,"&lt;="&amp;$B121,BD!$K$3:$K$5001,"&lt;&gt;"))))</f>
        <v/>
      </c>
      <c r="V121" s="43" t="str">
        <f>IF(OR($B121="",$A121&gt;$B$9,V$114=""),"",IF(COUNTIFS(BD!$B$3:$B$5001,V$114,BD!$A$3:$A$5001,"&gt;="&amp;$C$7,BD!$A$3:$A$5001,"&lt;="&amp;$B121,BD!$K$3:$K$5001,"&lt;&gt;")=0,"",SUMIFS(BD!$K$3:$K$5001,BD!$B$3:$B$5001,V$114,BD!$A$3:$A$5001,_xlfn.MAXIFS(BD!$A$3:$A$5001,BD!$B$3:$B$5001,V$114,BD!$A$3:$A$5001,"&gt;="&amp;$C$7,BD!$A$3:$A$5001,"&lt;="&amp;$B121,BD!$K$3:$K$5001,"&lt;&gt;"))))</f>
        <v/>
      </c>
    </row>
    <row r="122">
      <c r="A122" s="38">
        <v>8</v>
      </c>
      <c r="B122" s="42">
        <f>$B$19</f>
        <v>46303</v>
      </c>
      <c r="C122" s="43" t="str">
        <f>IF(OR($B122="",$A122&gt;$B$9,C$114=""),"",IF(COUNTIFS(BD!$B$3:$B$5001,C$114,BD!$A$3:$A$5001,"&gt;="&amp;$C$7,BD!$A$3:$A$5001,"&lt;="&amp;$B122,BD!$K$3:$K$5001,"&lt;&gt;")=0,"",SUMIFS(BD!$K$3:$K$5001,BD!$B$3:$B$5001,C$114,BD!$A$3:$A$5001,_xlfn.MAXIFS(BD!$A$3:$A$5001,BD!$B$3:$B$5001,C$114,BD!$A$3:$A$5001,"&gt;="&amp;$C$7,BD!$A$3:$A$5001,"&lt;="&amp;$B122,BD!$K$3:$K$5001,"&lt;&gt;"))))</f>
        <v/>
      </c>
      <c r="D122" s="43" t="str">
        <f>IF(OR($B122="",$A122&gt;$B$9,D$114=""),"",IF(COUNTIFS(BD!$B$3:$B$5001,D$114,BD!$A$3:$A$5001,"&gt;="&amp;$C$7,BD!$A$3:$A$5001,"&lt;="&amp;$B122,BD!$K$3:$K$5001,"&lt;&gt;")=0,"",SUMIFS(BD!$K$3:$K$5001,BD!$B$3:$B$5001,D$114,BD!$A$3:$A$5001,_xlfn.MAXIFS(BD!$A$3:$A$5001,BD!$B$3:$B$5001,D$114,BD!$A$3:$A$5001,"&gt;="&amp;$C$7,BD!$A$3:$A$5001,"&lt;="&amp;$B122,BD!$K$3:$K$5001,"&lt;&gt;"))))</f>
        <v/>
      </c>
      <c r="E122" s="43" t="str">
        <f>IF(OR($B122="",$A122&gt;$B$9,E$114=""),"",IF(COUNTIFS(BD!$B$3:$B$5001,E$114,BD!$A$3:$A$5001,"&gt;="&amp;$C$7,BD!$A$3:$A$5001,"&lt;="&amp;$B122,BD!$K$3:$K$5001,"&lt;&gt;")=0,"",SUMIFS(BD!$K$3:$K$5001,BD!$B$3:$B$5001,E$114,BD!$A$3:$A$5001,_xlfn.MAXIFS(BD!$A$3:$A$5001,BD!$B$3:$B$5001,E$114,BD!$A$3:$A$5001,"&gt;="&amp;$C$7,BD!$A$3:$A$5001,"&lt;="&amp;$B122,BD!$K$3:$K$5001,"&lt;&gt;"))))</f>
        <v/>
      </c>
      <c r="F122" s="43" t="str">
        <f>IF(OR($B122="",$A122&gt;$B$9,F$114=""),"",IF(COUNTIFS(BD!$B$3:$B$5001,F$114,BD!$A$3:$A$5001,"&gt;="&amp;$C$7,BD!$A$3:$A$5001,"&lt;="&amp;$B122,BD!$K$3:$K$5001,"&lt;&gt;")=0,"",SUMIFS(BD!$K$3:$K$5001,BD!$B$3:$B$5001,F$114,BD!$A$3:$A$5001,_xlfn.MAXIFS(BD!$A$3:$A$5001,BD!$B$3:$B$5001,F$114,BD!$A$3:$A$5001,"&gt;="&amp;$C$7,BD!$A$3:$A$5001,"&lt;="&amp;$B122,BD!$K$3:$K$5001,"&lt;&gt;"))))</f>
        <v/>
      </c>
      <c r="G122" s="43" t="str">
        <f>IF(OR($B122="",$A122&gt;$B$9,G$114=""),"",IF(COUNTIFS(BD!$B$3:$B$5001,G$114,BD!$A$3:$A$5001,"&gt;="&amp;$C$7,BD!$A$3:$A$5001,"&lt;="&amp;$B122,BD!$K$3:$K$5001,"&lt;&gt;")=0,"",SUMIFS(BD!$K$3:$K$5001,BD!$B$3:$B$5001,G$114,BD!$A$3:$A$5001,_xlfn.MAXIFS(BD!$A$3:$A$5001,BD!$B$3:$B$5001,G$114,BD!$A$3:$A$5001,"&gt;="&amp;$C$7,BD!$A$3:$A$5001,"&lt;="&amp;$B122,BD!$K$3:$K$5001,"&lt;&gt;"))))</f>
        <v/>
      </c>
      <c r="H122" s="43" t="str">
        <f>IF(OR($B122="",$A122&gt;$B$9,H$114=""),"",IF(COUNTIFS(BD!$B$3:$B$5001,H$114,BD!$A$3:$A$5001,"&gt;="&amp;$C$7,BD!$A$3:$A$5001,"&lt;="&amp;$B122,BD!$K$3:$K$5001,"&lt;&gt;")=0,"",SUMIFS(BD!$K$3:$K$5001,BD!$B$3:$B$5001,H$114,BD!$A$3:$A$5001,_xlfn.MAXIFS(BD!$A$3:$A$5001,BD!$B$3:$B$5001,H$114,BD!$A$3:$A$5001,"&gt;="&amp;$C$7,BD!$A$3:$A$5001,"&lt;="&amp;$B122,BD!$K$3:$K$5001,"&lt;&gt;"))))</f>
        <v/>
      </c>
      <c r="I122" s="43" t="str">
        <f>IF(OR($B122="",$A122&gt;$B$9,I$114=""),"",IF(COUNTIFS(BD!$B$3:$B$5001,I$114,BD!$A$3:$A$5001,"&gt;="&amp;$C$7,BD!$A$3:$A$5001,"&lt;="&amp;$B122,BD!$K$3:$K$5001,"&lt;&gt;")=0,"",SUMIFS(BD!$K$3:$K$5001,BD!$B$3:$B$5001,I$114,BD!$A$3:$A$5001,_xlfn.MAXIFS(BD!$A$3:$A$5001,BD!$B$3:$B$5001,I$114,BD!$A$3:$A$5001,"&gt;="&amp;$C$7,BD!$A$3:$A$5001,"&lt;="&amp;$B122,BD!$K$3:$K$5001,"&lt;&gt;"))))</f>
        <v/>
      </c>
      <c r="J122" s="43" t="str">
        <f>IF(OR($B122="",$A122&gt;$B$9,J$114=""),"",IF(COUNTIFS(BD!$B$3:$B$5001,J$114,BD!$A$3:$A$5001,"&gt;="&amp;$C$7,BD!$A$3:$A$5001,"&lt;="&amp;$B122,BD!$K$3:$K$5001,"&lt;&gt;")=0,"",SUMIFS(BD!$K$3:$K$5001,BD!$B$3:$B$5001,J$114,BD!$A$3:$A$5001,_xlfn.MAXIFS(BD!$A$3:$A$5001,BD!$B$3:$B$5001,J$114,BD!$A$3:$A$5001,"&gt;="&amp;$C$7,BD!$A$3:$A$5001,"&lt;="&amp;$B122,BD!$K$3:$K$5001,"&lt;&gt;"))))</f>
        <v/>
      </c>
      <c r="K122" s="43" t="str">
        <f>IF(OR($B122="",$A122&gt;$B$9,K$114=""),"",IF(COUNTIFS(BD!$B$3:$B$5001,K$114,BD!$A$3:$A$5001,"&gt;="&amp;$C$7,BD!$A$3:$A$5001,"&lt;="&amp;$B122,BD!$K$3:$K$5001,"&lt;&gt;")=0,"",SUMIFS(BD!$K$3:$K$5001,BD!$B$3:$B$5001,K$114,BD!$A$3:$A$5001,_xlfn.MAXIFS(BD!$A$3:$A$5001,BD!$B$3:$B$5001,K$114,BD!$A$3:$A$5001,"&gt;="&amp;$C$7,BD!$A$3:$A$5001,"&lt;="&amp;$B122,BD!$K$3:$K$5001,"&lt;&gt;"))))</f>
        <v/>
      </c>
      <c r="L122" s="43" t="str">
        <f>IF(OR($B122="",$A122&gt;$B$9,L$114=""),"",IF(COUNTIFS(BD!$B$3:$B$5001,L$114,BD!$A$3:$A$5001,"&gt;="&amp;$C$7,BD!$A$3:$A$5001,"&lt;="&amp;$B122,BD!$K$3:$K$5001,"&lt;&gt;")=0,"",SUMIFS(BD!$K$3:$K$5001,BD!$B$3:$B$5001,L$114,BD!$A$3:$A$5001,_xlfn.MAXIFS(BD!$A$3:$A$5001,BD!$B$3:$B$5001,L$114,BD!$A$3:$A$5001,"&gt;="&amp;$C$7,BD!$A$3:$A$5001,"&lt;="&amp;$B122,BD!$K$3:$K$5001,"&lt;&gt;"))))</f>
        <v/>
      </c>
      <c r="M122" s="43" t="str">
        <f>IF(OR($B122="",$A122&gt;$B$9,M$114=""),"",IF(COUNTIFS(BD!$B$3:$B$5001,M$114,BD!$A$3:$A$5001,"&gt;="&amp;$C$7,BD!$A$3:$A$5001,"&lt;="&amp;$B122,BD!$K$3:$K$5001,"&lt;&gt;")=0,"",SUMIFS(BD!$K$3:$K$5001,BD!$B$3:$B$5001,M$114,BD!$A$3:$A$5001,_xlfn.MAXIFS(BD!$A$3:$A$5001,BD!$B$3:$B$5001,M$114,BD!$A$3:$A$5001,"&gt;="&amp;$C$7,BD!$A$3:$A$5001,"&lt;="&amp;$B122,BD!$K$3:$K$5001,"&lt;&gt;"))))</f>
        <v/>
      </c>
      <c r="N122" s="43" t="str">
        <f>IF(OR($B122="",$A122&gt;$B$9,N$114=""),"",IF(COUNTIFS(BD!$B$3:$B$5001,N$114,BD!$A$3:$A$5001,"&gt;="&amp;$C$7,BD!$A$3:$A$5001,"&lt;="&amp;$B122,BD!$K$3:$K$5001,"&lt;&gt;")=0,"",SUMIFS(BD!$K$3:$K$5001,BD!$B$3:$B$5001,N$114,BD!$A$3:$A$5001,_xlfn.MAXIFS(BD!$A$3:$A$5001,BD!$B$3:$B$5001,N$114,BD!$A$3:$A$5001,"&gt;="&amp;$C$7,BD!$A$3:$A$5001,"&lt;="&amp;$B122,BD!$K$3:$K$5001,"&lt;&gt;"))))</f>
        <v/>
      </c>
      <c r="O122" s="43" t="str">
        <f>IF(OR($B122="",$A122&gt;$B$9,O$114=""),"",IF(COUNTIFS(BD!$B$3:$B$5001,O$114,BD!$A$3:$A$5001,"&gt;="&amp;$C$7,BD!$A$3:$A$5001,"&lt;="&amp;$B122,BD!$K$3:$K$5001,"&lt;&gt;")=0,"",SUMIFS(BD!$K$3:$K$5001,BD!$B$3:$B$5001,O$114,BD!$A$3:$A$5001,_xlfn.MAXIFS(BD!$A$3:$A$5001,BD!$B$3:$B$5001,O$114,BD!$A$3:$A$5001,"&gt;="&amp;$C$7,BD!$A$3:$A$5001,"&lt;="&amp;$B122,BD!$K$3:$K$5001,"&lt;&gt;"))))</f>
        <v/>
      </c>
      <c r="P122" s="43" t="str">
        <f>IF(OR($B122="",$A122&gt;$B$9,P$114=""),"",IF(COUNTIFS(BD!$B$3:$B$5001,P$114,BD!$A$3:$A$5001,"&gt;="&amp;$C$7,BD!$A$3:$A$5001,"&lt;="&amp;$B122,BD!$K$3:$K$5001,"&lt;&gt;")=0,"",SUMIFS(BD!$K$3:$K$5001,BD!$B$3:$B$5001,P$114,BD!$A$3:$A$5001,_xlfn.MAXIFS(BD!$A$3:$A$5001,BD!$B$3:$B$5001,P$114,BD!$A$3:$A$5001,"&gt;="&amp;$C$7,BD!$A$3:$A$5001,"&lt;="&amp;$B122,BD!$K$3:$K$5001,"&lt;&gt;"))))</f>
        <v/>
      </c>
      <c r="Q122" s="43" t="str">
        <f>IF(OR($B122="",$A122&gt;$B$9,Q$114=""),"",IF(COUNTIFS(BD!$B$3:$B$5001,Q$114,BD!$A$3:$A$5001,"&gt;="&amp;$C$7,BD!$A$3:$A$5001,"&lt;="&amp;$B122,BD!$K$3:$K$5001,"&lt;&gt;")=0,"",SUMIFS(BD!$K$3:$K$5001,BD!$B$3:$B$5001,Q$114,BD!$A$3:$A$5001,_xlfn.MAXIFS(BD!$A$3:$A$5001,BD!$B$3:$B$5001,Q$114,BD!$A$3:$A$5001,"&gt;="&amp;$C$7,BD!$A$3:$A$5001,"&lt;="&amp;$B122,BD!$K$3:$K$5001,"&lt;&gt;"))))</f>
        <v/>
      </c>
      <c r="R122" s="43" t="str">
        <f>IF(OR($B122="",$A122&gt;$B$9,R$114=""),"",IF(COUNTIFS(BD!$B$3:$B$5001,R$114,BD!$A$3:$A$5001,"&gt;="&amp;$C$7,BD!$A$3:$A$5001,"&lt;="&amp;$B122,BD!$K$3:$K$5001,"&lt;&gt;")=0,"",SUMIFS(BD!$K$3:$K$5001,BD!$B$3:$B$5001,R$114,BD!$A$3:$A$5001,_xlfn.MAXIFS(BD!$A$3:$A$5001,BD!$B$3:$B$5001,R$114,BD!$A$3:$A$5001,"&gt;="&amp;$C$7,BD!$A$3:$A$5001,"&lt;="&amp;$B122,BD!$K$3:$K$5001,"&lt;&gt;"))))</f>
        <v/>
      </c>
      <c r="S122" s="43" t="str">
        <f>IF(OR($B122="",$A122&gt;$B$9,S$114=""),"",IF(COUNTIFS(BD!$B$3:$B$5001,S$114,BD!$A$3:$A$5001,"&gt;="&amp;$C$7,BD!$A$3:$A$5001,"&lt;="&amp;$B122,BD!$K$3:$K$5001,"&lt;&gt;")=0,"",SUMIFS(BD!$K$3:$K$5001,BD!$B$3:$B$5001,S$114,BD!$A$3:$A$5001,_xlfn.MAXIFS(BD!$A$3:$A$5001,BD!$B$3:$B$5001,S$114,BD!$A$3:$A$5001,"&gt;="&amp;$C$7,BD!$A$3:$A$5001,"&lt;="&amp;$B122,BD!$K$3:$K$5001,"&lt;&gt;"))))</f>
        <v/>
      </c>
      <c r="T122" s="43" t="str">
        <f>IF(OR($B122="",$A122&gt;$B$9,T$114=""),"",IF(COUNTIFS(BD!$B$3:$B$5001,T$114,BD!$A$3:$A$5001,"&gt;="&amp;$C$7,BD!$A$3:$A$5001,"&lt;="&amp;$B122,BD!$K$3:$K$5001,"&lt;&gt;")=0,"",SUMIFS(BD!$K$3:$K$5001,BD!$B$3:$B$5001,T$114,BD!$A$3:$A$5001,_xlfn.MAXIFS(BD!$A$3:$A$5001,BD!$B$3:$B$5001,T$114,BD!$A$3:$A$5001,"&gt;="&amp;$C$7,BD!$A$3:$A$5001,"&lt;="&amp;$B122,BD!$K$3:$K$5001,"&lt;&gt;"))))</f>
        <v/>
      </c>
      <c r="U122" s="43" t="str">
        <f>IF(OR($B122="",$A122&gt;$B$9,U$114=""),"",IF(COUNTIFS(BD!$B$3:$B$5001,U$114,BD!$A$3:$A$5001,"&gt;="&amp;$C$7,BD!$A$3:$A$5001,"&lt;="&amp;$B122,BD!$K$3:$K$5001,"&lt;&gt;")=0,"",SUMIFS(BD!$K$3:$K$5001,BD!$B$3:$B$5001,U$114,BD!$A$3:$A$5001,_xlfn.MAXIFS(BD!$A$3:$A$5001,BD!$B$3:$B$5001,U$114,BD!$A$3:$A$5001,"&gt;="&amp;$C$7,BD!$A$3:$A$5001,"&lt;="&amp;$B122,BD!$K$3:$K$5001,"&lt;&gt;"))))</f>
        <v/>
      </c>
      <c r="V122" s="43" t="str">
        <f>IF(OR($B122="",$A122&gt;$B$9,V$114=""),"",IF(COUNTIFS(BD!$B$3:$B$5001,V$114,BD!$A$3:$A$5001,"&gt;="&amp;$C$7,BD!$A$3:$A$5001,"&lt;="&amp;$B122,BD!$K$3:$K$5001,"&lt;&gt;")=0,"",SUMIFS(BD!$K$3:$K$5001,BD!$B$3:$B$5001,V$114,BD!$A$3:$A$5001,_xlfn.MAXIFS(BD!$A$3:$A$5001,BD!$B$3:$B$5001,V$114,BD!$A$3:$A$5001,"&gt;="&amp;$C$7,BD!$A$3:$A$5001,"&lt;="&amp;$B122,BD!$K$3:$K$5001,"&lt;&gt;"))))</f>
        <v/>
      </c>
    </row>
    <row r="123">
      <c r="A123" s="38">
        <v>9</v>
      </c>
      <c r="B123" s="42">
        <f>$B$20</f>
        <v>46304</v>
      </c>
      <c r="C123" s="43" t="str">
        <f>IF(OR($B123="",$A123&gt;$B$9,C$114=""),"",IF(COUNTIFS(BD!$B$3:$B$5001,C$114,BD!$A$3:$A$5001,"&gt;="&amp;$C$7,BD!$A$3:$A$5001,"&lt;="&amp;$B123,BD!$K$3:$K$5001,"&lt;&gt;")=0,"",SUMIFS(BD!$K$3:$K$5001,BD!$B$3:$B$5001,C$114,BD!$A$3:$A$5001,_xlfn.MAXIFS(BD!$A$3:$A$5001,BD!$B$3:$B$5001,C$114,BD!$A$3:$A$5001,"&gt;="&amp;$C$7,BD!$A$3:$A$5001,"&lt;="&amp;$B123,BD!$K$3:$K$5001,"&lt;&gt;"))))</f>
        <v/>
      </c>
      <c r="D123" s="43" t="str">
        <f>IF(OR($B123="",$A123&gt;$B$9,D$114=""),"",IF(COUNTIFS(BD!$B$3:$B$5001,D$114,BD!$A$3:$A$5001,"&gt;="&amp;$C$7,BD!$A$3:$A$5001,"&lt;="&amp;$B123,BD!$K$3:$K$5001,"&lt;&gt;")=0,"",SUMIFS(BD!$K$3:$K$5001,BD!$B$3:$B$5001,D$114,BD!$A$3:$A$5001,_xlfn.MAXIFS(BD!$A$3:$A$5001,BD!$B$3:$B$5001,D$114,BD!$A$3:$A$5001,"&gt;="&amp;$C$7,BD!$A$3:$A$5001,"&lt;="&amp;$B123,BD!$K$3:$K$5001,"&lt;&gt;"))))</f>
        <v/>
      </c>
      <c r="E123" s="43" t="str">
        <f>IF(OR($B123="",$A123&gt;$B$9,E$114=""),"",IF(COUNTIFS(BD!$B$3:$B$5001,E$114,BD!$A$3:$A$5001,"&gt;="&amp;$C$7,BD!$A$3:$A$5001,"&lt;="&amp;$B123,BD!$K$3:$K$5001,"&lt;&gt;")=0,"",SUMIFS(BD!$K$3:$K$5001,BD!$B$3:$B$5001,E$114,BD!$A$3:$A$5001,_xlfn.MAXIFS(BD!$A$3:$A$5001,BD!$B$3:$B$5001,E$114,BD!$A$3:$A$5001,"&gt;="&amp;$C$7,BD!$A$3:$A$5001,"&lt;="&amp;$B123,BD!$K$3:$K$5001,"&lt;&gt;"))))</f>
        <v/>
      </c>
      <c r="F123" s="43" t="str">
        <f>IF(OR($B123="",$A123&gt;$B$9,F$114=""),"",IF(COUNTIFS(BD!$B$3:$B$5001,F$114,BD!$A$3:$A$5001,"&gt;="&amp;$C$7,BD!$A$3:$A$5001,"&lt;="&amp;$B123,BD!$K$3:$K$5001,"&lt;&gt;")=0,"",SUMIFS(BD!$K$3:$K$5001,BD!$B$3:$B$5001,F$114,BD!$A$3:$A$5001,_xlfn.MAXIFS(BD!$A$3:$A$5001,BD!$B$3:$B$5001,F$114,BD!$A$3:$A$5001,"&gt;="&amp;$C$7,BD!$A$3:$A$5001,"&lt;="&amp;$B123,BD!$K$3:$K$5001,"&lt;&gt;"))))</f>
        <v/>
      </c>
      <c r="G123" s="43" t="str">
        <f>IF(OR($B123="",$A123&gt;$B$9,G$114=""),"",IF(COUNTIFS(BD!$B$3:$B$5001,G$114,BD!$A$3:$A$5001,"&gt;="&amp;$C$7,BD!$A$3:$A$5001,"&lt;="&amp;$B123,BD!$K$3:$K$5001,"&lt;&gt;")=0,"",SUMIFS(BD!$K$3:$K$5001,BD!$B$3:$B$5001,G$114,BD!$A$3:$A$5001,_xlfn.MAXIFS(BD!$A$3:$A$5001,BD!$B$3:$B$5001,G$114,BD!$A$3:$A$5001,"&gt;="&amp;$C$7,BD!$A$3:$A$5001,"&lt;="&amp;$B123,BD!$K$3:$K$5001,"&lt;&gt;"))))</f>
        <v/>
      </c>
      <c r="H123" s="43" t="str">
        <f>IF(OR($B123="",$A123&gt;$B$9,H$114=""),"",IF(COUNTIFS(BD!$B$3:$B$5001,H$114,BD!$A$3:$A$5001,"&gt;="&amp;$C$7,BD!$A$3:$A$5001,"&lt;="&amp;$B123,BD!$K$3:$K$5001,"&lt;&gt;")=0,"",SUMIFS(BD!$K$3:$K$5001,BD!$B$3:$B$5001,H$114,BD!$A$3:$A$5001,_xlfn.MAXIFS(BD!$A$3:$A$5001,BD!$B$3:$B$5001,H$114,BD!$A$3:$A$5001,"&gt;="&amp;$C$7,BD!$A$3:$A$5001,"&lt;="&amp;$B123,BD!$K$3:$K$5001,"&lt;&gt;"))))</f>
        <v/>
      </c>
      <c r="I123" s="43" t="str">
        <f>IF(OR($B123="",$A123&gt;$B$9,I$114=""),"",IF(COUNTIFS(BD!$B$3:$B$5001,I$114,BD!$A$3:$A$5001,"&gt;="&amp;$C$7,BD!$A$3:$A$5001,"&lt;="&amp;$B123,BD!$K$3:$K$5001,"&lt;&gt;")=0,"",SUMIFS(BD!$K$3:$K$5001,BD!$B$3:$B$5001,I$114,BD!$A$3:$A$5001,_xlfn.MAXIFS(BD!$A$3:$A$5001,BD!$B$3:$B$5001,I$114,BD!$A$3:$A$5001,"&gt;="&amp;$C$7,BD!$A$3:$A$5001,"&lt;="&amp;$B123,BD!$K$3:$K$5001,"&lt;&gt;"))))</f>
        <v/>
      </c>
      <c r="J123" s="43" t="str">
        <f>IF(OR($B123="",$A123&gt;$B$9,J$114=""),"",IF(COUNTIFS(BD!$B$3:$B$5001,J$114,BD!$A$3:$A$5001,"&gt;="&amp;$C$7,BD!$A$3:$A$5001,"&lt;="&amp;$B123,BD!$K$3:$K$5001,"&lt;&gt;")=0,"",SUMIFS(BD!$K$3:$K$5001,BD!$B$3:$B$5001,J$114,BD!$A$3:$A$5001,_xlfn.MAXIFS(BD!$A$3:$A$5001,BD!$B$3:$B$5001,J$114,BD!$A$3:$A$5001,"&gt;="&amp;$C$7,BD!$A$3:$A$5001,"&lt;="&amp;$B123,BD!$K$3:$K$5001,"&lt;&gt;"))))</f>
        <v/>
      </c>
      <c r="K123" s="43" t="str">
        <f>IF(OR($B123="",$A123&gt;$B$9,K$114=""),"",IF(COUNTIFS(BD!$B$3:$B$5001,K$114,BD!$A$3:$A$5001,"&gt;="&amp;$C$7,BD!$A$3:$A$5001,"&lt;="&amp;$B123,BD!$K$3:$K$5001,"&lt;&gt;")=0,"",SUMIFS(BD!$K$3:$K$5001,BD!$B$3:$B$5001,K$114,BD!$A$3:$A$5001,_xlfn.MAXIFS(BD!$A$3:$A$5001,BD!$B$3:$B$5001,K$114,BD!$A$3:$A$5001,"&gt;="&amp;$C$7,BD!$A$3:$A$5001,"&lt;="&amp;$B123,BD!$K$3:$K$5001,"&lt;&gt;"))))</f>
        <v/>
      </c>
      <c r="L123" s="43" t="str">
        <f>IF(OR($B123="",$A123&gt;$B$9,L$114=""),"",IF(COUNTIFS(BD!$B$3:$B$5001,L$114,BD!$A$3:$A$5001,"&gt;="&amp;$C$7,BD!$A$3:$A$5001,"&lt;="&amp;$B123,BD!$K$3:$K$5001,"&lt;&gt;")=0,"",SUMIFS(BD!$K$3:$K$5001,BD!$B$3:$B$5001,L$114,BD!$A$3:$A$5001,_xlfn.MAXIFS(BD!$A$3:$A$5001,BD!$B$3:$B$5001,L$114,BD!$A$3:$A$5001,"&gt;="&amp;$C$7,BD!$A$3:$A$5001,"&lt;="&amp;$B123,BD!$K$3:$K$5001,"&lt;&gt;"))))</f>
        <v/>
      </c>
      <c r="M123" s="43" t="str">
        <f>IF(OR($B123="",$A123&gt;$B$9,M$114=""),"",IF(COUNTIFS(BD!$B$3:$B$5001,M$114,BD!$A$3:$A$5001,"&gt;="&amp;$C$7,BD!$A$3:$A$5001,"&lt;="&amp;$B123,BD!$K$3:$K$5001,"&lt;&gt;")=0,"",SUMIFS(BD!$K$3:$K$5001,BD!$B$3:$B$5001,M$114,BD!$A$3:$A$5001,_xlfn.MAXIFS(BD!$A$3:$A$5001,BD!$B$3:$B$5001,M$114,BD!$A$3:$A$5001,"&gt;="&amp;$C$7,BD!$A$3:$A$5001,"&lt;="&amp;$B123,BD!$K$3:$K$5001,"&lt;&gt;"))))</f>
        <v/>
      </c>
      <c r="N123" s="43" t="str">
        <f>IF(OR($B123="",$A123&gt;$B$9,N$114=""),"",IF(COUNTIFS(BD!$B$3:$B$5001,N$114,BD!$A$3:$A$5001,"&gt;="&amp;$C$7,BD!$A$3:$A$5001,"&lt;="&amp;$B123,BD!$K$3:$K$5001,"&lt;&gt;")=0,"",SUMIFS(BD!$K$3:$K$5001,BD!$B$3:$B$5001,N$114,BD!$A$3:$A$5001,_xlfn.MAXIFS(BD!$A$3:$A$5001,BD!$B$3:$B$5001,N$114,BD!$A$3:$A$5001,"&gt;="&amp;$C$7,BD!$A$3:$A$5001,"&lt;="&amp;$B123,BD!$K$3:$K$5001,"&lt;&gt;"))))</f>
        <v/>
      </c>
      <c r="O123" s="43" t="str">
        <f>IF(OR($B123="",$A123&gt;$B$9,O$114=""),"",IF(COUNTIFS(BD!$B$3:$B$5001,O$114,BD!$A$3:$A$5001,"&gt;="&amp;$C$7,BD!$A$3:$A$5001,"&lt;="&amp;$B123,BD!$K$3:$K$5001,"&lt;&gt;")=0,"",SUMIFS(BD!$K$3:$K$5001,BD!$B$3:$B$5001,O$114,BD!$A$3:$A$5001,_xlfn.MAXIFS(BD!$A$3:$A$5001,BD!$B$3:$B$5001,O$114,BD!$A$3:$A$5001,"&gt;="&amp;$C$7,BD!$A$3:$A$5001,"&lt;="&amp;$B123,BD!$K$3:$K$5001,"&lt;&gt;"))))</f>
        <v/>
      </c>
      <c r="P123" s="43" t="str">
        <f>IF(OR($B123="",$A123&gt;$B$9,P$114=""),"",IF(COUNTIFS(BD!$B$3:$B$5001,P$114,BD!$A$3:$A$5001,"&gt;="&amp;$C$7,BD!$A$3:$A$5001,"&lt;="&amp;$B123,BD!$K$3:$K$5001,"&lt;&gt;")=0,"",SUMIFS(BD!$K$3:$K$5001,BD!$B$3:$B$5001,P$114,BD!$A$3:$A$5001,_xlfn.MAXIFS(BD!$A$3:$A$5001,BD!$B$3:$B$5001,P$114,BD!$A$3:$A$5001,"&gt;="&amp;$C$7,BD!$A$3:$A$5001,"&lt;="&amp;$B123,BD!$K$3:$K$5001,"&lt;&gt;"))))</f>
        <v/>
      </c>
      <c r="Q123" s="43" t="str">
        <f>IF(OR($B123="",$A123&gt;$B$9,Q$114=""),"",IF(COUNTIFS(BD!$B$3:$B$5001,Q$114,BD!$A$3:$A$5001,"&gt;="&amp;$C$7,BD!$A$3:$A$5001,"&lt;="&amp;$B123,BD!$K$3:$K$5001,"&lt;&gt;")=0,"",SUMIFS(BD!$K$3:$K$5001,BD!$B$3:$B$5001,Q$114,BD!$A$3:$A$5001,_xlfn.MAXIFS(BD!$A$3:$A$5001,BD!$B$3:$B$5001,Q$114,BD!$A$3:$A$5001,"&gt;="&amp;$C$7,BD!$A$3:$A$5001,"&lt;="&amp;$B123,BD!$K$3:$K$5001,"&lt;&gt;"))))</f>
        <v/>
      </c>
      <c r="R123" s="43" t="str">
        <f>IF(OR($B123="",$A123&gt;$B$9,R$114=""),"",IF(COUNTIFS(BD!$B$3:$B$5001,R$114,BD!$A$3:$A$5001,"&gt;="&amp;$C$7,BD!$A$3:$A$5001,"&lt;="&amp;$B123,BD!$K$3:$K$5001,"&lt;&gt;")=0,"",SUMIFS(BD!$K$3:$K$5001,BD!$B$3:$B$5001,R$114,BD!$A$3:$A$5001,_xlfn.MAXIFS(BD!$A$3:$A$5001,BD!$B$3:$B$5001,R$114,BD!$A$3:$A$5001,"&gt;="&amp;$C$7,BD!$A$3:$A$5001,"&lt;="&amp;$B123,BD!$K$3:$K$5001,"&lt;&gt;"))))</f>
        <v/>
      </c>
      <c r="S123" s="43" t="str">
        <f>IF(OR($B123="",$A123&gt;$B$9,S$114=""),"",IF(COUNTIFS(BD!$B$3:$B$5001,S$114,BD!$A$3:$A$5001,"&gt;="&amp;$C$7,BD!$A$3:$A$5001,"&lt;="&amp;$B123,BD!$K$3:$K$5001,"&lt;&gt;")=0,"",SUMIFS(BD!$K$3:$K$5001,BD!$B$3:$B$5001,S$114,BD!$A$3:$A$5001,_xlfn.MAXIFS(BD!$A$3:$A$5001,BD!$B$3:$B$5001,S$114,BD!$A$3:$A$5001,"&gt;="&amp;$C$7,BD!$A$3:$A$5001,"&lt;="&amp;$B123,BD!$K$3:$K$5001,"&lt;&gt;"))))</f>
        <v/>
      </c>
      <c r="T123" s="43" t="str">
        <f>IF(OR($B123="",$A123&gt;$B$9,T$114=""),"",IF(COUNTIFS(BD!$B$3:$B$5001,T$114,BD!$A$3:$A$5001,"&gt;="&amp;$C$7,BD!$A$3:$A$5001,"&lt;="&amp;$B123,BD!$K$3:$K$5001,"&lt;&gt;")=0,"",SUMIFS(BD!$K$3:$K$5001,BD!$B$3:$B$5001,T$114,BD!$A$3:$A$5001,_xlfn.MAXIFS(BD!$A$3:$A$5001,BD!$B$3:$B$5001,T$114,BD!$A$3:$A$5001,"&gt;="&amp;$C$7,BD!$A$3:$A$5001,"&lt;="&amp;$B123,BD!$K$3:$K$5001,"&lt;&gt;"))))</f>
        <v/>
      </c>
      <c r="U123" s="43" t="str">
        <f>IF(OR($B123="",$A123&gt;$B$9,U$114=""),"",IF(COUNTIFS(BD!$B$3:$B$5001,U$114,BD!$A$3:$A$5001,"&gt;="&amp;$C$7,BD!$A$3:$A$5001,"&lt;="&amp;$B123,BD!$K$3:$K$5001,"&lt;&gt;")=0,"",SUMIFS(BD!$K$3:$K$5001,BD!$B$3:$B$5001,U$114,BD!$A$3:$A$5001,_xlfn.MAXIFS(BD!$A$3:$A$5001,BD!$B$3:$B$5001,U$114,BD!$A$3:$A$5001,"&gt;="&amp;$C$7,BD!$A$3:$A$5001,"&lt;="&amp;$B123,BD!$K$3:$K$5001,"&lt;&gt;"))))</f>
        <v/>
      </c>
      <c r="V123" s="43" t="str">
        <f>IF(OR($B123="",$A123&gt;$B$9,V$114=""),"",IF(COUNTIFS(BD!$B$3:$B$5001,V$114,BD!$A$3:$A$5001,"&gt;="&amp;$C$7,BD!$A$3:$A$5001,"&lt;="&amp;$B123,BD!$K$3:$K$5001,"&lt;&gt;")=0,"",SUMIFS(BD!$K$3:$K$5001,BD!$B$3:$B$5001,V$114,BD!$A$3:$A$5001,_xlfn.MAXIFS(BD!$A$3:$A$5001,BD!$B$3:$B$5001,V$114,BD!$A$3:$A$5001,"&gt;="&amp;$C$7,BD!$A$3:$A$5001,"&lt;="&amp;$B123,BD!$K$3:$K$5001,"&lt;&gt;"))))</f>
        <v/>
      </c>
    </row>
    <row r="124">
      <c r="A124" s="38">
        <v>10</v>
      </c>
      <c r="B124" s="42">
        <f>$B$21</f>
        <v>46305</v>
      </c>
      <c r="C124" s="43" t="str">
        <f>IF(OR($B124="",$A124&gt;$B$9,C$114=""),"",IF(COUNTIFS(BD!$B$3:$B$5001,C$114,BD!$A$3:$A$5001,"&gt;="&amp;$C$7,BD!$A$3:$A$5001,"&lt;="&amp;$B124,BD!$K$3:$K$5001,"&lt;&gt;")=0,"",SUMIFS(BD!$K$3:$K$5001,BD!$B$3:$B$5001,C$114,BD!$A$3:$A$5001,_xlfn.MAXIFS(BD!$A$3:$A$5001,BD!$B$3:$B$5001,C$114,BD!$A$3:$A$5001,"&gt;="&amp;$C$7,BD!$A$3:$A$5001,"&lt;="&amp;$B124,BD!$K$3:$K$5001,"&lt;&gt;"))))</f>
        <v/>
      </c>
      <c r="D124" s="43" t="str">
        <f>IF(OR($B124="",$A124&gt;$B$9,D$114=""),"",IF(COUNTIFS(BD!$B$3:$B$5001,D$114,BD!$A$3:$A$5001,"&gt;="&amp;$C$7,BD!$A$3:$A$5001,"&lt;="&amp;$B124,BD!$K$3:$K$5001,"&lt;&gt;")=0,"",SUMIFS(BD!$K$3:$K$5001,BD!$B$3:$B$5001,D$114,BD!$A$3:$A$5001,_xlfn.MAXIFS(BD!$A$3:$A$5001,BD!$B$3:$B$5001,D$114,BD!$A$3:$A$5001,"&gt;="&amp;$C$7,BD!$A$3:$A$5001,"&lt;="&amp;$B124,BD!$K$3:$K$5001,"&lt;&gt;"))))</f>
        <v/>
      </c>
      <c r="E124" s="43" t="str">
        <f>IF(OR($B124="",$A124&gt;$B$9,E$114=""),"",IF(COUNTIFS(BD!$B$3:$B$5001,E$114,BD!$A$3:$A$5001,"&gt;="&amp;$C$7,BD!$A$3:$A$5001,"&lt;="&amp;$B124,BD!$K$3:$K$5001,"&lt;&gt;")=0,"",SUMIFS(BD!$K$3:$K$5001,BD!$B$3:$B$5001,E$114,BD!$A$3:$A$5001,_xlfn.MAXIFS(BD!$A$3:$A$5001,BD!$B$3:$B$5001,E$114,BD!$A$3:$A$5001,"&gt;="&amp;$C$7,BD!$A$3:$A$5001,"&lt;="&amp;$B124,BD!$K$3:$K$5001,"&lt;&gt;"))))</f>
        <v/>
      </c>
      <c r="F124" s="43" t="str">
        <f>IF(OR($B124="",$A124&gt;$B$9,F$114=""),"",IF(COUNTIFS(BD!$B$3:$B$5001,F$114,BD!$A$3:$A$5001,"&gt;="&amp;$C$7,BD!$A$3:$A$5001,"&lt;="&amp;$B124,BD!$K$3:$K$5001,"&lt;&gt;")=0,"",SUMIFS(BD!$K$3:$K$5001,BD!$B$3:$B$5001,F$114,BD!$A$3:$A$5001,_xlfn.MAXIFS(BD!$A$3:$A$5001,BD!$B$3:$B$5001,F$114,BD!$A$3:$A$5001,"&gt;="&amp;$C$7,BD!$A$3:$A$5001,"&lt;="&amp;$B124,BD!$K$3:$K$5001,"&lt;&gt;"))))</f>
        <v/>
      </c>
      <c r="G124" s="43" t="str">
        <f>IF(OR($B124="",$A124&gt;$B$9,G$114=""),"",IF(COUNTIFS(BD!$B$3:$B$5001,G$114,BD!$A$3:$A$5001,"&gt;="&amp;$C$7,BD!$A$3:$A$5001,"&lt;="&amp;$B124,BD!$K$3:$K$5001,"&lt;&gt;")=0,"",SUMIFS(BD!$K$3:$K$5001,BD!$B$3:$B$5001,G$114,BD!$A$3:$A$5001,_xlfn.MAXIFS(BD!$A$3:$A$5001,BD!$B$3:$B$5001,G$114,BD!$A$3:$A$5001,"&gt;="&amp;$C$7,BD!$A$3:$A$5001,"&lt;="&amp;$B124,BD!$K$3:$K$5001,"&lt;&gt;"))))</f>
        <v/>
      </c>
      <c r="H124" s="43" t="str">
        <f>IF(OR($B124="",$A124&gt;$B$9,H$114=""),"",IF(COUNTIFS(BD!$B$3:$B$5001,H$114,BD!$A$3:$A$5001,"&gt;="&amp;$C$7,BD!$A$3:$A$5001,"&lt;="&amp;$B124,BD!$K$3:$K$5001,"&lt;&gt;")=0,"",SUMIFS(BD!$K$3:$K$5001,BD!$B$3:$B$5001,H$114,BD!$A$3:$A$5001,_xlfn.MAXIFS(BD!$A$3:$A$5001,BD!$B$3:$B$5001,H$114,BD!$A$3:$A$5001,"&gt;="&amp;$C$7,BD!$A$3:$A$5001,"&lt;="&amp;$B124,BD!$K$3:$K$5001,"&lt;&gt;"))))</f>
        <v/>
      </c>
      <c r="I124" s="43" t="str">
        <f>IF(OR($B124="",$A124&gt;$B$9,I$114=""),"",IF(COUNTIFS(BD!$B$3:$B$5001,I$114,BD!$A$3:$A$5001,"&gt;="&amp;$C$7,BD!$A$3:$A$5001,"&lt;="&amp;$B124,BD!$K$3:$K$5001,"&lt;&gt;")=0,"",SUMIFS(BD!$K$3:$K$5001,BD!$B$3:$B$5001,I$114,BD!$A$3:$A$5001,_xlfn.MAXIFS(BD!$A$3:$A$5001,BD!$B$3:$B$5001,I$114,BD!$A$3:$A$5001,"&gt;="&amp;$C$7,BD!$A$3:$A$5001,"&lt;="&amp;$B124,BD!$K$3:$K$5001,"&lt;&gt;"))))</f>
        <v/>
      </c>
      <c r="J124" s="43" t="str">
        <f>IF(OR($B124="",$A124&gt;$B$9,J$114=""),"",IF(COUNTIFS(BD!$B$3:$B$5001,J$114,BD!$A$3:$A$5001,"&gt;="&amp;$C$7,BD!$A$3:$A$5001,"&lt;="&amp;$B124,BD!$K$3:$K$5001,"&lt;&gt;")=0,"",SUMIFS(BD!$K$3:$K$5001,BD!$B$3:$B$5001,J$114,BD!$A$3:$A$5001,_xlfn.MAXIFS(BD!$A$3:$A$5001,BD!$B$3:$B$5001,J$114,BD!$A$3:$A$5001,"&gt;="&amp;$C$7,BD!$A$3:$A$5001,"&lt;="&amp;$B124,BD!$K$3:$K$5001,"&lt;&gt;"))))</f>
        <v/>
      </c>
      <c r="K124" s="43" t="str">
        <f>IF(OR($B124="",$A124&gt;$B$9,K$114=""),"",IF(COUNTIFS(BD!$B$3:$B$5001,K$114,BD!$A$3:$A$5001,"&gt;="&amp;$C$7,BD!$A$3:$A$5001,"&lt;="&amp;$B124,BD!$K$3:$K$5001,"&lt;&gt;")=0,"",SUMIFS(BD!$K$3:$K$5001,BD!$B$3:$B$5001,K$114,BD!$A$3:$A$5001,_xlfn.MAXIFS(BD!$A$3:$A$5001,BD!$B$3:$B$5001,K$114,BD!$A$3:$A$5001,"&gt;="&amp;$C$7,BD!$A$3:$A$5001,"&lt;="&amp;$B124,BD!$K$3:$K$5001,"&lt;&gt;"))))</f>
        <v/>
      </c>
      <c r="L124" s="43" t="str">
        <f>IF(OR($B124="",$A124&gt;$B$9,L$114=""),"",IF(COUNTIFS(BD!$B$3:$B$5001,L$114,BD!$A$3:$A$5001,"&gt;="&amp;$C$7,BD!$A$3:$A$5001,"&lt;="&amp;$B124,BD!$K$3:$K$5001,"&lt;&gt;")=0,"",SUMIFS(BD!$K$3:$K$5001,BD!$B$3:$B$5001,L$114,BD!$A$3:$A$5001,_xlfn.MAXIFS(BD!$A$3:$A$5001,BD!$B$3:$B$5001,L$114,BD!$A$3:$A$5001,"&gt;="&amp;$C$7,BD!$A$3:$A$5001,"&lt;="&amp;$B124,BD!$K$3:$K$5001,"&lt;&gt;"))))</f>
        <v/>
      </c>
      <c r="M124" s="43" t="str">
        <f>IF(OR($B124="",$A124&gt;$B$9,M$114=""),"",IF(COUNTIFS(BD!$B$3:$B$5001,M$114,BD!$A$3:$A$5001,"&gt;="&amp;$C$7,BD!$A$3:$A$5001,"&lt;="&amp;$B124,BD!$K$3:$K$5001,"&lt;&gt;")=0,"",SUMIFS(BD!$K$3:$K$5001,BD!$B$3:$B$5001,M$114,BD!$A$3:$A$5001,_xlfn.MAXIFS(BD!$A$3:$A$5001,BD!$B$3:$B$5001,M$114,BD!$A$3:$A$5001,"&gt;="&amp;$C$7,BD!$A$3:$A$5001,"&lt;="&amp;$B124,BD!$K$3:$K$5001,"&lt;&gt;"))))</f>
        <v/>
      </c>
      <c r="N124" s="43" t="str">
        <f>IF(OR($B124="",$A124&gt;$B$9,N$114=""),"",IF(COUNTIFS(BD!$B$3:$B$5001,N$114,BD!$A$3:$A$5001,"&gt;="&amp;$C$7,BD!$A$3:$A$5001,"&lt;="&amp;$B124,BD!$K$3:$K$5001,"&lt;&gt;")=0,"",SUMIFS(BD!$K$3:$K$5001,BD!$B$3:$B$5001,N$114,BD!$A$3:$A$5001,_xlfn.MAXIFS(BD!$A$3:$A$5001,BD!$B$3:$B$5001,N$114,BD!$A$3:$A$5001,"&gt;="&amp;$C$7,BD!$A$3:$A$5001,"&lt;="&amp;$B124,BD!$K$3:$K$5001,"&lt;&gt;"))))</f>
        <v/>
      </c>
      <c r="O124" s="43" t="str">
        <f>IF(OR($B124="",$A124&gt;$B$9,O$114=""),"",IF(COUNTIFS(BD!$B$3:$B$5001,O$114,BD!$A$3:$A$5001,"&gt;="&amp;$C$7,BD!$A$3:$A$5001,"&lt;="&amp;$B124,BD!$K$3:$K$5001,"&lt;&gt;")=0,"",SUMIFS(BD!$K$3:$K$5001,BD!$B$3:$B$5001,O$114,BD!$A$3:$A$5001,_xlfn.MAXIFS(BD!$A$3:$A$5001,BD!$B$3:$B$5001,O$114,BD!$A$3:$A$5001,"&gt;="&amp;$C$7,BD!$A$3:$A$5001,"&lt;="&amp;$B124,BD!$K$3:$K$5001,"&lt;&gt;"))))</f>
        <v/>
      </c>
      <c r="P124" s="43" t="str">
        <f>IF(OR($B124="",$A124&gt;$B$9,P$114=""),"",IF(COUNTIFS(BD!$B$3:$B$5001,P$114,BD!$A$3:$A$5001,"&gt;="&amp;$C$7,BD!$A$3:$A$5001,"&lt;="&amp;$B124,BD!$K$3:$K$5001,"&lt;&gt;")=0,"",SUMIFS(BD!$K$3:$K$5001,BD!$B$3:$B$5001,P$114,BD!$A$3:$A$5001,_xlfn.MAXIFS(BD!$A$3:$A$5001,BD!$B$3:$B$5001,P$114,BD!$A$3:$A$5001,"&gt;="&amp;$C$7,BD!$A$3:$A$5001,"&lt;="&amp;$B124,BD!$K$3:$K$5001,"&lt;&gt;"))))</f>
        <v/>
      </c>
      <c r="Q124" s="43" t="str">
        <f>IF(OR($B124="",$A124&gt;$B$9,Q$114=""),"",IF(COUNTIFS(BD!$B$3:$B$5001,Q$114,BD!$A$3:$A$5001,"&gt;="&amp;$C$7,BD!$A$3:$A$5001,"&lt;="&amp;$B124,BD!$K$3:$K$5001,"&lt;&gt;")=0,"",SUMIFS(BD!$K$3:$K$5001,BD!$B$3:$B$5001,Q$114,BD!$A$3:$A$5001,_xlfn.MAXIFS(BD!$A$3:$A$5001,BD!$B$3:$B$5001,Q$114,BD!$A$3:$A$5001,"&gt;="&amp;$C$7,BD!$A$3:$A$5001,"&lt;="&amp;$B124,BD!$K$3:$K$5001,"&lt;&gt;"))))</f>
        <v/>
      </c>
      <c r="R124" s="43" t="str">
        <f>IF(OR($B124="",$A124&gt;$B$9,R$114=""),"",IF(COUNTIFS(BD!$B$3:$B$5001,R$114,BD!$A$3:$A$5001,"&gt;="&amp;$C$7,BD!$A$3:$A$5001,"&lt;="&amp;$B124,BD!$K$3:$K$5001,"&lt;&gt;")=0,"",SUMIFS(BD!$K$3:$K$5001,BD!$B$3:$B$5001,R$114,BD!$A$3:$A$5001,_xlfn.MAXIFS(BD!$A$3:$A$5001,BD!$B$3:$B$5001,R$114,BD!$A$3:$A$5001,"&gt;="&amp;$C$7,BD!$A$3:$A$5001,"&lt;="&amp;$B124,BD!$K$3:$K$5001,"&lt;&gt;"))))</f>
        <v/>
      </c>
      <c r="S124" s="43" t="str">
        <f>IF(OR($B124="",$A124&gt;$B$9,S$114=""),"",IF(COUNTIFS(BD!$B$3:$B$5001,S$114,BD!$A$3:$A$5001,"&gt;="&amp;$C$7,BD!$A$3:$A$5001,"&lt;="&amp;$B124,BD!$K$3:$K$5001,"&lt;&gt;")=0,"",SUMIFS(BD!$K$3:$K$5001,BD!$B$3:$B$5001,S$114,BD!$A$3:$A$5001,_xlfn.MAXIFS(BD!$A$3:$A$5001,BD!$B$3:$B$5001,S$114,BD!$A$3:$A$5001,"&gt;="&amp;$C$7,BD!$A$3:$A$5001,"&lt;="&amp;$B124,BD!$K$3:$K$5001,"&lt;&gt;"))))</f>
        <v/>
      </c>
      <c r="T124" s="43" t="str">
        <f>IF(OR($B124="",$A124&gt;$B$9,T$114=""),"",IF(COUNTIFS(BD!$B$3:$B$5001,T$114,BD!$A$3:$A$5001,"&gt;="&amp;$C$7,BD!$A$3:$A$5001,"&lt;="&amp;$B124,BD!$K$3:$K$5001,"&lt;&gt;")=0,"",SUMIFS(BD!$K$3:$K$5001,BD!$B$3:$B$5001,T$114,BD!$A$3:$A$5001,_xlfn.MAXIFS(BD!$A$3:$A$5001,BD!$B$3:$B$5001,T$114,BD!$A$3:$A$5001,"&gt;="&amp;$C$7,BD!$A$3:$A$5001,"&lt;="&amp;$B124,BD!$K$3:$K$5001,"&lt;&gt;"))))</f>
        <v/>
      </c>
      <c r="U124" s="43" t="str">
        <f>IF(OR($B124="",$A124&gt;$B$9,U$114=""),"",IF(COUNTIFS(BD!$B$3:$B$5001,U$114,BD!$A$3:$A$5001,"&gt;="&amp;$C$7,BD!$A$3:$A$5001,"&lt;="&amp;$B124,BD!$K$3:$K$5001,"&lt;&gt;")=0,"",SUMIFS(BD!$K$3:$K$5001,BD!$B$3:$B$5001,U$114,BD!$A$3:$A$5001,_xlfn.MAXIFS(BD!$A$3:$A$5001,BD!$B$3:$B$5001,U$114,BD!$A$3:$A$5001,"&gt;="&amp;$C$7,BD!$A$3:$A$5001,"&lt;="&amp;$B124,BD!$K$3:$K$5001,"&lt;&gt;"))))</f>
        <v/>
      </c>
      <c r="V124" s="43" t="str">
        <f>IF(OR($B124="",$A124&gt;$B$9,V$114=""),"",IF(COUNTIFS(BD!$B$3:$B$5001,V$114,BD!$A$3:$A$5001,"&gt;="&amp;$C$7,BD!$A$3:$A$5001,"&lt;="&amp;$B124,BD!$K$3:$K$5001,"&lt;&gt;")=0,"",SUMIFS(BD!$K$3:$K$5001,BD!$B$3:$B$5001,V$114,BD!$A$3:$A$5001,_xlfn.MAXIFS(BD!$A$3:$A$5001,BD!$B$3:$B$5001,V$114,BD!$A$3:$A$5001,"&gt;="&amp;$C$7,BD!$A$3:$A$5001,"&lt;="&amp;$B124,BD!$K$3:$K$5001,"&lt;&gt;"))))</f>
        <v/>
      </c>
    </row>
    <row r="125">
      <c r="A125" s="38">
        <v>11</v>
      </c>
      <c r="B125" s="42">
        <f>$B$22</f>
        <v>46306</v>
      </c>
      <c r="C125" s="43" t="str">
        <f>IF(OR($B125="",$A125&gt;$B$9,C$114=""),"",IF(COUNTIFS(BD!$B$3:$B$5001,C$114,BD!$A$3:$A$5001,"&gt;="&amp;$C$7,BD!$A$3:$A$5001,"&lt;="&amp;$B125,BD!$K$3:$K$5001,"&lt;&gt;")=0,"",SUMIFS(BD!$K$3:$K$5001,BD!$B$3:$B$5001,C$114,BD!$A$3:$A$5001,_xlfn.MAXIFS(BD!$A$3:$A$5001,BD!$B$3:$B$5001,C$114,BD!$A$3:$A$5001,"&gt;="&amp;$C$7,BD!$A$3:$A$5001,"&lt;="&amp;$B125,BD!$K$3:$K$5001,"&lt;&gt;"))))</f>
        <v/>
      </c>
      <c r="D125" s="43" t="str">
        <f>IF(OR($B125="",$A125&gt;$B$9,D$114=""),"",IF(COUNTIFS(BD!$B$3:$B$5001,D$114,BD!$A$3:$A$5001,"&gt;="&amp;$C$7,BD!$A$3:$A$5001,"&lt;="&amp;$B125,BD!$K$3:$K$5001,"&lt;&gt;")=0,"",SUMIFS(BD!$K$3:$K$5001,BD!$B$3:$B$5001,D$114,BD!$A$3:$A$5001,_xlfn.MAXIFS(BD!$A$3:$A$5001,BD!$B$3:$B$5001,D$114,BD!$A$3:$A$5001,"&gt;="&amp;$C$7,BD!$A$3:$A$5001,"&lt;="&amp;$B125,BD!$K$3:$K$5001,"&lt;&gt;"))))</f>
        <v/>
      </c>
      <c r="E125" s="43" t="str">
        <f>IF(OR($B125="",$A125&gt;$B$9,E$114=""),"",IF(COUNTIFS(BD!$B$3:$B$5001,E$114,BD!$A$3:$A$5001,"&gt;="&amp;$C$7,BD!$A$3:$A$5001,"&lt;="&amp;$B125,BD!$K$3:$K$5001,"&lt;&gt;")=0,"",SUMIFS(BD!$K$3:$K$5001,BD!$B$3:$B$5001,E$114,BD!$A$3:$A$5001,_xlfn.MAXIFS(BD!$A$3:$A$5001,BD!$B$3:$B$5001,E$114,BD!$A$3:$A$5001,"&gt;="&amp;$C$7,BD!$A$3:$A$5001,"&lt;="&amp;$B125,BD!$K$3:$K$5001,"&lt;&gt;"))))</f>
        <v/>
      </c>
      <c r="F125" s="43" t="str">
        <f>IF(OR($B125="",$A125&gt;$B$9,F$114=""),"",IF(COUNTIFS(BD!$B$3:$B$5001,F$114,BD!$A$3:$A$5001,"&gt;="&amp;$C$7,BD!$A$3:$A$5001,"&lt;="&amp;$B125,BD!$K$3:$K$5001,"&lt;&gt;")=0,"",SUMIFS(BD!$K$3:$K$5001,BD!$B$3:$B$5001,F$114,BD!$A$3:$A$5001,_xlfn.MAXIFS(BD!$A$3:$A$5001,BD!$B$3:$B$5001,F$114,BD!$A$3:$A$5001,"&gt;="&amp;$C$7,BD!$A$3:$A$5001,"&lt;="&amp;$B125,BD!$K$3:$K$5001,"&lt;&gt;"))))</f>
        <v/>
      </c>
      <c r="G125" s="43" t="str">
        <f>IF(OR($B125="",$A125&gt;$B$9,G$114=""),"",IF(COUNTIFS(BD!$B$3:$B$5001,G$114,BD!$A$3:$A$5001,"&gt;="&amp;$C$7,BD!$A$3:$A$5001,"&lt;="&amp;$B125,BD!$K$3:$K$5001,"&lt;&gt;")=0,"",SUMIFS(BD!$K$3:$K$5001,BD!$B$3:$B$5001,G$114,BD!$A$3:$A$5001,_xlfn.MAXIFS(BD!$A$3:$A$5001,BD!$B$3:$B$5001,G$114,BD!$A$3:$A$5001,"&gt;="&amp;$C$7,BD!$A$3:$A$5001,"&lt;="&amp;$B125,BD!$K$3:$K$5001,"&lt;&gt;"))))</f>
        <v/>
      </c>
      <c r="H125" s="43" t="str">
        <f>IF(OR($B125="",$A125&gt;$B$9,H$114=""),"",IF(COUNTIFS(BD!$B$3:$B$5001,H$114,BD!$A$3:$A$5001,"&gt;="&amp;$C$7,BD!$A$3:$A$5001,"&lt;="&amp;$B125,BD!$K$3:$K$5001,"&lt;&gt;")=0,"",SUMIFS(BD!$K$3:$K$5001,BD!$B$3:$B$5001,H$114,BD!$A$3:$A$5001,_xlfn.MAXIFS(BD!$A$3:$A$5001,BD!$B$3:$B$5001,H$114,BD!$A$3:$A$5001,"&gt;="&amp;$C$7,BD!$A$3:$A$5001,"&lt;="&amp;$B125,BD!$K$3:$K$5001,"&lt;&gt;"))))</f>
        <v/>
      </c>
      <c r="I125" s="43" t="str">
        <f>IF(OR($B125="",$A125&gt;$B$9,I$114=""),"",IF(COUNTIFS(BD!$B$3:$B$5001,I$114,BD!$A$3:$A$5001,"&gt;="&amp;$C$7,BD!$A$3:$A$5001,"&lt;="&amp;$B125,BD!$K$3:$K$5001,"&lt;&gt;")=0,"",SUMIFS(BD!$K$3:$K$5001,BD!$B$3:$B$5001,I$114,BD!$A$3:$A$5001,_xlfn.MAXIFS(BD!$A$3:$A$5001,BD!$B$3:$B$5001,I$114,BD!$A$3:$A$5001,"&gt;="&amp;$C$7,BD!$A$3:$A$5001,"&lt;="&amp;$B125,BD!$K$3:$K$5001,"&lt;&gt;"))))</f>
        <v/>
      </c>
      <c r="J125" s="43" t="str">
        <f>IF(OR($B125="",$A125&gt;$B$9,J$114=""),"",IF(COUNTIFS(BD!$B$3:$B$5001,J$114,BD!$A$3:$A$5001,"&gt;="&amp;$C$7,BD!$A$3:$A$5001,"&lt;="&amp;$B125,BD!$K$3:$K$5001,"&lt;&gt;")=0,"",SUMIFS(BD!$K$3:$K$5001,BD!$B$3:$B$5001,J$114,BD!$A$3:$A$5001,_xlfn.MAXIFS(BD!$A$3:$A$5001,BD!$B$3:$B$5001,J$114,BD!$A$3:$A$5001,"&gt;="&amp;$C$7,BD!$A$3:$A$5001,"&lt;="&amp;$B125,BD!$K$3:$K$5001,"&lt;&gt;"))))</f>
        <v/>
      </c>
      <c r="K125" s="43" t="str">
        <f>IF(OR($B125="",$A125&gt;$B$9,K$114=""),"",IF(COUNTIFS(BD!$B$3:$B$5001,K$114,BD!$A$3:$A$5001,"&gt;="&amp;$C$7,BD!$A$3:$A$5001,"&lt;="&amp;$B125,BD!$K$3:$K$5001,"&lt;&gt;")=0,"",SUMIFS(BD!$K$3:$K$5001,BD!$B$3:$B$5001,K$114,BD!$A$3:$A$5001,_xlfn.MAXIFS(BD!$A$3:$A$5001,BD!$B$3:$B$5001,K$114,BD!$A$3:$A$5001,"&gt;="&amp;$C$7,BD!$A$3:$A$5001,"&lt;="&amp;$B125,BD!$K$3:$K$5001,"&lt;&gt;"))))</f>
        <v/>
      </c>
      <c r="L125" s="43" t="str">
        <f>IF(OR($B125="",$A125&gt;$B$9,L$114=""),"",IF(COUNTIFS(BD!$B$3:$B$5001,L$114,BD!$A$3:$A$5001,"&gt;="&amp;$C$7,BD!$A$3:$A$5001,"&lt;="&amp;$B125,BD!$K$3:$K$5001,"&lt;&gt;")=0,"",SUMIFS(BD!$K$3:$K$5001,BD!$B$3:$B$5001,L$114,BD!$A$3:$A$5001,_xlfn.MAXIFS(BD!$A$3:$A$5001,BD!$B$3:$B$5001,L$114,BD!$A$3:$A$5001,"&gt;="&amp;$C$7,BD!$A$3:$A$5001,"&lt;="&amp;$B125,BD!$K$3:$K$5001,"&lt;&gt;"))))</f>
        <v/>
      </c>
      <c r="M125" s="43" t="str">
        <f>IF(OR($B125="",$A125&gt;$B$9,M$114=""),"",IF(COUNTIFS(BD!$B$3:$B$5001,M$114,BD!$A$3:$A$5001,"&gt;="&amp;$C$7,BD!$A$3:$A$5001,"&lt;="&amp;$B125,BD!$K$3:$K$5001,"&lt;&gt;")=0,"",SUMIFS(BD!$K$3:$K$5001,BD!$B$3:$B$5001,M$114,BD!$A$3:$A$5001,_xlfn.MAXIFS(BD!$A$3:$A$5001,BD!$B$3:$B$5001,M$114,BD!$A$3:$A$5001,"&gt;="&amp;$C$7,BD!$A$3:$A$5001,"&lt;="&amp;$B125,BD!$K$3:$K$5001,"&lt;&gt;"))))</f>
        <v/>
      </c>
      <c r="N125" s="43" t="str">
        <f>IF(OR($B125="",$A125&gt;$B$9,N$114=""),"",IF(COUNTIFS(BD!$B$3:$B$5001,N$114,BD!$A$3:$A$5001,"&gt;="&amp;$C$7,BD!$A$3:$A$5001,"&lt;="&amp;$B125,BD!$K$3:$K$5001,"&lt;&gt;")=0,"",SUMIFS(BD!$K$3:$K$5001,BD!$B$3:$B$5001,N$114,BD!$A$3:$A$5001,_xlfn.MAXIFS(BD!$A$3:$A$5001,BD!$B$3:$B$5001,N$114,BD!$A$3:$A$5001,"&gt;="&amp;$C$7,BD!$A$3:$A$5001,"&lt;="&amp;$B125,BD!$K$3:$K$5001,"&lt;&gt;"))))</f>
        <v/>
      </c>
      <c r="O125" s="43" t="str">
        <f>IF(OR($B125="",$A125&gt;$B$9,O$114=""),"",IF(COUNTIFS(BD!$B$3:$B$5001,O$114,BD!$A$3:$A$5001,"&gt;="&amp;$C$7,BD!$A$3:$A$5001,"&lt;="&amp;$B125,BD!$K$3:$K$5001,"&lt;&gt;")=0,"",SUMIFS(BD!$K$3:$K$5001,BD!$B$3:$B$5001,O$114,BD!$A$3:$A$5001,_xlfn.MAXIFS(BD!$A$3:$A$5001,BD!$B$3:$B$5001,O$114,BD!$A$3:$A$5001,"&gt;="&amp;$C$7,BD!$A$3:$A$5001,"&lt;="&amp;$B125,BD!$K$3:$K$5001,"&lt;&gt;"))))</f>
        <v/>
      </c>
      <c r="P125" s="43" t="str">
        <f>IF(OR($B125="",$A125&gt;$B$9,P$114=""),"",IF(COUNTIFS(BD!$B$3:$B$5001,P$114,BD!$A$3:$A$5001,"&gt;="&amp;$C$7,BD!$A$3:$A$5001,"&lt;="&amp;$B125,BD!$K$3:$K$5001,"&lt;&gt;")=0,"",SUMIFS(BD!$K$3:$K$5001,BD!$B$3:$B$5001,P$114,BD!$A$3:$A$5001,_xlfn.MAXIFS(BD!$A$3:$A$5001,BD!$B$3:$B$5001,P$114,BD!$A$3:$A$5001,"&gt;="&amp;$C$7,BD!$A$3:$A$5001,"&lt;="&amp;$B125,BD!$K$3:$K$5001,"&lt;&gt;"))))</f>
        <v/>
      </c>
      <c r="Q125" s="43" t="str">
        <f>IF(OR($B125="",$A125&gt;$B$9,Q$114=""),"",IF(COUNTIFS(BD!$B$3:$B$5001,Q$114,BD!$A$3:$A$5001,"&gt;="&amp;$C$7,BD!$A$3:$A$5001,"&lt;="&amp;$B125,BD!$K$3:$K$5001,"&lt;&gt;")=0,"",SUMIFS(BD!$K$3:$K$5001,BD!$B$3:$B$5001,Q$114,BD!$A$3:$A$5001,_xlfn.MAXIFS(BD!$A$3:$A$5001,BD!$B$3:$B$5001,Q$114,BD!$A$3:$A$5001,"&gt;="&amp;$C$7,BD!$A$3:$A$5001,"&lt;="&amp;$B125,BD!$K$3:$K$5001,"&lt;&gt;"))))</f>
        <v/>
      </c>
      <c r="R125" s="43" t="str">
        <f>IF(OR($B125="",$A125&gt;$B$9,R$114=""),"",IF(COUNTIFS(BD!$B$3:$B$5001,R$114,BD!$A$3:$A$5001,"&gt;="&amp;$C$7,BD!$A$3:$A$5001,"&lt;="&amp;$B125,BD!$K$3:$K$5001,"&lt;&gt;")=0,"",SUMIFS(BD!$K$3:$K$5001,BD!$B$3:$B$5001,R$114,BD!$A$3:$A$5001,_xlfn.MAXIFS(BD!$A$3:$A$5001,BD!$B$3:$B$5001,R$114,BD!$A$3:$A$5001,"&gt;="&amp;$C$7,BD!$A$3:$A$5001,"&lt;="&amp;$B125,BD!$K$3:$K$5001,"&lt;&gt;"))))</f>
        <v/>
      </c>
      <c r="S125" s="43" t="str">
        <f>IF(OR($B125="",$A125&gt;$B$9,S$114=""),"",IF(COUNTIFS(BD!$B$3:$B$5001,S$114,BD!$A$3:$A$5001,"&gt;="&amp;$C$7,BD!$A$3:$A$5001,"&lt;="&amp;$B125,BD!$K$3:$K$5001,"&lt;&gt;")=0,"",SUMIFS(BD!$K$3:$K$5001,BD!$B$3:$B$5001,S$114,BD!$A$3:$A$5001,_xlfn.MAXIFS(BD!$A$3:$A$5001,BD!$B$3:$B$5001,S$114,BD!$A$3:$A$5001,"&gt;="&amp;$C$7,BD!$A$3:$A$5001,"&lt;="&amp;$B125,BD!$K$3:$K$5001,"&lt;&gt;"))))</f>
        <v/>
      </c>
      <c r="T125" s="43" t="str">
        <f>IF(OR($B125="",$A125&gt;$B$9,T$114=""),"",IF(COUNTIFS(BD!$B$3:$B$5001,T$114,BD!$A$3:$A$5001,"&gt;="&amp;$C$7,BD!$A$3:$A$5001,"&lt;="&amp;$B125,BD!$K$3:$K$5001,"&lt;&gt;")=0,"",SUMIFS(BD!$K$3:$K$5001,BD!$B$3:$B$5001,T$114,BD!$A$3:$A$5001,_xlfn.MAXIFS(BD!$A$3:$A$5001,BD!$B$3:$B$5001,T$114,BD!$A$3:$A$5001,"&gt;="&amp;$C$7,BD!$A$3:$A$5001,"&lt;="&amp;$B125,BD!$K$3:$K$5001,"&lt;&gt;"))))</f>
        <v/>
      </c>
      <c r="U125" s="43" t="str">
        <f>IF(OR($B125="",$A125&gt;$B$9,U$114=""),"",IF(COUNTIFS(BD!$B$3:$B$5001,U$114,BD!$A$3:$A$5001,"&gt;="&amp;$C$7,BD!$A$3:$A$5001,"&lt;="&amp;$B125,BD!$K$3:$K$5001,"&lt;&gt;")=0,"",SUMIFS(BD!$K$3:$K$5001,BD!$B$3:$B$5001,U$114,BD!$A$3:$A$5001,_xlfn.MAXIFS(BD!$A$3:$A$5001,BD!$B$3:$B$5001,U$114,BD!$A$3:$A$5001,"&gt;="&amp;$C$7,BD!$A$3:$A$5001,"&lt;="&amp;$B125,BD!$K$3:$K$5001,"&lt;&gt;"))))</f>
        <v/>
      </c>
      <c r="V125" s="43" t="str">
        <f>IF(OR($B125="",$A125&gt;$B$9,V$114=""),"",IF(COUNTIFS(BD!$B$3:$B$5001,V$114,BD!$A$3:$A$5001,"&gt;="&amp;$C$7,BD!$A$3:$A$5001,"&lt;="&amp;$B125,BD!$K$3:$K$5001,"&lt;&gt;")=0,"",SUMIFS(BD!$K$3:$K$5001,BD!$B$3:$B$5001,V$114,BD!$A$3:$A$5001,_xlfn.MAXIFS(BD!$A$3:$A$5001,BD!$B$3:$B$5001,V$114,BD!$A$3:$A$5001,"&gt;="&amp;$C$7,BD!$A$3:$A$5001,"&lt;="&amp;$B125,BD!$K$3:$K$5001,"&lt;&gt;"))))</f>
        <v/>
      </c>
    </row>
    <row r="126">
      <c r="A126" s="38">
        <v>12</v>
      </c>
      <c r="B126" s="42">
        <f>$B$23</f>
        <v>46307</v>
      </c>
      <c r="C126" s="43" t="str">
        <f>IF(OR($B126="",$A126&gt;$B$9,C$114=""),"",IF(COUNTIFS(BD!$B$3:$B$5001,C$114,BD!$A$3:$A$5001,"&gt;="&amp;$C$7,BD!$A$3:$A$5001,"&lt;="&amp;$B126,BD!$K$3:$K$5001,"&lt;&gt;")=0,"",SUMIFS(BD!$K$3:$K$5001,BD!$B$3:$B$5001,C$114,BD!$A$3:$A$5001,_xlfn.MAXIFS(BD!$A$3:$A$5001,BD!$B$3:$B$5001,C$114,BD!$A$3:$A$5001,"&gt;="&amp;$C$7,BD!$A$3:$A$5001,"&lt;="&amp;$B126,BD!$K$3:$K$5001,"&lt;&gt;"))))</f>
        <v/>
      </c>
      <c r="D126" s="43" t="str">
        <f>IF(OR($B126="",$A126&gt;$B$9,D$114=""),"",IF(COUNTIFS(BD!$B$3:$B$5001,D$114,BD!$A$3:$A$5001,"&gt;="&amp;$C$7,BD!$A$3:$A$5001,"&lt;="&amp;$B126,BD!$K$3:$K$5001,"&lt;&gt;")=0,"",SUMIFS(BD!$K$3:$K$5001,BD!$B$3:$B$5001,D$114,BD!$A$3:$A$5001,_xlfn.MAXIFS(BD!$A$3:$A$5001,BD!$B$3:$B$5001,D$114,BD!$A$3:$A$5001,"&gt;="&amp;$C$7,BD!$A$3:$A$5001,"&lt;="&amp;$B126,BD!$K$3:$K$5001,"&lt;&gt;"))))</f>
        <v/>
      </c>
      <c r="E126" s="43" t="str">
        <f>IF(OR($B126="",$A126&gt;$B$9,E$114=""),"",IF(COUNTIFS(BD!$B$3:$B$5001,E$114,BD!$A$3:$A$5001,"&gt;="&amp;$C$7,BD!$A$3:$A$5001,"&lt;="&amp;$B126,BD!$K$3:$K$5001,"&lt;&gt;")=0,"",SUMIFS(BD!$K$3:$K$5001,BD!$B$3:$B$5001,E$114,BD!$A$3:$A$5001,_xlfn.MAXIFS(BD!$A$3:$A$5001,BD!$B$3:$B$5001,E$114,BD!$A$3:$A$5001,"&gt;="&amp;$C$7,BD!$A$3:$A$5001,"&lt;="&amp;$B126,BD!$K$3:$K$5001,"&lt;&gt;"))))</f>
        <v/>
      </c>
      <c r="F126" s="43" t="str">
        <f>IF(OR($B126="",$A126&gt;$B$9,F$114=""),"",IF(COUNTIFS(BD!$B$3:$B$5001,F$114,BD!$A$3:$A$5001,"&gt;="&amp;$C$7,BD!$A$3:$A$5001,"&lt;="&amp;$B126,BD!$K$3:$K$5001,"&lt;&gt;")=0,"",SUMIFS(BD!$K$3:$K$5001,BD!$B$3:$B$5001,F$114,BD!$A$3:$A$5001,_xlfn.MAXIFS(BD!$A$3:$A$5001,BD!$B$3:$B$5001,F$114,BD!$A$3:$A$5001,"&gt;="&amp;$C$7,BD!$A$3:$A$5001,"&lt;="&amp;$B126,BD!$K$3:$K$5001,"&lt;&gt;"))))</f>
        <v/>
      </c>
      <c r="G126" s="43" t="str">
        <f>IF(OR($B126="",$A126&gt;$B$9,G$114=""),"",IF(COUNTIFS(BD!$B$3:$B$5001,G$114,BD!$A$3:$A$5001,"&gt;="&amp;$C$7,BD!$A$3:$A$5001,"&lt;="&amp;$B126,BD!$K$3:$K$5001,"&lt;&gt;")=0,"",SUMIFS(BD!$K$3:$K$5001,BD!$B$3:$B$5001,G$114,BD!$A$3:$A$5001,_xlfn.MAXIFS(BD!$A$3:$A$5001,BD!$B$3:$B$5001,G$114,BD!$A$3:$A$5001,"&gt;="&amp;$C$7,BD!$A$3:$A$5001,"&lt;="&amp;$B126,BD!$K$3:$K$5001,"&lt;&gt;"))))</f>
        <v/>
      </c>
      <c r="H126" s="43" t="str">
        <f>IF(OR($B126="",$A126&gt;$B$9,H$114=""),"",IF(COUNTIFS(BD!$B$3:$B$5001,H$114,BD!$A$3:$A$5001,"&gt;="&amp;$C$7,BD!$A$3:$A$5001,"&lt;="&amp;$B126,BD!$K$3:$K$5001,"&lt;&gt;")=0,"",SUMIFS(BD!$K$3:$K$5001,BD!$B$3:$B$5001,H$114,BD!$A$3:$A$5001,_xlfn.MAXIFS(BD!$A$3:$A$5001,BD!$B$3:$B$5001,H$114,BD!$A$3:$A$5001,"&gt;="&amp;$C$7,BD!$A$3:$A$5001,"&lt;="&amp;$B126,BD!$K$3:$K$5001,"&lt;&gt;"))))</f>
        <v/>
      </c>
      <c r="I126" s="43" t="str">
        <f>IF(OR($B126="",$A126&gt;$B$9,I$114=""),"",IF(COUNTIFS(BD!$B$3:$B$5001,I$114,BD!$A$3:$A$5001,"&gt;="&amp;$C$7,BD!$A$3:$A$5001,"&lt;="&amp;$B126,BD!$K$3:$K$5001,"&lt;&gt;")=0,"",SUMIFS(BD!$K$3:$K$5001,BD!$B$3:$B$5001,I$114,BD!$A$3:$A$5001,_xlfn.MAXIFS(BD!$A$3:$A$5001,BD!$B$3:$B$5001,I$114,BD!$A$3:$A$5001,"&gt;="&amp;$C$7,BD!$A$3:$A$5001,"&lt;="&amp;$B126,BD!$K$3:$K$5001,"&lt;&gt;"))))</f>
        <v/>
      </c>
      <c r="J126" s="43" t="str">
        <f>IF(OR($B126="",$A126&gt;$B$9,J$114=""),"",IF(COUNTIFS(BD!$B$3:$B$5001,J$114,BD!$A$3:$A$5001,"&gt;="&amp;$C$7,BD!$A$3:$A$5001,"&lt;="&amp;$B126,BD!$K$3:$K$5001,"&lt;&gt;")=0,"",SUMIFS(BD!$K$3:$K$5001,BD!$B$3:$B$5001,J$114,BD!$A$3:$A$5001,_xlfn.MAXIFS(BD!$A$3:$A$5001,BD!$B$3:$B$5001,J$114,BD!$A$3:$A$5001,"&gt;="&amp;$C$7,BD!$A$3:$A$5001,"&lt;="&amp;$B126,BD!$K$3:$K$5001,"&lt;&gt;"))))</f>
        <v/>
      </c>
      <c r="K126" s="43" t="str">
        <f>IF(OR($B126="",$A126&gt;$B$9,K$114=""),"",IF(COUNTIFS(BD!$B$3:$B$5001,K$114,BD!$A$3:$A$5001,"&gt;="&amp;$C$7,BD!$A$3:$A$5001,"&lt;="&amp;$B126,BD!$K$3:$K$5001,"&lt;&gt;")=0,"",SUMIFS(BD!$K$3:$K$5001,BD!$B$3:$B$5001,K$114,BD!$A$3:$A$5001,_xlfn.MAXIFS(BD!$A$3:$A$5001,BD!$B$3:$B$5001,K$114,BD!$A$3:$A$5001,"&gt;="&amp;$C$7,BD!$A$3:$A$5001,"&lt;="&amp;$B126,BD!$K$3:$K$5001,"&lt;&gt;"))))</f>
        <v/>
      </c>
      <c r="L126" s="43" t="str">
        <f>IF(OR($B126="",$A126&gt;$B$9,L$114=""),"",IF(COUNTIFS(BD!$B$3:$B$5001,L$114,BD!$A$3:$A$5001,"&gt;="&amp;$C$7,BD!$A$3:$A$5001,"&lt;="&amp;$B126,BD!$K$3:$K$5001,"&lt;&gt;")=0,"",SUMIFS(BD!$K$3:$K$5001,BD!$B$3:$B$5001,L$114,BD!$A$3:$A$5001,_xlfn.MAXIFS(BD!$A$3:$A$5001,BD!$B$3:$B$5001,L$114,BD!$A$3:$A$5001,"&gt;="&amp;$C$7,BD!$A$3:$A$5001,"&lt;="&amp;$B126,BD!$K$3:$K$5001,"&lt;&gt;"))))</f>
        <v/>
      </c>
      <c r="M126" s="43" t="str">
        <f>IF(OR($B126="",$A126&gt;$B$9,M$114=""),"",IF(COUNTIFS(BD!$B$3:$B$5001,M$114,BD!$A$3:$A$5001,"&gt;="&amp;$C$7,BD!$A$3:$A$5001,"&lt;="&amp;$B126,BD!$K$3:$K$5001,"&lt;&gt;")=0,"",SUMIFS(BD!$K$3:$K$5001,BD!$B$3:$B$5001,M$114,BD!$A$3:$A$5001,_xlfn.MAXIFS(BD!$A$3:$A$5001,BD!$B$3:$B$5001,M$114,BD!$A$3:$A$5001,"&gt;="&amp;$C$7,BD!$A$3:$A$5001,"&lt;="&amp;$B126,BD!$K$3:$K$5001,"&lt;&gt;"))))</f>
        <v/>
      </c>
      <c r="N126" s="43" t="str">
        <f>IF(OR($B126="",$A126&gt;$B$9,N$114=""),"",IF(COUNTIFS(BD!$B$3:$B$5001,N$114,BD!$A$3:$A$5001,"&gt;="&amp;$C$7,BD!$A$3:$A$5001,"&lt;="&amp;$B126,BD!$K$3:$K$5001,"&lt;&gt;")=0,"",SUMIFS(BD!$K$3:$K$5001,BD!$B$3:$B$5001,N$114,BD!$A$3:$A$5001,_xlfn.MAXIFS(BD!$A$3:$A$5001,BD!$B$3:$B$5001,N$114,BD!$A$3:$A$5001,"&gt;="&amp;$C$7,BD!$A$3:$A$5001,"&lt;="&amp;$B126,BD!$K$3:$K$5001,"&lt;&gt;"))))</f>
        <v/>
      </c>
      <c r="O126" s="43" t="str">
        <f>IF(OR($B126="",$A126&gt;$B$9,O$114=""),"",IF(COUNTIFS(BD!$B$3:$B$5001,O$114,BD!$A$3:$A$5001,"&gt;="&amp;$C$7,BD!$A$3:$A$5001,"&lt;="&amp;$B126,BD!$K$3:$K$5001,"&lt;&gt;")=0,"",SUMIFS(BD!$K$3:$K$5001,BD!$B$3:$B$5001,O$114,BD!$A$3:$A$5001,_xlfn.MAXIFS(BD!$A$3:$A$5001,BD!$B$3:$B$5001,O$114,BD!$A$3:$A$5001,"&gt;="&amp;$C$7,BD!$A$3:$A$5001,"&lt;="&amp;$B126,BD!$K$3:$K$5001,"&lt;&gt;"))))</f>
        <v/>
      </c>
      <c r="P126" s="43" t="str">
        <f>IF(OR($B126="",$A126&gt;$B$9,P$114=""),"",IF(COUNTIFS(BD!$B$3:$B$5001,P$114,BD!$A$3:$A$5001,"&gt;="&amp;$C$7,BD!$A$3:$A$5001,"&lt;="&amp;$B126,BD!$K$3:$K$5001,"&lt;&gt;")=0,"",SUMIFS(BD!$K$3:$K$5001,BD!$B$3:$B$5001,P$114,BD!$A$3:$A$5001,_xlfn.MAXIFS(BD!$A$3:$A$5001,BD!$B$3:$B$5001,P$114,BD!$A$3:$A$5001,"&gt;="&amp;$C$7,BD!$A$3:$A$5001,"&lt;="&amp;$B126,BD!$K$3:$K$5001,"&lt;&gt;"))))</f>
        <v/>
      </c>
      <c r="Q126" s="43" t="str">
        <f>IF(OR($B126="",$A126&gt;$B$9,Q$114=""),"",IF(COUNTIFS(BD!$B$3:$B$5001,Q$114,BD!$A$3:$A$5001,"&gt;="&amp;$C$7,BD!$A$3:$A$5001,"&lt;="&amp;$B126,BD!$K$3:$K$5001,"&lt;&gt;")=0,"",SUMIFS(BD!$K$3:$K$5001,BD!$B$3:$B$5001,Q$114,BD!$A$3:$A$5001,_xlfn.MAXIFS(BD!$A$3:$A$5001,BD!$B$3:$B$5001,Q$114,BD!$A$3:$A$5001,"&gt;="&amp;$C$7,BD!$A$3:$A$5001,"&lt;="&amp;$B126,BD!$K$3:$K$5001,"&lt;&gt;"))))</f>
        <v/>
      </c>
      <c r="R126" s="43" t="str">
        <f>IF(OR($B126="",$A126&gt;$B$9,R$114=""),"",IF(COUNTIFS(BD!$B$3:$B$5001,R$114,BD!$A$3:$A$5001,"&gt;="&amp;$C$7,BD!$A$3:$A$5001,"&lt;="&amp;$B126,BD!$K$3:$K$5001,"&lt;&gt;")=0,"",SUMIFS(BD!$K$3:$K$5001,BD!$B$3:$B$5001,R$114,BD!$A$3:$A$5001,_xlfn.MAXIFS(BD!$A$3:$A$5001,BD!$B$3:$B$5001,R$114,BD!$A$3:$A$5001,"&gt;="&amp;$C$7,BD!$A$3:$A$5001,"&lt;="&amp;$B126,BD!$K$3:$K$5001,"&lt;&gt;"))))</f>
        <v/>
      </c>
      <c r="S126" s="43" t="str">
        <f>IF(OR($B126="",$A126&gt;$B$9,S$114=""),"",IF(COUNTIFS(BD!$B$3:$B$5001,S$114,BD!$A$3:$A$5001,"&gt;="&amp;$C$7,BD!$A$3:$A$5001,"&lt;="&amp;$B126,BD!$K$3:$K$5001,"&lt;&gt;")=0,"",SUMIFS(BD!$K$3:$K$5001,BD!$B$3:$B$5001,S$114,BD!$A$3:$A$5001,_xlfn.MAXIFS(BD!$A$3:$A$5001,BD!$B$3:$B$5001,S$114,BD!$A$3:$A$5001,"&gt;="&amp;$C$7,BD!$A$3:$A$5001,"&lt;="&amp;$B126,BD!$K$3:$K$5001,"&lt;&gt;"))))</f>
        <v/>
      </c>
      <c r="T126" s="43" t="str">
        <f>IF(OR($B126="",$A126&gt;$B$9,T$114=""),"",IF(COUNTIFS(BD!$B$3:$B$5001,T$114,BD!$A$3:$A$5001,"&gt;="&amp;$C$7,BD!$A$3:$A$5001,"&lt;="&amp;$B126,BD!$K$3:$K$5001,"&lt;&gt;")=0,"",SUMIFS(BD!$K$3:$K$5001,BD!$B$3:$B$5001,T$114,BD!$A$3:$A$5001,_xlfn.MAXIFS(BD!$A$3:$A$5001,BD!$B$3:$B$5001,T$114,BD!$A$3:$A$5001,"&gt;="&amp;$C$7,BD!$A$3:$A$5001,"&lt;="&amp;$B126,BD!$K$3:$K$5001,"&lt;&gt;"))))</f>
        <v/>
      </c>
      <c r="U126" s="43" t="str">
        <f>IF(OR($B126="",$A126&gt;$B$9,U$114=""),"",IF(COUNTIFS(BD!$B$3:$B$5001,U$114,BD!$A$3:$A$5001,"&gt;="&amp;$C$7,BD!$A$3:$A$5001,"&lt;="&amp;$B126,BD!$K$3:$K$5001,"&lt;&gt;")=0,"",SUMIFS(BD!$K$3:$K$5001,BD!$B$3:$B$5001,U$114,BD!$A$3:$A$5001,_xlfn.MAXIFS(BD!$A$3:$A$5001,BD!$B$3:$B$5001,U$114,BD!$A$3:$A$5001,"&gt;="&amp;$C$7,BD!$A$3:$A$5001,"&lt;="&amp;$B126,BD!$K$3:$K$5001,"&lt;&gt;"))))</f>
        <v/>
      </c>
      <c r="V126" s="43" t="str">
        <f>IF(OR($B126="",$A126&gt;$B$9,V$114=""),"",IF(COUNTIFS(BD!$B$3:$B$5001,V$114,BD!$A$3:$A$5001,"&gt;="&amp;$C$7,BD!$A$3:$A$5001,"&lt;="&amp;$B126,BD!$K$3:$K$5001,"&lt;&gt;")=0,"",SUMIFS(BD!$K$3:$K$5001,BD!$B$3:$B$5001,V$114,BD!$A$3:$A$5001,_xlfn.MAXIFS(BD!$A$3:$A$5001,BD!$B$3:$B$5001,V$114,BD!$A$3:$A$5001,"&gt;="&amp;$C$7,BD!$A$3:$A$5001,"&lt;="&amp;$B126,BD!$K$3:$K$5001,"&lt;&gt;"))))</f>
        <v/>
      </c>
    </row>
    <row r="127">
      <c r="A127" s="38">
        <v>13</v>
      </c>
      <c r="B127" s="42">
        <f>$B$24</f>
        <v>46308</v>
      </c>
      <c r="C127" s="43" t="str">
        <f>IF(OR($B127="",$A127&gt;$B$9,C$114=""),"",IF(COUNTIFS(BD!$B$3:$B$5001,C$114,BD!$A$3:$A$5001,"&gt;="&amp;$C$7,BD!$A$3:$A$5001,"&lt;="&amp;$B127,BD!$K$3:$K$5001,"&lt;&gt;")=0,"",SUMIFS(BD!$K$3:$K$5001,BD!$B$3:$B$5001,C$114,BD!$A$3:$A$5001,_xlfn.MAXIFS(BD!$A$3:$A$5001,BD!$B$3:$B$5001,C$114,BD!$A$3:$A$5001,"&gt;="&amp;$C$7,BD!$A$3:$A$5001,"&lt;="&amp;$B127,BD!$K$3:$K$5001,"&lt;&gt;"))))</f>
        <v/>
      </c>
      <c r="D127" s="43" t="str">
        <f>IF(OR($B127="",$A127&gt;$B$9,D$114=""),"",IF(COUNTIFS(BD!$B$3:$B$5001,D$114,BD!$A$3:$A$5001,"&gt;="&amp;$C$7,BD!$A$3:$A$5001,"&lt;="&amp;$B127,BD!$K$3:$K$5001,"&lt;&gt;")=0,"",SUMIFS(BD!$K$3:$K$5001,BD!$B$3:$B$5001,D$114,BD!$A$3:$A$5001,_xlfn.MAXIFS(BD!$A$3:$A$5001,BD!$B$3:$B$5001,D$114,BD!$A$3:$A$5001,"&gt;="&amp;$C$7,BD!$A$3:$A$5001,"&lt;="&amp;$B127,BD!$K$3:$K$5001,"&lt;&gt;"))))</f>
        <v/>
      </c>
      <c r="E127" s="43" t="str">
        <f>IF(OR($B127="",$A127&gt;$B$9,E$114=""),"",IF(COUNTIFS(BD!$B$3:$B$5001,E$114,BD!$A$3:$A$5001,"&gt;="&amp;$C$7,BD!$A$3:$A$5001,"&lt;="&amp;$B127,BD!$K$3:$K$5001,"&lt;&gt;")=0,"",SUMIFS(BD!$K$3:$K$5001,BD!$B$3:$B$5001,E$114,BD!$A$3:$A$5001,_xlfn.MAXIFS(BD!$A$3:$A$5001,BD!$B$3:$B$5001,E$114,BD!$A$3:$A$5001,"&gt;="&amp;$C$7,BD!$A$3:$A$5001,"&lt;="&amp;$B127,BD!$K$3:$K$5001,"&lt;&gt;"))))</f>
        <v/>
      </c>
      <c r="F127" s="43" t="str">
        <f>IF(OR($B127="",$A127&gt;$B$9,F$114=""),"",IF(COUNTIFS(BD!$B$3:$B$5001,F$114,BD!$A$3:$A$5001,"&gt;="&amp;$C$7,BD!$A$3:$A$5001,"&lt;="&amp;$B127,BD!$K$3:$K$5001,"&lt;&gt;")=0,"",SUMIFS(BD!$K$3:$K$5001,BD!$B$3:$B$5001,F$114,BD!$A$3:$A$5001,_xlfn.MAXIFS(BD!$A$3:$A$5001,BD!$B$3:$B$5001,F$114,BD!$A$3:$A$5001,"&gt;="&amp;$C$7,BD!$A$3:$A$5001,"&lt;="&amp;$B127,BD!$K$3:$K$5001,"&lt;&gt;"))))</f>
        <v/>
      </c>
      <c r="G127" s="43" t="str">
        <f>IF(OR($B127="",$A127&gt;$B$9,G$114=""),"",IF(COUNTIFS(BD!$B$3:$B$5001,G$114,BD!$A$3:$A$5001,"&gt;="&amp;$C$7,BD!$A$3:$A$5001,"&lt;="&amp;$B127,BD!$K$3:$K$5001,"&lt;&gt;")=0,"",SUMIFS(BD!$K$3:$K$5001,BD!$B$3:$B$5001,G$114,BD!$A$3:$A$5001,_xlfn.MAXIFS(BD!$A$3:$A$5001,BD!$B$3:$B$5001,G$114,BD!$A$3:$A$5001,"&gt;="&amp;$C$7,BD!$A$3:$A$5001,"&lt;="&amp;$B127,BD!$K$3:$K$5001,"&lt;&gt;"))))</f>
        <v/>
      </c>
      <c r="H127" s="43" t="str">
        <f>IF(OR($B127="",$A127&gt;$B$9,H$114=""),"",IF(COUNTIFS(BD!$B$3:$B$5001,H$114,BD!$A$3:$A$5001,"&gt;="&amp;$C$7,BD!$A$3:$A$5001,"&lt;="&amp;$B127,BD!$K$3:$K$5001,"&lt;&gt;")=0,"",SUMIFS(BD!$K$3:$K$5001,BD!$B$3:$B$5001,H$114,BD!$A$3:$A$5001,_xlfn.MAXIFS(BD!$A$3:$A$5001,BD!$B$3:$B$5001,H$114,BD!$A$3:$A$5001,"&gt;="&amp;$C$7,BD!$A$3:$A$5001,"&lt;="&amp;$B127,BD!$K$3:$K$5001,"&lt;&gt;"))))</f>
        <v/>
      </c>
      <c r="I127" s="43" t="str">
        <f>IF(OR($B127="",$A127&gt;$B$9,I$114=""),"",IF(COUNTIFS(BD!$B$3:$B$5001,I$114,BD!$A$3:$A$5001,"&gt;="&amp;$C$7,BD!$A$3:$A$5001,"&lt;="&amp;$B127,BD!$K$3:$K$5001,"&lt;&gt;")=0,"",SUMIFS(BD!$K$3:$K$5001,BD!$B$3:$B$5001,I$114,BD!$A$3:$A$5001,_xlfn.MAXIFS(BD!$A$3:$A$5001,BD!$B$3:$B$5001,I$114,BD!$A$3:$A$5001,"&gt;="&amp;$C$7,BD!$A$3:$A$5001,"&lt;="&amp;$B127,BD!$K$3:$K$5001,"&lt;&gt;"))))</f>
        <v/>
      </c>
      <c r="J127" s="43" t="str">
        <f>IF(OR($B127="",$A127&gt;$B$9,J$114=""),"",IF(COUNTIFS(BD!$B$3:$B$5001,J$114,BD!$A$3:$A$5001,"&gt;="&amp;$C$7,BD!$A$3:$A$5001,"&lt;="&amp;$B127,BD!$K$3:$K$5001,"&lt;&gt;")=0,"",SUMIFS(BD!$K$3:$K$5001,BD!$B$3:$B$5001,J$114,BD!$A$3:$A$5001,_xlfn.MAXIFS(BD!$A$3:$A$5001,BD!$B$3:$B$5001,J$114,BD!$A$3:$A$5001,"&gt;="&amp;$C$7,BD!$A$3:$A$5001,"&lt;="&amp;$B127,BD!$K$3:$K$5001,"&lt;&gt;"))))</f>
        <v/>
      </c>
      <c r="K127" s="43" t="str">
        <f>IF(OR($B127="",$A127&gt;$B$9,K$114=""),"",IF(COUNTIFS(BD!$B$3:$B$5001,K$114,BD!$A$3:$A$5001,"&gt;="&amp;$C$7,BD!$A$3:$A$5001,"&lt;="&amp;$B127,BD!$K$3:$K$5001,"&lt;&gt;")=0,"",SUMIFS(BD!$K$3:$K$5001,BD!$B$3:$B$5001,K$114,BD!$A$3:$A$5001,_xlfn.MAXIFS(BD!$A$3:$A$5001,BD!$B$3:$B$5001,K$114,BD!$A$3:$A$5001,"&gt;="&amp;$C$7,BD!$A$3:$A$5001,"&lt;="&amp;$B127,BD!$K$3:$K$5001,"&lt;&gt;"))))</f>
        <v/>
      </c>
      <c r="L127" s="43" t="str">
        <f>IF(OR($B127="",$A127&gt;$B$9,L$114=""),"",IF(COUNTIFS(BD!$B$3:$B$5001,L$114,BD!$A$3:$A$5001,"&gt;="&amp;$C$7,BD!$A$3:$A$5001,"&lt;="&amp;$B127,BD!$K$3:$K$5001,"&lt;&gt;")=0,"",SUMIFS(BD!$K$3:$K$5001,BD!$B$3:$B$5001,L$114,BD!$A$3:$A$5001,_xlfn.MAXIFS(BD!$A$3:$A$5001,BD!$B$3:$B$5001,L$114,BD!$A$3:$A$5001,"&gt;="&amp;$C$7,BD!$A$3:$A$5001,"&lt;="&amp;$B127,BD!$K$3:$K$5001,"&lt;&gt;"))))</f>
        <v/>
      </c>
      <c r="M127" s="43" t="str">
        <f>IF(OR($B127="",$A127&gt;$B$9,M$114=""),"",IF(COUNTIFS(BD!$B$3:$B$5001,M$114,BD!$A$3:$A$5001,"&gt;="&amp;$C$7,BD!$A$3:$A$5001,"&lt;="&amp;$B127,BD!$K$3:$K$5001,"&lt;&gt;")=0,"",SUMIFS(BD!$K$3:$K$5001,BD!$B$3:$B$5001,M$114,BD!$A$3:$A$5001,_xlfn.MAXIFS(BD!$A$3:$A$5001,BD!$B$3:$B$5001,M$114,BD!$A$3:$A$5001,"&gt;="&amp;$C$7,BD!$A$3:$A$5001,"&lt;="&amp;$B127,BD!$K$3:$K$5001,"&lt;&gt;"))))</f>
        <v/>
      </c>
      <c r="N127" s="43" t="str">
        <f>IF(OR($B127="",$A127&gt;$B$9,N$114=""),"",IF(COUNTIFS(BD!$B$3:$B$5001,N$114,BD!$A$3:$A$5001,"&gt;="&amp;$C$7,BD!$A$3:$A$5001,"&lt;="&amp;$B127,BD!$K$3:$K$5001,"&lt;&gt;")=0,"",SUMIFS(BD!$K$3:$K$5001,BD!$B$3:$B$5001,N$114,BD!$A$3:$A$5001,_xlfn.MAXIFS(BD!$A$3:$A$5001,BD!$B$3:$B$5001,N$114,BD!$A$3:$A$5001,"&gt;="&amp;$C$7,BD!$A$3:$A$5001,"&lt;="&amp;$B127,BD!$K$3:$K$5001,"&lt;&gt;"))))</f>
        <v/>
      </c>
      <c r="O127" s="43" t="str">
        <f>IF(OR($B127="",$A127&gt;$B$9,O$114=""),"",IF(COUNTIFS(BD!$B$3:$B$5001,O$114,BD!$A$3:$A$5001,"&gt;="&amp;$C$7,BD!$A$3:$A$5001,"&lt;="&amp;$B127,BD!$K$3:$K$5001,"&lt;&gt;")=0,"",SUMIFS(BD!$K$3:$K$5001,BD!$B$3:$B$5001,O$114,BD!$A$3:$A$5001,_xlfn.MAXIFS(BD!$A$3:$A$5001,BD!$B$3:$B$5001,O$114,BD!$A$3:$A$5001,"&gt;="&amp;$C$7,BD!$A$3:$A$5001,"&lt;="&amp;$B127,BD!$K$3:$K$5001,"&lt;&gt;"))))</f>
        <v/>
      </c>
      <c r="P127" s="43" t="str">
        <f>IF(OR($B127="",$A127&gt;$B$9,P$114=""),"",IF(COUNTIFS(BD!$B$3:$B$5001,P$114,BD!$A$3:$A$5001,"&gt;="&amp;$C$7,BD!$A$3:$A$5001,"&lt;="&amp;$B127,BD!$K$3:$K$5001,"&lt;&gt;")=0,"",SUMIFS(BD!$K$3:$K$5001,BD!$B$3:$B$5001,P$114,BD!$A$3:$A$5001,_xlfn.MAXIFS(BD!$A$3:$A$5001,BD!$B$3:$B$5001,P$114,BD!$A$3:$A$5001,"&gt;="&amp;$C$7,BD!$A$3:$A$5001,"&lt;="&amp;$B127,BD!$K$3:$K$5001,"&lt;&gt;"))))</f>
        <v/>
      </c>
      <c r="Q127" s="43" t="str">
        <f>IF(OR($B127="",$A127&gt;$B$9,Q$114=""),"",IF(COUNTIFS(BD!$B$3:$B$5001,Q$114,BD!$A$3:$A$5001,"&gt;="&amp;$C$7,BD!$A$3:$A$5001,"&lt;="&amp;$B127,BD!$K$3:$K$5001,"&lt;&gt;")=0,"",SUMIFS(BD!$K$3:$K$5001,BD!$B$3:$B$5001,Q$114,BD!$A$3:$A$5001,_xlfn.MAXIFS(BD!$A$3:$A$5001,BD!$B$3:$B$5001,Q$114,BD!$A$3:$A$5001,"&gt;="&amp;$C$7,BD!$A$3:$A$5001,"&lt;="&amp;$B127,BD!$K$3:$K$5001,"&lt;&gt;"))))</f>
        <v/>
      </c>
      <c r="R127" s="43" t="str">
        <f>IF(OR($B127="",$A127&gt;$B$9,R$114=""),"",IF(COUNTIFS(BD!$B$3:$B$5001,R$114,BD!$A$3:$A$5001,"&gt;="&amp;$C$7,BD!$A$3:$A$5001,"&lt;="&amp;$B127,BD!$K$3:$K$5001,"&lt;&gt;")=0,"",SUMIFS(BD!$K$3:$K$5001,BD!$B$3:$B$5001,R$114,BD!$A$3:$A$5001,_xlfn.MAXIFS(BD!$A$3:$A$5001,BD!$B$3:$B$5001,R$114,BD!$A$3:$A$5001,"&gt;="&amp;$C$7,BD!$A$3:$A$5001,"&lt;="&amp;$B127,BD!$K$3:$K$5001,"&lt;&gt;"))))</f>
        <v/>
      </c>
      <c r="S127" s="43" t="str">
        <f>IF(OR($B127="",$A127&gt;$B$9,S$114=""),"",IF(COUNTIFS(BD!$B$3:$B$5001,S$114,BD!$A$3:$A$5001,"&gt;="&amp;$C$7,BD!$A$3:$A$5001,"&lt;="&amp;$B127,BD!$K$3:$K$5001,"&lt;&gt;")=0,"",SUMIFS(BD!$K$3:$K$5001,BD!$B$3:$B$5001,S$114,BD!$A$3:$A$5001,_xlfn.MAXIFS(BD!$A$3:$A$5001,BD!$B$3:$B$5001,S$114,BD!$A$3:$A$5001,"&gt;="&amp;$C$7,BD!$A$3:$A$5001,"&lt;="&amp;$B127,BD!$K$3:$K$5001,"&lt;&gt;"))))</f>
        <v/>
      </c>
      <c r="T127" s="43" t="str">
        <f>IF(OR($B127="",$A127&gt;$B$9,T$114=""),"",IF(COUNTIFS(BD!$B$3:$B$5001,T$114,BD!$A$3:$A$5001,"&gt;="&amp;$C$7,BD!$A$3:$A$5001,"&lt;="&amp;$B127,BD!$K$3:$K$5001,"&lt;&gt;")=0,"",SUMIFS(BD!$K$3:$K$5001,BD!$B$3:$B$5001,T$114,BD!$A$3:$A$5001,_xlfn.MAXIFS(BD!$A$3:$A$5001,BD!$B$3:$B$5001,T$114,BD!$A$3:$A$5001,"&gt;="&amp;$C$7,BD!$A$3:$A$5001,"&lt;="&amp;$B127,BD!$K$3:$K$5001,"&lt;&gt;"))))</f>
        <v/>
      </c>
      <c r="U127" s="43" t="str">
        <f>IF(OR($B127="",$A127&gt;$B$9,U$114=""),"",IF(COUNTIFS(BD!$B$3:$B$5001,U$114,BD!$A$3:$A$5001,"&gt;="&amp;$C$7,BD!$A$3:$A$5001,"&lt;="&amp;$B127,BD!$K$3:$K$5001,"&lt;&gt;")=0,"",SUMIFS(BD!$K$3:$K$5001,BD!$B$3:$B$5001,U$114,BD!$A$3:$A$5001,_xlfn.MAXIFS(BD!$A$3:$A$5001,BD!$B$3:$B$5001,U$114,BD!$A$3:$A$5001,"&gt;="&amp;$C$7,BD!$A$3:$A$5001,"&lt;="&amp;$B127,BD!$K$3:$K$5001,"&lt;&gt;"))))</f>
        <v/>
      </c>
      <c r="V127" s="43" t="str">
        <f>IF(OR($B127="",$A127&gt;$B$9,V$114=""),"",IF(COUNTIFS(BD!$B$3:$B$5001,V$114,BD!$A$3:$A$5001,"&gt;="&amp;$C$7,BD!$A$3:$A$5001,"&lt;="&amp;$B127,BD!$K$3:$K$5001,"&lt;&gt;")=0,"",SUMIFS(BD!$K$3:$K$5001,BD!$B$3:$B$5001,V$114,BD!$A$3:$A$5001,_xlfn.MAXIFS(BD!$A$3:$A$5001,BD!$B$3:$B$5001,V$114,BD!$A$3:$A$5001,"&gt;="&amp;$C$7,BD!$A$3:$A$5001,"&lt;="&amp;$B127,BD!$K$3:$K$5001,"&lt;&gt;"))))</f>
        <v/>
      </c>
    </row>
    <row r="128">
      <c r="A128" s="38">
        <v>14</v>
      </c>
      <c r="B128" s="42">
        <f>$B$25</f>
        <v>46309</v>
      </c>
      <c r="C128" s="43" t="str">
        <f>IF(OR($B128="",$A128&gt;$B$9,C$114=""),"",IF(COUNTIFS(BD!$B$3:$B$5001,C$114,BD!$A$3:$A$5001,"&gt;="&amp;$C$7,BD!$A$3:$A$5001,"&lt;="&amp;$B128,BD!$K$3:$K$5001,"&lt;&gt;")=0,"",SUMIFS(BD!$K$3:$K$5001,BD!$B$3:$B$5001,C$114,BD!$A$3:$A$5001,_xlfn.MAXIFS(BD!$A$3:$A$5001,BD!$B$3:$B$5001,C$114,BD!$A$3:$A$5001,"&gt;="&amp;$C$7,BD!$A$3:$A$5001,"&lt;="&amp;$B128,BD!$K$3:$K$5001,"&lt;&gt;"))))</f>
        <v/>
      </c>
      <c r="D128" s="43" t="str">
        <f>IF(OR($B128="",$A128&gt;$B$9,D$114=""),"",IF(COUNTIFS(BD!$B$3:$B$5001,D$114,BD!$A$3:$A$5001,"&gt;="&amp;$C$7,BD!$A$3:$A$5001,"&lt;="&amp;$B128,BD!$K$3:$K$5001,"&lt;&gt;")=0,"",SUMIFS(BD!$K$3:$K$5001,BD!$B$3:$B$5001,D$114,BD!$A$3:$A$5001,_xlfn.MAXIFS(BD!$A$3:$A$5001,BD!$B$3:$B$5001,D$114,BD!$A$3:$A$5001,"&gt;="&amp;$C$7,BD!$A$3:$A$5001,"&lt;="&amp;$B128,BD!$K$3:$K$5001,"&lt;&gt;"))))</f>
        <v/>
      </c>
      <c r="E128" s="43" t="str">
        <f>IF(OR($B128="",$A128&gt;$B$9,E$114=""),"",IF(COUNTIFS(BD!$B$3:$B$5001,E$114,BD!$A$3:$A$5001,"&gt;="&amp;$C$7,BD!$A$3:$A$5001,"&lt;="&amp;$B128,BD!$K$3:$K$5001,"&lt;&gt;")=0,"",SUMIFS(BD!$K$3:$K$5001,BD!$B$3:$B$5001,E$114,BD!$A$3:$A$5001,_xlfn.MAXIFS(BD!$A$3:$A$5001,BD!$B$3:$B$5001,E$114,BD!$A$3:$A$5001,"&gt;="&amp;$C$7,BD!$A$3:$A$5001,"&lt;="&amp;$B128,BD!$K$3:$K$5001,"&lt;&gt;"))))</f>
        <v/>
      </c>
      <c r="F128" s="43" t="str">
        <f>IF(OR($B128="",$A128&gt;$B$9,F$114=""),"",IF(COUNTIFS(BD!$B$3:$B$5001,F$114,BD!$A$3:$A$5001,"&gt;="&amp;$C$7,BD!$A$3:$A$5001,"&lt;="&amp;$B128,BD!$K$3:$K$5001,"&lt;&gt;")=0,"",SUMIFS(BD!$K$3:$K$5001,BD!$B$3:$B$5001,F$114,BD!$A$3:$A$5001,_xlfn.MAXIFS(BD!$A$3:$A$5001,BD!$B$3:$B$5001,F$114,BD!$A$3:$A$5001,"&gt;="&amp;$C$7,BD!$A$3:$A$5001,"&lt;="&amp;$B128,BD!$K$3:$K$5001,"&lt;&gt;"))))</f>
        <v/>
      </c>
      <c r="G128" s="43" t="str">
        <f>IF(OR($B128="",$A128&gt;$B$9,G$114=""),"",IF(COUNTIFS(BD!$B$3:$B$5001,G$114,BD!$A$3:$A$5001,"&gt;="&amp;$C$7,BD!$A$3:$A$5001,"&lt;="&amp;$B128,BD!$K$3:$K$5001,"&lt;&gt;")=0,"",SUMIFS(BD!$K$3:$K$5001,BD!$B$3:$B$5001,G$114,BD!$A$3:$A$5001,_xlfn.MAXIFS(BD!$A$3:$A$5001,BD!$B$3:$B$5001,G$114,BD!$A$3:$A$5001,"&gt;="&amp;$C$7,BD!$A$3:$A$5001,"&lt;="&amp;$B128,BD!$K$3:$K$5001,"&lt;&gt;"))))</f>
        <v/>
      </c>
      <c r="H128" s="43" t="str">
        <f>IF(OR($B128="",$A128&gt;$B$9,H$114=""),"",IF(COUNTIFS(BD!$B$3:$B$5001,H$114,BD!$A$3:$A$5001,"&gt;="&amp;$C$7,BD!$A$3:$A$5001,"&lt;="&amp;$B128,BD!$K$3:$K$5001,"&lt;&gt;")=0,"",SUMIFS(BD!$K$3:$K$5001,BD!$B$3:$B$5001,H$114,BD!$A$3:$A$5001,_xlfn.MAXIFS(BD!$A$3:$A$5001,BD!$B$3:$B$5001,H$114,BD!$A$3:$A$5001,"&gt;="&amp;$C$7,BD!$A$3:$A$5001,"&lt;="&amp;$B128,BD!$K$3:$K$5001,"&lt;&gt;"))))</f>
        <v/>
      </c>
      <c r="I128" s="43" t="str">
        <f>IF(OR($B128="",$A128&gt;$B$9,I$114=""),"",IF(COUNTIFS(BD!$B$3:$B$5001,I$114,BD!$A$3:$A$5001,"&gt;="&amp;$C$7,BD!$A$3:$A$5001,"&lt;="&amp;$B128,BD!$K$3:$K$5001,"&lt;&gt;")=0,"",SUMIFS(BD!$K$3:$K$5001,BD!$B$3:$B$5001,I$114,BD!$A$3:$A$5001,_xlfn.MAXIFS(BD!$A$3:$A$5001,BD!$B$3:$B$5001,I$114,BD!$A$3:$A$5001,"&gt;="&amp;$C$7,BD!$A$3:$A$5001,"&lt;="&amp;$B128,BD!$K$3:$K$5001,"&lt;&gt;"))))</f>
        <v/>
      </c>
      <c r="J128" s="43" t="str">
        <f>IF(OR($B128="",$A128&gt;$B$9,J$114=""),"",IF(COUNTIFS(BD!$B$3:$B$5001,J$114,BD!$A$3:$A$5001,"&gt;="&amp;$C$7,BD!$A$3:$A$5001,"&lt;="&amp;$B128,BD!$K$3:$K$5001,"&lt;&gt;")=0,"",SUMIFS(BD!$K$3:$K$5001,BD!$B$3:$B$5001,J$114,BD!$A$3:$A$5001,_xlfn.MAXIFS(BD!$A$3:$A$5001,BD!$B$3:$B$5001,J$114,BD!$A$3:$A$5001,"&gt;="&amp;$C$7,BD!$A$3:$A$5001,"&lt;="&amp;$B128,BD!$K$3:$K$5001,"&lt;&gt;"))))</f>
        <v/>
      </c>
      <c r="K128" s="43" t="str">
        <f>IF(OR($B128="",$A128&gt;$B$9,K$114=""),"",IF(COUNTIFS(BD!$B$3:$B$5001,K$114,BD!$A$3:$A$5001,"&gt;="&amp;$C$7,BD!$A$3:$A$5001,"&lt;="&amp;$B128,BD!$K$3:$K$5001,"&lt;&gt;")=0,"",SUMIFS(BD!$K$3:$K$5001,BD!$B$3:$B$5001,K$114,BD!$A$3:$A$5001,_xlfn.MAXIFS(BD!$A$3:$A$5001,BD!$B$3:$B$5001,K$114,BD!$A$3:$A$5001,"&gt;="&amp;$C$7,BD!$A$3:$A$5001,"&lt;="&amp;$B128,BD!$K$3:$K$5001,"&lt;&gt;"))))</f>
        <v/>
      </c>
      <c r="L128" s="43" t="str">
        <f>IF(OR($B128="",$A128&gt;$B$9,L$114=""),"",IF(COUNTIFS(BD!$B$3:$B$5001,L$114,BD!$A$3:$A$5001,"&gt;="&amp;$C$7,BD!$A$3:$A$5001,"&lt;="&amp;$B128,BD!$K$3:$K$5001,"&lt;&gt;")=0,"",SUMIFS(BD!$K$3:$K$5001,BD!$B$3:$B$5001,L$114,BD!$A$3:$A$5001,_xlfn.MAXIFS(BD!$A$3:$A$5001,BD!$B$3:$B$5001,L$114,BD!$A$3:$A$5001,"&gt;="&amp;$C$7,BD!$A$3:$A$5001,"&lt;="&amp;$B128,BD!$K$3:$K$5001,"&lt;&gt;"))))</f>
        <v/>
      </c>
      <c r="M128" s="43" t="str">
        <f>IF(OR($B128="",$A128&gt;$B$9,M$114=""),"",IF(COUNTIFS(BD!$B$3:$B$5001,M$114,BD!$A$3:$A$5001,"&gt;="&amp;$C$7,BD!$A$3:$A$5001,"&lt;="&amp;$B128,BD!$K$3:$K$5001,"&lt;&gt;")=0,"",SUMIFS(BD!$K$3:$K$5001,BD!$B$3:$B$5001,M$114,BD!$A$3:$A$5001,_xlfn.MAXIFS(BD!$A$3:$A$5001,BD!$B$3:$B$5001,M$114,BD!$A$3:$A$5001,"&gt;="&amp;$C$7,BD!$A$3:$A$5001,"&lt;="&amp;$B128,BD!$K$3:$K$5001,"&lt;&gt;"))))</f>
        <v/>
      </c>
      <c r="N128" s="43" t="str">
        <f>IF(OR($B128="",$A128&gt;$B$9,N$114=""),"",IF(COUNTIFS(BD!$B$3:$B$5001,N$114,BD!$A$3:$A$5001,"&gt;="&amp;$C$7,BD!$A$3:$A$5001,"&lt;="&amp;$B128,BD!$K$3:$K$5001,"&lt;&gt;")=0,"",SUMIFS(BD!$K$3:$K$5001,BD!$B$3:$B$5001,N$114,BD!$A$3:$A$5001,_xlfn.MAXIFS(BD!$A$3:$A$5001,BD!$B$3:$B$5001,N$114,BD!$A$3:$A$5001,"&gt;="&amp;$C$7,BD!$A$3:$A$5001,"&lt;="&amp;$B128,BD!$K$3:$K$5001,"&lt;&gt;"))))</f>
        <v/>
      </c>
      <c r="O128" s="43" t="str">
        <f>IF(OR($B128="",$A128&gt;$B$9,O$114=""),"",IF(COUNTIFS(BD!$B$3:$B$5001,O$114,BD!$A$3:$A$5001,"&gt;="&amp;$C$7,BD!$A$3:$A$5001,"&lt;="&amp;$B128,BD!$K$3:$K$5001,"&lt;&gt;")=0,"",SUMIFS(BD!$K$3:$K$5001,BD!$B$3:$B$5001,O$114,BD!$A$3:$A$5001,_xlfn.MAXIFS(BD!$A$3:$A$5001,BD!$B$3:$B$5001,O$114,BD!$A$3:$A$5001,"&gt;="&amp;$C$7,BD!$A$3:$A$5001,"&lt;="&amp;$B128,BD!$K$3:$K$5001,"&lt;&gt;"))))</f>
        <v/>
      </c>
      <c r="P128" s="43" t="str">
        <f>IF(OR($B128="",$A128&gt;$B$9,P$114=""),"",IF(COUNTIFS(BD!$B$3:$B$5001,P$114,BD!$A$3:$A$5001,"&gt;="&amp;$C$7,BD!$A$3:$A$5001,"&lt;="&amp;$B128,BD!$K$3:$K$5001,"&lt;&gt;")=0,"",SUMIFS(BD!$K$3:$K$5001,BD!$B$3:$B$5001,P$114,BD!$A$3:$A$5001,_xlfn.MAXIFS(BD!$A$3:$A$5001,BD!$B$3:$B$5001,P$114,BD!$A$3:$A$5001,"&gt;="&amp;$C$7,BD!$A$3:$A$5001,"&lt;="&amp;$B128,BD!$K$3:$K$5001,"&lt;&gt;"))))</f>
        <v/>
      </c>
      <c r="Q128" s="43" t="str">
        <f>IF(OR($B128="",$A128&gt;$B$9,Q$114=""),"",IF(COUNTIFS(BD!$B$3:$B$5001,Q$114,BD!$A$3:$A$5001,"&gt;="&amp;$C$7,BD!$A$3:$A$5001,"&lt;="&amp;$B128,BD!$K$3:$K$5001,"&lt;&gt;")=0,"",SUMIFS(BD!$K$3:$K$5001,BD!$B$3:$B$5001,Q$114,BD!$A$3:$A$5001,_xlfn.MAXIFS(BD!$A$3:$A$5001,BD!$B$3:$B$5001,Q$114,BD!$A$3:$A$5001,"&gt;="&amp;$C$7,BD!$A$3:$A$5001,"&lt;="&amp;$B128,BD!$K$3:$K$5001,"&lt;&gt;"))))</f>
        <v/>
      </c>
      <c r="R128" s="43" t="str">
        <f>IF(OR($B128="",$A128&gt;$B$9,R$114=""),"",IF(COUNTIFS(BD!$B$3:$B$5001,R$114,BD!$A$3:$A$5001,"&gt;="&amp;$C$7,BD!$A$3:$A$5001,"&lt;="&amp;$B128,BD!$K$3:$K$5001,"&lt;&gt;")=0,"",SUMIFS(BD!$K$3:$K$5001,BD!$B$3:$B$5001,R$114,BD!$A$3:$A$5001,_xlfn.MAXIFS(BD!$A$3:$A$5001,BD!$B$3:$B$5001,R$114,BD!$A$3:$A$5001,"&gt;="&amp;$C$7,BD!$A$3:$A$5001,"&lt;="&amp;$B128,BD!$K$3:$K$5001,"&lt;&gt;"))))</f>
        <v/>
      </c>
      <c r="S128" s="43" t="str">
        <f>IF(OR($B128="",$A128&gt;$B$9,S$114=""),"",IF(COUNTIFS(BD!$B$3:$B$5001,S$114,BD!$A$3:$A$5001,"&gt;="&amp;$C$7,BD!$A$3:$A$5001,"&lt;="&amp;$B128,BD!$K$3:$K$5001,"&lt;&gt;")=0,"",SUMIFS(BD!$K$3:$K$5001,BD!$B$3:$B$5001,S$114,BD!$A$3:$A$5001,_xlfn.MAXIFS(BD!$A$3:$A$5001,BD!$B$3:$B$5001,S$114,BD!$A$3:$A$5001,"&gt;="&amp;$C$7,BD!$A$3:$A$5001,"&lt;="&amp;$B128,BD!$K$3:$K$5001,"&lt;&gt;"))))</f>
        <v/>
      </c>
      <c r="T128" s="43" t="str">
        <f>IF(OR($B128="",$A128&gt;$B$9,T$114=""),"",IF(COUNTIFS(BD!$B$3:$B$5001,T$114,BD!$A$3:$A$5001,"&gt;="&amp;$C$7,BD!$A$3:$A$5001,"&lt;="&amp;$B128,BD!$K$3:$K$5001,"&lt;&gt;")=0,"",SUMIFS(BD!$K$3:$K$5001,BD!$B$3:$B$5001,T$114,BD!$A$3:$A$5001,_xlfn.MAXIFS(BD!$A$3:$A$5001,BD!$B$3:$B$5001,T$114,BD!$A$3:$A$5001,"&gt;="&amp;$C$7,BD!$A$3:$A$5001,"&lt;="&amp;$B128,BD!$K$3:$K$5001,"&lt;&gt;"))))</f>
        <v/>
      </c>
      <c r="U128" s="43" t="str">
        <f>IF(OR($B128="",$A128&gt;$B$9,U$114=""),"",IF(COUNTIFS(BD!$B$3:$B$5001,U$114,BD!$A$3:$A$5001,"&gt;="&amp;$C$7,BD!$A$3:$A$5001,"&lt;="&amp;$B128,BD!$K$3:$K$5001,"&lt;&gt;")=0,"",SUMIFS(BD!$K$3:$K$5001,BD!$B$3:$B$5001,U$114,BD!$A$3:$A$5001,_xlfn.MAXIFS(BD!$A$3:$A$5001,BD!$B$3:$B$5001,U$114,BD!$A$3:$A$5001,"&gt;="&amp;$C$7,BD!$A$3:$A$5001,"&lt;="&amp;$B128,BD!$K$3:$K$5001,"&lt;&gt;"))))</f>
        <v/>
      </c>
      <c r="V128" s="43" t="str">
        <f>IF(OR($B128="",$A128&gt;$B$9,V$114=""),"",IF(COUNTIFS(BD!$B$3:$B$5001,V$114,BD!$A$3:$A$5001,"&gt;="&amp;$C$7,BD!$A$3:$A$5001,"&lt;="&amp;$B128,BD!$K$3:$K$5001,"&lt;&gt;")=0,"",SUMIFS(BD!$K$3:$K$5001,BD!$B$3:$B$5001,V$114,BD!$A$3:$A$5001,_xlfn.MAXIFS(BD!$A$3:$A$5001,BD!$B$3:$B$5001,V$114,BD!$A$3:$A$5001,"&gt;="&amp;$C$7,BD!$A$3:$A$5001,"&lt;="&amp;$B128,BD!$K$3:$K$5001,"&lt;&gt;"))))</f>
        <v/>
      </c>
    </row>
    <row r="129">
      <c r="A129" s="38">
        <v>15</v>
      </c>
      <c r="B129" s="42">
        <f>$B$26</f>
        <v>46310</v>
      </c>
      <c r="C129" s="43" t="str">
        <f>IF(OR($B129="",$A129&gt;$B$9,C$114=""),"",IF(COUNTIFS(BD!$B$3:$B$5001,C$114,BD!$A$3:$A$5001,"&gt;="&amp;$C$7,BD!$A$3:$A$5001,"&lt;="&amp;$B129,BD!$K$3:$K$5001,"&lt;&gt;")=0,"",SUMIFS(BD!$K$3:$K$5001,BD!$B$3:$B$5001,C$114,BD!$A$3:$A$5001,_xlfn.MAXIFS(BD!$A$3:$A$5001,BD!$B$3:$B$5001,C$114,BD!$A$3:$A$5001,"&gt;="&amp;$C$7,BD!$A$3:$A$5001,"&lt;="&amp;$B129,BD!$K$3:$K$5001,"&lt;&gt;"))))</f>
        <v/>
      </c>
      <c r="D129" s="43" t="str">
        <f>IF(OR($B129="",$A129&gt;$B$9,D$114=""),"",IF(COUNTIFS(BD!$B$3:$B$5001,D$114,BD!$A$3:$A$5001,"&gt;="&amp;$C$7,BD!$A$3:$A$5001,"&lt;="&amp;$B129,BD!$K$3:$K$5001,"&lt;&gt;")=0,"",SUMIFS(BD!$K$3:$K$5001,BD!$B$3:$B$5001,D$114,BD!$A$3:$A$5001,_xlfn.MAXIFS(BD!$A$3:$A$5001,BD!$B$3:$B$5001,D$114,BD!$A$3:$A$5001,"&gt;="&amp;$C$7,BD!$A$3:$A$5001,"&lt;="&amp;$B129,BD!$K$3:$K$5001,"&lt;&gt;"))))</f>
        <v/>
      </c>
      <c r="E129" s="43" t="str">
        <f>IF(OR($B129="",$A129&gt;$B$9,E$114=""),"",IF(COUNTIFS(BD!$B$3:$B$5001,E$114,BD!$A$3:$A$5001,"&gt;="&amp;$C$7,BD!$A$3:$A$5001,"&lt;="&amp;$B129,BD!$K$3:$K$5001,"&lt;&gt;")=0,"",SUMIFS(BD!$K$3:$K$5001,BD!$B$3:$B$5001,E$114,BD!$A$3:$A$5001,_xlfn.MAXIFS(BD!$A$3:$A$5001,BD!$B$3:$B$5001,E$114,BD!$A$3:$A$5001,"&gt;="&amp;$C$7,BD!$A$3:$A$5001,"&lt;="&amp;$B129,BD!$K$3:$K$5001,"&lt;&gt;"))))</f>
        <v/>
      </c>
      <c r="F129" s="43" t="str">
        <f>IF(OR($B129="",$A129&gt;$B$9,F$114=""),"",IF(COUNTIFS(BD!$B$3:$B$5001,F$114,BD!$A$3:$A$5001,"&gt;="&amp;$C$7,BD!$A$3:$A$5001,"&lt;="&amp;$B129,BD!$K$3:$K$5001,"&lt;&gt;")=0,"",SUMIFS(BD!$K$3:$K$5001,BD!$B$3:$B$5001,F$114,BD!$A$3:$A$5001,_xlfn.MAXIFS(BD!$A$3:$A$5001,BD!$B$3:$B$5001,F$114,BD!$A$3:$A$5001,"&gt;="&amp;$C$7,BD!$A$3:$A$5001,"&lt;="&amp;$B129,BD!$K$3:$K$5001,"&lt;&gt;"))))</f>
        <v/>
      </c>
      <c r="G129" s="43" t="str">
        <f>IF(OR($B129="",$A129&gt;$B$9,G$114=""),"",IF(COUNTIFS(BD!$B$3:$B$5001,G$114,BD!$A$3:$A$5001,"&gt;="&amp;$C$7,BD!$A$3:$A$5001,"&lt;="&amp;$B129,BD!$K$3:$K$5001,"&lt;&gt;")=0,"",SUMIFS(BD!$K$3:$K$5001,BD!$B$3:$B$5001,G$114,BD!$A$3:$A$5001,_xlfn.MAXIFS(BD!$A$3:$A$5001,BD!$B$3:$B$5001,G$114,BD!$A$3:$A$5001,"&gt;="&amp;$C$7,BD!$A$3:$A$5001,"&lt;="&amp;$B129,BD!$K$3:$K$5001,"&lt;&gt;"))))</f>
        <v/>
      </c>
      <c r="H129" s="43" t="str">
        <f>IF(OR($B129="",$A129&gt;$B$9,H$114=""),"",IF(COUNTIFS(BD!$B$3:$B$5001,H$114,BD!$A$3:$A$5001,"&gt;="&amp;$C$7,BD!$A$3:$A$5001,"&lt;="&amp;$B129,BD!$K$3:$K$5001,"&lt;&gt;")=0,"",SUMIFS(BD!$K$3:$K$5001,BD!$B$3:$B$5001,H$114,BD!$A$3:$A$5001,_xlfn.MAXIFS(BD!$A$3:$A$5001,BD!$B$3:$B$5001,H$114,BD!$A$3:$A$5001,"&gt;="&amp;$C$7,BD!$A$3:$A$5001,"&lt;="&amp;$B129,BD!$K$3:$K$5001,"&lt;&gt;"))))</f>
        <v/>
      </c>
      <c r="I129" s="43" t="str">
        <f>IF(OR($B129="",$A129&gt;$B$9,I$114=""),"",IF(COUNTIFS(BD!$B$3:$B$5001,I$114,BD!$A$3:$A$5001,"&gt;="&amp;$C$7,BD!$A$3:$A$5001,"&lt;="&amp;$B129,BD!$K$3:$K$5001,"&lt;&gt;")=0,"",SUMIFS(BD!$K$3:$K$5001,BD!$B$3:$B$5001,I$114,BD!$A$3:$A$5001,_xlfn.MAXIFS(BD!$A$3:$A$5001,BD!$B$3:$B$5001,I$114,BD!$A$3:$A$5001,"&gt;="&amp;$C$7,BD!$A$3:$A$5001,"&lt;="&amp;$B129,BD!$K$3:$K$5001,"&lt;&gt;"))))</f>
        <v/>
      </c>
      <c r="J129" s="43" t="str">
        <f>IF(OR($B129="",$A129&gt;$B$9,J$114=""),"",IF(COUNTIFS(BD!$B$3:$B$5001,J$114,BD!$A$3:$A$5001,"&gt;="&amp;$C$7,BD!$A$3:$A$5001,"&lt;="&amp;$B129,BD!$K$3:$K$5001,"&lt;&gt;")=0,"",SUMIFS(BD!$K$3:$K$5001,BD!$B$3:$B$5001,J$114,BD!$A$3:$A$5001,_xlfn.MAXIFS(BD!$A$3:$A$5001,BD!$B$3:$B$5001,J$114,BD!$A$3:$A$5001,"&gt;="&amp;$C$7,BD!$A$3:$A$5001,"&lt;="&amp;$B129,BD!$K$3:$K$5001,"&lt;&gt;"))))</f>
        <v/>
      </c>
      <c r="K129" s="43" t="str">
        <f>IF(OR($B129="",$A129&gt;$B$9,K$114=""),"",IF(COUNTIFS(BD!$B$3:$B$5001,K$114,BD!$A$3:$A$5001,"&gt;="&amp;$C$7,BD!$A$3:$A$5001,"&lt;="&amp;$B129,BD!$K$3:$K$5001,"&lt;&gt;")=0,"",SUMIFS(BD!$K$3:$K$5001,BD!$B$3:$B$5001,K$114,BD!$A$3:$A$5001,_xlfn.MAXIFS(BD!$A$3:$A$5001,BD!$B$3:$B$5001,K$114,BD!$A$3:$A$5001,"&gt;="&amp;$C$7,BD!$A$3:$A$5001,"&lt;="&amp;$B129,BD!$K$3:$K$5001,"&lt;&gt;"))))</f>
        <v/>
      </c>
      <c r="L129" s="43" t="str">
        <f>IF(OR($B129="",$A129&gt;$B$9,L$114=""),"",IF(COUNTIFS(BD!$B$3:$B$5001,L$114,BD!$A$3:$A$5001,"&gt;="&amp;$C$7,BD!$A$3:$A$5001,"&lt;="&amp;$B129,BD!$K$3:$K$5001,"&lt;&gt;")=0,"",SUMIFS(BD!$K$3:$K$5001,BD!$B$3:$B$5001,L$114,BD!$A$3:$A$5001,_xlfn.MAXIFS(BD!$A$3:$A$5001,BD!$B$3:$B$5001,L$114,BD!$A$3:$A$5001,"&gt;="&amp;$C$7,BD!$A$3:$A$5001,"&lt;="&amp;$B129,BD!$K$3:$K$5001,"&lt;&gt;"))))</f>
        <v/>
      </c>
      <c r="M129" s="43" t="str">
        <f>IF(OR($B129="",$A129&gt;$B$9,M$114=""),"",IF(COUNTIFS(BD!$B$3:$B$5001,M$114,BD!$A$3:$A$5001,"&gt;="&amp;$C$7,BD!$A$3:$A$5001,"&lt;="&amp;$B129,BD!$K$3:$K$5001,"&lt;&gt;")=0,"",SUMIFS(BD!$K$3:$K$5001,BD!$B$3:$B$5001,M$114,BD!$A$3:$A$5001,_xlfn.MAXIFS(BD!$A$3:$A$5001,BD!$B$3:$B$5001,M$114,BD!$A$3:$A$5001,"&gt;="&amp;$C$7,BD!$A$3:$A$5001,"&lt;="&amp;$B129,BD!$K$3:$K$5001,"&lt;&gt;"))))</f>
        <v/>
      </c>
      <c r="N129" s="43" t="str">
        <f>IF(OR($B129="",$A129&gt;$B$9,N$114=""),"",IF(COUNTIFS(BD!$B$3:$B$5001,N$114,BD!$A$3:$A$5001,"&gt;="&amp;$C$7,BD!$A$3:$A$5001,"&lt;="&amp;$B129,BD!$K$3:$K$5001,"&lt;&gt;")=0,"",SUMIFS(BD!$K$3:$K$5001,BD!$B$3:$B$5001,N$114,BD!$A$3:$A$5001,_xlfn.MAXIFS(BD!$A$3:$A$5001,BD!$B$3:$B$5001,N$114,BD!$A$3:$A$5001,"&gt;="&amp;$C$7,BD!$A$3:$A$5001,"&lt;="&amp;$B129,BD!$K$3:$K$5001,"&lt;&gt;"))))</f>
        <v/>
      </c>
      <c r="O129" s="43" t="str">
        <f>IF(OR($B129="",$A129&gt;$B$9,O$114=""),"",IF(COUNTIFS(BD!$B$3:$B$5001,O$114,BD!$A$3:$A$5001,"&gt;="&amp;$C$7,BD!$A$3:$A$5001,"&lt;="&amp;$B129,BD!$K$3:$K$5001,"&lt;&gt;")=0,"",SUMIFS(BD!$K$3:$K$5001,BD!$B$3:$B$5001,O$114,BD!$A$3:$A$5001,_xlfn.MAXIFS(BD!$A$3:$A$5001,BD!$B$3:$B$5001,O$114,BD!$A$3:$A$5001,"&gt;="&amp;$C$7,BD!$A$3:$A$5001,"&lt;="&amp;$B129,BD!$K$3:$K$5001,"&lt;&gt;"))))</f>
        <v/>
      </c>
      <c r="P129" s="43" t="str">
        <f>IF(OR($B129="",$A129&gt;$B$9,P$114=""),"",IF(COUNTIFS(BD!$B$3:$B$5001,P$114,BD!$A$3:$A$5001,"&gt;="&amp;$C$7,BD!$A$3:$A$5001,"&lt;="&amp;$B129,BD!$K$3:$K$5001,"&lt;&gt;")=0,"",SUMIFS(BD!$K$3:$K$5001,BD!$B$3:$B$5001,P$114,BD!$A$3:$A$5001,_xlfn.MAXIFS(BD!$A$3:$A$5001,BD!$B$3:$B$5001,P$114,BD!$A$3:$A$5001,"&gt;="&amp;$C$7,BD!$A$3:$A$5001,"&lt;="&amp;$B129,BD!$K$3:$K$5001,"&lt;&gt;"))))</f>
        <v/>
      </c>
      <c r="Q129" s="43" t="str">
        <f>IF(OR($B129="",$A129&gt;$B$9,Q$114=""),"",IF(COUNTIFS(BD!$B$3:$B$5001,Q$114,BD!$A$3:$A$5001,"&gt;="&amp;$C$7,BD!$A$3:$A$5001,"&lt;="&amp;$B129,BD!$K$3:$K$5001,"&lt;&gt;")=0,"",SUMIFS(BD!$K$3:$K$5001,BD!$B$3:$B$5001,Q$114,BD!$A$3:$A$5001,_xlfn.MAXIFS(BD!$A$3:$A$5001,BD!$B$3:$B$5001,Q$114,BD!$A$3:$A$5001,"&gt;="&amp;$C$7,BD!$A$3:$A$5001,"&lt;="&amp;$B129,BD!$K$3:$K$5001,"&lt;&gt;"))))</f>
        <v/>
      </c>
      <c r="R129" s="43" t="str">
        <f>IF(OR($B129="",$A129&gt;$B$9,R$114=""),"",IF(COUNTIFS(BD!$B$3:$B$5001,R$114,BD!$A$3:$A$5001,"&gt;="&amp;$C$7,BD!$A$3:$A$5001,"&lt;="&amp;$B129,BD!$K$3:$K$5001,"&lt;&gt;")=0,"",SUMIFS(BD!$K$3:$K$5001,BD!$B$3:$B$5001,R$114,BD!$A$3:$A$5001,_xlfn.MAXIFS(BD!$A$3:$A$5001,BD!$B$3:$B$5001,R$114,BD!$A$3:$A$5001,"&gt;="&amp;$C$7,BD!$A$3:$A$5001,"&lt;="&amp;$B129,BD!$K$3:$K$5001,"&lt;&gt;"))))</f>
        <v/>
      </c>
      <c r="S129" s="43" t="str">
        <f>IF(OR($B129="",$A129&gt;$B$9,S$114=""),"",IF(COUNTIFS(BD!$B$3:$B$5001,S$114,BD!$A$3:$A$5001,"&gt;="&amp;$C$7,BD!$A$3:$A$5001,"&lt;="&amp;$B129,BD!$K$3:$K$5001,"&lt;&gt;")=0,"",SUMIFS(BD!$K$3:$K$5001,BD!$B$3:$B$5001,S$114,BD!$A$3:$A$5001,_xlfn.MAXIFS(BD!$A$3:$A$5001,BD!$B$3:$B$5001,S$114,BD!$A$3:$A$5001,"&gt;="&amp;$C$7,BD!$A$3:$A$5001,"&lt;="&amp;$B129,BD!$K$3:$K$5001,"&lt;&gt;"))))</f>
        <v/>
      </c>
      <c r="T129" s="43" t="str">
        <f>IF(OR($B129="",$A129&gt;$B$9,T$114=""),"",IF(COUNTIFS(BD!$B$3:$B$5001,T$114,BD!$A$3:$A$5001,"&gt;="&amp;$C$7,BD!$A$3:$A$5001,"&lt;="&amp;$B129,BD!$K$3:$K$5001,"&lt;&gt;")=0,"",SUMIFS(BD!$K$3:$K$5001,BD!$B$3:$B$5001,T$114,BD!$A$3:$A$5001,_xlfn.MAXIFS(BD!$A$3:$A$5001,BD!$B$3:$B$5001,T$114,BD!$A$3:$A$5001,"&gt;="&amp;$C$7,BD!$A$3:$A$5001,"&lt;="&amp;$B129,BD!$K$3:$K$5001,"&lt;&gt;"))))</f>
        <v/>
      </c>
      <c r="U129" s="43" t="str">
        <f>IF(OR($B129="",$A129&gt;$B$9,U$114=""),"",IF(COUNTIFS(BD!$B$3:$B$5001,U$114,BD!$A$3:$A$5001,"&gt;="&amp;$C$7,BD!$A$3:$A$5001,"&lt;="&amp;$B129,BD!$K$3:$K$5001,"&lt;&gt;")=0,"",SUMIFS(BD!$K$3:$K$5001,BD!$B$3:$B$5001,U$114,BD!$A$3:$A$5001,_xlfn.MAXIFS(BD!$A$3:$A$5001,BD!$B$3:$B$5001,U$114,BD!$A$3:$A$5001,"&gt;="&amp;$C$7,BD!$A$3:$A$5001,"&lt;="&amp;$B129,BD!$K$3:$K$5001,"&lt;&gt;"))))</f>
        <v/>
      </c>
      <c r="V129" s="43" t="str">
        <f>IF(OR($B129="",$A129&gt;$B$9,V$114=""),"",IF(COUNTIFS(BD!$B$3:$B$5001,V$114,BD!$A$3:$A$5001,"&gt;="&amp;$C$7,BD!$A$3:$A$5001,"&lt;="&amp;$B129,BD!$K$3:$K$5001,"&lt;&gt;")=0,"",SUMIFS(BD!$K$3:$K$5001,BD!$B$3:$B$5001,V$114,BD!$A$3:$A$5001,_xlfn.MAXIFS(BD!$A$3:$A$5001,BD!$B$3:$B$5001,V$114,BD!$A$3:$A$5001,"&gt;="&amp;$C$7,BD!$A$3:$A$5001,"&lt;="&amp;$B129,BD!$K$3:$K$5001,"&lt;&gt;"))))</f>
        <v/>
      </c>
    </row>
    <row r="130">
      <c r="A130" s="38">
        <v>16</v>
      </c>
      <c r="B130" s="42">
        <f>$B$27</f>
        <v>46311</v>
      </c>
      <c r="C130" s="43" t="str">
        <f>IF(OR($B130="",$A130&gt;$B$9,C$114=""),"",IF(COUNTIFS(BD!$B$3:$B$5001,C$114,BD!$A$3:$A$5001,"&gt;="&amp;$C$7,BD!$A$3:$A$5001,"&lt;="&amp;$B130,BD!$K$3:$K$5001,"&lt;&gt;")=0,"",SUMIFS(BD!$K$3:$K$5001,BD!$B$3:$B$5001,C$114,BD!$A$3:$A$5001,_xlfn.MAXIFS(BD!$A$3:$A$5001,BD!$B$3:$B$5001,C$114,BD!$A$3:$A$5001,"&gt;="&amp;$C$7,BD!$A$3:$A$5001,"&lt;="&amp;$B130,BD!$K$3:$K$5001,"&lt;&gt;"))))</f>
        <v/>
      </c>
      <c r="D130" s="43" t="str">
        <f>IF(OR($B130="",$A130&gt;$B$9,D$114=""),"",IF(COUNTIFS(BD!$B$3:$B$5001,D$114,BD!$A$3:$A$5001,"&gt;="&amp;$C$7,BD!$A$3:$A$5001,"&lt;="&amp;$B130,BD!$K$3:$K$5001,"&lt;&gt;")=0,"",SUMIFS(BD!$K$3:$K$5001,BD!$B$3:$B$5001,D$114,BD!$A$3:$A$5001,_xlfn.MAXIFS(BD!$A$3:$A$5001,BD!$B$3:$B$5001,D$114,BD!$A$3:$A$5001,"&gt;="&amp;$C$7,BD!$A$3:$A$5001,"&lt;="&amp;$B130,BD!$K$3:$K$5001,"&lt;&gt;"))))</f>
        <v/>
      </c>
      <c r="E130" s="43" t="str">
        <f>IF(OR($B130="",$A130&gt;$B$9,E$114=""),"",IF(COUNTIFS(BD!$B$3:$B$5001,E$114,BD!$A$3:$A$5001,"&gt;="&amp;$C$7,BD!$A$3:$A$5001,"&lt;="&amp;$B130,BD!$K$3:$K$5001,"&lt;&gt;")=0,"",SUMIFS(BD!$K$3:$K$5001,BD!$B$3:$B$5001,E$114,BD!$A$3:$A$5001,_xlfn.MAXIFS(BD!$A$3:$A$5001,BD!$B$3:$B$5001,E$114,BD!$A$3:$A$5001,"&gt;="&amp;$C$7,BD!$A$3:$A$5001,"&lt;="&amp;$B130,BD!$K$3:$K$5001,"&lt;&gt;"))))</f>
        <v/>
      </c>
      <c r="F130" s="43" t="str">
        <f>IF(OR($B130="",$A130&gt;$B$9,F$114=""),"",IF(COUNTIFS(BD!$B$3:$B$5001,F$114,BD!$A$3:$A$5001,"&gt;="&amp;$C$7,BD!$A$3:$A$5001,"&lt;="&amp;$B130,BD!$K$3:$K$5001,"&lt;&gt;")=0,"",SUMIFS(BD!$K$3:$K$5001,BD!$B$3:$B$5001,F$114,BD!$A$3:$A$5001,_xlfn.MAXIFS(BD!$A$3:$A$5001,BD!$B$3:$B$5001,F$114,BD!$A$3:$A$5001,"&gt;="&amp;$C$7,BD!$A$3:$A$5001,"&lt;="&amp;$B130,BD!$K$3:$K$5001,"&lt;&gt;"))))</f>
        <v/>
      </c>
      <c r="G130" s="43" t="str">
        <f>IF(OR($B130="",$A130&gt;$B$9,G$114=""),"",IF(COUNTIFS(BD!$B$3:$B$5001,G$114,BD!$A$3:$A$5001,"&gt;="&amp;$C$7,BD!$A$3:$A$5001,"&lt;="&amp;$B130,BD!$K$3:$K$5001,"&lt;&gt;")=0,"",SUMIFS(BD!$K$3:$K$5001,BD!$B$3:$B$5001,G$114,BD!$A$3:$A$5001,_xlfn.MAXIFS(BD!$A$3:$A$5001,BD!$B$3:$B$5001,G$114,BD!$A$3:$A$5001,"&gt;="&amp;$C$7,BD!$A$3:$A$5001,"&lt;="&amp;$B130,BD!$K$3:$K$5001,"&lt;&gt;"))))</f>
        <v/>
      </c>
      <c r="H130" s="43" t="str">
        <f>IF(OR($B130="",$A130&gt;$B$9,H$114=""),"",IF(COUNTIFS(BD!$B$3:$B$5001,H$114,BD!$A$3:$A$5001,"&gt;="&amp;$C$7,BD!$A$3:$A$5001,"&lt;="&amp;$B130,BD!$K$3:$K$5001,"&lt;&gt;")=0,"",SUMIFS(BD!$K$3:$K$5001,BD!$B$3:$B$5001,H$114,BD!$A$3:$A$5001,_xlfn.MAXIFS(BD!$A$3:$A$5001,BD!$B$3:$B$5001,H$114,BD!$A$3:$A$5001,"&gt;="&amp;$C$7,BD!$A$3:$A$5001,"&lt;="&amp;$B130,BD!$K$3:$K$5001,"&lt;&gt;"))))</f>
        <v/>
      </c>
      <c r="I130" s="43" t="str">
        <f>IF(OR($B130="",$A130&gt;$B$9,I$114=""),"",IF(COUNTIFS(BD!$B$3:$B$5001,I$114,BD!$A$3:$A$5001,"&gt;="&amp;$C$7,BD!$A$3:$A$5001,"&lt;="&amp;$B130,BD!$K$3:$K$5001,"&lt;&gt;")=0,"",SUMIFS(BD!$K$3:$K$5001,BD!$B$3:$B$5001,I$114,BD!$A$3:$A$5001,_xlfn.MAXIFS(BD!$A$3:$A$5001,BD!$B$3:$B$5001,I$114,BD!$A$3:$A$5001,"&gt;="&amp;$C$7,BD!$A$3:$A$5001,"&lt;="&amp;$B130,BD!$K$3:$K$5001,"&lt;&gt;"))))</f>
        <v/>
      </c>
      <c r="J130" s="43" t="str">
        <f>IF(OR($B130="",$A130&gt;$B$9,J$114=""),"",IF(COUNTIFS(BD!$B$3:$B$5001,J$114,BD!$A$3:$A$5001,"&gt;="&amp;$C$7,BD!$A$3:$A$5001,"&lt;="&amp;$B130,BD!$K$3:$K$5001,"&lt;&gt;")=0,"",SUMIFS(BD!$K$3:$K$5001,BD!$B$3:$B$5001,J$114,BD!$A$3:$A$5001,_xlfn.MAXIFS(BD!$A$3:$A$5001,BD!$B$3:$B$5001,J$114,BD!$A$3:$A$5001,"&gt;="&amp;$C$7,BD!$A$3:$A$5001,"&lt;="&amp;$B130,BD!$K$3:$K$5001,"&lt;&gt;"))))</f>
        <v/>
      </c>
      <c r="K130" s="43" t="str">
        <f>IF(OR($B130="",$A130&gt;$B$9,K$114=""),"",IF(COUNTIFS(BD!$B$3:$B$5001,K$114,BD!$A$3:$A$5001,"&gt;="&amp;$C$7,BD!$A$3:$A$5001,"&lt;="&amp;$B130,BD!$K$3:$K$5001,"&lt;&gt;")=0,"",SUMIFS(BD!$K$3:$K$5001,BD!$B$3:$B$5001,K$114,BD!$A$3:$A$5001,_xlfn.MAXIFS(BD!$A$3:$A$5001,BD!$B$3:$B$5001,K$114,BD!$A$3:$A$5001,"&gt;="&amp;$C$7,BD!$A$3:$A$5001,"&lt;="&amp;$B130,BD!$K$3:$K$5001,"&lt;&gt;"))))</f>
        <v/>
      </c>
      <c r="L130" s="43" t="str">
        <f>IF(OR($B130="",$A130&gt;$B$9,L$114=""),"",IF(COUNTIFS(BD!$B$3:$B$5001,L$114,BD!$A$3:$A$5001,"&gt;="&amp;$C$7,BD!$A$3:$A$5001,"&lt;="&amp;$B130,BD!$K$3:$K$5001,"&lt;&gt;")=0,"",SUMIFS(BD!$K$3:$K$5001,BD!$B$3:$B$5001,L$114,BD!$A$3:$A$5001,_xlfn.MAXIFS(BD!$A$3:$A$5001,BD!$B$3:$B$5001,L$114,BD!$A$3:$A$5001,"&gt;="&amp;$C$7,BD!$A$3:$A$5001,"&lt;="&amp;$B130,BD!$K$3:$K$5001,"&lt;&gt;"))))</f>
        <v/>
      </c>
      <c r="M130" s="43" t="str">
        <f>IF(OR($B130="",$A130&gt;$B$9,M$114=""),"",IF(COUNTIFS(BD!$B$3:$B$5001,M$114,BD!$A$3:$A$5001,"&gt;="&amp;$C$7,BD!$A$3:$A$5001,"&lt;="&amp;$B130,BD!$K$3:$K$5001,"&lt;&gt;")=0,"",SUMIFS(BD!$K$3:$K$5001,BD!$B$3:$B$5001,M$114,BD!$A$3:$A$5001,_xlfn.MAXIFS(BD!$A$3:$A$5001,BD!$B$3:$B$5001,M$114,BD!$A$3:$A$5001,"&gt;="&amp;$C$7,BD!$A$3:$A$5001,"&lt;="&amp;$B130,BD!$K$3:$K$5001,"&lt;&gt;"))))</f>
        <v/>
      </c>
      <c r="N130" s="43" t="str">
        <f>IF(OR($B130="",$A130&gt;$B$9,N$114=""),"",IF(COUNTIFS(BD!$B$3:$B$5001,N$114,BD!$A$3:$A$5001,"&gt;="&amp;$C$7,BD!$A$3:$A$5001,"&lt;="&amp;$B130,BD!$K$3:$K$5001,"&lt;&gt;")=0,"",SUMIFS(BD!$K$3:$K$5001,BD!$B$3:$B$5001,N$114,BD!$A$3:$A$5001,_xlfn.MAXIFS(BD!$A$3:$A$5001,BD!$B$3:$B$5001,N$114,BD!$A$3:$A$5001,"&gt;="&amp;$C$7,BD!$A$3:$A$5001,"&lt;="&amp;$B130,BD!$K$3:$K$5001,"&lt;&gt;"))))</f>
        <v/>
      </c>
      <c r="O130" s="43" t="str">
        <f>IF(OR($B130="",$A130&gt;$B$9,O$114=""),"",IF(COUNTIFS(BD!$B$3:$B$5001,O$114,BD!$A$3:$A$5001,"&gt;="&amp;$C$7,BD!$A$3:$A$5001,"&lt;="&amp;$B130,BD!$K$3:$K$5001,"&lt;&gt;")=0,"",SUMIFS(BD!$K$3:$K$5001,BD!$B$3:$B$5001,O$114,BD!$A$3:$A$5001,_xlfn.MAXIFS(BD!$A$3:$A$5001,BD!$B$3:$B$5001,O$114,BD!$A$3:$A$5001,"&gt;="&amp;$C$7,BD!$A$3:$A$5001,"&lt;="&amp;$B130,BD!$K$3:$K$5001,"&lt;&gt;"))))</f>
        <v/>
      </c>
      <c r="P130" s="43" t="str">
        <f>IF(OR($B130="",$A130&gt;$B$9,P$114=""),"",IF(COUNTIFS(BD!$B$3:$B$5001,P$114,BD!$A$3:$A$5001,"&gt;="&amp;$C$7,BD!$A$3:$A$5001,"&lt;="&amp;$B130,BD!$K$3:$K$5001,"&lt;&gt;")=0,"",SUMIFS(BD!$K$3:$K$5001,BD!$B$3:$B$5001,P$114,BD!$A$3:$A$5001,_xlfn.MAXIFS(BD!$A$3:$A$5001,BD!$B$3:$B$5001,P$114,BD!$A$3:$A$5001,"&gt;="&amp;$C$7,BD!$A$3:$A$5001,"&lt;="&amp;$B130,BD!$K$3:$K$5001,"&lt;&gt;"))))</f>
        <v/>
      </c>
      <c r="Q130" s="43" t="str">
        <f>IF(OR($B130="",$A130&gt;$B$9,Q$114=""),"",IF(COUNTIFS(BD!$B$3:$B$5001,Q$114,BD!$A$3:$A$5001,"&gt;="&amp;$C$7,BD!$A$3:$A$5001,"&lt;="&amp;$B130,BD!$K$3:$K$5001,"&lt;&gt;")=0,"",SUMIFS(BD!$K$3:$K$5001,BD!$B$3:$B$5001,Q$114,BD!$A$3:$A$5001,_xlfn.MAXIFS(BD!$A$3:$A$5001,BD!$B$3:$B$5001,Q$114,BD!$A$3:$A$5001,"&gt;="&amp;$C$7,BD!$A$3:$A$5001,"&lt;="&amp;$B130,BD!$K$3:$K$5001,"&lt;&gt;"))))</f>
        <v/>
      </c>
      <c r="R130" s="43" t="str">
        <f>IF(OR($B130="",$A130&gt;$B$9,R$114=""),"",IF(COUNTIFS(BD!$B$3:$B$5001,R$114,BD!$A$3:$A$5001,"&gt;="&amp;$C$7,BD!$A$3:$A$5001,"&lt;="&amp;$B130,BD!$K$3:$K$5001,"&lt;&gt;")=0,"",SUMIFS(BD!$K$3:$K$5001,BD!$B$3:$B$5001,R$114,BD!$A$3:$A$5001,_xlfn.MAXIFS(BD!$A$3:$A$5001,BD!$B$3:$B$5001,R$114,BD!$A$3:$A$5001,"&gt;="&amp;$C$7,BD!$A$3:$A$5001,"&lt;="&amp;$B130,BD!$K$3:$K$5001,"&lt;&gt;"))))</f>
        <v/>
      </c>
      <c r="S130" s="43" t="str">
        <f>IF(OR($B130="",$A130&gt;$B$9,S$114=""),"",IF(COUNTIFS(BD!$B$3:$B$5001,S$114,BD!$A$3:$A$5001,"&gt;="&amp;$C$7,BD!$A$3:$A$5001,"&lt;="&amp;$B130,BD!$K$3:$K$5001,"&lt;&gt;")=0,"",SUMIFS(BD!$K$3:$K$5001,BD!$B$3:$B$5001,S$114,BD!$A$3:$A$5001,_xlfn.MAXIFS(BD!$A$3:$A$5001,BD!$B$3:$B$5001,S$114,BD!$A$3:$A$5001,"&gt;="&amp;$C$7,BD!$A$3:$A$5001,"&lt;="&amp;$B130,BD!$K$3:$K$5001,"&lt;&gt;"))))</f>
        <v/>
      </c>
      <c r="T130" s="43" t="str">
        <f>IF(OR($B130="",$A130&gt;$B$9,T$114=""),"",IF(COUNTIFS(BD!$B$3:$B$5001,T$114,BD!$A$3:$A$5001,"&gt;="&amp;$C$7,BD!$A$3:$A$5001,"&lt;="&amp;$B130,BD!$K$3:$K$5001,"&lt;&gt;")=0,"",SUMIFS(BD!$K$3:$K$5001,BD!$B$3:$B$5001,T$114,BD!$A$3:$A$5001,_xlfn.MAXIFS(BD!$A$3:$A$5001,BD!$B$3:$B$5001,T$114,BD!$A$3:$A$5001,"&gt;="&amp;$C$7,BD!$A$3:$A$5001,"&lt;="&amp;$B130,BD!$K$3:$K$5001,"&lt;&gt;"))))</f>
        <v/>
      </c>
      <c r="U130" s="43" t="str">
        <f>IF(OR($B130="",$A130&gt;$B$9,U$114=""),"",IF(COUNTIFS(BD!$B$3:$B$5001,U$114,BD!$A$3:$A$5001,"&gt;="&amp;$C$7,BD!$A$3:$A$5001,"&lt;="&amp;$B130,BD!$K$3:$K$5001,"&lt;&gt;")=0,"",SUMIFS(BD!$K$3:$K$5001,BD!$B$3:$B$5001,U$114,BD!$A$3:$A$5001,_xlfn.MAXIFS(BD!$A$3:$A$5001,BD!$B$3:$B$5001,U$114,BD!$A$3:$A$5001,"&gt;="&amp;$C$7,BD!$A$3:$A$5001,"&lt;="&amp;$B130,BD!$K$3:$K$5001,"&lt;&gt;"))))</f>
        <v/>
      </c>
      <c r="V130" s="43" t="str">
        <f>IF(OR($B130="",$A130&gt;$B$9,V$114=""),"",IF(COUNTIFS(BD!$B$3:$B$5001,V$114,BD!$A$3:$A$5001,"&gt;="&amp;$C$7,BD!$A$3:$A$5001,"&lt;="&amp;$B130,BD!$K$3:$K$5001,"&lt;&gt;")=0,"",SUMIFS(BD!$K$3:$K$5001,BD!$B$3:$B$5001,V$114,BD!$A$3:$A$5001,_xlfn.MAXIFS(BD!$A$3:$A$5001,BD!$B$3:$B$5001,V$114,BD!$A$3:$A$5001,"&gt;="&amp;$C$7,BD!$A$3:$A$5001,"&lt;="&amp;$B130,BD!$K$3:$K$5001,"&lt;&gt;"))))</f>
        <v/>
      </c>
    </row>
    <row r="131">
      <c r="A131" s="38">
        <v>17</v>
      </c>
      <c r="B131" s="42">
        <f>$B$28</f>
        <v>46312</v>
      </c>
      <c r="C131" s="43" t="str">
        <f>IF(OR($B131="",$A131&gt;$B$9,C$114=""),"",IF(COUNTIFS(BD!$B$3:$B$5001,C$114,BD!$A$3:$A$5001,"&gt;="&amp;$C$7,BD!$A$3:$A$5001,"&lt;="&amp;$B131,BD!$K$3:$K$5001,"&lt;&gt;")=0,"",SUMIFS(BD!$K$3:$K$5001,BD!$B$3:$B$5001,C$114,BD!$A$3:$A$5001,_xlfn.MAXIFS(BD!$A$3:$A$5001,BD!$B$3:$B$5001,C$114,BD!$A$3:$A$5001,"&gt;="&amp;$C$7,BD!$A$3:$A$5001,"&lt;="&amp;$B131,BD!$K$3:$K$5001,"&lt;&gt;"))))</f>
        <v/>
      </c>
      <c r="D131" s="43" t="str">
        <f>IF(OR($B131="",$A131&gt;$B$9,D$114=""),"",IF(COUNTIFS(BD!$B$3:$B$5001,D$114,BD!$A$3:$A$5001,"&gt;="&amp;$C$7,BD!$A$3:$A$5001,"&lt;="&amp;$B131,BD!$K$3:$K$5001,"&lt;&gt;")=0,"",SUMIFS(BD!$K$3:$K$5001,BD!$B$3:$B$5001,D$114,BD!$A$3:$A$5001,_xlfn.MAXIFS(BD!$A$3:$A$5001,BD!$B$3:$B$5001,D$114,BD!$A$3:$A$5001,"&gt;="&amp;$C$7,BD!$A$3:$A$5001,"&lt;="&amp;$B131,BD!$K$3:$K$5001,"&lt;&gt;"))))</f>
        <v/>
      </c>
      <c r="E131" s="43" t="str">
        <f>IF(OR($B131="",$A131&gt;$B$9,E$114=""),"",IF(COUNTIFS(BD!$B$3:$B$5001,E$114,BD!$A$3:$A$5001,"&gt;="&amp;$C$7,BD!$A$3:$A$5001,"&lt;="&amp;$B131,BD!$K$3:$K$5001,"&lt;&gt;")=0,"",SUMIFS(BD!$K$3:$K$5001,BD!$B$3:$B$5001,E$114,BD!$A$3:$A$5001,_xlfn.MAXIFS(BD!$A$3:$A$5001,BD!$B$3:$B$5001,E$114,BD!$A$3:$A$5001,"&gt;="&amp;$C$7,BD!$A$3:$A$5001,"&lt;="&amp;$B131,BD!$K$3:$K$5001,"&lt;&gt;"))))</f>
        <v/>
      </c>
      <c r="F131" s="43" t="str">
        <f>IF(OR($B131="",$A131&gt;$B$9,F$114=""),"",IF(COUNTIFS(BD!$B$3:$B$5001,F$114,BD!$A$3:$A$5001,"&gt;="&amp;$C$7,BD!$A$3:$A$5001,"&lt;="&amp;$B131,BD!$K$3:$K$5001,"&lt;&gt;")=0,"",SUMIFS(BD!$K$3:$K$5001,BD!$B$3:$B$5001,F$114,BD!$A$3:$A$5001,_xlfn.MAXIFS(BD!$A$3:$A$5001,BD!$B$3:$B$5001,F$114,BD!$A$3:$A$5001,"&gt;="&amp;$C$7,BD!$A$3:$A$5001,"&lt;="&amp;$B131,BD!$K$3:$K$5001,"&lt;&gt;"))))</f>
        <v/>
      </c>
      <c r="G131" s="43" t="str">
        <f>IF(OR($B131="",$A131&gt;$B$9,G$114=""),"",IF(COUNTIFS(BD!$B$3:$B$5001,G$114,BD!$A$3:$A$5001,"&gt;="&amp;$C$7,BD!$A$3:$A$5001,"&lt;="&amp;$B131,BD!$K$3:$K$5001,"&lt;&gt;")=0,"",SUMIFS(BD!$K$3:$K$5001,BD!$B$3:$B$5001,G$114,BD!$A$3:$A$5001,_xlfn.MAXIFS(BD!$A$3:$A$5001,BD!$B$3:$B$5001,G$114,BD!$A$3:$A$5001,"&gt;="&amp;$C$7,BD!$A$3:$A$5001,"&lt;="&amp;$B131,BD!$K$3:$K$5001,"&lt;&gt;"))))</f>
        <v/>
      </c>
      <c r="H131" s="43" t="str">
        <f>IF(OR($B131="",$A131&gt;$B$9,H$114=""),"",IF(COUNTIFS(BD!$B$3:$B$5001,H$114,BD!$A$3:$A$5001,"&gt;="&amp;$C$7,BD!$A$3:$A$5001,"&lt;="&amp;$B131,BD!$K$3:$K$5001,"&lt;&gt;")=0,"",SUMIFS(BD!$K$3:$K$5001,BD!$B$3:$B$5001,H$114,BD!$A$3:$A$5001,_xlfn.MAXIFS(BD!$A$3:$A$5001,BD!$B$3:$B$5001,H$114,BD!$A$3:$A$5001,"&gt;="&amp;$C$7,BD!$A$3:$A$5001,"&lt;="&amp;$B131,BD!$K$3:$K$5001,"&lt;&gt;"))))</f>
        <v/>
      </c>
      <c r="I131" s="43" t="str">
        <f>IF(OR($B131="",$A131&gt;$B$9,I$114=""),"",IF(COUNTIFS(BD!$B$3:$B$5001,I$114,BD!$A$3:$A$5001,"&gt;="&amp;$C$7,BD!$A$3:$A$5001,"&lt;="&amp;$B131,BD!$K$3:$K$5001,"&lt;&gt;")=0,"",SUMIFS(BD!$K$3:$K$5001,BD!$B$3:$B$5001,I$114,BD!$A$3:$A$5001,_xlfn.MAXIFS(BD!$A$3:$A$5001,BD!$B$3:$B$5001,I$114,BD!$A$3:$A$5001,"&gt;="&amp;$C$7,BD!$A$3:$A$5001,"&lt;="&amp;$B131,BD!$K$3:$K$5001,"&lt;&gt;"))))</f>
        <v/>
      </c>
      <c r="J131" s="43" t="str">
        <f>IF(OR($B131="",$A131&gt;$B$9,J$114=""),"",IF(COUNTIFS(BD!$B$3:$B$5001,J$114,BD!$A$3:$A$5001,"&gt;="&amp;$C$7,BD!$A$3:$A$5001,"&lt;="&amp;$B131,BD!$K$3:$K$5001,"&lt;&gt;")=0,"",SUMIFS(BD!$K$3:$K$5001,BD!$B$3:$B$5001,J$114,BD!$A$3:$A$5001,_xlfn.MAXIFS(BD!$A$3:$A$5001,BD!$B$3:$B$5001,J$114,BD!$A$3:$A$5001,"&gt;="&amp;$C$7,BD!$A$3:$A$5001,"&lt;="&amp;$B131,BD!$K$3:$K$5001,"&lt;&gt;"))))</f>
        <v/>
      </c>
      <c r="K131" s="43" t="str">
        <f>IF(OR($B131="",$A131&gt;$B$9,K$114=""),"",IF(COUNTIFS(BD!$B$3:$B$5001,K$114,BD!$A$3:$A$5001,"&gt;="&amp;$C$7,BD!$A$3:$A$5001,"&lt;="&amp;$B131,BD!$K$3:$K$5001,"&lt;&gt;")=0,"",SUMIFS(BD!$K$3:$K$5001,BD!$B$3:$B$5001,K$114,BD!$A$3:$A$5001,_xlfn.MAXIFS(BD!$A$3:$A$5001,BD!$B$3:$B$5001,K$114,BD!$A$3:$A$5001,"&gt;="&amp;$C$7,BD!$A$3:$A$5001,"&lt;="&amp;$B131,BD!$K$3:$K$5001,"&lt;&gt;"))))</f>
        <v/>
      </c>
      <c r="L131" s="43" t="str">
        <f>IF(OR($B131="",$A131&gt;$B$9,L$114=""),"",IF(COUNTIFS(BD!$B$3:$B$5001,L$114,BD!$A$3:$A$5001,"&gt;="&amp;$C$7,BD!$A$3:$A$5001,"&lt;="&amp;$B131,BD!$K$3:$K$5001,"&lt;&gt;")=0,"",SUMIFS(BD!$K$3:$K$5001,BD!$B$3:$B$5001,L$114,BD!$A$3:$A$5001,_xlfn.MAXIFS(BD!$A$3:$A$5001,BD!$B$3:$B$5001,L$114,BD!$A$3:$A$5001,"&gt;="&amp;$C$7,BD!$A$3:$A$5001,"&lt;="&amp;$B131,BD!$K$3:$K$5001,"&lt;&gt;"))))</f>
        <v/>
      </c>
      <c r="M131" s="43" t="str">
        <f>IF(OR($B131="",$A131&gt;$B$9,M$114=""),"",IF(COUNTIFS(BD!$B$3:$B$5001,M$114,BD!$A$3:$A$5001,"&gt;="&amp;$C$7,BD!$A$3:$A$5001,"&lt;="&amp;$B131,BD!$K$3:$K$5001,"&lt;&gt;")=0,"",SUMIFS(BD!$K$3:$K$5001,BD!$B$3:$B$5001,M$114,BD!$A$3:$A$5001,_xlfn.MAXIFS(BD!$A$3:$A$5001,BD!$B$3:$B$5001,M$114,BD!$A$3:$A$5001,"&gt;="&amp;$C$7,BD!$A$3:$A$5001,"&lt;="&amp;$B131,BD!$K$3:$K$5001,"&lt;&gt;"))))</f>
        <v/>
      </c>
      <c r="N131" s="43" t="str">
        <f>IF(OR($B131="",$A131&gt;$B$9,N$114=""),"",IF(COUNTIFS(BD!$B$3:$B$5001,N$114,BD!$A$3:$A$5001,"&gt;="&amp;$C$7,BD!$A$3:$A$5001,"&lt;="&amp;$B131,BD!$K$3:$K$5001,"&lt;&gt;")=0,"",SUMIFS(BD!$K$3:$K$5001,BD!$B$3:$B$5001,N$114,BD!$A$3:$A$5001,_xlfn.MAXIFS(BD!$A$3:$A$5001,BD!$B$3:$B$5001,N$114,BD!$A$3:$A$5001,"&gt;="&amp;$C$7,BD!$A$3:$A$5001,"&lt;="&amp;$B131,BD!$K$3:$K$5001,"&lt;&gt;"))))</f>
        <v/>
      </c>
      <c r="O131" s="43" t="str">
        <f>IF(OR($B131="",$A131&gt;$B$9,O$114=""),"",IF(COUNTIFS(BD!$B$3:$B$5001,O$114,BD!$A$3:$A$5001,"&gt;="&amp;$C$7,BD!$A$3:$A$5001,"&lt;="&amp;$B131,BD!$K$3:$K$5001,"&lt;&gt;")=0,"",SUMIFS(BD!$K$3:$K$5001,BD!$B$3:$B$5001,O$114,BD!$A$3:$A$5001,_xlfn.MAXIFS(BD!$A$3:$A$5001,BD!$B$3:$B$5001,O$114,BD!$A$3:$A$5001,"&gt;="&amp;$C$7,BD!$A$3:$A$5001,"&lt;="&amp;$B131,BD!$K$3:$K$5001,"&lt;&gt;"))))</f>
        <v/>
      </c>
      <c r="P131" s="43" t="str">
        <f>IF(OR($B131="",$A131&gt;$B$9,P$114=""),"",IF(COUNTIFS(BD!$B$3:$B$5001,P$114,BD!$A$3:$A$5001,"&gt;="&amp;$C$7,BD!$A$3:$A$5001,"&lt;="&amp;$B131,BD!$K$3:$K$5001,"&lt;&gt;")=0,"",SUMIFS(BD!$K$3:$K$5001,BD!$B$3:$B$5001,P$114,BD!$A$3:$A$5001,_xlfn.MAXIFS(BD!$A$3:$A$5001,BD!$B$3:$B$5001,P$114,BD!$A$3:$A$5001,"&gt;="&amp;$C$7,BD!$A$3:$A$5001,"&lt;="&amp;$B131,BD!$K$3:$K$5001,"&lt;&gt;"))))</f>
        <v/>
      </c>
      <c r="Q131" s="43" t="str">
        <f>IF(OR($B131="",$A131&gt;$B$9,Q$114=""),"",IF(COUNTIFS(BD!$B$3:$B$5001,Q$114,BD!$A$3:$A$5001,"&gt;="&amp;$C$7,BD!$A$3:$A$5001,"&lt;="&amp;$B131,BD!$K$3:$K$5001,"&lt;&gt;")=0,"",SUMIFS(BD!$K$3:$K$5001,BD!$B$3:$B$5001,Q$114,BD!$A$3:$A$5001,_xlfn.MAXIFS(BD!$A$3:$A$5001,BD!$B$3:$B$5001,Q$114,BD!$A$3:$A$5001,"&gt;="&amp;$C$7,BD!$A$3:$A$5001,"&lt;="&amp;$B131,BD!$K$3:$K$5001,"&lt;&gt;"))))</f>
        <v/>
      </c>
      <c r="R131" s="43" t="str">
        <f>IF(OR($B131="",$A131&gt;$B$9,R$114=""),"",IF(COUNTIFS(BD!$B$3:$B$5001,R$114,BD!$A$3:$A$5001,"&gt;="&amp;$C$7,BD!$A$3:$A$5001,"&lt;="&amp;$B131,BD!$K$3:$K$5001,"&lt;&gt;")=0,"",SUMIFS(BD!$K$3:$K$5001,BD!$B$3:$B$5001,R$114,BD!$A$3:$A$5001,_xlfn.MAXIFS(BD!$A$3:$A$5001,BD!$B$3:$B$5001,R$114,BD!$A$3:$A$5001,"&gt;="&amp;$C$7,BD!$A$3:$A$5001,"&lt;="&amp;$B131,BD!$K$3:$K$5001,"&lt;&gt;"))))</f>
        <v/>
      </c>
      <c r="S131" s="43" t="str">
        <f>IF(OR($B131="",$A131&gt;$B$9,S$114=""),"",IF(COUNTIFS(BD!$B$3:$B$5001,S$114,BD!$A$3:$A$5001,"&gt;="&amp;$C$7,BD!$A$3:$A$5001,"&lt;="&amp;$B131,BD!$K$3:$K$5001,"&lt;&gt;")=0,"",SUMIFS(BD!$K$3:$K$5001,BD!$B$3:$B$5001,S$114,BD!$A$3:$A$5001,_xlfn.MAXIFS(BD!$A$3:$A$5001,BD!$B$3:$B$5001,S$114,BD!$A$3:$A$5001,"&gt;="&amp;$C$7,BD!$A$3:$A$5001,"&lt;="&amp;$B131,BD!$K$3:$K$5001,"&lt;&gt;"))))</f>
        <v/>
      </c>
      <c r="T131" s="43" t="str">
        <f>IF(OR($B131="",$A131&gt;$B$9,T$114=""),"",IF(COUNTIFS(BD!$B$3:$B$5001,T$114,BD!$A$3:$A$5001,"&gt;="&amp;$C$7,BD!$A$3:$A$5001,"&lt;="&amp;$B131,BD!$K$3:$K$5001,"&lt;&gt;")=0,"",SUMIFS(BD!$K$3:$K$5001,BD!$B$3:$B$5001,T$114,BD!$A$3:$A$5001,_xlfn.MAXIFS(BD!$A$3:$A$5001,BD!$B$3:$B$5001,T$114,BD!$A$3:$A$5001,"&gt;="&amp;$C$7,BD!$A$3:$A$5001,"&lt;="&amp;$B131,BD!$K$3:$K$5001,"&lt;&gt;"))))</f>
        <v/>
      </c>
      <c r="U131" s="43" t="str">
        <f>IF(OR($B131="",$A131&gt;$B$9,U$114=""),"",IF(COUNTIFS(BD!$B$3:$B$5001,U$114,BD!$A$3:$A$5001,"&gt;="&amp;$C$7,BD!$A$3:$A$5001,"&lt;="&amp;$B131,BD!$K$3:$K$5001,"&lt;&gt;")=0,"",SUMIFS(BD!$K$3:$K$5001,BD!$B$3:$B$5001,U$114,BD!$A$3:$A$5001,_xlfn.MAXIFS(BD!$A$3:$A$5001,BD!$B$3:$B$5001,U$114,BD!$A$3:$A$5001,"&gt;="&amp;$C$7,BD!$A$3:$A$5001,"&lt;="&amp;$B131,BD!$K$3:$K$5001,"&lt;&gt;"))))</f>
        <v/>
      </c>
      <c r="V131" s="43" t="str">
        <f>IF(OR($B131="",$A131&gt;$B$9,V$114=""),"",IF(COUNTIFS(BD!$B$3:$B$5001,V$114,BD!$A$3:$A$5001,"&gt;="&amp;$C$7,BD!$A$3:$A$5001,"&lt;="&amp;$B131,BD!$K$3:$K$5001,"&lt;&gt;")=0,"",SUMIFS(BD!$K$3:$K$5001,BD!$B$3:$B$5001,V$114,BD!$A$3:$A$5001,_xlfn.MAXIFS(BD!$A$3:$A$5001,BD!$B$3:$B$5001,V$114,BD!$A$3:$A$5001,"&gt;="&amp;$C$7,BD!$A$3:$A$5001,"&lt;="&amp;$B131,BD!$K$3:$K$5001,"&lt;&gt;"))))</f>
        <v/>
      </c>
    </row>
    <row r="132">
      <c r="A132" s="38">
        <v>18</v>
      </c>
      <c r="B132" s="42">
        <f>$B$29</f>
        <v>46313</v>
      </c>
      <c r="C132" s="43" t="str">
        <f>IF(OR($B132="",$A132&gt;$B$9,C$114=""),"",IF(COUNTIFS(BD!$B$3:$B$5001,C$114,BD!$A$3:$A$5001,"&gt;="&amp;$C$7,BD!$A$3:$A$5001,"&lt;="&amp;$B132,BD!$K$3:$K$5001,"&lt;&gt;")=0,"",SUMIFS(BD!$K$3:$K$5001,BD!$B$3:$B$5001,C$114,BD!$A$3:$A$5001,_xlfn.MAXIFS(BD!$A$3:$A$5001,BD!$B$3:$B$5001,C$114,BD!$A$3:$A$5001,"&gt;="&amp;$C$7,BD!$A$3:$A$5001,"&lt;="&amp;$B132,BD!$K$3:$K$5001,"&lt;&gt;"))))</f>
        <v/>
      </c>
      <c r="D132" s="43" t="str">
        <f>IF(OR($B132="",$A132&gt;$B$9,D$114=""),"",IF(COUNTIFS(BD!$B$3:$B$5001,D$114,BD!$A$3:$A$5001,"&gt;="&amp;$C$7,BD!$A$3:$A$5001,"&lt;="&amp;$B132,BD!$K$3:$K$5001,"&lt;&gt;")=0,"",SUMIFS(BD!$K$3:$K$5001,BD!$B$3:$B$5001,D$114,BD!$A$3:$A$5001,_xlfn.MAXIFS(BD!$A$3:$A$5001,BD!$B$3:$B$5001,D$114,BD!$A$3:$A$5001,"&gt;="&amp;$C$7,BD!$A$3:$A$5001,"&lt;="&amp;$B132,BD!$K$3:$K$5001,"&lt;&gt;"))))</f>
        <v/>
      </c>
      <c r="E132" s="43" t="str">
        <f>IF(OR($B132="",$A132&gt;$B$9,E$114=""),"",IF(COUNTIFS(BD!$B$3:$B$5001,E$114,BD!$A$3:$A$5001,"&gt;="&amp;$C$7,BD!$A$3:$A$5001,"&lt;="&amp;$B132,BD!$K$3:$K$5001,"&lt;&gt;")=0,"",SUMIFS(BD!$K$3:$K$5001,BD!$B$3:$B$5001,E$114,BD!$A$3:$A$5001,_xlfn.MAXIFS(BD!$A$3:$A$5001,BD!$B$3:$B$5001,E$114,BD!$A$3:$A$5001,"&gt;="&amp;$C$7,BD!$A$3:$A$5001,"&lt;="&amp;$B132,BD!$K$3:$K$5001,"&lt;&gt;"))))</f>
        <v/>
      </c>
      <c r="F132" s="43" t="str">
        <f>IF(OR($B132="",$A132&gt;$B$9,F$114=""),"",IF(COUNTIFS(BD!$B$3:$B$5001,F$114,BD!$A$3:$A$5001,"&gt;="&amp;$C$7,BD!$A$3:$A$5001,"&lt;="&amp;$B132,BD!$K$3:$K$5001,"&lt;&gt;")=0,"",SUMIFS(BD!$K$3:$K$5001,BD!$B$3:$B$5001,F$114,BD!$A$3:$A$5001,_xlfn.MAXIFS(BD!$A$3:$A$5001,BD!$B$3:$B$5001,F$114,BD!$A$3:$A$5001,"&gt;="&amp;$C$7,BD!$A$3:$A$5001,"&lt;="&amp;$B132,BD!$K$3:$K$5001,"&lt;&gt;"))))</f>
        <v/>
      </c>
      <c r="G132" s="43" t="str">
        <f>IF(OR($B132="",$A132&gt;$B$9,G$114=""),"",IF(COUNTIFS(BD!$B$3:$B$5001,G$114,BD!$A$3:$A$5001,"&gt;="&amp;$C$7,BD!$A$3:$A$5001,"&lt;="&amp;$B132,BD!$K$3:$K$5001,"&lt;&gt;")=0,"",SUMIFS(BD!$K$3:$K$5001,BD!$B$3:$B$5001,G$114,BD!$A$3:$A$5001,_xlfn.MAXIFS(BD!$A$3:$A$5001,BD!$B$3:$B$5001,G$114,BD!$A$3:$A$5001,"&gt;="&amp;$C$7,BD!$A$3:$A$5001,"&lt;="&amp;$B132,BD!$K$3:$K$5001,"&lt;&gt;"))))</f>
        <v/>
      </c>
      <c r="H132" s="43" t="str">
        <f>IF(OR($B132="",$A132&gt;$B$9,H$114=""),"",IF(COUNTIFS(BD!$B$3:$B$5001,H$114,BD!$A$3:$A$5001,"&gt;="&amp;$C$7,BD!$A$3:$A$5001,"&lt;="&amp;$B132,BD!$K$3:$K$5001,"&lt;&gt;")=0,"",SUMIFS(BD!$K$3:$K$5001,BD!$B$3:$B$5001,H$114,BD!$A$3:$A$5001,_xlfn.MAXIFS(BD!$A$3:$A$5001,BD!$B$3:$B$5001,H$114,BD!$A$3:$A$5001,"&gt;="&amp;$C$7,BD!$A$3:$A$5001,"&lt;="&amp;$B132,BD!$K$3:$K$5001,"&lt;&gt;"))))</f>
        <v/>
      </c>
      <c r="I132" s="43" t="str">
        <f>IF(OR($B132="",$A132&gt;$B$9,I$114=""),"",IF(COUNTIFS(BD!$B$3:$B$5001,I$114,BD!$A$3:$A$5001,"&gt;="&amp;$C$7,BD!$A$3:$A$5001,"&lt;="&amp;$B132,BD!$K$3:$K$5001,"&lt;&gt;")=0,"",SUMIFS(BD!$K$3:$K$5001,BD!$B$3:$B$5001,I$114,BD!$A$3:$A$5001,_xlfn.MAXIFS(BD!$A$3:$A$5001,BD!$B$3:$B$5001,I$114,BD!$A$3:$A$5001,"&gt;="&amp;$C$7,BD!$A$3:$A$5001,"&lt;="&amp;$B132,BD!$K$3:$K$5001,"&lt;&gt;"))))</f>
        <v/>
      </c>
      <c r="J132" s="43" t="str">
        <f>IF(OR($B132="",$A132&gt;$B$9,J$114=""),"",IF(COUNTIFS(BD!$B$3:$B$5001,J$114,BD!$A$3:$A$5001,"&gt;="&amp;$C$7,BD!$A$3:$A$5001,"&lt;="&amp;$B132,BD!$K$3:$K$5001,"&lt;&gt;")=0,"",SUMIFS(BD!$K$3:$K$5001,BD!$B$3:$B$5001,J$114,BD!$A$3:$A$5001,_xlfn.MAXIFS(BD!$A$3:$A$5001,BD!$B$3:$B$5001,J$114,BD!$A$3:$A$5001,"&gt;="&amp;$C$7,BD!$A$3:$A$5001,"&lt;="&amp;$B132,BD!$K$3:$K$5001,"&lt;&gt;"))))</f>
        <v/>
      </c>
      <c r="K132" s="43" t="str">
        <f>IF(OR($B132="",$A132&gt;$B$9,K$114=""),"",IF(COUNTIFS(BD!$B$3:$B$5001,K$114,BD!$A$3:$A$5001,"&gt;="&amp;$C$7,BD!$A$3:$A$5001,"&lt;="&amp;$B132,BD!$K$3:$K$5001,"&lt;&gt;")=0,"",SUMIFS(BD!$K$3:$K$5001,BD!$B$3:$B$5001,K$114,BD!$A$3:$A$5001,_xlfn.MAXIFS(BD!$A$3:$A$5001,BD!$B$3:$B$5001,K$114,BD!$A$3:$A$5001,"&gt;="&amp;$C$7,BD!$A$3:$A$5001,"&lt;="&amp;$B132,BD!$K$3:$K$5001,"&lt;&gt;"))))</f>
        <v/>
      </c>
      <c r="L132" s="43" t="str">
        <f>IF(OR($B132="",$A132&gt;$B$9,L$114=""),"",IF(COUNTIFS(BD!$B$3:$B$5001,L$114,BD!$A$3:$A$5001,"&gt;="&amp;$C$7,BD!$A$3:$A$5001,"&lt;="&amp;$B132,BD!$K$3:$K$5001,"&lt;&gt;")=0,"",SUMIFS(BD!$K$3:$K$5001,BD!$B$3:$B$5001,L$114,BD!$A$3:$A$5001,_xlfn.MAXIFS(BD!$A$3:$A$5001,BD!$B$3:$B$5001,L$114,BD!$A$3:$A$5001,"&gt;="&amp;$C$7,BD!$A$3:$A$5001,"&lt;="&amp;$B132,BD!$K$3:$K$5001,"&lt;&gt;"))))</f>
        <v/>
      </c>
      <c r="M132" s="43" t="str">
        <f>IF(OR($B132="",$A132&gt;$B$9,M$114=""),"",IF(COUNTIFS(BD!$B$3:$B$5001,M$114,BD!$A$3:$A$5001,"&gt;="&amp;$C$7,BD!$A$3:$A$5001,"&lt;="&amp;$B132,BD!$K$3:$K$5001,"&lt;&gt;")=0,"",SUMIFS(BD!$K$3:$K$5001,BD!$B$3:$B$5001,M$114,BD!$A$3:$A$5001,_xlfn.MAXIFS(BD!$A$3:$A$5001,BD!$B$3:$B$5001,M$114,BD!$A$3:$A$5001,"&gt;="&amp;$C$7,BD!$A$3:$A$5001,"&lt;="&amp;$B132,BD!$K$3:$K$5001,"&lt;&gt;"))))</f>
        <v/>
      </c>
      <c r="N132" s="43" t="str">
        <f>IF(OR($B132="",$A132&gt;$B$9,N$114=""),"",IF(COUNTIFS(BD!$B$3:$B$5001,N$114,BD!$A$3:$A$5001,"&gt;="&amp;$C$7,BD!$A$3:$A$5001,"&lt;="&amp;$B132,BD!$K$3:$K$5001,"&lt;&gt;")=0,"",SUMIFS(BD!$K$3:$K$5001,BD!$B$3:$B$5001,N$114,BD!$A$3:$A$5001,_xlfn.MAXIFS(BD!$A$3:$A$5001,BD!$B$3:$B$5001,N$114,BD!$A$3:$A$5001,"&gt;="&amp;$C$7,BD!$A$3:$A$5001,"&lt;="&amp;$B132,BD!$K$3:$K$5001,"&lt;&gt;"))))</f>
        <v/>
      </c>
      <c r="O132" s="43" t="str">
        <f>IF(OR($B132="",$A132&gt;$B$9,O$114=""),"",IF(COUNTIFS(BD!$B$3:$B$5001,O$114,BD!$A$3:$A$5001,"&gt;="&amp;$C$7,BD!$A$3:$A$5001,"&lt;="&amp;$B132,BD!$K$3:$K$5001,"&lt;&gt;")=0,"",SUMIFS(BD!$K$3:$K$5001,BD!$B$3:$B$5001,O$114,BD!$A$3:$A$5001,_xlfn.MAXIFS(BD!$A$3:$A$5001,BD!$B$3:$B$5001,O$114,BD!$A$3:$A$5001,"&gt;="&amp;$C$7,BD!$A$3:$A$5001,"&lt;="&amp;$B132,BD!$K$3:$K$5001,"&lt;&gt;"))))</f>
        <v/>
      </c>
      <c r="P132" s="43" t="str">
        <f>IF(OR($B132="",$A132&gt;$B$9,P$114=""),"",IF(COUNTIFS(BD!$B$3:$B$5001,P$114,BD!$A$3:$A$5001,"&gt;="&amp;$C$7,BD!$A$3:$A$5001,"&lt;="&amp;$B132,BD!$K$3:$K$5001,"&lt;&gt;")=0,"",SUMIFS(BD!$K$3:$K$5001,BD!$B$3:$B$5001,P$114,BD!$A$3:$A$5001,_xlfn.MAXIFS(BD!$A$3:$A$5001,BD!$B$3:$B$5001,P$114,BD!$A$3:$A$5001,"&gt;="&amp;$C$7,BD!$A$3:$A$5001,"&lt;="&amp;$B132,BD!$K$3:$K$5001,"&lt;&gt;"))))</f>
        <v/>
      </c>
      <c r="Q132" s="43" t="str">
        <f>IF(OR($B132="",$A132&gt;$B$9,Q$114=""),"",IF(COUNTIFS(BD!$B$3:$B$5001,Q$114,BD!$A$3:$A$5001,"&gt;="&amp;$C$7,BD!$A$3:$A$5001,"&lt;="&amp;$B132,BD!$K$3:$K$5001,"&lt;&gt;")=0,"",SUMIFS(BD!$K$3:$K$5001,BD!$B$3:$B$5001,Q$114,BD!$A$3:$A$5001,_xlfn.MAXIFS(BD!$A$3:$A$5001,BD!$B$3:$B$5001,Q$114,BD!$A$3:$A$5001,"&gt;="&amp;$C$7,BD!$A$3:$A$5001,"&lt;="&amp;$B132,BD!$K$3:$K$5001,"&lt;&gt;"))))</f>
        <v/>
      </c>
      <c r="R132" s="43" t="str">
        <f>IF(OR($B132="",$A132&gt;$B$9,R$114=""),"",IF(COUNTIFS(BD!$B$3:$B$5001,R$114,BD!$A$3:$A$5001,"&gt;="&amp;$C$7,BD!$A$3:$A$5001,"&lt;="&amp;$B132,BD!$K$3:$K$5001,"&lt;&gt;")=0,"",SUMIFS(BD!$K$3:$K$5001,BD!$B$3:$B$5001,R$114,BD!$A$3:$A$5001,_xlfn.MAXIFS(BD!$A$3:$A$5001,BD!$B$3:$B$5001,R$114,BD!$A$3:$A$5001,"&gt;="&amp;$C$7,BD!$A$3:$A$5001,"&lt;="&amp;$B132,BD!$K$3:$K$5001,"&lt;&gt;"))))</f>
        <v/>
      </c>
      <c r="S132" s="43" t="str">
        <f>IF(OR($B132="",$A132&gt;$B$9,S$114=""),"",IF(COUNTIFS(BD!$B$3:$B$5001,S$114,BD!$A$3:$A$5001,"&gt;="&amp;$C$7,BD!$A$3:$A$5001,"&lt;="&amp;$B132,BD!$K$3:$K$5001,"&lt;&gt;")=0,"",SUMIFS(BD!$K$3:$K$5001,BD!$B$3:$B$5001,S$114,BD!$A$3:$A$5001,_xlfn.MAXIFS(BD!$A$3:$A$5001,BD!$B$3:$B$5001,S$114,BD!$A$3:$A$5001,"&gt;="&amp;$C$7,BD!$A$3:$A$5001,"&lt;="&amp;$B132,BD!$K$3:$K$5001,"&lt;&gt;"))))</f>
        <v/>
      </c>
      <c r="T132" s="43" t="str">
        <f>IF(OR($B132="",$A132&gt;$B$9,T$114=""),"",IF(COUNTIFS(BD!$B$3:$B$5001,T$114,BD!$A$3:$A$5001,"&gt;="&amp;$C$7,BD!$A$3:$A$5001,"&lt;="&amp;$B132,BD!$K$3:$K$5001,"&lt;&gt;")=0,"",SUMIFS(BD!$K$3:$K$5001,BD!$B$3:$B$5001,T$114,BD!$A$3:$A$5001,_xlfn.MAXIFS(BD!$A$3:$A$5001,BD!$B$3:$B$5001,T$114,BD!$A$3:$A$5001,"&gt;="&amp;$C$7,BD!$A$3:$A$5001,"&lt;="&amp;$B132,BD!$K$3:$K$5001,"&lt;&gt;"))))</f>
        <v/>
      </c>
      <c r="U132" s="43" t="str">
        <f>IF(OR($B132="",$A132&gt;$B$9,U$114=""),"",IF(COUNTIFS(BD!$B$3:$B$5001,U$114,BD!$A$3:$A$5001,"&gt;="&amp;$C$7,BD!$A$3:$A$5001,"&lt;="&amp;$B132,BD!$K$3:$K$5001,"&lt;&gt;")=0,"",SUMIFS(BD!$K$3:$K$5001,BD!$B$3:$B$5001,U$114,BD!$A$3:$A$5001,_xlfn.MAXIFS(BD!$A$3:$A$5001,BD!$B$3:$B$5001,U$114,BD!$A$3:$A$5001,"&gt;="&amp;$C$7,BD!$A$3:$A$5001,"&lt;="&amp;$B132,BD!$K$3:$K$5001,"&lt;&gt;"))))</f>
        <v/>
      </c>
      <c r="V132" s="43" t="str">
        <f>IF(OR($B132="",$A132&gt;$B$9,V$114=""),"",IF(COUNTIFS(BD!$B$3:$B$5001,V$114,BD!$A$3:$A$5001,"&gt;="&amp;$C$7,BD!$A$3:$A$5001,"&lt;="&amp;$B132,BD!$K$3:$K$5001,"&lt;&gt;")=0,"",SUMIFS(BD!$K$3:$K$5001,BD!$B$3:$B$5001,V$114,BD!$A$3:$A$5001,_xlfn.MAXIFS(BD!$A$3:$A$5001,BD!$B$3:$B$5001,V$114,BD!$A$3:$A$5001,"&gt;="&amp;$C$7,BD!$A$3:$A$5001,"&lt;="&amp;$B132,BD!$K$3:$K$5001,"&lt;&gt;"))))</f>
        <v/>
      </c>
    </row>
    <row r="133">
      <c r="A133" s="38">
        <v>19</v>
      </c>
      <c r="B133" s="42">
        <f>$B$30</f>
        <v>46314</v>
      </c>
      <c r="C133" s="43" t="str">
        <f>IF(OR($B133="",$A133&gt;$B$9,C$114=""),"",IF(COUNTIFS(BD!$B$3:$B$5001,C$114,BD!$A$3:$A$5001,"&gt;="&amp;$C$7,BD!$A$3:$A$5001,"&lt;="&amp;$B133,BD!$K$3:$K$5001,"&lt;&gt;")=0,"",SUMIFS(BD!$K$3:$K$5001,BD!$B$3:$B$5001,C$114,BD!$A$3:$A$5001,_xlfn.MAXIFS(BD!$A$3:$A$5001,BD!$B$3:$B$5001,C$114,BD!$A$3:$A$5001,"&gt;="&amp;$C$7,BD!$A$3:$A$5001,"&lt;="&amp;$B133,BD!$K$3:$K$5001,"&lt;&gt;"))))</f>
        <v/>
      </c>
      <c r="D133" s="43" t="str">
        <f>IF(OR($B133="",$A133&gt;$B$9,D$114=""),"",IF(COUNTIFS(BD!$B$3:$B$5001,D$114,BD!$A$3:$A$5001,"&gt;="&amp;$C$7,BD!$A$3:$A$5001,"&lt;="&amp;$B133,BD!$K$3:$K$5001,"&lt;&gt;")=0,"",SUMIFS(BD!$K$3:$K$5001,BD!$B$3:$B$5001,D$114,BD!$A$3:$A$5001,_xlfn.MAXIFS(BD!$A$3:$A$5001,BD!$B$3:$B$5001,D$114,BD!$A$3:$A$5001,"&gt;="&amp;$C$7,BD!$A$3:$A$5001,"&lt;="&amp;$B133,BD!$K$3:$K$5001,"&lt;&gt;"))))</f>
        <v/>
      </c>
      <c r="E133" s="43" t="str">
        <f>IF(OR($B133="",$A133&gt;$B$9,E$114=""),"",IF(COUNTIFS(BD!$B$3:$B$5001,E$114,BD!$A$3:$A$5001,"&gt;="&amp;$C$7,BD!$A$3:$A$5001,"&lt;="&amp;$B133,BD!$K$3:$K$5001,"&lt;&gt;")=0,"",SUMIFS(BD!$K$3:$K$5001,BD!$B$3:$B$5001,E$114,BD!$A$3:$A$5001,_xlfn.MAXIFS(BD!$A$3:$A$5001,BD!$B$3:$B$5001,E$114,BD!$A$3:$A$5001,"&gt;="&amp;$C$7,BD!$A$3:$A$5001,"&lt;="&amp;$B133,BD!$K$3:$K$5001,"&lt;&gt;"))))</f>
        <v/>
      </c>
      <c r="F133" s="43" t="str">
        <f>IF(OR($B133="",$A133&gt;$B$9,F$114=""),"",IF(COUNTIFS(BD!$B$3:$B$5001,F$114,BD!$A$3:$A$5001,"&gt;="&amp;$C$7,BD!$A$3:$A$5001,"&lt;="&amp;$B133,BD!$K$3:$K$5001,"&lt;&gt;")=0,"",SUMIFS(BD!$K$3:$K$5001,BD!$B$3:$B$5001,F$114,BD!$A$3:$A$5001,_xlfn.MAXIFS(BD!$A$3:$A$5001,BD!$B$3:$B$5001,F$114,BD!$A$3:$A$5001,"&gt;="&amp;$C$7,BD!$A$3:$A$5001,"&lt;="&amp;$B133,BD!$K$3:$K$5001,"&lt;&gt;"))))</f>
        <v/>
      </c>
      <c r="G133" s="43" t="str">
        <f>IF(OR($B133="",$A133&gt;$B$9,G$114=""),"",IF(COUNTIFS(BD!$B$3:$B$5001,G$114,BD!$A$3:$A$5001,"&gt;="&amp;$C$7,BD!$A$3:$A$5001,"&lt;="&amp;$B133,BD!$K$3:$K$5001,"&lt;&gt;")=0,"",SUMIFS(BD!$K$3:$K$5001,BD!$B$3:$B$5001,G$114,BD!$A$3:$A$5001,_xlfn.MAXIFS(BD!$A$3:$A$5001,BD!$B$3:$B$5001,G$114,BD!$A$3:$A$5001,"&gt;="&amp;$C$7,BD!$A$3:$A$5001,"&lt;="&amp;$B133,BD!$K$3:$K$5001,"&lt;&gt;"))))</f>
        <v/>
      </c>
      <c r="H133" s="43" t="str">
        <f>IF(OR($B133="",$A133&gt;$B$9,H$114=""),"",IF(COUNTIFS(BD!$B$3:$B$5001,H$114,BD!$A$3:$A$5001,"&gt;="&amp;$C$7,BD!$A$3:$A$5001,"&lt;="&amp;$B133,BD!$K$3:$K$5001,"&lt;&gt;")=0,"",SUMIFS(BD!$K$3:$K$5001,BD!$B$3:$B$5001,H$114,BD!$A$3:$A$5001,_xlfn.MAXIFS(BD!$A$3:$A$5001,BD!$B$3:$B$5001,H$114,BD!$A$3:$A$5001,"&gt;="&amp;$C$7,BD!$A$3:$A$5001,"&lt;="&amp;$B133,BD!$K$3:$K$5001,"&lt;&gt;"))))</f>
        <v/>
      </c>
      <c r="I133" s="43" t="str">
        <f>IF(OR($B133="",$A133&gt;$B$9,I$114=""),"",IF(COUNTIFS(BD!$B$3:$B$5001,I$114,BD!$A$3:$A$5001,"&gt;="&amp;$C$7,BD!$A$3:$A$5001,"&lt;="&amp;$B133,BD!$K$3:$K$5001,"&lt;&gt;")=0,"",SUMIFS(BD!$K$3:$K$5001,BD!$B$3:$B$5001,I$114,BD!$A$3:$A$5001,_xlfn.MAXIFS(BD!$A$3:$A$5001,BD!$B$3:$B$5001,I$114,BD!$A$3:$A$5001,"&gt;="&amp;$C$7,BD!$A$3:$A$5001,"&lt;="&amp;$B133,BD!$K$3:$K$5001,"&lt;&gt;"))))</f>
        <v/>
      </c>
      <c r="J133" s="43" t="str">
        <f>IF(OR($B133="",$A133&gt;$B$9,J$114=""),"",IF(COUNTIFS(BD!$B$3:$B$5001,J$114,BD!$A$3:$A$5001,"&gt;="&amp;$C$7,BD!$A$3:$A$5001,"&lt;="&amp;$B133,BD!$K$3:$K$5001,"&lt;&gt;")=0,"",SUMIFS(BD!$K$3:$K$5001,BD!$B$3:$B$5001,J$114,BD!$A$3:$A$5001,_xlfn.MAXIFS(BD!$A$3:$A$5001,BD!$B$3:$B$5001,J$114,BD!$A$3:$A$5001,"&gt;="&amp;$C$7,BD!$A$3:$A$5001,"&lt;="&amp;$B133,BD!$K$3:$K$5001,"&lt;&gt;"))))</f>
        <v/>
      </c>
      <c r="K133" s="43" t="str">
        <f>IF(OR($B133="",$A133&gt;$B$9,K$114=""),"",IF(COUNTIFS(BD!$B$3:$B$5001,K$114,BD!$A$3:$A$5001,"&gt;="&amp;$C$7,BD!$A$3:$A$5001,"&lt;="&amp;$B133,BD!$K$3:$K$5001,"&lt;&gt;")=0,"",SUMIFS(BD!$K$3:$K$5001,BD!$B$3:$B$5001,K$114,BD!$A$3:$A$5001,_xlfn.MAXIFS(BD!$A$3:$A$5001,BD!$B$3:$B$5001,K$114,BD!$A$3:$A$5001,"&gt;="&amp;$C$7,BD!$A$3:$A$5001,"&lt;="&amp;$B133,BD!$K$3:$K$5001,"&lt;&gt;"))))</f>
        <v/>
      </c>
      <c r="L133" s="43" t="str">
        <f>IF(OR($B133="",$A133&gt;$B$9,L$114=""),"",IF(COUNTIFS(BD!$B$3:$B$5001,L$114,BD!$A$3:$A$5001,"&gt;="&amp;$C$7,BD!$A$3:$A$5001,"&lt;="&amp;$B133,BD!$K$3:$K$5001,"&lt;&gt;")=0,"",SUMIFS(BD!$K$3:$K$5001,BD!$B$3:$B$5001,L$114,BD!$A$3:$A$5001,_xlfn.MAXIFS(BD!$A$3:$A$5001,BD!$B$3:$B$5001,L$114,BD!$A$3:$A$5001,"&gt;="&amp;$C$7,BD!$A$3:$A$5001,"&lt;="&amp;$B133,BD!$K$3:$K$5001,"&lt;&gt;"))))</f>
        <v/>
      </c>
      <c r="M133" s="43" t="str">
        <f>IF(OR($B133="",$A133&gt;$B$9,M$114=""),"",IF(COUNTIFS(BD!$B$3:$B$5001,M$114,BD!$A$3:$A$5001,"&gt;="&amp;$C$7,BD!$A$3:$A$5001,"&lt;="&amp;$B133,BD!$K$3:$K$5001,"&lt;&gt;")=0,"",SUMIFS(BD!$K$3:$K$5001,BD!$B$3:$B$5001,M$114,BD!$A$3:$A$5001,_xlfn.MAXIFS(BD!$A$3:$A$5001,BD!$B$3:$B$5001,M$114,BD!$A$3:$A$5001,"&gt;="&amp;$C$7,BD!$A$3:$A$5001,"&lt;="&amp;$B133,BD!$K$3:$K$5001,"&lt;&gt;"))))</f>
        <v/>
      </c>
      <c r="N133" s="43" t="str">
        <f>IF(OR($B133="",$A133&gt;$B$9,N$114=""),"",IF(COUNTIFS(BD!$B$3:$B$5001,N$114,BD!$A$3:$A$5001,"&gt;="&amp;$C$7,BD!$A$3:$A$5001,"&lt;="&amp;$B133,BD!$K$3:$K$5001,"&lt;&gt;")=0,"",SUMIFS(BD!$K$3:$K$5001,BD!$B$3:$B$5001,N$114,BD!$A$3:$A$5001,_xlfn.MAXIFS(BD!$A$3:$A$5001,BD!$B$3:$B$5001,N$114,BD!$A$3:$A$5001,"&gt;="&amp;$C$7,BD!$A$3:$A$5001,"&lt;="&amp;$B133,BD!$K$3:$K$5001,"&lt;&gt;"))))</f>
        <v/>
      </c>
      <c r="O133" s="43" t="str">
        <f>IF(OR($B133="",$A133&gt;$B$9,O$114=""),"",IF(COUNTIFS(BD!$B$3:$B$5001,O$114,BD!$A$3:$A$5001,"&gt;="&amp;$C$7,BD!$A$3:$A$5001,"&lt;="&amp;$B133,BD!$K$3:$K$5001,"&lt;&gt;")=0,"",SUMIFS(BD!$K$3:$K$5001,BD!$B$3:$B$5001,O$114,BD!$A$3:$A$5001,_xlfn.MAXIFS(BD!$A$3:$A$5001,BD!$B$3:$B$5001,O$114,BD!$A$3:$A$5001,"&gt;="&amp;$C$7,BD!$A$3:$A$5001,"&lt;="&amp;$B133,BD!$K$3:$K$5001,"&lt;&gt;"))))</f>
        <v/>
      </c>
      <c r="P133" s="43" t="str">
        <f>IF(OR($B133="",$A133&gt;$B$9,P$114=""),"",IF(COUNTIFS(BD!$B$3:$B$5001,P$114,BD!$A$3:$A$5001,"&gt;="&amp;$C$7,BD!$A$3:$A$5001,"&lt;="&amp;$B133,BD!$K$3:$K$5001,"&lt;&gt;")=0,"",SUMIFS(BD!$K$3:$K$5001,BD!$B$3:$B$5001,P$114,BD!$A$3:$A$5001,_xlfn.MAXIFS(BD!$A$3:$A$5001,BD!$B$3:$B$5001,P$114,BD!$A$3:$A$5001,"&gt;="&amp;$C$7,BD!$A$3:$A$5001,"&lt;="&amp;$B133,BD!$K$3:$K$5001,"&lt;&gt;"))))</f>
        <v/>
      </c>
      <c r="Q133" s="43" t="str">
        <f>IF(OR($B133="",$A133&gt;$B$9,Q$114=""),"",IF(COUNTIFS(BD!$B$3:$B$5001,Q$114,BD!$A$3:$A$5001,"&gt;="&amp;$C$7,BD!$A$3:$A$5001,"&lt;="&amp;$B133,BD!$K$3:$K$5001,"&lt;&gt;")=0,"",SUMIFS(BD!$K$3:$K$5001,BD!$B$3:$B$5001,Q$114,BD!$A$3:$A$5001,_xlfn.MAXIFS(BD!$A$3:$A$5001,BD!$B$3:$B$5001,Q$114,BD!$A$3:$A$5001,"&gt;="&amp;$C$7,BD!$A$3:$A$5001,"&lt;="&amp;$B133,BD!$K$3:$K$5001,"&lt;&gt;"))))</f>
        <v/>
      </c>
      <c r="R133" s="43" t="str">
        <f>IF(OR($B133="",$A133&gt;$B$9,R$114=""),"",IF(COUNTIFS(BD!$B$3:$B$5001,R$114,BD!$A$3:$A$5001,"&gt;="&amp;$C$7,BD!$A$3:$A$5001,"&lt;="&amp;$B133,BD!$K$3:$K$5001,"&lt;&gt;")=0,"",SUMIFS(BD!$K$3:$K$5001,BD!$B$3:$B$5001,R$114,BD!$A$3:$A$5001,_xlfn.MAXIFS(BD!$A$3:$A$5001,BD!$B$3:$B$5001,R$114,BD!$A$3:$A$5001,"&gt;="&amp;$C$7,BD!$A$3:$A$5001,"&lt;="&amp;$B133,BD!$K$3:$K$5001,"&lt;&gt;"))))</f>
        <v/>
      </c>
      <c r="S133" s="43" t="str">
        <f>IF(OR($B133="",$A133&gt;$B$9,S$114=""),"",IF(COUNTIFS(BD!$B$3:$B$5001,S$114,BD!$A$3:$A$5001,"&gt;="&amp;$C$7,BD!$A$3:$A$5001,"&lt;="&amp;$B133,BD!$K$3:$K$5001,"&lt;&gt;")=0,"",SUMIFS(BD!$K$3:$K$5001,BD!$B$3:$B$5001,S$114,BD!$A$3:$A$5001,_xlfn.MAXIFS(BD!$A$3:$A$5001,BD!$B$3:$B$5001,S$114,BD!$A$3:$A$5001,"&gt;="&amp;$C$7,BD!$A$3:$A$5001,"&lt;="&amp;$B133,BD!$K$3:$K$5001,"&lt;&gt;"))))</f>
        <v/>
      </c>
      <c r="T133" s="43" t="str">
        <f>IF(OR($B133="",$A133&gt;$B$9,T$114=""),"",IF(COUNTIFS(BD!$B$3:$B$5001,T$114,BD!$A$3:$A$5001,"&gt;="&amp;$C$7,BD!$A$3:$A$5001,"&lt;="&amp;$B133,BD!$K$3:$K$5001,"&lt;&gt;")=0,"",SUMIFS(BD!$K$3:$K$5001,BD!$B$3:$B$5001,T$114,BD!$A$3:$A$5001,_xlfn.MAXIFS(BD!$A$3:$A$5001,BD!$B$3:$B$5001,T$114,BD!$A$3:$A$5001,"&gt;="&amp;$C$7,BD!$A$3:$A$5001,"&lt;="&amp;$B133,BD!$K$3:$K$5001,"&lt;&gt;"))))</f>
        <v/>
      </c>
      <c r="U133" s="43" t="str">
        <f>IF(OR($B133="",$A133&gt;$B$9,U$114=""),"",IF(COUNTIFS(BD!$B$3:$B$5001,U$114,BD!$A$3:$A$5001,"&gt;="&amp;$C$7,BD!$A$3:$A$5001,"&lt;="&amp;$B133,BD!$K$3:$K$5001,"&lt;&gt;")=0,"",SUMIFS(BD!$K$3:$K$5001,BD!$B$3:$B$5001,U$114,BD!$A$3:$A$5001,_xlfn.MAXIFS(BD!$A$3:$A$5001,BD!$B$3:$B$5001,U$114,BD!$A$3:$A$5001,"&gt;="&amp;$C$7,BD!$A$3:$A$5001,"&lt;="&amp;$B133,BD!$K$3:$K$5001,"&lt;&gt;"))))</f>
        <v/>
      </c>
      <c r="V133" s="43" t="str">
        <f>IF(OR($B133="",$A133&gt;$B$9,V$114=""),"",IF(COUNTIFS(BD!$B$3:$B$5001,V$114,BD!$A$3:$A$5001,"&gt;="&amp;$C$7,BD!$A$3:$A$5001,"&lt;="&amp;$B133,BD!$K$3:$K$5001,"&lt;&gt;")=0,"",SUMIFS(BD!$K$3:$K$5001,BD!$B$3:$B$5001,V$114,BD!$A$3:$A$5001,_xlfn.MAXIFS(BD!$A$3:$A$5001,BD!$B$3:$B$5001,V$114,BD!$A$3:$A$5001,"&gt;="&amp;$C$7,BD!$A$3:$A$5001,"&lt;="&amp;$B133,BD!$K$3:$K$5001,"&lt;&gt;"))))</f>
        <v/>
      </c>
    </row>
    <row r="134">
      <c r="A134" s="38">
        <v>20</v>
      </c>
      <c r="B134" s="42">
        <f>$B$31</f>
        <v>46315</v>
      </c>
      <c r="C134" s="43" t="str">
        <f>IF(OR($B134="",$A134&gt;$B$9,C$114=""),"",IF(COUNTIFS(BD!$B$3:$B$5001,C$114,BD!$A$3:$A$5001,"&gt;="&amp;$C$7,BD!$A$3:$A$5001,"&lt;="&amp;$B134,BD!$K$3:$K$5001,"&lt;&gt;")=0,"",SUMIFS(BD!$K$3:$K$5001,BD!$B$3:$B$5001,C$114,BD!$A$3:$A$5001,_xlfn.MAXIFS(BD!$A$3:$A$5001,BD!$B$3:$B$5001,C$114,BD!$A$3:$A$5001,"&gt;="&amp;$C$7,BD!$A$3:$A$5001,"&lt;="&amp;$B134,BD!$K$3:$K$5001,"&lt;&gt;"))))</f>
        <v/>
      </c>
      <c r="D134" s="43" t="str">
        <f>IF(OR($B134="",$A134&gt;$B$9,D$114=""),"",IF(COUNTIFS(BD!$B$3:$B$5001,D$114,BD!$A$3:$A$5001,"&gt;="&amp;$C$7,BD!$A$3:$A$5001,"&lt;="&amp;$B134,BD!$K$3:$K$5001,"&lt;&gt;")=0,"",SUMIFS(BD!$K$3:$K$5001,BD!$B$3:$B$5001,D$114,BD!$A$3:$A$5001,_xlfn.MAXIFS(BD!$A$3:$A$5001,BD!$B$3:$B$5001,D$114,BD!$A$3:$A$5001,"&gt;="&amp;$C$7,BD!$A$3:$A$5001,"&lt;="&amp;$B134,BD!$K$3:$K$5001,"&lt;&gt;"))))</f>
        <v/>
      </c>
      <c r="E134" s="43" t="str">
        <f>IF(OR($B134="",$A134&gt;$B$9,E$114=""),"",IF(COUNTIFS(BD!$B$3:$B$5001,E$114,BD!$A$3:$A$5001,"&gt;="&amp;$C$7,BD!$A$3:$A$5001,"&lt;="&amp;$B134,BD!$K$3:$K$5001,"&lt;&gt;")=0,"",SUMIFS(BD!$K$3:$K$5001,BD!$B$3:$B$5001,E$114,BD!$A$3:$A$5001,_xlfn.MAXIFS(BD!$A$3:$A$5001,BD!$B$3:$B$5001,E$114,BD!$A$3:$A$5001,"&gt;="&amp;$C$7,BD!$A$3:$A$5001,"&lt;="&amp;$B134,BD!$K$3:$K$5001,"&lt;&gt;"))))</f>
        <v/>
      </c>
      <c r="F134" s="43" t="str">
        <f>IF(OR($B134="",$A134&gt;$B$9,F$114=""),"",IF(COUNTIFS(BD!$B$3:$B$5001,F$114,BD!$A$3:$A$5001,"&gt;="&amp;$C$7,BD!$A$3:$A$5001,"&lt;="&amp;$B134,BD!$K$3:$K$5001,"&lt;&gt;")=0,"",SUMIFS(BD!$K$3:$K$5001,BD!$B$3:$B$5001,F$114,BD!$A$3:$A$5001,_xlfn.MAXIFS(BD!$A$3:$A$5001,BD!$B$3:$B$5001,F$114,BD!$A$3:$A$5001,"&gt;="&amp;$C$7,BD!$A$3:$A$5001,"&lt;="&amp;$B134,BD!$K$3:$K$5001,"&lt;&gt;"))))</f>
        <v/>
      </c>
      <c r="G134" s="43" t="str">
        <f>IF(OR($B134="",$A134&gt;$B$9,G$114=""),"",IF(COUNTIFS(BD!$B$3:$B$5001,G$114,BD!$A$3:$A$5001,"&gt;="&amp;$C$7,BD!$A$3:$A$5001,"&lt;="&amp;$B134,BD!$K$3:$K$5001,"&lt;&gt;")=0,"",SUMIFS(BD!$K$3:$K$5001,BD!$B$3:$B$5001,G$114,BD!$A$3:$A$5001,_xlfn.MAXIFS(BD!$A$3:$A$5001,BD!$B$3:$B$5001,G$114,BD!$A$3:$A$5001,"&gt;="&amp;$C$7,BD!$A$3:$A$5001,"&lt;="&amp;$B134,BD!$K$3:$K$5001,"&lt;&gt;"))))</f>
        <v/>
      </c>
      <c r="H134" s="43" t="str">
        <f>IF(OR($B134="",$A134&gt;$B$9,H$114=""),"",IF(COUNTIFS(BD!$B$3:$B$5001,H$114,BD!$A$3:$A$5001,"&gt;="&amp;$C$7,BD!$A$3:$A$5001,"&lt;="&amp;$B134,BD!$K$3:$K$5001,"&lt;&gt;")=0,"",SUMIFS(BD!$K$3:$K$5001,BD!$B$3:$B$5001,H$114,BD!$A$3:$A$5001,_xlfn.MAXIFS(BD!$A$3:$A$5001,BD!$B$3:$B$5001,H$114,BD!$A$3:$A$5001,"&gt;="&amp;$C$7,BD!$A$3:$A$5001,"&lt;="&amp;$B134,BD!$K$3:$K$5001,"&lt;&gt;"))))</f>
        <v/>
      </c>
      <c r="I134" s="43" t="str">
        <f>IF(OR($B134="",$A134&gt;$B$9,I$114=""),"",IF(COUNTIFS(BD!$B$3:$B$5001,I$114,BD!$A$3:$A$5001,"&gt;="&amp;$C$7,BD!$A$3:$A$5001,"&lt;="&amp;$B134,BD!$K$3:$K$5001,"&lt;&gt;")=0,"",SUMIFS(BD!$K$3:$K$5001,BD!$B$3:$B$5001,I$114,BD!$A$3:$A$5001,_xlfn.MAXIFS(BD!$A$3:$A$5001,BD!$B$3:$B$5001,I$114,BD!$A$3:$A$5001,"&gt;="&amp;$C$7,BD!$A$3:$A$5001,"&lt;="&amp;$B134,BD!$K$3:$K$5001,"&lt;&gt;"))))</f>
        <v/>
      </c>
      <c r="J134" s="43" t="str">
        <f>IF(OR($B134="",$A134&gt;$B$9,J$114=""),"",IF(COUNTIFS(BD!$B$3:$B$5001,J$114,BD!$A$3:$A$5001,"&gt;="&amp;$C$7,BD!$A$3:$A$5001,"&lt;="&amp;$B134,BD!$K$3:$K$5001,"&lt;&gt;")=0,"",SUMIFS(BD!$K$3:$K$5001,BD!$B$3:$B$5001,J$114,BD!$A$3:$A$5001,_xlfn.MAXIFS(BD!$A$3:$A$5001,BD!$B$3:$B$5001,J$114,BD!$A$3:$A$5001,"&gt;="&amp;$C$7,BD!$A$3:$A$5001,"&lt;="&amp;$B134,BD!$K$3:$K$5001,"&lt;&gt;"))))</f>
        <v/>
      </c>
      <c r="K134" s="43" t="str">
        <f>IF(OR($B134="",$A134&gt;$B$9,K$114=""),"",IF(COUNTIFS(BD!$B$3:$B$5001,K$114,BD!$A$3:$A$5001,"&gt;="&amp;$C$7,BD!$A$3:$A$5001,"&lt;="&amp;$B134,BD!$K$3:$K$5001,"&lt;&gt;")=0,"",SUMIFS(BD!$K$3:$K$5001,BD!$B$3:$B$5001,K$114,BD!$A$3:$A$5001,_xlfn.MAXIFS(BD!$A$3:$A$5001,BD!$B$3:$B$5001,K$114,BD!$A$3:$A$5001,"&gt;="&amp;$C$7,BD!$A$3:$A$5001,"&lt;="&amp;$B134,BD!$K$3:$K$5001,"&lt;&gt;"))))</f>
        <v/>
      </c>
      <c r="L134" s="43" t="str">
        <f>IF(OR($B134="",$A134&gt;$B$9,L$114=""),"",IF(COUNTIFS(BD!$B$3:$B$5001,L$114,BD!$A$3:$A$5001,"&gt;="&amp;$C$7,BD!$A$3:$A$5001,"&lt;="&amp;$B134,BD!$K$3:$K$5001,"&lt;&gt;")=0,"",SUMIFS(BD!$K$3:$K$5001,BD!$B$3:$B$5001,L$114,BD!$A$3:$A$5001,_xlfn.MAXIFS(BD!$A$3:$A$5001,BD!$B$3:$B$5001,L$114,BD!$A$3:$A$5001,"&gt;="&amp;$C$7,BD!$A$3:$A$5001,"&lt;="&amp;$B134,BD!$K$3:$K$5001,"&lt;&gt;"))))</f>
        <v/>
      </c>
      <c r="M134" s="43" t="str">
        <f>IF(OR($B134="",$A134&gt;$B$9,M$114=""),"",IF(COUNTIFS(BD!$B$3:$B$5001,M$114,BD!$A$3:$A$5001,"&gt;="&amp;$C$7,BD!$A$3:$A$5001,"&lt;="&amp;$B134,BD!$K$3:$K$5001,"&lt;&gt;")=0,"",SUMIFS(BD!$K$3:$K$5001,BD!$B$3:$B$5001,M$114,BD!$A$3:$A$5001,_xlfn.MAXIFS(BD!$A$3:$A$5001,BD!$B$3:$B$5001,M$114,BD!$A$3:$A$5001,"&gt;="&amp;$C$7,BD!$A$3:$A$5001,"&lt;="&amp;$B134,BD!$K$3:$K$5001,"&lt;&gt;"))))</f>
        <v/>
      </c>
      <c r="N134" s="43" t="str">
        <f>IF(OR($B134="",$A134&gt;$B$9,N$114=""),"",IF(COUNTIFS(BD!$B$3:$B$5001,N$114,BD!$A$3:$A$5001,"&gt;="&amp;$C$7,BD!$A$3:$A$5001,"&lt;="&amp;$B134,BD!$K$3:$K$5001,"&lt;&gt;")=0,"",SUMIFS(BD!$K$3:$K$5001,BD!$B$3:$B$5001,N$114,BD!$A$3:$A$5001,_xlfn.MAXIFS(BD!$A$3:$A$5001,BD!$B$3:$B$5001,N$114,BD!$A$3:$A$5001,"&gt;="&amp;$C$7,BD!$A$3:$A$5001,"&lt;="&amp;$B134,BD!$K$3:$K$5001,"&lt;&gt;"))))</f>
        <v/>
      </c>
      <c r="O134" s="43" t="str">
        <f>IF(OR($B134="",$A134&gt;$B$9,O$114=""),"",IF(COUNTIFS(BD!$B$3:$B$5001,O$114,BD!$A$3:$A$5001,"&gt;="&amp;$C$7,BD!$A$3:$A$5001,"&lt;="&amp;$B134,BD!$K$3:$K$5001,"&lt;&gt;")=0,"",SUMIFS(BD!$K$3:$K$5001,BD!$B$3:$B$5001,O$114,BD!$A$3:$A$5001,_xlfn.MAXIFS(BD!$A$3:$A$5001,BD!$B$3:$B$5001,O$114,BD!$A$3:$A$5001,"&gt;="&amp;$C$7,BD!$A$3:$A$5001,"&lt;="&amp;$B134,BD!$K$3:$K$5001,"&lt;&gt;"))))</f>
        <v/>
      </c>
      <c r="P134" s="43" t="str">
        <f>IF(OR($B134="",$A134&gt;$B$9,P$114=""),"",IF(COUNTIFS(BD!$B$3:$B$5001,P$114,BD!$A$3:$A$5001,"&gt;="&amp;$C$7,BD!$A$3:$A$5001,"&lt;="&amp;$B134,BD!$K$3:$K$5001,"&lt;&gt;")=0,"",SUMIFS(BD!$K$3:$K$5001,BD!$B$3:$B$5001,P$114,BD!$A$3:$A$5001,_xlfn.MAXIFS(BD!$A$3:$A$5001,BD!$B$3:$B$5001,P$114,BD!$A$3:$A$5001,"&gt;="&amp;$C$7,BD!$A$3:$A$5001,"&lt;="&amp;$B134,BD!$K$3:$K$5001,"&lt;&gt;"))))</f>
        <v/>
      </c>
      <c r="Q134" s="43" t="str">
        <f>IF(OR($B134="",$A134&gt;$B$9,Q$114=""),"",IF(COUNTIFS(BD!$B$3:$B$5001,Q$114,BD!$A$3:$A$5001,"&gt;="&amp;$C$7,BD!$A$3:$A$5001,"&lt;="&amp;$B134,BD!$K$3:$K$5001,"&lt;&gt;")=0,"",SUMIFS(BD!$K$3:$K$5001,BD!$B$3:$B$5001,Q$114,BD!$A$3:$A$5001,_xlfn.MAXIFS(BD!$A$3:$A$5001,BD!$B$3:$B$5001,Q$114,BD!$A$3:$A$5001,"&gt;="&amp;$C$7,BD!$A$3:$A$5001,"&lt;="&amp;$B134,BD!$K$3:$K$5001,"&lt;&gt;"))))</f>
        <v/>
      </c>
      <c r="R134" s="43" t="str">
        <f>IF(OR($B134="",$A134&gt;$B$9,R$114=""),"",IF(COUNTIFS(BD!$B$3:$B$5001,R$114,BD!$A$3:$A$5001,"&gt;="&amp;$C$7,BD!$A$3:$A$5001,"&lt;="&amp;$B134,BD!$K$3:$K$5001,"&lt;&gt;")=0,"",SUMIFS(BD!$K$3:$K$5001,BD!$B$3:$B$5001,R$114,BD!$A$3:$A$5001,_xlfn.MAXIFS(BD!$A$3:$A$5001,BD!$B$3:$B$5001,R$114,BD!$A$3:$A$5001,"&gt;="&amp;$C$7,BD!$A$3:$A$5001,"&lt;="&amp;$B134,BD!$K$3:$K$5001,"&lt;&gt;"))))</f>
        <v/>
      </c>
      <c r="S134" s="43" t="str">
        <f>IF(OR($B134="",$A134&gt;$B$9,S$114=""),"",IF(COUNTIFS(BD!$B$3:$B$5001,S$114,BD!$A$3:$A$5001,"&gt;="&amp;$C$7,BD!$A$3:$A$5001,"&lt;="&amp;$B134,BD!$K$3:$K$5001,"&lt;&gt;")=0,"",SUMIFS(BD!$K$3:$K$5001,BD!$B$3:$B$5001,S$114,BD!$A$3:$A$5001,_xlfn.MAXIFS(BD!$A$3:$A$5001,BD!$B$3:$B$5001,S$114,BD!$A$3:$A$5001,"&gt;="&amp;$C$7,BD!$A$3:$A$5001,"&lt;="&amp;$B134,BD!$K$3:$K$5001,"&lt;&gt;"))))</f>
        <v/>
      </c>
      <c r="T134" s="43" t="str">
        <f>IF(OR($B134="",$A134&gt;$B$9,T$114=""),"",IF(COUNTIFS(BD!$B$3:$B$5001,T$114,BD!$A$3:$A$5001,"&gt;="&amp;$C$7,BD!$A$3:$A$5001,"&lt;="&amp;$B134,BD!$K$3:$K$5001,"&lt;&gt;")=0,"",SUMIFS(BD!$K$3:$K$5001,BD!$B$3:$B$5001,T$114,BD!$A$3:$A$5001,_xlfn.MAXIFS(BD!$A$3:$A$5001,BD!$B$3:$B$5001,T$114,BD!$A$3:$A$5001,"&gt;="&amp;$C$7,BD!$A$3:$A$5001,"&lt;="&amp;$B134,BD!$K$3:$K$5001,"&lt;&gt;"))))</f>
        <v/>
      </c>
      <c r="U134" s="43" t="str">
        <f>IF(OR($B134="",$A134&gt;$B$9,U$114=""),"",IF(COUNTIFS(BD!$B$3:$B$5001,U$114,BD!$A$3:$A$5001,"&gt;="&amp;$C$7,BD!$A$3:$A$5001,"&lt;="&amp;$B134,BD!$K$3:$K$5001,"&lt;&gt;")=0,"",SUMIFS(BD!$K$3:$K$5001,BD!$B$3:$B$5001,U$114,BD!$A$3:$A$5001,_xlfn.MAXIFS(BD!$A$3:$A$5001,BD!$B$3:$B$5001,U$114,BD!$A$3:$A$5001,"&gt;="&amp;$C$7,BD!$A$3:$A$5001,"&lt;="&amp;$B134,BD!$K$3:$K$5001,"&lt;&gt;"))))</f>
        <v/>
      </c>
      <c r="V134" s="43" t="str">
        <f>IF(OR($B134="",$A134&gt;$B$9,V$114=""),"",IF(COUNTIFS(BD!$B$3:$B$5001,V$114,BD!$A$3:$A$5001,"&gt;="&amp;$C$7,BD!$A$3:$A$5001,"&lt;="&amp;$B134,BD!$K$3:$K$5001,"&lt;&gt;")=0,"",SUMIFS(BD!$K$3:$K$5001,BD!$B$3:$B$5001,V$114,BD!$A$3:$A$5001,_xlfn.MAXIFS(BD!$A$3:$A$5001,BD!$B$3:$B$5001,V$114,BD!$A$3:$A$5001,"&gt;="&amp;$C$7,BD!$A$3:$A$5001,"&lt;="&amp;$B134,BD!$K$3:$K$5001,"&lt;&gt;"))))</f>
        <v/>
      </c>
    </row>
    <row r="135">
      <c r="A135" s="38">
        <v>21</v>
      </c>
      <c r="B135" s="42">
        <f>$B$32</f>
        <v>46316</v>
      </c>
      <c r="C135" s="43" t="str">
        <f>IF(OR($B135="",$A135&gt;$B$9,C$114=""),"",IF(COUNTIFS(BD!$B$3:$B$5001,C$114,BD!$A$3:$A$5001,"&gt;="&amp;$C$7,BD!$A$3:$A$5001,"&lt;="&amp;$B135,BD!$K$3:$K$5001,"&lt;&gt;")=0,"",SUMIFS(BD!$K$3:$K$5001,BD!$B$3:$B$5001,C$114,BD!$A$3:$A$5001,_xlfn.MAXIFS(BD!$A$3:$A$5001,BD!$B$3:$B$5001,C$114,BD!$A$3:$A$5001,"&gt;="&amp;$C$7,BD!$A$3:$A$5001,"&lt;="&amp;$B135,BD!$K$3:$K$5001,"&lt;&gt;"))))</f>
        <v/>
      </c>
      <c r="D135" s="43" t="str">
        <f>IF(OR($B135="",$A135&gt;$B$9,D$114=""),"",IF(COUNTIFS(BD!$B$3:$B$5001,D$114,BD!$A$3:$A$5001,"&gt;="&amp;$C$7,BD!$A$3:$A$5001,"&lt;="&amp;$B135,BD!$K$3:$K$5001,"&lt;&gt;")=0,"",SUMIFS(BD!$K$3:$K$5001,BD!$B$3:$B$5001,D$114,BD!$A$3:$A$5001,_xlfn.MAXIFS(BD!$A$3:$A$5001,BD!$B$3:$B$5001,D$114,BD!$A$3:$A$5001,"&gt;="&amp;$C$7,BD!$A$3:$A$5001,"&lt;="&amp;$B135,BD!$K$3:$K$5001,"&lt;&gt;"))))</f>
        <v/>
      </c>
      <c r="E135" s="43" t="str">
        <f>IF(OR($B135="",$A135&gt;$B$9,E$114=""),"",IF(COUNTIFS(BD!$B$3:$B$5001,E$114,BD!$A$3:$A$5001,"&gt;="&amp;$C$7,BD!$A$3:$A$5001,"&lt;="&amp;$B135,BD!$K$3:$K$5001,"&lt;&gt;")=0,"",SUMIFS(BD!$K$3:$K$5001,BD!$B$3:$B$5001,E$114,BD!$A$3:$A$5001,_xlfn.MAXIFS(BD!$A$3:$A$5001,BD!$B$3:$B$5001,E$114,BD!$A$3:$A$5001,"&gt;="&amp;$C$7,BD!$A$3:$A$5001,"&lt;="&amp;$B135,BD!$K$3:$K$5001,"&lt;&gt;"))))</f>
        <v/>
      </c>
      <c r="F135" s="43" t="str">
        <f>IF(OR($B135="",$A135&gt;$B$9,F$114=""),"",IF(COUNTIFS(BD!$B$3:$B$5001,F$114,BD!$A$3:$A$5001,"&gt;="&amp;$C$7,BD!$A$3:$A$5001,"&lt;="&amp;$B135,BD!$K$3:$K$5001,"&lt;&gt;")=0,"",SUMIFS(BD!$K$3:$K$5001,BD!$B$3:$B$5001,F$114,BD!$A$3:$A$5001,_xlfn.MAXIFS(BD!$A$3:$A$5001,BD!$B$3:$B$5001,F$114,BD!$A$3:$A$5001,"&gt;="&amp;$C$7,BD!$A$3:$A$5001,"&lt;="&amp;$B135,BD!$K$3:$K$5001,"&lt;&gt;"))))</f>
        <v/>
      </c>
      <c r="G135" s="43" t="str">
        <f>IF(OR($B135="",$A135&gt;$B$9,G$114=""),"",IF(COUNTIFS(BD!$B$3:$B$5001,G$114,BD!$A$3:$A$5001,"&gt;="&amp;$C$7,BD!$A$3:$A$5001,"&lt;="&amp;$B135,BD!$K$3:$K$5001,"&lt;&gt;")=0,"",SUMIFS(BD!$K$3:$K$5001,BD!$B$3:$B$5001,G$114,BD!$A$3:$A$5001,_xlfn.MAXIFS(BD!$A$3:$A$5001,BD!$B$3:$B$5001,G$114,BD!$A$3:$A$5001,"&gt;="&amp;$C$7,BD!$A$3:$A$5001,"&lt;="&amp;$B135,BD!$K$3:$K$5001,"&lt;&gt;"))))</f>
        <v/>
      </c>
      <c r="H135" s="43" t="str">
        <f>IF(OR($B135="",$A135&gt;$B$9,H$114=""),"",IF(COUNTIFS(BD!$B$3:$B$5001,H$114,BD!$A$3:$A$5001,"&gt;="&amp;$C$7,BD!$A$3:$A$5001,"&lt;="&amp;$B135,BD!$K$3:$K$5001,"&lt;&gt;")=0,"",SUMIFS(BD!$K$3:$K$5001,BD!$B$3:$B$5001,H$114,BD!$A$3:$A$5001,_xlfn.MAXIFS(BD!$A$3:$A$5001,BD!$B$3:$B$5001,H$114,BD!$A$3:$A$5001,"&gt;="&amp;$C$7,BD!$A$3:$A$5001,"&lt;="&amp;$B135,BD!$K$3:$K$5001,"&lt;&gt;"))))</f>
        <v/>
      </c>
      <c r="I135" s="43" t="str">
        <f>IF(OR($B135="",$A135&gt;$B$9,I$114=""),"",IF(COUNTIFS(BD!$B$3:$B$5001,I$114,BD!$A$3:$A$5001,"&gt;="&amp;$C$7,BD!$A$3:$A$5001,"&lt;="&amp;$B135,BD!$K$3:$K$5001,"&lt;&gt;")=0,"",SUMIFS(BD!$K$3:$K$5001,BD!$B$3:$B$5001,I$114,BD!$A$3:$A$5001,_xlfn.MAXIFS(BD!$A$3:$A$5001,BD!$B$3:$B$5001,I$114,BD!$A$3:$A$5001,"&gt;="&amp;$C$7,BD!$A$3:$A$5001,"&lt;="&amp;$B135,BD!$K$3:$K$5001,"&lt;&gt;"))))</f>
        <v/>
      </c>
      <c r="J135" s="43" t="str">
        <f>IF(OR($B135="",$A135&gt;$B$9,J$114=""),"",IF(COUNTIFS(BD!$B$3:$B$5001,J$114,BD!$A$3:$A$5001,"&gt;="&amp;$C$7,BD!$A$3:$A$5001,"&lt;="&amp;$B135,BD!$K$3:$K$5001,"&lt;&gt;")=0,"",SUMIFS(BD!$K$3:$K$5001,BD!$B$3:$B$5001,J$114,BD!$A$3:$A$5001,_xlfn.MAXIFS(BD!$A$3:$A$5001,BD!$B$3:$B$5001,J$114,BD!$A$3:$A$5001,"&gt;="&amp;$C$7,BD!$A$3:$A$5001,"&lt;="&amp;$B135,BD!$K$3:$K$5001,"&lt;&gt;"))))</f>
        <v/>
      </c>
      <c r="K135" s="43" t="str">
        <f>IF(OR($B135="",$A135&gt;$B$9,K$114=""),"",IF(COUNTIFS(BD!$B$3:$B$5001,K$114,BD!$A$3:$A$5001,"&gt;="&amp;$C$7,BD!$A$3:$A$5001,"&lt;="&amp;$B135,BD!$K$3:$K$5001,"&lt;&gt;")=0,"",SUMIFS(BD!$K$3:$K$5001,BD!$B$3:$B$5001,K$114,BD!$A$3:$A$5001,_xlfn.MAXIFS(BD!$A$3:$A$5001,BD!$B$3:$B$5001,K$114,BD!$A$3:$A$5001,"&gt;="&amp;$C$7,BD!$A$3:$A$5001,"&lt;="&amp;$B135,BD!$K$3:$K$5001,"&lt;&gt;"))))</f>
        <v/>
      </c>
      <c r="L135" s="43" t="str">
        <f>IF(OR($B135="",$A135&gt;$B$9,L$114=""),"",IF(COUNTIFS(BD!$B$3:$B$5001,L$114,BD!$A$3:$A$5001,"&gt;="&amp;$C$7,BD!$A$3:$A$5001,"&lt;="&amp;$B135,BD!$K$3:$K$5001,"&lt;&gt;")=0,"",SUMIFS(BD!$K$3:$K$5001,BD!$B$3:$B$5001,L$114,BD!$A$3:$A$5001,_xlfn.MAXIFS(BD!$A$3:$A$5001,BD!$B$3:$B$5001,L$114,BD!$A$3:$A$5001,"&gt;="&amp;$C$7,BD!$A$3:$A$5001,"&lt;="&amp;$B135,BD!$K$3:$K$5001,"&lt;&gt;"))))</f>
        <v/>
      </c>
      <c r="M135" s="43" t="str">
        <f>IF(OR($B135="",$A135&gt;$B$9,M$114=""),"",IF(COUNTIFS(BD!$B$3:$B$5001,M$114,BD!$A$3:$A$5001,"&gt;="&amp;$C$7,BD!$A$3:$A$5001,"&lt;="&amp;$B135,BD!$K$3:$K$5001,"&lt;&gt;")=0,"",SUMIFS(BD!$K$3:$K$5001,BD!$B$3:$B$5001,M$114,BD!$A$3:$A$5001,_xlfn.MAXIFS(BD!$A$3:$A$5001,BD!$B$3:$B$5001,M$114,BD!$A$3:$A$5001,"&gt;="&amp;$C$7,BD!$A$3:$A$5001,"&lt;="&amp;$B135,BD!$K$3:$K$5001,"&lt;&gt;"))))</f>
        <v/>
      </c>
      <c r="N135" s="43" t="str">
        <f>IF(OR($B135="",$A135&gt;$B$9,N$114=""),"",IF(COUNTIFS(BD!$B$3:$B$5001,N$114,BD!$A$3:$A$5001,"&gt;="&amp;$C$7,BD!$A$3:$A$5001,"&lt;="&amp;$B135,BD!$K$3:$K$5001,"&lt;&gt;")=0,"",SUMIFS(BD!$K$3:$K$5001,BD!$B$3:$B$5001,N$114,BD!$A$3:$A$5001,_xlfn.MAXIFS(BD!$A$3:$A$5001,BD!$B$3:$B$5001,N$114,BD!$A$3:$A$5001,"&gt;="&amp;$C$7,BD!$A$3:$A$5001,"&lt;="&amp;$B135,BD!$K$3:$K$5001,"&lt;&gt;"))))</f>
        <v/>
      </c>
      <c r="O135" s="43" t="str">
        <f>IF(OR($B135="",$A135&gt;$B$9,O$114=""),"",IF(COUNTIFS(BD!$B$3:$B$5001,O$114,BD!$A$3:$A$5001,"&gt;="&amp;$C$7,BD!$A$3:$A$5001,"&lt;="&amp;$B135,BD!$K$3:$K$5001,"&lt;&gt;")=0,"",SUMIFS(BD!$K$3:$K$5001,BD!$B$3:$B$5001,O$114,BD!$A$3:$A$5001,_xlfn.MAXIFS(BD!$A$3:$A$5001,BD!$B$3:$B$5001,O$114,BD!$A$3:$A$5001,"&gt;="&amp;$C$7,BD!$A$3:$A$5001,"&lt;="&amp;$B135,BD!$K$3:$K$5001,"&lt;&gt;"))))</f>
        <v/>
      </c>
      <c r="P135" s="43" t="str">
        <f>IF(OR($B135="",$A135&gt;$B$9,P$114=""),"",IF(COUNTIFS(BD!$B$3:$B$5001,P$114,BD!$A$3:$A$5001,"&gt;="&amp;$C$7,BD!$A$3:$A$5001,"&lt;="&amp;$B135,BD!$K$3:$K$5001,"&lt;&gt;")=0,"",SUMIFS(BD!$K$3:$K$5001,BD!$B$3:$B$5001,P$114,BD!$A$3:$A$5001,_xlfn.MAXIFS(BD!$A$3:$A$5001,BD!$B$3:$B$5001,P$114,BD!$A$3:$A$5001,"&gt;="&amp;$C$7,BD!$A$3:$A$5001,"&lt;="&amp;$B135,BD!$K$3:$K$5001,"&lt;&gt;"))))</f>
        <v/>
      </c>
      <c r="Q135" s="43" t="str">
        <f>IF(OR($B135="",$A135&gt;$B$9,Q$114=""),"",IF(COUNTIFS(BD!$B$3:$B$5001,Q$114,BD!$A$3:$A$5001,"&gt;="&amp;$C$7,BD!$A$3:$A$5001,"&lt;="&amp;$B135,BD!$K$3:$K$5001,"&lt;&gt;")=0,"",SUMIFS(BD!$K$3:$K$5001,BD!$B$3:$B$5001,Q$114,BD!$A$3:$A$5001,_xlfn.MAXIFS(BD!$A$3:$A$5001,BD!$B$3:$B$5001,Q$114,BD!$A$3:$A$5001,"&gt;="&amp;$C$7,BD!$A$3:$A$5001,"&lt;="&amp;$B135,BD!$K$3:$K$5001,"&lt;&gt;"))))</f>
        <v/>
      </c>
      <c r="R135" s="43" t="str">
        <f>IF(OR($B135="",$A135&gt;$B$9,R$114=""),"",IF(COUNTIFS(BD!$B$3:$B$5001,R$114,BD!$A$3:$A$5001,"&gt;="&amp;$C$7,BD!$A$3:$A$5001,"&lt;="&amp;$B135,BD!$K$3:$K$5001,"&lt;&gt;")=0,"",SUMIFS(BD!$K$3:$K$5001,BD!$B$3:$B$5001,R$114,BD!$A$3:$A$5001,_xlfn.MAXIFS(BD!$A$3:$A$5001,BD!$B$3:$B$5001,R$114,BD!$A$3:$A$5001,"&gt;="&amp;$C$7,BD!$A$3:$A$5001,"&lt;="&amp;$B135,BD!$K$3:$K$5001,"&lt;&gt;"))))</f>
        <v/>
      </c>
      <c r="S135" s="43" t="str">
        <f>IF(OR($B135="",$A135&gt;$B$9,S$114=""),"",IF(COUNTIFS(BD!$B$3:$B$5001,S$114,BD!$A$3:$A$5001,"&gt;="&amp;$C$7,BD!$A$3:$A$5001,"&lt;="&amp;$B135,BD!$K$3:$K$5001,"&lt;&gt;")=0,"",SUMIFS(BD!$K$3:$K$5001,BD!$B$3:$B$5001,S$114,BD!$A$3:$A$5001,_xlfn.MAXIFS(BD!$A$3:$A$5001,BD!$B$3:$B$5001,S$114,BD!$A$3:$A$5001,"&gt;="&amp;$C$7,BD!$A$3:$A$5001,"&lt;="&amp;$B135,BD!$K$3:$K$5001,"&lt;&gt;"))))</f>
        <v/>
      </c>
      <c r="T135" s="43" t="str">
        <f>IF(OR($B135="",$A135&gt;$B$9,T$114=""),"",IF(COUNTIFS(BD!$B$3:$B$5001,T$114,BD!$A$3:$A$5001,"&gt;="&amp;$C$7,BD!$A$3:$A$5001,"&lt;="&amp;$B135,BD!$K$3:$K$5001,"&lt;&gt;")=0,"",SUMIFS(BD!$K$3:$K$5001,BD!$B$3:$B$5001,T$114,BD!$A$3:$A$5001,_xlfn.MAXIFS(BD!$A$3:$A$5001,BD!$B$3:$B$5001,T$114,BD!$A$3:$A$5001,"&gt;="&amp;$C$7,BD!$A$3:$A$5001,"&lt;="&amp;$B135,BD!$K$3:$K$5001,"&lt;&gt;"))))</f>
        <v/>
      </c>
      <c r="U135" s="43" t="str">
        <f>IF(OR($B135="",$A135&gt;$B$9,U$114=""),"",IF(COUNTIFS(BD!$B$3:$B$5001,U$114,BD!$A$3:$A$5001,"&gt;="&amp;$C$7,BD!$A$3:$A$5001,"&lt;="&amp;$B135,BD!$K$3:$K$5001,"&lt;&gt;")=0,"",SUMIFS(BD!$K$3:$K$5001,BD!$B$3:$B$5001,U$114,BD!$A$3:$A$5001,_xlfn.MAXIFS(BD!$A$3:$A$5001,BD!$B$3:$B$5001,U$114,BD!$A$3:$A$5001,"&gt;="&amp;$C$7,BD!$A$3:$A$5001,"&lt;="&amp;$B135,BD!$K$3:$K$5001,"&lt;&gt;"))))</f>
        <v/>
      </c>
      <c r="V135" s="43" t="str">
        <f>IF(OR($B135="",$A135&gt;$B$9,V$114=""),"",IF(COUNTIFS(BD!$B$3:$B$5001,V$114,BD!$A$3:$A$5001,"&gt;="&amp;$C$7,BD!$A$3:$A$5001,"&lt;="&amp;$B135,BD!$K$3:$K$5001,"&lt;&gt;")=0,"",SUMIFS(BD!$K$3:$K$5001,BD!$B$3:$B$5001,V$114,BD!$A$3:$A$5001,_xlfn.MAXIFS(BD!$A$3:$A$5001,BD!$B$3:$B$5001,V$114,BD!$A$3:$A$5001,"&gt;="&amp;$C$7,BD!$A$3:$A$5001,"&lt;="&amp;$B135,BD!$K$3:$K$5001,"&lt;&gt;"))))</f>
        <v/>
      </c>
    </row>
    <row r="136">
      <c r="A136" s="38">
        <v>22</v>
      </c>
      <c r="B136" s="42">
        <f>$B$33</f>
        <v>46317</v>
      </c>
      <c r="C136" s="43" t="str">
        <f>IF(OR($B136="",$A136&gt;$B$9,C$114=""),"",IF(COUNTIFS(BD!$B$3:$B$5001,C$114,BD!$A$3:$A$5001,"&gt;="&amp;$C$7,BD!$A$3:$A$5001,"&lt;="&amp;$B136,BD!$K$3:$K$5001,"&lt;&gt;")=0,"",SUMIFS(BD!$K$3:$K$5001,BD!$B$3:$B$5001,C$114,BD!$A$3:$A$5001,_xlfn.MAXIFS(BD!$A$3:$A$5001,BD!$B$3:$B$5001,C$114,BD!$A$3:$A$5001,"&gt;="&amp;$C$7,BD!$A$3:$A$5001,"&lt;="&amp;$B136,BD!$K$3:$K$5001,"&lt;&gt;"))))</f>
        <v/>
      </c>
      <c r="D136" s="43" t="str">
        <f>IF(OR($B136="",$A136&gt;$B$9,D$114=""),"",IF(COUNTIFS(BD!$B$3:$B$5001,D$114,BD!$A$3:$A$5001,"&gt;="&amp;$C$7,BD!$A$3:$A$5001,"&lt;="&amp;$B136,BD!$K$3:$K$5001,"&lt;&gt;")=0,"",SUMIFS(BD!$K$3:$K$5001,BD!$B$3:$B$5001,D$114,BD!$A$3:$A$5001,_xlfn.MAXIFS(BD!$A$3:$A$5001,BD!$B$3:$B$5001,D$114,BD!$A$3:$A$5001,"&gt;="&amp;$C$7,BD!$A$3:$A$5001,"&lt;="&amp;$B136,BD!$K$3:$K$5001,"&lt;&gt;"))))</f>
        <v/>
      </c>
      <c r="E136" s="43" t="str">
        <f>IF(OR($B136="",$A136&gt;$B$9,E$114=""),"",IF(COUNTIFS(BD!$B$3:$B$5001,E$114,BD!$A$3:$A$5001,"&gt;="&amp;$C$7,BD!$A$3:$A$5001,"&lt;="&amp;$B136,BD!$K$3:$K$5001,"&lt;&gt;")=0,"",SUMIFS(BD!$K$3:$K$5001,BD!$B$3:$B$5001,E$114,BD!$A$3:$A$5001,_xlfn.MAXIFS(BD!$A$3:$A$5001,BD!$B$3:$B$5001,E$114,BD!$A$3:$A$5001,"&gt;="&amp;$C$7,BD!$A$3:$A$5001,"&lt;="&amp;$B136,BD!$K$3:$K$5001,"&lt;&gt;"))))</f>
        <v/>
      </c>
      <c r="F136" s="43" t="str">
        <f>IF(OR($B136="",$A136&gt;$B$9,F$114=""),"",IF(COUNTIFS(BD!$B$3:$B$5001,F$114,BD!$A$3:$A$5001,"&gt;="&amp;$C$7,BD!$A$3:$A$5001,"&lt;="&amp;$B136,BD!$K$3:$K$5001,"&lt;&gt;")=0,"",SUMIFS(BD!$K$3:$K$5001,BD!$B$3:$B$5001,F$114,BD!$A$3:$A$5001,_xlfn.MAXIFS(BD!$A$3:$A$5001,BD!$B$3:$B$5001,F$114,BD!$A$3:$A$5001,"&gt;="&amp;$C$7,BD!$A$3:$A$5001,"&lt;="&amp;$B136,BD!$K$3:$K$5001,"&lt;&gt;"))))</f>
        <v/>
      </c>
      <c r="G136" s="43" t="str">
        <f>IF(OR($B136="",$A136&gt;$B$9,G$114=""),"",IF(COUNTIFS(BD!$B$3:$B$5001,G$114,BD!$A$3:$A$5001,"&gt;="&amp;$C$7,BD!$A$3:$A$5001,"&lt;="&amp;$B136,BD!$K$3:$K$5001,"&lt;&gt;")=0,"",SUMIFS(BD!$K$3:$K$5001,BD!$B$3:$B$5001,G$114,BD!$A$3:$A$5001,_xlfn.MAXIFS(BD!$A$3:$A$5001,BD!$B$3:$B$5001,G$114,BD!$A$3:$A$5001,"&gt;="&amp;$C$7,BD!$A$3:$A$5001,"&lt;="&amp;$B136,BD!$K$3:$K$5001,"&lt;&gt;"))))</f>
        <v/>
      </c>
      <c r="H136" s="43" t="str">
        <f>IF(OR($B136="",$A136&gt;$B$9,H$114=""),"",IF(COUNTIFS(BD!$B$3:$B$5001,H$114,BD!$A$3:$A$5001,"&gt;="&amp;$C$7,BD!$A$3:$A$5001,"&lt;="&amp;$B136,BD!$K$3:$K$5001,"&lt;&gt;")=0,"",SUMIFS(BD!$K$3:$K$5001,BD!$B$3:$B$5001,H$114,BD!$A$3:$A$5001,_xlfn.MAXIFS(BD!$A$3:$A$5001,BD!$B$3:$B$5001,H$114,BD!$A$3:$A$5001,"&gt;="&amp;$C$7,BD!$A$3:$A$5001,"&lt;="&amp;$B136,BD!$K$3:$K$5001,"&lt;&gt;"))))</f>
        <v/>
      </c>
      <c r="I136" s="43" t="str">
        <f>IF(OR($B136="",$A136&gt;$B$9,I$114=""),"",IF(COUNTIFS(BD!$B$3:$B$5001,I$114,BD!$A$3:$A$5001,"&gt;="&amp;$C$7,BD!$A$3:$A$5001,"&lt;="&amp;$B136,BD!$K$3:$K$5001,"&lt;&gt;")=0,"",SUMIFS(BD!$K$3:$K$5001,BD!$B$3:$B$5001,I$114,BD!$A$3:$A$5001,_xlfn.MAXIFS(BD!$A$3:$A$5001,BD!$B$3:$B$5001,I$114,BD!$A$3:$A$5001,"&gt;="&amp;$C$7,BD!$A$3:$A$5001,"&lt;="&amp;$B136,BD!$K$3:$K$5001,"&lt;&gt;"))))</f>
        <v/>
      </c>
      <c r="J136" s="43" t="str">
        <f>IF(OR($B136="",$A136&gt;$B$9,J$114=""),"",IF(COUNTIFS(BD!$B$3:$B$5001,J$114,BD!$A$3:$A$5001,"&gt;="&amp;$C$7,BD!$A$3:$A$5001,"&lt;="&amp;$B136,BD!$K$3:$K$5001,"&lt;&gt;")=0,"",SUMIFS(BD!$K$3:$K$5001,BD!$B$3:$B$5001,J$114,BD!$A$3:$A$5001,_xlfn.MAXIFS(BD!$A$3:$A$5001,BD!$B$3:$B$5001,J$114,BD!$A$3:$A$5001,"&gt;="&amp;$C$7,BD!$A$3:$A$5001,"&lt;="&amp;$B136,BD!$K$3:$K$5001,"&lt;&gt;"))))</f>
        <v/>
      </c>
      <c r="K136" s="43" t="str">
        <f>IF(OR($B136="",$A136&gt;$B$9,K$114=""),"",IF(COUNTIFS(BD!$B$3:$B$5001,K$114,BD!$A$3:$A$5001,"&gt;="&amp;$C$7,BD!$A$3:$A$5001,"&lt;="&amp;$B136,BD!$K$3:$K$5001,"&lt;&gt;")=0,"",SUMIFS(BD!$K$3:$K$5001,BD!$B$3:$B$5001,K$114,BD!$A$3:$A$5001,_xlfn.MAXIFS(BD!$A$3:$A$5001,BD!$B$3:$B$5001,K$114,BD!$A$3:$A$5001,"&gt;="&amp;$C$7,BD!$A$3:$A$5001,"&lt;="&amp;$B136,BD!$K$3:$K$5001,"&lt;&gt;"))))</f>
        <v/>
      </c>
      <c r="L136" s="43" t="str">
        <f>IF(OR($B136="",$A136&gt;$B$9,L$114=""),"",IF(COUNTIFS(BD!$B$3:$B$5001,L$114,BD!$A$3:$A$5001,"&gt;="&amp;$C$7,BD!$A$3:$A$5001,"&lt;="&amp;$B136,BD!$K$3:$K$5001,"&lt;&gt;")=0,"",SUMIFS(BD!$K$3:$K$5001,BD!$B$3:$B$5001,L$114,BD!$A$3:$A$5001,_xlfn.MAXIFS(BD!$A$3:$A$5001,BD!$B$3:$B$5001,L$114,BD!$A$3:$A$5001,"&gt;="&amp;$C$7,BD!$A$3:$A$5001,"&lt;="&amp;$B136,BD!$K$3:$K$5001,"&lt;&gt;"))))</f>
        <v/>
      </c>
      <c r="M136" s="43" t="str">
        <f>IF(OR($B136="",$A136&gt;$B$9,M$114=""),"",IF(COUNTIFS(BD!$B$3:$B$5001,M$114,BD!$A$3:$A$5001,"&gt;="&amp;$C$7,BD!$A$3:$A$5001,"&lt;="&amp;$B136,BD!$K$3:$K$5001,"&lt;&gt;")=0,"",SUMIFS(BD!$K$3:$K$5001,BD!$B$3:$B$5001,M$114,BD!$A$3:$A$5001,_xlfn.MAXIFS(BD!$A$3:$A$5001,BD!$B$3:$B$5001,M$114,BD!$A$3:$A$5001,"&gt;="&amp;$C$7,BD!$A$3:$A$5001,"&lt;="&amp;$B136,BD!$K$3:$K$5001,"&lt;&gt;"))))</f>
        <v/>
      </c>
      <c r="N136" s="43" t="str">
        <f>IF(OR($B136="",$A136&gt;$B$9,N$114=""),"",IF(COUNTIFS(BD!$B$3:$B$5001,N$114,BD!$A$3:$A$5001,"&gt;="&amp;$C$7,BD!$A$3:$A$5001,"&lt;="&amp;$B136,BD!$K$3:$K$5001,"&lt;&gt;")=0,"",SUMIFS(BD!$K$3:$K$5001,BD!$B$3:$B$5001,N$114,BD!$A$3:$A$5001,_xlfn.MAXIFS(BD!$A$3:$A$5001,BD!$B$3:$B$5001,N$114,BD!$A$3:$A$5001,"&gt;="&amp;$C$7,BD!$A$3:$A$5001,"&lt;="&amp;$B136,BD!$K$3:$K$5001,"&lt;&gt;"))))</f>
        <v/>
      </c>
      <c r="O136" s="43" t="str">
        <f>IF(OR($B136="",$A136&gt;$B$9,O$114=""),"",IF(COUNTIFS(BD!$B$3:$B$5001,O$114,BD!$A$3:$A$5001,"&gt;="&amp;$C$7,BD!$A$3:$A$5001,"&lt;="&amp;$B136,BD!$K$3:$K$5001,"&lt;&gt;")=0,"",SUMIFS(BD!$K$3:$K$5001,BD!$B$3:$B$5001,O$114,BD!$A$3:$A$5001,_xlfn.MAXIFS(BD!$A$3:$A$5001,BD!$B$3:$B$5001,O$114,BD!$A$3:$A$5001,"&gt;="&amp;$C$7,BD!$A$3:$A$5001,"&lt;="&amp;$B136,BD!$K$3:$K$5001,"&lt;&gt;"))))</f>
        <v/>
      </c>
      <c r="P136" s="43" t="str">
        <f>IF(OR($B136="",$A136&gt;$B$9,P$114=""),"",IF(COUNTIFS(BD!$B$3:$B$5001,P$114,BD!$A$3:$A$5001,"&gt;="&amp;$C$7,BD!$A$3:$A$5001,"&lt;="&amp;$B136,BD!$K$3:$K$5001,"&lt;&gt;")=0,"",SUMIFS(BD!$K$3:$K$5001,BD!$B$3:$B$5001,P$114,BD!$A$3:$A$5001,_xlfn.MAXIFS(BD!$A$3:$A$5001,BD!$B$3:$B$5001,P$114,BD!$A$3:$A$5001,"&gt;="&amp;$C$7,BD!$A$3:$A$5001,"&lt;="&amp;$B136,BD!$K$3:$K$5001,"&lt;&gt;"))))</f>
        <v/>
      </c>
      <c r="Q136" s="43" t="str">
        <f>IF(OR($B136="",$A136&gt;$B$9,Q$114=""),"",IF(COUNTIFS(BD!$B$3:$B$5001,Q$114,BD!$A$3:$A$5001,"&gt;="&amp;$C$7,BD!$A$3:$A$5001,"&lt;="&amp;$B136,BD!$K$3:$K$5001,"&lt;&gt;")=0,"",SUMIFS(BD!$K$3:$K$5001,BD!$B$3:$B$5001,Q$114,BD!$A$3:$A$5001,_xlfn.MAXIFS(BD!$A$3:$A$5001,BD!$B$3:$B$5001,Q$114,BD!$A$3:$A$5001,"&gt;="&amp;$C$7,BD!$A$3:$A$5001,"&lt;="&amp;$B136,BD!$K$3:$K$5001,"&lt;&gt;"))))</f>
        <v/>
      </c>
      <c r="R136" s="43" t="str">
        <f>IF(OR($B136="",$A136&gt;$B$9,R$114=""),"",IF(COUNTIFS(BD!$B$3:$B$5001,R$114,BD!$A$3:$A$5001,"&gt;="&amp;$C$7,BD!$A$3:$A$5001,"&lt;="&amp;$B136,BD!$K$3:$K$5001,"&lt;&gt;")=0,"",SUMIFS(BD!$K$3:$K$5001,BD!$B$3:$B$5001,R$114,BD!$A$3:$A$5001,_xlfn.MAXIFS(BD!$A$3:$A$5001,BD!$B$3:$B$5001,R$114,BD!$A$3:$A$5001,"&gt;="&amp;$C$7,BD!$A$3:$A$5001,"&lt;="&amp;$B136,BD!$K$3:$K$5001,"&lt;&gt;"))))</f>
        <v/>
      </c>
      <c r="S136" s="43" t="str">
        <f>IF(OR($B136="",$A136&gt;$B$9,S$114=""),"",IF(COUNTIFS(BD!$B$3:$B$5001,S$114,BD!$A$3:$A$5001,"&gt;="&amp;$C$7,BD!$A$3:$A$5001,"&lt;="&amp;$B136,BD!$K$3:$K$5001,"&lt;&gt;")=0,"",SUMIFS(BD!$K$3:$K$5001,BD!$B$3:$B$5001,S$114,BD!$A$3:$A$5001,_xlfn.MAXIFS(BD!$A$3:$A$5001,BD!$B$3:$B$5001,S$114,BD!$A$3:$A$5001,"&gt;="&amp;$C$7,BD!$A$3:$A$5001,"&lt;="&amp;$B136,BD!$K$3:$K$5001,"&lt;&gt;"))))</f>
        <v/>
      </c>
      <c r="T136" s="43" t="str">
        <f>IF(OR($B136="",$A136&gt;$B$9,T$114=""),"",IF(COUNTIFS(BD!$B$3:$B$5001,T$114,BD!$A$3:$A$5001,"&gt;="&amp;$C$7,BD!$A$3:$A$5001,"&lt;="&amp;$B136,BD!$K$3:$K$5001,"&lt;&gt;")=0,"",SUMIFS(BD!$K$3:$K$5001,BD!$B$3:$B$5001,T$114,BD!$A$3:$A$5001,_xlfn.MAXIFS(BD!$A$3:$A$5001,BD!$B$3:$B$5001,T$114,BD!$A$3:$A$5001,"&gt;="&amp;$C$7,BD!$A$3:$A$5001,"&lt;="&amp;$B136,BD!$K$3:$K$5001,"&lt;&gt;"))))</f>
        <v/>
      </c>
      <c r="U136" s="43" t="str">
        <f>IF(OR($B136="",$A136&gt;$B$9,U$114=""),"",IF(COUNTIFS(BD!$B$3:$B$5001,U$114,BD!$A$3:$A$5001,"&gt;="&amp;$C$7,BD!$A$3:$A$5001,"&lt;="&amp;$B136,BD!$K$3:$K$5001,"&lt;&gt;")=0,"",SUMIFS(BD!$K$3:$K$5001,BD!$B$3:$B$5001,U$114,BD!$A$3:$A$5001,_xlfn.MAXIFS(BD!$A$3:$A$5001,BD!$B$3:$B$5001,U$114,BD!$A$3:$A$5001,"&gt;="&amp;$C$7,BD!$A$3:$A$5001,"&lt;="&amp;$B136,BD!$K$3:$K$5001,"&lt;&gt;"))))</f>
        <v/>
      </c>
      <c r="V136" s="43" t="str">
        <f>IF(OR($B136="",$A136&gt;$B$9,V$114=""),"",IF(COUNTIFS(BD!$B$3:$B$5001,V$114,BD!$A$3:$A$5001,"&gt;="&amp;$C$7,BD!$A$3:$A$5001,"&lt;="&amp;$B136,BD!$K$3:$K$5001,"&lt;&gt;")=0,"",SUMIFS(BD!$K$3:$K$5001,BD!$B$3:$B$5001,V$114,BD!$A$3:$A$5001,_xlfn.MAXIFS(BD!$A$3:$A$5001,BD!$B$3:$B$5001,V$114,BD!$A$3:$A$5001,"&gt;="&amp;$C$7,BD!$A$3:$A$5001,"&lt;="&amp;$B136,BD!$K$3:$K$5001,"&lt;&gt;"))))</f>
        <v/>
      </c>
    </row>
    <row r="137">
      <c r="A137" s="38">
        <v>23</v>
      </c>
      <c r="B137" s="42">
        <f>$B$34</f>
        <v>46318</v>
      </c>
      <c r="C137" s="43" t="str">
        <f>IF(OR($B137="",$A137&gt;$B$9,C$114=""),"",IF(COUNTIFS(BD!$B$3:$B$5001,C$114,BD!$A$3:$A$5001,"&gt;="&amp;$C$7,BD!$A$3:$A$5001,"&lt;="&amp;$B137,BD!$K$3:$K$5001,"&lt;&gt;")=0,"",SUMIFS(BD!$K$3:$K$5001,BD!$B$3:$B$5001,C$114,BD!$A$3:$A$5001,_xlfn.MAXIFS(BD!$A$3:$A$5001,BD!$B$3:$B$5001,C$114,BD!$A$3:$A$5001,"&gt;="&amp;$C$7,BD!$A$3:$A$5001,"&lt;="&amp;$B137,BD!$K$3:$K$5001,"&lt;&gt;"))))</f>
        <v/>
      </c>
      <c r="D137" s="43" t="str">
        <f>IF(OR($B137="",$A137&gt;$B$9,D$114=""),"",IF(COUNTIFS(BD!$B$3:$B$5001,D$114,BD!$A$3:$A$5001,"&gt;="&amp;$C$7,BD!$A$3:$A$5001,"&lt;="&amp;$B137,BD!$K$3:$K$5001,"&lt;&gt;")=0,"",SUMIFS(BD!$K$3:$K$5001,BD!$B$3:$B$5001,D$114,BD!$A$3:$A$5001,_xlfn.MAXIFS(BD!$A$3:$A$5001,BD!$B$3:$B$5001,D$114,BD!$A$3:$A$5001,"&gt;="&amp;$C$7,BD!$A$3:$A$5001,"&lt;="&amp;$B137,BD!$K$3:$K$5001,"&lt;&gt;"))))</f>
        <v/>
      </c>
      <c r="E137" s="43" t="str">
        <f>IF(OR($B137="",$A137&gt;$B$9,E$114=""),"",IF(COUNTIFS(BD!$B$3:$B$5001,E$114,BD!$A$3:$A$5001,"&gt;="&amp;$C$7,BD!$A$3:$A$5001,"&lt;="&amp;$B137,BD!$K$3:$K$5001,"&lt;&gt;")=0,"",SUMIFS(BD!$K$3:$K$5001,BD!$B$3:$B$5001,E$114,BD!$A$3:$A$5001,_xlfn.MAXIFS(BD!$A$3:$A$5001,BD!$B$3:$B$5001,E$114,BD!$A$3:$A$5001,"&gt;="&amp;$C$7,BD!$A$3:$A$5001,"&lt;="&amp;$B137,BD!$K$3:$K$5001,"&lt;&gt;"))))</f>
        <v/>
      </c>
      <c r="F137" s="43" t="str">
        <f>IF(OR($B137="",$A137&gt;$B$9,F$114=""),"",IF(COUNTIFS(BD!$B$3:$B$5001,F$114,BD!$A$3:$A$5001,"&gt;="&amp;$C$7,BD!$A$3:$A$5001,"&lt;="&amp;$B137,BD!$K$3:$K$5001,"&lt;&gt;")=0,"",SUMIFS(BD!$K$3:$K$5001,BD!$B$3:$B$5001,F$114,BD!$A$3:$A$5001,_xlfn.MAXIFS(BD!$A$3:$A$5001,BD!$B$3:$B$5001,F$114,BD!$A$3:$A$5001,"&gt;="&amp;$C$7,BD!$A$3:$A$5001,"&lt;="&amp;$B137,BD!$K$3:$K$5001,"&lt;&gt;"))))</f>
        <v/>
      </c>
      <c r="G137" s="43" t="str">
        <f>IF(OR($B137="",$A137&gt;$B$9,G$114=""),"",IF(COUNTIFS(BD!$B$3:$B$5001,G$114,BD!$A$3:$A$5001,"&gt;="&amp;$C$7,BD!$A$3:$A$5001,"&lt;="&amp;$B137,BD!$K$3:$K$5001,"&lt;&gt;")=0,"",SUMIFS(BD!$K$3:$K$5001,BD!$B$3:$B$5001,G$114,BD!$A$3:$A$5001,_xlfn.MAXIFS(BD!$A$3:$A$5001,BD!$B$3:$B$5001,G$114,BD!$A$3:$A$5001,"&gt;="&amp;$C$7,BD!$A$3:$A$5001,"&lt;="&amp;$B137,BD!$K$3:$K$5001,"&lt;&gt;"))))</f>
        <v/>
      </c>
      <c r="H137" s="43" t="str">
        <f>IF(OR($B137="",$A137&gt;$B$9,H$114=""),"",IF(COUNTIFS(BD!$B$3:$B$5001,H$114,BD!$A$3:$A$5001,"&gt;="&amp;$C$7,BD!$A$3:$A$5001,"&lt;="&amp;$B137,BD!$K$3:$K$5001,"&lt;&gt;")=0,"",SUMIFS(BD!$K$3:$K$5001,BD!$B$3:$B$5001,H$114,BD!$A$3:$A$5001,_xlfn.MAXIFS(BD!$A$3:$A$5001,BD!$B$3:$B$5001,H$114,BD!$A$3:$A$5001,"&gt;="&amp;$C$7,BD!$A$3:$A$5001,"&lt;="&amp;$B137,BD!$K$3:$K$5001,"&lt;&gt;"))))</f>
        <v/>
      </c>
      <c r="I137" s="43" t="str">
        <f>IF(OR($B137="",$A137&gt;$B$9,I$114=""),"",IF(COUNTIFS(BD!$B$3:$B$5001,I$114,BD!$A$3:$A$5001,"&gt;="&amp;$C$7,BD!$A$3:$A$5001,"&lt;="&amp;$B137,BD!$K$3:$K$5001,"&lt;&gt;")=0,"",SUMIFS(BD!$K$3:$K$5001,BD!$B$3:$B$5001,I$114,BD!$A$3:$A$5001,_xlfn.MAXIFS(BD!$A$3:$A$5001,BD!$B$3:$B$5001,I$114,BD!$A$3:$A$5001,"&gt;="&amp;$C$7,BD!$A$3:$A$5001,"&lt;="&amp;$B137,BD!$K$3:$K$5001,"&lt;&gt;"))))</f>
        <v/>
      </c>
      <c r="J137" s="43" t="str">
        <f>IF(OR($B137="",$A137&gt;$B$9,J$114=""),"",IF(COUNTIFS(BD!$B$3:$B$5001,J$114,BD!$A$3:$A$5001,"&gt;="&amp;$C$7,BD!$A$3:$A$5001,"&lt;="&amp;$B137,BD!$K$3:$K$5001,"&lt;&gt;")=0,"",SUMIFS(BD!$K$3:$K$5001,BD!$B$3:$B$5001,J$114,BD!$A$3:$A$5001,_xlfn.MAXIFS(BD!$A$3:$A$5001,BD!$B$3:$B$5001,J$114,BD!$A$3:$A$5001,"&gt;="&amp;$C$7,BD!$A$3:$A$5001,"&lt;="&amp;$B137,BD!$K$3:$K$5001,"&lt;&gt;"))))</f>
        <v/>
      </c>
      <c r="K137" s="43" t="str">
        <f>IF(OR($B137="",$A137&gt;$B$9,K$114=""),"",IF(COUNTIFS(BD!$B$3:$B$5001,K$114,BD!$A$3:$A$5001,"&gt;="&amp;$C$7,BD!$A$3:$A$5001,"&lt;="&amp;$B137,BD!$K$3:$K$5001,"&lt;&gt;")=0,"",SUMIFS(BD!$K$3:$K$5001,BD!$B$3:$B$5001,K$114,BD!$A$3:$A$5001,_xlfn.MAXIFS(BD!$A$3:$A$5001,BD!$B$3:$B$5001,K$114,BD!$A$3:$A$5001,"&gt;="&amp;$C$7,BD!$A$3:$A$5001,"&lt;="&amp;$B137,BD!$K$3:$K$5001,"&lt;&gt;"))))</f>
        <v/>
      </c>
      <c r="L137" s="43" t="str">
        <f>IF(OR($B137="",$A137&gt;$B$9,L$114=""),"",IF(COUNTIFS(BD!$B$3:$B$5001,L$114,BD!$A$3:$A$5001,"&gt;="&amp;$C$7,BD!$A$3:$A$5001,"&lt;="&amp;$B137,BD!$K$3:$K$5001,"&lt;&gt;")=0,"",SUMIFS(BD!$K$3:$K$5001,BD!$B$3:$B$5001,L$114,BD!$A$3:$A$5001,_xlfn.MAXIFS(BD!$A$3:$A$5001,BD!$B$3:$B$5001,L$114,BD!$A$3:$A$5001,"&gt;="&amp;$C$7,BD!$A$3:$A$5001,"&lt;="&amp;$B137,BD!$K$3:$K$5001,"&lt;&gt;"))))</f>
        <v/>
      </c>
      <c r="M137" s="43" t="str">
        <f>IF(OR($B137="",$A137&gt;$B$9,M$114=""),"",IF(COUNTIFS(BD!$B$3:$B$5001,M$114,BD!$A$3:$A$5001,"&gt;="&amp;$C$7,BD!$A$3:$A$5001,"&lt;="&amp;$B137,BD!$K$3:$K$5001,"&lt;&gt;")=0,"",SUMIFS(BD!$K$3:$K$5001,BD!$B$3:$B$5001,M$114,BD!$A$3:$A$5001,_xlfn.MAXIFS(BD!$A$3:$A$5001,BD!$B$3:$B$5001,M$114,BD!$A$3:$A$5001,"&gt;="&amp;$C$7,BD!$A$3:$A$5001,"&lt;="&amp;$B137,BD!$K$3:$K$5001,"&lt;&gt;"))))</f>
        <v/>
      </c>
      <c r="N137" s="43" t="str">
        <f>IF(OR($B137="",$A137&gt;$B$9,N$114=""),"",IF(COUNTIFS(BD!$B$3:$B$5001,N$114,BD!$A$3:$A$5001,"&gt;="&amp;$C$7,BD!$A$3:$A$5001,"&lt;="&amp;$B137,BD!$K$3:$K$5001,"&lt;&gt;")=0,"",SUMIFS(BD!$K$3:$K$5001,BD!$B$3:$B$5001,N$114,BD!$A$3:$A$5001,_xlfn.MAXIFS(BD!$A$3:$A$5001,BD!$B$3:$B$5001,N$114,BD!$A$3:$A$5001,"&gt;="&amp;$C$7,BD!$A$3:$A$5001,"&lt;="&amp;$B137,BD!$K$3:$K$5001,"&lt;&gt;"))))</f>
        <v/>
      </c>
      <c r="O137" s="43" t="str">
        <f>IF(OR($B137="",$A137&gt;$B$9,O$114=""),"",IF(COUNTIFS(BD!$B$3:$B$5001,O$114,BD!$A$3:$A$5001,"&gt;="&amp;$C$7,BD!$A$3:$A$5001,"&lt;="&amp;$B137,BD!$K$3:$K$5001,"&lt;&gt;")=0,"",SUMIFS(BD!$K$3:$K$5001,BD!$B$3:$B$5001,O$114,BD!$A$3:$A$5001,_xlfn.MAXIFS(BD!$A$3:$A$5001,BD!$B$3:$B$5001,O$114,BD!$A$3:$A$5001,"&gt;="&amp;$C$7,BD!$A$3:$A$5001,"&lt;="&amp;$B137,BD!$K$3:$K$5001,"&lt;&gt;"))))</f>
        <v/>
      </c>
      <c r="P137" s="43" t="str">
        <f>IF(OR($B137="",$A137&gt;$B$9,P$114=""),"",IF(COUNTIFS(BD!$B$3:$B$5001,P$114,BD!$A$3:$A$5001,"&gt;="&amp;$C$7,BD!$A$3:$A$5001,"&lt;="&amp;$B137,BD!$K$3:$K$5001,"&lt;&gt;")=0,"",SUMIFS(BD!$K$3:$K$5001,BD!$B$3:$B$5001,P$114,BD!$A$3:$A$5001,_xlfn.MAXIFS(BD!$A$3:$A$5001,BD!$B$3:$B$5001,P$114,BD!$A$3:$A$5001,"&gt;="&amp;$C$7,BD!$A$3:$A$5001,"&lt;="&amp;$B137,BD!$K$3:$K$5001,"&lt;&gt;"))))</f>
        <v/>
      </c>
      <c r="Q137" s="43" t="str">
        <f>IF(OR($B137="",$A137&gt;$B$9,Q$114=""),"",IF(COUNTIFS(BD!$B$3:$B$5001,Q$114,BD!$A$3:$A$5001,"&gt;="&amp;$C$7,BD!$A$3:$A$5001,"&lt;="&amp;$B137,BD!$K$3:$K$5001,"&lt;&gt;")=0,"",SUMIFS(BD!$K$3:$K$5001,BD!$B$3:$B$5001,Q$114,BD!$A$3:$A$5001,_xlfn.MAXIFS(BD!$A$3:$A$5001,BD!$B$3:$B$5001,Q$114,BD!$A$3:$A$5001,"&gt;="&amp;$C$7,BD!$A$3:$A$5001,"&lt;="&amp;$B137,BD!$K$3:$K$5001,"&lt;&gt;"))))</f>
        <v/>
      </c>
      <c r="R137" s="43" t="str">
        <f>IF(OR($B137="",$A137&gt;$B$9,R$114=""),"",IF(COUNTIFS(BD!$B$3:$B$5001,R$114,BD!$A$3:$A$5001,"&gt;="&amp;$C$7,BD!$A$3:$A$5001,"&lt;="&amp;$B137,BD!$K$3:$K$5001,"&lt;&gt;")=0,"",SUMIFS(BD!$K$3:$K$5001,BD!$B$3:$B$5001,R$114,BD!$A$3:$A$5001,_xlfn.MAXIFS(BD!$A$3:$A$5001,BD!$B$3:$B$5001,R$114,BD!$A$3:$A$5001,"&gt;="&amp;$C$7,BD!$A$3:$A$5001,"&lt;="&amp;$B137,BD!$K$3:$K$5001,"&lt;&gt;"))))</f>
        <v/>
      </c>
      <c r="S137" s="43" t="str">
        <f>IF(OR($B137="",$A137&gt;$B$9,S$114=""),"",IF(COUNTIFS(BD!$B$3:$B$5001,S$114,BD!$A$3:$A$5001,"&gt;="&amp;$C$7,BD!$A$3:$A$5001,"&lt;="&amp;$B137,BD!$K$3:$K$5001,"&lt;&gt;")=0,"",SUMIFS(BD!$K$3:$K$5001,BD!$B$3:$B$5001,S$114,BD!$A$3:$A$5001,_xlfn.MAXIFS(BD!$A$3:$A$5001,BD!$B$3:$B$5001,S$114,BD!$A$3:$A$5001,"&gt;="&amp;$C$7,BD!$A$3:$A$5001,"&lt;="&amp;$B137,BD!$K$3:$K$5001,"&lt;&gt;"))))</f>
        <v/>
      </c>
      <c r="T137" s="43" t="str">
        <f>IF(OR($B137="",$A137&gt;$B$9,T$114=""),"",IF(COUNTIFS(BD!$B$3:$B$5001,T$114,BD!$A$3:$A$5001,"&gt;="&amp;$C$7,BD!$A$3:$A$5001,"&lt;="&amp;$B137,BD!$K$3:$K$5001,"&lt;&gt;")=0,"",SUMIFS(BD!$K$3:$K$5001,BD!$B$3:$B$5001,T$114,BD!$A$3:$A$5001,_xlfn.MAXIFS(BD!$A$3:$A$5001,BD!$B$3:$B$5001,T$114,BD!$A$3:$A$5001,"&gt;="&amp;$C$7,BD!$A$3:$A$5001,"&lt;="&amp;$B137,BD!$K$3:$K$5001,"&lt;&gt;"))))</f>
        <v/>
      </c>
      <c r="U137" s="43" t="str">
        <f>IF(OR($B137="",$A137&gt;$B$9,U$114=""),"",IF(COUNTIFS(BD!$B$3:$B$5001,U$114,BD!$A$3:$A$5001,"&gt;="&amp;$C$7,BD!$A$3:$A$5001,"&lt;="&amp;$B137,BD!$K$3:$K$5001,"&lt;&gt;")=0,"",SUMIFS(BD!$K$3:$K$5001,BD!$B$3:$B$5001,U$114,BD!$A$3:$A$5001,_xlfn.MAXIFS(BD!$A$3:$A$5001,BD!$B$3:$B$5001,U$114,BD!$A$3:$A$5001,"&gt;="&amp;$C$7,BD!$A$3:$A$5001,"&lt;="&amp;$B137,BD!$K$3:$K$5001,"&lt;&gt;"))))</f>
        <v/>
      </c>
      <c r="V137" s="43" t="str">
        <f>IF(OR($B137="",$A137&gt;$B$9,V$114=""),"",IF(COUNTIFS(BD!$B$3:$B$5001,V$114,BD!$A$3:$A$5001,"&gt;="&amp;$C$7,BD!$A$3:$A$5001,"&lt;="&amp;$B137,BD!$K$3:$K$5001,"&lt;&gt;")=0,"",SUMIFS(BD!$K$3:$K$5001,BD!$B$3:$B$5001,V$114,BD!$A$3:$A$5001,_xlfn.MAXIFS(BD!$A$3:$A$5001,BD!$B$3:$B$5001,V$114,BD!$A$3:$A$5001,"&gt;="&amp;$C$7,BD!$A$3:$A$5001,"&lt;="&amp;$B137,BD!$K$3:$K$5001,"&lt;&gt;"))))</f>
        <v/>
      </c>
    </row>
    <row r="138">
      <c r="A138" s="38">
        <v>24</v>
      </c>
      <c r="B138" s="42">
        <f>$B$35</f>
        <v>46319</v>
      </c>
      <c r="C138" s="43" t="str">
        <f>IF(OR($B138="",$A138&gt;$B$9,C$114=""),"",IF(COUNTIFS(BD!$B$3:$B$5001,C$114,BD!$A$3:$A$5001,"&gt;="&amp;$C$7,BD!$A$3:$A$5001,"&lt;="&amp;$B138,BD!$K$3:$K$5001,"&lt;&gt;")=0,"",SUMIFS(BD!$K$3:$K$5001,BD!$B$3:$B$5001,C$114,BD!$A$3:$A$5001,_xlfn.MAXIFS(BD!$A$3:$A$5001,BD!$B$3:$B$5001,C$114,BD!$A$3:$A$5001,"&gt;="&amp;$C$7,BD!$A$3:$A$5001,"&lt;="&amp;$B138,BD!$K$3:$K$5001,"&lt;&gt;"))))</f>
        <v/>
      </c>
      <c r="D138" s="43" t="str">
        <f>IF(OR($B138="",$A138&gt;$B$9,D$114=""),"",IF(COUNTIFS(BD!$B$3:$B$5001,D$114,BD!$A$3:$A$5001,"&gt;="&amp;$C$7,BD!$A$3:$A$5001,"&lt;="&amp;$B138,BD!$K$3:$K$5001,"&lt;&gt;")=0,"",SUMIFS(BD!$K$3:$K$5001,BD!$B$3:$B$5001,D$114,BD!$A$3:$A$5001,_xlfn.MAXIFS(BD!$A$3:$A$5001,BD!$B$3:$B$5001,D$114,BD!$A$3:$A$5001,"&gt;="&amp;$C$7,BD!$A$3:$A$5001,"&lt;="&amp;$B138,BD!$K$3:$K$5001,"&lt;&gt;"))))</f>
        <v/>
      </c>
      <c r="E138" s="43" t="str">
        <f>IF(OR($B138="",$A138&gt;$B$9,E$114=""),"",IF(COUNTIFS(BD!$B$3:$B$5001,E$114,BD!$A$3:$A$5001,"&gt;="&amp;$C$7,BD!$A$3:$A$5001,"&lt;="&amp;$B138,BD!$K$3:$K$5001,"&lt;&gt;")=0,"",SUMIFS(BD!$K$3:$K$5001,BD!$B$3:$B$5001,E$114,BD!$A$3:$A$5001,_xlfn.MAXIFS(BD!$A$3:$A$5001,BD!$B$3:$B$5001,E$114,BD!$A$3:$A$5001,"&gt;="&amp;$C$7,BD!$A$3:$A$5001,"&lt;="&amp;$B138,BD!$K$3:$K$5001,"&lt;&gt;"))))</f>
        <v/>
      </c>
      <c r="F138" s="43" t="str">
        <f>IF(OR($B138="",$A138&gt;$B$9,F$114=""),"",IF(COUNTIFS(BD!$B$3:$B$5001,F$114,BD!$A$3:$A$5001,"&gt;="&amp;$C$7,BD!$A$3:$A$5001,"&lt;="&amp;$B138,BD!$K$3:$K$5001,"&lt;&gt;")=0,"",SUMIFS(BD!$K$3:$K$5001,BD!$B$3:$B$5001,F$114,BD!$A$3:$A$5001,_xlfn.MAXIFS(BD!$A$3:$A$5001,BD!$B$3:$B$5001,F$114,BD!$A$3:$A$5001,"&gt;="&amp;$C$7,BD!$A$3:$A$5001,"&lt;="&amp;$B138,BD!$K$3:$K$5001,"&lt;&gt;"))))</f>
        <v/>
      </c>
      <c r="G138" s="43" t="str">
        <f>IF(OR($B138="",$A138&gt;$B$9,G$114=""),"",IF(COUNTIFS(BD!$B$3:$B$5001,G$114,BD!$A$3:$A$5001,"&gt;="&amp;$C$7,BD!$A$3:$A$5001,"&lt;="&amp;$B138,BD!$K$3:$K$5001,"&lt;&gt;")=0,"",SUMIFS(BD!$K$3:$K$5001,BD!$B$3:$B$5001,G$114,BD!$A$3:$A$5001,_xlfn.MAXIFS(BD!$A$3:$A$5001,BD!$B$3:$B$5001,G$114,BD!$A$3:$A$5001,"&gt;="&amp;$C$7,BD!$A$3:$A$5001,"&lt;="&amp;$B138,BD!$K$3:$K$5001,"&lt;&gt;"))))</f>
        <v/>
      </c>
      <c r="H138" s="43" t="str">
        <f>IF(OR($B138="",$A138&gt;$B$9,H$114=""),"",IF(COUNTIFS(BD!$B$3:$B$5001,H$114,BD!$A$3:$A$5001,"&gt;="&amp;$C$7,BD!$A$3:$A$5001,"&lt;="&amp;$B138,BD!$K$3:$K$5001,"&lt;&gt;")=0,"",SUMIFS(BD!$K$3:$K$5001,BD!$B$3:$B$5001,H$114,BD!$A$3:$A$5001,_xlfn.MAXIFS(BD!$A$3:$A$5001,BD!$B$3:$B$5001,H$114,BD!$A$3:$A$5001,"&gt;="&amp;$C$7,BD!$A$3:$A$5001,"&lt;="&amp;$B138,BD!$K$3:$K$5001,"&lt;&gt;"))))</f>
        <v/>
      </c>
      <c r="I138" s="43" t="str">
        <f>IF(OR($B138="",$A138&gt;$B$9,I$114=""),"",IF(COUNTIFS(BD!$B$3:$B$5001,I$114,BD!$A$3:$A$5001,"&gt;="&amp;$C$7,BD!$A$3:$A$5001,"&lt;="&amp;$B138,BD!$K$3:$K$5001,"&lt;&gt;")=0,"",SUMIFS(BD!$K$3:$K$5001,BD!$B$3:$B$5001,I$114,BD!$A$3:$A$5001,_xlfn.MAXIFS(BD!$A$3:$A$5001,BD!$B$3:$B$5001,I$114,BD!$A$3:$A$5001,"&gt;="&amp;$C$7,BD!$A$3:$A$5001,"&lt;="&amp;$B138,BD!$K$3:$K$5001,"&lt;&gt;"))))</f>
        <v/>
      </c>
      <c r="J138" s="43" t="str">
        <f>IF(OR($B138="",$A138&gt;$B$9,J$114=""),"",IF(COUNTIFS(BD!$B$3:$B$5001,J$114,BD!$A$3:$A$5001,"&gt;="&amp;$C$7,BD!$A$3:$A$5001,"&lt;="&amp;$B138,BD!$K$3:$K$5001,"&lt;&gt;")=0,"",SUMIFS(BD!$K$3:$K$5001,BD!$B$3:$B$5001,J$114,BD!$A$3:$A$5001,_xlfn.MAXIFS(BD!$A$3:$A$5001,BD!$B$3:$B$5001,J$114,BD!$A$3:$A$5001,"&gt;="&amp;$C$7,BD!$A$3:$A$5001,"&lt;="&amp;$B138,BD!$K$3:$K$5001,"&lt;&gt;"))))</f>
        <v/>
      </c>
      <c r="K138" s="43" t="str">
        <f>IF(OR($B138="",$A138&gt;$B$9,K$114=""),"",IF(COUNTIFS(BD!$B$3:$B$5001,K$114,BD!$A$3:$A$5001,"&gt;="&amp;$C$7,BD!$A$3:$A$5001,"&lt;="&amp;$B138,BD!$K$3:$K$5001,"&lt;&gt;")=0,"",SUMIFS(BD!$K$3:$K$5001,BD!$B$3:$B$5001,K$114,BD!$A$3:$A$5001,_xlfn.MAXIFS(BD!$A$3:$A$5001,BD!$B$3:$B$5001,K$114,BD!$A$3:$A$5001,"&gt;="&amp;$C$7,BD!$A$3:$A$5001,"&lt;="&amp;$B138,BD!$K$3:$K$5001,"&lt;&gt;"))))</f>
        <v/>
      </c>
      <c r="L138" s="43" t="str">
        <f>IF(OR($B138="",$A138&gt;$B$9,L$114=""),"",IF(COUNTIFS(BD!$B$3:$B$5001,L$114,BD!$A$3:$A$5001,"&gt;="&amp;$C$7,BD!$A$3:$A$5001,"&lt;="&amp;$B138,BD!$K$3:$K$5001,"&lt;&gt;")=0,"",SUMIFS(BD!$K$3:$K$5001,BD!$B$3:$B$5001,L$114,BD!$A$3:$A$5001,_xlfn.MAXIFS(BD!$A$3:$A$5001,BD!$B$3:$B$5001,L$114,BD!$A$3:$A$5001,"&gt;="&amp;$C$7,BD!$A$3:$A$5001,"&lt;="&amp;$B138,BD!$K$3:$K$5001,"&lt;&gt;"))))</f>
        <v/>
      </c>
      <c r="M138" s="43" t="str">
        <f>IF(OR($B138="",$A138&gt;$B$9,M$114=""),"",IF(COUNTIFS(BD!$B$3:$B$5001,M$114,BD!$A$3:$A$5001,"&gt;="&amp;$C$7,BD!$A$3:$A$5001,"&lt;="&amp;$B138,BD!$K$3:$K$5001,"&lt;&gt;")=0,"",SUMIFS(BD!$K$3:$K$5001,BD!$B$3:$B$5001,M$114,BD!$A$3:$A$5001,_xlfn.MAXIFS(BD!$A$3:$A$5001,BD!$B$3:$B$5001,M$114,BD!$A$3:$A$5001,"&gt;="&amp;$C$7,BD!$A$3:$A$5001,"&lt;="&amp;$B138,BD!$K$3:$K$5001,"&lt;&gt;"))))</f>
        <v/>
      </c>
      <c r="N138" s="43" t="str">
        <f>IF(OR($B138="",$A138&gt;$B$9,N$114=""),"",IF(COUNTIFS(BD!$B$3:$B$5001,N$114,BD!$A$3:$A$5001,"&gt;="&amp;$C$7,BD!$A$3:$A$5001,"&lt;="&amp;$B138,BD!$K$3:$K$5001,"&lt;&gt;")=0,"",SUMIFS(BD!$K$3:$K$5001,BD!$B$3:$B$5001,N$114,BD!$A$3:$A$5001,_xlfn.MAXIFS(BD!$A$3:$A$5001,BD!$B$3:$B$5001,N$114,BD!$A$3:$A$5001,"&gt;="&amp;$C$7,BD!$A$3:$A$5001,"&lt;="&amp;$B138,BD!$K$3:$K$5001,"&lt;&gt;"))))</f>
        <v/>
      </c>
      <c r="O138" s="43" t="str">
        <f>IF(OR($B138="",$A138&gt;$B$9,O$114=""),"",IF(COUNTIFS(BD!$B$3:$B$5001,O$114,BD!$A$3:$A$5001,"&gt;="&amp;$C$7,BD!$A$3:$A$5001,"&lt;="&amp;$B138,BD!$K$3:$K$5001,"&lt;&gt;")=0,"",SUMIFS(BD!$K$3:$K$5001,BD!$B$3:$B$5001,O$114,BD!$A$3:$A$5001,_xlfn.MAXIFS(BD!$A$3:$A$5001,BD!$B$3:$B$5001,O$114,BD!$A$3:$A$5001,"&gt;="&amp;$C$7,BD!$A$3:$A$5001,"&lt;="&amp;$B138,BD!$K$3:$K$5001,"&lt;&gt;"))))</f>
        <v/>
      </c>
      <c r="P138" s="43" t="str">
        <f>IF(OR($B138="",$A138&gt;$B$9,P$114=""),"",IF(COUNTIFS(BD!$B$3:$B$5001,P$114,BD!$A$3:$A$5001,"&gt;="&amp;$C$7,BD!$A$3:$A$5001,"&lt;="&amp;$B138,BD!$K$3:$K$5001,"&lt;&gt;")=0,"",SUMIFS(BD!$K$3:$K$5001,BD!$B$3:$B$5001,P$114,BD!$A$3:$A$5001,_xlfn.MAXIFS(BD!$A$3:$A$5001,BD!$B$3:$B$5001,P$114,BD!$A$3:$A$5001,"&gt;="&amp;$C$7,BD!$A$3:$A$5001,"&lt;="&amp;$B138,BD!$K$3:$K$5001,"&lt;&gt;"))))</f>
        <v/>
      </c>
      <c r="Q138" s="43" t="str">
        <f>IF(OR($B138="",$A138&gt;$B$9,Q$114=""),"",IF(COUNTIFS(BD!$B$3:$B$5001,Q$114,BD!$A$3:$A$5001,"&gt;="&amp;$C$7,BD!$A$3:$A$5001,"&lt;="&amp;$B138,BD!$K$3:$K$5001,"&lt;&gt;")=0,"",SUMIFS(BD!$K$3:$K$5001,BD!$B$3:$B$5001,Q$114,BD!$A$3:$A$5001,_xlfn.MAXIFS(BD!$A$3:$A$5001,BD!$B$3:$B$5001,Q$114,BD!$A$3:$A$5001,"&gt;="&amp;$C$7,BD!$A$3:$A$5001,"&lt;="&amp;$B138,BD!$K$3:$K$5001,"&lt;&gt;"))))</f>
        <v/>
      </c>
      <c r="R138" s="43" t="str">
        <f>IF(OR($B138="",$A138&gt;$B$9,R$114=""),"",IF(COUNTIFS(BD!$B$3:$B$5001,R$114,BD!$A$3:$A$5001,"&gt;="&amp;$C$7,BD!$A$3:$A$5001,"&lt;="&amp;$B138,BD!$K$3:$K$5001,"&lt;&gt;")=0,"",SUMIFS(BD!$K$3:$K$5001,BD!$B$3:$B$5001,R$114,BD!$A$3:$A$5001,_xlfn.MAXIFS(BD!$A$3:$A$5001,BD!$B$3:$B$5001,R$114,BD!$A$3:$A$5001,"&gt;="&amp;$C$7,BD!$A$3:$A$5001,"&lt;="&amp;$B138,BD!$K$3:$K$5001,"&lt;&gt;"))))</f>
        <v/>
      </c>
      <c r="S138" s="43" t="str">
        <f>IF(OR($B138="",$A138&gt;$B$9,S$114=""),"",IF(COUNTIFS(BD!$B$3:$B$5001,S$114,BD!$A$3:$A$5001,"&gt;="&amp;$C$7,BD!$A$3:$A$5001,"&lt;="&amp;$B138,BD!$K$3:$K$5001,"&lt;&gt;")=0,"",SUMIFS(BD!$K$3:$K$5001,BD!$B$3:$B$5001,S$114,BD!$A$3:$A$5001,_xlfn.MAXIFS(BD!$A$3:$A$5001,BD!$B$3:$B$5001,S$114,BD!$A$3:$A$5001,"&gt;="&amp;$C$7,BD!$A$3:$A$5001,"&lt;="&amp;$B138,BD!$K$3:$K$5001,"&lt;&gt;"))))</f>
        <v/>
      </c>
      <c r="T138" s="43" t="str">
        <f>IF(OR($B138="",$A138&gt;$B$9,T$114=""),"",IF(COUNTIFS(BD!$B$3:$B$5001,T$114,BD!$A$3:$A$5001,"&gt;="&amp;$C$7,BD!$A$3:$A$5001,"&lt;="&amp;$B138,BD!$K$3:$K$5001,"&lt;&gt;")=0,"",SUMIFS(BD!$K$3:$K$5001,BD!$B$3:$B$5001,T$114,BD!$A$3:$A$5001,_xlfn.MAXIFS(BD!$A$3:$A$5001,BD!$B$3:$B$5001,T$114,BD!$A$3:$A$5001,"&gt;="&amp;$C$7,BD!$A$3:$A$5001,"&lt;="&amp;$B138,BD!$K$3:$K$5001,"&lt;&gt;"))))</f>
        <v/>
      </c>
      <c r="U138" s="43" t="str">
        <f>IF(OR($B138="",$A138&gt;$B$9,U$114=""),"",IF(COUNTIFS(BD!$B$3:$B$5001,U$114,BD!$A$3:$A$5001,"&gt;="&amp;$C$7,BD!$A$3:$A$5001,"&lt;="&amp;$B138,BD!$K$3:$K$5001,"&lt;&gt;")=0,"",SUMIFS(BD!$K$3:$K$5001,BD!$B$3:$B$5001,U$114,BD!$A$3:$A$5001,_xlfn.MAXIFS(BD!$A$3:$A$5001,BD!$B$3:$B$5001,U$114,BD!$A$3:$A$5001,"&gt;="&amp;$C$7,BD!$A$3:$A$5001,"&lt;="&amp;$B138,BD!$K$3:$K$5001,"&lt;&gt;"))))</f>
        <v/>
      </c>
      <c r="V138" s="43" t="str">
        <f>IF(OR($B138="",$A138&gt;$B$9,V$114=""),"",IF(COUNTIFS(BD!$B$3:$B$5001,V$114,BD!$A$3:$A$5001,"&gt;="&amp;$C$7,BD!$A$3:$A$5001,"&lt;="&amp;$B138,BD!$K$3:$K$5001,"&lt;&gt;")=0,"",SUMIFS(BD!$K$3:$K$5001,BD!$B$3:$B$5001,V$114,BD!$A$3:$A$5001,_xlfn.MAXIFS(BD!$A$3:$A$5001,BD!$B$3:$B$5001,V$114,BD!$A$3:$A$5001,"&gt;="&amp;$C$7,BD!$A$3:$A$5001,"&lt;="&amp;$B138,BD!$K$3:$K$5001,"&lt;&gt;"))))</f>
        <v/>
      </c>
    </row>
    <row r="139">
      <c r="A139" s="38">
        <v>25</v>
      </c>
      <c r="B139" s="42">
        <f>$B$36</f>
        <v>46320</v>
      </c>
      <c r="C139" s="43" t="str">
        <f>IF(OR($B139="",$A139&gt;$B$9,C$114=""),"",IF(COUNTIFS(BD!$B$3:$B$5001,C$114,BD!$A$3:$A$5001,"&gt;="&amp;$C$7,BD!$A$3:$A$5001,"&lt;="&amp;$B139,BD!$K$3:$K$5001,"&lt;&gt;")=0,"",SUMIFS(BD!$K$3:$K$5001,BD!$B$3:$B$5001,C$114,BD!$A$3:$A$5001,_xlfn.MAXIFS(BD!$A$3:$A$5001,BD!$B$3:$B$5001,C$114,BD!$A$3:$A$5001,"&gt;="&amp;$C$7,BD!$A$3:$A$5001,"&lt;="&amp;$B139,BD!$K$3:$K$5001,"&lt;&gt;"))))</f>
        <v/>
      </c>
      <c r="D139" s="43" t="str">
        <f>IF(OR($B139="",$A139&gt;$B$9,D$114=""),"",IF(COUNTIFS(BD!$B$3:$B$5001,D$114,BD!$A$3:$A$5001,"&gt;="&amp;$C$7,BD!$A$3:$A$5001,"&lt;="&amp;$B139,BD!$K$3:$K$5001,"&lt;&gt;")=0,"",SUMIFS(BD!$K$3:$K$5001,BD!$B$3:$B$5001,D$114,BD!$A$3:$A$5001,_xlfn.MAXIFS(BD!$A$3:$A$5001,BD!$B$3:$B$5001,D$114,BD!$A$3:$A$5001,"&gt;="&amp;$C$7,BD!$A$3:$A$5001,"&lt;="&amp;$B139,BD!$K$3:$K$5001,"&lt;&gt;"))))</f>
        <v/>
      </c>
      <c r="E139" s="43" t="str">
        <f>IF(OR($B139="",$A139&gt;$B$9,E$114=""),"",IF(COUNTIFS(BD!$B$3:$B$5001,E$114,BD!$A$3:$A$5001,"&gt;="&amp;$C$7,BD!$A$3:$A$5001,"&lt;="&amp;$B139,BD!$K$3:$K$5001,"&lt;&gt;")=0,"",SUMIFS(BD!$K$3:$K$5001,BD!$B$3:$B$5001,E$114,BD!$A$3:$A$5001,_xlfn.MAXIFS(BD!$A$3:$A$5001,BD!$B$3:$B$5001,E$114,BD!$A$3:$A$5001,"&gt;="&amp;$C$7,BD!$A$3:$A$5001,"&lt;="&amp;$B139,BD!$K$3:$K$5001,"&lt;&gt;"))))</f>
        <v/>
      </c>
      <c r="F139" s="43" t="str">
        <f>IF(OR($B139="",$A139&gt;$B$9,F$114=""),"",IF(COUNTIFS(BD!$B$3:$B$5001,F$114,BD!$A$3:$A$5001,"&gt;="&amp;$C$7,BD!$A$3:$A$5001,"&lt;="&amp;$B139,BD!$K$3:$K$5001,"&lt;&gt;")=0,"",SUMIFS(BD!$K$3:$K$5001,BD!$B$3:$B$5001,F$114,BD!$A$3:$A$5001,_xlfn.MAXIFS(BD!$A$3:$A$5001,BD!$B$3:$B$5001,F$114,BD!$A$3:$A$5001,"&gt;="&amp;$C$7,BD!$A$3:$A$5001,"&lt;="&amp;$B139,BD!$K$3:$K$5001,"&lt;&gt;"))))</f>
        <v/>
      </c>
      <c r="G139" s="43" t="str">
        <f>IF(OR($B139="",$A139&gt;$B$9,G$114=""),"",IF(COUNTIFS(BD!$B$3:$B$5001,G$114,BD!$A$3:$A$5001,"&gt;="&amp;$C$7,BD!$A$3:$A$5001,"&lt;="&amp;$B139,BD!$K$3:$K$5001,"&lt;&gt;")=0,"",SUMIFS(BD!$K$3:$K$5001,BD!$B$3:$B$5001,G$114,BD!$A$3:$A$5001,_xlfn.MAXIFS(BD!$A$3:$A$5001,BD!$B$3:$B$5001,G$114,BD!$A$3:$A$5001,"&gt;="&amp;$C$7,BD!$A$3:$A$5001,"&lt;="&amp;$B139,BD!$K$3:$K$5001,"&lt;&gt;"))))</f>
        <v/>
      </c>
      <c r="H139" s="43" t="str">
        <f>IF(OR($B139="",$A139&gt;$B$9,H$114=""),"",IF(COUNTIFS(BD!$B$3:$B$5001,H$114,BD!$A$3:$A$5001,"&gt;="&amp;$C$7,BD!$A$3:$A$5001,"&lt;="&amp;$B139,BD!$K$3:$K$5001,"&lt;&gt;")=0,"",SUMIFS(BD!$K$3:$K$5001,BD!$B$3:$B$5001,H$114,BD!$A$3:$A$5001,_xlfn.MAXIFS(BD!$A$3:$A$5001,BD!$B$3:$B$5001,H$114,BD!$A$3:$A$5001,"&gt;="&amp;$C$7,BD!$A$3:$A$5001,"&lt;="&amp;$B139,BD!$K$3:$K$5001,"&lt;&gt;"))))</f>
        <v/>
      </c>
      <c r="I139" s="43" t="str">
        <f>IF(OR($B139="",$A139&gt;$B$9,I$114=""),"",IF(COUNTIFS(BD!$B$3:$B$5001,I$114,BD!$A$3:$A$5001,"&gt;="&amp;$C$7,BD!$A$3:$A$5001,"&lt;="&amp;$B139,BD!$K$3:$K$5001,"&lt;&gt;")=0,"",SUMIFS(BD!$K$3:$K$5001,BD!$B$3:$B$5001,I$114,BD!$A$3:$A$5001,_xlfn.MAXIFS(BD!$A$3:$A$5001,BD!$B$3:$B$5001,I$114,BD!$A$3:$A$5001,"&gt;="&amp;$C$7,BD!$A$3:$A$5001,"&lt;="&amp;$B139,BD!$K$3:$K$5001,"&lt;&gt;"))))</f>
        <v/>
      </c>
      <c r="J139" s="43" t="str">
        <f>IF(OR($B139="",$A139&gt;$B$9,J$114=""),"",IF(COUNTIFS(BD!$B$3:$B$5001,J$114,BD!$A$3:$A$5001,"&gt;="&amp;$C$7,BD!$A$3:$A$5001,"&lt;="&amp;$B139,BD!$K$3:$K$5001,"&lt;&gt;")=0,"",SUMIFS(BD!$K$3:$K$5001,BD!$B$3:$B$5001,J$114,BD!$A$3:$A$5001,_xlfn.MAXIFS(BD!$A$3:$A$5001,BD!$B$3:$B$5001,J$114,BD!$A$3:$A$5001,"&gt;="&amp;$C$7,BD!$A$3:$A$5001,"&lt;="&amp;$B139,BD!$K$3:$K$5001,"&lt;&gt;"))))</f>
        <v/>
      </c>
      <c r="K139" s="43" t="str">
        <f>IF(OR($B139="",$A139&gt;$B$9,K$114=""),"",IF(COUNTIFS(BD!$B$3:$B$5001,K$114,BD!$A$3:$A$5001,"&gt;="&amp;$C$7,BD!$A$3:$A$5001,"&lt;="&amp;$B139,BD!$K$3:$K$5001,"&lt;&gt;")=0,"",SUMIFS(BD!$K$3:$K$5001,BD!$B$3:$B$5001,K$114,BD!$A$3:$A$5001,_xlfn.MAXIFS(BD!$A$3:$A$5001,BD!$B$3:$B$5001,K$114,BD!$A$3:$A$5001,"&gt;="&amp;$C$7,BD!$A$3:$A$5001,"&lt;="&amp;$B139,BD!$K$3:$K$5001,"&lt;&gt;"))))</f>
        <v/>
      </c>
      <c r="L139" s="43" t="str">
        <f>IF(OR($B139="",$A139&gt;$B$9,L$114=""),"",IF(COUNTIFS(BD!$B$3:$B$5001,L$114,BD!$A$3:$A$5001,"&gt;="&amp;$C$7,BD!$A$3:$A$5001,"&lt;="&amp;$B139,BD!$K$3:$K$5001,"&lt;&gt;")=0,"",SUMIFS(BD!$K$3:$K$5001,BD!$B$3:$B$5001,L$114,BD!$A$3:$A$5001,_xlfn.MAXIFS(BD!$A$3:$A$5001,BD!$B$3:$B$5001,L$114,BD!$A$3:$A$5001,"&gt;="&amp;$C$7,BD!$A$3:$A$5001,"&lt;="&amp;$B139,BD!$K$3:$K$5001,"&lt;&gt;"))))</f>
        <v/>
      </c>
      <c r="M139" s="43" t="str">
        <f>IF(OR($B139="",$A139&gt;$B$9,M$114=""),"",IF(COUNTIFS(BD!$B$3:$B$5001,M$114,BD!$A$3:$A$5001,"&gt;="&amp;$C$7,BD!$A$3:$A$5001,"&lt;="&amp;$B139,BD!$K$3:$K$5001,"&lt;&gt;")=0,"",SUMIFS(BD!$K$3:$K$5001,BD!$B$3:$B$5001,M$114,BD!$A$3:$A$5001,_xlfn.MAXIFS(BD!$A$3:$A$5001,BD!$B$3:$B$5001,M$114,BD!$A$3:$A$5001,"&gt;="&amp;$C$7,BD!$A$3:$A$5001,"&lt;="&amp;$B139,BD!$K$3:$K$5001,"&lt;&gt;"))))</f>
        <v/>
      </c>
      <c r="N139" s="43" t="str">
        <f>IF(OR($B139="",$A139&gt;$B$9,N$114=""),"",IF(COUNTIFS(BD!$B$3:$B$5001,N$114,BD!$A$3:$A$5001,"&gt;="&amp;$C$7,BD!$A$3:$A$5001,"&lt;="&amp;$B139,BD!$K$3:$K$5001,"&lt;&gt;")=0,"",SUMIFS(BD!$K$3:$K$5001,BD!$B$3:$B$5001,N$114,BD!$A$3:$A$5001,_xlfn.MAXIFS(BD!$A$3:$A$5001,BD!$B$3:$B$5001,N$114,BD!$A$3:$A$5001,"&gt;="&amp;$C$7,BD!$A$3:$A$5001,"&lt;="&amp;$B139,BD!$K$3:$K$5001,"&lt;&gt;"))))</f>
        <v/>
      </c>
      <c r="O139" s="43" t="str">
        <f>IF(OR($B139="",$A139&gt;$B$9,O$114=""),"",IF(COUNTIFS(BD!$B$3:$B$5001,O$114,BD!$A$3:$A$5001,"&gt;="&amp;$C$7,BD!$A$3:$A$5001,"&lt;="&amp;$B139,BD!$K$3:$K$5001,"&lt;&gt;")=0,"",SUMIFS(BD!$K$3:$K$5001,BD!$B$3:$B$5001,O$114,BD!$A$3:$A$5001,_xlfn.MAXIFS(BD!$A$3:$A$5001,BD!$B$3:$B$5001,O$114,BD!$A$3:$A$5001,"&gt;="&amp;$C$7,BD!$A$3:$A$5001,"&lt;="&amp;$B139,BD!$K$3:$K$5001,"&lt;&gt;"))))</f>
        <v/>
      </c>
      <c r="P139" s="43" t="str">
        <f>IF(OR($B139="",$A139&gt;$B$9,P$114=""),"",IF(COUNTIFS(BD!$B$3:$B$5001,P$114,BD!$A$3:$A$5001,"&gt;="&amp;$C$7,BD!$A$3:$A$5001,"&lt;="&amp;$B139,BD!$K$3:$K$5001,"&lt;&gt;")=0,"",SUMIFS(BD!$K$3:$K$5001,BD!$B$3:$B$5001,P$114,BD!$A$3:$A$5001,_xlfn.MAXIFS(BD!$A$3:$A$5001,BD!$B$3:$B$5001,P$114,BD!$A$3:$A$5001,"&gt;="&amp;$C$7,BD!$A$3:$A$5001,"&lt;="&amp;$B139,BD!$K$3:$K$5001,"&lt;&gt;"))))</f>
        <v/>
      </c>
      <c r="Q139" s="43" t="str">
        <f>IF(OR($B139="",$A139&gt;$B$9,Q$114=""),"",IF(COUNTIFS(BD!$B$3:$B$5001,Q$114,BD!$A$3:$A$5001,"&gt;="&amp;$C$7,BD!$A$3:$A$5001,"&lt;="&amp;$B139,BD!$K$3:$K$5001,"&lt;&gt;")=0,"",SUMIFS(BD!$K$3:$K$5001,BD!$B$3:$B$5001,Q$114,BD!$A$3:$A$5001,_xlfn.MAXIFS(BD!$A$3:$A$5001,BD!$B$3:$B$5001,Q$114,BD!$A$3:$A$5001,"&gt;="&amp;$C$7,BD!$A$3:$A$5001,"&lt;="&amp;$B139,BD!$K$3:$K$5001,"&lt;&gt;"))))</f>
        <v/>
      </c>
      <c r="R139" s="43" t="str">
        <f>IF(OR($B139="",$A139&gt;$B$9,R$114=""),"",IF(COUNTIFS(BD!$B$3:$B$5001,R$114,BD!$A$3:$A$5001,"&gt;="&amp;$C$7,BD!$A$3:$A$5001,"&lt;="&amp;$B139,BD!$K$3:$K$5001,"&lt;&gt;")=0,"",SUMIFS(BD!$K$3:$K$5001,BD!$B$3:$B$5001,R$114,BD!$A$3:$A$5001,_xlfn.MAXIFS(BD!$A$3:$A$5001,BD!$B$3:$B$5001,R$114,BD!$A$3:$A$5001,"&gt;="&amp;$C$7,BD!$A$3:$A$5001,"&lt;="&amp;$B139,BD!$K$3:$K$5001,"&lt;&gt;"))))</f>
        <v/>
      </c>
      <c r="S139" s="43" t="str">
        <f>IF(OR($B139="",$A139&gt;$B$9,S$114=""),"",IF(COUNTIFS(BD!$B$3:$B$5001,S$114,BD!$A$3:$A$5001,"&gt;="&amp;$C$7,BD!$A$3:$A$5001,"&lt;="&amp;$B139,BD!$K$3:$K$5001,"&lt;&gt;")=0,"",SUMIFS(BD!$K$3:$K$5001,BD!$B$3:$B$5001,S$114,BD!$A$3:$A$5001,_xlfn.MAXIFS(BD!$A$3:$A$5001,BD!$B$3:$B$5001,S$114,BD!$A$3:$A$5001,"&gt;="&amp;$C$7,BD!$A$3:$A$5001,"&lt;="&amp;$B139,BD!$K$3:$K$5001,"&lt;&gt;"))))</f>
        <v/>
      </c>
      <c r="T139" s="43" t="str">
        <f>IF(OR($B139="",$A139&gt;$B$9,T$114=""),"",IF(COUNTIFS(BD!$B$3:$B$5001,T$114,BD!$A$3:$A$5001,"&gt;="&amp;$C$7,BD!$A$3:$A$5001,"&lt;="&amp;$B139,BD!$K$3:$K$5001,"&lt;&gt;")=0,"",SUMIFS(BD!$K$3:$K$5001,BD!$B$3:$B$5001,T$114,BD!$A$3:$A$5001,_xlfn.MAXIFS(BD!$A$3:$A$5001,BD!$B$3:$B$5001,T$114,BD!$A$3:$A$5001,"&gt;="&amp;$C$7,BD!$A$3:$A$5001,"&lt;="&amp;$B139,BD!$K$3:$K$5001,"&lt;&gt;"))))</f>
        <v/>
      </c>
      <c r="U139" s="43" t="str">
        <f>IF(OR($B139="",$A139&gt;$B$9,U$114=""),"",IF(COUNTIFS(BD!$B$3:$B$5001,U$114,BD!$A$3:$A$5001,"&gt;="&amp;$C$7,BD!$A$3:$A$5001,"&lt;="&amp;$B139,BD!$K$3:$K$5001,"&lt;&gt;")=0,"",SUMIFS(BD!$K$3:$K$5001,BD!$B$3:$B$5001,U$114,BD!$A$3:$A$5001,_xlfn.MAXIFS(BD!$A$3:$A$5001,BD!$B$3:$B$5001,U$114,BD!$A$3:$A$5001,"&gt;="&amp;$C$7,BD!$A$3:$A$5001,"&lt;="&amp;$B139,BD!$K$3:$K$5001,"&lt;&gt;"))))</f>
        <v/>
      </c>
      <c r="V139" s="43" t="str">
        <f>IF(OR($B139="",$A139&gt;$B$9,V$114=""),"",IF(COUNTIFS(BD!$B$3:$B$5001,V$114,BD!$A$3:$A$5001,"&gt;="&amp;$C$7,BD!$A$3:$A$5001,"&lt;="&amp;$B139,BD!$K$3:$K$5001,"&lt;&gt;")=0,"",SUMIFS(BD!$K$3:$K$5001,BD!$B$3:$B$5001,V$114,BD!$A$3:$A$5001,_xlfn.MAXIFS(BD!$A$3:$A$5001,BD!$B$3:$B$5001,V$114,BD!$A$3:$A$5001,"&gt;="&amp;$C$7,BD!$A$3:$A$5001,"&lt;="&amp;$B139,BD!$K$3:$K$5001,"&lt;&gt;"))))</f>
        <v/>
      </c>
    </row>
    <row r="140">
      <c r="A140" s="38">
        <v>26</v>
      </c>
      <c r="B140" s="42">
        <f>$B$37</f>
        <v>46321</v>
      </c>
      <c r="C140" s="43" t="str">
        <f>IF(OR($B140="",$A140&gt;$B$9,C$114=""),"",IF(COUNTIFS(BD!$B$3:$B$5001,C$114,BD!$A$3:$A$5001,"&gt;="&amp;$C$7,BD!$A$3:$A$5001,"&lt;="&amp;$B140,BD!$K$3:$K$5001,"&lt;&gt;")=0,"",SUMIFS(BD!$K$3:$K$5001,BD!$B$3:$B$5001,C$114,BD!$A$3:$A$5001,_xlfn.MAXIFS(BD!$A$3:$A$5001,BD!$B$3:$B$5001,C$114,BD!$A$3:$A$5001,"&gt;="&amp;$C$7,BD!$A$3:$A$5001,"&lt;="&amp;$B140,BD!$K$3:$K$5001,"&lt;&gt;"))))</f>
        <v/>
      </c>
      <c r="D140" s="43" t="str">
        <f>IF(OR($B140="",$A140&gt;$B$9,D$114=""),"",IF(COUNTIFS(BD!$B$3:$B$5001,D$114,BD!$A$3:$A$5001,"&gt;="&amp;$C$7,BD!$A$3:$A$5001,"&lt;="&amp;$B140,BD!$K$3:$K$5001,"&lt;&gt;")=0,"",SUMIFS(BD!$K$3:$K$5001,BD!$B$3:$B$5001,D$114,BD!$A$3:$A$5001,_xlfn.MAXIFS(BD!$A$3:$A$5001,BD!$B$3:$B$5001,D$114,BD!$A$3:$A$5001,"&gt;="&amp;$C$7,BD!$A$3:$A$5001,"&lt;="&amp;$B140,BD!$K$3:$K$5001,"&lt;&gt;"))))</f>
        <v/>
      </c>
      <c r="E140" s="43" t="str">
        <f>IF(OR($B140="",$A140&gt;$B$9,E$114=""),"",IF(COUNTIFS(BD!$B$3:$B$5001,E$114,BD!$A$3:$A$5001,"&gt;="&amp;$C$7,BD!$A$3:$A$5001,"&lt;="&amp;$B140,BD!$K$3:$K$5001,"&lt;&gt;")=0,"",SUMIFS(BD!$K$3:$K$5001,BD!$B$3:$B$5001,E$114,BD!$A$3:$A$5001,_xlfn.MAXIFS(BD!$A$3:$A$5001,BD!$B$3:$B$5001,E$114,BD!$A$3:$A$5001,"&gt;="&amp;$C$7,BD!$A$3:$A$5001,"&lt;="&amp;$B140,BD!$K$3:$K$5001,"&lt;&gt;"))))</f>
        <v/>
      </c>
      <c r="F140" s="43" t="str">
        <f>IF(OR($B140="",$A140&gt;$B$9,F$114=""),"",IF(COUNTIFS(BD!$B$3:$B$5001,F$114,BD!$A$3:$A$5001,"&gt;="&amp;$C$7,BD!$A$3:$A$5001,"&lt;="&amp;$B140,BD!$K$3:$K$5001,"&lt;&gt;")=0,"",SUMIFS(BD!$K$3:$K$5001,BD!$B$3:$B$5001,F$114,BD!$A$3:$A$5001,_xlfn.MAXIFS(BD!$A$3:$A$5001,BD!$B$3:$B$5001,F$114,BD!$A$3:$A$5001,"&gt;="&amp;$C$7,BD!$A$3:$A$5001,"&lt;="&amp;$B140,BD!$K$3:$K$5001,"&lt;&gt;"))))</f>
        <v/>
      </c>
      <c r="G140" s="43" t="str">
        <f>IF(OR($B140="",$A140&gt;$B$9,G$114=""),"",IF(COUNTIFS(BD!$B$3:$B$5001,G$114,BD!$A$3:$A$5001,"&gt;="&amp;$C$7,BD!$A$3:$A$5001,"&lt;="&amp;$B140,BD!$K$3:$K$5001,"&lt;&gt;")=0,"",SUMIFS(BD!$K$3:$K$5001,BD!$B$3:$B$5001,G$114,BD!$A$3:$A$5001,_xlfn.MAXIFS(BD!$A$3:$A$5001,BD!$B$3:$B$5001,G$114,BD!$A$3:$A$5001,"&gt;="&amp;$C$7,BD!$A$3:$A$5001,"&lt;="&amp;$B140,BD!$K$3:$K$5001,"&lt;&gt;"))))</f>
        <v/>
      </c>
      <c r="H140" s="43" t="str">
        <f>IF(OR($B140="",$A140&gt;$B$9,H$114=""),"",IF(COUNTIFS(BD!$B$3:$B$5001,H$114,BD!$A$3:$A$5001,"&gt;="&amp;$C$7,BD!$A$3:$A$5001,"&lt;="&amp;$B140,BD!$K$3:$K$5001,"&lt;&gt;")=0,"",SUMIFS(BD!$K$3:$K$5001,BD!$B$3:$B$5001,H$114,BD!$A$3:$A$5001,_xlfn.MAXIFS(BD!$A$3:$A$5001,BD!$B$3:$B$5001,H$114,BD!$A$3:$A$5001,"&gt;="&amp;$C$7,BD!$A$3:$A$5001,"&lt;="&amp;$B140,BD!$K$3:$K$5001,"&lt;&gt;"))))</f>
        <v/>
      </c>
      <c r="I140" s="43" t="str">
        <f>IF(OR($B140="",$A140&gt;$B$9,I$114=""),"",IF(COUNTIFS(BD!$B$3:$B$5001,I$114,BD!$A$3:$A$5001,"&gt;="&amp;$C$7,BD!$A$3:$A$5001,"&lt;="&amp;$B140,BD!$K$3:$K$5001,"&lt;&gt;")=0,"",SUMIFS(BD!$K$3:$K$5001,BD!$B$3:$B$5001,I$114,BD!$A$3:$A$5001,_xlfn.MAXIFS(BD!$A$3:$A$5001,BD!$B$3:$B$5001,I$114,BD!$A$3:$A$5001,"&gt;="&amp;$C$7,BD!$A$3:$A$5001,"&lt;="&amp;$B140,BD!$K$3:$K$5001,"&lt;&gt;"))))</f>
        <v/>
      </c>
      <c r="J140" s="43" t="str">
        <f>IF(OR($B140="",$A140&gt;$B$9,J$114=""),"",IF(COUNTIFS(BD!$B$3:$B$5001,J$114,BD!$A$3:$A$5001,"&gt;="&amp;$C$7,BD!$A$3:$A$5001,"&lt;="&amp;$B140,BD!$K$3:$K$5001,"&lt;&gt;")=0,"",SUMIFS(BD!$K$3:$K$5001,BD!$B$3:$B$5001,J$114,BD!$A$3:$A$5001,_xlfn.MAXIFS(BD!$A$3:$A$5001,BD!$B$3:$B$5001,J$114,BD!$A$3:$A$5001,"&gt;="&amp;$C$7,BD!$A$3:$A$5001,"&lt;="&amp;$B140,BD!$K$3:$K$5001,"&lt;&gt;"))))</f>
        <v/>
      </c>
      <c r="K140" s="43" t="str">
        <f>IF(OR($B140="",$A140&gt;$B$9,K$114=""),"",IF(COUNTIFS(BD!$B$3:$B$5001,K$114,BD!$A$3:$A$5001,"&gt;="&amp;$C$7,BD!$A$3:$A$5001,"&lt;="&amp;$B140,BD!$K$3:$K$5001,"&lt;&gt;")=0,"",SUMIFS(BD!$K$3:$K$5001,BD!$B$3:$B$5001,K$114,BD!$A$3:$A$5001,_xlfn.MAXIFS(BD!$A$3:$A$5001,BD!$B$3:$B$5001,K$114,BD!$A$3:$A$5001,"&gt;="&amp;$C$7,BD!$A$3:$A$5001,"&lt;="&amp;$B140,BD!$K$3:$K$5001,"&lt;&gt;"))))</f>
        <v/>
      </c>
      <c r="L140" s="43" t="str">
        <f>IF(OR($B140="",$A140&gt;$B$9,L$114=""),"",IF(COUNTIFS(BD!$B$3:$B$5001,L$114,BD!$A$3:$A$5001,"&gt;="&amp;$C$7,BD!$A$3:$A$5001,"&lt;="&amp;$B140,BD!$K$3:$K$5001,"&lt;&gt;")=0,"",SUMIFS(BD!$K$3:$K$5001,BD!$B$3:$B$5001,L$114,BD!$A$3:$A$5001,_xlfn.MAXIFS(BD!$A$3:$A$5001,BD!$B$3:$B$5001,L$114,BD!$A$3:$A$5001,"&gt;="&amp;$C$7,BD!$A$3:$A$5001,"&lt;="&amp;$B140,BD!$K$3:$K$5001,"&lt;&gt;"))))</f>
        <v/>
      </c>
      <c r="M140" s="43" t="str">
        <f>IF(OR($B140="",$A140&gt;$B$9,M$114=""),"",IF(COUNTIFS(BD!$B$3:$B$5001,M$114,BD!$A$3:$A$5001,"&gt;="&amp;$C$7,BD!$A$3:$A$5001,"&lt;="&amp;$B140,BD!$K$3:$K$5001,"&lt;&gt;")=0,"",SUMIFS(BD!$K$3:$K$5001,BD!$B$3:$B$5001,M$114,BD!$A$3:$A$5001,_xlfn.MAXIFS(BD!$A$3:$A$5001,BD!$B$3:$B$5001,M$114,BD!$A$3:$A$5001,"&gt;="&amp;$C$7,BD!$A$3:$A$5001,"&lt;="&amp;$B140,BD!$K$3:$K$5001,"&lt;&gt;"))))</f>
        <v/>
      </c>
      <c r="N140" s="43" t="str">
        <f>IF(OR($B140="",$A140&gt;$B$9,N$114=""),"",IF(COUNTIFS(BD!$B$3:$B$5001,N$114,BD!$A$3:$A$5001,"&gt;="&amp;$C$7,BD!$A$3:$A$5001,"&lt;="&amp;$B140,BD!$K$3:$K$5001,"&lt;&gt;")=0,"",SUMIFS(BD!$K$3:$K$5001,BD!$B$3:$B$5001,N$114,BD!$A$3:$A$5001,_xlfn.MAXIFS(BD!$A$3:$A$5001,BD!$B$3:$B$5001,N$114,BD!$A$3:$A$5001,"&gt;="&amp;$C$7,BD!$A$3:$A$5001,"&lt;="&amp;$B140,BD!$K$3:$K$5001,"&lt;&gt;"))))</f>
        <v/>
      </c>
      <c r="O140" s="43" t="str">
        <f>IF(OR($B140="",$A140&gt;$B$9,O$114=""),"",IF(COUNTIFS(BD!$B$3:$B$5001,O$114,BD!$A$3:$A$5001,"&gt;="&amp;$C$7,BD!$A$3:$A$5001,"&lt;="&amp;$B140,BD!$K$3:$K$5001,"&lt;&gt;")=0,"",SUMIFS(BD!$K$3:$K$5001,BD!$B$3:$B$5001,O$114,BD!$A$3:$A$5001,_xlfn.MAXIFS(BD!$A$3:$A$5001,BD!$B$3:$B$5001,O$114,BD!$A$3:$A$5001,"&gt;="&amp;$C$7,BD!$A$3:$A$5001,"&lt;="&amp;$B140,BD!$K$3:$K$5001,"&lt;&gt;"))))</f>
        <v/>
      </c>
      <c r="P140" s="43" t="str">
        <f>IF(OR($B140="",$A140&gt;$B$9,P$114=""),"",IF(COUNTIFS(BD!$B$3:$B$5001,P$114,BD!$A$3:$A$5001,"&gt;="&amp;$C$7,BD!$A$3:$A$5001,"&lt;="&amp;$B140,BD!$K$3:$K$5001,"&lt;&gt;")=0,"",SUMIFS(BD!$K$3:$K$5001,BD!$B$3:$B$5001,P$114,BD!$A$3:$A$5001,_xlfn.MAXIFS(BD!$A$3:$A$5001,BD!$B$3:$B$5001,P$114,BD!$A$3:$A$5001,"&gt;="&amp;$C$7,BD!$A$3:$A$5001,"&lt;="&amp;$B140,BD!$K$3:$K$5001,"&lt;&gt;"))))</f>
        <v/>
      </c>
      <c r="Q140" s="43" t="str">
        <f>IF(OR($B140="",$A140&gt;$B$9,Q$114=""),"",IF(COUNTIFS(BD!$B$3:$B$5001,Q$114,BD!$A$3:$A$5001,"&gt;="&amp;$C$7,BD!$A$3:$A$5001,"&lt;="&amp;$B140,BD!$K$3:$K$5001,"&lt;&gt;")=0,"",SUMIFS(BD!$K$3:$K$5001,BD!$B$3:$B$5001,Q$114,BD!$A$3:$A$5001,_xlfn.MAXIFS(BD!$A$3:$A$5001,BD!$B$3:$B$5001,Q$114,BD!$A$3:$A$5001,"&gt;="&amp;$C$7,BD!$A$3:$A$5001,"&lt;="&amp;$B140,BD!$K$3:$K$5001,"&lt;&gt;"))))</f>
        <v/>
      </c>
      <c r="R140" s="43" t="str">
        <f>IF(OR($B140="",$A140&gt;$B$9,R$114=""),"",IF(COUNTIFS(BD!$B$3:$B$5001,R$114,BD!$A$3:$A$5001,"&gt;="&amp;$C$7,BD!$A$3:$A$5001,"&lt;="&amp;$B140,BD!$K$3:$K$5001,"&lt;&gt;")=0,"",SUMIFS(BD!$K$3:$K$5001,BD!$B$3:$B$5001,R$114,BD!$A$3:$A$5001,_xlfn.MAXIFS(BD!$A$3:$A$5001,BD!$B$3:$B$5001,R$114,BD!$A$3:$A$5001,"&gt;="&amp;$C$7,BD!$A$3:$A$5001,"&lt;="&amp;$B140,BD!$K$3:$K$5001,"&lt;&gt;"))))</f>
        <v/>
      </c>
      <c r="S140" s="43" t="str">
        <f>IF(OR($B140="",$A140&gt;$B$9,S$114=""),"",IF(COUNTIFS(BD!$B$3:$B$5001,S$114,BD!$A$3:$A$5001,"&gt;="&amp;$C$7,BD!$A$3:$A$5001,"&lt;="&amp;$B140,BD!$K$3:$K$5001,"&lt;&gt;")=0,"",SUMIFS(BD!$K$3:$K$5001,BD!$B$3:$B$5001,S$114,BD!$A$3:$A$5001,_xlfn.MAXIFS(BD!$A$3:$A$5001,BD!$B$3:$B$5001,S$114,BD!$A$3:$A$5001,"&gt;="&amp;$C$7,BD!$A$3:$A$5001,"&lt;="&amp;$B140,BD!$K$3:$K$5001,"&lt;&gt;"))))</f>
        <v/>
      </c>
      <c r="T140" s="43" t="str">
        <f>IF(OR($B140="",$A140&gt;$B$9,T$114=""),"",IF(COUNTIFS(BD!$B$3:$B$5001,T$114,BD!$A$3:$A$5001,"&gt;="&amp;$C$7,BD!$A$3:$A$5001,"&lt;="&amp;$B140,BD!$K$3:$K$5001,"&lt;&gt;")=0,"",SUMIFS(BD!$K$3:$K$5001,BD!$B$3:$B$5001,T$114,BD!$A$3:$A$5001,_xlfn.MAXIFS(BD!$A$3:$A$5001,BD!$B$3:$B$5001,T$114,BD!$A$3:$A$5001,"&gt;="&amp;$C$7,BD!$A$3:$A$5001,"&lt;="&amp;$B140,BD!$K$3:$K$5001,"&lt;&gt;"))))</f>
        <v/>
      </c>
      <c r="U140" s="43" t="str">
        <f>IF(OR($B140="",$A140&gt;$B$9,U$114=""),"",IF(COUNTIFS(BD!$B$3:$B$5001,U$114,BD!$A$3:$A$5001,"&gt;="&amp;$C$7,BD!$A$3:$A$5001,"&lt;="&amp;$B140,BD!$K$3:$K$5001,"&lt;&gt;")=0,"",SUMIFS(BD!$K$3:$K$5001,BD!$B$3:$B$5001,U$114,BD!$A$3:$A$5001,_xlfn.MAXIFS(BD!$A$3:$A$5001,BD!$B$3:$B$5001,U$114,BD!$A$3:$A$5001,"&gt;="&amp;$C$7,BD!$A$3:$A$5001,"&lt;="&amp;$B140,BD!$K$3:$K$5001,"&lt;&gt;"))))</f>
        <v/>
      </c>
      <c r="V140" s="43" t="str">
        <f>IF(OR($B140="",$A140&gt;$B$9,V$114=""),"",IF(COUNTIFS(BD!$B$3:$B$5001,V$114,BD!$A$3:$A$5001,"&gt;="&amp;$C$7,BD!$A$3:$A$5001,"&lt;="&amp;$B140,BD!$K$3:$K$5001,"&lt;&gt;")=0,"",SUMIFS(BD!$K$3:$K$5001,BD!$B$3:$B$5001,V$114,BD!$A$3:$A$5001,_xlfn.MAXIFS(BD!$A$3:$A$5001,BD!$B$3:$B$5001,V$114,BD!$A$3:$A$5001,"&gt;="&amp;$C$7,BD!$A$3:$A$5001,"&lt;="&amp;$B140,BD!$K$3:$K$5001,"&lt;&gt;"))))</f>
        <v/>
      </c>
    </row>
    <row r="141">
      <c r="A141" s="38">
        <v>27</v>
      </c>
      <c r="B141" s="42">
        <f>$B$38</f>
        <v>46322</v>
      </c>
      <c r="C141" s="43" t="str">
        <f>IF(OR($B141="",$A141&gt;$B$9,C$114=""),"",IF(COUNTIFS(BD!$B$3:$B$5001,C$114,BD!$A$3:$A$5001,"&gt;="&amp;$C$7,BD!$A$3:$A$5001,"&lt;="&amp;$B141,BD!$K$3:$K$5001,"&lt;&gt;")=0,"",SUMIFS(BD!$K$3:$K$5001,BD!$B$3:$B$5001,C$114,BD!$A$3:$A$5001,_xlfn.MAXIFS(BD!$A$3:$A$5001,BD!$B$3:$B$5001,C$114,BD!$A$3:$A$5001,"&gt;="&amp;$C$7,BD!$A$3:$A$5001,"&lt;="&amp;$B141,BD!$K$3:$K$5001,"&lt;&gt;"))))</f>
        <v/>
      </c>
      <c r="D141" s="43" t="str">
        <f>IF(OR($B141="",$A141&gt;$B$9,D$114=""),"",IF(COUNTIFS(BD!$B$3:$B$5001,D$114,BD!$A$3:$A$5001,"&gt;="&amp;$C$7,BD!$A$3:$A$5001,"&lt;="&amp;$B141,BD!$K$3:$K$5001,"&lt;&gt;")=0,"",SUMIFS(BD!$K$3:$K$5001,BD!$B$3:$B$5001,D$114,BD!$A$3:$A$5001,_xlfn.MAXIFS(BD!$A$3:$A$5001,BD!$B$3:$B$5001,D$114,BD!$A$3:$A$5001,"&gt;="&amp;$C$7,BD!$A$3:$A$5001,"&lt;="&amp;$B141,BD!$K$3:$K$5001,"&lt;&gt;"))))</f>
        <v/>
      </c>
      <c r="E141" s="43" t="str">
        <f>IF(OR($B141="",$A141&gt;$B$9,E$114=""),"",IF(COUNTIFS(BD!$B$3:$B$5001,E$114,BD!$A$3:$A$5001,"&gt;="&amp;$C$7,BD!$A$3:$A$5001,"&lt;="&amp;$B141,BD!$K$3:$K$5001,"&lt;&gt;")=0,"",SUMIFS(BD!$K$3:$K$5001,BD!$B$3:$B$5001,E$114,BD!$A$3:$A$5001,_xlfn.MAXIFS(BD!$A$3:$A$5001,BD!$B$3:$B$5001,E$114,BD!$A$3:$A$5001,"&gt;="&amp;$C$7,BD!$A$3:$A$5001,"&lt;="&amp;$B141,BD!$K$3:$K$5001,"&lt;&gt;"))))</f>
        <v/>
      </c>
      <c r="F141" s="43" t="str">
        <f>IF(OR($B141="",$A141&gt;$B$9,F$114=""),"",IF(COUNTIFS(BD!$B$3:$B$5001,F$114,BD!$A$3:$A$5001,"&gt;="&amp;$C$7,BD!$A$3:$A$5001,"&lt;="&amp;$B141,BD!$K$3:$K$5001,"&lt;&gt;")=0,"",SUMIFS(BD!$K$3:$K$5001,BD!$B$3:$B$5001,F$114,BD!$A$3:$A$5001,_xlfn.MAXIFS(BD!$A$3:$A$5001,BD!$B$3:$B$5001,F$114,BD!$A$3:$A$5001,"&gt;="&amp;$C$7,BD!$A$3:$A$5001,"&lt;="&amp;$B141,BD!$K$3:$K$5001,"&lt;&gt;"))))</f>
        <v/>
      </c>
      <c r="G141" s="43" t="str">
        <f>IF(OR($B141="",$A141&gt;$B$9,G$114=""),"",IF(COUNTIFS(BD!$B$3:$B$5001,G$114,BD!$A$3:$A$5001,"&gt;="&amp;$C$7,BD!$A$3:$A$5001,"&lt;="&amp;$B141,BD!$K$3:$K$5001,"&lt;&gt;")=0,"",SUMIFS(BD!$K$3:$K$5001,BD!$B$3:$B$5001,G$114,BD!$A$3:$A$5001,_xlfn.MAXIFS(BD!$A$3:$A$5001,BD!$B$3:$B$5001,G$114,BD!$A$3:$A$5001,"&gt;="&amp;$C$7,BD!$A$3:$A$5001,"&lt;="&amp;$B141,BD!$K$3:$K$5001,"&lt;&gt;"))))</f>
        <v/>
      </c>
      <c r="H141" s="43" t="str">
        <f>IF(OR($B141="",$A141&gt;$B$9,H$114=""),"",IF(COUNTIFS(BD!$B$3:$B$5001,H$114,BD!$A$3:$A$5001,"&gt;="&amp;$C$7,BD!$A$3:$A$5001,"&lt;="&amp;$B141,BD!$K$3:$K$5001,"&lt;&gt;")=0,"",SUMIFS(BD!$K$3:$K$5001,BD!$B$3:$B$5001,H$114,BD!$A$3:$A$5001,_xlfn.MAXIFS(BD!$A$3:$A$5001,BD!$B$3:$B$5001,H$114,BD!$A$3:$A$5001,"&gt;="&amp;$C$7,BD!$A$3:$A$5001,"&lt;="&amp;$B141,BD!$K$3:$K$5001,"&lt;&gt;"))))</f>
        <v/>
      </c>
      <c r="I141" s="43" t="str">
        <f>IF(OR($B141="",$A141&gt;$B$9,I$114=""),"",IF(COUNTIFS(BD!$B$3:$B$5001,I$114,BD!$A$3:$A$5001,"&gt;="&amp;$C$7,BD!$A$3:$A$5001,"&lt;="&amp;$B141,BD!$K$3:$K$5001,"&lt;&gt;")=0,"",SUMIFS(BD!$K$3:$K$5001,BD!$B$3:$B$5001,I$114,BD!$A$3:$A$5001,_xlfn.MAXIFS(BD!$A$3:$A$5001,BD!$B$3:$B$5001,I$114,BD!$A$3:$A$5001,"&gt;="&amp;$C$7,BD!$A$3:$A$5001,"&lt;="&amp;$B141,BD!$K$3:$K$5001,"&lt;&gt;"))))</f>
        <v/>
      </c>
      <c r="J141" s="43" t="str">
        <f>IF(OR($B141="",$A141&gt;$B$9,J$114=""),"",IF(COUNTIFS(BD!$B$3:$B$5001,J$114,BD!$A$3:$A$5001,"&gt;="&amp;$C$7,BD!$A$3:$A$5001,"&lt;="&amp;$B141,BD!$K$3:$K$5001,"&lt;&gt;")=0,"",SUMIFS(BD!$K$3:$K$5001,BD!$B$3:$B$5001,J$114,BD!$A$3:$A$5001,_xlfn.MAXIFS(BD!$A$3:$A$5001,BD!$B$3:$B$5001,J$114,BD!$A$3:$A$5001,"&gt;="&amp;$C$7,BD!$A$3:$A$5001,"&lt;="&amp;$B141,BD!$K$3:$K$5001,"&lt;&gt;"))))</f>
        <v/>
      </c>
      <c r="K141" s="43" t="str">
        <f>IF(OR($B141="",$A141&gt;$B$9,K$114=""),"",IF(COUNTIFS(BD!$B$3:$B$5001,K$114,BD!$A$3:$A$5001,"&gt;="&amp;$C$7,BD!$A$3:$A$5001,"&lt;="&amp;$B141,BD!$K$3:$K$5001,"&lt;&gt;")=0,"",SUMIFS(BD!$K$3:$K$5001,BD!$B$3:$B$5001,K$114,BD!$A$3:$A$5001,_xlfn.MAXIFS(BD!$A$3:$A$5001,BD!$B$3:$B$5001,K$114,BD!$A$3:$A$5001,"&gt;="&amp;$C$7,BD!$A$3:$A$5001,"&lt;="&amp;$B141,BD!$K$3:$K$5001,"&lt;&gt;"))))</f>
        <v/>
      </c>
      <c r="L141" s="43" t="str">
        <f>IF(OR($B141="",$A141&gt;$B$9,L$114=""),"",IF(COUNTIFS(BD!$B$3:$B$5001,L$114,BD!$A$3:$A$5001,"&gt;="&amp;$C$7,BD!$A$3:$A$5001,"&lt;="&amp;$B141,BD!$K$3:$K$5001,"&lt;&gt;")=0,"",SUMIFS(BD!$K$3:$K$5001,BD!$B$3:$B$5001,L$114,BD!$A$3:$A$5001,_xlfn.MAXIFS(BD!$A$3:$A$5001,BD!$B$3:$B$5001,L$114,BD!$A$3:$A$5001,"&gt;="&amp;$C$7,BD!$A$3:$A$5001,"&lt;="&amp;$B141,BD!$K$3:$K$5001,"&lt;&gt;"))))</f>
        <v/>
      </c>
      <c r="M141" s="43" t="str">
        <f>IF(OR($B141="",$A141&gt;$B$9,M$114=""),"",IF(COUNTIFS(BD!$B$3:$B$5001,M$114,BD!$A$3:$A$5001,"&gt;="&amp;$C$7,BD!$A$3:$A$5001,"&lt;="&amp;$B141,BD!$K$3:$K$5001,"&lt;&gt;")=0,"",SUMIFS(BD!$K$3:$K$5001,BD!$B$3:$B$5001,M$114,BD!$A$3:$A$5001,_xlfn.MAXIFS(BD!$A$3:$A$5001,BD!$B$3:$B$5001,M$114,BD!$A$3:$A$5001,"&gt;="&amp;$C$7,BD!$A$3:$A$5001,"&lt;="&amp;$B141,BD!$K$3:$K$5001,"&lt;&gt;"))))</f>
        <v/>
      </c>
      <c r="N141" s="43" t="str">
        <f>IF(OR($B141="",$A141&gt;$B$9,N$114=""),"",IF(COUNTIFS(BD!$B$3:$B$5001,N$114,BD!$A$3:$A$5001,"&gt;="&amp;$C$7,BD!$A$3:$A$5001,"&lt;="&amp;$B141,BD!$K$3:$K$5001,"&lt;&gt;")=0,"",SUMIFS(BD!$K$3:$K$5001,BD!$B$3:$B$5001,N$114,BD!$A$3:$A$5001,_xlfn.MAXIFS(BD!$A$3:$A$5001,BD!$B$3:$B$5001,N$114,BD!$A$3:$A$5001,"&gt;="&amp;$C$7,BD!$A$3:$A$5001,"&lt;="&amp;$B141,BD!$K$3:$K$5001,"&lt;&gt;"))))</f>
        <v/>
      </c>
      <c r="O141" s="43" t="str">
        <f>IF(OR($B141="",$A141&gt;$B$9,O$114=""),"",IF(COUNTIFS(BD!$B$3:$B$5001,O$114,BD!$A$3:$A$5001,"&gt;="&amp;$C$7,BD!$A$3:$A$5001,"&lt;="&amp;$B141,BD!$K$3:$K$5001,"&lt;&gt;")=0,"",SUMIFS(BD!$K$3:$K$5001,BD!$B$3:$B$5001,O$114,BD!$A$3:$A$5001,_xlfn.MAXIFS(BD!$A$3:$A$5001,BD!$B$3:$B$5001,O$114,BD!$A$3:$A$5001,"&gt;="&amp;$C$7,BD!$A$3:$A$5001,"&lt;="&amp;$B141,BD!$K$3:$K$5001,"&lt;&gt;"))))</f>
        <v/>
      </c>
      <c r="P141" s="43" t="str">
        <f>IF(OR($B141="",$A141&gt;$B$9,P$114=""),"",IF(COUNTIFS(BD!$B$3:$B$5001,P$114,BD!$A$3:$A$5001,"&gt;="&amp;$C$7,BD!$A$3:$A$5001,"&lt;="&amp;$B141,BD!$K$3:$K$5001,"&lt;&gt;")=0,"",SUMIFS(BD!$K$3:$K$5001,BD!$B$3:$B$5001,P$114,BD!$A$3:$A$5001,_xlfn.MAXIFS(BD!$A$3:$A$5001,BD!$B$3:$B$5001,P$114,BD!$A$3:$A$5001,"&gt;="&amp;$C$7,BD!$A$3:$A$5001,"&lt;="&amp;$B141,BD!$K$3:$K$5001,"&lt;&gt;"))))</f>
        <v/>
      </c>
      <c r="Q141" s="43" t="str">
        <f>IF(OR($B141="",$A141&gt;$B$9,Q$114=""),"",IF(COUNTIFS(BD!$B$3:$B$5001,Q$114,BD!$A$3:$A$5001,"&gt;="&amp;$C$7,BD!$A$3:$A$5001,"&lt;="&amp;$B141,BD!$K$3:$K$5001,"&lt;&gt;")=0,"",SUMIFS(BD!$K$3:$K$5001,BD!$B$3:$B$5001,Q$114,BD!$A$3:$A$5001,_xlfn.MAXIFS(BD!$A$3:$A$5001,BD!$B$3:$B$5001,Q$114,BD!$A$3:$A$5001,"&gt;="&amp;$C$7,BD!$A$3:$A$5001,"&lt;="&amp;$B141,BD!$K$3:$K$5001,"&lt;&gt;"))))</f>
        <v/>
      </c>
      <c r="R141" s="43" t="str">
        <f>IF(OR($B141="",$A141&gt;$B$9,R$114=""),"",IF(COUNTIFS(BD!$B$3:$B$5001,R$114,BD!$A$3:$A$5001,"&gt;="&amp;$C$7,BD!$A$3:$A$5001,"&lt;="&amp;$B141,BD!$K$3:$K$5001,"&lt;&gt;")=0,"",SUMIFS(BD!$K$3:$K$5001,BD!$B$3:$B$5001,R$114,BD!$A$3:$A$5001,_xlfn.MAXIFS(BD!$A$3:$A$5001,BD!$B$3:$B$5001,R$114,BD!$A$3:$A$5001,"&gt;="&amp;$C$7,BD!$A$3:$A$5001,"&lt;="&amp;$B141,BD!$K$3:$K$5001,"&lt;&gt;"))))</f>
        <v/>
      </c>
      <c r="S141" s="43" t="str">
        <f>IF(OR($B141="",$A141&gt;$B$9,S$114=""),"",IF(COUNTIFS(BD!$B$3:$B$5001,S$114,BD!$A$3:$A$5001,"&gt;="&amp;$C$7,BD!$A$3:$A$5001,"&lt;="&amp;$B141,BD!$K$3:$K$5001,"&lt;&gt;")=0,"",SUMIFS(BD!$K$3:$K$5001,BD!$B$3:$B$5001,S$114,BD!$A$3:$A$5001,_xlfn.MAXIFS(BD!$A$3:$A$5001,BD!$B$3:$B$5001,S$114,BD!$A$3:$A$5001,"&gt;="&amp;$C$7,BD!$A$3:$A$5001,"&lt;="&amp;$B141,BD!$K$3:$K$5001,"&lt;&gt;"))))</f>
        <v/>
      </c>
      <c r="T141" s="43" t="str">
        <f>IF(OR($B141="",$A141&gt;$B$9,T$114=""),"",IF(COUNTIFS(BD!$B$3:$B$5001,T$114,BD!$A$3:$A$5001,"&gt;="&amp;$C$7,BD!$A$3:$A$5001,"&lt;="&amp;$B141,BD!$K$3:$K$5001,"&lt;&gt;")=0,"",SUMIFS(BD!$K$3:$K$5001,BD!$B$3:$B$5001,T$114,BD!$A$3:$A$5001,_xlfn.MAXIFS(BD!$A$3:$A$5001,BD!$B$3:$B$5001,T$114,BD!$A$3:$A$5001,"&gt;="&amp;$C$7,BD!$A$3:$A$5001,"&lt;="&amp;$B141,BD!$K$3:$K$5001,"&lt;&gt;"))))</f>
        <v/>
      </c>
      <c r="U141" s="43" t="str">
        <f>IF(OR($B141="",$A141&gt;$B$9,U$114=""),"",IF(COUNTIFS(BD!$B$3:$B$5001,U$114,BD!$A$3:$A$5001,"&gt;="&amp;$C$7,BD!$A$3:$A$5001,"&lt;="&amp;$B141,BD!$K$3:$K$5001,"&lt;&gt;")=0,"",SUMIFS(BD!$K$3:$K$5001,BD!$B$3:$B$5001,U$114,BD!$A$3:$A$5001,_xlfn.MAXIFS(BD!$A$3:$A$5001,BD!$B$3:$B$5001,U$114,BD!$A$3:$A$5001,"&gt;="&amp;$C$7,BD!$A$3:$A$5001,"&lt;="&amp;$B141,BD!$K$3:$K$5001,"&lt;&gt;"))))</f>
        <v/>
      </c>
      <c r="V141" s="43" t="str">
        <f>IF(OR($B141="",$A141&gt;$B$9,V$114=""),"",IF(COUNTIFS(BD!$B$3:$B$5001,V$114,BD!$A$3:$A$5001,"&gt;="&amp;$C$7,BD!$A$3:$A$5001,"&lt;="&amp;$B141,BD!$K$3:$K$5001,"&lt;&gt;")=0,"",SUMIFS(BD!$K$3:$K$5001,BD!$B$3:$B$5001,V$114,BD!$A$3:$A$5001,_xlfn.MAXIFS(BD!$A$3:$A$5001,BD!$B$3:$B$5001,V$114,BD!$A$3:$A$5001,"&gt;="&amp;$C$7,BD!$A$3:$A$5001,"&lt;="&amp;$B141,BD!$K$3:$K$5001,"&lt;&gt;"))))</f>
        <v/>
      </c>
    </row>
    <row r="142">
      <c r="A142" s="38">
        <v>28</v>
      </c>
      <c r="B142" s="42">
        <f>$B$39</f>
        <v>46323</v>
      </c>
      <c r="C142" s="43" t="str">
        <f>IF(OR($B142="",$A142&gt;$B$9,C$114=""),"",IF(COUNTIFS(BD!$B$3:$B$5001,C$114,BD!$A$3:$A$5001,"&gt;="&amp;$C$7,BD!$A$3:$A$5001,"&lt;="&amp;$B142,BD!$K$3:$K$5001,"&lt;&gt;")=0,"",SUMIFS(BD!$K$3:$K$5001,BD!$B$3:$B$5001,C$114,BD!$A$3:$A$5001,_xlfn.MAXIFS(BD!$A$3:$A$5001,BD!$B$3:$B$5001,C$114,BD!$A$3:$A$5001,"&gt;="&amp;$C$7,BD!$A$3:$A$5001,"&lt;="&amp;$B142,BD!$K$3:$K$5001,"&lt;&gt;"))))</f>
        <v/>
      </c>
      <c r="D142" s="43" t="str">
        <f>IF(OR($B142="",$A142&gt;$B$9,D$114=""),"",IF(COUNTIFS(BD!$B$3:$B$5001,D$114,BD!$A$3:$A$5001,"&gt;="&amp;$C$7,BD!$A$3:$A$5001,"&lt;="&amp;$B142,BD!$K$3:$K$5001,"&lt;&gt;")=0,"",SUMIFS(BD!$K$3:$K$5001,BD!$B$3:$B$5001,D$114,BD!$A$3:$A$5001,_xlfn.MAXIFS(BD!$A$3:$A$5001,BD!$B$3:$B$5001,D$114,BD!$A$3:$A$5001,"&gt;="&amp;$C$7,BD!$A$3:$A$5001,"&lt;="&amp;$B142,BD!$K$3:$K$5001,"&lt;&gt;"))))</f>
        <v/>
      </c>
      <c r="E142" s="43" t="str">
        <f>IF(OR($B142="",$A142&gt;$B$9,E$114=""),"",IF(COUNTIFS(BD!$B$3:$B$5001,E$114,BD!$A$3:$A$5001,"&gt;="&amp;$C$7,BD!$A$3:$A$5001,"&lt;="&amp;$B142,BD!$K$3:$K$5001,"&lt;&gt;")=0,"",SUMIFS(BD!$K$3:$K$5001,BD!$B$3:$B$5001,E$114,BD!$A$3:$A$5001,_xlfn.MAXIFS(BD!$A$3:$A$5001,BD!$B$3:$B$5001,E$114,BD!$A$3:$A$5001,"&gt;="&amp;$C$7,BD!$A$3:$A$5001,"&lt;="&amp;$B142,BD!$K$3:$K$5001,"&lt;&gt;"))))</f>
        <v/>
      </c>
      <c r="F142" s="43" t="str">
        <f>IF(OR($B142="",$A142&gt;$B$9,F$114=""),"",IF(COUNTIFS(BD!$B$3:$B$5001,F$114,BD!$A$3:$A$5001,"&gt;="&amp;$C$7,BD!$A$3:$A$5001,"&lt;="&amp;$B142,BD!$K$3:$K$5001,"&lt;&gt;")=0,"",SUMIFS(BD!$K$3:$K$5001,BD!$B$3:$B$5001,F$114,BD!$A$3:$A$5001,_xlfn.MAXIFS(BD!$A$3:$A$5001,BD!$B$3:$B$5001,F$114,BD!$A$3:$A$5001,"&gt;="&amp;$C$7,BD!$A$3:$A$5001,"&lt;="&amp;$B142,BD!$K$3:$K$5001,"&lt;&gt;"))))</f>
        <v/>
      </c>
      <c r="G142" s="43" t="str">
        <f>IF(OR($B142="",$A142&gt;$B$9,G$114=""),"",IF(COUNTIFS(BD!$B$3:$B$5001,G$114,BD!$A$3:$A$5001,"&gt;="&amp;$C$7,BD!$A$3:$A$5001,"&lt;="&amp;$B142,BD!$K$3:$K$5001,"&lt;&gt;")=0,"",SUMIFS(BD!$K$3:$K$5001,BD!$B$3:$B$5001,G$114,BD!$A$3:$A$5001,_xlfn.MAXIFS(BD!$A$3:$A$5001,BD!$B$3:$B$5001,G$114,BD!$A$3:$A$5001,"&gt;="&amp;$C$7,BD!$A$3:$A$5001,"&lt;="&amp;$B142,BD!$K$3:$K$5001,"&lt;&gt;"))))</f>
        <v/>
      </c>
      <c r="H142" s="43" t="str">
        <f>IF(OR($B142="",$A142&gt;$B$9,H$114=""),"",IF(COUNTIFS(BD!$B$3:$B$5001,H$114,BD!$A$3:$A$5001,"&gt;="&amp;$C$7,BD!$A$3:$A$5001,"&lt;="&amp;$B142,BD!$K$3:$K$5001,"&lt;&gt;")=0,"",SUMIFS(BD!$K$3:$K$5001,BD!$B$3:$B$5001,H$114,BD!$A$3:$A$5001,_xlfn.MAXIFS(BD!$A$3:$A$5001,BD!$B$3:$B$5001,H$114,BD!$A$3:$A$5001,"&gt;="&amp;$C$7,BD!$A$3:$A$5001,"&lt;="&amp;$B142,BD!$K$3:$K$5001,"&lt;&gt;"))))</f>
        <v/>
      </c>
      <c r="I142" s="43" t="str">
        <f>IF(OR($B142="",$A142&gt;$B$9,I$114=""),"",IF(COUNTIFS(BD!$B$3:$B$5001,I$114,BD!$A$3:$A$5001,"&gt;="&amp;$C$7,BD!$A$3:$A$5001,"&lt;="&amp;$B142,BD!$K$3:$K$5001,"&lt;&gt;")=0,"",SUMIFS(BD!$K$3:$K$5001,BD!$B$3:$B$5001,I$114,BD!$A$3:$A$5001,_xlfn.MAXIFS(BD!$A$3:$A$5001,BD!$B$3:$B$5001,I$114,BD!$A$3:$A$5001,"&gt;="&amp;$C$7,BD!$A$3:$A$5001,"&lt;="&amp;$B142,BD!$K$3:$K$5001,"&lt;&gt;"))))</f>
        <v/>
      </c>
      <c r="J142" s="43" t="str">
        <f>IF(OR($B142="",$A142&gt;$B$9,J$114=""),"",IF(COUNTIFS(BD!$B$3:$B$5001,J$114,BD!$A$3:$A$5001,"&gt;="&amp;$C$7,BD!$A$3:$A$5001,"&lt;="&amp;$B142,BD!$K$3:$K$5001,"&lt;&gt;")=0,"",SUMIFS(BD!$K$3:$K$5001,BD!$B$3:$B$5001,J$114,BD!$A$3:$A$5001,_xlfn.MAXIFS(BD!$A$3:$A$5001,BD!$B$3:$B$5001,J$114,BD!$A$3:$A$5001,"&gt;="&amp;$C$7,BD!$A$3:$A$5001,"&lt;="&amp;$B142,BD!$K$3:$K$5001,"&lt;&gt;"))))</f>
        <v/>
      </c>
      <c r="K142" s="43" t="str">
        <f>IF(OR($B142="",$A142&gt;$B$9,K$114=""),"",IF(COUNTIFS(BD!$B$3:$B$5001,K$114,BD!$A$3:$A$5001,"&gt;="&amp;$C$7,BD!$A$3:$A$5001,"&lt;="&amp;$B142,BD!$K$3:$K$5001,"&lt;&gt;")=0,"",SUMIFS(BD!$K$3:$K$5001,BD!$B$3:$B$5001,K$114,BD!$A$3:$A$5001,_xlfn.MAXIFS(BD!$A$3:$A$5001,BD!$B$3:$B$5001,K$114,BD!$A$3:$A$5001,"&gt;="&amp;$C$7,BD!$A$3:$A$5001,"&lt;="&amp;$B142,BD!$K$3:$K$5001,"&lt;&gt;"))))</f>
        <v/>
      </c>
      <c r="L142" s="43" t="str">
        <f>IF(OR($B142="",$A142&gt;$B$9,L$114=""),"",IF(COUNTIFS(BD!$B$3:$B$5001,L$114,BD!$A$3:$A$5001,"&gt;="&amp;$C$7,BD!$A$3:$A$5001,"&lt;="&amp;$B142,BD!$K$3:$K$5001,"&lt;&gt;")=0,"",SUMIFS(BD!$K$3:$K$5001,BD!$B$3:$B$5001,L$114,BD!$A$3:$A$5001,_xlfn.MAXIFS(BD!$A$3:$A$5001,BD!$B$3:$B$5001,L$114,BD!$A$3:$A$5001,"&gt;="&amp;$C$7,BD!$A$3:$A$5001,"&lt;="&amp;$B142,BD!$K$3:$K$5001,"&lt;&gt;"))))</f>
        <v/>
      </c>
      <c r="M142" s="43" t="str">
        <f>IF(OR($B142="",$A142&gt;$B$9,M$114=""),"",IF(COUNTIFS(BD!$B$3:$B$5001,M$114,BD!$A$3:$A$5001,"&gt;="&amp;$C$7,BD!$A$3:$A$5001,"&lt;="&amp;$B142,BD!$K$3:$K$5001,"&lt;&gt;")=0,"",SUMIFS(BD!$K$3:$K$5001,BD!$B$3:$B$5001,M$114,BD!$A$3:$A$5001,_xlfn.MAXIFS(BD!$A$3:$A$5001,BD!$B$3:$B$5001,M$114,BD!$A$3:$A$5001,"&gt;="&amp;$C$7,BD!$A$3:$A$5001,"&lt;="&amp;$B142,BD!$K$3:$K$5001,"&lt;&gt;"))))</f>
        <v/>
      </c>
      <c r="N142" s="43" t="str">
        <f>IF(OR($B142="",$A142&gt;$B$9,N$114=""),"",IF(COUNTIFS(BD!$B$3:$B$5001,N$114,BD!$A$3:$A$5001,"&gt;="&amp;$C$7,BD!$A$3:$A$5001,"&lt;="&amp;$B142,BD!$K$3:$K$5001,"&lt;&gt;")=0,"",SUMIFS(BD!$K$3:$K$5001,BD!$B$3:$B$5001,N$114,BD!$A$3:$A$5001,_xlfn.MAXIFS(BD!$A$3:$A$5001,BD!$B$3:$B$5001,N$114,BD!$A$3:$A$5001,"&gt;="&amp;$C$7,BD!$A$3:$A$5001,"&lt;="&amp;$B142,BD!$K$3:$K$5001,"&lt;&gt;"))))</f>
        <v/>
      </c>
      <c r="O142" s="43" t="str">
        <f>IF(OR($B142="",$A142&gt;$B$9,O$114=""),"",IF(COUNTIFS(BD!$B$3:$B$5001,O$114,BD!$A$3:$A$5001,"&gt;="&amp;$C$7,BD!$A$3:$A$5001,"&lt;="&amp;$B142,BD!$K$3:$K$5001,"&lt;&gt;")=0,"",SUMIFS(BD!$K$3:$K$5001,BD!$B$3:$B$5001,O$114,BD!$A$3:$A$5001,_xlfn.MAXIFS(BD!$A$3:$A$5001,BD!$B$3:$B$5001,O$114,BD!$A$3:$A$5001,"&gt;="&amp;$C$7,BD!$A$3:$A$5001,"&lt;="&amp;$B142,BD!$K$3:$K$5001,"&lt;&gt;"))))</f>
        <v/>
      </c>
      <c r="P142" s="43" t="str">
        <f>IF(OR($B142="",$A142&gt;$B$9,P$114=""),"",IF(COUNTIFS(BD!$B$3:$B$5001,P$114,BD!$A$3:$A$5001,"&gt;="&amp;$C$7,BD!$A$3:$A$5001,"&lt;="&amp;$B142,BD!$K$3:$K$5001,"&lt;&gt;")=0,"",SUMIFS(BD!$K$3:$K$5001,BD!$B$3:$B$5001,P$114,BD!$A$3:$A$5001,_xlfn.MAXIFS(BD!$A$3:$A$5001,BD!$B$3:$B$5001,P$114,BD!$A$3:$A$5001,"&gt;="&amp;$C$7,BD!$A$3:$A$5001,"&lt;="&amp;$B142,BD!$K$3:$K$5001,"&lt;&gt;"))))</f>
        <v/>
      </c>
      <c r="Q142" s="43" t="str">
        <f>IF(OR($B142="",$A142&gt;$B$9,Q$114=""),"",IF(COUNTIFS(BD!$B$3:$B$5001,Q$114,BD!$A$3:$A$5001,"&gt;="&amp;$C$7,BD!$A$3:$A$5001,"&lt;="&amp;$B142,BD!$K$3:$K$5001,"&lt;&gt;")=0,"",SUMIFS(BD!$K$3:$K$5001,BD!$B$3:$B$5001,Q$114,BD!$A$3:$A$5001,_xlfn.MAXIFS(BD!$A$3:$A$5001,BD!$B$3:$B$5001,Q$114,BD!$A$3:$A$5001,"&gt;="&amp;$C$7,BD!$A$3:$A$5001,"&lt;="&amp;$B142,BD!$K$3:$K$5001,"&lt;&gt;"))))</f>
        <v/>
      </c>
      <c r="R142" s="43" t="str">
        <f>IF(OR($B142="",$A142&gt;$B$9,R$114=""),"",IF(COUNTIFS(BD!$B$3:$B$5001,R$114,BD!$A$3:$A$5001,"&gt;="&amp;$C$7,BD!$A$3:$A$5001,"&lt;="&amp;$B142,BD!$K$3:$K$5001,"&lt;&gt;")=0,"",SUMIFS(BD!$K$3:$K$5001,BD!$B$3:$B$5001,R$114,BD!$A$3:$A$5001,_xlfn.MAXIFS(BD!$A$3:$A$5001,BD!$B$3:$B$5001,R$114,BD!$A$3:$A$5001,"&gt;="&amp;$C$7,BD!$A$3:$A$5001,"&lt;="&amp;$B142,BD!$K$3:$K$5001,"&lt;&gt;"))))</f>
        <v/>
      </c>
      <c r="S142" s="43" t="str">
        <f>IF(OR($B142="",$A142&gt;$B$9,S$114=""),"",IF(COUNTIFS(BD!$B$3:$B$5001,S$114,BD!$A$3:$A$5001,"&gt;="&amp;$C$7,BD!$A$3:$A$5001,"&lt;="&amp;$B142,BD!$K$3:$K$5001,"&lt;&gt;")=0,"",SUMIFS(BD!$K$3:$K$5001,BD!$B$3:$B$5001,S$114,BD!$A$3:$A$5001,_xlfn.MAXIFS(BD!$A$3:$A$5001,BD!$B$3:$B$5001,S$114,BD!$A$3:$A$5001,"&gt;="&amp;$C$7,BD!$A$3:$A$5001,"&lt;="&amp;$B142,BD!$K$3:$K$5001,"&lt;&gt;"))))</f>
        <v/>
      </c>
      <c r="T142" s="43" t="str">
        <f>IF(OR($B142="",$A142&gt;$B$9,T$114=""),"",IF(COUNTIFS(BD!$B$3:$B$5001,T$114,BD!$A$3:$A$5001,"&gt;="&amp;$C$7,BD!$A$3:$A$5001,"&lt;="&amp;$B142,BD!$K$3:$K$5001,"&lt;&gt;")=0,"",SUMIFS(BD!$K$3:$K$5001,BD!$B$3:$B$5001,T$114,BD!$A$3:$A$5001,_xlfn.MAXIFS(BD!$A$3:$A$5001,BD!$B$3:$B$5001,T$114,BD!$A$3:$A$5001,"&gt;="&amp;$C$7,BD!$A$3:$A$5001,"&lt;="&amp;$B142,BD!$K$3:$K$5001,"&lt;&gt;"))))</f>
        <v/>
      </c>
      <c r="U142" s="43" t="str">
        <f>IF(OR($B142="",$A142&gt;$B$9,U$114=""),"",IF(COUNTIFS(BD!$B$3:$B$5001,U$114,BD!$A$3:$A$5001,"&gt;="&amp;$C$7,BD!$A$3:$A$5001,"&lt;="&amp;$B142,BD!$K$3:$K$5001,"&lt;&gt;")=0,"",SUMIFS(BD!$K$3:$K$5001,BD!$B$3:$B$5001,U$114,BD!$A$3:$A$5001,_xlfn.MAXIFS(BD!$A$3:$A$5001,BD!$B$3:$B$5001,U$114,BD!$A$3:$A$5001,"&gt;="&amp;$C$7,BD!$A$3:$A$5001,"&lt;="&amp;$B142,BD!$K$3:$K$5001,"&lt;&gt;"))))</f>
        <v/>
      </c>
      <c r="V142" s="43" t="str">
        <f>IF(OR($B142="",$A142&gt;$B$9,V$114=""),"",IF(COUNTIFS(BD!$B$3:$B$5001,V$114,BD!$A$3:$A$5001,"&gt;="&amp;$C$7,BD!$A$3:$A$5001,"&lt;="&amp;$B142,BD!$K$3:$K$5001,"&lt;&gt;")=0,"",SUMIFS(BD!$K$3:$K$5001,BD!$B$3:$B$5001,V$114,BD!$A$3:$A$5001,_xlfn.MAXIFS(BD!$A$3:$A$5001,BD!$B$3:$B$5001,V$114,BD!$A$3:$A$5001,"&gt;="&amp;$C$7,BD!$A$3:$A$5001,"&lt;="&amp;$B142,BD!$K$3:$K$5001,"&lt;&gt;"))))</f>
        <v/>
      </c>
    </row>
    <row r="143">
      <c r="A143" s="38">
        <v>29</v>
      </c>
      <c r="B143" s="42">
        <f>$B$40</f>
        <v>46324</v>
      </c>
      <c r="C143" s="43" t="str">
        <f>IF(OR($B143="",$A143&gt;$B$9,C$114=""),"",IF(COUNTIFS(BD!$B$3:$B$5001,C$114,BD!$A$3:$A$5001,"&gt;="&amp;$C$7,BD!$A$3:$A$5001,"&lt;="&amp;$B143,BD!$K$3:$K$5001,"&lt;&gt;")=0,"",SUMIFS(BD!$K$3:$K$5001,BD!$B$3:$B$5001,C$114,BD!$A$3:$A$5001,_xlfn.MAXIFS(BD!$A$3:$A$5001,BD!$B$3:$B$5001,C$114,BD!$A$3:$A$5001,"&gt;="&amp;$C$7,BD!$A$3:$A$5001,"&lt;="&amp;$B143,BD!$K$3:$K$5001,"&lt;&gt;"))))</f>
        <v/>
      </c>
      <c r="D143" s="43" t="str">
        <f>IF(OR($B143="",$A143&gt;$B$9,D$114=""),"",IF(COUNTIFS(BD!$B$3:$B$5001,D$114,BD!$A$3:$A$5001,"&gt;="&amp;$C$7,BD!$A$3:$A$5001,"&lt;="&amp;$B143,BD!$K$3:$K$5001,"&lt;&gt;")=0,"",SUMIFS(BD!$K$3:$K$5001,BD!$B$3:$B$5001,D$114,BD!$A$3:$A$5001,_xlfn.MAXIFS(BD!$A$3:$A$5001,BD!$B$3:$B$5001,D$114,BD!$A$3:$A$5001,"&gt;="&amp;$C$7,BD!$A$3:$A$5001,"&lt;="&amp;$B143,BD!$K$3:$K$5001,"&lt;&gt;"))))</f>
        <v/>
      </c>
      <c r="E143" s="43" t="str">
        <f>IF(OR($B143="",$A143&gt;$B$9,E$114=""),"",IF(COUNTIFS(BD!$B$3:$B$5001,E$114,BD!$A$3:$A$5001,"&gt;="&amp;$C$7,BD!$A$3:$A$5001,"&lt;="&amp;$B143,BD!$K$3:$K$5001,"&lt;&gt;")=0,"",SUMIFS(BD!$K$3:$K$5001,BD!$B$3:$B$5001,E$114,BD!$A$3:$A$5001,_xlfn.MAXIFS(BD!$A$3:$A$5001,BD!$B$3:$B$5001,E$114,BD!$A$3:$A$5001,"&gt;="&amp;$C$7,BD!$A$3:$A$5001,"&lt;="&amp;$B143,BD!$K$3:$K$5001,"&lt;&gt;"))))</f>
        <v/>
      </c>
      <c r="F143" s="43" t="str">
        <f>IF(OR($B143="",$A143&gt;$B$9,F$114=""),"",IF(COUNTIFS(BD!$B$3:$B$5001,F$114,BD!$A$3:$A$5001,"&gt;="&amp;$C$7,BD!$A$3:$A$5001,"&lt;="&amp;$B143,BD!$K$3:$K$5001,"&lt;&gt;")=0,"",SUMIFS(BD!$K$3:$K$5001,BD!$B$3:$B$5001,F$114,BD!$A$3:$A$5001,_xlfn.MAXIFS(BD!$A$3:$A$5001,BD!$B$3:$B$5001,F$114,BD!$A$3:$A$5001,"&gt;="&amp;$C$7,BD!$A$3:$A$5001,"&lt;="&amp;$B143,BD!$K$3:$K$5001,"&lt;&gt;"))))</f>
        <v/>
      </c>
      <c r="G143" s="43" t="str">
        <f>IF(OR($B143="",$A143&gt;$B$9,G$114=""),"",IF(COUNTIFS(BD!$B$3:$B$5001,G$114,BD!$A$3:$A$5001,"&gt;="&amp;$C$7,BD!$A$3:$A$5001,"&lt;="&amp;$B143,BD!$K$3:$K$5001,"&lt;&gt;")=0,"",SUMIFS(BD!$K$3:$K$5001,BD!$B$3:$B$5001,G$114,BD!$A$3:$A$5001,_xlfn.MAXIFS(BD!$A$3:$A$5001,BD!$B$3:$B$5001,G$114,BD!$A$3:$A$5001,"&gt;="&amp;$C$7,BD!$A$3:$A$5001,"&lt;="&amp;$B143,BD!$K$3:$K$5001,"&lt;&gt;"))))</f>
        <v/>
      </c>
      <c r="H143" s="43" t="str">
        <f>IF(OR($B143="",$A143&gt;$B$9,H$114=""),"",IF(COUNTIFS(BD!$B$3:$B$5001,H$114,BD!$A$3:$A$5001,"&gt;="&amp;$C$7,BD!$A$3:$A$5001,"&lt;="&amp;$B143,BD!$K$3:$K$5001,"&lt;&gt;")=0,"",SUMIFS(BD!$K$3:$K$5001,BD!$B$3:$B$5001,H$114,BD!$A$3:$A$5001,_xlfn.MAXIFS(BD!$A$3:$A$5001,BD!$B$3:$B$5001,H$114,BD!$A$3:$A$5001,"&gt;="&amp;$C$7,BD!$A$3:$A$5001,"&lt;="&amp;$B143,BD!$K$3:$K$5001,"&lt;&gt;"))))</f>
        <v/>
      </c>
      <c r="I143" s="43" t="str">
        <f>IF(OR($B143="",$A143&gt;$B$9,I$114=""),"",IF(COUNTIFS(BD!$B$3:$B$5001,I$114,BD!$A$3:$A$5001,"&gt;="&amp;$C$7,BD!$A$3:$A$5001,"&lt;="&amp;$B143,BD!$K$3:$K$5001,"&lt;&gt;")=0,"",SUMIFS(BD!$K$3:$K$5001,BD!$B$3:$B$5001,I$114,BD!$A$3:$A$5001,_xlfn.MAXIFS(BD!$A$3:$A$5001,BD!$B$3:$B$5001,I$114,BD!$A$3:$A$5001,"&gt;="&amp;$C$7,BD!$A$3:$A$5001,"&lt;="&amp;$B143,BD!$K$3:$K$5001,"&lt;&gt;"))))</f>
        <v/>
      </c>
      <c r="J143" s="43" t="str">
        <f>IF(OR($B143="",$A143&gt;$B$9,J$114=""),"",IF(COUNTIFS(BD!$B$3:$B$5001,J$114,BD!$A$3:$A$5001,"&gt;="&amp;$C$7,BD!$A$3:$A$5001,"&lt;="&amp;$B143,BD!$K$3:$K$5001,"&lt;&gt;")=0,"",SUMIFS(BD!$K$3:$K$5001,BD!$B$3:$B$5001,J$114,BD!$A$3:$A$5001,_xlfn.MAXIFS(BD!$A$3:$A$5001,BD!$B$3:$B$5001,J$114,BD!$A$3:$A$5001,"&gt;="&amp;$C$7,BD!$A$3:$A$5001,"&lt;="&amp;$B143,BD!$K$3:$K$5001,"&lt;&gt;"))))</f>
        <v/>
      </c>
      <c r="K143" s="43" t="str">
        <f>IF(OR($B143="",$A143&gt;$B$9,K$114=""),"",IF(COUNTIFS(BD!$B$3:$B$5001,K$114,BD!$A$3:$A$5001,"&gt;="&amp;$C$7,BD!$A$3:$A$5001,"&lt;="&amp;$B143,BD!$K$3:$K$5001,"&lt;&gt;")=0,"",SUMIFS(BD!$K$3:$K$5001,BD!$B$3:$B$5001,K$114,BD!$A$3:$A$5001,_xlfn.MAXIFS(BD!$A$3:$A$5001,BD!$B$3:$B$5001,K$114,BD!$A$3:$A$5001,"&gt;="&amp;$C$7,BD!$A$3:$A$5001,"&lt;="&amp;$B143,BD!$K$3:$K$5001,"&lt;&gt;"))))</f>
        <v/>
      </c>
      <c r="L143" s="43" t="str">
        <f>IF(OR($B143="",$A143&gt;$B$9,L$114=""),"",IF(COUNTIFS(BD!$B$3:$B$5001,L$114,BD!$A$3:$A$5001,"&gt;="&amp;$C$7,BD!$A$3:$A$5001,"&lt;="&amp;$B143,BD!$K$3:$K$5001,"&lt;&gt;")=0,"",SUMIFS(BD!$K$3:$K$5001,BD!$B$3:$B$5001,L$114,BD!$A$3:$A$5001,_xlfn.MAXIFS(BD!$A$3:$A$5001,BD!$B$3:$B$5001,L$114,BD!$A$3:$A$5001,"&gt;="&amp;$C$7,BD!$A$3:$A$5001,"&lt;="&amp;$B143,BD!$K$3:$K$5001,"&lt;&gt;"))))</f>
        <v/>
      </c>
      <c r="M143" s="43" t="str">
        <f>IF(OR($B143="",$A143&gt;$B$9,M$114=""),"",IF(COUNTIFS(BD!$B$3:$B$5001,M$114,BD!$A$3:$A$5001,"&gt;="&amp;$C$7,BD!$A$3:$A$5001,"&lt;="&amp;$B143,BD!$K$3:$K$5001,"&lt;&gt;")=0,"",SUMIFS(BD!$K$3:$K$5001,BD!$B$3:$B$5001,M$114,BD!$A$3:$A$5001,_xlfn.MAXIFS(BD!$A$3:$A$5001,BD!$B$3:$B$5001,M$114,BD!$A$3:$A$5001,"&gt;="&amp;$C$7,BD!$A$3:$A$5001,"&lt;="&amp;$B143,BD!$K$3:$K$5001,"&lt;&gt;"))))</f>
        <v/>
      </c>
      <c r="N143" s="43" t="str">
        <f>IF(OR($B143="",$A143&gt;$B$9,N$114=""),"",IF(COUNTIFS(BD!$B$3:$B$5001,N$114,BD!$A$3:$A$5001,"&gt;="&amp;$C$7,BD!$A$3:$A$5001,"&lt;="&amp;$B143,BD!$K$3:$K$5001,"&lt;&gt;")=0,"",SUMIFS(BD!$K$3:$K$5001,BD!$B$3:$B$5001,N$114,BD!$A$3:$A$5001,_xlfn.MAXIFS(BD!$A$3:$A$5001,BD!$B$3:$B$5001,N$114,BD!$A$3:$A$5001,"&gt;="&amp;$C$7,BD!$A$3:$A$5001,"&lt;="&amp;$B143,BD!$K$3:$K$5001,"&lt;&gt;"))))</f>
        <v/>
      </c>
      <c r="O143" s="43" t="str">
        <f>IF(OR($B143="",$A143&gt;$B$9,O$114=""),"",IF(COUNTIFS(BD!$B$3:$B$5001,O$114,BD!$A$3:$A$5001,"&gt;="&amp;$C$7,BD!$A$3:$A$5001,"&lt;="&amp;$B143,BD!$K$3:$K$5001,"&lt;&gt;")=0,"",SUMIFS(BD!$K$3:$K$5001,BD!$B$3:$B$5001,O$114,BD!$A$3:$A$5001,_xlfn.MAXIFS(BD!$A$3:$A$5001,BD!$B$3:$B$5001,O$114,BD!$A$3:$A$5001,"&gt;="&amp;$C$7,BD!$A$3:$A$5001,"&lt;="&amp;$B143,BD!$K$3:$K$5001,"&lt;&gt;"))))</f>
        <v/>
      </c>
      <c r="P143" s="43" t="str">
        <f>IF(OR($B143="",$A143&gt;$B$9,P$114=""),"",IF(COUNTIFS(BD!$B$3:$B$5001,P$114,BD!$A$3:$A$5001,"&gt;="&amp;$C$7,BD!$A$3:$A$5001,"&lt;="&amp;$B143,BD!$K$3:$K$5001,"&lt;&gt;")=0,"",SUMIFS(BD!$K$3:$K$5001,BD!$B$3:$B$5001,P$114,BD!$A$3:$A$5001,_xlfn.MAXIFS(BD!$A$3:$A$5001,BD!$B$3:$B$5001,P$114,BD!$A$3:$A$5001,"&gt;="&amp;$C$7,BD!$A$3:$A$5001,"&lt;="&amp;$B143,BD!$K$3:$K$5001,"&lt;&gt;"))))</f>
        <v/>
      </c>
      <c r="Q143" s="43" t="str">
        <f>IF(OR($B143="",$A143&gt;$B$9,Q$114=""),"",IF(COUNTIFS(BD!$B$3:$B$5001,Q$114,BD!$A$3:$A$5001,"&gt;="&amp;$C$7,BD!$A$3:$A$5001,"&lt;="&amp;$B143,BD!$K$3:$K$5001,"&lt;&gt;")=0,"",SUMIFS(BD!$K$3:$K$5001,BD!$B$3:$B$5001,Q$114,BD!$A$3:$A$5001,_xlfn.MAXIFS(BD!$A$3:$A$5001,BD!$B$3:$B$5001,Q$114,BD!$A$3:$A$5001,"&gt;="&amp;$C$7,BD!$A$3:$A$5001,"&lt;="&amp;$B143,BD!$K$3:$K$5001,"&lt;&gt;"))))</f>
        <v/>
      </c>
      <c r="R143" s="43" t="str">
        <f>IF(OR($B143="",$A143&gt;$B$9,R$114=""),"",IF(COUNTIFS(BD!$B$3:$B$5001,R$114,BD!$A$3:$A$5001,"&gt;="&amp;$C$7,BD!$A$3:$A$5001,"&lt;="&amp;$B143,BD!$K$3:$K$5001,"&lt;&gt;")=0,"",SUMIFS(BD!$K$3:$K$5001,BD!$B$3:$B$5001,R$114,BD!$A$3:$A$5001,_xlfn.MAXIFS(BD!$A$3:$A$5001,BD!$B$3:$B$5001,R$114,BD!$A$3:$A$5001,"&gt;="&amp;$C$7,BD!$A$3:$A$5001,"&lt;="&amp;$B143,BD!$K$3:$K$5001,"&lt;&gt;"))))</f>
        <v/>
      </c>
      <c r="S143" s="43" t="str">
        <f>IF(OR($B143="",$A143&gt;$B$9,S$114=""),"",IF(COUNTIFS(BD!$B$3:$B$5001,S$114,BD!$A$3:$A$5001,"&gt;="&amp;$C$7,BD!$A$3:$A$5001,"&lt;="&amp;$B143,BD!$K$3:$K$5001,"&lt;&gt;")=0,"",SUMIFS(BD!$K$3:$K$5001,BD!$B$3:$B$5001,S$114,BD!$A$3:$A$5001,_xlfn.MAXIFS(BD!$A$3:$A$5001,BD!$B$3:$B$5001,S$114,BD!$A$3:$A$5001,"&gt;="&amp;$C$7,BD!$A$3:$A$5001,"&lt;="&amp;$B143,BD!$K$3:$K$5001,"&lt;&gt;"))))</f>
        <v/>
      </c>
      <c r="T143" s="43" t="str">
        <f>IF(OR($B143="",$A143&gt;$B$9,T$114=""),"",IF(COUNTIFS(BD!$B$3:$B$5001,T$114,BD!$A$3:$A$5001,"&gt;="&amp;$C$7,BD!$A$3:$A$5001,"&lt;="&amp;$B143,BD!$K$3:$K$5001,"&lt;&gt;")=0,"",SUMIFS(BD!$K$3:$K$5001,BD!$B$3:$B$5001,T$114,BD!$A$3:$A$5001,_xlfn.MAXIFS(BD!$A$3:$A$5001,BD!$B$3:$B$5001,T$114,BD!$A$3:$A$5001,"&gt;="&amp;$C$7,BD!$A$3:$A$5001,"&lt;="&amp;$B143,BD!$K$3:$K$5001,"&lt;&gt;"))))</f>
        <v/>
      </c>
      <c r="U143" s="43" t="str">
        <f>IF(OR($B143="",$A143&gt;$B$9,U$114=""),"",IF(COUNTIFS(BD!$B$3:$B$5001,U$114,BD!$A$3:$A$5001,"&gt;="&amp;$C$7,BD!$A$3:$A$5001,"&lt;="&amp;$B143,BD!$K$3:$K$5001,"&lt;&gt;")=0,"",SUMIFS(BD!$K$3:$K$5001,BD!$B$3:$B$5001,U$114,BD!$A$3:$A$5001,_xlfn.MAXIFS(BD!$A$3:$A$5001,BD!$B$3:$B$5001,U$114,BD!$A$3:$A$5001,"&gt;="&amp;$C$7,BD!$A$3:$A$5001,"&lt;="&amp;$B143,BD!$K$3:$K$5001,"&lt;&gt;"))))</f>
        <v/>
      </c>
      <c r="V143" s="43" t="str">
        <f>IF(OR($B143="",$A143&gt;$B$9,V$114=""),"",IF(COUNTIFS(BD!$B$3:$B$5001,V$114,BD!$A$3:$A$5001,"&gt;="&amp;$C$7,BD!$A$3:$A$5001,"&lt;="&amp;$B143,BD!$K$3:$K$5001,"&lt;&gt;")=0,"",SUMIFS(BD!$K$3:$K$5001,BD!$B$3:$B$5001,V$114,BD!$A$3:$A$5001,_xlfn.MAXIFS(BD!$A$3:$A$5001,BD!$B$3:$B$5001,V$114,BD!$A$3:$A$5001,"&gt;="&amp;$C$7,BD!$A$3:$A$5001,"&lt;="&amp;$B143,BD!$K$3:$K$5001,"&lt;&gt;"))))</f>
        <v/>
      </c>
    </row>
    <row r="144">
      <c r="A144" s="38">
        <v>30</v>
      </c>
      <c r="B144" s="42">
        <f>$B$41</f>
        <v>46325</v>
      </c>
      <c r="C144" s="43" t="str">
        <f>IF(OR($B144="",$A144&gt;$B$9,C$114=""),"",IF(COUNTIFS(BD!$B$3:$B$5001,C$114,BD!$A$3:$A$5001,"&gt;="&amp;$C$7,BD!$A$3:$A$5001,"&lt;="&amp;$B144,BD!$K$3:$K$5001,"&lt;&gt;")=0,"",SUMIFS(BD!$K$3:$K$5001,BD!$B$3:$B$5001,C$114,BD!$A$3:$A$5001,_xlfn.MAXIFS(BD!$A$3:$A$5001,BD!$B$3:$B$5001,C$114,BD!$A$3:$A$5001,"&gt;="&amp;$C$7,BD!$A$3:$A$5001,"&lt;="&amp;$B144,BD!$K$3:$K$5001,"&lt;&gt;"))))</f>
        <v/>
      </c>
      <c r="D144" s="43" t="str">
        <f>IF(OR($B144="",$A144&gt;$B$9,D$114=""),"",IF(COUNTIFS(BD!$B$3:$B$5001,D$114,BD!$A$3:$A$5001,"&gt;="&amp;$C$7,BD!$A$3:$A$5001,"&lt;="&amp;$B144,BD!$K$3:$K$5001,"&lt;&gt;")=0,"",SUMIFS(BD!$K$3:$K$5001,BD!$B$3:$B$5001,D$114,BD!$A$3:$A$5001,_xlfn.MAXIFS(BD!$A$3:$A$5001,BD!$B$3:$B$5001,D$114,BD!$A$3:$A$5001,"&gt;="&amp;$C$7,BD!$A$3:$A$5001,"&lt;="&amp;$B144,BD!$K$3:$K$5001,"&lt;&gt;"))))</f>
        <v/>
      </c>
      <c r="E144" s="43" t="str">
        <f>IF(OR($B144="",$A144&gt;$B$9,E$114=""),"",IF(COUNTIFS(BD!$B$3:$B$5001,E$114,BD!$A$3:$A$5001,"&gt;="&amp;$C$7,BD!$A$3:$A$5001,"&lt;="&amp;$B144,BD!$K$3:$K$5001,"&lt;&gt;")=0,"",SUMIFS(BD!$K$3:$K$5001,BD!$B$3:$B$5001,E$114,BD!$A$3:$A$5001,_xlfn.MAXIFS(BD!$A$3:$A$5001,BD!$B$3:$B$5001,E$114,BD!$A$3:$A$5001,"&gt;="&amp;$C$7,BD!$A$3:$A$5001,"&lt;="&amp;$B144,BD!$K$3:$K$5001,"&lt;&gt;"))))</f>
        <v/>
      </c>
      <c r="F144" s="43" t="str">
        <f>IF(OR($B144="",$A144&gt;$B$9,F$114=""),"",IF(COUNTIFS(BD!$B$3:$B$5001,F$114,BD!$A$3:$A$5001,"&gt;="&amp;$C$7,BD!$A$3:$A$5001,"&lt;="&amp;$B144,BD!$K$3:$K$5001,"&lt;&gt;")=0,"",SUMIFS(BD!$K$3:$K$5001,BD!$B$3:$B$5001,F$114,BD!$A$3:$A$5001,_xlfn.MAXIFS(BD!$A$3:$A$5001,BD!$B$3:$B$5001,F$114,BD!$A$3:$A$5001,"&gt;="&amp;$C$7,BD!$A$3:$A$5001,"&lt;="&amp;$B144,BD!$K$3:$K$5001,"&lt;&gt;"))))</f>
        <v/>
      </c>
      <c r="G144" s="43" t="str">
        <f>IF(OR($B144="",$A144&gt;$B$9,G$114=""),"",IF(COUNTIFS(BD!$B$3:$B$5001,G$114,BD!$A$3:$A$5001,"&gt;="&amp;$C$7,BD!$A$3:$A$5001,"&lt;="&amp;$B144,BD!$K$3:$K$5001,"&lt;&gt;")=0,"",SUMIFS(BD!$K$3:$K$5001,BD!$B$3:$B$5001,G$114,BD!$A$3:$A$5001,_xlfn.MAXIFS(BD!$A$3:$A$5001,BD!$B$3:$B$5001,G$114,BD!$A$3:$A$5001,"&gt;="&amp;$C$7,BD!$A$3:$A$5001,"&lt;="&amp;$B144,BD!$K$3:$K$5001,"&lt;&gt;"))))</f>
        <v/>
      </c>
      <c r="H144" s="43" t="str">
        <f>IF(OR($B144="",$A144&gt;$B$9,H$114=""),"",IF(COUNTIFS(BD!$B$3:$B$5001,H$114,BD!$A$3:$A$5001,"&gt;="&amp;$C$7,BD!$A$3:$A$5001,"&lt;="&amp;$B144,BD!$K$3:$K$5001,"&lt;&gt;")=0,"",SUMIFS(BD!$K$3:$K$5001,BD!$B$3:$B$5001,H$114,BD!$A$3:$A$5001,_xlfn.MAXIFS(BD!$A$3:$A$5001,BD!$B$3:$B$5001,H$114,BD!$A$3:$A$5001,"&gt;="&amp;$C$7,BD!$A$3:$A$5001,"&lt;="&amp;$B144,BD!$K$3:$K$5001,"&lt;&gt;"))))</f>
        <v/>
      </c>
      <c r="I144" s="43" t="str">
        <f>IF(OR($B144="",$A144&gt;$B$9,I$114=""),"",IF(COUNTIFS(BD!$B$3:$B$5001,I$114,BD!$A$3:$A$5001,"&gt;="&amp;$C$7,BD!$A$3:$A$5001,"&lt;="&amp;$B144,BD!$K$3:$K$5001,"&lt;&gt;")=0,"",SUMIFS(BD!$K$3:$K$5001,BD!$B$3:$B$5001,I$114,BD!$A$3:$A$5001,_xlfn.MAXIFS(BD!$A$3:$A$5001,BD!$B$3:$B$5001,I$114,BD!$A$3:$A$5001,"&gt;="&amp;$C$7,BD!$A$3:$A$5001,"&lt;="&amp;$B144,BD!$K$3:$K$5001,"&lt;&gt;"))))</f>
        <v/>
      </c>
      <c r="J144" s="43" t="str">
        <f>IF(OR($B144="",$A144&gt;$B$9,J$114=""),"",IF(COUNTIFS(BD!$B$3:$B$5001,J$114,BD!$A$3:$A$5001,"&gt;="&amp;$C$7,BD!$A$3:$A$5001,"&lt;="&amp;$B144,BD!$K$3:$K$5001,"&lt;&gt;")=0,"",SUMIFS(BD!$K$3:$K$5001,BD!$B$3:$B$5001,J$114,BD!$A$3:$A$5001,_xlfn.MAXIFS(BD!$A$3:$A$5001,BD!$B$3:$B$5001,J$114,BD!$A$3:$A$5001,"&gt;="&amp;$C$7,BD!$A$3:$A$5001,"&lt;="&amp;$B144,BD!$K$3:$K$5001,"&lt;&gt;"))))</f>
        <v/>
      </c>
      <c r="K144" s="43" t="str">
        <f>IF(OR($B144="",$A144&gt;$B$9,K$114=""),"",IF(COUNTIFS(BD!$B$3:$B$5001,K$114,BD!$A$3:$A$5001,"&gt;="&amp;$C$7,BD!$A$3:$A$5001,"&lt;="&amp;$B144,BD!$K$3:$K$5001,"&lt;&gt;")=0,"",SUMIFS(BD!$K$3:$K$5001,BD!$B$3:$B$5001,K$114,BD!$A$3:$A$5001,_xlfn.MAXIFS(BD!$A$3:$A$5001,BD!$B$3:$B$5001,K$114,BD!$A$3:$A$5001,"&gt;="&amp;$C$7,BD!$A$3:$A$5001,"&lt;="&amp;$B144,BD!$K$3:$K$5001,"&lt;&gt;"))))</f>
        <v/>
      </c>
      <c r="L144" s="43" t="str">
        <f>IF(OR($B144="",$A144&gt;$B$9,L$114=""),"",IF(COUNTIFS(BD!$B$3:$B$5001,L$114,BD!$A$3:$A$5001,"&gt;="&amp;$C$7,BD!$A$3:$A$5001,"&lt;="&amp;$B144,BD!$K$3:$K$5001,"&lt;&gt;")=0,"",SUMIFS(BD!$K$3:$K$5001,BD!$B$3:$B$5001,L$114,BD!$A$3:$A$5001,_xlfn.MAXIFS(BD!$A$3:$A$5001,BD!$B$3:$B$5001,L$114,BD!$A$3:$A$5001,"&gt;="&amp;$C$7,BD!$A$3:$A$5001,"&lt;="&amp;$B144,BD!$K$3:$K$5001,"&lt;&gt;"))))</f>
        <v/>
      </c>
      <c r="M144" s="43" t="str">
        <f>IF(OR($B144="",$A144&gt;$B$9,M$114=""),"",IF(COUNTIFS(BD!$B$3:$B$5001,M$114,BD!$A$3:$A$5001,"&gt;="&amp;$C$7,BD!$A$3:$A$5001,"&lt;="&amp;$B144,BD!$K$3:$K$5001,"&lt;&gt;")=0,"",SUMIFS(BD!$K$3:$K$5001,BD!$B$3:$B$5001,M$114,BD!$A$3:$A$5001,_xlfn.MAXIFS(BD!$A$3:$A$5001,BD!$B$3:$B$5001,M$114,BD!$A$3:$A$5001,"&gt;="&amp;$C$7,BD!$A$3:$A$5001,"&lt;="&amp;$B144,BD!$K$3:$K$5001,"&lt;&gt;"))))</f>
        <v/>
      </c>
      <c r="N144" s="43" t="str">
        <f>IF(OR($B144="",$A144&gt;$B$9,N$114=""),"",IF(COUNTIFS(BD!$B$3:$B$5001,N$114,BD!$A$3:$A$5001,"&gt;="&amp;$C$7,BD!$A$3:$A$5001,"&lt;="&amp;$B144,BD!$K$3:$K$5001,"&lt;&gt;")=0,"",SUMIFS(BD!$K$3:$K$5001,BD!$B$3:$B$5001,N$114,BD!$A$3:$A$5001,_xlfn.MAXIFS(BD!$A$3:$A$5001,BD!$B$3:$B$5001,N$114,BD!$A$3:$A$5001,"&gt;="&amp;$C$7,BD!$A$3:$A$5001,"&lt;="&amp;$B144,BD!$K$3:$K$5001,"&lt;&gt;"))))</f>
        <v/>
      </c>
      <c r="O144" s="43" t="str">
        <f>IF(OR($B144="",$A144&gt;$B$9,O$114=""),"",IF(COUNTIFS(BD!$B$3:$B$5001,O$114,BD!$A$3:$A$5001,"&gt;="&amp;$C$7,BD!$A$3:$A$5001,"&lt;="&amp;$B144,BD!$K$3:$K$5001,"&lt;&gt;")=0,"",SUMIFS(BD!$K$3:$K$5001,BD!$B$3:$B$5001,O$114,BD!$A$3:$A$5001,_xlfn.MAXIFS(BD!$A$3:$A$5001,BD!$B$3:$B$5001,O$114,BD!$A$3:$A$5001,"&gt;="&amp;$C$7,BD!$A$3:$A$5001,"&lt;="&amp;$B144,BD!$K$3:$K$5001,"&lt;&gt;"))))</f>
        <v/>
      </c>
      <c r="P144" s="43" t="str">
        <f>IF(OR($B144="",$A144&gt;$B$9,P$114=""),"",IF(COUNTIFS(BD!$B$3:$B$5001,P$114,BD!$A$3:$A$5001,"&gt;="&amp;$C$7,BD!$A$3:$A$5001,"&lt;="&amp;$B144,BD!$K$3:$K$5001,"&lt;&gt;")=0,"",SUMIFS(BD!$K$3:$K$5001,BD!$B$3:$B$5001,P$114,BD!$A$3:$A$5001,_xlfn.MAXIFS(BD!$A$3:$A$5001,BD!$B$3:$B$5001,P$114,BD!$A$3:$A$5001,"&gt;="&amp;$C$7,BD!$A$3:$A$5001,"&lt;="&amp;$B144,BD!$K$3:$K$5001,"&lt;&gt;"))))</f>
        <v/>
      </c>
      <c r="Q144" s="43" t="str">
        <f>IF(OR($B144="",$A144&gt;$B$9,Q$114=""),"",IF(COUNTIFS(BD!$B$3:$B$5001,Q$114,BD!$A$3:$A$5001,"&gt;="&amp;$C$7,BD!$A$3:$A$5001,"&lt;="&amp;$B144,BD!$K$3:$K$5001,"&lt;&gt;")=0,"",SUMIFS(BD!$K$3:$K$5001,BD!$B$3:$B$5001,Q$114,BD!$A$3:$A$5001,_xlfn.MAXIFS(BD!$A$3:$A$5001,BD!$B$3:$B$5001,Q$114,BD!$A$3:$A$5001,"&gt;="&amp;$C$7,BD!$A$3:$A$5001,"&lt;="&amp;$B144,BD!$K$3:$K$5001,"&lt;&gt;"))))</f>
        <v/>
      </c>
      <c r="R144" s="43" t="str">
        <f>IF(OR($B144="",$A144&gt;$B$9,R$114=""),"",IF(COUNTIFS(BD!$B$3:$B$5001,R$114,BD!$A$3:$A$5001,"&gt;="&amp;$C$7,BD!$A$3:$A$5001,"&lt;="&amp;$B144,BD!$K$3:$K$5001,"&lt;&gt;")=0,"",SUMIFS(BD!$K$3:$K$5001,BD!$B$3:$B$5001,R$114,BD!$A$3:$A$5001,_xlfn.MAXIFS(BD!$A$3:$A$5001,BD!$B$3:$B$5001,R$114,BD!$A$3:$A$5001,"&gt;="&amp;$C$7,BD!$A$3:$A$5001,"&lt;="&amp;$B144,BD!$K$3:$K$5001,"&lt;&gt;"))))</f>
        <v/>
      </c>
      <c r="S144" s="43" t="str">
        <f>IF(OR($B144="",$A144&gt;$B$9,S$114=""),"",IF(COUNTIFS(BD!$B$3:$B$5001,S$114,BD!$A$3:$A$5001,"&gt;="&amp;$C$7,BD!$A$3:$A$5001,"&lt;="&amp;$B144,BD!$K$3:$K$5001,"&lt;&gt;")=0,"",SUMIFS(BD!$K$3:$K$5001,BD!$B$3:$B$5001,S$114,BD!$A$3:$A$5001,_xlfn.MAXIFS(BD!$A$3:$A$5001,BD!$B$3:$B$5001,S$114,BD!$A$3:$A$5001,"&gt;="&amp;$C$7,BD!$A$3:$A$5001,"&lt;="&amp;$B144,BD!$K$3:$K$5001,"&lt;&gt;"))))</f>
        <v/>
      </c>
      <c r="T144" s="43" t="str">
        <f>IF(OR($B144="",$A144&gt;$B$9,T$114=""),"",IF(COUNTIFS(BD!$B$3:$B$5001,T$114,BD!$A$3:$A$5001,"&gt;="&amp;$C$7,BD!$A$3:$A$5001,"&lt;="&amp;$B144,BD!$K$3:$K$5001,"&lt;&gt;")=0,"",SUMIFS(BD!$K$3:$K$5001,BD!$B$3:$B$5001,T$114,BD!$A$3:$A$5001,_xlfn.MAXIFS(BD!$A$3:$A$5001,BD!$B$3:$B$5001,T$114,BD!$A$3:$A$5001,"&gt;="&amp;$C$7,BD!$A$3:$A$5001,"&lt;="&amp;$B144,BD!$K$3:$K$5001,"&lt;&gt;"))))</f>
        <v/>
      </c>
      <c r="U144" s="43" t="str">
        <f>IF(OR($B144="",$A144&gt;$B$9,U$114=""),"",IF(COUNTIFS(BD!$B$3:$B$5001,U$114,BD!$A$3:$A$5001,"&gt;="&amp;$C$7,BD!$A$3:$A$5001,"&lt;="&amp;$B144,BD!$K$3:$K$5001,"&lt;&gt;")=0,"",SUMIFS(BD!$K$3:$K$5001,BD!$B$3:$B$5001,U$114,BD!$A$3:$A$5001,_xlfn.MAXIFS(BD!$A$3:$A$5001,BD!$B$3:$B$5001,U$114,BD!$A$3:$A$5001,"&gt;="&amp;$C$7,BD!$A$3:$A$5001,"&lt;="&amp;$B144,BD!$K$3:$K$5001,"&lt;&gt;"))))</f>
        <v/>
      </c>
      <c r="V144" s="43" t="str">
        <f>IF(OR($B144="",$A144&gt;$B$9,V$114=""),"",IF(COUNTIFS(BD!$B$3:$B$5001,V$114,BD!$A$3:$A$5001,"&gt;="&amp;$C$7,BD!$A$3:$A$5001,"&lt;="&amp;$B144,BD!$K$3:$K$5001,"&lt;&gt;")=0,"",SUMIFS(BD!$K$3:$K$5001,BD!$B$3:$B$5001,V$114,BD!$A$3:$A$5001,_xlfn.MAXIFS(BD!$A$3:$A$5001,BD!$B$3:$B$5001,V$114,BD!$A$3:$A$5001,"&gt;="&amp;$C$7,BD!$A$3:$A$5001,"&lt;="&amp;$B144,BD!$K$3:$K$5001,"&lt;&gt;"))))</f>
        <v/>
      </c>
    </row>
    <row r="145">
      <c r="A145" s="38">
        <v>31</v>
      </c>
      <c r="B145" s="42">
        <f>$B$42</f>
        <v>46326</v>
      </c>
      <c r="C145" s="43" t="str">
        <f>IF(OR($B145="",$A145&gt;$B$9,C$114=""),"",IF(COUNTIFS(BD!$B$3:$B$5001,C$114,BD!$A$3:$A$5001,"&gt;="&amp;$C$7,BD!$A$3:$A$5001,"&lt;="&amp;$B145,BD!$K$3:$K$5001,"&lt;&gt;")=0,"",SUMIFS(BD!$K$3:$K$5001,BD!$B$3:$B$5001,C$114,BD!$A$3:$A$5001,_xlfn.MAXIFS(BD!$A$3:$A$5001,BD!$B$3:$B$5001,C$114,BD!$A$3:$A$5001,"&gt;="&amp;$C$7,BD!$A$3:$A$5001,"&lt;="&amp;$B145,BD!$K$3:$K$5001,"&lt;&gt;"))))</f>
        <v/>
      </c>
      <c r="D145" s="43" t="str">
        <f>IF(OR($B145="",$A145&gt;$B$9,D$114=""),"",IF(COUNTIFS(BD!$B$3:$B$5001,D$114,BD!$A$3:$A$5001,"&gt;="&amp;$C$7,BD!$A$3:$A$5001,"&lt;="&amp;$B145,BD!$K$3:$K$5001,"&lt;&gt;")=0,"",SUMIFS(BD!$K$3:$K$5001,BD!$B$3:$B$5001,D$114,BD!$A$3:$A$5001,_xlfn.MAXIFS(BD!$A$3:$A$5001,BD!$B$3:$B$5001,D$114,BD!$A$3:$A$5001,"&gt;="&amp;$C$7,BD!$A$3:$A$5001,"&lt;="&amp;$B145,BD!$K$3:$K$5001,"&lt;&gt;"))))</f>
        <v/>
      </c>
      <c r="E145" s="43" t="str">
        <f>IF(OR($B145="",$A145&gt;$B$9,E$114=""),"",IF(COUNTIFS(BD!$B$3:$B$5001,E$114,BD!$A$3:$A$5001,"&gt;="&amp;$C$7,BD!$A$3:$A$5001,"&lt;="&amp;$B145,BD!$K$3:$K$5001,"&lt;&gt;")=0,"",SUMIFS(BD!$K$3:$K$5001,BD!$B$3:$B$5001,E$114,BD!$A$3:$A$5001,_xlfn.MAXIFS(BD!$A$3:$A$5001,BD!$B$3:$B$5001,E$114,BD!$A$3:$A$5001,"&gt;="&amp;$C$7,BD!$A$3:$A$5001,"&lt;="&amp;$B145,BD!$K$3:$K$5001,"&lt;&gt;"))))</f>
        <v/>
      </c>
      <c r="F145" s="43" t="str">
        <f>IF(OR($B145="",$A145&gt;$B$9,F$114=""),"",IF(COUNTIFS(BD!$B$3:$B$5001,F$114,BD!$A$3:$A$5001,"&gt;="&amp;$C$7,BD!$A$3:$A$5001,"&lt;="&amp;$B145,BD!$K$3:$K$5001,"&lt;&gt;")=0,"",SUMIFS(BD!$K$3:$K$5001,BD!$B$3:$B$5001,F$114,BD!$A$3:$A$5001,_xlfn.MAXIFS(BD!$A$3:$A$5001,BD!$B$3:$B$5001,F$114,BD!$A$3:$A$5001,"&gt;="&amp;$C$7,BD!$A$3:$A$5001,"&lt;="&amp;$B145,BD!$K$3:$K$5001,"&lt;&gt;"))))</f>
        <v/>
      </c>
      <c r="G145" s="43" t="str">
        <f>IF(OR($B145="",$A145&gt;$B$9,G$114=""),"",IF(COUNTIFS(BD!$B$3:$B$5001,G$114,BD!$A$3:$A$5001,"&gt;="&amp;$C$7,BD!$A$3:$A$5001,"&lt;="&amp;$B145,BD!$K$3:$K$5001,"&lt;&gt;")=0,"",SUMIFS(BD!$K$3:$K$5001,BD!$B$3:$B$5001,G$114,BD!$A$3:$A$5001,_xlfn.MAXIFS(BD!$A$3:$A$5001,BD!$B$3:$B$5001,G$114,BD!$A$3:$A$5001,"&gt;="&amp;$C$7,BD!$A$3:$A$5001,"&lt;="&amp;$B145,BD!$K$3:$K$5001,"&lt;&gt;"))))</f>
        <v/>
      </c>
      <c r="H145" s="43" t="str">
        <f>IF(OR($B145="",$A145&gt;$B$9,H$114=""),"",IF(COUNTIFS(BD!$B$3:$B$5001,H$114,BD!$A$3:$A$5001,"&gt;="&amp;$C$7,BD!$A$3:$A$5001,"&lt;="&amp;$B145,BD!$K$3:$K$5001,"&lt;&gt;")=0,"",SUMIFS(BD!$K$3:$K$5001,BD!$B$3:$B$5001,H$114,BD!$A$3:$A$5001,_xlfn.MAXIFS(BD!$A$3:$A$5001,BD!$B$3:$B$5001,H$114,BD!$A$3:$A$5001,"&gt;="&amp;$C$7,BD!$A$3:$A$5001,"&lt;="&amp;$B145,BD!$K$3:$K$5001,"&lt;&gt;"))))</f>
        <v/>
      </c>
      <c r="I145" s="43" t="str">
        <f>IF(OR($B145="",$A145&gt;$B$9,I$114=""),"",IF(COUNTIFS(BD!$B$3:$B$5001,I$114,BD!$A$3:$A$5001,"&gt;="&amp;$C$7,BD!$A$3:$A$5001,"&lt;="&amp;$B145,BD!$K$3:$K$5001,"&lt;&gt;")=0,"",SUMIFS(BD!$K$3:$K$5001,BD!$B$3:$B$5001,I$114,BD!$A$3:$A$5001,_xlfn.MAXIFS(BD!$A$3:$A$5001,BD!$B$3:$B$5001,I$114,BD!$A$3:$A$5001,"&gt;="&amp;$C$7,BD!$A$3:$A$5001,"&lt;="&amp;$B145,BD!$K$3:$K$5001,"&lt;&gt;"))))</f>
        <v/>
      </c>
      <c r="J145" s="43" t="str">
        <f>IF(OR($B145="",$A145&gt;$B$9,J$114=""),"",IF(COUNTIFS(BD!$B$3:$B$5001,J$114,BD!$A$3:$A$5001,"&gt;="&amp;$C$7,BD!$A$3:$A$5001,"&lt;="&amp;$B145,BD!$K$3:$K$5001,"&lt;&gt;")=0,"",SUMIFS(BD!$K$3:$K$5001,BD!$B$3:$B$5001,J$114,BD!$A$3:$A$5001,_xlfn.MAXIFS(BD!$A$3:$A$5001,BD!$B$3:$B$5001,J$114,BD!$A$3:$A$5001,"&gt;="&amp;$C$7,BD!$A$3:$A$5001,"&lt;="&amp;$B145,BD!$K$3:$K$5001,"&lt;&gt;"))))</f>
        <v/>
      </c>
      <c r="K145" s="43" t="str">
        <f>IF(OR($B145="",$A145&gt;$B$9,K$114=""),"",IF(COUNTIFS(BD!$B$3:$B$5001,K$114,BD!$A$3:$A$5001,"&gt;="&amp;$C$7,BD!$A$3:$A$5001,"&lt;="&amp;$B145,BD!$K$3:$K$5001,"&lt;&gt;")=0,"",SUMIFS(BD!$K$3:$K$5001,BD!$B$3:$B$5001,K$114,BD!$A$3:$A$5001,_xlfn.MAXIFS(BD!$A$3:$A$5001,BD!$B$3:$B$5001,K$114,BD!$A$3:$A$5001,"&gt;="&amp;$C$7,BD!$A$3:$A$5001,"&lt;="&amp;$B145,BD!$K$3:$K$5001,"&lt;&gt;"))))</f>
        <v/>
      </c>
      <c r="L145" s="43" t="str">
        <f>IF(OR($B145="",$A145&gt;$B$9,L$114=""),"",IF(COUNTIFS(BD!$B$3:$B$5001,L$114,BD!$A$3:$A$5001,"&gt;="&amp;$C$7,BD!$A$3:$A$5001,"&lt;="&amp;$B145,BD!$K$3:$K$5001,"&lt;&gt;")=0,"",SUMIFS(BD!$K$3:$K$5001,BD!$B$3:$B$5001,L$114,BD!$A$3:$A$5001,_xlfn.MAXIFS(BD!$A$3:$A$5001,BD!$B$3:$B$5001,L$114,BD!$A$3:$A$5001,"&gt;="&amp;$C$7,BD!$A$3:$A$5001,"&lt;="&amp;$B145,BD!$K$3:$K$5001,"&lt;&gt;"))))</f>
        <v/>
      </c>
      <c r="M145" s="43" t="str">
        <f>IF(OR($B145="",$A145&gt;$B$9,M$114=""),"",IF(COUNTIFS(BD!$B$3:$B$5001,M$114,BD!$A$3:$A$5001,"&gt;="&amp;$C$7,BD!$A$3:$A$5001,"&lt;="&amp;$B145,BD!$K$3:$K$5001,"&lt;&gt;")=0,"",SUMIFS(BD!$K$3:$K$5001,BD!$B$3:$B$5001,M$114,BD!$A$3:$A$5001,_xlfn.MAXIFS(BD!$A$3:$A$5001,BD!$B$3:$B$5001,M$114,BD!$A$3:$A$5001,"&gt;="&amp;$C$7,BD!$A$3:$A$5001,"&lt;="&amp;$B145,BD!$K$3:$K$5001,"&lt;&gt;"))))</f>
        <v/>
      </c>
      <c r="N145" s="43" t="str">
        <f>IF(OR($B145="",$A145&gt;$B$9,N$114=""),"",IF(COUNTIFS(BD!$B$3:$B$5001,N$114,BD!$A$3:$A$5001,"&gt;="&amp;$C$7,BD!$A$3:$A$5001,"&lt;="&amp;$B145,BD!$K$3:$K$5001,"&lt;&gt;")=0,"",SUMIFS(BD!$K$3:$K$5001,BD!$B$3:$B$5001,N$114,BD!$A$3:$A$5001,_xlfn.MAXIFS(BD!$A$3:$A$5001,BD!$B$3:$B$5001,N$114,BD!$A$3:$A$5001,"&gt;="&amp;$C$7,BD!$A$3:$A$5001,"&lt;="&amp;$B145,BD!$K$3:$K$5001,"&lt;&gt;"))))</f>
        <v/>
      </c>
      <c r="O145" s="43" t="str">
        <f>IF(OR($B145="",$A145&gt;$B$9,O$114=""),"",IF(COUNTIFS(BD!$B$3:$B$5001,O$114,BD!$A$3:$A$5001,"&gt;="&amp;$C$7,BD!$A$3:$A$5001,"&lt;="&amp;$B145,BD!$K$3:$K$5001,"&lt;&gt;")=0,"",SUMIFS(BD!$K$3:$K$5001,BD!$B$3:$B$5001,O$114,BD!$A$3:$A$5001,_xlfn.MAXIFS(BD!$A$3:$A$5001,BD!$B$3:$B$5001,O$114,BD!$A$3:$A$5001,"&gt;="&amp;$C$7,BD!$A$3:$A$5001,"&lt;="&amp;$B145,BD!$K$3:$K$5001,"&lt;&gt;"))))</f>
        <v/>
      </c>
      <c r="P145" s="43" t="str">
        <f>IF(OR($B145="",$A145&gt;$B$9,P$114=""),"",IF(COUNTIFS(BD!$B$3:$B$5001,P$114,BD!$A$3:$A$5001,"&gt;="&amp;$C$7,BD!$A$3:$A$5001,"&lt;="&amp;$B145,BD!$K$3:$K$5001,"&lt;&gt;")=0,"",SUMIFS(BD!$K$3:$K$5001,BD!$B$3:$B$5001,P$114,BD!$A$3:$A$5001,_xlfn.MAXIFS(BD!$A$3:$A$5001,BD!$B$3:$B$5001,P$114,BD!$A$3:$A$5001,"&gt;="&amp;$C$7,BD!$A$3:$A$5001,"&lt;="&amp;$B145,BD!$K$3:$K$5001,"&lt;&gt;"))))</f>
        <v/>
      </c>
      <c r="Q145" s="43" t="str">
        <f>IF(OR($B145="",$A145&gt;$B$9,Q$114=""),"",IF(COUNTIFS(BD!$B$3:$B$5001,Q$114,BD!$A$3:$A$5001,"&gt;="&amp;$C$7,BD!$A$3:$A$5001,"&lt;="&amp;$B145,BD!$K$3:$K$5001,"&lt;&gt;")=0,"",SUMIFS(BD!$K$3:$K$5001,BD!$B$3:$B$5001,Q$114,BD!$A$3:$A$5001,_xlfn.MAXIFS(BD!$A$3:$A$5001,BD!$B$3:$B$5001,Q$114,BD!$A$3:$A$5001,"&gt;="&amp;$C$7,BD!$A$3:$A$5001,"&lt;="&amp;$B145,BD!$K$3:$K$5001,"&lt;&gt;"))))</f>
        <v/>
      </c>
      <c r="R145" s="43" t="str">
        <f>IF(OR($B145="",$A145&gt;$B$9,R$114=""),"",IF(COUNTIFS(BD!$B$3:$B$5001,R$114,BD!$A$3:$A$5001,"&gt;="&amp;$C$7,BD!$A$3:$A$5001,"&lt;="&amp;$B145,BD!$K$3:$K$5001,"&lt;&gt;")=0,"",SUMIFS(BD!$K$3:$K$5001,BD!$B$3:$B$5001,R$114,BD!$A$3:$A$5001,_xlfn.MAXIFS(BD!$A$3:$A$5001,BD!$B$3:$B$5001,R$114,BD!$A$3:$A$5001,"&gt;="&amp;$C$7,BD!$A$3:$A$5001,"&lt;="&amp;$B145,BD!$K$3:$K$5001,"&lt;&gt;"))))</f>
        <v/>
      </c>
      <c r="S145" s="43" t="str">
        <f>IF(OR($B145="",$A145&gt;$B$9,S$114=""),"",IF(COUNTIFS(BD!$B$3:$B$5001,S$114,BD!$A$3:$A$5001,"&gt;="&amp;$C$7,BD!$A$3:$A$5001,"&lt;="&amp;$B145,BD!$K$3:$K$5001,"&lt;&gt;")=0,"",SUMIFS(BD!$K$3:$K$5001,BD!$B$3:$B$5001,S$114,BD!$A$3:$A$5001,_xlfn.MAXIFS(BD!$A$3:$A$5001,BD!$B$3:$B$5001,S$114,BD!$A$3:$A$5001,"&gt;="&amp;$C$7,BD!$A$3:$A$5001,"&lt;="&amp;$B145,BD!$K$3:$K$5001,"&lt;&gt;"))))</f>
        <v/>
      </c>
      <c r="T145" s="43" t="str">
        <f>IF(OR($B145="",$A145&gt;$B$9,T$114=""),"",IF(COUNTIFS(BD!$B$3:$B$5001,T$114,BD!$A$3:$A$5001,"&gt;="&amp;$C$7,BD!$A$3:$A$5001,"&lt;="&amp;$B145,BD!$K$3:$K$5001,"&lt;&gt;")=0,"",SUMIFS(BD!$K$3:$K$5001,BD!$B$3:$B$5001,T$114,BD!$A$3:$A$5001,_xlfn.MAXIFS(BD!$A$3:$A$5001,BD!$B$3:$B$5001,T$114,BD!$A$3:$A$5001,"&gt;="&amp;$C$7,BD!$A$3:$A$5001,"&lt;="&amp;$B145,BD!$K$3:$K$5001,"&lt;&gt;"))))</f>
        <v/>
      </c>
      <c r="U145" s="43" t="str">
        <f>IF(OR($B145="",$A145&gt;$B$9,U$114=""),"",IF(COUNTIFS(BD!$B$3:$B$5001,U$114,BD!$A$3:$A$5001,"&gt;="&amp;$C$7,BD!$A$3:$A$5001,"&lt;="&amp;$B145,BD!$K$3:$K$5001,"&lt;&gt;")=0,"",SUMIFS(BD!$K$3:$K$5001,BD!$B$3:$B$5001,U$114,BD!$A$3:$A$5001,_xlfn.MAXIFS(BD!$A$3:$A$5001,BD!$B$3:$B$5001,U$114,BD!$A$3:$A$5001,"&gt;="&amp;$C$7,BD!$A$3:$A$5001,"&lt;="&amp;$B145,BD!$K$3:$K$5001,"&lt;&gt;"))))</f>
        <v/>
      </c>
      <c r="V145" s="43" t="str">
        <f>IF(OR($B145="",$A145&gt;$B$9,V$114=""),"",IF(COUNTIFS(BD!$B$3:$B$5001,V$114,BD!$A$3:$A$5001,"&gt;="&amp;$C$7,BD!$A$3:$A$5001,"&lt;="&amp;$B145,BD!$K$3:$K$5001,"&lt;&gt;")=0,"",SUMIFS(BD!$K$3:$K$5001,BD!$B$3:$B$5001,V$114,BD!$A$3:$A$5001,_xlfn.MAXIFS(BD!$A$3:$A$5001,BD!$B$3:$B$5001,V$114,BD!$A$3:$A$5001,"&gt;="&amp;$C$7,BD!$A$3:$A$5001,"&lt;="&amp;$B145,BD!$K$3:$K$5001,"&lt;&gt;"))))</f>
        <v/>
      </c>
    </row>
    <row r="146">
      <c r="A146" s="44" t="inlineStr">
        <is>
          <t xml:space="preserve">Mês anterior (último)</t>
        </is>
      </c>
      <c r="C146" s="45" t="str">
        <f>IF(C$114="","",IF(COUNTIFS(BD!$B$3:$B$5001,C$114,BD!$A$3:$A$5001,"&gt;="&amp;$C$8,BD!$A$3:$A$5001,"&lt;="&amp;$D$8,BD!$K$3:$K$5001,"&lt;&gt;")=0,"",SUMIFS(BD!$K$3:$K$5001,BD!$B$3:$B$5001,C$114,BD!$A$3:$A$5001,_xlfn.MAXIFS(BD!$A$3:$A$5001,BD!$B$3:$B$5001,C$114,BD!$A$3:$A$5001,"&gt;="&amp;$C$8,BD!$A$3:$A$5001,"&lt;="&amp;$D$8,BD!$K$3:$K$5001,"&lt;&gt;"))))</f>
        <v/>
      </c>
      <c r="D146" s="45" t="str">
        <f>IF(D$114="","",IF(COUNTIFS(BD!$B$3:$B$5001,D$114,BD!$A$3:$A$5001,"&gt;="&amp;$C$8,BD!$A$3:$A$5001,"&lt;="&amp;$D$8,BD!$K$3:$K$5001,"&lt;&gt;")=0,"",SUMIFS(BD!$K$3:$K$5001,BD!$B$3:$B$5001,D$114,BD!$A$3:$A$5001,_xlfn.MAXIFS(BD!$A$3:$A$5001,BD!$B$3:$B$5001,D$114,BD!$A$3:$A$5001,"&gt;="&amp;$C$8,BD!$A$3:$A$5001,"&lt;="&amp;$D$8,BD!$K$3:$K$5001,"&lt;&gt;"))))</f>
        <v/>
      </c>
      <c r="E146" s="45" t="str">
        <f>IF(E$114="","",IF(COUNTIFS(BD!$B$3:$B$5001,E$114,BD!$A$3:$A$5001,"&gt;="&amp;$C$8,BD!$A$3:$A$5001,"&lt;="&amp;$D$8,BD!$K$3:$K$5001,"&lt;&gt;")=0,"",SUMIFS(BD!$K$3:$K$5001,BD!$B$3:$B$5001,E$114,BD!$A$3:$A$5001,_xlfn.MAXIFS(BD!$A$3:$A$5001,BD!$B$3:$B$5001,E$114,BD!$A$3:$A$5001,"&gt;="&amp;$C$8,BD!$A$3:$A$5001,"&lt;="&amp;$D$8,BD!$K$3:$K$5001,"&lt;&gt;"))))</f>
        <v/>
      </c>
      <c r="F146" s="45" t="str">
        <f>IF(F$114="","",IF(COUNTIFS(BD!$B$3:$B$5001,F$114,BD!$A$3:$A$5001,"&gt;="&amp;$C$8,BD!$A$3:$A$5001,"&lt;="&amp;$D$8,BD!$K$3:$K$5001,"&lt;&gt;")=0,"",SUMIFS(BD!$K$3:$K$5001,BD!$B$3:$B$5001,F$114,BD!$A$3:$A$5001,_xlfn.MAXIFS(BD!$A$3:$A$5001,BD!$B$3:$B$5001,F$114,BD!$A$3:$A$5001,"&gt;="&amp;$C$8,BD!$A$3:$A$5001,"&lt;="&amp;$D$8,BD!$K$3:$K$5001,"&lt;&gt;"))))</f>
        <v/>
      </c>
      <c r="G146" s="45" t="str">
        <f>IF(G$114="","",IF(COUNTIFS(BD!$B$3:$B$5001,G$114,BD!$A$3:$A$5001,"&gt;="&amp;$C$8,BD!$A$3:$A$5001,"&lt;="&amp;$D$8,BD!$K$3:$K$5001,"&lt;&gt;")=0,"",SUMIFS(BD!$K$3:$K$5001,BD!$B$3:$B$5001,G$114,BD!$A$3:$A$5001,_xlfn.MAXIFS(BD!$A$3:$A$5001,BD!$B$3:$B$5001,G$114,BD!$A$3:$A$5001,"&gt;="&amp;$C$8,BD!$A$3:$A$5001,"&lt;="&amp;$D$8,BD!$K$3:$K$5001,"&lt;&gt;"))))</f>
        <v/>
      </c>
      <c r="H146" s="45" t="str">
        <f>IF(H$114="","",IF(COUNTIFS(BD!$B$3:$B$5001,H$114,BD!$A$3:$A$5001,"&gt;="&amp;$C$8,BD!$A$3:$A$5001,"&lt;="&amp;$D$8,BD!$K$3:$K$5001,"&lt;&gt;")=0,"",SUMIFS(BD!$K$3:$K$5001,BD!$B$3:$B$5001,H$114,BD!$A$3:$A$5001,_xlfn.MAXIFS(BD!$A$3:$A$5001,BD!$B$3:$B$5001,H$114,BD!$A$3:$A$5001,"&gt;="&amp;$C$8,BD!$A$3:$A$5001,"&lt;="&amp;$D$8,BD!$K$3:$K$5001,"&lt;&gt;"))))</f>
        <v/>
      </c>
      <c r="I146" s="45" t="str">
        <f>IF(I$114="","",IF(COUNTIFS(BD!$B$3:$B$5001,I$114,BD!$A$3:$A$5001,"&gt;="&amp;$C$8,BD!$A$3:$A$5001,"&lt;="&amp;$D$8,BD!$K$3:$K$5001,"&lt;&gt;")=0,"",SUMIFS(BD!$K$3:$K$5001,BD!$B$3:$B$5001,I$114,BD!$A$3:$A$5001,_xlfn.MAXIFS(BD!$A$3:$A$5001,BD!$B$3:$B$5001,I$114,BD!$A$3:$A$5001,"&gt;="&amp;$C$8,BD!$A$3:$A$5001,"&lt;="&amp;$D$8,BD!$K$3:$K$5001,"&lt;&gt;"))))</f>
        <v/>
      </c>
      <c r="J146" s="45" t="str">
        <f>IF(J$114="","",IF(COUNTIFS(BD!$B$3:$B$5001,J$114,BD!$A$3:$A$5001,"&gt;="&amp;$C$8,BD!$A$3:$A$5001,"&lt;="&amp;$D$8,BD!$K$3:$K$5001,"&lt;&gt;")=0,"",SUMIFS(BD!$K$3:$K$5001,BD!$B$3:$B$5001,J$114,BD!$A$3:$A$5001,_xlfn.MAXIFS(BD!$A$3:$A$5001,BD!$B$3:$B$5001,J$114,BD!$A$3:$A$5001,"&gt;="&amp;$C$8,BD!$A$3:$A$5001,"&lt;="&amp;$D$8,BD!$K$3:$K$5001,"&lt;&gt;"))))</f>
        <v/>
      </c>
      <c r="K146" s="45" t="str">
        <f>IF(K$114="","",IF(COUNTIFS(BD!$B$3:$B$5001,K$114,BD!$A$3:$A$5001,"&gt;="&amp;$C$8,BD!$A$3:$A$5001,"&lt;="&amp;$D$8,BD!$K$3:$K$5001,"&lt;&gt;")=0,"",SUMIFS(BD!$K$3:$K$5001,BD!$B$3:$B$5001,K$114,BD!$A$3:$A$5001,_xlfn.MAXIFS(BD!$A$3:$A$5001,BD!$B$3:$B$5001,K$114,BD!$A$3:$A$5001,"&gt;="&amp;$C$8,BD!$A$3:$A$5001,"&lt;="&amp;$D$8,BD!$K$3:$K$5001,"&lt;&gt;"))))</f>
        <v/>
      </c>
      <c r="L146" s="45" t="str">
        <f>IF(L$114="","",IF(COUNTIFS(BD!$B$3:$B$5001,L$114,BD!$A$3:$A$5001,"&gt;="&amp;$C$8,BD!$A$3:$A$5001,"&lt;="&amp;$D$8,BD!$K$3:$K$5001,"&lt;&gt;")=0,"",SUMIFS(BD!$K$3:$K$5001,BD!$B$3:$B$5001,L$114,BD!$A$3:$A$5001,_xlfn.MAXIFS(BD!$A$3:$A$5001,BD!$B$3:$B$5001,L$114,BD!$A$3:$A$5001,"&gt;="&amp;$C$8,BD!$A$3:$A$5001,"&lt;="&amp;$D$8,BD!$K$3:$K$5001,"&lt;&gt;"))))</f>
        <v/>
      </c>
      <c r="M146" s="45" t="str">
        <f>IF(M$114="","",IF(COUNTIFS(BD!$B$3:$B$5001,M$114,BD!$A$3:$A$5001,"&gt;="&amp;$C$8,BD!$A$3:$A$5001,"&lt;="&amp;$D$8,BD!$K$3:$K$5001,"&lt;&gt;")=0,"",SUMIFS(BD!$K$3:$K$5001,BD!$B$3:$B$5001,M$114,BD!$A$3:$A$5001,_xlfn.MAXIFS(BD!$A$3:$A$5001,BD!$B$3:$B$5001,M$114,BD!$A$3:$A$5001,"&gt;="&amp;$C$8,BD!$A$3:$A$5001,"&lt;="&amp;$D$8,BD!$K$3:$K$5001,"&lt;&gt;"))))</f>
        <v/>
      </c>
      <c r="N146" s="45" t="str">
        <f>IF(N$114="","",IF(COUNTIFS(BD!$B$3:$B$5001,N$114,BD!$A$3:$A$5001,"&gt;="&amp;$C$8,BD!$A$3:$A$5001,"&lt;="&amp;$D$8,BD!$K$3:$K$5001,"&lt;&gt;")=0,"",SUMIFS(BD!$K$3:$K$5001,BD!$B$3:$B$5001,N$114,BD!$A$3:$A$5001,_xlfn.MAXIFS(BD!$A$3:$A$5001,BD!$B$3:$B$5001,N$114,BD!$A$3:$A$5001,"&gt;="&amp;$C$8,BD!$A$3:$A$5001,"&lt;="&amp;$D$8,BD!$K$3:$K$5001,"&lt;&gt;"))))</f>
        <v/>
      </c>
      <c r="O146" s="45" t="str">
        <f>IF(O$114="","",IF(COUNTIFS(BD!$B$3:$B$5001,O$114,BD!$A$3:$A$5001,"&gt;="&amp;$C$8,BD!$A$3:$A$5001,"&lt;="&amp;$D$8,BD!$K$3:$K$5001,"&lt;&gt;")=0,"",SUMIFS(BD!$K$3:$K$5001,BD!$B$3:$B$5001,O$114,BD!$A$3:$A$5001,_xlfn.MAXIFS(BD!$A$3:$A$5001,BD!$B$3:$B$5001,O$114,BD!$A$3:$A$5001,"&gt;="&amp;$C$8,BD!$A$3:$A$5001,"&lt;="&amp;$D$8,BD!$K$3:$K$5001,"&lt;&gt;"))))</f>
        <v/>
      </c>
      <c r="P146" s="45" t="str">
        <f>IF(P$114="","",IF(COUNTIFS(BD!$B$3:$B$5001,P$114,BD!$A$3:$A$5001,"&gt;="&amp;$C$8,BD!$A$3:$A$5001,"&lt;="&amp;$D$8,BD!$K$3:$K$5001,"&lt;&gt;")=0,"",SUMIFS(BD!$K$3:$K$5001,BD!$B$3:$B$5001,P$114,BD!$A$3:$A$5001,_xlfn.MAXIFS(BD!$A$3:$A$5001,BD!$B$3:$B$5001,P$114,BD!$A$3:$A$5001,"&gt;="&amp;$C$8,BD!$A$3:$A$5001,"&lt;="&amp;$D$8,BD!$K$3:$K$5001,"&lt;&gt;"))))</f>
        <v/>
      </c>
      <c r="Q146" s="45" t="str">
        <f>IF(Q$114="","",IF(COUNTIFS(BD!$B$3:$B$5001,Q$114,BD!$A$3:$A$5001,"&gt;="&amp;$C$8,BD!$A$3:$A$5001,"&lt;="&amp;$D$8,BD!$K$3:$K$5001,"&lt;&gt;")=0,"",SUMIFS(BD!$K$3:$K$5001,BD!$B$3:$B$5001,Q$114,BD!$A$3:$A$5001,_xlfn.MAXIFS(BD!$A$3:$A$5001,BD!$B$3:$B$5001,Q$114,BD!$A$3:$A$5001,"&gt;="&amp;$C$8,BD!$A$3:$A$5001,"&lt;="&amp;$D$8,BD!$K$3:$K$5001,"&lt;&gt;"))))</f>
        <v/>
      </c>
      <c r="R146" s="45" t="str">
        <f>IF(R$114="","",IF(COUNTIFS(BD!$B$3:$B$5001,R$114,BD!$A$3:$A$5001,"&gt;="&amp;$C$8,BD!$A$3:$A$5001,"&lt;="&amp;$D$8,BD!$K$3:$K$5001,"&lt;&gt;")=0,"",SUMIFS(BD!$K$3:$K$5001,BD!$B$3:$B$5001,R$114,BD!$A$3:$A$5001,_xlfn.MAXIFS(BD!$A$3:$A$5001,BD!$B$3:$B$5001,R$114,BD!$A$3:$A$5001,"&gt;="&amp;$C$8,BD!$A$3:$A$5001,"&lt;="&amp;$D$8,BD!$K$3:$K$5001,"&lt;&gt;"))))</f>
        <v/>
      </c>
      <c r="S146" s="45" t="str">
        <f>IF(S$114="","",IF(COUNTIFS(BD!$B$3:$B$5001,S$114,BD!$A$3:$A$5001,"&gt;="&amp;$C$8,BD!$A$3:$A$5001,"&lt;="&amp;$D$8,BD!$K$3:$K$5001,"&lt;&gt;")=0,"",SUMIFS(BD!$K$3:$K$5001,BD!$B$3:$B$5001,S$114,BD!$A$3:$A$5001,_xlfn.MAXIFS(BD!$A$3:$A$5001,BD!$B$3:$B$5001,S$114,BD!$A$3:$A$5001,"&gt;="&amp;$C$8,BD!$A$3:$A$5001,"&lt;="&amp;$D$8,BD!$K$3:$K$5001,"&lt;&gt;"))))</f>
        <v/>
      </c>
      <c r="T146" s="45" t="str">
        <f>IF(T$114="","",IF(COUNTIFS(BD!$B$3:$B$5001,T$114,BD!$A$3:$A$5001,"&gt;="&amp;$C$8,BD!$A$3:$A$5001,"&lt;="&amp;$D$8,BD!$K$3:$K$5001,"&lt;&gt;")=0,"",SUMIFS(BD!$K$3:$K$5001,BD!$B$3:$B$5001,T$114,BD!$A$3:$A$5001,_xlfn.MAXIFS(BD!$A$3:$A$5001,BD!$B$3:$B$5001,T$114,BD!$A$3:$A$5001,"&gt;="&amp;$C$8,BD!$A$3:$A$5001,"&lt;="&amp;$D$8,BD!$K$3:$K$5001,"&lt;&gt;"))))</f>
        <v/>
      </c>
      <c r="U146" s="45" t="str">
        <f>IF(U$114="","",IF(COUNTIFS(BD!$B$3:$B$5001,U$114,BD!$A$3:$A$5001,"&gt;="&amp;$C$8,BD!$A$3:$A$5001,"&lt;="&amp;$D$8,BD!$K$3:$K$5001,"&lt;&gt;")=0,"",SUMIFS(BD!$K$3:$K$5001,BD!$B$3:$B$5001,U$114,BD!$A$3:$A$5001,_xlfn.MAXIFS(BD!$A$3:$A$5001,BD!$B$3:$B$5001,U$114,BD!$A$3:$A$5001,"&gt;="&amp;$C$8,BD!$A$3:$A$5001,"&lt;="&amp;$D$8,BD!$K$3:$K$5001,"&lt;&gt;"))))</f>
        <v/>
      </c>
      <c r="V146" s="45" t="str">
        <f>IF(V$114="","",IF(COUNTIFS(BD!$B$3:$B$5001,V$114,BD!$A$3:$A$5001,"&gt;="&amp;$C$8,BD!$A$3:$A$5001,"&lt;="&amp;$D$8,BD!$K$3:$K$5001,"&lt;&gt;")=0,"",SUMIFS(BD!$K$3:$K$5001,BD!$B$3:$B$5001,V$114,BD!$A$3:$A$5001,_xlfn.MAXIFS(BD!$A$3:$A$5001,BD!$B$3:$B$5001,V$114,BD!$A$3:$A$5001,"&gt;="&amp;$C$8,BD!$A$3:$A$5001,"&lt;="&amp;$D$8,BD!$K$3:$K$5001,"&lt;&gt;"))))</f>
        <v/>
      </c>
    </row>
    <row r="147">
      <c r="A147" s="44" t="inlineStr">
        <is>
          <t xml:space="preserve">Depósito</t>
        </is>
      </c>
      <c r="C147" s="38" t="str">
        <f>IF(Config!$C$10="","JSL",Config!$C$10)</f>
        <v>JSL</v>
      </c>
      <c r="D147" s="38" t="str">
        <f>IF(Config!$C$11="","JSL",Config!$C$11)</f>
        <v>JSL</v>
      </c>
      <c r="E147" s="38" t="str">
        <f>IF(Config!$C$12="","JSL",Config!$C$12)</f>
        <v>JSL</v>
      </c>
      <c r="F147" s="38" t="str">
        <f>IF(Config!$C$13="","JSL",Config!$C$13)</f>
        <v>JSL</v>
      </c>
      <c r="G147" s="38" t="str">
        <f>IF(Config!$C$14="","JSL",Config!$C$14)</f>
        <v>JSL</v>
      </c>
      <c r="H147" s="38" t="str">
        <f>IF(Config!$C$15="","JSL",Config!$C$15)</f>
        <v>JSL</v>
      </c>
      <c r="I147" s="38" t="str">
        <f>IF(Config!$C$16="","JSL",Config!$C$16)</f>
        <v>JSL</v>
      </c>
      <c r="J147" s="38" t="str">
        <f>IF(Config!$C$17="","JSL",Config!$C$17)</f>
        <v>JSL</v>
      </c>
      <c r="K147" s="38" t="str">
        <f>IF(Config!$C$18="","JSL",Config!$C$18)</f>
        <v>JSL</v>
      </c>
      <c r="L147" s="38" t="str">
        <f>IF(Config!$C$19="","JSL",Config!$C$19)</f>
        <v>JSL</v>
      </c>
      <c r="M147" s="38" t="str">
        <f>IF(Config!$C$20="","JSL",Config!$C$20)</f>
        <v>JSL</v>
      </c>
      <c r="N147" s="38" t="str">
        <f>IF(Config!$C$21="","JSL",Config!$C$21)</f>
        <v>JSL</v>
      </c>
      <c r="O147" s="38" t="str">
        <f>IF(Config!$C$22="","JSL",Config!$C$22)</f>
        <v>JSL</v>
      </c>
      <c r="P147" s="38" t="str">
        <f>IF(Config!$C$23="","JSL",Config!$C$23)</f>
        <v>JSL</v>
      </c>
      <c r="Q147" s="38" t="str">
        <f>IF(Config!$C$24="","JSL",Config!$C$24)</f>
        <v>JSL</v>
      </c>
      <c r="R147" s="38" t="str">
        <f>IF(Config!$C$25="","JSL",Config!$C$25)</f>
        <v>JSL</v>
      </c>
      <c r="S147" s="38" t="str">
        <f>IF(Config!$C$26="","JSL",Config!$C$26)</f>
        <v>JSL</v>
      </c>
      <c r="T147" s="38" t="str">
        <f>IF(Config!$C$27="","JSL",Config!$C$27)</f>
        <v>JSL</v>
      </c>
      <c r="U147" s="38" t="str">
        <f>IF(Config!$C$28="","JSL",Config!$C$28)</f>
        <v>JSL</v>
      </c>
      <c r="V147" s="38" t="str">
        <f>IF(Config!$C$29="","JSL",Config!$C$29)</f>
        <v>JSL</v>
      </c>
    </row>
    <row r="149">
      <c r="A149" s="37" t="inlineStr">
        <is>
          <t xml:space="preserve">Posições Ocupadas</t>
        </is>
      </c>
      <c r="B149" s="37" t="inlineStr">
        <is>
          <t xml:space="preserve">Data</t>
        </is>
      </c>
      <c r="C149" s="37" t="str">
        <f>Config!$B$10&amp;""</f>
        <v>Barry Callebaut</v>
      </c>
      <c r="D149" s="37" t="str">
        <f>Config!$B$11&amp;""</f>
        <v>GM</v>
      </c>
      <c r="E149" s="37" t="str">
        <f>Config!$B$12&amp;""</f>
        <v>Mondelez</v>
      </c>
      <c r="F149" s="37" t="str">
        <f>Config!$B$13&amp;""</f>
        <v>Nestlé</v>
      </c>
      <c r="G149" s="37" t="str">
        <f>Config!$B$14&amp;""</f>
        <v>PMB</v>
      </c>
      <c r="H149" s="37" t="str">
        <f>Config!$B$15&amp;""</f>
        <v/>
      </c>
      <c r="I149" s="37" t="str">
        <f>Config!$B$16&amp;""</f>
        <v/>
      </c>
      <c r="J149" s="37" t="str">
        <f>Config!$B$17&amp;""</f>
        <v/>
      </c>
      <c r="K149" s="37" t="str">
        <f>Config!$B$18&amp;""</f>
        <v/>
      </c>
      <c r="L149" s="37" t="str">
        <f>Config!$B$19&amp;""</f>
        <v/>
      </c>
      <c r="M149" s="37" t="str">
        <f>Config!$B$20&amp;""</f>
        <v/>
      </c>
      <c r="N149" s="37" t="str">
        <f>Config!$B$21&amp;""</f>
        <v/>
      </c>
      <c r="O149" s="37" t="str">
        <f>Config!$B$22&amp;""</f>
        <v/>
      </c>
      <c r="P149" s="37" t="str">
        <f>Config!$B$23&amp;""</f>
        <v/>
      </c>
      <c r="Q149" s="37" t="str">
        <f>Config!$B$24&amp;""</f>
        <v/>
      </c>
      <c r="R149" s="37" t="str">
        <f>Config!$B$25&amp;""</f>
        <v/>
      </c>
      <c r="S149" s="37" t="str">
        <f>Config!$B$26&amp;""</f>
        <v/>
      </c>
      <c r="T149" s="37" t="str">
        <f>Config!$B$27&amp;""</f>
        <v/>
      </c>
      <c r="U149" s="37" t="str">
        <f>Config!$B$28&amp;""</f>
        <v/>
      </c>
      <c r="V149" s="37" t="str">
        <f>Config!$B$29&amp;""</f>
        <v/>
      </c>
    </row>
    <row r="150">
      <c r="A150" s="38">
        <v>1</v>
      </c>
      <c r="B150" s="42">
        <f>$B$12</f>
        <v>46296</v>
      </c>
      <c r="C150" s="43" t="str">
        <f>IF(OR($B150="",$A150&gt;$B$9,C$149=""),"",IF(COUNTIFS(BD!$B$3:$B$5001,C$149,BD!$A$3:$A$5001,"&gt;="&amp;$C$7,BD!$A$3:$A$5001,"&lt;="&amp;$B150,BD!$M$3:$M$5001,"&lt;&gt;")=0,"",SUMIFS(BD!$M$3:$M$5001,BD!$B$3:$B$5001,C$149,BD!$A$3:$A$5001,_xlfn.MAXIFS(BD!$A$3:$A$5001,BD!$B$3:$B$5001,C$149,BD!$A$3:$A$5001,"&gt;="&amp;$C$7,BD!$A$3:$A$5001,"&lt;="&amp;$B150,BD!$M$3:$M$5001,"&lt;&gt;"))))</f>
        <v/>
      </c>
      <c r="D150" s="43" t="str">
        <f>IF(OR($B150="",$A150&gt;$B$9,D$149=""),"",IF(COUNTIFS(BD!$B$3:$B$5001,D$149,BD!$A$3:$A$5001,"&gt;="&amp;$C$7,BD!$A$3:$A$5001,"&lt;="&amp;$B150,BD!$M$3:$M$5001,"&lt;&gt;")=0,"",SUMIFS(BD!$M$3:$M$5001,BD!$B$3:$B$5001,D$149,BD!$A$3:$A$5001,_xlfn.MAXIFS(BD!$A$3:$A$5001,BD!$B$3:$B$5001,D$149,BD!$A$3:$A$5001,"&gt;="&amp;$C$7,BD!$A$3:$A$5001,"&lt;="&amp;$B150,BD!$M$3:$M$5001,"&lt;&gt;"))))</f>
        <v/>
      </c>
      <c r="E150" s="43" t="str">
        <f>IF(OR($B150="",$A150&gt;$B$9,E$149=""),"",IF(COUNTIFS(BD!$B$3:$B$5001,E$149,BD!$A$3:$A$5001,"&gt;="&amp;$C$7,BD!$A$3:$A$5001,"&lt;="&amp;$B150,BD!$M$3:$M$5001,"&lt;&gt;")=0,"",SUMIFS(BD!$M$3:$M$5001,BD!$B$3:$B$5001,E$149,BD!$A$3:$A$5001,_xlfn.MAXIFS(BD!$A$3:$A$5001,BD!$B$3:$B$5001,E$149,BD!$A$3:$A$5001,"&gt;="&amp;$C$7,BD!$A$3:$A$5001,"&lt;="&amp;$B150,BD!$M$3:$M$5001,"&lt;&gt;"))))</f>
        <v/>
      </c>
      <c r="F150" s="43" t="str">
        <f>IF(OR($B150="",$A150&gt;$B$9,F$149=""),"",IF(COUNTIFS(BD!$B$3:$B$5001,F$149,BD!$A$3:$A$5001,"&gt;="&amp;$C$7,BD!$A$3:$A$5001,"&lt;="&amp;$B150,BD!$M$3:$M$5001,"&lt;&gt;")=0,"",SUMIFS(BD!$M$3:$M$5001,BD!$B$3:$B$5001,F$149,BD!$A$3:$A$5001,_xlfn.MAXIFS(BD!$A$3:$A$5001,BD!$B$3:$B$5001,F$149,BD!$A$3:$A$5001,"&gt;="&amp;$C$7,BD!$A$3:$A$5001,"&lt;="&amp;$B150,BD!$M$3:$M$5001,"&lt;&gt;"))))</f>
        <v/>
      </c>
      <c r="G150" s="43" t="str">
        <f>IF(OR($B150="",$A150&gt;$B$9,G$149=""),"",IF(COUNTIFS(BD!$B$3:$B$5001,G$149,BD!$A$3:$A$5001,"&gt;="&amp;$C$7,BD!$A$3:$A$5001,"&lt;="&amp;$B150,BD!$M$3:$M$5001,"&lt;&gt;")=0,"",SUMIFS(BD!$M$3:$M$5001,BD!$B$3:$B$5001,G$149,BD!$A$3:$A$5001,_xlfn.MAXIFS(BD!$A$3:$A$5001,BD!$B$3:$B$5001,G$149,BD!$A$3:$A$5001,"&gt;="&amp;$C$7,BD!$A$3:$A$5001,"&lt;="&amp;$B150,BD!$M$3:$M$5001,"&lt;&gt;"))))</f>
        <v/>
      </c>
      <c r="H150" s="43" t="str">
        <f>IF(OR($B150="",$A150&gt;$B$9,H$149=""),"",IF(COUNTIFS(BD!$B$3:$B$5001,H$149,BD!$A$3:$A$5001,"&gt;="&amp;$C$7,BD!$A$3:$A$5001,"&lt;="&amp;$B150,BD!$M$3:$M$5001,"&lt;&gt;")=0,"",SUMIFS(BD!$M$3:$M$5001,BD!$B$3:$B$5001,H$149,BD!$A$3:$A$5001,_xlfn.MAXIFS(BD!$A$3:$A$5001,BD!$B$3:$B$5001,H$149,BD!$A$3:$A$5001,"&gt;="&amp;$C$7,BD!$A$3:$A$5001,"&lt;="&amp;$B150,BD!$M$3:$M$5001,"&lt;&gt;"))))</f>
        <v/>
      </c>
      <c r="I150" s="43" t="str">
        <f>IF(OR($B150="",$A150&gt;$B$9,I$149=""),"",IF(COUNTIFS(BD!$B$3:$B$5001,I$149,BD!$A$3:$A$5001,"&gt;="&amp;$C$7,BD!$A$3:$A$5001,"&lt;="&amp;$B150,BD!$M$3:$M$5001,"&lt;&gt;")=0,"",SUMIFS(BD!$M$3:$M$5001,BD!$B$3:$B$5001,I$149,BD!$A$3:$A$5001,_xlfn.MAXIFS(BD!$A$3:$A$5001,BD!$B$3:$B$5001,I$149,BD!$A$3:$A$5001,"&gt;="&amp;$C$7,BD!$A$3:$A$5001,"&lt;="&amp;$B150,BD!$M$3:$M$5001,"&lt;&gt;"))))</f>
        <v/>
      </c>
      <c r="J150" s="43" t="str">
        <f>IF(OR($B150="",$A150&gt;$B$9,J$149=""),"",IF(COUNTIFS(BD!$B$3:$B$5001,J$149,BD!$A$3:$A$5001,"&gt;="&amp;$C$7,BD!$A$3:$A$5001,"&lt;="&amp;$B150,BD!$M$3:$M$5001,"&lt;&gt;")=0,"",SUMIFS(BD!$M$3:$M$5001,BD!$B$3:$B$5001,J$149,BD!$A$3:$A$5001,_xlfn.MAXIFS(BD!$A$3:$A$5001,BD!$B$3:$B$5001,J$149,BD!$A$3:$A$5001,"&gt;="&amp;$C$7,BD!$A$3:$A$5001,"&lt;="&amp;$B150,BD!$M$3:$M$5001,"&lt;&gt;"))))</f>
        <v/>
      </c>
      <c r="K150" s="43" t="str">
        <f>IF(OR($B150="",$A150&gt;$B$9,K$149=""),"",IF(COUNTIFS(BD!$B$3:$B$5001,K$149,BD!$A$3:$A$5001,"&gt;="&amp;$C$7,BD!$A$3:$A$5001,"&lt;="&amp;$B150,BD!$M$3:$M$5001,"&lt;&gt;")=0,"",SUMIFS(BD!$M$3:$M$5001,BD!$B$3:$B$5001,K$149,BD!$A$3:$A$5001,_xlfn.MAXIFS(BD!$A$3:$A$5001,BD!$B$3:$B$5001,K$149,BD!$A$3:$A$5001,"&gt;="&amp;$C$7,BD!$A$3:$A$5001,"&lt;="&amp;$B150,BD!$M$3:$M$5001,"&lt;&gt;"))))</f>
        <v/>
      </c>
      <c r="L150" s="43" t="str">
        <f>IF(OR($B150="",$A150&gt;$B$9,L$149=""),"",IF(COUNTIFS(BD!$B$3:$B$5001,L$149,BD!$A$3:$A$5001,"&gt;="&amp;$C$7,BD!$A$3:$A$5001,"&lt;="&amp;$B150,BD!$M$3:$M$5001,"&lt;&gt;")=0,"",SUMIFS(BD!$M$3:$M$5001,BD!$B$3:$B$5001,L$149,BD!$A$3:$A$5001,_xlfn.MAXIFS(BD!$A$3:$A$5001,BD!$B$3:$B$5001,L$149,BD!$A$3:$A$5001,"&gt;="&amp;$C$7,BD!$A$3:$A$5001,"&lt;="&amp;$B150,BD!$M$3:$M$5001,"&lt;&gt;"))))</f>
        <v/>
      </c>
      <c r="M150" s="43" t="str">
        <f>IF(OR($B150="",$A150&gt;$B$9,M$149=""),"",IF(COUNTIFS(BD!$B$3:$B$5001,M$149,BD!$A$3:$A$5001,"&gt;="&amp;$C$7,BD!$A$3:$A$5001,"&lt;="&amp;$B150,BD!$M$3:$M$5001,"&lt;&gt;")=0,"",SUMIFS(BD!$M$3:$M$5001,BD!$B$3:$B$5001,M$149,BD!$A$3:$A$5001,_xlfn.MAXIFS(BD!$A$3:$A$5001,BD!$B$3:$B$5001,M$149,BD!$A$3:$A$5001,"&gt;="&amp;$C$7,BD!$A$3:$A$5001,"&lt;="&amp;$B150,BD!$M$3:$M$5001,"&lt;&gt;"))))</f>
        <v/>
      </c>
      <c r="N150" s="43" t="str">
        <f>IF(OR($B150="",$A150&gt;$B$9,N$149=""),"",IF(COUNTIFS(BD!$B$3:$B$5001,N$149,BD!$A$3:$A$5001,"&gt;="&amp;$C$7,BD!$A$3:$A$5001,"&lt;="&amp;$B150,BD!$M$3:$M$5001,"&lt;&gt;")=0,"",SUMIFS(BD!$M$3:$M$5001,BD!$B$3:$B$5001,N$149,BD!$A$3:$A$5001,_xlfn.MAXIFS(BD!$A$3:$A$5001,BD!$B$3:$B$5001,N$149,BD!$A$3:$A$5001,"&gt;="&amp;$C$7,BD!$A$3:$A$5001,"&lt;="&amp;$B150,BD!$M$3:$M$5001,"&lt;&gt;"))))</f>
        <v/>
      </c>
      <c r="O150" s="43" t="str">
        <f>IF(OR($B150="",$A150&gt;$B$9,O$149=""),"",IF(COUNTIFS(BD!$B$3:$B$5001,O$149,BD!$A$3:$A$5001,"&gt;="&amp;$C$7,BD!$A$3:$A$5001,"&lt;="&amp;$B150,BD!$M$3:$M$5001,"&lt;&gt;")=0,"",SUMIFS(BD!$M$3:$M$5001,BD!$B$3:$B$5001,O$149,BD!$A$3:$A$5001,_xlfn.MAXIFS(BD!$A$3:$A$5001,BD!$B$3:$B$5001,O$149,BD!$A$3:$A$5001,"&gt;="&amp;$C$7,BD!$A$3:$A$5001,"&lt;="&amp;$B150,BD!$M$3:$M$5001,"&lt;&gt;"))))</f>
        <v/>
      </c>
      <c r="P150" s="43" t="str">
        <f>IF(OR($B150="",$A150&gt;$B$9,P$149=""),"",IF(COUNTIFS(BD!$B$3:$B$5001,P$149,BD!$A$3:$A$5001,"&gt;="&amp;$C$7,BD!$A$3:$A$5001,"&lt;="&amp;$B150,BD!$M$3:$M$5001,"&lt;&gt;")=0,"",SUMIFS(BD!$M$3:$M$5001,BD!$B$3:$B$5001,P$149,BD!$A$3:$A$5001,_xlfn.MAXIFS(BD!$A$3:$A$5001,BD!$B$3:$B$5001,P$149,BD!$A$3:$A$5001,"&gt;="&amp;$C$7,BD!$A$3:$A$5001,"&lt;="&amp;$B150,BD!$M$3:$M$5001,"&lt;&gt;"))))</f>
        <v/>
      </c>
      <c r="Q150" s="43" t="str">
        <f>IF(OR($B150="",$A150&gt;$B$9,Q$149=""),"",IF(COUNTIFS(BD!$B$3:$B$5001,Q$149,BD!$A$3:$A$5001,"&gt;="&amp;$C$7,BD!$A$3:$A$5001,"&lt;="&amp;$B150,BD!$M$3:$M$5001,"&lt;&gt;")=0,"",SUMIFS(BD!$M$3:$M$5001,BD!$B$3:$B$5001,Q$149,BD!$A$3:$A$5001,_xlfn.MAXIFS(BD!$A$3:$A$5001,BD!$B$3:$B$5001,Q$149,BD!$A$3:$A$5001,"&gt;="&amp;$C$7,BD!$A$3:$A$5001,"&lt;="&amp;$B150,BD!$M$3:$M$5001,"&lt;&gt;"))))</f>
        <v/>
      </c>
      <c r="R150" s="43" t="str">
        <f>IF(OR($B150="",$A150&gt;$B$9,R$149=""),"",IF(COUNTIFS(BD!$B$3:$B$5001,R$149,BD!$A$3:$A$5001,"&gt;="&amp;$C$7,BD!$A$3:$A$5001,"&lt;="&amp;$B150,BD!$M$3:$M$5001,"&lt;&gt;")=0,"",SUMIFS(BD!$M$3:$M$5001,BD!$B$3:$B$5001,R$149,BD!$A$3:$A$5001,_xlfn.MAXIFS(BD!$A$3:$A$5001,BD!$B$3:$B$5001,R$149,BD!$A$3:$A$5001,"&gt;="&amp;$C$7,BD!$A$3:$A$5001,"&lt;="&amp;$B150,BD!$M$3:$M$5001,"&lt;&gt;"))))</f>
        <v/>
      </c>
      <c r="S150" s="43" t="str">
        <f>IF(OR($B150="",$A150&gt;$B$9,S$149=""),"",IF(COUNTIFS(BD!$B$3:$B$5001,S$149,BD!$A$3:$A$5001,"&gt;="&amp;$C$7,BD!$A$3:$A$5001,"&lt;="&amp;$B150,BD!$M$3:$M$5001,"&lt;&gt;")=0,"",SUMIFS(BD!$M$3:$M$5001,BD!$B$3:$B$5001,S$149,BD!$A$3:$A$5001,_xlfn.MAXIFS(BD!$A$3:$A$5001,BD!$B$3:$B$5001,S$149,BD!$A$3:$A$5001,"&gt;="&amp;$C$7,BD!$A$3:$A$5001,"&lt;="&amp;$B150,BD!$M$3:$M$5001,"&lt;&gt;"))))</f>
        <v/>
      </c>
      <c r="T150" s="43" t="str">
        <f>IF(OR($B150="",$A150&gt;$B$9,T$149=""),"",IF(COUNTIFS(BD!$B$3:$B$5001,T$149,BD!$A$3:$A$5001,"&gt;="&amp;$C$7,BD!$A$3:$A$5001,"&lt;="&amp;$B150,BD!$M$3:$M$5001,"&lt;&gt;")=0,"",SUMIFS(BD!$M$3:$M$5001,BD!$B$3:$B$5001,T$149,BD!$A$3:$A$5001,_xlfn.MAXIFS(BD!$A$3:$A$5001,BD!$B$3:$B$5001,T$149,BD!$A$3:$A$5001,"&gt;="&amp;$C$7,BD!$A$3:$A$5001,"&lt;="&amp;$B150,BD!$M$3:$M$5001,"&lt;&gt;"))))</f>
        <v/>
      </c>
      <c r="U150" s="43" t="str">
        <f>IF(OR($B150="",$A150&gt;$B$9,U$149=""),"",IF(COUNTIFS(BD!$B$3:$B$5001,U$149,BD!$A$3:$A$5001,"&gt;="&amp;$C$7,BD!$A$3:$A$5001,"&lt;="&amp;$B150,BD!$M$3:$M$5001,"&lt;&gt;")=0,"",SUMIFS(BD!$M$3:$M$5001,BD!$B$3:$B$5001,U$149,BD!$A$3:$A$5001,_xlfn.MAXIFS(BD!$A$3:$A$5001,BD!$B$3:$B$5001,U$149,BD!$A$3:$A$5001,"&gt;="&amp;$C$7,BD!$A$3:$A$5001,"&lt;="&amp;$B150,BD!$M$3:$M$5001,"&lt;&gt;"))))</f>
        <v/>
      </c>
      <c r="V150" s="43" t="str">
        <f>IF(OR($B150="",$A150&gt;$B$9,V$149=""),"",IF(COUNTIFS(BD!$B$3:$B$5001,V$149,BD!$A$3:$A$5001,"&gt;="&amp;$C$7,BD!$A$3:$A$5001,"&lt;="&amp;$B150,BD!$M$3:$M$5001,"&lt;&gt;")=0,"",SUMIFS(BD!$M$3:$M$5001,BD!$B$3:$B$5001,V$149,BD!$A$3:$A$5001,_xlfn.MAXIFS(BD!$A$3:$A$5001,BD!$B$3:$B$5001,V$149,BD!$A$3:$A$5001,"&gt;="&amp;$C$7,BD!$A$3:$A$5001,"&lt;="&amp;$B150,BD!$M$3:$M$5001,"&lt;&gt;"))))</f>
        <v/>
      </c>
    </row>
    <row r="151">
      <c r="A151" s="38">
        <v>2</v>
      </c>
      <c r="B151" s="42">
        <f>$B$13</f>
        <v>46297</v>
      </c>
      <c r="C151" s="43" t="str">
        <f>IF(OR($B151="",$A151&gt;$B$9,C$149=""),"",IF(COUNTIFS(BD!$B$3:$B$5001,C$149,BD!$A$3:$A$5001,"&gt;="&amp;$C$7,BD!$A$3:$A$5001,"&lt;="&amp;$B151,BD!$M$3:$M$5001,"&lt;&gt;")=0,"",SUMIFS(BD!$M$3:$M$5001,BD!$B$3:$B$5001,C$149,BD!$A$3:$A$5001,_xlfn.MAXIFS(BD!$A$3:$A$5001,BD!$B$3:$B$5001,C$149,BD!$A$3:$A$5001,"&gt;="&amp;$C$7,BD!$A$3:$A$5001,"&lt;="&amp;$B151,BD!$M$3:$M$5001,"&lt;&gt;"))))</f>
        <v/>
      </c>
      <c r="D151" s="43" t="str">
        <f>IF(OR($B151="",$A151&gt;$B$9,D$149=""),"",IF(COUNTIFS(BD!$B$3:$B$5001,D$149,BD!$A$3:$A$5001,"&gt;="&amp;$C$7,BD!$A$3:$A$5001,"&lt;="&amp;$B151,BD!$M$3:$M$5001,"&lt;&gt;")=0,"",SUMIFS(BD!$M$3:$M$5001,BD!$B$3:$B$5001,D$149,BD!$A$3:$A$5001,_xlfn.MAXIFS(BD!$A$3:$A$5001,BD!$B$3:$B$5001,D$149,BD!$A$3:$A$5001,"&gt;="&amp;$C$7,BD!$A$3:$A$5001,"&lt;="&amp;$B151,BD!$M$3:$M$5001,"&lt;&gt;"))))</f>
        <v/>
      </c>
      <c r="E151" s="43" t="str">
        <f>IF(OR($B151="",$A151&gt;$B$9,E$149=""),"",IF(COUNTIFS(BD!$B$3:$B$5001,E$149,BD!$A$3:$A$5001,"&gt;="&amp;$C$7,BD!$A$3:$A$5001,"&lt;="&amp;$B151,BD!$M$3:$M$5001,"&lt;&gt;")=0,"",SUMIFS(BD!$M$3:$M$5001,BD!$B$3:$B$5001,E$149,BD!$A$3:$A$5001,_xlfn.MAXIFS(BD!$A$3:$A$5001,BD!$B$3:$B$5001,E$149,BD!$A$3:$A$5001,"&gt;="&amp;$C$7,BD!$A$3:$A$5001,"&lt;="&amp;$B151,BD!$M$3:$M$5001,"&lt;&gt;"))))</f>
        <v/>
      </c>
      <c r="F151" s="43" t="str">
        <f>IF(OR($B151="",$A151&gt;$B$9,F$149=""),"",IF(COUNTIFS(BD!$B$3:$B$5001,F$149,BD!$A$3:$A$5001,"&gt;="&amp;$C$7,BD!$A$3:$A$5001,"&lt;="&amp;$B151,BD!$M$3:$M$5001,"&lt;&gt;")=0,"",SUMIFS(BD!$M$3:$M$5001,BD!$B$3:$B$5001,F$149,BD!$A$3:$A$5001,_xlfn.MAXIFS(BD!$A$3:$A$5001,BD!$B$3:$B$5001,F$149,BD!$A$3:$A$5001,"&gt;="&amp;$C$7,BD!$A$3:$A$5001,"&lt;="&amp;$B151,BD!$M$3:$M$5001,"&lt;&gt;"))))</f>
        <v/>
      </c>
      <c r="G151" s="43" t="str">
        <f>IF(OR($B151="",$A151&gt;$B$9,G$149=""),"",IF(COUNTIFS(BD!$B$3:$B$5001,G$149,BD!$A$3:$A$5001,"&gt;="&amp;$C$7,BD!$A$3:$A$5001,"&lt;="&amp;$B151,BD!$M$3:$M$5001,"&lt;&gt;")=0,"",SUMIFS(BD!$M$3:$M$5001,BD!$B$3:$B$5001,G$149,BD!$A$3:$A$5001,_xlfn.MAXIFS(BD!$A$3:$A$5001,BD!$B$3:$B$5001,G$149,BD!$A$3:$A$5001,"&gt;="&amp;$C$7,BD!$A$3:$A$5001,"&lt;="&amp;$B151,BD!$M$3:$M$5001,"&lt;&gt;"))))</f>
        <v/>
      </c>
      <c r="H151" s="43" t="str">
        <f>IF(OR($B151="",$A151&gt;$B$9,H$149=""),"",IF(COUNTIFS(BD!$B$3:$B$5001,H$149,BD!$A$3:$A$5001,"&gt;="&amp;$C$7,BD!$A$3:$A$5001,"&lt;="&amp;$B151,BD!$M$3:$M$5001,"&lt;&gt;")=0,"",SUMIFS(BD!$M$3:$M$5001,BD!$B$3:$B$5001,H$149,BD!$A$3:$A$5001,_xlfn.MAXIFS(BD!$A$3:$A$5001,BD!$B$3:$B$5001,H$149,BD!$A$3:$A$5001,"&gt;="&amp;$C$7,BD!$A$3:$A$5001,"&lt;="&amp;$B151,BD!$M$3:$M$5001,"&lt;&gt;"))))</f>
        <v/>
      </c>
      <c r="I151" s="43" t="str">
        <f>IF(OR($B151="",$A151&gt;$B$9,I$149=""),"",IF(COUNTIFS(BD!$B$3:$B$5001,I$149,BD!$A$3:$A$5001,"&gt;="&amp;$C$7,BD!$A$3:$A$5001,"&lt;="&amp;$B151,BD!$M$3:$M$5001,"&lt;&gt;")=0,"",SUMIFS(BD!$M$3:$M$5001,BD!$B$3:$B$5001,I$149,BD!$A$3:$A$5001,_xlfn.MAXIFS(BD!$A$3:$A$5001,BD!$B$3:$B$5001,I$149,BD!$A$3:$A$5001,"&gt;="&amp;$C$7,BD!$A$3:$A$5001,"&lt;="&amp;$B151,BD!$M$3:$M$5001,"&lt;&gt;"))))</f>
        <v/>
      </c>
      <c r="J151" s="43" t="str">
        <f>IF(OR($B151="",$A151&gt;$B$9,J$149=""),"",IF(COUNTIFS(BD!$B$3:$B$5001,J$149,BD!$A$3:$A$5001,"&gt;="&amp;$C$7,BD!$A$3:$A$5001,"&lt;="&amp;$B151,BD!$M$3:$M$5001,"&lt;&gt;")=0,"",SUMIFS(BD!$M$3:$M$5001,BD!$B$3:$B$5001,J$149,BD!$A$3:$A$5001,_xlfn.MAXIFS(BD!$A$3:$A$5001,BD!$B$3:$B$5001,J$149,BD!$A$3:$A$5001,"&gt;="&amp;$C$7,BD!$A$3:$A$5001,"&lt;="&amp;$B151,BD!$M$3:$M$5001,"&lt;&gt;"))))</f>
        <v/>
      </c>
      <c r="K151" s="43" t="str">
        <f>IF(OR($B151="",$A151&gt;$B$9,K$149=""),"",IF(COUNTIFS(BD!$B$3:$B$5001,K$149,BD!$A$3:$A$5001,"&gt;="&amp;$C$7,BD!$A$3:$A$5001,"&lt;="&amp;$B151,BD!$M$3:$M$5001,"&lt;&gt;")=0,"",SUMIFS(BD!$M$3:$M$5001,BD!$B$3:$B$5001,K$149,BD!$A$3:$A$5001,_xlfn.MAXIFS(BD!$A$3:$A$5001,BD!$B$3:$B$5001,K$149,BD!$A$3:$A$5001,"&gt;="&amp;$C$7,BD!$A$3:$A$5001,"&lt;="&amp;$B151,BD!$M$3:$M$5001,"&lt;&gt;"))))</f>
        <v/>
      </c>
      <c r="L151" s="43" t="str">
        <f>IF(OR($B151="",$A151&gt;$B$9,L$149=""),"",IF(COUNTIFS(BD!$B$3:$B$5001,L$149,BD!$A$3:$A$5001,"&gt;="&amp;$C$7,BD!$A$3:$A$5001,"&lt;="&amp;$B151,BD!$M$3:$M$5001,"&lt;&gt;")=0,"",SUMIFS(BD!$M$3:$M$5001,BD!$B$3:$B$5001,L$149,BD!$A$3:$A$5001,_xlfn.MAXIFS(BD!$A$3:$A$5001,BD!$B$3:$B$5001,L$149,BD!$A$3:$A$5001,"&gt;="&amp;$C$7,BD!$A$3:$A$5001,"&lt;="&amp;$B151,BD!$M$3:$M$5001,"&lt;&gt;"))))</f>
        <v/>
      </c>
      <c r="M151" s="43" t="str">
        <f>IF(OR($B151="",$A151&gt;$B$9,M$149=""),"",IF(COUNTIFS(BD!$B$3:$B$5001,M$149,BD!$A$3:$A$5001,"&gt;="&amp;$C$7,BD!$A$3:$A$5001,"&lt;="&amp;$B151,BD!$M$3:$M$5001,"&lt;&gt;")=0,"",SUMIFS(BD!$M$3:$M$5001,BD!$B$3:$B$5001,M$149,BD!$A$3:$A$5001,_xlfn.MAXIFS(BD!$A$3:$A$5001,BD!$B$3:$B$5001,M$149,BD!$A$3:$A$5001,"&gt;="&amp;$C$7,BD!$A$3:$A$5001,"&lt;="&amp;$B151,BD!$M$3:$M$5001,"&lt;&gt;"))))</f>
        <v/>
      </c>
      <c r="N151" s="43" t="str">
        <f>IF(OR($B151="",$A151&gt;$B$9,N$149=""),"",IF(COUNTIFS(BD!$B$3:$B$5001,N$149,BD!$A$3:$A$5001,"&gt;="&amp;$C$7,BD!$A$3:$A$5001,"&lt;="&amp;$B151,BD!$M$3:$M$5001,"&lt;&gt;")=0,"",SUMIFS(BD!$M$3:$M$5001,BD!$B$3:$B$5001,N$149,BD!$A$3:$A$5001,_xlfn.MAXIFS(BD!$A$3:$A$5001,BD!$B$3:$B$5001,N$149,BD!$A$3:$A$5001,"&gt;="&amp;$C$7,BD!$A$3:$A$5001,"&lt;="&amp;$B151,BD!$M$3:$M$5001,"&lt;&gt;"))))</f>
        <v/>
      </c>
      <c r="O151" s="43" t="str">
        <f>IF(OR($B151="",$A151&gt;$B$9,O$149=""),"",IF(COUNTIFS(BD!$B$3:$B$5001,O$149,BD!$A$3:$A$5001,"&gt;="&amp;$C$7,BD!$A$3:$A$5001,"&lt;="&amp;$B151,BD!$M$3:$M$5001,"&lt;&gt;")=0,"",SUMIFS(BD!$M$3:$M$5001,BD!$B$3:$B$5001,O$149,BD!$A$3:$A$5001,_xlfn.MAXIFS(BD!$A$3:$A$5001,BD!$B$3:$B$5001,O$149,BD!$A$3:$A$5001,"&gt;="&amp;$C$7,BD!$A$3:$A$5001,"&lt;="&amp;$B151,BD!$M$3:$M$5001,"&lt;&gt;"))))</f>
        <v/>
      </c>
      <c r="P151" s="43" t="str">
        <f>IF(OR($B151="",$A151&gt;$B$9,P$149=""),"",IF(COUNTIFS(BD!$B$3:$B$5001,P$149,BD!$A$3:$A$5001,"&gt;="&amp;$C$7,BD!$A$3:$A$5001,"&lt;="&amp;$B151,BD!$M$3:$M$5001,"&lt;&gt;")=0,"",SUMIFS(BD!$M$3:$M$5001,BD!$B$3:$B$5001,P$149,BD!$A$3:$A$5001,_xlfn.MAXIFS(BD!$A$3:$A$5001,BD!$B$3:$B$5001,P$149,BD!$A$3:$A$5001,"&gt;="&amp;$C$7,BD!$A$3:$A$5001,"&lt;="&amp;$B151,BD!$M$3:$M$5001,"&lt;&gt;"))))</f>
        <v/>
      </c>
      <c r="Q151" s="43" t="str">
        <f>IF(OR($B151="",$A151&gt;$B$9,Q$149=""),"",IF(COUNTIFS(BD!$B$3:$B$5001,Q$149,BD!$A$3:$A$5001,"&gt;="&amp;$C$7,BD!$A$3:$A$5001,"&lt;="&amp;$B151,BD!$M$3:$M$5001,"&lt;&gt;")=0,"",SUMIFS(BD!$M$3:$M$5001,BD!$B$3:$B$5001,Q$149,BD!$A$3:$A$5001,_xlfn.MAXIFS(BD!$A$3:$A$5001,BD!$B$3:$B$5001,Q$149,BD!$A$3:$A$5001,"&gt;="&amp;$C$7,BD!$A$3:$A$5001,"&lt;="&amp;$B151,BD!$M$3:$M$5001,"&lt;&gt;"))))</f>
        <v/>
      </c>
      <c r="R151" s="43" t="str">
        <f>IF(OR($B151="",$A151&gt;$B$9,R$149=""),"",IF(COUNTIFS(BD!$B$3:$B$5001,R$149,BD!$A$3:$A$5001,"&gt;="&amp;$C$7,BD!$A$3:$A$5001,"&lt;="&amp;$B151,BD!$M$3:$M$5001,"&lt;&gt;")=0,"",SUMIFS(BD!$M$3:$M$5001,BD!$B$3:$B$5001,R$149,BD!$A$3:$A$5001,_xlfn.MAXIFS(BD!$A$3:$A$5001,BD!$B$3:$B$5001,R$149,BD!$A$3:$A$5001,"&gt;="&amp;$C$7,BD!$A$3:$A$5001,"&lt;="&amp;$B151,BD!$M$3:$M$5001,"&lt;&gt;"))))</f>
        <v/>
      </c>
      <c r="S151" s="43" t="str">
        <f>IF(OR($B151="",$A151&gt;$B$9,S$149=""),"",IF(COUNTIFS(BD!$B$3:$B$5001,S$149,BD!$A$3:$A$5001,"&gt;="&amp;$C$7,BD!$A$3:$A$5001,"&lt;="&amp;$B151,BD!$M$3:$M$5001,"&lt;&gt;")=0,"",SUMIFS(BD!$M$3:$M$5001,BD!$B$3:$B$5001,S$149,BD!$A$3:$A$5001,_xlfn.MAXIFS(BD!$A$3:$A$5001,BD!$B$3:$B$5001,S$149,BD!$A$3:$A$5001,"&gt;="&amp;$C$7,BD!$A$3:$A$5001,"&lt;="&amp;$B151,BD!$M$3:$M$5001,"&lt;&gt;"))))</f>
        <v/>
      </c>
      <c r="T151" s="43" t="str">
        <f>IF(OR($B151="",$A151&gt;$B$9,T$149=""),"",IF(COUNTIFS(BD!$B$3:$B$5001,T$149,BD!$A$3:$A$5001,"&gt;="&amp;$C$7,BD!$A$3:$A$5001,"&lt;="&amp;$B151,BD!$M$3:$M$5001,"&lt;&gt;")=0,"",SUMIFS(BD!$M$3:$M$5001,BD!$B$3:$B$5001,T$149,BD!$A$3:$A$5001,_xlfn.MAXIFS(BD!$A$3:$A$5001,BD!$B$3:$B$5001,T$149,BD!$A$3:$A$5001,"&gt;="&amp;$C$7,BD!$A$3:$A$5001,"&lt;="&amp;$B151,BD!$M$3:$M$5001,"&lt;&gt;"))))</f>
        <v/>
      </c>
      <c r="U151" s="43" t="str">
        <f>IF(OR($B151="",$A151&gt;$B$9,U$149=""),"",IF(COUNTIFS(BD!$B$3:$B$5001,U$149,BD!$A$3:$A$5001,"&gt;="&amp;$C$7,BD!$A$3:$A$5001,"&lt;="&amp;$B151,BD!$M$3:$M$5001,"&lt;&gt;")=0,"",SUMIFS(BD!$M$3:$M$5001,BD!$B$3:$B$5001,U$149,BD!$A$3:$A$5001,_xlfn.MAXIFS(BD!$A$3:$A$5001,BD!$B$3:$B$5001,U$149,BD!$A$3:$A$5001,"&gt;="&amp;$C$7,BD!$A$3:$A$5001,"&lt;="&amp;$B151,BD!$M$3:$M$5001,"&lt;&gt;"))))</f>
        <v/>
      </c>
      <c r="V151" s="43" t="str">
        <f>IF(OR($B151="",$A151&gt;$B$9,V$149=""),"",IF(COUNTIFS(BD!$B$3:$B$5001,V$149,BD!$A$3:$A$5001,"&gt;="&amp;$C$7,BD!$A$3:$A$5001,"&lt;="&amp;$B151,BD!$M$3:$M$5001,"&lt;&gt;")=0,"",SUMIFS(BD!$M$3:$M$5001,BD!$B$3:$B$5001,V$149,BD!$A$3:$A$5001,_xlfn.MAXIFS(BD!$A$3:$A$5001,BD!$B$3:$B$5001,V$149,BD!$A$3:$A$5001,"&gt;="&amp;$C$7,BD!$A$3:$A$5001,"&lt;="&amp;$B151,BD!$M$3:$M$5001,"&lt;&gt;"))))</f>
        <v/>
      </c>
    </row>
    <row r="152">
      <c r="A152" s="38">
        <v>3</v>
      </c>
      <c r="B152" s="42">
        <f>$B$14</f>
        <v>46298</v>
      </c>
      <c r="C152" s="43" t="str">
        <f>IF(OR($B152="",$A152&gt;$B$9,C$149=""),"",IF(COUNTIFS(BD!$B$3:$B$5001,C$149,BD!$A$3:$A$5001,"&gt;="&amp;$C$7,BD!$A$3:$A$5001,"&lt;="&amp;$B152,BD!$M$3:$M$5001,"&lt;&gt;")=0,"",SUMIFS(BD!$M$3:$M$5001,BD!$B$3:$B$5001,C$149,BD!$A$3:$A$5001,_xlfn.MAXIFS(BD!$A$3:$A$5001,BD!$B$3:$B$5001,C$149,BD!$A$3:$A$5001,"&gt;="&amp;$C$7,BD!$A$3:$A$5001,"&lt;="&amp;$B152,BD!$M$3:$M$5001,"&lt;&gt;"))))</f>
        <v/>
      </c>
      <c r="D152" s="43" t="str">
        <f>IF(OR($B152="",$A152&gt;$B$9,D$149=""),"",IF(COUNTIFS(BD!$B$3:$B$5001,D$149,BD!$A$3:$A$5001,"&gt;="&amp;$C$7,BD!$A$3:$A$5001,"&lt;="&amp;$B152,BD!$M$3:$M$5001,"&lt;&gt;")=0,"",SUMIFS(BD!$M$3:$M$5001,BD!$B$3:$B$5001,D$149,BD!$A$3:$A$5001,_xlfn.MAXIFS(BD!$A$3:$A$5001,BD!$B$3:$B$5001,D$149,BD!$A$3:$A$5001,"&gt;="&amp;$C$7,BD!$A$3:$A$5001,"&lt;="&amp;$B152,BD!$M$3:$M$5001,"&lt;&gt;"))))</f>
        <v/>
      </c>
      <c r="E152" s="43" t="str">
        <f>IF(OR($B152="",$A152&gt;$B$9,E$149=""),"",IF(COUNTIFS(BD!$B$3:$B$5001,E$149,BD!$A$3:$A$5001,"&gt;="&amp;$C$7,BD!$A$3:$A$5001,"&lt;="&amp;$B152,BD!$M$3:$M$5001,"&lt;&gt;")=0,"",SUMIFS(BD!$M$3:$M$5001,BD!$B$3:$B$5001,E$149,BD!$A$3:$A$5001,_xlfn.MAXIFS(BD!$A$3:$A$5001,BD!$B$3:$B$5001,E$149,BD!$A$3:$A$5001,"&gt;="&amp;$C$7,BD!$A$3:$A$5001,"&lt;="&amp;$B152,BD!$M$3:$M$5001,"&lt;&gt;"))))</f>
        <v/>
      </c>
      <c r="F152" s="43" t="str">
        <f>IF(OR($B152="",$A152&gt;$B$9,F$149=""),"",IF(COUNTIFS(BD!$B$3:$B$5001,F$149,BD!$A$3:$A$5001,"&gt;="&amp;$C$7,BD!$A$3:$A$5001,"&lt;="&amp;$B152,BD!$M$3:$M$5001,"&lt;&gt;")=0,"",SUMIFS(BD!$M$3:$M$5001,BD!$B$3:$B$5001,F$149,BD!$A$3:$A$5001,_xlfn.MAXIFS(BD!$A$3:$A$5001,BD!$B$3:$B$5001,F$149,BD!$A$3:$A$5001,"&gt;="&amp;$C$7,BD!$A$3:$A$5001,"&lt;="&amp;$B152,BD!$M$3:$M$5001,"&lt;&gt;"))))</f>
        <v/>
      </c>
      <c r="G152" s="43" t="str">
        <f>IF(OR($B152="",$A152&gt;$B$9,G$149=""),"",IF(COUNTIFS(BD!$B$3:$B$5001,G$149,BD!$A$3:$A$5001,"&gt;="&amp;$C$7,BD!$A$3:$A$5001,"&lt;="&amp;$B152,BD!$M$3:$M$5001,"&lt;&gt;")=0,"",SUMIFS(BD!$M$3:$M$5001,BD!$B$3:$B$5001,G$149,BD!$A$3:$A$5001,_xlfn.MAXIFS(BD!$A$3:$A$5001,BD!$B$3:$B$5001,G$149,BD!$A$3:$A$5001,"&gt;="&amp;$C$7,BD!$A$3:$A$5001,"&lt;="&amp;$B152,BD!$M$3:$M$5001,"&lt;&gt;"))))</f>
        <v/>
      </c>
      <c r="H152" s="43" t="str">
        <f>IF(OR($B152="",$A152&gt;$B$9,H$149=""),"",IF(COUNTIFS(BD!$B$3:$B$5001,H$149,BD!$A$3:$A$5001,"&gt;="&amp;$C$7,BD!$A$3:$A$5001,"&lt;="&amp;$B152,BD!$M$3:$M$5001,"&lt;&gt;")=0,"",SUMIFS(BD!$M$3:$M$5001,BD!$B$3:$B$5001,H$149,BD!$A$3:$A$5001,_xlfn.MAXIFS(BD!$A$3:$A$5001,BD!$B$3:$B$5001,H$149,BD!$A$3:$A$5001,"&gt;="&amp;$C$7,BD!$A$3:$A$5001,"&lt;="&amp;$B152,BD!$M$3:$M$5001,"&lt;&gt;"))))</f>
        <v/>
      </c>
      <c r="I152" s="43" t="str">
        <f>IF(OR($B152="",$A152&gt;$B$9,I$149=""),"",IF(COUNTIFS(BD!$B$3:$B$5001,I$149,BD!$A$3:$A$5001,"&gt;="&amp;$C$7,BD!$A$3:$A$5001,"&lt;="&amp;$B152,BD!$M$3:$M$5001,"&lt;&gt;")=0,"",SUMIFS(BD!$M$3:$M$5001,BD!$B$3:$B$5001,I$149,BD!$A$3:$A$5001,_xlfn.MAXIFS(BD!$A$3:$A$5001,BD!$B$3:$B$5001,I$149,BD!$A$3:$A$5001,"&gt;="&amp;$C$7,BD!$A$3:$A$5001,"&lt;="&amp;$B152,BD!$M$3:$M$5001,"&lt;&gt;"))))</f>
        <v/>
      </c>
      <c r="J152" s="43" t="str">
        <f>IF(OR($B152="",$A152&gt;$B$9,J$149=""),"",IF(COUNTIFS(BD!$B$3:$B$5001,J$149,BD!$A$3:$A$5001,"&gt;="&amp;$C$7,BD!$A$3:$A$5001,"&lt;="&amp;$B152,BD!$M$3:$M$5001,"&lt;&gt;")=0,"",SUMIFS(BD!$M$3:$M$5001,BD!$B$3:$B$5001,J$149,BD!$A$3:$A$5001,_xlfn.MAXIFS(BD!$A$3:$A$5001,BD!$B$3:$B$5001,J$149,BD!$A$3:$A$5001,"&gt;="&amp;$C$7,BD!$A$3:$A$5001,"&lt;="&amp;$B152,BD!$M$3:$M$5001,"&lt;&gt;"))))</f>
        <v/>
      </c>
      <c r="K152" s="43" t="str">
        <f>IF(OR($B152="",$A152&gt;$B$9,K$149=""),"",IF(COUNTIFS(BD!$B$3:$B$5001,K$149,BD!$A$3:$A$5001,"&gt;="&amp;$C$7,BD!$A$3:$A$5001,"&lt;="&amp;$B152,BD!$M$3:$M$5001,"&lt;&gt;")=0,"",SUMIFS(BD!$M$3:$M$5001,BD!$B$3:$B$5001,K$149,BD!$A$3:$A$5001,_xlfn.MAXIFS(BD!$A$3:$A$5001,BD!$B$3:$B$5001,K$149,BD!$A$3:$A$5001,"&gt;="&amp;$C$7,BD!$A$3:$A$5001,"&lt;="&amp;$B152,BD!$M$3:$M$5001,"&lt;&gt;"))))</f>
        <v/>
      </c>
      <c r="L152" s="43" t="str">
        <f>IF(OR($B152="",$A152&gt;$B$9,L$149=""),"",IF(COUNTIFS(BD!$B$3:$B$5001,L$149,BD!$A$3:$A$5001,"&gt;="&amp;$C$7,BD!$A$3:$A$5001,"&lt;="&amp;$B152,BD!$M$3:$M$5001,"&lt;&gt;")=0,"",SUMIFS(BD!$M$3:$M$5001,BD!$B$3:$B$5001,L$149,BD!$A$3:$A$5001,_xlfn.MAXIFS(BD!$A$3:$A$5001,BD!$B$3:$B$5001,L$149,BD!$A$3:$A$5001,"&gt;="&amp;$C$7,BD!$A$3:$A$5001,"&lt;="&amp;$B152,BD!$M$3:$M$5001,"&lt;&gt;"))))</f>
        <v/>
      </c>
      <c r="M152" s="43" t="str">
        <f>IF(OR($B152="",$A152&gt;$B$9,M$149=""),"",IF(COUNTIFS(BD!$B$3:$B$5001,M$149,BD!$A$3:$A$5001,"&gt;="&amp;$C$7,BD!$A$3:$A$5001,"&lt;="&amp;$B152,BD!$M$3:$M$5001,"&lt;&gt;")=0,"",SUMIFS(BD!$M$3:$M$5001,BD!$B$3:$B$5001,M$149,BD!$A$3:$A$5001,_xlfn.MAXIFS(BD!$A$3:$A$5001,BD!$B$3:$B$5001,M$149,BD!$A$3:$A$5001,"&gt;="&amp;$C$7,BD!$A$3:$A$5001,"&lt;="&amp;$B152,BD!$M$3:$M$5001,"&lt;&gt;"))))</f>
        <v/>
      </c>
      <c r="N152" s="43" t="str">
        <f>IF(OR($B152="",$A152&gt;$B$9,N$149=""),"",IF(COUNTIFS(BD!$B$3:$B$5001,N$149,BD!$A$3:$A$5001,"&gt;="&amp;$C$7,BD!$A$3:$A$5001,"&lt;="&amp;$B152,BD!$M$3:$M$5001,"&lt;&gt;")=0,"",SUMIFS(BD!$M$3:$M$5001,BD!$B$3:$B$5001,N$149,BD!$A$3:$A$5001,_xlfn.MAXIFS(BD!$A$3:$A$5001,BD!$B$3:$B$5001,N$149,BD!$A$3:$A$5001,"&gt;="&amp;$C$7,BD!$A$3:$A$5001,"&lt;="&amp;$B152,BD!$M$3:$M$5001,"&lt;&gt;"))))</f>
        <v/>
      </c>
      <c r="O152" s="43" t="str">
        <f>IF(OR($B152="",$A152&gt;$B$9,O$149=""),"",IF(COUNTIFS(BD!$B$3:$B$5001,O$149,BD!$A$3:$A$5001,"&gt;="&amp;$C$7,BD!$A$3:$A$5001,"&lt;="&amp;$B152,BD!$M$3:$M$5001,"&lt;&gt;")=0,"",SUMIFS(BD!$M$3:$M$5001,BD!$B$3:$B$5001,O$149,BD!$A$3:$A$5001,_xlfn.MAXIFS(BD!$A$3:$A$5001,BD!$B$3:$B$5001,O$149,BD!$A$3:$A$5001,"&gt;="&amp;$C$7,BD!$A$3:$A$5001,"&lt;="&amp;$B152,BD!$M$3:$M$5001,"&lt;&gt;"))))</f>
        <v/>
      </c>
      <c r="P152" s="43" t="str">
        <f>IF(OR($B152="",$A152&gt;$B$9,P$149=""),"",IF(COUNTIFS(BD!$B$3:$B$5001,P$149,BD!$A$3:$A$5001,"&gt;="&amp;$C$7,BD!$A$3:$A$5001,"&lt;="&amp;$B152,BD!$M$3:$M$5001,"&lt;&gt;")=0,"",SUMIFS(BD!$M$3:$M$5001,BD!$B$3:$B$5001,P$149,BD!$A$3:$A$5001,_xlfn.MAXIFS(BD!$A$3:$A$5001,BD!$B$3:$B$5001,P$149,BD!$A$3:$A$5001,"&gt;="&amp;$C$7,BD!$A$3:$A$5001,"&lt;="&amp;$B152,BD!$M$3:$M$5001,"&lt;&gt;"))))</f>
        <v/>
      </c>
      <c r="Q152" s="43" t="str">
        <f>IF(OR($B152="",$A152&gt;$B$9,Q$149=""),"",IF(COUNTIFS(BD!$B$3:$B$5001,Q$149,BD!$A$3:$A$5001,"&gt;="&amp;$C$7,BD!$A$3:$A$5001,"&lt;="&amp;$B152,BD!$M$3:$M$5001,"&lt;&gt;")=0,"",SUMIFS(BD!$M$3:$M$5001,BD!$B$3:$B$5001,Q$149,BD!$A$3:$A$5001,_xlfn.MAXIFS(BD!$A$3:$A$5001,BD!$B$3:$B$5001,Q$149,BD!$A$3:$A$5001,"&gt;="&amp;$C$7,BD!$A$3:$A$5001,"&lt;="&amp;$B152,BD!$M$3:$M$5001,"&lt;&gt;"))))</f>
        <v/>
      </c>
      <c r="R152" s="43" t="str">
        <f>IF(OR($B152="",$A152&gt;$B$9,R$149=""),"",IF(COUNTIFS(BD!$B$3:$B$5001,R$149,BD!$A$3:$A$5001,"&gt;="&amp;$C$7,BD!$A$3:$A$5001,"&lt;="&amp;$B152,BD!$M$3:$M$5001,"&lt;&gt;")=0,"",SUMIFS(BD!$M$3:$M$5001,BD!$B$3:$B$5001,R$149,BD!$A$3:$A$5001,_xlfn.MAXIFS(BD!$A$3:$A$5001,BD!$B$3:$B$5001,R$149,BD!$A$3:$A$5001,"&gt;="&amp;$C$7,BD!$A$3:$A$5001,"&lt;="&amp;$B152,BD!$M$3:$M$5001,"&lt;&gt;"))))</f>
        <v/>
      </c>
      <c r="S152" s="43" t="str">
        <f>IF(OR($B152="",$A152&gt;$B$9,S$149=""),"",IF(COUNTIFS(BD!$B$3:$B$5001,S$149,BD!$A$3:$A$5001,"&gt;="&amp;$C$7,BD!$A$3:$A$5001,"&lt;="&amp;$B152,BD!$M$3:$M$5001,"&lt;&gt;")=0,"",SUMIFS(BD!$M$3:$M$5001,BD!$B$3:$B$5001,S$149,BD!$A$3:$A$5001,_xlfn.MAXIFS(BD!$A$3:$A$5001,BD!$B$3:$B$5001,S$149,BD!$A$3:$A$5001,"&gt;="&amp;$C$7,BD!$A$3:$A$5001,"&lt;="&amp;$B152,BD!$M$3:$M$5001,"&lt;&gt;"))))</f>
        <v/>
      </c>
      <c r="T152" s="43" t="str">
        <f>IF(OR($B152="",$A152&gt;$B$9,T$149=""),"",IF(COUNTIFS(BD!$B$3:$B$5001,T$149,BD!$A$3:$A$5001,"&gt;="&amp;$C$7,BD!$A$3:$A$5001,"&lt;="&amp;$B152,BD!$M$3:$M$5001,"&lt;&gt;")=0,"",SUMIFS(BD!$M$3:$M$5001,BD!$B$3:$B$5001,T$149,BD!$A$3:$A$5001,_xlfn.MAXIFS(BD!$A$3:$A$5001,BD!$B$3:$B$5001,T$149,BD!$A$3:$A$5001,"&gt;="&amp;$C$7,BD!$A$3:$A$5001,"&lt;="&amp;$B152,BD!$M$3:$M$5001,"&lt;&gt;"))))</f>
        <v/>
      </c>
      <c r="U152" s="43" t="str">
        <f>IF(OR($B152="",$A152&gt;$B$9,U$149=""),"",IF(COUNTIFS(BD!$B$3:$B$5001,U$149,BD!$A$3:$A$5001,"&gt;="&amp;$C$7,BD!$A$3:$A$5001,"&lt;="&amp;$B152,BD!$M$3:$M$5001,"&lt;&gt;")=0,"",SUMIFS(BD!$M$3:$M$5001,BD!$B$3:$B$5001,U$149,BD!$A$3:$A$5001,_xlfn.MAXIFS(BD!$A$3:$A$5001,BD!$B$3:$B$5001,U$149,BD!$A$3:$A$5001,"&gt;="&amp;$C$7,BD!$A$3:$A$5001,"&lt;="&amp;$B152,BD!$M$3:$M$5001,"&lt;&gt;"))))</f>
        <v/>
      </c>
      <c r="V152" s="43" t="str">
        <f>IF(OR($B152="",$A152&gt;$B$9,V$149=""),"",IF(COUNTIFS(BD!$B$3:$B$5001,V$149,BD!$A$3:$A$5001,"&gt;="&amp;$C$7,BD!$A$3:$A$5001,"&lt;="&amp;$B152,BD!$M$3:$M$5001,"&lt;&gt;")=0,"",SUMIFS(BD!$M$3:$M$5001,BD!$B$3:$B$5001,V$149,BD!$A$3:$A$5001,_xlfn.MAXIFS(BD!$A$3:$A$5001,BD!$B$3:$B$5001,V$149,BD!$A$3:$A$5001,"&gt;="&amp;$C$7,BD!$A$3:$A$5001,"&lt;="&amp;$B152,BD!$M$3:$M$5001,"&lt;&gt;"))))</f>
        <v/>
      </c>
    </row>
    <row r="153">
      <c r="A153" s="38">
        <v>4</v>
      </c>
      <c r="B153" s="42">
        <f>$B$15</f>
        <v>46299</v>
      </c>
      <c r="C153" s="43" t="str">
        <f>IF(OR($B153="",$A153&gt;$B$9,C$149=""),"",IF(COUNTIFS(BD!$B$3:$B$5001,C$149,BD!$A$3:$A$5001,"&gt;="&amp;$C$7,BD!$A$3:$A$5001,"&lt;="&amp;$B153,BD!$M$3:$M$5001,"&lt;&gt;")=0,"",SUMIFS(BD!$M$3:$M$5001,BD!$B$3:$B$5001,C$149,BD!$A$3:$A$5001,_xlfn.MAXIFS(BD!$A$3:$A$5001,BD!$B$3:$B$5001,C$149,BD!$A$3:$A$5001,"&gt;="&amp;$C$7,BD!$A$3:$A$5001,"&lt;="&amp;$B153,BD!$M$3:$M$5001,"&lt;&gt;"))))</f>
        <v/>
      </c>
      <c r="D153" s="43" t="str">
        <f>IF(OR($B153="",$A153&gt;$B$9,D$149=""),"",IF(COUNTIFS(BD!$B$3:$B$5001,D$149,BD!$A$3:$A$5001,"&gt;="&amp;$C$7,BD!$A$3:$A$5001,"&lt;="&amp;$B153,BD!$M$3:$M$5001,"&lt;&gt;")=0,"",SUMIFS(BD!$M$3:$M$5001,BD!$B$3:$B$5001,D$149,BD!$A$3:$A$5001,_xlfn.MAXIFS(BD!$A$3:$A$5001,BD!$B$3:$B$5001,D$149,BD!$A$3:$A$5001,"&gt;="&amp;$C$7,BD!$A$3:$A$5001,"&lt;="&amp;$B153,BD!$M$3:$M$5001,"&lt;&gt;"))))</f>
        <v/>
      </c>
      <c r="E153" s="43" t="str">
        <f>IF(OR($B153="",$A153&gt;$B$9,E$149=""),"",IF(COUNTIFS(BD!$B$3:$B$5001,E$149,BD!$A$3:$A$5001,"&gt;="&amp;$C$7,BD!$A$3:$A$5001,"&lt;="&amp;$B153,BD!$M$3:$M$5001,"&lt;&gt;")=0,"",SUMIFS(BD!$M$3:$M$5001,BD!$B$3:$B$5001,E$149,BD!$A$3:$A$5001,_xlfn.MAXIFS(BD!$A$3:$A$5001,BD!$B$3:$B$5001,E$149,BD!$A$3:$A$5001,"&gt;="&amp;$C$7,BD!$A$3:$A$5001,"&lt;="&amp;$B153,BD!$M$3:$M$5001,"&lt;&gt;"))))</f>
        <v/>
      </c>
      <c r="F153" s="43" t="str">
        <f>IF(OR($B153="",$A153&gt;$B$9,F$149=""),"",IF(COUNTIFS(BD!$B$3:$B$5001,F$149,BD!$A$3:$A$5001,"&gt;="&amp;$C$7,BD!$A$3:$A$5001,"&lt;="&amp;$B153,BD!$M$3:$M$5001,"&lt;&gt;")=0,"",SUMIFS(BD!$M$3:$M$5001,BD!$B$3:$B$5001,F$149,BD!$A$3:$A$5001,_xlfn.MAXIFS(BD!$A$3:$A$5001,BD!$B$3:$B$5001,F$149,BD!$A$3:$A$5001,"&gt;="&amp;$C$7,BD!$A$3:$A$5001,"&lt;="&amp;$B153,BD!$M$3:$M$5001,"&lt;&gt;"))))</f>
        <v/>
      </c>
      <c r="G153" s="43" t="str">
        <f>IF(OR($B153="",$A153&gt;$B$9,G$149=""),"",IF(COUNTIFS(BD!$B$3:$B$5001,G$149,BD!$A$3:$A$5001,"&gt;="&amp;$C$7,BD!$A$3:$A$5001,"&lt;="&amp;$B153,BD!$M$3:$M$5001,"&lt;&gt;")=0,"",SUMIFS(BD!$M$3:$M$5001,BD!$B$3:$B$5001,G$149,BD!$A$3:$A$5001,_xlfn.MAXIFS(BD!$A$3:$A$5001,BD!$B$3:$B$5001,G$149,BD!$A$3:$A$5001,"&gt;="&amp;$C$7,BD!$A$3:$A$5001,"&lt;="&amp;$B153,BD!$M$3:$M$5001,"&lt;&gt;"))))</f>
        <v/>
      </c>
      <c r="H153" s="43" t="str">
        <f>IF(OR($B153="",$A153&gt;$B$9,H$149=""),"",IF(COUNTIFS(BD!$B$3:$B$5001,H$149,BD!$A$3:$A$5001,"&gt;="&amp;$C$7,BD!$A$3:$A$5001,"&lt;="&amp;$B153,BD!$M$3:$M$5001,"&lt;&gt;")=0,"",SUMIFS(BD!$M$3:$M$5001,BD!$B$3:$B$5001,H$149,BD!$A$3:$A$5001,_xlfn.MAXIFS(BD!$A$3:$A$5001,BD!$B$3:$B$5001,H$149,BD!$A$3:$A$5001,"&gt;="&amp;$C$7,BD!$A$3:$A$5001,"&lt;="&amp;$B153,BD!$M$3:$M$5001,"&lt;&gt;"))))</f>
        <v/>
      </c>
      <c r="I153" s="43" t="str">
        <f>IF(OR($B153="",$A153&gt;$B$9,I$149=""),"",IF(COUNTIFS(BD!$B$3:$B$5001,I$149,BD!$A$3:$A$5001,"&gt;="&amp;$C$7,BD!$A$3:$A$5001,"&lt;="&amp;$B153,BD!$M$3:$M$5001,"&lt;&gt;")=0,"",SUMIFS(BD!$M$3:$M$5001,BD!$B$3:$B$5001,I$149,BD!$A$3:$A$5001,_xlfn.MAXIFS(BD!$A$3:$A$5001,BD!$B$3:$B$5001,I$149,BD!$A$3:$A$5001,"&gt;="&amp;$C$7,BD!$A$3:$A$5001,"&lt;="&amp;$B153,BD!$M$3:$M$5001,"&lt;&gt;"))))</f>
        <v/>
      </c>
      <c r="J153" s="43" t="str">
        <f>IF(OR($B153="",$A153&gt;$B$9,J$149=""),"",IF(COUNTIFS(BD!$B$3:$B$5001,J$149,BD!$A$3:$A$5001,"&gt;="&amp;$C$7,BD!$A$3:$A$5001,"&lt;="&amp;$B153,BD!$M$3:$M$5001,"&lt;&gt;")=0,"",SUMIFS(BD!$M$3:$M$5001,BD!$B$3:$B$5001,J$149,BD!$A$3:$A$5001,_xlfn.MAXIFS(BD!$A$3:$A$5001,BD!$B$3:$B$5001,J$149,BD!$A$3:$A$5001,"&gt;="&amp;$C$7,BD!$A$3:$A$5001,"&lt;="&amp;$B153,BD!$M$3:$M$5001,"&lt;&gt;"))))</f>
        <v/>
      </c>
      <c r="K153" s="43" t="str">
        <f>IF(OR($B153="",$A153&gt;$B$9,K$149=""),"",IF(COUNTIFS(BD!$B$3:$B$5001,K$149,BD!$A$3:$A$5001,"&gt;="&amp;$C$7,BD!$A$3:$A$5001,"&lt;="&amp;$B153,BD!$M$3:$M$5001,"&lt;&gt;")=0,"",SUMIFS(BD!$M$3:$M$5001,BD!$B$3:$B$5001,K$149,BD!$A$3:$A$5001,_xlfn.MAXIFS(BD!$A$3:$A$5001,BD!$B$3:$B$5001,K$149,BD!$A$3:$A$5001,"&gt;="&amp;$C$7,BD!$A$3:$A$5001,"&lt;="&amp;$B153,BD!$M$3:$M$5001,"&lt;&gt;"))))</f>
        <v/>
      </c>
      <c r="L153" s="43" t="str">
        <f>IF(OR($B153="",$A153&gt;$B$9,L$149=""),"",IF(COUNTIFS(BD!$B$3:$B$5001,L$149,BD!$A$3:$A$5001,"&gt;="&amp;$C$7,BD!$A$3:$A$5001,"&lt;="&amp;$B153,BD!$M$3:$M$5001,"&lt;&gt;")=0,"",SUMIFS(BD!$M$3:$M$5001,BD!$B$3:$B$5001,L$149,BD!$A$3:$A$5001,_xlfn.MAXIFS(BD!$A$3:$A$5001,BD!$B$3:$B$5001,L$149,BD!$A$3:$A$5001,"&gt;="&amp;$C$7,BD!$A$3:$A$5001,"&lt;="&amp;$B153,BD!$M$3:$M$5001,"&lt;&gt;"))))</f>
        <v/>
      </c>
      <c r="M153" s="43" t="str">
        <f>IF(OR($B153="",$A153&gt;$B$9,M$149=""),"",IF(COUNTIFS(BD!$B$3:$B$5001,M$149,BD!$A$3:$A$5001,"&gt;="&amp;$C$7,BD!$A$3:$A$5001,"&lt;="&amp;$B153,BD!$M$3:$M$5001,"&lt;&gt;")=0,"",SUMIFS(BD!$M$3:$M$5001,BD!$B$3:$B$5001,M$149,BD!$A$3:$A$5001,_xlfn.MAXIFS(BD!$A$3:$A$5001,BD!$B$3:$B$5001,M$149,BD!$A$3:$A$5001,"&gt;="&amp;$C$7,BD!$A$3:$A$5001,"&lt;="&amp;$B153,BD!$M$3:$M$5001,"&lt;&gt;"))))</f>
        <v/>
      </c>
      <c r="N153" s="43" t="str">
        <f>IF(OR($B153="",$A153&gt;$B$9,N$149=""),"",IF(COUNTIFS(BD!$B$3:$B$5001,N$149,BD!$A$3:$A$5001,"&gt;="&amp;$C$7,BD!$A$3:$A$5001,"&lt;="&amp;$B153,BD!$M$3:$M$5001,"&lt;&gt;")=0,"",SUMIFS(BD!$M$3:$M$5001,BD!$B$3:$B$5001,N$149,BD!$A$3:$A$5001,_xlfn.MAXIFS(BD!$A$3:$A$5001,BD!$B$3:$B$5001,N$149,BD!$A$3:$A$5001,"&gt;="&amp;$C$7,BD!$A$3:$A$5001,"&lt;="&amp;$B153,BD!$M$3:$M$5001,"&lt;&gt;"))))</f>
        <v/>
      </c>
      <c r="O153" s="43" t="str">
        <f>IF(OR($B153="",$A153&gt;$B$9,O$149=""),"",IF(COUNTIFS(BD!$B$3:$B$5001,O$149,BD!$A$3:$A$5001,"&gt;="&amp;$C$7,BD!$A$3:$A$5001,"&lt;="&amp;$B153,BD!$M$3:$M$5001,"&lt;&gt;")=0,"",SUMIFS(BD!$M$3:$M$5001,BD!$B$3:$B$5001,O$149,BD!$A$3:$A$5001,_xlfn.MAXIFS(BD!$A$3:$A$5001,BD!$B$3:$B$5001,O$149,BD!$A$3:$A$5001,"&gt;="&amp;$C$7,BD!$A$3:$A$5001,"&lt;="&amp;$B153,BD!$M$3:$M$5001,"&lt;&gt;"))))</f>
        <v/>
      </c>
      <c r="P153" s="43" t="str">
        <f>IF(OR($B153="",$A153&gt;$B$9,P$149=""),"",IF(COUNTIFS(BD!$B$3:$B$5001,P$149,BD!$A$3:$A$5001,"&gt;="&amp;$C$7,BD!$A$3:$A$5001,"&lt;="&amp;$B153,BD!$M$3:$M$5001,"&lt;&gt;")=0,"",SUMIFS(BD!$M$3:$M$5001,BD!$B$3:$B$5001,P$149,BD!$A$3:$A$5001,_xlfn.MAXIFS(BD!$A$3:$A$5001,BD!$B$3:$B$5001,P$149,BD!$A$3:$A$5001,"&gt;="&amp;$C$7,BD!$A$3:$A$5001,"&lt;="&amp;$B153,BD!$M$3:$M$5001,"&lt;&gt;"))))</f>
        <v/>
      </c>
      <c r="Q153" s="43" t="str">
        <f>IF(OR($B153="",$A153&gt;$B$9,Q$149=""),"",IF(COUNTIFS(BD!$B$3:$B$5001,Q$149,BD!$A$3:$A$5001,"&gt;="&amp;$C$7,BD!$A$3:$A$5001,"&lt;="&amp;$B153,BD!$M$3:$M$5001,"&lt;&gt;")=0,"",SUMIFS(BD!$M$3:$M$5001,BD!$B$3:$B$5001,Q$149,BD!$A$3:$A$5001,_xlfn.MAXIFS(BD!$A$3:$A$5001,BD!$B$3:$B$5001,Q$149,BD!$A$3:$A$5001,"&gt;="&amp;$C$7,BD!$A$3:$A$5001,"&lt;="&amp;$B153,BD!$M$3:$M$5001,"&lt;&gt;"))))</f>
        <v/>
      </c>
      <c r="R153" s="43" t="str">
        <f>IF(OR($B153="",$A153&gt;$B$9,R$149=""),"",IF(COUNTIFS(BD!$B$3:$B$5001,R$149,BD!$A$3:$A$5001,"&gt;="&amp;$C$7,BD!$A$3:$A$5001,"&lt;="&amp;$B153,BD!$M$3:$M$5001,"&lt;&gt;")=0,"",SUMIFS(BD!$M$3:$M$5001,BD!$B$3:$B$5001,R$149,BD!$A$3:$A$5001,_xlfn.MAXIFS(BD!$A$3:$A$5001,BD!$B$3:$B$5001,R$149,BD!$A$3:$A$5001,"&gt;="&amp;$C$7,BD!$A$3:$A$5001,"&lt;="&amp;$B153,BD!$M$3:$M$5001,"&lt;&gt;"))))</f>
        <v/>
      </c>
      <c r="S153" s="43" t="str">
        <f>IF(OR($B153="",$A153&gt;$B$9,S$149=""),"",IF(COUNTIFS(BD!$B$3:$B$5001,S$149,BD!$A$3:$A$5001,"&gt;="&amp;$C$7,BD!$A$3:$A$5001,"&lt;="&amp;$B153,BD!$M$3:$M$5001,"&lt;&gt;")=0,"",SUMIFS(BD!$M$3:$M$5001,BD!$B$3:$B$5001,S$149,BD!$A$3:$A$5001,_xlfn.MAXIFS(BD!$A$3:$A$5001,BD!$B$3:$B$5001,S$149,BD!$A$3:$A$5001,"&gt;="&amp;$C$7,BD!$A$3:$A$5001,"&lt;="&amp;$B153,BD!$M$3:$M$5001,"&lt;&gt;"))))</f>
        <v/>
      </c>
      <c r="T153" s="43" t="str">
        <f>IF(OR($B153="",$A153&gt;$B$9,T$149=""),"",IF(COUNTIFS(BD!$B$3:$B$5001,T$149,BD!$A$3:$A$5001,"&gt;="&amp;$C$7,BD!$A$3:$A$5001,"&lt;="&amp;$B153,BD!$M$3:$M$5001,"&lt;&gt;")=0,"",SUMIFS(BD!$M$3:$M$5001,BD!$B$3:$B$5001,T$149,BD!$A$3:$A$5001,_xlfn.MAXIFS(BD!$A$3:$A$5001,BD!$B$3:$B$5001,T$149,BD!$A$3:$A$5001,"&gt;="&amp;$C$7,BD!$A$3:$A$5001,"&lt;="&amp;$B153,BD!$M$3:$M$5001,"&lt;&gt;"))))</f>
        <v/>
      </c>
      <c r="U153" s="43" t="str">
        <f>IF(OR($B153="",$A153&gt;$B$9,U$149=""),"",IF(COUNTIFS(BD!$B$3:$B$5001,U$149,BD!$A$3:$A$5001,"&gt;="&amp;$C$7,BD!$A$3:$A$5001,"&lt;="&amp;$B153,BD!$M$3:$M$5001,"&lt;&gt;")=0,"",SUMIFS(BD!$M$3:$M$5001,BD!$B$3:$B$5001,U$149,BD!$A$3:$A$5001,_xlfn.MAXIFS(BD!$A$3:$A$5001,BD!$B$3:$B$5001,U$149,BD!$A$3:$A$5001,"&gt;="&amp;$C$7,BD!$A$3:$A$5001,"&lt;="&amp;$B153,BD!$M$3:$M$5001,"&lt;&gt;"))))</f>
        <v/>
      </c>
      <c r="V153" s="43" t="str">
        <f>IF(OR($B153="",$A153&gt;$B$9,V$149=""),"",IF(COUNTIFS(BD!$B$3:$B$5001,V$149,BD!$A$3:$A$5001,"&gt;="&amp;$C$7,BD!$A$3:$A$5001,"&lt;="&amp;$B153,BD!$M$3:$M$5001,"&lt;&gt;")=0,"",SUMIFS(BD!$M$3:$M$5001,BD!$B$3:$B$5001,V$149,BD!$A$3:$A$5001,_xlfn.MAXIFS(BD!$A$3:$A$5001,BD!$B$3:$B$5001,V$149,BD!$A$3:$A$5001,"&gt;="&amp;$C$7,BD!$A$3:$A$5001,"&lt;="&amp;$B153,BD!$M$3:$M$5001,"&lt;&gt;"))))</f>
        <v/>
      </c>
    </row>
    <row r="154">
      <c r="A154" s="38">
        <v>5</v>
      </c>
      <c r="B154" s="42">
        <f>$B$16</f>
        <v>46300</v>
      </c>
      <c r="C154" s="43" t="str">
        <f>IF(OR($B154="",$A154&gt;$B$9,C$149=""),"",IF(COUNTIFS(BD!$B$3:$B$5001,C$149,BD!$A$3:$A$5001,"&gt;="&amp;$C$7,BD!$A$3:$A$5001,"&lt;="&amp;$B154,BD!$M$3:$M$5001,"&lt;&gt;")=0,"",SUMIFS(BD!$M$3:$M$5001,BD!$B$3:$B$5001,C$149,BD!$A$3:$A$5001,_xlfn.MAXIFS(BD!$A$3:$A$5001,BD!$B$3:$B$5001,C$149,BD!$A$3:$A$5001,"&gt;="&amp;$C$7,BD!$A$3:$A$5001,"&lt;="&amp;$B154,BD!$M$3:$M$5001,"&lt;&gt;"))))</f>
        <v/>
      </c>
      <c r="D154" s="43" t="str">
        <f>IF(OR($B154="",$A154&gt;$B$9,D$149=""),"",IF(COUNTIFS(BD!$B$3:$B$5001,D$149,BD!$A$3:$A$5001,"&gt;="&amp;$C$7,BD!$A$3:$A$5001,"&lt;="&amp;$B154,BD!$M$3:$M$5001,"&lt;&gt;")=0,"",SUMIFS(BD!$M$3:$M$5001,BD!$B$3:$B$5001,D$149,BD!$A$3:$A$5001,_xlfn.MAXIFS(BD!$A$3:$A$5001,BD!$B$3:$B$5001,D$149,BD!$A$3:$A$5001,"&gt;="&amp;$C$7,BD!$A$3:$A$5001,"&lt;="&amp;$B154,BD!$M$3:$M$5001,"&lt;&gt;"))))</f>
        <v/>
      </c>
      <c r="E154" s="43" t="str">
        <f>IF(OR($B154="",$A154&gt;$B$9,E$149=""),"",IF(COUNTIFS(BD!$B$3:$B$5001,E$149,BD!$A$3:$A$5001,"&gt;="&amp;$C$7,BD!$A$3:$A$5001,"&lt;="&amp;$B154,BD!$M$3:$M$5001,"&lt;&gt;")=0,"",SUMIFS(BD!$M$3:$M$5001,BD!$B$3:$B$5001,E$149,BD!$A$3:$A$5001,_xlfn.MAXIFS(BD!$A$3:$A$5001,BD!$B$3:$B$5001,E$149,BD!$A$3:$A$5001,"&gt;="&amp;$C$7,BD!$A$3:$A$5001,"&lt;="&amp;$B154,BD!$M$3:$M$5001,"&lt;&gt;"))))</f>
        <v/>
      </c>
      <c r="F154" s="43" t="str">
        <f>IF(OR($B154="",$A154&gt;$B$9,F$149=""),"",IF(COUNTIFS(BD!$B$3:$B$5001,F$149,BD!$A$3:$A$5001,"&gt;="&amp;$C$7,BD!$A$3:$A$5001,"&lt;="&amp;$B154,BD!$M$3:$M$5001,"&lt;&gt;")=0,"",SUMIFS(BD!$M$3:$M$5001,BD!$B$3:$B$5001,F$149,BD!$A$3:$A$5001,_xlfn.MAXIFS(BD!$A$3:$A$5001,BD!$B$3:$B$5001,F$149,BD!$A$3:$A$5001,"&gt;="&amp;$C$7,BD!$A$3:$A$5001,"&lt;="&amp;$B154,BD!$M$3:$M$5001,"&lt;&gt;"))))</f>
        <v/>
      </c>
      <c r="G154" s="43" t="str">
        <f>IF(OR($B154="",$A154&gt;$B$9,G$149=""),"",IF(COUNTIFS(BD!$B$3:$B$5001,G$149,BD!$A$3:$A$5001,"&gt;="&amp;$C$7,BD!$A$3:$A$5001,"&lt;="&amp;$B154,BD!$M$3:$M$5001,"&lt;&gt;")=0,"",SUMIFS(BD!$M$3:$M$5001,BD!$B$3:$B$5001,G$149,BD!$A$3:$A$5001,_xlfn.MAXIFS(BD!$A$3:$A$5001,BD!$B$3:$B$5001,G$149,BD!$A$3:$A$5001,"&gt;="&amp;$C$7,BD!$A$3:$A$5001,"&lt;="&amp;$B154,BD!$M$3:$M$5001,"&lt;&gt;"))))</f>
        <v/>
      </c>
      <c r="H154" s="43" t="str">
        <f>IF(OR($B154="",$A154&gt;$B$9,H$149=""),"",IF(COUNTIFS(BD!$B$3:$B$5001,H$149,BD!$A$3:$A$5001,"&gt;="&amp;$C$7,BD!$A$3:$A$5001,"&lt;="&amp;$B154,BD!$M$3:$M$5001,"&lt;&gt;")=0,"",SUMIFS(BD!$M$3:$M$5001,BD!$B$3:$B$5001,H$149,BD!$A$3:$A$5001,_xlfn.MAXIFS(BD!$A$3:$A$5001,BD!$B$3:$B$5001,H$149,BD!$A$3:$A$5001,"&gt;="&amp;$C$7,BD!$A$3:$A$5001,"&lt;="&amp;$B154,BD!$M$3:$M$5001,"&lt;&gt;"))))</f>
        <v/>
      </c>
      <c r="I154" s="43" t="str">
        <f>IF(OR($B154="",$A154&gt;$B$9,I$149=""),"",IF(COUNTIFS(BD!$B$3:$B$5001,I$149,BD!$A$3:$A$5001,"&gt;="&amp;$C$7,BD!$A$3:$A$5001,"&lt;="&amp;$B154,BD!$M$3:$M$5001,"&lt;&gt;")=0,"",SUMIFS(BD!$M$3:$M$5001,BD!$B$3:$B$5001,I$149,BD!$A$3:$A$5001,_xlfn.MAXIFS(BD!$A$3:$A$5001,BD!$B$3:$B$5001,I$149,BD!$A$3:$A$5001,"&gt;="&amp;$C$7,BD!$A$3:$A$5001,"&lt;="&amp;$B154,BD!$M$3:$M$5001,"&lt;&gt;"))))</f>
        <v/>
      </c>
      <c r="J154" s="43" t="str">
        <f>IF(OR($B154="",$A154&gt;$B$9,J$149=""),"",IF(COUNTIFS(BD!$B$3:$B$5001,J$149,BD!$A$3:$A$5001,"&gt;="&amp;$C$7,BD!$A$3:$A$5001,"&lt;="&amp;$B154,BD!$M$3:$M$5001,"&lt;&gt;")=0,"",SUMIFS(BD!$M$3:$M$5001,BD!$B$3:$B$5001,J$149,BD!$A$3:$A$5001,_xlfn.MAXIFS(BD!$A$3:$A$5001,BD!$B$3:$B$5001,J$149,BD!$A$3:$A$5001,"&gt;="&amp;$C$7,BD!$A$3:$A$5001,"&lt;="&amp;$B154,BD!$M$3:$M$5001,"&lt;&gt;"))))</f>
        <v/>
      </c>
      <c r="K154" s="43" t="str">
        <f>IF(OR($B154="",$A154&gt;$B$9,K$149=""),"",IF(COUNTIFS(BD!$B$3:$B$5001,K$149,BD!$A$3:$A$5001,"&gt;="&amp;$C$7,BD!$A$3:$A$5001,"&lt;="&amp;$B154,BD!$M$3:$M$5001,"&lt;&gt;")=0,"",SUMIFS(BD!$M$3:$M$5001,BD!$B$3:$B$5001,K$149,BD!$A$3:$A$5001,_xlfn.MAXIFS(BD!$A$3:$A$5001,BD!$B$3:$B$5001,K$149,BD!$A$3:$A$5001,"&gt;="&amp;$C$7,BD!$A$3:$A$5001,"&lt;="&amp;$B154,BD!$M$3:$M$5001,"&lt;&gt;"))))</f>
        <v/>
      </c>
      <c r="L154" s="43" t="str">
        <f>IF(OR($B154="",$A154&gt;$B$9,L$149=""),"",IF(COUNTIFS(BD!$B$3:$B$5001,L$149,BD!$A$3:$A$5001,"&gt;="&amp;$C$7,BD!$A$3:$A$5001,"&lt;="&amp;$B154,BD!$M$3:$M$5001,"&lt;&gt;")=0,"",SUMIFS(BD!$M$3:$M$5001,BD!$B$3:$B$5001,L$149,BD!$A$3:$A$5001,_xlfn.MAXIFS(BD!$A$3:$A$5001,BD!$B$3:$B$5001,L$149,BD!$A$3:$A$5001,"&gt;="&amp;$C$7,BD!$A$3:$A$5001,"&lt;="&amp;$B154,BD!$M$3:$M$5001,"&lt;&gt;"))))</f>
        <v/>
      </c>
      <c r="M154" s="43" t="str">
        <f>IF(OR($B154="",$A154&gt;$B$9,M$149=""),"",IF(COUNTIFS(BD!$B$3:$B$5001,M$149,BD!$A$3:$A$5001,"&gt;="&amp;$C$7,BD!$A$3:$A$5001,"&lt;="&amp;$B154,BD!$M$3:$M$5001,"&lt;&gt;")=0,"",SUMIFS(BD!$M$3:$M$5001,BD!$B$3:$B$5001,M$149,BD!$A$3:$A$5001,_xlfn.MAXIFS(BD!$A$3:$A$5001,BD!$B$3:$B$5001,M$149,BD!$A$3:$A$5001,"&gt;="&amp;$C$7,BD!$A$3:$A$5001,"&lt;="&amp;$B154,BD!$M$3:$M$5001,"&lt;&gt;"))))</f>
        <v/>
      </c>
      <c r="N154" s="43" t="str">
        <f>IF(OR($B154="",$A154&gt;$B$9,N$149=""),"",IF(COUNTIFS(BD!$B$3:$B$5001,N$149,BD!$A$3:$A$5001,"&gt;="&amp;$C$7,BD!$A$3:$A$5001,"&lt;="&amp;$B154,BD!$M$3:$M$5001,"&lt;&gt;")=0,"",SUMIFS(BD!$M$3:$M$5001,BD!$B$3:$B$5001,N$149,BD!$A$3:$A$5001,_xlfn.MAXIFS(BD!$A$3:$A$5001,BD!$B$3:$B$5001,N$149,BD!$A$3:$A$5001,"&gt;="&amp;$C$7,BD!$A$3:$A$5001,"&lt;="&amp;$B154,BD!$M$3:$M$5001,"&lt;&gt;"))))</f>
        <v/>
      </c>
      <c r="O154" s="43" t="str">
        <f>IF(OR($B154="",$A154&gt;$B$9,O$149=""),"",IF(COUNTIFS(BD!$B$3:$B$5001,O$149,BD!$A$3:$A$5001,"&gt;="&amp;$C$7,BD!$A$3:$A$5001,"&lt;="&amp;$B154,BD!$M$3:$M$5001,"&lt;&gt;")=0,"",SUMIFS(BD!$M$3:$M$5001,BD!$B$3:$B$5001,O$149,BD!$A$3:$A$5001,_xlfn.MAXIFS(BD!$A$3:$A$5001,BD!$B$3:$B$5001,O$149,BD!$A$3:$A$5001,"&gt;="&amp;$C$7,BD!$A$3:$A$5001,"&lt;="&amp;$B154,BD!$M$3:$M$5001,"&lt;&gt;"))))</f>
        <v/>
      </c>
      <c r="P154" s="43" t="str">
        <f>IF(OR($B154="",$A154&gt;$B$9,P$149=""),"",IF(COUNTIFS(BD!$B$3:$B$5001,P$149,BD!$A$3:$A$5001,"&gt;="&amp;$C$7,BD!$A$3:$A$5001,"&lt;="&amp;$B154,BD!$M$3:$M$5001,"&lt;&gt;")=0,"",SUMIFS(BD!$M$3:$M$5001,BD!$B$3:$B$5001,P$149,BD!$A$3:$A$5001,_xlfn.MAXIFS(BD!$A$3:$A$5001,BD!$B$3:$B$5001,P$149,BD!$A$3:$A$5001,"&gt;="&amp;$C$7,BD!$A$3:$A$5001,"&lt;="&amp;$B154,BD!$M$3:$M$5001,"&lt;&gt;"))))</f>
        <v/>
      </c>
      <c r="Q154" s="43" t="str">
        <f>IF(OR($B154="",$A154&gt;$B$9,Q$149=""),"",IF(COUNTIFS(BD!$B$3:$B$5001,Q$149,BD!$A$3:$A$5001,"&gt;="&amp;$C$7,BD!$A$3:$A$5001,"&lt;="&amp;$B154,BD!$M$3:$M$5001,"&lt;&gt;")=0,"",SUMIFS(BD!$M$3:$M$5001,BD!$B$3:$B$5001,Q$149,BD!$A$3:$A$5001,_xlfn.MAXIFS(BD!$A$3:$A$5001,BD!$B$3:$B$5001,Q$149,BD!$A$3:$A$5001,"&gt;="&amp;$C$7,BD!$A$3:$A$5001,"&lt;="&amp;$B154,BD!$M$3:$M$5001,"&lt;&gt;"))))</f>
        <v/>
      </c>
      <c r="R154" s="43" t="str">
        <f>IF(OR($B154="",$A154&gt;$B$9,R$149=""),"",IF(COUNTIFS(BD!$B$3:$B$5001,R$149,BD!$A$3:$A$5001,"&gt;="&amp;$C$7,BD!$A$3:$A$5001,"&lt;="&amp;$B154,BD!$M$3:$M$5001,"&lt;&gt;")=0,"",SUMIFS(BD!$M$3:$M$5001,BD!$B$3:$B$5001,R$149,BD!$A$3:$A$5001,_xlfn.MAXIFS(BD!$A$3:$A$5001,BD!$B$3:$B$5001,R$149,BD!$A$3:$A$5001,"&gt;="&amp;$C$7,BD!$A$3:$A$5001,"&lt;="&amp;$B154,BD!$M$3:$M$5001,"&lt;&gt;"))))</f>
        <v/>
      </c>
      <c r="S154" s="43" t="str">
        <f>IF(OR($B154="",$A154&gt;$B$9,S$149=""),"",IF(COUNTIFS(BD!$B$3:$B$5001,S$149,BD!$A$3:$A$5001,"&gt;="&amp;$C$7,BD!$A$3:$A$5001,"&lt;="&amp;$B154,BD!$M$3:$M$5001,"&lt;&gt;")=0,"",SUMIFS(BD!$M$3:$M$5001,BD!$B$3:$B$5001,S$149,BD!$A$3:$A$5001,_xlfn.MAXIFS(BD!$A$3:$A$5001,BD!$B$3:$B$5001,S$149,BD!$A$3:$A$5001,"&gt;="&amp;$C$7,BD!$A$3:$A$5001,"&lt;="&amp;$B154,BD!$M$3:$M$5001,"&lt;&gt;"))))</f>
        <v/>
      </c>
      <c r="T154" s="43" t="str">
        <f>IF(OR($B154="",$A154&gt;$B$9,T$149=""),"",IF(COUNTIFS(BD!$B$3:$B$5001,T$149,BD!$A$3:$A$5001,"&gt;="&amp;$C$7,BD!$A$3:$A$5001,"&lt;="&amp;$B154,BD!$M$3:$M$5001,"&lt;&gt;")=0,"",SUMIFS(BD!$M$3:$M$5001,BD!$B$3:$B$5001,T$149,BD!$A$3:$A$5001,_xlfn.MAXIFS(BD!$A$3:$A$5001,BD!$B$3:$B$5001,T$149,BD!$A$3:$A$5001,"&gt;="&amp;$C$7,BD!$A$3:$A$5001,"&lt;="&amp;$B154,BD!$M$3:$M$5001,"&lt;&gt;"))))</f>
        <v/>
      </c>
      <c r="U154" s="43" t="str">
        <f>IF(OR($B154="",$A154&gt;$B$9,U$149=""),"",IF(COUNTIFS(BD!$B$3:$B$5001,U$149,BD!$A$3:$A$5001,"&gt;="&amp;$C$7,BD!$A$3:$A$5001,"&lt;="&amp;$B154,BD!$M$3:$M$5001,"&lt;&gt;")=0,"",SUMIFS(BD!$M$3:$M$5001,BD!$B$3:$B$5001,U$149,BD!$A$3:$A$5001,_xlfn.MAXIFS(BD!$A$3:$A$5001,BD!$B$3:$B$5001,U$149,BD!$A$3:$A$5001,"&gt;="&amp;$C$7,BD!$A$3:$A$5001,"&lt;="&amp;$B154,BD!$M$3:$M$5001,"&lt;&gt;"))))</f>
        <v/>
      </c>
      <c r="V154" s="43" t="str">
        <f>IF(OR($B154="",$A154&gt;$B$9,V$149=""),"",IF(COUNTIFS(BD!$B$3:$B$5001,V$149,BD!$A$3:$A$5001,"&gt;="&amp;$C$7,BD!$A$3:$A$5001,"&lt;="&amp;$B154,BD!$M$3:$M$5001,"&lt;&gt;")=0,"",SUMIFS(BD!$M$3:$M$5001,BD!$B$3:$B$5001,V$149,BD!$A$3:$A$5001,_xlfn.MAXIFS(BD!$A$3:$A$5001,BD!$B$3:$B$5001,V$149,BD!$A$3:$A$5001,"&gt;="&amp;$C$7,BD!$A$3:$A$5001,"&lt;="&amp;$B154,BD!$M$3:$M$5001,"&lt;&gt;"))))</f>
        <v/>
      </c>
    </row>
    <row r="155">
      <c r="A155" s="38">
        <v>6</v>
      </c>
      <c r="B155" s="42">
        <f>$B$17</f>
        <v>46301</v>
      </c>
      <c r="C155" s="43" t="str">
        <f>IF(OR($B155="",$A155&gt;$B$9,C$149=""),"",IF(COUNTIFS(BD!$B$3:$B$5001,C$149,BD!$A$3:$A$5001,"&gt;="&amp;$C$7,BD!$A$3:$A$5001,"&lt;="&amp;$B155,BD!$M$3:$M$5001,"&lt;&gt;")=0,"",SUMIFS(BD!$M$3:$M$5001,BD!$B$3:$B$5001,C$149,BD!$A$3:$A$5001,_xlfn.MAXIFS(BD!$A$3:$A$5001,BD!$B$3:$B$5001,C$149,BD!$A$3:$A$5001,"&gt;="&amp;$C$7,BD!$A$3:$A$5001,"&lt;="&amp;$B155,BD!$M$3:$M$5001,"&lt;&gt;"))))</f>
        <v/>
      </c>
      <c r="D155" s="43" t="str">
        <f>IF(OR($B155="",$A155&gt;$B$9,D$149=""),"",IF(COUNTIFS(BD!$B$3:$B$5001,D$149,BD!$A$3:$A$5001,"&gt;="&amp;$C$7,BD!$A$3:$A$5001,"&lt;="&amp;$B155,BD!$M$3:$M$5001,"&lt;&gt;")=0,"",SUMIFS(BD!$M$3:$M$5001,BD!$B$3:$B$5001,D$149,BD!$A$3:$A$5001,_xlfn.MAXIFS(BD!$A$3:$A$5001,BD!$B$3:$B$5001,D$149,BD!$A$3:$A$5001,"&gt;="&amp;$C$7,BD!$A$3:$A$5001,"&lt;="&amp;$B155,BD!$M$3:$M$5001,"&lt;&gt;"))))</f>
        <v/>
      </c>
      <c r="E155" s="43" t="str">
        <f>IF(OR($B155="",$A155&gt;$B$9,E$149=""),"",IF(COUNTIFS(BD!$B$3:$B$5001,E$149,BD!$A$3:$A$5001,"&gt;="&amp;$C$7,BD!$A$3:$A$5001,"&lt;="&amp;$B155,BD!$M$3:$M$5001,"&lt;&gt;")=0,"",SUMIFS(BD!$M$3:$M$5001,BD!$B$3:$B$5001,E$149,BD!$A$3:$A$5001,_xlfn.MAXIFS(BD!$A$3:$A$5001,BD!$B$3:$B$5001,E$149,BD!$A$3:$A$5001,"&gt;="&amp;$C$7,BD!$A$3:$A$5001,"&lt;="&amp;$B155,BD!$M$3:$M$5001,"&lt;&gt;"))))</f>
        <v/>
      </c>
      <c r="F155" s="43" t="str">
        <f>IF(OR($B155="",$A155&gt;$B$9,F$149=""),"",IF(COUNTIFS(BD!$B$3:$B$5001,F$149,BD!$A$3:$A$5001,"&gt;="&amp;$C$7,BD!$A$3:$A$5001,"&lt;="&amp;$B155,BD!$M$3:$M$5001,"&lt;&gt;")=0,"",SUMIFS(BD!$M$3:$M$5001,BD!$B$3:$B$5001,F$149,BD!$A$3:$A$5001,_xlfn.MAXIFS(BD!$A$3:$A$5001,BD!$B$3:$B$5001,F$149,BD!$A$3:$A$5001,"&gt;="&amp;$C$7,BD!$A$3:$A$5001,"&lt;="&amp;$B155,BD!$M$3:$M$5001,"&lt;&gt;"))))</f>
        <v/>
      </c>
      <c r="G155" s="43" t="str">
        <f>IF(OR($B155="",$A155&gt;$B$9,G$149=""),"",IF(COUNTIFS(BD!$B$3:$B$5001,G$149,BD!$A$3:$A$5001,"&gt;="&amp;$C$7,BD!$A$3:$A$5001,"&lt;="&amp;$B155,BD!$M$3:$M$5001,"&lt;&gt;")=0,"",SUMIFS(BD!$M$3:$M$5001,BD!$B$3:$B$5001,G$149,BD!$A$3:$A$5001,_xlfn.MAXIFS(BD!$A$3:$A$5001,BD!$B$3:$B$5001,G$149,BD!$A$3:$A$5001,"&gt;="&amp;$C$7,BD!$A$3:$A$5001,"&lt;="&amp;$B155,BD!$M$3:$M$5001,"&lt;&gt;"))))</f>
        <v/>
      </c>
      <c r="H155" s="43" t="str">
        <f>IF(OR($B155="",$A155&gt;$B$9,H$149=""),"",IF(COUNTIFS(BD!$B$3:$B$5001,H$149,BD!$A$3:$A$5001,"&gt;="&amp;$C$7,BD!$A$3:$A$5001,"&lt;="&amp;$B155,BD!$M$3:$M$5001,"&lt;&gt;")=0,"",SUMIFS(BD!$M$3:$M$5001,BD!$B$3:$B$5001,H$149,BD!$A$3:$A$5001,_xlfn.MAXIFS(BD!$A$3:$A$5001,BD!$B$3:$B$5001,H$149,BD!$A$3:$A$5001,"&gt;="&amp;$C$7,BD!$A$3:$A$5001,"&lt;="&amp;$B155,BD!$M$3:$M$5001,"&lt;&gt;"))))</f>
        <v/>
      </c>
      <c r="I155" s="43" t="str">
        <f>IF(OR($B155="",$A155&gt;$B$9,I$149=""),"",IF(COUNTIFS(BD!$B$3:$B$5001,I$149,BD!$A$3:$A$5001,"&gt;="&amp;$C$7,BD!$A$3:$A$5001,"&lt;="&amp;$B155,BD!$M$3:$M$5001,"&lt;&gt;")=0,"",SUMIFS(BD!$M$3:$M$5001,BD!$B$3:$B$5001,I$149,BD!$A$3:$A$5001,_xlfn.MAXIFS(BD!$A$3:$A$5001,BD!$B$3:$B$5001,I$149,BD!$A$3:$A$5001,"&gt;="&amp;$C$7,BD!$A$3:$A$5001,"&lt;="&amp;$B155,BD!$M$3:$M$5001,"&lt;&gt;"))))</f>
        <v/>
      </c>
      <c r="J155" s="43" t="str">
        <f>IF(OR($B155="",$A155&gt;$B$9,J$149=""),"",IF(COUNTIFS(BD!$B$3:$B$5001,J$149,BD!$A$3:$A$5001,"&gt;="&amp;$C$7,BD!$A$3:$A$5001,"&lt;="&amp;$B155,BD!$M$3:$M$5001,"&lt;&gt;")=0,"",SUMIFS(BD!$M$3:$M$5001,BD!$B$3:$B$5001,J$149,BD!$A$3:$A$5001,_xlfn.MAXIFS(BD!$A$3:$A$5001,BD!$B$3:$B$5001,J$149,BD!$A$3:$A$5001,"&gt;="&amp;$C$7,BD!$A$3:$A$5001,"&lt;="&amp;$B155,BD!$M$3:$M$5001,"&lt;&gt;"))))</f>
        <v/>
      </c>
      <c r="K155" s="43" t="str">
        <f>IF(OR($B155="",$A155&gt;$B$9,K$149=""),"",IF(COUNTIFS(BD!$B$3:$B$5001,K$149,BD!$A$3:$A$5001,"&gt;="&amp;$C$7,BD!$A$3:$A$5001,"&lt;="&amp;$B155,BD!$M$3:$M$5001,"&lt;&gt;")=0,"",SUMIFS(BD!$M$3:$M$5001,BD!$B$3:$B$5001,K$149,BD!$A$3:$A$5001,_xlfn.MAXIFS(BD!$A$3:$A$5001,BD!$B$3:$B$5001,K$149,BD!$A$3:$A$5001,"&gt;="&amp;$C$7,BD!$A$3:$A$5001,"&lt;="&amp;$B155,BD!$M$3:$M$5001,"&lt;&gt;"))))</f>
        <v/>
      </c>
      <c r="L155" s="43" t="str">
        <f>IF(OR($B155="",$A155&gt;$B$9,L$149=""),"",IF(COUNTIFS(BD!$B$3:$B$5001,L$149,BD!$A$3:$A$5001,"&gt;="&amp;$C$7,BD!$A$3:$A$5001,"&lt;="&amp;$B155,BD!$M$3:$M$5001,"&lt;&gt;")=0,"",SUMIFS(BD!$M$3:$M$5001,BD!$B$3:$B$5001,L$149,BD!$A$3:$A$5001,_xlfn.MAXIFS(BD!$A$3:$A$5001,BD!$B$3:$B$5001,L$149,BD!$A$3:$A$5001,"&gt;="&amp;$C$7,BD!$A$3:$A$5001,"&lt;="&amp;$B155,BD!$M$3:$M$5001,"&lt;&gt;"))))</f>
        <v/>
      </c>
      <c r="M155" s="43" t="str">
        <f>IF(OR($B155="",$A155&gt;$B$9,M$149=""),"",IF(COUNTIFS(BD!$B$3:$B$5001,M$149,BD!$A$3:$A$5001,"&gt;="&amp;$C$7,BD!$A$3:$A$5001,"&lt;="&amp;$B155,BD!$M$3:$M$5001,"&lt;&gt;")=0,"",SUMIFS(BD!$M$3:$M$5001,BD!$B$3:$B$5001,M$149,BD!$A$3:$A$5001,_xlfn.MAXIFS(BD!$A$3:$A$5001,BD!$B$3:$B$5001,M$149,BD!$A$3:$A$5001,"&gt;="&amp;$C$7,BD!$A$3:$A$5001,"&lt;="&amp;$B155,BD!$M$3:$M$5001,"&lt;&gt;"))))</f>
        <v/>
      </c>
      <c r="N155" s="43" t="str">
        <f>IF(OR($B155="",$A155&gt;$B$9,N$149=""),"",IF(COUNTIFS(BD!$B$3:$B$5001,N$149,BD!$A$3:$A$5001,"&gt;="&amp;$C$7,BD!$A$3:$A$5001,"&lt;="&amp;$B155,BD!$M$3:$M$5001,"&lt;&gt;")=0,"",SUMIFS(BD!$M$3:$M$5001,BD!$B$3:$B$5001,N$149,BD!$A$3:$A$5001,_xlfn.MAXIFS(BD!$A$3:$A$5001,BD!$B$3:$B$5001,N$149,BD!$A$3:$A$5001,"&gt;="&amp;$C$7,BD!$A$3:$A$5001,"&lt;="&amp;$B155,BD!$M$3:$M$5001,"&lt;&gt;"))))</f>
        <v/>
      </c>
      <c r="O155" s="43" t="str">
        <f>IF(OR($B155="",$A155&gt;$B$9,O$149=""),"",IF(COUNTIFS(BD!$B$3:$B$5001,O$149,BD!$A$3:$A$5001,"&gt;="&amp;$C$7,BD!$A$3:$A$5001,"&lt;="&amp;$B155,BD!$M$3:$M$5001,"&lt;&gt;")=0,"",SUMIFS(BD!$M$3:$M$5001,BD!$B$3:$B$5001,O$149,BD!$A$3:$A$5001,_xlfn.MAXIFS(BD!$A$3:$A$5001,BD!$B$3:$B$5001,O$149,BD!$A$3:$A$5001,"&gt;="&amp;$C$7,BD!$A$3:$A$5001,"&lt;="&amp;$B155,BD!$M$3:$M$5001,"&lt;&gt;"))))</f>
        <v/>
      </c>
      <c r="P155" s="43" t="str">
        <f>IF(OR($B155="",$A155&gt;$B$9,P$149=""),"",IF(COUNTIFS(BD!$B$3:$B$5001,P$149,BD!$A$3:$A$5001,"&gt;="&amp;$C$7,BD!$A$3:$A$5001,"&lt;="&amp;$B155,BD!$M$3:$M$5001,"&lt;&gt;")=0,"",SUMIFS(BD!$M$3:$M$5001,BD!$B$3:$B$5001,P$149,BD!$A$3:$A$5001,_xlfn.MAXIFS(BD!$A$3:$A$5001,BD!$B$3:$B$5001,P$149,BD!$A$3:$A$5001,"&gt;="&amp;$C$7,BD!$A$3:$A$5001,"&lt;="&amp;$B155,BD!$M$3:$M$5001,"&lt;&gt;"))))</f>
        <v/>
      </c>
      <c r="Q155" s="43" t="str">
        <f>IF(OR($B155="",$A155&gt;$B$9,Q$149=""),"",IF(COUNTIFS(BD!$B$3:$B$5001,Q$149,BD!$A$3:$A$5001,"&gt;="&amp;$C$7,BD!$A$3:$A$5001,"&lt;="&amp;$B155,BD!$M$3:$M$5001,"&lt;&gt;")=0,"",SUMIFS(BD!$M$3:$M$5001,BD!$B$3:$B$5001,Q$149,BD!$A$3:$A$5001,_xlfn.MAXIFS(BD!$A$3:$A$5001,BD!$B$3:$B$5001,Q$149,BD!$A$3:$A$5001,"&gt;="&amp;$C$7,BD!$A$3:$A$5001,"&lt;="&amp;$B155,BD!$M$3:$M$5001,"&lt;&gt;"))))</f>
        <v/>
      </c>
      <c r="R155" s="43" t="str">
        <f>IF(OR($B155="",$A155&gt;$B$9,R$149=""),"",IF(COUNTIFS(BD!$B$3:$B$5001,R$149,BD!$A$3:$A$5001,"&gt;="&amp;$C$7,BD!$A$3:$A$5001,"&lt;="&amp;$B155,BD!$M$3:$M$5001,"&lt;&gt;")=0,"",SUMIFS(BD!$M$3:$M$5001,BD!$B$3:$B$5001,R$149,BD!$A$3:$A$5001,_xlfn.MAXIFS(BD!$A$3:$A$5001,BD!$B$3:$B$5001,R$149,BD!$A$3:$A$5001,"&gt;="&amp;$C$7,BD!$A$3:$A$5001,"&lt;="&amp;$B155,BD!$M$3:$M$5001,"&lt;&gt;"))))</f>
        <v/>
      </c>
      <c r="S155" s="43" t="str">
        <f>IF(OR($B155="",$A155&gt;$B$9,S$149=""),"",IF(COUNTIFS(BD!$B$3:$B$5001,S$149,BD!$A$3:$A$5001,"&gt;="&amp;$C$7,BD!$A$3:$A$5001,"&lt;="&amp;$B155,BD!$M$3:$M$5001,"&lt;&gt;")=0,"",SUMIFS(BD!$M$3:$M$5001,BD!$B$3:$B$5001,S$149,BD!$A$3:$A$5001,_xlfn.MAXIFS(BD!$A$3:$A$5001,BD!$B$3:$B$5001,S$149,BD!$A$3:$A$5001,"&gt;="&amp;$C$7,BD!$A$3:$A$5001,"&lt;="&amp;$B155,BD!$M$3:$M$5001,"&lt;&gt;"))))</f>
        <v/>
      </c>
      <c r="T155" s="43" t="str">
        <f>IF(OR($B155="",$A155&gt;$B$9,T$149=""),"",IF(COUNTIFS(BD!$B$3:$B$5001,T$149,BD!$A$3:$A$5001,"&gt;="&amp;$C$7,BD!$A$3:$A$5001,"&lt;="&amp;$B155,BD!$M$3:$M$5001,"&lt;&gt;")=0,"",SUMIFS(BD!$M$3:$M$5001,BD!$B$3:$B$5001,T$149,BD!$A$3:$A$5001,_xlfn.MAXIFS(BD!$A$3:$A$5001,BD!$B$3:$B$5001,T$149,BD!$A$3:$A$5001,"&gt;="&amp;$C$7,BD!$A$3:$A$5001,"&lt;="&amp;$B155,BD!$M$3:$M$5001,"&lt;&gt;"))))</f>
        <v/>
      </c>
      <c r="U155" s="43" t="str">
        <f>IF(OR($B155="",$A155&gt;$B$9,U$149=""),"",IF(COUNTIFS(BD!$B$3:$B$5001,U$149,BD!$A$3:$A$5001,"&gt;="&amp;$C$7,BD!$A$3:$A$5001,"&lt;="&amp;$B155,BD!$M$3:$M$5001,"&lt;&gt;")=0,"",SUMIFS(BD!$M$3:$M$5001,BD!$B$3:$B$5001,U$149,BD!$A$3:$A$5001,_xlfn.MAXIFS(BD!$A$3:$A$5001,BD!$B$3:$B$5001,U$149,BD!$A$3:$A$5001,"&gt;="&amp;$C$7,BD!$A$3:$A$5001,"&lt;="&amp;$B155,BD!$M$3:$M$5001,"&lt;&gt;"))))</f>
        <v/>
      </c>
      <c r="V155" s="43" t="str">
        <f>IF(OR($B155="",$A155&gt;$B$9,V$149=""),"",IF(COUNTIFS(BD!$B$3:$B$5001,V$149,BD!$A$3:$A$5001,"&gt;="&amp;$C$7,BD!$A$3:$A$5001,"&lt;="&amp;$B155,BD!$M$3:$M$5001,"&lt;&gt;")=0,"",SUMIFS(BD!$M$3:$M$5001,BD!$B$3:$B$5001,V$149,BD!$A$3:$A$5001,_xlfn.MAXIFS(BD!$A$3:$A$5001,BD!$B$3:$B$5001,V$149,BD!$A$3:$A$5001,"&gt;="&amp;$C$7,BD!$A$3:$A$5001,"&lt;="&amp;$B155,BD!$M$3:$M$5001,"&lt;&gt;"))))</f>
        <v/>
      </c>
    </row>
    <row r="156">
      <c r="A156" s="38">
        <v>7</v>
      </c>
      <c r="B156" s="42">
        <f>$B$18</f>
        <v>46302</v>
      </c>
      <c r="C156" s="43" t="str">
        <f>IF(OR($B156="",$A156&gt;$B$9,C$149=""),"",IF(COUNTIFS(BD!$B$3:$B$5001,C$149,BD!$A$3:$A$5001,"&gt;="&amp;$C$7,BD!$A$3:$A$5001,"&lt;="&amp;$B156,BD!$M$3:$M$5001,"&lt;&gt;")=0,"",SUMIFS(BD!$M$3:$M$5001,BD!$B$3:$B$5001,C$149,BD!$A$3:$A$5001,_xlfn.MAXIFS(BD!$A$3:$A$5001,BD!$B$3:$B$5001,C$149,BD!$A$3:$A$5001,"&gt;="&amp;$C$7,BD!$A$3:$A$5001,"&lt;="&amp;$B156,BD!$M$3:$M$5001,"&lt;&gt;"))))</f>
        <v/>
      </c>
      <c r="D156" s="43" t="str">
        <f>IF(OR($B156="",$A156&gt;$B$9,D$149=""),"",IF(COUNTIFS(BD!$B$3:$B$5001,D$149,BD!$A$3:$A$5001,"&gt;="&amp;$C$7,BD!$A$3:$A$5001,"&lt;="&amp;$B156,BD!$M$3:$M$5001,"&lt;&gt;")=0,"",SUMIFS(BD!$M$3:$M$5001,BD!$B$3:$B$5001,D$149,BD!$A$3:$A$5001,_xlfn.MAXIFS(BD!$A$3:$A$5001,BD!$B$3:$B$5001,D$149,BD!$A$3:$A$5001,"&gt;="&amp;$C$7,BD!$A$3:$A$5001,"&lt;="&amp;$B156,BD!$M$3:$M$5001,"&lt;&gt;"))))</f>
        <v/>
      </c>
      <c r="E156" s="43" t="str">
        <f>IF(OR($B156="",$A156&gt;$B$9,E$149=""),"",IF(COUNTIFS(BD!$B$3:$B$5001,E$149,BD!$A$3:$A$5001,"&gt;="&amp;$C$7,BD!$A$3:$A$5001,"&lt;="&amp;$B156,BD!$M$3:$M$5001,"&lt;&gt;")=0,"",SUMIFS(BD!$M$3:$M$5001,BD!$B$3:$B$5001,E$149,BD!$A$3:$A$5001,_xlfn.MAXIFS(BD!$A$3:$A$5001,BD!$B$3:$B$5001,E$149,BD!$A$3:$A$5001,"&gt;="&amp;$C$7,BD!$A$3:$A$5001,"&lt;="&amp;$B156,BD!$M$3:$M$5001,"&lt;&gt;"))))</f>
        <v/>
      </c>
      <c r="F156" s="43" t="str">
        <f>IF(OR($B156="",$A156&gt;$B$9,F$149=""),"",IF(COUNTIFS(BD!$B$3:$B$5001,F$149,BD!$A$3:$A$5001,"&gt;="&amp;$C$7,BD!$A$3:$A$5001,"&lt;="&amp;$B156,BD!$M$3:$M$5001,"&lt;&gt;")=0,"",SUMIFS(BD!$M$3:$M$5001,BD!$B$3:$B$5001,F$149,BD!$A$3:$A$5001,_xlfn.MAXIFS(BD!$A$3:$A$5001,BD!$B$3:$B$5001,F$149,BD!$A$3:$A$5001,"&gt;="&amp;$C$7,BD!$A$3:$A$5001,"&lt;="&amp;$B156,BD!$M$3:$M$5001,"&lt;&gt;"))))</f>
        <v/>
      </c>
      <c r="G156" s="43" t="str">
        <f>IF(OR($B156="",$A156&gt;$B$9,G$149=""),"",IF(COUNTIFS(BD!$B$3:$B$5001,G$149,BD!$A$3:$A$5001,"&gt;="&amp;$C$7,BD!$A$3:$A$5001,"&lt;="&amp;$B156,BD!$M$3:$M$5001,"&lt;&gt;")=0,"",SUMIFS(BD!$M$3:$M$5001,BD!$B$3:$B$5001,G$149,BD!$A$3:$A$5001,_xlfn.MAXIFS(BD!$A$3:$A$5001,BD!$B$3:$B$5001,G$149,BD!$A$3:$A$5001,"&gt;="&amp;$C$7,BD!$A$3:$A$5001,"&lt;="&amp;$B156,BD!$M$3:$M$5001,"&lt;&gt;"))))</f>
        <v/>
      </c>
      <c r="H156" s="43" t="str">
        <f>IF(OR($B156="",$A156&gt;$B$9,H$149=""),"",IF(COUNTIFS(BD!$B$3:$B$5001,H$149,BD!$A$3:$A$5001,"&gt;="&amp;$C$7,BD!$A$3:$A$5001,"&lt;="&amp;$B156,BD!$M$3:$M$5001,"&lt;&gt;")=0,"",SUMIFS(BD!$M$3:$M$5001,BD!$B$3:$B$5001,H$149,BD!$A$3:$A$5001,_xlfn.MAXIFS(BD!$A$3:$A$5001,BD!$B$3:$B$5001,H$149,BD!$A$3:$A$5001,"&gt;="&amp;$C$7,BD!$A$3:$A$5001,"&lt;="&amp;$B156,BD!$M$3:$M$5001,"&lt;&gt;"))))</f>
        <v/>
      </c>
      <c r="I156" s="43" t="str">
        <f>IF(OR($B156="",$A156&gt;$B$9,I$149=""),"",IF(COUNTIFS(BD!$B$3:$B$5001,I$149,BD!$A$3:$A$5001,"&gt;="&amp;$C$7,BD!$A$3:$A$5001,"&lt;="&amp;$B156,BD!$M$3:$M$5001,"&lt;&gt;")=0,"",SUMIFS(BD!$M$3:$M$5001,BD!$B$3:$B$5001,I$149,BD!$A$3:$A$5001,_xlfn.MAXIFS(BD!$A$3:$A$5001,BD!$B$3:$B$5001,I$149,BD!$A$3:$A$5001,"&gt;="&amp;$C$7,BD!$A$3:$A$5001,"&lt;="&amp;$B156,BD!$M$3:$M$5001,"&lt;&gt;"))))</f>
        <v/>
      </c>
      <c r="J156" s="43" t="str">
        <f>IF(OR($B156="",$A156&gt;$B$9,J$149=""),"",IF(COUNTIFS(BD!$B$3:$B$5001,J$149,BD!$A$3:$A$5001,"&gt;="&amp;$C$7,BD!$A$3:$A$5001,"&lt;="&amp;$B156,BD!$M$3:$M$5001,"&lt;&gt;")=0,"",SUMIFS(BD!$M$3:$M$5001,BD!$B$3:$B$5001,J$149,BD!$A$3:$A$5001,_xlfn.MAXIFS(BD!$A$3:$A$5001,BD!$B$3:$B$5001,J$149,BD!$A$3:$A$5001,"&gt;="&amp;$C$7,BD!$A$3:$A$5001,"&lt;="&amp;$B156,BD!$M$3:$M$5001,"&lt;&gt;"))))</f>
        <v/>
      </c>
      <c r="K156" s="43" t="str">
        <f>IF(OR($B156="",$A156&gt;$B$9,K$149=""),"",IF(COUNTIFS(BD!$B$3:$B$5001,K$149,BD!$A$3:$A$5001,"&gt;="&amp;$C$7,BD!$A$3:$A$5001,"&lt;="&amp;$B156,BD!$M$3:$M$5001,"&lt;&gt;")=0,"",SUMIFS(BD!$M$3:$M$5001,BD!$B$3:$B$5001,K$149,BD!$A$3:$A$5001,_xlfn.MAXIFS(BD!$A$3:$A$5001,BD!$B$3:$B$5001,K$149,BD!$A$3:$A$5001,"&gt;="&amp;$C$7,BD!$A$3:$A$5001,"&lt;="&amp;$B156,BD!$M$3:$M$5001,"&lt;&gt;"))))</f>
        <v/>
      </c>
      <c r="L156" s="43" t="str">
        <f>IF(OR($B156="",$A156&gt;$B$9,L$149=""),"",IF(COUNTIFS(BD!$B$3:$B$5001,L$149,BD!$A$3:$A$5001,"&gt;="&amp;$C$7,BD!$A$3:$A$5001,"&lt;="&amp;$B156,BD!$M$3:$M$5001,"&lt;&gt;")=0,"",SUMIFS(BD!$M$3:$M$5001,BD!$B$3:$B$5001,L$149,BD!$A$3:$A$5001,_xlfn.MAXIFS(BD!$A$3:$A$5001,BD!$B$3:$B$5001,L$149,BD!$A$3:$A$5001,"&gt;="&amp;$C$7,BD!$A$3:$A$5001,"&lt;="&amp;$B156,BD!$M$3:$M$5001,"&lt;&gt;"))))</f>
        <v/>
      </c>
      <c r="M156" s="43" t="str">
        <f>IF(OR($B156="",$A156&gt;$B$9,M$149=""),"",IF(COUNTIFS(BD!$B$3:$B$5001,M$149,BD!$A$3:$A$5001,"&gt;="&amp;$C$7,BD!$A$3:$A$5001,"&lt;="&amp;$B156,BD!$M$3:$M$5001,"&lt;&gt;")=0,"",SUMIFS(BD!$M$3:$M$5001,BD!$B$3:$B$5001,M$149,BD!$A$3:$A$5001,_xlfn.MAXIFS(BD!$A$3:$A$5001,BD!$B$3:$B$5001,M$149,BD!$A$3:$A$5001,"&gt;="&amp;$C$7,BD!$A$3:$A$5001,"&lt;="&amp;$B156,BD!$M$3:$M$5001,"&lt;&gt;"))))</f>
        <v/>
      </c>
      <c r="N156" s="43" t="str">
        <f>IF(OR($B156="",$A156&gt;$B$9,N$149=""),"",IF(COUNTIFS(BD!$B$3:$B$5001,N$149,BD!$A$3:$A$5001,"&gt;="&amp;$C$7,BD!$A$3:$A$5001,"&lt;="&amp;$B156,BD!$M$3:$M$5001,"&lt;&gt;")=0,"",SUMIFS(BD!$M$3:$M$5001,BD!$B$3:$B$5001,N$149,BD!$A$3:$A$5001,_xlfn.MAXIFS(BD!$A$3:$A$5001,BD!$B$3:$B$5001,N$149,BD!$A$3:$A$5001,"&gt;="&amp;$C$7,BD!$A$3:$A$5001,"&lt;="&amp;$B156,BD!$M$3:$M$5001,"&lt;&gt;"))))</f>
        <v/>
      </c>
      <c r="O156" s="43" t="str">
        <f>IF(OR($B156="",$A156&gt;$B$9,O$149=""),"",IF(COUNTIFS(BD!$B$3:$B$5001,O$149,BD!$A$3:$A$5001,"&gt;="&amp;$C$7,BD!$A$3:$A$5001,"&lt;="&amp;$B156,BD!$M$3:$M$5001,"&lt;&gt;")=0,"",SUMIFS(BD!$M$3:$M$5001,BD!$B$3:$B$5001,O$149,BD!$A$3:$A$5001,_xlfn.MAXIFS(BD!$A$3:$A$5001,BD!$B$3:$B$5001,O$149,BD!$A$3:$A$5001,"&gt;="&amp;$C$7,BD!$A$3:$A$5001,"&lt;="&amp;$B156,BD!$M$3:$M$5001,"&lt;&gt;"))))</f>
        <v/>
      </c>
      <c r="P156" s="43" t="str">
        <f>IF(OR($B156="",$A156&gt;$B$9,P$149=""),"",IF(COUNTIFS(BD!$B$3:$B$5001,P$149,BD!$A$3:$A$5001,"&gt;="&amp;$C$7,BD!$A$3:$A$5001,"&lt;="&amp;$B156,BD!$M$3:$M$5001,"&lt;&gt;")=0,"",SUMIFS(BD!$M$3:$M$5001,BD!$B$3:$B$5001,P$149,BD!$A$3:$A$5001,_xlfn.MAXIFS(BD!$A$3:$A$5001,BD!$B$3:$B$5001,P$149,BD!$A$3:$A$5001,"&gt;="&amp;$C$7,BD!$A$3:$A$5001,"&lt;="&amp;$B156,BD!$M$3:$M$5001,"&lt;&gt;"))))</f>
        <v/>
      </c>
      <c r="Q156" s="43" t="str">
        <f>IF(OR($B156="",$A156&gt;$B$9,Q$149=""),"",IF(COUNTIFS(BD!$B$3:$B$5001,Q$149,BD!$A$3:$A$5001,"&gt;="&amp;$C$7,BD!$A$3:$A$5001,"&lt;="&amp;$B156,BD!$M$3:$M$5001,"&lt;&gt;")=0,"",SUMIFS(BD!$M$3:$M$5001,BD!$B$3:$B$5001,Q$149,BD!$A$3:$A$5001,_xlfn.MAXIFS(BD!$A$3:$A$5001,BD!$B$3:$B$5001,Q$149,BD!$A$3:$A$5001,"&gt;="&amp;$C$7,BD!$A$3:$A$5001,"&lt;="&amp;$B156,BD!$M$3:$M$5001,"&lt;&gt;"))))</f>
        <v/>
      </c>
      <c r="R156" s="43" t="str">
        <f>IF(OR($B156="",$A156&gt;$B$9,R$149=""),"",IF(COUNTIFS(BD!$B$3:$B$5001,R$149,BD!$A$3:$A$5001,"&gt;="&amp;$C$7,BD!$A$3:$A$5001,"&lt;="&amp;$B156,BD!$M$3:$M$5001,"&lt;&gt;")=0,"",SUMIFS(BD!$M$3:$M$5001,BD!$B$3:$B$5001,R$149,BD!$A$3:$A$5001,_xlfn.MAXIFS(BD!$A$3:$A$5001,BD!$B$3:$B$5001,R$149,BD!$A$3:$A$5001,"&gt;="&amp;$C$7,BD!$A$3:$A$5001,"&lt;="&amp;$B156,BD!$M$3:$M$5001,"&lt;&gt;"))))</f>
        <v/>
      </c>
      <c r="S156" s="43" t="str">
        <f>IF(OR($B156="",$A156&gt;$B$9,S$149=""),"",IF(COUNTIFS(BD!$B$3:$B$5001,S$149,BD!$A$3:$A$5001,"&gt;="&amp;$C$7,BD!$A$3:$A$5001,"&lt;="&amp;$B156,BD!$M$3:$M$5001,"&lt;&gt;")=0,"",SUMIFS(BD!$M$3:$M$5001,BD!$B$3:$B$5001,S$149,BD!$A$3:$A$5001,_xlfn.MAXIFS(BD!$A$3:$A$5001,BD!$B$3:$B$5001,S$149,BD!$A$3:$A$5001,"&gt;="&amp;$C$7,BD!$A$3:$A$5001,"&lt;="&amp;$B156,BD!$M$3:$M$5001,"&lt;&gt;"))))</f>
        <v/>
      </c>
      <c r="T156" s="43" t="str">
        <f>IF(OR($B156="",$A156&gt;$B$9,T$149=""),"",IF(COUNTIFS(BD!$B$3:$B$5001,T$149,BD!$A$3:$A$5001,"&gt;="&amp;$C$7,BD!$A$3:$A$5001,"&lt;="&amp;$B156,BD!$M$3:$M$5001,"&lt;&gt;")=0,"",SUMIFS(BD!$M$3:$M$5001,BD!$B$3:$B$5001,T$149,BD!$A$3:$A$5001,_xlfn.MAXIFS(BD!$A$3:$A$5001,BD!$B$3:$B$5001,T$149,BD!$A$3:$A$5001,"&gt;="&amp;$C$7,BD!$A$3:$A$5001,"&lt;="&amp;$B156,BD!$M$3:$M$5001,"&lt;&gt;"))))</f>
        <v/>
      </c>
      <c r="U156" s="43" t="str">
        <f>IF(OR($B156="",$A156&gt;$B$9,U$149=""),"",IF(COUNTIFS(BD!$B$3:$B$5001,U$149,BD!$A$3:$A$5001,"&gt;="&amp;$C$7,BD!$A$3:$A$5001,"&lt;="&amp;$B156,BD!$M$3:$M$5001,"&lt;&gt;")=0,"",SUMIFS(BD!$M$3:$M$5001,BD!$B$3:$B$5001,U$149,BD!$A$3:$A$5001,_xlfn.MAXIFS(BD!$A$3:$A$5001,BD!$B$3:$B$5001,U$149,BD!$A$3:$A$5001,"&gt;="&amp;$C$7,BD!$A$3:$A$5001,"&lt;="&amp;$B156,BD!$M$3:$M$5001,"&lt;&gt;"))))</f>
        <v/>
      </c>
      <c r="V156" s="43" t="str">
        <f>IF(OR($B156="",$A156&gt;$B$9,V$149=""),"",IF(COUNTIFS(BD!$B$3:$B$5001,V$149,BD!$A$3:$A$5001,"&gt;="&amp;$C$7,BD!$A$3:$A$5001,"&lt;="&amp;$B156,BD!$M$3:$M$5001,"&lt;&gt;")=0,"",SUMIFS(BD!$M$3:$M$5001,BD!$B$3:$B$5001,V$149,BD!$A$3:$A$5001,_xlfn.MAXIFS(BD!$A$3:$A$5001,BD!$B$3:$B$5001,V$149,BD!$A$3:$A$5001,"&gt;="&amp;$C$7,BD!$A$3:$A$5001,"&lt;="&amp;$B156,BD!$M$3:$M$5001,"&lt;&gt;"))))</f>
        <v/>
      </c>
    </row>
    <row r="157">
      <c r="A157" s="38">
        <v>8</v>
      </c>
      <c r="B157" s="42">
        <f>$B$19</f>
        <v>46303</v>
      </c>
      <c r="C157" s="43" t="str">
        <f>IF(OR($B157="",$A157&gt;$B$9,C$149=""),"",IF(COUNTIFS(BD!$B$3:$B$5001,C$149,BD!$A$3:$A$5001,"&gt;="&amp;$C$7,BD!$A$3:$A$5001,"&lt;="&amp;$B157,BD!$M$3:$M$5001,"&lt;&gt;")=0,"",SUMIFS(BD!$M$3:$M$5001,BD!$B$3:$B$5001,C$149,BD!$A$3:$A$5001,_xlfn.MAXIFS(BD!$A$3:$A$5001,BD!$B$3:$B$5001,C$149,BD!$A$3:$A$5001,"&gt;="&amp;$C$7,BD!$A$3:$A$5001,"&lt;="&amp;$B157,BD!$M$3:$M$5001,"&lt;&gt;"))))</f>
        <v/>
      </c>
      <c r="D157" s="43" t="str">
        <f>IF(OR($B157="",$A157&gt;$B$9,D$149=""),"",IF(COUNTIFS(BD!$B$3:$B$5001,D$149,BD!$A$3:$A$5001,"&gt;="&amp;$C$7,BD!$A$3:$A$5001,"&lt;="&amp;$B157,BD!$M$3:$M$5001,"&lt;&gt;")=0,"",SUMIFS(BD!$M$3:$M$5001,BD!$B$3:$B$5001,D$149,BD!$A$3:$A$5001,_xlfn.MAXIFS(BD!$A$3:$A$5001,BD!$B$3:$B$5001,D$149,BD!$A$3:$A$5001,"&gt;="&amp;$C$7,BD!$A$3:$A$5001,"&lt;="&amp;$B157,BD!$M$3:$M$5001,"&lt;&gt;"))))</f>
        <v/>
      </c>
      <c r="E157" s="43" t="str">
        <f>IF(OR($B157="",$A157&gt;$B$9,E$149=""),"",IF(COUNTIFS(BD!$B$3:$B$5001,E$149,BD!$A$3:$A$5001,"&gt;="&amp;$C$7,BD!$A$3:$A$5001,"&lt;="&amp;$B157,BD!$M$3:$M$5001,"&lt;&gt;")=0,"",SUMIFS(BD!$M$3:$M$5001,BD!$B$3:$B$5001,E$149,BD!$A$3:$A$5001,_xlfn.MAXIFS(BD!$A$3:$A$5001,BD!$B$3:$B$5001,E$149,BD!$A$3:$A$5001,"&gt;="&amp;$C$7,BD!$A$3:$A$5001,"&lt;="&amp;$B157,BD!$M$3:$M$5001,"&lt;&gt;"))))</f>
        <v/>
      </c>
      <c r="F157" s="43" t="str">
        <f>IF(OR($B157="",$A157&gt;$B$9,F$149=""),"",IF(COUNTIFS(BD!$B$3:$B$5001,F$149,BD!$A$3:$A$5001,"&gt;="&amp;$C$7,BD!$A$3:$A$5001,"&lt;="&amp;$B157,BD!$M$3:$M$5001,"&lt;&gt;")=0,"",SUMIFS(BD!$M$3:$M$5001,BD!$B$3:$B$5001,F$149,BD!$A$3:$A$5001,_xlfn.MAXIFS(BD!$A$3:$A$5001,BD!$B$3:$B$5001,F$149,BD!$A$3:$A$5001,"&gt;="&amp;$C$7,BD!$A$3:$A$5001,"&lt;="&amp;$B157,BD!$M$3:$M$5001,"&lt;&gt;"))))</f>
        <v/>
      </c>
      <c r="G157" s="43" t="str">
        <f>IF(OR($B157="",$A157&gt;$B$9,G$149=""),"",IF(COUNTIFS(BD!$B$3:$B$5001,G$149,BD!$A$3:$A$5001,"&gt;="&amp;$C$7,BD!$A$3:$A$5001,"&lt;="&amp;$B157,BD!$M$3:$M$5001,"&lt;&gt;")=0,"",SUMIFS(BD!$M$3:$M$5001,BD!$B$3:$B$5001,G$149,BD!$A$3:$A$5001,_xlfn.MAXIFS(BD!$A$3:$A$5001,BD!$B$3:$B$5001,G$149,BD!$A$3:$A$5001,"&gt;="&amp;$C$7,BD!$A$3:$A$5001,"&lt;="&amp;$B157,BD!$M$3:$M$5001,"&lt;&gt;"))))</f>
        <v/>
      </c>
      <c r="H157" s="43" t="str">
        <f>IF(OR($B157="",$A157&gt;$B$9,H$149=""),"",IF(COUNTIFS(BD!$B$3:$B$5001,H$149,BD!$A$3:$A$5001,"&gt;="&amp;$C$7,BD!$A$3:$A$5001,"&lt;="&amp;$B157,BD!$M$3:$M$5001,"&lt;&gt;")=0,"",SUMIFS(BD!$M$3:$M$5001,BD!$B$3:$B$5001,H$149,BD!$A$3:$A$5001,_xlfn.MAXIFS(BD!$A$3:$A$5001,BD!$B$3:$B$5001,H$149,BD!$A$3:$A$5001,"&gt;="&amp;$C$7,BD!$A$3:$A$5001,"&lt;="&amp;$B157,BD!$M$3:$M$5001,"&lt;&gt;"))))</f>
        <v/>
      </c>
      <c r="I157" s="43" t="str">
        <f>IF(OR($B157="",$A157&gt;$B$9,I$149=""),"",IF(COUNTIFS(BD!$B$3:$B$5001,I$149,BD!$A$3:$A$5001,"&gt;="&amp;$C$7,BD!$A$3:$A$5001,"&lt;="&amp;$B157,BD!$M$3:$M$5001,"&lt;&gt;")=0,"",SUMIFS(BD!$M$3:$M$5001,BD!$B$3:$B$5001,I$149,BD!$A$3:$A$5001,_xlfn.MAXIFS(BD!$A$3:$A$5001,BD!$B$3:$B$5001,I$149,BD!$A$3:$A$5001,"&gt;="&amp;$C$7,BD!$A$3:$A$5001,"&lt;="&amp;$B157,BD!$M$3:$M$5001,"&lt;&gt;"))))</f>
        <v/>
      </c>
      <c r="J157" s="43" t="str">
        <f>IF(OR($B157="",$A157&gt;$B$9,J$149=""),"",IF(COUNTIFS(BD!$B$3:$B$5001,J$149,BD!$A$3:$A$5001,"&gt;="&amp;$C$7,BD!$A$3:$A$5001,"&lt;="&amp;$B157,BD!$M$3:$M$5001,"&lt;&gt;")=0,"",SUMIFS(BD!$M$3:$M$5001,BD!$B$3:$B$5001,J$149,BD!$A$3:$A$5001,_xlfn.MAXIFS(BD!$A$3:$A$5001,BD!$B$3:$B$5001,J$149,BD!$A$3:$A$5001,"&gt;="&amp;$C$7,BD!$A$3:$A$5001,"&lt;="&amp;$B157,BD!$M$3:$M$5001,"&lt;&gt;"))))</f>
        <v/>
      </c>
      <c r="K157" s="43" t="str">
        <f>IF(OR($B157="",$A157&gt;$B$9,K$149=""),"",IF(COUNTIFS(BD!$B$3:$B$5001,K$149,BD!$A$3:$A$5001,"&gt;="&amp;$C$7,BD!$A$3:$A$5001,"&lt;="&amp;$B157,BD!$M$3:$M$5001,"&lt;&gt;")=0,"",SUMIFS(BD!$M$3:$M$5001,BD!$B$3:$B$5001,K$149,BD!$A$3:$A$5001,_xlfn.MAXIFS(BD!$A$3:$A$5001,BD!$B$3:$B$5001,K$149,BD!$A$3:$A$5001,"&gt;="&amp;$C$7,BD!$A$3:$A$5001,"&lt;="&amp;$B157,BD!$M$3:$M$5001,"&lt;&gt;"))))</f>
        <v/>
      </c>
      <c r="L157" s="43" t="str">
        <f>IF(OR($B157="",$A157&gt;$B$9,L$149=""),"",IF(COUNTIFS(BD!$B$3:$B$5001,L$149,BD!$A$3:$A$5001,"&gt;="&amp;$C$7,BD!$A$3:$A$5001,"&lt;="&amp;$B157,BD!$M$3:$M$5001,"&lt;&gt;")=0,"",SUMIFS(BD!$M$3:$M$5001,BD!$B$3:$B$5001,L$149,BD!$A$3:$A$5001,_xlfn.MAXIFS(BD!$A$3:$A$5001,BD!$B$3:$B$5001,L$149,BD!$A$3:$A$5001,"&gt;="&amp;$C$7,BD!$A$3:$A$5001,"&lt;="&amp;$B157,BD!$M$3:$M$5001,"&lt;&gt;"))))</f>
        <v/>
      </c>
      <c r="M157" s="43" t="str">
        <f>IF(OR($B157="",$A157&gt;$B$9,M$149=""),"",IF(COUNTIFS(BD!$B$3:$B$5001,M$149,BD!$A$3:$A$5001,"&gt;="&amp;$C$7,BD!$A$3:$A$5001,"&lt;="&amp;$B157,BD!$M$3:$M$5001,"&lt;&gt;")=0,"",SUMIFS(BD!$M$3:$M$5001,BD!$B$3:$B$5001,M$149,BD!$A$3:$A$5001,_xlfn.MAXIFS(BD!$A$3:$A$5001,BD!$B$3:$B$5001,M$149,BD!$A$3:$A$5001,"&gt;="&amp;$C$7,BD!$A$3:$A$5001,"&lt;="&amp;$B157,BD!$M$3:$M$5001,"&lt;&gt;"))))</f>
        <v/>
      </c>
      <c r="N157" s="43" t="str">
        <f>IF(OR($B157="",$A157&gt;$B$9,N$149=""),"",IF(COUNTIFS(BD!$B$3:$B$5001,N$149,BD!$A$3:$A$5001,"&gt;="&amp;$C$7,BD!$A$3:$A$5001,"&lt;="&amp;$B157,BD!$M$3:$M$5001,"&lt;&gt;")=0,"",SUMIFS(BD!$M$3:$M$5001,BD!$B$3:$B$5001,N$149,BD!$A$3:$A$5001,_xlfn.MAXIFS(BD!$A$3:$A$5001,BD!$B$3:$B$5001,N$149,BD!$A$3:$A$5001,"&gt;="&amp;$C$7,BD!$A$3:$A$5001,"&lt;="&amp;$B157,BD!$M$3:$M$5001,"&lt;&gt;"))))</f>
        <v/>
      </c>
      <c r="O157" s="43" t="str">
        <f>IF(OR($B157="",$A157&gt;$B$9,O$149=""),"",IF(COUNTIFS(BD!$B$3:$B$5001,O$149,BD!$A$3:$A$5001,"&gt;="&amp;$C$7,BD!$A$3:$A$5001,"&lt;="&amp;$B157,BD!$M$3:$M$5001,"&lt;&gt;")=0,"",SUMIFS(BD!$M$3:$M$5001,BD!$B$3:$B$5001,O$149,BD!$A$3:$A$5001,_xlfn.MAXIFS(BD!$A$3:$A$5001,BD!$B$3:$B$5001,O$149,BD!$A$3:$A$5001,"&gt;="&amp;$C$7,BD!$A$3:$A$5001,"&lt;="&amp;$B157,BD!$M$3:$M$5001,"&lt;&gt;"))))</f>
        <v/>
      </c>
      <c r="P157" s="43" t="str">
        <f>IF(OR($B157="",$A157&gt;$B$9,P$149=""),"",IF(COUNTIFS(BD!$B$3:$B$5001,P$149,BD!$A$3:$A$5001,"&gt;="&amp;$C$7,BD!$A$3:$A$5001,"&lt;="&amp;$B157,BD!$M$3:$M$5001,"&lt;&gt;")=0,"",SUMIFS(BD!$M$3:$M$5001,BD!$B$3:$B$5001,P$149,BD!$A$3:$A$5001,_xlfn.MAXIFS(BD!$A$3:$A$5001,BD!$B$3:$B$5001,P$149,BD!$A$3:$A$5001,"&gt;="&amp;$C$7,BD!$A$3:$A$5001,"&lt;="&amp;$B157,BD!$M$3:$M$5001,"&lt;&gt;"))))</f>
        <v/>
      </c>
      <c r="Q157" s="43" t="str">
        <f>IF(OR($B157="",$A157&gt;$B$9,Q$149=""),"",IF(COUNTIFS(BD!$B$3:$B$5001,Q$149,BD!$A$3:$A$5001,"&gt;="&amp;$C$7,BD!$A$3:$A$5001,"&lt;="&amp;$B157,BD!$M$3:$M$5001,"&lt;&gt;")=0,"",SUMIFS(BD!$M$3:$M$5001,BD!$B$3:$B$5001,Q$149,BD!$A$3:$A$5001,_xlfn.MAXIFS(BD!$A$3:$A$5001,BD!$B$3:$B$5001,Q$149,BD!$A$3:$A$5001,"&gt;="&amp;$C$7,BD!$A$3:$A$5001,"&lt;="&amp;$B157,BD!$M$3:$M$5001,"&lt;&gt;"))))</f>
        <v/>
      </c>
      <c r="R157" s="43" t="str">
        <f>IF(OR($B157="",$A157&gt;$B$9,R$149=""),"",IF(COUNTIFS(BD!$B$3:$B$5001,R$149,BD!$A$3:$A$5001,"&gt;="&amp;$C$7,BD!$A$3:$A$5001,"&lt;="&amp;$B157,BD!$M$3:$M$5001,"&lt;&gt;")=0,"",SUMIFS(BD!$M$3:$M$5001,BD!$B$3:$B$5001,R$149,BD!$A$3:$A$5001,_xlfn.MAXIFS(BD!$A$3:$A$5001,BD!$B$3:$B$5001,R$149,BD!$A$3:$A$5001,"&gt;="&amp;$C$7,BD!$A$3:$A$5001,"&lt;="&amp;$B157,BD!$M$3:$M$5001,"&lt;&gt;"))))</f>
        <v/>
      </c>
      <c r="S157" s="43" t="str">
        <f>IF(OR($B157="",$A157&gt;$B$9,S$149=""),"",IF(COUNTIFS(BD!$B$3:$B$5001,S$149,BD!$A$3:$A$5001,"&gt;="&amp;$C$7,BD!$A$3:$A$5001,"&lt;="&amp;$B157,BD!$M$3:$M$5001,"&lt;&gt;")=0,"",SUMIFS(BD!$M$3:$M$5001,BD!$B$3:$B$5001,S$149,BD!$A$3:$A$5001,_xlfn.MAXIFS(BD!$A$3:$A$5001,BD!$B$3:$B$5001,S$149,BD!$A$3:$A$5001,"&gt;="&amp;$C$7,BD!$A$3:$A$5001,"&lt;="&amp;$B157,BD!$M$3:$M$5001,"&lt;&gt;"))))</f>
        <v/>
      </c>
      <c r="T157" s="43" t="str">
        <f>IF(OR($B157="",$A157&gt;$B$9,T$149=""),"",IF(COUNTIFS(BD!$B$3:$B$5001,T$149,BD!$A$3:$A$5001,"&gt;="&amp;$C$7,BD!$A$3:$A$5001,"&lt;="&amp;$B157,BD!$M$3:$M$5001,"&lt;&gt;")=0,"",SUMIFS(BD!$M$3:$M$5001,BD!$B$3:$B$5001,T$149,BD!$A$3:$A$5001,_xlfn.MAXIFS(BD!$A$3:$A$5001,BD!$B$3:$B$5001,T$149,BD!$A$3:$A$5001,"&gt;="&amp;$C$7,BD!$A$3:$A$5001,"&lt;="&amp;$B157,BD!$M$3:$M$5001,"&lt;&gt;"))))</f>
        <v/>
      </c>
      <c r="U157" s="43" t="str">
        <f>IF(OR($B157="",$A157&gt;$B$9,U$149=""),"",IF(COUNTIFS(BD!$B$3:$B$5001,U$149,BD!$A$3:$A$5001,"&gt;="&amp;$C$7,BD!$A$3:$A$5001,"&lt;="&amp;$B157,BD!$M$3:$M$5001,"&lt;&gt;")=0,"",SUMIFS(BD!$M$3:$M$5001,BD!$B$3:$B$5001,U$149,BD!$A$3:$A$5001,_xlfn.MAXIFS(BD!$A$3:$A$5001,BD!$B$3:$B$5001,U$149,BD!$A$3:$A$5001,"&gt;="&amp;$C$7,BD!$A$3:$A$5001,"&lt;="&amp;$B157,BD!$M$3:$M$5001,"&lt;&gt;"))))</f>
        <v/>
      </c>
      <c r="V157" s="43" t="str">
        <f>IF(OR($B157="",$A157&gt;$B$9,V$149=""),"",IF(COUNTIFS(BD!$B$3:$B$5001,V$149,BD!$A$3:$A$5001,"&gt;="&amp;$C$7,BD!$A$3:$A$5001,"&lt;="&amp;$B157,BD!$M$3:$M$5001,"&lt;&gt;")=0,"",SUMIFS(BD!$M$3:$M$5001,BD!$B$3:$B$5001,V$149,BD!$A$3:$A$5001,_xlfn.MAXIFS(BD!$A$3:$A$5001,BD!$B$3:$B$5001,V$149,BD!$A$3:$A$5001,"&gt;="&amp;$C$7,BD!$A$3:$A$5001,"&lt;="&amp;$B157,BD!$M$3:$M$5001,"&lt;&gt;"))))</f>
        <v/>
      </c>
    </row>
    <row r="158">
      <c r="A158" s="38">
        <v>9</v>
      </c>
      <c r="B158" s="42">
        <f>$B$20</f>
        <v>46304</v>
      </c>
      <c r="C158" s="43" t="str">
        <f>IF(OR($B158="",$A158&gt;$B$9,C$149=""),"",IF(COUNTIFS(BD!$B$3:$B$5001,C$149,BD!$A$3:$A$5001,"&gt;="&amp;$C$7,BD!$A$3:$A$5001,"&lt;="&amp;$B158,BD!$M$3:$M$5001,"&lt;&gt;")=0,"",SUMIFS(BD!$M$3:$M$5001,BD!$B$3:$B$5001,C$149,BD!$A$3:$A$5001,_xlfn.MAXIFS(BD!$A$3:$A$5001,BD!$B$3:$B$5001,C$149,BD!$A$3:$A$5001,"&gt;="&amp;$C$7,BD!$A$3:$A$5001,"&lt;="&amp;$B158,BD!$M$3:$M$5001,"&lt;&gt;"))))</f>
        <v/>
      </c>
      <c r="D158" s="43" t="str">
        <f>IF(OR($B158="",$A158&gt;$B$9,D$149=""),"",IF(COUNTIFS(BD!$B$3:$B$5001,D$149,BD!$A$3:$A$5001,"&gt;="&amp;$C$7,BD!$A$3:$A$5001,"&lt;="&amp;$B158,BD!$M$3:$M$5001,"&lt;&gt;")=0,"",SUMIFS(BD!$M$3:$M$5001,BD!$B$3:$B$5001,D$149,BD!$A$3:$A$5001,_xlfn.MAXIFS(BD!$A$3:$A$5001,BD!$B$3:$B$5001,D$149,BD!$A$3:$A$5001,"&gt;="&amp;$C$7,BD!$A$3:$A$5001,"&lt;="&amp;$B158,BD!$M$3:$M$5001,"&lt;&gt;"))))</f>
        <v/>
      </c>
      <c r="E158" s="43" t="str">
        <f>IF(OR($B158="",$A158&gt;$B$9,E$149=""),"",IF(COUNTIFS(BD!$B$3:$B$5001,E$149,BD!$A$3:$A$5001,"&gt;="&amp;$C$7,BD!$A$3:$A$5001,"&lt;="&amp;$B158,BD!$M$3:$M$5001,"&lt;&gt;")=0,"",SUMIFS(BD!$M$3:$M$5001,BD!$B$3:$B$5001,E$149,BD!$A$3:$A$5001,_xlfn.MAXIFS(BD!$A$3:$A$5001,BD!$B$3:$B$5001,E$149,BD!$A$3:$A$5001,"&gt;="&amp;$C$7,BD!$A$3:$A$5001,"&lt;="&amp;$B158,BD!$M$3:$M$5001,"&lt;&gt;"))))</f>
        <v/>
      </c>
      <c r="F158" s="43" t="str">
        <f>IF(OR($B158="",$A158&gt;$B$9,F$149=""),"",IF(COUNTIFS(BD!$B$3:$B$5001,F$149,BD!$A$3:$A$5001,"&gt;="&amp;$C$7,BD!$A$3:$A$5001,"&lt;="&amp;$B158,BD!$M$3:$M$5001,"&lt;&gt;")=0,"",SUMIFS(BD!$M$3:$M$5001,BD!$B$3:$B$5001,F$149,BD!$A$3:$A$5001,_xlfn.MAXIFS(BD!$A$3:$A$5001,BD!$B$3:$B$5001,F$149,BD!$A$3:$A$5001,"&gt;="&amp;$C$7,BD!$A$3:$A$5001,"&lt;="&amp;$B158,BD!$M$3:$M$5001,"&lt;&gt;"))))</f>
        <v/>
      </c>
      <c r="G158" s="43" t="str">
        <f>IF(OR($B158="",$A158&gt;$B$9,G$149=""),"",IF(COUNTIFS(BD!$B$3:$B$5001,G$149,BD!$A$3:$A$5001,"&gt;="&amp;$C$7,BD!$A$3:$A$5001,"&lt;="&amp;$B158,BD!$M$3:$M$5001,"&lt;&gt;")=0,"",SUMIFS(BD!$M$3:$M$5001,BD!$B$3:$B$5001,G$149,BD!$A$3:$A$5001,_xlfn.MAXIFS(BD!$A$3:$A$5001,BD!$B$3:$B$5001,G$149,BD!$A$3:$A$5001,"&gt;="&amp;$C$7,BD!$A$3:$A$5001,"&lt;="&amp;$B158,BD!$M$3:$M$5001,"&lt;&gt;"))))</f>
        <v/>
      </c>
      <c r="H158" s="43" t="str">
        <f>IF(OR($B158="",$A158&gt;$B$9,H$149=""),"",IF(COUNTIFS(BD!$B$3:$B$5001,H$149,BD!$A$3:$A$5001,"&gt;="&amp;$C$7,BD!$A$3:$A$5001,"&lt;="&amp;$B158,BD!$M$3:$M$5001,"&lt;&gt;")=0,"",SUMIFS(BD!$M$3:$M$5001,BD!$B$3:$B$5001,H$149,BD!$A$3:$A$5001,_xlfn.MAXIFS(BD!$A$3:$A$5001,BD!$B$3:$B$5001,H$149,BD!$A$3:$A$5001,"&gt;="&amp;$C$7,BD!$A$3:$A$5001,"&lt;="&amp;$B158,BD!$M$3:$M$5001,"&lt;&gt;"))))</f>
        <v/>
      </c>
      <c r="I158" s="43" t="str">
        <f>IF(OR($B158="",$A158&gt;$B$9,I$149=""),"",IF(COUNTIFS(BD!$B$3:$B$5001,I$149,BD!$A$3:$A$5001,"&gt;="&amp;$C$7,BD!$A$3:$A$5001,"&lt;="&amp;$B158,BD!$M$3:$M$5001,"&lt;&gt;")=0,"",SUMIFS(BD!$M$3:$M$5001,BD!$B$3:$B$5001,I$149,BD!$A$3:$A$5001,_xlfn.MAXIFS(BD!$A$3:$A$5001,BD!$B$3:$B$5001,I$149,BD!$A$3:$A$5001,"&gt;="&amp;$C$7,BD!$A$3:$A$5001,"&lt;="&amp;$B158,BD!$M$3:$M$5001,"&lt;&gt;"))))</f>
        <v/>
      </c>
      <c r="J158" s="43" t="str">
        <f>IF(OR($B158="",$A158&gt;$B$9,J$149=""),"",IF(COUNTIFS(BD!$B$3:$B$5001,J$149,BD!$A$3:$A$5001,"&gt;="&amp;$C$7,BD!$A$3:$A$5001,"&lt;="&amp;$B158,BD!$M$3:$M$5001,"&lt;&gt;")=0,"",SUMIFS(BD!$M$3:$M$5001,BD!$B$3:$B$5001,J$149,BD!$A$3:$A$5001,_xlfn.MAXIFS(BD!$A$3:$A$5001,BD!$B$3:$B$5001,J$149,BD!$A$3:$A$5001,"&gt;="&amp;$C$7,BD!$A$3:$A$5001,"&lt;="&amp;$B158,BD!$M$3:$M$5001,"&lt;&gt;"))))</f>
        <v/>
      </c>
      <c r="K158" s="43" t="str">
        <f>IF(OR($B158="",$A158&gt;$B$9,K$149=""),"",IF(COUNTIFS(BD!$B$3:$B$5001,K$149,BD!$A$3:$A$5001,"&gt;="&amp;$C$7,BD!$A$3:$A$5001,"&lt;="&amp;$B158,BD!$M$3:$M$5001,"&lt;&gt;")=0,"",SUMIFS(BD!$M$3:$M$5001,BD!$B$3:$B$5001,K$149,BD!$A$3:$A$5001,_xlfn.MAXIFS(BD!$A$3:$A$5001,BD!$B$3:$B$5001,K$149,BD!$A$3:$A$5001,"&gt;="&amp;$C$7,BD!$A$3:$A$5001,"&lt;="&amp;$B158,BD!$M$3:$M$5001,"&lt;&gt;"))))</f>
        <v/>
      </c>
      <c r="L158" s="43" t="str">
        <f>IF(OR($B158="",$A158&gt;$B$9,L$149=""),"",IF(COUNTIFS(BD!$B$3:$B$5001,L$149,BD!$A$3:$A$5001,"&gt;="&amp;$C$7,BD!$A$3:$A$5001,"&lt;="&amp;$B158,BD!$M$3:$M$5001,"&lt;&gt;")=0,"",SUMIFS(BD!$M$3:$M$5001,BD!$B$3:$B$5001,L$149,BD!$A$3:$A$5001,_xlfn.MAXIFS(BD!$A$3:$A$5001,BD!$B$3:$B$5001,L$149,BD!$A$3:$A$5001,"&gt;="&amp;$C$7,BD!$A$3:$A$5001,"&lt;="&amp;$B158,BD!$M$3:$M$5001,"&lt;&gt;"))))</f>
        <v/>
      </c>
      <c r="M158" s="43" t="str">
        <f>IF(OR($B158="",$A158&gt;$B$9,M$149=""),"",IF(COUNTIFS(BD!$B$3:$B$5001,M$149,BD!$A$3:$A$5001,"&gt;="&amp;$C$7,BD!$A$3:$A$5001,"&lt;="&amp;$B158,BD!$M$3:$M$5001,"&lt;&gt;")=0,"",SUMIFS(BD!$M$3:$M$5001,BD!$B$3:$B$5001,M$149,BD!$A$3:$A$5001,_xlfn.MAXIFS(BD!$A$3:$A$5001,BD!$B$3:$B$5001,M$149,BD!$A$3:$A$5001,"&gt;="&amp;$C$7,BD!$A$3:$A$5001,"&lt;="&amp;$B158,BD!$M$3:$M$5001,"&lt;&gt;"))))</f>
        <v/>
      </c>
      <c r="N158" s="43" t="str">
        <f>IF(OR($B158="",$A158&gt;$B$9,N$149=""),"",IF(COUNTIFS(BD!$B$3:$B$5001,N$149,BD!$A$3:$A$5001,"&gt;="&amp;$C$7,BD!$A$3:$A$5001,"&lt;="&amp;$B158,BD!$M$3:$M$5001,"&lt;&gt;")=0,"",SUMIFS(BD!$M$3:$M$5001,BD!$B$3:$B$5001,N$149,BD!$A$3:$A$5001,_xlfn.MAXIFS(BD!$A$3:$A$5001,BD!$B$3:$B$5001,N$149,BD!$A$3:$A$5001,"&gt;="&amp;$C$7,BD!$A$3:$A$5001,"&lt;="&amp;$B158,BD!$M$3:$M$5001,"&lt;&gt;"))))</f>
        <v/>
      </c>
      <c r="O158" s="43" t="str">
        <f>IF(OR($B158="",$A158&gt;$B$9,O$149=""),"",IF(COUNTIFS(BD!$B$3:$B$5001,O$149,BD!$A$3:$A$5001,"&gt;="&amp;$C$7,BD!$A$3:$A$5001,"&lt;="&amp;$B158,BD!$M$3:$M$5001,"&lt;&gt;")=0,"",SUMIFS(BD!$M$3:$M$5001,BD!$B$3:$B$5001,O$149,BD!$A$3:$A$5001,_xlfn.MAXIFS(BD!$A$3:$A$5001,BD!$B$3:$B$5001,O$149,BD!$A$3:$A$5001,"&gt;="&amp;$C$7,BD!$A$3:$A$5001,"&lt;="&amp;$B158,BD!$M$3:$M$5001,"&lt;&gt;"))))</f>
        <v/>
      </c>
      <c r="P158" s="43" t="str">
        <f>IF(OR($B158="",$A158&gt;$B$9,P$149=""),"",IF(COUNTIFS(BD!$B$3:$B$5001,P$149,BD!$A$3:$A$5001,"&gt;="&amp;$C$7,BD!$A$3:$A$5001,"&lt;="&amp;$B158,BD!$M$3:$M$5001,"&lt;&gt;")=0,"",SUMIFS(BD!$M$3:$M$5001,BD!$B$3:$B$5001,P$149,BD!$A$3:$A$5001,_xlfn.MAXIFS(BD!$A$3:$A$5001,BD!$B$3:$B$5001,P$149,BD!$A$3:$A$5001,"&gt;="&amp;$C$7,BD!$A$3:$A$5001,"&lt;="&amp;$B158,BD!$M$3:$M$5001,"&lt;&gt;"))))</f>
        <v/>
      </c>
      <c r="Q158" s="43" t="str">
        <f>IF(OR($B158="",$A158&gt;$B$9,Q$149=""),"",IF(COUNTIFS(BD!$B$3:$B$5001,Q$149,BD!$A$3:$A$5001,"&gt;="&amp;$C$7,BD!$A$3:$A$5001,"&lt;="&amp;$B158,BD!$M$3:$M$5001,"&lt;&gt;")=0,"",SUMIFS(BD!$M$3:$M$5001,BD!$B$3:$B$5001,Q$149,BD!$A$3:$A$5001,_xlfn.MAXIFS(BD!$A$3:$A$5001,BD!$B$3:$B$5001,Q$149,BD!$A$3:$A$5001,"&gt;="&amp;$C$7,BD!$A$3:$A$5001,"&lt;="&amp;$B158,BD!$M$3:$M$5001,"&lt;&gt;"))))</f>
        <v/>
      </c>
      <c r="R158" s="43" t="str">
        <f>IF(OR($B158="",$A158&gt;$B$9,R$149=""),"",IF(COUNTIFS(BD!$B$3:$B$5001,R$149,BD!$A$3:$A$5001,"&gt;="&amp;$C$7,BD!$A$3:$A$5001,"&lt;="&amp;$B158,BD!$M$3:$M$5001,"&lt;&gt;")=0,"",SUMIFS(BD!$M$3:$M$5001,BD!$B$3:$B$5001,R$149,BD!$A$3:$A$5001,_xlfn.MAXIFS(BD!$A$3:$A$5001,BD!$B$3:$B$5001,R$149,BD!$A$3:$A$5001,"&gt;="&amp;$C$7,BD!$A$3:$A$5001,"&lt;="&amp;$B158,BD!$M$3:$M$5001,"&lt;&gt;"))))</f>
        <v/>
      </c>
      <c r="S158" s="43" t="str">
        <f>IF(OR($B158="",$A158&gt;$B$9,S$149=""),"",IF(COUNTIFS(BD!$B$3:$B$5001,S$149,BD!$A$3:$A$5001,"&gt;="&amp;$C$7,BD!$A$3:$A$5001,"&lt;="&amp;$B158,BD!$M$3:$M$5001,"&lt;&gt;")=0,"",SUMIFS(BD!$M$3:$M$5001,BD!$B$3:$B$5001,S$149,BD!$A$3:$A$5001,_xlfn.MAXIFS(BD!$A$3:$A$5001,BD!$B$3:$B$5001,S$149,BD!$A$3:$A$5001,"&gt;="&amp;$C$7,BD!$A$3:$A$5001,"&lt;="&amp;$B158,BD!$M$3:$M$5001,"&lt;&gt;"))))</f>
        <v/>
      </c>
      <c r="T158" s="43" t="str">
        <f>IF(OR($B158="",$A158&gt;$B$9,T$149=""),"",IF(COUNTIFS(BD!$B$3:$B$5001,T$149,BD!$A$3:$A$5001,"&gt;="&amp;$C$7,BD!$A$3:$A$5001,"&lt;="&amp;$B158,BD!$M$3:$M$5001,"&lt;&gt;")=0,"",SUMIFS(BD!$M$3:$M$5001,BD!$B$3:$B$5001,T$149,BD!$A$3:$A$5001,_xlfn.MAXIFS(BD!$A$3:$A$5001,BD!$B$3:$B$5001,T$149,BD!$A$3:$A$5001,"&gt;="&amp;$C$7,BD!$A$3:$A$5001,"&lt;="&amp;$B158,BD!$M$3:$M$5001,"&lt;&gt;"))))</f>
        <v/>
      </c>
      <c r="U158" s="43" t="str">
        <f>IF(OR($B158="",$A158&gt;$B$9,U$149=""),"",IF(COUNTIFS(BD!$B$3:$B$5001,U$149,BD!$A$3:$A$5001,"&gt;="&amp;$C$7,BD!$A$3:$A$5001,"&lt;="&amp;$B158,BD!$M$3:$M$5001,"&lt;&gt;")=0,"",SUMIFS(BD!$M$3:$M$5001,BD!$B$3:$B$5001,U$149,BD!$A$3:$A$5001,_xlfn.MAXIFS(BD!$A$3:$A$5001,BD!$B$3:$B$5001,U$149,BD!$A$3:$A$5001,"&gt;="&amp;$C$7,BD!$A$3:$A$5001,"&lt;="&amp;$B158,BD!$M$3:$M$5001,"&lt;&gt;"))))</f>
        <v/>
      </c>
      <c r="V158" s="43" t="str">
        <f>IF(OR($B158="",$A158&gt;$B$9,V$149=""),"",IF(COUNTIFS(BD!$B$3:$B$5001,V$149,BD!$A$3:$A$5001,"&gt;="&amp;$C$7,BD!$A$3:$A$5001,"&lt;="&amp;$B158,BD!$M$3:$M$5001,"&lt;&gt;")=0,"",SUMIFS(BD!$M$3:$M$5001,BD!$B$3:$B$5001,V$149,BD!$A$3:$A$5001,_xlfn.MAXIFS(BD!$A$3:$A$5001,BD!$B$3:$B$5001,V$149,BD!$A$3:$A$5001,"&gt;="&amp;$C$7,BD!$A$3:$A$5001,"&lt;="&amp;$B158,BD!$M$3:$M$5001,"&lt;&gt;"))))</f>
        <v/>
      </c>
    </row>
    <row r="159">
      <c r="A159" s="38">
        <v>10</v>
      </c>
      <c r="B159" s="42">
        <f>$B$21</f>
        <v>46305</v>
      </c>
      <c r="C159" s="43" t="str">
        <f>IF(OR($B159="",$A159&gt;$B$9,C$149=""),"",IF(COUNTIFS(BD!$B$3:$B$5001,C$149,BD!$A$3:$A$5001,"&gt;="&amp;$C$7,BD!$A$3:$A$5001,"&lt;="&amp;$B159,BD!$M$3:$M$5001,"&lt;&gt;")=0,"",SUMIFS(BD!$M$3:$M$5001,BD!$B$3:$B$5001,C$149,BD!$A$3:$A$5001,_xlfn.MAXIFS(BD!$A$3:$A$5001,BD!$B$3:$B$5001,C$149,BD!$A$3:$A$5001,"&gt;="&amp;$C$7,BD!$A$3:$A$5001,"&lt;="&amp;$B159,BD!$M$3:$M$5001,"&lt;&gt;"))))</f>
        <v/>
      </c>
      <c r="D159" s="43" t="str">
        <f>IF(OR($B159="",$A159&gt;$B$9,D$149=""),"",IF(COUNTIFS(BD!$B$3:$B$5001,D$149,BD!$A$3:$A$5001,"&gt;="&amp;$C$7,BD!$A$3:$A$5001,"&lt;="&amp;$B159,BD!$M$3:$M$5001,"&lt;&gt;")=0,"",SUMIFS(BD!$M$3:$M$5001,BD!$B$3:$B$5001,D$149,BD!$A$3:$A$5001,_xlfn.MAXIFS(BD!$A$3:$A$5001,BD!$B$3:$B$5001,D$149,BD!$A$3:$A$5001,"&gt;="&amp;$C$7,BD!$A$3:$A$5001,"&lt;="&amp;$B159,BD!$M$3:$M$5001,"&lt;&gt;"))))</f>
        <v/>
      </c>
      <c r="E159" s="43" t="str">
        <f>IF(OR($B159="",$A159&gt;$B$9,E$149=""),"",IF(COUNTIFS(BD!$B$3:$B$5001,E$149,BD!$A$3:$A$5001,"&gt;="&amp;$C$7,BD!$A$3:$A$5001,"&lt;="&amp;$B159,BD!$M$3:$M$5001,"&lt;&gt;")=0,"",SUMIFS(BD!$M$3:$M$5001,BD!$B$3:$B$5001,E$149,BD!$A$3:$A$5001,_xlfn.MAXIFS(BD!$A$3:$A$5001,BD!$B$3:$B$5001,E$149,BD!$A$3:$A$5001,"&gt;="&amp;$C$7,BD!$A$3:$A$5001,"&lt;="&amp;$B159,BD!$M$3:$M$5001,"&lt;&gt;"))))</f>
        <v/>
      </c>
      <c r="F159" s="43" t="str">
        <f>IF(OR($B159="",$A159&gt;$B$9,F$149=""),"",IF(COUNTIFS(BD!$B$3:$B$5001,F$149,BD!$A$3:$A$5001,"&gt;="&amp;$C$7,BD!$A$3:$A$5001,"&lt;="&amp;$B159,BD!$M$3:$M$5001,"&lt;&gt;")=0,"",SUMIFS(BD!$M$3:$M$5001,BD!$B$3:$B$5001,F$149,BD!$A$3:$A$5001,_xlfn.MAXIFS(BD!$A$3:$A$5001,BD!$B$3:$B$5001,F$149,BD!$A$3:$A$5001,"&gt;="&amp;$C$7,BD!$A$3:$A$5001,"&lt;="&amp;$B159,BD!$M$3:$M$5001,"&lt;&gt;"))))</f>
        <v/>
      </c>
      <c r="G159" s="43" t="str">
        <f>IF(OR($B159="",$A159&gt;$B$9,G$149=""),"",IF(COUNTIFS(BD!$B$3:$B$5001,G$149,BD!$A$3:$A$5001,"&gt;="&amp;$C$7,BD!$A$3:$A$5001,"&lt;="&amp;$B159,BD!$M$3:$M$5001,"&lt;&gt;")=0,"",SUMIFS(BD!$M$3:$M$5001,BD!$B$3:$B$5001,G$149,BD!$A$3:$A$5001,_xlfn.MAXIFS(BD!$A$3:$A$5001,BD!$B$3:$B$5001,G$149,BD!$A$3:$A$5001,"&gt;="&amp;$C$7,BD!$A$3:$A$5001,"&lt;="&amp;$B159,BD!$M$3:$M$5001,"&lt;&gt;"))))</f>
        <v/>
      </c>
      <c r="H159" s="43" t="str">
        <f>IF(OR($B159="",$A159&gt;$B$9,H$149=""),"",IF(COUNTIFS(BD!$B$3:$B$5001,H$149,BD!$A$3:$A$5001,"&gt;="&amp;$C$7,BD!$A$3:$A$5001,"&lt;="&amp;$B159,BD!$M$3:$M$5001,"&lt;&gt;")=0,"",SUMIFS(BD!$M$3:$M$5001,BD!$B$3:$B$5001,H$149,BD!$A$3:$A$5001,_xlfn.MAXIFS(BD!$A$3:$A$5001,BD!$B$3:$B$5001,H$149,BD!$A$3:$A$5001,"&gt;="&amp;$C$7,BD!$A$3:$A$5001,"&lt;="&amp;$B159,BD!$M$3:$M$5001,"&lt;&gt;"))))</f>
        <v/>
      </c>
      <c r="I159" s="43" t="str">
        <f>IF(OR($B159="",$A159&gt;$B$9,I$149=""),"",IF(COUNTIFS(BD!$B$3:$B$5001,I$149,BD!$A$3:$A$5001,"&gt;="&amp;$C$7,BD!$A$3:$A$5001,"&lt;="&amp;$B159,BD!$M$3:$M$5001,"&lt;&gt;")=0,"",SUMIFS(BD!$M$3:$M$5001,BD!$B$3:$B$5001,I$149,BD!$A$3:$A$5001,_xlfn.MAXIFS(BD!$A$3:$A$5001,BD!$B$3:$B$5001,I$149,BD!$A$3:$A$5001,"&gt;="&amp;$C$7,BD!$A$3:$A$5001,"&lt;="&amp;$B159,BD!$M$3:$M$5001,"&lt;&gt;"))))</f>
        <v/>
      </c>
      <c r="J159" s="43" t="str">
        <f>IF(OR($B159="",$A159&gt;$B$9,J$149=""),"",IF(COUNTIFS(BD!$B$3:$B$5001,J$149,BD!$A$3:$A$5001,"&gt;="&amp;$C$7,BD!$A$3:$A$5001,"&lt;="&amp;$B159,BD!$M$3:$M$5001,"&lt;&gt;")=0,"",SUMIFS(BD!$M$3:$M$5001,BD!$B$3:$B$5001,J$149,BD!$A$3:$A$5001,_xlfn.MAXIFS(BD!$A$3:$A$5001,BD!$B$3:$B$5001,J$149,BD!$A$3:$A$5001,"&gt;="&amp;$C$7,BD!$A$3:$A$5001,"&lt;="&amp;$B159,BD!$M$3:$M$5001,"&lt;&gt;"))))</f>
        <v/>
      </c>
      <c r="K159" s="43" t="str">
        <f>IF(OR($B159="",$A159&gt;$B$9,K$149=""),"",IF(COUNTIFS(BD!$B$3:$B$5001,K$149,BD!$A$3:$A$5001,"&gt;="&amp;$C$7,BD!$A$3:$A$5001,"&lt;="&amp;$B159,BD!$M$3:$M$5001,"&lt;&gt;")=0,"",SUMIFS(BD!$M$3:$M$5001,BD!$B$3:$B$5001,K$149,BD!$A$3:$A$5001,_xlfn.MAXIFS(BD!$A$3:$A$5001,BD!$B$3:$B$5001,K$149,BD!$A$3:$A$5001,"&gt;="&amp;$C$7,BD!$A$3:$A$5001,"&lt;="&amp;$B159,BD!$M$3:$M$5001,"&lt;&gt;"))))</f>
        <v/>
      </c>
      <c r="L159" s="43" t="str">
        <f>IF(OR($B159="",$A159&gt;$B$9,L$149=""),"",IF(COUNTIFS(BD!$B$3:$B$5001,L$149,BD!$A$3:$A$5001,"&gt;="&amp;$C$7,BD!$A$3:$A$5001,"&lt;="&amp;$B159,BD!$M$3:$M$5001,"&lt;&gt;")=0,"",SUMIFS(BD!$M$3:$M$5001,BD!$B$3:$B$5001,L$149,BD!$A$3:$A$5001,_xlfn.MAXIFS(BD!$A$3:$A$5001,BD!$B$3:$B$5001,L$149,BD!$A$3:$A$5001,"&gt;="&amp;$C$7,BD!$A$3:$A$5001,"&lt;="&amp;$B159,BD!$M$3:$M$5001,"&lt;&gt;"))))</f>
        <v/>
      </c>
      <c r="M159" s="43" t="str">
        <f>IF(OR($B159="",$A159&gt;$B$9,M$149=""),"",IF(COUNTIFS(BD!$B$3:$B$5001,M$149,BD!$A$3:$A$5001,"&gt;="&amp;$C$7,BD!$A$3:$A$5001,"&lt;="&amp;$B159,BD!$M$3:$M$5001,"&lt;&gt;")=0,"",SUMIFS(BD!$M$3:$M$5001,BD!$B$3:$B$5001,M$149,BD!$A$3:$A$5001,_xlfn.MAXIFS(BD!$A$3:$A$5001,BD!$B$3:$B$5001,M$149,BD!$A$3:$A$5001,"&gt;="&amp;$C$7,BD!$A$3:$A$5001,"&lt;="&amp;$B159,BD!$M$3:$M$5001,"&lt;&gt;"))))</f>
        <v/>
      </c>
      <c r="N159" s="43" t="str">
        <f>IF(OR($B159="",$A159&gt;$B$9,N$149=""),"",IF(COUNTIFS(BD!$B$3:$B$5001,N$149,BD!$A$3:$A$5001,"&gt;="&amp;$C$7,BD!$A$3:$A$5001,"&lt;="&amp;$B159,BD!$M$3:$M$5001,"&lt;&gt;")=0,"",SUMIFS(BD!$M$3:$M$5001,BD!$B$3:$B$5001,N$149,BD!$A$3:$A$5001,_xlfn.MAXIFS(BD!$A$3:$A$5001,BD!$B$3:$B$5001,N$149,BD!$A$3:$A$5001,"&gt;="&amp;$C$7,BD!$A$3:$A$5001,"&lt;="&amp;$B159,BD!$M$3:$M$5001,"&lt;&gt;"))))</f>
        <v/>
      </c>
      <c r="O159" s="43" t="str">
        <f>IF(OR($B159="",$A159&gt;$B$9,O$149=""),"",IF(COUNTIFS(BD!$B$3:$B$5001,O$149,BD!$A$3:$A$5001,"&gt;="&amp;$C$7,BD!$A$3:$A$5001,"&lt;="&amp;$B159,BD!$M$3:$M$5001,"&lt;&gt;")=0,"",SUMIFS(BD!$M$3:$M$5001,BD!$B$3:$B$5001,O$149,BD!$A$3:$A$5001,_xlfn.MAXIFS(BD!$A$3:$A$5001,BD!$B$3:$B$5001,O$149,BD!$A$3:$A$5001,"&gt;="&amp;$C$7,BD!$A$3:$A$5001,"&lt;="&amp;$B159,BD!$M$3:$M$5001,"&lt;&gt;"))))</f>
        <v/>
      </c>
      <c r="P159" s="43" t="str">
        <f>IF(OR($B159="",$A159&gt;$B$9,P$149=""),"",IF(COUNTIFS(BD!$B$3:$B$5001,P$149,BD!$A$3:$A$5001,"&gt;="&amp;$C$7,BD!$A$3:$A$5001,"&lt;="&amp;$B159,BD!$M$3:$M$5001,"&lt;&gt;")=0,"",SUMIFS(BD!$M$3:$M$5001,BD!$B$3:$B$5001,P$149,BD!$A$3:$A$5001,_xlfn.MAXIFS(BD!$A$3:$A$5001,BD!$B$3:$B$5001,P$149,BD!$A$3:$A$5001,"&gt;="&amp;$C$7,BD!$A$3:$A$5001,"&lt;="&amp;$B159,BD!$M$3:$M$5001,"&lt;&gt;"))))</f>
        <v/>
      </c>
      <c r="Q159" s="43" t="str">
        <f>IF(OR($B159="",$A159&gt;$B$9,Q$149=""),"",IF(COUNTIFS(BD!$B$3:$B$5001,Q$149,BD!$A$3:$A$5001,"&gt;="&amp;$C$7,BD!$A$3:$A$5001,"&lt;="&amp;$B159,BD!$M$3:$M$5001,"&lt;&gt;")=0,"",SUMIFS(BD!$M$3:$M$5001,BD!$B$3:$B$5001,Q$149,BD!$A$3:$A$5001,_xlfn.MAXIFS(BD!$A$3:$A$5001,BD!$B$3:$B$5001,Q$149,BD!$A$3:$A$5001,"&gt;="&amp;$C$7,BD!$A$3:$A$5001,"&lt;="&amp;$B159,BD!$M$3:$M$5001,"&lt;&gt;"))))</f>
        <v/>
      </c>
      <c r="R159" s="43" t="str">
        <f>IF(OR($B159="",$A159&gt;$B$9,R$149=""),"",IF(COUNTIFS(BD!$B$3:$B$5001,R$149,BD!$A$3:$A$5001,"&gt;="&amp;$C$7,BD!$A$3:$A$5001,"&lt;="&amp;$B159,BD!$M$3:$M$5001,"&lt;&gt;")=0,"",SUMIFS(BD!$M$3:$M$5001,BD!$B$3:$B$5001,R$149,BD!$A$3:$A$5001,_xlfn.MAXIFS(BD!$A$3:$A$5001,BD!$B$3:$B$5001,R$149,BD!$A$3:$A$5001,"&gt;="&amp;$C$7,BD!$A$3:$A$5001,"&lt;="&amp;$B159,BD!$M$3:$M$5001,"&lt;&gt;"))))</f>
        <v/>
      </c>
      <c r="S159" s="43" t="str">
        <f>IF(OR($B159="",$A159&gt;$B$9,S$149=""),"",IF(COUNTIFS(BD!$B$3:$B$5001,S$149,BD!$A$3:$A$5001,"&gt;="&amp;$C$7,BD!$A$3:$A$5001,"&lt;="&amp;$B159,BD!$M$3:$M$5001,"&lt;&gt;")=0,"",SUMIFS(BD!$M$3:$M$5001,BD!$B$3:$B$5001,S$149,BD!$A$3:$A$5001,_xlfn.MAXIFS(BD!$A$3:$A$5001,BD!$B$3:$B$5001,S$149,BD!$A$3:$A$5001,"&gt;="&amp;$C$7,BD!$A$3:$A$5001,"&lt;="&amp;$B159,BD!$M$3:$M$5001,"&lt;&gt;"))))</f>
        <v/>
      </c>
      <c r="T159" s="43" t="str">
        <f>IF(OR($B159="",$A159&gt;$B$9,T$149=""),"",IF(COUNTIFS(BD!$B$3:$B$5001,T$149,BD!$A$3:$A$5001,"&gt;="&amp;$C$7,BD!$A$3:$A$5001,"&lt;="&amp;$B159,BD!$M$3:$M$5001,"&lt;&gt;")=0,"",SUMIFS(BD!$M$3:$M$5001,BD!$B$3:$B$5001,T$149,BD!$A$3:$A$5001,_xlfn.MAXIFS(BD!$A$3:$A$5001,BD!$B$3:$B$5001,T$149,BD!$A$3:$A$5001,"&gt;="&amp;$C$7,BD!$A$3:$A$5001,"&lt;="&amp;$B159,BD!$M$3:$M$5001,"&lt;&gt;"))))</f>
        <v/>
      </c>
      <c r="U159" s="43" t="str">
        <f>IF(OR($B159="",$A159&gt;$B$9,U$149=""),"",IF(COUNTIFS(BD!$B$3:$B$5001,U$149,BD!$A$3:$A$5001,"&gt;="&amp;$C$7,BD!$A$3:$A$5001,"&lt;="&amp;$B159,BD!$M$3:$M$5001,"&lt;&gt;")=0,"",SUMIFS(BD!$M$3:$M$5001,BD!$B$3:$B$5001,U$149,BD!$A$3:$A$5001,_xlfn.MAXIFS(BD!$A$3:$A$5001,BD!$B$3:$B$5001,U$149,BD!$A$3:$A$5001,"&gt;="&amp;$C$7,BD!$A$3:$A$5001,"&lt;="&amp;$B159,BD!$M$3:$M$5001,"&lt;&gt;"))))</f>
        <v/>
      </c>
      <c r="V159" s="43" t="str">
        <f>IF(OR($B159="",$A159&gt;$B$9,V$149=""),"",IF(COUNTIFS(BD!$B$3:$B$5001,V$149,BD!$A$3:$A$5001,"&gt;="&amp;$C$7,BD!$A$3:$A$5001,"&lt;="&amp;$B159,BD!$M$3:$M$5001,"&lt;&gt;")=0,"",SUMIFS(BD!$M$3:$M$5001,BD!$B$3:$B$5001,V$149,BD!$A$3:$A$5001,_xlfn.MAXIFS(BD!$A$3:$A$5001,BD!$B$3:$B$5001,V$149,BD!$A$3:$A$5001,"&gt;="&amp;$C$7,BD!$A$3:$A$5001,"&lt;="&amp;$B159,BD!$M$3:$M$5001,"&lt;&gt;"))))</f>
        <v/>
      </c>
    </row>
    <row r="160">
      <c r="A160" s="38">
        <v>11</v>
      </c>
      <c r="B160" s="42">
        <f>$B$22</f>
        <v>46306</v>
      </c>
      <c r="C160" s="43" t="str">
        <f>IF(OR($B160="",$A160&gt;$B$9,C$149=""),"",IF(COUNTIFS(BD!$B$3:$B$5001,C$149,BD!$A$3:$A$5001,"&gt;="&amp;$C$7,BD!$A$3:$A$5001,"&lt;="&amp;$B160,BD!$M$3:$M$5001,"&lt;&gt;")=0,"",SUMIFS(BD!$M$3:$M$5001,BD!$B$3:$B$5001,C$149,BD!$A$3:$A$5001,_xlfn.MAXIFS(BD!$A$3:$A$5001,BD!$B$3:$B$5001,C$149,BD!$A$3:$A$5001,"&gt;="&amp;$C$7,BD!$A$3:$A$5001,"&lt;="&amp;$B160,BD!$M$3:$M$5001,"&lt;&gt;"))))</f>
        <v/>
      </c>
      <c r="D160" s="43" t="str">
        <f>IF(OR($B160="",$A160&gt;$B$9,D$149=""),"",IF(COUNTIFS(BD!$B$3:$B$5001,D$149,BD!$A$3:$A$5001,"&gt;="&amp;$C$7,BD!$A$3:$A$5001,"&lt;="&amp;$B160,BD!$M$3:$M$5001,"&lt;&gt;")=0,"",SUMIFS(BD!$M$3:$M$5001,BD!$B$3:$B$5001,D$149,BD!$A$3:$A$5001,_xlfn.MAXIFS(BD!$A$3:$A$5001,BD!$B$3:$B$5001,D$149,BD!$A$3:$A$5001,"&gt;="&amp;$C$7,BD!$A$3:$A$5001,"&lt;="&amp;$B160,BD!$M$3:$M$5001,"&lt;&gt;"))))</f>
        <v/>
      </c>
      <c r="E160" s="43" t="str">
        <f>IF(OR($B160="",$A160&gt;$B$9,E$149=""),"",IF(COUNTIFS(BD!$B$3:$B$5001,E$149,BD!$A$3:$A$5001,"&gt;="&amp;$C$7,BD!$A$3:$A$5001,"&lt;="&amp;$B160,BD!$M$3:$M$5001,"&lt;&gt;")=0,"",SUMIFS(BD!$M$3:$M$5001,BD!$B$3:$B$5001,E$149,BD!$A$3:$A$5001,_xlfn.MAXIFS(BD!$A$3:$A$5001,BD!$B$3:$B$5001,E$149,BD!$A$3:$A$5001,"&gt;="&amp;$C$7,BD!$A$3:$A$5001,"&lt;="&amp;$B160,BD!$M$3:$M$5001,"&lt;&gt;"))))</f>
        <v/>
      </c>
      <c r="F160" s="43" t="str">
        <f>IF(OR($B160="",$A160&gt;$B$9,F$149=""),"",IF(COUNTIFS(BD!$B$3:$B$5001,F$149,BD!$A$3:$A$5001,"&gt;="&amp;$C$7,BD!$A$3:$A$5001,"&lt;="&amp;$B160,BD!$M$3:$M$5001,"&lt;&gt;")=0,"",SUMIFS(BD!$M$3:$M$5001,BD!$B$3:$B$5001,F$149,BD!$A$3:$A$5001,_xlfn.MAXIFS(BD!$A$3:$A$5001,BD!$B$3:$B$5001,F$149,BD!$A$3:$A$5001,"&gt;="&amp;$C$7,BD!$A$3:$A$5001,"&lt;="&amp;$B160,BD!$M$3:$M$5001,"&lt;&gt;"))))</f>
        <v/>
      </c>
      <c r="G160" s="43" t="str">
        <f>IF(OR($B160="",$A160&gt;$B$9,G$149=""),"",IF(COUNTIFS(BD!$B$3:$B$5001,G$149,BD!$A$3:$A$5001,"&gt;="&amp;$C$7,BD!$A$3:$A$5001,"&lt;="&amp;$B160,BD!$M$3:$M$5001,"&lt;&gt;")=0,"",SUMIFS(BD!$M$3:$M$5001,BD!$B$3:$B$5001,G$149,BD!$A$3:$A$5001,_xlfn.MAXIFS(BD!$A$3:$A$5001,BD!$B$3:$B$5001,G$149,BD!$A$3:$A$5001,"&gt;="&amp;$C$7,BD!$A$3:$A$5001,"&lt;="&amp;$B160,BD!$M$3:$M$5001,"&lt;&gt;"))))</f>
        <v/>
      </c>
      <c r="H160" s="43" t="str">
        <f>IF(OR($B160="",$A160&gt;$B$9,H$149=""),"",IF(COUNTIFS(BD!$B$3:$B$5001,H$149,BD!$A$3:$A$5001,"&gt;="&amp;$C$7,BD!$A$3:$A$5001,"&lt;="&amp;$B160,BD!$M$3:$M$5001,"&lt;&gt;")=0,"",SUMIFS(BD!$M$3:$M$5001,BD!$B$3:$B$5001,H$149,BD!$A$3:$A$5001,_xlfn.MAXIFS(BD!$A$3:$A$5001,BD!$B$3:$B$5001,H$149,BD!$A$3:$A$5001,"&gt;="&amp;$C$7,BD!$A$3:$A$5001,"&lt;="&amp;$B160,BD!$M$3:$M$5001,"&lt;&gt;"))))</f>
        <v/>
      </c>
      <c r="I160" s="43" t="str">
        <f>IF(OR($B160="",$A160&gt;$B$9,I$149=""),"",IF(COUNTIFS(BD!$B$3:$B$5001,I$149,BD!$A$3:$A$5001,"&gt;="&amp;$C$7,BD!$A$3:$A$5001,"&lt;="&amp;$B160,BD!$M$3:$M$5001,"&lt;&gt;")=0,"",SUMIFS(BD!$M$3:$M$5001,BD!$B$3:$B$5001,I$149,BD!$A$3:$A$5001,_xlfn.MAXIFS(BD!$A$3:$A$5001,BD!$B$3:$B$5001,I$149,BD!$A$3:$A$5001,"&gt;="&amp;$C$7,BD!$A$3:$A$5001,"&lt;="&amp;$B160,BD!$M$3:$M$5001,"&lt;&gt;"))))</f>
        <v/>
      </c>
      <c r="J160" s="43" t="str">
        <f>IF(OR($B160="",$A160&gt;$B$9,J$149=""),"",IF(COUNTIFS(BD!$B$3:$B$5001,J$149,BD!$A$3:$A$5001,"&gt;="&amp;$C$7,BD!$A$3:$A$5001,"&lt;="&amp;$B160,BD!$M$3:$M$5001,"&lt;&gt;")=0,"",SUMIFS(BD!$M$3:$M$5001,BD!$B$3:$B$5001,J$149,BD!$A$3:$A$5001,_xlfn.MAXIFS(BD!$A$3:$A$5001,BD!$B$3:$B$5001,J$149,BD!$A$3:$A$5001,"&gt;="&amp;$C$7,BD!$A$3:$A$5001,"&lt;="&amp;$B160,BD!$M$3:$M$5001,"&lt;&gt;"))))</f>
        <v/>
      </c>
      <c r="K160" s="43" t="str">
        <f>IF(OR($B160="",$A160&gt;$B$9,K$149=""),"",IF(COUNTIFS(BD!$B$3:$B$5001,K$149,BD!$A$3:$A$5001,"&gt;="&amp;$C$7,BD!$A$3:$A$5001,"&lt;="&amp;$B160,BD!$M$3:$M$5001,"&lt;&gt;")=0,"",SUMIFS(BD!$M$3:$M$5001,BD!$B$3:$B$5001,K$149,BD!$A$3:$A$5001,_xlfn.MAXIFS(BD!$A$3:$A$5001,BD!$B$3:$B$5001,K$149,BD!$A$3:$A$5001,"&gt;="&amp;$C$7,BD!$A$3:$A$5001,"&lt;="&amp;$B160,BD!$M$3:$M$5001,"&lt;&gt;"))))</f>
        <v/>
      </c>
      <c r="L160" s="43" t="str">
        <f>IF(OR($B160="",$A160&gt;$B$9,L$149=""),"",IF(COUNTIFS(BD!$B$3:$B$5001,L$149,BD!$A$3:$A$5001,"&gt;="&amp;$C$7,BD!$A$3:$A$5001,"&lt;="&amp;$B160,BD!$M$3:$M$5001,"&lt;&gt;")=0,"",SUMIFS(BD!$M$3:$M$5001,BD!$B$3:$B$5001,L$149,BD!$A$3:$A$5001,_xlfn.MAXIFS(BD!$A$3:$A$5001,BD!$B$3:$B$5001,L$149,BD!$A$3:$A$5001,"&gt;="&amp;$C$7,BD!$A$3:$A$5001,"&lt;="&amp;$B160,BD!$M$3:$M$5001,"&lt;&gt;"))))</f>
        <v/>
      </c>
      <c r="M160" s="43" t="str">
        <f>IF(OR($B160="",$A160&gt;$B$9,M$149=""),"",IF(COUNTIFS(BD!$B$3:$B$5001,M$149,BD!$A$3:$A$5001,"&gt;="&amp;$C$7,BD!$A$3:$A$5001,"&lt;="&amp;$B160,BD!$M$3:$M$5001,"&lt;&gt;")=0,"",SUMIFS(BD!$M$3:$M$5001,BD!$B$3:$B$5001,M$149,BD!$A$3:$A$5001,_xlfn.MAXIFS(BD!$A$3:$A$5001,BD!$B$3:$B$5001,M$149,BD!$A$3:$A$5001,"&gt;="&amp;$C$7,BD!$A$3:$A$5001,"&lt;="&amp;$B160,BD!$M$3:$M$5001,"&lt;&gt;"))))</f>
        <v/>
      </c>
      <c r="N160" s="43" t="str">
        <f>IF(OR($B160="",$A160&gt;$B$9,N$149=""),"",IF(COUNTIFS(BD!$B$3:$B$5001,N$149,BD!$A$3:$A$5001,"&gt;="&amp;$C$7,BD!$A$3:$A$5001,"&lt;="&amp;$B160,BD!$M$3:$M$5001,"&lt;&gt;")=0,"",SUMIFS(BD!$M$3:$M$5001,BD!$B$3:$B$5001,N$149,BD!$A$3:$A$5001,_xlfn.MAXIFS(BD!$A$3:$A$5001,BD!$B$3:$B$5001,N$149,BD!$A$3:$A$5001,"&gt;="&amp;$C$7,BD!$A$3:$A$5001,"&lt;="&amp;$B160,BD!$M$3:$M$5001,"&lt;&gt;"))))</f>
        <v/>
      </c>
      <c r="O160" s="43" t="str">
        <f>IF(OR($B160="",$A160&gt;$B$9,O$149=""),"",IF(COUNTIFS(BD!$B$3:$B$5001,O$149,BD!$A$3:$A$5001,"&gt;="&amp;$C$7,BD!$A$3:$A$5001,"&lt;="&amp;$B160,BD!$M$3:$M$5001,"&lt;&gt;")=0,"",SUMIFS(BD!$M$3:$M$5001,BD!$B$3:$B$5001,O$149,BD!$A$3:$A$5001,_xlfn.MAXIFS(BD!$A$3:$A$5001,BD!$B$3:$B$5001,O$149,BD!$A$3:$A$5001,"&gt;="&amp;$C$7,BD!$A$3:$A$5001,"&lt;="&amp;$B160,BD!$M$3:$M$5001,"&lt;&gt;"))))</f>
        <v/>
      </c>
      <c r="P160" s="43" t="str">
        <f>IF(OR($B160="",$A160&gt;$B$9,P$149=""),"",IF(COUNTIFS(BD!$B$3:$B$5001,P$149,BD!$A$3:$A$5001,"&gt;="&amp;$C$7,BD!$A$3:$A$5001,"&lt;="&amp;$B160,BD!$M$3:$M$5001,"&lt;&gt;")=0,"",SUMIFS(BD!$M$3:$M$5001,BD!$B$3:$B$5001,P$149,BD!$A$3:$A$5001,_xlfn.MAXIFS(BD!$A$3:$A$5001,BD!$B$3:$B$5001,P$149,BD!$A$3:$A$5001,"&gt;="&amp;$C$7,BD!$A$3:$A$5001,"&lt;="&amp;$B160,BD!$M$3:$M$5001,"&lt;&gt;"))))</f>
        <v/>
      </c>
      <c r="Q160" s="43" t="str">
        <f>IF(OR($B160="",$A160&gt;$B$9,Q$149=""),"",IF(COUNTIFS(BD!$B$3:$B$5001,Q$149,BD!$A$3:$A$5001,"&gt;="&amp;$C$7,BD!$A$3:$A$5001,"&lt;="&amp;$B160,BD!$M$3:$M$5001,"&lt;&gt;")=0,"",SUMIFS(BD!$M$3:$M$5001,BD!$B$3:$B$5001,Q$149,BD!$A$3:$A$5001,_xlfn.MAXIFS(BD!$A$3:$A$5001,BD!$B$3:$B$5001,Q$149,BD!$A$3:$A$5001,"&gt;="&amp;$C$7,BD!$A$3:$A$5001,"&lt;="&amp;$B160,BD!$M$3:$M$5001,"&lt;&gt;"))))</f>
        <v/>
      </c>
      <c r="R160" s="43" t="str">
        <f>IF(OR($B160="",$A160&gt;$B$9,R$149=""),"",IF(COUNTIFS(BD!$B$3:$B$5001,R$149,BD!$A$3:$A$5001,"&gt;="&amp;$C$7,BD!$A$3:$A$5001,"&lt;="&amp;$B160,BD!$M$3:$M$5001,"&lt;&gt;")=0,"",SUMIFS(BD!$M$3:$M$5001,BD!$B$3:$B$5001,R$149,BD!$A$3:$A$5001,_xlfn.MAXIFS(BD!$A$3:$A$5001,BD!$B$3:$B$5001,R$149,BD!$A$3:$A$5001,"&gt;="&amp;$C$7,BD!$A$3:$A$5001,"&lt;="&amp;$B160,BD!$M$3:$M$5001,"&lt;&gt;"))))</f>
        <v/>
      </c>
      <c r="S160" s="43" t="str">
        <f>IF(OR($B160="",$A160&gt;$B$9,S$149=""),"",IF(COUNTIFS(BD!$B$3:$B$5001,S$149,BD!$A$3:$A$5001,"&gt;="&amp;$C$7,BD!$A$3:$A$5001,"&lt;="&amp;$B160,BD!$M$3:$M$5001,"&lt;&gt;")=0,"",SUMIFS(BD!$M$3:$M$5001,BD!$B$3:$B$5001,S$149,BD!$A$3:$A$5001,_xlfn.MAXIFS(BD!$A$3:$A$5001,BD!$B$3:$B$5001,S$149,BD!$A$3:$A$5001,"&gt;="&amp;$C$7,BD!$A$3:$A$5001,"&lt;="&amp;$B160,BD!$M$3:$M$5001,"&lt;&gt;"))))</f>
        <v/>
      </c>
      <c r="T160" s="43" t="str">
        <f>IF(OR($B160="",$A160&gt;$B$9,T$149=""),"",IF(COUNTIFS(BD!$B$3:$B$5001,T$149,BD!$A$3:$A$5001,"&gt;="&amp;$C$7,BD!$A$3:$A$5001,"&lt;="&amp;$B160,BD!$M$3:$M$5001,"&lt;&gt;")=0,"",SUMIFS(BD!$M$3:$M$5001,BD!$B$3:$B$5001,T$149,BD!$A$3:$A$5001,_xlfn.MAXIFS(BD!$A$3:$A$5001,BD!$B$3:$B$5001,T$149,BD!$A$3:$A$5001,"&gt;="&amp;$C$7,BD!$A$3:$A$5001,"&lt;="&amp;$B160,BD!$M$3:$M$5001,"&lt;&gt;"))))</f>
        <v/>
      </c>
      <c r="U160" s="43" t="str">
        <f>IF(OR($B160="",$A160&gt;$B$9,U$149=""),"",IF(COUNTIFS(BD!$B$3:$B$5001,U$149,BD!$A$3:$A$5001,"&gt;="&amp;$C$7,BD!$A$3:$A$5001,"&lt;="&amp;$B160,BD!$M$3:$M$5001,"&lt;&gt;")=0,"",SUMIFS(BD!$M$3:$M$5001,BD!$B$3:$B$5001,U$149,BD!$A$3:$A$5001,_xlfn.MAXIFS(BD!$A$3:$A$5001,BD!$B$3:$B$5001,U$149,BD!$A$3:$A$5001,"&gt;="&amp;$C$7,BD!$A$3:$A$5001,"&lt;="&amp;$B160,BD!$M$3:$M$5001,"&lt;&gt;"))))</f>
        <v/>
      </c>
      <c r="V160" s="43" t="str">
        <f>IF(OR($B160="",$A160&gt;$B$9,V$149=""),"",IF(COUNTIFS(BD!$B$3:$B$5001,V$149,BD!$A$3:$A$5001,"&gt;="&amp;$C$7,BD!$A$3:$A$5001,"&lt;="&amp;$B160,BD!$M$3:$M$5001,"&lt;&gt;")=0,"",SUMIFS(BD!$M$3:$M$5001,BD!$B$3:$B$5001,V$149,BD!$A$3:$A$5001,_xlfn.MAXIFS(BD!$A$3:$A$5001,BD!$B$3:$B$5001,V$149,BD!$A$3:$A$5001,"&gt;="&amp;$C$7,BD!$A$3:$A$5001,"&lt;="&amp;$B160,BD!$M$3:$M$5001,"&lt;&gt;"))))</f>
        <v/>
      </c>
    </row>
    <row r="161">
      <c r="A161" s="38">
        <v>12</v>
      </c>
      <c r="B161" s="42">
        <f>$B$23</f>
        <v>46307</v>
      </c>
      <c r="C161" s="43" t="str">
        <f>IF(OR($B161="",$A161&gt;$B$9,C$149=""),"",IF(COUNTIFS(BD!$B$3:$B$5001,C$149,BD!$A$3:$A$5001,"&gt;="&amp;$C$7,BD!$A$3:$A$5001,"&lt;="&amp;$B161,BD!$M$3:$M$5001,"&lt;&gt;")=0,"",SUMIFS(BD!$M$3:$M$5001,BD!$B$3:$B$5001,C$149,BD!$A$3:$A$5001,_xlfn.MAXIFS(BD!$A$3:$A$5001,BD!$B$3:$B$5001,C$149,BD!$A$3:$A$5001,"&gt;="&amp;$C$7,BD!$A$3:$A$5001,"&lt;="&amp;$B161,BD!$M$3:$M$5001,"&lt;&gt;"))))</f>
        <v/>
      </c>
      <c r="D161" s="43" t="str">
        <f>IF(OR($B161="",$A161&gt;$B$9,D$149=""),"",IF(COUNTIFS(BD!$B$3:$B$5001,D$149,BD!$A$3:$A$5001,"&gt;="&amp;$C$7,BD!$A$3:$A$5001,"&lt;="&amp;$B161,BD!$M$3:$M$5001,"&lt;&gt;")=0,"",SUMIFS(BD!$M$3:$M$5001,BD!$B$3:$B$5001,D$149,BD!$A$3:$A$5001,_xlfn.MAXIFS(BD!$A$3:$A$5001,BD!$B$3:$B$5001,D$149,BD!$A$3:$A$5001,"&gt;="&amp;$C$7,BD!$A$3:$A$5001,"&lt;="&amp;$B161,BD!$M$3:$M$5001,"&lt;&gt;"))))</f>
        <v/>
      </c>
      <c r="E161" s="43" t="str">
        <f>IF(OR($B161="",$A161&gt;$B$9,E$149=""),"",IF(COUNTIFS(BD!$B$3:$B$5001,E$149,BD!$A$3:$A$5001,"&gt;="&amp;$C$7,BD!$A$3:$A$5001,"&lt;="&amp;$B161,BD!$M$3:$M$5001,"&lt;&gt;")=0,"",SUMIFS(BD!$M$3:$M$5001,BD!$B$3:$B$5001,E$149,BD!$A$3:$A$5001,_xlfn.MAXIFS(BD!$A$3:$A$5001,BD!$B$3:$B$5001,E$149,BD!$A$3:$A$5001,"&gt;="&amp;$C$7,BD!$A$3:$A$5001,"&lt;="&amp;$B161,BD!$M$3:$M$5001,"&lt;&gt;"))))</f>
        <v/>
      </c>
      <c r="F161" s="43" t="str">
        <f>IF(OR($B161="",$A161&gt;$B$9,F$149=""),"",IF(COUNTIFS(BD!$B$3:$B$5001,F$149,BD!$A$3:$A$5001,"&gt;="&amp;$C$7,BD!$A$3:$A$5001,"&lt;="&amp;$B161,BD!$M$3:$M$5001,"&lt;&gt;")=0,"",SUMIFS(BD!$M$3:$M$5001,BD!$B$3:$B$5001,F$149,BD!$A$3:$A$5001,_xlfn.MAXIFS(BD!$A$3:$A$5001,BD!$B$3:$B$5001,F$149,BD!$A$3:$A$5001,"&gt;="&amp;$C$7,BD!$A$3:$A$5001,"&lt;="&amp;$B161,BD!$M$3:$M$5001,"&lt;&gt;"))))</f>
        <v/>
      </c>
      <c r="G161" s="43" t="str">
        <f>IF(OR($B161="",$A161&gt;$B$9,G$149=""),"",IF(COUNTIFS(BD!$B$3:$B$5001,G$149,BD!$A$3:$A$5001,"&gt;="&amp;$C$7,BD!$A$3:$A$5001,"&lt;="&amp;$B161,BD!$M$3:$M$5001,"&lt;&gt;")=0,"",SUMIFS(BD!$M$3:$M$5001,BD!$B$3:$B$5001,G$149,BD!$A$3:$A$5001,_xlfn.MAXIFS(BD!$A$3:$A$5001,BD!$B$3:$B$5001,G$149,BD!$A$3:$A$5001,"&gt;="&amp;$C$7,BD!$A$3:$A$5001,"&lt;="&amp;$B161,BD!$M$3:$M$5001,"&lt;&gt;"))))</f>
        <v/>
      </c>
      <c r="H161" s="43" t="str">
        <f>IF(OR($B161="",$A161&gt;$B$9,H$149=""),"",IF(COUNTIFS(BD!$B$3:$B$5001,H$149,BD!$A$3:$A$5001,"&gt;="&amp;$C$7,BD!$A$3:$A$5001,"&lt;="&amp;$B161,BD!$M$3:$M$5001,"&lt;&gt;")=0,"",SUMIFS(BD!$M$3:$M$5001,BD!$B$3:$B$5001,H$149,BD!$A$3:$A$5001,_xlfn.MAXIFS(BD!$A$3:$A$5001,BD!$B$3:$B$5001,H$149,BD!$A$3:$A$5001,"&gt;="&amp;$C$7,BD!$A$3:$A$5001,"&lt;="&amp;$B161,BD!$M$3:$M$5001,"&lt;&gt;"))))</f>
        <v/>
      </c>
      <c r="I161" s="43" t="str">
        <f>IF(OR($B161="",$A161&gt;$B$9,I$149=""),"",IF(COUNTIFS(BD!$B$3:$B$5001,I$149,BD!$A$3:$A$5001,"&gt;="&amp;$C$7,BD!$A$3:$A$5001,"&lt;="&amp;$B161,BD!$M$3:$M$5001,"&lt;&gt;")=0,"",SUMIFS(BD!$M$3:$M$5001,BD!$B$3:$B$5001,I$149,BD!$A$3:$A$5001,_xlfn.MAXIFS(BD!$A$3:$A$5001,BD!$B$3:$B$5001,I$149,BD!$A$3:$A$5001,"&gt;="&amp;$C$7,BD!$A$3:$A$5001,"&lt;="&amp;$B161,BD!$M$3:$M$5001,"&lt;&gt;"))))</f>
        <v/>
      </c>
      <c r="J161" s="43" t="str">
        <f>IF(OR($B161="",$A161&gt;$B$9,J$149=""),"",IF(COUNTIFS(BD!$B$3:$B$5001,J$149,BD!$A$3:$A$5001,"&gt;="&amp;$C$7,BD!$A$3:$A$5001,"&lt;="&amp;$B161,BD!$M$3:$M$5001,"&lt;&gt;")=0,"",SUMIFS(BD!$M$3:$M$5001,BD!$B$3:$B$5001,J$149,BD!$A$3:$A$5001,_xlfn.MAXIFS(BD!$A$3:$A$5001,BD!$B$3:$B$5001,J$149,BD!$A$3:$A$5001,"&gt;="&amp;$C$7,BD!$A$3:$A$5001,"&lt;="&amp;$B161,BD!$M$3:$M$5001,"&lt;&gt;"))))</f>
        <v/>
      </c>
      <c r="K161" s="43" t="str">
        <f>IF(OR($B161="",$A161&gt;$B$9,K$149=""),"",IF(COUNTIFS(BD!$B$3:$B$5001,K$149,BD!$A$3:$A$5001,"&gt;="&amp;$C$7,BD!$A$3:$A$5001,"&lt;="&amp;$B161,BD!$M$3:$M$5001,"&lt;&gt;")=0,"",SUMIFS(BD!$M$3:$M$5001,BD!$B$3:$B$5001,K$149,BD!$A$3:$A$5001,_xlfn.MAXIFS(BD!$A$3:$A$5001,BD!$B$3:$B$5001,K$149,BD!$A$3:$A$5001,"&gt;="&amp;$C$7,BD!$A$3:$A$5001,"&lt;="&amp;$B161,BD!$M$3:$M$5001,"&lt;&gt;"))))</f>
        <v/>
      </c>
      <c r="L161" s="43" t="str">
        <f>IF(OR($B161="",$A161&gt;$B$9,L$149=""),"",IF(COUNTIFS(BD!$B$3:$B$5001,L$149,BD!$A$3:$A$5001,"&gt;="&amp;$C$7,BD!$A$3:$A$5001,"&lt;="&amp;$B161,BD!$M$3:$M$5001,"&lt;&gt;")=0,"",SUMIFS(BD!$M$3:$M$5001,BD!$B$3:$B$5001,L$149,BD!$A$3:$A$5001,_xlfn.MAXIFS(BD!$A$3:$A$5001,BD!$B$3:$B$5001,L$149,BD!$A$3:$A$5001,"&gt;="&amp;$C$7,BD!$A$3:$A$5001,"&lt;="&amp;$B161,BD!$M$3:$M$5001,"&lt;&gt;"))))</f>
        <v/>
      </c>
      <c r="M161" s="43" t="str">
        <f>IF(OR($B161="",$A161&gt;$B$9,M$149=""),"",IF(COUNTIFS(BD!$B$3:$B$5001,M$149,BD!$A$3:$A$5001,"&gt;="&amp;$C$7,BD!$A$3:$A$5001,"&lt;="&amp;$B161,BD!$M$3:$M$5001,"&lt;&gt;")=0,"",SUMIFS(BD!$M$3:$M$5001,BD!$B$3:$B$5001,M$149,BD!$A$3:$A$5001,_xlfn.MAXIFS(BD!$A$3:$A$5001,BD!$B$3:$B$5001,M$149,BD!$A$3:$A$5001,"&gt;="&amp;$C$7,BD!$A$3:$A$5001,"&lt;="&amp;$B161,BD!$M$3:$M$5001,"&lt;&gt;"))))</f>
        <v/>
      </c>
      <c r="N161" s="43" t="str">
        <f>IF(OR($B161="",$A161&gt;$B$9,N$149=""),"",IF(COUNTIFS(BD!$B$3:$B$5001,N$149,BD!$A$3:$A$5001,"&gt;="&amp;$C$7,BD!$A$3:$A$5001,"&lt;="&amp;$B161,BD!$M$3:$M$5001,"&lt;&gt;")=0,"",SUMIFS(BD!$M$3:$M$5001,BD!$B$3:$B$5001,N$149,BD!$A$3:$A$5001,_xlfn.MAXIFS(BD!$A$3:$A$5001,BD!$B$3:$B$5001,N$149,BD!$A$3:$A$5001,"&gt;="&amp;$C$7,BD!$A$3:$A$5001,"&lt;="&amp;$B161,BD!$M$3:$M$5001,"&lt;&gt;"))))</f>
        <v/>
      </c>
      <c r="O161" s="43" t="str">
        <f>IF(OR($B161="",$A161&gt;$B$9,O$149=""),"",IF(COUNTIFS(BD!$B$3:$B$5001,O$149,BD!$A$3:$A$5001,"&gt;="&amp;$C$7,BD!$A$3:$A$5001,"&lt;="&amp;$B161,BD!$M$3:$M$5001,"&lt;&gt;")=0,"",SUMIFS(BD!$M$3:$M$5001,BD!$B$3:$B$5001,O$149,BD!$A$3:$A$5001,_xlfn.MAXIFS(BD!$A$3:$A$5001,BD!$B$3:$B$5001,O$149,BD!$A$3:$A$5001,"&gt;="&amp;$C$7,BD!$A$3:$A$5001,"&lt;="&amp;$B161,BD!$M$3:$M$5001,"&lt;&gt;"))))</f>
        <v/>
      </c>
      <c r="P161" s="43" t="str">
        <f>IF(OR($B161="",$A161&gt;$B$9,P$149=""),"",IF(COUNTIFS(BD!$B$3:$B$5001,P$149,BD!$A$3:$A$5001,"&gt;="&amp;$C$7,BD!$A$3:$A$5001,"&lt;="&amp;$B161,BD!$M$3:$M$5001,"&lt;&gt;")=0,"",SUMIFS(BD!$M$3:$M$5001,BD!$B$3:$B$5001,P$149,BD!$A$3:$A$5001,_xlfn.MAXIFS(BD!$A$3:$A$5001,BD!$B$3:$B$5001,P$149,BD!$A$3:$A$5001,"&gt;="&amp;$C$7,BD!$A$3:$A$5001,"&lt;="&amp;$B161,BD!$M$3:$M$5001,"&lt;&gt;"))))</f>
        <v/>
      </c>
      <c r="Q161" s="43" t="str">
        <f>IF(OR($B161="",$A161&gt;$B$9,Q$149=""),"",IF(COUNTIFS(BD!$B$3:$B$5001,Q$149,BD!$A$3:$A$5001,"&gt;="&amp;$C$7,BD!$A$3:$A$5001,"&lt;="&amp;$B161,BD!$M$3:$M$5001,"&lt;&gt;")=0,"",SUMIFS(BD!$M$3:$M$5001,BD!$B$3:$B$5001,Q$149,BD!$A$3:$A$5001,_xlfn.MAXIFS(BD!$A$3:$A$5001,BD!$B$3:$B$5001,Q$149,BD!$A$3:$A$5001,"&gt;="&amp;$C$7,BD!$A$3:$A$5001,"&lt;="&amp;$B161,BD!$M$3:$M$5001,"&lt;&gt;"))))</f>
        <v/>
      </c>
      <c r="R161" s="43" t="str">
        <f>IF(OR($B161="",$A161&gt;$B$9,R$149=""),"",IF(COUNTIFS(BD!$B$3:$B$5001,R$149,BD!$A$3:$A$5001,"&gt;="&amp;$C$7,BD!$A$3:$A$5001,"&lt;="&amp;$B161,BD!$M$3:$M$5001,"&lt;&gt;")=0,"",SUMIFS(BD!$M$3:$M$5001,BD!$B$3:$B$5001,R$149,BD!$A$3:$A$5001,_xlfn.MAXIFS(BD!$A$3:$A$5001,BD!$B$3:$B$5001,R$149,BD!$A$3:$A$5001,"&gt;="&amp;$C$7,BD!$A$3:$A$5001,"&lt;="&amp;$B161,BD!$M$3:$M$5001,"&lt;&gt;"))))</f>
        <v/>
      </c>
      <c r="S161" s="43" t="str">
        <f>IF(OR($B161="",$A161&gt;$B$9,S$149=""),"",IF(COUNTIFS(BD!$B$3:$B$5001,S$149,BD!$A$3:$A$5001,"&gt;="&amp;$C$7,BD!$A$3:$A$5001,"&lt;="&amp;$B161,BD!$M$3:$M$5001,"&lt;&gt;")=0,"",SUMIFS(BD!$M$3:$M$5001,BD!$B$3:$B$5001,S$149,BD!$A$3:$A$5001,_xlfn.MAXIFS(BD!$A$3:$A$5001,BD!$B$3:$B$5001,S$149,BD!$A$3:$A$5001,"&gt;="&amp;$C$7,BD!$A$3:$A$5001,"&lt;="&amp;$B161,BD!$M$3:$M$5001,"&lt;&gt;"))))</f>
        <v/>
      </c>
      <c r="T161" s="43" t="str">
        <f>IF(OR($B161="",$A161&gt;$B$9,T$149=""),"",IF(COUNTIFS(BD!$B$3:$B$5001,T$149,BD!$A$3:$A$5001,"&gt;="&amp;$C$7,BD!$A$3:$A$5001,"&lt;="&amp;$B161,BD!$M$3:$M$5001,"&lt;&gt;")=0,"",SUMIFS(BD!$M$3:$M$5001,BD!$B$3:$B$5001,T$149,BD!$A$3:$A$5001,_xlfn.MAXIFS(BD!$A$3:$A$5001,BD!$B$3:$B$5001,T$149,BD!$A$3:$A$5001,"&gt;="&amp;$C$7,BD!$A$3:$A$5001,"&lt;="&amp;$B161,BD!$M$3:$M$5001,"&lt;&gt;"))))</f>
        <v/>
      </c>
      <c r="U161" s="43" t="str">
        <f>IF(OR($B161="",$A161&gt;$B$9,U$149=""),"",IF(COUNTIFS(BD!$B$3:$B$5001,U$149,BD!$A$3:$A$5001,"&gt;="&amp;$C$7,BD!$A$3:$A$5001,"&lt;="&amp;$B161,BD!$M$3:$M$5001,"&lt;&gt;")=0,"",SUMIFS(BD!$M$3:$M$5001,BD!$B$3:$B$5001,U$149,BD!$A$3:$A$5001,_xlfn.MAXIFS(BD!$A$3:$A$5001,BD!$B$3:$B$5001,U$149,BD!$A$3:$A$5001,"&gt;="&amp;$C$7,BD!$A$3:$A$5001,"&lt;="&amp;$B161,BD!$M$3:$M$5001,"&lt;&gt;"))))</f>
        <v/>
      </c>
      <c r="V161" s="43" t="str">
        <f>IF(OR($B161="",$A161&gt;$B$9,V$149=""),"",IF(COUNTIFS(BD!$B$3:$B$5001,V$149,BD!$A$3:$A$5001,"&gt;="&amp;$C$7,BD!$A$3:$A$5001,"&lt;="&amp;$B161,BD!$M$3:$M$5001,"&lt;&gt;")=0,"",SUMIFS(BD!$M$3:$M$5001,BD!$B$3:$B$5001,V$149,BD!$A$3:$A$5001,_xlfn.MAXIFS(BD!$A$3:$A$5001,BD!$B$3:$B$5001,V$149,BD!$A$3:$A$5001,"&gt;="&amp;$C$7,BD!$A$3:$A$5001,"&lt;="&amp;$B161,BD!$M$3:$M$5001,"&lt;&gt;"))))</f>
        <v/>
      </c>
    </row>
    <row r="162">
      <c r="A162" s="38">
        <v>13</v>
      </c>
      <c r="B162" s="42">
        <f>$B$24</f>
        <v>46308</v>
      </c>
      <c r="C162" s="43" t="str">
        <f>IF(OR($B162="",$A162&gt;$B$9,C$149=""),"",IF(COUNTIFS(BD!$B$3:$B$5001,C$149,BD!$A$3:$A$5001,"&gt;="&amp;$C$7,BD!$A$3:$A$5001,"&lt;="&amp;$B162,BD!$M$3:$M$5001,"&lt;&gt;")=0,"",SUMIFS(BD!$M$3:$M$5001,BD!$B$3:$B$5001,C$149,BD!$A$3:$A$5001,_xlfn.MAXIFS(BD!$A$3:$A$5001,BD!$B$3:$B$5001,C$149,BD!$A$3:$A$5001,"&gt;="&amp;$C$7,BD!$A$3:$A$5001,"&lt;="&amp;$B162,BD!$M$3:$M$5001,"&lt;&gt;"))))</f>
        <v/>
      </c>
      <c r="D162" s="43" t="str">
        <f>IF(OR($B162="",$A162&gt;$B$9,D$149=""),"",IF(COUNTIFS(BD!$B$3:$B$5001,D$149,BD!$A$3:$A$5001,"&gt;="&amp;$C$7,BD!$A$3:$A$5001,"&lt;="&amp;$B162,BD!$M$3:$M$5001,"&lt;&gt;")=0,"",SUMIFS(BD!$M$3:$M$5001,BD!$B$3:$B$5001,D$149,BD!$A$3:$A$5001,_xlfn.MAXIFS(BD!$A$3:$A$5001,BD!$B$3:$B$5001,D$149,BD!$A$3:$A$5001,"&gt;="&amp;$C$7,BD!$A$3:$A$5001,"&lt;="&amp;$B162,BD!$M$3:$M$5001,"&lt;&gt;"))))</f>
        <v/>
      </c>
      <c r="E162" s="43" t="str">
        <f>IF(OR($B162="",$A162&gt;$B$9,E$149=""),"",IF(COUNTIFS(BD!$B$3:$B$5001,E$149,BD!$A$3:$A$5001,"&gt;="&amp;$C$7,BD!$A$3:$A$5001,"&lt;="&amp;$B162,BD!$M$3:$M$5001,"&lt;&gt;")=0,"",SUMIFS(BD!$M$3:$M$5001,BD!$B$3:$B$5001,E$149,BD!$A$3:$A$5001,_xlfn.MAXIFS(BD!$A$3:$A$5001,BD!$B$3:$B$5001,E$149,BD!$A$3:$A$5001,"&gt;="&amp;$C$7,BD!$A$3:$A$5001,"&lt;="&amp;$B162,BD!$M$3:$M$5001,"&lt;&gt;"))))</f>
        <v/>
      </c>
      <c r="F162" s="43" t="str">
        <f>IF(OR($B162="",$A162&gt;$B$9,F$149=""),"",IF(COUNTIFS(BD!$B$3:$B$5001,F$149,BD!$A$3:$A$5001,"&gt;="&amp;$C$7,BD!$A$3:$A$5001,"&lt;="&amp;$B162,BD!$M$3:$M$5001,"&lt;&gt;")=0,"",SUMIFS(BD!$M$3:$M$5001,BD!$B$3:$B$5001,F$149,BD!$A$3:$A$5001,_xlfn.MAXIFS(BD!$A$3:$A$5001,BD!$B$3:$B$5001,F$149,BD!$A$3:$A$5001,"&gt;="&amp;$C$7,BD!$A$3:$A$5001,"&lt;="&amp;$B162,BD!$M$3:$M$5001,"&lt;&gt;"))))</f>
        <v/>
      </c>
      <c r="G162" s="43" t="str">
        <f>IF(OR($B162="",$A162&gt;$B$9,G$149=""),"",IF(COUNTIFS(BD!$B$3:$B$5001,G$149,BD!$A$3:$A$5001,"&gt;="&amp;$C$7,BD!$A$3:$A$5001,"&lt;="&amp;$B162,BD!$M$3:$M$5001,"&lt;&gt;")=0,"",SUMIFS(BD!$M$3:$M$5001,BD!$B$3:$B$5001,G$149,BD!$A$3:$A$5001,_xlfn.MAXIFS(BD!$A$3:$A$5001,BD!$B$3:$B$5001,G$149,BD!$A$3:$A$5001,"&gt;="&amp;$C$7,BD!$A$3:$A$5001,"&lt;="&amp;$B162,BD!$M$3:$M$5001,"&lt;&gt;"))))</f>
        <v/>
      </c>
      <c r="H162" s="43" t="str">
        <f>IF(OR($B162="",$A162&gt;$B$9,H$149=""),"",IF(COUNTIFS(BD!$B$3:$B$5001,H$149,BD!$A$3:$A$5001,"&gt;="&amp;$C$7,BD!$A$3:$A$5001,"&lt;="&amp;$B162,BD!$M$3:$M$5001,"&lt;&gt;")=0,"",SUMIFS(BD!$M$3:$M$5001,BD!$B$3:$B$5001,H$149,BD!$A$3:$A$5001,_xlfn.MAXIFS(BD!$A$3:$A$5001,BD!$B$3:$B$5001,H$149,BD!$A$3:$A$5001,"&gt;="&amp;$C$7,BD!$A$3:$A$5001,"&lt;="&amp;$B162,BD!$M$3:$M$5001,"&lt;&gt;"))))</f>
        <v/>
      </c>
      <c r="I162" s="43" t="str">
        <f>IF(OR($B162="",$A162&gt;$B$9,I$149=""),"",IF(COUNTIFS(BD!$B$3:$B$5001,I$149,BD!$A$3:$A$5001,"&gt;="&amp;$C$7,BD!$A$3:$A$5001,"&lt;="&amp;$B162,BD!$M$3:$M$5001,"&lt;&gt;")=0,"",SUMIFS(BD!$M$3:$M$5001,BD!$B$3:$B$5001,I$149,BD!$A$3:$A$5001,_xlfn.MAXIFS(BD!$A$3:$A$5001,BD!$B$3:$B$5001,I$149,BD!$A$3:$A$5001,"&gt;="&amp;$C$7,BD!$A$3:$A$5001,"&lt;="&amp;$B162,BD!$M$3:$M$5001,"&lt;&gt;"))))</f>
        <v/>
      </c>
      <c r="J162" s="43" t="str">
        <f>IF(OR($B162="",$A162&gt;$B$9,J$149=""),"",IF(COUNTIFS(BD!$B$3:$B$5001,J$149,BD!$A$3:$A$5001,"&gt;="&amp;$C$7,BD!$A$3:$A$5001,"&lt;="&amp;$B162,BD!$M$3:$M$5001,"&lt;&gt;")=0,"",SUMIFS(BD!$M$3:$M$5001,BD!$B$3:$B$5001,J$149,BD!$A$3:$A$5001,_xlfn.MAXIFS(BD!$A$3:$A$5001,BD!$B$3:$B$5001,J$149,BD!$A$3:$A$5001,"&gt;="&amp;$C$7,BD!$A$3:$A$5001,"&lt;="&amp;$B162,BD!$M$3:$M$5001,"&lt;&gt;"))))</f>
        <v/>
      </c>
      <c r="K162" s="43" t="str">
        <f>IF(OR($B162="",$A162&gt;$B$9,K$149=""),"",IF(COUNTIFS(BD!$B$3:$B$5001,K$149,BD!$A$3:$A$5001,"&gt;="&amp;$C$7,BD!$A$3:$A$5001,"&lt;="&amp;$B162,BD!$M$3:$M$5001,"&lt;&gt;")=0,"",SUMIFS(BD!$M$3:$M$5001,BD!$B$3:$B$5001,K$149,BD!$A$3:$A$5001,_xlfn.MAXIFS(BD!$A$3:$A$5001,BD!$B$3:$B$5001,K$149,BD!$A$3:$A$5001,"&gt;="&amp;$C$7,BD!$A$3:$A$5001,"&lt;="&amp;$B162,BD!$M$3:$M$5001,"&lt;&gt;"))))</f>
        <v/>
      </c>
      <c r="L162" s="43" t="str">
        <f>IF(OR($B162="",$A162&gt;$B$9,L$149=""),"",IF(COUNTIFS(BD!$B$3:$B$5001,L$149,BD!$A$3:$A$5001,"&gt;="&amp;$C$7,BD!$A$3:$A$5001,"&lt;="&amp;$B162,BD!$M$3:$M$5001,"&lt;&gt;")=0,"",SUMIFS(BD!$M$3:$M$5001,BD!$B$3:$B$5001,L$149,BD!$A$3:$A$5001,_xlfn.MAXIFS(BD!$A$3:$A$5001,BD!$B$3:$B$5001,L$149,BD!$A$3:$A$5001,"&gt;="&amp;$C$7,BD!$A$3:$A$5001,"&lt;="&amp;$B162,BD!$M$3:$M$5001,"&lt;&gt;"))))</f>
        <v/>
      </c>
      <c r="M162" s="43" t="str">
        <f>IF(OR($B162="",$A162&gt;$B$9,M$149=""),"",IF(COUNTIFS(BD!$B$3:$B$5001,M$149,BD!$A$3:$A$5001,"&gt;="&amp;$C$7,BD!$A$3:$A$5001,"&lt;="&amp;$B162,BD!$M$3:$M$5001,"&lt;&gt;")=0,"",SUMIFS(BD!$M$3:$M$5001,BD!$B$3:$B$5001,M$149,BD!$A$3:$A$5001,_xlfn.MAXIFS(BD!$A$3:$A$5001,BD!$B$3:$B$5001,M$149,BD!$A$3:$A$5001,"&gt;="&amp;$C$7,BD!$A$3:$A$5001,"&lt;="&amp;$B162,BD!$M$3:$M$5001,"&lt;&gt;"))))</f>
        <v/>
      </c>
      <c r="N162" s="43" t="str">
        <f>IF(OR($B162="",$A162&gt;$B$9,N$149=""),"",IF(COUNTIFS(BD!$B$3:$B$5001,N$149,BD!$A$3:$A$5001,"&gt;="&amp;$C$7,BD!$A$3:$A$5001,"&lt;="&amp;$B162,BD!$M$3:$M$5001,"&lt;&gt;")=0,"",SUMIFS(BD!$M$3:$M$5001,BD!$B$3:$B$5001,N$149,BD!$A$3:$A$5001,_xlfn.MAXIFS(BD!$A$3:$A$5001,BD!$B$3:$B$5001,N$149,BD!$A$3:$A$5001,"&gt;="&amp;$C$7,BD!$A$3:$A$5001,"&lt;="&amp;$B162,BD!$M$3:$M$5001,"&lt;&gt;"))))</f>
        <v/>
      </c>
      <c r="O162" s="43" t="str">
        <f>IF(OR($B162="",$A162&gt;$B$9,O$149=""),"",IF(COUNTIFS(BD!$B$3:$B$5001,O$149,BD!$A$3:$A$5001,"&gt;="&amp;$C$7,BD!$A$3:$A$5001,"&lt;="&amp;$B162,BD!$M$3:$M$5001,"&lt;&gt;")=0,"",SUMIFS(BD!$M$3:$M$5001,BD!$B$3:$B$5001,O$149,BD!$A$3:$A$5001,_xlfn.MAXIFS(BD!$A$3:$A$5001,BD!$B$3:$B$5001,O$149,BD!$A$3:$A$5001,"&gt;="&amp;$C$7,BD!$A$3:$A$5001,"&lt;="&amp;$B162,BD!$M$3:$M$5001,"&lt;&gt;"))))</f>
        <v/>
      </c>
      <c r="P162" s="43" t="str">
        <f>IF(OR($B162="",$A162&gt;$B$9,P$149=""),"",IF(COUNTIFS(BD!$B$3:$B$5001,P$149,BD!$A$3:$A$5001,"&gt;="&amp;$C$7,BD!$A$3:$A$5001,"&lt;="&amp;$B162,BD!$M$3:$M$5001,"&lt;&gt;")=0,"",SUMIFS(BD!$M$3:$M$5001,BD!$B$3:$B$5001,P$149,BD!$A$3:$A$5001,_xlfn.MAXIFS(BD!$A$3:$A$5001,BD!$B$3:$B$5001,P$149,BD!$A$3:$A$5001,"&gt;="&amp;$C$7,BD!$A$3:$A$5001,"&lt;="&amp;$B162,BD!$M$3:$M$5001,"&lt;&gt;"))))</f>
        <v/>
      </c>
      <c r="Q162" s="43" t="str">
        <f>IF(OR($B162="",$A162&gt;$B$9,Q$149=""),"",IF(COUNTIFS(BD!$B$3:$B$5001,Q$149,BD!$A$3:$A$5001,"&gt;="&amp;$C$7,BD!$A$3:$A$5001,"&lt;="&amp;$B162,BD!$M$3:$M$5001,"&lt;&gt;")=0,"",SUMIFS(BD!$M$3:$M$5001,BD!$B$3:$B$5001,Q$149,BD!$A$3:$A$5001,_xlfn.MAXIFS(BD!$A$3:$A$5001,BD!$B$3:$B$5001,Q$149,BD!$A$3:$A$5001,"&gt;="&amp;$C$7,BD!$A$3:$A$5001,"&lt;="&amp;$B162,BD!$M$3:$M$5001,"&lt;&gt;"))))</f>
        <v/>
      </c>
      <c r="R162" s="43" t="str">
        <f>IF(OR($B162="",$A162&gt;$B$9,R$149=""),"",IF(COUNTIFS(BD!$B$3:$B$5001,R$149,BD!$A$3:$A$5001,"&gt;="&amp;$C$7,BD!$A$3:$A$5001,"&lt;="&amp;$B162,BD!$M$3:$M$5001,"&lt;&gt;")=0,"",SUMIFS(BD!$M$3:$M$5001,BD!$B$3:$B$5001,R$149,BD!$A$3:$A$5001,_xlfn.MAXIFS(BD!$A$3:$A$5001,BD!$B$3:$B$5001,R$149,BD!$A$3:$A$5001,"&gt;="&amp;$C$7,BD!$A$3:$A$5001,"&lt;="&amp;$B162,BD!$M$3:$M$5001,"&lt;&gt;"))))</f>
        <v/>
      </c>
      <c r="S162" s="43" t="str">
        <f>IF(OR($B162="",$A162&gt;$B$9,S$149=""),"",IF(COUNTIFS(BD!$B$3:$B$5001,S$149,BD!$A$3:$A$5001,"&gt;="&amp;$C$7,BD!$A$3:$A$5001,"&lt;="&amp;$B162,BD!$M$3:$M$5001,"&lt;&gt;")=0,"",SUMIFS(BD!$M$3:$M$5001,BD!$B$3:$B$5001,S$149,BD!$A$3:$A$5001,_xlfn.MAXIFS(BD!$A$3:$A$5001,BD!$B$3:$B$5001,S$149,BD!$A$3:$A$5001,"&gt;="&amp;$C$7,BD!$A$3:$A$5001,"&lt;="&amp;$B162,BD!$M$3:$M$5001,"&lt;&gt;"))))</f>
        <v/>
      </c>
      <c r="T162" s="43" t="str">
        <f>IF(OR($B162="",$A162&gt;$B$9,T$149=""),"",IF(COUNTIFS(BD!$B$3:$B$5001,T$149,BD!$A$3:$A$5001,"&gt;="&amp;$C$7,BD!$A$3:$A$5001,"&lt;="&amp;$B162,BD!$M$3:$M$5001,"&lt;&gt;")=0,"",SUMIFS(BD!$M$3:$M$5001,BD!$B$3:$B$5001,T$149,BD!$A$3:$A$5001,_xlfn.MAXIFS(BD!$A$3:$A$5001,BD!$B$3:$B$5001,T$149,BD!$A$3:$A$5001,"&gt;="&amp;$C$7,BD!$A$3:$A$5001,"&lt;="&amp;$B162,BD!$M$3:$M$5001,"&lt;&gt;"))))</f>
        <v/>
      </c>
      <c r="U162" s="43" t="str">
        <f>IF(OR($B162="",$A162&gt;$B$9,U$149=""),"",IF(COUNTIFS(BD!$B$3:$B$5001,U$149,BD!$A$3:$A$5001,"&gt;="&amp;$C$7,BD!$A$3:$A$5001,"&lt;="&amp;$B162,BD!$M$3:$M$5001,"&lt;&gt;")=0,"",SUMIFS(BD!$M$3:$M$5001,BD!$B$3:$B$5001,U$149,BD!$A$3:$A$5001,_xlfn.MAXIFS(BD!$A$3:$A$5001,BD!$B$3:$B$5001,U$149,BD!$A$3:$A$5001,"&gt;="&amp;$C$7,BD!$A$3:$A$5001,"&lt;="&amp;$B162,BD!$M$3:$M$5001,"&lt;&gt;"))))</f>
        <v/>
      </c>
      <c r="V162" s="43" t="str">
        <f>IF(OR($B162="",$A162&gt;$B$9,V$149=""),"",IF(COUNTIFS(BD!$B$3:$B$5001,V$149,BD!$A$3:$A$5001,"&gt;="&amp;$C$7,BD!$A$3:$A$5001,"&lt;="&amp;$B162,BD!$M$3:$M$5001,"&lt;&gt;")=0,"",SUMIFS(BD!$M$3:$M$5001,BD!$B$3:$B$5001,V$149,BD!$A$3:$A$5001,_xlfn.MAXIFS(BD!$A$3:$A$5001,BD!$B$3:$B$5001,V$149,BD!$A$3:$A$5001,"&gt;="&amp;$C$7,BD!$A$3:$A$5001,"&lt;="&amp;$B162,BD!$M$3:$M$5001,"&lt;&gt;"))))</f>
        <v/>
      </c>
    </row>
    <row r="163">
      <c r="A163" s="38">
        <v>14</v>
      </c>
      <c r="B163" s="42">
        <f>$B$25</f>
        <v>46309</v>
      </c>
      <c r="C163" s="43" t="str">
        <f>IF(OR($B163="",$A163&gt;$B$9,C$149=""),"",IF(COUNTIFS(BD!$B$3:$B$5001,C$149,BD!$A$3:$A$5001,"&gt;="&amp;$C$7,BD!$A$3:$A$5001,"&lt;="&amp;$B163,BD!$M$3:$M$5001,"&lt;&gt;")=0,"",SUMIFS(BD!$M$3:$M$5001,BD!$B$3:$B$5001,C$149,BD!$A$3:$A$5001,_xlfn.MAXIFS(BD!$A$3:$A$5001,BD!$B$3:$B$5001,C$149,BD!$A$3:$A$5001,"&gt;="&amp;$C$7,BD!$A$3:$A$5001,"&lt;="&amp;$B163,BD!$M$3:$M$5001,"&lt;&gt;"))))</f>
        <v/>
      </c>
      <c r="D163" s="43" t="str">
        <f>IF(OR($B163="",$A163&gt;$B$9,D$149=""),"",IF(COUNTIFS(BD!$B$3:$B$5001,D$149,BD!$A$3:$A$5001,"&gt;="&amp;$C$7,BD!$A$3:$A$5001,"&lt;="&amp;$B163,BD!$M$3:$M$5001,"&lt;&gt;")=0,"",SUMIFS(BD!$M$3:$M$5001,BD!$B$3:$B$5001,D$149,BD!$A$3:$A$5001,_xlfn.MAXIFS(BD!$A$3:$A$5001,BD!$B$3:$B$5001,D$149,BD!$A$3:$A$5001,"&gt;="&amp;$C$7,BD!$A$3:$A$5001,"&lt;="&amp;$B163,BD!$M$3:$M$5001,"&lt;&gt;"))))</f>
        <v/>
      </c>
      <c r="E163" s="43" t="str">
        <f>IF(OR($B163="",$A163&gt;$B$9,E$149=""),"",IF(COUNTIFS(BD!$B$3:$B$5001,E$149,BD!$A$3:$A$5001,"&gt;="&amp;$C$7,BD!$A$3:$A$5001,"&lt;="&amp;$B163,BD!$M$3:$M$5001,"&lt;&gt;")=0,"",SUMIFS(BD!$M$3:$M$5001,BD!$B$3:$B$5001,E$149,BD!$A$3:$A$5001,_xlfn.MAXIFS(BD!$A$3:$A$5001,BD!$B$3:$B$5001,E$149,BD!$A$3:$A$5001,"&gt;="&amp;$C$7,BD!$A$3:$A$5001,"&lt;="&amp;$B163,BD!$M$3:$M$5001,"&lt;&gt;"))))</f>
        <v/>
      </c>
      <c r="F163" s="43" t="str">
        <f>IF(OR($B163="",$A163&gt;$B$9,F$149=""),"",IF(COUNTIFS(BD!$B$3:$B$5001,F$149,BD!$A$3:$A$5001,"&gt;="&amp;$C$7,BD!$A$3:$A$5001,"&lt;="&amp;$B163,BD!$M$3:$M$5001,"&lt;&gt;")=0,"",SUMIFS(BD!$M$3:$M$5001,BD!$B$3:$B$5001,F$149,BD!$A$3:$A$5001,_xlfn.MAXIFS(BD!$A$3:$A$5001,BD!$B$3:$B$5001,F$149,BD!$A$3:$A$5001,"&gt;="&amp;$C$7,BD!$A$3:$A$5001,"&lt;="&amp;$B163,BD!$M$3:$M$5001,"&lt;&gt;"))))</f>
        <v/>
      </c>
      <c r="G163" s="43" t="str">
        <f>IF(OR($B163="",$A163&gt;$B$9,G$149=""),"",IF(COUNTIFS(BD!$B$3:$B$5001,G$149,BD!$A$3:$A$5001,"&gt;="&amp;$C$7,BD!$A$3:$A$5001,"&lt;="&amp;$B163,BD!$M$3:$M$5001,"&lt;&gt;")=0,"",SUMIFS(BD!$M$3:$M$5001,BD!$B$3:$B$5001,G$149,BD!$A$3:$A$5001,_xlfn.MAXIFS(BD!$A$3:$A$5001,BD!$B$3:$B$5001,G$149,BD!$A$3:$A$5001,"&gt;="&amp;$C$7,BD!$A$3:$A$5001,"&lt;="&amp;$B163,BD!$M$3:$M$5001,"&lt;&gt;"))))</f>
        <v/>
      </c>
      <c r="H163" s="43" t="str">
        <f>IF(OR($B163="",$A163&gt;$B$9,H$149=""),"",IF(COUNTIFS(BD!$B$3:$B$5001,H$149,BD!$A$3:$A$5001,"&gt;="&amp;$C$7,BD!$A$3:$A$5001,"&lt;="&amp;$B163,BD!$M$3:$M$5001,"&lt;&gt;")=0,"",SUMIFS(BD!$M$3:$M$5001,BD!$B$3:$B$5001,H$149,BD!$A$3:$A$5001,_xlfn.MAXIFS(BD!$A$3:$A$5001,BD!$B$3:$B$5001,H$149,BD!$A$3:$A$5001,"&gt;="&amp;$C$7,BD!$A$3:$A$5001,"&lt;="&amp;$B163,BD!$M$3:$M$5001,"&lt;&gt;"))))</f>
        <v/>
      </c>
      <c r="I163" s="43" t="str">
        <f>IF(OR($B163="",$A163&gt;$B$9,I$149=""),"",IF(COUNTIFS(BD!$B$3:$B$5001,I$149,BD!$A$3:$A$5001,"&gt;="&amp;$C$7,BD!$A$3:$A$5001,"&lt;="&amp;$B163,BD!$M$3:$M$5001,"&lt;&gt;")=0,"",SUMIFS(BD!$M$3:$M$5001,BD!$B$3:$B$5001,I$149,BD!$A$3:$A$5001,_xlfn.MAXIFS(BD!$A$3:$A$5001,BD!$B$3:$B$5001,I$149,BD!$A$3:$A$5001,"&gt;="&amp;$C$7,BD!$A$3:$A$5001,"&lt;="&amp;$B163,BD!$M$3:$M$5001,"&lt;&gt;"))))</f>
        <v/>
      </c>
      <c r="J163" s="43" t="str">
        <f>IF(OR($B163="",$A163&gt;$B$9,J$149=""),"",IF(COUNTIFS(BD!$B$3:$B$5001,J$149,BD!$A$3:$A$5001,"&gt;="&amp;$C$7,BD!$A$3:$A$5001,"&lt;="&amp;$B163,BD!$M$3:$M$5001,"&lt;&gt;")=0,"",SUMIFS(BD!$M$3:$M$5001,BD!$B$3:$B$5001,J$149,BD!$A$3:$A$5001,_xlfn.MAXIFS(BD!$A$3:$A$5001,BD!$B$3:$B$5001,J$149,BD!$A$3:$A$5001,"&gt;="&amp;$C$7,BD!$A$3:$A$5001,"&lt;="&amp;$B163,BD!$M$3:$M$5001,"&lt;&gt;"))))</f>
        <v/>
      </c>
      <c r="K163" s="43" t="str">
        <f>IF(OR($B163="",$A163&gt;$B$9,K$149=""),"",IF(COUNTIFS(BD!$B$3:$B$5001,K$149,BD!$A$3:$A$5001,"&gt;="&amp;$C$7,BD!$A$3:$A$5001,"&lt;="&amp;$B163,BD!$M$3:$M$5001,"&lt;&gt;")=0,"",SUMIFS(BD!$M$3:$M$5001,BD!$B$3:$B$5001,K$149,BD!$A$3:$A$5001,_xlfn.MAXIFS(BD!$A$3:$A$5001,BD!$B$3:$B$5001,K$149,BD!$A$3:$A$5001,"&gt;="&amp;$C$7,BD!$A$3:$A$5001,"&lt;="&amp;$B163,BD!$M$3:$M$5001,"&lt;&gt;"))))</f>
        <v/>
      </c>
      <c r="L163" s="43" t="str">
        <f>IF(OR($B163="",$A163&gt;$B$9,L$149=""),"",IF(COUNTIFS(BD!$B$3:$B$5001,L$149,BD!$A$3:$A$5001,"&gt;="&amp;$C$7,BD!$A$3:$A$5001,"&lt;="&amp;$B163,BD!$M$3:$M$5001,"&lt;&gt;")=0,"",SUMIFS(BD!$M$3:$M$5001,BD!$B$3:$B$5001,L$149,BD!$A$3:$A$5001,_xlfn.MAXIFS(BD!$A$3:$A$5001,BD!$B$3:$B$5001,L$149,BD!$A$3:$A$5001,"&gt;="&amp;$C$7,BD!$A$3:$A$5001,"&lt;="&amp;$B163,BD!$M$3:$M$5001,"&lt;&gt;"))))</f>
        <v/>
      </c>
      <c r="M163" s="43" t="str">
        <f>IF(OR($B163="",$A163&gt;$B$9,M$149=""),"",IF(COUNTIFS(BD!$B$3:$B$5001,M$149,BD!$A$3:$A$5001,"&gt;="&amp;$C$7,BD!$A$3:$A$5001,"&lt;="&amp;$B163,BD!$M$3:$M$5001,"&lt;&gt;")=0,"",SUMIFS(BD!$M$3:$M$5001,BD!$B$3:$B$5001,M$149,BD!$A$3:$A$5001,_xlfn.MAXIFS(BD!$A$3:$A$5001,BD!$B$3:$B$5001,M$149,BD!$A$3:$A$5001,"&gt;="&amp;$C$7,BD!$A$3:$A$5001,"&lt;="&amp;$B163,BD!$M$3:$M$5001,"&lt;&gt;"))))</f>
        <v/>
      </c>
      <c r="N163" s="43" t="str">
        <f>IF(OR($B163="",$A163&gt;$B$9,N$149=""),"",IF(COUNTIFS(BD!$B$3:$B$5001,N$149,BD!$A$3:$A$5001,"&gt;="&amp;$C$7,BD!$A$3:$A$5001,"&lt;="&amp;$B163,BD!$M$3:$M$5001,"&lt;&gt;")=0,"",SUMIFS(BD!$M$3:$M$5001,BD!$B$3:$B$5001,N$149,BD!$A$3:$A$5001,_xlfn.MAXIFS(BD!$A$3:$A$5001,BD!$B$3:$B$5001,N$149,BD!$A$3:$A$5001,"&gt;="&amp;$C$7,BD!$A$3:$A$5001,"&lt;="&amp;$B163,BD!$M$3:$M$5001,"&lt;&gt;"))))</f>
        <v/>
      </c>
      <c r="O163" s="43" t="str">
        <f>IF(OR($B163="",$A163&gt;$B$9,O$149=""),"",IF(COUNTIFS(BD!$B$3:$B$5001,O$149,BD!$A$3:$A$5001,"&gt;="&amp;$C$7,BD!$A$3:$A$5001,"&lt;="&amp;$B163,BD!$M$3:$M$5001,"&lt;&gt;")=0,"",SUMIFS(BD!$M$3:$M$5001,BD!$B$3:$B$5001,O$149,BD!$A$3:$A$5001,_xlfn.MAXIFS(BD!$A$3:$A$5001,BD!$B$3:$B$5001,O$149,BD!$A$3:$A$5001,"&gt;="&amp;$C$7,BD!$A$3:$A$5001,"&lt;="&amp;$B163,BD!$M$3:$M$5001,"&lt;&gt;"))))</f>
        <v/>
      </c>
      <c r="P163" s="43" t="str">
        <f>IF(OR($B163="",$A163&gt;$B$9,P$149=""),"",IF(COUNTIFS(BD!$B$3:$B$5001,P$149,BD!$A$3:$A$5001,"&gt;="&amp;$C$7,BD!$A$3:$A$5001,"&lt;="&amp;$B163,BD!$M$3:$M$5001,"&lt;&gt;")=0,"",SUMIFS(BD!$M$3:$M$5001,BD!$B$3:$B$5001,P$149,BD!$A$3:$A$5001,_xlfn.MAXIFS(BD!$A$3:$A$5001,BD!$B$3:$B$5001,P$149,BD!$A$3:$A$5001,"&gt;="&amp;$C$7,BD!$A$3:$A$5001,"&lt;="&amp;$B163,BD!$M$3:$M$5001,"&lt;&gt;"))))</f>
        <v/>
      </c>
      <c r="Q163" s="43" t="str">
        <f>IF(OR($B163="",$A163&gt;$B$9,Q$149=""),"",IF(COUNTIFS(BD!$B$3:$B$5001,Q$149,BD!$A$3:$A$5001,"&gt;="&amp;$C$7,BD!$A$3:$A$5001,"&lt;="&amp;$B163,BD!$M$3:$M$5001,"&lt;&gt;")=0,"",SUMIFS(BD!$M$3:$M$5001,BD!$B$3:$B$5001,Q$149,BD!$A$3:$A$5001,_xlfn.MAXIFS(BD!$A$3:$A$5001,BD!$B$3:$B$5001,Q$149,BD!$A$3:$A$5001,"&gt;="&amp;$C$7,BD!$A$3:$A$5001,"&lt;="&amp;$B163,BD!$M$3:$M$5001,"&lt;&gt;"))))</f>
        <v/>
      </c>
      <c r="R163" s="43" t="str">
        <f>IF(OR($B163="",$A163&gt;$B$9,R$149=""),"",IF(COUNTIFS(BD!$B$3:$B$5001,R$149,BD!$A$3:$A$5001,"&gt;="&amp;$C$7,BD!$A$3:$A$5001,"&lt;="&amp;$B163,BD!$M$3:$M$5001,"&lt;&gt;")=0,"",SUMIFS(BD!$M$3:$M$5001,BD!$B$3:$B$5001,R$149,BD!$A$3:$A$5001,_xlfn.MAXIFS(BD!$A$3:$A$5001,BD!$B$3:$B$5001,R$149,BD!$A$3:$A$5001,"&gt;="&amp;$C$7,BD!$A$3:$A$5001,"&lt;="&amp;$B163,BD!$M$3:$M$5001,"&lt;&gt;"))))</f>
        <v/>
      </c>
      <c r="S163" s="43" t="str">
        <f>IF(OR($B163="",$A163&gt;$B$9,S$149=""),"",IF(COUNTIFS(BD!$B$3:$B$5001,S$149,BD!$A$3:$A$5001,"&gt;="&amp;$C$7,BD!$A$3:$A$5001,"&lt;="&amp;$B163,BD!$M$3:$M$5001,"&lt;&gt;")=0,"",SUMIFS(BD!$M$3:$M$5001,BD!$B$3:$B$5001,S$149,BD!$A$3:$A$5001,_xlfn.MAXIFS(BD!$A$3:$A$5001,BD!$B$3:$B$5001,S$149,BD!$A$3:$A$5001,"&gt;="&amp;$C$7,BD!$A$3:$A$5001,"&lt;="&amp;$B163,BD!$M$3:$M$5001,"&lt;&gt;"))))</f>
        <v/>
      </c>
      <c r="T163" s="43" t="str">
        <f>IF(OR($B163="",$A163&gt;$B$9,T$149=""),"",IF(COUNTIFS(BD!$B$3:$B$5001,T$149,BD!$A$3:$A$5001,"&gt;="&amp;$C$7,BD!$A$3:$A$5001,"&lt;="&amp;$B163,BD!$M$3:$M$5001,"&lt;&gt;")=0,"",SUMIFS(BD!$M$3:$M$5001,BD!$B$3:$B$5001,T$149,BD!$A$3:$A$5001,_xlfn.MAXIFS(BD!$A$3:$A$5001,BD!$B$3:$B$5001,T$149,BD!$A$3:$A$5001,"&gt;="&amp;$C$7,BD!$A$3:$A$5001,"&lt;="&amp;$B163,BD!$M$3:$M$5001,"&lt;&gt;"))))</f>
        <v/>
      </c>
      <c r="U163" s="43" t="str">
        <f>IF(OR($B163="",$A163&gt;$B$9,U$149=""),"",IF(COUNTIFS(BD!$B$3:$B$5001,U$149,BD!$A$3:$A$5001,"&gt;="&amp;$C$7,BD!$A$3:$A$5001,"&lt;="&amp;$B163,BD!$M$3:$M$5001,"&lt;&gt;")=0,"",SUMIFS(BD!$M$3:$M$5001,BD!$B$3:$B$5001,U$149,BD!$A$3:$A$5001,_xlfn.MAXIFS(BD!$A$3:$A$5001,BD!$B$3:$B$5001,U$149,BD!$A$3:$A$5001,"&gt;="&amp;$C$7,BD!$A$3:$A$5001,"&lt;="&amp;$B163,BD!$M$3:$M$5001,"&lt;&gt;"))))</f>
        <v/>
      </c>
      <c r="V163" s="43" t="str">
        <f>IF(OR($B163="",$A163&gt;$B$9,V$149=""),"",IF(COUNTIFS(BD!$B$3:$B$5001,V$149,BD!$A$3:$A$5001,"&gt;="&amp;$C$7,BD!$A$3:$A$5001,"&lt;="&amp;$B163,BD!$M$3:$M$5001,"&lt;&gt;")=0,"",SUMIFS(BD!$M$3:$M$5001,BD!$B$3:$B$5001,V$149,BD!$A$3:$A$5001,_xlfn.MAXIFS(BD!$A$3:$A$5001,BD!$B$3:$B$5001,V$149,BD!$A$3:$A$5001,"&gt;="&amp;$C$7,BD!$A$3:$A$5001,"&lt;="&amp;$B163,BD!$M$3:$M$5001,"&lt;&gt;"))))</f>
        <v/>
      </c>
    </row>
    <row r="164">
      <c r="A164" s="38">
        <v>15</v>
      </c>
      <c r="B164" s="42">
        <f>$B$26</f>
        <v>46310</v>
      </c>
      <c r="C164" s="43" t="str">
        <f>IF(OR($B164="",$A164&gt;$B$9,C$149=""),"",IF(COUNTIFS(BD!$B$3:$B$5001,C$149,BD!$A$3:$A$5001,"&gt;="&amp;$C$7,BD!$A$3:$A$5001,"&lt;="&amp;$B164,BD!$M$3:$M$5001,"&lt;&gt;")=0,"",SUMIFS(BD!$M$3:$M$5001,BD!$B$3:$B$5001,C$149,BD!$A$3:$A$5001,_xlfn.MAXIFS(BD!$A$3:$A$5001,BD!$B$3:$B$5001,C$149,BD!$A$3:$A$5001,"&gt;="&amp;$C$7,BD!$A$3:$A$5001,"&lt;="&amp;$B164,BD!$M$3:$M$5001,"&lt;&gt;"))))</f>
        <v/>
      </c>
      <c r="D164" s="43" t="str">
        <f>IF(OR($B164="",$A164&gt;$B$9,D$149=""),"",IF(COUNTIFS(BD!$B$3:$B$5001,D$149,BD!$A$3:$A$5001,"&gt;="&amp;$C$7,BD!$A$3:$A$5001,"&lt;="&amp;$B164,BD!$M$3:$M$5001,"&lt;&gt;")=0,"",SUMIFS(BD!$M$3:$M$5001,BD!$B$3:$B$5001,D$149,BD!$A$3:$A$5001,_xlfn.MAXIFS(BD!$A$3:$A$5001,BD!$B$3:$B$5001,D$149,BD!$A$3:$A$5001,"&gt;="&amp;$C$7,BD!$A$3:$A$5001,"&lt;="&amp;$B164,BD!$M$3:$M$5001,"&lt;&gt;"))))</f>
        <v/>
      </c>
      <c r="E164" s="43" t="str">
        <f>IF(OR($B164="",$A164&gt;$B$9,E$149=""),"",IF(COUNTIFS(BD!$B$3:$B$5001,E$149,BD!$A$3:$A$5001,"&gt;="&amp;$C$7,BD!$A$3:$A$5001,"&lt;="&amp;$B164,BD!$M$3:$M$5001,"&lt;&gt;")=0,"",SUMIFS(BD!$M$3:$M$5001,BD!$B$3:$B$5001,E$149,BD!$A$3:$A$5001,_xlfn.MAXIFS(BD!$A$3:$A$5001,BD!$B$3:$B$5001,E$149,BD!$A$3:$A$5001,"&gt;="&amp;$C$7,BD!$A$3:$A$5001,"&lt;="&amp;$B164,BD!$M$3:$M$5001,"&lt;&gt;"))))</f>
        <v/>
      </c>
      <c r="F164" s="43" t="str">
        <f>IF(OR($B164="",$A164&gt;$B$9,F$149=""),"",IF(COUNTIFS(BD!$B$3:$B$5001,F$149,BD!$A$3:$A$5001,"&gt;="&amp;$C$7,BD!$A$3:$A$5001,"&lt;="&amp;$B164,BD!$M$3:$M$5001,"&lt;&gt;")=0,"",SUMIFS(BD!$M$3:$M$5001,BD!$B$3:$B$5001,F$149,BD!$A$3:$A$5001,_xlfn.MAXIFS(BD!$A$3:$A$5001,BD!$B$3:$B$5001,F$149,BD!$A$3:$A$5001,"&gt;="&amp;$C$7,BD!$A$3:$A$5001,"&lt;="&amp;$B164,BD!$M$3:$M$5001,"&lt;&gt;"))))</f>
        <v/>
      </c>
      <c r="G164" s="43" t="str">
        <f>IF(OR($B164="",$A164&gt;$B$9,G$149=""),"",IF(COUNTIFS(BD!$B$3:$B$5001,G$149,BD!$A$3:$A$5001,"&gt;="&amp;$C$7,BD!$A$3:$A$5001,"&lt;="&amp;$B164,BD!$M$3:$M$5001,"&lt;&gt;")=0,"",SUMIFS(BD!$M$3:$M$5001,BD!$B$3:$B$5001,G$149,BD!$A$3:$A$5001,_xlfn.MAXIFS(BD!$A$3:$A$5001,BD!$B$3:$B$5001,G$149,BD!$A$3:$A$5001,"&gt;="&amp;$C$7,BD!$A$3:$A$5001,"&lt;="&amp;$B164,BD!$M$3:$M$5001,"&lt;&gt;"))))</f>
        <v/>
      </c>
      <c r="H164" s="43" t="str">
        <f>IF(OR($B164="",$A164&gt;$B$9,H$149=""),"",IF(COUNTIFS(BD!$B$3:$B$5001,H$149,BD!$A$3:$A$5001,"&gt;="&amp;$C$7,BD!$A$3:$A$5001,"&lt;="&amp;$B164,BD!$M$3:$M$5001,"&lt;&gt;")=0,"",SUMIFS(BD!$M$3:$M$5001,BD!$B$3:$B$5001,H$149,BD!$A$3:$A$5001,_xlfn.MAXIFS(BD!$A$3:$A$5001,BD!$B$3:$B$5001,H$149,BD!$A$3:$A$5001,"&gt;="&amp;$C$7,BD!$A$3:$A$5001,"&lt;="&amp;$B164,BD!$M$3:$M$5001,"&lt;&gt;"))))</f>
        <v/>
      </c>
      <c r="I164" s="43" t="str">
        <f>IF(OR($B164="",$A164&gt;$B$9,I$149=""),"",IF(COUNTIFS(BD!$B$3:$B$5001,I$149,BD!$A$3:$A$5001,"&gt;="&amp;$C$7,BD!$A$3:$A$5001,"&lt;="&amp;$B164,BD!$M$3:$M$5001,"&lt;&gt;")=0,"",SUMIFS(BD!$M$3:$M$5001,BD!$B$3:$B$5001,I$149,BD!$A$3:$A$5001,_xlfn.MAXIFS(BD!$A$3:$A$5001,BD!$B$3:$B$5001,I$149,BD!$A$3:$A$5001,"&gt;="&amp;$C$7,BD!$A$3:$A$5001,"&lt;="&amp;$B164,BD!$M$3:$M$5001,"&lt;&gt;"))))</f>
        <v/>
      </c>
      <c r="J164" s="43" t="str">
        <f>IF(OR($B164="",$A164&gt;$B$9,J$149=""),"",IF(COUNTIFS(BD!$B$3:$B$5001,J$149,BD!$A$3:$A$5001,"&gt;="&amp;$C$7,BD!$A$3:$A$5001,"&lt;="&amp;$B164,BD!$M$3:$M$5001,"&lt;&gt;")=0,"",SUMIFS(BD!$M$3:$M$5001,BD!$B$3:$B$5001,J$149,BD!$A$3:$A$5001,_xlfn.MAXIFS(BD!$A$3:$A$5001,BD!$B$3:$B$5001,J$149,BD!$A$3:$A$5001,"&gt;="&amp;$C$7,BD!$A$3:$A$5001,"&lt;="&amp;$B164,BD!$M$3:$M$5001,"&lt;&gt;"))))</f>
        <v/>
      </c>
      <c r="K164" s="43" t="str">
        <f>IF(OR($B164="",$A164&gt;$B$9,K$149=""),"",IF(COUNTIFS(BD!$B$3:$B$5001,K$149,BD!$A$3:$A$5001,"&gt;="&amp;$C$7,BD!$A$3:$A$5001,"&lt;="&amp;$B164,BD!$M$3:$M$5001,"&lt;&gt;")=0,"",SUMIFS(BD!$M$3:$M$5001,BD!$B$3:$B$5001,K$149,BD!$A$3:$A$5001,_xlfn.MAXIFS(BD!$A$3:$A$5001,BD!$B$3:$B$5001,K$149,BD!$A$3:$A$5001,"&gt;="&amp;$C$7,BD!$A$3:$A$5001,"&lt;="&amp;$B164,BD!$M$3:$M$5001,"&lt;&gt;"))))</f>
        <v/>
      </c>
      <c r="L164" s="43" t="str">
        <f>IF(OR($B164="",$A164&gt;$B$9,L$149=""),"",IF(COUNTIFS(BD!$B$3:$B$5001,L$149,BD!$A$3:$A$5001,"&gt;="&amp;$C$7,BD!$A$3:$A$5001,"&lt;="&amp;$B164,BD!$M$3:$M$5001,"&lt;&gt;")=0,"",SUMIFS(BD!$M$3:$M$5001,BD!$B$3:$B$5001,L$149,BD!$A$3:$A$5001,_xlfn.MAXIFS(BD!$A$3:$A$5001,BD!$B$3:$B$5001,L$149,BD!$A$3:$A$5001,"&gt;="&amp;$C$7,BD!$A$3:$A$5001,"&lt;="&amp;$B164,BD!$M$3:$M$5001,"&lt;&gt;"))))</f>
        <v/>
      </c>
      <c r="M164" s="43" t="str">
        <f>IF(OR($B164="",$A164&gt;$B$9,M$149=""),"",IF(COUNTIFS(BD!$B$3:$B$5001,M$149,BD!$A$3:$A$5001,"&gt;="&amp;$C$7,BD!$A$3:$A$5001,"&lt;="&amp;$B164,BD!$M$3:$M$5001,"&lt;&gt;")=0,"",SUMIFS(BD!$M$3:$M$5001,BD!$B$3:$B$5001,M$149,BD!$A$3:$A$5001,_xlfn.MAXIFS(BD!$A$3:$A$5001,BD!$B$3:$B$5001,M$149,BD!$A$3:$A$5001,"&gt;="&amp;$C$7,BD!$A$3:$A$5001,"&lt;="&amp;$B164,BD!$M$3:$M$5001,"&lt;&gt;"))))</f>
        <v/>
      </c>
      <c r="N164" s="43" t="str">
        <f>IF(OR($B164="",$A164&gt;$B$9,N$149=""),"",IF(COUNTIFS(BD!$B$3:$B$5001,N$149,BD!$A$3:$A$5001,"&gt;="&amp;$C$7,BD!$A$3:$A$5001,"&lt;="&amp;$B164,BD!$M$3:$M$5001,"&lt;&gt;")=0,"",SUMIFS(BD!$M$3:$M$5001,BD!$B$3:$B$5001,N$149,BD!$A$3:$A$5001,_xlfn.MAXIFS(BD!$A$3:$A$5001,BD!$B$3:$B$5001,N$149,BD!$A$3:$A$5001,"&gt;="&amp;$C$7,BD!$A$3:$A$5001,"&lt;="&amp;$B164,BD!$M$3:$M$5001,"&lt;&gt;"))))</f>
        <v/>
      </c>
      <c r="O164" s="43" t="str">
        <f>IF(OR($B164="",$A164&gt;$B$9,O$149=""),"",IF(COUNTIFS(BD!$B$3:$B$5001,O$149,BD!$A$3:$A$5001,"&gt;="&amp;$C$7,BD!$A$3:$A$5001,"&lt;="&amp;$B164,BD!$M$3:$M$5001,"&lt;&gt;")=0,"",SUMIFS(BD!$M$3:$M$5001,BD!$B$3:$B$5001,O$149,BD!$A$3:$A$5001,_xlfn.MAXIFS(BD!$A$3:$A$5001,BD!$B$3:$B$5001,O$149,BD!$A$3:$A$5001,"&gt;="&amp;$C$7,BD!$A$3:$A$5001,"&lt;="&amp;$B164,BD!$M$3:$M$5001,"&lt;&gt;"))))</f>
        <v/>
      </c>
      <c r="P164" s="43" t="str">
        <f>IF(OR($B164="",$A164&gt;$B$9,P$149=""),"",IF(COUNTIFS(BD!$B$3:$B$5001,P$149,BD!$A$3:$A$5001,"&gt;="&amp;$C$7,BD!$A$3:$A$5001,"&lt;="&amp;$B164,BD!$M$3:$M$5001,"&lt;&gt;")=0,"",SUMIFS(BD!$M$3:$M$5001,BD!$B$3:$B$5001,P$149,BD!$A$3:$A$5001,_xlfn.MAXIFS(BD!$A$3:$A$5001,BD!$B$3:$B$5001,P$149,BD!$A$3:$A$5001,"&gt;="&amp;$C$7,BD!$A$3:$A$5001,"&lt;="&amp;$B164,BD!$M$3:$M$5001,"&lt;&gt;"))))</f>
        <v/>
      </c>
      <c r="Q164" s="43" t="str">
        <f>IF(OR($B164="",$A164&gt;$B$9,Q$149=""),"",IF(COUNTIFS(BD!$B$3:$B$5001,Q$149,BD!$A$3:$A$5001,"&gt;="&amp;$C$7,BD!$A$3:$A$5001,"&lt;="&amp;$B164,BD!$M$3:$M$5001,"&lt;&gt;")=0,"",SUMIFS(BD!$M$3:$M$5001,BD!$B$3:$B$5001,Q$149,BD!$A$3:$A$5001,_xlfn.MAXIFS(BD!$A$3:$A$5001,BD!$B$3:$B$5001,Q$149,BD!$A$3:$A$5001,"&gt;="&amp;$C$7,BD!$A$3:$A$5001,"&lt;="&amp;$B164,BD!$M$3:$M$5001,"&lt;&gt;"))))</f>
        <v/>
      </c>
      <c r="R164" s="43" t="str">
        <f>IF(OR($B164="",$A164&gt;$B$9,R$149=""),"",IF(COUNTIFS(BD!$B$3:$B$5001,R$149,BD!$A$3:$A$5001,"&gt;="&amp;$C$7,BD!$A$3:$A$5001,"&lt;="&amp;$B164,BD!$M$3:$M$5001,"&lt;&gt;")=0,"",SUMIFS(BD!$M$3:$M$5001,BD!$B$3:$B$5001,R$149,BD!$A$3:$A$5001,_xlfn.MAXIFS(BD!$A$3:$A$5001,BD!$B$3:$B$5001,R$149,BD!$A$3:$A$5001,"&gt;="&amp;$C$7,BD!$A$3:$A$5001,"&lt;="&amp;$B164,BD!$M$3:$M$5001,"&lt;&gt;"))))</f>
        <v/>
      </c>
      <c r="S164" s="43" t="str">
        <f>IF(OR($B164="",$A164&gt;$B$9,S$149=""),"",IF(COUNTIFS(BD!$B$3:$B$5001,S$149,BD!$A$3:$A$5001,"&gt;="&amp;$C$7,BD!$A$3:$A$5001,"&lt;="&amp;$B164,BD!$M$3:$M$5001,"&lt;&gt;")=0,"",SUMIFS(BD!$M$3:$M$5001,BD!$B$3:$B$5001,S$149,BD!$A$3:$A$5001,_xlfn.MAXIFS(BD!$A$3:$A$5001,BD!$B$3:$B$5001,S$149,BD!$A$3:$A$5001,"&gt;="&amp;$C$7,BD!$A$3:$A$5001,"&lt;="&amp;$B164,BD!$M$3:$M$5001,"&lt;&gt;"))))</f>
        <v/>
      </c>
      <c r="T164" s="43" t="str">
        <f>IF(OR($B164="",$A164&gt;$B$9,T$149=""),"",IF(COUNTIFS(BD!$B$3:$B$5001,T$149,BD!$A$3:$A$5001,"&gt;="&amp;$C$7,BD!$A$3:$A$5001,"&lt;="&amp;$B164,BD!$M$3:$M$5001,"&lt;&gt;")=0,"",SUMIFS(BD!$M$3:$M$5001,BD!$B$3:$B$5001,T$149,BD!$A$3:$A$5001,_xlfn.MAXIFS(BD!$A$3:$A$5001,BD!$B$3:$B$5001,T$149,BD!$A$3:$A$5001,"&gt;="&amp;$C$7,BD!$A$3:$A$5001,"&lt;="&amp;$B164,BD!$M$3:$M$5001,"&lt;&gt;"))))</f>
        <v/>
      </c>
      <c r="U164" s="43" t="str">
        <f>IF(OR($B164="",$A164&gt;$B$9,U$149=""),"",IF(COUNTIFS(BD!$B$3:$B$5001,U$149,BD!$A$3:$A$5001,"&gt;="&amp;$C$7,BD!$A$3:$A$5001,"&lt;="&amp;$B164,BD!$M$3:$M$5001,"&lt;&gt;")=0,"",SUMIFS(BD!$M$3:$M$5001,BD!$B$3:$B$5001,U$149,BD!$A$3:$A$5001,_xlfn.MAXIFS(BD!$A$3:$A$5001,BD!$B$3:$B$5001,U$149,BD!$A$3:$A$5001,"&gt;="&amp;$C$7,BD!$A$3:$A$5001,"&lt;="&amp;$B164,BD!$M$3:$M$5001,"&lt;&gt;"))))</f>
        <v/>
      </c>
      <c r="V164" s="43" t="str">
        <f>IF(OR($B164="",$A164&gt;$B$9,V$149=""),"",IF(COUNTIFS(BD!$B$3:$B$5001,V$149,BD!$A$3:$A$5001,"&gt;="&amp;$C$7,BD!$A$3:$A$5001,"&lt;="&amp;$B164,BD!$M$3:$M$5001,"&lt;&gt;")=0,"",SUMIFS(BD!$M$3:$M$5001,BD!$B$3:$B$5001,V$149,BD!$A$3:$A$5001,_xlfn.MAXIFS(BD!$A$3:$A$5001,BD!$B$3:$B$5001,V$149,BD!$A$3:$A$5001,"&gt;="&amp;$C$7,BD!$A$3:$A$5001,"&lt;="&amp;$B164,BD!$M$3:$M$5001,"&lt;&gt;"))))</f>
        <v/>
      </c>
    </row>
    <row r="165">
      <c r="A165" s="38">
        <v>16</v>
      </c>
      <c r="B165" s="42">
        <f>$B$27</f>
        <v>46311</v>
      </c>
      <c r="C165" s="43" t="str">
        <f>IF(OR($B165="",$A165&gt;$B$9,C$149=""),"",IF(COUNTIFS(BD!$B$3:$B$5001,C$149,BD!$A$3:$A$5001,"&gt;="&amp;$C$7,BD!$A$3:$A$5001,"&lt;="&amp;$B165,BD!$M$3:$M$5001,"&lt;&gt;")=0,"",SUMIFS(BD!$M$3:$M$5001,BD!$B$3:$B$5001,C$149,BD!$A$3:$A$5001,_xlfn.MAXIFS(BD!$A$3:$A$5001,BD!$B$3:$B$5001,C$149,BD!$A$3:$A$5001,"&gt;="&amp;$C$7,BD!$A$3:$A$5001,"&lt;="&amp;$B165,BD!$M$3:$M$5001,"&lt;&gt;"))))</f>
        <v/>
      </c>
      <c r="D165" s="43" t="str">
        <f>IF(OR($B165="",$A165&gt;$B$9,D$149=""),"",IF(COUNTIFS(BD!$B$3:$B$5001,D$149,BD!$A$3:$A$5001,"&gt;="&amp;$C$7,BD!$A$3:$A$5001,"&lt;="&amp;$B165,BD!$M$3:$M$5001,"&lt;&gt;")=0,"",SUMIFS(BD!$M$3:$M$5001,BD!$B$3:$B$5001,D$149,BD!$A$3:$A$5001,_xlfn.MAXIFS(BD!$A$3:$A$5001,BD!$B$3:$B$5001,D$149,BD!$A$3:$A$5001,"&gt;="&amp;$C$7,BD!$A$3:$A$5001,"&lt;="&amp;$B165,BD!$M$3:$M$5001,"&lt;&gt;"))))</f>
        <v/>
      </c>
      <c r="E165" s="43" t="str">
        <f>IF(OR($B165="",$A165&gt;$B$9,E$149=""),"",IF(COUNTIFS(BD!$B$3:$B$5001,E$149,BD!$A$3:$A$5001,"&gt;="&amp;$C$7,BD!$A$3:$A$5001,"&lt;="&amp;$B165,BD!$M$3:$M$5001,"&lt;&gt;")=0,"",SUMIFS(BD!$M$3:$M$5001,BD!$B$3:$B$5001,E$149,BD!$A$3:$A$5001,_xlfn.MAXIFS(BD!$A$3:$A$5001,BD!$B$3:$B$5001,E$149,BD!$A$3:$A$5001,"&gt;="&amp;$C$7,BD!$A$3:$A$5001,"&lt;="&amp;$B165,BD!$M$3:$M$5001,"&lt;&gt;"))))</f>
        <v/>
      </c>
      <c r="F165" s="43" t="str">
        <f>IF(OR($B165="",$A165&gt;$B$9,F$149=""),"",IF(COUNTIFS(BD!$B$3:$B$5001,F$149,BD!$A$3:$A$5001,"&gt;="&amp;$C$7,BD!$A$3:$A$5001,"&lt;="&amp;$B165,BD!$M$3:$M$5001,"&lt;&gt;")=0,"",SUMIFS(BD!$M$3:$M$5001,BD!$B$3:$B$5001,F$149,BD!$A$3:$A$5001,_xlfn.MAXIFS(BD!$A$3:$A$5001,BD!$B$3:$B$5001,F$149,BD!$A$3:$A$5001,"&gt;="&amp;$C$7,BD!$A$3:$A$5001,"&lt;="&amp;$B165,BD!$M$3:$M$5001,"&lt;&gt;"))))</f>
        <v/>
      </c>
      <c r="G165" s="43" t="str">
        <f>IF(OR($B165="",$A165&gt;$B$9,G$149=""),"",IF(COUNTIFS(BD!$B$3:$B$5001,G$149,BD!$A$3:$A$5001,"&gt;="&amp;$C$7,BD!$A$3:$A$5001,"&lt;="&amp;$B165,BD!$M$3:$M$5001,"&lt;&gt;")=0,"",SUMIFS(BD!$M$3:$M$5001,BD!$B$3:$B$5001,G$149,BD!$A$3:$A$5001,_xlfn.MAXIFS(BD!$A$3:$A$5001,BD!$B$3:$B$5001,G$149,BD!$A$3:$A$5001,"&gt;="&amp;$C$7,BD!$A$3:$A$5001,"&lt;="&amp;$B165,BD!$M$3:$M$5001,"&lt;&gt;"))))</f>
        <v/>
      </c>
      <c r="H165" s="43" t="str">
        <f>IF(OR($B165="",$A165&gt;$B$9,H$149=""),"",IF(COUNTIFS(BD!$B$3:$B$5001,H$149,BD!$A$3:$A$5001,"&gt;="&amp;$C$7,BD!$A$3:$A$5001,"&lt;="&amp;$B165,BD!$M$3:$M$5001,"&lt;&gt;")=0,"",SUMIFS(BD!$M$3:$M$5001,BD!$B$3:$B$5001,H$149,BD!$A$3:$A$5001,_xlfn.MAXIFS(BD!$A$3:$A$5001,BD!$B$3:$B$5001,H$149,BD!$A$3:$A$5001,"&gt;="&amp;$C$7,BD!$A$3:$A$5001,"&lt;="&amp;$B165,BD!$M$3:$M$5001,"&lt;&gt;"))))</f>
        <v/>
      </c>
      <c r="I165" s="43" t="str">
        <f>IF(OR($B165="",$A165&gt;$B$9,I$149=""),"",IF(COUNTIFS(BD!$B$3:$B$5001,I$149,BD!$A$3:$A$5001,"&gt;="&amp;$C$7,BD!$A$3:$A$5001,"&lt;="&amp;$B165,BD!$M$3:$M$5001,"&lt;&gt;")=0,"",SUMIFS(BD!$M$3:$M$5001,BD!$B$3:$B$5001,I$149,BD!$A$3:$A$5001,_xlfn.MAXIFS(BD!$A$3:$A$5001,BD!$B$3:$B$5001,I$149,BD!$A$3:$A$5001,"&gt;="&amp;$C$7,BD!$A$3:$A$5001,"&lt;="&amp;$B165,BD!$M$3:$M$5001,"&lt;&gt;"))))</f>
        <v/>
      </c>
      <c r="J165" s="43" t="str">
        <f>IF(OR($B165="",$A165&gt;$B$9,J$149=""),"",IF(COUNTIFS(BD!$B$3:$B$5001,J$149,BD!$A$3:$A$5001,"&gt;="&amp;$C$7,BD!$A$3:$A$5001,"&lt;="&amp;$B165,BD!$M$3:$M$5001,"&lt;&gt;")=0,"",SUMIFS(BD!$M$3:$M$5001,BD!$B$3:$B$5001,J$149,BD!$A$3:$A$5001,_xlfn.MAXIFS(BD!$A$3:$A$5001,BD!$B$3:$B$5001,J$149,BD!$A$3:$A$5001,"&gt;="&amp;$C$7,BD!$A$3:$A$5001,"&lt;="&amp;$B165,BD!$M$3:$M$5001,"&lt;&gt;"))))</f>
        <v/>
      </c>
      <c r="K165" s="43" t="str">
        <f>IF(OR($B165="",$A165&gt;$B$9,K$149=""),"",IF(COUNTIFS(BD!$B$3:$B$5001,K$149,BD!$A$3:$A$5001,"&gt;="&amp;$C$7,BD!$A$3:$A$5001,"&lt;="&amp;$B165,BD!$M$3:$M$5001,"&lt;&gt;")=0,"",SUMIFS(BD!$M$3:$M$5001,BD!$B$3:$B$5001,K$149,BD!$A$3:$A$5001,_xlfn.MAXIFS(BD!$A$3:$A$5001,BD!$B$3:$B$5001,K$149,BD!$A$3:$A$5001,"&gt;="&amp;$C$7,BD!$A$3:$A$5001,"&lt;="&amp;$B165,BD!$M$3:$M$5001,"&lt;&gt;"))))</f>
        <v/>
      </c>
      <c r="L165" s="43" t="str">
        <f>IF(OR($B165="",$A165&gt;$B$9,L$149=""),"",IF(COUNTIFS(BD!$B$3:$B$5001,L$149,BD!$A$3:$A$5001,"&gt;="&amp;$C$7,BD!$A$3:$A$5001,"&lt;="&amp;$B165,BD!$M$3:$M$5001,"&lt;&gt;")=0,"",SUMIFS(BD!$M$3:$M$5001,BD!$B$3:$B$5001,L$149,BD!$A$3:$A$5001,_xlfn.MAXIFS(BD!$A$3:$A$5001,BD!$B$3:$B$5001,L$149,BD!$A$3:$A$5001,"&gt;="&amp;$C$7,BD!$A$3:$A$5001,"&lt;="&amp;$B165,BD!$M$3:$M$5001,"&lt;&gt;"))))</f>
        <v/>
      </c>
      <c r="M165" s="43" t="str">
        <f>IF(OR($B165="",$A165&gt;$B$9,M$149=""),"",IF(COUNTIFS(BD!$B$3:$B$5001,M$149,BD!$A$3:$A$5001,"&gt;="&amp;$C$7,BD!$A$3:$A$5001,"&lt;="&amp;$B165,BD!$M$3:$M$5001,"&lt;&gt;")=0,"",SUMIFS(BD!$M$3:$M$5001,BD!$B$3:$B$5001,M$149,BD!$A$3:$A$5001,_xlfn.MAXIFS(BD!$A$3:$A$5001,BD!$B$3:$B$5001,M$149,BD!$A$3:$A$5001,"&gt;="&amp;$C$7,BD!$A$3:$A$5001,"&lt;="&amp;$B165,BD!$M$3:$M$5001,"&lt;&gt;"))))</f>
        <v/>
      </c>
      <c r="N165" s="43" t="str">
        <f>IF(OR($B165="",$A165&gt;$B$9,N$149=""),"",IF(COUNTIFS(BD!$B$3:$B$5001,N$149,BD!$A$3:$A$5001,"&gt;="&amp;$C$7,BD!$A$3:$A$5001,"&lt;="&amp;$B165,BD!$M$3:$M$5001,"&lt;&gt;")=0,"",SUMIFS(BD!$M$3:$M$5001,BD!$B$3:$B$5001,N$149,BD!$A$3:$A$5001,_xlfn.MAXIFS(BD!$A$3:$A$5001,BD!$B$3:$B$5001,N$149,BD!$A$3:$A$5001,"&gt;="&amp;$C$7,BD!$A$3:$A$5001,"&lt;="&amp;$B165,BD!$M$3:$M$5001,"&lt;&gt;"))))</f>
        <v/>
      </c>
      <c r="O165" s="43" t="str">
        <f>IF(OR($B165="",$A165&gt;$B$9,O$149=""),"",IF(COUNTIFS(BD!$B$3:$B$5001,O$149,BD!$A$3:$A$5001,"&gt;="&amp;$C$7,BD!$A$3:$A$5001,"&lt;="&amp;$B165,BD!$M$3:$M$5001,"&lt;&gt;")=0,"",SUMIFS(BD!$M$3:$M$5001,BD!$B$3:$B$5001,O$149,BD!$A$3:$A$5001,_xlfn.MAXIFS(BD!$A$3:$A$5001,BD!$B$3:$B$5001,O$149,BD!$A$3:$A$5001,"&gt;="&amp;$C$7,BD!$A$3:$A$5001,"&lt;="&amp;$B165,BD!$M$3:$M$5001,"&lt;&gt;"))))</f>
        <v/>
      </c>
      <c r="P165" s="43" t="str">
        <f>IF(OR($B165="",$A165&gt;$B$9,P$149=""),"",IF(COUNTIFS(BD!$B$3:$B$5001,P$149,BD!$A$3:$A$5001,"&gt;="&amp;$C$7,BD!$A$3:$A$5001,"&lt;="&amp;$B165,BD!$M$3:$M$5001,"&lt;&gt;")=0,"",SUMIFS(BD!$M$3:$M$5001,BD!$B$3:$B$5001,P$149,BD!$A$3:$A$5001,_xlfn.MAXIFS(BD!$A$3:$A$5001,BD!$B$3:$B$5001,P$149,BD!$A$3:$A$5001,"&gt;="&amp;$C$7,BD!$A$3:$A$5001,"&lt;="&amp;$B165,BD!$M$3:$M$5001,"&lt;&gt;"))))</f>
        <v/>
      </c>
      <c r="Q165" s="43" t="str">
        <f>IF(OR($B165="",$A165&gt;$B$9,Q$149=""),"",IF(COUNTIFS(BD!$B$3:$B$5001,Q$149,BD!$A$3:$A$5001,"&gt;="&amp;$C$7,BD!$A$3:$A$5001,"&lt;="&amp;$B165,BD!$M$3:$M$5001,"&lt;&gt;")=0,"",SUMIFS(BD!$M$3:$M$5001,BD!$B$3:$B$5001,Q$149,BD!$A$3:$A$5001,_xlfn.MAXIFS(BD!$A$3:$A$5001,BD!$B$3:$B$5001,Q$149,BD!$A$3:$A$5001,"&gt;="&amp;$C$7,BD!$A$3:$A$5001,"&lt;="&amp;$B165,BD!$M$3:$M$5001,"&lt;&gt;"))))</f>
        <v/>
      </c>
      <c r="R165" s="43" t="str">
        <f>IF(OR($B165="",$A165&gt;$B$9,R$149=""),"",IF(COUNTIFS(BD!$B$3:$B$5001,R$149,BD!$A$3:$A$5001,"&gt;="&amp;$C$7,BD!$A$3:$A$5001,"&lt;="&amp;$B165,BD!$M$3:$M$5001,"&lt;&gt;")=0,"",SUMIFS(BD!$M$3:$M$5001,BD!$B$3:$B$5001,R$149,BD!$A$3:$A$5001,_xlfn.MAXIFS(BD!$A$3:$A$5001,BD!$B$3:$B$5001,R$149,BD!$A$3:$A$5001,"&gt;="&amp;$C$7,BD!$A$3:$A$5001,"&lt;="&amp;$B165,BD!$M$3:$M$5001,"&lt;&gt;"))))</f>
        <v/>
      </c>
      <c r="S165" s="43" t="str">
        <f>IF(OR($B165="",$A165&gt;$B$9,S$149=""),"",IF(COUNTIFS(BD!$B$3:$B$5001,S$149,BD!$A$3:$A$5001,"&gt;="&amp;$C$7,BD!$A$3:$A$5001,"&lt;="&amp;$B165,BD!$M$3:$M$5001,"&lt;&gt;")=0,"",SUMIFS(BD!$M$3:$M$5001,BD!$B$3:$B$5001,S$149,BD!$A$3:$A$5001,_xlfn.MAXIFS(BD!$A$3:$A$5001,BD!$B$3:$B$5001,S$149,BD!$A$3:$A$5001,"&gt;="&amp;$C$7,BD!$A$3:$A$5001,"&lt;="&amp;$B165,BD!$M$3:$M$5001,"&lt;&gt;"))))</f>
        <v/>
      </c>
      <c r="T165" s="43" t="str">
        <f>IF(OR($B165="",$A165&gt;$B$9,T$149=""),"",IF(COUNTIFS(BD!$B$3:$B$5001,T$149,BD!$A$3:$A$5001,"&gt;="&amp;$C$7,BD!$A$3:$A$5001,"&lt;="&amp;$B165,BD!$M$3:$M$5001,"&lt;&gt;")=0,"",SUMIFS(BD!$M$3:$M$5001,BD!$B$3:$B$5001,T$149,BD!$A$3:$A$5001,_xlfn.MAXIFS(BD!$A$3:$A$5001,BD!$B$3:$B$5001,T$149,BD!$A$3:$A$5001,"&gt;="&amp;$C$7,BD!$A$3:$A$5001,"&lt;="&amp;$B165,BD!$M$3:$M$5001,"&lt;&gt;"))))</f>
        <v/>
      </c>
      <c r="U165" s="43" t="str">
        <f>IF(OR($B165="",$A165&gt;$B$9,U$149=""),"",IF(COUNTIFS(BD!$B$3:$B$5001,U$149,BD!$A$3:$A$5001,"&gt;="&amp;$C$7,BD!$A$3:$A$5001,"&lt;="&amp;$B165,BD!$M$3:$M$5001,"&lt;&gt;")=0,"",SUMIFS(BD!$M$3:$M$5001,BD!$B$3:$B$5001,U$149,BD!$A$3:$A$5001,_xlfn.MAXIFS(BD!$A$3:$A$5001,BD!$B$3:$B$5001,U$149,BD!$A$3:$A$5001,"&gt;="&amp;$C$7,BD!$A$3:$A$5001,"&lt;="&amp;$B165,BD!$M$3:$M$5001,"&lt;&gt;"))))</f>
        <v/>
      </c>
      <c r="V165" s="43" t="str">
        <f>IF(OR($B165="",$A165&gt;$B$9,V$149=""),"",IF(COUNTIFS(BD!$B$3:$B$5001,V$149,BD!$A$3:$A$5001,"&gt;="&amp;$C$7,BD!$A$3:$A$5001,"&lt;="&amp;$B165,BD!$M$3:$M$5001,"&lt;&gt;")=0,"",SUMIFS(BD!$M$3:$M$5001,BD!$B$3:$B$5001,V$149,BD!$A$3:$A$5001,_xlfn.MAXIFS(BD!$A$3:$A$5001,BD!$B$3:$B$5001,V$149,BD!$A$3:$A$5001,"&gt;="&amp;$C$7,BD!$A$3:$A$5001,"&lt;="&amp;$B165,BD!$M$3:$M$5001,"&lt;&gt;"))))</f>
        <v/>
      </c>
    </row>
    <row r="166">
      <c r="A166" s="38">
        <v>17</v>
      </c>
      <c r="B166" s="42">
        <f>$B$28</f>
        <v>46312</v>
      </c>
      <c r="C166" s="43" t="str">
        <f>IF(OR($B166="",$A166&gt;$B$9,C$149=""),"",IF(COUNTIFS(BD!$B$3:$B$5001,C$149,BD!$A$3:$A$5001,"&gt;="&amp;$C$7,BD!$A$3:$A$5001,"&lt;="&amp;$B166,BD!$M$3:$M$5001,"&lt;&gt;")=0,"",SUMIFS(BD!$M$3:$M$5001,BD!$B$3:$B$5001,C$149,BD!$A$3:$A$5001,_xlfn.MAXIFS(BD!$A$3:$A$5001,BD!$B$3:$B$5001,C$149,BD!$A$3:$A$5001,"&gt;="&amp;$C$7,BD!$A$3:$A$5001,"&lt;="&amp;$B166,BD!$M$3:$M$5001,"&lt;&gt;"))))</f>
        <v/>
      </c>
      <c r="D166" s="43" t="str">
        <f>IF(OR($B166="",$A166&gt;$B$9,D$149=""),"",IF(COUNTIFS(BD!$B$3:$B$5001,D$149,BD!$A$3:$A$5001,"&gt;="&amp;$C$7,BD!$A$3:$A$5001,"&lt;="&amp;$B166,BD!$M$3:$M$5001,"&lt;&gt;")=0,"",SUMIFS(BD!$M$3:$M$5001,BD!$B$3:$B$5001,D$149,BD!$A$3:$A$5001,_xlfn.MAXIFS(BD!$A$3:$A$5001,BD!$B$3:$B$5001,D$149,BD!$A$3:$A$5001,"&gt;="&amp;$C$7,BD!$A$3:$A$5001,"&lt;="&amp;$B166,BD!$M$3:$M$5001,"&lt;&gt;"))))</f>
        <v/>
      </c>
      <c r="E166" s="43" t="str">
        <f>IF(OR($B166="",$A166&gt;$B$9,E$149=""),"",IF(COUNTIFS(BD!$B$3:$B$5001,E$149,BD!$A$3:$A$5001,"&gt;="&amp;$C$7,BD!$A$3:$A$5001,"&lt;="&amp;$B166,BD!$M$3:$M$5001,"&lt;&gt;")=0,"",SUMIFS(BD!$M$3:$M$5001,BD!$B$3:$B$5001,E$149,BD!$A$3:$A$5001,_xlfn.MAXIFS(BD!$A$3:$A$5001,BD!$B$3:$B$5001,E$149,BD!$A$3:$A$5001,"&gt;="&amp;$C$7,BD!$A$3:$A$5001,"&lt;="&amp;$B166,BD!$M$3:$M$5001,"&lt;&gt;"))))</f>
        <v/>
      </c>
      <c r="F166" s="43" t="str">
        <f>IF(OR($B166="",$A166&gt;$B$9,F$149=""),"",IF(COUNTIFS(BD!$B$3:$B$5001,F$149,BD!$A$3:$A$5001,"&gt;="&amp;$C$7,BD!$A$3:$A$5001,"&lt;="&amp;$B166,BD!$M$3:$M$5001,"&lt;&gt;")=0,"",SUMIFS(BD!$M$3:$M$5001,BD!$B$3:$B$5001,F$149,BD!$A$3:$A$5001,_xlfn.MAXIFS(BD!$A$3:$A$5001,BD!$B$3:$B$5001,F$149,BD!$A$3:$A$5001,"&gt;="&amp;$C$7,BD!$A$3:$A$5001,"&lt;="&amp;$B166,BD!$M$3:$M$5001,"&lt;&gt;"))))</f>
        <v/>
      </c>
      <c r="G166" s="43" t="str">
        <f>IF(OR($B166="",$A166&gt;$B$9,G$149=""),"",IF(COUNTIFS(BD!$B$3:$B$5001,G$149,BD!$A$3:$A$5001,"&gt;="&amp;$C$7,BD!$A$3:$A$5001,"&lt;="&amp;$B166,BD!$M$3:$M$5001,"&lt;&gt;")=0,"",SUMIFS(BD!$M$3:$M$5001,BD!$B$3:$B$5001,G$149,BD!$A$3:$A$5001,_xlfn.MAXIFS(BD!$A$3:$A$5001,BD!$B$3:$B$5001,G$149,BD!$A$3:$A$5001,"&gt;="&amp;$C$7,BD!$A$3:$A$5001,"&lt;="&amp;$B166,BD!$M$3:$M$5001,"&lt;&gt;"))))</f>
        <v/>
      </c>
      <c r="H166" s="43" t="str">
        <f>IF(OR($B166="",$A166&gt;$B$9,H$149=""),"",IF(COUNTIFS(BD!$B$3:$B$5001,H$149,BD!$A$3:$A$5001,"&gt;="&amp;$C$7,BD!$A$3:$A$5001,"&lt;="&amp;$B166,BD!$M$3:$M$5001,"&lt;&gt;")=0,"",SUMIFS(BD!$M$3:$M$5001,BD!$B$3:$B$5001,H$149,BD!$A$3:$A$5001,_xlfn.MAXIFS(BD!$A$3:$A$5001,BD!$B$3:$B$5001,H$149,BD!$A$3:$A$5001,"&gt;="&amp;$C$7,BD!$A$3:$A$5001,"&lt;="&amp;$B166,BD!$M$3:$M$5001,"&lt;&gt;"))))</f>
        <v/>
      </c>
      <c r="I166" s="43" t="str">
        <f>IF(OR($B166="",$A166&gt;$B$9,I$149=""),"",IF(COUNTIFS(BD!$B$3:$B$5001,I$149,BD!$A$3:$A$5001,"&gt;="&amp;$C$7,BD!$A$3:$A$5001,"&lt;="&amp;$B166,BD!$M$3:$M$5001,"&lt;&gt;")=0,"",SUMIFS(BD!$M$3:$M$5001,BD!$B$3:$B$5001,I$149,BD!$A$3:$A$5001,_xlfn.MAXIFS(BD!$A$3:$A$5001,BD!$B$3:$B$5001,I$149,BD!$A$3:$A$5001,"&gt;="&amp;$C$7,BD!$A$3:$A$5001,"&lt;="&amp;$B166,BD!$M$3:$M$5001,"&lt;&gt;"))))</f>
        <v/>
      </c>
      <c r="J166" s="43" t="str">
        <f>IF(OR($B166="",$A166&gt;$B$9,J$149=""),"",IF(COUNTIFS(BD!$B$3:$B$5001,J$149,BD!$A$3:$A$5001,"&gt;="&amp;$C$7,BD!$A$3:$A$5001,"&lt;="&amp;$B166,BD!$M$3:$M$5001,"&lt;&gt;")=0,"",SUMIFS(BD!$M$3:$M$5001,BD!$B$3:$B$5001,J$149,BD!$A$3:$A$5001,_xlfn.MAXIFS(BD!$A$3:$A$5001,BD!$B$3:$B$5001,J$149,BD!$A$3:$A$5001,"&gt;="&amp;$C$7,BD!$A$3:$A$5001,"&lt;="&amp;$B166,BD!$M$3:$M$5001,"&lt;&gt;"))))</f>
        <v/>
      </c>
      <c r="K166" s="43" t="str">
        <f>IF(OR($B166="",$A166&gt;$B$9,K$149=""),"",IF(COUNTIFS(BD!$B$3:$B$5001,K$149,BD!$A$3:$A$5001,"&gt;="&amp;$C$7,BD!$A$3:$A$5001,"&lt;="&amp;$B166,BD!$M$3:$M$5001,"&lt;&gt;")=0,"",SUMIFS(BD!$M$3:$M$5001,BD!$B$3:$B$5001,K$149,BD!$A$3:$A$5001,_xlfn.MAXIFS(BD!$A$3:$A$5001,BD!$B$3:$B$5001,K$149,BD!$A$3:$A$5001,"&gt;="&amp;$C$7,BD!$A$3:$A$5001,"&lt;="&amp;$B166,BD!$M$3:$M$5001,"&lt;&gt;"))))</f>
        <v/>
      </c>
      <c r="L166" s="43" t="str">
        <f>IF(OR($B166="",$A166&gt;$B$9,L$149=""),"",IF(COUNTIFS(BD!$B$3:$B$5001,L$149,BD!$A$3:$A$5001,"&gt;="&amp;$C$7,BD!$A$3:$A$5001,"&lt;="&amp;$B166,BD!$M$3:$M$5001,"&lt;&gt;")=0,"",SUMIFS(BD!$M$3:$M$5001,BD!$B$3:$B$5001,L$149,BD!$A$3:$A$5001,_xlfn.MAXIFS(BD!$A$3:$A$5001,BD!$B$3:$B$5001,L$149,BD!$A$3:$A$5001,"&gt;="&amp;$C$7,BD!$A$3:$A$5001,"&lt;="&amp;$B166,BD!$M$3:$M$5001,"&lt;&gt;"))))</f>
        <v/>
      </c>
      <c r="M166" s="43" t="str">
        <f>IF(OR($B166="",$A166&gt;$B$9,M$149=""),"",IF(COUNTIFS(BD!$B$3:$B$5001,M$149,BD!$A$3:$A$5001,"&gt;="&amp;$C$7,BD!$A$3:$A$5001,"&lt;="&amp;$B166,BD!$M$3:$M$5001,"&lt;&gt;")=0,"",SUMIFS(BD!$M$3:$M$5001,BD!$B$3:$B$5001,M$149,BD!$A$3:$A$5001,_xlfn.MAXIFS(BD!$A$3:$A$5001,BD!$B$3:$B$5001,M$149,BD!$A$3:$A$5001,"&gt;="&amp;$C$7,BD!$A$3:$A$5001,"&lt;="&amp;$B166,BD!$M$3:$M$5001,"&lt;&gt;"))))</f>
        <v/>
      </c>
      <c r="N166" s="43" t="str">
        <f>IF(OR($B166="",$A166&gt;$B$9,N$149=""),"",IF(COUNTIFS(BD!$B$3:$B$5001,N$149,BD!$A$3:$A$5001,"&gt;="&amp;$C$7,BD!$A$3:$A$5001,"&lt;="&amp;$B166,BD!$M$3:$M$5001,"&lt;&gt;")=0,"",SUMIFS(BD!$M$3:$M$5001,BD!$B$3:$B$5001,N$149,BD!$A$3:$A$5001,_xlfn.MAXIFS(BD!$A$3:$A$5001,BD!$B$3:$B$5001,N$149,BD!$A$3:$A$5001,"&gt;="&amp;$C$7,BD!$A$3:$A$5001,"&lt;="&amp;$B166,BD!$M$3:$M$5001,"&lt;&gt;"))))</f>
        <v/>
      </c>
      <c r="O166" s="43" t="str">
        <f>IF(OR($B166="",$A166&gt;$B$9,O$149=""),"",IF(COUNTIFS(BD!$B$3:$B$5001,O$149,BD!$A$3:$A$5001,"&gt;="&amp;$C$7,BD!$A$3:$A$5001,"&lt;="&amp;$B166,BD!$M$3:$M$5001,"&lt;&gt;")=0,"",SUMIFS(BD!$M$3:$M$5001,BD!$B$3:$B$5001,O$149,BD!$A$3:$A$5001,_xlfn.MAXIFS(BD!$A$3:$A$5001,BD!$B$3:$B$5001,O$149,BD!$A$3:$A$5001,"&gt;="&amp;$C$7,BD!$A$3:$A$5001,"&lt;="&amp;$B166,BD!$M$3:$M$5001,"&lt;&gt;"))))</f>
        <v/>
      </c>
      <c r="P166" s="43" t="str">
        <f>IF(OR($B166="",$A166&gt;$B$9,P$149=""),"",IF(COUNTIFS(BD!$B$3:$B$5001,P$149,BD!$A$3:$A$5001,"&gt;="&amp;$C$7,BD!$A$3:$A$5001,"&lt;="&amp;$B166,BD!$M$3:$M$5001,"&lt;&gt;")=0,"",SUMIFS(BD!$M$3:$M$5001,BD!$B$3:$B$5001,P$149,BD!$A$3:$A$5001,_xlfn.MAXIFS(BD!$A$3:$A$5001,BD!$B$3:$B$5001,P$149,BD!$A$3:$A$5001,"&gt;="&amp;$C$7,BD!$A$3:$A$5001,"&lt;="&amp;$B166,BD!$M$3:$M$5001,"&lt;&gt;"))))</f>
        <v/>
      </c>
      <c r="Q166" s="43" t="str">
        <f>IF(OR($B166="",$A166&gt;$B$9,Q$149=""),"",IF(COUNTIFS(BD!$B$3:$B$5001,Q$149,BD!$A$3:$A$5001,"&gt;="&amp;$C$7,BD!$A$3:$A$5001,"&lt;="&amp;$B166,BD!$M$3:$M$5001,"&lt;&gt;")=0,"",SUMIFS(BD!$M$3:$M$5001,BD!$B$3:$B$5001,Q$149,BD!$A$3:$A$5001,_xlfn.MAXIFS(BD!$A$3:$A$5001,BD!$B$3:$B$5001,Q$149,BD!$A$3:$A$5001,"&gt;="&amp;$C$7,BD!$A$3:$A$5001,"&lt;="&amp;$B166,BD!$M$3:$M$5001,"&lt;&gt;"))))</f>
        <v/>
      </c>
      <c r="R166" s="43" t="str">
        <f>IF(OR($B166="",$A166&gt;$B$9,R$149=""),"",IF(COUNTIFS(BD!$B$3:$B$5001,R$149,BD!$A$3:$A$5001,"&gt;="&amp;$C$7,BD!$A$3:$A$5001,"&lt;="&amp;$B166,BD!$M$3:$M$5001,"&lt;&gt;")=0,"",SUMIFS(BD!$M$3:$M$5001,BD!$B$3:$B$5001,R$149,BD!$A$3:$A$5001,_xlfn.MAXIFS(BD!$A$3:$A$5001,BD!$B$3:$B$5001,R$149,BD!$A$3:$A$5001,"&gt;="&amp;$C$7,BD!$A$3:$A$5001,"&lt;="&amp;$B166,BD!$M$3:$M$5001,"&lt;&gt;"))))</f>
        <v/>
      </c>
      <c r="S166" s="43" t="str">
        <f>IF(OR($B166="",$A166&gt;$B$9,S$149=""),"",IF(COUNTIFS(BD!$B$3:$B$5001,S$149,BD!$A$3:$A$5001,"&gt;="&amp;$C$7,BD!$A$3:$A$5001,"&lt;="&amp;$B166,BD!$M$3:$M$5001,"&lt;&gt;")=0,"",SUMIFS(BD!$M$3:$M$5001,BD!$B$3:$B$5001,S$149,BD!$A$3:$A$5001,_xlfn.MAXIFS(BD!$A$3:$A$5001,BD!$B$3:$B$5001,S$149,BD!$A$3:$A$5001,"&gt;="&amp;$C$7,BD!$A$3:$A$5001,"&lt;="&amp;$B166,BD!$M$3:$M$5001,"&lt;&gt;"))))</f>
        <v/>
      </c>
      <c r="T166" s="43" t="str">
        <f>IF(OR($B166="",$A166&gt;$B$9,T$149=""),"",IF(COUNTIFS(BD!$B$3:$B$5001,T$149,BD!$A$3:$A$5001,"&gt;="&amp;$C$7,BD!$A$3:$A$5001,"&lt;="&amp;$B166,BD!$M$3:$M$5001,"&lt;&gt;")=0,"",SUMIFS(BD!$M$3:$M$5001,BD!$B$3:$B$5001,T$149,BD!$A$3:$A$5001,_xlfn.MAXIFS(BD!$A$3:$A$5001,BD!$B$3:$B$5001,T$149,BD!$A$3:$A$5001,"&gt;="&amp;$C$7,BD!$A$3:$A$5001,"&lt;="&amp;$B166,BD!$M$3:$M$5001,"&lt;&gt;"))))</f>
        <v/>
      </c>
      <c r="U166" s="43" t="str">
        <f>IF(OR($B166="",$A166&gt;$B$9,U$149=""),"",IF(COUNTIFS(BD!$B$3:$B$5001,U$149,BD!$A$3:$A$5001,"&gt;="&amp;$C$7,BD!$A$3:$A$5001,"&lt;="&amp;$B166,BD!$M$3:$M$5001,"&lt;&gt;")=0,"",SUMIFS(BD!$M$3:$M$5001,BD!$B$3:$B$5001,U$149,BD!$A$3:$A$5001,_xlfn.MAXIFS(BD!$A$3:$A$5001,BD!$B$3:$B$5001,U$149,BD!$A$3:$A$5001,"&gt;="&amp;$C$7,BD!$A$3:$A$5001,"&lt;="&amp;$B166,BD!$M$3:$M$5001,"&lt;&gt;"))))</f>
        <v/>
      </c>
      <c r="V166" s="43" t="str">
        <f>IF(OR($B166="",$A166&gt;$B$9,V$149=""),"",IF(COUNTIFS(BD!$B$3:$B$5001,V$149,BD!$A$3:$A$5001,"&gt;="&amp;$C$7,BD!$A$3:$A$5001,"&lt;="&amp;$B166,BD!$M$3:$M$5001,"&lt;&gt;")=0,"",SUMIFS(BD!$M$3:$M$5001,BD!$B$3:$B$5001,V$149,BD!$A$3:$A$5001,_xlfn.MAXIFS(BD!$A$3:$A$5001,BD!$B$3:$B$5001,V$149,BD!$A$3:$A$5001,"&gt;="&amp;$C$7,BD!$A$3:$A$5001,"&lt;="&amp;$B166,BD!$M$3:$M$5001,"&lt;&gt;"))))</f>
        <v/>
      </c>
    </row>
    <row r="167">
      <c r="A167" s="38">
        <v>18</v>
      </c>
      <c r="B167" s="42">
        <f>$B$29</f>
        <v>46313</v>
      </c>
      <c r="C167" s="43" t="str">
        <f>IF(OR($B167="",$A167&gt;$B$9,C$149=""),"",IF(COUNTIFS(BD!$B$3:$B$5001,C$149,BD!$A$3:$A$5001,"&gt;="&amp;$C$7,BD!$A$3:$A$5001,"&lt;="&amp;$B167,BD!$M$3:$M$5001,"&lt;&gt;")=0,"",SUMIFS(BD!$M$3:$M$5001,BD!$B$3:$B$5001,C$149,BD!$A$3:$A$5001,_xlfn.MAXIFS(BD!$A$3:$A$5001,BD!$B$3:$B$5001,C$149,BD!$A$3:$A$5001,"&gt;="&amp;$C$7,BD!$A$3:$A$5001,"&lt;="&amp;$B167,BD!$M$3:$M$5001,"&lt;&gt;"))))</f>
        <v/>
      </c>
      <c r="D167" s="43" t="str">
        <f>IF(OR($B167="",$A167&gt;$B$9,D$149=""),"",IF(COUNTIFS(BD!$B$3:$B$5001,D$149,BD!$A$3:$A$5001,"&gt;="&amp;$C$7,BD!$A$3:$A$5001,"&lt;="&amp;$B167,BD!$M$3:$M$5001,"&lt;&gt;")=0,"",SUMIFS(BD!$M$3:$M$5001,BD!$B$3:$B$5001,D$149,BD!$A$3:$A$5001,_xlfn.MAXIFS(BD!$A$3:$A$5001,BD!$B$3:$B$5001,D$149,BD!$A$3:$A$5001,"&gt;="&amp;$C$7,BD!$A$3:$A$5001,"&lt;="&amp;$B167,BD!$M$3:$M$5001,"&lt;&gt;"))))</f>
        <v/>
      </c>
      <c r="E167" s="43" t="str">
        <f>IF(OR($B167="",$A167&gt;$B$9,E$149=""),"",IF(COUNTIFS(BD!$B$3:$B$5001,E$149,BD!$A$3:$A$5001,"&gt;="&amp;$C$7,BD!$A$3:$A$5001,"&lt;="&amp;$B167,BD!$M$3:$M$5001,"&lt;&gt;")=0,"",SUMIFS(BD!$M$3:$M$5001,BD!$B$3:$B$5001,E$149,BD!$A$3:$A$5001,_xlfn.MAXIFS(BD!$A$3:$A$5001,BD!$B$3:$B$5001,E$149,BD!$A$3:$A$5001,"&gt;="&amp;$C$7,BD!$A$3:$A$5001,"&lt;="&amp;$B167,BD!$M$3:$M$5001,"&lt;&gt;"))))</f>
        <v/>
      </c>
      <c r="F167" s="43" t="str">
        <f>IF(OR($B167="",$A167&gt;$B$9,F$149=""),"",IF(COUNTIFS(BD!$B$3:$B$5001,F$149,BD!$A$3:$A$5001,"&gt;="&amp;$C$7,BD!$A$3:$A$5001,"&lt;="&amp;$B167,BD!$M$3:$M$5001,"&lt;&gt;")=0,"",SUMIFS(BD!$M$3:$M$5001,BD!$B$3:$B$5001,F$149,BD!$A$3:$A$5001,_xlfn.MAXIFS(BD!$A$3:$A$5001,BD!$B$3:$B$5001,F$149,BD!$A$3:$A$5001,"&gt;="&amp;$C$7,BD!$A$3:$A$5001,"&lt;="&amp;$B167,BD!$M$3:$M$5001,"&lt;&gt;"))))</f>
        <v/>
      </c>
      <c r="G167" s="43" t="str">
        <f>IF(OR($B167="",$A167&gt;$B$9,G$149=""),"",IF(COUNTIFS(BD!$B$3:$B$5001,G$149,BD!$A$3:$A$5001,"&gt;="&amp;$C$7,BD!$A$3:$A$5001,"&lt;="&amp;$B167,BD!$M$3:$M$5001,"&lt;&gt;")=0,"",SUMIFS(BD!$M$3:$M$5001,BD!$B$3:$B$5001,G$149,BD!$A$3:$A$5001,_xlfn.MAXIFS(BD!$A$3:$A$5001,BD!$B$3:$B$5001,G$149,BD!$A$3:$A$5001,"&gt;="&amp;$C$7,BD!$A$3:$A$5001,"&lt;="&amp;$B167,BD!$M$3:$M$5001,"&lt;&gt;"))))</f>
        <v/>
      </c>
      <c r="H167" s="43" t="str">
        <f>IF(OR($B167="",$A167&gt;$B$9,H$149=""),"",IF(COUNTIFS(BD!$B$3:$B$5001,H$149,BD!$A$3:$A$5001,"&gt;="&amp;$C$7,BD!$A$3:$A$5001,"&lt;="&amp;$B167,BD!$M$3:$M$5001,"&lt;&gt;")=0,"",SUMIFS(BD!$M$3:$M$5001,BD!$B$3:$B$5001,H$149,BD!$A$3:$A$5001,_xlfn.MAXIFS(BD!$A$3:$A$5001,BD!$B$3:$B$5001,H$149,BD!$A$3:$A$5001,"&gt;="&amp;$C$7,BD!$A$3:$A$5001,"&lt;="&amp;$B167,BD!$M$3:$M$5001,"&lt;&gt;"))))</f>
        <v/>
      </c>
      <c r="I167" s="43" t="str">
        <f>IF(OR($B167="",$A167&gt;$B$9,I$149=""),"",IF(COUNTIFS(BD!$B$3:$B$5001,I$149,BD!$A$3:$A$5001,"&gt;="&amp;$C$7,BD!$A$3:$A$5001,"&lt;="&amp;$B167,BD!$M$3:$M$5001,"&lt;&gt;")=0,"",SUMIFS(BD!$M$3:$M$5001,BD!$B$3:$B$5001,I$149,BD!$A$3:$A$5001,_xlfn.MAXIFS(BD!$A$3:$A$5001,BD!$B$3:$B$5001,I$149,BD!$A$3:$A$5001,"&gt;="&amp;$C$7,BD!$A$3:$A$5001,"&lt;="&amp;$B167,BD!$M$3:$M$5001,"&lt;&gt;"))))</f>
        <v/>
      </c>
      <c r="J167" s="43" t="str">
        <f>IF(OR($B167="",$A167&gt;$B$9,J$149=""),"",IF(COUNTIFS(BD!$B$3:$B$5001,J$149,BD!$A$3:$A$5001,"&gt;="&amp;$C$7,BD!$A$3:$A$5001,"&lt;="&amp;$B167,BD!$M$3:$M$5001,"&lt;&gt;")=0,"",SUMIFS(BD!$M$3:$M$5001,BD!$B$3:$B$5001,J$149,BD!$A$3:$A$5001,_xlfn.MAXIFS(BD!$A$3:$A$5001,BD!$B$3:$B$5001,J$149,BD!$A$3:$A$5001,"&gt;="&amp;$C$7,BD!$A$3:$A$5001,"&lt;="&amp;$B167,BD!$M$3:$M$5001,"&lt;&gt;"))))</f>
        <v/>
      </c>
      <c r="K167" s="43" t="str">
        <f>IF(OR($B167="",$A167&gt;$B$9,K$149=""),"",IF(COUNTIFS(BD!$B$3:$B$5001,K$149,BD!$A$3:$A$5001,"&gt;="&amp;$C$7,BD!$A$3:$A$5001,"&lt;="&amp;$B167,BD!$M$3:$M$5001,"&lt;&gt;")=0,"",SUMIFS(BD!$M$3:$M$5001,BD!$B$3:$B$5001,K$149,BD!$A$3:$A$5001,_xlfn.MAXIFS(BD!$A$3:$A$5001,BD!$B$3:$B$5001,K$149,BD!$A$3:$A$5001,"&gt;="&amp;$C$7,BD!$A$3:$A$5001,"&lt;="&amp;$B167,BD!$M$3:$M$5001,"&lt;&gt;"))))</f>
        <v/>
      </c>
      <c r="L167" s="43" t="str">
        <f>IF(OR($B167="",$A167&gt;$B$9,L$149=""),"",IF(COUNTIFS(BD!$B$3:$B$5001,L$149,BD!$A$3:$A$5001,"&gt;="&amp;$C$7,BD!$A$3:$A$5001,"&lt;="&amp;$B167,BD!$M$3:$M$5001,"&lt;&gt;")=0,"",SUMIFS(BD!$M$3:$M$5001,BD!$B$3:$B$5001,L$149,BD!$A$3:$A$5001,_xlfn.MAXIFS(BD!$A$3:$A$5001,BD!$B$3:$B$5001,L$149,BD!$A$3:$A$5001,"&gt;="&amp;$C$7,BD!$A$3:$A$5001,"&lt;="&amp;$B167,BD!$M$3:$M$5001,"&lt;&gt;"))))</f>
        <v/>
      </c>
      <c r="M167" s="43" t="str">
        <f>IF(OR($B167="",$A167&gt;$B$9,M$149=""),"",IF(COUNTIFS(BD!$B$3:$B$5001,M$149,BD!$A$3:$A$5001,"&gt;="&amp;$C$7,BD!$A$3:$A$5001,"&lt;="&amp;$B167,BD!$M$3:$M$5001,"&lt;&gt;")=0,"",SUMIFS(BD!$M$3:$M$5001,BD!$B$3:$B$5001,M$149,BD!$A$3:$A$5001,_xlfn.MAXIFS(BD!$A$3:$A$5001,BD!$B$3:$B$5001,M$149,BD!$A$3:$A$5001,"&gt;="&amp;$C$7,BD!$A$3:$A$5001,"&lt;="&amp;$B167,BD!$M$3:$M$5001,"&lt;&gt;"))))</f>
        <v/>
      </c>
      <c r="N167" s="43" t="str">
        <f>IF(OR($B167="",$A167&gt;$B$9,N$149=""),"",IF(COUNTIFS(BD!$B$3:$B$5001,N$149,BD!$A$3:$A$5001,"&gt;="&amp;$C$7,BD!$A$3:$A$5001,"&lt;="&amp;$B167,BD!$M$3:$M$5001,"&lt;&gt;")=0,"",SUMIFS(BD!$M$3:$M$5001,BD!$B$3:$B$5001,N$149,BD!$A$3:$A$5001,_xlfn.MAXIFS(BD!$A$3:$A$5001,BD!$B$3:$B$5001,N$149,BD!$A$3:$A$5001,"&gt;="&amp;$C$7,BD!$A$3:$A$5001,"&lt;="&amp;$B167,BD!$M$3:$M$5001,"&lt;&gt;"))))</f>
        <v/>
      </c>
      <c r="O167" s="43" t="str">
        <f>IF(OR($B167="",$A167&gt;$B$9,O$149=""),"",IF(COUNTIFS(BD!$B$3:$B$5001,O$149,BD!$A$3:$A$5001,"&gt;="&amp;$C$7,BD!$A$3:$A$5001,"&lt;="&amp;$B167,BD!$M$3:$M$5001,"&lt;&gt;")=0,"",SUMIFS(BD!$M$3:$M$5001,BD!$B$3:$B$5001,O$149,BD!$A$3:$A$5001,_xlfn.MAXIFS(BD!$A$3:$A$5001,BD!$B$3:$B$5001,O$149,BD!$A$3:$A$5001,"&gt;="&amp;$C$7,BD!$A$3:$A$5001,"&lt;="&amp;$B167,BD!$M$3:$M$5001,"&lt;&gt;"))))</f>
        <v/>
      </c>
      <c r="P167" s="43" t="str">
        <f>IF(OR($B167="",$A167&gt;$B$9,P$149=""),"",IF(COUNTIFS(BD!$B$3:$B$5001,P$149,BD!$A$3:$A$5001,"&gt;="&amp;$C$7,BD!$A$3:$A$5001,"&lt;="&amp;$B167,BD!$M$3:$M$5001,"&lt;&gt;")=0,"",SUMIFS(BD!$M$3:$M$5001,BD!$B$3:$B$5001,P$149,BD!$A$3:$A$5001,_xlfn.MAXIFS(BD!$A$3:$A$5001,BD!$B$3:$B$5001,P$149,BD!$A$3:$A$5001,"&gt;="&amp;$C$7,BD!$A$3:$A$5001,"&lt;="&amp;$B167,BD!$M$3:$M$5001,"&lt;&gt;"))))</f>
        <v/>
      </c>
      <c r="Q167" s="43" t="str">
        <f>IF(OR($B167="",$A167&gt;$B$9,Q$149=""),"",IF(COUNTIFS(BD!$B$3:$B$5001,Q$149,BD!$A$3:$A$5001,"&gt;="&amp;$C$7,BD!$A$3:$A$5001,"&lt;="&amp;$B167,BD!$M$3:$M$5001,"&lt;&gt;")=0,"",SUMIFS(BD!$M$3:$M$5001,BD!$B$3:$B$5001,Q$149,BD!$A$3:$A$5001,_xlfn.MAXIFS(BD!$A$3:$A$5001,BD!$B$3:$B$5001,Q$149,BD!$A$3:$A$5001,"&gt;="&amp;$C$7,BD!$A$3:$A$5001,"&lt;="&amp;$B167,BD!$M$3:$M$5001,"&lt;&gt;"))))</f>
        <v/>
      </c>
      <c r="R167" s="43" t="str">
        <f>IF(OR($B167="",$A167&gt;$B$9,R$149=""),"",IF(COUNTIFS(BD!$B$3:$B$5001,R$149,BD!$A$3:$A$5001,"&gt;="&amp;$C$7,BD!$A$3:$A$5001,"&lt;="&amp;$B167,BD!$M$3:$M$5001,"&lt;&gt;")=0,"",SUMIFS(BD!$M$3:$M$5001,BD!$B$3:$B$5001,R$149,BD!$A$3:$A$5001,_xlfn.MAXIFS(BD!$A$3:$A$5001,BD!$B$3:$B$5001,R$149,BD!$A$3:$A$5001,"&gt;="&amp;$C$7,BD!$A$3:$A$5001,"&lt;="&amp;$B167,BD!$M$3:$M$5001,"&lt;&gt;"))))</f>
        <v/>
      </c>
      <c r="S167" s="43" t="str">
        <f>IF(OR($B167="",$A167&gt;$B$9,S$149=""),"",IF(COUNTIFS(BD!$B$3:$B$5001,S$149,BD!$A$3:$A$5001,"&gt;="&amp;$C$7,BD!$A$3:$A$5001,"&lt;="&amp;$B167,BD!$M$3:$M$5001,"&lt;&gt;")=0,"",SUMIFS(BD!$M$3:$M$5001,BD!$B$3:$B$5001,S$149,BD!$A$3:$A$5001,_xlfn.MAXIFS(BD!$A$3:$A$5001,BD!$B$3:$B$5001,S$149,BD!$A$3:$A$5001,"&gt;="&amp;$C$7,BD!$A$3:$A$5001,"&lt;="&amp;$B167,BD!$M$3:$M$5001,"&lt;&gt;"))))</f>
        <v/>
      </c>
      <c r="T167" s="43" t="str">
        <f>IF(OR($B167="",$A167&gt;$B$9,T$149=""),"",IF(COUNTIFS(BD!$B$3:$B$5001,T$149,BD!$A$3:$A$5001,"&gt;="&amp;$C$7,BD!$A$3:$A$5001,"&lt;="&amp;$B167,BD!$M$3:$M$5001,"&lt;&gt;")=0,"",SUMIFS(BD!$M$3:$M$5001,BD!$B$3:$B$5001,T$149,BD!$A$3:$A$5001,_xlfn.MAXIFS(BD!$A$3:$A$5001,BD!$B$3:$B$5001,T$149,BD!$A$3:$A$5001,"&gt;="&amp;$C$7,BD!$A$3:$A$5001,"&lt;="&amp;$B167,BD!$M$3:$M$5001,"&lt;&gt;"))))</f>
        <v/>
      </c>
      <c r="U167" s="43" t="str">
        <f>IF(OR($B167="",$A167&gt;$B$9,U$149=""),"",IF(COUNTIFS(BD!$B$3:$B$5001,U$149,BD!$A$3:$A$5001,"&gt;="&amp;$C$7,BD!$A$3:$A$5001,"&lt;="&amp;$B167,BD!$M$3:$M$5001,"&lt;&gt;")=0,"",SUMIFS(BD!$M$3:$M$5001,BD!$B$3:$B$5001,U$149,BD!$A$3:$A$5001,_xlfn.MAXIFS(BD!$A$3:$A$5001,BD!$B$3:$B$5001,U$149,BD!$A$3:$A$5001,"&gt;="&amp;$C$7,BD!$A$3:$A$5001,"&lt;="&amp;$B167,BD!$M$3:$M$5001,"&lt;&gt;"))))</f>
        <v/>
      </c>
      <c r="V167" s="43" t="str">
        <f>IF(OR($B167="",$A167&gt;$B$9,V$149=""),"",IF(COUNTIFS(BD!$B$3:$B$5001,V$149,BD!$A$3:$A$5001,"&gt;="&amp;$C$7,BD!$A$3:$A$5001,"&lt;="&amp;$B167,BD!$M$3:$M$5001,"&lt;&gt;")=0,"",SUMIFS(BD!$M$3:$M$5001,BD!$B$3:$B$5001,V$149,BD!$A$3:$A$5001,_xlfn.MAXIFS(BD!$A$3:$A$5001,BD!$B$3:$B$5001,V$149,BD!$A$3:$A$5001,"&gt;="&amp;$C$7,BD!$A$3:$A$5001,"&lt;="&amp;$B167,BD!$M$3:$M$5001,"&lt;&gt;"))))</f>
        <v/>
      </c>
    </row>
    <row r="168">
      <c r="A168" s="38">
        <v>19</v>
      </c>
      <c r="B168" s="42">
        <f>$B$30</f>
        <v>46314</v>
      </c>
      <c r="C168" s="43" t="str">
        <f>IF(OR($B168="",$A168&gt;$B$9,C$149=""),"",IF(COUNTIFS(BD!$B$3:$B$5001,C$149,BD!$A$3:$A$5001,"&gt;="&amp;$C$7,BD!$A$3:$A$5001,"&lt;="&amp;$B168,BD!$M$3:$M$5001,"&lt;&gt;")=0,"",SUMIFS(BD!$M$3:$M$5001,BD!$B$3:$B$5001,C$149,BD!$A$3:$A$5001,_xlfn.MAXIFS(BD!$A$3:$A$5001,BD!$B$3:$B$5001,C$149,BD!$A$3:$A$5001,"&gt;="&amp;$C$7,BD!$A$3:$A$5001,"&lt;="&amp;$B168,BD!$M$3:$M$5001,"&lt;&gt;"))))</f>
        <v/>
      </c>
      <c r="D168" s="43" t="str">
        <f>IF(OR($B168="",$A168&gt;$B$9,D$149=""),"",IF(COUNTIFS(BD!$B$3:$B$5001,D$149,BD!$A$3:$A$5001,"&gt;="&amp;$C$7,BD!$A$3:$A$5001,"&lt;="&amp;$B168,BD!$M$3:$M$5001,"&lt;&gt;")=0,"",SUMIFS(BD!$M$3:$M$5001,BD!$B$3:$B$5001,D$149,BD!$A$3:$A$5001,_xlfn.MAXIFS(BD!$A$3:$A$5001,BD!$B$3:$B$5001,D$149,BD!$A$3:$A$5001,"&gt;="&amp;$C$7,BD!$A$3:$A$5001,"&lt;="&amp;$B168,BD!$M$3:$M$5001,"&lt;&gt;"))))</f>
        <v/>
      </c>
      <c r="E168" s="43" t="str">
        <f>IF(OR($B168="",$A168&gt;$B$9,E$149=""),"",IF(COUNTIFS(BD!$B$3:$B$5001,E$149,BD!$A$3:$A$5001,"&gt;="&amp;$C$7,BD!$A$3:$A$5001,"&lt;="&amp;$B168,BD!$M$3:$M$5001,"&lt;&gt;")=0,"",SUMIFS(BD!$M$3:$M$5001,BD!$B$3:$B$5001,E$149,BD!$A$3:$A$5001,_xlfn.MAXIFS(BD!$A$3:$A$5001,BD!$B$3:$B$5001,E$149,BD!$A$3:$A$5001,"&gt;="&amp;$C$7,BD!$A$3:$A$5001,"&lt;="&amp;$B168,BD!$M$3:$M$5001,"&lt;&gt;"))))</f>
        <v/>
      </c>
      <c r="F168" s="43" t="str">
        <f>IF(OR($B168="",$A168&gt;$B$9,F$149=""),"",IF(COUNTIFS(BD!$B$3:$B$5001,F$149,BD!$A$3:$A$5001,"&gt;="&amp;$C$7,BD!$A$3:$A$5001,"&lt;="&amp;$B168,BD!$M$3:$M$5001,"&lt;&gt;")=0,"",SUMIFS(BD!$M$3:$M$5001,BD!$B$3:$B$5001,F$149,BD!$A$3:$A$5001,_xlfn.MAXIFS(BD!$A$3:$A$5001,BD!$B$3:$B$5001,F$149,BD!$A$3:$A$5001,"&gt;="&amp;$C$7,BD!$A$3:$A$5001,"&lt;="&amp;$B168,BD!$M$3:$M$5001,"&lt;&gt;"))))</f>
        <v/>
      </c>
      <c r="G168" s="43" t="str">
        <f>IF(OR($B168="",$A168&gt;$B$9,G$149=""),"",IF(COUNTIFS(BD!$B$3:$B$5001,G$149,BD!$A$3:$A$5001,"&gt;="&amp;$C$7,BD!$A$3:$A$5001,"&lt;="&amp;$B168,BD!$M$3:$M$5001,"&lt;&gt;")=0,"",SUMIFS(BD!$M$3:$M$5001,BD!$B$3:$B$5001,G$149,BD!$A$3:$A$5001,_xlfn.MAXIFS(BD!$A$3:$A$5001,BD!$B$3:$B$5001,G$149,BD!$A$3:$A$5001,"&gt;="&amp;$C$7,BD!$A$3:$A$5001,"&lt;="&amp;$B168,BD!$M$3:$M$5001,"&lt;&gt;"))))</f>
        <v/>
      </c>
      <c r="H168" s="43" t="str">
        <f>IF(OR($B168="",$A168&gt;$B$9,H$149=""),"",IF(COUNTIFS(BD!$B$3:$B$5001,H$149,BD!$A$3:$A$5001,"&gt;="&amp;$C$7,BD!$A$3:$A$5001,"&lt;="&amp;$B168,BD!$M$3:$M$5001,"&lt;&gt;")=0,"",SUMIFS(BD!$M$3:$M$5001,BD!$B$3:$B$5001,H$149,BD!$A$3:$A$5001,_xlfn.MAXIFS(BD!$A$3:$A$5001,BD!$B$3:$B$5001,H$149,BD!$A$3:$A$5001,"&gt;="&amp;$C$7,BD!$A$3:$A$5001,"&lt;="&amp;$B168,BD!$M$3:$M$5001,"&lt;&gt;"))))</f>
        <v/>
      </c>
      <c r="I168" s="43" t="str">
        <f>IF(OR($B168="",$A168&gt;$B$9,I$149=""),"",IF(COUNTIFS(BD!$B$3:$B$5001,I$149,BD!$A$3:$A$5001,"&gt;="&amp;$C$7,BD!$A$3:$A$5001,"&lt;="&amp;$B168,BD!$M$3:$M$5001,"&lt;&gt;")=0,"",SUMIFS(BD!$M$3:$M$5001,BD!$B$3:$B$5001,I$149,BD!$A$3:$A$5001,_xlfn.MAXIFS(BD!$A$3:$A$5001,BD!$B$3:$B$5001,I$149,BD!$A$3:$A$5001,"&gt;="&amp;$C$7,BD!$A$3:$A$5001,"&lt;="&amp;$B168,BD!$M$3:$M$5001,"&lt;&gt;"))))</f>
        <v/>
      </c>
      <c r="J168" s="43" t="str">
        <f>IF(OR($B168="",$A168&gt;$B$9,J$149=""),"",IF(COUNTIFS(BD!$B$3:$B$5001,J$149,BD!$A$3:$A$5001,"&gt;="&amp;$C$7,BD!$A$3:$A$5001,"&lt;="&amp;$B168,BD!$M$3:$M$5001,"&lt;&gt;")=0,"",SUMIFS(BD!$M$3:$M$5001,BD!$B$3:$B$5001,J$149,BD!$A$3:$A$5001,_xlfn.MAXIFS(BD!$A$3:$A$5001,BD!$B$3:$B$5001,J$149,BD!$A$3:$A$5001,"&gt;="&amp;$C$7,BD!$A$3:$A$5001,"&lt;="&amp;$B168,BD!$M$3:$M$5001,"&lt;&gt;"))))</f>
        <v/>
      </c>
      <c r="K168" s="43" t="str">
        <f>IF(OR($B168="",$A168&gt;$B$9,K$149=""),"",IF(COUNTIFS(BD!$B$3:$B$5001,K$149,BD!$A$3:$A$5001,"&gt;="&amp;$C$7,BD!$A$3:$A$5001,"&lt;="&amp;$B168,BD!$M$3:$M$5001,"&lt;&gt;")=0,"",SUMIFS(BD!$M$3:$M$5001,BD!$B$3:$B$5001,K$149,BD!$A$3:$A$5001,_xlfn.MAXIFS(BD!$A$3:$A$5001,BD!$B$3:$B$5001,K$149,BD!$A$3:$A$5001,"&gt;="&amp;$C$7,BD!$A$3:$A$5001,"&lt;="&amp;$B168,BD!$M$3:$M$5001,"&lt;&gt;"))))</f>
        <v/>
      </c>
      <c r="L168" s="43" t="str">
        <f>IF(OR($B168="",$A168&gt;$B$9,L$149=""),"",IF(COUNTIFS(BD!$B$3:$B$5001,L$149,BD!$A$3:$A$5001,"&gt;="&amp;$C$7,BD!$A$3:$A$5001,"&lt;="&amp;$B168,BD!$M$3:$M$5001,"&lt;&gt;")=0,"",SUMIFS(BD!$M$3:$M$5001,BD!$B$3:$B$5001,L$149,BD!$A$3:$A$5001,_xlfn.MAXIFS(BD!$A$3:$A$5001,BD!$B$3:$B$5001,L$149,BD!$A$3:$A$5001,"&gt;="&amp;$C$7,BD!$A$3:$A$5001,"&lt;="&amp;$B168,BD!$M$3:$M$5001,"&lt;&gt;"))))</f>
        <v/>
      </c>
      <c r="M168" s="43" t="str">
        <f>IF(OR($B168="",$A168&gt;$B$9,M$149=""),"",IF(COUNTIFS(BD!$B$3:$B$5001,M$149,BD!$A$3:$A$5001,"&gt;="&amp;$C$7,BD!$A$3:$A$5001,"&lt;="&amp;$B168,BD!$M$3:$M$5001,"&lt;&gt;")=0,"",SUMIFS(BD!$M$3:$M$5001,BD!$B$3:$B$5001,M$149,BD!$A$3:$A$5001,_xlfn.MAXIFS(BD!$A$3:$A$5001,BD!$B$3:$B$5001,M$149,BD!$A$3:$A$5001,"&gt;="&amp;$C$7,BD!$A$3:$A$5001,"&lt;="&amp;$B168,BD!$M$3:$M$5001,"&lt;&gt;"))))</f>
        <v/>
      </c>
      <c r="N168" s="43" t="str">
        <f>IF(OR($B168="",$A168&gt;$B$9,N$149=""),"",IF(COUNTIFS(BD!$B$3:$B$5001,N$149,BD!$A$3:$A$5001,"&gt;="&amp;$C$7,BD!$A$3:$A$5001,"&lt;="&amp;$B168,BD!$M$3:$M$5001,"&lt;&gt;")=0,"",SUMIFS(BD!$M$3:$M$5001,BD!$B$3:$B$5001,N$149,BD!$A$3:$A$5001,_xlfn.MAXIFS(BD!$A$3:$A$5001,BD!$B$3:$B$5001,N$149,BD!$A$3:$A$5001,"&gt;="&amp;$C$7,BD!$A$3:$A$5001,"&lt;="&amp;$B168,BD!$M$3:$M$5001,"&lt;&gt;"))))</f>
        <v/>
      </c>
      <c r="O168" s="43" t="str">
        <f>IF(OR($B168="",$A168&gt;$B$9,O$149=""),"",IF(COUNTIFS(BD!$B$3:$B$5001,O$149,BD!$A$3:$A$5001,"&gt;="&amp;$C$7,BD!$A$3:$A$5001,"&lt;="&amp;$B168,BD!$M$3:$M$5001,"&lt;&gt;")=0,"",SUMIFS(BD!$M$3:$M$5001,BD!$B$3:$B$5001,O$149,BD!$A$3:$A$5001,_xlfn.MAXIFS(BD!$A$3:$A$5001,BD!$B$3:$B$5001,O$149,BD!$A$3:$A$5001,"&gt;="&amp;$C$7,BD!$A$3:$A$5001,"&lt;="&amp;$B168,BD!$M$3:$M$5001,"&lt;&gt;"))))</f>
        <v/>
      </c>
      <c r="P168" s="43" t="str">
        <f>IF(OR($B168="",$A168&gt;$B$9,P$149=""),"",IF(COUNTIFS(BD!$B$3:$B$5001,P$149,BD!$A$3:$A$5001,"&gt;="&amp;$C$7,BD!$A$3:$A$5001,"&lt;="&amp;$B168,BD!$M$3:$M$5001,"&lt;&gt;")=0,"",SUMIFS(BD!$M$3:$M$5001,BD!$B$3:$B$5001,P$149,BD!$A$3:$A$5001,_xlfn.MAXIFS(BD!$A$3:$A$5001,BD!$B$3:$B$5001,P$149,BD!$A$3:$A$5001,"&gt;="&amp;$C$7,BD!$A$3:$A$5001,"&lt;="&amp;$B168,BD!$M$3:$M$5001,"&lt;&gt;"))))</f>
        <v/>
      </c>
      <c r="Q168" s="43" t="str">
        <f>IF(OR($B168="",$A168&gt;$B$9,Q$149=""),"",IF(COUNTIFS(BD!$B$3:$B$5001,Q$149,BD!$A$3:$A$5001,"&gt;="&amp;$C$7,BD!$A$3:$A$5001,"&lt;="&amp;$B168,BD!$M$3:$M$5001,"&lt;&gt;")=0,"",SUMIFS(BD!$M$3:$M$5001,BD!$B$3:$B$5001,Q$149,BD!$A$3:$A$5001,_xlfn.MAXIFS(BD!$A$3:$A$5001,BD!$B$3:$B$5001,Q$149,BD!$A$3:$A$5001,"&gt;="&amp;$C$7,BD!$A$3:$A$5001,"&lt;="&amp;$B168,BD!$M$3:$M$5001,"&lt;&gt;"))))</f>
        <v/>
      </c>
      <c r="R168" s="43" t="str">
        <f>IF(OR($B168="",$A168&gt;$B$9,R$149=""),"",IF(COUNTIFS(BD!$B$3:$B$5001,R$149,BD!$A$3:$A$5001,"&gt;="&amp;$C$7,BD!$A$3:$A$5001,"&lt;="&amp;$B168,BD!$M$3:$M$5001,"&lt;&gt;")=0,"",SUMIFS(BD!$M$3:$M$5001,BD!$B$3:$B$5001,R$149,BD!$A$3:$A$5001,_xlfn.MAXIFS(BD!$A$3:$A$5001,BD!$B$3:$B$5001,R$149,BD!$A$3:$A$5001,"&gt;="&amp;$C$7,BD!$A$3:$A$5001,"&lt;="&amp;$B168,BD!$M$3:$M$5001,"&lt;&gt;"))))</f>
        <v/>
      </c>
      <c r="S168" s="43" t="str">
        <f>IF(OR($B168="",$A168&gt;$B$9,S$149=""),"",IF(COUNTIFS(BD!$B$3:$B$5001,S$149,BD!$A$3:$A$5001,"&gt;="&amp;$C$7,BD!$A$3:$A$5001,"&lt;="&amp;$B168,BD!$M$3:$M$5001,"&lt;&gt;")=0,"",SUMIFS(BD!$M$3:$M$5001,BD!$B$3:$B$5001,S$149,BD!$A$3:$A$5001,_xlfn.MAXIFS(BD!$A$3:$A$5001,BD!$B$3:$B$5001,S$149,BD!$A$3:$A$5001,"&gt;="&amp;$C$7,BD!$A$3:$A$5001,"&lt;="&amp;$B168,BD!$M$3:$M$5001,"&lt;&gt;"))))</f>
        <v/>
      </c>
      <c r="T168" s="43" t="str">
        <f>IF(OR($B168="",$A168&gt;$B$9,T$149=""),"",IF(COUNTIFS(BD!$B$3:$B$5001,T$149,BD!$A$3:$A$5001,"&gt;="&amp;$C$7,BD!$A$3:$A$5001,"&lt;="&amp;$B168,BD!$M$3:$M$5001,"&lt;&gt;")=0,"",SUMIFS(BD!$M$3:$M$5001,BD!$B$3:$B$5001,T$149,BD!$A$3:$A$5001,_xlfn.MAXIFS(BD!$A$3:$A$5001,BD!$B$3:$B$5001,T$149,BD!$A$3:$A$5001,"&gt;="&amp;$C$7,BD!$A$3:$A$5001,"&lt;="&amp;$B168,BD!$M$3:$M$5001,"&lt;&gt;"))))</f>
        <v/>
      </c>
      <c r="U168" s="43" t="str">
        <f>IF(OR($B168="",$A168&gt;$B$9,U$149=""),"",IF(COUNTIFS(BD!$B$3:$B$5001,U$149,BD!$A$3:$A$5001,"&gt;="&amp;$C$7,BD!$A$3:$A$5001,"&lt;="&amp;$B168,BD!$M$3:$M$5001,"&lt;&gt;")=0,"",SUMIFS(BD!$M$3:$M$5001,BD!$B$3:$B$5001,U$149,BD!$A$3:$A$5001,_xlfn.MAXIFS(BD!$A$3:$A$5001,BD!$B$3:$B$5001,U$149,BD!$A$3:$A$5001,"&gt;="&amp;$C$7,BD!$A$3:$A$5001,"&lt;="&amp;$B168,BD!$M$3:$M$5001,"&lt;&gt;"))))</f>
        <v/>
      </c>
      <c r="V168" s="43" t="str">
        <f>IF(OR($B168="",$A168&gt;$B$9,V$149=""),"",IF(COUNTIFS(BD!$B$3:$B$5001,V$149,BD!$A$3:$A$5001,"&gt;="&amp;$C$7,BD!$A$3:$A$5001,"&lt;="&amp;$B168,BD!$M$3:$M$5001,"&lt;&gt;")=0,"",SUMIFS(BD!$M$3:$M$5001,BD!$B$3:$B$5001,V$149,BD!$A$3:$A$5001,_xlfn.MAXIFS(BD!$A$3:$A$5001,BD!$B$3:$B$5001,V$149,BD!$A$3:$A$5001,"&gt;="&amp;$C$7,BD!$A$3:$A$5001,"&lt;="&amp;$B168,BD!$M$3:$M$5001,"&lt;&gt;"))))</f>
        <v/>
      </c>
    </row>
    <row r="169">
      <c r="A169" s="38">
        <v>20</v>
      </c>
      <c r="B169" s="42">
        <f>$B$31</f>
        <v>46315</v>
      </c>
      <c r="C169" s="43" t="str">
        <f>IF(OR($B169="",$A169&gt;$B$9,C$149=""),"",IF(COUNTIFS(BD!$B$3:$B$5001,C$149,BD!$A$3:$A$5001,"&gt;="&amp;$C$7,BD!$A$3:$A$5001,"&lt;="&amp;$B169,BD!$M$3:$M$5001,"&lt;&gt;")=0,"",SUMIFS(BD!$M$3:$M$5001,BD!$B$3:$B$5001,C$149,BD!$A$3:$A$5001,_xlfn.MAXIFS(BD!$A$3:$A$5001,BD!$B$3:$B$5001,C$149,BD!$A$3:$A$5001,"&gt;="&amp;$C$7,BD!$A$3:$A$5001,"&lt;="&amp;$B169,BD!$M$3:$M$5001,"&lt;&gt;"))))</f>
        <v/>
      </c>
      <c r="D169" s="43" t="str">
        <f>IF(OR($B169="",$A169&gt;$B$9,D$149=""),"",IF(COUNTIFS(BD!$B$3:$B$5001,D$149,BD!$A$3:$A$5001,"&gt;="&amp;$C$7,BD!$A$3:$A$5001,"&lt;="&amp;$B169,BD!$M$3:$M$5001,"&lt;&gt;")=0,"",SUMIFS(BD!$M$3:$M$5001,BD!$B$3:$B$5001,D$149,BD!$A$3:$A$5001,_xlfn.MAXIFS(BD!$A$3:$A$5001,BD!$B$3:$B$5001,D$149,BD!$A$3:$A$5001,"&gt;="&amp;$C$7,BD!$A$3:$A$5001,"&lt;="&amp;$B169,BD!$M$3:$M$5001,"&lt;&gt;"))))</f>
        <v/>
      </c>
      <c r="E169" s="43" t="str">
        <f>IF(OR($B169="",$A169&gt;$B$9,E$149=""),"",IF(COUNTIFS(BD!$B$3:$B$5001,E$149,BD!$A$3:$A$5001,"&gt;="&amp;$C$7,BD!$A$3:$A$5001,"&lt;="&amp;$B169,BD!$M$3:$M$5001,"&lt;&gt;")=0,"",SUMIFS(BD!$M$3:$M$5001,BD!$B$3:$B$5001,E$149,BD!$A$3:$A$5001,_xlfn.MAXIFS(BD!$A$3:$A$5001,BD!$B$3:$B$5001,E$149,BD!$A$3:$A$5001,"&gt;="&amp;$C$7,BD!$A$3:$A$5001,"&lt;="&amp;$B169,BD!$M$3:$M$5001,"&lt;&gt;"))))</f>
        <v/>
      </c>
      <c r="F169" s="43" t="str">
        <f>IF(OR($B169="",$A169&gt;$B$9,F$149=""),"",IF(COUNTIFS(BD!$B$3:$B$5001,F$149,BD!$A$3:$A$5001,"&gt;="&amp;$C$7,BD!$A$3:$A$5001,"&lt;="&amp;$B169,BD!$M$3:$M$5001,"&lt;&gt;")=0,"",SUMIFS(BD!$M$3:$M$5001,BD!$B$3:$B$5001,F$149,BD!$A$3:$A$5001,_xlfn.MAXIFS(BD!$A$3:$A$5001,BD!$B$3:$B$5001,F$149,BD!$A$3:$A$5001,"&gt;="&amp;$C$7,BD!$A$3:$A$5001,"&lt;="&amp;$B169,BD!$M$3:$M$5001,"&lt;&gt;"))))</f>
        <v/>
      </c>
      <c r="G169" s="43" t="str">
        <f>IF(OR($B169="",$A169&gt;$B$9,G$149=""),"",IF(COUNTIFS(BD!$B$3:$B$5001,G$149,BD!$A$3:$A$5001,"&gt;="&amp;$C$7,BD!$A$3:$A$5001,"&lt;="&amp;$B169,BD!$M$3:$M$5001,"&lt;&gt;")=0,"",SUMIFS(BD!$M$3:$M$5001,BD!$B$3:$B$5001,G$149,BD!$A$3:$A$5001,_xlfn.MAXIFS(BD!$A$3:$A$5001,BD!$B$3:$B$5001,G$149,BD!$A$3:$A$5001,"&gt;="&amp;$C$7,BD!$A$3:$A$5001,"&lt;="&amp;$B169,BD!$M$3:$M$5001,"&lt;&gt;"))))</f>
        <v/>
      </c>
      <c r="H169" s="43" t="str">
        <f>IF(OR($B169="",$A169&gt;$B$9,H$149=""),"",IF(COUNTIFS(BD!$B$3:$B$5001,H$149,BD!$A$3:$A$5001,"&gt;="&amp;$C$7,BD!$A$3:$A$5001,"&lt;="&amp;$B169,BD!$M$3:$M$5001,"&lt;&gt;")=0,"",SUMIFS(BD!$M$3:$M$5001,BD!$B$3:$B$5001,H$149,BD!$A$3:$A$5001,_xlfn.MAXIFS(BD!$A$3:$A$5001,BD!$B$3:$B$5001,H$149,BD!$A$3:$A$5001,"&gt;="&amp;$C$7,BD!$A$3:$A$5001,"&lt;="&amp;$B169,BD!$M$3:$M$5001,"&lt;&gt;"))))</f>
        <v/>
      </c>
      <c r="I169" s="43" t="str">
        <f>IF(OR($B169="",$A169&gt;$B$9,I$149=""),"",IF(COUNTIFS(BD!$B$3:$B$5001,I$149,BD!$A$3:$A$5001,"&gt;="&amp;$C$7,BD!$A$3:$A$5001,"&lt;="&amp;$B169,BD!$M$3:$M$5001,"&lt;&gt;")=0,"",SUMIFS(BD!$M$3:$M$5001,BD!$B$3:$B$5001,I$149,BD!$A$3:$A$5001,_xlfn.MAXIFS(BD!$A$3:$A$5001,BD!$B$3:$B$5001,I$149,BD!$A$3:$A$5001,"&gt;="&amp;$C$7,BD!$A$3:$A$5001,"&lt;="&amp;$B169,BD!$M$3:$M$5001,"&lt;&gt;"))))</f>
        <v/>
      </c>
      <c r="J169" s="43" t="str">
        <f>IF(OR($B169="",$A169&gt;$B$9,J$149=""),"",IF(COUNTIFS(BD!$B$3:$B$5001,J$149,BD!$A$3:$A$5001,"&gt;="&amp;$C$7,BD!$A$3:$A$5001,"&lt;="&amp;$B169,BD!$M$3:$M$5001,"&lt;&gt;")=0,"",SUMIFS(BD!$M$3:$M$5001,BD!$B$3:$B$5001,J$149,BD!$A$3:$A$5001,_xlfn.MAXIFS(BD!$A$3:$A$5001,BD!$B$3:$B$5001,J$149,BD!$A$3:$A$5001,"&gt;="&amp;$C$7,BD!$A$3:$A$5001,"&lt;="&amp;$B169,BD!$M$3:$M$5001,"&lt;&gt;"))))</f>
        <v/>
      </c>
      <c r="K169" s="43" t="str">
        <f>IF(OR($B169="",$A169&gt;$B$9,K$149=""),"",IF(COUNTIFS(BD!$B$3:$B$5001,K$149,BD!$A$3:$A$5001,"&gt;="&amp;$C$7,BD!$A$3:$A$5001,"&lt;="&amp;$B169,BD!$M$3:$M$5001,"&lt;&gt;")=0,"",SUMIFS(BD!$M$3:$M$5001,BD!$B$3:$B$5001,K$149,BD!$A$3:$A$5001,_xlfn.MAXIFS(BD!$A$3:$A$5001,BD!$B$3:$B$5001,K$149,BD!$A$3:$A$5001,"&gt;="&amp;$C$7,BD!$A$3:$A$5001,"&lt;="&amp;$B169,BD!$M$3:$M$5001,"&lt;&gt;"))))</f>
        <v/>
      </c>
      <c r="L169" s="43" t="str">
        <f>IF(OR($B169="",$A169&gt;$B$9,L$149=""),"",IF(COUNTIFS(BD!$B$3:$B$5001,L$149,BD!$A$3:$A$5001,"&gt;="&amp;$C$7,BD!$A$3:$A$5001,"&lt;="&amp;$B169,BD!$M$3:$M$5001,"&lt;&gt;")=0,"",SUMIFS(BD!$M$3:$M$5001,BD!$B$3:$B$5001,L$149,BD!$A$3:$A$5001,_xlfn.MAXIFS(BD!$A$3:$A$5001,BD!$B$3:$B$5001,L$149,BD!$A$3:$A$5001,"&gt;="&amp;$C$7,BD!$A$3:$A$5001,"&lt;="&amp;$B169,BD!$M$3:$M$5001,"&lt;&gt;"))))</f>
        <v/>
      </c>
      <c r="M169" s="43" t="str">
        <f>IF(OR($B169="",$A169&gt;$B$9,M$149=""),"",IF(COUNTIFS(BD!$B$3:$B$5001,M$149,BD!$A$3:$A$5001,"&gt;="&amp;$C$7,BD!$A$3:$A$5001,"&lt;="&amp;$B169,BD!$M$3:$M$5001,"&lt;&gt;")=0,"",SUMIFS(BD!$M$3:$M$5001,BD!$B$3:$B$5001,M$149,BD!$A$3:$A$5001,_xlfn.MAXIFS(BD!$A$3:$A$5001,BD!$B$3:$B$5001,M$149,BD!$A$3:$A$5001,"&gt;="&amp;$C$7,BD!$A$3:$A$5001,"&lt;="&amp;$B169,BD!$M$3:$M$5001,"&lt;&gt;"))))</f>
        <v/>
      </c>
      <c r="N169" s="43" t="str">
        <f>IF(OR($B169="",$A169&gt;$B$9,N$149=""),"",IF(COUNTIFS(BD!$B$3:$B$5001,N$149,BD!$A$3:$A$5001,"&gt;="&amp;$C$7,BD!$A$3:$A$5001,"&lt;="&amp;$B169,BD!$M$3:$M$5001,"&lt;&gt;")=0,"",SUMIFS(BD!$M$3:$M$5001,BD!$B$3:$B$5001,N$149,BD!$A$3:$A$5001,_xlfn.MAXIFS(BD!$A$3:$A$5001,BD!$B$3:$B$5001,N$149,BD!$A$3:$A$5001,"&gt;="&amp;$C$7,BD!$A$3:$A$5001,"&lt;="&amp;$B169,BD!$M$3:$M$5001,"&lt;&gt;"))))</f>
        <v/>
      </c>
      <c r="O169" s="43" t="str">
        <f>IF(OR($B169="",$A169&gt;$B$9,O$149=""),"",IF(COUNTIFS(BD!$B$3:$B$5001,O$149,BD!$A$3:$A$5001,"&gt;="&amp;$C$7,BD!$A$3:$A$5001,"&lt;="&amp;$B169,BD!$M$3:$M$5001,"&lt;&gt;")=0,"",SUMIFS(BD!$M$3:$M$5001,BD!$B$3:$B$5001,O$149,BD!$A$3:$A$5001,_xlfn.MAXIFS(BD!$A$3:$A$5001,BD!$B$3:$B$5001,O$149,BD!$A$3:$A$5001,"&gt;="&amp;$C$7,BD!$A$3:$A$5001,"&lt;="&amp;$B169,BD!$M$3:$M$5001,"&lt;&gt;"))))</f>
        <v/>
      </c>
      <c r="P169" s="43" t="str">
        <f>IF(OR($B169="",$A169&gt;$B$9,P$149=""),"",IF(COUNTIFS(BD!$B$3:$B$5001,P$149,BD!$A$3:$A$5001,"&gt;="&amp;$C$7,BD!$A$3:$A$5001,"&lt;="&amp;$B169,BD!$M$3:$M$5001,"&lt;&gt;")=0,"",SUMIFS(BD!$M$3:$M$5001,BD!$B$3:$B$5001,P$149,BD!$A$3:$A$5001,_xlfn.MAXIFS(BD!$A$3:$A$5001,BD!$B$3:$B$5001,P$149,BD!$A$3:$A$5001,"&gt;="&amp;$C$7,BD!$A$3:$A$5001,"&lt;="&amp;$B169,BD!$M$3:$M$5001,"&lt;&gt;"))))</f>
        <v/>
      </c>
      <c r="Q169" s="43" t="str">
        <f>IF(OR($B169="",$A169&gt;$B$9,Q$149=""),"",IF(COUNTIFS(BD!$B$3:$B$5001,Q$149,BD!$A$3:$A$5001,"&gt;="&amp;$C$7,BD!$A$3:$A$5001,"&lt;="&amp;$B169,BD!$M$3:$M$5001,"&lt;&gt;")=0,"",SUMIFS(BD!$M$3:$M$5001,BD!$B$3:$B$5001,Q$149,BD!$A$3:$A$5001,_xlfn.MAXIFS(BD!$A$3:$A$5001,BD!$B$3:$B$5001,Q$149,BD!$A$3:$A$5001,"&gt;="&amp;$C$7,BD!$A$3:$A$5001,"&lt;="&amp;$B169,BD!$M$3:$M$5001,"&lt;&gt;"))))</f>
        <v/>
      </c>
      <c r="R169" s="43" t="str">
        <f>IF(OR($B169="",$A169&gt;$B$9,R$149=""),"",IF(COUNTIFS(BD!$B$3:$B$5001,R$149,BD!$A$3:$A$5001,"&gt;="&amp;$C$7,BD!$A$3:$A$5001,"&lt;="&amp;$B169,BD!$M$3:$M$5001,"&lt;&gt;")=0,"",SUMIFS(BD!$M$3:$M$5001,BD!$B$3:$B$5001,R$149,BD!$A$3:$A$5001,_xlfn.MAXIFS(BD!$A$3:$A$5001,BD!$B$3:$B$5001,R$149,BD!$A$3:$A$5001,"&gt;="&amp;$C$7,BD!$A$3:$A$5001,"&lt;="&amp;$B169,BD!$M$3:$M$5001,"&lt;&gt;"))))</f>
        <v/>
      </c>
      <c r="S169" s="43" t="str">
        <f>IF(OR($B169="",$A169&gt;$B$9,S$149=""),"",IF(COUNTIFS(BD!$B$3:$B$5001,S$149,BD!$A$3:$A$5001,"&gt;="&amp;$C$7,BD!$A$3:$A$5001,"&lt;="&amp;$B169,BD!$M$3:$M$5001,"&lt;&gt;")=0,"",SUMIFS(BD!$M$3:$M$5001,BD!$B$3:$B$5001,S$149,BD!$A$3:$A$5001,_xlfn.MAXIFS(BD!$A$3:$A$5001,BD!$B$3:$B$5001,S$149,BD!$A$3:$A$5001,"&gt;="&amp;$C$7,BD!$A$3:$A$5001,"&lt;="&amp;$B169,BD!$M$3:$M$5001,"&lt;&gt;"))))</f>
        <v/>
      </c>
      <c r="T169" s="43" t="str">
        <f>IF(OR($B169="",$A169&gt;$B$9,T$149=""),"",IF(COUNTIFS(BD!$B$3:$B$5001,T$149,BD!$A$3:$A$5001,"&gt;="&amp;$C$7,BD!$A$3:$A$5001,"&lt;="&amp;$B169,BD!$M$3:$M$5001,"&lt;&gt;")=0,"",SUMIFS(BD!$M$3:$M$5001,BD!$B$3:$B$5001,T$149,BD!$A$3:$A$5001,_xlfn.MAXIFS(BD!$A$3:$A$5001,BD!$B$3:$B$5001,T$149,BD!$A$3:$A$5001,"&gt;="&amp;$C$7,BD!$A$3:$A$5001,"&lt;="&amp;$B169,BD!$M$3:$M$5001,"&lt;&gt;"))))</f>
        <v/>
      </c>
      <c r="U169" s="43" t="str">
        <f>IF(OR($B169="",$A169&gt;$B$9,U$149=""),"",IF(COUNTIFS(BD!$B$3:$B$5001,U$149,BD!$A$3:$A$5001,"&gt;="&amp;$C$7,BD!$A$3:$A$5001,"&lt;="&amp;$B169,BD!$M$3:$M$5001,"&lt;&gt;")=0,"",SUMIFS(BD!$M$3:$M$5001,BD!$B$3:$B$5001,U$149,BD!$A$3:$A$5001,_xlfn.MAXIFS(BD!$A$3:$A$5001,BD!$B$3:$B$5001,U$149,BD!$A$3:$A$5001,"&gt;="&amp;$C$7,BD!$A$3:$A$5001,"&lt;="&amp;$B169,BD!$M$3:$M$5001,"&lt;&gt;"))))</f>
        <v/>
      </c>
      <c r="V169" s="43" t="str">
        <f>IF(OR($B169="",$A169&gt;$B$9,V$149=""),"",IF(COUNTIFS(BD!$B$3:$B$5001,V$149,BD!$A$3:$A$5001,"&gt;="&amp;$C$7,BD!$A$3:$A$5001,"&lt;="&amp;$B169,BD!$M$3:$M$5001,"&lt;&gt;")=0,"",SUMIFS(BD!$M$3:$M$5001,BD!$B$3:$B$5001,V$149,BD!$A$3:$A$5001,_xlfn.MAXIFS(BD!$A$3:$A$5001,BD!$B$3:$B$5001,V$149,BD!$A$3:$A$5001,"&gt;="&amp;$C$7,BD!$A$3:$A$5001,"&lt;="&amp;$B169,BD!$M$3:$M$5001,"&lt;&gt;"))))</f>
        <v/>
      </c>
    </row>
    <row r="170">
      <c r="A170" s="38">
        <v>21</v>
      </c>
      <c r="B170" s="42">
        <f>$B$32</f>
        <v>46316</v>
      </c>
      <c r="C170" s="43" t="str">
        <f>IF(OR($B170="",$A170&gt;$B$9,C$149=""),"",IF(COUNTIFS(BD!$B$3:$B$5001,C$149,BD!$A$3:$A$5001,"&gt;="&amp;$C$7,BD!$A$3:$A$5001,"&lt;="&amp;$B170,BD!$M$3:$M$5001,"&lt;&gt;")=0,"",SUMIFS(BD!$M$3:$M$5001,BD!$B$3:$B$5001,C$149,BD!$A$3:$A$5001,_xlfn.MAXIFS(BD!$A$3:$A$5001,BD!$B$3:$B$5001,C$149,BD!$A$3:$A$5001,"&gt;="&amp;$C$7,BD!$A$3:$A$5001,"&lt;="&amp;$B170,BD!$M$3:$M$5001,"&lt;&gt;"))))</f>
        <v/>
      </c>
      <c r="D170" s="43" t="str">
        <f>IF(OR($B170="",$A170&gt;$B$9,D$149=""),"",IF(COUNTIFS(BD!$B$3:$B$5001,D$149,BD!$A$3:$A$5001,"&gt;="&amp;$C$7,BD!$A$3:$A$5001,"&lt;="&amp;$B170,BD!$M$3:$M$5001,"&lt;&gt;")=0,"",SUMIFS(BD!$M$3:$M$5001,BD!$B$3:$B$5001,D$149,BD!$A$3:$A$5001,_xlfn.MAXIFS(BD!$A$3:$A$5001,BD!$B$3:$B$5001,D$149,BD!$A$3:$A$5001,"&gt;="&amp;$C$7,BD!$A$3:$A$5001,"&lt;="&amp;$B170,BD!$M$3:$M$5001,"&lt;&gt;"))))</f>
        <v/>
      </c>
      <c r="E170" s="43" t="str">
        <f>IF(OR($B170="",$A170&gt;$B$9,E$149=""),"",IF(COUNTIFS(BD!$B$3:$B$5001,E$149,BD!$A$3:$A$5001,"&gt;="&amp;$C$7,BD!$A$3:$A$5001,"&lt;="&amp;$B170,BD!$M$3:$M$5001,"&lt;&gt;")=0,"",SUMIFS(BD!$M$3:$M$5001,BD!$B$3:$B$5001,E$149,BD!$A$3:$A$5001,_xlfn.MAXIFS(BD!$A$3:$A$5001,BD!$B$3:$B$5001,E$149,BD!$A$3:$A$5001,"&gt;="&amp;$C$7,BD!$A$3:$A$5001,"&lt;="&amp;$B170,BD!$M$3:$M$5001,"&lt;&gt;"))))</f>
        <v/>
      </c>
      <c r="F170" s="43" t="str">
        <f>IF(OR($B170="",$A170&gt;$B$9,F$149=""),"",IF(COUNTIFS(BD!$B$3:$B$5001,F$149,BD!$A$3:$A$5001,"&gt;="&amp;$C$7,BD!$A$3:$A$5001,"&lt;="&amp;$B170,BD!$M$3:$M$5001,"&lt;&gt;")=0,"",SUMIFS(BD!$M$3:$M$5001,BD!$B$3:$B$5001,F$149,BD!$A$3:$A$5001,_xlfn.MAXIFS(BD!$A$3:$A$5001,BD!$B$3:$B$5001,F$149,BD!$A$3:$A$5001,"&gt;="&amp;$C$7,BD!$A$3:$A$5001,"&lt;="&amp;$B170,BD!$M$3:$M$5001,"&lt;&gt;"))))</f>
        <v/>
      </c>
      <c r="G170" s="43" t="str">
        <f>IF(OR($B170="",$A170&gt;$B$9,G$149=""),"",IF(COUNTIFS(BD!$B$3:$B$5001,G$149,BD!$A$3:$A$5001,"&gt;="&amp;$C$7,BD!$A$3:$A$5001,"&lt;="&amp;$B170,BD!$M$3:$M$5001,"&lt;&gt;")=0,"",SUMIFS(BD!$M$3:$M$5001,BD!$B$3:$B$5001,G$149,BD!$A$3:$A$5001,_xlfn.MAXIFS(BD!$A$3:$A$5001,BD!$B$3:$B$5001,G$149,BD!$A$3:$A$5001,"&gt;="&amp;$C$7,BD!$A$3:$A$5001,"&lt;="&amp;$B170,BD!$M$3:$M$5001,"&lt;&gt;"))))</f>
        <v/>
      </c>
      <c r="H170" s="43" t="str">
        <f>IF(OR($B170="",$A170&gt;$B$9,H$149=""),"",IF(COUNTIFS(BD!$B$3:$B$5001,H$149,BD!$A$3:$A$5001,"&gt;="&amp;$C$7,BD!$A$3:$A$5001,"&lt;="&amp;$B170,BD!$M$3:$M$5001,"&lt;&gt;")=0,"",SUMIFS(BD!$M$3:$M$5001,BD!$B$3:$B$5001,H$149,BD!$A$3:$A$5001,_xlfn.MAXIFS(BD!$A$3:$A$5001,BD!$B$3:$B$5001,H$149,BD!$A$3:$A$5001,"&gt;="&amp;$C$7,BD!$A$3:$A$5001,"&lt;="&amp;$B170,BD!$M$3:$M$5001,"&lt;&gt;"))))</f>
        <v/>
      </c>
      <c r="I170" s="43" t="str">
        <f>IF(OR($B170="",$A170&gt;$B$9,I$149=""),"",IF(COUNTIFS(BD!$B$3:$B$5001,I$149,BD!$A$3:$A$5001,"&gt;="&amp;$C$7,BD!$A$3:$A$5001,"&lt;="&amp;$B170,BD!$M$3:$M$5001,"&lt;&gt;")=0,"",SUMIFS(BD!$M$3:$M$5001,BD!$B$3:$B$5001,I$149,BD!$A$3:$A$5001,_xlfn.MAXIFS(BD!$A$3:$A$5001,BD!$B$3:$B$5001,I$149,BD!$A$3:$A$5001,"&gt;="&amp;$C$7,BD!$A$3:$A$5001,"&lt;="&amp;$B170,BD!$M$3:$M$5001,"&lt;&gt;"))))</f>
        <v/>
      </c>
      <c r="J170" s="43" t="str">
        <f>IF(OR($B170="",$A170&gt;$B$9,J$149=""),"",IF(COUNTIFS(BD!$B$3:$B$5001,J$149,BD!$A$3:$A$5001,"&gt;="&amp;$C$7,BD!$A$3:$A$5001,"&lt;="&amp;$B170,BD!$M$3:$M$5001,"&lt;&gt;")=0,"",SUMIFS(BD!$M$3:$M$5001,BD!$B$3:$B$5001,J$149,BD!$A$3:$A$5001,_xlfn.MAXIFS(BD!$A$3:$A$5001,BD!$B$3:$B$5001,J$149,BD!$A$3:$A$5001,"&gt;="&amp;$C$7,BD!$A$3:$A$5001,"&lt;="&amp;$B170,BD!$M$3:$M$5001,"&lt;&gt;"))))</f>
        <v/>
      </c>
      <c r="K170" s="43" t="str">
        <f>IF(OR($B170="",$A170&gt;$B$9,K$149=""),"",IF(COUNTIFS(BD!$B$3:$B$5001,K$149,BD!$A$3:$A$5001,"&gt;="&amp;$C$7,BD!$A$3:$A$5001,"&lt;="&amp;$B170,BD!$M$3:$M$5001,"&lt;&gt;")=0,"",SUMIFS(BD!$M$3:$M$5001,BD!$B$3:$B$5001,K$149,BD!$A$3:$A$5001,_xlfn.MAXIFS(BD!$A$3:$A$5001,BD!$B$3:$B$5001,K$149,BD!$A$3:$A$5001,"&gt;="&amp;$C$7,BD!$A$3:$A$5001,"&lt;="&amp;$B170,BD!$M$3:$M$5001,"&lt;&gt;"))))</f>
        <v/>
      </c>
      <c r="L170" s="43" t="str">
        <f>IF(OR($B170="",$A170&gt;$B$9,L$149=""),"",IF(COUNTIFS(BD!$B$3:$B$5001,L$149,BD!$A$3:$A$5001,"&gt;="&amp;$C$7,BD!$A$3:$A$5001,"&lt;="&amp;$B170,BD!$M$3:$M$5001,"&lt;&gt;")=0,"",SUMIFS(BD!$M$3:$M$5001,BD!$B$3:$B$5001,L$149,BD!$A$3:$A$5001,_xlfn.MAXIFS(BD!$A$3:$A$5001,BD!$B$3:$B$5001,L$149,BD!$A$3:$A$5001,"&gt;="&amp;$C$7,BD!$A$3:$A$5001,"&lt;="&amp;$B170,BD!$M$3:$M$5001,"&lt;&gt;"))))</f>
        <v/>
      </c>
      <c r="M170" s="43" t="str">
        <f>IF(OR($B170="",$A170&gt;$B$9,M$149=""),"",IF(COUNTIFS(BD!$B$3:$B$5001,M$149,BD!$A$3:$A$5001,"&gt;="&amp;$C$7,BD!$A$3:$A$5001,"&lt;="&amp;$B170,BD!$M$3:$M$5001,"&lt;&gt;")=0,"",SUMIFS(BD!$M$3:$M$5001,BD!$B$3:$B$5001,M$149,BD!$A$3:$A$5001,_xlfn.MAXIFS(BD!$A$3:$A$5001,BD!$B$3:$B$5001,M$149,BD!$A$3:$A$5001,"&gt;="&amp;$C$7,BD!$A$3:$A$5001,"&lt;="&amp;$B170,BD!$M$3:$M$5001,"&lt;&gt;"))))</f>
        <v/>
      </c>
      <c r="N170" s="43" t="str">
        <f>IF(OR($B170="",$A170&gt;$B$9,N$149=""),"",IF(COUNTIFS(BD!$B$3:$B$5001,N$149,BD!$A$3:$A$5001,"&gt;="&amp;$C$7,BD!$A$3:$A$5001,"&lt;="&amp;$B170,BD!$M$3:$M$5001,"&lt;&gt;")=0,"",SUMIFS(BD!$M$3:$M$5001,BD!$B$3:$B$5001,N$149,BD!$A$3:$A$5001,_xlfn.MAXIFS(BD!$A$3:$A$5001,BD!$B$3:$B$5001,N$149,BD!$A$3:$A$5001,"&gt;="&amp;$C$7,BD!$A$3:$A$5001,"&lt;="&amp;$B170,BD!$M$3:$M$5001,"&lt;&gt;"))))</f>
        <v/>
      </c>
      <c r="O170" s="43" t="str">
        <f>IF(OR($B170="",$A170&gt;$B$9,O$149=""),"",IF(COUNTIFS(BD!$B$3:$B$5001,O$149,BD!$A$3:$A$5001,"&gt;="&amp;$C$7,BD!$A$3:$A$5001,"&lt;="&amp;$B170,BD!$M$3:$M$5001,"&lt;&gt;")=0,"",SUMIFS(BD!$M$3:$M$5001,BD!$B$3:$B$5001,O$149,BD!$A$3:$A$5001,_xlfn.MAXIFS(BD!$A$3:$A$5001,BD!$B$3:$B$5001,O$149,BD!$A$3:$A$5001,"&gt;="&amp;$C$7,BD!$A$3:$A$5001,"&lt;="&amp;$B170,BD!$M$3:$M$5001,"&lt;&gt;"))))</f>
        <v/>
      </c>
      <c r="P170" s="43" t="str">
        <f>IF(OR($B170="",$A170&gt;$B$9,P$149=""),"",IF(COUNTIFS(BD!$B$3:$B$5001,P$149,BD!$A$3:$A$5001,"&gt;="&amp;$C$7,BD!$A$3:$A$5001,"&lt;="&amp;$B170,BD!$M$3:$M$5001,"&lt;&gt;")=0,"",SUMIFS(BD!$M$3:$M$5001,BD!$B$3:$B$5001,P$149,BD!$A$3:$A$5001,_xlfn.MAXIFS(BD!$A$3:$A$5001,BD!$B$3:$B$5001,P$149,BD!$A$3:$A$5001,"&gt;="&amp;$C$7,BD!$A$3:$A$5001,"&lt;="&amp;$B170,BD!$M$3:$M$5001,"&lt;&gt;"))))</f>
        <v/>
      </c>
      <c r="Q170" s="43" t="str">
        <f>IF(OR($B170="",$A170&gt;$B$9,Q$149=""),"",IF(COUNTIFS(BD!$B$3:$B$5001,Q$149,BD!$A$3:$A$5001,"&gt;="&amp;$C$7,BD!$A$3:$A$5001,"&lt;="&amp;$B170,BD!$M$3:$M$5001,"&lt;&gt;")=0,"",SUMIFS(BD!$M$3:$M$5001,BD!$B$3:$B$5001,Q$149,BD!$A$3:$A$5001,_xlfn.MAXIFS(BD!$A$3:$A$5001,BD!$B$3:$B$5001,Q$149,BD!$A$3:$A$5001,"&gt;="&amp;$C$7,BD!$A$3:$A$5001,"&lt;="&amp;$B170,BD!$M$3:$M$5001,"&lt;&gt;"))))</f>
        <v/>
      </c>
      <c r="R170" s="43" t="str">
        <f>IF(OR($B170="",$A170&gt;$B$9,R$149=""),"",IF(COUNTIFS(BD!$B$3:$B$5001,R$149,BD!$A$3:$A$5001,"&gt;="&amp;$C$7,BD!$A$3:$A$5001,"&lt;="&amp;$B170,BD!$M$3:$M$5001,"&lt;&gt;")=0,"",SUMIFS(BD!$M$3:$M$5001,BD!$B$3:$B$5001,R$149,BD!$A$3:$A$5001,_xlfn.MAXIFS(BD!$A$3:$A$5001,BD!$B$3:$B$5001,R$149,BD!$A$3:$A$5001,"&gt;="&amp;$C$7,BD!$A$3:$A$5001,"&lt;="&amp;$B170,BD!$M$3:$M$5001,"&lt;&gt;"))))</f>
        <v/>
      </c>
      <c r="S170" s="43" t="str">
        <f>IF(OR($B170="",$A170&gt;$B$9,S$149=""),"",IF(COUNTIFS(BD!$B$3:$B$5001,S$149,BD!$A$3:$A$5001,"&gt;="&amp;$C$7,BD!$A$3:$A$5001,"&lt;="&amp;$B170,BD!$M$3:$M$5001,"&lt;&gt;")=0,"",SUMIFS(BD!$M$3:$M$5001,BD!$B$3:$B$5001,S$149,BD!$A$3:$A$5001,_xlfn.MAXIFS(BD!$A$3:$A$5001,BD!$B$3:$B$5001,S$149,BD!$A$3:$A$5001,"&gt;="&amp;$C$7,BD!$A$3:$A$5001,"&lt;="&amp;$B170,BD!$M$3:$M$5001,"&lt;&gt;"))))</f>
        <v/>
      </c>
      <c r="T170" s="43" t="str">
        <f>IF(OR($B170="",$A170&gt;$B$9,T$149=""),"",IF(COUNTIFS(BD!$B$3:$B$5001,T$149,BD!$A$3:$A$5001,"&gt;="&amp;$C$7,BD!$A$3:$A$5001,"&lt;="&amp;$B170,BD!$M$3:$M$5001,"&lt;&gt;")=0,"",SUMIFS(BD!$M$3:$M$5001,BD!$B$3:$B$5001,T$149,BD!$A$3:$A$5001,_xlfn.MAXIFS(BD!$A$3:$A$5001,BD!$B$3:$B$5001,T$149,BD!$A$3:$A$5001,"&gt;="&amp;$C$7,BD!$A$3:$A$5001,"&lt;="&amp;$B170,BD!$M$3:$M$5001,"&lt;&gt;"))))</f>
        <v/>
      </c>
      <c r="U170" s="43" t="str">
        <f>IF(OR($B170="",$A170&gt;$B$9,U$149=""),"",IF(COUNTIFS(BD!$B$3:$B$5001,U$149,BD!$A$3:$A$5001,"&gt;="&amp;$C$7,BD!$A$3:$A$5001,"&lt;="&amp;$B170,BD!$M$3:$M$5001,"&lt;&gt;")=0,"",SUMIFS(BD!$M$3:$M$5001,BD!$B$3:$B$5001,U$149,BD!$A$3:$A$5001,_xlfn.MAXIFS(BD!$A$3:$A$5001,BD!$B$3:$B$5001,U$149,BD!$A$3:$A$5001,"&gt;="&amp;$C$7,BD!$A$3:$A$5001,"&lt;="&amp;$B170,BD!$M$3:$M$5001,"&lt;&gt;"))))</f>
        <v/>
      </c>
      <c r="V170" s="43" t="str">
        <f>IF(OR($B170="",$A170&gt;$B$9,V$149=""),"",IF(COUNTIFS(BD!$B$3:$B$5001,V$149,BD!$A$3:$A$5001,"&gt;="&amp;$C$7,BD!$A$3:$A$5001,"&lt;="&amp;$B170,BD!$M$3:$M$5001,"&lt;&gt;")=0,"",SUMIFS(BD!$M$3:$M$5001,BD!$B$3:$B$5001,V$149,BD!$A$3:$A$5001,_xlfn.MAXIFS(BD!$A$3:$A$5001,BD!$B$3:$B$5001,V$149,BD!$A$3:$A$5001,"&gt;="&amp;$C$7,BD!$A$3:$A$5001,"&lt;="&amp;$B170,BD!$M$3:$M$5001,"&lt;&gt;"))))</f>
        <v/>
      </c>
    </row>
    <row r="171">
      <c r="A171" s="38">
        <v>22</v>
      </c>
      <c r="B171" s="42">
        <f>$B$33</f>
        <v>46317</v>
      </c>
      <c r="C171" s="43" t="str">
        <f>IF(OR($B171="",$A171&gt;$B$9,C$149=""),"",IF(COUNTIFS(BD!$B$3:$B$5001,C$149,BD!$A$3:$A$5001,"&gt;="&amp;$C$7,BD!$A$3:$A$5001,"&lt;="&amp;$B171,BD!$M$3:$M$5001,"&lt;&gt;")=0,"",SUMIFS(BD!$M$3:$M$5001,BD!$B$3:$B$5001,C$149,BD!$A$3:$A$5001,_xlfn.MAXIFS(BD!$A$3:$A$5001,BD!$B$3:$B$5001,C$149,BD!$A$3:$A$5001,"&gt;="&amp;$C$7,BD!$A$3:$A$5001,"&lt;="&amp;$B171,BD!$M$3:$M$5001,"&lt;&gt;"))))</f>
        <v/>
      </c>
      <c r="D171" s="43" t="str">
        <f>IF(OR($B171="",$A171&gt;$B$9,D$149=""),"",IF(COUNTIFS(BD!$B$3:$B$5001,D$149,BD!$A$3:$A$5001,"&gt;="&amp;$C$7,BD!$A$3:$A$5001,"&lt;="&amp;$B171,BD!$M$3:$M$5001,"&lt;&gt;")=0,"",SUMIFS(BD!$M$3:$M$5001,BD!$B$3:$B$5001,D$149,BD!$A$3:$A$5001,_xlfn.MAXIFS(BD!$A$3:$A$5001,BD!$B$3:$B$5001,D$149,BD!$A$3:$A$5001,"&gt;="&amp;$C$7,BD!$A$3:$A$5001,"&lt;="&amp;$B171,BD!$M$3:$M$5001,"&lt;&gt;"))))</f>
        <v/>
      </c>
      <c r="E171" s="43" t="str">
        <f>IF(OR($B171="",$A171&gt;$B$9,E$149=""),"",IF(COUNTIFS(BD!$B$3:$B$5001,E$149,BD!$A$3:$A$5001,"&gt;="&amp;$C$7,BD!$A$3:$A$5001,"&lt;="&amp;$B171,BD!$M$3:$M$5001,"&lt;&gt;")=0,"",SUMIFS(BD!$M$3:$M$5001,BD!$B$3:$B$5001,E$149,BD!$A$3:$A$5001,_xlfn.MAXIFS(BD!$A$3:$A$5001,BD!$B$3:$B$5001,E$149,BD!$A$3:$A$5001,"&gt;="&amp;$C$7,BD!$A$3:$A$5001,"&lt;="&amp;$B171,BD!$M$3:$M$5001,"&lt;&gt;"))))</f>
        <v/>
      </c>
      <c r="F171" s="43" t="str">
        <f>IF(OR($B171="",$A171&gt;$B$9,F$149=""),"",IF(COUNTIFS(BD!$B$3:$B$5001,F$149,BD!$A$3:$A$5001,"&gt;="&amp;$C$7,BD!$A$3:$A$5001,"&lt;="&amp;$B171,BD!$M$3:$M$5001,"&lt;&gt;")=0,"",SUMIFS(BD!$M$3:$M$5001,BD!$B$3:$B$5001,F$149,BD!$A$3:$A$5001,_xlfn.MAXIFS(BD!$A$3:$A$5001,BD!$B$3:$B$5001,F$149,BD!$A$3:$A$5001,"&gt;="&amp;$C$7,BD!$A$3:$A$5001,"&lt;="&amp;$B171,BD!$M$3:$M$5001,"&lt;&gt;"))))</f>
        <v/>
      </c>
      <c r="G171" s="43" t="str">
        <f>IF(OR($B171="",$A171&gt;$B$9,G$149=""),"",IF(COUNTIFS(BD!$B$3:$B$5001,G$149,BD!$A$3:$A$5001,"&gt;="&amp;$C$7,BD!$A$3:$A$5001,"&lt;="&amp;$B171,BD!$M$3:$M$5001,"&lt;&gt;")=0,"",SUMIFS(BD!$M$3:$M$5001,BD!$B$3:$B$5001,G$149,BD!$A$3:$A$5001,_xlfn.MAXIFS(BD!$A$3:$A$5001,BD!$B$3:$B$5001,G$149,BD!$A$3:$A$5001,"&gt;="&amp;$C$7,BD!$A$3:$A$5001,"&lt;="&amp;$B171,BD!$M$3:$M$5001,"&lt;&gt;"))))</f>
        <v/>
      </c>
      <c r="H171" s="43" t="str">
        <f>IF(OR($B171="",$A171&gt;$B$9,H$149=""),"",IF(COUNTIFS(BD!$B$3:$B$5001,H$149,BD!$A$3:$A$5001,"&gt;="&amp;$C$7,BD!$A$3:$A$5001,"&lt;="&amp;$B171,BD!$M$3:$M$5001,"&lt;&gt;")=0,"",SUMIFS(BD!$M$3:$M$5001,BD!$B$3:$B$5001,H$149,BD!$A$3:$A$5001,_xlfn.MAXIFS(BD!$A$3:$A$5001,BD!$B$3:$B$5001,H$149,BD!$A$3:$A$5001,"&gt;="&amp;$C$7,BD!$A$3:$A$5001,"&lt;="&amp;$B171,BD!$M$3:$M$5001,"&lt;&gt;"))))</f>
        <v/>
      </c>
      <c r="I171" s="43" t="str">
        <f>IF(OR($B171="",$A171&gt;$B$9,I$149=""),"",IF(COUNTIFS(BD!$B$3:$B$5001,I$149,BD!$A$3:$A$5001,"&gt;="&amp;$C$7,BD!$A$3:$A$5001,"&lt;="&amp;$B171,BD!$M$3:$M$5001,"&lt;&gt;")=0,"",SUMIFS(BD!$M$3:$M$5001,BD!$B$3:$B$5001,I$149,BD!$A$3:$A$5001,_xlfn.MAXIFS(BD!$A$3:$A$5001,BD!$B$3:$B$5001,I$149,BD!$A$3:$A$5001,"&gt;="&amp;$C$7,BD!$A$3:$A$5001,"&lt;="&amp;$B171,BD!$M$3:$M$5001,"&lt;&gt;"))))</f>
        <v/>
      </c>
      <c r="J171" s="43" t="str">
        <f>IF(OR($B171="",$A171&gt;$B$9,J$149=""),"",IF(COUNTIFS(BD!$B$3:$B$5001,J$149,BD!$A$3:$A$5001,"&gt;="&amp;$C$7,BD!$A$3:$A$5001,"&lt;="&amp;$B171,BD!$M$3:$M$5001,"&lt;&gt;")=0,"",SUMIFS(BD!$M$3:$M$5001,BD!$B$3:$B$5001,J$149,BD!$A$3:$A$5001,_xlfn.MAXIFS(BD!$A$3:$A$5001,BD!$B$3:$B$5001,J$149,BD!$A$3:$A$5001,"&gt;="&amp;$C$7,BD!$A$3:$A$5001,"&lt;="&amp;$B171,BD!$M$3:$M$5001,"&lt;&gt;"))))</f>
        <v/>
      </c>
      <c r="K171" s="43" t="str">
        <f>IF(OR($B171="",$A171&gt;$B$9,K$149=""),"",IF(COUNTIFS(BD!$B$3:$B$5001,K$149,BD!$A$3:$A$5001,"&gt;="&amp;$C$7,BD!$A$3:$A$5001,"&lt;="&amp;$B171,BD!$M$3:$M$5001,"&lt;&gt;")=0,"",SUMIFS(BD!$M$3:$M$5001,BD!$B$3:$B$5001,K$149,BD!$A$3:$A$5001,_xlfn.MAXIFS(BD!$A$3:$A$5001,BD!$B$3:$B$5001,K$149,BD!$A$3:$A$5001,"&gt;="&amp;$C$7,BD!$A$3:$A$5001,"&lt;="&amp;$B171,BD!$M$3:$M$5001,"&lt;&gt;"))))</f>
        <v/>
      </c>
      <c r="L171" s="43" t="str">
        <f>IF(OR($B171="",$A171&gt;$B$9,L$149=""),"",IF(COUNTIFS(BD!$B$3:$B$5001,L$149,BD!$A$3:$A$5001,"&gt;="&amp;$C$7,BD!$A$3:$A$5001,"&lt;="&amp;$B171,BD!$M$3:$M$5001,"&lt;&gt;")=0,"",SUMIFS(BD!$M$3:$M$5001,BD!$B$3:$B$5001,L$149,BD!$A$3:$A$5001,_xlfn.MAXIFS(BD!$A$3:$A$5001,BD!$B$3:$B$5001,L$149,BD!$A$3:$A$5001,"&gt;="&amp;$C$7,BD!$A$3:$A$5001,"&lt;="&amp;$B171,BD!$M$3:$M$5001,"&lt;&gt;"))))</f>
        <v/>
      </c>
      <c r="M171" s="43" t="str">
        <f>IF(OR($B171="",$A171&gt;$B$9,M$149=""),"",IF(COUNTIFS(BD!$B$3:$B$5001,M$149,BD!$A$3:$A$5001,"&gt;="&amp;$C$7,BD!$A$3:$A$5001,"&lt;="&amp;$B171,BD!$M$3:$M$5001,"&lt;&gt;")=0,"",SUMIFS(BD!$M$3:$M$5001,BD!$B$3:$B$5001,M$149,BD!$A$3:$A$5001,_xlfn.MAXIFS(BD!$A$3:$A$5001,BD!$B$3:$B$5001,M$149,BD!$A$3:$A$5001,"&gt;="&amp;$C$7,BD!$A$3:$A$5001,"&lt;="&amp;$B171,BD!$M$3:$M$5001,"&lt;&gt;"))))</f>
        <v/>
      </c>
      <c r="N171" s="43" t="str">
        <f>IF(OR($B171="",$A171&gt;$B$9,N$149=""),"",IF(COUNTIFS(BD!$B$3:$B$5001,N$149,BD!$A$3:$A$5001,"&gt;="&amp;$C$7,BD!$A$3:$A$5001,"&lt;="&amp;$B171,BD!$M$3:$M$5001,"&lt;&gt;")=0,"",SUMIFS(BD!$M$3:$M$5001,BD!$B$3:$B$5001,N$149,BD!$A$3:$A$5001,_xlfn.MAXIFS(BD!$A$3:$A$5001,BD!$B$3:$B$5001,N$149,BD!$A$3:$A$5001,"&gt;="&amp;$C$7,BD!$A$3:$A$5001,"&lt;="&amp;$B171,BD!$M$3:$M$5001,"&lt;&gt;"))))</f>
        <v/>
      </c>
      <c r="O171" s="43" t="str">
        <f>IF(OR($B171="",$A171&gt;$B$9,O$149=""),"",IF(COUNTIFS(BD!$B$3:$B$5001,O$149,BD!$A$3:$A$5001,"&gt;="&amp;$C$7,BD!$A$3:$A$5001,"&lt;="&amp;$B171,BD!$M$3:$M$5001,"&lt;&gt;")=0,"",SUMIFS(BD!$M$3:$M$5001,BD!$B$3:$B$5001,O$149,BD!$A$3:$A$5001,_xlfn.MAXIFS(BD!$A$3:$A$5001,BD!$B$3:$B$5001,O$149,BD!$A$3:$A$5001,"&gt;="&amp;$C$7,BD!$A$3:$A$5001,"&lt;="&amp;$B171,BD!$M$3:$M$5001,"&lt;&gt;"))))</f>
        <v/>
      </c>
      <c r="P171" s="43" t="str">
        <f>IF(OR($B171="",$A171&gt;$B$9,P$149=""),"",IF(COUNTIFS(BD!$B$3:$B$5001,P$149,BD!$A$3:$A$5001,"&gt;="&amp;$C$7,BD!$A$3:$A$5001,"&lt;="&amp;$B171,BD!$M$3:$M$5001,"&lt;&gt;")=0,"",SUMIFS(BD!$M$3:$M$5001,BD!$B$3:$B$5001,P$149,BD!$A$3:$A$5001,_xlfn.MAXIFS(BD!$A$3:$A$5001,BD!$B$3:$B$5001,P$149,BD!$A$3:$A$5001,"&gt;="&amp;$C$7,BD!$A$3:$A$5001,"&lt;="&amp;$B171,BD!$M$3:$M$5001,"&lt;&gt;"))))</f>
        <v/>
      </c>
      <c r="Q171" s="43" t="str">
        <f>IF(OR($B171="",$A171&gt;$B$9,Q$149=""),"",IF(COUNTIFS(BD!$B$3:$B$5001,Q$149,BD!$A$3:$A$5001,"&gt;="&amp;$C$7,BD!$A$3:$A$5001,"&lt;="&amp;$B171,BD!$M$3:$M$5001,"&lt;&gt;")=0,"",SUMIFS(BD!$M$3:$M$5001,BD!$B$3:$B$5001,Q$149,BD!$A$3:$A$5001,_xlfn.MAXIFS(BD!$A$3:$A$5001,BD!$B$3:$B$5001,Q$149,BD!$A$3:$A$5001,"&gt;="&amp;$C$7,BD!$A$3:$A$5001,"&lt;="&amp;$B171,BD!$M$3:$M$5001,"&lt;&gt;"))))</f>
        <v/>
      </c>
      <c r="R171" s="43" t="str">
        <f>IF(OR($B171="",$A171&gt;$B$9,R$149=""),"",IF(COUNTIFS(BD!$B$3:$B$5001,R$149,BD!$A$3:$A$5001,"&gt;="&amp;$C$7,BD!$A$3:$A$5001,"&lt;="&amp;$B171,BD!$M$3:$M$5001,"&lt;&gt;")=0,"",SUMIFS(BD!$M$3:$M$5001,BD!$B$3:$B$5001,R$149,BD!$A$3:$A$5001,_xlfn.MAXIFS(BD!$A$3:$A$5001,BD!$B$3:$B$5001,R$149,BD!$A$3:$A$5001,"&gt;="&amp;$C$7,BD!$A$3:$A$5001,"&lt;="&amp;$B171,BD!$M$3:$M$5001,"&lt;&gt;"))))</f>
        <v/>
      </c>
      <c r="S171" s="43" t="str">
        <f>IF(OR($B171="",$A171&gt;$B$9,S$149=""),"",IF(COUNTIFS(BD!$B$3:$B$5001,S$149,BD!$A$3:$A$5001,"&gt;="&amp;$C$7,BD!$A$3:$A$5001,"&lt;="&amp;$B171,BD!$M$3:$M$5001,"&lt;&gt;")=0,"",SUMIFS(BD!$M$3:$M$5001,BD!$B$3:$B$5001,S$149,BD!$A$3:$A$5001,_xlfn.MAXIFS(BD!$A$3:$A$5001,BD!$B$3:$B$5001,S$149,BD!$A$3:$A$5001,"&gt;="&amp;$C$7,BD!$A$3:$A$5001,"&lt;="&amp;$B171,BD!$M$3:$M$5001,"&lt;&gt;"))))</f>
        <v/>
      </c>
      <c r="T171" s="43" t="str">
        <f>IF(OR($B171="",$A171&gt;$B$9,T$149=""),"",IF(COUNTIFS(BD!$B$3:$B$5001,T$149,BD!$A$3:$A$5001,"&gt;="&amp;$C$7,BD!$A$3:$A$5001,"&lt;="&amp;$B171,BD!$M$3:$M$5001,"&lt;&gt;")=0,"",SUMIFS(BD!$M$3:$M$5001,BD!$B$3:$B$5001,T$149,BD!$A$3:$A$5001,_xlfn.MAXIFS(BD!$A$3:$A$5001,BD!$B$3:$B$5001,T$149,BD!$A$3:$A$5001,"&gt;="&amp;$C$7,BD!$A$3:$A$5001,"&lt;="&amp;$B171,BD!$M$3:$M$5001,"&lt;&gt;"))))</f>
        <v/>
      </c>
      <c r="U171" s="43" t="str">
        <f>IF(OR($B171="",$A171&gt;$B$9,U$149=""),"",IF(COUNTIFS(BD!$B$3:$B$5001,U$149,BD!$A$3:$A$5001,"&gt;="&amp;$C$7,BD!$A$3:$A$5001,"&lt;="&amp;$B171,BD!$M$3:$M$5001,"&lt;&gt;")=0,"",SUMIFS(BD!$M$3:$M$5001,BD!$B$3:$B$5001,U$149,BD!$A$3:$A$5001,_xlfn.MAXIFS(BD!$A$3:$A$5001,BD!$B$3:$B$5001,U$149,BD!$A$3:$A$5001,"&gt;="&amp;$C$7,BD!$A$3:$A$5001,"&lt;="&amp;$B171,BD!$M$3:$M$5001,"&lt;&gt;"))))</f>
        <v/>
      </c>
      <c r="V171" s="43" t="str">
        <f>IF(OR($B171="",$A171&gt;$B$9,V$149=""),"",IF(COUNTIFS(BD!$B$3:$B$5001,V$149,BD!$A$3:$A$5001,"&gt;="&amp;$C$7,BD!$A$3:$A$5001,"&lt;="&amp;$B171,BD!$M$3:$M$5001,"&lt;&gt;")=0,"",SUMIFS(BD!$M$3:$M$5001,BD!$B$3:$B$5001,V$149,BD!$A$3:$A$5001,_xlfn.MAXIFS(BD!$A$3:$A$5001,BD!$B$3:$B$5001,V$149,BD!$A$3:$A$5001,"&gt;="&amp;$C$7,BD!$A$3:$A$5001,"&lt;="&amp;$B171,BD!$M$3:$M$5001,"&lt;&gt;"))))</f>
        <v/>
      </c>
    </row>
    <row r="172">
      <c r="A172" s="38">
        <v>23</v>
      </c>
      <c r="B172" s="42">
        <f>$B$34</f>
        <v>46318</v>
      </c>
      <c r="C172" s="43" t="str">
        <f>IF(OR($B172="",$A172&gt;$B$9,C$149=""),"",IF(COUNTIFS(BD!$B$3:$B$5001,C$149,BD!$A$3:$A$5001,"&gt;="&amp;$C$7,BD!$A$3:$A$5001,"&lt;="&amp;$B172,BD!$M$3:$M$5001,"&lt;&gt;")=0,"",SUMIFS(BD!$M$3:$M$5001,BD!$B$3:$B$5001,C$149,BD!$A$3:$A$5001,_xlfn.MAXIFS(BD!$A$3:$A$5001,BD!$B$3:$B$5001,C$149,BD!$A$3:$A$5001,"&gt;="&amp;$C$7,BD!$A$3:$A$5001,"&lt;="&amp;$B172,BD!$M$3:$M$5001,"&lt;&gt;"))))</f>
        <v/>
      </c>
      <c r="D172" s="43" t="str">
        <f>IF(OR($B172="",$A172&gt;$B$9,D$149=""),"",IF(COUNTIFS(BD!$B$3:$B$5001,D$149,BD!$A$3:$A$5001,"&gt;="&amp;$C$7,BD!$A$3:$A$5001,"&lt;="&amp;$B172,BD!$M$3:$M$5001,"&lt;&gt;")=0,"",SUMIFS(BD!$M$3:$M$5001,BD!$B$3:$B$5001,D$149,BD!$A$3:$A$5001,_xlfn.MAXIFS(BD!$A$3:$A$5001,BD!$B$3:$B$5001,D$149,BD!$A$3:$A$5001,"&gt;="&amp;$C$7,BD!$A$3:$A$5001,"&lt;="&amp;$B172,BD!$M$3:$M$5001,"&lt;&gt;"))))</f>
        <v/>
      </c>
      <c r="E172" s="43" t="str">
        <f>IF(OR($B172="",$A172&gt;$B$9,E$149=""),"",IF(COUNTIFS(BD!$B$3:$B$5001,E$149,BD!$A$3:$A$5001,"&gt;="&amp;$C$7,BD!$A$3:$A$5001,"&lt;="&amp;$B172,BD!$M$3:$M$5001,"&lt;&gt;")=0,"",SUMIFS(BD!$M$3:$M$5001,BD!$B$3:$B$5001,E$149,BD!$A$3:$A$5001,_xlfn.MAXIFS(BD!$A$3:$A$5001,BD!$B$3:$B$5001,E$149,BD!$A$3:$A$5001,"&gt;="&amp;$C$7,BD!$A$3:$A$5001,"&lt;="&amp;$B172,BD!$M$3:$M$5001,"&lt;&gt;"))))</f>
        <v/>
      </c>
      <c r="F172" s="43" t="str">
        <f>IF(OR($B172="",$A172&gt;$B$9,F$149=""),"",IF(COUNTIFS(BD!$B$3:$B$5001,F$149,BD!$A$3:$A$5001,"&gt;="&amp;$C$7,BD!$A$3:$A$5001,"&lt;="&amp;$B172,BD!$M$3:$M$5001,"&lt;&gt;")=0,"",SUMIFS(BD!$M$3:$M$5001,BD!$B$3:$B$5001,F$149,BD!$A$3:$A$5001,_xlfn.MAXIFS(BD!$A$3:$A$5001,BD!$B$3:$B$5001,F$149,BD!$A$3:$A$5001,"&gt;="&amp;$C$7,BD!$A$3:$A$5001,"&lt;="&amp;$B172,BD!$M$3:$M$5001,"&lt;&gt;"))))</f>
        <v/>
      </c>
      <c r="G172" s="43" t="str">
        <f>IF(OR($B172="",$A172&gt;$B$9,G$149=""),"",IF(COUNTIFS(BD!$B$3:$B$5001,G$149,BD!$A$3:$A$5001,"&gt;="&amp;$C$7,BD!$A$3:$A$5001,"&lt;="&amp;$B172,BD!$M$3:$M$5001,"&lt;&gt;")=0,"",SUMIFS(BD!$M$3:$M$5001,BD!$B$3:$B$5001,G$149,BD!$A$3:$A$5001,_xlfn.MAXIFS(BD!$A$3:$A$5001,BD!$B$3:$B$5001,G$149,BD!$A$3:$A$5001,"&gt;="&amp;$C$7,BD!$A$3:$A$5001,"&lt;="&amp;$B172,BD!$M$3:$M$5001,"&lt;&gt;"))))</f>
        <v/>
      </c>
      <c r="H172" s="43" t="str">
        <f>IF(OR($B172="",$A172&gt;$B$9,H$149=""),"",IF(COUNTIFS(BD!$B$3:$B$5001,H$149,BD!$A$3:$A$5001,"&gt;="&amp;$C$7,BD!$A$3:$A$5001,"&lt;="&amp;$B172,BD!$M$3:$M$5001,"&lt;&gt;")=0,"",SUMIFS(BD!$M$3:$M$5001,BD!$B$3:$B$5001,H$149,BD!$A$3:$A$5001,_xlfn.MAXIFS(BD!$A$3:$A$5001,BD!$B$3:$B$5001,H$149,BD!$A$3:$A$5001,"&gt;="&amp;$C$7,BD!$A$3:$A$5001,"&lt;="&amp;$B172,BD!$M$3:$M$5001,"&lt;&gt;"))))</f>
        <v/>
      </c>
      <c r="I172" s="43" t="str">
        <f>IF(OR($B172="",$A172&gt;$B$9,I$149=""),"",IF(COUNTIFS(BD!$B$3:$B$5001,I$149,BD!$A$3:$A$5001,"&gt;="&amp;$C$7,BD!$A$3:$A$5001,"&lt;="&amp;$B172,BD!$M$3:$M$5001,"&lt;&gt;")=0,"",SUMIFS(BD!$M$3:$M$5001,BD!$B$3:$B$5001,I$149,BD!$A$3:$A$5001,_xlfn.MAXIFS(BD!$A$3:$A$5001,BD!$B$3:$B$5001,I$149,BD!$A$3:$A$5001,"&gt;="&amp;$C$7,BD!$A$3:$A$5001,"&lt;="&amp;$B172,BD!$M$3:$M$5001,"&lt;&gt;"))))</f>
        <v/>
      </c>
      <c r="J172" s="43" t="str">
        <f>IF(OR($B172="",$A172&gt;$B$9,J$149=""),"",IF(COUNTIFS(BD!$B$3:$B$5001,J$149,BD!$A$3:$A$5001,"&gt;="&amp;$C$7,BD!$A$3:$A$5001,"&lt;="&amp;$B172,BD!$M$3:$M$5001,"&lt;&gt;")=0,"",SUMIFS(BD!$M$3:$M$5001,BD!$B$3:$B$5001,J$149,BD!$A$3:$A$5001,_xlfn.MAXIFS(BD!$A$3:$A$5001,BD!$B$3:$B$5001,J$149,BD!$A$3:$A$5001,"&gt;="&amp;$C$7,BD!$A$3:$A$5001,"&lt;="&amp;$B172,BD!$M$3:$M$5001,"&lt;&gt;"))))</f>
        <v/>
      </c>
      <c r="K172" s="43" t="str">
        <f>IF(OR($B172="",$A172&gt;$B$9,K$149=""),"",IF(COUNTIFS(BD!$B$3:$B$5001,K$149,BD!$A$3:$A$5001,"&gt;="&amp;$C$7,BD!$A$3:$A$5001,"&lt;="&amp;$B172,BD!$M$3:$M$5001,"&lt;&gt;")=0,"",SUMIFS(BD!$M$3:$M$5001,BD!$B$3:$B$5001,K$149,BD!$A$3:$A$5001,_xlfn.MAXIFS(BD!$A$3:$A$5001,BD!$B$3:$B$5001,K$149,BD!$A$3:$A$5001,"&gt;="&amp;$C$7,BD!$A$3:$A$5001,"&lt;="&amp;$B172,BD!$M$3:$M$5001,"&lt;&gt;"))))</f>
        <v/>
      </c>
      <c r="L172" s="43" t="str">
        <f>IF(OR($B172="",$A172&gt;$B$9,L$149=""),"",IF(COUNTIFS(BD!$B$3:$B$5001,L$149,BD!$A$3:$A$5001,"&gt;="&amp;$C$7,BD!$A$3:$A$5001,"&lt;="&amp;$B172,BD!$M$3:$M$5001,"&lt;&gt;")=0,"",SUMIFS(BD!$M$3:$M$5001,BD!$B$3:$B$5001,L$149,BD!$A$3:$A$5001,_xlfn.MAXIFS(BD!$A$3:$A$5001,BD!$B$3:$B$5001,L$149,BD!$A$3:$A$5001,"&gt;="&amp;$C$7,BD!$A$3:$A$5001,"&lt;="&amp;$B172,BD!$M$3:$M$5001,"&lt;&gt;"))))</f>
        <v/>
      </c>
      <c r="M172" s="43" t="str">
        <f>IF(OR($B172="",$A172&gt;$B$9,M$149=""),"",IF(COUNTIFS(BD!$B$3:$B$5001,M$149,BD!$A$3:$A$5001,"&gt;="&amp;$C$7,BD!$A$3:$A$5001,"&lt;="&amp;$B172,BD!$M$3:$M$5001,"&lt;&gt;")=0,"",SUMIFS(BD!$M$3:$M$5001,BD!$B$3:$B$5001,M$149,BD!$A$3:$A$5001,_xlfn.MAXIFS(BD!$A$3:$A$5001,BD!$B$3:$B$5001,M$149,BD!$A$3:$A$5001,"&gt;="&amp;$C$7,BD!$A$3:$A$5001,"&lt;="&amp;$B172,BD!$M$3:$M$5001,"&lt;&gt;"))))</f>
        <v/>
      </c>
      <c r="N172" s="43" t="str">
        <f>IF(OR($B172="",$A172&gt;$B$9,N$149=""),"",IF(COUNTIFS(BD!$B$3:$B$5001,N$149,BD!$A$3:$A$5001,"&gt;="&amp;$C$7,BD!$A$3:$A$5001,"&lt;="&amp;$B172,BD!$M$3:$M$5001,"&lt;&gt;")=0,"",SUMIFS(BD!$M$3:$M$5001,BD!$B$3:$B$5001,N$149,BD!$A$3:$A$5001,_xlfn.MAXIFS(BD!$A$3:$A$5001,BD!$B$3:$B$5001,N$149,BD!$A$3:$A$5001,"&gt;="&amp;$C$7,BD!$A$3:$A$5001,"&lt;="&amp;$B172,BD!$M$3:$M$5001,"&lt;&gt;"))))</f>
        <v/>
      </c>
      <c r="O172" s="43" t="str">
        <f>IF(OR($B172="",$A172&gt;$B$9,O$149=""),"",IF(COUNTIFS(BD!$B$3:$B$5001,O$149,BD!$A$3:$A$5001,"&gt;="&amp;$C$7,BD!$A$3:$A$5001,"&lt;="&amp;$B172,BD!$M$3:$M$5001,"&lt;&gt;")=0,"",SUMIFS(BD!$M$3:$M$5001,BD!$B$3:$B$5001,O$149,BD!$A$3:$A$5001,_xlfn.MAXIFS(BD!$A$3:$A$5001,BD!$B$3:$B$5001,O$149,BD!$A$3:$A$5001,"&gt;="&amp;$C$7,BD!$A$3:$A$5001,"&lt;="&amp;$B172,BD!$M$3:$M$5001,"&lt;&gt;"))))</f>
        <v/>
      </c>
      <c r="P172" s="43" t="str">
        <f>IF(OR($B172="",$A172&gt;$B$9,P$149=""),"",IF(COUNTIFS(BD!$B$3:$B$5001,P$149,BD!$A$3:$A$5001,"&gt;="&amp;$C$7,BD!$A$3:$A$5001,"&lt;="&amp;$B172,BD!$M$3:$M$5001,"&lt;&gt;")=0,"",SUMIFS(BD!$M$3:$M$5001,BD!$B$3:$B$5001,P$149,BD!$A$3:$A$5001,_xlfn.MAXIFS(BD!$A$3:$A$5001,BD!$B$3:$B$5001,P$149,BD!$A$3:$A$5001,"&gt;="&amp;$C$7,BD!$A$3:$A$5001,"&lt;="&amp;$B172,BD!$M$3:$M$5001,"&lt;&gt;"))))</f>
        <v/>
      </c>
      <c r="Q172" s="43" t="str">
        <f>IF(OR($B172="",$A172&gt;$B$9,Q$149=""),"",IF(COUNTIFS(BD!$B$3:$B$5001,Q$149,BD!$A$3:$A$5001,"&gt;="&amp;$C$7,BD!$A$3:$A$5001,"&lt;="&amp;$B172,BD!$M$3:$M$5001,"&lt;&gt;")=0,"",SUMIFS(BD!$M$3:$M$5001,BD!$B$3:$B$5001,Q$149,BD!$A$3:$A$5001,_xlfn.MAXIFS(BD!$A$3:$A$5001,BD!$B$3:$B$5001,Q$149,BD!$A$3:$A$5001,"&gt;="&amp;$C$7,BD!$A$3:$A$5001,"&lt;="&amp;$B172,BD!$M$3:$M$5001,"&lt;&gt;"))))</f>
        <v/>
      </c>
      <c r="R172" s="43" t="str">
        <f>IF(OR($B172="",$A172&gt;$B$9,R$149=""),"",IF(COUNTIFS(BD!$B$3:$B$5001,R$149,BD!$A$3:$A$5001,"&gt;="&amp;$C$7,BD!$A$3:$A$5001,"&lt;="&amp;$B172,BD!$M$3:$M$5001,"&lt;&gt;")=0,"",SUMIFS(BD!$M$3:$M$5001,BD!$B$3:$B$5001,R$149,BD!$A$3:$A$5001,_xlfn.MAXIFS(BD!$A$3:$A$5001,BD!$B$3:$B$5001,R$149,BD!$A$3:$A$5001,"&gt;="&amp;$C$7,BD!$A$3:$A$5001,"&lt;="&amp;$B172,BD!$M$3:$M$5001,"&lt;&gt;"))))</f>
        <v/>
      </c>
      <c r="S172" s="43" t="str">
        <f>IF(OR($B172="",$A172&gt;$B$9,S$149=""),"",IF(COUNTIFS(BD!$B$3:$B$5001,S$149,BD!$A$3:$A$5001,"&gt;="&amp;$C$7,BD!$A$3:$A$5001,"&lt;="&amp;$B172,BD!$M$3:$M$5001,"&lt;&gt;")=0,"",SUMIFS(BD!$M$3:$M$5001,BD!$B$3:$B$5001,S$149,BD!$A$3:$A$5001,_xlfn.MAXIFS(BD!$A$3:$A$5001,BD!$B$3:$B$5001,S$149,BD!$A$3:$A$5001,"&gt;="&amp;$C$7,BD!$A$3:$A$5001,"&lt;="&amp;$B172,BD!$M$3:$M$5001,"&lt;&gt;"))))</f>
        <v/>
      </c>
      <c r="T172" s="43" t="str">
        <f>IF(OR($B172="",$A172&gt;$B$9,T$149=""),"",IF(COUNTIFS(BD!$B$3:$B$5001,T$149,BD!$A$3:$A$5001,"&gt;="&amp;$C$7,BD!$A$3:$A$5001,"&lt;="&amp;$B172,BD!$M$3:$M$5001,"&lt;&gt;")=0,"",SUMIFS(BD!$M$3:$M$5001,BD!$B$3:$B$5001,T$149,BD!$A$3:$A$5001,_xlfn.MAXIFS(BD!$A$3:$A$5001,BD!$B$3:$B$5001,T$149,BD!$A$3:$A$5001,"&gt;="&amp;$C$7,BD!$A$3:$A$5001,"&lt;="&amp;$B172,BD!$M$3:$M$5001,"&lt;&gt;"))))</f>
        <v/>
      </c>
      <c r="U172" s="43" t="str">
        <f>IF(OR($B172="",$A172&gt;$B$9,U$149=""),"",IF(COUNTIFS(BD!$B$3:$B$5001,U$149,BD!$A$3:$A$5001,"&gt;="&amp;$C$7,BD!$A$3:$A$5001,"&lt;="&amp;$B172,BD!$M$3:$M$5001,"&lt;&gt;")=0,"",SUMIFS(BD!$M$3:$M$5001,BD!$B$3:$B$5001,U$149,BD!$A$3:$A$5001,_xlfn.MAXIFS(BD!$A$3:$A$5001,BD!$B$3:$B$5001,U$149,BD!$A$3:$A$5001,"&gt;="&amp;$C$7,BD!$A$3:$A$5001,"&lt;="&amp;$B172,BD!$M$3:$M$5001,"&lt;&gt;"))))</f>
        <v/>
      </c>
      <c r="V172" s="43" t="str">
        <f>IF(OR($B172="",$A172&gt;$B$9,V$149=""),"",IF(COUNTIFS(BD!$B$3:$B$5001,V$149,BD!$A$3:$A$5001,"&gt;="&amp;$C$7,BD!$A$3:$A$5001,"&lt;="&amp;$B172,BD!$M$3:$M$5001,"&lt;&gt;")=0,"",SUMIFS(BD!$M$3:$M$5001,BD!$B$3:$B$5001,V$149,BD!$A$3:$A$5001,_xlfn.MAXIFS(BD!$A$3:$A$5001,BD!$B$3:$B$5001,V$149,BD!$A$3:$A$5001,"&gt;="&amp;$C$7,BD!$A$3:$A$5001,"&lt;="&amp;$B172,BD!$M$3:$M$5001,"&lt;&gt;"))))</f>
        <v/>
      </c>
    </row>
    <row r="173">
      <c r="A173" s="38">
        <v>24</v>
      </c>
      <c r="B173" s="42">
        <f>$B$35</f>
        <v>46319</v>
      </c>
      <c r="C173" s="43" t="str">
        <f>IF(OR($B173="",$A173&gt;$B$9,C$149=""),"",IF(COUNTIFS(BD!$B$3:$B$5001,C$149,BD!$A$3:$A$5001,"&gt;="&amp;$C$7,BD!$A$3:$A$5001,"&lt;="&amp;$B173,BD!$M$3:$M$5001,"&lt;&gt;")=0,"",SUMIFS(BD!$M$3:$M$5001,BD!$B$3:$B$5001,C$149,BD!$A$3:$A$5001,_xlfn.MAXIFS(BD!$A$3:$A$5001,BD!$B$3:$B$5001,C$149,BD!$A$3:$A$5001,"&gt;="&amp;$C$7,BD!$A$3:$A$5001,"&lt;="&amp;$B173,BD!$M$3:$M$5001,"&lt;&gt;"))))</f>
        <v/>
      </c>
      <c r="D173" s="43" t="str">
        <f>IF(OR($B173="",$A173&gt;$B$9,D$149=""),"",IF(COUNTIFS(BD!$B$3:$B$5001,D$149,BD!$A$3:$A$5001,"&gt;="&amp;$C$7,BD!$A$3:$A$5001,"&lt;="&amp;$B173,BD!$M$3:$M$5001,"&lt;&gt;")=0,"",SUMIFS(BD!$M$3:$M$5001,BD!$B$3:$B$5001,D$149,BD!$A$3:$A$5001,_xlfn.MAXIFS(BD!$A$3:$A$5001,BD!$B$3:$B$5001,D$149,BD!$A$3:$A$5001,"&gt;="&amp;$C$7,BD!$A$3:$A$5001,"&lt;="&amp;$B173,BD!$M$3:$M$5001,"&lt;&gt;"))))</f>
        <v/>
      </c>
      <c r="E173" s="43" t="str">
        <f>IF(OR($B173="",$A173&gt;$B$9,E$149=""),"",IF(COUNTIFS(BD!$B$3:$B$5001,E$149,BD!$A$3:$A$5001,"&gt;="&amp;$C$7,BD!$A$3:$A$5001,"&lt;="&amp;$B173,BD!$M$3:$M$5001,"&lt;&gt;")=0,"",SUMIFS(BD!$M$3:$M$5001,BD!$B$3:$B$5001,E$149,BD!$A$3:$A$5001,_xlfn.MAXIFS(BD!$A$3:$A$5001,BD!$B$3:$B$5001,E$149,BD!$A$3:$A$5001,"&gt;="&amp;$C$7,BD!$A$3:$A$5001,"&lt;="&amp;$B173,BD!$M$3:$M$5001,"&lt;&gt;"))))</f>
        <v/>
      </c>
      <c r="F173" s="43" t="str">
        <f>IF(OR($B173="",$A173&gt;$B$9,F$149=""),"",IF(COUNTIFS(BD!$B$3:$B$5001,F$149,BD!$A$3:$A$5001,"&gt;="&amp;$C$7,BD!$A$3:$A$5001,"&lt;="&amp;$B173,BD!$M$3:$M$5001,"&lt;&gt;")=0,"",SUMIFS(BD!$M$3:$M$5001,BD!$B$3:$B$5001,F$149,BD!$A$3:$A$5001,_xlfn.MAXIFS(BD!$A$3:$A$5001,BD!$B$3:$B$5001,F$149,BD!$A$3:$A$5001,"&gt;="&amp;$C$7,BD!$A$3:$A$5001,"&lt;="&amp;$B173,BD!$M$3:$M$5001,"&lt;&gt;"))))</f>
        <v/>
      </c>
      <c r="G173" s="43" t="str">
        <f>IF(OR($B173="",$A173&gt;$B$9,G$149=""),"",IF(COUNTIFS(BD!$B$3:$B$5001,G$149,BD!$A$3:$A$5001,"&gt;="&amp;$C$7,BD!$A$3:$A$5001,"&lt;="&amp;$B173,BD!$M$3:$M$5001,"&lt;&gt;")=0,"",SUMIFS(BD!$M$3:$M$5001,BD!$B$3:$B$5001,G$149,BD!$A$3:$A$5001,_xlfn.MAXIFS(BD!$A$3:$A$5001,BD!$B$3:$B$5001,G$149,BD!$A$3:$A$5001,"&gt;="&amp;$C$7,BD!$A$3:$A$5001,"&lt;="&amp;$B173,BD!$M$3:$M$5001,"&lt;&gt;"))))</f>
        <v/>
      </c>
      <c r="H173" s="43" t="str">
        <f>IF(OR($B173="",$A173&gt;$B$9,H$149=""),"",IF(COUNTIFS(BD!$B$3:$B$5001,H$149,BD!$A$3:$A$5001,"&gt;="&amp;$C$7,BD!$A$3:$A$5001,"&lt;="&amp;$B173,BD!$M$3:$M$5001,"&lt;&gt;")=0,"",SUMIFS(BD!$M$3:$M$5001,BD!$B$3:$B$5001,H$149,BD!$A$3:$A$5001,_xlfn.MAXIFS(BD!$A$3:$A$5001,BD!$B$3:$B$5001,H$149,BD!$A$3:$A$5001,"&gt;="&amp;$C$7,BD!$A$3:$A$5001,"&lt;="&amp;$B173,BD!$M$3:$M$5001,"&lt;&gt;"))))</f>
        <v/>
      </c>
      <c r="I173" s="43" t="str">
        <f>IF(OR($B173="",$A173&gt;$B$9,I$149=""),"",IF(COUNTIFS(BD!$B$3:$B$5001,I$149,BD!$A$3:$A$5001,"&gt;="&amp;$C$7,BD!$A$3:$A$5001,"&lt;="&amp;$B173,BD!$M$3:$M$5001,"&lt;&gt;")=0,"",SUMIFS(BD!$M$3:$M$5001,BD!$B$3:$B$5001,I$149,BD!$A$3:$A$5001,_xlfn.MAXIFS(BD!$A$3:$A$5001,BD!$B$3:$B$5001,I$149,BD!$A$3:$A$5001,"&gt;="&amp;$C$7,BD!$A$3:$A$5001,"&lt;="&amp;$B173,BD!$M$3:$M$5001,"&lt;&gt;"))))</f>
        <v/>
      </c>
      <c r="J173" s="43" t="str">
        <f>IF(OR($B173="",$A173&gt;$B$9,J$149=""),"",IF(COUNTIFS(BD!$B$3:$B$5001,J$149,BD!$A$3:$A$5001,"&gt;="&amp;$C$7,BD!$A$3:$A$5001,"&lt;="&amp;$B173,BD!$M$3:$M$5001,"&lt;&gt;")=0,"",SUMIFS(BD!$M$3:$M$5001,BD!$B$3:$B$5001,J$149,BD!$A$3:$A$5001,_xlfn.MAXIFS(BD!$A$3:$A$5001,BD!$B$3:$B$5001,J$149,BD!$A$3:$A$5001,"&gt;="&amp;$C$7,BD!$A$3:$A$5001,"&lt;="&amp;$B173,BD!$M$3:$M$5001,"&lt;&gt;"))))</f>
        <v/>
      </c>
      <c r="K173" s="43" t="str">
        <f>IF(OR($B173="",$A173&gt;$B$9,K$149=""),"",IF(COUNTIFS(BD!$B$3:$B$5001,K$149,BD!$A$3:$A$5001,"&gt;="&amp;$C$7,BD!$A$3:$A$5001,"&lt;="&amp;$B173,BD!$M$3:$M$5001,"&lt;&gt;")=0,"",SUMIFS(BD!$M$3:$M$5001,BD!$B$3:$B$5001,K$149,BD!$A$3:$A$5001,_xlfn.MAXIFS(BD!$A$3:$A$5001,BD!$B$3:$B$5001,K$149,BD!$A$3:$A$5001,"&gt;="&amp;$C$7,BD!$A$3:$A$5001,"&lt;="&amp;$B173,BD!$M$3:$M$5001,"&lt;&gt;"))))</f>
        <v/>
      </c>
      <c r="L173" s="43" t="str">
        <f>IF(OR($B173="",$A173&gt;$B$9,L$149=""),"",IF(COUNTIFS(BD!$B$3:$B$5001,L$149,BD!$A$3:$A$5001,"&gt;="&amp;$C$7,BD!$A$3:$A$5001,"&lt;="&amp;$B173,BD!$M$3:$M$5001,"&lt;&gt;")=0,"",SUMIFS(BD!$M$3:$M$5001,BD!$B$3:$B$5001,L$149,BD!$A$3:$A$5001,_xlfn.MAXIFS(BD!$A$3:$A$5001,BD!$B$3:$B$5001,L$149,BD!$A$3:$A$5001,"&gt;="&amp;$C$7,BD!$A$3:$A$5001,"&lt;="&amp;$B173,BD!$M$3:$M$5001,"&lt;&gt;"))))</f>
        <v/>
      </c>
      <c r="M173" s="43" t="str">
        <f>IF(OR($B173="",$A173&gt;$B$9,M$149=""),"",IF(COUNTIFS(BD!$B$3:$B$5001,M$149,BD!$A$3:$A$5001,"&gt;="&amp;$C$7,BD!$A$3:$A$5001,"&lt;="&amp;$B173,BD!$M$3:$M$5001,"&lt;&gt;")=0,"",SUMIFS(BD!$M$3:$M$5001,BD!$B$3:$B$5001,M$149,BD!$A$3:$A$5001,_xlfn.MAXIFS(BD!$A$3:$A$5001,BD!$B$3:$B$5001,M$149,BD!$A$3:$A$5001,"&gt;="&amp;$C$7,BD!$A$3:$A$5001,"&lt;="&amp;$B173,BD!$M$3:$M$5001,"&lt;&gt;"))))</f>
        <v/>
      </c>
      <c r="N173" s="43" t="str">
        <f>IF(OR($B173="",$A173&gt;$B$9,N$149=""),"",IF(COUNTIFS(BD!$B$3:$B$5001,N$149,BD!$A$3:$A$5001,"&gt;="&amp;$C$7,BD!$A$3:$A$5001,"&lt;="&amp;$B173,BD!$M$3:$M$5001,"&lt;&gt;")=0,"",SUMIFS(BD!$M$3:$M$5001,BD!$B$3:$B$5001,N$149,BD!$A$3:$A$5001,_xlfn.MAXIFS(BD!$A$3:$A$5001,BD!$B$3:$B$5001,N$149,BD!$A$3:$A$5001,"&gt;="&amp;$C$7,BD!$A$3:$A$5001,"&lt;="&amp;$B173,BD!$M$3:$M$5001,"&lt;&gt;"))))</f>
        <v/>
      </c>
      <c r="O173" s="43" t="str">
        <f>IF(OR($B173="",$A173&gt;$B$9,O$149=""),"",IF(COUNTIFS(BD!$B$3:$B$5001,O$149,BD!$A$3:$A$5001,"&gt;="&amp;$C$7,BD!$A$3:$A$5001,"&lt;="&amp;$B173,BD!$M$3:$M$5001,"&lt;&gt;")=0,"",SUMIFS(BD!$M$3:$M$5001,BD!$B$3:$B$5001,O$149,BD!$A$3:$A$5001,_xlfn.MAXIFS(BD!$A$3:$A$5001,BD!$B$3:$B$5001,O$149,BD!$A$3:$A$5001,"&gt;="&amp;$C$7,BD!$A$3:$A$5001,"&lt;="&amp;$B173,BD!$M$3:$M$5001,"&lt;&gt;"))))</f>
        <v/>
      </c>
      <c r="P173" s="43" t="str">
        <f>IF(OR($B173="",$A173&gt;$B$9,P$149=""),"",IF(COUNTIFS(BD!$B$3:$B$5001,P$149,BD!$A$3:$A$5001,"&gt;="&amp;$C$7,BD!$A$3:$A$5001,"&lt;="&amp;$B173,BD!$M$3:$M$5001,"&lt;&gt;")=0,"",SUMIFS(BD!$M$3:$M$5001,BD!$B$3:$B$5001,P$149,BD!$A$3:$A$5001,_xlfn.MAXIFS(BD!$A$3:$A$5001,BD!$B$3:$B$5001,P$149,BD!$A$3:$A$5001,"&gt;="&amp;$C$7,BD!$A$3:$A$5001,"&lt;="&amp;$B173,BD!$M$3:$M$5001,"&lt;&gt;"))))</f>
        <v/>
      </c>
      <c r="Q173" s="43" t="str">
        <f>IF(OR($B173="",$A173&gt;$B$9,Q$149=""),"",IF(COUNTIFS(BD!$B$3:$B$5001,Q$149,BD!$A$3:$A$5001,"&gt;="&amp;$C$7,BD!$A$3:$A$5001,"&lt;="&amp;$B173,BD!$M$3:$M$5001,"&lt;&gt;")=0,"",SUMIFS(BD!$M$3:$M$5001,BD!$B$3:$B$5001,Q$149,BD!$A$3:$A$5001,_xlfn.MAXIFS(BD!$A$3:$A$5001,BD!$B$3:$B$5001,Q$149,BD!$A$3:$A$5001,"&gt;="&amp;$C$7,BD!$A$3:$A$5001,"&lt;="&amp;$B173,BD!$M$3:$M$5001,"&lt;&gt;"))))</f>
        <v/>
      </c>
      <c r="R173" s="43" t="str">
        <f>IF(OR($B173="",$A173&gt;$B$9,R$149=""),"",IF(COUNTIFS(BD!$B$3:$B$5001,R$149,BD!$A$3:$A$5001,"&gt;="&amp;$C$7,BD!$A$3:$A$5001,"&lt;="&amp;$B173,BD!$M$3:$M$5001,"&lt;&gt;")=0,"",SUMIFS(BD!$M$3:$M$5001,BD!$B$3:$B$5001,R$149,BD!$A$3:$A$5001,_xlfn.MAXIFS(BD!$A$3:$A$5001,BD!$B$3:$B$5001,R$149,BD!$A$3:$A$5001,"&gt;="&amp;$C$7,BD!$A$3:$A$5001,"&lt;="&amp;$B173,BD!$M$3:$M$5001,"&lt;&gt;"))))</f>
        <v/>
      </c>
      <c r="S173" s="43" t="str">
        <f>IF(OR($B173="",$A173&gt;$B$9,S$149=""),"",IF(COUNTIFS(BD!$B$3:$B$5001,S$149,BD!$A$3:$A$5001,"&gt;="&amp;$C$7,BD!$A$3:$A$5001,"&lt;="&amp;$B173,BD!$M$3:$M$5001,"&lt;&gt;")=0,"",SUMIFS(BD!$M$3:$M$5001,BD!$B$3:$B$5001,S$149,BD!$A$3:$A$5001,_xlfn.MAXIFS(BD!$A$3:$A$5001,BD!$B$3:$B$5001,S$149,BD!$A$3:$A$5001,"&gt;="&amp;$C$7,BD!$A$3:$A$5001,"&lt;="&amp;$B173,BD!$M$3:$M$5001,"&lt;&gt;"))))</f>
        <v/>
      </c>
      <c r="T173" s="43" t="str">
        <f>IF(OR($B173="",$A173&gt;$B$9,T$149=""),"",IF(COUNTIFS(BD!$B$3:$B$5001,T$149,BD!$A$3:$A$5001,"&gt;="&amp;$C$7,BD!$A$3:$A$5001,"&lt;="&amp;$B173,BD!$M$3:$M$5001,"&lt;&gt;")=0,"",SUMIFS(BD!$M$3:$M$5001,BD!$B$3:$B$5001,T$149,BD!$A$3:$A$5001,_xlfn.MAXIFS(BD!$A$3:$A$5001,BD!$B$3:$B$5001,T$149,BD!$A$3:$A$5001,"&gt;="&amp;$C$7,BD!$A$3:$A$5001,"&lt;="&amp;$B173,BD!$M$3:$M$5001,"&lt;&gt;"))))</f>
        <v/>
      </c>
      <c r="U173" s="43" t="str">
        <f>IF(OR($B173="",$A173&gt;$B$9,U$149=""),"",IF(COUNTIFS(BD!$B$3:$B$5001,U$149,BD!$A$3:$A$5001,"&gt;="&amp;$C$7,BD!$A$3:$A$5001,"&lt;="&amp;$B173,BD!$M$3:$M$5001,"&lt;&gt;")=0,"",SUMIFS(BD!$M$3:$M$5001,BD!$B$3:$B$5001,U$149,BD!$A$3:$A$5001,_xlfn.MAXIFS(BD!$A$3:$A$5001,BD!$B$3:$B$5001,U$149,BD!$A$3:$A$5001,"&gt;="&amp;$C$7,BD!$A$3:$A$5001,"&lt;="&amp;$B173,BD!$M$3:$M$5001,"&lt;&gt;"))))</f>
        <v/>
      </c>
      <c r="V173" s="43" t="str">
        <f>IF(OR($B173="",$A173&gt;$B$9,V$149=""),"",IF(COUNTIFS(BD!$B$3:$B$5001,V$149,BD!$A$3:$A$5001,"&gt;="&amp;$C$7,BD!$A$3:$A$5001,"&lt;="&amp;$B173,BD!$M$3:$M$5001,"&lt;&gt;")=0,"",SUMIFS(BD!$M$3:$M$5001,BD!$B$3:$B$5001,V$149,BD!$A$3:$A$5001,_xlfn.MAXIFS(BD!$A$3:$A$5001,BD!$B$3:$B$5001,V$149,BD!$A$3:$A$5001,"&gt;="&amp;$C$7,BD!$A$3:$A$5001,"&lt;="&amp;$B173,BD!$M$3:$M$5001,"&lt;&gt;"))))</f>
        <v/>
      </c>
    </row>
    <row r="174">
      <c r="A174" s="38">
        <v>25</v>
      </c>
      <c r="B174" s="42">
        <f>$B$36</f>
        <v>46320</v>
      </c>
      <c r="C174" s="43" t="str">
        <f>IF(OR($B174="",$A174&gt;$B$9,C$149=""),"",IF(COUNTIFS(BD!$B$3:$B$5001,C$149,BD!$A$3:$A$5001,"&gt;="&amp;$C$7,BD!$A$3:$A$5001,"&lt;="&amp;$B174,BD!$M$3:$M$5001,"&lt;&gt;")=0,"",SUMIFS(BD!$M$3:$M$5001,BD!$B$3:$B$5001,C$149,BD!$A$3:$A$5001,_xlfn.MAXIFS(BD!$A$3:$A$5001,BD!$B$3:$B$5001,C$149,BD!$A$3:$A$5001,"&gt;="&amp;$C$7,BD!$A$3:$A$5001,"&lt;="&amp;$B174,BD!$M$3:$M$5001,"&lt;&gt;"))))</f>
        <v/>
      </c>
      <c r="D174" s="43" t="str">
        <f>IF(OR($B174="",$A174&gt;$B$9,D$149=""),"",IF(COUNTIFS(BD!$B$3:$B$5001,D$149,BD!$A$3:$A$5001,"&gt;="&amp;$C$7,BD!$A$3:$A$5001,"&lt;="&amp;$B174,BD!$M$3:$M$5001,"&lt;&gt;")=0,"",SUMIFS(BD!$M$3:$M$5001,BD!$B$3:$B$5001,D$149,BD!$A$3:$A$5001,_xlfn.MAXIFS(BD!$A$3:$A$5001,BD!$B$3:$B$5001,D$149,BD!$A$3:$A$5001,"&gt;="&amp;$C$7,BD!$A$3:$A$5001,"&lt;="&amp;$B174,BD!$M$3:$M$5001,"&lt;&gt;"))))</f>
        <v/>
      </c>
      <c r="E174" s="43" t="str">
        <f>IF(OR($B174="",$A174&gt;$B$9,E$149=""),"",IF(COUNTIFS(BD!$B$3:$B$5001,E$149,BD!$A$3:$A$5001,"&gt;="&amp;$C$7,BD!$A$3:$A$5001,"&lt;="&amp;$B174,BD!$M$3:$M$5001,"&lt;&gt;")=0,"",SUMIFS(BD!$M$3:$M$5001,BD!$B$3:$B$5001,E$149,BD!$A$3:$A$5001,_xlfn.MAXIFS(BD!$A$3:$A$5001,BD!$B$3:$B$5001,E$149,BD!$A$3:$A$5001,"&gt;="&amp;$C$7,BD!$A$3:$A$5001,"&lt;="&amp;$B174,BD!$M$3:$M$5001,"&lt;&gt;"))))</f>
        <v/>
      </c>
      <c r="F174" s="43" t="str">
        <f>IF(OR($B174="",$A174&gt;$B$9,F$149=""),"",IF(COUNTIFS(BD!$B$3:$B$5001,F$149,BD!$A$3:$A$5001,"&gt;="&amp;$C$7,BD!$A$3:$A$5001,"&lt;="&amp;$B174,BD!$M$3:$M$5001,"&lt;&gt;")=0,"",SUMIFS(BD!$M$3:$M$5001,BD!$B$3:$B$5001,F$149,BD!$A$3:$A$5001,_xlfn.MAXIFS(BD!$A$3:$A$5001,BD!$B$3:$B$5001,F$149,BD!$A$3:$A$5001,"&gt;="&amp;$C$7,BD!$A$3:$A$5001,"&lt;="&amp;$B174,BD!$M$3:$M$5001,"&lt;&gt;"))))</f>
        <v/>
      </c>
      <c r="G174" s="43" t="str">
        <f>IF(OR($B174="",$A174&gt;$B$9,G$149=""),"",IF(COUNTIFS(BD!$B$3:$B$5001,G$149,BD!$A$3:$A$5001,"&gt;="&amp;$C$7,BD!$A$3:$A$5001,"&lt;="&amp;$B174,BD!$M$3:$M$5001,"&lt;&gt;")=0,"",SUMIFS(BD!$M$3:$M$5001,BD!$B$3:$B$5001,G$149,BD!$A$3:$A$5001,_xlfn.MAXIFS(BD!$A$3:$A$5001,BD!$B$3:$B$5001,G$149,BD!$A$3:$A$5001,"&gt;="&amp;$C$7,BD!$A$3:$A$5001,"&lt;="&amp;$B174,BD!$M$3:$M$5001,"&lt;&gt;"))))</f>
        <v/>
      </c>
      <c r="H174" s="43" t="str">
        <f>IF(OR($B174="",$A174&gt;$B$9,H$149=""),"",IF(COUNTIFS(BD!$B$3:$B$5001,H$149,BD!$A$3:$A$5001,"&gt;="&amp;$C$7,BD!$A$3:$A$5001,"&lt;="&amp;$B174,BD!$M$3:$M$5001,"&lt;&gt;")=0,"",SUMIFS(BD!$M$3:$M$5001,BD!$B$3:$B$5001,H$149,BD!$A$3:$A$5001,_xlfn.MAXIFS(BD!$A$3:$A$5001,BD!$B$3:$B$5001,H$149,BD!$A$3:$A$5001,"&gt;="&amp;$C$7,BD!$A$3:$A$5001,"&lt;="&amp;$B174,BD!$M$3:$M$5001,"&lt;&gt;"))))</f>
        <v/>
      </c>
      <c r="I174" s="43" t="str">
        <f>IF(OR($B174="",$A174&gt;$B$9,I$149=""),"",IF(COUNTIFS(BD!$B$3:$B$5001,I$149,BD!$A$3:$A$5001,"&gt;="&amp;$C$7,BD!$A$3:$A$5001,"&lt;="&amp;$B174,BD!$M$3:$M$5001,"&lt;&gt;")=0,"",SUMIFS(BD!$M$3:$M$5001,BD!$B$3:$B$5001,I$149,BD!$A$3:$A$5001,_xlfn.MAXIFS(BD!$A$3:$A$5001,BD!$B$3:$B$5001,I$149,BD!$A$3:$A$5001,"&gt;="&amp;$C$7,BD!$A$3:$A$5001,"&lt;="&amp;$B174,BD!$M$3:$M$5001,"&lt;&gt;"))))</f>
        <v/>
      </c>
      <c r="J174" s="43" t="str">
        <f>IF(OR($B174="",$A174&gt;$B$9,J$149=""),"",IF(COUNTIFS(BD!$B$3:$B$5001,J$149,BD!$A$3:$A$5001,"&gt;="&amp;$C$7,BD!$A$3:$A$5001,"&lt;="&amp;$B174,BD!$M$3:$M$5001,"&lt;&gt;")=0,"",SUMIFS(BD!$M$3:$M$5001,BD!$B$3:$B$5001,J$149,BD!$A$3:$A$5001,_xlfn.MAXIFS(BD!$A$3:$A$5001,BD!$B$3:$B$5001,J$149,BD!$A$3:$A$5001,"&gt;="&amp;$C$7,BD!$A$3:$A$5001,"&lt;="&amp;$B174,BD!$M$3:$M$5001,"&lt;&gt;"))))</f>
        <v/>
      </c>
      <c r="K174" s="43" t="str">
        <f>IF(OR($B174="",$A174&gt;$B$9,K$149=""),"",IF(COUNTIFS(BD!$B$3:$B$5001,K$149,BD!$A$3:$A$5001,"&gt;="&amp;$C$7,BD!$A$3:$A$5001,"&lt;="&amp;$B174,BD!$M$3:$M$5001,"&lt;&gt;")=0,"",SUMIFS(BD!$M$3:$M$5001,BD!$B$3:$B$5001,K$149,BD!$A$3:$A$5001,_xlfn.MAXIFS(BD!$A$3:$A$5001,BD!$B$3:$B$5001,K$149,BD!$A$3:$A$5001,"&gt;="&amp;$C$7,BD!$A$3:$A$5001,"&lt;="&amp;$B174,BD!$M$3:$M$5001,"&lt;&gt;"))))</f>
        <v/>
      </c>
      <c r="L174" s="43" t="str">
        <f>IF(OR($B174="",$A174&gt;$B$9,L$149=""),"",IF(COUNTIFS(BD!$B$3:$B$5001,L$149,BD!$A$3:$A$5001,"&gt;="&amp;$C$7,BD!$A$3:$A$5001,"&lt;="&amp;$B174,BD!$M$3:$M$5001,"&lt;&gt;")=0,"",SUMIFS(BD!$M$3:$M$5001,BD!$B$3:$B$5001,L$149,BD!$A$3:$A$5001,_xlfn.MAXIFS(BD!$A$3:$A$5001,BD!$B$3:$B$5001,L$149,BD!$A$3:$A$5001,"&gt;="&amp;$C$7,BD!$A$3:$A$5001,"&lt;="&amp;$B174,BD!$M$3:$M$5001,"&lt;&gt;"))))</f>
        <v/>
      </c>
      <c r="M174" s="43" t="str">
        <f>IF(OR($B174="",$A174&gt;$B$9,M$149=""),"",IF(COUNTIFS(BD!$B$3:$B$5001,M$149,BD!$A$3:$A$5001,"&gt;="&amp;$C$7,BD!$A$3:$A$5001,"&lt;="&amp;$B174,BD!$M$3:$M$5001,"&lt;&gt;")=0,"",SUMIFS(BD!$M$3:$M$5001,BD!$B$3:$B$5001,M$149,BD!$A$3:$A$5001,_xlfn.MAXIFS(BD!$A$3:$A$5001,BD!$B$3:$B$5001,M$149,BD!$A$3:$A$5001,"&gt;="&amp;$C$7,BD!$A$3:$A$5001,"&lt;="&amp;$B174,BD!$M$3:$M$5001,"&lt;&gt;"))))</f>
        <v/>
      </c>
      <c r="N174" s="43" t="str">
        <f>IF(OR($B174="",$A174&gt;$B$9,N$149=""),"",IF(COUNTIFS(BD!$B$3:$B$5001,N$149,BD!$A$3:$A$5001,"&gt;="&amp;$C$7,BD!$A$3:$A$5001,"&lt;="&amp;$B174,BD!$M$3:$M$5001,"&lt;&gt;")=0,"",SUMIFS(BD!$M$3:$M$5001,BD!$B$3:$B$5001,N$149,BD!$A$3:$A$5001,_xlfn.MAXIFS(BD!$A$3:$A$5001,BD!$B$3:$B$5001,N$149,BD!$A$3:$A$5001,"&gt;="&amp;$C$7,BD!$A$3:$A$5001,"&lt;="&amp;$B174,BD!$M$3:$M$5001,"&lt;&gt;"))))</f>
        <v/>
      </c>
      <c r="O174" s="43" t="str">
        <f>IF(OR($B174="",$A174&gt;$B$9,O$149=""),"",IF(COUNTIFS(BD!$B$3:$B$5001,O$149,BD!$A$3:$A$5001,"&gt;="&amp;$C$7,BD!$A$3:$A$5001,"&lt;="&amp;$B174,BD!$M$3:$M$5001,"&lt;&gt;")=0,"",SUMIFS(BD!$M$3:$M$5001,BD!$B$3:$B$5001,O$149,BD!$A$3:$A$5001,_xlfn.MAXIFS(BD!$A$3:$A$5001,BD!$B$3:$B$5001,O$149,BD!$A$3:$A$5001,"&gt;="&amp;$C$7,BD!$A$3:$A$5001,"&lt;="&amp;$B174,BD!$M$3:$M$5001,"&lt;&gt;"))))</f>
        <v/>
      </c>
      <c r="P174" s="43" t="str">
        <f>IF(OR($B174="",$A174&gt;$B$9,P$149=""),"",IF(COUNTIFS(BD!$B$3:$B$5001,P$149,BD!$A$3:$A$5001,"&gt;="&amp;$C$7,BD!$A$3:$A$5001,"&lt;="&amp;$B174,BD!$M$3:$M$5001,"&lt;&gt;")=0,"",SUMIFS(BD!$M$3:$M$5001,BD!$B$3:$B$5001,P$149,BD!$A$3:$A$5001,_xlfn.MAXIFS(BD!$A$3:$A$5001,BD!$B$3:$B$5001,P$149,BD!$A$3:$A$5001,"&gt;="&amp;$C$7,BD!$A$3:$A$5001,"&lt;="&amp;$B174,BD!$M$3:$M$5001,"&lt;&gt;"))))</f>
        <v/>
      </c>
      <c r="Q174" s="43" t="str">
        <f>IF(OR($B174="",$A174&gt;$B$9,Q$149=""),"",IF(COUNTIFS(BD!$B$3:$B$5001,Q$149,BD!$A$3:$A$5001,"&gt;="&amp;$C$7,BD!$A$3:$A$5001,"&lt;="&amp;$B174,BD!$M$3:$M$5001,"&lt;&gt;")=0,"",SUMIFS(BD!$M$3:$M$5001,BD!$B$3:$B$5001,Q$149,BD!$A$3:$A$5001,_xlfn.MAXIFS(BD!$A$3:$A$5001,BD!$B$3:$B$5001,Q$149,BD!$A$3:$A$5001,"&gt;="&amp;$C$7,BD!$A$3:$A$5001,"&lt;="&amp;$B174,BD!$M$3:$M$5001,"&lt;&gt;"))))</f>
        <v/>
      </c>
      <c r="R174" s="43" t="str">
        <f>IF(OR($B174="",$A174&gt;$B$9,R$149=""),"",IF(COUNTIFS(BD!$B$3:$B$5001,R$149,BD!$A$3:$A$5001,"&gt;="&amp;$C$7,BD!$A$3:$A$5001,"&lt;="&amp;$B174,BD!$M$3:$M$5001,"&lt;&gt;")=0,"",SUMIFS(BD!$M$3:$M$5001,BD!$B$3:$B$5001,R$149,BD!$A$3:$A$5001,_xlfn.MAXIFS(BD!$A$3:$A$5001,BD!$B$3:$B$5001,R$149,BD!$A$3:$A$5001,"&gt;="&amp;$C$7,BD!$A$3:$A$5001,"&lt;="&amp;$B174,BD!$M$3:$M$5001,"&lt;&gt;"))))</f>
        <v/>
      </c>
      <c r="S174" s="43" t="str">
        <f>IF(OR($B174="",$A174&gt;$B$9,S$149=""),"",IF(COUNTIFS(BD!$B$3:$B$5001,S$149,BD!$A$3:$A$5001,"&gt;="&amp;$C$7,BD!$A$3:$A$5001,"&lt;="&amp;$B174,BD!$M$3:$M$5001,"&lt;&gt;")=0,"",SUMIFS(BD!$M$3:$M$5001,BD!$B$3:$B$5001,S$149,BD!$A$3:$A$5001,_xlfn.MAXIFS(BD!$A$3:$A$5001,BD!$B$3:$B$5001,S$149,BD!$A$3:$A$5001,"&gt;="&amp;$C$7,BD!$A$3:$A$5001,"&lt;="&amp;$B174,BD!$M$3:$M$5001,"&lt;&gt;"))))</f>
        <v/>
      </c>
      <c r="T174" s="43" t="str">
        <f>IF(OR($B174="",$A174&gt;$B$9,T$149=""),"",IF(COUNTIFS(BD!$B$3:$B$5001,T$149,BD!$A$3:$A$5001,"&gt;="&amp;$C$7,BD!$A$3:$A$5001,"&lt;="&amp;$B174,BD!$M$3:$M$5001,"&lt;&gt;")=0,"",SUMIFS(BD!$M$3:$M$5001,BD!$B$3:$B$5001,T$149,BD!$A$3:$A$5001,_xlfn.MAXIFS(BD!$A$3:$A$5001,BD!$B$3:$B$5001,T$149,BD!$A$3:$A$5001,"&gt;="&amp;$C$7,BD!$A$3:$A$5001,"&lt;="&amp;$B174,BD!$M$3:$M$5001,"&lt;&gt;"))))</f>
        <v/>
      </c>
      <c r="U174" s="43" t="str">
        <f>IF(OR($B174="",$A174&gt;$B$9,U$149=""),"",IF(COUNTIFS(BD!$B$3:$B$5001,U$149,BD!$A$3:$A$5001,"&gt;="&amp;$C$7,BD!$A$3:$A$5001,"&lt;="&amp;$B174,BD!$M$3:$M$5001,"&lt;&gt;")=0,"",SUMIFS(BD!$M$3:$M$5001,BD!$B$3:$B$5001,U$149,BD!$A$3:$A$5001,_xlfn.MAXIFS(BD!$A$3:$A$5001,BD!$B$3:$B$5001,U$149,BD!$A$3:$A$5001,"&gt;="&amp;$C$7,BD!$A$3:$A$5001,"&lt;="&amp;$B174,BD!$M$3:$M$5001,"&lt;&gt;"))))</f>
        <v/>
      </c>
      <c r="V174" s="43" t="str">
        <f>IF(OR($B174="",$A174&gt;$B$9,V$149=""),"",IF(COUNTIFS(BD!$B$3:$B$5001,V$149,BD!$A$3:$A$5001,"&gt;="&amp;$C$7,BD!$A$3:$A$5001,"&lt;="&amp;$B174,BD!$M$3:$M$5001,"&lt;&gt;")=0,"",SUMIFS(BD!$M$3:$M$5001,BD!$B$3:$B$5001,V$149,BD!$A$3:$A$5001,_xlfn.MAXIFS(BD!$A$3:$A$5001,BD!$B$3:$B$5001,V$149,BD!$A$3:$A$5001,"&gt;="&amp;$C$7,BD!$A$3:$A$5001,"&lt;="&amp;$B174,BD!$M$3:$M$5001,"&lt;&gt;"))))</f>
        <v/>
      </c>
    </row>
    <row r="175">
      <c r="A175" s="38">
        <v>26</v>
      </c>
      <c r="B175" s="42">
        <f>$B$37</f>
        <v>46321</v>
      </c>
      <c r="C175" s="43" t="str">
        <f>IF(OR($B175="",$A175&gt;$B$9,C$149=""),"",IF(COUNTIFS(BD!$B$3:$B$5001,C$149,BD!$A$3:$A$5001,"&gt;="&amp;$C$7,BD!$A$3:$A$5001,"&lt;="&amp;$B175,BD!$M$3:$M$5001,"&lt;&gt;")=0,"",SUMIFS(BD!$M$3:$M$5001,BD!$B$3:$B$5001,C$149,BD!$A$3:$A$5001,_xlfn.MAXIFS(BD!$A$3:$A$5001,BD!$B$3:$B$5001,C$149,BD!$A$3:$A$5001,"&gt;="&amp;$C$7,BD!$A$3:$A$5001,"&lt;="&amp;$B175,BD!$M$3:$M$5001,"&lt;&gt;"))))</f>
        <v/>
      </c>
      <c r="D175" s="43" t="str">
        <f>IF(OR($B175="",$A175&gt;$B$9,D$149=""),"",IF(COUNTIFS(BD!$B$3:$B$5001,D$149,BD!$A$3:$A$5001,"&gt;="&amp;$C$7,BD!$A$3:$A$5001,"&lt;="&amp;$B175,BD!$M$3:$M$5001,"&lt;&gt;")=0,"",SUMIFS(BD!$M$3:$M$5001,BD!$B$3:$B$5001,D$149,BD!$A$3:$A$5001,_xlfn.MAXIFS(BD!$A$3:$A$5001,BD!$B$3:$B$5001,D$149,BD!$A$3:$A$5001,"&gt;="&amp;$C$7,BD!$A$3:$A$5001,"&lt;="&amp;$B175,BD!$M$3:$M$5001,"&lt;&gt;"))))</f>
        <v/>
      </c>
      <c r="E175" s="43" t="str">
        <f>IF(OR($B175="",$A175&gt;$B$9,E$149=""),"",IF(COUNTIFS(BD!$B$3:$B$5001,E$149,BD!$A$3:$A$5001,"&gt;="&amp;$C$7,BD!$A$3:$A$5001,"&lt;="&amp;$B175,BD!$M$3:$M$5001,"&lt;&gt;")=0,"",SUMIFS(BD!$M$3:$M$5001,BD!$B$3:$B$5001,E$149,BD!$A$3:$A$5001,_xlfn.MAXIFS(BD!$A$3:$A$5001,BD!$B$3:$B$5001,E$149,BD!$A$3:$A$5001,"&gt;="&amp;$C$7,BD!$A$3:$A$5001,"&lt;="&amp;$B175,BD!$M$3:$M$5001,"&lt;&gt;"))))</f>
        <v/>
      </c>
      <c r="F175" s="43" t="str">
        <f>IF(OR($B175="",$A175&gt;$B$9,F$149=""),"",IF(COUNTIFS(BD!$B$3:$B$5001,F$149,BD!$A$3:$A$5001,"&gt;="&amp;$C$7,BD!$A$3:$A$5001,"&lt;="&amp;$B175,BD!$M$3:$M$5001,"&lt;&gt;")=0,"",SUMIFS(BD!$M$3:$M$5001,BD!$B$3:$B$5001,F$149,BD!$A$3:$A$5001,_xlfn.MAXIFS(BD!$A$3:$A$5001,BD!$B$3:$B$5001,F$149,BD!$A$3:$A$5001,"&gt;="&amp;$C$7,BD!$A$3:$A$5001,"&lt;="&amp;$B175,BD!$M$3:$M$5001,"&lt;&gt;"))))</f>
        <v/>
      </c>
      <c r="G175" s="43" t="str">
        <f>IF(OR($B175="",$A175&gt;$B$9,G$149=""),"",IF(COUNTIFS(BD!$B$3:$B$5001,G$149,BD!$A$3:$A$5001,"&gt;="&amp;$C$7,BD!$A$3:$A$5001,"&lt;="&amp;$B175,BD!$M$3:$M$5001,"&lt;&gt;")=0,"",SUMIFS(BD!$M$3:$M$5001,BD!$B$3:$B$5001,G$149,BD!$A$3:$A$5001,_xlfn.MAXIFS(BD!$A$3:$A$5001,BD!$B$3:$B$5001,G$149,BD!$A$3:$A$5001,"&gt;="&amp;$C$7,BD!$A$3:$A$5001,"&lt;="&amp;$B175,BD!$M$3:$M$5001,"&lt;&gt;"))))</f>
        <v/>
      </c>
      <c r="H175" s="43" t="str">
        <f>IF(OR($B175="",$A175&gt;$B$9,H$149=""),"",IF(COUNTIFS(BD!$B$3:$B$5001,H$149,BD!$A$3:$A$5001,"&gt;="&amp;$C$7,BD!$A$3:$A$5001,"&lt;="&amp;$B175,BD!$M$3:$M$5001,"&lt;&gt;")=0,"",SUMIFS(BD!$M$3:$M$5001,BD!$B$3:$B$5001,H$149,BD!$A$3:$A$5001,_xlfn.MAXIFS(BD!$A$3:$A$5001,BD!$B$3:$B$5001,H$149,BD!$A$3:$A$5001,"&gt;="&amp;$C$7,BD!$A$3:$A$5001,"&lt;="&amp;$B175,BD!$M$3:$M$5001,"&lt;&gt;"))))</f>
        <v/>
      </c>
      <c r="I175" s="43" t="str">
        <f>IF(OR($B175="",$A175&gt;$B$9,I$149=""),"",IF(COUNTIFS(BD!$B$3:$B$5001,I$149,BD!$A$3:$A$5001,"&gt;="&amp;$C$7,BD!$A$3:$A$5001,"&lt;="&amp;$B175,BD!$M$3:$M$5001,"&lt;&gt;")=0,"",SUMIFS(BD!$M$3:$M$5001,BD!$B$3:$B$5001,I$149,BD!$A$3:$A$5001,_xlfn.MAXIFS(BD!$A$3:$A$5001,BD!$B$3:$B$5001,I$149,BD!$A$3:$A$5001,"&gt;="&amp;$C$7,BD!$A$3:$A$5001,"&lt;="&amp;$B175,BD!$M$3:$M$5001,"&lt;&gt;"))))</f>
        <v/>
      </c>
      <c r="J175" s="43" t="str">
        <f>IF(OR($B175="",$A175&gt;$B$9,J$149=""),"",IF(COUNTIFS(BD!$B$3:$B$5001,J$149,BD!$A$3:$A$5001,"&gt;="&amp;$C$7,BD!$A$3:$A$5001,"&lt;="&amp;$B175,BD!$M$3:$M$5001,"&lt;&gt;")=0,"",SUMIFS(BD!$M$3:$M$5001,BD!$B$3:$B$5001,J$149,BD!$A$3:$A$5001,_xlfn.MAXIFS(BD!$A$3:$A$5001,BD!$B$3:$B$5001,J$149,BD!$A$3:$A$5001,"&gt;="&amp;$C$7,BD!$A$3:$A$5001,"&lt;="&amp;$B175,BD!$M$3:$M$5001,"&lt;&gt;"))))</f>
        <v/>
      </c>
      <c r="K175" s="43" t="str">
        <f>IF(OR($B175="",$A175&gt;$B$9,K$149=""),"",IF(COUNTIFS(BD!$B$3:$B$5001,K$149,BD!$A$3:$A$5001,"&gt;="&amp;$C$7,BD!$A$3:$A$5001,"&lt;="&amp;$B175,BD!$M$3:$M$5001,"&lt;&gt;")=0,"",SUMIFS(BD!$M$3:$M$5001,BD!$B$3:$B$5001,K$149,BD!$A$3:$A$5001,_xlfn.MAXIFS(BD!$A$3:$A$5001,BD!$B$3:$B$5001,K$149,BD!$A$3:$A$5001,"&gt;="&amp;$C$7,BD!$A$3:$A$5001,"&lt;="&amp;$B175,BD!$M$3:$M$5001,"&lt;&gt;"))))</f>
        <v/>
      </c>
      <c r="L175" s="43" t="str">
        <f>IF(OR($B175="",$A175&gt;$B$9,L$149=""),"",IF(COUNTIFS(BD!$B$3:$B$5001,L$149,BD!$A$3:$A$5001,"&gt;="&amp;$C$7,BD!$A$3:$A$5001,"&lt;="&amp;$B175,BD!$M$3:$M$5001,"&lt;&gt;")=0,"",SUMIFS(BD!$M$3:$M$5001,BD!$B$3:$B$5001,L$149,BD!$A$3:$A$5001,_xlfn.MAXIFS(BD!$A$3:$A$5001,BD!$B$3:$B$5001,L$149,BD!$A$3:$A$5001,"&gt;="&amp;$C$7,BD!$A$3:$A$5001,"&lt;="&amp;$B175,BD!$M$3:$M$5001,"&lt;&gt;"))))</f>
        <v/>
      </c>
      <c r="M175" s="43" t="str">
        <f>IF(OR($B175="",$A175&gt;$B$9,M$149=""),"",IF(COUNTIFS(BD!$B$3:$B$5001,M$149,BD!$A$3:$A$5001,"&gt;="&amp;$C$7,BD!$A$3:$A$5001,"&lt;="&amp;$B175,BD!$M$3:$M$5001,"&lt;&gt;")=0,"",SUMIFS(BD!$M$3:$M$5001,BD!$B$3:$B$5001,M$149,BD!$A$3:$A$5001,_xlfn.MAXIFS(BD!$A$3:$A$5001,BD!$B$3:$B$5001,M$149,BD!$A$3:$A$5001,"&gt;="&amp;$C$7,BD!$A$3:$A$5001,"&lt;="&amp;$B175,BD!$M$3:$M$5001,"&lt;&gt;"))))</f>
        <v/>
      </c>
      <c r="N175" s="43" t="str">
        <f>IF(OR($B175="",$A175&gt;$B$9,N$149=""),"",IF(COUNTIFS(BD!$B$3:$B$5001,N$149,BD!$A$3:$A$5001,"&gt;="&amp;$C$7,BD!$A$3:$A$5001,"&lt;="&amp;$B175,BD!$M$3:$M$5001,"&lt;&gt;")=0,"",SUMIFS(BD!$M$3:$M$5001,BD!$B$3:$B$5001,N$149,BD!$A$3:$A$5001,_xlfn.MAXIFS(BD!$A$3:$A$5001,BD!$B$3:$B$5001,N$149,BD!$A$3:$A$5001,"&gt;="&amp;$C$7,BD!$A$3:$A$5001,"&lt;="&amp;$B175,BD!$M$3:$M$5001,"&lt;&gt;"))))</f>
        <v/>
      </c>
      <c r="O175" s="43" t="str">
        <f>IF(OR($B175="",$A175&gt;$B$9,O$149=""),"",IF(COUNTIFS(BD!$B$3:$B$5001,O$149,BD!$A$3:$A$5001,"&gt;="&amp;$C$7,BD!$A$3:$A$5001,"&lt;="&amp;$B175,BD!$M$3:$M$5001,"&lt;&gt;")=0,"",SUMIFS(BD!$M$3:$M$5001,BD!$B$3:$B$5001,O$149,BD!$A$3:$A$5001,_xlfn.MAXIFS(BD!$A$3:$A$5001,BD!$B$3:$B$5001,O$149,BD!$A$3:$A$5001,"&gt;="&amp;$C$7,BD!$A$3:$A$5001,"&lt;="&amp;$B175,BD!$M$3:$M$5001,"&lt;&gt;"))))</f>
        <v/>
      </c>
      <c r="P175" s="43" t="str">
        <f>IF(OR($B175="",$A175&gt;$B$9,P$149=""),"",IF(COUNTIFS(BD!$B$3:$B$5001,P$149,BD!$A$3:$A$5001,"&gt;="&amp;$C$7,BD!$A$3:$A$5001,"&lt;="&amp;$B175,BD!$M$3:$M$5001,"&lt;&gt;")=0,"",SUMIFS(BD!$M$3:$M$5001,BD!$B$3:$B$5001,P$149,BD!$A$3:$A$5001,_xlfn.MAXIFS(BD!$A$3:$A$5001,BD!$B$3:$B$5001,P$149,BD!$A$3:$A$5001,"&gt;="&amp;$C$7,BD!$A$3:$A$5001,"&lt;="&amp;$B175,BD!$M$3:$M$5001,"&lt;&gt;"))))</f>
        <v/>
      </c>
      <c r="Q175" s="43" t="str">
        <f>IF(OR($B175="",$A175&gt;$B$9,Q$149=""),"",IF(COUNTIFS(BD!$B$3:$B$5001,Q$149,BD!$A$3:$A$5001,"&gt;="&amp;$C$7,BD!$A$3:$A$5001,"&lt;="&amp;$B175,BD!$M$3:$M$5001,"&lt;&gt;")=0,"",SUMIFS(BD!$M$3:$M$5001,BD!$B$3:$B$5001,Q$149,BD!$A$3:$A$5001,_xlfn.MAXIFS(BD!$A$3:$A$5001,BD!$B$3:$B$5001,Q$149,BD!$A$3:$A$5001,"&gt;="&amp;$C$7,BD!$A$3:$A$5001,"&lt;="&amp;$B175,BD!$M$3:$M$5001,"&lt;&gt;"))))</f>
        <v/>
      </c>
      <c r="R175" s="43" t="str">
        <f>IF(OR($B175="",$A175&gt;$B$9,R$149=""),"",IF(COUNTIFS(BD!$B$3:$B$5001,R$149,BD!$A$3:$A$5001,"&gt;="&amp;$C$7,BD!$A$3:$A$5001,"&lt;="&amp;$B175,BD!$M$3:$M$5001,"&lt;&gt;")=0,"",SUMIFS(BD!$M$3:$M$5001,BD!$B$3:$B$5001,R$149,BD!$A$3:$A$5001,_xlfn.MAXIFS(BD!$A$3:$A$5001,BD!$B$3:$B$5001,R$149,BD!$A$3:$A$5001,"&gt;="&amp;$C$7,BD!$A$3:$A$5001,"&lt;="&amp;$B175,BD!$M$3:$M$5001,"&lt;&gt;"))))</f>
        <v/>
      </c>
      <c r="S175" s="43" t="str">
        <f>IF(OR($B175="",$A175&gt;$B$9,S$149=""),"",IF(COUNTIFS(BD!$B$3:$B$5001,S$149,BD!$A$3:$A$5001,"&gt;="&amp;$C$7,BD!$A$3:$A$5001,"&lt;="&amp;$B175,BD!$M$3:$M$5001,"&lt;&gt;")=0,"",SUMIFS(BD!$M$3:$M$5001,BD!$B$3:$B$5001,S$149,BD!$A$3:$A$5001,_xlfn.MAXIFS(BD!$A$3:$A$5001,BD!$B$3:$B$5001,S$149,BD!$A$3:$A$5001,"&gt;="&amp;$C$7,BD!$A$3:$A$5001,"&lt;="&amp;$B175,BD!$M$3:$M$5001,"&lt;&gt;"))))</f>
        <v/>
      </c>
      <c r="T175" s="43" t="str">
        <f>IF(OR($B175="",$A175&gt;$B$9,T$149=""),"",IF(COUNTIFS(BD!$B$3:$B$5001,T$149,BD!$A$3:$A$5001,"&gt;="&amp;$C$7,BD!$A$3:$A$5001,"&lt;="&amp;$B175,BD!$M$3:$M$5001,"&lt;&gt;")=0,"",SUMIFS(BD!$M$3:$M$5001,BD!$B$3:$B$5001,T$149,BD!$A$3:$A$5001,_xlfn.MAXIFS(BD!$A$3:$A$5001,BD!$B$3:$B$5001,T$149,BD!$A$3:$A$5001,"&gt;="&amp;$C$7,BD!$A$3:$A$5001,"&lt;="&amp;$B175,BD!$M$3:$M$5001,"&lt;&gt;"))))</f>
        <v/>
      </c>
      <c r="U175" s="43" t="str">
        <f>IF(OR($B175="",$A175&gt;$B$9,U$149=""),"",IF(COUNTIFS(BD!$B$3:$B$5001,U$149,BD!$A$3:$A$5001,"&gt;="&amp;$C$7,BD!$A$3:$A$5001,"&lt;="&amp;$B175,BD!$M$3:$M$5001,"&lt;&gt;")=0,"",SUMIFS(BD!$M$3:$M$5001,BD!$B$3:$B$5001,U$149,BD!$A$3:$A$5001,_xlfn.MAXIFS(BD!$A$3:$A$5001,BD!$B$3:$B$5001,U$149,BD!$A$3:$A$5001,"&gt;="&amp;$C$7,BD!$A$3:$A$5001,"&lt;="&amp;$B175,BD!$M$3:$M$5001,"&lt;&gt;"))))</f>
        <v/>
      </c>
      <c r="V175" s="43" t="str">
        <f>IF(OR($B175="",$A175&gt;$B$9,V$149=""),"",IF(COUNTIFS(BD!$B$3:$B$5001,V$149,BD!$A$3:$A$5001,"&gt;="&amp;$C$7,BD!$A$3:$A$5001,"&lt;="&amp;$B175,BD!$M$3:$M$5001,"&lt;&gt;")=0,"",SUMIFS(BD!$M$3:$M$5001,BD!$B$3:$B$5001,V$149,BD!$A$3:$A$5001,_xlfn.MAXIFS(BD!$A$3:$A$5001,BD!$B$3:$B$5001,V$149,BD!$A$3:$A$5001,"&gt;="&amp;$C$7,BD!$A$3:$A$5001,"&lt;="&amp;$B175,BD!$M$3:$M$5001,"&lt;&gt;"))))</f>
        <v/>
      </c>
    </row>
    <row r="176">
      <c r="A176" s="38">
        <v>27</v>
      </c>
      <c r="B176" s="42">
        <f>$B$38</f>
        <v>46322</v>
      </c>
      <c r="C176" s="43" t="str">
        <f>IF(OR($B176="",$A176&gt;$B$9,C$149=""),"",IF(COUNTIFS(BD!$B$3:$B$5001,C$149,BD!$A$3:$A$5001,"&gt;="&amp;$C$7,BD!$A$3:$A$5001,"&lt;="&amp;$B176,BD!$M$3:$M$5001,"&lt;&gt;")=0,"",SUMIFS(BD!$M$3:$M$5001,BD!$B$3:$B$5001,C$149,BD!$A$3:$A$5001,_xlfn.MAXIFS(BD!$A$3:$A$5001,BD!$B$3:$B$5001,C$149,BD!$A$3:$A$5001,"&gt;="&amp;$C$7,BD!$A$3:$A$5001,"&lt;="&amp;$B176,BD!$M$3:$M$5001,"&lt;&gt;"))))</f>
        <v/>
      </c>
      <c r="D176" s="43" t="str">
        <f>IF(OR($B176="",$A176&gt;$B$9,D$149=""),"",IF(COUNTIFS(BD!$B$3:$B$5001,D$149,BD!$A$3:$A$5001,"&gt;="&amp;$C$7,BD!$A$3:$A$5001,"&lt;="&amp;$B176,BD!$M$3:$M$5001,"&lt;&gt;")=0,"",SUMIFS(BD!$M$3:$M$5001,BD!$B$3:$B$5001,D$149,BD!$A$3:$A$5001,_xlfn.MAXIFS(BD!$A$3:$A$5001,BD!$B$3:$B$5001,D$149,BD!$A$3:$A$5001,"&gt;="&amp;$C$7,BD!$A$3:$A$5001,"&lt;="&amp;$B176,BD!$M$3:$M$5001,"&lt;&gt;"))))</f>
        <v/>
      </c>
      <c r="E176" s="43" t="str">
        <f>IF(OR($B176="",$A176&gt;$B$9,E$149=""),"",IF(COUNTIFS(BD!$B$3:$B$5001,E$149,BD!$A$3:$A$5001,"&gt;="&amp;$C$7,BD!$A$3:$A$5001,"&lt;="&amp;$B176,BD!$M$3:$M$5001,"&lt;&gt;")=0,"",SUMIFS(BD!$M$3:$M$5001,BD!$B$3:$B$5001,E$149,BD!$A$3:$A$5001,_xlfn.MAXIFS(BD!$A$3:$A$5001,BD!$B$3:$B$5001,E$149,BD!$A$3:$A$5001,"&gt;="&amp;$C$7,BD!$A$3:$A$5001,"&lt;="&amp;$B176,BD!$M$3:$M$5001,"&lt;&gt;"))))</f>
        <v/>
      </c>
      <c r="F176" s="43" t="str">
        <f>IF(OR($B176="",$A176&gt;$B$9,F$149=""),"",IF(COUNTIFS(BD!$B$3:$B$5001,F$149,BD!$A$3:$A$5001,"&gt;="&amp;$C$7,BD!$A$3:$A$5001,"&lt;="&amp;$B176,BD!$M$3:$M$5001,"&lt;&gt;")=0,"",SUMIFS(BD!$M$3:$M$5001,BD!$B$3:$B$5001,F$149,BD!$A$3:$A$5001,_xlfn.MAXIFS(BD!$A$3:$A$5001,BD!$B$3:$B$5001,F$149,BD!$A$3:$A$5001,"&gt;="&amp;$C$7,BD!$A$3:$A$5001,"&lt;="&amp;$B176,BD!$M$3:$M$5001,"&lt;&gt;"))))</f>
        <v/>
      </c>
      <c r="G176" s="43" t="str">
        <f>IF(OR($B176="",$A176&gt;$B$9,G$149=""),"",IF(COUNTIFS(BD!$B$3:$B$5001,G$149,BD!$A$3:$A$5001,"&gt;="&amp;$C$7,BD!$A$3:$A$5001,"&lt;="&amp;$B176,BD!$M$3:$M$5001,"&lt;&gt;")=0,"",SUMIFS(BD!$M$3:$M$5001,BD!$B$3:$B$5001,G$149,BD!$A$3:$A$5001,_xlfn.MAXIFS(BD!$A$3:$A$5001,BD!$B$3:$B$5001,G$149,BD!$A$3:$A$5001,"&gt;="&amp;$C$7,BD!$A$3:$A$5001,"&lt;="&amp;$B176,BD!$M$3:$M$5001,"&lt;&gt;"))))</f>
        <v/>
      </c>
      <c r="H176" s="43" t="str">
        <f>IF(OR($B176="",$A176&gt;$B$9,H$149=""),"",IF(COUNTIFS(BD!$B$3:$B$5001,H$149,BD!$A$3:$A$5001,"&gt;="&amp;$C$7,BD!$A$3:$A$5001,"&lt;="&amp;$B176,BD!$M$3:$M$5001,"&lt;&gt;")=0,"",SUMIFS(BD!$M$3:$M$5001,BD!$B$3:$B$5001,H$149,BD!$A$3:$A$5001,_xlfn.MAXIFS(BD!$A$3:$A$5001,BD!$B$3:$B$5001,H$149,BD!$A$3:$A$5001,"&gt;="&amp;$C$7,BD!$A$3:$A$5001,"&lt;="&amp;$B176,BD!$M$3:$M$5001,"&lt;&gt;"))))</f>
        <v/>
      </c>
      <c r="I176" s="43" t="str">
        <f>IF(OR($B176="",$A176&gt;$B$9,I$149=""),"",IF(COUNTIFS(BD!$B$3:$B$5001,I$149,BD!$A$3:$A$5001,"&gt;="&amp;$C$7,BD!$A$3:$A$5001,"&lt;="&amp;$B176,BD!$M$3:$M$5001,"&lt;&gt;")=0,"",SUMIFS(BD!$M$3:$M$5001,BD!$B$3:$B$5001,I$149,BD!$A$3:$A$5001,_xlfn.MAXIFS(BD!$A$3:$A$5001,BD!$B$3:$B$5001,I$149,BD!$A$3:$A$5001,"&gt;="&amp;$C$7,BD!$A$3:$A$5001,"&lt;="&amp;$B176,BD!$M$3:$M$5001,"&lt;&gt;"))))</f>
        <v/>
      </c>
      <c r="J176" s="43" t="str">
        <f>IF(OR($B176="",$A176&gt;$B$9,J$149=""),"",IF(COUNTIFS(BD!$B$3:$B$5001,J$149,BD!$A$3:$A$5001,"&gt;="&amp;$C$7,BD!$A$3:$A$5001,"&lt;="&amp;$B176,BD!$M$3:$M$5001,"&lt;&gt;")=0,"",SUMIFS(BD!$M$3:$M$5001,BD!$B$3:$B$5001,J$149,BD!$A$3:$A$5001,_xlfn.MAXIFS(BD!$A$3:$A$5001,BD!$B$3:$B$5001,J$149,BD!$A$3:$A$5001,"&gt;="&amp;$C$7,BD!$A$3:$A$5001,"&lt;="&amp;$B176,BD!$M$3:$M$5001,"&lt;&gt;"))))</f>
        <v/>
      </c>
      <c r="K176" s="43" t="str">
        <f>IF(OR($B176="",$A176&gt;$B$9,K$149=""),"",IF(COUNTIFS(BD!$B$3:$B$5001,K$149,BD!$A$3:$A$5001,"&gt;="&amp;$C$7,BD!$A$3:$A$5001,"&lt;="&amp;$B176,BD!$M$3:$M$5001,"&lt;&gt;")=0,"",SUMIFS(BD!$M$3:$M$5001,BD!$B$3:$B$5001,K$149,BD!$A$3:$A$5001,_xlfn.MAXIFS(BD!$A$3:$A$5001,BD!$B$3:$B$5001,K$149,BD!$A$3:$A$5001,"&gt;="&amp;$C$7,BD!$A$3:$A$5001,"&lt;="&amp;$B176,BD!$M$3:$M$5001,"&lt;&gt;"))))</f>
        <v/>
      </c>
      <c r="L176" s="43" t="str">
        <f>IF(OR($B176="",$A176&gt;$B$9,L$149=""),"",IF(COUNTIFS(BD!$B$3:$B$5001,L$149,BD!$A$3:$A$5001,"&gt;="&amp;$C$7,BD!$A$3:$A$5001,"&lt;="&amp;$B176,BD!$M$3:$M$5001,"&lt;&gt;")=0,"",SUMIFS(BD!$M$3:$M$5001,BD!$B$3:$B$5001,L$149,BD!$A$3:$A$5001,_xlfn.MAXIFS(BD!$A$3:$A$5001,BD!$B$3:$B$5001,L$149,BD!$A$3:$A$5001,"&gt;="&amp;$C$7,BD!$A$3:$A$5001,"&lt;="&amp;$B176,BD!$M$3:$M$5001,"&lt;&gt;"))))</f>
        <v/>
      </c>
      <c r="M176" s="43" t="str">
        <f>IF(OR($B176="",$A176&gt;$B$9,M$149=""),"",IF(COUNTIFS(BD!$B$3:$B$5001,M$149,BD!$A$3:$A$5001,"&gt;="&amp;$C$7,BD!$A$3:$A$5001,"&lt;="&amp;$B176,BD!$M$3:$M$5001,"&lt;&gt;")=0,"",SUMIFS(BD!$M$3:$M$5001,BD!$B$3:$B$5001,M$149,BD!$A$3:$A$5001,_xlfn.MAXIFS(BD!$A$3:$A$5001,BD!$B$3:$B$5001,M$149,BD!$A$3:$A$5001,"&gt;="&amp;$C$7,BD!$A$3:$A$5001,"&lt;="&amp;$B176,BD!$M$3:$M$5001,"&lt;&gt;"))))</f>
        <v/>
      </c>
      <c r="N176" s="43" t="str">
        <f>IF(OR($B176="",$A176&gt;$B$9,N$149=""),"",IF(COUNTIFS(BD!$B$3:$B$5001,N$149,BD!$A$3:$A$5001,"&gt;="&amp;$C$7,BD!$A$3:$A$5001,"&lt;="&amp;$B176,BD!$M$3:$M$5001,"&lt;&gt;")=0,"",SUMIFS(BD!$M$3:$M$5001,BD!$B$3:$B$5001,N$149,BD!$A$3:$A$5001,_xlfn.MAXIFS(BD!$A$3:$A$5001,BD!$B$3:$B$5001,N$149,BD!$A$3:$A$5001,"&gt;="&amp;$C$7,BD!$A$3:$A$5001,"&lt;="&amp;$B176,BD!$M$3:$M$5001,"&lt;&gt;"))))</f>
        <v/>
      </c>
      <c r="O176" s="43" t="str">
        <f>IF(OR($B176="",$A176&gt;$B$9,O$149=""),"",IF(COUNTIFS(BD!$B$3:$B$5001,O$149,BD!$A$3:$A$5001,"&gt;="&amp;$C$7,BD!$A$3:$A$5001,"&lt;="&amp;$B176,BD!$M$3:$M$5001,"&lt;&gt;")=0,"",SUMIFS(BD!$M$3:$M$5001,BD!$B$3:$B$5001,O$149,BD!$A$3:$A$5001,_xlfn.MAXIFS(BD!$A$3:$A$5001,BD!$B$3:$B$5001,O$149,BD!$A$3:$A$5001,"&gt;="&amp;$C$7,BD!$A$3:$A$5001,"&lt;="&amp;$B176,BD!$M$3:$M$5001,"&lt;&gt;"))))</f>
        <v/>
      </c>
      <c r="P176" s="43" t="str">
        <f>IF(OR($B176="",$A176&gt;$B$9,P$149=""),"",IF(COUNTIFS(BD!$B$3:$B$5001,P$149,BD!$A$3:$A$5001,"&gt;="&amp;$C$7,BD!$A$3:$A$5001,"&lt;="&amp;$B176,BD!$M$3:$M$5001,"&lt;&gt;")=0,"",SUMIFS(BD!$M$3:$M$5001,BD!$B$3:$B$5001,P$149,BD!$A$3:$A$5001,_xlfn.MAXIFS(BD!$A$3:$A$5001,BD!$B$3:$B$5001,P$149,BD!$A$3:$A$5001,"&gt;="&amp;$C$7,BD!$A$3:$A$5001,"&lt;="&amp;$B176,BD!$M$3:$M$5001,"&lt;&gt;"))))</f>
        <v/>
      </c>
      <c r="Q176" s="43" t="str">
        <f>IF(OR($B176="",$A176&gt;$B$9,Q$149=""),"",IF(COUNTIFS(BD!$B$3:$B$5001,Q$149,BD!$A$3:$A$5001,"&gt;="&amp;$C$7,BD!$A$3:$A$5001,"&lt;="&amp;$B176,BD!$M$3:$M$5001,"&lt;&gt;")=0,"",SUMIFS(BD!$M$3:$M$5001,BD!$B$3:$B$5001,Q$149,BD!$A$3:$A$5001,_xlfn.MAXIFS(BD!$A$3:$A$5001,BD!$B$3:$B$5001,Q$149,BD!$A$3:$A$5001,"&gt;="&amp;$C$7,BD!$A$3:$A$5001,"&lt;="&amp;$B176,BD!$M$3:$M$5001,"&lt;&gt;"))))</f>
        <v/>
      </c>
      <c r="R176" s="43" t="str">
        <f>IF(OR($B176="",$A176&gt;$B$9,R$149=""),"",IF(COUNTIFS(BD!$B$3:$B$5001,R$149,BD!$A$3:$A$5001,"&gt;="&amp;$C$7,BD!$A$3:$A$5001,"&lt;="&amp;$B176,BD!$M$3:$M$5001,"&lt;&gt;")=0,"",SUMIFS(BD!$M$3:$M$5001,BD!$B$3:$B$5001,R$149,BD!$A$3:$A$5001,_xlfn.MAXIFS(BD!$A$3:$A$5001,BD!$B$3:$B$5001,R$149,BD!$A$3:$A$5001,"&gt;="&amp;$C$7,BD!$A$3:$A$5001,"&lt;="&amp;$B176,BD!$M$3:$M$5001,"&lt;&gt;"))))</f>
        <v/>
      </c>
      <c r="S176" s="43" t="str">
        <f>IF(OR($B176="",$A176&gt;$B$9,S$149=""),"",IF(COUNTIFS(BD!$B$3:$B$5001,S$149,BD!$A$3:$A$5001,"&gt;="&amp;$C$7,BD!$A$3:$A$5001,"&lt;="&amp;$B176,BD!$M$3:$M$5001,"&lt;&gt;")=0,"",SUMIFS(BD!$M$3:$M$5001,BD!$B$3:$B$5001,S$149,BD!$A$3:$A$5001,_xlfn.MAXIFS(BD!$A$3:$A$5001,BD!$B$3:$B$5001,S$149,BD!$A$3:$A$5001,"&gt;="&amp;$C$7,BD!$A$3:$A$5001,"&lt;="&amp;$B176,BD!$M$3:$M$5001,"&lt;&gt;"))))</f>
        <v/>
      </c>
      <c r="T176" s="43" t="str">
        <f>IF(OR($B176="",$A176&gt;$B$9,T$149=""),"",IF(COUNTIFS(BD!$B$3:$B$5001,T$149,BD!$A$3:$A$5001,"&gt;="&amp;$C$7,BD!$A$3:$A$5001,"&lt;="&amp;$B176,BD!$M$3:$M$5001,"&lt;&gt;")=0,"",SUMIFS(BD!$M$3:$M$5001,BD!$B$3:$B$5001,T$149,BD!$A$3:$A$5001,_xlfn.MAXIFS(BD!$A$3:$A$5001,BD!$B$3:$B$5001,T$149,BD!$A$3:$A$5001,"&gt;="&amp;$C$7,BD!$A$3:$A$5001,"&lt;="&amp;$B176,BD!$M$3:$M$5001,"&lt;&gt;"))))</f>
        <v/>
      </c>
      <c r="U176" s="43" t="str">
        <f>IF(OR($B176="",$A176&gt;$B$9,U$149=""),"",IF(COUNTIFS(BD!$B$3:$B$5001,U$149,BD!$A$3:$A$5001,"&gt;="&amp;$C$7,BD!$A$3:$A$5001,"&lt;="&amp;$B176,BD!$M$3:$M$5001,"&lt;&gt;")=0,"",SUMIFS(BD!$M$3:$M$5001,BD!$B$3:$B$5001,U$149,BD!$A$3:$A$5001,_xlfn.MAXIFS(BD!$A$3:$A$5001,BD!$B$3:$B$5001,U$149,BD!$A$3:$A$5001,"&gt;="&amp;$C$7,BD!$A$3:$A$5001,"&lt;="&amp;$B176,BD!$M$3:$M$5001,"&lt;&gt;"))))</f>
        <v/>
      </c>
      <c r="V176" s="43" t="str">
        <f>IF(OR($B176="",$A176&gt;$B$9,V$149=""),"",IF(COUNTIFS(BD!$B$3:$B$5001,V$149,BD!$A$3:$A$5001,"&gt;="&amp;$C$7,BD!$A$3:$A$5001,"&lt;="&amp;$B176,BD!$M$3:$M$5001,"&lt;&gt;")=0,"",SUMIFS(BD!$M$3:$M$5001,BD!$B$3:$B$5001,V$149,BD!$A$3:$A$5001,_xlfn.MAXIFS(BD!$A$3:$A$5001,BD!$B$3:$B$5001,V$149,BD!$A$3:$A$5001,"&gt;="&amp;$C$7,BD!$A$3:$A$5001,"&lt;="&amp;$B176,BD!$M$3:$M$5001,"&lt;&gt;"))))</f>
        <v/>
      </c>
    </row>
    <row r="177">
      <c r="A177" s="38">
        <v>28</v>
      </c>
      <c r="B177" s="42">
        <f>$B$39</f>
        <v>46323</v>
      </c>
      <c r="C177" s="43" t="str">
        <f>IF(OR($B177="",$A177&gt;$B$9,C$149=""),"",IF(COUNTIFS(BD!$B$3:$B$5001,C$149,BD!$A$3:$A$5001,"&gt;="&amp;$C$7,BD!$A$3:$A$5001,"&lt;="&amp;$B177,BD!$M$3:$M$5001,"&lt;&gt;")=0,"",SUMIFS(BD!$M$3:$M$5001,BD!$B$3:$B$5001,C$149,BD!$A$3:$A$5001,_xlfn.MAXIFS(BD!$A$3:$A$5001,BD!$B$3:$B$5001,C$149,BD!$A$3:$A$5001,"&gt;="&amp;$C$7,BD!$A$3:$A$5001,"&lt;="&amp;$B177,BD!$M$3:$M$5001,"&lt;&gt;"))))</f>
        <v/>
      </c>
      <c r="D177" s="43" t="str">
        <f>IF(OR($B177="",$A177&gt;$B$9,D$149=""),"",IF(COUNTIFS(BD!$B$3:$B$5001,D$149,BD!$A$3:$A$5001,"&gt;="&amp;$C$7,BD!$A$3:$A$5001,"&lt;="&amp;$B177,BD!$M$3:$M$5001,"&lt;&gt;")=0,"",SUMIFS(BD!$M$3:$M$5001,BD!$B$3:$B$5001,D$149,BD!$A$3:$A$5001,_xlfn.MAXIFS(BD!$A$3:$A$5001,BD!$B$3:$B$5001,D$149,BD!$A$3:$A$5001,"&gt;="&amp;$C$7,BD!$A$3:$A$5001,"&lt;="&amp;$B177,BD!$M$3:$M$5001,"&lt;&gt;"))))</f>
        <v/>
      </c>
      <c r="E177" s="43" t="str">
        <f>IF(OR($B177="",$A177&gt;$B$9,E$149=""),"",IF(COUNTIFS(BD!$B$3:$B$5001,E$149,BD!$A$3:$A$5001,"&gt;="&amp;$C$7,BD!$A$3:$A$5001,"&lt;="&amp;$B177,BD!$M$3:$M$5001,"&lt;&gt;")=0,"",SUMIFS(BD!$M$3:$M$5001,BD!$B$3:$B$5001,E$149,BD!$A$3:$A$5001,_xlfn.MAXIFS(BD!$A$3:$A$5001,BD!$B$3:$B$5001,E$149,BD!$A$3:$A$5001,"&gt;="&amp;$C$7,BD!$A$3:$A$5001,"&lt;="&amp;$B177,BD!$M$3:$M$5001,"&lt;&gt;"))))</f>
        <v/>
      </c>
      <c r="F177" s="43" t="str">
        <f>IF(OR($B177="",$A177&gt;$B$9,F$149=""),"",IF(COUNTIFS(BD!$B$3:$B$5001,F$149,BD!$A$3:$A$5001,"&gt;="&amp;$C$7,BD!$A$3:$A$5001,"&lt;="&amp;$B177,BD!$M$3:$M$5001,"&lt;&gt;")=0,"",SUMIFS(BD!$M$3:$M$5001,BD!$B$3:$B$5001,F$149,BD!$A$3:$A$5001,_xlfn.MAXIFS(BD!$A$3:$A$5001,BD!$B$3:$B$5001,F$149,BD!$A$3:$A$5001,"&gt;="&amp;$C$7,BD!$A$3:$A$5001,"&lt;="&amp;$B177,BD!$M$3:$M$5001,"&lt;&gt;"))))</f>
        <v/>
      </c>
      <c r="G177" s="43" t="str">
        <f>IF(OR($B177="",$A177&gt;$B$9,G$149=""),"",IF(COUNTIFS(BD!$B$3:$B$5001,G$149,BD!$A$3:$A$5001,"&gt;="&amp;$C$7,BD!$A$3:$A$5001,"&lt;="&amp;$B177,BD!$M$3:$M$5001,"&lt;&gt;")=0,"",SUMIFS(BD!$M$3:$M$5001,BD!$B$3:$B$5001,G$149,BD!$A$3:$A$5001,_xlfn.MAXIFS(BD!$A$3:$A$5001,BD!$B$3:$B$5001,G$149,BD!$A$3:$A$5001,"&gt;="&amp;$C$7,BD!$A$3:$A$5001,"&lt;="&amp;$B177,BD!$M$3:$M$5001,"&lt;&gt;"))))</f>
        <v/>
      </c>
      <c r="H177" s="43" t="str">
        <f>IF(OR($B177="",$A177&gt;$B$9,H$149=""),"",IF(COUNTIFS(BD!$B$3:$B$5001,H$149,BD!$A$3:$A$5001,"&gt;="&amp;$C$7,BD!$A$3:$A$5001,"&lt;="&amp;$B177,BD!$M$3:$M$5001,"&lt;&gt;")=0,"",SUMIFS(BD!$M$3:$M$5001,BD!$B$3:$B$5001,H$149,BD!$A$3:$A$5001,_xlfn.MAXIFS(BD!$A$3:$A$5001,BD!$B$3:$B$5001,H$149,BD!$A$3:$A$5001,"&gt;="&amp;$C$7,BD!$A$3:$A$5001,"&lt;="&amp;$B177,BD!$M$3:$M$5001,"&lt;&gt;"))))</f>
        <v/>
      </c>
      <c r="I177" s="43" t="str">
        <f>IF(OR($B177="",$A177&gt;$B$9,I$149=""),"",IF(COUNTIFS(BD!$B$3:$B$5001,I$149,BD!$A$3:$A$5001,"&gt;="&amp;$C$7,BD!$A$3:$A$5001,"&lt;="&amp;$B177,BD!$M$3:$M$5001,"&lt;&gt;")=0,"",SUMIFS(BD!$M$3:$M$5001,BD!$B$3:$B$5001,I$149,BD!$A$3:$A$5001,_xlfn.MAXIFS(BD!$A$3:$A$5001,BD!$B$3:$B$5001,I$149,BD!$A$3:$A$5001,"&gt;="&amp;$C$7,BD!$A$3:$A$5001,"&lt;="&amp;$B177,BD!$M$3:$M$5001,"&lt;&gt;"))))</f>
        <v/>
      </c>
      <c r="J177" s="43" t="str">
        <f>IF(OR($B177="",$A177&gt;$B$9,J$149=""),"",IF(COUNTIFS(BD!$B$3:$B$5001,J$149,BD!$A$3:$A$5001,"&gt;="&amp;$C$7,BD!$A$3:$A$5001,"&lt;="&amp;$B177,BD!$M$3:$M$5001,"&lt;&gt;")=0,"",SUMIFS(BD!$M$3:$M$5001,BD!$B$3:$B$5001,J$149,BD!$A$3:$A$5001,_xlfn.MAXIFS(BD!$A$3:$A$5001,BD!$B$3:$B$5001,J$149,BD!$A$3:$A$5001,"&gt;="&amp;$C$7,BD!$A$3:$A$5001,"&lt;="&amp;$B177,BD!$M$3:$M$5001,"&lt;&gt;"))))</f>
        <v/>
      </c>
      <c r="K177" s="43" t="str">
        <f>IF(OR($B177="",$A177&gt;$B$9,K$149=""),"",IF(COUNTIFS(BD!$B$3:$B$5001,K$149,BD!$A$3:$A$5001,"&gt;="&amp;$C$7,BD!$A$3:$A$5001,"&lt;="&amp;$B177,BD!$M$3:$M$5001,"&lt;&gt;")=0,"",SUMIFS(BD!$M$3:$M$5001,BD!$B$3:$B$5001,K$149,BD!$A$3:$A$5001,_xlfn.MAXIFS(BD!$A$3:$A$5001,BD!$B$3:$B$5001,K$149,BD!$A$3:$A$5001,"&gt;="&amp;$C$7,BD!$A$3:$A$5001,"&lt;="&amp;$B177,BD!$M$3:$M$5001,"&lt;&gt;"))))</f>
        <v/>
      </c>
      <c r="L177" s="43" t="str">
        <f>IF(OR($B177="",$A177&gt;$B$9,L$149=""),"",IF(COUNTIFS(BD!$B$3:$B$5001,L$149,BD!$A$3:$A$5001,"&gt;="&amp;$C$7,BD!$A$3:$A$5001,"&lt;="&amp;$B177,BD!$M$3:$M$5001,"&lt;&gt;")=0,"",SUMIFS(BD!$M$3:$M$5001,BD!$B$3:$B$5001,L$149,BD!$A$3:$A$5001,_xlfn.MAXIFS(BD!$A$3:$A$5001,BD!$B$3:$B$5001,L$149,BD!$A$3:$A$5001,"&gt;="&amp;$C$7,BD!$A$3:$A$5001,"&lt;="&amp;$B177,BD!$M$3:$M$5001,"&lt;&gt;"))))</f>
        <v/>
      </c>
      <c r="M177" s="43" t="str">
        <f>IF(OR($B177="",$A177&gt;$B$9,M$149=""),"",IF(COUNTIFS(BD!$B$3:$B$5001,M$149,BD!$A$3:$A$5001,"&gt;="&amp;$C$7,BD!$A$3:$A$5001,"&lt;="&amp;$B177,BD!$M$3:$M$5001,"&lt;&gt;")=0,"",SUMIFS(BD!$M$3:$M$5001,BD!$B$3:$B$5001,M$149,BD!$A$3:$A$5001,_xlfn.MAXIFS(BD!$A$3:$A$5001,BD!$B$3:$B$5001,M$149,BD!$A$3:$A$5001,"&gt;="&amp;$C$7,BD!$A$3:$A$5001,"&lt;="&amp;$B177,BD!$M$3:$M$5001,"&lt;&gt;"))))</f>
        <v/>
      </c>
      <c r="N177" s="43" t="str">
        <f>IF(OR($B177="",$A177&gt;$B$9,N$149=""),"",IF(COUNTIFS(BD!$B$3:$B$5001,N$149,BD!$A$3:$A$5001,"&gt;="&amp;$C$7,BD!$A$3:$A$5001,"&lt;="&amp;$B177,BD!$M$3:$M$5001,"&lt;&gt;")=0,"",SUMIFS(BD!$M$3:$M$5001,BD!$B$3:$B$5001,N$149,BD!$A$3:$A$5001,_xlfn.MAXIFS(BD!$A$3:$A$5001,BD!$B$3:$B$5001,N$149,BD!$A$3:$A$5001,"&gt;="&amp;$C$7,BD!$A$3:$A$5001,"&lt;="&amp;$B177,BD!$M$3:$M$5001,"&lt;&gt;"))))</f>
        <v/>
      </c>
      <c r="O177" s="43" t="str">
        <f>IF(OR($B177="",$A177&gt;$B$9,O$149=""),"",IF(COUNTIFS(BD!$B$3:$B$5001,O$149,BD!$A$3:$A$5001,"&gt;="&amp;$C$7,BD!$A$3:$A$5001,"&lt;="&amp;$B177,BD!$M$3:$M$5001,"&lt;&gt;")=0,"",SUMIFS(BD!$M$3:$M$5001,BD!$B$3:$B$5001,O$149,BD!$A$3:$A$5001,_xlfn.MAXIFS(BD!$A$3:$A$5001,BD!$B$3:$B$5001,O$149,BD!$A$3:$A$5001,"&gt;="&amp;$C$7,BD!$A$3:$A$5001,"&lt;="&amp;$B177,BD!$M$3:$M$5001,"&lt;&gt;"))))</f>
        <v/>
      </c>
      <c r="P177" s="43" t="str">
        <f>IF(OR($B177="",$A177&gt;$B$9,P$149=""),"",IF(COUNTIFS(BD!$B$3:$B$5001,P$149,BD!$A$3:$A$5001,"&gt;="&amp;$C$7,BD!$A$3:$A$5001,"&lt;="&amp;$B177,BD!$M$3:$M$5001,"&lt;&gt;")=0,"",SUMIFS(BD!$M$3:$M$5001,BD!$B$3:$B$5001,P$149,BD!$A$3:$A$5001,_xlfn.MAXIFS(BD!$A$3:$A$5001,BD!$B$3:$B$5001,P$149,BD!$A$3:$A$5001,"&gt;="&amp;$C$7,BD!$A$3:$A$5001,"&lt;="&amp;$B177,BD!$M$3:$M$5001,"&lt;&gt;"))))</f>
        <v/>
      </c>
      <c r="Q177" s="43" t="str">
        <f>IF(OR($B177="",$A177&gt;$B$9,Q$149=""),"",IF(COUNTIFS(BD!$B$3:$B$5001,Q$149,BD!$A$3:$A$5001,"&gt;="&amp;$C$7,BD!$A$3:$A$5001,"&lt;="&amp;$B177,BD!$M$3:$M$5001,"&lt;&gt;")=0,"",SUMIFS(BD!$M$3:$M$5001,BD!$B$3:$B$5001,Q$149,BD!$A$3:$A$5001,_xlfn.MAXIFS(BD!$A$3:$A$5001,BD!$B$3:$B$5001,Q$149,BD!$A$3:$A$5001,"&gt;="&amp;$C$7,BD!$A$3:$A$5001,"&lt;="&amp;$B177,BD!$M$3:$M$5001,"&lt;&gt;"))))</f>
        <v/>
      </c>
      <c r="R177" s="43" t="str">
        <f>IF(OR($B177="",$A177&gt;$B$9,R$149=""),"",IF(COUNTIFS(BD!$B$3:$B$5001,R$149,BD!$A$3:$A$5001,"&gt;="&amp;$C$7,BD!$A$3:$A$5001,"&lt;="&amp;$B177,BD!$M$3:$M$5001,"&lt;&gt;")=0,"",SUMIFS(BD!$M$3:$M$5001,BD!$B$3:$B$5001,R$149,BD!$A$3:$A$5001,_xlfn.MAXIFS(BD!$A$3:$A$5001,BD!$B$3:$B$5001,R$149,BD!$A$3:$A$5001,"&gt;="&amp;$C$7,BD!$A$3:$A$5001,"&lt;="&amp;$B177,BD!$M$3:$M$5001,"&lt;&gt;"))))</f>
        <v/>
      </c>
      <c r="S177" s="43" t="str">
        <f>IF(OR($B177="",$A177&gt;$B$9,S$149=""),"",IF(COUNTIFS(BD!$B$3:$B$5001,S$149,BD!$A$3:$A$5001,"&gt;="&amp;$C$7,BD!$A$3:$A$5001,"&lt;="&amp;$B177,BD!$M$3:$M$5001,"&lt;&gt;")=0,"",SUMIFS(BD!$M$3:$M$5001,BD!$B$3:$B$5001,S$149,BD!$A$3:$A$5001,_xlfn.MAXIFS(BD!$A$3:$A$5001,BD!$B$3:$B$5001,S$149,BD!$A$3:$A$5001,"&gt;="&amp;$C$7,BD!$A$3:$A$5001,"&lt;="&amp;$B177,BD!$M$3:$M$5001,"&lt;&gt;"))))</f>
        <v/>
      </c>
      <c r="T177" s="43" t="str">
        <f>IF(OR($B177="",$A177&gt;$B$9,T$149=""),"",IF(COUNTIFS(BD!$B$3:$B$5001,T$149,BD!$A$3:$A$5001,"&gt;="&amp;$C$7,BD!$A$3:$A$5001,"&lt;="&amp;$B177,BD!$M$3:$M$5001,"&lt;&gt;")=0,"",SUMIFS(BD!$M$3:$M$5001,BD!$B$3:$B$5001,T$149,BD!$A$3:$A$5001,_xlfn.MAXIFS(BD!$A$3:$A$5001,BD!$B$3:$B$5001,T$149,BD!$A$3:$A$5001,"&gt;="&amp;$C$7,BD!$A$3:$A$5001,"&lt;="&amp;$B177,BD!$M$3:$M$5001,"&lt;&gt;"))))</f>
        <v/>
      </c>
      <c r="U177" s="43" t="str">
        <f>IF(OR($B177="",$A177&gt;$B$9,U$149=""),"",IF(COUNTIFS(BD!$B$3:$B$5001,U$149,BD!$A$3:$A$5001,"&gt;="&amp;$C$7,BD!$A$3:$A$5001,"&lt;="&amp;$B177,BD!$M$3:$M$5001,"&lt;&gt;")=0,"",SUMIFS(BD!$M$3:$M$5001,BD!$B$3:$B$5001,U$149,BD!$A$3:$A$5001,_xlfn.MAXIFS(BD!$A$3:$A$5001,BD!$B$3:$B$5001,U$149,BD!$A$3:$A$5001,"&gt;="&amp;$C$7,BD!$A$3:$A$5001,"&lt;="&amp;$B177,BD!$M$3:$M$5001,"&lt;&gt;"))))</f>
        <v/>
      </c>
      <c r="V177" s="43" t="str">
        <f>IF(OR($B177="",$A177&gt;$B$9,V$149=""),"",IF(COUNTIFS(BD!$B$3:$B$5001,V$149,BD!$A$3:$A$5001,"&gt;="&amp;$C$7,BD!$A$3:$A$5001,"&lt;="&amp;$B177,BD!$M$3:$M$5001,"&lt;&gt;")=0,"",SUMIFS(BD!$M$3:$M$5001,BD!$B$3:$B$5001,V$149,BD!$A$3:$A$5001,_xlfn.MAXIFS(BD!$A$3:$A$5001,BD!$B$3:$B$5001,V$149,BD!$A$3:$A$5001,"&gt;="&amp;$C$7,BD!$A$3:$A$5001,"&lt;="&amp;$B177,BD!$M$3:$M$5001,"&lt;&gt;"))))</f>
        <v/>
      </c>
    </row>
    <row r="178">
      <c r="A178" s="38">
        <v>29</v>
      </c>
      <c r="B178" s="42">
        <f>$B$40</f>
        <v>46324</v>
      </c>
      <c r="C178" s="43" t="str">
        <f>IF(OR($B178="",$A178&gt;$B$9,C$149=""),"",IF(COUNTIFS(BD!$B$3:$B$5001,C$149,BD!$A$3:$A$5001,"&gt;="&amp;$C$7,BD!$A$3:$A$5001,"&lt;="&amp;$B178,BD!$M$3:$M$5001,"&lt;&gt;")=0,"",SUMIFS(BD!$M$3:$M$5001,BD!$B$3:$B$5001,C$149,BD!$A$3:$A$5001,_xlfn.MAXIFS(BD!$A$3:$A$5001,BD!$B$3:$B$5001,C$149,BD!$A$3:$A$5001,"&gt;="&amp;$C$7,BD!$A$3:$A$5001,"&lt;="&amp;$B178,BD!$M$3:$M$5001,"&lt;&gt;"))))</f>
        <v/>
      </c>
      <c r="D178" s="43" t="str">
        <f>IF(OR($B178="",$A178&gt;$B$9,D$149=""),"",IF(COUNTIFS(BD!$B$3:$B$5001,D$149,BD!$A$3:$A$5001,"&gt;="&amp;$C$7,BD!$A$3:$A$5001,"&lt;="&amp;$B178,BD!$M$3:$M$5001,"&lt;&gt;")=0,"",SUMIFS(BD!$M$3:$M$5001,BD!$B$3:$B$5001,D$149,BD!$A$3:$A$5001,_xlfn.MAXIFS(BD!$A$3:$A$5001,BD!$B$3:$B$5001,D$149,BD!$A$3:$A$5001,"&gt;="&amp;$C$7,BD!$A$3:$A$5001,"&lt;="&amp;$B178,BD!$M$3:$M$5001,"&lt;&gt;"))))</f>
        <v/>
      </c>
      <c r="E178" s="43" t="str">
        <f>IF(OR($B178="",$A178&gt;$B$9,E$149=""),"",IF(COUNTIFS(BD!$B$3:$B$5001,E$149,BD!$A$3:$A$5001,"&gt;="&amp;$C$7,BD!$A$3:$A$5001,"&lt;="&amp;$B178,BD!$M$3:$M$5001,"&lt;&gt;")=0,"",SUMIFS(BD!$M$3:$M$5001,BD!$B$3:$B$5001,E$149,BD!$A$3:$A$5001,_xlfn.MAXIFS(BD!$A$3:$A$5001,BD!$B$3:$B$5001,E$149,BD!$A$3:$A$5001,"&gt;="&amp;$C$7,BD!$A$3:$A$5001,"&lt;="&amp;$B178,BD!$M$3:$M$5001,"&lt;&gt;"))))</f>
        <v/>
      </c>
      <c r="F178" s="43" t="str">
        <f>IF(OR($B178="",$A178&gt;$B$9,F$149=""),"",IF(COUNTIFS(BD!$B$3:$B$5001,F$149,BD!$A$3:$A$5001,"&gt;="&amp;$C$7,BD!$A$3:$A$5001,"&lt;="&amp;$B178,BD!$M$3:$M$5001,"&lt;&gt;")=0,"",SUMIFS(BD!$M$3:$M$5001,BD!$B$3:$B$5001,F$149,BD!$A$3:$A$5001,_xlfn.MAXIFS(BD!$A$3:$A$5001,BD!$B$3:$B$5001,F$149,BD!$A$3:$A$5001,"&gt;="&amp;$C$7,BD!$A$3:$A$5001,"&lt;="&amp;$B178,BD!$M$3:$M$5001,"&lt;&gt;"))))</f>
        <v/>
      </c>
      <c r="G178" s="43" t="str">
        <f>IF(OR($B178="",$A178&gt;$B$9,G$149=""),"",IF(COUNTIFS(BD!$B$3:$B$5001,G$149,BD!$A$3:$A$5001,"&gt;="&amp;$C$7,BD!$A$3:$A$5001,"&lt;="&amp;$B178,BD!$M$3:$M$5001,"&lt;&gt;")=0,"",SUMIFS(BD!$M$3:$M$5001,BD!$B$3:$B$5001,G$149,BD!$A$3:$A$5001,_xlfn.MAXIFS(BD!$A$3:$A$5001,BD!$B$3:$B$5001,G$149,BD!$A$3:$A$5001,"&gt;="&amp;$C$7,BD!$A$3:$A$5001,"&lt;="&amp;$B178,BD!$M$3:$M$5001,"&lt;&gt;"))))</f>
        <v/>
      </c>
      <c r="H178" s="43" t="str">
        <f>IF(OR($B178="",$A178&gt;$B$9,H$149=""),"",IF(COUNTIFS(BD!$B$3:$B$5001,H$149,BD!$A$3:$A$5001,"&gt;="&amp;$C$7,BD!$A$3:$A$5001,"&lt;="&amp;$B178,BD!$M$3:$M$5001,"&lt;&gt;")=0,"",SUMIFS(BD!$M$3:$M$5001,BD!$B$3:$B$5001,H$149,BD!$A$3:$A$5001,_xlfn.MAXIFS(BD!$A$3:$A$5001,BD!$B$3:$B$5001,H$149,BD!$A$3:$A$5001,"&gt;="&amp;$C$7,BD!$A$3:$A$5001,"&lt;="&amp;$B178,BD!$M$3:$M$5001,"&lt;&gt;"))))</f>
        <v/>
      </c>
      <c r="I178" s="43" t="str">
        <f>IF(OR($B178="",$A178&gt;$B$9,I$149=""),"",IF(COUNTIFS(BD!$B$3:$B$5001,I$149,BD!$A$3:$A$5001,"&gt;="&amp;$C$7,BD!$A$3:$A$5001,"&lt;="&amp;$B178,BD!$M$3:$M$5001,"&lt;&gt;")=0,"",SUMIFS(BD!$M$3:$M$5001,BD!$B$3:$B$5001,I$149,BD!$A$3:$A$5001,_xlfn.MAXIFS(BD!$A$3:$A$5001,BD!$B$3:$B$5001,I$149,BD!$A$3:$A$5001,"&gt;="&amp;$C$7,BD!$A$3:$A$5001,"&lt;="&amp;$B178,BD!$M$3:$M$5001,"&lt;&gt;"))))</f>
        <v/>
      </c>
      <c r="J178" s="43" t="str">
        <f>IF(OR($B178="",$A178&gt;$B$9,J$149=""),"",IF(COUNTIFS(BD!$B$3:$B$5001,J$149,BD!$A$3:$A$5001,"&gt;="&amp;$C$7,BD!$A$3:$A$5001,"&lt;="&amp;$B178,BD!$M$3:$M$5001,"&lt;&gt;")=0,"",SUMIFS(BD!$M$3:$M$5001,BD!$B$3:$B$5001,J$149,BD!$A$3:$A$5001,_xlfn.MAXIFS(BD!$A$3:$A$5001,BD!$B$3:$B$5001,J$149,BD!$A$3:$A$5001,"&gt;="&amp;$C$7,BD!$A$3:$A$5001,"&lt;="&amp;$B178,BD!$M$3:$M$5001,"&lt;&gt;"))))</f>
        <v/>
      </c>
      <c r="K178" s="43" t="str">
        <f>IF(OR($B178="",$A178&gt;$B$9,K$149=""),"",IF(COUNTIFS(BD!$B$3:$B$5001,K$149,BD!$A$3:$A$5001,"&gt;="&amp;$C$7,BD!$A$3:$A$5001,"&lt;="&amp;$B178,BD!$M$3:$M$5001,"&lt;&gt;")=0,"",SUMIFS(BD!$M$3:$M$5001,BD!$B$3:$B$5001,K$149,BD!$A$3:$A$5001,_xlfn.MAXIFS(BD!$A$3:$A$5001,BD!$B$3:$B$5001,K$149,BD!$A$3:$A$5001,"&gt;="&amp;$C$7,BD!$A$3:$A$5001,"&lt;="&amp;$B178,BD!$M$3:$M$5001,"&lt;&gt;"))))</f>
        <v/>
      </c>
      <c r="L178" s="43" t="str">
        <f>IF(OR($B178="",$A178&gt;$B$9,L$149=""),"",IF(COUNTIFS(BD!$B$3:$B$5001,L$149,BD!$A$3:$A$5001,"&gt;="&amp;$C$7,BD!$A$3:$A$5001,"&lt;="&amp;$B178,BD!$M$3:$M$5001,"&lt;&gt;")=0,"",SUMIFS(BD!$M$3:$M$5001,BD!$B$3:$B$5001,L$149,BD!$A$3:$A$5001,_xlfn.MAXIFS(BD!$A$3:$A$5001,BD!$B$3:$B$5001,L$149,BD!$A$3:$A$5001,"&gt;="&amp;$C$7,BD!$A$3:$A$5001,"&lt;="&amp;$B178,BD!$M$3:$M$5001,"&lt;&gt;"))))</f>
        <v/>
      </c>
      <c r="M178" s="43" t="str">
        <f>IF(OR($B178="",$A178&gt;$B$9,M$149=""),"",IF(COUNTIFS(BD!$B$3:$B$5001,M$149,BD!$A$3:$A$5001,"&gt;="&amp;$C$7,BD!$A$3:$A$5001,"&lt;="&amp;$B178,BD!$M$3:$M$5001,"&lt;&gt;")=0,"",SUMIFS(BD!$M$3:$M$5001,BD!$B$3:$B$5001,M$149,BD!$A$3:$A$5001,_xlfn.MAXIFS(BD!$A$3:$A$5001,BD!$B$3:$B$5001,M$149,BD!$A$3:$A$5001,"&gt;="&amp;$C$7,BD!$A$3:$A$5001,"&lt;="&amp;$B178,BD!$M$3:$M$5001,"&lt;&gt;"))))</f>
        <v/>
      </c>
      <c r="N178" s="43" t="str">
        <f>IF(OR($B178="",$A178&gt;$B$9,N$149=""),"",IF(COUNTIFS(BD!$B$3:$B$5001,N$149,BD!$A$3:$A$5001,"&gt;="&amp;$C$7,BD!$A$3:$A$5001,"&lt;="&amp;$B178,BD!$M$3:$M$5001,"&lt;&gt;")=0,"",SUMIFS(BD!$M$3:$M$5001,BD!$B$3:$B$5001,N$149,BD!$A$3:$A$5001,_xlfn.MAXIFS(BD!$A$3:$A$5001,BD!$B$3:$B$5001,N$149,BD!$A$3:$A$5001,"&gt;="&amp;$C$7,BD!$A$3:$A$5001,"&lt;="&amp;$B178,BD!$M$3:$M$5001,"&lt;&gt;"))))</f>
        <v/>
      </c>
      <c r="O178" s="43" t="str">
        <f>IF(OR($B178="",$A178&gt;$B$9,O$149=""),"",IF(COUNTIFS(BD!$B$3:$B$5001,O$149,BD!$A$3:$A$5001,"&gt;="&amp;$C$7,BD!$A$3:$A$5001,"&lt;="&amp;$B178,BD!$M$3:$M$5001,"&lt;&gt;")=0,"",SUMIFS(BD!$M$3:$M$5001,BD!$B$3:$B$5001,O$149,BD!$A$3:$A$5001,_xlfn.MAXIFS(BD!$A$3:$A$5001,BD!$B$3:$B$5001,O$149,BD!$A$3:$A$5001,"&gt;="&amp;$C$7,BD!$A$3:$A$5001,"&lt;="&amp;$B178,BD!$M$3:$M$5001,"&lt;&gt;"))))</f>
        <v/>
      </c>
      <c r="P178" s="43" t="str">
        <f>IF(OR($B178="",$A178&gt;$B$9,P$149=""),"",IF(COUNTIFS(BD!$B$3:$B$5001,P$149,BD!$A$3:$A$5001,"&gt;="&amp;$C$7,BD!$A$3:$A$5001,"&lt;="&amp;$B178,BD!$M$3:$M$5001,"&lt;&gt;")=0,"",SUMIFS(BD!$M$3:$M$5001,BD!$B$3:$B$5001,P$149,BD!$A$3:$A$5001,_xlfn.MAXIFS(BD!$A$3:$A$5001,BD!$B$3:$B$5001,P$149,BD!$A$3:$A$5001,"&gt;="&amp;$C$7,BD!$A$3:$A$5001,"&lt;="&amp;$B178,BD!$M$3:$M$5001,"&lt;&gt;"))))</f>
        <v/>
      </c>
      <c r="Q178" s="43" t="str">
        <f>IF(OR($B178="",$A178&gt;$B$9,Q$149=""),"",IF(COUNTIFS(BD!$B$3:$B$5001,Q$149,BD!$A$3:$A$5001,"&gt;="&amp;$C$7,BD!$A$3:$A$5001,"&lt;="&amp;$B178,BD!$M$3:$M$5001,"&lt;&gt;")=0,"",SUMIFS(BD!$M$3:$M$5001,BD!$B$3:$B$5001,Q$149,BD!$A$3:$A$5001,_xlfn.MAXIFS(BD!$A$3:$A$5001,BD!$B$3:$B$5001,Q$149,BD!$A$3:$A$5001,"&gt;="&amp;$C$7,BD!$A$3:$A$5001,"&lt;="&amp;$B178,BD!$M$3:$M$5001,"&lt;&gt;"))))</f>
        <v/>
      </c>
      <c r="R178" s="43" t="str">
        <f>IF(OR($B178="",$A178&gt;$B$9,R$149=""),"",IF(COUNTIFS(BD!$B$3:$B$5001,R$149,BD!$A$3:$A$5001,"&gt;="&amp;$C$7,BD!$A$3:$A$5001,"&lt;="&amp;$B178,BD!$M$3:$M$5001,"&lt;&gt;")=0,"",SUMIFS(BD!$M$3:$M$5001,BD!$B$3:$B$5001,R$149,BD!$A$3:$A$5001,_xlfn.MAXIFS(BD!$A$3:$A$5001,BD!$B$3:$B$5001,R$149,BD!$A$3:$A$5001,"&gt;="&amp;$C$7,BD!$A$3:$A$5001,"&lt;="&amp;$B178,BD!$M$3:$M$5001,"&lt;&gt;"))))</f>
        <v/>
      </c>
      <c r="S178" s="43" t="str">
        <f>IF(OR($B178="",$A178&gt;$B$9,S$149=""),"",IF(COUNTIFS(BD!$B$3:$B$5001,S$149,BD!$A$3:$A$5001,"&gt;="&amp;$C$7,BD!$A$3:$A$5001,"&lt;="&amp;$B178,BD!$M$3:$M$5001,"&lt;&gt;")=0,"",SUMIFS(BD!$M$3:$M$5001,BD!$B$3:$B$5001,S$149,BD!$A$3:$A$5001,_xlfn.MAXIFS(BD!$A$3:$A$5001,BD!$B$3:$B$5001,S$149,BD!$A$3:$A$5001,"&gt;="&amp;$C$7,BD!$A$3:$A$5001,"&lt;="&amp;$B178,BD!$M$3:$M$5001,"&lt;&gt;"))))</f>
        <v/>
      </c>
      <c r="T178" s="43" t="str">
        <f>IF(OR($B178="",$A178&gt;$B$9,T$149=""),"",IF(COUNTIFS(BD!$B$3:$B$5001,T$149,BD!$A$3:$A$5001,"&gt;="&amp;$C$7,BD!$A$3:$A$5001,"&lt;="&amp;$B178,BD!$M$3:$M$5001,"&lt;&gt;")=0,"",SUMIFS(BD!$M$3:$M$5001,BD!$B$3:$B$5001,T$149,BD!$A$3:$A$5001,_xlfn.MAXIFS(BD!$A$3:$A$5001,BD!$B$3:$B$5001,T$149,BD!$A$3:$A$5001,"&gt;="&amp;$C$7,BD!$A$3:$A$5001,"&lt;="&amp;$B178,BD!$M$3:$M$5001,"&lt;&gt;"))))</f>
        <v/>
      </c>
      <c r="U178" s="43" t="str">
        <f>IF(OR($B178="",$A178&gt;$B$9,U$149=""),"",IF(COUNTIFS(BD!$B$3:$B$5001,U$149,BD!$A$3:$A$5001,"&gt;="&amp;$C$7,BD!$A$3:$A$5001,"&lt;="&amp;$B178,BD!$M$3:$M$5001,"&lt;&gt;")=0,"",SUMIFS(BD!$M$3:$M$5001,BD!$B$3:$B$5001,U$149,BD!$A$3:$A$5001,_xlfn.MAXIFS(BD!$A$3:$A$5001,BD!$B$3:$B$5001,U$149,BD!$A$3:$A$5001,"&gt;="&amp;$C$7,BD!$A$3:$A$5001,"&lt;="&amp;$B178,BD!$M$3:$M$5001,"&lt;&gt;"))))</f>
        <v/>
      </c>
      <c r="V178" s="43" t="str">
        <f>IF(OR($B178="",$A178&gt;$B$9,V$149=""),"",IF(COUNTIFS(BD!$B$3:$B$5001,V$149,BD!$A$3:$A$5001,"&gt;="&amp;$C$7,BD!$A$3:$A$5001,"&lt;="&amp;$B178,BD!$M$3:$M$5001,"&lt;&gt;")=0,"",SUMIFS(BD!$M$3:$M$5001,BD!$B$3:$B$5001,V$149,BD!$A$3:$A$5001,_xlfn.MAXIFS(BD!$A$3:$A$5001,BD!$B$3:$B$5001,V$149,BD!$A$3:$A$5001,"&gt;="&amp;$C$7,BD!$A$3:$A$5001,"&lt;="&amp;$B178,BD!$M$3:$M$5001,"&lt;&gt;"))))</f>
        <v/>
      </c>
    </row>
    <row r="179">
      <c r="A179" s="38">
        <v>30</v>
      </c>
      <c r="B179" s="42">
        <f>$B$41</f>
        <v>46325</v>
      </c>
      <c r="C179" s="43" t="str">
        <f>IF(OR($B179="",$A179&gt;$B$9,C$149=""),"",IF(COUNTIFS(BD!$B$3:$B$5001,C$149,BD!$A$3:$A$5001,"&gt;="&amp;$C$7,BD!$A$3:$A$5001,"&lt;="&amp;$B179,BD!$M$3:$M$5001,"&lt;&gt;")=0,"",SUMIFS(BD!$M$3:$M$5001,BD!$B$3:$B$5001,C$149,BD!$A$3:$A$5001,_xlfn.MAXIFS(BD!$A$3:$A$5001,BD!$B$3:$B$5001,C$149,BD!$A$3:$A$5001,"&gt;="&amp;$C$7,BD!$A$3:$A$5001,"&lt;="&amp;$B179,BD!$M$3:$M$5001,"&lt;&gt;"))))</f>
        <v/>
      </c>
      <c r="D179" s="43" t="str">
        <f>IF(OR($B179="",$A179&gt;$B$9,D$149=""),"",IF(COUNTIFS(BD!$B$3:$B$5001,D$149,BD!$A$3:$A$5001,"&gt;="&amp;$C$7,BD!$A$3:$A$5001,"&lt;="&amp;$B179,BD!$M$3:$M$5001,"&lt;&gt;")=0,"",SUMIFS(BD!$M$3:$M$5001,BD!$B$3:$B$5001,D$149,BD!$A$3:$A$5001,_xlfn.MAXIFS(BD!$A$3:$A$5001,BD!$B$3:$B$5001,D$149,BD!$A$3:$A$5001,"&gt;="&amp;$C$7,BD!$A$3:$A$5001,"&lt;="&amp;$B179,BD!$M$3:$M$5001,"&lt;&gt;"))))</f>
        <v/>
      </c>
      <c r="E179" s="43" t="str">
        <f>IF(OR($B179="",$A179&gt;$B$9,E$149=""),"",IF(COUNTIFS(BD!$B$3:$B$5001,E$149,BD!$A$3:$A$5001,"&gt;="&amp;$C$7,BD!$A$3:$A$5001,"&lt;="&amp;$B179,BD!$M$3:$M$5001,"&lt;&gt;")=0,"",SUMIFS(BD!$M$3:$M$5001,BD!$B$3:$B$5001,E$149,BD!$A$3:$A$5001,_xlfn.MAXIFS(BD!$A$3:$A$5001,BD!$B$3:$B$5001,E$149,BD!$A$3:$A$5001,"&gt;="&amp;$C$7,BD!$A$3:$A$5001,"&lt;="&amp;$B179,BD!$M$3:$M$5001,"&lt;&gt;"))))</f>
        <v/>
      </c>
      <c r="F179" s="43" t="str">
        <f>IF(OR($B179="",$A179&gt;$B$9,F$149=""),"",IF(COUNTIFS(BD!$B$3:$B$5001,F$149,BD!$A$3:$A$5001,"&gt;="&amp;$C$7,BD!$A$3:$A$5001,"&lt;="&amp;$B179,BD!$M$3:$M$5001,"&lt;&gt;")=0,"",SUMIFS(BD!$M$3:$M$5001,BD!$B$3:$B$5001,F$149,BD!$A$3:$A$5001,_xlfn.MAXIFS(BD!$A$3:$A$5001,BD!$B$3:$B$5001,F$149,BD!$A$3:$A$5001,"&gt;="&amp;$C$7,BD!$A$3:$A$5001,"&lt;="&amp;$B179,BD!$M$3:$M$5001,"&lt;&gt;"))))</f>
        <v/>
      </c>
      <c r="G179" s="43" t="str">
        <f>IF(OR($B179="",$A179&gt;$B$9,G$149=""),"",IF(COUNTIFS(BD!$B$3:$B$5001,G$149,BD!$A$3:$A$5001,"&gt;="&amp;$C$7,BD!$A$3:$A$5001,"&lt;="&amp;$B179,BD!$M$3:$M$5001,"&lt;&gt;")=0,"",SUMIFS(BD!$M$3:$M$5001,BD!$B$3:$B$5001,G$149,BD!$A$3:$A$5001,_xlfn.MAXIFS(BD!$A$3:$A$5001,BD!$B$3:$B$5001,G$149,BD!$A$3:$A$5001,"&gt;="&amp;$C$7,BD!$A$3:$A$5001,"&lt;="&amp;$B179,BD!$M$3:$M$5001,"&lt;&gt;"))))</f>
        <v/>
      </c>
      <c r="H179" s="43" t="str">
        <f>IF(OR($B179="",$A179&gt;$B$9,H$149=""),"",IF(COUNTIFS(BD!$B$3:$B$5001,H$149,BD!$A$3:$A$5001,"&gt;="&amp;$C$7,BD!$A$3:$A$5001,"&lt;="&amp;$B179,BD!$M$3:$M$5001,"&lt;&gt;")=0,"",SUMIFS(BD!$M$3:$M$5001,BD!$B$3:$B$5001,H$149,BD!$A$3:$A$5001,_xlfn.MAXIFS(BD!$A$3:$A$5001,BD!$B$3:$B$5001,H$149,BD!$A$3:$A$5001,"&gt;="&amp;$C$7,BD!$A$3:$A$5001,"&lt;="&amp;$B179,BD!$M$3:$M$5001,"&lt;&gt;"))))</f>
        <v/>
      </c>
      <c r="I179" s="43" t="str">
        <f>IF(OR($B179="",$A179&gt;$B$9,I$149=""),"",IF(COUNTIFS(BD!$B$3:$B$5001,I$149,BD!$A$3:$A$5001,"&gt;="&amp;$C$7,BD!$A$3:$A$5001,"&lt;="&amp;$B179,BD!$M$3:$M$5001,"&lt;&gt;")=0,"",SUMIFS(BD!$M$3:$M$5001,BD!$B$3:$B$5001,I$149,BD!$A$3:$A$5001,_xlfn.MAXIFS(BD!$A$3:$A$5001,BD!$B$3:$B$5001,I$149,BD!$A$3:$A$5001,"&gt;="&amp;$C$7,BD!$A$3:$A$5001,"&lt;="&amp;$B179,BD!$M$3:$M$5001,"&lt;&gt;"))))</f>
        <v/>
      </c>
      <c r="J179" s="43" t="str">
        <f>IF(OR($B179="",$A179&gt;$B$9,J$149=""),"",IF(COUNTIFS(BD!$B$3:$B$5001,J$149,BD!$A$3:$A$5001,"&gt;="&amp;$C$7,BD!$A$3:$A$5001,"&lt;="&amp;$B179,BD!$M$3:$M$5001,"&lt;&gt;")=0,"",SUMIFS(BD!$M$3:$M$5001,BD!$B$3:$B$5001,J$149,BD!$A$3:$A$5001,_xlfn.MAXIFS(BD!$A$3:$A$5001,BD!$B$3:$B$5001,J$149,BD!$A$3:$A$5001,"&gt;="&amp;$C$7,BD!$A$3:$A$5001,"&lt;="&amp;$B179,BD!$M$3:$M$5001,"&lt;&gt;"))))</f>
        <v/>
      </c>
      <c r="K179" s="43" t="str">
        <f>IF(OR($B179="",$A179&gt;$B$9,K$149=""),"",IF(COUNTIFS(BD!$B$3:$B$5001,K$149,BD!$A$3:$A$5001,"&gt;="&amp;$C$7,BD!$A$3:$A$5001,"&lt;="&amp;$B179,BD!$M$3:$M$5001,"&lt;&gt;")=0,"",SUMIFS(BD!$M$3:$M$5001,BD!$B$3:$B$5001,K$149,BD!$A$3:$A$5001,_xlfn.MAXIFS(BD!$A$3:$A$5001,BD!$B$3:$B$5001,K$149,BD!$A$3:$A$5001,"&gt;="&amp;$C$7,BD!$A$3:$A$5001,"&lt;="&amp;$B179,BD!$M$3:$M$5001,"&lt;&gt;"))))</f>
        <v/>
      </c>
      <c r="L179" s="43" t="str">
        <f>IF(OR($B179="",$A179&gt;$B$9,L$149=""),"",IF(COUNTIFS(BD!$B$3:$B$5001,L$149,BD!$A$3:$A$5001,"&gt;="&amp;$C$7,BD!$A$3:$A$5001,"&lt;="&amp;$B179,BD!$M$3:$M$5001,"&lt;&gt;")=0,"",SUMIFS(BD!$M$3:$M$5001,BD!$B$3:$B$5001,L$149,BD!$A$3:$A$5001,_xlfn.MAXIFS(BD!$A$3:$A$5001,BD!$B$3:$B$5001,L$149,BD!$A$3:$A$5001,"&gt;="&amp;$C$7,BD!$A$3:$A$5001,"&lt;="&amp;$B179,BD!$M$3:$M$5001,"&lt;&gt;"))))</f>
        <v/>
      </c>
      <c r="M179" s="43" t="str">
        <f>IF(OR($B179="",$A179&gt;$B$9,M$149=""),"",IF(COUNTIFS(BD!$B$3:$B$5001,M$149,BD!$A$3:$A$5001,"&gt;="&amp;$C$7,BD!$A$3:$A$5001,"&lt;="&amp;$B179,BD!$M$3:$M$5001,"&lt;&gt;")=0,"",SUMIFS(BD!$M$3:$M$5001,BD!$B$3:$B$5001,M$149,BD!$A$3:$A$5001,_xlfn.MAXIFS(BD!$A$3:$A$5001,BD!$B$3:$B$5001,M$149,BD!$A$3:$A$5001,"&gt;="&amp;$C$7,BD!$A$3:$A$5001,"&lt;="&amp;$B179,BD!$M$3:$M$5001,"&lt;&gt;"))))</f>
        <v/>
      </c>
      <c r="N179" s="43" t="str">
        <f>IF(OR($B179="",$A179&gt;$B$9,N$149=""),"",IF(COUNTIFS(BD!$B$3:$B$5001,N$149,BD!$A$3:$A$5001,"&gt;="&amp;$C$7,BD!$A$3:$A$5001,"&lt;="&amp;$B179,BD!$M$3:$M$5001,"&lt;&gt;")=0,"",SUMIFS(BD!$M$3:$M$5001,BD!$B$3:$B$5001,N$149,BD!$A$3:$A$5001,_xlfn.MAXIFS(BD!$A$3:$A$5001,BD!$B$3:$B$5001,N$149,BD!$A$3:$A$5001,"&gt;="&amp;$C$7,BD!$A$3:$A$5001,"&lt;="&amp;$B179,BD!$M$3:$M$5001,"&lt;&gt;"))))</f>
        <v/>
      </c>
      <c r="O179" s="43" t="str">
        <f>IF(OR($B179="",$A179&gt;$B$9,O$149=""),"",IF(COUNTIFS(BD!$B$3:$B$5001,O$149,BD!$A$3:$A$5001,"&gt;="&amp;$C$7,BD!$A$3:$A$5001,"&lt;="&amp;$B179,BD!$M$3:$M$5001,"&lt;&gt;")=0,"",SUMIFS(BD!$M$3:$M$5001,BD!$B$3:$B$5001,O$149,BD!$A$3:$A$5001,_xlfn.MAXIFS(BD!$A$3:$A$5001,BD!$B$3:$B$5001,O$149,BD!$A$3:$A$5001,"&gt;="&amp;$C$7,BD!$A$3:$A$5001,"&lt;="&amp;$B179,BD!$M$3:$M$5001,"&lt;&gt;"))))</f>
        <v/>
      </c>
      <c r="P179" s="43" t="str">
        <f>IF(OR($B179="",$A179&gt;$B$9,P$149=""),"",IF(COUNTIFS(BD!$B$3:$B$5001,P$149,BD!$A$3:$A$5001,"&gt;="&amp;$C$7,BD!$A$3:$A$5001,"&lt;="&amp;$B179,BD!$M$3:$M$5001,"&lt;&gt;")=0,"",SUMIFS(BD!$M$3:$M$5001,BD!$B$3:$B$5001,P$149,BD!$A$3:$A$5001,_xlfn.MAXIFS(BD!$A$3:$A$5001,BD!$B$3:$B$5001,P$149,BD!$A$3:$A$5001,"&gt;="&amp;$C$7,BD!$A$3:$A$5001,"&lt;="&amp;$B179,BD!$M$3:$M$5001,"&lt;&gt;"))))</f>
        <v/>
      </c>
      <c r="Q179" s="43" t="str">
        <f>IF(OR($B179="",$A179&gt;$B$9,Q$149=""),"",IF(COUNTIFS(BD!$B$3:$B$5001,Q$149,BD!$A$3:$A$5001,"&gt;="&amp;$C$7,BD!$A$3:$A$5001,"&lt;="&amp;$B179,BD!$M$3:$M$5001,"&lt;&gt;")=0,"",SUMIFS(BD!$M$3:$M$5001,BD!$B$3:$B$5001,Q$149,BD!$A$3:$A$5001,_xlfn.MAXIFS(BD!$A$3:$A$5001,BD!$B$3:$B$5001,Q$149,BD!$A$3:$A$5001,"&gt;="&amp;$C$7,BD!$A$3:$A$5001,"&lt;="&amp;$B179,BD!$M$3:$M$5001,"&lt;&gt;"))))</f>
        <v/>
      </c>
      <c r="R179" s="43" t="str">
        <f>IF(OR($B179="",$A179&gt;$B$9,R$149=""),"",IF(COUNTIFS(BD!$B$3:$B$5001,R$149,BD!$A$3:$A$5001,"&gt;="&amp;$C$7,BD!$A$3:$A$5001,"&lt;="&amp;$B179,BD!$M$3:$M$5001,"&lt;&gt;")=0,"",SUMIFS(BD!$M$3:$M$5001,BD!$B$3:$B$5001,R$149,BD!$A$3:$A$5001,_xlfn.MAXIFS(BD!$A$3:$A$5001,BD!$B$3:$B$5001,R$149,BD!$A$3:$A$5001,"&gt;="&amp;$C$7,BD!$A$3:$A$5001,"&lt;="&amp;$B179,BD!$M$3:$M$5001,"&lt;&gt;"))))</f>
        <v/>
      </c>
      <c r="S179" s="43" t="str">
        <f>IF(OR($B179="",$A179&gt;$B$9,S$149=""),"",IF(COUNTIFS(BD!$B$3:$B$5001,S$149,BD!$A$3:$A$5001,"&gt;="&amp;$C$7,BD!$A$3:$A$5001,"&lt;="&amp;$B179,BD!$M$3:$M$5001,"&lt;&gt;")=0,"",SUMIFS(BD!$M$3:$M$5001,BD!$B$3:$B$5001,S$149,BD!$A$3:$A$5001,_xlfn.MAXIFS(BD!$A$3:$A$5001,BD!$B$3:$B$5001,S$149,BD!$A$3:$A$5001,"&gt;="&amp;$C$7,BD!$A$3:$A$5001,"&lt;="&amp;$B179,BD!$M$3:$M$5001,"&lt;&gt;"))))</f>
        <v/>
      </c>
      <c r="T179" s="43" t="str">
        <f>IF(OR($B179="",$A179&gt;$B$9,T$149=""),"",IF(COUNTIFS(BD!$B$3:$B$5001,T$149,BD!$A$3:$A$5001,"&gt;="&amp;$C$7,BD!$A$3:$A$5001,"&lt;="&amp;$B179,BD!$M$3:$M$5001,"&lt;&gt;")=0,"",SUMIFS(BD!$M$3:$M$5001,BD!$B$3:$B$5001,T$149,BD!$A$3:$A$5001,_xlfn.MAXIFS(BD!$A$3:$A$5001,BD!$B$3:$B$5001,T$149,BD!$A$3:$A$5001,"&gt;="&amp;$C$7,BD!$A$3:$A$5001,"&lt;="&amp;$B179,BD!$M$3:$M$5001,"&lt;&gt;"))))</f>
        <v/>
      </c>
      <c r="U179" s="43" t="str">
        <f>IF(OR($B179="",$A179&gt;$B$9,U$149=""),"",IF(COUNTIFS(BD!$B$3:$B$5001,U$149,BD!$A$3:$A$5001,"&gt;="&amp;$C$7,BD!$A$3:$A$5001,"&lt;="&amp;$B179,BD!$M$3:$M$5001,"&lt;&gt;")=0,"",SUMIFS(BD!$M$3:$M$5001,BD!$B$3:$B$5001,U$149,BD!$A$3:$A$5001,_xlfn.MAXIFS(BD!$A$3:$A$5001,BD!$B$3:$B$5001,U$149,BD!$A$3:$A$5001,"&gt;="&amp;$C$7,BD!$A$3:$A$5001,"&lt;="&amp;$B179,BD!$M$3:$M$5001,"&lt;&gt;"))))</f>
        <v/>
      </c>
      <c r="V179" s="43" t="str">
        <f>IF(OR($B179="",$A179&gt;$B$9,V$149=""),"",IF(COUNTIFS(BD!$B$3:$B$5001,V$149,BD!$A$3:$A$5001,"&gt;="&amp;$C$7,BD!$A$3:$A$5001,"&lt;="&amp;$B179,BD!$M$3:$M$5001,"&lt;&gt;")=0,"",SUMIFS(BD!$M$3:$M$5001,BD!$B$3:$B$5001,V$149,BD!$A$3:$A$5001,_xlfn.MAXIFS(BD!$A$3:$A$5001,BD!$B$3:$B$5001,V$149,BD!$A$3:$A$5001,"&gt;="&amp;$C$7,BD!$A$3:$A$5001,"&lt;="&amp;$B179,BD!$M$3:$M$5001,"&lt;&gt;"))))</f>
        <v/>
      </c>
    </row>
    <row r="180">
      <c r="A180" s="38">
        <v>31</v>
      </c>
      <c r="B180" s="42">
        <f>$B$42</f>
        <v>46326</v>
      </c>
      <c r="C180" s="43" t="str">
        <f>IF(OR($B180="",$A180&gt;$B$9,C$149=""),"",IF(COUNTIFS(BD!$B$3:$B$5001,C$149,BD!$A$3:$A$5001,"&gt;="&amp;$C$7,BD!$A$3:$A$5001,"&lt;="&amp;$B180,BD!$M$3:$M$5001,"&lt;&gt;")=0,"",SUMIFS(BD!$M$3:$M$5001,BD!$B$3:$B$5001,C$149,BD!$A$3:$A$5001,_xlfn.MAXIFS(BD!$A$3:$A$5001,BD!$B$3:$B$5001,C$149,BD!$A$3:$A$5001,"&gt;="&amp;$C$7,BD!$A$3:$A$5001,"&lt;="&amp;$B180,BD!$M$3:$M$5001,"&lt;&gt;"))))</f>
        <v/>
      </c>
      <c r="D180" s="43" t="str">
        <f>IF(OR($B180="",$A180&gt;$B$9,D$149=""),"",IF(COUNTIFS(BD!$B$3:$B$5001,D$149,BD!$A$3:$A$5001,"&gt;="&amp;$C$7,BD!$A$3:$A$5001,"&lt;="&amp;$B180,BD!$M$3:$M$5001,"&lt;&gt;")=0,"",SUMIFS(BD!$M$3:$M$5001,BD!$B$3:$B$5001,D$149,BD!$A$3:$A$5001,_xlfn.MAXIFS(BD!$A$3:$A$5001,BD!$B$3:$B$5001,D$149,BD!$A$3:$A$5001,"&gt;="&amp;$C$7,BD!$A$3:$A$5001,"&lt;="&amp;$B180,BD!$M$3:$M$5001,"&lt;&gt;"))))</f>
        <v/>
      </c>
      <c r="E180" s="43" t="str">
        <f>IF(OR($B180="",$A180&gt;$B$9,E$149=""),"",IF(COUNTIFS(BD!$B$3:$B$5001,E$149,BD!$A$3:$A$5001,"&gt;="&amp;$C$7,BD!$A$3:$A$5001,"&lt;="&amp;$B180,BD!$M$3:$M$5001,"&lt;&gt;")=0,"",SUMIFS(BD!$M$3:$M$5001,BD!$B$3:$B$5001,E$149,BD!$A$3:$A$5001,_xlfn.MAXIFS(BD!$A$3:$A$5001,BD!$B$3:$B$5001,E$149,BD!$A$3:$A$5001,"&gt;="&amp;$C$7,BD!$A$3:$A$5001,"&lt;="&amp;$B180,BD!$M$3:$M$5001,"&lt;&gt;"))))</f>
        <v/>
      </c>
      <c r="F180" s="43" t="str">
        <f>IF(OR($B180="",$A180&gt;$B$9,F$149=""),"",IF(COUNTIFS(BD!$B$3:$B$5001,F$149,BD!$A$3:$A$5001,"&gt;="&amp;$C$7,BD!$A$3:$A$5001,"&lt;="&amp;$B180,BD!$M$3:$M$5001,"&lt;&gt;")=0,"",SUMIFS(BD!$M$3:$M$5001,BD!$B$3:$B$5001,F$149,BD!$A$3:$A$5001,_xlfn.MAXIFS(BD!$A$3:$A$5001,BD!$B$3:$B$5001,F$149,BD!$A$3:$A$5001,"&gt;="&amp;$C$7,BD!$A$3:$A$5001,"&lt;="&amp;$B180,BD!$M$3:$M$5001,"&lt;&gt;"))))</f>
        <v/>
      </c>
      <c r="G180" s="43" t="str">
        <f>IF(OR($B180="",$A180&gt;$B$9,G$149=""),"",IF(COUNTIFS(BD!$B$3:$B$5001,G$149,BD!$A$3:$A$5001,"&gt;="&amp;$C$7,BD!$A$3:$A$5001,"&lt;="&amp;$B180,BD!$M$3:$M$5001,"&lt;&gt;")=0,"",SUMIFS(BD!$M$3:$M$5001,BD!$B$3:$B$5001,G$149,BD!$A$3:$A$5001,_xlfn.MAXIFS(BD!$A$3:$A$5001,BD!$B$3:$B$5001,G$149,BD!$A$3:$A$5001,"&gt;="&amp;$C$7,BD!$A$3:$A$5001,"&lt;="&amp;$B180,BD!$M$3:$M$5001,"&lt;&gt;"))))</f>
        <v/>
      </c>
      <c r="H180" s="43" t="str">
        <f>IF(OR($B180="",$A180&gt;$B$9,H$149=""),"",IF(COUNTIFS(BD!$B$3:$B$5001,H$149,BD!$A$3:$A$5001,"&gt;="&amp;$C$7,BD!$A$3:$A$5001,"&lt;="&amp;$B180,BD!$M$3:$M$5001,"&lt;&gt;")=0,"",SUMIFS(BD!$M$3:$M$5001,BD!$B$3:$B$5001,H$149,BD!$A$3:$A$5001,_xlfn.MAXIFS(BD!$A$3:$A$5001,BD!$B$3:$B$5001,H$149,BD!$A$3:$A$5001,"&gt;="&amp;$C$7,BD!$A$3:$A$5001,"&lt;="&amp;$B180,BD!$M$3:$M$5001,"&lt;&gt;"))))</f>
        <v/>
      </c>
      <c r="I180" s="43" t="str">
        <f>IF(OR($B180="",$A180&gt;$B$9,I$149=""),"",IF(COUNTIFS(BD!$B$3:$B$5001,I$149,BD!$A$3:$A$5001,"&gt;="&amp;$C$7,BD!$A$3:$A$5001,"&lt;="&amp;$B180,BD!$M$3:$M$5001,"&lt;&gt;")=0,"",SUMIFS(BD!$M$3:$M$5001,BD!$B$3:$B$5001,I$149,BD!$A$3:$A$5001,_xlfn.MAXIFS(BD!$A$3:$A$5001,BD!$B$3:$B$5001,I$149,BD!$A$3:$A$5001,"&gt;="&amp;$C$7,BD!$A$3:$A$5001,"&lt;="&amp;$B180,BD!$M$3:$M$5001,"&lt;&gt;"))))</f>
        <v/>
      </c>
      <c r="J180" s="43" t="str">
        <f>IF(OR($B180="",$A180&gt;$B$9,J$149=""),"",IF(COUNTIFS(BD!$B$3:$B$5001,J$149,BD!$A$3:$A$5001,"&gt;="&amp;$C$7,BD!$A$3:$A$5001,"&lt;="&amp;$B180,BD!$M$3:$M$5001,"&lt;&gt;")=0,"",SUMIFS(BD!$M$3:$M$5001,BD!$B$3:$B$5001,J$149,BD!$A$3:$A$5001,_xlfn.MAXIFS(BD!$A$3:$A$5001,BD!$B$3:$B$5001,J$149,BD!$A$3:$A$5001,"&gt;="&amp;$C$7,BD!$A$3:$A$5001,"&lt;="&amp;$B180,BD!$M$3:$M$5001,"&lt;&gt;"))))</f>
        <v/>
      </c>
      <c r="K180" s="43" t="str">
        <f>IF(OR($B180="",$A180&gt;$B$9,K$149=""),"",IF(COUNTIFS(BD!$B$3:$B$5001,K$149,BD!$A$3:$A$5001,"&gt;="&amp;$C$7,BD!$A$3:$A$5001,"&lt;="&amp;$B180,BD!$M$3:$M$5001,"&lt;&gt;")=0,"",SUMIFS(BD!$M$3:$M$5001,BD!$B$3:$B$5001,K$149,BD!$A$3:$A$5001,_xlfn.MAXIFS(BD!$A$3:$A$5001,BD!$B$3:$B$5001,K$149,BD!$A$3:$A$5001,"&gt;="&amp;$C$7,BD!$A$3:$A$5001,"&lt;="&amp;$B180,BD!$M$3:$M$5001,"&lt;&gt;"))))</f>
        <v/>
      </c>
      <c r="L180" s="43" t="str">
        <f>IF(OR($B180="",$A180&gt;$B$9,L$149=""),"",IF(COUNTIFS(BD!$B$3:$B$5001,L$149,BD!$A$3:$A$5001,"&gt;="&amp;$C$7,BD!$A$3:$A$5001,"&lt;="&amp;$B180,BD!$M$3:$M$5001,"&lt;&gt;")=0,"",SUMIFS(BD!$M$3:$M$5001,BD!$B$3:$B$5001,L$149,BD!$A$3:$A$5001,_xlfn.MAXIFS(BD!$A$3:$A$5001,BD!$B$3:$B$5001,L$149,BD!$A$3:$A$5001,"&gt;="&amp;$C$7,BD!$A$3:$A$5001,"&lt;="&amp;$B180,BD!$M$3:$M$5001,"&lt;&gt;"))))</f>
        <v/>
      </c>
      <c r="M180" s="43" t="str">
        <f>IF(OR($B180="",$A180&gt;$B$9,M$149=""),"",IF(COUNTIFS(BD!$B$3:$B$5001,M$149,BD!$A$3:$A$5001,"&gt;="&amp;$C$7,BD!$A$3:$A$5001,"&lt;="&amp;$B180,BD!$M$3:$M$5001,"&lt;&gt;")=0,"",SUMIFS(BD!$M$3:$M$5001,BD!$B$3:$B$5001,M$149,BD!$A$3:$A$5001,_xlfn.MAXIFS(BD!$A$3:$A$5001,BD!$B$3:$B$5001,M$149,BD!$A$3:$A$5001,"&gt;="&amp;$C$7,BD!$A$3:$A$5001,"&lt;="&amp;$B180,BD!$M$3:$M$5001,"&lt;&gt;"))))</f>
        <v/>
      </c>
      <c r="N180" s="43" t="str">
        <f>IF(OR($B180="",$A180&gt;$B$9,N$149=""),"",IF(COUNTIFS(BD!$B$3:$B$5001,N$149,BD!$A$3:$A$5001,"&gt;="&amp;$C$7,BD!$A$3:$A$5001,"&lt;="&amp;$B180,BD!$M$3:$M$5001,"&lt;&gt;")=0,"",SUMIFS(BD!$M$3:$M$5001,BD!$B$3:$B$5001,N$149,BD!$A$3:$A$5001,_xlfn.MAXIFS(BD!$A$3:$A$5001,BD!$B$3:$B$5001,N$149,BD!$A$3:$A$5001,"&gt;="&amp;$C$7,BD!$A$3:$A$5001,"&lt;="&amp;$B180,BD!$M$3:$M$5001,"&lt;&gt;"))))</f>
        <v/>
      </c>
      <c r="O180" s="43" t="str">
        <f>IF(OR($B180="",$A180&gt;$B$9,O$149=""),"",IF(COUNTIFS(BD!$B$3:$B$5001,O$149,BD!$A$3:$A$5001,"&gt;="&amp;$C$7,BD!$A$3:$A$5001,"&lt;="&amp;$B180,BD!$M$3:$M$5001,"&lt;&gt;")=0,"",SUMIFS(BD!$M$3:$M$5001,BD!$B$3:$B$5001,O$149,BD!$A$3:$A$5001,_xlfn.MAXIFS(BD!$A$3:$A$5001,BD!$B$3:$B$5001,O$149,BD!$A$3:$A$5001,"&gt;="&amp;$C$7,BD!$A$3:$A$5001,"&lt;="&amp;$B180,BD!$M$3:$M$5001,"&lt;&gt;"))))</f>
        <v/>
      </c>
      <c r="P180" s="43" t="str">
        <f>IF(OR($B180="",$A180&gt;$B$9,P$149=""),"",IF(COUNTIFS(BD!$B$3:$B$5001,P$149,BD!$A$3:$A$5001,"&gt;="&amp;$C$7,BD!$A$3:$A$5001,"&lt;="&amp;$B180,BD!$M$3:$M$5001,"&lt;&gt;")=0,"",SUMIFS(BD!$M$3:$M$5001,BD!$B$3:$B$5001,P$149,BD!$A$3:$A$5001,_xlfn.MAXIFS(BD!$A$3:$A$5001,BD!$B$3:$B$5001,P$149,BD!$A$3:$A$5001,"&gt;="&amp;$C$7,BD!$A$3:$A$5001,"&lt;="&amp;$B180,BD!$M$3:$M$5001,"&lt;&gt;"))))</f>
        <v/>
      </c>
      <c r="Q180" s="43" t="str">
        <f>IF(OR($B180="",$A180&gt;$B$9,Q$149=""),"",IF(COUNTIFS(BD!$B$3:$B$5001,Q$149,BD!$A$3:$A$5001,"&gt;="&amp;$C$7,BD!$A$3:$A$5001,"&lt;="&amp;$B180,BD!$M$3:$M$5001,"&lt;&gt;")=0,"",SUMIFS(BD!$M$3:$M$5001,BD!$B$3:$B$5001,Q$149,BD!$A$3:$A$5001,_xlfn.MAXIFS(BD!$A$3:$A$5001,BD!$B$3:$B$5001,Q$149,BD!$A$3:$A$5001,"&gt;="&amp;$C$7,BD!$A$3:$A$5001,"&lt;="&amp;$B180,BD!$M$3:$M$5001,"&lt;&gt;"))))</f>
        <v/>
      </c>
      <c r="R180" s="43" t="str">
        <f>IF(OR($B180="",$A180&gt;$B$9,R$149=""),"",IF(COUNTIFS(BD!$B$3:$B$5001,R$149,BD!$A$3:$A$5001,"&gt;="&amp;$C$7,BD!$A$3:$A$5001,"&lt;="&amp;$B180,BD!$M$3:$M$5001,"&lt;&gt;")=0,"",SUMIFS(BD!$M$3:$M$5001,BD!$B$3:$B$5001,R$149,BD!$A$3:$A$5001,_xlfn.MAXIFS(BD!$A$3:$A$5001,BD!$B$3:$B$5001,R$149,BD!$A$3:$A$5001,"&gt;="&amp;$C$7,BD!$A$3:$A$5001,"&lt;="&amp;$B180,BD!$M$3:$M$5001,"&lt;&gt;"))))</f>
        <v/>
      </c>
      <c r="S180" s="43" t="str">
        <f>IF(OR($B180="",$A180&gt;$B$9,S$149=""),"",IF(COUNTIFS(BD!$B$3:$B$5001,S$149,BD!$A$3:$A$5001,"&gt;="&amp;$C$7,BD!$A$3:$A$5001,"&lt;="&amp;$B180,BD!$M$3:$M$5001,"&lt;&gt;")=0,"",SUMIFS(BD!$M$3:$M$5001,BD!$B$3:$B$5001,S$149,BD!$A$3:$A$5001,_xlfn.MAXIFS(BD!$A$3:$A$5001,BD!$B$3:$B$5001,S$149,BD!$A$3:$A$5001,"&gt;="&amp;$C$7,BD!$A$3:$A$5001,"&lt;="&amp;$B180,BD!$M$3:$M$5001,"&lt;&gt;"))))</f>
        <v/>
      </c>
      <c r="T180" s="43" t="str">
        <f>IF(OR($B180="",$A180&gt;$B$9,T$149=""),"",IF(COUNTIFS(BD!$B$3:$B$5001,T$149,BD!$A$3:$A$5001,"&gt;="&amp;$C$7,BD!$A$3:$A$5001,"&lt;="&amp;$B180,BD!$M$3:$M$5001,"&lt;&gt;")=0,"",SUMIFS(BD!$M$3:$M$5001,BD!$B$3:$B$5001,T$149,BD!$A$3:$A$5001,_xlfn.MAXIFS(BD!$A$3:$A$5001,BD!$B$3:$B$5001,T$149,BD!$A$3:$A$5001,"&gt;="&amp;$C$7,BD!$A$3:$A$5001,"&lt;="&amp;$B180,BD!$M$3:$M$5001,"&lt;&gt;"))))</f>
        <v/>
      </c>
      <c r="U180" s="43" t="str">
        <f>IF(OR($B180="",$A180&gt;$B$9,U$149=""),"",IF(COUNTIFS(BD!$B$3:$B$5001,U$149,BD!$A$3:$A$5001,"&gt;="&amp;$C$7,BD!$A$3:$A$5001,"&lt;="&amp;$B180,BD!$M$3:$M$5001,"&lt;&gt;")=0,"",SUMIFS(BD!$M$3:$M$5001,BD!$B$3:$B$5001,U$149,BD!$A$3:$A$5001,_xlfn.MAXIFS(BD!$A$3:$A$5001,BD!$B$3:$B$5001,U$149,BD!$A$3:$A$5001,"&gt;="&amp;$C$7,BD!$A$3:$A$5001,"&lt;="&amp;$B180,BD!$M$3:$M$5001,"&lt;&gt;"))))</f>
        <v/>
      </c>
      <c r="V180" s="43" t="str">
        <f>IF(OR($B180="",$A180&gt;$B$9,V$149=""),"",IF(COUNTIFS(BD!$B$3:$B$5001,V$149,BD!$A$3:$A$5001,"&gt;="&amp;$C$7,BD!$A$3:$A$5001,"&lt;="&amp;$B180,BD!$M$3:$M$5001,"&lt;&gt;")=0,"",SUMIFS(BD!$M$3:$M$5001,BD!$B$3:$B$5001,V$149,BD!$A$3:$A$5001,_xlfn.MAXIFS(BD!$A$3:$A$5001,BD!$B$3:$B$5001,V$149,BD!$A$3:$A$5001,"&gt;="&amp;$C$7,BD!$A$3:$A$5001,"&lt;="&amp;$B180,BD!$M$3:$M$5001,"&lt;&gt;"))))</f>
        <v/>
      </c>
    </row>
    <row r="181">
      <c r="A181" s="44" t="inlineStr">
        <is>
          <t xml:space="preserve">Mês anterior (último)</t>
        </is>
      </c>
      <c r="C181" s="45" t="str">
        <f>IF(C$149="","",IF(COUNTIFS(BD!$B$3:$B$5001,C$149,BD!$A$3:$A$5001,"&gt;="&amp;$C$8,BD!$A$3:$A$5001,"&lt;="&amp;$D$8,BD!$M$3:$M$5001,"&lt;&gt;")=0,"",SUMIFS(BD!$M$3:$M$5001,BD!$B$3:$B$5001,C$149,BD!$A$3:$A$5001,_xlfn.MAXIFS(BD!$A$3:$A$5001,BD!$B$3:$B$5001,C$149,BD!$A$3:$A$5001,"&gt;="&amp;$C$8,BD!$A$3:$A$5001,"&lt;="&amp;$D$8,BD!$M$3:$M$5001,"&lt;&gt;"))))</f>
        <v/>
      </c>
      <c r="D181" s="45" t="str">
        <f>IF(D$149="","",IF(COUNTIFS(BD!$B$3:$B$5001,D$149,BD!$A$3:$A$5001,"&gt;="&amp;$C$8,BD!$A$3:$A$5001,"&lt;="&amp;$D$8,BD!$M$3:$M$5001,"&lt;&gt;")=0,"",SUMIFS(BD!$M$3:$M$5001,BD!$B$3:$B$5001,D$149,BD!$A$3:$A$5001,_xlfn.MAXIFS(BD!$A$3:$A$5001,BD!$B$3:$B$5001,D$149,BD!$A$3:$A$5001,"&gt;="&amp;$C$8,BD!$A$3:$A$5001,"&lt;="&amp;$D$8,BD!$M$3:$M$5001,"&lt;&gt;"))))</f>
        <v/>
      </c>
      <c r="E181" s="45" t="str">
        <f>IF(E$149="","",IF(COUNTIFS(BD!$B$3:$B$5001,E$149,BD!$A$3:$A$5001,"&gt;="&amp;$C$8,BD!$A$3:$A$5001,"&lt;="&amp;$D$8,BD!$M$3:$M$5001,"&lt;&gt;")=0,"",SUMIFS(BD!$M$3:$M$5001,BD!$B$3:$B$5001,E$149,BD!$A$3:$A$5001,_xlfn.MAXIFS(BD!$A$3:$A$5001,BD!$B$3:$B$5001,E$149,BD!$A$3:$A$5001,"&gt;="&amp;$C$8,BD!$A$3:$A$5001,"&lt;="&amp;$D$8,BD!$M$3:$M$5001,"&lt;&gt;"))))</f>
        <v/>
      </c>
      <c r="F181" s="45" t="str">
        <f>IF(F$149="","",IF(COUNTIFS(BD!$B$3:$B$5001,F$149,BD!$A$3:$A$5001,"&gt;="&amp;$C$8,BD!$A$3:$A$5001,"&lt;="&amp;$D$8,BD!$M$3:$M$5001,"&lt;&gt;")=0,"",SUMIFS(BD!$M$3:$M$5001,BD!$B$3:$B$5001,F$149,BD!$A$3:$A$5001,_xlfn.MAXIFS(BD!$A$3:$A$5001,BD!$B$3:$B$5001,F$149,BD!$A$3:$A$5001,"&gt;="&amp;$C$8,BD!$A$3:$A$5001,"&lt;="&amp;$D$8,BD!$M$3:$M$5001,"&lt;&gt;"))))</f>
        <v/>
      </c>
      <c r="G181" s="45" t="str">
        <f>IF(G$149="","",IF(COUNTIFS(BD!$B$3:$B$5001,G$149,BD!$A$3:$A$5001,"&gt;="&amp;$C$8,BD!$A$3:$A$5001,"&lt;="&amp;$D$8,BD!$M$3:$M$5001,"&lt;&gt;")=0,"",SUMIFS(BD!$M$3:$M$5001,BD!$B$3:$B$5001,G$149,BD!$A$3:$A$5001,_xlfn.MAXIFS(BD!$A$3:$A$5001,BD!$B$3:$B$5001,G$149,BD!$A$3:$A$5001,"&gt;="&amp;$C$8,BD!$A$3:$A$5001,"&lt;="&amp;$D$8,BD!$M$3:$M$5001,"&lt;&gt;"))))</f>
        <v/>
      </c>
      <c r="H181" s="45" t="str">
        <f>IF(H$149="","",IF(COUNTIFS(BD!$B$3:$B$5001,H$149,BD!$A$3:$A$5001,"&gt;="&amp;$C$8,BD!$A$3:$A$5001,"&lt;="&amp;$D$8,BD!$M$3:$M$5001,"&lt;&gt;")=0,"",SUMIFS(BD!$M$3:$M$5001,BD!$B$3:$B$5001,H$149,BD!$A$3:$A$5001,_xlfn.MAXIFS(BD!$A$3:$A$5001,BD!$B$3:$B$5001,H$149,BD!$A$3:$A$5001,"&gt;="&amp;$C$8,BD!$A$3:$A$5001,"&lt;="&amp;$D$8,BD!$M$3:$M$5001,"&lt;&gt;"))))</f>
        <v/>
      </c>
      <c r="I181" s="45" t="str">
        <f>IF(I$149="","",IF(COUNTIFS(BD!$B$3:$B$5001,I$149,BD!$A$3:$A$5001,"&gt;="&amp;$C$8,BD!$A$3:$A$5001,"&lt;="&amp;$D$8,BD!$M$3:$M$5001,"&lt;&gt;")=0,"",SUMIFS(BD!$M$3:$M$5001,BD!$B$3:$B$5001,I$149,BD!$A$3:$A$5001,_xlfn.MAXIFS(BD!$A$3:$A$5001,BD!$B$3:$B$5001,I$149,BD!$A$3:$A$5001,"&gt;="&amp;$C$8,BD!$A$3:$A$5001,"&lt;="&amp;$D$8,BD!$M$3:$M$5001,"&lt;&gt;"))))</f>
        <v/>
      </c>
      <c r="J181" s="45" t="str">
        <f>IF(J$149="","",IF(COUNTIFS(BD!$B$3:$B$5001,J$149,BD!$A$3:$A$5001,"&gt;="&amp;$C$8,BD!$A$3:$A$5001,"&lt;="&amp;$D$8,BD!$M$3:$M$5001,"&lt;&gt;")=0,"",SUMIFS(BD!$M$3:$M$5001,BD!$B$3:$B$5001,J$149,BD!$A$3:$A$5001,_xlfn.MAXIFS(BD!$A$3:$A$5001,BD!$B$3:$B$5001,J$149,BD!$A$3:$A$5001,"&gt;="&amp;$C$8,BD!$A$3:$A$5001,"&lt;="&amp;$D$8,BD!$M$3:$M$5001,"&lt;&gt;"))))</f>
        <v/>
      </c>
      <c r="K181" s="45" t="str">
        <f>IF(K$149="","",IF(COUNTIFS(BD!$B$3:$B$5001,K$149,BD!$A$3:$A$5001,"&gt;="&amp;$C$8,BD!$A$3:$A$5001,"&lt;="&amp;$D$8,BD!$M$3:$M$5001,"&lt;&gt;")=0,"",SUMIFS(BD!$M$3:$M$5001,BD!$B$3:$B$5001,K$149,BD!$A$3:$A$5001,_xlfn.MAXIFS(BD!$A$3:$A$5001,BD!$B$3:$B$5001,K$149,BD!$A$3:$A$5001,"&gt;="&amp;$C$8,BD!$A$3:$A$5001,"&lt;="&amp;$D$8,BD!$M$3:$M$5001,"&lt;&gt;"))))</f>
        <v/>
      </c>
      <c r="L181" s="45" t="str">
        <f>IF(L$149="","",IF(COUNTIFS(BD!$B$3:$B$5001,L$149,BD!$A$3:$A$5001,"&gt;="&amp;$C$8,BD!$A$3:$A$5001,"&lt;="&amp;$D$8,BD!$M$3:$M$5001,"&lt;&gt;")=0,"",SUMIFS(BD!$M$3:$M$5001,BD!$B$3:$B$5001,L$149,BD!$A$3:$A$5001,_xlfn.MAXIFS(BD!$A$3:$A$5001,BD!$B$3:$B$5001,L$149,BD!$A$3:$A$5001,"&gt;="&amp;$C$8,BD!$A$3:$A$5001,"&lt;="&amp;$D$8,BD!$M$3:$M$5001,"&lt;&gt;"))))</f>
        <v/>
      </c>
      <c r="M181" s="45" t="str">
        <f>IF(M$149="","",IF(COUNTIFS(BD!$B$3:$B$5001,M$149,BD!$A$3:$A$5001,"&gt;="&amp;$C$8,BD!$A$3:$A$5001,"&lt;="&amp;$D$8,BD!$M$3:$M$5001,"&lt;&gt;")=0,"",SUMIFS(BD!$M$3:$M$5001,BD!$B$3:$B$5001,M$149,BD!$A$3:$A$5001,_xlfn.MAXIFS(BD!$A$3:$A$5001,BD!$B$3:$B$5001,M$149,BD!$A$3:$A$5001,"&gt;="&amp;$C$8,BD!$A$3:$A$5001,"&lt;="&amp;$D$8,BD!$M$3:$M$5001,"&lt;&gt;"))))</f>
        <v/>
      </c>
      <c r="N181" s="45" t="str">
        <f>IF(N$149="","",IF(COUNTIFS(BD!$B$3:$B$5001,N$149,BD!$A$3:$A$5001,"&gt;="&amp;$C$8,BD!$A$3:$A$5001,"&lt;="&amp;$D$8,BD!$M$3:$M$5001,"&lt;&gt;")=0,"",SUMIFS(BD!$M$3:$M$5001,BD!$B$3:$B$5001,N$149,BD!$A$3:$A$5001,_xlfn.MAXIFS(BD!$A$3:$A$5001,BD!$B$3:$B$5001,N$149,BD!$A$3:$A$5001,"&gt;="&amp;$C$8,BD!$A$3:$A$5001,"&lt;="&amp;$D$8,BD!$M$3:$M$5001,"&lt;&gt;"))))</f>
        <v/>
      </c>
      <c r="O181" s="45" t="str">
        <f>IF(O$149="","",IF(COUNTIFS(BD!$B$3:$B$5001,O$149,BD!$A$3:$A$5001,"&gt;="&amp;$C$8,BD!$A$3:$A$5001,"&lt;="&amp;$D$8,BD!$M$3:$M$5001,"&lt;&gt;")=0,"",SUMIFS(BD!$M$3:$M$5001,BD!$B$3:$B$5001,O$149,BD!$A$3:$A$5001,_xlfn.MAXIFS(BD!$A$3:$A$5001,BD!$B$3:$B$5001,O$149,BD!$A$3:$A$5001,"&gt;="&amp;$C$8,BD!$A$3:$A$5001,"&lt;="&amp;$D$8,BD!$M$3:$M$5001,"&lt;&gt;"))))</f>
        <v/>
      </c>
      <c r="P181" s="45" t="str">
        <f>IF(P$149="","",IF(COUNTIFS(BD!$B$3:$B$5001,P$149,BD!$A$3:$A$5001,"&gt;="&amp;$C$8,BD!$A$3:$A$5001,"&lt;="&amp;$D$8,BD!$M$3:$M$5001,"&lt;&gt;")=0,"",SUMIFS(BD!$M$3:$M$5001,BD!$B$3:$B$5001,P$149,BD!$A$3:$A$5001,_xlfn.MAXIFS(BD!$A$3:$A$5001,BD!$B$3:$B$5001,P$149,BD!$A$3:$A$5001,"&gt;="&amp;$C$8,BD!$A$3:$A$5001,"&lt;="&amp;$D$8,BD!$M$3:$M$5001,"&lt;&gt;"))))</f>
        <v/>
      </c>
      <c r="Q181" s="45" t="str">
        <f>IF(Q$149="","",IF(COUNTIFS(BD!$B$3:$B$5001,Q$149,BD!$A$3:$A$5001,"&gt;="&amp;$C$8,BD!$A$3:$A$5001,"&lt;="&amp;$D$8,BD!$M$3:$M$5001,"&lt;&gt;")=0,"",SUMIFS(BD!$M$3:$M$5001,BD!$B$3:$B$5001,Q$149,BD!$A$3:$A$5001,_xlfn.MAXIFS(BD!$A$3:$A$5001,BD!$B$3:$B$5001,Q$149,BD!$A$3:$A$5001,"&gt;="&amp;$C$8,BD!$A$3:$A$5001,"&lt;="&amp;$D$8,BD!$M$3:$M$5001,"&lt;&gt;"))))</f>
        <v/>
      </c>
      <c r="R181" s="45" t="str">
        <f>IF(R$149="","",IF(COUNTIFS(BD!$B$3:$B$5001,R$149,BD!$A$3:$A$5001,"&gt;="&amp;$C$8,BD!$A$3:$A$5001,"&lt;="&amp;$D$8,BD!$M$3:$M$5001,"&lt;&gt;")=0,"",SUMIFS(BD!$M$3:$M$5001,BD!$B$3:$B$5001,R$149,BD!$A$3:$A$5001,_xlfn.MAXIFS(BD!$A$3:$A$5001,BD!$B$3:$B$5001,R$149,BD!$A$3:$A$5001,"&gt;="&amp;$C$8,BD!$A$3:$A$5001,"&lt;="&amp;$D$8,BD!$M$3:$M$5001,"&lt;&gt;"))))</f>
        <v/>
      </c>
      <c r="S181" s="45" t="str">
        <f>IF(S$149="","",IF(COUNTIFS(BD!$B$3:$B$5001,S$149,BD!$A$3:$A$5001,"&gt;="&amp;$C$8,BD!$A$3:$A$5001,"&lt;="&amp;$D$8,BD!$M$3:$M$5001,"&lt;&gt;")=0,"",SUMIFS(BD!$M$3:$M$5001,BD!$B$3:$B$5001,S$149,BD!$A$3:$A$5001,_xlfn.MAXIFS(BD!$A$3:$A$5001,BD!$B$3:$B$5001,S$149,BD!$A$3:$A$5001,"&gt;="&amp;$C$8,BD!$A$3:$A$5001,"&lt;="&amp;$D$8,BD!$M$3:$M$5001,"&lt;&gt;"))))</f>
        <v/>
      </c>
      <c r="T181" s="45" t="str">
        <f>IF(T$149="","",IF(COUNTIFS(BD!$B$3:$B$5001,T$149,BD!$A$3:$A$5001,"&gt;="&amp;$C$8,BD!$A$3:$A$5001,"&lt;="&amp;$D$8,BD!$M$3:$M$5001,"&lt;&gt;")=0,"",SUMIFS(BD!$M$3:$M$5001,BD!$B$3:$B$5001,T$149,BD!$A$3:$A$5001,_xlfn.MAXIFS(BD!$A$3:$A$5001,BD!$B$3:$B$5001,T$149,BD!$A$3:$A$5001,"&gt;="&amp;$C$8,BD!$A$3:$A$5001,"&lt;="&amp;$D$8,BD!$M$3:$M$5001,"&lt;&gt;"))))</f>
        <v/>
      </c>
      <c r="U181" s="45" t="str">
        <f>IF(U$149="","",IF(COUNTIFS(BD!$B$3:$B$5001,U$149,BD!$A$3:$A$5001,"&gt;="&amp;$C$8,BD!$A$3:$A$5001,"&lt;="&amp;$D$8,BD!$M$3:$M$5001,"&lt;&gt;")=0,"",SUMIFS(BD!$M$3:$M$5001,BD!$B$3:$B$5001,U$149,BD!$A$3:$A$5001,_xlfn.MAXIFS(BD!$A$3:$A$5001,BD!$B$3:$B$5001,U$149,BD!$A$3:$A$5001,"&gt;="&amp;$C$8,BD!$A$3:$A$5001,"&lt;="&amp;$D$8,BD!$M$3:$M$5001,"&lt;&gt;"))))</f>
        <v/>
      </c>
      <c r="V181" s="45" t="str">
        <f>IF(V$149="","",IF(COUNTIFS(BD!$B$3:$B$5001,V$149,BD!$A$3:$A$5001,"&gt;="&amp;$C$8,BD!$A$3:$A$5001,"&lt;="&amp;$D$8,BD!$M$3:$M$5001,"&lt;&gt;")=0,"",SUMIFS(BD!$M$3:$M$5001,BD!$B$3:$B$5001,V$149,BD!$A$3:$A$5001,_xlfn.MAXIFS(BD!$A$3:$A$5001,BD!$B$3:$B$5001,V$149,BD!$A$3:$A$5001,"&gt;="&amp;$C$8,BD!$A$3:$A$5001,"&lt;="&amp;$D$8,BD!$M$3:$M$5001,"&lt;&gt;"))))</f>
        <v/>
      </c>
    </row>
    <row r="182">
      <c r="A182" s="44" t="inlineStr">
        <is>
          <t xml:space="preserve">Depósito</t>
        </is>
      </c>
      <c r="C182" s="38" t="str">
        <f>IF(Config!$C$10="","JSL",Config!$C$10)</f>
        <v>JSL</v>
      </c>
      <c r="D182" s="38" t="str">
        <f>IF(Config!$C$11="","JSL",Config!$C$11)</f>
        <v>JSL</v>
      </c>
      <c r="E182" s="38" t="str">
        <f>IF(Config!$C$12="","JSL",Config!$C$12)</f>
        <v>JSL</v>
      </c>
      <c r="F182" s="38" t="str">
        <f>IF(Config!$C$13="","JSL",Config!$C$13)</f>
        <v>JSL</v>
      </c>
      <c r="G182" s="38" t="str">
        <f>IF(Config!$C$14="","JSL",Config!$C$14)</f>
        <v>JSL</v>
      </c>
      <c r="H182" s="38" t="str">
        <f>IF(Config!$C$15="","JSL",Config!$C$15)</f>
        <v>JSL</v>
      </c>
      <c r="I182" s="38" t="str">
        <f>IF(Config!$C$16="","JSL",Config!$C$16)</f>
        <v>JSL</v>
      </c>
      <c r="J182" s="38" t="str">
        <f>IF(Config!$C$17="","JSL",Config!$C$17)</f>
        <v>JSL</v>
      </c>
      <c r="K182" s="38" t="str">
        <f>IF(Config!$C$18="","JSL",Config!$C$18)</f>
        <v>JSL</v>
      </c>
      <c r="L182" s="38" t="str">
        <f>IF(Config!$C$19="","JSL",Config!$C$19)</f>
        <v>JSL</v>
      </c>
      <c r="M182" s="38" t="str">
        <f>IF(Config!$C$20="","JSL",Config!$C$20)</f>
        <v>JSL</v>
      </c>
      <c r="N182" s="38" t="str">
        <f>IF(Config!$C$21="","JSL",Config!$C$21)</f>
        <v>JSL</v>
      </c>
      <c r="O182" s="38" t="str">
        <f>IF(Config!$C$22="","JSL",Config!$C$22)</f>
        <v>JSL</v>
      </c>
      <c r="P182" s="38" t="str">
        <f>IF(Config!$C$23="","JSL",Config!$C$23)</f>
        <v>JSL</v>
      </c>
      <c r="Q182" s="38" t="str">
        <f>IF(Config!$C$24="","JSL",Config!$C$24)</f>
        <v>JSL</v>
      </c>
      <c r="R182" s="38" t="str">
        <f>IF(Config!$C$25="","JSL",Config!$C$25)</f>
        <v>JSL</v>
      </c>
      <c r="S182" s="38" t="str">
        <f>IF(Config!$C$26="","JSL",Config!$C$26)</f>
        <v>JSL</v>
      </c>
      <c r="T182" s="38" t="str">
        <f>IF(Config!$C$27="","JSL",Config!$C$27)</f>
        <v>JSL</v>
      </c>
      <c r="U182" s="38" t="str">
        <f>IF(Config!$C$28="","JSL",Config!$C$28)</f>
        <v>JSL</v>
      </c>
      <c r="V182" s="38" t="str">
        <f>IF(Config!$C$29="","JSL",Config!$C$29)</f>
        <v>JSL</v>
      </c>
    </row>
    <row r="184">
      <c r="A184" s="37" t="inlineStr">
        <is>
          <t xml:space="preserve">Posições Disponíveis</t>
        </is>
      </c>
      <c r="B184" s="37" t="inlineStr">
        <is>
          <t xml:space="preserve">Data</t>
        </is>
      </c>
      <c r="C184" s="37" t="str">
        <f>Config!$B$10&amp;""</f>
        <v>Barry Callebaut</v>
      </c>
      <c r="D184" s="37" t="str">
        <f>Config!$B$11&amp;""</f>
        <v>GM</v>
      </c>
      <c r="E184" s="37" t="str">
        <f>Config!$B$12&amp;""</f>
        <v>Mondelez</v>
      </c>
      <c r="F184" s="37" t="str">
        <f>Config!$B$13&amp;""</f>
        <v>Nestlé</v>
      </c>
      <c r="G184" s="37" t="str">
        <f>Config!$B$14&amp;""</f>
        <v>PMB</v>
      </c>
      <c r="H184" s="37" t="str">
        <f>Config!$B$15&amp;""</f>
        <v/>
      </c>
      <c r="I184" s="37" t="str">
        <f>Config!$B$16&amp;""</f>
        <v/>
      </c>
      <c r="J184" s="37" t="str">
        <f>Config!$B$17&amp;""</f>
        <v/>
      </c>
      <c r="K184" s="37" t="str">
        <f>Config!$B$18&amp;""</f>
        <v/>
      </c>
      <c r="L184" s="37" t="str">
        <f>Config!$B$19&amp;""</f>
        <v/>
      </c>
      <c r="M184" s="37" t="str">
        <f>Config!$B$20&amp;""</f>
        <v/>
      </c>
      <c r="N184" s="37" t="str">
        <f>Config!$B$21&amp;""</f>
        <v/>
      </c>
      <c r="O184" s="37" t="str">
        <f>Config!$B$22&amp;""</f>
        <v/>
      </c>
      <c r="P184" s="37" t="str">
        <f>Config!$B$23&amp;""</f>
        <v/>
      </c>
      <c r="Q184" s="37" t="str">
        <f>Config!$B$24&amp;""</f>
        <v/>
      </c>
      <c r="R184" s="37" t="str">
        <f>Config!$B$25&amp;""</f>
        <v/>
      </c>
      <c r="S184" s="37" t="str">
        <f>Config!$B$26&amp;""</f>
        <v/>
      </c>
      <c r="T184" s="37" t="str">
        <f>Config!$B$27&amp;""</f>
        <v/>
      </c>
      <c r="U184" s="37" t="str">
        <f>Config!$B$28&amp;""</f>
        <v/>
      </c>
      <c r="V184" s="37" t="str">
        <f>Config!$B$29&amp;""</f>
        <v/>
      </c>
    </row>
    <row r="185">
      <c r="A185" s="38">
        <v>1</v>
      </c>
      <c r="B185" s="42">
        <f>$B$12</f>
        <v>46296</v>
      </c>
      <c r="C185" s="43" t="str">
        <f>IF(OR($B185="",$A185&gt;$B$9,C$184=""),"",IF(COUNTIFS(BD!$B$3:$B$5001,C$184,BD!$A$3:$A$5001,"&gt;="&amp;$C$7,BD!$A$3:$A$5001,"&lt;="&amp;$B185,BD!$L$3:$L$5001,"&lt;&gt;")=0,"",SUMIFS(BD!$L$3:$L$5001,BD!$B$3:$B$5001,C$184,BD!$A$3:$A$5001,_xlfn.MAXIFS(BD!$A$3:$A$5001,BD!$B$3:$B$5001,C$184,BD!$A$3:$A$5001,"&gt;="&amp;$C$7,BD!$A$3:$A$5001,"&lt;="&amp;$B185,BD!$L$3:$L$5001,"&lt;&gt;"))))</f>
        <v/>
      </c>
      <c r="D185" s="43" t="str">
        <f>IF(OR($B185="",$A185&gt;$B$9,D$184=""),"",IF(COUNTIFS(BD!$B$3:$B$5001,D$184,BD!$A$3:$A$5001,"&gt;="&amp;$C$7,BD!$A$3:$A$5001,"&lt;="&amp;$B185,BD!$L$3:$L$5001,"&lt;&gt;")=0,"",SUMIFS(BD!$L$3:$L$5001,BD!$B$3:$B$5001,D$184,BD!$A$3:$A$5001,_xlfn.MAXIFS(BD!$A$3:$A$5001,BD!$B$3:$B$5001,D$184,BD!$A$3:$A$5001,"&gt;="&amp;$C$7,BD!$A$3:$A$5001,"&lt;="&amp;$B185,BD!$L$3:$L$5001,"&lt;&gt;"))))</f>
        <v/>
      </c>
      <c r="E185" s="43" t="str">
        <f>IF(OR($B185="",$A185&gt;$B$9,E$184=""),"",IF(COUNTIFS(BD!$B$3:$B$5001,E$184,BD!$A$3:$A$5001,"&gt;="&amp;$C$7,BD!$A$3:$A$5001,"&lt;="&amp;$B185,BD!$L$3:$L$5001,"&lt;&gt;")=0,"",SUMIFS(BD!$L$3:$L$5001,BD!$B$3:$B$5001,E$184,BD!$A$3:$A$5001,_xlfn.MAXIFS(BD!$A$3:$A$5001,BD!$B$3:$B$5001,E$184,BD!$A$3:$A$5001,"&gt;="&amp;$C$7,BD!$A$3:$A$5001,"&lt;="&amp;$B185,BD!$L$3:$L$5001,"&lt;&gt;"))))</f>
        <v/>
      </c>
      <c r="F185" s="43" t="str">
        <f>IF(OR($B185="",$A185&gt;$B$9,F$184=""),"",IF(COUNTIFS(BD!$B$3:$B$5001,F$184,BD!$A$3:$A$5001,"&gt;="&amp;$C$7,BD!$A$3:$A$5001,"&lt;="&amp;$B185,BD!$L$3:$L$5001,"&lt;&gt;")=0,"",SUMIFS(BD!$L$3:$L$5001,BD!$B$3:$B$5001,F$184,BD!$A$3:$A$5001,_xlfn.MAXIFS(BD!$A$3:$A$5001,BD!$B$3:$B$5001,F$184,BD!$A$3:$A$5001,"&gt;="&amp;$C$7,BD!$A$3:$A$5001,"&lt;="&amp;$B185,BD!$L$3:$L$5001,"&lt;&gt;"))))</f>
        <v/>
      </c>
      <c r="G185" s="43" t="str">
        <f>IF(OR($B185="",$A185&gt;$B$9,G$184=""),"",IF(COUNTIFS(BD!$B$3:$B$5001,G$184,BD!$A$3:$A$5001,"&gt;="&amp;$C$7,BD!$A$3:$A$5001,"&lt;="&amp;$B185,BD!$L$3:$L$5001,"&lt;&gt;")=0,"",SUMIFS(BD!$L$3:$L$5001,BD!$B$3:$B$5001,G$184,BD!$A$3:$A$5001,_xlfn.MAXIFS(BD!$A$3:$A$5001,BD!$B$3:$B$5001,G$184,BD!$A$3:$A$5001,"&gt;="&amp;$C$7,BD!$A$3:$A$5001,"&lt;="&amp;$B185,BD!$L$3:$L$5001,"&lt;&gt;"))))</f>
        <v/>
      </c>
      <c r="H185" s="43" t="str">
        <f>IF(OR($B185="",$A185&gt;$B$9,H$184=""),"",IF(COUNTIFS(BD!$B$3:$B$5001,H$184,BD!$A$3:$A$5001,"&gt;="&amp;$C$7,BD!$A$3:$A$5001,"&lt;="&amp;$B185,BD!$L$3:$L$5001,"&lt;&gt;")=0,"",SUMIFS(BD!$L$3:$L$5001,BD!$B$3:$B$5001,H$184,BD!$A$3:$A$5001,_xlfn.MAXIFS(BD!$A$3:$A$5001,BD!$B$3:$B$5001,H$184,BD!$A$3:$A$5001,"&gt;="&amp;$C$7,BD!$A$3:$A$5001,"&lt;="&amp;$B185,BD!$L$3:$L$5001,"&lt;&gt;"))))</f>
        <v/>
      </c>
      <c r="I185" s="43" t="str">
        <f>IF(OR($B185="",$A185&gt;$B$9,I$184=""),"",IF(COUNTIFS(BD!$B$3:$B$5001,I$184,BD!$A$3:$A$5001,"&gt;="&amp;$C$7,BD!$A$3:$A$5001,"&lt;="&amp;$B185,BD!$L$3:$L$5001,"&lt;&gt;")=0,"",SUMIFS(BD!$L$3:$L$5001,BD!$B$3:$B$5001,I$184,BD!$A$3:$A$5001,_xlfn.MAXIFS(BD!$A$3:$A$5001,BD!$B$3:$B$5001,I$184,BD!$A$3:$A$5001,"&gt;="&amp;$C$7,BD!$A$3:$A$5001,"&lt;="&amp;$B185,BD!$L$3:$L$5001,"&lt;&gt;"))))</f>
        <v/>
      </c>
      <c r="J185" s="43" t="str">
        <f>IF(OR($B185="",$A185&gt;$B$9,J$184=""),"",IF(COUNTIFS(BD!$B$3:$B$5001,J$184,BD!$A$3:$A$5001,"&gt;="&amp;$C$7,BD!$A$3:$A$5001,"&lt;="&amp;$B185,BD!$L$3:$L$5001,"&lt;&gt;")=0,"",SUMIFS(BD!$L$3:$L$5001,BD!$B$3:$B$5001,J$184,BD!$A$3:$A$5001,_xlfn.MAXIFS(BD!$A$3:$A$5001,BD!$B$3:$B$5001,J$184,BD!$A$3:$A$5001,"&gt;="&amp;$C$7,BD!$A$3:$A$5001,"&lt;="&amp;$B185,BD!$L$3:$L$5001,"&lt;&gt;"))))</f>
        <v/>
      </c>
      <c r="K185" s="43" t="str">
        <f>IF(OR($B185="",$A185&gt;$B$9,K$184=""),"",IF(COUNTIFS(BD!$B$3:$B$5001,K$184,BD!$A$3:$A$5001,"&gt;="&amp;$C$7,BD!$A$3:$A$5001,"&lt;="&amp;$B185,BD!$L$3:$L$5001,"&lt;&gt;")=0,"",SUMIFS(BD!$L$3:$L$5001,BD!$B$3:$B$5001,K$184,BD!$A$3:$A$5001,_xlfn.MAXIFS(BD!$A$3:$A$5001,BD!$B$3:$B$5001,K$184,BD!$A$3:$A$5001,"&gt;="&amp;$C$7,BD!$A$3:$A$5001,"&lt;="&amp;$B185,BD!$L$3:$L$5001,"&lt;&gt;"))))</f>
        <v/>
      </c>
      <c r="L185" s="43" t="str">
        <f>IF(OR($B185="",$A185&gt;$B$9,L$184=""),"",IF(COUNTIFS(BD!$B$3:$B$5001,L$184,BD!$A$3:$A$5001,"&gt;="&amp;$C$7,BD!$A$3:$A$5001,"&lt;="&amp;$B185,BD!$L$3:$L$5001,"&lt;&gt;")=0,"",SUMIFS(BD!$L$3:$L$5001,BD!$B$3:$B$5001,L$184,BD!$A$3:$A$5001,_xlfn.MAXIFS(BD!$A$3:$A$5001,BD!$B$3:$B$5001,L$184,BD!$A$3:$A$5001,"&gt;="&amp;$C$7,BD!$A$3:$A$5001,"&lt;="&amp;$B185,BD!$L$3:$L$5001,"&lt;&gt;"))))</f>
        <v/>
      </c>
      <c r="M185" s="43" t="str">
        <f>IF(OR($B185="",$A185&gt;$B$9,M$184=""),"",IF(COUNTIFS(BD!$B$3:$B$5001,M$184,BD!$A$3:$A$5001,"&gt;="&amp;$C$7,BD!$A$3:$A$5001,"&lt;="&amp;$B185,BD!$L$3:$L$5001,"&lt;&gt;")=0,"",SUMIFS(BD!$L$3:$L$5001,BD!$B$3:$B$5001,M$184,BD!$A$3:$A$5001,_xlfn.MAXIFS(BD!$A$3:$A$5001,BD!$B$3:$B$5001,M$184,BD!$A$3:$A$5001,"&gt;="&amp;$C$7,BD!$A$3:$A$5001,"&lt;="&amp;$B185,BD!$L$3:$L$5001,"&lt;&gt;"))))</f>
        <v/>
      </c>
      <c r="N185" s="43" t="str">
        <f>IF(OR($B185="",$A185&gt;$B$9,N$184=""),"",IF(COUNTIFS(BD!$B$3:$B$5001,N$184,BD!$A$3:$A$5001,"&gt;="&amp;$C$7,BD!$A$3:$A$5001,"&lt;="&amp;$B185,BD!$L$3:$L$5001,"&lt;&gt;")=0,"",SUMIFS(BD!$L$3:$L$5001,BD!$B$3:$B$5001,N$184,BD!$A$3:$A$5001,_xlfn.MAXIFS(BD!$A$3:$A$5001,BD!$B$3:$B$5001,N$184,BD!$A$3:$A$5001,"&gt;="&amp;$C$7,BD!$A$3:$A$5001,"&lt;="&amp;$B185,BD!$L$3:$L$5001,"&lt;&gt;"))))</f>
        <v/>
      </c>
      <c r="O185" s="43" t="str">
        <f>IF(OR($B185="",$A185&gt;$B$9,O$184=""),"",IF(COUNTIFS(BD!$B$3:$B$5001,O$184,BD!$A$3:$A$5001,"&gt;="&amp;$C$7,BD!$A$3:$A$5001,"&lt;="&amp;$B185,BD!$L$3:$L$5001,"&lt;&gt;")=0,"",SUMIFS(BD!$L$3:$L$5001,BD!$B$3:$B$5001,O$184,BD!$A$3:$A$5001,_xlfn.MAXIFS(BD!$A$3:$A$5001,BD!$B$3:$B$5001,O$184,BD!$A$3:$A$5001,"&gt;="&amp;$C$7,BD!$A$3:$A$5001,"&lt;="&amp;$B185,BD!$L$3:$L$5001,"&lt;&gt;"))))</f>
        <v/>
      </c>
      <c r="P185" s="43" t="str">
        <f>IF(OR($B185="",$A185&gt;$B$9,P$184=""),"",IF(COUNTIFS(BD!$B$3:$B$5001,P$184,BD!$A$3:$A$5001,"&gt;="&amp;$C$7,BD!$A$3:$A$5001,"&lt;="&amp;$B185,BD!$L$3:$L$5001,"&lt;&gt;")=0,"",SUMIFS(BD!$L$3:$L$5001,BD!$B$3:$B$5001,P$184,BD!$A$3:$A$5001,_xlfn.MAXIFS(BD!$A$3:$A$5001,BD!$B$3:$B$5001,P$184,BD!$A$3:$A$5001,"&gt;="&amp;$C$7,BD!$A$3:$A$5001,"&lt;="&amp;$B185,BD!$L$3:$L$5001,"&lt;&gt;"))))</f>
        <v/>
      </c>
      <c r="Q185" s="43" t="str">
        <f>IF(OR($B185="",$A185&gt;$B$9,Q$184=""),"",IF(COUNTIFS(BD!$B$3:$B$5001,Q$184,BD!$A$3:$A$5001,"&gt;="&amp;$C$7,BD!$A$3:$A$5001,"&lt;="&amp;$B185,BD!$L$3:$L$5001,"&lt;&gt;")=0,"",SUMIFS(BD!$L$3:$L$5001,BD!$B$3:$B$5001,Q$184,BD!$A$3:$A$5001,_xlfn.MAXIFS(BD!$A$3:$A$5001,BD!$B$3:$B$5001,Q$184,BD!$A$3:$A$5001,"&gt;="&amp;$C$7,BD!$A$3:$A$5001,"&lt;="&amp;$B185,BD!$L$3:$L$5001,"&lt;&gt;"))))</f>
        <v/>
      </c>
      <c r="R185" s="43" t="str">
        <f>IF(OR($B185="",$A185&gt;$B$9,R$184=""),"",IF(COUNTIFS(BD!$B$3:$B$5001,R$184,BD!$A$3:$A$5001,"&gt;="&amp;$C$7,BD!$A$3:$A$5001,"&lt;="&amp;$B185,BD!$L$3:$L$5001,"&lt;&gt;")=0,"",SUMIFS(BD!$L$3:$L$5001,BD!$B$3:$B$5001,R$184,BD!$A$3:$A$5001,_xlfn.MAXIFS(BD!$A$3:$A$5001,BD!$B$3:$B$5001,R$184,BD!$A$3:$A$5001,"&gt;="&amp;$C$7,BD!$A$3:$A$5001,"&lt;="&amp;$B185,BD!$L$3:$L$5001,"&lt;&gt;"))))</f>
        <v/>
      </c>
      <c r="S185" s="43" t="str">
        <f>IF(OR($B185="",$A185&gt;$B$9,S$184=""),"",IF(COUNTIFS(BD!$B$3:$B$5001,S$184,BD!$A$3:$A$5001,"&gt;="&amp;$C$7,BD!$A$3:$A$5001,"&lt;="&amp;$B185,BD!$L$3:$L$5001,"&lt;&gt;")=0,"",SUMIFS(BD!$L$3:$L$5001,BD!$B$3:$B$5001,S$184,BD!$A$3:$A$5001,_xlfn.MAXIFS(BD!$A$3:$A$5001,BD!$B$3:$B$5001,S$184,BD!$A$3:$A$5001,"&gt;="&amp;$C$7,BD!$A$3:$A$5001,"&lt;="&amp;$B185,BD!$L$3:$L$5001,"&lt;&gt;"))))</f>
        <v/>
      </c>
      <c r="T185" s="43" t="str">
        <f>IF(OR($B185="",$A185&gt;$B$9,T$184=""),"",IF(COUNTIFS(BD!$B$3:$B$5001,T$184,BD!$A$3:$A$5001,"&gt;="&amp;$C$7,BD!$A$3:$A$5001,"&lt;="&amp;$B185,BD!$L$3:$L$5001,"&lt;&gt;")=0,"",SUMIFS(BD!$L$3:$L$5001,BD!$B$3:$B$5001,T$184,BD!$A$3:$A$5001,_xlfn.MAXIFS(BD!$A$3:$A$5001,BD!$B$3:$B$5001,T$184,BD!$A$3:$A$5001,"&gt;="&amp;$C$7,BD!$A$3:$A$5001,"&lt;="&amp;$B185,BD!$L$3:$L$5001,"&lt;&gt;"))))</f>
        <v/>
      </c>
      <c r="U185" s="43" t="str">
        <f>IF(OR($B185="",$A185&gt;$B$9,U$184=""),"",IF(COUNTIFS(BD!$B$3:$B$5001,U$184,BD!$A$3:$A$5001,"&gt;="&amp;$C$7,BD!$A$3:$A$5001,"&lt;="&amp;$B185,BD!$L$3:$L$5001,"&lt;&gt;")=0,"",SUMIFS(BD!$L$3:$L$5001,BD!$B$3:$B$5001,U$184,BD!$A$3:$A$5001,_xlfn.MAXIFS(BD!$A$3:$A$5001,BD!$B$3:$B$5001,U$184,BD!$A$3:$A$5001,"&gt;="&amp;$C$7,BD!$A$3:$A$5001,"&lt;="&amp;$B185,BD!$L$3:$L$5001,"&lt;&gt;"))))</f>
        <v/>
      </c>
      <c r="V185" s="43" t="str">
        <f>IF(OR($B185="",$A185&gt;$B$9,V$184=""),"",IF(COUNTIFS(BD!$B$3:$B$5001,V$184,BD!$A$3:$A$5001,"&gt;="&amp;$C$7,BD!$A$3:$A$5001,"&lt;="&amp;$B185,BD!$L$3:$L$5001,"&lt;&gt;")=0,"",SUMIFS(BD!$L$3:$L$5001,BD!$B$3:$B$5001,V$184,BD!$A$3:$A$5001,_xlfn.MAXIFS(BD!$A$3:$A$5001,BD!$B$3:$B$5001,V$184,BD!$A$3:$A$5001,"&gt;="&amp;$C$7,BD!$A$3:$A$5001,"&lt;="&amp;$B185,BD!$L$3:$L$5001,"&lt;&gt;"))))</f>
        <v/>
      </c>
    </row>
    <row r="186">
      <c r="A186" s="38">
        <v>2</v>
      </c>
      <c r="B186" s="42">
        <f>$B$13</f>
        <v>46297</v>
      </c>
      <c r="C186" s="43" t="str">
        <f>IF(OR($B186="",$A186&gt;$B$9,C$184=""),"",IF(COUNTIFS(BD!$B$3:$B$5001,C$184,BD!$A$3:$A$5001,"&gt;="&amp;$C$7,BD!$A$3:$A$5001,"&lt;="&amp;$B186,BD!$L$3:$L$5001,"&lt;&gt;")=0,"",SUMIFS(BD!$L$3:$L$5001,BD!$B$3:$B$5001,C$184,BD!$A$3:$A$5001,_xlfn.MAXIFS(BD!$A$3:$A$5001,BD!$B$3:$B$5001,C$184,BD!$A$3:$A$5001,"&gt;="&amp;$C$7,BD!$A$3:$A$5001,"&lt;="&amp;$B186,BD!$L$3:$L$5001,"&lt;&gt;"))))</f>
        <v/>
      </c>
      <c r="D186" s="43" t="str">
        <f>IF(OR($B186="",$A186&gt;$B$9,D$184=""),"",IF(COUNTIFS(BD!$B$3:$B$5001,D$184,BD!$A$3:$A$5001,"&gt;="&amp;$C$7,BD!$A$3:$A$5001,"&lt;="&amp;$B186,BD!$L$3:$L$5001,"&lt;&gt;")=0,"",SUMIFS(BD!$L$3:$L$5001,BD!$B$3:$B$5001,D$184,BD!$A$3:$A$5001,_xlfn.MAXIFS(BD!$A$3:$A$5001,BD!$B$3:$B$5001,D$184,BD!$A$3:$A$5001,"&gt;="&amp;$C$7,BD!$A$3:$A$5001,"&lt;="&amp;$B186,BD!$L$3:$L$5001,"&lt;&gt;"))))</f>
        <v/>
      </c>
      <c r="E186" s="43" t="str">
        <f>IF(OR($B186="",$A186&gt;$B$9,E$184=""),"",IF(COUNTIFS(BD!$B$3:$B$5001,E$184,BD!$A$3:$A$5001,"&gt;="&amp;$C$7,BD!$A$3:$A$5001,"&lt;="&amp;$B186,BD!$L$3:$L$5001,"&lt;&gt;")=0,"",SUMIFS(BD!$L$3:$L$5001,BD!$B$3:$B$5001,E$184,BD!$A$3:$A$5001,_xlfn.MAXIFS(BD!$A$3:$A$5001,BD!$B$3:$B$5001,E$184,BD!$A$3:$A$5001,"&gt;="&amp;$C$7,BD!$A$3:$A$5001,"&lt;="&amp;$B186,BD!$L$3:$L$5001,"&lt;&gt;"))))</f>
        <v/>
      </c>
      <c r="F186" s="43" t="str">
        <f>IF(OR($B186="",$A186&gt;$B$9,F$184=""),"",IF(COUNTIFS(BD!$B$3:$B$5001,F$184,BD!$A$3:$A$5001,"&gt;="&amp;$C$7,BD!$A$3:$A$5001,"&lt;="&amp;$B186,BD!$L$3:$L$5001,"&lt;&gt;")=0,"",SUMIFS(BD!$L$3:$L$5001,BD!$B$3:$B$5001,F$184,BD!$A$3:$A$5001,_xlfn.MAXIFS(BD!$A$3:$A$5001,BD!$B$3:$B$5001,F$184,BD!$A$3:$A$5001,"&gt;="&amp;$C$7,BD!$A$3:$A$5001,"&lt;="&amp;$B186,BD!$L$3:$L$5001,"&lt;&gt;"))))</f>
        <v/>
      </c>
      <c r="G186" s="43" t="str">
        <f>IF(OR($B186="",$A186&gt;$B$9,G$184=""),"",IF(COUNTIFS(BD!$B$3:$B$5001,G$184,BD!$A$3:$A$5001,"&gt;="&amp;$C$7,BD!$A$3:$A$5001,"&lt;="&amp;$B186,BD!$L$3:$L$5001,"&lt;&gt;")=0,"",SUMIFS(BD!$L$3:$L$5001,BD!$B$3:$B$5001,G$184,BD!$A$3:$A$5001,_xlfn.MAXIFS(BD!$A$3:$A$5001,BD!$B$3:$B$5001,G$184,BD!$A$3:$A$5001,"&gt;="&amp;$C$7,BD!$A$3:$A$5001,"&lt;="&amp;$B186,BD!$L$3:$L$5001,"&lt;&gt;"))))</f>
        <v/>
      </c>
      <c r="H186" s="43" t="str">
        <f>IF(OR($B186="",$A186&gt;$B$9,H$184=""),"",IF(COUNTIFS(BD!$B$3:$B$5001,H$184,BD!$A$3:$A$5001,"&gt;="&amp;$C$7,BD!$A$3:$A$5001,"&lt;="&amp;$B186,BD!$L$3:$L$5001,"&lt;&gt;")=0,"",SUMIFS(BD!$L$3:$L$5001,BD!$B$3:$B$5001,H$184,BD!$A$3:$A$5001,_xlfn.MAXIFS(BD!$A$3:$A$5001,BD!$B$3:$B$5001,H$184,BD!$A$3:$A$5001,"&gt;="&amp;$C$7,BD!$A$3:$A$5001,"&lt;="&amp;$B186,BD!$L$3:$L$5001,"&lt;&gt;"))))</f>
        <v/>
      </c>
      <c r="I186" s="43" t="str">
        <f>IF(OR($B186="",$A186&gt;$B$9,I$184=""),"",IF(COUNTIFS(BD!$B$3:$B$5001,I$184,BD!$A$3:$A$5001,"&gt;="&amp;$C$7,BD!$A$3:$A$5001,"&lt;="&amp;$B186,BD!$L$3:$L$5001,"&lt;&gt;")=0,"",SUMIFS(BD!$L$3:$L$5001,BD!$B$3:$B$5001,I$184,BD!$A$3:$A$5001,_xlfn.MAXIFS(BD!$A$3:$A$5001,BD!$B$3:$B$5001,I$184,BD!$A$3:$A$5001,"&gt;="&amp;$C$7,BD!$A$3:$A$5001,"&lt;="&amp;$B186,BD!$L$3:$L$5001,"&lt;&gt;"))))</f>
        <v/>
      </c>
      <c r="J186" s="43" t="str">
        <f>IF(OR($B186="",$A186&gt;$B$9,J$184=""),"",IF(COUNTIFS(BD!$B$3:$B$5001,J$184,BD!$A$3:$A$5001,"&gt;="&amp;$C$7,BD!$A$3:$A$5001,"&lt;="&amp;$B186,BD!$L$3:$L$5001,"&lt;&gt;")=0,"",SUMIFS(BD!$L$3:$L$5001,BD!$B$3:$B$5001,J$184,BD!$A$3:$A$5001,_xlfn.MAXIFS(BD!$A$3:$A$5001,BD!$B$3:$B$5001,J$184,BD!$A$3:$A$5001,"&gt;="&amp;$C$7,BD!$A$3:$A$5001,"&lt;="&amp;$B186,BD!$L$3:$L$5001,"&lt;&gt;"))))</f>
        <v/>
      </c>
      <c r="K186" s="43" t="str">
        <f>IF(OR($B186="",$A186&gt;$B$9,K$184=""),"",IF(COUNTIFS(BD!$B$3:$B$5001,K$184,BD!$A$3:$A$5001,"&gt;="&amp;$C$7,BD!$A$3:$A$5001,"&lt;="&amp;$B186,BD!$L$3:$L$5001,"&lt;&gt;")=0,"",SUMIFS(BD!$L$3:$L$5001,BD!$B$3:$B$5001,K$184,BD!$A$3:$A$5001,_xlfn.MAXIFS(BD!$A$3:$A$5001,BD!$B$3:$B$5001,K$184,BD!$A$3:$A$5001,"&gt;="&amp;$C$7,BD!$A$3:$A$5001,"&lt;="&amp;$B186,BD!$L$3:$L$5001,"&lt;&gt;"))))</f>
        <v/>
      </c>
      <c r="L186" s="43" t="str">
        <f>IF(OR($B186="",$A186&gt;$B$9,L$184=""),"",IF(COUNTIFS(BD!$B$3:$B$5001,L$184,BD!$A$3:$A$5001,"&gt;="&amp;$C$7,BD!$A$3:$A$5001,"&lt;="&amp;$B186,BD!$L$3:$L$5001,"&lt;&gt;")=0,"",SUMIFS(BD!$L$3:$L$5001,BD!$B$3:$B$5001,L$184,BD!$A$3:$A$5001,_xlfn.MAXIFS(BD!$A$3:$A$5001,BD!$B$3:$B$5001,L$184,BD!$A$3:$A$5001,"&gt;="&amp;$C$7,BD!$A$3:$A$5001,"&lt;="&amp;$B186,BD!$L$3:$L$5001,"&lt;&gt;"))))</f>
        <v/>
      </c>
      <c r="M186" s="43" t="str">
        <f>IF(OR($B186="",$A186&gt;$B$9,M$184=""),"",IF(COUNTIFS(BD!$B$3:$B$5001,M$184,BD!$A$3:$A$5001,"&gt;="&amp;$C$7,BD!$A$3:$A$5001,"&lt;="&amp;$B186,BD!$L$3:$L$5001,"&lt;&gt;")=0,"",SUMIFS(BD!$L$3:$L$5001,BD!$B$3:$B$5001,M$184,BD!$A$3:$A$5001,_xlfn.MAXIFS(BD!$A$3:$A$5001,BD!$B$3:$B$5001,M$184,BD!$A$3:$A$5001,"&gt;="&amp;$C$7,BD!$A$3:$A$5001,"&lt;="&amp;$B186,BD!$L$3:$L$5001,"&lt;&gt;"))))</f>
        <v/>
      </c>
      <c r="N186" s="43" t="str">
        <f>IF(OR($B186="",$A186&gt;$B$9,N$184=""),"",IF(COUNTIFS(BD!$B$3:$B$5001,N$184,BD!$A$3:$A$5001,"&gt;="&amp;$C$7,BD!$A$3:$A$5001,"&lt;="&amp;$B186,BD!$L$3:$L$5001,"&lt;&gt;")=0,"",SUMIFS(BD!$L$3:$L$5001,BD!$B$3:$B$5001,N$184,BD!$A$3:$A$5001,_xlfn.MAXIFS(BD!$A$3:$A$5001,BD!$B$3:$B$5001,N$184,BD!$A$3:$A$5001,"&gt;="&amp;$C$7,BD!$A$3:$A$5001,"&lt;="&amp;$B186,BD!$L$3:$L$5001,"&lt;&gt;"))))</f>
        <v/>
      </c>
      <c r="O186" s="43" t="str">
        <f>IF(OR($B186="",$A186&gt;$B$9,O$184=""),"",IF(COUNTIFS(BD!$B$3:$B$5001,O$184,BD!$A$3:$A$5001,"&gt;="&amp;$C$7,BD!$A$3:$A$5001,"&lt;="&amp;$B186,BD!$L$3:$L$5001,"&lt;&gt;")=0,"",SUMIFS(BD!$L$3:$L$5001,BD!$B$3:$B$5001,O$184,BD!$A$3:$A$5001,_xlfn.MAXIFS(BD!$A$3:$A$5001,BD!$B$3:$B$5001,O$184,BD!$A$3:$A$5001,"&gt;="&amp;$C$7,BD!$A$3:$A$5001,"&lt;="&amp;$B186,BD!$L$3:$L$5001,"&lt;&gt;"))))</f>
        <v/>
      </c>
      <c r="P186" s="43" t="str">
        <f>IF(OR($B186="",$A186&gt;$B$9,P$184=""),"",IF(COUNTIFS(BD!$B$3:$B$5001,P$184,BD!$A$3:$A$5001,"&gt;="&amp;$C$7,BD!$A$3:$A$5001,"&lt;="&amp;$B186,BD!$L$3:$L$5001,"&lt;&gt;")=0,"",SUMIFS(BD!$L$3:$L$5001,BD!$B$3:$B$5001,P$184,BD!$A$3:$A$5001,_xlfn.MAXIFS(BD!$A$3:$A$5001,BD!$B$3:$B$5001,P$184,BD!$A$3:$A$5001,"&gt;="&amp;$C$7,BD!$A$3:$A$5001,"&lt;="&amp;$B186,BD!$L$3:$L$5001,"&lt;&gt;"))))</f>
        <v/>
      </c>
      <c r="Q186" s="43" t="str">
        <f>IF(OR($B186="",$A186&gt;$B$9,Q$184=""),"",IF(COUNTIFS(BD!$B$3:$B$5001,Q$184,BD!$A$3:$A$5001,"&gt;="&amp;$C$7,BD!$A$3:$A$5001,"&lt;="&amp;$B186,BD!$L$3:$L$5001,"&lt;&gt;")=0,"",SUMIFS(BD!$L$3:$L$5001,BD!$B$3:$B$5001,Q$184,BD!$A$3:$A$5001,_xlfn.MAXIFS(BD!$A$3:$A$5001,BD!$B$3:$B$5001,Q$184,BD!$A$3:$A$5001,"&gt;="&amp;$C$7,BD!$A$3:$A$5001,"&lt;="&amp;$B186,BD!$L$3:$L$5001,"&lt;&gt;"))))</f>
        <v/>
      </c>
      <c r="R186" s="43" t="str">
        <f>IF(OR($B186="",$A186&gt;$B$9,R$184=""),"",IF(COUNTIFS(BD!$B$3:$B$5001,R$184,BD!$A$3:$A$5001,"&gt;="&amp;$C$7,BD!$A$3:$A$5001,"&lt;="&amp;$B186,BD!$L$3:$L$5001,"&lt;&gt;")=0,"",SUMIFS(BD!$L$3:$L$5001,BD!$B$3:$B$5001,R$184,BD!$A$3:$A$5001,_xlfn.MAXIFS(BD!$A$3:$A$5001,BD!$B$3:$B$5001,R$184,BD!$A$3:$A$5001,"&gt;="&amp;$C$7,BD!$A$3:$A$5001,"&lt;="&amp;$B186,BD!$L$3:$L$5001,"&lt;&gt;"))))</f>
        <v/>
      </c>
      <c r="S186" s="43" t="str">
        <f>IF(OR($B186="",$A186&gt;$B$9,S$184=""),"",IF(COUNTIFS(BD!$B$3:$B$5001,S$184,BD!$A$3:$A$5001,"&gt;="&amp;$C$7,BD!$A$3:$A$5001,"&lt;="&amp;$B186,BD!$L$3:$L$5001,"&lt;&gt;")=0,"",SUMIFS(BD!$L$3:$L$5001,BD!$B$3:$B$5001,S$184,BD!$A$3:$A$5001,_xlfn.MAXIFS(BD!$A$3:$A$5001,BD!$B$3:$B$5001,S$184,BD!$A$3:$A$5001,"&gt;="&amp;$C$7,BD!$A$3:$A$5001,"&lt;="&amp;$B186,BD!$L$3:$L$5001,"&lt;&gt;"))))</f>
        <v/>
      </c>
      <c r="T186" s="43" t="str">
        <f>IF(OR($B186="",$A186&gt;$B$9,T$184=""),"",IF(COUNTIFS(BD!$B$3:$B$5001,T$184,BD!$A$3:$A$5001,"&gt;="&amp;$C$7,BD!$A$3:$A$5001,"&lt;="&amp;$B186,BD!$L$3:$L$5001,"&lt;&gt;")=0,"",SUMIFS(BD!$L$3:$L$5001,BD!$B$3:$B$5001,T$184,BD!$A$3:$A$5001,_xlfn.MAXIFS(BD!$A$3:$A$5001,BD!$B$3:$B$5001,T$184,BD!$A$3:$A$5001,"&gt;="&amp;$C$7,BD!$A$3:$A$5001,"&lt;="&amp;$B186,BD!$L$3:$L$5001,"&lt;&gt;"))))</f>
        <v/>
      </c>
      <c r="U186" s="43" t="str">
        <f>IF(OR($B186="",$A186&gt;$B$9,U$184=""),"",IF(COUNTIFS(BD!$B$3:$B$5001,U$184,BD!$A$3:$A$5001,"&gt;="&amp;$C$7,BD!$A$3:$A$5001,"&lt;="&amp;$B186,BD!$L$3:$L$5001,"&lt;&gt;")=0,"",SUMIFS(BD!$L$3:$L$5001,BD!$B$3:$B$5001,U$184,BD!$A$3:$A$5001,_xlfn.MAXIFS(BD!$A$3:$A$5001,BD!$B$3:$B$5001,U$184,BD!$A$3:$A$5001,"&gt;="&amp;$C$7,BD!$A$3:$A$5001,"&lt;="&amp;$B186,BD!$L$3:$L$5001,"&lt;&gt;"))))</f>
        <v/>
      </c>
      <c r="V186" s="43" t="str">
        <f>IF(OR($B186="",$A186&gt;$B$9,V$184=""),"",IF(COUNTIFS(BD!$B$3:$B$5001,V$184,BD!$A$3:$A$5001,"&gt;="&amp;$C$7,BD!$A$3:$A$5001,"&lt;="&amp;$B186,BD!$L$3:$L$5001,"&lt;&gt;")=0,"",SUMIFS(BD!$L$3:$L$5001,BD!$B$3:$B$5001,V$184,BD!$A$3:$A$5001,_xlfn.MAXIFS(BD!$A$3:$A$5001,BD!$B$3:$B$5001,V$184,BD!$A$3:$A$5001,"&gt;="&amp;$C$7,BD!$A$3:$A$5001,"&lt;="&amp;$B186,BD!$L$3:$L$5001,"&lt;&gt;"))))</f>
        <v/>
      </c>
    </row>
    <row r="187">
      <c r="A187" s="38">
        <v>3</v>
      </c>
      <c r="B187" s="42">
        <f>$B$14</f>
        <v>46298</v>
      </c>
      <c r="C187" s="43" t="str">
        <f>IF(OR($B187="",$A187&gt;$B$9,C$184=""),"",IF(COUNTIFS(BD!$B$3:$B$5001,C$184,BD!$A$3:$A$5001,"&gt;="&amp;$C$7,BD!$A$3:$A$5001,"&lt;="&amp;$B187,BD!$L$3:$L$5001,"&lt;&gt;")=0,"",SUMIFS(BD!$L$3:$L$5001,BD!$B$3:$B$5001,C$184,BD!$A$3:$A$5001,_xlfn.MAXIFS(BD!$A$3:$A$5001,BD!$B$3:$B$5001,C$184,BD!$A$3:$A$5001,"&gt;="&amp;$C$7,BD!$A$3:$A$5001,"&lt;="&amp;$B187,BD!$L$3:$L$5001,"&lt;&gt;"))))</f>
        <v/>
      </c>
      <c r="D187" s="43" t="str">
        <f>IF(OR($B187="",$A187&gt;$B$9,D$184=""),"",IF(COUNTIFS(BD!$B$3:$B$5001,D$184,BD!$A$3:$A$5001,"&gt;="&amp;$C$7,BD!$A$3:$A$5001,"&lt;="&amp;$B187,BD!$L$3:$L$5001,"&lt;&gt;")=0,"",SUMIFS(BD!$L$3:$L$5001,BD!$B$3:$B$5001,D$184,BD!$A$3:$A$5001,_xlfn.MAXIFS(BD!$A$3:$A$5001,BD!$B$3:$B$5001,D$184,BD!$A$3:$A$5001,"&gt;="&amp;$C$7,BD!$A$3:$A$5001,"&lt;="&amp;$B187,BD!$L$3:$L$5001,"&lt;&gt;"))))</f>
        <v/>
      </c>
      <c r="E187" s="43" t="str">
        <f>IF(OR($B187="",$A187&gt;$B$9,E$184=""),"",IF(COUNTIFS(BD!$B$3:$B$5001,E$184,BD!$A$3:$A$5001,"&gt;="&amp;$C$7,BD!$A$3:$A$5001,"&lt;="&amp;$B187,BD!$L$3:$L$5001,"&lt;&gt;")=0,"",SUMIFS(BD!$L$3:$L$5001,BD!$B$3:$B$5001,E$184,BD!$A$3:$A$5001,_xlfn.MAXIFS(BD!$A$3:$A$5001,BD!$B$3:$B$5001,E$184,BD!$A$3:$A$5001,"&gt;="&amp;$C$7,BD!$A$3:$A$5001,"&lt;="&amp;$B187,BD!$L$3:$L$5001,"&lt;&gt;"))))</f>
        <v/>
      </c>
      <c r="F187" s="43" t="str">
        <f>IF(OR($B187="",$A187&gt;$B$9,F$184=""),"",IF(COUNTIFS(BD!$B$3:$B$5001,F$184,BD!$A$3:$A$5001,"&gt;="&amp;$C$7,BD!$A$3:$A$5001,"&lt;="&amp;$B187,BD!$L$3:$L$5001,"&lt;&gt;")=0,"",SUMIFS(BD!$L$3:$L$5001,BD!$B$3:$B$5001,F$184,BD!$A$3:$A$5001,_xlfn.MAXIFS(BD!$A$3:$A$5001,BD!$B$3:$B$5001,F$184,BD!$A$3:$A$5001,"&gt;="&amp;$C$7,BD!$A$3:$A$5001,"&lt;="&amp;$B187,BD!$L$3:$L$5001,"&lt;&gt;"))))</f>
        <v/>
      </c>
      <c r="G187" s="43" t="str">
        <f>IF(OR($B187="",$A187&gt;$B$9,G$184=""),"",IF(COUNTIFS(BD!$B$3:$B$5001,G$184,BD!$A$3:$A$5001,"&gt;="&amp;$C$7,BD!$A$3:$A$5001,"&lt;="&amp;$B187,BD!$L$3:$L$5001,"&lt;&gt;")=0,"",SUMIFS(BD!$L$3:$L$5001,BD!$B$3:$B$5001,G$184,BD!$A$3:$A$5001,_xlfn.MAXIFS(BD!$A$3:$A$5001,BD!$B$3:$B$5001,G$184,BD!$A$3:$A$5001,"&gt;="&amp;$C$7,BD!$A$3:$A$5001,"&lt;="&amp;$B187,BD!$L$3:$L$5001,"&lt;&gt;"))))</f>
        <v/>
      </c>
      <c r="H187" s="43" t="str">
        <f>IF(OR($B187="",$A187&gt;$B$9,H$184=""),"",IF(COUNTIFS(BD!$B$3:$B$5001,H$184,BD!$A$3:$A$5001,"&gt;="&amp;$C$7,BD!$A$3:$A$5001,"&lt;="&amp;$B187,BD!$L$3:$L$5001,"&lt;&gt;")=0,"",SUMIFS(BD!$L$3:$L$5001,BD!$B$3:$B$5001,H$184,BD!$A$3:$A$5001,_xlfn.MAXIFS(BD!$A$3:$A$5001,BD!$B$3:$B$5001,H$184,BD!$A$3:$A$5001,"&gt;="&amp;$C$7,BD!$A$3:$A$5001,"&lt;="&amp;$B187,BD!$L$3:$L$5001,"&lt;&gt;"))))</f>
        <v/>
      </c>
      <c r="I187" s="43" t="str">
        <f>IF(OR($B187="",$A187&gt;$B$9,I$184=""),"",IF(COUNTIFS(BD!$B$3:$B$5001,I$184,BD!$A$3:$A$5001,"&gt;="&amp;$C$7,BD!$A$3:$A$5001,"&lt;="&amp;$B187,BD!$L$3:$L$5001,"&lt;&gt;")=0,"",SUMIFS(BD!$L$3:$L$5001,BD!$B$3:$B$5001,I$184,BD!$A$3:$A$5001,_xlfn.MAXIFS(BD!$A$3:$A$5001,BD!$B$3:$B$5001,I$184,BD!$A$3:$A$5001,"&gt;="&amp;$C$7,BD!$A$3:$A$5001,"&lt;="&amp;$B187,BD!$L$3:$L$5001,"&lt;&gt;"))))</f>
        <v/>
      </c>
      <c r="J187" s="43" t="str">
        <f>IF(OR($B187="",$A187&gt;$B$9,J$184=""),"",IF(COUNTIFS(BD!$B$3:$B$5001,J$184,BD!$A$3:$A$5001,"&gt;="&amp;$C$7,BD!$A$3:$A$5001,"&lt;="&amp;$B187,BD!$L$3:$L$5001,"&lt;&gt;")=0,"",SUMIFS(BD!$L$3:$L$5001,BD!$B$3:$B$5001,J$184,BD!$A$3:$A$5001,_xlfn.MAXIFS(BD!$A$3:$A$5001,BD!$B$3:$B$5001,J$184,BD!$A$3:$A$5001,"&gt;="&amp;$C$7,BD!$A$3:$A$5001,"&lt;="&amp;$B187,BD!$L$3:$L$5001,"&lt;&gt;"))))</f>
        <v/>
      </c>
      <c r="K187" s="43" t="str">
        <f>IF(OR($B187="",$A187&gt;$B$9,K$184=""),"",IF(COUNTIFS(BD!$B$3:$B$5001,K$184,BD!$A$3:$A$5001,"&gt;="&amp;$C$7,BD!$A$3:$A$5001,"&lt;="&amp;$B187,BD!$L$3:$L$5001,"&lt;&gt;")=0,"",SUMIFS(BD!$L$3:$L$5001,BD!$B$3:$B$5001,K$184,BD!$A$3:$A$5001,_xlfn.MAXIFS(BD!$A$3:$A$5001,BD!$B$3:$B$5001,K$184,BD!$A$3:$A$5001,"&gt;="&amp;$C$7,BD!$A$3:$A$5001,"&lt;="&amp;$B187,BD!$L$3:$L$5001,"&lt;&gt;"))))</f>
        <v/>
      </c>
      <c r="L187" s="43" t="str">
        <f>IF(OR($B187="",$A187&gt;$B$9,L$184=""),"",IF(COUNTIFS(BD!$B$3:$B$5001,L$184,BD!$A$3:$A$5001,"&gt;="&amp;$C$7,BD!$A$3:$A$5001,"&lt;="&amp;$B187,BD!$L$3:$L$5001,"&lt;&gt;")=0,"",SUMIFS(BD!$L$3:$L$5001,BD!$B$3:$B$5001,L$184,BD!$A$3:$A$5001,_xlfn.MAXIFS(BD!$A$3:$A$5001,BD!$B$3:$B$5001,L$184,BD!$A$3:$A$5001,"&gt;="&amp;$C$7,BD!$A$3:$A$5001,"&lt;="&amp;$B187,BD!$L$3:$L$5001,"&lt;&gt;"))))</f>
        <v/>
      </c>
      <c r="M187" s="43" t="str">
        <f>IF(OR($B187="",$A187&gt;$B$9,M$184=""),"",IF(COUNTIFS(BD!$B$3:$B$5001,M$184,BD!$A$3:$A$5001,"&gt;="&amp;$C$7,BD!$A$3:$A$5001,"&lt;="&amp;$B187,BD!$L$3:$L$5001,"&lt;&gt;")=0,"",SUMIFS(BD!$L$3:$L$5001,BD!$B$3:$B$5001,M$184,BD!$A$3:$A$5001,_xlfn.MAXIFS(BD!$A$3:$A$5001,BD!$B$3:$B$5001,M$184,BD!$A$3:$A$5001,"&gt;="&amp;$C$7,BD!$A$3:$A$5001,"&lt;="&amp;$B187,BD!$L$3:$L$5001,"&lt;&gt;"))))</f>
        <v/>
      </c>
      <c r="N187" s="43" t="str">
        <f>IF(OR($B187="",$A187&gt;$B$9,N$184=""),"",IF(COUNTIFS(BD!$B$3:$B$5001,N$184,BD!$A$3:$A$5001,"&gt;="&amp;$C$7,BD!$A$3:$A$5001,"&lt;="&amp;$B187,BD!$L$3:$L$5001,"&lt;&gt;")=0,"",SUMIFS(BD!$L$3:$L$5001,BD!$B$3:$B$5001,N$184,BD!$A$3:$A$5001,_xlfn.MAXIFS(BD!$A$3:$A$5001,BD!$B$3:$B$5001,N$184,BD!$A$3:$A$5001,"&gt;="&amp;$C$7,BD!$A$3:$A$5001,"&lt;="&amp;$B187,BD!$L$3:$L$5001,"&lt;&gt;"))))</f>
        <v/>
      </c>
      <c r="O187" s="43" t="str">
        <f>IF(OR($B187="",$A187&gt;$B$9,O$184=""),"",IF(COUNTIFS(BD!$B$3:$B$5001,O$184,BD!$A$3:$A$5001,"&gt;="&amp;$C$7,BD!$A$3:$A$5001,"&lt;="&amp;$B187,BD!$L$3:$L$5001,"&lt;&gt;")=0,"",SUMIFS(BD!$L$3:$L$5001,BD!$B$3:$B$5001,O$184,BD!$A$3:$A$5001,_xlfn.MAXIFS(BD!$A$3:$A$5001,BD!$B$3:$B$5001,O$184,BD!$A$3:$A$5001,"&gt;="&amp;$C$7,BD!$A$3:$A$5001,"&lt;="&amp;$B187,BD!$L$3:$L$5001,"&lt;&gt;"))))</f>
        <v/>
      </c>
      <c r="P187" s="43" t="str">
        <f>IF(OR($B187="",$A187&gt;$B$9,P$184=""),"",IF(COUNTIFS(BD!$B$3:$B$5001,P$184,BD!$A$3:$A$5001,"&gt;="&amp;$C$7,BD!$A$3:$A$5001,"&lt;="&amp;$B187,BD!$L$3:$L$5001,"&lt;&gt;")=0,"",SUMIFS(BD!$L$3:$L$5001,BD!$B$3:$B$5001,P$184,BD!$A$3:$A$5001,_xlfn.MAXIFS(BD!$A$3:$A$5001,BD!$B$3:$B$5001,P$184,BD!$A$3:$A$5001,"&gt;="&amp;$C$7,BD!$A$3:$A$5001,"&lt;="&amp;$B187,BD!$L$3:$L$5001,"&lt;&gt;"))))</f>
        <v/>
      </c>
      <c r="Q187" s="43" t="str">
        <f>IF(OR($B187="",$A187&gt;$B$9,Q$184=""),"",IF(COUNTIFS(BD!$B$3:$B$5001,Q$184,BD!$A$3:$A$5001,"&gt;="&amp;$C$7,BD!$A$3:$A$5001,"&lt;="&amp;$B187,BD!$L$3:$L$5001,"&lt;&gt;")=0,"",SUMIFS(BD!$L$3:$L$5001,BD!$B$3:$B$5001,Q$184,BD!$A$3:$A$5001,_xlfn.MAXIFS(BD!$A$3:$A$5001,BD!$B$3:$B$5001,Q$184,BD!$A$3:$A$5001,"&gt;="&amp;$C$7,BD!$A$3:$A$5001,"&lt;="&amp;$B187,BD!$L$3:$L$5001,"&lt;&gt;"))))</f>
        <v/>
      </c>
      <c r="R187" s="43" t="str">
        <f>IF(OR($B187="",$A187&gt;$B$9,R$184=""),"",IF(COUNTIFS(BD!$B$3:$B$5001,R$184,BD!$A$3:$A$5001,"&gt;="&amp;$C$7,BD!$A$3:$A$5001,"&lt;="&amp;$B187,BD!$L$3:$L$5001,"&lt;&gt;")=0,"",SUMIFS(BD!$L$3:$L$5001,BD!$B$3:$B$5001,R$184,BD!$A$3:$A$5001,_xlfn.MAXIFS(BD!$A$3:$A$5001,BD!$B$3:$B$5001,R$184,BD!$A$3:$A$5001,"&gt;="&amp;$C$7,BD!$A$3:$A$5001,"&lt;="&amp;$B187,BD!$L$3:$L$5001,"&lt;&gt;"))))</f>
        <v/>
      </c>
      <c r="S187" s="43" t="str">
        <f>IF(OR($B187="",$A187&gt;$B$9,S$184=""),"",IF(COUNTIFS(BD!$B$3:$B$5001,S$184,BD!$A$3:$A$5001,"&gt;="&amp;$C$7,BD!$A$3:$A$5001,"&lt;="&amp;$B187,BD!$L$3:$L$5001,"&lt;&gt;")=0,"",SUMIFS(BD!$L$3:$L$5001,BD!$B$3:$B$5001,S$184,BD!$A$3:$A$5001,_xlfn.MAXIFS(BD!$A$3:$A$5001,BD!$B$3:$B$5001,S$184,BD!$A$3:$A$5001,"&gt;="&amp;$C$7,BD!$A$3:$A$5001,"&lt;="&amp;$B187,BD!$L$3:$L$5001,"&lt;&gt;"))))</f>
        <v/>
      </c>
      <c r="T187" s="43" t="str">
        <f>IF(OR($B187="",$A187&gt;$B$9,T$184=""),"",IF(COUNTIFS(BD!$B$3:$B$5001,T$184,BD!$A$3:$A$5001,"&gt;="&amp;$C$7,BD!$A$3:$A$5001,"&lt;="&amp;$B187,BD!$L$3:$L$5001,"&lt;&gt;")=0,"",SUMIFS(BD!$L$3:$L$5001,BD!$B$3:$B$5001,T$184,BD!$A$3:$A$5001,_xlfn.MAXIFS(BD!$A$3:$A$5001,BD!$B$3:$B$5001,T$184,BD!$A$3:$A$5001,"&gt;="&amp;$C$7,BD!$A$3:$A$5001,"&lt;="&amp;$B187,BD!$L$3:$L$5001,"&lt;&gt;"))))</f>
        <v/>
      </c>
      <c r="U187" s="43" t="str">
        <f>IF(OR($B187="",$A187&gt;$B$9,U$184=""),"",IF(COUNTIFS(BD!$B$3:$B$5001,U$184,BD!$A$3:$A$5001,"&gt;="&amp;$C$7,BD!$A$3:$A$5001,"&lt;="&amp;$B187,BD!$L$3:$L$5001,"&lt;&gt;")=0,"",SUMIFS(BD!$L$3:$L$5001,BD!$B$3:$B$5001,U$184,BD!$A$3:$A$5001,_xlfn.MAXIFS(BD!$A$3:$A$5001,BD!$B$3:$B$5001,U$184,BD!$A$3:$A$5001,"&gt;="&amp;$C$7,BD!$A$3:$A$5001,"&lt;="&amp;$B187,BD!$L$3:$L$5001,"&lt;&gt;"))))</f>
        <v/>
      </c>
      <c r="V187" s="43" t="str">
        <f>IF(OR($B187="",$A187&gt;$B$9,V$184=""),"",IF(COUNTIFS(BD!$B$3:$B$5001,V$184,BD!$A$3:$A$5001,"&gt;="&amp;$C$7,BD!$A$3:$A$5001,"&lt;="&amp;$B187,BD!$L$3:$L$5001,"&lt;&gt;")=0,"",SUMIFS(BD!$L$3:$L$5001,BD!$B$3:$B$5001,V$184,BD!$A$3:$A$5001,_xlfn.MAXIFS(BD!$A$3:$A$5001,BD!$B$3:$B$5001,V$184,BD!$A$3:$A$5001,"&gt;="&amp;$C$7,BD!$A$3:$A$5001,"&lt;="&amp;$B187,BD!$L$3:$L$5001,"&lt;&gt;"))))</f>
        <v/>
      </c>
    </row>
    <row r="188">
      <c r="A188" s="38">
        <v>4</v>
      </c>
      <c r="B188" s="42">
        <f>$B$15</f>
        <v>46299</v>
      </c>
      <c r="C188" s="43" t="str">
        <f>IF(OR($B188="",$A188&gt;$B$9,C$184=""),"",IF(COUNTIFS(BD!$B$3:$B$5001,C$184,BD!$A$3:$A$5001,"&gt;="&amp;$C$7,BD!$A$3:$A$5001,"&lt;="&amp;$B188,BD!$L$3:$L$5001,"&lt;&gt;")=0,"",SUMIFS(BD!$L$3:$L$5001,BD!$B$3:$B$5001,C$184,BD!$A$3:$A$5001,_xlfn.MAXIFS(BD!$A$3:$A$5001,BD!$B$3:$B$5001,C$184,BD!$A$3:$A$5001,"&gt;="&amp;$C$7,BD!$A$3:$A$5001,"&lt;="&amp;$B188,BD!$L$3:$L$5001,"&lt;&gt;"))))</f>
        <v/>
      </c>
      <c r="D188" s="43" t="str">
        <f>IF(OR($B188="",$A188&gt;$B$9,D$184=""),"",IF(COUNTIFS(BD!$B$3:$B$5001,D$184,BD!$A$3:$A$5001,"&gt;="&amp;$C$7,BD!$A$3:$A$5001,"&lt;="&amp;$B188,BD!$L$3:$L$5001,"&lt;&gt;")=0,"",SUMIFS(BD!$L$3:$L$5001,BD!$B$3:$B$5001,D$184,BD!$A$3:$A$5001,_xlfn.MAXIFS(BD!$A$3:$A$5001,BD!$B$3:$B$5001,D$184,BD!$A$3:$A$5001,"&gt;="&amp;$C$7,BD!$A$3:$A$5001,"&lt;="&amp;$B188,BD!$L$3:$L$5001,"&lt;&gt;"))))</f>
        <v/>
      </c>
      <c r="E188" s="43" t="str">
        <f>IF(OR($B188="",$A188&gt;$B$9,E$184=""),"",IF(COUNTIFS(BD!$B$3:$B$5001,E$184,BD!$A$3:$A$5001,"&gt;="&amp;$C$7,BD!$A$3:$A$5001,"&lt;="&amp;$B188,BD!$L$3:$L$5001,"&lt;&gt;")=0,"",SUMIFS(BD!$L$3:$L$5001,BD!$B$3:$B$5001,E$184,BD!$A$3:$A$5001,_xlfn.MAXIFS(BD!$A$3:$A$5001,BD!$B$3:$B$5001,E$184,BD!$A$3:$A$5001,"&gt;="&amp;$C$7,BD!$A$3:$A$5001,"&lt;="&amp;$B188,BD!$L$3:$L$5001,"&lt;&gt;"))))</f>
        <v/>
      </c>
      <c r="F188" s="43" t="str">
        <f>IF(OR($B188="",$A188&gt;$B$9,F$184=""),"",IF(COUNTIFS(BD!$B$3:$B$5001,F$184,BD!$A$3:$A$5001,"&gt;="&amp;$C$7,BD!$A$3:$A$5001,"&lt;="&amp;$B188,BD!$L$3:$L$5001,"&lt;&gt;")=0,"",SUMIFS(BD!$L$3:$L$5001,BD!$B$3:$B$5001,F$184,BD!$A$3:$A$5001,_xlfn.MAXIFS(BD!$A$3:$A$5001,BD!$B$3:$B$5001,F$184,BD!$A$3:$A$5001,"&gt;="&amp;$C$7,BD!$A$3:$A$5001,"&lt;="&amp;$B188,BD!$L$3:$L$5001,"&lt;&gt;"))))</f>
        <v/>
      </c>
      <c r="G188" s="43" t="str">
        <f>IF(OR($B188="",$A188&gt;$B$9,G$184=""),"",IF(COUNTIFS(BD!$B$3:$B$5001,G$184,BD!$A$3:$A$5001,"&gt;="&amp;$C$7,BD!$A$3:$A$5001,"&lt;="&amp;$B188,BD!$L$3:$L$5001,"&lt;&gt;")=0,"",SUMIFS(BD!$L$3:$L$5001,BD!$B$3:$B$5001,G$184,BD!$A$3:$A$5001,_xlfn.MAXIFS(BD!$A$3:$A$5001,BD!$B$3:$B$5001,G$184,BD!$A$3:$A$5001,"&gt;="&amp;$C$7,BD!$A$3:$A$5001,"&lt;="&amp;$B188,BD!$L$3:$L$5001,"&lt;&gt;"))))</f>
        <v/>
      </c>
      <c r="H188" s="43" t="str">
        <f>IF(OR($B188="",$A188&gt;$B$9,H$184=""),"",IF(COUNTIFS(BD!$B$3:$B$5001,H$184,BD!$A$3:$A$5001,"&gt;="&amp;$C$7,BD!$A$3:$A$5001,"&lt;="&amp;$B188,BD!$L$3:$L$5001,"&lt;&gt;")=0,"",SUMIFS(BD!$L$3:$L$5001,BD!$B$3:$B$5001,H$184,BD!$A$3:$A$5001,_xlfn.MAXIFS(BD!$A$3:$A$5001,BD!$B$3:$B$5001,H$184,BD!$A$3:$A$5001,"&gt;="&amp;$C$7,BD!$A$3:$A$5001,"&lt;="&amp;$B188,BD!$L$3:$L$5001,"&lt;&gt;"))))</f>
        <v/>
      </c>
      <c r="I188" s="43" t="str">
        <f>IF(OR($B188="",$A188&gt;$B$9,I$184=""),"",IF(COUNTIFS(BD!$B$3:$B$5001,I$184,BD!$A$3:$A$5001,"&gt;="&amp;$C$7,BD!$A$3:$A$5001,"&lt;="&amp;$B188,BD!$L$3:$L$5001,"&lt;&gt;")=0,"",SUMIFS(BD!$L$3:$L$5001,BD!$B$3:$B$5001,I$184,BD!$A$3:$A$5001,_xlfn.MAXIFS(BD!$A$3:$A$5001,BD!$B$3:$B$5001,I$184,BD!$A$3:$A$5001,"&gt;="&amp;$C$7,BD!$A$3:$A$5001,"&lt;="&amp;$B188,BD!$L$3:$L$5001,"&lt;&gt;"))))</f>
        <v/>
      </c>
      <c r="J188" s="43" t="str">
        <f>IF(OR($B188="",$A188&gt;$B$9,J$184=""),"",IF(COUNTIFS(BD!$B$3:$B$5001,J$184,BD!$A$3:$A$5001,"&gt;="&amp;$C$7,BD!$A$3:$A$5001,"&lt;="&amp;$B188,BD!$L$3:$L$5001,"&lt;&gt;")=0,"",SUMIFS(BD!$L$3:$L$5001,BD!$B$3:$B$5001,J$184,BD!$A$3:$A$5001,_xlfn.MAXIFS(BD!$A$3:$A$5001,BD!$B$3:$B$5001,J$184,BD!$A$3:$A$5001,"&gt;="&amp;$C$7,BD!$A$3:$A$5001,"&lt;="&amp;$B188,BD!$L$3:$L$5001,"&lt;&gt;"))))</f>
        <v/>
      </c>
      <c r="K188" s="43" t="str">
        <f>IF(OR($B188="",$A188&gt;$B$9,K$184=""),"",IF(COUNTIFS(BD!$B$3:$B$5001,K$184,BD!$A$3:$A$5001,"&gt;="&amp;$C$7,BD!$A$3:$A$5001,"&lt;="&amp;$B188,BD!$L$3:$L$5001,"&lt;&gt;")=0,"",SUMIFS(BD!$L$3:$L$5001,BD!$B$3:$B$5001,K$184,BD!$A$3:$A$5001,_xlfn.MAXIFS(BD!$A$3:$A$5001,BD!$B$3:$B$5001,K$184,BD!$A$3:$A$5001,"&gt;="&amp;$C$7,BD!$A$3:$A$5001,"&lt;="&amp;$B188,BD!$L$3:$L$5001,"&lt;&gt;"))))</f>
        <v/>
      </c>
      <c r="L188" s="43" t="str">
        <f>IF(OR($B188="",$A188&gt;$B$9,L$184=""),"",IF(COUNTIFS(BD!$B$3:$B$5001,L$184,BD!$A$3:$A$5001,"&gt;="&amp;$C$7,BD!$A$3:$A$5001,"&lt;="&amp;$B188,BD!$L$3:$L$5001,"&lt;&gt;")=0,"",SUMIFS(BD!$L$3:$L$5001,BD!$B$3:$B$5001,L$184,BD!$A$3:$A$5001,_xlfn.MAXIFS(BD!$A$3:$A$5001,BD!$B$3:$B$5001,L$184,BD!$A$3:$A$5001,"&gt;="&amp;$C$7,BD!$A$3:$A$5001,"&lt;="&amp;$B188,BD!$L$3:$L$5001,"&lt;&gt;"))))</f>
        <v/>
      </c>
      <c r="M188" s="43" t="str">
        <f>IF(OR($B188="",$A188&gt;$B$9,M$184=""),"",IF(COUNTIFS(BD!$B$3:$B$5001,M$184,BD!$A$3:$A$5001,"&gt;="&amp;$C$7,BD!$A$3:$A$5001,"&lt;="&amp;$B188,BD!$L$3:$L$5001,"&lt;&gt;")=0,"",SUMIFS(BD!$L$3:$L$5001,BD!$B$3:$B$5001,M$184,BD!$A$3:$A$5001,_xlfn.MAXIFS(BD!$A$3:$A$5001,BD!$B$3:$B$5001,M$184,BD!$A$3:$A$5001,"&gt;="&amp;$C$7,BD!$A$3:$A$5001,"&lt;="&amp;$B188,BD!$L$3:$L$5001,"&lt;&gt;"))))</f>
        <v/>
      </c>
      <c r="N188" s="43" t="str">
        <f>IF(OR($B188="",$A188&gt;$B$9,N$184=""),"",IF(COUNTIFS(BD!$B$3:$B$5001,N$184,BD!$A$3:$A$5001,"&gt;="&amp;$C$7,BD!$A$3:$A$5001,"&lt;="&amp;$B188,BD!$L$3:$L$5001,"&lt;&gt;")=0,"",SUMIFS(BD!$L$3:$L$5001,BD!$B$3:$B$5001,N$184,BD!$A$3:$A$5001,_xlfn.MAXIFS(BD!$A$3:$A$5001,BD!$B$3:$B$5001,N$184,BD!$A$3:$A$5001,"&gt;="&amp;$C$7,BD!$A$3:$A$5001,"&lt;="&amp;$B188,BD!$L$3:$L$5001,"&lt;&gt;"))))</f>
        <v/>
      </c>
      <c r="O188" s="43" t="str">
        <f>IF(OR($B188="",$A188&gt;$B$9,O$184=""),"",IF(COUNTIFS(BD!$B$3:$B$5001,O$184,BD!$A$3:$A$5001,"&gt;="&amp;$C$7,BD!$A$3:$A$5001,"&lt;="&amp;$B188,BD!$L$3:$L$5001,"&lt;&gt;")=0,"",SUMIFS(BD!$L$3:$L$5001,BD!$B$3:$B$5001,O$184,BD!$A$3:$A$5001,_xlfn.MAXIFS(BD!$A$3:$A$5001,BD!$B$3:$B$5001,O$184,BD!$A$3:$A$5001,"&gt;="&amp;$C$7,BD!$A$3:$A$5001,"&lt;="&amp;$B188,BD!$L$3:$L$5001,"&lt;&gt;"))))</f>
        <v/>
      </c>
      <c r="P188" s="43" t="str">
        <f>IF(OR($B188="",$A188&gt;$B$9,P$184=""),"",IF(COUNTIFS(BD!$B$3:$B$5001,P$184,BD!$A$3:$A$5001,"&gt;="&amp;$C$7,BD!$A$3:$A$5001,"&lt;="&amp;$B188,BD!$L$3:$L$5001,"&lt;&gt;")=0,"",SUMIFS(BD!$L$3:$L$5001,BD!$B$3:$B$5001,P$184,BD!$A$3:$A$5001,_xlfn.MAXIFS(BD!$A$3:$A$5001,BD!$B$3:$B$5001,P$184,BD!$A$3:$A$5001,"&gt;="&amp;$C$7,BD!$A$3:$A$5001,"&lt;="&amp;$B188,BD!$L$3:$L$5001,"&lt;&gt;"))))</f>
        <v/>
      </c>
      <c r="Q188" s="43" t="str">
        <f>IF(OR($B188="",$A188&gt;$B$9,Q$184=""),"",IF(COUNTIFS(BD!$B$3:$B$5001,Q$184,BD!$A$3:$A$5001,"&gt;="&amp;$C$7,BD!$A$3:$A$5001,"&lt;="&amp;$B188,BD!$L$3:$L$5001,"&lt;&gt;")=0,"",SUMIFS(BD!$L$3:$L$5001,BD!$B$3:$B$5001,Q$184,BD!$A$3:$A$5001,_xlfn.MAXIFS(BD!$A$3:$A$5001,BD!$B$3:$B$5001,Q$184,BD!$A$3:$A$5001,"&gt;="&amp;$C$7,BD!$A$3:$A$5001,"&lt;="&amp;$B188,BD!$L$3:$L$5001,"&lt;&gt;"))))</f>
        <v/>
      </c>
      <c r="R188" s="43" t="str">
        <f>IF(OR($B188="",$A188&gt;$B$9,R$184=""),"",IF(COUNTIFS(BD!$B$3:$B$5001,R$184,BD!$A$3:$A$5001,"&gt;="&amp;$C$7,BD!$A$3:$A$5001,"&lt;="&amp;$B188,BD!$L$3:$L$5001,"&lt;&gt;")=0,"",SUMIFS(BD!$L$3:$L$5001,BD!$B$3:$B$5001,R$184,BD!$A$3:$A$5001,_xlfn.MAXIFS(BD!$A$3:$A$5001,BD!$B$3:$B$5001,R$184,BD!$A$3:$A$5001,"&gt;="&amp;$C$7,BD!$A$3:$A$5001,"&lt;="&amp;$B188,BD!$L$3:$L$5001,"&lt;&gt;"))))</f>
        <v/>
      </c>
      <c r="S188" s="43" t="str">
        <f>IF(OR($B188="",$A188&gt;$B$9,S$184=""),"",IF(COUNTIFS(BD!$B$3:$B$5001,S$184,BD!$A$3:$A$5001,"&gt;="&amp;$C$7,BD!$A$3:$A$5001,"&lt;="&amp;$B188,BD!$L$3:$L$5001,"&lt;&gt;")=0,"",SUMIFS(BD!$L$3:$L$5001,BD!$B$3:$B$5001,S$184,BD!$A$3:$A$5001,_xlfn.MAXIFS(BD!$A$3:$A$5001,BD!$B$3:$B$5001,S$184,BD!$A$3:$A$5001,"&gt;="&amp;$C$7,BD!$A$3:$A$5001,"&lt;="&amp;$B188,BD!$L$3:$L$5001,"&lt;&gt;"))))</f>
        <v/>
      </c>
      <c r="T188" s="43" t="str">
        <f>IF(OR($B188="",$A188&gt;$B$9,T$184=""),"",IF(COUNTIFS(BD!$B$3:$B$5001,T$184,BD!$A$3:$A$5001,"&gt;="&amp;$C$7,BD!$A$3:$A$5001,"&lt;="&amp;$B188,BD!$L$3:$L$5001,"&lt;&gt;")=0,"",SUMIFS(BD!$L$3:$L$5001,BD!$B$3:$B$5001,T$184,BD!$A$3:$A$5001,_xlfn.MAXIFS(BD!$A$3:$A$5001,BD!$B$3:$B$5001,T$184,BD!$A$3:$A$5001,"&gt;="&amp;$C$7,BD!$A$3:$A$5001,"&lt;="&amp;$B188,BD!$L$3:$L$5001,"&lt;&gt;"))))</f>
        <v/>
      </c>
      <c r="U188" s="43" t="str">
        <f>IF(OR($B188="",$A188&gt;$B$9,U$184=""),"",IF(COUNTIFS(BD!$B$3:$B$5001,U$184,BD!$A$3:$A$5001,"&gt;="&amp;$C$7,BD!$A$3:$A$5001,"&lt;="&amp;$B188,BD!$L$3:$L$5001,"&lt;&gt;")=0,"",SUMIFS(BD!$L$3:$L$5001,BD!$B$3:$B$5001,U$184,BD!$A$3:$A$5001,_xlfn.MAXIFS(BD!$A$3:$A$5001,BD!$B$3:$B$5001,U$184,BD!$A$3:$A$5001,"&gt;="&amp;$C$7,BD!$A$3:$A$5001,"&lt;="&amp;$B188,BD!$L$3:$L$5001,"&lt;&gt;"))))</f>
        <v/>
      </c>
      <c r="V188" s="43" t="str">
        <f>IF(OR($B188="",$A188&gt;$B$9,V$184=""),"",IF(COUNTIFS(BD!$B$3:$B$5001,V$184,BD!$A$3:$A$5001,"&gt;="&amp;$C$7,BD!$A$3:$A$5001,"&lt;="&amp;$B188,BD!$L$3:$L$5001,"&lt;&gt;")=0,"",SUMIFS(BD!$L$3:$L$5001,BD!$B$3:$B$5001,V$184,BD!$A$3:$A$5001,_xlfn.MAXIFS(BD!$A$3:$A$5001,BD!$B$3:$B$5001,V$184,BD!$A$3:$A$5001,"&gt;="&amp;$C$7,BD!$A$3:$A$5001,"&lt;="&amp;$B188,BD!$L$3:$L$5001,"&lt;&gt;"))))</f>
        <v/>
      </c>
    </row>
    <row r="189">
      <c r="A189" s="38">
        <v>5</v>
      </c>
      <c r="B189" s="42">
        <f>$B$16</f>
        <v>46300</v>
      </c>
      <c r="C189" s="43" t="str">
        <f>IF(OR($B189="",$A189&gt;$B$9,C$184=""),"",IF(COUNTIFS(BD!$B$3:$B$5001,C$184,BD!$A$3:$A$5001,"&gt;="&amp;$C$7,BD!$A$3:$A$5001,"&lt;="&amp;$B189,BD!$L$3:$L$5001,"&lt;&gt;")=0,"",SUMIFS(BD!$L$3:$L$5001,BD!$B$3:$B$5001,C$184,BD!$A$3:$A$5001,_xlfn.MAXIFS(BD!$A$3:$A$5001,BD!$B$3:$B$5001,C$184,BD!$A$3:$A$5001,"&gt;="&amp;$C$7,BD!$A$3:$A$5001,"&lt;="&amp;$B189,BD!$L$3:$L$5001,"&lt;&gt;"))))</f>
        <v/>
      </c>
      <c r="D189" s="43" t="str">
        <f>IF(OR($B189="",$A189&gt;$B$9,D$184=""),"",IF(COUNTIFS(BD!$B$3:$B$5001,D$184,BD!$A$3:$A$5001,"&gt;="&amp;$C$7,BD!$A$3:$A$5001,"&lt;="&amp;$B189,BD!$L$3:$L$5001,"&lt;&gt;")=0,"",SUMIFS(BD!$L$3:$L$5001,BD!$B$3:$B$5001,D$184,BD!$A$3:$A$5001,_xlfn.MAXIFS(BD!$A$3:$A$5001,BD!$B$3:$B$5001,D$184,BD!$A$3:$A$5001,"&gt;="&amp;$C$7,BD!$A$3:$A$5001,"&lt;="&amp;$B189,BD!$L$3:$L$5001,"&lt;&gt;"))))</f>
        <v/>
      </c>
      <c r="E189" s="43" t="str">
        <f>IF(OR($B189="",$A189&gt;$B$9,E$184=""),"",IF(COUNTIFS(BD!$B$3:$B$5001,E$184,BD!$A$3:$A$5001,"&gt;="&amp;$C$7,BD!$A$3:$A$5001,"&lt;="&amp;$B189,BD!$L$3:$L$5001,"&lt;&gt;")=0,"",SUMIFS(BD!$L$3:$L$5001,BD!$B$3:$B$5001,E$184,BD!$A$3:$A$5001,_xlfn.MAXIFS(BD!$A$3:$A$5001,BD!$B$3:$B$5001,E$184,BD!$A$3:$A$5001,"&gt;="&amp;$C$7,BD!$A$3:$A$5001,"&lt;="&amp;$B189,BD!$L$3:$L$5001,"&lt;&gt;"))))</f>
        <v/>
      </c>
      <c r="F189" s="43" t="str">
        <f>IF(OR($B189="",$A189&gt;$B$9,F$184=""),"",IF(COUNTIFS(BD!$B$3:$B$5001,F$184,BD!$A$3:$A$5001,"&gt;="&amp;$C$7,BD!$A$3:$A$5001,"&lt;="&amp;$B189,BD!$L$3:$L$5001,"&lt;&gt;")=0,"",SUMIFS(BD!$L$3:$L$5001,BD!$B$3:$B$5001,F$184,BD!$A$3:$A$5001,_xlfn.MAXIFS(BD!$A$3:$A$5001,BD!$B$3:$B$5001,F$184,BD!$A$3:$A$5001,"&gt;="&amp;$C$7,BD!$A$3:$A$5001,"&lt;="&amp;$B189,BD!$L$3:$L$5001,"&lt;&gt;"))))</f>
        <v/>
      </c>
      <c r="G189" s="43" t="str">
        <f>IF(OR($B189="",$A189&gt;$B$9,G$184=""),"",IF(COUNTIFS(BD!$B$3:$B$5001,G$184,BD!$A$3:$A$5001,"&gt;="&amp;$C$7,BD!$A$3:$A$5001,"&lt;="&amp;$B189,BD!$L$3:$L$5001,"&lt;&gt;")=0,"",SUMIFS(BD!$L$3:$L$5001,BD!$B$3:$B$5001,G$184,BD!$A$3:$A$5001,_xlfn.MAXIFS(BD!$A$3:$A$5001,BD!$B$3:$B$5001,G$184,BD!$A$3:$A$5001,"&gt;="&amp;$C$7,BD!$A$3:$A$5001,"&lt;="&amp;$B189,BD!$L$3:$L$5001,"&lt;&gt;"))))</f>
        <v/>
      </c>
      <c r="H189" s="43" t="str">
        <f>IF(OR($B189="",$A189&gt;$B$9,H$184=""),"",IF(COUNTIFS(BD!$B$3:$B$5001,H$184,BD!$A$3:$A$5001,"&gt;="&amp;$C$7,BD!$A$3:$A$5001,"&lt;="&amp;$B189,BD!$L$3:$L$5001,"&lt;&gt;")=0,"",SUMIFS(BD!$L$3:$L$5001,BD!$B$3:$B$5001,H$184,BD!$A$3:$A$5001,_xlfn.MAXIFS(BD!$A$3:$A$5001,BD!$B$3:$B$5001,H$184,BD!$A$3:$A$5001,"&gt;="&amp;$C$7,BD!$A$3:$A$5001,"&lt;="&amp;$B189,BD!$L$3:$L$5001,"&lt;&gt;"))))</f>
        <v/>
      </c>
      <c r="I189" s="43" t="str">
        <f>IF(OR($B189="",$A189&gt;$B$9,I$184=""),"",IF(COUNTIFS(BD!$B$3:$B$5001,I$184,BD!$A$3:$A$5001,"&gt;="&amp;$C$7,BD!$A$3:$A$5001,"&lt;="&amp;$B189,BD!$L$3:$L$5001,"&lt;&gt;")=0,"",SUMIFS(BD!$L$3:$L$5001,BD!$B$3:$B$5001,I$184,BD!$A$3:$A$5001,_xlfn.MAXIFS(BD!$A$3:$A$5001,BD!$B$3:$B$5001,I$184,BD!$A$3:$A$5001,"&gt;="&amp;$C$7,BD!$A$3:$A$5001,"&lt;="&amp;$B189,BD!$L$3:$L$5001,"&lt;&gt;"))))</f>
        <v/>
      </c>
      <c r="J189" s="43" t="str">
        <f>IF(OR($B189="",$A189&gt;$B$9,J$184=""),"",IF(COUNTIFS(BD!$B$3:$B$5001,J$184,BD!$A$3:$A$5001,"&gt;="&amp;$C$7,BD!$A$3:$A$5001,"&lt;="&amp;$B189,BD!$L$3:$L$5001,"&lt;&gt;")=0,"",SUMIFS(BD!$L$3:$L$5001,BD!$B$3:$B$5001,J$184,BD!$A$3:$A$5001,_xlfn.MAXIFS(BD!$A$3:$A$5001,BD!$B$3:$B$5001,J$184,BD!$A$3:$A$5001,"&gt;="&amp;$C$7,BD!$A$3:$A$5001,"&lt;="&amp;$B189,BD!$L$3:$L$5001,"&lt;&gt;"))))</f>
        <v/>
      </c>
      <c r="K189" s="43" t="str">
        <f>IF(OR($B189="",$A189&gt;$B$9,K$184=""),"",IF(COUNTIFS(BD!$B$3:$B$5001,K$184,BD!$A$3:$A$5001,"&gt;="&amp;$C$7,BD!$A$3:$A$5001,"&lt;="&amp;$B189,BD!$L$3:$L$5001,"&lt;&gt;")=0,"",SUMIFS(BD!$L$3:$L$5001,BD!$B$3:$B$5001,K$184,BD!$A$3:$A$5001,_xlfn.MAXIFS(BD!$A$3:$A$5001,BD!$B$3:$B$5001,K$184,BD!$A$3:$A$5001,"&gt;="&amp;$C$7,BD!$A$3:$A$5001,"&lt;="&amp;$B189,BD!$L$3:$L$5001,"&lt;&gt;"))))</f>
        <v/>
      </c>
      <c r="L189" s="43" t="str">
        <f>IF(OR($B189="",$A189&gt;$B$9,L$184=""),"",IF(COUNTIFS(BD!$B$3:$B$5001,L$184,BD!$A$3:$A$5001,"&gt;="&amp;$C$7,BD!$A$3:$A$5001,"&lt;="&amp;$B189,BD!$L$3:$L$5001,"&lt;&gt;")=0,"",SUMIFS(BD!$L$3:$L$5001,BD!$B$3:$B$5001,L$184,BD!$A$3:$A$5001,_xlfn.MAXIFS(BD!$A$3:$A$5001,BD!$B$3:$B$5001,L$184,BD!$A$3:$A$5001,"&gt;="&amp;$C$7,BD!$A$3:$A$5001,"&lt;="&amp;$B189,BD!$L$3:$L$5001,"&lt;&gt;"))))</f>
        <v/>
      </c>
      <c r="M189" s="43" t="str">
        <f>IF(OR($B189="",$A189&gt;$B$9,M$184=""),"",IF(COUNTIFS(BD!$B$3:$B$5001,M$184,BD!$A$3:$A$5001,"&gt;="&amp;$C$7,BD!$A$3:$A$5001,"&lt;="&amp;$B189,BD!$L$3:$L$5001,"&lt;&gt;")=0,"",SUMIFS(BD!$L$3:$L$5001,BD!$B$3:$B$5001,M$184,BD!$A$3:$A$5001,_xlfn.MAXIFS(BD!$A$3:$A$5001,BD!$B$3:$B$5001,M$184,BD!$A$3:$A$5001,"&gt;="&amp;$C$7,BD!$A$3:$A$5001,"&lt;="&amp;$B189,BD!$L$3:$L$5001,"&lt;&gt;"))))</f>
        <v/>
      </c>
      <c r="N189" s="43" t="str">
        <f>IF(OR($B189="",$A189&gt;$B$9,N$184=""),"",IF(COUNTIFS(BD!$B$3:$B$5001,N$184,BD!$A$3:$A$5001,"&gt;="&amp;$C$7,BD!$A$3:$A$5001,"&lt;="&amp;$B189,BD!$L$3:$L$5001,"&lt;&gt;")=0,"",SUMIFS(BD!$L$3:$L$5001,BD!$B$3:$B$5001,N$184,BD!$A$3:$A$5001,_xlfn.MAXIFS(BD!$A$3:$A$5001,BD!$B$3:$B$5001,N$184,BD!$A$3:$A$5001,"&gt;="&amp;$C$7,BD!$A$3:$A$5001,"&lt;="&amp;$B189,BD!$L$3:$L$5001,"&lt;&gt;"))))</f>
        <v/>
      </c>
      <c r="O189" s="43" t="str">
        <f>IF(OR($B189="",$A189&gt;$B$9,O$184=""),"",IF(COUNTIFS(BD!$B$3:$B$5001,O$184,BD!$A$3:$A$5001,"&gt;="&amp;$C$7,BD!$A$3:$A$5001,"&lt;="&amp;$B189,BD!$L$3:$L$5001,"&lt;&gt;")=0,"",SUMIFS(BD!$L$3:$L$5001,BD!$B$3:$B$5001,O$184,BD!$A$3:$A$5001,_xlfn.MAXIFS(BD!$A$3:$A$5001,BD!$B$3:$B$5001,O$184,BD!$A$3:$A$5001,"&gt;="&amp;$C$7,BD!$A$3:$A$5001,"&lt;="&amp;$B189,BD!$L$3:$L$5001,"&lt;&gt;"))))</f>
        <v/>
      </c>
      <c r="P189" s="43" t="str">
        <f>IF(OR($B189="",$A189&gt;$B$9,P$184=""),"",IF(COUNTIFS(BD!$B$3:$B$5001,P$184,BD!$A$3:$A$5001,"&gt;="&amp;$C$7,BD!$A$3:$A$5001,"&lt;="&amp;$B189,BD!$L$3:$L$5001,"&lt;&gt;")=0,"",SUMIFS(BD!$L$3:$L$5001,BD!$B$3:$B$5001,P$184,BD!$A$3:$A$5001,_xlfn.MAXIFS(BD!$A$3:$A$5001,BD!$B$3:$B$5001,P$184,BD!$A$3:$A$5001,"&gt;="&amp;$C$7,BD!$A$3:$A$5001,"&lt;="&amp;$B189,BD!$L$3:$L$5001,"&lt;&gt;"))))</f>
        <v/>
      </c>
      <c r="Q189" s="43" t="str">
        <f>IF(OR($B189="",$A189&gt;$B$9,Q$184=""),"",IF(COUNTIFS(BD!$B$3:$B$5001,Q$184,BD!$A$3:$A$5001,"&gt;="&amp;$C$7,BD!$A$3:$A$5001,"&lt;="&amp;$B189,BD!$L$3:$L$5001,"&lt;&gt;")=0,"",SUMIFS(BD!$L$3:$L$5001,BD!$B$3:$B$5001,Q$184,BD!$A$3:$A$5001,_xlfn.MAXIFS(BD!$A$3:$A$5001,BD!$B$3:$B$5001,Q$184,BD!$A$3:$A$5001,"&gt;="&amp;$C$7,BD!$A$3:$A$5001,"&lt;="&amp;$B189,BD!$L$3:$L$5001,"&lt;&gt;"))))</f>
        <v/>
      </c>
      <c r="R189" s="43" t="str">
        <f>IF(OR($B189="",$A189&gt;$B$9,R$184=""),"",IF(COUNTIFS(BD!$B$3:$B$5001,R$184,BD!$A$3:$A$5001,"&gt;="&amp;$C$7,BD!$A$3:$A$5001,"&lt;="&amp;$B189,BD!$L$3:$L$5001,"&lt;&gt;")=0,"",SUMIFS(BD!$L$3:$L$5001,BD!$B$3:$B$5001,R$184,BD!$A$3:$A$5001,_xlfn.MAXIFS(BD!$A$3:$A$5001,BD!$B$3:$B$5001,R$184,BD!$A$3:$A$5001,"&gt;="&amp;$C$7,BD!$A$3:$A$5001,"&lt;="&amp;$B189,BD!$L$3:$L$5001,"&lt;&gt;"))))</f>
        <v/>
      </c>
      <c r="S189" s="43" t="str">
        <f>IF(OR($B189="",$A189&gt;$B$9,S$184=""),"",IF(COUNTIFS(BD!$B$3:$B$5001,S$184,BD!$A$3:$A$5001,"&gt;="&amp;$C$7,BD!$A$3:$A$5001,"&lt;="&amp;$B189,BD!$L$3:$L$5001,"&lt;&gt;")=0,"",SUMIFS(BD!$L$3:$L$5001,BD!$B$3:$B$5001,S$184,BD!$A$3:$A$5001,_xlfn.MAXIFS(BD!$A$3:$A$5001,BD!$B$3:$B$5001,S$184,BD!$A$3:$A$5001,"&gt;="&amp;$C$7,BD!$A$3:$A$5001,"&lt;="&amp;$B189,BD!$L$3:$L$5001,"&lt;&gt;"))))</f>
        <v/>
      </c>
      <c r="T189" s="43" t="str">
        <f>IF(OR($B189="",$A189&gt;$B$9,T$184=""),"",IF(COUNTIFS(BD!$B$3:$B$5001,T$184,BD!$A$3:$A$5001,"&gt;="&amp;$C$7,BD!$A$3:$A$5001,"&lt;="&amp;$B189,BD!$L$3:$L$5001,"&lt;&gt;")=0,"",SUMIFS(BD!$L$3:$L$5001,BD!$B$3:$B$5001,T$184,BD!$A$3:$A$5001,_xlfn.MAXIFS(BD!$A$3:$A$5001,BD!$B$3:$B$5001,T$184,BD!$A$3:$A$5001,"&gt;="&amp;$C$7,BD!$A$3:$A$5001,"&lt;="&amp;$B189,BD!$L$3:$L$5001,"&lt;&gt;"))))</f>
        <v/>
      </c>
      <c r="U189" s="43" t="str">
        <f>IF(OR($B189="",$A189&gt;$B$9,U$184=""),"",IF(COUNTIFS(BD!$B$3:$B$5001,U$184,BD!$A$3:$A$5001,"&gt;="&amp;$C$7,BD!$A$3:$A$5001,"&lt;="&amp;$B189,BD!$L$3:$L$5001,"&lt;&gt;")=0,"",SUMIFS(BD!$L$3:$L$5001,BD!$B$3:$B$5001,U$184,BD!$A$3:$A$5001,_xlfn.MAXIFS(BD!$A$3:$A$5001,BD!$B$3:$B$5001,U$184,BD!$A$3:$A$5001,"&gt;="&amp;$C$7,BD!$A$3:$A$5001,"&lt;="&amp;$B189,BD!$L$3:$L$5001,"&lt;&gt;"))))</f>
        <v/>
      </c>
      <c r="V189" s="43" t="str">
        <f>IF(OR($B189="",$A189&gt;$B$9,V$184=""),"",IF(COUNTIFS(BD!$B$3:$B$5001,V$184,BD!$A$3:$A$5001,"&gt;="&amp;$C$7,BD!$A$3:$A$5001,"&lt;="&amp;$B189,BD!$L$3:$L$5001,"&lt;&gt;")=0,"",SUMIFS(BD!$L$3:$L$5001,BD!$B$3:$B$5001,V$184,BD!$A$3:$A$5001,_xlfn.MAXIFS(BD!$A$3:$A$5001,BD!$B$3:$B$5001,V$184,BD!$A$3:$A$5001,"&gt;="&amp;$C$7,BD!$A$3:$A$5001,"&lt;="&amp;$B189,BD!$L$3:$L$5001,"&lt;&gt;"))))</f>
        <v/>
      </c>
    </row>
    <row r="190">
      <c r="A190" s="38">
        <v>6</v>
      </c>
      <c r="B190" s="42">
        <f>$B$17</f>
        <v>46301</v>
      </c>
      <c r="C190" s="43" t="str">
        <f>IF(OR($B190="",$A190&gt;$B$9,C$184=""),"",IF(COUNTIFS(BD!$B$3:$B$5001,C$184,BD!$A$3:$A$5001,"&gt;="&amp;$C$7,BD!$A$3:$A$5001,"&lt;="&amp;$B190,BD!$L$3:$L$5001,"&lt;&gt;")=0,"",SUMIFS(BD!$L$3:$L$5001,BD!$B$3:$B$5001,C$184,BD!$A$3:$A$5001,_xlfn.MAXIFS(BD!$A$3:$A$5001,BD!$B$3:$B$5001,C$184,BD!$A$3:$A$5001,"&gt;="&amp;$C$7,BD!$A$3:$A$5001,"&lt;="&amp;$B190,BD!$L$3:$L$5001,"&lt;&gt;"))))</f>
        <v/>
      </c>
      <c r="D190" s="43" t="str">
        <f>IF(OR($B190="",$A190&gt;$B$9,D$184=""),"",IF(COUNTIFS(BD!$B$3:$B$5001,D$184,BD!$A$3:$A$5001,"&gt;="&amp;$C$7,BD!$A$3:$A$5001,"&lt;="&amp;$B190,BD!$L$3:$L$5001,"&lt;&gt;")=0,"",SUMIFS(BD!$L$3:$L$5001,BD!$B$3:$B$5001,D$184,BD!$A$3:$A$5001,_xlfn.MAXIFS(BD!$A$3:$A$5001,BD!$B$3:$B$5001,D$184,BD!$A$3:$A$5001,"&gt;="&amp;$C$7,BD!$A$3:$A$5001,"&lt;="&amp;$B190,BD!$L$3:$L$5001,"&lt;&gt;"))))</f>
        <v/>
      </c>
      <c r="E190" s="43" t="str">
        <f>IF(OR($B190="",$A190&gt;$B$9,E$184=""),"",IF(COUNTIFS(BD!$B$3:$B$5001,E$184,BD!$A$3:$A$5001,"&gt;="&amp;$C$7,BD!$A$3:$A$5001,"&lt;="&amp;$B190,BD!$L$3:$L$5001,"&lt;&gt;")=0,"",SUMIFS(BD!$L$3:$L$5001,BD!$B$3:$B$5001,E$184,BD!$A$3:$A$5001,_xlfn.MAXIFS(BD!$A$3:$A$5001,BD!$B$3:$B$5001,E$184,BD!$A$3:$A$5001,"&gt;="&amp;$C$7,BD!$A$3:$A$5001,"&lt;="&amp;$B190,BD!$L$3:$L$5001,"&lt;&gt;"))))</f>
        <v/>
      </c>
      <c r="F190" s="43" t="str">
        <f>IF(OR($B190="",$A190&gt;$B$9,F$184=""),"",IF(COUNTIFS(BD!$B$3:$B$5001,F$184,BD!$A$3:$A$5001,"&gt;="&amp;$C$7,BD!$A$3:$A$5001,"&lt;="&amp;$B190,BD!$L$3:$L$5001,"&lt;&gt;")=0,"",SUMIFS(BD!$L$3:$L$5001,BD!$B$3:$B$5001,F$184,BD!$A$3:$A$5001,_xlfn.MAXIFS(BD!$A$3:$A$5001,BD!$B$3:$B$5001,F$184,BD!$A$3:$A$5001,"&gt;="&amp;$C$7,BD!$A$3:$A$5001,"&lt;="&amp;$B190,BD!$L$3:$L$5001,"&lt;&gt;"))))</f>
        <v/>
      </c>
      <c r="G190" s="43" t="str">
        <f>IF(OR($B190="",$A190&gt;$B$9,G$184=""),"",IF(COUNTIFS(BD!$B$3:$B$5001,G$184,BD!$A$3:$A$5001,"&gt;="&amp;$C$7,BD!$A$3:$A$5001,"&lt;="&amp;$B190,BD!$L$3:$L$5001,"&lt;&gt;")=0,"",SUMIFS(BD!$L$3:$L$5001,BD!$B$3:$B$5001,G$184,BD!$A$3:$A$5001,_xlfn.MAXIFS(BD!$A$3:$A$5001,BD!$B$3:$B$5001,G$184,BD!$A$3:$A$5001,"&gt;="&amp;$C$7,BD!$A$3:$A$5001,"&lt;="&amp;$B190,BD!$L$3:$L$5001,"&lt;&gt;"))))</f>
        <v/>
      </c>
      <c r="H190" s="43" t="str">
        <f>IF(OR($B190="",$A190&gt;$B$9,H$184=""),"",IF(COUNTIFS(BD!$B$3:$B$5001,H$184,BD!$A$3:$A$5001,"&gt;="&amp;$C$7,BD!$A$3:$A$5001,"&lt;="&amp;$B190,BD!$L$3:$L$5001,"&lt;&gt;")=0,"",SUMIFS(BD!$L$3:$L$5001,BD!$B$3:$B$5001,H$184,BD!$A$3:$A$5001,_xlfn.MAXIFS(BD!$A$3:$A$5001,BD!$B$3:$B$5001,H$184,BD!$A$3:$A$5001,"&gt;="&amp;$C$7,BD!$A$3:$A$5001,"&lt;="&amp;$B190,BD!$L$3:$L$5001,"&lt;&gt;"))))</f>
        <v/>
      </c>
      <c r="I190" s="43" t="str">
        <f>IF(OR($B190="",$A190&gt;$B$9,I$184=""),"",IF(COUNTIFS(BD!$B$3:$B$5001,I$184,BD!$A$3:$A$5001,"&gt;="&amp;$C$7,BD!$A$3:$A$5001,"&lt;="&amp;$B190,BD!$L$3:$L$5001,"&lt;&gt;")=0,"",SUMIFS(BD!$L$3:$L$5001,BD!$B$3:$B$5001,I$184,BD!$A$3:$A$5001,_xlfn.MAXIFS(BD!$A$3:$A$5001,BD!$B$3:$B$5001,I$184,BD!$A$3:$A$5001,"&gt;="&amp;$C$7,BD!$A$3:$A$5001,"&lt;="&amp;$B190,BD!$L$3:$L$5001,"&lt;&gt;"))))</f>
        <v/>
      </c>
      <c r="J190" s="43" t="str">
        <f>IF(OR($B190="",$A190&gt;$B$9,J$184=""),"",IF(COUNTIFS(BD!$B$3:$B$5001,J$184,BD!$A$3:$A$5001,"&gt;="&amp;$C$7,BD!$A$3:$A$5001,"&lt;="&amp;$B190,BD!$L$3:$L$5001,"&lt;&gt;")=0,"",SUMIFS(BD!$L$3:$L$5001,BD!$B$3:$B$5001,J$184,BD!$A$3:$A$5001,_xlfn.MAXIFS(BD!$A$3:$A$5001,BD!$B$3:$B$5001,J$184,BD!$A$3:$A$5001,"&gt;="&amp;$C$7,BD!$A$3:$A$5001,"&lt;="&amp;$B190,BD!$L$3:$L$5001,"&lt;&gt;"))))</f>
        <v/>
      </c>
      <c r="K190" s="43" t="str">
        <f>IF(OR($B190="",$A190&gt;$B$9,K$184=""),"",IF(COUNTIFS(BD!$B$3:$B$5001,K$184,BD!$A$3:$A$5001,"&gt;="&amp;$C$7,BD!$A$3:$A$5001,"&lt;="&amp;$B190,BD!$L$3:$L$5001,"&lt;&gt;")=0,"",SUMIFS(BD!$L$3:$L$5001,BD!$B$3:$B$5001,K$184,BD!$A$3:$A$5001,_xlfn.MAXIFS(BD!$A$3:$A$5001,BD!$B$3:$B$5001,K$184,BD!$A$3:$A$5001,"&gt;="&amp;$C$7,BD!$A$3:$A$5001,"&lt;="&amp;$B190,BD!$L$3:$L$5001,"&lt;&gt;"))))</f>
        <v/>
      </c>
      <c r="L190" s="43" t="str">
        <f>IF(OR($B190="",$A190&gt;$B$9,L$184=""),"",IF(COUNTIFS(BD!$B$3:$B$5001,L$184,BD!$A$3:$A$5001,"&gt;="&amp;$C$7,BD!$A$3:$A$5001,"&lt;="&amp;$B190,BD!$L$3:$L$5001,"&lt;&gt;")=0,"",SUMIFS(BD!$L$3:$L$5001,BD!$B$3:$B$5001,L$184,BD!$A$3:$A$5001,_xlfn.MAXIFS(BD!$A$3:$A$5001,BD!$B$3:$B$5001,L$184,BD!$A$3:$A$5001,"&gt;="&amp;$C$7,BD!$A$3:$A$5001,"&lt;="&amp;$B190,BD!$L$3:$L$5001,"&lt;&gt;"))))</f>
        <v/>
      </c>
      <c r="M190" s="43" t="str">
        <f>IF(OR($B190="",$A190&gt;$B$9,M$184=""),"",IF(COUNTIFS(BD!$B$3:$B$5001,M$184,BD!$A$3:$A$5001,"&gt;="&amp;$C$7,BD!$A$3:$A$5001,"&lt;="&amp;$B190,BD!$L$3:$L$5001,"&lt;&gt;")=0,"",SUMIFS(BD!$L$3:$L$5001,BD!$B$3:$B$5001,M$184,BD!$A$3:$A$5001,_xlfn.MAXIFS(BD!$A$3:$A$5001,BD!$B$3:$B$5001,M$184,BD!$A$3:$A$5001,"&gt;="&amp;$C$7,BD!$A$3:$A$5001,"&lt;="&amp;$B190,BD!$L$3:$L$5001,"&lt;&gt;"))))</f>
        <v/>
      </c>
      <c r="N190" s="43" t="str">
        <f>IF(OR($B190="",$A190&gt;$B$9,N$184=""),"",IF(COUNTIFS(BD!$B$3:$B$5001,N$184,BD!$A$3:$A$5001,"&gt;="&amp;$C$7,BD!$A$3:$A$5001,"&lt;="&amp;$B190,BD!$L$3:$L$5001,"&lt;&gt;")=0,"",SUMIFS(BD!$L$3:$L$5001,BD!$B$3:$B$5001,N$184,BD!$A$3:$A$5001,_xlfn.MAXIFS(BD!$A$3:$A$5001,BD!$B$3:$B$5001,N$184,BD!$A$3:$A$5001,"&gt;="&amp;$C$7,BD!$A$3:$A$5001,"&lt;="&amp;$B190,BD!$L$3:$L$5001,"&lt;&gt;"))))</f>
        <v/>
      </c>
      <c r="O190" s="43" t="str">
        <f>IF(OR($B190="",$A190&gt;$B$9,O$184=""),"",IF(COUNTIFS(BD!$B$3:$B$5001,O$184,BD!$A$3:$A$5001,"&gt;="&amp;$C$7,BD!$A$3:$A$5001,"&lt;="&amp;$B190,BD!$L$3:$L$5001,"&lt;&gt;")=0,"",SUMIFS(BD!$L$3:$L$5001,BD!$B$3:$B$5001,O$184,BD!$A$3:$A$5001,_xlfn.MAXIFS(BD!$A$3:$A$5001,BD!$B$3:$B$5001,O$184,BD!$A$3:$A$5001,"&gt;="&amp;$C$7,BD!$A$3:$A$5001,"&lt;="&amp;$B190,BD!$L$3:$L$5001,"&lt;&gt;"))))</f>
        <v/>
      </c>
      <c r="P190" s="43" t="str">
        <f>IF(OR($B190="",$A190&gt;$B$9,P$184=""),"",IF(COUNTIFS(BD!$B$3:$B$5001,P$184,BD!$A$3:$A$5001,"&gt;="&amp;$C$7,BD!$A$3:$A$5001,"&lt;="&amp;$B190,BD!$L$3:$L$5001,"&lt;&gt;")=0,"",SUMIFS(BD!$L$3:$L$5001,BD!$B$3:$B$5001,P$184,BD!$A$3:$A$5001,_xlfn.MAXIFS(BD!$A$3:$A$5001,BD!$B$3:$B$5001,P$184,BD!$A$3:$A$5001,"&gt;="&amp;$C$7,BD!$A$3:$A$5001,"&lt;="&amp;$B190,BD!$L$3:$L$5001,"&lt;&gt;"))))</f>
        <v/>
      </c>
      <c r="Q190" s="43" t="str">
        <f>IF(OR($B190="",$A190&gt;$B$9,Q$184=""),"",IF(COUNTIFS(BD!$B$3:$B$5001,Q$184,BD!$A$3:$A$5001,"&gt;="&amp;$C$7,BD!$A$3:$A$5001,"&lt;="&amp;$B190,BD!$L$3:$L$5001,"&lt;&gt;")=0,"",SUMIFS(BD!$L$3:$L$5001,BD!$B$3:$B$5001,Q$184,BD!$A$3:$A$5001,_xlfn.MAXIFS(BD!$A$3:$A$5001,BD!$B$3:$B$5001,Q$184,BD!$A$3:$A$5001,"&gt;="&amp;$C$7,BD!$A$3:$A$5001,"&lt;="&amp;$B190,BD!$L$3:$L$5001,"&lt;&gt;"))))</f>
        <v/>
      </c>
      <c r="R190" s="43" t="str">
        <f>IF(OR($B190="",$A190&gt;$B$9,R$184=""),"",IF(COUNTIFS(BD!$B$3:$B$5001,R$184,BD!$A$3:$A$5001,"&gt;="&amp;$C$7,BD!$A$3:$A$5001,"&lt;="&amp;$B190,BD!$L$3:$L$5001,"&lt;&gt;")=0,"",SUMIFS(BD!$L$3:$L$5001,BD!$B$3:$B$5001,R$184,BD!$A$3:$A$5001,_xlfn.MAXIFS(BD!$A$3:$A$5001,BD!$B$3:$B$5001,R$184,BD!$A$3:$A$5001,"&gt;="&amp;$C$7,BD!$A$3:$A$5001,"&lt;="&amp;$B190,BD!$L$3:$L$5001,"&lt;&gt;"))))</f>
        <v/>
      </c>
      <c r="S190" s="43" t="str">
        <f>IF(OR($B190="",$A190&gt;$B$9,S$184=""),"",IF(COUNTIFS(BD!$B$3:$B$5001,S$184,BD!$A$3:$A$5001,"&gt;="&amp;$C$7,BD!$A$3:$A$5001,"&lt;="&amp;$B190,BD!$L$3:$L$5001,"&lt;&gt;")=0,"",SUMIFS(BD!$L$3:$L$5001,BD!$B$3:$B$5001,S$184,BD!$A$3:$A$5001,_xlfn.MAXIFS(BD!$A$3:$A$5001,BD!$B$3:$B$5001,S$184,BD!$A$3:$A$5001,"&gt;="&amp;$C$7,BD!$A$3:$A$5001,"&lt;="&amp;$B190,BD!$L$3:$L$5001,"&lt;&gt;"))))</f>
        <v/>
      </c>
      <c r="T190" s="43" t="str">
        <f>IF(OR($B190="",$A190&gt;$B$9,T$184=""),"",IF(COUNTIFS(BD!$B$3:$B$5001,T$184,BD!$A$3:$A$5001,"&gt;="&amp;$C$7,BD!$A$3:$A$5001,"&lt;="&amp;$B190,BD!$L$3:$L$5001,"&lt;&gt;")=0,"",SUMIFS(BD!$L$3:$L$5001,BD!$B$3:$B$5001,T$184,BD!$A$3:$A$5001,_xlfn.MAXIFS(BD!$A$3:$A$5001,BD!$B$3:$B$5001,T$184,BD!$A$3:$A$5001,"&gt;="&amp;$C$7,BD!$A$3:$A$5001,"&lt;="&amp;$B190,BD!$L$3:$L$5001,"&lt;&gt;"))))</f>
        <v/>
      </c>
      <c r="U190" s="43" t="str">
        <f>IF(OR($B190="",$A190&gt;$B$9,U$184=""),"",IF(COUNTIFS(BD!$B$3:$B$5001,U$184,BD!$A$3:$A$5001,"&gt;="&amp;$C$7,BD!$A$3:$A$5001,"&lt;="&amp;$B190,BD!$L$3:$L$5001,"&lt;&gt;")=0,"",SUMIFS(BD!$L$3:$L$5001,BD!$B$3:$B$5001,U$184,BD!$A$3:$A$5001,_xlfn.MAXIFS(BD!$A$3:$A$5001,BD!$B$3:$B$5001,U$184,BD!$A$3:$A$5001,"&gt;="&amp;$C$7,BD!$A$3:$A$5001,"&lt;="&amp;$B190,BD!$L$3:$L$5001,"&lt;&gt;"))))</f>
        <v/>
      </c>
      <c r="V190" s="43" t="str">
        <f>IF(OR($B190="",$A190&gt;$B$9,V$184=""),"",IF(COUNTIFS(BD!$B$3:$B$5001,V$184,BD!$A$3:$A$5001,"&gt;="&amp;$C$7,BD!$A$3:$A$5001,"&lt;="&amp;$B190,BD!$L$3:$L$5001,"&lt;&gt;")=0,"",SUMIFS(BD!$L$3:$L$5001,BD!$B$3:$B$5001,V$184,BD!$A$3:$A$5001,_xlfn.MAXIFS(BD!$A$3:$A$5001,BD!$B$3:$B$5001,V$184,BD!$A$3:$A$5001,"&gt;="&amp;$C$7,BD!$A$3:$A$5001,"&lt;="&amp;$B190,BD!$L$3:$L$5001,"&lt;&gt;"))))</f>
        <v/>
      </c>
    </row>
    <row r="191">
      <c r="A191" s="38">
        <v>7</v>
      </c>
      <c r="B191" s="42">
        <f>$B$18</f>
        <v>46302</v>
      </c>
      <c r="C191" s="43" t="str">
        <f>IF(OR($B191="",$A191&gt;$B$9,C$184=""),"",IF(COUNTIFS(BD!$B$3:$B$5001,C$184,BD!$A$3:$A$5001,"&gt;="&amp;$C$7,BD!$A$3:$A$5001,"&lt;="&amp;$B191,BD!$L$3:$L$5001,"&lt;&gt;")=0,"",SUMIFS(BD!$L$3:$L$5001,BD!$B$3:$B$5001,C$184,BD!$A$3:$A$5001,_xlfn.MAXIFS(BD!$A$3:$A$5001,BD!$B$3:$B$5001,C$184,BD!$A$3:$A$5001,"&gt;="&amp;$C$7,BD!$A$3:$A$5001,"&lt;="&amp;$B191,BD!$L$3:$L$5001,"&lt;&gt;"))))</f>
        <v/>
      </c>
      <c r="D191" s="43" t="str">
        <f>IF(OR($B191="",$A191&gt;$B$9,D$184=""),"",IF(COUNTIFS(BD!$B$3:$B$5001,D$184,BD!$A$3:$A$5001,"&gt;="&amp;$C$7,BD!$A$3:$A$5001,"&lt;="&amp;$B191,BD!$L$3:$L$5001,"&lt;&gt;")=0,"",SUMIFS(BD!$L$3:$L$5001,BD!$B$3:$B$5001,D$184,BD!$A$3:$A$5001,_xlfn.MAXIFS(BD!$A$3:$A$5001,BD!$B$3:$B$5001,D$184,BD!$A$3:$A$5001,"&gt;="&amp;$C$7,BD!$A$3:$A$5001,"&lt;="&amp;$B191,BD!$L$3:$L$5001,"&lt;&gt;"))))</f>
        <v/>
      </c>
      <c r="E191" s="43" t="str">
        <f>IF(OR($B191="",$A191&gt;$B$9,E$184=""),"",IF(COUNTIFS(BD!$B$3:$B$5001,E$184,BD!$A$3:$A$5001,"&gt;="&amp;$C$7,BD!$A$3:$A$5001,"&lt;="&amp;$B191,BD!$L$3:$L$5001,"&lt;&gt;")=0,"",SUMIFS(BD!$L$3:$L$5001,BD!$B$3:$B$5001,E$184,BD!$A$3:$A$5001,_xlfn.MAXIFS(BD!$A$3:$A$5001,BD!$B$3:$B$5001,E$184,BD!$A$3:$A$5001,"&gt;="&amp;$C$7,BD!$A$3:$A$5001,"&lt;="&amp;$B191,BD!$L$3:$L$5001,"&lt;&gt;"))))</f>
        <v/>
      </c>
      <c r="F191" s="43" t="str">
        <f>IF(OR($B191="",$A191&gt;$B$9,F$184=""),"",IF(COUNTIFS(BD!$B$3:$B$5001,F$184,BD!$A$3:$A$5001,"&gt;="&amp;$C$7,BD!$A$3:$A$5001,"&lt;="&amp;$B191,BD!$L$3:$L$5001,"&lt;&gt;")=0,"",SUMIFS(BD!$L$3:$L$5001,BD!$B$3:$B$5001,F$184,BD!$A$3:$A$5001,_xlfn.MAXIFS(BD!$A$3:$A$5001,BD!$B$3:$B$5001,F$184,BD!$A$3:$A$5001,"&gt;="&amp;$C$7,BD!$A$3:$A$5001,"&lt;="&amp;$B191,BD!$L$3:$L$5001,"&lt;&gt;"))))</f>
        <v/>
      </c>
      <c r="G191" s="43" t="str">
        <f>IF(OR($B191="",$A191&gt;$B$9,G$184=""),"",IF(COUNTIFS(BD!$B$3:$B$5001,G$184,BD!$A$3:$A$5001,"&gt;="&amp;$C$7,BD!$A$3:$A$5001,"&lt;="&amp;$B191,BD!$L$3:$L$5001,"&lt;&gt;")=0,"",SUMIFS(BD!$L$3:$L$5001,BD!$B$3:$B$5001,G$184,BD!$A$3:$A$5001,_xlfn.MAXIFS(BD!$A$3:$A$5001,BD!$B$3:$B$5001,G$184,BD!$A$3:$A$5001,"&gt;="&amp;$C$7,BD!$A$3:$A$5001,"&lt;="&amp;$B191,BD!$L$3:$L$5001,"&lt;&gt;"))))</f>
        <v/>
      </c>
      <c r="H191" s="43" t="str">
        <f>IF(OR($B191="",$A191&gt;$B$9,H$184=""),"",IF(COUNTIFS(BD!$B$3:$B$5001,H$184,BD!$A$3:$A$5001,"&gt;="&amp;$C$7,BD!$A$3:$A$5001,"&lt;="&amp;$B191,BD!$L$3:$L$5001,"&lt;&gt;")=0,"",SUMIFS(BD!$L$3:$L$5001,BD!$B$3:$B$5001,H$184,BD!$A$3:$A$5001,_xlfn.MAXIFS(BD!$A$3:$A$5001,BD!$B$3:$B$5001,H$184,BD!$A$3:$A$5001,"&gt;="&amp;$C$7,BD!$A$3:$A$5001,"&lt;="&amp;$B191,BD!$L$3:$L$5001,"&lt;&gt;"))))</f>
        <v/>
      </c>
      <c r="I191" s="43" t="str">
        <f>IF(OR($B191="",$A191&gt;$B$9,I$184=""),"",IF(COUNTIFS(BD!$B$3:$B$5001,I$184,BD!$A$3:$A$5001,"&gt;="&amp;$C$7,BD!$A$3:$A$5001,"&lt;="&amp;$B191,BD!$L$3:$L$5001,"&lt;&gt;")=0,"",SUMIFS(BD!$L$3:$L$5001,BD!$B$3:$B$5001,I$184,BD!$A$3:$A$5001,_xlfn.MAXIFS(BD!$A$3:$A$5001,BD!$B$3:$B$5001,I$184,BD!$A$3:$A$5001,"&gt;="&amp;$C$7,BD!$A$3:$A$5001,"&lt;="&amp;$B191,BD!$L$3:$L$5001,"&lt;&gt;"))))</f>
        <v/>
      </c>
      <c r="J191" s="43" t="str">
        <f>IF(OR($B191="",$A191&gt;$B$9,J$184=""),"",IF(COUNTIFS(BD!$B$3:$B$5001,J$184,BD!$A$3:$A$5001,"&gt;="&amp;$C$7,BD!$A$3:$A$5001,"&lt;="&amp;$B191,BD!$L$3:$L$5001,"&lt;&gt;")=0,"",SUMIFS(BD!$L$3:$L$5001,BD!$B$3:$B$5001,J$184,BD!$A$3:$A$5001,_xlfn.MAXIFS(BD!$A$3:$A$5001,BD!$B$3:$B$5001,J$184,BD!$A$3:$A$5001,"&gt;="&amp;$C$7,BD!$A$3:$A$5001,"&lt;="&amp;$B191,BD!$L$3:$L$5001,"&lt;&gt;"))))</f>
        <v/>
      </c>
      <c r="K191" s="43" t="str">
        <f>IF(OR($B191="",$A191&gt;$B$9,K$184=""),"",IF(COUNTIFS(BD!$B$3:$B$5001,K$184,BD!$A$3:$A$5001,"&gt;="&amp;$C$7,BD!$A$3:$A$5001,"&lt;="&amp;$B191,BD!$L$3:$L$5001,"&lt;&gt;")=0,"",SUMIFS(BD!$L$3:$L$5001,BD!$B$3:$B$5001,K$184,BD!$A$3:$A$5001,_xlfn.MAXIFS(BD!$A$3:$A$5001,BD!$B$3:$B$5001,K$184,BD!$A$3:$A$5001,"&gt;="&amp;$C$7,BD!$A$3:$A$5001,"&lt;="&amp;$B191,BD!$L$3:$L$5001,"&lt;&gt;"))))</f>
        <v/>
      </c>
      <c r="L191" s="43" t="str">
        <f>IF(OR($B191="",$A191&gt;$B$9,L$184=""),"",IF(COUNTIFS(BD!$B$3:$B$5001,L$184,BD!$A$3:$A$5001,"&gt;="&amp;$C$7,BD!$A$3:$A$5001,"&lt;="&amp;$B191,BD!$L$3:$L$5001,"&lt;&gt;")=0,"",SUMIFS(BD!$L$3:$L$5001,BD!$B$3:$B$5001,L$184,BD!$A$3:$A$5001,_xlfn.MAXIFS(BD!$A$3:$A$5001,BD!$B$3:$B$5001,L$184,BD!$A$3:$A$5001,"&gt;="&amp;$C$7,BD!$A$3:$A$5001,"&lt;="&amp;$B191,BD!$L$3:$L$5001,"&lt;&gt;"))))</f>
        <v/>
      </c>
      <c r="M191" s="43" t="str">
        <f>IF(OR($B191="",$A191&gt;$B$9,M$184=""),"",IF(COUNTIFS(BD!$B$3:$B$5001,M$184,BD!$A$3:$A$5001,"&gt;="&amp;$C$7,BD!$A$3:$A$5001,"&lt;="&amp;$B191,BD!$L$3:$L$5001,"&lt;&gt;")=0,"",SUMIFS(BD!$L$3:$L$5001,BD!$B$3:$B$5001,M$184,BD!$A$3:$A$5001,_xlfn.MAXIFS(BD!$A$3:$A$5001,BD!$B$3:$B$5001,M$184,BD!$A$3:$A$5001,"&gt;="&amp;$C$7,BD!$A$3:$A$5001,"&lt;="&amp;$B191,BD!$L$3:$L$5001,"&lt;&gt;"))))</f>
        <v/>
      </c>
      <c r="N191" s="43" t="str">
        <f>IF(OR($B191="",$A191&gt;$B$9,N$184=""),"",IF(COUNTIFS(BD!$B$3:$B$5001,N$184,BD!$A$3:$A$5001,"&gt;="&amp;$C$7,BD!$A$3:$A$5001,"&lt;="&amp;$B191,BD!$L$3:$L$5001,"&lt;&gt;")=0,"",SUMIFS(BD!$L$3:$L$5001,BD!$B$3:$B$5001,N$184,BD!$A$3:$A$5001,_xlfn.MAXIFS(BD!$A$3:$A$5001,BD!$B$3:$B$5001,N$184,BD!$A$3:$A$5001,"&gt;="&amp;$C$7,BD!$A$3:$A$5001,"&lt;="&amp;$B191,BD!$L$3:$L$5001,"&lt;&gt;"))))</f>
        <v/>
      </c>
      <c r="O191" s="43" t="str">
        <f>IF(OR($B191="",$A191&gt;$B$9,O$184=""),"",IF(COUNTIFS(BD!$B$3:$B$5001,O$184,BD!$A$3:$A$5001,"&gt;="&amp;$C$7,BD!$A$3:$A$5001,"&lt;="&amp;$B191,BD!$L$3:$L$5001,"&lt;&gt;")=0,"",SUMIFS(BD!$L$3:$L$5001,BD!$B$3:$B$5001,O$184,BD!$A$3:$A$5001,_xlfn.MAXIFS(BD!$A$3:$A$5001,BD!$B$3:$B$5001,O$184,BD!$A$3:$A$5001,"&gt;="&amp;$C$7,BD!$A$3:$A$5001,"&lt;="&amp;$B191,BD!$L$3:$L$5001,"&lt;&gt;"))))</f>
        <v/>
      </c>
      <c r="P191" s="43" t="str">
        <f>IF(OR($B191="",$A191&gt;$B$9,P$184=""),"",IF(COUNTIFS(BD!$B$3:$B$5001,P$184,BD!$A$3:$A$5001,"&gt;="&amp;$C$7,BD!$A$3:$A$5001,"&lt;="&amp;$B191,BD!$L$3:$L$5001,"&lt;&gt;")=0,"",SUMIFS(BD!$L$3:$L$5001,BD!$B$3:$B$5001,P$184,BD!$A$3:$A$5001,_xlfn.MAXIFS(BD!$A$3:$A$5001,BD!$B$3:$B$5001,P$184,BD!$A$3:$A$5001,"&gt;="&amp;$C$7,BD!$A$3:$A$5001,"&lt;="&amp;$B191,BD!$L$3:$L$5001,"&lt;&gt;"))))</f>
        <v/>
      </c>
      <c r="Q191" s="43" t="str">
        <f>IF(OR($B191="",$A191&gt;$B$9,Q$184=""),"",IF(COUNTIFS(BD!$B$3:$B$5001,Q$184,BD!$A$3:$A$5001,"&gt;="&amp;$C$7,BD!$A$3:$A$5001,"&lt;="&amp;$B191,BD!$L$3:$L$5001,"&lt;&gt;")=0,"",SUMIFS(BD!$L$3:$L$5001,BD!$B$3:$B$5001,Q$184,BD!$A$3:$A$5001,_xlfn.MAXIFS(BD!$A$3:$A$5001,BD!$B$3:$B$5001,Q$184,BD!$A$3:$A$5001,"&gt;="&amp;$C$7,BD!$A$3:$A$5001,"&lt;="&amp;$B191,BD!$L$3:$L$5001,"&lt;&gt;"))))</f>
        <v/>
      </c>
      <c r="R191" s="43" t="str">
        <f>IF(OR($B191="",$A191&gt;$B$9,R$184=""),"",IF(COUNTIFS(BD!$B$3:$B$5001,R$184,BD!$A$3:$A$5001,"&gt;="&amp;$C$7,BD!$A$3:$A$5001,"&lt;="&amp;$B191,BD!$L$3:$L$5001,"&lt;&gt;")=0,"",SUMIFS(BD!$L$3:$L$5001,BD!$B$3:$B$5001,R$184,BD!$A$3:$A$5001,_xlfn.MAXIFS(BD!$A$3:$A$5001,BD!$B$3:$B$5001,R$184,BD!$A$3:$A$5001,"&gt;="&amp;$C$7,BD!$A$3:$A$5001,"&lt;="&amp;$B191,BD!$L$3:$L$5001,"&lt;&gt;"))))</f>
        <v/>
      </c>
      <c r="S191" s="43" t="str">
        <f>IF(OR($B191="",$A191&gt;$B$9,S$184=""),"",IF(COUNTIFS(BD!$B$3:$B$5001,S$184,BD!$A$3:$A$5001,"&gt;="&amp;$C$7,BD!$A$3:$A$5001,"&lt;="&amp;$B191,BD!$L$3:$L$5001,"&lt;&gt;")=0,"",SUMIFS(BD!$L$3:$L$5001,BD!$B$3:$B$5001,S$184,BD!$A$3:$A$5001,_xlfn.MAXIFS(BD!$A$3:$A$5001,BD!$B$3:$B$5001,S$184,BD!$A$3:$A$5001,"&gt;="&amp;$C$7,BD!$A$3:$A$5001,"&lt;="&amp;$B191,BD!$L$3:$L$5001,"&lt;&gt;"))))</f>
        <v/>
      </c>
      <c r="T191" s="43" t="str">
        <f>IF(OR($B191="",$A191&gt;$B$9,T$184=""),"",IF(COUNTIFS(BD!$B$3:$B$5001,T$184,BD!$A$3:$A$5001,"&gt;="&amp;$C$7,BD!$A$3:$A$5001,"&lt;="&amp;$B191,BD!$L$3:$L$5001,"&lt;&gt;")=0,"",SUMIFS(BD!$L$3:$L$5001,BD!$B$3:$B$5001,T$184,BD!$A$3:$A$5001,_xlfn.MAXIFS(BD!$A$3:$A$5001,BD!$B$3:$B$5001,T$184,BD!$A$3:$A$5001,"&gt;="&amp;$C$7,BD!$A$3:$A$5001,"&lt;="&amp;$B191,BD!$L$3:$L$5001,"&lt;&gt;"))))</f>
        <v/>
      </c>
      <c r="U191" s="43" t="str">
        <f>IF(OR($B191="",$A191&gt;$B$9,U$184=""),"",IF(COUNTIFS(BD!$B$3:$B$5001,U$184,BD!$A$3:$A$5001,"&gt;="&amp;$C$7,BD!$A$3:$A$5001,"&lt;="&amp;$B191,BD!$L$3:$L$5001,"&lt;&gt;")=0,"",SUMIFS(BD!$L$3:$L$5001,BD!$B$3:$B$5001,U$184,BD!$A$3:$A$5001,_xlfn.MAXIFS(BD!$A$3:$A$5001,BD!$B$3:$B$5001,U$184,BD!$A$3:$A$5001,"&gt;="&amp;$C$7,BD!$A$3:$A$5001,"&lt;="&amp;$B191,BD!$L$3:$L$5001,"&lt;&gt;"))))</f>
        <v/>
      </c>
      <c r="V191" s="43" t="str">
        <f>IF(OR($B191="",$A191&gt;$B$9,V$184=""),"",IF(COUNTIFS(BD!$B$3:$B$5001,V$184,BD!$A$3:$A$5001,"&gt;="&amp;$C$7,BD!$A$3:$A$5001,"&lt;="&amp;$B191,BD!$L$3:$L$5001,"&lt;&gt;")=0,"",SUMIFS(BD!$L$3:$L$5001,BD!$B$3:$B$5001,V$184,BD!$A$3:$A$5001,_xlfn.MAXIFS(BD!$A$3:$A$5001,BD!$B$3:$B$5001,V$184,BD!$A$3:$A$5001,"&gt;="&amp;$C$7,BD!$A$3:$A$5001,"&lt;="&amp;$B191,BD!$L$3:$L$5001,"&lt;&gt;"))))</f>
        <v/>
      </c>
    </row>
    <row r="192">
      <c r="A192" s="38">
        <v>8</v>
      </c>
      <c r="B192" s="42">
        <f>$B$19</f>
        <v>46303</v>
      </c>
      <c r="C192" s="43" t="str">
        <f>IF(OR($B192="",$A192&gt;$B$9,C$184=""),"",IF(COUNTIFS(BD!$B$3:$B$5001,C$184,BD!$A$3:$A$5001,"&gt;="&amp;$C$7,BD!$A$3:$A$5001,"&lt;="&amp;$B192,BD!$L$3:$L$5001,"&lt;&gt;")=0,"",SUMIFS(BD!$L$3:$L$5001,BD!$B$3:$B$5001,C$184,BD!$A$3:$A$5001,_xlfn.MAXIFS(BD!$A$3:$A$5001,BD!$B$3:$B$5001,C$184,BD!$A$3:$A$5001,"&gt;="&amp;$C$7,BD!$A$3:$A$5001,"&lt;="&amp;$B192,BD!$L$3:$L$5001,"&lt;&gt;"))))</f>
        <v/>
      </c>
      <c r="D192" s="43" t="str">
        <f>IF(OR($B192="",$A192&gt;$B$9,D$184=""),"",IF(COUNTIFS(BD!$B$3:$B$5001,D$184,BD!$A$3:$A$5001,"&gt;="&amp;$C$7,BD!$A$3:$A$5001,"&lt;="&amp;$B192,BD!$L$3:$L$5001,"&lt;&gt;")=0,"",SUMIFS(BD!$L$3:$L$5001,BD!$B$3:$B$5001,D$184,BD!$A$3:$A$5001,_xlfn.MAXIFS(BD!$A$3:$A$5001,BD!$B$3:$B$5001,D$184,BD!$A$3:$A$5001,"&gt;="&amp;$C$7,BD!$A$3:$A$5001,"&lt;="&amp;$B192,BD!$L$3:$L$5001,"&lt;&gt;"))))</f>
        <v/>
      </c>
      <c r="E192" s="43" t="str">
        <f>IF(OR($B192="",$A192&gt;$B$9,E$184=""),"",IF(COUNTIFS(BD!$B$3:$B$5001,E$184,BD!$A$3:$A$5001,"&gt;="&amp;$C$7,BD!$A$3:$A$5001,"&lt;="&amp;$B192,BD!$L$3:$L$5001,"&lt;&gt;")=0,"",SUMIFS(BD!$L$3:$L$5001,BD!$B$3:$B$5001,E$184,BD!$A$3:$A$5001,_xlfn.MAXIFS(BD!$A$3:$A$5001,BD!$B$3:$B$5001,E$184,BD!$A$3:$A$5001,"&gt;="&amp;$C$7,BD!$A$3:$A$5001,"&lt;="&amp;$B192,BD!$L$3:$L$5001,"&lt;&gt;"))))</f>
        <v/>
      </c>
      <c r="F192" s="43" t="str">
        <f>IF(OR($B192="",$A192&gt;$B$9,F$184=""),"",IF(COUNTIFS(BD!$B$3:$B$5001,F$184,BD!$A$3:$A$5001,"&gt;="&amp;$C$7,BD!$A$3:$A$5001,"&lt;="&amp;$B192,BD!$L$3:$L$5001,"&lt;&gt;")=0,"",SUMIFS(BD!$L$3:$L$5001,BD!$B$3:$B$5001,F$184,BD!$A$3:$A$5001,_xlfn.MAXIFS(BD!$A$3:$A$5001,BD!$B$3:$B$5001,F$184,BD!$A$3:$A$5001,"&gt;="&amp;$C$7,BD!$A$3:$A$5001,"&lt;="&amp;$B192,BD!$L$3:$L$5001,"&lt;&gt;"))))</f>
        <v/>
      </c>
      <c r="G192" s="43" t="str">
        <f>IF(OR($B192="",$A192&gt;$B$9,G$184=""),"",IF(COUNTIFS(BD!$B$3:$B$5001,G$184,BD!$A$3:$A$5001,"&gt;="&amp;$C$7,BD!$A$3:$A$5001,"&lt;="&amp;$B192,BD!$L$3:$L$5001,"&lt;&gt;")=0,"",SUMIFS(BD!$L$3:$L$5001,BD!$B$3:$B$5001,G$184,BD!$A$3:$A$5001,_xlfn.MAXIFS(BD!$A$3:$A$5001,BD!$B$3:$B$5001,G$184,BD!$A$3:$A$5001,"&gt;="&amp;$C$7,BD!$A$3:$A$5001,"&lt;="&amp;$B192,BD!$L$3:$L$5001,"&lt;&gt;"))))</f>
        <v/>
      </c>
      <c r="H192" s="43" t="str">
        <f>IF(OR($B192="",$A192&gt;$B$9,H$184=""),"",IF(COUNTIFS(BD!$B$3:$B$5001,H$184,BD!$A$3:$A$5001,"&gt;="&amp;$C$7,BD!$A$3:$A$5001,"&lt;="&amp;$B192,BD!$L$3:$L$5001,"&lt;&gt;")=0,"",SUMIFS(BD!$L$3:$L$5001,BD!$B$3:$B$5001,H$184,BD!$A$3:$A$5001,_xlfn.MAXIFS(BD!$A$3:$A$5001,BD!$B$3:$B$5001,H$184,BD!$A$3:$A$5001,"&gt;="&amp;$C$7,BD!$A$3:$A$5001,"&lt;="&amp;$B192,BD!$L$3:$L$5001,"&lt;&gt;"))))</f>
        <v/>
      </c>
      <c r="I192" s="43" t="str">
        <f>IF(OR($B192="",$A192&gt;$B$9,I$184=""),"",IF(COUNTIFS(BD!$B$3:$B$5001,I$184,BD!$A$3:$A$5001,"&gt;="&amp;$C$7,BD!$A$3:$A$5001,"&lt;="&amp;$B192,BD!$L$3:$L$5001,"&lt;&gt;")=0,"",SUMIFS(BD!$L$3:$L$5001,BD!$B$3:$B$5001,I$184,BD!$A$3:$A$5001,_xlfn.MAXIFS(BD!$A$3:$A$5001,BD!$B$3:$B$5001,I$184,BD!$A$3:$A$5001,"&gt;="&amp;$C$7,BD!$A$3:$A$5001,"&lt;="&amp;$B192,BD!$L$3:$L$5001,"&lt;&gt;"))))</f>
        <v/>
      </c>
      <c r="J192" s="43" t="str">
        <f>IF(OR($B192="",$A192&gt;$B$9,J$184=""),"",IF(COUNTIFS(BD!$B$3:$B$5001,J$184,BD!$A$3:$A$5001,"&gt;="&amp;$C$7,BD!$A$3:$A$5001,"&lt;="&amp;$B192,BD!$L$3:$L$5001,"&lt;&gt;")=0,"",SUMIFS(BD!$L$3:$L$5001,BD!$B$3:$B$5001,J$184,BD!$A$3:$A$5001,_xlfn.MAXIFS(BD!$A$3:$A$5001,BD!$B$3:$B$5001,J$184,BD!$A$3:$A$5001,"&gt;="&amp;$C$7,BD!$A$3:$A$5001,"&lt;="&amp;$B192,BD!$L$3:$L$5001,"&lt;&gt;"))))</f>
        <v/>
      </c>
      <c r="K192" s="43" t="str">
        <f>IF(OR($B192="",$A192&gt;$B$9,K$184=""),"",IF(COUNTIFS(BD!$B$3:$B$5001,K$184,BD!$A$3:$A$5001,"&gt;="&amp;$C$7,BD!$A$3:$A$5001,"&lt;="&amp;$B192,BD!$L$3:$L$5001,"&lt;&gt;")=0,"",SUMIFS(BD!$L$3:$L$5001,BD!$B$3:$B$5001,K$184,BD!$A$3:$A$5001,_xlfn.MAXIFS(BD!$A$3:$A$5001,BD!$B$3:$B$5001,K$184,BD!$A$3:$A$5001,"&gt;="&amp;$C$7,BD!$A$3:$A$5001,"&lt;="&amp;$B192,BD!$L$3:$L$5001,"&lt;&gt;"))))</f>
        <v/>
      </c>
      <c r="L192" s="43" t="str">
        <f>IF(OR($B192="",$A192&gt;$B$9,L$184=""),"",IF(COUNTIFS(BD!$B$3:$B$5001,L$184,BD!$A$3:$A$5001,"&gt;="&amp;$C$7,BD!$A$3:$A$5001,"&lt;="&amp;$B192,BD!$L$3:$L$5001,"&lt;&gt;")=0,"",SUMIFS(BD!$L$3:$L$5001,BD!$B$3:$B$5001,L$184,BD!$A$3:$A$5001,_xlfn.MAXIFS(BD!$A$3:$A$5001,BD!$B$3:$B$5001,L$184,BD!$A$3:$A$5001,"&gt;="&amp;$C$7,BD!$A$3:$A$5001,"&lt;="&amp;$B192,BD!$L$3:$L$5001,"&lt;&gt;"))))</f>
        <v/>
      </c>
      <c r="M192" s="43" t="str">
        <f>IF(OR($B192="",$A192&gt;$B$9,M$184=""),"",IF(COUNTIFS(BD!$B$3:$B$5001,M$184,BD!$A$3:$A$5001,"&gt;="&amp;$C$7,BD!$A$3:$A$5001,"&lt;="&amp;$B192,BD!$L$3:$L$5001,"&lt;&gt;")=0,"",SUMIFS(BD!$L$3:$L$5001,BD!$B$3:$B$5001,M$184,BD!$A$3:$A$5001,_xlfn.MAXIFS(BD!$A$3:$A$5001,BD!$B$3:$B$5001,M$184,BD!$A$3:$A$5001,"&gt;="&amp;$C$7,BD!$A$3:$A$5001,"&lt;="&amp;$B192,BD!$L$3:$L$5001,"&lt;&gt;"))))</f>
        <v/>
      </c>
      <c r="N192" s="43" t="str">
        <f>IF(OR($B192="",$A192&gt;$B$9,N$184=""),"",IF(COUNTIFS(BD!$B$3:$B$5001,N$184,BD!$A$3:$A$5001,"&gt;="&amp;$C$7,BD!$A$3:$A$5001,"&lt;="&amp;$B192,BD!$L$3:$L$5001,"&lt;&gt;")=0,"",SUMIFS(BD!$L$3:$L$5001,BD!$B$3:$B$5001,N$184,BD!$A$3:$A$5001,_xlfn.MAXIFS(BD!$A$3:$A$5001,BD!$B$3:$B$5001,N$184,BD!$A$3:$A$5001,"&gt;="&amp;$C$7,BD!$A$3:$A$5001,"&lt;="&amp;$B192,BD!$L$3:$L$5001,"&lt;&gt;"))))</f>
        <v/>
      </c>
      <c r="O192" s="43" t="str">
        <f>IF(OR($B192="",$A192&gt;$B$9,O$184=""),"",IF(COUNTIFS(BD!$B$3:$B$5001,O$184,BD!$A$3:$A$5001,"&gt;="&amp;$C$7,BD!$A$3:$A$5001,"&lt;="&amp;$B192,BD!$L$3:$L$5001,"&lt;&gt;")=0,"",SUMIFS(BD!$L$3:$L$5001,BD!$B$3:$B$5001,O$184,BD!$A$3:$A$5001,_xlfn.MAXIFS(BD!$A$3:$A$5001,BD!$B$3:$B$5001,O$184,BD!$A$3:$A$5001,"&gt;="&amp;$C$7,BD!$A$3:$A$5001,"&lt;="&amp;$B192,BD!$L$3:$L$5001,"&lt;&gt;"))))</f>
        <v/>
      </c>
      <c r="P192" s="43" t="str">
        <f>IF(OR($B192="",$A192&gt;$B$9,P$184=""),"",IF(COUNTIFS(BD!$B$3:$B$5001,P$184,BD!$A$3:$A$5001,"&gt;="&amp;$C$7,BD!$A$3:$A$5001,"&lt;="&amp;$B192,BD!$L$3:$L$5001,"&lt;&gt;")=0,"",SUMIFS(BD!$L$3:$L$5001,BD!$B$3:$B$5001,P$184,BD!$A$3:$A$5001,_xlfn.MAXIFS(BD!$A$3:$A$5001,BD!$B$3:$B$5001,P$184,BD!$A$3:$A$5001,"&gt;="&amp;$C$7,BD!$A$3:$A$5001,"&lt;="&amp;$B192,BD!$L$3:$L$5001,"&lt;&gt;"))))</f>
        <v/>
      </c>
      <c r="Q192" s="43" t="str">
        <f>IF(OR($B192="",$A192&gt;$B$9,Q$184=""),"",IF(COUNTIFS(BD!$B$3:$B$5001,Q$184,BD!$A$3:$A$5001,"&gt;="&amp;$C$7,BD!$A$3:$A$5001,"&lt;="&amp;$B192,BD!$L$3:$L$5001,"&lt;&gt;")=0,"",SUMIFS(BD!$L$3:$L$5001,BD!$B$3:$B$5001,Q$184,BD!$A$3:$A$5001,_xlfn.MAXIFS(BD!$A$3:$A$5001,BD!$B$3:$B$5001,Q$184,BD!$A$3:$A$5001,"&gt;="&amp;$C$7,BD!$A$3:$A$5001,"&lt;="&amp;$B192,BD!$L$3:$L$5001,"&lt;&gt;"))))</f>
        <v/>
      </c>
      <c r="R192" s="43" t="str">
        <f>IF(OR($B192="",$A192&gt;$B$9,R$184=""),"",IF(COUNTIFS(BD!$B$3:$B$5001,R$184,BD!$A$3:$A$5001,"&gt;="&amp;$C$7,BD!$A$3:$A$5001,"&lt;="&amp;$B192,BD!$L$3:$L$5001,"&lt;&gt;")=0,"",SUMIFS(BD!$L$3:$L$5001,BD!$B$3:$B$5001,R$184,BD!$A$3:$A$5001,_xlfn.MAXIFS(BD!$A$3:$A$5001,BD!$B$3:$B$5001,R$184,BD!$A$3:$A$5001,"&gt;="&amp;$C$7,BD!$A$3:$A$5001,"&lt;="&amp;$B192,BD!$L$3:$L$5001,"&lt;&gt;"))))</f>
        <v/>
      </c>
      <c r="S192" s="43" t="str">
        <f>IF(OR($B192="",$A192&gt;$B$9,S$184=""),"",IF(COUNTIFS(BD!$B$3:$B$5001,S$184,BD!$A$3:$A$5001,"&gt;="&amp;$C$7,BD!$A$3:$A$5001,"&lt;="&amp;$B192,BD!$L$3:$L$5001,"&lt;&gt;")=0,"",SUMIFS(BD!$L$3:$L$5001,BD!$B$3:$B$5001,S$184,BD!$A$3:$A$5001,_xlfn.MAXIFS(BD!$A$3:$A$5001,BD!$B$3:$B$5001,S$184,BD!$A$3:$A$5001,"&gt;="&amp;$C$7,BD!$A$3:$A$5001,"&lt;="&amp;$B192,BD!$L$3:$L$5001,"&lt;&gt;"))))</f>
        <v/>
      </c>
      <c r="T192" s="43" t="str">
        <f>IF(OR($B192="",$A192&gt;$B$9,T$184=""),"",IF(COUNTIFS(BD!$B$3:$B$5001,T$184,BD!$A$3:$A$5001,"&gt;="&amp;$C$7,BD!$A$3:$A$5001,"&lt;="&amp;$B192,BD!$L$3:$L$5001,"&lt;&gt;")=0,"",SUMIFS(BD!$L$3:$L$5001,BD!$B$3:$B$5001,T$184,BD!$A$3:$A$5001,_xlfn.MAXIFS(BD!$A$3:$A$5001,BD!$B$3:$B$5001,T$184,BD!$A$3:$A$5001,"&gt;="&amp;$C$7,BD!$A$3:$A$5001,"&lt;="&amp;$B192,BD!$L$3:$L$5001,"&lt;&gt;"))))</f>
        <v/>
      </c>
      <c r="U192" s="43" t="str">
        <f>IF(OR($B192="",$A192&gt;$B$9,U$184=""),"",IF(COUNTIFS(BD!$B$3:$B$5001,U$184,BD!$A$3:$A$5001,"&gt;="&amp;$C$7,BD!$A$3:$A$5001,"&lt;="&amp;$B192,BD!$L$3:$L$5001,"&lt;&gt;")=0,"",SUMIFS(BD!$L$3:$L$5001,BD!$B$3:$B$5001,U$184,BD!$A$3:$A$5001,_xlfn.MAXIFS(BD!$A$3:$A$5001,BD!$B$3:$B$5001,U$184,BD!$A$3:$A$5001,"&gt;="&amp;$C$7,BD!$A$3:$A$5001,"&lt;="&amp;$B192,BD!$L$3:$L$5001,"&lt;&gt;"))))</f>
        <v/>
      </c>
      <c r="V192" s="43" t="str">
        <f>IF(OR($B192="",$A192&gt;$B$9,V$184=""),"",IF(COUNTIFS(BD!$B$3:$B$5001,V$184,BD!$A$3:$A$5001,"&gt;="&amp;$C$7,BD!$A$3:$A$5001,"&lt;="&amp;$B192,BD!$L$3:$L$5001,"&lt;&gt;")=0,"",SUMIFS(BD!$L$3:$L$5001,BD!$B$3:$B$5001,V$184,BD!$A$3:$A$5001,_xlfn.MAXIFS(BD!$A$3:$A$5001,BD!$B$3:$B$5001,V$184,BD!$A$3:$A$5001,"&gt;="&amp;$C$7,BD!$A$3:$A$5001,"&lt;="&amp;$B192,BD!$L$3:$L$5001,"&lt;&gt;"))))</f>
        <v/>
      </c>
    </row>
    <row r="193">
      <c r="A193" s="38">
        <v>9</v>
      </c>
      <c r="B193" s="42">
        <f>$B$20</f>
        <v>46304</v>
      </c>
      <c r="C193" s="43" t="str">
        <f>IF(OR($B193="",$A193&gt;$B$9,C$184=""),"",IF(COUNTIFS(BD!$B$3:$B$5001,C$184,BD!$A$3:$A$5001,"&gt;="&amp;$C$7,BD!$A$3:$A$5001,"&lt;="&amp;$B193,BD!$L$3:$L$5001,"&lt;&gt;")=0,"",SUMIFS(BD!$L$3:$L$5001,BD!$B$3:$B$5001,C$184,BD!$A$3:$A$5001,_xlfn.MAXIFS(BD!$A$3:$A$5001,BD!$B$3:$B$5001,C$184,BD!$A$3:$A$5001,"&gt;="&amp;$C$7,BD!$A$3:$A$5001,"&lt;="&amp;$B193,BD!$L$3:$L$5001,"&lt;&gt;"))))</f>
        <v/>
      </c>
      <c r="D193" s="43" t="str">
        <f>IF(OR($B193="",$A193&gt;$B$9,D$184=""),"",IF(COUNTIFS(BD!$B$3:$B$5001,D$184,BD!$A$3:$A$5001,"&gt;="&amp;$C$7,BD!$A$3:$A$5001,"&lt;="&amp;$B193,BD!$L$3:$L$5001,"&lt;&gt;")=0,"",SUMIFS(BD!$L$3:$L$5001,BD!$B$3:$B$5001,D$184,BD!$A$3:$A$5001,_xlfn.MAXIFS(BD!$A$3:$A$5001,BD!$B$3:$B$5001,D$184,BD!$A$3:$A$5001,"&gt;="&amp;$C$7,BD!$A$3:$A$5001,"&lt;="&amp;$B193,BD!$L$3:$L$5001,"&lt;&gt;"))))</f>
        <v/>
      </c>
      <c r="E193" s="43" t="str">
        <f>IF(OR($B193="",$A193&gt;$B$9,E$184=""),"",IF(COUNTIFS(BD!$B$3:$B$5001,E$184,BD!$A$3:$A$5001,"&gt;="&amp;$C$7,BD!$A$3:$A$5001,"&lt;="&amp;$B193,BD!$L$3:$L$5001,"&lt;&gt;")=0,"",SUMIFS(BD!$L$3:$L$5001,BD!$B$3:$B$5001,E$184,BD!$A$3:$A$5001,_xlfn.MAXIFS(BD!$A$3:$A$5001,BD!$B$3:$B$5001,E$184,BD!$A$3:$A$5001,"&gt;="&amp;$C$7,BD!$A$3:$A$5001,"&lt;="&amp;$B193,BD!$L$3:$L$5001,"&lt;&gt;"))))</f>
        <v/>
      </c>
      <c r="F193" s="43" t="str">
        <f>IF(OR($B193="",$A193&gt;$B$9,F$184=""),"",IF(COUNTIFS(BD!$B$3:$B$5001,F$184,BD!$A$3:$A$5001,"&gt;="&amp;$C$7,BD!$A$3:$A$5001,"&lt;="&amp;$B193,BD!$L$3:$L$5001,"&lt;&gt;")=0,"",SUMIFS(BD!$L$3:$L$5001,BD!$B$3:$B$5001,F$184,BD!$A$3:$A$5001,_xlfn.MAXIFS(BD!$A$3:$A$5001,BD!$B$3:$B$5001,F$184,BD!$A$3:$A$5001,"&gt;="&amp;$C$7,BD!$A$3:$A$5001,"&lt;="&amp;$B193,BD!$L$3:$L$5001,"&lt;&gt;"))))</f>
        <v/>
      </c>
      <c r="G193" s="43" t="str">
        <f>IF(OR($B193="",$A193&gt;$B$9,G$184=""),"",IF(COUNTIFS(BD!$B$3:$B$5001,G$184,BD!$A$3:$A$5001,"&gt;="&amp;$C$7,BD!$A$3:$A$5001,"&lt;="&amp;$B193,BD!$L$3:$L$5001,"&lt;&gt;")=0,"",SUMIFS(BD!$L$3:$L$5001,BD!$B$3:$B$5001,G$184,BD!$A$3:$A$5001,_xlfn.MAXIFS(BD!$A$3:$A$5001,BD!$B$3:$B$5001,G$184,BD!$A$3:$A$5001,"&gt;="&amp;$C$7,BD!$A$3:$A$5001,"&lt;="&amp;$B193,BD!$L$3:$L$5001,"&lt;&gt;"))))</f>
        <v/>
      </c>
      <c r="H193" s="43" t="str">
        <f>IF(OR($B193="",$A193&gt;$B$9,H$184=""),"",IF(COUNTIFS(BD!$B$3:$B$5001,H$184,BD!$A$3:$A$5001,"&gt;="&amp;$C$7,BD!$A$3:$A$5001,"&lt;="&amp;$B193,BD!$L$3:$L$5001,"&lt;&gt;")=0,"",SUMIFS(BD!$L$3:$L$5001,BD!$B$3:$B$5001,H$184,BD!$A$3:$A$5001,_xlfn.MAXIFS(BD!$A$3:$A$5001,BD!$B$3:$B$5001,H$184,BD!$A$3:$A$5001,"&gt;="&amp;$C$7,BD!$A$3:$A$5001,"&lt;="&amp;$B193,BD!$L$3:$L$5001,"&lt;&gt;"))))</f>
        <v/>
      </c>
      <c r="I193" s="43" t="str">
        <f>IF(OR($B193="",$A193&gt;$B$9,I$184=""),"",IF(COUNTIFS(BD!$B$3:$B$5001,I$184,BD!$A$3:$A$5001,"&gt;="&amp;$C$7,BD!$A$3:$A$5001,"&lt;="&amp;$B193,BD!$L$3:$L$5001,"&lt;&gt;")=0,"",SUMIFS(BD!$L$3:$L$5001,BD!$B$3:$B$5001,I$184,BD!$A$3:$A$5001,_xlfn.MAXIFS(BD!$A$3:$A$5001,BD!$B$3:$B$5001,I$184,BD!$A$3:$A$5001,"&gt;="&amp;$C$7,BD!$A$3:$A$5001,"&lt;="&amp;$B193,BD!$L$3:$L$5001,"&lt;&gt;"))))</f>
        <v/>
      </c>
      <c r="J193" s="43" t="str">
        <f>IF(OR($B193="",$A193&gt;$B$9,J$184=""),"",IF(COUNTIFS(BD!$B$3:$B$5001,J$184,BD!$A$3:$A$5001,"&gt;="&amp;$C$7,BD!$A$3:$A$5001,"&lt;="&amp;$B193,BD!$L$3:$L$5001,"&lt;&gt;")=0,"",SUMIFS(BD!$L$3:$L$5001,BD!$B$3:$B$5001,J$184,BD!$A$3:$A$5001,_xlfn.MAXIFS(BD!$A$3:$A$5001,BD!$B$3:$B$5001,J$184,BD!$A$3:$A$5001,"&gt;="&amp;$C$7,BD!$A$3:$A$5001,"&lt;="&amp;$B193,BD!$L$3:$L$5001,"&lt;&gt;"))))</f>
        <v/>
      </c>
      <c r="K193" s="43" t="str">
        <f>IF(OR($B193="",$A193&gt;$B$9,K$184=""),"",IF(COUNTIFS(BD!$B$3:$B$5001,K$184,BD!$A$3:$A$5001,"&gt;="&amp;$C$7,BD!$A$3:$A$5001,"&lt;="&amp;$B193,BD!$L$3:$L$5001,"&lt;&gt;")=0,"",SUMIFS(BD!$L$3:$L$5001,BD!$B$3:$B$5001,K$184,BD!$A$3:$A$5001,_xlfn.MAXIFS(BD!$A$3:$A$5001,BD!$B$3:$B$5001,K$184,BD!$A$3:$A$5001,"&gt;="&amp;$C$7,BD!$A$3:$A$5001,"&lt;="&amp;$B193,BD!$L$3:$L$5001,"&lt;&gt;"))))</f>
        <v/>
      </c>
      <c r="L193" s="43" t="str">
        <f>IF(OR($B193="",$A193&gt;$B$9,L$184=""),"",IF(COUNTIFS(BD!$B$3:$B$5001,L$184,BD!$A$3:$A$5001,"&gt;="&amp;$C$7,BD!$A$3:$A$5001,"&lt;="&amp;$B193,BD!$L$3:$L$5001,"&lt;&gt;")=0,"",SUMIFS(BD!$L$3:$L$5001,BD!$B$3:$B$5001,L$184,BD!$A$3:$A$5001,_xlfn.MAXIFS(BD!$A$3:$A$5001,BD!$B$3:$B$5001,L$184,BD!$A$3:$A$5001,"&gt;="&amp;$C$7,BD!$A$3:$A$5001,"&lt;="&amp;$B193,BD!$L$3:$L$5001,"&lt;&gt;"))))</f>
        <v/>
      </c>
      <c r="M193" s="43" t="str">
        <f>IF(OR($B193="",$A193&gt;$B$9,M$184=""),"",IF(COUNTIFS(BD!$B$3:$B$5001,M$184,BD!$A$3:$A$5001,"&gt;="&amp;$C$7,BD!$A$3:$A$5001,"&lt;="&amp;$B193,BD!$L$3:$L$5001,"&lt;&gt;")=0,"",SUMIFS(BD!$L$3:$L$5001,BD!$B$3:$B$5001,M$184,BD!$A$3:$A$5001,_xlfn.MAXIFS(BD!$A$3:$A$5001,BD!$B$3:$B$5001,M$184,BD!$A$3:$A$5001,"&gt;="&amp;$C$7,BD!$A$3:$A$5001,"&lt;="&amp;$B193,BD!$L$3:$L$5001,"&lt;&gt;"))))</f>
        <v/>
      </c>
      <c r="N193" s="43" t="str">
        <f>IF(OR($B193="",$A193&gt;$B$9,N$184=""),"",IF(COUNTIFS(BD!$B$3:$B$5001,N$184,BD!$A$3:$A$5001,"&gt;="&amp;$C$7,BD!$A$3:$A$5001,"&lt;="&amp;$B193,BD!$L$3:$L$5001,"&lt;&gt;")=0,"",SUMIFS(BD!$L$3:$L$5001,BD!$B$3:$B$5001,N$184,BD!$A$3:$A$5001,_xlfn.MAXIFS(BD!$A$3:$A$5001,BD!$B$3:$B$5001,N$184,BD!$A$3:$A$5001,"&gt;="&amp;$C$7,BD!$A$3:$A$5001,"&lt;="&amp;$B193,BD!$L$3:$L$5001,"&lt;&gt;"))))</f>
        <v/>
      </c>
      <c r="O193" s="43" t="str">
        <f>IF(OR($B193="",$A193&gt;$B$9,O$184=""),"",IF(COUNTIFS(BD!$B$3:$B$5001,O$184,BD!$A$3:$A$5001,"&gt;="&amp;$C$7,BD!$A$3:$A$5001,"&lt;="&amp;$B193,BD!$L$3:$L$5001,"&lt;&gt;")=0,"",SUMIFS(BD!$L$3:$L$5001,BD!$B$3:$B$5001,O$184,BD!$A$3:$A$5001,_xlfn.MAXIFS(BD!$A$3:$A$5001,BD!$B$3:$B$5001,O$184,BD!$A$3:$A$5001,"&gt;="&amp;$C$7,BD!$A$3:$A$5001,"&lt;="&amp;$B193,BD!$L$3:$L$5001,"&lt;&gt;"))))</f>
        <v/>
      </c>
      <c r="P193" s="43" t="str">
        <f>IF(OR($B193="",$A193&gt;$B$9,P$184=""),"",IF(COUNTIFS(BD!$B$3:$B$5001,P$184,BD!$A$3:$A$5001,"&gt;="&amp;$C$7,BD!$A$3:$A$5001,"&lt;="&amp;$B193,BD!$L$3:$L$5001,"&lt;&gt;")=0,"",SUMIFS(BD!$L$3:$L$5001,BD!$B$3:$B$5001,P$184,BD!$A$3:$A$5001,_xlfn.MAXIFS(BD!$A$3:$A$5001,BD!$B$3:$B$5001,P$184,BD!$A$3:$A$5001,"&gt;="&amp;$C$7,BD!$A$3:$A$5001,"&lt;="&amp;$B193,BD!$L$3:$L$5001,"&lt;&gt;"))))</f>
        <v/>
      </c>
      <c r="Q193" s="43" t="str">
        <f>IF(OR($B193="",$A193&gt;$B$9,Q$184=""),"",IF(COUNTIFS(BD!$B$3:$B$5001,Q$184,BD!$A$3:$A$5001,"&gt;="&amp;$C$7,BD!$A$3:$A$5001,"&lt;="&amp;$B193,BD!$L$3:$L$5001,"&lt;&gt;")=0,"",SUMIFS(BD!$L$3:$L$5001,BD!$B$3:$B$5001,Q$184,BD!$A$3:$A$5001,_xlfn.MAXIFS(BD!$A$3:$A$5001,BD!$B$3:$B$5001,Q$184,BD!$A$3:$A$5001,"&gt;="&amp;$C$7,BD!$A$3:$A$5001,"&lt;="&amp;$B193,BD!$L$3:$L$5001,"&lt;&gt;"))))</f>
        <v/>
      </c>
      <c r="R193" s="43" t="str">
        <f>IF(OR($B193="",$A193&gt;$B$9,R$184=""),"",IF(COUNTIFS(BD!$B$3:$B$5001,R$184,BD!$A$3:$A$5001,"&gt;="&amp;$C$7,BD!$A$3:$A$5001,"&lt;="&amp;$B193,BD!$L$3:$L$5001,"&lt;&gt;")=0,"",SUMIFS(BD!$L$3:$L$5001,BD!$B$3:$B$5001,R$184,BD!$A$3:$A$5001,_xlfn.MAXIFS(BD!$A$3:$A$5001,BD!$B$3:$B$5001,R$184,BD!$A$3:$A$5001,"&gt;="&amp;$C$7,BD!$A$3:$A$5001,"&lt;="&amp;$B193,BD!$L$3:$L$5001,"&lt;&gt;"))))</f>
        <v/>
      </c>
      <c r="S193" s="43" t="str">
        <f>IF(OR($B193="",$A193&gt;$B$9,S$184=""),"",IF(COUNTIFS(BD!$B$3:$B$5001,S$184,BD!$A$3:$A$5001,"&gt;="&amp;$C$7,BD!$A$3:$A$5001,"&lt;="&amp;$B193,BD!$L$3:$L$5001,"&lt;&gt;")=0,"",SUMIFS(BD!$L$3:$L$5001,BD!$B$3:$B$5001,S$184,BD!$A$3:$A$5001,_xlfn.MAXIFS(BD!$A$3:$A$5001,BD!$B$3:$B$5001,S$184,BD!$A$3:$A$5001,"&gt;="&amp;$C$7,BD!$A$3:$A$5001,"&lt;="&amp;$B193,BD!$L$3:$L$5001,"&lt;&gt;"))))</f>
        <v/>
      </c>
      <c r="T193" s="43" t="str">
        <f>IF(OR($B193="",$A193&gt;$B$9,T$184=""),"",IF(COUNTIFS(BD!$B$3:$B$5001,T$184,BD!$A$3:$A$5001,"&gt;="&amp;$C$7,BD!$A$3:$A$5001,"&lt;="&amp;$B193,BD!$L$3:$L$5001,"&lt;&gt;")=0,"",SUMIFS(BD!$L$3:$L$5001,BD!$B$3:$B$5001,T$184,BD!$A$3:$A$5001,_xlfn.MAXIFS(BD!$A$3:$A$5001,BD!$B$3:$B$5001,T$184,BD!$A$3:$A$5001,"&gt;="&amp;$C$7,BD!$A$3:$A$5001,"&lt;="&amp;$B193,BD!$L$3:$L$5001,"&lt;&gt;"))))</f>
        <v/>
      </c>
      <c r="U193" s="43" t="str">
        <f>IF(OR($B193="",$A193&gt;$B$9,U$184=""),"",IF(COUNTIFS(BD!$B$3:$B$5001,U$184,BD!$A$3:$A$5001,"&gt;="&amp;$C$7,BD!$A$3:$A$5001,"&lt;="&amp;$B193,BD!$L$3:$L$5001,"&lt;&gt;")=0,"",SUMIFS(BD!$L$3:$L$5001,BD!$B$3:$B$5001,U$184,BD!$A$3:$A$5001,_xlfn.MAXIFS(BD!$A$3:$A$5001,BD!$B$3:$B$5001,U$184,BD!$A$3:$A$5001,"&gt;="&amp;$C$7,BD!$A$3:$A$5001,"&lt;="&amp;$B193,BD!$L$3:$L$5001,"&lt;&gt;"))))</f>
        <v/>
      </c>
      <c r="V193" s="43" t="str">
        <f>IF(OR($B193="",$A193&gt;$B$9,V$184=""),"",IF(COUNTIFS(BD!$B$3:$B$5001,V$184,BD!$A$3:$A$5001,"&gt;="&amp;$C$7,BD!$A$3:$A$5001,"&lt;="&amp;$B193,BD!$L$3:$L$5001,"&lt;&gt;")=0,"",SUMIFS(BD!$L$3:$L$5001,BD!$B$3:$B$5001,V$184,BD!$A$3:$A$5001,_xlfn.MAXIFS(BD!$A$3:$A$5001,BD!$B$3:$B$5001,V$184,BD!$A$3:$A$5001,"&gt;="&amp;$C$7,BD!$A$3:$A$5001,"&lt;="&amp;$B193,BD!$L$3:$L$5001,"&lt;&gt;"))))</f>
        <v/>
      </c>
    </row>
    <row r="194">
      <c r="A194" s="38">
        <v>10</v>
      </c>
      <c r="B194" s="42">
        <f>$B$21</f>
        <v>46305</v>
      </c>
      <c r="C194" s="43" t="str">
        <f>IF(OR($B194="",$A194&gt;$B$9,C$184=""),"",IF(COUNTIFS(BD!$B$3:$B$5001,C$184,BD!$A$3:$A$5001,"&gt;="&amp;$C$7,BD!$A$3:$A$5001,"&lt;="&amp;$B194,BD!$L$3:$L$5001,"&lt;&gt;")=0,"",SUMIFS(BD!$L$3:$L$5001,BD!$B$3:$B$5001,C$184,BD!$A$3:$A$5001,_xlfn.MAXIFS(BD!$A$3:$A$5001,BD!$B$3:$B$5001,C$184,BD!$A$3:$A$5001,"&gt;="&amp;$C$7,BD!$A$3:$A$5001,"&lt;="&amp;$B194,BD!$L$3:$L$5001,"&lt;&gt;"))))</f>
        <v/>
      </c>
      <c r="D194" s="43" t="str">
        <f>IF(OR($B194="",$A194&gt;$B$9,D$184=""),"",IF(COUNTIFS(BD!$B$3:$B$5001,D$184,BD!$A$3:$A$5001,"&gt;="&amp;$C$7,BD!$A$3:$A$5001,"&lt;="&amp;$B194,BD!$L$3:$L$5001,"&lt;&gt;")=0,"",SUMIFS(BD!$L$3:$L$5001,BD!$B$3:$B$5001,D$184,BD!$A$3:$A$5001,_xlfn.MAXIFS(BD!$A$3:$A$5001,BD!$B$3:$B$5001,D$184,BD!$A$3:$A$5001,"&gt;="&amp;$C$7,BD!$A$3:$A$5001,"&lt;="&amp;$B194,BD!$L$3:$L$5001,"&lt;&gt;"))))</f>
        <v/>
      </c>
      <c r="E194" s="43" t="str">
        <f>IF(OR($B194="",$A194&gt;$B$9,E$184=""),"",IF(COUNTIFS(BD!$B$3:$B$5001,E$184,BD!$A$3:$A$5001,"&gt;="&amp;$C$7,BD!$A$3:$A$5001,"&lt;="&amp;$B194,BD!$L$3:$L$5001,"&lt;&gt;")=0,"",SUMIFS(BD!$L$3:$L$5001,BD!$B$3:$B$5001,E$184,BD!$A$3:$A$5001,_xlfn.MAXIFS(BD!$A$3:$A$5001,BD!$B$3:$B$5001,E$184,BD!$A$3:$A$5001,"&gt;="&amp;$C$7,BD!$A$3:$A$5001,"&lt;="&amp;$B194,BD!$L$3:$L$5001,"&lt;&gt;"))))</f>
        <v/>
      </c>
      <c r="F194" s="43" t="str">
        <f>IF(OR($B194="",$A194&gt;$B$9,F$184=""),"",IF(COUNTIFS(BD!$B$3:$B$5001,F$184,BD!$A$3:$A$5001,"&gt;="&amp;$C$7,BD!$A$3:$A$5001,"&lt;="&amp;$B194,BD!$L$3:$L$5001,"&lt;&gt;")=0,"",SUMIFS(BD!$L$3:$L$5001,BD!$B$3:$B$5001,F$184,BD!$A$3:$A$5001,_xlfn.MAXIFS(BD!$A$3:$A$5001,BD!$B$3:$B$5001,F$184,BD!$A$3:$A$5001,"&gt;="&amp;$C$7,BD!$A$3:$A$5001,"&lt;="&amp;$B194,BD!$L$3:$L$5001,"&lt;&gt;"))))</f>
        <v/>
      </c>
      <c r="G194" s="43" t="str">
        <f>IF(OR($B194="",$A194&gt;$B$9,G$184=""),"",IF(COUNTIFS(BD!$B$3:$B$5001,G$184,BD!$A$3:$A$5001,"&gt;="&amp;$C$7,BD!$A$3:$A$5001,"&lt;="&amp;$B194,BD!$L$3:$L$5001,"&lt;&gt;")=0,"",SUMIFS(BD!$L$3:$L$5001,BD!$B$3:$B$5001,G$184,BD!$A$3:$A$5001,_xlfn.MAXIFS(BD!$A$3:$A$5001,BD!$B$3:$B$5001,G$184,BD!$A$3:$A$5001,"&gt;="&amp;$C$7,BD!$A$3:$A$5001,"&lt;="&amp;$B194,BD!$L$3:$L$5001,"&lt;&gt;"))))</f>
        <v/>
      </c>
      <c r="H194" s="43" t="str">
        <f>IF(OR($B194="",$A194&gt;$B$9,H$184=""),"",IF(COUNTIFS(BD!$B$3:$B$5001,H$184,BD!$A$3:$A$5001,"&gt;="&amp;$C$7,BD!$A$3:$A$5001,"&lt;="&amp;$B194,BD!$L$3:$L$5001,"&lt;&gt;")=0,"",SUMIFS(BD!$L$3:$L$5001,BD!$B$3:$B$5001,H$184,BD!$A$3:$A$5001,_xlfn.MAXIFS(BD!$A$3:$A$5001,BD!$B$3:$B$5001,H$184,BD!$A$3:$A$5001,"&gt;="&amp;$C$7,BD!$A$3:$A$5001,"&lt;="&amp;$B194,BD!$L$3:$L$5001,"&lt;&gt;"))))</f>
        <v/>
      </c>
      <c r="I194" s="43" t="str">
        <f>IF(OR($B194="",$A194&gt;$B$9,I$184=""),"",IF(COUNTIFS(BD!$B$3:$B$5001,I$184,BD!$A$3:$A$5001,"&gt;="&amp;$C$7,BD!$A$3:$A$5001,"&lt;="&amp;$B194,BD!$L$3:$L$5001,"&lt;&gt;")=0,"",SUMIFS(BD!$L$3:$L$5001,BD!$B$3:$B$5001,I$184,BD!$A$3:$A$5001,_xlfn.MAXIFS(BD!$A$3:$A$5001,BD!$B$3:$B$5001,I$184,BD!$A$3:$A$5001,"&gt;="&amp;$C$7,BD!$A$3:$A$5001,"&lt;="&amp;$B194,BD!$L$3:$L$5001,"&lt;&gt;"))))</f>
        <v/>
      </c>
      <c r="J194" s="43" t="str">
        <f>IF(OR($B194="",$A194&gt;$B$9,J$184=""),"",IF(COUNTIFS(BD!$B$3:$B$5001,J$184,BD!$A$3:$A$5001,"&gt;="&amp;$C$7,BD!$A$3:$A$5001,"&lt;="&amp;$B194,BD!$L$3:$L$5001,"&lt;&gt;")=0,"",SUMIFS(BD!$L$3:$L$5001,BD!$B$3:$B$5001,J$184,BD!$A$3:$A$5001,_xlfn.MAXIFS(BD!$A$3:$A$5001,BD!$B$3:$B$5001,J$184,BD!$A$3:$A$5001,"&gt;="&amp;$C$7,BD!$A$3:$A$5001,"&lt;="&amp;$B194,BD!$L$3:$L$5001,"&lt;&gt;"))))</f>
        <v/>
      </c>
      <c r="K194" s="43" t="str">
        <f>IF(OR($B194="",$A194&gt;$B$9,K$184=""),"",IF(COUNTIFS(BD!$B$3:$B$5001,K$184,BD!$A$3:$A$5001,"&gt;="&amp;$C$7,BD!$A$3:$A$5001,"&lt;="&amp;$B194,BD!$L$3:$L$5001,"&lt;&gt;")=0,"",SUMIFS(BD!$L$3:$L$5001,BD!$B$3:$B$5001,K$184,BD!$A$3:$A$5001,_xlfn.MAXIFS(BD!$A$3:$A$5001,BD!$B$3:$B$5001,K$184,BD!$A$3:$A$5001,"&gt;="&amp;$C$7,BD!$A$3:$A$5001,"&lt;="&amp;$B194,BD!$L$3:$L$5001,"&lt;&gt;"))))</f>
        <v/>
      </c>
      <c r="L194" s="43" t="str">
        <f>IF(OR($B194="",$A194&gt;$B$9,L$184=""),"",IF(COUNTIFS(BD!$B$3:$B$5001,L$184,BD!$A$3:$A$5001,"&gt;="&amp;$C$7,BD!$A$3:$A$5001,"&lt;="&amp;$B194,BD!$L$3:$L$5001,"&lt;&gt;")=0,"",SUMIFS(BD!$L$3:$L$5001,BD!$B$3:$B$5001,L$184,BD!$A$3:$A$5001,_xlfn.MAXIFS(BD!$A$3:$A$5001,BD!$B$3:$B$5001,L$184,BD!$A$3:$A$5001,"&gt;="&amp;$C$7,BD!$A$3:$A$5001,"&lt;="&amp;$B194,BD!$L$3:$L$5001,"&lt;&gt;"))))</f>
        <v/>
      </c>
      <c r="M194" s="43" t="str">
        <f>IF(OR($B194="",$A194&gt;$B$9,M$184=""),"",IF(COUNTIFS(BD!$B$3:$B$5001,M$184,BD!$A$3:$A$5001,"&gt;="&amp;$C$7,BD!$A$3:$A$5001,"&lt;="&amp;$B194,BD!$L$3:$L$5001,"&lt;&gt;")=0,"",SUMIFS(BD!$L$3:$L$5001,BD!$B$3:$B$5001,M$184,BD!$A$3:$A$5001,_xlfn.MAXIFS(BD!$A$3:$A$5001,BD!$B$3:$B$5001,M$184,BD!$A$3:$A$5001,"&gt;="&amp;$C$7,BD!$A$3:$A$5001,"&lt;="&amp;$B194,BD!$L$3:$L$5001,"&lt;&gt;"))))</f>
        <v/>
      </c>
      <c r="N194" s="43" t="str">
        <f>IF(OR($B194="",$A194&gt;$B$9,N$184=""),"",IF(COUNTIFS(BD!$B$3:$B$5001,N$184,BD!$A$3:$A$5001,"&gt;="&amp;$C$7,BD!$A$3:$A$5001,"&lt;="&amp;$B194,BD!$L$3:$L$5001,"&lt;&gt;")=0,"",SUMIFS(BD!$L$3:$L$5001,BD!$B$3:$B$5001,N$184,BD!$A$3:$A$5001,_xlfn.MAXIFS(BD!$A$3:$A$5001,BD!$B$3:$B$5001,N$184,BD!$A$3:$A$5001,"&gt;="&amp;$C$7,BD!$A$3:$A$5001,"&lt;="&amp;$B194,BD!$L$3:$L$5001,"&lt;&gt;"))))</f>
        <v/>
      </c>
      <c r="O194" s="43" t="str">
        <f>IF(OR($B194="",$A194&gt;$B$9,O$184=""),"",IF(COUNTIFS(BD!$B$3:$B$5001,O$184,BD!$A$3:$A$5001,"&gt;="&amp;$C$7,BD!$A$3:$A$5001,"&lt;="&amp;$B194,BD!$L$3:$L$5001,"&lt;&gt;")=0,"",SUMIFS(BD!$L$3:$L$5001,BD!$B$3:$B$5001,O$184,BD!$A$3:$A$5001,_xlfn.MAXIFS(BD!$A$3:$A$5001,BD!$B$3:$B$5001,O$184,BD!$A$3:$A$5001,"&gt;="&amp;$C$7,BD!$A$3:$A$5001,"&lt;="&amp;$B194,BD!$L$3:$L$5001,"&lt;&gt;"))))</f>
        <v/>
      </c>
      <c r="P194" s="43" t="str">
        <f>IF(OR($B194="",$A194&gt;$B$9,P$184=""),"",IF(COUNTIFS(BD!$B$3:$B$5001,P$184,BD!$A$3:$A$5001,"&gt;="&amp;$C$7,BD!$A$3:$A$5001,"&lt;="&amp;$B194,BD!$L$3:$L$5001,"&lt;&gt;")=0,"",SUMIFS(BD!$L$3:$L$5001,BD!$B$3:$B$5001,P$184,BD!$A$3:$A$5001,_xlfn.MAXIFS(BD!$A$3:$A$5001,BD!$B$3:$B$5001,P$184,BD!$A$3:$A$5001,"&gt;="&amp;$C$7,BD!$A$3:$A$5001,"&lt;="&amp;$B194,BD!$L$3:$L$5001,"&lt;&gt;"))))</f>
        <v/>
      </c>
      <c r="Q194" s="43" t="str">
        <f>IF(OR($B194="",$A194&gt;$B$9,Q$184=""),"",IF(COUNTIFS(BD!$B$3:$B$5001,Q$184,BD!$A$3:$A$5001,"&gt;="&amp;$C$7,BD!$A$3:$A$5001,"&lt;="&amp;$B194,BD!$L$3:$L$5001,"&lt;&gt;")=0,"",SUMIFS(BD!$L$3:$L$5001,BD!$B$3:$B$5001,Q$184,BD!$A$3:$A$5001,_xlfn.MAXIFS(BD!$A$3:$A$5001,BD!$B$3:$B$5001,Q$184,BD!$A$3:$A$5001,"&gt;="&amp;$C$7,BD!$A$3:$A$5001,"&lt;="&amp;$B194,BD!$L$3:$L$5001,"&lt;&gt;"))))</f>
        <v/>
      </c>
      <c r="R194" s="43" t="str">
        <f>IF(OR($B194="",$A194&gt;$B$9,R$184=""),"",IF(COUNTIFS(BD!$B$3:$B$5001,R$184,BD!$A$3:$A$5001,"&gt;="&amp;$C$7,BD!$A$3:$A$5001,"&lt;="&amp;$B194,BD!$L$3:$L$5001,"&lt;&gt;")=0,"",SUMIFS(BD!$L$3:$L$5001,BD!$B$3:$B$5001,R$184,BD!$A$3:$A$5001,_xlfn.MAXIFS(BD!$A$3:$A$5001,BD!$B$3:$B$5001,R$184,BD!$A$3:$A$5001,"&gt;="&amp;$C$7,BD!$A$3:$A$5001,"&lt;="&amp;$B194,BD!$L$3:$L$5001,"&lt;&gt;"))))</f>
        <v/>
      </c>
      <c r="S194" s="43" t="str">
        <f>IF(OR($B194="",$A194&gt;$B$9,S$184=""),"",IF(COUNTIFS(BD!$B$3:$B$5001,S$184,BD!$A$3:$A$5001,"&gt;="&amp;$C$7,BD!$A$3:$A$5001,"&lt;="&amp;$B194,BD!$L$3:$L$5001,"&lt;&gt;")=0,"",SUMIFS(BD!$L$3:$L$5001,BD!$B$3:$B$5001,S$184,BD!$A$3:$A$5001,_xlfn.MAXIFS(BD!$A$3:$A$5001,BD!$B$3:$B$5001,S$184,BD!$A$3:$A$5001,"&gt;="&amp;$C$7,BD!$A$3:$A$5001,"&lt;="&amp;$B194,BD!$L$3:$L$5001,"&lt;&gt;"))))</f>
        <v/>
      </c>
      <c r="T194" s="43" t="str">
        <f>IF(OR($B194="",$A194&gt;$B$9,T$184=""),"",IF(COUNTIFS(BD!$B$3:$B$5001,T$184,BD!$A$3:$A$5001,"&gt;="&amp;$C$7,BD!$A$3:$A$5001,"&lt;="&amp;$B194,BD!$L$3:$L$5001,"&lt;&gt;")=0,"",SUMIFS(BD!$L$3:$L$5001,BD!$B$3:$B$5001,T$184,BD!$A$3:$A$5001,_xlfn.MAXIFS(BD!$A$3:$A$5001,BD!$B$3:$B$5001,T$184,BD!$A$3:$A$5001,"&gt;="&amp;$C$7,BD!$A$3:$A$5001,"&lt;="&amp;$B194,BD!$L$3:$L$5001,"&lt;&gt;"))))</f>
        <v/>
      </c>
      <c r="U194" s="43" t="str">
        <f>IF(OR($B194="",$A194&gt;$B$9,U$184=""),"",IF(COUNTIFS(BD!$B$3:$B$5001,U$184,BD!$A$3:$A$5001,"&gt;="&amp;$C$7,BD!$A$3:$A$5001,"&lt;="&amp;$B194,BD!$L$3:$L$5001,"&lt;&gt;")=0,"",SUMIFS(BD!$L$3:$L$5001,BD!$B$3:$B$5001,U$184,BD!$A$3:$A$5001,_xlfn.MAXIFS(BD!$A$3:$A$5001,BD!$B$3:$B$5001,U$184,BD!$A$3:$A$5001,"&gt;="&amp;$C$7,BD!$A$3:$A$5001,"&lt;="&amp;$B194,BD!$L$3:$L$5001,"&lt;&gt;"))))</f>
        <v/>
      </c>
      <c r="V194" s="43" t="str">
        <f>IF(OR($B194="",$A194&gt;$B$9,V$184=""),"",IF(COUNTIFS(BD!$B$3:$B$5001,V$184,BD!$A$3:$A$5001,"&gt;="&amp;$C$7,BD!$A$3:$A$5001,"&lt;="&amp;$B194,BD!$L$3:$L$5001,"&lt;&gt;")=0,"",SUMIFS(BD!$L$3:$L$5001,BD!$B$3:$B$5001,V$184,BD!$A$3:$A$5001,_xlfn.MAXIFS(BD!$A$3:$A$5001,BD!$B$3:$B$5001,V$184,BD!$A$3:$A$5001,"&gt;="&amp;$C$7,BD!$A$3:$A$5001,"&lt;="&amp;$B194,BD!$L$3:$L$5001,"&lt;&gt;"))))</f>
        <v/>
      </c>
    </row>
    <row r="195">
      <c r="A195" s="38">
        <v>11</v>
      </c>
      <c r="B195" s="42">
        <f>$B$22</f>
        <v>46306</v>
      </c>
      <c r="C195" s="43" t="str">
        <f>IF(OR($B195="",$A195&gt;$B$9,C$184=""),"",IF(COUNTIFS(BD!$B$3:$B$5001,C$184,BD!$A$3:$A$5001,"&gt;="&amp;$C$7,BD!$A$3:$A$5001,"&lt;="&amp;$B195,BD!$L$3:$L$5001,"&lt;&gt;")=0,"",SUMIFS(BD!$L$3:$L$5001,BD!$B$3:$B$5001,C$184,BD!$A$3:$A$5001,_xlfn.MAXIFS(BD!$A$3:$A$5001,BD!$B$3:$B$5001,C$184,BD!$A$3:$A$5001,"&gt;="&amp;$C$7,BD!$A$3:$A$5001,"&lt;="&amp;$B195,BD!$L$3:$L$5001,"&lt;&gt;"))))</f>
        <v/>
      </c>
      <c r="D195" s="43" t="str">
        <f>IF(OR($B195="",$A195&gt;$B$9,D$184=""),"",IF(COUNTIFS(BD!$B$3:$B$5001,D$184,BD!$A$3:$A$5001,"&gt;="&amp;$C$7,BD!$A$3:$A$5001,"&lt;="&amp;$B195,BD!$L$3:$L$5001,"&lt;&gt;")=0,"",SUMIFS(BD!$L$3:$L$5001,BD!$B$3:$B$5001,D$184,BD!$A$3:$A$5001,_xlfn.MAXIFS(BD!$A$3:$A$5001,BD!$B$3:$B$5001,D$184,BD!$A$3:$A$5001,"&gt;="&amp;$C$7,BD!$A$3:$A$5001,"&lt;="&amp;$B195,BD!$L$3:$L$5001,"&lt;&gt;"))))</f>
        <v/>
      </c>
      <c r="E195" s="43" t="str">
        <f>IF(OR($B195="",$A195&gt;$B$9,E$184=""),"",IF(COUNTIFS(BD!$B$3:$B$5001,E$184,BD!$A$3:$A$5001,"&gt;="&amp;$C$7,BD!$A$3:$A$5001,"&lt;="&amp;$B195,BD!$L$3:$L$5001,"&lt;&gt;")=0,"",SUMIFS(BD!$L$3:$L$5001,BD!$B$3:$B$5001,E$184,BD!$A$3:$A$5001,_xlfn.MAXIFS(BD!$A$3:$A$5001,BD!$B$3:$B$5001,E$184,BD!$A$3:$A$5001,"&gt;="&amp;$C$7,BD!$A$3:$A$5001,"&lt;="&amp;$B195,BD!$L$3:$L$5001,"&lt;&gt;"))))</f>
        <v/>
      </c>
      <c r="F195" s="43" t="str">
        <f>IF(OR($B195="",$A195&gt;$B$9,F$184=""),"",IF(COUNTIFS(BD!$B$3:$B$5001,F$184,BD!$A$3:$A$5001,"&gt;="&amp;$C$7,BD!$A$3:$A$5001,"&lt;="&amp;$B195,BD!$L$3:$L$5001,"&lt;&gt;")=0,"",SUMIFS(BD!$L$3:$L$5001,BD!$B$3:$B$5001,F$184,BD!$A$3:$A$5001,_xlfn.MAXIFS(BD!$A$3:$A$5001,BD!$B$3:$B$5001,F$184,BD!$A$3:$A$5001,"&gt;="&amp;$C$7,BD!$A$3:$A$5001,"&lt;="&amp;$B195,BD!$L$3:$L$5001,"&lt;&gt;"))))</f>
        <v/>
      </c>
      <c r="G195" s="43" t="str">
        <f>IF(OR($B195="",$A195&gt;$B$9,G$184=""),"",IF(COUNTIFS(BD!$B$3:$B$5001,G$184,BD!$A$3:$A$5001,"&gt;="&amp;$C$7,BD!$A$3:$A$5001,"&lt;="&amp;$B195,BD!$L$3:$L$5001,"&lt;&gt;")=0,"",SUMIFS(BD!$L$3:$L$5001,BD!$B$3:$B$5001,G$184,BD!$A$3:$A$5001,_xlfn.MAXIFS(BD!$A$3:$A$5001,BD!$B$3:$B$5001,G$184,BD!$A$3:$A$5001,"&gt;="&amp;$C$7,BD!$A$3:$A$5001,"&lt;="&amp;$B195,BD!$L$3:$L$5001,"&lt;&gt;"))))</f>
        <v/>
      </c>
      <c r="H195" s="43" t="str">
        <f>IF(OR($B195="",$A195&gt;$B$9,H$184=""),"",IF(COUNTIFS(BD!$B$3:$B$5001,H$184,BD!$A$3:$A$5001,"&gt;="&amp;$C$7,BD!$A$3:$A$5001,"&lt;="&amp;$B195,BD!$L$3:$L$5001,"&lt;&gt;")=0,"",SUMIFS(BD!$L$3:$L$5001,BD!$B$3:$B$5001,H$184,BD!$A$3:$A$5001,_xlfn.MAXIFS(BD!$A$3:$A$5001,BD!$B$3:$B$5001,H$184,BD!$A$3:$A$5001,"&gt;="&amp;$C$7,BD!$A$3:$A$5001,"&lt;="&amp;$B195,BD!$L$3:$L$5001,"&lt;&gt;"))))</f>
        <v/>
      </c>
      <c r="I195" s="43" t="str">
        <f>IF(OR($B195="",$A195&gt;$B$9,I$184=""),"",IF(COUNTIFS(BD!$B$3:$B$5001,I$184,BD!$A$3:$A$5001,"&gt;="&amp;$C$7,BD!$A$3:$A$5001,"&lt;="&amp;$B195,BD!$L$3:$L$5001,"&lt;&gt;")=0,"",SUMIFS(BD!$L$3:$L$5001,BD!$B$3:$B$5001,I$184,BD!$A$3:$A$5001,_xlfn.MAXIFS(BD!$A$3:$A$5001,BD!$B$3:$B$5001,I$184,BD!$A$3:$A$5001,"&gt;="&amp;$C$7,BD!$A$3:$A$5001,"&lt;="&amp;$B195,BD!$L$3:$L$5001,"&lt;&gt;"))))</f>
        <v/>
      </c>
      <c r="J195" s="43" t="str">
        <f>IF(OR($B195="",$A195&gt;$B$9,J$184=""),"",IF(COUNTIFS(BD!$B$3:$B$5001,J$184,BD!$A$3:$A$5001,"&gt;="&amp;$C$7,BD!$A$3:$A$5001,"&lt;="&amp;$B195,BD!$L$3:$L$5001,"&lt;&gt;")=0,"",SUMIFS(BD!$L$3:$L$5001,BD!$B$3:$B$5001,J$184,BD!$A$3:$A$5001,_xlfn.MAXIFS(BD!$A$3:$A$5001,BD!$B$3:$B$5001,J$184,BD!$A$3:$A$5001,"&gt;="&amp;$C$7,BD!$A$3:$A$5001,"&lt;="&amp;$B195,BD!$L$3:$L$5001,"&lt;&gt;"))))</f>
        <v/>
      </c>
      <c r="K195" s="43" t="str">
        <f>IF(OR($B195="",$A195&gt;$B$9,K$184=""),"",IF(COUNTIFS(BD!$B$3:$B$5001,K$184,BD!$A$3:$A$5001,"&gt;="&amp;$C$7,BD!$A$3:$A$5001,"&lt;="&amp;$B195,BD!$L$3:$L$5001,"&lt;&gt;")=0,"",SUMIFS(BD!$L$3:$L$5001,BD!$B$3:$B$5001,K$184,BD!$A$3:$A$5001,_xlfn.MAXIFS(BD!$A$3:$A$5001,BD!$B$3:$B$5001,K$184,BD!$A$3:$A$5001,"&gt;="&amp;$C$7,BD!$A$3:$A$5001,"&lt;="&amp;$B195,BD!$L$3:$L$5001,"&lt;&gt;"))))</f>
        <v/>
      </c>
      <c r="L195" s="43" t="str">
        <f>IF(OR($B195="",$A195&gt;$B$9,L$184=""),"",IF(COUNTIFS(BD!$B$3:$B$5001,L$184,BD!$A$3:$A$5001,"&gt;="&amp;$C$7,BD!$A$3:$A$5001,"&lt;="&amp;$B195,BD!$L$3:$L$5001,"&lt;&gt;")=0,"",SUMIFS(BD!$L$3:$L$5001,BD!$B$3:$B$5001,L$184,BD!$A$3:$A$5001,_xlfn.MAXIFS(BD!$A$3:$A$5001,BD!$B$3:$B$5001,L$184,BD!$A$3:$A$5001,"&gt;="&amp;$C$7,BD!$A$3:$A$5001,"&lt;="&amp;$B195,BD!$L$3:$L$5001,"&lt;&gt;"))))</f>
        <v/>
      </c>
      <c r="M195" s="43" t="str">
        <f>IF(OR($B195="",$A195&gt;$B$9,M$184=""),"",IF(COUNTIFS(BD!$B$3:$B$5001,M$184,BD!$A$3:$A$5001,"&gt;="&amp;$C$7,BD!$A$3:$A$5001,"&lt;="&amp;$B195,BD!$L$3:$L$5001,"&lt;&gt;")=0,"",SUMIFS(BD!$L$3:$L$5001,BD!$B$3:$B$5001,M$184,BD!$A$3:$A$5001,_xlfn.MAXIFS(BD!$A$3:$A$5001,BD!$B$3:$B$5001,M$184,BD!$A$3:$A$5001,"&gt;="&amp;$C$7,BD!$A$3:$A$5001,"&lt;="&amp;$B195,BD!$L$3:$L$5001,"&lt;&gt;"))))</f>
        <v/>
      </c>
      <c r="N195" s="43" t="str">
        <f>IF(OR($B195="",$A195&gt;$B$9,N$184=""),"",IF(COUNTIFS(BD!$B$3:$B$5001,N$184,BD!$A$3:$A$5001,"&gt;="&amp;$C$7,BD!$A$3:$A$5001,"&lt;="&amp;$B195,BD!$L$3:$L$5001,"&lt;&gt;")=0,"",SUMIFS(BD!$L$3:$L$5001,BD!$B$3:$B$5001,N$184,BD!$A$3:$A$5001,_xlfn.MAXIFS(BD!$A$3:$A$5001,BD!$B$3:$B$5001,N$184,BD!$A$3:$A$5001,"&gt;="&amp;$C$7,BD!$A$3:$A$5001,"&lt;="&amp;$B195,BD!$L$3:$L$5001,"&lt;&gt;"))))</f>
        <v/>
      </c>
      <c r="O195" s="43" t="str">
        <f>IF(OR($B195="",$A195&gt;$B$9,O$184=""),"",IF(COUNTIFS(BD!$B$3:$B$5001,O$184,BD!$A$3:$A$5001,"&gt;="&amp;$C$7,BD!$A$3:$A$5001,"&lt;="&amp;$B195,BD!$L$3:$L$5001,"&lt;&gt;")=0,"",SUMIFS(BD!$L$3:$L$5001,BD!$B$3:$B$5001,O$184,BD!$A$3:$A$5001,_xlfn.MAXIFS(BD!$A$3:$A$5001,BD!$B$3:$B$5001,O$184,BD!$A$3:$A$5001,"&gt;="&amp;$C$7,BD!$A$3:$A$5001,"&lt;="&amp;$B195,BD!$L$3:$L$5001,"&lt;&gt;"))))</f>
        <v/>
      </c>
      <c r="P195" s="43" t="str">
        <f>IF(OR($B195="",$A195&gt;$B$9,P$184=""),"",IF(COUNTIFS(BD!$B$3:$B$5001,P$184,BD!$A$3:$A$5001,"&gt;="&amp;$C$7,BD!$A$3:$A$5001,"&lt;="&amp;$B195,BD!$L$3:$L$5001,"&lt;&gt;")=0,"",SUMIFS(BD!$L$3:$L$5001,BD!$B$3:$B$5001,P$184,BD!$A$3:$A$5001,_xlfn.MAXIFS(BD!$A$3:$A$5001,BD!$B$3:$B$5001,P$184,BD!$A$3:$A$5001,"&gt;="&amp;$C$7,BD!$A$3:$A$5001,"&lt;="&amp;$B195,BD!$L$3:$L$5001,"&lt;&gt;"))))</f>
        <v/>
      </c>
      <c r="Q195" s="43" t="str">
        <f>IF(OR($B195="",$A195&gt;$B$9,Q$184=""),"",IF(COUNTIFS(BD!$B$3:$B$5001,Q$184,BD!$A$3:$A$5001,"&gt;="&amp;$C$7,BD!$A$3:$A$5001,"&lt;="&amp;$B195,BD!$L$3:$L$5001,"&lt;&gt;")=0,"",SUMIFS(BD!$L$3:$L$5001,BD!$B$3:$B$5001,Q$184,BD!$A$3:$A$5001,_xlfn.MAXIFS(BD!$A$3:$A$5001,BD!$B$3:$B$5001,Q$184,BD!$A$3:$A$5001,"&gt;="&amp;$C$7,BD!$A$3:$A$5001,"&lt;="&amp;$B195,BD!$L$3:$L$5001,"&lt;&gt;"))))</f>
        <v/>
      </c>
      <c r="R195" s="43" t="str">
        <f>IF(OR($B195="",$A195&gt;$B$9,R$184=""),"",IF(COUNTIFS(BD!$B$3:$B$5001,R$184,BD!$A$3:$A$5001,"&gt;="&amp;$C$7,BD!$A$3:$A$5001,"&lt;="&amp;$B195,BD!$L$3:$L$5001,"&lt;&gt;")=0,"",SUMIFS(BD!$L$3:$L$5001,BD!$B$3:$B$5001,R$184,BD!$A$3:$A$5001,_xlfn.MAXIFS(BD!$A$3:$A$5001,BD!$B$3:$B$5001,R$184,BD!$A$3:$A$5001,"&gt;="&amp;$C$7,BD!$A$3:$A$5001,"&lt;="&amp;$B195,BD!$L$3:$L$5001,"&lt;&gt;"))))</f>
        <v/>
      </c>
      <c r="S195" s="43" t="str">
        <f>IF(OR($B195="",$A195&gt;$B$9,S$184=""),"",IF(COUNTIFS(BD!$B$3:$B$5001,S$184,BD!$A$3:$A$5001,"&gt;="&amp;$C$7,BD!$A$3:$A$5001,"&lt;="&amp;$B195,BD!$L$3:$L$5001,"&lt;&gt;")=0,"",SUMIFS(BD!$L$3:$L$5001,BD!$B$3:$B$5001,S$184,BD!$A$3:$A$5001,_xlfn.MAXIFS(BD!$A$3:$A$5001,BD!$B$3:$B$5001,S$184,BD!$A$3:$A$5001,"&gt;="&amp;$C$7,BD!$A$3:$A$5001,"&lt;="&amp;$B195,BD!$L$3:$L$5001,"&lt;&gt;"))))</f>
        <v/>
      </c>
      <c r="T195" s="43" t="str">
        <f>IF(OR($B195="",$A195&gt;$B$9,T$184=""),"",IF(COUNTIFS(BD!$B$3:$B$5001,T$184,BD!$A$3:$A$5001,"&gt;="&amp;$C$7,BD!$A$3:$A$5001,"&lt;="&amp;$B195,BD!$L$3:$L$5001,"&lt;&gt;")=0,"",SUMIFS(BD!$L$3:$L$5001,BD!$B$3:$B$5001,T$184,BD!$A$3:$A$5001,_xlfn.MAXIFS(BD!$A$3:$A$5001,BD!$B$3:$B$5001,T$184,BD!$A$3:$A$5001,"&gt;="&amp;$C$7,BD!$A$3:$A$5001,"&lt;="&amp;$B195,BD!$L$3:$L$5001,"&lt;&gt;"))))</f>
        <v/>
      </c>
      <c r="U195" s="43" t="str">
        <f>IF(OR($B195="",$A195&gt;$B$9,U$184=""),"",IF(COUNTIFS(BD!$B$3:$B$5001,U$184,BD!$A$3:$A$5001,"&gt;="&amp;$C$7,BD!$A$3:$A$5001,"&lt;="&amp;$B195,BD!$L$3:$L$5001,"&lt;&gt;")=0,"",SUMIFS(BD!$L$3:$L$5001,BD!$B$3:$B$5001,U$184,BD!$A$3:$A$5001,_xlfn.MAXIFS(BD!$A$3:$A$5001,BD!$B$3:$B$5001,U$184,BD!$A$3:$A$5001,"&gt;="&amp;$C$7,BD!$A$3:$A$5001,"&lt;="&amp;$B195,BD!$L$3:$L$5001,"&lt;&gt;"))))</f>
        <v/>
      </c>
      <c r="V195" s="43" t="str">
        <f>IF(OR($B195="",$A195&gt;$B$9,V$184=""),"",IF(COUNTIFS(BD!$B$3:$B$5001,V$184,BD!$A$3:$A$5001,"&gt;="&amp;$C$7,BD!$A$3:$A$5001,"&lt;="&amp;$B195,BD!$L$3:$L$5001,"&lt;&gt;")=0,"",SUMIFS(BD!$L$3:$L$5001,BD!$B$3:$B$5001,V$184,BD!$A$3:$A$5001,_xlfn.MAXIFS(BD!$A$3:$A$5001,BD!$B$3:$B$5001,V$184,BD!$A$3:$A$5001,"&gt;="&amp;$C$7,BD!$A$3:$A$5001,"&lt;="&amp;$B195,BD!$L$3:$L$5001,"&lt;&gt;"))))</f>
        <v/>
      </c>
    </row>
    <row r="196">
      <c r="A196" s="38">
        <v>12</v>
      </c>
      <c r="B196" s="42">
        <f>$B$23</f>
        <v>46307</v>
      </c>
      <c r="C196" s="43" t="str">
        <f>IF(OR($B196="",$A196&gt;$B$9,C$184=""),"",IF(COUNTIFS(BD!$B$3:$B$5001,C$184,BD!$A$3:$A$5001,"&gt;="&amp;$C$7,BD!$A$3:$A$5001,"&lt;="&amp;$B196,BD!$L$3:$L$5001,"&lt;&gt;")=0,"",SUMIFS(BD!$L$3:$L$5001,BD!$B$3:$B$5001,C$184,BD!$A$3:$A$5001,_xlfn.MAXIFS(BD!$A$3:$A$5001,BD!$B$3:$B$5001,C$184,BD!$A$3:$A$5001,"&gt;="&amp;$C$7,BD!$A$3:$A$5001,"&lt;="&amp;$B196,BD!$L$3:$L$5001,"&lt;&gt;"))))</f>
        <v/>
      </c>
      <c r="D196" s="43" t="str">
        <f>IF(OR($B196="",$A196&gt;$B$9,D$184=""),"",IF(COUNTIFS(BD!$B$3:$B$5001,D$184,BD!$A$3:$A$5001,"&gt;="&amp;$C$7,BD!$A$3:$A$5001,"&lt;="&amp;$B196,BD!$L$3:$L$5001,"&lt;&gt;")=0,"",SUMIFS(BD!$L$3:$L$5001,BD!$B$3:$B$5001,D$184,BD!$A$3:$A$5001,_xlfn.MAXIFS(BD!$A$3:$A$5001,BD!$B$3:$B$5001,D$184,BD!$A$3:$A$5001,"&gt;="&amp;$C$7,BD!$A$3:$A$5001,"&lt;="&amp;$B196,BD!$L$3:$L$5001,"&lt;&gt;"))))</f>
        <v/>
      </c>
      <c r="E196" s="43" t="str">
        <f>IF(OR($B196="",$A196&gt;$B$9,E$184=""),"",IF(COUNTIFS(BD!$B$3:$B$5001,E$184,BD!$A$3:$A$5001,"&gt;="&amp;$C$7,BD!$A$3:$A$5001,"&lt;="&amp;$B196,BD!$L$3:$L$5001,"&lt;&gt;")=0,"",SUMIFS(BD!$L$3:$L$5001,BD!$B$3:$B$5001,E$184,BD!$A$3:$A$5001,_xlfn.MAXIFS(BD!$A$3:$A$5001,BD!$B$3:$B$5001,E$184,BD!$A$3:$A$5001,"&gt;="&amp;$C$7,BD!$A$3:$A$5001,"&lt;="&amp;$B196,BD!$L$3:$L$5001,"&lt;&gt;"))))</f>
        <v/>
      </c>
      <c r="F196" s="43" t="str">
        <f>IF(OR($B196="",$A196&gt;$B$9,F$184=""),"",IF(COUNTIFS(BD!$B$3:$B$5001,F$184,BD!$A$3:$A$5001,"&gt;="&amp;$C$7,BD!$A$3:$A$5001,"&lt;="&amp;$B196,BD!$L$3:$L$5001,"&lt;&gt;")=0,"",SUMIFS(BD!$L$3:$L$5001,BD!$B$3:$B$5001,F$184,BD!$A$3:$A$5001,_xlfn.MAXIFS(BD!$A$3:$A$5001,BD!$B$3:$B$5001,F$184,BD!$A$3:$A$5001,"&gt;="&amp;$C$7,BD!$A$3:$A$5001,"&lt;="&amp;$B196,BD!$L$3:$L$5001,"&lt;&gt;"))))</f>
        <v/>
      </c>
      <c r="G196" s="43" t="str">
        <f>IF(OR($B196="",$A196&gt;$B$9,G$184=""),"",IF(COUNTIFS(BD!$B$3:$B$5001,G$184,BD!$A$3:$A$5001,"&gt;="&amp;$C$7,BD!$A$3:$A$5001,"&lt;="&amp;$B196,BD!$L$3:$L$5001,"&lt;&gt;")=0,"",SUMIFS(BD!$L$3:$L$5001,BD!$B$3:$B$5001,G$184,BD!$A$3:$A$5001,_xlfn.MAXIFS(BD!$A$3:$A$5001,BD!$B$3:$B$5001,G$184,BD!$A$3:$A$5001,"&gt;="&amp;$C$7,BD!$A$3:$A$5001,"&lt;="&amp;$B196,BD!$L$3:$L$5001,"&lt;&gt;"))))</f>
        <v/>
      </c>
      <c r="H196" s="43" t="str">
        <f>IF(OR($B196="",$A196&gt;$B$9,H$184=""),"",IF(COUNTIFS(BD!$B$3:$B$5001,H$184,BD!$A$3:$A$5001,"&gt;="&amp;$C$7,BD!$A$3:$A$5001,"&lt;="&amp;$B196,BD!$L$3:$L$5001,"&lt;&gt;")=0,"",SUMIFS(BD!$L$3:$L$5001,BD!$B$3:$B$5001,H$184,BD!$A$3:$A$5001,_xlfn.MAXIFS(BD!$A$3:$A$5001,BD!$B$3:$B$5001,H$184,BD!$A$3:$A$5001,"&gt;="&amp;$C$7,BD!$A$3:$A$5001,"&lt;="&amp;$B196,BD!$L$3:$L$5001,"&lt;&gt;"))))</f>
        <v/>
      </c>
      <c r="I196" s="43" t="str">
        <f>IF(OR($B196="",$A196&gt;$B$9,I$184=""),"",IF(COUNTIFS(BD!$B$3:$B$5001,I$184,BD!$A$3:$A$5001,"&gt;="&amp;$C$7,BD!$A$3:$A$5001,"&lt;="&amp;$B196,BD!$L$3:$L$5001,"&lt;&gt;")=0,"",SUMIFS(BD!$L$3:$L$5001,BD!$B$3:$B$5001,I$184,BD!$A$3:$A$5001,_xlfn.MAXIFS(BD!$A$3:$A$5001,BD!$B$3:$B$5001,I$184,BD!$A$3:$A$5001,"&gt;="&amp;$C$7,BD!$A$3:$A$5001,"&lt;="&amp;$B196,BD!$L$3:$L$5001,"&lt;&gt;"))))</f>
        <v/>
      </c>
      <c r="J196" s="43" t="str">
        <f>IF(OR($B196="",$A196&gt;$B$9,J$184=""),"",IF(COUNTIFS(BD!$B$3:$B$5001,J$184,BD!$A$3:$A$5001,"&gt;="&amp;$C$7,BD!$A$3:$A$5001,"&lt;="&amp;$B196,BD!$L$3:$L$5001,"&lt;&gt;")=0,"",SUMIFS(BD!$L$3:$L$5001,BD!$B$3:$B$5001,J$184,BD!$A$3:$A$5001,_xlfn.MAXIFS(BD!$A$3:$A$5001,BD!$B$3:$B$5001,J$184,BD!$A$3:$A$5001,"&gt;="&amp;$C$7,BD!$A$3:$A$5001,"&lt;="&amp;$B196,BD!$L$3:$L$5001,"&lt;&gt;"))))</f>
        <v/>
      </c>
      <c r="K196" s="43" t="str">
        <f>IF(OR($B196="",$A196&gt;$B$9,K$184=""),"",IF(COUNTIFS(BD!$B$3:$B$5001,K$184,BD!$A$3:$A$5001,"&gt;="&amp;$C$7,BD!$A$3:$A$5001,"&lt;="&amp;$B196,BD!$L$3:$L$5001,"&lt;&gt;")=0,"",SUMIFS(BD!$L$3:$L$5001,BD!$B$3:$B$5001,K$184,BD!$A$3:$A$5001,_xlfn.MAXIFS(BD!$A$3:$A$5001,BD!$B$3:$B$5001,K$184,BD!$A$3:$A$5001,"&gt;="&amp;$C$7,BD!$A$3:$A$5001,"&lt;="&amp;$B196,BD!$L$3:$L$5001,"&lt;&gt;"))))</f>
        <v/>
      </c>
      <c r="L196" s="43" t="str">
        <f>IF(OR($B196="",$A196&gt;$B$9,L$184=""),"",IF(COUNTIFS(BD!$B$3:$B$5001,L$184,BD!$A$3:$A$5001,"&gt;="&amp;$C$7,BD!$A$3:$A$5001,"&lt;="&amp;$B196,BD!$L$3:$L$5001,"&lt;&gt;")=0,"",SUMIFS(BD!$L$3:$L$5001,BD!$B$3:$B$5001,L$184,BD!$A$3:$A$5001,_xlfn.MAXIFS(BD!$A$3:$A$5001,BD!$B$3:$B$5001,L$184,BD!$A$3:$A$5001,"&gt;="&amp;$C$7,BD!$A$3:$A$5001,"&lt;="&amp;$B196,BD!$L$3:$L$5001,"&lt;&gt;"))))</f>
        <v/>
      </c>
      <c r="M196" s="43" t="str">
        <f>IF(OR($B196="",$A196&gt;$B$9,M$184=""),"",IF(COUNTIFS(BD!$B$3:$B$5001,M$184,BD!$A$3:$A$5001,"&gt;="&amp;$C$7,BD!$A$3:$A$5001,"&lt;="&amp;$B196,BD!$L$3:$L$5001,"&lt;&gt;")=0,"",SUMIFS(BD!$L$3:$L$5001,BD!$B$3:$B$5001,M$184,BD!$A$3:$A$5001,_xlfn.MAXIFS(BD!$A$3:$A$5001,BD!$B$3:$B$5001,M$184,BD!$A$3:$A$5001,"&gt;="&amp;$C$7,BD!$A$3:$A$5001,"&lt;="&amp;$B196,BD!$L$3:$L$5001,"&lt;&gt;"))))</f>
        <v/>
      </c>
      <c r="N196" s="43" t="str">
        <f>IF(OR($B196="",$A196&gt;$B$9,N$184=""),"",IF(COUNTIFS(BD!$B$3:$B$5001,N$184,BD!$A$3:$A$5001,"&gt;="&amp;$C$7,BD!$A$3:$A$5001,"&lt;="&amp;$B196,BD!$L$3:$L$5001,"&lt;&gt;")=0,"",SUMIFS(BD!$L$3:$L$5001,BD!$B$3:$B$5001,N$184,BD!$A$3:$A$5001,_xlfn.MAXIFS(BD!$A$3:$A$5001,BD!$B$3:$B$5001,N$184,BD!$A$3:$A$5001,"&gt;="&amp;$C$7,BD!$A$3:$A$5001,"&lt;="&amp;$B196,BD!$L$3:$L$5001,"&lt;&gt;"))))</f>
        <v/>
      </c>
      <c r="O196" s="43" t="str">
        <f>IF(OR($B196="",$A196&gt;$B$9,O$184=""),"",IF(COUNTIFS(BD!$B$3:$B$5001,O$184,BD!$A$3:$A$5001,"&gt;="&amp;$C$7,BD!$A$3:$A$5001,"&lt;="&amp;$B196,BD!$L$3:$L$5001,"&lt;&gt;")=0,"",SUMIFS(BD!$L$3:$L$5001,BD!$B$3:$B$5001,O$184,BD!$A$3:$A$5001,_xlfn.MAXIFS(BD!$A$3:$A$5001,BD!$B$3:$B$5001,O$184,BD!$A$3:$A$5001,"&gt;="&amp;$C$7,BD!$A$3:$A$5001,"&lt;="&amp;$B196,BD!$L$3:$L$5001,"&lt;&gt;"))))</f>
        <v/>
      </c>
      <c r="P196" s="43" t="str">
        <f>IF(OR($B196="",$A196&gt;$B$9,P$184=""),"",IF(COUNTIFS(BD!$B$3:$B$5001,P$184,BD!$A$3:$A$5001,"&gt;="&amp;$C$7,BD!$A$3:$A$5001,"&lt;="&amp;$B196,BD!$L$3:$L$5001,"&lt;&gt;")=0,"",SUMIFS(BD!$L$3:$L$5001,BD!$B$3:$B$5001,P$184,BD!$A$3:$A$5001,_xlfn.MAXIFS(BD!$A$3:$A$5001,BD!$B$3:$B$5001,P$184,BD!$A$3:$A$5001,"&gt;="&amp;$C$7,BD!$A$3:$A$5001,"&lt;="&amp;$B196,BD!$L$3:$L$5001,"&lt;&gt;"))))</f>
        <v/>
      </c>
      <c r="Q196" s="43" t="str">
        <f>IF(OR($B196="",$A196&gt;$B$9,Q$184=""),"",IF(COUNTIFS(BD!$B$3:$B$5001,Q$184,BD!$A$3:$A$5001,"&gt;="&amp;$C$7,BD!$A$3:$A$5001,"&lt;="&amp;$B196,BD!$L$3:$L$5001,"&lt;&gt;")=0,"",SUMIFS(BD!$L$3:$L$5001,BD!$B$3:$B$5001,Q$184,BD!$A$3:$A$5001,_xlfn.MAXIFS(BD!$A$3:$A$5001,BD!$B$3:$B$5001,Q$184,BD!$A$3:$A$5001,"&gt;="&amp;$C$7,BD!$A$3:$A$5001,"&lt;="&amp;$B196,BD!$L$3:$L$5001,"&lt;&gt;"))))</f>
        <v/>
      </c>
      <c r="R196" s="43" t="str">
        <f>IF(OR($B196="",$A196&gt;$B$9,R$184=""),"",IF(COUNTIFS(BD!$B$3:$B$5001,R$184,BD!$A$3:$A$5001,"&gt;="&amp;$C$7,BD!$A$3:$A$5001,"&lt;="&amp;$B196,BD!$L$3:$L$5001,"&lt;&gt;")=0,"",SUMIFS(BD!$L$3:$L$5001,BD!$B$3:$B$5001,R$184,BD!$A$3:$A$5001,_xlfn.MAXIFS(BD!$A$3:$A$5001,BD!$B$3:$B$5001,R$184,BD!$A$3:$A$5001,"&gt;="&amp;$C$7,BD!$A$3:$A$5001,"&lt;="&amp;$B196,BD!$L$3:$L$5001,"&lt;&gt;"))))</f>
        <v/>
      </c>
      <c r="S196" s="43" t="str">
        <f>IF(OR($B196="",$A196&gt;$B$9,S$184=""),"",IF(COUNTIFS(BD!$B$3:$B$5001,S$184,BD!$A$3:$A$5001,"&gt;="&amp;$C$7,BD!$A$3:$A$5001,"&lt;="&amp;$B196,BD!$L$3:$L$5001,"&lt;&gt;")=0,"",SUMIFS(BD!$L$3:$L$5001,BD!$B$3:$B$5001,S$184,BD!$A$3:$A$5001,_xlfn.MAXIFS(BD!$A$3:$A$5001,BD!$B$3:$B$5001,S$184,BD!$A$3:$A$5001,"&gt;="&amp;$C$7,BD!$A$3:$A$5001,"&lt;="&amp;$B196,BD!$L$3:$L$5001,"&lt;&gt;"))))</f>
        <v/>
      </c>
      <c r="T196" s="43" t="str">
        <f>IF(OR($B196="",$A196&gt;$B$9,T$184=""),"",IF(COUNTIFS(BD!$B$3:$B$5001,T$184,BD!$A$3:$A$5001,"&gt;="&amp;$C$7,BD!$A$3:$A$5001,"&lt;="&amp;$B196,BD!$L$3:$L$5001,"&lt;&gt;")=0,"",SUMIFS(BD!$L$3:$L$5001,BD!$B$3:$B$5001,T$184,BD!$A$3:$A$5001,_xlfn.MAXIFS(BD!$A$3:$A$5001,BD!$B$3:$B$5001,T$184,BD!$A$3:$A$5001,"&gt;="&amp;$C$7,BD!$A$3:$A$5001,"&lt;="&amp;$B196,BD!$L$3:$L$5001,"&lt;&gt;"))))</f>
        <v/>
      </c>
      <c r="U196" s="43" t="str">
        <f>IF(OR($B196="",$A196&gt;$B$9,U$184=""),"",IF(COUNTIFS(BD!$B$3:$B$5001,U$184,BD!$A$3:$A$5001,"&gt;="&amp;$C$7,BD!$A$3:$A$5001,"&lt;="&amp;$B196,BD!$L$3:$L$5001,"&lt;&gt;")=0,"",SUMIFS(BD!$L$3:$L$5001,BD!$B$3:$B$5001,U$184,BD!$A$3:$A$5001,_xlfn.MAXIFS(BD!$A$3:$A$5001,BD!$B$3:$B$5001,U$184,BD!$A$3:$A$5001,"&gt;="&amp;$C$7,BD!$A$3:$A$5001,"&lt;="&amp;$B196,BD!$L$3:$L$5001,"&lt;&gt;"))))</f>
        <v/>
      </c>
      <c r="V196" s="43" t="str">
        <f>IF(OR($B196="",$A196&gt;$B$9,V$184=""),"",IF(COUNTIFS(BD!$B$3:$B$5001,V$184,BD!$A$3:$A$5001,"&gt;="&amp;$C$7,BD!$A$3:$A$5001,"&lt;="&amp;$B196,BD!$L$3:$L$5001,"&lt;&gt;")=0,"",SUMIFS(BD!$L$3:$L$5001,BD!$B$3:$B$5001,V$184,BD!$A$3:$A$5001,_xlfn.MAXIFS(BD!$A$3:$A$5001,BD!$B$3:$B$5001,V$184,BD!$A$3:$A$5001,"&gt;="&amp;$C$7,BD!$A$3:$A$5001,"&lt;="&amp;$B196,BD!$L$3:$L$5001,"&lt;&gt;"))))</f>
        <v/>
      </c>
    </row>
    <row r="197">
      <c r="A197" s="38">
        <v>13</v>
      </c>
      <c r="B197" s="42">
        <f>$B$24</f>
        <v>46308</v>
      </c>
      <c r="C197" s="43" t="str">
        <f>IF(OR($B197="",$A197&gt;$B$9,C$184=""),"",IF(COUNTIFS(BD!$B$3:$B$5001,C$184,BD!$A$3:$A$5001,"&gt;="&amp;$C$7,BD!$A$3:$A$5001,"&lt;="&amp;$B197,BD!$L$3:$L$5001,"&lt;&gt;")=0,"",SUMIFS(BD!$L$3:$L$5001,BD!$B$3:$B$5001,C$184,BD!$A$3:$A$5001,_xlfn.MAXIFS(BD!$A$3:$A$5001,BD!$B$3:$B$5001,C$184,BD!$A$3:$A$5001,"&gt;="&amp;$C$7,BD!$A$3:$A$5001,"&lt;="&amp;$B197,BD!$L$3:$L$5001,"&lt;&gt;"))))</f>
        <v/>
      </c>
      <c r="D197" s="43" t="str">
        <f>IF(OR($B197="",$A197&gt;$B$9,D$184=""),"",IF(COUNTIFS(BD!$B$3:$B$5001,D$184,BD!$A$3:$A$5001,"&gt;="&amp;$C$7,BD!$A$3:$A$5001,"&lt;="&amp;$B197,BD!$L$3:$L$5001,"&lt;&gt;")=0,"",SUMIFS(BD!$L$3:$L$5001,BD!$B$3:$B$5001,D$184,BD!$A$3:$A$5001,_xlfn.MAXIFS(BD!$A$3:$A$5001,BD!$B$3:$B$5001,D$184,BD!$A$3:$A$5001,"&gt;="&amp;$C$7,BD!$A$3:$A$5001,"&lt;="&amp;$B197,BD!$L$3:$L$5001,"&lt;&gt;"))))</f>
        <v/>
      </c>
      <c r="E197" s="43" t="str">
        <f>IF(OR($B197="",$A197&gt;$B$9,E$184=""),"",IF(COUNTIFS(BD!$B$3:$B$5001,E$184,BD!$A$3:$A$5001,"&gt;="&amp;$C$7,BD!$A$3:$A$5001,"&lt;="&amp;$B197,BD!$L$3:$L$5001,"&lt;&gt;")=0,"",SUMIFS(BD!$L$3:$L$5001,BD!$B$3:$B$5001,E$184,BD!$A$3:$A$5001,_xlfn.MAXIFS(BD!$A$3:$A$5001,BD!$B$3:$B$5001,E$184,BD!$A$3:$A$5001,"&gt;="&amp;$C$7,BD!$A$3:$A$5001,"&lt;="&amp;$B197,BD!$L$3:$L$5001,"&lt;&gt;"))))</f>
        <v/>
      </c>
      <c r="F197" s="43" t="str">
        <f>IF(OR($B197="",$A197&gt;$B$9,F$184=""),"",IF(COUNTIFS(BD!$B$3:$B$5001,F$184,BD!$A$3:$A$5001,"&gt;="&amp;$C$7,BD!$A$3:$A$5001,"&lt;="&amp;$B197,BD!$L$3:$L$5001,"&lt;&gt;")=0,"",SUMIFS(BD!$L$3:$L$5001,BD!$B$3:$B$5001,F$184,BD!$A$3:$A$5001,_xlfn.MAXIFS(BD!$A$3:$A$5001,BD!$B$3:$B$5001,F$184,BD!$A$3:$A$5001,"&gt;="&amp;$C$7,BD!$A$3:$A$5001,"&lt;="&amp;$B197,BD!$L$3:$L$5001,"&lt;&gt;"))))</f>
        <v/>
      </c>
      <c r="G197" s="43" t="str">
        <f>IF(OR($B197="",$A197&gt;$B$9,G$184=""),"",IF(COUNTIFS(BD!$B$3:$B$5001,G$184,BD!$A$3:$A$5001,"&gt;="&amp;$C$7,BD!$A$3:$A$5001,"&lt;="&amp;$B197,BD!$L$3:$L$5001,"&lt;&gt;")=0,"",SUMIFS(BD!$L$3:$L$5001,BD!$B$3:$B$5001,G$184,BD!$A$3:$A$5001,_xlfn.MAXIFS(BD!$A$3:$A$5001,BD!$B$3:$B$5001,G$184,BD!$A$3:$A$5001,"&gt;="&amp;$C$7,BD!$A$3:$A$5001,"&lt;="&amp;$B197,BD!$L$3:$L$5001,"&lt;&gt;"))))</f>
        <v/>
      </c>
      <c r="H197" s="43" t="str">
        <f>IF(OR($B197="",$A197&gt;$B$9,H$184=""),"",IF(COUNTIFS(BD!$B$3:$B$5001,H$184,BD!$A$3:$A$5001,"&gt;="&amp;$C$7,BD!$A$3:$A$5001,"&lt;="&amp;$B197,BD!$L$3:$L$5001,"&lt;&gt;")=0,"",SUMIFS(BD!$L$3:$L$5001,BD!$B$3:$B$5001,H$184,BD!$A$3:$A$5001,_xlfn.MAXIFS(BD!$A$3:$A$5001,BD!$B$3:$B$5001,H$184,BD!$A$3:$A$5001,"&gt;="&amp;$C$7,BD!$A$3:$A$5001,"&lt;="&amp;$B197,BD!$L$3:$L$5001,"&lt;&gt;"))))</f>
        <v/>
      </c>
      <c r="I197" s="43" t="str">
        <f>IF(OR($B197="",$A197&gt;$B$9,I$184=""),"",IF(COUNTIFS(BD!$B$3:$B$5001,I$184,BD!$A$3:$A$5001,"&gt;="&amp;$C$7,BD!$A$3:$A$5001,"&lt;="&amp;$B197,BD!$L$3:$L$5001,"&lt;&gt;")=0,"",SUMIFS(BD!$L$3:$L$5001,BD!$B$3:$B$5001,I$184,BD!$A$3:$A$5001,_xlfn.MAXIFS(BD!$A$3:$A$5001,BD!$B$3:$B$5001,I$184,BD!$A$3:$A$5001,"&gt;="&amp;$C$7,BD!$A$3:$A$5001,"&lt;="&amp;$B197,BD!$L$3:$L$5001,"&lt;&gt;"))))</f>
        <v/>
      </c>
      <c r="J197" s="43" t="str">
        <f>IF(OR($B197="",$A197&gt;$B$9,J$184=""),"",IF(COUNTIFS(BD!$B$3:$B$5001,J$184,BD!$A$3:$A$5001,"&gt;="&amp;$C$7,BD!$A$3:$A$5001,"&lt;="&amp;$B197,BD!$L$3:$L$5001,"&lt;&gt;")=0,"",SUMIFS(BD!$L$3:$L$5001,BD!$B$3:$B$5001,J$184,BD!$A$3:$A$5001,_xlfn.MAXIFS(BD!$A$3:$A$5001,BD!$B$3:$B$5001,J$184,BD!$A$3:$A$5001,"&gt;="&amp;$C$7,BD!$A$3:$A$5001,"&lt;="&amp;$B197,BD!$L$3:$L$5001,"&lt;&gt;"))))</f>
        <v/>
      </c>
      <c r="K197" s="43" t="str">
        <f>IF(OR($B197="",$A197&gt;$B$9,K$184=""),"",IF(COUNTIFS(BD!$B$3:$B$5001,K$184,BD!$A$3:$A$5001,"&gt;="&amp;$C$7,BD!$A$3:$A$5001,"&lt;="&amp;$B197,BD!$L$3:$L$5001,"&lt;&gt;")=0,"",SUMIFS(BD!$L$3:$L$5001,BD!$B$3:$B$5001,K$184,BD!$A$3:$A$5001,_xlfn.MAXIFS(BD!$A$3:$A$5001,BD!$B$3:$B$5001,K$184,BD!$A$3:$A$5001,"&gt;="&amp;$C$7,BD!$A$3:$A$5001,"&lt;="&amp;$B197,BD!$L$3:$L$5001,"&lt;&gt;"))))</f>
        <v/>
      </c>
      <c r="L197" s="43" t="str">
        <f>IF(OR($B197="",$A197&gt;$B$9,L$184=""),"",IF(COUNTIFS(BD!$B$3:$B$5001,L$184,BD!$A$3:$A$5001,"&gt;="&amp;$C$7,BD!$A$3:$A$5001,"&lt;="&amp;$B197,BD!$L$3:$L$5001,"&lt;&gt;")=0,"",SUMIFS(BD!$L$3:$L$5001,BD!$B$3:$B$5001,L$184,BD!$A$3:$A$5001,_xlfn.MAXIFS(BD!$A$3:$A$5001,BD!$B$3:$B$5001,L$184,BD!$A$3:$A$5001,"&gt;="&amp;$C$7,BD!$A$3:$A$5001,"&lt;="&amp;$B197,BD!$L$3:$L$5001,"&lt;&gt;"))))</f>
        <v/>
      </c>
      <c r="M197" s="43" t="str">
        <f>IF(OR($B197="",$A197&gt;$B$9,M$184=""),"",IF(COUNTIFS(BD!$B$3:$B$5001,M$184,BD!$A$3:$A$5001,"&gt;="&amp;$C$7,BD!$A$3:$A$5001,"&lt;="&amp;$B197,BD!$L$3:$L$5001,"&lt;&gt;")=0,"",SUMIFS(BD!$L$3:$L$5001,BD!$B$3:$B$5001,M$184,BD!$A$3:$A$5001,_xlfn.MAXIFS(BD!$A$3:$A$5001,BD!$B$3:$B$5001,M$184,BD!$A$3:$A$5001,"&gt;="&amp;$C$7,BD!$A$3:$A$5001,"&lt;="&amp;$B197,BD!$L$3:$L$5001,"&lt;&gt;"))))</f>
        <v/>
      </c>
      <c r="N197" s="43" t="str">
        <f>IF(OR($B197="",$A197&gt;$B$9,N$184=""),"",IF(COUNTIFS(BD!$B$3:$B$5001,N$184,BD!$A$3:$A$5001,"&gt;="&amp;$C$7,BD!$A$3:$A$5001,"&lt;="&amp;$B197,BD!$L$3:$L$5001,"&lt;&gt;")=0,"",SUMIFS(BD!$L$3:$L$5001,BD!$B$3:$B$5001,N$184,BD!$A$3:$A$5001,_xlfn.MAXIFS(BD!$A$3:$A$5001,BD!$B$3:$B$5001,N$184,BD!$A$3:$A$5001,"&gt;="&amp;$C$7,BD!$A$3:$A$5001,"&lt;="&amp;$B197,BD!$L$3:$L$5001,"&lt;&gt;"))))</f>
        <v/>
      </c>
      <c r="O197" s="43" t="str">
        <f>IF(OR($B197="",$A197&gt;$B$9,O$184=""),"",IF(COUNTIFS(BD!$B$3:$B$5001,O$184,BD!$A$3:$A$5001,"&gt;="&amp;$C$7,BD!$A$3:$A$5001,"&lt;="&amp;$B197,BD!$L$3:$L$5001,"&lt;&gt;")=0,"",SUMIFS(BD!$L$3:$L$5001,BD!$B$3:$B$5001,O$184,BD!$A$3:$A$5001,_xlfn.MAXIFS(BD!$A$3:$A$5001,BD!$B$3:$B$5001,O$184,BD!$A$3:$A$5001,"&gt;="&amp;$C$7,BD!$A$3:$A$5001,"&lt;="&amp;$B197,BD!$L$3:$L$5001,"&lt;&gt;"))))</f>
        <v/>
      </c>
      <c r="P197" s="43" t="str">
        <f>IF(OR($B197="",$A197&gt;$B$9,P$184=""),"",IF(COUNTIFS(BD!$B$3:$B$5001,P$184,BD!$A$3:$A$5001,"&gt;="&amp;$C$7,BD!$A$3:$A$5001,"&lt;="&amp;$B197,BD!$L$3:$L$5001,"&lt;&gt;")=0,"",SUMIFS(BD!$L$3:$L$5001,BD!$B$3:$B$5001,P$184,BD!$A$3:$A$5001,_xlfn.MAXIFS(BD!$A$3:$A$5001,BD!$B$3:$B$5001,P$184,BD!$A$3:$A$5001,"&gt;="&amp;$C$7,BD!$A$3:$A$5001,"&lt;="&amp;$B197,BD!$L$3:$L$5001,"&lt;&gt;"))))</f>
        <v/>
      </c>
      <c r="Q197" s="43" t="str">
        <f>IF(OR($B197="",$A197&gt;$B$9,Q$184=""),"",IF(COUNTIFS(BD!$B$3:$B$5001,Q$184,BD!$A$3:$A$5001,"&gt;="&amp;$C$7,BD!$A$3:$A$5001,"&lt;="&amp;$B197,BD!$L$3:$L$5001,"&lt;&gt;")=0,"",SUMIFS(BD!$L$3:$L$5001,BD!$B$3:$B$5001,Q$184,BD!$A$3:$A$5001,_xlfn.MAXIFS(BD!$A$3:$A$5001,BD!$B$3:$B$5001,Q$184,BD!$A$3:$A$5001,"&gt;="&amp;$C$7,BD!$A$3:$A$5001,"&lt;="&amp;$B197,BD!$L$3:$L$5001,"&lt;&gt;"))))</f>
        <v/>
      </c>
      <c r="R197" s="43" t="str">
        <f>IF(OR($B197="",$A197&gt;$B$9,R$184=""),"",IF(COUNTIFS(BD!$B$3:$B$5001,R$184,BD!$A$3:$A$5001,"&gt;="&amp;$C$7,BD!$A$3:$A$5001,"&lt;="&amp;$B197,BD!$L$3:$L$5001,"&lt;&gt;")=0,"",SUMIFS(BD!$L$3:$L$5001,BD!$B$3:$B$5001,R$184,BD!$A$3:$A$5001,_xlfn.MAXIFS(BD!$A$3:$A$5001,BD!$B$3:$B$5001,R$184,BD!$A$3:$A$5001,"&gt;="&amp;$C$7,BD!$A$3:$A$5001,"&lt;="&amp;$B197,BD!$L$3:$L$5001,"&lt;&gt;"))))</f>
        <v/>
      </c>
      <c r="S197" s="43" t="str">
        <f>IF(OR($B197="",$A197&gt;$B$9,S$184=""),"",IF(COUNTIFS(BD!$B$3:$B$5001,S$184,BD!$A$3:$A$5001,"&gt;="&amp;$C$7,BD!$A$3:$A$5001,"&lt;="&amp;$B197,BD!$L$3:$L$5001,"&lt;&gt;")=0,"",SUMIFS(BD!$L$3:$L$5001,BD!$B$3:$B$5001,S$184,BD!$A$3:$A$5001,_xlfn.MAXIFS(BD!$A$3:$A$5001,BD!$B$3:$B$5001,S$184,BD!$A$3:$A$5001,"&gt;="&amp;$C$7,BD!$A$3:$A$5001,"&lt;="&amp;$B197,BD!$L$3:$L$5001,"&lt;&gt;"))))</f>
        <v/>
      </c>
      <c r="T197" s="43" t="str">
        <f>IF(OR($B197="",$A197&gt;$B$9,T$184=""),"",IF(COUNTIFS(BD!$B$3:$B$5001,T$184,BD!$A$3:$A$5001,"&gt;="&amp;$C$7,BD!$A$3:$A$5001,"&lt;="&amp;$B197,BD!$L$3:$L$5001,"&lt;&gt;")=0,"",SUMIFS(BD!$L$3:$L$5001,BD!$B$3:$B$5001,T$184,BD!$A$3:$A$5001,_xlfn.MAXIFS(BD!$A$3:$A$5001,BD!$B$3:$B$5001,T$184,BD!$A$3:$A$5001,"&gt;="&amp;$C$7,BD!$A$3:$A$5001,"&lt;="&amp;$B197,BD!$L$3:$L$5001,"&lt;&gt;"))))</f>
        <v/>
      </c>
      <c r="U197" s="43" t="str">
        <f>IF(OR($B197="",$A197&gt;$B$9,U$184=""),"",IF(COUNTIFS(BD!$B$3:$B$5001,U$184,BD!$A$3:$A$5001,"&gt;="&amp;$C$7,BD!$A$3:$A$5001,"&lt;="&amp;$B197,BD!$L$3:$L$5001,"&lt;&gt;")=0,"",SUMIFS(BD!$L$3:$L$5001,BD!$B$3:$B$5001,U$184,BD!$A$3:$A$5001,_xlfn.MAXIFS(BD!$A$3:$A$5001,BD!$B$3:$B$5001,U$184,BD!$A$3:$A$5001,"&gt;="&amp;$C$7,BD!$A$3:$A$5001,"&lt;="&amp;$B197,BD!$L$3:$L$5001,"&lt;&gt;"))))</f>
        <v/>
      </c>
      <c r="V197" s="43" t="str">
        <f>IF(OR($B197="",$A197&gt;$B$9,V$184=""),"",IF(COUNTIFS(BD!$B$3:$B$5001,V$184,BD!$A$3:$A$5001,"&gt;="&amp;$C$7,BD!$A$3:$A$5001,"&lt;="&amp;$B197,BD!$L$3:$L$5001,"&lt;&gt;")=0,"",SUMIFS(BD!$L$3:$L$5001,BD!$B$3:$B$5001,V$184,BD!$A$3:$A$5001,_xlfn.MAXIFS(BD!$A$3:$A$5001,BD!$B$3:$B$5001,V$184,BD!$A$3:$A$5001,"&gt;="&amp;$C$7,BD!$A$3:$A$5001,"&lt;="&amp;$B197,BD!$L$3:$L$5001,"&lt;&gt;"))))</f>
        <v/>
      </c>
    </row>
    <row r="198">
      <c r="A198" s="38">
        <v>14</v>
      </c>
      <c r="B198" s="42">
        <f>$B$25</f>
        <v>46309</v>
      </c>
      <c r="C198" s="43" t="str">
        <f>IF(OR($B198="",$A198&gt;$B$9,C$184=""),"",IF(COUNTIFS(BD!$B$3:$B$5001,C$184,BD!$A$3:$A$5001,"&gt;="&amp;$C$7,BD!$A$3:$A$5001,"&lt;="&amp;$B198,BD!$L$3:$L$5001,"&lt;&gt;")=0,"",SUMIFS(BD!$L$3:$L$5001,BD!$B$3:$B$5001,C$184,BD!$A$3:$A$5001,_xlfn.MAXIFS(BD!$A$3:$A$5001,BD!$B$3:$B$5001,C$184,BD!$A$3:$A$5001,"&gt;="&amp;$C$7,BD!$A$3:$A$5001,"&lt;="&amp;$B198,BD!$L$3:$L$5001,"&lt;&gt;"))))</f>
        <v/>
      </c>
      <c r="D198" s="43" t="str">
        <f>IF(OR($B198="",$A198&gt;$B$9,D$184=""),"",IF(COUNTIFS(BD!$B$3:$B$5001,D$184,BD!$A$3:$A$5001,"&gt;="&amp;$C$7,BD!$A$3:$A$5001,"&lt;="&amp;$B198,BD!$L$3:$L$5001,"&lt;&gt;")=0,"",SUMIFS(BD!$L$3:$L$5001,BD!$B$3:$B$5001,D$184,BD!$A$3:$A$5001,_xlfn.MAXIFS(BD!$A$3:$A$5001,BD!$B$3:$B$5001,D$184,BD!$A$3:$A$5001,"&gt;="&amp;$C$7,BD!$A$3:$A$5001,"&lt;="&amp;$B198,BD!$L$3:$L$5001,"&lt;&gt;"))))</f>
        <v/>
      </c>
      <c r="E198" s="43" t="str">
        <f>IF(OR($B198="",$A198&gt;$B$9,E$184=""),"",IF(COUNTIFS(BD!$B$3:$B$5001,E$184,BD!$A$3:$A$5001,"&gt;="&amp;$C$7,BD!$A$3:$A$5001,"&lt;="&amp;$B198,BD!$L$3:$L$5001,"&lt;&gt;")=0,"",SUMIFS(BD!$L$3:$L$5001,BD!$B$3:$B$5001,E$184,BD!$A$3:$A$5001,_xlfn.MAXIFS(BD!$A$3:$A$5001,BD!$B$3:$B$5001,E$184,BD!$A$3:$A$5001,"&gt;="&amp;$C$7,BD!$A$3:$A$5001,"&lt;="&amp;$B198,BD!$L$3:$L$5001,"&lt;&gt;"))))</f>
        <v/>
      </c>
      <c r="F198" s="43" t="str">
        <f>IF(OR($B198="",$A198&gt;$B$9,F$184=""),"",IF(COUNTIFS(BD!$B$3:$B$5001,F$184,BD!$A$3:$A$5001,"&gt;="&amp;$C$7,BD!$A$3:$A$5001,"&lt;="&amp;$B198,BD!$L$3:$L$5001,"&lt;&gt;")=0,"",SUMIFS(BD!$L$3:$L$5001,BD!$B$3:$B$5001,F$184,BD!$A$3:$A$5001,_xlfn.MAXIFS(BD!$A$3:$A$5001,BD!$B$3:$B$5001,F$184,BD!$A$3:$A$5001,"&gt;="&amp;$C$7,BD!$A$3:$A$5001,"&lt;="&amp;$B198,BD!$L$3:$L$5001,"&lt;&gt;"))))</f>
        <v/>
      </c>
      <c r="G198" s="43" t="str">
        <f>IF(OR($B198="",$A198&gt;$B$9,G$184=""),"",IF(COUNTIFS(BD!$B$3:$B$5001,G$184,BD!$A$3:$A$5001,"&gt;="&amp;$C$7,BD!$A$3:$A$5001,"&lt;="&amp;$B198,BD!$L$3:$L$5001,"&lt;&gt;")=0,"",SUMIFS(BD!$L$3:$L$5001,BD!$B$3:$B$5001,G$184,BD!$A$3:$A$5001,_xlfn.MAXIFS(BD!$A$3:$A$5001,BD!$B$3:$B$5001,G$184,BD!$A$3:$A$5001,"&gt;="&amp;$C$7,BD!$A$3:$A$5001,"&lt;="&amp;$B198,BD!$L$3:$L$5001,"&lt;&gt;"))))</f>
        <v/>
      </c>
      <c r="H198" s="43" t="str">
        <f>IF(OR($B198="",$A198&gt;$B$9,H$184=""),"",IF(COUNTIFS(BD!$B$3:$B$5001,H$184,BD!$A$3:$A$5001,"&gt;="&amp;$C$7,BD!$A$3:$A$5001,"&lt;="&amp;$B198,BD!$L$3:$L$5001,"&lt;&gt;")=0,"",SUMIFS(BD!$L$3:$L$5001,BD!$B$3:$B$5001,H$184,BD!$A$3:$A$5001,_xlfn.MAXIFS(BD!$A$3:$A$5001,BD!$B$3:$B$5001,H$184,BD!$A$3:$A$5001,"&gt;="&amp;$C$7,BD!$A$3:$A$5001,"&lt;="&amp;$B198,BD!$L$3:$L$5001,"&lt;&gt;"))))</f>
        <v/>
      </c>
      <c r="I198" s="43" t="str">
        <f>IF(OR($B198="",$A198&gt;$B$9,I$184=""),"",IF(COUNTIFS(BD!$B$3:$B$5001,I$184,BD!$A$3:$A$5001,"&gt;="&amp;$C$7,BD!$A$3:$A$5001,"&lt;="&amp;$B198,BD!$L$3:$L$5001,"&lt;&gt;")=0,"",SUMIFS(BD!$L$3:$L$5001,BD!$B$3:$B$5001,I$184,BD!$A$3:$A$5001,_xlfn.MAXIFS(BD!$A$3:$A$5001,BD!$B$3:$B$5001,I$184,BD!$A$3:$A$5001,"&gt;="&amp;$C$7,BD!$A$3:$A$5001,"&lt;="&amp;$B198,BD!$L$3:$L$5001,"&lt;&gt;"))))</f>
        <v/>
      </c>
      <c r="J198" s="43" t="str">
        <f>IF(OR($B198="",$A198&gt;$B$9,J$184=""),"",IF(COUNTIFS(BD!$B$3:$B$5001,J$184,BD!$A$3:$A$5001,"&gt;="&amp;$C$7,BD!$A$3:$A$5001,"&lt;="&amp;$B198,BD!$L$3:$L$5001,"&lt;&gt;")=0,"",SUMIFS(BD!$L$3:$L$5001,BD!$B$3:$B$5001,J$184,BD!$A$3:$A$5001,_xlfn.MAXIFS(BD!$A$3:$A$5001,BD!$B$3:$B$5001,J$184,BD!$A$3:$A$5001,"&gt;="&amp;$C$7,BD!$A$3:$A$5001,"&lt;="&amp;$B198,BD!$L$3:$L$5001,"&lt;&gt;"))))</f>
        <v/>
      </c>
      <c r="K198" s="43" t="str">
        <f>IF(OR($B198="",$A198&gt;$B$9,K$184=""),"",IF(COUNTIFS(BD!$B$3:$B$5001,K$184,BD!$A$3:$A$5001,"&gt;="&amp;$C$7,BD!$A$3:$A$5001,"&lt;="&amp;$B198,BD!$L$3:$L$5001,"&lt;&gt;")=0,"",SUMIFS(BD!$L$3:$L$5001,BD!$B$3:$B$5001,K$184,BD!$A$3:$A$5001,_xlfn.MAXIFS(BD!$A$3:$A$5001,BD!$B$3:$B$5001,K$184,BD!$A$3:$A$5001,"&gt;="&amp;$C$7,BD!$A$3:$A$5001,"&lt;="&amp;$B198,BD!$L$3:$L$5001,"&lt;&gt;"))))</f>
        <v/>
      </c>
      <c r="L198" s="43" t="str">
        <f>IF(OR($B198="",$A198&gt;$B$9,L$184=""),"",IF(COUNTIFS(BD!$B$3:$B$5001,L$184,BD!$A$3:$A$5001,"&gt;="&amp;$C$7,BD!$A$3:$A$5001,"&lt;="&amp;$B198,BD!$L$3:$L$5001,"&lt;&gt;")=0,"",SUMIFS(BD!$L$3:$L$5001,BD!$B$3:$B$5001,L$184,BD!$A$3:$A$5001,_xlfn.MAXIFS(BD!$A$3:$A$5001,BD!$B$3:$B$5001,L$184,BD!$A$3:$A$5001,"&gt;="&amp;$C$7,BD!$A$3:$A$5001,"&lt;="&amp;$B198,BD!$L$3:$L$5001,"&lt;&gt;"))))</f>
        <v/>
      </c>
      <c r="M198" s="43" t="str">
        <f>IF(OR($B198="",$A198&gt;$B$9,M$184=""),"",IF(COUNTIFS(BD!$B$3:$B$5001,M$184,BD!$A$3:$A$5001,"&gt;="&amp;$C$7,BD!$A$3:$A$5001,"&lt;="&amp;$B198,BD!$L$3:$L$5001,"&lt;&gt;")=0,"",SUMIFS(BD!$L$3:$L$5001,BD!$B$3:$B$5001,M$184,BD!$A$3:$A$5001,_xlfn.MAXIFS(BD!$A$3:$A$5001,BD!$B$3:$B$5001,M$184,BD!$A$3:$A$5001,"&gt;="&amp;$C$7,BD!$A$3:$A$5001,"&lt;="&amp;$B198,BD!$L$3:$L$5001,"&lt;&gt;"))))</f>
        <v/>
      </c>
      <c r="N198" s="43" t="str">
        <f>IF(OR($B198="",$A198&gt;$B$9,N$184=""),"",IF(COUNTIFS(BD!$B$3:$B$5001,N$184,BD!$A$3:$A$5001,"&gt;="&amp;$C$7,BD!$A$3:$A$5001,"&lt;="&amp;$B198,BD!$L$3:$L$5001,"&lt;&gt;")=0,"",SUMIFS(BD!$L$3:$L$5001,BD!$B$3:$B$5001,N$184,BD!$A$3:$A$5001,_xlfn.MAXIFS(BD!$A$3:$A$5001,BD!$B$3:$B$5001,N$184,BD!$A$3:$A$5001,"&gt;="&amp;$C$7,BD!$A$3:$A$5001,"&lt;="&amp;$B198,BD!$L$3:$L$5001,"&lt;&gt;"))))</f>
        <v/>
      </c>
      <c r="O198" s="43" t="str">
        <f>IF(OR($B198="",$A198&gt;$B$9,O$184=""),"",IF(COUNTIFS(BD!$B$3:$B$5001,O$184,BD!$A$3:$A$5001,"&gt;="&amp;$C$7,BD!$A$3:$A$5001,"&lt;="&amp;$B198,BD!$L$3:$L$5001,"&lt;&gt;")=0,"",SUMIFS(BD!$L$3:$L$5001,BD!$B$3:$B$5001,O$184,BD!$A$3:$A$5001,_xlfn.MAXIFS(BD!$A$3:$A$5001,BD!$B$3:$B$5001,O$184,BD!$A$3:$A$5001,"&gt;="&amp;$C$7,BD!$A$3:$A$5001,"&lt;="&amp;$B198,BD!$L$3:$L$5001,"&lt;&gt;"))))</f>
        <v/>
      </c>
      <c r="P198" s="43" t="str">
        <f>IF(OR($B198="",$A198&gt;$B$9,P$184=""),"",IF(COUNTIFS(BD!$B$3:$B$5001,P$184,BD!$A$3:$A$5001,"&gt;="&amp;$C$7,BD!$A$3:$A$5001,"&lt;="&amp;$B198,BD!$L$3:$L$5001,"&lt;&gt;")=0,"",SUMIFS(BD!$L$3:$L$5001,BD!$B$3:$B$5001,P$184,BD!$A$3:$A$5001,_xlfn.MAXIFS(BD!$A$3:$A$5001,BD!$B$3:$B$5001,P$184,BD!$A$3:$A$5001,"&gt;="&amp;$C$7,BD!$A$3:$A$5001,"&lt;="&amp;$B198,BD!$L$3:$L$5001,"&lt;&gt;"))))</f>
        <v/>
      </c>
      <c r="Q198" s="43" t="str">
        <f>IF(OR($B198="",$A198&gt;$B$9,Q$184=""),"",IF(COUNTIFS(BD!$B$3:$B$5001,Q$184,BD!$A$3:$A$5001,"&gt;="&amp;$C$7,BD!$A$3:$A$5001,"&lt;="&amp;$B198,BD!$L$3:$L$5001,"&lt;&gt;")=0,"",SUMIFS(BD!$L$3:$L$5001,BD!$B$3:$B$5001,Q$184,BD!$A$3:$A$5001,_xlfn.MAXIFS(BD!$A$3:$A$5001,BD!$B$3:$B$5001,Q$184,BD!$A$3:$A$5001,"&gt;="&amp;$C$7,BD!$A$3:$A$5001,"&lt;="&amp;$B198,BD!$L$3:$L$5001,"&lt;&gt;"))))</f>
        <v/>
      </c>
      <c r="R198" s="43" t="str">
        <f>IF(OR($B198="",$A198&gt;$B$9,R$184=""),"",IF(COUNTIFS(BD!$B$3:$B$5001,R$184,BD!$A$3:$A$5001,"&gt;="&amp;$C$7,BD!$A$3:$A$5001,"&lt;="&amp;$B198,BD!$L$3:$L$5001,"&lt;&gt;")=0,"",SUMIFS(BD!$L$3:$L$5001,BD!$B$3:$B$5001,R$184,BD!$A$3:$A$5001,_xlfn.MAXIFS(BD!$A$3:$A$5001,BD!$B$3:$B$5001,R$184,BD!$A$3:$A$5001,"&gt;="&amp;$C$7,BD!$A$3:$A$5001,"&lt;="&amp;$B198,BD!$L$3:$L$5001,"&lt;&gt;"))))</f>
        <v/>
      </c>
      <c r="S198" s="43" t="str">
        <f>IF(OR($B198="",$A198&gt;$B$9,S$184=""),"",IF(COUNTIFS(BD!$B$3:$B$5001,S$184,BD!$A$3:$A$5001,"&gt;="&amp;$C$7,BD!$A$3:$A$5001,"&lt;="&amp;$B198,BD!$L$3:$L$5001,"&lt;&gt;")=0,"",SUMIFS(BD!$L$3:$L$5001,BD!$B$3:$B$5001,S$184,BD!$A$3:$A$5001,_xlfn.MAXIFS(BD!$A$3:$A$5001,BD!$B$3:$B$5001,S$184,BD!$A$3:$A$5001,"&gt;="&amp;$C$7,BD!$A$3:$A$5001,"&lt;="&amp;$B198,BD!$L$3:$L$5001,"&lt;&gt;"))))</f>
        <v/>
      </c>
      <c r="T198" s="43" t="str">
        <f>IF(OR($B198="",$A198&gt;$B$9,T$184=""),"",IF(COUNTIFS(BD!$B$3:$B$5001,T$184,BD!$A$3:$A$5001,"&gt;="&amp;$C$7,BD!$A$3:$A$5001,"&lt;="&amp;$B198,BD!$L$3:$L$5001,"&lt;&gt;")=0,"",SUMIFS(BD!$L$3:$L$5001,BD!$B$3:$B$5001,T$184,BD!$A$3:$A$5001,_xlfn.MAXIFS(BD!$A$3:$A$5001,BD!$B$3:$B$5001,T$184,BD!$A$3:$A$5001,"&gt;="&amp;$C$7,BD!$A$3:$A$5001,"&lt;="&amp;$B198,BD!$L$3:$L$5001,"&lt;&gt;"))))</f>
        <v/>
      </c>
      <c r="U198" s="43" t="str">
        <f>IF(OR($B198="",$A198&gt;$B$9,U$184=""),"",IF(COUNTIFS(BD!$B$3:$B$5001,U$184,BD!$A$3:$A$5001,"&gt;="&amp;$C$7,BD!$A$3:$A$5001,"&lt;="&amp;$B198,BD!$L$3:$L$5001,"&lt;&gt;")=0,"",SUMIFS(BD!$L$3:$L$5001,BD!$B$3:$B$5001,U$184,BD!$A$3:$A$5001,_xlfn.MAXIFS(BD!$A$3:$A$5001,BD!$B$3:$B$5001,U$184,BD!$A$3:$A$5001,"&gt;="&amp;$C$7,BD!$A$3:$A$5001,"&lt;="&amp;$B198,BD!$L$3:$L$5001,"&lt;&gt;"))))</f>
        <v/>
      </c>
      <c r="V198" s="43" t="str">
        <f>IF(OR($B198="",$A198&gt;$B$9,V$184=""),"",IF(COUNTIFS(BD!$B$3:$B$5001,V$184,BD!$A$3:$A$5001,"&gt;="&amp;$C$7,BD!$A$3:$A$5001,"&lt;="&amp;$B198,BD!$L$3:$L$5001,"&lt;&gt;")=0,"",SUMIFS(BD!$L$3:$L$5001,BD!$B$3:$B$5001,V$184,BD!$A$3:$A$5001,_xlfn.MAXIFS(BD!$A$3:$A$5001,BD!$B$3:$B$5001,V$184,BD!$A$3:$A$5001,"&gt;="&amp;$C$7,BD!$A$3:$A$5001,"&lt;="&amp;$B198,BD!$L$3:$L$5001,"&lt;&gt;"))))</f>
        <v/>
      </c>
    </row>
    <row r="199">
      <c r="A199" s="38">
        <v>15</v>
      </c>
      <c r="B199" s="42">
        <f>$B$26</f>
        <v>46310</v>
      </c>
      <c r="C199" s="43" t="str">
        <f>IF(OR($B199="",$A199&gt;$B$9,C$184=""),"",IF(COUNTIFS(BD!$B$3:$B$5001,C$184,BD!$A$3:$A$5001,"&gt;="&amp;$C$7,BD!$A$3:$A$5001,"&lt;="&amp;$B199,BD!$L$3:$L$5001,"&lt;&gt;")=0,"",SUMIFS(BD!$L$3:$L$5001,BD!$B$3:$B$5001,C$184,BD!$A$3:$A$5001,_xlfn.MAXIFS(BD!$A$3:$A$5001,BD!$B$3:$B$5001,C$184,BD!$A$3:$A$5001,"&gt;="&amp;$C$7,BD!$A$3:$A$5001,"&lt;="&amp;$B199,BD!$L$3:$L$5001,"&lt;&gt;"))))</f>
        <v/>
      </c>
      <c r="D199" s="43" t="str">
        <f>IF(OR($B199="",$A199&gt;$B$9,D$184=""),"",IF(COUNTIFS(BD!$B$3:$B$5001,D$184,BD!$A$3:$A$5001,"&gt;="&amp;$C$7,BD!$A$3:$A$5001,"&lt;="&amp;$B199,BD!$L$3:$L$5001,"&lt;&gt;")=0,"",SUMIFS(BD!$L$3:$L$5001,BD!$B$3:$B$5001,D$184,BD!$A$3:$A$5001,_xlfn.MAXIFS(BD!$A$3:$A$5001,BD!$B$3:$B$5001,D$184,BD!$A$3:$A$5001,"&gt;="&amp;$C$7,BD!$A$3:$A$5001,"&lt;="&amp;$B199,BD!$L$3:$L$5001,"&lt;&gt;"))))</f>
        <v/>
      </c>
      <c r="E199" s="43" t="str">
        <f>IF(OR($B199="",$A199&gt;$B$9,E$184=""),"",IF(COUNTIFS(BD!$B$3:$B$5001,E$184,BD!$A$3:$A$5001,"&gt;="&amp;$C$7,BD!$A$3:$A$5001,"&lt;="&amp;$B199,BD!$L$3:$L$5001,"&lt;&gt;")=0,"",SUMIFS(BD!$L$3:$L$5001,BD!$B$3:$B$5001,E$184,BD!$A$3:$A$5001,_xlfn.MAXIFS(BD!$A$3:$A$5001,BD!$B$3:$B$5001,E$184,BD!$A$3:$A$5001,"&gt;="&amp;$C$7,BD!$A$3:$A$5001,"&lt;="&amp;$B199,BD!$L$3:$L$5001,"&lt;&gt;"))))</f>
        <v/>
      </c>
      <c r="F199" s="43" t="str">
        <f>IF(OR($B199="",$A199&gt;$B$9,F$184=""),"",IF(COUNTIFS(BD!$B$3:$B$5001,F$184,BD!$A$3:$A$5001,"&gt;="&amp;$C$7,BD!$A$3:$A$5001,"&lt;="&amp;$B199,BD!$L$3:$L$5001,"&lt;&gt;")=0,"",SUMIFS(BD!$L$3:$L$5001,BD!$B$3:$B$5001,F$184,BD!$A$3:$A$5001,_xlfn.MAXIFS(BD!$A$3:$A$5001,BD!$B$3:$B$5001,F$184,BD!$A$3:$A$5001,"&gt;="&amp;$C$7,BD!$A$3:$A$5001,"&lt;="&amp;$B199,BD!$L$3:$L$5001,"&lt;&gt;"))))</f>
        <v/>
      </c>
      <c r="G199" s="43" t="str">
        <f>IF(OR($B199="",$A199&gt;$B$9,G$184=""),"",IF(COUNTIFS(BD!$B$3:$B$5001,G$184,BD!$A$3:$A$5001,"&gt;="&amp;$C$7,BD!$A$3:$A$5001,"&lt;="&amp;$B199,BD!$L$3:$L$5001,"&lt;&gt;")=0,"",SUMIFS(BD!$L$3:$L$5001,BD!$B$3:$B$5001,G$184,BD!$A$3:$A$5001,_xlfn.MAXIFS(BD!$A$3:$A$5001,BD!$B$3:$B$5001,G$184,BD!$A$3:$A$5001,"&gt;="&amp;$C$7,BD!$A$3:$A$5001,"&lt;="&amp;$B199,BD!$L$3:$L$5001,"&lt;&gt;"))))</f>
        <v/>
      </c>
      <c r="H199" s="43" t="str">
        <f>IF(OR($B199="",$A199&gt;$B$9,H$184=""),"",IF(COUNTIFS(BD!$B$3:$B$5001,H$184,BD!$A$3:$A$5001,"&gt;="&amp;$C$7,BD!$A$3:$A$5001,"&lt;="&amp;$B199,BD!$L$3:$L$5001,"&lt;&gt;")=0,"",SUMIFS(BD!$L$3:$L$5001,BD!$B$3:$B$5001,H$184,BD!$A$3:$A$5001,_xlfn.MAXIFS(BD!$A$3:$A$5001,BD!$B$3:$B$5001,H$184,BD!$A$3:$A$5001,"&gt;="&amp;$C$7,BD!$A$3:$A$5001,"&lt;="&amp;$B199,BD!$L$3:$L$5001,"&lt;&gt;"))))</f>
        <v/>
      </c>
      <c r="I199" s="43" t="str">
        <f>IF(OR($B199="",$A199&gt;$B$9,I$184=""),"",IF(COUNTIFS(BD!$B$3:$B$5001,I$184,BD!$A$3:$A$5001,"&gt;="&amp;$C$7,BD!$A$3:$A$5001,"&lt;="&amp;$B199,BD!$L$3:$L$5001,"&lt;&gt;")=0,"",SUMIFS(BD!$L$3:$L$5001,BD!$B$3:$B$5001,I$184,BD!$A$3:$A$5001,_xlfn.MAXIFS(BD!$A$3:$A$5001,BD!$B$3:$B$5001,I$184,BD!$A$3:$A$5001,"&gt;="&amp;$C$7,BD!$A$3:$A$5001,"&lt;="&amp;$B199,BD!$L$3:$L$5001,"&lt;&gt;"))))</f>
        <v/>
      </c>
      <c r="J199" s="43" t="str">
        <f>IF(OR($B199="",$A199&gt;$B$9,J$184=""),"",IF(COUNTIFS(BD!$B$3:$B$5001,J$184,BD!$A$3:$A$5001,"&gt;="&amp;$C$7,BD!$A$3:$A$5001,"&lt;="&amp;$B199,BD!$L$3:$L$5001,"&lt;&gt;")=0,"",SUMIFS(BD!$L$3:$L$5001,BD!$B$3:$B$5001,J$184,BD!$A$3:$A$5001,_xlfn.MAXIFS(BD!$A$3:$A$5001,BD!$B$3:$B$5001,J$184,BD!$A$3:$A$5001,"&gt;="&amp;$C$7,BD!$A$3:$A$5001,"&lt;="&amp;$B199,BD!$L$3:$L$5001,"&lt;&gt;"))))</f>
        <v/>
      </c>
      <c r="K199" s="43" t="str">
        <f>IF(OR($B199="",$A199&gt;$B$9,K$184=""),"",IF(COUNTIFS(BD!$B$3:$B$5001,K$184,BD!$A$3:$A$5001,"&gt;="&amp;$C$7,BD!$A$3:$A$5001,"&lt;="&amp;$B199,BD!$L$3:$L$5001,"&lt;&gt;")=0,"",SUMIFS(BD!$L$3:$L$5001,BD!$B$3:$B$5001,K$184,BD!$A$3:$A$5001,_xlfn.MAXIFS(BD!$A$3:$A$5001,BD!$B$3:$B$5001,K$184,BD!$A$3:$A$5001,"&gt;="&amp;$C$7,BD!$A$3:$A$5001,"&lt;="&amp;$B199,BD!$L$3:$L$5001,"&lt;&gt;"))))</f>
        <v/>
      </c>
      <c r="L199" s="43" t="str">
        <f>IF(OR($B199="",$A199&gt;$B$9,L$184=""),"",IF(COUNTIFS(BD!$B$3:$B$5001,L$184,BD!$A$3:$A$5001,"&gt;="&amp;$C$7,BD!$A$3:$A$5001,"&lt;="&amp;$B199,BD!$L$3:$L$5001,"&lt;&gt;")=0,"",SUMIFS(BD!$L$3:$L$5001,BD!$B$3:$B$5001,L$184,BD!$A$3:$A$5001,_xlfn.MAXIFS(BD!$A$3:$A$5001,BD!$B$3:$B$5001,L$184,BD!$A$3:$A$5001,"&gt;="&amp;$C$7,BD!$A$3:$A$5001,"&lt;="&amp;$B199,BD!$L$3:$L$5001,"&lt;&gt;"))))</f>
        <v/>
      </c>
      <c r="M199" s="43" t="str">
        <f>IF(OR($B199="",$A199&gt;$B$9,M$184=""),"",IF(COUNTIFS(BD!$B$3:$B$5001,M$184,BD!$A$3:$A$5001,"&gt;="&amp;$C$7,BD!$A$3:$A$5001,"&lt;="&amp;$B199,BD!$L$3:$L$5001,"&lt;&gt;")=0,"",SUMIFS(BD!$L$3:$L$5001,BD!$B$3:$B$5001,M$184,BD!$A$3:$A$5001,_xlfn.MAXIFS(BD!$A$3:$A$5001,BD!$B$3:$B$5001,M$184,BD!$A$3:$A$5001,"&gt;="&amp;$C$7,BD!$A$3:$A$5001,"&lt;="&amp;$B199,BD!$L$3:$L$5001,"&lt;&gt;"))))</f>
        <v/>
      </c>
      <c r="N199" s="43" t="str">
        <f>IF(OR($B199="",$A199&gt;$B$9,N$184=""),"",IF(COUNTIFS(BD!$B$3:$B$5001,N$184,BD!$A$3:$A$5001,"&gt;="&amp;$C$7,BD!$A$3:$A$5001,"&lt;="&amp;$B199,BD!$L$3:$L$5001,"&lt;&gt;")=0,"",SUMIFS(BD!$L$3:$L$5001,BD!$B$3:$B$5001,N$184,BD!$A$3:$A$5001,_xlfn.MAXIFS(BD!$A$3:$A$5001,BD!$B$3:$B$5001,N$184,BD!$A$3:$A$5001,"&gt;="&amp;$C$7,BD!$A$3:$A$5001,"&lt;="&amp;$B199,BD!$L$3:$L$5001,"&lt;&gt;"))))</f>
        <v/>
      </c>
      <c r="O199" s="43" t="str">
        <f>IF(OR($B199="",$A199&gt;$B$9,O$184=""),"",IF(COUNTIFS(BD!$B$3:$B$5001,O$184,BD!$A$3:$A$5001,"&gt;="&amp;$C$7,BD!$A$3:$A$5001,"&lt;="&amp;$B199,BD!$L$3:$L$5001,"&lt;&gt;")=0,"",SUMIFS(BD!$L$3:$L$5001,BD!$B$3:$B$5001,O$184,BD!$A$3:$A$5001,_xlfn.MAXIFS(BD!$A$3:$A$5001,BD!$B$3:$B$5001,O$184,BD!$A$3:$A$5001,"&gt;="&amp;$C$7,BD!$A$3:$A$5001,"&lt;="&amp;$B199,BD!$L$3:$L$5001,"&lt;&gt;"))))</f>
        <v/>
      </c>
      <c r="P199" s="43" t="str">
        <f>IF(OR($B199="",$A199&gt;$B$9,P$184=""),"",IF(COUNTIFS(BD!$B$3:$B$5001,P$184,BD!$A$3:$A$5001,"&gt;="&amp;$C$7,BD!$A$3:$A$5001,"&lt;="&amp;$B199,BD!$L$3:$L$5001,"&lt;&gt;")=0,"",SUMIFS(BD!$L$3:$L$5001,BD!$B$3:$B$5001,P$184,BD!$A$3:$A$5001,_xlfn.MAXIFS(BD!$A$3:$A$5001,BD!$B$3:$B$5001,P$184,BD!$A$3:$A$5001,"&gt;="&amp;$C$7,BD!$A$3:$A$5001,"&lt;="&amp;$B199,BD!$L$3:$L$5001,"&lt;&gt;"))))</f>
        <v/>
      </c>
      <c r="Q199" s="43" t="str">
        <f>IF(OR($B199="",$A199&gt;$B$9,Q$184=""),"",IF(COUNTIFS(BD!$B$3:$B$5001,Q$184,BD!$A$3:$A$5001,"&gt;="&amp;$C$7,BD!$A$3:$A$5001,"&lt;="&amp;$B199,BD!$L$3:$L$5001,"&lt;&gt;")=0,"",SUMIFS(BD!$L$3:$L$5001,BD!$B$3:$B$5001,Q$184,BD!$A$3:$A$5001,_xlfn.MAXIFS(BD!$A$3:$A$5001,BD!$B$3:$B$5001,Q$184,BD!$A$3:$A$5001,"&gt;="&amp;$C$7,BD!$A$3:$A$5001,"&lt;="&amp;$B199,BD!$L$3:$L$5001,"&lt;&gt;"))))</f>
        <v/>
      </c>
      <c r="R199" s="43" t="str">
        <f>IF(OR($B199="",$A199&gt;$B$9,R$184=""),"",IF(COUNTIFS(BD!$B$3:$B$5001,R$184,BD!$A$3:$A$5001,"&gt;="&amp;$C$7,BD!$A$3:$A$5001,"&lt;="&amp;$B199,BD!$L$3:$L$5001,"&lt;&gt;")=0,"",SUMIFS(BD!$L$3:$L$5001,BD!$B$3:$B$5001,R$184,BD!$A$3:$A$5001,_xlfn.MAXIFS(BD!$A$3:$A$5001,BD!$B$3:$B$5001,R$184,BD!$A$3:$A$5001,"&gt;="&amp;$C$7,BD!$A$3:$A$5001,"&lt;="&amp;$B199,BD!$L$3:$L$5001,"&lt;&gt;"))))</f>
        <v/>
      </c>
      <c r="S199" s="43" t="str">
        <f>IF(OR($B199="",$A199&gt;$B$9,S$184=""),"",IF(COUNTIFS(BD!$B$3:$B$5001,S$184,BD!$A$3:$A$5001,"&gt;="&amp;$C$7,BD!$A$3:$A$5001,"&lt;="&amp;$B199,BD!$L$3:$L$5001,"&lt;&gt;")=0,"",SUMIFS(BD!$L$3:$L$5001,BD!$B$3:$B$5001,S$184,BD!$A$3:$A$5001,_xlfn.MAXIFS(BD!$A$3:$A$5001,BD!$B$3:$B$5001,S$184,BD!$A$3:$A$5001,"&gt;="&amp;$C$7,BD!$A$3:$A$5001,"&lt;="&amp;$B199,BD!$L$3:$L$5001,"&lt;&gt;"))))</f>
        <v/>
      </c>
      <c r="T199" s="43" t="str">
        <f>IF(OR($B199="",$A199&gt;$B$9,T$184=""),"",IF(COUNTIFS(BD!$B$3:$B$5001,T$184,BD!$A$3:$A$5001,"&gt;="&amp;$C$7,BD!$A$3:$A$5001,"&lt;="&amp;$B199,BD!$L$3:$L$5001,"&lt;&gt;")=0,"",SUMIFS(BD!$L$3:$L$5001,BD!$B$3:$B$5001,T$184,BD!$A$3:$A$5001,_xlfn.MAXIFS(BD!$A$3:$A$5001,BD!$B$3:$B$5001,T$184,BD!$A$3:$A$5001,"&gt;="&amp;$C$7,BD!$A$3:$A$5001,"&lt;="&amp;$B199,BD!$L$3:$L$5001,"&lt;&gt;"))))</f>
        <v/>
      </c>
      <c r="U199" s="43" t="str">
        <f>IF(OR($B199="",$A199&gt;$B$9,U$184=""),"",IF(COUNTIFS(BD!$B$3:$B$5001,U$184,BD!$A$3:$A$5001,"&gt;="&amp;$C$7,BD!$A$3:$A$5001,"&lt;="&amp;$B199,BD!$L$3:$L$5001,"&lt;&gt;")=0,"",SUMIFS(BD!$L$3:$L$5001,BD!$B$3:$B$5001,U$184,BD!$A$3:$A$5001,_xlfn.MAXIFS(BD!$A$3:$A$5001,BD!$B$3:$B$5001,U$184,BD!$A$3:$A$5001,"&gt;="&amp;$C$7,BD!$A$3:$A$5001,"&lt;="&amp;$B199,BD!$L$3:$L$5001,"&lt;&gt;"))))</f>
        <v/>
      </c>
      <c r="V199" s="43" t="str">
        <f>IF(OR($B199="",$A199&gt;$B$9,V$184=""),"",IF(COUNTIFS(BD!$B$3:$B$5001,V$184,BD!$A$3:$A$5001,"&gt;="&amp;$C$7,BD!$A$3:$A$5001,"&lt;="&amp;$B199,BD!$L$3:$L$5001,"&lt;&gt;")=0,"",SUMIFS(BD!$L$3:$L$5001,BD!$B$3:$B$5001,V$184,BD!$A$3:$A$5001,_xlfn.MAXIFS(BD!$A$3:$A$5001,BD!$B$3:$B$5001,V$184,BD!$A$3:$A$5001,"&gt;="&amp;$C$7,BD!$A$3:$A$5001,"&lt;="&amp;$B199,BD!$L$3:$L$5001,"&lt;&gt;"))))</f>
        <v/>
      </c>
    </row>
    <row r="200">
      <c r="A200" s="38">
        <v>16</v>
      </c>
      <c r="B200" s="42">
        <f>$B$27</f>
        <v>46311</v>
      </c>
      <c r="C200" s="43" t="str">
        <f>IF(OR($B200="",$A200&gt;$B$9,C$184=""),"",IF(COUNTIFS(BD!$B$3:$B$5001,C$184,BD!$A$3:$A$5001,"&gt;="&amp;$C$7,BD!$A$3:$A$5001,"&lt;="&amp;$B200,BD!$L$3:$L$5001,"&lt;&gt;")=0,"",SUMIFS(BD!$L$3:$L$5001,BD!$B$3:$B$5001,C$184,BD!$A$3:$A$5001,_xlfn.MAXIFS(BD!$A$3:$A$5001,BD!$B$3:$B$5001,C$184,BD!$A$3:$A$5001,"&gt;="&amp;$C$7,BD!$A$3:$A$5001,"&lt;="&amp;$B200,BD!$L$3:$L$5001,"&lt;&gt;"))))</f>
        <v/>
      </c>
      <c r="D200" s="43" t="str">
        <f>IF(OR($B200="",$A200&gt;$B$9,D$184=""),"",IF(COUNTIFS(BD!$B$3:$B$5001,D$184,BD!$A$3:$A$5001,"&gt;="&amp;$C$7,BD!$A$3:$A$5001,"&lt;="&amp;$B200,BD!$L$3:$L$5001,"&lt;&gt;")=0,"",SUMIFS(BD!$L$3:$L$5001,BD!$B$3:$B$5001,D$184,BD!$A$3:$A$5001,_xlfn.MAXIFS(BD!$A$3:$A$5001,BD!$B$3:$B$5001,D$184,BD!$A$3:$A$5001,"&gt;="&amp;$C$7,BD!$A$3:$A$5001,"&lt;="&amp;$B200,BD!$L$3:$L$5001,"&lt;&gt;"))))</f>
        <v/>
      </c>
      <c r="E200" s="43" t="str">
        <f>IF(OR($B200="",$A200&gt;$B$9,E$184=""),"",IF(COUNTIFS(BD!$B$3:$B$5001,E$184,BD!$A$3:$A$5001,"&gt;="&amp;$C$7,BD!$A$3:$A$5001,"&lt;="&amp;$B200,BD!$L$3:$L$5001,"&lt;&gt;")=0,"",SUMIFS(BD!$L$3:$L$5001,BD!$B$3:$B$5001,E$184,BD!$A$3:$A$5001,_xlfn.MAXIFS(BD!$A$3:$A$5001,BD!$B$3:$B$5001,E$184,BD!$A$3:$A$5001,"&gt;="&amp;$C$7,BD!$A$3:$A$5001,"&lt;="&amp;$B200,BD!$L$3:$L$5001,"&lt;&gt;"))))</f>
        <v/>
      </c>
      <c r="F200" s="43" t="str">
        <f>IF(OR($B200="",$A200&gt;$B$9,F$184=""),"",IF(COUNTIFS(BD!$B$3:$B$5001,F$184,BD!$A$3:$A$5001,"&gt;="&amp;$C$7,BD!$A$3:$A$5001,"&lt;="&amp;$B200,BD!$L$3:$L$5001,"&lt;&gt;")=0,"",SUMIFS(BD!$L$3:$L$5001,BD!$B$3:$B$5001,F$184,BD!$A$3:$A$5001,_xlfn.MAXIFS(BD!$A$3:$A$5001,BD!$B$3:$B$5001,F$184,BD!$A$3:$A$5001,"&gt;="&amp;$C$7,BD!$A$3:$A$5001,"&lt;="&amp;$B200,BD!$L$3:$L$5001,"&lt;&gt;"))))</f>
        <v/>
      </c>
      <c r="G200" s="43" t="str">
        <f>IF(OR($B200="",$A200&gt;$B$9,G$184=""),"",IF(COUNTIFS(BD!$B$3:$B$5001,G$184,BD!$A$3:$A$5001,"&gt;="&amp;$C$7,BD!$A$3:$A$5001,"&lt;="&amp;$B200,BD!$L$3:$L$5001,"&lt;&gt;")=0,"",SUMIFS(BD!$L$3:$L$5001,BD!$B$3:$B$5001,G$184,BD!$A$3:$A$5001,_xlfn.MAXIFS(BD!$A$3:$A$5001,BD!$B$3:$B$5001,G$184,BD!$A$3:$A$5001,"&gt;="&amp;$C$7,BD!$A$3:$A$5001,"&lt;="&amp;$B200,BD!$L$3:$L$5001,"&lt;&gt;"))))</f>
        <v/>
      </c>
      <c r="H200" s="43" t="str">
        <f>IF(OR($B200="",$A200&gt;$B$9,H$184=""),"",IF(COUNTIFS(BD!$B$3:$B$5001,H$184,BD!$A$3:$A$5001,"&gt;="&amp;$C$7,BD!$A$3:$A$5001,"&lt;="&amp;$B200,BD!$L$3:$L$5001,"&lt;&gt;")=0,"",SUMIFS(BD!$L$3:$L$5001,BD!$B$3:$B$5001,H$184,BD!$A$3:$A$5001,_xlfn.MAXIFS(BD!$A$3:$A$5001,BD!$B$3:$B$5001,H$184,BD!$A$3:$A$5001,"&gt;="&amp;$C$7,BD!$A$3:$A$5001,"&lt;="&amp;$B200,BD!$L$3:$L$5001,"&lt;&gt;"))))</f>
        <v/>
      </c>
      <c r="I200" s="43" t="str">
        <f>IF(OR($B200="",$A200&gt;$B$9,I$184=""),"",IF(COUNTIFS(BD!$B$3:$B$5001,I$184,BD!$A$3:$A$5001,"&gt;="&amp;$C$7,BD!$A$3:$A$5001,"&lt;="&amp;$B200,BD!$L$3:$L$5001,"&lt;&gt;")=0,"",SUMIFS(BD!$L$3:$L$5001,BD!$B$3:$B$5001,I$184,BD!$A$3:$A$5001,_xlfn.MAXIFS(BD!$A$3:$A$5001,BD!$B$3:$B$5001,I$184,BD!$A$3:$A$5001,"&gt;="&amp;$C$7,BD!$A$3:$A$5001,"&lt;="&amp;$B200,BD!$L$3:$L$5001,"&lt;&gt;"))))</f>
        <v/>
      </c>
      <c r="J200" s="43" t="str">
        <f>IF(OR($B200="",$A200&gt;$B$9,J$184=""),"",IF(COUNTIFS(BD!$B$3:$B$5001,J$184,BD!$A$3:$A$5001,"&gt;="&amp;$C$7,BD!$A$3:$A$5001,"&lt;="&amp;$B200,BD!$L$3:$L$5001,"&lt;&gt;")=0,"",SUMIFS(BD!$L$3:$L$5001,BD!$B$3:$B$5001,J$184,BD!$A$3:$A$5001,_xlfn.MAXIFS(BD!$A$3:$A$5001,BD!$B$3:$B$5001,J$184,BD!$A$3:$A$5001,"&gt;="&amp;$C$7,BD!$A$3:$A$5001,"&lt;="&amp;$B200,BD!$L$3:$L$5001,"&lt;&gt;"))))</f>
        <v/>
      </c>
      <c r="K200" s="43" t="str">
        <f>IF(OR($B200="",$A200&gt;$B$9,K$184=""),"",IF(COUNTIFS(BD!$B$3:$B$5001,K$184,BD!$A$3:$A$5001,"&gt;="&amp;$C$7,BD!$A$3:$A$5001,"&lt;="&amp;$B200,BD!$L$3:$L$5001,"&lt;&gt;")=0,"",SUMIFS(BD!$L$3:$L$5001,BD!$B$3:$B$5001,K$184,BD!$A$3:$A$5001,_xlfn.MAXIFS(BD!$A$3:$A$5001,BD!$B$3:$B$5001,K$184,BD!$A$3:$A$5001,"&gt;="&amp;$C$7,BD!$A$3:$A$5001,"&lt;="&amp;$B200,BD!$L$3:$L$5001,"&lt;&gt;"))))</f>
        <v/>
      </c>
      <c r="L200" s="43" t="str">
        <f>IF(OR($B200="",$A200&gt;$B$9,L$184=""),"",IF(COUNTIFS(BD!$B$3:$B$5001,L$184,BD!$A$3:$A$5001,"&gt;="&amp;$C$7,BD!$A$3:$A$5001,"&lt;="&amp;$B200,BD!$L$3:$L$5001,"&lt;&gt;")=0,"",SUMIFS(BD!$L$3:$L$5001,BD!$B$3:$B$5001,L$184,BD!$A$3:$A$5001,_xlfn.MAXIFS(BD!$A$3:$A$5001,BD!$B$3:$B$5001,L$184,BD!$A$3:$A$5001,"&gt;="&amp;$C$7,BD!$A$3:$A$5001,"&lt;="&amp;$B200,BD!$L$3:$L$5001,"&lt;&gt;"))))</f>
        <v/>
      </c>
      <c r="M200" s="43" t="str">
        <f>IF(OR($B200="",$A200&gt;$B$9,M$184=""),"",IF(COUNTIFS(BD!$B$3:$B$5001,M$184,BD!$A$3:$A$5001,"&gt;="&amp;$C$7,BD!$A$3:$A$5001,"&lt;="&amp;$B200,BD!$L$3:$L$5001,"&lt;&gt;")=0,"",SUMIFS(BD!$L$3:$L$5001,BD!$B$3:$B$5001,M$184,BD!$A$3:$A$5001,_xlfn.MAXIFS(BD!$A$3:$A$5001,BD!$B$3:$B$5001,M$184,BD!$A$3:$A$5001,"&gt;="&amp;$C$7,BD!$A$3:$A$5001,"&lt;="&amp;$B200,BD!$L$3:$L$5001,"&lt;&gt;"))))</f>
        <v/>
      </c>
      <c r="N200" s="43" t="str">
        <f>IF(OR($B200="",$A200&gt;$B$9,N$184=""),"",IF(COUNTIFS(BD!$B$3:$B$5001,N$184,BD!$A$3:$A$5001,"&gt;="&amp;$C$7,BD!$A$3:$A$5001,"&lt;="&amp;$B200,BD!$L$3:$L$5001,"&lt;&gt;")=0,"",SUMIFS(BD!$L$3:$L$5001,BD!$B$3:$B$5001,N$184,BD!$A$3:$A$5001,_xlfn.MAXIFS(BD!$A$3:$A$5001,BD!$B$3:$B$5001,N$184,BD!$A$3:$A$5001,"&gt;="&amp;$C$7,BD!$A$3:$A$5001,"&lt;="&amp;$B200,BD!$L$3:$L$5001,"&lt;&gt;"))))</f>
        <v/>
      </c>
      <c r="O200" s="43" t="str">
        <f>IF(OR($B200="",$A200&gt;$B$9,O$184=""),"",IF(COUNTIFS(BD!$B$3:$B$5001,O$184,BD!$A$3:$A$5001,"&gt;="&amp;$C$7,BD!$A$3:$A$5001,"&lt;="&amp;$B200,BD!$L$3:$L$5001,"&lt;&gt;")=0,"",SUMIFS(BD!$L$3:$L$5001,BD!$B$3:$B$5001,O$184,BD!$A$3:$A$5001,_xlfn.MAXIFS(BD!$A$3:$A$5001,BD!$B$3:$B$5001,O$184,BD!$A$3:$A$5001,"&gt;="&amp;$C$7,BD!$A$3:$A$5001,"&lt;="&amp;$B200,BD!$L$3:$L$5001,"&lt;&gt;"))))</f>
        <v/>
      </c>
      <c r="P200" s="43" t="str">
        <f>IF(OR($B200="",$A200&gt;$B$9,P$184=""),"",IF(COUNTIFS(BD!$B$3:$B$5001,P$184,BD!$A$3:$A$5001,"&gt;="&amp;$C$7,BD!$A$3:$A$5001,"&lt;="&amp;$B200,BD!$L$3:$L$5001,"&lt;&gt;")=0,"",SUMIFS(BD!$L$3:$L$5001,BD!$B$3:$B$5001,P$184,BD!$A$3:$A$5001,_xlfn.MAXIFS(BD!$A$3:$A$5001,BD!$B$3:$B$5001,P$184,BD!$A$3:$A$5001,"&gt;="&amp;$C$7,BD!$A$3:$A$5001,"&lt;="&amp;$B200,BD!$L$3:$L$5001,"&lt;&gt;"))))</f>
        <v/>
      </c>
      <c r="Q200" s="43" t="str">
        <f>IF(OR($B200="",$A200&gt;$B$9,Q$184=""),"",IF(COUNTIFS(BD!$B$3:$B$5001,Q$184,BD!$A$3:$A$5001,"&gt;="&amp;$C$7,BD!$A$3:$A$5001,"&lt;="&amp;$B200,BD!$L$3:$L$5001,"&lt;&gt;")=0,"",SUMIFS(BD!$L$3:$L$5001,BD!$B$3:$B$5001,Q$184,BD!$A$3:$A$5001,_xlfn.MAXIFS(BD!$A$3:$A$5001,BD!$B$3:$B$5001,Q$184,BD!$A$3:$A$5001,"&gt;="&amp;$C$7,BD!$A$3:$A$5001,"&lt;="&amp;$B200,BD!$L$3:$L$5001,"&lt;&gt;"))))</f>
        <v/>
      </c>
      <c r="R200" s="43" t="str">
        <f>IF(OR($B200="",$A200&gt;$B$9,R$184=""),"",IF(COUNTIFS(BD!$B$3:$B$5001,R$184,BD!$A$3:$A$5001,"&gt;="&amp;$C$7,BD!$A$3:$A$5001,"&lt;="&amp;$B200,BD!$L$3:$L$5001,"&lt;&gt;")=0,"",SUMIFS(BD!$L$3:$L$5001,BD!$B$3:$B$5001,R$184,BD!$A$3:$A$5001,_xlfn.MAXIFS(BD!$A$3:$A$5001,BD!$B$3:$B$5001,R$184,BD!$A$3:$A$5001,"&gt;="&amp;$C$7,BD!$A$3:$A$5001,"&lt;="&amp;$B200,BD!$L$3:$L$5001,"&lt;&gt;"))))</f>
        <v/>
      </c>
      <c r="S200" s="43" t="str">
        <f>IF(OR($B200="",$A200&gt;$B$9,S$184=""),"",IF(COUNTIFS(BD!$B$3:$B$5001,S$184,BD!$A$3:$A$5001,"&gt;="&amp;$C$7,BD!$A$3:$A$5001,"&lt;="&amp;$B200,BD!$L$3:$L$5001,"&lt;&gt;")=0,"",SUMIFS(BD!$L$3:$L$5001,BD!$B$3:$B$5001,S$184,BD!$A$3:$A$5001,_xlfn.MAXIFS(BD!$A$3:$A$5001,BD!$B$3:$B$5001,S$184,BD!$A$3:$A$5001,"&gt;="&amp;$C$7,BD!$A$3:$A$5001,"&lt;="&amp;$B200,BD!$L$3:$L$5001,"&lt;&gt;"))))</f>
        <v/>
      </c>
      <c r="T200" s="43" t="str">
        <f>IF(OR($B200="",$A200&gt;$B$9,T$184=""),"",IF(COUNTIFS(BD!$B$3:$B$5001,T$184,BD!$A$3:$A$5001,"&gt;="&amp;$C$7,BD!$A$3:$A$5001,"&lt;="&amp;$B200,BD!$L$3:$L$5001,"&lt;&gt;")=0,"",SUMIFS(BD!$L$3:$L$5001,BD!$B$3:$B$5001,T$184,BD!$A$3:$A$5001,_xlfn.MAXIFS(BD!$A$3:$A$5001,BD!$B$3:$B$5001,T$184,BD!$A$3:$A$5001,"&gt;="&amp;$C$7,BD!$A$3:$A$5001,"&lt;="&amp;$B200,BD!$L$3:$L$5001,"&lt;&gt;"))))</f>
        <v/>
      </c>
      <c r="U200" s="43" t="str">
        <f>IF(OR($B200="",$A200&gt;$B$9,U$184=""),"",IF(COUNTIFS(BD!$B$3:$B$5001,U$184,BD!$A$3:$A$5001,"&gt;="&amp;$C$7,BD!$A$3:$A$5001,"&lt;="&amp;$B200,BD!$L$3:$L$5001,"&lt;&gt;")=0,"",SUMIFS(BD!$L$3:$L$5001,BD!$B$3:$B$5001,U$184,BD!$A$3:$A$5001,_xlfn.MAXIFS(BD!$A$3:$A$5001,BD!$B$3:$B$5001,U$184,BD!$A$3:$A$5001,"&gt;="&amp;$C$7,BD!$A$3:$A$5001,"&lt;="&amp;$B200,BD!$L$3:$L$5001,"&lt;&gt;"))))</f>
        <v/>
      </c>
      <c r="V200" s="43" t="str">
        <f>IF(OR($B200="",$A200&gt;$B$9,V$184=""),"",IF(COUNTIFS(BD!$B$3:$B$5001,V$184,BD!$A$3:$A$5001,"&gt;="&amp;$C$7,BD!$A$3:$A$5001,"&lt;="&amp;$B200,BD!$L$3:$L$5001,"&lt;&gt;")=0,"",SUMIFS(BD!$L$3:$L$5001,BD!$B$3:$B$5001,V$184,BD!$A$3:$A$5001,_xlfn.MAXIFS(BD!$A$3:$A$5001,BD!$B$3:$B$5001,V$184,BD!$A$3:$A$5001,"&gt;="&amp;$C$7,BD!$A$3:$A$5001,"&lt;="&amp;$B200,BD!$L$3:$L$5001,"&lt;&gt;"))))</f>
        <v/>
      </c>
    </row>
    <row r="201">
      <c r="A201" s="38">
        <v>17</v>
      </c>
      <c r="B201" s="42">
        <f>$B$28</f>
        <v>46312</v>
      </c>
      <c r="C201" s="43" t="str">
        <f>IF(OR($B201="",$A201&gt;$B$9,C$184=""),"",IF(COUNTIFS(BD!$B$3:$B$5001,C$184,BD!$A$3:$A$5001,"&gt;="&amp;$C$7,BD!$A$3:$A$5001,"&lt;="&amp;$B201,BD!$L$3:$L$5001,"&lt;&gt;")=0,"",SUMIFS(BD!$L$3:$L$5001,BD!$B$3:$B$5001,C$184,BD!$A$3:$A$5001,_xlfn.MAXIFS(BD!$A$3:$A$5001,BD!$B$3:$B$5001,C$184,BD!$A$3:$A$5001,"&gt;="&amp;$C$7,BD!$A$3:$A$5001,"&lt;="&amp;$B201,BD!$L$3:$L$5001,"&lt;&gt;"))))</f>
        <v/>
      </c>
      <c r="D201" s="43" t="str">
        <f>IF(OR($B201="",$A201&gt;$B$9,D$184=""),"",IF(COUNTIFS(BD!$B$3:$B$5001,D$184,BD!$A$3:$A$5001,"&gt;="&amp;$C$7,BD!$A$3:$A$5001,"&lt;="&amp;$B201,BD!$L$3:$L$5001,"&lt;&gt;")=0,"",SUMIFS(BD!$L$3:$L$5001,BD!$B$3:$B$5001,D$184,BD!$A$3:$A$5001,_xlfn.MAXIFS(BD!$A$3:$A$5001,BD!$B$3:$B$5001,D$184,BD!$A$3:$A$5001,"&gt;="&amp;$C$7,BD!$A$3:$A$5001,"&lt;="&amp;$B201,BD!$L$3:$L$5001,"&lt;&gt;"))))</f>
        <v/>
      </c>
      <c r="E201" s="43" t="str">
        <f>IF(OR($B201="",$A201&gt;$B$9,E$184=""),"",IF(COUNTIFS(BD!$B$3:$B$5001,E$184,BD!$A$3:$A$5001,"&gt;="&amp;$C$7,BD!$A$3:$A$5001,"&lt;="&amp;$B201,BD!$L$3:$L$5001,"&lt;&gt;")=0,"",SUMIFS(BD!$L$3:$L$5001,BD!$B$3:$B$5001,E$184,BD!$A$3:$A$5001,_xlfn.MAXIFS(BD!$A$3:$A$5001,BD!$B$3:$B$5001,E$184,BD!$A$3:$A$5001,"&gt;="&amp;$C$7,BD!$A$3:$A$5001,"&lt;="&amp;$B201,BD!$L$3:$L$5001,"&lt;&gt;"))))</f>
        <v/>
      </c>
      <c r="F201" s="43" t="str">
        <f>IF(OR($B201="",$A201&gt;$B$9,F$184=""),"",IF(COUNTIFS(BD!$B$3:$B$5001,F$184,BD!$A$3:$A$5001,"&gt;="&amp;$C$7,BD!$A$3:$A$5001,"&lt;="&amp;$B201,BD!$L$3:$L$5001,"&lt;&gt;")=0,"",SUMIFS(BD!$L$3:$L$5001,BD!$B$3:$B$5001,F$184,BD!$A$3:$A$5001,_xlfn.MAXIFS(BD!$A$3:$A$5001,BD!$B$3:$B$5001,F$184,BD!$A$3:$A$5001,"&gt;="&amp;$C$7,BD!$A$3:$A$5001,"&lt;="&amp;$B201,BD!$L$3:$L$5001,"&lt;&gt;"))))</f>
        <v/>
      </c>
      <c r="G201" s="43" t="str">
        <f>IF(OR($B201="",$A201&gt;$B$9,G$184=""),"",IF(COUNTIFS(BD!$B$3:$B$5001,G$184,BD!$A$3:$A$5001,"&gt;="&amp;$C$7,BD!$A$3:$A$5001,"&lt;="&amp;$B201,BD!$L$3:$L$5001,"&lt;&gt;")=0,"",SUMIFS(BD!$L$3:$L$5001,BD!$B$3:$B$5001,G$184,BD!$A$3:$A$5001,_xlfn.MAXIFS(BD!$A$3:$A$5001,BD!$B$3:$B$5001,G$184,BD!$A$3:$A$5001,"&gt;="&amp;$C$7,BD!$A$3:$A$5001,"&lt;="&amp;$B201,BD!$L$3:$L$5001,"&lt;&gt;"))))</f>
        <v/>
      </c>
      <c r="H201" s="43" t="str">
        <f>IF(OR($B201="",$A201&gt;$B$9,H$184=""),"",IF(COUNTIFS(BD!$B$3:$B$5001,H$184,BD!$A$3:$A$5001,"&gt;="&amp;$C$7,BD!$A$3:$A$5001,"&lt;="&amp;$B201,BD!$L$3:$L$5001,"&lt;&gt;")=0,"",SUMIFS(BD!$L$3:$L$5001,BD!$B$3:$B$5001,H$184,BD!$A$3:$A$5001,_xlfn.MAXIFS(BD!$A$3:$A$5001,BD!$B$3:$B$5001,H$184,BD!$A$3:$A$5001,"&gt;="&amp;$C$7,BD!$A$3:$A$5001,"&lt;="&amp;$B201,BD!$L$3:$L$5001,"&lt;&gt;"))))</f>
        <v/>
      </c>
      <c r="I201" s="43" t="str">
        <f>IF(OR($B201="",$A201&gt;$B$9,I$184=""),"",IF(COUNTIFS(BD!$B$3:$B$5001,I$184,BD!$A$3:$A$5001,"&gt;="&amp;$C$7,BD!$A$3:$A$5001,"&lt;="&amp;$B201,BD!$L$3:$L$5001,"&lt;&gt;")=0,"",SUMIFS(BD!$L$3:$L$5001,BD!$B$3:$B$5001,I$184,BD!$A$3:$A$5001,_xlfn.MAXIFS(BD!$A$3:$A$5001,BD!$B$3:$B$5001,I$184,BD!$A$3:$A$5001,"&gt;="&amp;$C$7,BD!$A$3:$A$5001,"&lt;="&amp;$B201,BD!$L$3:$L$5001,"&lt;&gt;"))))</f>
        <v/>
      </c>
      <c r="J201" s="43" t="str">
        <f>IF(OR($B201="",$A201&gt;$B$9,J$184=""),"",IF(COUNTIFS(BD!$B$3:$B$5001,J$184,BD!$A$3:$A$5001,"&gt;="&amp;$C$7,BD!$A$3:$A$5001,"&lt;="&amp;$B201,BD!$L$3:$L$5001,"&lt;&gt;")=0,"",SUMIFS(BD!$L$3:$L$5001,BD!$B$3:$B$5001,J$184,BD!$A$3:$A$5001,_xlfn.MAXIFS(BD!$A$3:$A$5001,BD!$B$3:$B$5001,J$184,BD!$A$3:$A$5001,"&gt;="&amp;$C$7,BD!$A$3:$A$5001,"&lt;="&amp;$B201,BD!$L$3:$L$5001,"&lt;&gt;"))))</f>
        <v/>
      </c>
      <c r="K201" s="43" t="str">
        <f>IF(OR($B201="",$A201&gt;$B$9,K$184=""),"",IF(COUNTIFS(BD!$B$3:$B$5001,K$184,BD!$A$3:$A$5001,"&gt;="&amp;$C$7,BD!$A$3:$A$5001,"&lt;="&amp;$B201,BD!$L$3:$L$5001,"&lt;&gt;")=0,"",SUMIFS(BD!$L$3:$L$5001,BD!$B$3:$B$5001,K$184,BD!$A$3:$A$5001,_xlfn.MAXIFS(BD!$A$3:$A$5001,BD!$B$3:$B$5001,K$184,BD!$A$3:$A$5001,"&gt;="&amp;$C$7,BD!$A$3:$A$5001,"&lt;="&amp;$B201,BD!$L$3:$L$5001,"&lt;&gt;"))))</f>
        <v/>
      </c>
      <c r="L201" s="43" t="str">
        <f>IF(OR($B201="",$A201&gt;$B$9,L$184=""),"",IF(COUNTIFS(BD!$B$3:$B$5001,L$184,BD!$A$3:$A$5001,"&gt;="&amp;$C$7,BD!$A$3:$A$5001,"&lt;="&amp;$B201,BD!$L$3:$L$5001,"&lt;&gt;")=0,"",SUMIFS(BD!$L$3:$L$5001,BD!$B$3:$B$5001,L$184,BD!$A$3:$A$5001,_xlfn.MAXIFS(BD!$A$3:$A$5001,BD!$B$3:$B$5001,L$184,BD!$A$3:$A$5001,"&gt;="&amp;$C$7,BD!$A$3:$A$5001,"&lt;="&amp;$B201,BD!$L$3:$L$5001,"&lt;&gt;"))))</f>
        <v/>
      </c>
      <c r="M201" s="43" t="str">
        <f>IF(OR($B201="",$A201&gt;$B$9,M$184=""),"",IF(COUNTIFS(BD!$B$3:$B$5001,M$184,BD!$A$3:$A$5001,"&gt;="&amp;$C$7,BD!$A$3:$A$5001,"&lt;="&amp;$B201,BD!$L$3:$L$5001,"&lt;&gt;")=0,"",SUMIFS(BD!$L$3:$L$5001,BD!$B$3:$B$5001,M$184,BD!$A$3:$A$5001,_xlfn.MAXIFS(BD!$A$3:$A$5001,BD!$B$3:$B$5001,M$184,BD!$A$3:$A$5001,"&gt;="&amp;$C$7,BD!$A$3:$A$5001,"&lt;="&amp;$B201,BD!$L$3:$L$5001,"&lt;&gt;"))))</f>
        <v/>
      </c>
      <c r="N201" s="43" t="str">
        <f>IF(OR($B201="",$A201&gt;$B$9,N$184=""),"",IF(COUNTIFS(BD!$B$3:$B$5001,N$184,BD!$A$3:$A$5001,"&gt;="&amp;$C$7,BD!$A$3:$A$5001,"&lt;="&amp;$B201,BD!$L$3:$L$5001,"&lt;&gt;")=0,"",SUMIFS(BD!$L$3:$L$5001,BD!$B$3:$B$5001,N$184,BD!$A$3:$A$5001,_xlfn.MAXIFS(BD!$A$3:$A$5001,BD!$B$3:$B$5001,N$184,BD!$A$3:$A$5001,"&gt;="&amp;$C$7,BD!$A$3:$A$5001,"&lt;="&amp;$B201,BD!$L$3:$L$5001,"&lt;&gt;"))))</f>
        <v/>
      </c>
      <c r="O201" s="43" t="str">
        <f>IF(OR($B201="",$A201&gt;$B$9,O$184=""),"",IF(COUNTIFS(BD!$B$3:$B$5001,O$184,BD!$A$3:$A$5001,"&gt;="&amp;$C$7,BD!$A$3:$A$5001,"&lt;="&amp;$B201,BD!$L$3:$L$5001,"&lt;&gt;")=0,"",SUMIFS(BD!$L$3:$L$5001,BD!$B$3:$B$5001,O$184,BD!$A$3:$A$5001,_xlfn.MAXIFS(BD!$A$3:$A$5001,BD!$B$3:$B$5001,O$184,BD!$A$3:$A$5001,"&gt;="&amp;$C$7,BD!$A$3:$A$5001,"&lt;="&amp;$B201,BD!$L$3:$L$5001,"&lt;&gt;"))))</f>
        <v/>
      </c>
      <c r="P201" s="43" t="str">
        <f>IF(OR($B201="",$A201&gt;$B$9,P$184=""),"",IF(COUNTIFS(BD!$B$3:$B$5001,P$184,BD!$A$3:$A$5001,"&gt;="&amp;$C$7,BD!$A$3:$A$5001,"&lt;="&amp;$B201,BD!$L$3:$L$5001,"&lt;&gt;")=0,"",SUMIFS(BD!$L$3:$L$5001,BD!$B$3:$B$5001,P$184,BD!$A$3:$A$5001,_xlfn.MAXIFS(BD!$A$3:$A$5001,BD!$B$3:$B$5001,P$184,BD!$A$3:$A$5001,"&gt;="&amp;$C$7,BD!$A$3:$A$5001,"&lt;="&amp;$B201,BD!$L$3:$L$5001,"&lt;&gt;"))))</f>
        <v/>
      </c>
      <c r="Q201" s="43" t="str">
        <f>IF(OR($B201="",$A201&gt;$B$9,Q$184=""),"",IF(COUNTIFS(BD!$B$3:$B$5001,Q$184,BD!$A$3:$A$5001,"&gt;="&amp;$C$7,BD!$A$3:$A$5001,"&lt;="&amp;$B201,BD!$L$3:$L$5001,"&lt;&gt;")=0,"",SUMIFS(BD!$L$3:$L$5001,BD!$B$3:$B$5001,Q$184,BD!$A$3:$A$5001,_xlfn.MAXIFS(BD!$A$3:$A$5001,BD!$B$3:$B$5001,Q$184,BD!$A$3:$A$5001,"&gt;="&amp;$C$7,BD!$A$3:$A$5001,"&lt;="&amp;$B201,BD!$L$3:$L$5001,"&lt;&gt;"))))</f>
        <v/>
      </c>
      <c r="R201" s="43" t="str">
        <f>IF(OR($B201="",$A201&gt;$B$9,R$184=""),"",IF(COUNTIFS(BD!$B$3:$B$5001,R$184,BD!$A$3:$A$5001,"&gt;="&amp;$C$7,BD!$A$3:$A$5001,"&lt;="&amp;$B201,BD!$L$3:$L$5001,"&lt;&gt;")=0,"",SUMIFS(BD!$L$3:$L$5001,BD!$B$3:$B$5001,R$184,BD!$A$3:$A$5001,_xlfn.MAXIFS(BD!$A$3:$A$5001,BD!$B$3:$B$5001,R$184,BD!$A$3:$A$5001,"&gt;="&amp;$C$7,BD!$A$3:$A$5001,"&lt;="&amp;$B201,BD!$L$3:$L$5001,"&lt;&gt;"))))</f>
        <v/>
      </c>
      <c r="S201" s="43" t="str">
        <f>IF(OR($B201="",$A201&gt;$B$9,S$184=""),"",IF(COUNTIFS(BD!$B$3:$B$5001,S$184,BD!$A$3:$A$5001,"&gt;="&amp;$C$7,BD!$A$3:$A$5001,"&lt;="&amp;$B201,BD!$L$3:$L$5001,"&lt;&gt;")=0,"",SUMIFS(BD!$L$3:$L$5001,BD!$B$3:$B$5001,S$184,BD!$A$3:$A$5001,_xlfn.MAXIFS(BD!$A$3:$A$5001,BD!$B$3:$B$5001,S$184,BD!$A$3:$A$5001,"&gt;="&amp;$C$7,BD!$A$3:$A$5001,"&lt;="&amp;$B201,BD!$L$3:$L$5001,"&lt;&gt;"))))</f>
        <v/>
      </c>
      <c r="T201" s="43" t="str">
        <f>IF(OR($B201="",$A201&gt;$B$9,T$184=""),"",IF(COUNTIFS(BD!$B$3:$B$5001,T$184,BD!$A$3:$A$5001,"&gt;="&amp;$C$7,BD!$A$3:$A$5001,"&lt;="&amp;$B201,BD!$L$3:$L$5001,"&lt;&gt;")=0,"",SUMIFS(BD!$L$3:$L$5001,BD!$B$3:$B$5001,T$184,BD!$A$3:$A$5001,_xlfn.MAXIFS(BD!$A$3:$A$5001,BD!$B$3:$B$5001,T$184,BD!$A$3:$A$5001,"&gt;="&amp;$C$7,BD!$A$3:$A$5001,"&lt;="&amp;$B201,BD!$L$3:$L$5001,"&lt;&gt;"))))</f>
        <v/>
      </c>
      <c r="U201" s="43" t="str">
        <f>IF(OR($B201="",$A201&gt;$B$9,U$184=""),"",IF(COUNTIFS(BD!$B$3:$B$5001,U$184,BD!$A$3:$A$5001,"&gt;="&amp;$C$7,BD!$A$3:$A$5001,"&lt;="&amp;$B201,BD!$L$3:$L$5001,"&lt;&gt;")=0,"",SUMIFS(BD!$L$3:$L$5001,BD!$B$3:$B$5001,U$184,BD!$A$3:$A$5001,_xlfn.MAXIFS(BD!$A$3:$A$5001,BD!$B$3:$B$5001,U$184,BD!$A$3:$A$5001,"&gt;="&amp;$C$7,BD!$A$3:$A$5001,"&lt;="&amp;$B201,BD!$L$3:$L$5001,"&lt;&gt;"))))</f>
        <v/>
      </c>
      <c r="V201" s="43" t="str">
        <f>IF(OR($B201="",$A201&gt;$B$9,V$184=""),"",IF(COUNTIFS(BD!$B$3:$B$5001,V$184,BD!$A$3:$A$5001,"&gt;="&amp;$C$7,BD!$A$3:$A$5001,"&lt;="&amp;$B201,BD!$L$3:$L$5001,"&lt;&gt;")=0,"",SUMIFS(BD!$L$3:$L$5001,BD!$B$3:$B$5001,V$184,BD!$A$3:$A$5001,_xlfn.MAXIFS(BD!$A$3:$A$5001,BD!$B$3:$B$5001,V$184,BD!$A$3:$A$5001,"&gt;="&amp;$C$7,BD!$A$3:$A$5001,"&lt;="&amp;$B201,BD!$L$3:$L$5001,"&lt;&gt;"))))</f>
        <v/>
      </c>
    </row>
    <row r="202">
      <c r="A202" s="38">
        <v>18</v>
      </c>
      <c r="B202" s="42">
        <f>$B$29</f>
        <v>46313</v>
      </c>
      <c r="C202" s="43" t="str">
        <f>IF(OR($B202="",$A202&gt;$B$9,C$184=""),"",IF(COUNTIFS(BD!$B$3:$B$5001,C$184,BD!$A$3:$A$5001,"&gt;="&amp;$C$7,BD!$A$3:$A$5001,"&lt;="&amp;$B202,BD!$L$3:$L$5001,"&lt;&gt;")=0,"",SUMIFS(BD!$L$3:$L$5001,BD!$B$3:$B$5001,C$184,BD!$A$3:$A$5001,_xlfn.MAXIFS(BD!$A$3:$A$5001,BD!$B$3:$B$5001,C$184,BD!$A$3:$A$5001,"&gt;="&amp;$C$7,BD!$A$3:$A$5001,"&lt;="&amp;$B202,BD!$L$3:$L$5001,"&lt;&gt;"))))</f>
        <v/>
      </c>
      <c r="D202" s="43" t="str">
        <f>IF(OR($B202="",$A202&gt;$B$9,D$184=""),"",IF(COUNTIFS(BD!$B$3:$B$5001,D$184,BD!$A$3:$A$5001,"&gt;="&amp;$C$7,BD!$A$3:$A$5001,"&lt;="&amp;$B202,BD!$L$3:$L$5001,"&lt;&gt;")=0,"",SUMIFS(BD!$L$3:$L$5001,BD!$B$3:$B$5001,D$184,BD!$A$3:$A$5001,_xlfn.MAXIFS(BD!$A$3:$A$5001,BD!$B$3:$B$5001,D$184,BD!$A$3:$A$5001,"&gt;="&amp;$C$7,BD!$A$3:$A$5001,"&lt;="&amp;$B202,BD!$L$3:$L$5001,"&lt;&gt;"))))</f>
        <v/>
      </c>
      <c r="E202" s="43" t="str">
        <f>IF(OR($B202="",$A202&gt;$B$9,E$184=""),"",IF(COUNTIFS(BD!$B$3:$B$5001,E$184,BD!$A$3:$A$5001,"&gt;="&amp;$C$7,BD!$A$3:$A$5001,"&lt;="&amp;$B202,BD!$L$3:$L$5001,"&lt;&gt;")=0,"",SUMIFS(BD!$L$3:$L$5001,BD!$B$3:$B$5001,E$184,BD!$A$3:$A$5001,_xlfn.MAXIFS(BD!$A$3:$A$5001,BD!$B$3:$B$5001,E$184,BD!$A$3:$A$5001,"&gt;="&amp;$C$7,BD!$A$3:$A$5001,"&lt;="&amp;$B202,BD!$L$3:$L$5001,"&lt;&gt;"))))</f>
        <v/>
      </c>
      <c r="F202" s="43" t="str">
        <f>IF(OR($B202="",$A202&gt;$B$9,F$184=""),"",IF(COUNTIFS(BD!$B$3:$B$5001,F$184,BD!$A$3:$A$5001,"&gt;="&amp;$C$7,BD!$A$3:$A$5001,"&lt;="&amp;$B202,BD!$L$3:$L$5001,"&lt;&gt;")=0,"",SUMIFS(BD!$L$3:$L$5001,BD!$B$3:$B$5001,F$184,BD!$A$3:$A$5001,_xlfn.MAXIFS(BD!$A$3:$A$5001,BD!$B$3:$B$5001,F$184,BD!$A$3:$A$5001,"&gt;="&amp;$C$7,BD!$A$3:$A$5001,"&lt;="&amp;$B202,BD!$L$3:$L$5001,"&lt;&gt;"))))</f>
        <v/>
      </c>
      <c r="G202" s="43" t="str">
        <f>IF(OR($B202="",$A202&gt;$B$9,G$184=""),"",IF(COUNTIFS(BD!$B$3:$B$5001,G$184,BD!$A$3:$A$5001,"&gt;="&amp;$C$7,BD!$A$3:$A$5001,"&lt;="&amp;$B202,BD!$L$3:$L$5001,"&lt;&gt;")=0,"",SUMIFS(BD!$L$3:$L$5001,BD!$B$3:$B$5001,G$184,BD!$A$3:$A$5001,_xlfn.MAXIFS(BD!$A$3:$A$5001,BD!$B$3:$B$5001,G$184,BD!$A$3:$A$5001,"&gt;="&amp;$C$7,BD!$A$3:$A$5001,"&lt;="&amp;$B202,BD!$L$3:$L$5001,"&lt;&gt;"))))</f>
        <v/>
      </c>
      <c r="H202" s="43" t="str">
        <f>IF(OR($B202="",$A202&gt;$B$9,H$184=""),"",IF(COUNTIFS(BD!$B$3:$B$5001,H$184,BD!$A$3:$A$5001,"&gt;="&amp;$C$7,BD!$A$3:$A$5001,"&lt;="&amp;$B202,BD!$L$3:$L$5001,"&lt;&gt;")=0,"",SUMIFS(BD!$L$3:$L$5001,BD!$B$3:$B$5001,H$184,BD!$A$3:$A$5001,_xlfn.MAXIFS(BD!$A$3:$A$5001,BD!$B$3:$B$5001,H$184,BD!$A$3:$A$5001,"&gt;="&amp;$C$7,BD!$A$3:$A$5001,"&lt;="&amp;$B202,BD!$L$3:$L$5001,"&lt;&gt;"))))</f>
        <v/>
      </c>
      <c r="I202" s="43" t="str">
        <f>IF(OR($B202="",$A202&gt;$B$9,I$184=""),"",IF(COUNTIFS(BD!$B$3:$B$5001,I$184,BD!$A$3:$A$5001,"&gt;="&amp;$C$7,BD!$A$3:$A$5001,"&lt;="&amp;$B202,BD!$L$3:$L$5001,"&lt;&gt;")=0,"",SUMIFS(BD!$L$3:$L$5001,BD!$B$3:$B$5001,I$184,BD!$A$3:$A$5001,_xlfn.MAXIFS(BD!$A$3:$A$5001,BD!$B$3:$B$5001,I$184,BD!$A$3:$A$5001,"&gt;="&amp;$C$7,BD!$A$3:$A$5001,"&lt;="&amp;$B202,BD!$L$3:$L$5001,"&lt;&gt;"))))</f>
        <v/>
      </c>
      <c r="J202" s="43" t="str">
        <f>IF(OR($B202="",$A202&gt;$B$9,J$184=""),"",IF(COUNTIFS(BD!$B$3:$B$5001,J$184,BD!$A$3:$A$5001,"&gt;="&amp;$C$7,BD!$A$3:$A$5001,"&lt;="&amp;$B202,BD!$L$3:$L$5001,"&lt;&gt;")=0,"",SUMIFS(BD!$L$3:$L$5001,BD!$B$3:$B$5001,J$184,BD!$A$3:$A$5001,_xlfn.MAXIFS(BD!$A$3:$A$5001,BD!$B$3:$B$5001,J$184,BD!$A$3:$A$5001,"&gt;="&amp;$C$7,BD!$A$3:$A$5001,"&lt;="&amp;$B202,BD!$L$3:$L$5001,"&lt;&gt;"))))</f>
        <v/>
      </c>
      <c r="K202" s="43" t="str">
        <f>IF(OR($B202="",$A202&gt;$B$9,K$184=""),"",IF(COUNTIFS(BD!$B$3:$B$5001,K$184,BD!$A$3:$A$5001,"&gt;="&amp;$C$7,BD!$A$3:$A$5001,"&lt;="&amp;$B202,BD!$L$3:$L$5001,"&lt;&gt;")=0,"",SUMIFS(BD!$L$3:$L$5001,BD!$B$3:$B$5001,K$184,BD!$A$3:$A$5001,_xlfn.MAXIFS(BD!$A$3:$A$5001,BD!$B$3:$B$5001,K$184,BD!$A$3:$A$5001,"&gt;="&amp;$C$7,BD!$A$3:$A$5001,"&lt;="&amp;$B202,BD!$L$3:$L$5001,"&lt;&gt;"))))</f>
        <v/>
      </c>
      <c r="L202" s="43" t="str">
        <f>IF(OR($B202="",$A202&gt;$B$9,L$184=""),"",IF(COUNTIFS(BD!$B$3:$B$5001,L$184,BD!$A$3:$A$5001,"&gt;="&amp;$C$7,BD!$A$3:$A$5001,"&lt;="&amp;$B202,BD!$L$3:$L$5001,"&lt;&gt;")=0,"",SUMIFS(BD!$L$3:$L$5001,BD!$B$3:$B$5001,L$184,BD!$A$3:$A$5001,_xlfn.MAXIFS(BD!$A$3:$A$5001,BD!$B$3:$B$5001,L$184,BD!$A$3:$A$5001,"&gt;="&amp;$C$7,BD!$A$3:$A$5001,"&lt;="&amp;$B202,BD!$L$3:$L$5001,"&lt;&gt;"))))</f>
        <v/>
      </c>
      <c r="M202" s="43" t="str">
        <f>IF(OR($B202="",$A202&gt;$B$9,M$184=""),"",IF(COUNTIFS(BD!$B$3:$B$5001,M$184,BD!$A$3:$A$5001,"&gt;="&amp;$C$7,BD!$A$3:$A$5001,"&lt;="&amp;$B202,BD!$L$3:$L$5001,"&lt;&gt;")=0,"",SUMIFS(BD!$L$3:$L$5001,BD!$B$3:$B$5001,M$184,BD!$A$3:$A$5001,_xlfn.MAXIFS(BD!$A$3:$A$5001,BD!$B$3:$B$5001,M$184,BD!$A$3:$A$5001,"&gt;="&amp;$C$7,BD!$A$3:$A$5001,"&lt;="&amp;$B202,BD!$L$3:$L$5001,"&lt;&gt;"))))</f>
        <v/>
      </c>
      <c r="N202" s="43" t="str">
        <f>IF(OR($B202="",$A202&gt;$B$9,N$184=""),"",IF(COUNTIFS(BD!$B$3:$B$5001,N$184,BD!$A$3:$A$5001,"&gt;="&amp;$C$7,BD!$A$3:$A$5001,"&lt;="&amp;$B202,BD!$L$3:$L$5001,"&lt;&gt;")=0,"",SUMIFS(BD!$L$3:$L$5001,BD!$B$3:$B$5001,N$184,BD!$A$3:$A$5001,_xlfn.MAXIFS(BD!$A$3:$A$5001,BD!$B$3:$B$5001,N$184,BD!$A$3:$A$5001,"&gt;="&amp;$C$7,BD!$A$3:$A$5001,"&lt;="&amp;$B202,BD!$L$3:$L$5001,"&lt;&gt;"))))</f>
        <v/>
      </c>
      <c r="O202" s="43" t="str">
        <f>IF(OR($B202="",$A202&gt;$B$9,O$184=""),"",IF(COUNTIFS(BD!$B$3:$B$5001,O$184,BD!$A$3:$A$5001,"&gt;="&amp;$C$7,BD!$A$3:$A$5001,"&lt;="&amp;$B202,BD!$L$3:$L$5001,"&lt;&gt;")=0,"",SUMIFS(BD!$L$3:$L$5001,BD!$B$3:$B$5001,O$184,BD!$A$3:$A$5001,_xlfn.MAXIFS(BD!$A$3:$A$5001,BD!$B$3:$B$5001,O$184,BD!$A$3:$A$5001,"&gt;="&amp;$C$7,BD!$A$3:$A$5001,"&lt;="&amp;$B202,BD!$L$3:$L$5001,"&lt;&gt;"))))</f>
        <v/>
      </c>
      <c r="P202" s="43" t="str">
        <f>IF(OR($B202="",$A202&gt;$B$9,P$184=""),"",IF(COUNTIFS(BD!$B$3:$B$5001,P$184,BD!$A$3:$A$5001,"&gt;="&amp;$C$7,BD!$A$3:$A$5001,"&lt;="&amp;$B202,BD!$L$3:$L$5001,"&lt;&gt;")=0,"",SUMIFS(BD!$L$3:$L$5001,BD!$B$3:$B$5001,P$184,BD!$A$3:$A$5001,_xlfn.MAXIFS(BD!$A$3:$A$5001,BD!$B$3:$B$5001,P$184,BD!$A$3:$A$5001,"&gt;="&amp;$C$7,BD!$A$3:$A$5001,"&lt;="&amp;$B202,BD!$L$3:$L$5001,"&lt;&gt;"))))</f>
        <v/>
      </c>
      <c r="Q202" s="43" t="str">
        <f>IF(OR($B202="",$A202&gt;$B$9,Q$184=""),"",IF(COUNTIFS(BD!$B$3:$B$5001,Q$184,BD!$A$3:$A$5001,"&gt;="&amp;$C$7,BD!$A$3:$A$5001,"&lt;="&amp;$B202,BD!$L$3:$L$5001,"&lt;&gt;")=0,"",SUMIFS(BD!$L$3:$L$5001,BD!$B$3:$B$5001,Q$184,BD!$A$3:$A$5001,_xlfn.MAXIFS(BD!$A$3:$A$5001,BD!$B$3:$B$5001,Q$184,BD!$A$3:$A$5001,"&gt;="&amp;$C$7,BD!$A$3:$A$5001,"&lt;="&amp;$B202,BD!$L$3:$L$5001,"&lt;&gt;"))))</f>
        <v/>
      </c>
      <c r="R202" s="43" t="str">
        <f>IF(OR($B202="",$A202&gt;$B$9,R$184=""),"",IF(COUNTIFS(BD!$B$3:$B$5001,R$184,BD!$A$3:$A$5001,"&gt;="&amp;$C$7,BD!$A$3:$A$5001,"&lt;="&amp;$B202,BD!$L$3:$L$5001,"&lt;&gt;")=0,"",SUMIFS(BD!$L$3:$L$5001,BD!$B$3:$B$5001,R$184,BD!$A$3:$A$5001,_xlfn.MAXIFS(BD!$A$3:$A$5001,BD!$B$3:$B$5001,R$184,BD!$A$3:$A$5001,"&gt;="&amp;$C$7,BD!$A$3:$A$5001,"&lt;="&amp;$B202,BD!$L$3:$L$5001,"&lt;&gt;"))))</f>
        <v/>
      </c>
      <c r="S202" s="43" t="str">
        <f>IF(OR($B202="",$A202&gt;$B$9,S$184=""),"",IF(COUNTIFS(BD!$B$3:$B$5001,S$184,BD!$A$3:$A$5001,"&gt;="&amp;$C$7,BD!$A$3:$A$5001,"&lt;="&amp;$B202,BD!$L$3:$L$5001,"&lt;&gt;")=0,"",SUMIFS(BD!$L$3:$L$5001,BD!$B$3:$B$5001,S$184,BD!$A$3:$A$5001,_xlfn.MAXIFS(BD!$A$3:$A$5001,BD!$B$3:$B$5001,S$184,BD!$A$3:$A$5001,"&gt;="&amp;$C$7,BD!$A$3:$A$5001,"&lt;="&amp;$B202,BD!$L$3:$L$5001,"&lt;&gt;"))))</f>
        <v/>
      </c>
      <c r="T202" s="43" t="str">
        <f>IF(OR($B202="",$A202&gt;$B$9,T$184=""),"",IF(COUNTIFS(BD!$B$3:$B$5001,T$184,BD!$A$3:$A$5001,"&gt;="&amp;$C$7,BD!$A$3:$A$5001,"&lt;="&amp;$B202,BD!$L$3:$L$5001,"&lt;&gt;")=0,"",SUMIFS(BD!$L$3:$L$5001,BD!$B$3:$B$5001,T$184,BD!$A$3:$A$5001,_xlfn.MAXIFS(BD!$A$3:$A$5001,BD!$B$3:$B$5001,T$184,BD!$A$3:$A$5001,"&gt;="&amp;$C$7,BD!$A$3:$A$5001,"&lt;="&amp;$B202,BD!$L$3:$L$5001,"&lt;&gt;"))))</f>
        <v/>
      </c>
      <c r="U202" s="43" t="str">
        <f>IF(OR($B202="",$A202&gt;$B$9,U$184=""),"",IF(COUNTIFS(BD!$B$3:$B$5001,U$184,BD!$A$3:$A$5001,"&gt;="&amp;$C$7,BD!$A$3:$A$5001,"&lt;="&amp;$B202,BD!$L$3:$L$5001,"&lt;&gt;")=0,"",SUMIFS(BD!$L$3:$L$5001,BD!$B$3:$B$5001,U$184,BD!$A$3:$A$5001,_xlfn.MAXIFS(BD!$A$3:$A$5001,BD!$B$3:$B$5001,U$184,BD!$A$3:$A$5001,"&gt;="&amp;$C$7,BD!$A$3:$A$5001,"&lt;="&amp;$B202,BD!$L$3:$L$5001,"&lt;&gt;"))))</f>
        <v/>
      </c>
      <c r="V202" s="43" t="str">
        <f>IF(OR($B202="",$A202&gt;$B$9,V$184=""),"",IF(COUNTIFS(BD!$B$3:$B$5001,V$184,BD!$A$3:$A$5001,"&gt;="&amp;$C$7,BD!$A$3:$A$5001,"&lt;="&amp;$B202,BD!$L$3:$L$5001,"&lt;&gt;")=0,"",SUMIFS(BD!$L$3:$L$5001,BD!$B$3:$B$5001,V$184,BD!$A$3:$A$5001,_xlfn.MAXIFS(BD!$A$3:$A$5001,BD!$B$3:$B$5001,V$184,BD!$A$3:$A$5001,"&gt;="&amp;$C$7,BD!$A$3:$A$5001,"&lt;="&amp;$B202,BD!$L$3:$L$5001,"&lt;&gt;"))))</f>
        <v/>
      </c>
    </row>
    <row r="203">
      <c r="A203" s="38">
        <v>19</v>
      </c>
      <c r="B203" s="42">
        <f>$B$30</f>
        <v>46314</v>
      </c>
      <c r="C203" s="43" t="str">
        <f>IF(OR($B203="",$A203&gt;$B$9,C$184=""),"",IF(COUNTIFS(BD!$B$3:$B$5001,C$184,BD!$A$3:$A$5001,"&gt;="&amp;$C$7,BD!$A$3:$A$5001,"&lt;="&amp;$B203,BD!$L$3:$L$5001,"&lt;&gt;")=0,"",SUMIFS(BD!$L$3:$L$5001,BD!$B$3:$B$5001,C$184,BD!$A$3:$A$5001,_xlfn.MAXIFS(BD!$A$3:$A$5001,BD!$B$3:$B$5001,C$184,BD!$A$3:$A$5001,"&gt;="&amp;$C$7,BD!$A$3:$A$5001,"&lt;="&amp;$B203,BD!$L$3:$L$5001,"&lt;&gt;"))))</f>
        <v/>
      </c>
      <c r="D203" s="43" t="str">
        <f>IF(OR($B203="",$A203&gt;$B$9,D$184=""),"",IF(COUNTIFS(BD!$B$3:$B$5001,D$184,BD!$A$3:$A$5001,"&gt;="&amp;$C$7,BD!$A$3:$A$5001,"&lt;="&amp;$B203,BD!$L$3:$L$5001,"&lt;&gt;")=0,"",SUMIFS(BD!$L$3:$L$5001,BD!$B$3:$B$5001,D$184,BD!$A$3:$A$5001,_xlfn.MAXIFS(BD!$A$3:$A$5001,BD!$B$3:$B$5001,D$184,BD!$A$3:$A$5001,"&gt;="&amp;$C$7,BD!$A$3:$A$5001,"&lt;="&amp;$B203,BD!$L$3:$L$5001,"&lt;&gt;"))))</f>
        <v/>
      </c>
      <c r="E203" s="43" t="str">
        <f>IF(OR($B203="",$A203&gt;$B$9,E$184=""),"",IF(COUNTIFS(BD!$B$3:$B$5001,E$184,BD!$A$3:$A$5001,"&gt;="&amp;$C$7,BD!$A$3:$A$5001,"&lt;="&amp;$B203,BD!$L$3:$L$5001,"&lt;&gt;")=0,"",SUMIFS(BD!$L$3:$L$5001,BD!$B$3:$B$5001,E$184,BD!$A$3:$A$5001,_xlfn.MAXIFS(BD!$A$3:$A$5001,BD!$B$3:$B$5001,E$184,BD!$A$3:$A$5001,"&gt;="&amp;$C$7,BD!$A$3:$A$5001,"&lt;="&amp;$B203,BD!$L$3:$L$5001,"&lt;&gt;"))))</f>
        <v/>
      </c>
      <c r="F203" s="43" t="str">
        <f>IF(OR($B203="",$A203&gt;$B$9,F$184=""),"",IF(COUNTIFS(BD!$B$3:$B$5001,F$184,BD!$A$3:$A$5001,"&gt;="&amp;$C$7,BD!$A$3:$A$5001,"&lt;="&amp;$B203,BD!$L$3:$L$5001,"&lt;&gt;")=0,"",SUMIFS(BD!$L$3:$L$5001,BD!$B$3:$B$5001,F$184,BD!$A$3:$A$5001,_xlfn.MAXIFS(BD!$A$3:$A$5001,BD!$B$3:$B$5001,F$184,BD!$A$3:$A$5001,"&gt;="&amp;$C$7,BD!$A$3:$A$5001,"&lt;="&amp;$B203,BD!$L$3:$L$5001,"&lt;&gt;"))))</f>
        <v/>
      </c>
      <c r="G203" s="43" t="str">
        <f>IF(OR($B203="",$A203&gt;$B$9,G$184=""),"",IF(COUNTIFS(BD!$B$3:$B$5001,G$184,BD!$A$3:$A$5001,"&gt;="&amp;$C$7,BD!$A$3:$A$5001,"&lt;="&amp;$B203,BD!$L$3:$L$5001,"&lt;&gt;")=0,"",SUMIFS(BD!$L$3:$L$5001,BD!$B$3:$B$5001,G$184,BD!$A$3:$A$5001,_xlfn.MAXIFS(BD!$A$3:$A$5001,BD!$B$3:$B$5001,G$184,BD!$A$3:$A$5001,"&gt;="&amp;$C$7,BD!$A$3:$A$5001,"&lt;="&amp;$B203,BD!$L$3:$L$5001,"&lt;&gt;"))))</f>
        <v/>
      </c>
      <c r="H203" s="43" t="str">
        <f>IF(OR($B203="",$A203&gt;$B$9,H$184=""),"",IF(COUNTIFS(BD!$B$3:$B$5001,H$184,BD!$A$3:$A$5001,"&gt;="&amp;$C$7,BD!$A$3:$A$5001,"&lt;="&amp;$B203,BD!$L$3:$L$5001,"&lt;&gt;")=0,"",SUMIFS(BD!$L$3:$L$5001,BD!$B$3:$B$5001,H$184,BD!$A$3:$A$5001,_xlfn.MAXIFS(BD!$A$3:$A$5001,BD!$B$3:$B$5001,H$184,BD!$A$3:$A$5001,"&gt;="&amp;$C$7,BD!$A$3:$A$5001,"&lt;="&amp;$B203,BD!$L$3:$L$5001,"&lt;&gt;"))))</f>
        <v/>
      </c>
      <c r="I203" s="43" t="str">
        <f>IF(OR($B203="",$A203&gt;$B$9,I$184=""),"",IF(COUNTIFS(BD!$B$3:$B$5001,I$184,BD!$A$3:$A$5001,"&gt;="&amp;$C$7,BD!$A$3:$A$5001,"&lt;="&amp;$B203,BD!$L$3:$L$5001,"&lt;&gt;")=0,"",SUMIFS(BD!$L$3:$L$5001,BD!$B$3:$B$5001,I$184,BD!$A$3:$A$5001,_xlfn.MAXIFS(BD!$A$3:$A$5001,BD!$B$3:$B$5001,I$184,BD!$A$3:$A$5001,"&gt;="&amp;$C$7,BD!$A$3:$A$5001,"&lt;="&amp;$B203,BD!$L$3:$L$5001,"&lt;&gt;"))))</f>
        <v/>
      </c>
      <c r="J203" s="43" t="str">
        <f>IF(OR($B203="",$A203&gt;$B$9,J$184=""),"",IF(COUNTIFS(BD!$B$3:$B$5001,J$184,BD!$A$3:$A$5001,"&gt;="&amp;$C$7,BD!$A$3:$A$5001,"&lt;="&amp;$B203,BD!$L$3:$L$5001,"&lt;&gt;")=0,"",SUMIFS(BD!$L$3:$L$5001,BD!$B$3:$B$5001,J$184,BD!$A$3:$A$5001,_xlfn.MAXIFS(BD!$A$3:$A$5001,BD!$B$3:$B$5001,J$184,BD!$A$3:$A$5001,"&gt;="&amp;$C$7,BD!$A$3:$A$5001,"&lt;="&amp;$B203,BD!$L$3:$L$5001,"&lt;&gt;"))))</f>
        <v/>
      </c>
      <c r="K203" s="43" t="str">
        <f>IF(OR($B203="",$A203&gt;$B$9,K$184=""),"",IF(COUNTIFS(BD!$B$3:$B$5001,K$184,BD!$A$3:$A$5001,"&gt;="&amp;$C$7,BD!$A$3:$A$5001,"&lt;="&amp;$B203,BD!$L$3:$L$5001,"&lt;&gt;")=0,"",SUMIFS(BD!$L$3:$L$5001,BD!$B$3:$B$5001,K$184,BD!$A$3:$A$5001,_xlfn.MAXIFS(BD!$A$3:$A$5001,BD!$B$3:$B$5001,K$184,BD!$A$3:$A$5001,"&gt;="&amp;$C$7,BD!$A$3:$A$5001,"&lt;="&amp;$B203,BD!$L$3:$L$5001,"&lt;&gt;"))))</f>
        <v/>
      </c>
      <c r="L203" s="43" t="str">
        <f>IF(OR($B203="",$A203&gt;$B$9,L$184=""),"",IF(COUNTIFS(BD!$B$3:$B$5001,L$184,BD!$A$3:$A$5001,"&gt;="&amp;$C$7,BD!$A$3:$A$5001,"&lt;="&amp;$B203,BD!$L$3:$L$5001,"&lt;&gt;")=0,"",SUMIFS(BD!$L$3:$L$5001,BD!$B$3:$B$5001,L$184,BD!$A$3:$A$5001,_xlfn.MAXIFS(BD!$A$3:$A$5001,BD!$B$3:$B$5001,L$184,BD!$A$3:$A$5001,"&gt;="&amp;$C$7,BD!$A$3:$A$5001,"&lt;="&amp;$B203,BD!$L$3:$L$5001,"&lt;&gt;"))))</f>
        <v/>
      </c>
      <c r="M203" s="43" t="str">
        <f>IF(OR($B203="",$A203&gt;$B$9,M$184=""),"",IF(COUNTIFS(BD!$B$3:$B$5001,M$184,BD!$A$3:$A$5001,"&gt;="&amp;$C$7,BD!$A$3:$A$5001,"&lt;="&amp;$B203,BD!$L$3:$L$5001,"&lt;&gt;")=0,"",SUMIFS(BD!$L$3:$L$5001,BD!$B$3:$B$5001,M$184,BD!$A$3:$A$5001,_xlfn.MAXIFS(BD!$A$3:$A$5001,BD!$B$3:$B$5001,M$184,BD!$A$3:$A$5001,"&gt;="&amp;$C$7,BD!$A$3:$A$5001,"&lt;="&amp;$B203,BD!$L$3:$L$5001,"&lt;&gt;"))))</f>
        <v/>
      </c>
      <c r="N203" s="43" t="str">
        <f>IF(OR($B203="",$A203&gt;$B$9,N$184=""),"",IF(COUNTIFS(BD!$B$3:$B$5001,N$184,BD!$A$3:$A$5001,"&gt;="&amp;$C$7,BD!$A$3:$A$5001,"&lt;="&amp;$B203,BD!$L$3:$L$5001,"&lt;&gt;")=0,"",SUMIFS(BD!$L$3:$L$5001,BD!$B$3:$B$5001,N$184,BD!$A$3:$A$5001,_xlfn.MAXIFS(BD!$A$3:$A$5001,BD!$B$3:$B$5001,N$184,BD!$A$3:$A$5001,"&gt;="&amp;$C$7,BD!$A$3:$A$5001,"&lt;="&amp;$B203,BD!$L$3:$L$5001,"&lt;&gt;"))))</f>
        <v/>
      </c>
      <c r="O203" s="43" t="str">
        <f>IF(OR($B203="",$A203&gt;$B$9,O$184=""),"",IF(COUNTIFS(BD!$B$3:$B$5001,O$184,BD!$A$3:$A$5001,"&gt;="&amp;$C$7,BD!$A$3:$A$5001,"&lt;="&amp;$B203,BD!$L$3:$L$5001,"&lt;&gt;")=0,"",SUMIFS(BD!$L$3:$L$5001,BD!$B$3:$B$5001,O$184,BD!$A$3:$A$5001,_xlfn.MAXIFS(BD!$A$3:$A$5001,BD!$B$3:$B$5001,O$184,BD!$A$3:$A$5001,"&gt;="&amp;$C$7,BD!$A$3:$A$5001,"&lt;="&amp;$B203,BD!$L$3:$L$5001,"&lt;&gt;"))))</f>
        <v/>
      </c>
      <c r="P203" s="43" t="str">
        <f>IF(OR($B203="",$A203&gt;$B$9,P$184=""),"",IF(COUNTIFS(BD!$B$3:$B$5001,P$184,BD!$A$3:$A$5001,"&gt;="&amp;$C$7,BD!$A$3:$A$5001,"&lt;="&amp;$B203,BD!$L$3:$L$5001,"&lt;&gt;")=0,"",SUMIFS(BD!$L$3:$L$5001,BD!$B$3:$B$5001,P$184,BD!$A$3:$A$5001,_xlfn.MAXIFS(BD!$A$3:$A$5001,BD!$B$3:$B$5001,P$184,BD!$A$3:$A$5001,"&gt;="&amp;$C$7,BD!$A$3:$A$5001,"&lt;="&amp;$B203,BD!$L$3:$L$5001,"&lt;&gt;"))))</f>
        <v/>
      </c>
      <c r="Q203" s="43" t="str">
        <f>IF(OR($B203="",$A203&gt;$B$9,Q$184=""),"",IF(COUNTIFS(BD!$B$3:$B$5001,Q$184,BD!$A$3:$A$5001,"&gt;="&amp;$C$7,BD!$A$3:$A$5001,"&lt;="&amp;$B203,BD!$L$3:$L$5001,"&lt;&gt;")=0,"",SUMIFS(BD!$L$3:$L$5001,BD!$B$3:$B$5001,Q$184,BD!$A$3:$A$5001,_xlfn.MAXIFS(BD!$A$3:$A$5001,BD!$B$3:$B$5001,Q$184,BD!$A$3:$A$5001,"&gt;="&amp;$C$7,BD!$A$3:$A$5001,"&lt;="&amp;$B203,BD!$L$3:$L$5001,"&lt;&gt;"))))</f>
        <v/>
      </c>
      <c r="R203" s="43" t="str">
        <f>IF(OR($B203="",$A203&gt;$B$9,R$184=""),"",IF(COUNTIFS(BD!$B$3:$B$5001,R$184,BD!$A$3:$A$5001,"&gt;="&amp;$C$7,BD!$A$3:$A$5001,"&lt;="&amp;$B203,BD!$L$3:$L$5001,"&lt;&gt;")=0,"",SUMIFS(BD!$L$3:$L$5001,BD!$B$3:$B$5001,R$184,BD!$A$3:$A$5001,_xlfn.MAXIFS(BD!$A$3:$A$5001,BD!$B$3:$B$5001,R$184,BD!$A$3:$A$5001,"&gt;="&amp;$C$7,BD!$A$3:$A$5001,"&lt;="&amp;$B203,BD!$L$3:$L$5001,"&lt;&gt;"))))</f>
        <v/>
      </c>
      <c r="S203" s="43" t="str">
        <f>IF(OR($B203="",$A203&gt;$B$9,S$184=""),"",IF(COUNTIFS(BD!$B$3:$B$5001,S$184,BD!$A$3:$A$5001,"&gt;="&amp;$C$7,BD!$A$3:$A$5001,"&lt;="&amp;$B203,BD!$L$3:$L$5001,"&lt;&gt;")=0,"",SUMIFS(BD!$L$3:$L$5001,BD!$B$3:$B$5001,S$184,BD!$A$3:$A$5001,_xlfn.MAXIFS(BD!$A$3:$A$5001,BD!$B$3:$B$5001,S$184,BD!$A$3:$A$5001,"&gt;="&amp;$C$7,BD!$A$3:$A$5001,"&lt;="&amp;$B203,BD!$L$3:$L$5001,"&lt;&gt;"))))</f>
        <v/>
      </c>
      <c r="T203" s="43" t="str">
        <f>IF(OR($B203="",$A203&gt;$B$9,T$184=""),"",IF(COUNTIFS(BD!$B$3:$B$5001,T$184,BD!$A$3:$A$5001,"&gt;="&amp;$C$7,BD!$A$3:$A$5001,"&lt;="&amp;$B203,BD!$L$3:$L$5001,"&lt;&gt;")=0,"",SUMIFS(BD!$L$3:$L$5001,BD!$B$3:$B$5001,T$184,BD!$A$3:$A$5001,_xlfn.MAXIFS(BD!$A$3:$A$5001,BD!$B$3:$B$5001,T$184,BD!$A$3:$A$5001,"&gt;="&amp;$C$7,BD!$A$3:$A$5001,"&lt;="&amp;$B203,BD!$L$3:$L$5001,"&lt;&gt;"))))</f>
        <v/>
      </c>
      <c r="U203" s="43" t="str">
        <f>IF(OR($B203="",$A203&gt;$B$9,U$184=""),"",IF(COUNTIFS(BD!$B$3:$B$5001,U$184,BD!$A$3:$A$5001,"&gt;="&amp;$C$7,BD!$A$3:$A$5001,"&lt;="&amp;$B203,BD!$L$3:$L$5001,"&lt;&gt;")=0,"",SUMIFS(BD!$L$3:$L$5001,BD!$B$3:$B$5001,U$184,BD!$A$3:$A$5001,_xlfn.MAXIFS(BD!$A$3:$A$5001,BD!$B$3:$B$5001,U$184,BD!$A$3:$A$5001,"&gt;="&amp;$C$7,BD!$A$3:$A$5001,"&lt;="&amp;$B203,BD!$L$3:$L$5001,"&lt;&gt;"))))</f>
        <v/>
      </c>
      <c r="V203" s="43" t="str">
        <f>IF(OR($B203="",$A203&gt;$B$9,V$184=""),"",IF(COUNTIFS(BD!$B$3:$B$5001,V$184,BD!$A$3:$A$5001,"&gt;="&amp;$C$7,BD!$A$3:$A$5001,"&lt;="&amp;$B203,BD!$L$3:$L$5001,"&lt;&gt;")=0,"",SUMIFS(BD!$L$3:$L$5001,BD!$B$3:$B$5001,V$184,BD!$A$3:$A$5001,_xlfn.MAXIFS(BD!$A$3:$A$5001,BD!$B$3:$B$5001,V$184,BD!$A$3:$A$5001,"&gt;="&amp;$C$7,BD!$A$3:$A$5001,"&lt;="&amp;$B203,BD!$L$3:$L$5001,"&lt;&gt;"))))</f>
        <v/>
      </c>
    </row>
    <row r="204">
      <c r="A204" s="38">
        <v>20</v>
      </c>
      <c r="B204" s="42">
        <f>$B$31</f>
        <v>46315</v>
      </c>
      <c r="C204" s="43" t="str">
        <f>IF(OR($B204="",$A204&gt;$B$9,C$184=""),"",IF(COUNTIFS(BD!$B$3:$B$5001,C$184,BD!$A$3:$A$5001,"&gt;="&amp;$C$7,BD!$A$3:$A$5001,"&lt;="&amp;$B204,BD!$L$3:$L$5001,"&lt;&gt;")=0,"",SUMIFS(BD!$L$3:$L$5001,BD!$B$3:$B$5001,C$184,BD!$A$3:$A$5001,_xlfn.MAXIFS(BD!$A$3:$A$5001,BD!$B$3:$B$5001,C$184,BD!$A$3:$A$5001,"&gt;="&amp;$C$7,BD!$A$3:$A$5001,"&lt;="&amp;$B204,BD!$L$3:$L$5001,"&lt;&gt;"))))</f>
        <v/>
      </c>
      <c r="D204" s="43" t="str">
        <f>IF(OR($B204="",$A204&gt;$B$9,D$184=""),"",IF(COUNTIFS(BD!$B$3:$B$5001,D$184,BD!$A$3:$A$5001,"&gt;="&amp;$C$7,BD!$A$3:$A$5001,"&lt;="&amp;$B204,BD!$L$3:$L$5001,"&lt;&gt;")=0,"",SUMIFS(BD!$L$3:$L$5001,BD!$B$3:$B$5001,D$184,BD!$A$3:$A$5001,_xlfn.MAXIFS(BD!$A$3:$A$5001,BD!$B$3:$B$5001,D$184,BD!$A$3:$A$5001,"&gt;="&amp;$C$7,BD!$A$3:$A$5001,"&lt;="&amp;$B204,BD!$L$3:$L$5001,"&lt;&gt;"))))</f>
        <v/>
      </c>
      <c r="E204" s="43" t="str">
        <f>IF(OR($B204="",$A204&gt;$B$9,E$184=""),"",IF(COUNTIFS(BD!$B$3:$B$5001,E$184,BD!$A$3:$A$5001,"&gt;="&amp;$C$7,BD!$A$3:$A$5001,"&lt;="&amp;$B204,BD!$L$3:$L$5001,"&lt;&gt;")=0,"",SUMIFS(BD!$L$3:$L$5001,BD!$B$3:$B$5001,E$184,BD!$A$3:$A$5001,_xlfn.MAXIFS(BD!$A$3:$A$5001,BD!$B$3:$B$5001,E$184,BD!$A$3:$A$5001,"&gt;="&amp;$C$7,BD!$A$3:$A$5001,"&lt;="&amp;$B204,BD!$L$3:$L$5001,"&lt;&gt;"))))</f>
        <v/>
      </c>
      <c r="F204" s="43" t="str">
        <f>IF(OR($B204="",$A204&gt;$B$9,F$184=""),"",IF(COUNTIFS(BD!$B$3:$B$5001,F$184,BD!$A$3:$A$5001,"&gt;="&amp;$C$7,BD!$A$3:$A$5001,"&lt;="&amp;$B204,BD!$L$3:$L$5001,"&lt;&gt;")=0,"",SUMIFS(BD!$L$3:$L$5001,BD!$B$3:$B$5001,F$184,BD!$A$3:$A$5001,_xlfn.MAXIFS(BD!$A$3:$A$5001,BD!$B$3:$B$5001,F$184,BD!$A$3:$A$5001,"&gt;="&amp;$C$7,BD!$A$3:$A$5001,"&lt;="&amp;$B204,BD!$L$3:$L$5001,"&lt;&gt;"))))</f>
        <v/>
      </c>
      <c r="G204" s="43" t="str">
        <f>IF(OR($B204="",$A204&gt;$B$9,G$184=""),"",IF(COUNTIFS(BD!$B$3:$B$5001,G$184,BD!$A$3:$A$5001,"&gt;="&amp;$C$7,BD!$A$3:$A$5001,"&lt;="&amp;$B204,BD!$L$3:$L$5001,"&lt;&gt;")=0,"",SUMIFS(BD!$L$3:$L$5001,BD!$B$3:$B$5001,G$184,BD!$A$3:$A$5001,_xlfn.MAXIFS(BD!$A$3:$A$5001,BD!$B$3:$B$5001,G$184,BD!$A$3:$A$5001,"&gt;="&amp;$C$7,BD!$A$3:$A$5001,"&lt;="&amp;$B204,BD!$L$3:$L$5001,"&lt;&gt;"))))</f>
        <v/>
      </c>
      <c r="H204" s="43" t="str">
        <f>IF(OR($B204="",$A204&gt;$B$9,H$184=""),"",IF(COUNTIFS(BD!$B$3:$B$5001,H$184,BD!$A$3:$A$5001,"&gt;="&amp;$C$7,BD!$A$3:$A$5001,"&lt;="&amp;$B204,BD!$L$3:$L$5001,"&lt;&gt;")=0,"",SUMIFS(BD!$L$3:$L$5001,BD!$B$3:$B$5001,H$184,BD!$A$3:$A$5001,_xlfn.MAXIFS(BD!$A$3:$A$5001,BD!$B$3:$B$5001,H$184,BD!$A$3:$A$5001,"&gt;="&amp;$C$7,BD!$A$3:$A$5001,"&lt;="&amp;$B204,BD!$L$3:$L$5001,"&lt;&gt;"))))</f>
        <v/>
      </c>
      <c r="I204" s="43" t="str">
        <f>IF(OR($B204="",$A204&gt;$B$9,I$184=""),"",IF(COUNTIFS(BD!$B$3:$B$5001,I$184,BD!$A$3:$A$5001,"&gt;="&amp;$C$7,BD!$A$3:$A$5001,"&lt;="&amp;$B204,BD!$L$3:$L$5001,"&lt;&gt;")=0,"",SUMIFS(BD!$L$3:$L$5001,BD!$B$3:$B$5001,I$184,BD!$A$3:$A$5001,_xlfn.MAXIFS(BD!$A$3:$A$5001,BD!$B$3:$B$5001,I$184,BD!$A$3:$A$5001,"&gt;="&amp;$C$7,BD!$A$3:$A$5001,"&lt;="&amp;$B204,BD!$L$3:$L$5001,"&lt;&gt;"))))</f>
        <v/>
      </c>
      <c r="J204" s="43" t="str">
        <f>IF(OR($B204="",$A204&gt;$B$9,J$184=""),"",IF(COUNTIFS(BD!$B$3:$B$5001,J$184,BD!$A$3:$A$5001,"&gt;="&amp;$C$7,BD!$A$3:$A$5001,"&lt;="&amp;$B204,BD!$L$3:$L$5001,"&lt;&gt;")=0,"",SUMIFS(BD!$L$3:$L$5001,BD!$B$3:$B$5001,J$184,BD!$A$3:$A$5001,_xlfn.MAXIFS(BD!$A$3:$A$5001,BD!$B$3:$B$5001,J$184,BD!$A$3:$A$5001,"&gt;="&amp;$C$7,BD!$A$3:$A$5001,"&lt;="&amp;$B204,BD!$L$3:$L$5001,"&lt;&gt;"))))</f>
        <v/>
      </c>
      <c r="K204" s="43" t="str">
        <f>IF(OR($B204="",$A204&gt;$B$9,K$184=""),"",IF(COUNTIFS(BD!$B$3:$B$5001,K$184,BD!$A$3:$A$5001,"&gt;="&amp;$C$7,BD!$A$3:$A$5001,"&lt;="&amp;$B204,BD!$L$3:$L$5001,"&lt;&gt;")=0,"",SUMIFS(BD!$L$3:$L$5001,BD!$B$3:$B$5001,K$184,BD!$A$3:$A$5001,_xlfn.MAXIFS(BD!$A$3:$A$5001,BD!$B$3:$B$5001,K$184,BD!$A$3:$A$5001,"&gt;="&amp;$C$7,BD!$A$3:$A$5001,"&lt;="&amp;$B204,BD!$L$3:$L$5001,"&lt;&gt;"))))</f>
        <v/>
      </c>
      <c r="L204" s="43" t="str">
        <f>IF(OR($B204="",$A204&gt;$B$9,L$184=""),"",IF(COUNTIFS(BD!$B$3:$B$5001,L$184,BD!$A$3:$A$5001,"&gt;="&amp;$C$7,BD!$A$3:$A$5001,"&lt;="&amp;$B204,BD!$L$3:$L$5001,"&lt;&gt;")=0,"",SUMIFS(BD!$L$3:$L$5001,BD!$B$3:$B$5001,L$184,BD!$A$3:$A$5001,_xlfn.MAXIFS(BD!$A$3:$A$5001,BD!$B$3:$B$5001,L$184,BD!$A$3:$A$5001,"&gt;="&amp;$C$7,BD!$A$3:$A$5001,"&lt;="&amp;$B204,BD!$L$3:$L$5001,"&lt;&gt;"))))</f>
        <v/>
      </c>
      <c r="M204" s="43" t="str">
        <f>IF(OR($B204="",$A204&gt;$B$9,M$184=""),"",IF(COUNTIFS(BD!$B$3:$B$5001,M$184,BD!$A$3:$A$5001,"&gt;="&amp;$C$7,BD!$A$3:$A$5001,"&lt;="&amp;$B204,BD!$L$3:$L$5001,"&lt;&gt;")=0,"",SUMIFS(BD!$L$3:$L$5001,BD!$B$3:$B$5001,M$184,BD!$A$3:$A$5001,_xlfn.MAXIFS(BD!$A$3:$A$5001,BD!$B$3:$B$5001,M$184,BD!$A$3:$A$5001,"&gt;="&amp;$C$7,BD!$A$3:$A$5001,"&lt;="&amp;$B204,BD!$L$3:$L$5001,"&lt;&gt;"))))</f>
        <v/>
      </c>
      <c r="N204" s="43" t="str">
        <f>IF(OR($B204="",$A204&gt;$B$9,N$184=""),"",IF(COUNTIFS(BD!$B$3:$B$5001,N$184,BD!$A$3:$A$5001,"&gt;="&amp;$C$7,BD!$A$3:$A$5001,"&lt;="&amp;$B204,BD!$L$3:$L$5001,"&lt;&gt;")=0,"",SUMIFS(BD!$L$3:$L$5001,BD!$B$3:$B$5001,N$184,BD!$A$3:$A$5001,_xlfn.MAXIFS(BD!$A$3:$A$5001,BD!$B$3:$B$5001,N$184,BD!$A$3:$A$5001,"&gt;="&amp;$C$7,BD!$A$3:$A$5001,"&lt;="&amp;$B204,BD!$L$3:$L$5001,"&lt;&gt;"))))</f>
        <v/>
      </c>
      <c r="O204" s="43" t="str">
        <f>IF(OR($B204="",$A204&gt;$B$9,O$184=""),"",IF(COUNTIFS(BD!$B$3:$B$5001,O$184,BD!$A$3:$A$5001,"&gt;="&amp;$C$7,BD!$A$3:$A$5001,"&lt;="&amp;$B204,BD!$L$3:$L$5001,"&lt;&gt;")=0,"",SUMIFS(BD!$L$3:$L$5001,BD!$B$3:$B$5001,O$184,BD!$A$3:$A$5001,_xlfn.MAXIFS(BD!$A$3:$A$5001,BD!$B$3:$B$5001,O$184,BD!$A$3:$A$5001,"&gt;="&amp;$C$7,BD!$A$3:$A$5001,"&lt;="&amp;$B204,BD!$L$3:$L$5001,"&lt;&gt;"))))</f>
        <v/>
      </c>
      <c r="P204" s="43" t="str">
        <f>IF(OR($B204="",$A204&gt;$B$9,P$184=""),"",IF(COUNTIFS(BD!$B$3:$B$5001,P$184,BD!$A$3:$A$5001,"&gt;="&amp;$C$7,BD!$A$3:$A$5001,"&lt;="&amp;$B204,BD!$L$3:$L$5001,"&lt;&gt;")=0,"",SUMIFS(BD!$L$3:$L$5001,BD!$B$3:$B$5001,P$184,BD!$A$3:$A$5001,_xlfn.MAXIFS(BD!$A$3:$A$5001,BD!$B$3:$B$5001,P$184,BD!$A$3:$A$5001,"&gt;="&amp;$C$7,BD!$A$3:$A$5001,"&lt;="&amp;$B204,BD!$L$3:$L$5001,"&lt;&gt;"))))</f>
        <v/>
      </c>
      <c r="Q204" s="43" t="str">
        <f>IF(OR($B204="",$A204&gt;$B$9,Q$184=""),"",IF(COUNTIFS(BD!$B$3:$B$5001,Q$184,BD!$A$3:$A$5001,"&gt;="&amp;$C$7,BD!$A$3:$A$5001,"&lt;="&amp;$B204,BD!$L$3:$L$5001,"&lt;&gt;")=0,"",SUMIFS(BD!$L$3:$L$5001,BD!$B$3:$B$5001,Q$184,BD!$A$3:$A$5001,_xlfn.MAXIFS(BD!$A$3:$A$5001,BD!$B$3:$B$5001,Q$184,BD!$A$3:$A$5001,"&gt;="&amp;$C$7,BD!$A$3:$A$5001,"&lt;="&amp;$B204,BD!$L$3:$L$5001,"&lt;&gt;"))))</f>
        <v/>
      </c>
      <c r="R204" s="43" t="str">
        <f>IF(OR($B204="",$A204&gt;$B$9,R$184=""),"",IF(COUNTIFS(BD!$B$3:$B$5001,R$184,BD!$A$3:$A$5001,"&gt;="&amp;$C$7,BD!$A$3:$A$5001,"&lt;="&amp;$B204,BD!$L$3:$L$5001,"&lt;&gt;")=0,"",SUMIFS(BD!$L$3:$L$5001,BD!$B$3:$B$5001,R$184,BD!$A$3:$A$5001,_xlfn.MAXIFS(BD!$A$3:$A$5001,BD!$B$3:$B$5001,R$184,BD!$A$3:$A$5001,"&gt;="&amp;$C$7,BD!$A$3:$A$5001,"&lt;="&amp;$B204,BD!$L$3:$L$5001,"&lt;&gt;"))))</f>
        <v/>
      </c>
      <c r="S204" s="43" t="str">
        <f>IF(OR($B204="",$A204&gt;$B$9,S$184=""),"",IF(COUNTIFS(BD!$B$3:$B$5001,S$184,BD!$A$3:$A$5001,"&gt;="&amp;$C$7,BD!$A$3:$A$5001,"&lt;="&amp;$B204,BD!$L$3:$L$5001,"&lt;&gt;")=0,"",SUMIFS(BD!$L$3:$L$5001,BD!$B$3:$B$5001,S$184,BD!$A$3:$A$5001,_xlfn.MAXIFS(BD!$A$3:$A$5001,BD!$B$3:$B$5001,S$184,BD!$A$3:$A$5001,"&gt;="&amp;$C$7,BD!$A$3:$A$5001,"&lt;="&amp;$B204,BD!$L$3:$L$5001,"&lt;&gt;"))))</f>
        <v/>
      </c>
      <c r="T204" s="43" t="str">
        <f>IF(OR($B204="",$A204&gt;$B$9,T$184=""),"",IF(COUNTIFS(BD!$B$3:$B$5001,T$184,BD!$A$3:$A$5001,"&gt;="&amp;$C$7,BD!$A$3:$A$5001,"&lt;="&amp;$B204,BD!$L$3:$L$5001,"&lt;&gt;")=0,"",SUMIFS(BD!$L$3:$L$5001,BD!$B$3:$B$5001,T$184,BD!$A$3:$A$5001,_xlfn.MAXIFS(BD!$A$3:$A$5001,BD!$B$3:$B$5001,T$184,BD!$A$3:$A$5001,"&gt;="&amp;$C$7,BD!$A$3:$A$5001,"&lt;="&amp;$B204,BD!$L$3:$L$5001,"&lt;&gt;"))))</f>
        <v/>
      </c>
      <c r="U204" s="43" t="str">
        <f>IF(OR($B204="",$A204&gt;$B$9,U$184=""),"",IF(COUNTIFS(BD!$B$3:$B$5001,U$184,BD!$A$3:$A$5001,"&gt;="&amp;$C$7,BD!$A$3:$A$5001,"&lt;="&amp;$B204,BD!$L$3:$L$5001,"&lt;&gt;")=0,"",SUMIFS(BD!$L$3:$L$5001,BD!$B$3:$B$5001,U$184,BD!$A$3:$A$5001,_xlfn.MAXIFS(BD!$A$3:$A$5001,BD!$B$3:$B$5001,U$184,BD!$A$3:$A$5001,"&gt;="&amp;$C$7,BD!$A$3:$A$5001,"&lt;="&amp;$B204,BD!$L$3:$L$5001,"&lt;&gt;"))))</f>
        <v/>
      </c>
      <c r="V204" s="43" t="str">
        <f>IF(OR($B204="",$A204&gt;$B$9,V$184=""),"",IF(COUNTIFS(BD!$B$3:$B$5001,V$184,BD!$A$3:$A$5001,"&gt;="&amp;$C$7,BD!$A$3:$A$5001,"&lt;="&amp;$B204,BD!$L$3:$L$5001,"&lt;&gt;")=0,"",SUMIFS(BD!$L$3:$L$5001,BD!$B$3:$B$5001,V$184,BD!$A$3:$A$5001,_xlfn.MAXIFS(BD!$A$3:$A$5001,BD!$B$3:$B$5001,V$184,BD!$A$3:$A$5001,"&gt;="&amp;$C$7,BD!$A$3:$A$5001,"&lt;="&amp;$B204,BD!$L$3:$L$5001,"&lt;&gt;"))))</f>
        <v/>
      </c>
    </row>
    <row r="205">
      <c r="A205" s="38">
        <v>21</v>
      </c>
      <c r="B205" s="42">
        <f>$B$32</f>
        <v>46316</v>
      </c>
      <c r="C205" s="43" t="str">
        <f>IF(OR($B205="",$A205&gt;$B$9,C$184=""),"",IF(COUNTIFS(BD!$B$3:$B$5001,C$184,BD!$A$3:$A$5001,"&gt;="&amp;$C$7,BD!$A$3:$A$5001,"&lt;="&amp;$B205,BD!$L$3:$L$5001,"&lt;&gt;")=0,"",SUMIFS(BD!$L$3:$L$5001,BD!$B$3:$B$5001,C$184,BD!$A$3:$A$5001,_xlfn.MAXIFS(BD!$A$3:$A$5001,BD!$B$3:$B$5001,C$184,BD!$A$3:$A$5001,"&gt;="&amp;$C$7,BD!$A$3:$A$5001,"&lt;="&amp;$B205,BD!$L$3:$L$5001,"&lt;&gt;"))))</f>
        <v/>
      </c>
      <c r="D205" s="43" t="str">
        <f>IF(OR($B205="",$A205&gt;$B$9,D$184=""),"",IF(COUNTIFS(BD!$B$3:$B$5001,D$184,BD!$A$3:$A$5001,"&gt;="&amp;$C$7,BD!$A$3:$A$5001,"&lt;="&amp;$B205,BD!$L$3:$L$5001,"&lt;&gt;")=0,"",SUMIFS(BD!$L$3:$L$5001,BD!$B$3:$B$5001,D$184,BD!$A$3:$A$5001,_xlfn.MAXIFS(BD!$A$3:$A$5001,BD!$B$3:$B$5001,D$184,BD!$A$3:$A$5001,"&gt;="&amp;$C$7,BD!$A$3:$A$5001,"&lt;="&amp;$B205,BD!$L$3:$L$5001,"&lt;&gt;"))))</f>
        <v/>
      </c>
      <c r="E205" s="43" t="str">
        <f>IF(OR($B205="",$A205&gt;$B$9,E$184=""),"",IF(COUNTIFS(BD!$B$3:$B$5001,E$184,BD!$A$3:$A$5001,"&gt;="&amp;$C$7,BD!$A$3:$A$5001,"&lt;="&amp;$B205,BD!$L$3:$L$5001,"&lt;&gt;")=0,"",SUMIFS(BD!$L$3:$L$5001,BD!$B$3:$B$5001,E$184,BD!$A$3:$A$5001,_xlfn.MAXIFS(BD!$A$3:$A$5001,BD!$B$3:$B$5001,E$184,BD!$A$3:$A$5001,"&gt;="&amp;$C$7,BD!$A$3:$A$5001,"&lt;="&amp;$B205,BD!$L$3:$L$5001,"&lt;&gt;"))))</f>
        <v/>
      </c>
      <c r="F205" s="43" t="str">
        <f>IF(OR($B205="",$A205&gt;$B$9,F$184=""),"",IF(COUNTIFS(BD!$B$3:$B$5001,F$184,BD!$A$3:$A$5001,"&gt;="&amp;$C$7,BD!$A$3:$A$5001,"&lt;="&amp;$B205,BD!$L$3:$L$5001,"&lt;&gt;")=0,"",SUMIFS(BD!$L$3:$L$5001,BD!$B$3:$B$5001,F$184,BD!$A$3:$A$5001,_xlfn.MAXIFS(BD!$A$3:$A$5001,BD!$B$3:$B$5001,F$184,BD!$A$3:$A$5001,"&gt;="&amp;$C$7,BD!$A$3:$A$5001,"&lt;="&amp;$B205,BD!$L$3:$L$5001,"&lt;&gt;"))))</f>
        <v/>
      </c>
      <c r="G205" s="43" t="str">
        <f>IF(OR($B205="",$A205&gt;$B$9,G$184=""),"",IF(COUNTIFS(BD!$B$3:$B$5001,G$184,BD!$A$3:$A$5001,"&gt;="&amp;$C$7,BD!$A$3:$A$5001,"&lt;="&amp;$B205,BD!$L$3:$L$5001,"&lt;&gt;")=0,"",SUMIFS(BD!$L$3:$L$5001,BD!$B$3:$B$5001,G$184,BD!$A$3:$A$5001,_xlfn.MAXIFS(BD!$A$3:$A$5001,BD!$B$3:$B$5001,G$184,BD!$A$3:$A$5001,"&gt;="&amp;$C$7,BD!$A$3:$A$5001,"&lt;="&amp;$B205,BD!$L$3:$L$5001,"&lt;&gt;"))))</f>
        <v/>
      </c>
      <c r="H205" s="43" t="str">
        <f>IF(OR($B205="",$A205&gt;$B$9,H$184=""),"",IF(COUNTIFS(BD!$B$3:$B$5001,H$184,BD!$A$3:$A$5001,"&gt;="&amp;$C$7,BD!$A$3:$A$5001,"&lt;="&amp;$B205,BD!$L$3:$L$5001,"&lt;&gt;")=0,"",SUMIFS(BD!$L$3:$L$5001,BD!$B$3:$B$5001,H$184,BD!$A$3:$A$5001,_xlfn.MAXIFS(BD!$A$3:$A$5001,BD!$B$3:$B$5001,H$184,BD!$A$3:$A$5001,"&gt;="&amp;$C$7,BD!$A$3:$A$5001,"&lt;="&amp;$B205,BD!$L$3:$L$5001,"&lt;&gt;"))))</f>
        <v/>
      </c>
      <c r="I205" s="43" t="str">
        <f>IF(OR($B205="",$A205&gt;$B$9,I$184=""),"",IF(COUNTIFS(BD!$B$3:$B$5001,I$184,BD!$A$3:$A$5001,"&gt;="&amp;$C$7,BD!$A$3:$A$5001,"&lt;="&amp;$B205,BD!$L$3:$L$5001,"&lt;&gt;")=0,"",SUMIFS(BD!$L$3:$L$5001,BD!$B$3:$B$5001,I$184,BD!$A$3:$A$5001,_xlfn.MAXIFS(BD!$A$3:$A$5001,BD!$B$3:$B$5001,I$184,BD!$A$3:$A$5001,"&gt;="&amp;$C$7,BD!$A$3:$A$5001,"&lt;="&amp;$B205,BD!$L$3:$L$5001,"&lt;&gt;"))))</f>
        <v/>
      </c>
      <c r="J205" s="43" t="str">
        <f>IF(OR($B205="",$A205&gt;$B$9,J$184=""),"",IF(COUNTIFS(BD!$B$3:$B$5001,J$184,BD!$A$3:$A$5001,"&gt;="&amp;$C$7,BD!$A$3:$A$5001,"&lt;="&amp;$B205,BD!$L$3:$L$5001,"&lt;&gt;")=0,"",SUMIFS(BD!$L$3:$L$5001,BD!$B$3:$B$5001,J$184,BD!$A$3:$A$5001,_xlfn.MAXIFS(BD!$A$3:$A$5001,BD!$B$3:$B$5001,J$184,BD!$A$3:$A$5001,"&gt;="&amp;$C$7,BD!$A$3:$A$5001,"&lt;="&amp;$B205,BD!$L$3:$L$5001,"&lt;&gt;"))))</f>
        <v/>
      </c>
      <c r="K205" s="43" t="str">
        <f>IF(OR($B205="",$A205&gt;$B$9,K$184=""),"",IF(COUNTIFS(BD!$B$3:$B$5001,K$184,BD!$A$3:$A$5001,"&gt;="&amp;$C$7,BD!$A$3:$A$5001,"&lt;="&amp;$B205,BD!$L$3:$L$5001,"&lt;&gt;")=0,"",SUMIFS(BD!$L$3:$L$5001,BD!$B$3:$B$5001,K$184,BD!$A$3:$A$5001,_xlfn.MAXIFS(BD!$A$3:$A$5001,BD!$B$3:$B$5001,K$184,BD!$A$3:$A$5001,"&gt;="&amp;$C$7,BD!$A$3:$A$5001,"&lt;="&amp;$B205,BD!$L$3:$L$5001,"&lt;&gt;"))))</f>
        <v/>
      </c>
      <c r="L205" s="43" t="str">
        <f>IF(OR($B205="",$A205&gt;$B$9,L$184=""),"",IF(COUNTIFS(BD!$B$3:$B$5001,L$184,BD!$A$3:$A$5001,"&gt;="&amp;$C$7,BD!$A$3:$A$5001,"&lt;="&amp;$B205,BD!$L$3:$L$5001,"&lt;&gt;")=0,"",SUMIFS(BD!$L$3:$L$5001,BD!$B$3:$B$5001,L$184,BD!$A$3:$A$5001,_xlfn.MAXIFS(BD!$A$3:$A$5001,BD!$B$3:$B$5001,L$184,BD!$A$3:$A$5001,"&gt;="&amp;$C$7,BD!$A$3:$A$5001,"&lt;="&amp;$B205,BD!$L$3:$L$5001,"&lt;&gt;"))))</f>
        <v/>
      </c>
      <c r="M205" s="43" t="str">
        <f>IF(OR($B205="",$A205&gt;$B$9,M$184=""),"",IF(COUNTIFS(BD!$B$3:$B$5001,M$184,BD!$A$3:$A$5001,"&gt;="&amp;$C$7,BD!$A$3:$A$5001,"&lt;="&amp;$B205,BD!$L$3:$L$5001,"&lt;&gt;")=0,"",SUMIFS(BD!$L$3:$L$5001,BD!$B$3:$B$5001,M$184,BD!$A$3:$A$5001,_xlfn.MAXIFS(BD!$A$3:$A$5001,BD!$B$3:$B$5001,M$184,BD!$A$3:$A$5001,"&gt;="&amp;$C$7,BD!$A$3:$A$5001,"&lt;="&amp;$B205,BD!$L$3:$L$5001,"&lt;&gt;"))))</f>
        <v/>
      </c>
      <c r="N205" s="43" t="str">
        <f>IF(OR($B205="",$A205&gt;$B$9,N$184=""),"",IF(COUNTIFS(BD!$B$3:$B$5001,N$184,BD!$A$3:$A$5001,"&gt;="&amp;$C$7,BD!$A$3:$A$5001,"&lt;="&amp;$B205,BD!$L$3:$L$5001,"&lt;&gt;")=0,"",SUMIFS(BD!$L$3:$L$5001,BD!$B$3:$B$5001,N$184,BD!$A$3:$A$5001,_xlfn.MAXIFS(BD!$A$3:$A$5001,BD!$B$3:$B$5001,N$184,BD!$A$3:$A$5001,"&gt;="&amp;$C$7,BD!$A$3:$A$5001,"&lt;="&amp;$B205,BD!$L$3:$L$5001,"&lt;&gt;"))))</f>
        <v/>
      </c>
      <c r="O205" s="43" t="str">
        <f>IF(OR($B205="",$A205&gt;$B$9,O$184=""),"",IF(COUNTIFS(BD!$B$3:$B$5001,O$184,BD!$A$3:$A$5001,"&gt;="&amp;$C$7,BD!$A$3:$A$5001,"&lt;="&amp;$B205,BD!$L$3:$L$5001,"&lt;&gt;")=0,"",SUMIFS(BD!$L$3:$L$5001,BD!$B$3:$B$5001,O$184,BD!$A$3:$A$5001,_xlfn.MAXIFS(BD!$A$3:$A$5001,BD!$B$3:$B$5001,O$184,BD!$A$3:$A$5001,"&gt;="&amp;$C$7,BD!$A$3:$A$5001,"&lt;="&amp;$B205,BD!$L$3:$L$5001,"&lt;&gt;"))))</f>
        <v/>
      </c>
      <c r="P205" s="43" t="str">
        <f>IF(OR($B205="",$A205&gt;$B$9,P$184=""),"",IF(COUNTIFS(BD!$B$3:$B$5001,P$184,BD!$A$3:$A$5001,"&gt;="&amp;$C$7,BD!$A$3:$A$5001,"&lt;="&amp;$B205,BD!$L$3:$L$5001,"&lt;&gt;")=0,"",SUMIFS(BD!$L$3:$L$5001,BD!$B$3:$B$5001,P$184,BD!$A$3:$A$5001,_xlfn.MAXIFS(BD!$A$3:$A$5001,BD!$B$3:$B$5001,P$184,BD!$A$3:$A$5001,"&gt;="&amp;$C$7,BD!$A$3:$A$5001,"&lt;="&amp;$B205,BD!$L$3:$L$5001,"&lt;&gt;"))))</f>
        <v/>
      </c>
      <c r="Q205" s="43" t="str">
        <f>IF(OR($B205="",$A205&gt;$B$9,Q$184=""),"",IF(COUNTIFS(BD!$B$3:$B$5001,Q$184,BD!$A$3:$A$5001,"&gt;="&amp;$C$7,BD!$A$3:$A$5001,"&lt;="&amp;$B205,BD!$L$3:$L$5001,"&lt;&gt;")=0,"",SUMIFS(BD!$L$3:$L$5001,BD!$B$3:$B$5001,Q$184,BD!$A$3:$A$5001,_xlfn.MAXIFS(BD!$A$3:$A$5001,BD!$B$3:$B$5001,Q$184,BD!$A$3:$A$5001,"&gt;="&amp;$C$7,BD!$A$3:$A$5001,"&lt;="&amp;$B205,BD!$L$3:$L$5001,"&lt;&gt;"))))</f>
        <v/>
      </c>
      <c r="R205" s="43" t="str">
        <f>IF(OR($B205="",$A205&gt;$B$9,R$184=""),"",IF(COUNTIFS(BD!$B$3:$B$5001,R$184,BD!$A$3:$A$5001,"&gt;="&amp;$C$7,BD!$A$3:$A$5001,"&lt;="&amp;$B205,BD!$L$3:$L$5001,"&lt;&gt;")=0,"",SUMIFS(BD!$L$3:$L$5001,BD!$B$3:$B$5001,R$184,BD!$A$3:$A$5001,_xlfn.MAXIFS(BD!$A$3:$A$5001,BD!$B$3:$B$5001,R$184,BD!$A$3:$A$5001,"&gt;="&amp;$C$7,BD!$A$3:$A$5001,"&lt;="&amp;$B205,BD!$L$3:$L$5001,"&lt;&gt;"))))</f>
        <v/>
      </c>
      <c r="S205" s="43" t="str">
        <f>IF(OR($B205="",$A205&gt;$B$9,S$184=""),"",IF(COUNTIFS(BD!$B$3:$B$5001,S$184,BD!$A$3:$A$5001,"&gt;="&amp;$C$7,BD!$A$3:$A$5001,"&lt;="&amp;$B205,BD!$L$3:$L$5001,"&lt;&gt;")=0,"",SUMIFS(BD!$L$3:$L$5001,BD!$B$3:$B$5001,S$184,BD!$A$3:$A$5001,_xlfn.MAXIFS(BD!$A$3:$A$5001,BD!$B$3:$B$5001,S$184,BD!$A$3:$A$5001,"&gt;="&amp;$C$7,BD!$A$3:$A$5001,"&lt;="&amp;$B205,BD!$L$3:$L$5001,"&lt;&gt;"))))</f>
        <v/>
      </c>
      <c r="T205" s="43" t="str">
        <f>IF(OR($B205="",$A205&gt;$B$9,T$184=""),"",IF(COUNTIFS(BD!$B$3:$B$5001,T$184,BD!$A$3:$A$5001,"&gt;="&amp;$C$7,BD!$A$3:$A$5001,"&lt;="&amp;$B205,BD!$L$3:$L$5001,"&lt;&gt;")=0,"",SUMIFS(BD!$L$3:$L$5001,BD!$B$3:$B$5001,T$184,BD!$A$3:$A$5001,_xlfn.MAXIFS(BD!$A$3:$A$5001,BD!$B$3:$B$5001,T$184,BD!$A$3:$A$5001,"&gt;="&amp;$C$7,BD!$A$3:$A$5001,"&lt;="&amp;$B205,BD!$L$3:$L$5001,"&lt;&gt;"))))</f>
        <v/>
      </c>
      <c r="U205" s="43" t="str">
        <f>IF(OR($B205="",$A205&gt;$B$9,U$184=""),"",IF(COUNTIFS(BD!$B$3:$B$5001,U$184,BD!$A$3:$A$5001,"&gt;="&amp;$C$7,BD!$A$3:$A$5001,"&lt;="&amp;$B205,BD!$L$3:$L$5001,"&lt;&gt;")=0,"",SUMIFS(BD!$L$3:$L$5001,BD!$B$3:$B$5001,U$184,BD!$A$3:$A$5001,_xlfn.MAXIFS(BD!$A$3:$A$5001,BD!$B$3:$B$5001,U$184,BD!$A$3:$A$5001,"&gt;="&amp;$C$7,BD!$A$3:$A$5001,"&lt;="&amp;$B205,BD!$L$3:$L$5001,"&lt;&gt;"))))</f>
        <v/>
      </c>
      <c r="V205" s="43" t="str">
        <f>IF(OR($B205="",$A205&gt;$B$9,V$184=""),"",IF(COUNTIFS(BD!$B$3:$B$5001,V$184,BD!$A$3:$A$5001,"&gt;="&amp;$C$7,BD!$A$3:$A$5001,"&lt;="&amp;$B205,BD!$L$3:$L$5001,"&lt;&gt;")=0,"",SUMIFS(BD!$L$3:$L$5001,BD!$B$3:$B$5001,V$184,BD!$A$3:$A$5001,_xlfn.MAXIFS(BD!$A$3:$A$5001,BD!$B$3:$B$5001,V$184,BD!$A$3:$A$5001,"&gt;="&amp;$C$7,BD!$A$3:$A$5001,"&lt;="&amp;$B205,BD!$L$3:$L$5001,"&lt;&gt;"))))</f>
        <v/>
      </c>
    </row>
    <row r="206">
      <c r="A206" s="38">
        <v>22</v>
      </c>
      <c r="B206" s="42">
        <f>$B$33</f>
        <v>46317</v>
      </c>
      <c r="C206" s="43" t="str">
        <f>IF(OR($B206="",$A206&gt;$B$9,C$184=""),"",IF(COUNTIFS(BD!$B$3:$B$5001,C$184,BD!$A$3:$A$5001,"&gt;="&amp;$C$7,BD!$A$3:$A$5001,"&lt;="&amp;$B206,BD!$L$3:$L$5001,"&lt;&gt;")=0,"",SUMIFS(BD!$L$3:$L$5001,BD!$B$3:$B$5001,C$184,BD!$A$3:$A$5001,_xlfn.MAXIFS(BD!$A$3:$A$5001,BD!$B$3:$B$5001,C$184,BD!$A$3:$A$5001,"&gt;="&amp;$C$7,BD!$A$3:$A$5001,"&lt;="&amp;$B206,BD!$L$3:$L$5001,"&lt;&gt;"))))</f>
        <v/>
      </c>
      <c r="D206" s="43" t="str">
        <f>IF(OR($B206="",$A206&gt;$B$9,D$184=""),"",IF(COUNTIFS(BD!$B$3:$B$5001,D$184,BD!$A$3:$A$5001,"&gt;="&amp;$C$7,BD!$A$3:$A$5001,"&lt;="&amp;$B206,BD!$L$3:$L$5001,"&lt;&gt;")=0,"",SUMIFS(BD!$L$3:$L$5001,BD!$B$3:$B$5001,D$184,BD!$A$3:$A$5001,_xlfn.MAXIFS(BD!$A$3:$A$5001,BD!$B$3:$B$5001,D$184,BD!$A$3:$A$5001,"&gt;="&amp;$C$7,BD!$A$3:$A$5001,"&lt;="&amp;$B206,BD!$L$3:$L$5001,"&lt;&gt;"))))</f>
        <v/>
      </c>
      <c r="E206" s="43" t="str">
        <f>IF(OR($B206="",$A206&gt;$B$9,E$184=""),"",IF(COUNTIFS(BD!$B$3:$B$5001,E$184,BD!$A$3:$A$5001,"&gt;="&amp;$C$7,BD!$A$3:$A$5001,"&lt;="&amp;$B206,BD!$L$3:$L$5001,"&lt;&gt;")=0,"",SUMIFS(BD!$L$3:$L$5001,BD!$B$3:$B$5001,E$184,BD!$A$3:$A$5001,_xlfn.MAXIFS(BD!$A$3:$A$5001,BD!$B$3:$B$5001,E$184,BD!$A$3:$A$5001,"&gt;="&amp;$C$7,BD!$A$3:$A$5001,"&lt;="&amp;$B206,BD!$L$3:$L$5001,"&lt;&gt;"))))</f>
        <v/>
      </c>
      <c r="F206" s="43" t="str">
        <f>IF(OR($B206="",$A206&gt;$B$9,F$184=""),"",IF(COUNTIFS(BD!$B$3:$B$5001,F$184,BD!$A$3:$A$5001,"&gt;="&amp;$C$7,BD!$A$3:$A$5001,"&lt;="&amp;$B206,BD!$L$3:$L$5001,"&lt;&gt;")=0,"",SUMIFS(BD!$L$3:$L$5001,BD!$B$3:$B$5001,F$184,BD!$A$3:$A$5001,_xlfn.MAXIFS(BD!$A$3:$A$5001,BD!$B$3:$B$5001,F$184,BD!$A$3:$A$5001,"&gt;="&amp;$C$7,BD!$A$3:$A$5001,"&lt;="&amp;$B206,BD!$L$3:$L$5001,"&lt;&gt;"))))</f>
        <v/>
      </c>
      <c r="G206" s="43" t="str">
        <f>IF(OR($B206="",$A206&gt;$B$9,G$184=""),"",IF(COUNTIFS(BD!$B$3:$B$5001,G$184,BD!$A$3:$A$5001,"&gt;="&amp;$C$7,BD!$A$3:$A$5001,"&lt;="&amp;$B206,BD!$L$3:$L$5001,"&lt;&gt;")=0,"",SUMIFS(BD!$L$3:$L$5001,BD!$B$3:$B$5001,G$184,BD!$A$3:$A$5001,_xlfn.MAXIFS(BD!$A$3:$A$5001,BD!$B$3:$B$5001,G$184,BD!$A$3:$A$5001,"&gt;="&amp;$C$7,BD!$A$3:$A$5001,"&lt;="&amp;$B206,BD!$L$3:$L$5001,"&lt;&gt;"))))</f>
        <v/>
      </c>
      <c r="H206" s="43" t="str">
        <f>IF(OR($B206="",$A206&gt;$B$9,H$184=""),"",IF(COUNTIFS(BD!$B$3:$B$5001,H$184,BD!$A$3:$A$5001,"&gt;="&amp;$C$7,BD!$A$3:$A$5001,"&lt;="&amp;$B206,BD!$L$3:$L$5001,"&lt;&gt;")=0,"",SUMIFS(BD!$L$3:$L$5001,BD!$B$3:$B$5001,H$184,BD!$A$3:$A$5001,_xlfn.MAXIFS(BD!$A$3:$A$5001,BD!$B$3:$B$5001,H$184,BD!$A$3:$A$5001,"&gt;="&amp;$C$7,BD!$A$3:$A$5001,"&lt;="&amp;$B206,BD!$L$3:$L$5001,"&lt;&gt;"))))</f>
        <v/>
      </c>
      <c r="I206" s="43" t="str">
        <f>IF(OR($B206="",$A206&gt;$B$9,I$184=""),"",IF(COUNTIFS(BD!$B$3:$B$5001,I$184,BD!$A$3:$A$5001,"&gt;="&amp;$C$7,BD!$A$3:$A$5001,"&lt;="&amp;$B206,BD!$L$3:$L$5001,"&lt;&gt;")=0,"",SUMIFS(BD!$L$3:$L$5001,BD!$B$3:$B$5001,I$184,BD!$A$3:$A$5001,_xlfn.MAXIFS(BD!$A$3:$A$5001,BD!$B$3:$B$5001,I$184,BD!$A$3:$A$5001,"&gt;="&amp;$C$7,BD!$A$3:$A$5001,"&lt;="&amp;$B206,BD!$L$3:$L$5001,"&lt;&gt;"))))</f>
        <v/>
      </c>
      <c r="J206" s="43" t="str">
        <f>IF(OR($B206="",$A206&gt;$B$9,J$184=""),"",IF(COUNTIFS(BD!$B$3:$B$5001,J$184,BD!$A$3:$A$5001,"&gt;="&amp;$C$7,BD!$A$3:$A$5001,"&lt;="&amp;$B206,BD!$L$3:$L$5001,"&lt;&gt;")=0,"",SUMIFS(BD!$L$3:$L$5001,BD!$B$3:$B$5001,J$184,BD!$A$3:$A$5001,_xlfn.MAXIFS(BD!$A$3:$A$5001,BD!$B$3:$B$5001,J$184,BD!$A$3:$A$5001,"&gt;="&amp;$C$7,BD!$A$3:$A$5001,"&lt;="&amp;$B206,BD!$L$3:$L$5001,"&lt;&gt;"))))</f>
        <v/>
      </c>
      <c r="K206" s="43" t="str">
        <f>IF(OR($B206="",$A206&gt;$B$9,K$184=""),"",IF(COUNTIFS(BD!$B$3:$B$5001,K$184,BD!$A$3:$A$5001,"&gt;="&amp;$C$7,BD!$A$3:$A$5001,"&lt;="&amp;$B206,BD!$L$3:$L$5001,"&lt;&gt;")=0,"",SUMIFS(BD!$L$3:$L$5001,BD!$B$3:$B$5001,K$184,BD!$A$3:$A$5001,_xlfn.MAXIFS(BD!$A$3:$A$5001,BD!$B$3:$B$5001,K$184,BD!$A$3:$A$5001,"&gt;="&amp;$C$7,BD!$A$3:$A$5001,"&lt;="&amp;$B206,BD!$L$3:$L$5001,"&lt;&gt;"))))</f>
        <v/>
      </c>
      <c r="L206" s="43" t="str">
        <f>IF(OR($B206="",$A206&gt;$B$9,L$184=""),"",IF(COUNTIFS(BD!$B$3:$B$5001,L$184,BD!$A$3:$A$5001,"&gt;="&amp;$C$7,BD!$A$3:$A$5001,"&lt;="&amp;$B206,BD!$L$3:$L$5001,"&lt;&gt;")=0,"",SUMIFS(BD!$L$3:$L$5001,BD!$B$3:$B$5001,L$184,BD!$A$3:$A$5001,_xlfn.MAXIFS(BD!$A$3:$A$5001,BD!$B$3:$B$5001,L$184,BD!$A$3:$A$5001,"&gt;="&amp;$C$7,BD!$A$3:$A$5001,"&lt;="&amp;$B206,BD!$L$3:$L$5001,"&lt;&gt;"))))</f>
        <v/>
      </c>
      <c r="M206" s="43" t="str">
        <f>IF(OR($B206="",$A206&gt;$B$9,M$184=""),"",IF(COUNTIFS(BD!$B$3:$B$5001,M$184,BD!$A$3:$A$5001,"&gt;="&amp;$C$7,BD!$A$3:$A$5001,"&lt;="&amp;$B206,BD!$L$3:$L$5001,"&lt;&gt;")=0,"",SUMIFS(BD!$L$3:$L$5001,BD!$B$3:$B$5001,M$184,BD!$A$3:$A$5001,_xlfn.MAXIFS(BD!$A$3:$A$5001,BD!$B$3:$B$5001,M$184,BD!$A$3:$A$5001,"&gt;="&amp;$C$7,BD!$A$3:$A$5001,"&lt;="&amp;$B206,BD!$L$3:$L$5001,"&lt;&gt;"))))</f>
        <v/>
      </c>
      <c r="N206" s="43" t="str">
        <f>IF(OR($B206="",$A206&gt;$B$9,N$184=""),"",IF(COUNTIFS(BD!$B$3:$B$5001,N$184,BD!$A$3:$A$5001,"&gt;="&amp;$C$7,BD!$A$3:$A$5001,"&lt;="&amp;$B206,BD!$L$3:$L$5001,"&lt;&gt;")=0,"",SUMIFS(BD!$L$3:$L$5001,BD!$B$3:$B$5001,N$184,BD!$A$3:$A$5001,_xlfn.MAXIFS(BD!$A$3:$A$5001,BD!$B$3:$B$5001,N$184,BD!$A$3:$A$5001,"&gt;="&amp;$C$7,BD!$A$3:$A$5001,"&lt;="&amp;$B206,BD!$L$3:$L$5001,"&lt;&gt;"))))</f>
        <v/>
      </c>
      <c r="O206" s="43" t="str">
        <f>IF(OR($B206="",$A206&gt;$B$9,O$184=""),"",IF(COUNTIFS(BD!$B$3:$B$5001,O$184,BD!$A$3:$A$5001,"&gt;="&amp;$C$7,BD!$A$3:$A$5001,"&lt;="&amp;$B206,BD!$L$3:$L$5001,"&lt;&gt;")=0,"",SUMIFS(BD!$L$3:$L$5001,BD!$B$3:$B$5001,O$184,BD!$A$3:$A$5001,_xlfn.MAXIFS(BD!$A$3:$A$5001,BD!$B$3:$B$5001,O$184,BD!$A$3:$A$5001,"&gt;="&amp;$C$7,BD!$A$3:$A$5001,"&lt;="&amp;$B206,BD!$L$3:$L$5001,"&lt;&gt;"))))</f>
        <v/>
      </c>
      <c r="P206" s="43" t="str">
        <f>IF(OR($B206="",$A206&gt;$B$9,P$184=""),"",IF(COUNTIFS(BD!$B$3:$B$5001,P$184,BD!$A$3:$A$5001,"&gt;="&amp;$C$7,BD!$A$3:$A$5001,"&lt;="&amp;$B206,BD!$L$3:$L$5001,"&lt;&gt;")=0,"",SUMIFS(BD!$L$3:$L$5001,BD!$B$3:$B$5001,P$184,BD!$A$3:$A$5001,_xlfn.MAXIFS(BD!$A$3:$A$5001,BD!$B$3:$B$5001,P$184,BD!$A$3:$A$5001,"&gt;="&amp;$C$7,BD!$A$3:$A$5001,"&lt;="&amp;$B206,BD!$L$3:$L$5001,"&lt;&gt;"))))</f>
        <v/>
      </c>
      <c r="Q206" s="43" t="str">
        <f>IF(OR($B206="",$A206&gt;$B$9,Q$184=""),"",IF(COUNTIFS(BD!$B$3:$B$5001,Q$184,BD!$A$3:$A$5001,"&gt;="&amp;$C$7,BD!$A$3:$A$5001,"&lt;="&amp;$B206,BD!$L$3:$L$5001,"&lt;&gt;")=0,"",SUMIFS(BD!$L$3:$L$5001,BD!$B$3:$B$5001,Q$184,BD!$A$3:$A$5001,_xlfn.MAXIFS(BD!$A$3:$A$5001,BD!$B$3:$B$5001,Q$184,BD!$A$3:$A$5001,"&gt;="&amp;$C$7,BD!$A$3:$A$5001,"&lt;="&amp;$B206,BD!$L$3:$L$5001,"&lt;&gt;"))))</f>
        <v/>
      </c>
      <c r="R206" s="43" t="str">
        <f>IF(OR($B206="",$A206&gt;$B$9,R$184=""),"",IF(COUNTIFS(BD!$B$3:$B$5001,R$184,BD!$A$3:$A$5001,"&gt;="&amp;$C$7,BD!$A$3:$A$5001,"&lt;="&amp;$B206,BD!$L$3:$L$5001,"&lt;&gt;")=0,"",SUMIFS(BD!$L$3:$L$5001,BD!$B$3:$B$5001,R$184,BD!$A$3:$A$5001,_xlfn.MAXIFS(BD!$A$3:$A$5001,BD!$B$3:$B$5001,R$184,BD!$A$3:$A$5001,"&gt;="&amp;$C$7,BD!$A$3:$A$5001,"&lt;="&amp;$B206,BD!$L$3:$L$5001,"&lt;&gt;"))))</f>
        <v/>
      </c>
      <c r="S206" s="43" t="str">
        <f>IF(OR($B206="",$A206&gt;$B$9,S$184=""),"",IF(COUNTIFS(BD!$B$3:$B$5001,S$184,BD!$A$3:$A$5001,"&gt;="&amp;$C$7,BD!$A$3:$A$5001,"&lt;="&amp;$B206,BD!$L$3:$L$5001,"&lt;&gt;")=0,"",SUMIFS(BD!$L$3:$L$5001,BD!$B$3:$B$5001,S$184,BD!$A$3:$A$5001,_xlfn.MAXIFS(BD!$A$3:$A$5001,BD!$B$3:$B$5001,S$184,BD!$A$3:$A$5001,"&gt;="&amp;$C$7,BD!$A$3:$A$5001,"&lt;="&amp;$B206,BD!$L$3:$L$5001,"&lt;&gt;"))))</f>
        <v/>
      </c>
      <c r="T206" s="43" t="str">
        <f>IF(OR($B206="",$A206&gt;$B$9,T$184=""),"",IF(COUNTIFS(BD!$B$3:$B$5001,T$184,BD!$A$3:$A$5001,"&gt;="&amp;$C$7,BD!$A$3:$A$5001,"&lt;="&amp;$B206,BD!$L$3:$L$5001,"&lt;&gt;")=0,"",SUMIFS(BD!$L$3:$L$5001,BD!$B$3:$B$5001,T$184,BD!$A$3:$A$5001,_xlfn.MAXIFS(BD!$A$3:$A$5001,BD!$B$3:$B$5001,T$184,BD!$A$3:$A$5001,"&gt;="&amp;$C$7,BD!$A$3:$A$5001,"&lt;="&amp;$B206,BD!$L$3:$L$5001,"&lt;&gt;"))))</f>
        <v/>
      </c>
      <c r="U206" s="43" t="str">
        <f>IF(OR($B206="",$A206&gt;$B$9,U$184=""),"",IF(COUNTIFS(BD!$B$3:$B$5001,U$184,BD!$A$3:$A$5001,"&gt;="&amp;$C$7,BD!$A$3:$A$5001,"&lt;="&amp;$B206,BD!$L$3:$L$5001,"&lt;&gt;")=0,"",SUMIFS(BD!$L$3:$L$5001,BD!$B$3:$B$5001,U$184,BD!$A$3:$A$5001,_xlfn.MAXIFS(BD!$A$3:$A$5001,BD!$B$3:$B$5001,U$184,BD!$A$3:$A$5001,"&gt;="&amp;$C$7,BD!$A$3:$A$5001,"&lt;="&amp;$B206,BD!$L$3:$L$5001,"&lt;&gt;"))))</f>
        <v/>
      </c>
      <c r="V206" s="43" t="str">
        <f>IF(OR($B206="",$A206&gt;$B$9,V$184=""),"",IF(COUNTIFS(BD!$B$3:$B$5001,V$184,BD!$A$3:$A$5001,"&gt;="&amp;$C$7,BD!$A$3:$A$5001,"&lt;="&amp;$B206,BD!$L$3:$L$5001,"&lt;&gt;")=0,"",SUMIFS(BD!$L$3:$L$5001,BD!$B$3:$B$5001,V$184,BD!$A$3:$A$5001,_xlfn.MAXIFS(BD!$A$3:$A$5001,BD!$B$3:$B$5001,V$184,BD!$A$3:$A$5001,"&gt;="&amp;$C$7,BD!$A$3:$A$5001,"&lt;="&amp;$B206,BD!$L$3:$L$5001,"&lt;&gt;"))))</f>
        <v/>
      </c>
    </row>
    <row r="207">
      <c r="A207" s="38">
        <v>23</v>
      </c>
      <c r="B207" s="42">
        <f>$B$34</f>
        <v>46318</v>
      </c>
      <c r="C207" s="43" t="str">
        <f>IF(OR($B207="",$A207&gt;$B$9,C$184=""),"",IF(COUNTIFS(BD!$B$3:$B$5001,C$184,BD!$A$3:$A$5001,"&gt;="&amp;$C$7,BD!$A$3:$A$5001,"&lt;="&amp;$B207,BD!$L$3:$L$5001,"&lt;&gt;")=0,"",SUMIFS(BD!$L$3:$L$5001,BD!$B$3:$B$5001,C$184,BD!$A$3:$A$5001,_xlfn.MAXIFS(BD!$A$3:$A$5001,BD!$B$3:$B$5001,C$184,BD!$A$3:$A$5001,"&gt;="&amp;$C$7,BD!$A$3:$A$5001,"&lt;="&amp;$B207,BD!$L$3:$L$5001,"&lt;&gt;"))))</f>
        <v/>
      </c>
      <c r="D207" s="43" t="str">
        <f>IF(OR($B207="",$A207&gt;$B$9,D$184=""),"",IF(COUNTIFS(BD!$B$3:$B$5001,D$184,BD!$A$3:$A$5001,"&gt;="&amp;$C$7,BD!$A$3:$A$5001,"&lt;="&amp;$B207,BD!$L$3:$L$5001,"&lt;&gt;")=0,"",SUMIFS(BD!$L$3:$L$5001,BD!$B$3:$B$5001,D$184,BD!$A$3:$A$5001,_xlfn.MAXIFS(BD!$A$3:$A$5001,BD!$B$3:$B$5001,D$184,BD!$A$3:$A$5001,"&gt;="&amp;$C$7,BD!$A$3:$A$5001,"&lt;="&amp;$B207,BD!$L$3:$L$5001,"&lt;&gt;"))))</f>
        <v/>
      </c>
      <c r="E207" s="43" t="str">
        <f>IF(OR($B207="",$A207&gt;$B$9,E$184=""),"",IF(COUNTIFS(BD!$B$3:$B$5001,E$184,BD!$A$3:$A$5001,"&gt;="&amp;$C$7,BD!$A$3:$A$5001,"&lt;="&amp;$B207,BD!$L$3:$L$5001,"&lt;&gt;")=0,"",SUMIFS(BD!$L$3:$L$5001,BD!$B$3:$B$5001,E$184,BD!$A$3:$A$5001,_xlfn.MAXIFS(BD!$A$3:$A$5001,BD!$B$3:$B$5001,E$184,BD!$A$3:$A$5001,"&gt;="&amp;$C$7,BD!$A$3:$A$5001,"&lt;="&amp;$B207,BD!$L$3:$L$5001,"&lt;&gt;"))))</f>
        <v/>
      </c>
      <c r="F207" s="43" t="str">
        <f>IF(OR($B207="",$A207&gt;$B$9,F$184=""),"",IF(COUNTIFS(BD!$B$3:$B$5001,F$184,BD!$A$3:$A$5001,"&gt;="&amp;$C$7,BD!$A$3:$A$5001,"&lt;="&amp;$B207,BD!$L$3:$L$5001,"&lt;&gt;")=0,"",SUMIFS(BD!$L$3:$L$5001,BD!$B$3:$B$5001,F$184,BD!$A$3:$A$5001,_xlfn.MAXIFS(BD!$A$3:$A$5001,BD!$B$3:$B$5001,F$184,BD!$A$3:$A$5001,"&gt;="&amp;$C$7,BD!$A$3:$A$5001,"&lt;="&amp;$B207,BD!$L$3:$L$5001,"&lt;&gt;"))))</f>
        <v/>
      </c>
      <c r="G207" s="43" t="str">
        <f>IF(OR($B207="",$A207&gt;$B$9,G$184=""),"",IF(COUNTIFS(BD!$B$3:$B$5001,G$184,BD!$A$3:$A$5001,"&gt;="&amp;$C$7,BD!$A$3:$A$5001,"&lt;="&amp;$B207,BD!$L$3:$L$5001,"&lt;&gt;")=0,"",SUMIFS(BD!$L$3:$L$5001,BD!$B$3:$B$5001,G$184,BD!$A$3:$A$5001,_xlfn.MAXIFS(BD!$A$3:$A$5001,BD!$B$3:$B$5001,G$184,BD!$A$3:$A$5001,"&gt;="&amp;$C$7,BD!$A$3:$A$5001,"&lt;="&amp;$B207,BD!$L$3:$L$5001,"&lt;&gt;"))))</f>
        <v/>
      </c>
      <c r="H207" s="43" t="str">
        <f>IF(OR($B207="",$A207&gt;$B$9,H$184=""),"",IF(COUNTIFS(BD!$B$3:$B$5001,H$184,BD!$A$3:$A$5001,"&gt;="&amp;$C$7,BD!$A$3:$A$5001,"&lt;="&amp;$B207,BD!$L$3:$L$5001,"&lt;&gt;")=0,"",SUMIFS(BD!$L$3:$L$5001,BD!$B$3:$B$5001,H$184,BD!$A$3:$A$5001,_xlfn.MAXIFS(BD!$A$3:$A$5001,BD!$B$3:$B$5001,H$184,BD!$A$3:$A$5001,"&gt;="&amp;$C$7,BD!$A$3:$A$5001,"&lt;="&amp;$B207,BD!$L$3:$L$5001,"&lt;&gt;"))))</f>
        <v/>
      </c>
      <c r="I207" s="43" t="str">
        <f>IF(OR($B207="",$A207&gt;$B$9,I$184=""),"",IF(COUNTIFS(BD!$B$3:$B$5001,I$184,BD!$A$3:$A$5001,"&gt;="&amp;$C$7,BD!$A$3:$A$5001,"&lt;="&amp;$B207,BD!$L$3:$L$5001,"&lt;&gt;")=0,"",SUMIFS(BD!$L$3:$L$5001,BD!$B$3:$B$5001,I$184,BD!$A$3:$A$5001,_xlfn.MAXIFS(BD!$A$3:$A$5001,BD!$B$3:$B$5001,I$184,BD!$A$3:$A$5001,"&gt;="&amp;$C$7,BD!$A$3:$A$5001,"&lt;="&amp;$B207,BD!$L$3:$L$5001,"&lt;&gt;"))))</f>
        <v/>
      </c>
      <c r="J207" s="43" t="str">
        <f>IF(OR($B207="",$A207&gt;$B$9,J$184=""),"",IF(COUNTIFS(BD!$B$3:$B$5001,J$184,BD!$A$3:$A$5001,"&gt;="&amp;$C$7,BD!$A$3:$A$5001,"&lt;="&amp;$B207,BD!$L$3:$L$5001,"&lt;&gt;")=0,"",SUMIFS(BD!$L$3:$L$5001,BD!$B$3:$B$5001,J$184,BD!$A$3:$A$5001,_xlfn.MAXIFS(BD!$A$3:$A$5001,BD!$B$3:$B$5001,J$184,BD!$A$3:$A$5001,"&gt;="&amp;$C$7,BD!$A$3:$A$5001,"&lt;="&amp;$B207,BD!$L$3:$L$5001,"&lt;&gt;"))))</f>
        <v/>
      </c>
      <c r="K207" s="43" t="str">
        <f>IF(OR($B207="",$A207&gt;$B$9,K$184=""),"",IF(COUNTIFS(BD!$B$3:$B$5001,K$184,BD!$A$3:$A$5001,"&gt;="&amp;$C$7,BD!$A$3:$A$5001,"&lt;="&amp;$B207,BD!$L$3:$L$5001,"&lt;&gt;")=0,"",SUMIFS(BD!$L$3:$L$5001,BD!$B$3:$B$5001,K$184,BD!$A$3:$A$5001,_xlfn.MAXIFS(BD!$A$3:$A$5001,BD!$B$3:$B$5001,K$184,BD!$A$3:$A$5001,"&gt;="&amp;$C$7,BD!$A$3:$A$5001,"&lt;="&amp;$B207,BD!$L$3:$L$5001,"&lt;&gt;"))))</f>
        <v/>
      </c>
      <c r="L207" s="43" t="str">
        <f>IF(OR($B207="",$A207&gt;$B$9,L$184=""),"",IF(COUNTIFS(BD!$B$3:$B$5001,L$184,BD!$A$3:$A$5001,"&gt;="&amp;$C$7,BD!$A$3:$A$5001,"&lt;="&amp;$B207,BD!$L$3:$L$5001,"&lt;&gt;")=0,"",SUMIFS(BD!$L$3:$L$5001,BD!$B$3:$B$5001,L$184,BD!$A$3:$A$5001,_xlfn.MAXIFS(BD!$A$3:$A$5001,BD!$B$3:$B$5001,L$184,BD!$A$3:$A$5001,"&gt;="&amp;$C$7,BD!$A$3:$A$5001,"&lt;="&amp;$B207,BD!$L$3:$L$5001,"&lt;&gt;"))))</f>
        <v/>
      </c>
      <c r="M207" s="43" t="str">
        <f>IF(OR($B207="",$A207&gt;$B$9,M$184=""),"",IF(COUNTIFS(BD!$B$3:$B$5001,M$184,BD!$A$3:$A$5001,"&gt;="&amp;$C$7,BD!$A$3:$A$5001,"&lt;="&amp;$B207,BD!$L$3:$L$5001,"&lt;&gt;")=0,"",SUMIFS(BD!$L$3:$L$5001,BD!$B$3:$B$5001,M$184,BD!$A$3:$A$5001,_xlfn.MAXIFS(BD!$A$3:$A$5001,BD!$B$3:$B$5001,M$184,BD!$A$3:$A$5001,"&gt;="&amp;$C$7,BD!$A$3:$A$5001,"&lt;="&amp;$B207,BD!$L$3:$L$5001,"&lt;&gt;"))))</f>
        <v/>
      </c>
      <c r="N207" s="43" t="str">
        <f>IF(OR($B207="",$A207&gt;$B$9,N$184=""),"",IF(COUNTIFS(BD!$B$3:$B$5001,N$184,BD!$A$3:$A$5001,"&gt;="&amp;$C$7,BD!$A$3:$A$5001,"&lt;="&amp;$B207,BD!$L$3:$L$5001,"&lt;&gt;")=0,"",SUMIFS(BD!$L$3:$L$5001,BD!$B$3:$B$5001,N$184,BD!$A$3:$A$5001,_xlfn.MAXIFS(BD!$A$3:$A$5001,BD!$B$3:$B$5001,N$184,BD!$A$3:$A$5001,"&gt;="&amp;$C$7,BD!$A$3:$A$5001,"&lt;="&amp;$B207,BD!$L$3:$L$5001,"&lt;&gt;"))))</f>
        <v/>
      </c>
      <c r="O207" s="43" t="str">
        <f>IF(OR($B207="",$A207&gt;$B$9,O$184=""),"",IF(COUNTIFS(BD!$B$3:$B$5001,O$184,BD!$A$3:$A$5001,"&gt;="&amp;$C$7,BD!$A$3:$A$5001,"&lt;="&amp;$B207,BD!$L$3:$L$5001,"&lt;&gt;")=0,"",SUMIFS(BD!$L$3:$L$5001,BD!$B$3:$B$5001,O$184,BD!$A$3:$A$5001,_xlfn.MAXIFS(BD!$A$3:$A$5001,BD!$B$3:$B$5001,O$184,BD!$A$3:$A$5001,"&gt;="&amp;$C$7,BD!$A$3:$A$5001,"&lt;="&amp;$B207,BD!$L$3:$L$5001,"&lt;&gt;"))))</f>
        <v/>
      </c>
      <c r="P207" s="43" t="str">
        <f>IF(OR($B207="",$A207&gt;$B$9,P$184=""),"",IF(COUNTIFS(BD!$B$3:$B$5001,P$184,BD!$A$3:$A$5001,"&gt;="&amp;$C$7,BD!$A$3:$A$5001,"&lt;="&amp;$B207,BD!$L$3:$L$5001,"&lt;&gt;")=0,"",SUMIFS(BD!$L$3:$L$5001,BD!$B$3:$B$5001,P$184,BD!$A$3:$A$5001,_xlfn.MAXIFS(BD!$A$3:$A$5001,BD!$B$3:$B$5001,P$184,BD!$A$3:$A$5001,"&gt;="&amp;$C$7,BD!$A$3:$A$5001,"&lt;="&amp;$B207,BD!$L$3:$L$5001,"&lt;&gt;"))))</f>
        <v/>
      </c>
      <c r="Q207" s="43" t="str">
        <f>IF(OR($B207="",$A207&gt;$B$9,Q$184=""),"",IF(COUNTIFS(BD!$B$3:$B$5001,Q$184,BD!$A$3:$A$5001,"&gt;="&amp;$C$7,BD!$A$3:$A$5001,"&lt;="&amp;$B207,BD!$L$3:$L$5001,"&lt;&gt;")=0,"",SUMIFS(BD!$L$3:$L$5001,BD!$B$3:$B$5001,Q$184,BD!$A$3:$A$5001,_xlfn.MAXIFS(BD!$A$3:$A$5001,BD!$B$3:$B$5001,Q$184,BD!$A$3:$A$5001,"&gt;="&amp;$C$7,BD!$A$3:$A$5001,"&lt;="&amp;$B207,BD!$L$3:$L$5001,"&lt;&gt;"))))</f>
        <v/>
      </c>
      <c r="R207" s="43" t="str">
        <f>IF(OR($B207="",$A207&gt;$B$9,R$184=""),"",IF(COUNTIFS(BD!$B$3:$B$5001,R$184,BD!$A$3:$A$5001,"&gt;="&amp;$C$7,BD!$A$3:$A$5001,"&lt;="&amp;$B207,BD!$L$3:$L$5001,"&lt;&gt;")=0,"",SUMIFS(BD!$L$3:$L$5001,BD!$B$3:$B$5001,R$184,BD!$A$3:$A$5001,_xlfn.MAXIFS(BD!$A$3:$A$5001,BD!$B$3:$B$5001,R$184,BD!$A$3:$A$5001,"&gt;="&amp;$C$7,BD!$A$3:$A$5001,"&lt;="&amp;$B207,BD!$L$3:$L$5001,"&lt;&gt;"))))</f>
        <v/>
      </c>
      <c r="S207" s="43" t="str">
        <f>IF(OR($B207="",$A207&gt;$B$9,S$184=""),"",IF(COUNTIFS(BD!$B$3:$B$5001,S$184,BD!$A$3:$A$5001,"&gt;="&amp;$C$7,BD!$A$3:$A$5001,"&lt;="&amp;$B207,BD!$L$3:$L$5001,"&lt;&gt;")=0,"",SUMIFS(BD!$L$3:$L$5001,BD!$B$3:$B$5001,S$184,BD!$A$3:$A$5001,_xlfn.MAXIFS(BD!$A$3:$A$5001,BD!$B$3:$B$5001,S$184,BD!$A$3:$A$5001,"&gt;="&amp;$C$7,BD!$A$3:$A$5001,"&lt;="&amp;$B207,BD!$L$3:$L$5001,"&lt;&gt;"))))</f>
        <v/>
      </c>
      <c r="T207" s="43" t="str">
        <f>IF(OR($B207="",$A207&gt;$B$9,T$184=""),"",IF(COUNTIFS(BD!$B$3:$B$5001,T$184,BD!$A$3:$A$5001,"&gt;="&amp;$C$7,BD!$A$3:$A$5001,"&lt;="&amp;$B207,BD!$L$3:$L$5001,"&lt;&gt;")=0,"",SUMIFS(BD!$L$3:$L$5001,BD!$B$3:$B$5001,T$184,BD!$A$3:$A$5001,_xlfn.MAXIFS(BD!$A$3:$A$5001,BD!$B$3:$B$5001,T$184,BD!$A$3:$A$5001,"&gt;="&amp;$C$7,BD!$A$3:$A$5001,"&lt;="&amp;$B207,BD!$L$3:$L$5001,"&lt;&gt;"))))</f>
        <v/>
      </c>
      <c r="U207" s="43" t="str">
        <f>IF(OR($B207="",$A207&gt;$B$9,U$184=""),"",IF(COUNTIFS(BD!$B$3:$B$5001,U$184,BD!$A$3:$A$5001,"&gt;="&amp;$C$7,BD!$A$3:$A$5001,"&lt;="&amp;$B207,BD!$L$3:$L$5001,"&lt;&gt;")=0,"",SUMIFS(BD!$L$3:$L$5001,BD!$B$3:$B$5001,U$184,BD!$A$3:$A$5001,_xlfn.MAXIFS(BD!$A$3:$A$5001,BD!$B$3:$B$5001,U$184,BD!$A$3:$A$5001,"&gt;="&amp;$C$7,BD!$A$3:$A$5001,"&lt;="&amp;$B207,BD!$L$3:$L$5001,"&lt;&gt;"))))</f>
        <v/>
      </c>
      <c r="V207" s="43" t="str">
        <f>IF(OR($B207="",$A207&gt;$B$9,V$184=""),"",IF(COUNTIFS(BD!$B$3:$B$5001,V$184,BD!$A$3:$A$5001,"&gt;="&amp;$C$7,BD!$A$3:$A$5001,"&lt;="&amp;$B207,BD!$L$3:$L$5001,"&lt;&gt;")=0,"",SUMIFS(BD!$L$3:$L$5001,BD!$B$3:$B$5001,V$184,BD!$A$3:$A$5001,_xlfn.MAXIFS(BD!$A$3:$A$5001,BD!$B$3:$B$5001,V$184,BD!$A$3:$A$5001,"&gt;="&amp;$C$7,BD!$A$3:$A$5001,"&lt;="&amp;$B207,BD!$L$3:$L$5001,"&lt;&gt;"))))</f>
        <v/>
      </c>
    </row>
    <row r="208">
      <c r="A208" s="38">
        <v>24</v>
      </c>
      <c r="B208" s="42">
        <f>$B$35</f>
        <v>46319</v>
      </c>
      <c r="C208" s="43" t="str">
        <f>IF(OR($B208="",$A208&gt;$B$9,C$184=""),"",IF(COUNTIFS(BD!$B$3:$B$5001,C$184,BD!$A$3:$A$5001,"&gt;="&amp;$C$7,BD!$A$3:$A$5001,"&lt;="&amp;$B208,BD!$L$3:$L$5001,"&lt;&gt;")=0,"",SUMIFS(BD!$L$3:$L$5001,BD!$B$3:$B$5001,C$184,BD!$A$3:$A$5001,_xlfn.MAXIFS(BD!$A$3:$A$5001,BD!$B$3:$B$5001,C$184,BD!$A$3:$A$5001,"&gt;="&amp;$C$7,BD!$A$3:$A$5001,"&lt;="&amp;$B208,BD!$L$3:$L$5001,"&lt;&gt;"))))</f>
        <v/>
      </c>
      <c r="D208" s="43" t="str">
        <f>IF(OR($B208="",$A208&gt;$B$9,D$184=""),"",IF(COUNTIFS(BD!$B$3:$B$5001,D$184,BD!$A$3:$A$5001,"&gt;="&amp;$C$7,BD!$A$3:$A$5001,"&lt;="&amp;$B208,BD!$L$3:$L$5001,"&lt;&gt;")=0,"",SUMIFS(BD!$L$3:$L$5001,BD!$B$3:$B$5001,D$184,BD!$A$3:$A$5001,_xlfn.MAXIFS(BD!$A$3:$A$5001,BD!$B$3:$B$5001,D$184,BD!$A$3:$A$5001,"&gt;="&amp;$C$7,BD!$A$3:$A$5001,"&lt;="&amp;$B208,BD!$L$3:$L$5001,"&lt;&gt;"))))</f>
        <v/>
      </c>
      <c r="E208" s="43" t="str">
        <f>IF(OR($B208="",$A208&gt;$B$9,E$184=""),"",IF(COUNTIFS(BD!$B$3:$B$5001,E$184,BD!$A$3:$A$5001,"&gt;="&amp;$C$7,BD!$A$3:$A$5001,"&lt;="&amp;$B208,BD!$L$3:$L$5001,"&lt;&gt;")=0,"",SUMIFS(BD!$L$3:$L$5001,BD!$B$3:$B$5001,E$184,BD!$A$3:$A$5001,_xlfn.MAXIFS(BD!$A$3:$A$5001,BD!$B$3:$B$5001,E$184,BD!$A$3:$A$5001,"&gt;="&amp;$C$7,BD!$A$3:$A$5001,"&lt;="&amp;$B208,BD!$L$3:$L$5001,"&lt;&gt;"))))</f>
        <v/>
      </c>
      <c r="F208" s="43" t="str">
        <f>IF(OR($B208="",$A208&gt;$B$9,F$184=""),"",IF(COUNTIFS(BD!$B$3:$B$5001,F$184,BD!$A$3:$A$5001,"&gt;="&amp;$C$7,BD!$A$3:$A$5001,"&lt;="&amp;$B208,BD!$L$3:$L$5001,"&lt;&gt;")=0,"",SUMIFS(BD!$L$3:$L$5001,BD!$B$3:$B$5001,F$184,BD!$A$3:$A$5001,_xlfn.MAXIFS(BD!$A$3:$A$5001,BD!$B$3:$B$5001,F$184,BD!$A$3:$A$5001,"&gt;="&amp;$C$7,BD!$A$3:$A$5001,"&lt;="&amp;$B208,BD!$L$3:$L$5001,"&lt;&gt;"))))</f>
        <v/>
      </c>
      <c r="G208" s="43" t="str">
        <f>IF(OR($B208="",$A208&gt;$B$9,G$184=""),"",IF(COUNTIFS(BD!$B$3:$B$5001,G$184,BD!$A$3:$A$5001,"&gt;="&amp;$C$7,BD!$A$3:$A$5001,"&lt;="&amp;$B208,BD!$L$3:$L$5001,"&lt;&gt;")=0,"",SUMIFS(BD!$L$3:$L$5001,BD!$B$3:$B$5001,G$184,BD!$A$3:$A$5001,_xlfn.MAXIFS(BD!$A$3:$A$5001,BD!$B$3:$B$5001,G$184,BD!$A$3:$A$5001,"&gt;="&amp;$C$7,BD!$A$3:$A$5001,"&lt;="&amp;$B208,BD!$L$3:$L$5001,"&lt;&gt;"))))</f>
        <v/>
      </c>
      <c r="H208" s="43" t="str">
        <f>IF(OR($B208="",$A208&gt;$B$9,H$184=""),"",IF(COUNTIFS(BD!$B$3:$B$5001,H$184,BD!$A$3:$A$5001,"&gt;="&amp;$C$7,BD!$A$3:$A$5001,"&lt;="&amp;$B208,BD!$L$3:$L$5001,"&lt;&gt;")=0,"",SUMIFS(BD!$L$3:$L$5001,BD!$B$3:$B$5001,H$184,BD!$A$3:$A$5001,_xlfn.MAXIFS(BD!$A$3:$A$5001,BD!$B$3:$B$5001,H$184,BD!$A$3:$A$5001,"&gt;="&amp;$C$7,BD!$A$3:$A$5001,"&lt;="&amp;$B208,BD!$L$3:$L$5001,"&lt;&gt;"))))</f>
        <v/>
      </c>
      <c r="I208" s="43" t="str">
        <f>IF(OR($B208="",$A208&gt;$B$9,I$184=""),"",IF(COUNTIFS(BD!$B$3:$B$5001,I$184,BD!$A$3:$A$5001,"&gt;="&amp;$C$7,BD!$A$3:$A$5001,"&lt;="&amp;$B208,BD!$L$3:$L$5001,"&lt;&gt;")=0,"",SUMIFS(BD!$L$3:$L$5001,BD!$B$3:$B$5001,I$184,BD!$A$3:$A$5001,_xlfn.MAXIFS(BD!$A$3:$A$5001,BD!$B$3:$B$5001,I$184,BD!$A$3:$A$5001,"&gt;="&amp;$C$7,BD!$A$3:$A$5001,"&lt;="&amp;$B208,BD!$L$3:$L$5001,"&lt;&gt;"))))</f>
        <v/>
      </c>
      <c r="J208" s="43" t="str">
        <f>IF(OR($B208="",$A208&gt;$B$9,J$184=""),"",IF(COUNTIFS(BD!$B$3:$B$5001,J$184,BD!$A$3:$A$5001,"&gt;="&amp;$C$7,BD!$A$3:$A$5001,"&lt;="&amp;$B208,BD!$L$3:$L$5001,"&lt;&gt;")=0,"",SUMIFS(BD!$L$3:$L$5001,BD!$B$3:$B$5001,J$184,BD!$A$3:$A$5001,_xlfn.MAXIFS(BD!$A$3:$A$5001,BD!$B$3:$B$5001,J$184,BD!$A$3:$A$5001,"&gt;="&amp;$C$7,BD!$A$3:$A$5001,"&lt;="&amp;$B208,BD!$L$3:$L$5001,"&lt;&gt;"))))</f>
        <v/>
      </c>
      <c r="K208" s="43" t="str">
        <f>IF(OR($B208="",$A208&gt;$B$9,K$184=""),"",IF(COUNTIFS(BD!$B$3:$B$5001,K$184,BD!$A$3:$A$5001,"&gt;="&amp;$C$7,BD!$A$3:$A$5001,"&lt;="&amp;$B208,BD!$L$3:$L$5001,"&lt;&gt;")=0,"",SUMIFS(BD!$L$3:$L$5001,BD!$B$3:$B$5001,K$184,BD!$A$3:$A$5001,_xlfn.MAXIFS(BD!$A$3:$A$5001,BD!$B$3:$B$5001,K$184,BD!$A$3:$A$5001,"&gt;="&amp;$C$7,BD!$A$3:$A$5001,"&lt;="&amp;$B208,BD!$L$3:$L$5001,"&lt;&gt;"))))</f>
        <v/>
      </c>
      <c r="L208" s="43" t="str">
        <f>IF(OR($B208="",$A208&gt;$B$9,L$184=""),"",IF(COUNTIFS(BD!$B$3:$B$5001,L$184,BD!$A$3:$A$5001,"&gt;="&amp;$C$7,BD!$A$3:$A$5001,"&lt;="&amp;$B208,BD!$L$3:$L$5001,"&lt;&gt;")=0,"",SUMIFS(BD!$L$3:$L$5001,BD!$B$3:$B$5001,L$184,BD!$A$3:$A$5001,_xlfn.MAXIFS(BD!$A$3:$A$5001,BD!$B$3:$B$5001,L$184,BD!$A$3:$A$5001,"&gt;="&amp;$C$7,BD!$A$3:$A$5001,"&lt;="&amp;$B208,BD!$L$3:$L$5001,"&lt;&gt;"))))</f>
        <v/>
      </c>
      <c r="M208" s="43" t="str">
        <f>IF(OR($B208="",$A208&gt;$B$9,M$184=""),"",IF(COUNTIFS(BD!$B$3:$B$5001,M$184,BD!$A$3:$A$5001,"&gt;="&amp;$C$7,BD!$A$3:$A$5001,"&lt;="&amp;$B208,BD!$L$3:$L$5001,"&lt;&gt;")=0,"",SUMIFS(BD!$L$3:$L$5001,BD!$B$3:$B$5001,M$184,BD!$A$3:$A$5001,_xlfn.MAXIFS(BD!$A$3:$A$5001,BD!$B$3:$B$5001,M$184,BD!$A$3:$A$5001,"&gt;="&amp;$C$7,BD!$A$3:$A$5001,"&lt;="&amp;$B208,BD!$L$3:$L$5001,"&lt;&gt;"))))</f>
        <v/>
      </c>
      <c r="N208" s="43" t="str">
        <f>IF(OR($B208="",$A208&gt;$B$9,N$184=""),"",IF(COUNTIFS(BD!$B$3:$B$5001,N$184,BD!$A$3:$A$5001,"&gt;="&amp;$C$7,BD!$A$3:$A$5001,"&lt;="&amp;$B208,BD!$L$3:$L$5001,"&lt;&gt;")=0,"",SUMIFS(BD!$L$3:$L$5001,BD!$B$3:$B$5001,N$184,BD!$A$3:$A$5001,_xlfn.MAXIFS(BD!$A$3:$A$5001,BD!$B$3:$B$5001,N$184,BD!$A$3:$A$5001,"&gt;="&amp;$C$7,BD!$A$3:$A$5001,"&lt;="&amp;$B208,BD!$L$3:$L$5001,"&lt;&gt;"))))</f>
        <v/>
      </c>
      <c r="O208" s="43" t="str">
        <f>IF(OR($B208="",$A208&gt;$B$9,O$184=""),"",IF(COUNTIFS(BD!$B$3:$B$5001,O$184,BD!$A$3:$A$5001,"&gt;="&amp;$C$7,BD!$A$3:$A$5001,"&lt;="&amp;$B208,BD!$L$3:$L$5001,"&lt;&gt;")=0,"",SUMIFS(BD!$L$3:$L$5001,BD!$B$3:$B$5001,O$184,BD!$A$3:$A$5001,_xlfn.MAXIFS(BD!$A$3:$A$5001,BD!$B$3:$B$5001,O$184,BD!$A$3:$A$5001,"&gt;="&amp;$C$7,BD!$A$3:$A$5001,"&lt;="&amp;$B208,BD!$L$3:$L$5001,"&lt;&gt;"))))</f>
        <v/>
      </c>
      <c r="P208" s="43" t="str">
        <f>IF(OR($B208="",$A208&gt;$B$9,P$184=""),"",IF(COUNTIFS(BD!$B$3:$B$5001,P$184,BD!$A$3:$A$5001,"&gt;="&amp;$C$7,BD!$A$3:$A$5001,"&lt;="&amp;$B208,BD!$L$3:$L$5001,"&lt;&gt;")=0,"",SUMIFS(BD!$L$3:$L$5001,BD!$B$3:$B$5001,P$184,BD!$A$3:$A$5001,_xlfn.MAXIFS(BD!$A$3:$A$5001,BD!$B$3:$B$5001,P$184,BD!$A$3:$A$5001,"&gt;="&amp;$C$7,BD!$A$3:$A$5001,"&lt;="&amp;$B208,BD!$L$3:$L$5001,"&lt;&gt;"))))</f>
        <v/>
      </c>
      <c r="Q208" s="43" t="str">
        <f>IF(OR($B208="",$A208&gt;$B$9,Q$184=""),"",IF(COUNTIFS(BD!$B$3:$B$5001,Q$184,BD!$A$3:$A$5001,"&gt;="&amp;$C$7,BD!$A$3:$A$5001,"&lt;="&amp;$B208,BD!$L$3:$L$5001,"&lt;&gt;")=0,"",SUMIFS(BD!$L$3:$L$5001,BD!$B$3:$B$5001,Q$184,BD!$A$3:$A$5001,_xlfn.MAXIFS(BD!$A$3:$A$5001,BD!$B$3:$B$5001,Q$184,BD!$A$3:$A$5001,"&gt;="&amp;$C$7,BD!$A$3:$A$5001,"&lt;="&amp;$B208,BD!$L$3:$L$5001,"&lt;&gt;"))))</f>
        <v/>
      </c>
      <c r="R208" s="43" t="str">
        <f>IF(OR($B208="",$A208&gt;$B$9,R$184=""),"",IF(COUNTIFS(BD!$B$3:$B$5001,R$184,BD!$A$3:$A$5001,"&gt;="&amp;$C$7,BD!$A$3:$A$5001,"&lt;="&amp;$B208,BD!$L$3:$L$5001,"&lt;&gt;")=0,"",SUMIFS(BD!$L$3:$L$5001,BD!$B$3:$B$5001,R$184,BD!$A$3:$A$5001,_xlfn.MAXIFS(BD!$A$3:$A$5001,BD!$B$3:$B$5001,R$184,BD!$A$3:$A$5001,"&gt;="&amp;$C$7,BD!$A$3:$A$5001,"&lt;="&amp;$B208,BD!$L$3:$L$5001,"&lt;&gt;"))))</f>
        <v/>
      </c>
      <c r="S208" s="43" t="str">
        <f>IF(OR($B208="",$A208&gt;$B$9,S$184=""),"",IF(COUNTIFS(BD!$B$3:$B$5001,S$184,BD!$A$3:$A$5001,"&gt;="&amp;$C$7,BD!$A$3:$A$5001,"&lt;="&amp;$B208,BD!$L$3:$L$5001,"&lt;&gt;")=0,"",SUMIFS(BD!$L$3:$L$5001,BD!$B$3:$B$5001,S$184,BD!$A$3:$A$5001,_xlfn.MAXIFS(BD!$A$3:$A$5001,BD!$B$3:$B$5001,S$184,BD!$A$3:$A$5001,"&gt;="&amp;$C$7,BD!$A$3:$A$5001,"&lt;="&amp;$B208,BD!$L$3:$L$5001,"&lt;&gt;"))))</f>
        <v/>
      </c>
      <c r="T208" s="43" t="str">
        <f>IF(OR($B208="",$A208&gt;$B$9,T$184=""),"",IF(COUNTIFS(BD!$B$3:$B$5001,T$184,BD!$A$3:$A$5001,"&gt;="&amp;$C$7,BD!$A$3:$A$5001,"&lt;="&amp;$B208,BD!$L$3:$L$5001,"&lt;&gt;")=0,"",SUMIFS(BD!$L$3:$L$5001,BD!$B$3:$B$5001,T$184,BD!$A$3:$A$5001,_xlfn.MAXIFS(BD!$A$3:$A$5001,BD!$B$3:$B$5001,T$184,BD!$A$3:$A$5001,"&gt;="&amp;$C$7,BD!$A$3:$A$5001,"&lt;="&amp;$B208,BD!$L$3:$L$5001,"&lt;&gt;"))))</f>
        <v/>
      </c>
      <c r="U208" s="43" t="str">
        <f>IF(OR($B208="",$A208&gt;$B$9,U$184=""),"",IF(COUNTIFS(BD!$B$3:$B$5001,U$184,BD!$A$3:$A$5001,"&gt;="&amp;$C$7,BD!$A$3:$A$5001,"&lt;="&amp;$B208,BD!$L$3:$L$5001,"&lt;&gt;")=0,"",SUMIFS(BD!$L$3:$L$5001,BD!$B$3:$B$5001,U$184,BD!$A$3:$A$5001,_xlfn.MAXIFS(BD!$A$3:$A$5001,BD!$B$3:$B$5001,U$184,BD!$A$3:$A$5001,"&gt;="&amp;$C$7,BD!$A$3:$A$5001,"&lt;="&amp;$B208,BD!$L$3:$L$5001,"&lt;&gt;"))))</f>
        <v/>
      </c>
      <c r="V208" s="43" t="str">
        <f>IF(OR($B208="",$A208&gt;$B$9,V$184=""),"",IF(COUNTIFS(BD!$B$3:$B$5001,V$184,BD!$A$3:$A$5001,"&gt;="&amp;$C$7,BD!$A$3:$A$5001,"&lt;="&amp;$B208,BD!$L$3:$L$5001,"&lt;&gt;")=0,"",SUMIFS(BD!$L$3:$L$5001,BD!$B$3:$B$5001,V$184,BD!$A$3:$A$5001,_xlfn.MAXIFS(BD!$A$3:$A$5001,BD!$B$3:$B$5001,V$184,BD!$A$3:$A$5001,"&gt;="&amp;$C$7,BD!$A$3:$A$5001,"&lt;="&amp;$B208,BD!$L$3:$L$5001,"&lt;&gt;"))))</f>
        <v/>
      </c>
    </row>
    <row r="209">
      <c r="A209" s="38">
        <v>25</v>
      </c>
      <c r="B209" s="42">
        <f>$B$36</f>
        <v>46320</v>
      </c>
      <c r="C209" s="43" t="str">
        <f>IF(OR($B209="",$A209&gt;$B$9,C$184=""),"",IF(COUNTIFS(BD!$B$3:$B$5001,C$184,BD!$A$3:$A$5001,"&gt;="&amp;$C$7,BD!$A$3:$A$5001,"&lt;="&amp;$B209,BD!$L$3:$L$5001,"&lt;&gt;")=0,"",SUMIFS(BD!$L$3:$L$5001,BD!$B$3:$B$5001,C$184,BD!$A$3:$A$5001,_xlfn.MAXIFS(BD!$A$3:$A$5001,BD!$B$3:$B$5001,C$184,BD!$A$3:$A$5001,"&gt;="&amp;$C$7,BD!$A$3:$A$5001,"&lt;="&amp;$B209,BD!$L$3:$L$5001,"&lt;&gt;"))))</f>
        <v/>
      </c>
      <c r="D209" s="43" t="str">
        <f>IF(OR($B209="",$A209&gt;$B$9,D$184=""),"",IF(COUNTIFS(BD!$B$3:$B$5001,D$184,BD!$A$3:$A$5001,"&gt;="&amp;$C$7,BD!$A$3:$A$5001,"&lt;="&amp;$B209,BD!$L$3:$L$5001,"&lt;&gt;")=0,"",SUMIFS(BD!$L$3:$L$5001,BD!$B$3:$B$5001,D$184,BD!$A$3:$A$5001,_xlfn.MAXIFS(BD!$A$3:$A$5001,BD!$B$3:$B$5001,D$184,BD!$A$3:$A$5001,"&gt;="&amp;$C$7,BD!$A$3:$A$5001,"&lt;="&amp;$B209,BD!$L$3:$L$5001,"&lt;&gt;"))))</f>
        <v/>
      </c>
      <c r="E209" s="43" t="str">
        <f>IF(OR($B209="",$A209&gt;$B$9,E$184=""),"",IF(COUNTIFS(BD!$B$3:$B$5001,E$184,BD!$A$3:$A$5001,"&gt;="&amp;$C$7,BD!$A$3:$A$5001,"&lt;="&amp;$B209,BD!$L$3:$L$5001,"&lt;&gt;")=0,"",SUMIFS(BD!$L$3:$L$5001,BD!$B$3:$B$5001,E$184,BD!$A$3:$A$5001,_xlfn.MAXIFS(BD!$A$3:$A$5001,BD!$B$3:$B$5001,E$184,BD!$A$3:$A$5001,"&gt;="&amp;$C$7,BD!$A$3:$A$5001,"&lt;="&amp;$B209,BD!$L$3:$L$5001,"&lt;&gt;"))))</f>
        <v/>
      </c>
      <c r="F209" s="43" t="str">
        <f>IF(OR($B209="",$A209&gt;$B$9,F$184=""),"",IF(COUNTIFS(BD!$B$3:$B$5001,F$184,BD!$A$3:$A$5001,"&gt;="&amp;$C$7,BD!$A$3:$A$5001,"&lt;="&amp;$B209,BD!$L$3:$L$5001,"&lt;&gt;")=0,"",SUMIFS(BD!$L$3:$L$5001,BD!$B$3:$B$5001,F$184,BD!$A$3:$A$5001,_xlfn.MAXIFS(BD!$A$3:$A$5001,BD!$B$3:$B$5001,F$184,BD!$A$3:$A$5001,"&gt;="&amp;$C$7,BD!$A$3:$A$5001,"&lt;="&amp;$B209,BD!$L$3:$L$5001,"&lt;&gt;"))))</f>
        <v/>
      </c>
      <c r="G209" s="43" t="str">
        <f>IF(OR($B209="",$A209&gt;$B$9,G$184=""),"",IF(COUNTIFS(BD!$B$3:$B$5001,G$184,BD!$A$3:$A$5001,"&gt;="&amp;$C$7,BD!$A$3:$A$5001,"&lt;="&amp;$B209,BD!$L$3:$L$5001,"&lt;&gt;")=0,"",SUMIFS(BD!$L$3:$L$5001,BD!$B$3:$B$5001,G$184,BD!$A$3:$A$5001,_xlfn.MAXIFS(BD!$A$3:$A$5001,BD!$B$3:$B$5001,G$184,BD!$A$3:$A$5001,"&gt;="&amp;$C$7,BD!$A$3:$A$5001,"&lt;="&amp;$B209,BD!$L$3:$L$5001,"&lt;&gt;"))))</f>
        <v/>
      </c>
      <c r="H209" s="43" t="str">
        <f>IF(OR($B209="",$A209&gt;$B$9,H$184=""),"",IF(COUNTIFS(BD!$B$3:$B$5001,H$184,BD!$A$3:$A$5001,"&gt;="&amp;$C$7,BD!$A$3:$A$5001,"&lt;="&amp;$B209,BD!$L$3:$L$5001,"&lt;&gt;")=0,"",SUMIFS(BD!$L$3:$L$5001,BD!$B$3:$B$5001,H$184,BD!$A$3:$A$5001,_xlfn.MAXIFS(BD!$A$3:$A$5001,BD!$B$3:$B$5001,H$184,BD!$A$3:$A$5001,"&gt;="&amp;$C$7,BD!$A$3:$A$5001,"&lt;="&amp;$B209,BD!$L$3:$L$5001,"&lt;&gt;"))))</f>
        <v/>
      </c>
      <c r="I209" s="43" t="str">
        <f>IF(OR($B209="",$A209&gt;$B$9,I$184=""),"",IF(COUNTIFS(BD!$B$3:$B$5001,I$184,BD!$A$3:$A$5001,"&gt;="&amp;$C$7,BD!$A$3:$A$5001,"&lt;="&amp;$B209,BD!$L$3:$L$5001,"&lt;&gt;")=0,"",SUMIFS(BD!$L$3:$L$5001,BD!$B$3:$B$5001,I$184,BD!$A$3:$A$5001,_xlfn.MAXIFS(BD!$A$3:$A$5001,BD!$B$3:$B$5001,I$184,BD!$A$3:$A$5001,"&gt;="&amp;$C$7,BD!$A$3:$A$5001,"&lt;="&amp;$B209,BD!$L$3:$L$5001,"&lt;&gt;"))))</f>
        <v/>
      </c>
      <c r="J209" s="43" t="str">
        <f>IF(OR($B209="",$A209&gt;$B$9,J$184=""),"",IF(COUNTIFS(BD!$B$3:$B$5001,J$184,BD!$A$3:$A$5001,"&gt;="&amp;$C$7,BD!$A$3:$A$5001,"&lt;="&amp;$B209,BD!$L$3:$L$5001,"&lt;&gt;")=0,"",SUMIFS(BD!$L$3:$L$5001,BD!$B$3:$B$5001,J$184,BD!$A$3:$A$5001,_xlfn.MAXIFS(BD!$A$3:$A$5001,BD!$B$3:$B$5001,J$184,BD!$A$3:$A$5001,"&gt;="&amp;$C$7,BD!$A$3:$A$5001,"&lt;="&amp;$B209,BD!$L$3:$L$5001,"&lt;&gt;"))))</f>
        <v/>
      </c>
      <c r="K209" s="43" t="str">
        <f>IF(OR($B209="",$A209&gt;$B$9,K$184=""),"",IF(COUNTIFS(BD!$B$3:$B$5001,K$184,BD!$A$3:$A$5001,"&gt;="&amp;$C$7,BD!$A$3:$A$5001,"&lt;="&amp;$B209,BD!$L$3:$L$5001,"&lt;&gt;")=0,"",SUMIFS(BD!$L$3:$L$5001,BD!$B$3:$B$5001,K$184,BD!$A$3:$A$5001,_xlfn.MAXIFS(BD!$A$3:$A$5001,BD!$B$3:$B$5001,K$184,BD!$A$3:$A$5001,"&gt;="&amp;$C$7,BD!$A$3:$A$5001,"&lt;="&amp;$B209,BD!$L$3:$L$5001,"&lt;&gt;"))))</f>
        <v/>
      </c>
      <c r="L209" s="43" t="str">
        <f>IF(OR($B209="",$A209&gt;$B$9,L$184=""),"",IF(COUNTIFS(BD!$B$3:$B$5001,L$184,BD!$A$3:$A$5001,"&gt;="&amp;$C$7,BD!$A$3:$A$5001,"&lt;="&amp;$B209,BD!$L$3:$L$5001,"&lt;&gt;")=0,"",SUMIFS(BD!$L$3:$L$5001,BD!$B$3:$B$5001,L$184,BD!$A$3:$A$5001,_xlfn.MAXIFS(BD!$A$3:$A$5001,BD!$B$3:$B$5001,L$184,BD!$A$3:$A$5001,"&gt;="&amp;$C$7,BD!$A$3:$A$5001,"&lt;="&amp;$B209,BD!$L$3:$L$5001,"&lt;&gt;"))))</f>
        <v/>
      </c>
      <c r="M209" s="43" t="str">
        <f>IF(OR($B209="",$A209&gt;$B$9,M$184=""),"",IF(COUNTIFS(BD!$B$3:$B$5001,M$184,BD!$A$3:$A$5001,"&gt;="&amp;$C$7,BD!$A$3:$A$5001,"&lt;="&amp;$B209,BD!$L$3:$L$5001,"&lt;&gt;")=0,"",SUMIFS(BD!$L$3:$L$5001,BD!$B$3:$B$5001,M$184,BD!$A$3:$A$5001,_xlfn.MAXIFS(BD!$A$3:$A$5001,BD!$B$3:$B$5001,M$184,BD!$A$3:$A$5001,"&gt;="&amp;$C$7,BD!$A$3:$A$5001,"&lt;="&amp;$B209,BD!$L$3:$L$5001,"&lt;&gt;"))))</f>
        <v/>
      </c>
      <c r="N209" s="43" t="str">
        <f>IF(OR($B209="",$A209&gt;$B$9,N$184=""),"",IF(COUNTIFS(BD!$B$3:$B$5001,N$184,BD!$A$3:$A$5001,"&gt;="&amp;$C$7,BD!$A$3:$A$5001,"&lt;="&amp;$B209,BD!$L$3:$L$5001,"&lt;&gt;")=0,"",SUMIFS(BD!$L$3:$L$5001,BD!$B$3:$B$5001,N$184,BD!$A$3:$A$5001,_xlfn.MAXIFS(BD!$A$3:$A$5001,BD!$B$3:$B$5001,N$184,BD!$A$3:$A$5001,"&gt;="&amp;$C$7,BD!$A$3:$A$5001,"&lt;="&amp;$B209,BD!$L$3:$L$5001,"&lt;&gt;"))))</f>
        <v/>
      </c>
      <c r="O209" s="43" t="str">
        <f>IF(OR($B209="",$A209&gt;$B$9,O$184=""),"",IF(COUNTIFS(BD!$B$3:$B$5001,O$184,BD!$A$3:$A$5001,"&gt;="&amp;$C$7,BD!$A$3:$A$5001,"&lt;="&amp;$B209,BD!$L$3:$L$5001,"&lt;&gt;")=0,"",SUMIFS(BD!$L$3:$L$5001,BD!$B$3:$B$5001,O$184,BD!$A$3:$A$5001,_xlfn.MAXIFS(BD!$A$3:$A$5001,BD!$B$3:$B$5001,O$184,BD!$A$3:$A$5001,"&gt;="&amp;$C$7,BD!$A$3:$A$5001,"&lt;="&amp;$B209,BD!$L$3:$L$5001,"&lt;&gt;"))))</f>
        <v/>
      </c>
      <c r="P209" s="43" t="str">
        <f>IF(OR($B209="",$A209&gt;$B$9,P$184=""),"",IF(COUNTIFS(BD!$B$3:$B$5001,P$184,BD!$A$3:$A$5001,"&gt;="&amp;$C$7,BD!$A$3:$A$5001,"&lt;="&amp;$B209,BD!$L$3:$L$5001,"&lt;&gt;")=0,"",SUMIFS(BD!$L$3:$L$5001,BD!$B$3:$B$5001,P$184,BD!$A$3:$A$5001,_xlfn.MAXIFS(BD!$A$3:$A$5001,BD!$B$3:$B$5001,P$184,BD!$A$3:$A$5001,"&gt;="&amp;$C$7,BD!$A$3:$A$5001,"&lt;="&amp;$B209,BD!$L$3:$L$5001,"&lt;&gt;"))))</f>
        <v/>
      </c>
      <c r="Q209" s="43" t="str">
        <f>IF(OR($B209="",$A209&gt;$B$9,Q$184=""),"",IF(COUNTIFS(BD!$B$3:$B$5001,Q$184,BD!$A$3:$A$5001,"&gt;="&amp;$C$7,BD!$A$3:$A$5001,"&lt;="&amp;$B209,BD!$L$3:$L$5001,"&lt;&gt;")=0,"",SUMIFS(BD!$L$3:$L$5001,BD!$B$3:$B$5001,Q$184,BD!$A$3:$A$5001,_xlfn.MAXIFS(BD!$A$3:$A$5001,BD!$B$3:$B$5001,Q$184,BD!$A$3:$A$5001,"&gt;="&amp;$C$7,BD!$A$3:$A$5001,"&lt;="&amp;$B209,BD!$L$3:$L$5001,"&lt;&gt;"))))</f>
        <v/>
      </c>
      <c r="R209" s="43" t="str">
        <f>IF(OR($B209="",$A209&gt;$B$9,R$184=""),"",IF(COUNTIFS(BD!$B$3:$B$5001,R$184,BD!$A$3:$A$5001,"&gt;="&amp;$C$7,BD!$A$3:$A$5001,"&lt;="&amp;$B209,BD!$L$3:$L$5001,"&lt;&gt;")=0,"",SUMIFS(BD!$L$3:$L$5001,BD!$B$3:$B$5001,R$184,BD!$A$3:$A$5001,_xlfn.MAXIFS(BD!$A$3:$A$5001,BD!$B$3:$B$5001,R$184,BD!$A$3:$A$5001,"&gt;="&amp;$C$7,BD!$A$3:$A$5001,"&lt;="&amp;$B209,BD!$L$3:$L$5001,"&lt;&gt;"))))</f>
        <v/>
      </c>
      <c r="S209" s="43" t="str">
        <f>IF(OR($B209="",$A209&gt;$B$9,S$184=""),"",IF(COUNTIFS(BD!$B$3:$B$5001,S$184,BD!$A$3:$A$5001,"&gt;="&amp;$C$7,BD!$A$3:$A$5001,"&lt;="&amp;$B209,BD!$L$3:$L$5001,"&lt;&gt;")=0,"",SUMIFS(BD!$L$3:$L$5001,BD!$B$3:$B$5001,S$184,BD!$A$3:$A$5001,_xlfn.MAXIFS(BD!$A$3:$A$5001,BD!$B$3:$B$5001,S$184,BD!$A$3:$A$5001,"&gt;="&amp;$C$7,BD!$A$3:$A$5001,"&lt;="&amp;$B209,BD!$L$3:$L$5001,"&lt;&gt;"))))</f>
        <v/>
      </c>
      <c r="T209" s="43" t="str">
        <f>IF(OR($B209="",$A209&gt;$B$9,T$184=""),"",IF(COUNTIFS(BD!$B$3:$B$5001,T$184,BD!$A$3:$A$5001,"&gt;="&amp;$C$7,BD!$A$3:$A$5001,"&lt;="&amp;$B209,BD!$L$3:$L$5001,"&lt;&gt;")=0,"",SUMIFS(BD!$L$3:$L$5001,BD!$B$3:$B$5001,T$184,BD!$A$3:$A$5001,_xlfn.MAXIFS(BD!$A$3:$A$5001,BD!$B$3:$B$5001,T$184,BD!$A$3:$A$5001,"&gt;="&amp;$C$7,BD!$A$3:$A$5001,"&lt;="&amp;$B209,BD!$L$3:$L$5001,"&lt;&gt;"))))</f>
        <v/>
      </c>
      <c r="U209" s="43" t="str">
        <f>IF(OR($B209="",$A209&gt;$B$9,U$184=""),"",IF(COUNTIFS(BD!$B$3:$B$5001,U$184,BD!$A$3:$A$5001,"&gt;="&amp;$C$7,BD!$A$3:$A$5001,"&lt;="&amp;$B209,BD!$L$3:$L$5001,"&lt;&gt;")=0,"",SUMIFS(BD!$L$3:$L$5001,BD!$B$3:$B$5001,U$184,BD!$A$3:$A$5001,_xlfn.MAXIFS(BD!$A$3:$A$5001,BD!$B$3:$B$5001,U$184,BD!$A$3:$A$5001,"&gt;="&amp;$C$7,BD!$A$3:$A$5001,"&lt;="&amp;$B209,BD!$L$3:$L$5001,"&lt;&gt;"))))</f>
        <v/>
      </c>
      <c r="V209" s="43" t="str">
        <f>IF(OR($B209="",$A209&gt;$B$9,V$184=""),"",IF(COUNTIFS(BD!$B$3:$B$5001,V$184,BD!$A$3:$A$5001,"&gt;="&amp;$C$7,BD!$A$3:$A$5001,"&lt;="&amp;$B209,BD!$L$3:$L$5001,"&lt;&gt;")=0,"",SUMIFS(BD!$L$3:$L$5001,BD!$B$3:$B$5001,V$184,BD!$A$3:$A$5001,_xlfn.MAXIFS(BD!$A$3:$A$5001,BD!$B$3:$B$5001,V$184,BD!$A$3:$A$5001,"&gt;="&amp;$C$7,BD!$A$3:$A$5001,"&lt;="&amp;$B209,BD!$L$3:$L$5001,"&lt;&gt;"))))</f>
        <v/>
      </c>
    </row>
    <row r="210">
      <c r="A210" s="38">
        <v>26</v>
      </c>
      <c r="B210" s="42">
        <f>$B$37</f>
        <v>46321</v>
      </c>
      <c r="C210" s="43" t="str">
        <f>IF(OR($B210="",$A210&gt;$B$9,C$184=""),"",IF(COUNTIFS(BD!$B$3:$B$5001,C$184,BD!$A$3:$A$5001,"&gt;="&amp;$C$7,BD!$A$3:$A$5001,"&lt;="&amp;$B210,BD!$L$3:$L$5001,"&lt;&gt;")=0,"",SUMIFS(BD!$L$3:$L$5001,BD!$B$3:$B$5001,C$184,BD!$A$3:$A$5001,_xlfn.MAXIFS(BD!$A$3:$A$5001,BD!$B$3:$B$5001,C$184,BD!$A$3:$A$5001,"&gt;="&amp;$C$7,BD!$A$3:$A$5001,"&lt;="&amp;$B210,BD!$L$3:$L$5001,"&lt;&gt;"))))</f>
        <v/>
      </c>
      <c r="D210" s="43" t="str">
        <f>IF(OR($B210="",$A210&gt;$B$9,D$184=""),"",IF(COUNTIFS(BD!$B$3:$B$5001,D$184,BD!$A$3:$A$5001,"&gt;="&amp;$C$7,BD!$A$3:$A$5001,"&lt;="&amp;$B210,BD!$L$3:$L$5001,"&lt;&gt;")=0,"",SUMIFS(BD!$L$3:$L$5001,BD!$B$3:$B$5001,D$184,BD!$A$3:$A$5001,_xlfn.MAXIFS(BD!$A$3:$A$5001,BD!$B$3:$B$5001,D$184,BD!$A$3:$A$5001,"&gt;="&amp;$C$7,BD!$A$3:$A$5001,"&lt;="&amp;$B210,BD!$L$3:$L$5001,"&lt;&gt;"))))</f>
        <v/>
      </c>
      <c r="E210" s="43" t="str">
        <f>IF(OR($B210="",$A210&gt;$B$9,E$184=""),"",IF(COUNTIFS(BD!$B$3:$B$5001,E$184,BD!$A$3:$A$5001,"&gt;="&amp;$C$7,BD!$A$3:$A$5001,"&lt;="&amp;$B210,BD!$L$3:$L$5001,"&lt;&gt;")=0,"",SUMIFS(BD!$L$3:$L$5001,BD!$B$3:$B$5001,E$184,BD!$A$3:$A$5001,_xlfn.MAXIFS(BD!$A$3:$A$5001,BD!$B$3:$B$5001,E$184,BD!$A$3:$A$5001,"&gt;="&amp;$C$7,BD!$A$3:$A$5001,"&lt;="&amp;$B210,BD!$L$3:$L$5001,"&lt;&gt;"))))</f>
        <v/>
      </c>
      <c r="F210" s="43" t="str">
        <f>IF(OR($B210="",$A210&gt;$B$9,F$184=""),"",IF(COUNTIFS(BD!$B$3:$B$5001,F$184,BD!$A$3:$A$5001,"&gt;="&amp;$C$7,BD!$A$3:$A$5001,"&lt;="&amp;$B210,BD!$L$3:$L$5001,"&lt;&gt;")=0,"",SUMIFS(BD!$L$3:$L$5001,BD!$B$3:$B$5001,F$184,BD!$A$3:$A$5001,_xlfn.MAXIFS(BD!$A$3:$A$5001,BD!$B$3:$B$5001,F$184,BD!$A$3:$A$5001,"&gt;="&amp;$C$7,BD!$A$3:$A$5001,"&lt;="&amp;$B210,BD!$L$3:$L$5001,"&lt;&gt;"))))</f>
        <v/>
      </c>
      <c r="G210" s="43" t="str">
        <f>IF(OR($B210="",$A210&gt;$B$9,G$184=""),"",IF(COUNTIFS(BD!$B$3:$B$5001,G$184,BD!$A$3:$A$5001,"&gt;="&amp;$C$7,BD!$A$3:$A$5001,"&lt;="&amp;$B210,BD!$L$3:$L$5001,"&lt;&gt;")=0,"",SUMIFS(BD!$L$3:$L$5001,BD!$B$3:$B$5001,G$184,BD!$A$3:$A$5001,_xlfn.MAXIFS(BD!$A$3:$A$5001,BD!$B$3:$B$5001,G$184,BD!$A$3:$A$5001,"&gt;="&amp;$C$7,BD!$A$3:$A$5001,"&lt;="&amp;$B210,BD!$L$3:$L$5001,"&lt;&gt;"))))</f>
        <v/>
      </c>
      <c r="H210" s="43" t="str">
        <f>IF(OR($B210="",$A210&gt;$B$9,H$184=""),"",IF(COUNTIFS(BD!$B$3:$B$5001,H$184,BD!$A$3:$A$5001,"&gt;="&amp;$C$7,BD!$A$3:$A$5001,"&lt;="&amp;$B210,BD!$L$3:$L$5001,"&lt;&gt;")=0,"",SUMIFS(BD!$L$3:$L$5001,BD!$B$3:$B$5001,H$184,BD!$A$3:$A$5001,_xlfn.MAXIFS(BD!$A$3:$A$5001,BD!$B$3:$B$5001,H$184,BD!$A$3:$A$5001,"&gt;="&amp;$C$7,BD!$A$3:$A$5001,"&lt;="&amp;$B210,BD!$L$3:$L$5001,"&lt;&gt;"))))</f>
        <v/>
      </c>
      <c r="I210" s="43" t="str">
        <f>IF(OR($B210="",$A210&gt;$B$9,I$184=""),"",IF(COUNTIFS(BD!$B$3:$B$5001,I$184,BD!$A$3:$A$5001,"&gt;="&amp;$C$7,BD!$A$3:$A$5001,"&lt;="&amp;$B210,BD!$L$3:$L$5001,"&lt;&gt;")=0,"",SUMIFS(BD!$L$3:$L$5001,BD!$B$3:$B$5001,I$184,BD!$A$3:$A$5001,_xlfn.MAXIFS(BD!$A$3:$A$5001,BD!$B$3:$B$5001,I$184,BD!$A$3:$A$5001,"&gt;="&amp;$C$7,BD!$A$3:$A$5001,"&lt;="&amp;$B210,BD!$L$3:$L$5001,"&lt;&gt;"))))</f>
        <v/>
      </c>
      <c r="J210" s="43" t="str">
        <f>IF(OR($B210="",$A210&gt;$B$9,J$184=""),"",IF(COUNTIFS(BD!$B$3:$B$5001,J$184,BD!$A$3:$A$5001,"&gt;="&amp;$C$7,BD!$A$3:$A$5001,"&lt;="&amp;$B210,BD!$L$3:$L$5001,"&lt;&gt;")=0,"",SUMIFS(BD!$L$3:$L$5001,BD!$B$3:$B$5001,J$184,BD!$A$3:$A$5001,_xlfn.MAXIFS(BD!$A$3:$A$5001,BD!$B$3:$B$5001,J$184,BD!$A$3:$A$5001,"&gt;="&amp;$C$7,BD!$A$3:$A$5001,"&lt;="&amp;$B210,BD!$L$3:$L$5001,"&lt;&gt;"))))</f>
        <v/>
      </c>
      <c r="K210" s="43" t="str">
        <f>IF(OR($B210="",$A210&gt;$B$9,K$184=""),"",IF(COUNTIFS(BD!$B$3:$B$5001,K$184,BD!$A$3:$A$5001,"&gt;="&amp;$C$7,BD!$A$3:$A$5001,"&lt;="&amp;$B210,BD!$L$3:$L$5001,"&lt;&gt;")=0,"",SUMIFS(BD!$L$3:$L$5001,BD!$B$3:$B$5001,K$184,BD!$A$3:$A$5001,_xlfn.MAXIFS(BD!$A$3:$A$5001,BD!$B$3:$B$5001,K$184,BD!$A$3:$A$5001,"&gt;="&amp;$C$7,BD!$A$3:$A$5001,"&lt;="&amp;$B210,BD!$L$3:$L$5001,"&lt;&gt;"))))</f>
        <v/>
      </c>
      <c r="L210" s="43" t="str">
        <f>IF(OR($B210="",$A210&gt;$B$9,L$184=""),"",IF(COUNTIFS(BD!$B$3:$B$5001,L$184,BD!$A$3:$A$5001,"&gt;="&amp;$C$7,BD!$A$3:$A$5001,"&lt;="&amp;$B210,BD!$L$3:$L$5001,"&lt;&gt;")=0,"",SUMIFS(BD!$L$3:$L$5001,BD!$B$3:$B$5001,L$184,BD!$A$3:$A$5001,_xlfn.MAXIFS(BD!$A$3:$A$5001,BD!$B$3:$B$5001,L$184,BD!$A$3:$A$5001,"&gt;="&amp;$C$7,BD!$A$3:$A$5001,"&lt;="&amp;$B210,BD!$L$3:$L$5001,"&lt;&gt;"))))</f>
        <v/>
      </c>
      <c r="M210" s="43" t="str">
        <f>IF(OR($B210="",$A210&gt;$B$9,M$184=""),"",IF(COUNTIFS(BD!$B$3:$B$5001,M$184,BD!$A$3:$A$5001,"&gt;="&amp;$C$7,BD!$A$3:$A$5001,"&lt;="&amp;$B210,BD!$L$3:$L$5001,"&lt;&gt;")=0,"",SUMIFS(BD!$L$3:$L$5001,BD!$B$3:$B$5001,M$184,BD!$A$3:$A$5001,_xlfn.MAXIFS(BD!$A$3:$A$5001,BD!$B$3:$B$5001,M$184,BD!$A$3:$A$5001,"&gt;="&amp;$C$7,BD!$A$3:$A$5001,"&lt;="&amp;$B210,BD!$L$3:$L$5001,"&lt;&gt;"))))</f>
        <v/>
      </c>
      <c r="N210" s="43" t="str">
        <f>IF(OR($B210="",$A210&gt;$B$9,N$184=""),"",IF(COUNTIFS(BD!$B$3:$B$5001,N$184,BD!$A$3:$A$5001,"&gt;="&amp;$C$7,BD!$A$3:$A$5001,"&lt;="&amp;$B210,BD!$L$3:$L$5001,"&lt;&gt;")=0,"",SUMIFS(BD!$L$3:$L$5001,BD!$B$3:$B$5001,N$184,BD!$A$3:$A$5001,_xlfn.MAXIFS(BD!$A$3:$A$5001,BD!$B$3:$B$5001,N$184,BD!$A$3:$A$5001,"&gt;="&amp;$C$7,BD!$A$3:$A$5001,"&lt;="&amp;$B210,BD!$L$3:$L$5001,"&lt;&gt;"))))</f>
        <v/>
      </c>
      <c r="O210" s="43" t="str">
        <f>IF(OR($B210="",$A210&gt;$B$9,O$184=""),"",IF(COUNTIFS(BD!$B$3:$B$5001,O$184,BD!$A$3:$A$5001,"&gt;="&amp;$C$7,BD!$A$3:$A$5001,"&lt;="&amp;$B210,BD!$L$3:$L$5001,"&lt;&gt;")=0,"",SUMIFS(BD!$L$3:$L$5001,BD!$B$3:$B$5001,O$184,BD!$A$3:$A$5001,_xlfn.MAXIFS(BD!$A$3:$A$5001,BD!$B$3:$B$5001,O$184,BD!$A$3:$A$5001,"&gt;="&amp;$C$7,BD!$A$3:$A$5001,"&lt;="&amp;$B210,BD!$L$3:$L$5001,"&lt;&gt;"))))</f>
        <v/>
      </c>
      <c r="P210" s="43" t="str">
        <f>IF(OR($B210="",$A210&gt;$B$9,P$184=""),"",IF(COUNTIFS(BD!$B$3:$B$5001,P$184,BD!$A$3:$A$5001,"&gt;="&amp;$C$7,BD!$A$3:$A$5001,"&lt;="&amp;$B210,BD!$L$3:$L$5001,"&lt;&gt;")=0,"",SUMIFS(BD!$L$3:$L$5001,BD!$B$3:$B$5001,P$184,BD!$A$3:$A$5001,_xlfn.MAXIFS(BD!$A$3:$A$5001,BD!$B$3:$B$5001,P$184,BD!$A$3:$A$5001,"&gt;="&amp;$C$7,BD!$A$3:$A$5001,"&lt;="&amp;$B210,BD!$L$3:$L$5001,"&lt;&gt;"))))</f>
        <v/>
      </c>
      <c r="Q210" s="43" t="str">
        <f>IF(OR($B210="",$A210&gt;$B$9,Q$184=""),"",IF(COUNTIFS(BD!$B$3:$B$5001,Q$184,BD!$A$3:$A$5001,"&gt;="&amp;$C$7,BD!$A$3:$A$5001,"&lt;="&amp;$B210,BD!$L$3:$L$5001,"&lt;&gt;")=0,"",SUMIFS(BD!$L$3:$L$5001,BD!$B$3:$B$5001,Q$184,BD!$A$3:$A$5001,_xlfn.MAXIFS(BD!$A$3:$A$5001,BD!$B$3:$B$5001,Q$184,BD!$A$3:$A$5001,"&gt;="&amp;$C$7,BD!$A$3:$A$5001,"&lt;="&amp;$B210,BD!$L$3:$L$5001,"&lt;&gt;"))))</f>
        <v/>
      </c>
      <c r="R210" s="43" t="str">
        <f>IF(OR($B210="",$A210&gt;$B$9,R$184=""),"",IF(COUNTIFS(BD!$B$3:$B$5001,R$184,BD!$A$3:$A$5001,"&gt;="&amp;$C$7,BD!$A$3:$A$5001,"&lt;="&amp;$B210,BD!$L$3:$L$5001,"&lt;&gt;")=0,"",SUMIFS(BD!$L$3:$L$5001,BD!$B$3:$B$5001,R$184,BD!$A$3:$A$5001,_xlfn.MAXIFS(BD!$A$3:$A$5001,BD!$B$3:$B$5001,R$184,BD!$A$3:$A$5001,"&gt;="&amp;$C$7,BD!$A$3:$A$5001,"&lt;="&amp;$B210,BD!$L$3:$L$5001,"&lt;&gt;"))))</f>
        <v/>
      </c>
      <c r="S210" s="43" t="str">
        <f>IF(OR($B210="",$A210&gt;$B$9,S$184=""),"",IF(COUNTIFS(BD!$B$3:$B$5001,S$184,BD!$A$3:$A$5001,"&gt;="&amp;$C$7,BD!$A$3:$A$5001,"&lt;="&amp;$B210,BD!$L$3:$L$5001,"&lt;&gt;")=0,"",SUMIFS(BD!$L$3:$L$5001,BD!$B$3:$B$5001,S$184,BD!$A$3:$A$5001,_xlfn.MAXIFS(BD!$A$3:$A$5001,BD!$B$3:$B$5001,S$184,BD!$A$3:$A$5001,"&gt;="&amp;$C$7,BD!$A$3:$A$5001,"&lt;="&amp;$B210,BD!$L$3:$L$5001,"&lt;&gt;"))))</f>
        <v/>
      </c>
      <c r="T210" s="43" t="str">
        <f>IF(OR($B210="",$A210&gt;$B$9,T$184=""),"",IF(COUNTIFS(BD!$B$3:$B$5001,T$184,BD!$A$3:$A$5001,"&gt;="&amp;$C$7,BD!$A$3:$A$5001,"&lt;="&amp;$B210,BD!$L$3:$L$5001,"&lt;&gt;")=0,"",SUMIFS(BD!$L$3:$L$5001,BD!$B$3:$B$5001,T$184,BD!$A$3:$A$5001,_xlfn.MAXIFS(BD!$A$3:$A$5001,BD!$B$3:$B$5001,T$184,BD!$A$3:$A$5001,"&gt;="&amp;$C$7,BD!$A$3:$A$5001,"&lt;="&amp;$B210,BD!$L$3:$L$5001,"&lt;&gt;"))))</f>
        <v/>
      </c>
      <c r="U210" s="43" t="str">
        <f>IF(OR($B210="",$A210&gt;$B$9,U$184=""),"",IF(COUNTIFS(BD!$B$3:$B$5001,U$184,BD!$A$3:$A$5001,"&gt;="&amp;$C$7,BD!$A$3:$A$5001,"&lt;="&amp;$B210,BD!$L$3:$L$5001,"&lt;&gt;")=0,"",SUMIFS(BD!$L$3:$L$5001,BD!$B$3:$B$5001,U$184,BD!$A$3:$A$5001,_xlfn.MAXIFS(BD!$A$3:$A$5001,BD!$B$3:$B$5001,U$184,BD!$A$3:$A$5001,"&gt;="&amp;$C$7,BD!$A$3:$A$5001,"&lt;="&amp;$B210,BD!$L$3:$L$5001,"&lt;&gt;"))))</f>
        <v/>
      </c>
      <c r="V210" s="43" t="str">
        <f>IF(OR($B210="",$A210&gt;$B$9,V$184=""),"",IF(COUNTIFS(BD!$B$3:$B$5001,V$184,BD!$A$3:$A$5001,"&gt;="&amp;$C$7,BD!$A$3:$A$5001,"&lt;="&amp;$B210,BD!$L$3:$L$5001,"&lt;&gt;")=0,"",SUMIFS(BD!$L$3:$L$5001,BD!$B$3:$B$5001,V$184,BD!$A$3:$A$5001,_xlfn.MAXIFS(BD!$A$3:$A$5001,BD!$B$3:$B$5001,V$184,BD!$A$3:$A$5001,"&gt;="&amp;$C$7,BD!$A$3:$A$5001,"&lt;="&amp;$B210,BD!$L$3:$L$5001,"&lt;&gt;"))))</f>
        <v/>
      </c>
    </row>
    <row r="211">
      <c r="A211" s="38">
        <v>27</v>
      </c>
      <c r="B211" s="42">
        <f>$B$38</f>
        <v>46322</v>
      </c>
      <c r="C211" s="43" t="str">
        <f>IF(OR($B211="",$A211&gt;$B$9,C$184=""),"",IF(COUNTIFS(BD!$B$3:$B$5001,C$184,BD!$A$3:$A$5001,"&gt;="&amp;$C$7,BD!$A$3:$A$5001,"&lt;="&amp;$B211,BD!$L$3:$L$5001,"&lt;&gt;")=0,"",SUMIFS(BD!$L$3:$L$5001,BD!$B$3:$B$5001,C$184,BD!$A$3:$A$5001,_xlfn.MAXIFS(BD!$A$3:$A$5001,BD!$B$3:$B$5001,C$184,BD!$A$3:$A$5001,"&gt;="&amp;$C$7,BD!$A$3:$A$5001,"&lt;="&amp;$B211,BD!$L$3:$L$5001,"&lt;&gt;"))))</f>
        <v/>
      </c>
      <c r="D211" s="43" t="str">
        <f>IF(OR($B211="",$A211&gt;$B$9,D$184=""),"",IF(COUNTIFS(BD!$B$3:$B$5001,D$184,BD!$A$3:$A$5001,"&gt;="&amp;$C$7,BD!$A$3:$A$5001,"&lt;="&amp;$B211,BD!$L$3:$L$5001,"&lt;&gt;")=0,"",SUMIFS(BD!$L$3:$L$5001,BD!$B$3:$B$5001,D$184,BD!$A$3:$A$5001,_xlfn.MAXIFS(BD!$A$3:$A$5001,BD!$B$3:$B$5001,D$184,BD!$A$3:$A$5001,"&gt;="&amp;$C$7,BD!$A$3:$A$5001,"&lt;="&amp;$B211,BD!$L$3:$L$5001,"&lt;&gt;"))))</f>
        <v/>
      </c>
      <c r="E211" s="43" t="str">
        <f>IF(OR($B211="",$A211&gt;$B$9,E$184=""),"",IF(COUNTIFS(BD!$B$3:$B$5001,E$184,BD!$A$3:$A$5001,"&gt;="&amp;$C$7,BD!$A$3:$A$5001,"&lt;="&amp;$B211,BD!$L$3:$L$5001,"&lt;&gt;")=0,"",SUMIFS(BD!$L$3:$L$5001,BD!$B$3:$B$5001,E$184,BD!$A$3:$A$5001,_xlfn.MAXIFS(BD!$A$3:$A$5001,BD!$B$3:$B$5001,E$184,BD!$A$3:$A$5001,"&gt;="&amp;$C$7,BD!$A$3:$A$5001,"&lt;="&amp;$B211,BD!$L$3:$L$5001,"&lt;&gt;"))))</f>
        <v/>
      </c>
      <c r="F211" s="43" t="str">
        <f>IF(OR($B211="",$A211&gt;$B$9,F$184=""),"",IF(COUNTIFS(BD!$B$3:$B$5001,F$184,BD!$A$3:$A$5001,"&gt;="&amp;$C$7,BD!$A$3:$A$5001,"&lt;="&amp;$B211,BD!$L$3:$L$5001,"&lt;&gt;")=0,"",SUMIFS(BD!$L$3:$L$5001,BD!$B$3:$B$5001,F$184,BD!$A$3:$A$5001,_xlfn.MAXIFS(BD!$A$3:$A$5001,BD!$B$3:$B$5001,F$184,BD!$A$3:$A$5001,"&gt;="&amp;$C$7,BD!$A$3:$A$5001,"&lt;="&amp;$B211,BD!$L$3:$L$5001,"&lt;&gt;"))))</f>
        <v/>
      </c>
      <c r="G211" s="43" t="str">
        <f>IF(OR($B211="",$A211&gt;$B$9,G$184=""),"",IF(COUNTIFS(BD!$B$3:$B$5001,G$184,BD!$A$3:$A$5001,"&gt;="&amp;$C$7,BD!$A$3:$A$5001,"&lt;="&amp;$B211,BD!$L$3:$L$5001,"&lt;&gt;")=0,"",SUMIFS(BD!$L$3:$L$5001,BD!$B$3:$B$5001,G$184,BD!$A$3:$A$5001,_xlfn.MAXIFS(BD!$A$3:$A$5001,BD!$B$3:$B$5001,G$184,BD!$A$3:$A$5001,"&gt;="&amp;$C$7,BD!$A$3:$A$5001,"&lt;="&amp;$B211,BD!$L$3:$L$5001,"&lt;&gt;"))))</f>
        <v/>
      </c>
      <c r="H211" s="43" t="str">
        <f>IF(OR($B211="",$A211&gt;$B$9,H$184=""),"",IF(COUNTIFS(BD!$B$3:$B$5001,H$184,BD!$A$3:$A$5001,"&gt;="&amp;$C$7,BD!$A$3:$A$5001,"&lt;="&amp;$B211,BD!$L$3:$L$5001,"&lt;&gt;")=0,"",SUMIFS(BD!$L$3:$L$5001,BD!$B$3:$B$5001,H$184,BD!$A$3:$A$5001,_xlfn.MAXIFS(BD!$A$3:$A$5001,BD!$B$3:$B$5001,H$184,BD!$A$3:$A$5001,"&gt;="&amp;$C$7,BD!$A$3:$A$5001,"&lt;="&amp;$B211,BD!$L$3:$L$5001,"&lt;&gt;"))))</f>
        <v/>
      </c>
      <c r="I211" s="43" t="str">
        <f>IF(OR($B211="",$A211&gt;$B$9,I$184=""),"",IF(COUNTIFS(BD!$B$3:$B$5001,I$184,BD!$A$3:$A$5001,"&gt;="&amp;$C$7,BD!$A$3:$A$5001,"&lt;="&amp;$B211,BD!$L$3:$L$5001,"&lt;&gt;")=0,"",SUMIFS(BD!$L$3:$L$5001,BD!$B$3:$B$5001,I$184,BD!$A$3:$A$5001,_xlfn.MAXIFS(BD!$A$3:$A$5001,BD!$B$3:$B$5001,I$184,BD!$A$3:$A$5001,"&gt;="&amp;$C$7,BD!$A$3:$A$5001,"&lt;="&amp;$B211,BD!$L$3:$L$5001,"&lt;&gt;"))))</f>
        <v/>
      </c>
      <c r="J211" s="43" t="str">
        <f>IF(OR($B211="",$A211&gt;$B$9,J$184=""),"",IF(COUNTIFS(BD!$B$3:$B$5001,J$184,BD!$A$3:$A$5001,"&gt;="&amp;$C$7,BD!$A$3:$A$5001,"&lt;="&amp;$B211,BD!$L$3:$L$5001,"&lt;&gt;")=0,"",SUMIFS(BD!$L$3:$L$5001,BD!$B$3:$B$5001,J$184,BD!$A$3:$A$5001,_xlfn.MAXIFS(BD!$A$3:$A$5001,BD!$B$3:$B$5001,J$184,BD!$A$3:$A$5001,"&gt;="&amp;$C$7,BD!$A$3:$A$5001,"&lt;="&amp;$B211,BD!$L$3:$L$5001,"&lt;&gt;"))))</f>
        <v/>
      </c>
      <c r="K211" s="43" t="str">
        <f>IF(OR($B211="",$A211&gt;$B$9,K$184=""),"",IF(COUNTIFS(BD!$B$3:$B$5001,K$184,BD!$A$3:$A$5001,"&gt;="&amp;$C$7,BD!$A$3:$A$5001,"&lt;="&amp;$B211,BD!$L$3:$L$5001,"&lt;&gt;")=0,"",SUMIFS(BD!$L$3:$L$5001,BD!$B$3:$B$5001,K$184,BD!$A$3:$A$5001,_xlfn.MAXIFS(BD!$A$3:$A$5001,BD!$B$3:$B$5001,K$184,BD!$A$3:$A$5001,"&gt;="&amp;$C$7,BD!$A$3:$A$5001,"&lt;="&amp;$B211,BD!$L$3:$L$5001,"&lt;&gt;"))))</f>
        <v/>
      </c>
      <c r="L211" s="43" t="str">
        <f>IF(OR($B211="",$A211&gt;$B$9,L$184=""),"",IF(COUNTIFS(BD!$B$3:$B$5001,L$184,BD!$A$3:$A$5001,"&gt;="&amp;$C$7,BD!$A$3:$A$5001,"&lt;="&amp;$B211,BD!$L$3:$L$5001,"&lt;&gt;")=0,"",SUMIFS(BD!$L$3:$L$5001,BD!$B$3:$B$5001,L$184,BD!$A$3:$A$5001,_xlfn.MAXIFS(BD!$A$3:$A$5001,BD!$B$3:$B$5001,L$184,BD!$A$3:$A$5001,"&gt;="&amp;$C$7,BD!$A$3:$A$5001,"&lt;="&amp;$B211,BD!$L$3:$L$5001,"&lt;&gt;"))))</f>
        <v/>
      </c>
      <c r="M211" s="43" t="str">
        <f>IF(OR($B211="",$A211&gt;$B$9,M$184=""),"",IF(COUNTIFS(BD!$B$3:$B$5001,M$184,BD!$A$3:$A$5001,"&gt;="&amp;$C$7,BD!$A$3:$A$5001,"&lt;="&amp;$B211,BD!$L$3:$L$5001,"&lt;&gt;")=0,"",SUMIFS(BD!$L$3:$L$5001,BD!$B$3:$B$5001,M$184,BD!$A$3:$A$5001,_xlfn.MAXIFS(BD!$A$3:$A$5001,BD!$B$3:$B$5001,M$184,BD!$A$3:$A$5001,"&gt;="&amp;$C$7,BD!$A$3:$A$5001,"&lt;="&amp;$B211,BD!$L$3:$L$5001,"&lt;&gt;"))))</f>
        <v/>
      </c>
      <c r="N211" s="43" t="str">
        <f>IF(OR($B211="",$A211&gt;$B$9,N$184=""),"",IF(COUNTIFS(BD!$B$3:$B$5001,N$184,BD!$A$3:$A$5001,"&gt;="&amp;$C$7,BD!$A$3:$A$5001,"&lt;="&amp;$B211,BD!$L$3:$L$5001,"&lt;&gt;")=0,"",SUMIFS(BD!$L$3:$L$5001,BD!$B$3:$B$5001,N$184,BD!$A$3:$A$5001,_xlfn.MAXIFS(BD!$A$3:$A$5001,BD!$B$3:$B$5001,N$184,BD!$A$3:$A$5001,"&gt;="&amp;$C$7,BD!$A$3:$A$5001,"&lt;="&amp;$B211,BD!$L$3:$L$5001,"&lt;&gt;"))))</f>
        <v/>
      </c>
      <c r="O211" s="43" t="str">
        <f>IF(OR($B211="",$A211&gt;$B$9,O$184=""),"",IF(COUNTIFS(BD!$B$3:$B$5001,O$184,BD!$A$3:$A$5001,"&gt;="&amp;$C$7,BD!$A$3:$A$5001,"&lt;="&amp;$B211,BD!$L$3:$L$5001,"&lt;&gt;")=0,"",SUMIFS(BD!$L$3:$L$5001,BD!$B$3:$B$5001,O$184,BD!$A$3:$A$5001,_xlfn.MAXIFS(BD!$A$3:$A$5001,BD!$B$3:$B$5001,O$184,BD!$A$3:$A$5001,"&gt;="&amp;$C$7,BD!$A$3:$A$5001,"&lt;="&amp;$B211,BD!$L$3:$L$5001,"&lt;&gt;"))))</f>
        <v/>
      </c>
      <c r="P211" s="43" t="str">
        <f>IF(OR($B211="",$A211&gt;$B$9,P$184=""),"",IF(COUNTIFS(BD!$B$3:$B$5001,P$184,BD!$A$3:$A$5001,"&gt;="&amp;$C$7,BD!$A$3:$A$5001,"&lt;="&amp;$B211,BD!$L$3:$L$5001,"&lt;&gt;")=0,"",SUMIFS(BD!$L$3:$L$5001,BD!$B$3:$B$5001,P$184,BD!$A$3:$A$5001,_xlfn.MAXIFS(BD!$A$3:$A$5001,BD!$B$3:$B$5001,P$184,BD!$A$3:$A$5001,"&gt;="&amp;$C$7,BD!$A$3:$A$5001,"&lt;="&amp;$B211,BD!$L$3:$L$5001,"&lt;&gt;"))))</f>
        <v/>
      </c>
      <c r="Q211" s="43" t="str">
        <f>IF(OR($B211="",$A211&gt;$B$9,Q$184=""),"",IF(COUNTIFS(BD!$B$3:$B$5001,Q$184,BD!$A$3:$A$5001,"&gt;="&amp;$C$7,BD!$A$3:$A$5001,"&lt;="&amp;$B211,BD!$L$3:$L$5001,"&lt;&gt;")=0,"",SUMIFS(BD!$L$3:$L$5001,BD!$B$3:$B$5001,Q$184,BD!$A$3:$A$5001,_xlfn.MAXIFS(BD!$A$3:$A$5001,BD!$B$3:$B$5001,Q$184,BD!$A$3:$A$5001,"&gt;="&amp;$C$7,BD!$A$3:$A$5001,"&lt;="&amp;$B211,BD!$L$3:$L$5001,"&lt;&gt;"))))</f>
        <v/>
      </c>
      <c r="R211" s="43" t="str">
        <f>IF(OR($B211="",$A211&gt;$B$9,R$184=""),"",IF(COUNTIFS(BD!$B$3:$B$5001,R$184,BD!$A$3:$A$5001,"&gt;="&amp;$C$7,BD!$A$3:$A$5001,"&lt;="&amp;$B211,BD!$L$3:$L$5001,"&lt;&gt;")=0,"",SUMIFS(BD!$L$3:$L$5001,BD!$B$3:$B$5001,R$184,BD!$A$3:$A$5001,_xlfn.MAXIFS(BD!$A$3:$A$5001,BD!$B$3:$B$5001,R$184,BD!$A$3:$A$5001,"&gt;="&amp;$C$7,BD!$A$3:$A$5001,"&lt;="&amp;$B211,BD!$L$3:$L$5001,"&lt;&gt;"))))</f>
        <v/>
      </c>
      <c r="S211" s="43" t="str">
        <f>IF(OR($B211="",$A211&gt;$B$9,S$184=""),"",IF(COUNTIFS(BD!$B$3:$B$5001,S$184,BD!$A$3:$A$5001,"&gt;="&amp;$C$7,BD!$A$3:$A$5001,"&lt;="&amp;$B211,BD!$L$3:$L$5001,"&lt;&gt;")=0,"",SUMIFS(BD!$L$3:$L$5001,BD!$B$3:$B$5001,S$184,BD!$A$3:$A$5001,_xlfn.MAXIFS(BD!$A$3:$A$5001,BD!$B$3:$B$5001,S$184,BD!$A$3:$A$5001,"&gt;="&amp;$C$7,BD!$A$3:$A$5001,"&lt;="&amp;$B211,BD!$L$3:$L$5001,"&lt;&gt;"))))</f>
        <v/>
      </c>
      <c r="T211" s="43" t="str">
        <f>IF(OR($B211="",$A211&gt;$B$9,T$184=""),"",IF(COUNTIFS(BD!$B$3:$B$5001,T$184,BD!$A$3:$A$5001,"&gt;="&amp;$C$7,BD!$A$3:$A$5001,"&lt;="&amp;$B211,BD!$L$3:$L$5001,"&lt;&gt;")=0,"",SUMIFS(BD!$L$3:$L$5001,BD!$B$3:$B$5001,T$184,BD!$A$3:$A$5001,_xlfn.MAXIFS(BD!$A$3:$A$5001,BD!$B$3:$B$5001,T$184,BD!$A$3:$A$5001,"&gt;="&amp;$C$7,BD!$A$3:$A$5001,"&lt;="&amp;$B211,BD!$L$3:$L$5001,"&lt;&gt;"))))</f>
        <v/>
      </c>
      <c r="U211" s="43" t="str">
        <f>IF(OR($B211="",$A211&gt;$B$9,U$184=""),"",IF(COUNTIFS(BD!$B$3:$B$5001,U$184,BD!$A$3:$A$5001,"&gt;="&amp;$C$7,BD!$A$3:$A$5001,"&lt;="&amp;$B211,BD!$L$3:$L$5001,"&lt;&gt;")=0,"",SUMIFS(BD!$L$3:$L$5001,BD!$B$3:$B$5001,U$184,BD!$A$3:$A$5001,_xlfn.MAXIFS(BD!$A$3:$A$5001,BD!$B$3:$B$5001,U$184,BD!$A$3:$A$5001,"&gt;="&amp;$C$7,BD!$A$3:$A$5001,"&lt;="&amp;$B211,BD!$L$3:$L$5001,"&lt;&gt;"))))</f>
        <v/>
      </c>
      <c r="V211" s="43" t="str">
        <f>IF(OR($B211="",$A211&gt;$B$9,V$184=""),"",IF(COUNTIFS(BD!$B$3:$B$5001,V$184,BD!$A$3:$A$5001,"&gt;="&amp;$C$7,BD!$A$3:$A$5001,"&lt;="&amp;$B211,BD!$L$3:$L$5001,"&lt;&gt;")=0,"",SUMIFS(BD!$L$3:$L$5001,BD!$B$3:$B$5001,V$184,BD!$A$3:$A$5001,_xlfn.MAXIFS(BD!$A$3:$A$5001,BD!$B$3:$B$5001,V$184,BD!$A$3:$A$5001,"&gt;="&amp;$C$7,BD!$A$3:$A$5001,"&lt;="&amp;$B211,BD!$L$3:$L$5001,"&lt;&gt;"))))</f>
        <v/>
      </c>
    </row>
    <row r="212">
      <c r="A212" s="38">
        <v>28</v>
      </c>
      <c r="B212" s="42">
        <f>$B$39</f>
        <v>46323</v>
      </c>
      <c r="C212" s="43" t="str">
        <f>IF(OR($B212="",$A212&gt;$B$9,C$184=""),"",IF(COUNTIFS(BD!$B$3:$B$5001,C$184,BD!$A$3:$A$5001,"&gt;="&amp;$C$7,BD!$A$3:$A$5001,"&lt;="&amp;$B212,BD!$L$3:$L$5001,"&lt;&gt;")=0,"",SUMIFS(BD!$L$3:$L$5001,BD!$B$3:$B$5001,C$184,BD!$A$3:$A$5001,_xlfn.MAXIFS(BD!$A$3:$A$5001,BD!$B$3:$B$5001,C$184,BD!$A$3:$A$5001,"&gt;="&amp;$C$7,BD!$A$3:$A$5001,"&lt;="&amp;$B212,BD!$L$3:$L$5001,"&lt;&gt;"))))</f>
        <v/>
      </c>
      <c r="D212" s="43" t="str">
        <f>IF(OR($B212="",$A212&gt;$B$9,D$184=""),"",IF(COUNTIFS(BD!$B$3:$B$5001,D$184,BD!$A$3:$A$5001,"&gt;="&amp;$C$7,BD!$A$3:$A$5001,"&lt;="&amp;$B212,BD!$L$3:$L$5001,"&lt;&gt;")=0,"",SUMIFS(BD!$L$3:$L$5001,BD!$B$3:$B$5001,D$184,BD!$A$3:$A$5001,_xlfn.MAXIFS(BD!$A$3:$A$5001,BD!$B$3:$B$5001,D$184,BD!$A$3:$A$5001,"&gt;="&amp;$C$7,BD!$A$3:$A$5001,"&lt;="&amp;$B212,BD!$L$3:$L$5001,"&lt;&gt;"))))</f>
        <v/>
      </c>
      <c r="E212" s="43" t="str">
        <f>IF(OR($B212="",$A212&gt;$B$9,E$184=""),"",IF(COUNTIFS(BD!$B$3:$B$5001,E$184,BD!$A$3:$A$5001,"&gt;="&amp;$C$7,BD!$A$3:$A$5001,"&lt;="&amp;$B212,BD!$L$3:$L$5001,"&lt;&gt;")=0,"",SUMIFS(BD!$L$3:$L$5001,BD!$B$3:$B$5001,E$184,BD!$A$3:$A$5001,_xlfn.MAXIFS(BD!$A$3:$A$5001,BD!$B$3:$B$5001,E$184,BD!$A$3:$A$5001,"&gt;="&amp;$C$7,BD!$A$3:$A$5001,"&lt;="&amp;$B212,BD!$L$3:$L$5001,"&lt;&gt;"))))</f>
        <v/>
      </c>
      <c r="F212" s="43" t="str">
        <f>IF(OR($B212="",$A212&gt;$B$9,F$184=""),"",IF(COUNTIFS(BD!$B$3:$B$5001,F$184,BD!$A$3:$A$5001,"&gt;="&amp;$C$7,BD!$A$3:$A$5001,"&lt;="&amp;$B212,BD!$L$3:$L$5001,"&lt;&gt;")=0,"",SUMIFS(BD!$L$3:$L$5001,BD!$B$3:$B$5001,F$184,BD!$A$3:$A$5001,_xlfn.MAXIFS(BD!$A$3:$A$5001,BD!$B$3:$B$5001,F$184,BD!$A$3:$A$5001,"&gt;="&amp;$C$7,BD!$A$3:$A$5001,"&lt;="&amp;$B212,BD!$L$3:$L$5001,"&lt;&gt;"))))</f>
        <v/>
      </c>
      <c r="G212" s="43" t="str">
        <f>IF(OR($B212="",$A212&gt;$B$9,G$184=""),"",IF(COUNTIFS(BD!$B$3:$B$5001,G$184,BD!$A$3:$A$5001,"&gt;="&amp;$C$7,BD!$A$3:$A$5001,"&lt;="&amp;$B212,BD!$L$3:$L$5001,"&lt;&gt;")=0,"",SUMIFS(BD!$L$3:$L$5001,BD!$B$3:$B$5001,G$184,BD!$A$3:$A$5001,_xlfn.MAXIFS(BD!$A$3:$A$5001,BD!$B$3:$B$5001,G$184,BD!$A$3:$A$5001,"&gt;="&amp;$C$7,BD!$A$3:$A$5001,"&lt;="&amp;$B212,BD!$L$3:$L$5001,"&lt;&gt;"))))</f>
        <v/>
      </c>
      <c r="H212" s="43" t="str">
        <f>IF(OR($B212="",$A212&gt;$B$9,H$184=""),"",IF(COUNTIFS(BD!$B$3:$B$5001,H$184,BD!$A$3:$A$5001,"&gt;="&amp;$C$7,BD!$A$3:$A$5001,"&lt;="&amp;$B212,BD!$L$3:$L$5001,"&lt;&gt;")=0,"",SUMIFS(BD!$L$3:$L$5001,BD!$B$3:$B$5001,H$184,BD!$A$3:$A$5001,_xlfn.MAXIFS(BD!$A$3:$A$5001,BD!$B$3:$B$5001,H$184,BD!$A$3:$A$5001,"&gt;="&amp;$C$7,BD!$A$3:$A$5001,"&lt;="&amp;$B212,BD!$L$3:$L$5001,"&lt;&gt;"))))</f>
        <v/>
      </c>
      <c r="I212" s="43" t="str">
        <f>IF(OR($B212="",$A212&gt;$B$9,I$184=""),"",IF(COUNTIFS(BD!$B$3:$B$5001,I$184,BD!$A$3:$A$5001,"&gt;="&amp;$C$7,BD!$A$3:$A$5001,"&lt;="&amp;$B212,BD!$L$3:$L$5001,"&lt;&gt;")=0,"",SUMIFS(BD!$L$3:$L$5001,BD!$B$3:$B$5001,I$184,BD!$A$3:$A$5001,_xlfn.MAXIFS(BD!$A$3:$A$5001,BD!$B$3:$B$5001,I$184,BD!$A$3:$A$5001,"&gt;="&amp;$C$7,BD!$A$3:$A$5001,"&lt;="&amp;$B212,BD!$L$3:$L$5001,"&lt;&gt;"))))</f>
        <v/>
      </c>
      <c r="J212" s="43" t="str">
        <f>IF(OR($B212="",$A212&gt;$B$9,J$184=""),"",IF(COUNTIFS(BD!$B$3:$B$5001,J$184,BD!$A$3:$A$5001,"&gt;="&amp;$C$7,BD!$A$3:$A$5001,"&lt;="&amp;$B212,BD!$L$3:$L$5001,"&lt;&gt;")=0,"",SUMIFS(BD!$L$3:$L$5001,BD!$B$3:$B$5001,J$184,BD!$A$3:$A$5001,_xlfn.MAXIFS(BD!$A$3:$A$5001,BD!$B$3:$B$5001,J$184,BD!$A$3:$A$5001,"&gt;="&amp;$C$7,BD!$A$3:$A$5001,"&lt;="&amp;$B212,BD!$L$3:$L$5001,"&lt;&gt;"))))</f>
        <v/>
      </c>
      <c r="K212" s="43" t="str">
        <f>IF(OR($B212="",$A212&gt;$B$9,K$184=""),"",IF(COUNTIFS(BD!$B$3:$B$5001,K$184,BD!$A$3:$A$5001,"&gt;="&amp;$C$7,BD!$A$3:$A$5001,"&lt;="&amp;$B212,BD!$L$3:$L$5001,"&lt;&gt;")=0,"",SUMIFS(BD!$L$3:$L$5001,BD!$B$3:$B$5001,K$184,BD!$A$3:$A$5001,_xlfn.MAXIFS(BD!$A$3:$A$5001,BD!$B$3:$B$5001,K$184,BD!$A$3:$A$5001,"&gt;="&amp;$C$7,BD!$A$3:$A$5001,"&lt;="&amp;$B212,BD!$L$3:$L$5001,"&lt;&gt;"))))</f>
        <v/>
      </c>
      <c r="L212" s="43" t="str">
        <f>IF(OR($B212="",$A212&gt;$B$9,L$184=""),"",IF(COUNTIFS(BD!$B$3:$B$5001,L$184,BD!$A$3:$A$5001,"&gt;="&amp;$C$7,BD!$A$3:$A$5001,"&lt;="&amp;$B212,BD!$L$3:$L$5001,"&lt;&gt;")=0,"",SUMIFS(BD!$L$3:$L$5001,BD!$B$3:$B$5001,L$184,BD!$A$3:$A$5001,_xlfn.MAXIFS(BD!$A$3:$A$5001,BD!$B$3:$B$5001,L$184,BD!$A$3:$A$5001,"&gt;="&amp;$C$7,BD!$A$3:$A$5001,"&lt;="&amp;$B212,BD!$L$3:$L$5001,"&lt;&gt;"))))</f>
        <v/>
      </c>
      <c r="M212" s="43" t="str">
        <f>IF(OR($B212="",$A212&gt;$B$9,M$184=""),"",IF(COUNTIFS(BD!$B$3:$B$5001,M$184,BD!$A$3:$A$5001,"&gt;="&amp;$C$7,BD!$A$3:$A$5001,"&lt;="&amp;$B212,BD!$L$3:$L$5001,"&lt;&gt;")=0,"",SUMIFS(BD!$L$3:$L$5001,BD!$B$3:$B$5001,M$184,BD!$A$3:$A$5001,_xlfn.MAXIFS(BD!$A$3:$A$5001,BD!$B$3:$B$5001,M$184,BD!$A$3:$A$5001,"&gt;="&amp;$C$7,BD!$A$3:$A$5001,"&lt;="&amp;$B212,BD!$L$3:$L$5001,"&lt;&gt;"))))</f>
        <v/>
      </c>
      <c r="N212" s="43" t="str">
        <f>IF(OR($B212="",$A212&gt;$B$9,N$184=""),"",IF(COUNTIFS(BD!$B$3:$B$5001,N$184,BD!$A$3:$A$5001,"&gt;="&amp;$C$7,BD!$A$3:$A$5001,"&lt;="&amp;$B212,BD!$L$3:$L$5001,"&lt;&gt;")=0,"",SUMIFS(BD!$L$3:$L$5001,BD!$B$3:$B$5001,N$184,BD!$A$3:$A$5001,_xlfn.MAXIFS(BD!$A$3:$A$5001,BD!$B$3:$B$5001,N$184,BD!$A$3:$A$5001,"&gt;="&amp;$C$7,BD!$A$3:$A$5001,"&lt;="&amp;$B212,BD!$L$3:$L$5001,"&lt;&gt;"))))</f>
        <v/>
      </c>
      <c r="O212" s="43" t="str">
        <f>IF(OR($B212="",$A212&gt;$B$9,O$184=""),"",IF(COUNTIFS(BD!$B$3:$B$5001,O$184,BD!$A$3:$A$5001,"&gt;="&amp;$C$7,BD!$A$3:$A$5001,"&lt;="&amp;$B212,BD!$L$3:$L$5001,"&lt;&gt;")=0,"",SUMIFS(BD!$L$3:$L$5001,BD!$B$3:$B$5001,O$184,BD!$A$3:$A$5001,_xlfn.MAXIFS(BD!$A$3:$A$5001,BD!$B$3:$B$5001,O$184,BD!$A$3:$A$5001,"&gt;="&amp;$C$7,BD!$A$3:$A$5001,"&lt;="&amp;$B212,BD!$L$3:$L$5001,"&lt;&gt;"))))</f>
        <v/>
      </c>
      <c r="P212" s="43" t="str">
        <f>IF(OR($B212="",$A212&gt;$B$9,P$184=""),"",IF(COUNTIFS(BD!$B$3:$B$5001,P$184,BD!$A$3:$A$5001,"&gt;="&amp;$C$7,BD!$A$3:$A$5001,"&lt;="&amp;$B212,BD!$L$3:$L$5001,"&lt;&gt;")=0,"",SUMIFS(BD!$L$3:$L$5001,BD!$B$3:$B$5001,P$184,BD!$A$3:$A$5001,_xlfn.MAXIFS(BD!$A$3:$A$5001,BD!$B$3:$B$5001,P$184,BD!$A$3:$A$5001,"&gt;="&amp;$C$7,BD!$A$3:$A$5001,"&lt;="&amp;$B212,BD!$L$3:$L$5001,"&lt;&gt;"))))</f>
        <v/>
      </c>
      <c r="Q212" s="43" t="str">
        <f>IF(OR($B212="",$A212&gt;$B$9,Q$184=""),"",IF(COUNTIFS(BD!$B$3:$B$5001,Q$184,BD!$A$3:$A$5001,"&gt;="&amp;$C$7,BD!$A$3:$A$5001,"&lt;="&amp;$B212,BD!$L$3:$L$5001,"&lt;&gt;")=0,"",SUMIFS(BD!$L$3:$L$5001,BD!$B$3:$B$5001,Q$184,BD!$A$3:$A$5001,_xlfn.MAXIFS(BD!$A$3:$A$5001,BD!$B$3:$B$5001,Q$184,BD!$A$3:$A$5001,"&gt;="&amp;$C$7,BD!$A$3:$A$5001,"&lt;="&amp;$B212,BD!$L$3:$L$5001,"&lt;&gt;"))))</f>
        <v/>
      </c>
      <c r="R212" s="43" t="str">
        <f>IF(OR($B212="",$A212&gt;$B$9,R$184=""),"",IF(COUNTIFS(BD!$B$3:$B$5001,R$184,BD!$A$3:$A$5001,"&gt;="&amp;$C$7,BD!$A$3:$A$5001,"&lt;="&amp;$B212,BD!$L$3:$L$5001,"&lt;&gt;")=0,"",SUMIFS(BD!$L$3:$L$5001,BD!$B$3:$B$5001,R$184,BD!$A$3:$A$5001,_xlfn.MAXIFS(BD!$A$3:$A$5001,BD!$B$3:$B$5001,R$184,BD!$A$3:$A$5001,"&gt;="&amp;$C$7,BD!$A$3:$A$5001,"&lt;="&amp;$B212,BD!$L$3:$L$5001,"&lt;&gt;"))))</f>
        <v/>
      </c>
      <c r="S212" s="43" t="str">
        <f>IF(OR($B212="",$A212&gt;$B$9,S$184=""),"",IF(COUNTIFS(BD!$B$3:$B$5001,S$184,BD!$A$3:$A$5001,"&gt;="&amp;$C$7,BD!$A$3:$A$5001,"&lt;="&amp;$B212,BD!$L$3:$L$5001,"&lt;&gt;")=0,"",SUMIFS(BD!$L$3:$L$5001,BD!$B$3:$B$5001,S$184,BD!$A$3:$A$5001,_xlfn.MAXIFS(BD!$A$3:$A$5001,BD!$B$3:$B$5001,S$184,BD!$A$3:$A$5001,"&gt;="&amp;$C$7,BD!$A$3:$A$5001,"&lt;="&amp;$B212,BD!$L$3:$L$5001,"&lt;&gt;"))))</f>
        <v/>
      </c>
      <c r="T212" s="43" t="str">
        <f>IF(OR($B212="",$A212&gt;$B$9,T$184=""),"",IF(COUNTIFS(BD!$B$3:$B$5001,T$184,BD!$A$3:$A$5001,"&gt;="&amp;$C$7,BD!$A$3:$A$5001,"&lt;="&amp;$B212,BD!$L$3:$L$5001,"&lt;&gt;")=0,"",SUMIFS(BD!$L$3:$L$5001,BD!$B$3:$B$5001,T$184,BD!$A$3:$A$5001,_xlfn.MAXIFS(BD!$A$3:$A$5001,BD!$B$3:$B$5001,T$184,BD!$A$3:$A$5001,"&gt;="&amp;$C$7,BD!$A$3:$A$5001,"&lt;="&amp;$B212,BD!$L$3:$L$5001,"&lt;&gt;"))))</f>
        <v/>
      </c>
      <c r="U212" s="43" t="str">
        <f>IF(OR($B212="",$A212&gt;$B$9,U$184=""),"",IF(COUNTIFS(BD!$B$3:$B$5001,U$184,BD!$A$3:$A$5001,"&gt;="&amp;$C$7,BD!$A$3:$A$5001,"&lt;="&amp;$B212,BD!$L$3:$L$5001,"&lt;&gt;")=0,"",SUMIFS(BD!$L$3:$L$5001,BD!$B$3:$B$5001,U$184,BD!$A$3:$A$5001,_xlfn.MAXIFS(BD!$A$3:$A$5001,BD!$B$3:$B$5001,U$184,BD!$A$3:$A$5001,"&gt;="&amp;$C$7,BD!$A$3:$A$5001,"&lt;="&amp;$B212,BD!$L$3:$L$5001,"&lt;&gt;"))))</f>
        <v/>
      </c>
      <c r="V212" s="43" t="str">
        <f>IF(OR($B212="",$A212&gt;$B$9,V$184=""),"",IF(COUNTIFS(BD!$B$3:$B$5001,V$184,BD!$A$3:$A$5001,"&gt;="&amp;$C$7,BD!$A$3:$A$5001,"&lt;="&amp;$B212,BD!$L$3:$L$5001,"&lt;&gt;")=0,"",SUMIFS(BD!$L$3:$L$5001,BD!$B$3:$B$5001,V$184,BD!$A$3:$A$5001,_xlfn.MAXIFS(BD!$A$3:$A$5001,BD!$B$3:$B$5001,V$184,BD!$A$3:$A$5001,"&gt;="&amp;$C$7,BD!$A$3:$A$5001,"&lt;="&amp;$B212,BD!$L$3:$L$5001,"&lt;&gt;"))))</f>
        <v/>
      </c>
    </row>
    <row r="213">
      <c r="A213" s="38">
        <v>29</v>
      </c>
      <c r="B213" s="42">
        <f>$B$40</f>
        <v>46324</v>
      </c>
      <c r="C213" s="43" t="str">
        <f>IF(OR($B213="",$A213&gt;$B$9,C$184=""),"",IF(COUNTIFS(BD!$B$3:$B$5001,C$184,BD!$A$3:$A$5001,"&gt;="&amp;$C$7,BD!$A$3:$A$5001,"&lt;="&amp;$B213,BD!$L$3:$L$5001,"&lt;&gt;")=0,"",SUMIFS(BD!$L$3:$L$5001,BD!$B$3:$B$5001,C$184,BD!$A$3:$A$5001,_xlfn.MAXIFS(BD!$A$3:$A$5001,BD!$B$3:$B$5001,C$184,BD!$A$3:$A$5001,"&gt;="&amp;$C$7,BD!$A$3:$A$5001,"&lt;="&amp;$B213,BD!$L$3:$L$5001,"&lt;&gt;"))))</f>
        <v/>
      </c>
      <c r="D213" s="43" t="str">
        <f>IF(OR($B213="",$A213&gt;$B$9,D$184=""),"",IF(COUNTIFS(BD!$B$3:$B$5001,D$184,BD!$A$3:$A$5001,"&gt;="&amp;$C$7,BD!$A$3:$A$5001,"&lt;="&amp;$B213,BD!$L$3:$L$5001,"&lt;&gt;")=0,"",SUMIFS(BD!$L$3:$L$5001,BD!$B$3:$B$5001,D$184,BD!$A$3:$A$5001,_xlfn.MAXIFS(BD!$A$3:$A$5001,BD!$B$3:$B$5001,D$184,BD!$A$3:$A$5001,"&gt;="&amp;$C$7,BD!$A$3:$A$5001,"&lt;="&amp;$B213,BD!$L$3:$L$5001,"&lt;&gt;"))))</f>
        <v/>
      </c>
      <c r="E213" s="43" t="str">
        <f>IF(OR($B213="",$A213&gt;$B$9,E$184=""),"",IF(COUNTIFS(BD!$B$3:$B$5001,E$184,BD!$A$3:$A$5001,"&gt;="&amp;$C$7,BD!$A$3:$A$5001,"&lt;="&amp;$B213,BD!$L$3:$L$5001,"&lt;&gt;")=0,"",SUMIFS(BD!$L$3:$L$5001,BD!$B$3:$B$5001,E$184,BD!$A$3:$A$5001,_xlfn.MAXIFS(BD!$A$3:$A$5001,BD!$B$3:$B$5001,E$184,BD!$A$3:$A$5001,"&gt;="&amp;$C$7,BD!$A$3:$A$5001,"&lt;="&amp;$B213,BD!$L$3:$L$5001,"&lt;&gt;"))))</f>
        <v/>
      </c>
      <c r="F213" s="43" t="str">
        <f>IF(OR($B213="",$A213&gt;$B$9,F$184=""),"",IF(COUNTIFS(BD!$B$3:$B$5001,F$184,BD!$A$3:$A$5001,"&gt;="&amp;$C$7,BD!$A$3:$A$5001,"&lt;="&amp;$B213,BD!$L$3:$L$5001,"&lt;&gt;")=0,"",SUMIFS(BD!$L$3:$L$5001,BD!$B$3:$B$5001,F$184,BD!$A$3:$A$5001,_xlfn.MAXIFS(BD!$A$3:$A$5001,BD!$B$3:$B$5001,F$184,BD!$A$3:$A$5001,"&gt;="&amp;$C$7,BD!$A$3:$A$5001,"&lt;="&amp;$B213,BD!$L$3:$L$5001,"&lt;&gt;"))))</f>
        <v/>
      </c>
      <c r="G213" s="43" t="str">
        <f>IF(OR($B213="",$A213&gt;$B$9,G$184=""),"",IF(COUNTIFS(BD!$B$3:$B$5001,G$184,BD!$A$3:$A$5001,"&gt;="&amp;$C$7,BD!$A$3:$A$5001,"&lt;="&amp;$B213,BD!$L$3:$L$5001,"&lt;&gt;")=0,"",SUMIFS(BD!$L$3:$L$5001,BD!$B$3:$B$5001,G$184,BD!$A$3:$A$5001,_xlfn.MAXIFS(BD!$A$3:$A$5001,BD!$B$3:$B$5001,G$184,BD!$A$3:$A$5001,"&gt;="&amp;$C$7,BD!$A$3:$A$5001,"&lt;="&amp;$B213,BD!$L$3:$L$5001,"&lt;&gt;"))))</f>
        <v/>
      </c>
      <c r="H213" s="43" t="str">
        <f>IF(OR($B213="",$A213&gt;$B$9,H$184=""),"",IF(COUNTIFS(BD!$B$3:$B$5001,H$184,BD!$A$3:$A$5001,"&gt;="&amp;$C$7,BD!$A$3:$A$5001,"&lt;="&amp;$B213,BD!$L$3:$L$5001,"&lt;&gt;")=0,"",SUMIFS(BD!$L$3:$L$5001,BD!$B$3:$B$5001,H$184,BD!$A$3:$A$5001,_xlfn.MAXIFS(BD!$A$3:$A$5001,BD!$B$3:$B$5001,H$184,BD!$A$3:$A$5001,"&gt;="&amp;$C$7,BD!$A$3:$A$5001,"&lt;="&amp;$B213,BD!$L$3:$L$5001,"&lt;&gt;"))))</f>
        <v/>
      </c>
      <c r="I213" s="43" t="str">
        <f>IF(OR($B213="",$A213&gt;$B$9,I$184=""),"",IF(COUNTIFS(BD!$B$3:$B$5001,I$184,BD!$A$3:$A$5001,"&gt;="&amp;$C$7,BD!$A$3:$A$5001,"&lt;="&amp;$B213,BD!$L$3:$L$5001,"&lt;&gt;")=0,"",SUMIFS(BD!$L$3:$L$5001,BD!$B$3:$B$5001,I$184,BD!$A$3:$A$5001,_xlfn.MAXIFS(BD!$A$3:$A$5001,BD!$B$3:$B$5001,I$184,BD!$A$3:$A$5001,"&gt;="&amp;$C$7,BD!$A$3:$A$5001,"&lt;="&amp;$B213,BD!$L$3:$L$5001,"&lt;&gt;"))))</f>
        <v/>
      </c>
      <c r="J213" s="43" t="str">
        <f>IF(OR($B213="",$A213&gt;$B$9,J$184=""),"",IF(COUNTIFS(BD!$B$3:$B$5001,J$184,BD!$A$3:$A$5001,"&gt;="&amp;$C$7,BD!$A$3:$A$5001,"&lt;="&amp;$B213,BD!$L$3:$L$5001,"&lt;&gt;")=0,"",SUMIFS(BD!$L$3:$L$5001,BD!$B$3:$B$5001,J$184,BD!$A$3:$A$5001,_xlfn.MAXIFS(BD!$A$3:$A$5001,BD!$B$3:$B$5001,J$184,BD!$A$3:$A$5001,"&gt;="&amp;$C$7,BD!$A$3:$A$5001,"&lt;="&amp;$B213,BD!$L$3:$L$5001,"&lt;&gt;"))))</f>
        <v/>
      </c>
      <c r="K213" s="43" t="str">
        <f>IF(OR($B213="",$A213&gt;$B$9,K$184=""),"",IF(COUNTIFS(BD!$B$3:$B$5001,K$184,BD!$A$3:$A$5001,"&gt;="&amp;$C$7,BD!$A$3:$A$5001,"&lt;="&amp;$B213,BD!$L$3:$L$5001,"&lt;&gt;")=0,"",SUMIFS(BD!$L$3:$L$5001,BD!$B$3:$B$5001,K$184,BD!$A$3:$A$5001,_xlfn.MAXIFS(BD!$A$3:$A$5001,BD!$B$3:$B$5001,K$184,BD!$A$3:$A$5001,"&gt;="&amp;$C$7,BD!$A$3:$A$5001,"&lt;="&amp;$B213,BD!$L$3:$L$5001,"&lt;&gt;"))))</f>
        <v/>
      </c>
      <c r="L213" s="43" t="str">
        <f>IF(OR($B213="",$A213&gt;$B$9,L$184=""),"",IF(COUNTIFS(BD!$B$3:$B$5001,L$184,BD!$A$3:$A$5001,"&gt;="&amp;$C$7,BD!$A$3:$A$5001,"&lt;="&amp;$B213,BD!$L$3:$L$5001,"&lt;&gt;")=0,"",SUMIFS(BD!$L$3:$L$5001,BD!$B$3:$B$5001,L$184,BD!$A$3:$A$5001,_xlfn.MAXIFS(BD!$A$3:$A$5001,BD!$B$3:$B$5001,L$184,BD!$A$3:$A$5001,"&gt;="&amp;$C$7,BD!$A$3:$A$5001,"&lt;="&amp;$B213,BD!$L$3:$L$5001,"&lt;&gt;"))))</f>
        <v/>
      </c>
      <c r="M213" s="43" t="str">
        <f>IF(OR($B213="",$A213&gt;$B$9,M$184=""),"",IF(COUNTIFS(BD!$B$3:$B$5001,M$184,BD!$A$3:$A$5001,"&gt;="&amp;$C$7,BD!$A$3:$A$5001,"&lt;="&amp;$B213,BD!$L$3:$L$5001,"&lt;&gt;")=0,"",SUMIFS(BD!$L$3:$L$5001,BD!$B$3:$B$5001,M$184,BD!$A$3:$A$5001,_xlfn.MAXIFS(BD!$A$3:$A$5001,BD!$B$3:$B$5001,M$184,BD!$A$3:$A$5001,"&gt;="&amp;$C$7,BD!$A$3:$A$5001,"&lt;="&amp;$B213,BD!$L$3:$L$5001,"&lt;&gt;"))))</f>
        <v/>
      </c>
      <c r="N213" s="43" t="str">
        <f>IF(OR($B213="",$A213&gt;$B$9,N$184=""),"",IF(COUNTIFS(BD!$B$3:$B$5001,N$184,BD!$A$3:$A$5001,"&gt;="&amp;$C$7,BD!$A$3:$A$5001,"&lt;="&amp;$B213,BD!$L$3:$L$5001,"&lt;&gt;")=0,"",SUMIFS(BD!$L$3:$L$5001,BD!$B$3:$B$5001,N$184,BD!$A$3:$A$5001,_xlfn.MAXIFS(BD!$A$3:$A$5001,BD!$B$3:$B$5001,N$184,BD!$A$3:$A$5001,"&gt;="&amp;$C$7,BD!$A$3:$A$5001,"&lt;="&amp;$B213,BD!$L$3:$L$5001,"&lt;&gt;"))))</f>
        <v/>
      </c>
      <c r="O213" s="43" t="str">
        <f>IF(OR($B213="",$A213&gt;$B$9,O$184=""),"",IF(COUNTIFS(BD!$B$3:$B$5001,O$184,BD!$A$3:$A$5001,"&gt;="&amp;$C$7,BD!$A$3:$A$5001,"&lt;="&amp;$B213,BD!$L$3:$L$5001,"&lt;&gt;")=0,"",SUMIFS(BD!$L$3:$L$5001,BD!$B$3:$B$5001,O$184,BD!$A$3:$A$5001,_xlfn.MAXIFS(BD!$A$3:$A$5001,BD!$B$3:$B$5001,O$184,BD!$A$3:$A$5001,"&gt;="&amp;$C$7,BD!$A$3:$A$5001,"&lt;="&amp;$B213,BD!$L$3:$L$5001,"&lt;&gt;"))))</f>
        <v/>
      </c>
      <c r="P213" s="43" t="str">
        <f>IF(OR($B213="",$A213&gt;$B$9,P$184=""),"",IF(COUNTIFS(BD!$B$3:$B$5001,P$184,BD!$A$3:$A$5001,"&gt;="&amp;$C$7,BD!$A$3:$A$5001,"&lt;="&amp;$B213,BD!$L$3:$L$5001,"&lt;&gt;")=0,"",SUMIFS(BD!$L$3:$L$5001,BD!$B$3:$B$5001,P$184,BD!$A$3:$A$5001,_xlfn.MAXIFS(BD!$A$3:$A$5001,BD!$B$3:$B$5001,P$184,BD!$A$3:$A$5001,"&gt;="&amp;$C$7,BD!$A$3:$A$5001,"&lt;="&amp;$B213,BD!$L$3:$L$5001,"&lt;&gt;"))))</f>
        <v/>
      </c>
      <c r="Q213" s="43" t="str">
        <f>IF(OR($B213="",$A213&gt;$B$9,Q$184=""),"",IF(COUNTIFS(BD!$B$3:$B$5001,Q$184,BD!$A$3:$A$5001,"&gt;="&amp;$C$7,BD!$A$3:$A$5001,"&lt;="&amp;$B213,BD!$L$3:$L$5001,"&lt;&gt;")=0,"",SUMIFS(BD!$L$3:$L$5001,BD!$B$3:$B$5001,Q$184,BD!$A$3:$A$5001,_xlfn.MAXIFS(BD!$A$3:$A$5001,BD!$B$3:$B$5001,Q$184,BD!$A$3:$A$5001,"&gt;="&amp;$C$7,BD!$A$3:$A$5001,"&lt;="&amp;$B213,BD!$L$3:$L$5001,"&lt;&gt;"))))</f>
        <v/>
      </c>
      <c r="R213" s="43" t="str">
        <f>IF(OR($B213="",$A213&gt;$B$9,R$184=""),"",IF(COUNTIFS(BD!$B$3:$B$5001,R$184,BD!$A$3:$A$5001,"&gt;="&amp;$C$7,BD!$A$3:$A$5001,"&lt;="&amp;$B213,BD!$L$3:$L$5001,"&lt;&gt;")=0,"",SUMIFS(BD!$L$3:$L$5001,BD!$B$3:$B$5001,R$184,BD!$A$3:$A$5001,_xlfn.MAXIFS(BD!$A$3:$A$5001,BD!$B$3:$B$5001,R$184,BD!$A$3:$A$5001,"&gt;="&amp;$C$7,BD!$A$3:$A$5001,"&lt;="&amp;$B213,BD!$L$3:$L$5001,"&lt;&gt;"))))</f>
        <v/>
      </c>
      <c r="S213" s="43" t="str">
        <f>IF(OR($B213="",$A213&gt;$B$9,S$184=""),"",IF(COUNTIFS(BD!$B$3:$B$5001,S$184,BD!$A$3:$A$5001,"&gt;="&amp;$C$7,BD!$A$3:$A$5001,"&lt;="&amp;$B213,BD!$L$3:$L$5001,"&lt;&gt;")=0,"",SUMIFS(BD!$L$3:$L$5001,BD!$B$3:$B$5001,S$184,BD!$A$3:$A$5001,_xlfn.MAXIFS(BD!$A$3:$A$5001,BD!$B$3:$B$5001,S$184,BD!$A$3:$A$5001,"&gt;="&amp;$C$7,BD!$A$3:$A$5001,"&lt;="&amp;$B213,BD!$L$3:$L$5001,"&lt;&gt;"))))</f>
        <v/>
      </c>
      <c r="T213" s="43" t="str">
        <f>IF(OR($B213="",$A213&gt;$B$9,T$184=""),"",IF(COUNTIFS(BD!$B$3:$B$5001,T$184,BD!$A$3:$A$5001,"&gt;="&amp;$C$7,BD!$A$3:$A$5001,"&lt;="&amp;$B213,BD!$L$3:$L$5001,"&lt;&gt;")=0,"",SUMIFS(BD!$L$3:$L$5001,BD!$B$3:$B$5001,T$184,BD!$A$3:$A$5001,_xlfn.MAXIFS(BD!$A$3:$A$5001,BD!$B$3:$B$5001,T$184,BD!$A$3:$A$5001,"&gt;="&amp;$C$7,BD!$A$3:$A$5001,"&lt;="&amp;$B213,BD!$L$3:$L$5001,"&lt;&gt;"))))</f>
        <v/>
      </c>
      <c r="U213" s="43" t="str">
        <f>IF(OR($B213="",$A213&gt;$B$9,U$184=""),"",IF(COUNTIFS(BD!$B$3:$B$5001,U$184,BD!$A$3:$A$5001,"&gt;="&amp;$C$7,BD!$A$3:$A$5001,"&lt;="&amp;$B213,BD!$L$3:$L$5001,"&lt;&gt;")=0,"",SUMIFS(BD!$L$3:$L$5001,BD!$B$3:$B$5001,U$184,BD!$A$3:$A$5001,_xlfn.MAXIFS(BD!$A$3:$A$5001,BD!$B$3:$B$5001,U$184,BD!$A$3:$A$5001,"&gt;="&amp;$C$7,BD!$A$3:$A$5001,"&lt;="&amp;$B213,BD!$L$3:$L$5001,"&lt;&gt;"))))</f>
        <v/>
      </c>
      <c r="V213" s="43" t="str">
        <f>IF(OR($B213="",$A213&gt;$B$9,V$184=""),"",IF(COUNTIFS(BD!$B$3:$B$5001,V$184,BD!$A$3:$A$5001,"&gt;="&amp;$C$7,BD!$A$3:$A$5001,"&lt;="&amp;$B213,BD!$L$3:$L$5001,"&lt;&gt;")=0,"",SUMIFS(BD!$L$3:$L$5001,BD!$B$3:$B$5001,V$184,BD!$A$3:$A$5001,_xlfn.MAXIFS(BD!$A$3:$A$5001,BD!$B$3:$B$5001,V$184,BD!$A$3:$A$5001,"&gt;="&amp;$C$7,BD!$A$3:$A$5001,"&lt;="&amp;$B213,BD!$L$3:$L$5001,"&lt;&gt;"))))</f>
        <v/>
      </c>
    </row>
    <row r="214">
      <c r="A214" s="38">
        <v>30</v>
      </c>
      <c r="B214" s="42">
        <f>$B$41</f>
        <v>46325</v>
      </c>
      <c r="C214" s="43" t="str">
        <f>IF(OR($B214="",$A214&gt;$B$9,C$184=""),"",IF(COUNTIFS(BD!$B$3:$B$5001,C$184,BD!$A$3:$A$5001,"&gt;="&amp;$C$7,BD!$A$3:$A$5001,"&lt;="&amp;$B214,BD!$L$3:$L$5001,"&lt;&gt;")=0,"",SUMIFS(BD!$L$3:$L$5001,BD!$B$3:$B$5001,C$184,BD!$A$3:$A$5001,_xlfn.MAXIFS(BD!$A$3:$A$5001,BD!$B$3:$B$5001,C$184,BD!$A$3:$A$5001,"&gt;="&amp;$C$7,BD!$A$3:$A$5001,"&lt;="&amp;$B214,BD!$L$3:$L$5001,"&lt;&gt;"))))</f>
        <v/>
      </c>
      <c r="D214" s="43" t="str">
        <f>IF(OR($B214="",$A214&gt;$B$9,D$184=""),"",IF(COUNTIFS(BD!$B$3:$B$5001,D$184,BD!$A$3:$A$5001,"&gt;="&amp;$C$7,BD!$A$3:$A$5001,"&lt;="&amp;$B214,BD!$L$3:$L$5001,"&lt;&gt;")=0,"",SUMIFS(BD!$L$3:$L$5001,BD!$B$3:$B$5001,D$184,BD!$A$3:$A$5001,_xlfn.MAXIFS(BD!$A$3:$A$5001,BD!$B$3:$B$5001,D$184,BD!$A$3:$A$5001,"&gt;="&amp;$C$7,BD!$A$3:$A$5001,"&lt;="&amp;$B214,BD!$L$3:$L$5001,"&lt;&gt;"))))</f>
        <v/>
      </c>
      <c r="E214" s="43" t="str">
        <f>IF(OR($B214="",$A214&gt;$B$9,E$184=""),"",IF(COUNTIFS(BD!$B$3:$B$5001,E$184,BD!$A$3:$A$5001,"&gt;="&amp;$C$7,BD!$A$3:$A$5001,"&lt;="&amp;$B214,BD!$L$3:$L$5001,"&lt;&gt;")=0,"",SUMIFS(BD!$L$3:$L$5001,BD!$B$3:$B$5001,E$184,BD!$A$3:$A$5001,_xlfn.MAXIFS(BD!$A$3:$A$5001,BD!$B$3:$B$5001,E$184,BD!$A$3:$A$5001,"&gt;="&amp;$C$7,BD!$A$3:$A$5001,"&lt;="&amp;$B214,BD!$L$3:$L$5001,"&lt;&gt;"))))</f>
        <v/>
      </c>
      <c r="F214" s="43" t="str">
        <f>IF(OR($B214="",$A214&gt;$B$9,F$184=""),"",IF(COUNTIFS(BD!$B$3:$B$5001,F$184,BD!$A$3:$A$5001,"&gt;="&amp;$C$7,BD!$A$3:$A$5001,"&lt;="&amp;$B214,BD!$L$3:$L$5001,"&lt;&gt;")=0,"",SUMIFS(BD!$L$3:$L$5001,BD!$B$3:$B$5001,F$184,BD!$A$3:$A$5001,_xlfn.MAXIFS(BD!$A$3:$A$5001,BD!$B$3:$B$5001,F$184,BD!$A$3:$A$5001,"&gt;="&amp;$C$7,BD!$A$3:$A$5001,"&lt;="&amp;$B214,BD!$L$3:$L$5001,"&lt;&gt;"))))</f>
        <v/>
      </c>
      <c r="G214" s="43" t="str">
        <f>IF(OR($B214="",$A214&gt;$B$9,G$184=""),"",IF(COUNTIFS(BD!$B$3:$B$5001,G$184,BD!$A$3:$A$5001,"&gt;="&amp;$C$7,BD!$A$3:$A$5001,"&lt;="&amp;$B214,BD!$L$3:$L$5001,"&lt;&gt;")=0,"",SUMIFS(BD!$L$3:$L$5001,BD!$B$3:$B$5001,G$184,BD!$A$3:$A$5001,_xlfn.MAXIFS(BD!$A$3:$A$5001,BD!$B$3:$B$5001,G$184,BD!$A$3:$A$5001,"&gt;="&amp;$C$7,BD!$A$3:$A$5001,"&lt;="&amp;$B214,BD!$L$3:$L$5001,"&lt;&gt;"))))</f>
        <v/>
      </c>
      <c r="H214" s="43" t="str">
        <f>IF(OR($B214="",$A214&gt;$B$9,H$184=""),"",IF(COUNTIFS(BD!$B$3:$B$5001,H$184,BD!$A$3:$A$5001,"&gt;="&amp;$C$7,BD!$A$3:$A$5001,"&lt;="&amp;$B214,BD!$L$3:$L$5001,"&lt;&gt;")=0,"",SUMIFS(BD!$L$3:$L$5001,BD!$B$3:$B$5001,H$184,BD!$A$3:$A$5001,_xlfn.MAXIFS(BD!$A$3:$A$5001,BD!$B$3:$B$5001,H$184,BD!$A$3:$A$5001,"&gt;="&amp;$C$7,BD!$A$3:$A$5001,"&lt;="&amp;$B214,BD!$L$3:$L$5001,"&lt;&gt;"))))</f>
        <v/>
      </c>
      <c r="I214" s="43" t="str">
        <f>IF(OR($B214="",$A214&gt;$B$9,I$184=""),"",IF(COUNTIFS(BD!$B$3:$B$5001,I$184,BD!$A$3:$A$5001,"&gt;="&amp;$C$7,BD!$A$3:$A$5001,"&lt;="&amp;$B214,BD!$L$3:$L$5001,"&lt;&gt;")=0,"",SUMIFS(BD!$L$3:$L$5001,BD!$B$3:$B$5001,I$184,BD!$A$3:$A$5001,_xlfn.MAXIFS(BD!$A$3:$A$5001,BD!$B$3:$B$5001,I$184,BD!$A$3:$A$5001,"&gt;="&amp;$C$7,BD!$A$3:$A$5001,"&lt;="&amp;$B214,BD!$L$3:$L$5001,"&lt;&gt;"))))</f>
        <v/>
      </c>
      <c r="J214" s="43" t="str">
        <f>IF(OR($B214="",$A214&gt;$B$9,J$184=""),"",IF(COUNTIFS(BD!$B$3:$B$5001,J$184,BD!$A$3:$A$5001,"&gt;="&amp;$C$7,BD!$A$3:$A$5001,"&lt;="&amp;$B214,BD!$L$3:$L$5001,"&lt;&gt;")=0,"",SUMIFS(BD!$L$3:$L$5001,BD!$B$3:$B$5001,J$184,BD!$A$3:$A$5001,_xlfn.MAXIFS(BD!$A$3:$A$5001,BD!$B$3:$B$5001,J$184,BD!$A$3:$A$5001,"&gt;="&amp;$C$7,BD!$A$3:$A$5001,"&lt;="&amp;$B214,BD!$L$3:$L$5001,"&lt;&gt;"))))</f>
        <v/>
      </c>
      <c r="K214" s="43" t="str">
        <f>IF(OR($B214="",$A214&gt;$B$9,K$184=""),"",IF(COUNTIFS(BD!$B$3:$B$5001,K$184,BD!$A$3:$A$5001,"&gt;="&amp;$C$7,BD!$A$3:$A$5001,"&lt;="&amp;$B214,BD!$L$3:$L$5001,"&lt;&gt;")=0,"",SUMIFS(BD!$L$3:$L$5001,BD!$B$3:$B$5001,K$184,BD!$A$3:$A$5001,_xlfn.MAXIFS(BD!$A$3:$A$5001,BD!$B$3:$B$5001,K$184,BD!$A$3:$A$5001,"&gt;="&amp;$C$7,BD!$A$3:$A$5001,"&lt;="&amp;$B214,BD!$L$3:$L$5001,"&lt;&gt;"))))</f>
        <v/>
      </c>
      <c r="L214" s="43" t="str">
        <f>IF(OR($B214="",$A214&gt;$B$9,L$184=""),"",IF(COUNTIFS(BD!$B$3:$B$5001,L$184,BD!$A$3:$A$5001,"&gt;="&amp;$C$7,BD!$A$3:$A$5001,"&lt;="&amp;$B214,BD!$L$3:$L$5001,"&lt;&gt;")=0,"",SUMIFS(BD!$L$3:$L$5001,BD!$B$3:$B$5001,L$184,BD!$A$3:$A$5001,_xlfn.MAXIFS(BD!$A$3:$A$5001,BD!$B$3:$B$5001,L$184,BD!$A$3:$A$5001,"&gt;="&amp;$C$7,BD!$A$3:$A$5001,"&lt;="&amp;$B214,BD!$L$3:$L$5001,"&lt;&gt;"))))</f>
        <v/>
      </c>
      <c r="M214" s="43" t="str">
        <f>IF(OR($B214="",$A214&gt;$B$9,M$184=""),"",IF(COUNTIFS(BD!$B$3:$B$5001,M$184,BD!$A$3:$A$5001,"&gt;="&amp;$C$7,BD!$A$3:$A$5001,"&lt;="&amp;$B214,BD!$L$3:$L$5001,"&lt;&gt;")=0,"",SUMIFS(BD!$L$3:$L$5001,BD!$B$3:$B$5001,M$184,BD!$A$3:$A$5001,_xlfn.MAXIFS(BD!$A$3:$A$5001,BD!$B$3:$B$5001,M$184,BD!$A$3:$A$5001,"&gt;="&amp;$C$7,BD!$A$3:$A$5001,"&lt;="&amp;$B214,BD!$L$3:$L$5001,"&lt;&gt;"))))</f>
        <v/>
      </c>
      <c r="N214" s="43" t="str">
        <f>IF(OR($B214="",$A214&gt;$B$9,N$184=""),"",IF(COUNTIFS(BD!$B$3:$B$5001,N$184,BD!$A$3:$A$5001,"&gt;="&amp;$C$7,BD!$A$3:$A$5001,"&lt;="&amp;$B214,BD!$L$3:$L$5001,"&lt;&gt;")=0,"",SUMIFS(BD!$L$3:$L$5001,BD!$B$3:$B$5001,N$184,BD!$A$3:$A$5001,_xlfn.MAXIFS(BD!$A$3:$A$5001,BD!$B$3:$B$5001,N$184,BD!$A$3:$A$5001,"&gt;="&amp;$C$7,BD!$A$3:$A$5001,"&lt;="&amp;$B214,BD!$L$3:$L$5001,"&lt;&gt;"))))</f>
        <v/>
      </c>
      <c r="O214" s="43" t="str">
        <f>IF(OR($B214="",$A214&gt;$B$9,O$184=""),"",IF(COUNTIFS(BD!$B$3:$B$5001,O$184,BD!$A$3:$A$5001,"&gt;="&amp;$C$7,BD!$A$3:$A$5001,"&lt;="&amp;$B214,BD!$L$3:$L$5001,"&lt;&gt;")=0,"",SUMIFS(BD!$L$3:$L$5001,BD!$B$3:$B$5001,O$184,BD!$A$3:$A$5001,_xlfn.MAXIFS(BD!$A$3:$A$5001,BD!$B$3:$B$5001,O$184,BD!$A$3:$A$5001,"&gt;="&amp;$C$7,BD!$A$3:$A$5001,"&lt;="&amp;$B214,BD!$L$3:$L$5001,"&lt;&gt;"))))</f>
        <v/>
      </c>
      <c r="P214" s="43" t="str">
        <f>IF(OR($B214="",$A214&gt;$B$9,P$184=""),"",IF(COUNTIFS(BD!$B$3:$B$5001,P$184,BD!$A$3:$A$5001,"&gt;="&amp;$C$7,BD!$A$3:$A$5001,"&lt;="&amp;$B214,BD!$L$3:$L$5001,"&lt;&gt;")=0,"",SUMIFS(BD!$L$3:$L$5001,BD!$B$3:$B$5001,P$184,BD!$A$3:$A$5001,_xlfn.MAXIFS(BD!$A$3:$A$5001,BD!$B$3:$B$5001,P$184,BD!$A$3:$A$5001,"&gt;="&amp;$C$7,BD!$A$3:$A$5001,"&lt;="&amp;$B214,BD!$L$3:$L$5001,"&lt;&gt;"))))</f>
        <v/>
      </c>
      <c r="Q214" s="43" t="str">
        <f>IF(OR($B214="",$A214&gt;$B$9,Q$184=""),"",IF(COUNTIFS(BD!$B$3:$B$5001,Q$184,BD!$A$3:$A$5001,"&gt;="&amp;$C$7,BD!$A$3:$A$5001,"&lt;="&amp;$B214,BD!$L$3:$L$5001,"&lt;&gt;")=0,"",SUMIFS(BD!$L$3:$L$5001,BD!$B$3:$B$5001,Q$184,BD!$A$3:$A$5001,_xlfn.MAXIFS(BD!$A$3:$A$5001,BD!$B$3:$B$5001,Q$184,BD!$A$3:$A$5001,"&gt;="&amp;$C$7,BD!$A$3:$A$5001,"&lt;="&amp;$B214,BD!$L$3:$L$5001,"&lt;&gt;"))))</f>
        <v/>
      </c>
      <c r="R214" s="43" t="str">
        <f>IF(OR($B214="",$A214&gt;$B$9,R$184=""),"",IF(COUNTIFS(BD!$B$3:$B$5001,R$184,BD!$A$3:$A$5001,"&gt;="&amp;$C$7,BD!$A$3:$A$5001,"&lt;="&amp;$B214,BD!$L$3:$L$5001,"&lt;&gt;")=0,"",SUMIFS(BD!$L$3:$L$5001,BD!$B$3:$B$5001,R$184,BD!$A$3:$A$5001,_xlfn.MAXIFS(BD!$A$3:$A$5001,BD!$B$3:$B$5001,R$184,BD!$A$3:$A$5001,"&gt;="&amp;$C$7,BD!$A$3:$A$5001,"&lt;="&amp;$B214,BD!$L$3:$L$5001,"&lt;&gt;"))))</f>
        <v/>
      </c>
      <c r="S214" s="43" t="str">
        <f>IF(OR($B214="",$A214&gt;$B$9,S$184=""),"",IF(COUNTIFS(BD!$B$3:$B$5001,S$184,BD!$A$3:$A$5001,"&gt;="&amp;$C$7,BD!$A$3:$A$5001,"&lt;="&amp;$B214,BD!$L$3:$L$5001,"&lt;&gt;")=0,"",SUMIFS(BD!$L$3:$L$5001,BD!$B$3:$B$5001,S$184,BD!$A$3:$A$5001,_xlfn.MAXIFS(BD!$A$3:$A$5001,BD!$B$3:$B$5001,S$184,BD!$A$3:$A$5001,"&gt;="&amp;$C$7,BD!$A$3:$A$5001,"&lt;="&amp;$B214,BD!$L$3:$L$5001,"&lt;&gt;"))))</f>
        <v/>
      </c>
      <c r="T214" s="43" t="str">
        <f>IF(OR($B214="",$A214&gt;$B$9,T$184=""),"",IF(COUNTIFS(BD!$B$3:$B$5001,T$184,BD!$A$3:$A$5001,"&gt;="&amp;$C$7,BD!$A$3:$A$5001,"&lt;="&amp;$B214,BD!$L$3:$L$5001,"&lt;&gt;")=0,"",SUMIFS(BD!$L$3:$L$5001,BD!$B$3:$B$5001,T$184,BD!$A$3:$A$5001,_xlfn.MAXIFS(BD!$A$3:$A$5001,BD!$B$3:$B$5001,T$184,BD!$A$3:$A$5001,"&gt;="&amp;$C$7,BD!$A$3:$A$5001,"&lt;="&amp;$B214,BD!$L$3:$L$5001,"&lt;&gt;"))))</f>
        <v/>
      </c>
      <c r="U214" s="43" t="str">
        <f>IF(OR($B214="",$A214&gt;$B$9,U$184=""),"",IF(COUNTIFS(BD!$B$3:$B$5001,U$184,BD!$A$3:$A$5001,"&gt;="&amp;$C$7,BD!$A$3:$A$5001,"&lt;="&amp;$B214,BD!$L$3:$L$5001,"&lt;&gt;")=0,"",SUMIFS(BD!$L$3:$L$5001,BD!$B$3:$B$5001,U$184,BD!$A$3:$A$5001,_xlfn.MAXIFS(BD!$A$3:$A$5001,BD!$B$3:$B$5001,U$184,BD!$A$3:$A$5001,"&gt;="&amp;$C$7,BD!$A$3:$A$5001,"&lt;="&amp;$B214,BD!$L$3:$L$5001,"&lt;&gt;"))))</f>
        <v/>
      </c>
      <c r="V214" s="43" t="str">
        <f>IF(OR($B214="",$A214&gt;$B$9,V$184=""),"",IF(COUNTIFS(BD!$B$3:$B$5001,V$184,BD!$A$3:$A$5001,"&gt;="&amp;$C$7,BD!$A$3:$A$5001,"&lt;="&amp;$B214,BD!$L$3:$L$5001,"&lt;&gt;")=0,"",SUMIFS(BD!$L$3:$L$5001,BD!$B$3:$B$5001,V$184,BD!$A$3:$A$5001,_xlfn.MAXIFS(BD!$A$3:$A$5001,BD!$B$3:$B$5001,V$184,BD!$A$3:$A$5001,"&gt;="&amp;$C$7,BD!$A$3:$A$5001,"&lt;="&amp;$B214,BD!$L$3:$L$5001,"&lt;&gt;"))))</f>
        <v/>
      </c>
    </row>
    <row r="215">
      <c r="A215" s="38">
        <v>31</v>
      </c>
      <c r="B215" s="42">
        <f>$B$42</f>
        <v>46326</v>
      </c>
      <c r="C215" s="43" t="str">
        <f>IF(OR($B215="",$A215&gt;$B$9,C$184=""),"",IF(COUNTIFS(BD!$B$3:$B$5001,C$184,BD!$A$3:$A$5001,"&gt;="&amp;$C$7,BD!$A$3:$A$5001,"&lt;="&amp;$B215,BD!$L$3:$L$5001,"&lt;&gt;")=0,"",SUMIFS(BD!$L$3:$L$5001,BD!$B$3:$B$5001,C$184,BD!$A$3:$A$5001,_xlfn.MAXIFS(BD!$A$3:$A$5001,BD!$B$3:$B$5001,C$184,BD!$A$3:$A$5001,"&gt;="&amp;$C$7,BD!$A$3:$A$5001,"&lt;="&amp;$B215,BD!$L$3:$L$5001,"&lt;&gt;"))))</f>
        <v/>
      </c>
      <c r="D215" s="43" t="str">
        <f>IF(OR($B215="",$A215&gt;$B$9,D$184=""),"",IF(COUNTIFS(BD!$B$3:$B$5001,D$184,BD!$A$3:$A$5001,"&gt;="&amp;$C$7,BD!$A$3:$A$5001,"&lt;="&amp;$B215,BD!$L$3:$L$5001,"&lt;&gt;")=0,"",SUMIFS(BD!$L$3:$L$5001,BD!$B$3:$B$5001,D$184,BD!$A$3:$A$5001,_xlfn.MAXIFS(BD!$A$3:$A$5001,BD!$B$3:$B$5001,D$184,BD!$A$3:$A$5001,"&gt;="&amp;$C$7,BD!$A$3:$A$5001,"&lt;="&amp;$B215,BD!$L$3:$L$5001,"&lt;&gt;"))))</f>
        <v/>
      </c>
      <c r="E215" s="43" t="str">
        <f>IF(OR($B215="",$A215&gt;$B$9,E$184=""),"",IF(COUNTIFS(BD!$B$3:$B$5001,E$184,BD!$A$3:$A$5001,"&gt;="&amp;$C$7,BD!$A$3:$A$5001,"&lt;="&amp;$B215,BD!$L$3:$L$5001,"&lt;&gt;")=0,"",SUMIFS(BD!$L$3:$L$5001,BD!$B$3:$B$5001,E$184,BD!$A$3:$A$5001,_xlfn.MAXIFS(BD!$A$3:$A$5001,BD!$B$3:$B$5001,E$184,BD!$A$3:$A$5001,"&gt;="&amp;$C$7,BD!$A$3:$A$5001,"&lt;="&amp;$B215,BD!$L$3:$L$5001,"&lt;&gt;"))))</f>
        <v/>
      </c>
      <c r="F215" s="43" t="str">
        <f>IF(OR($B215="",$A215&gt;$B$9,F$184=""),"",IF(COUNTIFS(BD!$B$3:$B$5001,F$184,BD!$A$3:$A$5001,"&gt;="&amp;$C$7,BD!$A$3:$A$5001,"&lt;="&amp;$B215,BD!$L$3:$L$5001,"&lt;&gt;")=0,"",SUMIFS(BD!$L$3:$L$5001,BD!$B$3:$B$5001,F$184,BD!$A$3:$A$5001,_xlfn.MAXIFS(BD!$A$3:$A$5001,BD!$B$3:$B$5001,F$184,BD!$A$3:$A$5001,"&gt;="&amp;$C$7,BD!$A$3:$A$5001,"&lt;="&amp;$B215,BD!$L$3:$L$5001,"&lt;&gt;"))))</f>
        <v/>
      </c>
      <c r="G215" s="43" t="str">
        <f>IF(OR($B215="",$A215&gt;$B$9,G$184=""),"",IF(COUNTIFS(BD!$B$3:$B$5001,G$184,BD!$A$3:$A$5001,"&gt;="&amp;$C$7,BD!$A$3:$A$5001,"&lt;="&amp;$B215,BD!$L$3:$L$5001,"&lt;&gt;")=0,"",SUMIFS(BD!$L$3:$L$5001,BD!$B$3:$B$5001,G$184,BD!$A$3:$A$5001,_xlfn.MAXIFS(BD!$A$3:$A$5001,BD!$B$3:$B$5001,G$184,BD!$A$3:$A$5001,"&gt;="&amp;$C$7,BD!$A$3:$A$5001,"&lt;="&amp;$B215,BD!$L$3:$L$5001,"&lt;&gt;"))))</f>
        <v/>
      </c>
      <c r="H215" s="43" t="str">
        <f>IF(OR($B215="",$A215&gt;$B$9,H$184=""),"",IF(COUNTIFS(BD!$B$3:$B$5001,H$184,BD!$A$3:$A$5001,"&gt;="&amp;$C$7,BD!$A$3:$A$5001,"&lt;="&amp;$B215,BD!$L$3:$L$5001,"&lt;&gt;")=0,"",SUMIFS(BD!$L$3:$L$5001,BD!$B$3:$B$5001,H$184,BD!$A$3:$A$5001,_xlfn.MAXIFS(BD!$A$3:$A$5001,BD!$B$3:$B$5001,H$184,BD!$A$3:$A$5001,"&gt;="&amp;$C$7,BD!$A$3:$A$5001,"&lt;="&amp;$B215,BD!$L$3:$L$5001,"&lt;&gt;"))))</f>
        <v/>
      </c>
      <c r="I215" s="43" t="str">
        <f>IF(OR($B215="",$A215&gt;$B$9,I$184=""),"",IF(COUNTIFS(BD!$B$3:$B$5001,I$184,BD!$A$3:$A$5001,"&gt;="&amp;$C$7,BD!$A$3:$A$5001,"&lt;="&amp;$B215,BD!$L$3:$L$5001,"&lt;&gt;")=0,"",SUMIFS(BD!$L$3:$L$5001,BD!$B$3:$B$5001,I$184,BD!$A$3:$A$5001,_xlfn.MAXIFS(BD!$A$3:$A$5001,BD!$B$3:$B$5001,I$184,BD!$A$3:$A$5001,"&gt;="&amp;$C$7,BD!$A$3:$A$5001,"&lt;="&amp;$B215,BD!$L$3:$L$5001,"&lt;&gt;"))))</f>
        <v/>
      </c>
      <c r="J215" s="43" t="str">
        <f>IF(OR($B215="",$A215&gt;$B$9,J$184=""),"",IF(COUNTIFS(BD!$B$3:$B$5001,J$184,BD!$A$3:$A$5001,"&gt;="&amp;$C$7,BD!$A$3:$A$5001,"&lt;="&amp;$B215,BD!$L$3:$L$5001,"&lt;&gt;")=0,"",SUMIFS(BD!$L$3:$L$5001,BD!$B$3:$B$5001,J$184,BD!$A$3:$A$5001,_xlfn.MAXIFS(BD!$A$3:$A$5001,BD!$B$3:$B$5001,J$184,BD!$A$3:$A$5001,"&gt;="&amp;$C$7,BD!$A$3:$A$5001,"&lt;="&amp;$B215,BD!$L$3:$L$5001,"&lt;&gt;"))))</f>
        <v/>
      </c>
      <c r="K215" s="43" t="str">
        <f>IF(OR($B215="",$A215&gt;$B$9,K$184=""),"",IF(COUNTIFS(BD!$B$3:$B$5001,K$184,BD!$A$3:$A$5001,"&gt;="&amp;$C$7,BD!$A$3:$A$5001,"&lt;="&amp;$B215,BD!$L$3:$L$5001,"&lt;&gt;")=0,"",SUMIFS(BD!$L$3:$L$5001,BD!$B$3:$B$5001,K$184,BD!$A$3:$A$5001,_xlfn.MAXIFS(BD!$A$3:$A$5001,BD!$B$3:$B$5001,K$184,BD!$A$3:$A$5001,"&gt;="&amp;$C$7,BD!$A$3:$A$5001,"&lt;="&amp;$B215,BD!$L$3:$L$5001,"&lt;&gt;"))))</f>
        <v/>
      </c>
      <c r="L215" s="43" t="str">
        <f>IF(OR($B215="",$A215&gt;$B$9,L$184=""),"",IF(COUNTIFS(BD!$B$3:$B$5001,L$184,BD!$A$3:$A$5001,"&gt;="&amp;$C$7,BD!$A$3:$A$5001,"&lt;="&amp;$B215,BD!$L$3:$L$5001,"&lt;&gt;")=0,"",SUMIFS(BD!$L$3:$L$5001,BD!$B$3:$B$5001,L$184,BD!$A$3:$A$5001,_xlfn.MAXIFS(BD!$A$3:$A$5001,BD!$B$3:$B$5001,L$184,BD!$A$3:$A$5001,"&gt;="&amp;$C$7,BD!$A$3:$A$5001,"&lt;="&amp;$B215,BD!$L$3:$L$5001,"&lt;&gt;"))))</f>
        <v/>
      </c>
      <c r="M215" s="43" t="str">
        <f>IF(OR($B215="",$A215&gt;$B$9,M$184=""),"",IF(COUNTIFS(BD!$B$3:$B$5001,M$184,BD!$A$3:$A$5001,"&gt;="&amp;$C$7,BD!$A$3:$A$5001,"&lt;="&amp;$B215,BD!$L$3:$L$5001,"&lt;&gt;")=0,"",SUMIFS(BD!$L$3:$L$5001,BD!$B$3:$B$5001,M$184,BD!$A$3:$A$5001,_xlfn.MAXIFS(BD!$A$3:$A$5001,BD!$B$3:$B$5001,M$184,BD!$A$3:$A$5001,"&gt;="&amp;$C$7,BD!$A$3:$A$5001,"&lt;="&amp;$B215,BD!$L$3:$L$5001,"&lt;&gt;"))))</f>
        <v/>
      </c>
      <c r="N215" s="43" t="str">
        <f>IF(OR($B215="",$A215&gt;$B$9,N$184=""),"",IF(COUNTIFS(BD!$B$3:$B$5001,N$184,BD!$A$3:$A$5001,"&gt;="&amp;$C$7,BD!$A$3:$A$5001,"&lt;="&amp;$B215,BD!$L$3:$L$5001,"&lt;&gt;")=0,"",SUMIFS(BD!$L$3:$L$5001,BD!$B$3:$B$5001,N$184,BD!$A$3:$A$5001,_xlfn.MAXIFS(BD!$A$3:$A$5001,BD!$B$3:$B$5001,N$184,BD!$A$3:$A$5001,"&gt;="&amp;$C$7,BD!$A$3:$A$5001,"&lt;="&amp;$B215,BD!$L$3:$L$5001,"&lt;&gt;"))))</f>
        <v/>
      </c>
      <c r="O215" s="43" t="str">
        <f>IF(OR($B215="",$A215&gt;$B$9,O$184=""),"",IF(COUNTIFS(BD!$B$3:$B$5001,O$184,BD!$A$3:$A$5001,"&gt;="&amp;$C$7,BD!$A$3:$A$5001,"&lt;="&amp;$B215,BD!$L$3:$L$5001,"&lt;&gt;")=0,"",SUMIFS(BD!$L$3:$L$5001,BD!$B$3:$B$5001,O$184,BD!$A$3:$A$5001,_xlfn.MAXIFS(BD!$A$3:$A$5001,BD!$B$3:$B$5001,O$184,BD!$A$3:$A$5001,"&gt;="&amp;$C$7,BD!$A$3:$A$5001,"&lt;="&amp;$B215,BD!$L$3:$L$5001,"&lt;&gt;"))))</f>
        <v/>
      </c>
      <c r="P215" s="43" t="str">
        <f>IF(OR($B215="",$A215&gt;$B$9,P$184=""),"",IF(COUNTIFS(BD!$B$3:$B$5001,P$184,BD!$A$3:$A$5001,"&gt;="&amp;$C$7,BD!$A$3:$A$5001,"&lt;="&amp;$B215,BD!$L$3:$L$5001,"&lt;&gt;")=0,"",SUMIFS(BD!$L$3:$L$5001,BD!$B$3:$B$5001,P$184,BD!$A$3:$A$5001,_xlfn.MAXIFS(BD!$A$3:$A$5001,BD!$B$3:$B$5001,P$184,BD!$A$3:$A$5001,"&gt;="&amp;$C$7,BD!$A$3:$A$5001,"&lt;="&amp;$B215,BD!$L$3:$L$5001,"&lt;&gt;"))))</f>
        <v/>
      </c>
      <c r="Q215" s="43" t="str">
        <f>IF(OR($B215="",$A215&gt;$B$9,Q$184=""),"",IF(COUNTIFS(BD!$B$3:$B$5001,Q$184,BD!$A$3:$A$5001,"&gt;="&amp;$C$7,BD!$A$3:$A$5001,"&lt;="&amp;$B215,BD!$L$3:$L$5001,"&lt;&gt;")=0,"",SUMIFS(BD!$L$3:$L$5001,BD!$B$3:$B$5001,Q$184,BD!$A$3:$A$5001,_xlfn.MAXIFS(BD!$A$3:$A$5001,BD!$B$3:$B$5001,Q$184,BD!$A$3:$A$5001,"&gt;="&amp;$C$7,BD!$A$3:$A$5001,"&lt;="&amp;$B215,BD!$L$3:$L$5001,"&lt;&gt;"))))</f>
        <v/>
      </c>
      <c r="R215" s="43" t="str">
        <f>IF(OR($B215="",$A215&gt;$B$9,R$184=""),"",IF(COUNTIFS(BD!$B$3:$B$5001,R$184,BD!$A$3:$A$5001,"&gt;="&amp;$C$7,BD!$A$3:$A$5001,"&lt;="&amp;$B215,BD!$L$3:$L$5001,"&lt;&gt;")=0,"",SUMIFS(BD!$L$3:$L$5001,BD!$B$3:$B$5001,R$184,BD!$A$3:$A$5001,_xlfn.MAXIFS(BD!$A$3:$A$5001,BD!$B$3:$B$5001,R$184,BD!$A$3:$A$5001,"&gt;="&amp;$C$7,BD!$A$3:$A$5001,"&lt;="&amp;$B215,BD!$L$3:$L$5001,"&lt;&gt;"))))</f>
        <v/>
      </c>
      <c r="S215" s="43" t="str">
        <f>IF(OR($B215="",$A215&gt;$B$9,S$184=""),"",IF(COUNTIFS(BD!$B$3:$B$5001,S$184,BD!$A$3:$A$5001,"&gt;="&amp;$C$7,BD!$A$3:$A$5001,"&lt;="&amp;$B215,BD!$L$3:$L$5001,"&lt;&gt;")=0,"",SUMIFS(BD!$L$3:$L$5001,BD!$B$3:$B$5001,S$184,BD!$A$3:$A$5001,_xlfn.MAXIFS(BD!$A$3:$A$5001,BD!$B$3:$B$5001,S$184,BD!$A$3:$A$5001,"&gt;="&amp;$C$7,BD!$A$3:$A$5001,"&lt;="&amp;$B215,BD!$L$3:$L$5001,"&lt;&gt;"))))</f>
        <v/>
      </c>
      <c r="T215" s="43" t="str">
        <f>IF(OR($B215="",$A215&gt;$B$9,T$184=""),"",IF(COUNTIFS(BD!$B$3:$B$5001,T$184,BD!$A$3:$A$5001,"&gt;="&amp;$C$7,BD!$A$3:$A$5001,"&lt;="&amp;$B215,BD!$L$3:$L$5001,"&lt;&gt;")=0,"",SUMIFS(BD!$L$3:$L$5001,BD!$B$3:$B$5001,T$184,BD!$A$3:$A$5001,_xlfn.MAXIFS(BD!$A$3:$A$5001,BD!$B$3:$B$5001,T$184,BD!$A$3:$A$5001,"&gt;="&amp;$C$7,BD!$A$3:$A$5001,"&lt;="&amp;$B215,BD!$L$3:$L$5001,"&lt;&gt;"))))</f>
        <v/>
      </c>
      <c r="U215" s="43" t="str">
        <f>IF(OR($B215="",$A215&gt;$B$9,U$184=""),"",IF(COUNTIFS(BD!$B$3:$B$5001,U$184,BD!$A$3:$A$5001,"&gt;="&amp;$C$7,BD!$A$3:$A$5001,"&lt;="&amp;$B215,BD!$L$3:$L$5001,"&lt;&gt;")=0,"",SUMIFS(BD!$L$3:$L$5001,BD!$B$3:$B$5001,U$184,BD!$A$3:$A$5001,_xlfn.MAXIFS(BD!$A$3:$A$5001,BD!$B$3:$B$5001,U$184,BD!$A$3:$A$5001,"&gt;="&amp;$C$7,BD!$A$3:$A$5001,"&lt;="&amp;$B215,BD!$L$3:$L$5001,"&lt;&gt;"))))</f>
        <v/>
      </c>
      <c r="V215" s="43" t="str">
        <f>IF(OR($B215="",$A215&gt;$B$9,V$184=""),"",IF(COUNTIFS(BD!$B$3:$B$5001,V$184,BD!$A$3:$A$5001,"&gt;="&amp;$C$7,BD!$A$3:$A$5001,"&lt;="&amp;$B215,BD!$L$3:$L$5001,"&lt;&gt;")=0,"",SUMIFS(BD!$L$3:$L$5001,BD!$B$3:$B$5001,V$184,BD!$A$3:$A$5001,_xlfn.MAXIFS(BD!$A$3:$A$5001,BD!$B$3:$B$5001,V$184,BD!$A$3:$A$5001,"&gt;="&amp;$C$7,BD!$A$3:$A$5001,"&lt;="&amp;$B215,BD!$L$3:$L$5001,"&lt;&gt;"))))</f>
        <v/>
      </c>
    </row>
    <row r="216">
      <c r="A216" s="44" t="inlineStr">
        <is>
          <t xml:space="preserve">Mês anterior (último)</t>
        </is>
      </c>
      <c r="C216" s="45" t="str">
        <f>IF(C$184="","",IF(COUNTIFS(BD!$B$3:$B$5001,C$184,BD!$A$3:$A$5001,"&gt;="&amp;$C$8,BD!$A$3:$A$5001,"&lt;="&amp;$D$8,BD!$L$3:$L$5001,"&lt;&gt;")=0,"",SUMIFS(BD!$L$3:$L$5001,BD!$B$3:$B$5001,C$184,BD!$A$3:$A$5001,_xlfn.MAXIFS(BD!$A$3:$A$5001,BD!$B$3:$B$5001,C$184,BD!$A$3:$A$5001,"&gt;="&amp;$C$8,BD!$A$3:$A$5001,"&lt;="&amp;$D$8,BD!$L$3:$L$5001,"&lt;&gt;"))))</f>
        <v/>
      </c>
      <c r="D216" s="45" t="str">
        <f>IF(D$184="","",IF(COUNTIFS(BD!$B$3:$B$5001,D$184,BD!$A$3:$A$5001,"&gt;="&amp;$C$8,BD!$A$3:$A$5001,"&lt;="&amp;$D$8,BD!$L$3:$L$5001,"&lt;&gt;")=0,"",SUMIFS(BD!$L$3:$L$5001,BD!$B$3:$B$5001,D$184,BD!$A$3:$A$5001,_xlfn.MAXIFS(BD!$A$3:$A$5001,BD!$B$3:$B$5001,D$184,BD!$A$3:$A$5001,"&gt;="&amp;$C$8,BD!$A$3:$A$5001,"&lt;="&amp;$D$8,BD!$L$3:$L$5001,"&lt;&gt;"))))</f>
        <v/>
      </c>
      <c r="E216" s="45" t="str">
        <f>IF(E$184="","",IF(COUNTIFS(BD!$B$3:$B$5001,E$184,BD!$A$3:$A$5001,"&gt;="&amp;$C$8,BD!$A$3:$A$5001,"&lt;="&amp;$D$8,BD!$L$3:$L$5001,"&lt;&gt;")=0,"",SUMIFS(BD!$L$3:$L$5001,BD!$B$3:$B$5001,E$184,BD!$A$3:$A$5001,_xlfn.MAXIFS(BD!$A$3:$A$5001,BD!$B$3:$B$5001,E$184,BD!$A$3:$A$5001,"&gt;="&amp;$C$8,BD!$A$3:$A$5001,"&lt;="&amp;$D$8,BD!$L$3:$L$5001,"&lt;&gt;"))))</f>
        <v/>
      </c>
      <c r="F216" s="45" t="str">
        <f>IF(F$184="","",IF(COUNTIFS(BD!$B$3:$B$5001,F$184,BD!$A$3:$A$5001,"&gt;="&amp;$C$8,BD!$A$3:$A$5001,"&lt;="&amp;$D$8,BD!$L$3:$L$5001,"&lt;&gt;")=0,"",SUMIFS(BD!$L$3:$L$5001,BD!$B$3:$B$5001,F$184,BD!$A$3:$A$5001,_xlfn.MAXIFS(BD!$A$3:$A$5001,BD!$B$3:$B$5001,F$184,BD!$A$3:$A$5001,"&gt;="&amp;$C$8,BD!$A$3:$A$5001,"&lt;="&amp;$D$8,BD!$L$3:$L$5001,"&lt;&gt;"))))</f>
        <v/>
      </c>
      <c r="G216" s="45" t="str">
        <f>IF(G$184="","",IF(COUNTIFS(BD!$B$3:$B$5001,G$184,BD!$A$3:$A$5001,"&gt;="&amp;$C$8,BD!$A$3:$A$5001,"&lt;="&amp;$D$8,BD!$L$3:$L$5001,"&lt;&gt;")=0,"",SUMIFS(BD!$L$3:$L$5001,BD!$B$3:$B$5001,G$184,BD!$A$3:$A$5001,_xlfn.MAXIFS(BD!$A$3:$A$5001,BD!$B$3:$B$5001,G$184,BD!$A$3:$A$5001,"&gt;="&amp;$C$8,BD!$A$3:$A$5001,"&lt;="&amp;$D$8,BD!$L$3:$L$5001,"&lt;&gt;"))))</f>
        <v/>
      </c>
      <c r="H216" s="45" t="str">
        <f>IF(H$184="","",IF(COUNTIFS(BD!$B$3:$B$5001,H$184,BD!$A$3:$A$5001,"&gt;="&amp;$C$8,BD!$A$3:$A$5001,"&lt;="&amp;$D$8,BD!$L$3:$L$5001,"&lt;&gt;")=0,"",SUMIFS(BD!$L$3:$L$5001,BD!$B$3:$B$5001,H$184,BD!$A$3:$A$5001,_xlfn.MAXIFS(BD!$A$3:$A$5001,BD!$B$3:$B$5001,H$184,BD!$A$3:$A$5001,"&gt;="&amp;$C$8,BD!$A$3:$A$5001,"&lt;="&amp;$D$8,BD!$L$3:$L$5001,"&lt;&gt;"))))</f>
        <v/>
      </c>
      <c r="I216" s="45" t="str">
        <f>IF(I$184="","",IF(COUNTIFS(BD!$B$3:$B$5001,I$184,BD!$A$3:$A$5001,"&gt;="&amp;$C$8,BD!$A$3:$A$5001,"&lt;="&amp;$D$8,BD!$L$3:$L$5001,"&lt;&gt;")=0,"",SUMIFS(BD!$L$3:$L$5001,BD!$B$3:$B$5001,I$184,BD!$A$3:$A$5001,_xlfn.MAXIFS(BD!$A$3:$A$5001,BD!$B$3:$B$5001,I$184,BD!$A$3:$A$5001,"&gt;="&amp;$C$8,BD!$A$3:$A$5001,"&lt;="&amp;$D$8,BD!$L$3:$L$5001,"&lt;&gt;"))))</f>
        <v/>
      </c>
      <c r="J216" s="45" t="str">
        <f>IF(J$184="","",IF(COUNTIFS(BD!$B$3:$B$5001,J$184,BD!$A$3:$A$5001,"&gt;="&amp;$C$8,BD!$A$3:$A$5001,"&lt;="&amp;$D$8,BD!$L$3:$L$5001,"&lt;&gt;")=0,"",SUMIFS(BD!$L$3:$L$5001,BD!$B$3:$B$5001,J$184,BD!$A$3:$A$5001,_xlfn.MAXIFS(BD!$A$3:$A$5001,BD!$B$3:$B$5001,J$184,BD!$A$3:$A$5001,"&gt;="&amp;$C$8,BD!$A$3:$A$5001,"&lt;="&amp;$D$8,BD!$L$3:$L$5001,"&lt;&gt;"))))</f>
        <v/>
      </c>
      <c r="K216" s="45" t="str">
        <f>IF(K$184="","",IF(COUNTIFS(BD!$B$3:$B$5001,K$184,BD!$A$3:$A$5001,"&gt;="&amp;$C$8,BD!$A$3:$A$5001,"&lt;="&amp;$D$8,BD!$L$3:$L$5001,"&lt;&gt;")=0,"",SUMIFS(BD!$L$3:$L$5001,BD!$B$3:$B$5001,K$184,BD!$A$3:$A$5001,_xlfn.MAXIFS(BD!$A$3:$A$5001,BD!$B$3:$B$5001,K$184,BD!$A$3:$A$5001,"&gt;="&amp;$C$8,BD!$A$3:$A$5001,"&lt;="&amp;$D$8,BD!$L$3:$L$5001,"&lt;&gt;"))))</f>
        <v/>
      </c>
      <c r="L216" s="45" t="str">
        <f>IF(L$184="","",IF(COUNTIFS(BD!$B$3:$B$5001,L$184,BD!$A$3:$A$5001,"&gt;="&amp;$C$8,BD!$A$3:$A$5001,"&lt;="&amp;$D$8,BD!$L$3:$L$5001,"&lt;&gt;")=0,"",SUMIFS(BD!$L$3:$L$5001,BD!$B$3:$B$5001,L$184,BD!$A$3:$A$5001,_xlfn.MAXIFS(BD!$A$3:$A$5001,BD!$B$3:$B$5001,L$184,BD!$A$3:$A$5001,"&gt;="&amp;$C$8,BD!$A$3:$A$5001,"&lt;="&amp;$D$8,BD!$L$3:$L$5001,"&lt;&gt;"))))</f>
        <v/>
      </c>
      <c r="M216" s="45" t="str">
        <f>IF(M$184="","",IF(COUNTIFS(BD!$B$3:$B$5001,M$184,BD!$A$3:$A$5001,"&gt;="&amp;$C$8,BD!$A$3:$A$5001,"&lt;="&amp;$D$8,BD!$L$3:$L$5001,"&lt;&gt;")=0,"",SUMIFS(BD!$L$3:$L$5001,BD!$B$3:$B$5001,M$184,BD!$A$3:$A$5001,_xlfn.MAXIFS(BD!$A$3:$A$5001,BD!$B$3:$B$5001,M$184,BD!$A$3:$A$5001,"&gt;="&amp;$C$8,BD!$A$3:$A$5001,"&lt;="&amp;$D$8,BD!$L$3:$L$5001,"&lt;&gt;"))))</f>
        <v/>
      </c>
      <c r="N216" s="45" t="str">
        <f>IF(N$184="","",IF(COUNTIFS(BD!$B$3:$B$5001,N$184,BD!$A$3:$A$5001,"&gt;="&amp;$C$8,BD!$A$3:$A$5001,"&lt;="&amp;$D$8,BD!$L$3:$L$5001,"&lt;&gt;")=0,"",SUMIFS(BD!$L$3:$L$5001,BD!$B$3:$B$5001,N$184,BD!$A$3:$A$5001,_xlfn.MAXIFS(BD!$A$3:$A$5001,BD!$B$3:$B$5001,N$184,BD!$A$3:$A$5001,"&gt;="&amp;$C$8,BD!$A$3:$A$5001,"&lt;="&amp;$D$8,BD!$L$3:$L$5001,"&lt;&gt;"))))</f>
        <v/>
      </c>
      <c r="O216" s="45" t="str">
        <f>IF(O$184="","",IF(COUNTIFS(BD!$B$3:$B$5001,O$184,BD!$A$3:$A$5001,"&gt;="&amp;$C$8,BD!$A$3:$A$5001,"&lt;="&amp;$D$8,BD!$L$3:$L$5001,"&lt;&gt;")=0,"",SUMIFS(BD!$L$3:$L$5001,BD!$B$3:$B$5001,O$184,BD!$A$3:$A$5001,_xlfn.MAXIFS(BD!$A$3:$A$5001,BD!$B$3:$B$5001,O$184,BD!$A$3:$A$5001,"&gt;="&amp;$C$8,BD!$A$3:$A$5001,"&lt;="&amp;$D$8,BD!$L$3:$L$5001,"&lt;&gt;"))))</f>
        <v/>
      </c>
      <c r="P216" s="45" t="str">
        <f>IF(P$184="","",IF(COUNTIFS(BD!$B$3:$B$5001,P$184,BD!$A$3:$A$5001,"&gt;="&amp;$C$8,BD!$A$3:$A$5001,"&lt;="&amp;$D$8,BD!$L$3:$L$5001,"&lt;&gt;")=0,"",SUMIFS(BD!$L$3:$L$5001,BD!$B$3:$B$5001,P$184,BD!$A$3:$A$5001,_xlfn.MAXIFS(BD!$A$3:$A$5001,BD!$B$3:$B$5001,P$184,BD!$A$3:$A$5001,"&gt;="&amp;$C$8,BD!$A$3:$A$5001,"&lt;="&amp;$D$8,BD!$L$3:$L$5001,"&lt;&gt;"))))</f>
        <v/>
      </c>
      <c r="Q216" s="45" t="str">
        <f>IF(Q$184="","",IF(COUNTIFS(BD!$B$3:$B$5001,Q$184,BD!$A$3:$A$5001,"&gt;="&amp;$C$8,BD!$A$3:$A$5001,"&lt;="&amp;$D$8,BD!$L$3:$L$5001,"&lt;&gt;")=0,"",SUMIFS(BD!$L$3:$L$5001,BD!$B$3:$B$5001,Q$184,BD!$A$3:$A$5001,_xlfn.MAXIFS(BD!$A$3:$A$5001,BD!$B$3:$B$5001,Q$184,BD!$A$3:$A$5001,"&gt;="&amp;$C$8,BD!$A$3:$A$5001,"&lt;="&amp;$D$8,BD!$L$3:$L$5001,"&lt;&gt;"))))</f>
        <v/>
      </c>
      <c r="R216" s="45" t="str">
        <f>IF(R$184="","",IF(COUNTIFS(BD!$B$3:$B$5001,R$184,BD!$A$3:$A$5001,"&gt;="&amp;$C$8,BD!$A$3:$A$5001,"&lt;="&amp;$D$8,BD!$L$3:$L$5001,"&lt;&gt;")=0,"",SUMIFS(BD!$L$3:$L$5001,BD!$B$3:$B$5001,R$184,BD!$A$3:$A$5001,_xlfn.MAXIFS(BD!$A$3:$A$5001,BD!$B$3:$B$5001,R$184,BD!$A$3:$A$5001,"&gt;="&amp;$C$8,BD!$A$3:$A$5001,"&lt;="&amp;$D$8,BD!$L$3:$L$5001,"&lt;&gt;"))))</f>
        <v/>
      </c>
      <c r="S216" s="45" t="str">
        <f>IF(S$184="","",IF(COUNTIFS(BD!$B$3:$B$5001,S$184,BD!$A$3:$A$5001,"&gt;="&amp;$C$8,BD!$A$3:$A$5001,"&lt;="&amp;$D$8,BD!$L$3:$L$5001,"&lt;&gt;")=0,"",SUMIFS(BD!$L$3:$L$5001,BD!$B$3:$B$5001,S$184,BD!$A$3:$A$5001,_xlfn.MAXIFS(BD!$A$3:$A$5001,BD!$B$3:$B$5001,S$184,BD!$A$3:$A$5001,"&gt;="&amp;$C$8,BD!$A$3:$A$5001,"&lt;="&amp;$D$8,BD!$L$3:$L$5001,"&lt;&gt;"))))</f>
        <v/>
      </c>
      <c r="T216" s="45" t="str">
        <f>IF(T$184="","",IF(COUNTIFS(BD!$B$3:$B$5001,T$184,BD!$A$3:$A$5001,"&gt;="&amp;$C$8,BD!$A$3:$A$5001,"&lt;="&amp;$D$8,BD!$L$3:$L$5001,"&lt;&gt;")=0,"",SUMIFS(BD!$L$3:$L$5001,BD!$B$3:$B$5001,T$184,BD!$A$3:$A$5001,_xlfn.MAXIFS(BD!$A$3:$A$5001,BD!$B$3:$B$5001,T$184,BD!$A$3:$A$5001,"&gt;="&amp;$C$8,BD!$A$3:$A$5001,"&lt;="&amp;$D$8,BD!$L$3:$L$5001,"&lt;&gt;"))))</f>
        <v/>
      </c>
      <c r="U216" s="45" t="str">
        <f>IF(U$184="","",IF(COUNTIFS(BD!$B$3:$B$5001,U$184,BD!$A$3:$A$5001,"&gt;="&amp;$C$8,BD!$A$3:$A$5001,"&lt;="&amp;$D$8,BD!$L$3:$L$5001,"&lt;&gt;")=0,"",SUMIFS(BD!$L$3:$L$5001,BD!$B$3:$B$5001,U$184,BD!$A$3:$A$5001,_xlfn.MAXIFS(BD!$A$3:$A$5001,BD!$B$3:$B$5001,U$184,BD!$A$3:$A$5001,"&gt;="&amp;$C$8,BD!$A$3:$A$5001,"&lt;="&amp;$D$8,BD!$L$3:$L$5001,"&lt;&gt;"))))</f>
        <v/>
      </c>
      <c r="V216" s="45" t="str">
        <f>IF(V$184="","",IF(COUNTIFS(BD!$B$3:$B$5001,V$184,BD!$A$3:$A$5001,"&gt;="&amp;$C$8,BD!$A$3:$A$5001,"&lt;="&amp;$D$8,BD!$L$3:$L$5001,"&lt;&gt;")=0,"",SUMIFS(BD!$L$3:$L$5001,BD!$B$3:$B$5001,V$184,BD!$A$3:$A$5001,_xlfn.MAXIFS(BD!$A$3:$A$5001,BD!$B$3:$B$5001,V$184,BD!$A$3:$A$5001,"&gt;="&amp;$C$8,BD!$A$3:$A$5001,"&lt;="&amp;$D$8,BD!$L$3:$L$5001,"&lt;&gt;"))))</f>
        <v/>
      </c>
    </row>
    <row r="217">
      <c r="A217" s="44" t="inlineStr">
        <is>
          <t xml:space="preserve">Depósito</t>
        </is>
      </c>
      <c r="C217" s="38" t="str">
        <f>IF(Config!$C$10="","JSL",Config!$C$10)</f>
        <v>JSL</v>
      </c>
      <c r="D217" s="38" t="str">
        <f>IF(Config!$C$11="","JSL",Config!$C$11)</f>
        <v>JSL</v>
      </c>
      <c r="E217" s="38" t="str">
        <f>IF(Config!$C$12="","JSL",Config!$C$12)</f>
        <v>JSL</v>
      </c>
      <c r="F217" s="38" t="str">
        <f>IF(Config!$C$13="","JSL",Config!$C$13)</f>
        <v>JSL</v>
      </c>
      <c r="G217" s="38" t="str">
        <f>IF(Config!$C$14="","JSL",Config!$C$14)</f>
        <v>JSL</v>
      </c>
      <c r="H217" s="38" t="str">
        <f>IF(Config!$C$15="","JSL",Config!$C$15)</f>
        <v>JSL</v>
      </c>
      <c r="I217" s="38" t="str">
        <f>IF(Config!$C$16="","JSL",Config!$C$16)</f>
        <v>JSL</v>
      </c>
      <c r="J217" s="38" t="str">
        <f>IF(Config!$C$17="","JSL",Config!$C$17)</f>
        <v>JSL</v>
      </c>
      <c r="K217" s="38" t="str">
        <f>IF(Config!$C$18="","JSL",Config!$C$18)</f>
        <v>JSL</v>
      </c>
      <c r="L217" s="38" t="str">
        <f>IF(Config!$C$19="","JSL",Config!$C$19)</f>
        <v>JSL</v>
      </c>
      <c r="M217" s="38" t="str">
        <f>IF(Config!$C$20="","JSL",Config!$C$20)</f>
        <v>JSL</v>
      </c>
      <c r="N217" s="38" t="str">
        <f>IF(Config!$C$21="","JSL",Config!$C$21)</f>
        <v>JSL</v>
      </c>
      <c r="O217" s="38" t="str">
        <f>IF(Config!$C$22="","JSL",Config!$C$22)</f>
        <v>JSL</v>
      </c>
      <c r="P217" s="38" t="str">
        <f>IF(Config!$C$23="","JSL",Config!$C$23)</f>
        <v>JSL</v>
      </c>
      <c r="Q217" s="38" t="str">
        <f>IF(Config!$C$24="","JSL",Config!$C$24)</f>
        <v>JSL</v>
      </c>
      <c r="R217" s="38" t="str">
        <f>IF(Config!$C$25="","JSL",Config!$C$25)</f>
        <v>JSL</v>
      </c>
      <c r="S217" s="38" t="str">
        <f>IF(Config!$C$26="","JSL",Config!$C$26)</f>
        <v>JSL</v>
      </c>
      <c r="T217" s="38" t="str">
        <f>IF(Config!$C$27="","JSL",Config!$C$27)</f>
        <v>JSL</v>
      </c>
      <c r="U217" s="38" t="str">
        <f>IF(Config!$C$28="","JSL",Config!$C$28)</f>
        <v>JSL</v>
      </c>
      <c r="V217" s="38" t="str">
        <f>IF(Config!$C$29="","JSL",Config!$C$29)</f>
        <v>JSL</v>
      </c>
    </row>
    <row r="219">
      <c r="A219" s="37" t="inlineStr">
        <is>
          <t xml:space="preserve">Efetivo Op.</t>
        </is>
      </c>
      <c r="B219" s="37" t="inlineStr">
        <is>
          <t xml:space="preserve">Data</t>
        </is>
      </c>
      <c r="C219" s="37" t="str">
        <f>Config!$B$10&amp;""</f>
        <v>Barry Callebaut</v>
      </c>
      <c r="D219" s="37" t="str">
        <f>Config!$B$11&amp;""</f>
        <v>GM</v>
      </c>
      <c r="E219" s="37" t="str">
        <f>Config!$B$12&amp;""</f>
        <v>Mondelez</v>
      </c>
      <c r="F219" s="37" t="str">
        <f>Config!$B$13&amp;""</f>
        <v>Nestlé</v>
      </c>
      <c r="G219" s="37" t="str">
        <f>Config!$B$14&amp;""</f>
        <v>PMB</v>
      </c>
      <c r="H219" s="37" t="str">
        <f>Config!$B$15&amp;""</f>
        <v/>
      </c>
      <c r="I219" s="37" t="str">
        <f>Config!$B$16&amp;""</f>
        <v/>
      </c>
      <c r="J219" s="37" t="str">
        <f>Config!$B$17&amp;""</f>
        <v/>
      </c>
      <c r="K219" s="37" t="str">
        <f>Config!$B$18&amp;""</f>
        <v/>
      </c>
      <c r="L219" s="37" t="str">
        <f>Config!$B$19&amp;""</f>
        <v/>
      </c>
      <c r="M219" s="37" t="str">
        <f>Config!$B$20&amp;""</f>
        <v/>
      </c>
      <c r="N219" s="37" t="str">
        <f>Config!$B$21&amp;""</f>
        <v/>
      </c>
      <c r="O219" s="37" t="str">
        <f>Config!$B$22&amp;""</f>
        <v/>
      </c>
      <c r="P219" s="37" t="str">
        <f>Config!$B$23&amp;""</f>
        <v/>
      </c>
      <c r="Q219" s="37" t="str">
        <f>Config!$B$24&amp;""</f>
        <v/>
      </c>
      <c r="R219" s="37" t="str">
        <f>Config!$B$25&amp;""</f>
        <v/>
      </c>
      <c r="S219" s="37" t="str">
        <f>Config!$B$26&amp;""</f>
        <v/>
      </c>
      <c r="T219" s="37" t="str">
        <f>Config!$B$27&amp;""</f>
        <v/>
      </c>
      <c r="U219" s="37" t="str">
        <f>Config!$B$28&amp;""</f>
        <v/>
      </c>
      <c r="V219" s="37" t="str">
        <f>Config!$B$29&amp;""</f>
        <v/>
      </c>
    </row>
    <row r="220">
      <c r="A220" s="38">
        <v>1</v>
      </c>
      <c r="B220" s="42">
        <f>$B$12</f>
        <v>46296</v>
      </c>
      <c r="C220" s="43" t="str">
        <f>IF(OR($B220="",$A220&gt;$B$9,C$219=""),"",IF(COUNTIFS(BD!$B$3:$B$5001,C$219,BD!$A$3:$A$5001,"&gt;="&amp;$C$7,BD!$A$3:$A$5001,"&lt;="&amp;$B220,BD!$N$3:$N$5001,"&lt;&gt;")=0,"",SUMIFS(BD!$N$3:$N$5001,BD!$B$3:$B$5001,C$219,BD!$A$3:$A$5001,_xlfn.MAXIFS(BD!$A$3:$A$5001,BD!$B$3:$B$5001,C$219,BD!$A$3:$A$5001,"&gt;="&amp;$C$7,BD!$A$3:$A$5001,"&lt;="&amp;$B220,BD!$N$3:$N$5001,"&lt;&gt;"))))</f>
        <v/>
      </c>
      <c r="D220" s="43" t="str">
        <f>IF(OR($B220="",$A220&gt;$B$9,D$219=""),"",IF(COUNTIFS(BD!$B$3:$B$5001,D$219,BD!$A$3:$A$5001,"&gt;="&amp;$C$7,BD!$A$3:$A$5001,"&lt;="&amp;$B220,BD!$N$3:$N$5001,"&lt;&gt;")=0,"",SUMIFS(BD!$N$3:$N$5001,BD!$B$3:$B$5001,D$219,BD!$A$3:$A$5001,_xlfn.MAXIFS(BD!$A$3:$A$5001,BD!$B$3:$B$5001,D$219,BD!$A$3:$A$5001,"&gt;="&amp;$C$7,BD!$A$3:$A$5001,"&lt;="&amp;$B220,BD!$N$3:$N$5001,"&lt;&gt;"))))</f>
        <v/>
      </c>
      <c r="E220" s="43" t="str">
        <f>IF(OR($B220="",$A220&gt;$B$9,E$219=""),"",IF(COUNTIFS(BD!$B$3:$B$5001,E$219,BD!$A$3:$A$5001,"&gt;="&amp;$C$7,BD!$A$3:$A$5001,"&lt;="&amp;$B220,BD!$N$3:$N$5001,"&lt;&gt;")=0,"",SUMIFS(BD!$N$3:$N$5001,BD!$B$3:$B$5001,E$219,BD!$A$3:$A$5001,_xlfn.MAXIFS(BD!$A$3:$A$5001,BD!$B$3:$B$5001,E$219,BD!$A$3:$A$5001,"&gt;="&amp;$C$7,BD!$A$3:$A$5001,"&lt;="&amp;$B220,BD!$N$3:$N$5001,"&lt;&gt;"))))</f>
        <v/>
      </c>
      <c r="F220" s="43" t="str">
        <f>IF(OR($B220="",$A220&gt;$B$9,F$219=""),"",IF(COUNTIFS(BD!$B$3:$B$5001,F$219,BD!$A$3:$A$5001,"&gt;="&amp;$C$7,BD!$A$3:$A$5001,"&lt;="&amp;$B220,BD!$N$3:$N$5001,"&lt;&gt;")=0,"",SUMIFS(BD!$N$3:$N$5001,BD!$B$3:$B$5001,F$219,BD!$A$3:$A$5001,_xlfn.MAXIFS(BD!$A$3:$A$5001,BD!$B$3:$B$5001,F$219,BD!$A$3:$A$5001,"&gt;="&amp;$C$7,BD!$A$3:$A$5001,"&lt;="&amp;$B220,BD!$N$3:$N$5001,"&lt;&gt;"))))</f>
        <v/>
      </c>
      <c r="G220" s="43" t="str">
        <f>IF(OR($B220="",$A220&gt;$B$9,G$219=""),"",IF(COUNTIFS(BD!$B$3:$B$5001,G$219,BD!$A$3:$A$5001,"&gt;="&amp;$C$7,BD!$A$3:$A$5001,"&lt;="&amp;$B220,BD!$N$3:$N$5001,"&lt;&gt;")=0,"",SUMIFS(BD!$N$3:$N$5001,BD!$B$3:$B$5001,G$219,BD!$A$3:$A$5001,_xlfn.MAXIFS(BD!$A$3:$A$5001,BD!$B$3:$B$5001,G$219,BD!$A$3:$A$5001,"&gt;="&amp;$C$7,BD!$A$3:$A$5001,"&lt;="&amp;$B220,BD!$N$3:$N$5001,"&lt;&gt;"))))</f>
        <v/>
      </c>
      <c r="H220" s="43" t="str">
        <f>IF(OR($B220="",$A220&gt;$B$9,H$219=""),"",IF(COUNTIFS(BD!$B$3:$B$5001,H$219,BD!$A$3:$A$5001,"&gt;="&amp;$C$7,BD!$A$3:$A$5001,"&lt;="&amp;$B220,BD!$N$3:$N$5001,"&lt;&gt;")=0,"",SUMIFS(BD!$N$3:$N$5001,BD!$B$3:$B$5001,H$219,BD!$A$3:$A$5001,_xlfn.MAXIFS(BD!$A$3:$A$5001,BD!$B$3:$B$5001,H$219,BD!$A$3:$A$5001,"&gt;="&amp;$C$7,BD!$A$3:$A$5001,"&lt;="&amp;$B220,BD!$N$3:$N$5001,"&lt;&gt;"))))</f>
        <v/>
      </c>
      <c r="I220" s="43" t="str">
        <f>IF(OR($B220="",$A220&gt;$B$9,I$219=""),"",IF(COUNTIFS(BD!$B$3:$B$5001,I$219,BD!$A$3:$A$5001,"&gt;="&amp;$C$7,BD!$A$3:$A$5001,"&lt;="&amp;$B220,BD!$N$3:$N$5001,"&lt;&gt;")=0,"",SUMIFS(BD!$N$3:$N$5001,BD!$B$3:$B$5001,I$219,BD!$A$3:$A$5001,_xlfn.MAXIFS(BD!$A$3:$A$5001,BD!$B$3:$B$5001,I$219,BD!$A$3:$A$5001,"&gt;="&amp;$C$7,BD!$A$3:$A$5001,"&lt;="&amp;$B220,BD!$N$3:$N$5001,"&lt;&gt;"))))</f>
        <v/>
      </c>
      <c r="J220" s="43" t="str">
        <f>IF(OR($B220="",$A220&gt;$B$9,J$219=""),"",IF(COUNTIFS(BD!$B$3:$B$5001,J$219,BD!$A$3:$A$5001,"&gt;="&amp;$C$7,BD!$A$3:$A$5001,"&lt;="&amp;$B220,BD!$N$3:$N$5001,"&lt;&gt;")=0,"",SUMIFS(BD!$N$3:$N$5001,BD!$B$3:$B$5001,J$219,BD!$A$3:$A$5001,_xlfn.MAXIFS(BD!$A$3:$A$5001,BD!$B$3:$B$5001,J$219,BD!$A$3:$A$5001,"&gt;="&amp;$C$7,BD!$A$3:$A$5001,"&lt;="&amp;$B220,BD!$N$3:$N$5001,"&lt;&gt;"))))</f>
        <v/>
      </c>
      <c r="K220" s="43" t="str">
        <f>IF(OR($B220="",$A220&gt;$B$9,K$219=""),"",IF(COUNTIFS(BD!$B$3:$B$5001,K$219,BD!$A$3:$A$5001,"&gt;="&amp;$C$7,BD!$A$3:$A$5001,"&lt;="&amp;$B220,BD!$N$3:$N$5001,"&lt;&gt;")=0,"",SUMIFS(BD!$N$3:$N$5001,BD!$B$3:$B$5001,K$219,BD!$A$3:$A$5001,_xlfn.MAXIFS(BD!$A$3:$A$5001,BD!$B$3:$B$5001,K$219,BD!$A$3:$A$5001,"&gt;="&amp;$C$7,BD!$A$3:$A$5001,"&lt;="&amp;$B220,BD!$N$3:$N$5001,"&lt;&gt;"))))</f>
        <v/>
      </c>
      <c r="L220" s="43" t="str">
        <f>IF(OR($B220="",$A220&gt;$B$9,L$219=""),"",IF(COUNTIFS(BD!$B$3:$B$5001,L$219,BD!$A$3:$A$5001,"&gt;="&amp;$C$7,BD!$A$3:$A$5001,"&lt;="&amp;$B220,BD!$N$3:$N$5001,"&lt;&gt;")=0,"",SUMIFS(BD!$N$3:$N$5001,BD!$B$3:$B$5001,L$219,BD!$A$3:$A$5001,_xlfn.MAXIFS(BD!$A$3:$A$5001,BD!$B$3:$B$5001,L$219,BD!$A$3:$A$5001,"&gt;="&amp;$C$7,BD!$A$3:$A$5001,"&lt;="&amp;$B220,BD!$N$3:$N$5001,"&lt;&gt;"))))</f>
        <v/>
      </c>
      <c r="M220" s="43" t="str">
        <f>IF(OR($B220="",$A220&gt;$B$9,M$219=""),"",IF(COUNTIFS(BD!$B$3:$B$5001,M$219,BD!$A$3:$A$5001,"&gt;="&amp;$C$7,BD!$A$3:$A$5001,"&lt;="&amp;$B220,BD!$N$3:$N$5001,"&lt;&gt;")=0,"",SUMIFS(BD!$N$3:$N$5001,BD!$B$3:$B$5001,M$219,BD!$A$3:$A$5001,_xlfn.MAXIFS(BD!$A$3:$A$5001,BD!$B$3:$B$5001,M$219,BD!$A$3:$A$5001,"&gt;="&amp;$C$7,BD!$A$3:$A$5001,"&lt;="&amp;$B220,BD!$N$3:$N$5001,"&lt;&gt;"))))</f>
        <v/>
      </c>
      <c r="N220" s="43" t="str">
        <f>IF(OR($B220="",$A220&gt;$B$9,N$219=""),"",IF(COUNTIFS(BD!$B$3:$B$5001,N$219,BD!$A$3:$A$5001,"&gt;="&amp;$C$7,BD!$A$3:$A$5001,"&lt;="&amp;$B220,BD!$N$3:$N$5001,"&lt;&gt;")=0,"",SUMIFS(BD!$N$3:$N$5001,BD!$B$3:$B$5001,N$219,BD!$A$3:$A$5001,_xlfn.MAXIFS(BD!$A$3:$A$5001,BD!$B$3:$B$5001,N$219,BD!$A$3:$A$5001,"&gt;="&amp;$C$7,BD!$A$3:$A$5001,"&lt;="&amp;$B220,BD!$N$3:$N$5001,"&lt;&gt;"))))</f>
        <v/>
      </c>
      <c r="O220" s="43" t="str">
        <f>IF(OR($B220="",$A220&gt;$B$9,O$219=""),"",IF(COUNTIFS(BD!$B$3:$B$5001,O$219,BD!$A$3:$A$5001,"&gt;="&amp;$C$7,BD!$A$3:$A$5001,"&lt;="&amp;$B220,BD!$N$3:$N$5001,"&lt;&gt;")=0,"",SUMIFS(BD!$N$3:$N$5001,BD!$B$3:$B$5001,O$219,BD!$A$3:$A$5001,_xlfn.MAXIFS(BD!$A$3:$A$5001,BD!$B$3:$B$5001,O$219,BD!$A$3:$A$5001,"&gt;="&amp;$C$7,BD!$A$3:$A$5001,"&lt;="&amp;$B220,BD!$N$3:$N$5001,"&lt;&gt;"))))</f>
        <v/>
      </c>
      <c r="P220" s="43" t="str">
        <f>IF(OR($B220="",$A220&gt;$B$9,P$219=""),"",IF(COUNTIFS(BD!$B$3:$B$5001,P$219,BD!$A$3:$A$5001,"&gt;="&amp;$C$7,BD!$A$3:$A$5001,"&lt;="&amp;$B220,BD!$N$3:$N$5001,"&lt;&gt;")=0,"",SUMIFS(BD!$N$3:$N$5001,BD!$B$3:$B$5001,P$219,BD!$A$3:$A$5001,_xlfn.MAXIFS(BD!$A$3:$A$5001,BD!$B$3:$B$5001,P$219,BD!$A$3:$A$5001,"&gt;="&amp;$C$7,BD!$A$3:$A$5001,"&lt;="&amp;$B220,BD!$N$3:$N$5001,"&lt;&gt;"))))</f>
        <v/>
      </c>
      <c r="Q220" s="43" t="str">
        <f>IF(OR($B220="",$A220&gt;$B$9,Q$219=""),"",IF(COUNTIFS(BD!$B$3:$B$5001,Q$219,BD!$A$3:$A$5001,"&gt;="&amp;$C$7,BD!$A$3:$A$5001,"&lt;="&amp;$B220,BD!$N$3:$N$5001,"&lt;&gt;")=0,"",SUMIFS(BD!$N$3:$N$5001,BD!$B$3:$B$5001,Q$219,BD!$A$3:$A$5001,_xlfn.MAXIFS(BD!$A$3:$A$5001,BD!$B$3:$B$5001,Q$219,BD!$A$3:$A$5001,"&gt;="&amp;$C$7,BD!$A$3:$A$5001,"&lt;="&amp;$B220,BD!$N$3:$N$5001,"&lt;&gt;"))))</f>
        <v/>
      </c>
      <c r="R220" s="43" t="str">
        <f>IF(OR($B220="",$A220&gt;$B$9,R$219=""),"",IF(COUNTIFS(BD!$B$3:$B$5001,R$219,BD!$A$3:$A$5001,"&gt;="&amp;$C$7,BD!$A$3:$A$5001,"&lt;="&amp;$B220,BD!$N$3:$N$5001,"&lt;&gt;")=0,"",SUMIFS(BD!$N$3:$N$5001,BD!$B$3:$B$5001,R$219,BD!$A$3:$A$5001,_xlfn.MAXIFS(BD!$A$3:$A$5001,BD!$B$3:$B$5001,R$219,BD!$A$3:$A$5001,"&gt;="&amp;$C$7,BD!$A$3:$A$5001,"&lt;="&amp;$B220,BD!$N$3:$N$5001,"&lt;&gt;"))))</f>
        <v/>
      </c>
      <c r="S220" s="43" t="str">
        <f>IF(OR($B220="",$A220&gt;$B$9,S$219=""),"",IF(COUNTIFS(BD!$B$3:$B$5001,S$219,BD!$A$3:$A$5001,"&gt;="&amp;$C$7,BD!$A$3:$A$5001,"&lt;="&amp;$B220,BD!$N$3:$N$5001,"&lt;&gt;")=0,"",SUMIFS(BD!$N$3:$N$5001,BD!$B$3:$B$5001,S$219,BD!$A$3:$A$5001,_xlfn.MAXIFS(BD!$A$3:$A$5001,BD!$B$3:$B$5001,S$219,BD!$A$3:$A$5001,"&gt;="&amp;$C$7,BD!$A$3:$A$5001,"&lt;="&amp;$B220,BD!$N$3:$N$5001,"&lt;&gt;"))))</f>
        <v/>
      </c>
      <c r="T220" s="43" t="str">
        <f>IF(OR($B220="",$A220&gt;$B$9,T$219=""),"",IF(COUNTIFS(BD!$B$3:$B$5001,T$219,BD!$A$3:$A$5001,"&gt;="&amp;$C$7,BD!$A$3:$A$5001,"&lt;="&amp;$B220,BD!$N$3:$N$5001,"&lt;&gt;")=0,"",SUMIFS(BD!$N$3:$N$5001,BD!$B$3:$B$5001,T$219,BD!$A$3:$A$5001,_xlfn.MAXIFS(BD!$A$3:$A$5001,BD!$B$3:$B$5001,T$219,BD!$A$3:$A$5001,"&gt;="&amp;$C$7,BD!$A$3:$A$5001,"&lt;="&amp;$B220,BD!$N$3:$N$5001,"&lt;&gt;"))))</f>
        <v/>
      </c>
      <c r="U220" s="43" t="str">
        <f>IF(OR($B220="",$A220&gt;$B$9,U$219=""),"",IF(COUNTIFS(BD!$B$3:$B$5001,U$219,BD!$A$3:$A$5001,"&gt;="&amp;$C$7,BD!$A$3:$A$5001,"&lt;="&amp;$B220,BD!$N$3:$N$5001,"&lt;&gt;")=0,"",SUMIFS(BD!$N$3:$N$5001,BD!$B$3:$B$5001,U$219,BD!$A$3:$A$5001,_xlfn.MAXIFS(BD!$A$3:$A$5001,BD!$B$3:$B$5001,U$219,BD!$A$3:$A$5001,"&gt;="&amp;$C$7,BD!$A$3:$A$5001,"&lt;="&amp;$B220,BD!$N$3:$N$5001,"&lt;&gt;"))))</f>
        <v/>
      </c>
      <c r="V220" s="43" t="str">
        <f>IF(OR($B220="",$A220&gt;$B$9,V$219=""),"",IF(COUNTIFS(BD!$B$3:$B$5001,V$219,BD!$A$3:$A$5001,"&gt;="&amp;$C$7,BD!$A$3:$A$5001,"&lt;="&amp;$B220,BD!$N$3:$N$5001,"&lt;&gt;")=0,"",SUMIFS(BD!$N$3:$N$5001,BD!$B$3:$B$5001,V$219,BD!$A$3:$A$5001,_xlfn.MAXIFS(BD!$A$3:$A$5001,BD!$B$3:$B$5001,V$219,BD!$A$3:$A$5001,"&gt;="&amp;$C$7,BD!$A$3:$A$5001,"&lt;="&amp;$B220,BD!$N$3:$N$5001,"&lt;&gt;"))))</f>
        <v/>
      </c>
    </row>
    <row r="221">
      <c r="A221" s="38">
        <v>2</v>
      </c>
      <c r="B221" s="42">
        <f>$B$13</f>
        <v>46297</v>
      </c>
      <c r="C221" s="43" t="str">
        <f>IF(OR($B221="",$A221&gt;$B$9,C$219=""),"",IF(COUNTIFS(BD!$B$3:$B$5001,C$219,BD!$A$3:$A$5001,"&gt;="&amp;$C$7,BD!$A$3:$A$5001,"&lt;="&amp;$B221,BD!$N$3:$N$5001,"&lt;&gt;")=0,"",SUMIFS(BD!$N$3:$N$5001,BD!$B$3:$B$5001,C$219,BD!$A$3:$A$5001,_xlfn.MAXIFS(BD!$A$3:$A$5001,BD!$B$3:$B$5001,C$219,BD!$A$3:$A$5001,"&gt;="&amp;$C$7,BD!$A$3:$A$5001,"&lt;="&amp;$B221,BD!$N$3:$N$5001,"&lt;&gt;"))))</f>
        <v/>
      </c>
      <c r="D221" s="43" t="str">
        <f>IF(OR($B221="",$A221&gt;$B$9,D$219=""),"",IF(COUNTIFS(BD!$B$3:$B$5001,D$219,BD!$A$3:$A$5001,"&gt;="&amp;$C$7,BD!$A$3:$A$5001,"&lt;="&amp;$B221,BD!$N$3:$N$5001,"&lt;&gt;")=0,"",SUMIFS(BD!$N$3:$N$5001,BD!$B$3:$B$5001,D$219,BD!$A$3:$A$5001,_xlfn.MAXIFS(BD!$A$3:$A$5001,BD!$B$3:$B$5001,D$219,BD!$A$3:$A$5001,"&gt;="&amp;$C$7,BD!$A$3:$A$5001,"&lt;="&amp;$B221,BD!$N$3:$N$5001,"&lt;&gt;"))))</f>
        <v/>
      </c>
      <c r="E221" s="43" t="str">
        <f>IF(OR($B221="",$A221&gt;$B$9,E$219=""),"",IF(COUNTIFS(BD!$B$3:$B$5001,E$219,BD!$A$3:$A$5001,"&gt;="&amp;$C$7,BD!$A$3:$A$5001,"&lt;="&amp;$B221,BD!$N$3:$N$5001,"&lt;&gt;")=0,"",SUMIFS(BD!$N$3:$N$5001,BD!$B$3:$B$5001,E$219,BD!$A$3:$A$5001,_xlfn.MAXIFS(BD!$A$3:$A$5001,BD!$B$3:$B$5001,E$219,BD!$A$3:$A$5001,"&gt;="&amp;$C$7,BD!$A$3:$A$5001,"&lt;="&amp;$B221,BD!$N$3:$N$5001,"&lt;&gt;"))))</f>
        <v/>
      </c>
      <c r="F221" s="43" t="str">
        <f>IF(OR($B221="",$A221&gt;$B$9,F$219=""),"",IF(COUNTIFS(BD!$B$3:$B$5001,F$219,BD!$A$3:$A$5001,"&gt;="&amp;$C$7,BD!$A$3:$A$5001,"&lt;="&amp;$B221,BD!$N$3:$N$5001,"&lt;&gt;")=0,"",SUMIFS(BD!$N$3:$N$5001,BD!$B$3:$B$5001,F$219,BD!$A$3:$A$5001,_xlfn.MAXIFS(BD!$A$3:$A$5001,BD!$B$3:$B$5001,F$219,BD!$A$3:$A$5001,"&gt;="&amp;$C$7,BD!$A$3:$A$5001,"&lt;="&amp;$B221,BD!$N$3:$N$5001,"&lt;&gt;"))))</f>
        <v/>
      </c>
      <c r="G221" s="43" t="str">
        <f>IF(OR($B221="",$A221&gt;$B$9,G$219=""),"",IF(COUNTIFS(BD!$B$3:$B$5001,G$219,BD!$A$3:$A$5001,"&gt;="&amp;$C$7,BD!$A$3:$A$5001,"&lt;="&amp;$B221,BD!$N$3:$N$5001,"&lt;&gt;")=0,"",SUMIFS(BD!$N$3:$N$5001,BD!$B$3:$B$5001,G$219,BD!$A$3:$A$5001,_xlfn.MAXIFS(BD!$A$3:$A$5001,BD!$B$3:$B$5001,G$219,BD!$A$3:$A$5001,"&gt;="&amp;$C$7,BD!$A$3:$A$5001,"&lt;="&amp;$B221,BD!$N$3:$N$5001,"&lt;&gt;"))))</f>
        <v/>
      </c>
      <c r="H221" s="43" t="str">
        <f>IF(OR($B221="",$A221&gt;$B$9,H$219=""),"",IF(COUNTIFS(BD!$B$3:$B$5001,H$219,BD!$A$3:$A$5001,"&gt;="&amp;$C$7,BD!$A$3:$A$5001,"&lt;="&amp;$B221,BD!$N$3:$N$5001,"&lt;&gt;")=0,"",SUMIFS(BD!$N$3:$N$5001,BD!$B$3:$B$5001,H$219,BD!$A$3:$A$5001,_xlfn.MAXIFS(BD!$A$3:$A$5001,BD!$B$3:$B$5001,H$219,BD!$A$3:$A$5001,"&gt;="&amp;$C$7,BD!$A$3:$A$5001,"&lt;="&amp;$B221,BD!$N$3:$N$5001,"&lt;&gt;"))))</f>
        <v/>
      </c>
      <c r="I221" s="43" t="str">
        <f>IF(OR($B221="",$A221&gt;$B$9,I$219=""),"",IF(COUNTIFS(BD!$B$3:$B$5001,I$219,BD!$A$3:$A$5001,"&gt;="&amp;$C$7,BD!$A$3:$A$5001,"&lt;="&amp;$B221,BD!$N$3:$N$5001,"&lt;&gt;")=0,"",SUMIFS(BD!$N$3:$N$5001,BD!$B$3:$B$5001,I$219,BD!$A$3:$A$5001,_xlfn.MAXIFS(BD!$A$3:$A$5001,BD!$B$3:$B$5001,I$219,BD!$A$3:$A$5001,"&gt;="&amp;$C$7,BD!$A$3:$A$5001,"&lt;="&amp;$B221,BD!$N$3:$N$5001,"&lt;&gt;"))))</f>
        <v/>
      </c>
      <c r="J221" s="43" t="str">
        <f>IF(OR($B221="",$A221&gt;$B$9,J$219=""),"",IF(COUNTIFS(BD!$B$3:$B$5001,J$219,BD!$A$3:$A$5001,"&gt;="&amp;$C$7,BD!$A$3:$A$5001,"&lt;="&amp;$B221,BD!$N$3:$N$5001,"&lt;&gt;")=0,"",SUMIFS(BD!$N$3:$N$5001,BD!$B$3:$B$5001,J$219,BD!$A$3:$A$5001,_xlfn.MAXIFS(BD!$A$3:$A$5001,BD!$B$3:$B$5001,J$219,BD!$A$3:$A$5001,"&gt;="&amp;$C$7,BD!$A$3:$A$5001,"&lt;="&amp;$B221,BD!$N$3:$N$5001,"&lt;&gt;"))))</f>
        <v/>
      </c>
      <c r="K221" s="43" t="str">
        <f>IF(OR($B221="",$A221&gt;$B$9,K$219=""),"",IF(COUNTIFS(BD!$B$3:$B$5001,K$219,BD!$A$3:$A$5001,"&gt;="&amp;$C$7,BD!$A$3:$A$5001,"&lt;="&amp;$B221,BD!$N$3:$N$5001,"&lt;&gt;")=0,"",SUMIFS(BD!$N$3:$N$5001,BD!$B$3:$B$5001,K$219,BD!$A$3:$A$5001,_xlfn.MAXIFS(BD!$A$3:$A$5001,BD!$B$3:$B$5001,K$219,BD!$A$3:$A$5001,"&gt;="&amp;$C$7,BD!$A$3:$A$5001,"&lt;="&amp;$B221,BD!$N$3:$N$5001,"&lt;&gt;"))))</f>
        <v/>
      </c>
      <c r="L221" s="43" t="str">
        <f>IF(OR($B221="",$A221&gt;$B$9,L$219=""),"",IF(COUNTIFS(BD!$B$3:$B$5001,L$219,BD!$A$3:$A$5001,"&gt;="&amp;$C$7,BD!$A$3:$A$5001,"&lt;="&amp;$B221,BD!$N$3:$N$5001,"&lt;&gt;")=0,"",SUMIFS(BD!$N$3:$N$5001,BD!$B$3:$B$5001,L$219,BD!$A$3:$A$5001,_xlfn.MAXIFS(BD!$A$3:$A$5001,BD!$B$3:$B$5001,L$219,BD!$A$3:$A$5001,"&gt;="&amp;$C$7,BD!$A$3:$A$5001,"&lt;="&amp;$B221,BD!$N$3:$N$5001,"&lt;&gt;"))))</f>
        <v/>
      </c>
      <c r="M221" s="43" t="str">
        <f>IF(OR($B221="",$A221&gt;$B$9,M$219=""),"",IF(COUNTIFS(BD!$B$3:$B$5001,M$219,BD!$A$3:$A$5001,"&gt;="&amp;$C$7,BD!$A$3:$A$5001,"&lt;="&amp;$B221,BD!$N$3:$N$5001,"&lt;&gt;")=0,"",SUMIFS(BD!$N$3:$N$5001,BD!$B$3:$B$5001,M$219,BD!$A$3:$A$5001,_xlfn.MAXIFS(BD!$A$3:$A$5001,BD!$B$3:$B$5001,M$219,BD!$A$3:$A$5001,"&gt;="&amp;$C$7,BD!$A$3:$A$5001,"&lt;="&amp;$B221,BD!$N$3:$N$5001,"&lt;&gt;"))))</f>
        <v/>
      </c>
      <c r="N221" s="43" t="str">
        <f>IF(OR($B221="",$A221&gt;$B$9,N$219=""),"",IF(COUNTIFS(BD!$B$3:$B$5001,N$219,BD!$A$3:$A$5001,"&gt;="&amp;$C$7,BD!$A$3:$A$5001,"&lt;="&amp;$B221,BD!$N$3:$N$5001,"&lt;&gt;")=0,"",SUMIFS(BD!$N$3:$N$5001,BD!$B$3:$B$5001,N$219,BD!$A$3:$A$5001,_xlfn.MAXIFS(BD!$A$3:$A$5001,BD!$B$3:$B$5001,N$219,BD!$A$3:$A$5001,"&gt;="&amp;$C$7,BD!$A$3:$A$5001,"&lt;="&amp;$B221,BD!$N$3:$N$5001,"&lt;&gt;"))))</f>
        <v/>
      </c>
      <c r="O221" s="43" t="str">
        <f>IF(OR($B221="",$A221&gt;$B$9,O$219=""),"",IF(COUNTIFS(BD!$B$3:$B$5001,O$219,BD!$A$3:$A$5001,"&gt;="&amp;$C$7,BD!$A$3:$A$5001,"&lt;="&amp;$B221,BD!$N$3:$N$5001,"&lt;&gt;")=0,"",SUMIFS(BD!$N$3:$N$5001,BD!$B$3:$B$5001,O$219,BD!$A$3:$A$5001,_xlfn.MAXIFS(BD!$A$3:$A$5001,BD!$B$3:$B$5001,O$219,BD!$A$3:$A$5001,"&gt;="&amp;$C$7,BD!$A$3:$A$5001,"&lt;="&amp;$B221,BD!$N$3:$N$5001,"&lt;&gt;"))))</f>
        <v/>
      </c>
      <c r="P221" s="43" t="str">
        <f>IF(OR($B221="",$A221&gt;$B$9,P$219=""),"",IF(COUNTIFS(BD!$B$3:$B$5001,P$219,BD!$A$3:$A$5001,"&gt;="&amp;$C$7,BD!$A$3:$A$5001,"&lt;="&amp;$B221,BD!$N$3:$N$5001,"&lt;&gt;")=0,"",SUMIFS(BD!$N$3:$N$5001,BD!$B$3:$B$5001,P$219,BD!$A$3:$A$5001,_xlfn.MAXIFS(BD!$A$3:$A$5001,BD!$B$3:$B$5001,P$219,BD!$A$3:$A$5001,"&gt;="&amp;$C$7,BD!$A$3:$A$5001,"&lt;="&amp;$B221,BD!$N$3:$N$5001,"&lt;&gt;"))))</f>
        <v/>
      </c>
      <c r="Q221" s="43" t="str">
        <f>IF(OR($B221="",$A221&gt;$B$9,Q$219=""),"",IF(COUNTIFS(BD!$B$3:$B$5001,Q$219,BD!$A$3:$A$5001,"&gt;="&amp;$C$7,BD!$A$3:$A$5001,"&lt;="&amp;$B221,BD!$N$3:$N$5001,"&lt;&gt;")=0,"",SUMIFS(BD!$N$3:$N$5001,BD!$B$3:$B$5001,Q$219,BD!$A$3:$A$5001,_xlfn.MAXIFS(BD!$A$3:$A$5001,BD!$B$3:$B$5001,Q$219,BD!$A$3:$A$5001,"&gt;="&amp;$C$7,BD!$A$3:$A$5001,"&lt;="&amp;$B221,BD!$N$3:$N$5001,"&lt;&gt;"))))</f>
        <v/>
      </c>
      <c r="R221" s="43" t="str">
        <f>IF(OR($B221="",$A221&gt;$B$9,R$219=""),"",IF(COUNTIFS(BD!$B$3:$B$5001,R$219,BD!$A$3:$A$5001,"&gt;="&amp;$C$7,BD!$A$3:$A$5001,"&lt;="&amp;$B221,BD!$N$3:$N$5001,"&lt;&gt;")=0,"",SUMIFS(BD!$N$3:$N$5001,BD!$B$3:$B$5001,R$219,BD!$A$3:$A$5001,_xlfn.MAXIFS(BD!$A$3:$A$5001,BD!$B$3:$B$5001,R$219,BD!$A$3:$A$5001,"&gt;="&amp;$C$7,BD!$A$3:$A$5001,"&lt;="&amp;$B221,BD!$N$3:$N$5001,"&lt;&gt;"))))</f>
        <v/>
      </c>
      <c r="S221" s="43" t="str">
        <f>IF(OR($B221="",$A221&gt;$B$9,S$219=""),"",IF(COUNTIFS(BD!$B$3:$B$5001,S$219,BD!$A$3:$A$5001,"&gt;="&amp;$C$7,BD!$A$3:$A$5001,"&lt;="&amp;$B221,BD!$N$3:$N$5001,"&lt;&gt;")=0,"",SUMIFS(BD!$N$3:$N$5001,BD!$B$3:$B$5001,S$219,BD!$A$3:$A$5001,_xlfn.MAXIFS(BD!$A$3:$A$5001,BD!$B$3:$B$5001,S$219,BD!$A$3:$A$5001,"&gt;="&amp;$C$7,BD!$A$3:$A$5001,"&lt;="&amp;$B221,BD!$N$3:$N$5001,"&lt;&gt;"))))</f>
        <v/>
      </c>
      <c r="T221" s="43" t="str">
        <f>IF(OR($B221="",$A221&gt;$B$9,T$219=""),"",IF(COUNTIFS(BD!$B$3:$B$5001,T$219,BD!$A$3:$A$5001,"&gt;="&amp;$C$7,BD!$A$3:$A$5001,"&lt;="&amp;$B221,BD!$N$3:$N$5001,"&lt;&gt;")=0,"",SUMIFS(BD!$N$3:$N$5001,BD!$B$3:$B$5001,T$219,BD!$A$3:$A$5001,_xlfn.MAXIFS(BD!$A$3:$A$5001,BD!$B$3:$B$5001,T$219,BD!$A$3:$A$5001,"&gt;="&amp;$C$7,BD!$A$3:$A$5001,"&lt;="&amp;$B221,BD!$N$3:$N$5001,"&lt;&gt;"))))</f>
        <v/>
      </c>
      <c r="U221" s="43" t="str">
        <f>IF(OR($B221="",$A221&gt;$B$9,U$219=""),"",IF(COUNTIFS(BD!$B$3:$B$5001,U$219,BD!$A$3:$A$5001,"&gt;="&amp;$C$7,BD!$A$3:$A$5001,"&lt;="&amp;$B221,BD!$N$3:$N$5001,"&lt;&gt;")=0,"",SUMIFS(BD!$N$3:$N$5001,BD!$B$3:$B$5001,U$219,BD!$A$3:$A$5001,_xlfn.MAXIFS(BD!$A$3:$A$5001,BD!$B$3:$B$5001,U$219,BD!$A$3:$A$5001,"&gt;="&amp;$C$7,BD!$A$3:$A$5001,"&lt;="&amp;$B221,BD!$N$3:$N$5001,"&lt;&gt;"))))</f>
        <v/>
      </c>
      <c r="V221" s="43" t="str">
        <f>IF(OR($B221="",$A221&gt;$B$9,V$219=""),"",IF(COUNTIFS(BD!$B$3:$B$5001,V$219,BD!$A$3:$A$5001,"&gt;="&amp;$C$7,BD!$A$3:$A$5001,"&lt;="&amp;$B221,BD!$N$3:$N$5001,"&lt;&gt;")=0,"",SUMIFS(BD!$N$3:$N$5001,BD!$B$3:$B$5001,V$219,BD!$A$3:$A$5001,_xlfn.MAXIFS(BD!$A$3:$A$5001,BD!$B$3:$B$5001,V$219,BD!$A$3:$A$5001,"&gt;="&amp;$C$7,BD!$A$3:$A$5001,"&lt;="&amp;$B221,BD!$N$3:$N$5001,"&lt;&gt;"))))</f>
        <v/>
      </c>
    </row>
    <row r="222">
      <c r="A222" s="38">
        <v>3</v>
      </c>
      <c r="B222" s="42">
        <f>$B$14</f>
        <v>46298</v>
      </c>
      <c r="C222" s="43" t="str">
        <f>IF(OR($B222="",$A222&gt;$B$9,C$219=""),"",IF(COUNTIFS(BD!$B$3:$B$5001,C$219,BD!$A$3:$A$5001,"&gt;="&amp;$C$7,BD!$A$3:$A$5001,"&lt;="&amp;$B222,BD!$N$3:$N$5001,"&lt;&gt;")=0,"",SUMIFS(BD!$N$3:$N$5001,BD!$B$3:$B$5001,C$219,BD!$A$3:$A$5001,_xlfn.MAXIFS(BD!$A$3:$A$5001,BD!$B$3:$B$5001,C$219,BD!$A$3:$A$5001,"&gt;="&amp;$C$7,BD!$A$3:$A$5001,"&lt;="&amp;$B222,BD!$N$3:$N$5001,"&lt;&gt;"))))</f>
        <v/>
      </c>
      <c r="D222" s="43" t="str">
        <f>IF(OR($B222="",$A222&gt;$B$9,D$219=""),"",IF(COUNTIFS(BD!$B$3:$B$5001,D$219,BD!$A$3:$A$5001,"&gt;="&amp;$C$7,BD!$A$3:$A$5001,"&lt;="&amp;$B222,BD!$N$3:$N$5001,"&lt;&gt;")=0,"",SUMIFS(BD!$N$3:$N$5001,BD!$B$3:$B$5001,D$219,BD!$A$3:$A$5001,_xlfn.MAXIFS(BD!$A$3:$A$5001,BD!$B$3:$B$5001,D$219,BD!$A$3:$A$5001,"&gt;="&amp;$C$7,BD!$A$3:$A$5001,"&lt;="&amp;$B222,BD!$N$3:$N$5001,"&lt;&gt;"))))</f>
        <v/>
      </c>
      <c r="E222" s="43" t="str">
        <f>IF(OR($B222="",$A222&gt;$B$9,E$219=""),"",IF(COUNTIFS(BD!$B$3:$B$5001,E$219,BD!$A$3:$A$5001,"&gt;="&amp;$C$7,BD!$A$3:$A$5001,"&lt;="&amp;$B222,BD!$N$3:$N$5001,"&lt;&gt;")=0,"",SUMIFS(BD!$N$3:$N$5001,BD!$B$3:$B$5001,E$219,BD!$A$3:$A$5001,_xlfn.MAXIFS(BD!$A$3:$A$5001,BD!$B$3:$B$5001,E$219,BD!$A$3:$A$5001,"&gt;="&amp;$C$7,BD!$A$3:$A$5001,"&lt;="&amp;$B222,BD!$N$3:$N$5001,"&lt;&gt;"))))</f>
        <v/>
      </c>
      <c r="F222" s="43" t="str">
        <f>IF(OR($B222="",$A222&gt;$B$9,F$219=""),"",IF(COUNTIFS(BD!$B$3:$B$5001,F$219,BD!$A$3:$A$5001,"&gt;="&amp;$C$7,BD!$A$3:$A$5001,"&lt;="&amp;$B222,BD!$N$3:$N$5001,"&lt;&gt;")=0,"",SUMIFS(BD!$N$3:$N$5001,BD!$B$3:$B$5001,F$219,BD!$A$3:$A$5001,_xlfn.MAXIFS(BD!$A$3:$A$5001,BD!$B$3:$B$5001,F$219,BD!$A$3:$A$5001,"&gt;="&amp;$C$7,BD!$A$3:$A$5001,"&lt;="&amp;$B222,BD!$N$3:$N$5001,"&lt;&gt;"))))</f>
        <v/>
      </c>
      <c r="G222" s="43" t="str">
        <f>IF(OR($B222="",$A222&gt;$B$9,G$219=""),"",IF(COUNTIFS(BD!$B$3:$B$5001,G$219,BD!$A$3:$A$5001,"&gt;="&amp;$C$7,BD!$A$3:$A$5001,"&lt;="&amp;$B222,BD!$N$3:$N$5001,"&lt;&gt;")=0,"",SUMIFS(BD!$N$3:$N$5001,BD!$B$3:$B$5001,G$219,BD!$A$3:$A$5001,_xlfn.MAXIFS(BD!$A$3:$A$5001,BD!$B$3:$B$5001,G$219,BD!$A$3:$A$5001,"&gt;="&amp;$C$7,BD!$A$3:$A$5001,"&lt;="&amp;$B222,BD!$N$3:$N$5001,"&lt;&gt;"))))</f>
        <v/>
      </c>
      <c r="H222" s="43" t="str">
        <f>IF(OR($B222="",$A222&gt;$B$9,H$219=""),"",IF(COUNTIFS(BD!$B$3:$B$5001,H$219,BD!$A$3:$A$5001,"&gt;="&amp;$C$7,BD!$A$3:$A$5001,"&lt;="&amp;$B222,BD!$N$3:$N$5001,"&lt;&gt;")=0,"",SUMIFS(BD!$N$3:$N$5001,BD!$B$3:$B$5001,H$219,BD!$A$3:$A$5001,_xlfn.MAXIFS(BD!$A$3:$A$5001,BD!$B$3:$B$5001,H$219,BD!$A$3:$A$5001,"&gt;="&amp;$C$7,BD!$A$3:$A$5001,"&lt;="&amp;$B222,BD!$N$3:$N$5001,"&lt;&gt;"))))</f>
        <v/>
      </c>
      <c r="I222" s="43" t="str">
        <f>IF(OR($B222="",$A222&gt;$B$9,I$219=""),"",IF(COUNTIFS(BD!$B$3:$B$5001,I$219,BD!$A$3:$A$5001,"&gt;="&amp;$C$7,BD!$A$3:$A$5001,"&lt;="&amp;$B222,BD!$N$3:$N$5001,"&lt;&gt;")=0,"",SUMIFS(BD!$N$3:$N$5001,BD!$B$3:$B$5001,I$219,BD!$A$3:$A$5001,_xlfn.MAXIFS(BD!$A$3:$A$5001,BD!$B$3:$B$5001,I$219,BD!$A$3:$A$5001,"&gt;="&amp;$C$7,BD!$A$3:$A$5001,"&lt;="&amp;$B222,BD!$N$3:$N$5001,"&lt;&gt;"))))</f>
        <v/>
      </c>
      <c r="J222" s="43" t="str">
        <f>IF(OR($B222="",$A222&gt;$B$9,J$219=""),"",IF(COUNTIFS(BD!$B$3:$B$5001,J$219,BD!$A$3:$A$5001,"&gt;="&amp;$C$7,BD!$A$3:$A$5001,"&lt;="&amp;$B222,BD!$N$3:$N$5001,"&lt;&gt;")=0,"",SUMIFS(BD!$N$3:$N$5001,BD!$B$3:$B$5001,J$219,BD!$A$3:$A$5001,_xlfn.MAXIFS(BD!$A$3:$A$5001,BD!$B$3:$B$5001,J$219,BD!$A$3:$A$5001,"&gt;="&amp;$C$7,BD!$A$3:$A$5001,"&lt;="&amp;$B222,BD!$N$3:$N$5001,"&lt;&gt;"))))</f>
        <v/>
      </c>
      <c r="K222" s="43" t="str">
        <f>IF(OR($B222="",$A222&gt;$B$9,K$219=""),"",IF(COUNTIFS(BD!$B$3:$B$5001,K$219,BD!$A$3:$A$5001,"&gt;="&amp;$C$7,BD!$A$3:$A$5001,"&lt;="&amp;$B222,BD!$N$3:$N$5001,"&lt;&gt;")=0,"",SUMIFS(BD!$N$3:$N$5001,BD!$B$3:$B$5001,K$219,BD!$A$3:$A$5001,_xlfn.MAXIFS(BD!$A$3:$A$5001,BD!$B$3:$B$5001,K$219,BD!$A$3:$A$5001,"&gt;="&amp;$C$7,BD!$A$3:$A$5001,"&lt;="&amp;$B222,BD!$N$3:$N$5001,"&lt;&gt;"))))</f>
        <v/>
      </c>
      <c r="L222" s="43" t="str">
        <f>IF(OR($B222="",$A222&gt;$B$9,L$219=""),"",IF(COUNTIFS(BD!$B$3:$B$5001,L$219,BD!$A$3:$A$5001,"&gt;="&amp;$C$7,BD!$A$3:$A$5001,"&lt;="&amp;$B222,BD!$N$3:$N$5001,"&lt;&gt;")=0,"",SUMIFS(BD!$N$3:$N$5001,BD!$B$3:$B$5001,L$219,BD!$A$3:$A$5001,_xlfn.MAXIFS(BD!$A$3:$A$5001,BD!$B$3:$B$5001,L$219,BD!$A$3:$A$5001,"&gt;="&amp;$C$7,BD!$A$3:$A$5001,"&lt;="&amp;$B222,BD!$N$3:$N$5001,"&lt;&gt;"))))</f>
        <v/>
      </c>
      <c r="M222" s="43" t="str">
        <f>IF(OR($B222="",$A222&gt;$B$9,M$219=""),"",IF(COUNTIFS(BD!$B$3:$B$5001,M$219,BD!$A$3:$A$5001,"&gt;="&amp;$C$7,BD!$A$3:$A$5001,"&lt;="&amp;$B222,BD!$N$3:$N$5001,"&lt;&gt;")=0,"",SUMIFS(BD!$N$3:$N$5001,BD!$B$3:$B$5001,M$219,BD!$A$3:$A$5001,_xlfn.MAXIFS(BD!$A$3:$A$5001,BD!$B$3:$B$5001,M$219,BD!$A$3:$A$5001,"&gt;="&amp;$C$7,BD!$A$3:$A$5001,"&lt;="&amp;$B222,BD!$N$3:$N$5001,"&lt;&gt;"))))</f>
        <v/>
      </c>
      <c r="N222" s="43" t="str">
        <f>IF(OR($B222="",$A222&gt;$B$9,N$219=""),"",IF(COUNTIFS(BD!$B$3:$B$5001,N$219,BD!$A$3:$A$5001,"&gt;="&amp;$C$7,BD!$A$3:$A$5001,"&lt;="&amp;$B222,BD!$N$3:$N$5001,"&lt;&gt;")=0,"",SUMIFS(BD!$N$3:$N$5001,BD!$B$3:$B$5001,N$219,BD!$A$3:$A$5001,_xlfn.MAXIFS(BD!$A$3:$A$5001,BD!$B$3:$B$5001,N$219,BD!$A$3:$A$5001,"&gt;="&amp;$C$7,BD!$A$3:$A$5001,"&lt;="&amp;$B222,BD!$N$3:$N$5001,"&lt;&gt;"))))</f>
        <v/>
      </c>
      <c r="O222" s="43" t="str">
        <f>IF(OR($B222="",$A222&gt;$B$9,O$219=""),"",IF(COUNTIFS(BD!$B$3:$B$5001,O$219,BD!$A$3:$A$5001,"&gt;="&amp;$C$7,BD!$A$3:$A$5001,"&lt;="&amp;$B222,BD!$N$3:$N$5001,"&lt;&gt;")=0,"",SUMIFS(BD!$N$3:$N$5001,BD!$B$3:$B$5001,O$219,BD!$A$3:$A$5001,_xlfn.MAXIFS(BD!$A$3:$A$5001,BD!$B$3:$B$5001,O$219,BD!$A$3:$A$5001,"&gt;="&amp;$C$7,BD!$A$3:$A$5001,"&lt;="&amp;$B222,BD!$N$3:$N$5001,"&lt;&gt;"))))</f>
        <v/>
      </c>
      <c r="P222" s="43" t="str">
        <f>IF(OR($B222="",$A222&gt;$B$9,P$219=""),"",IF(COUNTIFS(BD!$B$3:$B$5001,P$219,BD!$A$3:$A$5001,"&gt;="&amp;$C$7,BD!$A$3:$A$5001,"&lt;="&amp;$B222,BD!$N$3:$N$5001,"&lt;&gt;")=0,"",SUMIFS(BD!$N$3:$N$5001,BD!$B$3:$B$5001,P$219,BD!$A$3:$A$5001,_xlfn.MAXIFS(BD!$A$3:$A$5001,BD!$B$3:$B$5001,P$219,BD!$A$3:$A$5001,"&gt;="&amp;$C$7,BD!$A$3:$A$5001,"&lt;="&amp;$B222,BD!$N$3:$N$5001,"&lt;&gt;"))))</f>
        <v/>
      </c>
      <c r="Q222" s="43" t="str">
        <f>IF(OR($B222="",$A222&gt;$B$9,Q$219=""),"",IF(COUNTIFS(BD!$B$3:$B$5001,Q$219,BD!$A$3:$A$5001,"&gt;="&amp;$C$7,BD!$A$3:$A$5001,"&lt;="&amp;$B222,BD!$N$3:$N$5001,"&lt;&gt;")=0,"",SUMIFS(BD!$N$3:$N$5001,BD!$B$3:$B$5001,Q$219,BD!$A$3:$A$5001,_xlfn.MAXIFS(BD!$A$3:$A$5001,BD!$B$3:$B$5001,Q$219,BD!$A$3:$A$5001,"&gt;="&amp;$C$7,BD!$A$3:$A$5001,"&lt;="&amp;$B222,BD!$N$3:$N$5001,"&lt;&gt;"))))</f>
        <v/>
      </c>
      <c r="R222" s="43" t="str">
        <f>IF(OR($B222="",$A222&gt;$B$9,R$219=""),"",IF(COUNTIFS(BD!$B$3:$B$5001,R$219,BD!$A$3:$A$5001,"&gt;="&amp;$C$7,BD!$A$3:$A$5001,"&lt;="&amp;$B222,BD!$N$3:$N$5001,"&lt;&gt;")=0,"",SUMIFS(BD!$N$3:$N$5001,BD!$B$3:$B$5001,R$219,BD!$A$3:$A$5001,_xlfn.MAXIFS(BD!$A$3:$A$5001,BD!$B$3:$B$5001,R$219,BD!$A$3:$A$5001,"&gt;="&amp;$C$7,BD!$A$3:$A$5001,"&lt;="&amp;$B222,BD!$N$3:$N$5001,"&lt;&gt;"))))</f>
        <v/>
      </c>
      <c r="S222" s="43" t="str">
        <f>IF(OR($B222="",$A222&gt;$B$9,S$219=""),"",IF(COUNTIFS(BD!$B$3:$B$5001,S$219,BD!$A$3:$A$5001,"&gt;="&amp;$C$7,BD!$A$3:$A$5001,"&lt;="&amp;$B222,BD!$N$3:$N$5001,"&lt;&gt;")=0,"",SUMIFS(BD!$N$3:$N$5001,BD!$B$3:$B$5001,S$219,BD!$A$3:$A$5001,_xlfn.MAXIFS(BD!$A$3:$A$5001,BD!$B$3:$B$5001,S$219,BD!$A$3:$A$5001,"&gt;="&amp;$C$7,BD!$A$3:$A$5001,"&lt;="&amp;$B222,BD!$N$3:$N$5001,"&lt;&gt;"))))</f>
        <v/>
      </c>
      <c r="T222" s="43" t="str">
        <f>IF(OR($B222="",$A222&gt;$B$9,T$219=""),"",IF(COUNTIFS(BD!$B$3:$B$5001,T$219,BD!$A$3:$A$5001,"&gt;="&amp;$C$7,BD!$A$3:$A$5001,"&lt;="&amp;$B222,BD!$N$3:$N$5001,"&lt;&gt;")=0,"",SUMIFS(BD!$N$3:$N$5001,BD!$B$3:$B$5001,T$219,BD!$A$3:$A$5001,_xlfn.MAXIFS(BD!$A$3:$A$5001,BD!$B$3:$B$5001,T$219,BD!$A$3:$A$5001,"&gt;="&amp;$C$7,BD!$A$3:$A$5001,"&lt;="&amp;$B222,BD!$N$3:$N$5001,"&lt;&gt;"))))</f>
        <v/>
      </c>
      <c r="U222" s="43" t="str">
        <f>IF(OR($B222="",$A222&gt;$B$9,U$219=""),"",IF(COUNTIFS(BD!$B$3:$B$5001,U$219,BD!$A$3:$A$5001,"&gt;="&amp;$C$7,BD!$A$3:$A$5001,"&lt;="&amp;$B222,BD!$N$3:$N$5001,"&lt;&gt;")=0,"",SUMIFS(BD!$N$3:$N$5001,BD!$B$3:$B$5001,U$219,BD!$A$3:$A$5001,_xlfn.MAXIFS(BD!$A$3:$A$5001,BD!$B$3:$B$5001,U$219,BD!$A$3:$A$5001,"&gt;="&amp;$C$7,BD!$A$3:$A$5001,"&lt;="&amp;$B222,BD!$N$3:$N$5001,"&lt;&gt;"))))</f>
        <v/>
      </c>
      <c r="V222" s="43" t="str">
        <f>IF(OR($B222="",$A222&gt;$B$9,V$219=""),"",IF(COUNTIFS(BD!$B$3:$B$5001,V$219,BD!$A$3:$A$5001,"&gt;="&amp;$C$7,BD!$A$3:$A$5001,"&lt;="&amp;$B222,BD!$N$3:$N$5001,"&lt;&gt;")=0,"",SUMIFS(BD!$N$3:$N$5001,BD!$B$3:$B$5001,V$219,BD!$A$3:$A$5001,_xlfn.MAXIFS(BD!$A$3:$A$5001,BD!$B$3:$B$5001,V$219,BD!$A$3:$A$5001,"&gt;="&amp;$C$7,BD!$A$3:$A$5001,"&lt;="&amp;$B222,BD!$N$3:$N$5001,"&lt;&gt;"))))</f>
        <v/>
      </c>
    </row>
    <row r="223">
      <c r="A223" s="38">
        <v>4</v>
      </c>
      <c r="B223" s="42">
        <f>$B$15</f>
        <v>46299</v>
      </c>
      <c r="C223" s="43" t="str">
        <f>IF(OR($B223="",$A223&gt;$B$9,C$219=""),"",IF(COUNTIFS(BD!$B$3:$B$5001,C$219,BD!$A$3:$A$5001,"&gt;="&amp;$C$7,BD!$A$3:$A$5001,"&lt;="&amp;$B223,BD!$N$3:$N$5001,"&lt;&gt;")=0,"",SUMIFS(BD!$N$3:$N$5001,BD!$B$3:$B$5001,C$219,BD!$A$3:$A$5001,_xlfn.MAXIFS(BD!$A$3:$A$5001,BD!$B$3:$B$5001,C$219,BD!$A$3:$A$5001,"&gt;="&amp;$C$7,BD!$A$3:$A$5001,"&lt;="&amp;$B223,BD!$N$3:$N$5001,"&lt;&gt;"))))</f>
        <v/>
      </c>
      <c r="D223" s="43" t="str">
        <f>IF(OR($B223="",$A223&gt;$B$9,D$219=""),"",IF(COUNTIFS(BD!$B$3:$B$5001,D$219,BD!$A$3:$A$5001,"&gt;="&amp;$C$7,BD!$A$3:$A$5001,"&lt;="&amp;$B223,BD!$N$3:$N$5001,"&lt;&gt;")=0,"",SUMIFS(BD!$N$3:$N$5001,BD!$B$3:$B$5001,D$219,BD!$A$3:$A$5001,_xlfn.MAXIFS(BD!$A$3:$A$5001,BD!$B$3:$B$5001,D$219,BD!$A$3:$A$5001,"&gt;="&amp;$C$7,BD!$A$3:$A$5001,"&lt;="&amp;$B223,BD!$N$3:$N$5001,"&lt;&gt;"))))</f>
        <v/>
      </c>
      <c r="E223" s="43" t="str">
        <f>IF(OR($B223="",$A223&gt;$B$9,E$219=""),"",IF(COUNTIFS(BD!$B$3:$B$5001,E$219,BD!$A$3:$A$5001,"&gt;="&amp;$C$7,BD!$A$3:$A$5001,"&lt;="&amp;$B223,BD!$N$3:$N$5001,"&lt;&gt;")=0,"",SUMIFS(BD!$N$3:$N$5001,BD!$B$3:$B$5001,E$219,BD!$A$3:$A$5001,_xlfn.MAXIFS(BD!$A$3:$A$5001,BD!$B$3:$B$5001,E$219,BD!$A$3:$A$5001,"&gt;="&amp;$C$7,BD!$A$3:$A$5001,"&lt;="&amp;$B223,BD!$N$3:$N$5001,"&lt;&gt;"))))</f>
        <v/>
      </c>
      <c r="F223" s="43" t="str">
        <f>IF(OR($B223="",$A223&gt;$B$9,F$219=""),"",IF(COUNTIFS(BD!$B$3:$B$5001,F$219,BD!$A$3:$A$5001,"&gt;="&amp;$C$7,BD!$A$3:$A$5001,"&lt;="&amp;$B223,BD!$N$3:$N$5001,"&lt;&gt;")=0,"",SUMIFS(BD!$N$3:$N$5001,BD!$B$3:$B$5001,F$219,BD!$A$3:$A$5001,_xlfn.MAXIFS(BD!$A$3:$A$5001,BD!$B$3:$B$5001,F$219,BD!$A$3:$A$5001,"&gt;="&amp;$C$7,BD!$A$3:$A$5001,"&lt;="&amp;$B223,BD!$N$3:$N$5001,"&lt;&gt;"))))</f>
        <v/>
      </c>
      <c r="G223" s="43" t="str">
        <f>IF(OR($B223="",$A223&gt;$B$9,G$219=""),"",IF(COUNTIFS(BD!$B$3:$B$5001,G$219,BD!$A$3:$A$5001,"&gt;="&amp;$C$7,BD!$A$3:$A$5001,"&lt;="&amp;$B223,BD!$N$3:$N$5001,"&lt;&gt;")=0,"",SUMIFS(BD!$N$3:$N$5001,BD!$B$3:$B$5001,G$219,BD!$A$3:$A$5001,_xlfn.MAXIFS(BD!$A$3:$A$5001,BD!$B$3:$B$5001,G$219,BD!$A$3:$A$5001,"&gt;="&amp;$C$7,BD!$A$3:$A$5001,"&lt;="&amp;$B223,BD!$N$3:$N$5001,"&lt;&gt;"))))</f>
        <v/>
      </c>
      <c r="H223" s="43" t="str">
        <f>IF(OR($B223="",$A223&gt;$B$9,H$219=""),"",IF(COUNTIFS(BD!$B$3:$B$5001,H$219,BD!$A$3:$A$5001,"&gt;="&amp;$C$7,BD!$A$3:$A$5001,"&lt;="&amp;$B223,BD!$N$3:$N$5001,"&lt;&gt;")=0,"",SUMIFS(BD!$N$3:$N$5001,BD!$B$3:$B$5001,H$219,BD!$A$3:$A$5001,_xlfn.MAXIFS(BD!$A$3:$A$5001,BD!$B$3:$B$5001,H$219,BD!$A$3:$A$5001,"&gt;="&amp;$C$7,BD!$A$3:$A$5001,"&lt;="&amp;$B223,BD!$N$3:$N$5001,"&lt;&gt;"))))</f>
        <v/>
      </c>
      <c r="I223" s="43" t="str">
        <f>IF(OR($B223="",$A223&gt;$B$9,I$219=""),"",IF(COUNTIFS(BD!$B$3:$B$5001,I$219,BD!$A$3:$A$5001,"&gt;="&amp;$C$7,BD!$A$3:$A$5001,"&lt;="&amp;$B223,BD!$N$3:$N$5001,"&lt;&gt;")=0,"",SUMIFS(BD!$N$3:$N$5001,BD!$B$3:$B$5001,I$219,BD!$A$3:$A$5001,_xlfn.MAXIFS(BD!$A$3:$A$5001,BD!$B$3:$B$5001,I$219,BD!$A$3:$A$5001,"&gt;="&amp;$C$7,BD!$A$3:$A$5001,"&lt;="&amp;$B223,BD!$N$3:$N$5001,"&lt;&gt;"))))</f>
        <v/>
      </c>
      <c r="J223" s="43" t="str">
        <f>IF(OR($B223="",$A223&gt;$B$9,J$219=""),"",IF(COUNTIFS(BD!$B$3:$B$5001,J$219,BD!$A$3:$A$5001,"&gt;="&amp;$C$7,BD!$A$3:$A$5001,"&lt;="&amp;$B223,BD!$N$3:$N$5001,"&lt;&gt;")=0,"",SUMIFS(BD!$N$3:$N$5001,BD!$B$3:$B$5001,J$219,BD!$A$3:$A$5001,_xlfn.MAXIFS(BD!$A$3:$A$5001,BD!$B$3:$B$5001,J$219,BD!$A$3:$A$5001,"&gt;="&amp;$C$7,BD!$A$3:$A$5001,"&lt;="&amp;$B223,BD!$N$3:$N$5001,"&lt;&gt;"))))</f>
        <v/>
      </c>
      <c r="K223" s="43" t="str">
        <f>IF(OR($B223="",$A223&gt;$B$9,K$219=""),"",IF(COUNTIFS(BD!$B$3:$B$5001,K$219,BD!$A$3:$A$5001,"&gt;="&amp;$C$7,BD!$A$3:$A$5001,"&lt;="&amp;$B223,BD!$N$3:$N$5001,"&lt;&gt;")=0,"",SUMIFS(BD!$N$3:$N$5001,BD!$B$3:$B$5001,K$219,BD!$A$3:$A$5001,_xlfn.MAXIFS(BD!$A$3:$A$5001,BD!$B$3:$B$5001,K$219,BD!$A$3:$A$5001,"&gt;="&amp;$C$7,BD!$A$3:$A$5001,"&lt;="&amp;$B223,BD!$N$3:$N$5001,"&lt;&gt;"))))</f>
        <v/>
      </c>
      <c r="L223" s="43" t="str">
        <f>IF(OR($B223="",$A223&gt;$B$9,L$219=""),"",IF(COUNTIFS(BD!$B$3:$B$5001,L$219,BD!$A$3:$A$5001,"&gt;="&amp;$C$7,BD!$A$3:$A$5001,"&lt;="&amp;$B223,BD!$N$3:$N$5001,"&lt;&gt;")=0,"",SUMIFS(BD!$N$3:$N$5001,BD!$B$3:$B$5001,L$219,BD!$A$3:$A$5001,_xlfn.MAXIFS(BD!$A$3:$A$5001,BD!$B$3:$B$5001,L$219,BD!$A$3:$A$5001,"&gt;="&amp;$C$7,BD!$A$3:$A$5001,"&lt;="&amp;$B223,BD!$N$3:$N$5001,"&lt;&gt;"))))</f>
        <v/>
      </c>
      <c r="M223" s="43" t="str">
        <f>IF(OR($B223="",$A223&gt;$B$9,M$219=""),"",IF(COUNTIFS(BD!$B$3:$B$5001,M$219,BD!$A$3:$A$5001,"&gt;="&amp;$C$7,BD!$A$3:$A$5001,"&lt;="&amp;$B223,BD!$N$3:$N$5001,"&lt;&gt;")=0,"",SUMIFS(BD!$N$3:$N$5001,BD!$B$3:$B$5001,M$219,BD!$A$3:$A$5001,_xlfn.MAXIFS(BD!$A$3:$A$5001,BD!$B$3:$B$5001,M$219,BD!$A$3:$A$5001,"&gt;="&amp;$C$7,BD!$A$3:$A$5001,"&lt;="&amp;$B223,BD!$N$3:$N$5001,"&lt;&gt;"))))</f>
        <v/>
      </c>
      <c r="N223" s="43" t="str">
        <f>IF(OR($B223="",$A223&gt;$B$9,N$219=""),"",IF(COUNTIFS(BD!$B$3:$B$5001,N$219,BD!$A$3:$A$5001,"&gt;="&amp;$C$7,BD!$A$3:$A$5001,"&lt;="&amp;$B223,BD!$N$3:$N$5001,"&lt;&gt;")=0,"",SUMIFS(BD!$N$3:$N$5001,BD!$B$3:$B$5001,N$219,BD!$A$3:$A$5001,_xlfn.MAXIFS(BD!$A$3:$A$5001,BD!$B$3:$B$5001,N$219,BD!$A$3:$A$5001,"&gt;="&amp;$C$7,BD!$A$3:$A$5001,"&lt;="&amp;$B223,BD!$N$3:$N$5001,"&lt;&gt;"))))</f>
        <v/>
      </c>
      <c r="O223" s="43" t="str">
        <f>IF(OR($B223="",$A223&gt;$B$9,O$219=""),"",IF(COUNTIFS(BD!$B$3:$B$5001,O$219,BD!$A$3:$A$5001,"&gt;="&amp;$C$7,BD!$A$3:$A$5001,"&lt;="&amp;$B223,BD!$N$3:$N$5001,"&lt;&gt;")=0,"",SUMIFS(BD!$N$3:$N$5001,BD!$B$3:$B$5001,O$219,BD!$A$3:$A$5001,_xlfn.MAXIFS(BD!$A$3:$A$5001,BD!$B$3:$B$5001,O$219,BD!$A$3:$A$5001,"&gt;="&amp;$C$7,BD!$A$3:$A$5001,"&lt;="&amp;$B223,BD!$N$3:$N$5001,"&lt;&gt;"))))</f>
        <v/>
      </c>
      <c r="P223" s="43" t="str">
        <f>IF(OR($B223="",$A223&gt;$B$9,P$219=""),"",IF(COUNTIFS(BD!$B$3:$B$5001,P$219,BD!$A$3:$A$5001,"&gt;="&amp;$C$7,BD!$A$3:$A$5001,"&lt;="&amp;$B223,BD!$N$3:$N$5001,"&lt;&gt;")=0,"",SUMIFS(BD!$N$3:$N$5001,BD!$B$3:$B$5001,P$219,BD!$A$3:$A$5001,_xlfn.MAXIFS(BD!$A$3:$A$5001,BD!$B$3:$B$5001,P$219,BD!$A$3:$A$5001,"&gt;="&amp;$C$7,BD!$A$3:$A$5001,"&lt;="&amp;$B223,BD!$N$3:$N$5001,"&lt;&gt;"))))</f>
        <v/>
      </c>
      <c r="Q223" s="43" t="str">
        <f>IF(OR($B223="",$A223&gt;$B$9,Q$219=""),"",IF(COUNTIFS(BD!$B$3:$B$5001,Q$219,BD!$A$3:$A$5001,"&gt;="&amp;$C$7,BD!$A$3:$A$5001,"&lt;="&amp;$B223,BD!$N$3:$N$5001,"&lt;&gt;")=0,"",SUMIFS(BD!$N$3:$N$5001,BD!$B$3:$B$5001,Q$219,BD!$A$3:$A$5001,_xlfn.MAXIFS(BD!$A$3:$A$5001,BD!$B$3:$B$5001,Q$219,BD!$A$3:$A$5001,"&gt;="&amp;$C$7,BD!$A$3:$A$5001,"&lt;="&amp;$B223,BD!$N$3:$N$5001,"&lt;&gt;"))))</f>
        <v/>
      </c>
      <c r="R223" s="43" t="str">
        <f>IF(OR($B223="",$A223&gt;$B$9,R$219=""),"",IF(COUNTIFS(BD!$B$3:$B$5001,R$219,BD!$A$3:$A$5001,"&gt;="&amp;$C$7,BD!$A$3:$A$5001,"&lt;="&amp;$B223,BD!$N$3:$N$5001,"&lt;&gt;")=0,"",SUMIFS(BD!$N$3:$N$5001,BD!$B$3:$B$5001,R$219,BD!$A$3:$A$5001,_xlfn.MAXIFS(BD!$A$3:$A$5001,BD!$B$3:$B$5001,R$219,BD!$A$3:$A$5001,"&gt;="&amp;$C$7,BD!$A$3:$A$5001,"&lt;="&amp;$B223,BD!$N$3:$N$5001,"&lt;&gt;"))))</f>
        <v/>
      </c>
      <c r="S223" s="43" t="str">
        <f>IF(OR($B223="",$A223&gt;$B$9,S$219=""),"",IF(COUNTIFS(BD!$B$3:$B$5001,S$219,BD!$A$3:$A$5001,"&gt;="&amp;$C$7,BD!$A$3:$A$5001,"&lt;="&amp;$B223,BD!$N$3:$N$5001,"&lt;&gt;")=0,"",SUMIFS(BD!$N$3:$N$5001,BD!$B$3:$B$5001,S$219,BD!$A$3:$A$5001,_xlfn.MAXIFS(BD!$A$3:$A$5001,BD!$B$3:$B$5001,S$219,BD!$A$3:$A$5001,"&gt;="&amp;$C$7,BD!$A$3:$A$5001,"&lt;="&amp;$B223,BD!$N$3:$N$5001,"&lt;&gt;"))))</f>
        <v/>
      </c>
      <c r="T223" s="43" t="str">
        <f>IF(OR($B223="",$A223&gt;$B$9,T$219=""),"",IF(COUNTIFS(BD!$B$3:$B$5001,T$219,BD!$A$3:$A$5001,"&gt;="&amp;$C$7,BD!$A$3:$A$5001,"&lt;="&amp;$B223,BD!$N$3:$N$5001,"&lt;&gt;")=0,"",SUMIFS(BD!$N$3:$N$5001,BD!$B$3:$B$5001,T$219,BD!$A$3:$A$5001,_xlfn.MAXIFS(BD!$A$3:$A$5001,BD!$B$3:$B$5001,T$219,BD!$A$3:$A$5001,"&gt;="&amp;$C$7,BD!$A$3:$A$5001,"&lt;="&amp;$B223,BD!$N$3:$N$5001,"&lt;&gt;"))))</f>
        <v/>
      </c>
      <c r="U223" s="43" t="str">
        <f>IF(OR($B223="",$A223&gt;$B$9,U$219=""),"",IF(COUNTIFS(BD!$B$3:$B$5001,U$219,BD!$A$3:$A$5001,"&gt;="&amp;$C$7,BD!$A$3:$A$5001,"&lt;="&amp;$B223,BD!$N$3:$N$5001,"&lt;&gt;")=0,"",SUMIFS(BD!$N$3:$N$5001,BD!$B$3:$B$5001,U$219,BD!$A$3:$A$5001,_xlfn.MAXIFS(BD!$A$3:$A$5001,BD!$B$3:$B$5001,U$219,BD!$A$3:$A$5001,"&gt;="&amp;$C$7,BD!$A$3:$A$5001,"&lt;="&amp;$B223,BD!$N$3:$N$5001,"&lt;&gt;"))))</f>
        <v/>
      </c>
      <c r="V223" s="43" t="str">
        <f>IF(OR($B223="",$A223&gt;$B$9,V$219=""),"",IF(COUNTIFS(BD!$B$3:$B$5001,V$219,BD!$A$3:$A$5001,"&gt;="&amp;$C$7,BD!$A$3:$A$5001,"&lt;="&amp;$B223,BD!$N$3:$N$5001,"&lt;&gt;")=0,"",SUMIFS(BD!$N$3:$N$5001,BD!$B$3:$B$5001,V$219,BD!$A$3:$A$5001,_xlfn.MAXIFS(BD!$A$3:$A$5001,BD!$B$3:$B$5001,V$219,BD!$A$3:$A$5001,"&gt;="&amp;$C$7,BD!$A$3:$A$5001,"&lt;="&amp;$B223,BD!$N$3:$N$5001,"&lt;&gt;"))))</f>
        <v/>
      </c>
    </row>
    <row r="224">
      <c r="A224" s="38">
        <v>5</v>
      </c>
      <c r="B224" s="42">
        <f>$B$16</f>
        <v>46300</v>
      </c>
      <c r="C224" s="43" t="str">
        <f>IF(OR($B224="",$A224&gt;$B$9,C$219=""),"",IF(COUNTIFS(BD!$B$3:$B$5001,C$219,BD!$A$3:$A$5001,"&gt;="&amp;$C$7,BD!$A$3:$A$5001,"&lt;="&amp;$B224,BD!$N$3:$N$5001,"&lt;&gt;")=0,"",SUMIFS(BD!$N$3:$N$5001,BD!$B$3:$B$5001,C$219,BD!$A$3:$A$5001,_xlfn.MAXIFS(BD!$A$3:$A$5001,BD!$B$3:$B$5001,C$219,BD!$A$3:$A$5001,"&gt;="&amp;$C$7,BD!$A$3:$A$5001,"&lt;="&amp;$B224,BD!$N$3:$N$5001,"&lt;&gt;"))))</f>
        <v/>
      </c>
      <c r="D224" s="43" t="str">
        <f>IF(OR($B224="",$A224&gt;$B$9,D$219=""),"",IF(COUNTIFS(BD!$B$3:$B$5001,D$219,BD!$A$3:$A$5001,"&gt;="&amp;$C$7,BD!$A$3:$A$5001,"&lt;="&amp;$B224,BD!$N$3:$N$5001,"&lt;&gt;")=0,"",SUMIFS(BD!$N$3:$N$5001,BD!$B$3:$B$5001,D$219,BD!$A$3:$A$5001,_xlfn.MAXIFS(BD!$A$3:$A$5001,BD!$B$3:$B$5001,D$219,BD!$A$3:$A$5001,"&gt;="&amp;$C$7,BD!$A$3:$A$5001,"&lt;="&amp;$B224,BD!$N$3:$N$5001,"&lt;&gt;"))))</f>
        <v/>
      </c>
      <c r="E224" s="43" t="str">
        <f>IF(OR($B224="",$A224&gt;$B$9,E$219=""),"",IF(COUNTIFS(BD!$B$3:$B$5001,E$219,BD!$A$3:$A$5001,"&gt;="&amp;$C$7,BD!$A$3:$A$5001,"&lt;="&amp;$B224,BD!$N$3:$N$5001,"&lt;&gt;")=0,"",SUMIFS(BD!$N$3:$N$5001,BD!$B$3:$B$5001,E$219,BD!$A$3:$A$5001,_xlfn.MAXIFS(BD!$A$3:$A$5001,BD!$B$3:$B$5001,E$219,BD!$A$3:$A$5001,"&gt;="&amp;$C$7,BD!$A$3:$A$5001,"&lt;="&amp;$B224,BD!$N$3:$N$5001,"&lt;&gt;"))))</f>
        <v/>
      </c>
      <c r="F224" s="43" t="str">
        <f>IF(OR($B224="",$A224&gt;$B$9,F$219=""),"",IF(COUNTIFS(BD!$B$3:$B$5001,F$219,BD!$A$3:$A$5001,"&gt;="&amp;$C$7,BD!$A$3:$A$5001,"&lt;="&amp;$B224,BD!$N$3:$N$5001,"&lt;&gt;")=0,"",SUMIFS(BD!$N$3:$N$5001,BD!$B$3:$B$5001,F$219,BD!$A$3:$A$5001,_xlfn.MAXIFS(BD!$A$3:$A$5001,BD!$B$3:$B$5001,F$219,BD!$A$3:$A$5001,"&gt;="&amp;$C$7,BD!$A$3:$A$5001,"&lt;="&amp;$B224,BD!$N$3:$N$5001,"&lt;&gt;"))))</f>
        <v/>
      </c>
      <c r="G224" s="43" t="str">
        <f>IF(OR($B224="",$A224&gt;$B$9,G$219=""),"",IF(COUNTIFS(BD!$B$3:$B$5001,G$219,BD!$A$3:$A$5001,"&gt;="&amp;$C$7,BD!$A$3:$A$5001,"&lt;="&amp;$B224,BD!$N$3:$N$5001,"&lt;&gt;")=0,"",SUMIFS(BD!$N$3:$N$5001,BD!$B$3:$B$5001,G$219,BD!$A$3:$A$5001,_xlfn.MAXIFS(BD!$A$3:$A$5001,BD!$B$3:$B$5001,G$219,BD!$A$3:$A$5001,"&gt;="&amp;$C$7,BD!$A$3:$A$5001,"&lt;="&amp;$B224,BD!$N$3:$N$5001,"&lt;&gt;"))))</f>
        <v/>
      </c>
      <c r="H224" s="43" t="str">
        <f>IF(OR($B224="",$A224&gt;$B$9,H$219=""),"",IF(COUNTIFS(BD!$B$3:$B$5001,H$219,BD!$A$3:$A$5001,"&gt;="&amp;$C$7,BD!$A$3:$A$5001,"&lt;="&amp;$B224,BD!$N$3:$N$5001,"&lt;&gt;")=0,"",SUMIFS(BD!$N$3:$N$5001,BD!$B$3:$B$5001,H$219,BD!$A$3:$A$5001,_xlfn.MAXIFS(BD!$A$3:$A$5001,BD!$B$3:$B$5001,H$219,BD!$A$3:$A$5001,"&gt;="&amp;$C$7,BD!$A$3:$A$5001,"&lt;="&amp;$B224,BD!$N$3:$N$5001,"&lt;&gt;"))))</f>
        <v/>
      </c>
      <c r="I224" s="43" t="str">
        <f>IF(OR($B224="",$A224&gt;$B$9,I$219=""),"",IF(COUNTIFS(BD!$B$3:$B$5001,I$219,BD!$A$3:$A$5001,"&gt;="&amp;$C$7,BD!$A$3:$A$5001,"&lt;="&amp;$B224,BD!$N$3:$N$5001,"&lt;&gt;")=0,"",SUMIFS(BD!$N$3:$N$5001,BD!$B$3:$B$5001,I$219,BD!$A$3:$A$5001,_xlfn.MAXIFS(BD!$A$3:$A$5001,BD!$B$3:$B$5001,I$219,BD!$A$3:$A$5001,"&gt;="&amp;$C$7,BD!$A$3:$A$5001,"&lt;="&amp;$B224,BD!$N$3:$N$5001,"&lt;&gt;"))))</f>
        <v/>
      </c>
      <c r="J224" s="43" t="str">
        <f>IF(OR($B224="",$A224&gt;$B$9,J$219=""),"",IF(COUNTIFS(BD!$B$3:$B$5001,J$219,BD!$A$3:$A$5001,"&gt;="&amp;$C$7,BD!$A$3:$A$5001,"&lt;="&amp;$B224,BD!$N$3:$N$5001,"&lt;&gt;")=0,"",SUMIFS(BD!$N$3:$N$5001,BD!$B$3:$B$5001,J$219,BD!$A$3:$A$5001,_xlfn.MAXIFS(BD!$A$3:$A$5001,BD!$B$3:$B$5001,J$219,BD!$A$3:$A$5001,"&gt;="&amp;$C$7,BD!$A$3:$A$5001,"&lt;="&amp;$B224,BD!$N$3:$N$5001,"&lt;&gt;"))))</f>
        <v/>
      </c>
      <c r="K224" s="43" t="str">
        <f>IF(OR($B224="",$A224&gt;$B$9,K$219=""),"",IF(COUNTIFS(BD!$B$3:$B$5001,K$219,BD!$A$3:$A$5001,"&gt;="&amp;$C$7,BD!$A$3:$A$5001,"&lt;="&amp;$B224,BD!$N$3:$N$5001,"&lt;&gt;")=0,"",SUMIFS(BD!$N$3:$N$5001,BD!$B$3:$B$5001,K$219,BD!$A$3:$A$5001,_xlfn.MAXIFS(BD!$A$3:$A$5001,BD!$B$3:$B$5001,K$219,BD!$A$3:$A$5001,"&gt;="&amp;$C$7,BD!$A$3:$A$5001,"&lt;="&amp;$B224,BD!$N$3:$N$5001,"&lt;&gt;"))))</f>
        <v/>
      </c>
      <c r="L224" s="43" t="str">
        <f>IF(OR($B224="",$A224&gt;$B$9,L$219=""),"",IF(COUNTIFS(BD!$B$3:$B$5001,L$219,BD!$A$3:$A$5001,"&gt;="&amp;$C$7,BD!$A$3:$A$5001,"&lt;="&amp;$B224,BD!$N$3:$N$5001,"&lt;&gt;")=0,"",SUMIFS(BD!$N$3:$N$5001,BD!$B$3:$B$5001,L$219,BD!$A$3:$A$5001,_xlfn.MAXIFS(BD!$A$3:$A$5001,BD!$B$3:$B$5001,L$219,BD!$A$3:$A$5001,"&gt;="&amp;$C$7,BD!$A$3:$A$5001,"&lt;="&amp;$B224,BD!$N$3:$N$5001,"&lt;&gt;"))))</f>
        <v/>
      </c>
      <c r="M224" s="43" t="str">
        <f>IF(OR($B224="",$A224&gt;$B$9,M$219=""),"",IF(COUNTIFS(BD!$B$3:$B$5001,M$219,BD!$A$3:$A$5001,"&gt;="&amp;$C$7,BD!$A$3:$A$5001,"&lt;="&amp;$B224,BD!$N$3:$N$5001,"&lt;&gt;")=0,"",SUMIFS(BD!$N$3:$N$5001,BD!$B$3:$B$5001,M$219,BD!$A$3:$A$5001,_xlfn.MAXIFS(BD!$A$3:$A$5001,BD!$B$3:$B$5001,M$219,BD!$A$3:$A$5001,"&gt;="&amp;$C$7,BD!$A$3:$A$5001,"&lt;="&amp;$B224,BD!$N$3:$N$5001,"&lt;&gt;"))))</f>
        <v/>
      </c>
      <c r="N224" s="43" t="str">
        <f>IF(OR($B224="",$A224&gt;$B$9,N$219=""),"",IF(COUNTIFS(BD!$B$3:$B$5001,N$219,BD!$A$3:$A$5001,"&gt;="&amp;$C$7,BD!$A$3:$A$5001,"&lt;="&amp;$B224,BD!$N$3:$N$5001,"&lt;&gt;")=0,"",SUMIFS(BD!$N$3:$N$5001,BD!$B$3:$B$5001,N$219,BD!$A$3:$A$5001,_xlfn.MAXIFS(BD!$A$3:$A$5001,BD!$B$3:$B$5001,N$219,BD!$A$3:$A$5001,"&gt;="&amp;$C$7,BD!$A$3:$A$5001,"&lt;="&amp;$B224,BD!$N$3:$N$5001,"&lt;&gt;"))))</f>
        <v/>
      </c>
      <c r="O224" s="43" t="str">
        <f>IF(OR($B224="",$A224&gt;$B$9,O$219=""),"",IF(COUNTIFS(BD!$B$3:$B$5001,O$219,BD!$A$3:$A$5001,"&gt;="&amp;$C$7,BD!$A$3:$A$5001,"&lt;="&amp;$B224,BD!$N$3:$N$5001,"&lt;&gt;")=0,"",SUMIFS(BD!$N$3:$N$5001,BD!$B$3:$B$5001,O$219,BD!$A$3:$A$5001,_xlfn.MAXIFS(BD!$A$3:$A$5001,BD!$B$3:$B$5001,O$219,BD!$A$3:$A$5001,"&gt;="&amp;$C$7,BD!$A$3:$A$5001,"&lt;="&amp;$B224,BD!$N$3:$N$5001,"&lt;&gt;"))))</f>
        <v/>
      </c>
      <c r="P224" s="43" t="str">
        <f>IF(OR($B224="",$A224&gt;$B$9,P$219=""),"",IF(COUNTIFS(BD!$B$3:$B$5001,P$219,BD!$A$3:$A$5001,"&gt;="&amp;$C$7,BD!$A$3:$A$5001,"&lt;="&amp;$B224,BD!$N$3:$N$5001,"&lt;&gt;")=0,"",SUMIFS(BD!$N$3:$N$5001,BD!$B$3:$B$5001,P$219,BD!$A$3:$A$5001,_xlfn.MAXIFS(BD!$A$3:$A$5001,BD!$B$3:$B$5001,P$219,BD!$A$3:$A$5001,"&gt;="&amp;$C$7,BD!$A$3:$A$5001,"&lt;="&amp;$B224,BD!$N$3:$N$5001,"&lt;&gt;"))))</f>
        <v/>
      </c>
      <c r="Q224" s="43" t="str">
        <f>IF(OR($B224="",$A224&gt;$B$9,Q$219=""),"",IF(COUNTIFS(BD!$B$3:$B$5001,Q$219,BD!$A$3:$A$5001,"&gt;="&amp;$C$7,BD!$A$3:$A$5001,"&lt;="&amp;$B224,BD!$N$3:$N$5001,"&lt;&gt;")=0,"",SUMIFS(BD!$N$3:$N$5001,BD!$B$3:$B$5001,Q$219,BD!$A$3:$A$5001,_xlfn.MAXIFS(BD!$A$3:$A$5001,BD!$B$3:$B$5001,Q$219,BD!$A$3:$A$5001,"&gt;="&amp;$C$7,BD!$A$3:$A$5001,"&lt;="&amp;$B224,BD!$N$3:$N$5001,"&lt;&gt;"))))</f>
        <v/>
      </c>
      <c r="R224" s="43" t="str">
        <f>IF(OR($B224="",$A224&gt;$B$9,R$219=""),"",IF(COUNTIFS(BD!$B$3:$B$5001,R$219,BD!$A$3:$A$5001,"&gt;="&amp;$C$7,BD!$A$3:$A$5001,"&lt;="&amp;$B224,BD!$N$3:$N$5001,"&lt;&gt;")=0,"",SUMIFS(BD!$N$3:$N$5001,BD!$B$3:$B$5001,R$219,BD!$A$3:$A$5001,_xlfn.MAXIFS(BD!$A$3:$A$5001,BD!$B$3:$B$5001,R$219,BD!$A$3:$A$5001,"&gt;="&amp;$C$7,BD!$A$3:$A$5001,"&lt;="&amp;$B224,BD!$N$3:$N$5001,"&lt;&gt;"))))</f>
        <v/>
      </c>
      <c r="S224" s="43" t="str">
        <f>IF(OR($B224="",$A224&gt;$B$9,S$219=""),"",IF(COUNTIFS(BD!$B$3:$B$5001,S$219,BD!$A$3:$A$5001,"&gt;="&amp;$C$7,BD!$A$3:$A$5001,"&lt;="&amp;$B224,BD!$N$3:$N$5001,"&lt;&gt;")=0,"",SUMIFS(BD!$N$3:$N$5001,BD!$B$3:$B$5001,S$219,BD!$A$3:$A$5001,_xlfn.MAXIFS(BD!$A$3:$A$5001,BD!$B$3:$B$5001,S$219,BD!$A$3:$A$5001,"&gt;="&amp;$C$7,BD!$A$3:$A$5001,"&lt;="&amp;$B224,BD!$N$3:$N$5001,"&lt;&gt;"))))</f>
        <v/>
      </c>
      <c r="T224" s="43" t="str">
        <f>IF(OR($B224="",$A224&gt;$B$9,T$219=""),"",IF(COUNTIFS(BD!$B$3:$B$5001,T$219,BD!$A$3:$A$5001,"&gt;="&amp;$C$7,BD!$A$3:$A$5001,"&lt;="&amp;$B224,BD!$N$3:$N$5001,"&lt;&gt;")=0,"",SUMIFS(BD!$N$3:$N$5001,BD!$B$3:$B$5001,T$219,BD!$A$3:$A$5001,_xlfn.MAXIFS(BD!$A$3:$A$5001,BD!$B$3:$B$5001,T$219,BD!$A$3:$A$5001,"&gt;="&amp;$C$7,BD!$A$3:$A$5001,"&lt;="&amp;$B224,BD!$N$3:$N$5001,"&lt;&gt;"))))</f>
        <v/>
      </c>
      <c r="U224" s="43" t="str">
        <f>IF(OR($B224="",$A224&gt;$B$9,U$219=""),"",IF(COUNTIFS(BD!$B$3:$B$5001,U$219,BD!$A$3:$A$5001,"&gt;="&amp;$C$7,BD!$A$3:$A$5001,"&lt;="&amp;$B224,BD!$N$3:$N$5001,"&lt;&gt;")=0,"",SUMIFS(BD!$N$3:$N$5001,BD!$B$3:$B$5001,U$219,BD!$A$3:$A$5001,_xlfn.MAXIFS(BD!$A$3:$A$5001,BD!$B$3:$B$5001,U$219,BD!$A$3:$A$5001,"&gt;="&amp;$C$7,BD!$A$3:$A$5001,"&lt;="&amp;$B224,BD!$N$3:$N$5001,"&lt;&gt;"))))</f>
        <v/>
      </c>
      <c r="V224" s="43" t="str">
        <f>IF(OR($B224="",$A224&gt;$B$9,V$219=""),"",IF(COUNTIFS(BD!$B$3:$B$5001,V$219,BD!$A$3:$A$5001,"&gt;="&amp;$C$7,BD!$A$3:$A$5001,"&lt;="&amp;$B224,BD!$N$3:$N$5001,"&lt;&gt;")=0,"",SUMIFS(BD!$N$3:$N$5001,BD!$B$3:$B$5001,V$219,BD!$A$3:$A$5001,_xlfn.MAXIFS(BD!$A$3:$A$5001,BD!$B$3:$B$5001,V$219,BD!$A$3:$A$5001,"&gt;="&amp;$C$7,BD!$A$3:$A$5001,"&lt;="&amp;$B224,BD!$N$3:$N$5001,"&lt;&gt;"))))</f>
        <v/>
      </c>
    </row>
    <row r="225">
      <c r="A225" s="38">
        <v>6</v>
      </c>
      <c r="B225" s="42">
        <f>$B$17</f>
        <v>46301</v>
      </c>
      <c r="C225" s="43" t="str">
        <f>IF(OR($B225="",$A225&gt;$B$9,C$219=""),"",IF(COUNTIFS(BD!$B$3:$B$5001,C$219,BD!$A$3:$A$5001,"&gt;="&amp;$C$7,BD!$A$3:$A$5001,"&lt;="&amp;$B225,BD!$N$3:$N$5001,"&lt;&gt;")=0,"",SUMIFS(BD!$N$3:$N$5001,BD!$B$3:$B$5001,C$219,BD!$A$3:$A$5001,_xlfn.MAXIFS(BD!$A$3:$A$5001,BD!$B$3:$B$5001,C$219,BD!$A$3:$A$5001,"&gt;="&amp;$C$7,BD!$A$3:$A$5001,"&lt;="&amp;$B225,BD!$N$3:$N$5001,"&lt;&gt;"))))</f>
        <v/>
      </c>
      <c r="D225" s="43" t="str">
        <f>IF(OR($B225="",$A225&gt;$B$9,D$219=""),"",IF(COUNTIFS(BD!$B$3:$B$5001,D$219,BD!$A$3:$A$5001,"&gt;="&amp;$C$7,BD!$A$3:$A$5001,"&lt;="&amp;$B225,BD!$N$3:$N$5001,"&lt;&gt;")=0,"",SUMIFS(BD!$N$3:$N$5001,BD!$B$3:$B$5001,D$219,BD!$A$3:$A$5001,_xlfn.MAXIFS(BD!$A$3:$A$5001,BD!$B$3:$B$5001,D$219,BD!$A$3:$A$5001,"&gt;="&amp;$C$7,BD!$A$3:$A$5001,"&lt;="&amp;$B225,BD!$N$3:$N$5001,"&lt;&gt;"))))</f>
        <v/>
      </c>
      <c r="E225" s="43" t="str">
        <f>IF(OR($B225="",$A225&gt;$B$9,E$219=""),"",IF(COUNTIFS(BD!$B$3:$B$5001,E$219,BD!$A$3:$A$5001,"&gt;="&amp;$C$7,BD!$A$3:$A$5001,"&lt;="&amp;$B225,BD!$N$3:$N$5001,"&lt;&gt;")=0,"",SUMIFS(BD!$N$3:$N$5001,BD!$B$3:$B$5001,E$219,BD!$A$3:$A$5001,_xlfn.MAXIFS(BD!$A$3:$A$5001,BD!$B$3:$B$5001,E$219,BD!$A$3:$A$5001,"&gt;="&amp;$C$7,BD!$A$3:$A$5001,"&lt;="&amp;$B225,BD!$N$3:$N$5001,"&lt;&gt;"))))</f>
        <v/>
      </c>
      <c r="F225" s="43" t="str">
        <f>IF(OR($B225="",$A225&gt;$B$9,F$219=""),"",IF(COUNTIFS(BD!$B$3:$B$5001,F$219,BD!$A$3:$A$5001,"&gt;="&amp;$C$7,BD!$A$3:$A$5001,"&lt;="&amp;$B225,BD!$N$3:$N$5001,"&lt;&gt;")=0,"",SUMIFS(BD!$N$3:$N$5001,BD!$B$3:$B$5001,F$219,BD!$A$3:$A$5001,_xlfn.MAXIFS(BD!$A$3:$A$5001,BD!$B$3:$B$5001,F$219,BD!$A$3:$A$5001,"&gt;="&amp;$C$7,BD!$A$3:$A$5001,"&lt;="&amp;$B225,BD!$N$3:$N$5001,"&lt;&gt;"))))</f>
        <v/>
      </c>
      <c r="G225" s="43" t="str">
        <f>IF(OR($B225="",$A225&gt;$B$9,G$219=""),"",IF(COUNTIFS(BD!$B$3:$B$5001,G$219,BD!$A$3:$A$5001,"&gt;="&amp;$C$7,BD!$A$3:$A$5001,"&lt;="&amp;$B225,BD!$N$3:$N$5001,"&lt;&gt;")=0,"",SUMIFS(BD!$N$3:$N$5001,BD!$B$3:$B$5001,G$219,BD!$A$3:$A$5001,_xlfn.MAXIFS(BD!$A$3:$A$5001,BD!$B$3:$B$5001,G$219,BD!$A$3:$A$5001,"&gt;="&amp;$C$7,BD!$A$3:$A$5001,"&lt;="&amp;$B225,BD!$N$3:$N$5001,"&lt;&gt;"))))</f>
        <v/>
      </c>
      <c r="H225" s="43" t="str">
        <f>IF(OR($B225="",$A225&gt;$B$9,H$219=""),"",IF(COUNTIFS(BD!$B$3:$B$5001,H$219,BD!$A$3:$A$5001,"&gt;="&amp;$C$7,BD!$A$3:$A$5001,"&lt;="&amp;$B225,BD!$N$3:$N$5001,"&lt;&gt;")=0,"",SUMIFS(BD!$N$3:$N$5001,BD!$B$3:$B$5001,H$219,BD!$A$3:$A$5001,_xlfn.MAXIFS(BD!$A$3:$A$5001,BD!$B$3:$B$5001,H$219,BD!$A$3:$A$5001,"&gt;="&amp;$C$7,BD!$A$3:$A$5001,"&lt;="&amp;$B225,BD!$N$3:$N$5001,"&lt;&gt;"))))</f>
        <v/>
      </c>
      <c r="I225" s="43" t="str">
        <f>IF(OR($B225="",$A225&gt;$B$9,I$219=""),"",IF(COUNTIFS(BD!$B$3:$B$5001,I$219,BD!$A$3:$A$5001,"&gt;="&amp;$C$7,BD!$A$3:$A$5001,"&lt;="&amp;$B225,BD!$N$3:$N$5001,"&lt;&gt;")=0,"",SUMIFS(BD!$N$3:$N$5001,BD!$B$3:$B$5001,I$219,BD!$A$3:$A$5001,_xlfn.MAXIFS(BD!$A$3:$A$5001,BD!$B$3:$B$5001,I$219,BD!$A$3:$A$5001,"&gt;="&amp;$C$7,BD!$A$3:$A$5001,"&lt;="&amp;$B225,BD!$N$3:$N$5001,"&lt;&gt;"))))</f>
        <v/>
      </c>
      <c r="J225" s="43" t="str">
        <f>IF(OR($B225="",$A225&gt;$B$9,J$219=""),"",IF(COUNTIFS(BD!$B$3:$B$5001,J$219,BD!$A$3:$A$5001,"&gt;="&amp;$C$7,BD!$A$3:$A$5001,"&lt;="&amp;$B225,BD!$N$3:$N$5001,"&lt;&gt;")=0,"",SUMIFS(BD!$N$3:$N$5001,BD!$B$3:$B$5001,J$219,BD!$A$3:$A$5001,_xlfn.MAXIFS(BD!$A$3:$A$5001,BD!$B$3:$B$5001,J$219,BD!$A$3:$A$5001,"&gt;="&amp;$C$7,BD!$A$3:$A$5001,"&lt;="&amp;$B225,BD!$N$3:$N$5001,"&lt;&gt;"))))</f>
        <v/>
      </c>
      <c r="K225" s="43" t="str">
        <f>IF(OR($B225="",$A225&gt;$B$9,K$219=""),"",IF(COUNTIFS(BD!$B$3:$B$5001,K$219,BD!$A$3:$A$5001,"&gt;="&amp;$C$7,BD!$A$3:$A$5001,"&lt;="&amp;$B225,BD!$N$3:$N$5001,"&lt;&gt;")=0,"",SUMIFS(BD!$N$3:$N$5001,BD!$B$3:$B$5001,K$219,BD!$A$3:$A$5001,_xlfn.MAXIFS(BD!$A$3:$A$5001,BD!$B$3:$B$5001,K$219,BD!$A$3:$A$5001,"&gt;="&amp;$C$7,BD!$A$3:$A$5001,"&lt;="&amp;$B225,BD!$N$3:$N$5001,"&lt;&gt;"))))</f>
        <v/>
      </c>
      <c r="L225" s="43" t="str">
        <f>IF(OR($B225="",$A225&gt;$B$9,L$219=""),"",IF(COUNTIFS(BD!$B$3:$B$5001,L$219,BD!$A$3:$A$5001,"&gt;="&amp;$C$7,BD!$A$3:$A$5001,"&lt;="&amp;$B225,BD!$N$3:$N$5001,"&lt;&gt;")=0,"",SUMIFS(BD!$N$3:$N$5001,BD!$B$3:$B$5001,L$219,BD!$A$3:$A$5001,_xlfn.MAXIFS(BD!$A$3:$A$5001,BD!$B$3:$B$5001,L$219,BD!$A$3:$A$5001,"&gt;="&amp;$C$7,BD!$A$3:$A$5001,"&lt;="&amp;$B225,BD!$N$3:$N$5001,"&lt;&gt;"))))</f>
        <v/>
      </c>
      <c r="M225" s="43" t="str">
        <f>IF(OR($B225="",$A225&gt;$B$9,M$219=""),"",IF(COUNTIFS(BD!$B$3:$B$5001,M$219,BD!$A$3:$A$5001,"&gt;="&amp;$C$7,BD!$A$3:$A$5001,"&lt;="&amp;$B225,BD!$N$3:$N$5001,"&lt;&gt;")=0,"",SUMIFS(BD!$N$3:$N$5001,BD!$B$3:$B$5001,M$219,BD!$A$3:$A$5001,_xlfn.MAXIFS(BD!$A$3:$A$5001,BD!$B$3:$B$5001,M$219,BD!$A$3:$A$5001,"&gt;="&amp;$C$7,BD!$A$3:$A$5001,"&lt;="&amp;$B225,BD!$N$3:$N$5001,"&lt;&gt;"))))</f>
        <v/>
      </c>
      <c r="N225" s="43" t="str">
        <f>IF(OR($B225="",$A225&gt;$B$9,N$219=""),"",IF(COUNTIFS(BD!$B$3:$B$5001,N$219,BD!$A$3:$A$5001,"&gt;="&amp;$C$7,BD!$A$3:$A$5001,"&lt;="&amp;$B225,BD!$N$3:$N$5001,"&lt;&gt;")=0,"",SUMIFS(BD!$N$3:$N$5001,BD!$B$3:$B$5001,N$219,BD!$A$3:$A$5001,_xlfn.MAXIFS(BD!$A$3:$A$5001,BD!$B$3:$B$5001,N$219,BD!$A$3:$A$5001,"&gt;="&amp;$C$7,BD!$A$3:$A$5001,"&lt;="&amp;$B225,BD!$N$3:$N$5001,"&lt;&gt;"))))</f>
        <v/>
      </c>
      <c r="O225" s="43" t="str">
        <f>IF(OR($B225="",$A225&gt;$B$9,O$219=""),"",IF(COUNTIFS(BD!$B$3:$B$5001,O$219,BD!$A$3:$A$5001,"&gt;="&amp;$C$7,BD!$A$3:$A$5001,"&lt;="&amp;$B225,BD!$N$3:$N$5001,"&lt;&gt;")=0,"",SUMIFS(BD!$N$3:$N$5001,BD!$B$3:$B$5001,O$219,BD!$A$3:$A$5001,_xlfn.MAXIFS(BD!$A$3:$A$5001,BD!$B$3:$B$5001,O$219,BD!$A$3:$A$5001,"&gt;="&amp;$C$7,BD!$A$3:$A$5001,"&lt;="&amp;$B225,BD!$N$3:$N$5001,"&lt;&gt;"))))</f>
        <v/>
      </c>
      <c r="P225" s="43" t="str">
        <f>IF(OR($B225="",$A225&gt;$B$9,P$219=""),"",IF(COUNTIFS(BD!$B$3:$B$5001,P$219,BD!$A$3:$A$5001,"&gt;="&amp;$C$7,BD!$A$3:$A$5001,"&lt;="&amp;$B225,BD!$N$3:$N$5001,"&lt;&gt;")=0,"",SUMIFS(BD!$N$3:$N$5001,BD!$B$3:$B$5001,P$219,BD!$A$3:$A$5001,_xlfn.MAXIFS(BD!$A$3:$A$5001,BD!$B$3:$B$5001,P$219,BD!$A$3:$A$5001,"&gt;="&amp;$C$7,BD!$A$3:$A$5001,"&lt;="&amp;$B225,BD!$N$3:$N$5001,"&lt;&gt;"))))</f>
        <v/>
      </c>
      <c r="Q225" s="43" t="str">
        <f>IF(OR($B225="",$A225&gt;$B$9,Q$219=""),"",IF(COUNTIFS(BD!$B$3:$B$5001,Q$219,BD!$A$3:$A$5001,"&gt;="&amp;$C$7,BD!$A$3:$A$5001,"&lt;="&amp;$B225,BD!$N$3:$N$5001,"&lt;&gt;")=0,"",SUMIFS(BD!$N$3:$N$5001,BD!$B$3:$B$5001,Q$219,BD!$A$3:$A$5001,_xlfn.MAXIFS(BD!$A$3:$A$5001,BD!$B$3:$B$5001,Q$219,BD!$A$3:$A$5001,"&gt;="&amp;$C$7,BD!$A$3:$A$5001,"&lt;="&amp;$B225,BD!$N$3:$N$5001,"&lt;&gt;"))))</f>
        <v/>
      </c>
      <c r="R225" s="43" t="str">
        <f>IF(OR($B225="",$A225&gt;$B$9,R$219=""),"",IF(COUNTIFS(BD!$B$3:$B$5001,R$219,BD!$A$3:$A$5001,"&gt;="&amp;$C$7,BD!$A$3:$A$5001,"&lt;="&amp;$B225,BD!$N$3:$N$5001,"&lt;&gt;")=0,"",SUMIFS(BD!$N$3:$N$5001,BD!$B$3:$B$5001,R$219,BD!$A$3:$A$5001,_xlfn.MAXIFS(BD!$A$3:$A$5001,BD!$B$3:$B$5001,R$219,BD!$A$3:$A$5001,"&gt;="&amp;$C$7,BD!$A$3:$A$5001,"&lt;="&amp;$B225,BD!$N$3:$N$5001,"&lt;&gt;"))))</f>
        <v/>
      </c>
      <c r="S225" s="43" t="str">
        <f>IF(OR($B225="",$A225&gt;$B$9,S$219=""),"",IF(COUNTIFS(BD!$B$3:$B$5001,S$219,BD!$A$3:$A$5001,"&gt;="&amp;$C$7,BD!$A$3:$A$5001,"&lt;="&amp;$B225,BD!$N$3:$N$5001,"&lt;&gt;")=0,"",SUMIFS(BD!$N$3:$N$5001,BD!$B$3:$B$5001,S$219,BD!$A$3:$A$5001,_xlfn.MAXIFS(BD!$A$3:$A$5001,BD!$B$3:$B$5001,S$219,BD!$A$3:$A$5001,"&gt;="&amp;$C$7,BD!$A$3:$A$5001,"&lt;="&amp;$B225,BD!$N$3:$N$5001,"&lt;&gt;"))))</f>
        <v/>
      </c>
      <c r="T225" s="43" t="str">
        <f>IF(OR($B225="",$A225&gt;$B$9,T$219=""),"",IF(COUNTIFS(BD!$B$3:$B$5001,T$219,BD!$A$3:$A$5001,"&gt;="&amp;$C$7,BD!$A$3:$A$5001,"&lt;="&amp;$B225,BD!$N$3:$N$5001,"&lt;&gt;")=0,"",SUMIFS(BD!$N$3:$N$5001,BD!$B$3:$B$5001,T$219,BD!$A$3:$A$5001,_xlfn.MAXIFS(BD!$A$3:$A$5001,BD!$B$3:$B$5001,T$219,BD!$A$3:$A$5001,"&gt;="&amp;$C$7,BD!$A$3:$A$5001,"&lt;="&amp;$B225,BD!$N$3:$N$5001,"&lt;&gt;"))))</f>
        <v/>
      </c>
      <c r="U225" s="43" t="str">
        <f>IF(OR($B225="",$A225&gt;$B$9,U$219=""),"",IF(COUNTIFS(BD!$B$3:$B$5001,U$219,BD!$A$3:$A$5001,"&gt;="&amp;$C$7,BD!$A$3:$A$5001,"&lt;="&amp;$B225,BD!$N$3:$N$5001,"&lt;&gt;")=0,"",SUMIFS(BD!$N$3:$N$5001,BD!$B$3:$B$5001,U$219,BD!$A$3:$A$5001,_xlfn.MAXIFS(BD!$A$3:$A$5001,BD!$B$3:$B$5001,U$219,BD!$A$3:$A$5001,"&gt;="&amp;$C$7,BD!$A$3:$A$5001,"&lt;="&amp;$B225,BD!$N$3:$N$5001,"&lt;&gt;"))))</f>
        <v/>
      </c>
      <c r="V225" s="43" t="str">
        <f>IF(OR($B225="",$A225&gt;$B$9,V$219=""),"",IF(COUNTIFS(BD!$B$3:$B$5001,V$219,BD!$A$3:$A$5001,"&gt;="&amp;$C$7,BD!$A$3:$A$5001,"&lt;="&amp;$B225,BD!$N$3:$N$5001,"&lt;&gt;")=0,"",SUMIFS(BD!$N$3:$N$5001,BD!$B$3:$B$5001,V$219,BD!$A$3:$A$5001,_xlfn.MAXIFS(BD!$A$3:$A$5001,BD!$B$3:$B$5001,V$219,BD!$A$3:$A$5001,"&gt;="&amp;$C$7,BD!$A$3:$A$5001,"&lt;="&amp;$B225,BD!$N$3:$N$5001,"&lt;&gt;"))))</f>
        <v/>
      </c>
    </row>
    <row r="226">
      <c r="A226" s="38">
        <v>7</v>
      </c>
      <c r="B226" s="42">
        <f>$B$18</f>
        <v>46302</v>
      </c>
      <c r="C226" s="43" t="str">
        <f>IF(OR($B226="",$A226&gt;$B$9,C$219=""),"",IF(COUNTIFS(BD!$B$3:$B$5001,C$219,BD!$A$3:$A$5001,"&gt;="&amp;$C$7,BD!$A$3:$A$5001,"&lt;="&amp;$B226,BD!$N$3:$N$5001,"&lt;&gt;")=0,"",SUMIFS(BD!$N$3:$N$5001,BD!$B$3:$B$5001,C$219,BD!$A$3:$A$5001,_xlfn.MAXIFS(BD!$A$3:$A$5001,BD!$B$3:$B$5001,C$219,BD!$A$3:$A$5001,"&gt;="&amp;$C$7,BD!$A$3:$A$5001,"&lt;="&amp;$B226,BD!$N$3:$N$5001,"&lt;&gt;"))))</f>
        <v/>
      </c>
      <c r="D226" s="43" t="str">
        <f>IF(OR($B226="",$A226&gt;$B$9,D$219=""),"",IF(COUNTIFS(BD!$B$3:$B$5001,D$219,BD!$A$3:$A$5001,"&gt;="&amp;$C$7,BD!$A$3:$A$5001,"&lt;="&amp;$B226,BD!$N$3:$N$5001,"&lt;&gt;")=0,"",SUMIFS(BD!$N$3:$N$5001,BD!$B$3:$B$5001,D$219,BD!$A$3:$A$5001,_xlfn.MAXIFS(BD!$A$3:$A$5001,BD!$B$3:$B$5001,D$219,BD!$A$3:$A$5001,"&gt;="&amp;$C$7,BD!$A$3:$A$5001,"&lt;="&amp;$B226,BD!$N$3:$N$5001,"&lt;&gt;"))))</f>
        <v/>
      </c>
      <c r="E226" s="43" t="str">
        <f>IF(OR($B226="",$A226&gt;$B$9,E$219=""),"",IF(COUNTIFS(BD!$B$3:$B$5001,E$219,BD!$A$3:$A$5001,"&gt;="&amp;$C$7,BD!$A$3:$A$5001,"&lt;="&amp;$B226,BD!$N$3:$N$5001,"&lt;&gt;")=0,"",SUMIFS(BD!$N$3:$N$5001,BD!$B$3:$B$5001,E$219,BD!$A$3:$A$5001,_xlfn.MAXIFS(BD!$A$3:$A$5001,BD!$B$3:$B$5001,E$219,BD!$A$3:$A$5001,"&gt;="&amp;$C$7,BD!$A$3:$A$5001,"&lt;="&amp;$B226,BD!$N$3:$N$5001,"&lt;&gt;"))))</f>
        <v/>
      </c>
      <c r="F226" s="43" t="str">
        <f>IF(OR($B226="",$A226&gt;$B$9,F$219=""),"",IF(COUNTIFS(BD!$B$3:$B$5001,F$219,BD!$A$3:$A$5001,"&gt;="&amp;$C$7,BD!$A$3:$A$5001,"&lt;="&amp;$B226,BD!$N$3:$N$5001,"&lt;&gt;")=0,"",SUMIFS(BD!$N$3:$N$5001,BD!$B$3:$B$5001,F$219,BD!$A$3:$A$5001,_xlfn.MAXIFS(BD!$A$3:$A$5001,BD!$B$3:$B$5001,F$219,BD!$A$3:$A$5001,"&gt;="&amp;$C$7,BD!$A$3:$A$5001,"&lt;="&amp;$B226,BD!$N$3:$N$5001,"&lt;&gt;"))))</f>
        <v/>
      </c>
      <c r="G226" s="43" t="str">
        <f>IF(OR($B226="",$A226&gt;$B$9,G$219=""),"",IF(COUNTIFS(BD!$B$3:$B$5001,G$219,BD!$A$3:$A$5001,"&gt;="&amp;$C$7,BD!$A$3:$A$5001,"&lt;="&amp;$B226,BD!$N$3:$N$5001,"&lt;&gt;")=0,"",SUMIFS(BD!$N$3:$N$5001,BD!$B$3:$B$5001,G$219,BD!$A$3:$A$5001,_xlfn.MAXIFS(BD!$A$3:$A$5001,BD!$B$3:$B$5001,G$219,BD!$A$3:$A$5001,"&gt;="&amp;$C$7,BD!$A$3:$A$5001,"&lt;="&amp;$B226,BD!$N$3:$N$5001,"&lt;&gt;"))))</f>
        <v/>
      </c>
      <c r="H226" s="43" t="str">
        <f>IF(OR($B226="",$A226&gt;$B$9,H$219=""),"",IF(COUNTIFS(BD!$B$3:$B$5001,H$219,BD!$A$3:$A$5001,"&gt;="&amp;$C$7,BD!$A$3:$A$5001,"&lt;="&amp;$B226,BD!$N$3:$N$5001,"&lt;&gt;")=0,"",SUMIFS(BD!$N$3:$N$5001,BD!$B$3:$B$5001,H$219,BD!$A$3:$A$5001,_xlfn.MAXIFS(BD!$A$3:$A$5001,BD!$B$3:$B$5001,H$219,BD!$A$3:$A$5001,"&gt;="&amp;$C$7,BD!$A$3:$A$5001,"&lt;="&amp;$B226,BD!$N$3:$N$5001,"&lt;&gt;"))))</f>
        <v/>
      </c>
      <c r="I226" s="43" t="str">
        <f>IF(OR($B226="",$A226&gt;$B$9,I$219=""),"",IF(COUNTIFS(BD!$B$3:$B$5001,I$219,BD!$A$3:$A$5001,"&gt;="&amp;$C$7,BD!$A$3:$A$5001,"&lt;="&amp;$B226,BD!$N$3:$N$5001,"&lt;&gt;")=0,"",SUMIFS(BD!$N$3:$N$5001,BD!$B$3:$B$5001,I$219,BD!$A$3:$A$5001,_xlfn.MAXIFS(BD!$A$3:$A$5001,BD!$B$3:$B$5001,I$219,BD!$A$3:$A$5001,"&gt;="&amp;$C$7,BD!$A$3:$A$5001,"&lt;="&amp;$B226,BD!$N$3:$N$5001,"&lt;&gt;"))))</f>
        <v/>
      </c>
      <c r="J226" s="43" t="str">
        <f>IF(OR($B226="",$A226&gt;$B$9,J$219=""),"",IF(COUNTIFS(BD!$B$3:$B$5001,J$219,BD!$A$3:$A$5001,"&gt;="&amp;$C$7,BD!$A$3:$A$5001,"&lt;="&amp;$B226,BD!$N$3:$N$5001,"&lt;&gt;")=0,"",SUMIFS(BD!$N$3:$N$5001,BD!$B$3:$B$5001,J$219,BD!$A$3:$A$5001,_xlfn.MAXIFS(BD!$A$3:$A$5001,BD!$B$3:$B$5001,J$219,BD!$A$3:$A$5001,"&gt;="&amp;$C$7,BD!$A$3:$A$5001,"&lt;="&amp;$B226,BD!$N$3:$N$5001,"&lt;&gt;"))))</f>
        <v/>
      </c>
      <c r="K226" s="43" t="str">
        <f>IF(OR($B226="",$A226&gt;$B$9,K$219=""),"",IF(COUNTIFS(BD!$B$3:$B$5001,K$219,BD!$A$3:$A$5001,"&gt;="&amp;$C$7,BD!$A$3:$A$5001,"&lt;="&amp;$B226,BD!$N$3:$N$5001,"&lt;&gt;")=0,"",SUMIFS(BD!$N$3:$N$5001,BD!$B$3:$B$5001,K$219,BD!$A$3:$A$5001,_xlfn.MAXIFS(BD!$A$3:$A$5001,BD!$B$3:$B$5001,K$219,BD!$A$3:$A$5001,"&gt;="&amp;$C$7,BD!$A$3:$A$5001,"&lt;="&amp;$B226,BD!$N$3:$N$5001,"&lt;&gt;"))))</f>
        <v/>
      </c>
      <c r="L226" s="43" t="str">
        <f>IF(OR($B226="",$A226&gt;$B$9,L$219=""),"",IF(COUNTIFS(BD!$B$3:$B$5001,L$219,BD!$A$3:$A$5001,"&gt;="&amp;$C$7,BD!$A$3:$A$5001,"&lt;="&amp;$B226,BD!$N$3:$N$5001,"&lt;&gt;")=0,"",SUMIFS(BD!$N$3:$N$5001,BD!$B$3:$B$5001,L$219,BD!$A$3:$A$5001,_xlfn.MAXIFS(BD!$A$3:$A$5001,BD!$B$3:$B$5001,L$219,BD!$A$3:$A$5001,"&gt;="&amp;$C$7,BD!$A$3:$A$5001,"&lt;="&amp;$B226,BD!$N$3:$N$5001,"&lt;&gt;"))))</f>
        <v/>
      </c>
      <c r="M226" s="43" t="str">
        <f>IF(OR($B226="",$A226&gt;$B$9,M$219=""),"",IF(COUNTIFS(BD!$B$3:$B$5001,M$219,BD!$A$3:$A$5001,"&gt;="&amp;$C$7,BD!$A$3:$A$5001,"&lt;="&amp;$B226,BD!$N$3:$N$5001,"&lt;&gt;")=0,"",SUMIFS(BD!$N$3:$N$5001,BD!$B$3:$B$5001,M$219,BD!$A$3:$A$5001,_xlfn.MAXIFS(BD!$A$3:$A$5001,BD!$B$3:$B$5001,M$219,BD!$A$3:$A$5001,"&gt;="&amp;$C$7,BD!$A$3:$A$5001,"&lt;="&amp;$B226,BD!$N$3:$N$5001,"&lt;&gt;"))))</f>
        <v/>
      </c>
      <c r="N226" s="43" t="str">
        <f>IF(OR($B226="",$A226&gt;$B$9,N$219=""),"",IF(COUNTIFS(BD!$B$3:$B$5001,N$219,BD!$A$3:$A$5001,"&gt;="&amp;$C$7,BD!$A$3:$A$5001,"&lt;="&amp;$B226,BD!$N$3:$N$5001,"&lt;&gt;")=0,"",SUMIFS(BD!$N$3:$N$5001,BD!$B$3:$B$5001,N$219,BD!$A$3:$A$5001,_xlfn.MAXIFS(BD!$A$3:$A$5001,BD!$B$3:$B$5001,N$219,BD!$A$3:$A$5001,"&gt;="&amp;$C$7,BD!$A$3:$A$5001,"&lt;="&amp;$B226,BD!$N$3:$N$5001,"&lt;&gt;"))))</f>
        <v/>
      </c>
      <c r="O226" s="43" t="str">
        <f>IF(OR($B226="",$A226&gt;$B$9,O$219=""),"",IF(COUNTIFS(BD!$B$3:$B$5001,O$219,BD!$A$3:$A$5001,"&gt;="&amp;$C$7,BD!$A$3:$A$5001,"&lt;="&amp;$B226,BD!$N$3:$N$5001,"&lt;&gt;")=0,"",SUMIFS(BD!$N$3:$N$5001,BD!$B$3:$B$5001,O$219,BD!$A$3:$A$5001,_xlfn.MAXIFS(BD!$A$3:$A$5001,BD!$B$3:$B$5001,O$219,BD!$A$3:$A$5001,"&gt;="&amp;$C$7,BD!$A$3:$A$5001,"&lt;="&amp;$B226,BD!$N$3:$N$5001,"&lt;&gt;"))))</f>
        <v/>
      </c>
      <c r="P226" s="43" t="str">
        <f>IF(OR($B226="",$A226&gt;$B$9,P$219=""),"",IF(COUNTIFS(BD!$B$3:$B$5001,P$219,BD!$A$3:$A$5001,"&gt;="&amp;$C$7,BD!$A$3:$A$5001,"&lt;="&amp;$B226,BD!$N$3:$N$5001,"&lt;&gt;")=0,"",SUMIFS(BD!$N$3:$N$5001,BD!$B$3:$B$5001,P$219,BD!$A$3:$A$5001,_xlfn.MAXIFS(BD!$A$3:$A$5001,BD!$B$3:$B$5001,P$219,BD!$A$3:$A$5001,"&gt;="&amp;$C$7,BD!$A$3:$A$5001,"&lt;="&amp;$B226,BD!$N$3:$N$5001,"&lt;&gt;"))))</f>
        <v/>
      </c>
      <c r="Q226" s="43" t="str">
        <f>IF(OR($B226="",$A226&gt;$B$9,Q$219=""),"",IF(COUNTIFS(BD!$B$3:$B$5001,Q$219,BD!$A$3:$A$5001,"&gt;="&amp;$C$7,BD!$A$3:$A$5001,"&lt;="&amp;$B226,BD!$N$3:$N$5001,"&lt;&gt;")=0,"",SUMIFS(BD!$N$3:$N$5001,BD!$B$3:$B$5001,Q$219,BD!$A$3:$A$5001,_xlfn.MAXIFS(BD!$A$3:$A$5001,BD!$B$3:$B$5001,Q$219,BD!$A$3:$A$5001,"&gt;="&amp;$C$7,BD!$A$3:$A$5001,"&lt;="&amp;$B226,BD!$N$3:$N$5001,"&lt;&gt;"))))</f>
        <v/>
      </c>
      <c r="R226" s="43" t="str">
        <f>IF(OR($B226="",$A226&gt;$B$9,R$219=""),"",IF(COUNTIFS(BD!$B$3:$B$5001,R$219,BD!$A$3:$A$5001,"&gt;="&amp;$C$7,BD!$A$3:$A$5001,"&lt;="&amp;$B226,BD!$N$3:$N$5001,"&lt;&gt;")=0,"",SUMIFS(BD!$N$3:$N$5001,BD!$B$3:$B$5001,R$219,BD!$A$3:$A$5001,_xlfn.MAXIFS(BD!$A$3:$A$5001,BD!$B$3:$B$5001,R$219,BD!$A$3:$A$5001,"&gt;="&amp;$C$7,BD!$A$3:$A$5001,"&lt;="&amp;$B226,BD!$N$3:$N$5001,"&lt;&gt;"))))</f>
        <v/>
      </c>
      <c r="S226" s="43" t="str">
        <f>IF(OR($B226="",$A226&gt;$B$9,S$219=""),"",IF(COUNTIFS(BD!$B$3:$B$5001,S$219,BD!$A$3:$A$5001,"&gt;="&amp;$C$7,BD!$A$3:$A$5001,"&lt;="&amp;$B226,BD!$N$3:$N$5001,"&lt;&gt;")=0,"",SUMIFS(BD!$N$3:$N$5001,BD!$B$3:$B$5001,S$219,BD!$A$3:$A$5001,_xlfn.MAXIFS(BD!$A$3:$A$5001,BD!$B$3:$B$5001,S$219,BD!$A$3:$A$5001,"&gt;="&amp;$C$7,BD!$A$3:$A$5001,"&lt;="&amp;$B226,BD!$N$3:$N$5001,"&lt;&gt;"))))</f>
        <v/>
      </c>
      <c r="T226" s="43" t="str">
        <f>IF(OR($B226="",$A226&gt;$B$9,T$219=""),"",IF(COUNTIFS(BD!$B$3:$B$5001,T$219,BD!$A$3:$A$5001,"&gt;="&amp;$C$7,BD!$A$3:$A$5001,"&lt;="&amp;$B226,BD!$N$3:$N$5001,"&lt;&gt;")=0,"",SUMIFS(BD!$N$3:$N$5001,BD!$B$3:$B$5001,T$219,BD!$A$3:$A$5001,_xlfn.MAXIFS(BD!$A$3:$A$5001,BD!$B$3:$B$5001,T$219,BD!$A$3:$A$5001,"&gt;="&amp;$C$7,BD!$A$3:$A$5001,"&lt;="&amp;$B226,BD!$N$3:$N$5001,"&lt;&gt;"))))</f>
        <v/>
      </c>
      <c r="U226" s="43" t="str">
        <f>IF(OR($B226="",$A226&gt;$B$9,U$219=""),"",IF(COUNTIFS(BD!$B$3:$B$5001,U$219,BD!$A$3:$A$5001,"&gt;="&amp;$C$7,BD!$A$3:$A$5001,"&lt;="&amp;$B226,BD!$N$3:$N$5001,"&lt;&gt;")=0,"",SUMIFS(BD!$N$3:$N$5001,BD!$B$3:$B$5001,U$219,BD!$A$3:$A$5001,_xlfn.MAXIFS(BD!$A$3:$A$5001,BD!$B$3:$B$5001,U$219,BD!$A$3:$A$5001,"&gt;="&amp;$C$7,BD!$A$3:$A$5001,"&lt;="&amp;$B226,BD!$N$3:$N$5001,"&lt;&gt;"))))</f>
        <v/>
      </c>
      <c r="V226" s="43" t="str">
        <f>IF(OR($B226="",$A226&gt;$B$9,V$219=""),"",IF(COUNTIFS(BD!$B$3:$B$5001,V$219,BD!$A$3:$A$5001,"&gt;="&amp;$C$7,BD!$A$3:$A$5001,"&lt;="&amp;$B226,BD!$N$3:$N$5001,"&lt;&gt;")=0,"",SUMIFS(BD!$N$3:$N$5001,BD!$B$3:$B$5001,V$219,BD!$A$3:$A$5001,_xlfn.MAXIFS(BD!$A$3:$A$5001,BD!$B$3:$B$5001,V$219,BD!$A$3:$A$5001,"&gt;="&amp;$C$7,BD!$A$3:$A$5001,"&lt;="&amp;$B226,BD!$N$3:$N$5001,"&lt;&gt;"))))</f>
        <v/>
      </c>
    </row>
    <row r="227">
      <c r="A227" s="38">
        <v>8</v>
      </c>
      <c r="B227" s="42">
        <f>$B$19</f>
        <v>46303</v>
      </c>
      <c r="C227" s="43" t="str">
        <f>IF(OR($B227="",$A227&gt;$B$9,C$219=""),"",IF(COUNTIFS(BD!$B$3:$B$5001,C$219,BD!$A$3:$A$5001,"&gt;="&amp;$C$7,BD!$A$3:$A$5001,"&lt;="&amp;$B227,BD!$N$3:$N$5001,"&lt;&gt;")=0,"",SUMIFS(BD!$N$3:$N$5001,BD!$B$3:$B$5001,C$219,BD!$A$3:$A$5001,_xlfn.MAXIFS(BD!$A$3:$A$5001,BD!$B$3:$B$5001,C$219,BD!$A$3:$A$5001,"&gt;="&amp;$C$7,BD!$A$3:$A$5001,"&lt;="&amp;$B227,BD!$N$3:$N$5001,"&lt;&gt;"))))</f>
        <v/>
      </c>
      <c r="D227" s="43" t="str">
        <f>IF(OR($B227="",$A227&gt;$B$9,D$219=""),"",IF(COUNTIFS(BD!$B$3:$B$5001,D$219,BD!$A$3:$A$5001,"&gt;="&amp;$C$7,BD!$A$3:$A$5001,"&lt;="&amp;$B227,BD!$N$3:$N$5001,"&lt;&gt;")=0,"",SUMIFS(BD!$N$3:$N$5001,BD!$B$3:$B$5001,D$219,BD!$A$3:$A$5001,_xlfn.MAXIFS(BD!$A$3:$A$5001,BD!$B$3:$B$5001,D$219,BD!$A$3:$A$5001,"&gt;="&amp;$C$7,BD!$A$3:$A$5001,"&lt;="&amp;$B227,BD!$N$3:$N$5001,"&lt;&gt;"))))</f>
        <v/>
      </c>
      <c r="E227" s="43" t="str">
        <f>IF(OR($B227="",$A227&gt;$B$9,E$219=""),"",IF(COUNTIFS(BD!$B$3:$B$5001,E$219,BD!$A$3:$A$5001,"&gt;="&amp;$C$7,BD!$A$3:$A$5001,"&lt;="&amp;$B227,BD!$N$3:$N$5001,"&lt;&gt;")=0,"",SUMIFS(BD!$N$3:$N$5001,BD!$B$3:$B$5001,E$219,BD!$A$3:$A$5001,_xlfn.MAXIFS(BD!$A$3:$A$5001,BD!$B$3:$B$5001,E$219,BD!$A$3:$A$5001,"&gt;="&amp;$C$7,BD!$A$3:$A$5001,"&lt;="&amp;$B227,BD!$N$3:$N$5001,"&lt;&gt;"))))</f>
        <v/>
      </c>
      <c r="F227" s="43" t="str">
        <f>IF(OR($B227="",$A227&gt;$B$9,F$219=""),"",IF(COUNTIFS(BD!$B$3:$B$5001,F$219,BD!$A$3:$A$5001,"&gt;="&amp;$C$7,BD!$A$3:$A$5001,"&lt;="&amp;$B227,BD!$N$3:$N$5001,"&lt;&gt;")=0,"",SUMIFS(BD!$N$3:$N$5001,BD!$B$3:$B$5001,F$219,BD!$A$3:$A$5001,_xlfn.MAXIFS(BD!$A$3:$A$5001,BD!$B$3:$B$5001,F$219,BD!$A$3:$A$5001,"&gt;="&amp;$C$7,BD!$A$3:$A$5001,"&lt;="&amp;$B227,BD!$N$3:$N$5001,"&lt;&gt;"))))</f>
        <v/>
      </c>
      <c r="G227" s="43" t="str">
        <f>IF(OR($B227="",$A227&gt;$B$9,G$219=""),"",IF(COUNTIFS(BD!$B$3:$B$5001,G$219,BD!$A$3:$A$5001,"&gt;="&amp;$C$7,BD!$A$3:$A$5001,"&lt;="&amp;$B227,BD!$N$3:$N$5001,"&lt;&gt;")=0,"",SUMIFS(BD!$N$3:$N$5001,BD!$B$3:$B$5001,G$219,BD!$A$3:$A$5001,_xlfn.MAXIFS(BD!$A$3:$A$5001,BD!$B$3:$B$5001,G$219,BD!$A$3:$A$5001,"&gt;="&amp;$C$7,BD!$A$3:$A$5001,"&lt;="&amp;$B227,BD!$N$3:$N$5001,"&lt;&gt;"))))</f>
        <v/>
      </c>
      <c r="H227" s="43" t="str">
        <f>IF(OR($B227="",$A227&gt;$B$9,H$219=""),"",IF(COUNTIFS(BD!$B$3:$B$5001,H$219,BD!$A$3:$A$5001,"&gt;="&amp;$C$7,BD!$A$3:$A$5001,"&lt;="&amp;$B227,BD!$N$3:$N$5001,"&lt;&gt;")=0,"",SUMIFS(BD!$N$3:$N$5001,BD!$B$3:$B$5001,H$219,BD!$A$3:$A$5001,_xlfn.MAXIFS(BD!$A$3:$A$5001,BD!$B$3:$B$5001,H$219,BD!$A$3:$A$5001,"&gt;="&amp;$C$7,BD!$A$3:$A$5001,"&lt;="&amp;$B227,BD!$N$3:$N$5001,"&lt;&gt;"))))</f>
        <v/>
      </c>
      <c r="I227" s="43" t="str">
        <f>IF(OR($B227="",$A227&gt;$B$9,I$219=""),"",IF(COUNTIFS(BD!$B$3:$B$5001,I$219,BD!$A$3:$A$5001,"&gt;="&amp;$C$7,BD!$A$3:$A$5001,"&lt;="&amp;$B227,BD!$N$3:$N$5001,"&lt;&gt;")=0,"",SUMIFS(BD!$N$3:$N$5001,BD!$B$3:$B$5001,I$219,BD!$A$3:$A$5001,_xlfn.MAXIFS(BD!$A$3:$A$5001,BD!$B$3:$B$5001,I$219,BD!$A$3:$A$5001,"&gt;="&amp;$C$7,BD!$A$3:$A$5001,"&lt;="&amp;$B227,BD!$N$3:$N$5001,"&lt;&gt;"))))</f>
        <v/>
      </c>
      <c r="J227" s="43" t="str">
        <f>IF(OR($B227="",$A227&gt;$B$9,J$219=""),"",IF(COUNTIFS(BD!$B$3:$B$5001,J$219,BD!$A$3:$A$5001,"&gt;="&amp;$C$7,BD!$A$3:$A$5001,"&lt;="&amp;$B227,BD!$N$3:$N$5001,"&lt;&gt;")=0,"",SUMIFS(BD!$N$3:$N$5001,BD!$B$3:$B$5001,J$219,BD!$A$3:$A$5001,_xlfn.MAXIFS(BD!$A$3:$A$5001,BD!$B$3:$B$5001,J$219,BD!$A$3:$A$5001,"&gt;="&amp;$C$7,BD!$A$3:$A$5001,"&lt;="&amp;$B227,BD!$N$3:$N$5001,"&lt;&gt;"))))</f>
        <v/>
      </c>
      <c r="K227" s="43" t="str">
        <f>IF(OR($B227="",$A227&gt;$B$9,K$219=""),"",IF(COUNTIFS(BD!$B$3:$B$5001,K$219,BD!$A$3:$A$5001,"&gt;="&amp;$C$7,BD!$A$3:$A$5001,"&lt;="&amp;$B227,BD!$N$3:$N$5001,"&lt;&gt;")=0,"",SUMIFS(BD!$N$3:$N$5001,BD!$B$3:$B$5001,K$219,BD!$A$3:$A$5001,_xlfn.MAXIFS(BD!$A$3:$A$5001,BD!$B$3:$B$5001,K$219,BD!$A$3:$A$5001,"&gt;="&amp;$C$7,BD!$A$3:$A$5001,"&lt;="&amp;$B227,BD!$N$3:$N$5001,"&lt;&gt;"))))</f>
        <v/>
      </c>
      <c r="L227" s="43" t="str">
        <f>IF(OR($B227="",$A227&gt;$B$9,L$219=""),"",IF(COUNTIFS(BD!$B$3:$B$5001,L$219,BD!$A$3:$A$5001,"&gt;="&amp;$C$7,BD!$A$3:$A$5001,"&lt;="&amp;$B227,BD!$N$3:$N$5001,"&lt;&gt;")=0,"",SUMIFS(BD!$N$3:$N$5001,BD!$B$3:$B$5001,L$219,BD!$A$3:$A$5001,_xlfn.MAXIFS(BD!$A$3:$A$5001,BD!$B$3:$B$5001,L$219,BD!$A$3:$A$5001,"&gt;="&amp;$C$7,BD!$A$3:$A$5001,"&lt;="&amp;$B227,BD!$N$3:$N$5001,"&lt;&gt;"))))</f>
        <v/>
      </c>
      <c r="M227" s="43" t="str">
        <f>IF(OR($B227="",$A227&gt;$B$9,M$219=""),"",IF(COUNTIFS(BD!$B$3:$B$5001,M$219,BD!$A$3:$A$5001,"&gt;="&amp;$C$7,BD!$A$3:$A$5001,"&lt;="&amp;$B227,BD!$N$3:$N$5001,"&lt;&gt;")=0,"",SUMIFS(BD!$N$3:$N$5001,BD!$B$3:$B$5001,M$219,BD!$A$3:$A$5001,_xlfn.MAXIFS(BD!$A$3:$A$5001,BD!$B$3:$B$5001,M$219,BD!$A$3:$A$5001,"&gt;="&amp;$C$7,BD!$A$3:$A$5001,"&lt;="&amp;$B227,BD!$N$3:$N$5001,"&lt;&gt;"))))</f>
        <v/>
      </c>
      <c r="N227" s="43" t="str">
        <f>IF(OR($B227="",$A227&gt;$B$9,N$219=""),"",IF(COUNTIFS(BD!$B$3:$B$5001,N$219,BD!$A$3:$A$5001,"&gt;="&amp;$C$7,BD!$A$3:$A$5001,"&lt;="&amp;$B227,BD!$N$3:$N$5001,"&lt;&gt;")=0,"",SUMIFS(BD!$N$3:$N$5001,BD!$B$3:$B$5001,N$219,BD!$A$3:$A$5001,_xlfn.MAXIFS(BD!$A$3:$A$5001,BD!$B$3:$B$5001,N$219,BD!$A$3:$A$5001,"&gt;="&amp;$C$7,BD!$A$3:$A$5001,"&lt;="&amp;$B227,BD!$N$3:$N$5001,"&lt;&gt;"))))</f>
        <v/>
      </c>
      <c r="O227" s="43" t="str">
        <f>IF(OR($B227="",$A227&gt;$B$9,O$219=""),"",IF(COUNTIFS(BD!$B$3:$B$5001,O$219,BD!$A$3:$A$5001,"&gt;="&amp;$C$7,BD!$A$3:$A$5001,"&lt;="&amp;$B227,BD!$N$3:$N$5001,"&lt;&gt;")=0,"",SUMIFS(BD!$N$3:$N$5001,BD!$B$3:$B$5001,O$219,BD!$A$3:$A$5001,_xlfn.MAXIFS(BD!$A$3:$A$5001,BD!$B$3:$B$5001,O$219,BD!$A$3:$A$5001,"&gt;="&amp;$C$7,BD!$A$3:$A$5001,"&lt;="&amp;$B227,BD!$N$3:$N$5001,"&lt;&gt;"))))</f>
        <v/>
      </c>
      <c r="P227" s="43" t="str">
        <f>IF(OR($B227="",$A227&gt;$B$9,P$219=""),"",IF(COUNTIFS(BD!$B$3:$B$5001,P$219,BD!$A$3:$A$5001,"&gt;="&amp;$C$7,BD!$A$3:$A$5001,"&lt;="&amp;$B227,BD!$N$3:$N$5001,"&lt;&gt;")=0,"",SUMIFS(BD!$N$3:$N$5001,BD!$B$3:$B$5001,P$219,BD!$A$3:$A$5001,_xlfn.MAXIFS(BD!$A$3:$A$5001,BD!$B$3:$B$5001,P$219,BD!$A$3:$A$5001,"&gt;="&amp;$C$7,BD!$A$3:$A$5001,"&lt;="&amp;$B227,BD!$N$3:$N$5001,"&lt;&gt;"))))</f>
        <v/>
      </c>
      <c r="Q227" s="43" t="str">
        <f>IF(OR($B227="",$A227&gt;$B$9,Q$219=""),"",IF(COUNTIFS(BD!$B$3:$B$5001,Q$219,BD!$A$3:$A$5001,"&gt;="&amp;$C$7,BD!$A$3:$A$5001,"&lt;="&amp;$B227,BD!$N$3:$N$5001,"&lt;&gt;")=0,"",SUMIFS(BD!$N$3:$N$5001,BD!$B$3:$B$5001,Q$219,BD!$A$3:$A$5001,_xlfn.MAXIFS(BD!$A$3:$A$5001,BD!$B$3:$B$5001,Q$219,BD!$A$3:$A$5001,"&gt;="&amp;$C$7,BD!$A$3:$A$5001,"&lt;="&amp;$B227,BD!$N$3:$N$5001,"&lt;&gt;"))))</f>
        <v/>
      </c>
      <c r="R227" s="43" t="str">
        <f>IF(OR($B227="",$A227&gt;$B$9,R$219=""),"",IF(COUNTIFS(BD!$B$3:$B$5001,R$219,BD!$A$3:$A$5001,"&gt;="&amp;$C$7,BD!$A$3:$A$5001,"&lt;="&amp;$B227,BD!$N$3:$N$5001,"&lt;&gt;")=0,"",SUMIFS(BD!$N$3:$N$5001,BD!$B$3:$B$5001,R$219,BD!$A$3:$A$5001,_xlfn.MAXIFS(BD!$A$3:$A$5001,BD!$B$3:$B$5001,R$219,BD!$A$3:$A$5001,"&gt;="&amp;$C$7,BD!$A$3:$A$5001,"&lt;="&amp;$B227,BD!$N$3:$N$5001,"&lt;&gt;"))))</f>
        <v/>
      </c>
      <c r="S227" s="43" t="str">
        <f>IF(OR($B227="",$A227&gt;$B$9,S$219=""),"",IF(COUNTIFS(BD!$B$3:$B$5001,S$219,BD!$A$3:$A$5001,"&gt;="&amp;$C$7,BD!$A$3:$A$5001,"&lt;="&amp;$B227,BD!$N$3:$N$5001,"&lt;&gt;")=0,"",SUMIFS(BD!$N$3:$N$5001,BD!$B$3:$B$5001,S$219,BD!$A$3:$A$5001,_xlfn.MAXIFS(BD!$A$3:$A$5001,BD!$B$3:$B$5001,S$219,BD!$A$3:$A$5001,"&gt;="&amp;$C$7,BD!$A$3:$A$5001,"&lt;="&amp;$B227,BD!$N$3:$N$5001,"&lt;&gt;"))))</f>
        <v/>
      </c>
      <c r="T227" s="43" t="str">
        <f>IF(OR($B227="",$A227&gt;$B$9,T$219=""),"",IF(COUNTIFS(BD!$B$3:$B$5001,T$219,BD!$A$3:$A$5001,"&gt;="&amp;$C$7,BD!$A$3:$A$5001,"&lt;="&amp;$B227,BD!$N$3:$N$5001,"&lt;&gt;")=0,"",SUMIFS(BD!$N$3:$N$5001,BD!$B$3:$B$5001,T$219,BD!$A$3:$A$5001,_xlfn.MAXIFS(BD!$A$3:$A$5001,BD!$B$3:$B$5001,T$219,BD!$A$3:$A$5001,"&gt;="&amp;$C$7,BD!$A$3:$A$5001,"&lt;="&amp;$B227,BD!$N$3:$N$5001,"&lt;&gt;"))))</f>
        <v/>
      </c>
      <c r="U227" s="43" t="str">
        <f>IF(OR($B227="",$A227&gt;$B$9,U$219=""),"",IF(COUNTIFS(BD!$B$3:$B$5001,U$219,BD!$A$3:$A$5001,"&gt;="&amp;$C$7,BD!$A$3:$A$5001,"&lt;="&amp;$B227,BD!$N$3:$N$5001,"&lt;&gt;")=0,"",SUMIFS(BD!$N$3:$N$5001,BD!$B$3:$B$5001,U$219,BD!$A$3:$A$5001,_xlfn.MAXIFS(BD!$A$3:$A$5001,BD!$B$3:$B$5001,U$219,BD!$A$3:$A$5001,"&gt;="&amp;$C$7,BD!$A$3:$A$5001,"&lt;="&amp;$B227,BD!$N$3:$N$5001,"&lt;&gt;"))))</f>
        <v/>
      </c>
      <c r="V227" s="43" t="str">
        <f>IF(OR($B227="",$A227&gt;$B$9,V$219=""),"",IF(COUNTIFS(BD!$B$3:$B$5001,V$219,BD!$A$3:$A$5001,"&gt;="&amp;$C$7,BD!$A$3:$A$5001,"&lt;="&amp;$B227,BD!$N$3:$N$5001,"&lt;&gt;")=0,"",SUMIFS(BD!$N$3:$N$5001,BD!$B$3:$B$5001,V$219,BD!$A$3:$A$5001,_xlfn.MAXIFS(BD!$A$3:$A$5001,BD!$B$3:$B$5001,V$219,BD!$A$3:$A$5001,"&gt;="&amp;$C$7,BD!$A$3:$A$5001,"&lt;="&amp;$B227,BD!$N$3:$N$5001,"&lt;&gt;"))))</f>
        <v/>
      </c>
    </row>
    <row r="228">
      <c r="A228" s="38">
        <v>9</v>
      </c>
      <c r="B228" s="42">
        <f>$B$20</f>
        <v>46304</v>
      </c>
      <c r="C228" s="43" t="str">
        <f>IF(OR($B228="",$A228&gt;$B$9,C$219=""),"",IF(COUNTIFS(BD!$B$3:$B$5001,C$219,BD!$A$3:$A$5001,"&gt;="&amp;$C$7,BD!$A$3:$A$5001,"&lt;="&amp;$B228,BD!$N$3:$N$5001,"&lt;&gt;")=0,"",SUMIFS(BD!$N$3:$N$5001,BD!$B$3:$B$5001,C$219,BD!$A$3:$A$5001,_xlfn.MAXIFS(BD!$A$3:$A$5001,BD!$B$3:$B$5001,C$219,BD!$A$3:$A$5001,"&gt;="&amp;$C$7,BD!$A$3:$A$5001,"&lt;="&amp;$B228,BD!$N$3:$N$5001,"&lt;&gt;"))))</f>
        <v/>
      </c>
      <c r="D228" s="43" t="str">
        <f>IF(OR($B228="",$A228&gt;$B$9,D$219=""),"",IF(COUNTIFS(BD!$B$3:$B$5001,D$219,BD!$A$3:$A$5001,"&gt;="&amp;$C$7,BD!$A$3:$A$5001,"&lt;="&amp;$B228,BD!$N$3:$N$5001,"&lt;&gt;")=0,"",SUMIFS(BD!$N$3:$N$5001,BD!$B$3:$B$5001,D$219,BD!$A$3:$A$5001,_xlfn.MAXIFS(BD!$A$3:$A$5001,BD!$B$3:$B$5001,D$219,BD!$A$3:$A$5001,"&gt;="&amp;$C$7,BD!$A$3:$A$5001,"&lt;="&amp;$B228,BD!$N$3:$N$5001,"&lt;&gt;"))))</f>
        <v/>
      </c>
      <c r="E228" s="43" t="str">
        <f>IF(OR($B228="",$A228&gt;$B$9,E$219=""),"",IF(COUNTIFS(BD!$B$3:$B$5001,E$219,BD!$A$3:$A$5001,"&gt;="&amp;$C$7,BD!$A$3:$A$5001,"&lt;="&amp;$B228,BD!$N$3:$N$5001,"&lt;&gt;")=0,"",SUMIFS(BD!$N$3:$N$5001,BD!$B$3:$B$5001,E$219,BD!$A$3:$A$5001,_xlfn.MAXIFS(BD!$A$3:$A$5001,BD!$B$3:$B$5001,E$219,BD!$A$3:$A$5001,"&gt;="&amp;$C$7,BD!$A$3:$A$5001,"&lt;="&amp;$B228,BD!$N$3:$N$5001,"&lt;&gt;"))))</f>
        <v/>
      </c>
      <c r="F228" s="43" t="str">
        <f>IF(OR($B228="",$A228&gt;$B$9,F$219=""),"",IF(COUNTIFS(BD!$B$3:$B$5001,F$219,BD!$A$3:$A$5001,"&gt;="&amp;$C$7,BD!$A$3:$A$5001,"&lt;="&amp;$B228,BD!$N$3:$N$5001,"&lt;&gt;")=0,"",SUMIFS(BD!$N$3:$N$5001,BD!$B$3:$B$5001,F$219,BD!$A$3:$A$5001,_xlfn.MAXIFS(BD!$A$3:$A$5001,BD!$B$3:$B$5001,F$219,BD!$A$3:$A$5001,"&gt;="&amp;$C$7,BD!$A$3:$A$5001,"&lt;="&amp;$B228,BD!$N$3:$N$5001,"&lt;&gt;"))))</f>
        <v/>
      </c>
      <c r="G228" s="43" t="str">
        <f>IF(OR($B228="",$A228&gt;$B$9,G$219=""),"",IF(COUNTIFS(BD!$B$3:$B$5001,G$219,BD!$A$3:$A$5001,"&gt;="&amp;$C$7,BD!$A$3:$A$5001,"&lt;="&amp;$B228,BD!$N$3:$N$5001,"&lt;&gt;")=0,"",SUMIFS(BD!$N$3:$N$5001,BD!$B$3:$B$5001,G$219,BD!$A$3:$A$5001,_xlfn.MAXIFS(BD!$A$3:$A$5001,BD!$B$3:$B$5001,G$219,BD!$A$3:$A$5001,"&gt;="&amp;$C$7,BD!$A$3:$A$5001,"&lt;="&amp;$B228,BD!$N$3:$N$5001,"&lt;&gt;"))))</f>
        <v/>
      </c>
      <c r="H228" s="43" t="str">
        <f>IF(OR($B228="",$A228&gt;$B$9,H$219=""),"",IF(COUNTIFS(BD!$B$3:$B$5001,H$219,BD!$A$3:$A$5001,"&gt;="&amp;$C$7,BD!$A$3:$A$5001,"&lt;="&amp;$B228,BD!$N$3:$N$5001,"&lt;&gt;")=0,"",SUMIFS(BD!$N$3:$N$5001,BD!$B$3:$B$5001,H$219,BD!$A$3:$A$5001,_xlfn.MAXIFS(BD!$A$3:$A$5001,BD!$B$3:$B$5001,H$219,BD!$A$3:$A$5001,"&gt;="&amp;$C$7,BD!$A$3:$A$5001,"&lt;="&amp;$B228,BD!$N$3:$N$5001,"&lt;&gt;"))))</f>
        <v/>
      </c>
      <c r="I228" s="43" t="str">
        <f>IF(OR($B228="",$A228&gt;$B$9,I$219=""),"",IF(COUNTIFS(BD!$B$3:$B$5001,I$219,BD!$A$3:$A$5001,"&gt;="&amp;$C$7,BD!$A$3:$A$5001,"&lt;="&amp;$B228,BD!$N$3:$N$5001,"&lt;&gt;")=0,"",SUMIFS(BD!$N$3:$N$5001,BD!$B$3:$B$5001,I$219,BD!$A$3:$A$5001,_xlfn.MAXIFS(BD!$A$3:$A$5001,BD!$B$3:$B$5001,I$219,BD!$A$3:$A$5001,"&gt;="&amp;$C$7,BD!$A$3:$A$5001,"&lt;="&amp;$B228,BD!$N$3:$N$5001,"&lt;&gt;"))))</f>
        <v/>
      </c>
      <c r="J228" s="43" t="str">
        <f>IF(OR($B228="",$A228&gt;$B$9,J$219=""),"",IF(COUNTIFS(BD!$B$3:$B$5001,J$219,BD!$A$3:$A$5001,"&gt;="&amp;$C$7,BD!$A$3:$A$5001,"&lt;="&amp;$B228,BD!$N$3:$N$5001,"&lt;&gt;")=0,"",SUMIFS(BD!$N$3:$N$5001,BD!$B$3:$B$5001,J$219,BD!$A$3:$A$5001,_xlfn.MAXIFS(BD!$A$3:$A$5001,BD!$B$3:$B$5001,J$219,BD!$A$3:$A$5001,"&gt;="&amp;$C$7,BD!$A$3:$A$5001,"&lt;="&amp;$B228,BD!$N$3:$N$5001,"&lt;&gt;"))))</f>
        <v/>
      </c>
      <c r="K228" s="43" t="str">
        <f>IF(OR($B228="",$A228&gt;$B$9,K$219=""),"",IF(COUNTIFS(BD!$B$3:$B$5001,K$219,BD!$A$3:$A$5001,"&gt;="&amp;$C$7,BD!$A$3:$A$5001,"&lt;="&amp;$B228,BD!$N$3:$N$5001,"&lt;&gt;")=0,"",SUMIFS(BD!$N$3:$N$5001,BD!$B$3:$B$5001,K$219,BD!$A$3:$A$5001,_xlfn.MAXIFS(BD!$A$3:$A$5001,BD!$B$3:$B$5001,K$219,BD!$A$3:$A$5001,"&gt;="&amp;$C$7,BD!$A$3:$A$5001,"&lt;="&amp;$B228,BD!$N$3:$N$5001,"&lt;&gt;"))))</f>
        <v/>
      </c>
      <c r="L228" s="43" t="str">
        <f>IF(OR($B228="",$A228&gt;$B$9,L$219=""),"",IF(COUNTIFS(BD!$B$3:$B$5001,L$219,BD!$A$3:$A$5001,"&gt;="&amp;$C$7,BD!$A$3:$A$5001,"&lt;="&amp;$B228,BD!$N$3:$N$5001,"&lt;&gt;")=0,"",SUMIFS(BD!$N$3:$N$5001,BD!$B$3:$B$5001,L$219,BD!$A$3:$A$5001,_xlfn.MAXIFS(BD!$A$3:$A$5001,BD!$B$3:$B$5001,L$219,BD!$A$3:$A$5001,"&gt;="&amp;$C$7,BD!$A$3:$A$5001,"&lt;="&amp;$B228,BD!$N$3:$N$5001,"&lt;&gt;"))))</f>
        <v/>
      </c>
      <c r="M228" s="43" t="str">
        <f>IF(OR($B228="",$A228&gt;$B$9,M$219=""),"",IF(COUNTIFS(BD!$B$3:$B$5001,M$219,BD!$A$3:$A$5001,"&gt;="&amp;$C$7,BD!$A$3:$A$5001,"&lt;="&amp;$B228,BD!$N$3:$N$5001,"&lt;&gt;")=0,"",SUMIFS(BD!$N$3:$N$5001,BD!$B$3:$B$5001,M$219,BD!$A$3:$A$5001,_xlfn.MAXIFS(BD!$A$3:$A$5001,BD!$B$3:$B$5001,M$219,BD!$A$3:$A$5001,"&gt;="&amp;$C$7,BD!$A$3:$A$5001,"&lt;="&amp;$B228,BD!$N$3:$N$5001,"&lt;&gt;"))))</f>
        <v/>
      </c>
      <c r="N228" s="43" t="str">
        <f>IF(OR($B228="",$A228&gt;$B$9,N$219=""),"",IF(COUNTIFS(BD!$B$3:$B$5001,N$219,BD!$A$3:$A$5001,"&gt;="&amp;$C$7,BD!$A$3:$A$5001,"&lt;="&amp;$B228,BD!$N$3:$N$5001,"&lt;&gt;")=0,"",SUMIFS(BD!$N$3:$N$5001,BD!$B$3:$B$5001,N$219,BD!$A$3:$A$5001,_xlfn.MAXIFS(BD!$A$3:$A$5001,BD!$B$3:$B$5001,N$219,BD!$A$3:$A$5001,"&gt;="&amp;$C$7,BD!$A$3:$A$5001,"&lt;="&amp;$B228,BD!$N$3:$N$5001,"&lt;&gt;"))))</f>
        <v/>
      </c>
      <c r="O228" s="43" t="str">
        <f>IF(OR($B228="",$A228&gt;$B$9,O$219=""),"",IF(COUNTIFS(BD!$B$3:$B$5001,O$219,BD!$A$3:$A$5001,"&gt;="&amp;$C$7,BD!$A$3:$A$5001,"&lt;="&amp;$B228,BD!$N$3:$N$5001,"&lt;&gt;")=0,"",SUMIFS(BD!$N$3:$N$5001,BD!$B$3:$B$5001,O$219,BD!$A$3:$A$5001,_xlfn.MAXIFS(BD!$A$3:$A$5001,BD!$B$3:$B$5001,O$219,BD!$A$3:$A$5001,"&gt;="&amp;$C$7,BD!$A$3:$A$5001,"&lt;="&amp;$B228,BD!$N$3:$N$5001,"&lt;&gt;"))))</f>
        <v/>
      </c>
      <c r="P228" s="43" t="str">
        <f>IF(OR($B228="",$A228&gt;$B$9,P$219=""),"",IF(COUNTIFS(BD!$B$3:$B$5001,P$219,BD!$A$3:$A$5001,"&gt;="&amp;$C$7,BD!$A$3:$A$5001,"&lt;="&amp;$B228,BD!$N$3:$N$5001,"&lt;&gt;")=0,"",SUMIFS(BD!$N$3:$N$5001,BD!$B$3:$B$5001,P$219,BD!$A$3:$A$5001,_xlfn.MAXIFS(BD!$A$3:$A$5001,BD!$B$3:$B$5001,P$219,BD!$A$3:$A$5001,"&gt;="&amp;$C$7,BD!$A$3:$A$5001,"&lt;="&amp;$B228,BD!$N$3:$N$5001,"&lt;&gt;"))))</f>
        <v/>
      </c>
      <c r="Q228" s="43" t="str">
        <f>IF(OR($B228="",$A228&gt;$B$9,Q$219=""),"",IF(COUNTIFS(BD!$B$3:$B$5001,Q$219,BD!$A$3:$A$5001,"&gt;="&amp;$C$7,BD!$A$3:$A$5001,"&lt;="&amp;$B228,BD!$N$3:$N$5001,"&lt;&gt;")=0,"",SUMIFS(BD!$N$3:$N$5001,BD!$B$3:$B$5001,Q$219,BD!$A$3:$A$5001,_xlfn.MAXIFS(BD!$A$3:$A$5001,BD!$B$3:$B$5001,Q$219,BD!$A$3:$A$5001,"&gt;="&amp;$C$7,BD!$A$3:$A$5001,"&lt;="&amp;$B228,BD!$N$3:$N$5001,"&lt;&gt;"))))</f>
        <v/>
      </c>
      <c r="R228" s="43" t="str">
        <f>IF(OR($B228="",$A228&gt;$B$9,R$219=""),"",IF(COUNTIFS(BD!$B$3:$B$5001,R$219,BD!$A$3:$A$5001,"&gt;="&amp;$C$7,BD!$A$3:$A$5001,"&lt;="&amp;$B228,BD!$N$3:$N$5001,"&lt;&gt;")=0,"",SUMIFS(BD!$N$3:$N$5001,BD!$B$3:$B$5001,R$219,BD!$A$3:$A$5001,_xlfn.MAXIFS(BD!$A$3:$A$5001,BD!$B$3:$B$5001,R$219,BD!$A$3:$A$5001,"&gt;="&amp;$C$7,BD!$A$3:$A$5001,"&lt;="&amp;$B228,BD!$N$3:$N$5001,"&lt;&gt;"))))</f>
        <v/>
      </c>
      <c r="S228" s="43" t="str">
        <f>IF(OR($B228="",$A228&gt;$B$9,S$219=""),"",IF(COUNTIFS(BD!$B$3:$B$5001,S$219,BD!$A$3:$A$5001,"&gt;="&amp;$C$7,BD!$A$3:$A$5001,"&lt;="&amp;$B228,BD!$N$3:$N$5001,"&lt;&gt;")=0,"",SUMIFS(BD!$N$3:$N$5001,BD!$B$3:$B$5001,S$219,BD!$A$3:$A$5001,_xlfn.MAXIFS(BD!$A$3:$A$5001,BD!$B$3:$B$5001,S$219,BD!$A$3:$A$5001,"&gt;="&amp;$C$7,BD!$A$3:$A$5001,"&lt;="&amp;$B228,BD!$N$3:$N$5001,"&lt;&gt;"))))</f>
        <v/>
      </c>
      <c r="T228" s="43" t="str">
        <f>IF(OR($B228="",$A228&gt;$B$9,T$219=""),"",IF(COUNTIFS(BD!$B$3:$B$5001,T$219,BD!$A$3:$A$5001,"&gt;="&amp;$C$7,BD!$A$3:$A$5001,"&lt;="&amp;$B228,BD!$N$3:$N$5001,"&lt;&gt;")=0,"",SUMIFS(BD!$N$3:$N$5001,BD!$B$3:$B$5001,T$219,BD!$A$3:$A$5001,_xlfn.MAXIFS(BD!$A$3:$A$5001,BD!$B$3:$B$5001,T$219,BD!$A$3:$A$5001,"&gt;="&amp;$C$7,BD!$A$3:$A$5001,"&lt;="&amp;$B228,BD!$N$3:$N$5001,"&lt;&gt;"))))</f>
        <v/>
      </c>
      <c r="U228" s="43" t="str">
        <f>IF(OR($B228="",$A228&gt;$B$9,U$219=""),"",IF(COUNTIFS(BD!$B$3:$B$5001,U$219,BD!$A$3:$A$5001,"&gt;="&amp;$C$7,BD!$A$3:$A$5001,"&lt;="&amp;$B228,BD!$N$3:$N$5001,"&lt;&gt;")=0,"",SUMIFS(BD!$N$3:$N$5001,BD!$B$3:$B$5001,U$219,BD!$A$3:$A$5001,_xlfn.MAXIFS(BD!$A$3:$A$5001,BD!$B$3:$B$5001,U$219,BD!$A$3:$A$5001,"&gt;="&amp;$C$7,BD!$A$3:$A$5001,"&lt;="&amp;$B228,BD!$N$3:$N$5001,"&lt;&gt;"))))</f>
        <v/>
      </c>
      <c r="V228" s="43" t="str">
        <f>IF(OR($B228="",$A228&gt;$B$9,V$219=""),"",IF(COUNTIFS(BD!$B$3:$B$5001,V$219,BD!$A$3:$A$5001,"&gt;="&amp;$C$7,BD!$A$3:$A$5001,"&lt;="&amp;$B228,BD!$N$3:$N$5001,"&lt;&gt;")=0,"",SUMIFS(BD!$N$3:$N$5001,BD!$B$3:$B$5001,V$219,BD!$A$3:$A$5001,_xlfn.MAXIFS(BD!$A$3:$A$5001,BD!$B$3:$B$5001,V$219,BD!$A$3:$A$5001,"&gt;="&amp;$C$7,BD!$A$3:$A$5001,"&lt;="&amp;$B228,BD!$N$3:$N$5001,"&lt;&gt;"))))</f>
        <v/>
      </c>
    </row>
    <row r="229">
      <c r="A229" s="38">
        <v>10</v>
      </c>
      <c r="B229" s="42">
        <f>$B$21</f>
        <v>46305</v>
      </c>
      <c r="C229" s="43" t="str">
        <f>IF(OR($B229="",$A229&gt;$B$9,C$219=""),"",IF(COUNTIFS(BD!$B$3:$B$5001,C$219,BD!$A$3:$A$5001,"&gt;="&amp;$C$7,BD!$A$3:$A$5001,"&lt;="&amp;$B229,BD!$N$3:$N$5001,"&lt;&gt;")=0,"",SUMIFS(BD!$N$3:$N$5001,BD!$B$3:$B$5001,C$219,BD!$A$3:$A$5001,_xlfn.MAXIFS(BD!$A$3:$A$5001,BD!$B$3:$B$5001,C$219,BD!$A$3:$A$5001,"&gt;="&amp;$C$7,BD!$A$3:$A$5001,"&lt;="&amp;$B229,BD!$N$3:$N$5001,"&lt;&gt;"))))</f>
        <v/>
      </c>
      <c r="D229" s="43" t="str">
        <f>IF(OR($B229="",$A229&gt;$B$9,D$219=""),"",IF(COUNTIFS(BD!$B$3:$B$5001,D$219,BD!$A$3:$A$5001,"&gt;="&amp;$C$7,BD!$A$3:$A$5001,"&lt;="&amp;$B229,BD!$N$3:$N$5001,"&lt;&gt;")=0,"",SUMIFS(BD!$N$3:$N$5001,BD!$B$3:$B$5001,D$219,BD!$A$3:$A$5001,_xlfn.MAXIFS(BD!$A$3:$A$5001,BD!$B$3:$B$5001,D$219,BD!$A$3:$A$5001,"&gt;="&amp;$C$7,BD!$A$3:$A$5001,"&lt;="&amp;$B229,BD!$N$3:$N$5001,"&lt;&gt;"))))</f>
        <v/>
      </c>
      <c r="E229" s="43" t="str">
        <f>IF(OR($B229="",$A229&gt;$B$9,E$219=""),"",IF(COUNTIFS(BD!$B$3:$B$5001,E$219,BD!$A$3:$A$5001,"&gt;="&amp;$C$7,BD!$A$3:$A$5001,"&lt;="&amp;$B229,BD!$N$3:$N$5001,"&lt;&gt;")=0,"",SUMIFS(BD!$N$3:$N$5001,BD!$B$3:$B$5001,E$219,BD!$A$3:$A$5001,_xlfn.MAXIFS(BD!$A$3:$A$5001,BD!$B$3:$B$5001,E$219,BD!$A$3:$A$5001,"&gt;="&amp;$C$7,BD!$A$3:$A$5001,"&lt;="&amp;$B229,BD!$N$3:$N$5001,"&lt;&gt;"))))</f>
        <v/>
      </c>
      <c r="F229" s="43" t="str">
        <f>IF(OR($B229="",$A229&gt;$B$9,F$219=""),"",IF(COUNTIFS(BD!$B$3:$B$5001,F$219,BD!$A$3:$A$5001,"&gt;="&amp;$C$7,BD!$A$3:$A$5001,"&lt;="&amp;$B229,BD!$N$3:$N$5001,"&lt;&gt;")=0,"",SUMIFS(BD!$N$3:$N$5001,BD!$B$3:$B$5001,F$219,BD!$A$3:$A$5001,_xlfn.MAXIFS(BD!$A$3:$A$5001,BD!$B$3:$B$5001,F$219,BD!$A$3:$A$5001,"&gt;="&amp;$C$7,BD!$A$3:$A$5001,"&lt;="&amp;$B229,BD!$N$3:$N$5001,"&lt;&gt;"))))</f>
        <v/>
      </c>
      <c r="G229" s="43" t="str">
        <f>IF(OR($B229="",$A229&gt;$B$9,G$219=""),"",IF(COUNTIFS(BD!$B$3:$B$5001,G$219,BD!$A$3:$A$5001,"&gt;="&amp;$C$7,BD!$A$3:$A$5001,"&lt;="&amp;$B229,BD!$N$3:$N$5001,"&lt;&gt;")=0,"",SUMIFS(BD!$N$3:$N$5001,BD!$B$3:$B$5001,G$219,BD!$A$3:$A$5001,_xlfn.MAXIFS(BD!$A$3:$A$5001,BD!$B$3:$B$5001,G$219,BD!$A$3:$A$5001,"&gt;="&amp;$C$7,BD!$A$3:$A$5001,"&lt;="&amp;$B229,BD!$N$3:$N$5001,"&lt;&gt;"))))</f>
        <v/>
      </c>
      <c r="H229" s="43" t="str">
        <f>IF(OR($B229="",$A229&gt;$B$9,H$219=""),"",IF(COUNTIFS(BD!$B$3:$B$5001,H$219,BD!$A$3:$A$5001,"&gt;="&amp;$C$7,BD!$A$3:$A$5001,"&lt;="&amp;$B229,BD!$N$3:$N$5001,"&lt;&gt;")=0,"",SUMIFS(BD!$N$3:$N$5001,BD!$B$3:$B$5001,H$219,BD!$A$3:$A$5001,_xlfn.MAXIFS(BD!$A$3:$A$5001,BD!$B$3:$B$5001,H$219,BD!$A$3:$A$5001,"&gt;="&amp;$C$7,BD!$A$3:$A$5001,"&lt;="&amp;$B229,BD!$N$3:$N$5001,"&lt;&gt;"))))</f>
        <v/>
      </c>
      <c r="I229" s="43" t="str">
        <f>IF(OR($B229="",$A229&gt;$B$9,I$219=""),"",IF(COUNTIFS(BD!$B$3:$B$5001,I$219,BD!$A$3:$A$5001,"&gt;="&amp;$C$7,BD!$A$3:$A$5001,"&lt;="&amp;$B229,BD!$N$3:$N$5001,"&lt;&gt;")=0,"",SUMIFS(BD!$N$3:$N$5001,BD!$B$3:$B$5001,I$219,BD!$A$3:$A$5001,_xlfn.MAXIFS(BD!$A$3:$A$5001,BD!$B$3:$B$5001,I$219,BD!$A$3:$A$5001,"&gt;="&amp;$C$7,BD!$A$3:$A$5001,"&lt;="&amp;$B229,BD!$N$3:$N$5001,"&lt;&gt;"))))</f>
        <v/>
      </c>
      <c r="J229" s="43" t="str">
        <f>IF(OR($B229="",$A229&gt;$B$9,J$219=""),"",IF(COUNTIFS(BD!$B$3:$B$5001,J$219,BD!$A$3:$A$5001,"&gt;="&amp;$C$7,BD!$A$3:$A$5001,"&lt;="&amp;$B229,BD!$N$3:$N$5001,"&lt;&gt;")=0,"",SUMIFS(BD!$N$3:$N$5001,BD!$B$3:$B$5001,J$219,BD!$A$3:$A$5001,_xlfn.MAXIFS(BD!$A$3:$A$5001,BD!$B$3:$B$5001,J$219,BD!$A$3:$A$5001,"&gt;="&amp;$C$7,BD!$A$3:$A$5001,"&lt;="&amp;$B229,BD!$N$3:$N$5001,"&lt;&gt;"))))</f>
        <v/>
      </c>
      <c r="K229" s="43" t="str">
        <f>IF(OR($B229="",$A229&gt;$B$9,K$219=""),"",IF(COUNTIFS(BD!$B$3:$B$5001,K$219,BD!$A$3:$A$5001,"&gt;="&amp;$C$7,BD!$A$3:$A$5001,"&lt;="&amp;$B229,BD!$N$3:$N$5001,"&lt;&gt;")=0,"",SUMIFS(BD!$N$3:$N$5001,BD!$B$3:$B$5001,K$219,BD!$A$3:$A$5001,_xlfn.MAXIFS(BD!$A$3:$A$5001,BD!$B$3:$B$5001,K$219,BD!$A$3:$A$5001,"&gt;="&amp;$C$7,BD!$A$3:$A$5001,"&lt;="&amp;$B229,BD!$N$3:$N$5001,"&lt;&gt;"))))</f>
        <v/>
      </c>
      <c r="L229" s="43" t="str">
        <f>IF(OR($B229="",$A229&gt;$B$9,L$219=""),"",IF(COUNTIFS(BD!$B$3:$B$5001,L$219,BD!$A$3:$A$5001,"&gt;="&amp;$C$7,BD!$A$3:$A$5001,"&lt;="&amp;$B229,BD!$N$3:$N$5001,"&lt;&gt;")=0,"",SUMIFS(BD!$N$3:$N$5001,BD!$B$3:$B$5001,L$219,BD!$A$3:$A$5001,_xlfn.MAXIFS(BD!$A$3:$A$5001,BD!$B$3:$B$5001,L$219,BD!$A$3:$A$5001,"&gt;="&amp;$C$7,BD!$A$3:$A$5001,"&lt;="&amp;$B229,BD!$N$3:$N$5001,"&lt;&gt;"))))</f>
        <v/>
      </c>
      <c r="M229" s="43" t="str">
        <f>IF(OR($B229="",$A229&gt;$B$9,M$219=""),"",IF(COUNTIFS(BD!$B$3:$B$5001,M$219,BD!$A$3:$A$5001,"&gt;="&amp;$C$7,BD!$A$3:$A$5001,"&lt;="&amp;$B229,BD!$N$3:$N$5001,"&lt;&gt;")=0,"",SUMIFS(BD!$N$3:$N$5001,BD!$B$3:$B$5001,M$219,BD!$A$3:$A$5001,_xlfn.MAXIFS(BD!$A$3:$A$5001,BD!$B$3:$B$5001,M$219,BD!$A$3:$A$5001,"&gt;="&amp;$C$7,BD!$A$3:$A$5001,"&lt;="&amp;$B229,BD!$N$3:$N$5001,"&lt;&gt;"))))</f>
        <v/>
      </c>
      <c r="N229" s="43" t="str">
        <f>IF(OR($B229="",$A229&gt;$B$9,N$219=""),"",IF(COUNTIFS(BD!$B$3:$B$5001,N$219,BD!$A$3:$A$5001,"&gt;="&amp;$C$7,BD!$A$3:$A$5001,"&lt;="&amp;$B229,BD!$N$3:$N$5001,"&lt;&gt;")=0,"",SUMIFS(BD!$N$3:$N$5001,BD!$B$3:$B$5001,N$219,BD!$A$3:$A$5001,_xlfn.MAXIFS(BD!$A$3:$A$5001,BD!$B$3:$B$5001,N$219,BD!$A$3:$A$5001,"&gt;="&amp;$C$7,BD!$A$3:$A$5001,"&lt;="&amp;$B229,BD!$N$3:$N$5001,"&lt;&gt;"))))</f>
        <v/>
      </c>
      <c r="O229" s="43" t="str">
        <f>IF(OR($B229="",$A229&gt;$B$9,O$219=""),"",IF(COUNTIFS(BD!$B$3:$B$5001,O$219,BD!$A$3:$A$5001,"&gt;="&amp;$C$7,BD!$A$3:$A$5001,"&lt;="&amp;$B229,BD!$N$3:$N$5001,"&lt;&gt;")=0,"",SUMIFS(BD!$N$3:$N$5001,BD!$B$3:$B$5001,O$219,BD!$A$3:$A$5001,_xlfn.MAXIFS(BD!$A$3:$A$5001,BD!$B$3:$B$5001,O$219,BD!$A$3:$A$5001,"&gt;="&amp;$C$7,BD!$A$3:$A$5001,"&lt;="&amp;$B229,BD!$N$3:$N$5001,"&lt;&gt;"))))</f>
        <v/>
      </c>
      <c r="P229" s="43" t="str">
        <f>IF(OR($B229="",$A229&gt;$B$9,P$219=""),"",IF(COUNTIFS(BD!$B$3:$B$5001,P$219,BD!$A$3:$A$5001,"&gt;="&amp;$C$7,BD!$A$3:$A$5001,"&lt;="&amp;$B229,BD!$N$3:$N$5001,"&lt;&gt;")=0,"",SUMIFS(BD!$N$3:$N$5001,BD!$B$3:$B$5001,P$219,BD!$A$3:$A$5001,_xlfn.MAXIFS(BD!$A$3:$A$5001,BD!$B$3:$B$5001,P$219,BD!$A$3:$A$5001,"&gt;="&amp;$C$7,BD!$A$3:$A$5001,"&lt;="&amp;$B229,BD!$N$3:$N$5001,"&lt;&gt;"))))</f>
        <v/>
      </c>
      <c r="Q229" s="43" t="str">
        <f>IF(OR($B229="",$A229&gt;$B$9,Q$219=""),"",IF(COUNTIFS(BD!$B$3:$B$5001,Q$219,BD!$A$3:$A$5001,"&gt;="&amp;$C$7,BD!$A$3:$A$5001,"&lt;="&amp;$B229,BD!$N$3:$N$5001,"&lt;&gt;")=0,"",SUMIFS(BD!$N$3:$N$5001,BD!$B$3:$B$5001,Q$219,BD!$A$3:$A$5001,_xlfn.MAXIFS(BD!$A$3:$A$5001,BD!$B$3:$B$5001,Q$219,BD!$A$3:$A$5001,"&gt;="&amp;$C$7,BD!$A$3:$A$5001,"&lt;="&amp;$B229,BD!$N$3:$N$5001,"&lt;&gt;"))))</f>
        <v/>
      </c>
      <c r="R229" s="43" t="str">
        <f>IF(OR($B229="",$A229&gt;$B$9,R$219=""),"",IF(COUNTIFS(BD!$B$3:$B$5001,R$219,BD!$A$3:$A$5001,"&gt;="&amp;$C$7,BD!$A$3:$A$5001,"&lt;="&amp;$B229,BD!$N$3:$N$5001,"&lt;&gt;")=0,"",SUMIFS(BD!$N$3:$N$5001,BD!$B$3:$B$5001,R$219,BD!$A$3:$A$5001,_xlfn.MAXIFS(BD!$A$3:$A$5001,BD!$B$3:$B$5001,R$219,BD!$A$3:$A$5001,"&gt;="&amp;$C$7,BD!$A$3:$A$5001,"&lt;="&amp;$B229,BD!$N$3:$N$5001,"&lt;&gt;"))))</f>
        <v/>
      </c>
      <c r="S229" s="43" t="str">
        <f>IF(OR($B229="",$A229&gt;$B$9,S$219=""),"",IF(COUNTIFS(BD!$B$3:$B$5001,S$219,BD!$A$3:$A$5001,"&gt;="&amp;$C$7,BD!$A$3:$A$5001,"&lt;="&amp;$B229,BD!$N$3:$N$5001,"&lt;&gt;")=0,"",SUMIFS(BD!$N$3:$N$5001,BD!$B$3:$B$5001,S$219,BD!$A$3:$A$5001,_xlfn.MAXIFS(BD!$A$3:$A$5001,BD!$B$3:$B$5001,S$219,BD!$A$3:$A$5001,"&gt;="&amp;$C$7,BD!$A$3:$A$5001,"&lt;="&amp;$B229,BD!$N$3:$N$5001,"&lt;&gt;"))))</f>
        <v/>
      </c>
      <c r="T229" s="43" t="str">
        <f>IF(OR($B229="",$A229&gt;$B$9,T$219=""),"",IF(COUNTIFS(BD!$B$3:$B$5001,T$219,BD!$A$3:$A$5001,"&gt;="&amp;$C$7,BD!$A$3:$A$5001,"&lt;="&amp;$B229,BD!$N$3:$N$5001,"&lt;&gt;")=0,"",SUMIFS(BD!$N$3:$N$5001,BD!$B$3:$B$5001,T$219,BD!$A$3:$A$5001,_xlfn.MAXIFS(BD!$A$3:$A$5001,BD!$B$3:$B$5001,T$219,BD!$A$3:$A$5001,"&gt;="&amp;$C$7,BD!$A$3:$A$5001,"&lt;="&amp;$B229,BD!$N$3:$N$5001,"&lt;&gt;"))))</f>
        <v/>
      </c>
      <c r="U229" s="43" t="str">
        <f>IF(OR($B229="",$A229&gt;$B$9,U$219=""),"",IF(COUNTIFS(BD!$B$3:$B$5001,U$219,BD!$A$3:$A$5001,"&gt;="&amp;$C$7,BD!$A$3:$A$5001,"&lt;="&amp;$B229,BD!$N$3:$N$5001,"&lt;&gt;")=0,"",SUMIFS(BD!$N$3:$N$5001,BD!$B$3:$B$5001,U$219,BD!$A$3:$A$5001,_xlfn.MAXIFS(BD!$A$3:$A$5001,BD!$B$3:$B$5001,U$219,BD!$A$3:$A$5001,"&gt;="&amp;$C$7,BD!$A$3:$A$5001,"&lt;="&amp;$B229,BD!$N$3:$N$5001,"&lt;&gt;"))))</f>
        <v/>
      </c>
      <c r="V229" s="43" t="str">
        <f>IF(OR($B229="",$A229&gt;$B$9,V$219=""),"",IF(COUNTIFS(BD!$B$3:$B$5001,V$219,BD!$A$3:$A$5001,"&gt;="&amp;$C$7,BD!$A$3:$A$5001,"&lt;="&amp;$B229,BD!$N$3:$N$5001,"&lt;&gt;")=0,"",SUMIFS(BD!$N$3:$N$5001,BD!$B$3:$B$5001,V$219,BD!$A$3:$A$5001,_xlfn.MAXIFS(BD!$A$3:$A$5001,BD!$B$3:$B$5001,V$219,BD!$A$3:$A$5001,"&gt;="&amp;$C$7,BD!$A$3:$A$5001,"&lt;="&amp;$B229,BD!$N$3:$N$5001,"&lt;&gt;"))))</f>
        <v/>
      </c>
    </row>
    <row r="230">
      <c r="A230" s="38">
        <v>11</v>
      </c>
      <c r="B230" s="42">
        <f>$B$22</f>
        <v>46306</v>
      </c>
      <c r="C230" s="43" t="str">
        <f>IF(OR($B230="",$A230&gt;$B$9,C$219=""),"",IF(COUNTIFS(BD!$B$3:$B$5001,C$219,BD!$A$3:$A$5001,"&gt;="&amp;$C$7,BD!$A$3:$A$5001,"&lt;="&amp;$B230,BD!$N$3:$N$5001,"&lt;&gt;")=0,"",SUMIFS(BD!$N$3:$N$5001,BD!$B$3:$B$5001,C$219,BD!$A$3:$A$5001,_xlfn.MAXIFS(BD!$A$3:$A$5001,BD!$B$3:$B$5001,C$219,BD!$A$3:$A$5001,"&gt;="&amp;$C$7,BD!$A$3:$A$5001,"&lt;="&amp;$B230,BD!$N$3:$N$5001,"&lt;&gt;"))))</f>
        <v/>
      </c>
      <c r="D230" s="43" t="str">
        <f>IF(OR($B230="",$A230&gt;$B$9,D$219=""),"",IF(COUNTIFS(BD!$B$3:$B$5001,D$219,BD!$A$3:$A$5001,"&gt;="&amp;$C$7,BD!$A$3:$A$5001,"&lt;="&amp;$B230,BD!$N$3:$N$5001,"&lt;&gt;")=0,"",SUMIFS(BD!$N$3:$N$5001,BD!$B$3:$B$5001,D$219,BD!$A$3:$A$5001,_xlfn.MAXIFS(BD!$A$3:$A$5001,BD!$B$3:$B$5001,D$219,BD!$A$3:$A$5001,"&gt;="&amp;$C$7,BD!$A$3:$A$5001,"&lt;="&amp;$B230,BD!$N$3:$N$5001,"&lt;&gt;"))))</f>
        <v/>
      </c>
      <c r="E230" s="43" t="str">
        <f>IF(OR($B230="",$A230&gt;$B$9,E$219=""),"",IF(COUNTIFS(BD!$B$3:$B$5001,E$219,BD!$A$3:$A$5001,"&gt;="&amp;$C$7,BD!$A$3:$A$5001,"&lt;="&amp;$B230,BD!$N$3:$N$5001,"&lt;&gt;")=0,"",SUMIFS(BD!$N$3:$N$5001,BD!$B$3:$B$5001,E$219,BD!$A$3:$A$5001,_xlfn.MAXIFS(BD!$A$3:$A$5001,BD!$B$3:$B$5001,E$219,BD!$A$3:$A$5001,"&gt;="&amp;$C$7,BD!$A$3:$A$5001,"&lt;="&amp;$B230,BD!$N$3:$N$5001,"&lt;&gt;"))))</f>
        <v/>
      </c>
      <c r="F230" s="43" t="str">
        <f>IF(OR($B230="",$A230&gt;$B$9,F$219=""),"",IF(COUNTIFS(BD!$B$3:$B$5001,F$219,BD!$A$3:$A$5001,"&gt;="&amp;$C$7,BD!$A$3:$A$5001,"&lt;="&amp;$B230,BD!$N$3:$N$5001,"&lt;&gt;")=0,"",SUMIFS(BD!$N$3:$N$5001,BD!$B$3:$B$5001,F$219,BD!$A$3:$A$5001,_xlfn.MAXIFS(BD!$A$3:$A$5001,BD!$B$3:$B$5001,F$219,BD!$A$3:$A$5001,"&gt;="&amp;$C$7,BD!$A$3:$A$5001,"&lt;="&amp;$B230,BD!$N$3:$N$5001,"&lt;&gt;"))))</f>
        <v/>
      </c>
      <c r="G230" s="43" t="str">
        <f>IF(OR($B230="",$A230&gt;$B$9,G$219=""),"",IF(COUNTIFS(BD!$B$3:$B$5001,G$219,BD!$A$3:$A$5001,"&gt;="&amp;$C$7,BD!$A$3:$A$5001,"&lt;="&amp;$B230,BD!$N$3:$N$5001,"&lt;&gt;")=0,"",SUMIFS(BD!$N$3:$N$5001,BD!$B$3:$B$5001,G$219,BD!$A$3:$A$5001,_xlfn.MAXIFS(BD!$A$3:$A$5001,BD!$B$3:$B$5001,G$219,BD!$A$3:$A$5001,"&gt;="&amp;$C$7,BD!$A$3:$A$5001,"&lt;="&amp;$B230,BD!$N$3:$N$5001,"&lt;&gt;"))))</f>
        <v/>
      </c>
      <c r="H230" s="43" t="str">
        <f>IF(OR($B230="",$A230&gt;$B$9,H$219=""),"",IF(COUNTIFS(BD!$B$3:$B$5001,H$219,BD!$A$3:$A$5001,"&gt;="&amp;$C$7,BD!$A$3:$A$5001,"&lt;="&amp;$B230,BD!$N$3:$N$5001,"&lt;&gt;")=0,"",SUMIFS(BD!$N$3:$N$5001,BD!$B$3:$B$5001,H$219,BD!$A$3:$A$5001,_xlfn.MAXIFS(BD!$A$3:$A$5001,BD!$B$3:$B$5001,H$219,BD!$A$3:$A$5001,"&gt;="&amp;$C$7,BD!$A$3:$A$5001,"&lt;="&amp;$B230,BD!$N$3:$N$5001,"&lt;&gt;"))))</f>
        <v/>
      </c>
      <c r="I230" s="43" t="str">
        <f>IF(OR($B230="",$A230&gt;$B$9,I$219=""),"",IF(COUNTIFS(BD!$B$3:$B$5001,I$219,BD!$A$3:$A$5001,"&gt;="&amp;$C$7,BD!$A$3:$A$5001,"&lt;="&amp;$B230,BD!$N$3:$N$5001,"&lt;&gt;")=0,"",SUMIFS(BD!$N$3:$N$5001,BD!$B$3:$B$5001,I$219,BD!$A$3:$A$5001,_xlfn.MAXIFS(BD!$A$3:$A$5001,BD!$B$3:$B$5001,I$219,BD!$A$3:$A$5001,"&gt;="&amp;$C$7,BD!$A$3:$A$5001,"&lt;="&amp;$B230,BD!$N$3:$N$5001,"&lt;&gt;"))))</f>
        <v/>
      </c>
      <c r="J230" s="43" t="str">
        <f>IF(OR($B230="",$A230&gt;$B$9,J$219=""),"",IF(COUNTIFS(BD!$B$3:$B$5001,J$219,BD!$A$3:$A$5001,"&gt;="&amp;$C$7,BD!$A$3:$A$5001,"&lt;="&amp;$B230,BD!$N$3:$N$5001,"&lt;&gt;")=0,"",SUMIFS(BD!$N$3:$N$5001,BD!$B$3:$B$5001,J$219,BD!$A$3:$A$5001,_xlfn.MAXIFS(BD!$A$3:$A$5001,BD!$B$3:$B$5001,J$219,BD!$A$3:$A$5001,"&gt;="&amp;$C$7,BD!$A$3:$A$5001,"&lt;="&amp;$B230,BD!$N$3:$N$5001,"&lt;&gt;"))))</f>
        <v/>
      </c>
      <c r="K230" s="43" t="str">
        <f>IF(OR($B230="",$A230&gt;$B$9,K$219=""),"",IF(COUNTIFS(BD!$B$3:$B$5001,K$219,BD!$A$3:$A$5001,"&gt;="&amp;$C$7,BD!$A$3:$A$5001,"&lt;="&amp;$B230,BD!$N$3:$N$5001,"&lt;&gt;")=0,"",SUMIFS(BD!$N$3:$N$5001,BD!$B$3:$B$5001,K$219,BD!$A$3:$A$5001,_xlfn.MAXIFS(BD!$A$3:$A$5001,BD!$B$3:$B$5001,K$219,BD!$A$3:$A$5001,"&gt;="&amp;$C$7,BD!$A$3:$A$5001,"&lt;="&amp;$B230,BD!$N$3:$N$5001,"&lt;&gt;"))))</f>
        <v/>
      </c>
      <c r="L230" s="43" t="str">
        <f>IF(OR($B230="",$A230&gt;$B$9,L$219=""),"",IF(COUNTIFS(BD!$B$3:$B$5001,L$219,BD!$A$3:$A$5001,"&gt;="&amp;$C$7,BD!$A$3:$A$5001,"&lt;="&amp;$B230,BD!$N$3:$N$5001,"&lt;&gt;")=0,"",SUMIFS(BD!$N$3:$N$5001,BD!$B$3:$B$5001,L$219,BD!$A$3:$A$5001,_xlfn.MAXIFS(BD!$A$3:$A$5001,BD!$B$3:$B$5001,L$219,BD!$A$3:$A$5001,"&gt;="&amp;$C$7,BD!$A$3:$A$5001,"&lt;="&amp;$B230,BD!$N$3:$N$5001,"&lt;&gt;"))))</f>
        <v/>
      </c>
      <c r="M230" s="43" t="str">
        <f>IF(OR($B230="",$A230&gt;$B$9,M$219=""),"",IF(COUNTIFS(BD!$B$3:$B$5001,M$219,BD!$A$3:$A$5001,"&gt;="&amp;$C$7,BD!$A$3:$A$5001,"&lt;="&amp;$B230,BD!$N$3:$N$5001,"&lt;&gt;")=0,"",SUMIFS(BD!$N$3:$N$5001,BD!$B$3:$B$5001,M$219,BD!$A$3:$A$5001,_xlfn.MAXIFS(BD!$A$3:$A$5001,BD!$B$3:$B$5001,M$219,BD!$A$3:$A$5001,"&gt;="&amp;$C$7,BD!$A$3:$A$5001,"&lt;="&amp;$B230,BD!$N$3:$N$5001,"&lt;&gt;"))))</f>
        <v/>
      </c>
      <c r="N230" s="43" t="str">
        <f>IF(OR($B230="",$A230&gt;$B$9,N$219=""),"",IF(COUNTIFS(BD!$B$3:$B$5001,N$219,BD!$A$3:$A$5001,"&gt;="&amp;$C$7,BD!$A$3:$A$5001,"&lt;="&amp;$B230,BD!$N$3:$N$5001,"&lt;&gt;")=0,"",SUMIFS(BD!$N$3:$N$5001,BD!$B$3:$B$5001,N$219,BD!$A$3:$A$5001,_xlfn.MAXIFS(BD!$A$3:$A$5001,BD!$B$3:$B$5001,N$219,BD!$A$3:$A$5001,"&gt;="&amp;$C$7,BD!$A$3:$A$5001,"&lt;="&amp;$B230,BD!$N$3:$N$5001,"&lt;&gt;"))))</f>
        <v/>
      </c>
      <c r="O230" s="43" t="str">
        <f>IF(OR($B230="",$A230&gt;$B$9,O$219=""),"",IF(COUNTIFS(BD!$B$3:$B$5001,O$219,BD!$A$3:$A$5001,"&gt;="&amp;$C$7,BD!$A$3:$A$5001,"&lt;="&amp;$B230,BD!$N$3:$N$5001,"&lt;&gt;")=0,"",SUMIFS(BD!$N$3:$N$5001,BD!$B$3:$B$5001,O$219,BD!$A$3:$A$5001,_xlfn.MAXIFS(BD!$A$3:$A$5001,BD!$B$3:$B$5001,O$219,BD!$A$3:$A$5001,"&gt;="&amp;$C$7,BD!$A$3:$A$5001,"&lt;="&amp;$B230,BD!$N$3:$N$5001,"&lt;&gt;"))))</f>
        <v/>
      </c>
      <c r="P230" s="43" t="str">
        <f>IF(OR($B230="",$A230&gt;$B$9,P$219=""),"",IF(COUNTIFS(BD!$B$3:$B$5001,P$219,BD!$A$3:$A$5001,"&gt;="&amp;$C$7,BD!$A$3:$A$5001,"&lt;="&amp;$B230,BD!$N$3:$N$5001,"&lt;&gt;")=0,"",SUMIFS(BD!$N$3:$N$5001,BD!$B$3:$B$5001,P$219,BD!$A$3:$A$5001,_xlfn.MAXIFS(BD!$A$3:$A$5001,BD!$B$3:$B$5001,P$219,BD!$A$3:$A$5001,"&gt;="&amp;$C$7,BD!$A$3:$A$5001,"&lt;="&amp;$B230,BD!$N$3:$N$5001,"&lt;&gt;"))))</f>
        <v/>
      </c>
      <c r="Q230" s="43" t="str">
        <f>IF(OR($B230="",$A230&gt;$B$9,Q$219=""),"",IF(COUNTIFS(BD!$B$3:$B$5001,Q$219,BD!$A$3:$A$5001,"&gt;="&amp;$C$7,BD!$A$3:$A$5001,"&lt;="&amp;$B230,BD!$N$3:$N$5001,"&lt;&gt;")=0,"",SUMIFS(BD!$N$3:$N$5001,BD!$B$3:$B$5001,Q$219,BD!$A$3:$A$5001,_xlfn.MAXIFS(BD!$A$3:$A$5001,BD!$B$3:$B$5001,Q$219,BD!$A$3:$A$5001,"&gt;="&amp;$C$7,BD!$A$3:$A$5001,"&lt;="&amp;$B230,BD!$N$3:$N$5001,"&lt;&gt;"))))</f>
        <v/>
      </c>
      <c r="R230" s="43" t="str">
        <f>IF(OR($B230="",$A230&gt;$B$9,R$219=""),"",IF(COUNTIFS(BD!$B$3:$B$5001,R$219,BD!$A$3:$A$5001,"&gt;="&amp;$C$7,BD!$A$3:$A$5001,"&lt;="&amp;$B230,BD!$N$3:$N$5001,"&lt;&gt;")=0,"",SUMIFS(BD!$N$3:$N$5001,BD!$B$3:$B$5001,R$219,BD!$A$3:$A$5001,_xlfn.MAXIFS(BD!$A$3:$A$5001,BD!$B$3:$B$5001,R$219,BD!$A$3:$A$5001,"&gt;="&amp;$C$7,BD!$A$3:$A$5001,"&lt;="&amp;$B230,BD!$N$3:$N$5001,"&lt;&gt;"))))</f>
        <v/>
      </c>
      <c r="S230" s="43" t="str">
        <f>IF(OR($B230="",$A230&gt;$B$9,S$219=""),"",IF(COUNTIFS(BD!$B$3:$B$5001,S$219,BD!$A$3:$A$5001,"&gt;="&amp;$C$7,BD!$A$3:$A$5001,"&lt;="&amp;$B230,BD!$N$3:$N$5001,"&lt;&gt;")=0,"",SUMIFS(BD!$N$3:$N$5001,BD!$B$3:$B$5001,S$219,BD!$A$3:$A$5001,_xlfn.MAXIFS(BD!$A$3:$A$5001,BD!$B$3:$B$5001,S$219,BD!$A$3:$A$5001,"&gt;="&amp;$C$7,BD!$A$3:$A$5001,"&lt;="&amp;$B230,BD!$N$3:$N$5001,"&lt;&gt;"))))</f>
        <v/>
      </c>
      <c r="T230" s="43" t="str">
        <f>IF(OR($B230="",$A230&gt;$B$9,T$219=""),"",IF(COUNTIFS(BD!$B$3:$B$5001,T$219,BD!$A$3:$A$5001,"&gt;="&amp;$C$7,BD!$A$3:$A$5001,"&lt;="&amp;$B230,BD!$N$3:$N$5001,"&lt;&gt;")=0,"",SUMIFS(BD!$N$3:$N$5001,BD!$B$3:$B$5001,T$219,BD!$A$3:$A$5001,_xlfn.MAXIFS(BD!$A$3:$A$5001,BD!$B$3:$B$5001,T$219,BD!$A$3:$A$5001,"&gt;="&amp;$C$7,BD!$A$3:$A$5001,"&lt;="&amp;$B230,BD!$N$3:$N$5001,"&lt;&gt;"))))</f>
        <v/>
      </c>
      <c r="U230" s="43" t="str">
        <f>IF(OR($B230="",$A230&gt;$B$9,U$219=""),"",IF(COUNTIFS(BD!$B$3:$B$5001,U$219,BD!$A$3:$A$5001,"&gt;="&amp;$C$7,BD!$A$3:$A$5001,"&lt;="&amp;$B230,BD!$N$3:$N$5001,"&lt;&gt;")=0,"",SUMIFS(BD!$N$3:$N$5001,BD!$B$3:$B$5001,U$219,BD!$A$3:$A$5001,_xlfn.MAXIFS(BD!$A$3:$A$5001,BD!$B$3:$B$5001,U$219,BD!$A$3:$A$5001,"&gt;="&amp;$C$7,BD!$A$3:$A$5001,"&lt;="&amp;$B230,BD!$N$3:$N$5001,"&lt;&gt;"))))</f>
        <v/>
      </c>
      <c r="V230" s="43" t="str">
        <f>IF(OR($B230="",$A230&gt;$B$9,V$219=""),"",IF(COUNTIFS(BD!$B$3:$B$5001,V$219,BD!$A$3:$A$5001,"&gt;="&amp;$C$7,BD!$A$3:$A$5001,"&lt;="&amp;$B230,BD!$N$3:$N$5001,"&lt;&gt;")=0,"",SUMIFS(BD!$N$3:$N$5001,BD!$B$3:$B$5001,V$219,BD!$A$3:$A$5001,_xlfn.MAXIFS(BD!$A$3:$A$5001,BD!$B$3:$B$5001,V$219,BD!$A$3:$A$5001,"&gt;="&amp;$C$7,BD!$A$3:$A$5001,"&lt;="&amp;$B230,BD!$N$3:$N$5001,"&lt;&gt;"))))</f>
        <v/>
      </c>
    </row>
    <row r="231">
      <c r="A231" s="38">
        <v>12</v>
      </c>
      <c r="B231" s="42">
        <f>$B$23</f>
        <v>46307</v>
      </c>
      <c r="C231" s="43" t="str">
        <f>IF(OR($B231="",$A231&gt;$B$9,C$219=""),"",IF(COUNTIFS(BD!$B$3:$B$5001,C$219,BD!$A$3:$A$5001,"&gt;="&amp;$C$7,BD!$A$3:$A$5001,"&lt;="&amp;$B231,BD!$N$3:$N$5001,"&lt;&gt;")=0,"",SUMIFS(BD!$N$3:$N$5001,BD!$B$3:$B$5001,C$219,BD!$A$3:$A$5001,_xlfn.MAXIFS(BD!$A$3:$A$5001,BD!$B$3:$B$5001,C$219,BD!$A$3:$A$5001,"&gt;="&amp;$C$7,BD!$A$3:$A$5001,"&lt;="&amp;$B231,BD!$N$3:$N$5001,"&lt;&gt;"))))</f>
        <v/>
      </c>
      <c r="D231" s="43" t="str">
        <f>IF(OR($B231="",$A231&gt;$B$9,D$219=""),"",IF(COUNTIFS(BD!$B$3:$B$5001,D$219,BD!$A$3:$A$5001,"&gt;="&amp;$C$7,BD!$A$3:$A$5001,"&lt;="&amp;$B231,BD!$N$3:$N$5001,"&lt;&gt;")=0,"",SUMIFS(BD!$N$3:$N$5001,BD!$B$3:$B$5001,D$219,BD!$A$3:$A$5001,_xlfn.MAXIFS(BD!$A$3:$A$5001,BD!$B$3:$B$5001,D$219,BD!$A$3:$A$5001,"&gt;="&amp;$C$7,BD!$A$3:$A$5001,"&lt;="&amp;$B231,BD!$N$3:$N$5001,"&lt;&gt;"))))</f>
        <v/>
      </c>
      <c r="E231" s="43" t="str">
        <f>IF(OR($B231="",$A231&gt;$B$9,E$219=""),"",IF(COUNTIFS(BD!$B$3:$B$5001,E$219,BD!$A$3:$A$5001,"&gt;="&amp;$C$7,BD!$A$3:$A$5001,"&lt;="&amp;$B231,BD!$N$3:$N$5001,"&lt;&gt;")=0,"",SUMIFS(BD!$N$3:$N$5001,BD!$B$3:$B$5001,E$219,BD!$A$3:$A$5001,_xlfn.MAXIFS(BD!$A$3:$A$5001,BD!$B$3:$B$5001,E$219,BD!$A$3:$A$5001,"&gt;="&amp;$C$7,BD!$A$3:$A$5001,"&lt;="&amp;$B231,BD!$N$3:$N$5001,"&lt;&gt;"))))</f>
        <v/>
      </c>
      <c r="F231" s="43" t="str">
        <f>IF(OR($B231="",$A231&gt;$B$9,F$219=""),"",IF(COUNTIFS(BD!$B$3:$B$5001,F$219,BD!$A$3:$A$5001,"&gt;="&amp;$C$7,BD!$A$3:$A$5001,"&lt;="&amp;$B231,BD!$N$3:$N$5001,"&lt;&gt;")=0,"",SUMIFS(BD!$N$3:$N$5001,BD!$B$3:$B$5001,F$219,BD!$A$3:$A$5001,_xlfn.MAXIFS(BD!$A$3:$A$5001,BD!$B$3:$B$5001,F$219,BD!$A$3:$A$5001,"&gt;="&amp;$C$7,BD!$A$3:$A$5001,"&lt;="&amp;$B231,BD!$N$3:$N$5001,"&lt;&gt;"))))</f>
        <v/>
      </c>
      <c r="G231" s="43" t="str">
        <f>IF(OR($B231="",$A231&gt;$B$9,G$219=""),"",IF(COUNTIFS(BD!$B$3:$B$5001,G$219,BD!$A$3:$A$5001,"&gt;="&amp;$C$7,BD!$A$3:$A$5001,"&lt;="&amp;$B231,BD!$N$3:$N$5001,"&lt;&gt;")=0,"",SUMIFS(BD!$N$3:$N$5001,BD!$B$3:$B$5001,G$219,BD!$A$3:$A$5001,_xlfn.MAXIFS(BD!$A$3:$A$5001,BD!$B$3:$B$5001,G$219,BD!$A$3:$A$5001,"&gt;="&amp;$C$7,BD!$A$3:$A$5001,"&lt;="&amp;$B231,BD!$N$3:$N$5001,"&lt;&gt;"))))</f>
        <v/>
      </c>
      <c r="H231" s="43" t="str">
        <f>IF(OR($B231="",$A231&gt;$B$9,H$219=""),"",IF(COUNTIFS(BD!$B$3:$B$5001,H$219,BD!$A$3:$A$5001,"&gt;="&amp;$C$7,BD!$A$3:$A$5001,"&lt;="&amp;$B231,BD!$N$3:$N$5001,"&lt;&gt;")=0,"",SUMIFS(BD!$N$3:$N$5001,BD!$B$3:$B$5001,H$219,BD!$A$3:$A$5001,_xlfn.MAXIFS(BD!$A$3:$A$5001,BD!$B$3:$B$5001,H$219,BD!$A$3:$A$5001,"&gt;="&amp;$C$7,BD!$A$3:$A$5001,"&lt;="&amp;$B231,BD!$N$3:$N$5001,"&lt;&gt;"))))</f>
        <v/>
      </c>
      <c r="I231" s="43" t="str">
        <f>IF(OR($B231="",$A231&gt;$B$9,I$219=""),"",IF(COUNTIFS(BD!$B$3:$B$5001,I$219,BD!$A$3:$A$5001,"&gt;="&amp;$C$7,BD!$A$3:$A$5001,"&lt;="&amp;$B231,BD!$N$3:$N$5001,"&lt;&gt;")=0,"",SUMIFS(BD!$N$3:$N$5001,BD!$B$3:$B$5001,I$219,BD!$A$3:$A$5001,_xlfn.MAXIFS(BD!$A$3:$A$5001,BD!$B$3:$B$5001,I$219,BD!$A$3:$A$5001,"&gt;="&amp;$C$7,BD!$A$3:$A$5001,"&lt;="&amp;$B231,BD!$N$3:$N$5001,"&lt;&gt;"))))</f>
        <v/>
      </c>
      <c r="J231" s="43" t="str">
        <f>IF(OR($B231="",$A231&gt;$B$9,J$219=""),"",IF(COUNTIFS(BD!$B$3:$B$5001,J$219,BD!$A$3:$A$5001,"&gt;="&amp;$C$7,BD!$A$3:$A$5001,"&lt;="&amp;$B231,BD!$N$3:$N$5001,"&lt;&gt;")=0,"",SUMIFS(BD!$N$3:$N$5001,BD!$B$3:$B$5001,J$219,BD!$A$3:$A$5001,_xlfn.MAXIFS(BD!$A$3:$A$5001,BD!$B$3:$B$5001,J$219,BD!$A$3:$A$5001,"&gt;="&amp;$C$7,BD!$A$3:$A$5001,"&lt;="&amp;$B231,BD!$N$3:$N$5001,"&lt;&gt;"))))</f>
        <v/>
      </c>
      <c r="K231" s="43" t="str">
        <f>IF(OR($B231="",$A231&gt;$B$9,K$219=""),"",IF(COUNTIFS(BD!$B$3:$B$5001,K$219,BD!$A$3:$A$5001,"&gt;="&amp;$C$7,BD!$A$3:$A$5001,"&lt;="&amp;$B231,BD!$N$3:$N$5001,"&lt;&gt;")=0,"",SUMIFS(BD!$N$3:$N$5001,BD!$B$3:$B$5001,K$219,BD!$A$3:$A$5001,_xlfn.MAXIFS(BD!$A$3:$A$5001,BD!$B$3:$B$5001,K$219,BD!$A$3:$A$5001,"&gt;="&amp;$C$7,BD!$A$3:$A$5001,"&lt;="&amp;$B231,BD!$N$3:$N$5001,"&lt;&gt;"))))</f>
        <v/>
      </c>
      <c r="L231" s="43" t="str">
        <f>IF(OR($B231="",$A231&gt;$B$9,L$219=""),"",IF(COUNTIFS(BD!$B$3:$B$5001,L$219,BD!$A$3:$A$5001,"&gt;="&amp;$C$7,BD!$A$3:$A$5001,"&lt;="&amp;$B231,BD!$N$3:$N$5001,"&lt;&gt;")=0,"",SUMIFS(BD!$N$3:$N$5001,BD!$B$3:$B$5001,L$219,BD!$A$3:$A$5001,_xlfn.MAXIFS(BD!$A$3:$A$5001,BD!$B$3:$B$5001,L$219,BD!$A$3:$A$5001,"&gt;="&amp;$C$7,BD!$A$3:$A$5001,"&lt;="&amp;$B231,BD!$N$3:$N$5001,"&lt;&gt;"))))</f>
        <v/>
      </c>
      <c r="M231" s="43" t="str">
        <f>IF(OR($B231="",$A231&gt;$B$9,M$219=""),"",IF(COUNTIFS(BD!$B$3:$B$5001,M$219,BD!$A$3:$A$5001,"&gt;="&amp;$C$7,BD!$A$3:$A$5001,"&lt;="&amp;$B231,BD!$N$3:$N$5001,"&lt;&gt;")=0,"",SUMIFS(BD!$N$3:$N$5001,BD!$B$3:$B$5001,M$219,BD!$A$3:$A$5001,_xlfn.MAXIFS(BD!$A$3:$A$5001,BD!$B$3:$B$5001,M$219,BD!$A$3:$A$5001,"&gt;="&amp;$C$7,BD!$A$3:$A$5001,"&lt;="&amp;$B231,BD!$N$3:$N$5001,"&lt;&gt;"))))</f>
        <v/>
      </c>
      <c r="N231" s="43" t="str">
        <f>IF(OR($B231="",$A231&gt;$B$9,N$219=""),"",IF(COUNTIFS(BD!$B$3:$B$5001,N$219,BD!$A$3:$A$5001,"&gt;="&amp;$C$7,BD!$A$3:$A$5001,"&lt;="&amp;$B231,BD!$N$3:$N$5001,"&lt;&gt;")=0,"",SUMIFS(BD!$N$3:$N$5001,BD!$B$3:$B$5001,N$219,BD!$A$3:$A$5001,_xlfn.MAXIFS(BD!$A$3:$A$5001,BD!$B$3:$B$5001,N$219,BD!$A$3:$A$5001,"&gt;="&amp;$C$7,BD!$A$3:$A$5001,"&lt;="&amp;$B231,BD!$N$3:$N$5001,"&lt;&gt;"))))</f>
        <v/>
      </c>
      <c r="O231" s="43" t="str">
        <f>IF(OR($B231="",$A231&gt;$B$9,O$219=""),"",IF(COUNTIFS(BD!$B$3:$B$5001,O$219,BD!$A$3:$A$5001,"&gt;="&amp;$C$7,BD!$A$3:$A$5001,"&lt;="&amp;$B231,BD!$N$3:$N$5001,"&lt;&gt;")=0,"",SUMIFS(BD!$N$3:$N$5001,BD!$B$3:$B$5001,O$219,BD!$A$3:$A$5001,_xlfn.MAXIFS(BD!$A$3:$A$5001,BD!$B$3:$B$5001,O$219,BD!$A$3:$A$5001,"&gt;="&amp;$C$7,BD!$A$3:$A$5001,"&lt;="&amp;$B231,BD!$N$3:$N$5001,"&lt;&gt;"))))</f>
        <v/>
      </c>
      <c r="P231" s="43" t="str">
        <f>IF(OR($B231="",$A231&gt;$B$9,P$219=""),"",IF(COUNTIFS(BD!$B$3:$B$5001,P$219,BD!$A$3:$A$5001,"&gt;="&amp;$C$7,BD!$A$3:$A$5001,"&lt;="&amp;$B231,BD!$N$3:$N$5001,"&lt;&gt;")=0,"",SUMIFS(BD!$N$3:$N$5001,BD!$B$3:$B$5001,P$219,BD!$A$3:$A$5001,_xlfn.MAXIFS(BD!$A$3:$A$5001,BD!$B$3:$B$5001,P$219,BD!$A$3:$A$5001,"&gt;="&amp;$C$7,BD!$A$3:$A$5001,"&lt;="&amp;$B231,BD!$N$3:$N$5001,"&lt;&gt;"))))</f>
        <v/>
      </c>
      <c r="Q231" s="43" t="str">
        <f>IF(OR($B231="",$A231&gt;$B$9,Q$219=""),"",IF(COUNTIFS(BD!$B$3:$B$5001,Q$219,BD!$A$3:$A$5001,"&gt;="&amp;$C$7,BD!$A$3:$A$5001,"&lt;="&amp;$B231,BD!$N$3:$N$5001,"&lt;&gt;")=0,"",SUMIFS(BD!$N$3:$N$5001,BD!$B$3:$B$5001,Q$219,BD!$A$3:$A$5001,_xlfn.MAXIFS(BD!$A$3:$A$5001,BD!$B$3:$B$5001,Q$219,BD!$A$3:$A$5001,"&gt;="&amp;$C$7,BD!$A$3:$A$5001,"&lt;="&amp;$B231,BD!$N$3:$N$5001,"&lt;&gt;"))))</f>
        <v/>
      </c>
      <c r="R231" s="43" t="str">
        <f>IF(OR($B231="",$A231&gt;$B$9,R$219=""),"",IF(COUNTIFS(BD!$B$3:$B$5001,R$219,BD!$A$3:$A$5001,"&gt;="&amp;$C$7,BD!$A$3:$A$5001,"&lt;="&amp;$B231,BD!$N$3:$N$5001,"&lt;&gt;")=0,"",SUMIFS(BD!$N$3:$N$5001,BD!$B$3:$B$5001,R$219,BD!$A$3:$A$5001,_xlfn.MAXIFS(BD!$A$3:$A$5001,BD!$B$3:$B$5001,R$219,BD!$A$3:$A$5001,"&gt;="&amp;$C$7,BD!$A$3:$A$5001,"&lt;="&amp;$B231,BD!$N$3:$N$5001,"&lt;&gt;"))))</f>
        <v/>
      </c>
      <c r="S231" s="43" t="str">
        <f>IF(OR($B231="",$A231&gt;$B$9,S$219=""),"",IF(COUNTIFS(BD!$B$3:$B$5001,S$219,BD!$A$3:$A$5001,"&gt;="&amp;$C$7,BD!$A$3:$A$5001,"&lt;="&amp;$B231,BD!$N$3:$N$5001,"&lt;&gt;")=0,"",SUMIFS(BD!$N$3:$N$5001,BD!$B$3:$B$5001,S$219,BD!$A$3:$A$5001,_xlfn.MAXIFS(BD!$A$3:$A$5001,BD!$B$3:$B$5001,S$219,BD!$A$3:$A$5001,"&gt;="&amp;$C$7,BD!$A$3:$A$5001,"&lt;="&amp;$B231,BD!$N$3:$N$5001,"&lt;&gt;"))))</f>
        <v/>
      </c>
      <c r="T231" s="43" t="str">
        <f>IF(OR($B231="",$A231&gt;$B$9,T$219=""),"",IF(COUNTIFS(BD!$B$3:$B$5001,T$219,BD!$A$3:$A$5001,"&gt;="&amp;$C$7,BD!$A$3:$A$5001,"&lt;="&amp;$B231,BD!$N$3:$N$5001,"&lt;&gt;")=0,"",SUMIFS(BD!$N$3:$N$5001,BD!$B$3:$B$5001,T$219,BD!$A$3:$A$5001,_xlfn.MAXIFS(BD!$A$3:$A$5001,BD!$B$3:$B$5001,T$219,BD!$A$3:$A$5001,"&gt;="&amp;$C$7,BD!$A$3:$A$5001,"&lt;="&amp;$B231,BD!$N$3:$N$5001,"&lt;&gt;"))))</f>
        <v/>
      </c>
      <c r="U231" s="43" t="str">
        <f>IF(OR($B231="",$A231&gt;$B$9,U$219=""),"",IF(COUNTIFS(BD!$B$3:$B$5001,U$219,BD!$A$3:$A$5001,"&gt;="&amp;$C$7,BD!$A$3:$A$5001,"&lt;="&amp;$B231,BD!$N$3:$N$5001,"&lt;&gt;")=0,"",SUMIFS(BD!$N$3:$N$5001,BD!$B$3:$B$5001,U$219,BD!$A$3:$A$5001,_xlfn.MAXIFS(BD!$A$3:$A$5001,BD!$B$3:$B$5001,U$219,BD!$A$3:$A$5001,"&gt;="&amp;$C$7,BD!$A$3:$A$5001,"&lt;="&amp;$B231,BD!$N$3:$N$5001,"&lt;&gt;"))))</f>
        <v/>
      </c>
      <c r="V231" s="43" t="str">
        <f>IF(OR($B231="",$A231&gt;$B$9,V$219=""),"",IF(COUNTIFS(BD!$B$3:$B$5001,V$219,BD!$A$3:$A$5001,"&gt;="&amp;$C$7,BD!$A$3:$A$5001,"&lt;="&amp;$B231,BD!$N$3:$N$5001,"&lt;&gt;")=0,"",SUMIFS(BD!$N$3:$N$5001,BD!$B$3:$B$5001,V$219,BD!$A$3:$A$5001,_xlfn.MAXIFS(BD!$A$3:$A$5001,BD!$B$3:$B$5001,V$219,BD!$A$3:$A$5001,"&gt;="&amp;$C$7,BD!$A$3:$A$5001,"&lt;="&amp;$B231,BD!$N$3:$N$5001,"&lt;&gt;"))))</f>
        <v/>
      </c>
    </row>
    <row r="232">
      <c r="A232" s="38">
        <v>13</v>
      </c>
      <c r="B232" s="42">
        <f>$B$24</f>
        <v>46308</v>
      </c>
      <c r="C232" s="43" t="str">
        <f>IF(OR($B232="",$A232&gt;$B$9,C$219=""),"",IF(COUNTIFS(BD!$B$3:$B$5001,C$219,BD!$A$3:$A$5001,"&gt;="&amp;$C$7,BD!$A$3:$A$5001,"&lt;="&amp;$B232,BD!$N$3:$N$5001,"&lt;&gt;")=0,"",SUMIFS(BD!$N$3:$N$5001,BD!$B$3:$B$5001,C$219,BD!$A$3:$A$5001,_xlfn.MAXIFS(BD!$A$3:$A$5001,BD!$B$3:$B$5001,C$219,BD!$A$3:$A$5001,"&gt;="&amp;$C$7,BD!$A$3:$A$5001,"&lt;="&amp;$B232,BD!$N$3:$N$5001,"&lt;&gt;"))))</f>
        <v/>
      </c>
      <c r="D232" s="43" t="str">
        <f>IF(OR($B232="",$A232&gt;$B$9,D$219=""),"",IF(COUNTIFS(BD!$B$3:$B$5001,D$219,BD!$A$3:$A$5001,"&gt;="&amp;$C$7,BD!$A$3:$A$5001,"&lt;="&amp;$B232,BD!$N$3:$N$5001,"&lt;&gt;")=0,"",SUMIFS(BD!$N$3:$N$5001,BD!$B$3:$B$5001,D$219,BD!$A$3:$A$5001,_xlfn.MAXIFS(BD!$A$3:$A$5001,BD!$B$3:$B$5001,D$219,BD!$A$3:$A$5001,"&gt;="&amp;$C$7,BD!$A$3:$A$5001,"&lt;="&amp;$B232,BD!$N$3:$N$5001,"&lt;&gt;"))))</f>
        <v/>
      </c>
      <c r="E232" s="43" t="str">
        <f>IF(OR($B232="",$A232&gt;$B$9,E$219=""),"",IF(COUNTIFS(BD!$B$3:$B$5001,E$219,BD!$A$3:$A$5001,"&gt;="&amp;$C$7,BD!$A$3:$A$5001,"&lt;="&amp;$B232,BD!$N$3:$N$5001,"&lt;&gt;")=0,"",SUMIFS(BD!$N$3:$N$5001,BD!$B$3:$B$5001,E$219,BD!$A$3:$A$5001,_xlfn.MAXIFS(BD!$A$3:$A$5001,BD!$B$3:$B$5001,E$219,BD!$A$3:$A$5001,"&gt;="&amp;$C$7,BD!$A$3:$A$5001,"&lt;="&amp;$B232,BD!$N$3:$N$5001,"&lt;&gt;"))))</f>
        <v/>
      </c>
      <c r="F232" s="43" t="str">
        <f>IF(OR($B232="",$A232&gt;$B$9,F$219=""),"",IF(COUNTIFS(BD!$B$3:$B$5001,F$219,BD!$A$3:$A$5001,"&gt;="&amp;$C$7,BD!$A$3:$A$5001,"&lt;="&amp;$B232,BD!$N$3:$N$5001,"&lt;&gt;")=0,"",SUMIFS(BD!$N$3:$N$5001,BD!$B$3:$B$5001,F$219,BD!$A$3:$A$5001,_xlfn.MAXIFS(BD!$A$3:$A$5001,BD!$B$3:$B$5001,F$219,BD!$A$3:$A$5001,"&gt;="&amp;$C$7,BD!$A$3:$A$5001,"&lt;="&amp;$B232,BD!$N$3:$N$5001,"&lt;&gt;"))))</f>
        <v/>
      </c>
      <c r="G232" s="43" t="str">
        <f>IF(OR($B232="",$A232&gt;$B$9,G$219=""),"",IF(COUNTIFS(BD!$B$3:$B$5001,G$219,BD!$A$3:$A$5001,"&gt;="&amp;$C$7,BD!$A$3:$A$5001,"&lt;="&amp;$B232,BD!$N$3:$N$5001,"&lt;&gt;")=0,"",SUMIFS(BD!$N$3:$N$5001,BD!$B$3:$B$5001,G$219,BD!$A$3:$A$5001,_xlfn.MAXIFS(BD!$A$3:$A$5001,BD!$B$3:$B$5001,G$219,BD!$A$3:$A$5001,"&gt;="&amp;$C$7,BD!$A$3:$A$5001,"&lt;="&amp;$B232,BD!$N$3:$N$5001,"&lt;&gt;"))))</f>
        <v/>
      </c>
      <c r="H232" s="43" t="str">
        <f>IF(OR($B232="",$A232&gt;$B$9,H$219=""),"",IF(COUNTIFS(BD!$B$3:$B$5001,H$219,BD!$A$3:$A$5001,"&gt;="&amp;$C$7,BD!$A$3:$A$5001,"&lt;="&amp;$B232,BD!$N$3:$N$5001,"&lt;&gt;")=0,"",SUMIFS(BD!$N$3:$N$5001,BD!$B$3:$B$5001,H$219,BD!$A$3:$A$5001,_xlfn.MAXIFS(BD!$A$3:$A$5001,BD!$B$3:$B$5001,H$219,BD!$A$3:$A$5001,"&gt;="&amp;$C$7,BD!$A$3:$A$5001,"&lt;="&amp;$B232,BD!$N$3:$N$5001,"&lt;&gt;"))))</f>
        <v/>
      </c>
      <c r="I232" s="43" t="str">
        <f>IF(OR($B232="",$A232&gt;$B$9,I$219=""),"",IF(COUNTIFS(BD!$B$3:$B$5001,I$219,BD!$A$3:$A$5001,"&gt;="&amp;$C$7,BD!$A$3:$A$5001,"&lt;="&amp;$B232,BD!$N$3:$N$5001,"&lt;&gt;")=0,"",SUMIFS(BD!$N$3:$N$5001,BD!$B$3:$B$5001,I$219,BD!$A$3:$A$5001,_xlfn.MAXIFS(BD!$A$3:$A$5001,BD!$B$3:$B$5001,I$219,BD!$A$3:$A$5001,"&gt;="&amp;$C$7,BD!$A$3:$A$5001,"&lt;="&amp;$B232,BD!$N$3:$N$5001,"&lt;&gt;"))))</f>
        <v/>
      </c>
      <c r="J232" s="43" t="str">
        <f>IF(OR($B232="",$A232&gt;$B$9,J$219=""),"",IF(COUNTIFS(BD!$B$3:$B$5001,J$219,BD!$A$3:$A$5001,"&gt;="&amp;$C$7,BD!$A$3:$A$5001,"&lt;="&amp;$B232,BD!$N$3:$N$5001,"&lt;&gt;")=0,"",SUMIFS(BD!$N$3:$N$5001,BD!$B$3:$B$5001,J$219,BD!$A$3:$A$5001,_xlfn.MAXIFS(BD!$A$3:$A$5001,BD!$B$3:$B$5001,J$219,BD!$A$3:$A$5001,"&gt;="&amp;$C$7,BD!$A$3:$A$5001,"&lt;="&amp;$B232,BD!$N$3:$N$5001,"&lt;&gt;"))))</f>
        <v/>
      </c>
      <c r="K232" s="43" t="str">
        <f>IF(OR($B232="",$A232&gt;$B$9,K$219=""),"",IF(COUNTIFS(BD!$B$3:$B$5001,K$219,BD!$A$3:$A$5001,"&gt;="&amp;$C$7,BD!$A$3:$A$5001,"&lt;="&amp;$B232,BD!$N$3:$N$5001,"&lt;&gt;")=0,"",SUMIFS(BD!$N$3:$N$5001,BD!$B$3:$B$5001,K$219,BD!$A$3:$A$5001,_xlfn.MAXIFS(BD!$A$3:$A$5001,BD!$B$3:$B$5001,K$219,BD!$A$3:$A$5001,"&gt;="&amp;$C$7,BD!$A$3:$A$5001,"&lt;="&amp;$B232,BD!$N$3:$N$5001,"&lt;&gt;"))))</f>
        <v/>
      </c>
      <c r="L232" s="43" t="str">
        <f>IF(OR($B232="",$A232&gt;$B$9,L$219=""),"",IF(COUNTIFS(BD!$B$3:$B$5001,L$219,BD!$A$3:$A$5001,"&gt;="&amp;$C$7,BD!$A$3:$A$5001,"&lt;="&amp;$B232,BD!$N$3:$N$5001,"&lt;&gt;")=0,"",SUMIFS(BD!$N$3:$N$5001,BD!$B$3:$B$5001,L$219,BD!$A$3:$A$5001,_xlfn.MAXIFS(BD!$A$3:$A$5001,BD!$B$3:$B$5001,L$219,BD!$A$3:$A$5001,"&gt;="&amp;$C$7,BD!$A$3:$A$5001,"&lt;="&amp;$B232,BD!$N$3:$N$5001,"&lt;&gt;"))))</f>
        <v/>
      </c>
      <c r="M232" s="43" t="str">
        <f>IF(OR($B232="",$A232&gt;$B$9,M$219=""),"",IF(COUNTIFS(BD!$B$3:$B$5001,M$219,BD!$A$3:$A$5001,"&gt;="&amp;$C$7,BD!$A$3:$A$5001,"&lt;="&amp;$B232,BD!$N$3:$N$5001,"&lt;&gt;")=0,"",SUMIFS(BD!$N$3:$N$5001,BD!$B$3:$B$5001,M$219,BD!$A$3:$A$5001,_xlfn.MAXIFS(BD!$A$3:$A$5001,BD!$B$3:$B$5001,M$219,BD!$A$3:$A$5001,"&gt;="&amp;$C$7,BD!$A$3:$A$5001,"&lt;="&amp;$B232,BD!$N$3:$N$5001,"&lt;&gt;"))))</f>
        <v/>
      </c>
      <c r="N232" s="43" t="str">
        <f>IF(OR($B232="",$A232&gt;$B$9,N$219=""),"",IF(COUNTIFS(BD!$B$3:$B$5001,N$219,BD!$A$3:$A$5001,"&gt;="&amp;$C$7,BD!$A$3:$A$5001,"&lt;="&amp;$B232,BD!$N$3:$N$5001,"&lt;&gt;")=0,"",SUMIFS(BD!$N$3:$N$5001,BD!$B$3:$B$5001,N$219,BD!$A$3:$A$5001,_xlfn.MAXIFS(BD!$A$3:$A$5001,BD!$B$3:$B$5001,N$219,BD!$A$3:$A$5001,"&gt;="&amp;$C$7,BD!$A$3:$A$5001,"&lt;="&amp;$B232,BD!$N$3:$N$5001,"&lt;&gt;"))))</f>
        <v/>
      </c>
      <c r="O232" s="43" t="str">
        <f>IF(OR($B232="",$A232&gt;$B$9,O$219=""),"",IF(COUNTIFS(BD!$B$3:$B$5001,O$219,BD!$A$3:$A$5001,"&gt;="&amp;$C$7,BD!$A$3:$A$5001,"&lt;="&amp;$B232,BD!$N$3:$N$5001,"&lt;&gt;")=0,"",SUMIFS(BD!$N$3:$N$5001,BD!$B$3:$B$5001,O$219,BD!$A$3:$A$5001,_xlfn.MAXIFS(BD!$A$3:$A$5001,BD!$B$3:$B$5001,O$219,BD!$A$3:$A$5001,"&gt;="&amp;$C$7,BD!$A$3:$A$5001,"&lt;="&amp;$B232,BD!$N$3:$N$5001,"&lt;&gt;"))))</f>
        <v/>
      </c>
      <c r="P232" s="43" t="str">
        <f>IF(OR($B232="",$A232&gt;$B$9,P$219=""),"",IF(COUNTIFS(BD!$B$3:$B$5001,P$219,BD!$A$3:$A$5001,"&gt;="&amp;$C$7,BD!$A$3:$A$5001,"&lt;="&amp;$B232,BD!$N$3:$N$5001,"&lt;&gt;")=0,"",SUMIFS(BD!$N$3:$N$5001,BD!$B$3:$B$5001,P$219,BD!$A$3:$A$5001,_xlfn.MAXIFS(BD!$A$3:$A$5001,BD!$B$3:$B$5001,P$219,BD!$A$3:$A$5001,"&gt;="&amp;$C$7,BD!$A$3:$A$5001,"&lt;="&amp;$B232,BD!$N$3:$N$5001,"&lt;&gt;"))))</f>
        <v/>
      </c>
      <c r="Q232" s="43" t="str">
        <f>IF(OR($B232="",$A232&gt;$B$9,Q$219=""),"",IF(COUNTIFS(BD!$B$3:$B$5001,Q$219,BD!$A$3:$A$5001,"&gt;="&amp;$C$7,BD!$A$3:$A$5001,"&lt;="&amp;$B232,BD!$N$3:$N$5001,"&lt;&gt;")=0,"",SUMIFS(BD!$N$3:$N$5001,BD!$B$3:$B$5001,Q$219,BD!$A$3:$A$5001,_xlfn.MAXIFS(BD!$A$3:$A$5001,BD!$B$3:$B$5001,Q$219,BD!$A$3:$A$5001,"&gt;="&amp;$C$7,BD!$A$3:$A$5001,"&lt;="&amp;$B232,BD!$N$3:$N$5001,"&lt;&gt;"))))</f>
        <v/>
      </c>
      <c r="R232" s="43" t="str">
        <f>IF(OR($B232="",$A232&gt;$B$9,R$219=""),"",IF(COUNTIFS(BD!$B$3:$B$5001,R$219,BD!$A$3:$A$5001,"&gt;="&amp;$C$7,BD!$A$3:$A$5001,"&lt;="&amp;$B232,BD!$N$3:$N$5001,"&lt;&gt;")=0,"",SUMIFS(BD!$N$3:$N$5001,BD!$B$3:$B$5001,R$219,BD!$A$3:$A$5001,_xlfn.MAXIFS(BD!$A$3:$A$5001,BD!$B$3:$B$5001,R$219,BD!$A$3:$A$5001,"&gt;="&amp;$C$7,BD!$A$3:$A$5001,"&lt;="&amp;$B232,BD!$N$3:$N$5001,"&lt;&gt;"))))</f>
        <v/>
      </c>
      <c r="S232" s="43" t="str">
        <f>IF(OR($B232="",$A232&gt;$B$9,S$219=""),"",IF(COUNTIFS(BD!$B$3:$B$5001,S$219,BD!$A$3:$A$5001,"&gt;="&amp;$C$7,BD!$A$3:$A$5001,"&lt;="&amp;$B232,BD!$N$3:$N$5001,"&lt;&gt;")=0,"",SUMIFS(BD!$N$3:$N$5001,BD!$B$3:$B$5001,S$219,BD!$A$3:$A$5001,_xlfn.MAXIFS(BD!$A$3:$A$5001,BD!$B$3:$B$5001,S$219,BD!$A$3:$A$5001,"&gt;="&amp;$C$7,BD!$A$3:$A$5001,"&lt;="&amp;$B232,BD!$N$3:$N$5001,"&lt;&gt;"))))</f>
        <v/>
      </c>
      <c r="T232" s="43" t="str">
        <f>IF(OR($B232="",$A232&gt;$B$9,T$219=""),"",IF(COUNTIFS(BD!$B$3:$B$5001,T$219,BD!$A$3:$A$5001,"&gt;="&amp;$C$7,BD!$A$3:$A$5001,"&lt;="&amp;$B232,BD!$N$3:$N$5001,"&lt;&gt;")=0,"",SUMIFS(BD!$N$3:$N$5001,BD!$B$3:$B$5001,T$219,BD!$A$3:$A$5001,_xlfn.MAXIFS(BD!$A$3:$A$5001,BD!$B$3:$B$5001,T$219,BD!$A$3:$A$5001,"&gt;="&amp;$C$7,BD!$A$3:$A$5001,"&lt;="&amp;$B232,BD!$N$3:$N$5001,"&lt;&gt;"))))</f>
        <v/>
      </c>
      <c r="U232" s="43" t="str">
        <f>IF(OR($B232="",$A232&gt;$B$9,U$219=""),"",IF(COUNTIFS(BD!$B$3:$B$5001,U$219,BD!$A$3:$A$5001,"&gt;="&amp;$C$7,BD!$A$3:$A$5001,"&lt;="&amp;$B232,BD!$N$3:$N$5001,"&lt;&gt;")=0,"",SUMIFS(BD!$N$3:$N$5001,BD!$B$3:$B$5001,U$219,BD!$A$3:$A$5001,_xlfn.MAXIFS(BD!$A$3:$A$5001,BD!$B$3:$B$5001,U$219,BD!$A$3:$A$5001,"&gt;="&amp;$C$7,BD!$A$3:$A$5001,"&lt;="&amp;$B232,BD!$N$3:$N$5001,"&lt;&gt;"))))</f>
        <v/>
      </c>
      <c r="V232" s="43" t="str">
        <f>IF(OR($B232="",$A232&gt;$B$9,V$219=""),"",IF(COUNTIFS(BD!$B$3:$B$5001,V$219,BD!$A$3:$A$5001,"&gt;="&amp;$C$7,BD!$A$3:$A$5001,"&lt;="&amp;$B232,BD!$N$3:$N$5001,"&lt;&gt;")=0,"",SUMIFS(BD!$N$3:$N$5001,BD!$B$3:$B$5001,V$219,BD!$A$3:$A$5001,_xlfn.MAXIFS(BD!$A$3:$A$5001,BD!$B$3:$B$5001,V$219,BD!$A$3:$A$5001,"&gt;="&amp;$C$7,BD!$A$3:$A$5001,"&lt;="&amp;$B232,BD!$N$3:$N$5001,"&lt;&gt;"))))</f>
        <v/>
      </c>
    </row>
    <row r="233">
      <c r="A233" s="38">
        <v>14</v>
      </c>
      <c r="B233" s="42">
        <f>$B$25</f>
        <v>46309</v>
      </c>
      <c r="C233" s="43" t="str">
        <f>IF(OR($B233="",$A233&gt;$B$9,C$219=""),"",IF(COUNTIFS(BD!$B$3:$B$5001,C$219,BD!$A$3:$A$5001,"&gt;="&amp;$C$7,BD!$A$3:$A$5001,"&lt;="&amp;$B233,BD!$N$3:$N$5001,"&lt;&gt;")=0,"",SUMIFS(BD!$N$3:$N$5001,BD!$B$3:$B$5001,C$219,BD!$A$3:$A$5001,_xlfn.MAXIFS(BD!$A$3:$A$5001,BD!$B$3:$B$5001,C$219,BD!$A$3:$A$5001,"&gt;="&amp;$C$7,BD!$A$3:$A$5001,"&lt;="&amp;$B233,BD!$N$3:$N$5001,"&lt;&gt;"))))</f>
        <v/>
      </c>
      <c r="D233" s="43" t="str">
        <f>IF(OR($B233="",$A233&gt;$B$9,D$219=""),"",IF(COUNTIFS(BD!$B$3:$B$5001,D$219,BD!$A$3:$A$5001,"&gt;="&amp;$C$7,BD!$A$3:$A$5001,"&lt;="&amp;$B233,BD!$N$3:$N$5001,"&lt;&gt;")=0,"",SUMIFS(BD!$N$3:$N$5001,BD!$B$3:$B$5001,D$219,BD!$A$3:$A$5001,_xlfn.MAXIFS(BD!$A$3:$A$5001,BD!$B$3:$B$5001,D$219,BD!$A$3:$A$5001,"&gt;="&amp;$C$7,BD!$A$3:$A$5001,"&lt;="&amp;$B233,BD!$N$3:$N$5001,"&lt;&gt;"))))</f>
        <v/>
      </c>
      <c r="E233" s="43" t="str">
        <f>IF(OR($B233="",$A233&gt;$B$9,E$219=""),"",IF(COUNTIFS(BD!$B$3:$B$5001,E$219,BD!$A$3:$A$5001,"&gt;="&amp;$C$7,BD!$A$3:$A$5001,"&lt;="&amp;$B233,BD!$N$3:$N$5001,"&lt;&gt;")=0,"",SUMIFS(BD!$N$3:$N$5001,BD!$B$3:$B$5001,E$219,BD!$A$3:$A$5001,_xlfn.MAXIFS(BD!$A$3:$A$5001,BD!$B$3:$B$5001,E$219,BD!$A$3:$A$5001,"&gt;="&amp;$C$7,BD!$A$3:$A$5001,"&lt;="&amp;$B233,BD!$N$3:$N$5001,"&lt;&gt;"))))</f>
        <v/>
      </c>
      <c r="F233" s="43" t="str">
        <f>IF(OR($B233="",$A233&gt;$B$9,F$219=""),"",IF(COUNTIFS(BD!$B$3:$B$5001,F$219,BD!$A$3:$A$5001,"&gt;="&amp;$C$7,BD!$A$3:$A$5001,"&lt;="&amp;$B233,BD!$N$3:$N$5001,"&lt;&gt;")=0,"",SUMIFS(BD!$N$3:$N$5001,BD!$B$3:$B$5001,F$219,BD!$A$3:$A$5001,_xlfn.MAXIFS(BD!$A$3:$A$5001,BD!$B$3:$B$5001,F$219,BD!$A$3:$A$5001,"&gt;="&amp;$C$7,BD!$A$3:$A$5001,"&lt;="&amp;$B233,BD!$N$3:$N$5001,"&lt;&gt;"))))</f>
        <v/>
      </c>
      <c r="G233" s="43" t="str">
        <f>IF(OR($B233="",$A233&gt;$B$9,G$219=""),"",IF(COUNTIFS(BD!$B$3:$B$5001,G$219,BD!$A$3:$A$5001,"&gt;="&amp;$C$7,BD!$A$3:$A$5001,"&lt;="&amp;$B233,BD!$N$3:$N$5001,"&lt;&gt;")=0,"",SUMIFS(BD!$N$3:$N$5001,BD!$B$3:$B$5001,G$219,BD!$A$3:$A$5001,_xlfn.MAXIFS(BD!$A$3:$A$5001,BD!$B$3:$B$5001,G$219,BD!$A$3:$A$5001,"&gt;="&amp;$C$7,BD!$A$3:$A$5001,"&lt;="&amp;$B233,BD!$N$3:$N$5001,"&lt;&gt;"))))</f>
        <v/>
      </c>
      <c r="H233" s="43" t="str">
        <f>IF(OR($B233="",$A233&gt;$B$9,H$219=""),"",IF(COUNTIFS(BD!$B$3:$B$5001,H$219,BD!$A$3:$A$5001,"&gt;="&amp;$C$7,BD!$A$3:$A$5001,"&lt;="&amp;$B233,BD!$N$3:$N$5001,"&lt;&gt;")=0,"",SUMIFS(BD!$N$3:$N$5001,BD!$B$3:$B$5001,H$219,BD!$A$3:$A$5001,_xlfn.MAXIFS(BD!$A$3:$A$5001,BD!$B$3:$B$5001,H$219,BD!$A$3:$A$5001,"&gt;="&amp;$C$7,BD!$A$3:$A$5001,"&lt;="&amp;$B233,BD!$N$3:$N$5001,"&lt;&gt;"))))</f>
        <v/>
      </c>
      <c r="I233" s="43" t="str">
        <f>IF(OR($B233="",$A233&gt;$B$9,I$219=""),"",IF(COUNTIFS(BD!$B$3:$B$5001,I$219,BD!$A$3:$A$5001,"&gt;="&amp;$C$7,BD!$A$3:$A$5001,"&lt;="&amp;$B233,BD!$N$3:$N$5001,"&lt;&gt;")=0,"",SUMIFS(BD!$N$3:$N$5001,BD!$B$3:$B$5001,I$219,BD!$A$3:$A$5001,_xlfn.MAXIFS(BD!$A$3:$A$5001,BD!$B$3:$B$5001,I$219,BD!$A$3:$A$5001,"&gt;="&amp;$C$7,BD!$A$3:$A$5001,"&lt;="&amp;$B233,BD!$N$3:$N$5001,"&lt;&gt;"))))</f>
        <v/>
      </c>
      <c r="J233" s="43" t="str">
        <f>IF(OR($B233="",$A233&gt;$B$9,J$219=""),"",IF(COUNTIFS(BD!$B$3:$B$5001,J$219,BD!$A$3:$A$5001,"&gt;="&amp;$C$7,BD!$A$3:$A$5001,"&lt;="&amp;$B233,BD!$N$3:$N$5001,"&lt;&gt;")=0,"",SUMIFS(BD!$N$3:$N$5001,BD!$B$3:$B$5001,J$219,BD!$A$3:$A$5001,_xlfn.MAXIFS(BD!$A$3:$A$5001,BD!$B$3:$B$5001,J$219,BD!$A$3:$A$5001,"&gt;="&amp;$C$7,BD!$A$3:$A$5001,"&lt;="&amp;$B233,BD!$N$3:$N$5001,"&lt;&gt;"))))</f>
        <v/>
      </c>
      <c r="K233" s="43" t="str">
        <f>IF(OR($B233="",$A233&gt;$B$9,K$219=""),"",IF(COUNTIFS(BD!$B$3:$B$5001,K$219,BD!$A$3:$A$5001,"&gt;="&amp;$C$7,BD!$A$3:$A$5001,"&lt;="&amp;$B233,BD!$N$3:$N$5001,"&lt;&gt;")=0,"",SUMIFS(BD!$N$3:$N$5001,BD!$B$3:$B$5001,K$219,BD!$A$3:$A$5001,_xlfn.MAXIFS(BD!$A$3:$A$5001,BD!$B$3:$B$5001,K$219,BD!$A$3:$A$5001,"&gt;="&amp;$C$7,BD!$A$3:$A$5001,"&lt;="&amp;$B233,BD!$N$3:$N$5001,"&lt;&gt;"))))</f>
        <v/>
      </c>
      <c r="L233" s="43" t="str">
        <f>IF(OR($B233="",$A233&gt;$B$9,L$219=""),"",IF(COUNTIFS(BD!$B$3:$B$5001,L$219,BD!$A$3:$A$5001,"&gt;="&amp;$C$7,BD!$A$3:$A$5001,"&lt;="&amp;$B233,BD!$N$3:$N$5001,"&lt;&gt;")=0,"",SUMIFS(BD!$N$3:$N$5001,BD!$B$3:$B$5001,L$219,BD!$A$3:$A$5001,_xlfn.MAXIFS(BD!$A$3:$A$5001,BD!$B$3:$B$5001,L$219,BD!$A$3:$A$5001,"&gt;="&amp;$C$7,BD!$A$3:$A$5001,"&lt;="&amp;$B233,BD!$N$3:$N$5001,"&lt;&gt;"))))</f>
        <v/>
      </c>
      <c r="M233" s="43" t="str">
        <f>IF(OR($B233="",$A233&gt;$B$9,M$219=""),"",IF(COUNTIFS(BD!$B$3:$B$5001,M$219,BD!$A$3:$A$5001,"&gt;="&amp;$C$7,BD!$A$3:$A$5001,"&lt;="&amp;$B233,BD!$N$3:$N$5001,"&lt;&gt;")=0,"",SUMIFS(BD!$N$3:$N$5001,BD!$B$3:$B$5001,M$219,BD!$A$3:$A$5001,_xlfn.MAXIFS(BD!$A$3:$A$5001,BD!$B$3:$B$5001,M$219,BD!$A$3:$A$5001,"&gt;="&amp;$C$7,BD!$A$3:$A$5001,"&lt;="&amp;$B233,BD!$N$3:$N$5001,"&lt;&gt;"))))</f>
        <v/>
      </c>
      <c r="N233" s="43" t="str">
        <f>IF(OR($B233="",$A233&gt;$B$9,N$219=""),"",IF(COUNTIFS(BD!$B$3:$B$5001,N$219,BD!$A$3:$A$5001,"&gt;="&amp;$C$7,BD!$A$3:$A$5001,"&lt;="&amp;$B233,BD!$N$3:$N$5001,"&lt;&gt;")=0,"",SUMIFS(BD!$N$3:$N$5001,BD!$B$3:$B$5001,N$219,BD!$A$3:$A$5001,_xlfn.MAXIFS(BD!$A$3:$A$5001,BD!$B$3:$B$5001,N$219,BD!$A$3:$A$5001,"&gt;="&amp;$C$7,BD!$A$3:$A$5001,"&lt;="&amp;$B233,BD!$N$3:$N$5001,"&lt;&gt;"))))</f>
        <v/>
      </c>
      <c r="O233" s="43" t="str">
        <f>IF(OR($B233="",$A233&gt;$B$9,O$219=""),"",IF(COUNTIFS(BD!$B$3:$B$5001,O$219,BD!$A$3:$A$5001,"&gt;="&amp;$C$7,BD!$A$3:$A$5001,"&lt;="&amp;$B233,BD!$N$3:$N$5001,"&lt;&gt;")=0,"",SUMIFS(BD!$N$3:$N$5001,BD!$B$3:$B$5001,O$219,BD!$A$3:$A$5001,_xlfn.MAXIFS(BD!$A$3:$A$5001,BD!$B$3:$B$5001,O$219,BD!$A$3:$A$5001,"&gt;="&amp;$C$7,BD!$A$3:$A$5001,"&lt;="&amp;$B233,BD!$N$3:$N$5001,"&lt;&gt;"))))</f>
        <v/>
      </c>
      <c r="P233" s="43" t="str">
        <f>IF(OR($B233="",$A233&gt;$B$9,P$219=""),"",IF(COUNTIFS(BD!$B$3:$B$5001,P$219,BD!$A$3:$A$5001,"&gt;="&amp;$C$7,BD!$A$3:$A$5001,"&lt;="&amp;$B233,BD!$N$3:$N$5001,"&lt;&gt;")=0,"",SUMIFS(BD!$N$3:$N$5001,BD!$B$3:$B$5001,P$219,BD!$A$3:$A$5001,_xlfn.MAXIFS(BD!$A$3:$A$5001,BD!$B$3:$B$5001,P$219,BD!$A$3:$A$5001,"&gt;="&amp;$C$7,BD!$A$3:$A$5001,"&lt;="&amp;$B233,BD!$N$3:$N$5001,"&lt;&gt;"))))</f>
        <v/>
      </c>
      <c r="Q233" s="43" t="str">
        <f>IF(OR($B233="",$A233&gt;$B$9,Q$219=""),"",IF(COUNTIFS(BD!$B$3:$B$5001,Q$219,BD!$A$3:$A$5001,"&gt;="&amp;$C$7,BD!$A$3:$A$5001,"&lt;="&amp;$B233,BD!$N$3:$N$5001,"&lt;&gt;")=0,"",SUMIFS(BD!$N$3:$N$5001,BD!$B$3:$B$5001,Q$219,BD!$A$3:$A$5001,_xlfn.MAXIFS(BD!$A$3:$A$5001,BD!$B$3:$B$5001,Q$219,BD!$A$3:$A$5001,"&gt;="&amp;$C$7,BD!$A$3:$A$5001,"&lt;="&amp;$B233,BD!$N$3:$N$5001,"&lt;&gt;"))))</f>
        <v/>
      </c>
      <c r="R233" s="43" t="str">
        <f>IF(OR($B233="",$A233&gt;$B$9,R$219=""),"",IF(COUNTIFS(BD!$B$3:$B$5001,R$219,BD!$A$3:$A$5001,"&gt;="&amp;$C$7,BD!$A$3:$A$5001,"&lt;="&amp;$B233,BD!$N$3:$N$5001,"&lt;&gt;")=0,"",SUMIFS(BD!$N$3:$N$5001,BD!$B$3:$B$5001,R$219,BD!$A$3:$A$5001,_xlfn.MAXIFS(BD!$A$3:$A$5001,BD!$B$3:$B$5001,R$219,BD!$A$3:$A$5001,"&gt;="&amp;$C$7,BD!$A$3:$A$5001,"&lt;="&amp;$B233,BD!$N$3:$N$5001,"&lt;&gt;"))))</f>
        <v/>
      </c>
      <c r="S233" s="43" t="str">
        <f>IF(OR($B233="",$A233&gt;$B$9,S$219=""),"",IF(COUNTIFS(BD!$B$3:$B$5001,S$219,BD!$A$3:$A$5001,"&gt;="&amp;$C$7,BD!$A$3:$A$5001,"&lt;="&amp;$B233,BD!$N$3:$N$5001,"&lt;&gt;")=0,"",SUMIFS(BD!$N$3:$N$5001,BD!$B$3:$B$5001,S$219,BD!$A$3:$A$5001,_xlfn.MAXIFS(BD!$A$3:$A$5001,BD!$B$3:$B$5001,S$219,BD!$A$3:$A$5001,"&gt;="&amp;$C$7,BD!$A$3:$A$5001,"&lt;="&amp;$B233,BD!$N$3:$N$5001,"&lt;&gt;"))))</f>
        <v/>
      </c>
      <c r="T233" s="43" t="str">
        <f>IF(OR($B233="",$A233&gt;$B$9,T$219=""),"",IF(COUNTIFS(BD!$B$3:$B$5001,T$219,BD!$A$3:$A$5001,"&gt;="&amp;$C$7,BD!$A$3:$A$5001,"&lt;="&amp;$B233,BD!$N$3:$N$5001,"&lt;&gt;")=0,"",SUMIFS(BD!$N$3:$N$5001,BD!$B$3:$B$5001,T$219,BD!$A$3:$A$5001,_xlfn.MAXIFS(BD!$A$3:$A$5001,BD!$B$3:$B$5001,T$219,BD!$A$3:$A$5001,"&gt;="&amp;$C$7,BD!$A$3:$A$5001,"&lt;="&amp;$B233,BD!$N$3:$N$5001,"&lt;&gt;"))))</f>
        <v/>
      </c>
      <c r="U233" s="43" t="str">
        <f>IF(OR($B233="",$A233&gt;$B$9,U$219=""),"",IF(COUNTIFS(BD!$B$3:$B$5001,U$219,BD!$A$3:$A$5001,"&gt;="&amp;$C$7,BD!$A$3:$A$5001,"&lt;="&amp;$B233,BD!$N$3:$N$5001,"&lt;&gt;")=0,"",SUMIFS(BD!$N$3:$N$5001,BD!$B$3:$B$5001,U$219,BD!$A$3:$A$5001,_xlfn.MAXIFS(BD!$A$3:$A$5001,BD!$B$3:$B$5001,U$219,BD!$A$3:$A$5001,"&gt;="&amp;$C$7,BD!$A$3:$A$5001,"&lt;="&amp;$B233,BD!$N$3:$N$5001,"&lt;&gt;"))))</f>
        <v/>
      </c>
      <c r="V233" s="43" t="str">
        <f>IF(OR($B233="",$A233&gt;$B$9,V$219=""),"",IF(COUNTIFS(BD!$B$3:$B$5001,V$219,BD!$A$3:$A$5001,"&gt;="&amp;$C$7,BD!$A$3:$A$5001,"&lt;="&amp;$B233,BD!$N$3:$N$5001,"&lt;&gt;")=0,"",SUMIFS(BD!$N$3:$N$5001,BD!$B$3:$B$5001,V$219,BD!$A$3:$A$5001,_xlfn.MAXIFS(BD!$A$3:$A$5001,BD!$B$3:$B$5001,V$219,BD!$A$3:$A$5001,"&gt;="&amp;$C$7,BD!$A$3:$A$5001,"&lt;="&amp;$B233,BD!$N$3:$N$5001,"&lt;&gt;"))))</f>
        <v/>
      </c>
    </row>
    <row r="234">
      <c r="A234" s="38">
        <v>15</v>
      </c>
      <c r="B234" s="42">
        <f>$B$26</f>
        <v>46310</v>
      </c>
      <c r="C234" s="43" t="str">
        <f>IF(OR($B234="",$A234&gt;$B$9,C$219=""),"",IF(COUNTIFS(BD!$B$3:$B$5001,C$219,BD!$A$3:$A$5001,"&gt;="&amp;$C$7,BD!$A$3:$A$5001,"&lt;="&amp;$B234,BD!$N$3:$N$5001,"&lt;&gt;")=0,"",SUMIFS(BD!$N$3:$N$5001,BD!$B$3:$B$5001,C$219,BD!$A$3:$A$5001,_xlfn.MAXIFS(BD!$A$3:$A$5001,BD!$B$3:$B$5001,C$219,BD!$A$3:$A$5001,"&gt;="&amp;$C$7,BD!$A$3:$A$5001,"&lt;="&amp;$B234,BD!$N$3:$N$5001,"&lt;&gt;"))))</f>
        <v/>
      </c>
      <c r="D234" s="43" t="str">
        <f>IF(OR($B234="",$A234&gt;$B$9,D$219=""),"",IF(COUNTIFS(BD!$B$3:$B$5001,D$219,BD!$A$3:$A$5001,"&gt;="&amp;$C$7,BD!$A$3:$A$5001,"&lt;="&amp;$B234,BD!$N$3:$N$5001,"&lt;&gt;")=0,"",SUMIFS(BD!$N$3:$N$5001,BD!$B$3:$B$5001,D$219,BD!$A$3:$A$5001,_xlfn.MAXIFS(BD!$A$3:$A$5001,BD!$B$3:$B$5001,D$219,BD!$A$3:$A$5001,"&gt;="&amp;$C$7,BD!$A$3:$A$5001,"&lt;="&amp;$B234,BD!$N$3:$N$5001,"&lt;&gt;"))))</f>
        <v/>
      </c>
      <c r="E234" s="43" t="str">
        <f>IF(OR($B234="",$A234&gt;$B$9,E$219=""),"",IF(COUNTIFS(BD!$B$3:$B$5001,E$219,BD!$A$3:$A$5001,"&gt;="&amp;$C$7,BD!$A$3:$A$5001,"&lt;="&amp;$B234,BD!$N$3:$N$5001,"&lt;&gt;")=0,"",SUMIFS(BD!$N$3:$N$5001,BD!$B$3:$B$5001,E$219,BD!$A$3:$A$5001,_xlfn.MAXIFS(BD!$A$3:$A$5001,BD!$B$3:$B$5001,E$219,BD!$A$3:$A$5001,"&gt;="&amp;$C$7,BD!$A$3:$A$5001,"&lt;="&amp;$B234,BD!$N$3:$N$5001,"&lt;&gt;"))))</f>
        <v/>
      </c>
      <c r="F234" s="43" t="str">
        <f>IF(OR($B234="",$A234&gt;$B$9,F$219=""),"",IF(COUNTIFS(BD!$B$3:$B$5001,F$219,BD!$A$3:$A$5001,"&gt;="&amp;$C$7,BD!$A$3:$A$5001,"&lt;="&amp;$B234,BD!$N$3:$N$5001,"&lt;&gt;")=0,"",SUMIFS(BD!$N$3:$N$5001,BD!$B$3:$B$5001,F$219,BD!$A$3:$A$5001,_xlfn.MAXIFS(BD!$A$3:$A$5001,BD!$B$3:$B$5001,F$219,BD!$A$3:$A$5001,"&gt;="&amp;$C$7,BD!$A$3:$A$5001,"&lt;="&amp;$B234,BD!$N$3:$N$5001,"&lt;&gt;"))))</f>
        <v/>
      </c>
      <c r="G234" s="43" t="str">
        <f>IF(OR($B234="",$A234&gt;$B$9,G$219=""),"",IF(COUNTIFS(BD!$B$3:$B$5001,G$219,BD!$A$3:$A$5001,"&gt;="&amp;$C$7,BD!$A$3:$A$5001,"&lt;="&amp;$B234,BD!$N$3:$N$5001,"&lt;&gt;")=0,"",SUMIFS(BD!$N$3:$N$5001,BD!$B$3:$B$5001,G$219,BD!$A$3:$A$5001,_xlfn.MAXIFS(BD!$A$3:$A$5001,BD!$B$3:$B$5001,G$219,BD!$A$3:$A$5001,"&gt;="&amp;$C$7,BD!$A$3:$A$5001,"&lt;="&amp;$B234,BD!$N$3:$N$5001,"&lt;&gt;"))))</f>
        <v/>
      </c>
      <c r="H234" s="43" t="str">
        <f>IF(OR($B234="",$A234&gt;$B$9,H$219=""),"",IF(COUNTIFS(BD!$B$3:$B$5001,H$219,BD!$A$3:$A$5001,"&gt;="&amp;$C$7,BD!$A$3:$A$5001,"&lt;="&amp;$B234,BD!$N$3:$N$5001,"&lt;&gt;")=0,"",SUMIFS(BD!$N$3:$N$5001,BD!$B$3:$B$5001,H$219,BD!$A$3:$A$5001,_xlfn.MAXIFS(BD!$A$3:$A$5001,BD!$B$3:$B$5001,H$219,BD!$A$3:$A$5001,"&gt;="&amp;$C$7,BD!$A$3:$A$5001,"&lt;="&amp;$B234,BD!$N$3:$N$5001,"&lt;&gt;"))))</f>
        <v/>
      </c>
      <c r="I234" s="43" t="str">
        <f>IF(OR($B234="",$A234&gt;$B$9,I$219=""),"",IF(COUNTIFS(BD!$B$3:$B$5001,I$219,BD!$A$3:$A$5001,"&gt;="&amp;$C$7,BD!$A$3:$A$5001,"&lt;="&amp;$B234,BD!$N$3:$N$5001,"&lt;&gt;")=0,"",SUMIFS(BD!$N$3:$N$5001,BD!$B$3:$B$5001,I$219,BD!$A$3:$A$5001,_xlfn.MAXIFS(BD!$A$3:$A$5001,BD!$B$3:$B$5001,I$219,BD!$A$3:$A$5001,"&gt;="&amp;$C$7,BD!$A$3:$A$5001,"&lt;="&amp;$B234,BD!$N$3:$N$5001,"&lt;&gt;"))))</f>
        <v/>
      </c>
      <c r="J234" s="43" t="str">
        <f>IF(OR($B234="",$A234&gt;$B$9,J$219=""),"",IF(COUNTIFS(BD!$B$3:$B$5001,J$219,BD!$A$3:$A$5001,"&gt;="&amp;$C$7,BD!$A$3:$A$5001,"&lt;="&amp;$B234,BD!$N$3:$N$5001,"&lt;&gt;")=0,"",SUMIFS(BD!$N$3:$N$5001,BD!$B$3:$B$5001,J$219,BD!$A$3:$A$5001,_xlfn.MAXIFS(BD!$A$3:$A$5001,BD!$B$3:$B$5001,J$219,BD!$A$3:$A$5001,"&gt;="&amp;$C$7,BD!$A$3:$A$5001,"&lt;="&amp;$B234,BD!$N$3:$N$5001,"&lt;&gt;"))))</f>
        <v/>
      </c>
      <c r="K234" s="43" t="str">
        <f>IF(OR($B234="",$A234&gt;$B$9,K$219=""),"",IF(COUNTIFS(BD!$B$3:$B$5001,K$219,BD!$A$3:$A$5001,"&gt;="&amp;$C$7,BD!$A$3:$A$5001,"&lt;="&amp;$B234,BD!$N$3:$N$5001,"&lt;&gt;")=0,"",SUMIFS(BD!$N$3:$N$5001,BD!$B$3:$B$5001,K$219,BD!$A$3:$A$5001,_xlfn.MAXIFS(BD!$A$3:$A$5001,BD!$B$3:$B$5001,K$219,BD!$A$3:$A$5001,"&gt;="&amp;$C$7,BD!$A$3:$A$5001,"&lt;="&amp;$B234,BD!$N$3:$N$5001,"&lt;&gt;"))))</f>
        <v/>
      </c>
      <c r="L234" s="43" t="str">
        <f>IF(OR($B234="",$A234&gt;$B$9,L$219=""),"",IF(COUNTIFS(BD!$B$3:$B$5001,L$219,BD!$A$3:$A$5001,"&gt;="&amp;$C$7,BD!$A$3:$A$5001,"&lt;="&amp;$B234,BD!$N$3:$N$5001,"&lt;&gt;")=0,"",SUMIFS(BD!$N$3:$N$5001,BD!$B$3:$B$5001,L$219,BD!$A$3:$A$5001,_xlfn.MAXIFS(BD!$A$3:$A$5001,BD!$B$3:$B$5001,L$219,BD!$A$3:$A$5001,"&gt;="&amp;$C$7,BD!$A$3:$A$5001,"&lt;="&amp;$B234,BD!$N$3:$N$5001,"&lt;&gt;"))))</f>
        <v/>
      </c>
      <c r="M234" s="43" t="str">
        <f>IF(OR($B234="",$A234&gt;$B$9,M$219=""),"",IF(COUNTIFS(BD!$B$3:$B$5001,M$219,BD!$A$3:$A$5001,"&gt;="&amp;$C$7,BD!$A$3:$A$5001,"&lt;="&amp;$B234,BD!$N$3:$N$5001,"&lt;&gt;")=0,"",SUMIFS(BD!$N$3:$N$5001,BD!$B$3:$B$5001,M$219,BD!$A$3:$A$5001,_xlfn.MAXIFS(BD!$A$3:$A$5001,BD!$B$3:$B$5001,M$219,BD!$A$3:$A$5001,"&gt;="&amp;$C$7,BD!$A$3:$A$5001,"&lt;="&amp;$B234,BD!$N$3:$N$5001,"&lt;&gt;"))))</f>
        <v/>
      </c>
      <c r="N234" s="43" t="str">
        <f>IF(OR($B234="",$A234&gt;$B$9,N$219=""),"",IF(COUNTIFS(BD!$B$3:$B$5001,N$219,BD!$A$3:$A$5001,"&gt;="&amp;$C$7,BD!$A$3:$A$5001,"&lt;="&amp;$B234,BD!$N$3:$N$5001,"&lt;&gt;")=0,"",SUMIFS(BD!$N$3:$N$5001,BD!$B$3:$B$5001,N$219,BD!$A$3:$A$5001,_xlfn.MAXIFS(BD!$A$3:$A$5001,BD!$B$3:$B$5001,N$219,BD!$A$3:$A$5001,"&gt;="&amp;$C$7,BD!$A$3:$A$5001,"&lt;="&amp;$B234,BD!$N$3:$N$5001,"&lt;&gt;"))))</f>
        <v/>
      </c>
      <c r="O234" s="43" t="str">
        <f>IF(OR($B234="",$A234&gt;$B$9,O$219=""),"",IF(COUNTIFS(BD!$B$3:$B$5001,O$219,BD!$A$3:$A$5001,"&gt;="&amp;$C$7,BD!$A$3:$A$5001,"&lt;="&amp;$B234,BD!$N$3:$N$5001,"&lt;&gt;")=0,"",SUMIFS(BD!$N$3:$N$5001,BD!$B$3:$B$5001,O$219,BD!$A$3:$A$5001,_xlfn.MAXIFS(BD!$A$3:$A$5001,BD!$B$3:$B$5001,O$219,BD!$A$3:$A$5001,"&gt;="&amp;$C$7,BD!$A$3:$A$5001,"&lt;="&amp;$B234,BD!$N$3:$N$5001,"&lt;&gt;"))))</f>
        <v/>
      </c>
      <c r="P234" s="43" t="str">
        <f>IF(OR($B234="",$A234&gt;$B$9,P$219=""),"",IF(COUNTIFS(BD!$B$3:$B$5001,P$219,BD!$A$3:$A$5001,"&gt;="&amp;$C$7,BD!$A$3:$A$5001,"&lt;="&amp;$B234,BD!$N$3:$N$5001,"&lt;&gt;")=0,"",SUMIFS(BD!$N$3:$N$5001,BD!$B$3:$B$5001,P$219,BD!$A$3:$A$5001,_xlfn.MAXIFS(BD!$A$3:$A$5001,BD!$B$3:$B$5001,P$219,BD!$A$3:$A$5001,"&gt;="&amp;$C$7,BD!$A$3:$A$5001,"&lt;="&amp;$B234,BD!$N$3:$N$5001,"&lt;&gt;"))))</f>
        <v/>
      </c>
      <c r="Q234" s="43" t="str">
        <f>IF(OR($B234="",$A234&gt;$B$9,Q$219=""),"",IF(COUNTIFS(BD!$B$3:$B$5001,Q$219,BD!$A$3:$A$5001,"&gt;="&amp;$C$7,BD!$A$3:$A$5001,"&lt;="&amp;$B234,BD!$N$3:$N$5001,"&lt;&gt;")=0,"",SUMIFS(BD!$N$3:$N$5001,BD!$B$3:$B$5001,Q$219,BD!$A$3:$A$5001,_xlfn.MAXIFS(BD!$A$3:$A$5001,BD!$B$3:$B$5001,Q$219,BD!$A$3:$A$5001,"&gt;="&amp;$C$7,BD!$A$3:$A$5001,"&lt;="&amp;$B234,BD!$N$3:$N$5001,"&lt;&gt;"))))</f>
        <v/>
      </c>
      <c r="R234" s="43" t="str">
        <f>IF(OR($B234="",$A234&gt;$B$9,R$219=""),"",IF(COUNTIFS(BD!$B$3:$B$5001,R$219,BD!$A$3:$A$5001,"&gt;="&amp;$C$7,BD!$A$3:$A$5001,"&lt;="&amp;$B234,BD!$N$3:$N$5001,"&lt;&gt;")=0,"",SUMIFS(BD!$N$3:$N$5001,BD!$B$3:$B$5001,R$219,BD!$A$3:$A$5001,_xlfn.MAXIFS(BD!$A$3:$A$5001,BD!$B$3:$B$5001,R$219,BD!$A$3:$A$5001,"&gt;="&amp;$C$7,BD!$A$3:$A$5001,"&lt;="&amp;$B234,BD!$N$3:$N$5001,"&lt;&gt;"))))</f>
        <v/>
      </c>
      <c r="S234" s="43" t="str">
        <f>IF(OR($B234="",$A234&gt;$B$9,S$219=""),"",IF(COUNTIFS(BD!$B$3:$B$5001,S$219,BD!$A$3:$A$5001,"&gt;="&amp;$C$7,BD!$A$3:$A$5001,"&lt;="&amp;$B234,BD!$N$3:$N$5001,"&lt;&gt;")=0,"",SUMIFS(BD!$N$3:$N$5001,BD!$B$3:$B$5001,S$219,BD!$A$3:$A$5001,_xlfn.MAXIFS(BD!$A$3:$A$5001,BD!$B$3:$B$5001,S$219,BD!$A$3:$A$5001,"&gt;="&amp;$C$7,BD!$A$3:$A$5001,"&lt;="&amp;$B234,BD!$N$3:$N$5001,"&lt;&gt;"))))</f>
        <v/>
      </c>
      <c r="T234" s="43" t="str">
        <f>IF(OR($B234="",$A234&gt;$B$9,T$219=""),"",IF(COUNTIFS(BD!$B$3:$B$5001,T$219,BD!$A$3:$A$5001,"&gt;="&amp;$C$7,BD!$A$3:$A$5001,"&lt;="&amp;$B234,BD!$N$3:$N$5001,"&lt;&gt;")=0,"",SUMIFS(BD!$N$3:$N$5001,BD!$B$3:$B$5001,T$219,BD!$A$3:$A$5001,_xlfn.MAXIFS(BD!$A$3:$A$5001,BD!$B$3:$B$5001,T$219,BD!$A$3:$A$5001,"&gt;="&amp;$C$7,BD!$A$3:$A$5001,"&lt;="&amp;$B234,BD!$N$3:$N$5001,"&lt;&gt;"))))</f>
        <v/>
      </c>
      <c r="U234" s="43" t="str">
        <f>IF(OR($B234="",$A234&gt;$B$9,U$219=""),"",IF(COUNTIFS(BD!$B$3:$B$5001,U$219,BD!$A$3:$A$5001,"&gt;="&amp;$C$7,BD!$A$3:$A$5001,"&lt;="&amp;$B234,BD!$N$3:$N$5001,"&lt;&gt;")=0,"",SUMIFS(BD!$N$3:$N$5001,BD!$B$3:$B$5001,U$219,BD!$A$3:$A$5001,_xlfn.MAXIFS(BD!$A$3:$A$5001,BD!$B$3:$B$5001,U$219,BD!$A$3:$A$5001,"&gt;="&amp;$C$7,BD!$A$3:$A$5001,"&lt;="&amp;$B234,BD!$N$3:$N$5001,"&lt;&gt;"))))</f>
        <v/>
      </c>
      <c r="V234" s="43" t="str">
        <f>IF(OR($B234="",$A234&gt;$B$9,V$219=""),"",IF(COUNTIFS(BD!$B$3:$B$5001,V$219,BD!$A$3:$A$5001,"&gt;="&amp;$C$7,BD!$A$3:$A$5001,"&lt;="&amp;$B234,BD!$N$3:$N$5001,"&lt;&gt;")=0,"",SUMIFS(BD!$N$3:$N$5001,BD!$B$3:$B$5001,V$219,BD!$A$3:$A$5001,_xlfn.MAXIFS(BD!$A$3:$A$5001,BD!$B$3:$B$5001,V$219,BD!$A$3:$A$5001,"&gt;="&amp;$C$7,BD!$A$3:$A$5001,"&lt;="&amp;$B234,BD!$N$3:$N$5001,"&lt;&gt;"))))</f>
        <v/>
      </c>
    </row>
    <row r="235">
      <c r="A235" s="38">
        <v>16</v>
      </c>
      <c r="B235" s="42">
        <f>$B$27</f>
        <v>46311</v>
      </c>
      <c r="C235" s="43" t="str">
        <f>IF(OR($B235="",$A235&gt;$B$9,C$219=""),"",IF(COUNTIFS(BD!$B$3:$B$5001,C$219,BD!$A$3:$A$5001,"&gt;="&amp;$C$7,BD!$A$3:$A$5001,"&lt;="&amp;$B235,BD!$N$3:$N$5001,"&lt;&gt;")=0,"",SUMIFS(BD!$N$3:$N$5001,BD!$B$3:$B$5001,C$219,BD!$A$3:$A$5001,_xlfn.MAXIFS(BD!$A$3:$A$5001,BD!$B$3:$B$5001,C$219,BD!$A$3:$A$5001,"&gt;="&amp;$C$7,BD!$A$3:$A$5001,"&lt;="&amp;$B235,BD!$N$3:$N$5001,"&lt;&gt;"))))</f>
        <v/>
      </c>
      <c r="D235" s="43" t="str">
        <f>IF(OR($B235="",$A235&gt;$B$9,D$219=""),"",IF(COUNTIFS(BD!$B$3:$B$5001,D$219,BD!$A$3:$A$5001,"&gt;="&amp;$C$7,BD!$A$3:$A$5001,"&lt;="&amp;$B235,BD!$N$3:$N$5001,"&lt;&gt;")=0,"",SUMIFS(BD!$N$3:$N$5001,BD!$B$3:$B$5001,D$219,BD!$A$3:$A$5001,_xlfn.MAXIFS(BD!$A$3:$A$5001,BD!$B$3:$B$5001,D$219,BD!$A$3:$A$5001,"&gt;="&amp;$C$7,BD!$A$3:$A$5001,"&lt;="&amp;$B235,BD!$N$3:$N$5001,"&lt;&gt;"))))</f>
        <v/>
      </c>
      <c r="E235" s="43" t="str">
        <f>IF(OR($B235="",$A235&gt;$B$9,E$219=""),"",IF(COUNTIFS(BD!$B$3:$B$5001,E$219,BD!$A$3:$A$5001,"&gt;="&amp;$C$7,BD!$A$3:$A$5001,"&lt;="&amp;$B235,BD!$N$3:$N$5001,"&lt;&gt;")=0,"",SUMIFS(BD!$N$3:$N$5001,BD!$B$3:$B$5001,E$219,BD!$A$3:$A$5001,_xlfn.MAXIFS(BD!$A$3:$A$5001,BD!$B$3:$B$5001,E$219,BD!$A$3:$A$5001,"&gt;="&amp;$C$7,BD!$A$3:$A$5001,"&lt;="&amp;$B235,BD!$N$3:$N$5001,"&lt;&gt;"))))</f>
        <v/>
      </c>
      <c r="F235" s="43" t="str">
        <f>IF(OR($B235="",$A235&gt;$B$9,F$219=""),"",IF(COUNTIFS(BD!$B$3:$B$5001,F$219,BD!$A$3:$A$5001,"&gt;="&amp;$C$7,BD!$A$3:$A$5001,"&lt;="&amp;$B235,BD!$N$3:$N$5001,"&lt;&gt;")=0,"",SUMIFS(BD!$N$3:$N$5001,BD!$B$3:$B$5001,F$219,BD!$A$3:$A$5001,_xlfn.MAXIFS(BD!$A$3:$A$5001,BD!$B$3:$B$5001,F$219,BD!$A$3:$A$5001,"&gt;="&amp;$C$7,BD!$A$3:$A$5001,"&lt;="&amp;$B235,BD!$N$3:$N$5001,"&lt;&gt;"))))</f>
        <v/>
      </c>
      <c r="G235" s="43" t="str">
        <f>IF(OR($B235="",$A235&gt;$B$9,G$219=""),"",IF(COUNTIFS(BD!$B$3:$B$5001,G$219,BD!$A$3:$A$5001,"&gt;="&amp;$C$7,BD!$A$3:$A$5001,"&lt;="&amp;$B235,BD!$N$3:$N$5001,"&lt;&gt;")=0,"",SUMIFS(BD!$N$3:$N$5001,BD!$B$3:$B$5001,G$219,BD!$A$3:$A$5001,_xlfn.MAXIFS(BD!$A$3:$A$5001,BD!$B$3:$B$5001,G$219,BD!$A$3:$A$5001,"&gt;="&amp;$C$7,BD!$A$3:$A$5001,"&lt;="&amp;$B235,BD!$N$3:$N$5001,"&lt;&gt;"))))</f>
        <v/>
      </c>
      <c r="H235" s="43" t="str">
        <f>IF(OR($B235="",$A235&gt;$B$9,H$219=""),"",IF(COUNTIFS(BD!$B$3:$B$5001,H$219,BD!$A$3:$A$5001,"&gt;="&amp;$C$7,BD!$A$3:$A$5001,"&lt;="&amp;$B235,BD!$N$3:$N$5001,"&lt;&gt;")=0,"",SUMIFS(BD!$N$3:$N$5001,BD!$B$3:$B$5001,H$219,BD!$A$3:$A$5001,_xlfn.MAXIFS(BD!$A$3:$A$5001,BD!$B$3:$B$5001,H$219,BD!$A$3:$A$5001,"&gt;="&amp;$C$7,BD!$A$3:$A$5001,"&lt;="&amp;$B235,BD!$N$3:$N$5001,"&lt;&gt;"))))</f>
        <v/>
      </c>
      <c r="I235" s="43" t="str">
        <f>IF(OR($B235="",$A235&gt;$B$9,I$219=""),"",IF(COUNTIFS(BD!$B$3:$B$5001,I$219,BD!$A$3:$A$5001,"&gt;="&amp;$C$7,BD!$A$3:$A$5001,"&lt;="&amp;$B235,BD!$N$3:$N$5001,"&lt;&gt;")=0,"",SUMIFS(BD!$N$3:$N$5001,BD!$B$3:$B$5001,I$219,BD!$A$3:$A$5001,_xlfn.MAXIFS(BD!$A$3:$A$5001,BD!$B$3:$B$5001,I$219,BD!$A$3:$A$5001,"&gt;="&amp;$C$7,BD!$A$3:$A$5001,"&lt;="&amp;$B235,BD!$N$3:$N$5001,"&lt;&gt;"))))</f>
        <v/>
      </c>
      <c r="J235" s="43" t="str">
        <f>IF(OR($B235="",$A235&gt;$B$9,J$219=""),"",IF(COUNTIFS(BD!$B$3:$B$5001,J$219,BD!$A$3:$A$5001,"&gt;="&amp;$C$7,BD!$A$3:$A$5001,"&lt;="&amp;$B235,BD!$N$3:$N$5001,"&lt;&gt;")=0,"",SUMIFS(BD!$N$3:$N$5001,BD!$B$3:$B$5001,J$219,BD!$A$3:$A$5001,_xlfn.MAXIFS(BD!$A$3:$A$5001,BD!$B$3:$B$5001,J$219,BD!$A$3:$A$5001,"&gt;="&amp;$C$7,BD!$A$3:$A$5001,"&lt;="&amp;$B235,BD!$N$3:$N$5001,"&lt;&gt;"))))</f>
        <v/>
      </c>
      <c r="K235" s="43" t="str">
        <f>IF(OR($B235="",$A235&gt;$B$9,K$219=""),"",IF(COUNTIFS(BD!$B$3:$B$5001,K$219,BD!$A$3:$A$5001,"&gt;="&amp;$C$7,BD!$A$3:$A$5001,"&lt;="&amp;$B235,BD!$N$3:$N$5001,"&lt;&gt;")=0,"",SUMIFS(BD!$N$3:$N$5001,BD!$B$3:$B$5001,K$219,BD!$A$3:$A$5001,_xlfn.MAXIFS(BD!$A$3:$A$5001,BD!$B$3:$B$5001,K$219,BD!$A$3:$A$5001,"&gt;="&amp;$C$7,BD!$A$3:$A$5001,"&lt;="&amp;$B235,BD!$N$3:$N$5001,"&lt;&gt;"))))</f>
        <v/>
      </c>
      <c r="L235" s="43" t="str">
        <f>IF(OR($B235="",$A235&gt;$B$9,L$219=""),"",IF(COUNTIFS(BD!$B$3:$B$5001,L$219,BD!$A$3:$A$5001,"&gt;="&amp;$C$7,BD!$A$3:$A$5001,"&lt;="&amp;$B235,BD!$N$3:$N$5001,"&lt;&gt;")=0,"",SUMIFS(BD!$N$3:$N$5001,BD!$B$3:$B$5001,L$219,BD!$A$3:$A$5001,_xlfn.MAXIFS(BD!$A$3:$A$5001,BD!$B$3:$B$5001,L$219,BD!$A$3:$A$5001,"&gt;="&amp;$C$7,BD!$A$3:$A$5001,"&lt;="&amp;$B235,BD!$N$3:$N$5001,"&lt;&gt;"))))</f>
        <v/>
      </c>
      <c r="M235" s="43" t="str">
        <f>IF(OR($B235="",$A235&gt;$B$9,M$219=""),"",IF(COUNTIFS(BD!$B$3:$B$5001,M$219,BD!$A$3:$A$5001,"&gt;="&amp;$C$7,BD!$A$3:$A$5001,"&lt;="&amp;$B235,BD!$N$3:$N$5001,"&lt;&gt;")=0,"",SUMIFS(BD!$N$3:$N$5001,BD!$B$3:$B$5001,M$219,BD!$A$3:$A$5001,_xlfn.MAXIFS(BD!$A$3:$A$5001,BD!$B$3:$B$5001,M$219,BD!$A$3:$A$5001,"&gt;="&amp;$C$7,BD!$A$3:$A$5001,"&lt;="&amp;$B235,BD!$N$3:$N$5001,"&lt;&gt;"))))</f>
        <v/>
      </c>
      <c r="N235" s="43" t="str">
        <f>IF(OR($B235="",$A235&gt;$B$9,N$219=""),"",IF(COUNTIFS(BD!$B$3:$B$5001,N$219,BD!$A$3:$A$5001,"&gt;="&amp;$C$7,BD!$A$3:$A$5001,"&lt;="&amp;$B235,BD!$N$3:$N$5001,"&lt;&gt;")=0,"",SUMIFS(BD!$N$3:$N$5001,BD!$B$3:$B$5001,N$219,BD!$A$3:$A$5001,_xlfn.MAXIFS(BD!$A$3:$A$5001,BD!$B$3:$B$5001,N$219,BD!$A$3:$A$5001,"&gt;="&amp;$C$7,BD!$A$3:$A$5001,"&lt;="&amp;$B235,BD!$N$3:$N$5001,"&lt;&gt;"))))</f>
        <v/>
      </c>
      <c r="O235" s="43" t="str">
        <f>IF(OR($B235="",$A235&gt;$B$9,O$219=""),"",IF(COUNTIFS(BD!$B$3:$B$5001,O$219,BD!$A$3:$A$5001,"&gt;="&amp;$C$7,BD!$A$3:$A$5001,"&lt;="&amp;$B235,BD!$N$3:$N$5001,"&lt;&gt;")=0,"",SUMIFS(BD!$N$3:$N$5001,BD!$B$3:$B$5001,O$219,BD!$A$3:$A$5001,_xlfn.MAXIFS(BD!$A$3:$A$5001,BD!$B$3:$B$5001,O$219,BD!$A$3:$A$5001,"&gt;="&amp;$C$7,BD!$A$3:$A$5001,"&lt;="&amp;$B235,BD!$N$3:$N$5001,"&lt;&gt;"))))</f>
        <v/>
      </c>
      <c r="P235" s="43" t="str">
        <f>IF(OR($B235="",$A235&gt;$B$9,P$219=""),"",IF(COUNTIFS(BD!$B$3:$B$5001,P$219,BD!$A$3:$A$5001,"&gt;="&amp;$C$7,BD!$A$3:$A$5001,"&lt;="&amp;$B235,BD!$N$3:$N$5001,"&lt;&gt;")=0,"",SUMIFS(BD!$N$3:$N$5001,BD!$B$3:$B$5001,P$219,BD!$A$3:$A$5001,_xlfn.MAXIFS(BD!$A$3:$A$5001,BD!$B$3:$B$5001,P$219,BD!$A$3:$A$5001,"&gt;="&amp;$C$7,BD!$A$3:$A$5001,"&lt;="&amp;$B235,BD!$N$3:$N$5001,"&lt;&gt;"))))</f>
        <v/>
      </c>
      <c r="Q235" s="43" t="str">
        <f>IF(OR($B235="",$A235&gt;$B$9,Q$219=""),"",IF(COUNTIFS(BD!$B$3:$B$5001,Q$219,BD!$A$3:$A$5001,"&gt;="&amp;$C$7,BD!$A$3:$A$5001,"&lt;="&amp;$B235,BD!$N$3:$N$5001,"&lt;&gt;")=0,"",SUMIFS(BD!$N$3:$N$5001,BD!$B$3:$B$5001,Q$219,BD!$A$3:$A$5001,_xlfn.MAXIFS(BD!$A$3:$A$5001,BD!$B$3:$B$5001,Q$219,BD!$A$3:$A$5001,"&gt;="&amp;$C$7,BD!$A$3:$A$5001,"&lt;="&amp;$B235,BD!$N$3:$N$5001,"&lt;&gt;"))))</f>
        <v/>
      </c>
      <c r="R235" s="43" t="str">
        <f>IF(OR($B235="",$A235&gt;$B$9,R$219=""),"",IF(COUNTIFS(BD!$B$3:$B$5001,R$219,BD!$A$3:$A$5001,"&gt;="&amp;$C$7,BD!$A$3:$A$5001,"&lt;="&amp;$B235,BD!$N$3:$N$5001,"&lt;&gt;")=0,"",SUMIFS(BD!$N$3:$N$5001,BD!$B$3:$B$5001,R$219,BD!$A$3:$A$5001,_xlfn.MAXIFS(BD!$A$3:$A$5001,BD!$B$3:$B$5001,R$219,BD!$A$3:$A$5001,"&gt;="&amp;$C$7,BD!$A$3:$A$5001,"&lt;="&amp;$B235,BD!$N$3:$N$5001,"&lt;&gt;"))))</f>
        <v/>
      </c>
      <c r="S235" s="43" t="str">
        <f>IF(OR($B235="",$A235&gt;$B$9,S$219=""),"",IF(COUNTIFS(BD!$B$3:$B$5001,S$219,BD!$A$3:$A$5001,"&gt;="&amp;$C$7,BD!$A$3:$A$5001,"&lt;="&amp;$B235,BD!$N$3:$N$5001,"&lt;&gt;")=0,"",SUMIFS(BD!$N$3:$N$5001,BD!$B$3:$B$5001,S$219,BD!$A$3:$A$5001,_xlfn.MAXIFS(BD!$A$3:$A$5001,BD!$B$3:$B$5001,S$219,BD!$A$3:$A$5001,"&gt;="&amp;$C$7,BD!$A$3:$A$5001,"&lt;="&amp;$B235,BD!$N$3:$N$5001,"&lt;&gt;"))))</f>
        <v/>
      </c>
      <c r="T235" s="43" t="str">
        <f>IF(OR($B235="",$A235&gt;$B$9,T$219=""),"",IF(COUNTIFS(BD!$B$3:$B$5001,T$219,BD!$A$3:$A$5001,"&gt;="&amp;$C$7,BD!$A$3:$A$5001,"&lt;="&amp;$B235,BD!$N$3:$N$5001,"&lt;&gt;")=0,"",SUMIFS(BD!$N$3:$N$5001,BD!$B$3:$B$5001,T$219,BD!$A$3:$A$5001,_xlfn.MAXIFS(BD!$A$3:$A$5001,BD!$B$3:$B$5001,T$219,BD!$A$3:$A$5001,"&gt;="&amp;$C$7,BD!$A$3:$A$5001,"&lt;="&amp;$B235,BD!$N$3:$N$5001,"&lt;&gt;"))))</f>
        <v/>
      </c>
      <c r="U235" s="43" t="str">
        <f>IF(OR($B235="",$A235&gt;$B$9,U$219=""),"",IF(COUNTIFS(BD!$B$3:$B$5001,U$219,BD!$A$3:$A$5001,"&gt;="&amp;$C$7,BD!$A$3:$A$5001,"&lt;="&amp;$B235,BD!$N$3:$N$5001,"&lt;&gt;")=0,"",SUMIFS(BD!$N$3:$N$5001,BD!$B$3:$B$5001,U$219,BD!$A$3:$A$5001,_xlfn.MAXIFS(BD!$A$3:$A$5001,BD!$B$3:$B$5001,U$219,BD!$A$3:$A$5001,"&gt;="&amp;$C$7,BD!$A$3:$A$5001,"&lt;="&amp;$B235,BD!$N$3:$N$5001,"&lt;&gt;"))))</f>
        <v/>
      </c>
      <c r="V235" s="43" t="str">
        <f>IF(OR($B235="",$A235&gt;$B$9,V$219=""),"",IF(COUNTIFS(BD!$B$3:$B$5001,V$219,BD!$A$3:$A$5001,"&gt;="&amp;$C$7,BD!$A$3:$A$5001,"&lt;="&amp;$B235,BD!$N$3:$N$5001,"&lt;&gt;")=0,"",SUMIFS(BD!$N$3:$N$5001,BD!$B$3:$B$5001,V$219,BD!$A$3:$A$5001,_xlfn.MAXIFS(BD!$A$3:$A$5001,BD!$B$3:$B$5001,V$219,BD!$A$3:$A$5001,"&gt;="&amp;$C$7,BD!$A$3:$A$5001,"&lt;="&amp;$B235,BD!$N$3:$N$5001,"&lt;&gt;"))))</f>
        <v/>
      </c>
    </row>
    <row r="236">
      <c r="A236" s="38">
        <v>17</v>
      </c>
      <c r="B236" s="42">
        <f>$B$28</f>
        <v>46312</v>
      </c>
      <c r="C236" s="43" t="str">
        <f>IF(OR($B236="",$A236&gt;$B$9,C$219=""),"",IF(COUNTIFS(BD!$B$3:$B$5001,C$219,BD!$A$3:$A$5001,"&gt;="&amp;$C$7,BD!$A$3:$A$5001,"&lt;="&amp;$B236,BD!$N$3:$N$5001,"&lt;&gt;")=0,"",SUMIFS(BD!$N$3:$N$5001,BD!$B$3:$B$5001,C$219,BD!$A$3:$A$5001,_xlfn.MAXIFS(BD!$A$3:$A$5001,BD!$B$3:$B$5001,C$219,BD!$A$3:$A$5001,"&gt;="&amp;$C$7,BD!$A$3:$A$5001,"&lt;="&amp;$B236,BD!$N$3:$N$5001,"&lt;&gt;"))))</f>
        <v/>
      </c>
      <c r="D236" s="43" t="str">
        <f>IF(OR($B236="",$A236&gt;$B$9,D$219=""),"",IF(COUNTIFS(BD!$B$3:$B$5001,D$219,BD!$A$3:$A$5001,"&gt;="&amp;$C$7,BD!$A$3:$A$5001,"&lt;="&amp;$B236,BD!$N$3:$N$5001,"&lt;&gt;")=0,"",SUMIFS(BD!$N$3:$N$5001,BD!$B$3:$B$5001,D$219,BD!$A$3:$A$5001,_xlfn.MAXIFS(BD!$A$3:$A$5001,BD!$B$3:$B$5001,D$219,BD!$A$3:$A$5001,"&gt;="&amp;$C$7,BD!$A$3:$A$5001,"&lt;="&amp;$B236,BD!$N$3:$N$5001,"&lt;&gt;"))))</f>
        <v/>
      </c>
      <c r="E236" s="43" t="str">
        <f>IF(OR($B236="",$A236&gt;$B$9,E$219=""),"",IF(COUNTIFS(BD!$B$3:$B$5001,E$219,BD!$A$3:$A$5001,"&gt;="&amp;$C$7,BD!$A$3:$A$5001,"&lt;="&amp;$B236,BD!$N$3:$N$5001,"&lt;&gt;")=0,"",SUMIFS(BD!$N$3:$N$5001,BD!$B$3:$B$5001,E$219,BD!$A$3:$A$5001,_xlfn.MAXIFS(BD!$A$3:$A$5001,BD!$B$3:$B$5001,E$219,BD!$A$3:$A$5001,"&gt;="&amp;$C$7,BD!$A$3:$A$5001,"&lt;="&amp;$B236,BD!$N$3:$N$5001,"&lt;&gt;"))))</f>
        <v/>
      </c>
      <c r="F236" s="43" t="str">
        <f>IF(OR($B236="",$A236&gt;$B$9,F$219=""),"",IF(COUNTIFS(BD!$B$3:$B$5001,F$219,BD!$A$3:$A$5001,"&gt;="&amp;$C$7,BD!$A$3:$A$5001,"&lt;="&amp;$B236,BD!$N$3:$N$5001,"&lt;&gt;")=0,"",SUMIFS(BD!$N$3:$N$5001,BD!$B$3:$B$5001,F$219,BD!$A$3:$A$5001,_xlfn.MAXIFS(BD!$A$3:$A$5001,BD!$B$3:$B$5001,F$219,BD!$A$3:$A$5001,"&gt;="&amp;$C$7,BD!$A$3:$A$5001,"&lt;="&amp;$B236,BD!$N$3:$N$5001,"&lt;&gt;"))))</f>
        <v/>
      </c>
      <c r="G236" s="43" t="str">
        <f>IF(OR($B236="",$A236&gt;$B$9,G$219=""),"",IF(COUNTIFS(BD!$B$3:$B$5001,G$219,BD!$A$3:$A$5001,"&gt;="&amp;$C$7,BD!$A$3:$A$5001,"&lt;="&amp;$B236,BD!$N$3:$N$5001,"&lt;&gt;")=0,"",SUMIFS(BD!$N$3:$N$5001,BD!$B$3:$B$5001,G$219,BD!$A$3:$A$5001,_xlfn.MAXIFS(BD!$A$3:$A$5001,BD!$B$3:$B$5001,G$219,BD!$A$3:$A$5001,"&gt;="&amp;$C$7,BD!$A$3:$A$5001,"&lt;="&amp;$B236,BD!$N$3:$N$5001,"&lt;&gt;"))))</f>
        <v/>
      </c>
      <c r="H236" s="43" t="str">
        <f>IF(OR($B236="",$A236&gt;$B$9,H$219=""),"",IF(COUNTIFS(BD!$B$3:$B$5001,H$219,BD!$A$3:$A$5001,"&gt;="&amp;$C$7,BD!$A$3:$A$5001,"&lt;="&amp;$B236,BD!$N$3:$N$5001,"&lt;&gt;")=0,"",SUMIFS(BD!$N$3:$N$5001,BD!$B$3:$B$5001,H$219,BD!$A$3:$A$5001,_xlfn.MAXIFS(BD!$A$3:$A$5001,BD!$B$3:$B$5001,H$219,BD!$A$3:$A$5001,"&gt;="&amp;$C$7,BD!$A$3:$A$5001,"&lt;="&amp;$B236,BD!$N$3:$N$5001,"&lt;&gt;"))))</f>
        <v/>
      </c>
      <c r="I236" s="43" t="str">
        <f>IF(OR($B236="",$A236&gt;$B$9,I$219=""),"",IF(COUNTIFS(BD!$B$3:$B$5001,I$219,BD!$A$3:$A$5001,"&gt;="&amp;$C$7,BD!$A$3:$A$5001,"&lt;="&amp;$B236,BD!$N$3:$N$5001,"&lt;&gt;")=0,"",SUMIFS(BD!$N$3:$N$5001,BD!$B$3:$B$5001,I$219,BD!$A$3:$A$5001,_xlfn.MAXIFS(BD!$A$3:$A$5001,BD!$B$3:$B$5001,I$219,BD!$A$3:$A$5001,"&gt;="&amp;$C$7,BD!$A$3:$A$5001,"&lt;="&amp;$B236,BD!$N$3:$N$5001,"&lt;&gt;"))))</f>
        <v/>
      </c>
      <c r="J236" s="43" t="str">
        <f>IF(OR($B236="",$A236&gt;$B$9,J$219=""),"",IF(COUNTIFS(BD!$B$3:$B$5001,J$219,BD!$A$3:$A$5001,"&gt;="&amp;$C$7,BD!$A$3:$A$5001,"&lt;="&amp;$B236,BD!$N$3:$N$5001,"&lt;&gt;")=0,"",SUMIFS(BD!$N$3:$N$5001,BD!$B$3:$B$5001,J$219,BD!$A$3:$A$5001,_xlfn.MAXIFS(BD!$A$3:$A$5001,BD!$B$3:$B$5001,J$219,BD!$A$3:$A$5001,"&gt;="&amp;$C$7,BD!$A$3:$A$5001,"&lt;="&amp;$B236,BD!$N$3:$N$5001,"&lt;&gt;"))))</f>
        <v/>
      </c>
      <c r="K236" s="43" t="str">
        <f>IF(OR($B236="",$A236&gt;$B$9,K$219=""),"",IF(COUNTIFS(BD!$B$3:$B$5001,K$219,BD!$A$3:$A$5001,"&gt;="&amp;$C$7,BD!$A$3:$A$5001,"&lt;="&amp;$B236,BD!$N$3:$N$5001,"&lt;&gt;")=0,"",SUMIFS(BD!$N$3:$N$5001,BD!$B$3:$B$5001,K$219,BD!$A$3:$A$5001,_xlfn.MAXIFS(BD!$A$3:$A$5001,BD!$B$3:$B$5001,K$219,BD!$A$3:$A$5001,"&gt;="&amp;$C$7,BD!$A$3:$A$5001,"&lt;="&amp;$B236,BD!$N$3:$N$5001,"&lt;&gt;"))))</f>
        <v/>
      </c>
      <c r="L236" s="43" t="str">
        <f>IF(OR($B236="",$A236&gt;$B$9,L$219=""),"",IF(COUNTIFS(BD!$B$3:$B$5001,L$219,BD!$A$3:$A$5001,"&gt;="&amp;$C$7,BD!$A$3:$A$5001,"&lt;="&amp;$B236,BD!$N$3:$N$5001,"&lt;&gt;")=0,"",SUMIFS(BD!$N$3:$N$5001,BD!$B$3:$B$5001,L$219,BD!$A$3:$A$5001,_xlfn.MAXIFS(BD!$A$3:$A$5001,BD!$B$3:$B$5001,L$219,BD!$A$3:$A$5001,"&gt;="&amp;$C$7,BD!$A$3:$A$5001,"&lt;="&amp;$B236,BD!$N$3:$N$5001,"&lt;&gt;"))))</f>
        <v/>
      </c>
      <c r="M236" s="43" t="str">
        <f>IF(OR($B236="",$A236&gt;$B$9,M$219=""),"",IF(COUNTIFS(BD!$B$3:$B$5001,M$219,BD!$A$3:$A$5001,"&gt;="&amp;$C$7,BD!$A$3:$A$5001,"&lt;="&amp;$B236,BD!$N$3:$N$5001,"&lt;&gt;")=0,"",SUMIFS(BD!$N$3:$N$5001,BD!$B$3:$B$5001,M$219,BD!$A$3:$A$5001,_xlfn.MAXIFS(BD!$A$3:$A$5001,BD!$B$3:$B$5001,M$219,BD!$A$3:$A$5001,"&gt;="&amp;$C$7,BD!$A$3:$A$5001,"&lt;="&amp;$B236,BD!$N$3:$N$5001,"&lt;&gt;"))))</f>
        <v/>
      </c>
      <c r="N236" s="43" t="str">
        <f>IF(OR($B236="",$A236&gt;$B$9,N$219=""),"",IF(COUNTIFS(BD!$B$3:$B$5001,N$219,BD!$A$3:$A$5001,"&gt;="&amp;$C$7,BD!$A$3:$A$5001,"&lt;="&amp;$B236,BD!$N$3:$N$5001,"&lt;&gt;")=0,"",SUMIFS(BD!$N$3:$N$5001,BD!$B$3:$B$5001,N$219,BD!$A$3:$A$5001,_xlfn.MAXIFS(BD!$A$3:$A$5001,BD!$B$3:$B$5001,N$219,BD!$A$3:$A$5001,"&gt;="&amp;$C$7,BD!$A$3:$A$5001,"&lt;="&amp;$B236,BD!$N$3:$N$5001,"&lt;&gt;"))))</f>
        <v/>
      </c>
      <c r="O236" s="43" t="str">
        <f>IF(OR($B236="",$A236&gt;$B$9,O$219=""),"",IF(COUNTIFS(BD!$B$3:$B$5001,O$219,BD!$A$3:$A$5001,"&gt;="&amp;$C$7,BD!$A$3:$A$5001,"&lt;="&amp;$B236,BD!$N$3:$N$5001,"&lt;&gt;")=0,"",SUMIFS(BD!$N$3:$N$5001,BD!$B$3:$B$5001,O$219,BD!$A$3:$A$5001,_xlfn.MAXIFS(BD!$A$3:$A$5001,BD!$B$3:$B$5001,O$219,BD!$A$3:$A$5001,"&gt;="&amp;$C$7,BD!$A$3:$A$5001,"&lt;="&amp;$B236,BD!$N$3:$N$5001,"&lt;&gt;"))))</f>
        <v/>
      </c>
      <c r="P236" s="43" t="str">
        <f>IF(OR($B236="",$A236&gt;$B$9,P$219=""),"",IF(COUNTIFS(BD!$B$3:$B$5001,P$219,BD!$A$3:$A$5001,"&gt;="&amp;$C$7,BD!$A$3:$A$5001,"&lt;="&amp;$B236,BD!$N$3:$N$5001,"&lt;&gt;")=0,"",SUMIFS(BD!$N$3:$N$5001,BD!$B$3:$B$5001,P$219,BD!$A$3:$A$5001,_xlfn.MAXIFS(BD!$A$3:$A$5001,BD!$B$3:$B$5001,P$219,BD!$A$3:$A$5001,"&gt;="&amp;$C$7,BD!$A$3:$A$5001,"&lt;="&amp;$B236,BD!$N$3:$N$5001,"&lt;&gt;"))))</f>
        <v/>
      </c>
      <c r="Q236" s="43" t="str">
        <f>IF(OR($B236="",$A236&gt;$B$9,Q$219=""),"",IF(COUNTIFS(BD!$B$3:$B$5001,Q$219,BD!$A$3:$A$5001,"&gt;="&amp;$C$7,BD!$A$3:$A$5001,"&lt;="&amp;$B236,BD!$N$3:$N$5001,"&lt;&gt;")=0,"",SUMIFS(BD!$N$3:$N$5001,BD!$B$3:$B$5001,Q$219,BD!$A$3:$A$5001,_xlfn.MAXIFS(BD!$A$3:$A$5001,BD!$B$3:$B$5001,Q$219,BD!$A$3:$A$5001,"&gt;="&amp;$C$7,BD!$A$3:$A$5001,"&lt;="&amp;$B236,BD!$N$3:$N$5001,"&lt;&gt;"))))</f>
        <v/>
      </c>
      <c r="R236" s="43" t="str">
        <f>IF(OR($B236="",$A236&gt;$B$9,R$219=""),"",IF(COUNTIFS(BD!$B$3:$B$5001,R$219,BD!$A$3:$A$5001,"&gt;="&amp;$C$7,BD!$A$3:$A$5001,"&lt;="&amp;$B236,BD!$N$3:$N$5001,"&lt;&gt;")=0,"",SUMIFS(BD!$N$3:$N$5001,BD!$B$3:$B$5001,R$219,BD!$A$3:$A$5001,_xlfn.MAXIFS(BD!$A$3:$A$5001,BD!$B$3:$B$5001,R$219,BD!$A$3:$A$5001,"&gt;="&amp;$C$7,BD!$A$3:$A$5001,"&lt;="&amp;$B236,BD!$N$3:$N$5001,"&lt;&gt;"))))</f>
        <v/>
      </c>
      <c r="S236" s="43" t="str">
        <f>IF(OR($B236="",$A236&gt;$B$9,S$219=""),"",IF(COUNTIFS(BD!$B$3:$B$5001,S$219,BD!$A$3:$A$5001,"&gt;="&amp;$C$7,BD!$A$3:$A$5001,"&lt;="&amp;$B236,BD!$N$3:$N$5001,"&lt;&gt;")=0,"",SUMIFS(BD!$N$3:$N$5001,BD!$B$3:$B$5001,S$219,BD!$A$3:$A$5001,_xlfn.MAXIFS(BD!$A$3:$A$5001,BD!$B$3:$B$5001,S$219,BD!$A$3:$A$5001,"&gt;="&amp;$C$7,BD!$A$3:$A$5001,"&lt;="&amp;$B236,BD!$N$3:$N$5001,"&lt;&gt;"))))</f>
        <v/>
      </c>
      <c r="T236" s="43" t="str">
        <f>IF(OR($B236="",$A236&gt;$B$9,T$219=""),"",IF(COUNTIFS(BD!$B$3:$B$5001,T$219,BD!$A$3:$A$5001,"&gt;="&amp;$C$7,BD!$A$3:$A$5001,"&lt;="&amp;$B236,BD!$N$3:$N$5001,"&lt;&gt;")=0,"",SUMIFS(BD!$N$3:$N$5001,BD!$B$3:$B$5001,T$219,BD!$A$3:$A$5001,_xlfn.MAXIFS(BD!$A$3:$A$5001,BD!$B$3:$B$5001,T$219,BD!$A$3:$A$5001,"&gt;="&amp;$C$7,BD!$A$3:$A$5001,"&lt;="&amp;$B236,BD!$N$3:$N$5001,"&lt;&gt;"))))</f>
        <v/>
      </c>
      <c r="U236" s="43" t="str">
        <f>IF(OR($B236="",$A236&gt;$B$9,U$219=""),"",IF(COUNTIFS(BD!$B$3:$B$5001,U$219,BD!$A$3:$A$5001,"&gt;="&amp;$C$7,BD!$A$3:$A$5001,"&lt;="&amp;$B236,BD!$N$3:$N$5001,"&lt;&gt;")=0,"",SUMIFS(BD!$N$3:$N$5001,BD!$B$3:$B$5001,U$219,BD!$A$3:$A$5001,_xlfn.MAXIFS(BD!$A$3:$A$5001,BD!$B$3:$B$5001,U$219,BD!$A$3:$A$5001,"&gt;="&amp;$C$7,BD!$A$3:$A$5001,"&lt;="&amp;$B236,BD!$N$3:$N$5001,"&lt;&gt;"))))</f>
        <v/>
      </c>
      <c r="V236" s="43" t="str">
        <f>IF(OR($B236="",$A236&gt;$B$9,V$219=""),"",IF(COUNTIFS(BD!$B$3:$B$5001,V$219,BD!$A$3:$A$5001,"&gt;="&amp;$C$7,BD!$A$3:$A$5001,"&lt;="&amp;$B236,BD!$N$3:$N$5001,"&lt;&gt;")=0,"",SUMIFS(BD!$N$3:$N$5001,BD!$B$3:$B$5001,V$219,BD!$A$3:$A$5001,_xlfn.MAXIFS(BD!$A$3:$A$5001,BD!$B$3:$B$5001,V$219,BD!$A$3:$A$5001,"&gt;="&amp;$C$7,BD!$A$3:$A$5001,"&lt;="&amp;$B236,BD!$N$3:$N$5001,"&lt;&gt;"))))</f>
        <v/>
      </c>
    </row>
    <row r="237">
      <c r="A237" s="38">
        <v>18</v>
      </c>
      <c r="B237" s="42">
        <f>$B$29</f>
        <v>46313</v>
      </c>
      <c r="C237" s="43" t="str">
        <f>IF(OR($B237="",$A237&gt;$B$9,C$219=""),"",IF(COUNTIFS(BD!$B$3:$B$5001,C$219,BD!$A$3:$A$5001,"&gt;="&amp;$C$7,BD!$A$3:$A$5001,"&lt;="&amp;$B237,BD!$N$3:$N$5001,"&lt;&gt;")=0,"",SUMIFS(BD!$N$3:$N$5001,BD!$B$3:$B$5001,C$219,BD!$A$3:$A$5001,_xlfn.MAXIFS(BD!$A$3:$A$5001,BD!$B$3:$B$5001,C$219,BD!$A$3:$A$5001,"&gt;="&amp;$C$7,BD!$A$3:$A$5001,"&lt;="&amp;$B237,BD!$N$3:$N$5001,"&lt;&gt;"))))</f>
        <v/>
      </c>
      <c r="D237" s="43" t="str">
        <f>IF(OR($B237="",$A237&gt;$B$9,D$219=""),"",IF(COUNTIFS(BD!$B$3:$B$5001,D$219,BD!$A$3:$A$5001,"&gt;="&amp;$C$7,BD!$A$3:$A$5001,"&lt;="&amp;$B237,BD!$N$3:$N$5001,"&lt;&gt;")=0,"",SUMIFS(BD!$N$3:$N$5001,BD!$B$3:$B$5001,D$219,BD!$A$3:$A$5001,_xlfn.MAXIFS(BD!$A$3:$A$5001,BD!$B$3:$B$5001,D$219,BD!$A$3:$A$5001,"&gt;="&amp;$C$7,BD!$A$3:$A$5001,"&lt;="&amp;$B237,BD!$N$3:$N$5001,"&lt;&gt;"))))</f>
        <v/>
      </c>
      <c r="E237" s="43" t="str">
        <f>IF(OR($B237="",$A237&gt;$B$9,E$219=""),"",IF(COUNTIFS(BD!$B$3:$B$5001,E$219,BD!$A$3:$A$5001,"&gt;="&amp;$C$7,BD!$A$3:$A$5001,"&lt;="&amp;$B237,BD!$N$3:$N$5001,"&lt;&gt;")=0,"",SUMIFS(BD!$N$3:$N$5001,BD!$B$3:$B$5001,E$219,BD!$A$3:$A$5001,_xlfn.MAXIFS(BD!$A$3:$A$5001,BD!$B$3:$B$5001,E$219,BD!$A$3:$A$5001,"&gt;="&amp;$C$7,BD!$A$3:$A$5001,"&lt;="&amp;$B237,BD!$N$3:$N$5001,"&lt;&gt;"))))</f>
        <v/>
      </c>
      <c r="F237" s="43" t="str">
        <f>IF(OR($B237="",$A237&gt;$B$9,F$219=""),"",IF(COUNTIFS(BD!$B$3:$B$5001,F$219,BD!$A$3:$A$5001,"&gt;="&amp;$C$7,BD!$A$3:$A$5001,"&lt;="&amp;$B237,BD!$N$3:$N$5001,"&lt;&gt;")=0,"",SUMIFS(BD!$N$3:$N$5001,BD!$B$3:$B$5001,F$219,BD!$A$3:$A$5001,_xlfn.MAXIFS(BD!$A$3:$A$5001,BD!$B$3:$B$5001,F$219,BD!$A$3:$A$5001,"&gt;="&amp;$C$7,BD!$A$3:$A$5001,"&lt;="&amp;$B237,BD!$N$3:$N$5001,"&lt;&gt;"))))</f>
        <v/>
      </c>
      <c r="G237" s="43" t="str">
        <f>IF(OR($B237="",$A237&gt;$B$9,G$219=""),"",IF(COUNTIFS(BD!$B$3:$B$5001,G$219,BD!$A$3:$A$5001,"&gt;="&amp;$C$7,BD!$A$3:$A$5001,"&lt;="&amp;$B237,BD!$N$3:$N$5001,"&lt;&gt;")=0,"",SUMIFS(BD!$N$3:$N$5001,BD!$B$3:$B$5001,G$219,BD!$A$3:$A$5001,_xlfn.MAXIFS(BD!$A$3:$A$5001,BD!$B$3:$B$5001,G$219,BD!$A$3:$A$5001,"&gt;="&amp;$C$7,BD!$A$3:$A$5001,"&lt;="&amp;$B237,BD!$N$3:$N$5001,"&lt;&gt;"))))</f>
        <v/>
      </c>
      <c r="H237" s="43" t="str">
        <f>IF(OR($B237="",$A237&gt;$B$9,H$219=""),"",IF(COUNTIFS(BD!$B$3:$B$5001,H$219,BD!$A$3:$A$5001,"&gt;="&amp;$C$7,BD!$A$3:$A$5001,"&lt;="&amp;$B237,BD!$N$3:$N$5001,"&lt;&gt;")=0,"",SUMIFS(BD!$N$3:$N$5001,BD!$B$3:$B$5001,H$219,BD!$A$3:$A$5001,_xlfn.MAXIFS(BD!$A$3:$A$5001,BD!$B$3:$B$5001,H$219,BD!$A$3:$A$5001,"&gt;="&amp;$C$7,BD!$A$3:$A$5001,"&lt;="&amp;$B237,BD!$N$3:$N$5001,"&lt;&gt;"))))</f>
        <v/>
      </c>
      <c r="I237" s="43" t="str">
        <f>IF(OR($B237="",$A237&gt;$B$9,I$219=""),"",IF(COUNTIFS(BD!$B$3:$B$5001,I$219,BD!$A$3:$A$5001,"&gt;="&amp;$C$7,BD!$A$3:$A$5001,"&lt;="&amp;$B237,BD!$N$3:$N$5001,"&lt;&gt;")=0,"",SUMIFS(BD!$N$3:$N$5001,BD!$B$3:$B$5001,I$219,BD!$A$3:$A$5001,_xlfn.MAXIFS(BD!$A$3:$A$5001,BD!$B$3:$B$5001,I$219,BD!$A$3:$A$5001,"&gt;="&amp;$C$7,BD!$A$3:$A$5001,"&lt;="&amp;$B237,BD!$N$3:$N$5001,"&lt;&gt;"))))</f>
        <v/>
      </c>
      <c r="J237" s="43" t="str">
        <f>IF(OR($B237="",$A237&gt;$B$9,J$219=""),"",IF(COUNTIFS(BD!$B$3:$B$5001,J$219,BD!$A$3:$A$5001,"&gt;="&amp;$C$7,BD!$A$3:$A$5001,"&lt;="&amp;$B237,BD!$N$3:$N$5001,"&lt;&gt;")=0,"",SUMIFS(BD!$N$3:$N$5001,BD!$B$3:$B$5001,J$219,BD!$A$3:$A$5001,_xlfn.MAXIFS(BD!$A$3:$A$5001,BD!$B$3:$B$5001,J$219,BD!$A$3:$A$5001,"&gt;="&amp;$C$7,BD!$A$3:$A$5001,"&lt;="&amp;$B237,BD!$N$3:$N$5001,"&lt;&gt;"))))</f>
        <v/>
      </c>
      <c r="K237" s="43" t="str">
        <f>IF(OR($B237="",$A237&gt;$B$9,K$219=""),"",IF(COUNTIFS(BD!$B$3:$B$5001,K$219,BD!$A$3:$A$5001,"&gt;="&amp;$C$7,BD!$A$3:$A$5001,"&lt;="&amp;$B237,BD!$N$3:$N$5001,"&lt;&gt;")=0,"",SUMIFS(BD!$N$3:$N$5001,BD!$B$3:$B$5001,K$219,BD!$A$3:$A$5001,_xlfn.MAXIFS(BD!$A$3:$A$5001,BD!$B$3:$B$5001,K$219,BD!$A$3:$A$5001,"&gt;="&amp;$C$7,BD!$A$3:$A$5001,"&lt;="&amp;$B237,BD!$N$3:$N$5001,"&lt;&gt;"))))</f>
        <v/>
      </c>
      <c r="L237" s="43" t="str">
        <f>IF(OR($B237="",$A237&gt;$B$9,L$219=""),"",IF(COUNTIFS(BD!$B$3:$B$5001,L$219,BD!$A$3:$A$5001,"&gt;="&amp;$C$7,BD!$A$3:$A$5001,"&lt;="&amp;$B237,BD!$N$3:$N$5001,"&lt;&gt;")=0,"",SUMIFS(BD!$N$3:$N$5001,BD!$B$3:$B$5001,L$219,BD!$A$3:$A$5001,_xlfn.MAXIFS(BD!$A$3:$A$5001,BD!$B$3:$B$5001,L$219,BD!$A$3:$A$5001,"&gt;="&amp;$C$7,BD!$A$3:$A$5001,"&lt;="&amp;$B237,BD!$N$3:$N$5001,"&lt;&gt;"))))</f>
        <v/>
      </c>
      <c r="M237" s="43" t="str">
        <f>IF(OR($B237="",$A237&gt;$B$9,M$219=""),"",IF(COUNTIFS(BD!$B$3:$B$5001,M$219,BD!$A$3:$A$5001,"&gt;="&amp;$C$7,BD!$A$3:$A$5001,"&lt;="&amp;$B237,BD!$N$3:$N$5001,"&lt;&gt;")=0,"",SUMIFS(BD!$N$3:$N$5001,BD!$B$3:$B$5001,M$219,BD!$A$3:$A$5001,_xlfn.MAXIFS(BD!$A$3:$A$5001,BD!$B$3:$B$5001,M$219,BD!$A$3:$A$5001,"&gt;="&amp;$C$7,BD!$A$3:$A$5001,"&lt;="&amp;$B237,BD!$N$3:$N$5001,"&lt;&gt;"))))</f>
        <v/>
      </c>
      <c r="N237" s="43" t="str">
        <f>IF(OR($B237="",$A237&gt;$B$9,N$219=""),"",IF(COUNTIFS(BD!$B$3:$B$5001,N$219,BD!$A$3:$A$5001,"&gt;="&amp;$C$7,BD!$A$3:$A$5001,"&lt;="&amp;$B237,BD!$N$3:$N$5001,"&lt;&gt;")=0,"",SUMIFS(BD!$N$3:$N$5001,BD!$B$3:$B$5001,N$219,BD!$A$3:$A$5001,_xlfn.MAXIFS(BD!$A$3:$A$5001,BD!$B$3:$B$5001,N$219,BD!$A$3:$A$5001,"&gt;="&amp;$C$7,BD!$A$3:$A$5001,"&lt;="&amp;$B237,BD!$N$3:$N$5001,"&lt;&gt;"))))</f>
        <v/>
      </c>
      <c r="O237" s="43" t="str">
        <f>IF(OR($B237="",$A237&gt;$B$9,O$219=""),"",IF(COUNTIFS(BD!$B$3:$B$5001,O$219,BD!$A$3:$A$5001,"&gt;="&amp;$C$7,BD!$A$3:$A$5001,"&lt;="&amp;$B237,BD!$N$3:$N$5001,"&lt;&gt;")=0,"",SUMIFS(BD!$N$3:$N$5001,BD!$B$3:$B$5001,O$219,BD!$A$3:$A$5001,_xlfn.MAXIFS(BD!$A$3:$A$5001,BD!$B$3:$B$5001,O$219,BD!$A$3:$A$5001,"&gt;="&amp;$C$7,BD!$A$3:$A$5001,"&lt;="&amp;$B237,BD!$N$3:$N$5001,"&lt;&gt;"))))</f>
        <v/>
      </c>
      <c r="P237" s="43" t="str">
        <f>IF(OR($B237="",$A237&gt;$B$9,P$219=""),"",IF(COUNTIFS(BD!$B$3:$B$5001,P$219,BD!$A$3:$A$5001,"&gt;="&amp;$C$7,BD!$A$3:$A$5001,"&lt;="&amp;$B237,BD!$N$3:$N$5001,"&lt;&gt;")=0,"",SUMIFS(BD!$N$3:$N$5001,BD!$B$3:$B$5001,P$219,BD!$A$3:$A$5001,_xlfn.MAXIFS(BD!$A$3:$A$5001,BD!$B$3:$B$5001,P$219,BD!$A$3:$A$5001,"&gt;="&amp;$C$7,BD!$A$3:$A$5001,"&lt;="&amp;$B237,BD!$N$3:$N$5001,"&lt;&gt;"))))</f>
        <v/>
      </c>
      <c r="Q237" s="43" t="str">
        <f>IF(OR($B237="",$A237&gt;$B$9,Q$219=""),"",IF(COUNTIFS(BD!$B$3:$B$5001,Q$219,BD!$A$3:$A$5001,"&gt;="&amp;$C$7,BD!$A$3:$A$5001,"&lt;="&amp;$B237,BD!$N$3:$N$5001,"&lt;&gt;")=0,"",SUMIFS(BD!$N$3:$N$5001,BD!$B$3:$B$5001,Q$219,BD!$A$3:$A$5001,_xlfn.MAXIFS(BD!$A$3:$A$5001,BD!$B$3:$B$5001,Q$219,BD!$A$3:$A$5001,"&gt;="&amp;$C$7,BD!$A$3:$A$5001,"&lt;="&amp;$B237,BD!$N$3:$N$5001,"&lt;&gt;"))))</f>
        <v/>
      </c>
      <c r="R237" s="43" t="str">
        <f>IF(OR($B237="",$A237&gt;$B$9,R$219=""),"",IF(COUNTIFS(BD!$B$3:$B$5001,R$219,BD!$A$3:$A$5001,"&gt;="&amp;$C$7,BD!$A$3:$A$5001,"&lt;="&amp;$B237,BD!$N$3:$N$5001,"&lt;&gt;")=0,"",SUMIFS(BD!$N$3:$N$5001,BD!$B$3:$B$5001,R$219,BD!$A$3:$A$5001,_xlfn.MAXIFS(BD!$A$3:$A$5001,BD!$B$3:$B$5001,R$219,BD!$A$3:$A$5001,"&gt;="&amp;$C$7,BD!$A$3:$A$5001,"&lt;="&amp;$B237,BD!$N$3:$N$5001,"&lt;&gt;"))))</f>
        <v/>
      </c>
      <c r="S237" s="43" t="str">
        <f>IF(OR($B237="",$A237&gt;$B$9,S$219=""),"",IF(COUNTIFS(BD!$B$3:$B$5001,S$219,BD!$A$3:$A$5001,"&gt;="&amp;$C$7,BD!$A$3:$A$5001,"&lt;="&amp;$B237,BD!$N$3:$N$5001,"&lt;&gt;")=0,"",SUMIFS(BD!$N$3:$N$5001,BD!$B$3:$B$5001,S$219,BD!$A$3:$A$5001,_xlfn.MAXIFS(BD!$A$3:$A$5001,BD!$B$3:$B$5001,S$219,BD!$A$3:$A$5001,"&gt;="&amp;$C$7,BD!$A$3:$A$5001,"&lt;="&amp;$B237,BD!$N$3:$N$5001,"&lt;&gt;"))))</f>
        <v/>
      </c>
      <c r="T237" s="43" t="str">
        <f>IF(OR($B237="",$A237&gt;$B$9,T$219=""),"",IF(COUNTIFS(BD!$B$3:$B$5001,T$219,BD!$A$3:$A$5001,"&gt;="&amp;$C$7,BD!$A$3:$A$5001,"&lt;="&amp;$B237,BD!$N$3:$N$5001,"&lt;&gt;")=0,"",SUMIFS(BD!$N$3:$N$5001,BD!$B$3:$B$5001,T$219,BD!$A$3:$A$5001,_xlfn.MAXIFS(BD!$A$3:$A$5001,BD!$B$3:$B$5001,T$219,BD!$A$3:$A$5001,"&gt;="&amp;$C$7,BD!$A$3:$A$5001,"&lt;="&amp;$B237,BD!$N$3:$N$5001,"&lt;&gt;"))))</f>
        <v/>
      </c>
      <c r="U237" s="43" t="str">
        <f>IF(OR($B237="",$A237&gt;$B$9,U$219=""),"",IF(COUNTIFS(BD!$B$3:$B$5001,U$219,BD!$A$3:$A$5001,"&gt;="&amp;$C$7,BD!$A$3:$A$5001,"&lt;="&amp;$B237,BD!$N$3:$N$5001,"&lt;&gt;")=0,"",SUMIFS(BD!$N$3:$N$5001,BD!$B$3:$B$5001,U$219,BD!$A$3:$A$5001,_xlfn.MAXIFS(BD!$A$3:$A$5001,BD!$B$3:$B$5001,U$219,BD!$A$3:$A$5001,"&gt;="&amp;$C$7,BD!$A$3:$A$5001,"&lt;="&amp;$B237,BD!$N$3:$N$5001,"&lt;&gt;"))))</f>
        <v/>
      </c>
      <c r="V237" s="43" t="str">
        <f>IF(OR($B237="",$A237&gt;$B$9,V$219=""),"",IF(COUNTIFS(BD!$B$3:$B$5001,V$219,BD!$A$3:$A$5001,"&gt;="&amp;$C$7,BD!$A$3:$A$5001,"&lt;="&amp;$B237,BD!$N$3:$N$5001,"&lt;&gt;")=0,"",SUMIFS(BD!$N$3:$N$5001,BD!$B$3:$B$5001,V$219,BD!$A$3:$A$5001,_xlfn.MAXIFS(BD!$A$3:$A$5001,BD!$B$3:$B$5001,V$219,BD!$A$3:$A$5001,"&gt;="&amp;$C$7,BD!$A$3:$A$5001,"&lt;="&amp;$B237,BD!$N$3:$N$5001,"&lt;&gt;"))))</f>
        <v/>
      </c>
    </row>
    <row r="238">
      <c r="A238" s="38">
        <v>19</v>
      </c>
      <c r="B238" s="42">
        <f>$B$30</f>
        <v>46314</v>
      </c>
      <c r="C238" s="43" t="str">
        <f>IF(OR($B238="",$A238&gt;$B$9,C$219=""),"",IF(COUNTIFS(BD!$B$3:$B$5001,C$219,BD!$A$3:$A$5001,"&gt;="&amp;$C$7,BD!$A$3:$A$5001,"&lt;="&amp;$B238,BD!$N$3:$N$5001,"&lt;&gt;")=0,"",SUMIFS(BD!$N$3:$N$5001,BD!$B$3:$B$5001,C$219,BD!$A$3:$A$5001,_xlfn.MAXIFS(BD!$A$3:$A$5001,BD!$B$3:$B$5001,C$219,BD!$A$3:$A$5001,"&gt;="&amp;$C$7,BD!$A$3:$A$5001,"&lt;="&amp;$B238,BD!$N$3:$N$5001,"&lt;&gt;"))))</f>
        <v/>
      </c>
      <c r="D238" s="43" t="str">
        <f>IF(OR($B238="",$A238&gt;$B$9,D$219=""),"",IF(COUNTIFS(BD!$B$3:$B$5001,D$219,BD!$A$3:$A$5001,"&gt;="&amp;$C$7,BD!$A$3:$A$5001,"&lt;="&amp;$B238,BD!$N$3:$N$5001,"&lt;&gt;")=0,"",SUMIFS(BD!$N$3:$N$5001,BD!$B$3:$B$5001,D$219,BD!$A$3:$A$5001,_xlfn.MAXIFS(BD!$A$3:$A$5001,BD!$B$3:$B$5001,D$219,BD!$A$3:$A$5001,"&gt;="&amp;$C$7,BD!$A$3:$A$5001,"&lt;="&amp;$B238,BD!$N$3:$N$5001,"&lt;&gt;"))))</f>
        <v/>
      </c>
      <c r="E238" s="43" t="str">
        <f>IF(OR($B238="",$A238&gt;$B$9,E$219=""),"",IF(COUNTIFS(BD!$B$3:$B$5001,E$219,BD!$A$3:$A$5001,"&gt;="&amp;$C$7,BD!$A$3:$A$5001,"&lt;="&amp;$B238,BD!$N$3:$N$5001,"&lt;&gt;")=0,"",SUMIFS(BD!$N$3:$N$5001,BD!$B$3:$B$5001,E$219,BD!$A$3:$A$5001,_xlfn.MAXIFS(BD!$A$3:$A$5001,BD!$B$3:$B$5001,E$219,BD!$A$3:$A$5001,"&gt;="&amp;$C$7,BD!$A$3:$A$5001,"&lt;="&amp;$B238,BD!$N$3:$N$5001,"&lt;&gt;"))))</f>
        <v/>
      </c>
      <c r="F238" s="43" t="str">
        <f>IF(OR($B238="",$A238&gt;$B$9,F$219=""),"",IF(COUNTIFS(BD!$B$3:$B$5001,F$219,BD!$A$3:$A$5001,"&gt;="&amp;$C$7,BD!$A$3:$A$5001,"&lt;="&amp;$B238,BD!$N$3:$N$5001,"&lt;&gt;")=0,"",SUMIFS(BD!$N$3:$N$5001,BD!$B$3:$B$5001,F$219,BD!$A$3:$A$5001,_xlfn.MAXIFS(BD!$A$3:$A$5001,BD!$B$3:$B$5001,F$219,BD!$A$3:$A$5001,"&gt;="&amp;$C$7,BD!$A$3:$A$5001,"&lt;="&amp;$B238,BD!$N$3:$N$5001,"&lt;&gt;"))))</f>
        <v/>
      </c>
      <c r="G238" s="43" t="str">
        <f>IF(OR($B238="",$A238&gt;$B$9,G$219=""),"",IF(COUNTIFS(BD!$B$3:$B$5001,G$219,BD!$A$3:$A$5001,"&gt;="&amp;$C$7,BD!$A$3:$A$5001,"&lt;="&amp;$B238,BD!$N$3:$N$5001,"&lt;&gt;")=0,"",SUMIFS(BD!$N$3:$N$5001,BD!$B$3:$B$5001,G$219,BD!$A$3:$A$5001,_xlfn.MAXIFS(BD!$A$3:$A$5001,BD!$B$3:$B$5001,G$219,BD!$A$3:$A$5001,"&gt;="&amp;$C$7,BD!$A$3:$A$5001,"&lt;="&amp;$B238,BD!$N$3:$N$5001,"&lt;&gt;"))))</f>
        <v/>
      </c>
      <c r="H238" s="43" t="str">
        <f>IF(OR($B238="",$A238&gt;$B$9,H$219=""),"",IF(COUNTIFS(BD!$B$3:$B$5001,H$219,BD!$A$3:$A$5001,"&gt;="&amp;$C$7,BD!$A$3:$A$5001,"&lt;="&amp;$B238,BD!$N$3:$N$5001,"&lt;&gt;")=0,"",SUMIFS(BD!$N$3:$N$5001,BD!$B$3:$B$5001,H$219,BD!$A$3:$A$5001,_xlfn.MAXIFS(BD!$A$3:$A$5001,BD!$B$3:$B$5001,H$219,BD!$A$3:$A$5001,"&gt;="&amp;$C$7,BD!$A$3:$A$5001,"&lt;="&amp;$B238,BD!$N$3:$N$5001,"&lt;&gt;"))))</f>
        <v/>
      </c>
      <c r="I238" s="43" t="str">
        <f>IF(OR($B238="",$A238&gt;$B$9,I$219=""),"",IF(COUNTIFS(BD!$B$3:$B$5001,I$219,BD!$A$3:$A$5001,"&gt;="&amp;$C$7,BD!$A$3:$A$5001,"&lt;="&amp;$B238,BD!$N$3:$N$5001,"&lt;&gt;")=0,"",SUMIFS(BD!$N$3:$N$5001,BD!$B$3:$B$5001,I$219,BD!$A$3:$A$5001,_xlfn.MAXIFS(BD!$A$3:$A$5001,BD!$B$3:$B$5001,I$219,BD!$A$3:$A$5001,"&gt;="&amp;$C$7,BD!$A$3:$A$5001,"&lt;="&amp;$B238,BD!$N$3:$N$5001,"&lt;&gt;"))))</f>
        <v/>
      </c>
      <c r="J238" s="43" t="str">
        <f>IF(OR($B238="",$A238&gt;$B$9,J$219=""),"",IF(COUNTIFS(BD!$B$3:$B$5001,J$219,BD!$A$3:$A$5001,"&gt;="&amp;$C$7,BD!$A$3:$A$5001,"&lt;="&amp;$B238,BD!$N$3:$N$5001,"&lt;&gt;")=0,"",SUMIFS(BD!$N$3:$N$5001,BD!$B$3:$B$5001,J$219,BD!$A$3:$A$5001,_xlfn.MAXIFS(BD!$A$3:$A$5001,BD!$B$3:$B$5001,J$219,BD!$A$3:$A$5001,"&gt;="&amp;$C$7,BD!$A$3:$A$5001,"&lt;="&amp;$B238,BD!$N$3:$N$5001,"&lt;&gt;"))))</f>
        <v/>
      </c>
      <c r="K238" s="43" t="str">
        <f>IF(OR($B238="",$A238&gt;$B$9,K$219=""),"",IF(COUNTIFS(BD!$B$3:$B$5001,K$219,BD!$A$3:$A$5001,"&gt;="&amp;$C$7,BD!$A$3:$A$5001,"&lt;="&amp;$B238,BD!$N$3:$N$5001,"&lt;&gt;")=0,"",SUMIFS(BD!$N$3:$N$5001,BD!$B$3:$B$5001,K$219,BD!$A$3:$A$5001,_xlfn.MAXIFS(BD!$A$3:$A$5001,BD!$B$3:$B$5001,K$219,BD!$A$3:$A$5001,"&gt;="&amp;$C$7,BD!$A$3:$A$5001,"&lt;="&amp;$B238,BD!$N$3:$N$5001,"&lt;&gt;"))))</f>
        <v/>
      </c>
      <c r="L238" s="43" t="str">
        <f>IF(OR($B238="",$A238&gt;$B$9,L$219=""),"",IF(COUNTIFS(BD!$B$3:$B$5001,L$219,BD!$A$3:$A$5001,"&gt;="&amp;$C$7,BD!$A$3:$A$5001,"&lt;="&amp;$B238,BD!$N$3:$N$5001,"&lt;&gt;")=0,"",SUMIFS(BD!$N$3:$N$5001,BD!$B$3:$B$5001,L$219,BD!$A$3:$A$5001,_xlfn.MAXIFS(BD!$A$3:$A$5001,BD!$B$3:$B$5001,L$219,BD!$A$3:$A$5001,"&gt;="&amp;$C$7,BD!$A$3:$A$5001,"&lt;="&amp;$B238,BD!$N$3:$N$5001,"&lt;&gt;"))))</f>
        <v/>
      </c>
      <c r="M238" s="43" t="str">
        <f>IF(OR($B238="",$A238&gt;$B$9,M$219=""),"",IF(COUNTIFS(BD!$B$3:$B$5001,M$219,BD!$A$3:$A$5001,"&gt;="&amp;$C$7,BD!$A$3:$A$5001,"&lt;="&amp;$B238,BD!$N$3:$N$5001,"&lt;&gt;")=0,"",SUMIFS(BD!$N$3:$N$5001,BD!$B$3:$B$5001,M$219,BD!$A$3:$A$5001,_xlfn.MAXIFS(BD!$A$3:$A$5001,BD!$B$3:$B$5001,M$219,BD!$A$3:$A$5001,"&gt;="&amp;$C$7,BD!$A$3:$A$5001,"&lt;="&amp;$B238,BD!$N$3:$N$5001,"&lt;&gt;"))))</f>
        <v/>
      </c>
      <c r="N238" s="43" t="str">
        <f>IF(OR($B238="",$A238&gt;$B$9,N$219=""),"",IF(COUNTIFS(BD!$B$3:$B$5001,N$219,BD!$A$3:$A$5001,"&gt;="&amp;$C$7,BD!$A$3:$A$5001,"&lt;="&amp;$B238,BD!$N$3:$N$5001,"&lt;&gt;")=0,"",SUMIFS(BD!$N$3:$N$5001,BD!$B$3:$B$5001,N$219,BD!$A$3:$A$5001,_xlfn.MAXIFS(BD!$A$3:$A$5001,BD!$B$3:$B$5001,N$219,BD!$A$3:$A$5001,"&gt;="&amp;$C$7,BD!$A$3:$A$5001,"&lt;="&amp;$B238,BD!$N$3:$N$5001,"&lt;&gt;"))))</f>
        <v/>
      </c>
      <c r="O238" s="43" t="str">
        <f>IF(OR($B238="",$A238&gt;$B$9,O$219=""),"",IF(COUNTIFS(BD!$B$3:$B$5001,O$219,BD!$A$3:$A$5001,"&gt;="&amp;$C$7,BD!$A$3:$A$5001,"&lt;="&amp;$B238,BD!$N$3:$N$5001,"&lt;&gt;")=0,"",SUMIFS(BD!$N$3:$N$5001,BD!$B$3:$B$5001,O$219,BD!$A$3:$A$5001,_xlfn.MAXIFS(BD!$A$3:$A$5001,BD!$B$3:$B$5001,O$219,BD!$A$3:$A$5001,"&gt;="&amp;$C$7,BD!$A$3:$A$5001,"&lt;="&amp;$B238,BD!$N$3:$N$5001,"&lt;&gt;"))))</f>
        <v/>
      </c>
      <c r="P238" s="43" t="str">
        <f>IF(OR($B238="",$A238&gt;$B$9,P$219=""),"",IF(COUNTIFS(BD!$B$3:$B$5001,P$219,BD!$A$3:$A$5001,"&gt;="&amp;$C$7,BD!$A$3:$A$5001,"&lt;="&amp;$B238,BD!$N$3:$N$5001,"&lt;&gt;")=0,"",SUMIFS(BD!$N$3:$N$5001,BD!$B$3:$B$5001,P$219,BD!$A$3:$A$5001,_xlfn.MAXIFS(BD!$A$3:$A$5001,BD!$B$3:$B$5001,P$219,BD!$A$3:$A$5001,"&gt;="&amp;$C$7,BD!$A$3:$A$5001,"&lt;="&amp;$B238,BD!$N$3:$N$5001,"&lt;&gt;"))))</f>
        <v/>
      </c>
      <c r="Q238" s="43" t="str">
        <f>IF(OR($B238="",$A238&gt;$B$9,Q$219=""),"",IF(COUNTIFS(BD!$B$3:$B$5001,Q$219,BD!$A$3:$A$5001,"&gt;="&amp;$C$7,BD!$A$3:$A$5001,"&lt;="&amp;$B238,BD!$N$3:$N$5001,"&lt;&gt;")=0,"",SUMIFS(BD!$N$3:$N$5001,BD!$B$3:$B$5001,Q$219,BD!$A$3:$A$5001,_xlfn.MAXIFS(BD!$A$3:$A$5001,BD!$B$3:$B$5001,Q$219,BD!$A$3:$A$5001,"&gt;="&amp;$C$7,BD!$A$3:$A$5001,"&lt;="&amp;$B238,BD!$N$3:$N$5001,"&lt;&gt;"))))</f>
        <v/>
      </c>
      <c r="R238" s="43" t="str">
        <f>IF(OR($B238="",$A238&gt;$B$9,R$219=""),"",IF(COUNTIFS(BD!$B$3:$B$5001,R$219,BD!$A$3:$A$5001,"&gt;="&amp;$C$7,BD!$A$3:$A$5001,"&lt;="&amp;$B238,BD!$N$3:$N$5001,"&lt;&gt;")=0,"",SUMIFS(BD!$N$3:$N$5001,BD!$B$3:$B$5001,R$219,BD!$A$3:$A$5001,_xlfn.MAXIFS(BD!$A$3:$A$5001,BD!$B$3:$B$5001,R$219,BD!$A$3:$A$5001,"&gt;="&amp;$C$7,BD!$A$3:$A$5001,"&lt;="&amp;$B238,BD!$N$3:$N$5001,"&lt;&gt;"))))</f>
        <v/>
      </c>
      <c r="S238" s="43" t="str">
        <f>IF(OR($B238="",$A238&gt;$B$9,S$219=""),"",IF(COUNTIFS(BD!$B$3:$B$5001,S$219,BD!$A$3:$A$5001,"&gt;="&amp;$C$7,BD!$A$3:$A$5001,"&lt;="&amp;$B238,BD!$N$3:$N$5001,"&lt;&gt;")=0,"",SUMIFS(BD!$N$3:$N$5001,BD!$B$3:$B$5001,S$219,BD!$A$3:$A$5001,_xlfn.MAXIFS(BD!$A$3:$A$5001,BD!$B$3:$B$5001,S$219,BD!$A$3:$A$5001,"&gt;="&amp;$C$7,BD!$A$3:$A$5001,"&lt;="&amp;$B238,BD!$N$3:$N$5001,"&lt;&gt;"))))</f>
        <v/>
      </c>
      <c r="T238" s="43" t="str">
        <f>IF(OR($B238="",$A238&gt;$B$9,T$219=""),"",IF(COUNTIFS(BD!$B$3:$B$5001,T$219,BD!$A$3:$A$5001,"&gt;="&amp;$C$7,BD!$A$3:$A$5001,"&lt;="&amp;$B238,BD!$N$3:$N$5001,"&lt;&gt;")=0,"",SUMIFS(BD!$N$3:$N$5001,BD!$B$3:$B$5001,T$219,BD!$A$3:$A$5001,_xlfn.MAXIFS(BD!$A$3:$A$5001,BD!$B$3:$B$5001,T$219,BD!$A$3:$A$5001,"&gt;="&amp;$C$7,BD!$A$3:$A$5001,"&lt;="&amp;$B238,BD!$N$3:$N$5001,"&lt;&gt;"))))</f>
        <v/>
      </c>
      <c r="U238" s="43" t="str">
        <f>IF(OR($B238="",$A238&gt;$B$9,U$219=""),"",IF(COUNTIFS(BD!$B$3:$B$5001,U$219,BD!$A$3:$A$5001,"&gt;="&amp;$C$7,BD!$A$3:$A$5001,"&lt;="&amp;$B238,BD!$N$3:$N$5001,"&lt;&gt;")=0,"",SUMIFS(BD!$N$3:$N$5001,BD!$B$3:$B$5001,U$219,BD!$A$3:$A$5001,_xlfn.MAXIFS(BD!$A$3:$A$5001,BD!$B$3:$B$5001,U$219,BD!$A$3:$A$5001,"&gt;="&amp;$C$7,BD!$A$3:$A$5001,"&lt;="&amp;$B238,BD!$N$3:$N$5001,"&lt;&gt;"))))</f>
        <v/>
      </c>
      <c r="V238" s="43" t="str">
        <f>IF(OR($B238="",$A238&gt;$B$9,V$219=""),"",IF(COUNTIFS(BD!$B$3:$B$5001,V$219,BD!$A$3:$A$5001,"&gt;="&amp;$C$7,BD!$A$3:$A$5001,"&lt;="&amp;$B238,BD!$N$3:$N$5001,"&lt;&gt;")=0,"",SUMIFS(BD!$N$3:$N$5001,BD!$B$3:$B$5001,V$219,BD!$A$3:$A$5001,_xlfn.MAXIFS(BD!$A$3:$A$5001,BD!$B$3:$B$5001,V$219,BD!$A$3:$A$5001,"&gt;="&amp;$C$7,BD!$A$3:$A$5001,"&lt;="&amp;$B238,BD!$N$3:$N$5001,"&lt;&gt;"))))</f>
        <v/>
      </c>
    </row>
    <row r="239">
      <c r="A239" s="38">
        <v>20</v>
      </c>
      <c r="B239" s="42">
        <f>$B$31</f>
        <v>46315</v>
      </c>
      <c r="C239" s="43" t="str">
        <f>IF(OR($B239="",$A239&gt;$B$9,C$219=""),"",IF(COUNTIFS(BD!$B$3:$B$5001,C$219,BD!$A$3:$A$5001,"&gt;="&amp;$C$7,BD!$A$3:$A$5001,"&lt;="&amp;$B239,BD!$N$3:$N$5001,"&lt;&gt;")=0,"",SUMIFS(BD!$N$3:$N$5001,BD!$B$3:$B$5001,C$219,BD!$A$3:$A$5001,_xlfn.MAXIFS(BD!$A$3:$A$5001,BD!$B$3:$B$5001,C$219,BD!$A$3:$A$5001,"&gt;="&amp;$C$7,BD!$A$3:$A$5001,"&lt;="&amp;$B239,BD!$N$3:$N$5001,"&lt;&gt;"))))</f>
        <v/>
      </c>
      <c r="D239" s="43" t="str">
        <f>IF(OR($B239="",$A239&gt;$B$9,D$219=""),"",IF(COUNTIFS(BD!$B$3:$B$5001,D$219,BD!$A$3:$A$5001,"&gt;="&amp;$C$7,BD!$A$3:$A$5001,"&lt;="&amp;$B239,BD!$N$3:$N$5001,"&lt;&gt;")=0,"",SUMIFS(BD!$N$3:$N$5001,BD!$B$3:$B$5001,D$219,BD!$A$3:$A$5001,_xlfn.MAXIFS(BD!$A$3:$A$5001,BD!$B$3:$B$5001,D$219,BD!$A$3:$A$5001,"&gt;="&amp;$C$7,BD!$A$3:$A$5001,"&lt;="&amp;$B239,BD!$N$3:$N$5001,"&lt;&gt;"))))</f>
        <v/>
      </c>
      <c r="E239" s="43" t="str">
        <f>IF(OR($B239="",$A239&gt;$B$9,E$219=""),"",IF(COUNTIFS(BD!$B$3:$B$5001,E$219,BD!$A$3:$A$5001,"&gt;="&amp;$C$7,BD!$A$3:$A$5001,"&lt;="&amp;$B239,BD!$N$3:$N$5001,"&lt;&gt;")=0,"",SUMIFS(BD!$N$3:$N$5001,BD!$B$3:$B$5001,E$219,BD!$A$3:$A$5001,_xlfn.MAXIFS(BD!$A$3:$A$5001,BD!$B$3:$B$5001,E$219,BD!$A$3:$A$5001,"&gt;="&amp;$C$7,BD!$A$3:$A$5001,"&lt;="&amp;$B239,BD!$N$3:$N$5001,"&lt;&gt;"))))</f>
        <v/>
      </c>
      <c r="F239" s="43" t="str">
        <f>IF(OR($B239="",$A239&gt;$B$9,F$219=""),"",IF(COUNTIFS(BD!$B$3:$B$5001,F$219,BD!$A$3:$A$5001,"&gt;="&amp;$C$7,BD!$A$3:$A$5001,"&lt;="&amp;$B239,BD!$N$3:$N$5001,"&lt;&gt;")=0,"",SUMIFS(BD!$N$3:$N$5001,BD!$B$3:$B$5001,F$219,BD!$A$3:$A$5001,_xlfn.MAXIFS(BD!$A$3:$A$5001,BD!$B$3:$B$5001,F$219,BD!$A$3:$A$5001,"&gt;="&amp;$C$7,BD!$A$3:$A$5001,"&lt;="&amp;$B239,BD!$N$3:$N$5001,"&lt;&gt;"))))</f>
        <v/>
      </c>
      <c r="G239" s="43" t="str">
        <f>IF(OR($B239="",$A239&gt;$B$9,G$219=""),"",IF(COUNTIFS(BD!$B$3:$B$5001,G$219,BD!$A$3:$A$5001,"&gt;="&amp;$C$7,BD!$A$3:$A$5001,"&lt;="&amp;$B239,BD!$N$3:$N$5001,"&lt;&gt;")=0,"",SUMIFS(BD!$N$3:$N$5001,BD!$B$3:$B$5001,G$219,BD!$A$3:$A$5001,_xlfn.MAXIFS(BD!$A$3:$A$5001,BD!$B$3:$B$5001,G$219,BD!$A$3:$A$5001,"&gt;="&amp;$C$7,BD!$A$3:$A$5001,"&lt;="&amp;$B239,BD!$N$3:$N$5001,"&lt;&gt;"))))</f>
        <v/>
      </c>
      <c r="H239" s="43" t="str">
        <f>IF(OR($B239="",$A239&gt;$B$9,H$219=""),"",IF(COUNTIFS(BD!$B$3:$B$5001,H$219,BD!$A$3:$A$5001,"&gt;="&amp;$C$7,BD!$A$3:$A$5001,"&lt;="&amp;$B239,BD!$N$3:$N$5001,"&lt;&gt;")=0,"",SUMIFS(BD!$N$3:$N$5001,BD!$B$3:$B$5001,H$219,BD!$A$3:$A$5001,_xlfn.MAXIFS(BD!$A$3:$A$5001,BD!$B$3:$B$5001,H$219,BD!$A$3:$A$5001,"&gt;="&amp;$C$7,BD!$A$3:$A$5001,"&lt;="&amp;$B239,BD!$N$3:$N$5001,"&lt;&gt;"))))</f>
        <v/>
      </c>
      <c r="I239" s="43" t="str">
        <f>IF(OR($B239="",$A239&gt;$B$9,I$219=""),"",IF(COUNTIFS(BD!$B$3:$B$5001,I$219,BD!$A$3:$A$5001,"&gt;="&amp;$C$7,BD!$A$3:$A$5001,"&lt;="&amp;$B239,BD!$N$3:$N$5001,"&lt;&gt;")=0,"",SUMIFS(BD!$N$3:$N$5001,BD!$B$3:$B$5001,I$219,BD!$A$3:$A$5001,_xlfn.MAXIFS(BD!$A$3:$A$5001,BD!$B$3:$B$5001,I$219,BD!$A$3:$A$5001,"&gt;="&amp;$C$7,BD!$A$3:$A$5001,"&lt;="&amp;$B239,BD!$N$3:$N$5001,"&lt;&gt;"))))</f>
        <v/>
      </c>
      <c r="J239" s="43" t="str">
        <f>IF(OR($B239="",$A239&gt;$B$9,J$219=""),"",IF(COUNTIFS(BD!$B$3:$B$5001,J$219,BD!$A$3:$A$5001,"&gt;="&amp;$C$7,BD!$A$3:$A$5001,"&lt;="&amp;$B239,BD!$N$3:$N$5001,"&lt;&gt;")=0,"",SUMIFS(BD!$N$3:$N$5001,BD!$B$3:$B$5001,J$219,BD!$A$3:$A$5001,_xlfn.MAXIFS(BD!$A$3:$A$5001,BD!$B$3:$B$5001,J$219,BD!$A$3:$A$5001,"&gt;="&amp;$C$7,BD!$A$3:$A$5001,"&lt;="&amp;$B239,BD!$N$3:$N$5001,"&lt;&gt;"))))</f>
        <v/>
      </c>
      <c r="K239" s="43" t="str">
        <f>IF(OR($B239="",$A239&gt;$B$9,K$219=""),"",IF(COUNTIFS(BD!$B$3:$B$5001,K$219,BD!$A$3:$A$5001,"&gt;="&amp;$C$7,BD!$A$3:$A$5001,"&lt;="&amp;$B239,BD!$N$3:$N$5001,"&lt;&gt;")=0,"",SUMIFS(BD!$N$3:$N$5001,BD!$B$3:$B$5001,K$219,BD!$A$3:$A$5001,_xlfn.MAXIFS(BD!$A$3:$A$5001,BD!$B$3:$B$5001,K$219,BD!$A$3:$A$5001,"&gt;="&amp;$C$7,BD!$A$3:$A$5001,"&lt;="&amp;$B239,BD!$N$3:$N$5001,"&lt;&gt;"))))</f>
        <v/>
      </c>
      <c r="L239" s="43" t="str">
        <f>IF(OR($B239="",$A239&gt;$B$9,L$219=""),"",IF(COUNTIFS(BD!$B$3:$B$5001,L$219,BD!$A$3:$A$5001,"&gt;="&amp;$C$7,BD!$A$3:$A$5001,"&lt;="&amp;$B239,BD!$N$3:$N$5001,"&lt;&gt;")=0,"",SUMIFS(BD!$N$3:$N$5001,BD!$B$3:$B$5001,L$219,BD!$A$3:$A$5001,_xlfn.MAXIFS(BD!$A$3:$A$5001,BD!$B$3:$B$5001,L$219,BD!$A$3:$A$5001,"&gt;="&amp;$C$7,BD!$A$3:$A$5001,"&lt;="&amp;$B239,BD!$N$3:$N$5001,"&lt;&gt;"))))</f>
        <v/>
      </c>
      <c r="M239" s="43" t="str">
        <f>IF(OR($B239="",$A239&gt;$B$9,M$219=""),"",IF(COUNTIFS(BD!$B$3:$B$5001,M$219,BD!$A$3:$A$5001,"&gt;="&amp;$C$7,BD!$A$3:$A$5001,"&lt;="&amp;$B239,BD!$N$3:$N$5001,"&lt;&gt;")=0,"",SUMIFS(BD!$N$3:$N$5001,BD!$B$3:$B$5001,M$219,BD!$A$3:$A$5001,_xlfn.MAXIFS(BD!$A$3:$A$5001,BD!$B$3:$B$5001,M$219,BD!$A$3:$A$5001,"&gt;="&amp;$C$7,BD!$A$3:$A$5001,"&lt;="&amp;$B239,BD!$N$3:$N$5001,"&lt;&gt;"))))</f>
        <v/>
      </c>
      <c r="N239" s="43" t="str">
        <f>IF(OR($B239="",$A239&gt;$B$9,N$219=""),"",IF(COUNTIFS(BD!$B$3:$B$5001,N$219,BD!$A$3:$A$5001,"&gt;="&amp;$C$7,BD!$A$3:$A$5001,"&lt;="&amp;$B239,BD!$N$3:$N$5001,"&lt;&gt;")=0,"",SUMIFS(BD!$N$3:$N$5001,BD!$B$3:$B$5001,N$219,BD!$A$3:$A$5001,_xlfn.MAXIFS(BD!$A$3:$A$5001,BD!$B$3:$B$5001,N$219,BD!$A$3:$A$5001,"&gt;="&amp;$C$7,BD!$A$3:$A$5001,"&lt;="&amp;$B239,BD!$N$3:$N$5001,"&lt;&gt;"))))</f>
        <v/>
      </c>
      <c r="O239" s="43" t="str">
        <f>IF(OR($B239="",$A239&gt;$B$9,O$219=""),"",IF(COUNTIFS(BD!$B$3:$B$5001,O$219,BD!$A$3:$A$5001,"&gt;="&amp;$C$7,BD!$A$3:$A$5001,"&lt;="&amp;$B239,BD!$N$3:$N$5001,"&lt;&gt;")=0,"",SUMIFS(BD!$N$3:$N$5001,BD!$B$3:$B$5001,O$219,BD!$A$3:$A$5001,_xlfn.MAXIFS(BD!$A$3:$A$5001,BD!$B$3:$B$5001,O$219,BD!$A$3:$A$5001,"&gt;="&amp;$C$7,BD!$A$3:$A$5001,"&lt;="&amp;$B239,BD!$N$3:$N$5001,"&lt;&gt;"))))</f>
        <v/>
      </c>
      <c r="P239" s="43" t="str">
        <f>IF(OR($B239="",$A239&gt;$B$9,P$219=""),"",IF(COUNTIFS(BD!$B$3:$B$5001,P$219,BD!$A$3:$A$5001,"&gt;="&amp;$C$7,BD!$A$3:$A$5001,"&lt;="&amp;$B239,BD!$N$3:$N$5001,"&lt;&gt;")=0,"",SUMIFS(BD!$N$3:$N$5001,BD!$B$3:$B$5001,P$219,BD!$A$3:$A$5001,_xlfn.MAXIFS(BD!$A$3:$A$5001,BD!$B$3:$B$5001,P$219,BD!$A$3:$A$5001,"&gt;="&amp;$C$7,BD!$A$3:$A$5001,"&lt;="&amp;$B239,BD!$N$3:$N$5001,"&lt;&gt;"))))</f>
        <v/>
      </c>
      <c r="Q239" s="43" t="str">
        <f>IF(OR($B239="",$A239&gt;$B$9,Q$219=""),"",IF(COUNTIFS(BD!$B$3:$B$5001,Q$219,BD!$A$3:$A$5001,"&gt;="&amp;$C$7,BD!$A$3:$A$5001,"&lt;="&amp;$B239,BD!$N$3:$N$5001,"&lt;&gt;")=0,"",SUMIFS(BD!$N$3:$N$5001,BD!$B$3:$B$5001,Q$219,BD!$A$3:$A$5001,_xlfn.MAXIFS(BD!$A$3:$A$5001,BD!$B$3:$B$5001,Q$219,BD!$A$3:$A$5001,"&gt;="&amp;$C$7,BD!$A$3:$A$5001,"&lt;="&amp;$B239,BD!$N$3:$N$5001,"&lt;&gt;"))))</f>
        <v/>
      </c>
      <c r="R239" s="43" t="str">
        <f>IF(OR($B239="",$A239&gt;$B$9,R$219=""),"",IF(COUNTIFS(BD!$B$3:$B$5001,R$219,BD!$A$3:$A$5001,"&gt;="&amp;$C$7,BD!$A$3:$A$5001,"&lt;="&amp;$B239,BD!$N$3:$N$5001,"&lt;&gt;")=0,"",SUMIFS(BD!$N$3:$N$5001,BD!$B$3:$B$5001,R$219,BD!$A$3:$A$5001,_xlfn.MAXIFS(BD!$A$3:$A$5001,BD!$B$3:$B$5001,R$219,BD!$A$3:$A$5001,"&gt;="&amp;$C$7,BD!$A$3:$A$5001,"&lt;="&amp;$B239,BD!$N$3:$N$5001,"&lt;&gt;"))))</f>
        <v/>
      </c>
      <c r="S239" s="43" t="str">
        <f>IF(OR($B239="",$A239&gt;$B$9,S$219=""),"",IF(COUNTIFS(BD!$B$3:$B$5001,S$219,BD!$A$3:$A$5001,"&gt;="&amp;$C$7,BD!$A$3:$A$5001,"&lt;="&amp;$B239,BD!$N$3:$N$5001,"&lt;&gt;")=0,"",SUMIFS(BD!$N$3:$N$5001,BD!$B$3:$B$5001,S$219,BD!$A$3:$A$5001,_xlfn.MAXIFS(BD!$A$3:$A$5001,BD!$B$3:$B$5001,S$219,BD!$A$3:$A$5001,"&gt;="&amp;$C$7,BD!$A$3:$A$5001,"&lt;="&amp;$B239,BD!$N$3:$N$5001,"&lt;&gt;"))))</f>
        <v/>
      </c>
      <c r="T239" s="43" t="str">
        <f>IF(OR($B239="",$A239&gt;$B$9,T$219=""),"",IF(COUNTIFS(BD!$B$3:$B$5001,T$219,BD!$A$3:$A$5001,"&gt;="&amp;$C$7,BD!$A$3:$A$5001,"&lt;="&amp;$B239,BD!$N$3:$N$5001,"&lt;&gt;")=0,"",SUMIFS(BD!$N$3:$N$5001,BD!$B$3:$B$5001,T$219,BD!$A$3:$A$5001,_xlfn.MAXIFS(BD!$A$3:$A$5001,BD!$B$3:$B$5001,T$219,BD!$A$3:$A$5001,"&gt;="&amp;$C$7,BD!$A$3:$A$5001,"&lt;="&amp;$B239,BD!$N$3:$N$5001,"&lt;&gt;"))))</f>
        <v/>
      </c>
      <c r="U239" s="43" t="str">
        <f>IF(OR($B239="",$A239&gt;$B$9,U$219=""),"",IF(COUNTIFS(BD!$B$3:$B$5001,U$219,BD!$A$3:$A$5001,"&gt;="&amp;$C$7,BD!$A$3:$A$5001,"&lt;="&amp;$B239,BD!$N$3:$N$5001,"&lt;&gt;")=0,"",SUMIFS(BD!$N$3:$N$5001,BD!$B$3:$B$5001,U$219,BD!$A$3:$A$5001,_xlfn.MAXIFS(BD!$A$3:$A$5001,BD!$B$3:$B$5001,U$219,BD!$A$3:$A$5001,"&gt;="&amp;$C$7,BD!$A$3:$A$5001,"&lt;="&amp;$B239,BD!$N$3:$N$5001,"&lt;&gt;"))))</f>
        <v/>
      </c>
      <c r="V239" s="43" t="str">
        <f>IF(OR($B239="",$A239&gt;$B$9,V$219=""),"",IF(COUNTIFS(BD!$B$3:$B$5001,V$219,BD!$A$3:$A$5001,"&gt;="&amp;$C$7,BD!$A$3:$A$5001,"&lt;="&amp;$B239,BD!$N$3:$N$5001,"&lt;&gt;")=0,"",SUMIFS(BD!$N$3:$N$5001,BD!$B$3:$B$5001,V$219,BD!$A$3:$A$5001,_xlfn.MAXIFS(BD!$A$3:$A$5001,BD!$B$3:$B$5001,V$219,BD!$A$3:$A$5001,"&gt;="&amp;$C$7,BD!$A$3:$A$5001,"&lt;="&amp;$B239,BD!$N$3:$N$5001,"&lt;&gt;"))))</f>
        <v/>
      </c>
    </row>
    <row r="240">
      <c r="A240" s="38">
        <v>21</v>
      </c>
      <c r="B240" s="42">
        <f>$B$32</f>
        <v>46316</v>
      </c>
      <c r="C240" s="43" t="str">
        <f>IF(OR($B240="",$A240&gt;$B$9,C$219=""),"",IF(COUNTIFS(BD!$B$3:$B$5001,C$219,BD!$A$3:$A$5001,"&gt;="&amp;$C$7,BD!$A$3:$A$5001,"&lt;="&amp;$B240,BD!$N$3:$N$5001,"&lt;&gt;")=0,"",SUMIFS(BD!$N$3:$N$5001,BD!$B$3:$B$5001,C$219,BD!$A$3:$A$5001,_xlfn.MAXIFS(BD!$A$3:$A$5001,BD!$B$3:$B$5001,C$219,BD!$A$3:$A$5001,"&gt;="&amp;$C$7,BD!$A$3:$A$5001,"&lt;="&amp;$B240,BD!$N$3:$N$5001,"&lt;&gt;"))))</f>
        <v/>
      </c>
      <c r="D240" s="43" t="str">
        <f>IF(OR($B240="",$A240&gt;$B$9,D$219=""),"",IF(COUNTIFS(BD!$B$3:$B$5001,D$219,BD!$A$3:$A$5001,"&gt;="&amp;$C$7,BD!$A$3:$A$5001,"&lt;="&amp;$B240,BD!$N$3:$N$5001,"&lt;&gt;")=0,"",SUMIFS(BD!$N$3:$N$5001,BD!$B$3:$B$5001,D$219,BD!$A$3:$A$5001,_xlfn.MAXIFS(BD!$A$3:$A$5001,BD!$B$3:$B$5001,D$219,BD!$A$3:$A$5001,"&gt;="&amp;$C$7,BD!$A$3:$A$5001,"&lt;="&amp;$B240,BD!$N$3:$N$5001,"&lt;&gt;"))))</f>
        <v/>
      </c>
      <c r="E240" s="43" t="str">
        <f>IF(OR($B240="",$A240&gt;$B$9,E$219=""),"",IF(COUNTIFS(BD!$B$3:$B$5001,E$219,BD!$A$3:$A$5001,"&gt;="&amp;$C$7,BD!$A$3:$A$5001,"&lt;="&amp;$B240,BD!$N$3:$N$5001,"&lt;&gt;")=0,"",SUMIFS(BD!$N$3:$N$5001,BD!$B$3:$B$5001,E$219,BD!$A$3:$A$5001,_xlfn.MAXIFS(BD!$A$3:$A$5001,BD!$B$3:$B$5001,E$219,BD!$A$3:$A$5001,"&gt;="&amp;$C$7,BD!$A$3:$A$5001,"&lt;="&amp;$B240,BD!$N$3:$N$5001,"&lt;&gt;"))))</f>
        <v/>
      </c>
      <c r="F240" s="43" t="str">
        <f>IF(OR($B240="",$A240&gt;$B$9,F$219=""),"",IF(COUNTIFS(BD!$B$3:$B$5001,F$219,BD!$A$3:$A$5001,"&gt;="&amp;$C$7,BD!$A$3:$A$5001,"&lt;="&amp;$B240,BD!$N$3:$N$5001,"&lt;&gt;")=0,"",SUMIFS(BD!$N$3:$N$5001,BD!$B$3:$B$5001,F$219,BD!$A$3:$A$5001,_xlfn.MAXIFS(BD!$A$3:$A$5001,BD!$B$3:$B$5001,F$219,BD!$A$3:$A$5001,"&gt;="&amp;$C$7,BD!$A$3:$A$5001,"&lt;="&amp;$B240,BD!$N$3:$N$5001,"&lt;&gt;"))))</f>
        <v/>
      </c>
      <c r="G240" s="43" t="str">
        <f>IF(OR($B240="",$A240&gt;$B$9,G$219=""),"",IF(COUNTIFS(BD!$B$3:$B$5001,G$219,BD!$A$3:$A$5001,"&gt;="&amp;$C$7,BD!$A$3:$A$5001,"&lt;="&amp;$B240,BD!$N$3:$N$5001,"&lt;&gt;")=0,"",SUMIFS(BD!$N$3:$N$5001,BD!$B$3:$B$5001,G$219,BD!$A$3:$A$5001,_xlfn.MAXIFS(BD!$A$3:$A$5001,BD!$B$3:$B$5001,G$219,BD!$A$3:$A$5001,"&gt;="&amp;$C$7,BD!$A$3:$A$5001,"&lt;="&amp;$B240,BD!$N$3:$N$5001,"&lt;&gt;"))))</f>
        <v/>
      </c>
      <c r="H240" s="43" t="str">
        <f>IF(OR($B240="",$A240&gt;$B$9,H$219=""),"",IF(COUNTIFS(BD!$B$3:$B$5001,H$219,BD!$A$3:$A$5001,"&gt;="&amp;$C$7,BD!$A$3:$A$5001,"&lt;="&amp;$B240,BD!$N$3:$N$5001,"&lt;&gt;")=0,"",SUMIFS(BD!$N$3:$N$5001,BD!$B$3:$B$5001,H$219,BD!$A$3:$A$5001,_xlfn.MAXIFS(BD!$A$3:$A$5001,BD!$B$3:$B$5001,H$219,BD!$A$3:$A$5001,"&gt;="&amp;$C$7,BD!$A$3:$A$5001,"&lt;="&amp;$B240,BD!$N$3:$N$5001,"&lt;&gt;"))))</f>
        <v/>
      </c>
      <c r="I240" s="43" t="str">
        <f>IF(OR($B240="",$A240&gt;$B$9,I$219=""),"",IF(COUNTIFS(BD!$B$3:$B$5001,I$219,BD!$A$3:$A$5001,"&gt;="&amp;$C$7,BD!$A$3:$A$5001,"&lt;="&amp;$B240,BD!$N$3:$N$5001,"&lt;&gt;")=0,"",SUMIFS(BD!$N$3:$N$5001,BD!$B$3:$B$5001,I$219,BD!$A$3:$A$5001,_xlfn.MAXIFS(BD!$A$3:$A$5001,BD!$B$3:$B$5001,I$219,BD!$A$3:$A$5001,"&gt;="&amp;$C$7,BD!$A$3:$A$5001,"&lt;="&amp;$B240,BD!$N$3:$N$5001,"&lt;&gt;"))))</f>
        <v/>
      </c>
      <c r="J240" s="43" t="str">
        <f>IF(OR($B240="",$A240&gt;$B$9,J$219=""),"",IF(COUNTIFS(BD!$B$3:$B$5001,J$219,BD!$A$3:$A$5001,"&gt;="&amp;$C$7,BD!$A$3:$A$5001,"&lt;="&amp;$B240,BD!$N$3:$N$5001,"&lt;&gt;")=0,"",SUMIFS(BD!$N$3:$N$5001,BD!$B$3:$B$5001,J$219,BD!$A$3:$A$5001,_xlfn.MAXIFS(BD!$A$3:$A$5001,BD!$B$3:$B$5001,J$219,BD!$A$3:$A$5001,"&gt;="&amp;$C$7,BD!$A$3:$A$5001,"&lt;="&amp;$B240,BD!$N$3:$N$5001,"&lt;&gt;"))))</f>
        <v/>
      </c>
      <c r="K240" s="43" t="str">
        <f>IF(OR($B240="",$A240&gt;$B$9,K$219=""),"",IF(COUNTIFS(BD!$B$3:$B$5001,K$219,BD!$A$3:$A$5001,"&gt;="&amp;$C$7,BD!$A$3:$A$5001,"&lt;="&amp;$B240,BD!$N$3:$N$5001,"&lt;&gt;")=0,"",SUMIFS(BD!$N$3:$N$5001,BD!$B$3:$B$5001,K$219,BD!$A$3:$A$5001,_xlfn.MAXIFS(BD!$A$3:$A$5001,BD!$B$3:$B$5001,K$219,BD!$A$3:$A$5001,"&gt;="&amp;$C$7,BD!$A$3:$A$5001,"&lt;="&amp;$B240,BD!$N$3:$N$5001,"&lt;&gt;"))))</f>
        <v/>
      </c>
      <c r="L240" s="43" t="str">
        <f>IF(OR($B240="",$A240&gt;$B$9,L$219=""),"",IF(COUNTIFS(BD!$B$3:$B$5001,L$219,BD!$A$3:$A$5001,"&gt;="&amp;$C$7,BD!$A$3:$A$5001,"&lt;="&amp;$B240,BD!$N$3:$N$5001,"&lt;&gt;")=0,"",SUMIFS(BD!$N$3:$N$5001,BD!$B$3:$B$5001,L$219,BD!$A$3:$A$5001,_xlfn.MAXIFS(BD!$A$3:$A$5001,BD!$B$3:$B$5001,L$219,BD!$A$3:$A$5001,"&gt;="&amp;$C$7,BD!$A$3:$A$5001,"&lt;="&amp;$B240,BD!$N$3:$N$5001,"&lt;&gt;"))))</f>
        <v/>
      </c>
      <c r="M240" s="43" t="str">
        <f>IF(OR($B240="",$A240&gt;$B$9,M$219=""),"",IF(COUNTIFS(BD!$B$3:$B$5001,M$219,BD!$A$3:$A$5001,"&gt;="&amp;$C$7,BD!$A$3:$A$5001,"&lt;="&amp;$B240,BD!$N$3:$N$5001,"&lt;&gt;")=0,"",SUMIFS(BD!$N$3:$N$5001,BD!$B$3:$B$5001,M$219,BD!$A$3:$A$5001,_xlfn.MAXIFS(BD!$A$3:$A$5001,BD!$B$3:$B$5001,M$219,BD!$A$3:$A$5001,"&gt;="&amp;$C$7,BD!$A$3:$A$5001,"&lt;="&amp;$B240,BD!$N$3:$N$5001,"&lt;&gt;"))))</f>
        <v/>
      </c>
      <c r="N240" s="43" t="str">
        <f>IF(OR($B240="",$A240&gt;$B$9,N$219=""),"",IF(COUNTIFS(BD!$B$3:$B$5001,N$219,BD!$A$3:$A$5001,"&gt;="&amp;$C$7,BD!$A$3:$A$5001,"&lt;="&amp;$B240,BD!$N$3:$N$5001,"&lt;&gt;")=0,"",SUMIFS(BD!$N$3:$N$5001,BD!$B$3:$B$5001,N$219,BD!$A$3:$A$5001,_xlfn.MAXIFS(BD!$A$3:$A$5001,BD!$B$3:$B$5001,N$219,BD!$A$3:$A$5001,"&gt;="&amp;$C$7,BD!$A$3:$A$5001,"&lt;="&amp;$B240,BD!$N$3:$N$5001,"&lt;&gt;"))))</f>
        <v/>
      </c>
      <c r="O240" s="43" t="str">
        <f>IF(OR($B240="",$A240&gt;$B$9,O$219=""),"",IF(COUNTIFS(BD!$B$3:$B$5001,O$219,BD!$A$3:$A$5001,"&gt;="&amp;$C$7,BD!$A$3:$A$5001,"&lt;="&amp;$B240,BD!$N$3:$N$5001,"&lt;&gt;")=0,"",SUMIFS(BD!$N$3:$N$5001,BD!$B$3:$B$5001,O$219,BD!$A$3:$A$5001,_xlfn.MAXIFS(BD!$A$3:$A$5001,BD!$B$3:$B$5001,O$219,BD!$A$3:$A$5001,"&gt;="&amp;$C$7,BD!$A$3:$A$5001,"&lt;="&amp;$B240,BD!$N$3:$N$5001,"&lt;&gt;"))))</f>
        <v/>
      </c>
      <c r="P240" s="43" t="str">
        <f>IF(OR($B240="",$A240&gt;$B$9,P$219=""),"",IF(COUNTIFS(BD!$B$3:$B$5001,P$219,BD!$A$3:$A$5001,"&gt;="&amp;$C$7,BD!$A$3:$A$5001,"&lt;="&amp;$B240,BD!$N$3:$N$5001,"&lt;&gt;")=0,"",SUMIFS(BD!$N$3:$N$5001,BD!$B$3:$B$5001,P$219,BD!$A$3:$A$5001,_xlfn.MAXIFS(BD!$A$3:$A$5001,BD!$B$3:$B$5001,P$219,BD!$A$3:$A$5001,"&gt;="&amp;$C$7,BD!$A$3:$A$5001,"&lt;="&amp;$B240,BD!$N$3:$N$5001,"&lt;&gt;"))))</f>
        <v/>
      </c>
      <c r="Q240" s="43" t="str">
        <f>IF(OR($B240="",$A240&gt;$B$9,Q$219=""),"",IF(COUNTIFS(BD!$B$3:$B$5001,Q$219,BD!$A$3:$A$5001,"&gt;="&amp;$C$7,BD!$A$3:$A$5001,"&lt;="&amp;$B240,BD!$N$3:$N$5001,"&lt;&gt;")=0,"",SUMIFS(BD!$N$3:$N$5001,BD!$B$3:$B$5001,Q$219,BD!$A$3:$A$5001,_xlfn.MAXIFS(BD!$A$3:$A$5001,BD!$B$3:$B$5001,Q$219,BD!$A$3:$A$5001,"&gt;="&amp;$C$7,BD!$A$3:$A$5001,"&lt;="&amp;$B240,BD!$N$3:$N$5001,"&lt;&gt;"))))</f>
        <v/>
      </c>
      <c r="R240" s="43" t="str">
        <f>IF(OR($B240="",$A240&gt;$B$9,R$219=""),"",IF(COUNTIFS(BD!$B$3:$B$5001,R$219,BD!$A$3:$A$5001,"&gt;="&amp;$C$7,BD!$A$3:$A$5001,"&lt;="&amp;$B240,BD!$N$3:$N$5001,"&lt;&gt;")=0,"",SUMIFS(BD!$N$3:$N$5001,BD!$B$3:$B$5001,R$219,BD!$A$3:$A$5001,_xlfn.MAXIFS(BD!$A$3:$A$5001,BD!$B$3:$B$5001,R$219,BD!$A$3:$A$5001,"&gt;="&amp;$C$7,BD!$A$3:$A$5001,"&lt;="&amp;$B240,BD!$N$3:$N$5001,"&lt;&gt;"))))</f>
        <v/>
      </c>
      <c r="S240" s="43" t="str">
        <f>IF(OR($B240="",$A240&gt;$B$9,S$219=""),"",IF(COUNTIFS(BD!$B$3:$B$5001,S$219,BD!$A$3:$A$5001,"&gt;="&amp;$C$7,BD!$A$3:$A$5001,"&lt;="&amp;$B240,BD!$N$3:$N$5001,"&lt;&gt;")=0,"",SUMIFS(BD!$N$3:$N$5001,BD!$B$3:$B$5001,S$219,BD!$A$3:$A$5001,_xlfn.MAXIFS(BD!$A$3:$A$5001,BD!$B$3:$B$5001,S$219,BD!$A$3:$A$5001,"&gt;="&amp;$C$7,BD!$A$3:$A$5001,"&lt;="&amp;$B240,BD!$N$3:$N$5001,"&lt;&gt;"))))</f>
        <v/>
      </c>
      <c r="T240" s="43" t="str">
        <f>IF(OR($B240="",$A240&gt;$B$9,T$219=""),"",IF(COUNTIFS(BD!$B$3:$B$5001,T$219,BD!$A$3:$A$5001,"&gt;="&amp;$C$7,BD!$A$3:$A$5001,"&lt;="&amp;$B240,BD!$N$3:$N$5001,"&lt;&gt;")=0,"",SUMIFS(BD!$N$3:$N$5001,BD!$B$3:$B$5001,T$219,BD!$A$3:$A$5001,_xlfn.MAXIFS(BD!$A$3:$A$5001,BD!$B$3:$B$5001,T$219,BD!$A$3:$A$5001,"&gt;="&amp;$C$7,BD!$A$3:$A$5001,"&lt;="&amp;$B240,BD!$N$3:$N$5001,"&lt;&gt;"))))</f>
        <v/>
      </c>
      <c r="U240" s="43" t="str">
        <f>IF(OR($B240="",$A240&gt;$B$9,U$219=""),"",IF(COUNTIFS(BD!$B$3:$B$5001,U$219,BD!$A$3:$A$5001,"&gt;="&amp;$C$7,BD!$A$3:$A$5001,"&lt;="&amp;$B240,BD!$N$3:$N$5001,"&lt;&gt;")=0,"",SUMIFS(BD!$N$3:$N$5001,BD!$B$3:$B$5001,U$219,BD!$A$3:$A$5001,_xlfn.MAXIFS(BD!$A$3:$A$5001,BD!$B$3:$B$5001,U$219,BD!$A$3:$A$5001,"&gt;="&amp;$C$7,BD!$A$3:$A$5001,"&lt;="&amp;$B240,BD!$N$3:$N$5001,"&lt;&gt;"))))</f>
        <v/>
      </c>
      <c r="V240" s="43" t="str">
        <f>IF(OR($B240="",$A240&gt;$B$9,V$219=""),"",IF(COUNTIFS(BD!$B$3:$B$5001,V$219,BD!$A$3:$A$5001,"&gt;="&amp;$C$7,BD!$A$3:$A$5001,"&lt;="&amp;$B240,BD!$N$3:$N$5001,"&lt;&gt;")=0,"",SUMIFS(BD!$N$3:$N$5001,BD!$B$3:$B$5001,V$219,BD!$A$3:$A$5001,_xlfn.MAXIFS(BD!$A$3:$A$5001,BD!$B$3:$B$5001,V$219,BD!$A$3:$A$5001,"&gt;="&amp;$C$7,BD!$A$3:$A$5001,"&lt;="&amp;$B240,BD!$N$3:$N$5001,"&lt;&gt;"))))</f>
        <v/>
      </c>
    </row>
    <row r="241">
      <c r="A241" s="38">
        <v>22</v>
      </c>
      <c r="B241" s="42">
        <f>$B$33</f>
        <v>46317</v>
      </c>
      <c r="C241" s="43" t="str">
        <f>IF(OR($B241="",$A241&gt;$B$9,C$219=""),"",IF(COUNTIFS(BD!$B$3:$B$5001,C$219,BD!$A$3:$A$5001,"&gt;="&amp;$C$7,BD!$A$3:$A$5001,"&lt;="&amp;$B241,BD!$N$3:$N$5001,"&lt;&gt;")=0,"",SUMIFS(BD!$N$3:$N$5001,BD!$B$3:$B$5001,C$219,BD!$A$3:$A$5001,_xlfn.MAXIFS(BD!$A$3:$A$5001,BD!$B$3:$B$5001,C$219,BD!$A$3:$A$5001,"&gt;="&amp;$C$7,BD!$A$3:$A$5001,"&lt;="&amp;$B241,BD!$N$3:$N$5001,"&lt;&gt;"))))</f>
        <v/>
      </c>
      <c r="D241" s="43" t="str">
        <f>IF(OR($B241="",$A241&gt;$B$9,D$219=""),"",IF(COUNTIFS(BD!$B$3:$B$5001,D$219,BD!$A$3:$A$5001,"&gt;="&amp;$C$7,BD!$A$3:$A$5001,"&lt;="&amp;$B241,BD!$N$3:$N$5001,"&lt;&gt;")=0,"",SUMIFS(BD!$N$3:$N$5001,BD!$B$3:$B$5001,D$219,BD!$A$3:$A$5001,_xlfn.MAXIFS(BD!$A$3:$A$5001,BD!$B$3:$B$5001,D$219,BD!$A$3:$A$5001,"&gt;="&amp;$C$7,BD!$A$3:$A$5001,"&lt;="&amp;$B241,BD!$N$3:$N$5001,"&lt;&gt;"))))</f>
        <v/>
      </c>
      <c r="E241" s="43" t="str">
        <f>IF(OR($B241="",$A241&gt;$B$9,E$219=""),"",IF(COUNTIFS(BD!$B$3:$B$5001,E$219,BD!$A$3:$A$5001,"&gt;="&amp;$C$7,BD!$A$3:$A$5001,"&lt;="&amp;$B241,BD!$N$3:$N$5001,"&lt;&gt;")=0,"",SUMIFS(BD!$N$3:$N$5001,BD!$B$3:$B$5001,E$219,BD!$A$3:$A$5001,_xlfn.MAXIFS(BD!$A$3:$A$5001,BD!$B$3:$B$5001,E$219,BD!$A$3:$A$5001,"&gt;="&amp;$C$7,BD!$A$3:$A$5001,"&lt;="&amp;$B241,BD!$N$3:$N$5001,"&lt;&gt;"))))</f>
        <v/>
      </c>
      <c r="F241" s="43" t="str">
        <f>IF(OR($B241="",$A241&gt;$B$9,F$219=""),"",IF(COUNTIFS(BD!$B$3:$B$5001,F$219,BD!$A$3:$A$5001,"&gt;="&amp;$C$7,BD!$A$3:$A$5001,"&lt;="&amp;$B241,BD!$N$3:$N$5001,"&lt;&gt;")=0,"",SUMIFS(BD!$N$3:$N$5001,BD!$B$3:$B$5001,F$219,BD!$A$3:$A$5001,_xlfn.MAXIFS(BD!$A$3:$A$5001,BD!$B$3:$B$5001,F$219,BD!$A$3:$A$5001,"&gt;="&amp;$C$7,BD!$A$3:$A$5001,"&lt;="&amp;$B241,BD!$N$3:$N$5001,"&lt;&gt;"))))</f>
        <v/>
      </c>
      <c r="G241" s="43" t="str">
        <f>IF(OR($B241="",$A241&gt;$B$9,G$219=""),"",IF(COUNTIFS(BD!$B$3:$B$5001,G$219,BD!$A$3:$A$5001,"&gt;="&amp;$C$7,BD!$A$3:$A$5001,"&lt;="&amp;$B241,BD!$N$3:$N$5001,"&lt;&gt;")=0,"",SUMIFS(BD!$N$3:$N$5001,BD!$B$3:$B$5001,G$219,BD!$A$3:$A$5001,_xlfn.MAXIFS(BD!$A$3:$A$5001,BD!$B$3:$B$5001,G$219,BD!$A$3:$A$5001,"&gt;="&amp;$C$7,BD!$A$3:$A$5001,"&lt;="&amp;$B241,BD!$N$3:$N$5001,"&lt;&gt;"))))</f>
        <v/>
      </c>
      <c r="H241" s="43" t="str">
        <f>IF(OR($B241="",$A241&gt;$B$9,H$219=""),"",IF(COUNTIFS(BD!$B$3:$B$5001,H$219,BD!$A$3:$A$5001,"&gt;="&amp;$C$7,BD!$A$3:$A$5001,"&lt;="&amp;$B241,BD!$N$3:$N$5001,"&lt;&gt;")=0,"",SUMIFS(BD!$N$3:$N$5001,BD!$B$3:$B$5001,H$219,BD!$A$3:$A$5001,_xlfn.MAXIFS(BD!$A$3:$A$5001,BD!$B$3:$B$5001,H$219,BD!$A$3:$A$5001,"&gt;="&amp;$C$7,BD!$A$3:$A$5001,"&lt;="&amp;$B241,BD!$N$3:$N$5001,"&lt;&gt;"))))</f>
        <v/>
      </c>
      <c r="I241" s="43" t="str">
        <f>IF(OR($B241="",$A241&gt;$B$9,I$219=""),"",IF(COUNTIFS(BD!$B$3:$B$5001,I$219,BD!$A$3:$A$5001,"&gt;="&amp;$C$7,BD!$A$3:$A$5001,"&lt;="&amp;$B241,BD!$N$3:$N$5001,"&lt;&gt;")=0,"",SUMIFS(BD!$N$3:$N$5001,BD!$B$3:$B$5001,I$219,BD!$A$3:$A$5001,_xlfn.MAXIFS(BD!$A$3:$A$5001,BD!$B$3:$B$5001,I$219,BD!$A$3:$A$5001,"&gt;="&amp;$C$7,BD!$A$3:$A$5001,"&lt;="&amp;$B241,BD!$N$3:$N$5001,"&lt;&gt;"))))</f>
        <v/>
      </c>
      <c r="J241" s="43" t="str">
        <f>IF(OR($B241="",$A241&gt;$B$9,J$219=""),"",IF(COUNTIFS(BD!$B$3:$B$5001,J$219,BD!$A$3:$A$5001,"&gt;="&amp;$C$7,BD!$A$3:$A$5001,"&lt;="&amp;$B241,BD!$N$3:$N$5001,"&lt;&gt;")=0,"",SUMIFS(BD!$N$3:$N$5001,BD!$B$3:$B$5001,J$219,BD!$A$3:$A$5001,_xlfn.MAXIFS(BD!$A$3:$A$5001,BD!$B$3:$B$5001,J$219,BD!$A$3:$A$5001,"&gt;="&amp;$C$7,BD!$A$3:$A$5001,"&lt;="&amp;$B241,BD!$N$3:$N$5001,"&lt;&gt;"))))</f>
        <v/>
      </c>
      <c r="K241" s="43" t="str">
        <f>IF(OR($B241="",$A241&gt;$B$9,K$219=""),"",IF(COUNTIFS(BD!$B$3:$B$5001,K$219,BD!$A$3:$A$5001,"&gt;="&amp;$C$7,BD!$A$3:$A$5001,"&lt;="&amp;$B241,BD!$N$3:$N$5001,"&lt;&gt;")=0,"",SUMIFS(BD!$N$3:$N$5001,BD!$B$3:$B$5001,K$219,BD!$A$3:$A$5001,_xlfn.MAXIFS(BD!$A$3:$A$5001,BD!$B$3:$B$5001,K$219,BD!$A$3:$A$5001,"&gt;="&amp;$C$7,BD!$A$3:$A$5001,"&lt;="&amp;$B241,BD!$N$3:$N$5001,"&lt;&gt;"))))</f>
        <v/>
      </c>
      <c r="L241" s="43" t="str">
        <f>IF(OR($B241="",$A241&gt;$B$9,L$219=""),"",IF(COUNTIFS(BD!$B$3:$B$5001,L$219,BD!$A$3:$A$5001,"&gt;="&amp;$C$7,BD!$A$3:$A$5001,"&lt;="&amp;$B241,BD!$N$3:$N$5001,"&lt;&gt;")=0,"",SUMIFS(BD!$N$3:$N$5001,BD!$B$3:$B$5001,L$219,BD!$A$3:$A$5001,_xlfn.MAXIFS(BD!$A$3:$A$5001,BD!$B$3:$B$5001,L$219,BD!$A$3:$A$5001,"&gt;="&amp;$C$7,BD!$A$3:$A$5001,"&lt;="&amp;$B241,BD!$N$3:$N$5001,"&lt;&gt;"))))</f>
        <v/>
      </c>
      <c r="M241" s="43" t="str">
        <f>IF(OR($B241="",$A241&gt;$B$9,M$219=""),"",IF(COUNTIFS(BD!$B$3:$B$5001,M$219,BD!$A$3:$A$5001,"&gt;="&amp;$C$7,BD!$A$3:$A$5001,"&lt;="&amp;$B241,BD!$N$3:$N$5001,"&lt;&gt;")=0,"",SUMIFS(BD!$N$3:$N$5001,BD!$B$3:$B$5001,M$219,BD!$A$3:$A$5001,_xlfn.MAXIFS(BD!$A$3:$A$5001,BD!$B$3:$B$5001,M$219,BD!$A$3:$A$5001,"&gt;="&amp;$C$7,BD!$A$3:$A$5001,"&lt;="&amp;$B241,BD!$N$3:$N$5001,"&lt;&gt;"))))</f>
        <v/>
      </c>
      <c r="N241" s="43" t="str">
        <f>IF(OR($B241="",$A241&gt;$B$9,N$219=""),"",IF(COUNTIFS(BD!$B$3:$B$5001,N$219,BD!$A$3:$A$5001,"&gt;="&amp;$C$7,BD!$A$3:$A$5001,"&lt;="&amp;$B241,BD!$N$3:$N$5001,"&lt;&gt;")=0,"",SUMIFS(BD!$N$3:$N$5001,BD!$B$3:$B$5001,N$219,BD!$A$3:$A$5001,_xlfn.MAXIFS(BD!$A$3:$A$5001,BD!$B$3:$B$5001,N$219,BD!$A$3:$A$5001,"&gt;="&amp;$C$7,BD!$A$3:$A$5001,"&lt;="&amp;$B241,BD!$N$3:$N$5001,"&lt;&gt;"))))</f>
        <v/>
      </c>
      <c r="O241" s="43" t="str">
        <f>IF(OR($B241="",$A241&gt;$B$9,O$219=""),"",IF(COUNTIFS(BD!$B$3:$B$5001,O$219,BD!$A$3:$A$5001,"&gt;="&amp;$C$7,BD!$A$3:$A$5001,"&lt;="&amp;$B241,BD!$N$3:$N$5001,"&lt;&gt;")=0,"",SUMIFS(BD!$N$3:$N$5001,BD!$B$3:$B$5001,O$219,BD!$A$3:$A$5001,_xlfn.MAXIFS(BD!$A$3:$A$5001,BD!$B$3:$B$5001,O$219,BD!$A$3:$A$5001,"&gt;="&amp;$C$7,BD!$A$3:$A$5001,"&lt;="&amp;$B241,BD!$N$3:$N$5001,"&lt;&gt;"))))</f>
        <v/>
      </c>
      <c r="P241" s="43" t="str">
        <f>IF(OR($B241="",$A241&gt;$B$9,P$219=""),"",IF(COUNTIFS(BD!$B$3:$B$5001,P$219,BD!$A$3:$A$5001,"&gt;="&amp;$C$7,BD!$A$3:$A$5001,"&lt;="&amp;$B241,BD!$N$3:$N$5001,"&lt;&gt;")=0,"",SUMIFS(BD!$N$3:$N$5001,BD!$B$3:$B$5001,P$219,BD!$A$3:$A$5001,_xlfn.MAXIFS(BD!$A$3:$A$5001,BD!$B$3:$B$5001,P$219,BD!$A$3:$A$5001,"&gt;="&amp;$C$7,BD!$A$3:$A$5001,"&lt;="&amp;$B241,BD!$N$3:$N$5001,"&lt;&gt;"))))</f>
        <v/>
      </c>
      <c r="Q241" s="43" t="str">
        <f>IF(OR($B241="",$A241&gt;$B$9,Q$219=""),"",IF(COUNTIFS(BD!$B$3:$B$5001,Q$219,BD!$A$3:$A$5001,"&gt;="&amp;$C$7,BD!$A$3:$A$5001,"&lt;="&amp;$B241,BD!$N$3:$N$5001,"&lt;&gt;")=0,"",SUMIFS(BD!$N$3:$N$5001,BD!$B$3:$B$5001,Q$219,BD!$A$3:$A$5001,_xlfn.MAXIFS(BD!$A$3:$A$5001,BD!$B$3:$B$5001,Q$219,BD!$A$3:$A$5001,"&gt;="&amp;$C$7,BD!$A$3:$A$5001,"&lt;="&amp;$B241,BD!$N$3:$N$5001,"&lt;&gt;"))))</f>
        <v/>
      </c>
      <c r="R241" s="43" t="str">
        <f>IF(OR($B241="",$A241&gt;$B$9,R$219=""),"",IF(COUNTIFS(BD!$B$3:$B$5001,R$219,BD!$A$3:$A$5001,"&gt;="&amp;$C$7,BD!$A$3:$A$5001,"&lt;="&amp;$B241,BD!$N$3:$N$5001,"&lt;&gt;")=0,"",SUMIFS(BD!$N$3:$N$5001,BD!$B$3:$B$5001,R$219,BD!$A$3:$A$5001,_xlfn.MAXIFS(BD!$A$3:$A$5001,BD!$B$3:$B$5001,R$219,BD!$A$3:$A$5001,"&gt;="&amp;$C$7,BD!$A$3:$A$5001,"&lt;="&amp;$B241,BD!$N$3:$N$5001,"&lt;&gt;"))))</f>
        <v/>
      </c>
      <c r="S241" s="43" t="str">
        <f>IF(OR($B241="",$A241&gt;$B$9,S$219=""),"",IF(COUNTIFS(BD!$B$3:$B$5001,S$219,BD!$A$3:$A$5001,"&gt;="&amp;$C$7,BD!$A$3:$A$5001,"&lt;="&amp;$B241,BD!$N$3:$N$5001,"&lt;&gt;")=0,"",SUMIFS(BD!$N$3:$N$5001,BD!$B$3:$B$5001,S$219,BD!$A$3:$A$5001,_xlfn.MAXIFS(BD!$A$3:$A$5001,BD!$B$3:$B$5001,S$219,BD!$A$3:$A$5001,"&gt;="&amp;$C$7,BD!$A$3:$A$5001,"&lt;="&amp;$B241,BD!$N$3:$N$5001,"&lt;&gt;"))))</f>
        <v/>
      </c>
      <c r="T241" s="43" t="str">
        <f>IF(OR($B241="",$A241&gt;$B$9,T$219=""),"",IF(COUNTIFS(BD!$B$3:$B$5001,T$219,BD!$A$3:$A$5001,"&gt;="&amp;$C$7,BD!$A$3:$A$5001,"&lt;="&amp;$B241,BD!$N$3:$N$5001,"&lt;&gt;")=0,"",SUMIFS(BD!$N$3:$N$5001,BD!$B$3:$B$5001,T$219,BD!$A$3:$A$5001,_xlfn.MAXIFS(BD!$A$3:$A$5001,BD!$B$3:$B$5001,T$219,BD!$A$3:$A$5001,"&gt;="&amp;$C$7,BD!$A$3:$A$5001,"&lt;="&amp;$B241,BD!$N$3:$N$5001,"&lt;&gt;"))))</f>
        <v/>
      </c>
      <c r="U241" s="43" t="str">
        <f>IF(OR($B241="",$A241&gt;$B$9,U$219=""),"",IF(COUNTIFS(BD!$B$3:$B$5001,U$219,BD!$A$3:$A$5001,"&gt;="&amp;$C$7,BD!$A$3:$A$5001,"&lt;="&amp;$B241,BD!$N$3:$N$5001,"&lt;&gt;")=0,"",SUMIFS(BD!$N$3:$N$5001,BD!$B$3:$B$5001,U$219,BD!$A$3:$A$5001,_xlfn.MAXIFS(BD!$A$3:$A$5001,BD!$B$3:$B$5001,U$219,BD!$A$3:$A$5001,"&gt;="&amp;$C$7,BD!$A$3:$A$5001,"&lt;="&amp;$B241,BD!$N$3:$N$5001,"&lt;&gt;"))))</f>
        <v/>
      </c>
      <c r="V241" s="43" t="str">
        <f>IF(OR($B241="",$A241&gt;$B$9,V$219=""),"",IF(COUNTIFS(BD!$B$3:$B$5001,V$219,BD!$A$3:$A$5001,"&gt;="&amp;$C$7,BD!$A$3:$A$5001,"&lt;="&amp;$B241,BD!$N$3:$N$5001,"&lt;&gt;")=0,"",SUMIFS(BD!$N$3:$N$5001,BD!$B$3:$B$5001,V$219,BD!$A$3:$A$5001,_xlfn.MAXIFS(BD!$A$3:$A$5001,BD!$B$3:$B$5001,V$219,BD!$A$3:$A$5001,"&gt;="&amp;$C$7,BD!$A$3:$A$5001,"&lt;="&amp;$B241,BD!$N$3:$N$5001,"&lt;&gt;"))))</f>
        <v/>
      </c>
    </row>
    <row r="242">
      <c r="A242" s="38">
        <v>23</v>
      </c>
      <c r="B242" s="42">
        <f>$B$34</f>
        <v>46318</v>
      </c>
      <c r="C242" s="43" t="str">
        <f>IF(OR($B242="",$A242&gt;$B$9,C$219=""),"",IF(COUNTIFS(BD!$B$3:$B$5001,C$219,BD!$A$3:$A$5001,"&gt;="&amp;$C$7,BD!$A$3:$A$5001,"&lt;="&amp;$B242,BD!$N$3:$N$5001,"&lt;&gt;")=0,"",SUMIFS(BD!$N$3:$N$5001,BD!$B$3:$B$5001,C$219,BD!$A$3:$A$5001,_xlfn.MAXIFS(BD!$A$3:$A$5001,BD!$B$3:$B$5001,C$219,BD!$A$3:$A$5001,"&gt;="&amp;$C$7,BD!$A$3:$A$5001,"&lt;="&amp;$B242,BD!$N$3:$N$5001,"&lt;&gt;"))))</f>
        <v/>
      </c>
      <c r="D242" s="43" t="str">
        <f>IF(OR($B242="",$A242&gt;$B$9,D$219=""),"",IF(COUNTIFS(BD!$B$3:$B$5001,D$219,BD!$A$3:$A$5001,"&gt;="&amp;$C$7,BD!$A$3:$A$5001,"&lt;="&amp;$B242,BD!$N$3:$N$5001,"&lt;&gt;")=0,"",SUMIFS(BD!$N$3:$N$5001,BD!$B$3:$B$5001,D$219,BD!$A$3:$A$5001,_xlfn.MAXIFS(BD!$A$3:$A$5001,BD!$B$3:$B$5001,D$219,BD!$A$3:$A$5001,"&gt;="&amp;$C$7,BD!$A$3:$A$5001,"&lt;="&amp;$B242,BD!$N$3:$N$5001,"&lt;&gt;"))))</f>
        <v/>
      </c>
      <c r="E242" s="43" t="str">
        <f>IF(OR($B242="",$A242&gt;$B$9,E$219=""),"",IF(COUNTIFS(BD!$B$3:$B$5001,E$219,BD!$A$3:$A$5001,"&gt;="&amp;$C$7,BD!$A$3:$A$5001,"&lt;="&amp;$B242,BD!$N$3:$N$5001,"&lt;&gt;")=0,"",SUMIFS(BD!$N$3:$N$5001,BD!$B$3:$B$5001,E$219,BD!$A$3:$A$5001,_xlfn.MAXIFS(BD!$A$3:$A$5001,BD!$B$3:$B$5001,E$219,BD!$A$3:$A$5001,"&gt;="&amp;$C$7,BD!$A$3:$A$5001,"&lt;="&amp;$B242,BD!$N$3:$N$5001,"&lt;&gt;"))))</f>
        <v/>
      </c>
      <c r="F242" s="43" t="str">
        <f>IF(OR($B242="",$A242&gt;$B$9,F$219=""),"",IF(COUNTIFS(BD!$B$3:$B$5001,F$219,BD!$A$3:$A$5001,"&gt;="&amp;$C$7,BD!$A$3:$A$5001,"&lt;="&amp;$B242,BD!$N$3:$N$5001,"&lt;&gt;")=0,"",SUMIFS(BD!$N$3:$N$5001,BD!$B$3:$B$5001,F$219,BD!$A$3:$A$5001,_xlfn.MAXIFS(BD!$A$3:$A$5001,BD!$B$3:$B$5001,F$219,BD!$A$3:$A$5001,"&gt;="&amp;$C$7,BD!$A$3:$A$5001,"&lt;="&amp;$B242,BD!$N$3:$N$5001,"&lt;&gt;"))))</f>
        <v/>
      </c>
      <c r="G242" s="43" t="str">
        <f>IF(OR($B242="",$A242&gt;$B$9,G$219=""),"",IF(COUNTIFS(BD!$B$3:$B$5001,G$219,BD!$A$3:$A$5001,"&gt;="&amp;$C$7,BD!$A$3:$A$5001,"&lt;="&amp;$B242,BD!$N$3:$N$5001,"&lt;&gt;")=0,"",SUMIFS(BD!$N$3:$N$5001,BD!$B$3:$B$5001,G$219,BD!$A$3:$A$5001,_xlfn.MAXIFS(BD!$A$3:$A$5001,BD!$B$3:$B$5001,G$219,BD!$A$3:$A$5001,"&gt;="&amp;$C$7,BD!$A$3:$A$5001,"&lt;="&amp;$B242,BD!$N$3:$N$5001,"&lt;&gt;"))))</f>
        <v/>
      </c>
      <c r="H242" s="43" t="str">
        <f>IF(OR($B242="",$A242&gt;$B$9,H$219=""),"",IF(COUNTIFS(BD!$B$3:$B$5001,H$219,BD!$A$3:$A$5001,"&gt;="&amp;$C$7,BD!$A$3:$A$5001,"&lt;="&amp;$B242,BD!$N$3:$N$5001,"&lt;&gt;")=0,"",SUMIFS(BD!$N$3:$N$5001,BD!$B$3:$B$5001,H$219,BD!$A$3:$A$5001,_xlfn.MAXIFS(BD!$A$3:$A$5001,BD!$B$3:$B$5001,H$219,BD!$A$3:$A$5001,"&gt;="&amp;$C$7,BD!$A$3:$A$5001,"&lt;="&amp;$B242,BD!$N$3:$N$5001,"&lt;&gt;"))))</f>
        <v/>
      </c>
      <c r="I242" s="43" t="str">
        <f>IF(OR($B242="",$A242&gt;$B$9,I$219=""),"",IF(COUNTIFS(BD!$B$3:$B$5001,I$219,BD!$A$3:$A$5001,"&gt;="&amp;$C$7,BD!$A$3:$A$5001,"&lt;="&amp;$B242,BD!$N$3:$N$5001,"&lt;&gt;")=0,"",SUMIFS(BD!$N$3:$N$5001,BD!$B$3:$B$5001,I$219,BD!$A$3:$A$5001,_xlfn.MAXIFS(BD!$A$3:$A$5001,BD!$B$3:$B$5001,I$219,BD!$A$3:$A$5001,"&gt;="&amp;$C$7,BD!$A$3:$A$5001,"&lt;="&amp;$B242,BD!$N$3:$N$5001,"&lt;&gt;"))))</f>
        <v/>
      </c>
      <c r="J242" s="43" t="str">
        <f>IF(OR($B242="",$A242&gt;$B$9,J$219=""),"",IF(COUNTIFS(BD!$B$3:$B$5001,J$219,BD!$A$3:$A$5001,"&gt;="&amp;$C$7,BD!$A$3:$A$5001,"&lt;="&amp;$B242,BD!$N$3:$N$5001,"&lt;&gt;")=0,"",SUMIFS(BD!$N$3:$N$5001,BD!$B$3:$B$5001,J$219,BD!$A$3:$A$5001,_xlfn.MAXIFS(BD!$A$3:$A$5001,BD!$B$3:$B$5001,J$219,BD!$A$3:$A$5001,"&gt;="&amp;$C$7,BD!$A$3:$A$5001,"&lt;="&amp;$B242,BD!$N$3:$N$5001,"&lt;&gt;"))))</f>
        <v/>
      </c>
      <c r="K242" s="43" t="str">
        <f>IF(OR($B242="",$A242&gt;$B$9,K$219=""),"",IF(COUNTIFS(BD!$B$3:$B$5001,K$219,BD!$A$3:$A$5001,"&gt;="&amp;$C$7,BD!$A$3:$A$5001,"&lt;="&amp;$B242,BD!$N$3:$N$5001,"&lt;&gt;")=0,"",SUMIFS(BD!$N$3:$N$5001,BD!$B$3:$B$5001,K$219,BD!$A$3:$A$5001,_xlfn.MAXIFS(BD!$A$3:$A$5001,BD!$B$3:$B$5001,K$219,BD!$A$3:$A$5001,"&gt;="&amp;$C$7,BD!$A$3:$A$5001,"&lt;="&amp;$B242,BD!$N$3:$N$5001,"&lt;&gt;"))))</f>
        <v/>
      </c>
      <c r="L242" s="43" t="str">
        <f>IF(OR($B242="",$A242&gt;$B$9,L$219=""),"",IF(COUNTIFS(BD!$B$3:$B$5001,L$219,BD!$A$3:$A$5001,"&gt;="&amp;$C$7,BD!$A$3:$A$5001,"&lt;="&amp;$B242,BD!$N$3:$N$5001,"&lt;&gt;")=0,"",SUMIFS(BD!$N$3:$N$5001,BD!$B$3:$B$5001,L$219,BD!$A$3:$A$5001,_xlfn.MAXIFS(BD!$A$3:$A$5001,BD!$B$3:$B$5001,L$219,BD!$A$3:$A$5001,"&gt;="&amp;$C$7,BD!$A$3:$A$5001,"&lt;="&amp;$B242,BD!$N$3:$N$5001,"&lt;&gt;"))))</f>
        <v/>
      </c>
      <c r="M242" s="43" t="str">
        <f>IF(OR($B242="",$A242&gt;$B$9,M$219=""),"",IF(COUNTIFS(BD!$B$3:$B$5001,M$219,BD!$A$3:$A$5001,"&gt;="&amp;$C$7,BD!$A$3:$A$5001,"&lt;="&amp;$B242,BD!$N$3:$N$5001,"&lt;&gt;")=0,"",SUMIFS(BD!$N$3:$N$5001,BD!$B$3:$B$5001,M$219,BD!$A$3:$A$5001,_xlfn.MAXIFS(BD!$A$3:$A$5001,BD!$B$3:$B$5001,M$219,BD!$A$3:$A$5001,"&gt;="&amp;$C$7,BD!$A$3:$A$5001,"&lt;="&amp;$B242,BD!$N$3:$N$5001,"&lt;&gt;"))))</f>
        <v/>
      </c>
      <c r="N242" s="43" t="str">
        <f>IF(OR($B242="",$A242&gt;$B$9,N$219=""),"",IF(COUNTIFS(BD!$B$3:$B$5001,N$219,BD!$A$3:$A$5001,"&gt;="&amp;$C$7,BD!$A$3:$A$5001,"&lt;="&amp;$B242,BD!$N$3:$N$5001,"&lt;&gt;")=0,"",SUMIFS(BD!$N$3:$N$5001,BD!$B$3:$B$5001,N$219,BD!$A$3:$A$5001,_xlfn.MAXIFS(BD!$A$3:$A$5001,BD!$B$3:$B$5001,N$219,BD!$A$3:$A$5001,"&gt;="&amp;$C$7,BD!$A$3:$A$5001,"&lt;="&amp;$B242,BD!$N$3:$N$5001,"&lt;&gt;"))))</f>
        <v/>
      </c>
      <c r="O242" s="43" t="str">
        <f>IF(OR($B242="",$A242&gt;$B$9,O$219=""),"",IF(COUNTIFS(BD!$B$3:$B$5001,O$219,BD!$A$3:$A$5001,"&gt;="&amp;$C$7,BD!$A$3:$A$5001,"&lt;="&amp;$B242,BD!$N$3:$N$5001,"&lt;&gt;")=0,"",SUMIFS(BD!$N$3:$N$5001,BD!$B$3:$B$5001,O$219,BD!$A$3:$A$5001,_xlfn.MAXIFS(BD!$A$3:$A$5001,BD!$B$3:$B$5001,O$219,BD!$A$3:$A$5001,"&gt;="&amp;$C$7,BD!$A$3:$A$5001,"&lt;="&amp;$B242,BD!$N$3:$N$5001,"&lt;&gt;"))))</f>
        <v/>
      </c>
      <c r="P242" s="43" t="str">
        <f>IF(OR($B242="",$A242&gt;$B$9,P$219=""),"",IF(COUNTIFS(BD!$B$3:$B$5001,P$219,BD!$A$3:$A$5001,"&gt;="&amp;$C$7,BD!$A$3:$A$5001,"&lt;="&amp;$B242,BD!$N$3:$N$5001,"&lt;&gt;")=0,"",SUMIFS(BD!$N$3:$N$5001,BD!$B$3:$B$5001,P$219,BD!$A$3:$A$5001,_xlfn.MAXIFS(BD!$A$3:$A$5001,BD!$B$3:$B$5001,P$219,BD!$A$3:$A$5001,"&gt;="&amp;$C$7,BD!$A$3:$A$5001,"&lt;="&amp;$B242,BD!$N$3:$N$5001,"&lt;&gt;"))))</f>
        <v/>
      </c>
      <c r="Q242" s="43" t="str">
        <f>IF(OR($B242="",$A242&gt;$B$9,Q$219=""),"",IF(COUNTIFS(BD!$B$3:$B$5001,Q$219,BD!$A$3:$A$5001,"&gt;="&amp;$C$7,BD!$A$3:$A$5001,"&lt;="&amp;$B242,BD!$N$3:$N$5001,"&lt;&gt;")=0,"",SUMIFS(BD!$N$3:$N$5001,BD!$B$3:$B$5001,Q$219,BD!$A$3:$A$5001,_xlfn.MAXIFS(BD!$A$3:$A$5001,BD!$B$3:$B$5001,Q$219,BD!$A$3:$A$5001,"&gt;="&amp;$C$7,BD!$A$3:$A$5001,"&lt;="&amp;$B242,BD!$N$3:$N$5001,"&lt;&gt;"))))</f>
        <v/>
      </c>
      <c r="R242" s="43" t="str">
        <f>IF(OR($B242="",$A242&gt;$B$9,R$219=""),"",IF(COUNTIFS(BD!$B$3:$B$5001,R$219,BD!$A$3:$A$5001,"&gt;="&amp;$C$7,BD!$A$3:$A$5001,"&lt;="&amp;$B242,BD!$N$3:$N$5001,"&lt;&gt;")=0,"",SUMIFS(BD!$N$3:$N$5001,BD!$B$3:$B$5001,R$219,BD!$A$3:$A$5001,_xlfn.MAXIFS(BD!$A$3:$A$5001,BD!$B$3:$B$5001,R$219,BD!$A$3:$A$5001,"&gt;="&amp;$C$7,BD!$A$3:$A$5001,"&lt;="&amp;$B242,BD!$N$3:$N$5001,"&lt;&gt;"))))</f>
        <v/>
      </c>
      <c r="S242" s="43" t="str">
        <f>IF(OR($B242="",$A242&gt;$B$9,S$219=""),"",IF(COUNTIFS(BD!$B$3:$B$5001,S$219,BD!$A$3:$A$5001,"&gt;="&amp;$C$7,BD!$A$3:$A$5001,"&lt;="&amp;$B242,BD!$N$3:$N$5001,"&lt;&gt;")=0,"",SUMIFS(BD!$N$3:$N$5001,BD!$B$3:$B$5001,S$219,BD!$A$3:$A$5001,_xlfn.MAXIFS(BD!$A$3:$A$5001,BD!$B$3:$B$5001,S$219,BD!$A$3:$A$5001,"&gt;="&amp;$C$7,BD!$A$3:$A$5001,"&lt;="&amp;$B242,BD!$N$3:$N$5001,"&lt;&gt;"))))</f>
        <v/>
      </c>
      <c r="T242" s="43" t="str">
        <f>IF(OR($B242="",$A242&gt;$B$9,T$219=""),"",IF(COUNTIFS(BD!$B$3:$B$5001,T$219,BD!$A$3:$A$5001,"&gt;="&amp;$C$7,BD!$A$3:$A$5001,"&lt;="&amp;$B242,BD!$N$3:$N$5001,"&lt;&gt;")=0,"",SUMIFS(BD!$N$3:$N$5001,BD!$B$3:$B$5001,T$219,BD!$A$3:$A$5001,_xlfn.MAXIFS(BD!$A$3:$A$5001,BD!$B$3:$B$5001,T$219,BD!$A$3:$A$5001,"&gt;="&amp;$C$7,BD!$A$3:$A$5001,"&lt;="&amp;$B242,BD!$N$3:$N$5001,"&lt;&gt;"))))</f>
        <v/>
      </c>
      <c r="U242" s="43" t="str">
        <f>IF(OR($B242="",$A242&gt;$B$9,U$219=""),"",IF(COUNTIFS(BD!$B$3:$B$5001,U$219,BD!$A$3:$A$5001,"&gt;="&amp;$C$7,BD!$A$3:$A$5001,"&lt;="&amp;$B242,BD!$N$3:$N$5001,"&lt;&gt;")=0,"",SUMIFS(BD!$N$3:$N$5001,BD!$B$3:$B$5001,U$219,BD!$A$3:$A$5001,_xlfn.MAXIFS(BD!$A$3:$A$5001,BD!$B$3:$B$5001,U$219,BD!$A$3:$A$5001,"&gt;="&amp;$C$7,BD!$A$3:$A$5001,"&lt;="&amp;$B242,BD!$N$3:$N$5001,"&lt;&gt;"))))</f>
        <v/>
      </c>
      <c r="V242" s="43" t="str">
        <f>IF(OR($B242="",$A242&gt;$B$9,V$219=""),"",IF(COUNTIFS(BD!$B$3:$B$5001,V$219,BD!$A$3:$A$5001,"&gt;="&amp;$C$7,BD!$A$3:$A$5001,"&lt;="&amp;$B242,BD!$N$3:$N$5001,"&lt;&gt;")=0,"",SUMIFS(BD!$N$3:$N$5001,BD!$B$3:$B$5001,V$219,BD!$A$3:$A$5001,_xlfn.MAXIFS(BD!$A$3:$A$5001,BD!$B$3:$B$5001,V$219,BD!$A$3:$A$5001,"&gt;="&amp;$C$7,BD!$A$3:$A$5001,"&lt;="&amp;$B242,BD!$N$3:$N$5001,"&lt;&gt;"))))</f>
        <v/>
      </c>
    </row>
    <row r="243">
      <c r="A243" s="38">
        <v>24</v>
      </c>
      <c r="B243" s="42">
        <f>$B$35</f>
        <v>46319</v>
      </c>
      <c r="C243" s="43" t="str">
        <f>IF(OR($B243="",$A243&gt;$B$9,C$219=""),"",IF(COUNTIFS(BD!$B$3:$B$5001,C$219,BD!$A$3:$A$5001,"&gt;="&amp;$C$7,BD!$A$3:$A$5001,"&lt;="&amp;$B243,BD!$N$3:$N$5001,"&lt;&gt;")=0,"",SUMIFS(BD!$N$3:$N$5001,BD!$B$3:$B$5001,C$219,BD!$A$3:$A$5001,_xlfn.MAXIFS(BD!$A$3:$A$5001,BD!$B$3:$B$5001,C$219,BD!$A$3:$A$5001,"&gt;="&amp;$C$7,BD!$A$3:$A$5001,"&lt;="&amp;$B243,BD!$N$3:$N$5001,"&lt;&gt;"))))</f>
        <v/>
      </c>
      <c r="D243" s="43" t="str">
        <f>IF(OR($B243="",$A243&gt;$B$9,D$219=""),"",IF(COUNTIFS(BD!$B$3:$B$5001,D$219,BD!$A$3:$A$5001,"&gt;="&amp;$C$7,BD!$A$3:$A$5001,"&lt;="&amp;$B243,BD!$N$3:$N$5001,"&lt;&gt;")=0,"",SUMIFS(BD!$N$3:$N$5001,BD!$B$3:$B$5001,D$219,BD!$A$3:$A$5001,_xlfn.MAXIFS(BD!$A$3:$A$5001,BD!$B$3:$B$5001,D$219,BD!$A$3:$A$5001,"&gt;="&amp;$C$7,BD!$A$3:$A$5001,"&lt;="&amp;$B243,BD!$N$3:$N$5001,"&lt;&gt;"))))</f>
        <v/>
      </c>
      <c r="E243" s="43" t="str">
        <f>IF(OR($B243="",$A243&gt;$B$9,E$219=""),"",IF(COUNTIFS(BD!$B$3:$B$5001,E$219,BD!$A$3:$A$5001,"&gt;="&amp;$C$7,BD!$A$3:$A$5001,"&lt;="&amp;$B243,BD!$N$3:$N$5001,"&lt;&gt;")=0,"",SUMIFS(BD!$N$3:$N$5001,BD!$B$3:$B$5001,E$219,BD!$A$3:$A$5001,_xlfn.MAXIFS(BD!$A$3:$A$5001,BD!$B$3:$B$5001,E$219,BD!$A$3:$A$5001,"&gt;="&amp;$C$7,BD!$A$3:$A$5001,"&lt;="&amp;$B243,BD!$N$3:$N$5001,"&lt;&gt;"))))</f>
        <v/>
      </c>
      <c r="F243" s="43" t="str">
        <f>IF(OR($B243="",$A243&gt;$B$9,F$219=""),"",IF(COUNTIFS(BD!$B$3:$B$5001,F$219,BD!$A$3:$A$5001,"&gt;="&amp;$C$7,BD!$A$3:$A$5001,"&lt;="&amp;$B243,BD!$N$3:$N$5001,"&lt;&gt;")=0,"",SUMIFS(BD!$N$3:$N$5001,BD!$B$3:$B$5001,F$219,BD!$A$3:$A$5001,_xlfn.MAXIFS(BD!$A$3:$A$5001,BD!$B$3:$B$5001,F$219,BD!$A$3:$A$5001,"&gt;="&amp;$C$7,BD!$A$3:$A$5001,"&lt;="&amp;$B243,BD!$N$3:$N$5001,"&lt;&gt;"))))</f>
        <v/>
      </c>
      <c r="G243" s="43" t="str">
        <f>IF(OR($B243="",$A243&gt;$B$9,G$219=""),"",IF(COUNTIFS(BD!$B$3:$B$5001,G$219,BD!$A$3:$A$5001,"&gt;="&amp;$C$7,BD!$A$3:$A$5001,"&lt;="&amp;$B243,BD!$N$3:$N$5001,"&lt;&gt;")=0,"",SUMIFS(BD!$N$3:$N$5001,BD!$B$3:$B$5001,G$219,BD!$A$3:$A$5001,_xlfn.MAXIFS(BD!$A$3:$A$5001,BD!$B$3:$B$5001,G$219,BD!$A$3:$A$5001,"&gt;="&amp;$C$7,BD!$A$3:$A$5001,"&lt;="&amp;$B243,BD!$N$3:$N$5001,"&lt;&gt;"))))</f>
        <v/>
      </c>
      <c r="H243" s="43" t="str">
        <f>IF(OR($B243="",$A243&gt;$B$9,H$219=""),"",IF(COUNTIFS(BD!$B$3:$B$5001,H$219,BD!$A$3:$A$5001,"&gt;="&amp;$C$7,BD!$A$3:$A$5001,"&lt;="&amp;$B243,BD!$N$3:$N$5001,"&lt;&gt;")=0,"",SUMIFS(BD!$N$3:$N$5001,BD!$B$3:$B$5001,H$219,BD!$A$3:$A$5001,_xlfn.MAXIFS(BD!$A$3:$A$5001,BD!$B$3:$B$5001,H$219,BD!$A$3:$A$5001,"&gt;="&amp;$C$7,BD!$A$3:$A$5001,"&lt;="&amp;$B243,BD!$N$3:$N$5001,"&lt;&gt;"))))</f>
        <v/>
      </c>
      <c r="I243" s="43" t="str">
        <f>IF(OR($B243="",$A243&gt;$B$9,I$219=""),"",IF(COUNTIFS(BD!$B$3:$B$5001,I$219,BD!$A$3:$A$5001,"&gt;="&amp;$C$7,BD!$A$3:$A$5001,"&lt;="&amp;$B243,BD!$N$3:$N$5001,"&lt;&gt;")=0,"",SUMIFS(BD!$N$3:$N$5001,BD!$B$3:$B$5001,I$219,BD!$A$3:$A$5001,_xlfn.MAXIFS(BD!$A$3:$A$5001,BD!$B$3:$B$5001,I$219,BD!$A$3:$A$5001,"&gt;="&amp;$C$7,BD!$A$3:$A$5001,"&lt;="&amp;$B243,BD!$N$3:$N$5001,"&lt;&gt;"))))</f>
        <v/>
      </c>
      <c r="J243" s="43" t="str">
        <f>IF(OR($B243="",$A243&gt;$B$9,J$219=""),"",IF(COUNTIFS(BD!$B$3:$B$5001,J$219,BD!$A$3:$A$5001,"&gt;="&amp;$C$7,BD!$A$3:$A$5001,"&lt;="&amp;$B243,BD!$N$3:$N$5001,"&lt;&gt;")=0,"",SUMIFS(BD!$N$3:$N$5001,BD!$B$3:$B$5001,J$219,BD!$A$3:$A$5001,_xlfn.MAXIFS(BD!$A$3:$A$5001,BD!$B$3:$B$5001,J$219,BD!$A$3:$A$5001,"&gt;="&amp;$C$7,BD!$A$3:$A$5001,"&lt;="&amp;$B243,BD!$N$3:$N$5001,"&lt;&gt;"))))</f>
        <v/>
      </c>
      <c r="K243" s="43" t="str">
        <f>IF(OR($B243="",$A243&gt;$B$9,K$219=""),"",IF(COUNTIFS(BD!$B$3:$B$5001,K$219,BD!$A$3:$A$5001,"&gt;="&amp;$C$7,BD!$A$3:$A$5001,"&lt;="&amp;$B243,BD!$N$3:$N$5001,"&lt;&gt;")=0,"",SUMIFS(BD!$N$3:$N$5001,BD!$B$3:$B$5001,K$219,BD!$A$3:$A$5001,_xlfn.MAXIFS(BD!$A$3:$A$5001,BD!$B$3:$B$5001,K$219,BD!$A$3:$A$5001,"&gt;="&amp;$C$7,BD!$A$3:$A$5001,"&lt;="&amp;$B243,BD!$N$3:$N$5001,"&lt;&gt;"))))</f>
        <v/>
      </c>
      <c r="L243" s="43" t="str">
        <f>IF(OR($B243="",$A243&gt;$B$9,L$219=""),"",IF(COUNTIFS(BD!$B$3:$B$5001,L$219,BD!$A$3:$A$5001,"&gt;="&amp;$C$7,BD!$A$3:$A$5001,"&lt;="&amp;$B243,BD!$N$3:$N$5001,"&lt;&gt;")=0,"",SUMIFS(BD!$N$3:$N$5001,BD!$B$3:$B$5001,L$219,BD!$A$3:$A$5001,_xlfn.MAXIFS(BD!$A$3:$A$5001,BD!$B$3:$B$5001,L$219,BD!$A$3:$A$5001,"&gt;="&amp;$C$7,BD!$A$3:$A$5001,"&lt;="&amp;$B243,BD!$N$3:$N$5001,"&lt;&gt;"))))</f>
        <v/>
      </c>
      <c r="M243" s="43" t="str">
        <f>IF(OR($B243="",$A243&gt;$B$9,M$219=""),"",IF(COUNTIFS(BD!$B$3:$B$5001,M$219,BD!$A$3:$A$5001,"&gt;="&amp;$C$7,BD!$A$3:$A$5001,"&lt;="&amp;$B243,BD!$N$3:$N$5001,"&lt;&gt;")=0,"",SUMIFS(BD!$N$3:$N$5001,BD!$B$3:$B$5001,M$219,BD!$A$3:$A$5001,_xlfn.MAXIFS(BD!$A$3:$A$5001,BD!$B$3:$B$5001,M$219,BD!$A$3:$A$5001,"&gt;="&amp;$C$7,BD!$A$3:$A$5001,"&lt;="&amp;$B243,BD!$N$3:$N$5001,"&lt;&gt;"))))</f>
        <v/>
      </c>
      <c r="N243" s="43" t="str">
        <f>IF(OR($B243="",$A243&gt;$B$9,N$219=""),"",IF(COUNTIFS(BD!$B$3:$B$5001,N$219,BD!$A$3:$A$5001,"&gt;="&amp;$C$7,BD!$A$3:$A$5001,"&lt;="&amp;$B243,BD!$N$3:$N$5001,"&lt;&gt;")=0,"",SUMIFS(BD!$N$3:$N$5001,BD!$B$3:$B$5001,N$219,BD!$A$3:$A$5001,_xlfn.MAXIFS(BD!$A$3:$A$5001,BD!$B$3:$B$5001,N$219,BD!$A$3:$A$5001,"&gt;="&amp;$C$7,BD!$A$3:$A$5001,"&lt;="&amp;$B243,BD!$N$3:$N$5001,"&lt;&gt;"))))</f>
        <v/>
      </c>
      <c r="O243" s="43" t="str">
        <f>IF(OR($B243="",$A243&gt;$B$9,O$219=""),"",IF(COUNTIFS(BD!$B$3:$B$5001,O$219,BD!$A$3:$A$5001,"&gt;="&amp;$C$7,BD!$A$3:$A$5001,"&lt;="&amp;$B243,BD!$N$3:$N$5001,"&lt;&gt;")=0,"",SUMIFS(BD!$N$3:$N$5001,BD!$B$3:$B$5001,O$219,BD!$A$3:$A$5001,_xlfn.MAXIFS(BD!$A$3:$A$5001,BD!$B$3:$B$5001,O$219,BD!$A$3:$A$5001,"&gt;="&amp;$C$7,BD!$A$3:$A$5001,"&lt;="&amp;$B243,BD!$N$3:$N$5001,"&lt;&gt;"))))</f>
        <v/>
      </c>
      <c r="P243" s="43" t="str">
        <f>IF(OR($B243="",$A243&gt;$B$9,P$219=""),"",IF(COUNTIFS(BD!$B$3:$B$5001,P$219,BD!$A$3:$A$5001,"&gt;="&amp;$C$7,BD!$A$3:$A$5001,"&lt;="&amp;$B243,BD!$N$3:$N$5001,"&lt;&gt;")=0,"",SUMIFS(BD!$N$3:$N$5001,BD!$B$3:$B$5001,P$219,BD!$A$3:$A$5001,_xlfn.MAXIFS(BD!$A$3:$A$5001,BD!$B$3:$B$5001,P$219,BD!$A$3:$A$5001,"&gt;="&amp;$C$7,BD!$A$3:$A$5001,"&lt;="&amp;$B243,BD!$N$3:$N$5001,"&lt;&gt;"))))</f>
        <v/>
      </c>
      <c r="Q243" s="43" t="str">
        <f>IF(OR($B243="",$A243&gt;$B$9,Q$219=""),"",IF(COUNTIFS(BD!$B$3:$B$5001,Q$219,BD!$A$3:$A$5001,"&gt;="&amp;$C$7,BD!$A$3:$A$5001,"&lt;="&amp;$B243,BD!$N$3:$N$5001,"&lt;&gt;")=0,"",SUMIFS(BD!$N$3:$N$5001,BD!$B$3:$B$5001,Q$219,BD!$A$3:$A$5001,_xlfn.MAXIFS(BD!$A$3:$A$5001,BD!$B$3:$B$5001,Q$219,BD!$A$3:$A$5001,"&gt;="&amp;$C$7,BD!$A$3:$A$5001,"&lt;="&amp;$B243,BD!$N$3:$N$5001,"&lt;&gt;"))))</f>
        <v/>
      </c>
      <c r="R243" s="43" t="str">
        <f>IF(OR($B243="",$A243&gt;$B$9,R$219=""),"",IF(COUNTIFS(BD!$B$3:$B$5001,R$219,BD!$A$3:$A$5001,"&gt;="&amp;$C$7,BD!$A$3:$A$5001,"&lt;="&amp;$B243,BD!$N$3:$N$5001,"&lt;&gt;")=0,"",SUMIFS(BD!$N$3:$N$5001,BD!$B$3:$B$5001,R$219,BD!$A$3:$A$5001,_xlfn.MAXIFS(BD!$A$3:$A$5001,BD!$B$3:$B$5001,R$219,BD!$A$3:$A$5001,"&gt;="&amp;$C$7,BD!$A$3:$A$5001,"&lt;="&amp;$B243,BD!$N$3:$N$5001,"&lt;&gt;"))))</f>
        <v/>
      </c>
      <c r="S243" s="43" t="str">
        <f>IF(OR($B243="",$A243&gt;$B$9,S$219=""),"",IF(COUNTIFS(BD!$B$3:$B$5001,S$219,BD!$A$3:$A$5001,"&gt;="&amp;$C$7,BD!$A$3:$A$5001,"&lt;="&amp;$B243,BD!$N$3:$N$5001,"&lt;&gt;")=0,"",SUMIFS(BD!$N$3:$N$5001,BD!$B$3:$B$5001,S$219,BD!$A$3:$A$5001,_xlfn.MAXIFS(BD!$A$3:$A$5001,BD!$B$3:$B$5001,S$219,BD!$A$3:$A$5001,"&gt;="&amp;$C$7,BD!$A$3:$A$5001,"&lt;="&amp;$B243,BD!$N$3:$N$5001,"&lt;&gt;"))))</f>
        <v/>
      </c>
      <c r="T243" s="43" t="str">
        <f>IF(OR($B243="",$A243&gt;$B$9,T$219=""),"",IF(COUNTIFS(BD!$B$3:$B$5001,T$219,BD!$A$3:$A$5001,"&gt;="&amp;$C$7,BD!$A$3:$A$5001,"&lt;="&amp;$B243,BD!$N$3:$N$5001,"&lt;&gt;")=0,"",SUMIFS(BD!$N$3:$N$5001,BD!$B$3:$B$5001,T$219,BD!$A$3:$A$5001,_xlfn.MAXIFS(BD!$A$3:$A$5001,BD!$B$3:$B$5001,T$219,BD!$A$3:$A$5001,"&gt;="&amp;$C$7,BD!$A$3:$A$5001,"&lt;="&amp;$B243,BD!$N$3:$N$5001,"&lt;&gt;"))))</f>
        <v/>
      </c>
      <c r="U243" s="43" t="str">
        <f>IF(OR($B243="",$A243&gt;$B$9,U$219=""),"",IF(COUNTIFS(BD!$B$3:$B$5001,U$219,BD!$A$3:$A$5001,"&gt;="&amp;$C$7,BD!$A$3:$A$5001,"&lt;="&amp;$B243,BD!$N$3:$N$5001,"&lt;&gt;")=0,"",SUMIFS(BD!$N$3:$N$5001,BD!$B$3:$B$5001,U$219,BD!$A$3:$A$5001,_xlfn.MAXIFS(BD!$A$3:$A$5001,BD!$B$3:$B$5001,U$219,BD!$A$3:$A$5001,"&gt;="&amp;$C$7,BD!$A$3:$A$5001,"&lt;="&amp;$B243,BD!$N$3:$N$5001,"&lt;&gt;"))))</f>
        <v/>
      </c>
      <c r="V243" s="43" t="str">
        <f>IF(OR($B243="",$A243&gt;$B$9,V$219=""),"",IF(COUNTIFS(BD!$B$3:$B$5001,V$219,BD!$A$3:$A$5001,"&gt;="&amp;$C$7,BD!$A$3:$A$5001,"&lt;="&amp;$B243,BD!$N$3:$N$5001,"&lt;&gt;")=0,"",SUMIFS(BD!$N$3:$N$5001,BD!$B$3:$B$5001,V$219,BD!$A$3:$A$5001,_xlfn.MAXIFS(BD!$A$3:$A$5001,BD!$B$3:$B$5001,V$219,BD!$A$3:$A$5001,"&gt;="&amp;$C$7,BD!$A$3:$A$5001,"&lt;="&amp;$B243,BD!$N$3:$N$5001,"&lt;&gt;"))))</f>
        <v/>
      </c>
    </row>
    <row r="244">
      <c r="A244" s="38">
        <v>25</v>
      </c>
      <c r="B244" s="42">
        <f>$B$36</f>
        <v>46320</v>
      </c>
      <c r="C244" s="43" t="str">
        <f>IF(OR($B244="",$A244&gt;$B$9,C$219=""),"",IF(COUNTIFS(BD!$B$3:$B$5001,C$219,BD!$A$3:$A$5001,"&gt;="&amp;$C$7,BD!$A$3:$A$5001,"&lt;="&amp;$B244,BD!$N$3:$N$5001,"&lt;&gt;")=0,"",SUMIFS(BD!$N$3:$N$5001,BD!$B$3:$B$5001,C$219,BD!$A$3:$A$5001,_xlfn.MAXIFS(BD!$A$3:$A$5001,BD!$B$3:$B$5001,C$219,BD!$A$3:$A$5001,"&gt;="&amp;$C$7,BD!$A$3:$A$5001,"&lt;="&amp;$B244,BD!$N$3:$N$5001,"&lt;&gt;"))))</f>
        <v/>
      </c>
      <c r="D244" s="43" t="str">
        <f>IF(OR($B244="",$A244&gt;$B$9,D$219=""),"",IF(COUNTIFS(BD!$B$3:$B$5001,D$219,BD!$A$3:$A$5001,"&gt;="&amp;$C$7,BD!$A$3:$A$5001,"&lt;="&amp;$B244,BD!$N$3:$N$5001,"&lt;&gt;")=0,"",SUMIFS(BD!$N$3:$N$5001,BD!$B$3:$B$5001,D$219,BD!$A$3:$A$5001,_xlfn.MAXIFS(BD!$A$3:$A$5001,BD!$B$3:$B$5001,D$219,BD!$A$3:$A$5001,"&gt;="&amp;$C$7,BD!$A$3:$A$5001,"&lt;="&amp;$B244,BD!$N$3:$N$5001,"&lt;&gt;"))))</f>
        <v/>
      </c>
      <c r="E244" s="43" t="str">
        <f>IF(OR($B244="",$A244&gt;$B$9,E$219=""),"",IF(COUNTIFS(BD!$B$3:$B$5001,E$219,BD!$A$3:$A$5001,"&gt;="&amp;$C$7,BD!$A$3:$A$5001,"&lt;="&amp;$B244,BD!$N$3:$N$5001,"&lt;&gt;")=0,"",SUMIFS(BD!$N$3:$N$5001,BD!$B$3:$B$5001,E$219,BD!$A$3:$A$5001,_xlfn.MAXIFS(BD!$A$3:$A$5001,BD!$B$3:$B$5001,E$219,BD!$A$3:$A$5001,"&gt;="&amp;$C$7,BD!$A$3:$A$5001,"&lt;="&amp;$B244,BD!$N$3:$N$5001,"&lt;&gt;"))))</f>
        <v/>
      </c>
      <c r="F244" s="43" t="str">
        <f>IF(OR($B244="",$A244&gt;$B$9,F$219=""),"",IF(COUNTIFS(BD!$B$3:$B$5001,F$219,BD!$A$3:$A$5001,"&gt;="&amp;$C$7,BD!$A$3:$A$5001,"&lt;="&amp;$B244,BD!$N$3:$N$5001,"&lt;&gt;")=0,"",SUMIFS(BD!$N$3:$N$5001,BD!$B$3:$B$5001,F$219,BD!$A$3:$A$5001,_xlfn.MAXIFS(BD!$A$3:$A$5001,BD!$B$3:$B$5001,F$219,BD!$A$3:$A$5001,"&gt;="&amp;$C$7,BD!$A$3:$A$5001,"&lt;="&amp;$B244,BD!$N$3:$N$5001,"&lt;&gt;"))))</f>
        <v/>
      </c>
      <c r="G244" s="43" t="str">
        <f>IF(OR($B244="",$A244&gt;$B$9,G$219=""),"",IF(COUNTIFS(BD!$B$3:$B$5001,G$219,BD!$A$3:$A$5001,"&gt;="&amp;$C$7,BD!$A$3:$A$5001,"&lt;="&amp;$B244,BD!$N$3:$N$5001,"&lt;&gt;")=0,"",SUMIFS(BD!$N$3:$N$5001,BD!$B$3:$B$5001,G$219,BD!$A$3:$A$5001,_xlfn.MAXIFS(BD!$A$3:$A$5001,BD!$B$3:$B$5001,G$219,BD!$A$3:$A$5001,"&gt;="&amp;$C$7,BD!$A$3:$A$5001,"&lt;="&amp;$B244,BD!$N$3:$N$5001,"&lt;&gt;"))))</f>
        <v/>
      </c>
      <c r="H244" s="43" t="str">
        <f>IF(OR($B244="",$A244&gt;$B$9,H$219=""),"",IF(COUNTIFS(BD!$B$3:$B$5001,H$219,BD!$A$3:$A$5001,"&gt;="&amp;$C$7,BD!$A$3:$A$5001,"&lt;="&amp;$B244,BD!$N$3:$N$5001,"&lt;&gt;")=0,"",SUMIFS(BD!$N$3:$N$5001,BD!$B$3:$B$5001,H$219,BD!$A$3:$A$5001,_xlfn.MAXIFS(BD!$A$3:$A$5001,BD!$B$3:$B$5001,H$219,BD!$A$3:$A$5001,"&gt;="&amp;$C$7,BD!$A$3:$A$5001,"&lt;="&amp;$B244,BD!$N$3:$N$5001,"&lt;&gt;"))))</f>
        <v/>
      </c>
      <c r="I244" s="43" t="str">
        <f>IF(OR($B244="",$A244&gt;$B$9,I$219=""),"",IF(COUNTIFS(BD!$B$3:$B$5001,I$219,BD!$A$3:$A$5001,"&gt;="&amp;$C$7,BD!$A$3:$A$5001,"&lt;="&amp;$B244,BD!$N$3:$N$5001,"&lt;&gt;")=0,"",SUMIFS(BD!$N$3:$N$5001,BD!$B$3:$B$5001,I$219,BD!$A$3:$A$5001,_xlfn.MAXIFS(BD!$A$3:$A$5001,BD!$B$3:$B$5001,I$219,BD!$A$3:$A$5001,"&gt;="&amp;$C$7,BD!$A$3:$A$5001,"&lt;="&amp;$B244,BD!$N$3:$N$5001,"&lt;&gt;"))))</f>
        <v/>
      </c>
      <c r="J244" s="43" t="str">
        <f>IF(OR($B244="",$A244&gt;$B$9,J$219=""),"",IF(COUNTIFS(BD!$B$3:$B$5001,J$219,BD!$A$3:$A$5001,"&gt;="&amp;$C$7,BD!$A$3:$A$5001,"&lt;="&amp;$B244,BD!$N$3:$N$5001,"&lt;&gt;")=0,"",SUMIFS(BD!$N$3:$N$5001,BD!$B$3:$B$5001,J$219,BD!$A$3:$A$5001,_xlfn.MAXIFS(BD!$A$3:$A$5001,BD!$B$3:$B$5001,J$219,BD!$A$3:$A$5001,"&gt;="&amp;$C$7,BD!$A$3:$A$5001,"&lt;="&amp;$B244,BD!$N$3:$N$5001,"&lt;&gt;"))))</f>
        <v/>
      </c>
      <c r="K244" s="43" t="str">
        <f>IF(OR($B244="",$A244&gt;$B$9,K$219=""),"",IF(COUNTIFS(BD!$B$3:$B$5001,K$219,BD!$A$3:$A$5001,"&gt;="&amp;$C$7,BD!$A$3:$A$5001,"&lt;="&amp;$B244,BD!$N$3:$N$5001,"&lt;&gt;")=0,"",SUMIFS(BD!$N$3:$N$5001,BD!$B$3:$B$5001,K$219,BD!$A$3:$A$5001,_xlfn.MAXIFS(BD!$A$3:$A$5001,BD!$B$3:$B$5001,K$219,BD!$A$3:$A$5001,"&gt;="&amp;$C$7,BD!$A$3:$A$5001,"&lt;="&amp;$B244,BD!$N$3:$N$5001,"&lt;&gt;"))))</f>
        <v/>
      </c>
      <c r="L244" s="43" t="str">
        <f>IF(OR($B244="",$A244&gt;$B$9,L$219=""),"",IF(COUNTIFS(BD!$B$3:$B$5001,L$219,BD!$A$3:$A$5001,"&gt;="&amp;$C$7,BD!$A$3:$A$5001,"&lt;="&amp;$B244,BD!$N$3:$N$5001,"&lt;&gt;")=0,"",SUMIFS(BD!$N$3:$N$5001,BD!$B$3:$B$5001,L$219,BD!$A$3:$A$5001,_xlfn.MAXIFS(BD!$A$3:$A$5001,BD!$B$3:$B$5001,L$219,BD!$A$3:$A$5001,"&gt;="&amp;$C$7,BD!$A$3:$A$5001,"&lt;="&amp;$B244,BD!$N$3:$N$5001,"&lt;&gt;"))))</f>
        <v/>
      </c>
      <c r="M244" s="43" t="str">
        <f>IF(OR($B244="",$A244&gt;$B$9,M$219=""),"",IF(COUNTIFS(BD!$B$3:$B$5001,M$219,BD!$A$3:$A$5001,"&gt;="&amp;$C$7,BD!$A$3:$A$5001,"&lt;="&amp;$B244,BD!$N$3:$N$5001,"&lt;&gt;")=0,"",SUMIFS(BD!$N$3:$N$5001,BD!$B$3:$B$5001,M$219,BD!$A$3:$A$5001,_xlfn.MAXIFS(BD!$A$3:$A$5001,BD!$B$3:$B$5001,M$219,BD!$A$3:$A$5001,"&gt;="&amp;$C$7,BD!$A$3:$A$5001,"&lt;="&amp;$B244,BD!$N$3:$N$5001,"&lt;&gt;"))))</f>
        <v/>
      </c>
      <c r="N244" s="43" t="str">
        <f>IF(OR($B244="",$A244&gt;$B$9,N$219=""),"",IF(COUNTIFS(BD!$B$3:$B$5001,N$219,BD!$A$3:$A$5001,"&gt;="&amp;$C$7,BD!$A$3:$A$5001,"&lt;="&amp;$B244,BD!$N$3:$N$5001,"&lt;&gt;")=0,"",SUMIFS(BD!$N$3:$N$5001,BD!$B$3:$B$5001,N$219,BD!$A$3:$A$5001,_xlfn.MAXIFS(BD!$A$3:$A$5001,BD!$B$3:$B$5001,N$219,BD!$A$3:$A$5001,"&gt;="&amp;$C$7,BD!$A$3:$A$5001,"&lt;="&amp;$B244,BD!$N$3:$N$5001,"&lt;&gt;"))))</f>
        <v/>
      </c>
      <c r="O244" s="43" t="str">
        <f>IF(OR($B244="",$A244&gt;$B$9,O$219=""),"",IF(COUNTIFS(BD!$B$3:$B$5001,O$219,BD!$A$3:$A$5001,"&gt;="&amp;$C$7,BD!$A$3:$A$5001,"&lt;="&amp;$B244,BD!$N$3:$N$5001,"&lt;&gt;")=0,"",SUMIFS(BD!$N$3:$N$5001,BD!$B$3:$B$5001,O$219,BD!$A$3:$A$5001,_xlfn.MAXIFS(BD!$A$3:$A$5001,BD!$B$3:$B$5001,O$219,BD!$A$3:$A$5001,"&gt;="&amp;$C$7,BD!$A$3:$A$5001,"&lt;="&amp;$B244,BD!$N$3:$N$5001,"&lt;&gt;"))))</f>
        <v/>
      </c>
      <c r="P244" s="43" t="str">
        <f>IF(OR($B244="",$A244&gt;$B$9,P$219=""),"",IF(COUNTIFS(BD!$B$3:$B$5001,P$219,BD!$A$3:$A$5001,"&gt;="&amp;$C$7,BD!$A$3:$A$5001,"&lt;="&amp;$B244,BD!$N$3:$N$5001,"&lt;&gt;")=0,"",SUMIFS(BD!$N$3:$N$5001,BD!$B$3:$B$5001,P$219,BD!$A$3:$A$5001,_xlfn.MAXIFS(BD!$A$3:$A$5001,BD!$B$3:$B$5001,P$219,BD!$A$3:$A$5001,"&gt;="&amp;$C$7,BD!$A$3:$A$5001,"&lt;="&amp;$B244,BD!$N$3:$N$5001,"&lt;&gt;"))))</f>
        <v/>
      </c>
      <c r="Q244" s="43" t="str">
        <f>IF(OR($B244="",$A244&gt;$B$9,Q$219=""),"",IF(COUNTIFS(BD!$B$3:$B$5001,Q$219,BD!$A$3:$A$5001,"&gt;="&amp;$C$7,BD!$A$3:$A$5001,"&lt;="&amp;$B244,BD!$N$3:$N$5001,"&lt;&gt;")=0,"",SUMIFS(BD!$N$3:$N$5001,BD!$B$3:$B$5001,Q$219,BD!$A$3:$A$5001,_xlfn.MAXIFS(BD!$A$3:$A$5001,BD!$B$3:$B$5001,Q$219,BD!$A$3:$A$5001,"&gt;="&amp;$C$7,BD!$A$3:$A$5001,"&lt;="&amp;$B244,BD!$N$3:$N$5001,"&lt;&gt;"))))</f>
        <v/>
      </c>
      <c r="R244" s="43" t="str">
        <f>IF(OR($B244="",$A244&gt;$B$9,R$219=""),"",IF(COUNTIFS(BD!$B$3:$B$5001,R$219,BD!$A$3:$A$5001,"&gt;="&amp;$C$7,BD!$A$3:$A$5001,"&lt;="&amp;$B244,BD!$N$3:$N$5001,"&lt;&gt;")=0,"",SUMIFS(BD!$N$3:$N$5001,BD!$B$3:$B$5001,R$219,BD!$A$3:$A$5001,_xlfn.MAXIFS(BD!$A$3:$A$5001,BD!$B$3:$B$5001,R$219,BD!$A$3:$A$5001,"&gt;="&amp;$C$7,BD!$A$3:$A$5001,"&lt;="&amp;$B244,BD!$N$3:$N$5001,"&lt;&gt;"))))</f>
        <v/>
      </c>
      <c r="S244" s="43" t="str">
        <f>IF(OR($B244="",$A244&gt;$B$9,S$219=""),"",IF(COUNTIFS(BD!$B$3:$B$5001,S$219,BD!$A$3:$A$5001,"&gt;="&amp;$C$7,BD!$A$3:$A$5001,"&lt;="&amp;$B244,BD!$N$3:$N$5001,"&lt;&gt;")=0,"",SUMIFS(BD!$N$3:$N$5001,BD!$B$3:$B$5001,S$219,BD!$A$3:$A$5001,_xlfn.MAXIFS(BD!$A$3:$A$5001,BD!$B$3:$B$5001,S$219,BD!$A$3:$A$5001,"&gt;="&amp;$C$7,BD!$A$3:$A$5001,"&lt;="&amp;$B244,BD!$N$3:$N$5001,"&lt;&gt;"))))</f>
        <v/>
      </c>
      <c r="T244" s="43" t="str">
        <f>IF(OR($B244="",$A244&gt;$B$9,T$219=""),"",IF(COUNTIFS(BD!$B$3:$B$5001,T$219,BD!$A$3:$A$5001,"&gt;="&amp;$C$7,BD!$A$3:$A$5001,"&lt;="&amp;$B244,BD!$N$3:$N$5001,"&lt;&gt;")=0,"",SUMIFS(BD!$N$3:$N$5001,BD!$B$3:$B$5001,T$219,BD!$A$3:$A$5001,_xlfn.MAXIFS(BD!$A$3:$A$5001,BD!$B$3:$B$5001,T$219,BD!$A$3:$A$5001,"&gt;="&amp;$C$7,BD!$A$3:$A$5001,"&lt;="&amp;$B244,BD!$N$3:$N$5001,"&lt;&gt;"))))</f>
        <v/>
      </c>
      <c r="U244" s="43" t="str">
        <f>IF(OR($B244="",$A244&gt;$B$9,U$219=""),"",IF(COUNTIFS(BD!$B$3:$B$5001,U$219,BD!$A$3:$A$5001,"&gt;="&amp;$C$7,BD!$A$3:$A$5001,"&lt;="&amp;$B244,BD!$N$3:$N$5001,"&lt;&gt;")=0,"",SUMIFS(BD!$N$3:$N$5001,BD!$B$3:$B$5001,U$219,BD!$A$3:$A$5001,_xlfn.MAXIFS(BD!$A$3:$A$5001,BD!$B$3:$B$5001,U$219,BD!$A$3:$A$5001,"&gt;="&amp;$C$7,BD!$A$3:$A$5001,"&lt;="&amp;$B244,BD!$N$3:$N$5001,"&lt;&gt;"))))</f>
        <v/>
      </c>
      <c r="V244" s="43" t="str">
        <f>IF(OR($B244="",$A244&gt;$B$9,V$219=""),"",IF(COUNTIFS(BD!$B$3:$B$5001,V$219,BD!$A$3:$A$5001,"&gt;="&amp;$C$7,BD!$A$3:$A$5001,"&lt;="&amp;$B244,BD!$N$3:$N$5001,"&lt;&gt;")=0,"",SUMIFS(BD!$N$3:$N$5001,BD!$B$3:$B$5001,V$219,BD!$A$3:$A$5001,_xlfn.MAXIFS(BD!$A$3:$A$5001,BD!$B$3:$B$5001,V$219,BD!$A$3:$A$5001,"&gt;="&amp;$C$7,BD!$A$3:$A$5001,"&lt;="&amp;$B244,BD!$N$3:$N$5001,"&lt;&gt;"))))</f>
        <v/>
      </c>
    </row>
    <row r="245">
      <c r="A245" s="38">
        <v>26</v>
      </c>
      <c r="B245" s="42">
        <f>$B$37</f>
        <v>46321</v>
      </c>
      <c r="C245" s="43" t="str">
        <f>IF(OR($B245="",$A245&gt;$B$9,C$219=""),"",IF(COUNTIFS(BD!$B$3:$B$5001,C$219,BD!$A$3:$A$5001,"&gt;="&amp;$C$7,BD!$A$3:$A$5001,"&lt;="&amp;$B245,BD!$N$3:$N$5001,"&lt;&gt;")=0,"",SUMIFS(BD!$N$3:$N$5001,BD!$B$3:$B$5001,C$219,BD!$A$3:$A$5001,_xlfn.MAXIFS(BD!$A$3:$A$5001,BD!$B$3:$B$5001,C$219,BD!$A$3:$A$5001,"&gt;="&amp;$C$7,BD!$A$3:$A$5001,"&lt;="&amp;$B245,BD!$N$3:$N$5001,"&lt;&gt;"))))</f>
        <v/>
      </c>
      <c r="D245" s="43" t="str">
        <f>IF(OR($B245="",$A245&gt;$B$9,D$219=""),"",IF(COUNTIFS(BD!$B$3:$B$5001,D$219,BD!$A$3:$A$5001,"&gt;="&amp;$C$7,BD!$A$3:$A$5001,"&lt;="&amp;$B245,BD!$N$3:$N$5001,"&lt;&gt;")=0,"",SUMIFS(BD!$N$3:$N$5001,BD!$B$3:$B$5001,D$219,BD!$A$3:$A$5001,_xlfn.MAXIFS(BD!$A$3:$A$5001,BD!$B$3:$B$5001,D$219,BD!$A$3:$A$5001,"&gt;="&amp;$C$7,BD!$A$3:$A$5001,"&lt;="&amp;$B245,BD!$N$3:$N$5001,"&lt;&gt;"))))</f>
        <v/>
      </c>
      <c r="E245" s="43" t="str">
        <f>IF(OR($B245="",$A245&gt;$B$9,E$219=""),"",IF(COUNTIFS(BD!$B$3:$B$5001,E$219,BD!$A$3:$A$5001,"&gt;="&amp;$C$7,BD!$A$3:$A$5001,"&lt;="&amp;$B245,BD!$N$3:$N$5001,"&lt;&gt;")=0,"",SUMIFS(BD!$N$3:$N$5001,BD!$B$3:$B$5001,E$219,BD!$A$3:$A$5001,_xlfn.MAXIFS(BD!$A$3:$A$5001,BD!$B$3:$B$5001,E$219,BD!$A$3:$A$5001,"&gt;="&amp;$C$7,BD!$A$3:$A$5001,"&lt;="&amp;$B245,BD!$N$3:$N$5001,"&lt;&gt;"))))</f>
        <v/>
      </c>
      <c r="F245" s="43" t="str">
        <f>IF(OR($B245="",$A245&gt;$B$9,F$219=""),"",IF(COUNTIFS(BD!$B$3:$B$5001,F$219,BD!$A$3:$A$5001,"&gt;="&amp;$C$7,BD!$A$3:$A$5001,"&lt;="&amp;$B245,BD!$N$3:$N$5001,"&lt;&gt;")=0,"",SUMIFS(BD!$N$3:$N$5001,BD!$B$3:$B$5001,F$219,BD!$A$3:$A$5001,_xlfn.MAXIFS(BD!$A$3:$A$5001,BD!$B$3:$B$5001,F$219,BD!$A$3:$A$5001,"&gt;="&amp;$C$7,BD!$A$3:$A$5001,"&lt;="&amp;$B245,BD!$N$3:$N$5001,"&lt;&gt;"))))</f>
        <v/>
      </c>
      <c r="G245" s="43" t="str">
        <f>IF(OR($B245="",$A245&gt;$B$9,G$219=""),"",IF(COUNTIFS(BD!$B$3:$B$5001,G$219,BD!$A$3:$A$5001,"&gt;="&amp;$C$7,BD!$A$3:$A$5001,"&lt;="&amp;$B245,BD!$N$3:$N$5001,"&lt;&gt;")=0,"",SUMIFS(BD!$N$3:$N$5001,BD!$B$3:$B$5001,G$219,BD!$A$3:$A$5001,_xlfn.MAXIFS(BD!$A$3:$A$5001,BD!$B$3:$B$5001,G$219,BD!$A$3:$A$5001,"&gt;="&amp;$C$7,BD!$A$3:$A$5001,"&lt;="&amp;$B245,BD!$N$3:$N$5001,"&lt;&gt;"))))</f>
        <v/>
      </c>
      <c r="H245" s="43" t="str">
        <f>IF(OR($B245="",$A245&gt;$B$9,H$219=""),"",IF(COUNTIFS(BD!$B$3:$B$5001,H$219,BD!$A$3:$A$5001,"&gt;="&amp;$C$7,BD!$A$3:$A$5001,"&lt;="&amp;$B245,BD!$N$3:$N$5001,"&lt;&gt;")=0,"",SUMIFS(BD!$N$3:$N$5001,BD!$B$3:$B$5001,H$219,BD!$A$3:$A$5001,_xlfn.MAXIFS(BD!$A$3:$A$5001,BD!$B$3:$B$5001,H$219,BD!$A$3:$A$5001,"&gt;="&amp;$C$7,BD!$A$3:$A$5001,"&lt;="&amp;$B245,BD!$N$3:$N$5001,"&lt;&gt;"))))</f>
        <v/>
      </c>
      <c r="I245" s="43" t="str">
        <f>IF(OR($B245="",$A245&gt;$B$9,I$219=""),"",IF(COUNTIFS(BD!$B$3:$B$5001,I$219,BD!$A$3:$A$5001,"&gt;="&amp;$C$7,BD!$A$3:$A$5001,"&lt;="&amp;$B245,BD!$N$3:$N$5001,"&lt;&gt;")=0,"",SUMIFS(BD!$N$3:$N$5001,BD!$B$3:$B$5001,I$219,BD!$A$3:$A$5001,_xlfn.MAXIFS(BD!$A$3:$A$5001,BD!$B$3:$B$5001,I$219,BD!$A$3:$A$5001,"&gt;="&amp;$C$7,BD!$A$3:$A$5001,"&lt;="&amp;$B245,BD!$N$3:$N$5001,"&lt;&gt;"))))</f>
        <v/>
      </c>
      <c r="J245" s="43" t="str">
        <f>IF(OR($B245="",$A245&gt;$B$9,J$219=""),"",IF(COUNTIFS(BD!$B$3:$B$5001,J$219,BD!$A$3:$A$5001,"&gt;="&amp;$C$7,BD!$A$3:$A$5001,"&lt;="&amp;$B245,BD!$N$3:$N$5001,"&lt;&gt;")=0,"",SUMIFS(BD!$N$3:$N$5001,BD!$B$3:$B$5001,J$219,BD!$A$3:$A$5001,_xlfn.MAXIFS(BD!$A$3:$A$5001,BD!$B$3:$B$5001,J$219,BD!$A$3:$A$5001,"&gt;="&amp;$C$7,BD!$A$3:$A$5001,"&lt;="&amp;$B245,BD!$N$3:$N$5001,"&lt;&gt;"))))</f>
        <v/>
      </c>
      <c r="K245" s="43" t="str">
        <f>IF(OR($B245="",$A245&gt;$B$9,K$219=""),"",IF(COUNTIFS(BD!$B$3:$B$5001,K$219,BD!$A$3:$A$5001,"&gt;="&amp;$C$7,BD!$A$3:$A$5001,"&lt;="&amp;$B245,BD!$N$3:$N$5001,"&lt;&gt;")=0,"",SUMIFS(BD!$N$3:$N$5001,BD!$B$3:$B$5001,K$219,BD!$A$3:$A$5001,_xlfn.MAXIFS(BD!$A$3:$A$5001,BD!$B$3:$B$5001,K$219,BD!$A$3:$A$5001,"&gt;="&amp;$C$7,BD!$A$3:$A$5001,"&lt;="&amp;$B245,BD!$N$3:$N$5001,"&lt;&gt;"))))</f>
        <v/>
      </c>
      <c r="L245" s="43" t="str">
        <f>IF(OR($B245="",$A245&gt;$B$9,L$219=""),"",IF(COUNTIFS(BD!$B$3:$B$5001,L$219,BD!$A$3:$A$5001,"&gt;="&amp;$C$7,BD!$A$3:$A$5001,"&lt;="&amp;$B245,BD!$N$3:$N$5001,"&lt;&gt;")=0,"",SUMIFS(BD!$N$3:$N$5001,BD!$B$3:$B$5001,L$219,BD!$A$3:$A$5001,_xlfn.MAXIFS(BD!$A$3:$A$5001,BD!$B$3:$B$5001,L$219,BD!$A$3:$A$5001,"&gt;="&amp;$C$7,BD!$A$3:$A$5001,"&lt;="&amp;$B245,BD!$N$3:$N$5001,"&lt;&gt;"))))</f>
        <v/>
      </c>
      <c r="M245" s="43" t="str">
        <f>IF(OR($B245="",$A245&gt;$B$9,M$219=""),"",IF(COUNTIFS(BD!$B$3:$B$5001,M$219,BD!$A$3:$A$5001,"&gt;="&amp;$C$7,BD!$A$3:$A$5001,"&lt;="&amp;$B245,BD!$N$3:$N$5001,"&lt;&gt;")=0,"",SUMIFS(BD!$N$3:$N$5001,BD!$B$3:$B$5001,M$219,BD!$A$3:$A$5001,_xlfn.MAXIFS(BD!$A$3:$A$5001,BD!$B$3:$B$5001,M$219,BD!$A$3:$A$5001,"&gt;="&amp;$C$7,BD!$A$3:$A$5001,"&lt;="&amp;$B245,BD!$N$3:$N$5001,"&lt;&gt;"))))</f>
        <v/>
      </c>
      <c r="N245" s="43" t="str">
        <f>IF(OR($B245="",$A245&gt;$B$9,N$219=""),"",IF(COUNTIFS(BD!$B$3:$B$5001,N$219,BD!$A$3:$A$5001,"&gt;="&amp;$C$7,BD!$A$3:$A$5001,"&lt;="&amp;$B245,BD!$N$3:$N$5001,"&lt;&gt;")=0,"",SUMIFS(BD!$N$3:$N$5001,BD!$B$3:$B$5001,N$219,BD!$A$3:$A$5001,_xlfn.MAXIFS(BD!$A$3:$A$5001,BD!$B$3:$B$5001,N$219,BD!$A$3:$A$5001,"&gt;="&amp;$C$7,BD!$A$3:$A$5001,"&lt;="&amp;$B245,BD!$N$3:$N$5001,"&lt;&gt;"))))</f>
        <v/>
      </c>
      <c r="O245" s="43" t="str">
        <f>IF(OR($B245="",$A245&gt;$B$9,O$219=""),"",IF(COUNTIFS(BD!$B$3:$B$5001,O$219,BD!$A$3:$A$5001,"&gt;="&amp;$C$7,BD!$A$3:$A$5001,"&lt;="&amp;$B245,BD!$N$3:$N$5001,"&lt;&gt;")=0,"",SUMIFS(BD!$N$3:$N$5001,BD!$B$3:$B$5001,O$219,BD!$A$3:$A$5001,_xlfn.MAXIFS(BD!$A$3:$A$5001,BD!$B$3:$B$5001,O$219,BD!$A$3:$A$5001,"&gt;="&amp;$C$7,BD!$A$3:$A$5001,"&lt;="&amp;$B245,BD!$N$3:$N$5001,"&lt;&gt;"))))</f>
        <v/>
      </c>
      <c r="P245" s="43" t="str">
        <f>IF(OR($B245="",$A245&gt;$B$9,P$219=""),"",IF(COUNTIFS(BD!$B$3:$B$5001,P$219,BD!$A$3:$A$5001,"&gt;="&amp;$C$7,BD!$A$3:$A$5001,"&lt;="&amp;$B245,BD!$N$3:$N$5001,"&lt;&gt;")=0,"",SUMIFS(BD!$N$3:$N$5001,BD!$B$3:$B$5001,P$219,BD!$A$3:$A$5001,_xlfn.MAXIFS(BD!$A$3:$A$5001,BD!$B$3:$B$5001,P$219,BD!$A$3:$A$5001,"&gt;="&amp;$C$7,BD!$A$3:$A$5001,"&lt;="&amp;$B245,BD!$N$3:$N$5001,"&lt;&gt;"))))</f>
        <v/>
      </c>
      <c r="Q245" s="43" t="str">
        <f>IF(OR($B245="",$A245&gt;$B$9,Q$219=""),"",IF(COUNTIFS(BD!$B$3:$B$5001,Q$219,BD!$A$3:$A$5001,"&gt;="&amp;$C$7,BD!$A$3:$A$5001,"&lt;="&amp;$B245,BD!$N$3:$N$5001,"&lt;&gt;")=0,"",SUMIFS(BD!$N$3:$N$5001,BD!$B$3:$B$5001,Q$219,BD!$A$3:$A$5001,_xlfn.MAXIFS(BD!$A$3:$A$5001,BD!$B$3:$B$5001,Q$219,BD!$A$3:$A$5001,"&gt;="&amp;$C$7,BD!$A$3:$A$5001,"&lt;="&amp;$B245,BD!$N$3:$N$5001,"&lt;&gt;"))))</f>
        <v/>
      </c>
      <c r="R245" s="43" t="str">
        <f>IF(OR($B245="",$A245&gt;$B$9,R$219=""),"",IF(COUNTIFS(BD!$B$3:$B$5001,R$219,BD!$A$3:$A$5001,"&gt;="&amp;$C$7,BD!$A$3:$A$5001,"&lt;="&amp;$B245,BD!$N$3:$N$5001,"&lt;&gt;")=0,"",SUMIFS(BD!$N$3:$N$5001,BD!$B$3:$B$5001,R$219,BD!$A$3:$A$5001,_xlfn.MAXIFS(BD!$A$3:$A$5001,BD!$B$3:$B$5001,R$219,BD!$A$3:$A$5001,"&gt;="&amp;$C$7,BD!$A$3:$A$5001,"&lt;="&amp;$B245,BD!$N$3:$N$5001,"&lt;&gt;"))))</f>
        <v/>
      </c>
      <c r="S245" s="43" t="str">
        <f>IF(OR($B245="",$A245&gt;$B$9,S$219=""),"",IF(COUNTIFS(BD!$B$3:$B$5001,S$219,BD!$A$3:$A$5001,"&gt;="&amp;$C$7,BD!$A$3:$A$5001,"&lt;="&amp;$B245,BD!$N$3:$N$5001,"&lt;&gt;")=0,"",SUMIFS(BD!$N$3:$N$5001,BD!$B$3:$B$5001,S$219,BD!$A$3:$A$5001,_xlfn.MAXIFS(BD!$A$3:$A$5001,BD!$B$3:$B$5001,S$219,BD!$A$3:$A$5001,"&gt;="&amp;$C$7,BD!$A$3:$A$5001,"&lt;="&amp;$B245,BD!$N$3:$N$5001,"&lt;&gt;"))))</f>
        <v/>
      </c>
      <c r="T245" s="43" t="str">
        <f>IF(OR($B245="",$A245&gt;$B$9,T$219=""),"",IF(COUNTIFS(BD!$B$3:$B$5001,T$219,BD!$A$3:$A$5001,"&gt;="&amp;$C$7,BD!$A$3:$A$5001,"&lt;="&amp;$B245,BD!$N$3:$N$5001,"&lt;&gt;")=0,"",SUMIFS(BD!$N$3:$N$5001,BD!$B$3:$B$5001,T$219,BD!$A$3:$A$5001,_xlfn.MAXIFS(BD!$A$3:$A$5001,BD!$B$3:$B$5001,T$219,BD!$A$3:$A$5001,"&gt;="&amp;$C$7,BD!$A$3:$A$5001,"&lt;="&amp;$B245,BD!$N$3:$N$5001,"&lt;&gt;"))))</f>
        <v/>
      </c>
      <c r="U245" s="43" t="str">
        <f>IF(OR($B245="",$A245&gt;$B$9,U$219=""),"",IF(COUNTIFS(BD!$B$3:$B$5001,U$219,BD!$A$3:$A$5001,"&gt;="&amp;$C$7,BD!$A$3:$A$5001,"&lt;="&amp;$B245,BD!$N$3:$N$5001,"&lt;&gt;")=0,"",SUMIFS(BD!$N$3:$N$5001,BD!$B$3:$B$5001,U$219,BD!$A$3:$A$5001,_xlfn.MAXIFS(BD!$A$3:$A$5001,BD!$B$3:$B$5001,U$219,BD!$A$3:$A$5001,"&gt;="&amp;$C$7,BD!$A$3:$A$5001,"&lt;="&amp;$B245,BD!$N$3:$N$5001,"&lt;&gt;"))))</f>
        <v/>
      </c>
      <c r="V245" s="43" t="str">
        <f>IF(OR($B245="",$A245&gt;$B$9,V$219=""),"",IF(COUNTIFS(BD!$B$3:$B$5001,V$219,BD!$A$3:$A$5001,"&gt;="&amp;$C$7,BD!$A$3:$A$5001,"&lt;="&amp;$B245,BD!$N$3:$N$5001,"&lt;&gt;")=0,"",SUMIFS(BD!$N$3:$N$5001,BD!$B$3:$B$5001,V$219,BD!$A$3:$A$5001,_xlfn.MAXIFS(BD!$A$3:$A$5001,BD!$B$3:$B$5001,V$219,BD!$A$3:$A$5001,"&gt;="&amp;$C$7,BD!$A$3:$A$5001,"&lt;="&amp;$B245,BD!$N$3:$N$5001,"&lt;&gt;"))))</f>
        <v/>
      </c>
    </row>
    <row r="246">
      <c r="A246" s="38">
        <v>27</v>
      </c>
      <c r="B246" s="42">
        <f>$B$38</f>
        <v>46322</v>
      </c>
      <c r="C246" s="43" t="str">
        <f>IF(OR($B246="",$A246&gt;$B$9,C$219=""),"",IF(COUNTIFS(BD!$B$3:$B$5001,C$219,BD!$A$3:$A$5001,"&gt;="&amp;$C$7,BD!$A$3:$A$5001,"&lt;="&amp;$B246,BD!$N$3:$N$5001,"&lt;&gt;")=0,"",SUMIFS(BD!$N$3:$N$5001,BD!$B$3:$B$5001,C$219,BD!$A$3:$A$5001,_xlfn.MAXIFS(BD!$A$3:$A$5001,BD!$B$3:$B$5001,C$219,BD!$A$3:$A$5001,"&gt;="&amp;$C$7,BD!$A$3:$A$5001,"&lt;="&amp;$B246,BD!$N$3:$N$5001,"&lt;&gt;"))))</f>
        <v/>
      </c>
      <c r="D246" s="43" t="str">
        <f>IF(OR($B246="",$A246&gt;$B$9,D$219=""),"",IF(COUNTIFS(BD!$B$3:$B$5001,D$219,BD!$A$3:$A$5001,"&gt;="&amp;$C$7,BD!$A$3:$A$5001,"&lt;="&amp;$B246,BD!$N$3:$N$5001,"&lt;&gt;")=0,"",SUMIFS(BD!$N$3:$N$5001,BD!$B$3:$B$5001,D$219,BD!$A$3:$A$5001,_xlfn.MAXIFS(BD!$A$3:$A$5001,BD!$B$3:$B$5001,D$219,BD!$A$3:$A$5001,"&gt;="&amp;$C$7,BD!$A$3:$A$5001,"&lt;="&amp;$B246,BD!$N$3:$N$5001,"&lt;&gt;"))))</f>
        <v/>
      </c>
      <c r="E246" s="43" t="str">
        <f>IF(OR($B246="",$A246&gt;$B$9,E$219=""),"",IF(COUNTIFS(BD!$B$3:$B$5001,E$219,BD!$A$3:$A$5001,"&gt;="&amp;$C$7,BD!$A$3:$A$5001,"&lt;="&amp;$B246,BD!$N$3:$N$5001,"&lt;&gt;")=0,"",SUMIFS(BD!$N$3:$N$5001,BD!$B$3:$B$5001,E$219,BD!$A$3:$A$5001,_xlfn.MAXIFS(BD!$A$3:$A$5001,BD!$B$3:$B$5001,E$219,BD!$A$3:$A$5001,"&gt;="&amp;$C$7,BD!$A$3:$A$5001,"&lt;="&amp;$B246,BD!$N$3:$N$5001,"&lt;&gt;"))))</f>
        <v/>
      </c>
      <c r="F246" s="43" t="str">
        <f>IF(OR($B246="",$A246&gt;$B$9,F$219=""),"",IF(COUNTIFS(BD!$B$3:$B$5001,F$219,BD!$A$3:$A$5001,"&gt;="&amp;$C$7,BD!$A$3:$A$5001,"&lt;="&amp;$B246,BD!$N$3:$N$5001,"&lt;&gt;")=0,"",SUMIFS(BD!$N$3:$N$5001,BD!$B$3:$B$5001,F$219,BD!$A$3:$A$5001,_xlfn.MAXIFS(BD!$A$3:$A$5001,BD!$B$3:$B$5001,F$219,BD!$A$3:$A$5001,"&gt;="&amp;$C$7,BD!$A$3:$A$5001,"&lt;="&amp;$B246,BD!$N$3:$N$5001,"&lt;&gt;"))))</f>
        <v/>
      </c>
      <c r="G246" s="43" t="str">
        <f>IF(OR($B246="",$A246&gt;$B$9,G$219=""),"",IF(COUNTIFS(BD!$B$3:$B$5001,G$219,BD!$A$3:$A$5001,"&gt;="&amp;$C$7,BD!$A$3:$A$5001,"&lt;="&amp;$B246,BD!$N$3:$N$5001,"&lt;&gt;")=0,"",SUMIFS(BD!$N$3:$N$5001,BD!$B$3:$B$5001,G$219,BD!$A$3:$A$5001,_xlfn.MAXIFS(BD!$A$3:$A$5001,BD!$B$3:$B$5001,G$219,BD!$A$3:$A$5001,"&gt;="&amp;$C$7,BD!$A$3:$A$5001,"&lt;="&amp;$B246,BD!$N$3:$N$5001,"&lt;&gt;"))))</f>
        <v/>
      </c>
      <c r="H246" s="43" t="str">
        <f>IF(OR($B246="",$A246&gt;$B$9,H$219=""),"",IF(COUNTIFS(BD!$B$3:$B$5001,H$219,BD!$A$3:$A$5001,"&gt;="&amp;$C$7,BD!$A$3:$A$5001,"&lt;="&amp;$B246,BD!$N$3:$N$5001,"&lt;&gt;")=0,"",SUMIFS(BD!$N$3:$N$5001,BD!$B$3:$B$5001,H$219,BD!$A$3:$A$5001,_xlfn.MAXIFS(BD!$A$3:$A$5001,BD!$B$3:$B$5001,H$219,BD!$A$3:$A$5001,"&gt;="&amp;$C$7,BD!$A$3:$A$5001,"&lt;="&amp;$B246,BD!$N$3:$N$5001,"&lt;&gt;"))))</f>
        <v/>
      </c>
      <c r="I246" s="43" t="str">
        <f>IF(OR($B246="",$A246&gt;$B$9,I$219=""),"",IF(COUNTIFS(BD!$B$3:$B$5001,I$219,BD!$A$3:$A$5001,"&gt;="&amp;$C$7,BD!$A$3:$A$5001,"&lt;="&amp;$B246,BD!$N$3:$N$5001,"&lt;&gt;")=0,"",SUMIFS(BD!$N$3:$N$5001,BD!$B$3:$B$5001,I$219,BD!$A$3:$A$5001,_xlfn.MAXIFS(BD!$A$3:$A$5001,BD!$B$3:$B$5001,I$219,BD!$A$3:$A$5001,"&gt;="&amp;$C$7,BD!$A$3:$A$5001,"&lt;="&amp;$B246,BD!$N$3:$N$5001,"&lt;&gt;"))))</f>
        <v/>
      </c>
      <c r="J246" s="43" t="str">
        <f>IF(OR($B246="",$A246&gt;$B$9,J$219=""),"",IF(COUNTIFS(BD!$B$3:$B$5001,J$219,BD!$A$3:$A$5001,"&gt;="&amp;$C$7,BD!$A$3:$A$5001,"&lt;="&amp;$B246,BD!$N$3:$N$5001,"&lt;&gt;")=0,"",SUMIFS(BD!$N$3:$N$5001,BD!$B$3:$B$5001,J$219,BD!$A$3:$A$5001,_xlfn.MAXIFS(BD!$A$3:$A$5001,BD!$B$3:$B$5001,J$219,BD!$A$3:$A$5001,"&gt;="&amp;$C$7,BD!$A$3:$A$5001,"&lt;="&amp;$B246,BD!$N$3:$N$5001,"&lt;&gt;"))))</f>
        <v/>
      </c>
      <c r="K246" s="43" t="str">
        <f>IF(OR($B246="",$A246&gt;$B$9,K$219=""),"",IF(COUNTIFS(BD!$B$3:$B$5001,K$219,BD!$A$3:$A$5001,"&gt;="&amp;$C$7,BD!$A$3:$A$5001,"&lt;="&amp;$B246,BD!$N$3:$N$5001,"&lt;&gt;")=0,"",SUMIFS(BD!$N$3:$N$5001,BD!$B$3:$B$5001,K$219,BD!$A$3:$A$5001,_xlfn.MAXIFS(BD!$A$3:$A$5001,BD!$B$3:$B$5001,K$219,BD!$A$3:$A$5001,"&gt;="&amp;$C$7,BD!$A$3:$A$5001,"&lt;="&amp;$B246,BD!$N$3:$N$5001,"&lt;&gt;"))))</f>
        <v/>
      </c>
      <c r="L246" s="43" t="str">
        <f>IF(OR($B246="",$A246&gt;$B$9,L$219=""),"",IF(COUNTIFS(BD!$B$3:$B$5001,L$219,BD!$A$3:$A$5001,"&gt;="&amp;$C$7,BD!$A$3:$A$5001,"&lt;="&amp;$B246,BD!$N$3:$N$5001,"&lt;&gt;")=0,"",SUMIFS(BD!$N$3:$N$5001,BD!$B$3:$B$5001,L$219,BD!$A$3:$A$5001,_xlfn.MAXIFS(BD!$A$3:$A$5001,BD!$B$3:$B$5001,L$219,BD!$A$3:$A$5001,"&gt;="&amp;$C$7,BD!$A$3:$A$5001,"&lt;="&amp;$B246,BD!$N$3:$N$5001,"&lt;&gt;"))))</f>
        <v/>
      </c>
      <c r="M246" s="43" t="str">
        <f>IF(OR($B246="",$A246&gt;$B$9,M$219=""),"",IF(COUNTIFS(BD!$B$3:$B$5001,M$219,BD!$A$3:$A$5001,"&gt;="&amp;$C$7,BD!$A$3:$A$5001,"&lt;="&amp;$B246,BD!$N$3:$N$5001,"&lt;&gt;")=0,"",SUMIFS(BD!$N$3:$N$5001,BD!$B$3:$B$5001,M$219,BD!$A$3:$A$5001,_xlfn.MAXIFS(BD!$A$3:$A$5001,BD!$B$3:$B$5001,M$219,BD!$A$3:$A$5001,"&gt;="&amp;$C$7,BD!$A$3:$A$5001,"&lt;="&amp;$B246,BD!$N$3:$N$5001,"&lt;&gt;"))))</f>
        <v/>
      </c>
      <c r="N246" s="43" t="str">
        <f>IF(OR($B246="",$A246&gt;$B$9,N$219=""),"",IF(COUNTIFS(BD!$B$3:$B$5001,N$219,BD!$A$3:$A$5001,"&gt;="&amp;$C$7,BD!$A$3:$A$5001,"&lt;="&amp;$B246,BD!$N$3:$N$5001,"&lt;&gt;")=0,"",SUMIFS(BD!$N$3:$N$5001,BD!$B$3:$B$5001,N$219,BD!$A$3:$A$5001,_xlfn.MAXIFS(BD!$A$3:$A$5001,BD!$B$3:$B$5001,N$219,BD!$A$3:$A$5001,"&gt;="&amp;$C$7,BD!$A$3:$A$5001,"&lt;="&amp;$B246,BD!$N$3:$N$5001,"&lt;&gt;"))))</f>
        <v/>
      </c>
      <c r="O246" s="43" t="str">
        <f>IF(OR($B246="",$A246&gt;$B$9,O$219=""),"",IF(COUNTIFS(BD!$B$3:$B$5001,O$219,BD!$A$3:$A$5001,"&gt;="&amp;$C$7,BD!$A$3:$A$5001,"&lt;="&amp;$B246,BD!$N$3:$N$5001,"&lt;&gt;")=0,"",SUMIFS(BD!$N$3:$N$5001,BD!$B$3:$B$5001,O$219,BD!$A$3:$A$5001,_xlfn.MAXIFS(BD!$A$3:$A$5001,BD!$B$3:$B$5001,O$219,BD!$A$3:$A$5001,"&gt;="&amp;$C$7,BD!$A$3:$A$5001,"&lt;="&amp;$B246,BD!$N$3:$N$5001,"&lt;&gt;"))))</f>
        <v/>
      </c>
      <c r="P246" s="43" t="str">
        <f>IF(OR($B246="",$A246&gt;$B$9,P$219=""),"",IF(COUNTIFS(BD!$B$3:$B$5001,P$219,BD!$A$3:$A$5001,"&gt;="&amp;$C$7,BD!$A$3:$A$5001,"&lt;="&amp;$B246,BD!$N$3:$N$5001,"&lt;&gt;")=0,"",SUMIFS(BD!$N$3:$N$5001,BD!$B$3:$B$5001,P$219,BD!$A$3:$A$5001,_xlfn.MAXIFS(BD!$A$3:$A$5001,BD!$B$3:$B$5001,P$219,BD!$A$3:$A$5001,"&gt;="&amp;$C$7,BD!$A$3:$A$5001,"&lt;="&amp;$B246,BD!$N$3:$N$5001,"&lt;&gt;"))))</f>
        <v/>
      </c>
      <c r="Q246" s="43" t="str">
        <f>IF(OR($B246="",$A246&gt;$B$9,Q$219=""),"",IF(COUNTIFS(BD!$B$3:$B$5001,Q$219,BD!$A$3:$A$5001,"&gt;="&amp;$C$7,BD!$A$3:$A$5001,"&lt;="&amp;$B246,BD!$N$3:$N$5001,"&lt;&gt;")=0,"",SUMIFS(BD!$N$3:$N$5001,BD!$B$3:$B$5001,Q$219,BD!$A$3:$A$5001,_xlfn.MAXIFS(BD!$A$3:$A$5001,BD!$B$3:$B$5001,Q$219,BD!$A$3:$A$5001,"&gt;="&amp;$C$7,BD!$A$3:$A$5001,"&lt;="&amp;$B246,BD!$N$3:$N$5001,"&lt;&gt;"))))</f>
        <v/>
      </c>
      <c r="R246" s="43" t="str">
        <f>IF(OR($B246="",$A246&gt;$B$9,R$219=""),"",IF(COUNTIFS(BD!$B$3:$B$5001,R$219,BD!$A$3:$A$5001,"&gt;="&amp;$C$7,BD!$A$3:$A$5001,"&lt;="&amp;$B246,BD!$N$3:$N$5001,"&lt;&gt;")=0,"",SUMIFS(BD!$N$3:$N$5001,BD!$B$3:$B$5001,R$219,BD!$A$3:$A$5001,_xlfn.MAXIFS(BD!$A$3:$A$5001,BD!$B$3:$B$5001,R$219,BD!$A$3:$A$5001,"&gt;="&amp;$C$7,BD!$A$3:$A$5001,"&lt;="&amp;$B246,BD!$N$3:$N$5001,"&lt;&gt;"))))</f>
        <v/>
      </c>
      <c r="S246" s="43" t="str">
        <f>IF(OR($B246="",$A246&gt;$B$9,S$219=""),"",IF(COUNTIFS(BD!$B$3:$B$5001,S$219,BD!$A$3:$A$5001,"&gt;="&amp;$C$7,BD!$A$3:$A$5001,"&lt;="&amp;$B246,BD!$N$3:$N$5001,"&lt;&gt;")=0,"",SUMIFS(BD!$N$3:$N$5001,BD!$B$3:$B$5001,S$219,BD!$A$3:$A$5001,_xlfn.MAXIFS(BD!$A$3:$A$5001,BD!$B$3:$B$5001,S$219,BD!$A$3:$A$5001,"&gt;="&amp;$C$7,BD!$A$3:$A$5001,"&lt;="&amp;$B246,BD!$N$3:$N$5001,"&lt;&gt;"))))</f>
        <v/>
      </c>
      <c r="T246" s="43" t="str">
        <f>IF(OR($B246="",$A246&gt;$B$9,T$219=""),"",IF(COUNTIFS(BD!$B$3:$B$5001,T$219,BD!$A$3:$A$5001,"&gt;="&amp;$C$7,BD!$A$3:$A$5001,"&lt;="&amp;$B246,BD!$N$3:$N$5001,"&lt;&gt;")=0,"",SUMIFS(BD!$N$3:$N$5001,BD!$B$3:$B$5001,T$219,BD!$A$3:$A$5001,_xlfn.MAXIFS(BD!$A$3:$A$5001,BD!$B$3:$B$5001,T$219,BD!$A$3:$A$5001,"&gt;="&amp;$C$7,BD!$A$3:$A$5001,"&lt;="&amp;$B246,BD!$N$3:$N$5001,"&lt;&gt;"))))</f>
        <v/>
      </c>
      <c r="U246" s="43" t="str">
        <f>IF(OR($B246="",$A246&gt;$B$9,U$219=""),"",IF(COUNTIFS(BD!$B$3:$B$5001,U$219,BD!$A$3:$A$5001,"&gt;="&amp;$C$7,BD!$A$3:$A$5001,"&lt;="&amp;$B246,BD!$N$3:$N$5001,"&lt;&gt;")=0,"",SUMIFS(BD!$N$3:$N$5001,BD!$B$3:$B$5001,U$219,BD!$A$3:$A$5001,_xlfn.MAXIFS(BD!$A$3:$A$5001,BD!$B$3:$B$5001,U$219,BD!$A$3:$A$5001,"&gt;="&amp;$C$7,BD!$A$3:$A$5001,"&lt;="&amp;$B246,BD!$N$3:$N$5001,"&lt;&gt;"))))</f>
        <v/>
      </c>
      <c r="V246" s="43" t="str">
        <f>IF(OR($B246="",$A246&gt;$B$9,V$219=""),"",IF(COUNTIFS(BD!$B$3:$B$5001,V$219,BD!$A$3:$A$5001,"&gt;="&amp;$C$7,BD!$A$3:$A$5001,"&lt;="&amp;$B246,BD!$N$3:$N$5001,"&lt;&gt;")=0,"",SUMIFS(BD!$N$3:$N$5001,BD!$B$3:$B$5001,V$219,BD!$A$3:$A$5001,_xlfn.MAXIFS(BD!$A$3:$A$5001,BD!$B$3:$B$5001,V$219,BD!$A$3:$A$5001,"&gt;="&amp;$C$7,BD!$A$3:$A$5001,"&lt;="&amp;$B246,BD!$N$3:$N$5001,"&lt;&gt;"))))</f>
        <v/>
      </c>
    </row>
    <row r="247">
      <c r="A247" s="38">
        <v>28</v>
      </c>
      <c r="B247" s="42">
        <f>$B$39</f>
        <v>46323</v>
      </c>
      <c r="C247" s="43" t="str">
        <f>IF(OR($B247="",$A247&gt;$B$9,C$219=""),"",IF(COUNTIFS(BD!$B$3:$B$5001,C$219,BD!$A$3:$A$5001,"&gt;="&amp;$C$7,BD!$A$3:$A$5001,"&lt;="&amp;$B247,BD!$N$3:$N$5001,"&lt;&gt;")=0,"",SUMIFS(BD!$N$3:$N$5001,BD!$B$3:$B$5001,C$219,BD!$A$3:$A$5001,_xlfn.MAXIFS(BD!$A$3:$A$5001,BD!$B$3:$B$5001,C$219,BD!$A$3:$A$5001,"&gt;="&amp;$C$7,BD!$A$3:$A$5001,"&lt;="&amp;$B247,BD!$N$3:$N$5001,"&lt;&gt;"))))</f>
        <v/>
      </c>
      <c r="D247" s="43" t="str">
        <f>IF(OR($B247="",$A247&gt;$B$9,D$219=""),"",IF(COUNTIFS(BD!$B$3:$B$5001,D$219,BD!$A$3:$A$5001,"&gt;="&amp;$C$7,BD!$A$3:$A$5001,"&lt;="&amp;$B247,BD!$N$3:$N$5001,"&lt;&gt;")=0,"",SUMIFS(BD!$N$3:$N$5001,BD!$B$3:$B$5001,D$219,BD!$A$3:$A$5001,_xlfn.MAXIFS(BD!$A$3:$A$5001,BD!$B$3:$B$5001,D$219,BD!$A$3:$A$5001,"&gt;="&amp;$C$7,BD!$A$3:$A$5001,"&lt;="&amp;$B247,BD!$N$3:$N$5001,"&lt;&gt;"))))</f>
        <v/>
      </c>
      <c r="E247" s="43" t="str">
        <f>IF(OR($B247="",$A247&gt;$B$9,E$219=""),"",IF(COUNTIFS(BD!$B$3:$B$5001,E$219,BD!$A$3:$A$5001,"&gt;="&amp;$C$7,BD!$A$3:$A$5001,"&lt;="&amp;$B247,BD!$N$3:$N$5001,"&lt;&gt;")=0,"",SUMIFS(BD!$N$3:$N$5001,BD!$B$3:$B$5001,E$219,BD!$A$3:$A$5001,_xlfn.MAXIFS(BD!$A$3:$A$5001,BD!$B$3:$B$5001,E$219,BD!$A$3:$A$5001,"&gt;="&amp;$C$7,BD!$A$3:$A$5001,"&lt;="&amp;$B247,BD!$N$3:$N$5001,"&lt;&gt;"))))</f>
        <v/>
      </c>
      <c r="F247" s="43" t="str">
        <f>IF(OR($B247="",$A247&gt;$B$9,F$219=""),"",IF(COUNTIFS(BD!$B$3:$B$5001,F$219,BD!$A$3:$A$5001,"&gt;="&amp;$C$7,BD!$A$3:$A$5001,"&lt;="&amp;$B247,BD!$N$3:$N$5001,"&lt;&gt;")=0,"",SUMIFS(BD!$N$3:$N$5001,BD!$B$3:$B$5001,F$219,BD!$A$3:$A$5001,_xlfn.MAXIFS(BD!$A$3:$A$5001,BD!$B$3:$B$5001,F$219,BD!$A$3:$A$5001,"&gt;="&amp;$C$7,BD!$A$3:$A$5001,"&lt;="&amp;$B247,BD!$N$3:$N$5001,"&lt;&gt;"))))</f>
        <v/>
      </c>
      <c r="G247" s="43" t="str">
        <f>IF(OR($B247="",$A247&gt;$B$9,G$219=""),"",IF(COUNTIFS(BD!$B$3:$B$5001,G$219,BD!$A$3:$A$5001,"&gt;="&amp;$C$7,BD!$A$3:$A$5001,"&lt;="&amp;$B247,BD!$N$3:$N$5001,"&lt;&gt;")=0,"",SUMIFS(BD!$N$3:$N$5001,BD!$B$3:$B$5001,G$219,BD!$A$3:$A$5001,_xlfn.MAXIFS(BD!$A$3:$A$5001,BD!$B$3:$B$5001,G$219,BD!$A$3:$A$5001,"&gt;="&amp;$C$7,BD!$A$3:$A$5001,"&lt;="&amp;$B247,BD!$N$3:$N$5001,"&lt;&gt;"))))</f>
        <v/>
      </c>
      <c r="H247" s="43" t="str">
        <f>IF(OR($B247="",$A247&gt;$B$9,H$219=""),"",IF(COUNTIFS(BD!$B$3:$B$5001,H$219,BD!$A$3:$A$5001,"&gt;="&amp;$C$7,BD!$A$3:$A$5001,"&lt;="&amp;$B247,BD!$N$3:$N$5001,"&lt;&gt;")=0,"",SUMIFS(BD!$N$3:$N$5001,BD!$B$3:$B$5001,H$219,BD!$A$3:$A$5001,_xlfn.MAXIFS(BD!$A$3:$A$5001,BD!$B$3:$B$5001,H$219,BD!$A$3:$A$5001,"&gt;="&amp;$C$7,BD!$A$3:$A$5001,"&lt;="&amp;$B247,BD!$N$3:$N$5001,"&lt;&gt;"))))</f>
        <v/>
      </c>
      <c r="I247" s="43" t="str">
        <f>IF(OR($B247="",$A247&gt;$B$9,I$219=""),"",IF(COUNTIFS(BD!$B$3:$B$5001,I$219,BD!$A$3:$A$5001,"&gt;="&amp;$C$7,BD!$A$3:$A$5001,"&lt;="&amp;$B247,BD!$N$3:$N$5001,"&lt;&gt;")=0,"",SUMIFS(BD!$N$3:$N$5001,BD!$B$3:$B$5001,I$219,BD!$A$3:$A$5001,_xlfn.MAXIFS(BD!$A$3:$A$5001,BD!$B$3:$B$5001,I$219,BD!$A$3:$A$5001,"&gt;="&amp;$C$7,BD!$A$3:$A$5001,"&lt;="&amp;$B247,BD!$N$3:$N$5001,"&lt;&gt;"))))</f>
        <v/>
      </c>
      <c r="J247" s="43" t="str">
        <f>IF(OR($B247="",$A247&gt;$B$9,J$219=""),"",IF(COUNTIFS(BD!$B$3:$B$5001,J$219,BD!$A$3:$A$5001,"&gt;="&amp;$C$7,BD!$A$3:$A$5001,"&lt;="&amp;$B247,BD!$N$3:$N$5001,"&lt;&gt;")=0,"",SUMIFS(BD!$N$3:$N$5001,BD!$B$3:$B$5001,J$219,BD!$A$3:$A$5001,_xlfn.MAXIFS(BD!$A$3:$A$5001,BD!$B$3:$B$5001,J$219,BD!$A$3:$A$5001,"&gt;="&amp;$C$7,BD!$A$3:$A$5001,"&lt;="&amp;$B247,BD!$N$3:$N$5001,"&lt;&gt;"))))</f>
        <v/>
      </c>
      <c r="K247" s="43" t="str">
        <f>IF(OR($B247="",$A247&gt;$B$9,K$219=""),"",IF(COUNTIFS(BD!$B$3:$B$5001,K$219,BD!$A$3:$A$5001,"&gt;="&amp;$C$7,BD!$A$3:$A$5001,"&lt;="&amp;$B247,BD!$N$3:$N$5001,"&lt;&gt;")=0,"",SUMIFS(BD!$N$3:$N$5001,BD!$B$3:$B$5001,K$219,BD!$A$3:$A$5001,_xlfn.MAXIFS(BD!$A$3:$A$5001,BD!$B$3:$B$5001,K$219,BD!$A$3:$A$5001,"&gt;="&amp;$C$7,BD!$A$3:$A$5001,"&lt;="&amp;$B247,BD!$N$3:$N$5001,"&lt;&gt;"))))</f>
        <v/>
      </c>
      <c r="L247" s="43" t="str">
        <f>IF(OR($B247="",$A247&gt;$B$9,L$219=""),"",IF(COUNTIFS(BD!$B$3:$B$5001,L$219,BD!$A$3:$A$5001,"&gt;="&amp;$C$7,BD!$A$3:$A$5001,"&lt;="&amp;$B247,BD!$N$3:$N$5001,"&lt;&gt;")=0,"",SUMIFS(BD!$N$3:$N$5001,BD!$B$3:$B$5001,L$219,BD!$A$3:$A$5001,_xlfn.MAXIFS(BD!$A$3:$A$5001,BD!$B$3:$B$5001,L$219,BD!$A$3:$A$5001,"&gt;="&amp;$C$7,BD!$A$3:$A$5001,"&lt;="&amp;$B247,BD!$N$3:$N$5001,"&lt;&gt;"))))</f>
        <v/>
      </c>
      <c r="M247" s="43" t="str">
        <f>IF(OR($B247="",$A247&gt;$B$9,M$219=""),"",IF(COUNTIFS(BD!$B$3:$B$5001,M$219,BD!$A$3:$A$5001,"&gt;="&amp;$C$7,BD!$A$3:$A$5001,"&lt;="&amp;$B247,BD!$N$3:$N$5001,"&lt;&gt;")=0,"",SUMIFS(BD!$N$3:$N$5001,BD!$B$3:$B$5001,M$219,BD!$A$3:$A$5001,_xlfn.MAXIFS(BD!$A$3:$A$5001,BD!$B$3:$B$5001,M$219,BD!$A$3:$A$5001,"&gt;="&amp;$C$7,BD!$A$3:$A$5001,"&lt;="&amp;$B247,BD!$N$3:$N$5001,"&lt;&gt;"))))</f>
        <v/>
      </c>
      <c r="N247" s="43" t="str">
        <f>IF(OR($B247="",$A247&gt;$B$9,N$219=""),"",IF(COUNTIFS(BD!$B$3:$B$5001,N$219,BD!$A$3:$A$5001,"&gt;="&amp;$C$7,BD!$A$3:$A$5001,"&lt;="&amp;$B247,BD!$N$3:$N$5001,"&lt;&gt;")=0,"",SUMIFS(BD!$N$3:$N$5001,BD!$B$3:$B$5001,N$219,BD!$A$3:$A$5001,_xlfn.MAXIFS(BD!$A$3:$A$5001,BD!$B$3:$B$5001,N$219,BD!$A$3:$A$5001,"&gt;="&amp;$C$7,BD!$A$3:$A$5001,"&lt;="&amp;$B247,BD!$N$3:$N$5001,"&lt;&gt;"))))</f>
        <v/>
      </c>
      <c r="O247" s="43" t="str">
        <f>IF(OR($B247="",$A247&gt;$B$9,O$219=""),"",IF(COUNTIFS(BD!$B$3:$B$5001,O$219,BD!$A$3:$A$5001,"&gt;="&amp;$C$7,BD!$A$3:$A$5001,"&lt;="&amp;$B247,BD!$N$3:$N$5001,"&lt;&gt;")=0,"",SUMIFS(BD!$N$3:$N$5001,BD!$B$3:$B$5001,O$219,BD!$A$3:$A$5001,_xlfn.MAXIFS(BD!$A$3:$A$5001,BD!$B$3:$B$5001,O$219,BD!$A$3:$A$5001,"&gt;="&amp;$C$7,BD!$A$3:$A$5001,"&lt;="&amp;$B247,BD!$N$3:$N$5001,"&lt;&gt;"))))</f>
        <v/>
      </c>
      <c r="P247" s="43" t="str">
        <f>IF(OR($B247="",$A247&gt;$B$9,P$219=""),"",IF(COUNTIFS(BD!$B$3:$B$5001,P$219,BD!$A$3:$A$5001,"&gt;="&amp;$C$7,BD!$A$3:$A$5001,"&lt;="&amp;$B247,BD!$N$3:$N$5001,"&lt;&gt;")=0,"",SUMIFS(BD!$N$3:$N$5001,BD!$B$3:$B$5001,P$219,BD!$A$3:$A$5001,_xlfn.MAXIFS(BD!$A$3:$A$5001,BD!$B$3:$B$5001,P$219,BD!$A$3:$A$5001,"&gt;="&amp;$C$7,BD!$A$3:$A$5001,"&lt;="&amp;$B247,BD!$N$3:$N$5001,"&lt;&gt;"))))</f>
        <v/>
      </c>
      <c r="Q247" s="43" t="str">
        <f>IF(OR($B247="",$A247&gt;$B$9,Q$219=""),"",IF(COUNTIFS(BD!$B$3:$B$5001,Q$219,BD!$A$3:$A$5001,"&gt;="&amp;$C$7,BD!$A$3:$A$5001,"&lt;="&amp;$B247,BD!$N$3:$N$5001,"&lt;&gt;")=0,"",SUMIFS(BD!$N$3:$N$5001,BD!$B$3:$B$5001,Q$219,BD!$A$3:$A$5001,_xlfn.MAXIFS(BD!$A$3:$A$5001,BD!$B$3:$B$5001,Q$219,BD!$A$3:$A$5001,"&gt;="&amp;$C$7,BD!$A$3:$A$5001,"&lt;="&amp;$B247,BD!$N$3:$N$5001,"&lt;&gt;"))))</f>
        <v/>
      </c>
      <c r="R247" s="43" t="str">
        <f>IF(OR($B247="",$A247&gt;$B$9,R$219=""),"",IF(COUNTIFS(BD!$B$3:$B$5001,R$219,BD!$A$3:$A$5001,"&gt;="&amp;$C$7,BD!$A$3:$A$5001,"&lt;="&amp;$B247,BD!$N$3:$N$5001,"&lt;&gt;")=0,"",SUMIFS(BD!$N$3:$N$5001,BD!$B$3:$B$5001,R$219,BD!$A$3:$A$5001,_xlfn.MAXIFS(BD!$A$3:$A$5001,BD!$B$3:$B$5001,R$219,BD!$A$3:$A$5001,"&gt;="&amp;$C$7,BD!$A$3:$A$5001,"&lt;="&amp;$B247,BD!$N$3:$N$5001,"&lt;&gt;"))))</f>
        <v/>
      </c>
      <c r="S247" s="43" t="str">
        <f>IF(OR($B247="",$A247&gt;$B$9,S$219=""),"",IF(COUNTIFS(BD!$B$3:$B$5001,S$219,BD!$A$3:$A$5001,"&gt;="&amp;$C$7,BD!$A$3:$A$5001,"&lt;="&amp;$B247,BD!$N$3:$N$5001,"&lt;&gt;")=0,"",SUMIFS(BD!$N$3:$N$5001,BD!$B$3:$B$5001,S$219,BD!$A$3:$A$5001,_xlfn.MAXIFS(BD!$A$3:$A$5001,BD!$B$3:$B$5001,S$219,BD!$A$3:$A$5001,"&gt;="&amp;$C$7,BD!$A$3:$A$5001,"&lt;="&amp;$B247,BD!$N$3:$N$5001,"&lt;&gt;"))))</f>
        <v/>
      </c>
      <c r="T247" s="43" t="str">
        <f>IF(OR($B247="",$A247&gt;$B$9,T$219=""),"",IF(COUNTIFS(BD!$B$3:$B$5001,T$219,BD!$A$3:$A$5001,"&gt;="&amp;$C$7,BD!$A$3:$A$5001,"&lt;="&amp;$B247,BD!$N$3:$N$5001,"&lt;&gt;")=0,"",SUMIFS(BD!$N$3:$N$5001,BD!$B$3:$B$5001,T$219,BD!$A$3:$A$5001,_xlfn.MAXIFS(BD!$A$3:$A$5001,BD!$B$3:$B$5001,T$219,BD!$A$3:$A$5001,"&gt;="&amp;$C$7,BD!$A$3:$A$5001,"&lt;="&amp;$B247,BD!$N$3:$N$5001,"&lt;&gt;"))))</f>
        <v/>
      </c>
      <c r="U247" s="43" t="str">
        <f>IF(OR($B247="",$A247&gt;$B$9,U$219=""),"",IF(COUNTIFS(BD!$B$3:$B$5001,U$219,BD!$A$3:$A$5001,"&gt;="&amp;$C$7,BD!$A$3:$A$5001,"&lt;="&amp;$B247,BD!$N$3:$N$5001,"&lt;&gt;")=0,"",SUMIFS(BD!$N$3:$N$5001,BD!$B$3:$B$5001,U$219,BD!$A$3:$A$5001,_xlfn.MAXIFS(BD!$A$3:$A$5001,BD!$B$3:$B$5001,U$219,BD!$A$3:$A$5001,"&gt;="&amp;$C$7,BD!$A$3:$A$5001,"&lt;="&amp;$B247,BD!$N$3:$N$5001,"&lt;&gt;"))))</f>
        <v/>
      </c>
      <c r="V247" s="43" t="str">
        <f>IF(OR($B247="",$A247&gt;$B$9,V$219=""),"",IF(COUNTIFS(BD!$B$3:$B$5001,V$219,BD!$A$3:$A$5001,"&gt;="&amp;$C$7,BD!$A$3:$A$5001,"&lt;="&amp;$B247,BD!$N$3:$N$5001,"&lt;&gt;")=0,"",SUMIFS(BD!$N$3:$N$5001,BD!$B$3:$B$5001,V$219,BD!$A$3:$A$5001,_xlfn.MAXIFS(BD!$A$3:$A$5001,BD!$B$3:$B$5001,V$219,BD!$A$3:$A$5001,"&gt;="&amp;$C$7,BD!$A$3:$A$5001,"&lt;="&amp;$B247,BD!$N$3:$N$5001,"&lt;&gt;"))))</f>
        <v/>
      </c>
    </row>
    <row r="248">
      <c r="A248" s="38">
        <v>29</v>
      </c>
      <c r="B248" s="42">
        <f>$B$40</f>
        <v>46324</v>
      </c>
      <c r="C248" s="43" t="str">
        <f>IF(OR($B248="",$A248&gt;$B$9,C$219=""),"",IF(COUNTIFS(BD!$B$3:$B$5001,C$219,BD!$A$3:$A$5001,"&gt;="&amp;$C$7,BD!$A$3:$A$5001,"&lt;="&amp;$B248,BD!$N$3:$N$5001,"&lt;&gt;")=0,"",SUMIFS(BD!$N$3:$N$5001,BD!$B$3:$B$5001,C$219,BD!$A$3:$A$5001,_xlfn.MAXIFS(BD!$A$3:$A$5001,BD!$B$3:$B$5001,C$219,BD!$A$3:$A$5001,"&gt;="&amp;$C$7,BD!$A$3:$A$5001,"&lt;="&amp;$B248,BD!$N$3:$N$5001,"&lt;&gt;"))))</f>
        <v/>
      </c>
      <c r="D248" s="43" t="str">
        <f>IF(OR($B248="",$A248&gt;$B$9,D$219=""),"",IF(COUNTIFS(BD!$B$3:$B$5001,D$219,BD!$A$3:$A$5001,"&gt;="&amp;$C$7,BD!$A$3:$A$5001,"&lt;="&amp;$B248,BD!$N$3:$N$5001,"&lt;&gt;")=0,"",SUMIFS(BD!$N$3:$N$5001,BD!$B$3:$B$5001,D$219,BD!$A$3:$A$5001,_xlfn.MAXIFS(BD!$A$3:$A$5001,BD!$B$3:$B$5001,D$219,BD!$A$3:$A$5001,"&gt;="&amp;$C$7,BD!$A$3:$A$5001,"&lt;="&amp;$B248,BD!$N$3:$N$5001,"&lt;&gt;"))))</f>
        <v/>
      </c>
      <c r="E248" s="43" t="str">
        <f>IF(OR($B248="",$A248&gt;$B$9,E$219=""),"",IF(COUNTIFS(BD!$B$3:$B$5001,E$219,BD!$A$3:$A$5001,"&gt;="&amp;$C$7,BD!$A$3:$A$5001,"&lt;="&amp;$B248,BD!$N$3:$N$5001,"&lt;&gt;")=0,"",SUMIFS(BD!$N$3:$N$5001,BD!$B$3:$B$5001,E$219,BD!$A$3:$A$5001,_xlfn.MAXIFS(BD!$A$3:$A$5001,BD!$B$3:$B$5001,E$219,BD!$A$3:$A$5001,"&gt;="&amp;$C$7,BD!$A$3:$A$5001,"&lt;="&amp;$B248,BD!$N$3:$N$5001,"&lt;&gt;"))))</f>
        <v/>
      </c>
      <c r="F248" s="43" t="str">
        <f>IF(OR($B248="",$A248&gt;$B$9,F$219=""),"",IF(COUNTIFS(BD!$B$3:$B$5001,F$219,BD!$A$3:$A$5001,"&gt;="&amp;$C$7,BD!$A$3:$A$5001,"&lt;="&amp;$B248,BD!$N$3:$N$5001,"&lt;&gt;")=0,"",SUMIFS(BD!$N$3:$N$5001,BD!$B$3:$B$5001,F$219,BD!$A$3:$A$5001,_xlfn.MAXIFS(BD!$A$3:$A$5001,BD!$B$3:$B$5001,F$219,BD!$A$3:$A$5001,"&gt;="&amp;$C$7,BD!$A$3:$A$5001,"&lt;="&amp;$B248,BD!$N$3:$N$5001,"&lt;&gt;"))))</f>
        <v/>
      </c>
      <c r="G248" s="43" t="str">
        <f>IF(OR($B248="",$A248&gt;$B$9,G$219=""),"",IF(COUNTIFS(BD!$B$3:$B$5001,G$219,BD!$A$3:$A$5001,"&gt;="&amp;$C$7,BD!$A$3:$A$5001,"&lt;="&amp;$B248,BD!$N$3:$N$5001,"&lt;&gt;")=0,"",SUMIFS(BD!$N$3:$N$5001,BD!$B$3:$B$5001,G$219,BD!$A$3:$A$5001,_xlfn.MAXIFS(BD!$A$3:$A$5001,BD!$B$3:$B$5001,G$219,BD!$A$3:$A$5001,"&gt;="&amp;$C$7,BD!$A$3:$A$5001,"&lt;="&amp;$B248,BD!$N$3:$N$5001,"&lt;&gt;"))))</f>
        <v/>
      </c>
      <c r="H248" s="43" t="str">
        <f>IF(OR($B248="",$A248&gt;$B$9,H$219=""),"",IF(COUNTIFS(BD!$B$3:$B$5001,H$219,BD!$A$3:$A$5001,"&gt;="&amp;$C$7,BD!$A$3:$A$5001,"&lt;="&amp;$B248,BD!$N$3:$N$5001,"&lt;&gt;")=0,"",SUMIFS(BD!$N$3:$N$5001,BD!$B$3:$B$5001,H$219,BD!$A$3:$A$5001,_xlfn.MAXIFS(BD!$A$3:$A$5001,BD!$B$3:$B$5001,H$219,BD!$A$3:$A$5001,"&gt;="&amp;$C$7,BD!$A$3:$A$5001,"&lt;="&amp;$B248,BD!$N$3:$N$5001,"&lt;&gt;"))))</f>
        <v/>
      </c>
      <c r="I248" s="43" t="str">
        <f>IF(OR($B248="",$A248&gt;$B$9,I$219=""),"",IF(COUNTIFS(BD!$B$3:$B$5001,I$219,BD!$A$3:$A$5001,"&gt;="&amp;$C$7,BD!$A$3:$A$5001,"&lt;="&amp;$B248,BD!$N$3:$N$5001,"&lt;&gt;")=0,"",SUMIFS(BD!$N$3:$N$5001,BD!$B$3:$B$5001,I$219,BD!$A$3:$A$5001,_xlfn.MAXIFS(BD!$A$3:$A$5001,BD!$B$3:$B$5001,I$219,BD!$A$3:$A$5001,"&gt;="&amp;$C$7,BD!$A$3:$A$5001,"&lt;="&amp;$B248,BD!$N$3:$N$5001,"&lt;&gt;"))))</f>
        <v/>
      </c>
      <c r="J248" s="43" t="str">
        <f>IF(OR($B248="",$A248&gt;$B$9,J$219=""),"",IF(COUNTIFS(BD!$B$3:$B$5001,J$219,BD!$A$3:$A$5001,"&gt;="&amp;$C$7,BD!$A$3:$A$5001,"&lt;="&amp;$B248,BD!$N$3:$N$5001,"&lt;&gt;")=0,"",SUMIFS(BD!$N$3:$N$5001,BD!$B$3:$B$5001,J$219,BD!$A$3:$A$5001,_xlfn.MAXIFS(BD!$A$3:$A$5001,BD!$B$3:$B$5001,J$219,BD!$A$3:$A$5001,"&gt;="&amp;$C$7,BD!$A$3:$A$5001,"&lt;="&amp;$B248,BD!$N$3:$N$5001,"&lt;&gt;"))))</f>
        <v/>
      </c>
      <c r="K248" s="43" t="str">
        <f>IF(OR($B248="",$A248&gt;$B$9,K$219=""),"",IF(COUNTIFS(BD!$B$3:$B$5001,K$219,BD!$A$3:$A$5001,"&gt;="&amp;$C$7,BD!$A$3:$A$5001,"&lt;="&amp;$B248,BD!$N$3:$N$5001,"&lt;&gt;")=0,"",SUMIFS(BD!$N$3:$N$5001,BD!$B$3:$B$5001,K$219,BD!$A$3:$A$5001,_xlfn.MAXIFS(BD!$A$3:$A$5001,BD!$B$3:$B$5001,K$219,BD!$A$3:$A$5001,"&gt;="&amp;$C$7,BD!$A$3:$A$5001,"&lt;="&amp;$B248,BD!$N$3:$N$5001,"&lt;&gt;"))))</f>
        <v/>
      </c>
      <c r="L248" s="43" t="str">
        <f>IF(OR($B248="",$A248&gt;$B$9,L$219=""),"",IF(COUNTIFS(BD!$B$3:$B$5001,L$219,BD!$A$3:$A$5001,"&gt;="&amp;$C$7,BD!$A$3:$A$5001,"&lt;="&amp;$B248,BD!$N$3:$N$5001,"&lt;&gt;")=0,"",SUMIFS(BD!$N$3:$N$5001,BD!$B$3:$B$5001,L$219,BD!$A$3:$A$5001,_xlfn.MAXIFS(BD!$A$3:$A$5001,BD!$B$3:$B$5001,L$219,BD!$A$3:$A$5001,"&gt;="&amp;$C$7,BD!$A$3:$A$5001,"&lt;="&amp;$B248,BD!$N$3:$N$5001,"&lt;&gt;"))))</f>
        <v/>
      </c>
      <c r="M248" s="43" t="str">
        <f>IF(OR($B248="",$A248&gt;$B$9,M$219=""),"",IF(COUNTIFS(BD!$B$3:$B$5001,M$219,BD!$A$3:$A$5001,"&gt;="&amp;$C$7,BD!$A$3:$A$5001,"&lt;="&amp;$B248,BD!$N$3:$N$5001,"&lt;&gt;")=0,"",SUMIFS(BD!$N$3:$N$5001,BD!$B$3:$B$5001,M$219,BD!$A$3:$A$5001,_xlfn.MAXIFS(BD!$A$3:$A$5001,BD!$B$3:$B$5001,M$219,BD!$A$3:$A$5001,"&gt;="&amp;$C$7,BD!$A$3:$A$5001,"&lt;="&amp;$B248,BD!$N$3:$N$5001,"&lt;&gt;"))))</f>
        <v/>
      </c>
      <c r="N248" s="43" t="str">
        <f>IF(OR($B248="",$A248&gt;$B$9,N$219=""),"",IF(COUNTIFS(BD!$B$3:$B$5001,N$219,BD!$A$3:$A$5001,"&gt;="&amp;$C$7,BD!$A$3:$A$5001,"&lt;="&amp;$B248,BD!$N$3:$N$5001,"&lt;&gt;")=0,"",SUMIFS(BD!$N$3:$N$5001,BD!$B$3:$B$5001,N$219,BD!$A$3:$A$5001,_xlfn.MAXIFS(BD!$A$3:$A$5001,BD!$B$3:$B$5001,N$219,BD!$A$3:$A$5001,"&gt;="&amp;$C$7,BD!$A$3:$A$5001,"&lt;="&amp;$B248,BD!$N$3:$N$5001,"&lt;&gt;"))))</f>
        <v/>
      </c>
      <c r="O248" s="43" t="str">
        <f>IF(OR($B248="",$A248&gt;$B$9,O$219=""),"",IF(COUNTIFS(BD!$B$3:$B$5001,O$219,BD!$A$3:$A$5001,"&gt;="&amp;$C$7,BD!$A$3:$A$5001,"&lt;="&amp;$B248,BD!$N$3:$N$5001,"&lt;&gt;")=0,"",SUMIFS(BD!$N$3:$N$5001,BD!$B$3:$B$5001,O$219,BD!$A$3:$A$5001,_xlfn.MAXIFS(BD!$A$3:$A$5001,BD!$B$3:$B$5001,O$219,BD!$A$3:$A$5001,"&gt;="&amp;$C$7,BD!$A$3:$A$5001,"&lt;="&amp;$B248,BD!$N$3:$N$5001,"&lt;&gt;"))))</f>
        <v/>
      </c>
      <c r="P248" s="43" t="str">
        <f>IF(OR($B248="",$A248&gt;$B$9,P$219=""),"",IF(COUNTIFS(BD!$B$3:$B$5001,P$219,BD!$A$3:$A$5001,"&gt;="&amp;$C$7,BD!$A$3:$A$5001,"&lt;="&amp;$B248,BD!$N$3:$N$5001,"&lt;&gt;")=0,"",SUMIFS(BD!$N$3:$N$5001,BD!$B$3:$B$5001,P$219,BD!$A$3:$A$5001,_xlfn.MAXIFS(BD!$A$3:$A$5001,BD!$B$3:$B$5001,P$219,BD!$A$3:$A$5001,"&gt;="&amp;$C$7,BD!$A$3:$A$5001,"&lt;="&amp;$B248,BD!$N$3:$N$5001,"&lt;&gt;"))))</f>
        <v/>
      </c>
      <c r="Q248" s="43" t="str">
        <f>IF(OR($B248="",$A248&gt;$B$9,Q$219=""),"",IF(COUNTIFS(BD!$B$3:$B$5001,Q$219,BD!$A$3:$A$5001,"&gt;="&amp;$C$7,BD!$A$3:$A$5001,"&lt;="&amp;$B248,BD!$N$3:$N$5001,"&lt;&gt;")=0,"",SUMIFS(BD!$N$3:$N$5001,BD!$B$3:$B$5001,Q$219,BD!$A$3:$A$5001,_xlfn.MAXIFS(BD!$A$3:$A$5001,BD!$B$3:$B$5001,Q$219,BD!$A$3:$A$5001,"&gt;="&amp;$C$7,BD!$A$3:$A$5001,"&lt;="&amp;$B248,BD!$N$3:$N$5001,"&lt;&gt;"))))</f>
        <v/>
      </c>
      <c r="R248" s="43" t="str">
        <f>IF(OR($B248="",$A248&gt;$B$9,R$219=""),"",IF(COUNTIFS(BD!$B$3:$B$5001,R$219,BD!$A$3:$A$5001,"&gt;="&amp;$C$7,BD!$A$3:$A$5001,"&lt;="&amp;$B248,BD!$N$3:$N$5001,"&lt;&gt;")=0,"",SUMIFS(BD!$N$3:$N$5001,BD!$B$3:$B$5001,R$219,BD!$A$3:$A$5001,_xlfn.MAXIFS(BD!$A$3:$A$5001,BD!$B$3:$B$5001,R$219,BD!$A$3:$A$5001,"&gt;="&amp;$C$7,BD!$A$3:$A$5001,"&lt;="&amp;$B248,BD!$N$3:$N$5001,"&lt;&gt;"))))</f>
        <v/>
      </c>
      <c r="S248" s="43" t="str">
        <f>IF(OR($B248="",$A248&gt;$B$9,S$219=""),"",IF(COUNTIFS(BD!$B$3:$B$5001,S$219,BD!$A$3:$A$5001,"&gt;="&amp;$C$7,BD!$A$3:$A$5001,"&lt;="&amp;$B248,BD!$N$3:$N$5001,"&lt;&gt;")=0,"",SUMIFS(BD!$N$3:$N$5001,BD!$B$3:$B$5001,S$219,BD!$A$3:$A$5001,_xlfn.MAXIFS(BD!$A$3:$A$5001,BD!$B$3:$B$5001,S$219,BD!$A$3:$A$5001,"&gt;="&amp;$C$7,BD!$A$3:$A$5001,"&lt;="&amp;$B248,BD!$N$3:$N$5001,"&lt;&gt;"))))</f>
        <v/>
      </c>
      <c r="T248" s="43" t="str">
        <f>IF(OR($B248="",$A248&gt;$B$9,T$219=""),"",IF(COUNTIFS(BD!$B$3:$B$5001,T$219,BD!$A$3:$A$5001,"&gt;="&amp;$C$7,BD!$A$3:$A$5001,"&lt;="&amp;$B248,BD!$N$3:$N$5001,"&lt;&gt;")=0,"",SUMIFS(BD!$N$3:$N$5001,BD!$B$3:$B$5001,T$219,BD!$A$3:$A$5001,_xlfn.MAXIFS(BD!$A$3:$A$5001,BD!$B$3:$B$5001,T$219,BD!$A$3:$A$5001,"&gt;="&amp;$C$7,BD!$A$3:$A$5001,"&lt;="&amp;$B248,BD!$N$3:$N$5001,"&lt;&gt;"))))</f>
        <v/>
      </c>
      <c r="U248" s="43" t="str">
        <f>IF(OR($B248="",$A248&gt;$B$9,U$219=""),"",IF(COUNTIFS(BD!$B$3:$B$5001,U$219,BD!$A$3:$A$5001,"&gt;="&amp;$C$7,BD!$A$3:$A$5001,"&lt;="&amp;$B248,BD!$N$3:$N$5001,"&lt;&gt;")=0,"",SUMIFS(BD!$N$3:$N$5001,BD!$B$3:$B$5001,U$219,BD!$A$3:$A$5001,_xlfn.MAXIFS(BD!$A$3:$A$5001,BD!$B$3:$B$5001,U$219,BD!$A$3:$A$5001,"&gt;="&amp;$C$7,BD!$A$3:$A$5001,"&lt;="&amp;$B248,BD!$N$3:$N$5001,"&lt;&gt;"))))</f>
        <v/>
      </c>
      <c r="V248" s="43" t="str">
        <f>IF(OR($B248="",$A248&gt;$B$9,V$219=""),"",IF(COUNTIFS(BD!$B$3:$B$5001,V$219,BD!$A$3:$A$5001,"&gt;="&amp;$C$7,BD!$A$3:$A$5001,"&lt;="&amp;$B248,BD!$N$3:$N$5001,"&lt;&gt;")=0,"",SUMIFS(BD!$N$3:$N$5001,BD!$B$3:$B$5001,V$219,BD!$A$3:$A$5001,_xlfn.MAXIFS(BD!$A$3:$A$5001,BD!$B$3:$B$5001,V$219,BD!$A$3:$A$5001,"&gt;="&amp;$C$7,BD!$A$3:$A$5001,"&lt;="&amp;$B248,BD!$N$3:$N$5001,"&lt;&gt;"))))</f>
        <v/>
      </c>
    </row>
    <row r="249">
      <c r="A249" s="38">
        <v>30</v>
      </c>
      <c r="B249" s="42">
        <f>$B$41</f>
        <v>46325</v>
      </c>
      <c r="C249" s="43" t="str">
        <f>IF(OR($B249="",$A249&gt;$B$9,C$219=""),"",IF(COUNTIFS(BD!$B$3:$B$5001,C$219,BD!$A$3:$A$5001,"&gt;="&amp;$C$7,BD!$A$3:$A$5001,"&lt;="&amp;$B249,BD!$N$3:$N$5001,"&lt;&gt;")=0,"",SUMIFS(BD!$N$3:$N$5001,BD!$B$3:$B$5001,C$219,BD!$A$3:$A$5001,_xlfn.MAXIFS(BD!$A$3:$A$5001,BD!$B$3:$B$5001,C$219,BD!$A$3:$A$5001,"&gt;="&amp;$C$7,BD!$A$3:$A$5001,"&lt;="&amp;$B249,BD!$N$3:$N$5001,"&lt;&gt;"))))</f>
        <v/>
      </c>
      <c r="D249" s="43" t="str">
        <f>IF(OR($B249="",$A249&gt;$B$9,D$219=""),"",IF(COUNTIFS(BD!$B$3:$B$5001,D$219,BD!$A$3:$A$5001,"&gt;="&amp;$C$7,BD!$A$3:$A$5001,"&lt;="&amp;$B249,BD!$N$3:$N$5001,"&lt;&gt;")=0,"",SUMIFS(BD!$N$3:$N$5001,BD!$B$3:$B$5001,D$219,BD!$A$3:$A$5001,_xlfn.MAXIFS(BD!$A$3:$A$5001,BD!$B$3:$B$5001,D$219,BD!$A$3:$A$5001,"&gt;="&amp;$C$7,BD!$A$3:$A$5001,"&lt;="&amp;$B249,BD!$N$3:$N$5001,"&lt;&gt;"))))</f>
        <v/>
      </c>
      <c r="E249" s="43" t="str">
        <f>IF(OR($B249="",$A249&gt;$B$9,E$219=""),"",IF(COUNTIFS(BD!$B$3:$B$5001,E$219,BD!$A$3:$A$5001,"&gt;="&amp;$C$7,BD!$A$3:$A$5001,"&lt;="&amp;$B249,BD!$N$3:$N$5001,"&lt;&gt;")=0,"",SUMIFS(BD!$N$3:$N$5001,BD!$B$3:$B$5001,E$219,BD!$A$3:$A$5001,_xlfn.MAXIFS(BD!$A$3:$A$5001,BD!$B$3:$B$5001,E$219,BD!$A$3:$A$5001,"&gt;="&amp;$C$7,BD!$A$3:$A$5001,"&lt;="&amp;$B249,BD!$N$3:$N$5001,"&lt;&gt;"))))</f>
        <v/>
      </c>
      <c r="F249" s="43" t="str">
        <f>IF(OR($B249="",$A249&gt;$B$9,F$219=""),"",IF(COUNTIFS(BD!$B$3:$B$5001,F$219,BD!$A$3:$A$5001,"&gt;="&amp;$C$7,BD!$A$3:$A$5001,"&lt;="&amp;$B249,BD!$N$3:$N$5001,"&lt;&gt;")=0,"",SUMIFS(BD!$N$3:$N$5001,BD!$B$3:$B$5001,F$219,BD!$A$3:$A$5001,_xlfn.MAXIFS(BD!$A$3:$A$5001,BD!$B$3:$B$5001,F$219,BD!$A$3:$A$5001,"&gt;="&amp;$C$7,BD!$A$3:$A$5001,"&lt;="&amp;$B249,BD!$N$3:$N$5001,"&lt;&gt;"))))</f>
        <v/>
      </c>
      <c r="G249" s="43" t="str">
        <f>IF(OR($B249="",$A249&gt;$B$9,G$219=""),"",IF(COUNTIFS(BD!$B$3:$B$5001,G$219,BD!$A$3:$A$5001,"&gt;="&amp;$C$7,BD!$A$3:$A$5001,"&lt;="&amp;$B249,BD!$N$3:$N$5001,"&lt;&gt;")=0,"",SUMIFS(BD!$N$3:$N$5001,BD!$B$3:$B$5001,G$219,BD!$A$3:$A$5001,_xlfn.MAXIFS(BD!$A$3:$A$5001,BD!$B$3:$B$5001,G$219,BD!$A$3:$A$5001,"&gt;="&amp;$C$7,BD!$A$3:$A$5001,"&lt;="&amp;$B249,BD!$N$3:$N$5001,"&lt;&gt;"))))</f>
        <v/>
      </c>
      <c r="H249" s="43" t="str">
        <f>IF(OR($B249="",$A249&gt;$B$9,H$219=""),"",IF(COUNTIFS(BD!$B$3:$B$5001,H$219,BD!$A$3:$A$5001,"&gt;="&amp;$C$7,BD!$A$3:$A$5001,"&lt;="&amp;$B249,BD!$N$3:$N$5001,"&lt;&gt;")=0,"",SUMIFS(BD!$N$3:$N$5001,BD!$B$3:$B$5001,H$219,BD!$A$3:$A$5001,_xlfn.MAXIFS(BD!$A$3:$A$5001,BD!$B$3:$B$5001,H$219,BD!$A$3:$A$5001,"&gt;="&amp;$C$7,BD!$A$3:$A$5001,"&lt;="&amp;$B249,BD!$N$3:$N$5001,"&lt;&gt;"))))</f>
        <v/>
      </c>
      <c r="I249" s="43" t="str">
        <f>IF(OR($B249="",$A249&gt;$B$9,I$219=""),"",IF(COUNTIFS(BD!$B$3:$B$5001,I$219,BD!$A$3:$A$5001,"&gt;="&amp;$C$7,BD!$A$3:$A$5001,"&lt;="&amp;$B249,BD!$N$3:$N$5001,"&lt;&gt;")=0,"",SUMIFS(BD!$N$3:$N$5001,BD!$B$3:$B$5001,I$219,BD!$A$3:$A$5001,_xlfn.MAXIFS(BD!$A$3:$A$5001,BD!$B$3:$B$5001,I$219,BD!$A$3:$A$5001,"&gt;="&amp;$C$7,BD!$A$3:$A$5001,"&lt;="&amp;$B249,BD!$N$3:$N$5001,"&lt;&gt;"))))</f>
        <v/>
      </c>
      <c r="J249" s="43" t="str">
        <f>IF(OR($B249="",$A249&gt;$B$9,J$219=""),"",IF(COUNTIFS(BD!$B$3:$B$5001,J$219,BD!$A$3:$A$5001,"&gt;="&amp;$C$7,BD!$A$3:$A$5001,"&lt;="&amp;$B249,BD!$N$3:$N$5001,"&lt;&gt;")=0,"",SUMIFS(BD!$N$3:$N$5001,BD!$B$3:$B$5001,J$219,BD!$A$3:$A$5001,_xlfn.MAXIFS(BD!$A$3:$A$5001,BD!$B$3:$B$5001,J$219,BD!$A$3:$A$5001,"&gt;="&amp;$C$7,BD!$A$3:$A$5001,"&lt;="&amp;$B249,BD!$N$3:$N$5001,"&lt;&gt;"))))</f>
        <v/>
      </c>
      <c r="K249" s="43" t="str">
        <f>IF(OR($B249="",$A249&gt;$B$9,K$219=""),"",IF(COUNTIFS(BD!$B$3:$B$5001,K$219,BD!$A$3:$A$5001,"&gt;="&amp;$C$7,BD!$A$3:$A$5001,"&lt;="&amp;$B249,BD!$N$3:$N$5001,"&lt;&gt;")=0,"",SUMIFS(BD!$N$3:$N$5001,BD!$B$3:$B$5001,K$219,BD!$A$3:$A$5001,_xlfn.MAXIFS(BD!$A$3:$A$5001,BD!$B$3:$B$5001,K$219,BD!$A$3:$A$5001,"&gt;="&amp;$C$7,BD!$A$3:$A$5001,"&lt;="&amp;$B249,BD!$N$3:$N$5001,"&lt;&gt;"))))</f>
        <v/>
      </c>
      <c r="L249" s="43" t="str">
        <f>IF(OR($B249="",$A249&gt;$B$9,L$219=""),"",IF(COUNTIFS(BD!$B$3:$B$5001,L$219,BD!$A$3:$A$5001,"&gt;="&amp;$C$7,BD!$A$3:$A$5001,"&lt;="&amp;$B249,BD!$N$3:$N$5001,"&lt;&gt;")=0,"",SUMIFS(BD!$N$3:$N$5001,BD!$B$3:$B$5001,L$219,BD!$A$3:$A$5001,_xlfn.MAXIFS(BD!$A$3:$A$5001,BD!$B$3:$B$5001,L$219,BD!$A$3:$A$5001,"&gt;="&amp;$C$7,BD!$A$3:$A$5001,"&lt;="&amp;$B249,BD!$N$3:$N$5001,"&lt;&gt;"))))</f>
        <v/>
      </c>
      <c r="M249" s="43" t="str">
        <f>IF(OR($B249="",$A249&gt;$B$9,M$219=""),"",IF(COUNTIFS(BD!$B$3:$B$5001,M$219,BD!$A$3:$A$5001,"&gt;="&amp;$C$7,BD!$A$3:$A$5001,"&lt;="&amp;$B249,BD!$N$3:$N$5001,"&lt;&gt;")=0,"",SUMIFS(BD!$N$3:$N$5001,BD!$B$3:$B$5001,M$219,BD!$A$3:$A$5001,_xlfn.MAXIFS(BD!$A$3:$A$5001,BD!$B$3:$B$5001,M$219,BD!$A$3:$A$5001,"&gt;="&amp;$C$7,BD!$A$3:$A$5001,"&lt;="&amp;$B249,BD!$N$3:$N$5001,"&lt;&gt;"))))</f>
        <v/>
      </c>
      <c r="N249" s="43" t="str">
        <f>IF(OR($B249="",$A249&gt;$B$9,N$219=""),"",IF(COUNTIFS(BD!$B$3:$B$5001,N$219,BD!$A$3:$A$5001,"&gt;="&amp;$C$7,BD!$A$3:$A$5001,"&lt;="&amp;$B249,BD!$N$3:$N$5001,"&lt;&gt;")=0,"",SUMIFS(BD!$N$3:$N$5001,BD!$B$3:$B$5001,N$219,BD!$A$3:$A$5001,_xlfn.MAXIFS(BD!$A$3:$A$5001,BD!$B$3:$B$5001,N$219,BD!$A$3:$A$5001,"&gt;="&amp;$C$7,BD!$A$3:$A$5001,"&lt;="&amp;$B249,BD!$N$3:$N$5001,"&lt;&gt;"))))</f>
        <v/>
      </c>
      <c r="O249" s="43" t="str">
        <f>IF(OR($B249="",$A249&gt;$B$9,O$219=""),"",IF(COUNTIFS(BD!$B$3:$B$5001,O$219,BD!$A$3:$A$5001,"&gt;="&amp;$C$7,BD!$A$3:$A$5001,"&lt;="&amp;$B249,BD!$N$3:$N$5001,"&lt;&gt;")=0,"",SUMIFS(BD!$N$3:$N$5001,BD!$B$3:$B$5001,O$219,BD!$A$3:$A$5001,_xlfn.MAXIFS(BD!$A$3:$A$5001,BD!$B$3:$B$5001,O$219,BD!$A$3:$A$5001,"&gt;="&amp;$C$7,BD!$A$3:$A$5001,"&lt;="&amp;$B249,BD!$N$3:$N$5001,"&lt;&gt;"))))</f>
        <v/>
      </c>
      <c r="P249" s="43" t="str">
        <f>IF(OR($B249="",$A249&gt;$B$9,P$219=""),"",IF(COUNTIFS(BD!$B$3:$B$5001,P$219,BD!$A$3:$A$5001,"&gt;="&amp;$C$7,BD!$A$3:$A$5001,"&lt;="&amp;$B249,BD!$N$3:$N$5001,"&lt;&gt;")=0,"",SUMIFS(BD!$N$3:$N$5001,BD!$B$3:$B$5001,P$219,BD!$A$3:$A$5001,_xlfn.MAXIFS(BD!$A$3:$A$5001,BD!$B$3:$B$5001,P$219,BD!$A$3:$A$5001,"&gt;="&amp;$C$7,BD!$A$3:$A$5001,"&lt;="&amp;$B249,BD!$N$3:$N$5001,"&lt;&gt;"))))</f>
        <v/>
      </c>
      <c r="Q249" s="43" t="str">
        <f>IF(OR($B249="",$A249&gt;$B$9,Q$219=""),"",IF(COUNTIFS(BD!$B$3:$B$5001,Q$219,BD!$A$3:$A$5001,"&gt;="&amp;$C$7,BD!$A$3:$A$5001,"&lt;="&amp;$B249,BD!$N$3:$N$5001,"&lt;&gt;")=0,"",SUMIFS(BD!$N$3:$N$5001,BD!$B$3:$B$5001,Q$219,BD!$A$3:$A$5001,_xlfn.MAXIFS(BD!$A$3:$A$5001,BD!$B$3:$B$5001,Q$219,BD!$A$3:$A$5001,"&gt;="&amp;$C$7,BD!$A$3:$A$5001,"&lt;="&amp;$B249,BD!$N$3:$N$5001,"&lt;&gt;"))))</f>
        <v/>
      </c>
      <c r="R249" s="43" t="str">
        <f>IF(OR($B249="",$A249&gt;$B$9,R$219=""),"",IF(COUNTIFS(BD!$B$3:$B$5001,R$219,BD!$A$3:$A$5001,"&gt;="&amp;$C$7,BD!$A$3:$A$5001,"&lt;="&amp;$B249,BD!$N$3:$N$5001,"&lt;&gt;")=0,"",SUMIFS(BD!$N$3:$N$5001,BD!$B$3:$B$5001,R$219,BD!$A$3:$A$5001,_xlfn.MAXIFS(BD!$A$3:$A$5001,BD!$B$3:$B$5001,R$219,BD!$A$3:$A$5001,"&gt;="&amp;$C$7,BD!$A$3:$A$5001,"&lt;="&amp;$B249,BD!$N$3:$N$5001,"&lt;&gt;"))))</f>
        <v/>
      </c>
      <c r="S249" s="43" t="str">
        <f>IF(OR($B249="",$A249&gt;$B$9,S$219=""),"",IF(COUNTIFS(BD!$B$3:$B$5001,S$219,BD!$A$3:$A$5001,"&gt;="&amp;$C$7,BD!$A$3:$A$5001,"&lt;="&amp;$B249,BD!$N$3:$N$5001,"&lt;&gt;")=0,"",SUMIFS(BD!$N$3:$N$5001,BD!$B$3:$B$5001,S$219,BD!$A$3:$A$5001,_xlfn.MAXIFS(BD!$A$3:$A$5001,BD!$B$3:$B$5001,S$219,BD!$A$3:$A$5001,"&gt;="&amp;$C$7,BD!$A$3:$A$5001,"&lt;="&amp;$B249,BD!$N$3:$N$5001,"&lt;&gt;"))))</f>
        <v/>
      </c>
      <c r="T249" s="43" t="str">
        <f>IF(OR($B249="",$A249&gt;$B$9,T$219=""),"",IF(COUNTIFS(BD!$B$3:$B$5001,T$219,BD!$A$3:$A$5001,"&gt;="&amp;$C$7,BD!$A$3:$A$5001,"&lt;="&amp;$B249,BD!$N$3:$N$5001,"&lt;&gt;")=0,"",SUMIFS(BD!$N$3:$N$5001,BD!$B$3:$B$5001,T$219,BD!$A$3:$A$5001,_xlfn.MAXIFS(BD!$A$3:$A$5001,BD!$B$3:$B$5001,T$219,BD!$A$3:$A$5001,"&gt;="&amp;$C$7,BD!$A$3:$A$5001,"&lt;="&amp;$B249,BD!$N$3:$N$5001,"&lt;&gt;"))))</f>
        <v/>
      </c>
      <c r="U249" s="43" t="str">
        <f>IF(OR($B249="",$A249&gt;$B$9,U$219=""),"",IF(COUNTIFS(BD!$B$3:$B$5001,U$219,BD!$A$3:$A$5001,"&gt;="&amp;$C$7,BD!$A$3:$A$5001,"&lt;="&amp;$B249,BD!$N$3:$N$5001,"&lt;&gt;")=0,"",SUMIFS(BD!$N$3:$N$5001,BD!$B$3:$B$5001,U$219,BD!$A$3:$A$5001,_xlfn.MAXIFS(BD!$A$3:$A$5001,BD!$B$3:$B$5001,U$219,BD!$A$3:$A$5001,"&gt;="&amp;$C$7,BD!$A$3:$A$5001,"&lt;="&amp;$B249,BD!$N$3:$N$5001,"&lt;&gt;"))))</f>
        <v/>
      </c>
      <c r="V249" s="43" t="str">
        <f>IF(OR($B249="",$A249&gt;$B$9,V$219=""),"",IF(COUNTIFS(BD!$B$3:$B$5001,V$219,BD!$A$3:$A$5001,"&gt;="&amp;$C$7,BD!$A$3:$A$5001,"&lt;="&amp;$B249,BD!$N$3:$N$5001,"&lt;&gt;")=0,"",SUMIFS(BD!$N$3:$N$5001,BD!$B$3:$B$5001,V$219,BD!$A$3:$A$5001,_xlfn.MAXIFS(BD!$A$3:$A$5001,BD!$B$3:$B$5001,V$219,BD!$A$3:$A$5001,"&gt;="&amp;$C$7,BD!$A$3:$A$5001,"&lt;="&amp;$B249,BD!$N$3:$N$5001,"&lt;&gt;"))))</f>
        <v/>
      </c>
    </row>
    <row r="250">
      <c r="A250" s="38">
        <v>31</v>
      </c>
      <c r="B250" s="42">
        <f>$B$42</f>
        <v>46326</v>
      </c>
      <c r="C250" s="43" t="str">
        <f>IF(OR($B250="",$A250&gt;$B$9,C$219=""),"",IF(COUNTIFS(BD!$B$3:$B$5001,C$219,BD!$A$3:$A$5001,"&gt;="&amp;$C$7,BD!$A$3:$A$5001,"&lt;="&amp;$B250,BD!$N$3:$N$5001,"&lt;&gt;")=0,"",SUMIFS(BD!$N$3:$N$5001,BD!$B$3:$B$5001,C$219,BD!$A$3:$A$5001,_xlfn.MAXIFS(BD!$A$3:$A$5001,BD!$B$3:$B$5001,C$219,BD!$A$3:$A$5001,"&gt;="&amp;$C$7,BD!$A$3:$A$5001,"&lt;="&amp;$B250,BD!$N$3:$N$5001,"&lt;&gt;"))))</f>
        <v/>
      </c>
      <c r="D250" s="43" t="str">
        <f>IF(OR($B250="",$A250&gt;$B$9,D$219=""),"",IF(COUNTIFS(BD!$B$3:$B$5001,D$219,BD!$A$3:$A$5001,"&gt;="&amp;$C$7,BD!$A$3:$A$5001,"&lt;="&amp;$B250,BD!$N$3:$N$5001,"&lt;&gt;")=0,"",SUMIFS(BD!$N$3:$N$5001,BD!$B$3:$B$5001,D$219,BD!$A$3:$A$5001,_xlfn.MAXIFS(BD!$A$3:$A$5001,BD!$B$3:$B$5001,D$219,BD!$A$3:$A$5001,"&gt;="&amp;$C$7,BD!$A$3:$A$5001,"&lt;="&amp;$B250,BD!$N$3:$N$5001,"&lt;&gt;"))))</f>
        <v/>
      </c>
      <c r="E250" s="43" t="str">
        <f>IF(OR($B250="",$A250&gt;$B$9,E$219=""),"",IF(COUNTIFS(BD!$B$3:$B$5001,E$219,BD!$A$3:$A$5001,"&gt;="&amp;$C$7,BD!$A$3:$A$5001,"&lt;="&amp;$B250,BD!$N$3:$N$5001,"&lt;&gt;")=0,"",SUMIFS(BD!$N$3:$N$5001,BD!$B$3:$B$5001,E$219,BD!$A$3:$A$5001,_xlfn.MAXIFS(BD!$A$3:$A$5001,BD!$B$3:$B$5001,E$219,BD!$A$3:$A$5001,"&gt;="&amp;$C$7,BD!$A$3:$A$5001,"&lt;="&amp;$B250,BD!$N$3:$N$5001,"&lt;&gt;"))))</f>
        <v/>
      </c>
      <c r="F250" s="43" t="str">
        <f>IF(OR($B250="",$A250&gt;$B$9,F$219=""),"",IF(COUNTIFS(BD!$B$3:$B$5001,F$219,BD!$A$3:$A$5001,"&gt;="&amp;$C$7,BD!$A$3:$A$5001,"&lt;="&amp;$B250,BD!$N$3:$N$5001,"&lt;&gt;")=0,"",SUMIFS(BD!$N$3:$N$5001,BD!$B$3:$B$5001,F$219,BD!$A$3:$A$5001,_xlfn.MAXIFS(BD!$A$3:$A$5001,BD!$B$3:$B$5001,F$219,BD!$A$3:$A$5001,"&gt;="&amp;$C$7,BD!$A$3:$A$5001,"&lt;="&amp;$B250,BD!$N$3:$N$5001,"&lt;&gt;"))))</f>
        <v/>
      </c>
      <c r="G250" s="43" t="str">
        <f>IF(OR($B250="",$A250&gt;$B$9,G$219=""),"",IF(COUNTIFS(BD!$B$3:$B$5001,G$219,BD!$A$3:$A$5001,"&gt;="&amp;$C$7,BD!$A$3:$A$5001,"&lt;="&amp;$B250,BD!$N$3:$N$5001,"&lt;&gt;")=0,"",SUMIFS(BD!$N$3:$N$5001,BD!$B$3:$B$5001,G$219,BD!$A$3:$A$5001,_xlfn.MAXIFS(BD!$A$3:$A$5001,BD!$B$3:$B$5001,G$219,BD!$A$3:$A$5001,"&gt;="&amp;$C$7,BD!$A$3:$A$5001,"&lt;="&amp;$B250,BD!$N$3:$N$5001,"&lt;&gt;"))))</f>
        <v/>
      </c>
      <c r="H250" s="43" t="str">
        <f>IF(OR($B250="",$A250&gt;$B$9,H$219=""),"",IF(COUNTIFS(BD!$B$3:$B$5001,H$219,BD!$A$3:$A$5001,"&gt;="&amp;$C$7,BD!$A$3:$A$5001,"&lt;="&amp;$B250,BD!$N$3:$N$5001,"&lt;&gt;")=0,"",SUMIFS(BD!$N$3:$N$5001,BD!$B$3:$B$5001,H$219,BD!$A$3:$A$5001,_xlfn.MAXIFS(BD!$A$3:$A$5001,BD!$B$3:$B$5001,H$219,BD!$A$3:$A$5001,"&gt;="&amp;$C$7,BD!$A$3:$A$5001,"&lt;="&amp;$B250,BD!$N$3:$N$5001,"&lt;&gt;"))))</f>
        <v/>
      </c>
      <c r="I250" s="43" t="str">
        <f>IF(OR($B250="",$A250&gt;$B$9,I$219=""),"",IF(COUNTIFS(BD!$B$3:$B$5001,I$219,BD!$A$3:$A$5001,"&gt;="&amp;$C$7,BD!$A$3:$A$5001,"&lt;="&amp;$B250,BD!$N$3:$N$5001,"&lt;&gt;")=0,"",SUMIFS(BD!$N$3:$N$5001,BD!$B$3:$B$5001,I$219,BD!$A$3:$A$5001,_xlfn.MAXIFS(BD!$A$3:$A$5001,BD!$B$3:$B$5001,I$219,BD!$A$3:$A$5001,"&gt;="&amp;$C$7,BD!$A$3:$A$5001,"&lt;="&amp;$B250,BD!$N$3:$N$5001,"&lt;&gt;"))))</f>
        <v/>
      </c>
      <c r="J250" s="43" t="str">
        <f>IF(OR($B250="",$A250&gt;$B$9,J$219=""),"",IF(COUNTIFS(BD!$B$3:$B$5001,J$219,BD!$A$3:$A$5001,"&gt;="&amp;$C$7,BD!$A$3:$A$5001,"&lt;="&amp;$B250,BD!$N$3:$N$5001,"&lt;&gt;")=0,"",SUMIFS(BD!$N$3:$N$5001,BD!$B$3:$B$5001,J$219,BD!$A$3:$A$5001,_xlfn.MAXIFS(BD!$A$3:$A$5001,BD!$B$3:$B$5001,J$219,BD!$A$3:$A$5001,"&gt;="&amp;$C$7,BD!$A$3:$A$5001,"&lt;="&amp;$B250,BD!$N$3:$N$5001,"&lt;&gt;"))))</f>
        <v/>
      </c>
      <c r="K250" s="43" t="str">
        <f>IF(OR($B250="",$A250&gt;$B$9,K$219=""),"",IF(COUNTIFS(BD!$B$3:$B$5001,K$219,BD!$A$3:$A$5001,"&gt;="&amp;$C$7,BD!$A$3:$A$5001,"&lt;="&amp;$B250,BD!$N$3:$N$5001,"&lt;&gt;")=0,"",SUMIFS(BD!$N$3:$N$5001,BD!$B$3:$B$5001,K$219,BD!$A$3:$A$5001,_xlfn.MAXIFS(BD!$A$3:$A$5001,BD!$B$3:$B$5001,K$219,BD!$A$3:$A$5001,"&gt;="&amp;$C$7,BD!$A$3:$A$5001,"&lt;="&amp;$B250,BD!$N$3:$N$5001,"&lt;&gt;"))))</f>
        <v/>
      </c>
      <c r="L250" s="43" t="str">
        <f>IF(OR($B250="",$A250&gt;$B$9,L$219=""),"",IF(COUNTIFS(BD!$B$3:$B$5001,L$219,BD!$A$3:$A$5001,"&gt;="&amp;$C$7,BD!$A$3:$A$5001,"&lt;="&amp;$B250,BD!$N$3:$N$5001,"&lt;&gt;")=0,"",SUMIFS(BD!$N$3:$N$5001,BD!$B$3:$B$5001,L$219,BD!$A$3:$A$5001,_xlfn.MAXIFS(BD!$A$3:$A$5001,BD!$B$3:$B$5001,L$219,BD!$A$3:$A$5001,"&gt;="&amp;$C$7,BD!$A$3:$A$5001,"&lt;="&amp;$B250,BD!$N$3:$N$5001,"&lt;&gt;"))))</f>
        <v/>
      </c>
      <c r="M250" s="43" t="str">
        <f>IF(OR($B250="",$A250&gt;$B$9,M$219=""),"",IF(COUNTIFS(BD!$B$3:$B$5001,M$219,BD!$A$3:$A$5001,"&gt;="&amp;$C$7,BD!$A$3:$A$5001,"&lt;="&amp;$B250,BD!$N$3:$N$5001,"&lt;&gt;")=0,"",SUMIFS(BD!$N$3:$N$5001,BD!$B$3:$B$5001,M$219,BD!$A$3:$A$5001,_xlfn.MAXIFS(BD!$A$3:$A$5001,BD!$B$3:$B$5001,M$219,BD!$A$3:$A$5001,"&gt;="&amp;$C$7,BD!$A$3:$A$5001,"&lt;="&amp;$B250,BD!$N$3:$N$5001,"&lt;&gt;"))))</f>
        <v/>
      </c>
      <c r="N250" s="43" t="str">
        <f>IF(OR($B250="",$A250&gt;$B$9,N$219=""),"",IF(COUNTIFS(BD!$B$3:$B$5001,N$219,BD!$A$3:$A$5001,"&gt;="&amp;$C$7,BD!$A$3:$A$5001,"&lt;="&amp;$B250,BD!$N$3:$N$5001,"&lt;&gt;")=0,"",SUMIFS(BD!$N$3:$N$5001,BD!$B$3:$B$5001,N$219,BD!$A$3:$A$5001,_xlfn.MAXIFS(BD!$A$3:$A$5001,BD!$B$3:$B$5001,N$219,BD!$A$3:$A$5001,"&gt;="&amp;$C$7,BD!$A$3:$A$5001,"&lt;="&amp;$B250,BD!$N$3:$N$5001,"&lt;&gt;"))))</f>
        <v/>
      </c>
      <c r="O250" s="43" t="str">
        <f>IF(OR($B250="",$A250&gt;$B$9,O$219=""),"",IF(COUNTIFS(BD!$B$3:$B$5001,O$219,BD!$A$3:$A$5001,"&gt;="&amp;$C$7,BD!$A$3:$A$5001,"&lt;="&amp;$B250,BD!$N$3:$N$5001,"&lt;&gt;")=0,"",SUMIFS(BD!$N$3:$N$5001,BD!$B$3:$B$5001,O$219,BD!$A$3:$A$5001,_xlfn.MAXIFS(BD!$A$3:$A$5001,BD!$B$3:$B$5001,O$219,BD!$A$3:$A$5001,"&gt;="&amp;$C$7,BD!$A$3:$A$5001,"&lt;="&amp;$B250,BD!$N$3:$N$5001,"&lt;&gt;"))))</f>
        <v/>
      </c>
      <c r="P250" s="43" t="str">
        <f>IF(OR($B250="",$A250&gt;$B$9,P$219=""),"",IF(COUNTIFS(BD!$B$3:$B$5001,P$219,BD!$A$3:$A$5001,"&gt;="&amp;$C$7,BD!$A$3:$A$5001,"&lt;="&amp;$B250,BD!$N$3:$N$5001,"&lt;&gt;")=0,"",SUMIFS(BD!$N$3:$N$5001,BD!$B$3:$B$5001,P$219,BD!$A$3:$A$5001,_xlfn.MAXIFS(BD!$A$3:$A$5001,BD!$B$3:$B$5001,P$219,BD!$A$3:$A$5001,"&gt;="&amp;$C$7,BD!$A$3:$A$5001,"&lt;="&amp;$B250,BD!$N$3:$N$5001,"&lt;&gt;"))))</f>
        <v/>
      </c>
      <c r="Q250" s="43" t="str">
        <f>IF(OR($B250="",$A250&gt;$B$9,Q$219=""),"",IF(COUNTIFS(BD!$B$3:$B$5001,Q$219,BD!$A$3:$A$5001,"&gt;="&amp;$C$7,BD!$A$3:$A$5001,"&lt;="&amp;$B250,BD!$N$3:$N$5001,"&lt;&gt;")=0,"",SUMIFS(BD!$N$3:$N$5001,BD!$B$3:$B$5001,Q$219,BD!$A$3:$A$5001,_xlfn.MAXIFS(BD!$A$3:$A$5001,BD!$B$3:$B$5001,Q$219,BD!$A$3:$A$5001,"&gt;="&amp;$C$7,BD!$A$3:$A$5001,"&lt;="&amp;$B250,BD!$N$3:$N$5001,"&lt;&gt;"))))</f>
        <v/>
      </c>
      <c r="R250" s="43" t="str">
        <f>IF(OR($B250="",$A250&gt;$B$9,R$219=""),"",IF(COUNTIFS(BD!$B$3:$B$5001,R$219,BD!$A$3:$A$5001,"&gt;="&amp;$C$7,BD!$A$3:$A$5001,"&lt;="&amp;$B250,BD!$N$3:$N$5001,"&lt;&gt;")=0,"",SUMIFS(BD!$N$3:$N$5001,BD!$B$3:$B$5001,R$219,BD!$A$3:$A$5001,_xlfn.MAXIFS(BD!$A$3:$A$5001,BD!$B$3:$B$5001,R$219,BD!$A$3:$A$5001,"&gt;="&amp;$C$7,BD!$A$3:$A$5001,"&lt;="&amp;$B250,BD!$N$3:$N$5001,"&lt;&gt;"))))</f>
        <v/>
      </c>
      <c r="S250" s="43" t="str">
        <f>IF(OR($B250="",$A250&gt;$B$9,S$219=""),"",IF(COUNTIFS(BD!$B$3:$B$5001,S$219,BD!$A$3:$A$5001,"&gt;="&amp;$C$7,BD!$A$3:$A$5001,"&lt;="&amp;$B250,BD!$N$3:$N$5001,"&lt;&gt;")=0,"",SUMIFS(BD!$N$3:$N$5001,BD!$B$3:$B$5001,S$219,BD!$A$3:$A$5001,_xlfn.MAXIFS(BD!$A$3:$A$5001,BD!$B$3:$B$5001,S$219,BD!$A$3:$A$5001,"&gt;="&amp;$C$7,BD!$A$3:$A$5001,"&lt;="&amp;$B250,BD!$N$3:$N$5001,"&lt;&gt;"))))</f>
        <v/>
      </c>
      <c r="T250" s="43" t="str">
        <f>IF(OR($B250="",$A250&gt;$B$9,T$219=""),"",IF(COUNTIFS(BD!$B$3:$B$5001,T$219,BD!$A$3:$A$5001,"&gt;="&amp;$C$7,BD!$A$3:$A$5001,"&lt;="&amp;$B250,BD!$N$3:$N$5001,"&lt;&gt;")=0,"",SUMIFS(BD!$N$3:$N$5001,BD!$B$3:$B$5001,T$219,BD!$A$3:$A$5001,_xlfn.MAXIFS(BD!$A$3:$A$5001,BD!$B$3:$B$5001,T$219,BD!$A$3:$A$5001,"&gt;="&amp;$C$7,BD!$A$3:$A$5001,"&lt;="&amp;$B250,BD!$N$3:$N$5001,"&lt;&gt;"))))</f>
        <v/>
      </c>
      <c r="U250" s="43" t="str">
        <f>IF(OR($B250="",$A250&gt;$B$9,U$219=""),"",IF(COUNTIFS(BD!$B$3:$B$5001,U$219,BD!$A$3:$A$5001,"&gt;="&amp;$C$7,BD!$A$3:$A$5001,"&lt;="&amp;$B250,BD!$N$3:$N$5001,"&lt;&gt;")=0,"",SUMIFS(BD!$N$3:$N$5001,BD!$B$3:$B$5001,U$219,BD!$A$3:$A$5001,_xlfn.MAXIFS(BD!$A$3:$A$5001,BD!$B$3:$B$5001,U$219,BD!$A$3:$A$5001,"&gt;="&amp;$C$7,BD!$A$3:$A$5001,"&lt;="&amp;$B250,BD!$N$3:$N$5001,"&lt;&gt;"))))</f>
        <v/>
      </c>
      <c r="V250" s="43" t="str">
        <f>IF(OR($B250="",$A250&gt;$B$9,V$219=""),"",IF(COUNTIFS(BD!$B$3:$B$5001,V$219,BD!$A$3:$A$5001,"&gt;="&amp;$C$7,BD!$A$3:$A$5001,"&lt;="&amp;$B250,BD!$N$3:$N$5001,"&lt;&gt;")=0,"",SUMIFS(BD!$N$3:$N$5001,BD!$B$3:$B$5001,V$219,BD!$A$3:$A$5001,_xlfn.MAXIFS(BD!$A$3:$A$5001,BD!$B$3:$B$5001,V$219,BD!$A$3:$A$5001,"&gt;="&amp;$C$7,BD!$A$3:$A$5001,"&lt;="&amp;$B250,BD!$N$3:$N$5001,"&lt;&gt;"))))</f>
        <v/>
      </c>
    </row>
    <row r="251">
      <c r="A251" s="44" t="inlineStr">
        <is>
          <t xml:space="preserve">Mês anterior (último)</t>
        </is>
      </c>
      <c r="C251" s="45" t="str">
        <f>IF(C$219="","",IF(COUNTIFS(BD!$B$3:$B$5001,C$219,BD!$A$3:$A$5001,"&gt;="&amp;$C$8,BD!$A$3:$A$5001,"&lt;="&amp;$D$8,BD!$N$3:$N$5001,"&lt;&gt;")=0,"",SUMIFS(BD!$N$3:$N$5001,BD!$B$3:$B$5001,C$219,BD!$A$3:$A$5001,_xlfn.MAXIFS(BD!$A$3:$A$5001,BD!$B$3:$B$5001,C$219,BD!$A$3:$A$5001,"&gt;="&amp;$C$8,BD!$A$3:$A$5001,"&lt;="&amp;$D$8,BD!$N$3:$N$5001,"&lt;&gt;"))))</f>
        <v/>
      </c>
      <c r="D251" s="45" t="str">
        <f>IF(D$219="","",IF(COUNTIFS(BD!$B$3:$B$5001,D$219,BD!$A$3:$A$5001,"&gt;="&amp;$C$8,BD!$A$3:$A$5001,"&lt;="&amp;$D$8,BD!$N$3:$N$5001,"&lt;&gt;")=0,"",SUMIFS(BD!$N$3:$N$5001,BD!$B$3:$B$5001,D$219,BD!$A$3:$A$5001,_xlfn.MAXIFS(BD!$A$3:$A$5001,BD!$B$3:$B$5001,D$219,BD!$A$3:$A$5001,"&gt;="&amp;$C$8,BD!$A$3:$A$5001,"&lt;="&amp;$D$8,BD!$N$3:$N$5001,"&lt;&gt;"))))</f>
        <v/>
      </c>
      <c r="E251" s="45" t="str">
        <f>IF(E$219="","",IF(COUNTIFS(BD!$B$3:$B$5001,E$219,BD!$A$3:$A$5001,"&gt;="&amp;$C$8,BD!$A$3:$A$5001,"&lt;="&amp;$D$8,BD!$N$3:$N$5001,"&lt;&gt;")=0,"",SUMIFS(BD!$N$3:$N$5001,BD!$B$3:$B$5001,E$219,BD!$A$3:$A$5001,_xlfn.MAXIFS(BD!$A$3:$A$5001,BD!$B$3:$B$5001,E$219,BD!$A$3:$A$5001,"&gt;="&amp;$C$8,BD!$A$3:$A$5001,"&lt;="&amp;$D$8,BD!$N$3:$N$5001,"&lt;&gt;"))))</f>
        <v/>
      </c>
      <c r="F251" s="45" t="str">
        <f>IF(F$219="","",IF(COUNTIFS(BD!$B$3:$B$5001,F$219,BD!$A$3:$A$5001,"&gt;="&amp;$C$8,BD!$A$3:$A$5001,"&lt;="&amp;$D$8,BD!$N$3:$N$5001,"&lt;&gt;")=0,"",SUMIFS(BD!$N$3:$N$5001,BD!$B$3:$B$5001,F$219,BD!$A$3:$A$5001,_xlfn.MAXIFS(BD!$A$3:$A$5001,BD!$B$3:$B$5001,F$219,BD!$A$3:$A$5001,"&gt;="&amp;$C$8,BD!$A$3:$A$5001,"&lt;="&amp;$D$8,BD!$N$3:$N$5001,"&lt;&gt;"))))</f>
        <v/>
      </c>
      <c r="G251" s="45" t="str">
        <f>IF(G$219="","",IF(COUNTIFS(BD!$B$3:$B$5001,G$219,BD!$A$3:$A$5001,"&gt;="&amp;$C$8,BD!$A$3:$A$5001,"&lt;="&amp;$D$8,BD!$N$3:$N$5001,"&lt;&gt;")=0,"",SUMIFS(BD!$N$3:$N$5001,BD!$B$3:$B$5001,G$219,BD!$A$3:$A$5001,_xlfn.MAXIFS(BD!$A$3:$A$5001,BD!$B$3:$B$5001,G$219,BD!$A$3:$A$5001,"&gt;="&amp;$C$8,BD!$A$3:$A$5001,"&lt;="&amp;$D$8,BD!$N$3:$N$5001,"&lt;&gt;"))))</f>
        <v/>
      </c>
      <c r="H251" s="45" t="str">
        <f>IF(H$219="","",IF(COUNTIFS(BD!$B$3:$B$5001,H$219,BD!$A$3:$A$5001,"&gt;="&amp;$C$8,BD!$A$3:$A$5001,"&lt;="&amp;$D$8,BD!$N$3:$N$5001,"&lt;&gt;")=0,"",SUMIFS(BD!$N$3:$N$5001,BD!$B$3:$B$5001,H$219,BD!$A$3:$A$5001,_xlfn.MAXIFS(BD!$A$3:$A$5001,BD!$B$3:$B$5001,H$219,BD!$A$3:$A$5001,"&gt;="&amp;$C$8,BD!$A$3:$A$5001,"&lt;="&amp;$D$8,BD!$N$3:$N$5001,"&lt;&gt;"))))</f>
        <v/>
      </c>
      <c r="I251" s="45" t="str">
        <f>IF(I$219="","",IF(COUNTIFS(BD!$B$3:$B$5001,I$219,BD!$A$3:$A$5001,"&gt;="&amp;$C$8,BD!$A$3:$A$5001,"&lt;="&amp;$D$8,BD!$N$3:$N$5001,"&lt;&gt;")=0,"",SUMIFS(BD!$N$3:$N$5001,BD!$B$3:$B$5001,I$219,BD!$A$3:$A$5001,_xlfn.MAXIFS(BD!$A$3:$A$5001,BD!$B$3:$B$5001,I$219,BD!$A$3:$A$5001,"&gt;="&amp;$C$8,BD!$A$3:$A$5001,"&lt;="&amp;$D$8,BD!$N$3:$N$5001,"&lt;&gt;"))))</f>
        <v/>
      </c>
      <c r="J251" s="45" t="str">
        <f>IF(J$219="","",IF(COUNTIFS(BD!$B$3:$B$5001,J$219,BD!$A$3:$A$5001,"&gt;="&amp;$C$8,BD!$A$3:$A$5001,"&lt;="&amp;$D$8,BD!$N$3:$N$5001,"&lt;&gt;")=0,"",SUMIFS(BD!$N$3:$N$5001,BD!$B$3:$B$5001,J$219,BD!$A$3:$A$5001,_xlfn.MAXIFS(BD!$A$3:$A$5001,BD!$B$3:$B$5001,J$219,BD!$A$3:$A$5001,"&gt;="&amp;$C$8,BD!$A$3:$A$5001,"&lt;="&amp;$D$8,BD!$N$3:$N$5001,"&lt;&gt;"))))</f>
        <v/>
      </c>
      <c r="K251" s="45" t="str">
        <f>IF(K$219="","",IF(COUNTIFS(BD!$B$3:$B$5001,K$219,BD!$A$3:$A$5001,"&gt;="&amp;$C$8,BD!$A$3:$A$5001,"&lt;="&amp;$D$8,BD!$N$3:$N$5001,"&lt;&gt;")=0,"",SUMIFS(BD!$N$3:$N$5001,BD!$B$3:$B$5001,K$219,BD!$A$3:$A$5001,_xlfn.MAXIFS(BD!$A$3:$A$5001,BD!$B$3:$B$5001,K$219,BD!$A$3:$A$5001,"&gt;="&amp;$C$8,BD!$A$3:$A$5001,"&lt;="&amp;$D$8,BD!$N$3:$N$5001,"&lt;&gt;"))))</f>
        <v/>
      </c>
      <c r="L251" s="45" t="str">
        <f>IF(L$219="","",IF(COUNTIFS(BD!$B$3:$B$5001,L$219,BD!$A$3:$A$5001,"&gt;="&amp;$C$8,BD!$A$3:$A$5001,"&lt;="&amp;$D$8,BD!$N$3:$N$5001,"&lt;&gt;")=0,"",SUMIFS(BD!$N$3:$N$5001,BD!$B$3:$B$5001,L$219,BD!$A$3:$A$5001,_xlfn.MAXIFS(BD!$A$3:$A$5001,BD!$B$3:$B$5001,L$219,BD!$A$3:$A$5001,"&gt;="&amp;$C$8,BD!$A$3:$A$5001,"&lt;="&amp;$D$8,BD!$N$3:$N$5001,"&lt;&gt;"))))</f>
        <v/>
      </c>
      <c r="M251" s="45" t="str">
        <f>IF(M$219="","",IF(COUNTIFS(BD!$B$3:$B$5001,M$219,BD!$A$3:$A$5001,"&gt;="&amp;$C$8,BD!$A$3:$A$5001,"&lt;="&amp;$D$8,BD!$N$3:$N$5001,"&lt;&gt;")=0,"",SUMIFS(BD!$N$3:$N$5001,BD!$B$3:$B$5001,M$219,BD!$A$3:$A$5001,_xlfn.MAXIFS(BD!$A$3:$A$5001,BD!$B$3:$B$5001,M$219,BD!$A$3:$A$5001,"&gt;="&amp;$C$8,BD!$A$3:$A$5001,"&lt;="&amp;$D$8,BD!$N$3:$N$5001,"&lt;&gt;"))))</f>
        <v/>
      </c>
      <c r="N251" s="45" t="str">
        <f>IF(N$219="","",IF(COUNTIFS(BD!$B$3:$B$5001,N$219,BD!$A$3:$A$5001,"&gt;="&amp;$C$8,BD!$A$3:$A$5001,"&lt;="&amp;$D$8,BD!$N$3:$N$5001,"&lt;&gt;")=0,"",SUMIFS(BD!$N$3:$N$5001,BD!$B$3:$B$5001,N$219,BD!$A$3:$A$5001,_xlfn.MAXIFS(BD!$A$3:$A$5001,BD!$B$3:$B$5001,N$219,BD!$A$3:$A$5001,"&gt;="&amp;$C$8,BD!$A$3:$A$5001,"&lt;="&amp;$D$8,BD!$N$3:$N$5001,"&lt;&gt;"))))</f>
        <v/>
      </c>
      <c r="O251" s="45" t="str">
        <f>IF(O$219="","",IF(COUNTIFS(BD!$B$3:$B$5001,O$219,BD!$A$3:$A$5001,"&gt;="&amp;$C$8,BD!$A$3:$A$5001,"&lt;="&amp;$D$8,BD!$N$3:$N$5001,"&lt;&gt;")=0,"",SUMIFS(BD!$N$3:$N$5001,BD!$B$3:$B$5001,O$219,BD!$A$3:$A$5001,_xlfn.MAXIFS(BD!$A$3:$A$5001,BD!$B$3:$B$5001,O$219,BD!$A$3:$A$5001,"&gt;="&amp;$C$8,BD!$A$3:$A$5001,"&lt;="&amp;$D$8,BD!$N$3:$N$5001,"&lt;&gt;"))))</f>
        <v/>
      </c>
      <c r="P251" s="45" t="str">
        <f>IF(P$219="","",IF(COUNTIFS(BD!$B$3:$B$5001,P$219,BD!$A$3:$A$5001,"&gt;="&amp;$C$8,BD!$A$3:$A$5001,"&lt;="&amp;$D$8,BD!$N$3:$N$5001,"&lt;&gt;")=0,"",SUMIFS(BD!$N$3:$N$5001,BD!$B$3:$B$5001,P$219,BD!$A$3:$A$5001,_xlfn.MAXIFS(BD!$A$3:$A$5001,BD!$B$3:$B$5001,P$219,BD!$A$3:$A$5001,"&gt;="&amp;$C$8,BD!$A$3:$A$5001,"&lt;="&amp;$D$8,BD!$N$3:$N$5001,"&lt;&gt;"))))</f>
        <v/>
      </c>
      <c r="Q251" s="45" t="str">
        <f>IF(Q$219="","",IF(COUNTIFS(BD!$B$3:$B$5001,Q$219,BD!$A$3:$A$5001,"&gt;="&amp;$C$8,BD!$A$3:$A$5001,"&lt;="&amp;$D$8,BD!$N$3:$N$5001,"&lt;&gt;")=0,"",SUMIFS(BD!$N$3:$N$5001,BD!$B$3:$B$5001,Q$219,BD!$A$3:$A$5001,_xlfn.MAXIFS(BD!$A$3:$A$5001,BD!$B$3:$B$5001,Q$219,BD!$A$3:$A$5001,"&gt;="&amp;$C$8,BD!$A$3:$A$5001,"&lt;="&amp;$D$8,BD!$N$3:$N$5001,"&lt;&gt;"))))</f>
        <v/>
      </c>
      <c r="R251" s="45" t="str">
        <f>IF(R$219="","",IF(COUNTIFS(BD!$B$3:$B$5001,R$219,BD!$A$3:$A$5001,"&gt;="&amp;$C$8,BD!$A$3:$A$5001,"&lt;="&amp;$D$8,BD!$N$3:$N$5001,"&lt;&gt;")=0,"",SUMIFS(BD!$N$3:$N$5001,BD!$B$3:$B$5001,R$219,BD!$A$3:$A$5001,_xlfn.MAXIFS(BD!$A$3:$A$5001,BD!$B$3:$B$5001,R$219,BD!$A$3:$A$5001,"&gt;="&amp;$C$8,BD!$A$3:$A$5001,"&lt;="&amp;$D$8,BD!$N$3:$N$5001,"&lt;&gt;"))))</f>
        <v/>
      </c>
      <c r="S251" s="45" t="str">
        <f>IF(S$219="","",IF(COUNTIFS(BD!$B$3:$B$5001,S$219,BD!$A$3:$A$5001,"&gt;="&amp;$C$8,BD!$A$3:$A$5001,"&lt;="&amp;$D$8,BD!$N$3:$N$5001,"&lt;&gt;")=0,"",SUMIFS(BD!$N$3:$N$5001,BD!$B$3:$B$5001,S$219,BD!$A$3:$A$5001,_xlfn.MAXIFS(BD!$A$3:$A$5001,BD!$B$3:$B$5001,S$219,BD!$A$3:$A$5001,"&gt;="&amp;$C$8,BD!$A$3:$A$5001,"&lt;="&amp;$D$8,BD!$N$3:$N$5001,"&lt;&gt;"))))</f>
        <v/>
      </c>
      <c r="T251" s="45" t="str">
        <f>IF(T$219="","",IF(COUNTIFS(BD!$B$3:$B$5001,T$219,BD!$A$3:$A$5001,"&gt;="&amp;$C$8,BD!$A$3:$A$5001,"&lt;="&amp;$D$8,BD!$N$3:$N$5001,"&lt;&gt;")=0,"",SUMIFS(BD!$N$3:$N$5001,BD!$B$3:$B$5001,T$219,BD!$A$3:$A$5001,_xlfn.MAXIFS(BD!$A$3:$A$5001,BD!$B$3:$B$5001,T$219,BD!$A$3:$A$5001,"&gt;="&amp;$C$8,BD!$A$3:$A$5001,"&lt;="&amp;$D$8,BD!$N$3:$N$5001,"&lt;&gt;"))))</f>
        <v/>
      </c>
      <c r="U251" s="45" t="str">
        <f>IF(U$219="","",IF(COUNTIFS(BD!$B$3:$B$5001,U$219,BD!$A$3:$A$5001,"&gt;="&amp;$C$8,BD!$A$3:$A$5001,"&lt;="&amp;$D$8,BD!$N$3:$N$5001,"&lt;&gt;")=0,"",SUMIFS(BD!$N$3:$N$5001,BD!$B$3:$B$5001,U$219,BD!$A$3:$A$5001,_xlfn.MAXIFS(BD!$A$3:$A$5001,BD!$B$3:$B$5001,U$219,BD!$A$3:$A$5001,"&gt;="&amp;$C$8,BD!$A$3:$A$5001,"&lt;="&amp;$D$8,BD!$N$3:$N$5001,"&lt;&gt;"))))</f>
        <v/>
      </c>
      <c r="V251" s="45" t="str">
        <f>IF(V$219="","",IF(COUNTIFS(BD!$B$3:$B$5001,V$219,BD!$A$3:$A$5001,"&gt;="&amp;$C$8,BD!$A$3:$A$5001,"&lt;="&amp;$D$8,BD!$N$3:$N$5001,"&lt;&gt;")=0,"",SUMIFS(BD!$N$3:$N$5001,BD!$B$3:$B$5001,V$219,BD!$A$3:$A$5001,_xlfn.MAXIFS(BD!$A$3:$A$5001,BD!$B$3:$B$5001,V$219,BD!$A$3:$A$5001,"&gt;="&amp;$C$8,BD!$A$3:$A$5001,"&lt;="&amp;$D$8,BD!$N$3:$N$5001,"&lt;&gt;"))))</f>
        <v/>
      </c>
    </row>
    <row r="252">
      <c r="A252" s="44" t="inlineStr">
        <is>
          <t xml:space="preserve">Depósito</t>
        </is>
      </c>
      <c r="C252" s="38" t="str">
        <f>IF(Config!$C$10="","JSL",Config!$C$10)</f>
        <v>JSL</v>
      </c>
      <c r="D252" s="38" t="str">
        <f>IF(Config!$C$11="","JSL",Config!$C$11)</f>
        <v>JSL</v>
      </c>
      <c r="E252" s="38" t="str">
        <f>IF(Config!$C$12="","JSL",Config!$C$12)</f>
        <v>JSL</v>
      </c>
      <c r="F252" s="38" t="str">
        <f>IF(Config!$C$13="","JSL",Config!$C$13)</f>
        <v>JSL</v>
      </c>
      <c r="G252" s="38" t="str">
        <f>IF(Config!$C$14="","JSL",Config!$C$14)</f>
        <v>JSL</v>
      </c>
      <c r="H252" s="38" t="str">
        <f>IF(Config!$C$15="","JSL",Config!$C$15)</f>
        <v>JSL</v>
      </c>
      <c r="I252" s="38" t="str">
        <f>IF(Config!$C$16="","JSL",Config!$C$16)</f>
        <v>JSL</v>
      </c>
      <c r="J252" s="38" t="str">
        <f>IF(Config!$C$17="","JSL",Config!$C$17)</f>
        <v>JSL</v>
      </c>
      <c r="K252" s="38" t="str">
        <f>IF(Config!$C$18="","JSL",Config!$C$18)</f>
        <v>JSL</v>
      </c>
      <c r="L252" s="38" t="str">
        <f>IF(Config!$C$19="","JSL",Config!$C$19)</f>
        <v>JSL</v>
      </c>
      <c r="M252" s="38" t="str">
        <f>IF(Config!$C$20="","JSL",Config!$C$20)</f>
        <v>JSL</v>
      </c>
      <c r="N252" s="38" t="str">
        <f>IF(Config!$C$21="","JSL",Config!$C$21)</f>
        <v>JSL</v>
      </c>
      <c r="O252" s="38" t="str">
        <f>IF(Config!$C$22="","JSL",Config!$C$22)</f>
        <v>JSL</v>
      </c>
      <c r="P252" s="38" t="str">
        <f>IF(Config!$C$23="","JSL",Config!$C$23)</f>
        <v>JSL</v>
      </c>
      <c r="Q252" s="38" t="str">
        <f>IF(Config!$C$24="","JSL",Config!$C$24)</f>
        <v>JSL</v>
      </c>
      <c r="R252" s="38" t="str">
        <f>IF(Config!$C$25="","JSL",Config!$C$25)</f>
        <v>JSL</v>
      </c>
      <c r="S252" s="38" t="str">
        <f>IF(Config!$C$26="","JSL",Config!$C$26)</f>
        <v>JSL</v>
      </c>
      <c r="T252" s="38" t="str">
        <f>IF(Config!$C$27="","JSL",Config!$C$27)</f>
        <v>JSL</v>
      </c>
      <c r="U252" s="38" t="str">
        <f>IF(Config!$C$28="","JSL",Config!$C$28)</f>
        <v>JSL</v>
      </c>
      <c r="V252" s="38" t="str">
        <f>IF(Config!$C$29="","JSL",Config!$C$29)</f>
        <v>JSL</v>
      </c>
    </row>
    <row r="256">
      <c r="A256" s="19" t="inlineStr">
        <is>
          <t xml:space="preserve">RESUMO POR CLIENTE — clientes visíveis pelo filtro do Consol Mensal</t>
        </is>
      </c>
    </row>
    <row r="257">
      <c r="A257" s="37" t="inlineStr">
        <is>
          <t xml:space="preserve">Cliente</t>
        </is>
      </c>
      <c r="B257" s="37" t="inlineStr">
        <is>
          <t xml:space="preserve">Depósito</t>
        </is>
      </c>
      <c r="C257" s="37" t="inlineStr">
        <is>
          <t xml:space="preserve">Entra?</t>
        </is>
      </c>
      <c r="D257" s="37" t="inlineStr">
        <is>
          <t xml:space="preserve">Ordem</t>
        </is>
      </c>
      <c r="F257" s="37" t="inlineStr">
        <is>
          <t xml:space="preserve">Posição</t>
        </is>
      </c>
      <c r="G257" s="37" t="inlineStr">
        <is>
          <t xml:space="preserve">Cliente visível</t>
        </is>
      </c>
      <c r="H257" s="37" t="inlineStr">
        <is>
          <t xml:space="preserve">Depósito visível</t>
        </is>
      </c>
    </row>
    <row r="258">
      <c r="A258" s="65" t="str">
        <f>Config!$B$10&amp;""</f>
        <v>Barry Callebaut</v>
      </c>
      <c r="B258" s="38" t="str">
        <f>IF(Config!$C$10="","JSL",Config!$C$10)</f>
        <v>JSL</v>
      </c>
      <c r="C258" s="38">
        <f>IF($A258="",0,IF(OR($B$2="Todos",AND($C$2=2,$B258=$D$2),AND($C$2=1,$A258=$D$2)),1,0))</f>
        <v>1</v>
      </c>
      <c r="D258" s="38">
        <f>IF($C258=1,SUM($C$258:$C258),"")</f>
        <v>1</v>
      </c>
      <c r="F258" s="38">
        <v>1</v>
      </c>
      <c r="G258" s="65" t="str">
        <f>IFERROR(INDEX($A$258:$A$277,MATCH($F258,$D$258:$D$277,0)),"")</f>
        <v>Barry Callebaut</v>
      </c>
      <c r="H258" s="38" t="str">
        <f>IFERROR(INDEX($B$258:$B$277,MATCH($F258,$D$258:$D$277,0)),"")</f>
        <v>JSL</v>
      </c>
    </row>
    <row r="259">
      <c r="A259" s="65" t="str">
        <f>Config!$B$11&amp;""</f>
        <v>GM</v>
      </c>
      <c r="B259" s="38" t="str">
        <f>IF(Config!$C$11="","JSL",Config!$C$11)</f>
        <v>JSL</v>
      </c>
      <c r="C259" s="38">
        <f>IF($A259="",0,IF(OR($B$2="Todos",AND($C$2=2,$B259=$D$2),AND($C$2=1,$A259=$D$2)),1,0))</f>
        <v>1</v>
      </c>
      <c r="D259" s="38">
        <f>IF($C259=1,SUM($C$258:$C259),"")</f>
        <v>2</v>
      </c>
      <c r="F259" s="38">
        <v>2</v>
      </c>
      <c r="G259" s="65" t="str">
        <f>IFERROR(INDEX($A$258:$A$277,MATCH($F259,$D$258:$D$277,0)),"")</f>
        <v>GM</v>
      </c>
      <c r="H259" s="38" t="str">
        <f>IFERROR(INDEX($B$258:$B$277,MATCH($F259,$D$258:$D$277,0)),"")</f>
        <v>JSL</v>
      </c>
    </row>
    <row r="260">
      <c r="A260" s="65" t="str">
        <f>Config!$B$12&amp;""</f>
        <v>Mondelez</v>
      </c>
      <c r="B260" s="38" t="str">
        <f>IF(Config!$C$12="","JSL",Config!$C$12)</f>
        <v>JSL</v>
      </c>
      <c r="C260" s="38">
        <f>IF($A260="",0,IF(OR($B$2="Todos",AND($C$2=2,$B260=$D$2),AND($C$2=1,$A260=$D$2)),1,0))</f>
        <v>1</v>
      </c>
      <c r="D260" s="38">
        <f>IF($C260=1,SUM($C$258:$C260),"")</f>
        <v>3</v>
      </c>
      <c r="F260" s="38">
        <v>3</v>
      </c>
      <c r="G260" s="65" t="str">
        <f>IFERROR(INDEX($A$258:$A$277,MATCH($F260,$D$258:$D$277,0)),"")</f>
        <v>Mondelez</v>
      </c>
      <c r="H260" s="38" t="str">
        <f>IFERROR(INDEX($B$258:$B$277,MATCH($F260,$D$258:$D$277,0)),"")</f>
        <v>JSL</v>
      </c>
    </row>
    <row r="261">
      <c r="A261" s="65" t="str">
        <f>Config!$B$13&amp;""</f>
        <v>Nestlé</v>
      </c>
      <c r="B261" s="38" t="str">
        <f>IF(Config!$C$13="","JSL",Config!$C$13)</f>
        <v>JSL</v>
      </c>
      <c r="C261" s="38">
        <f>IF($A261="",0,IF(OR($B$2="Todos",AND($C$2=2,$B261=$D$2),AND($C$2=1,$A261=$D$2)),1,0))</f>
        <v>1</v>
      </c>
      <c r="D261" s="38">
        <f>IF($C261=1,SUM($C$258:$C261),"")</f>
        <v>4</v>
      </c>
      <c r="F261" s="38">
        <v>4</v>
      </c>
      <c r="G261" s="65" t="str">
        <f>IFERROR(INDEX($A$258:$A$277,MATCH($F261,$D$258:$D$277,0)),"")</f>
        <v>Nestlé</v>
      </c>
      <c r="H261" s="38" t="str">
        <f>IFERROR(INDEX($B$258:$B$277,MATCH($F261,$D$258:$D$277,0)),"")</f>
        <v>JSL</v>
      </c>
    </row>
    <row r="262">
      <c r="A262" s="65" t="str">
        <f>Config!$B$14&amp;""</f>
        <v>PMB</v>
      </c>
      <c r="B262" s="38" t="str">
        <f>IF(Config!$C$14="","JSL",Config!$C$14)</f>
        <v>JSL</v>
      </c>
      <c r="C262" s="38">
        <f>IF($A262="",0,IF(OR($B$2="Todos",AND($C$2=2,$B262=$D$2),AND($C$2=1,$A262=$D$2)),1,0))</f>
        <v>1</v>
      </c>
      <c r="D262" s="38">
        <f>IF($C262=1,SUM($C$258:$C262),"")</f>
        <v>5</v>
      </c>
      <c r="F262" s="38">
        <v>5</v>
      </c>
      <c r="G262" s="65" t="str">
        <f>IFERROR(INDEX($A$258:$A$277,MATCH($F262,$D$258:$D$277,0)),"")</f>
        <v>PMB</v>
      </c>
      <c r="H262" s="38" t="str">
        <f>IFERROR(INDEX($B$258:$B$277,MATCH($F262,$D$258:$D$277,0)),"")</f>
        <v>JSL</v>
      </c>
    </row>
    <row r="263">
      <c r="A263" s="65" t="str">
        <f>Config!$B$15&amp;""</f>
        <v/>
      </c>
      <c r="B263" s="38" t="str">
        <f>IF(Config!$C$15="","JSL",Config!$C$15)</f>
        <v>JSL</v>
      </c>
      <c r="C263" s="38">
        <f>IF($A263="",0,IF(OR($B$2="Todos",AND($C$2=2,$B263=$D$2),AND($C$2=1,$A263=$D$2)),1,0))</f>
        <v>0</v>
      </c>
      <c r="D263" s="38" t="str">
        <f>IF($C263=1,SUM($C$258:$C263),"")</f>
        <v/>
      </c>
      <c r="F263" s="38">
        <v>6</v>
      </c>
      <c r="G263" s="65" t="str">
        <f>IFERROR(INDEX($A$258:$A$277,MATCH($F263,$D$258:$D$277,0)),"")</f>
        <v/>
      </c>
      <c r="H263" s="38" t="str">
        <f>IFERROR(INDEX($B$258:$B$277,MATCH($F263,$D$258:$D$277,0)),"")</f>
        <v/>
      </c>
    </row>
    <row r="264">
      <c r="A264" s="65" t="str">
        <f>Config!$B$16&amp;""</f>
        <v/>
      </c>
      <c r="B264" s="38" t="str">
        <f>IF(Config!$C$16="","JSL",Config!$C$16)</f>
        <v>JSL</v>
      </c>
      <c r="C264" s="38">
        <f>IF($A264="",0,IF(OR($B$2="Todos",AND($C$2=2,$B264=$D$2),AND($C$2=1,$A264=$D$2)),1,0))</f>
        <v>0</v>
      </c>
      <c r="D264" s="38" t="str">
        <f>IF($C264=1,SUM($C$258:$C264),"")</f>
        <v/>
      </c>
      <c r="F264" s="38">
        <v>7</v>
      </c>
      <c r="G264" s="65" t="str">
        <f>IFERROR(INDEX($A$258:$A$277,MATCH($F264,$D$258:$D$277,0)),"")</f>
        <v/>
      </c>
      <c r="H264" s="38" t="str">
        <f>IFERROR(INDEX($B$258:$B$277,MATCH($F264,$D$258:$D$277,0)),"")</f>
        <v/>
      </c>
    </row>
    <row r="265">
      <c r="A265" s="65" t="str">
        <f>Config!$B$17&amp;""</f>
        <v/>
      </c>
      <c r="B265" s="38" t="str">
        <f>IF(Config!$C$17="","JSL",Config!$C$17)</f>
        <v>JSL</v>
      </c>
      <c r="C265" s="38">
        <f>IF($A265="",0,IF(OR($B$2="Todos",AND($C$2=2,$B265=$D$2),AND($C$2=1,$A265=$D$2)),1,0))</f>
        <v>0</v>
      </c>
      <c r="D265" s="38" t="str">
        <f>IF($C265=1,SUM($C$258:$C265),"")</f>
        <v/>
      </c>
      <c r="F265" s="38">
        <v>8</v>
      </c>
      <c r="G265" s="65" t="str">
        <f>IFERROR(INDEX($A$258:$A$277,MATCH($F265,$D$258:$D$277,0)),"")</f>
        <v/>
      </c>
      <c r="H265" s="38" t="str">
        <f>IFERROR(INDEX($B$258:$B$277,MATCH($F265,$D$258:$D$277,0)),"")</f>
        <v/>
      </c>
    </row>
    <row r="266">
      <c r="A266" s="65" t="str">
        <f>Config!$B$18&amp;""</f>
        <v/>
      </c>
      <c r="B266" s="38" t="str">
        <f>IF(Config!$C$18="","JSL",Config!$C$18)</f>
        <v>JSL</v>
      </c>
      <c r="C266" s="38">
        <f>IF($A266="",0,IF(OR($B$2="Todos",AND($C$2=2,$B266=$D$2),AND($C$2=1,$A266=$D$2)),1,0))</f>
        <v>0</v>
      </c>
      <c r="D266" s="38" t="str">
        <f>IF($C266=1,SUM($C$258:$C266),"")</f>
        <v/>
      </c>
      <c r="F266" s="38">
        <v>9</v>
      </c>
      <c r="G266" s="65" t="str">
        <f>IFERROR(INDEX($A$258:$A$277,MATCH($F266,$D$258:$D$277,0)),"")</f>
        <v/>
      </c>
      <c r="H266" s="38" t="str">
        <f>IFERROR(INDEX($B$258:$B$277,MATCH($F266,$D$258:$D$277,0)),"")</f>
        <v/>
      </c>
    </row>
    <row r="267">
      <c r="A267" s="65" t="str">
        <f>Config!$B$19&amp;""</f>
        <v/>
      </c>
      <c r="B267" s="38" t="str">
        <f>IF(Config!$C$19="","JSL",Config!$C$19)</f>
        <v>JSL</v>
      </c>
      <c r="C267" s="38">
        <f>IF($A267="",0,IF(OR($B$2="Todos",AND($C$2=2,$B267=$D$2),AND($C$2=1,$A267=$D$2)),1,0))</f>
        <v>0</v>
      </c>
      <c r="D267" s="38" t="str">
        <f>IF($C267=1,SUM($C$258:$C267),"")</f>
        <v/>
      </c>
      <c r="F267" s="38">
        <v>10</v>
      </c>
      <c r="G267" s="65" t="str">
        <f>IFERROR(INDEX($A$258:$A$277,MATCH($F267,$D$258:$D$277,0)),"")</f>
        <v/>
      </c>
      <c r="H267" s="38" t="str">
        <f>IFERROR(INDEX($B$258:$B$277,MATCH($F267,$D$258:$D$277,0)),"")</f>
        <v/>
      </c>
    </row>
    <row r="268">
      <c r="A268" s="65" t="str">
        <f>Config!$B$20&amp;""</f>
        <v/>
      </c>
      <c r="B268" s="38" t="str">
        <f>IF(Config!$C$20="","JSL",Config!$C$20)</f>
        <v>JSL</v>
      </c>
      <c r="C268" s="38">
        <f>IF($A268="",0,IF(OR($B$2="Todos",AND($C$2=2,$B268=$D$2),AND($C$2=1,$A268=$D$2)),1,0))</f>
        <v>0</v>
      </c>
      <c r="D268" s="38" t="str">
        <f>IF($C268=1,SUM($C$258:$C268),"")</f>
        <v/>
      </c>
      <c r="F268" s="38">
        <v>11</v>
      </c>
      <c r="G268" s="65" t="str">
        <f>IFERROR(INDEX($A$258:$A$277,MATCH($F268,$D$258:$D$277,0)),"")</f>
        <v/>
      </c>
      <c r="H268" s="38" t="str">
        <f>IFERROR(INDEX($B$258:$B$277,MATCH($F268,$D$258:$D$277,0)),"")</f>
        <v/>
      </c>
    </row>
    <row r="269">
      <c r="A269" s="65" t="str">
        <f>Config!$B$21&amp;""</f>
        <v/>
      </c>
      <c r="B269" s="38" t="str">
        <f>IF(Config!$C$21="","JSL",Config!$C$21)</f>
        <v>JSL</v>
      </c>
      <c r="C269" s="38">
        <f>IF($A269="",0,IF(OR($B$2="Todos",AND($C$2=2,$B269=$D$2),AND($C$2=1,$A269=$D$2)),1,0))</f>
        <v>0</v>
      </c>
      <c r="D269" s="38" t="str">
        <f>IF($C269=1,SUM($C$258:$C269),"")</f>
        <v/>
      </c>
      <c r="F269" s="38">
        <v>12</v>
      </c>
      <c r="G269" s="65" t="str">
        <f>IFERROR(INDEX($A$258:$A$277,MATCH($F269,$D$258:$D$277,0)),"")</f>
        <v/>
      </c>
      <c r="H269" s="38" t="str">
        <f>IFERROR(INDEX($B$258:$B$277,MATCH($F269,$D$258:$D$277,0)),"")</f>
        <v/>
      </c>
    </row>
    <row r="270">
      <c r="A270" s="65" t="str">
        <f>Config!$B$22&amp;""</f>
        <v/>
      </c>
      <c r="B270" s="38" t="str">
        <f>IF(Config!$C$22="","JSL",Config!$C$22)</f>
        <v>JSL</v>
      </c>
      <c r="C270" s="38">
        <f>IF($A270="",0,IF(OR($B$2="Todos",AND($C$2=2,$B270=$D$2),AND($C$2=1,$A270=$D$2)),1,0))</f>
        <v>0</v>
      </c>
      <c r="D270" s="38" t="str">
        <f>IF($C270=1,SUM($C$258:$C270),"")</f>
        <v/>
      </c>
      <c r="F270" s="38">
        <v>13</v>
      </c>
      <c r="G270" s="65" t="str">
        <f>IFERROR(INDEX($A$258:$A$277,MATCH($F270,$D$258:$D$277,0)),"")</f>
        <v/>
      </c>
      <c r="H270" s="38" t="str">
        <f>IFERROR(INDEX($B$258:$B$277,MATCH($F270,$D$258:$D$277,0)),"")</f>
        <v/>
      </c>
    </row>
    <row r="271">
      <c r="A271" s="65" t="str">
        <f>Config!$B$23&amp;""</f>
        <v/>
      </c>
      <c r="B271" s="38" t="str">
        <f>IF(Config!$C$23="","JSL",Config!$C$23)</f>
        <v>JSL</v>
      </c>
      <c r="C271" s="38">
        <f>IF($A271="",0,IF(OR($B$2="Todos",AND($C$2=2,$B271=$D$2),AND($C$2=1,$A271=$D$2)),1,0))</f>
        <v>0</v>
      </c>
      <c r="D271" s="38" t="str">
        <f>IF($C271=1,SUM($C$258:$C271),"")</f>
        <v/>
      </c>
      <c r="F271" s="38">
        <v>14</v>
      </c>
      <c r="G271" s="65" t="str">
        <f>IFERROR(INDEX($A$258:$A$277,MATCH($F271,$D$258:$D$277,0)),"")</f>
        <v/>
      </c>
      <c r="H271" s="38" t="str">
        <f>IFERROR(INDEX($B$258:$B$277,MATCH($F271,$D$258:$D$277,0)),"")</f>
        <v/>
      </c>
    </row>
    <row r="272">
      <c r="A272" s="65" t="str">
        <f>Config!$B$24&amp;""</f>
        <v/>
      </c>
      <c r="B272" s="38" t="str">
        <f>IF(Config!$C$24="","JSL",Config!$C$24)</f>
        <v>JSL</v>
      </c>
      <c r="C272" s="38">
        <f>IF($A272="",0,IF(OR($B$2="Todos",AND($C$2=2,$B272=$D$2),AND($C$2=1,$A272=$D$2)),1,0))</f>
        <v>0</v>
      </c>
      <c r="D272" s="38" t="str">
        <f>IF($C272=1,SUM($C$258:$C272),"")</f>
        <v/>
      </c>
      <c r="F272" s="38">
        <v>15</v>
      </c>
      <c r="G272" s="65" t="str">
        <f>IFERROR(INDEX($A$258:$A$277,MATCH($F272,$D$258:$D$277,0)),"")</f>
        <v/>
      </c>
      <c r="H272" s="38" t="str">
        <f>IFERROR(INDEX($B$258:$B$277,MATCH($F272,$D$258:$D$277,0)),"")</f>
        <v/>
      </c>
    </row>
    <row r="273">
      <c r="A273" s="65" t="str">
        <f>Config!$B$25&amp;""</f>
        <v/>
      </c>
      <c r="B273" s="38" t="str">
        <f>IF(Config!$C$25="","JSL",Config!$C$25)</f>
        <v>JSL</v>
      </c>
      <c r="C273" s="38">
        <f>IF($A273="",0,IF(OR($B$2="Todos",AND($C$2=2,$B273=$D$2),AND($C$2=1,$A273=$D$2)),1,0))</f>
        <v>0</v>
      </c>
      <c r="D273" s="38" t="str">
        <f>IF($C273=1,SUM($C$258:$C273),"")</f>
        <v/>
      </c>
      <c r="F273" s="38">
        <v>16</v>
      </c>
      <c r="G273" s="65" t="str">
        <f>IFERROR(INDEX($A$258:$A$277,MATCH($F273,$D$258:$D$277,0)),"")</f>
        <v/>
      </c>
      <c r="H273" s="38" t="str">
        <f>IFERROR(INDEX($B$258:$B$277,MATCH($F273,$D$258:$D$277,0)),"")</f>
        <v/>
      </c>
    </row>
    <row r="274">
      <c r="A274" s="65" t="str">
        <f>Config!$B$26&amp;""</f>
        <v/>
      </c>
      <c r="B274" s="38" t="str">
        <f>IF(Config!$C$26="","JSL",Config!$C$26)</f>
        <v>JSL</v>
      </c>
      <c r="C274" s="38">
        <f>IF($A274="",0,IF(OR($B$2="Todos",AND($C$2=2,$B274=$D$2),AND($C$2=1,$A274=$D$2)),1,0))</f>
        <v>0</v>
      </c>
      <c r="D274" s="38" t="str">
        <f>IF($C274=1,SUM($C$258:$C274),"")</f>
        <v/>
      </c>
      <c r="F274" s="38">
        <v>17</v>
      </c>
      <c r="G274" s="65" t="str">
        <f>IFERROR(INDEX($A$258:$A$277,MATCH($F274,$D$258:$D$277,0)),"")</f>
        <v/>
      </c>
      <c r="H274" s="38" t="str">
        <f>IFERROR(INDEX($B$258:$B$277,MATCH($F274,$D$258:$D$277,0)),"")</f>
        <v/>
      </c>
    </row>
    <row r="275">
      <c r="A275" s="65" t="str">
        <f>Config!$B$27&amp;""</f>
        <v/>
      </c>
      <c r="B275" s="38" t="str">
        <f>IF(Config!$C$27="","JSL",Config!$C$27)</f>
        <v>JSL</v>
      </c>
      <c r="C275" s="38">
        <f>IF($A275="",0,IF(OR($B$2="Todos",AND($C$2=2,$B275=$D$2),AND($C$2=1,$A275=$D$2)),1,0))</f>
        <v>0</v>
      </c>
      <c r="D275" s="38" t="str">
        <f>IF($C275=1,SUM($C$258:$C275),"")</f>
        <v/>
      </c>
      <c r="F275" s="38">
        <v>18</v>
      </c>
      <c r="G275" s="65" t="str">
        <f>IFERROR(INDEX($A$258:$A$277,MATCH($F275,$D$258:$D$277,0)),"")</f>
        <v/>
      </c>
      <c r="H275" s="38" t="str">
        <f>IFERROR(INDEX($B$258:$B$277,MATCH($F275,$D$258:$D$277,0)),"")</f>
        <v/>
      </c>
    </row>
    <row r="276">
      <c r="A276" s="65" t="str">
        <f>Config!$B$28&amp;""</f>
        <v/>
      </c>
      <c r="B276" s="38" t="str">
        <f>IF(Config!$C$28="","JSL",Config!$C$28)</f>
        <v>JSL</v>
      </c>
      <c r="C276" s="38">
        <f>IF($A276="",0,IF(OR($B$2="Todos",AND($C$2=2,$B276=$D$2),AND($C$2=1,$A276=$D$2)),1,0))</f>
        <v>0</v>
      </c>
      <c r="D276" s="38" t="str">
        <f>IF($C276=1,SUM($C$258:$C276),"")</f>
        <v/>
      </c>
      <c r="F276" s="38">
        <v>19</v>
      </c>
      <c r="G276" s="65" t="str">
        <f>IFERROR(INDEX($A$258:$A$277,MATCH($F276,$D$258:$D$277,0)),"")</f>
        <v/>
      </c>
      <c r="H276" s="38" t="str">
        <f>IFERROR(INDEX($B$258:$B$277,MATCH($F276,$D$258:$D$277,0)),"")</f>
        <v/>
      </c>
    </row>
    <row r="277">
      <c r="A277" s="65" t="str">
        <f>Config!$B$29&amp;""</f>
        <v/>
      </c>
      <c r="B277" s="38" t="str">
        <f>IF(Config!$C$29="","JSL",Config!$C$29)</f>
        <v>JSL</v>
      </c>
      <c r="C277" s="38">
        <f>IF($A277="",0,IF(OR($B$2="Todos",AND($C$2=2,$B277=$D$2),AND($C$2=1,$A277=$D$2)),1,0))</f>
        <v>0</v>
      </c>
      <c r="D277" s="38" t="str">
        <f>IF($C277=1,SUM($C$258:$C277),"")</f>
        <v/>
      </c>
      <c r="F277" s="38">
        <v>20</v>
      </c>
      <c r="G277" s="65" t="str">
        <f>IFERROR(INDEX($A$258:$A$277,MATCH($F277,$D$258:$D$277,0)),"")</f>
        <v/>
      </c>
      <c r="H277" s="38" t="str">
        <f>IFERROR(INDEX($B$258:$B$277,MATCH($F277,$D$258:$D$277,0)),"")</f>
        <v/>
      </c>
    </row>
    <row r="279">
      <c r="A279" s="19" t="inlineStr">
        <is>
          <t xml:space="preserve">INDICADORES MEDIDOS POR CLIENTE (1 = mede) — o quadro mostra "—" quando o cliente filtrado não mede</t>
        </is>
      </c>
    </row>
    <row r="280">
      <c r="A280" s="37" t="inlineStr">
        <is>
          <t xml:space="preserve">Indicador</t>
        </is>
      </c>
      <c r="B280" s="37" t="inlineStr">
        <is>
          <t xml:space="preserve">Mede (seleção)</t>
        </is>
      </c>
      <c r="C280" s="37" t="str">
        <f>Config!$B$10&amp;""</f>
        <v>Barry Callebaut</v>
      </c>
      <c r="D280" s="37" t="str">
        <f>Config!$B$11&amp;""</f>
        <v>GM</v>
      </c>
      <c r="E280" s="37" t="str">
        <f>Config!$B$12&amp;""</f>
        <v>Mondelez</v>
      </c>
      <c r="F280" s="37" t="str">
        <f>Config!$B$13&amp;""</f>
        <v>Nestlé</v>
      </c>
      <c r="G280" s="37" t="str">
        <f>Config!$B$14&amp;""</f>
        <v>PMB</v>
      </c>
      <c r="H280" s="37" t="str">
        <f>Config!$B$15&amp;""</f>
        <v/>
      </c>
      <c r="I280" s="37" t="str">
        <f>Config!$B$16&amp;""</f>
        <v/>
      </c>
      <c r="J280" s="37" t="str">
        <f>Config!$B$17&amp;""</f>
        <v/>
      </c>
      <c r="K280" s="37" t="str">
        <f>Config!$B$18&amp;""</f>
        <v/>
      </c>
      <c r="L280" s="37" t="str">
        <f>Config!$B$19&amp;""</f>
        <v/>
      </c>
      <c r="M280" s="37" t="str">
        <f>Config!$B$20&amp;""</f>
        <v/>
      </c>
      <c r="N280" s="37" t="str">
        <f>Config!$B$21&amp;""</f>
        <v/>
      </c>
      <c r="O280" s="37" t="str">
        <f>Config!$B$22&amp;""</f>
        <v/>
      </c>
      <c r="P280" s="37" t="str">
        <f>Config!$B$23&amp;""</f>
        <v/>
      </c>
      <c r="Q280" s="37" t="str">
        <f>Config!$B$24&amp;""</f>
        <v/>
      </c>
      <c r="R280" s="37" t="str">
        <f>Config!$B$25&amp;""</f>
        <v/>
      </c>
      <c r="S280" s="37" t="str">
        <f>Config!$B$26&amp;""</f>
        <v/>
      </c>
      <c r="T280" s="37" t="str">
        <f>Config!$B$27&amp;""</f>
        <v/>
      </c>
      <c r="U280" s="37" t="str">
        <f>Config!$B$28&amp;""</f>
        <v/>
      </c>
      <c r="V280" s="37" t="str">
        <f>Config!$B$29&amp;""</f>
        <v/>
      </c>
    </row>
    <row r="281">
      <c r="A281" s="65" t="inlineStr">
        <is>
          <t xml:space="preserve">IN · Veículos Recebidos</t>
        </is>
      </c>
      <c r="B281" s="39">
        <f>IF(OR($B$2="Todos",$C$2=2),1,IFERROR(INDEX($C$281:$V$281,MATCH($D$2,$C$280:$V$280,0)),1))</f>
        <v>1</v>
      </c>
      <c r="C281" s="38">
        <f>IF(Config!$D$35&lt;&gt;"Não",1,0)</f>
        <v>1</v>
      </c>
      <c r="D281" s="38">
        <f>IF(Config!$D$36&lt;&gt;"Não",1,0)</f>
        <v>0</v>
      </c>
      <c r="E281" s="38">
        <f>IF(Config!$D$37&lt;&gt;"Não",1,0)</f>
        <v>1</v>
      </c>
      <c r="F281" s="38">
        <f>IF(Config!$D$38&lt;&gt;"Não",1,0)</f>
        <v>1</v>
      </c>
      <c r="G281" s="38">
        <f>IF(Config!$D$39&lt;&gt;"Não",1,0)</f>
        <v>1</v>
      </c>
      <c r="H281" s="38">
        <f>IF(Config!$D$40&lt;&gt;"Não",1,0)</f>
        <v>1</v>
      </c>
      <c r="I281" s="38">
        <f>IF(Config!$D$41&lt;&gt;"Não",1,0)</f>
        <v>1</v>
      </c>
      <c r="J281" s="38">
        <f>IF(Config!$D$42&lt;&gt;"Não",1,0)</f>
        <v>1</v>
      </c>
      <c r="K281" s="38">
        <f>IF(Config!$D$43&lt;&gt;"Não",1,0)</f>
        <v>1</v>
      </c>
      <c r="L281" s="38">
        <f>IF(Config!$D$44&lt;&gt;"Não",1,0)</f>
        <v>1</v>
      </c>
      <c r="M281" s="38">
        <f>IF(Config!$D$45&lt;&gt;"Não",1,0)</f>
        <v>1</v>
      </c>
      <c r="N281" s="38">
        <f>IF(Config!$D$46&lt;&gt;"Não",1,0)</f>
        <v>1</v>
      </c>
      <c r="O281" s="38">
        <f>IF(Config!$D$47&lt;&gt;"Não",1,0)</f>
        <v>1</v>
      </c>
      <c r="P281" s="38">
        <f>IF(Config!$D$48&lt;&gt;"Não",1,0)</f>
        <v>1</v>
      </c>
      <c r="Q281" s="38">
        <f>IF(Config!$D$49&lt;&gt;"Não",1,0)</f>
        <v>1</v>
      </c>
      <c r="R281" s="38">
        <f>IF(Config!$D$50&lt;&gt;"Não",1,0)</f>
        <v>1</v>
      </c>
      <c r="S281" s="38">
        <f>IF(Config!$D$51&lt;&gt;"Não",1,0)</f>
        <v>1</v>
      </c>
      <c r="T281" s="38">
        <f>IF(Config!$D$52&lt;&gt;"Não",1,0)</f>
        <v>1</v>
      </c>
      <c r="U281" s="38">
        <f>IF(Config!$D$53&lt;&gt;"Não",1,0)</f>
        <v>1</v>
      </c>
      <c r="V281" s="38">
        <f>IF(Config!$D$54&lt;&gt;"Não",1,0)</f>
        <v>1</v>
      </c>
    </row>
    <row r="282">
      <c r="A282" s="65" t="inlineStr">
        <is>
          <t xml:space="preserve">IN · Pallets Movimentados</t>
        </is>
      </c>
      <c r="B282" s="39">
        <f>IF(OR($B$2="Todos",$C$2=2),1,IFERROR(INDEX($C$282:$V$282,MATCH($D$2,$C$280:$V$280,0)),1))</f>
        <v>1</v>
      </c>
      <c r="C282" s="38">
        <f>IF(Config!$E$35&lt;&gt;"Não",1,0)</f>
        <v>1</v>
      </c>
      <c r="D282" s="38">
        <f>IF(Config!$E$36&lt;&gt;"Não",1,0)</f>
        <v>0</v>
      </c>
      <c r="E282" s="38">
        <f>IF(Config!$E$37&lt;&gt;"Não",1,0)</f>
        <v>1</v>
      </c>
      <c r="F282" s="38">
        <f>IF(Config!$E$38&lt;&gt;"Não",1,0)</f>
        <v>1</v>
      </c>
      <c r="G282" s="38">
        <f>IF(Config!$E$39&lt;&gt;"Não",1,0)</f>
        <v>1</v>
      </c>
      <c r="H282" s="38">
        <f>IF(Config!$E$40&lt;&gt;"Não",1,0)</f>
        <v>1</v>
      </c>
      <c r="I282" s="38">
        <f>IF(Config!$E$41&lt;&gt;"Não",1,0)</f>
        <v>1</v>
      </c>
      <c r="J282" s="38">
        <f>IF(Config!$E$42&lt;&gt;"Não",1,0)</f>
        <v>1</v>
      </c>
      <c r="K282" s="38">
        <f>IF(Config!$E$43&lt;&gt;"Não",1,0)</f>
        <v>1</v>
      </c>
      <c r="L282" s="38">
        <f>IF(Config!$E$44&lt;&gt;"Não",1,0)</f>
        <v>1</v>
      </c>
      <c r="M282" s="38">
        <f>IF(Config!$E$45&lt;&gt;"Não",1,0)</f>
        <v>1</v>
      </c>
      <c r="N282" s="38">
        <f>IF(Config!$E$46&lt;&gt;"Não",1,0)</f>
        <v>1</v>
      </c>
      <c r="O282" s="38">
        <f>IF(Config!$E$47&lt;&gt;"Não",1,0)</f>
        <v>1</v>
      </c>
      <c r="P282" s="38">
        <f>IF(Config!$E$48&lt;&gt;"Não",1,0)</f>
        <v>1</v>
      </c>
      <c r="Q282" s="38">
        <f>IF(Config!$E$49&lt;&gt;"Não",1,0)</f>
        <v>1</v>
      </c>
      <c r="R282" s="38">
        <f>IF(Config!$E$50&lt;&gt;"Não",1,0)</f>
        <v>1</v>
      </c>
      <c r="S282" s="38">
        <f>IF(Config!$E$51&lt;&gt;"Não",1,0)</f>
        <v>1</v>
      </c>
      <c r="T282" s="38">
        <f>IF(Config!$E$52&lt;&gt;"Não",1,0)</f>
        <v>1</v>
      </c>
      <c r="U282" s="38">
        <f>IF(Config!$E$53&lt;&gt;"Não",1,0)</f>
        <v>1</v>
      </c>
      <c r="V282" s="38">
        <f>IF(Config!$E$54&lt;&gt;"Não",1,0)</f>
        <v>1</v>
      </c>
    </row>
    <row r="283">
      <c r="A283" s="65" t="inlineStr">
        <is>
          <t xml:space="preserve">IN · Toneladas Movimentadas</t>
        </is>
      </c>
      <c r="B283" s="39">
        <f>IF(OR($B$2="Todos",$C$2=2),1,IFERROR(INDEX($C$283:$V$283,MATCH($D$2,$C$280:$V$280,0)),1))</f>
        <v>1</v>
      </c>
      <c r="C283" s="38">
        <f>IF(Config!$F$35&lt;&gt;"Não",1,0)</f>
        <v>1</v>
      </c>
      <c r="D283" s="38">
        <f>IF(Config!$F$36&lt;&gt;"Não",1,0)</f>
        <v>0</v>
      </c>
      <c r="E283" s="38">
        <f>IF(Config!$F$37&lt;&gt;"Não",1,0)</f>
        <v>1</v>
      </c>
      <c r="F283" s="38">
        <f>IF(Config!$F$38&lt;&gt;"Não",1,0)</f>
        <v>1</v>
      </c>
      <c r="G283" s="38">
        <f>IF(Config!$F$39&lt;&gt;"Não",1,0)</f>
        <v>1</v>
      </c>
      <c r="H283" s="38">
        <f>IF(Config!$F$40&lt;&gt;"Não",1,0)</f>
        <v>1</v>
      </c>
      <c r="I283" s="38">
        <f>IF(Config!$F$41&lt;&gt;"Não",1,0)</f>
        <v>1</v>
      </c>
      <c r="J283" s="38">
        <f>IF(Config!$F$42&lt;&gt;"Não",1,0)</f>
        <v>1</v>
      </c>
      <c r="K283" s="38">
        <f>IF(Config!$F$43&lt;&gt;"Não",1,0)</f>
        <v>1</v>
      </c>
      <c r="L283" s="38">
        <f>IF(Config!$F$44&lt;&gt;"Não",1,0)</f>
        <v>1</v>
      </c>
      <c r="M283" s="38">
        <f>IF(Config!$F$45&lt;&gt;"Não",1,0)</f>
        <v>1</v>
      </c>
      <c r="N283" s="38">
        <f>IF(Config!$F$46&lt;&gt;"Não",1,0)</f>
        <v>1</v>
      </c>
      <c r="O283" s="38">
        <f>IF(Config!$F$47&lt;&gt;"Não",1,0)</f>
        <v>1</v>
      </c>
      <c r="P283" s="38">
        <f>IF(Config!$F$48&lt;&gt;"Não",1,0)</f>
        <v>1</v>
      </c>
      <c r="Q283" s="38">
        <f>IF(Config!$F$49&lt;&gt;"Não",1,0)</f>
        <v>1</v>
      </c>
      <c r="R283" s="38">
        <f>IF(Config!$F$50&lt;&gt;"Não",1,0)</f>
        <v>1</v>
      </c>
      <c r="S283" s="38">
        <f>IF(Config!$F$51&lt;&gt;"Não",1,0)</f>
        <v>1</v>
      </c>
      <c r="T283" s="38">
        <f>IF(Config!$F$52&lt;&gt;"Não",1,0)</f>
        <v>1</v>
      </c>
      <c r="U283" s="38">
        <f>IF(Config!$F$53&lt;&gt;"Não",1,0)</f>
        <v>1</v>
      </c>
      <c r="V283" s="38">
        <f>IF(Config!$F$54&lt;&gt;"Não",1,0)</f>
        <v>1</v>
      </c>
    </row>
    <row r="284">
      <c r="A284" s="65" t="inlineStr">
        <is>
          <t xml:space="preserve">OUT · Veículos Expedidos</t>
        </is>
      </c>
      <c r="B284" s="39">
        <f>IF(OR($B$2="Todos",$C$2=2),1,IFERROR(INDEX($C$284:$V$284,MATCH($D$2,$C$280:$V$280,0)),1))</f>
        <v>1</v>
      </c>
      <c r="C284" s="38">
        <f>IF(Config!$G$35&lt;&gt;"Não",1,0)</f>
        <v>1</v>
      </c>
      <c r="D284" s="38">
        <f>IF(Config!$G$36&lt;&gt;"Não",1,0)</f>
        <v>1</v>
      </c>
      <c r="E284" s="38">
        <f>IF(Config!$G$37&lt;&gt;"Não",1,0)</f>
        <v>1</v>
      </c>
      <c r="F284" s="38">
        <f>IF(Config!$G$38&lt;&gt;"Não",1,0)</f>
        <v>1</v>
      </c>
      <c r="G284" s="38">
        <f>IF(Config!$G$39&lt;&gt;"Não",1,0)</f>
        <v>1</v>
      </c>
      <c r="H284" s="38">
        <f>IF(Config!$G$40&lt;&gt;"Não",1,0)</f>
        <v>1</v>
      </c>
      <c r="I284" s="38">
        <f>IF(Config!$G$41&lt;&gt;"Não",1,0)</f>
        <v>1</v>
      </c>
      <c r="J284" s="38">
        <f>IF(Config!$G$42&lt;&gt;"Não",1,0)</f>
        <v>1</v>
      </c>
      <c r="K284" s="38">
        <f>IF(Config!$G$43&lt;&gt;"Não",1,0)</f>
        <v>1</v>
      </c>
      <c r="L284" s="38">
        <f>IF(Config!$G$44&lt;&gt;"Não",1,0)</f>
        <v>1</v>
      </c>
      <c r="M284" s="38">
        <f>IF(Config!$G$45&lt;&gt;"Não",1,0)</f>
        <v>1</v>
      </c>
      <c r="N284" s="38">
        <f>IF(Config!$G$46&lt;&gt;"Não",1,0)</f>
        <v>1</v>
      </c>
      <c r="O284" s="38">
        <f>IF(Config!$G$47&lt;&gt;"Não",1,0)</f>
        <v>1</v>
      </c>
      <c r="P284" s="38">
        <f>IF(Config!$G$48&lt;&gt;"Não",1,0)</f>
        <v>1</v>
      </c>
      <c r="Q284" s="38">
        <f>IF(Config!$G$49&lt;&gt;"Não",1,0)</f>
        <v>1</v>
      </c>
      <c r="R284" s="38">
        <f>IF(Config!$G$50&lt;&gt;"Não",1,0)</f>
        <v>1</v>
      </c>
      <c r="S284" s="38">
        <f>IF(Config!$G$51&lt;&gt;"Não",1,0)</f>
        <v>1</v>
      </c>
      <c r="T284" s="38">
        <f>IF(Config!$G$52&lt;&gt;"Não",1,0)</f>
        <v>1</v>
      </c>
      <c r="U284" s="38">
        <f>IF(Config!$G$53&lt;&gt;"Não",1,0)</f>
        <v>1</v>
      </c>
      <c r="V284" s="38">
        <f>IF(Config!$G$54&lt;&gt;"Não",1,0)</f>
        <v>1</v>
      </c>
    </row>
    <row r="285">
      <c r="A285" s="65" t="inlineStr">
        <is>
          <t xml:space="preserve">OUT · Pallets Movimentados</t>
        </is>
      </c>
      <c r="B285" s="39">
        <f>IF(OR($B$2="Todos",$C$2=2),1,IFERROR(INDEX($C$285:$V$285,MATCH($D$2,$C$280:$V$280,0)),1))</f>
        <v>1</v>
      </c>
      <c r="C285" s="38">
        <f>IF(Config!$H$35&lt;&gt;"Não",1,0)</f>
        <v>1</v>
      </c>
      <c r="D285" s="38">
        <f>IF(Config!$H$36&lt;&gt;"Não",1,0)</f>
        <v>1</v>
      </c>
      <c r="E285" s="38">
        <f>IF(Config!$H$37&lt;&gt;"Não",1,0)</f>
        <v>1</v>
      </c>
      <c r="F285" s="38">
        <f>IF(Config!$H$38&lt;&gt;"Não",1,0)</f>
        <v>1</v>
      </c>
      <c r="G285" s="38">
        <f>IF(Config!$H$39&lt;&gt;"Não",1,0)</f>
        <v>1</v>
      </c>
      <c r="H285" s="38">
        <f>IF(Config!$H$40&lt;&gt;"Não",1,0)</f>
        <v>1</v>
      </c>
      <c r="I285" s="38">
        <f>IF(Config!$H$41&lt;&gt;"Não",1,0)</f>
        <v>1</v>
      </c>
      <c r="J285" s="38">
        <f>IF(Config!$H$42&lt;&gt;"Não",1,0)</f>
        <v>1</v>
      </c>
      <c r="K285" s="38">
        <f>IF(Config!$H$43&lt;&gt;"Não",1,0)</f>
        <v>1</v>
      </c>
      <c r="L285" s="38">
        <f>IF(Config!$H$44&lt;&gt;"Não",1,0)</f>
        <v>1</v>
      </c>
      <c r="M285" s="38">
        <f>IF(Config!$H$45&lt;&gt;"Não",1,0)</f>
        <v>1</v>
      </c>
      <c r="N285" s="38">
        <f>IF(Config!$H$46&lt;&gt;"Não",1,0)</f>
        <v>1</v>
      </c>
      <c r="O285" s="38">
        <f>IF(Config!$H$47&lt;&gt;"Não",1,0)</f>
        <v>1</v>
      </c>
      <c r="P285" s="38">
        <f>IF(Config!$H$48&lt;&gt;"Não",1,0)</f>
        <v>1</v>
      </c>
      <c r="Q285" s="38">
        <f>IF(Config!$H$49&lt;&gt;"Não",1,0)</f>
        <v>1</v>
      </c>
      <c r="R285" s="38">
        <f>IF(Config!$H$50&lt;&gt;"Não",1,0)</f>
        <v>1</v>
      </c>
      <c r="S285" s="38">
        <f>IF(Config!$H$51&lt;&gt;"Não",1,0)</f>
        <v>1</v>
      </c>
      <c r="T285" s="38">
        <f>IF(Config!$H$52&lt;&gt;"Não",1,0)</f>
        <v>1</v>
      </c>
      <c r="U285" s="38">
        <f>IF(Config!$H$53&lt;&gt;"Não",1,0)</f>
        <v>1</v>
      </c>
      <c r="V285" s="38">
        <f>IF(Config!$H$54&lt;&gt;"Não",1,0)</f>
        <v>1</v>
      </c>
    </row>
    <row r="286">
      <c r="A286" s="65" t="inlineStr">
        <is>
          <t xml:space="preserve">OUT · Toneladas Movimentadas</t>
        </is>
      </c>
      <c r="B286" s="39">
        <f>IF(OR($B$2="Todos",$C$2=2),1,IFERROR(INDEX($C$286:$V$286,MATCH($D$2,$C$280:$V$280,0)),1))</f>
        <v>1</v>
      </c>
      <c r="C286" s="38">
        <f>IF(Config!$I$35&lt;&gt;"Não",1,0)</f>
        <v>1</v>
      </c>
      <c r="D286" s="38">
        <f>IF(Config!$I$36&lt;&gt;"Não",1,0)</f>
        <v>1</v>
      </c>
      <c r="E286" s="38">
        <f>IF(Config!$I$37&lt;&gt;"Não",1,0)</f>
        <v>1</v>
      </c>
      <c r="F286" s="38">
        <f>IF(Config!$I$38&lt;&gt;"Não",1,0)</f>
        <v>1</v>
      </c>
      <c r="G286" s="38">
        <f>IF(Config!$I$39&lt;&gt;"Não",1,0)</f>
        <v>1</v>
      </c>
      <c r="H286" s="38">
        <f>IF(Config!$I$40&lt;&gt;"Não",1,0)</f>
        <v>1</v>
      </c>
      <c r="I286" s="38">
        <f>IF(Config!$I$41&lt;&gt;"Não",1,0)</f>
        <v>1</v>
      </c>
      <c r="J286" s="38">
        <f>IF(Config!$I$42&lt;&gt;"Não",1,0)</f>
        <v>1</v>
      </c>
      <c r="K286" s="38">
        <f>IF(Config!$I$43&lt;&gt;"Não",1,0)</f>
        <v>1</v>
      </c>
      <c r="L286" s="38">
        <f>IF(Config!$I$44&lt;&gt;"Não",1,0)</f>
        <v>1</v>
      </c>
      <c r="M286" s="38">
        <f>IF(Config!$I$45&lt;&gt;"Não",1,0)</f>
        <v>1</v>
      </c>
      <c r="N286" s="38">
        <f>IF(Config!$I$46&lt;&gt;"Não",1,0)</f>
        <v>1</v>
      </c>
      <c r="O286" s="38">
        <f>IF(Config!$I$47&lt;&gt;"Não",1,0)</f>
        <v>1</v>
      </c>
      <c r="P286" s="38">
        <f>IF(Config!$I$48&lt;&gt;"Não",1,0)</f>
        <v>1</v>
      </c>
      <c r="Q286" s="38">
        <f>IF(Config!$I$49&lt;&gt;"Não",1,0)</f>
        <v>1</v>
      </c>
      <c r="R286" s="38">
        <f>IF(Config!$I$50&lt;&gt;"Não",1,0)</f>
        <v>1</v>
      </c>
      <c r="S286" s="38">
        <f>IF(Config!$I$51&lt;&gt;"Não",1,0)</f>
        <v>1</v>
      </c>
      <c r="T286" s="38">
        <f>IF(Config!$I$52&lt;&gt;"Não",1,0)</f>
        <v>1</v>
      </c>
      <c r="U286" s="38">
        <f>IF(Config!$I$53&lt;&gt;"Não",1,0)</f>
        <v>1</v>
      </c>
      <c r="V286" s="38">
        <f>IF(Config!$I$54&lt;&gt;"Não",1,0)</f>
        <v>1</v>
      </c>
    </row>
    <row r="287">
      <c r="A287" s="65" t="inlineStr">
        <is>
          <t xml:space="preserve">NC · Incidentes</t>
        </is>
      </c>
      <c r="B287" s="39">
        <f>IF(OR($B$2="Todos",$C$2=2),1,IFERROR(INDEX($C$287:$V$287,MATCH($D$2,$C$280:$V$280,0)),1))</f>
        <v>1</v>
      </c>
      <c r="C287" s="38">
        <f>IF(Config!$J$35&lt;&gt;"Não",1,0)</f>
        <v>1</v>
      </c>
      <c r="D287" s="38">
        <f>IF(Config!$J$36&lt;&gt;"Não",1,0)</f>
        <v>1</v>
      </c>
      <c r="E287" s="38">
        <f>IF(Config!$J$37&lt;&gt;"Não",1,0)</f>
        <v>1</v>
      </c>
      <c r="F287" s="38">
        <f>IF(Config!$J$38&lt;&gt;"Não",1,0)</f>
        <v>1</v>
      </c>
      <c r="G287" s="38">
        <f>IF(Config!$J$39&lt;&gt;"Não",1,0)</f>
        <v>1</v>
      </c>
      <c r="H287" s="38">
        <f>IF(Config!$J$40&lt;&gt;"Não",1,0)</f>
        <v>1</v>
      </c>
      <c r="I287" s="38">
        <f>IF(Config!$J$41&lt;&gt;"Não",1,0)</f>
        <v>1</v>
      </c>
      <c r="J287" s="38">
        <f>IF(Config!$J$42&lt;&gt;"Não",1,0)</f>
        <v>1</v>
      </c>
      <c r="K287" s="38">
        <f>IF(Config!$J$43&lt;&gt;"Não",1,0)</f>
        <v>1</v>
      </c>
      <c r="L287" s="38">
        <f>IF(Config!$J$44&lt;&gt;"Não",1,0)</f>
        <v>1</v>
      </c>
      <c r="M287" s="38">
        <f>IF(Config!$J$45&lt;&gt;"Não",1,0)</f>
        <v>1</v>
      </c>
      <c r="N287" s="38">
        <f>IF(Config!$J$46&lt;&gt;"Não",1,0)</f>
        <v>1</v>
      </c>
      <c r="O287" s="38">
        <f>IF(Config!$J$47&lt;&gt;"Não",1,0)</f>
        <v>1</v>
      </c>
      <c r="P287" s="38">
        <f>IF(Config!$J$48&lt;&gt;"Não",1,0)</f>
        <v>1</v>
      </c>
      <c r="Q287" s="38">
        <f>IF(Config!$J$49&lt;&gt;"Não",1,0)</f>
        <v>1</v>
      </c>
      <c r="R287" s="38">
        <f>IF(Config!$J$50&lt;&gt;"Não",1,0)</f>
        <v>1</v>
      </c>
      <c r="S287" s="38">
        <f>IF(Config!$J$51&lt;&gt;"Não",1,0)</f>
        <v>1</v>
      </c>
      <c r="T287" s="38">
        <f>IF(Config!$J$52&lt;&gt;"Não",1,0)</f>
        <v>1</v>
      </c>
      <c r="U287" s="38">
        <f>IF(Config!$J$53&lt;&gt;"Não",1,0)</f>
        <v>1</v>
      </c>
      <c r="V287" s="38">
        <f>IF(Config!$J$54&lt;&gt;"Não",1,0)</f>
        <v>1</v>
      </c>
    </row>
    <row r="288">
      <c r="A288" s="65" t="inlineStr">
        <is>
          <t xml:space="preserve">NC · No show</t>
        </is>
      </c>
      <c r="B288" s="39">
        <f>IF(OR($B$2="Todos",$C$2=2),1,IFERROR(INDEX($C$288:$V$288,MATCH($D$2,$C$280:$V$280,0)),1))</f>
        <v>1</v>
      </c>
      <c r="C288" s="38">
        <f>IF(Config!$K$35&lt;&gt;"Não",1,0)</f>
        <v>1</v>
      </c>
      <c r="D288" s="38">
        <f>IF(Config!$K$36&lt;&gt;"Não",1,0)</f>
        <v>1</v>
      </c>
      <c r="E288" s="38">
        <f>IF(Config!$K$37&lt;&gt;"Não",1,0)</f>
        <v>1</v>
      </c>
      <c r="F288" s="38">
        <f>IF(Config!$K$38&lt;&gt;"Não",1,0)</f>
        <v>1</v>
      </c>
      <c r="G288" s="38">
        <f>IF(Config!$K$39&lt;&gt;"Não",1,0)</f>
        <v>1</v>
      </c>
      <c r="H288" s="38">
        <f>IF(Config!$K$40&lt;&gt;"Não",1,0)</f>
        <v>1</v>
      </c>
      <c r="I288" s="38">
        <f>IF(Config!$K$41&lt;&gt;"Não",1,0)</f>
        <v>1</v>
      </c>
      <c r="J288" s="38">
        <f>IF(Config!$K$42&lt;&gt;"Não",1,0)</f>
        <v>1</v>
      </c>
      <c r="K288" s="38">
        <f>IF(Config!$K$43&lt;&gt;"Não",1,0)</f>
        <v>1</v>
      </c>
      <c r="L288" s="38">
        <f>IF(Config!$K$44&lt;&gt;"Não",1,0)</f>
        <v>1</v>
      </c>
      <c r="M288" s="38">
        <f>IF(Config!$K$45&lt;&gt;"Não",1,0)</f>
        <v>1</v>
      </c>
      <c r="N288" s="38">
        <f>IF(Config!$K$46&lt;&gt;"Não",1,0)</f>
        <v>1</v>
      </c>
      <c r="O288" s="38">
        <f>IF(Config!$K$47&lt;&gt;"Não",1,0)</f>
        <v>1</v>
      </c>
      <c r="P288" s="38">
        <f>IF(Config!$K$48&lt;&gt;"Não",1,0)</f>
        <v>1</v>
      </c>
      <c r="Q288" s="38">
        <f>IF(Config!$K$49&lt;&gt;"Não",1,0)</f>
        <v>1</v>
      </c>
      <c r="R288" s="38">
        <f>IF(Config!$K$50&lt;&gt;"Não",1,0)</f>
        <v>1</v>
      </c>
      <c r="S288" s="38">
        <f>IF(Config!$K$51&lt;&gt;"Não",1,0)</f>
        <v>1</v>
      </c>
      <c r="T288" s="38">
        <f>IF(Config!$K$52&lt;&gt;"Não",1,0)</f>
        <v>1</v>
      </c>
      <c r="U288" s="38">
        <f>IF(Config!$K$53&lt;&gt;"Não",1,0)</f>
        <v>1</v>
      </c>
      <c r="V288" s="38">
        <f>IF(Config!$K$54&lt;&gt;"Não",1,0)</f>
        <v>1</v>
      </c>
    </row>
    <row r="289">
      <c r="A289" s="65" t="inlineStr">
        <is>
          <t xml:space="preserve">NC · Backlog</t>
        </is>
      </c>
      <c r="B289" s="39">
        <f>IF(OR($B$2="Todos",$C$2=2),1,IFERROR(INDEX($C$289:$V$289,MATCH($D$2,$C$280:$V$280,0)),1))</f>
        <v>1</v>
      </c>
      <c r="C289" s="38">
        <f>IF(Config!$L$35&lt;&gt;"Não",1,0)</f>
        <v>1</v>
      </c>
      <c r="D289" s="38">
        <f>IF(Config!$L$36&lt;&gt;"Não",1,0)</f>
        <v>1</v>
      </c>
      <c r="E289" s="38">
        <f>IF(Config!$L$37&lt;&gt;"Não",1,0)</f>
        <v>1</v>
      </c>
      <c r="F289" s="38">
        <f>IF(Config!$L$38&lt;&gt;"Não",1,0)</f>
        <v>1</v>
      </c>
      <c r="G289" s="38">
        <f>IF(Config!$L$39&lt;&gt;"Não",1,0)</f>
        <v>1</v>
      </c>
      <c r="H289" s="38">
        <f>IF(Config!$L$40&lt;&gt;"Não",1,0)</f>
        <v>1</v>
      </c>
      <c r="I289" s="38">
        <f>IF(Config!$L$41&lt;&gt;"Não",1,0)</f>
        <v>1</v>
      </c>
      <c r="J289" s="38">
        <f>IF(Config!$L$42&lt;&gt;"Não",1,0)</f>
        <v>1</v>
      </c>
      <c r="K289" s="38">
        <f>IF(Config!$L$43&lt;&gt;"Não",1,0)</f>
        <v>1</v>
      </c>
      <c r="L289" s="38">
        <f>IF(Config!$L$44&lt;&gt;"Não",1,0)</f>
        <v>1</v>
      </c>
      <c r="M289" s="38">
        <f>IF(Config!$L$45&lt;&gt;"Não",1,0)</f>
        <v>1</v>
      </c>
      <c r="N289" s="38">
        <f>IF(Config!$L$46&lt;&gt;"Não",1,0)</f>
        <v>1</v>
      </c>
      <c r="O289" s="38">
        <f>IF(Config!$L$47&lt;&gt;"Não",1,0)</f>
        <v>1</v>
      </c>
      <c r="P289" s="38">
        <f>IF(Config!$L$48&lt;&gt;"Não",1,0)</f>
        <v>1</v>
      </c>
      <c r="Q289" s="38">
        <f>IF(Config!$L$49&lt;&gt;"Não",1,0)</f>
        <v>1</v>
      </c>
      <c r="R289" s="38">
        <f>IF(Config!$L$50&lt;&gt;"Não",1,0)</f>
        <v>1</v>
      </c>
      <c r="S289" s="38">
        <f>IF(Config!$L$51&lt;&gt;"Não",1,0)</f>
        <v>1</v>
      </c>
      <c r="T289" s="38">
        <f>IF(Config!$L$52&lt;&gt;"Não",1,0)</f>
        <v>1</v>
      </c>
      <c r="U289" s="38">
        <f>IF(Config!$L$53&lt;&gt;"Não",1,0)</f>
        <v>1</v>
      </c>
      <c r="V289" s="38">
        <f>IF(Config!$L$54&lt;&gt;"Não",1,0)</f>
        <v>1</v>
      </c>
    </row>
    <row r="290">
      <c r="A290" s="65" t="inlineStr">
        <is>
          <t xml:space="preserve">OCUPAÇÃO (P.P) · Posições Disponíveis</t>
        </is>
      </c>
      <c r="B290" s="39">
        <f>IF(OR($B$2="Todos",$C$2=2),1,IFERROR(INDEX($C$290:$V$290,MATCH($D$2,$C$280:$V$280,0)),1))</f>
        <v>1</v>
      </c>
      <c r="C290" s="38">
        <f>IF(Config!$M$35&lt;&gt;"Não",1,0)</f>
        <v>1</v>
      </c>
      <c r="D290" s="38">
        <f>IF(Config!$M$36&lt;&gt;"Não",1,0)</f>
        <v>0</v>
      </c>
      <c r="E290" s="38">
        <f>IF(Config!$M$37&lt;&gt;"Não",1,0)</f>
        <v>0</v>
      </c>
      <c r="F290" s="38">
        <f>IF(Config!$M$38&lt;&gt;"Não",1,0)</f>
        <v>0</v>
      </c>
      <c r="G290" s="38">
        <f>IF(Config!$M$39&lt;&gt;"Não",1,0)</f>
        <v>1</v>
      </c>
      <c r="H290" s="38">
        <f>IF(Config!$M$40&lt;&gt;"Não",1,0)</f>
        <v>1</v>
      </c>
      <c r="I290" s="38">
        <f>IF(Config!$M$41&lt;&gt;"Não",1,0)</f>
        <v>1</v>
      </c>
      <c r="J290" s="38">
        <f>IF(Config!$M$42&lt;&gt;"Não",1,0)</f>
        <v>1</v>
      </c>
      <c r="K290" s="38">
        <f>IF(Config!$M$43&lt;&gt;"Não",1,0)</f>
        <v>1</v>
      </c>
      <c r="L290" s="38">
        <f>IF(Config!$M$44&lt;&gt;"Não",1,0)</f>
        <v>1</v>
      </c>
      <c r="M290" s="38">
        <f>IF(Config!$M$45&lt;&gt;"Não",1,0)</f>
        <v>1</v>
      </c>
      <c r="N290" s="38">
        <f>IF(Config!$M$46&lt;&gt;"Não",1,0)</f>
        <v>1</v>
      </c>
      <c r="O290" s="38">
        <f>IF(Config!$M$47&lt;&gt;"Não",1,0)</f>
        <v>1</v>
      </c>
      <c r="P290" s="38">
        <f>IF(Config!$M$48&lt;&gt;"Não",1,0)</f>
        <v>1</v>
      </c>
      <c r="Q290" s="38">
        <f>IF(Config!$M$49&lt;&gt;"Não",1,0)</f>
        <v>1</v>
      </c>
      <c r="R290" s="38">
        <f>IF(Config!$M$50&lt;&gt;"Não",1,0)</f>
        <v>1</v>
      </c>
      <c r="S290" s="38">
        <f>IF(Config!$M$51&lt;&gt;"Não",1,0)</f>
        <v>1</v>
      </c>
      <c r="T290" s="38">
        <f>IF(Config!$M$52&lt;&gt;"Não",1,0)</f>
        <v>1</v>
      </c>
      <c r="U290" s="38">
        <f>IF(Config!$M$53&lt;&gt;"Não",1,0)</f>
        <v>1</v>
      </c>
      <c r="V290" s="38">
        <f>IF(Config!$M$54&lt;&gt;"Não",1,0)</f>
        <v>1</v>
      </c>
    </row>
    <row r="291">
      <c r="A291" s="65" t="inlineStr">
        <is>
          <t xml:space="preserve">OCUPAÇÃO (P.P) · Posições Ocupadas</t>
        </is>
      </c>
      <c r="B291" s="39">
        <f>IF(OR($B$2="Todos",$C$2=2),1,IFERROR(INDEX($C$291:$V$291,MATCH($D$2,$C$280:$V$280,0)),1))</f>
        <v>1</v>
      </c>
      <c r="C291" s="38">
        <f>IF(Config!$N$35&lt;&gt;"Não",1,0)</f>
        <v>1</v>
      </c>
      <c r="D291" s="38">
        <f>IF(Config!$N$36&lt;&gt;"Não",1,0)</f>
        <v>0</v>
      </c>
      <c r="E291" s="38">
        <f>IF(Config!$N$37&lt;&gt;"Não",1,0)</f>
        <v>1</v>
      </c>
      <c r="F291" s="38">
        <f>IF(Config!$N$38&lt;&gt;"Não",1,0)</f>
        <v>1</v>
      </c>
      <c r="G291" s="38">
        <f>IF(Config!$N$39&lt;&gt;"Não",1,0)</f>
        <v>1</v>
      </c>
      <c r="H291" s="38">
        <f>IF(Config!$N$40&lt;&gt;"Não",1,0)</f>
        <v>1</v>
      </c>
      <c r="I291" s="38">
        <f>IF(Config!$N$41&lt;&gt;"Não",1,0)</f>
        <v>1</v>
      </c>
      <c r="J291" s="38">
        <f>IF(Config!$N$42&lt;&gt;"Não",1,0)</f>
        <v>1</v>
      </c>
      <c r="K291" s="38">
        <f>IF(Config!$N$43&lt;&gt;"Não",1,0)</f>
        <v>1</v>
      </c>
      <c r="L291" s="38">
        <f>IF(Config!$N$44&lt;&gt;"Não",1,0)</f>
        <v>1</v>
      </c>
      <c r="M291" s="38">
        <f>IF(Config!$N$45&lt;&gt;"Não",1,0)</f>
        <v>1</v>
      </c>
      <c r="N291" s="38">
        <f>IF(Config!$N$46&lt;&gt;"Não",1,0)</f>
        <v>1</v>
      </c>
      <c r="O291" s="38">
        <f>IF(Config!$N$47&lt;&gt;"Não",1,0)</f>
        <v>1</v>
      </c>
      <c r="P291" s="38">
        <f>IF(Config!$N$48&lt;&gt;"Não",1,0)</f>
        <v>1</v>
      </c>
      <c r="Q291" s="38">
        <f>IF(Config!$N$49&lt;&gt;"Não",1,0)</f>
        <v>1</v>
      </c>
      <c r="R291" s="38">
        <f>IF(Config!$N$50&lt;&gt;"Não",1,0)</f>
        <v>1</v>
      </c>
      <c r="S291" s="38">
        <f>IF(Config!$N$51&lt;&gt;"Não",1,0)</f>
        <v>1</v>
      </c>
      <c r="T291" s="38">
        <f>IF(Config!$N$52&lt;&gt;"Não",1,0)</f>
        <v>1</v>
      </c>
      <c r="U291" s="38">
        <f>IF(Config!$N$53&lt;&gt;"Não",1,0)</f>
        <v>1</v>
      </c>
      <c r="V291" s="38">
        <f>IF(Config!$N$54&lt;&gt;"Não",1,0)</f>
        <v>1</v>
      </c>
    </row>
    <row r="292">
      <c r="A292" s="65" t="inlineStr">
        <is>
          <t xml:space="preserve">OCUPAÇÃO (P.P) · Taxa de Ocupação</t>
        </is>
      </c>
      <c r="B292" s="39">
        <f>IF(OR($B$2="Todos",$C$2=2),1,IFERROR(INDEX($C$292:$V$292,MATCH($D$2,$C$280:$V$280,0)),1))</f>
        <v>1</v>
      </c>
      <c r="C292" s="38">
        <f>IF(AND(Config!$M$35&lt;&gt;"Não",Config!$N$35&lt;&gt;"Não"),1,0)</f>
        <v>1</v>
      </c>
      <c r="D292" s="38">
        <f>IF(AND(Config!$M$36&lt;&gt;"Não",Config!$N$36&lt;&gt;"Não"),1,0)</f>
        <v>0</v>
      </c>
      <c r="E292" s="38">
        <f>IF(AND(Config!$M$37&lt;&gt;"Não",Config!$N$37&lt;&gt;"Não"),1,0)</f>
        <v>0</v>
      </c>
      <c r="F292" s="38">
        <f>IF(AND(Config!$M$38&lt;&gt;"Não",Config!$N$38&lt;&gt;"Não"),1,0)</f>
        <v>0</v>
      </c>
      <c r="G292" s="38">
        <f>IF(AND(Config!$M$39&lt;&gt;"Não",Config!$N$39&lt;&gt;"Não"),1,0)</f>
        <v>1</v>
      </c>
      <c r="H292" s="38">
        <f>IF(AND(Config!$M$40&lt;&gt;"Não",Config!$N$40&lt;&gt;"Não"),1,0)</f>
        <v>1</v>
      </c>
      <c r="I292" s="38">
        <f>IF(AND(Config!$M$41&lt;&gt;"Não",Config!$N$41&lt;&gt;"Não"),1,0)</f>
        <v>1</v>
      </c>
      <c r="J292" s="38">
        <f>IF(AND(Config!$M$42&lt;&gt;"Não",Config!$N$42&lt;&gt;"Não"),1,0)</f>
        <v>1</v>
      </c>
      <c r="K292" s="38">
        <f>IF(AND(Config!$M$43&lt;&gt;"Não",Config!$N$43&lt;&gt;"Não"),1,0)</f>
        <v>1</v>
      </c>
      <c r="L292" s="38">
        <f>IF(AND(Config!$M$44&lt;&gt;"Não",Config!$N$44&lt;&gt;"Não"),1,0)</f>
        <v>1</v>
      </c>
      <c r="M292" s="38">
        <f>IF(AND(Config!$M$45&lt;&gt;"Não",Config!$N$45&lt;&gt;"Não"),1,0)</f>
        <v>1</v>
      </c>
      <c r="N292" s="38">
        <f>IF(AND(Config!$M$46&lt;&gt;"Não",Config!$N$46&lt;&gt;"Não"),1,0)</f>
        <v>1</v>
      </c>
      <c r="O292" s="38">
        <f>IF(AND(Config!$M$47&lt;&gt;"Não",Config!$N$47&lt;&gt;"Não"),1,0)</f>
        <v>1</v>
      </c>
      <c r="P292" s="38">
        <f>IF(AND(Config!$M$48&lt;&gt;"Não",Config!$N$48&lt;&gt;"Não"),1,0)</f>
        <v>1</v>
      </c>
      <c r="Q292" s="38">
        <f>IF(AND(Config!$M$49&lt;&gt;"Não",Config!$N$49&lt;&gt;"Não"),1,0)</f>
        <v>1</v>
      </c>
      <c r="R292" s="38">
        <f>IF(AND(Config!$M$50&lt;&gt;"Não",Config!$N$50&lt;&gt;"Não"),1,0)</f>
        <v>1</v>
      </c>
      <c r="S292" s="38">
        <f>IF(AND(Config!$M$51&lt;&gt;"Não",Config!$N$51&lt;&gt;"Não"),1,0)</f>
        <v>1</v>
      </c>
      <c r="T292" s="38">
        <f>IF(AND(Config!$M$52&lt;&gt;"Não",Config!$N$52&lt;&gt;"Não"),1,0)</f>
        <v>1</v>
      </c>
      <c r="U292" s="38">
        <f>IF(AND(Config!$M$53&lt;&gt;"Não",Config!$N$53&lt;&gt;"Não"),1,0)</f>
        <v>1</v>
      </c>
      <c r="V292" s="38">
        <f>IF(AND(Config!$M$54&lt;&gt;"Não",Config!$N$54&lt;&gt;"Não"),1,0)</f>
        <v>1</v>
      </c>
    </row>
    <row r="293">
      <c r="A293" s="65" t="inlineStr">
        <is>
          <t xml:space="preserve">GENTE · Efetivo Op.</t>
        </is>
      </c>
      <c r="B293" s="39">
        <f>IF(OR($B$2="Todos",$C$2=2),1,IFERROR(INDEX($C$293:$V$293,MATCH($D$2,$C$280:$V$280,0)),1))</f>
        <v>1</v>
      </c>
      <c r="C293" s="38">
        <f>IF(Config!$O$35&lt;&gt;"Não",1,0)</f>
        <v>1</v>
      </c>
      <c r="D293" s="38">
        <f>IF(Config!$O$36&lt;&gt;"Não",1,0)</f>
        <v>1</v>
      </c>
      <c r="E293" s="38">
        <f>IF(Config!$O$37&lt;&gt;"Não",1,0)</f>
        <v>1</v>
      </c>
      <c r="F293" s="38">
        <f>IF(Config!$O$38&lt;&gt;"Não",1,0)</f>
        <v>1</v>
      </c>
      <c r="G293" s="38">
        <f>IF(Config!$O$39&lt;&gt;"Não",1,0)</f>
        <v>1</v>
      </c>
      <c r="H293" s="38">
        <f>IF(Config!$O$40&lt;&gt;"Não",1,0)</f>
        <v>1</v>
      </c>
      <c r="I293" s="38">
        <f>IF(Config!$O$41&lt;&gt;"Não",1,0)</f>
        <v>1</v>
      </c>
      <c r="J293" s="38">
        <f>IF(Config!$O$42&lt;&gt;"Não",1,0)</f>
        <v>1</v>
      </c>
      <c r="K293" s="38">
        <f>IF(Config!$O$43&lt;&gt;"Não",1,0)</f>
        <v>1</v>
      </c>
      <c r="L293" s="38">
        <f>IF(Config!$O$44&lt;&gt;"Não",1,0)</f>
        <v>1</v>
      </c>
      <c r="M293" s="38">
        <f>IF(Config!$O$45&lt;&gt;"Não",1,0)</f>
        <v>1</v>
      </c>
      <c r="N293" s="38">
        <f>IF(Config!$O$46&lt;&gt;"Não",1,0)</f>
        <v>1</v>
      </c>
      <c r="O293" s="38">
        <f>IF(Config!$O$47&lt;&gt;"Não",1,0)</f>
        <v>1</v>
      </c>
      <c r="P293" s="38">
        <f>IF(Config!$O$48&lt;&gt;"Não",1,0)</f>
        <v>1</v>
      </c>
      <c r="Q293" s="38">
        <f>IF(Config!$O$49&lt;&gt;"Não",1,0)</f>
        <v>1</v>
      </c>
      <c r="R293" s="38">
        <f>IF(Config!$O$50&lt;&gt;"Não",1,0)</f>
        <v>1</v>
      </c>
      <c r="S293" s="38">
        <f>IF(Config!$O$51&lt;&gt;"Não",1,0)</f>
        <v>1</v>
      </c>
      <c r="T293" s="38">
        <f>IF(Config!$O$52&lt;&gt;"Não",1,0)</f>
        <v>1</v>
      </c>
      <c r="U293" s="38">
        <f>IF(Config!$O$53&lt;&gt;"Não",1,0)</f>
        <v>1</v>
      </c>
      <c r="V293" s="38">
        <f>IF(Config!$O$54&lt;&gt;"Não",1,0)</f>
        <v>1</v>
      </c>
    </row>
    <row r="294">
      <c r="A294" s="65" t="inlineStr">
        <is>
          <t xml:space="preserve">GENTE · Falta</t>
        </is>
      </c>
      <c r="B294" s="39">
        <f>IF(OR($B$2="Todos",$C$2=2),1,IFERROR(INDEX($C$294:$V$294,MATCH($D$2,$C$280:$V$280,0)),1))</f>
        <v>1</v>
      </c>
      <c r="C294" s="38">
        <f>IF(Config!$P$35&lt;&gt;"Não",1,0)</f>
        <v>1</v>
      </c>
      <c r="D294" s="38">
        <f>IF(Config!$P$36&lt;&gt;"Não",1,0)</f>
        <v>1</v>
      </c>
      <c r="E294" s="38">
        <f>IF(Config!$P$37&lt;&gt;"Não",1,0)</f>
        <v>1</v>
      </c>
      <c r="F294" s="38">
        <f>IF(Config!$P$38&lt;&gt;"Não",1,0)</f>
        <v>1</v>
      </c>
      <c r="G294" s="38">
        <f>IF(Config!$P$39&lt;&gt;"Não",1,0)</f>
        <v>1</v>
      </c>
      <c r="H294" s="38">
        <f>IF(Config!$P$40&lt;&gt;"Não",1,0)</f>
        <v>1</v>
      </c>
      <c r="I294" s="38">
        <f>IF(Config!$P$41&lt;&gt;"Não",1,0)</f>
        <v>1</v>
      </c>
      <c r="J294" s="38">
        <f>IF(Config!$P$42&lt;&gt;"Não",1,0)</f>
        <v>1</v>
      </c>
      <c r="K294" s="38">
        <f>IF(Config!$P$43&lt;&gt;"Não",1,0)</f>
        <v>1</v>
      </c>
      <c r="L294" s="38">
        <f>IF(Config!$P$44&lt;&gt;"Não",1,0)</f>
        <v>1</v>
      </c>
      <c r="M294" s="38">
        <f>IF(Config!$P$45&lt;&gt;"Não",1,0)</f>
        <v>1</v>
      </c>
      <c r="N294" s="38">
        <f>IF(Config!$P$46&lt;&gt;"Não",1,0)</f>
        <v>1</v>
      </c>
      <c r="O294" s="38">
        <f>IF(Config!$P$47&lt;&gt;"Não",1,0)</f>
        <v>1</v>
      </c>
      <c r="P294" s="38">
        <f>IF(Config!$P$48&lt;&gt;"Não",1,0)</f>
        <v>1</v>
      </c>
      <c r="Q294" s="38">
        <f>IF(Config!$P$49&lt;&gt;"Não",1,0)</f>
        <v>1</v>
      </c>
      <c r="R294" s="38">
        <f>IF(Config!$P$50&lt;&gt;"Não",1,0)</f>
        <v>1</v>
      </c>
      <c r="S294" s="38">
        <f>IF(Config!$P$51&lt;&gt;"Não",1,0)</f>
        <v>1</v>
      </c>
      <c r="T294" s="38">
        <f>IF(Config!$P$52&lt;&gt;"Não",1,0)</f>
        <v>1</v>
      </c>
      <c r="U294" s="38">
        <f>IF(Config!$P$53&lt;&gt;"Não",1,0)</f>
        <v>1</v>
      </c>
      <c r="V294" s="38">
        <f>IF(Config!$P$54&lt;&gt;"Não",1,0)</f>
        <v>1</v>
      </c>
    </row>
    <row r="295">
      <c r="A295" s="65" t="inlineStr">
        <is>
          <t xml:space="preserve">GENTE · Folga</t>
        </is>
      </c>
      <c r="B295" s="39">
        <f>IF(OR($B$2="Todos",$C$2=2),1,IFERROR(INDEX($C$295:$V$295,MATCH($D$2,$C$280:$V$280,0)),1))</f>
        <v>1</v>
      </c>
      <c r="C295" s="38">
        <f>IF(Config!$Q$35&lt;&gt;"Não",1,0)</f>
        <v>1</v>
      </c>
      <c r="D295" s="38">
        <f>IF(Config!$Q$36&lt;&gt;"Não",1,0)</f>
        <v>1</v>
      </c>
      <c r="E295" s="38">
        <f>IF(Config!$Q$37&lt;&gt;"Não",1,0)</f>
        <v>1</v>
      </c>
      <c r="F295" s="38">
        <f>IF(Config!$Q$38&lt;&gt;"Não",1,0)</f>
        <v>1</v>
      </c>
      <c r="G295" s="38">
        <f>IF(Config!$Q$39&lt;&gt;"Não",1,0)</f>
        <v>1</v>
      </c>
      <c r="H295" s="38">
        <f>IF(Config!$Q$40&lt;&gt;"Não",1,0)</f>
        <v>1</v>
      </c>
      <c r="I295" s="38">
        <f>IF(Config!$Q$41&lt;&gt;"Não",1,0)</f>
        <v>1</v>
      </c>
      <c r="J295" s="38">
        <f>IF(Config!$Q$42&lt;&gt;"Não",1,0)</f>
        <v>1</v>
      </c>
      <c r="K295" s="38">
        <f>IF(Config!$Q$43&lt;&gt;"Não",1,0)</f>
        <v>1</v>
      </c>
      <c r="L295" s="38">
        <f>IF(Config!$Q$44&lt;&gt;"Não",1,0)</f>
        <v>1</v>
      </c>
      <c r="M295" s="38">
        <f>IF(Config!$Q$45&lt;&gt;"Não",1,0)</f>
        <v>1</v>
      </c>
      <c r="N295" s="38">
        <f>IF(Config!$Q$46&lt;&gt;"Não",1,0)</f>
        <v>1</v>
      </c>
      <c r="O295" s="38">
        <f>IF(Config!$Q$47&lt;&gt;"Não",1,0)</f>
        <v>1</v>
      </c>
      <c r="P295" s="38">
        <f>IF(Config!$Q$48&lt;&gt;"Não",1,0)</f>
        <v>1</v>
      </c>
      <c r="Q295" s="38">
        <f>IF(Config!$Q$49&lt;&gt;"Não",1,0)</f>
        <v>1</v>
      </c>
      <c r="R295" s="38">
        <f>IF(Config!$Q$50&lt;&gt;"Não",1,0)</f>
        <v>1</v>
      </c>
      <c r="S295" s="38">
        <f>IF(Config!$Q$51&lt;&gt;"Não",1,0)</f>
        <v>1</v>
      </c>
      <c r="T295" s="38">
        <f>IF(Config!$Q$52&lt;&gt;"Não",1,0)</f>
        <v>1</v>
      </c>
      <c r="U295" s="38">
        <f>IF(Config!$Q$53&lt;&gt;"Não",1,0)</f>
        <v>1</v>
      </c>
      <c r="V295" s="38">
        <f>IF(Config!$Q$54&lt;&gt;"Não",1,0)</f>
        <v>1</v>
      </c>
    </row>
    <row r="296">
      <c r="A296" s="65" t="inlineStr">
        <is>
          <t xml:space="preserve">GENTE · Férias</t>
        </is>
      </c>
      <c r="B296" s="39">
        <f>IF(OR($B$2="Todos",$C$2=2),1,IFERROR(INDEX($C$296:$V$296,MATCH($D$2,$C$280:$V$280,0)),1))</f>
        <v>1</v>
      </c>
      <c r="C296" s="38">
        <f>IF(Config!$R$35&lt;&gt;"Não",1,0)</f>
        <v>1</v>
      </c>
      <c r="D296" s="38">
        <f>IF(Config!$R$36&lt;&gt;"Não",1,0)</f>
        <v>1</v>
      </c>
      <c r="E296" s="38">
        <f>IF(Config!$R$37&lt;&gt;"Não",1,0)</f>
        <v>1</v>
      </c>
      <c r="F296" s="38">
        <f>IF(Config!$R$38&lt;&gt;"Não",1,0)</f>
        <v>1</v>
      </c>
      <c r="G296" s="38">
        <f>IF(Config!$R$39&lt;&gt;"Não",1,0)</f>
        <v>1</v>
      </c>
      <c r="H296" s="38">
        <f>IF(Config!$R$40&lt;&gt;"Não",1,0)</f>
        <v>1</v>
      </c>
      <c r="I296" s="38">
        <f>IF(Config!$R$41&lt;&gt;"Não",1,0)</f>
        <v>1</v>
      </c>
      <c r="J296" s="38">
        <f>IF(Config!$R$42&lt;&gt;"Não",1,0)</f>
        <v>1</v>
      </c>
      <c r="K296" s="38">
        <f>IF(Config!$R$43&lt;&gt;"Não",1,0)</f>
        <v>1</v>
      </c>
      <c r="L296" s="38">
        <f>IF(Config!$R$44&lt;&gt;"Não",1,0)</f>
        <v>1</v>
      </c>
      <c r="M296" s="38">
        <f>IF(Config!$R$45&lt;&gt;"Não",1,0)</f>
        <v>1</v>
      </c>
      <c r="N296" s="38">
        <f>IF(Config!$R$46&lt;&gt;"Não",1,0)</f>
        <v>1</v>
      </c>
      <c r="O296" s="38">
        <f>IF(Config!$R$47&lt;&gt;"Não",1,0)</f>
        <v>1</v>
      </c>
      <c r="P296" s="38">
        <f>IF(Config!$R$48&lt;&gt;"Não",1,0)</f>
        <v>1</v>
      </c>
      <c r="Q296" s="38">
        <f>IF(Config!$R$49&lt;&gt;"Não",1,0)</f>
        <v>1</v>
      </c>
      <c r="R296" s="38">
        <f>IF(Config!$R$50&lt;&gt;"Não",1,0)</f>
        <v>1</v>
      </c>
      <c r="S296" s="38">
        <f>IF(Config!$R$51&lt;&gt;"Não",1,0)</f>
        <v>1</v>
      </c>
      <c r="T296" s="38">
        <f>IF(Config!$R$52&lt;&gt;"Não",1,0)</f>
        <v>1</v>
      </c>
      <c r="U296" s="38">
        <f>IF(Config!$R$53&lt;&gt;"Não",1,0)</f>
        <v>1</v>
      </c>
      <c r="V296" s="38">
        <f>IF(Config!$R$54&lt;&gt;"Não",1,0)</f>
        <v>1</v>
      </c>
    </row>
    <row r="297">
      <c r="A297" s="65" t="inlineStr">
        <is>
          <t xml:space="preserve">GENTE · Desligamento</t>
        </is>
      </c>
      <c r="B297" s="39">
        <f>IF(OR($B$2="Todos",$C$2=2),1,IFERROR(INDEX($C$297:$V$297,MATCH($D$2,$C$280:$V$280,0)),1))</f>
        <v>1</v>
      </c>
      <c r="C297" s="38">
        <f>IF(Config!$S$35&lt;&gt;"Não",1,0)</f>
        <v>1</v>
      </c>
      <c r="D297" s="38">
        <f>IF(Config!$S$36&lt;&gt;"Não",1,0)</f>
        <v>1</v>
      </c>
      <c r="E297" s="38">
        <f>IF(Config!$S$37&lt;&gt;"Não",1,0)</f>
        <v>1</v>
      </c>
      <c r="F297" s="38">
        <f>IF(Config!$S$38&lt;&gt;"Não",1,0)</f>
        <v>1</v>
      </c>
      <c r="G297" s="38">
        <f>IF(Config!$S$39&lt;&gt;"Não",1,0)</f>
        <v>1</v>
      </c>
      <c r="H297" s="38">
        <f>IF(Config!$S$40&lt;&gt;"Não",1,0)</f>
        <v>1</v>
      </c>
      <c r="I297" s="38">
        <f>IF(Config!$S$41&lt;&gt;"Não",1,0)</f>
        <v>1</v>
      </c>
      <c r="J297" s="38">
        <f>IF(Config!$S$42&lt;&gt;"Não",1,0)</f>
        <v>1</v>
      </c>
      <c r="K297" s="38">
        <f>IF(Config!$S$43&lt;&gt;"Não",1,0)</f>
        <v>1</v>
      </c>
      <c r="L297" s="38">
        <f>IF(Config!$S$44&lt;&gt;"Não",1,0)</f>
        <v>1</v>
      </c>
      <c r="M297" s="38">
        <f>IF(Config!$S$45&lt;&gt;"Não",1,0)</f>
        <v>1</v>
      </c>
      <c r="N297" s="38">
        <f>IF(Config!$S$46&lt;&gt;"Não",1,0)</f>
        <v>1</v>
      </c>
      <c r="O297" s="38">
        <f>IF(Config!$S$47&lt;&gt;"Não",1,0)</f>
        <v>1</v>
      </c>
      <c r="P297" s="38">
        <f>IF(Config!$S$48&lt;&gt;"Não",1,0)</f>
        <v>1</v>
      </c>
      <c r="Q297" s="38">
        <f>IF(Config!$S$49&lt;&gt;"Não",1,0)</f>
        <v>1</v>
      </c>
      <c r="R297" s="38">
        <f>IF(Config!$S$50&lt;&gt;"Não",1,0)</f>
        <v>1</v>
      </c>
      <c r="S297" s="38">
        <f>IF(Config!$S$51&lt;&gt;"Não",1,0)</f>
        <v>1</v>
      </c>
      <c r="T297" s="38">
        <f>IF(Config!$S$52&lt;&gt;"Não",1,0)</f>
        <v>1</v>
      </c>
      <c r="U297" s="38">
        <f>IF(Config!$S$53&lt;&gt;"Não",1,0)</f>
        <v>1</v>
      </c>
      <c r="V297" s="38">
        <f>IF(Config!$S$54&lt;&gt;"Não",1,0)</f>
        <v>1</v>
      </c>
    </row>
    <row r="298">
      <c r="A298" s="65" t="inlineStr">
        <is>
          <t xml:space="preserve">GENTE · Desvios Comportamentais</t>
        </is>
      </c>
      <c r="B298" s="39">
        <f>IF(OR($B$2="Todos",$C$2=2),1,IFERROR(INDEX($C$298:$V$298,MATCH($D$2,$C$280:$V$280,0)),1))</f>
        <v>1</v>
      </c>
      <c r="C298" s="38">
        <f>IF(Config!$T$35&lt;&gt;"Não",1,0)</f>
        <v>1</v>
      </c>
      <c r="D298" s="38">
        <f>IF(Config!$T$36&lt;&gt;"Não",1,0)</f>
        <v>1</v>
      </c>
      <c r="E298" s="38">
        <f>IF(Config!$T$37&lt;&gt;"Não",1,0)</f>
        <v>1</v>
      </c>
      <c r="F298" s="38">
        <f>IF(Config!$T$38&lt;&gt;"Não",1,0)</f>
        <v>1</v>
      </c>
      <c r="G298" s="38">
        <f>IF(Config!$T$39&lt;&gt;"Não",1,0)</f>
        <v>1</v>
      </c>
      <c r="H298" s="38">
        <f>IF(Config!$T$40&lt;&gt;"Não",1,0)</f>
        <v>1</v>
      </c>
      <c r="I298" s="38">
        <f>IF(Config!$T$41&lt;&gt;"Não",1,0)</f>
        <v>1</v>
      </c>
      <c r="J298" s="38">
        <f>IF(Config!$T$42&lt;&gt;"Não",1,0)</f>
        <v>1</v>
      </c>
      <c r="K298" s="38">
        <f>IF(Config!$T$43&lt;&gt;"Não",1,0)</f>
        <v>1</v>
      </c>
      <c r="L298" s="38">
        <f>IF(Config!$T$44&lt;&gt;"Não",1,0)</f>
        <v>1</v>
      </c>
      <c r="M298" s="38">
        <f>IF(Config!$T$45&lt;&gt;"Não",1,0)</f>
        <v>1</v>
      </c>
      <c r="N298" s="38">
        <f>IF(Config!$T$46&lt;&gt;"Não",1,0)</f>
        <v>1</v>
      </c>
      <c r="O298" s="38">
        <f>IF(Config!$T$47&lt;&gt;"Não",1,0)</f>
        <v>1</v>
      </c>
      <c r="P298" s="38">
        <f>IF(Config!$T$48&lt;&gt;"Não",1,0)</f>
        <v>1</v>
      </c>
      <c r="Q298" s="38">
        <f>IF(Config!$T$49&lt;&gt;"Não",1,0)</f>
        <v>1</v>
      </c>
      <c r="R298" s="38">
        <f>IF(Config!$T$50&lt;&gt;"Não",1,0)</f>
        <v>1</v>
      </c>
      <c r="S298" s="38">
        <f>IF(Config!$T$51&lt;&gt;"Não",1,0)</f>
        <v>1</v>
      </c>
      <c r="T298" s="38">
        <f>IF(Config!$T$52&lt;&gt;"Não",1,0)</f>
        <v>1</v>
      </c>
      <c r="U298" s="38">
        <f>IF(Config!$T$53&lt;&gt;"Não",1,0)</f>
        <v>1</v>
      </c>
      <c r="V298" s="38">
        <f>IF(Config!$T$54&lt;&gt;"Não",1,0)</f>
        <v>1</v>
      </c>
    </row>
    <row r="299">
      <c r="A299" s="65" t="inlineStr">
        <is>
          <t xml:space="preserve">GENTE · Acidentes CAF</t>
        </is>
      </c>
      <c r="B299" s="39">
        <f>IF(OR($B$2="Todos",$C$2=2),1,IFERROR(INDEX($C$299:$V$299,MATCH($D$2,$C$280:$V$280,0)),1))</f>
        <v>1</v>
      </c>
      <c r="C299" s="38">
        <f>IF(Config!$U$35&lt;&gt;"Não",1,0)</f>
        <v>1</v>
      </c>
      <c r="D299" s="38">
        <f>IF(Config!$U$36&lt;&gt;"Não",1,0)</f>
        <v>1</v>
      </c>
      <c r="E299" s="38">
        <f>IF(Config!$U$37&lt;&gt;"Não",1,0)</f>
        <v>1</v>
      </c>
      <c r="F299" s="38">
        <f>IF(Config!$U$38&lt;&gt;"Não",1,0)</f>
        <v>1</v>
      </c>
      <c r="G299" s="38">
        <f>IF(Config!$U$39&lt;&gt;"Não",1,0)</f>
        <v>1</v>
      </c>
      <c r="H299" s="38">
        <f>IF(Config!$U$40&lt;&gt;"Não",1,0)</f>
        <v>1</v>
      </c>
      <c r="I299" s="38">
        <f>IF(Config!$U$41&lt;&gt;"Não",1,0)</f>
        <v>1</v>
      </c>
      <c r="J299" s="38">
        <f>IF(Config!$U$42&lt;&gt;"Não",1,0)</f>
        <v>1</v>
      </c>
      <c r="K299" s="38">
        <f>IF(Config!$U$43&lt;&gt;"Não",1,0)</f>
        <v>1</v>
      </c>
      <c r="L299" s="38">
        <f>IF(Config!$U$44&lt;&gt;"Não",1,0)</f>
        <v>1</v>
      </c>
      <c r="M299" s="38">
        <f>IF(Config!$U$45&lt;&gt;"Não",1,0)</f>
        <v>1</v>
      </c>
      <c r="N299" s="38">
        <f>IF(Config!$U$46&lt;&gt;"Não",1,0)</f>
        <v>1</v>
      </c>
      <c r="O299" s="38">
        <f>IF(Config!$U$47&lt;&gt;"Não",1,0)</f>
        <v>1</v>
      </c>
      <c r="P299" s="38">
        <f>IF(Config!$U$48&lt;&gt;"Não",1,0)</f>
        <v>1</v>
      </c>
      <c r="Q299" s="38">
        <f>IF(Config!$U$49&lt;&gt;"Não",1,0)</f>
        <v>1</v>
      </c>
      <c r="R299" s="38">
        <f>IF(Config!$U$50&lt;&gt;"Não",1,0)</f>
        <v>1</v>
      </c>
      <c r="S299" s="38">
        <f>IF(Config!$U$51&lt;&gt;"Não",1,0)</f>
        <v>1</v>
      </c>
      <c r="T299" s="38">
        <f>IF(Config!$U$52&lt;&gt;"Não",1,0)</f>
        <v>1</v>
      </c>
      <c r="U299" s="38">
        <f>IF(Config!$U$53&lt;&gt;"Não",1,0)</f>
        <v>1</v>
      </c>
      <c r="V299" s="38">
        <f>IF(Config!$U$54&lt;&gt;"Não",1,0)</f>
        <v>1</v>
      </c>
    </row>
    <row r="300">
      <c r="A300" s="65" t="inlineStr">
        <is>
          <t xml:space="preserve">GENTE · Acidentes SAF</t>
        </is>
      </c>
      <c r="B300" s="39">
        <f>IF(OR($B$2="Todos",$C$2=2),1,IFERROR(INDEX($C$300:$V$300,MATCH($D$2,$C$280:$V$280,0)),1))</f>
        <v>1</v>
      </c>
      <c r="C300" s="38">
        <f>IF(Config!$V$35&lt;&gt;"Não",1,0)</f>
        <v>1</v>
      </c>
      <c r="D300" s="38">
        <f>IF(Config!$V$36&lt;&gt;"Não",1,0)</f>
        <v>1</v>
      </c>
      <c r="E300" s="38">
        <f>IF(Config!$V$37&lt;&gt;"Não",1,0)</f>
        <v>1</v>
      </c>
      <c r="F300" s="38">
        <f>IF(Config!$V$38&lt;&gt;"Não",1,0)</f>
        <v>1</v>
      </c>
      <c r="G300" s="38">
        <f>IF(Config!$V$39&lt;&gt;"Não",1,0)</f>
        <v>1</v>
      </c>
      <c r="H300" s="38">
        <f>IF(Config!$V$40&lt;&gt;"Não",1,0)</f>
        <v>1</v>
      </c>
      <c r="I300" s="38">
        <f>IF(Config!$V$41&lt;&gt;"Não",1,0)</f>
        <v>1</v>
      </c>
      <c r="J300" s="38">
        <f>IF(Config!$V$42&lt;&gt;"Não",1,0)</f>
        <v>1</v>
      </c>
      <c r="K300" s="38">
        <f>IF(Config!$V$43&lt;&gt;"Não",1,0)</f>
        <v>1</v>
      </c>
      <c r="L300" s="38">
        <f>IF(Config!$V$44&lt;&gt;"Não",1,0)</f>
        <v>1</v>
      </c>
      <c r="M300" s="38">
        <f>IF(Config!$V$45&lt;&gt;"Não",1,0)</f>
        <v>1</v>
      </c>
      <c r="N300" s="38">
        <f>IF(Config!$V$46&lt;&gt;"Não",1,0)</f>
        <v>1</v>
      </c>
      <c r="O300" s="38">
        <f>IF(Config!$V$47&lt;&gt;"Não",1,0)</f>
        <v>1</v>
      </c>
      <c r="P300" s="38">
        <f>IF(Config!$V$48&lt;&gt;"Não",1,0)</f>
        <v>1</v>
      </c>
      <c r="Q300" s="38">
        <f>IF(Config!$V$49&lt;&gt;"Não",1,0)</f>
        <v>1</v>
      </c>
      <c r="R300" s="38">
        <f>IF(Config!$V$50&lt;&gt;"Não",1,0)</f>
        <v>1</v>
      </c>
      <c r="S300" s="38">
        <f>IF(Config!$V$51&lt;&gt;"Não",1,0)</f>
        <v>1</v>
      </c>
      <c r="T300" s="38">
        <f>IF(Config!$V$52&lt;&gt;"Não",1,0)</f>
        <v>1</v>
      </c>
      <c r="U300" s="38">
        <f>IF(Config!$V$53&lt;&gt;"Não",1,0)</f>
        <v>1</v>
      </c>
      <c r="V300" s="38">
        <f>IF(Config!$V$54&lt;&gt;"Não",1,0)</f>
        <v>1</v>
      </c>
    </row>
  </sheetData>
  <sheetProtection password="CC30" sheet="1" objects="1" scenarios="1"/>
  <pageMargins left="0.25" right="0.25" top="0.4" bottom="0.4" header="0.2" footer="0.2"/>
  <pageSetup paperSize="9" orientation="landscape" fitToWidth="1" fitToHeight="0"/>
</worksheet>
</file>

<file path=docProps/app.xml><?xml version="1.0" encoding="utf-8"?>
<Properties xmlns="http://schemas.openxmlformats.org/officeDocument/2006/extended-properti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Monitoramento diário de performance</dc:title>
  <dc:creator>IntraLog · Resumo operacional</dc:creator>
  <dcterms:created xsi:type="dcterms:W3CDTF">2026-10-02T14:18:48Z</dcterms:created>
</cp:coreProperties>
</file>